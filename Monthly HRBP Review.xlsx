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CE77E552-6E84-4EF1-AB6D-F6FDE790FE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D31" i="1"/>
  <c r="D30" i="1"/>
  <c r="D29" i="1"/>
  <c r="D22" i="1"/>
  <c r="D21" i="1"/>
  <c r="I13" i="1"/>
  <c r="I12" i="1"/>
  <c r="D11" i="1"/>
  <c r="I11" i="1" s="1"/>
  <c r="D10" i="1"/>
  <c r="I9" i="1"/>
  <c r="D8" i="1"/>
  <c r="I7" i="1"/>
  <c r="I6" i="1"/>
  <c r="D5" i="1"/>
  <c r="I5" i="1" s="1"/>
  <c r="I4" i="1"/>
  <c r="D23" i="1" l="1"/>
  <c r="I8" i="1"/>
  <c r="D28" i="1"/>
  <c r="D20" i="1"/>
  <c r="I10" i="1"/>
</calcChain>
</file>

<file path=xl/sharedStrings.xml><?xml version="1.0" encoding="utf-8"?>
<sst xmlns="http://schemas.openxmlformats.org/spreadsheetml/2006/main" count="464" uniqueCount="136">
  <si>
    <t>Headcount Overview</t>
  </si>
  <si>
    <t>Aarav</t>
  </si>
  <si>
    <t>Meera</t>
  </si>
  <si>
    <t>Nisha</t>
  </si>
  <si>
    <t>Riya</t>
  </si>
  <si>
    <t>Kabir</t>
  </si>
  <si>
    <t>Total</t>
  </si>
  <si>
    <t>Total Position 2026 ( Budget)</t>
  </si>
  <si>
    <t>Active Employees</t>
  </si>
  <si>
    <t>Joining's in June</t>
  </si>
  <si>
    <t>Exits in June</t>
  </si>
  <si>
    <t>Joining's YTD</t>
  </si>
  <si>
    <t>Exits YTD</t>
  </si>
  <si>
    <t>Current Positions (WIP, Shortlisted, Offer)</t>
  </si>
  <si>
    <t>Future Positions (to be worked on in future)</t>
  </si>
  <si>
    <t>On Hold (No response from business)</t>
  </si>
  <si>
    <t>-</t>
  </si>
  <si>
    <t xml:space="preserve">Delimit/Redundant </t>
  </si>
  <si>
    <t>Attrition %</t>
  </si>
  <si>
    <t>Insights on Attrition (top talent %, reasons for exits)</t>
  </si>
  <si>
    <t>Exit concentration observed in field-facing roles. Follow-up actions include role clarity, location-fit review and targeted engagement.</t>
  </si>
  <si>
    <t>Primary exit themes: career progression, role fitment and personal reasons. Actions planned through manager connect and career conversations.</t>
  </si>
  <si>
    <t>Key themes include growth expectations and mobility constraints. Mitigation to be tracked through talent reviews and retention check-ins.</t>
  </si>
  <si>
    <t>Recruitment Overview</t>
  </si>
  <si>
    <t>RPO</t>
  </si>
  <si>
    <t>Consultant</t>
  </si>
  <si>
    <t>Other (ER, TA, Internal Movement, etc)</t>
  </si>
  <si>
    <t>WIP</t>
  </si>
  <si>
    <t>Offered</t>
  </si>
  <si>
    <t>To Be Offered</t>
  </si>
  <si>
    <t>Joined 2026</t>
  </si>
  <si>
    <t xml:space="preserve">Offer Declined </t>
  </si>
  <si>
    <t>Aging Overview</t>
  </si>
  <si>
    <t>0-30</t>
  </si>
  <si>
    <t>30-60</t>
  </si>
  <si>
    <t>60-90</t>
  </si>
  <si>
    <t>90 +</t>
  </si>
  <si>
    <t>Critical cases (top 3)</t>
  </si>
  <si>
    <t>1. Lead - Operations Excellence
2. Manager - Digital Transformation
3. Head - Business Planning</t>
  </si>
  <si>
    <t>1. Specialist - ERP Support
2. Lead - Data Platforms
3. Head - Technology Projects</t>
  </si>
  <si>
    <t>1. Senior Lead - Process Governance
2. Lead - Project Controls
3. Manager - Shared Services</t>
  </si>
  <si>
    <t>HR Initiatives Calendar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</si>
  <si>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</si>
  <si>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</si>
  <si>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</si>
  <si>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</si>
  <si>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</si>
  <si>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</si>
  <si>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</si>
  <si>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</si>
  <si>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</si>
  <si>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</si>
  <si>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</si>
  <si>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</si>
  <si>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Dummy business note for testing and review</t>
  </si>
  <si>
    <t>Event 2: Goal-setting and performance alignment</t>
  </si>
  <si>
    <t>Event 5: Team engagement activity</t>
  </si>
  <si>
    <t>Event 4: Rewards and recognition programme</t>
  </si>
  <si>
    <t>Event 1: Employee connect session</t>
  </si>
  <si>
    <t>Event 4: Recognition and engagement activity</t>
  </si>
  <si>
    <t>Event 2: Festival celebration</t>
  </si>
  <si>
    <t>Event 3: Quarterly employee interaction</t>
  </si>
  <si>
    <t>Event 7: Culture and inclusion awareness session</t>
  </si>
  <si>
    <t>Event 3: Learning and awareness workshop</t>
  </si>
  <si>
    <t>Event 5: New joiner connect and feedback session</t>
  </si>
  <si>
    <t>Event 1: Health and wellbeing session</t>
  </si>
  <si>
    <t>Event 6: Functional synergy meet</t>
  </si>
  <si>
    <t>Aarav for SSC</t>
  </si>
  <si>
    <t>Farewell Ceremony</t>
  </si>
  <si>
    <t>Employee Listening Survey</t>
  </si>
  <si>
    <t>Promotion Felicitation</t>
  </si>
  <si>
    <t>Data Hygiene</t>
  </si>
  <si>
    <t>Goal Settings</t>
  </si>
  <si>
    <t>Goal Setting</t>
  </si>
  <si>
    <t>Employee Listening Report Sharing</t>
  </si>
  <si>
    <t>30 min Time off - Games</t>
  </si>
  <si>
    <t>Pot Lunch</t>
  </si>
  <si>
    <t>Dental Health Check up</t>
  </si>
  <si>
    <t>Annual Health Checkup</t>
  </si>
  <si>
    <t>Blood Donation Camp</t>
  </si>
  <si>
    <t>My commitments</t>
  </si>
  <si>
    <t>Training &amp; Development</t>
  </si>
  <si>
    <t>Total Headcount</t>
  </si>
  <si>
    <t>External Training</t>
  </si>
  <si>
    <t>Flagship Program</t>
  </si>
  <si>
    <t>AMU</t>
  </si>
  <si>
    <t>Internal Training</t>
  </si>
  <si>
    <t>Global programs</t>
  </si>
  <si>
    <t>Training Days so far</t>
  </si>
  <si>
    <t>Upcoming Trainings</t>
  </si>
  <si>
    <t>Upcoming focus: compliance, safety, leadership and functional capability sessions.</t>
  </si>
  <si>
    <t>251.62 days</t>
  </si>
  <si>
    <t>Aarav ( SSC)</t>
  </si>
  <si>
    <t>Internal and external trainings delivered as per the annual learning calendar.</t>
  </si>
  <si>
    <t>Engage: 2
Aware: 2</t>
  </si>
  <si>
    <t>400.08 Days till May</t>
  </si>
  <si>
    <t>Engage: 1
Aware: 1</t>
  </si>
  <si>
    <t>261 Days</t>
  </si>
  <si>
    <t>Connect: 1
Aware: 1</t>
  </si>
  <si>
    <t>213.44 days</t>
  </si>
  <si>
    <t>Org Charts</t>
  </si>
  <si>
    <t>Status of June</t>
  </si>
  <si>
    <t>Updated</t>
  </si>
  <si>
    <t>PMS</t>
  </si>
  <si>
    <t>Goal Setting Completion</t>
  </si>
  <si>
    <t>Mid - Year Review Completion</t>
  </si>
  <si>
    <t>End - Year Review Completion</t>
  </si>
  <si>
    <t>Not initiated</t>
  </si>
  <si>
    <t>Speak -Up June 2026</t>
  </si>
  <si>
    <t>Data Clean-up (May 2026)</t>
  </si>
  <si>
    <t>Completed</t>
  </si>
  <si>
    <t>Awareness Session (June 2026)</t>
  </si>
  <si>
    <t>Launch Date (16 June 2026)</t>
  </si>
  <si>
    <t>Report Preparation (July end 2026)</t>
  </si>
  <si>
    <t>Impact planning (Aug 2026)</t>
  </si>
  <si>
    <t>Actionable (Aug 2026)</t>
  </si>
  <si>
    <t>Quarterly check-ins(Nov 2026)</t>
  </si>
  <si>
    <t>Employee Listening Scores</t>
  </si>
  <si>
    <t>HRBP</t>
  </si>
  <si>
    <t>Department</t>
  </si>
  <si>
    <t>Last Survey in Nov 2025</t>
  </si>
  <si>
    <t>Demo Steel India</t>
  </si>
  <si>
    <t>Operations Support</t>
  </si>
  <si>
    <t>Shared Services</t>
  </si>
  <si>
    <t>Corporate Services</t>
  </si>
  <si>
    <t>Commercial Planning</t>
  </si>
  <si>
    <t>Assurance</t>
  </si>
  <si>
    <t>Legal Services</t>
  </si>
  <si>
    <t>Customer Markets</t>
  </si>
  <si>
    <t>Communications</t>
  </si>
  <si>
    <t>Community Relations</t>
  </si>
  <si>
    <t>People Function</t>
  </si>
  <si>
    <t>comprises of People Function, Workplace Services, Community Relations, Communications and Safety Services</t>
  </si>
  <si>
    <t>NA</t>
  </si>
  <si>
    <t>Strategy Office</t>
  </si>
  <si>
    <t>Leadership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</si>
</sst>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ndara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8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7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4" fillId="9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12" borderId="1" xfId="0" applyFill="1" applyBorder="1" applyAlignment="1">
      <alignment horizontal="center"/>
    </xf>
    <xf numFmtId="0" fontId="6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10" fontId="0" fillId="4" borderId="1" xfId="1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9" borderId="1" xfId="0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left" vertical="center" wrapText="1"/>
    </xf>
    <xf numFmtId="164" fontId="0" fillId="12" borderId="1" xfId="0" applyNumberFormat="1" applyFill="1" applyBorder="1" applyAlignment="1">
      <alignment horizontal="center"/>
    </xf>
    <xf numFmtId="164" fontId="9" fillId="11" borderId="7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wrapText="1"/>
    </xf>
    <xf numFmtId="0" fontId="0" fillId="10" borderId="1" xfId="0" applyFill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/>
    </xf>
    <xf numFmtId="0" fontId="10" fillId="11" borderId="8" xfId="0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0" fontId="10" fillId="11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left"/>
    </xf>
    <xf numFmtId="0" fontId="9" fillId="15" borderId="1" xfId="0" applyFont="1" applyFill="1" applyBorder="1" applyAlignment="1">
      <alignment horizontal="center"/>
    </xf>
    <xf numFmtId="0" fontId="9" fillId="15" borderId="7" xfId="0" applyFont="1" applyFill="1" applyBorder="1" applyAlignment="1">
      <alignment horizontal="center"/>
    </xf>
    <xf numFmtId="0" fontId="9" fillId="15" borderId="7" xfId="0" quotePrefix="1" applyFont="1" applyFill="1" applyBorder="1" applyAlignment="1">
      <alignment horizontal="center"/>
    </xf>
    <xf numFmtId="10" fontId="9" fillId="15" borderId="7" xfId="0" applyNumberFormat="1" applyFont="1" applyFill="1" applyBorder="1" applyAlignment="1">
      <alignment horizontal="center"/>
    </xf>
    <xf numFmtId="0" fontId="9" fillId="15" borderId="7" xfId="0" applyFont="1" applyFill="1" applyBorder="1" applyAlignment="1">
      <alignment horizontal="center" wrapText="1"/>
    </xf>
    <xf numFmtId="9" fontId="0" fillId="5" borderId="1" xfId="1" applyFont="1" applyFill="1" applyBorder="1" applyAlignment="1">
      <alignment horizontal="center"/>
    </xf>
    <xf numFmtId="0" fontId="0" fillId="0" borderId="1" xfId="0" applyBorder="1"/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1" fillId="16" borderId="1" xfId="0" applyFont="1" applyFill="1" applyBorder="1"/>
    <xf numFmtId="0" fontId="11" fillId="16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5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10" xfId="0" applyBorder="1" applyAlignment="1"/>
    <xf numFmtId="0" fontId="0" fillId="0" borderId="7" xfId="0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1"/>
  <sheetViews>
    <sheetView tabSelected="1" topLeftCell="B80" zoomScale="90" zoomScaleNormal="90" workbookViewId="0">
      <selection activeCell="E88" sqref="E88"/>
    </sheetView>
  </sheetViews>
  <sheetFormatPr defaultRowHeight="14.45"/>
  <cols>
    <col min="2" max="2" width="9.5703125" customWidth="1"/>
    <col min="3" max="3" width="33.42578125" customWidth="1"/>
    <col min="4" max="4" width="29.140625" style="1" bestFit="1" customWidth="1"/>
    <col min="5" max="5" width="39.85546875" style="1" customWidth="1"/>
    <col min="6" max="6" width="28.5703125" style="1" customWidth="1"/>
    <col min="7" max="7" width="27.140625" style="1" customWidth="1"/>
    <col min="8" max="8" width="28.85546875" style="1" customWidth="1"/>
    <col min="9" max="9" width="26.42578125" style="1" customWidth="1"/>
    <col min="10" max="10" width="24.140625" style="1" customWidth="1"/>
    <col min="11" max="11" width="29.42578125" style="1" bestFit="1" customWidth="1"/>
    <col min="12" max="12" width="21.5703125" style="1" customWidth="1"/>
    <col min="13" max="13" width="25.140625" style="1" customWidth="1"/>
    <col min="14" max="14" width="24.5703125" style="1" customWidth="1"/>
    <col min="15" max="15" width="26.42578125" style="1" customWidth="1"/>
    <col min="16" max="16" width="12.140625" style="1" customWidth="1"/>
    <col min="17" max="17" width="13.42578125" style="1" customWidth="1"/>
    <col min="18" max="18" width="16" customWidth="1"/>
  </cols>
  <sheetData>
    <row r="2" spans="2:9">
      <c r="B2" s="10" t="s">
        <v>0</v>
      </c>
    </row>
    <row r="3" spans="2:9">
      <c r="C3" s="2"/>
      <c r="D3" s="15" t="s">
        <v>1</v>
      </c>
      <c r="E3" s="15" t="s">
        <v>2</v>
      </c>
      <c r="F3" s="15" t="s">
        <v>3</v>
      </c>
      <c r="G3" s="15" t="s">
        <v>4</v>
      </c>
      <c r="H3" s="15" t="s">
        <v>5</v>
      </c>
      <c r="I3" s="15" t="s">
        <v>6</v>
      </c>
    </row>
    <row r="4" spans="2:9">
      <c r="C4" s="40" t="s">
        <v>7</v>
      </c>
      <c r="D4" s="41">
        <v>912</v>
      </c>
      <c r="E4" s="65">
        <v>357</v>
      </c>
      <c r="F4" s="20">
        <v>389</v>
      </c>
      <c r="G4" s="88">
        <v>489</v>
      </c>
      <c r="H4" s="24">
        <v>57</v>
      </c>
      <c r="I4" s="101">
        <f>SUM(D4:H4)</f>
        <v>2204</v>
      </c>
    </row>
    <row r="5" spans="2:9" ht="14.45" customHeight="1">
      <c r="C5" s="40" t="s">
        <v>8</v>
      </c>
      <c r="D5" s="41">
        <f>459+263</f>
        <v>722</v>
      </c>
      <c r="E5" s="66">
        <v>207</v>
      </c>
      <c r="F5" s="20">
        <v>272</v>
      </c>
      <c r="G5" s="89">
        <v>329</v>
      </c>
      <c r="H5" s="24">
        <v>31</v>
      </c>
      <c r="I5" s="101">
        <f>SUM(D5:H5)</f>
        <v>1561</v>
      </c>
    </row>
    <row r="6" spans="2:9">
      <c r="C6" s="40" t="s">
        <v>9</v>
      </c>
      <c r="D6" s="41">
        <v>4</v>
      </c>
      <c r="E6" s="66">
        <v>2</v>
      </c>
      <c r="F6" s="20">
        <v>7</v>
      </c>
      <c r="G6" s="89">
        <v>3</v>
      </c>
      <c r="H6" s="24">
        <v>0</v>
      </c>
      <c r="I6" s="101">
        <f>SUM(D6:H6)</f>
        <v>16</v>
      </c>
    </row>
    <row r="7" spans="2:9">
      <c r="C7" s="40" t="s">
        <v>10</v>
      </c>
      <c r="D7" s="41">
        <v>0</v>
      </c>
      <c r="E7" s="66">
        <v>0</v>
      </c>
      <c r="F7" s="20">
        <v>4</v>
      </c>
      <c r="G7" s="89">
        <v>5</v>
      </c>
      <c r="H7" s="24">
        <v>0</v>
      </c>
      <c r="I7" s="101">
        <f>SUM(D7:H7)</f>
        <v>9</v>
      </c>
    </row>
    <row r="8" spans="2:9">
      <c r="C8" s="40" t="s">
        <v>11</v>
      </c>
      <c r="D8" s="41">
        <f>14+19</f>
        <v>33</v>
      </c>
      <c r="E8" s="66">
        <v>14</v>
      </c>
      <c r="F8" s="20">
        <v>13</v>
      </c>
      <c r="G8" s="89">
        <v>33</v>
      </c>
      <c r="H8" s="24">
        <v>1</v>
      </c>
      <c r="I8" s="101">
        <f>SUM(D8:H8)</f>
        <v>94</v>
      </c>
    </row>
    <row r="9" spans="2:9">
      <c r="C9" s="40" t="s">
        <v>12</v>
      </c>
      <c r="D9" s="41">
        <v>45</v>
      </c>
      <c r="E9" s="66">
        <v>17</v>
      </c>
      <c r="F9" s="20">
        <v>19</v>
      </c>
      <c r="G9" s="89">
        <v>27</v>
      </c>
      <c r="H9" s="24">
        <v>1</v>
      </c>
      <c r="I9" s="101">
        <f>SUM(D9:H9)</f>
        <v>109</v>
      </c>
    </row>
    <row r="10" spans="2:9" ht="29.1" customHeight="1">
      <c r="C10" s="40" t="s">
        <v>13</v>
      </c>
      <c r="D10" s="41">
        <f>18+51</f>
        <v>69</v>
      </c>
      <c r="E10" s="66">
        <v>40</v>
      </c>
      <c r="F10" s="20">
        <v>57</v>
      </c>
      <c r="G10" s="89">
        <v>58</v>
      </c>
      <c r="H10" s="24">
        <v>1</v>
      </c>
      <c r="I10" s="101">
        <f>SUM(D10:H10)</f>
        <v>225</v>
      </c>
    </row>
    <row r="11" spans="2:9" ht="29.1" customHeight="1">
      <c r="C11" s="40" t="s">
        <v>14</v>
      </c>
      <c r="D11" s="41">
        <f>63+113+140</f>
        <v>316</v>
      </c>
      <c r="E11" s="66">
        <v>76</v>
      </c>
      <c r="F11" s="20">
        <v>15</v>
      </c>
      <c r="G11" s="89">
        <v>53</v>
      </c>
      <c r="H11" s="24">
        <v>1</v>
      </c>
      <c r="I11" s="101">
        <f>SUM(D11:H11)</f>
        <v>461</v>
      </c>
    </row>
    <row r="12" spans="2:9">
      <c r="C12" s="40" t="s">
        <v>15</v>
      </c>
      <c r="D12" s="41">
        <v>8</v>
      </c>
      <c r="E12" s="66"/>
      <c r="F12" s="20">
        <v>31</v>
      </c>
      <c r="G12" s="90" t="s">
        <v>16</v>
      </c>
      <c r="H12" s="24">
        <v>0</v>
      </c>
      <c r="I12" s="101">
        <f>SUM(D12:H12)</f>
        <v>39</v>
      </c>
    </row>
    <row r="13" spans="2:9">
      <c r="C13" s="40" t="s">
        <v>17</v>
      </c>
      <c r="D13" s="41">
        <v>0</v>
      </c>
      <c r="E13" s="66"/>
      <c r="F13" s="20">
        <v>14</v>
      </c>
      <c r="G13" s="90" t="s">
        <v>16</v>
      </c>
      <c r="H13" s="24">
        <v>0</v>
      </c>
      <c r="I13" s="101">
        <f>SUM(D13:H13)</f>
        <v>14</v>
      </c>
    </row>
    <row r="14" spans="2:9">
      <c r="C14" s="40" t="s">
        <v>18</v>
      </c>
      <c r="D14" s="72">
        <v>2.5999999999999999E-2</v>
      </c>
      <c r="E14" s="73">
        <v>3.6999999999999998E-2</v>
      </c>
      <c r="F14" s="47">
        <v>4.2000000000000003E-2</v>
      </c>
      <c r="G14" s="91">
        <v>4.2999999999999997E-2</v>
      </c>
      <c r="H14" s="24">
        <v>4.4999999999999998E-2</v>
      </c>
      <c r="I14" s="93"/>
    </row>
    <row r="15" spans="2:9" ht="43.5" customHeight="1">
      <c r="C15" s="40" t="s">
        <v>19</v>
      </c>
      <c r="D15" s="46" t="s">
        <v>20</v>
      </c>
      <c r="E15" s="67" t="s">
        <v>21</v>
      </c>
      <c r="F15" s="48" t="s">
        <v>22</v>
      </c>
      <c r="G15" s="92" t="s">
        <v>22</v>
      </c>
      <c r="H15" s="24" t="s">
        <v>21</v>
      </c>
    </row>
    <row r="17" spans="2:18">
      <c r="B17" s="10" t="s">
        <v>23</v>
      </c>
    </row>
    <row r="18" spans="2:18">
      <c r="C18" s="2"/>
      <c r="D18" s="106" t="s">
        <v>1</v>
      </c>
      <c r="E18" s="111"/>
      <c r="F18" s="112"/>
      <c r="G18" s="109" t="s">
        <v>2</v>
      </c>
      <c r="H18" s="111"/>
      <c r="I18" s="111"/>
      <c r="J18" s="103" t="s">
        <v>3</v>
      </c>
      <c r="K18" s="113"/>
      <c r="L18" s="113"/>
      <c r="M18" s="103" t="s">
        <v>4</v>
      </c>
      <c r="N18" s="113"/>
      <c r="O18" s="113"/>
      <c r="P18" s="103" t="s">
        <v>5</v>
      </c>
      <c r="Q18" s="113"/>
      <c r="R18" s="113"/>
    </row>
    <row r="19" spans="2:18" ht="39" customHeight="1">
      <c r="C19" s="2"/>
      <c r="D19" s="16" t="s">
        <v>24</v>
      </c>
      <c r="E19" s="16" t="s">
        <v>25</v>
      </c>
      <c r="F19" s="16" t="s">
        <v>26</v>
      </c>
      <c r="G19" s="18" t="s">
        <v>24</v>
      </c>
      <c r="H19" s="18" t="s">
        <v>25</v>
      </c>
      <c r="I19" s="18" t="s">
        <v>26</v>
      </c>
      <c r="J19" s="19" t="s">
        <v>24</v>
      </c>
      <c r="K19" s="19" t="s">
        <v>25</v>
      </c>
      <c r="L19" s="19" t="s">
        <v>26</v>
      </c>
      <c r="M19" s="21" t="s">
        <v>24</v>
      </c>
      <c r="N19" s="21" t="s">
        <v>25</v>
      </c>
      <c r="O19" s="21" t="s">
        <v>26</v>
      </c>
      <c r="P19" s="23" t="s">
        <v>24</v>
      </c>
      <c r="Q19" s="23" t="s">
        <v>25</v>
      </c>
      <c r="R19" s="23" t="s">
        <v>26</v>
      </c>
    </row>
    <row r="20" spans="2:18">
      <c r="C20" s="12" t="s">
        <v>27</v>
      </c>
      <c r="D20" s="17">
        <f>D10</f>
        <v>69</v>
      </c>
      <c r="E20" s="17">
        <v>8</v>
      </c>
      <c r="F20" s="17"/>
      <c r="G20" s="18">
        <v>20</v>
      </c>
      <c r="H20" s="18"/>
      <c r="I20" s="18"/>
      <c r="J20" s="20">
        <v>18</v>
      </c>
      <c r="K20" s="20">
        <v>8</v>
      </c>
      <c r="L20" s="20">
        <v>0</v>
      </c>
      <c r="M20" s="81">
        <v>31</v>
      </c>
      <c r="N20" s="82">
        <v>6</v>
      </c>
      <c r="O20" s="82">
        <v>4</v>
      </c>
      <c r="P20" s="24"/>
      <c r="Q20" s="24"/>
      <c r="R20" s="25"/>
    </row>
    <row r="21" spans="2:18">
      <c r="C21" s="12" t="s">
        <v>28</v>
      </c>
      <c r="D21" s="17">
        <f>10+6</f>
        <v>16</v>
      </c>
      <c r="E21" s="17"/>
      <c r="F21" s="17"/>
      <c r="G21" s="18">
        <v>3</v>
      </c>
      <c r="H21" s="18"/>
      <c r="I21" s="18">
        <v>7</v>
      </c>
      <c r="J21" s="20">
        <v>6</v>
      </c>
      <c r="K21" s="20">
        <v>4</v>
      </c>
      <c r="L21" s="20">
        <v>3</v>
      </c>
      <c r="M21" s="83">
        <v>6</v>
      </c>
      <c r="N21" s="84">
        <v>1</v>
      </c>
      <c r="O21" s="84">
        <v>0</v>
      </c>
      <c r="P21" s="24"/>
      <c r="Q21" s="24"/>
      <c r="R21" s="24">
        <v>3</v>
      </c>
    </row>
    <row r="22" spans="2:18">
      <c r="C22" s="12" t="s">
        <v>29</v>
      </c>
      <c r="D22" s="17">
        <f>16+4</f>
        <v>20</v>
      </c>
      <c r="E22" s="17"/>
      <c r="F22" s="17"/>
      <c r="G22" s="18"/>
      <c r="H22" s="18"/>
      <c r="I22" s="18">
        <v>4</v>
      </c>
      <c r="J22" s="20">
        <v>4</v>
      </c>
      <c r="K22" s="20">
        <v>2</v>
      </c>
      <c r="L22" s="20">
        <v>2</v>
      </c>
      <c r="M22" s="83">
        <v>3</v>
      </c>
      <c r="N22" s="84">
        <v>0</v>
      </c>
      <c r="O22" s="84">
        <v>1</v>
      </c>
      <c r="P22" s="24"/>
      <c r="Q22" s="24"/>
      <c r="R22" s="24">
        <v>0</v>
      </c>
    </row>
    <row r="23" spans="2:18">
      <c r="C23" s="12" t="s">
        <v>30</v>
      </c>
      <c r="D23" s="17">
        <f>D8</f>
        <v>33</v>
      </c>
      <c r="E23" s="17"/>
      <c r="F23" s="17">
        <v>10</v>
      </c>
      <c r="G23" s="18">
        <v>7</v>
      </c>
      <c r="H23" s="18"/>
      <c r="I23" s="18">
        <v>7</v>
      </c>
      <c r="J23" s="20">
        <v>6</v>
      </c>
      <c r="K23" s="20">
        <v>2</v>
      </c>
      <c r="L23" s="20">
        <v>2</v>
      </c>
      <c r="M23" s="83">
        <v>13</v>
      </c>
      <c r="N23" s="84">
        <v>1</v>
      </c>
      <c r="O23" s="84">
        <v>13</v>
      </c>
      <c r="P23" s="24"/>
      <c r="Q23" s="24"/>
      <c r="R23" s="24">
        <v>1</v>
      </c>
    </row>
    <row r="24" spans="2:18">
      <c r="C24" s="12" t="s">
        <v>31</v>
      </c>
      <c r="D24" s="17">
        <v>5</v>
      </c>
      <c r="E24" s="17"/>
      <c r="F24" s="17"/>
      <c r="G24" s="18">
        <v>3</v>
      </c>
      <c r="H24" s="18"/>
      <c r="I24" s="18">
        <v>1</v>
      </c>
      <c r="J24" s="20"/>
      <c r="K24" s="20"/>
      <c r="L24" s="20"/>
      <c r="M24" s="22"/>
      <c r="N24" s="22"/>
      <c r="O24" s="22"/>
      <c r="P24" s="24"/>
      <c r="Q24" s="24"/>
      <c r="R24" s="24">
        <v>1</v>
      </c>
    </row>
    <row r="26" spans="2:18">
      <c r="B26" s="10" t="s">
        <v>32</v>
      </c>
    </row>
    <row r="27" spans="2:18">
      <c r="C27" s="2"/>
      <c r="D27" s="15" t="s">
        <v>1</v>
      </c>
      <c r="E27" s="15" t="s">
        <v>2</v>
      </c>
      <c r="F27" s="15" t="s">
        <v>3</v>
      </c>
      <c r="G27" s="15" t="s">
        <v>4</v>
      </c>
      <c r="H27" s="15" t="s">
        <v>5</v>
      </c>
    </row>
    <row r="28" spans="2:18">
      <c r="C28" s="13" t="s">
        <v>27</v>
      </c>
      <c r="D28" s="3">
        <f>D10</f>
        <v>69</v>
      </c>
      <c r="E28" s="63">
        <v>23</v>
      </c>
      <c r="F28" s="3">
        <v>30</v>
      </c>
      <c r="G28" s="3">
        <v>66</v>
      </c>
      <c r="H28" s="3">
        <v>14</v>
      </c>
    </row>
    <row r="29" spans="2:18">
      <c r="C29" s="13" t="s">
        <v>33</v>
      </c>
      <c r="D29" s="3">
        <f>1+26</f>
        <v>27</v>
      </c>
      <c r="E29" s="64">
        <v>9</v>
      </c>
      <c r="F29" s="3">
        <v>10</v>
      </c>
      <c r="G29" s="63">
        <v>6</v>
      </c>
      <c r="H29" s="3">
        <v>0</v>
      </c>
    </row>
    <row r="30" spans="2:18">
      <c r="C30" s="13" t="s">
        <v>34</v>
      </c>
      <c r="D30" s="3">
        <f>7+2</f>
        <v>9</v>
      </c>
      <c r="E30" s="64">
        <v>3</v>
      </c>
      <c r="F30" s="3">
        <v>5</v>
      </c>
      <c r="G30" s="64">
        <v>8</v>
      </c>
      <c r="H30" s="3">
        <v>14</v>
      </c>
    </row>
    <row r="31" spans="2:18">
      <c r="C31" s="13" t="s">
        <v>35</v>
      </c>
      <c r="D31" s="3">
        <f>7+10</f>
        <v>17</v>
      </c>
      <c r="E31" s="64">
        <v>5</v>
      </c>
      <c r="F31" s="3">
        <v>2</v>
      </c>
      <c r="G31" s="64">
        <v>12</v>
      </c>
      <c r="H31" s="3">
        <v>0</v>
      </c>
    </row>
    <row r="32" spans="2:18">
      <c r="C32" s="13" t="s">
        <v>36</v>
      </c>
      <c r="D32" s="3">
        <f>3+13</f>
        <v>16</v>
      </c>
      <c r="E32" s="64">
        <v>9</v>
      </c>
      <c r="F32" s="3">
        <v>12</v>
      </c>
      <c r="G32" s="64">
        <v>27</v>
      </c>
      <c r="H32" s="3"/>
    </row>
    <row r="33" spans="2:17" ht="39.6" customHeight="1">
      <c r="C33" s="14" t="s">
        <v>37</v>
      </c>
      <c r="D33" s="5" t="s">
        <v>38</v>
      </c>
      <c r="E33" s="68" t="s">
        <v>39</v>
      </c>
      <c r="F33" s="5" t="s">
        <v>38</v>
      </c>
      <c r="G33" s="77" t="s">
        <v>40</v>
      </c>
      <c r="H33" s="3"/>
    </row>
    <row r="35" spans="2:17" ht="43.5" customHeight="1">
      <c r="B35" s="52" t="s">
        <v>41</v>
      </c>
      <c r="C35" s="50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</row>
    <row r="36" spans="2:17">
      <c r="B36" s="50"/>
      <c r="C36" s="50"/>
      <c r="D36" s="54" t="s">
        <v>42</v>
      </c>
      <c r="E36" s="54" t="s">
        <v>43</v>
      </c>
      <c r="F36" s="54" t="s">
        <v>44</v>
      </c>
      <c r="G36" s="54" t="s">
        <v>45</v>
      </c>
      <c r="H36" s="54" t="s">
        <v>46</v>
      </c>
      <c r="I36" s="54" t="s">
        <v>47</v>
      </c>
      <c r="J36" s="54" t="s">
        <v>48</v>
      </c>
      <c r="K36" s="54" t="s">
        <v>49</v>
      </c>
      <c r="L36" s="54" t="s">
        <v>50</v>
      </c>
      <c r="M36" s="54" t="s">
        <v>51</v>
      </c>
      <c r="N36" s="54" t="s">
        <v>52</v>
      </c>
      <c r="O36" s="54" t="s">
        <v>53</v>
      </c>
    </row>
    <row r="37" spans="2:17" s="7" customFormat="1" ht="51.95" customHeight="1">
      <c r="B37" s="50"/>
      <c r="C37" s="107" t="s">
        <v>54</v>
      </c>
      <c r="D37" s="26" t="s">
        <v>55</v>
      </c>
      <c r="E37" s="26" t="s">
        <v>56</v>
      </c>
      <c r="F37" s="26" t="s">
        <v>57</v>
      </c>
      <c r="G37" s="78" t="s">
        <v>56</v>
      </c>
      <c r="H37" s="26" t="s">
        <v>58</v>
      </c>
      <c r="I37" s="26" t="s">
        <v>55</v>
      </c>
      <c r="J37" s="26" t="s">
        <v>57</v>
      </c>
      <c r="K37" s="26" t="s">
        <v>59</v>
      </c>
      <c r="L37" s="26" t="s">
        <v>60</v>
      </c>
      <c r="M37" s="26" t="s">
        <v>57</v>
      </c>
      <c r="N37" s="26" t="s">
        <v>61</v>
      </c>
      <c r="O37" s="26" t="s">
        <v>59</v>
      </c>
      <c r="P37" s="8"/>
      <c r="Q37" s="8"/>
    </row>
    <row r="38" spans="2:17" s="7" customFormat="1" ht="26.1" customHeight="1">
      <c r="B38" s="50"/>
      <c r="C38" s="114"/>
      <c r="D38" s="26" t="s">
        <v>62</v>
      </c>
      <c r="E38" s="26" t="s">
        <v>56</v>
      </c>
      <c r="F38" s="26" t="s">
        <v>59</v>
      </c>
      <c r="G38" s="78" t="s">
        <v>60</v>
      </c>
      <c r="H38" s="26" t="s">
        <v>60</v>
      </c>
      <c r="I38" s="26" t="s">
        <v>63</v>
      </c>
      <c r="J38" s="26" t="s">
        <v>64</v>
      </c>
      <c r="K38" s="26" t="s">
        <v>59</v>
      </c>
      <c r="L38" s="26" t="s">
        <v>65</v>
      </c>
      <c r="M38" s="26" t="s">
        <v>61</v>
      </c>
      <c r="N38" s="26" t="s">
        <v>58</v>
      </c>
      <c r="O38" s="26" t="s">
        <v>56</v>
      </c>
      <c r="P38" s="8"/>
      <c r="Q38" s="8"/>
    </row>
    <row r="39" spans="2:17" s="7" customFormat="1" ht="26.1" customHeight="1">
      <c r="B39" s="50"/>
      <c r="C39" s="114"/>
      <c r="D39" s="26" t="s">
        <v>65</v>
      </c>
      <c r="E39" s="26" t="s">
        <v>55</v>
      </c>
      <c r="F39" s="26" t="s">
        <v>60</v>
      </c>
      <c r="G39" s="78" t="s">
        <v>57</v>
      </c>
      <c r="H39" s="26"/>
      <c r="I39" s="26" t="s">
        <v>59</v>
      </c>
      <c r="J39" s="26" t="s">
        <v>64</v>
      </c>
      <c r="K39" s="26" t="s">
        <v>56</v>
      </c>
      <c r="L39" s="26" t="s">
        <v>65</v>
      </c>
      <c r="M39" s="26" t="s">
        <v>59</v>
      </c>
      <c r="N39" s="26" t="s">
        <v>55</v>
      </c>
      <c r="O39" s="26" t="s">
        <v>55</v>
      </c>
      <c r="P39" s="8"/>
      <c r="Q39" s="8"/>
    </row>
    <row r="40" spans="2:17" s="7" customFormat="1" ht="39" customHeight="1">
      <c r="B40" s="50"/>
      <c r="C40" s="114"/>
      <c r="D40" s="26" t="s">
        <v>59</v>
      </c>
      <c r="E40" s="26"/>
      <c r="F40" s="26" t="s">
        <v>57</v>
      </c>
      <c r="G40" s="78"/>
      <c r="H40" s="26"/>
      <c r="I40" s="26" t="s">
        <v>57</v>
      </c>
      <c r="J40" s="26" t="s">
        <v>65</v>
      </c>
      <c r="K40" s="26" t="s">
        <v>59</v>
      </c>
      <c r="L40" s="26" t="s">
        <v>64</v>
      </c>
      <c r="M40" s="26" t="s">
        <v>57</v>
      </c>
      <c r="N40" s="26" t="s">
        <v>60</v>
      </c>
      <c r="O40" s="26" t="s">
        <v>65</v>
      </c>
      <c r="P40" s="8"/>
      <c r="Q40" s="8"/>
    </row>
    <row r="41" spans="2:17" s="7" customFormat="1" ht="39" customHeight="1">
      <c r="B41" s="50"/>
      <c r="C41" s="114"/>
      <c r="D41" s="26"/>
      <c r="E41" s="26"/>
      <c r="F41" s="26"/>
      <c r="G41" s="78"/>
      <c r="H41" s="26"/>
      <c r="I41" s="26" t="s">
        <v>66</v>
      </c>
      <c r="J41" s="26" t="s">
        <v>55</v>
      </c>
      <c r="K41" s="26" t="s">
        <v>62</v>
      </c>
      <c r="L41" s="26" t="s">
        <v>60</v>
      </c>
      <c r="M41" s="26" t="s">
        <v>55</v>
      </c>
      <c r="N41" s="26" t="s">
        <v>57</v>
      </c>
      <c r="O41" s="26" t="s">
        <v>56</v>
      </c>
      <c r="P41" s="8"/>
      <c r="Q41" s="8"/>
    </row>
    <row r="42" spans="2:17" s="7" customFormat="1" ht="51.95" customHeight="1">
      <c r="B42" s="50"/>
      <c r="C42" s="114"/>
      <c r="D42" s="26"/>
      <c r="E42" s="26"/>
      <c r="F42" s="26"/>
      <c r="G42" s="78"/>
      <c r="H42" s="26"/>
      <c r="I42" s="26"/>
      <c r="J42" s="26" t="s">
        <v>58</v>
      </c>
      <c r="K42" s="51"/>
      <c r="L42" s="26" t="s">
        <v>63</v>
      </c>
      <c r="M42" s="26" t="s">
        <v>55</v>
      </c>
      <c r="N42" s="26" t="s">
        <v>62</v>
      </c>
      <c r="O42" s="26"/>
      <c r="P42" s="8"/>
      <c r="Q42" s="8"/>
    </row>
    <row r="43" spans="2:17" s="7" customFormat="1" ht="39" customHeight="1">
      <c r="B43" s="50"/>
      <c r="C43" s="115"/>
      <c r="D43" s="26"/>
      <c r="E43" s="26"/>
      <c r="F43" s="26"/>
      <c r="G43" s="78"/>
      <c r="H43" s="26"/>
      <c r="I43" s="26"/>
      <c r="J43" s="26"/>
      <c r="K43" s="26"/>
      <c r="L43" s="26"/>
      <c r="M43" s="26" t="s">
        <v>65</v>
      </c>
      <c r="N43" s="26"/>
      <c r="O43" s="26"/>
      <c r="P43" s="8"/>
      <c r="Q43" s="8"/>
    </row>
    <row r="44" spans="2:17" ht="43.5" customHeight="1">
      <c r="B44" s="50"/>
      <c r="C44" s="110" t="s">
        <v>67</v>
      </c>
      <c r="D44" s="27" t="s">
        <v>60</v>
      </c>
      <c r="E44" s="27" t="s">
        <v>61</v>
      </c>
      <c r="F44" s="27" t="s">
        <v>64</v>
      </c>
      <c r="G44" s="79" t="s">
        <v>56</v>
      </c>
      <c r="H44" s="27" t="s">
        <v>65</v>
      </c>
      <c r="I44" s="27" t="s">
        <v>61</v>
      </c>
      <c r="J44" s="27" t="s">
        <v>58</v>
      </c>
      <c r="K44" s="27" t="s">
        <v>63</v>
      </c>
      <c r="L44" s="27" t="s">
        <v>58</v>
      </c>
      <c r="M44" s="27" t="s">
        <v>65</v>
      </c>
      <c r="N44" s="27" t="s">
        <v>61</v>
      </c>
      <c r="O44" s="27" t="s">
        <v>57</v>
      </c>
    </row>
    <row r="45" spans="2:17" ht="43.5" customHeight="1">
      <c r="B45" s="50"/>
      <c r="C45" s="114"/>
      <c r="D45" s="27" t="s">
        <v>66</v>
      </c>
      <c r="E45" s="27" t="s">
        <v>62</v>
      </c>
      <c r="F45" s="27" t="s">
        <v>62</v>
      </c>
      <c r="G45" s="79" t="s">
        <v>55</v>
      </c>
      <c r="H45" s="27" t="s">
        <v>56</v>
      </c>
      <c r="I45" s="27" t="s">
        <v>64</v>
      </c>
      <c r="J45" s="27" t="s">
        <v>58</v>
      </c>
      <c r="K45" s="27" t="s">
        <v>56</v>
      </c>
      <c r="L45" s="27" t="s">
        <v>60</v>
      </c>
      <c r="M45" s="27" t="s">
        <v>59</v>
      </c>
      <c r="N45" s="27" t="s">
        <v>63</v>
      </c>
      <c r="O45" s="27" t="s">
        <v>59</v>
      </c>
    </row>
    <row r="46" spans="2:17" ht="43.5" customHeight="1">
      <c r="B46" s="50"/>
      <c r="C46" s="114"/>
      <c r="D46" s="27" t="s">
        <v>59</v>
      </c>
      <c r="E46" s="27" t="s">
        <v>66</v>
      </c>
      <c r="F46" s="27" t="s">
        <v>59</v>
      </c>
      <c r="G46" s="79" t="s">
        <v>60</v>
      </c>
      <c r="H46" s="27"/>
      <c r="I46" s="27" t="s">
        <v>66</v>
      </c>
      <c r="J46" s="27" t="s">
        <v>55</v>
      </c>
      <c r="K46" s="27" t="s">
        <v>66</v>
      </c>
      <c r="L46" s="27" t="s">
        <v>65</v>
      </c>
      <c r="M46" s="27" t="s">
        <v>65</v>
      </c>
      <c r="N46" s="27" t="s">
        <v>57</v>
      </c>
      <c r="O46" s="27" t="s">
        <v>65</v>
      </c>
    </row>
    <row r="47" spans="2:17" ht="29.1" customHeight="1">
      <c r="B47" s="50"/>
      <c r="C47" s="114"/>
      <c r="D47" s="27" t="s">
        <v>63</v>
      </c>
      <c r="E47" s="27"/>
      <c r="F47" s="27" t="s">
        <v>64</v>
      </c>
      <c r="G47" s="79" t="s">
        <v>64</v>
      </c>
      <c r="H47" s="27"/>
      <c r="I47" s="27" t="s">
        <v>60</v>
      </c>
      <c r="J47" s="27" t="s">
        <v>58</v>
      </c>
      <c r="K47" s="27" t="s">
        <v>55</v>
      </c>
      <c r="L47" s="27"/>
      <c r="M47" s="27" t="s">
        <v>60</v>
      </c>
      <c r="N47" s="27" t="s">
        <v>59</v>
      </c>
      <c r="O47" s="27" t="s">
        <v>58</v>
      </c>
    </row>
    <row r="48" spans="2:17" ht="43.5" customHeight="1">
      <c r="B48" s="50"/>
      <c r="C48" s="114"/>
      <c r="D48" s="27" t="s">
        <v>56</v>
      </c>
      <c r="E48" s="27"/>
      <c r="F48" s="27"/>
      <c r="G48" s="79"/>
      <c r="H48" s="27"/>
      <c r="I48" s="27" t="s">
        <v>57</v>
      </c>
      <c r="J48" s="27" t="s">
        <v>59</v>
      </c>
      <c r="K48" s="27"/>
      <c r="L48" s="27"/>
      <c r="M48" s="27" t="s">
        <v>57</v>
      </c>
      <c r="N48" s="27" t="s">
        <v>57</v>
      </c>
      <c r="O48" s="27" t="s">
        <v>65</v>
      </c>
    </row>
    <row r="49" spans="2:15" ht="29.1" customHeight="1">
      <c r="B49" s="50"/>
      <c r="C49" s="114"/>
      <c r="D49" s="27" t="s">
        <v>59</v>
      </c>
      <c r="E49" s="27"/>
      <c r="F49" s="27"/>
      <c r="G49" s="79"/>
      <c r="H49" s="27"/>
      <c r="I49" s="27"/>
      <c r="J49" s="27"/>
      <c r="K49" s="27"/>
      <c r="L49" s="27"/>
      <c r="M49" s="27"/>
      <c r="N49" s="27" t="s">
        <v>64</v>
      </c>
      <c r="O49" s="27" t="s">
        <v>65</v>
      </c>
    </row>
    <row r="50" spans="2:15">
      <c r="B50" s="50"/>
      <c r="C50" s="115"/>
      <c r="D50" s="27"/>
      <c r="E50" s="27"/>
      <c r="F50" s="27"/>
      <c r="G50" s="79"/>
      <c r="H50" s="27"/>
      <c r="I50" s="27"/>
      <c r="J50" s="27"/>
      <c r="K50" s="27"/>
      <c r="L50" s="27"/>
      <c r="M50" s="27"/>
      <c r="N50" s="27" t="s">
        <v>63</v>
      </c>
      <c r="O50" s="27"/>
    </row>
    <row r="51" spans="2:15" ht="29.1" customHeight="1">
      <c r="B51" s="50"/>
      <c r="C51" s="105" t="s">
        <v>3</v>
      </c>
      <c r="D51" s="49" t="s">
        <v>68</v>
      </c>
      <c r="E51" s="49" t="s">
        <v>55</v>
      </c>
      <c r="F51" s="49" t="s">
        <v>66</v>
      </c>
      <c r="G51" s="28" t="s">
        <v>65</v>
      </c>
      <c r="H51" s="49" t="s">
        <v>59</v>
      </c>
      <c r="I51" s="49" t="s">
        <v>69</v>
      </c>
      <c r="J51" s="49" t="s">
        <v>70</v>
      </c>
      <c r="K51" s="49" t="s">
        <v>54</v>
      </c>
      <c r="L51" s="49" t="s">
        <v>60</v>
      </c>
      <c r="M51" s="49" t="s">
        <v>60</v>
      </c>
      <c r="N51" s="49" t="s">
        <v>66</v>
      </c>
      <c r="O51" s="49" t="s">
        <v>56</v>
      </c>
    </row>
    <row r="52" spans="2:15" ht="29.1" customHeight="1">
      <c r="B52" s="50"/>
      <c r="C52" s="114"/>
      <c r="D52" s="49" t="s">
        <v>59</v>
      </c>
      <c r="E52" s="49"/>
      <c r="F52" s="49" t="s">
        <v>66</v>
      </c>
      <c r="G52" s="28" t="s">
        <v>71</v>
      </c>
      <c r="H52" s="49" t="s">
        <v>55</v>
      </c>
      <c r="I52" s="49" t="s">
        <v>64</v>
      </c>
      <c r="J52" s="49" t="s">
        <v>62</v>
      </c>
      <c r="K52" s="49" t="s">
        <v>61</v>
      </c>
      <c r="L52" s="49" t="s">
        <v>61</v>
      </c>
      <c r="M52" s="49" t="s">
        <v>65</v>
      </c>
      <c r="N52" s="49" t="s">
        <v>59</v>
      </c>
      <c r="O52" s="49" t="s">
        <v>57</v>
      </c>
    </row>
    <row r="53" spans="2:15" ht="43.5" customHeight="1">
      <c r="B53" s="50"/>
      <c r="C53" s="114"/>
      <c r="D53" s="49" t="s">
        <v>56</v>
      </c>
      <c r="E53" s="49"/>
      <c r="F53" s="49" t="s">
        <v>72</v>
      </c>
      <c r="G53" s="28" t="s">
        <v>58</v>
      </c>
      <c r="H53" s="49"/>
      <c r="I53" s="49" t="s">
        <v>54</v>
      </c>
      <c r="J53" s="49" t="s">
        <v>58</v>
      </c>
      <c r="K53" s="49" t="s">
        <v>56</v>
      </c>
      <c r="L53" s="49" t="s">
        <v>63</v>
      </c>
      <c r="M53" s="49" t="s">
        <v>65</v>
      </c>
      <c r="N53" s="49" t="s">
        <v>65</v>
      </c>
      <c r="O53" s="49" t="s">
        <v>56</v>
      </c>
    </row>
    <row r="54" spans="2:15" ht="29.1" customHeight="1">
      <c r="B54" s="50"/>
      <c r="C54" s="114"/>
      <c r="D54" s="49" t="s">
        <v>57</v>
      </c>
      <c r="E54" s="49"/>
      <c r="F54" s="49" t="s">
        <v>58</v>
      </c>
      <c r="G54" s="28"/>
      <c r="H54" s="49"/>
      <c r="I54" s="49" t="s">
        <v>60</v>
      </c>
      <c r="J54" s="49" t="s">
        <v>62</v>
      </c>
      <c r="K54" s="49" t="s">
        <v>64</v>
      </c>
      <c r="L54" s="49" t="s">
        <v>55</v>
      </c>
      <c r="M54" s="49" t="s">
        <v>65</v>
      </c>
      <c r="N54" s="49"/>
      <c r="O54" s="49"/>
    </row>
    <row r="55" spans="2:15" ht="29.1" customHeight="1">
      <c r="B55" s="50"/>
      <c r="C55" s="115"/>
      <c r="D55" s="49"/>
      <c r="E55" s="49"/>
      <c r="F55" s="49" t="s">
        <v>54</v>
      </c>
      <c r="G55" s="28"/>
      <c r="H55" s="49"/>
      <c r="I55" s="49"/>
      <c r="J55" s="49" t="s">
        <v>65</v>
      </c>
      <c r="K55" s="49"/>
      <c r="L55" s="49" t="s">
        <v>54</v>
      </c>
      <c r="M55" s="49"/>
      <c r="N55" s="49"/>
      <c r="O55" s="49"/>
    </row>
    <row r="56" spans="2:15" ht="29.1" customHeight="1">
      <c r="B56" s="50"/>
      <c r="C56" s="104" t="s">
        <v>2</v>
      </c>
      <c r="D56" s="70" t="s">
        <v>64</v>
      </c>
      <c r="E56" s="70" t="s">
        <v>64</v>
      </c>
      <c r="F56" s="70" t="s">
        <v>58</v>
      </c>
      <c r="G56" s="29" t="s">
        <v>65</v>
      </c>
      <c r="H56" s="70" t="s">
        <v>66</v>
      </c>
      <c r="I56" s="55" t="s">
        <v>64</v>
      </c>
      <c r="J56" s="55" t="s">
        <v>56</v>
      </c>
      <c r="K56" s="55" t="s">
        <v>58</v>
      </c>
      <c r="L56" s="70" t="s">
        <v>57</v>
      </c>
      <c r="M56" s="55" t="s">
        <v>55</v>
      </c>
      <c r="N56" s="55" t="s">
        <v>61</v>
      </c>
      <c r="O56" s="55" t="s">
        <v>64</v>
      </c>
    </row>
    <row r="57" spans="2:15">
      <c r="B57" s="50"/>
      <c r="C57" s="114"/>
      <c r="D57" s="70" t="s">
        <v>66</v>
      </c>
      <c r="E57" s="70" t="s">
        <v>57</v>
      </c>
      <c r="F57" s="70" t="s">
        <v>60</v>
      </c>
      <c r="G57" s="29" t="s">
        <v>64</v>
      </c>
      <c r="H57" s="70" t="s">
        <v>59</v>
      </c>
      <c r="I57" s="55" t="s">
        <v>63</v>
      </c>
      <c r="J57" s="55" t="s">
        <v>59</v>
      </c>
      <c r="K57" s="55" t="s">
        <v>66</v>
      </c>
      <c r="L57" s="70" t="s">
        <v>60</v>
      </c>
      <c r="M57" s="55" t="s">
        <v>64</v>
      </c>
      <c r="N57" s="55" t="s">
        <v>63</v>
      </c>
      <c r="O57" s="55" t="s">
        <v>63</v>
      </c>
    </row>
    <row r="58" spans="2:15">
      <c r="B58" s="50"/>
      <c r="C58" s="114"/>
      <c r="D58" s="70" t="s">
        <v>57</v>
      </c>
      <c r="E58" s="70" t="s">
        <v>73</v>
      </c>
      <c r="F58" s="70" t="s">
        <v>66</v>
      </c>
      <c r="G58" s="29" t="s">
        <v>73</v>
      </c>
      <c r="H58" s="70" t="s">
        <v>61</v>
      </c>
      <c r="I58" s="55" t="s">
        <v>70</v>
      </c>
      <c r="J58" s="55" t="s">
        <v>74</v>
      </c>
      <c r="K58" s="55" t="s">
        <v>58</v>
      </c>
      <c r="L58" s="70" t="s">
        <v>58</v>
      </c>
      <c r="M58" s="55" t="s">
        <v>63</v>
      </c>
      <c r="N58" s="70" t="s">
        <v>75</v>
      </c>
      <c r="O58" s="55" t="s">
        <v>57</v>
      </c>
    </row>
    <row r="59" spans="2:15" ht="29.1" customHeight="1">
      <c r="B59" s="50"/>
      <c r="C59" s="114"/>
      <c r="D59" s="70"/>
      <c r="E59" s="70" t="s">
        <v>76</v>
      </c>
      <c r="F59" s="70" t="s">
        <v>77</v>
      </c>
      <c r="G59" s="29" t="s">
        <v>75</v>
      </c>
      <c r="H59" s="29"/>
      <c r="I59" s="55" t="s">
        <v>64</v>
      </c>
      <c r="J59" s="55" t="s">
        <v>65</v>
      </c>
      <c r="K59" s="55" t="s">
        <v>65</v>
      </c>
      <c r="L59" s="29" t="s">
        <v>62</v>
      </c>
      <c r="M59" s="55" t="s">
        <v>78</v>
      </c>
      <c r="N59" s="55"/>
      <c r="O59" s="70" t="s">
        <v>75</v>
      </c>
    </row>
    <row r="60" spans="2:15" ht="43.5" customHeight="1">
      <c r="B60" s="50"/>
      <c r="C60" s="114"/>
      <c r="D60" s="29"/>
      <c r="E60" s="70" t="s">
        <v>54</v>
      </c>
      <c r="F60" s="29"/>
      <c r="G60" s="29"/>
      <c r="H60" s="29"/>
      <c r="I60" s="55" t="s">
        <v>63</v>
      </c>
      <c r="J60" s="55" t="s">
        <v>59</v>
      </c>
      <c r="K60" s="55"/>
      <c r="L60" s="29"/>
      <c r="M60" s="29"/>
      <c r="N60" s="29"/>
      <c r="O60" s="29"/>
    </row>
    <row r="61" spans="2:15" ht="29.1" customHeight="1">
      <c r="B61" s="50"/>
      <c r="C61" s="114"/>
      <c r="D61" s="29"/>
      <c r="E61" s="29"/>
      <c r="F61" s="29"/>
      <c r="G61" s="29"/>
      <c r="H61" s="29"/>
      <c r="I61" s="55" t="s">
        <v>63</v>
      </c>
      <c r="J61" s="55" t="s">
        <v>63</v>
      </c>
      <c r="K61" s="55"/>
      <c r="L61" s="29"/>
      <c r="M61" s="29"/>
      <c r="N61" s="29"/>
      <c r="O61" s="29"/>
    </row>
    <row r="62" spans="2:15">
      <c r="B62" s="50"/>
      <c r="C62" s="114"/>
      <c r="D62" s="29"/>
      <c r="E62" s="29"/>
      <c r="F62" s="29"/>
      <c r="G62" s="29"/>
      <c r="H62" s="29"/>
      <c r="I62" s="55" t="s">
        <v>79</v>
      </c>
      <c r="J62" s="55"/>
      <c r="K62" s="29"/>
      <c r="L62" s="29"/>
      <c r="M62" s="29"/>
      <c r="N62" s="29"/>
      <c r="O62" s="29"/>
    </row>
    <row r="63" spans="2:15">
      <c r="B63" s="50"/>
      <c r="C63" s="114"/>
      <c r="D63" s="55"/>
      <c r="E63" s="29"/>
      <c r="F63" s="29"/>
      <c r="G63" s="29"/>
      <c r="H63" s="29"/>
      <c r="I63" s="55" t="s">
        <v>63</v>
      </c>
      <c r="J63" s="55"/>
      <c r="K63" s="29"/>
      <c r="L63" s="29"/>
      <c r="M63" s="29"/>
      <c r="N63" s="29"/>
      <c r="O63" s="29"/>
    </row>
    <row r="64" spans="2:15">
      <c r="B64" s="50"/>
      <c r="C64" s="69"/>
      <c r="D64" s="55"/>
      <c r="E64" s="29"/>
      <c r="F64" s="29"/>
      <c r="G64" s="29"/>
      <c r="H64" s="29"/>
      <c r="I64" s="55" t="s">
        <v>59</v>
      </c>
      <c r="J64" s="55"/>
      <c r="K64" s="29"/>
      <c r="L64" s="29"/>
      <c r="M64" s="29"/>
      <c r="N64" s="29"/>
      <c r="O64" s="29"/>
    </row>
    <row r="65" spans="2:15">
      <c r="B65" s="50"/>
      <c r="C65" s="102" t="s">
        <v>4</v>
      </c>
      <c r="D65" s="60"/>
      <c r="E65" s="60" t="s">
        <v>59</v>
      </c>
      <c r="F65" s="60" t="s">
        <v>61</v>
      </c>
      <c r="G65" s="61"/>
      <c r="H65" s="61"/>
      <c r="I65" s="62" t="s">
        <v>54</v>
      </c>
      <c r="J65" s="62" t="s">
        <v>70</v>
      </c>
      <c r="K65" s="62" t="s">
        <v>54</v>
      </c>
      <c r="L65" s="62" t="s">
        <v>56</v>
      </c>
      <c r="M65" s="62" t="s">
        <v>64</v>
      </c>
      <c r="N65" s="62"/>
      <c r="O65" s="62"/>
    </row>
    <row r="66" spans="2:15">
      <c r="B66" s="50"/>
      <c r="C66" s="114"/>
      <c r="D66" s="61"/>
      <c r="E66" s="61"/>
      <c r="F66" s="62" t="s">
        <v>57</v>
      </c>
      <c r="G66" s="61"/>
      <c r="H66" s="61" t="s">
        <v>55</v>
      </c>
      <c r="I66" s="60" t="s">
        <v>60</v>
      </c>
      <c r="J66" s="62" t="s">
        <v>60</v>
      </c>
      <c r="K66" s="62" t="s">
        <v>57</v>
      </c>
      <c r="L66" s="62" t="s">
        <v>59</v>
      </c>
      <c r="M66" s="62" t="s">
        <v>58</v>
      </c>
      <c r="N66" s="62" t="s">
        <v>58</v>
      </c>
      <c r="O66" s="62"/>
    </row>
    <row r="67" spans="2:15" ht="29.1" customHeight="1">
      <c r="B67" s="50"/>
      <c r="C67" s="114"/>
      <c r="D67" s="61"/>
      <c r="E67" s="61"/>
      <c r="F67" s="62" t="s">
        <v>58</v>
      </c>
      <c r="G67" s="61"/>
      <c r="H67" s="61" t="s">
        <v>64</v>
      </c>
      <c r="I67" s="62" t="s">
        <v>69</v>
      </c>
      <c r="J67" s="62" t="s">
        <v>63</v>
      </c>
      <c r="K67" s="62" t="s">
        <v>65</v>
      </c>
      <c r="L67" s="62" t="s">
        <v>58</v>
      </c>
      <c r="M67" s="60" t="s">
        <v>62</v>
      </c>
      <c r="N67" s="62"/>
      <c r="O67" s="62" t="s">
        <v>66</v>
      </c>
    </row>
    <row r="68" spans="2:15" ht="29.1" customHeight="1">
      <c r="B68" s="50"/>
      <c r="C68" s="114"/>
      <c r="D68" s="61"/>
      <c r="E68" s="61"/>
      <c r="F68" s="62" t="s">
        <v>72</v>
      </c>
      <c r="G68" s="61"/>
      <c r="H68" s="61"/>
      <c r="I68" s="60" t="s">
        <v>55</v>
      </c>
      <c r="J68" s="62" t="s">
        <v>61</v>
      </c>
      <c r="K68" s="62"/>
      <c r="L68" s="62"/>
      <c r="M68" s="62"/>
      <c r="N68" s="62"/>
      <c r="O68" s="62"/>
    </row>
    <row r="69" spans="2:15">
      <c r="B69" s="50"/>
      <c r="C69" s="114"/>
      <c r="D69" s="61"/>
      <c r="E69" s="61"/>
      <c r="F69" s="62"/>
      <c r="G69" s="61"/>
      <c r="H69" s="61"/>
      <c r="I69" s="60" t="s">
        <v>80</v>
      </c>
      <c r="J69" s="62"/>
      <c r="K69" s="62"/>
      <c r="L69" s="62"/>
      <c r="M69" s="62"/>
      <c r="N69" s="62"/>
      <c r="O69" s="62"/>
    </row>
    <row r="70" spans="2:15" ht="29.1" customHeight="1">
      <c r="B70" s="50"/>
      <c r="C70" s="114"/>
      <c r="D70" s="61"/>
      <c r="E70" s="61"/>
      <c r="F70" s="61"/>
      <c r="G70" s="61"/>
      <c r="H70" s="61"/>
      <c r="I70" s="59" t="s">
        <v>57</v>
      </c>
      <c r="J70" s="62" t="s">
        <v>65</v>
      </c>
      <c r="K70" s="62"/>
      <c r="L70" s="59" t="s">
        <v>57</v>
      </c>
      <c r="M70" s="62"/>
      <c r="N70" s="62"/>
      <c r="O70" s="62"/>
    </row>
    <row r="71" spans="2:15">
      <c r="B71" s="50"/>
      <c r="C71" s="115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</row>
    <row r="72" spans="2:15" ht="49.5" customHeight="1">
      <c r="B72" s="50"/>
      <c r="C72" s="56" t="s">
        <v>5</v>
      </c>
      <c r="D72" s="56" t="s">
        <v>57</v>
      </c>
      <c r="E72" s="56" t="s">
        <v>65</v>
      </c>
      <c r="F72" s="56" t="s">
        <v>61</v>
      </c>
      <c r="G72" s="45" t="s">
        <v>62</v>
      </c>
      <c r="H72" s="45" t="s">
        <v>55</v>
      </c>
      <c r="I72" s="32"/>
      <c r="J72" s="32"/>
      <c r="K72" s="32"/>
      <c r="L72" s="32"/>
      <c r="M72" s="32"/>
      <c r="N72" s="32"/>
      <c r="O72" s="32"/>
    </row>
    <row r="74" spans="2:15">
      <c r="B74" s="10" t="s">
        <v>81</v>
      </c>
    </row>
    <row r="75" spans="2:15">
      <c r="C75" s="9"/>
      <c r="D75" s="85" t="s">
        <v>82</v>
      </c>
      <c r="E75" s="85" t="s">
        <v>83</v>
      </c>
      <c r="F75" s="85" t="s">
        <v>84</v>
      </c>
      <c r="G75" s="85" t="s">
        <v>85</v>
      </c>
      <c r="H75" s="85" t="s">
        <v>86</v>
      </c>
      <c r="I75" s="85" t="s">
        <v>87</v>
      </c>
      <c r="J75" s="85" t="s">
        <v>88</v>
      </c>
      <c r="K75" s="85" t="s">
        <v>89</v>
      </c>
    </row>
    <row r="76" spans="2:15" ht="72" customHeight="1">
      <c r="C76" s="31" t="s">
        <v>54</v>
      </c>
      <c r="D76" s="31">
        <v>482</v>
      </c>
      <c r="E76" s="45" t="s">
        <v>62</v>
      </c>
      <c r="F76" s="45" t="s">
        <v>90</v>
      </c>
      <c r="G76" s="80" t="s">
        <v>65</v>
      </c>
      <c r="H76" s="43" t="s">
        <v>60</v>
      </c>
      <c r="I76" s="43" t="s">
        <v>40</v>
      </c>
      <c r="J76" s="43" t="s">
        <v>91</v>
      </c>
      <c r="K76" s="43" t="s">
        <v>62</v>
      </c>
    </row>
    <row r="77" spans="2:15" ht="131.25" customHeight="1">
      <c r="C77" s="30" t="s">
        <v>92</v>
      </c>
      <c r="D77" s="33" t="s">
        <v>93</v>
      </c>
      <c r="E77" s="42" t="s">
        <v>58</v>
      </c>
      <c r="F77" s="45" t="s">
        <v>40</v>
      </c>
      <c r="G77" s="32" t="s">
        <v>90</v>
      </c>
      <c r="H77" s="43" t="s">
        <v>55</v>
      </c>
      <c r="I77" s="44"/>
      <c r="J77" s="44" t="s">
        <v>64</v>
      </c>
      <c r="K77" s="43" t="s">
        <v>65</v>
      </c>
    </row>
    <row r="78" spans="2:15" s="57" customFormat="1" ht="43.5" customHeight="1">
      <c r="C78" s="28" t="s">
        <v>3</v>
      </c>
      <c r="D78" s="28">
        <v>417</v>
      </c>
      <c r="E78" s="58" t="s">
        <v>61</v>
      </c>
      <c r="F78" s="49" t="s">
        <v>54</v>
      </c>
      <c r="G78" s="28" t="s">
        <v>56</v>
      </c>
      <c r="H78" s="49" t="s">
        <v>60</v>
      </c>
      <c r="I78" s="49" t="s">
        <v>94</v>
      </c>
      <c r="J78" s="49" t="s">
        <v>95</v>
      </c>
      <c r="K78" s="49" t="s">
        <v>57</v>
      </c>
    </row>
    <row r="79" spans="2:15" ht="57.95" customHeight="1">
      <c r="C79" s="34" t="s">
        <v>2</v>
      </c>
      <c r="D79" s="34">
        <v>229</v>
      </c>
      <c r="E79" s="34">
        <v>218</v>
      </c>
      <c r="F79" s="71" t="s">
        <v>54</v>
      </c>
      <c r="G79" s="86" t="s">
        <v>59</v>
      </c>
      <c r="H79" s="34" t="s">
        <v>63</v>
      </c>
      <c r="I79" s="74" t="s">
        <v>96</v>
      </c>
      <c r="J79" s="76" t="s">
        <v>97</v>
      </c>
      <c r="K79" s="76" t="s">
        <v>60</v>
      </c>
    </row>
    <row r="80" spans="2:15" ht="29.1" customHeight="1">
      <c r="C80" s="24" t="s">
        <v>4</v>
      </c>
      <c r="D80" s="24">
        <v>426</v>
      </c>
      <c r="E80" s="87" t="s">
        <v>60</v>
      </c>
      <c r="F80" s="24"/>
      <c r="G80" s="87" t="s">
        <v>61</v>
      </c>
      <c r="H80" s="87" t="s">
        <v>66</v>
      </c>
      <c r="I80" s="75" t="s">
        <v>98</v>
      </c>
      <c r="J80" s="87" t="s">
        <v>99</v>
      </c>
      <c r="K80" s="24"/>
    </row>
    <row r="81" spans="2:11" ht="36.75" customHeight="1">
      <c r="C81" s="30" t="s">
        <v>5</v>
      </c>
      <c r="D81" s="30">
        <v>21</v>
      </c>
      <c r="E81" s="42" t="s">
        <v>57</v>
      </c>
      <c r="F81" s="30"/>
      <c r="G81" s="30"/>
      <c r="H81" s="30"/>
      <c r="I81" s="30"/>
      <c r="J81" s="30"/>
      <c r="K81" s="30"/>
    </row>
    <row r="83" spans="2:11">
      <c r="B83" s="10" t="s">
        <v>100</v>
      </c>
    </row>
    <row r="84" spans="2:11">
      <c r="C84" s="4"/>
      <c r="D84" s="4" t="s">
        <v>101</v>
      </c>
    </row>
    <row r="85" spans="2:11">
      <c r="C85" s="4" t="s">
        <v>1</v>
      </c>
      <c r="D85" s="4" t="s">
        <v>102</v>
      </c>
    </row>
    <row r="86" spans="2:11">
      <c r="C86" s="4" t="s">
        <v>3</v>
      </c>
      <c r="D86" s="4" t="s">
        <v>102</v>
      </c>
    </row>
    <row r="87" spans="2:11">
      <c r="C87" s="4" t="s">
        <v>2</v>
      </c>
      <c r="D87" s="4" t="s">
        <v>102</v>
      </c>
    </row>
    <row r="88" spans="2:11">
      <c r="C88" s="4" t="s">
        <v>4</v>
      </c>
      <c r="D88" s="4" t="s">
        <v>102</v>
      </c>
    </row>
    <row r="89" spans="2:11">
      <c r="C89" s="4" t="s">
        <v>5</v>
      </c>
      <c r="D89" s="4" t="s">
        <v>102</v>
      </c>
    </row>
    <row r="91" spans="2:11">
      <c r="B91" s="10" t="s">
        <v>103</v>
      </c>
    </row>
    <row r="92" spans="2:11">
      <c r="C92" s="4"/>
      <c r="D92" s="35" t="s">
        <v>104</v>
      </c>
      <c r="E92" s="35" t="s">
        <v>105</v>
      </c>
      <c r="F92" s="35" t="s">
        <v>106</v>
      </c>
    </row>
    <row r="93" spans="2:11">
      <c r="C93" s="36" t="s">
        <v>1</v>
      </c>
      <c r="D93" s="37">
        <v>2.4E-2</v>
      </c>
      <c r="E93" s="6" t="s">
        <v>107</v>
      </c>
      <c r="F93" s="6" t="s">
        <v>107</v>
      </c>
    </row>
    <row r="94" spans="2:11">
      <c r="C94" s="36" t="s">
        <v>3</v>
      </c>
      <c r="D94" s="37">
        <v>4.2000000000000003E-2</v>
      </c>
      <c r="E94" s="6" t="s">
        <v>107</v>
      </c>
      <c r="F94" s="6" t="s">
        <v>107</v>
      </c>
    </row>
    <row r="95" spans="2:11">
      <c r="C95" s="36" t="s">
        <v>2</v>
      </c>
      <c r="D95" s="37">
        <v>3.7999999999999999E-2</v>
      </c>
      <c r="E95" s="6" t="s">
        <v>107</v>
      </c>
      <c r="F95" s="6" t="s">
        <v>107</v>
      </c>
    </row>
    <row r="96" spans="2:11">
      <c r="C96" s="36" t="s">
        <v>4</v>
      </c>
      <c r="D96" s="37">
        <v>6.9000000000000006E-2</v>
      </c>
      <c r="E96" s="6" t="s">
        <v>107</v>
      </c>
      <c r="F96" s="6" t="s">
        <v>107</v>
      </c>
    </row>
    <row r="97" spans="2:8">
      <c r="C97" s="36" t="s">
        <v>5</v>
      </c>
      <c r="D97" s="37">
        <v>3.5999999999999997E-2</v>
      </c>
      <c r="E97" s="6" t="s">
        <v>107</v>
      </c>
      <c r="F97" s="6" t="s">
        <v>107</v>
      </c>
    </row>
    <row r="99" spans="2:8">
      <c r="B99" s="10" t="s">
        <v>108</v>
      </c>
    </row>
    <row r="100" spans="2:8">
      <c r="C100" s="4"/>
      <c r="D100" s="35" t="s">
        <v>1</v>
      </c>
      <c r="E100" s="35" t="s">
        <v>3</v>
      </c>
      <c r="F100" s="35" t="s">
        <v>2</v>
      </c>
      <c r="G100" s="35" t="s">
        <v>4</v>
      </c>
      <c r="H100" s="35" t="s">
        <v>5</v>
      </c>
    </row>
    <row r="101" spans="2:8">
      <c r="C101" s="38" t="s">
        <v>109</v>
      </c>
      <c r="D101" s="4" t="s">
        <v>110</v>
      </c>
      <c r="E101" s="4" t="s">
        <v>110</v>
      </c>
      <c r="F101" s="4" t="s">
        <v>110</v>
      </c>
      <c r="G101" s="4" t="s">
        <v>110</v>
      </c>
      <c r="H101" s="4" t="s">
        <v>110</v>
      </c>
    </row>
    <row r="102" spans="2:8">
      <c r="C102" s="38" t="s">
        <v>111</v>
      </c>
      <c r="D102" s="4" t="s">
        <v>110</v>
      </c>
      <c r="E102" s="4" t="s">
        <v>110</v>
      </c>
      <c r="F102" s="4" t="s">
        <v>110</v>
      </c>
      <c r="G102" s="4" t="s">
        <v>110</v>
      </c>
      <c r="H102" s="4" t="s">
        <v>110</v>
      </c>
    </row>
    <row r="103" spans="2:8">
      <c r="C103" s="39" t="s">
        <v>112</v>
      </c>
      <c r="D103" s="4" t="s">
        <v>110</v>
      </c>
      <c r="E103" s="4" t="s">
        <v>110</v>
      </c>
      <c r="F103" s="4" t="s">
        <v>110</v>
      </c>
      <c r="G103" s="4" t="s">
        <v>110</v>
      </c>
      <c r="H103" s="4" t="s">
        <v>110</v>
      </c>
    </row>
    <row r="104" spans="2:8">
      <c r="C104" s="39" t="s">
        <v>113</v>
      </c>
      <c r="D104" s="4"/>
      <c r="E104" s="4"/>
      <c r="F104" s="4"/>
      <c r="G104" s="4"/>
      <c r="H104" s="4"/>
    </row>
    <row r="105" spans="2:8">
      <c r="C105" s="39" t="s">
        <v>114</v>
      </c>
      <c r="D105" s="4"/>
      <c r="E105" s="4"/>
      <c r="F105" s="4"/>
      <c r="G105" s="4"/>
      <c r="H105" s="4"/>
    </row>
    <row r="106" spans="2:8">
      <c r="C106" s="39" t="s">
        <v>115</v>
      </c>
      <c r="D106" s="4"/>
      <c r="E106" s="4"/>
      <c r="F106" s="4"/>
      <c r="G106" s="4"/>
      <c r="H106" s="4"/>
    </row>
    <row r="107" spans="2:8">
      <c r="C107" s="39" t="s">
        <v>116</v>
      </c>
      <c r="D107" s="4"/>
      <c r="E107" s="4"/>
      <c r="F107" s="4"/>
      <c r="G107" s="4"/>
      <c r="H107" s="4"/>
    </row>
    <row r="112" spans="2:8">
      <c r="C112" s="10" t="s">
        <v>117</v>
      </c>
    </row>
    <row r="113" spans="2:5">
      <c r="B113" s="98" t="s">
        <v>118</v>
      </c>
      <c r="C113" s="98" t="s">
        <v>119</v>
      </c>
      <c r="D113" s="99" t="s">
        <v>120</v>
      </c>
    </row>
    <row r="114" spans="2:5">
      <c r="B114" s="98"/>
      <c r="C114" s="100" t="s">
        <v>121</v>
      </c>
      <c r="D114" s="101">
        <v>6.19</v>
      </c>
    </row>
    <row r="115" spans="2:5">
      <c r="B115" s="108" t="s">
        <v>1</v>
      </c>
      <c r="C115" s="94" t="s">
        <v>122</v>
      </c>
      <c r="D115" s="4">
        <v>8.32</v>
      </c>
    </row>
    <row r="116" spans="2:5">
      <c r="B116" s="114"/>
      <c r="C116" s="94" t="s">
        <v>123</v>
      </c>
      <c r="D116" s="4">
        <v>8.64</v>
      </c>
    </row>
    <row r="117" spans="2:5">
      <c r="B117" s="114"/>
      <c r="C117" s="94" t="s">
        <v>124</v>
      </c>
      <c r="D117" s="4">
        <v>7.55</v>
      </c>
    </row>
    <row r="118" spans="2:5">
      <c r="B118" s="115"/>
      <c r="C118" s="94" t="s">
        <v>40</v>
      </c>
      <c r="D118" s="4">
        <v>8.11</v>
      </c>
    </row>
    <row r="119" spans="2:5">
      <c r="B119" s="108" t="s">
        <v>3</v>
      </c>
      <c r="C119" s="96" t="s">
        <v>125</v>
      </c>
      <c r="D119" s="97">
        <v>8.4</v>
      </c>
      <c r="E119" s="95"/>
    </row>
    <row r="120" spans="2:5">
      <c r="B120" s="114"/>
      <c r="C120" s="96" t="s">
        <v>126</v>
      </c>
      <c r="D120" s="97">
        <v>7.76</v>
      </c>
      <c r="E120" s="95"/>
    </row>
    <row r="121" spans="2:5">
      <c r="B121" s="115"/>
      <c r="C121" s="96" t="s">
        <v>127</v>
      </c>
      <c r="D121" s="97">
        <v>9</v>
      </c>
      <c r="E121" s="95"/>
    </row>
    <row r="122" spans="2:5">
      <c r="B122" s="6" t="s">
        <v>2</v>
      </c>
      <c r="C122" s="96" t="s">
        <v>128</v>
      </c>
      <c r="D122" s="4">
        <v>8.5399999999999991</v>
      </c>
      <c r="E122" s="95"/>
    </row>
    <row r="123" spans="2:5">
      <c r="B123" s="108" t="s">
        <v>4</v>
      </c>
      <c r="C123" s="96" t="s">
        <v>129</v>
      </c>
      <c r="D123" s="97">
        <v>6.27</v>
      </c>
      <c r="E123" s="95"/>
    </row>
    <row r="124" spans="2:5">
      <c r="B124" s="114"/>
      <c r="C124" s="96" t="s">
        <v>130</v>
      </c>
      <c r="D124" s="97">
        <v>7.35</v>
      </c>
      <c r="E124" s="95"/>
    </row>
    <row r="125" spans="2:5">
      <c r="B125" s="114"/>
      <c r="C125" s="96" t="s">
        <v>40</v>
      </c>
      <c r="D125" s="97">
        <v>8.31</v>
      </c>
      <c r="E125" s="95"/>
    </row>
    <row r="126" spans="2:5" ht="29.1" customHeight="1">
      <c r="B126" s="114"/>
      <c r="C126" s="96" t="s">
        <v>131</v>
      </c>
      <c r="D126" s="4">
        <v>6.61</v>
      </c>
      <c r="E126" s="8" t="s">
        <v>132</v>
      </c>
    </row>
    <row r="127" spans="2:5">
      <c r="B127" s="114"/>
      <c r="C127" s="96" t="s">
        <v>22</v>
      </c>
      <c r="D127" s="4" t="s">
        <v>133</v>
      </c>
    </row>
    <row r="128" spans="2:5">
      <c r="B128" s="114"/>
      <c r="C128" s="96" t="s">
        <v>134</v>
      </c>
      <c r="D128" s="4" t="s">
        <v>133</v>
      </c>
    </row>
    <row r="129" spans="2:4">
      <c r="B129" s="115"/>
      <c r="C129" s="96" t="s">
        <v>135</v>
      </c>
      <c r="D129" s="4" t="s">
        <v>133</v>
      </c>
    </row>
    <row r="131" spans="2:4">
      <c r="C131" s="11" t="s">
        <v>20</v>
      </c>
    </row>
  </sheetData>
  <mergeCells count="13">
    <mergeCell ref="P18:R18"/>
    <mergeCell ref="B115:B118"/>
    <mergeCell ref="G18:I18"/>
    <mergeCell ref="B123:B129"/>
    <mergeCell ref="C44:C50"/>
    <mergeCell ref="B119:B121"/>
    <mergeCell ref="C65:C71"/>
    <mergeCell ref="J18:L18"/>
    <mergeCell ref="M18:O18"/>
    <mergeCell ref="C56:C63"/>
    <mergeCell ref="C51:C55"/>
    <mergeCell ref="D18:F18"/>
    <mergeCell ref="C37:C43"/>
  </mergeCells>
  <pageMargins left="0.7" right="0.7" top="0.75" bottom="0.75" header="0.3" footer="0.3"/>
  <headerFooter>
    <oddFooter>&amp;C&amp;"Calibri"&amp;8 &amp;K000000_x000D_#  ArcelorMittal proprietary information – all rights reserved for all countries.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Agarwal, Chanchal - AM/NS India - HR (MUM)</dc:creator>
  <cp:keywords/>
  <dc:description/>
  <cp:lastModifiedBy/>
  <cp:revision/>
  <dcterms:created xsi:type="dcterms:W3CDTF">2026-06-15T06:47:33Z</dcterms:created>
  <dcterms:modified xsi:type="dcterms:W3CDTF">2026-06-25T08:36:11Z</dcterms:modified>
  <cp:category/>
  <cp:contentStatus/>
</cp:coreProperties>
</file>