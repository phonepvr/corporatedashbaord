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D:\working\waccache\MA1PEPF0000A261\EXCELCNV\b9f5029a-bb98-4d9e-b482-e39e118e6849\"/>
    </mc:Choice>
  </mc:AlternateContent>
  <xr:revisionPtr revIDLastSave="0" documentId="8_{CCC0E699-8296-46AC-ACDD-C401B7D4145A}" xr6:coauthVersionLast="47" xr6:coauthVersionMax="47" xr10:uidLastSave="{00000000-0000-0000-0000-000000000000}"/>
  <bookViews>
    <workbookView xWindow="-60" yWindow="-60" windowWidth="15480" windowHeight="11640" tabRatio="601" firstSheet="4" activeTab="4" xr2:uid="{00000000-000D-0000-FFFF-FFFF00000000}"/>
  </bookViews>
  <sheets>
    <sheet name="Sheet2" sheetId="1" state="hidden" r:id="rId1"/>
    <sheet name="Sheet3" sheetId="2" state="hidden" r:id="rId2"/>
    <sheet name="Sheet1" sheetId="3" state="hidden" r:id="rId3"/>
    <sheet name="Sheet4" sheetId="4" state="hidden" r:id="rId4"/>
    <sheet name="HRBP wise Summary" sheetId="5" r:id="rId5"/>
    <sheet name="Overall Summary" sheetId="6" r:id="rId6"/>
    <sheet name="Recruitment Tracker " sheetId="7" r:id="rId7"/>
    <sheet name="Birthday Celebration" sheetId="8" state="hidden" r:id="rId8"/>
    <sheet name="Sheet5" sheetId="9" state="hidden" r:id="rId9"/>
    <sheet name="Sheet7" sheetId="10" state="hidden" r:id="rId10"/>
    <sheet name="Finance" sheetId="11" state="hidden" r:id="rId11"/>
    <sheet name="Recruitment tracker Finance" sheetId="12" state="hidden" r:id="rId12"/>
    <sheet name="Function wise" sheetId="13" state="hidden" r:id="rId13"/>
  </sheets>
  <definedNames>
    <definedName name="l_entity">#REF!</definedName>
    <definedName name="l_function_plant">#REF!</definedName>
    <definedName name="l_functions">#REF!</definedName>
    <definedName name="l_leaderrole">#REF!</definedName>
    <definedName name="l_levels">#REF!</definedName>
    <definedName name="l_locations">#REF!</definedName>
  </definedNames>
  <calcPr calcId="191028" forceFullCalc="1"/>
  <pivotCaches>
    <pivotCache cacheId="133" r:id="rId14"/>
    <pivotCache cacheId="134" r:id="rId15"/>
    <pivotCache cacheId="135" r:id="rId16"/>
    <pivotCache cacheId="136" r:id="rId17"/>
    <pivotCache cacheId="137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6" i="13" l="1"/>
  <c r="B883" i="13"/>
  <c r="A876" i="13"/>
  <c r="A835" i="13"/>
  <c r="A795" i="13"/>
  <c r="A723" i="13"/>
  <c r="A712" i="13"/>
  <c r="A710" i="13"/>
  <c r="B702" i="13"/>
  <c r="B698" i="13"/>
  <c r="B697" i="13"/>
  <c r="A694" i="13"/>
  <c r="B685" i="13"/>
  <c r="A612" i="13"/>
  <c r="B593" i="13"/>
  <c r="A560" i="13"/>
  <c r="B430" i="13"/>
  <c r="B415" i="13"/>
  <c r="B411" i="13"/>
  <c r="B409" i="13"/>
  <c r="B400" i="13"/>
  <c r="B387" i="13"/>
  <c r="B374" i="13"/>
  <c r="B372" i="13"/>
  <c r="B369" i="13"/>
  <c r="B355" i="13"/>
  <c r="B352" i="13"/>
  <c r="B349" i="13"/>
  <c r="B343" i="13"/>
  <c r="B327" i="13"/>
  <c r="A307" i="13"/>
  <c r="B302" i="13"/>
  <c r="B301" i="13"/>
  <c r="A300" i="13"/>
  <c r="B277" i="13"/>
  <c r="B269" i="13"/>
  <c r="B240" i="13"/>
  <c r="B224" i="13"/>
  <c r="B198" i="13"/>
  <c r="B197" i="13"/>
  <c r="B194" i="13"/>
  <c r="B179" i="13"/>
  <c r="B167" i="13"/>
  <c r="B144" i="13"/>
  <c r="B140" i="13"/>
  <c r="A139" i="13"/>
  <c r="A137" i="13"/>
  <c r="A136" i="13"/>
  <c r="B130" i="13"/>
  <c r="B117" i="13"/>
  <c r="B116" i="13"/>
  <c r="B113" i="13"/>
  <c r="B110" i="13"/>
  <c r="A92" i="13"/>
  <c r="B85" i="13"/>
  <c r="B79" i="13"/>
  <c r="B77" i="13"/>
  <c r="A69" i="13"/>
  <c r="B68" i="13"/>
  <c r="B64" i="13"/>
  <c r="B63" i="13"/>
  <c r="B61" i="13"/>
  <c r="A55" i="13"/>
  <c r="B45" i="13"/>
  <c r="B44" i="13"/>
  <c r="B41" i="13"/>
  <c r="B39" i="13"/>
  <c r="B35" i="13"/>
  <c r="B34" i="13"/>
  <c r="B27" i="13"/>
  <c r="B26" i="13"/>
  <c r="B25" i="13"/>
  <c r="B24" i="13"/>
  <c r="B20" i="13"/>
  <c r="B19" i="13"/>
  <c r="B17" i="13"/>
  <c r="B16" i="13"/>
  <c r="B15" i="13"/>
  <c r="B13" i="13"/>
  <c r="B12" i="13"/>
  <c r="B11" i="13"/>
  <c r="B10" i="13"/>
  <c r="B9" i="13"/>
  <c r="B8" i="13"/>
  <c r="B7" i="13"/>
  <c r="B6" i="13"/>
  <c r="B5" i="13"/>
  <c r="B4" i="13"/>
  <c r="B3" i="13"/>
  <c r="B2" i="13"/>
  <c r="E37" i="11"/>
  <c r="D37" i="11"/>
  <c r="C37" i="11"/>
  <c r="F37" i="11" s="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2" i="11"/>
  <c r="S430" i="7"/>
  <c r="R430" i="7"/>
  <c r="S429" i="7"/>
  <c r="R429" i="7"/>
  <c r="S428" i="7"/>
  <c r="R428" i="7"/>
  <c r="O428" i="7"/>
  <c r="S427" i="7"/>
  <c r="R427" i="7"/>
  <c r="O427" i="7"/>
  <c r="S426" i="7"/>
  <c r="R426" i="7"/>
  <c r="O426" i="7"/>
  <c r="S425" i="7"/>
  <c r="R425" i="7"/>
  <c r="O425" i="7"/>
  <c r="S424" i="7"/>
  <c r="R424" i="7"/>
  <c r="O424" i="7"/>
  <c r="S423" i="7"/>
  <c r="R423" i="7"/>
  <c r="O423" i="7"/>
  <c r="S422" i="7"/>
  <c r="R422" i="7"/>
  <c r="O422" i="7"/>
  <c r="S421" i="7"/>
  <c r="R421" i="7"/>
  <c r="O421" i="7"/>
  <c r="S420" i="7"/>
  <c r="R420" i="7"/>
  <c r="O420" i="7"/>
  <c r="S419" i="7"/>
  <c r="R419" i="7"/>
  <c r="O419" i="7"/>
  <c r="S418" i="7"/>
  <c r="R418" i="7"/>
  <c r="O418" i="7"/>
  <c r="S417" i="7"/>
  <c r="R417" i="7"/>
  <c r="O417" i="7"/>
  <c r="S416" i="7"/>
  <c r="R416" i="7"/>
  <c r="O416" i="7"/>
  <c r="S415" i="7"/>
  <c r="R415" i="7"/>
  <c r="O415" i="7"/>
  <c r="S414" i="7"/>
  <c r="R414" i="7"/>
  <c r="O414" i="7"/>
  <c r="S413" i="7"/>
  <c r="R413" i="7"/>
  <c r="O413" i="7"/>
  <c r="S412" i="7"/>
  <c r="R412" i="7"/>
  <c r="O412" i="7"/>
  <c r="S411" i="7"/>
  <c r="R411" i="7"/>
  <c r="O411" i="7"/>
  <c r="S410" i="7"/>
  <c r="R410" i="7"/>
  <c r="O410" i="7"/>
  <c r="S409" i="7"/>
  <c r="R409" i="7"/>
  <c r="O409" i="7"/>
  <c r="S408" i="7"/>
  <c r="R408" i="7"/>
  <c r="O408" i="7"/>
  <c r="S407" i="7"/>
  <c r="R407" i="7"/>
  <c r="O407" i="7"/>
  <c r="S406" i="7"/>
  <c r="R406" i="7"/>
  <c r="O406" i="7"/>
  <c r="S405" i="7"/>
  <c r="R405" i="7"/>
  <c r="O405" i="7"/>
  <c r="S404" i="7"/>
  <c r="R404" i="7"/>
  <c r="O404" i="7"/>
  <c r="S403" i="7"/>
  <c r="R403" i="7"/>
  <c r="O403" i="7"/>
  <c r="S402" i="7"/>
  <c r="R402" i="7"/>
  <c r="O402" i="7"/>
  <c r="S401" i="7"/>
  <c r="R401" i="7"/>
  <c r="O401" i="7"/>
  <c r="S400" i="7"/>
  <c r="R400" i="7"/>
  <c r="O400" i="7"/>
  <c r="S399" i="7"/>
  <c r="R399" i="7"/>
  <c r="O399" i="7"/>
  <c r="S398" i="7"/>
  <c r="R398" i="7"/>
  <c r="O398" i="7"/>
  <c r="S397" i="7"/>
  <c r="R397" i="7"/>
  <c r="O397" i="7"/>
  <c r="S396" i="7"/>
  <c r="R396" i="7"/>
  <c r="O396" i="7"/>
  <c r="S395" i="7"/>
  <c r="R395" i="7"/>
  <c r="O395" i="7"/>
  <c r="S394" i="7"/>
  <c r="R394" i="7"/>
  <c r="O394" i="7"/>
  <c r="S393" i="7"/>
  <c r="R393" i="7"/>
  <c r="O393" i="7"/>
  <c r="S392" i="7"/>
  <c r="R392" i="7"/>
  <c r="O392" i="7"/>
  <c r="S391" i="7"/>
  <c r="R391" i="7"/>
  <c r="O391" i="7"/>
  <c r="S390" i="7"/>
  <c r="R390" i="7"/>
  <c r="O390" i="7"/>
  <c r="S389" i="7"/>
  <c r="R389" i="7"/>
  <c r="O389" i="7"/>
  <c r="S388" i="7"/>
  <c r="R388" i="7"/>
  <c r="O388" i="7"/>
  <c r="S387" i="7"/>
  <c r="R387" i="7"/>
  <c r="O387" i="7"/>
  <c r="S386" i="7"/>
  <c r="R386" i="7"/>
  <c r="O386" i="7"/>
  <c r="S385" i="7"/>
  <c r="R385" i="7"/>
  <c r="O385" i="7"/>
  <c r="S384" i="7"/>
  <c r="R384" i="7"/>
  <c r="O384" i="7"/>
  <c r="S383" i="7"/>
  <c r="R383" i="7"/>
  <c r="O383" i="7"/>
  <c r="S382" i="7"/>
  <c r="R382" i="7"/>
  <c r="O382" i="7"/>
  <c r="S381" i="7"/>
  <c r="R381" i="7"/>
  <c r="O381" i="7"/>
  <c r="S380" i="7"/>
  <c r="R380" i="7"/>
  <c r="O380" i="7"/>
  <c r="S379" i="7"/>
  <c r="R379" i="7"/>
  <c r="O379" i="7"/>
  <c r="S378" i="7"/>
  <c r="R378" i="7"/>
  <c r="O378" i="7"/>
  <c r="S377" i="7"/>
  <c r="R377" i="7"/>
  <c r="O377" i="7"/>
  <c r="S376" i="7"/>
  <c r="R376" i="7"/>
  <c r="O376" i="7"/>
  <c r="S375" i="7"/>
  <c r="R375" i="7"/>
  <c r="O375" i="7"/>
  <c r="S374" i="7"/>
  <c r="R374" i="7"/>
  <c r="O374" i="7"/>
  <c r="S373" i="7"/>
  <c r="R373" i="7"/>
  <c r="O373" i="7"/>
  <c r="S372" i="7"/>
  <c r="R372" i="7"/>
  <c r="O372" i="7"/>
  <c r="S371" i="7"/>
  <c r="R371" i="7"/>
  <c r="O371" i="7"/>
  <c r="S370" i="7"/>
  <c r="R370" i="7"/>
  <c r="O370" i="7"/>
  <c r="S369" i="7"/>
  <c r="R369" i="7"/>
  <c r="O369" i="7"/>
  <c r="S368" i="7"/>
  <c r="R368" i="7"/>
  <c r="O368" i="7"/>
  <c r="S367" i="7"/>
  <c r="R367" i="7"/>
  <c r="O367" i="7"/>
  <c r="S366" i="7"/>
  <c r="R366" i="7"/>
  <c r="O366" i="7"/>
  <c r="S365" i="7"/>
  <c r="R365" i="7"/>
  <c r="O365" i="7"/>
  <c r="S364" i="7"/>
  <c r="R364" i="7"/>
  <c r="O364" i="7"/>
  <c r="S363" i="7"/>
  <c r="R363" i="7"/>
  <c r="O363" i="7"/>
  <c r="S362" i="7"/>
  <c r="R362" i="7"/>
  <c r="O362" i="7"/>
  <c r="S361" i="7"/>
  <c r="R361" i="7"/>
  <c r="O361" i="7"/>
  <c r="S360" i="7"/>
  <c r="R360" i="7"/>
  <c r="O360" i="7"/>
  <c r="S359" i="7"/>
  <c r="R359" i="7"/>
  <c r="O359" i="7"/>
  <c r="S358" i="7"/>
  <c r="R358" i="7"/>
  <c r="O358" i="7"/>
  <c r="S357" i="7"/>
  <c r="R357" i="7"/>
  <c r="O357" i="7"/>
  <c r="S356" i="7"/>
  <c r="R356" i="7"/>
  <c r="O356" i="7"/>
  <c r="S355" i="7"/>
  <c r="R355" i="7"/>
  <c r="O355" i="7"/>
  <c r="S354" i="7"/>
  <c r="R354" i="7"/>
  <c r="O354" i="7"/>
  <c r="S353" i="7"/>
  <c r="R353" i="7"/>
  <c r="O353" i="7"/>
  <c r="S352" i="7"/>
  <c r="R352" i="7"/>
  <c r="O352" i="7"/>
  <c r="S351" i="7"/>
  <c r="R351" i="7"/>
  <c r="O351" i="7"/>
  <c r="S350" i="7"/>
  <c r="R350" i="7"/>
  <c r="O350" i="7"/>
  <c r="S349" i="7"/>
  <c r="R349" i="7"/>
  <c r="O349" i="7"/>
  <c r="S348" i="7"/>
  <c r="R348" i="7"/>
  <c r="O348" i="7"/>
  <c r="S347" i="7"/>
  <c r="R347" i="7"/>
  <c r="O347" i="7"/>
  <c r="S346" i="7"/>
  <c r="R346" i="7"/>
  <c r="O346" i="7"/>
  <c r="S345" i="7"/>
  <c r="R345" i="7"/>
  <c r="O345" i="7"/>
  <c r="S344" i="7"/>
  <c r="R344" i="7"/>
  <c r="O344" i="7"/>
  <c r="S343" i="7"/>
  <c r="R343" i="7"/>
  <c r="O343" i="7"/>
  <c r="S342" i="7"/>
  <c r="R342" i="7"/>
  <c r="O342" i="7"/>
  <c r="S341" i="7"/>
  <c r="R341" i="7"/>
  <c r="O341" i="7"/>
  <c r="S340" i="7"/>
  <c r="R340" i="7"/>
  <c r="O340" i="7"/>
  <c r="S339" i="7"/>
  <c r="R339" i="7"/>
  <c r="O339" i="7"/>
  <c r="S338" i="7"/>
  <c r="S337" i="7"/>
  <c r="S336" i="7"/>
  <c r="S335" i="7"/>
  <c r="S334" i="7"/>
  <c r="S333" i="7"/>
  <c r="S330" i="7"/>
  <c r="S314" i="7"/>
  <c r="S313" i="7"/>
  <c r="S303" i="7"/>
  <c r="S302" i="7"/>
  <c r="S301" i="7"/>
  <c r="S300" i="7"/>
  <c r="S298" i="7"/>
  <c r="S297" i="7"/>
  <c r="S295" i="7"/>
  <c r="S294" i="7"/>
  <c r="S293" i="7"/>
  <c r="S291" i="7"/>
  <c r="S290" i="7"/>
  <c r="S289" i="7"/>
  <c r="S288" i="7"/>
  <c r="S287" i="7"/>
  <c r="S286" i="7"/>
  <c r="S284" i="7"/>
  <c r="S283" i="7"/>
  <c r="S282" i="7"/>
  <c r="S281" i="7"/>
  <c r="S280" i="7"/>
  <c r="S279" i="7"/>
  <c r="S277" i="7"/>
  <c r="S276" i="7"/>
  <c r="S275" i="7"/>
  <c r="S274" i="7"/>
  <c r="S273" i="7"/>
  <c r="S272" i="7"/>
  <c r="S270" i="7"/>
  <c r="S268" i="7"/>
  <c r="S267" i="7"/>
  <c r="S266" i="7"/>
  <c r="S264" i="7"/>
  <c r="S260" i="7"/>
  <c r="S259" i="7"/>
  <c r="S258" i="7"/>
  <c r="S257" i="7"/>
  <c r="S255" i="7"/>
  <c r="S253" i="7"/>
  <c r="S251" i="7"/>
  <c r="S250" i="7"/>
  <c r="S249" i="7"/>
  <c r="S246" i="7"/>
  <c r="S244" i="7"/>
  <c r="S238" i="7"/>
  <c r="S237" i="7"/>
  <c r="S235" i="7"/>
  <c r="S234" i="7"/>
  <c r="S233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E9" i="4"/>
  <c r="H3" i="2"/>
</calcChain>
</file>

<file path=xl/sharedStrings.xml><?xml version="1.0" encoding="utf-8"?>
<sst xmlns="http://schemas.openxmlformats.org/spreadsheetml/2006/main" count="13982" uniqueCount="227">
  <si>
    <t>Row Labels</t>
  </si>
  <si>
    <t xml:space="preserve">Count of Name </t>
  </si>
  <si>
    <t>Dummy workbook footer - sanitized copy</t>
  </si>
  <si>
    <t>Demo Department 01</t>
  </si>
  <si>
    <t>Demo Department 02</t>
  </si>
  <si>
    <t>Demo Department 03</t>
  </si>
  <si>
    <t>Demo Department 04</t>
  </si>
  <si>
    <t>Demo Department 05</t>
  </si>
  <si>
    <t>Demo Department 06</t>
  </si>
  <si>
    <t>Demo Department 07</t>
  </si>
  <si>
    <t>Dummy remark - sourcing in progress</t>
  </si>
  <si>
    <t>Dummy Source A</t>
  </si>
  <si>
    <t>Demo Department 08</t>
  </si>
  <si>
    <t>Demo Department 09</t>
  </si>
  <si>
    <t>Demo Department 10</t>
  </si>
  <si>
    <t>Demo Department 11</t>
  </si>
  <si>
    <t>Demo Department 12</t>
  </si>
  <si>
    <t>Demo Department 13</t>
  </si>
  <si>
    <t>Demo Department 14</t>
  </si>
  <si>
    <t>Demo Department 15</t>
  </si>
  <si>
    <t>Demo Department 16</t>
  </si>
  <si>
    <t>Demo Department 17</t>
  </si>
  <si>
    <t>Demo Department 18</t>
  </si>
  <si>
    <t>Demo Department 19</t>
  </si>
  <si>
    <t>Demo Department 20</t>
  </si>
  <si>
    <t>Demo Department 21</t>
  </si>
  <si>
    <t>Demo Department 22</t>
  </si>
  <si>
    <t>Demo Department 23</t>
  </si>
  <si>
    <t>Demo Department 24</t>
  </si>
  <si>
    <t>Demo Department 25</t>
  </si>
  <si>
    <t>Demo Department 26</t>
  </si>
  <si>
    <t>Grand Total</t>
  </si>
  <si>
    <t>Budget</t>
  </si>
  <si>
    <t>Demo Department 27</t>
  </si>
  <si>
    <t>Function / Plant</t>
  </si>
  <si>
    <t>Demo Function 01</t>
  </si>
  <si>
    <t>Department</t>
  </si>
  <si>
    <t>Sub Department</t>
  </si>
  <si>
    <t>Total</t>
  </si>
  <si>
    <t>offer</t>
  </si>
  <si>
    <t>new</t>
  </si>
  <si>
    <t>Demo Department 28</t>
  </si>
  <si>
    <t>Demo Department 29</t>
  </si>
  <si>
    <t>Demo Department 30</t>
  </si>
  <si>
    <t>Company</t>
  </si>
  <si>
    <t>Dummy remark - interview feedback awaited</t>
  </si>
  <si>
    <t>Dummy remark - offer discussion pending</t>
  </si>
  <si>
    <t>Dummy remark - position on hold</t>
  </si>
  <si>
    <t>Demo Role 0001</t>
  </si>
  <si>
    <t>Dummy remark - replacement hiring</t>
  </si>
  <si>
    <t>Dummy remark - budgeted role</t>
  </si>
  <si>
    <t>DY-2024</t>
  </si>
  <si>
    <t>Dummy remark - documents awaited</t>
  </si>
  <si>
    <t>Leader</t>
  </si>
  <si>
    <t>Leader's role</t>
  </si>
  <si>
    <t>Function1</t>
  </si>
  <si>
    <t>Demo Person 0001</t>
  </si>
  <si>
    <t>Demo Person 0002</t>
  </si>
  <si>
    <t>Demo Function 02</t>
  </si>
  <si>
    <t>available</t>
  </si>
  <si>
    <t>GAP</t>
  </si>
  <si>
    <t>CY 24</t>
  </si>
  <si>
    <t xml:space="preserve">Total </t>
  </si>
  <si>
    <t>Remarks</t>
  </si>
  <si>
    <t>vacancy</t>
  </si>
  <si>
    <t>New</t>
  </si>
  <si>
    <t>Major Functions</t>
  </si>
  <si>
    <t>Demo Function 03</t>
  </si>
  <si>
    <t>Demo Function 04</t>
  </si>
  <si>
    <t>Demo Function 05</t>
  </si>
  <si>
    <t>Demo Function 06</t>
  </si>
  <si>
    <t>Demo Function 07</t>
  </si>
  <si>
    <t>Demo Function 08</t>
  </si>
  <si>
    <t>Demo Function 09</t>
  </si>
  <si>
    <t>Demo Function 10</t>
  </si>
  <si>
    <t>Demo Function 11</t>
  </si>
  <si>
    <t>Demo Function 12</t>
  </si>
  <si>
    <t>Demo Function 13</t>
  </si>
  <si>
    <t>Demo Function 14</t>
  </si>
  <si>
    <t>Demo Function 15</t>
  </si>
  <si>
    <t>Demo Function 16</t>
  </si>
  <si>
    <t>Demo Function 17</t>
  </si>
  <si>
    <t>Demo Function 18</t>
  </si>
  <si>
    <t>Demo Function 19</t>
  </si>
  <si>
    <t>Demo Function 20</t>
  </si>
  <si>
    <t xml:space="preserve">Count of Position </t>
  </si>
  <si>
    <t>Column Labels</t>
  </si>
  <si>
    <t>Dummy Open</t>
  </si>
  <si>
    <t>Dummy Offered</t>
  </si>
  <si>
    <t>Dummy Joined</t>
  </si>
  <si>
    <t>Dummy Hold</t>
  </si>
  <si>
    <t>Dummy Review</t>
  </si>
  <si>
    <t>Dummy Pending</t>
  </si>
  <si>
    <t>Dummy Movement</t>
  </si>
  <si>
    <t>Dummy Confirmed</t>
  </si>
  <si>
    <t>Current Status</t>
  </si>
  <si>
    <t>Overall Recruitment Tracker</t>
  </si>
  <si>
    <t>S_No</t>
  </si>
  <si>
    <t>Approval</t>
  </si>
  <si>
    <t>Budgeted Year</t>
  </si>
  <si>
    <t>Replacement/ New</t>
  </si>
  <si>
    <t xml:space="preserve">Position </t>
  </si>
  <si>
    <t>Position Code</t>
  </si>
  <si>
    <t>Grade</t>
  </si>
  <si>
    <t>Function</t>
  </si>
  <si>
    <t>Sub Function</t>
  </si>
  <si>
    <t>Asset/Fn</t>
  </si>
  <si>
    <t xml:space="preserve">Location </t>
  </si>
  <si>
    <t xml:space="preserve">Reports to </t>
  </si>
  <si>
    <t>Hiring Activation Date</t>
  </si>
  <si>
    <t>JD Finalisation Date</t>
  </si>
  <si>
    <t>Position allocation on ACE</t>
  </si>
  <si>
    <t>Sourcing through</t>
  </si>
  <si>
    <t>Agreed TAT for Offer 
(Days)</t>
  </si>
  <si>
    <t>Ageing</t>
  </si>
  <si>
    <t>Ageing Bucket</t>
  </si>
  <si>
    <t>Commitment Date</t>
  </si>
  <si>
    <t>Candidate joining date</t>
  </si>
  <si>
    <t>Candidate Name</t>
  </si>
  <si>
    <t>Criticality / Priority</t>
  </si>
  <si>
    <t>Next Smarter Move</t>
  </si>
  <si>
    <t>Demo Role 0002</t>
  </si>
  <si>
    <t>DX-01</t>
  </si>
  <si>
    <t>Demo Asset 01</t>
  </si>
  <si>
    <t>Demo City 01</t>
  </si>
  <si>
    <t>Demo Person 0003</t>
  </si>
  <si>
    <t>Demo Asset 02</t>
  </si>
  <si>
    <t>Demo Asset 03</t>
  </si>
  <si>
    <t>Demo City 02</t>
  </si>
  <si>
    <t>Dummy Source B</t>
  </si>
  <si>
    <t>Demo Person 0004</t>
  </si>
  <si>
    <t>Demo Asset 04</t>
  </si>
  <si>
    <t>Demo Asset 05</t>
  </si>
  <si>
    <t>Demo Asset 06</t>
  </si>
  <si>
    <t>Demo Asset 07</t>
  </si>
  <si>
    <t>Demo Asset 08</t>
  </si>
  <si>
    <t>Demo Asset 09</t>
  </si>
  <si>
    <t>Demo Asset 10</t>
  </si>
  <si>
    <t>Demo Asset 11</t>
  </si>
  <si>
    <t>Demo Asset 12</t>
  </si>
  <si>
    <t>Demo Asset 13</t>
  </si>
  <si>
    <t>Demo Asset 14</t>
  </si>
  <si>
    <t>Dummy TBC</t>
  </si>
  <si>
    <t>Dummy NA</t>
  </si>
  <si>
    <t>Dummy Source C</t>
  </si>
  <si>
    <t>Demo Role 0003</t>
  </si>
  <si>
    <t>Dummy Source D</t>
  </si>
  <si>
    <t> </t>
  </si>
  <si>
    <t>16-12-2026</t>
  </si>
  <si>
    <t>03-11-2026</t>
  </si>
  <si>
    <t>07-07-2026</t>
  </si>
  <si>
    <t>27-03-2026</t>
  </si>
  <si>
    <t>22-02-2026</t>
  </si>
  <si>
    <t>06-10-2026</t>
  </si>
  <si>
    <t>28-12-2026</t>
  </si>
  <si>
    <t>04-08-2026</t>
  </si>
  <si>
    <t>12-12-2026</t>
  </si>
  <si>
    <t>26-06-2026</t>
  </si>
  <si>
    <t>18-02-2026</t>
  </si>
  <si>
    <t>21-01-2026</t>
  </si>
  <si>
    <t>14-02-2026</t>
  </si>
  <si>
    <t>23-11-2026</t>
  </si>
  <si>
    <t>09-09-2026</t>
  </si>
  <si>
    <t>13-09-2026</t>
  </si>
  <si>
    <t>25-05-2026</t>
  </si>
  <si>
    <t>03-07-2026</t>
  </si>
  <si>
    <t>01-01-2026</t>
  </si>
  <si>
    <t>12-04-2026</t>
  </si>
  <si>
    <t>25-09-2026</t>
  </si>
  <si>
    <t>11-07-2026</t>
  </si>
  <si>
    <t>24-08-2026</t>
  </si>
  <si>
    <t>23-03-2026</t>
  </si>
  <si>
    <t>04-04-2026</t>
  </si>
  <si>
    <t>Sr</t>
  </si>
  <si>
    <t>Code</t>
  </si>
  <si>
    <t xml:space="preserve">Name </t>
  </si>
  <si>
    <t>Level</t>
  </si>
  <si>
    <t>Band</t>
  </si>
  <si>
    <t>Gen.</t>
  </si>
  <si>
    <t>Asset</t>
  </si>
  <si>
    <t>Supervisor code</t>
  </si>
  <si>
    <t>Supervisor Name</t>
  </si>
  <si>
    <t>Demo Person 0005</t>
  </si>
  <si>
    <t>DX-02</t>
  </si>
  <si>
    <t>Demo Person 0006</t>
  </si>
  <si>
    <t>DX-03</t>
  </si>
  <si>
    <t>DX-04</t>
  </si>
  <si>
    <t>DX-05</t>
  </si>
  <si>
    <t>Offer</t>
  </si>
  <si>
    <t>Total Budget 2024</t>
  </si>
  <si>
    <t>Dummy remark - panel review pending</t>
  </si>
  <si>
    <t>Dummy remark - candidate pipeline refreshed</t>
  </si>
  <si>
    <t>Current Status 
(Sharp Comments)</t>
  </si>
  <si>
    <t>Demo Role 0004</t>
  </si>
  <si>
    <t>Demo City 03</t>
  </si>
  <si>
    <t>Demo Person 0007</t>
  </si>
  <si>
    <t>Demo Person 0008</t>
  </si>
  <si>
    <t>Dummy remark - final discussion pending</t>
  </si>
  <si>
    <t>Demo Role 0005</t>
  </si>
  <si>
    <t>Demo Role 0006</t>
  </si>
  <si>
    <t>Demo Role 0007</t>
  </si>
  <si>
    <t>Demo Role 0008</t>
  </si>
  <si>
    <t>Demo Role 0009</t>
  </si>
  <si>
    <t>Demo Role 0010</t>
  </si>
  <si>
    <t>DX-06</t>
  </si>
  <si>
    <t>Demo Role 0011</t>
  </si>
  <si>
    <t>Demo Role 0012</t>
  </si>
  <si>
    <t>Demo Role 0013</t>
  </si>
  <si>
    <t>Demo Role 0014</t>
  </si>
  <si>
    <t>Demo Role 0015</t>
  </si>
  <si>
    <t>Demo Role 0016</t>
  </si>
  <si>
    <t>Demo Role 0017</t>
  </si>
  <si>
    <t>Demo Role 0018</t>
  </si>
  <si>
    <t>Demo Role 0019</t>
  </si>
  <si>
    <t>Demo Role 0020</t>
  </si>
  <si>
    <t>Demo Role 0021</t>
  </si>
  <si>
    <t>Demo Role 0022</t>
  </si>
  <si>
    <t>Demo Role 0023</t>
  </si>
  <si>
    <t>Demo Role 0024</t>
  </si>
  <si>
    <t>Demo Role 0025</t>
  </si>
  <si>
    <t>Demo Role 0026</t>
  </si>
  <si>
    <t>Demo Role 0027</t>
  </si>
  <si>
    <t>Demo Role 0028</t>
  </si>
  <si>
    <t>Demo Role 0029</t>
  </si>
  <si>
    <t>DX-07</t>
  </si>
  <si>
    <t>Demo Person 0009</t>
  </si>
  <si>
    <t>DY-2025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</si>
</sst>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_ ;\-0\ "/>
    <numFmt numFmtId="165" formatCode="_ * #,##0.00_ ;_ * \-#,##0.00_ ;_ * &quot;-&quot;??_ ;_ @_ 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72"/>
      <family val="2"/>
    </font>
    <font>
      <sz val="9"/>
      <name val="72"/>
      <family val="2"/>
    </font>
    <font>
      <sz val="9"/>
      <color rgb="FFFF0000"/>
      <name val="72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70C0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Aptos"/>
      <family val="2"/>
    </font>
    <font>
      <sz val="10"/>
      <name val="Bierstadt"/>
      <family val="2"/>
    </font>
    <font>
      <sz val="10"/>
      <name val="Aptos"/>
      <family val="2"/>
    </font>
    <font>
      <sz val="10"/>
      <name val="Calibri"/>
      <family val="2"/>
    </font>
    <font>
      <sz val="11"/>
      <color rgb="FF000000"/>
      <name val="Bierstadt"/>
      <family val="2"/>
    </font>
    <font>
      <sz val="10"/>
      <color theme="1"/>
      <name val="Constantia"/>
      <family val="1"/>
    </font>
    <font>
      <sz val="10"/>
      <color rgb="FF000000"/>
      <name val="Constantia"/>
      <family val="1"/>
    </font>
  </fonts>
  <fills count="1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43" fontId="1" fillId="0" borderId="0"/>
  </cellStyleXfs>
  <cellXfs count="136">
    <xf numFmtId="0" fontId="0" fillId="0" borderId="0" xfId="0"/>
    <xf numFmtId="49" fontId="2" fillId="2" borderId="1" xfId="1" applyNumberFormat="1" applyFont="1" applyFill="1" applyBorder="1" applyAlignment="1">
      <alignment horizontal="left" vertical="center" wrapText="1"/>
    </xf>
    <xf numFmtId="164" fontId="3" fillId="0" borderId="1" xfId="1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center"/>
    </xf>
    <xf numFmtId="0" fontId="0" fillId="0" borderId="2" xfId="0" pivotButton="1" applyBorder="1"/>
    <xf numFmtId="0" fontId="0" fillId="0" borderId="2" xfId="0" applyBorder="1"/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>
      <alignment horizontal="left" wrapText="1"/>
    </xf>
    <xf numFmtId="0" fontId="8" fillId="0" borderId="2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49" fontId="8" fillId="0" borderId="2" xfId="0" applyNumberFormat="1" applyFont="1" applyBorder="1" applyAlignment="1">
      <alignment horizontal="center" vertical="center" wrapText="1"/>
    </xf>
    <xf numFmtId="15" fontId="7" fillId="0" borderId="2" xfId="0" applyNumberFormat="1" applyFont="1" applyBorder="1" applyAlignment="1">
      <alignment horizontal="center" wrapText="1"/>
    </xf>
    <xf numFmtId="14" fontId="7" fillId="0" borderId="2" xfId="0" applyNumberFormat="1" applyFont="1" applyBorder="1" applyAlignment="1">
      <alignment horizontal="center" wrapText="1"/>
    </xf>
    <xf numFmtId="0" fontId="0" fillId="0" borderId="4" xfId="0" pivotButton="1" applyBorder="1"/>
    <xf numFmtId="0" fontId="0" fillId="0" borderId="5" xfId="0" pivotButton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3" xfId="0" applyBorder="1"/>
    <xf numFmtId="49" fontId="2" fillId="2" borderId="1" xfId="1" applyNumberFormat="1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1" fontId="9" fillId="3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8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left" vertical="center"/>
    </xf>
    <xf numFmtId="15" fontId="11" fillId="9" borderId="2" xfId="0" applyNumberFormat="1" applyFont="1" applyFill="1" applyBorder="1" applyAlignment="1">
      <alignment horizontal="center" vertical="center"/>
    </xf>
    <xf numFmtId="15" fontId="11" fillId="0" borderId="2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0" fillId="9" borderId="2" xfId="0" applyFont="1" applyFill="1" applyBorder="1" applyAlignment="1">
      <alignment horizontal="center" vertical="center"/>
    </xf>
    <xf numFmtId="15" fontId="12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3" fillId="10" borderId="2" xfId="0" applyFont="1" applyFill="1" applyBorder="1" applyAlignment="1">
      <alignment horizontal="left"/>
    </xf>
    <xf numFmtId="0" fontId="13" fillId="11" borderId="2" xfId="0" applyFont="1" applyFill="1" applyBorder="1" applyAlignment="1">
      <alignment horizontal="left" vertical="center"/>
    </xf>
    <xf numFmtId="15" fontId="12" fillId="11" borderId="2" xfId="0" applyNumberFormat="1" applyFont="1" applyFill="1" applyBorder="1" applyAlignment="1">
      <alignment horizontal="center"/>
    </xf>
    <xf numFmtId="15" fontId="12" fillId="0" borderId="2" xfId="0" quotePrefix="1" applyNumberFormat="1" applyFont="1" applyBorder="1" applyAlignment="1">
      <alignment horizontal="center"/>
    </xf>
    <xf numFmtId="0" fontId="12" fillId="11" borderId="2" xfId="0" applyFont="1" applyFill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3" fillId="10" borderId="7" xfId="0" applyFont="1" applyFill="1" applyBorder="1" applyAlignment="1">
      <alignment horizontal="left"/>
    </xf>
    <xf numFmtId="0" fontId="13" fillId="11" borderId="7" xfId="0" applyFont="1" applyFill="1" applyBorder="1" applyAlignment="1">
      <alignment horizontal="left" vertical="center"/>
    </xf>
    <xf numFmtId="15" fontId="12" fillId="11" borderId="7" xfId="0" applyNumberFormat="1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7" xfId="0" applyFont="1" applyBorder="1" applyAlignment="1">
      <alignment horizontal="left"/>
    </xf>
    <xf numFmtId="0" fontId="11" fillId="11" borderId="2" xfId="0" applyFont="1" applyFill="1" applyBorder="1" applyAlignment="1">
      <alignment horizontal="left" vertical="center"/>
    </xf>
    <xf numFmtId="1" fontId="12" fillId="0" borderId="2" xfId="0" applyNumberFormat="1" applyFont="1" applyBorder="1" applyAlignment="1">
      <alignment horizontal="center"/>
    </xf>
    <xf numFmtId="0" fontId="11" fillId="11" borderId="2" xfId="0" applyFont="1" applyFill="1" applyBorder="1" applyAlignment="1">
      <alignment horizontal="left" vertical="center" wrapText="1"/>
    </xf>
    <xf numFmtId="15" fontId="12" fillId="0" borderId="7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0" fontId="14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left"/>
    </xf>
    <xf numFmtId="14" fontId="12" fillId="0" borderId="2" xfId="0" applyNumberFormat="1" applyFont="1" applyBorder="1" applyAlignment="1">
      <alignment horizontal="center"/>
    </xf>
    <xf numFmtId="0" fontId="11" fillId="0" borderId="2" xfId="0" quotePrefix="1" applyFont="1" applyBorder="1" applyAlignment="1">
      <alignment horizontal="left" vertical="center"/>
    </xf>
    <xf numFmtId="15" fontId="11" fillId="8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15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 wrapText="1"/>
    </xf>
    <xf numFmtId="15" fontId="11" fillId="0" borderId="2" xfId="0" applyNumberFormat="1" applyFont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left"/>
    </xf>
    <xf numFmtId="0" fontId="13" fillId="12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11" borderId="2" xfId="0" applyFont="1" applyFill="1" applyBorder="1"/>
    <xf numFmtId="0" fontId="13" fillId="11" borderId="2" xfId="0" applyFont="1" applyFill="1" applyBorder="1" applyAlignment="1">
      <alignment horizontal="center"/>
    </xf>
    <xf numFmtId="0" fontId="0" fillId="0" borderId="0" xfId="0" pivotButton="1" applyAlignment="1">
      <alignment horizontal="center"/>
    </xf>
    <xf numFmtId="0" fontId="15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17" fillId="0" borderId="2" xfId="0" applyFont="1" applyBorder="1"/>
    <xf numFmtId="0" fontId="17" fillId="0" borderId="8" xfId="0" applyFont="1" applyBorder="1"/>
    <xf numFmtId="0" fontId="18" fillId="0" borderId="8" xfId="0" applyFont="1" applyBorder="1"/>
    <xf numFmtId="0" fontId="17" fillId="0" borderId="7" xfId="0" applyFont="1" applyBorder="1"/>
    <xf numFmtId="0" fontId="17" fillId="0" borderId="9" xfId="0" applyFont="1" applyBorder="1"/>
    <xf numFmtId="0" fontId="18" fillId="0" borderId="9" xfId="0" applyFont="1" applyBorder="1"/>
    <xf numFmtId="14" fontId="17" fillId="0" borderId="9" xfId="0" applyNumberFormat="1" applyFont="1" applyBorder="1"/>
    <xf numFmtId="15" fontId="17" fillId="0" borderId="9" xfId="0" applyNumberFormat="1" applyFont="1" applyBorder="1"/>
    <xf numFmtId="0" fontId="19" fillId="9" borderId="9" xfId="0" applyFont="1" applyFill="1" applyBorder="1"/>
    <xf numFmtId="0" fontId="21" fillId="9" borderId="9" xfId="0" applyFont="1" applyFill="1" applyBorder="1"/>
    <xf numFmtId="15" fontId="22" fillId="0" borderId="9" xfId="0" applyNumberFormat="1" applyFont="1" applyBorder="1"/>
    <xf numFmtId="14" fontId="17" fillId="0" borderId="7" xfId="0" applyNumberFormat="1" applyFont="1" applyBorder="1"/>
    <xf numFmtId="0" fontId="0" fillId="0" borderId="2" xfId="0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3" fillId="0" borderId="2" xfId="0" applyFont="1" applyBorder="1" applyAlignment="1">
      <alignment horizontal="left" vertical="center"/>
    </xf>
    <xf numFmtId="0" fontId="23" fillId="0" borderId="2" xfId="0" applyFont="1" applyBorder="1"/>
    <xf numFmtId="0" fontId="23" fillId="0" borderId="2" xfId="0" applyFont="1" applyBorder="1" applyAlignment="1">
      <alignment horizontal="center"/>
    </xf>
    <xf numFmtId="15" fontId="24" fillId="9" borderId="2" xfId="0" applyNumberFormat="1" applyFont="1" applyFill="1" applyBorder="1" applyAlignment="1">
      <alignment horizontal="center" vertical="center"/>
    </xf>
    <xf numFmtId="15" fontId="23" fillId="0" borderId="2" xfId="0" applyNumberFormat="1" applyFont="1" applyBorder="1" applyAlignment="1">
      <alignment horizontal="center" vertical="center"/>
    </xf>
    <xf numFmtId="1" fontId="23" fillId="0" borderId="2" xfId="0" applyNumberFormat="1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5" fontId="2" fillId="2" borderId="1" xfId="1" applyNumberFormat="1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/>
    </xf>
    <xf numFmtId="0" fontId="0" fillId="0" borderId="8" xfId="0" applyBorder="1" applyAlignment="1"/>
  </cellXfs>
  <cellStyles count="3">
    <cellStyle name="Comma" xfId="1" builtinId="3"/>
    <cellStyle name="Comma 2" xfId="2" xr:uid="{00000000-0005-0000-0000-000002000000}"/>
    <cellStyle name="Normal" xfId="0" builtinId="0"/>
  </cellStyles>
  <dxfs count="5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in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in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in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microsoft.com/office/2006/relationships/xlExternalLinkPath/xlPathMissing" Target="in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as, Dhruv - AM/NS India - HR (HAZ)" refreshedDate="45189.824910532407" createdVersion="8" refreshedVersion="8" minRefreshableVersion="3" recordCount="1030" xr:uid="{00000000-000A-0000-FFFF-FFFF6D000000}">
  <cacheSource type="worksheet">
    <worksheetSource ref="I11" sheet="Master" r:id="rId2"/>
  </cacheSource>
  <cacheFields count="63">
    <cacheField name="Sr" numFmtId="164">
      <sharedItems containsSemiMixedTypes="0" containsString="0" containsNumber="1" containsInteger="1" minValue="1" maxValue="8068"/>
    </cacheField>
    <cacheField name="Code" numFmtId="0">
      <sharedItems containsSemiMixedTypes="0" containsString="0" containsNumber="1" containsInteger="1" minValue="1111" maxValue="80141906"/>
    </cacheField>
    <cacheField name="Name " numFmtId="0">
      <sharedItems/>
    </cacheField>
    <cacheField name="Company" numFmtId="0">
      <sharedItems/>
    </cacheField>
    <cacheField name="Grp" numFmtId="0">
      <sharedItems containsBlank="1"/>
    </cacheField>
    <cacheField name="Level" numFmtId="0">
      <sharedItems/>
    </cacheField>
    <cacheField name="Lno" numFmtId="0">
      <sharedItems containsString="0" containsBlank="1" containsNumber="1" containsInteger="1" minValue="1" maxValue="18"/>
    </cacheField>
    <cacheField name="Eq Level" numFmtId="0">
      <sharedItems containsBlank="1"/>
    </cacheField>
    <cacheField name="Band" numFmtId="0">
      <sharedItems containsBlank="1"/>
    </cacheField>
    <cacheField name="Gen." numFmtId="0">
      <sharedItems containsBlank="1"/>
    </cacheField>
    <cacheField name="Asset" numFmtId="0">
      <sharedItems/>
    </cacheField>
    <cacheField name="Ano" numFmtId="0">
      <sharedItems containsString="0" containsBlank="1" containsNumber="1" containsInteger="1" minValue="1" maxValue="12"/>
    </cacheField>
    <cacheField name="PA" numFmtId="0">
      <sharedItems containsBlank="1" containsMixedTypes="1" containsNumber="1" containsInteger="1" minValue="1126" maxValue="1126"/>
    </cacheField>
    <cacheField name="Function / Plant" numFmtId="49">
      <sharedItems count="28">
        <s v="Finance &amp; Accounts"/>
        <s v="Human Resources"/>
        <s v="Corporate Affairs"/>
        <s v="Procurement"/>
        <s v="Bulk Raw Materials"/>
        <s v="CEO Office"/>
        <s v="Administration"/>
        <s v="Stores &amp; Warehouse"/>
        <s v="Corporate Communications"/>
        <s v="Contracts"/>
        <s v="Sales &amp; Marketing"/>
        <s v="Company Secretary"/>
        <s v="Land Acquisition"/>
        <s v="Secondary Sales"/>
        <s v="Power &amp; Gas"/>
        <s v="Capex Procurement"/>
        <s v="Internal Audit"/>
        <s v="Industrial Relations"/>
        <s v="Shipping &amp; Chartering"/>
        <s v="Business Strategy"/>
        <s v="Academy for Skill Development"/>
        <s v="Corporate SocialResponsibility"/>
        <s v="Legal"/>
        <s v="Payroll Administration"/>
        <s v="Business Development"/>
        <s v="Logistics – Commercial"/>
        <s v="Commercial"/>
        <s v="Legal / Land" u="1"/>
      </sharedItems>
    </cacheField>
    <cacheField name="FPNo" numFmtId="0">
      <sharedItems containsBlank="1" containsMixedTypes="1" containsNumber="1" minValue="35.020000000000003" maxValue="36.01"/>
    </cacheField>
    <cacheField name="HOD" numFmtId="0">
      <sharedItems/>
    </cacheField>
    <cacheField name="Leader" numFmtId="0">
      <sharedItems/>
    </cacheField>
    <cacheField name="Lno1" numFmtId="0">
      <sharedItems containsString="0" containsBlank="1" containsNumber="1" containsInteger="1" minValue="1" maxValue="10"/>
    </cacheField>
    <cacheField name="Leader's role" numFmtId="0">
      <sharedItems/>
    </cacheField>
    <cacheField name="Function1" numFmtId="0">
      <sharedItems/>
    </cacheField>
    <cacheField name="Fno" numFmtId="0">
      <sharedItems containsBlank="1" containsMixedTypes="1" containsNumber="1" containsInteger="1" minValue="28" maxValue="28"/>
    </cacheField>
    <cacheField name="Role Band" numFmtId="0">
      <sharedItems containsBlank="1"/>
    </cacheField>
    <cacheField name="RBno" numFmtId="0">
      <sharedItems containsNonDate="0" containsString="0" containsBlank="1"/>
    </cacheField>
    <cacheField name="Department" numFmtId="0">
      <sharedItems containsBlank="1"/>
    </cacheField>
    <cacheField name="Sub Department" numFmtId="0">
      <sharedItems containsBlank="1"/>
    </cacheField>
    <cacheField name="Sub Area" numFmtId="0">
      <sharedItems containsBlank="1"/>
    </cacheField>
    <cacheField name="Functional_x000a_Grouping" numFmtId="0">
      <sharedItems containsBlank="1"/>
    </cacheField>
    <cacheField name="Job Family Text" numFmtId="0">
      <sharedItems containsBlank="1"/>
    </cacheField>
    <cacheField name="Job Type Text" numFmtId="0">
      <sharedItems containsBlank="1"/>
    </cacheField>
    <cacheField name="Job Code" numFmtId="0">
      <sharedItems containsBlank="1"/>
    </cacheField>
    <cacheField name="Job Text" numFmtId="0">
      <sharedItems containsBlank="1"/>
    </cacheField>
    <cacheField name="Location" numFmtId="0">
      <sharedItems containsBlank="1"/>
    </cacheField>
    <cacheField name="DOB" numFmtId="0">
      <sharedItems containsDate="1" containsBlank="1" containsMixedTypes="1" minDate="1951-09-26T00:00:00" maxDate="2001-07-08T00:00:00"/>
    </cacheField>
    <cacheField name="Age" numFmtId="0">
      <sharedItems containsBlank="1" containsMixedTypes="1" containsNumber="1" minValue="22.69041095890411" maxValue="49.043835616438358"/>
    </cacheField>
    <cacheField name="DOJ" numFmtId="0">
      <sharedItems containsDate="1" containsBlank="1" containsMixedTypes="1" minDate="1987-01-01T00:00:00" maxDate="2023-08-22T00:00:00"/>
    </cacheField>
    <cacheField name="Retirement" numFmtId="0">
      <sharedItems containsNonDate="0" containsDate="1" containsString="0" containsBlank="1" minDate="2009-09-30T00:00:00" maxDate="2059-08-01T00:00:00"/>
    </cacheField>
    <cacheField name="Extension" numFmtId="0">
      <sharedItems containsNonDate="0" containsDate="1" containsString="0" containsBlank="1" minDate="2023-05-16T00:00:00" maxDate="2029-11-01T00:00:00"/>
    </cacheField>
    <cacheField name="LWD" numFmtId="0">
      <sharedItems containsNonDate="0" containsDate="1" containsString="0" containsBlank="1" minDate="2022-06-30T00:00:00" maxDate="2059-08-01T00:00:00"/>
    </cacheField>
    <cacheField name="Day's_x000a_Left" numFmtId="0">
      <sharedItems containsString="0" containsBlank="1" containsNumber="1" containsInteger="1" minValue="-447" maxValue="13098"/>
    </cacheField>
    <cacheField name="Blood_x000a_Group" numFmtId="0">
      <sharedItems containsBlank="1"/>
    </cacheField>
    <cacheField name="Qualification" numFmtId="0">
      <sharedItems containsBlank="1"/>
    </cacheField>
    <cacheField name="Pre Exp." numFmtId="0">
      <sharedItems containsBlank="1" containsMixedTypes="1" containsNumber="1" minValue="3" maxValue="23"/>
    </cacheField>
    <cacheField name="AMNS Exp." numFmtId="0">
      <sharedItems containsBlank="1" containsMixedTypes="1" containsNumber="1" minValue="7.9452054794520555E-2" maxValue="2.2532511978097189"/>
    </cacheField>
    <cacheField name="Total_x000a_ Exp." numFmtId="0">
      <sharedItems containsBlank="1" containsMixedTypes="1" containsNumber="1" minValue="3.2464065708418892" maxValue="23.397260273972599"/>
    </cacheField>
    <cacheField name="Org. code" numFmtId="0">
      <sharedItems containsBlank="1"/>
    </cacheField>
    <cacheField name="Org Unit text" numFmtId="0">
      <sharedItems containsBlank="1"/>
    </cacheField>
    <cacheField name="Position" numFmtId="0">
      <sharedItems containsBlank="1"/>
    </cacheField>
    <cacheField name="Position text" numFmtId="0">
      <sharedItems containsBlank="1"/>
    </cacheField>
    <cacheField name="Payroll Area" numFmtId="0">
      <sharedItems containsBlank="1"/>
    </cacheField>
    <cacheField name="Cost Center" numFmtId="0">
      <sharedItems containsBlank="1"/>
    </cacheField>
    <cacheField name="Cost center text" numFmtId="0">
      <sharedItems containsBlank="1"/>
    </cacheField>
    <cacheField name="Org key Code" numFmtId="0">
      <sharedItems containsBlank="1"/>
    </cacheField>
    <cacheField name="Supervisor code" numFmtId="0">
      <sharedItems containsBlank="1" containsMixedTypes="1" containsNumber="1" containsInteger="1" minValue="1770495" maxValue="20057928"/>
    </cacheField>
    <cacheField name="Supervisor Name" numFmtId="0">
      <sharedItems containsBlank="1"/>
    </cacheField>
    <cacheField name="Locked" numFmtId="0">
      <sharedItems containsBlank="1"/>
    </cacheField>
    <cacheField name="Mail" numFmtId="0">
      <sharedItems containsBlank="1"/>
    </cacheField>
    <cacheField name="Mobile" numFmtId="0">
      <sharedItems containsBlank="1" containsMixedTypes="1" containsNumber="1" containsInteger="1" minValue="6357192754" maxValue="9925241063"/>
    </cacheField>
    <cacheField name="AMEI" numFmtId="0">
      <sharedItems containsBlank="1" containsMixedTypes="1" containsNumber="1" containsInteger="1" minValue="810319" maxValue="1025511"/>
    </cacheField>
    <cacheField name="MIS Spoc" numFmtId="0">
      <sharedItems containsBlank="1"/>
    </cacheField>
    <cacheField name="HR1" numFmtId="0">
      <sharedItems containsBlank="1"/>
    </cacheField>
    <cacheField name="HR2" numFmtId="0">
      <sharedItems containsBlank="1" containsMixedTypes="1" containsNumber="1" containsInteger="1" minValue="0" maxValue="0"/>
    </cacheField>
    <cacheField name="HR3" numFmtId="0">
      <sharedItems containsBlank="1" containsMixedTypes="1" containsNumber="1" containsInteger="1" minValue="0" maxValue="0"/>
    </cacheField>
    <cacheField name="HR4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as, Dhruv - AM/NS India - HR (HAZ)" refreshedDate="45189.764344097217" createdVersion="8" refreshedVersion="8" minRefreshableVersion="3" recordCount="1033" xr:uid="{00000000-000A-0000-FFFF-FFFF6C000000}">
  <cacheSource type="worksheet">
    <worksheetSource ref="I11" sheet="Master" r:id="rId2"/>
  </cacheSource>
  <cacheFields count="63">
    <cacheField name="Sr" numFmtId="164">
      <sharedItems containsSemiMixedTypes="0" containsString="0" containsNumber="1" containsInteger="1" minValue="1" maxValue="8068"/>
    </cacheField>
    <cacheField name="Code" numFmtId="0">
      <sharedItems containsSemiMixedTypes="0" containsString="0" containsNumber="1" containsInteger="1" minValue="30072" maxValue="80141906"/>
    </cacheField>
    <cacheField name="Name " numFmtId="0">
      <sharedItems/>
    </cacheField>
    <cacheField name="Company" numFmtId="0">
      <sharedItems count="9">
        <s v="AM/NS India"/>
        <s v="AM/NS Middle East FZE"/>
        <s v="AM/NS Shipping &amp; Logistics"/>
        <s v="AM/NS Ports Paradip"/>
        <s v="AM/NS Power Hazira"/>
        <s v="AM/NS Ports Hazira"/>
        <s v="AMNS Khopoli"/>
        <s v="AM/NS Gandhidham"/>
        <s v="AM/NS SSL"/>
      </sharedItems>
    </cacheField>
    <cacheField name="Grp" numFmtId="0">
      <sharedItems/>
    </cacheField>
    <cacheField name="Level" numFmtId="0">
      <sharedItems/>
    </cacheField>
    <cacheField name="Lno" numFmtId="0">
      <sharedItems containsString="0" containsBlank="1" containsNumber="1" containsInteger="1" minValue="1" maxValue="18"/>
    </cacheField>
    <cacheField name="Eq Level" numFmtId="0">
      <sharedItems containsBlank="1"/>
    </cacheField>
    <cacheField name="Band" numFmtId="0">
      <sharedItems/>
    </cacheField>
    <cacheField name="Gen." numFmtId="0">
      <sharedItems/>
    </cacheField>
    <cacheField name="Asset" numFmtId="0">
      <sharedItems/>
    </cacheField>
    <cacheField name="Ano" numFmtId="0">
      <sharedItems containsSemiMixedTypes="0" containsString="0" containsNumber="1" containsInteger="1" minValue="1" maxValue="12"/>
    </cacheField>
    <cacheField name="PA" numFmtId="0">
      <sharedItems containsBlank="1" containsMixedTypes="1" containsNumber="1" containsInteger="1" minValue="1126" maxValue="1126"/>
    </cacheField>
    <cacheField name="Function / Plant" numFmtId="49">
      <sharedItems count="28">
        <s v="Finance &amp; Accounts"/>
        <s v="Human Resources"/>
        <s v="Corporate Affairs"/>
        <s v="Procurement"/>
        <s v="Bulk Raw Materials"/>
        <s v="CEO Office"/>
        <s v="Land Acquisition"/>
        <s v="Administration"/>
        <s v="Stores &amp; Warehouse"/>
        <s v="Corporate Communications"/>
        <s v="Contracts"/>
        <s v="Sales &amp; Marketing"/>
        <s v="Company Secretary"/>
        <s v="Secondary Sales"/>
        <s v="Power &amp; Gas"/>
        <s v="Capex Procurement"/>
        <s v="Internal Audit"/>
        <s v="Industrial Relations"/>
        <s v="Shipping &amp; Chartering"/>
        <s v="Business Strategy"/>
        <s v="Academy for Skill Development"/>
        <s v="Corporate SocialResponsibility"/>
        <s v="Legal"/>
        <s v="Payroll Administration"/>
        <s v="Business Development"/>
        <s v="Logistics – Commercial"/>
        <s v="Commercial"/>
        <s v="Legal / Land"/>
      </sharedItems>
    </cacheField>
    <cacheField name="FPNo" numFmtId="0">
      <sharedItems containsMixedTypes="1" containsNumber="1" minValue="35.020000000000003" maxValue="36.01"/>
    </cacheField>
    <cacheField name="HOD" numFmtId="0">
      <sharedItems/>
    </cacheField>
    <cacheField name="Leader" numFmtId="0">
      <sharedItems/>
    </cacheField>
    <cacheField name="Lno1" numFmtId="0">
      <sharedItems containsSemiMixedTypes="0" containsString="0" containsNumber="1" containsInteger="1" minValue="1" maxValue="10"/>
    </cacheField>
    <cacheField name="Leader's role" numFmtId="0">
      <sharedItems/>
    </cacheField>
    <cacheField name="Function1" numFmtId="0">
      <sharedItems/>
    </cacheField>
    <cacheField name="Fno" numFmtId="0">
      <sharedItems containsMixedTypes="1" containsNumber="1" containsInteger="1" minValue="28" maxValue="28"/>
    </cacheField>
    <cacheField name="Role Band" numFmtId="0">
      <sharedItems containsBlank="1"/>
    </cacheField>
    <cacheField name="RBno" numFmtId="0">
      <sharedItems containsNonDate="0" containsString="0" containsBlank="1"/>
    </cacheField>
    <cacheField name="Department" numFmtId="0">
      <sharedItems containsBlank="1"/>
    </cacheField>
    <cacheField name="Sub Department" numFmtId="0">
      <sharedItems containsBlank="1"/>
    </cacheField>
    <cacheField name="Sub Area" numFmtId="0">
      <sharedItems containsBlank="1"/>
    </cacheField>
    <cacheField name="Functional_x000a_Grouping" numFmtId="0">
      <sharedItems containsBlank="1"/>
    </cacheField>
    <cacheField name="Job Family Text" numFmtId="43">
      <sharedItems containsBlank="1"/>
    </cacheField>
    <cacheField name="Job Type Text" numFmtId="43">
      <sharedItems/>
    </cacheField>
    <cacheField name="Job Code" numFmtId="1">
      <sharedItems containsBlank="1"/>
    </cacheField>
    <cacheField name="Job Text" numFmtId="43">
      <sharedItems containsBlank="1"/>
    </cacheField>
    <cacheField name="Location" numFmtId="0">
      <sharedItems/>
    </cacheField>
    <cacheField name="DOB" numFmtId="14">
      <sharedItems containsDate="1" containsMixedTypes="1" minDate="1951-09-26T00:00:00" maxDate="2001-07-08T00:00:00"/>
    </cacheField>
    <cacheField name="Age" numFmtId="165">
      <sharedItems containsMixedTypes="1" containsNumber="1" minValue="22.69041095890411" maxValue="49.043835616438358"/>
    </cacheField>
    <cacheField name="DOJ" numFmtId="14">
      <sharedItems containsDate="1" containsMixedTypes="1" minDate="1987-01-01T00:00:00" maxDate="2023-08-22T00:00:00"/>
    </cacheField>
    <cacheField name="Retirement" numFmtId="14">
      <sharedItems containsSemiMixedTypes="0" containsNonDate="0" containsDate="1" containsString="0" minDate="2009-09-30T00:00:00" maxDate="2059-08-01T00:00:00"/>
    </cacheField>
    <cacheField name="Extension" numFmtId="14">
      <sharedItems containsNonDate="0" containsDate="1" containsString="0" containsBlank="1" minDate="2023-05-16T00:00:00" maxDate="2029-11-01T00:00:00"/>
    </cacheField>
    <cacheField name="LWD" numFmtId="14">
      <sharedItems containsSemiMixedTypes="0" containsNonDate="0" containsDate="1" containsString="0" minDate="2022-06-30T00:00:00" maxDate="2059-08-01T00:00:00"/>
    </cacheField>
    <cacheField name="Day's_x000a_Left" numFmtId="0">
      <sharedItems containsSemiMixedTypes="0" containsString="0" containsNumber="1" containsInteger="1" minValue="-447" maxValue="13098"/>
    </cacheField>
    <cacheField name="Blood_x000a_Group" numFmtId="43">
      <sharedItems containsBlank="1"/>
    </cacheField>
    <cacheField name="Qualification" numFmtId="43">
      <sharedItems/>
    </cacheField>
    <cacheField name="Pre Exp." numFmtId="0">
      <sharedItems containsMixedTypes="1" containsNumber="1" minValue="3" maxValue="23"/>
    </cacheField>
    <cacheField name="AMNS Exp." numFmtId="0">
      <sharedItems containsMixedTypes="1" containsNumber="1" minValue="7.9452054794520555E-2" maxValue="2.2532511978097189"/>
    </cacheField>
    <cacheField name="Total_x000a_ Exp." numFmtId="0">
      <sharedItems containsMixedTypes="1" containsNumber="1" minValue="3.2464065708418892" maxValue="23.397260273972599"/>
    </cacheField>
    <cacheField name="Org. code" numFmtId="0">
      <sharedItems containsBlank="1"/>
    </cacheField>
    <cacheField name="Org Unit text" numFmtId="0">
      <sharedItems containsBlank="1"/>
    </cacheField>
    <cacheField name="Position" numFmtId="0">
      <sharedItems containsBlank="1"/>
    </cacheField>
    <cacheField name="Position text" numFmtId="0">
      <sharedItems/>
    </cacheField>
    <cacheField name="Payroll Area" numFmtId="43">
      <sharedItems/>
    </cacheField>
    <cacheField name="Cost Center" numFmtId="0">
      <sharedItems containsBlank="1"/>
    </cacheField>
    <cacheField name="Cost center text" numFmtId="0">
      <sharedItems containsBlank="1"/>
    </cacheField>
    <cacheField name="Org key Code" numFmtId="43">
      <sharedItems containsBlank="1"/>
    </cacheField>
    <cacheField name="Supervisor code" numFmtId="0">
      <sharedItems containsMixedTypes="1" containsNumber="1" containsInteger="1" minValue="1770495" maxValue="20057928"/>
    </cacheField>
    <cacheField name="Supervisor Name" numFmtId="0">
      <sharedItems/>
    </cacheField>
    <cacheField name="Locked" numFmtId="0">
      <sharedItems/>
    </cacheField>
    <cacheField name="Mail" numFmtId="0">
      <sharedItems/>
    </cacheField>
    <cacheField name="Mobile" numFmtId="0">
      <sharedItems containsMixedTypes="1" containsNumber="1" containsInteger="1" minValue="6357192754" maxValue="9925241063"/>
    </cacheField>
    <cacheField name="AMEI" numFmtId="0">
      <sharedItems containsBlank="1" containsMixedTypes="1" containsNumber="1" containsInteger="1" minValue="810319" maxValue="1025511"/>
    </cacheField>
    <cacheField name="MIS Spoc" numFmtId="43">
      <sharedItems/>
    </cacheField>
    <cacheField name="HR1" numFmtId="43">
      <sharedItems/>
    </cacheField>
    <cacheField name="HR2" numFmtId="43">
      <sharedItems containsMixedTypes="1" containsNumber="1" containsInteger="1" minValue="0" maxValue="0"/>
    </cacheField>
    <cacheField name="HR3" numFmtId="43">
      <sharedItems containsMixedTypes="1" containsNumber="1" containsInteger="1" minValue="0" maxValue="0"/>
    </cacheField>
    <cacheField name="HR4" numFmtId="43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as, Dhruv - AM/NS India - HR (HAZ)" refreshedDate="45206.72927974537" createdVersion="8" refreshedVersion="8" minRefreshableVersion="3" recordCount="1019" xr:uid="{00000000-000A-0000-FFFF-FFFF6E000000}">
  <cacheSource type="worksheet">
    <worksheetSource ref="A1:AX1012" sheet="Master" r:id="rId2"/>
  </cacheSource>
  <cacheFields count="57">
    <cacheField name="Sr" numFmtId="164">
      <sharedItems containsSemiMixedTypes="0" containsString="0" containsNumber="1" containsInteger="1" minValue="1" maxValue="8068"/>
    </cacheField>
    <cacheField name="Code" numFmtId="0">
      <sharedItems containsBlank="1" containsMixedTypes="1" containsNumber="1" containsInteger="1" minValue="1111" maxValue="80141906"/>
    </cacheField>
    <cacheField name="Name " numFmtId="0">
      <sharedItems/>
    </cacheField>
    <cacheField name="Company" numFmtId="0">
      <sharedItems count="10">
        <s v="AM/NS India"/>
        <s v="AM/NS Middle East FZE"/>
        <s v="AM/NS Shipping &amp; Logistics"/>
        <s v="AM/NS Ports Paradip"/>
        <s v="AM/NS Power Hazira"/>
        <s v="Finance &amp; Accounts - Ports Hazira"/>
        <s v="AM/NS Ports Hazira"/>
        <s v="AMNS Khopoli"/>
        <s v="AM/NS Gandhidham"/>
        <s v="AM/NS SSL"/>
      </sharedItems>
    </cacheField>
    <cacheField name="Grp" numFmtId="0">
      <sharedItems containsBlank="1"/>
    </cacheField>
    <cacheField name="Level" numFmtId="0">
      <sharedItems/>
    </cacheField>
    <cacheField name="Eq Level" numFmtId="0">
      <sharedItems containsBlank="1"/>
    </cacheField>
    <cacheField name="Band" numFmtId="0">
      <sharedItems containsBlank="1"/>
    </cacheField>
    <cacheField name="Gen." numFmtId="0">
      <sharedItems containsBlank="1"/>
    </cacheField>
    <cacheField name="Asset" numFmtId="0">
      <sharedItems/>
    </cacheField>
    <cacheField name="Function / Plant" numFmtId="49">
      <sharedItems count="28">
        <s v="Finance &amp; Accounts"/>
        <s v="Human Resources"/>
        <s v="Corporate Affairs"/>
        <s v="Procurement"/>
        <s v="Bulk Raw Materials"/>
        <s v="CEO Office"/>
        <s v="Administration"/>
        <s v="Stores &amp; Warehouse"/>
        <s v="Corporate Communications"/>
        <s v="Contracts"/>
        <s v="Sales &amp; Marketing"/>
        <s v="Company Secretary"/>
        <s v="Land Acquisition"/>
        <s v="Power &amp; Gas"/>
        <s v="Capex Procurement"/>
        <s v="Internal Audit"/>
        <s v="Industrial Relations"/>
        <s v="Shipping &amp; Chartering"/>
        <s v="PMO"/>
        <s v="Academy for Skill Development"/>
        <s v="Corporate SocialResponsibility"/>
        <s v="Legal"/>
        <s v="Payroll Administration"/>
        <s v="Business Strategy"/>
        <s v="Business Development"/>
        <s v="Logistics – Commercial"/>
        <s v="Secondary Sales"/>
        <s v="Commercial" u="1"/>
      </sharedItems>
    </cacheField>
    <cacheField name="HOD" numFmtId="0">
      <sharedItems/>
    </cacheField>
    <cacheField name="Leader" numFmtId="0">
      <sharedItems containsBlank="1" count="10">
        <s v="Amit Harlalka"/>
        <s v="Ashutosh Telang"/>
        <s v="Manu Kapoor"/>
        <s v="Hrishikesh Kamat"/>
        <s v="Dilip Oommen"/>
        <s v="Alain Legrix De La Salle"/>
        <s v="P Ashok Kumar"/>
        <s v="Sanjay Sharma"/>
        <m u="1"/>
        <s v="Wim Van Gerven" u="1"/>
      </sharedItems>
    </cacheField>
    <cacheField name="Leader's role" numFmtId="0">
      <sharedItems containsBlank="1" count="10">
        <s v="Finance &amp; Accounts"/>
        <s v="HR &amp; Administration"/>
        <s v="Corporate Affairs"/>
        <s v="Procurement"/>
        <s v="CEO Office"/>
        <s v="Sales &amp; Marketing"/>
        <s v="Legal"/>
        <s v="Business Development"/>
        <m u="1"/>
        <s v="Operations" u="1"/>
      </sharedItems>
    </cacheField>
    <cacheField name="Function1" numFmtId="0">
      <sharedItems count="25">
        <s v="Finance &amp; Accounts"/>
        <s v="Human Resources"/>
        <s v="Corporate Affairs"/>
        <s v="Procurement"/>
        <s v="Raw Materials"/>
        <s v="CEO Office"/>
        <s v="Administration"/>
        <s v="Stores &amp; Warehouse"/>
        <s v="Corporate Communications"/>
        <s v="Contracts"/>
        <s v="Sales &amp; Marketing"/>
        <s v="Company Secretary"/>
        <s v="Land Acquisition"/>
        <s v="Internal Audit"/>
        <s v="Industrial Relations"/>
        <s v="Shipping &amp; Chartering"/>
        <s v="Business Strategy"/>
        <s v="Academy for Skill Development"/>
        <s v="Corporate SocialResponsibility"/>
        <s v="Legal"/>
        <s v="Payroll Administration"/>
        <s v="Business Development"/>
        <s v="Logistics"/>
        <s v="Secondary Sales"/>
        <s v="Gandhidham Operations" u="1"/>
      </sharedItems>
    </cacheField>
    <cacheField name="Fno" numFmtId="0">
      <sharedItems containsBlank="1" containsMixedTypes="1" containsNumber="1" containsInteger="1" minValue="28" maxValue="44"/>
    </cacheField>
    <cacheField name="Role Band" numFmtId="0">
      <sharedItems containsBlank="1"/>
    </cacheField>
    <cacheField name="RBno" numFmtId="0">
      <sharedItems containsNonDate="0" containsString="0" containsBlank="1"/>
    </cacheField>
    <cacheField name="Department" numFmtId="0">
      <sharedItems containsBlank="1" count="100">
        <s v="Treasury &amp; Banking"/>
        <s v="Human Resources"/>
        <s v="Corporate Affairs"/>
        <s v="Internal Control &amp; SOX"/>
        <s v="Procurement - Vizag"/>
        <s v="Procurement MRO Hazira"/>
        <s v="Bulk Raw Materials"/>
        <s v="CEO Office"/>
        <s v="Administration"/>
        <s v="Taxation"/>
        <s v="Stores &amp; Warehouse"/>
        <s v="Corporate Communications"/>
        <s v="Corporate Accounts"/>
        <s v="Contracts"/>
        <s v="West"/>
        <s v="Technical Marketing &amp; Application Engineering"/>
        <s v="South"/>
        <s v="Finance &amp; Accounts - Vizag"/>
        <s v="Working Capital"/>
        <s v="Performance Management"/>
        <s v="Finance &amp; Accounts - Odisha"/>
        <s v="Sales Planning"/>
        <s v="Procurement, Pune"/>
        <s v="CMO Office"/>
        <s v="Sales Steering &amp; BD"/>
        <s v="Hypermart"/>
        <s v="Treasury &amp; Risk Management"/>
        <s v="Company Secretary"/>
        <s v="North"/>
        <s v="Land Acquisition"/>
        <s v="East"/>
        <s v="Downstream Construction"/>
        <s v="Plate"/>
        <s v="Iron Ore &amp; Infra"/>
        <s v="Secondary Sales, Non Steel"/>
        <s v="Power &amp; Gas"/>
        <s v="Procurement Service Centre"/>
        <s v="Other West"/>
        <s v="Pipe"/>
        <s v="Capex Procurement"/>
        <s v="Auto"/>
        <s v="Procurement - Odisha"/>
        <s v="CFO Office"/>
        <s v="Procurement"/>
        <s v="Internal Audit"/>
        <s v="Hazira Operations"/>
        <s v="Stores &amp; Warehouse - Pune"/>
        <s v="Finance &amp; Accounts - Pune"/>
        <s v="Pune Operations"/>
        <s v="Industrial Relations"/>
        <s v="Export"/>
        <s v="pro"/>
        <s v="Coated Sales"/>
        <s v="Shipping &amp; Chartering"/>
        <s v="Capex Finance"/>
        <s v="Business Strategy"/>
        <s v="Academy for Skill Development"/>
        <s v="Capex Planning &amp; Projects"/>
        <s v="Corporate Social Responsibility"/>
        <s v="Legal"/>
        <s v="Payroll Administration"/>
        <s v="Dy &amp; VP Sales"/>
        <s v="Business Development"/>
        <s v="Logistics"/>
        <s v="Sales ME"/>
        <s v="Finance &amp; Accounts - Dubai"/>
        <s v="Finance &amp; Accounts - Mines"/>
        <s v="Security, Vigilance &amp; Fire Services"/>
        <s v=""/>
        <s v="Odisha Operations"/>
        <s v="Corporate Communication"/>
        <s v="Raw Material"/>
        <s v="Secondary Sales"/>
        <s v="Projects"/>
        <s v="Corporate Communicatiton"/>
        <s v="Procurement - Ports Odisha"/>
        <s v="Finance &amp; Accounts - Ports Paradip"/>
        <s v="Stores &amp; Warehouse - Power"/>
        <s v="Procurement Power"/>
        <s v="Finance &amp; Accounts - Power Hazira"/>
        <s v="Finance &amp; Accounts - Ports Hazira"/>
        <s v="Finance &amp; Accounts - Khopoli"/>
        <s v="Procurement, Ports"/>
        <s v="Legal / Land"/>
        <s v="Procurement, Khopoli"/>
        <s v="Shipping &amp; Charterin"/>
        <s v="Finance &amp; Accounts - Gandhidham"/>
        <s v="Procurement - Gandhidham"/>
        <s v="Stores &amp; Warehouse - Gandhidham"/>
        <s v="Sales &amp; Marketing"/>
        <s v="Corporate Communicat"/>
        <s v="Logistics – Commercial"/>
        <s v="PEB "/>
        <m/>
        <s v="HR, IR &amp; Admin"/>
        <s v="HR &amp; Admin" u="1"/>
        <s v="Human Resource" u="1"/>
        <s v="Projects Long Products" u="1"/>
        <s v="Lead Sales and Marketing Strategy - Specialty" u="1"/>
        <s v="Commercial" u="1"/>
      </sharedItems>
    </cacheField>
    <cacheField name="Sub Department" numFmtId="0">
      <sharedItems containsBlank="1" count="124">
        <s v="Banking"/>
        <s v="HR &amp; Administration"/>
        <s v="Corporate Relations Group"/>
        <s v="Internal Control &amp; SOX"/>
        <s v="Procurement - Vizag"/>
        <s v="Procurement"/>
        <m/>
        <s v="CEO Office"/>
        <s v=""/>
        <s v="Customs &amp; DGFT"/>
        <s v="Stores &amp; Warehouse"/>
        <s v="HR &amp; Admin"/>
        <s v="Corporate Communications"/>
        <s v="Corporate Accounts &amp; Audit"/>
        <s v="Contracts"/>
        <s v="West"/>
        <s v="Technical Marketing &amp; Application Engineering"/>
        <s v="Treasury &amp; Banking"/>
        <s v="South"/>
        <s v="Hypermart"/>
        <s v="Finance &amp; Accounts - Vizag"/>
        <s v="Accounts Payable"/>
        <s v="Export, Domestic &amp; Banking"/>
        <s v="OEM"/>
        <s v="Performance Management"/>
        <s v="Finance &amp; Accounts - Odisha"/>
        <s v="Sales Planning"/>
        <s v="Accounts Receivable"/>
        <s v="Procurement, Pune"/>
        <s v="CMO Office"/>
        <s v="NCO"/>
        <s v="Administration"/>
        <s v="Treasury"/>
        <s v="Plate"/>
        <s v="Company Secretary"/>
        <s v="North"/>
        <s v="Land Acquisition"/>
        <s v="East"/>
        <s v="Downstream Construction"/>
        <s v="Iron Ore &amp; Infra"/>
        <s v="Secondary Sales"/>
        <s v="Power &amp; Gas"/>
        <s v="Procurement Service Centre"/>
        <s v="Stores"/>
        <s v="Forex &amp; Risk Management"/>
        <s v="Corporate Affairs"/>
        <s v="Pipe"/>
        <s v="Sales Audit"/>
        <s v="Market Intelligence"/>
        <s v="Digital Initiatives"/>
        <s v="Human Resources"/>
        <s v="Sales Steering &amp; BD"/>
        <s v="Capex Procurement"/>
        <s v="Auto"/>
        <s v="GST"/>
        <s v="Risk &amp; Insurance"/>
        <s v="Procurement - Odisha"/>
        <s v="CFO Office"/>
        <s v="Mechanical"/>
        <s v="Internal Audit"/>
        <s v="SMS"/>
        <s v="Stores &amp; Warehouse - Pune"/>
        <s v="Finance &amp; Accounts - Pune"/>
        <s v="Coated Marketing"/>
        <s v="Transport"/>
        <s v="Industrial Relation ER"/>
        <s v="Export"/>
        <s v="Coated Sales"/>
        <s v="HR,Admin &amp; IR"/>
        <s v="Logistics"/>
        <s v="Other West"/>
        <s v="Capex Finance"/>
        <s v="Business Strategy"/>
        <s v="Service Centers"/>
        <s v="Training"/>
        <s v="AWESOME Projects, CRM Projects, Coal Conveyor to 300 MW PP"/>
        <s v="CSR"/>
        <s v="Coporate Communication"/>
        <s v="Legal"/>
        <s v="Shipping &amp; Chartering"/>
        <s v="Dy &amp; VP Sales"/>
        <s v="Operation &amp; Maintenance  and Control &amp; Instrumentation"/>
        <s v="Working Capital"/>
        <s v="Taxation"/>
        <s v="Product Branding"/>
        <s v="People Strategy&amp; HR Center of Excellence"/>
        <s v="Direct - Taxation"/>
        <s v="Secondary Sales, Non Steel"/>
        <s v="Sales ME"/>
        <s v="Finance &amp; Accounts - Dubai"/>
        <s v="Finance &amp; Accounts - Mines"/>
        <s v="Pricing"/>
        <s v="Procurement - Mining"/>
        <s v="Corporate Communication"/>
        <s v="Accounts Payable - Capex"/>
        <s v="Order Entry"/>
        <s v="Industrial Relations"/>
        <s v="Procurement - Ports Odisha"/>
        <s v="Finance &amp; Accounts - Ports Paradip"/>
        <s v="Stores &amp; Warehouse - Power"/>
        <s v="Finance &amp; Accounts - Power Hazira"/>
        <s v="Finance &amp; Accounts - Ports Hazira"/>
        <s v="Finance &amp; Accounts - Khopoli"/>
        <s v="TTPL"/>
        <s v="Procurement, Khopoli"/>
        <s v="MDM"/>
        <s v="Finance &amp; Accounts - Gandhidham"/>
        <s v="Downstream Finance"/>
        <s v="MT"/>
        <s v="PEB "/>
        <s v="Diesel supply"/>
        <s v="HR, IR &amp; Admin"/>
        <s v="Land Matters"/>
        <s v="Sales &amp; Marketing, Khopoli" u="1"/>
        <s v="Projects Long Products" u="1"/>
        <s v="Scrap" u="1"/>
        <s v="Hypermart " u="1"/>
        <s v="National Sales" u="1"/>
        <s v="Sales &amp; Marketing" u="1"/>
        <s v="Raw Material" u="1"/>
        <s v="Liaisoning" u="1"/>
        <s v="Bulck Raw Material" u="1"/>
        <s v="Bulk Raw Materials" u="1"/>
        <s v="In Direct - Taxation" u="1"/>
      </sharedItems>
    </cacheField>
    <cacheField name="Sub Area" numFmtId="0">
      <sharedItems containsBlank="1"/>
    </cacheField>
    <cacheField name="Functional_x000a_Grouping" numFmtId="0">
      <sharedItems containsBlank="1"/>
    </cacheField>
    <cacheField name="Job Family Text" numFmtId="0">
      <sharedItems containsBlank="1"/>
    </cacheField>
    <cacheField name="Job Type Text" numFmtId="0">
      <sharedItems containsBlank="1"/>
    </cacheField>
    <cacheField name="Job Code" numFmtId="0">
      <sharedItems containsBlank="1"/>
    </cacheField>
    <cacheField name="Job Text" numFmtId="0">
      <sharedItems containsBlank="1"/>
    </cacheField>
    <cacheField name="Location" numFmtId="0">
      <sharedItems containsBlank="1"/>
    </cacheField>
    <cacheField name="DOB" numFmtId="0">
      <sharedItems containsDate="1" containsBlank="1" containsMixedTypes="1" minDate="1951-09-26T00:00:00" maxDate="2001-07-08T00:00:00"/>
    </cacheField>
    <cacheField name="Age" numFmtId="0">
      <sharedItems containsBlank="1" containsMixedTypes="1" containsNumber="1" minValue="22.69041095890411" maxValue="49.043835616438358"/>
    </cacheField>
    <cacheField name="DOJ" numFmtId="0">
      <sharedItems containsDate="1" containsBlank="1" containsMixedTypes="1" minDate="1987-01-01T00:00:00" maxDate="2023-08-22T00:00:00"/>
    </cacheField>
    <cacheField name="Retirement" numFmtId="0">
      <sharedItems containsNonDate="0" containsDate="1" containsString="0" containsBlank="1" minDate="2009-09-30T00:00:00" maxDate="2059-08-01T00:00:00"/>
    </cacheField>
    <cacheField name="Extension" numFmtId="0">
      <sharedItems containsNonDate="0" containsDate="1" containsString="0" containsBlank="1" minDate="2023-05-16T00:00:00" maxDate="2029-11-01T00:00:00"/>
    </cacheField>
    <cacheField name="LWD" numFmtId="0">
      <sharedItems containsNonDate="0" containsDate="1" containsString="0" containsBlank="1" minDate="2022-06-30T00:00:00" maxDate="2059-08-01T00:00:00"/>
    </cacheField>
    <cacheField name="Day's_x000a_Left" numFmtId="0">
      <sharedItems containsString="0" containsBlank="1" containsNumber="1" containsInteger="1" minValue="-447" maxValue="13098"/>
    </cacheField>
    <cacheField name="Blood_x000a_Group" numFmtId="0">
      <sharedItems containsBlank="1"/>
    </cacheField>
    <cacheField name="Qualification" numFmtId="0">
      <sharedItems containsBlank="1"/>
    </cacheField>
    <cacheField name="Pre Exp." numFmtId="0">
      <sharedItems containsBlank="1" containsMixedTypes="1" containsNumber="1" minValue="3" maxValue="23"/>
    </cacheField>
    <cacheField name="AMNS Exp." numFmtId="0">
      <sharedItems containsBlank="1" containsMixedTypes="1" containsNumber="1" minValue="7.9452054794520555E-2" maxValue="2.2532511978097189"/>
    </cacheField>
    <cacheField name="Total_x000a_ Exp." numFmtId="0">
      <sharedItems containsBlank="1" containsMixedTypes="1" containsNumber="1" minValue="3.2464065708418892" maxValue="23.397260273972599"/>
    </cacheField>
    <cacheField name="Org. code" numFmtId="0">
      <sharedItems containsBlank="1"/>
    </cacheField>
    <cacheField name="Org Unit text" numFmtId="0">
      <sharedItems containsBlank="1"/>
    </cacheField>
    <cacheField name="Position" numFmtId="0">
      <sharedItems containsBlank="1"/>
    </cacheField>
    <cacheField name="Position text" numFmtId="0">
      <sharedItems containsBlank="1"/>
    </cacheField>
    <cacheField name="Payroll Area" numFmtId="0">
      <sharedItems containsBlank="1"/>
    </cacheField>
    <cacheField name="Cost Center" numFmtId="0">
      <sharedItems containsBlank="1"/>
    </cacheField>
    <cacheField name="Cost center text" numFmtId="0">
      <sharedItems containsBlank="1"/>
    </cacheField>
    <cacheField name="Org key Code" numFmtId="0">
      <sharedItems containsBlank="1"/>
    </cacheField>
    <cacheField name="Supervisor code" numFmtId="0">
      <sharedItems containsSemiMixedTypes="0" containsString="0" containsNumber="1" containsInteger="1" minValue="0" maxValue="40002642"/>
    </cacheField>
    <cacheField name="Supervisor Name" numFmtId="0">
      <sharedItems containsMixedTypes="1" containsNumber="1" containsInteger="1" minValue="0" maxValue="0"/>
    </cacheField>
    <cacheField name="Mail" numFmtId="0">
      <sharedItems containsBlank="1"/>
    </cacheField>
    <cacheField name="Mobile" numFmtId="0">
      <sharedItems containsBlank="1" containsMixedTypes="1" containsNumber="1" containsInteger="1" minValue="6357192754" maxValue="9925241063"/>
    </cacheField>
    <cacheField name="AMEI" numFmtId="0">
      <sharedItems containsBlank="1" containsMixedTypes="1" containsNumber="1" containsInteger="1" minValue="810319" maxValue="1025511"/>
    </cacheField>
    <cacheField name="MIS Spoc" numFmtId="0">
      <sharedItems containsBlank="1"/>
    </cacheField>
    <cacheField name="HR1" numFmtId="0">
      <sharedItems containsBlank="1"/>
    </cacheField>
    <cacheField name="HR2" numFmtId="0">
      <sharedItems containsBlank="1"/>
    </cacheField>
    <cacheField name="HR3" numFmtId="0">
      <sharedItems containsBlank="1"/>
    </cacheField>
    <cacheField name="Capex / Opex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kashish1" refreshedDate="45229.750469560182" createdVersion="8" refreshedVersion="8" minRefreshableVersion="3" recordCount="1020" xr:uid="{00000000-000A-0000-FFFF-FFFF6F000000}">
  <cacheSource type="worksheet">
    <worksheetSource ref="A1:AX1013" sheet="Master" r:id="rId2"/>
  </cacheSource>
  <cacheFields count="50">
    <cacheField name="Sr" numFmtId="164">
      <sharedItems containsSemiMixedTypes="0" containsString="0" containsNumber="1" containsInteger="1" minValue="1" maxValue="1020"/>
    </cacheField>
    <cacheField name="Position" numFmtId="0">
      <sharedItems containsBlank="1"/>
    </cacheField>
    <cacheField name="Position text" numFmtId="0">
      <sharedItems containsBlank="1" containsMixedTypes="1" containsNumber="1" containsInteger="1" minValue="0" maxValue="0"/>
    </cacheField>
    <cacheField name="Code" numFmtId="0">
      <sharedItems containsBlank="1" containsMixedTypes="1" containsNumber="1" containsInteger="1" minValue="1111" maxValue="80141906"/>
    </cacheField>
    <cacheField name="Name " numFmtId="0">
      <sharedItems/>
    </cacheField>
    <cacheField name="Company" numFmtId="0">
      <sharedItems count="9">
        <s v="AM/NS India"/>
        <s v="AM/NS Middle East FZE"/>
        <s v="AM/NS Shipping &amp; Logistics"/>
        <s v="AM/NS Ports Paradip"/>
        <s v="AM/NS Power Hazira"/>
        <s v="AM/NS Ports Hazira"/>
        <s v="AMNS Khopoli"/>
        <s v="AM/NS Gandhidham"/>
        <s v="AM/NS SSL"/>
      </sharedItems>
    </cacheField>
    <cacheField name="Grp" numFmtId="0">
      <sharedItems containsBlank="1"/>
    </cacheField>
    <cacheField name="Level" numFmtId="0">
      <sharedItems/>
    </cacheField>
    <cacheField name="Eq Level" numFmtId="0">
      <sharedItems containsBlank="1"/>
    </cacheField>
    <cacheField name="Band" numFmtId="0">
      <sharedItems containsBlank="1"/>
    </cacheField>
    <cacheField name="Gen." numFmtId="0">
      <sharedItems containsBlank="1"/>
    </cacheField>
    <cacheField name="Asset" numFmtId="0">
      <sharedItems/>
    </cacheField>
    <cacheField name="Function / Plant" numFmtId="0">
      <sharedItems count="75">
        <s v="Banking"/>
        <s v="Corporate HR"/>
        <s v="Corporate Affairs"/>
        <s v="Internal Control &amp; SOX"/>
        <s v="Unit Procurement"/>
        <s v="Procurement Management"/>
        <s v="Bulk Raw Materials"/>
        <s v="CEO Office"/>
        <s v="Administration"/>
        <s v="Indirect Tax"/>
        <s v="Stores &amp; Warehouse"/>
        <s v="Business HR"/>
        <s v="Corporate Communications"/>
        <s v="Corporate Accounts &amp; Audit"/>
        <s v="Contracts"/>
        <s v="OEM"/>
        <s v="Technical Marketing &amp; Application Engineering"/>
        <s v="Treasury &amp; Banking"/>
        <s v="Hypermart"/>
        <s v="Finance &amp; Accounts - Vizag"/>
        <s v="Accounts Payable"/>
        <s v="Export, Domestic &amp; Banking"/>
        <s v="Performance Management"/>
        <s v="Finance &amp; Accounts - Odisha"/>
        <s v="Sales Planning"/>
        <s v="Accounts Receivable"/>
        <s v="CMO Office"/>
        <s v="NCO"/>
        <s v="Treasury"/>
        <s v="Risk &amp; Insuarance "/>
        <s v="Plate"/>
        <s v="Company Secretary"/>
        <s v="Land Acquisition"/>
        <s v="Downstream Construction"/>
        <s v="Iron Ore &amp; Infra"/>
        <s v="Power &amp; Gas"/>
        <s v="Pipe"/>
        <s v="Sales Audit"/>
        <s v="Market Intelligence"/>
        <s v="Digital Initiatives"/>
        <s v="Sales Steering &amp; BD"/>
        <s v="Capex Procurement"/>
        <s v="Automotive Sales"/>
        <s v="CFO Office"/>
        <s v="Internal Audit"/>
        <s v="Finance &amp; Accounts - Pune"/>
        <s v="Industrial Relations"/>
        <s v="Coated Marketing"/>
        <s v="Middle East &amp; Export"/>
        <s v="Coated Sales"/>
        <s v="Shipping &amp; Chartering"/>
        <s v="Service Centers"/>
        <s v="Capex Finance &amp; Controlling"/>
        <s v="Business Strategy"/>
        <s v="Centre of Excellence"/>
        <s v="Academy for Skill Development"/>
        <s v="Corporate SocialResponsibility"/>
        <s v="Legal"/>
        <s v="Payroll Administration"/>
        <s v="Business Development"/>
        <s v="Working Capital"/>
        <s v="Taxation"/>
        <s v="Product Branding"/>
        <s v="Direct Tax"/>
        <s v="Logistics – Commercial"/>
        <s v="Secondary Sales"/>
        <s v="Finance &amp; Accounts - Dubai"/>
        <s v="Finance &amp; Accounts - Mines"/>
        <s v="Accounts Payable Capex"/>
        <s v="Finance &amp; Accounts - Ports Paradip"/>
        <s v="Finance &amp; Accounts - Power Hazira"/>
        <s v="Finance &amp; Accounts - Ports Hazira"/>
        <s v="Finance &amp; Accounts - Khopoli"/>
        <s v="Finance &amp; Accounts - Gandhidham"/>
        <s v="Sales &amp; Marketing"/>
      </sharedItems>
    </cacheField>
    <cacheField name="HOD" numFmtId="0">
      <sharedItems/>
    </cacheField>
    <cacheField name="Leader" numFmtId="0">
      <sharedItems/>
    </cacheField>
    <cacheField name="Leader's role" numFmtId="0">
      <sharedItems/>
    </cacheField>
    <cacheField name="Function1" numFmtId="0">
      <sharedItems count="38">
        <s v="Treasury &amp; Banking"/>
        <s v="Human Resources"/>
        <s v="Corporate Affairs"/>
        <s v="Internal Control &amp; SOX"/>
        <s v="Procurement"/>
        <s v="CEO Office"/>
        <s v="Administration"/>
        <s v="Taxation"/>
        <s v="Stores &amp; Warehouse"/>
        <s v="Corporate Communications"/>
        <s v="Corporate Accounts &amp; Audit"/>
        <s v="Contracts"/>
        <s v="Sales"/>
        <s v="Technical Marketing &amp; Application Engineering"/>
        <s v="Hypermart"/>
        <s v="Unit Finance "/>
        <s v="Working Capital"/>
        <s v="Performance Management"/>
        <s v="Sales Planning"/>
        <s v="Sales &amp; Marketing"/>
        <s v="Sales Steering &amp; BD"/>
        <s v="Risk &amp; Insuarance "/>
        <s v="Company Secretary"/>
        <s v="Land Acquisition"/>
        <s v="Iron Ore &amp; Infra"/>
        <s v="Capex Procurement"/>
        <s v="CFO Office"/>
        <s v="Internal Audit"/>
        <s v="Industrial Relations"/>
        <s v="Shipping &amp; Chartering"/>
        <s v="Capex Finance &amp; Controlling"/>
        <s v="Business Strategy"/>
        <s v="Academy for Skill Development"/>
        <s v="Corporate SocialResponsibility"/>
        <s v="Legal"/>
        <s v="Business Development"/>
        <s v="Logistics"/>
        <s v="Secondary Sales"/>
      </sharedItems>
    </cacheField>
    <cacheField name="Major Functions" numFmtId="0">
      <sharedItems count="10">
        <s v="Finance &amp; Accounts"/>
        <s v="HR &amp; Administration"/>
        <s v="Corporate Affairs &amp; Land Acquisition"/>
        <s v="Procurement"/>
        <s v="CEO Office"/>
        <s v="Sales &amp; Marketing"/>
        <s v="Legal &amp; Company Secretary"/>
        <s v="Internal Audit"/>
        <s v="Business Strategy"/>
        <s v="Business Development"/>
      </sharedItems>
    </cacheField>
    <cacheField name="Role Band" numFmtId="0">
      <sharedItems containsBlank="1"/>
    </cacheField>
    <cacheField name="Department" numFmtId="0">
      <sharedItems count="82">
        <s v="Treasury &amp; Banking"/>
        <s v="Human Resources"/>
        <s v="Corporate Affairs"/>
        <s v="Internal Control &amp; SOX"/>
        <s v="Procurement - Vizag"/>
        <s v="Procurement MRO Hazira"/>
        <s v="Bulk Raw Materials"/>
        <s v="CEO Office"/>
        <s v="Administration"/>
        <s v="Taxation"/>
        <s v="Stores &amp; Warehouse"/>
        <s v="Corporate Communications"/>
        <s v="Corporate Accounts &amp; Audit"/>
        <s v="Contracts"/>
        <s v="OEM"/>
        <s v="Technical Marketing &amp; Application Engineering"/>
        <s v="Hypermart"/>
        <s v="Finance &amp; Accounts - Vizag"/>
        <s v="Working Capital"/>
        <s v="Performance Management"/>
        <s v="Finance &amp; Accounts - Odisha"/>
        <s v="Sales Planning"/>
        <s v="Procurement, Pune"/>
        <s v="CMO Office"/>
        <s v="Sales Steering &amp; BD"/>
        <s v="Risk &amp; Insuarance "/>
        <s v="Plate"/>
        <s v="Company Secretary"/>
        <s v="Land Acquisition"/>
        <s v="Downstream Construction"/>
        <s v="Iron Ore &amp; Infra"/>
        <s v="Secondary Sales, Non Steel"/>
        <s v="Power &amp; Gas"/>
        <s v="Procurement Service Centre"/>
        <s v="Pipe"/>
        <s v="Capex Procurement"/>
        <s v="Automotive Sales"/>
        <s v="Procurement - Odisha"/>
        <s v="CFO Office"/>
        <s v="Procurement"/>
        <s v="Internal Audit"/>
        <s v="Stores &amp; Warehouse - Pune"/>
        <s v="Finance &amp; Accounts - Pune"/>
        <s v="Pune Admin"/>
        <s v="Industrial Relations"/>
        <s v="Middle East &amp; Export"/>
        <s v="pro"/>
        <s v="Coated Sales"/>
        <s v="Shipping &amp; Chartering"/>
        <s v="Capex Finance &amp; Controlling"/>
        <s v="PMO"/>
        <s v="Academy for Skill Development"/>
        <s v="Capex Planning &amp; Projects"/>
        <s v="Corporate Social Responsibility"/>
        <s v="Legal"/>
        <s v="Payroll Administration"/>
        <s v="Business Strategy"/>
        <s v="Business Development"/>
        <s v="Logistics"/>
        <s v="Finance &amp; Accounts - Dubai"/>
        <s v="Finance &amp; Accounts - Mines"/>
        <s v="Secondary Sales"/>
        <s v="Raw Material"/>
        <s v="Procurement - Ports Odisha"/>
        <s v="Finance &amp; Accounts - Ports Paradip"/>
        <s v="Stores &amp; Warehouse - Power"/>
        <s v="Procurement Power"/>
        <s v="Finance &amp; Accounts - Power Hazira"/>
        <s v="Finance &amp; Accounts - Ports Hazira"/>
        <s v="Finance &amp; Accounts - Khopoli"/>
        <s v="Procurement, Ports"/>
        <s v="Procurement, Khopoli"/>
        <s v="Finance &amp; Accounts - Gandhidham"/>
        <s v="Procurement - Gandhidham"/>
        <s v="Stores &amp; Warehouse - Gandhidham"/>
        <s v="Sales &amp; Marketing"/>
        <s v="Logistics – Commercial"/>
        <s v="Hazira Operations" u="1"/>
        <s v="Corporate SocialResponsibility" u="1"/>
        <s v="Pune Operations" u="1"/>
        <s v="Corporate Communication" u="1"/>
        <s v="HR, IR &amp; Admin" u="1"/>
      </sharedItems>
    </cacheField>
    <cacheField name="Sub Department" numFmtId="0">
      <sharedItems count="106">
        <s v="Banking"/>
        <s v="HR &amp; Administration"/>
        <s v="Corporate Relations Group"/>
        <s v="Internal Control &amp; SOX"/>
        <s v="Procurement - Vizag"/>
        <s v="Procurement"/>
        <s v="Bulk Raw Materials"/>
        <s v="CEO Office"/>
        <s v="Administration"/>
        <s v="Customs &amp; DGFT"/>
        <s v="Stores &amp; Warehouse"/>
        <s v="HR &amp; Admin"/>
        <s v="Corporate Communications"/>
        <s v="Corporate Accounts &amp; Audit"/>
        <s v="Contracts"/>
        <s v="Sales"/>
        <s v="Technical Marketing &amp; Application Engineering"/>
        <s v="Treasury &amp; Banking"/>
        <s v="Hypermart"/>
        <s v="Finance &amp; Accounts - Vizag"/>
        <s v="Accounts Payable"/>
        <s v="Export, Domestic &amp; Banking"/>
        <s v="Performance Management"/>
        <s v="Finance &amp; Accounts - Odisha"/>
        <s v="Human Resources"/>
        <s v="Sales Planning"/>
        <s v="Accounts Receivable"/>
        <s v="Procurement, Pune"/>
        <s v="Sales &amp; Marketing"/>
        <s v="NCO"/>
        <s v="Treasury"/>
        <s v="Company Secretary"/>
        <s v="Land Acquisition"/>
        <s v="Iron Ore &amp; Infra"/>
        <s v="Secondary Sales"/>
        <s v="Power &amp; Gas"/>
        <s v="Procurement Service Centre"/>
        <s v="Stores"/>
        <s v="Forex &amp; Risk Management"/>
        <s v="Corporate Affairs"/>
        <s v="Sales Audit"/>
        <s v="Market Intelligence"/>
        <s v="Digital Initiatives"/>
        <s v="Sales Steering &amp; BD"/>
        <s v="Capex Procurement"/>
        <s v="GST"/>
        <s v="Risk &amp; Insurance"/>
        <s v="Procurement - Odisha"/>
        <s v="CFO Office"/>
        <s v="Mechanical"/>
        <s v="Internal Audit"/>
        <s v="SMS"/>
        <s v="Stores &amp; Warehouse - Pune"/>
        <s v="Finance &amp; Accounts - Pune"/>
        <s v="Coated Marketing"/>
        <s v="Transport"/>
        <s v="Industrial Relation ER"/>
        <s v="HR,Admin &amp; IR"/>
        <s v="Logistics"/>
        <s v="Capex Finance"/>
        <s v="Business Strategy"/>
        <s v="Industrial Relations"/>
        <s v="Service Centers"/>
        <s v="Training"/>
        <s v="Academy for Skill Development"/>
        <s v="AWESOME Projects, CRM Projects, Coal Conveyor to 300 MW PP"/>
        <s v="CSR"/>
        <s v="Coporate Communication"/>
        <s v="Legal"/>
        <s v="Payroll Administration"/>
        <s v="Shipping &amp; Chartering"/>
        <s v="Operation &amp; Maintenance  and Control &amp; Instrumentation"/>
        <s v="Business Development"/>
        <s v="Working Capital"/>
        <s v="Taxation"/>
        <s v="Product Branding"/>
        <s v="People Strategy&amp; HR Center of Excellence"/>
        <s v="Direct - Taxation"/>
        <s v="Secondary Sales, Non Steel"/>
        <s v="Finance &amp; Accounts - Dubai"/>
        <s v="Finance &amp; Accounts - Mines"/>
        <s v="Pricing"/>
        <s v="Corporate SocialResponsibility"/>
        <s v="Procurement - Mining"/>
        <s v="Corporate Communication"/>
        <s v="Raw Material"/>
        <s v="Accounts Payable - Capex"/>
        <s v="Corporate Social Responsibility"/>
        <s v="Procurement - Ports Odisha"/>
        <s v="Finance &amp; Accounts - Ports Paradip"/>
        <s v="Stores &amp; Warehouse - Power"/>
        <s v="Finance &amp; Accounts - Power Hazira"/>
        <s v="Finance &amp; Accounts - Ports Hazira"/>
        <s v="Finance &amp; Accounts - Khopoli"/>
        <s v="TTPL"/>
        <s v="Procurement, Khopoli"/>
        <s v="MDM"/>
        <s v="Finance &amp; Accounts - Gandhidham"/>
        <s v="Procurement - Gandhidham"/>
        <s v="Stores &amp; Warehouse - Gandhidham"/>
        <s v="Downstream Finance"/>
        <s v="MT"/>
        <s v="Logistics – Commercial"/>
        <s v="Diesel supply"/>
        <s v="HR, IR &amp; Admin"/>
        <s v="Land Matters"/>
      </sharedItems>
    </cacheField>
    <cacheField name="Job Code" numFmtId="0">
      <sharedItems containsBlank="1"/>
    </cacheField>
    <cacheField name="Job Text" numFmtId="0">
      <sharedItems containsBlank="1"/>
    </cacheField>
    <cacheField name="Location" numFmtId="0">
      <sharedItems containsBlank="1"/>
    </cacheField>
    <cacheField name="DOB" numFmtId="0">
      <sharedItems containsDate="1" containsBlank="1" containsMixedTypes="1" minDate="1951-09-26T00:00:00" maxDate="2001-07-08T00:00:00"/>
    </cacheField>
    <cacheField name="Age" numFmtId="0">
      <sharedItems containsBlank="1" containsMixedTypes="1" containsNumber="1" minValue="22.69041095890411" maxValue="49.043835616438358"/>
    </cacheField>
    <cacheField name="DOJ" numFmtId="0">
      <sharedItems containsDate="1" containsBlank="1" containsMixedTypes="1" minDate="1987-01-01T00:00:00" maxDate="2023-08-22T00:00:00"/>
    </cacheField>
    <cacheField name="Retirement" numFmtId="0">
      <sharedItems containsNonDate="0" containsDate="1" containsString="0" containsBlank="1" minDate="2009-09-30T00:00:00" maxDate="2059-08-01T00:00:00"/>
    </cacheField>
    <cacheField name="Extension" numFmtId="0">
      <sharedItems containsNonDate="0" containsDate="1" containsString="0" containsBlank="1" minDate="2023-05-16T00:00:00" maxDate="2029-11-01T00:00:00"/>
    </cacheField>
    <cacheField name="LWD" numFmtId="0">
      <sharedItems containsNonDate="0" containsDate="1" containsString="0" containsBlank="1" minDate="2022-06-30T00:00:00" maxDate="2059-08-01T00:00:00"/>
    </cacheField>
    <cacheField name="Day's_x000a_Left" numFmtId="0">
      <sharedItems containsString="0" containsBlank="1" containsNumber="1" containsInteger="1" minValue="-447" maxValue="13098"/>
    </cacheField>
    <cacheField name="Blood_x000a_Group" numFmtId="0">
      <sharedItems containsBlank="1"/>
    </cacheField>
    <cacheField name="Qualification" numFmtId="0">
      <sharedItems containsBlank="1"/>
    </cacheField>
    <cacheField name="Pre Exp." numFmtId="0">
      <sharedItems containsBlank="1" containsMixedTypes="1" containsNumber="1" minValue="3" maxValue="23"/>
    </cacheField>
    <cacheField name="AMNS Exp." numFmtId="0">
      <sharedItems containsBlank="1" containsMixedTypes="1" containsNumber="1" minValue="7.9452054794520555E-2" maxValue="2.2532511978097189"/>
    </cacheField>
    <cacheField name="Total_x000a_ Exp." numFmtId="0">
      <sharedItems containsBlank="1" containsMixedTypes="1" containsNumber="1" minValue="3.2464065708418892" maxValue="23.397260273972599"/>
    </cacheField>
    <cacheField name="Org. code" numFmtId="0">
      <sharedItems containsBlank="1"/>
    </cacheField>
    <cacheField name="Org Unit text" numFmtId="0">
      <sharedItems containsBlank="1"/>
    </cacheField>
    <cacheField name="Position2" numFmtId="0">
      <sharedItems containsBlank="1"/>
    </cacheField>
    <cacheField name="Position text2" numFmtId="0">
      <sharedItems containsBlank="1" containsMixedTypes="1" containsNumber="1" containsInteger="1" minValue="0" maxValue="0"/>
    </cacheField>
    <cacheField name="Supervisor code" numFmtId="0">
      <sharedItems containsMixedTypes="1" containsNumber="1" containsInteger="1" minValue="0" maxValue="40002642"/>
    </cacheField>
    <cacheField name="Supervisor Name" numFmtId="0">
      <sharedItems containsMixedTypes="1" containsNumber="1" containsInteger="1" minValue="0" maxValue="0"/>
    </cacheField>
    <cacheField name="Mail" numFmtId="0">
      <sharedItems containsBlank="1"/>
    </cacheField>
    <cacheField name="Mobile" numFmtId="0">
      <sharedItems containsBlank="1" containsMixedTypes="1" containsNumber="1" containsInteger="1" minValue="6357192754" maxValue="9925241063"/>
    </cacheField>
    <cacheField name="AMEI" numFmtId="0">
      <sharedItems containsBlank="1" containsMixedTypes="1" containsNumber="1" containsInteger="1" minValue="810319" maxValue="1025511"/>
    </cacheField>
    <cacheField name="MIS Spoc" numFmtId="0">
      <sharedItems containsBlank="1"/>
    </cacheField>
    <cacheField name="HR1" numFmtId="0">
      <sharedItems containsBlank="1"/>
    </cacheField>
    <cacheField name="HR2" numFmtId="0">
      <sharedItems containsBlank="1"/>
    </cacheField>
    <cacheField name="HR3" numFmtId="0">
      <sharedItems containsBlank="1"/>
    </cacheField>
    <cacheField name="Capex / Opex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as, Dhruv - AM/NS India - HR (HAZ)" refreshedDate="46196.452226273148" createdVersion="8" refreshedVersion="8" minRefreshableVersion="3" recordCount="719" xr:uid="{00000000-000A-0000-FFFF-FFFF70000000}">
  <cacheSource type="worksheet">
    <worksheetSource ref="A1:AA720" sheet="Recruitment Tracker "/>
  </cacheSource>
  <cacheFields count="27">
    <cacheField name="S_No" numFmtId="0">
      <sharedItems containsSemiMixedTypes="0" containsString="0" containsNumber="1" containsInteger="1" minValue="1" maxValue="719"/>
    </cacheField>
    <cacheField name="FPR from _x000a_TA / BHR" numFmtId="0">
      <sharedItems count="4">
        <s v="Dhruv Vyas"/>
        <s v="Chanchal Agarwal"/>
        <s v="Khyati"/>
        <s v="Lincia"/>
      </sharedItems>
    </cacheField>
    <cacheField name="Approval" numFmtId="0">
      <sharedItems/>
    </cacheField>
    <cacheField name="Budgeted Year" numFmtId="0">
      <sharedItems/>
    </cacheField>
    <cacheField name="Replacement/ New" numFmtId="0">
      <sharedItems/>
    </cacheField>
    <cacheField name="Position " numFmtId="0">
      <sharedItems/>
    </cacheField>
    <cacheField name="Position Code" numFmtId="0">
      <sharedItems containsMixedTypes="1" containsNumber="1" containsInteger="1" minValue="217588" maxValue="72152818"/>
    </cacheField>
    <cacheField name="Grade" numFmtId="0">
      <sharedItems/>
    </cacheField>
    <cacheField name="Function" numFmtId="0">
      <sharedItems count="20">
        <s v="SSC Operations"/>
        <s v="SSC Project"/>
        <s v="Finance &amp; Accounts"/>
        <s v="Internal Audit"/>
        <s v="Legal"/>
        <s v="Gift City"/>
        <s v="IT"/>
        <s v="CSR"/>
        <s v="Corp Comm"/>
        <s v="Business Strategy"/>
        <s v="HR"/>
        <s v="Sales &amp; Marketing "/>
        <s v="Procurement"/>
        <s v="Stores &amp; Warehouse"/>
        <s v="Contracts"/>
        <s v="Raw Materials"/>
        <s v="Shipping &amp; Logistics"/>
        <s v="Land Acquisition"/>
        <s v="Corporate Affairs"/>
        <s v="Capex Procurement"/>
      </sharedItems>
    </cacheField>
    <cacheField name="Sub Function" numFmtId="0">
      <sharedItems/>
    </cacheField>
    <cacheField name="Asset/Fn" numFmtId="0">
      <sharedItems/>
    </cacheField>
    <cacheField name="Location " numFmtId="0">
      <sharedItems containsBlank="1"/>
    </cacheField>
    <cacheField name="Reports to " numFmtId="0">
      <sharedItems containsBlank="1"/>
    </cacheField>
    <cacheField name="Hiring Activation Date" numFmtId="0">
      <sharedItems containsDate="1" containsBlank="1" containsMixedTypes="1" minDate="2024-01-01T00:00:00" maxDate="2027-01-01T00:00:00"/>
    </cacheField>
    <cacheField name="JD Finalisation Date" numFmtId="0">
      <sharedItems containsDate="1" containsBlank="1" containsMixedTypes="1" minDate="2023-07-18T00:00:00" maxDate="2027-01-01T00:00:00"/>
    </cacheField>
    <cacheField name="Position allocation on ACE" numFmtId="0">
      <sharedItems containsDate="1" containsBlank="1" containsMixedTypes="1" minDate="2026-06-01T00:00:00" maxDate="2026-06-19T00:00:00"/>
    </cacheField>
    <cacheField name="Sourcing through" numFmtId="0">
      <sharedItems/>
    </cacheField>
    <cacheField name="Agreed TAT for Offer _x000a_(Days)" numFmtId="0">
      <sharedItems containsBlank="1" containsMixedTypes="1" containsNumber="1" containsInteger="1" minValue="-191" maxValue="532"/>
    </cacheField>
    <cacheField name="Ageing" numFmtId="0">
      <sharedItems containsBlank="1" containsMixedTypes="1" containsNumber="1" containsInteger="1" minValue="0" maxValue="767"/>
    </cacheField>
    <cacheField name="Ageing Bucket" numFmtId="0">
      <sharedItems containsBlank="1" count="31">
        <s v="30-60"/>
        <m/>
        <s v="120+"/>
        <s v="60-90"/>
        <s v="0-30"/>
        <s v="90-120"/>
        <s v=" "/>
        <s v="30 - 60" u="1"/>
        <s v="120 +" u="1"/>
        <s v="60 - 90" u="1"/>
        <s v="120-150" u="1"/>
        <s v="0-45" u="1"/>
        <s v="90+" u="1"/>
        <s v="0-30 Days" u="1"/>
        <s v="120+ Days" u="1"/>
        <s v="60-90 Days" u="1"/>
        <s v="90-120 Days" u="1"/>
        <s v="30-60 Days" u="1"/>
        <s v="Joined" u="1"/>
        <s v="CV Screening" u="1"/>
        <s v="Profile Sourcing" u="1"/>
        <s v="Candidate Interview" u="1"/>
        <s v="GET 2025 Confirmation Position" u="1"/>
        <s v="Offered" u="1"/>
        <s v="Hold" u="1"/>
        <s v="Interview" u="1"/>
        <s v="BPO " u="1"/>
        <s v="Screening" u="1"/>
        <s v="Internal Movement" u="1"/>
        <s v="TBO" u="1"/>
        <s v="Sourcing" u="1"/>
      </sharedItems>
    </cacheField>
    <cacheField name="Current Status" numFmtId="0">
      <sharedItems count="20">
        <s v="Hold"/>
        <s v="Joined"/>
        <s v="Confirmation"/>
        <s v="Offered"/>
        <s v="TBO"/>
        <s v="WIP"/>
        <s v="Yet to Start"/>
        <s v="Internal Movement"/>
        <s v="-OJT Confirmation" u="1"/>
        <s v="OYTJ" u="1"/>
        <s v="Screening" u="1"/>
        <s v="Profile Sourcing" u="1"/>
        <s v="Interview" u="1"/>
        <s v="Sourcing" u="1"/>
        <s v="Shortlisted" u="1"/>
        <s v="CV Screening" u="1"/>
        <s v="Candidate Interview" u="1"/>
        <s v="GET 2025 Confirmation Position" u="1"/>
        <s v="Internal Transfer" u="1"/>
        <s v="On Hold" u="1"/>
      </sharedItems>
    </cacheField>
    <cacheField name="Commitment Date" numFmtId="0">
      <sharedItems containsDate="1" containsBlank="1" containsMixedTypes="1" minDate="2026-01-08T00:00:00" maxDate="2026-11-09T00:00:00"/>
    </cacheField>
    <cacheField name="Candidate joining date" numFmtId="0">
      <sharedItems containsDate="1" containsBlank="1" containsMixedTypes="1" minDate="2026-01-08T00:00:00" maxDate="2026-07-10T00:00:00"/>
    </cacheField>
    <cacheField name="Candidate Name" numFmtId="0">
      <sharedItems containsBlank="1"/>
    </cacheField>
    <cacheField name="Criticality / Priority" numFmtId="0">
      <sharedItems containsBlank="1" containsMixedTypes="1" containsNumber="1" containsInteger="1" minValue="1" maxValue="3"/>
    </cacheField>
    <cacheField name="Next Smarter Move" numFmtId="0">
      <sharedItems containsBlank="1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030">
  <r>
    <n v="1"/>
    <n v="20000057"/>
    <s v="Vivek Sanil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Section Head - Banking"/>
    <m/>
    <s v="Treasury &amp; Banking"/>
    <s v="Banking"/>
    <s v="Treasury &amp; Finance"/>
    <s v="Non Technical Support"/>
    <s v="Finance &amp; Accounts"/>
    <s v="Treasury"/>
    <s v="73903001"/>
    <s v="Treasury"/>
    <s v="Mumbai"/>
    <d v="1966-08-12T00:00:00"/>
    <s v="57.01"/>
    <d v="1987-01-01T00:00:00"/>
    <d v="2024-08-31T00:00:00"/>
    <m/>
    <d v="2024-08-31T00:00:00"/>
    <n v="346"/>
    <s v="O-"/>
    <s v="BCom-1989"/>
    <s v=""/>
    <s v="36.08"/>
    <s v="36.08"/>
    <s v="70101920"/>
    <s v="Treasury - Mumbai"/>
    <s v="72153381"/>
    <s v="Section Head - Banking"/>
    <s v="Hazira"/>
    <s v="0090000028"/>
    <s v="Corporate Steel - Wo"/>
    <s v="2000HWO"/>
    <s v="20000870"/>
    <s v="Balajee M"/>
    <s v="No"/>
    <s v="vivek.sanil@amns.in"/>
    <s v="9819730117"/>
    <s v="23918"/>
    <s v="Dhruv Vyas"/>
    <s v="Anil Matoo"/>
    <s v="Praveen Kuruvalli"/>
    <s v="Dhruv Vyas"/>
    <n v="0"/>
  </r>
  <r>
    <n v="2"/>
    <n v="20000083"/>
    <s v="Anil Matoo"/>
    <s v="AM/NS India"/>
    <s v="Onroll"/>
    <s v="M-2"/>
    <n v="2"/>
    <m/>
    <s v="TM"/>
    <s v="M"/>
    <s v="Corporate"/>
    <n v="7"/>
    <s v="2015"/>
    <x v="1"/>
    <s v="22.06"/>
    <s v="Ashutosh Telang"/>
    <s v="Ashutosh Telang"/>
    <n v="6"/>
    <s v="HR &amp; Administration"/>
    <s v="Human Resources"/>
    <s v="22"/>
    <s v="Head - HR IR &amp; Admin"/>
    <m/>
    <s v="Human Resources"/>
    <s v="HR &amp; Administration"/>
    <s v="HR &amp; Administration"/>
    <s v="Non Technical Support"/>
    <s v="Human Resources Management"/>
    <s v="Human Resources Management"/>
    <s v="73501001"/>
    <s v="Human Resources"/>
    <s v="AM/NS Hazira"/>
    <d v="1964-04-29T00:00:00"/>
    <s v="59.04"/>
    <d v="1988-08-29T00:00:00"/>
    <d v="2024-04-30T00:00:00"/>
    <m/>
    <d v="2024-04-30T00:00:00"/>
    <n v="223"/>
    <s v="O-"/>
    <s v="MBA-2011 , MSW-1988 , BSc-1988"/>
    <s v="01.00"/>
    <s v="35.00"/>
    <s v="36.00"/>
    <s v="70040651"/>
    <s v="HR Operations, IR &amp; Administration"/>
    <s v="70444350"/>
    <s v="Head - HR IR &amp; Admin"/>
    <s v="Confidential Payroll"/>
    <s v="0090000018"/>
    <s v="CORP Group - HR"/>
    <s v="2000CS"/>
    <s v="20059024"/>
    <s v="Keiji Kubota"/>
    <s v="No"/>
    <s v="anil.matoo@amns.in"/>
    <s v="9879102999"/>
    <s v="22563"/>
    <s v="Dhruv Vyas"/>
    <s v="Anil Matoo"/>
    <s v="Praveen Kuruvalli"/>
    <s v="Dhruv Vyas"/>
    <n v="0"/>
  </r>
  <r>
    <n v="3"/>
    <n v="20000103"/>
    <s v="M K Sachidanandan Panicker"/>
    <s v="AM/NS India"/>
    <s v="Onroll"/>
    <s v="M-5"/>
    <n v="5"/>
    <m/>
    <s v="MM"/>
    <s v="M"/>
    <s v="Hazira"/>
    <n v="1"/>
    <s v="2039"/>
    <x v="2"/>
    <s v="43.01"/>
    <s v="Sangeeta Munjal"/>
    <s v="Manu Kapoor"/>
    <n v="10"/>
    <s v="Corporate Affairs"/>
    <s v="Corporate Affairs"/>
    <s v="43"/>
    <s v="Sr. Lead - Corporate Affairs"/>
    <m/>
    <s v="Corporate Affairs"/>
    <s v="Corporate Relations Group"/>
    <s v="Corporate Relations Group"/>
    <s v="Non Technical Support"/>
    <s v="Corporate Relations"/>
    <s v="Corporate Affairs"/>
    <s v="74501001"/>
    <s v="Corporate Affairs"/>
    <s v="Ahmedabad"/>
    <d v="1962-05-15T00:00:00"/>
    <s v="61.04"/>
    <d v="1989-04-10T00:00:00"/>
    <d v="2020-05-31T00:00:00"/>
    <d v="2024-03-31T00:00:00"/>
    <d v="2024-03-31T00:00:00"/>
    <n v="193"/>
    <s v="A-"/>
    <s v="Intermediate-1998 , BA-1998"/>
    <s v="06.07"/>
    <s v="34.05"/>
    <s v="41.00"/>
    <s v="70492729"/>
    <s v="Corporate Affairs - Gujarat"/>
    <s v="70323864"/>
    <s v="JGM - Corporate Affairs"/>
    <s v="Hazira"/>
    <s v="0090000016"/>
    <s v="Corporate Steel - Co"/>
    <s v="2000HWO"/>
    <s v="20055200"/>
    <s v="Umesh Nayak"/>
    <s v="No"/>
    <s v="sachidanandan.panicker@amns.in"/>
    <s v="9979868801"/>
    <s v="22965"/>
    <s v="Dhruv Vyas"/>
    <s v="Anil Matoo"/>
    <s v="Praveen Kuruvalli"/>
    <s v="Dhruv Vyas"/>
    <n v="0"/>
  </r>
  <r>
    <n v="7"/>
    <n v="20000138"/>
    <s v="Suresh Iyer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- Internal Contro &amp; SOX"/>
    <m/>
    <s v="Internal Control &amp; SOX"/>
    <s v="Internal Control &amp; SOX"/>
    <s v="Internal Audit"/>
    <s v="Non Technical Support"/>
    <s v="Chairman's Secretariat"/>
    <s v="Chairman's Secretariat"/>
    <s v="74701000"/>
    <s v="Chairman's Secretariat"/>
    <s v="Mumbai"/>
    <d v="1965-08-25T00:00:00"/>
    <s v="58.00"/>
    <d v="1989-10-16T00:00:00"/>
    <d v="2023-08-31T00:00:00"/>
    <m/>
    <d v="2023-08-31T00:00:00"/>
    <n v="-20"/>
    <s v="O-"/>
    <s v="ICWA Final-1989 , CA Final-1989"/>
    <s v=""/>
    <s v="33.11"/>
    <s v="33.11"/>
    <s v="72150219"/>
    <s v="Internal Control &amp; SOX -1"/>
    <s v="70028340"/>
    <s v="Head - Internal Contro &amp; SOX"/>
    <s v="Corporate"/>
    <s v="0031950043"/>
    <s v="HZ-Performance Manag"/>
    <s v="2000CS"/>
    <s v="20055088"/>
    <s v="Amit Harlalka"/>
    <s v="No"/>
    <s v="suresh.iyer@amns.in"/>
    <s v="9819730194"/>
    <s v="21934"/>
    <s v="Dhruv Vyas"/>
    <s v="Anil Matoo"/>
    <s v="Praveen Kuruvalli"/>
    <s v="Dhruv Vyas"/>
    <n v="0"/>
  </r>
  <r>
    <n v="11"/>
    <n v="20000200"/>
    <s v="A Venkateswara Rao"/>
    <s v="AM/NS India"/>
    <s v="Onroll"/>
    <s v="M-6"/>
    <n v="6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Section In-Charge- Procurement"/>
    <m/>
    <s v="Procurement"/>
    <s v="Purchase"/>
    <s v="Purchase"/>
    <s v="Non Technical Support"/>
    <s v="Commercial"/>
    <s v="Purchase"/>
    <s v="73804001"/>
    <s v="Purchase"/>
    <s v="Vizag"/>
    <d v="1966-08-31T00:00:00"/>
    <s v="57.00"/>
    <d v="1990-08-08T00:00:00"/>
    <d v="2024-08-31T00:00:00"/>
    <m/>
    <d v="2024-08-31T00:00:00"/>
    <n v="346"/>
    <s v="B-"/>
    <s v="Diploma-2011 , MBA-2011 , BCom-1988"/>
    <s v="01.06"/>
    <s v="33.01"/>
    <s v="34.07"/>
    <s v="00048348"/>
    <s v="Procurement - Vizag"/>
    <s v="72150331"/>
    <s v="Section In-Charge- Procurement"/>
    <s v="Vizag"/>
    <s v="0028030019"/>
    <s v="VIZ-Personnel &amp; Admi"/>
    <s v="2000VIZOPS"/>
    <s v="20011945"/>
    <s v="Raghavendra Rao Yerramsetty"/>
    <s v="No"/>
    <s v="venkateshwara.rao@amns.in"/>
    <s v="9885310935"/>
    <s v="23719"/>
    <s v="DS Varma"/>
    <s v="Anil Matoo"/>
    <s v="Praveen Kuruvalli"/>
    <s v="Dhruv Vyas"/>
    <n v="0"/>
  </r>
  <r>
    <n v="12"/>
    <n v="20000201"/>
    <s v="Manish Bakriwala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Head -Procurement (MRO/IP &amp; Consumables"/>
    <m/>
    <s v="Procurement MRO Hazira"/>
    <s v="Procurement"/>
    <s v="Procurement"/>
    <s v="Non Technical Support"/>
    <s v="Commercial"/>
    <s v="Procurement"/>
    <s v="73803001"/>
    <s v="Procurement"/>
    <s v="AM/NS Hazira"/>
    <d v="1968-04-06T00:00:00"/>
    <s v="55.05"/>
    <d v="1990-08-20T00:00:00"/>
    <d v="2026-04-30T00:00:00"/>
    <m/>
    <d v="2026-04-30T00:00:00"/>
    <n v="953"/>
    <s v="AB-"/>
    <s v="BE-1985 , Intermediate-1985"/>
    <s v="00.08"/>
    <s v="33.00"/>
    <s v="33.08"/>
    <s v="72150383"/>
    <s v="Procurement (MRO/IP &amp; Consumable)"/>
    <s v="72152818"/>
    <s v="Head -Procurement (MRO/IP &amp; Consumables"/>
    <s v="Hazira"/>
    <s v="0031950048"/>
    <s v="HZ-Procurment Depart"/>
    <s v="2000HWO"/>
    <s v="20055090"/>
    <s v="Hrishikesh Kamat"/>
    <s v="No"/>
    <s v="manish.bakriwala@amns.in"/>
    <s v="9909901215"/>
    <s v="21143"/>
    <s v="Dhruv Vyas"/>
    <s v="Anil Matoo"/>
    <s v="Praveen Kuruvalli"/>
    <s v="Dhruv Vyas"/>
    <n v="0"/>
  </r>
  <r>
    <n v="19"/>
    <n v="20000253"/>
    <s v="Deepak Sindkar"/>
    <s v="AM/NS India"/>
    <s v="Onroll"/>
    <s v="M-3"/>
    <n v="3"/>
    <m/>
    <s v="SM"/>
    <s v="M"/>
    <s v="Hazira"/>
    <n v="1"/>
    <s v="2095"/>
    <x v="4"/>
    <n v="36.01"/>
    <s v="Hrishikesh Kamat"/>
    <s v="Hrishikesh Kamat"/>
    <n v="7"/>
    <s v="Procurement"/>
    <s v="Raw Materials"/>
    <s v="36"/>
    <s v="Head - Bulk Raw Material"/>
    <m/>
    <s v="Bulk Raw Materials"/>
    <s v="Raw Material"/>
    <s v="Bulk Raw Material"/>
    <s v="Non Technical Support"/>
    <s v="Commercial"/>
    <s v="Procurement"/>
    <s v="73803001"/>
    <s v="Procurement"/>
    <s v="AM/NS Hazira"/>
    <d v="1967-12-11T00:00:00"/>
    <s v="55.09"/>
    <d v="1991-04-22T00:00:00"/>
    <d v="2025-12-31T00:00:00"/>
    <m/>
    <d v="2025-12-31T00:00:00"/>
    <n v="833"/>
    <s v="B-"/>
    <s v="PG Diploma in Management-1991 , BE-1991"/>
    <s v=""/>
    <s v="32.04"/>
    <s v="32.04"/>
    <s v="70072409"/>
    <s v="Bulk Raw Materials"/>
    <s v="72150892"/>
    <s v="Head - Bulk Raw Material"/>
    <s v="Confidential Payroll"/>
    <s v="0031950048"/>
    <s v="HZ-Procurment Depart"/>
    <s v="2000HWO"/>
    <s v="20055090"/>
    <s v="Hrishikesh Kamat"/>
    <s v="No"/>
    <s v="deepak.sindkar@amns.in"/>
    <s v="9879100345"/>
    <s v="24214"/>
    <s v="Dhruv Vyas"/>
    <s v="Anil Matoo"/>
    <s v="Praveen Kuruvalli"/>
    <s v="Dhruv Vyas"/>
    <n v="0"/>
  </r>
  <r>
    <n v="25"/>
    <n v="20000273"/>
    <s v="Satyanarayan Iyer"/>
    <s v="AM/NS India"/>
    <s v="Onroll"/>
    <s v="M-8"/>
    <n v="8"/>
    <m/>
    <s v="JM"/>
    <s v="M"/>
    <s v="Corporate"/>
    <n v="7"/>
    <s v="2260"/>
    <x v="5"/>
    <s v="01.01"/>
    <s v="Dilip Oommen"/>
    <s v="Dilip Oommen"/>
    <n v="1"/>
    <s v="CEO Office"/>
    <s v="CEO Office"/>
    <s v="01"/>
    <s v="Secretary to CEO"/>
    <m/>
    <s v="CEO Office"/>
    <s v="CEO Office"/>
    <s v=""/>
    <s v="Non Technical Support"/>
    <s v="Secretary"/>
    <s v="Secretary"/>
    <s v="74601000"/>
    <s v="Secretary"/>
    <s v="AM/NS Hazira"/>
    <d v="1963-02-17T00:00:00"/>
    <s v="60.07"/>
    <d v="1991-09-01T00:00:00"/>
    <d v="2021-02-28T00:00:00"/>
    <d v="2023-08-31T00:00:00"/>
    <d v="2023-08-31T00:00:00"/>
    <n v="-20"/>
    <s v="O-"/>
    <s v="SSLC-1978"/>
    <s v="08.03"/>
    <s v="32.00"/>
    <s v="40.03"/>
    <s v="70176006"/>
    <s v="CEO Office"/>
    <s v="70226714"/>
    <s v="Secretary to CEO"/>
    <s v="Corporate"/>
    <s v="0090000010"/>
    <s v="CEO OFFICE"/>
    <s v="2000CS"/>
    <s v="20055068"/>
    <s v="Dilip Oommen"/>
    <s v="No"/>
    <s v="satyanarayan.iyer@amns.in"/>
    <s v="9879101739"/>
    <s v="21933"/>
    <s v="Dhruv Vyas"/>
    <s v="Anil Matoo"/>
    <s v="Praveen Kuruvalli"/>
    <s v="Dhruv Vyas"/>
    <n v="0"/>
  </r>
  <r>
    <n v="31"/>
    <n v="20000318"/>
    <s v="Gulammohamad Agahasham Vahora"/>
    <s v="AM/NS India"/>
    <s v="Onroll"/>
    <s v="M-7"/>
    <n v="7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- Travel Desk"/>
    <m/>
    <s v="Administration"/>
    <s v=""/>
    <s v=""/>
    <s v="Non Technical Support"/>
    <s v="Administration"/>
    <s v="Travel Services"/>
    <s v="74106002"/>
    <s v="Transport Operations"/>
    <s v="AM/NS Hazira"/>
    <d v="1965-06-07T00:00:00"/>
    <s v="58.03"/>
    <d v="1991-11-16T00:00:00"/>
    <d v="2023-06-30T00:00:00"/>
    <d v="2024-06-30T00:00:00"/>
    <d v="2024-06-30T00:00:00"/>
    <n v="284"/>
    <s v="O-"/>
    <s v="BA-1990"/>
    <s v="02.10"/>
    <s v="31.10"/>
    <s v="34.07"/>
    <s v="00046249"/>
    <s v="Travel Desk"/>
    <s v="70493534"/>
    <s v="Head - Travel Desk"/>
    <s v="Hazira"/>
    <s v="0031950061"/>
    <s v="HZ-Human Resource"/>
    <s v="2000HWO"/>
    <s v="20000083"/>
    <s v="Anil Matoo"/>
    <s v="No"/>
    <s v="gulammohamad.vahora@amns.in"/>
    <s v="9879101212"/>
    <s v="24620"/>
    <s v="Dhruv Vyas"/>
    <s v="Anil Matoo"/>
    <s v="Praveen Kuruvalli"/>
    <s v="Dhruv Vyas"/>
    <n v="0"/>
  </r>
  <r>
    <n v="34"/>
    <n v="20000329"/>
    <s v="Ashwinbhai Patel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67-06-30T00:00:00"/>
    <s v="56.02"/>
    <d v="1991-12-02T00:00:00"/>
    <d v="2025-06-30T00:00:00"/>
    <m/>
    <d v="2025-06-30T00:00:00"/>
    <n v="649"/>
    <s v="B-"/>
    <s v="High School-1991"/>
    <s v=""/>
    <s v="31.09"/>
    <s v="31.09"/>
    <s v="00044156"/>
    <s v="Indirect Taxation - 2"/>
    <s v="70259332"/>
    <s v="Lead - Customs"/>
    <s v="Hazira"/>
    <s v="0031950044"/>
    <s v="HZ-Commercial Taxati"/>
    <s v="2000HWO"/>
    <s v="20006246"/>
    <s v="Deven Sadadiwala"/>
    <s v="No"/>
    <s v="ashwinbhai.patel@amns.in"/>
    <s v="9879102338"/>
    <s v="23094"/>
    <s v="Dhruv Vyas"/>
    <s v="Anil Matoo"/>
    <s v="Praveen Kuruvalli"/>
    <s v="Dhruv Vyas"/>
    <n v="0"/>
  </r>
  <r>
    <n v="35"/>
    <n v="20000330"/>
    <s v="Arvindbhai Patel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Receipt"/>
    <m/>
    <s v="Stores &amp; Warehouse"/>
    <s v="Stores &amp; Warehouse"/>
    <s v="&quot;&quot;&quot;Issue &amp; Receipt - Oil &amp; Gas"/>
    <s v="Non Technical Support"/>
    <s v="Commercial"/>
    <s v="Stores &amp; Warehouse"/>
    <s v="73806001"/>
    <s v="Stores &amp; Warehouse"/>
    <s v="Hazira"/>
    <d v="1967-11-14T00:00:00"/>
    <s v="55.10"/>
    <d v="1991-12-02T00:00:00"/>
    <d v="2025-11-30T00:00:00"/>
    <m/>
    <d v="2025-11-30T00:00:00"/>
    <n v="802"/>
    <s v="B-"/>
    <s v="High School-1984"/>
    <s v=""/>
    <s v="31.09"/>
    <s v="31.09"/>
    <s v="00048783"/>
    <s v="HBI, BF, Plant B &amp; Plate Mill"/>
    <s v="70226659"/>
    <s v="Section Officer - Issue/Receipt"/>
    <s v="Hazira"/>
    <s v="0031950049"/>
    <s v="HZ-Central Stores"/>
    <s v="2000HWO"/>
    <s v="20005165"/>
    <s v="Parthiv Desai"/>
    <s v="No"/>
    <s v="arvind.patel@amns.in"/>
    <s v="9879102337"/>
    <s v="23088"/>
    <s v="Dhruv Vyas"/>
    <s v="Anil Matoo"/>
    <s v="Praveen Kuruvalli"/>
    <s v="Dhruv Vyas"/>
    <n v="0"/>
  </r>
  <r>
    <n v="53"/>
    <n v="20000519"/>
    <s v="Dandu Srinivas Varma"/>
    <s v="AM/NS India"/>
    <s v="Onroll"/>
    <s v="M-5"/>
    <n v="5"/>
    <m/>
    <s v="MM"/>
    <s v="M"/>
    <s v="Vizag"/>
    <n v="3"/>
    <s v="2015"/>
    <x v="1"/>
    <s v="22.06"/>
    <s v="Anil Matoo"/>
    <s v="Ashutosh Telang"/>
    <n v="6"/>
    <s v="HR &amp; Administration"/>
    <s v="Human Resources"/>
    <s v="22"/>
    <s v="Head HR IR &amp; Admin - Vizag Asset"/>
    <m/>
    <s v="Human Resources"/>
    <s v="HR &amp; Admin"/>
    <s v="HR &amp; Admin"/>
    <s v="Non Technical Support"/>
    <s v="Human Resources Management"/>
    <s v="Human Resources Management"/>
    <s v="73501001"/>
    <s v="Human Resources"/>
    <s v="Vizag"/>
    <d v="1967-10-29T00:00:00"/>
    <s v="55.10"/>
    <d v="1993-11-01T00:00:00"/>
    <d v="2025-10-31T00:00:00"/>
    <m/>
    <d v="2025-10-31T00:00:00"/>
    <n v="772"/>
    <s v="A-"/>
    <s v="BCom-1992 , PG Diploma in Management-199"/>
    <s v=""/>
    <s v="29.10"/>
    <s v="29.10"/>
    <s v="72150111"/>
    <s v="Vizag HR Operations &amp; Administration"/>
    <s v="72150364"/>
    <s v="Head HR IR &amp; Admin - Vizag Asset"/>
    <s v="Vizag"/>
    <s v="0028030019"/>
    <s v="VIZ-Personnel &amp; Admi"/>
    <s v="2000VIZOPS"/>
    <s v="20000083"/>
    <s v="Anil Matoo"/>
    <s v="No"/>
    <s v="dandu.varma@amns.in"/>
    <s v="9885310951"/>
    <s v="24643"/>
    <s v="DS Varma"/>
    <s v="Anil Matoo"/>
    <s v="Praveen Kuruvalli"/>
    <s v="Dhruv Vyas"/>
    <n v="0"/>
  </r>
  <r>
    <n v="87"/>
    <n v="20000637"/>
    <s v="Kedar Rajwade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Electrical"/>
    <m/>
    <s v="Procurement MRO Hazira"/>
    <s v="Procurement"/>
    <s v="Electrical Switch Gears and power systems - Hazira Complex"/>
    <s v="Non Technical Support"/>
    <s v="Commercial"/>
    <s v="Procurement"/>
    <s v="73803001"/>
    <s v="Procurement"/>
    <s v="AM/NS Hazira"/>
    <d v="1971-07-19T00:00:00"/>
    <s v="52.02"/>
    <d v="1994-09-12T00:00:00"/>
    <d v="2029-07-31T00:00:00"/>
    <m/>
    <d v="2029-07-31T00:00:00"/>
    <n v="2141"/>
    <s v="O-"/>
    <s v="Diploma-1990 , Diploma-1990"/>
    <s v="01.00"/>
    <s v="29.00"/>
    <s v="30.00"/>
    <s v="00044546"/>
    <s v="Procurement Electrical"/>
    <s v="70144107"/>
    <s v="Lead – Proc Electrical"/>
    <s v="Hazira"/>
    <s v="0031950048"/>
    <s v="HZ-Procurment Depart"/>
    <s v="2000HWO"/>
    <s v="20002746"/>
    <s v="Deep Pyne"/>
    <s v="No"/>
    <s v="kedar.rajwade@amns.in"/>
    <s v="9879101151"/>
    <s v="23654"/>
    <s v="Dhruv Vyas"/>
    <s v="Anil Matoo"/>
    <s v="Praveen Kuruvalli"/>
    <s v="Dhruv Vyas"/>
    <n v="0"/>
  </r>
  <r>
    <n v="91"/>
    <n v="20000678"/>
    <s v="Bella Fernandes"/>
    <s v="AM/NS India"/>
    <s v="Onroll"/>
    <s v="M-5"/>
    <n v="5"/>
    <m/>
    <s v="MM"/>
    <s v="F"/>
    <s v="Hazira"/>
    <n v="7"/>
    <s v="2069"/>
    <x v="8"/>
    <s v="25.01"/>
    <s v="Bibek Chattopadhyay"/>
    <s v="Ashutosh Telang"/>
    <n v="6"/>
    <s v="HR &amp; Administration"/>
    <s v="Corporate Communications"/>
    <s v="25"/>
    <s v="Public Relation Officer"/>
    <m/>
    <s v="Corporate Communications"/>
    <s v="Corporate Communications"/>
    <s v="Corporate Communications"/>
    <s v="Non Technical Support"/>
    <s v="Corporate Communication"/>
    <s v="Corporate Communication"/>
    <s v="74001001"/>
    <s v="Corporate Communication"/>
    <s v="AM/NS Hazira"/>
    <d v="1962-12-02T00:00:00"/>
    <s v="60.09"/>
    <d v="1994-11-14T00:00:00"/>
    <d v="2020-12-31T00:00:00"/>
    <d v="2024-03-31T00:00:00"/>
    <d v="2024-03-31T00:00:00"/>
    <n v="193"/>
    <s v="A-"/>
    <s v="BA-1984"/>
    <s v="10.10"/>
    <s v="28.10"/>
    <s v="39.08"/>
    <s v="70318583"/>
    <s v="Communications &amp; Media Relations"/>
    <s v="70320223"/>
    <s v="JGM - Public Relations"/>
    <s v="Corporate"/>
    <s v="0090000016"/>
    <s v="Corporate Steel - Co"/>
    <s v="2000CS"/>
    <s v="20055187"/>
    <s v="Bibek Chattopadhyay"/>
    <s v="No"/>
    <s v="bella.fernandes@amns.in"/>
    <s v="9879101222"/>
    <s v="21717"/>
    <s v="Dhruv Vyas"/>
    <s v="Anil Matoo"/>
    <s v="Praveen Kuruvalli"/>
    <s v="Dhruv Vyas"/>
    <n v="0"/>
  </r>
  <r>
    <n v="92"/>
    <n v="20000679"/>
    <s v="Dinesh Mangal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- Corporate Accounts &amp; Audit"/>
    <m/>
    <s v="Corporate Accounts"/>
    <s v="Corporate Accounts &amp; Audit"/>
    <s v="Procurement"/>
    <s v="Non Technical Support"/>
    <s v="Finance &amp; Accounts"/>
    <s v="Finance &amp; Accounts"/>
    <s v="73901002"/>
    <s v="Corporate Accounts &amp; Audi"/>
    <s v="AM/NS Hazira"/>
    <d v="1971-01-03T00:00:00"/>
    <s v="52.08"/>
    <d v="1994-11-16T00:00:00"/>
    <d v="2029-01-31T00:00:00"/>
    <m/>
    <d v="2029-01-31T00:00:00"/>
    <n v="1960"/>
    <s v="B-"/>
    <s v="BCom-1994 , CA Final-1994 , Intermediate"/>
    <s v=""/>
    <s v="28.10"/>
    <s v="28.10"/>
    <s v="72150475"/>
    <s v="Corporate Accounts &amp; Audit"/>
    <s v="72152588"/>
    <s v="Head - Corporate Accounts &amp; Audit"/>
    <s v="Hazira"/>
    <s v="0090000027"/>
    <s v="Corporate Steel - Ac"/>
    <s v="2000HWO"/>
    <s v="20057933"/>
    <s v="Akiyo Omori"/>
    <s v="No"/>
    <s v="dinesh.mangal@amns.in"/>
    <s v="9879100350"/>
    <s v="22531"/>
    <s v="Dhruv Vyas"/>
    <s v="Anil Matoo"/>
    <s v="Praveen Kuruvalli"/>
    <s v="Dhruv Vyas"/>
    <n v="0"/>
  </r>
  <r>
    <n v="116"/>
    <n v="20000746"/>
    <s v="Keyur Shah"/>
    <s v="AM/NS India"/>
    <s v="Onroll"/>
    <s v="M-6"/>
    <n v="6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Senior Lead - Contracts"/>
    <m/>
    <s v="Contracts"/>
    <s v="Contracts"/>
    <s v="Plate mill, Pipe Mill, CMD/CEID, Project, Utility"/>
    <s v="Non Technical Support"/>
    <s v="Commercial"/>
    <s v="Contracts &amp; Tenders and E-bid"/>
    <s v="73805001"/>
    <s v="Contracts &amp; Tenders and E"/>
    <s v="AM/NS Hazira"/>
    <d v="1971-03-07T00:00:00"/>
    <s v="52.06"/>
    <d v="1994-12-20T00:00:00"/>
    <d v="2029-03-31T00:00:00"/>
    <m/>
    <d v="2029-03-31T00:00:00"/>
    <n v="2019"/>
    <s v="B-"/>
    <s v="Diploma-1993 , Diploma-1993 , MBA-1990"/>
    <s v="01.10"/>
    <s v="28.09"/>
    <s v="30.07"/>
    <s v="00044538"/>
    <s v="Contracts - Steel Making Zone"/>
    <s v="72150871"/>
    <s v="Senior Lead - Contracts"/>
    <s v="Hazira"/>
    <s v="0031950047"/>
    <s v="HZ-Contracts"/>
    <s v="2000HWO"/>
    <s v="20000795"/>
    <s v="Pankaj Chaturvedi"/>
    <s v="No"/>
    <s v="keyur.shah@amns.in"/>
    <s v="9879101011"/>
    <s v="24018"/>
    <s v="Dhruv Vyas"/>
    <s v="Anil Matoo"/>
    <s v="Praveen Kuruvalli"/>
    <s v="Dhruv Vyas"/>
    <n v="0"/>
  </r>
  <r>
    <n v="132"/>
    <n v="20000795"/>
    <s v="Pankaj Chaturvedi"/>
    <s v="AM/NS India"/>
    <s v="Onroll"/>
    <s v="M-4"/>
    <n v="4"/>
    <m/>
    <s v="SM"/>
    <s v="M"/>
    <s v="Hazira"/>
    <n v="1"/>
    <s v="2054"/>
    <x v="9"/>
    <s v="32.01"/>
    <s v="Hrishikesh Kamat"/>
    <s v="Hrishikesh Kamat"/>
    <n v="7"/>
    <s v="Procurement"/>
    <s v="Contracts"/>
    <s v="32"/>
    <s v="Head –Contracts Cell"/>
    <m/>
    <s v="Contracts"/>
    <s v="Contracts"/>
    <s v="SMP 1 &amp; 2, HSM, CSP, HBI, MH"/>
    <s v="Non Technical Support"/>
    <s v="Commercial"/>
    <s v="Contracts &amp; Tenders and E-bid"/>
    <s v="73805001"/>
    <s v="Contracts &amp; Tenders and E"/>
    <s v="AM/NS Hazira"/>
    <d v="1975-12-15T00:00:00"/>
    <s v="47.09"/>
    <d v="1995-03-14T00:00:00"/>
    <d v="2033-12-31T00:00:00"/>
    <m/>
    <d v="2033-12-31T00:00:00"/>
    <n v="3755"/>
    <s v="AB-"/>
    <s v="PG Diploma in Management-2011 , Diploma-"/>
    <s v=""/>
    <s v="28.06"/>
    <s v="28.06"/>
    <s v="70495670"/>
    <s v="Contracts"/>
    <s v="72150922"/>
    <s v="Head –Contracts Cell"/>
    <s v="Hazira"/>
    <s v="0031950047"/>
    <s v="HZ-Contracts"/>
    <s v="2000HWO"/>
    <s v="20055090"/>
    <s v="Hrishikesh Kamat"/>
    <s v="No"/>
    <s v="pankaj.chaturvedi@amns.in"/>
    <s v="9879101171"/>
    <s v="21355"/>
    <s v="Dhruv Vyas"/>
    <s v="Anil Matoo"/>
    <s v="Praveen Kuruvalli"/>
    <s v="Dhruv Vyas"/>
    <n v="0"/>
  </r>
  <r>
    <n v="137"/>
    <n v="20000812"/>
    <s v="Sitaram Rege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Sales Head - Gujarat and Mumbai"/>
    <m/>
    <s v="West"/>
    <s v="West"/>
    <s v="West Zone"/>
    <s v="Non Technical Support"/>
    <s v="Sales &amp; Marketing"/>
    <s v="Sales"/>
    <s v="73104004"/>
    <s v="OEM Sales"/>
    <s v="Mumbai"/>
    <d v="1970-07-05T00:00:00"/>
    <s v="53.02"/>
    <d v="1995-04-10T00:00:00"/>
    <d v="2028-07-31T00:00:00"/>
    <m/>
    <d v="2028-07-31T00:00:00"/>
    <n v="1776"/>
    <s v="A-"/>
    <s v="PG Diploma in Management-1994"/>
    <s v="01.08"/>
    <s v="28.05"/>
    <s v="30.00"/>
    <s v="70140931"/>
    <s v="Sales Gujarat &amp; Mumbai Zone"/>
    <s v="70386150"/>
    <s v="Regional Sales Head - Gujarat and Mumbai"/>
    <s v="Hazira"/>
    <s v="0031950057"/>
    <s v="HZ-HRC - Marketing"/>
    <s v="2000HWO"/>
    <s v="20007104"/>
    <s v="Ranjan Dhar"/>
    <s v="No"/>
    <s v="sitaram.rege@amns.in"/>
    <s v="9819730641"/>
    <s v="23785"/>
    <s v="Dhruv Vyas"/>
    <s v="Anil Matoo"/>
    <s v="Praveen Kuruvalli"/>
    <s v="Dhruv Vyas"/>
    <n v="0"/>
  </r>
  <r>
    <n v="157"/>
    <n v="20000868"/>
    <s v="Chakravadhanula Venkataraman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r. Lead - Value added Product Strategy"/>
    <m/>
    <s v="Technical Marketing &amp; Application Engineering"/>
    <s v="Technical Marketing &amp; Application Engineering"/>
    <s v=""/>
    <s v="Non Technical Support"/>
    <s v="Sales &amp; Marketing"/>
    <s v="Sales"/>
    <s v="73104004"/>
    <s v="OEM Sales"/>
    <s v="Pune"/>
    <d v="1970-08-12T00:00:00"/>
    <s v="53.01"/>
    <d v="1995-06-15T00:00:00"/>
    <d v="2028-08-31T00:00:00"/>
    <m/>
    <d v="2028-08-31T00:00:00"/>
    <n v="1807"/>
    <s v="A-"/>
    <s v="MMS-1992 , BTech-1992"/>
    <s v="01.01"/>
    <s v="28.03"/>
    <s v="29.04"/>
    <s v="00052460"/>
    <s v="Auto &amp; YG"/>
    <s v="70389874"/>
    <s v="Sr. Lead - Value added Product Strategy"/>
    <s v="Hazira"/>
    <s v="0080000005"/>
    <s v="Global Markets Team"/>
    <s v="2000HWO"/>
    <s v="20056155"/>
    <s v="Kondapalli Venkateswarlu"/>
    <s v="No"/>
    <s v="srivenkataramana.chakravadhanula@amns.in"/>
    <s v="9930136471"/>
    <s v="24667"/>
    <s v="Dhruv Vyas"/>
    <s v="Anil Matoo"/>
    <s v="Praveen Kuruvalli"/>
    <s v="Dhruv Vyas"/>
    <n v="0"/>
  </r>
  <r>
    <n v="158"/>
    <n v="20000870"/>
    <s v="Balajee M"/>
    <s v="AM/NS India"/>
    <s v="Onroll"/>
    <s v="M-3"/>
    <n v="3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- Treasury &amp; Banking"/>
    <m/>
    <s v="Treasury &amp; Banking"/>
    <s v="Treasury &amp; Banking"/>
    <s v="Treasury &amp; Finance"/>
    <s v="Non Technical Support"/>
    <s v="Finance &amp; Accounts"/>
    <s v="Corporate Finance"/>
    <s v="73902001"/>
    <s v="Corporate Finance"/>
    <s v="Mumbai"/>
    <d v="1967-11-15T00:00:00"/>
    <s v="55.10"/>
    <d v="1995-06-15T00:00:00"/>
    <d v="2025-11-30T00:00:00"/>
    <m/>
    <d v="2025-11-30T00:00:00"/>
    <n v="802"/>
    <s v="AB+"/>
    <s v="PG Diploma in Management-1989 , BSc Engg"/>
    <s v="04.02"/>
    <s v="28.03"/>
    <s v="32.04"/>
    <s v="70494717"/>
    <s v="Treasury &amp; Finance"/>
    <s v="70176647"/>
    <s v="Head - Treasury &amp; Banking"/>
    <s v="Confidential Payroll"/>
    <s v="0090000028"/>
    <s v="Corporate Steel - Wo"/>
    <s v="2000HWO"/>
    <s v="20057933"/>
    <s v="Akiyo Omori"/>
    <s v="No"/>
    <s v="muthukrishnan.balajee@amns.in"/>
    <s v="9819730098"/>
    <s v="21145"/>
    <s v="Dhruv Vyas"/>
    <s v="Anil Matoo"/>
    <s v="Praveen Kuruvalli"/>
    <s v="Dhruv Vyas"/>
    <n v="0"/>
  </r>
  <r>
    <n v="175"/>
    <n v="20000909"/>
    <s v="Murali Krishna Chunduru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Head Sales, South Zone"/>
    <m/>
    <s v="South"/>
    <s v="South"/>
    <s v=""/>
    <s v="Non Technical Support"/>
    <s v="Sales &amp; Marketing"/>
    <s v="Sales"/>
    <s v="73104004"/>
    <s v="OEM Sales"/>
    <s v="Chennai"/>
    <d v="1973-11-19T00:00:00"/>
    <s v="49.09"/>
    <d v="1995-07-10T00:00:00"/>
    <d v="2031-11-30T00:00:00"/>
    <m/>
    <d v="2031-11-30T00:00:00"/>
    <n v="2993"/>
    <s v="O-"/>
    <s v="BTech-1995"/>
    <s v=""/>
    <s v="28.02"/>
    <s v="28.02"/>
    <s v="72150150"/>
    <s v="Sales South Zone"/>
    <s v="70386158"/>
    <s v="Regional Head Sales, South Zone"/>
    <s v="Hazira"/>
    <s v="0031950057"/>
    <s v="HZ-HRC - Marketing"/>
    <s v="2000HWO"/>
    <s v="20007104"/>
    <s v="Ranjan Dhar"/>
    <s v="No"/>
    <s v="muralikrishna.chunduru@amns.in"/>
    <s v="9884974923"/>
    <s v="22731"/>
    <s v="Dhruv Vyas"/>
    <s v="Anil Matoo"/>
    <s v="Praveen Kuruvalli"/>
    <s v="Dhruv Vyas"/>
    <n v="0"/>
  </r>
  <r>
    <n v="178"/>
    <n v="20000926"/>
    <s v="Manishkumar Seksaria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Section Head – Pro Iron &amp; Steel Making"/>
    <m/>
    <s v="Procurement MRO Hazira"/>
    <s v="Procurement"/>
    <s v="Iron &amp; Steel Making"/>
    <s v="Non Technical Support"/>
    <s v="Commercial"/>
    <s v="Procurement"/>
    <s v="73803001"/>
    <s v="Procurement"/>
    <s v="AM/NS Hazira"/>
    <d v="1969-11-03T00:00:00"/>
    <s v="53.10"/>
    <d v="1995-08-14T00:00:00"/>
    <d v="2027-11-30T00:00:00"/>
    <m/>
    <d v="2027-11-30T00:00:00"/>
    <n v="1532"/>
    <s v="O-"/>
    <s v="BE-1995 , MBA-1995"/>
    <s v="02.00"/>
    <s v="28.01"/>
    <s v="30.01"/>
    <s v="70072411"/>
    <s v="Iron &amp; Steel Making"/>
    <s v="72150870"/>
    <s v="Section Head – Pro Iron &amp; Steel Making"/>
    <s v="Hazira"/>
    <s v="0031950048"/>
    <s v="HZ-Procurment Depart"/>
    <s v="2000HWO"/>
    <s v="20000201"/>
    <s v="Manish Bakriwala"/>
    <s v="No"/>
    <s v="manish.seksaria@amns.in"/>
    <s v="9879100306"/>
    <s v="23981"/>
    <s v="Dhruv Vyas"/>
    <s v="Anil Matoo"/>
    <s v="Praveen Kuruvalli"/>
    <s v="Dhruv Vyas"/>
    <n v="0"/>
  </r>
  <r>
    <n v="184"/>
    <n v="20000948"/>
    <s v="Hitesh Raval"/>
    <s v="AM/NS India"/>
    <s v="Onroll"/>
    <s v="M-5"/>
    <n v="5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Head -  HRC Store &amp; Inventory"/>
    <m/>
    <s v="Stores &amp; Warehouse"/>
    <s v="Stores &amp; Warehouse"/>
    <s v="HRC Store &amp; Inventory  &amp; Cataloging Mgt."/>
    <s v="Non Technical Support"/>
    <s v="Commercial"/>
    <s v="Stores &amp; Warehouse"/>
    <s v="73806001"/>
    <s v="Stores &amp; Warehouse"/>
    <s v="Hazira"/>
    <d v="1974-01-10T00:00:00"/>
    <s v="49.08"/>
    <d v="1995-11-13T00:00:00"/>
    <d v="2032-01-31T00:00:00"/>
    <m/>
    <d v="2032-01-31T00:00:00"/>
    <n v="3055"/>
    <s v="O-"/>
    <s v="Diploma-2010 , BCom-2010 , MBA-1994"/>
    <s v="01.06"/>
    <s v="27.10"/>
    <s v="29.04"/>
    <s v="70232287"/>
    <s v="HRC Store &amp; Inventory  &amp; Cataloging Mgt."/>
    <s v="70258296"/>
    <s v="&quot; Section Head -  HRC Store &amp; Inventory"/>
    <s v="Hazira"/>
    <s v="0031950049"/>
    <s v="HZ-Central Stores"/>
    <s v="2000HWO"/>
    <s v="20001240"/>
    <s v="Ambrish Chaturvedi"/>
    <s v="No"/>
    <s v="hitesh.raval@amns.in"/>
    <s v="9879101687"/>
    <s v="23760"/>
    <s v="Dhruv Vyas"/>
    <s v="Anil Matoo"/>
    <s v="Praveen Kuruvalli"/>
    <s v="Dhruv Vyas"/>
    <n v="0"/>
  </r>
  <r>
    <n v="202"/>
    <n v="20000990"/>
    <s v="Jignesh Thaker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Baroda"/>
    <d v="1975-09-16T00:00:00"/>
    <s v="48.00"/>
    <d v="1995-12-18T00:00:00"/>
    <d v="2033-09-30T00:00:00"/>
    <m/>
    <d v="2033-09-30T00:00:00"/>
    <n v="3663"/>
    <s v="B-"/>
    <s v="BA-2005 , MBA-2005 , Diploma-2000"/>
    <s v=""/>
    <s v="27.09"/>
    <s v="27.09"/>
    <s v="70394840"/>
    <s v="OEM Sales - Gujarat"/>
    <s v="70448513"/>
    <s v="Sales Manager - Hypermart"/>
    <s v="Hypermart"/>
    <s v="0060110300"/>
    <s v="HMART-Guj-Ahemedabad"/>
    <s v="2000SRET"/>
    <s v="20001736"/>
    <s v="Manoranjan Jagdhari"/>
    <s v="No"/>
    <s v="jignesh.thaker@amns.in"/>
    <s v="9879104379"/>
    <s v="24488"/>
    <s v="Dhruv Vyas"/>
    <s v="Anil Matoo"/>
    <s v="Praveen Kuruvalli"/>
    <s v="Dhruv Vyas"/>
    <n v="0"/>
  </r>
  <r>
    <n v="205"/>
    <n v="20001003"/>
    <s v="Patnana Muralidhara Rao"/>
    <s v="AM/NS India"/>
    <s v="Onroll"/>
    <s v="M-4"/>
    <n v="4"/>
    <m/>
    <s v="SM"/>
    <s v="M"/>
    <s v="Vizag"/>
    <n v="3"/>
    <s v="2013"/>
    <x v="0"/>
    <s v="20.01"/>
    <s v="Akiyo Omori"/>
    <s v="Amit Harlalka"/>
    <n v="5"/>
    <s v="Finance &amp; Accounts"/>
    <s v="Finance &amp; Accounts"/>
    <s v="20"/>
    <s v="Head - Finance &amp; Accounts, Vizag"/>
    <m/>
    <s v="Finance &amp; Accounts - Vizag"/>
    <s v="Finance &amp; Accounts"/>
    <s v="Finance &amp; Accounts"/>
    <s v="Non Technical Support"/>
    <s v="Finance &amp; Accounts"/>
    <s v="Finance &amp; Accounts"/>
    <s v="73901001"/>
    <s v="Finance &amp; Accounts"/>
    <s v="Vizag"/>
    <d v="1960-06-01T00:00:00"/>
    <s v="63.03"/>
    <d v="1996-01-25T00:00:00"/>
    <d v="2018-05-31T00:00:00"/>
    <d v="2024-03-31T00:00:00"/>
    <d v="2024-03-31T00:00:00"/>
    <n v="193"/>
    <s v="O-"/>
    <s v="CA Final-1985 , BCom-1985 , Intermediate"/>
    <s v="10.06"/>
    <s v="27.07"/>
    <s v="38.01"/>
    <s v="72150110"/>
    <s v="Finance &amp; Accounts - Vizag"/>
    <s v="72150352"/>
    <s v="Head - Finance &amp; Accounts, Vizag"/>
    <s v="Vizag"/>
    <s v="0028030019"/>
    <s v="VIZ-Personnel &amp; Admi"/>
    <s v="2000VIZOPS"/>
    <s v="20057933"/>
    <s v="Akiyo Omori"/>
    <s v="No"/>
    <s v="muralidhararao.p@amns.in"/>
    <s v="9885310922"/>
    <s v="22728"/>
    <s v="DS Varma"/>
    <s v="Anil Matoo"/>
    <s v="Praveen Kuruvalli"/>
    <s v="Dhruv Vyas"/>
    <n v="0"/>
  </r>
  <r>
    <n v="227"/>
    <n v="20001076"/>
    <s v="Bhavesh Modi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 - Accounts Payable"/>
    <m/>
    <s v="Working Capital"/>
    <s v="Accounts Payable"/>
    <s v="Export, Domestic &amp; Banking"/>
    <s v="Non Technical Support"/>
    <s v="Finance &amp; Accounts"/>
    <s v="Corporate Finance"/>
    <s v="73902004"/>
    <s v="Banking Relations"/>
    <s v="AM/NS Hazira"/>
    <d v="1975-02-07T00:00:00"/>
    <s v="48.07"/>
    <d v="1996-05-05T00:00:00"/>
    <d v="2033-02-28T00:00:00"/>
    <m/>
    <d v="2033-02-28T00:00:00"/>
    <n v="3449"/>
    <s v="A-"/>
    <s v="LLB-2005 , MBA-2005 , BCom-1997"/>
    <s v=""/>
    <s v="27.04"/>
    <s v="27.04"/>
    <s v="72150243"/>
    <s v="Accounts Payable"/>
    <s v="70258433"/>
    <s v="Head - Accounts Payable"/>
    <s v="Hazira"/>
    <s v="0031950045"/>
    <s v="HZ-Works Accounts-Ha"/>
    <s v="2000HWO"/>
    <s v="20055188"/>
    <s v="Rohit Sharma"/>
    <s v="No"/>
    <s v="bhavesh.modi@amns.in"/>
    <s v="9879101765"/>
    <s v="22662"/>
    <s v="Dhruv Vyas"/>
    <s v="Anil Matoo"/>
    <s v="Praveen Kuruvalli"/>
    <s v="Dhruv Vyas"/>
    <n v="0"/>
  </r>
  <r>
    <n v="228"/>
    <n v="20001077"/>
    <s v="Pradeep Parte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ection Head - Export Domestic &amp;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0-04-15T00:00:00"/>
    <s v="53.05"/>
    <d v="1996-05-06T00:00:00"/>
    <d v="2028-04-30T00:00:00"/>
    <m/>
    <d v="2028-04-30T00:00:00"/>
    <n v="1684"/>
    <s v="B-"/>
    <s v="MBA-2003 , Diploma-2003"/>
    <s v="06.01"/>
    <s v="27.04"/>
    <s v="33.05"/>
    <s v="70495314"/>
    <s v="Export, Domestic &amp; Banking"/>
    <s v="72150854"/>
    <s v="Section Head - Export Domestic &amp; Banking"/>
    <s v="Hazira"/>
    <s v="0031950045"/>
    <s v="HZ-Works Accounts-Ha"/>
    <s v="2000HWO"/>
    <s v="20007731"/>
    <s v="Ashish Mehta"/>
    <s v="No"/>
    <s v="pradeep.parte@amns.in"/>
    <s v="9879101840"/>
    <s v="23038"/>
    <s v="Dhruv Vyas"/>
    <s v="Anil Matoo"/>
    <s v="Praveen Kuruvalli"/>
    <s v="Dhruv Vyas"/>
    <n v="0"/>
  </r>
  <r>
    <n v="233"/>
    <n v="20001090"/>
    <s v="Sheetal Navlia"/>
    <s v="AM/NS India"/>
    <s v="Onroll"/>
    <s v="M-5"/>
    <n v="5"/>
    <m/>
    <s v="M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"/>
    <m/>
    <s v="West"/>
    <s v="OEM"/>
    <s v=""/>
    <s v="Non Technical Support"/>
    <s v="Sales &amp; Marketing"/>
    <s v="Sales"/>
    <s v="73104004"/>
    <s v="OEM Sales"/>
    <s v="Ahmedabad"/>
    <d v="1975-04-13T00:00:00"/>
    <s v="48.05"/>
    <d v="1996-06-15T00:00:00"/>
    <d v="2033-04-30T00:00:00"/>
    <m/>
    <d v="2033-04-30T00:00:00"/>
    <n v="3510"/>
    <s v="O-"/>
    <s v="BE-1996 , BE-1996"/>
    <s v=""/>
    <s v="27.03"/>
    <s v="27.03"/>
    <s v="70140931"/>
    <s v="Sales Gujarat &amp; Mumbai Zone"/>
    <s v="70334315"/>
    <s v="Sr. KAM - OEM Sales"/>
    <s v="Hazira"/>
    <s v="0031950057"/>
    <s v="HZ-HRC - Marketing"/>
    <s v="2000HWO"/>
    <s v="20000812"/>
    <s v="Sitaram Rege"/>
    <s v="No"/>
    <s v="sheetal.navlia@amns.in"/>
    <s v="9879101272"/>
    <s v="22814"/>
    <s v="Dhruv Vyas"/>
    <s v="Anil Matoo"/>
    <s v="Praveen Kuruvalli"/>
    <s v="Dhruv Vyas"/>
    <n v="0"/>
  </r>
  <r>
    <n v="239"/>
    <n v="20001102"/>
    <s v="Anil Patel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 HBI &amp; BF"/>
    <m/>
    <s v="Stores &amp; Warehouse"/>
    <s v="Stores &amp; Warehouse"/>
    <s v="Issue HBI &amp; BF"/>
    <s v="Non Technical Support"/>
    <s v="Commercial"/>
    <s v="Stores &amp; Warehouse"/>
    <s v="73806001"/>
    <s v="Stores &amp; Warehouse"/>
    <s v="Hazira"/>
    <d v="1965-08-31T00:00:00"/>
    <s v="58.00"/>
    <d v="1996-07-01T00:00:00"/>
    <d v="2023-08-31T00:00:00"/>
    <m/>
    <d v="2023-08-31T00:00:00"/>
    <n v="-20"/>
    <s v="O-"/>
    <s v="BCom-1986"/>
    <s v="06.05"/>
    <s v="27.02"/>
    <s v="33.07"/>
    <s v="00053278"/>
    <s v="GRN/Documentation/Issue - Plant A"/>
    <s v="72152514"/>
    <s v="Section Officer - Issue HBI &amp; BF"/>
    <s v="Hazira"/>
    <s v="0031950049"/>
    <s v="HZ-Central Stores"/>
    <s v="2000HWO"/>
    <s v="20002587"/>
    <s v="Seema Mehta"/>
    <s v="No"/>
    <s v="anil.patel2@amns.in"/>
    <s v="9879101854"/>
    <s v="23079"/>
    <s v="Dhruv Vyas"/>
    <s v="Anil Matoo"/>
    <s v="Praveen Kuruvalli"/>
    <s v="Dhruv Vyas"/>
    <n v="0"/>
  </r>
  <r>
    <n v="247"/>
    <n v="20001137"/>
    <s v="Bayana Prasad"/>
    <s v="AM/NS India"/>
    <s v="Onroll"/>
    <s v="M-5"/>
    <n v="5"/>
    <m/>
    <s v="MM"/>
    <s v="M"/>
    <s v="Vizag"/>
    <n v="3"/>
    <s v="2013"/>
    <x v="0"/>
    <s v="20.01"/>
    <s v="Akiyo Omori"/>
    <s v="Amit Harlalka"/>
    <n v="5"/>
    <s v="Finance &amp; Accounts"/>
    <s v="Finance &amp; Accounts"/>
    <s v="20"/>
    <s v="Section Head-Accounts payable/Receivable"/>
    <m/>
    <s v="Finance &amp; Accounts - Vizag"/>
    <s v="Finance &amp; Accounts"/>
    <s v="Accounts Payble &amp; Receivable"/>
    <s v="Non Technical Support"/>
    <s v="Finance &amp; Accounts"/>
    <s v="Finance &amp; Accounts"/>
    <s v="73901003"/>
    <s v="Accounts Payable"/>
    <s v="Vizag"/>
    <d v="1966-05-04T00:00:00"/>
    <s v="57.04"/>
    <d v="1996-11-01T00:00:00"/>
    <d v="2024-05-31T00:00:00"/>
    <m/>
    <d v="2024-05-31T00:00:00"/>
    <n v="254"/>
    <s v="O-"/>
    <s v="CA Inter-2008 , MBA-2008 , ICWA Final-19"/>
    <s v="01.07"/>
    <s v="26.10"/>
    <s v="28.05"/>
    <s v="72150243"/>
    <s v="Accounts Payable"/>
    <s v="72150357"/>
    <s v="Section Head-Accounts payable/Receivable"/>
    <s v="Vizag"/>
    <s v="0028030019"/>
    <s v="VIZ-Personnel &amp; Admi"/>
    <s v="2000VIZOPS"/>
    <s v="20001076"/>
    <s v="Bhavesh Modi"/>
    <s v="No"/>
    <s v="bayana.prasad@amns.in"/>
    <s v="9885310925"/>
    <s v="23570"/>
    <s v="DS Varma"/>
    <s v="Anil Matoo"/>
    <s v="Praveen Kuruvalli"/>
    <s v="Dhruv Vyas"/>
    <n v="0"/>
  </r>
  <r>
    <n v="248"/>
    <n v="20001139"/>
    <s v="Chetan Pandy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66-08-06T00:00:00"/>
    <s v="57.01"/>
    <d v="1996-11-15T00:00:00"/>
    <d v="2024-08-31T00:00:00"/>
    <m/>
    <d v="2024-08-31T00:00:00"/>
    <n v="346"/>
    <s v="AB-"/>
    <s v="BCom-1992"/>
    <s v="04.00"/>
    <s v="26.10"/>
    <s v="30.10"/>
    <s v="70491113"/>
    <s v="Indirect Taxation - 1"/>
    <s v="70319509"/>
    <s v="Lead - Customs"/>
    <s v="Hazira"/>
    <s v="0031950044"/>
    <s v="HZ-Commercial Taxati"/>
    <s v="2000HWO"/>
    <s v="20006246"/>
    <s v="Deven Sadadiwala"/>
    <s v="No"/>
    <s v="chetan.pandya@amns.in"/>
    <s v="9879101841"/>
    <s v="22947"/>
    <s v="Dhruv Vyas"/>
    <s v="Anil Matoo"/>
    <s v="Praveen Kuruvalli"/>
    <s v="Dhruv Vyas"/>
    <n v="0"/>
  </r>
  <r>
    <n v="255"/>
    <n v="20001164"/>
    <s v="Snehal Anjaria"/>
    <s v="AM/NS India"/>
    <s v="Onroll"/>
    <s v="M-6"/>
    <n v="6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Head - HBI BF Sinter /Trans Mgt"/>
    <m/>
    <s v="Stores &amp; Warehouse"/>
    <s v="Stores &amp; Warehouse"/>
    <s v="&quot;&quot;&quot;HBI, BF, Plant B &amp; Plate Mill-Trans Mgt-Import Logistics"/>
    <s v="Non Technical Support"/>
    <s v="Commercial"/>
    <s v="Stores &amp; Warehouse"/>
    <s v="73806001"/>
    <s v="Stores &amp; Warehouse"/>
    <s v="Hazira"/>
    <d v="1976-11-29T00:00:00"/>
    <s v="46.09"/>
    <d v="1996-12-23T00:00:00"/>
    <d v="2034-11-30T00:00:00"/>
    <m/>
    <d v="2034-11-30T00:00:00"/>
    <n v="4089"/>
    <s v="B-"/>
    <s v="Diploma-1996"/>
    <s v=""/>
    <s v="26.08"/>
    <s v="26.08"/>
    <s v="70272820"/>
    <s v="HBI, BF, Plant B &amp; Plate Mill"/>
    <s v="70320421"/>
    <s v="Section Head - HBI BF Sinter /Trans Mgt"/>
    <s v="Hazira"/>
    <s v="0031950049"/>
    <s v="HZ-Central Stores"/>
    <s v="2000HWO"/>
    <s v="20001240"/>
    <s v="Ambrish Chaturvedi"/>
    <s v="No"/>
    <s v="snehal.anjaria@amns.in"/>
    <s v="9879101700"/>
    <s v="21086"/>
    <s v="Dhruv Vyas"/>
    <s v="Anil Matoo"/>
    <s v="Praveen Kuruvalli"/>
    <s v="Dhruv Vyas"/>
    <n v="0"/>
  </r>
  <r>
    <n v="274"/>
    <n v="20001234"/>
    <s v="Anwar Khan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Payable"/>
    <m/>
    <s v="Working Capital"/>
    <s v="Accounts Payable"/>
    <s v="Bills Payable"/>
    <s v="Non Technical Support"/>
    <s v="Finance &amp; Accounts"/>
    <s v="Finance &amp; Accounts"/>
    <s v="73901003"/>
    <s v="Accounts Payable"/>
    <s v="AM/NS Hazira"/>
    <d v="1967-04-22T00:00:00"/>
    <s v="56.04"/>
    <d v="1997-03-15T00:00:00"/>
    <d v="2025-04-30T00:00:00"/>
    <m/>
    <d v="2025-04-30T00:00:00"/>
    <n v="588"/>
    <s v="O-"/>
    <s v="BCom-2011 , Certificate-2011"/>
    <s v="06.07"/>
    <s v="26.06"/>
    <s v="33.01"/>
    <s v="72150243"/>
    <s v="Accounts Payable"/>
    <s v="70320423"/>
    <s v="Sr. Lead - Accounts Payable"/>
    <s v="Hazira"/>
    <s v="0031950045"/>
    <s v="HZ-Works Accounts-Ha"/>
    <s v="2000HWO"/>
    <s v="20001076"/>
    <s v="Bhavesh Modi"/>
    <s v="No"/>
    <s v="anwar.khan1@amns.in"/>
    <s v="9879101766"/>
    <s v="22208"/>
    <s v="Dhruv Vyas"/>
    <s v="Anil Matoo"/>
    <s v="Praveen Kuruvalli"/>
    <s v="Dhruv Vyas"/>
    <n v="0"/>
  </r>
  <r>
    <n v="275"/>
    <n v="20001236"/>
    <s v="Vipul Padhiar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ost Audit &amp; Budgetary Control"/>
    <m/>
    <s v="Performance Management"/>
    <s v="Performance Management"/>
    <s v="Budgetory Control &amp; Audit"/>
    <s v="Non Technical Support"/>
    <s v="Finance &amp; Accounts"/>
    <s v="Costing"/>
    <s v="73906001"/>
    <s v="Costing"/>
    <s v="AM/NS Hazira"/>
    <d v="1972-04-18T00:00:00"/>
    <s v="51.05"/>
    <d v="1997-03-15T00:00:00"/>
    <d v="2030-04-30T00:00:00"/>
    <m/>
    <d v="2030-04-30T00:00:00"/>
    <n v="2414"/>
    <s v="AB-"/>
    <s v="MBA-2012 , ICWA Inter-2012 , MCom-2009"/>
    <s v="03.00"/>
    <s v="26.06"/>
    <s v="29.06"/>
    <s v="00045632"/>
    <s v="Costing &amp; Budgeting"/>
    <s v="70372306"/>
    <s v="Lead - Cost Audit &amp; Budgetary Control"/>
    <s v="Hazira"/>
    <s v="0031950043"/>
    <s v="HZ-Performance Manag"/>
    <s v="2000HWO"/>
    <s v="20056146"/>
    <s v="Asvinbhai Sutarsandhiya"/>
    <s v="No"/>
    <s v="vipul.padhiar@amns.in"/>
    <s v="9879101767"/>
    <s v="22878"/>
    <s v="Dhruv Vyas"/>
    <s v="Anil Matoo"/>
    <s v="Praveen Kuruvalli"/>
    <s v="Dhruv Vyas"/>
    <n v="0"/>
  </r>
  <r>
    <n v="276"/>
    <n v="20001238"/>
    <s v="Pitambar Sahu"/>
    <s v="AM/NS India"/>
    <s v="Onroll"/>
    <s v="M-6"/>
    <n v="6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- Finance &amp; Business Control"/>
    <m/>
    <s v="Finance &amp; Accounts - Odisha"/>
    <s v="Finance &amp; Accounts"/>
    <s v="Finance &amp; Business Control"/>
    <s v="Non Technical Support"/>
    <s v="Finance &amp; Accounts"/>
    <s v="Finance &amp; Accounts"/>
    <s v="73901001"/>
    <s v="Finance &amp; Accounts"/>
    <s v="Paradeep"/>
    <d v="1971-04-07T00:00:00"/>
    <s v="52.05"/>
    <d v="1997-03-15T00:00:00"/>
    <d v="2029-04-30T00:00:00"/>
    <m/>
    <d v="2029-04-30T00:00:00"/>
    <n v="2049"/>
    <s v="AB-"/>
    <s v="BCom-2009 , MBA-2009"/>
    <s v="00.08"/>
    <s v="26.06"/>
    <s v="27.02"/>
    <s v="70234933"/>
    <s v="Finance &amp; Accounts - Odisha"/>
    <s v="70298164"/>
    <s v="Lead - Finance &amp; Business Control"/>
    <s v="Odisha"/>
    <s v="0022030019"/>
    <s v="PDP-HR &amp; Admn"/>
    <s v="2000STORIS"/>
    <s v="20055801"/>
    <s v="Sanjive Kumar Singh"/>
    <s v="No"/>
    <s v="pitambar.sahu@amns.in"/>
    <s v="9437188790"/>
    <s v="23863"/>
    <s v="Sunila Das"/>
    <s v="Anil Matoo"/>
    <s v="Praveen Kuruvalli"/>
    <s v="Sunila Das"/>
    <n v="0"/>
  </r>
  <r>
    <n v="277"/>
    <n v="20001240"/>
    <s v="Ambrish Chaturvedi"/>
    <s v="AM/NS India"/>
    <s v="Onroll"/>
    <s v="M-5"/>
    <n v="5"/>
    <m/>
    <s v="MM"/>
    <s v="M"/>
    <s v="Hazira"/>
    <n v="1"/>
    <s v="2012"/>
    <x v="7"/>
    <s v="34.01"/>
    <s v="Hrishikesh Kamat"/>
    <s v="Hrishikesh Kamat"/>
    <n v="7"/>
    <s v="Procurement"/>
    <s v="Stores &amp; Warehouse"/>
    <s v="34"/>
    <s v="Head - Stores &amp; Warehouse Hazira"/>
    <m/>
    <s v="Stores &amp; Warehouse"/>
    <s v="Stores &amp; Warehouse"/>
    <s v="Operations"/>
    <s v="Non Technical Support"/>
    <s v="Commercial"/>
    <s v="Stores &amp; Warehouse"/>
    <s v="73806001"/>
    <s v="Stores &amp; Warehouse"/>
    <s v="Hazira"/>
    <d v="1967-12-29T00:00:00"/>
    <s v="55.08"/>
    <d v="1997-03-18T00:00:00"/>
    <d v="2025-12-31T00:00:00"/>
    <m/>
    <d v="2025-12-31T00:00:00"/>
    <n v="833"/>
    <s v="O-"/>
    <s v="BSc-1989"/>
    <s v="06.05"/>
    <s v="26.06"/>
    <s v="32.11"/>
    <s v="70072413"/>
    <s v="Stores &amp; Warehouse - Hazira"/>
    <s v="70258469"/>
    <s v="Head - Stores &amp; Warehouse Hazira"/>
    <s v="Hazira"/>
    <s v="0031950049"/>
    <s v="HZ-Central Stores"/>
    <s v="2000HWO"/>
    <s v="20055090"/>
    <s v="Hrishikesh Kamat"/>
    <s v="No"/>
    <s v="ambrish.chaturvedi@amns.in"/>
    <s v="9879101611"/>
    <s v="21353"/>
    <s v="Dhruv Vyas"/>
    <s v="Anil Matoo"/>
    <s v="Praveen Kuruvalli"/>
    <s v="Dhruv Vyas"/>
    <n v="0"/>
  </r>
  <r>
    <n v="284"/>
    <n v="20001265"/>
    <s v="Lakshman Iyer"/>
    <s v="AM/NS India"/>
    <s v="Onroll"/>
    <s v="M-4"/>
    <n v="4"/>
    <m/>
    <s v="SM"/>
    <s v="M"/>
    <s v="Hazira"/>
    <n v="1"/>
    <s v="2015"/>
    <x v="1"/>
    <s v="22.06"/>
    <s v="Anil Matoo"/>
    <s v="Ashutosh Telang"/>
    <n v="6"/>
    <s v="HR &amp; Administration"/>
    <s v="Human Resources"/>
    <s v="22"/>
    <s v="Cluster Head - Human Resources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68-10-26T00:00:00"/>
    <s v="54.10"/>
    <d v="1997-05-26T00:00:00"/>
    <d v="2026-10-31T00:00:00"/>
    <m/>
    <d v="2026-10-31T00:00:00"/>
    <n v="1137"/>
    <s v="AB-"/>
    <s v="BCom-1993"/>
    <s v="00.10"/>
    <s v="26.03"/>
    <s v="27.02"/>
    <s v="70472770"/>
    <s v="Hazira HR Operations - 1"/>
    <s v="70415280"/>
    <s v="Cluster Head - Human Resources"/>
    <s v="Hazira"/>
    <s v="0031950061"/>
    <s v="HZ-Human Resource"/>
    <s v="2000HWO"/>
    <s v="20000083"/>
    <s v="Anil Matoo"/>
    <s v="No"/>
    <s v="lakshman.iyer@amns.in"/>
    <s v="9909901600"/>
    <s v="21932"/>
    <s v="Dhruv Vyas"/>
    <s v="Anil Matoo"/>
    <s v="Praveen Kuruvalli"/>
    <s v="Dhruv Vyas"/>
    <n v="0"/>
  </r>
  <r>
    <n v="287"/>
    <n v="20001274"/>
    <s v="Nilesh Solanki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– Export Account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69-11-11T00:00:00"/>
    <s v="53.10"/>
    <d v="1997-05-31T00:00:00"/>
    <d v="2027-11-30T00:00:00"/>
    <m/>
    <d v="2027-11-30T00:00:00"/>
    <n v="1532"/>
    <s v="O-"/>
    <s v="MBA-2008"/>
    <s v="06.01"/>
    <s v="26.03"/>
    <s v="32.04"/>
    <s v="00044362"/>
    <s v="Export Documentation"/>
    <s v="70227008"/>
    <s v="Officer – Export Accounting"/>
    <s v="Hazira"/>
    <s v="0031950045"/>
    <s v="HZ-Works Accounts-Ha"/>
    <s v="2000HWO"/>
    <s v="20021039"/>
    <s v="Rajesh Patel"/>
    <s v="No"/>
    <s v="nilesh.solanki1@amns.in"/>
    <s v="9879101769"/>
    <s v="22844"/>
    <s v="Dhruv Vyas"/>
    <s v="Anil Matoo"/>
    <s v="Praveen Kuruvalli"/>
    <s v="Dhruv Vyas"/>
    <n v="0"/>
  </r>
  <r>
    <n v="288"/>
    <n v="20001275"/>
    <s v="Sheo Shankar Upadhyay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Collections &amp; Receivables"/>
    <m/>
    <s v="Sales Planning"/>
    <s v="Sales Planning"/>
    <s v=""/>
    <s v="Non Technical Support"/>
    <s v="Sales &amp; Marketing"/>
    <s v="Sales &amp; Marketing"/>
    <s v="73101001"/>
    <s v="Sales &amp; Marketing"/>
    <s v="Mumbai"/>
    <d v="1966-10-20T00:00:00"/>
    <s v="56.11"/>
    <d v="1997-06-01T00:00:00"/>
    <d v="2024-10-31T00:00:00"/>
    <m/>
    <d v="2024-10-31T00:00:00"/>
    <n v="407"/>
    <s v="O-"/>
    <s v="BCom-1989"/>
    <s v="02.00"/>
    <s v="26.03"/>
    <s v="28.03"/>
    <s v="70385322"/>
    <s v="Sales Planning &amp; Administration"/>
    <s v="70334295"/>
    <s v="Lead - Collections &amp; Receivables"/>
    <s v="Hazira"/>
    <s v="0080000001"/>
    <s v="Head-Marketing"/>
    <s v="2000HWO"/>
    <s v="20049554"/>
    <s v="Uttam Kumar"/>
    <s v="No"/>
    <s v="sheoshankar.upadhyay@amns.in"/>
    <s v="9819730643"/>
    <s v="24592"/>
    <s v="Dhruv Vyas"/>
    <s v="Anil Matoo"/>
    <s v="Praveen Kuruvalli"/>
    <s v="Dhruv Vyas"/>
    <n v="0"/>
  </r>
  <r>
    <n v="291"/>
    <n v="20001284"/>
    <s v="Kalpesh Tamakuwal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Domestic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3-01-03T00:00:00"/>
    <s v="50.08"/>
    <d v="1997-06-09T00:00:00"/>
    <d v="2031-01-31T00:00:00"/>
    <m/>
    <d v="2031-01-31T00:00:00"/>
    <n v="2690"/>
    <s v="A-"/>
    <s v="BCom-1993"/>
    <s v="03.03"/>
    <s v="26.03"/>
    <s v="29.06"/>
    <s v="70495314"/>
    <s v="Export, Domestic &amp; Banking"/>
    <s v="70319245"/>
    <s v="Sr. Lead - Domestic Banking"/>
    <s v="Hazira"/>
    <s v="0031950045"/>
    <s v="HZ-Works Accounts-Ha"/>
    <s v="2000HWO"/>
    <s v="20001077"/>
    <s v="Pradeep Parte"/>
    <s v="No"/>
    <s v="kalpesh.tamakuwala@amns.in"/>
    <s v="9879101842"/>
    <s v="24449"/>
    <s v="Dhruv Vyas"/>
    <s v="Anil Matoo"/>
    <s v="Praveen Kuruvalli"/>
    <s v="Dhruv Vyas"/>
    <n v="0"/>
  </r>
  <r>
    <n v="292"/>
    <n v="20001286"/>
    <s v="Rajeev Trivedi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Accounts Receivable"/>
    <m/>
    <s v="Working Capital"/>
    <s v="Accounts Receivable"/>
    <s v="Credit Control"/>
    <s v="Non Technical Support"/>
    <s v="Finance &amp; Accounts"/>
    <s v="Finance &amp; Accounts"/>
    <s v="73901004"/>
    <s v="Accounts Receivables"/>
    <s v="AM/NS Hazira"/>
    <d v="1966-02-12T00:00:00"/>
    <s v="57.07"/>
    <d v="1997-06-10T00:00:00"/>
    <d v="2024-02-29T00:00:00"/>
    <m/>
    <d v="2024-02-29T00:00:00"/>
    <n v="162"/>
    <s v="B-"/>
    <s v="BCom-1990"/>
    <s v="04.06"/>
    <s v="26.03"/>
    <s v="30.09"/>
    <s v="00045312"/>
    <s v="Accounts Receivable"/>
    <s v="70259333"/>
    <s v="Lead - Accounts Receivable"/>
    <s v="Hazira"/>
    <s v="0031950045"/>
    <s v="HZ-Works Accounts-Ha"/>
    <s v="2000HWO"/>
    <s v="20048487"/>
    <s v="Devendra Rai"/>
    <s v="No"/>
    <s v="rajeev.trivedi@amns.in"/>
    <s v="9879101843"/>
    <s v="24568"/>
    <s v="Dhruv Vyas"/>
    <s v="Anil Matoo"/>
    <s v="Praveen Kuruvalli"/>
    <s v="Dhruv Vyas"/>
    <n v="0"/>
  </r>
  <r>
    <n v="294"/>
    <n v="20001289"/>
    <s v="Siddaraju N"/>
    <s v="AM/NS India"/>
    <s v="Onroll"/>
    <s v="M-6"/>
    <n v="6"/>
    <m/>
    <s v="MM"/>
    <s v="M"/>
    <s v="Pune Facility"/>
    <n v="4"/>
    <s v="2043"/>
    <x v="3"/>
    <s v="31.01"/>
    <s v="Hrishikesh Kamat"/>
    <s v="Hrishikesh Kamat"/>
    <n v="7"/>
    <s v="Procurement"/>
    <s v="Procurement"/>
    <s v="31"/>
    <s v="Section Incharge - Purchase"/>
    <m/>
    <s v="Procurement"/>
    <s v="Row materail and Consumables"/>
    <s v="Row materail and Consumables"/>
    <s v="Non Technical Support"/>
    <s v="Operations"/>
    <s v="Plant Operations"/>
    <s v="72103003"/>
    <s v="Plant Operations"/>
    <s v="Pune AMNS"/>
    <d v="1975-06-15T00:00:00"/>
    <s v="48.03"/>
    <d v="1997-06-14T00:00:00"/>
    <d v="2033-06-30T00:00:00"/>
    <m/>
    <d v="2033-06-30T00:00:00"/>
    <n v="3571"/>
    <s v="O-"/>
    <s v="Diploma-2009 , MBA-2009"/>
    <s v="00.11"/>
    <s v="26.03"/>
    <s v="27.02"/>
    <s v="73800002"/>
    <s v="Procurement - Pune Asset"/>
    <s v="70226729"/>
    <s v="Section Incharge - Purchase"/>
    <s v="Pune Facility"/>
    <s v="0035950041"/>
    <s v="Pune-Procurement"/>
    <s v="2000ESPF"/>
    <s v="20006536"/>
    <s v="Mahesh Salunke"/>
    <s v="No"/>
    <s v="siddaraju.narayanappa@amns.in"/>
    <s v="9158895019"/>
    <s v="24211"/>
    <s v="Dhruv Vyas"/>
    <s v="Anil Matoo"/>
    <s v="Praveen Kuruvalli"/>
    <s v="Dhruv Vyas"/>
    <n v="0"/>
  </r>
  <r>
    <n v="310"/>
    <n v="20001370"/>
    <s v="Tejas Desai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Section Head - Pro Ferro Alloys"/>
    <m/>
    <s v="Procurement MRO Hazira"/>
    <s v="Procurement"/>
    <s v="Ferro Alloys, Electrodes, DSR, Quartzite"/>
    <s v="Non Technical Support"/>
    <s v="Commercial"/>
    <s v="Procurement"/>
    <s v="73803001"/>
    <s v="Procurement"/>
    <s v="AM/NS Hazira"/>
    <d v="1977-01-13T00:00:00"/>
    <s v="46.08"/>
    <d v="1998-03-02T00:00:00"/>
    <d v="2035-01-31T00:00:00"/>
    <m/>
    <d v="2035-01-31T00:00:00"/>
    <n v="4151"/>
    <s v="B-"/>
    <s v="MBA-2004 , BE-2004"/>
    <s v="00.10"/>
    <s v="25.06"/>
    <s v="26.04"/>
    <s v="00044542"/>
    <s v="Procurement -Ferroalloys"/>
    <s v="70386219"/>
    <s v="Section Head - Pro Ferro Alloys"/>
    <s v="Hazira"/>
    <s v="0031950048"/>
    <s v="HZ-Procurment Depart"/>
    <s v="2000HWO"/>
    <s v="20000201"/>
    <s v="Manish Bakriwala"/>
    <s v="No"/>
    <s v="tejas.desai@amns.in"/>
    <s v="9879101626"/>
    <s v="21609"/>
    <s v="Dhruv Vyas"/>
    <s v="Anil Matoo"/>
    <s v="Praveen Kuruvalli"/>
    <s v="Dhruv Vyas"/>
    <n v="0"/>
  </r>
  <r>
    <n v="322"/>
    <n v="20001476"/>
    <s v="Vinod Khai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- Business Support"/>
    <m/>
    <s v="CMO Office"/>
    <s v="CMO Office"/>
    <s v=""/>
    <s v="Non Technical Support"/>
    <s v="Sales &amp; Marketing"/>
    <s v="Sales &amp; Marketing"/>
    <s v="73101001"/>
    <s v="Sales &amp; Marketing"/>
    <s v="Mumbai"/>
    <d v="1972-01-25T00:00:00"/>
    <s v="51.07"/>
    <d v="2000-10-16T00:00:00"/>
    <d v="2030-01-31T00:00:00"/>
    <m/>
    <d v="2030-01-31T00:00:00"/>
    <n v="2325"/>
    <s v="O-"/>
    <s v="BCom-1997"/>
    <s v=""/>
    <s v="22.11"/>
    <s v="22.11"/>
    <s v="70139950"/>
    <s v="Sales &amp; Marketing"/>
    <s v="70376875"/>
    <s v="Lead- Business Support"/>
    <s v="Hazira"/>
    <s v="0080000001"/>
    <s v="Head-Marketing"/>
    <s v="2000HWO"/>
    <s v="20007104"/>
    <s v="Ranjan Dhar"/>
    <s v="No"/>
    <s v="vinod.khair@amns.in"/>
    <s v="9819730190"/>
    <s v="22192"/>
    <s v="Dhruv Vyas"/>
    <s v="Anil Matoo"/>
    <s v="Praveen Kuruvalli"/>
    <s v="Dhruv Vyas"/>
    <n v="0"/>
  </r>
  <r>
    <n v="323"/>
    <n v="20001488"/>
    <s v="Rajkumar Bhatia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NCO"/>
    <m/>
    <s v="Sales Steering &amp; BD"/>
    <s v="NCO"/>
    <s v="Secondary Sales"/>
    <s v="Non Technical Support"/>
    <s v="Sales &amp; Marketing"/>
    <s v="Sales"/>
    <s v="73104001"/>
    <s v="Sales"/>
    <s v="Hazira"/>
    <d v="1968-05-04T00:00:00"/>
    <s v="55.04"/>
    <d v="2001-01-02T00:00:00"/>
    <d v="2026-05-31T00:00:00"/>
    <m/>
    <d v="2026-05-31T00:00:00"/>
    <n v="984"/>
    <s v="O-"/>
    <s v="BCom-1990"/>
    <s v="03.00"/>
    <s v="22.08"/>
    <s v="25.08"/>
    <s v="70265035"/>
    <s v="Value Recovery"/>
    <s v="70226997"/>
    <s v="Lead - NCO"/>
    <s v="Hazira"/>
    <s v="0080000006"/>
    <s v="Secondary Sales - In"/>
    <s v="2000HWO"/>
    <s v="20016382"/>
    <s v="Kunal Bhardwaj"/>
    <s v="No"/>
    <s v="rajkumar.bhatia@amns.in"/>
    <s v="9879101520"/>
    <s v="21233"/>
    <s v="Dhruv Vyas"/>
    <s v="Anil Matoo"/>
    <s v="Praveen Kuruvalli"/>
    <s v="Dhruv Vyas"/>
    <n v="0"/>
  </r>
  <r>
    <n v="324"/>
    <n v="20001495"/>
    <s v="Milind Nargolka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NCO"/>
    <m/>
    <s v="Sales Steering &amp; BD"/>
    <s v="NCO"/>
    <s v="Secondary Sales"/>
    <s v="Non Technical Support"/>
    <s v="Sales &amp; Marketing"/>
    <s v="Sales"/>
    <s v="73104001"/>
    <s v="Sales"/>
    <s v="Mumbai"/>
    <d v="1976-08-07T00:00:00"/>
    <s v="47.01"/>
    <d v="2001-04-01T00:00:00"/>
    <d v="2034-08-31T00:00:00"/>
    <m/>
    <d v="2034-08-31T00:00:00"/>
    <n v="3998"/>
    <s v="A-"/>
    <s v="BCom-1999 , Diploma Equivalent-1999"/>
    <s v="00.11"/>
    <s v="22.05"/>
    <s v="23.04"/>
    <s v="70265035"/>
    <s v="Value Recovery"/>
    <s v="70226998"/>
    <s v="Lead - NCO"/>
    <s v="Hazira"/>
    <s v="0080000006"/>
    <s v="Secondary Sales - In"/>
    <s v="2000HWO"/>
    <s v="20016382"/>
    <s v="Kunal Bhardwaj"/>
    <s v="No"/>
    <s v="milind.nargolkar@amns.in"/>
    <s v="9879101199"/>
    <s v="22800"/>
    <s v="Dhruv Vyas"/>
    <s v="Anil Matoo"/>
    <s v="Praveen Kuruvalli"/>
    <s v="Dhruv Vyas"/>
    <n v="0"/>
  </r>
  <r>
    <n v="325"/>
    <n v="20001506"/>
    <s v="Ajay Kulkarni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NCO"/>
    <m/>
    <s v="Sales Steering &amp; BD"/>
    <s v="NCO"/>
    <s v="Domestic"/>
    <s v="Non Technical Support"/>
    <s v="Supply Chain Management"/>
    <s v="Supply Chain Management"/>
    <s v="73701001"/>
    <s v="Supply Chain Management"/>
    <s v="Pune AMNS"/>
    <d v="1967-06-04T00:00:00"/>
    <s v="56.03"/>
    <d v="2001-07-17T00:00:00"/>
    <d v="2025-06-30T00:00:00"/>
    <m/>
    <d v="2025-06-30T00:00:00"/>
    <n v="649"/>
    <s v="A-"/>
    <s v="BCom-2018 , MBA-2018"/>
    <s v="04.03"/>
    <s v="22.02"/>
    <s v="26.05"/>
    <s v="00044934"/>
    <s v="Value Recovery - Pune Facility"/>
    <s v="70259167"/>
    <s v="Lead - NCO"/>
    <s v="Pune Facility"/>
    <s v="0035950020"/>
    <s v="Pune-F&amp;A"/>
    <s v="2000ESPF"/>
    <s v="20016382"/>
    <s v="Kunal Bhardwaj"/>
    <s v="No"/>
    <s v="ajay.kulkarni@amns.in"/>
    <s v="9158895775"/>
    <s v="22292"/>
    <s v="Dhruv Vyas"/>
    <s v="Anil Matoo"/>
    <s v="Praveen Kuruvalli"/>
    <s v="Dhruv Vyas"/>
    <n v="0"/>
  </r>
  <r>
    <n v="326"/>
    <n v="20001529"/>
    <s v="Velidi Chandra Sekhara Rao"/>
    <s v="AM/NS India"/>
    <s v="Onroll"/>
    <s v="M-8"/>
    <n v="8"/>
    <m/>
    <s v="JM"/>
    <s v="M"/>
    <s v="Vizag"/>
    <n v="3"/>
    <s v="2012"/>
    <x v="7"/>
    <s v="34.01"/>
    <s v="Ambrish Chaturvedi"/>
    <s v="Hrishikesh Kamat"/>
    <n v="7"/>
    <s v="Procurement"/>
    <s v="Stores &amp; Warehouse"/>
    <s v="34"/>
    <s v="Warehouse Officers Kirandul"/>
    <m/>
    <s v="Stores &amp; Warehouse"/>
    <s v="Stores &amp; Warehouse"/>
    <s v="Stores &amp; Warehouse"/>
    <s v="Non Technical Support"/>
    <s v="Commercial"/>
    <s v="Stores &amp; Warehouse"/>
    <s v="73806001"/>
    <s v="Stores &amp; Warehouse"/>
    <s v="Kirandul"/>
    <d v="1967-06-05T00:00:00"/>
    <s v="56.03"/>
    <d v="2002-02-15T00:00:00"/>
    <d v="2025-06-30T00:00:00"/>
    <m/>
    <d v="2025-06-30T00:00:00"/>
    <n v="649"/>
    <s v="A-"/>
    <s v="BCom-1987"/>
    <s v="07.04"/>
    <s v="21.07"/>
    <s v="28.11"/>
    <s v="70301353"/>
    <s v="Procurement - Vizag &amp; Chitrakonda"/>
    <s v="70258960"/>
    <s v="Warehouse Officers Kirandul"/>
    <s v="Vizag"/>
    <s v="0028030019"/>
    <s v="VIZ-Personnel &amp; Admi"/>
    <s v="2000VIZOPS"/>
    <s v="20000200"/>
    <s v="A Venkateswara Rao"/>
    <s v="No"/>
    <s v="velidi.chandrasekhararao@amns.in"/>
    <s v="9713766632"/>
    <s v="23707"/>
    <s v="DS Varma"/>
    <s v="Anil Matoo"/>
    <s v="Praveen Kuruvalli"/>
    <s v="Dhruv Vyas"/>
    <n v="0"/>
  </r>
  <r>
    <n v="330"/>
    <n v="20001577"/>
    <s v="Prakash Thakur"/>
    <s v="AM/NS India"/>
    <s v="Onroll"/>
    <s v="M-4"/>
    <n v="4"/>
    <m/>
    <s v="SM"/>
    <s v="M"/>
    <s v="Hazira"/>
    <n v="1"/>
    <s v="2095"/>
    <x v="4"/>
    <n v="36.01"/>
    <s v="Deepak Sindkar"/>
    <s v="Hrishikesh Kamat"/>
    <n v="7"/>
    <s v="Procurement"/>
    <s v="Raw Materials"/>
    <s v="36"/>
    <s v="Section Head - Blacks"/>
    <m/>
    <s v="Bulk Raw Materials"/>
    <s v="Raw Material"/>
    <s v="Coal &amp; Coke"/>
    <s v="Non Technical Support"/>
    <s v="Commercial"/>
    <s v="Procurement"/>
    <s v="73803001"/>
    <s v="Procurement"/>
    <s v="Mumbai"/>
    <d v="1981-02-16T00:00:00"/>
    <s v="42.07"/>
    <d v="2003-01-20T00:00:00"/>
    <d v="2039-02-28T00:00:00"/>
    <m/>
    <d v="2039-02-28T00:00:00"/>
    <n v="5640"/>
    <s v="B-"/>
    <s v="BTech-2003"/>
    <s v=""/>
    <s v="20.07"/>
    <s v="20.07"/>
    <s v="00045894"/>
    <s v="Blacks"/>
    <s v="70386222"/>
    <s v="Section Head - Blacks"/>
    <s v="Hazira"/>
    <s v="0031950048"/>
    <s v="HZ-Procurment Depart"/>
    <s v="2000HWO"/>
    <s v="20000253"/>
    <s v="Deepak Sindkar"/>
    <s v="No"/>
    <s v="prakash.thakur@amns.in"/>
    <s v="9833946423"/>
    <s v="24500"/>
    <s v="Dhruv Vyas"/>
    <s v="Anil Matoo"/>
    <s v="Praveen Kuruvalli"/>
    <s v="Dhruv Vyas"/>
    <n v="0"/>
  </r>
  <r>
    <n v="332"/>
    <n v="20001585"/>
    <s v="Y S V Satish Kumar"/>
    <s v="AM/NS India"/>
    <s v="Onroll"/>
    <s v="M-8"/>
    <n v="8"/>
    <m/>
    <s v="JM"/>
    <s v="M"/>
    <s v="Vizag"/>
    <n v="3"/>
    <s v="2023"/>
    <x v="6"/>
    <s v="24.08"/>
    <s v="Anil Matoo"/>
    <s v="Ashutosh Telang"/>
    <n v="6"/>
    <s v="HR &amp; Administration"/>
    <s v="Administration"/>
    <s v="24"/>
    <s v="Plant Node Officer - PP"/>
    <m/>
    <s v="Administration"/>
    <s v="Administration"/>
    <s v="Administration"/>
    <s v="Non Technical Support"/>
    <s v="Administration"/>
    <s v="Administration"/>
    <s v="74101001"/>
    <s v="Administration"/>
    <s v="Vizag"/>
    <d v="1979-02-03T00:00:00"/>
    <s v="44.07"/>
    <d v="2003-02-08T00:00:00"/>
    <d v="2037-02-28T00:00:00"/>
    <m/>
    <d v="2037-02-28T00:00:00"/>
    <n v="4910"/>
    <s v="A-"/>
    <s v="MBA-2002 , BCom-2002"/>
    <s v=""/>
    <s v="20.07"/>
    <s v="20.07"/>
    <s v="72150111"/>
    <s v="Vizag HR Operations &amp; Administration"/>
    <s v="70319475"/>
    <s v="Plant Node Officer - PP"/>
    <s v="Vizag"/>
    <s v="0028030019"/>
    <s v="VIZ-Personnel &amp; Admi"/>
    <s v="2000VIZOPS"/>
    <s v="20000519"/>
    <s v="Dandu Srinivas Varma"/>
    <s v="No"/>
    <s v="satish.kumar2@amns.in"/>
    <s v="9885310953"/>
    <s v="23956"/>
    <s v="DS Varma"/>
    <s v="Anil Matoo"/>
    <s v="Praveen Kuruvalli"/>
    <s v="Dhruv Vyas"/>
    <n v="0"/>
  </r>
  <r>
    <n v="341"/>
    <n v="20001664"/>
    <s v="Vivek Koul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CRM &amp; Pipe"/>
    <m/>
    <s v="Procurement MRO Hazira"/>
    <s v="Procurement"/>
    <s v="APD &amp; OEM for CRM Complex"/>
    <s v="Non Technical Support"/>
    <s v="Commercial"/>
    <s v="Procurement"/>
    <s v="73803001"/>
    <s v="Procurement"/>
    <s v="AM/NS Hazira"/>
    <d v="1981-03-05T00:00:00"/>
    <s v="42.06"/>
    <d v="2003-05-26T00:00:00"/>
    <d v="2039-03-31T00:00:00"/>
    <m/>
    <d v="2039-03-31T00:00:00"/>
    <n v="5671"/>
    <s v="O-"/>
    <s v="BTech-2003"/>
    <s v=""/>
    <s v="20.03"/>
    <s v="20.03"/>
    <s v="70072410"/>
    <s v="Rolling &amp; Finishing including CRM, Plate"/>
    <s v="70227024"/>
    <s v="Lead – Proc CRM &amp; Pipe"/>
    <s v="Hazira"/>
    <s v="0031950048"/>
    <s v="HZ-Procurment Depart"/>
    <s v="2000HWO"/>
    <s v="20002323"/>
    <s v="Balaji Somvanshi"/>
    <s v="No"/>
    <s v="vivek.koul@amns.in"/>
    <s v="9879101781"/>
    <s v="22278"/>
    <s v="Dhruv Vyas"/>
    <s v="Anil Matoo"/>
    <s v="Praveen Kuruvalli"/>
    <s v="Dhruv Vyas"/>
    <n v="0"/>
  </r>
  <r>
    <n v="345"/>
    <n v="20001736"/>
    <s v="Manoranjan Jagdhari"/>
    <s v="AM/NS India"/>
    <s v="Onroll"/>
    <s v="M-5"/>
    <n v="5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KAM - OEM Sales"/>
    <m/>
    <s v="West"/>
    <s v="Hypermart"/>
    <s v=""/>
    <s v="Non Technical Support"/>
    <s v="Sales &amp; Marketing"/>
    <s v="Sales"/>
    <s v="73104004"/>
    <s v="OEM Sales"/>
    <s v="Ahmedabad"/>
    <d v="1977-10-29T00:00:00"/>
    <s v="45.10"/>
    <d v="2003-07-28T00:00:00"/>
    <d v="2035-10-31T00:00:00"/>
    <m/>
    <d v="2035-10-31T00:00:00"/>
    <n v="4424"/>
    <s v="B-"/>
    <s v="BE-2002 , MBA-2002"/>
    <s v=""/>
    <s v="20.01"/>
    <s v="20.01"/>
    <s v="70394840"/>
    <s v="OEM Sales - Gujarat"/>
    <s v="70390042"/>
    <s v="Business Lead - Hypermart Gujarat"/>
    <s v="Hazira"/>
    <s v="0060110200"/>
    <s v="HMART-Gujarat Div"/>
    <s v="2000HWO"/>
    <s v="20000812"/>
    <s v="Sitaram Rege"/>
    <s v="No"/>
    <s v="manoranjan.jagdhari@amns.in"/>
    <s v="9978937895"/>
    <s v="21957"/>
    <s v="Dhruv Vyas"/>
    <s v="Anil Matoo"/>
    <s v="Praveen Kuruvalli"/>
    <s v="Dhruv Vyas"/>
    <n v="0"/>
  </r>
  <r>
    <n v="349"/>
    <n v="20001800"/>
    <s v="Sanjay Desa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76-04-23T00:00:00"/>
    <s v="47.04"/>
    <d v="2003-11-20T00:00:00"/>
    <d v="2034-04-30T00:00:00"/>
    <m/>
    <d v="2034-04-30T00:00:00"/>
    <n v="3875"/>
    <s v="O-"/>
    <s v="BCom-2001 , LLB-2001"/>
    <s v="11.06"/>
    <s v="19.09"/>
    <s v="31.03"/>
    <s v="00044156"/>
    <s v="Indirect Taxation - 2"/>
    <s v="70372310"/>
    <s v="Lead - Customs"/>
    <s v="Hazira"/>
    <s v="0031950044"/>
    <s v="HZ-Commercial Taxati"/>
    <s v="2000HWO"/>
    <s v="20006246"/>
    <s v="Deven Sadadiwala"/>
    <s v="No"/>
    <s v="sanjay.desai@amns.in"/>
    <s v="9909901504"/>
    <s v="21607"/>
    <s v="Dhruv Vyas"/>
    <s v="Anil Matoo"/>
    <s v="Praveen Kuruvalli"/>
    <s v="Dhruv Vyas"/>
    <n v="0"/>
  </r>
  <r>
    <n v="350"/>
    <n v="20001808"/>
    <s v="Alpesh Parikh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Hypermart"/>
    <s v="Hypermart"/>
    <s v=""/>
    <s v="Non Technical Support"/>
    <s v="Sales &amp; Marketing"/>
    <s v="Sales"/>
    <s v="73104004"/>
    <s v="OEM Sales"/>
    <s v="Ahmedabad"/>
    <d v="1972-08-22T00:00:00"/>
    <s v="51.00"/>
    <d v="2003-12-01T00:00:00"/>
    <d v="2030-08-31T00:00:00"/>
    <m/>
    <d v="2030-08-31T00:00:00"/>
    <n v="2537"/>
    <s v="A-"/>
    <s v="BSc-1994 , Diploma-1994"/>
    <s v=""/>
    <s v="19.09"/>
    <s v="19.09"/>
    <s v="72150154"/>
    <s v="HyperMart"/>
    <s v="70334352"/>
    <s v="KAM - Secondary Sales"/>
    <s v="Hazira"/>
    <s v="0031950057"/>
    <s v="HZ-HRC - Marketing"/>
    <s v="2000HWO"/>
    <s v="20006236"/>
    <s v="Sanjay Vaid"/>
    <s v="No"/>
    <s v="alpesh.parikh@amns.in"/>
    <s v="9879100901"/>
    <s v="23003"/>
    <s v="Dhruv Vyas"/>
    <s v="Anil Matoo"/>
    <s v="Praveen Kuruvalli"/>
    <s v="Dhruv Vyas"/>
    <n v="0"/>
  </r>
  <r>
    <n v="353"/>
    <n v="20001854"/>
    <s v="Arasappan Thirumaran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Section Head - Treasury"/>
    <m/>
    <s v="Treasury &amp; Banking"/>
    <s v="Treasury"/>
    <s v="Treasury"/>
    <s v="Non Technical Support"/>
    <s v="Finance &amp; Accounts"/>
    <s v="Treasury"/>
    <s v="73903001"/>
    <s v="Treasury"/>
    <s v="AM/NS Hazira"/>
    <d v="1968-06-13T00:00:00"/>
    <s v="55.03"/>
    <d v="2004-01-23T00:00:00"/>
    <d v="2026-06-30T00:00:00"/>
    <m/>
    <d v="2026-06-30T00:00:00"/>
    <n v="1014"/>
    <s v="O-"/>
    <s v="ICWA Final-2009 , BCom-2009 , CA Inter-1"/>
    <s v="09.00"/>
    <s v="19.07"/>
    <s v="28.07"/>
    <s v="72150420"/>
    <s v="Treasury - Hazira"/>
    <s v="72152884"/>
    <s v="Section Head - Treasury"/>
    <s v="Hazira"/>
    <s v="0031950045"/>
    <s v="HZ-Works Accounts-Ha"/>
    <s v="2000HWO"/>
    <s v="20000870"/>
    <s v="Balajee M"/>
    <s v="No"/>
    <s v="maran.thiru@amns.in"/>
    <s v="9909901125"/>
    <s v="24516"/>
    <s v="Dhruv Vyas"/>
    <s v="Anil Matoo"/>
    <s v="Praveen Kuruvalli"/>
    <s v="Dhruv Vyas"/>
    <n v="0"/>
  </r>
  <r>
    <n v="362"/>
    <n v="20001905"/>
    <s v="Nirav Bhagat"/>
    <s v="AM/NS India"/>
    <s v="Onroll"/>
    <s v="M-7"/>
    <n v="7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 Charge - Issue/Shifting"/>
    <m/>
    <s v="Stores &amp; Warehouse"/>
    <s v="Stores &amp; Warehouse"/>
    <s v="INI-CSP Caster, RMHS, F&amp;S, Admin, SMP Crane &amp; all bearing"/>
    <s v="Non Technical Support"/>
    <s v="Commercial"/>
    <s v="Stores &amp; Warehouse"/>
    <s v="73806001"/>
    <s v="Stores &amp; Warehouse"/>
    <s v="Hazira"/>
    <d v="1982-11-17T00:00:00"/>
    <s v="40.10"/>
    <d v="2003-07-08T00:00:00"/>
    <d v="2040-11-30T00:00:00"/>
    <m/>
    <d v="2040-11-30T00:00:00"/>
    <n v="6281"/>
    <s v="B-"/>
    <s v="Diploma-2003"/>
    <s v="00.08"/>
    <s v="20.02"/>
    <s v="20.10"/>
    <s v="00044540"/>
    <s v="Material Issue &amp; Shifting"/>
    <s v="70372311"/>
    <s v="Section In Charge - Issue/Shifting"/>
    <s v="Hazira"/>
    <s v="0031950049"/>
    <s v="HZ-Central Stores"/>
    <s v="2000HWO"/>
    <s v="20001164"/>
    <s v="Snehal Anjaria"/>
    <s v="No"/>
    <s v="nirav.bhagat@amns.in"/>
    <s v="9879102032"/>
    <s v="21207"/>
    <s v="Dhruv Vyas"/>
    <s v="Anil Matoo"/>
    <s v="Praveen Kuruvalli"/>
    <s v="Dhruv Vyas"/>
    <n v="0"/>
  </r>
  <r>
    <n v="383"/>
    <n v="20002323"/>
    <s v="Balaji Somvanshi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Section Head -  Pro Rolling &amp; Finishing"/>
    <m/>
    <s v="Procurement MRO Hazira"/>
    <s v="Procurement"/>
    <s v="Rolling &amp; Finishing"/>
    <s v="Non Technical Support"/>
    <s v="Commercial"/>
    <s v="Procurement"/>
    <s v="73803001"/>
    <s v="Procurement"/>
    <s v="AM/NS Hazira"/>
    <d v="1973-05-05T00:00:00"/>
    <s v="50.04"/>
    <d v="2004-08-11T00:00:00"/>
    <d v="2031-05-31T00:00:00"/>
    <m/>
    <d v="2031-05-31T00:00:00"/>
    <n v="2810"/>
    <s v="B-"/>
    <s v="BE-1994"/>
    <s v="09.08"/>
    <s v="19.01"/>
    <s v="28.09"/>
    <s v="70072410"/>
    <s v="Rolling &amp; Finishing including CRM, Plate"/>
    <s v="70320256"/>
    <s v="Section Head -  Pro Rolling &amp; Finishing"/>
    <s v="Hazira"/>
    <s v="0031950048"/>
    <s v="HZ-Procurment Depart"/>
    <s v="2000HWO"/>
    <s v="20000201"/>
    <s v="Manish Bakriwala"/>
    <s v="No"/>
    <s v="balaji.somvanshi@amns.in"/>
    <s v="9879100735"/>
    <s v="24325"/>
    <s v="Dhruv Vyas"/>
    <s v="Anil Matoo"/>
    <s v="Praveen Kuruvalli"/>
    <s v="Dhruv Vyas"/>
    <n v="0"/>
  </r>
  <r>
    <n v="385"/>
    <n v="20002379"/>
    <s v="Mateen Rizvi"/>
    <s v="AM/NS India"/>
    <s v="Onroll"/>
    <s v="M-6"/>
    <n v="6"/>
    <m/>
    <s v="MM"/>
    <s v="M"/>
    <s v="Vizag"/>
    <n v="3"/>
    <s v="2095"/>
    <x v="4"/>
    <n v="36.01"/>
    <s v="Deepak Sindkar"/>
    <s v="Hrishikesh Kamat"/>
    <n v="7"/>
    <s v="Procurement"/>
    <s v="Raw Materials"/>
    <s v="36"/>
    <s v="Section Head - Raw Material Liasioning"/>
    <m/>
    <s v="Bulk Raw Materials"/>
    <s v="Liaisoning"/>
    <s v="Liaisoning"/>
    <s v="Non Technical Support"/>
    <s v="Services"/>
    <s v="Maintenance Services"/>
    <s v="72103013"/>
    <s v="Mechanical Maintenance"/>
    <s v="Kirandul"/>
    <d v="1981-02-20T00:00:00"/>
    <s v="42.06"/>
    <d v="2004-08-16T00:00:00"/>
    <d v="2039-02-28T00:00:00"/>
    <m/>
    <d v="2039-02-28T00:00:00"/>
    <n v="5640"/>
    <s v="B-"/>
    <s v="BE-2004"/>
    <s v=""/>
    <s v="19.01"/>
    <s v="19.01"/>
    <s v="00045893"/>
    <s v="Red Odisha Mill Scale"/>
    <s v="70402767"/>
    <s v="Section Head - Raw Material Liasioning"/>
    <s v="Vizag"/>
    <s v="0028010019"/>
    <s v="KRD-Admin &amp; General"/>
    <s v="2000VIZOPS"/>
    <s v="20035527"/>
    <s v="Anil Patro"/>
    <s v="No"/>
    <s v="mateen.rizvi@amns.in"/>
    <s v="9425591778"/>
    <s v="23790"/>
    <s v="Dhruv Vyas"/>
    <s v="Anil Matoo"/>
    <s v="Praveen Kuruvalli"/>
    <s v="Dhruv Vyas"/>
    <n v="0"/>
  </r>
  <r>
    <n v="406"/>
    <n v="20002479"/>
    <s v="Anand Talabhatula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- Pro MH"/>
    <m/>
    <s v="Procurement MRO Hazira"/>
    <s v="Procurement"/>
    <s v="Quality System &amp; Customer Relation Manager"/>
    <s v="Non Technical Support"/>
    <s v="Operations"/>
    <s v="Operations"/>
    <s v="72103001"/>
    <s v="Operations"/>
    <s v="AM/NS Hazira"/>
    <d v="1982-01-23T00:00:00"/>
    <s v="41.07"/>
    <d v="2004-09-14T00:00:00"/>
    <d v="2040-01-31T00:00:00"/>
    <m/>
    <d v="2040-01-31T00:00:00"/>
    <n v="5977"/>
    <s v="B-"/>
    <s v="PG Diploma in Management-2012 , BTech-20"/>
    <s v=""/>
    <s v="19.00"/>
    <s v="19.00"/>
    <s v="72150383"/>
    <s v="Procurement (MRO/IP &amp; Consumable)"/>
    <s v="70226947"/>
    <s v="Lead - Pro MH"/>
    <s v="Hazira"/>
    <s v="0031950048"/>
    <s v="HZ-Procurment Depart"/>
    <s v="2000HWO"/>
    <s v="20000201"/>
    <s v="Manish Bakriwala"/>
    <s v="No"/>
    <s v="anand.talabhatula@amns.in"/>
    <s v="9909901508"/>
    <s v="24443"/>
    <s v="Dhruv Vyas"/>
    <s v="Anil Matoo"/>
    <s v="Praveen Kuruvalli"/>
    <s v="Dhruv Vyas"/>
    <n v="0"/>
  </r>
  <r>
    <n v="413"/>
    <n v="20002587"/>
    <s v="Seema Mehta"/>
    <s v="AM/NS India"/>
    <s v="Onroll"/>
    <s v="M-8"/>
    <n v="8"/>
    <m/>
    <s v="JM"/>
    <s v="F"/>
    <s v="Hazira"/>
    <n v="1"/>
    <s v="2012"/>
    <x v="7"/>
    <s v="34.01"/>
    <s v="Ambrish Chaturvedi"/>
    <s v="Hrishikesh Kamat"/>
    <n v="7"/>
    <s v="Procurement"/>
    <s v="Stores &amp; Warehouse"/>
    <s v="34"/>
    <s v="Section Officer - GRN &amp; Documentation"/>
    <m/>
    <s v="Stores &amp; Warehouse"/>
    <s v="Stores &amp; Warehouse"/>
    <s v="GRN &amp; Documentation"/>
    <s v="Non Technical Support"/>
    <s v="Commercial"/>
    <s v="Stores &amp; Warehouse"/>
    <s v="73806001"/>
    <s v="Stores &amp; Warehouse"/>
    <s v="Hazira"/>
    <d v="1968-07-13T00:00:00"/>
    <s v="55.02"/>
    <d v="2004-09-23T00:00:00"/>
    <d v="2026-07-31T00:00:00"/>
    <m/>
    <d v="2026-07-31T00:00:00"/>
    <n v="1045"/>
    <s v="AB-"/>
    <s v="BCom-1988"/>
    <s v=""/>
    <s v="18.11"/>
    <s v="18.11"/>
    <s v="00053278"/>
    <s v="GRN/Documentation/Issue - Plant A"/>
    <s v="70259108"/>
    <s v="Section Officer - GRN &amp; Documentation"/>
    <s v="Hazira"/>
    <s v="0031950049"/>
    <s v="HZ-Central Stores"/>
    <s v="2000HWO"/>
    <s v="20001164"/>
    <s v="Snehal Anjaria"/>
    <s v="No"/>
    <s v="seema.mehta@amns.in"/>
    <s v="9879101993"/>
    <s v="22601"/>
    <s v="Dhruv Vyas"/>
    <s v="Anil Matoo"/>
    <s v="Praveen Kuruvalli"/>
    <s v="Dhruv Vyas"/>
    <n v="0"/>
  </r>
  <r>
    <n v="414"/>
    <n v="20002607"/>
    <s v="Perpetina Corda"/>
    <s v="AM/NS India"/>
    <s v="Onroll"/>
    <s v="M-6"/>
    <n v="6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Trade Finance"/>
    <m/>
    <s v="Treasury &amp; Banking"/>
    <s v="Treasury &amp; Banking"/>
    <s v="Corporate Finance"/>
    <s v="Non Technical Support"/>
    <s v="Finance &amp; Accounts"/>
    <s v="Treasury"/>
    <s v="73903001"/>
    <s v="Treasury"/>
    <s v="Mumbai"/>
    <d v="1970-06-17T00:00:00"/>
    <s v="53.03"/>
    <d v="1994-03-21T00:00:00"/>
    <d v="2028-06-30T00:00:00"/>
    <m/>
    <d v="2028-06-30T00:00:00"/>
    <n v="1745"/>
    <s v="AB+"/>
    <s v="BA-2013 , Chartered Financial Analyst (C"/>
    <s v=""/>
    <s v="29.06"/>
    <s v="29.06"/>
    <s v="70447071"/>
    <s v="Insurance &amp; Financial Risk"/>
    <s v="70285612"/>
    <s v="Lead - Trade Finance"/>
    <s v="Hazira"/>
    <s v="0090000028"/>
    <s v="Corporate Steel - Wo"/>
    <s v="2000HWO"/>
    <s v="20017504"/>
    <s v="Appi Reddy Guttikonda"/>
    <s v="No"/>
    <s v="perpetina.corda@amns.in"/>
    <s v="9819731811"/>
    <s v="21446"/>
    <s v="Dhruv Vyas"/>
    <s v="Anil Matoo"/>
    <s v="Praveen Kuruvalli"/>
    <s v="Dhruv Vyas"/>
    <n v="0"/>
  </r>
  <r>
    <n v="416"/>
    <n v="20002629"/>
    <s v="Bhavesh Patel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Power Transmission  Hazira"/>
    <m/>
    <s v="Procurement MRO Hazira"/>
    <s v="Procurement"/>
    <s v="APD &amp; OEM Plate Mill &amp; Power Transmission for Hazira Complex"/>
    <s v="Non Technical Support"/>
    <s v="Commercial"/>
    <s v="Procurement"/>
    <s v="73803001"/>
    <s v="Procurement"/>
    <s v="AM/NS Hazira"/>
    <d v="1981-11-28T00:00:00"/>
    <s v="41.09"/>
    <d v="2004-10-06T00:00:00"/>
    <d v="2039-11-30T00:00:00"/>
    <m/>
    <d v="2039-11-30T00:00:00"/>
    <n v="5915"/>
    <s v="A-"/>
    <s v="BE-2003"/>
    <s v="01.00"/>
    <s v="18.11"/>
    <s v="19.11"/>
    <s v="00053409"/>
    <s v="Proc PowerTransmission"/>
    <s v="70227553"/>
    <s v="Lead – Proc Power Transmission  Hazira"/>
    <s v="Hazira"/>
    <s v="0031950048"/>
    <s v="HZ-Procurment Depart"/>
    <s v="2000HWO"/>
    <s v="20002323"/>
    <s v="Balaji Somvanshi"/>
    <s v="No"/>
    <s v="bhavesh.patel2@amns.in"/>
    <s v="9879102141"/>
    <s v="23104"/>
    <s v="Dhruv Vyas"/>
    <s v="Anil Matoo"/>
    <s v="Praveen Kuruvalli"/>
    <s v="Dhruv Vyas"/>
    <n v="0"/>
  </r>
  <r>
    <n v="418"/>
    <n v="20002639"/>
    <s v="Kathiresan K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Plate"/>
    <s v=""/>
    <s v="Non Technical Support"/>
    <s v="Sales &amp; Marketing"/>
    <s v="Sales"/>
    <s v="73104004"/>
    <s v="OEM Sales"/>
    <s v="Chennai"/>
    <d v="1985-06-22T00:00:00"/>
    <s v="38.03"/>
    <d v="2004-10-06T00:00:00"/>
    <d v="2043-06-30T00:00:00"/>
    <m/>
    <d v="2043-06-30T00:00:00"/>
    <n v="7223"/>
    <s v="B-"/>
    <s v="Diploma-2010 , AMIE-2010 , BSc-9999 , MB"/>
    <s v=""/>
    <s v="18.11"/>
    <s v="18.11"/>
    <s v="00052473"/>
    <s v="KAM - Plate Sales"/>
    <s v="70319532"/>
    <s v="KAM - Plate Sales"/>
    <s v="Hazira"/>
    <s v="0031581982"/>
    <s v="PLM-Marketing"/>
    <s v="2000HWO"/>
    <s v="20000909"/>
    <s v="Murali Krishna Chunduru"/>
    <s v="No"/>
    <s v="kathiresan.k@amns.in"/>
    <s v="9962828289"/>
    <s v="22083"/>
    <s v="Dhruv Vyas"/>
    <s v="Anil Matoo"/>
    <s v="Praveen Kuruvalli"/>
    <s v="Dhruv Vyas"/>
    <n v="0"/>
  </r>
  <r>
    <n v="430"/>
    <n v="20002744"/>
    <s v="Lalit Periwal"/>
    <s v="AM/NS India"/>
    <s v="Onroll"/>
    <s v="M-8"/>
    <n v="8"/>
    <m/>
    <s v="JM"/>
    <s v="M"/>
    <s v="Corporate"/>
    <n v="7"/>
    <s v="2100"/>
    <x v="11"/>
    <s v="42.01"/>
    <s v="Pankaj Chourasia"/>
    <s v="P Ashok Kumar"/>
    <n v="9"/>
    <s v="Legal"/>
    <s v="Company Secretary"/>
    <s v="42"/>
    <s v="Lead Company Secretary"/>
    <m/>
    <s v="Company Secretary"/>
    <s v="Company Secretary"/>
    <s v="Lead - Corporate Secretarial"/>
    <s v="Non Technical Support"/>
    <s v="Secretarial"/>
    <s v="Company Secretary"/>
    <s v="73301001"/>
    <s v="Company Secretary"/>
    <s v="Mumbai"/>
    <d v="1965-01-05T00:00:00"/>
    <s v="58.08"/>
    <d v="1987-01-01T00:00:00"/>
    <d v="2023-01-31T00:00:00"/>
    <d v="2024-01-31T00:00:00"/>
    <d v="2024-01-31T00:00:00"/>
    <n v="133"/>
    <s v="O-"/>
    <s v="BCom-1986"/>
    <s v=""/>
    <s v="36.08"/>
    <s v="36.08"/>
    <s v="70273573"/>
    <s v="Company Secretarial"/>
    <s v="72153643"/>
    <s v="Lead Company Secretary"/>
    <s v="Corporate"/>
    <s v="0090000020"/>
    <s v="Company Secretary"/>
    <s v="2000CS"/>
    <s v="20050785"/>
    <s v="Pankaj Chourasia"/>
    <s v="No"/>
    <s v="lalit.periwal@amns.in"/>
    <s v="9819730810"/>
    <s v="23496"/>
    <s v="Dhruv Vyas"/>
    <s v="Anil Matoo"/>
    <s v="Praveen Kuruvalli"/>
    <s v="Dhruv Vyas"/>
    <n v="0"/>
  </r>
  <r>
    <n v="431"/>
    <n v="20002746"/>
    <s v="Deep Pyne"/>
    <s v="AM/NS India"/>
    <s v="Onroll"/>
    <s v="M-5"/>
    <n v="5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ection Head – Pro E I &amp;A and Zinc"/>
    <m/>
    <s v="Procurement MRO Hazira"/>
    <s v="Procurement"/>
    <s v="Zinc, Electrical, Instrumentation, Automation spares"/>
    <s v="Non Technical Support"/>
    <s v="Commercial"/>
    <s v="Procurement"/>
    <s v="73803001"/>
    <s v="Procurement"/>
    <s v="AM/NS Hazira"/>
    <d v="1973-06-12T00:00:00"/>
    <s v="50.03"/>
    <d v="2004-11-01T00:00:00"/>
    <d v="2031-06-30T00:00:00"/>
    <m/>
    <d v="2031-06-30T00:00:00"/>
    <n v="2840"/>
    <s v="O-"/>
    <s v="BE-1995"/>
    <s v="09.00"/>
    <s v="18.10"/>
    <s v="27.10"/>
    <s v="70266350"/>
    <s v="Zinc, Elect, Instrumentation, Automation"/>
    <s v="70258442"/>
    <s v="Section Head – Pro E I &amp;A and Zinc"/>
    <s v="Hazira"/>
    <s v="0031950048"/>
    <s v="HZ-Procurment Depart"/>
    <s v="2000HWO"/>
    <s v="20000201"/>
    <s v="Manish Bakriwala"/>
    <s v="No"/>
    <s v="deep.pyne@amns.in"/>
    <s v="9879100819"/>
    <s v="23601"/>
    <s v="Dhruv Vyas"/>
    <s v="Anil Matoo"/>
    <s v="Praveen Kuruvalli"/>
    <s v="Dhruv Vyas"/>
    <n v="0"/>
  </r>
  <r>
    <n v="440"/>
    <n v="20002894"/>
    <s v="Soni Majji"/>
    <s v="AM/NS India"/>
    <s v="Onroll"/>
    <s v="M-8"/>
    <n v="8"/>
    <m/>
    <s v="JM"/>
    <s v="F"/>
    <s v="Vizag"/>
    <n v="3"/>
    <s v="2043"/>
    <x v="3"/>
    <s v="31.01"/>
    <s v="Hrishikesh Kamat"/>
    <s v="Hrishikesh Kamat"/>
    <n v="7"/>
    <s v="Procurement"/>
    <s v="Procurement"/>
    <s v="31"/>
    <s v="Engineers -  Procurement (BP &amp; Common)"/>
    <m/>
    <s v="Procurement"/>
    <s v="Procurement"/>
    <s v="Purchase"/>
    <s v="Non Technical Support"/>
    <s v="Operations"/>
    <s v="Plant Operations"/>
    <s v="72103003"/>
    <s v="Plant Operations"/>
    <s v="Vizag"/>
    <d v="1985-12-30T00:00:00"/>
    <s v="37.08"/>
    <d v="2004-12-20T00:00:00"/>
    <d v="2043-12-31T00:00:00"/>
    <m/>
    <d v="2043-12-31T00:00:00"/>
    <n v="7407"/>
    <s v="AB-"/>
    <s v="Diploma-2004"/>
    <s v=""/>
    <s v="18.09"/>
    <s v="18.09"/>
    <s v="70301353"/>
    <s v="Procurement - Vizag &amp; Chitrakonda"/>
    <s v="70372801"/>
    <s v="Engineers -  Procurement (BP &amp; Common)"/>
    <s v="Vizag"/>
    <s v="0028030019"/>
    <s v="VIZ-Personnel &amp; Admi"/>
    <s v="2000VIZOPS"/>
    <s v="20000200"/>
    <s v="A Venkateswara Rao"/>
    <s v="No"/>
    <s v="soni.majji@amns.in"/>
    <s v="9966333321"/>
    <s v="22495"/>
    <s v="DS Varma"/>
    <s v="Anil Matoo"/>
    <s v="Praveen Kuruvalli"/>
    <s v="Dhruv Vyas"/>
    <n v="0"/>
  </r>
  <r>
    <n v="445"/>
    <n v="20002920"/>
    <s v="Sudhir Sharm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Head Sales - North Zone"/>
    <m/>
    <s v="North"/>
    <s v="North"/>
    <s v=""/>
    <s v="Non Technical Support"/>
    <s v="Sales &amp; Marketing"/>
    <s v="Sales"/>
    <s v="73104004"/>
    <s v="OEM Sales"/>
    <s v="Noida"/>
    <d v="1966-09-03T00:00:00"/>
    <s v="57.00"/>
    <d v="2004-12-23T00:00:00"/>
    <d v="2024-09-30T00:00:00"/>
    <m/>
    <d v="2024-09-30T00:00:00"/>
    <n v="376"/>
    <s v="B-"/>
    <s v="Diploma-1994 , AMIE-1994 , BSc-1990"/>
    <s v="14.03"/>
    <s v="18.08"/>
    <s v="32.11"/>
    <s v="72150181"/>
    <s v="Sales North Zone"/>
    <s v="70334358"/>
    <s v="Regional Head Sales - North Zone"/>
    <s v="Hazira"/>
    <s v="0031950057"/>
    <s v="HZ-HRC - Marketing"/>
    <s v="2000HWO"/>
    <s v="20007104"/>
    <s v="Ranjan Dhar"/>
    <s v="No"/>
    <s v="sudhir.sharma@amns.in"/>
    <s v="9811226008"/>
    <s v="24121"/>
    <s v="Dhruv Vyas"/>
    <s v="Anil Matoo"/>
    <s v="Praveen Kuruvalli"/>
    <s v="Dhruv Vyas"/>
    <n v="0"/>
  </r>
  <r>
    <n v="461"/>
    <n v="20003094"/>
    <s v="Vikaskumar Bhavsar"/>
    <s v="AM/NS India"/>
    <s v="Onroll"/>
    <s v="M-8"/>
    <n v="8"/>
    <m/>
    <s v="J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Land Acquisition"/>
    <s v="Receipt &amp; Unbound"/>
    <s v="Non Technical Support"/>
    <s v="Commercial"/>
    <s v="Stores &amp; Warehouse"/>
    <s v="73806001"/>
    <s v="Stores &amp; Warehouse"/>
    <s v="AM/NS Hazira"/>
    <d v="1967-03-18T00:00:00"/>
    <s v="56.06"/>
    <d v="2005-02-10T00:00:00"/>
    <d v="2025-03-31T00:00:00"/>
    <m/>
    <d v="2025-03-31T00:00:00"/>
    <n v="558"/>
    <s v="A-"/>
    <s v="BCom-1989"/>
    <s v="15.06"/>
    <s v="18.07"/>
    <s v="34.00"/>
    <s v="70495436"/>
    <s v="Land Property"/>
    <s v="70259109"/>
    <s v="Manager"/>
    <s v="Hazira"/>
    <s v="0031950038"/>
    <s v="HZ-Hazira Land Acqui"/>
    <s v="2000HWO"/>
    <s v="20059561"/>
    <s v="Bhavdip Jathal"/>
    <s v="No"/>
    <s v="vikaskumar.bhavsar@amns.in"/>
    <s v="9879101470"/>
    <s v="21263"/>
    <s v="Dhruv Vyas"/>
    <s v="Anil Matoo"/>
    <s v="Praveen Kuruvalli"/>
    <s v="Dhruv Vyas"/>
    <n v="0"/>
  </r>
  <r>
    <n v="469"/>
    <n v="20003178"/>
    <s v="Leena Agarwal"/>
    <s v="AM/NS India"/>
    <s v="Onroll"/>
    <s v="M-7"/>
    <n v="7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Compliance &amp; Trade Finance"/>
    <m/>
    <s v="Treasury &amp; Banking"/>
    <s v="Treasury &amp; Banking"/>
    <s v="Corporate Finance"/>
    <s v="Non Technical Support"/>
    <s v="Finance &amp; Accounts"/>
    <s v="Treasury"/>
    <s v="73903001"/>
    <s v="Treasury"/>
    <s v="Mumbai"/>
    <d v="1981-03-11T00:00:00"/>
    <s v="42.06"/>
    <d v="2005-03-14T00:00:00"/>
    <d v="2039-03-31T00:00:00"/>
    <m/>
    <d v="2039-03-31T00:00:00"/>
    <n v="5671"/>
    <s v="O-"/>
    <s v="MBA-2007 , MBA-2007"/>
    <s v="03.03"/>
    <s v="18.06"/>
    <s v="21.09"/>
    <s v="70101920"/>
    <s v="Treasury - Mumbai"/>
    <s v="70258947"/>
    <s v="Lead - Compliance &amp; Trade Finance"/>
    <s v="Corporate"/>
    <s v="0090000028"/>
    <s v="Corporate Steel - Wo"/>
    <s v="2000CS"/>
    <s v="20000057"/>
    <s v="Vivek Sanil"/>
    <s v="No"/>
    <s v="leena.agarwal@amns.in"/>
    <s v="9819731888"/>
    <s v="21025"/>
    <s v="Dhruv Vyas"/>
    <s v="Anil Matoo"/>
    <s v="Praveen Kuruvalli"/>
    <s v="Dhruv Vyas"/>
    <n v="0"/>
  </r>
  <r>
    <n v="470"/>
    <n v="20003180"/>
    <s v="Bhikhubhai Ahir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 &amp; Unloading"/>
    <m/>
    <s v="Stores &amp; Warehouse"/>
    <s v="Stores &amp; Warehouse"/>
    <s v="Receipt &amp; Unloading"/>
    <s v="Non Technical Support"/>
    <s v="Commercial"/>
    <s v="Stores &amp; Warehouse"/>
    <s v="73806001"/>
    <s v="Stores &amp; Warehouse"/>
    <s v="Hazira"/>
    <d v="1967-04-01T00:00:00"/>
    <s v="56.05"/>
    <d v="2005-03-14T00:00:00"/>
    <d v="2025-03-31T00:00:00"/>
    <m/>
    <d v="2025-03-31T00:00:00"/>
    <n v="558"/>
    <s v="A-"/>
    <s v="BA-1988"/>
    <s v="08.01"/>
    <s v="18.06"/>
    <s v="26.07"/>
    <s v="00053277"/>
    <s v="Receipts &amp; Unloading - Plant B"/>
    <s v="70319566"/>
    <s v="Section Officer - Receipt &amp; Unloading"/>
    <s v="Hazira"/>
    <s v="0031950049"/>
    <s v="HZ-Central Stores"/>
    <s v="2000HWO"/>
    <s v="20000948"/>
    <s v="Hitesh Raval"/>
    <s v="No"/>
    <s v="bhikhubhai.ahir@amns.in"/>
    <s v="9879101995"/>
    <s v="21042"/>
    <s v="Dhruv Vyas"/>
    <s v="Anil Matoo"/>
    <s v="Praveen Kuruvalli"/>
    <s v="Dhruv Vyas"/>
    <n v="0"/>
  </r>
  <r>
    <n v="474"/>
    <n v="20003222"/>
    <s v="Sanket Vakhariy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Ahmedabad"/>
    <d v="1981-12-04T00:00:00"/>
    <s v="41.09"/>
    <d v="2005-03-21T00:00:00"/>
    <d v="2039-12-31T00:00:00"/>
    <m/>
    <d v="2039-12-31T00:00:00"/>
    <n v="5946"/>
    <s v="O-"/>
    <s v="BE-2005 , MBA-2005"/>
    <s v=""/>
    <s v="18.06"/>
    <s v="18.06"/>
    <s v="70394840"/>
    <s v="OEM Sales - Gujarat"/>
    <s v="70258921"/>
    <s v="Sales Manager - Hypermart"/>
    <s v="Hypermart"/>
    <s v="0060110200"/>
    <s v="HMART-Gujarat Div"/>
    <s v="2000SRET"/>
    <s v="20001736"/>
    <s v="Manoranjan Jagdhari"/>
    <s v="No"/>
    <s v="sanket.vakhariya@amns.in"/>
    <s v="9825523407"/>
    <s v="24627"/>
    <s v="Dhruv Vyas"/>
    <s v="Anil Matoo"/>
    <s v="Praveen Kuruvalli"/>
    <s v="Dhruv Vyas"/>
    <n v="0"/>
  </r>
  <r>
    <n v="476"/>
    <n v="20003239"/>
    <s v="Mitesh Motka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Manager"/>
    <m/>
    <s v="West"/>
    <s v="OEM"/>
    <s v="Gujarat Sales"/>
    <s v="Non Technical Support"/>
    <s v="Services"/>
    <s v="Material Handling services"/>
    <s v="72103020"/>
    <s v="Packaging &amp; Warehousing"/>
    <s v="Ahmedabad"/>
    <d v="1985-08-17T00:00:00"/>
    <s v="38.01"/>
    <d v="2005-03-21T00:00:00"/>
    <d v="2043-08-31T00:00:00"/>
    <m/>
    <d v="2043-08-31T00:00:00"/>
    <n v="7285"/>
    <s v="O-"/>
    <s v="Diploma-2004"/>
    <s v="00.04"/>
    <s v="18.06"/>
    <s v="18.09"/>
    <s v="00052660"/>
    <s v="Plate Sales"/>
    <s v="70411831"/>
    <s v="Sales Manager"/>
    <s v="Hypermart"/>
    <s v="0031950057"/>
    <s v="HZ-HRC - Marketing"/>
    <s v="2000SRET"/>
    <s v="20046414"/>
    <s v="Vinod Ninawe"/>
    <s v="No"/>
    <s v="mitesh.motka@amns.in"/>
    <s v="9879102540"/>
    <s v="22716"/>
    <s v="Dhruv Vyas"/>
    <s v="Anil Matoo"/>
    <s v="Praveen Kuruvalli"/>
    <s v="Dhruv Vyas"/>
    <n v="0"/>
  </r>
  <r>
    <n v="477"/>
    <n v="20003280"/>
    <s v="Chetan Jansari"/>
    <s v="AM/NS India"/>
    <s v="Onroll"/>
    <s v="M-3"/>
    <n v="3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- Performance Management"/>
    <m/>
    <s v="Performance Management"/>
    <s v="Performance Management"/>
    <s v="Performance Management"/>
    <s v="Non Technical Support"/>
    <s v="Finance &amp; Accounts"/>
    <s v="Costing"/>
    <s v="73906001"/>
    <s v="Costing"/>
    <s v="AM/NS Hazira"/>
    <d v="1971-10-04T00:00:00"/>
    <s v="51.11"/>
    <d v="2005-04-01T00:00:00"/>
    <d v="2029-10-31T00:00:00"/>
    <m/>
    <d v="2029-10-31T00:00:00"/>
    <n v="2233"/>
    <s v="B-"/>
    <s v="BE-2004 , MBA-2004 , ICWA Inter-1993"/>
    <s v="08.10"/>
    <s v="18.05"/>
    <s v="27.04"/>
    <s v="70494729"/>
    <s v="Performance Management"/>
    <s v="70386195"/>
    <s v="Head - Performance Management"/>
    <s v="Confidential Payroll"/>
    <s v="0031950043"/>
    <s v="HZ-Performance Manag"/>
    <s v="2000HWO"/>
    <s v="20057933"/>
    <s v="Akiyo Omori"/>
    <s v="No"/>
    <s v="chetan.jansari@amns.in"/>
    <s v="9879100523"/>
    <s v="21992"/>
    <s v="Dhruv Vyas"/>
    <s v="Anil Matoo"/>
    <s v="Praveen Kuruvalli"/>
    <s v="Dhruv Vyas"/>
    <n v="0"/>
  </r>
  <r>
    <n v="478"/>
    <n v="20003359"/>
    <s v="Nilesh Jetani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- Proc Corex &amp; Utility"/>
    <m/>
    <s v="Procurement MRO Hazira"/>
    <s v="Procurement"/>
    <s v="APD &amp; OEM for SMP, Utility equipment's (Pumps, Compressors, HVAC)"/>
    <s v="Non Technical Support"/>
    <s v="Commercial"/>
    <s v="Procurement"/>
    <s v="73803001"/>
    <s v="Procurement"/>
    <s v="AM/NS Hazira"/>
    <d v="1983-11-07T00:00:00"/>
    <s v="39.10"/>
    <d v="2005-04-18T00:00:00"/>
    <d v="2041-11-30T00:00:00"/>
    <m/>
    <d v="2041-11-30T00:00:00"/>
    <n v="6646"/>
    <s v="A-"/>
    <s v="BE-2004"/>
    <s v="00.10"/>
    <s v="18.05"/>
    <s v="19.02"/>
    <s v="70072411"/>
    <s v="Iron &amp; Steel Making"/>
    <s v="70227554"/>
    <s v="Lead - Proc Corex &amp; Utility"/>
    <s v="Hazira"/>
    <s v="0031950048"/>
    <s v="HZ-Procurment Depart"/>
    <s v="2000HWO"/>
    <s v="20000926"/>
    <s v="Manishkumar Seksaria"/>
    <s v="No"/>
    <s v="nilesh.jetani@amns.in"/>
    <s v="9879102550"/>
    <s v="22843"/>
    <s v="Dhruv Vyas"/>
    <s v="Anil Matoo"/>
    <s v="Praveen Kuruvalli"/>
    <s v="Dhruv Vyas"/>
    <n v="0"/>
  </r>
  <r>
    <n v="479"/>
    <n v="20003360"/>
    <s v="Abhijit Kal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"/>
    <s v="Non Technical Support"/>
    <s v="R&amp; D and QA/QC"/>
    <s v="QA &amp; QC"/>
    <s v="72103034"/>
    <s v="QA &amp; QC"/>
    <s v="Pune"/>
    <d v="1981-11-26T00:00:00"/>
    <s v="41.09"/>
    <d v="2005-04-18T00:00:00"/>
    <d v="2039-11-30T00:00:00"/>
    <m/>
    <d v="2039-11-30T00:00:00"/>
    <n v="5915"/>
    <s v="B-"/>
    <s v="MTech-2004 , BE-2004"/>
    <s v="00.09"/>
    <s v="18.05"/>
    <s v="19.02"/>
    <s v="00052460"/>
    <s v="Auto &amp; YG"/>
    <s v="70319382"/>
    <s v="Sr. Lead - Application Engineering"/>
    <s v="Hazira"/>
    <s v="0031950057"/>
    <s v="HZ-HRC - Marketing"/>
    <s v="2000HWO"/>
    <s v="20056155"/>
    <s v="Kondapalli Venkateswarlu"/>
    <s v="No"/>
    <s v="abhijit.kale@amns.in"/>
    <s v="9923200093"/>
    <s v="22108"/>
    <s v="Dhruv Vyas"/>
    <s v="Anil Matoo"/>
    <s v="Praveen Kuruvalli"/>
    <s v="Dhruv Vyas"/>
    <n v="0"/>
  </r>
  <r>
    <n v="499"/>
    <n v="20003603"/>
    <s v="Madhur Kohli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Sales Head – East"/>
    <m/>
    <s v="East"/>
    <s v="East"/>
    <s v=""/>
    <s v="Non Technical Support"/>
    <s v="Sales &amp; Marketing"/>
    <s v="Sales"/>
    <s v="73104004"/>
    <s v="OEM Sales"/>
    <s v="Chennai"/>
    <d v="1967-09-13T00:00:00"/>
    <s v="56.00"/>
    <d v="2005-06-06T00:00:00"/>
    <d v="2025-09-30T00:00:00"/>
    <m/>
    <d v="2025-09-30T00:00:00"/>
    <n v="741"/>
    <s v="O-"/>
    <s v="BE-1989"/>
    <s v="15.05"/>
    <s v="18.03"/>
    <s v="33.08"/>
    <s v="00045321"/>
    <s v="Sales East Zone"/>
    <s v="70386196"/>
    <s v="Regional Sales Head – East"/>
    <s v="Hazira"/>
    <s v="0031581982"/>
    <s v="PLM-Marketing"/>
    <s v="2000HWO"/>
    <s v="20007104"/>
    <s v="Ranjan Dhar"/>
    <s v="No"/>
    <s v="madhur.kohli@amns.in"/>
    <s v="9874746461"/>
    <s v="22257"/>
    <s v="Dhruv Vyas"/>
    <s v="Anil Matoo"/>
    <s v="Praveen Kuruvalli"/>
    <s v="Dhruv Vyas"/>
    <n v="0"/>
  </r>
  <r>
    <n v="500"/>
    <n v="20003619"/>
    <s v="Abhishek Bhattacharyya"/>
    <s v="AM/NS India"/>
    <s v="Onroll"/>
    <s v="M-5"/>
    <n v="5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Head - Exports, Pune"/>
    <m/>
    <s v="Sales &amp; Marketing"/>
    <s v="Downstream Construction"/>
    <s v="International Sales"/>
    <s v="Non Technical Support"/>
    <s v="Operations"/>
    <s v="Operations"/>
    <s v="72103001"/>
    <s v="Operations"/>
    <s v="Pune AMNS"/>
    <d v="1980-02-28T00:00:00"/>
    <s v="43.06"/>
    <d v="2005-06-06T00:00:00"/>
    <d v="2038-02-28T00:00:00"/>
    <m/>
    <d v="2038-02-28T00:00:00"/>
    <n v="5275"/>
    <s v="B-"/>
    <s v="Certificate-2005 , MBA-2005 , BE-2002 ,"/>
    <s v=""/>
    <s v="18.03"/>
    <s v="18.03"/>
    <s v="70491980"/>
    <s v="Export Sales"/>
    <s v="70434505"/>
    <s v="Head- Project Downstream Const. Solution"/>
    <s v="Pune Facility"/>
    <s v="0035950073"/>
    <s v="Pune - S&amp;D Export"/>
    <s v="2000ESPF"/>
    <s v="20055084"/>
    <s v="Alain Legrix De La Salle"/>
    <s v="No"/>
    <s v="abhishek.bhattacharyya@amns.in"/>
    <s v="9158895051"/>
    <s v="21249"/>
    <s v="Dhruv Vyas"/>
    <s v="Anil Matoo"/>
    <s v="Praveen Kuruvalli"/>
    <s v="Dhruv Vyas"/>
    <n v="0"/>
  </r>
  <r>
    <n v="501"/>
    <n v="20003623"/>
    <s v="Soumyadeep Datt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– Plate Sales"/>
    <m/>
    <s v="Plate"/>
    <s v="Plate"/>
    <s v=""/>
    <s v="Non Technical Support"/>
    <s v="Sales &amp; Marketing"/>
    <s v="Sales"/>
    <s v="73104004"/>
    <s v="OEM Sales"/>
    <s v="Ahmedabad"/>
    <d v="1982-10-20T00:00:00"/>
    <s v="40.11"/>
    <d v="2005-06-06T00:00:00"/>
    <d v="2040-10-31T00:00:00"/>
    <m/>
    <d v="2040-10-31T00:00:00"/>
    <n v="6251"/>
    <s v="O-"/>
    <s v="MBA-2005"/>
    <s v=""/>
    <s v="18.03"/>
    <s v="18.03"/>
    <s v="70410953"/>
    <s v="Plate Sales - Gujarat"/>
    <s v="70386198"/>
    <s v="Head – Plate Sales"/>
    <s v="Hazira"/>
    <s v="0031581982"/>
    <s v="PLM-Marketing"/>
    <s v="2000HWO"/>
    <s v="20007104"/>
    <s v="Ranjan Dhar"/>
    <s v="No"/>
    <s v="soumyadeep.datta@amns.in"/>
    <s v="9925016964"/>
    <s v="21537"/>
    <s v="Dhruv Vyas"/>
    <s v="Anil Matoo"/>
    <s v="Praveen Kuruvalli"/>
    <s v="Dhruv Vyas"/>
    <n v="0"/>
  </r>
  <r>
    <n v="502"/>
    <n v="20003630"/>
    <s v="Mukul Manchand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of Sales - Iron Ore"/>
    <m/>
    <s v="Iron Ore &amp; Infra"/>
    <s v="Iron Ore &amp; Infra"/>
    <s v="Power &amp; Gas"/>
    <s v="Non Technical Support"/>
    <s v="Commercial"/>
    <s v="Procurement"/>
    <s v="73803001"/>
    <s v="Procurement"/>
    <s v="Mumbai"/>
    <d v="1981-02-15T00:00:00"/>
    <s v="42.07"/>
    <d v="2005-06-06T00:00:00"/>
    <d v="2039-02-28T00:00:00"/>
    <m/>
    <d v="2039-02-28T00:00:00"/>
    <n v="5640"/>
    <s v="B-"/>
    <s v="PG Diploma in Management-2005"/>
    <s v=""/>
    <s v="18.03"/>
    <s v="18.03"/>
    <s v="00044347"/>
    <s v="Sales - Iron Ore"/>
    <s v="70320364"/>
    <s v="Head of Sales - Iron Ore"/>
    <s v="Hazira"/>
    <s v="0031950048"/>
    <s v="HZ-Procurment Depart"/>
    <s v="2000HWO"/>
    <s v="20007104"/>
    <s v="Ranjan Dhar"/>
    <s v="No"/>
    <s v="mukul.manchanda@amns.in"/>
    <s v="9819730748"/>
    <s v="22515"/>
    <s v="Dhruv Vyas"/>
    <s v="Anil Matoo"/>
    <s v="Praveen Kuruvalli"/>
    <s v="Dhruv Vyas"/>
    <n v="0"/>
  </r>
  <r>
    <n v="510"/>
    <n v="20003847"/>
    <s v="Mahesh Mehar"/>
    <s v="AM/NS India"/>
    <s v="Onroll"/>
    <s v="M-5"/>
    <n v="5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Sr. Lead - Domestic Sales, Pune"/>
    <m/>
    <s v="West"/>
    <s v="OEM"/>
    <s v="National Sales"/>
    <s v="Non Technical Support"/>
    <s v="Operations"/>
    <s v="Operations"/>
    <s v="72103001"/>
    <s v="Operations"/>
    <s v="Mumbai"/>
    <d v="1974-12-10T00:00:00"/>
    <s v="48.09"/>
    <d v="2005-07-18T00:00:00"/>
    <d v="2032-12-31T00:00:00"/>
    <m/>
    <d v="2032-12-31T00:00:00"/>
    <n v="3390"/>
    <s v="O-"/>
    <s v="BE-1996"/>
    <s v="07.02"/>
    <s v="18.02"/>
    <s v="25.04"/>
    <s v="70140931"/>
    <s v="Sales Gujarat &amp; Mumbai Zone"/>
    <s v="70435076"/>
    <s v="Sr. KAM - OEM Sales"/>
    <s v="Pune Facility"/>
    <s v="0031950057"/>
    <s v="HZ-HRC - Marketing"/>
    <s v="2000ESPF"/>
    <s v="20000812"/>
    <s v="Sitaram Rege"/>
    <s v="No"/>
    <s v="mahesh.mehar@amns.in"/>
    <s v="9819730744"/>
    <s v="22475"/>
    <s v="Dhruv Vyas"/>
    <s v="Anil Matoo"/>
    <s v="Praveen Kuruvalli"/>
    <s v="Dhruv Vyas"/>
    <n v="0"/>
  </r>
  <r>
    <n v="534"/>
    <n v="20004058"/>
    <s v="Mayank Shah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Pro HBI Sinter BF"/>
    <m/>
    <s v="Procurement MRO Hazira"/>
    <s v="Procurement"/>
    <s v="APD &amp; OEM for Sinter, HBI Modules, Water Treatment Chemicals, High value hyd"/>
    <s v="Non Technical Support"/>
    <s v="Commercial"/>
    <s v="Procurement"/>
    <s v="73803001"/>
    <s v="Procurement"/>
    <s v="AM/NS Hazira"/>
    <d v="1980-11-30T00:00:00"/>
    <s v="42.09"/>
    <d v="2004-08-01T00:00:00"/>
    <d v="2038-11-30T00:00:00"/>
    <m/>
    <d v="2038-11-30T00:00:00"/>
    <n v="5550"/>
    <s v="B-"/>
    <s v="BE-2003"/>
    <s v=""/>
    <s v="19.01"/>
    <s v="19.01"/>
    <s v="00048362"/>
    <s v="Procurement HBI Sinter BF"/>
    <s v="70319391"/>
    <s v="Lead –Pro HBI Sinter BF"/>
    <s v="Hazira"/>
    <s v="0031950048"/>
    <s v="HZ-Procurment Depart"/>
    <s v="2000HWO"/>
    <s v="20000201"/>
    <s v="Manish Bakriwala"/>
    <s v="No"/>
    <s v="mayank.shah@amns.in"/>
    <s v="9879103926"/>
    <s v="24021"/>
    <s v="Dhruv Vyas"/>
    <s v="Anil Matoo"/>
    <s v="Praveen Kuruvalli"/>
    <s v="Dhruv Vyas"/>
    <n v="0"/>
  </r>
  <r>
    <n v="543"/>
    <n v="20004197"/>
    <s v="Nitin Dhimmer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r. Lead – Proc Pipe Pipe fittings Mech"/>
    <m/>
    <s v="Procurement MRO Hazira"/>
    <s v="Procurement"/>
    <s v="Pipe, Pipe fittings, Cooling Towers, Mech. Valves"/>
    <s v="Non Technical Support"/>
    <s v="Commercial"/>
    <s v="Contracts &amp; Tenders and E-bid"/>
    <s v="73805001"/>
    <s v="Contracts &amp; Tenders and E"/>
    <s v="AM/NS Hazira"/>
    <d v="1977-07-26T00:00:00"/>
    <s v="46.01"/>
    <d v="2005-11-01T00:00:00"/>
    <d v="2035-07-31T00:00:00"/>
    <m/>
    <d v="2035-07-31T00:00:00"/>
    <n v="4332"/>
    <s v="A-"/>
    <s v="High School-1997 , Diploma-1997 , High S"/>
    <s v="07.09"/>
    <s v="17.10"/>
    <s v="25.07"/>
    <s v="72150383"/>
    <s v="Procurement (MRO/IP &amp; Consumable)"/>
    <s v="70386201"/>
    <s v="Sr. Lead – Proc Pipe Pipe fittings Mech"/>
    <s v="Hazira"/>
    <s v="0031950048"/>
    <s v="HZ-Procurment Depart"/>
    <s v="2000HWO"/>
    <s v="20000201"/>
    <s v="Manish Bakriwala"/>
    <s v="No"/>
    <s v="nitin.dhimmer@amns.in"/>
    <s v="9879108329"/>
    <s v="21662"/>
    <s v="Dhruv Vyas"/>
    <s v="Anil Matoo"/>
    <s v="Praveen Kuruvalli"/>
    <s v="Dhruv Vyas"/>
    <n v="0"/>
  </r>
  <r>
    <n v="550"/>
    <n v="20004339"/>
    <s v="Alok Dalwadi"/>
    <s v="AM/NS India"/>
    <s v="Onroll"/>
    <s v="M-8"/>
    <n v="8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Lead - Secondary Sales"/>
    <m/>
    <s v="Secondary Sales, Non Steel"/>
    <s v="Secondary Sales"/>
    <s v="Secondary Sales (Non Steel)"/>
    <s v="Non Technical Support"/>
    <s v="Sales &amp; Marketing"/>
    <s v="Sales"/>
    <s v="73104001"/>
    <s v="Sales"/>
    <s v="Hazira"/>
    <d v="1986-12-12T00:00:00"/>
    <s v="36.09"/>
    <d v="2005-12-05T00:00:00"/>
    <d v="2044-12-31T00:00:00"/>
    <m/>
    <d v="2044-12-31T00:00:00"/>
    <n v="7773"/>
    <s v="AB-"/>
    <s v="Diploma-2005"/>
    <s v="00.05"/>
    <s v="17.09"/>
    <s v="18.02"/>
    <s v="00044541"/>
    <s v="HRC Store - Receipt"/>
    <s v="70372535"/>
    <s v="Lead - Secondary Sales"/>
    <s v="Hazira"/>
    <s v="0080000006"/>
    <s v="Secondary Sales - In"/>
    <s v="2000HWO"/>
    <s v="20005047"/>
    <s v="Rajeev Jha"/>
    <s v="No"/>
    <s v="alok.dalwadi@amns.in"/>
    <s v="9879102104"/>
    <s v="21469"/>
    <s v="Dhruv Vyas"/>
    <s v="Anil Matoo"/>
    <s v="Praveen Kuruvalli"/>
    <s v="Dhruv Vyas"/>
    <n v="0"/>
  </r>
  <r>
    <n v="567"/>
    <n v="20004519"/>
    <s v="Sarjan Mahid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 - Inventory Plant B"/>
    <m/>
    <s v="Stores &amp; Warehouse"/>
    <s v="Stores &amp; Warehouse"/>
    <s v="Inventory Plant B"/>
    <s v="Non Technical Support"/>
    <s v="Commercial"/>
    <s v="Stores &amp; Warehouse"/>
    <s v="73806001"/>
    <s v="Stores &amp; Warehouse"/>
    <s v="Hazira"/>
    <d v="1984-03-29T00:00:00"/>
    <s v="39.05"/>
    <d v="2006-01-09T00:00:00"/>
    <d v="2042-03-31T00:00:00"/>
    <m/>
    <d v="2042-03-31T00:00:00"/>
    <n v="6767"/>
    <s v="B-"/>
    <s v="Diploma-2005 , BTech-2005"/>
    <s v=""/>
    <s v="17.08"/>
    <s v="17.08"/>
    <s v="70232287"/>
    <s v="HRC Store &amp; Inventory  &amp; Cataloging Mgt."/>
    <s v="70319772"/>
    <s v="Section Office - Inventory Plant B"/>
    <s v="Hazira"/>
    <s v="0031950049"/>
    <s v="HZ-Central Stores"/>
    <s v="2000HWO"/>
    <s v="20000948"/>
    <s v="Hitesh Raval"/>
    <s v="No"/>
    <s v="sarjan.mahida@amns.in"/>
    <s v="9879103403"/>
    <s v="22482"/>
    <s v="Dhruv Vyas"/>
    <s v="Anil Matoo"/>
    <s v="Praveen Kuruvalli"/>
    <s v="Dhruv Vyas"/>
    <n v="0"/>
  </r>
  <r>
    <n v="575"/>
    <n v="20004612"/>
    <s v="Ramesh Chabhadiya"/>
    <s v="AM/NS India"/>
    <s v="Onroll"/>
    <s v="M-5"/>
    <n v="5"/>
    <m/>
    <s v="MM"/>
    <s v="M"/>
    <s v="Hazira"/>
    <n v="1"/>
    <s v="2096"/>
    <x v="14"/>
    <s v="36.02"/>
    <s v="Deepak Sindkar"/>
    <s v="Hrishikesh Kamat"/>
    <n v="7"/>
    <s v="Procurement"/>
    <s v="Raw Materials"/>
    <s v="36"/>
    <s v="Section Head – Gas &amp; Power"/>
    <m/>
    <s v="Power &amp; Gas"/>
    <s v="Power &amp; Gas"/>
    <s v="Power &amp; Gas"/>
    <s v="Tech. Support Services"/>
    <s v="Commercial"/>
    <s v="Procurement"/>
    <s v="73803001"/>
    <s v="Procurement"/>
    <s v="AM/NS Hazira"/>
    <d v="1980-10-15T00:00:00"/>
    <s v="42.11"/>
    <d v="2006-01-23T00:00:00"/>
    <d v="2038-10-31T00:00:00"/>
    <m/>
    <d v="2038-10-31T00:00:00"/>
    <n v="5520"/>
    <s v="B-"/>
    <s v="BE-2010 , PG Diploma in Management-2010"/>
    <s v="01.02"/>
    <s v="17.07"/>
    <s v="18.10"/>
    <s v="00049516"/>
    <s v="Power &amp; Gas"/>
    <s v="70319458"/>
    <s v="Section Head – Gas &amp; Power"/>
    <s v="Hazira"/>
    <s v="0031950048"/>
    <s v="HZ-Procurment Depart"/>
    <s v="2000HWO"/>
    <s v="20055090"/>
    <s v="Hrishikesh Kamat"/>
    <s v="No"/>
    <s v="ramesh.chabhadiya@amns.in"/>
    <s v="9879102342"/>
    <s v="21328"/>
    <s v="Dhruv Vyas"/>
    <s v="Anil Matoo"/>
    <s v="Praveen Kuruvalli"/>
    <s v="Dhruv Vyas"/>
    <n v="0"/>
  </r>
  <r>
    <n v="590"/>
    <n v="20004925"/>
    <s v="Tufail Ahmad"/>
    <s v="AM/NS India"/>
    <s v="Onroll"/>
    <s v="M-8"/>
    <n v="8"/>
    <m/>
    <s v="JM"/>
    <s v="M"/>
    <s v="Service Centers"/>
    <n v="6"/>
    <s v="2043"/>
    <x v="3"/>
    <s v="31.01"/>
    <s v="Hrishikesh Kamat"/>
    <s v="Hrishikesh Kamat"/>
    <n v="7"/>
    <s v="Procurement"/>
    <s v="Procurement"/>
    <s v="31"/>
    <s v="Lead - Procurement - Service Center"/>
    <m/>
    <s v="Procurement Service Centre"/>
    <s v="Procurement"/>
    <s v="Procurement"/>
    <s v="Non Technical Support"/>
    <s v="Operations"/>
    <s v="Plant Maintenance"/>
    <s v="72103008"/>
    <s v="Mechanical Maintenance"/>
    <s v="Bahadurgarh"/>
    <d v="1985-02-15T00:00:00"/>
    <s v="38.07"/>
    <d v="2006-03-07T00:00:00"/>
    <d v="2043-02-28T00:00:00"/>
    <m/>
    <d v="2043-02-28T00:00:00"/>
    <n v="7101"/>
    <s v="O-"/>
    <s v="Diploma-2004"/>
    <s v=""/>
    <s v="17.06"/>
    <s v="17.06"/>
    <s v="70413444"/>
    <s v="Purchase &amp; Contracts"/>
    <s v="70371387"/>
    <s v="Lead - Procurement - Service Center"/>
    <s v="Service Center"/>
    <s v="0040050019"/>
    <s v="SC-Bahadurgarh-Op1-C"/>
    <s v="2000SPRJ"/>
    <s v="20052588"/>
    <s v="Govindraju Sampathirao"/>
    <s v="No"/>
    <s v="tufail.ahmad@amns.in"/>
    <s v="9836631818"/>
    <s v="21050"/>
    <s v="Dhruv Vyas"/>
    <s v="Anil Matoo"/>
    <s v="Praveen Kuruvalli"/>
    <s v="Dhruv Vyas"/>
    <n v="0"/>
  </r>
  <r>
    <n v="596"/>
    <n v="20005047"/>
    <s v="Rajeev Jha"/>
    <s v="AM/NS India"/>
    <s v="Onroll"/>
    <s v="M-7"/>
    <n v="7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 Charge - Receipt"/>
    <m/>
    <s v="Stores &amp; Warehouse"/>
    <s v="Stores &amp; Warehouse"/>
    <s v="Receipt, Unloading &amp; Unbound"/>
    <s v="Non Technical Support"/>
    <s v="Commercial"/>
    <s v="Stores &amp; Warehouse"/>
    <s v="73806001"/>
    <s v="Stores &amp; Warehouse"/>
    <s v="Hazira"/>
    <d v="1971-01-15T00:00:00"/>
    <s v="52.08"/>
    <d v="2003-05-01T00:00:00"/>
    <d v="2029-01-31T00:00:00"/>
    <m/>
    <d v="2029-01-31T00:00:00"/>
    <n v="1960"/>
    <s v="A+"/>
    <s v="BA-2000 , Diploma-2000"/>
    <s v="04.11"/>
    <s v="20.04"/>
    <s v="25.03"/>
    <s v="00044541"/>
    <s v="HRC Store - Receipt"/>
    <s v="70319402"/>
    <s v="Section In Charge - Receipt"/>
    <s v="Hazira"/>
    <s v="0031950049"/>
    <s v="HZ-Central Stores"/>
    <s v="2000HWO"/>
    <s v="20001240"/>
    <s v="Ambrish Chaturvedi"/>
    <s v="No"/>
    <s v="rajeev.jha@amns.in"/>
    <s v="9879103256"/>
    <s v="22033"/>
    <s v="Dhruv Vyas"/>
    <s v="Anil Matoo"/>
    <s v="Praveen Kuruvalli"/>
    <s v="Dhruv Vyas"/>
    <n v="0"/>
  </r>
  <r>
    <n v="618"/>
    <n v="20005165"/>
    <s v="Parthiv Desai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 HBI &amp; BF"/>
    <m/>
    <s v="Stores &amp; Warehouse"/>
    <s v="Stores &amp; Warehouse"/>
    <s v="Receipt  HBI &amp; BF"/>
    <s v="Non Technical Support"/>
    <s v="Commercial"/>
    <s v="Contracts &amp; Tenders and E-bid"/>
    <s v="73805001"/>
    <s v="Contracts &amp; Tenders and E"/>
    <s v="Hazira"/>
    <d v="1982-05-08T00:00:00"/>
    <s v="41.04"/>
    <d v="2004-03-02T00:00:00"/>
    <d v="2040-05-31T00:00:00"/>
    <m/>
    <d v="2040-05-31T00:00:00"/>
    <n v="6098"/>
    <s v="B-"/>
    <s v="Diploma-2001"/>
    <s v="02.01"/>
    <s v="19.06"/>
    <s v="21.07"/>
    <s v="00048783"/>
    <s v="HBI, BF, Plant B &amp; Plate Mill"/>
    <s v="70319611"/>
    <s v="Section Officer - Receipt HBI &amp; BF"/>
    <s v="Hazira"/>
    <s v="0031950049"/>
    <s v="HZ-Central Stores"/>
    <s v="2000HWO"/>
    <s v="20001905"/>
    <s v="Nirav Bhagat"/>
    <s v="No"/>
    <s v="parthiv.desai@amns.in"/>
    <s v="9879103486"/>
    <s v="21601"/>
    <s v="Dhruv Vyas"/>
    <s v="Anil Matoo"/>
    <s v="Praveen Kuruvalli"/>
    <s v="Dhruv Vyas"/>
    <n v="0"/>
  </r>
  <r>
    <n v="655"/>
    <n v="20005286"/>
    <s v="Sanjay Jain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Instrumentation &amp; Automatio"/>
    <m/>
    <s v="Procurement MRO Hazira"/>
    <s v="Procurement"/>
    <s v="Instrumentation &amp; Automation spares - Hazira Complex"/>
    <s v="Non Technical Support"/>
    <s v="Commercial"/>
    <s v="Procurement"/>
    <s v="73803001"/>
    <s v="Procurement"/>
    <s v="AM/NS Hazira"/>
    <d v="1980-12-21T00:00:00"/>
    <s v="42.09"/>
    <d v="2004-10-06T00:00:00"/>
    <d v="2038-12-31T00:00:00"/>
    <m/>
    <d v="2038-12-31T00:00:00"/>
    <n v="5581"/>
    <s v="B-"/>
    <s v="BE-2004"/>
    <s v=""/>
    <s v="18.11"/>
    <s v="18.11"/>
    <s v="70072411"/>
    <s v="Iron &amp; Steel Making"/>
    <s v="70258882"/>
    <s v="Lead – Proc Instrumentation &amp; Automatio"/>
    <s v="Hazira"/>
    <s v="0031950048"/>
    <s v="HZ-Procurment Depart"/>
    <s v="2000HWO"/>
    <s v="20000926"/>
    <s v="Manishkumar Seksaria"/>
    <s v="No"/>
    <s v="sanjay.jain@amns.in"/>
    <s v="9879103413"/>
    <s v="21971"/>
    <s v="Dhruv Vyas"/>
    <s v="Anil Matoo"/>
    <s v="Praveen Kuruvalli"/>
    <s v="Dhruv Vyas"/>
    <n v="0"/>
  </r>
  <r>
    <n v="671"/>
    <n v="20005328"/>
    <s v="Abhay Dorley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Plate Yard &amp; Dispatch"/>
    <s v="Non Technical Support"/>
    <s v="Sales &amp; Marketing"/>
    <s v="Sales"/>
    <s v="73104004"/>
    <s v="OEM Sales"/>
    <s v="Hazira"/>
    <d v="1985-06-05T00:00:00"/>
    <s v="38.03"/>
    <d v="2005-02-09T00:00:00"/>
    <d v="2043-06-30T00:00:00"/>
    <m/>
    <d v="2043-06-30T00:00:00"/>
    <n v="7223"/>
    <s v="A-"/>
    <s v="Diploma-2017 , BBA-2017 , MBA-2004"/>
    <s v=""/>
    <s v="18.07"/>
    <s v="18.07"/>
    <s v="00052660"/>
    <s v="Plate Sales"/>
    <s v="70259132"/>
    <s v="Sales Manager"/>
    <s v="Hazira"/>
    <s v="0031581982"/>
    <s v="PLM-Marketing"/>
    <s v="2000HWO"/>
    <s v="20046414"/>
    <s v="Vinod Ninawe"/>
    <s v="No"/>
    <s v="abhay.dorley@amns.in"/>
    <s v="9879103507"/>
    <s v="21696"/>
    <s v="Dhruv Vyas"/>
    <s v="Anil Matoo"/>
    <s v="Praveen Kuruvalli"/>
    <s v="Dhruv Vyas"/>
    <n v="0"/>
  </r>
  <r>
    <n v="676"/>
    <n v="20005375"/>
    <s v="Hrushikesh Deoghar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"/>
    <s v="Non Technical Support"/>
    <s v="Sales &amp; Marketing"/>
    <s v="Sales"/>
    <s v="73104004"/>
    <s v="OEM Sales"/>
    <s v="Mumbai"/>
    <d v="1979-03-20T00:00:00"/>
    <s v="44.06"/>
    <d v="2006-04-10T00:00:00"/>
    <d v="2037-03-31T00:00:00"/>
    <m/>
    <d v="2037-03-31T00:00:00"/>
    <n v="4941"/>
    <s v="O-"/>
    <s v="BSc-2003 , MBA-2003"/>
    <s v="05.07"/>
    <s v="17.05"/>
    <s v="23.00"/>
    <s v="70140931"/>
    <s v="Sales Gujarat &amp; Mumbai Zone"/>
    <s v="70336302"/>
    <s v="KAM - OEM Sales"/>
    <s v="Hazira"/>
    <s v="0031581982"/>
    <s v="PLM-Marketing"/>
    <s v="2000HWO"/>
    <s v="20000812"/>
    <s v="Sitaram Rege"/>
    <s v="No"/>
    <s v="hrushikesh.deoghare@amns.in"/>
    <s v="9930134040"/>
    <s v="21560"/>
    <s v="Dhruv Vyas"/>
    <s v="Anil Matoo"/>
    <s v="Praveen Kuruvalli"/>
    <s v="Dhruv Vyas"/>
    <n v="0"/>
  </r>
  <r>
    <n v="696"/>
    <n v="20005676"/>
    <s v="Bhavyesh Adhavaryu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Banking"/>
    <m/>
    <s v="Treasury &amp; Banking"/>
    <s v="Treasury"/>
    <s v="Export, Domestic &amp; Banking"/>
    <s v="Non Technical Support"/>
    <s v="Finance &amp; Accounts"/>
    <s v="Corporate Finance"/>
    <s v="73902004"/>
    <s v="Banking Relations"/>
    <s v="AM/NS Hazira"/>
    <d v="1981-10-06T00:00:00"/>
    <s v="41.11"/>
    <d v="2006-05-15T00:00:00"/>
    <d v="2039-10-31T00:00:00"/>
    <m/>
    <d v="2039-10-31T00:00:00"/>
    <n v="5885"/>
    <s v="B-"/>
    <s v="MMS-2005"/>
    <s v="00.06"/>
    <s v="17.04"/>
    <s v="17.10"/>
    <s v="72150420"/>
    <s v="Treasury - Hazira"/>
    <s v="70258858"/>
    <s v="Lead - Banking"/>
    <s v="Hazira"/>
    <s v="0031950045"/>
    <s v="HZ-Works Accounts-Ha"/>
    <s v="2000HWO"/>
    <s v="20001854"/>
    <s v="Arasappan Thirumaran"/>
    <s v="No"/>
    <s v="bhavyesh.adhavaryu@amns.in"/>
    <s v="9909901654"/>
    <s v="21019"/>
    <s v="Dhruv Vyas"/>
    <s v="Anil Matoo"/>
    <s v="Praveen Kuruvalli"/>
    <s v="Dhruv Vyas"/>
    <n v="0"/>
  </r>
  <r>
    <n v="708"/>
    <n v="20005759"/>
    <s v="Santosh G Kannoujia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Accounting"/>
    <m/>
    <s v="Working Capital"/>
    <s v="Accounts Payable"/>
    <s v="Central Accounting"/>
    <s v="Non Technical Support"/>
    <s v="Human Resources Management"/>
    <s v="Human Resources Management"/>
    <s v="73501002"/>
    <s v="Human Resources Operation"/>
    <s v="AM/NS Hazira"/>
    <d v="1978-04-05T00:00:00"/>
    <s v="45.05"/>
    <d v="2006-05-01T00:00:00"/>
    <d v="2036-04-30T00:00:00"/>
    <m/>
    <d v="2036-04-30T00:00:00"/>
    <n v="4606"/>
    <s v="A-"/>
    <s v="BA-2009 , MBA-2009"/>
    <s v=""/>
    <s v="17.04"/>
    <s v="17.04"/>
    <s v="00043794"/>
    <s v="Accounts Payable - 1"/>
    <s v="70226885"/>
    <s v="Officer - Accounting"/>
    <s v="Hazira"/>
    <s v="0031950045"/>
    <s v="HZ-Works Accounts-Ha"/>
    <s v="2000HWO"/>
    <s v="20016107"/>
    <s v="Kalpesh Thathagar"/>
    <s v="No"/>
    <s v="santoshg.kannoujia@amns.in"/>
    <s v="9879102378"/>
    <s v="22135"/>
    <s v="Dhruv Vyas"/>
    <s v="Anil Matoo"/>
    <s v="Praveen Kuruvalli"/>
    <s v="Dhruv Vyas"/>
    <n v="0"/>
  </r>
  <r>
    <n v="709"/>
    <n v="20005829"/>
    <s v="Subrata Banerjee"/>
    <s v="AM/NS India"/>
    <s v="Onroll"/>
    <s v="M-7"/>
    <n v="7"/>
    <m/>
    <s v="MM"/>
    <s v="M"/>
    <s v="Odisha"/>
    <n v="2"/>
    <s v="2012"/>
    <x v="7"/>
    <s v="34.01"/>
    <s v="Ambrish Chaturvedi"/>
    <s v="Hrishikesh Kamat"/>
    <n v="7"/>
    <s v="Procurement"/>
    <s v="Stores &amp; Warehouse"/>
    <s v="34"/>
    <s v="Department Head - Stores"/>
    <m/>
    <s v="Stores &amp; Warehouse"/>
    <s v="Stores"/>
    <s v="Stores"/>
    <s v="Non Technical Support"/>
    <s v="Commercial"/>
    <s v="Stores &amp; Warehouse"/>
    <s v="73806001"/>
    <s v="Stores &amp; Warehouse"/>
    <s v="Dabuna"/>
    <d v="1972-09-25T00:00:00"/>
    <s v="50.11"/>
    <d v="2006-05-01T00:00:00"/>
    <d v="2030-09-30T00:00:00"/>
    <m/>
    <d v="2030-09-30T00:00:00"/>
    <n v="2567"/>
    <s v="O-"/>
    <s v="BSc Engg-2008 , PG Diploma-2008 , Interm"/>
    <s v="12.00"/>
    <s v="17.04"/>
    <s v="29.04"/>
    <s v="70493265"/>
    <s v="Production"/>
    <s v="70395941"/>
    <s v="Department Head - Stores"/>
    <s v="Odisha"/>
    <s v="0022010019"/>
    <s v="DBN-Benf-HR/Admin"/>
    <s v="2000STORIS"/>
    <s v="20053014"/>
    <s v="Bhawesh Jha"/>
    <s v="No"/>
    <s v="subrata.banerjee@amns.in"/>
    <s v="9437573779"/>
    <s v="21159"/>
    <s v="Sunila Das"/>
    <s v="Anil Matoo"/>
    <s v="Praveen Kuruvalli"/>
    <s v="Sunila Das"/>
    <n v="0"/>
  </r>
  <r>
    <n v="727"/>
    <n v="20006023"/>
    <s v="Kavishwar Goral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enior Manager"/>
    <m/>
    <s v="Technical Marketing &amp; Application Engineering"/>
    <s v="Technical Marketing &amp; Application Engineering"/>
    <s v="Plate Finishing"/>
    <s v="Non Technical Support"/>
    <s v="Operations"/>
    <s v="Plant Operations"/>
    <s v="72103003"/>
    <s v="Plant Operations"/>
    <s v="Hazira"/>
    <d v="1981-12-08T00:00:00"/>
    <s v="41.09"/>
    <d v="2006-05-22T00:00:00"/>
    <d v="2039-12-31T00:00:00"/>
    <m/>
    <d v="2039-12-31T00:00:00"/>
    <n v="5946"/>
    <s v="AB-"/>
    <s v="BE-2005"/>
    <s v="00.09"/>
    <s v="17.03"/>
    <s v="18.00"/>
    <s v="00052467"/>
    <s v="Plate"/>
    <s v="70258876"/>
    <s v="Sr. Lead – Plate Products"/>
    <s v="Hazira"/>
    <s v="0031950057"/>
    <s v="HZ-HRC - Marketing"/>
    <s v="2000HWO"/>
    <s v="20055985"/>
    <s v="Dilip Chandra Gelli"/>
    <s v="No"/>
    <s v="kavishwar.gorale@amns.in"/>
    <s v="9909901510"/>
    <s v="21834"/>
    <s v="Dhruv Vyas"/>
    <s v="Anil Matoo"/>
    <s v="Praveen Kuruvalli"/>
    <s v="Dhruv Vyas"/>
    <n v="0"/>
  </r>
  <r>
    <n v="733"/>
    <n v="20006188"/>
    <s v="Sachin Toshniwal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- Treasury &amp; Investments"/>
    <m/>
    <s v="Taxation"/>
    <s v="In Direct - Taxation"/>
    <s v="Indirect Taxation"/>
    <s v="Non Technical Support"/>
    <s v="Finance &amp; Accounts"/>
    <s v="Treasury"/>
    <s v="73903001"/>
    <s v="Treasury"/>
    <s v="Mumbai"/>
    <d v="1977-10-23T00:00:00"/>
    <s v="45.10"/>
    <d v="2006-06-07T00:00:00"/>
    <d v="2035-10-31T00:00:00"/>
    <m/>
    <d v="2035-10-31T00:00:00"/>
    <n v="4424"/>
    <s v="O-"/>
    <s v="MBA-1999 , BCom-1999"/>
    <s v="06.08"/>
    <s v="17.03"/>
    <s v="23.11"/>
    <s v="70447071"/>
    <s v="Insurance &amp; Financial Risk"/>
    <s v="70258948"/>
    <s v="Lead - Treasury &amp; Investments"/>
    <s v="Corporate"/>
    <s v="0090000028"/>
    <s v="Corporate Steel - Wo"/>
    <s v="2000CS"/>
    <s v="20017504"/>
    <s v="Appi Reddy Guttikonda"/>
    <s v="No"/>
    <s v="sachin.toshniwal@amns.in"/>
    <s v="9819731528"/>
    <s v="24557"/>
    <s v="Dhruv Vyas"/>
    <s v="Anil Matoo"/>
    <s v="Praveen Kuruvalli"/>
    <s v="Dhruv Vyas"/>
    <n v="0"/>
  </r>
  <r>
    <n v="734"/>
    <n v="20006196"/>
    <s v="Tejashree Sathe"/>
    <s v="AM/NS India"/>
    <s v="Onroll"/>
    <s v="M-7"/>
    <n v="7"/>
    <m/>
    <s v="M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Other West"/>
    <s v="OEM"/>
    <s v=""/>
    <s v="Non Technical Support"/>
    <s v="Sales &amp; Marketing"/>
    <s v="Sales"/>
    <s v="73104004"/>
    <s v="OEM Sales"/>
    <s v="Pune"/>
    <d v="1981-05-23T00:00:00"/>
    <s v="42.03"/>
    <d v="2006-06-19T00:00:00"/>
    <d v="2039-05-31T00:00:00"/>
    <m/>
    <d v="2039-05-31T00:00:00"/>
    <n v="5732"/>
    <s v="A-"/>
    <s v="BTech-2007 , MBA-2007"/>
    <s v="02.04"/>
    <s v="17.03"/>
    <s v="19.07"/>
    <s v="70495309"/>
    <s v="Sales West Zone"/>
    <s v="70334311"/>
    <s v="KAM - OEM Sales"/>
    <s v="Hazira"/>
    <s v="0031950057"/>
    <s v="HZ-HRC - Marketing"/>
    <s v="2000HWO"/>
    <s v="20047683"/>
    <s v="Virat Vij"/>
    <s v="No"/>
    <s v="tejashree.sathe@amns.in"/>
    <s v="9923201806"/>
    <s v="23952"/>
    <s v="Dhruv Vyas"/>
    <s v="Anil Matoo"/>
    <s v="Praveen Kuruvalli"/>
    <s v="Dhruv Vyas"/>
    <n v="0"/>
  </r>
  <r>
    <n v="736"/>
    <n v="20006236"/>
    <s v="Sanjay Vaid"/>
    <s v="AM/NS India"/>
    <s v="Onroll"/>
    <s v="M-4"/>
    <n v="4"/>
    <m/>
    <s v="S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Head - HyperMart"/>
    <m/>
    <s v="Hypermart"/>
    <s v="Hypermart"/>
    <s v=""/>
    <s v="Non Technical Support"/>
    <s v="Sales &amp; Marketing"/>
    <s v="Sales"/>
    <s v="73104004"/>
    <s v="OEM Sales"/>
    <s v="Pune"/>
    <d v="1970-05-06T00:00:00"/>
    <s v="53.04"/>
    <d v="2006-07-03T00:00:00"/>
    <d v="2028-05-31T00:00:00"/>
    <m/>
    <d v="2028-05-31T00:00:00"/>
    <n v="1715"/>
    <s v="B-"/>
    <s v="BE-1997 , MBA-1997"/>
    <s v="09.00"/>
    <s v="17.02"/>
    <s v="26.02"/>
    <s v="72150154"/>
    <s v="HyperMart"/>
    <s v="70334316"/>
    <s v="Head - Hypermart"/>
    <s v="Hypermart"/>
    <s v="0060100004"/>
    <s v="HMART-HR/Admin Expen"/>
    <s v="2000SRET"/>
    <s v="20007104"/>
    <s v="Ranjan Dhar"/>
    <s v="No"/>
    <s v="sanjay.vaid@amns.in"/>
    <s v="9923200840"/>
    <s v="24623"/>
    <s v="Dhruv Vyas"/>
    <s v="Anil Matoo"/>
    <s v="Praveen Kuruvalli"/>
    <s v="Dhruv Vyas"/>
    <n v="0"/>
  </r>
  <r>
    <n v="738"/>
    <n v="20006246"/>
    <s v="Deven Sadadiwal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75-01-18T00:00:00"/>
    <s v="48.08"/>
    <d v="2006-07-01T00:00:00"/>
    <d v="2033-01-31T00:00:00"/>
    <m/>
    <d v="2033-01-31T00:00:00"/>
    <n v="3421"/>
    <s v="AB-"/>
    <s v="MBA-1999"/>
    <s v="06.10"/>
    <s v="17.02"/>
    <s v="24.01"/>
    <s v="70491113"/>
    <s v="Indirect Taxation - 1"/>
    <s v="70320434"/>
    <s v="Sr. lead - Customs"/>
    <s v="Hazira"/>
    <s v="0031950044"/>
    <s v="HZ-Commercial Taxati"/>
    <s v="2000HWO"/>
    <s v="20047664"/>
    <s v="Devang Desai"/>
    <s v="No"/>
    <s v="deven.sadadiwala@amns.in"/>
    <s v="9909901638"/>
    <s v="23827"/>
    <s v="Dhruv Vyas"/>
    <s v="Anil Matoo"/>
    <s v="Praveen Kuruvalli"/>
    <s v="Dhruv Vyas"/>
    <n v="0"/>
  </r>
  <r>
    <n v="756"/>
    <n v="20006499"/>
    <s v="Jaikishan Sharma"/>
    <s v="AM/NS India"/>
    <s v="Onroll"/>
    <s v="M-4"/>
    <n v="4"/>
    <m/>
    <s v="SM"/>
    <s v="M"/>
    <s v="Odisha"/>
    <n v="2"/>
    <s v="2095"/>
    <x v="4"/>
    <n v="36.01"/>
    <s v="Deepak Sindkar"/>
    <s v="Hrishikesh Kamat"/>
    <n v="7"/>
    <s v="Procurement"/>
    <s v="Raw Materials"/>
    <s v="36"/>
    <s v="Dep. Head - Logistics &amp; Tailing Mgmt."/>
    <m/>
    <s v="Bulk Raw Materials"/>
    <s v="Logistics &amp; Tailing Management"/>
    <s v="Logistics"/>
    <s v="Non Technical Support"/>
    <s v="Commercial"/>
    <s v="Procurement"/>
    <s v="73803001"/>
    <s v="Procurement"/>
    <s v="Dabuna"/>
    <d v="1962-04-10T00:00:00"/>
    <s v="61.05"/>
    <d v="2006-07-15T00:00:00"/>
    <d v="2020-04-30T00:00:00"/>
    <d v="2024-03-31T00:00:00"/>
    <d v="2024-03-31T00:00:00"/>
    <n v="193"/>
    <s v="A-"/>
    <s v="BA-1994 , PG Diploma in Management-1994"/>
    <s v="21.02"/>
    <s v="17.02"/>
    <s v="38.04"/>
    <s v="70318846"/>
    <s v="Logistics &amp; Tailing Management"/>
    <s v="70308224"/>
    <s v="Dep. Head - Logistics &amp; Tailing Mgmt."/>
    <s v="Odisha"/>
    <s v="0022010019"/>
    <s v="DBN-Benf-HR/Admin"/>
    <s v="2000STORIS"/>
    <s v="20055574"/>
    <s v="Suresha G"/>
    <s v="No"/>
    <s v="jaikishan.sharma@amns.in"/>
    <s v="9437481206"/>
    <s v="24100"/>
    <s v="Sunila Das"/>
    <s v="Anil Matoo"/>
    <s v="Praveen Kuruvalli"/>
    <s v="Sunila Das"/>
    <n v="0"/>
  </r>
  <r>
    <n v="760"/>
    <n v="20006536"/>
    <s v="Mahesh Salunke"/>
    <s v="AM/NS India"/>
    <s v="Onroll"/>
    <s v="M-4"/>
    <n v="4"/>
    <m/>
    <s v="SM"/>
    <s v="M"/>
    <s v="Pune Facility"/>
    <n v="4"/>
    <s v="2043"/>
    <x v="3"/>
    <s v="31.01"/>
    <s v="Hrishikesh Kamat"/>
    <s v="Hrishikesh Kamat"/>
    <n v="7"/>
    <s v="Procurement"/>
    <s v="Procurement"/>
    <s v="31"/>
    <s v="Head – Procurement Pune"/>
    <m/>
    <s v="Procurement"/>
    <s v="Procurement"/>
    <s v="Procurement"/>
    <s v="Non Technical Support"/>
    <s v="Commercial"/>
    <s v="Procurement"/>
    <s v="73803001"/>
    <s v="Procurement"/>
    <s v="Pune AMNS"/>
    <d v="1971-11-08T00:00:00"/>
    <s v="51.10"/>
    <d v="2006-07-10T00:00:00"/>
    <d v="2029-11-30T00:00:00"/>
    <m/>
    <d v="2029-11-30T00:00:00"/>
    <n v="2263"/>
    <s v="B-"/>
    <s v="BE-1993"/>
    <s v="12.10"/>
    <s v="17.02"/>
    <s v="30.00"/>
    <s v="73800002"/>
    <s v="Procurement - Pune Asset"/>
    <s v="70386091"/>
    <s v="Head – Procurement Pune"/>
    <s v="Pune Facility"/>
    <s v="0035950041"/>
    <s v="Pune-Procurement"/>
    <s v="2000ESPF"/>
    <s v="20055090"/>
    <s v="Hrishikesh Kamat"/>
    <s v="No"/>
    <s v="mahesh.salunke@amns.in"/>
    <s v="9158895146"/>
    <s v="23891"/>
    <s v="Dhruv Vyas"/>
    <s v="Anil Matoo"/>
    <s v="Praveen Kuruvalli"/>
    <s v="Dhruv Vyas"/>
    <n v="0"/>
  </r>
  <r>
    <n v="777"/>
    <n v="20006785"/>
    <s v="Sunil Patil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ales Manager Defence"/>
    <m/>
    <s v="Plate"/>
    <s v="Plate"/>
    <s v="Strategic Sales &amp; Branding"/>
    <s v="Non Technical Support"/>
    <s v="Assurance &amp; Cost Control"/>
    <s v="Assurance &amp; Cost Control"/>
    <s v="73401001"/>
    <s v="Assurance &amp; Cost Control"/>
    <s v="Mumbai"/>
    <d v="1983-09-20T00:00:00"/>
    <s v="40.00"/>
    <d v="2006-07-10T00:00:00"/>
    <d v="2041-09-30T00:00:00"/>
    <m/>
    <d v="2041-09-30T00:00:00"/>
    <n v="6585"/>
    <s v="B-"/>
    <s v="BE-2015 , Master's Equivalent-2006 , MTe"/>
    <s v=""/>
    <s v="17.02"/>
    <s v="17.02"/>
    <s v="70410953"/>
    <s v="Plate Sales - Gujarat"/>
    <s v="70289843"/>
    <s v="Sales Manager Defence"/>
    <s v="Corporate"/>
    <s v="0080000005"/>
    <s v="Global Markets Team"/>
    <s v="2000CS"/>
    <s v="20003623"/>
    <s v="Soumyadeep Datta"/>
    <s v="No"/>
    <s v="sunil.patil@amns.in"/>
    <s v="9930135384"/>
    <s v="23457"/>
    <s v="Dhruv Vyas"/>
    <s v="Anil Matoo"/>
    <s v="Praveen Kuruvalli"/>
    <s v="Dhruv Vyas"/>
    <n v="0"/>
  </r>
  <r>
    <n v="778"/>
    <n v="20006819"/>
    <s v="Prafulla Kumar Mohanty"/>
    <s v="AM/NS India"/>
    <s v="Onroll"/>
    <s v="M-4"/>
    <n v="4"/>
    <m/>
    <s v="SM"/>
    <s v="M"/>
    <s v="Odisha"/>
    <n v="2"/>
    <s v="2039"/>
    <x v="12"/>
    <s v="43.01"/>
    <s v="Sangeeta Munjal"/>
    <s v="Manu Kapoor"/>
    <n v="10"/>
    <s v="Corporate Affairs"/>
    <s v="Corporate Affairs"/>
    <s v="43"/>
    <s v="Head - Land Paradeep"/>
    <m/>
    <s v="Land Acquisition"/>
    <s v="Corporate Affairs"/>
    <s v="Corporate Affairs"/>
    <s v="Non Technical Support"/>
    <s v="Human Resources Management"/>
    <s v="Human Resources Management"/>
    <s v="73501002"/>
    <s v="Human Resources Operation"/>
    <s v="Paradeep"/>
    <d v="1971-11-22T00:00:00"/>
    <s v="51.09"/>
    <d v="2006-08-01T00:00:00"/>
    <d v="2029-11-30T00:00:00"/>
    <m/>
    <d v="2029-11-30T00:00:00"/>
    <n v="2263"/>
    <s v="O-"/>
    <s v="Master's Equivalent-1998 , LLB-1998 , MA"/>
    <s v="11.10"/>
    <s v="17.01"/>
    <s v="29.00"/>
    <s v="00052871"/>
    <s v="Land Acquisition and R&amp;R"/>
    <s v="70257475"/>
    <s v="Head – Land Acquisition and R&amp;R"/>
    <s v="Odisha"/>
    <s v="0022030019"/>
    <s v="PDP-HR &amp; Admn"/>
    <s v="2000STORIS"/>
    <s v="20033424"/>
    <s v="Rajiv Bhatnagar"/>
    <s v="No"/>
    <s v="prafullakumar.mohanty@amns.in"/>
    <s v="7381007005"/>
    <s v="22687"/>
    <s v="Sunila Das"/>
    <s v="Anil Matoo"/>
    <s v="Praveen Kuruvalli"/>
    <s v="Sunila Das"/>
    <n v="0"/>
  </r>
  <r>
    <n v="779"/>
    <n v="20006833"/>
    <s v="Hardik Vasavada"/>
    <s v="AM/NS India"/>
    <s v="Onroll"/>
    <s v="M-5"/>
    <n v="5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- Internal Control"/>
    <m/>
    <s v="Internal Control &amp; SOX"/>
    <s v="Internal Control &amp; SOX"/>
    <s v="Finance &amp; Accounts"/>
    <s v="Non Technical Support"/>
    <s v="Finance &amp; Accounts"/>
    <s v="Costing"/>
    <s v="73906001"/>
    <s v="Costing"/>
    <s v="AM/NS Hazira"/>
    <d v="1980-02-29T00:00:00"/>
    <s v="43.06"/>
    <d v="2006-08-04T00:00:00"/>
    <d v="2038-02-28T00:00:00"/>
    <m/>
    <d v="2038-02-28T00:00:00"/>
    <n v="5275"/>
    <s v="O-"/>
    <s v="CA Final-2005"/>
    <s v="01.01"/>
    <s v="17.01"/>
    <s v="18.02"/>
    <s v="00049304"/>
    <s v="PM - Internal Control"/>
    <s v="70258329"/>
    <s v="Lead - Internal Control"/>
    <s v="Corporate"/>
    <s v="0031950043"/>
    <s v="HZ-Performance Manag"/>
    <s v="2000CS"/>
    <s v="20003280"/>
    <s v="Chetan Jansari"/>
    <s v="No"/>
    <s v="hardik.vasavada@amns.in"/>
    <s v="9879102207"/>
    <s v="24649"/>
    <s v="Dhruv Vyas"/>
    <s v="Anil Matoo"/>
    <s v="Praveen Kuruvalli"/>
    <s v="Dhruv Vyas"/>
    <n v="0"/>
  </r>
  <r>
    <n v="780"/>
    <n v="20006862"/>
    <s v="D Niranjan Patro"/>
    <s v="AM/NS India"/>
    <s v="Onroll"/>
    <s v="M-5"/>
    <n v="5"/>
    <m/>
    <s v="MM"/>
    <s v="M"/>
    <s v="Vizag"/>
    <n v="3"/>
    <s v="2013"/>
    <x v="0"/>
    <s v="20.01"/>
    <s v="Akiyo Omori"/>
    <s v="Amit Harlalka"/>
    <n v="5"/>
    <s v="Finance &amp; Accounts"/>
    <s v="Finance &amp; Accounts"/>
    <s v="20"/>
    <s v="Section Head-Costing, Budgeting &amp; IDT"/>
    <m/>
    <s v="Finance &amp; Accounts - Vizag"/>
    <s v="Finance &amp; Accounts"/>
    <s v="Costing, Budgeting, IDT &amp; Insurance"/>
    <s v="Non Technical Support"/>
    <s v="Finance &amp; Accounts"/>
    <s v="Finance &amp; Accounts"/>
    <s v="73901001"/>
    <s v="Finance &amp; Accounts"/>
    <s v="Vizag"/>
    <d v="1968-03-24T00:00:00"/>
    <s v="55.05"/>
    <d v="2006-08-18T00:00:00"/>
    <d v="2026-03-31T00:00:00"/>
    <m/>
    <d v="2026-03-31T00:00:00"/>
    <n v="923"/>
    <s v="O-"/>
    <s v="MBA-2012 , Certificate-2012"/>
    <s v="14.07"/>
    <s v="17.01"/>
    <s v="31.08"/>
    <s v="70413458"/>
    <s v="Costing, Budgeting &amp; IDT"/>
    <s v="70402768"/>
    <s v="Section Head-Costing, Budgeting &amp; IDT"/>
    <s v="Vizag"/>
    <s v="0028030019"/>
    <s v="VIZ-Personnel &amp; Admi"/>
    <s v="2000VIZOPS"/>
    <s v="20001003"/>
    <s v="Patnana Muralidhara Rao"/>
    <s v="No"/>
    <s v="niranjan.patro@amns.in"/>
    <s v="9885108061"/>
    <s v="23476"/>
    <s v="DS Varma"/>
    <s v="Anil Matoo"/>
    <s v="Praveen Kuruvalli"/>
    <s v="Dhruv Vyas"/>
    <n v="0"/>
  </r>
  <r>
    <n v="781"/>
    <n v="20006916"/>
    <s v="Mir Ali Martaj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s &amp; Unloading"/>
    <m/>
    <s v="Stores &amp; Warehouse"/>
    <s v="Stores &amp; Warehouse"/>
    <s v="Receipt &amp; Unloading"/>
    <s v="Non Technical Support"/>
    <s v="Commercial"/>
    <s v="Stores &amp; Warehouse"/>
    <s v="73806001"/>
    <s v="Stores &amp; Warehouse"/>
    <s v="Hazira"/>
    <d v="1967-02-08T00:00:00"/>
    <s v="56.07"/>
    <d v="2006-08-01T00:00:00"/>
    <d v="2025-02-28T00:00:00"/>
    <m/>
    <d v="2025-02-28T00:00:00"/>
    <n v="527"/>
    <s v="O+"/>
    <s v="BA-1992"/>
    <s v="21.04"/>
    <s v="17.01"/>
    <s v="38.05"/>
    <s v="00053279"/>
    <s v="Receipts &amp; Unloading - Plant A"/>
    <s v="70259110"/>
    <s v="Section Officer - Receipts &amp; Unloading"/>
    <s v="Hazira"/>
    <s v="0031950049"/>
    <s v="HZ-Central Stores"/>
    <s v="2000HWO"/>
    <s v="20001164"/>
    <s v="Snehal Anjaria"/>
    <s v="No"/>
    <s v="mir.ali@amns.in"/>
    <s v="9909901791"/>
    <s v="21064"/>
    <s v="Dhruv Vyas"/>
    <s v="Anil Matoo"/>
    <s v="Praveen Kuruvalli"/>
    <s v="Dhruv Vyas"/>
    <n v="0"/>
  </r>
  <r>
    <n v="785"/>
    <n v="20007008"/>
    <s v="Pradeep Kumar Sharm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– STC Plate Mill"/>
    <m/>
    <s v="Working Capital"/>
    <s v="Accounts Receivable"/>
    <s v="STC Platemill"/>
    <s v="Non Technical Support"/>
    <s v="Finance &amp; Accounts"/>
    <s v="Finance &amp; Accounts"/>
    <s v="73901001"/>
    <s v="Finance &amp; Accounts"/>
    <s v="Hazira"/>
    <d v="1968-03-03T00:00:00"/>
    <s v="55.06"/>
    <d v="2006-08-25T00:00:00"/>
    <d v="2026-03-31T00:00:00"/>
    <m/>
    <d v="2026-03-31T00:00:00"/>
    <n v="923"/>
    <s v="O-"/>
    <s v="MBA-2012 , BCom-2012 , BCom-1988"/>
    <s v="17.03"/>
    <s v="17.00"/>
    <s v="34.03"/>
    <s v="72150286"/>
    <s v="Accounts Receivables &amp; Export Banking"/>
    <s v="70258462"/>
    <s v="DGM – Finance &amp; Account"/>
    <s v="Hazira"/>
    <s v="0031950045"/>
    <s v="HZ-Works Accounts-Ha"/>
    <s v="2000HWO"/>
    <s v="20007731"/>
    <s v="Ashish Mehta"/>
    <s v="No"/>
    <s v="pradeep.sharma@amns.in"/>
    <s v="9643897060"/>
    <s v="24107"/>
    <s v="Dhruv Vyas"/>
    <s v="Anil Matoo"/>
    <s v="Praveen Kuruvalli"/>
    <s v="Dhruv Vyas"/>
    <n v="0"/>
  </r>
  <r>
    <n v="788"/>
    <n v="20007067"/>
    <s v="Gaurav Bhandari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Section Head-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77-08-28T00:00:00"/>
    <s v="46.00"/>
    <d v="2006-08-31T00:00:00"/>
    <d v="2035-08-31T00:00:00"/>
    <m/>
    <d v="2035-08-31T00:00:00"/>
    <n v="4363"/>
    <s v="O-"/>
    <s v="CS-2002 , CA Final-2002"/>
    <s v="03.04"/>
    <s v="17.00"/>
    <s v="20.04"/>
    <s v="70074192"/>
    <s v="Corporate Accounts"/>
    <s v="70386071"/>
    <s v="Section Head-Corporate Accounts &amp; Audit"/>
    <s v="Hazira"/>
    <s v="0090000027"/>
    <s v="Corporate Steel - Ac"/>
    <s v="2000HWO"/>
    <s v="20000679"/>
    <s v="Dinesh Mangal"/>
    <s v="No"/>
    <s v="gaurav.bhandari@amns.in"/>
    <s v="9879100810"/>
    <s v="21218"/>
    <s v="Dhruv Vyas"/>
    <s v="Anil Matoo"/>
    <s v="Praveen Kuruvalli"/>
    <s v="Dhruv Vyas"/>
    <n v="0"/>
  </r>
  <r>
    <n v="790"/>
    <n v="20007104"/>
    <s v="Ranjan Dhar"/>
    <s v="AM/NS India"/>
    <s v="Onroll"/>
    <s v="M-2"/>
    <n v="2"/>
    <m/>
    <s v="TM"/>
    <s v="M"/>
    <s v="Hazira"/>
    <n v="1"/>
    <s v="2031"/>
    <x v="10"/>
    <s v="14.01"/>
    <s v="Alain Legrix De La Salle"/>
    <s v="Alain Legrix De La Salle"/>
    <n v="3"/>
    <s v="Sales &amp; Marketing"/>
    <s v="Sales &amp; Marketing"/>
    <s v="14"/>
    <s v="Chief Marketing Officer"/>
    <m/>
    <s v="Sales &amp; Marketing"/>
    <s v="CMO Office"/>
    <s v=""/>
    <s v="Non Technical Support"/>
    <s v="Sales &amp; Marketing"/>
    <s v="Sales &amp; Marketing"/>
    <s v="73101001"/>
    <s v="Sales &amp; Marketing"/>
    <s v="Mumbai"/>
    <d v="1973-10-03T00:00:00"/>
    <s v="49.11"/>
    <d v="2006-09-05T00:00:00"/>
    <d v="2033-10-31T00:00:00"/>
    <m/>
    <d v="2033-10-31T00:00:00"/>
    <n v="3694"/>
    <s v="B-"/>
    <s v="Certificate-2004 , BTech-2004 , Certific"/>
    <s v="06.03"/>
    <s v="17.00"/>
    <s v="23.03"/>
    <s v="70139950"/>
    <s v="Sales &amp; Marketing"/>
    <s v="70413461"/>
    <s v="Chief Marketing Officer"/>
    <s v="Confidential Payroll"/>
    <s v="0080000001"/>
    <s v="Head-Marketing"/>
    <s v="2000HWO"/>
    <s v="20055084"/>
    <s v="Alain Legrix De La Salle"/>
    <s v="No"/>
    <s v="ranjan.dhar@amns.in"/>
    <s v="9819731543"/>
    <s v="21649"/>
    <s v="Dhruv Vyas"/>
    <s v="Anil Matoo"/>
    <s v="Praveen Kuruvalli"/>
    <s v="Dhruv Vyas"/>
    <n v="0"/>
  </r>
  <r>
    <n v="815"/>
    <n v="20007322"/>
    <s v="Sanjay Bohr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Automotive Sales"/>
    <m/>
    <s v="North"/>
    <s v="Hypermart"/>
    <s v=""/>
    <s v="Non Technical Support"/>
    <s v="Sales &amp; Marketing"/>
    <s v="Marketing"/>
    <s v="73102001"/>
    <s v="Marketing"/>
    <s v="Faridabad"/>
    <d v="1973-03-15T00:00:00"/>
    <s v="50.06"/>
    <d v="2006-09-18T00:00:00"/>
    <d v="2031-03-31T00:00:00"/>
    <m/>
    <d v="2031-03-31T00:00:00"/>
    <n v="2749"/>
    <s v="B-"/>
    <s v="Diploma-1990 , Diploma-1990"/>
    <s v="15.09"/>
    <s v="17.00"/>
    <s v="32.08"/>
    <s v="00052526"/>
    <s v="Sales - North"/>
    <s v="70258465"/>
    <s v="KAM - Automotive Sales"/>
    <s v="Hazira"/>
    <s v="0060120100"/>
    <s v="HMART-North Zone"/>
    <s v="2000HWO"/>
    <s v="20002920"/>
    <s v="Sudhir Sharma"/>
    <s v="No"/>
    <s v="sanjay.bohra@amns.in"/>
    <s v="9899257110"/>
    <s v="21308"/>
    <s v="Dhruv Vyas"/>
    <s v="Anil Matoo"/>
    <s v="Praveen Kuruvalli"/>
    <s v="Dhruv Vyas"/>
    <n v="0"/>
  </r>
  <r>
    <n v="830"/>
    <n v="20007414"/>
    <s v="Gaurav Sharm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Sales – Pipe Products"/>
    <m/>
    <s v="Pipe"/>
    <s v="Pipe"/>
    <s v=""/>
    <s v="Non Technical Support"/>
    <s v="Sales &amp; Marketing"/>
    <s v="Sales &amp; Marketing"/>
    <s v="73101001"/>
    <s v="Sales &amp; Marketing"/>
    <s v="Noida"/>
    <d v="1979-08-14T00:00:00"/>
    <s v="44.01"/>
    <d v="2006-09-11T00:00:00"/>
    <d v="2037-08-31T00:00:00"/>
    <m/>
    <d v="2037-08-31T00:00:00"/>
    <n v="5094"/>
    <s v="B-"/>
    <s v="BE-2010 , PG Diploma in Management-2010"/>
    <s v="03.09"/>
    <s v="17.00"/>
    <s v="20.09"/>
    <s v="70387159"/>
    <s v="Pipe Sales"/>
    <s v="70258291"/>
    <s v="Head Sales – Pipe Products"/>
    <s v="Hazira"/>
    <s v="0031591982"/>
    <s v="PM-Marketing"/>
    <s v="2000HWO"/>
    <s v="20007104"/>
    <s v="Ranjan Dhar"/>
    <s v="No"/>
    <s v="gaurav.sharma1@amns.in"/>
    <s v="9654099920"/>
    <s v="24096"/>
    <s v="Dhruv Vyas"/>
    <s v="Anil Matoo"/>
    <s v="Praveen Kuruvalli"/>
    <s v="Dhruv Vyas"/>
    <n v="0"/>
  </r>
  <r>
    <n v="834"/>
    <n v="20007499"/>
    <s v="Sunil Mangoli"/>
    <s v="AM/NS India"/>
    <s v="Onroll"/>
    <s v="M-7"/>
    <n v="7"/>
    <m/>
    <s v="MM"/>
    <s v="M"/>
    <s v="Service Centers"/>
    <n v="6"/>
    <s v="2043"/>
    <x v="3"/>
    <s v="31.01"/>
    <s v="Hrishikesh Kamat"/>
    <s v="Hrishikesh Kamat"/>
    <n v="7"/>
    <s v="Procurement"/>
    <s v="Procurement"/>
    <s v="31"/>
    <s v="Lead - Procurement - Service Center"/>
    <m/>
    <s v="Procurement Service Centre"/>
    <s v="Procurement"/>
    <s v="Procurement"/>
    <s v="Non Technical Support"/>
    <s v="Commercial"/>
    <s v="Procurement"/>
    <s v="73803001"/>
    <s v="Procurement"/>
    <s v="Hazira"/>
    <d v="1976-06-08T00:00:00"/>
    <s v="47.03"/>
    <d v="2006-09-27T00:00:00"/>
    <d v="2034-06-30T00:00:00"/>
    <m/>
    <d v="2034-06-30T00:00:00"/>
    <n v="3936"/>
    <s v="B-"/>
    <s v="Diploma-1996"/>
    <s v="14.04"/>
    <s v="16.11"/>
    <s v="31.03"/>
    <s v="70413444"/>
    <s v="Purchase &amp; Contracts"/>
    <s v="72150636"/>
    <s v="Lead - Procurement - Service Center"/>
    <s v="Service Center"/>
    <s v="0040010019"/>
    <s v="SC-DSC-Common Cost"/>
    <s v="2000SPRJ"/>
    <s v="20052588"/>
    <s v="Govindraju Sampathirao"/>
    <s v="No"/>
    <s v="sunil.mangoli@amns.in"/>
    <s v="9923205755"/>
    <s v="22535"/>
    <s v="Dhruv Vyas"/>
    <s v="Anil Matoo"/>
    <s v="Praveen Kuruvalli"/>
    <s v="Dhruv Vyas"/>
    <n v="0"/>
  </r>
  <r>
    <n v="847"/>
    <n v="20007731"/>
    <s v="Ashish Mehta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-Accounts Receivables Export Banking"/>
    <m/>
    <s v="Working Capital"/>
    <s v="Accounts Receivable"/>
    <s v="Credit Control"/>
    <s v="Non Technical Support"/>
    <s v="Finance &amp; Accounts"/>
    <s v="Finance &amp; Accounts"/>
    <s v="73901004"/>
    <s v="Accounts Receivables"/>
    <s v="AM/NS Hazira"/>
    <d v="1977-07-30T00:00:00"/>
    <s v="46.01"/>
    <d v="2006-10-16T00:00:00"/>
    <d v="2035-07-31T00:00:00"/>
    <m/>
    <d v="2035-07-31T00:00:00"/>
    <n v="4332"/>
    <s v="B-"/>
    <s v="CA Final-2004"/>
    <s v="04.09"/>
    <s v="16.11"/>
    <s v="21.08"/>
    <s v="72150286"/>
    <s v="Accounts Receivables &amp; Export Banking"/>
    <s v="70227020"/>
    <s v="Head-Accounts Receivables Export Banking"/>
    <s v="Hazira"/>
    <s v="0031950045"/>
    <s v="HZ-Works Accounts-Ha"/>
    <s v="2000HWO"/>
    <s v="20055188"/>
    <s v="Rohit Sharma"/>
    <s v="No"/>
    <s v="ashish.mehta@amns.in"/>
    <s v="9879100614"/>
    <s v="22583"/>
    <s v="Dhruv Vyas"/>
    <s v="Anil Matoo"/>
    <s v="Praveen Kuruvalli"/>
    <s v="Dhruv Vyas"/>
    <n v="0"/>
  </r>
  <r>
    <n v="863"/>
    <n v="20008040"/>
    <s v="Rajesh Gupt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Gen.Mgr-Finance &amp; Acco"/>
    <m/>
    <s v="Sales Steering &amp; BD"/>
    <s v="Sales Audit"/>
    <s v=""/>
    <s v="Non Technical Support"/>
    <s v="Finance &amp; Accounts"/>
    <s v="Treasury"/>
    <s v="73903001"/>
    <s v="Treasury"/>
    <s v="Noida"/>
    <d v="1968-11-24T00:00:00"/>
    <s v="54.09"/>
    <d v="2006-11-06T00:00:00"/>
    <d v="2026-11-30T00:00:00"/>
    <m/>
    <d v="2026-11-30T00:00:00"/>
    <n v="1167"/>
    <s v="O-"/>
    <s v="PG Diploma in Management-1999 , MBA-1999"/>
    <s v="16.05"/>
    <s v="16.10"/>
    <s v="33.03"/>
    <s v="70277912"/>
    <s v="Plate Sales"/>
    <s v="70226691"/>
    <s v="Head Sales Audit &amp; Compliances"/>
    <s v="Hazira"/>
    <s v="0060100004"/>
    <s v="HMART-HR/Admin Expen"/>
    <s v="2000HWO"/>
    <s v="20010531"/>
    <s v="Saptarshi Saha"/>
    <s v="No"/>
    <s v="rajesh.gupta@amns.in"/>
    <s v="9811421542"/>
    <s v="21872"/>
    <s v="Dhruv Vyas"/>
    <s v="Anil Matoo"/>
    <s v="Praveen Kuruvalli"/>
    <s v="Dhruv Vyas"/>
    <n v="0"/>
  </r>
  <r>
    <n v="873"/>
    <n v="20008508"/>
    <s v="Satyajit Mohapatra"/>
    <s v="AM/NS India"/>
    <s v="Onroll"/>
    <s v="M-4"/>
    <n v="4"/>
    <m/>
    <s v="S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Head-Technical Mktg. &amp; Application Engg.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70-07-03T00:00:00"/>
    <s v="53.02"/>
    <d v="2006-12-18T00:00:00"/>
    <d v="2028-07-31T00:00:00"/>
    <m/>
    <d v="2028-07-31T00:00:00"/>
    <n v="1776"/>
    <s v="B-"/>
    <s v="Master's Equivalent-2006"/>
    <s v="12.00"/>
    <s v="16.09"/>
    <s v="28.08"/>
    <s v="70343197"/>
    <s v="Technical Mktg &amp; Application Engineering"/>
    <s v="70336265"/>
    <s v="Head-Technical Mktg. &amp; Application Engg."/>
    <s v="Hazira"/>
    <s v="0031950057"/>
    <s v="HZ-HRC - Marketing"/>
    <s v="2000HWO"/>
    <s v="20007104"/>
    <s v="Ranjan Dhar"/>
    <s v="No"/>
    <s v="satyajit.mohapatra@amns.in"/>
    <s v="9930134371"/>
    <s v="22699"/>
    <s v="Dhruv Vyas"/>
    <s v="Anil Matoo"/>
    <s v="Praveen Kuruvalli"/>
    <s v="Dhruv Vyas"/>
    <n v="0"/>
  </r>
  <r>
    <n v="880"/>
    <n v="20008647"/>
    <s v="Alpesh Hirpara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- Pro Refractory"/>
    <m/>
    <s v="Procurement MRO Hazira"/>
    <s v="Procurement"/>
    <s v="Consumables"/>
    <s v="Non Technical Support"/>
    <s v="Commercial"/>
    <s v="Procurement"/>
    <s v="73803001"/>
    <s v="Procurement"/>
    <s v="AM/NS Hazira"/>
    <d v="1983-09-25T00:00:00"/>
    <s v="39.11"/>
    <d v="2006-12-18T00:00:00"/>
    <d v="2041-09-30T00:00:00"/>
    <m/>
    <d v="2041-09-30T00:00:00"/>
    <n v="6585"/>
    <s v="O-"/>
    <s v="BE-2006"/>
    <s v=""/>
    <s v="16.09"/>
    <s v="16.09"/>
    <s v="00044543"/>
    <s v="Procurement -Refractory"/>
    <s v="70372367"/>
    <s v="Lead - Pro Refractory"/>
    <s v="Hazira"/>
    <s v="0031950048"/>
    <s v="HZ-Procurment Depart"/>
    <s v="2000HWO"/>
    <s v="20000201"/>
    <s v="Manish Bakriwala"/>
    <s v="No"/>
    <s v="alpesh.hirpara@amns.in"/>
    <s v="9925241335"/>
    <s v="21912"/>
    <s v="Dhruv Vyas"/>
    <s v="Anil Matoo"/>
    <s v="Praveen Kuruvalli"/>
    <s v="Dhruv Vyas"/>
    <n v="0"/>
  </r>
  <r>
    <n v="890"/>
    <n v="20008774"/>
    <s v="Ajay Somasundaran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r. Lead - Market Intelligence"/>
    <m/>
    <s v="Sales Steering &amp; BD"/>
    <s v="Market Intelligence"/>
    <s v="Pricing &amp; Strategy"/>
    <s v="Non Technical Support"/>
    <s v="Sales &amp; Marketing"/>
    <s v="Marketing"/>
    <s v="73102007"/>
    <s v="Pricing"/>
    <s v="Mumbai"/>
    <d v="1976-04-08T00:00:00"/>
    <s v="47.05"/>
    <d v="2007-01-15T00:00:00"/>
    <d v="2034-04-30T00:00:00"/>
    <m/>
    <d v="2034-04-30T00:00:00"/>
    <n v="3875"/>
    <s v="A-"/>
    <s v="MBA-2005"/>
    <s v="05.07"/>
    <s v="16.08"/>
    <s v="22.03"/>
    <s v="72150188"/>
    <s v="Market Intelligence &amp; Pricing"/>
    <s v="72150163"/>
    <s v="Head - Market Intelligence &amp; Pricing"/>
    <s v="Corporate"/>
    <s v="0080000001"/>
    <s v="Head-Marketing"/>
    <s v="2000CS"/>
    <s v="20010531"/>
    <s v="Saptarshi Saha"/>
    <s v="No"/>
    <s v="ajay.somasundaran@amns.in"/>
    <s v="9819731553"/>
    <s v="24323"/>
    <s v="Dhruv Vyas"/>
    <s v="Anil Matoo"/>
    <s v="Praveen Kuruvalli"/>
    <s v="Dhruv Vyas"/>
    <n v="0"/>
  </r>
  <r>
    <n v="896"/>
    <n v="20008966"/>
    <s v="Rajesh Katoch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Process Manager"/>
    <m/>
    <s v="Sales Steering &amp; BD"/>
    <s v="Digital Initiatives"/>
    <s v="West Zone"/>
    <s v="Non Technical Support"/>
    <s v="IT"/>
    <s v="IT"/>
    <s v="74901001"/>
    <s v="IT"/>
    <s v="Mumbai"/>
    <d v="1972-04-08T00:00:00"/>
    <s v="51.05"/>
    <d v="2007-01-22T00:00:00"/>
    <d v="2030-04-30T00:00:00"/>
    <m/>
    <d v="2030-04-30T00:00:00"/>
    <n v="2414"/>
    <s v="A-"/>
    <s v="BCom-1996"/>
    <s v="13.08"/>
    <s v="16.07"/>
    <s v="30.03"/>
    <s v="70462100"/>
    <s v="Digital Initiatives"/>
    <s v="70386465"/>
    <s v="Process Manager - Digitalization"/>
    <s v="Corporate"/>
    <s v="0060100003"/>
    <s v="HMART-IT/JDS Support"/>
    <s v="2000CS"/>
    <s v="20043383"/>
    <s v="Maneesh Moti"/>
    <s v="No"/>
    <s v="rajesh.katoch@amns.in"/>
    <s v="9819730698"/>
    <s v="22175"/>
    <s v="Dhruv Vyas"/>
    <s v="Anil Matoo"/>
    <s v="Praveen Kuruvalli"/>
    <s v="Dhruv Vyas"/>
    <n v="0"/>
  </r>
  <r>
    <n v="906"/>
    <n v="20009067"/>
    <s v="Neelesh Mishr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Business Leader Hypermart (West)"/>
    <m/>
    <s v="Hypermart"/>
    <s v="Hypermart"/>
    <s v=""/>
    <s v="Non Technical Support"/>
    <s v="Sales &amp; Marketing"/>
    <s v="Sales"/>
    <s v="73104003"/>
    <s v="Retail Sales"/>
    <s v="Mumbai"/>
    <d v="1975-12-23T00:00:00"/>
    <s v="47.08"/>
    <d v="2007-01-25T00:00:00"/>
    <d v="2033-12-31T00:00:00"/>
    <m/>
    <d v="2033-12-31T00:00:00"/>
    <n v="3755"/>
    <s v="B-"/>
    <s v="BCom-1996"/>
    <s v="06.06"/>
    <s v="16.07"/>
    <s v="23.01"/>
    <s v="70164330"/>
    <s v="HyperMart - West"/>
    <s v="70226631"/>
    <s v="Distribution Incharge - G'dham"/>
    <s v="Hazira"/>
    <s v="0031950057"/>
    <s v="HZ-HRC - Marketing"/>
    <s v="2000HWO"/>
    <s v="20006236"/>
    <s v="Sanjay Vaid"/>
    <s v="No"/>
    <s v="neelesh.mishra@amns.in"/>
    <s v="9819731556"/>
    <s v="22630"/>
    <s v="Dhruv Vyas"/>
    <s v="Anil Matoo"/>
    <s v="Praveen Kuruvalli"/>
    <s v="Dhruv Vyas"/>
    <n v="0"/>
  </r>
  <r>
    <n v="907"/>
    <n v="20009073"/>
    <s v="Hiral Bhatt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Rajkot"/>
    <d v="1982-09-14T00:00:00"/>
    <s v="41.00"/>
    <d v="2007-01-22T00:00:00"/>
    <d v="2040-09-30T00:00:00"/>
    <m/>
    <d v="2040-09-30T00:00:00"/>
    <n v="6220"/>
    <s v="A-"/>
    <s v="BBA-2004 , Certificate-2004"/>
    <s v="02.03"/>
    <s v="16.07"/>
    <s v="18.10"/>
    <s v="70394840"/>
    <s v="OEM Sales - Gujarat"/>
    <s v="70372455"/>
    <s v="Sales Manager - Hypermart"/>
    <s v="Hypermart"/>
    <s v="0060110300"/>
    <s v="HMART-Guj-Ahemedabad"/>
    <s v="2000SRET"/>
    <s v="20001736"/>
    <s v="Manoranjan Jagdhari"/>
    <s v="No"/>
    <s v="hiral.bhatt@amns.in"/>
    <s v="9909043001"/>
    <s v="21238"/>
    <s v="Dhruv Vyas"/>
    <s v="Anil Matoo"/>
    <s v="Praveen Kuruvalli"/>
    <s v="Dhruv Vyas"/>
    <n v="0"/>
  </r>
  <r>
    <n v="908"/>
    <n v="20009082"/>
    <s v="Ashutosh Misr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North"/>
    <s v="Hypermart"/>
    <s v="Nort Zone"/>
    <s v="Non Technical Support"/>
    <s v="Sales &amp; Marketing"/>
    <s v="Sales"/>
    <s v="73104003"/>
    <s v="Retail Sales"/>
    <s v="Jaipur"/>
    <d v="1977-09-28T00:00:00"/>
    <s v="45.11"/>
    <d v="2007-01-15T00:00:00"/>
    <d v="2035-09-30T00:00:00"/>
    <m/>
    <d v="2035-09-30T00:00:00"/>
    <n v="4393"/>
    <s v="A-"/>
    <s v="BA-1999 , Master's Equivalent-1999"/>
    <s v="03.03"/>
    <s v="16.08"/>
    <s v="19.11"/>
    <s v="00052526"/>
    <s v="Sales - North"/>
    <s v="70258923"/>
    <s v="Sales Manager - Hypermart"/>
    <s v="Hypermart"/>
    <s v="0060120300"/>
    <s v="HMART-Raj-Jaipur"/>
    <s v="2000SRET"/>
    <s v="20007322"/>
    <s v="Sanjay Bohra"/>
    <s v="No"/>
    <s v="ashutosh.misra@amns.in"/>
    <s v=""/>
    <s v="22639"/>
    <s v="Dhruv Vyas"/>
    <s v="Anil Matoo"/>
    <s v="Praveen Kuruvalli"/>
    <s v="Dhruv Vyas"/>
    <n v="0"/>
  </r>
  <r>
    <n v="923"/>
    <n v="20009190"/>
    <s v="Pradeep Gandikot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Hypermart"/>
    <s v="South Zone"/>
    <s v="Non Technical Support"/>
    <s v="Sales &amp; Marketing"/>
    <s v="Sales"/>
    <s v="73104003"/>
    <s v="Retail Sales"/>
    <s v="Hyderabad"/>
    <d v="1981-05-06T00:00:00"/>
    <s v="42.04"/>
    <d v="2007-02-19T00:00:00"/>
    <d v="2039-05-31T00:00:00"/>
    <m/>
    <d v="2039-05-31T00:00:00"/>
    <n v="5732"/>
    <s v="O-"/>
    <s v="MBA-2008"/>
    <s v="04.06"/>
    <s v="16.06"/>
    <s v="21.01"/>
    <s v="00048814"/>
    <s v="Sales South Zone – Hypermart"/>
    <s v="70403504"/>
    <s v="Sales Manager - Hypermart"/>
    <s v="Hypermart"/>
    <s v="0060140600"/>
    <s v="HMART-Tela-Secundrab"/>
    <s v="2000SRET"/>
    <s v="20056279"/>
    <s v="Arun G"/>
    <s v="No"/>
    <s v="pradeep.gandikota@amns.in"/>
    <s v="9866101615"/>
    <s v="21756"/>
    <s v="Dhruv Vyas"/>
    <s v="Anil Matoo"/>
    <s v="Praveen Kuruvalli"/>
    <s v="Dhruv Vyas"/>
    <n v="0"/>
  </r>
  <r>
    <n v="925"/>
    <n v="20009250"/>
    <s v="Bhagwati Gupt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Hypermart"/>
    <s v="Nort Zone"/>
    <s v="Non Technical Support"/>
    <s v="Sales &amp; Marketing"/>
    <s v="Sales"/>
    <s v="73104003"/>
    <s v="Retail Sales"/>
    <s v="Delhi"/>
    <d v="1974-01-01T00:00:00"/>
    <s v="49.08"/>
    <d v="2007-02-12T00:00:00"/>
    <d v="2031-12-31T00:00:00"/>
    <m/>
    <d v="2031-12-31T00:00:00"/>
    <n v="3024"/>
    <s v="B-"/>
    <s v="Certificate-2000 , MBA-2000 , BSc-1996"/>
    <s v="01.04"/>
    <s v="16.07"/>
    <s v="17.10"/>
    <s v="00052526"/>
    <s v="Sales - North"/>
    <s v="70320454"/>
    <s v="Sales Manager - Hypermart"/>
    <s v="Hypermart"/>
    <s v="0060120900"/>
    <s v="HMART-NCR-Faridabad"/>
    <s v="2000SRET"/>
    <s v="20007322"/>
    <s v="Sanjay Bohra"/>
    <s v="No"/>
    <s v="bhagwati.gupta@amns.in"/>
    <s v="9999015435"/>
    <s v="21860"/>
    <s v="Dhruv Vyas"/>
    <s v="Anil Matoo"/>
    <s v="Praveen Kuruvalli"/>
    <s v="Dhruv Vyas"/>
    <n v="0"/>
  </r>
  <r>
    <n v="933"/>
    <n v="20009438"/>
    <s v="Vidyadhar Bhise"/>
    <s v="AM/NS India"/>
    <s v="Onroll"/>
    <s v="M-8"/>
    <n v="8"/>
    <m/>
    <s v="JM"/>
    <s v="M"/>
    <s v="Hypermart"/>
    <n v="5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Human Resources"/>
    <s v="Human Resources"/>
    <s v="Non Technical Support"/>
    <s v="Human Resources Management"/>
    <s v="Human Resources Management"/>
    <s v="73501002"/>
    <s v="Human Resources Operation"/>
    <s v="Mumbai"/>
    <d v="1976-07-23T00:00:00"/>
    <s v="47.01"/>
    <d v="2007-03-01T00:00:00"/>
    <d v="2034-07-31T00:00:00"/>
    <m/>
    <d v="2034-07-31T00:00:00"/>
    <n v="3967"/>
    <s v="A-"/>
    <s v="BCom-2011 , PG Diploma in Management-201"/>
    <s v="06.09"/>
    <s v="16.06"/>
    <s v="23.03"/>
    <s v="00049721"/>
    <s v="Regional &amp; Corporate offices"/>
    <s v="70258919"/>
    <s v="Lead - Administration"/>
    <s v="Hypermart"/>
    <s v="0090000018"/>
    <s v="CORP Group - HR"/>
    <s v="2000SRET"/>
    <s v="20057888"/>
    <s v="Narinder Lamba"/>
    <s v="No"/>
    <s v="vidyadhar.bhise@amns.in"/>
    <s v="9819730498"/>
    <s v="21270"/>
    <s v="Dhruv Vyas"/>
    <s v="Anil Matoo"/>
    <s v="Praveen Kuruvalli"/>
    <s v="Dhruv Vyas"/>
    <n v="0"/>
  </r>
  <r>
    <n v="940"/>
    <n v="20009743"/>
    <s v="Rakesh Kuma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4"/>
    <s v="OEM Sales"/>
    <s v="Noida"/>
    <d v="1979-04-25T00:00:00"/>
    <s v="44.04"/>
    <d v="2007-03-30T00:00:00"/>
    <d v="2037-04-30T00:00:00"/>
    <m/>
    <d v="2037-04-30T00:00:00"/>
    <n v="4971"/>
    <s v="O-"/>
    <s v="BCom-2003"/>
    <s v="04.08"/>
    <s v="16.05"/>
    <s v="21.01"/>
    <s v="72150181"/>
    <s v="Sales North Zone"/>
    <s v="70334319"/>
    <s v="Sales Manager"/>
    <s v="Hazira"/>
    <s v="0031950057"/>
    <s v="HZ-HRC - Marketing"/>
    <s v="2000HWO"/>
    <s v="20002920"/>
    <s v="Sudhir Sharma"/>
    <s v="No"/>
    <s v="rakesh.kumar5@amns.in"/>
    <s v="9899789317"/>
    <s v="22355"/>
    <s v="Dhruv Vyas"/>
    <s v="Anil Matoo"/>
    <s v="Praveen Kuruvalli"/>
    <s v="Dhruv Vyas"/>
    <n v="0"/>
  </r>
  <r>
    <n v="941"/>
    <n v="20009749"/>
    <s v="Daksha Bhalodia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Lead - Accounts Payable"/>
    <m/>
    <s v="Working Capital"/>
    <s v="Hypermart"/>
    <s v="Hypermart"/>
    <s v="Non Technical Support"/>
    <s v="Finance &amp; Accounts"/>
    <s v="Finance &amp; Accounts"/>
    <s v="73901002"/>
    <s v="Corporate Accounts &amp; Audi"/>
    <s v="AM/NS Hazira"/>
    <d v="1971-07-23T00:00:00"/>
    <s v="52.01"/>
    <d v="2007-04-05T00:00:00"/>
    <d v="2029-07-31T00:00:00"/>
    <m/>
    <d v="2029-07-31T00:00:00"/>
    <n v="2141"/>
    <s v="B-"/>
    <s v="BCom-1992"/>
    <s v="03.08"/>
    <s v="16.05"/>
    <s v="20.01"/>
    <s v="00043794"/>
    <s v="Accounts Payable - 1"/>
    <s v="70259111"/>
    <s v="Lead - Accounts Payable"/>
    <s v="Hazira"/>
    <s v="0060100001"/>
    <s v="HMART-Finance &amp; Acco"/>
    <s v="2000SRET"/>
    <s v="20016107"/>
    <s v="Kalpesh Thathagar"/>
    <s v="No"/>
    <s v="daksha.bhalodia@amns.in"/>
    <s v="9879102011"/>
    <s v="21827"/>
    <s v="Dhruv Vyas"/>
    <s v="Anil Matoo"/>
    <s v="Praveen Kuruvalli"/>
    <s v="Dhruv Vyas"/>
    <n v="0"/>
  </r>
  <r>
    <n v="942"/>
    <n v="20009786"/>
    <s v="Rahul Deshpande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West Zone"/>
    <s v="Non Technical Support"/>
    <s v="Sales &amp; Marketing"/>
    <s v="Sales"/>
    <s v="73104003"/>
    <s v="Retail Sales"/>
    <s v="Pune"/>
    <d v="1977-11-22T00:00:00"/>
    <s v="45.09"/>
    <d v="2007-04-04T00:00:00"/>
    <d v="2035-11-30T00:00:00"/>
    <m/>
    <d v="2035-11-30T00:00:00"/>
    <n v="4454"/>
    <s v="B-"/>
    <s v="BCom-2002"/>
    <s v="13.01"/>
    <s v="16.05"/>
    <s v="29.06"/>
    <s v="00048138"/>
    <s v="Hypermart west"/>
    <s v="70258929"/>
    <s v="Sales Manager - Hypermart"/>
    <s v="Hypermart"/>
    <s v="0060110600"/>
    <s v="HMART-Mah-Taloja"/>
    <s v="2000SRET"/>
    <s v="20056847"/>
    <s v="Vikas Chotia"/>
    <s v="No"/>
    <s v="rahul.deshpande@amns.in"/>
    <s v="9819730702"/>
    <s v="21623"/>
    <s v="Dhruv Vyas"/>
    <s v="Anil Matoo"/>
    <s v="Praveen Kuruvalli"/>
    <s v="Dhruv Vyas"/>
    <n v="0"/>
  </r>
  <r>
    <n v="943"/>
    <n v="20009950"/>
    <s v="Bhavin Parekh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Ahmedabad"/>
    <d v="1980-01-15T00:00:00"/>
    <s v="43.08"/>
    <d v="2007-04-23T00:00:00"/>
    <d v="2038-01-31T00:00:00"/>
    <m/>
    <d v="2038-01-31T00:00:00"/>
    <n v="5247"/>
    <s v="O-"/>
    <s v="Diploma-2008 , BE-2008"/>
    <s v="02.09"/>
    <s v="16.04"/>
    <s v="19.02"/>
    <s v="70394840"/>
    <s v="OEM Sales - Gujarat"/>
    <s v="70319462"/>
    <s v="Sales Manager - Hypermart"/>
    <s v="Hypermart"/>
    <s v="0060110200"/>
    <s v="HMART-Gujarat Div"/>
    <s v="2000SRET"/>
    <s v="20001736"/>
    <s v="Manoranjan Jagdhari"/>
    <s v="No"/>
    <s v="bhavin.parekh@amns.in"/>
    <s v="9879109060"/>
    <s v="22983"/>
    <s v="Dhruv Vyas"/>
    <s v="Anil Matoo"/>
    <s v="Praveen Kuruvalli"/>
    <s v="Dhruv Vyas"/>
    <n v="0"/>
  </r>
  <r>
    <n v="944"/>
    <n v="20009970"/>
    <s v="Vijyendra Srivastava"/>
    <s v="AM/NS India"/>
    <s v="Onroll"/>
    <s v="M-5"/>
    <n v="5"/>
    <m/>
    <s v="MM"/>
    <s v="M"/>
    <s v="Hazira"/>
    <n v="1"/>
    <s v="2095"/>
    <x v="4"/>
    <n v="36.01"/>
    <s v="Deepak Sindkar"/>
    <s v="Hrishikesh Kamat"/>
    <n v="7"/>
    <s v="Procurement"/>
    <s v="Raw Materials"/>
    <s v="36"/>
    <s v="Senior Lead - Blacks"/>
    <m/>
    <s v="Bulk Raw Materials"/>
    <s v="Raw Material"/>
    <s v="Coal &amp; Coke"/>
    <s v="Non Technical Support"/>
    <s v="Commercial"/>
    <s v="Procurement"/>
    <s v="73803001"/>
    <s v="Procurement"/>
    <s v="Mumbai"/>
    <d v="1974-09-01T00:00:00"/>
    <s v="49.00"/>
    <d v="2007-04-25T00:00:00"/>
    <d v="2032-08-31T00:00:00"/>
    <m/>
    <d v="2032-08-31T00:00:00"/>
    <n v="3268"/>
    <s v="A-"/>
    <s v="PG Diploma in Management-1998"/>
    <s v="08.07"/>
    <s v="16.04"/>
    <s v="24.11"/>
    <s v="00045894"/>
    <s v="Blacks"/>
    <s v="70275841"/>
    <s v="Senior Lead - Blacks"/>
    <s v="Hazira"/>
    <s v="0031950048"/>
    <s v="HZ-Procurment Depart"/>
    <s v="2000HWO"/>
    <s v="20001577"/>
    <s v="Prakash Thakur"/>
    <s v="No"/>
    <s v="vijyendra.srivastava@amns.in"/>
    <s v="9930134238"/>
    <s v="24362"/>
    <s v="Dhruv Vyas"/>
    <s v="Anil Matoo"/>
    <s v="Praveen Kuruvalli"/>
    <s v="Dhruv Vyas"/>
    <n v="0"/>
  </r>
  <r>
    <n v="946"/>
    <n v="20010065"/>
    <s v="Ashish Mali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Central Zone"/>
    <s v="Non Technical Support"/>
    <s v="Sales &amp; Marketing"/>
    <s v="Sales"/>
    <s v="73104003"/>
    <s v="Retail Sales"/>
    <s v="Indore"/>
    <d v="1979-02-14T00:00:00"/>
    <s v="44.07"/>
    <d v="2007-04-16T00:00:00"/>
    <d v="2037-02-28T00:00:00"/>
    <m/>
    <d v="2037-02-28T00:00:00"/>
    <n v="4910"/>
    <s v="O-"/>
    <s v="PG Diploma in Management-2008"/>
    <s v="04.08"/>
    <s v="16.05"/>
    <s v="21.00"/>
    <s v="00048138"/>
    <s v="Hypermart west"/>
    <s v="70258932"/>
    <s v="Sales Manager - Hypermart"/>
    <s v="Hypermart"/>
    <s v="0060110700"/>
    <s v="HMART-MP-Pithampur"/>
    <s v="2000SRET"/>
    <s v="20056847"/>
    <s v="Vikas Chotia"/>
    <s v="No"/>
    <s v="ashish.mali@amns.in"/>
    <s v="9713300779"/>
    <s v="22509"/>
    <s v="Dhruv Vyas"/>
    <s v="Anil Matoo"/>
    <s v="Praveen Kuruvalli"/>
    <s v="Dhruv Vyas"/>
    <n v="0"/>
  </r>
  <r>
    <n v="965"/>
    <n v="20010531"/>
    <s v="Saptarshi Sah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Plate Sales"/>
    <m/>
    <s v="Sales Steering &amp; BD"/>
    <s v="Sales Steering &amp; BD"/>
    <s v=""/>
    <s v="Non Technical Support"/>
    <s v="Sales &amp; Marketing"/>
    <s v="Sales"/>
    <s v="73104004"/>
    <s v="OEM Sales"/>
    <s v="Mumbai"/>
    <d v="1979-11-02T00:00:00"/>
    <s v="43.10"/>
    <d v="2007-06-11T00:00:00"/>
    <d v="2037-11-30T00:00:00"/>
    <m/>
    <d v="2037-11-30T00:00:00"/>
    <n v="5185"/>
    <s v="A-"/>
    <s v="BTech-2007 , MBA-2007"/>
    <s v="00.05"/>
    <s v="16.03"/>
    <s v="16.08"/>
    <s v="70277912"/>
    <s v="Plate Sales"/>
    <s v="70386090"/>
    <s v="Head Sales Steering, Distribution &amp; BD"/>
    <s v="Hazira"/>
    <s v="0080000001"/>
    <s v="Head-Marketing"/>
    <s v="2000HWO"/>
    <s v="20055084"/>
    <s v="Alain Legrix De La Salle"/>
    <s v="No"/>
    <s v="saptarshi.saha@amns.in"/>
    <s v="9833946115"/>
    <s v="23838"/>
    <s v="Dhruv Vyas"/>
    <s v="Anil Matoo"/>
    <s v="Praveen Kuruvalli"/>
    <s v="Dhruv Vyas"/>
    <n v="0"/>
  </r>
  <r>
    <n v="971"/>
    <n v="20010602"/>
    <s v="Sanjeev Kumar Jha"/>
    <s v="AM/NS India"/>
    <s v="Onroll"/>
    <s v="M-8"/>
    <n v="8"/>
    <m/>
    <s v="JM"/>
    <s v="M"/>
    <s v="Odisha"/>
    <n v="2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Human Resources"/>
    <s v="Human Resources"/>
    <s v="Non Technical Support"/>
    <s v="Human Resources Management"/>
    <s v="Human Resources Management"/>
    <s v="73501002"/>
    <s v="Human Resources Operation"/>
    <s v="Paradeep"/>
    <d v="1974-10-04T00:00:00"/>
    <s v="48.11"/>
    <d v="2007-06-01T00:00:00"/>
    <d v="2032-10-31T00:00:00"/>
    <m/>
    <d v="2032-10-31T00:00:00"/>
    <n v="3329"/>
    <s v="O-"/>
    <s v="BSc-2001 , Bachelor Equivalent-2001"/>
    <s v="09.07"/>
    <s v="16.03"/>
    <s v="25.10"/>
    <s v="70495430"/>
    <s v="Odisha HR Operations"/>
    <s v="70226867"/>
    <s v="Lead - Human Resources"/>
    <s v="Odisha"/>
    <s v="0022030019"/>
    <s v="PDP-HR &amp; Admn"/>
    <s v="2000STORIS"/>
    <s v="20055611"/>
    <s v="Sunila Kumar Das"/>
    <s v="No"/>
    <s v="sanjeev.jha@amns.in"/>
    <s v="7566111174"/>
    <s v="22035"/>
    <s v="Sunila Das"/>
    <s v="Anil Matoo"/>
    <s v="Praveen Kuruvalli"/>
    <s v="Sunila Das"/>
    <n v="0"/>
  </r>
  <r>
    <n v="974"/>
    <n v="20010608"/>
    <s v="Tejas Patel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nventory Plant A"/>
    <m/>
    <s v="Stores &amp; Warehouse"/>
    <s v="Stores &amp; Warehouse"/>
    <s v="Inventory Plant A"/>
    <s v="Non Technical Support"/>
    <s v="Commercial"/>
    <s v="Stores &amp; Warehouse"/>
    <s v="73806001"/>
    <s v="Stores &amp; Warehouse"/>
    <s v="Hazira"/>
    <d v="1987-01-22T00:00:00"/>
    <s v="36.07"/>
    <d v="2007-06-04T00:00:00"/>
    <d v="2045-01-31T00:00:00"/>
    <m/>
    <d v="2045-01-31T00:00:00"/>
    <n v="7804"/>
    <s v="A-"/>
    <s v="Diploma-2006"/>
    <s v=""/>
    <s v="16.03"/>
    <s v="16.03"/>
    <s v="70232287"/>
    <s v="HRC Store &amp; Inventory  &amp; Cataloging Mgt."/>
    <s v="70245137"/>
    <s v="Section Officer - Inventory Plant A"/>
    <s v="Hazira"/>
    <s v="0031950049"/>
    <s v="HZ-Central Stores"/>
    <s v="2000HWO"/>
    <s v="20000948"/>
    <s v="Hitesh Raval"/>
    <s v="No"/>
    <s v="tejas.patel5@amns.in"/>
    <s v="9879102541"/>
    <s v="23390"/>
    <s v="Dhruv Vyas"/>
    <s v="Anil Matoo"/>
    <s v="Praveen Kuruvalli"/>
    <s v="Dhruv Vyas"/>
    <n v="0"/>
  </r>
  <r>
    <n v="978"/>
    <n v="20010626"/>
    <s v="Barot Sachinkumar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fractory Plant- A"/>
    <m/>
    <s v="Stores &amp; Warehouse"/>
    <s v="Stores &amp; Warehouse"/>
    <s v="Refractory A, Receipt -Issue"/>
    <s v="Non Technical Support"/>
    <s v="Commercial"/>
    <s v="Stores &amp; Warehouse"/>
    <s v="73806001"/>
    <s v="Stores &amp; Warehouse"/>
    <s v="Hazira"/>
    <d v="1986-05-31T00:00:00"/>
    <s v="37.03"/>
    <d v="2007-06-01T00:00:00"/>
    <d v="2044-05-31T00:00:00"/>
    <m/>
    <d v="2044-05-31T00:00:00"/>
    <n v="7559"/>
    <s v="B-"/>
    <s v="Diploma-2007"/>
    <s v=""/>
    <s v="16.03"/>
    <s v="16.03"/>
    <s v="00044539"/>
    <s v="Ferroalloy &amp; Refractory Stores"/>
    <s v="70372635"/>
    <s v="Section Officer - Refractory Plant- A"/>
    <s v="Hazira"/>
    <s v="0031950049"/>
    <s v="HZ-Central Stores"/>
    <s v="2000HWO"/>
    <s v="20001240"/>
    <s v="Ambrish Chaturvedi"/>
    <s v="No"/>
    <s v="sachin.barot@amns.in"/>
    <s v="9879102495"/>
    <s v="21177"/>
    <s v="Dhruv Vyas"/>
    <s v="Anil Matoo"/>
    <s v="Praveen Kuruvalli"/>
    <s v="Dhruv Vyas"/>
    <n v="0"/>
  </r>
  <r>
    <n v="1004"/>
    <n v="20010980"/>
    <s v="Kirit Upadhyay"/>
    <s v="AM/NS India"/>
    <s v="Onroll"/>
    <s v="M-8"/>
    <n v="8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HBI Mod 1-6, MH, RHMS, HMM"/>
    <s v="Non Technical Support"/>
    <s v="Operations"/>
    <s v="Operations"/>
    <s v="72103002"/>
    <s v="Operations Planning &amp; Str"/>
    <s v="AM/NS Hazira"/>
    <d v="1985-11-30T00:00:00"/>
    <s v="37.09"/>
    <d v="2007-06-16T00:00:00"/>
    <d v="2043-11-30T00:00:00"/>
    <m/>
    <d v="2043-11-30T00:00:00"/>
    <n v="7376"/>
    <s v="A-"/>
    <s v="Diploma-2014 , BTech-2014"/>
    <s v=""/>
    <s v="16.03"/>
    <s v="16.03"/>
    <s v="00053411"/>
    <s v="Contracts"/>
    <s v="70245082"/>
    <s v="Lead - Contracts"/>
    <s v="Hazira"/>
    <s v="0031950047"/>
    <s v="HZ-Contracts"/>
    <s v="2000HWO"/>
    <s v="20000795"/>
    <s v="Pankaj Chaturvedi"/>
    <s v="No"/>
    <s v="kirit.upadhyay@amns.in"/>
    <s v="9879105693"/>
    <s v="24590"/>
    <s v="Dhruv Vyas"/>
    <s v="Anil Matoo"/>
    <s v="Praveen Kuruvalli"/>
    <s v="Dhruv Vyas"/>
    <n v="0"/>
  </r>
  <r>
    <n v="1010"/>
    <n v="20010998"/>
    <s v="Venkata Raman  Lagadapati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Section Inchrge - Contracts"/>
    <m/>
    <s v="Procurement"/>
    <s v="Procurement"/>
    <s v="Purchase"/>
    <s v="Non Technical Support"/>
    <s v="Operations"/>
    <s v="Plant Operations"/>
    <s v="72103005"/>
    <s v="Shift Operations"/>
    <s v="Vizag"/>
    <d v="1986-08-01T00:00:00"/>
    <s v="37.01"/>
    <d v="2007-06-18T00:00:00"/>
    <d v="2044-07-31T00:00:00"/>
    <m/>
    <d v="2044-07-31T00:00:00"/>
    <n v="7620"/>
    <s v="O-"/>
    <s v="BTech-2007"/>
    <s v=""/>
    <s v="16.03"/>
    <s v="16.03"/>
    <s v="00046540"/>
    <s v="Contracts &amp; Production consumables"/>
    <s v="70487857"/>
    <s v="Section Inchrge - Contracts"/>
    <s v="Vizag"/>
    <s v="0028030019"/>
    <s v="VIZ-Personnel &amp; Admi"/>
    <s v="2000VIZOPS"/>
    <s v="20000200"/>
    <s v="A Venkateswara Rao"/>
    <s v="No"/>
    <s v="venkataraman.lagadapati@amns.in"/>
    <s v="9160881188"/>
    <s v="24661"/>
    <s v="DS Varma"/>
    <s v="Anil Matoo"/>
    <s v="Praveen Kuruvalli"/>
    <s v="Dhruv Vyas"/>
    <n v="0"/>
  </r>
  <r>
    <n v="1058"/>
    <n v="20011898"/>
    <s v="Mohit Meht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Treasury &amp; Systems"/>
    <m/>
    <s v="Treasury &amp; Banking"/>
    <s v="Treasury"/>
    <s v="Treasury"/>
    <s v="Non Technical Support"/>
    <s v="Finance &amp; Accounts"/>
    <s v="Treasury"/>
    <s v="73903001"/>
    <s v="Treasury"/>
    <s v="AM/NS Hazira"/>
    <d v="1984-06-22T00:00:00"/>
    <s v="39.03"/>
    <d v="2007-07-26T00:00:00"/>
    <d v="2042-06-30T00:00:00"/>
    <m/>
    <d v="2042-06-30T00:00:00"/>
    <n v="6858"/>
    <s v="B-"/>
    <s v="PG Diploma in Management-2007"/>
    <s v=""/>
    <s v="16.01"/>
    <s v="16.01"/>
    <s v="72150420"/>
    <s v="Treasury - Hazira"/>
    <s v="70259112"/>
    <s v="Lead - Treasury &amp; Systems"/>
    <s v="Hazira"/>
    <s v="0031950045"/>
    <s v="HZ-Works Accounts-Ha"/>
    <s v="2000HWO"/>
    <s v="20001854"/>
    <s v="Arasappan Thirumaran"/>
    <s v="No"/>
    <s v="mohit.mehta@amns.in"/>
    <s v="9879102245"/>
    <s v="22595"/>
    <s v="Dhruv Vyas"/>
    <s v="Anil Matoo"/>
    <s v="Praveen Kuruvalli"/>
    <s v="Dhruv Vyas"/>
    <n v="0"/>
  </r>
  <r>
    <n v="1059"/>
    <n v="20011904"/>
    <s v="Bhalchandra Vast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– Transaction Banking"/>
    <m/>
    <s v="Treasury &amp; Banking"/>
    <s v="Banking"/>
    <s v="Finance &amp; Accounts"/>
    <s v="Non Technical Support"/>
    <s v="Finance &amp; Accounts"/>
    <s v="Finance &amp; Accounts"/>
    <s v="73901001"/>
    <s v="Finance &amp; Accounts"/>
    <s v="Mumbai"/>
    <d v="1973-02-17T00:00:00"/>
    <s v="50.07"/>
    <d v="2007-07-24T00:00:00"/>
    <d v="2031-02-28T00:00:00"/>
    <m/>
    <d v="2031-02-28T00:00:00"/>
    <n v="2718"/>
    <s v="O-"/>
    <s v="BCom-1993"/>
    <s v="13.04"/>
    <s v="16.01"/>
    <s v="29.06"/>
    <s v="70101920"/>
    <s v="Treasury - Mumbai"/>
    <s v="70258424"/>
    <s v="Sr. Lead – Transaction Banking"/>
    <s v="Hazira"/>
    <s v="0090000028"/>
    <s v="Corporate Steel - Wo"/>
    <s v="2000HWO"/>
    <s v="20000057"/>
    <s v="Vivek Sanil"/>
    <s v="No"/>
    <s v="bhalchandra.vast@amns.in"/>
    <s v="9819731550"/>
    <s v="24652"/>
    <s v="Dhruv Vyas"/>
    <s v="Anil Matoo"/>
    <s v="Praveen Kuruvalli"/>
    <s v="Dhruv Vyas"/>
    <n v="0"/>
  </r>
  <r>
    <n v="1062"/>
    <n v="20011945"/>
    <s v="Raghavendra Rao Yerramsetty"/>
    <s v="AM/NS India"/>
    <s v="Onroll"/>
    <s v="M-5"/>
    <n v="5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Lead – Procurement, Contracts, Stores"/>
    <m/>
    <s v="Procurement"/>
    <s v="New Projects &amp; Process Modification"/>
    <s v="New Projects &amp; Process Modification"/>
    <s v="Non Technical Support"/>
    <s v="Projects"/>
    <s v="Projects"/>
    <s v="72103036"/>
    <s v="Projects"/>
    <s v="Vizag"/>
    <d v="1986-03-03T00:00:00"/>
    <s v="37.06"/>
    <d v="2007-07-16T00:00:00"/>
    <d v="2044-03-31T00:00:00"/>
    <m/>
    <d v="2044-03-31T00:00:00"/>
    <n v="7498"/>
    <s v="O-"/>
    <s v="BTech-2007"/>
    <s v=""/>
    <s v="16.02"/>
    <s v="16.02"/>
    <s v="72150139"/>
    <s v="Procurement, Contract &amp; Stores - Vizag"/>
    <s v="70259001"/>
    <s v="Lead – Procurement, Contracts, Stores"/>
    <s v="Vizag"/>
    <s v="0028030019"/>
    <s v="VIZ-Personnel &amp; Admi"/>
    <s v="2000VIZOPS"/>
    <s v="20055090"/>
    <s v="Hrishikesh Kamat"/>
    <s v="No"/>
    <s v="raghavendra.rao@amns.in"/>
    <s v="9966028577"/>
    <s v="23716"/>
    <s v="DS Varma"/>
    <s v="Anil Matoo"/>
    <s v="Praveen Kuruvalli"/>
    <s v="Dhruv Vyas"/>
    <n v="0"/>
  </r>
  <r>
    <n v="1065"/>
    <n v="20011972"/>
    <s v="Rajita Bagkar"/>
    <s v="AM/NS India"/>
    <s v="Onroll"/>
    <s v="M-5"/>
    <n v="5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Section Head - Banking &amp; Treasury"/>
    <m/>
    <s v="Treasury &amp; Banking"/>
    <s v="Risk &amp; Insurance"/>
    <s v="Long Term Finance &amp; Forex"/>
    <s v="Non Technical Support"/>
    <s v="Finance &amp; Accounts"/>
    <s v="Treasury"/>
    <s v="73903001"/>
    <s v="Treasury"/>
    <s v="Mumbai"/>
    <d v="1978-04-27T00:00:00"/>
    <s v="45.04"/>
    <d v="2007-08-01T00:00:00"/>
    <d v="2036-04-30T00:00:00"/>
    <m/>
    <d v="2036-04-30T00:00:00"/>
    <n v="4606"/>
    <s v="A-"/>
    <s v="BCom-2003 , MMS-2003"/>
    <s v="03.09"/>
    <s v="16.01"/>
    <s v="19.10"/>
    <s v="00050553"/>
    <s v="Banking &amp; Treasury"/>
    <s v="70386092"/>
    <s v="Section Head - Banking &amp; Treasury"/>
    <s v="Corporate"/>
    <s v="0090000028"/>
    <s v="Corporate Steel - Wo"/>
    <s v="2000CS"/>
    <s v="20000870"/>
    <s v="Balajee M"/>
    <s v="No"/>
    <s v="rajita.bagkar@amns.in"/>
    <s v="9819730767"/>
    <s v="21133"/>
    <s v="Dhruv Vyas"/>
    <s v="Anil Matoo"/>
    <s v="Praveen Kuruvalli"/>
    <s v="Dhruv Vyas"/>
    <n v="0"/>
  </r>
  <r>
    <n v="1074"/>
    <n v="20012203"/>
    <s v="Dhirendra Singh Rajawat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Procurement"/>
    <m/>
    <s v="Capex Procurement"/>
    <s v="Capex Procurement"/>
    <s v=""/>
    <s v="Non Technical Support"/>
    <s v="Projects"/>
    <s v="Projects Coordination"/>
    <s v="72103038"/>
    <s v="Projects Coordination"/>
    <s v="Hazira"/>
    <d v="1987-11-03T00:00:00"/>
    <s v="35.10"/>
    <d v="2007-06-28T00:00:00"/>
    <d v="2045-11-30T00:00:00"/>
    <m/>
    <d v="2045-11-30T00:00:00"/>
    <n v="8107"/>
    <s v="O-"/>
    <s v="Diploma-2013 , BTech-2013"/>
    <s v=""/>
    <s v="16.02"/>
    <s v="16.02"/>
    <s v="00049344"/>
    <s v="Capex Procurement"/>
    <s v="70372646"/>
    <s v="Lead – Capex Procurement"/>
    <s v="Hazira"/>
    <s v="0031950059"/>
    <s v="HZ-Hazira Project"/>
    <s v="2000HWO"/>
    <s v="20055728"/>
    <s v="Mahebub Vahora"/>
    <s v="No"/>
    <s v="dhirendra.rajawat@amns.in"/>
    <s v="9909902354"/>
    <s v="23635"/>
    <s v="Dhruv Vyas"/>
    <s v="Anil Matoo"/>
    <s v="Praveen Kuruvalli"/>
    <s v="Dhruv Vyas"/>
    <n v="0"/>
  </r>
  <r>
    <n v="1077"/>
    <n v="20012229"/>
    <s v="Bhaumikkumar Shah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r. Analyst - Market Intelligence"/>
    <m/>
    <s v="Sales Steering &amp; BD"/>
    <s v="Market Intelligence"/>
    <s v="Internal Audit"/>
    <s v="Non Technical Support"/>
    <s v="Assurance &amp; Cost Control"/>
    <s v="Assurance &amp; Cost Control"/>
    <s v="73401001"/>
    <s v="Assurance &amp; Cost Control"/>
    <s v="Mumbai"/>
    <d v="1986-02-06T00:00:00"/>
    <s v="37.07"/>
    <d v="2007-06-29T00:00:00"/>
    <d v="2044-02-29T00:00:00"/>
    <m/>
    <d v="2044-02-29T00:00:00"/>
    <n v="7467"/>
    <s v="A-"/>
    <s v="BE-2007"/>
    <s v=""/>
    <s v="16.02"/>
    <s v="16.02"/>
    <s v="72150188"/>
    <s v="Market Intelligence &amp; Pricing"/>
    <s v="70372405"/>
    <s v="Sr. Analyst - Market Intelligence"/>
    <s v="Corporate"/>
    <s v="0080000001"/>
    <s v="Head-Marketing"/>
    <s v="2000CS"/>
    <s v="20008774"/>
    <s v="Ajay Somasundaran"/>
    <s v="No"/>
    <s v="bhaumik.shah@amns.in"/>
    <s v="9909902379"/>
    <s v="24000"/>
    <s v="Dhruv Vyas"/>
    <s v="Anil Matoo"/>
    <s v="Praveen Kuruvalli"/>
    <s v="Dhruv Vyas"/>
    <n v="0"/>
  </r>
  <r>
    <n v="1084"/>
    <n v="20012267"/>
    <s v="Pooja Sharma"/>
    <s v="AM/NS India"/>
    <s v="Onroll"/>
    <s v="M-7"/>
    <n v="7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Banking &amp; MIS"/>
    <m/>
    <s v="Treasury &amp; Banking"/>
    <s v="Forex &amp; Risk Management"/>
    <s v="RBI Matters"/>
    <s v="Non Technical Support"/>
    <s v="Finance &amp; Accounts"/>
    <s v="Treasury"/>
    <s v="73903001"/>
    <s v="Treasury"/>
    <s v="Mumbai"/>
    <d v="1984-09-25T00:00:00"/>
    <s v="38.11"/>
    <d v="2007-08-13T00:00:00"/>
    <d v="2042-09-30T00:00:00"/>
    <m/>
    <d v="2042-09-30T00:00:00"/>
    <n v="6950"/>
    <s v="B-"/>
    <s v="BCom-2007 , MBA-2007"/>
    <s v=""/>
    <s v="16.01"/>
    <s v="16.01"/>
    <s v="70447071"/>
    <s v="Insurance &amp; Financial Risk"/>
    <s v="70226817"/>
    <s v="Lead - Banking &amp; MIS"/>
    <s v="Corporate"/>
    <s v="0090000028"/>
    <s v="Corporate Steel - Wo"/>
    <s v="2000CS"/>
    <s v="20017504"/>
    <s v="Appi Reddy Guttikonda"/>
    <s v="No"/>
    <s v="pooja.sharma@amns.in"/>
    <s v="9819731599"/>
    <s v="24106"/>
    <s v="Dhruv Vyas"/>
    <s v="Anil Matoo"/>
    <s v="Praveen Kuruvalli"/>
    <s v="Dhruv Vyas"/>
    <n v="0"/>
  </r>
  <r>
    <n v="1110"/>
    <n v="20012680"/>
    <s v="Dhiraj Bachani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Ahmedabad"/>
    <d v="1985-08-26T00:00:00"/>
    <s v="38.00"/>
    <d v="2007-08-27T00:00:00"/>
    <d v="2043-08-31T00:00:00"/>
    <m/>
    <d v="2043-08-31T00:00:00"/>
    <n v="7285"/>
    <s v="B-"/>
    <s v="BTech-2007"/>
    <s v=""/>
    <s v="16.00"/>
    <s v="16.00"/>
    <s v="70394840"/>
    <s v="OEM Sales - Gujarat"/>
    <s v="70319504"/>
    <s v="Sales Manager - Hypermart"/>
    <s v="Hypermart"/>
    <s v="0060110200"/>
    <s v="HMART-Gujarat Div"/>
    <s v="2000SRET"/>
    <s v="20001736"/>
    <s v="Manoranjan Jagdhari"/>
    <s v="No"/>
    <s v="dhiraj.bachani@amns.in"/>
    <s v="9879597549"/>
    <s v="21122"/>
    <s v="Dhruv Vyas"/>
    <s v="Anil Matoo"/>
    <s v="Praveen Kuruvalli"/>
    <s v="Dhruv Vyas"/>
    <n v="0"/>
  </r>
  <r>
    <n v="1131"/>
    <n v="20013199"/>
    <s v="Vivek Vishwakarm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Automotive Sales"/>
    <m/>
    <s v="Other West"/>
    <s v="Auto"/>
    <s v=""/>
    <s v="Non Technical Support"/>
    <s v="Sales &amp; Marketing"/>
    <s v="Sales"/>
    <s v="73104004"/>
    <s v="OEM Sales"/>
    <s v="Indore"/>
    <d v="1978-03-12T00:00:00"/>
    <s v="45.06"/>
    <d v="2007-09-29T00:00:00"/>
    <d v="2036-03-31T00:00:00"/>
    <m/>
    <d v="2036-03-31T00:00:00"/>
    <n v="4576"/>
    <s v="A-"/>
    <s v="BE-2005 , MBA-2005"/>
    <s v="03.03"/>
    <s v="15.11"/>
    <s v="19.02"/>
    <s v="70495309"/>
    <s v="Sales West Zone"/>
    <s v="70398868"/>
    <s v="KAM - Automotive Sales"/>
    <s v="Hazira"/>
    <s v="0031950057"/>
    <s v="HZ-HRC - Marketing"/>
    <s v="2000HWO"/>
    <s v="20047683"/>
    <s v="Virat Vij"/>
    <s v="No"/>
    <s v="vivek.vishwakarma@amns.in"/>
    <s v="9819731565"/>
    <s v="24705"/>
    <s v="Dhruv Vyas"/>
    <s v="Anil Matoo"/>
    <s v="Praveen Kuruvalli"/>
    <s v="Dhruv Vyas"/>
    <n v="0"/>
  </r>
  <r>
    <n v="1149"/>
    <n v="20014487"/>
    <s v="Chandra Sekhar Senevada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Engineer  - Procurement"/>
    <m/>
    <s v="Procurement"/>
    <s v="Purchase"/>
    <s v="Purchase"/>
    <s v="Non Technical Support"/>
    <s v="Commercial"/>
    <s v="Purchase"/>
    <s v="73804001"/>
    <s v="Purchase"/>
    <s v="Vizag"/>
    <d v="1983-10-21T00:00:00"/>
    <s v="39.10"/>
    <d v="2007-12-20T00:00:00"/>
    <d v="2041-10-31T00:00:00"/>
    <m/>
    <d v="2041-10-31T00:00:00"/>
    <n v="6616"/>
    <s v="B-"/>
    <s v="BE-2005"/>
    <s v="00.10"/>
    <s v="15.09"/>
    <s v="16.07"/>
    <s v="70301353"/>
    <s v="Procurement - Vizag &amp; Chitrakonda"/>
    <s v="70259004"/>
    <s v="Engineer  - Procurement"/>
    <s v="Vizag"/>
    <s v="0028030019"/>
    <s v="VIZ-Personnel &amp; Admi"/>
    <s v="2000VIZOPS"/>
    <s v="20000200"/>
    <s v="A Venkateswara Rao"/>
    <s v="No"/>
    <s v="chandra.sekhar@amns.in"/>
    <s v="9581663366"/>
    <s v="21342"/>
    <s v="DS Varma"/>
    <s v="Anil Matoo"/>
    <s v="Praveen Kuruvalli"/>
    <s v="Dhruv Vyas"/>
    <n v="0"/>
  </r>
  <r>
    <n v="1151"/>
    <n v="20015183"/>
    <s v="Raggavendran Subbarathnam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fractory Plant-A"/>
    <m/>
    <s v="Stores &amp; Warehouse"/>
    <s v="Stores &amp; Warehouse"/>
    <s v="Refractory B, Receipt -Issue"/>
    <s v="Non Technical Support"/>
    <s v="Commercial"/>
    <s v="Stores &amp; Warehouse"/>
    <s v="73806001"/>
    <s v="Stores &amp; Warehouse"/>
    <s v="Hazira"/>
    <d v="1978-03-01T00:00:00"/>
    <s v="45.06"/>
    <d v="2007-11-12T00:00:00"/>
    <d v="2036-02-29T00:00:00"/>
    <m/>
    <d v="2036-02-29T00:00:00"/>
    <n v="4545"/>
    <s v="AB-"/>
    <s v="BCom-1998"/>
    <s v="05.05"/>
    <s v="15.10"/>
    <s v="21.03"/>
    <s v="00044539"/>
    <s v="Ferroalloy &amp; Refractory Stores"/>
    <s v="70319802"/>
    <s v="Section Officer - Refractory Plant-A"/>
    <s v="Hazira"/>
    <s v="0031950049"/>
    <s v="HZ-Central Stores"/>
    <s v="2000HWO"/>
    <s v="20010626"/>
    <s v="Barot Sachinkumar"/>
    <s v="No"/>
    <s v="raggavendran.subbarathnam@amns.in"/>
    <s v="9909901663"/>
    <s v="24363"/>
    <s v="Dhruv Vyas"/>
    <s v="Anil Matoo"/>
    <s v="Praveen Kuruvalli"/>
    <s v="Dhruv Vyas"/>
    <n v="0"/>
  </r>
  <r>
    <n v="1156"/>
    <n v="20015864"/>
    <s v="Mayank Desai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GST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74-07-13T00:00:00"/>
    <s v="49.02"/>
    <d v="2008-01-24T00:00:00"/>
    <d v="2032-07-31T00:00:00"/>
    <m/>
    <d v="2032-07-31T00:00:00"/>
    <n v="3237"/>
    <s v="O-"/>
    <s v="PG Diploma-2009 , MCom-2009 , Diploma-19"/>
    <s v="11.09"/>
    <s v="15.07"/>
    <s v="27.04"/>
    <s v="00044379"/>
    <s v="GST - Hazira Assets"/>
    <s v="70259113"/>
    <s v="Sr. lead - GST"/>
    <s v="Hazira"/>
    <s v="0031950044"/>
    <s v="HZ-Commercial Taxati"/>
    <s v="2000HWO"/>
    <s v="20055962"/>
    <s v="Navin Kewalramani"/>
    <s v="No"/>
    <s v="mayank.desai@amns.in"/>
    <s v="9909902062"/>
    <s v="21592"/>
    <s v="Dhruv Vyas"/>
    <s v="Anil Matoo"/>
    <s v="Praveen Kuruvalli"/>
    <s v="Dhruv Vyas"/>
    <n v="0"/>
  </r>
  <r>
    <n v="1158"/>
    <n v="20016058"/>
    <s v="Ambreen Qadir"/>
    <s v="AM/NS India"/>
    <s v="Onroll"/>
    <s v="M-5"/>
    <n v="5"/>
    <m/>
    <s v="M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"/>
    <m/>
    <s v="North"/>
    <s v="OEM"/>
    <s v=""/>
    <s v="Non Technical Support"/>
    <s v="Sales &amp; Marketing"/>
    <s v="Sales"/>
    <s v="73104004"/>
    <s v="OEM Sales"/>
    <s v="Noida"/>
    <d v="1978-06-09T00:00:00"/>
    <s v="45.03"/>
    <d v="2008-02-04T00:00:00"/>
    <d v="2036-06-30T00:00:00"/>
    <m/>
    <d v="2036-06-30T00:00:00"/>
    <n v="4667"/>
    <s v=""/>
    <s v="BE-2004 , MBA-2004"/>
    <s v="02.01"/>
    <s v="15.07"/>
    <s v="17.08"/>
    <s v="72150181"/>
    <s v="Sales North Zone"/>
    <s v="70334351"/>
    <s v="Sr. KAM - OEM Sales"/>
    <s v="Hazira"/>
    <s v="0031950057"/>
    <s v="HZ-HRC - Marketing"/>
    <s v="2000HWO"/>
    <s v="20002920"/>
    <s v="Sudhir Sharma"/>
    <s v="No"/>
    <s v="ambreen.qadir@amns.in"/>
    <s v="9703215456"/>
    <s v="23602"/>
    <s v="Dhruv Vyas"/>
    <s v="Anil Matoo"/>
    <s v="Praveen Kuruvalli"/>
    <s v="Dhruv Vyas"/>
    <n v="0"/>
  </r>
  <r>
    <n v="1159"/>
    <n v="20016107"/>
    <s v="Kalpesh Thathagar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Payable"/>
    <m/>
    <s v="Working Capital"/>
    <s v="Accounts Payable"/>
    <s v="Bills Payable"/>
    <s v="Non Technical Support"/>
    <s v="Finance &amp; Accounts"/>
    <s v="Finance &amp; Accounts"/>
    <s v="73901002"/>
    <s v="Corporate Accounts &amp; Audi"/>
    <s v="AM/NS Hazira"/>
    <d v="1977-10-05T00:00:00"/>
    <s v="45.11"/>
    <d v="2008-02-01T00:00:00"/>
    <d v="2035-10-31T00:00:00"/>
    <m/>
    <d v="2035-10-31T00:00:00"/>
    <n v="4424"/>
    <s v="A-"/>
    <s v="CA Inter-2003"/>
    <s v="04.06"/>
    <s v="15.07"/>
    <s v="20.01"/>
    <s v="00043794"/>
    <s v="Accounts Payable - 1"/>
    <s v="70258859"/>
    <s v="Sr. Lead - Accounts Payable"/>
    <s v="Hazira"/>
    <s v="0031950045"/>
    <s v="HZ-Works Accounts-Ha"/>
    <s v="2000HWO"/>
    <s v="20001076"/>
    <s v="Bhavesh Modi"/>
    <s v="No"/>
    <s v="kalpesh.thathagar@amns.in"/>
    <s v="9909902066"/>
    <s v="24514"/>
    <s v="Dhruv Vyas"/>
    <s v="Anil Matoo"/>
    <s v="Praveen Kuruvalli"/>
    <s v="Dhruv Vyas"/>
    <n v="0"/>
  </r>
  <r>
    <n v="1161"/>
    <n v="20016382"/>
    <s v="Kunal Bhardwaj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Value Recovery"/>
    <m/>
    <s v="Sales Steering &amp; BD"/>
    <s v="NCO"/>
    <s v=""/>
    <s v="Non Technical Support"/>
    <s v="Sales &amp; Marketing"/>
    <s v="Sales"/>
    <s v="73104003"/>
    <s v="Retail Sales"/>
    <s v="Ahmedabad"/>
    <d v="1973-05-12T00:00:00"/>
    <s v="50.04"/>
    <d v="2008-02-25T00:00:00"/>
    <d v="2031-05-31T00:00:00"/>
    <m/>
    <d v="2031-05-31T00:00:00"/>
    <n v="2810"/>
    <s v="O-"/>
    <s v="MBA-2005"/>
    <s v="10.07"/>
    <s v="15.06"/>
    <s v="26.02"/>
    <s v="70265035"/>
    <s v="Value Recovery"/>
    <s v="70258498"/>
    <s v="Head - Value Recovery"/>
    <s v="Hazira"/>
    <s v="0060110300"/>
    <s v="HMART-Guj-Ahemedabad"/>
    <s v="2000HWO"/>
    <s v="20010531"/>
    <s v="Saptarshi Saha"/>
    <s v="No"/>
    <s v="kunal.bhardwaj@amns.in"/>
    <s v="9874810107"/>
    <s v="21230"/>
    <s v="Dhruv Vyas"/>
    <s v="Anil Matoo"/>
    <s v="Praveen Kuruvalli"/>
    <s v="Dhruv Vyas"/>
    <n v="0"/>
  </r>
  <r>
    <n v="1162"/>
    <n v="20016406"/>
    <s v="Manjit Shah"/>
    <s v="AM/NS India"/>
    <s v="Onroll"/>
    <s v="M-6"/>
    <n v="6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Cluster Head – Human Resources"/>
    <m/>
    <s v="Human Resources"/>
    <s v="Human Resources"/>
    <s v="Human Resources"/>
    <s v="Non Technical Support"/>
    <s v="Human Resources Management"/>
    <s v="Compensation &amp; Benefits"/>
    <s v="73504001"/>
    <s v="Compensation &amp; Benefits"/>
    <s v="AM/NS Hazira"/>
    <d v="1985-05-15T00:00:00"/>
    <s v="38.04"/>
    <d v="2008-02-26T00:00:00"/>
    <d v="2043-05-31T00:00:00"/>
    <m/>
    <d v="2043-05-31T00:00:00"/>
    <n v="7193"/>
    <s v="B-"/>
    <s v="BCom-2010 , PG Diploma in Management-201"/>
    <s v="02.04"/>
    <s v="15.06"/>
    <s v="17.11"/>
    <s v="70376383"/>
    <s v="Hazira HR Operations - 3"/>
    <s v="70490221"/>
    <s v="Cluster Head – Human Resources"/>
    <s v="Hazira"/>
    <s v="0031950061"/>
    <s v="HZ-Human Resource"/>
    <s v="2000HWO"/>
    <s v="20000083"/>
    <s v="Anil Matoo"/>
    <s v="No"/>
    <s v="manjit.shah@amns.in"/>
    <s v="9930136990"/>
    <s v="24020"/>
    <s v="Dhruv Vyas"/>
    <s v="Anil Matoo"/>
    <s v="Praveen Kuruvalli"/>
    <s v="Dhruv Vyas"/>
    <n v="0"/>
  </r>
  <r>
    <n v="1163"/>
    <n v="20016604"/>
    <s v="Punit Verm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Plate Mill issue Elec-Mech, Paints-Yard development &amp; Mgt"/>
    <s v="Non Technical Support"/>
    <s v="Commercial"/>
    <s v="Stores &amp; Warehouse"/>
    <s v="73806001"/>
    <s v="Stores &amp; Warehouse"/>
    <s v="Hazira"/>
    <d v="1968-10-05T00:00:00"/>
    <s v="54.11"/>
    <d v="2008-03-17T00:00:00"/>
    <d v="2026-10-31T00:00:00"/>
    <m/>
    <d v="2026-10-31T00:00:00"/>
    <n v="1137"/>
    <s v="AB-"/>
    <s v="Diploma-2009 , MBA-2009 , BA-2000"/>
    <s v="10.11"/>
    <s v="15.06"/>
    <s v="26.05"/>
    <s v="00053276"/>
    <s v="Issue/Shifting - Plant B"/>
    <s v="72152898"/>
    <s v="Section Officer - Issue/Shifting"/>
    <s v="Hazira"/>
    <s v="0031950049"/>
    <s v="HZ-Central Stores"/>
    <s v="2000HWO"/>
    <s v="20000948"/>
    <s v="Hitesh Raval"/>
    <s v="No"/>
    <s v="punit.verma@amns.in"/>
    <s v="9909902191"/>
    <s v="24682"/>
    <s v="Dhruv Vyas"/>
    <s v="Anil Matoo"/>
    <s v="Praveen Kuruvalli"/>
    <s v="Dhruv Vyas"/>
    <n v="0"/>
  </r>
  <r>
    <n v="1165"/>
    <n v="20016749"/>
    <s v="Heena Patel"/>
    <s v="AM/NS India"/>
    <s v="Onroll"/>
    <s v="M-9"/>
    <n v="9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Officer - Proc Electrical"/>
    <m/>
    <s v="Procurement MRO Hazira"/>
    <s v="Procurement"/>
    <s v="Electrical Switch Gears and power systems - Hazira Complex"/>
    <s v="Non Technical Support"/>
    <s v="Sales &amp; Marketing"/>
    <s v="CRM"/>
    <s v="73105003"/>
    <s v="Customer Service"/>
    <s v="AM/NS Hazira"/>
    <d v="1985-09-10T00:00:00"/>
    <s v="38.00"/>
    <d v="2008-03-07T00:00:00"/>
    <d v="2043-09-30T00:00:00"/>
    <m/>
    <d v="2043-09-30T00:00:00"/>
    <n v="7315"/>
    <s v="A-"/>
    <s v="Diploma-2006"/>
    <s v=""/>
    <s v="15.06"/>
    <s v="15.06"/>
    <s v="00044546"/>
    <s v="Procurement Electrical"/>
    <s v="70339996"/>
    <s v="Officer - Proc Electrical"/>
    <s v="Hazira"/>
    <s v="0031950048"/>
    <s v="HZ-Procurment Depart"/>
    <s v="2000HWO"/>
    <s v="20000637"/>
    <s v="Kedar Rajwade"/>
    <s v="No"/>
    <s v="heena.patel@amns.in"/>
    <s v="9879102361"/>
    <s v="23168"/>
    <s v="Dhruv Vyas"/>
    <s v="Anil Matoo"/>
    <s v="Praveen Kuruvalli"/>
    <s v="Dhruv Vyas"/>
    <n v="0"/>
  </r>
  <r>
    <n v="1168"/>
    <n v="20016767"/>
    <s v="Raghavan Venkatachalam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- Automotive Sales &amp; Service Centes"/>
    <m/>
    <s v="Auto"/>
    <s v="Auto"/>
    <s v=""/>
    <s v="Non Technical Support"/>
    <s v="Sales &amp; Marketing"/>
    <s v="Sales"/>
    <s v="73104004"/>
    <s v="OEM Sales"/>
    <s v="Mumbai"/>
    <d v="1971-12-01T00:00:00"/>
    <s v="51.09"/>
    <d v="2008-03-27T00:00:00"/>
    <d v="2029-11-30T00:00:00"/>
    <m/>
    <d v="2029-11-30T00:00:00"/>
    <n v="2263"/>
    <s v="A+"/>
    <s v="BE-1997 , MBA-1997"/>
    <s v="10.01"/>
    <s v="15.05"/>
    <s v="25.06"/>
    <s v="70343195"/>
    <s v="Automotive Sales &amp; Service Centers"/>
    <s v="70336269"/>
    <s v="Head- Automotive Sales &amp; Service Centes"/>
    <s v="Hazira"/>
    <s v="0031950057"/>
    <s v="HZ-HRC - Marketing"/>
    <s v="2000HWO"/>
    <s v="20007104"/>
    <s v="Ranjan Dhar"/>
    <s v="No"/>
    <s v="raghavan.venkat@amns.in"/>
    <s v="9819730760"/>
    <s v="24601"/>
    <s v="Dhruv Vyas"/>
    <s v="Anil Matoo"/>
    <s v="Praveen Kuruvalli"/>
    <s v="Dhruv Vyas"/>
    <n v="0"/>
  </r>
  <r>
    <n v="1183"/>
    <n v="20017504"/>
    <s v="Appi Reddy Guttikonda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Chief Risk Officer"/>
    <m/>
    <s v="Risk &amp; Insurance"/>
    <s v="Risk &amp; Insurance"/>
    <s v="Corporate Finance &amp; Risk &amp; Insurance"/>
    <s v="Non Technical Support"/>
    <s v="Finance &amp; Accounts"/>
    <s v="Finance &amp; Accounts"/>
    <s v="73901001"/>
    <s v="Finance &amp; Accounts"/>
    <s v="Mumbai"/>
    <d v="1966-04-24T00:00:00"/>
    <s v="57.04"/>
    <d v="2008-04-02T00:00:00"/>
    <d v="2024-04-30T00:00:00"/>
    <m/>
    <d v="2024-04-30T00:00:00"/>
    <n v="223"/>
    <s v="B-"/>
    <s v="Certificate-2000 , MBA-2000 , PG Diploma"/>
    <s v="17.06"/>
    <s v="15.05"/>
    <s v="32.11"/>
    <s v="70447071"/>
    <s v="Insurance &amp; Financial Risk"/>
    <s v="70375801"/>
    <s v="Chief Risk Officer"/>
    <s v="Corporate"/>
    <s v="0090000028"/>
    <s v="Corporate Steel - Wo"/>
    <s v="2000CS"/>
    <s v="20057933"/>
    <s v="Akiyo Omori"/>
    <s v="No"/>
    <s v="appireddy.guttikonda@amns.in"/>
    <s v="9833946401"/>
    <s v="21886"/>
    <s v="Dhruv Vyas"/>
    <s v="Anil Matoo"/>
    <s v="Praveen Kuruvalli"/>
    <s v="Dhruv Vyas"/>
    <n v="0"/>
  </r>
  <r>
    <n v="1184"/>
    <n v="20017569"/>
    <s v="Girija Das"/>
    <s v="AM/NS India"/>
    <s v="Onroll"/>
    <s v="M-6"/>
    <n v="6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Buyer - Dabuna"/>
    <m/>
    <s v="Procurement"/>
    <s v="Procurement"/>
    <s v="Procurement"/>
    <s v="Non Technical Support"/>
    <s v="Operations"/>
    <s v="Plant Operations"/>
    <s v="72103005"/>
    <s v="Shift Operations"/>
    <s v="Dabuna"/>
    <d v="1980-05-17T00:00:00"/>
    <s v="43.04"/>
    <d v="2008-04-11T00:00:00"/>
    <d v="2038-05-31T00:00:00"/>
    <m/>
    <d v="2038-05-31T00:00:00"/>
    <n v="5367"/>
    <s v=""/>
    <s v="BTech-2008 , BTech-2008"/>
    <s v="09.03"/>
    <s v="15.05"/>
    <s v="24.08"/>
    <s v="70494404"/>
    <s v="Procurement - Dabuna"/>
    <s v="70326782"/>
    <s v="Buyer - Dabuna"/>
    <s v="Odisha"/>
    <s v="0022010019"/>
    <s v="DBN-Benf-HR/Admin"/>
    <s v="2000STORIS"/>
    <s v="20055692"/>
    <s v="Rajiv Ranjan"/>
    <s v="No"/>
    <s v="girija.das@amns.in"/>
    <s v="9437058486"/>
    <s v="21518"/>
    <s v="Sunila Das"/>
    <s v="Anil Matoo"/>
    <s v="Praveen Kuruvalli"/>
    <s v="Sunila Das"/>
    <n v="0"/>
  </r>
  <r>
    <n v="1188"/>
    <n v="20018249"/>
    <s v="Mahendra Naxan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Other West"/>
    <s v="OEM"/>
    <s v=""/>
    <s v="Non Technical Support"/>
    <s v="Sales &amp; Marketing"/>
    <s v="Sales"/>
    <s v="73104004"/>
    <s v="OEM Sales"/>
    <s v="Pune"/>
    <d v="1970-04-29T00:00:00"/>
    <s v="53.04"/>
    <d v="2008-05-06T00:00:00"/>
    <d v="2028-04-30T00:00:00"/>
    <m/>
    <d v="2028-04-30T00:00:00"/>
    <n v="1684"/>
    <s v="A-"/>
    <s v="BE-2008 , MBA-2008"/>
    <s v="16.08"/>
    <s v="15.04"/>
    <s v="32.00"/>
    <s v="70495309"/>
    <s v="Sales West Zone"/>
    <s v="70334290"/>
    <s v="KAM - OEM Sales"/>
    <s v="Hazira"/>
    <s v="0031581982"/>
    <s v="PLM-Marketing"/>
    <s v="2000HWO"/>
    <s v="20047683"/>
    <s v="Virat Vij"/>
    <s v="No"/>
    <s v="mahendra.naxane@amns.in"/>
    <s v="9923200850"/>
    <s v="22818"/>
    <s v="Dhruv Vyas"/>
    <s v="Anil Matoo"/>
    <s v="Praveen Kuruvalli"/>
    <s v="Dhruv Vyas"/>
    <n v="0"/>
  </r>
  <r>
    <n v="1193"/>
    <n v="20018700"/>
    <s v="Srinivasan Kamalakannan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Compliance S&amp;M"/>
    <m/>
    <s v="South"/>
    <s v="Auto"/>
    <s v="South Zone"/>
    <s v="Non Technical Support"/>
    <s v="Sales &amp; Marketing"/>
    <s v="Sales"/>
    <s v="73104003"/>
    <s v="Retail Sales"/>
    <s v="Chennai"/>
    <d v="1980-02-22T00:00:00"/>
    <s v="43.06"/>
    <d v="2008-06-06T00:00:00"/>
    <d v="2038-02-28T00:00:00"/>
    <m/>
    <d v="2038-02-28T00:00:00"/>
    <n v="5275"/>
    <s v="O-"/>
    <s v="BE-2006 , MBA-2006"/>
    <s v="04.02"/>
    <s v="15.03"/>
    <s v="19.05"/>
    <s v="00052474"/>
    <s v="KAM Automotive Sales - South"/>
    <s v="70320470"/>
    <s v="Sr. KAM – Automotive Sales"/>
    <s v="Hypermart"/>
    <s v="0060140300"/>
    <s v="HMART-Kar-Bangolre"/>
    <s v="2000SRET"/>
    <s v="20000909"/>
    <s v="Murali Krishna Chunduru"/>
    <s v="No"/>
    <s v="kamal.kannan@amns.in"/>
    <s v="9884069563"/>
    <s v="22117"/>
    <s v="Dhruv Vyas"/>
    <s v="Anil Matoo"/>
    <s v="Praveen Kuruvalli"/>
    <s v="Dhruv Vyas"/>
    <n v="0"/>
  </r>
  <r>
    <n v="1194"/>
    <n v="20018855"/>
    <s v="Ravikanth Reddy Yarkareddy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Section Engineer - Procurement"/>
    <m/>
    <s v="Procurement"/>
    <s v="Procurement"/>
    <s v="Procurement"/>
    <s v="Non Technical Support"/>
    <s v="Operations"/>
    <s v="Plant Operations"/>
    <s v="72103005"/>
    <s v="Shift Operations"/>
    <s v="Vizag"/>
    <d v="1985-09-03T00:00:00"/>
    <s v="38.00"/>
    <d v="2008-06-02T00:00:00"/>
    <d v="2043-09-30T00:00:00"/>
    <m/>
    <d v="2043-09-30T00:00:00"/>
    <n v="7315"/>
    <s v="AB-"/>
    <s v="BE-2014 , Diploma-2014 , BSc-2006"/>
    <s v="01.09"/>
    <s v="15.03"/>
    <s v="17.00"/>
    <s v="00046540"/>
    <s v="Contracts &amp; Production consumables"/>
    <s v="70487841"/>
    <s v="Section Engineer - Procurement"/>
    <s v="Vizag"/>
    <s v="0028030019"/>
    <s v="VIZ-Personnel &amp; Admi"/>
    <s v="2000VIZOPS"/>
    <s v="20010998"/>
    <s v="Venkata Raman  Lagadapati"/>
    <s v="No"/>
    <s v="ravikanth.reddy@amns.in"/>
    <s v="9885017475"/>
    <s v="23766"/>
    <s v="DS Varma"/>
    <s v="Anil Matoo"/>
    <s v="Praveen Kuruvalli"/>
    <s v="Dhruv Vyas"/>
    <n v="0"/>
  </r>
  <r>
    <n v="1197"/>
    <n v="20019125"/>
    <s v="Robinkumar Patel"/>
    <s v="AM/NS India"/>
    <s v="Onroll"/>
    <s v="M-7"/>
    <n v="7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Lead  Human Resources"/>
    <m/>
    <s v="Human Resources"/>
    <s v=""/>
    <s v=""/>
    <s v="Non Technical Support"/>
    <s v="Human Resources Management"/>
    <s v="Essar Learning- Academy"/>
    <s v="73503001"/>
    <s v="Faculty"/>
    <s v="Hazira"/>
    <d v="1986-02-11T00:00:00"/>
    <s v="37.07"/>
    <d v="2008-03-07T00:00:00"/>
    <d v="2044-02-29T00:00:00"/>
    <m/>
    <d v="2044-02-29T00:00:00"/>
    <n v="7467"/>
    <s v="B-"/>
    <s v="BE-2013 , PG Diploma in Management-2013"/>
    <s v=""/>
    <s v="15.06"/>
    <s v="15.06"/>
    <s v="70472771"/>
    <s v="Hazira HR Operations - 2"/>
    <s v="70257420"/>
    <s v="Lead  Human Resources"/>
    <s v="Hazira"/>
    <s v="0031950061"/>
    <s v="HZ-Human Resource"/>
    <s v="2000HWO"/>
    <s v="20054512"/>
    <s v="Surinder Kumar Choudhary"/>
    <s v="No"/>
    <s v="robinkumar.patel@amns.in"/>
    <s v="9925241199"/>
    <s v="23348"/>
    <s v="Dhruv Vyas"/>
    <s v="Anil Matoo"/>
    <s v="Praveen Kuruvalli"/>
    <s v="Dhruv Vyas"/>
    <n v="0"/>
  </r>
  <r>
    <n v="1198"/>
    <n v="20019430"/>
    <s v="Goundla Prasad Goud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Plate"/>
    <s v=""/>
    <s v="Non Technical Support"/>
    <s v="Sales &amp; Marketing"/>
    <s v="Sales"/>
    <s v="73104004"/>
    <s v="OEM Sales"/>
    <s v="Hyderabad"/>
    <d v="1986-10-13T00:00:00"/>
    <s v="36.11"/>
    <d v="2008-06-10T00:00:00"/>
    <d v="2044-10-31T00:00:00"/>
    <m/>
    <d v="2044-10-31T00:00:00"/>
    <n v="7712"/>
    <s v=""/>
    <s v="BE-2008"/>
    <s v=""/>
    <s v="15.03"/>
    <s v="15.03"/>
    <s v="00052472"/>
    <s v="KAM - Plate Sales"/>
    <s v="70334286"/>
    <s v="KAM - Plate Sales"/>
    <s v="Hazira"/>
    <s v="0031581982"/>
    <s v="PLM-Marketing"/>
    <s v="2000HWO"/>
    <s v="20000909"/>
    <s v="Murali Krishna Chunduru"/>
    <s v="No"/>
    <s v="prasad.goundla@amns.in"/>
    <s v="8886445567"/>
    <s v="21842"/>
    <s v="Dhruv Vyas"/>
    <s v="Anil Matoo"/>
    <s v="Praveen Kuruvalli"/>
    <s v="Dhruv Vyas"/>
    <n v="0"/>
  </r>
  <r>
    <n v="1200"/>
    <n v="20019604"/>
    <s v="Rajan Shah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/Issue"/>
    <m/>
    <s v="Stores &amp; Warehouse"/>
    <s v="Stores &amp; Warehouse"/>
    <s v="Receipt-Issue - Pipemill"/>
    <s v="Non Technical Support"/>
    <s v="Commercial"/>
    <s v="Stores &amp; Warehouse"/>
    <s v="73806001"/>
    <s v="Stores &amp; Warehouse"/>
    <s v="Hazira"/>
    <d v="1977-01-15T00:00:00"/>
    <s v="46.08"/>
    <d v="2008-06-27T00:00:00"/>
    <d v="2035-01-31T00:00:00"/>
    <m/>
    <d v="2035-01-31T00:00:00"/>
    <n v="4151"/>
    <s v="O-"/>
    <s v="BCom-1999 , LLB-1999"/>
    <s v="03.02"/>
    <s v="15.02"/>
    <s v="18.04"/>
    <s v="70495598"/>
    <s v="Pipe Mill Store"/>
    <s v="70319646"/>
    <s v="Section Officer - Receipt/Issue"/>
    <s v="Hazira"/>
    <s v="0031950049"/>
    <s v="HZ-Central Stores"/>
    <s v="2000HWO"/>
    <s v="20019745"/>
    <s v="Devendra Kaushik"/>
    <s v="No"/>
    <s v="rajan.shah@amns.in"/>
    <s v="9925241493"/>
    <s v="24032"/>
    <s v="Dhruv Vyas"/>
    <s v="Anil Matoo"/>
    <s v="Praveen Kuruvalli"/>
    <s v="Dhruv Vyas"/>
    <n v="0"/>
  </r>
  <r>
    <n v="1205"/>
    <n v="20019682"/>
    <s v="Manish Patel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Domestic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9-05-05T00:00:00"/>
    <s v="44.04"/>
    <d v="2008-04-01T00:00:00"/>
    <d v="2037-05-31T00:00:00"/>
    <m/>
    <d v="2037-05-31T00:00:00"/>
    <n v="5002"/>
    <s v="O-"/>
    <s v="BCom-2000"/>
    <s v="07.09"/>
    <s v="15.05"/>
    <s v="23.02"/>
    <s v="70495314"/>
    <s v="Export, Domestic &amp; Banking"/>
    <s v="70237694"/>
    <s v="Officer - Domestic Banking"/>
    <s v="Hazira"/>
    <s v="0031950045"/>
    <s v="HZ-Works Accounts-Ha"/>
    <s v="2000HWO"/>
    <s v="20001077"/>
    <s v="Pradeep Parte"/>
    <s v="No"/>
    <s v="manish.patel5@amns.in"/>
    <s v="9925246222"/>
    <s v="23249"/>
    <s v="Dhruv Vyas"/>
    <s v="Anil Matoo"/>
    <s v="Praveen Kuruvalli"/>
    <s v="Dhruv Vyas"/>
    <n v="0"/>
  </r>
  <r>
    <n v="1206"/>
    <n v="20019686"/>
    <s v="Pareshkumar Ramanlal Parekh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Domestic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9-04-11T00:00:00"/>
    <s v="44.05"/>
    <d v="2008-04-01T00:00:00"/>
    <d v="2037-04-30T00:00:00"/>
    <m/>
    <d v="2037-04-30T00:00:00"/>
    <n v="4971"/>
    <s v="B-"/>
    <s v="PG Diploma in Management-1998 , MCom-199"/>
    <s v="16.00"/>
    <s v="15.05"/>
    <s v="31.05"/>
    <s v="70495314"/>
    <s v="Export, Domestic &amp; Banking"/>
    <s v="70446069"/>
    <s v="Officer - Domestic Banking"/>
    <s v="Hazira"/>
    <s v="0031950045"/>
    <s v="HZ-Works Accounts-Ha"/>
    <s v="2000HWO"/>
    <s v="20001077"/>
    <s v="Pradeep Parte"/>
    <s v="No"/>
    <s v="paresh.parekh@amns.in"/>
    <s v="9879203058"/>
    <s v="22992"/>
    <s v="Dhruv Vyas"/>
    <s v="Anil Matoo"/>
    <s v="Praveen Kuruvalli"/>
    <s v="Dhruv Vyas"/>
    <n v="0"/>
  </r>
  <r>
    <n v="1213"/>
    <n v="20019745"/>
    <s v="Devendra Kaushik"/>
    <s v="AM/NS India"/>
    <s v="Onroll"/>
    <s v="M-6"/>
    <n v="6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 Charge - Pipe Mill Store"/>
    <m/>
    <s v="Stores &amp; Warehouse"/>
    <s v="Stores &amp; Warehouse"/>
    <s v="Pipe Mill Store"/>
    <s v="Non Technical Support"/>
    <s v="Commercial"/>
    <s v="Stores &amp; Warehouse"/>
    <s v="73806001"/>
    <s v="Stores &amp; Warehouse"/>
    <s v="Hazira"/>
    <d v="1970-08-19T00:00:00"/>
    <s v="53.01"/>
    <d v="2008-07-01T00:00:00"/>
    <d v="2028-08-31T00:00:00"/>
    <m/>
    <d v="2028-08-31T00:00:00"/>
    <n v="1807"/>
    <s v="O-"/>
    <s v="Diploma-2012 , MBA-2012 , Diploma-2005 ,"/>
    <s v="16.03"/>
    <s v="15.02"/>
    <s v="31.05"/>
    <s v="70495598"/>
    <s v="Pipe Mill Store"/>
    <s v="70320354"/>
    <s v="&quot; Section In Charge - Pipe Mill Store"/>
    <s v="Hazira"/>
    <s v="0031950049"/>
    <s v="HZ-Central Stores"/>
    <s v="2000HWO"/>
    <s v="20001240"/>
    <s v="Ambrish Chaturvedi"/>
    <s v="No"/>
    <s v="devendra.kaushik@amns.in"/>
    <s v="9879100555"/>
    <s v="22181"/>
    <s v="Dhruv Vyas"/>
    <s v="Anil Matoo"/>
    <s v="Praveen Kuruvalli"/>
    <s v="Dhruv Vyas"/>
    <n v="0"/>
  </r>
  <r>
    <n v="1217"/>
    <n v="20021039"/>
    <s v="Rajesh Patel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– Export Documentation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81-12-22T00:00:00"/>
    <s v="41.08"/>
    <d v="2008-07-18T00:00:00"/>
    <d v="2039-12-31T00:00:00"/>
    <m/>
    <d v="2039-12-31T00:00:00"/>
    <n v="5946"/>
    <s v="O-"/>
    <s v="MBA-2008 , MCom-2008 , Diploma-2004"/>
    <s v="06.03"/>
    <s v="15.02"/>
    <s v="21.04"/>
    <s v="00044362"/>
    <s v="Export Documentation"/>
    <s v="70259114"/>
    <s v="Sr. Lead – Export Documentation"/>
    <s v="Hazira"/>
    <s v="0031950045"/>
    <s v="HZ-Works Accounts-Ha"/>
    <s v="2000HWO"/>
    <s v="20007731"/>
    <s v="Ashish Mehta"/>
    <s v="No"/>
    <s v="rajesh.patel@amns.in"/>
    <s v="9925241112"/>
    <s v="23336"/>
    <s v="Dhruv Vyas"/>
    <s v="Anil Matoo"/>
    <s v="Praveen Kuruvalli"/>
    <s v="Dhruv Vyas"/>
    <n v="0"/>
  </r>
  <r>
    <n v="1218"/>
    <n v="20021191"/>
    <s v="Priya Kalantri"/>
    <s v="AM/NS India"/>
    <s v="Onroll"/>
    <s v="M-6"/>
    <n v="6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EA to Deputy CFO"/>
    <m/>
    <s v="CFO Office"/>
    <s v="CFO Office"/>
    <s v="CFO Office"/>
    <s v="Non Technical Support"/>
    <s v="Finance &amp; Accounts"/>
    <s v="Treasury"/>
    <s v="73903001"/>
    <s v="Treasury"/>
    <s v="Mumbai"/>
    <d v="1984-01-10T00:00:00"/>
    <s v="39.08"/>
    <d v="2008-07-19T00:00:00"/>
    <d v="2042-01-31T00:00:00"/>
    <m/>
    <d v="2042-01-31T00:00:00"/>
    <n v="6708"/>
    <s v="B-"/>
    <s v="MBA-2008 , BCom-2008"/>
    <s v="01.01"/>
    <s v="15.02"/>
    <s v="16.03"/>
    <s v="70494654"/>
    <s v="Finance"/>
    <s v="70258416"/>
    <s v="EA to Deputy CFO"/>
    <s v="Corporate"/>
    <s v="0090000028"/>
    <s v="Corporate Steel - Wo"/>
    <s v="2000CS"/>
    <s v="20057933"/>
    <s v="Akiyo Omori"/>
    <s v="No"/>
    <s v="priya.kalantri@amns.in"/>
    <s v="9930135381"/>
    <s v="22102"/>
    <s v="Dhruv Vyas"/>
    <s v="Anil Matoo"/>
    <s v="Praveen Kuruvalli"/>
    <s v="Dhruv Vyas"/>
    <n v="0"/>
  </r>
  <r>
    <n v="1219"/>
    <n v="20021262"/>
    <s v="Abhishek Srivastav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– Automotive Sales"/>
    <m/>
    <s v="Auto"/>
    <s v="Auto"/>
    <s v=""/>
    <s v="Non Technical Support"/>
    <s v="Sales &amp; Marketing"/>
    <s v="Sales"/>
    <s v="73104004"/>
    <s v="OEM Sales"/>
    <s v="Mumbai"/>
    <d v="1983-08-05T00:00:00"/>
    <s v="40.01"/>
    <d v="2008-06-23T00:00:00"/>
    <d v="2041-08-31T00:00:00"/>
    <m/>
    <d v="2041-08-31T00:00:00"/>
    <n v="6555"/>
    <s v="B-"/>
    <s v="MBA-2008 , BTech-2008"/>
    <s v=""/>
    <s v="15.02"/>
    <s v="15.02"/>
    <s v="70343195"/>
    <s v="Automotive Sales &amp; Service Centers"/>
    <s v="70385921"/>
    <s v="Sr. KAM – Automotive Sales"/>
    <s v="Hazira"/>
    <s v="0031950057"/>
    <s v="HZ-HRC - Marketing"/>
    <s v="2000HWO"/>
    <s v="20016767"/>
    <s v="Raghavan Venkatachalam"/>
    <s v="No"/>
    <s v="abhishek.srivastava@amns.in"/>
    <s v="9930135163"/>
    <s v="24358"/>
    <s v="Dhruv Vyas"/>
    <s v="Anil Matoo"/>
    <s v="Praveen Kuruvalli"/>
    <s v="Dhruv Vyas"/>
    <n v="0"/>
  </r>
  <r>
    <n v="1246"/>
    <n v="20022866"/>
    <s v="Surya Avinash Akondi"/>
    <s v="AM/NS India"/>
    <s v="Onroll"/>
    <s v="M-7"/>
    <n v="7"/>
    <m/>
    <s v="MM"/>
    <s v="M"/>
    <s v="Vizag"/>
    <n v="3"/>
    <s v="2012"/>
    <x v="7"/>
    <s v="34.01"/>
    <s v="Ambrish Chaturvedi"/>
    <s v="Hrishikesh Kamat"/>
    <n v="7"/>
    <s v="Procurement"/>
    <s v="Stores &amp; Warehouse"/>
    <s v="34"/>
    <s v="Engineer - Procurement"/>
    <m/>
    <s v="Procurement"/>
    <s v="Mechanical"/>
    <s v="Mechanical"/>
    <s v="Non Technical Support"/>
    <s v="Operations"/>
    <s v="Plant Operations"/>
    <s v="72103005"/>
    <s v="Shift Operations"/>
    <s v="Vizag"/>
    <d v="1989-11-26T00:00:00"/>
    <s v="33.09"/>
    <d v="2008-09-05T00:00:00"/>
    <d v="2047-11-30T00:00:00"/>
    <m/>
    <d v="2047-11-30T00:00:00"/>
    <n v="8837"/>
    <s v=""/>
    <s v="Diploma-2008"/>
    <s v=""/>
    <s v="15.00"/>
    <s v="15.00"/>
    <s v="70301353"/>
    <s v="Procurement - Vizag &amp; Chitrakonda"/>
    <s v="70372812"/>
    <s v="Engineer - Procurement"/>
    <s v="Vizag"/>
    <s v="0028030019"/>
    <s v="VIZ-Personnel &amp; Admi"/>
    <s v="2000VIZOPS"/>
    <s v="20000200"/>
    <s v="A Venkateswara Rao"/>
    <s v="No"/>
    <s v="akondi.surya@amns.in"/>
    <s v="8886385679"/>
    <s v="24398"/>
    <s v="DS Varma"/>
    <s v="Anil Matoo"/>
    <s v="Praveen Kuruvalli"/>
    <s v="Dhruv Vyas"/>
    <n v="0"/>
  </r>
  <r>
    <n v="1274"/>
    <n v="20023325"/>
    <s v="Prashant Gadhethri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s Unloading"/>
    <m/>
    <s v="Stores &amp; Warehouse"/>
    <s v="Stores &amp; Warehouse"/>
    <s v="Receipt, Unloading &amp; Insurance"/>
    <s v="Non Technical Support"/>
    <s v="Commercial"/>
    <s v="Stores &amp; Warehouse"/>
    <s v="73806001"/>
    <s v="Stores &amp; Warehouse"/>
    <s v="Hazira"/>
    <d v="1989-01-26T00:00:00"/>
    <s v="34.07"/>
    <d v="2008-09-09T00:00:00"/>
    <d v="2047-01-31T00:00:00"/>
    <m/>
    <d v="2047-01-31T00:00:00"/>
    <n v="8534"/>
    <s v=""/>
    <s v="Diploma-2008 , Diploma-2008"/>
    <s v=""/>
    <s v="15.00"/>
    <s v="15.00"/>
    <s v="00053276"/>
    <s v="Issue/Shifting - Plant B"/>
    <s v="70259397"/>
    <s v="Section Officer - Receipts Unloading"/>
    <s v="Hazira"/>
    <s v="0031950049"/>
    <s v="HZ-Central Stores"/>
    <s v="2000HWO"/>
    <s v="20016604"/>
    <s v="Punit Verma"/>
    <s v="No"/>
    <s v="prashant.gadhetharia@amns.in"/>
    <s v="9909901893"/>
    <s v="21724"/>
    <s v="Dhruv Vyas"/>
    <s v="Anil Matoo"/>
    <s v="Praveen Kuruvalli"/>
    <s v="Dhruv Vyas"/>
    <n v="0"/>
  </r>
  <r>
    <n v="1304"/>
    <n v="20023490"/>
    <s v="Pankaj Suklech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"/>
    <m/>
    <s v="North"/>
    <s v="Hypermart"/>
    <s v=""/>
    <s v="Non Technical Support"/>
    <s v="Finance &amp; Accounts"/>
    <s v="Insurance &amp; Risk Management"/>
    <s v="73905001"/>
    <s v="Insurance &amp; Risk Managmen"/>
    <s v="Jaipur"/>
    <d v="1984-02-18T00:00:00"/>
    <s v="39.07"/>
    <d v="2008-09-24T00:00:00"/>
    <d v="2042-02-28T00:00:00"/>
    <m/>
    <d v="2042-02-28T00:00:00"/>
    <n v="6736"/>
    <s v="O+"/>
    <s v="MBA-2005 , BCom-2005"/>
    <s v="01.01"/>
    <s v="14.11"/>
    <s v="16.00"/>
    <s v="00052526"/>
    <s v="Sales - North"/>
    <s v="70324106"/>
    <s v="Sales Manager - Hypermart"/>
    <s v="Hazira"/>
    <s v="0060120300"/>
    <s v="HMART-Raj-Jaipur"/>
    <s v="2000HWO"/>
    <s v="20007322"/>
    <s v="Sanjay Bohra"/>
    <s v="No"/>
    <s v="pankaj.suklecha@amns.in"/>
    <s v="9879103251"/>
    <s v="24382"/>
    <s v="Dhruv Vyas"/>
    <s v="Anil Matoo"/>
    <s v="Praveen Kuruvalli"/>
    <s v="Dhruv Vyas"/>
    <n v="0"/>
  </r>
  <r>
    <n v="1310"/>
    <n v="20024714"/>
    <s v="Alok Mittal"/>
    <s v="AM/NS India"/>
    <s v="Onroll"/>
    <s v="M-5"/>
    <n v="5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Senior Lead - Contracts"/>
    <m/>
    <s v="Contracts"/>
    <s v="Contracts"/>
    <s v="CRM, Admin, Oxy,Plant, Documentation"/>
    <s v="Non Technical Support"/>
    <s v="Commercial"/>
    <s v="Contracts &amp; Tenders and E-bid"/>
    <s v="73805001"/>
    <s v="Contracts &amp; Tenders and E"/>
    <s v="AM/NS Hazira"/>
    <d v="1981-05-15T00:00:00"/>
    <s v="42.04"/>
    <d v="2008-12-15T00:00:00"/>
    <d v="2039-05-31T00:00:00"/>
    <m/>
    <d v="2039-05-31T00:00:00"/>
    <n v="5732"/>
    <s v="B+"/>
    <s v="MBA-2008 , BE-2008"/>
    <s v="02.05"/>
    <s v="14.09"/>
    <s v="17.02"/>
    <s v="70495670"/>
    <s v="Contracts"/>
    <s v="70320439"/>
    <s v="Senior Lead - Contracts"/>
    <s v="Hazira"/>
    <s v="0031950047"/>
    <s v="HZ-Contracts"/>
    <s v="2000HWO"/>
    <s v="20000795"/>
    <s v="Pankaj Chaturvedi"/>
    <s v="No"/>
    <s v="alok.mittal@amns.in"/>
    <s v="9879100726"/>
    <s v="22651"/>
    <s v="Dhruv Vyas"/>
    <s v="Anil Matoo"/>
    <s v="Praveen Kuruvalli"/>
    <s v="Dhruv Vyas"/>
    <n v="0"/>
  </r>
  <r>
    <n v="1334"/>
    <n v="20026469"/>
    <s v="Soumya Ranjan Rout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Engineers - Procurement (PP SP &amp; CPP)"/>
    <m/>
    <s v="Procurement"/>
    <s v="Procurement"/>
    <s v="Purchase"/>
    <s v="Non Technical Support"/>
    <s v="Commercial"/>
    <s v="Purchase"/>
    <s v="73804001"/>
    <s v="Purchase"/>
    <s v="Vizag"/>
    <d v="1986-07-06T00:00:00"/>
    <s v="37.02"/>
    <d v="2009-07-23T00:00:00"/>
    <d v="2044-07-31T00:00:00"/>
    <m/>
    <d v="2044-07-31T00:00:00"/>
    <n v="7620"/>
    <s v="A-"/>
    <s v="Intermediate-2015 , PG Diploma in Manage"/>
    <s v=""/>
    <s v="14.01"/>
    <s v="14.01"/>
    <s v="70301353"/>
    <s v="Procurement - Vizag &amp; Chitrakonda"/>
    <s v="70369061"/>
    <s v="Engineers - Procurement (PP SP &amp; CPP)"/>
    <s v="Vizag"/>
    <s v="0028030019"/>
    <s v="VIZ-Personnel &amp; Admi"/>
    <s v="2000VIZOPS"/>
    <s v="20000200"/>
    <s v="A Venkateswara Rao"/>
    <s v="No"/>
    <s v="soumya.rout@amns.in"/>
    <s v="8297092555"/>
    <s v="23802"/>
    <s v="DS Varma"/>
    <s v="Anil Matoo"/>
    <s v="Praveen Kuruvalli"/>
    <s v="Dhruv Vyas"/>
    <n v="0"/>
  </r>
  <r>
    <n v="1381"/>
    <n v="20026951"/>
    <s v="Bhavesh Rathod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SMP, RHTOB, UTY,HMM, Lime Plant-Mech"/>
    <s v="Non Technical Support"/>
    <s v="Commercial"/>
    <s v="Stores &amp; Warehouse"/>
    <s v="73806001"/>
    <s v="Stores &amp; Warehouse"/>
    <s v="Hazira"/>
    <d v="1991-02-08T00:00:00"/>
    <s v="32.07"/>
    <d v="2009-08-19T00:00:00"/>
    <d v="2049-02-28T00:00:00"/>
    <m/>
    <d v="2049-02-28T00:00:00"/>
    <n v="9293"/>
    <s v="O+"/>
    <s v="Diploma-2009"/>
    <s v=""/>
    <s v="14.01"/>
    <s v="14.01"/>
    <s v="00053276"/>
    <s v="Issue/Shifting - Plant B"/>
    <s v="70319972"/>
    <s v="Section Officer - Issue/Shifting"/>
    <s v="Hazira"/>
    <s v="0031950049"/>
    <s v="HZ-Central Stores"/>
    <s v="2000HWO"/>
    <s v="20016604"/>
    <s v="Punit Verma"/>
    <s v="No"/>
    <s v="bhaveshkumar.rathod@amns.in"/>
    <s v="9909901085"/>
    <s v="23734"/>
    <s v="Dhruv Vyas"/>
    <s v="Anil Matoo"/>
    <s v="Praveen Kuruvalli"/>
    <s v="Dhruv Vyas"/>
    <n v="0"/>
  </r>
  <r>
    <n v="1394"/>
    <n v="20027199"/>
    <s v="Sharan Mahagoan"/>
    <s v="AM/NS India"/>
    <s v="Onroll"/>
    <s v="M-8"/>
    <n v="8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Lead - Procurement"/>
    <m/>
    <s v="Procurement"/>
    <s v="Procurement"/>
    <s v="Procurement"/>
    <s v="Non Technical Support"/>
    <s v="Operations"/>
    <s v="Plant Maintenance"/>
    <s v="72103008"/>
    <s v="Mechanical Maintenance"/>
    <s v="Dabuna"/>
    <d v="1987-11-30T00:00:00"/>
    <s v="35.09"/>
    <d v="2009-08-29T00:00:00"/>
    <d v="2045-11-30T00:00:00"/>
    <m/>
    <d v="2045-11-30T00:00:00"/>
    <n v="8107"/>
    <s v=""/>
    <s v="BE-2009"/>
    <s v=""/>
    <s v="14.00"/>
    <s v="14.00"/>
    <s v="70494404"/>
    <s v="Procurement - Dabuna"/>
    <s v="70326779"/>
    <s v="Lead - Procurement"/>
    <s v="Odisha"/>
    <s v="0022010019"/>
    <s v="DBN-Benf-HR/Admin"/>
    <s v="2000STORIS"/>
    <s v="20017569"/>
    <s v="Girija Das"/>
    <s v="No"/>
    <s v="sharan.mahagoan@amns.in"/>
    <s v="9437058214"/>
    <s v="22463"/>
    <s v="Sunila Das"/>
    <s v="Anil Matoo"/>
    <s v="Praveen Kuruvalli"/>
    <s v="Sunila Das"/>
    <n v="0"/>
  </r>
  <r>
    <n v="1403"/>
    <n v="20027374"/>
    <s v="Ravi Borra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Section Engineer -  Procurement"/>
    <m/>
    <s v="Vizag Operations"/>
    <s v="Production"/>
    <s v="Production"/>
    <s v="Non Technical Support"/>
    <s v="Operations"/>
    <s v="Operations"/>
    <s v="72103001"/>
    <s v="Operations"/>
    <s v="Vizag"/>
    <d v="1982-08-18T00:00:00"/>
    <s v="41.01"/>
    <d v="2009-09-14T00:00:00"/>
    <d v="2040-08-31T00:00:00"/>
    <m/>
    <d v="2040-08-31T00:00:00"/>
    <n v="6190"/>
    <s v="O-"/>
    <s v="BTech-2010"/>
    <s v="07.10"/>
    <s v="14.00"/>
    <s v="21.10"/>
    <s v="70301353"/>
    <s v="Procurement - Vizag &amp; Chitrakonda"/>
    <s v="70449380"/>
    <s v="Section Engineer -  Procurement"/>
    <s v="Vizag"/>
    <s v="0028030019"/>
    <s v="VIZ-Personnel &amp; Admi"/>
    <s v="2000VIZOPS"/>
    <s v="20000200"/>
    <s v="A Venkateswara Rao"/>
    <s v="No"/>
    <s v="ravikishore.borra@amns.in"/>
    <s v="8886154111"/>
    <s v="21314"/>
    <s v="DS Varma"/>
    <s v="Anil Matoo"/>
    <s v="Praveen Kuruvalli"/>
    <s v="Dhruv Vyas"/>
    <n v="0"/>
  </r>
  <r>
    <n v="1407"/>
    <n v="20027573"/>
    <s v="Rajesh Malu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GST"/>
    <m/>
    <s v="Taxation"/>
    <s v="In Direct - Taxation"/>
    <s v="Indirect Taxation"/>
    <s v="Non Technical Support"/>
    <s v="Finance &amp; Accounts"/>
    <s v="Finance &amp; Accounts"/>
    <s v="73901002"/>
    <s v="Corporate Accounts &amp; Audi"/>
    <s v="AM/NS Hazira"/>
    <d v="1987-06-23T00:00:00"/>
    <s v="36.02"/>
    <d v="2009-10-01T00:00:00"/>
    <d v="2045-06-30T00:00:00"/>
    <m/>
    <d v="2045-06-30T00:00:00"/>
    <n v="7954"/>
    <s v="A+"/>
    <s v="CS-2009 , CA Final-2009 , BCom-2007"/>
    <s v=""/>
    <s v="13.11"/>
    <s v="13.11"/>
    <s v="00044380"/>
    <s v="GST - Hazira Assets - 2"/>
    <s v="70320447"/>
    <s v="Sr. lead - GST"/>
    <s v="Hazira"/>
    <s v="0031950044"/>
    <s v="HZ-Commercial Taxati"/>
    <s v="2000HWO"/>
    <s v="20055962"/>
    <s v="Navin Kewalramani"/>
    <s v="No"/>
    <s v="rajesh.malu@amns.in"/>
    <s v="9879100796"/>
    <s v="22512"/>
    <s v="Dhruv Vyas"/>
    <s v="Anil Matoo"/>
    <s v="Praveen Kuruvalli"/>
    <s v="Dhruv Vyas"/>
    <n v="0"/>
  </r>
  <r>
    <n v="1441"/>
    <n v="20028099"/>
    <s v="Nimisha Patel"/>
    <s v="AM/NS India"/>
    <s v="Onroll"/>
    <s v="M-8"/>
    <n v="8"/>
    <m/>
    <s v="JM"/>
    <s v="F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&quot;&quot;&quot;Issue &amp; Receipt - HSM, SMP, Caster-MEC, UTY"/>
    <s v="Non Technical Support"/>
    <s v="Commercial"/>
    <s v="Stores &amp; Warehouse"/>
    <s v="73806001"/>
    <s v="Stores &amp; Warehouse"/>
    <s v="Hazira"/>
    <d v="1988-04-08T00:00:00"/>
    <s v="35.05"/>
    <d v="2009-10-26T00:00:00"/>
    <d v="2046-04-30T00:00:00"/>
    <m/>
    <d v="2046-04-30T00:00:00"/>
    <n v="8258"/>
    <s v=""/>
    <s v="Diploma-2008"/>
    <s v=""/>
    <s v="13.10"/>
    <s v="13.10"/>
    <s v="00053276"/>
    <s v="Issue/Shifting - Plant B"/>
    <s v="70320031"/>
    <s v="Section Officer - Issue/Shifting"/>
    <s v="Hazira"/>
    <s v="0031950049"/>
    <s v="HZ-Central Stores"/>
    <s v="2000HWO"/>
    <s v="20016604"/>
    <s v="Punit Verma"/>
    <s v="No"/>
    <s v="nimisha.patel@amns.in"/>
    <s v="9909901301"/>
    <s v="23298"/>
    <s v="Dhruv Vyas"/>
    <s v="Anil Matoo"/>
    <s v="Praveen Kuruvalli"/>
    <s v="Dhruv Vyas"/>
    <n v="0"/>
  </r>
  <r>
    <n v="1453"/>
    <n v="20028777"/>
    <s v="Narendra Dugar"/>
    <s v="AM/NS India"/>
    <s v="Onroll"/>
    <s v="M-5"/>
    <n v="5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Internal Audit Hazira"/>
    <m/>
    <s v="Internal Audit"/>
    <s v="Internal Audit"/>
    <s v="Internal Audit"/>
    <s v="Non Technical Support"/>
    <s v="Finance &amp; Accounts"/>
    <s v="Insurance &amp; Risk Management"/>
    <s v="73905001"/>
    <s v="Insurance &amp; Risk Managmen"/>
    <s v="AM/NS Hazira"/>
    <d v="1982-10-21T00:00:00"/>
    <s v="40.10"/>
    <d v="2009-12-10T00:00:00"/>
    <d v="2040-10-31T00:00:00"/>
    <m/>
    <d v="2040-10-31T00:00:00"/>
    <n v="6251"/>
    <s v="O-"/>
    <s v="MCom-2005 , BCom-2005 , CA Final-2003"/>
    <s v="02.01"/>
    <s v="13.09"/>
    <s v="15.10"/>
    <s v="00044330"/>
    <s v="Internal Audit - Hazira"/>
    <s v="70386056"/>
    <s v="Sr. Lead Internal Audit Hazira"/>
    <s v="Hazira"/>
    <s v="0090000035"/>
    <s v="Internal Audit"/>
    <s v="2000HWO"/>
    <s v="20055486"/>
    <s v="Nilesh Likhite"/>
    <s v="No"/>
    <s v="narendra.dugar@amns.in"/>
    <s v="9879100706"/>
    <s v="21706"/>
    <s v="Dhruv Vyas"/>
    <s v="Anil Matoo"/>
    <s v="Praveen Kuruvalli"/>
    <s v="Dhruv Vyas"/>
    <n v="0"/>
  </r>
  <r>
    <n v="1454"/>
    <n v="20028863"/>
    <s v="Keshav Dehariya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Central Zone"/>
    <s v="Non Technical Support"/>
    <s v="Operations"/>
    <s v="Plant Maintenance"/>
    <s v="72103009"/>
    <s v="Electrical Maintenance"/>
    <s v="Indore"/>
    <d v="1986-08-13T00:00:00"/>
    <s v="37.01"/>
    <d v="2009-11-23T00:00:00"/>
    <d v="2044-08-31T00:00:00"/>
    <m/>
    <d v="2044-08-31T00:00:00"/>
    <n v="7651"/>
    <s v="O-"/>
    <s v="BE-2009 , High School-2009 , High School"/>
    <s v=""/>
    <s v="13.09"/>
    <s v="13.09"/>
    <s v="00048138"/>
    <s v="Hypermart west"/>
    <s v="70450022"/>
    <s v="Sales Manager - Hypermart"/>
    <s v="Hypermart"/>
    <s v="0060110700"/>
    <s v="HMART-MP-Pithampur"/>
    <s v="2000SRET"/>
    <s v="20056847"/>
    <s v="Vikas Chotia"/>
    <s v="No"/>
    <s v="keshav.dehariya@amns.in"/>
    <s v="9522198100"/>
    <s v="21558"/>
    <s v="Dhruv Vyas"/>
    <s v="Anil Matoo"/>
    <s v="Praveen Kuruvalli"/>
    <s v="Dhruv Vyas"/>
    <n v="0"/>
  </r>
  <r>
    <n v="1455"/>
    <n v="20028961"/>
    <s v="Anshuman Majhi"/>
    <s v="AM/NS India"/>
    <s v="Onroll"/>
    <s v="M-5"/>
    <n v="5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Sr. Lead  - Costing &amp; MIS"/>
    <m/>
    <s v="Finance &amp; Accounts - Odisha"/>
    <s v="Finance &amp; Accounts"/>
    <s v="Costing &amp; MIS"/>
    <s v="Non Technical Support"/>
    <s v="Finance &amp; Accounts"/>
    <s v="Finance &amp; Accounts"/>
    <s v="73901001"/>
    <s v="Finance &amp; Accounts"/>
    <s v="Dabuna"/>
    <d v="1965-07-08T00:00:00"/>
    <s v="58.02"/>
    <d v="2009-12-11T00:00:00"/>
    <d v="2023-07-31T00:00:00"/>
    <d v="2024-07-31T00:00:00"/>
    <d v="2024-07-31T00:00:00"/>
    <n v="315"/>
    <s v="B-"/>
    <s v="ICWA Final-2011 , PG Diploma in Manageme"/>
    <s v="22.05"/>
    <s v="13.09"/>
    <s v="36.02"/>
    <s v="70234933"/>
    <s v="Finance &amp; Accounts - Odisha"/>
    <s v="70375779"/>
    <s v="Sr. Lead  - Costing &amp; MIS"/>
    <s v="Odisha"/>
    <s v="0022030019"/>
    <s v="PDP-HR &amp; Admn"/>
    <s v="2000STORIS"/>
    <s v="20055801"/>
    <s v="Sanjive Kumar Singh"/>
    <s v="No"/>
    <s v="anshuman.majhi@amns.in"/>
    <s v="9437481167"/>
    <s v="22490"/>
    <s v="Sunila Das"/>
    <s v="Anil Matoo"/>
    <s v="Praveen Kuruvalli"/>
    <s v="Sunila Das"/>
    <n v="0"/>
  </r>
  <r>
    <n v="1474"/>
    <n v="20029041"/>
    <s v="Siddharth Patel"/>
    <s v="AM/NS India"/>
    <s v="Onroll"/>
    <s v="M-7"/>
    <n v="7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Contracts"/>
    <s v="Non Technical Support"/>
    <s v="Services"/>
    <s v="Maintenance Services"/>
    <s v="72103012"/>
    <s v="Maintenance Services"/>
    <s v="AM/NS Hazira"/>
    <d v="1987-12-27T00:00:00"/>
    <s v="35.08"/>
    <d v="2009-11-26T00:00:00"/>
    <d v="2045-12-31T00:00:00"/>
    <m/>
    <d v="2045-12-31T00:00:00"/>
    <n v="8138"/>
    <s v="B+"/>
    <s v="BE-2009"/>
    <s v=""/>
    <s v="13.09"/>
    <s v="13.09"/>
    <s v="70495670"/>
    <s v="Contracts"/>
    <s v="70259203"/>
    <s v="Lead - Contracts"/>
    <s v="Hazira"/>
    <s v="0031950047"/>
    <s v="HZ-Contracts"/>
    <s v="2000HWO"/>
    <s v="20000795"/>
    <s v="Pankaj Chaturvedi"/>
    <s v="No"/>
    <s v="siddharth.patel@amns.in"/>
    <s v="9879101862"/>
    <s v="23382"/>
    <s v="Dhruv Vyas"/>
    <s v="Anil Matoo"/>
    <s v="Praveen Kuruvalli"/>
    <s v="Dhruv Vyas"/>
    <n v="0"/>
  </r>
  <r>
    <n v="1691"/>
    <n v="20029683"/>
    <s v="Pallav Vadgama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"/>
    <s v="Non Technical Support"/>
    <s v="Sales &amp; Marketing"/>
    <s v="Sales"/>
    <s v="73104004"/>
    <s v="OEM Sales"/>
    <s v="Ahmedabad"/>
    <d v="1987-01-21T00:00:00"/>
    <s v="36.07"/>
    <d v="2009-11-20T00:00:00"/>
    <d v="2045-01-31T00:00:00"/>
    <m/>
    <d v="2045-01-31T00:00:00"/>
    <n v="7804"/>
    <s v="O-"/>
    <s v="BE-2009"/>
    <s v=""/>
    <s v="13.09"/>
    <s v="13.09"/>
    <s v="70265035"/>
    <s v="Value Recovery"/>
    <s v="70336309"/>
    <s v="Sales Manager"/>
    <s v="Hazira"/>
    <s v="0031950057"/>
    <s v="HZ-HRC - Marketing"/>
    <s v="2000HWO"/>
    <s v="20016382"/>
    <s v="Kunal Bhardwaj"/>
    <s v="No"/>
    <s v="pallav.vadgama@amns.in"/>
    <s v="9099934874"/>
    <s v="24606"/>
    <s v="Dhruv Vyas"/>
    <s v="Anil Matoo"/>
    <s v="Praveen Kuruvalli"/>
    <s v="Dhruv Vyas"/>
    <n v="0"/>
  </r>
  <r>
    <n v="1733"/>
    <n v="20030332"/>
    <s v="Darshan Desai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Project Administration"/>
    <m/>
    <s v="Hazira Operations"/>
    <s v="SMS"/>
    <s v="Secondary Metallurgy"/>
    <s v="Non Technical Support"/>
    <s v="Operations"/>
    <s v="Plant Operations"/>
    <s v="72103005"/>
    <s v="Shift Operations"/>
    <s v="Hazira"/>
    <d v="1976-10-07T00:00:00"/>
    <s v="46.11"/>
    <d v="2010-02-20T00:00:00"/>
    <d v="2034-10-31T00:00:00"/>
    <m/>
    <d v="2034-10-31T00:00:00"/>
    <n v="4059"/>
    <s v="A-"/>
    <s v="Diploma-1999"/>
    <s v="09.04"/>
    <s v="13.06"/>
    <s v="22.10"/>
    <s v="00049719"/>
    <s v="Administration Hazira"/>
    <s v="70202819"/>
    <s v="Lead - Project Administration"/>
    <s v="Hazira"/>
    <s v="0031323111"/>
    <s v="CONARC - Plant B - O"/>
    <s v="2000HWO"/>
    <s v="20057886"/>
    <s v="Shakir Bandwala"/>
    <s v="No"/>
    <s v="darshan.desai@amns.in"/>
    <s v="9909902497"/>
    <s v="21575"/>
    <s v="Surinder Choudhary"/>
    <s v="Anil Matoo"/>
    <n v="0"/>
    <s v="Surinder Choudhary"/>
    <s v="Robin Patel"/>
  </r>
  <r>
    <n v="1794"/>
    <n v="20031922"/>
    <s v="Nalla Shyamala"/>
    <s v="AM/NS India"/>
    <s v="Onroll"/>
    <s v="M-6"/>
    <n v="6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Sr. Lead - EXIM"/>
    <m/>
    <s v="Taxation"/>
    <s v="EXIM"/>
    <s v="EXIM"/>
    <s v="Non Technical Support"/>
    <s v="Finance &amp; Accounts"/>
    <s v="Corporate Finance"/>
    <s v="73902001"/>
    <s v="Corporate Finance"/>
    <s v="Mumbai"/>
    <d v="1971-02-13T00:00:00"/>
    <s v="52.07"/>
    <d v="2010-05-27T00:00:00"/>
    <d v="2029-02-28T00:00:00"/>
    <m/>
    <d v="2029-02-28T00:00:00"/>
    <n v="1988"/>
    <s v="A-"/>
    <s v="Certificate-1999 , Diploma-1999 , BCom-1"/>
    <s v="19.04"/>
    <s v="13.03"/>
    <s v="32.07"/>
    <s v="70072408"/>
    <s v="Customs / DGFT / EXIM"/>
    <s v="70224406"/>
    <s v="Sr. Lead - EXIM"/>
    <s v="Hazira"/>
    <s v="0090000033"/>
    <s v="Corporate Taxation"/>
    <s v="2000HWO"/>
    <s v="20047664"/>
    <s v="Devang Desai"/>
    <s v="No"/>
    <s v="shyamala.nalla@amns.in"/>
    <s v="9930136459"/>
    <s v="22783"/>
    <s v="Dhruv Vyas"/>
    <s v="Anil Matoo"/>
    <s v="Praveen Kuruvalli"/>
    <s v="Dhruv Vyas"/>
    <n v="0"/>
  </r>
  <r>
    <n v="1832"/>
    <n v="20033268"/>
    <s v="Rathish R"/>
    <s v="AM/NS India"/>
    <s v="Onroll"/>
    <s v="M-7"/>
    <n v="7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South"/>
    <s v="Auto"/>
    <s v="Domestic"/>
    <s v="Non Technical Support"/>
    <s v="Sales &amp; Marketing"/>
    <s v="Sales"/>
    <s v="73104004"/>
    <s v="OEM Sales"/>
    <s v="Pune AMNS"/>
    <d v="1984-06-23T00:00:00"/>
    <s v="39.02"/>
    <d v="2010-08-07T00:00:00"/>
    <d v="2042-06-30T00:00:00"/>
    <m/>
    <d v="2042-06-30T00:00:00"/>
    <n v="6858"/>
    <s v="O-"/>
    <s v="BCom-2009 , MBA-2009"/>
    <s v="01.02"/>
    <s v="13.01"/>
    <s v="14.03"/>
    <s v="00052468"/>
    <s v="Automotive Sales - Chennai"/>
    <s v="70228566"/>
    <s v="KAM – Automotive Sales"/>
    <s v="Pune Facility"/>
    <s v="0035950073"/>
    <s v="Pune - S&amp;D Export"/>
    <s v="2000ESPF"/>
    <s v="20047658"/>
    <s v="Balamurugan Gurusamy"/>
    <s v="No"/>
    <s v="rathish.r@amns.in"/>
    <s v="8939900882"/>
    <s v="23604"/>
    <s v="Dhruv Vyas"/>
    <s v="Anil Matoo"/>
    <s v="Praveen Kuruvalli"/>
    <s v="Dhruv Vyas"/>
    <n v="0"/>
  </r>
  <r>
    <n v="1892"/>
    <n v="20034319"/>
    <s v="Ashokkumar Mehe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r - Sales &amp; Mkt"/>
    <m/>
    <s v="Pipe"/>
    <s v="Pipe"/>
    <s v=""/>
    <s v="Non Technical Support"/>
    <s v="Sales &amp; Marketing"/>
    <s v="Sales &amp; Marketing"/>
    <s v="73101001"/>
    <s v="Sales &amp; Marketing"/>
    <s v="Noida"/>
    <d v="1986-05-02T00:00:00"/>
    <s v="37.04"/>
    <d v="2010-09-23T00:00:00"/>
    <d v="2044-05-31T00:00:00"/>
    <m/>
    <d v="2044-05-31T00:00:00"/>
    <n v="7559"/>
    <s v="A-"/>
    <s v="BTech-2007"/>
    <s v="03.03"/>
    <s v="12.11"/>
    <s v="16.03"/>
    <s v="70387159"/>
    <s v="Pipe Sales"/>
    <s v="70230900"/>
    <s v="Sales Manager - Domestics Pipe Sales"/>
    <s v="Hazira"/>
    <s v="0031591982"/>
    <s v="PM-Marketing"/>
    <s v="2000HWO"/>
    <s v="20007414"/>
    <s v="Gaurav Sharma"/>
    <s v="No"/>
    <s v="ashok.meher@amns.in"/>
    <s v="8376904700"/>
    <s v="22576"/>
    <s v="Dhruv Vyas"/>
    <s v="Anil Matoo"/>
    <s v="Praveen Kuruvalli"/>
    <s v="Dhruv Vyas"/>
    <n v="0"/>
  </r>
  <r>
    <n v="1898"/>
    <n v="20034616"/>
    <s v="Bimal Parida"/>
    <s v="AM/NS India"/>
    <s v="Onroll"/>
    <s v="M-8"/>
    <n v="8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Lead - Procurement"/>
    <m/>
    <s v="Procurement"/>
    <s v="Procurement"/>
    <s v="Procurement"/>
    <s v="Non Technical Support"/>
    <s v="Operations"/>
    <s v="Plant Maintenance"/>
    <s v="72103009"/>
    <s v="Electrical Maintenance"/>
    <s v="Dabuna"/>
    <d v="1988-04-23T00:00:00"/>
    <s v="35.04"/>
    <d v="2010-08-23T00:00:00"/>
    <d v="2046-04-30T00:00:00"/>
    <m/>
    <d v="2046-04-30T00:00:00"/>
    <n v="8258"/>
    <s v="A-"/>
    <s v="BTech-2010"/>
    <s v=""/>
    <s v="13.00"/>
    <s v="13.00"/>
    <s v="70494404"/>
    <s v="Procurement - Dabuna"/>
    <s v="70319754"/>
    <s v="Lead - Procurement"/>
    <s v="Odisha"/>
    <s v="0022010019"/>
    <s v="DBN-Benf-HR/Admin"/>
    <s v="2000STORIS"/>
    <s v="20017569"/>
    <s v="Girija Das"/>
    <s v="No"/>
    <s v="bimal.parida@amns.in"/>
    <s v="9437061139"/>
    <s v="22995"/>
    <s v="Sunila Das"/>
    <s v="Anil Matoo"/>
    <s v="Praveen Kuruvalli"/>
    <s v="Sunila Das"/>
    <n v="0"/>
  </r>
  <r>
    <n v="1943"/>
    <n v="20035527"/>
    <s v="Anil Patro"/>
    <s v="AM/NS India"/>
    <s v="Onroll"/>
    <s v="M-4"/>
    <n v="4"/>
    <m/>
    <s v="SM"/>
    <s v="M"/>
    <s v="Hazira"/>
    <n v="1"/>
    <s v="2095"/>
    <x v="4"/>
    <n v="36.01"/>
    <s v="Deepak Sindkar"/>
    <s v="Hrishikesh Kamat"/>
    <n v="7"/>
    <s v="Procurement"/>
    <s v="Raw Materials"/>
    <s v="36"/>
    <s v="Head – Iron Bearing Materials"/>
    <m/>
    <s v="Bulk Raw Materials"/>
    <s v="Raw Material"/>
    <s v="Iron Ore"/>
    <s v="Non Technical Support"/>
    <s v="Sales &amp; Marketing"/>
    <s v="Business Development"/>
    <s v="73103001"/>
    <s v="Business Development"/>
    <s v="Mumbai"/>
    <d v="1970-03-01T00:00:00"/>
    <s v="53.06"/>
    <d v="2010-12-10T00:00:00"/>
    <d v="2028-02-29T00:00:00"/>
    <m/>
    <d v="2028-02-29T00:00:00"/>
    <n v="1623"/>
    <s v="A-"/>
    <s v="BSc-1992 , MSc-1992"/>
    <s v="17.10"/>
    <s v="12.09"/>
    <s v="30.07"/>
    <s v="00045893"/>
    <s v="Red Odisha Mill Scale"/>
    <s v="70258515"/>
    <s v="Head – Iron Bearing Materials"/>
    <s v="Hazira"/>
    <s v="0031950048"/>
    <s v="HZ-Procurment Depart"/>
    <s v="2000HWO"/>
    <s v="20000253"/>
    <s v="Deepak Sindkar"/>
    <s v="No"/>
    <s v="anil.patro@amns.in"/>
    <s v="9930136253"/>
    <s v="23475"/>
    <s v="Dhruv Vyas"/>
    <s v="Anil Matoo"/>
    <s v="Praveen Kuruvalli"/>
    <s v="Dhruv Vyas"/>
    <n v="0"/>
  </r>
  <r>
    <n v="1964"/>
    <n v="20035714"/>
    <s v="Emani Sitarami Reddy"/>
    <s v="AM/NS India"/>
    <s v="Onroll"/>
    <s v="M-8"/>
    <n v="8"/>
    <m/>
    <s v="JM"/>
    <s v="M"/>
    <s v="Vizag"/>
    <n v="3"/>
    <s v="2015"/>
    <x v="1"/>
    <s v="22.06"/>
    <s v="Anil Matoo"/>
    <s v="Ashutosh Telang"/>
    <n v="6"/>
    <s v="HR &amp; Administration"/>
    <s v="Human Resources"/>
    <s v="22"/>
    <s v="Lead Human Resources"/>
    <m/>
    <s v="Human Resources"/>
    <s v="HR &amp; Admin"/>
    <s v="HR &amp; Admin"/>
    <s v="Non Technical Support"/>
    <s v="Human Resources Management"/>
    <s v="Human Resources Management"/>
    <s v="73501001"/>
    <s v="Human Resources"/>
    <s v="Vizag"/>
    <d v="1964-04-05T00:00:00"/>
    <s v="59.05"/>
    <d v="2011-01-01T00:00:00"/>
    <d v="2022-04-30T00:00:00"/>
    <d v="2023-12-31T00:00:00"/>
    <d v="2023-12-31T00:00:00"/>
    <n v="102"/>
    <s v=""/>
    <s v="Diploma-1986"/>
    <s v="24.11"/>
    <s v="12.08"/>
    <s v="37.07"/>
    <s v="72150111"/>
    <s v="Vizag HR Operations &amp; Administration"/>
    <s v="70372501"/>
    <s v="Lead Human Resources"/>
    <s v="Vizag"/>
    <s v="0028030019"/>
    <s v="VIZ-Personnel &amp; Admi"/>
    <s v="2000VIZOPS"/>
    <s v="20000519"/>
    <s v="Dandu Srinivas Varma"/>
    <s v="No"/>
    <s v="emani.reddy@amns.in"/>
    <s v="9642054999"/>
    <s v="24298"/>
    <s v="DS Varma"/>
    <s v="Anil Matoo"/>
    <s v="Praveen Kuruvalli"/>
    <s v="Dhruv Vyas"/>
    <n v="0"/>
  </r>
  <r>
    <n v="1965"/>
    <n v="20035716"/>
    <s v="Satesh Datla"/>
    <s v="AM/NS India"/>
    <s v="Onroll"/>
    <s v="M-8"/>
    <n v="8"/>
    <m/>
    <s v="JM"/>
    <s v="M"/>
    <s v="Vizag"/>
    <n v="3"/>
    <s v="2023"/>
    <x v="6"/>
    <s v="24.08"/>
    <s v="Anil Matoo"/>
    <s v="Ashutosh Telang"/>
    <n v="6"/>
    <s v="HR &amp; Administration"/>
    <s v="Administration"/>
    <s v="24"/>
    <s v="Plant Node Officer - BP"/>
    <m/>
    <s v="Administration"/>
    <s v="Administration"/>
    <s v="Administration"/>
    <s v="Non Technical Support"/>
    <s v="Human Resources Management"/>
    <s v="Human Resources Management"/>
    <s v="73501001"/>
    <s v="Human Resources"/>
    <s v="Kirandul"/>
    <d v="1969-04-17T00:00:00"/>
    <s v="54.05"/>
    <d v="2011-01-01T00:00:00"/>
    <d v="2027-04-30T00:00:00"/>
    <m/>
    <d v="2027-04-30T00:00:00"/>
    <n v="1318"/>
    <s v=""/>
    <s v="MBA-1996 , BCom-1989"/>
    <s v="16.08"/>
    <s v="12.08"/>
    <s v="29.04"/>
    <s v="72150111"/>
    <s v="Vizag HR Operations &amp; Administration"/>
    <s v="70237920"/>
    <s v="Plant Node Officer - BP"/>
    <s v="Vizag"/>
    <s v="0028010019"/>
    <s v="KRD-Admin &amp; General"/>
    <s v="2000VIZOPS"/>
    <s v="20000519"/>
    <s v="Dandu Srinivas Varma"/>
    <s v="No"/>
    <s v="satish.datla@amns.in"/>
    <s v="9425591760"/>
    <s v="23957"/>
    <s v="DS Varma"/>
    <s v="Anil Matoo"/>
    <s v="Praveen Kuruvalli"/>
    <s v="Dhruv Vyas"/>
    <n v="0"/>
  </r>
  <r>
    <n v="1993"/>
    <n v="20036343"/>
    <s v="Pinal Patel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Gen Cons., Spares, &amp; Fitings Pipes, Valves Fasteners"/>
    <s v="Non Technical Support"/>
    <s v="Commercial"/>
    <s v="Stores &amp; Warehouse"/>
    <s v="73806001"/>
    <s v="Stores &amp; Warehouse"/>
    <s v="Hazira"/>
    <d v="1979-02-20T00:00:00"/>
    <s v="44.06"/>
    <d v="2011-02-16T00:00:00"/>
    <d v="2037-02-28T00:00:00"/>
    <m/>
    <d v="2037-02-28T00:00:00"/>
    <n v="4910"/>
    <s v=""/>
    <s v="Diploma-2003"/>
    <s v="11.07"/>
    <s v="12.07"/>
    <s v="24.02"/>
    <s v="00053276"/>
    <s v="Issue/Shifting - Plant B"/>
    <s v="70239744"/>
    <s v="Section Officer - Issue/Shifting"/>
    <s v="Hazira"/>
    <s v="0031950049"/>
    <s v="HZ-Central Stores"/>
    <s v="2000HWO"/>
    <s v="20016604"/>
    <s v="Punit Verma"/>
    <s v="No"/>
    <s v="pinal.patel@amns.in"/>
    <s v="9879101362"/>
    <s v="23314"/>
    <s v="Dhruv Vyas"/>
    <s v="Anil Matoo"/>
    <s v="Praveen Kuruvalli"/>
    <s v="Dhruv Vyas"/>
    <n v="0"/>
  </r>
  <r>
    <n v="1997"/>
    <n v="20036363"/>
    <s v="Gopalrao Bodke"/>
    <s v="AM/NS India"/>
    <s v="Onroll"/>
    <s v="L-01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WEIGH BRIDGE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70-06-02T00:00:00"/>
    <s v="53.03"/>
    <d v="1995-01-01T00:00:00"/>
    <d v="2028-06-30T00:00:00"/>
    <m/>
    <d v="2028-06-30T00:00:00"/>
    <n v="1745"/>
    <s v="O-"/>
    <s v="SSLC-1988 , SSLC-1988 , SSLC-1988"/>
    <s v=""/>
    <s v="28.08"/>
    <s v="28.08"/>
    <s v="73800024"/>
    <s v="General Consumables"/>
    <s v="73800061"/>
    <s v="WEIGH BRIDGE"/>
    <s v="Pune Facility"/>
    <s v="0035950030"/>
    <s v="Pune - Stores"/>
    <s v="2000ESPF"/>
    <s v="20036403"/>
    <s v="Sanjay Kumbhar"/>
    <s v="No"/>
    <s v="gopalrao.bodke@amns.in"/>
    <s v="9673996785"/>
    <s v="21306"/>
    <s v="Dhruv Vyas"/>
    <s v="Anil Matoo"/>
    <s v="Praveen Kuruvalli"/>
    <s v="Dhruv Vyas"/>
    <n v="0"/>
  </r>
  <r>
    <n v="2006"/>
    <n v="20036385"/>
    <s v="Ganesh Adhikari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3"/>
    <s v="Accounts Payable"/>
    <s v="Pune AMNS"/>
    <d v="1969-11-14T00:00:00"/>
    <s v="53.10"/>
    <d v="1995-01-01T00:00:00"/>
    <d v="2027-11-30T00:00:00"/>
    <m/>
    <d v="2027-11-30T00:00:00"/>
    <n v="1532"/>
    <s v="B-"/>
    <s v="SSLC-1984"/>
    <s v="01.00"/>
    <s v="28.08"/>
    <s v="29.08"/>
    <s v="73800027"/>
    <s v="Account Receivables"/>
    <s v="70319250"/>
    <s v="Lead"/>
    <s v="Pune Facility"/>
    <s v="0035950020"/>
    <s v="Pune-F&amp;A"/>
    <s v="2000ESPF"/>
    <s v="20037239"/>
    <s v="Prashant Shah"/>
    <s v="No"/>
    <s v="ganesh.adhikari@amns.in"/>
    <s v="9890756491"/>
    <s v="21020"/>
    <s v="Dhruv Vyas"/>
    <s v="Anil Matoo"/>
    <s v="Praveen Kuruvalli"/>
    <s v="Dhruv Vyas"/>
    <n v="0"/>
  </r>
  <r>
    <n v="2013"/>
    <n v="20036398"/>
    <s v="Yogini Jadhav"/>
    <s v="AM/NS India"/>
    <s v="Onroll"/>
    <s v="M-8"/>
    <n v="8"/>
    <m/>
    <s v="JM"/>
    <s v="F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1"/>
    <s v="Finance &amp; Accounts"/>
    <s v="Pune AMNS"/>
    <d v="1970-11-03T00:00:00"/>
    <s v="52.10"/>
    <d v="1995-01-01T00:00:00"/>
    <d v="2028-11-30T00:00:00"/>
    <m/>
    <d v="2028-11-30T00:00:00"/>
    <n v="1898"/>
    <s v="A-"/>
    <s v="Intermediate-1992 , BCom-1992"/>
    <s v="02.04"/>
    <s v="28.08"/>
    <s v="31.00"/>
    <s v="73800027"/>
    <s v="Account Receivables"/>
    <s v="73800085"/>
    <s v="Lead"/>
    <s v="Pune Facility"/>
    <s v="0035950020"/>
    <s v="Pune-F&amp;A"/>
    <s v="2000ESPF"/>
    <s v="20037239"/>
    <s v="Prashant Shah"/>
    <s v="No"/>
    <s v="yogini.jadhav@amns.in"/>
    <s v="9158895077"/>
    <s v="21952"/>
    <s v="Dhruv Vyas"/>
    <s v="Anil Matoo"/>
    <s v="Praveen Kuruvalli"/>
    <s v="Dhruv Vyas"/>
    <n v="0"/>
  </r>
  <r>
    <n v="2017"/>
    <n v="20036403"/>
    <s v="Sanjay Kumbhar"/>
    <s v="AM/NS India"/>
    <s v="Onroll"/>
    <s v="M-8"/>
    <n v="8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DY. SECTION MANAG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68-04-01T00:00:00"/>
    <s v="55.05"/>
    <d v="1995-01-01T00:00:00"/>
    <d v="2026-03-31T00:00:00"/>
    <m/>
    <d v="2026-03-31T00:00:00"/>
    <n v="923"/>
    <s v="A-"/>
    <s v="BCom-2009 , Diploma Equivalent-2009 , In"/>
    <s v="01.03"/>
    <s v="28.08"/>
    <s v="29.11"/>
    <s v="73800024"/>
    <s v="General Consumables"/>
    <s v="73800046"/>
    <s v="DY. SECTION MANAGER"/>
    <s v="Pune Facility"/>
    <s v="0035950030"/>
    <s v="Pune - Stores"/>
    <s v="2000ESPF"/>
    <s v="20036934"/>
    <s v="Atul Patwardhan"/>
    <s v="No"/>
    <s v="sanjay.kumbhar@amns.in"/>
    <s v="9158895929"/>
    <s v="22385"/>
    <s v="Dhruv Vyas"/>
    <s v="Anil Matoo"/>
    <s v="Praveen Kuruvalli"/>
    <s v="Dhruv Vyas"/>
    <n v="0"/>
  </r>
  <r>
    <n v="2019"/>
    <n v="20036407"/>
    <s v="Ravindra Bhorde"/>
    <s v="AM/NS India"/>
    <s v="Onroll"/>
    <s v="M-8"/>
    <n v="8"/>
    <m/>
    <s v="JM"/>
    <s v="M"/>
    <s v="Pune Facility"/>
    <n v="4"/>
    <s v="2084"/>
    <x v="17"/>
    <s v="23.09"/>
    <s v="Anil Matoo"/>
    <s v="Ashutosh Telang"/>
    <n v="6"/>
    <s v="HR &amp; Administration"/>
    <s v="Industrial Relations"/>
    <s v="23"/>
    <s v="SECTION MANAGER"/>
    <m/>
    <s v="Pune Operations"/>
    <s v="Administration"/>
    <s v="Time office"/>
    <s v="Non Technical Support"/>
    <s v="Human Resources Management"/>
    <s v="Payroll Shared Services"/>
    <s v="73509002"/>
    <s v="Payroll Administration"/>
    <s v="Pune AMNS"/>
    <d v="1971-06-14T00:00:00"/>
    <s v="52.03"/>
    <d v="1993-10-05T00:00:00"/>
    <d v="2029-06-30T00:00:00"/>
    <m/>
    <d v="2029-06-30T00:00:00"/>
    <n v="2110"/>
    <s v="O-"/>
    <s v="Intermediate-1991"/>
    <s v="01.03"/>
    <s v="29.11"/>
    <s v="31.02"/>
    <s v="73800068"/>
    <s v="Pune HR Operations &amp; Administration"/>
    <s v="70273858"/>
    <s v="SECTION MANAGER"/>
    <s v="Pune Facility"/>
    <s v="0035950019"/>
    <s v="Pune-Admin"/>
    <s v="2000ESPF"/>
    <s v="20037245"/>
    <s v="Mukund Jagirdar"/>
    <s v="No"/>
    <s v="ravindra.bhorde@amns.in"/>
    <s v="9890113037"/>
    <s v="21277"/>
    <s v="Dhruv Vyas"/>
    <s v="Anil Matoo"/>
    <s v="Praveen Kuruvalli"/>
    <s v="Dhruv Vyas"/>
    <n v="0"/>
  </r>
  <r>
    <n v="2021"/>
    <n v="20036409"/>
    <s v="Ranjith Nambiar"/>
    <s v="AM/NS India"/>
    <s v="Onroll"/>
    <s v="M-5"/>
    <n v="5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Head - Domestic Sales, Pune"/>
    <m/>
    <s v="Sales Steering &amp; BD"/>
    <s v="Coated Marketing"/>
    <s v="National Sales"/>
    <s v="Non Technical Support"/>
    <s v="Operations"/>
    <s v="Operations"/>
    <s v="72103001"/>
    <s v="Operations"/>
    <s v="Pune AMNS"/>
    <d v="1973-04-20T00:00:00"/>
    <s v="50.05"/>
    <d v="1995-01-01T00:00:00"/>
    <d v="2031-04-30T00:00:00"/>
    <m/>
    <d v="2031-04-30T00:00:00"/>
    <n v="2779"/>
    <s v="O-"/>
    <s v="Diploma-1991"/>
    <s v="01.04"/>
    <s v="28.08"/>
    <s v="30.00"/>
    <s v="70492562"/>
    <s v="Domestic Sales"/>
    <s v="70435075"/>
    <s v="Head - Marketing Coated Products"/>
    <s v="Pune Facility"/>
    <s v="0031950057"/>
    <s v="HZ-HRC - Marketing"/>
    <s v="2000ESPF"/>
    <s v="20010531"/>
    <s v="Saptarshi Saha"/>
    <s v="No"/>
    <s v="ranjith.nambiar@amns.in"/>
    <s v="9158895828"/>
    <s v="22784"/>
    <s v="Dhruv Vyas"/>
    <s v="Anil Matoo"/>
    <s v="Praveen Kuruvalli"/>
    <s v="Dhruv Vyas"/>
    <n v="0"/>
  </r>
  <r>
    <n v="2031"/>
    <n v="20036425"/>
    <s v="Ashok Raikar"/>
    <s v="AM/NS India"/>
    <s v="Onroll"/>
    <s v="L-02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Jr.Stores Assistant"/>
    <m/>
    <s v="Procurement"/>
    <s v="Stores &amp; Warehouse"/>
    <s v="Stores"/>
    <s v="Non Technical Support"/>
    <s v="Administration"/>
    <s v="Administration"/>
    <s v="74101001"/>
    <s v="Administration"/>
    <s v="Pune Facility"/>
    <d v="1967-06-01T00:00:00"/>
    <s v="56.03"/>
    <d v="1996-01-01T00:00:00"/>
    <d v="2025-05-31T00:00:00"/>
    <m/>
    <d v="2025-05-31T00:00:00"/>
    <n v="619"/>
    <s v="AB-"/>
    <s v="Non Matric-1987"/>
    <s v=""/>
    <s v="27.08"/>
    <s v="27.08"/>
    <s v="73800024"/>
    <s v="General Consumables"/>
    <s v="73800273"/>
    <s v="Jr.Stores Assistant"/>
    <s v="Pune Facility"/>
    <s v="0035950030"/>
    <s v="Pune - Stores"/>
    <s v="2000ESPF"/>
    <s v="20036403"/>
    <s v="Sanjay Kumbhar"/>
    <s v="No"/>
    <s v="ashok.raikar@amns.in"/>
    <s v="9158895814"/>
    <s v="23620"/>
    <s v="Dhruv Vyas"/>
    <s v="Anil Matoo"/>
    <s v="Praveen Kuruvalli"/>
    <s v="Dhruv Vyas"/>
    <n v="0"/>
  </r>
  <r>
    <n v="2039"/>
    <n v="20036435"/>
    <s v="Shankar Sure"/>
    <s v="AM/NS India"/>
    <s v="Onroll"/>
    <s v="M-8"/>
    <n v="8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Dy. Section Manag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65-08-13T00:00:00"/>
    <s v="58.01"/>
    <d v="1996-02-01T00:00:00"/>
    <d v="2023-08-31T00:00:00"/>
    <m/>
    <d v="2023-08-31T00:00:00"/>
    <n v="-20"/>
    <s v="A-"/>
    <s v="MCom-1990"/>
    <s v="04.05"/>
    <s v="27.07"/>
    <s v="32.00"/>
    <s v="73800024"/>
    <s v="General Consumables"/>
    <s v="70319258"/>
    <s v="Dy. Section Manager"/>
    <s v="Pune Facility"/>
    <s v="0035950030"/>
    <s v="Pune - Stores"/>
    <s v="2000ESPF"/>
    <s v="20036403"/>
    <s v="Sanjay Kumbhar"/>
    <s v="No"/>
    <s v="shankar.sure@amns.in"/>
    <s v="9271898041"/>
    <s v="24390"/>
    <s v="Dhruv Vyas"/>
    <s v="Anil Matoo"/>
    <s v="Praveen Kuruvalli"/>
    <s v="Dhruv Vyas"/>
    <n v="0"/>
  </r>
  <r>
    <n v="2040"/>
    <n v="20036436"/>
    <s v="Megha Chaure"/>
    <s v="AM/NS India"/>
    <s v="Onroll"/>
    <s v="L-01"/>
    <n v="15"/>
    <m/>
    <s v="Blue Collar"/>
    <s v="F"/>
    <s v="Pune Facility"/>
    <n v="4"/>
    <s v="2023"/>
    <x v="6"/>
    <s v="24.08"/>
    <s v="Anil Matoo"/>
    <s v="Ashutosh Telang"/>
    <n v="6"/>
    <s v="HR &amp; Administration"/>
    <s v="Administration"/>
    <s v="24"/>
    <s v="ASST.PERS.CUM STENO - Hum"/>
    <m/>
    <s v="Pune Operations"/>
    <s v="Administration"/>
    <s v="Reception"/>
    <s v="Non Technical Support"/>
    <s v="Human Resources Management"/>
    <s v="Learning &amp; Development"/>
    <s v="73502001"/>
    <s v="Learning &amp; Development"/>
    <s v="Pune Facility"/>
    <d v="1967-06-17T00:00:00"/>
    <s v="56.03"/>
    <d v="1996-02-01T00:00:00"/>
    <d v="2025-06-30T00:00:00"/>
    <m/>
    <d v="2025-06-30T00:00:00"/>
    <n v="649"/>
    <s v="O-"/>
    <s v="Certificate-1989 , Intermediate-1989 , N"/>
    <s v="01.00"/>
    <s v="27.07"/>
    <s v="28.07"/>
    <s v="73800072"/>
    <s v="Administration"/>
    <s v="73800265"/>
    <s v="ASST.PERS.CUM STENO - Hum"/>
    <s v="Pune Facility"/>
    <s v="0035950019"/>
    <s v="Pune-Admin"/>
    <s v="2000ESPF"/>
    <s v="20036748"/>
    <s v="Suresh Kadam"/>
    <s v="No"/>
    <s v="megha.chaure@amns.in"/>
    <s v="9422314583"/>
    <s v="21385"/>
    <s v="Dhruv Vyas"/>
    <s v="Anil Matoo"/>
    <s v="Praveen Kuruvalli"/>
    <s v="Dhruv Vyas"/>
    <n v="0"/>
  </r>
  <r>
    <n v="2047"/>
    <n v="20036451"/>
    <s v="Sunil Shewale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GST"/>
    <s v="Non Technical Support"/>
    <s v="Finance &amp; Accounts"/>
    <s v="Taxation"/>
    <s v="73904002"/>
    <s v="Indirect Taxation"/>
    <s v="Pune AMNS"/>
    <d v="1966-06-24T00:00:00"/>
    <s v="57.02"/>
    <d v="1997-05-02T00:00:00"/>
    <d v="2024-06-30T00:00:00"/>
    <m/>
    <d v="2024-06-30T00:00:00"/>
    <n v="284"/>
    <s v="B-"/>
    <s v="BCom-1987"/>
    <s v="01.10"/>
    <s v="26.04"/>
    <s v="28.02"/>
    <s v="73800021"/>
    <s v="Excise"/>
    <s v="70273866"/>
    <s v="Lead"/>
    <s v="Pune Facility"/>
    <s v="0035950020"/>
    <s v="Pune-F&amp;A"/>
    <s v="2000ESPF"/>
    <s v="20037274"/>
    <s v="Imtiyazkhan Pathan"/>
    <s v="No"/>
    <s v="sunil.shewale@amns.in"/>
    <s v="9423581266"/>
    <s v="24155"/>
    <s v="Dhruv Vyas"/>
    <s v="Anil Matoo"/>
    <s v="Praveen Kuruvalli"/>
    <s v="Dhruv Vyas"/>
    <n v="0"/>
  </r>
  <r>
    <n v="2051"/>
    <n v="20036456"/>
    <s v="Rajesh Dadiya"/>
    <s v="AM/NS India"/>
    <s v="Onroll"/>
    <s v="L-02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ASST.OPERATOR - Productio"/>
    <m/>
    <s v="Procurement"/>
    <s v="Stores &amp; Warehouse"/>
    <s v="Stores"/>
    <s v="Non Technical Support"/>
    <s v="Operations"/>
    <s v="Plant Operations"/>
    <s v="72103005"/>
    <s v="Shift Operations"/>
    <s v="Pune Facility"/>
    <d v="1974-01-09T00:00:00"/>
    <s v="49.08"/>
    <d v="1997-06-07T00:00:00"/>
    <d v="2032-01-31T00:00:00"/>
    <m/>
    <d v="2032-01-31T00:00:00"/>
    <n v="3055"/>
    <s v="O-"/>
    <s v="SSLC-1989"/>
    <s v=""/>
    <s v="26.03"/>
    <s v="26.03"/>
    <s v="73800197"/>
    <s v="Logistics"/>
    <s v="73800794"/>
    <s v="ASST.OPERATOR - Productio"/>
    <s v="Pune Facility"/>
    <s v="0035950030"/>
    <s v="Pune - Stores"/>
    <s v="2000ESPF"/>
    <s v="20036920"/>
    <s v="Pankaj Patil"/>
    <s v="No"/>
    <s v="rajesh.dadiya@amns.in"/>
    <s v="8551099224"/>
    <s v="21452"/>
    <s v="Dhruv Vyas"/>
    <s v="Anil Matoo"/>
    <s v="Praveen Kuruvalli"/>
    <s v="Dhruv Vyas"/>
    <n v="0"/>
  </r>
  <r>
    <n v="2094"/>
    <n v="20036519"/>
    <s v="Kamal Tamboli"/>
    <s v="AM/NS India"/>
    <s v="Onroll"/>
    <s v="L-02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Office Attendant"/>
    <m/>
    <s v="Pune Operations"/>
    <s v="Administration"/>
    <s v="Administration"/>
    <s v="Non Technical Support"/>
    <s v="Administration"/>
    <s v="Housekeeping"/>
    <s v="74103001"/>
    <s v="Housekeeping"/>
    <s v="Pune Facility"/>
    <d v="1969-10-04T00:00:00"/>
    <s v="53.11"/>
    <d v="1998-04-01T00:00:00"/>
    <d v="2027-10-31T00:00:00"/>
    <m/>
    <d v="2027-10-31T00:00:00"/>
    <n v="1502"/>
    <s v="AB-"/>
    <s v="Non Matric-1983"/>
    <s v=""/>
    <s v="25.05"/>
    <s v="25.05"/>
    <s v="73800072"/>
    <s v="Administration"/>
    <s v="73800282"/>
    <s v="Office Attendant"/>
    <s v="Pune Facility"/>
    <s v="0035950019"/>
    <s v="Pune-Admin"/>
    <s v="2000ESPF"/>
    <s v="20036748"/>
    <s v="Suresh Kadam"/>
    <s v="No"/>
    <s v="kamal.tamboli@amns.in"/>
    <s v="9970244526"/>
    <s v="24455"/>
    <s v="Dhruv Vyas"/>
    <s v="Anil Matoo"/>
    <s v="Praveen Kuruvalli"/>
    <s v="Dhruv Vyas"/>
    <n v="0"/>
  </r>
  <r>
    <n v="2101"/>
    <n v="20036535"/>
    <s v="Johnson Noronha"/>
    <s v="AM/NS India"/>
    <s v="Onroll"/>
    <s v="L-01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Office Attendant"/>
    <m/>
    <s v="Finance &amp; Accounts - Pune"/>
    <s v="Finance &amp; Accounts"/>
    <s v="Documentation"/>
    <s v="Non Technical Support"/>
    <s v="Finance &amp; Accounts"/>
    <s v="Taxation"/>
    <s v="73904002"/>
    <s v="Indirect Taxation"/>
    <s v="Pune Facility"/>
    <d v="1975-06-03T00:00:00"/>
    <s v="48.03"/>
    <d v="1998-04-01T00:00:00"/>
    <d v="2033-06-30T00:00:00"/>
    <m/>
    <d v="2033-06-30T00:00:00"/>
    <n v="3571"/>
    <s v="B-"/>
    <s v="Non Matric-1989"/>
    <s v=""/>
    <s v="25.05"/>
    <s v="25.05"/>
    <s v="73800015"/>
    <s v="Export Documentation"/>
    <s v="73800037"/>
    <s v="Office Attendant"/>
    <s v="Pune Facility"/>
    <s v="0035950020"/>
    <s v="Pune-F&amp;A"/>
    <s v="2000ESPF"/>
    <s v="20036642"/>
    <s v="Narayan Joshi"/>
    <s v="No"/>
    <s v="johnson.norohna@amns.in"/>
    <s v="9158895819"/>
    <s v="22854"/>
    <s v="Dhruv Vyas"/>
    <s v="Anil Matoo"/>
    <s v="Praveen Kuruvalli"/>
    <s v="Dhruv Vyas"/>
    <n v="0"/>
  </r>
  <r>
    <n v="2103"/>
    <n v="20036537"/>
    <s v="Ramdas Ghogare"/>
    <s v="AM/NS India"/>
    <s v="Onroll"/>
    <s v="L-01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Sr.Driver"/>
    <m/>
    <s v="Pune Operations"/>
    <s v="Transport"/>
    <s v="Transport"/>
    <s v="Non Technical Support"/>
    <s v="Administration"/>
    <s v="Travel Services"/>
    <s v="74106002"/>
    <s v="Transport Operations"/>
    <s v="Pune Facility"/>
    <d v="1969-06-01T00:00:00"/>
    <s v="54.03"/>
    <d v="1998-04-01T00:00:00"/>
    <d v="2027-05-31T00:00:00"/>
    <m/>
    <d v="2027-05-31T00:00:00"/>
    <n v="1349"/>
    <s v="A-"/>
    <s v="Non Matric-1984"/>
    <s v="23.00"/>
    <s v="25.05"/>
    <s v="48.05"/>
    <s v="73800072"/>
    <s v="Administration"/>
    <s v="73800311"/>
    <s v="Sr.Driver"/>
    <s v="Pune Facility"/>
    <s v="0035950019"/>
    <s v="Pune-Admin"/>
    <s v="2000ESPF"/>
    <s v="20036748"/>
    <s v="Suresh Kadam"/>
    <s v="No"/>
    <s v="ramdas.ghogare@amns.in"/>
    <s v="9960178572"/>
    <s v="21796"/>
    <s v="Dhruv Vyas"/>
    <s v="Anil Matoo"/>
    <s v="Praveen Kuruvalli"/>
    <s v="Dhruv Vyas"/>
    <n v="0"/>
  </r>
  <r>
    <n v="2111"/>
    <n v="20036549"/>
    <s v="Dattatraya Birajdar"/>
    <s v="AM/NS India"/>
    <s v="Onroll"/>
    <s v="L-01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r.Weigh Bridge Opt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69-07-08T00:00:00"/>
    <s v="54.02"/>
    <d v="1999-03-01T00:00:00"/>
    <d v="2027-07-31T00:00:00"/>
    <m/>
    <d v="2027-07-31T00:00:00"/>
    <n v="1410"/>
    <s v="A-"/>
    <s v="Intermediate-1987"/>
    <s v="08.00"/>
    <s v="24.06"/>
    <s v="32.06"/>
    <s v="73800024"/>
    <s v="General Consumables"/>
    <s v="73800062"/>
    <s v="Sr.Weigh Bridge Optr"/>
    <s v="Pune Facility"/>
    <s v="0035950030"/>
    <s v="Pune - Stores"/>
    <s v="2000ESPF"/>
    <s v="20036403"/>
    <s v="Sanjay Kumbhar"/>
    <s v="No"/>
    <s v="dattatraya.birajdar@amns.in"/>
    <s v="9766275118"/>
    <s v="21293"/>
    <s v="Dhruv Vyas"/>
    <s v="Anil Matoo"/>
    <s v="Praveen Kuruvalli"/>
    <s v="Dhruv Vyas"/>
    <n v="0"/>
  </r>
  <r>
    <n v="2113"/>
    <n v="20036553"/>
    <s v="Manaji Awhale"/>
    <s v="AM/NS India"/>
    <s v="Onroll"/>
    <s v="L-01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Asst.Admin"/>
    <m/>
    <s v="Pune Operations"/>
    <s v="Administration"/>
    <s v="Admin and Housekeeping"/>
    <s v="Non Technical Support"/>
    <s v="Administration"/>
    <s v="Housekeeping"/>
    <s v="74103001"/>
    <s v="Housekeeping"/>
    <s v="Pune Facility"/>
    <d v="1968-10-10T00:00:00"/>
    <s v="54.11"/>
    <d v="1999-03-01T00:00:00"/>
    <d v="2026-10-31T00:00:00"/>
    <m/>
    <d v="2026-10-31T00:00:00"/>
    <n v="1137"/>
    <s v="A-"/>
    <s v="Non Matric-1986"/>
    <s v="06.05"/>
    <s v="24.06"/>
    <s v="30.11"/>
    <s v="73800072"/>
    <s v="Administration"/>
    <s v="73800279"/>
    <s v="Jr.Asst.Admin"/>
    <s v="Pune Facility"/>
    <s v="0035950019"/>
    <s v="Pune-Admin"/>
    <s v="2000ESPF"/>
    <s v="20036748"/>
    <s v="Suresh Kadam"/>
    <s v="No"/>
    <s v="manaji.awhale@amns.in"/>
    <s v="9158895885"/>
    <s v="21105"/>
    <s v="Dhruv Vyas"/>
    <s v="Anil Matoo"/>
    <s v="Praveen Kuruvalli"/>
    <s v="Dhruv Vyas"/>
    <n v="0"/>
  </r>
  <r>
    <n v="2115"/>
    <n v="20036557"/>
    <s v="Suresh Gadade"/>
    <s v="AM/NS India"/>
    <s v="Onroll"/>
    <s v="L-01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Asst.Admin."/>
    <m/>
    <s v="Pune Operations"/>
    <s v="Administration"/>
    <s v="Admin and Canteen"/>
    <s v="Non Technical Support"/>
    <s v="Administration"/>
    <s v="Administration"/>
    <s v="74101001"/>
    <s v="Administration"/>
    <s v="Pune Facility"/>
    <d v="1973-07-10T00:00:00"/>
    <s v="50.02"/>
    <d v="1999-04-01T00:00:00"/>
    <d v="2031-07-31T00:00:00"/>
    <m/>
    <d v="2031-07-31T00:00:00"/>
    <n v="2871"/>
    <s v="O-"/>
    <s v="Non Matric-1989"/>
    <s v=""/>
    <s v="24.05"/>
    <s v="24.05"/>
    <s v="73800072"/>
    <s v="Administration"/>
    <s v="73800274"/>
    <s v="Jr.Asst.Admin."/>
    <s v="Pune Facility"/>
    <s v="0035950019"/>
    <s v="Pune-Admin"/>
    <s v="2000ESPF"/>
    <s v="20036748"/>
    <s v="Suresh Kadam"/>
    <s v="No"/>
    <s v="suresh.gadade@amns.in"/>
    <s v="9158895994"/>
    <s v="21721"/>
    <s v="Dhruv Vyas"/>
    <s v="Anil Matoo"/>
    <s v="Praveen Kuruvalli"/>
    <s v="Dhruv Vyas"/>
    <n v="0"/>
  </r>
  <r>
    <n v="2137"/>
    <n v="20036591"/>
    <s v="Deepak Nikumbh"/>
    <s v="AM/NS India"/>
    <s v="Onroll"/>
    <s v="M-7"/>
    <n v="7"/>
    <m/>
    <s v="MM"/>
    <s v="M"/>
    <s v="Pune Facility"/>
    <n v="4"/>
    <s v="2084"/>
    <x v="17"/>
    <s v="23.09"/>
    <s v="Anil Matoo"/>
    <s v="Ashutosh Telang"/>
    <n v="6"/>
    <s v="HR &amp; Administration"/>
    <s v="Industrial Relations"/>
    <s v="23"/>
    <s v="Lead - Industrial Relations"/>
    <m/>
    <s v="Industrial Relations"/>
    <s v="Industrial Relation ER"/>
    <s v="Industrial Relation"/>
    <s v="Non Technical Support"/>
    <s v="Human Resources Management"/>
    <s v="Industrial Relations &amp; Labour Law"/>
    <s v="73510000"/>
    <s v="Industrial Relations &amp; La"/>
    <s v="Pune AMNS"/>
    <d v="1974-03-20T00:00:00"/>
    <s v="49.06"/>
    <d v="2000-08-01T00:00:00"/>
    <d v="2032-03-31T00:00:00"/>
    <m/>
    <d v="2032-03-31T00:00:00"/>
    <n v="3115"/>
    <s v="B-"/>
    <s v="BA-1997 , MPM-1997"/>
    <s v="04.08"/>
    <s v="23.01"/>
    <s v="27.09"/>
    <s v="73800070"/>
    <s v="Industrial Relations &amp; Pa"/>
    <s v="70319505"/>
    <s v="Lead - Industrial Relations"/>
    <s v="Pune Facility"/>
    <s v="0035950019"/>
    <s v="Pune-Admin"/>
    <s v="2000ESPF"/>
    <s v="20037245"/>
    <s v="Mukund Jagirdar"/>
    <s v="No"/>
    <s v="deepak.nikumbh@amns.in"/>
    <s v="9158895897"/>
    <s v="22839"/>
    <s v="Dhruv Vyas"/>
    <s v="Anil Matoo"/>
    <s v="Praveen Kuruvalli"/>
    <s v="Dhruv Vyas"/>
    <n v="0"/>
  </r>
  <r>
    <n v="2167"/>
    <n v="20036638"/>
    <s v="Kiran Chaudhari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ection Officer"/>
    <m/>
    <s v="Procurement"/>
    <s v="Row materail and Consumables"/>
    <s v="Purchase"/>
    <s v="Non Technical Support"/>
    <s v="Operations"/>
    <s v="Plant Maintenance"/>
    <s v="72103008"/>
    <s v="Mechanical Maintenance"/>
    <s v="Pune AMNS"/>
    <d v="1976-01-06T00:00:00"/>
    <s v="47.08"/>
    <d v="2003-02-21T00:00:00"/>
    <d v="2034-01-31T00:00:00"/>
    <m/>
    <d v="2034-01-31T00:00:00"/>
    <n v="3786"/>
    <s v="A-"/>
    <s v="Diploma-1994 , Diploma Equivalent-1994 ,"/>
    <s v="04.05"/>
    <s v="20.06"/>
    <s v="24.11"/>
    <s v="73800002"/>
    <s v="Procurement - Pune Asset"/>
    <s v="70376904"/>
    <s v="Section Officer"/>
    <s v="Pune Facility"/>
    <s v="0035950041"/>
    <s v="Pune-Procurement"/>
    <s v="2000ESPF"/>
    <s v="20006536"/>
    <s v="Mahesh Salunke"/>
    <s v="No"/>
    <s v="kiran.chaudhari@amns.in"/>
    <s v="9158895323"/>
    <s v="21360"/>
    <s v="Dhruv Vyas"/>
    <s v="Anil Matoo"/>
    <s v="Praveen Kuruvalli"/>
    <s v="Dhruv Vyas"/>
    <n v="0"/>
  </r>
  <r>
    <n v="2171"/>
    <n v="20036642"/>
    <s v="Narayan Joshi"/>
    <s v="AM/NS India"/>
    <s v="Onroll"/>
    <s v="M-7"/>
    <n v="7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nior Lead"/>
    <m/>
    <s v="Finance &amp; Accounts - Pune"/>
    <s v="Finance &amp; Accounts"/>
    <s v="Export Documentation"/>
    <s v="Non Technical Support"/>
    <s v="Finance &amp; Accounts"/>
    <s v="Taxation"/>
    <s v="73904002"/>
    <s v="Indirect Taxation"/>
    <s v="Pune AMNS"/>
    <d v="1971-12-09T00:00:00"/>
    <s v="51.09"/>
    <d v="2003-04-24T00:00:00"/>
    <d v="2029-12-31T00:00:00"/>
    <m/>
    <d v="2029-12-31T00:00:00"/>
    <n v="2294"/>
    <s v="O-"/>
    <s v="BE-1999 , Diploma Equivalent-1999"/>
    <s v="08.04"/>
    <s v="20.04"/>
    <s v="28.08"/>
    <s v="73800015"/>
    <s v="Export Documentation"/>
    <s v="70271103"/>
    <s v="Senior Lead"/>
    <s v="Pune Facility"/>
    <s v="0035950020"/>
    <s v="Pune-F&amp;A"/>
    <s v="2000ESPF"/>
    <s v="0"/>
    <s v=""/>
    <s v="No"/>
    <s v="narayan.joshi@amns.in"/>
    <s v="9158895818"/>
    <s v="22065"/>
    <s v="Dhruv Vyas"/>
    <s v="Anil Matoo"/>
    <s v="Praveen Kuruvalli"/>
    <s v="Dhruv Vyas"/>
    <n v="0"/>
  </r>
  <r>
    <n v="2178"/>
    <n v="20036652"/>
    <s v="Sachin Shimpi"/>
    <s v="AM/NS India"/>
    <s v="Onroll"/>
    <s v="M-10"/>
    <n v="10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3"/>
    <s v="Accounts Payable"/>
    <s v="Pune AMNS"/>
    <d v="1977-07-12T00:00:00"/>
    <s v="46.02"/>
    <d v="2003-08-03T00:00:00"/>
    <d v="2035-07-31T00:00:00"/>
    <m/>
    <d v="2035-07-31T00:00:00"/>
    <n v="4332"/>
    <s v="A-"/>
    <s v="BCom-1999"/>
    <s v="00.07"/>
    <s v="20.01"/>
    <s v="20.08"/>
    <s v="73800027"/>
    <s v="Account Receivables"/>
    <s v="70319308"/>
    <s v="Lead"/>
    <s v="Pune Facility"/>
    <s v="0035950020"/>
    <s v="Pune-F&amp;A"/>
    <s v="2000ESPF"/>
    <s v="20037239"/>
    <s v="Prashant Shah"/>
    <s v="No"/>
    <s v="sachin.shimpi@amns.in"/>
    <s v="9850192331"/>
    <s v="24159"/>
    <s v="Dhruv Vyas"/>
    <s v="Anil Matoo"/>
    <s v="Praveen Kuruvalli"/>
    <s v="Dhruv Vyas"/>
    <n v="0"/>
  </r>
  <r>
    <n v="2179"/>
    <n v="20036653"/>
    <s v="Suryakant Mandalekar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Finance &amp; Accounts"/>
    <s v="Non Technical Support"/>
    <s v="Finance &amp; Accounts"/>
    <s v="Finance &amp; Accounts"/>
    <s v="73901003"/>
    <s v="Accounts Payable"/>
    <s v="Pune AMNS"/>
    <d v="1973-03-04T00:00:00"/>
    <s v="50.06"/>
    <d v="2003-09-23T00:00:00"/>
    <d v="2031-03-31T00:00:00"/>
    <m/>
    <d v="2031-03-31T00:00:00"/>
    <n v="2749"/>
    <s v="AB-"/>
    <s v="Diploma-2011 , MMS-2011 , Diploma Equiva"/>
    <s v="11.01"/>
    <s v="19.11"/>
    <s v="31.00"/>
    <s v="70418543"/>
    <s v="Finance Controller"/>
    <s v="70376888"/>
    <s v="Lead"/>
    <s v="Pune Facility"/>
    <s v="0035950020"/>
    <s v="Pune-F&amp;A"/>
    <s v="2000ESPF"/>
    <s v="0"/>
    <s v=""/>
    <s v="No"/>
    <s v="suryakant.mandalekar@amns.in"/>
    <s v="9420166909"/>
    <s v="22520"/>
    <s v="Dhruv Vyas"/>
    <s v="Anil Matoo"/>
    <s v="Praveen Kuruvalli"/>
    <s v="Dhruv Vyas"/>
    <n v="0"/>
  </r>
  <r>
    <n v="2194"/>
    <n v="20036674"/>
    <s v="Rahul Khule"/>
    <s v="AM/NS India"/>
    <s v="Onroll"/>
    <s v="M-11"/>
    <n v="11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Asst. 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78-08-22T00:00:00"/>
    <s v="45.00"/>
    <d v="2004-02-04T00:00:00"/>
    <d v="2036-08-31T00:00:00"/>
    <m/>
    <d v="2036-08-31T00:00:00"/>
    <n v="4729"/>
    <s v="B-"/>
    <s v="SSLC-1995"/>
    <s v="02.00"/>
    <s v="19.07"/>
    <s v="21.07"/>
    <s v="73800024"/>
    <s v="General Consumables"/>
    <s v="70319306"/>
    <s v="Asst. Section Officer"/>
    <s v="Pune Facility"/>
    <s v="0035950030"/>
    <s v="Pune - Stores"/>
    <s v="2000ESPF"/>
    <s v="20036403"/>
    <s v="Sanjay Kumbhar"/>
    <s v="Yes"/>
    <s v=""/>
    <s v="9822056554"/>
    <s v="827578"/>
    <s v="Dhruv Vyas"/>
    <s v="Anil Matoo"/>
    <s v="Praveen Kuruvalli"/>
    <s v="Dhruv Vyas"/>
    <n v="0"/>
  </r>
  <r>
    <n v="2242"/>
    <n v="20036748"/>
    <s v="Suresh Kadam"/>
    <s v="AM/NS India"/>
    <s v="Onroll"/>
    <s v="M-6"/>
    <n v="6"/>
    <m/>
    <s v="MM"/>
    <s v="M"/>
    <s v="Pune Facility"/>
    <n v="4"/>
    <s v="2023"/>
    <x v="6"/>
    <s v="24.08"/>
    <s v="Anil Matoo"/>
    <s v="Ashutosh Telang"/>
    <n v="6"/>
    <s v="HR &amp; Administration"/>
    <s v="Administration"/>
    <s v="24"/>
    <s v="Sr. Lead - Administration"/>
    <m/>
    <s v="Administration"/>
    <s v="Administration"/>
    <s v="Administration"/>
    <s v="Non Technical Support"/>
    <s v="Administration"/>
    <s v="Administration"/>
    <s v="74101001"/>
    <s v="Administration"/>
    <s v="Pune AMNS"/>
    <d v="1970-06-01T00:00:00"/>
    <s v="53.03"/>
    <d v="2005-04-11T00:00:00"/>
    <d v="2028-05-31T00:00:00"/>
    <m/>
    <d v="2028-05-31T00:00:00"/>
    <n v="1715"/>
    <s v="A-"/>
    <s v="BE-1993"/>
    <s v="09.01"/>
    <s v="18.05"/>
    <s v="27.06"/>
    <s v="73800072"/>
    <s v="Administration"/>
    <s v="70271104"/>
    <s v="Sr. Lead - Administration"/>
    <s v="Pune Facility"/>
    <s v="0035950019"/>
    <s v="Pune-Admin"/>
    <s v="2000ESPF"/>
    <s v="20037245"/>
    <s v="Mukund Jagirdar"/>
    <s v="No"/>
    <s v="suresh.kadam@amns.in"/>
    <s v="9158895880"/>
    <s v="22097"/>
    <s v="Dhruv Vyas"/>
    <s v="Anil Matoo"/>
    <s v="Praveen Kuruvalli"/>
    <s v="Dhruv Vyas"/>
    <n v="0"/>
  </r>
  <r>
    <n v="2243"/>
    <n v="20036749"/>
    <s v="Uday Dhamale"/>
    <s v="AM/NS India"/>
    <s v="Onroll"/>
    <s v="L-04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Asst.Store Keep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80-12-21T00:00:00"/>
    <s v="42.09"/>
    <d v="2005-04-12T00:00:00"/>
    <d v="2038-12-31T00:00:00"/>
    <m/>
    <d v="2038-12-31T00:00:00"/>
    <n v="5581"/>
    <s v="O-"/>
    <s v="BCom-2010 , MBA-2010"/>
    <s v="02.11"/>
    <s v="18.05"/>
    <s v="21.04"/>
    <s v="73800023"/>
    <s v="Raw Materials"/>
    <s v="73800048"/>
    <s v="Asst.Store Keeper"/>
    <s v="Pune Facility"/>
    <s v="0035950030"/>
    <s v="Pune - Stores"/>
    <s v="2000ESPF"/>
    <s v="20036934"/>
    <s v="Atul Patwardhan"/>
    <s v="No"/>
    <s v="uday.dhamale@amns.in"/>
    <s v="9604373261"/>
    <s v="21642"/>
    <s v="Dhruv Vyas"/>
    <s v="Anil Matoo"/>
    <s v="Praveen Kuruvalli"/>
    <s v="Dhruv Vyas"/>
    <n v="0"/>
  </r>
  <r>
    <n v="2250"/>
    <n v="20036757"/>
    <s v="Milind Chavan"/>
    <s v="AM/NS India"/>
    <s v="Onroll"/>
    <s v="M-7"/>
    <n v="7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GST"/>
    <s v="Non Technical Support"/>
    <s v="Finance &amp; Accounts"/>
    <s v="Taxation"/>
    <s v="73904002"/>
    <s v="Indirect Taxation"/>
    <s v="Pune AMNS"/>
    <d v="1970-05-15T00:00:00"/>
    <s v="53.04"/>
    <d v="2005-06-13T00:00:00"/>
    <d v="2028-05-31T00:00:00"/>
    <m/>
    <d v="2028-05-31T00:00:00"/>
    <n v="1715"/>
    <s v="B-"/>
    <s v="Diploma Equivalent-2015 , MBA-2015 , Cer"/>
    <s v="05.11"/>
    <s v="18.03"/>
    <s v="24.02"/>
    <s v="73800067"/>
    <s v="Excise"/>
    <s v="70318872"/>
    <s v="Lead"/>
    <s v="Pune Facility"/>
    <s v="0035950020"/>
    <s v="Pune-F&amp;A"/>
    <s v="2000ESPF"/>
    <s v="20037274"/>
    <s v="Imtiyazkhan Pathan"/>
    <s v="No"/>
    <s v="milind.chavan@amns.in"/>
    <s v="9158895849"/>
    <s v="21392"/>
    <s v="Dhruv Vyas"/>
    <s v="Anil Matoo"/>
    <s v="Praveen Kuruvalli"/>
    <s v="Dhruv Vyas"/>
    <n v="0"/>
  </r>
  <r>
    <n v="2282"/>
    <n v="20036803"/>
    <s v="Vilas Walunj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ection Manager"/>
    <m/>
    <s v="Procurement"/>
    <s v="Service and Contract"/>
    <s v="Purchase"/>
    <s v="Non Technical Support"/>
    <s v="Commercial"/>
    <s v="Purchase"/>
    <s v="73804001"/>
    <s v="Purchase"/>
    <s v="Pune AMNS"/>
    <d v="1979-11-26T00:00:00"/>
    <s v="43.09"/>
    <d v="2006-01-06T00:00:00"/>
    <d v="2037-11-30T00:00:00"/>
    <m/>
    <d v="2037-11-30T00:00:00"/>
    <n v="5185"/>
    <s v="O-"/>
    <s v="BSc-2009 , Diploma-2009"/>
    <s v="01.09"/>
    <s v="17.08"/>
    <s v="19.05"/>
    <s v="73800002"/>
    <s v="Procurement - Pune Asset"/>
    <s v="70319260"/>
    <s v="Section Manager"/>
    <s v="Pune Facility"/>
    <s v="0035950041"/>
    <s v="Pune-Procurement"/>
    <s v="2000ESPF"/>
    <s v="20006536"/>
    <s v="Mahesh Salunke"/>
    <s v="No"/>
    <s v="vilas.walunj@amns.in"/>
    <s v="9158895843"/>
    <s v="24748"/>
    <s v="Dhruv Vyas"/>
    <s v="Anil Matoo"/>
    <s v="Praveen Kuruvalli"/>
    <s v="Dhruv Vyas"/>
    <n v="0"/>
  </r>
  <r>
    <n v="2300"/>
    <n v="20036827"/>
    <s v="Pritam Jagtap"/>
    <s v="AM/NS India"/>
    <s v="Onroll"/>
    <s v="L-05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ASST. SECTION OFFICER"/>
    <m/>
    <s v="Finance &amp; Accounts - Pune"/>
    <s v="Finance &amp; Accounts"/>
    <s v="GST"/>
    <s v="Non Technical Support"/>
    <s v="Projects"/>
    <s v="Projects"/>
    <s v="72103036"/>
    <s v="Projects"/>
    <s v="Pune Facility"/>
    <d v="1984-06-24T00:00:00"/>
    <s v="39.02"/>
    <d v="2006-04-04T00:00:00"/>
    <d v="2042-06-30T00:00:00"/>
    <m/>
    <d v="2042-06-30T00:00:00"/>
    <n v="6858"/>
    <s v="AB-"/>
    <s v="Post Diploma Course-2005 , MBA-2005 , MA"/>
    <s v="02.09"/>
    <s v="17.05"/>
    <s v="20.02"/>
    <s v="73800021"/>
    <s v="Excise"/>
    <s v="73800256"/>
    <s v="ASST. SECTION OFFICER"/>
    <s v="Pune Facility"/>
    <s v="0035950020"/>
    <s v="Pune-F&amp;A"/>
    <s v="2000ESPF"/>
    <s v="20037274"/>
    <s v="Imtiyazkhan Pathan"/>
    <s v="No"/>
    <s v="pritam.jagtap@amns.in"/>
    <s v="9960406661"/>
    <s v="21960"/>
    <s v="Dhruv Vyas"/>
    <s v="Anil Matoo"/>
    <s v="Praveen Kuruvalli"/>
    <s v="Dhruv Vyas"/>
    <n v="0"/>
  </r>
  <r>
    <n v="2302"/>
    <n v="20036829"/>
    <s v="Sunil Hawaldar"/>
    <s v="AM/NS India"/>
    <s v="Onroll"/>
    <s v="M-6"/>
    <n v="6"/>
    <m/>
    <s v="MM"/>
    <s v="M"/>
    <s v="Pune Facility"/>
    <n v="4"/>
    <s v="2043"/>
    <x v="3"/>
    <s v="31.01"/>
    <s v="Hrishikesh Kamat"/>
    <s v="Hrishikesh Kamat"/>
    <n v="7"/>
    <s v="Procurement"/>
    <s v="Procurement"/>
    <s v="31"/>
    <s v="Section In charge - Purchase"/>
    <m/>
    <s v="Procurement"/>
    <s v="Mechanical Spares"/>
    <s v="Mechanical Spares"/>
    <s v="Non Technical Support"/>
    <s v="Commercial"/>
    <s v="Purchase"/>
    <s v="73804001"/>
    <s v="Purchase"/>
    <s v="Pune AMNS"/>
    <d v="1973-09-23T00:00:00"/>
    <s v="49.11"/>
    <d v="2006-04-10T00:00:00"/>
    <d v="2031-09-30T00:00:00"/>
    <m/>
    <d v="2031-09-30T00:00:00"/>
    <n v="2932"/>
    <s v="A-"/>
    <s v="Diploma-2009 , Certificate-2009 , SSLC-1"/>
    <s v="10.06"/>
    <s v="17.05"/>
    <s v="27.11"/>
    <s v="73800002"/>
    <s v="Procurement - Pune Asset"/>
    <s v="70271117"/>
    <s v="Section In charge - Purchase"/>
    <s v="Pune Facility"/>
    <s v="0035950041"/>
    <s v="Pune-Procurement"/>
    <s v="2000ESPF"/>
    <s v="20006536"/>
    <s v="Mahesh Salunke"/>
    <s v="No"/>
    <s v="sunil.hawaldar@amns.in"/>
    <s v="9158895840"/>
    <s v="21906"/>
    <s v="Dhruv Vyas"/>
    <s v="Anil Matoo"/>
    <s v="Praveen Kuruvalli"/>
    <s v="Dhruv Vyas"/>
    <n v="0"/>
  </r>
  <r>
    <n v="2315"/>
    <n v="20036844"/>
    <s v="Santosh Kumar Pandey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ASST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80-01-30T00:00:00"/>
    <s v="43.07"/>
    <d v="2006-06-01T00:00:00"/>
    <d v="2038-01-31T00:00:00"/>
    <m/>
    <d v="2038-01-31T00:00:00"/>
    <n v="5247"/>
    <s v="B-"/>
    <s v="SSLC-1995"/>
    <s v=""/>
    <s v="17.03"/>
    <s v="17.03"/>
    <s v="73800072"/>
    <s v="Administration"/>
    <s v="73800315"/>
    <s v="ASST. SECTION OFFICER"/>
    <s v="Pune Facility"/>
    <s v="0035950019"/>
    <s v="Pune-Admin"/>
    <s v="2000ESPF"/>
    <s v="20036748"/>
    <s v="Suresh Kadam"/>
    <s v="No"/>
    <s v="santoshkumar.pandey@amns.in"/>
    <s v="9960770196"/>
    <s v="22935"/>
    <s v="Dhruv Vyas"/>
    <s v="Anil Matoo"/>
    <s v="Praveen Kuruvalli"/>
    <s v="Dhruv Vyas"/>
    <n v="0"/>
  </r>
  <r>
    <n v="2316"/>
    <n v="20036845"/>
    <s v="Rupchand Yadav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 Section Officer - Tra"/>
    <m/>
    <s v="Pune Operations"/>
    <s v="Transport"/>
    <s v="Transport"/>
    <s v="Non Technical Support"/>
    <s v="Administration"/>
    <s v="Travel Services"/>
    <s v="74106002"/>
    <s v="Transport Operations"/>
    <s v="Pune Facility"/>
    <d v="1975-05-05T00:00:00"/>
    <s v="48.04"/>
    <d v="2006-06-01T00:00:00"/>
    <d v="2033-05-31T00:00:00"/>
    <m/>
    <d v="2033-05-31T00:00:00"/>
    <n v="3541"/>
    <s v="O-"/>
    <s v="Intermediate-1993"/>
    <s v=""/>
    <s v="17.03"/>
    <s v="17.03"/>
    <s v="73800072"/>
    <s v="Administration"/>
    <s v="73800316"/>
    <s v="Jr. Section Officer - Tra"/>
    <s v="Pune Facility"/>
    <s v="0035950019"/>
    <s v="Pune-Admin"/>
    <s v="2000ESPF"/>
    <s v="20036748"/>
    <s v="Suresh Kadam"/>
    <s v="No"/>
    <s v="rupchand.yadav@amns.in"/>
    <s v="9421015349"/>
    <s v="24783"/>
    <s v="Dhruv Vyas"/>
    <s v="Anil Matoo"/>
    <s v="Praveen Kuruvalli"/>
    <s v="Dhruv Vyas"/>
    <n v="0"/>
  </r>
  <r>
    <n v="2329"/>
    <n v="20036863"/>
    <s v="Pradeep Kamble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Lead - Procurement"/>
    <m/>
    <s v="Procurement"/>
    <s v="Electrical Spares"/>
    <s v="Purchase"/>
    <s v="Non Technical Support"/>
    <s v="Commercial"/>
    <s v="Purchase"/>
    <s v="73804001"/>
    <s v="Purchase"/>
    <s v="Pune AMNS"/>
    <d v="1981-11-27T00:00:00"/>
    <s v="41.09"/>
    <d v="2006-07-03T00:00:00"/>
    <d v="2039-11-30T00:00:00"/>
    <m/>
    <d v="2039-11-30T00:00:00"/>
    <n v="5915"/>
    <s v="A-"/>
    <s v="Intermediate-2002 , BCom-2002"/>
    <s v="02.02"/>
    <s v="17.02"/>
    <s v="19.04"/>
    <s v="73800002"/>
    <s v="Procurement - Pune Asset"/>
    <s v="70273872"/>
    <s v="ASST. SECTION MANAGER"/>
    <s v="Pune Facility"/>
    <s v="0035950041"/>
    <s v="Pune-Procurement"/>
    <s v="2000ESPF"/>
    <s v="20006536"/>
    <s v="Mahesh Salunke"/>
    <s v="No"/>
    <s v="pradeep.kamble@amns.in"/>
    <s v="9158895846"/>
    <s v="22119"/>
    <s v="Dhruv Vyas"/>
    <s v="Anil Matoo"/>
    <s v="Praveen Kuruvalli"/>
    <s v="Dhruv Vyas"/>
    <n v="0"/>
  </r>
  <r>
    <n v="2333"/>
    <n v="20036873"/>
    <s v="Vrushali Nagare"/>
    <s v="AM/NS India"/>
    <s v="Onroll"/>
    <s v="M-8"/>
    <n v="8"/>
    <m/>
    <s v="JM"/>
    <s v="F"/>
    <s v="Pune Facility"/>
    <n v="4"/>
    <s v="2031"/>
    <x v="10"/>
    <s v="14.01"/>
    <s v="Ranjan Dhar"/>
    <s v="Alain Legrix De La Salle"/>
    <n v="3"/>
    <s v="Sales &amp; Marketing"/>
    <s v="Sales &amp; Marketing"/>
    <s v="14"/>
    <s v="Sr. Section Officer"/>
    <m/>
    <s v="Export"/>
    <s v="Export"/>
    <s v="Export"/>
    <s v="Non Technical Support"/>
    <s v="R&amp; D and QA/QC"/>
    <s v="QA &amp; QC"/>
    <s v="72103034"/>
    <s v="QA &amp; QC"/>
    <s v="Pune AMNS"/>
    <d v="1983-09-23T00:00:00"/>
    <s v="39.11"/>
    <d v="2006-08-01T00:00:00"/>
    <d v="2041-09-30T00:00:00"/>
    <m/>
    <d v="2041-09-30T00:00:00"/>
    <n v="6585"/>
    <s v="B-"/>
    <s v="BSc-2010 , PG Diploma in Management-2010"/>
    <s v="03.02"/>
    <s v="17.01"/>
    <s v="20.03"/>
    <s v="70495379"/>
    <s v="Chief Marketing Officer - AMNS ME FZE"/>
    <s v="73800161"/>
    <s v="KAM - Export Sales"/>
    <s v="Pune Facility"/>
    <s v="0035950028"/>
    <s v="Pune- QA/QC"/>
    <s v="2000ESPF"/>
    <s v="20055663"/>
    <s v="Karamath Syed"/>
    <s v="No"/>
    <s v="vrushali.nagare@amns.in"/>
    <s v="9158892124"/>
    <s v="22755"/>
    <s v="Dhruv Vyas"/>
    <s v="Anil Matoo"/>
    <s v="Praveen Kuruvalli"/>
    <s v="Dhruv Vyas"/>
    <n v="0"/>
  </r>
  <r>
    <n v="2348"/>
    <n v="20036894"/>
    <s v="Nand Kumar Jha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ection Engineer - Purchase"/>
    <m/>
    <s v="Procurement"/>
    <s v="Service and Contract"/>
    <s v="Purchase"/>
    <s v="Non Technical Support"/>
    <s v="Administration"/>
    <s v="Travel Services"/>
    <s v="74106002"/>
    <s v="Transport Operations"/>
    <s v="Pune AMNS"/>
    <d v="1968-10-02T00:00:00"/>
    <s v="54.11"/>
    <d v="2006-10-24T00:00:00"/>
    <d v="2026-10-31T00:00:00"/>
    <m/>
    <d v="2026-10-31T00:00:00"/>
    <n v="1137"/>
    <s v="B-"/>
    <s v="Certificate-2004 , Certificate-2004 , BT"/>
    <s v="30.00"/>
    <s v="16.10"/>
    <s v="46.11"/>
    <s v="73800002"/>
    <s v="Procurement - Pune Asset"/>
    <s v="70319669"/>
    <s v="Section Engineer - Purchase"/>
    <s v="Pune Facility"/>
    <s v="0035950041"/>
    <s v="Pune-Procurement"/>
    <s v="2000ESPF"/>
    <s v="20006536"/>
    <s v="Mahesh Salunke"/>
    <s v="No"/>
    <s v="nandkumar.jha@amns.in"/>
    <s v="9158895882"/>
    <s v="22032"/>
    <s v="Dhruv Vyas"/>
    <s v="Anil Matoo"/>
    <s v="Praveen Kuruvalli"/>
    <s v="Dhruv Vyas"/>
    <n v="0"/>
  </r>
  <r>
    <n v="2356"/>
    <n v="20036904"/>
    <s v="Prakash Gavhane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GST"/>
    <s v="Non Technical Support"/>
    <s v="Finance &amp; Accounts"/>
    <s v="Taxation"/>
    <s v="73904002"/>
    <s v="Indirect Taxation"/>
    <s v="Pune AMNS"/>
    <d v="1978-08-26T00:00:00"/>
    <s v="45.00"/>
    <d v="2006-12-01T00:00:00"/>
    <d v="2036-08-31T00:00:00"/>
    <m/>
    <d v="2036-08-31T00:00:00"/>
    <n v="4729"/>
    <s v="B-"/>
    <s v="BCom-2002"/>
    <s v="00.08"/>
    <s v="16.09"/>
    <s v="17.05"/>
    <s v="73800067"/>
    <s v="Excise"/>
    <s v="70376865"/>
    <s v="Lead"/>
    <s v="Pune Facility"/>
    <s v="0035950020"/>
    <s v="Pune-F&amp;A"/>
    <s v="2000ESPF"/>
    <s v="20036757"/>
    <s v="Milind Chavan"/>
    <s v="No"/>
    <s v="prakash.gavhane@amns.in"/>
    <s v="7798986819"/>
    <s v="21777"/>
    <s v="Dhruv Vyas"/>
    <s v="Anil Matoo"/>
    <s v="Praveen Kuruvalli"/>
    <s v="Dhruv Vyas"/>
    <n v="0"/>
  </r>
  <r>
    <n v="2358"/>
    <n v="20036908"/>
    <s v="Sachin Chavan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r. Section Officer"/>
    <m/>
    <s v="Procurement"/>
    <s v="Row materail and Consumables"/>
    <s v="Purchase"/>
    <s v="Non Technical Support"/>
    <s v="Commercial"/>
    <s v="Purchase"/>
    <s v="73804001"/>
    <s v="Purchase"/>
    <s v="Pune AMNS"/>
    <d v="1983-06-01T00:00:00"/>
    <s v="40.03"/>
    <d v="2006-12-25T00:00:00"/>
    <d v="2041-05-31T00:00:00"/>
    <m/>
    <d v="2041-05-31T00:00:00"/>
    <n v="6463"/>
    <s v="O-"/>
    <s v="BCom-2006 , MCom-2006"/>
    <s v=""/>
    <s v="16.08"/>
    <s v="16.08"/>
    <s v="73800002"/>
    <s v="Procurement - Pune Asset"/>
    <s v="70319270"/>
    <s v="Sr. Section Officer"/>
    <s v="Pune Facility"/>
    <s v="0035950041"/>
    <s v="Pune-Procurement"/>
    <s v="2000ESPF"/>
    <s v="20006536"/>
    <s v="Mahesh Salunke"/>
    <s v="No"/>
    <s v="sachin.chavan@amns.in"/>
    <s v="7798986811"/>
    <s v="21394"/>
    <s v="Dhruv Vyas"/>
    <s v="Anil Matoo"/>
    <s v="Praveen Kuruvalli"/>
    <s v="Dhruv Vyas"/>
    <n v="0"/>
  </r>
  <r>
    <n v="2371"/>
    <n v="20036929"/>
    <s v="Shiv Kumar Bharadwaj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West"/>
    <s v="Hypermart"/>
    <s v="Domestic"/>
    <s v="Non Technical Support"/>
    <s v="Sales &amp; Marketing"/>
    <s v="Sales"/>
    <s v="73104004"/>
    <s v="OEM Sales"/>
    <s v="Pune AMNS"/>
    <d v="1971-07-15T00:00:00"/>
    <s v="52.02"/>
    <d v="2007-02-12T00:00:00"/>
    <d v="2029-07-31T00:00:00"/>
    <m/>
    <d v="2029-07-31T00:00:00"/>
    <n v="2141"/>
    <s v="B-"/>
    <s v="BA-1994 , Diploma-1994"/>
    <s v="11.08"/>
    <s v="16.07"/>
    <s v="28.02"/>
    <s v="00048138"/>
    <s v="Hypermart west"/>
    <s v="70277711"/>
    <s v="Sales Manager - Hypermart"/>
    <s v="Pune Facility"/>
    <s v="0035950073"/>
    <s v="Pune - S&amp;D Export"/>
    <s v="2000ESPF"/>
    <s v="20056847"/>
    <s v="Vikas Chotia"/>
    <s v="No"/>
    <s v="shiv.bhardwaj@amns.in"/>
    <s v="9930136640"/>
    <s v="21232"/>
    <s v="Dhruv Vyas"/>
    <s v="Anil Matoo"/>
    <s v="Praveen Kuruvalli"/>
    <s v="Dhruv Vyas"/>
    <n v="0"/>
  </r>
  <r>
    <n v="2374"/>
    <n v="20036934"/>
    <s v="Atul Patwardhan"/>
    <s v="AM/NS India"/>
    <s v="Onroll"/>
    <s v="M-8"/>
    <n v="8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MANAG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70-02-23T00:00:00"/>
    <s v="53.06"/>
    <d v="2007-02-20T00:00:00"/>
    <d v="2028-02-29T00:00:00"/>
    <m/>
    <d v="2028-02-29T00:00:00"/>
    <n v="1623"/>
    <s v="A-"/>
    <s v="MCom-1992"/>
    <s v="12.02"/>
    <s v="16.06"/>
    <s v="28.08"/>
    <s v="73800023"/>
    <s v="Raw Materials"/>
    <s v="73800045"/>
    <s v="SECTION MANAGER"/>
    <s v="Pune Facility"/>
    <s v="0035950030"/>
    <s v="Pune - Stores"/>
    <s v="2000ESPF"/>
    <s v="20006536"/>
    <s v="Mahesh Salunke"/>
    <s v="No"/>
    <s v="atul.patwardhan@amns.in"/>
    <s v="9158895928"/>
    <s v="23479"/>
    <s v="Dhruv Vyas"/>
    <s v="Anil Matoo"/>
    <s v="Praveen Kuruvalli"/>
    <s v="Dhruv Vyas"/>
    <n v="0"/>
  </r>
  <r>
    <n v="2378"/>
    <n v="20036940"/>
    <s v="Jyoti Phadtale"/>
    <s v="AM/NS India"/>
    <s v="Onroll"/>
    <s v="M-10"/>
    <n v="10"/>
    <m/>
    <s v="JM"/>
    <s v="F"/>
    <s v="Pune Facility"/>
    <n v="4"/>
    <s v="2043"/>
    <x v="3"/>
    <s v="31.01"/>
    <s v="Hrishikesh Kamat"/>
    <s v="Hrishikesh Kamat"/>
    <n v="7"/>
    <s v="Procurement"/>
    <s v="Procurement"/>
    <s v="31"/>
    <s v="Section Officer"/>
    <m/>
    <s v="Procurement"/>
    <s v="Service and Contract"/>
    <s v="Purchase"/>
    <s v="Non Technical Support"/>
    <s v="Finance &amp; Accounts"/>
    <s v="Finance &amp; Accounts"/>
    <s v="73901003"/>
    <s v="Accounts Payable"/>
    <s v="Pune AMNS"/>
    <d v="1981-02-24T00:00:00"/>
    <s v="42.06"/>
    <d v="2007-03-01T00:00:00"/>
    <d v="2039-02-28T00:00:00"/>
    <m/>
    <d v="2039-02-28T00:00:00"/>
    <n v="5640"/>
    <s v="O-"/>
    <s v="MCom-2005 , Certificate-2005 , BCom-2001"/>
    <s v="04.11"/>
    <s v="16.06"/>
    <s v="21.05"/>
    <s v="73800002"/>
    <s v="Procurement - Pune Asset"/>
    <s v="73800082"/>
    <s v="Section Officer"/>
    <s v="Pune Facility"/>
    <s v="0035950041"/>
    <s v="Pune-Procurement"/>
    <s v="2000ESPF"/>
    <s v="20006536"/>
    <s v="Mahesh Salunke"/>
    <s v="No"/>
    <s v="jyoti.gaware@amns.in"/>
    <s v="9158229060"/>
    <s v="21780"/>
    <s v="Dhruv Vyas"/>
    <s v="Anil Matoo"/>
    <s v="Praveen Kuruvalli"/>
    <s v="Dhruv Vyas"/>
    <n v="0"/>
  </r>
  <r>
    <n v="2379"/>
    <n v="20036941"/>
    <s v="Sagar Timbadia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r. Section Officer"/>
    <m/>
    <s v="Procurement"/>
    <s v="Mechanical Spares"/>
    <s v="Purchase"/>
    <s v="Non Technical Support"/>
    <s v="Commercial"/>
    <s v="Purchase"/>
    <s v="73804001"/>
    <s v="Purchase"/>
    <s v="Pune AMNS"/>
    <d v="1986-04-07T00:00:00"/>
    <s v="37.05"/>
    <d v="2007-03-01T00:00:00"/>
    <d v="2044-04-30T00:00:00"/>
    <m/>
    <d v="2044-04-30T00:00:00"/>
    <n v="7528"/>
    <s v="B-"/>
    <s v="BSc-2011 , Certificate-2011"/>
    <s v=""/>
    <s v="16.06"/>
    <s v="16.06"/>
    <s v="73800002"/>
    <s v="Procurement - Pune Asset"/>
    <s v="70273911"/>
    <s v="Sr. Section Officer"/>
    <s v="Pune Facility"/>
    <s v="0035950041"/>
    <s v="Pune-Procurement"/>
    <s v="2000ESPF"/>
    <s v="20006536"/>
    <s v="Mahesh Salunke"/>
    <s v="No"/>
    <s v="sagar.timbadia@amns.in"/>
    <s v="7798986812"/>
    <s v="24525"/>
    <s v="Dhruv Vyas"/>
    <s v="Anil Matoo"/>
    <s v="Praveen Kuruvalli"/>
    <s v="Dhruv Vyas"/>
    <n v="0"/>
  </r>
  <r>
    <n v="2402"/>
    <n v="20036977"/>
    <s v="Anisha Bansode"/>
    <s v="AM/NS India"/>
    <s v="Onroll"/>
    <s v="M-10"/>
    <n v="10"/>
    <m/>
    <s v="JM"/>
    <s v="F"/>
    <s v="Pune Facility"/>
    <n v="4"/>
    <s v="2023"/>
    <x v="6"/>
    <s v="24.08"/>
    <s v="Anil Matoo"/>
    <s v="Ashutosh Telang"/>
    <n v="6"/>
    <s v="HR &amp; Administration"/>
    <s v="Administration"/>
    <s v="24"/>
    <s v="Section Officer"/>
    <m/>
    <s v="Pune Operations"/>
    <s v="Administration"/>
    <s v="Front Office Services"/>
    <s v="Non Technical Support"/>
    <s v="Administration"/>
    <s v="Customer Operations"/>
    <s v="74102004"/>
    <s v="Front Office Services"/>
    <s v="Pune AMNS"/>
    <d v="1983-06-02T00:00:00"/>
    <s v="40.03"/>
    <d v="2007-06-25T00:00:00"/>
    <d v="2041-06-30T00:00:00"/>
    <m/>
    <d v="2041-06-30T00:00:00"/>
    <n v="6493"/>
    <s v="A-"/>
    <s v="BCom-2006"/>
    <s v="00.05"/>
    <s v="16.02"/>
    <s v="16.07"/>
    <s v="73800072"/>
    <s v="Administration"/>
    <s v="73800275"/>
    <s v="Section Officer"/>
    <s v="Pune Facility"/>
    <s v="0035950019"/>
    <s v="Pune-Admin"/>
    <s v="2000ESPF"/>
    <s v="20036748"/>
    <s v="Suresh Kadam"/>
    <s v="No"/>
    <s v="anisha.bansode@amns.in"/>
    <s v="9881397441"/>
    <s v="21162"/>
    <s v="Dhruv Vyas"/>
    <s v="Anil Matoo"/>
    <s v="Praveen Kuruvalli"/>
    <s v="Dhruv Vyas"/>
    <n v="0"/>
  </r>
  <r>
    <n v="2404"/>
    <n v="20036980"/>
    <s v="Vijay Nebapure"/>
    <s v="AM/NS India"/>
    <s v="Onroll"/>
    <s v="M-9"/>
    <n v="9"/>
    <m/>
    <s v="JM"/>
    <s v="M"/>
    <s v="Pune Facility"/>
    <n v="4"/>
    <s v="2084"/>
    <x v="17"/>
    <s v="23.09"/>
    <s v="Anil Matoo"/>
    <s v="Ashutosh Telang"/>
    <n v="6"/>
    <s v="HR &amp; Administration"/>
    <s v="Industrial Relations"/>
    <s v="23"/>
    <s v="Section Officer"/>
    <m/>
    <s v="Pune Operations"/>
    <s v="Administration"/>
    <s v="Welfer Officer"/>
    <s v="Non Technical Support"/>
    <s v="Human Resources Management"/>
    <s v="Payroll Shared Services"/>
    <s v="73509002"/>
    <s v="Payroll Administration"/>
    <s v="Pune AMNS"/>
    <d v="1982-06-12T00:00:00"/>
    <s v="41.03"/>
    <d v="2007-07-02T00:00:00"/>
    <d v="2040-06-30T00:00:00"/>
    <m/>
    <d v="2040-06-30T00:00:00"/>
    <n v="6128"/>
    <s v="AB-"/>
    <s v="MA-2013 , MPM-2013"/>
    <s v="03.00"/>
    <s v="16.02"/>
    <s v="19.02"/>
    <s v="73800070"/>
    <s v="Industrial Relations &amp; Pa"/>
    <s v="70376876"/>
    <s v="Section Officer"/>
    <s v="Pune Facility"/>
    <s v="0035950019"/>
    <s v="Pune-Admin"/>
    <s v="2000ESPF"/>
    <s v="20036591"/>
    <s v="Deepak Nikumbh"/>
    <s v="No"/>
    <s v="vijay.nebapure@amns.in"/>
    <s v="9158895144"/>
    <s v="22827"/>
    <s v="Dhruv Vyas"/>
    <s v="Anil Matoo"/>
    <s v="Praveen Kuruvalli"/>
    <s v="Dhruv Vyas"/>
    <n v="0"/>
  </r>
  <r>
    <n v="2418"/>
    <n v="20037003"/>
    <s v="Sandip Deshmukh"/>
    <s v="AM/NS India"/>
    <s v="Onroll"/>
    <s v="L-05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82-06-01T00:00:00"/>
    <s v="41.03"/>
    <d v="2007-08-11T00:00:00"/>
    <d v="2040-05-31T00:00:00"/>
    <m/>
    <d v="2040-05-31T00:00:00"/>
    <n v="6098"/>
    <s v="A-"/>
    <s v="BA-2008 , Certificate-2008 , Certificate"/>
    <s v="03.01"/>
    <s v="16.01"/>
    <s v="19.02"/>
    <s v="73800023"/>
    <s v="Raw Materials"/>
    <s v="70273912"/>
    <s v="SECTION OFFICER"/>
    <s v="Pune Facility"/>
    <s v="0035950030"/>
    <s v="Pune - Stores"/>
    <s v="2000ESPF"/>
    <s v="20036934"/>
    <s v="Atul Patwardhan"/>
    <s v="No"/>
    <s v="sandip.deshmukh@amns.in"/>
    <s v="8108098084"/>
    <s v="21618"/>
    <s v="Dhruv Vyas"/>
    <s v="Anil Matoo"/>
    <s v="Praveen Kuruvalli"/>
    <s v="Dhruv Vyas"/>
    <n v="0"/>
  </r>
  <r>
    <n v="2425"/>
    <n v="20037017"/>
    <s v="Manisha Raut"/>
    <s v="AM/NS India"/>
    <s v="Onroll"/>
    <s v="M-10"/>
    <n v="10"/>
    <m/>
    <s v="JM"/>
    <s v="F"/>
    <s v="Pune Facility"/>
    <n v="4"/>
    <s v="2023"/>
    <x v="6"/>
    <s v="24.08"/>
    <s v="Anil Matoo"/>
    <s v="Ashutosh Telang"/>
    <n v="6"/>
    <s v="HR &amp; Administration"/>
    <s v="Administration"/>
    <s v="24"/>
    <s v="Section Officer"/>
    <m/>
    <s v="Pune Operations"/>
    <s v="Administration"/>
    <s v="Admin &amp; Front Office Services"/>
    <s v="Non Technical Support"/>
    <s v="Administration"/>
    <s v="Customer Operations"/>
    <s v="74102004"/>
    <s v="Front Office Services"/>
    <s v="Pune AMNS"/>
    <d v="1974-09-26T00:00:00"/>
    <s v="48.11"/>
    <d v="2007-09-04T00:00:00"/>
    <d v="2032-09-30T00:00:00"/>
    <m/>
    <d v="2032-09-30T00:00:00"/>
    <n v="3298"/>
    <s v="B-"/>
    <s v="Intermediate-1993"/>
    <s v="02.09"/>
    <s v="16.00"/>
    <s v="18.09"/>
    <s v="73800072"/>
    <s v="Administration"/>
    <s v="70376861"/>
    <s v="Section Officer"/>
    <s v="Pune Facility"/>
    <s v="0035950019"/>
    <s v="Pune-Admin"/>
    <s v="2000ESPF"/>
    <s v="20036748"/>
    <s v="Suresh Kadam"/>
    <s v="No"/>
    <s v="manisha.raut@amns.in"/>
    <s v="9158895754"/>
    <s v="23755"/>
    <s v="Dhruv Vyas"/>
    <s v="Anil Matoo"/>
    <s v="Praveen Kuruvalli"/>
    <s v="Dhruv Vyas"/>
    <n v="0"/>
  </r>
  <r>
    <n v="2426"/>
    <n v="20037020"/>
    <s v="Shripad Sudame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Lead"/>
    <m/>
    <s v="Stores &amp; Warehouse"/>
    <s v="Stores &amp; Warehouse"/>
    <s v="Documentation"/>
    <s v="Non Technical Support"/>
    <s v="Finance &amp; Accounts"/>
    <s v="Finance &amp; Accounts"/>
    <s v="73901003"/>
    <s v="Accounts Payable"/>
    <s v="Pune AMNS"/>
    <d v="1968-12-23T00:00:00"/>
    <s v="54.08"/>
    <d v="2007-09-19T00:00:00"/>
    <d v="2026-12-31T00:00:00"/>
    <m/>
    <d v="2026-12-31T00:00:00"/>
    <n v="1198"/>
    <s v="A-"/>
    <s v="BCom-1991"/>
    <s v="15.11"/>
    <s v="16.00"/>
    <s v="31.10"/>
    <s v="73800023"/>
    <s v="Raw Materials"/>
    <s v="70376866"/>
    <s v="Lead"/>
    <s v="Pune Facility"/>
    <s v="0035950020"/>
    <s v="Pune-F&amp;A"/>
    <s v="2000ESPF"/>
    <s v="20036934"/>
    <s v="Atul Patwardhan"/>
    <s v="No"/>
    <s v="shripad.sudame@amns.in"/>
    <s v="9922913610"/>
    <s v="24377"/>
    <s v="Dhruv Vyas"/>
    <s v="Anil Matoo"/>
    <s v="Praveen Kuruvalli"/>
    <s v="Dhruv Vyas"/>
    <n v="0"/>
  </r>
  <r>
    <n v="2439"/>
    <n v="20037044"/>
    <s v="Vikas Ahankari"/>
    <s v="AM/NS India"/>
    <s v="Onroll"/>
    <s v="M-6"/>
    <n v="6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West"/>
    <s v="Hypermart"/>
    <s v="National Sales"/>
    <s v="Non Technical Support"/>
    <s v="Sales &amp; Marketing"/>
    <s v="Sales"/>
    <s v="73104004"/>
    <s v="OEM Sales"/>
    <s v="Pune AMNS"/>
    <d v="1978-05-20T00:00:00"/>
    <s v="45.04"/>
    <d v="2008-01-21T00:00:00"/>
    <d v="2036-05-31T00:00:00"/>
    <m/>
    <d v="2036-05-31T00:00:00"/>
    <n v="4637"/>
    <s v="A-"/>
    <s v="BE-1999"/>
    <s v="05.10"/>
    <s v="15.07"/>
    <s v="21.05"/>
    <s v="00048138"/>
    <s v="Hypermart west"/>
    <s v="70271023"/>
    <s v="Sales Manager - Hypermart"/>
    <s v="Pune Facility"/>
    <s v="0035950073"/>
    <s v="Pune - S&amp;D Export"/>
    <s v="2000ESPF"/>
    <s v="20056847"/>
    <s v="Vikas Chotia"/>
    <s v="No"/>
    <s v="vikas.ahankari@amns.in"/>
    <s v="9930136637"/>
    <s v="21041"/>
    <s v="Dhruv Vyas"/>
    <s v="Anil Matoo"/>
    <s v="Praveen Kuruvalli"/>
    <s v="Dhruv Vyas"/>
    <n v="0"/>
  </r>
  <r>
    <n v="2447"/>
    <n v="20037068"/>
    <s v="Ishwar Pingale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78-06-06T00:00:00"/>
    <s v="45.03"/>
    <d v="2008-03-20T00:00:00"/>
    <d v="2036-06-30T00:00:00"/>
    <m/>
    <d v="2036-06-30T00:00:00"/>
    <n v="4667"/>
    <s v="B-"/>
    <s v="MBA-2010 , BA-2010"/>
    <s v="02.05"/>
    <s v="15.06"/>
    <s v="17.10"/>
    <s v="73800024"/>
    <s v="General Consumables"/>
    <s v="70273914"/>
    <s v="Section Officer"/>
    <s v="Pune Facility"/>
    <s v="0035950030"/>
    <s v="Pune - Stores"/>
    <s v="2000ESPF"/>
    <s v="20036403"/>
    <s v="Sanjay Kumbhar"/>
    <s v="No"/>
    <s v="ishwar.pingale@amns.in"/>
    <s v="9604378396"/>
    <s v="23502"/>
    <s v="Dhruv Vyas"/>
    <s v="Anil Matoo"/>
    <s v="Praveen Kuruvalli"/>
    <s v="Dhruv Vyas"/>
    <n v="0"/>
  </r>
  <r>
    <n v="2449"/>
    <n v="20037070"/>
    <s v="Juber Shaikh"/>
    <s v="AM/NS India"/>
    <s v="Onroll"/>
    <s v="L-05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Asst.Indirect Tax"/>
    <m/>
    <s v="Finance &amp; Accounts - Pune"/>
    <s v="Finance &amp; Accounts"/>
    <s v="GST"/>
    <s v="Non Technical Support"/>
    <s v="Finance &amp; Accounts"/>
    <s v="Taxation"/>
    <s v="73904002"/>
    <s v="Indirect Taxation"/>
    <s v="Pune Facility"/>
    <d v="1986-01-20T00:00:00"/>
    <s v="37.07"/>
    <d v="2008-04-01T00:00:00"/>
    <d v="2044-01-31T00:00:00"/>
    <m/>
    <d v="2044-01-31T00:00:00"/>
    <n v="7438"/>
    <s v="O-"/>
    <s v="BCom-2006"/>
    <s v="00.03"/>
    <s v="15.05"/>
    <s v="15.08"/>
    <s v="73800021"/>
    <s v="Excise"/>
    <s v="70273915"/>
    <s v="Asst.Indirect Tax"/>
    <s v="Pune Facility"/>
    <s v="0035950020"/>
    <s v="Pune-F&amp;A"/>
    <s v="2000ESPF"/>
    <s v="20037274"/>
    <s v="Imtiyazkhan Pathan"/>
    <s v="No"/>
    <s v="juber.shaikh@amns.in"/>
    <s v="8552938899"/>
    <s v="24063"/>
    <s v="Dhruv Vyas"/>
    <s v="Anil Matoo"/>
    <s v="Praveen Kuruvalli"/>
    <s v="Dhruv Vyas"/>
    <n v="0"/>
  </r>
  <r>
    <n v="2450"/>
    <n v="20037071"/>
    <s v="Amit Chandaliy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Export Sales"/>
    <m/>
    <s v="Coated Sales"/>
    <s v="Coated Sales"/>
    <s v=""/>
    <s v="Non Technical Support"/>
    <s v="Sales &amp; Marketing"/>
    <s v="Sales"/>
    <s v="73104004"/>
    <s v="OEM Sales"/>
    <s v="Mumbai"/>
    <d v="1984-05-14T00:00:00"/>
    <s v="39.04"/>
    <d v="2008-04-01T00:00:00"/>
    <d v="2042-05-31T00:00:00"/>
    <m/>
    <d v="2042-05-31T00:00:00"/>
    <n v="6828"/>
    <s v="A-"/>
    <s v="B Pharma-2008 , PG Diploma-2008"/>
    <s v=""/>
    <s v="15.05"/>
    <s v="15.05"/>
    <s v="00043882"/>
    <s v="International Sales"/>
    <s v="70372450"/>
    <s v="Head Coated Sales"/>
    <s v="Hazira"/>
    <s v="0031950057"/>
    <s v="HZ-HRC - Marketing"/>
    <s v="2000HWO"/>
    <s v="20007104"/>
    <s v="Ranjan Dhar"/>
    <s v="No"/>
    <s v="amit.chandaliya@amns.in"/>
    <s v="9930136644"/>
    <s v="21339"/>
    <s v="Dhruv Vyas"/>
    <s v="Anil Matoo"/>
    <s v="Praveen Kuruvalli"/>
    <s v="Dhruv Vyas"/>
    <n v="0"/>
  </r>
  <r>
    <n v="2452"/>
    <n v="20037074"/>
    <s v="Balasaheb Mahale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69-06-06T00:00:00"/>
    <s v="54.03"/>
    <d v="2008-04-02T00:00:00"/>
    <d v="2027-06-30T00:00:00"/>
    <m/>
    <d v="2027-06-30T00:00:00"/>
    <n v="1379"/>
    <s v="O-"/>
    <s v="BCom-1991"/>
    <s v="15.02"/>
    <s v="15.05"/>
    <s v="30.07"/>
    <s v="73800024"/>
    <s v="General Consumables"/>
    <s v="70319307"/>
    <s v="Section Officer"/>
    <s v="Pune Facility"/>
    <s v="0035950030"/>
    <s v="Pune - Stores"/>
    <s v="2000ESPF"/>
    <s v="20036403"/>
    <s v="Sanjay Kumbhar"/>
    <s v="No"/>
    <s v="balasaheb.mahale@amns.in"/>
    <s v="9766654569"/>
    <s v="22466"/>
    <s v="Dhruv Vyas"/>
    <s v="Anil Matoo"/>
    <s v="Praveen Kuruvalli"/>
    <s v="Dhruv Vyas"/>
    <n v="0"/>
  </r>
  <r>
    <n v="2455"/>
    <n v="20037079"/>
    <s v="Prashant Zalke"/>
    <s v="AM/NS India"/>
    <s v="Onroll"/>
    <s v="M-9"/>
    <n v="9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Sr. Section Officer"/>
    <m/>
    <s v="West"/>
    <s v="Hypermart"/>
    <s v="Domestic"/>
    <s v="Non Technical Support"/>
    <s v="Sales &amp; Marketing"/>
    <s v="Sales &amp; Marketing"/>
    <s v="73101001"/>
    <s v="Sales &amp; Marketing"/>
    <s v="Pune AMNS"/>
    <d v="1981-07-23T00:00:00"/>
    <s v="42.01"/>
    <d v="2008-04-12T00:00:00"/>
    <d v="2039-07-31T00:00:00"/>
    <m/>
    <d v="2039-07-31T00:00:00"/>
    <n v="5793"/>
    <s v="B-"/>
    <s v="Intermediate-1999"/>
    <s v="01.04"/>
    <s v="15.05"/>
    <s v="16.09"/>
    <s v="00048138"/>
    <s v="Hypermart west"/>
    <s v="70277713"/>
    <s v="Sales Manager - Hypermart"/>
    <s v="Pune Facility"/>
    <s v="0035950073"/>
    <s v="Pune - S&amp;D Export"/>
    <s v="2000ESPF"/>
    <s v="20056847"/>
    <s v="Vikas Chotia"/>
    <s v="No"/>
    <s v="prashant.zalke@amns.in"/>
    <s v="9158895817"/>
    <s v="24808"/>
    <s v="Dhruv Vyas"/>
    <s v="Anil Matoo"/>
    <s v="Praveen Kuruvalli"/>
    <s v="Dhruv Vyas"/>
    <n v="0"/>
  </r>
  <r>
    <n v="2456"/>
    <n v="20037081"/>
    <s v="Savio Lainez"/>
    <s v="AM/NS India"/>
    <s v="Onroll"/>
    <s v="M-4"/>
    <n v="4"/>
    <m/>
    <s v="S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Head - Sales &amp; Marketing, Pune"/>
    <m/>
    <s v="Coated Sales"/>
    <s v="National Sales"/>
    <s v="National Sales"/>
    <s v="Non Technical Support"/>
    <s v="Human Resources Management"/>
    <s v="Human Resources Management"/>
    <s v="73501001"/>
    <s v="Human Resources"/>
    <s v="Mumbai"/>
    <d v="1966-07-14T00:00:00"/>
    <s v="57.02"/>
    <d v="2008-04-24T00:00:00"/>
    <d v="2024-07-31T00:00:00"/>
    <m/>
    <d v="2024-07-31T00:00:00"/>
    <n v="315"/>
    <s v="A-"/>
    <s v="BSc-1993 , Diploma Equivalent-1993"/>
    <s v="20.07"/>
    <s v="15.04"/>
    <s v="35.11"/>
    <s v="70265784"/>
    <s v="Sales &amp; Marketing - Pune Asset"/>
    <s v="73800222"/>
    <s v="Head - Sales &amp; Marketing, Pune"/>
    <s v="Pune Facility"/>
    <s v="0035950073"/>
    <s v="Pune - S&amp;D Export"/>
    <s v="2000ESPF"/>
    <s v="20055091"/>
    <s v="Akshaya Gujral"/>
    <s v="No"/>
    <s v="savio.lainez@amns.in"/>
    <s v="9930136635"/>
    <s v="22414"/>
    <s v="Dhruv Vyas"/>
    <s v="Anil Matoo"/>
    <s v="Praveen Kuruvalli"/>
    <s v="Dhruv Vyas"/>
    <n v="0"/>
  </r>
  <r>
    <n v="2457"/>
    <n v="20037086"/>
    <s v="Ganesh Gaikwad"/>
    <s v="AM/NS India"/>
    <s v="Onroll"/>
    <s v="L-05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Asst.Indirect Tax"/>
    <m/>
    <s v="Finance &amp; Accounts - Pune"/>
    <s v="Finance &amp; Accounts"/>
    <s v="EXIM &amp; Custom"/>
    <s v="Non Technical Support"/>
    <s v="Finance &amp; Accounts"/>
    <s v="Taxation"/>
    <s v="73904002"/>
    <s v="Indirect Taxation"/>
    <s v="Pune Facility"/>
    <d v="1987-06-26T00:00:00"/>
    <s v="36.02"/>
    <d v="2008-05-12T00:00:00"/>
    <d v="2045-06-30T00:00:00"/>
    <m/>
    <d v="2045-06-30T00:00:00"/>
    <n v="7954"/>
    <s v="A-"/>
    <s v="Intermediate-2005"/>
    <s v=""/>
    <s v="15.04"/>
    <s v="15.04"/>
    <s v="73800021"/>
    <s v="Excise"/>
    <s v="73800029"/>
    <s v="Asst.Indirect Tax"/>
    <s v="Pune Facility"/>
    <s v="0035950020"/>
    <s v="Pune-F&amp;A"/>
    <s v="2000ESPF"/>
    <s v="20037274"/>
    <s v="Imtiyazkhan Pathan"/>
    <s v="No"/>
    <s v="ganesh.gaikwad@amns.in"/>
    <s v="9823919399"/>
    <s v="21729"/>
    <s v="Dhruv Vyas"/>
    <s v="Anil Matoo"/>
    <s v="Praveen Kuruvalli"/>
    <s v="Dhruv Vyas"/>
    <n v="0"/>
  </r>
  <r>
    <n v="2458"/>
    <n v="20037087"/>
    <s v="Midhilesh Kumar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SECTION OFFICER"/>
    <m/>
    <s v="Export"/>
    <s v="Export"/>
    <s v="Export"/>
    <s v="Non Technical Support"/>
    <s v="Finance &amp; Accounts"/>
    <s v="Taxation"/>
    <s v="73904002"/>
    <s v="Indirect Taxation"/>
    <s v="Pune AMNS"/>
    <d v="1987-06-16T00:00:00"/>
    <s v="36.03"/>
    <d v="2008-05-12T00:00:00"/>
    <d v="2045-06-30T00:00:00"/>
    <m/>
    <d v="2045-06-30T00:00:00"/>
    <n v="7954"/>
    <s v="A-"/>
    <s v="Intermediate-2008 , Bachelor Equivalent-"/>
    <s v=""/>
    <s v="15.04"/>
    <s v="15.04"/>
    <s v="70495379"/>
    <s v="Chief Marketing Officer - AMNS ME FZE"/>
    <s v="70273916"/>
    <s v="KAM - Export Sales"/>
    <s v="Pune Facility"/>
    <s v="0035950073"/>
    <s v="Pune - S&amp;D Export"/>
    <s v="2000ESPF"/>
    <s v="20055663"/>
    <s v="Karamath Syed"/>
    <s v="No"/>
    <s v="midhilesh.kumar@amns.in"/>
    <s v="9158895082"/>
    <s v="22331"/>
    <s v="Dhruv Vyas"/>
    <s v="Anil Matoo"/>
    <s v="Praveen Kuruvalli"/>
    <s v="Dhruv Vyas"/>
    <n v="0"/>
  </r>
  <r>
    <n v="2466"/>
    <n v="20037100"/>
    <s v="Devendra Rathod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Finance &amp; Accounts"/>
    <s v="Non Technical Support"/>
    <s v="Finance &amp; Accounts"/>
    <s v="Treasury"/>
    <s v="73903001"/>
    <s v="Treasury"/>
    <s v="Mumbai"/>
    <d v="1974-10-02T00:00:00"/>
    <s v="48.11"/>
    <d v="2008-06-10T00:00:00"/>
    <d v="2032-10-31T00:00:00"/>
    <m/>
    <d v="2032-10-31T00:00:00"/>
    <n v="3329"/>
    <s v="AB-"/>
    <s v="Certificate-1998 , BCom-1998"/>
    <s v="11.02"/>
    <s v="15.03"/>
    <s v="26.05"/>
    <s v="70494410"/>
    <s v="Finance Controller 1"/>
    <s v="70376862"/>
    <s v="Lead"/>
    <s v="Pune Facility"/>
    <s v="0035950020"/>
    <s v="Pune-F&amp;A"/>
    <s v="2000ESPF"/>
    <s v="20007731"/>
    <s v="Ashish Mehta"/>
    <s v="No"/>
    <s v="devendra.rathod@amns.in"/>
    <s v="9769621236"/>
    <s v="23736"/>
    <s v="Dhruv Vyas"/>
    <s v="Anil Matoo"/>
    <s v="Praveen Kuruvalli"/>
    <s v="Dhruv Vyas"/>
    <n v="0"/>
  </r>
  <r>
    <n v="2491"/>
    <n v="20037138"/>
    <s v="Sanjay Chunekar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DY. SECTION MANAGER"/>
    <m/>
    <s v="Coated Sales"/>
    <s v="Coated Sales"/>
    <s v="Domestic"/>
    <s v="Non Technical Support"/>
    <s v="Sales &amp; Marketing"/>
    <s v="Sales"/>
    <s v="73104004"/>
    <s v="OEM Sales"/>
    <s v="Mumbai"/>
    <d v="1975-12-19T00:00:00"/>
    <s v="47.09"/>
    <d v="2008-07-14T00:00:00"/>
    <d v="2033-12-31T00:00:00"/>
    <m/>
    <d v="2033-12-31T00:00:00"/>
    <n v="3755"/>
    <s v="O-"/>
    <s v="BCom-1998"/>
    <s v="08.07"/>
    <s v="15.02"/>
    <s v="23.09"/>
    <s v="00043882"/>
    <s v="International Sales"/>
    <s v="70277712"/>
    <s v="KAM - Coated Sales"/>
    <s v="Pune Facility"/>
    <s v="0035950074"/>
    <s v="Pune - S&amp;d Domestic"/>
    <s v="2000ESPF"/>
    <s v="20037071"/>
    <s v="Amit Chandaliya"/>
    <s v="No"/>
    <s v="sanjay.chunekar@amns.in"/>
    <s v="9930134718"/>
    <s v="21443"/>
    <s v="Dhruv Vyas"/>
    <s v="Anil Matoo"/>
    <s v="Praveen Kuruvalli"/>
    <s v="Dhruv Vyas"/>
    <n v="0"/>
  </r>
  <r>
    <n v="2494"/>
    <n v="20037146"/>
    <s v="Neeta Satav"/>
    <s v="AM/NS India"/>
    <s v="Onroll"/>
    <s v="M-10"/>
    <n v="10"/>
    <m/>
    <s v="JM"/>
    <s v="F"/>
    <s v="Pune Facility"/>
    <n v="4"/>
    <s v="2015"/>
    <x v="1"/>
    <s v="22.06"/>
    <s v="Anil Matoo"/>
    <s v="Ashutosh Telang"/>
    <n v="6"/>
    <s v="HR &amp; Administration"/>
    <s v="Human Resources"/>
    <s v="22"/>
    <s v="Section Officer"/>
    <m/>
    <s v="Pune Operations"/>
    <s v="Administration"/>
    <s v="Recuritment"/>
    <s v="Non Technical Support"/>
    <s v="Human Resources Management"/>
    <s v="Compensation &amp; Benefits"/>
    <s v="73504001"/>
    <s v="Compensation &amp; Benefits"/>
    <s v="Pune AMNS"/>
    <d v="1986-08-06T00:00:00"/>
    <s v="37.01"/>
    <d v="2008-07-16T00:00:00"/>
    <d v="2044-08-31T00:00:00"/>
    <m/>
    <d v="2044-08-31T00:00:00"/>
    <n v="7651"/>
    <s v="AB-"/>
    <s v="Diploma-2008"/>
    <s v=""/>
    <s v="15.02"/>
    <s v="15.02"/>
    <s v="73800068"/>
    <s v="Pune HR Operations &amp; Administration"/>
    <s v="70415282"/>
    <s v="Section Officer"/>
    <s v="Pune Facility"/>
    <s v="0035950019"/>
    <s v="Pune-Admin"/>
    <s v="2000ESPF"/>
    <s v="20037245"/>
    <s v="Mukund Jagirdar"/>
    <s v="No"/>
    <s v="neeta.satav@amns.in"/>
    <s v="7875649364"/>
    <s v="23943"/>
    <s v="Dhruv Vyas"/>
    <s v="Anil Matoo"/>
    <s v="Praveen Kuruvalli"/>
    <s v="Dhruv Vyas"/>
    <n v="0"/>
  </r>
  <r>
    <n v="2509"/>
    <n v="20037177"/>
    <s v="Pradip Biswas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- Export Sales"/>
    <m/>
    <s v="Export"/>
    <s v="Export"/>
    <s v=""/>
    <s v="Non Technical Support"/>
    <s v="Sales &amp; Marketing"/>
    <s v="Sales"/>
    <s v="73104004"/>
    <s v="OEM Sales"/>
    <s v="Mumbai"/>
    <d v="1969-01-19T00:00:00"/>
    <s v="54.08"/>
    <d v="2008-08-11T00:00:00"/>
    <d v="2027-01-31T00:00:00"/>
    <m/>
    <d v="2027-01-31T00:00:00"/>
    <n v="1229"/>
    <s v="B-"/>
    <s v="Intermediate-1992 , BA-1992"/>
    <s v="16.02"/>
    <s v="15.01"/>
    <s v="31.03"/>
    <s v="70495379"/>
    <s v="Chief Marketing Officer - AMNS ME FZE"/>
    <s v="70336259"/>
    <s v="Sr. KAM - Export Sales"/>
    <s v="Hazira"/>
    <s v="0031950057"/>
    <s v="HZ-HRC - Marketing"/>
    <s v="2000HWO"/>
    <s v="20055663"/>
    <s v="Karamath Syed"/>
    <s v="No"/>
    <s v="pradip.biswas@amns.in"/>
    <s v="9930136642"/>
    <s v="21300"/>
    <s v="Dhruv Vyas"/>
    <s v="Anil Matoo"/>
    <s v="Praveen Kuruvalli"/>
    <s v="Dhruv Vyas"/>
    <n v="0"/>
  </r>
  <r>
    <n v="2511"/>
    <n v="20037180"/>
    <s v="Santosh Sathe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ASST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85-08-03T00:00:00"/>
    <s v="38.01"/>
    <d v="2008-08-18T00:00:00"/>
    <d v="2043-08-31T00:00:00"/>
    <m/>
    <d v="2043-08-31T00:00:00"/>
    <n v="7285"/>
    <s v="O-"/>
    <s v="Intermediate-2006 , Certificate-2006"/>
    <s v=""/>
    <s v="15.01"/>
    <s v="15.01"/>
    <s v="73800072"/>
    <s v="Administration"/>
    <s v="70376872"/>
    <s v="ASST. SECTION OFFICER"/>
    <s v="Pune Facility"/>
    <s v="0035950019"/>
    <s v="Pune-Admin"/>
    <s v="2000ESPF"/>
    <s v="20036748"/>
    <s v="Suresh Kadam"/>
    <s v="No"/>
    <s v="santosh.sathe@amns.in"/>
    <s v="9637040461"/>
    <s v="23950"/>
    <s v="Dhruv Vyas"/>
    <s v="Anil Matoo"/>
    <s v="Praveen Kuruvalli"/>
    <s v="Dhruv Vyas"/>
    <n v="0"/>
  </r>
  <r>
    <n v="2515"/>
    <n v="20037185"/>
    <s v="Shilpa Darekar"/>
    <s v="AM/NS India"/>
    <s v="Onroll"/>
    <s v="M-10"/>
    <n v="10"/>
    <m/>
    <s v="JM"/>
    <s v="F"/>
    <s v="Pune Facility"/>
    <n v="4"/>
    <s v="2023"/>
    <x v="6"/>
    <s v="24.08"/>
    <s v="Anil Matoo"/>
    <s v="Ashutosh Telang"/>
    <n v="6"/>
    <s v="HR &amp; Administration"/>
    <s v="Administration"/>
    <s v="24"/>
    <s v="Section Officer"/>
    <m/>
    <s v="Pune Operations"/>
    <s v="Administration"/>
    <s v="Admin. And Billing"/>
    <s v="Non Technical Support"/>
    <s v="Administration"/>
    <s v="Administration"/>
    <s v="74101001"/>
    <s v="Administration"/>
    <s v="Pune AMNS"/>
    <d v="1977-02-14T00:00:00"/>
    <s v="46.07"/>
    <d v="2008-08-25T00:00:00"/>
    <d v="2035-02-28T00:00:00"/>
    <m/>
    <d v="2035-02-28T00:00:00"/>
    <n v="4179"/>
    <s v="O-"/>
    <s v="BA-2002 , MA-2002 , Intermediate-1999"/>
    <s v=""/>
    <s v="15.00"/>
    <s v="15.00"/>
    <s v="73800072"/>
    <s v="Administration"/>
    <s v="73800272"/>
    <s v="Section Officer"/>
    <s v="Pune Facility"/>
    <s v="0035950019"/>
    <s v="Pune-Admin"/>
    <s v="2000ESPF"/>
    <s v="20036748"/>
    <s v="Suresh Kadam"/>
    <s v="No"/>
    <s v="shilpa.darekar@amns.in"/>
    <s v="8552987333"/>
    <s v="21497"/>
    <s v="Dhruv Vyas"/>
    <s v="Anil Matoo"/>
    <s v="Praveen Kuruvalli"/>
    <s v="Dhruv Vyas"/>
    <n v="0"/>
  </r>
  <r>
    <n v="2517"/>
    <n v="20037187"/>
    <s v="Ramhari Darekar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 Section Officer - Tra"/>
    <m/>
    <s v="Pune Operations"/>
    <s v="Transport"/>
    <s v="Transport"/>
    <s v="Non Technical Support"/>
    <s v="Administration"/>
    <s v="Travel Services"/>
    <s v="74106002"/>
    <s v="Transport Operations"/>
    <s v="Pune Facility"/>
    <d v="1985-08-11T00:00:00"/>
    <s v="38.01"/>
    <d v="2008-08-25T00:00:00"/>
    <d v="2043-08-31T00:00:00"/>
    <m/>
    <d v="2043-08-31T00:00:00"/>
    <n v="7285"/>
    <s v="O-"/>
    <s v="Non Matric-2000"/>
    <s v="02.01"/>
    <s v="15.00"/>
    <s v="17.01"/>
    <s v="73800072"/>
    <s v="Administration"/>
    <s v="73800314"/>
    <s v="Jr. Section Officer - Tra"/>
    <s v="Pune Facility"/>
    <s v="0035950019"/>
    <s v="Pune-Admin"/>
    <s v="2000ESPF"/>
    <s v="20036748"/>
    <s v="Suresh Kadam"/>
    <s v="No"/>
    <s v="ramhari.darekar@amns.in"/>
    <s v="9767784141"/>
    <s v="21492"/>
    <s v="Dhruv Vyas"/>
    <s v="Anil Matoo"/>
    <s v="Praveen Kuruvalli"/>
    <s v="Dhruv Vyas"/>
    <n v="0"/>
  </r>
  <r>
    <n v="2523"/>
    <n v="20037193"/>
    <s v="Pravin Darekar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ASST. 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85-06-22T00:00:00"/>
    <s v="38.03"/>
    <d v="2008-09-03T00:00:00"/>
    <d v="2043-06-30T00:00:00"/>
    <m/>
    <d v="2043-06-30T00:00:00"/>
    <n v="7223"/>
    <s v="B-"/>
    <s v="NAC/NCVT/ITI-2002"/>
    <s v=""/>
    <s v="15.00"/>
    <s v="15.00"/>
    <s v="73800023"/>
    <s v="Raw Materials"/>
    <s v="70376868"/>
    <s v="ASST. SECTION OFFICER"/>
    <s v="Pune Facility"/>
    <s v="0035950030"/>
    <s v="Pune - Stores"/>
    <s v="2000ESPF"/>
    <s v="20036934"/>
    <s v="Atul Patwardhan"/>
    <s v="No"/>
    <s v="pravin.darekar@amns.in"/>
    <s v="9764616877"/>
    <s v="21488"/>
    <s v="Dhruv Vyas"/>
    <s v="Anil Matoo"/>
    <s v="Praveen Kuruvalli"/>
    <s v="Dhruv Vyas"/>
    <n v="0"/>
  </r>
  <r>
    <n v="2524"/>
    <n v="20037194"/>
    <s v="Subhash Bhandare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 Section Officer - Tra"/>
    <m/>
    <s v="Pune Operations"/>
    <s v="Transport"/>
    <s v="Transport"/>
    <s v="Non Technical Support"/>
    <s v="Administration"/>
    <s v="Travel Services"/>
    <s v="74106002"/>
    <s v="Transport Operations"/>
    <s v="Pune Facility"/>
    <d v="1979-01-23T00:00:00"/>
    <s v="44.07"/>
    <d v="2008-09-03T00:00:00"/>
    <d v="2037-01-31T00:00:00"/>
    <m/>
    <d v="2037-01-31T00:00:00"/>
    <n v="4882"/>
    <s v="O-"/>
    <s v="Non Matric-1996"/>
    <s v="01.00"/>
    <s v="15.00"/>
    <s v="16.00"/>
    <s v="73800072"/>
    <s v="Administration"/>
    <s v="73800313"/>
    <s v="Jr. Section Officer - Tra"/>
    <s v="Pune Facility"/>
    <s v="0035950019"/>
    <s v="Pune-Admin"/>
    <s v="2000ESPF"/>
    <s v="20036748"/>
    <s v="Suresh Kadam"/>
    <s v="Yes"/>
    <s v="subhash.bhandare@amns.in"/>
    <s v="9623137854"/>
    <s v="21217"/>
    <s v="Dhruv Vyas"/>
    <s v="Anil Matoo"/>
    <s v="Praveen Kuruvalli"/>
    <s v="Dhruv Vyas"/>
    <n v="0"/>
  </r>
  <r>
    <n v="2525"/>
    <n v="20037195"/>
    <s v="Rahul Shamarav Darekar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Jr. Section Officer - Mec"/>
    <m/>
    <s v="Procurement"/>
    <s v="Stores &amp; Warehouse"/>
    <s v="Stores"/>
    <s v="Non Technical Support"/>
    <s v="Operations"/>
    <s v="Plant Maintenance"/>
    <s v="72103008"/>
    <s v="Mechanical Maintenance"/>
    <s v="Pune Facility"/>
    <d v="1990-08-23T00:00:00"/>
    <s v="33.00"/>
    <d v="2008-09-03T00:00:00"/>
    <d v="2048-08-31T00:00:00"/>
    <m/>
    <d v="2048-08-31T00:00:00"/>
    <n v="9112"/>
    <s v="B-"/>
    <s v="SSLC-2007 , Certificate-2007"/>
    <s v=""/>
    <s v="15.00"/>
    <s v="15.00"/>
    <s v="73800023"/>
    <s v="Raw Materials"/>
    <s v="73800550"/>
    <s v="Jr. Section Officer - Mec"/>
    <s v="Pune Facility"/>
    <s v="0035950030"/>
    <s v="Pune - Stores"/>
    <s v="2000ESPF"/>
    <s v="20036934"/>
    <s v="Atul Patwardhan"/>
    <s v="No"/>
    <s v="rahul.darekar@amns.in"/>
    <s v="9860638400"/>
    <s v="21489"/>
    <s v="Dhruv Vyas"/>
    <s v="Anil Matoo"/>
    <s v="Praveen Kuruvalli"/>
    <s v="Dhruv Vyas"/>
    <n v="0"/>
  </r>
  <r>
    <n v="2527"/>
    <n v="20037199"/>
    <s v="Jaydeep Satpute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4"/>
    <s v="Accounts Receivables"/>
    <s v="Pune AMNS"/>
    <d v="1980-09-04T00:00:00"/>
    <s v="43.00"/>
    <d v="2008-09-01T00:00:00"/>
    <d v="2038-09-30T00:00:00"/>
    <m/>
    <d v="2038-09-30T00:00:00"/>
    <n v="5489"/>
    <s v="A-"/>
    <s v="Certificate-2011 , MBA-2011 , Post Diplo"/>
    <s v="06.08"/>
    <s v="15.00"/>
    <s v="21.08"/>
    <s v="70418544"/>
    <s v="Costing"/>
    <s v="73800076"/>
    <s v="Lead"/>
    <s v="Pune Facility"/>
    <s v="0035950020"/>
    <s v="Pune-F&amp;A"/>
    <s v="2000ESPF"/>
    <s v="20048971"/>
    <s v="Arindam Ganguly"/>
    <s v="No"/>
    <s v="jaydeep.satpute@amns.in"/>
    <s v="7588075421"/>
    <s v="23961"/>
    <s v="Dhruv Vyas"/>
    <s v="Anil Matoo"/>
    <s v="Praveen Kuruvalli"/>
    <s v="Dhruv Vyas"/>
    <n v="0"/>
  </r>
  <r>
    <n v="2531"/>
    <n v="20037204"/>
    <s v="Vinay Verenkar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Lead"/>
    <m/>
    <s v="Procurement"/>
    <s v="Procurement"/>
    <s v="Procurement"/>
    <s v="Non Technical Support"/>
    <s v="Finance &amp; Accounts"/>
    <s v="Finance &amp; Accounts"/>
    <s v="73901003"/>
    <s v="Accounts Payable"/>
    <s v="Pune AMNS"/>
    <d v="1972-09-02T00:00:00"/>
    <s v="51.00"/>
    <d v="2008-09-15T00:00:00"/>
    <d v="2030-09-30T00:00:00"/>
    <m/>
    <d v="2030-09-30T00:00:00"/>
    <n v="2567"/>
    <s v="B-"/>
    <s v="Intermediate-1993 , BCom-1993"/>
    <s v="13.09"/>
    <s v="15.00"/>
    <s v="28.09"/>
    <s v="73800002"/>
    <s v="Procurement - Pune Asset"/>
    <s v="70319259"/>
    <s v="Lead"/>
    <s v="Pune Facility"/>
    <s v="0035950020"/>
    <s v="Pune-F&amp;A"/>
    <s v="2000ESPF"/>
    <s v="20006536"/>
    <s v="Mahesh Salunke"/>
    <s v="No"/>
    <s v="vinay.verenkar@amns.in"/>
    <s v="9923036976"/>
    <s v="24670"/>
    <s v="Dhruv Vyas"/>
    <s v="Anil Matoo"/>
    <s v="Praveen Kuruvalli"/>
    <s v="Dhruv Vyas"/>
    <n v="0"/>
  </r>
  <r>
    <n v="2532"/>
    <n v="20037206"/>
    <s v="Salim Shaikh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SR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71-07-01T00:00:00"/>
    <s v="52.02"/>
    <d v="2008-10-01T00:00:00"/>
    <d v="2029-06-30T00:00:00"/>
    <m/>
    <d v="2029-06-30T00:00:00"/>
    <n v="2110"/>
    <s v="B-"/>
    <s v="Non Matric-1980"/>
    <s v="17.00"/>
    <s v="14.11"/>
    <s v="31.11"/>
    <s v="73800072"/>
    <s v="Administration"/>
    <s v="73800302"/>
    <s v="SR. SECTION OFFICER"/>
    <s v="Pune Facility"/>
    <s v="0035950019"/>
    <s v="Pune-Admin"/>
    <s v="2000ESPF"/>
    <s v="20036748"/>
    <s v="Suresh Kadam"/>
    <s v="No"/>
    <s v="salim.shaikh1@amns.in"/>
    <s v="9763810633"/>
    <s v="24068"/>
    <s v="Dhruv Vyas"/>
    <s v="Anil Matoo"/>
    <s v="Praveen Kuruvalli"/>
    <s v="Dhruv Vyas"/>
    <n v="0"/>
  </r>
  <r>
    <n v="2537"/>
    <n v="20037219"/>
    <s v="Japani Ansari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ASST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76-02-20T00:00:00"/>
    <s v="47.06"/>
    <d v="2008-12-01T00:00:00"/>
    <d v="2034-02-28T00:00:00"/>
    <m/>
    <d v="2034-02-28T00:00:00"/>
    <n v="3814"/>
    <s v="B-"/>
    <s v="Non Matric-1993"/>
    <s v="08.09"/>
    <s v="14.09"/>
    <s v="23.06"/>
    <s v="73800072"/>
    <s v="Administration"/>
    <s v="73800305"/>
    <s v="ASST. SECTION OFFICER"/>
    <s v="Pune Facility"/>
    <s v="0035950019"/>
    <s v="Pune-Admin"/>
    <s v="2000ESPF"/>
    <s v="20036748"/>
    <s v="Suresh Kadam"/>
    <s v="No"/>
    <s v="japani.ansari@amns.in"/>
    <s v="9730509425"/>
    <s v="21088"/>
    <s v="Dhruv Vyas"/>
    <s v="Anil Matoo"/>
    <s v="Praveen Kuruvalli"/>
    <s v="Dhruv Vyas"/>
    <n v="0"/>
  </r>
  <r>
    <n v="2541"/>
    <n v="20037239"/>
    <s v="Prashant Shah"/>
    <s v="AM/NS India"/>
    <s v="Onroll"/>
    <s v="M-6"/>
    <n v="6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nior Lead"/>
    <m/>
    <s v="Finance &amp; Accounts - Pune"/>
    <s v="Finance &amp; Accounts"/>
    <s v="Accounts Payable"/>
    <s v="Non Technical Support"/>
    <s v="Finance &amp; Accounts"/>
    <s v="Finance &amp; Accounts"/>
    <s v="73901004"/>
    <s v="Accounts Receivables"/>
    <s v="Pune AMNS"/>
    <d v="1975-05-10T00:00:00"/>
    <s v="48.04"/>
    <d v="2010-05-05T00:00:00"/>
    <d v="2033-05-31T00:00:00"/>
    <m/>
    <d v="2033-05-31T00:00:00"/>
    <n v="3541"/>
    <s v="A-"/>
    <s v="BSc-2003 , CA Final-2003"/>
    <s v="06.06"/>
    <s v="13.04"/>
    <s v="19.10"/>
    <s v="73800027"/>
    <s v="Account Receivables"/>
    <s v="70386110"/>
    <s v="Senior Lead"/>
    <s v="Pune Facility"/>
    <s v="0035950020"/>
    <s v="Pune-F&amp;A"/>
    <s v="2000ESPF"/>
    <s v="0"/>
    <s v=""/>
    <s v="No"/>
    <s v="prashant.shah@amns.in"/>
    <s v="7798986828"/>
    <s v="24029"/>
    <s v="Dhruv Vyas"/>
    <s v="Anil Matoo"/>
    <s v="Praveen Kuruvalli"/>
    <s v="Dhruv Vyas"/>
    <n v="0"/>
  </r>
  <r>
    <n v="2542"/>
    <n v="20037245"/>
    <s v="Mukund Jagirdar"/>
    <s v="AM/NS India"/>
    <s v="Onroll"/>
    <s v="M-3"/>
    <n v="3"/>
    <m/>
    <s v="SM"/>
    <s v="M"/>
    <s v="Pune Facility"/>
    <n v="4"/>
    <s v="2015"/>
    <x v="1"/>
    <s v="22.06"/>
    <s v="Anil Matoo"/>
    <s v="Ashutosh Telang"/>
    <n v="6"/>
    <s v="HR &amp; Administration"/>
    <s v="Human Resources"/>
    <s v="22"/>
    <s v="Head HR IR &amp; Admin - Pune Asset"/>
    <m/>
    <s v="Human Resources"/>
    <s v="HR,Admin &amp; IR"/>
    <s v="HR,Admin &amp; IR"/>
    <s v="Non Technical Support"/>
    <s v="Human Resources Management"/>
    <s v="Human Resources Management"/>
    <s v="73501001"/>
    <s v="Human Resources"/>
    <s v="Pune AMNS"/>
    <d v="1964-09-06T00:00:00"/>
    <s v="59.00"/>
    <d v="2010-10-18T00:00:00"/>
    <d v="2022-09-30T00:00:00"/>
    <d v="2024-09-30T00:00:00"/>
    <d v="2024-09-30T00:00:00"/>
    <n v="376"/>
    <s v="O-"/>
    <s v="Master's Equivalent-1999 , Diploma Equiv"/>
    <s v="21.02"/>
    <s v="12.11"/>
    <s v="34.00"/>
    <s v="73800068"/>
    <s v="Pune HR Operations &amp; Administration"/>
    <s v="70320203"/>
    <s v="Head HR IR &amp; Admin - Pune Asset"/>
    <s v="Pune Facility"/>
    <s v="0035950019"/>
    <s v="Pune-Admin"/>
    <s v="2000ESPF"/>
    <s v="20000083"/>
    <s v="Anil Matoo"/>
    <s v="No"/>
    <s v="mukund.jagirdar@amns.in"/>
    <s v="7875440661"/>
    <s v="21959"/>
    <s v="Dhruv Vyas"/>
    <s v="Anil Matoo"/>
    <s v="Praveen Kuruvalli"/>
    <s v="Dhruv Vyas"/>
    <n v="0"/>
  </r>
  <r>
    <n v="2545"/>
    <n v="20037274"/>
    <s v="Imtiyazkhan Pathan"/>
    <s v="AM/NS India"/>
    <s v="Onroll"/>
    <s v="M-7"/>
    <n v="7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ction Head– Indirect Taxation"/>
    <m/>
    <s v="Finance &amp; Accounts - Pune"/>
    <s v="Finance &amp; Accounts"/>
    <s v="Indirect Taxation"/>
    <s v="Non Technical Support"/>
    <s v="Finance &amp; Accounts"/>
    <s v="Taxation"/>
    <s v="73904002"/>
    <s v="Indirect Taxation"/>
    <s v="Pune AMNS"/>
    <d v="1964-06-01T00:00:00"/>
    <s v="59.03"/>
    <d v="1994-04-02T00:00:00"/>
    <d v="2022-05-31T00:00:00"/>
    <d v="2025-05-31T00:00:00"/>
    <d v="2025-05-31T00:00:00"/>
    <n v="619"/>
    <s v="B-"/>
    <s v="BCom-1988 , MCom-1988"/>
    <s v="01.06"/>
    <s v="29.05"/>
    <s v="30.11"/>
    <s v="73800021"/>
    <s v="Excise"/>
    <s v="70386113"/>
    <s v="Section Head– Indirect Taxation"/>
    <s v="Pune Facility"/>
    <s v="0035950020"/>
    <s v="Pune-F&amp;A"/>
    <s v="2000ESPF"/>
    <s v="20055188"/>
    <s v="Rohit Sharma"/>
    <s v="No"/>
    <s v="imtiyazkhan.pathan@amns.in"/>
    <s v="9158895848"/>
    <s v="23430"/>
    <s v="Dhruv Vyas"/>
    <s v="Anil Matoo"/>
    <s v="Praveen Kuruvalli"/>
    <s v="Dhruv Vyas"/>
    <n v="0"/>
  </r>
  <r>
    <n v="2546"/>
    <n v="20037277"/>
    <s v="Sripada Sailendra"/>
    <s v="AM/NS India"/>
    <s v="Onroll"/>
    <s v="M-6"/>
    <n v="6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South"/>
    <s v="OEM"/>
    <s v="Domestic"/>
    <s v="Non Technical Support"/>
    <s v="Sales &amp; Marketing"/>
    <s v="Sales"/>
    <s v="73104004"/>
    <s v="OEM Sales"/>
    <s v="Pune AMNS"/>
    <d v="1976-05-15T00:00:00"/>
    <s v="47.04"/>
    <d v="2007-05-26T00:00:00"/>
    <d v="2034-05-31T00:00:00"/>
    <m/>
    <d v="2034-05-31T00:00:00"/>
    <n v="3906"/>
    <s v="B-"/>
    <s v="MBA-2004 , PG Diploma-2004 , BSc-2000"/>
    <s v="06.04"/>
    <s v="16.03"/>
    <s v="22.07"/>
    <s v="00048814"/>
    <s v="Sales South Zone – Hypermart"/>
    <s v="70271027"/>
    <s v="Sales Manager - Hypermart"/>
    <s v="Pune Facility"/>
    <s v="0035950073"/>
    <s v="Pune - S&amp;D Export"/>
    <s v="2000ESPF"/>
    <s v="20056279"/>
    <s v="Arun G"/>
    <s v="No"/>
    <s v="sripada.sailendra@amns.in"/>
    <s v="9160887755"/>
    <s v="23873"/>
    <s v="Dhruv Vyas"/>
    <s v="Anil Matoo"/>
    <s v="Praveen Kuruvalli"/>
    <s v="Dhruv Vyas"/>
    <n v="0"/>
  </r>
  <r>
    <n v="2551"/>
    <n v="20037479"/>
    <s v="Suranjan Dasgupta"/>
    <s v="AM/NS India"/>
    <s v="Onroll"/>
    <s v="M-4"/>
    <n v="4"/>
    <m/>
    <s v="SM"/>
    <s v="M"/>
    <s v="Corporate"/>
    <n v="7"/>
    <s v="2039"/>
    <x v="2"/>
    <s v="43.01"/>
    <s v="Sangeeta Munjal"/>
    <s v="Manu Kapoor"/>
    <n v="10"/>
    <s v="Corporate Affairs"/>
    <s v="Corporate Affairs"/>
    <s v="43"/>
    <s v="Sr. Lead - Corporate Affairs"/>
    <m/>
    <s v="Corporate Affairs"/>
    <s v="Corporate Relations Group"/>
    <s v="Corporate Relations Group"/>
    <s v="Non Technical Support"/>
    <s v="Corporate Relations"/>
    <s v="Corporate Affairs"/>
    <s v="74501001"/>
    <s v="Corporate Affairs"/>
    <s v="Delhi"/>
    <d v="1971-05-21T00:00:00"/>
    <s v="52.03"/>
    <d v="2011-03-15T00:00:00"/>
    <d v="2029-05-31T00:00:00"/>
    <m/>
    <d v="2029-05-31T00:00:00"/>
    <n v="2080"/>
    <s v="O-"/>
    <s v="PG Diploma in Management-1993 , BCom-199"/>
    <s v="20.00"/>
    <s v="12.06"/>
    <s v="32.06"/>
    <s v="70494938"/>
    <s v="Corporate Affairs"/>
    <s v="70323867"/>
    <s v="JGM - Corporate Affairs"/>
    <s v="Corporate"/>
    <s v="0090000016"/>
    <s v="Corporate Steel - Co"/>
    <s v="2000CS"/>
    <s v="20057928"/>
    <s v="Manu Kapoor"/>
    <s v="No"/>
    <s v="suranjan.dasgupta@amns.in"/>
    <s v="8860641464"/>
    <s v="21529"/>
    <s v="Dhruv Vyas"/>
    <s v="Anil Matoo"/>
    <s v="Praveen Kuruvalli"/>
    <s v="Dhruv Vyas"/>
    <n v="0"/>
  </r>
  <r>
    <n v="2561"/>
    <n v="20037898"/>
    <s v="Sanjib Sinha"/>
    <s v="AM/NS India"/>
    <s v="Onroll"/>
    <s v="M-6"/>
    <n v="6"/>
    <m/>
    <s v="MM"/>
    <s v="M"/>
    <s v="Odisha"/>
    <n v="2"/>
    <s v="2095"/>
    <x v="4"/>
    <n v="36.01"/>
    <s v="Deepak Sindkar"/>
    <s v="Hrishikesh Kamat"/>
    <n v="7"/>
    <s v="Procurement"/>
    <s v="Raw Materials"/>
    <s v="36"/>
    <s v="Section Head - Raw Material Dabuna"/>
    <m/>
    <s v="Bulk Raw Materials"/>
    <s v="Bulck Raw Material"/>
    <s v="Bulck Raw Material"/>
    <s v="Non Technical Support"/>
    <s v="Sales &amp; Marketing"/>
    <s v="Business Development"/>
    <s v="73103001"/>
    <s v="Business Development"/>
    <s v="Dabuna"/>
    <d v="1960-12-25T00:00:00"/>
    <s v="62.08"/>
    <d v="2011-05-02T00:00:00"/>
    <d v="2018-12-31T00:00:00"/>
    <d v="2024-03-31T00:00:00"/>
    <d v="2024-03-31T00:00:00"/>
    <n v="193"/>
    <s v="A-"/>
    <s v="BSc-1989 , MSc-1989"/>
    <s v="21.11"/>
    <s v="12.04"/>
    <s v="34.03"/>
    <s v="70258505"/>
    <s v="Bulk Raw Material"/>
    <s v="70258514"/>
    <s v="Section Head - Raw Material Dabuna"/>
    <s v="Odisha"/>
    <s v="0022010019"/>
    <s v="DBN-Benf-HR/Admin"/>
    <s v="2000STORIS"/>
    <s v="20035527"/>
    <s v="Anil Patro"/>
    <s v="No"/>
    <s v="sanjib.sinha@amns.in"/>
    <s v="8599008447"/>
    <s v="24294"/>
    <s v="Sunila Das"/>
    <s v="Anil Matoo"/>
    <s v="Praveen Kuruvalli"/>
    <s v="Sunila Das"/>
    <n v="0"/>
  </r>
  <r>
    <n v="2563"/>
    <n v="20037995"/>
    <s v="Hitesh Shah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82-08-18T00:00:00"/>
    <s v="41.01"/>
    <d v="2011-05-09T00:00:00"/>
    <d v="2040-08-31T00:00:00"/>
    <m/>
    <d v="2040-08-31T00:00:00"/>
    <n v="6190"/>
    <s v="O+"/>
    <s v="CA Final-2005"/>
    <s v="04.08"/>
    <s v="12.04"/>
    <s v="17.00"/>
    <s v="70074192"/>
    <s v="Corporate Accounts"/>
    <s v="70386084"/>
    <s v="Sr. Lead - Corporate Accounts &amp; Audit"/>
    <s v="Hazira"/>
    <s v="0090000027"/>
    <s v="Corporate Steel - Ac"/>
    <s v="2000HWO"/>
    <s v="20007067"/>
    <s v="Gaurav Bhandari"/>
    <s v="No"/>
    <s v="hitesh.shah@amns.in"/>
    <s v="9879100888"/>
    <s v="24012"/>
    <s v="Dhruv Vyas"/>
    <s v="Anil Matoo"/>
    <s v="Praveen Kuruvalli"/>
    <s v="Dhruv Vyas"/>
    <n v="0"/>
  </r>
  <r>
    <n v="2566"/>
    <n v="20038232"/>
    <s v="Mukesh Maheshwari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-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71-07-08T00:00:00"/>
    <s v="52.02"/>
    <d v="2011-06-06T00:00:00"/>
    <d v="2029-07-31T00:00:00"/>
    <m/>
    <d v="2029-07-31T00:00:00"/>
    <n v="2141"/>
    <s v="O-"/>
    <s v="BCom-1991"/>
    <s v="17.02"/>
    <s v="12.03"/>
    <s v="29.05"/>
    <s v="70074192"/>
    <s v="Corporate Accounts"/>
    <s v="70226680"/>
    <s v="Lead-Corporate Accounts &amp; Audit"/>
    <s v="Hazira"/>
    <s v="0090000027"/>
    <s v="Corporate Steel - Ac"/>
    <s v="2000HWO"/>
    <s v="20007067"/>
    <s v="Gaurav Bhandari"/>
    <s v="No"/>
    <s v="mukesh.maheshwari@amns.in"/>
    <s v="9879102522"/>
    <s v="22476"/>
    <s v="Dhruv Vyas"/>
    <s v="Anil Matoo"/>
    <s v="Praveen Kuruvalli"/>
    <s v="Dhruv Vyas"/>
    <n v="0"/>
  </r>
  <r>
    <n v="2572"/>
    <n v="20038382"/>
    <s v="Natasha Fernandes"/>
    <s v="AM/NS India"/>
    <s v="Onroll"/>
    <s v="M-6"/>
    <n v="6"/>
    <m/>
    <s v="MM"/>
    <s v="F"/>
    <s v="Hazira"/>
    <n v="1"/>
    <s v="2015"/>
    <x v="1"/>
    <s v="22.06"/>
    <s v="Praveen Kuruvalli"/>
    <s v="Ashutosh Telang"/>
    <n v="6"/>
    <s v="HR &amp; Administration"/>
    <s v="Human Resources"/>
    <s v="22"/>
    <s v="Lead - Talent Acquisition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8-07-27T00:00:00"/>
    <s v="35.01"/>
    <d v="2011-06-13T00:00:00"/>
    <d v="2046-07-31T00:00:00"/>
    <m/>
    <d v="2046-07-31T00:00:00"/>
    <n v="8350"/>
    <s v="O-"/>
    <s v="BBA-2011 , MHRM-2011"/>
    <s v=""/>
    <s v="12.03"/>
    <s v="12.03"/>
    <s v="00051785"/>
    <s v="Hazira Project - Human Resources"/>
    <s v="70453202"/>
    <s v="Sr. Lead - Human Resources"/>
    <s v="Hazira"/>
    <s v="0031950061"/>
    <s v="HZ-Human Resource"/>
    <s v="2000HWO"/>
    <s v="20001265"/>
    <s v="Lakshman Iyer"/>
    <s v="No"/>
    <s v="natasha.fernandes@amns.in"/>
    <s v="9909993483"/>
    <s v="21716"/>
    <s v="Dhruv Vyas"/>
    <s v="Anil Matoo"/>
    <s v="Praveen Kuruvalli"/>
    <s v="Dhruv Vyas"/>
    <n v="0"/>
  </r>
  <r>
    <n v="2580"/>
    <n v="20038817"/>
    <s v="Chandra Sekhar Panda"/>
    <s v="AM/NS India"/>
    <s v="Onroll"/>
    <s v="M-9"/>
    <n v="9"/>
    <m/>
    <s v="JM"/>
    <s v="M"/>
    <s v="Odisha"/>
    <n v="2"/>
    <s v="2162"/>
    <x v="18"/>
    <s v="33.01"/>
    <s v="Hrishikesh Kamat"/>
    <s v="Hrishikesh Kamat"/>
    <n v="7"/>
    <s v="Procurement"/>
    <s v="Shipping &amp; Chartering"/>
    <s v="33"/>
    <s v="Lead - Logistics"/>
    <m/>
    <s v="Shipping &amp; Chartering"/>
    <s v="Logistics"/>
    <s v="Logistics"/>
    <s v="Non Technical Support"/>
    <s v="Operations"/>
    <s v="Operations"/>
    <s v="72103001"/>
    <s v="Operations"/>
    <s v="Paradeep"/>
    <d v="1976-10-18T00:00:00"/>
    <s v="46.11"/>
    <d v="2011-06-27T00:00:00"/>
    <d v="2034-10-31T00:00:00"/>
    <m/>
    <d v="2034-10-31T00:00:00"/>
    <n v="4059"/>
    <s v=""/>
    <s v="Certificate-2014 , BTech-2014 , Diploma-"/>
    <s v=""/>
    <s v="12.02"/>
    <s v="12.02"/>
    <s v="70238106"/>
    <s v="Ports &amp; Logistics"/>
    <s v="70307053"/>
    <s v="Lead - Logistics"/>
    <s v="Odisha"/>
    <s v="0022030019"/>
    <s v="PDP-HR &amp; Admn"/>
    <s v="2000STORIS"/>
    <s v="20055165"/>
    <s v="Subhakant Dash"/>
    <s v="No"/>
    <s v="chandrasekhar.panda@amns.in"/>
    <s v="7381007149"/>
    <s v="22919"/>
    <s v="Sunila Das"/>
    <s v="Anil Matoo"/>
    <s v="Praveen Kuruvalli"/>
    <s v="Sunila Das"/>
    <n v="0"/>
  </r>
  <r>
    <n v="2601"/>
    <n v="20038926"/>
    <s v="Shashi Kant Beura"/>
    <s v="AM/NS India"/>
    <s v="Onroll"/>
    <s v="M-8"/>
    <n v="8"/>
    <m/>
    <s v="JM"/>
    <s v="M"/>
    <s v="Odisha"/>
    <n v="2"/>
    <s v="2162"/>
    <x v="18"/>
    <s v="33.01"/>
    <s v="Hrishikesh Kamat"/>
    <s v="Hrishikesh Kamat"/>
    <n v="7"/>
    <s v="Procurement"/>
    <s v="Shipping &amp; Chartering"/>
    <s v="33"/>
    <s v="Lead - Logistics"/>
    <m/>
    <s v="Shipping &amp; Chartering"/>
    <s v="Logistics"/>
    <s v="Logistics"/>
    <s v="Operations"/>
    <s v="Operations"/>
    <s v="Operations"/>
    <s v="72103001"/>
    <s v="Operations"/>
    <s v="Paradeep"/>
    <d v="1987-06-22T00:00:00"/>
    <s v="36.03"/>
    <d v="2011-06-27T00:00:00"/>
    <d v="2045-06-30T00:00:00"/>
    <m/>
    <d v="2045-06-30T00:00:00"/>
    <n v="7954"/>
    <s v=""/>
    <s v="BTech-2014"/>
    <s v="00.07"/>
    <s v="12.02"/>
    <s v="12.09"/>
    <s v="70238106"/>
    <s v="Ports &amp; Logistics"/>
    <s v="70307050"/>
    <s v="Lead - Logistics"/>
    <s v="Odisha"/>
    <s v="0022030019"/>
    <s v="PDP-HR &amp; Admn"/>
    <s v="2000STORIS"/>
    <s v="20055165"/>
    <s v="Subhakant Dash"/>
    <s v="No"/>
    <s v="shashikant.beura@amns.in"/>
    <s v="7381007152"/>
    <s v="21200"/>
    <s v="Sunila Das"/>
    <s v="Anil Matoo"/>
    <s v="Praveen Kuruvalli"/>
    <s v="Sunila Das"/>
    <n v="0"/>
  </r>
  <r>
    <n v="2634"/>
    <n v="20039051"/>
    <s v="Rashmirekha Swain"/>
    <s v="AM/NS India"/>
    <s v="Onroll"/>
    <s v="M-9"/>
    <n v="9"/>
    <m/>
    <s v="JM"/>
    <s v="F"/>
    <s v="Odisha"/>
    <n v="2"/>
    <s v="2043"/>
    <x v="3"/>
    <s v="31.01"/>
    <s v="Hrishikesh Kamat"/>
    <s v="Hrishikesh Kamat"/>
    <n v="7"/>
    <s v="Procurement"/>
    <s v="Procurement"/>
    <s v="31"/>
    <s v="Lead - Vendor Registration &amp; Document."/>
    <m/>
    <s v="Procurement"/>
    <s v="Procurement"/>
    <s v="Procurement"/>
    <s v="Non Technical Support"/>
    <s v="Operations"/>
    <s v="Operations"/>
    <s v="72103001"/>
    <s v="Operations"/>
    <s v="Paradeep"/>
    <d v="1967-05-25T00:00:00"/>
    <s v="56.03"/>
    <d v="2011-06-27T00:00:00"/>
    <d v="2025-05-31T00:00:00"/>
    <m/>
    <d v="2025-05-31T00:00:00"/>
    <n v="619"/>
    <s v=""/>
    <s v="SSLC-1988 , Diploma-1988"/>
    <s v=""/>
    <s v="12.02"/>
    <s v="12.02"/>
    <s v="70407583"/>
    <s v="Procurement - Odisha Asset"/>
    <s v="70307062"/>
    <s v="Lead - Vendor Registration &amp; Document."/>
    <s v="Odisha"/>
    <s v="0022030019"/>
    <s v="PDP-HR &amp; Admn"/>
    <s v="2000STORIS"/>
    <s v="20055692"/>
    <s v="Rajiv Ranjan"/>
    <s v="No"/>
    <s v="rashmirekha.swain@amns.in"/>
    <s v="7381007114"/>
    <s v="24424"/>
    <s v="Sunila Das"/>
    <s v="Anil Matoo"/>
    <s v="Praveen Kuruvalli"/>
    <s v="Sunila Das"/>
    <n v="0"/>
  </r>
  <r>
    <n v="2658"/>
    <n v="20039780"/>
    <s v="Srikanya Thakur"/>
    <s v="AM/NS India"/>
    <s v="Onroll"/>
    <s v="M-6"/>
    <n v="6"/>
    <m/>
    <s v="MM"/>
    <s v="F"/>
    <s v="Hazira"/>
    <n v="1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8-04-21T00:00:00"/>
    <s v="35.05"/>
    <d v="2011-08-10T00:00:00"/>
    <d v="2046-04-30T00:00:00"/>
    <m/>
    <d v="2046-04-30T00:00:00"/>
    <n v="8258"/>
    <s v="B-"/>
    <s v="High School-2010 , BTech-2010 , SSLC-200"/>
    <s v=""/>
    <s v="12.01"/>
    <s v="12.01"/>
    <s v="00050209"/>
    <s v="Human Resources"/>
    <s v="70372722"/>
    <s v="Sr. Lead - Human Resources"/>
    <s v="Hazira"/>
    <s v="0031950061"/>
    <s v="HZ-Human Resource"/>
    <s v="2000HWO"/>
    <s v="20001265"/>
    <s v="Lakshman Iyer"/>
    <s v="No"/>
    <s v="srikanya.das@amns.in"/>
    <s v="9879101068"/>
    <s v="21525"/>
    <s v="Dhruv Vyas"/>
    <s v="Anil Matoo"/>
    <s v="Praveen Kuruvalli"/>
    <s v="Dhruv Vyas"/>
    <n v="0"/>
  </r>
  <r>
    <n v="2724"/>
    <n v="20040700"/>
    <s v="Sidharth Mohanty"/>
    <s v="AM/NS India"/>
    <s v="Onroll"/>
    <s v="M-8"/>
    <n v="8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Administration"/>
    <s v="Administration"/>
    <s v="Non Technical Support"/>
    <s v="Sales &amp; Marketing"/>
    <s v="Sales"/>
    <s v="73104004"/>
    <s v="OEM Sales"/>
    <s v="Paradeep"/>
    <d v="1984-04-27T00:00:00"/>
    <s v="39.04"/>
    <d v="2011-09-30T00:00:00"/>
    <d v="2042-04-30T00:00:00"/>
    <m/>
    <d v="2042-04-30T00:00:00"/>
    <n v="6797"/>
    <s v="AB-"/>
    <s v="MBA-2006 , Bachelor Equivalent-2003 , Hi"/>
    <s v="04.00"/>
    <s v="11.11"/>
    <s v="15.11"/>
    <s v="70238103"/>
    <s v="Odisha - Admin &amp; Industrial Relations"/>
    <s v="70265112"/>
    <s v="Lead - Administration"/>
    <s v="Odisha"/>
    <s v="0022030019"/>
    <s v="PDP-HR &amp; Admn"/>
    <s v="2000STORIS"/>
    <s v="20057297"/>
    <s v="Bibhash Mohanty"/>
    <s v="No"/>
    <s v="sidharth.mohanty@amns.in"/>
    <s v="7381007021"/>
    <s v="22692"/>
    <s v="Sunila Das"/>
    <s v="Anil Matoo"/>
    <s v="Praveen Kuruvalli"/>
    <s v="Sunila Das"/>
    <n v="0"/>
  </r>
  <r>
    <n v="2739"/>
    <n v="20041786"/>
    <s v="Pradeep Bhandari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Manager - SCM"/>
    <m/>
    <s v="Hypermart"/>
    <s v="Hypermart"/>
    <s v="West Zone"/>
    <s v="Non Technical Support"/>
    <s v="Supply Chain Management"/>
    <s v="Supply Chain Management"/>
    <s v="73701001"/>
    <s v="Supply Chain Management"/>
    <s v="Mumbai"/>
    <d v="1985-02-09T00:00:00"/>
    <s v="38.07"/>
    <d v="2012-01-16T00:00:00"/>
    <d v="2043-02-28T00:00:00"/>
    <m/>
    <d v="2043-02-28T00:00:00"/>
    <n v="7101"/>
    <s v="A-"/>
    <s v="High School-2006 , BCom-2006 , SSLC-2003"/>
    <s v="07.02"/>
    <s v="11.08"/>
    <s v="18.09"/>
    <s v="72150154"/>
    <s v="HyperMart"/>
    <s v="70277120"/>
    <s v="Lead - SCM Hypermart"/>
    <s v="Hypermart"/>
    <s v="0060100004"/>
    <s v="HMART-HR/Admin Expen"/>
    <s v="2000SRET"/>
    <s v="20006236"/>
    <s v="Sanjay Vaid"/>
    <s v="No"/>
    <s v="pradeep.bhandari@amns.in"/>
    <s v="9930134258"/>
    <s v="21221"/>
    <s v="Dhruv Vyas"/>
    <s v="Anil Matoo"/>
    <s v="Praveen Kuruvalli"/>
    <s v="Dhruv Vyas"/>
    <n v="0"/>
  </r>
  <r>
    <n v="2754"/>
    <n v="20042978"/>
    <s v="Kalingakeshari Ray"/>
    <s v="AM/NS India"/>
    <s v="Onroll"/>
    <s v="M-9"/>
    <n v="9"/>
    <m/>
    <s v="JM"/>
    <s v="M"/>
    <s v="Odisha"/>
    <n v="2"/>
    <s v="2095"/>
    <x v="4"/>
    <n v="36.01"/>
    <s v="Deepak Sindkar"/>
    <s v="Hrishikesh Kamat"/>
    <n v="7"/>
    <s v="Procurement"/>
    <s v="Raw Materials"/>
    <s v="36"/>
    <s v="Officer - Raw Material"/>
    <m/>
    <s v="Bulk Raw Materials"/>
    <s v="Bulck Raw Material"/>
    <s v="Bulck Raw Material"/>
    <s v="Non Technical Support"/>
    <s v="Administration"/>
    <s v="Administration"/>
    <s v="74101001"/>
    <s v="Administration"/>
    <s v="Dabuna"/>
    <d v="1974-04-01T00:00:00"/>
    <s v="49.05"/>
    <d v="2012-06-01T00:00:00"/>
    <d v="2032-03-31T00:00:00"/>
    <m/>
    <d v="2032-03-31T00:00:00"/>
    <n v="3115"/>
    <s v="AB-"/>
    <s v="Intermediate-1994 , BA-1994 , SSLC-1991"/>
    <s v=""/>
    <s v="11.03"/>
    <s v="11.03"/>
    <s v="70258505"/>
    <s v="Bulk Raw Material"/>
    <s v="70293785"/>
    <s v="Officer - Raw Material"/>
    <s v="Odisha"/>
    <s v="0022010019"/>
    <s v="DBN-Benf-HR/Admin"/>
    <s v="2000STORIS"/>
    <s v="20037898"/>
    <s v="Sanjib Sinha"/>
    <s v="No"/>
    <s v="kalinga.ray@amns.in"/>
    <s v="9437487790"/>
    <s v="23774"/>
    <s v="Sunila Das"/>
    <s v="Anil Matoo"/>
    <s v="Praveen Kuruvalli"/>
    <s v="Sunila Das"/>
    <n v="0"/>
  </r>
  <r>
    <n v="2763"/>
    <n v="20043383"/>
    <s v="Maneesh Moti"/>
    <s v="AM/NS India"/>
    <s v="Onroll"/>
    <s v="M-4"/>
    <n v="4"/>
    <m/>
    <s v="S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Head-Digital Initiatives (CRM &amp; E-Com.)"/>
    <m/>
    <s v="Sales Steering &amp; BD"/>
    <s v="Digital Initiatives"/>
    <s v="Strategic Sales &amp; Branding"/>
    <s v="Non Technical Support"/>
    <s v="Sales &amp; Marketing"/>
    <s v="Marketing"/>
    <s v="73102001"/>
    <s v="Marketing"/>
    <s v="Mumbai"/>
    <d v="1965-12-14T00:00:00"/>
    <s v="57.09"/>
    <d v="2012-07-01T00:00:00"/>
    <d v="2023-12-31T00:00:00"/>
    <m/>
    <d v="2023-12-31T00:00:00"/>
    <n v="102"/>
    <s v="O-"/>
    <s v="MBA-1988 , BSc-1988 , MSc-1986"/>
    <s v="16.04"/>
    <s v="11.02"/>
    <s v="27.06"/>
    <s v="70462100"/>
    <s v="Digital Initiatives"/>
    <s v="70336305"/>
    <s v="Head-Digital Initiatives (CRM &amp; E-Com.)"/>
    <s v="Corporate"/>
    <s v="0080000005"/>
    <s v="Global Markets Team"/>
    <s v="2000CS"/>
    <s v="20010531"/>
    <s v="Saptarshi Saha"/>
    <s v="No"/>
    <s v="maneesh.moti@amns.in"/>
    <s v="9819730706"/>
    <s v="22712"/>
    <s v="Dhruv Vyas"/>
    <s v="Anil Matoo"/>
    <s v="Praveen Kuruvalli"/>
    <s v="Dhruv Vyas"/>
    <n v="0"/>
  </r>
  <r>
    <n v="2823"/>
    <n v="20043911"/>
    <s v="Sudhanshu Sharm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F &amp; A &amp; Hypermart"/>
    <m/>
    <s v="Working Capital"/>
    <s v="Hypermart"/>
    <s v="Hypermart"/>
    <s v="Non Technical Support"/>
    <s v="Commercial"/>
    <s v="Commercial"/>
    <s v="73801001"/>
    <s v="Commercial"/>
    <s v="AM/NS Hazira"/>
    <d v="1974-11-10T00:00:00"/>
    <s v="48.10"/>
    <d v="2012-09-10T00:00:00"/>
    <d v="2032-11-30T00:00:00"/>
    <m/>
    <d v="2032-11-30T00:00:00"/>
    <n v="3359"/>
    <s v="B-"/>
    <s v="BCom-2012 , MBA-2012 , Intermediate-1996"/>
    <s v="11.03"/>
    <s v="11.00"/>
    <s v="22.03"/>
    <s v="70495565"/>
    <s v="F&amp;A Hypermart &amp; Service Centre"/>
    <s v="70308841"/>
    <s v="Lead - F &amp; A &amp; Hypermart"/>
    <s v="Hypermart"/>
    <s v="0060100001"/>
    <s v="HMART-Finance &amp; Acco"/>
    <s v="2000SRET"/>
    <s v="20055504"/>
    <s v="Vivek Choudhary"/>
    <s v="No"/>
    <s v="sudhanshu.sharma@amns.in"/>
    <s v="9930134585"/>
    <s v="24120"/>
    <s v="Dhruv Vyas"/>
    <s v="Anil Matoo"/>
    <s v="Praveen Kuruvalli"/>
    <s v="Dhruv Vyas"/>
    <n v="0"/>
  </r>
  <r>
    <n v="2830"/>
    <n v="20044846"/>
    <s v="Prasanna Malagi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Lead - MIS"/>
    <m/>
    <s v="Hypermart"/>
    <s v="Hypermart"/>
    <s v="West Zone"/>
    <s v="Non Technical Support"/>
    <s v="Supply Chain Management"/>
    <s v="Supply Chain Management"/>
    <s v="73701001"/>
    <s v="Supply Chain Management"/>
    <s v="Mumbai"/>
    <d v="1985-08-30T00:00:00"/>
    <s v="38.00"/>
    <d v="2013-01-28T00:00:00"/>
    <d v="2043-08-31T00:00:00"/>
    <m/>
    <d v="2043-08-31T00:00:00"/>
    <n v="7285"/>
    <s v="O-"/>
    <s v="High School-2012 , PG Diploma in Managem"/>
    <s v=""/>
    <s v="10.07"/>
    <s v="10.07"/>
    <s v="72150154"/>
    <s v="HyperMart"/>
    <s v="70325244"/>
    <s v="Lead - MIS"/>
    <s v="Hypermart"/>
    <s v="0060100004"/>
    <s v="HMART-HR/Admin Expen"/>
    <s v="2000SRET"/>
    <s v="20006236"/>
    <s v="Sanjay Vaid"/>
    <s v="No"/>
    <s v="prasanna.malagi@amns.in"/>
    <s v="9930134713"/>
    <s v="22507"/>
    <s v="Dhruv Vyas"/>
    <s v="Anil Matoo"/>
    <s v="Praveen Kuruvalli"/>
    <s v="Dhruv Vyas"/>
    <n v="0"/>
  </r>
  <r>
    <n v="2845"/>
    <n v="20045323"/>
    <s v="Aditya Chandra Lenka"/>
    <s v="AM/NS India"/>
    <s v="Onroll"/>
    <s v="M-11"/>
    <n v="11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Administration"/>
    <s v="Administration"/>
    <s v="Non Technical Support"/>
    <s v="Administration"/>
    <s v="Administration"/>
    <s v="74101001"/>
    <s v="Administration"/>
    <s v="Paradeep"/>
    <d v="1988-03-31T00:00:00"/>
    <s v="35.05"/>
    <d v="2013-04-05T00:00:00"/>
    <d v="2046-03-31T00:00:00"/>
    <m/>
    <d v="2046-03-31T00:00:00"/>
    <n v="8228"/>
    <s v=""/>
    <s v="BBA-2011 , MA-2011"/>
    <s v=""/>
    <s v="10.05"/>
    <s v="10.05"/>
    <s v="70238103"/>
    <s v="Odisha - Admin &amp; Industrial Relations"/>
    <s v="70333604"/>
    <s v="Lead - Administration"/>
    <s v="Odisha"/>
    <s v="0022030019"/>
    <s v="PDP-HR &amp; Admn"/>
    <s v="2000STORIS"/>
    <s v="20057297"/>
    <s v="Bibhash Mohanty"/>
    <s v="No"/>
    <s v="aditya.lenka@amns.in"/>
    <s v="9437037968"/>
    <s v="21022"/>
    <s v="Sunila Das"/>
    <s v="Anil Matoo"/>
    <s v="Praveen Kuruvalli"/>
    <s v="Sunila Das"/>
    <n v="0"/>
  </r>
  <r>
    <n v="2846"/>
    <n v="20045324"/>
    <s v="Basavaraj Ramappa Gulalkai"/>
    <s v="AM/NS India"/>
    <s v="Onroll"/>
    <s v="M-8"/>
    <n v="8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Administration"/>
    <s v="Administration"/>
    <s v="Non Technical Support"/>
    <s v="Administration"/>
    <s v="Administration"/>
    <s v="74101001"/>
    <s v="Administration"/>
    <s v="Paradeep"/>
    <d v="1965-07-15T00:00:00"/>
    <s v="58.02"/>
    <d v="2013-04-05T00:00:00"/>
    <d v="2023-07-31T00:00:00"/>
    <m/>
    <d v="2023-07-31T00:00:00"/>
    <n v="-51"/>
    <s v="O-"/>
    <s v="BSc-1993"/>
    <s v="19.11"/>
    <s v="10.05"/>
    <s v="30.04"/>
    <s v="70238103"/>
    <s v="Odisha - Admin &amp; Industrial Relations"/>
    <s v="70333606"/>
    <s v="Lead - Administration"/>
    <s v="Odisha"/>
    <s v="0022030019"/>
    <s v="PDP-HR &amp; Admn"/>
    <s v="2000STORIS"/>
    <s v="20057297"/>
    <s v="Bibhash Mohanty"/>
    <s v="Yes"/>
    <s v="basavaraj.gulalkai@amns.in"/>
    <s v="7381007047"/>
    <s v="21850"/>
    <s v="Sunila Das"/>
    <s v="Anil Matoo"/>
    <s v="Praveen Kuruvalli"/>
    <s v="Sunila Das"/>
    <n v="0"/>
  </r>
  <r>
    <n v="2850"/>
    <n v="20045482"/>
    <s v="Sandeep Soni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Corporate Asset Management"/>
    <m/>
    <s v="Corporate Accounts"/>
    <s v="Corporate Accounts &amp; Audit"/>
    <s v="Corporate Accounts &amp; Audit"/>
    <s v="Non Technical Support"/>
    <s v="Finance &amp; Accounts"/>
    <s v="Finance &amp; Accounts"/>
    <s v="73901001"/>
    <s v="Finance &amp; Accounts"/>
    <s v="AM/NS Hazira"/>
    <d v="1978-09-16T00:00:00"/>
    <s v="45.00"/>
    <d v="2013-05-01T00:00:00"/>
    <d v="2036-09-30T00:00:00"/>
    <m/>
    <d v="2036-09-30T00:00:00"/>
    <n v="4759"/>
    <s v="B-"/>
    <s v="BCom-2004 , CA Final-2004"/>
    <s v="06.09"/>
    <s v="10.04"/>
    <s v="17.01"/>
    <s v="70495666"/>
    <s v="Corporate Asset Management"/>
    <s v="70336612"/>
    <s v="Sr. Lead - Corporate Asset Management"/>
    <s v="Hazira"/>
    <s v="0090000027"/>
    <s v="Corporate Steel - Ac"/>
    <s v="2000HWO"/>
    <s v="20000679"/>
    <s v="Dinesh Mangal"/>
    <s v="No"/>
    <s v="sandeep.soni@amns.in"/>
    <s v="9879103501"/>
    <s v="24344"/>
    <s v="Dhruv Vyas"/>
    <s v="Anil Matoo"/>
    <s v="Praveen Kuruvalli"/>
    <s v="Dhruv Vyas"/>
    <n v="0"/>
  </r>
  <r>
    <n v="2860"/>
    <n v="20045946"/>
    <s v="Yatin Madhukar Thakur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 Gen. Mgr - Sales &amp; Mk"/>
    <m/>
    <s v="Pipe"/>
    <s v="Pipe"/>
    <s v=""/>
    <s v="Non Technical Support"/>
    <s v="Sales &amp; Marketing"/>
    <s v="Sales &amp; Marketing"/>
    <s v="73101001"/>
    <s v="Sales &amp; Marketing"/>
    <s v="Mumbai"/>
    <d v="1972-08-05T00:00:00"/>
    <s v="51.01"/>
    <d v="2013-08-01T00:00:00"/>
    <d v="2030-08-31T00:00:00"/>
    <m/>
    <d v="2030-08-31T00:00:00"/>
    <n v="2537"/>
    <s v=""/>
    <s v="PG Diploma in Management-1993 , BCom-199"/>
    <s v="10.06"/>
    <s v="10.01"/>
    <s v="20.07"/>
    <s v="70387159"/>
    <s v="Pipe Sales"/>
    <s v="70346075"/>
    <s v="Sr. KAM - Domestics Pipe Sales"/>
    <s v="Hazira"/>
    <s v="0031591982"/>
    <s v="PM-Marketing"/>
    <s v="2000HWO"/>
    <s v="20007414"/>
    <s v="Gaurav Sharma"/>
    <s v="No"/>
    <s v="yatin.thakur@amns.in"/>
    <s v="9930132103"/>
    <s v="24506"/>
    <s v="Dhruv Vyas"/>
    <s v="Anil Matoo"/>
    <s v="Praveen Kuruvalli"/>
    <s v="Dhruv Vyas"/>
    <n v="0"/>
  </r>
  <r>
    <n v="2862"/>
    <n v="20046027"/>
    <s v="Sapan Manoj Roy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West Zone"/>
    <s v="Non Technical Support"/>
    <s v="Sales &amp; Marketing"/>
    <s v="Sales"/>
    <s v="73104003"/>
    <s v="Retail Sales"/>
    <s v="Taloja"/>
    <d v="1983-05-21T00:00:00"/>
    <s v="40.03"/>
    <d v="2013-08-16T00:00:00"/>
    <d v="2041-05-31T00:00:00"/>
    <m/>
    <d v="2041-05-31T00:00:00"/>
    <n v="6463"/>
    <s v="A-"/>
    <s v="High School-2005 , BCom-2005"/>
    <s v="01.09"/>
    <s v="10.01"/>
    <s v="11.10"/>
    <s v="00048138"/>
    <s v="Hypermart west"/>
    <s v="70346813"/>
    <s v="Sales Manager - Hypermart"/>
    <s v="Hypermart"/>
    <s v="0060110500"/>
    <s v="HMART-Mah-Pune"/>
    <s v="2000SRET"/>
    <s v="20056847"/>
    <s v="Vikas Chotia"/>
    <s v="No"/>
    <s v="sapan.roy@amns.in"/>
    <s v="9819730777"/>
    <s v="23810"/>
    <s v="Dhruv Vyas"/>
    <s v="Anil Matoo"/>
    <s v="Praveen Kuruvalli"/>
    <s v="Dhruv Vyas"/>
    <n v="0"/>
  </r>
  <r>
    <n v="2863"/>
    <n v="20046072"/>
    <s v="Mandar Sitaram Ambr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 Gen. Mgr - Sales &amp; Mk"/>
    <m/>
    <s v="Pipe"/>
    <s v="Pipe"/>
    <s v=""/>
    <s v="Non Technical Support"/>
    <s v="Sales &amp; Marketing"/>
    <s v="Sales &amp; Marketing"/>
    <s v="73101001"/>
    <s v="Sales &amp; Marketing"/>
    <s v="Mumbai"/>
    <d v="1980-05-13T00:00:00"/>
    <s v="43.04"/>
    <d v="2013-08-19T00:00:00"/>
    <d v="2038-05-31T00:00:00"/>
    <m/>
    <d v="2038-05-31T00:00:00"/>
    <n v="5367"/>
    <s v="B-"/>
    <s v="BE-2005 , Diploma-2005"/>
    <s v="11.05"/>
    <s v="10.01"/>
    <s v="21.06"/>
    <s v="70387159"/>
    <s v="Pipe Sales"/>
    <s v="70347387"/>
    <s v="KAM - International Pipe Sales"/>
    <s v="Hazira"/>
    <s v="0031591982"/>
    <s v="PM-Marketing"/>
    <s v="2000HWO"/>
    <s v="20007414"/>
    <s v="Gaurav Sharma"/>
    <s v="No"/>
    <s v="mandar.ambre@amns.in"/>
    <s v="9819730229"/>
    <s v="22521"/>
    <s v="Dhruv Vyas"/>
    <s v="Anil Matoo"/>
    <s v="Praveen Kuruvalli"/>
    <s v="Dhruv Vyas"/>
    <n v="0"/>
  </r>
  <r>
    <n v="2864"/>
    <n v="20046194"/>
    <s v="Shivashankar Rajapur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Hypermart"/>
    <s v=""/>
    <s v="Non Technical Support"/>
    <s v="Sales &amp; Marketing"/>
    <s v="Sales"/>
    <s v="73104004"/>
    <s v="OEM Sales"/>
    <s v="Bangalore"/>
    <d v="1978-08-10T00:00:00"/>
    <s v="45.01"/>
    <d v="2013-09-10T00:00:00"/>
    <d v="2036-08-31T00:00:00"/>
    <m/>
    <d v="2036-08-31T00:00:00"/>
    <n v="4729"/>
    <s v="A-"/>
    <s v="SSLC-1996 , Diploma-1996"/>
    <s v="09.03"/>
    <s v="10.00"/>
    <s v="19.03"/>
    <s v="00048814"/>
    <s v="Sales South Zone – Hypermart"/>
    <s v="70349522"/>
    <s v="Sales Manager - Hypermart"/>
    <s v="Hazira"/>
    <s v="0060140300"/>
    <s v="HMART-Kar-Bangolre"/>
    <s v="2000HWO"/>
    <s v="20056279"/>
    <s v="Arun G"/>
    <s v="No"/>
    <s v="shivashankar.rajapur@amns.in"/>
    <s v="9845895458"/>
    <s v="23632"/>
    <s v="Dhruv Vyas"/>
    <s v="Anil Matoo"/>
    <s v="Praveen Kuruvalli"/>
    <s v="Dhruv Vyas"/>
    <n v="0"/>
  </r>
  <r>
    <n v="2866"/>
    <n v="20046362"/>
    <s v="Sandeep Shah"/>
    <s v="AM/NS India"/>
    <s v="Onroll"/>
    <s v="M-8"/>
    <n v="8"/>
    <m/>
    <s v="JM"/>
    <s v="M"/>
    <s v="Hazira"/>
    <n v="1"/>
    <s v="2096"/>
    <x v="14"/>
    <s v="36.02"/>
    <s v="Hrishikesh Kamat"/>
    <s v="Hrishikesh Kamat"/>
    <n v="7"/>
    <s v="Procurement"/>
    <s v="Raw Materials"/>
    <s v="36"/>
    <s v="Lead - Power Management"/>
    <m/>
    <s v="Power &amp; Gas"/>
    <s v="Power &amp; Gas"/>
    <s v="Power &amp; Gas"/>
    <s v="Non Technical Support"/>
    <s v="Commercial"/>
    <s v="Procurement"/>
    <s v="73803001"/>
    <s v="Procurement"/>
    <s v="Hazira"/>
    <d v="1984-11-05T00:00:00"/>
    <s v="38.10"/>
    <d v="2013-10-14T00:00:00"/>
    <d v="2042-11-30T00:00:00"/>
    <m/>
    <d v="2042-11-30T00:00:00"/>
    <n v="7011"/>
    <s v="O-"/>
    <s v="BCom-2009 , MBA-2009"/>
    <s v="05.08"/>
    <s v="09.11"/>
    <s v="15.06"/>
    <s v="00049516"/>
    <s v="Power &amp; Gas"/>
    <s v="70352941"/>
    <s v="Lead - Power Management"/>
    <s v="Hazira"/>
    <s v="0031950048"/>
    <s v="HZ-Procurment Depart"/>
    <s v="2000HWO"/>
    <s v="20004612"/>
    <s v="Ramesh Chabhadiya"/>
    <s v="No"/>
    <s v="sandeep.shah1@amns.in"/>
    <s v="9925241531"/>
    <s v="24038"/>
    <s v="Dhruv Vyas"/>
    <s v="Anil Matoo"/>
    <s v="Praveen Kuruvalli"/>
    <s v="Dhruv Vyas"/>
    <n v="0"/>
  </r>
  <r>
    <n v="2869"/>
    <n v="20046414"/>
    <s v="Vinod Ninaw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"/>
    <s v="Non Technical Support"/>
    <s v="Sales &amp; Marketing"/>
    <s v="Sales"/>
    <s v="73104004"/>
    <s v="OEM Sales"/>
    <s v="Vadodara"/>
    <d v="1975-12-10T00:00:00"/>
    <s v="47.09"/>
    <d v="2013-10-22T00:00:00"/>
    <d v="2033-12-31T00:00:00"/>
    <m/>
    <d v="2033-12-31T00:00:00"/>
    <n v="3755"/>
    <s v="O-"/>
    <s v="Diploma-2012 , BBA-2012"/>
    <s v="16.10"/>
    <s v="09.10"/>
    <s v="26.08"/>
    <s v="00052660"/>
    <s v="Plate Sales"/>
    <s v="70356053"/>
    <s v="KAM - OEM Sales"/>
    <s v="Hazira"/>
    <s v="0031581982"/>
    <s v="PLM-Marketing"/>
    <s v="2000HWO"/>
    <s v="20003623"/>
    <s v="Soumyadeep Datta"/>
    <s v="No"/>
    <s v="vinod.ninawe@amns.in"/>
    <s v="9879103692"/>
    <s v="22847"/>
    <s v="Dhruv Vyas"/>
    <s v="Anil Matoo"/>
    <s v="Praveen Kuruvalli"/>
    <s v="Dhruv Vyas"/>
    <n v="0"/>
  </r>
  <r>
    <n v="2871"/>
    <n v="20046597"/>
    <s v="Satyabrata Ray"/>
    <s v="AM/NS India"/>
    <s v="Onroll"/>
    <s v="M-7"/>
    <n v="7"/>
    <m/>
    <s v="MM"/>
    <s v="M"/>
    <s v="Odisha"/>
    <n v="2"/>
    <s v="2162"/>
    <x v="18"/>
    <s v="33.01"/>
    <s v="Hrishikesh Kamat"/>
    <s v="Hrishikesh Kamat"/>
    <n v="7"/>
    <s v="Procurement"/>
    <s v="Shipping &amp; Chartering"/>
    <s v="33"/>
    <s v="Lead - Logistics &amp; Marketing"/>
    <m/>
    <s v="Shipping &amp; Chartering"/>
    <s v="Logistics"/>
    <s v="Logistics"/>
    <s v="Non Technical Support"/>
    <s v="Sales &amp; Marketing"/>
    <s v="Sales &amp; Marketing"/>
    <s v="73101001"/>
    <s v="Sales &amp; Marketing"/>
    <s v="Paradeep"/>
    <d v="1980-09-28T00:00:00"/>
    <s v="42.11"/>
    <d v="2013-11-09T00:00:00"/>
    <d v="2038-09-30T00:00:00"/>
    <m/>
    <d v="2038-09-30T00:00:00"/>
    <n v="5489"/>
    <s v="B-"/>
    <s v="High School-2004 , PG Diploma in Managem"/>
    <s v="09.07"/>
    <s v="09.10"/>
    <s v="19.05"/>
    <s v="70238106"/>
    <s v="Ports &amp; Logistics"/>
    <s v="70360680"/>
    <s v="Lead - Logistics &amp; Marketing"/>
    <s v="Odisha"/>
    <s v="0022030019"/>
    <s v="PDP-HR &amp; Admn"/>
    <s v="2000STORIS"/>
    <s v="20055165"/>
    <s v="Subhakant Dash"/>
    <s v="No"/>
    <s v="satyabrata.ray@amns.in"/>
    <s v="7381007276"/>
    <s v="23775"/>
    <s v="Sunila Das"/>
    <s v="Anil Matoo"/>
    <s v="Praveen Kuruvalli"/>
    <s v="Sunila Das"/>
    <n v="0"/>
  </r>
  <r>
    <n v="2873"/>
    <n v="20046623"/>
    <s v="Anil Kumar Sahoo"/>
    <s v="AM/NS India"/>
    <s v="Onroll"/>
    <s v="M-7"/>
    <n v="7"/>
    <m/>
    <s v="MM"/>
    <s v="M"/>
    <s v="Odisha"/>
    <n v="2"/>
    <s v="2095"/>
    <x v="4"/>
    <n v="36.01"/>
    <s v="Deepak Sindkar"/>
    <s v="Hrishikesh Kamat"/>
    <n v="7"/>
    <s v="Procurement"/>
    <s v="Raw Materials"/>
    <s v="36"/>
    <s v="Lead - Raw Material"/>
    <m/>
    <s v="Bulk Raw Materials"/>
    <s v="Bulck Raw Material"/>
    <s v="Bulck Raw Material"/>
    <s v="Non Technical Support"/>
    <s v="Services"/>
    <s v="Material Handling services"/>
    <s v="72103019"/>
    <s v="Logistics Operations"/>
    <s v="Dabuna"/>
    <d v="1976-01-08T00:00:00"/>
    <s v="47.08"/>
    <d v="2013-12-10T00:00:00"/>
    <d v="2034-01-31T00:00:00"/>
    <m/>
    <d v="2034-01-31T00:00:00"/>
    <n v="3786"/>
    <s v="B-"/>
    <s v="BA-2005 , PG Diploma in Management-2005"/>
    <s v="04.00"/>
    <s v="09.09"/>
    <s v="13.09"/>
    <s v="70258505"/>
    <s v="Bulk Raw Material"/>
    <s v="70361391"/>
    <s v="Lead - Raw Material"/>
    <s v="Odisha"/>
    <s v="0022010019"/>
    <s v="DBN-Benf-HR/Admin"/>
    <s v="2000STORIS"/>
    <s v="20037898"/>
    <s v="Sanjib Sinha"/>
    <s v="No"/>
    <s v="anil.sahoo@amns.in"/>
    <s v="7381007292"/>
    <s v="23845"/>
    <s v="Sunila Das"/>
    <s v="Anil Matoo"/>
    <s v="Praveen Kuruvalli"/>
    <s v="Sunila Das"/>
    <n v="0"/>
  </r>
  <r>
    <n v="2962"/>
    <n v="20047249"/>
    <s v="Anantha Nataraja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Hypermart"/>
    <s v="South Zone"/>
    <s v="Non Technical Support"/>
    <s v="Sales &amp; Marketing"/>
    <s v="Sales"/>
    <s v="73104003"/>
    <s v="Retail Sales"/>
    <s v="Coimbatore"/>
    <d v="1987-07-14T00:00:00"/>
    <s v="36.02"/>
    <d v="2014-02-24T00:00:00"/>
    <d v="2045-07-31T00:00:00"/>
    <m/>
    <d v="2045-07-31T00:00:00"/>
    <n v="7985"/>
    <s v="B-"/>
    <s v="MBA-2014 , BE-2008 , Intermediate-2004"/>
    <s v="05.00"/>
    <s v="09.06"/>
    <s v="14.06"/>
    <s v="00048814"/>
    <s v="Sales South Zone – Hypermart"/>
    <s v="70373206"/>
    <s v="Sales Manager - Hypermart"/>
    <s v="Hypermart"/>
    <s v="0060140900"/>
    <s v="HMART-TN-Coimbatore"/>
    <s v="2000SRET"/>
    <s v="20056279"/>
    <s v="Arun G"/>
    <s v="No"/>
    <s v="anantha.ganapathy@amns.in"/>
    <s v="8870171005"/>
    <s v="21745"/>
    <s v="Dhruv Vyas"/>
    <s v="Anil Matoo"/>
    <s v="Praveen Kuruvalli"/>
    <s v="Dhruv Vyas"/>
    <n v="0"/>
  </r>
  <r>
    <n v="2969"/>
    <n v="20047579"/>
    <s v="Mahadev Kumar"/>
    <s v="AM/NS India"/>
    <s v="Onroll"/>
    <s v="M-7"/>
    <n v="7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Sr. Lead - F &amp; A and Stores"/>
    <m/>
    <s v="Working Capital"/>
    <s v="Service Centers"/>
    <s v="Service Centre"/>
    <s v="Non Technical Support"/>
    <s v="Commercial"/>
    <s v="Commercial"/>
    <s v="73801001"/>
    <s v="Commercial"/>
    <s v="Paradeep"/>
    <d v="1967-05-27T00:00:00"/>
    <s v="56.03"/>
    <d v="2014-04-14T00:00:00"/>
    <d v="2025-05-31T00:00:00"/>
    <m/>
    <d v="2025-05-31T00:00:00"/>
    <n v="619"/>
    <s v="AB+"/>
    <s v="BCom-1991"/>
    <s v="23.09"/>
    <s v="09.05"/>
    <s v="33.02"/>
    <s v="72150243"/>
    <s v="Accounts Payable"/>
    <s v="70380446"/>
    <s v="Sr. Lead - F &amp; A and Stores"/>
    <s v="Odisha"/>
    <s v="0040040019"/>
    <s v="SC-Howrah-HR - Admn"/>
    <s v="2000STORIS"/>
    <s v="20001076"/>
    <s v="Bhavesh Modi"/>
    <s v="No"/>
    <s v="mahadev.kumar@amns.in"/>
    <s v="8335820020"/>
    <s v="22327"/>
    <s v="Sunila Das"/>
    <s v="Anil Matoo"/>
    <s v="Praveen Kuruvalli"/>
    <s v="Sunila Das"/>
    <n v="0"/>
  </r>
  <r>
    <n v="2970"/>
    <n v="20047658"/>
    <s v="Balamurugan Gurusamy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Automotive Sales"/>
    <m/>
    <s v="South"/>
    <s v="Auto"/>
    <s v=""/>
    <s v="Non Technical Support"/>
    <s v="Sales &amp; Marketing"/>
    <s v="Sales"/>
    <s v="73104004"/>
    <s v="OEM Sales"/>
    <s v="Chennai"/>
    <d v="1983-03-20T00:00:00"/>
    <s v="40.06"/>
    <d v="2014-05-05T00:00:00"/>
    <d v="2041-03-31T00:00:00"/>
    <m/>
    <d v="2041-03-31T00:00:00"/>
    <n v="6402"/>
    <s v="O-"/>
    <s v="BTech-2006 , Intermediate-2006 , MBA-199"/>
    <s v="07.10"/>
    <s v="09.04"/>
    <s v="17.02"/>
    <s v="00052468"/>
    <s v="Automotive Sales - Chennai"/>
    <s v="70381670"/>
    <s v="Sr. KAM Automotive Sales"/>
    <s v="Hazira"/>
    <s v="0031950057"/>
    <s v="HZ-HRC - Marketing"/>
    <s v="2000HWO"/>
    <s v="20000909"/>
    <s v="Murali Krishna Chunduru"/>
    <s v="No"/>
    <s v="balamurugan.gurusamy@amns.in"/>
    <s v="9884039030"/>
    <s v="21883"/>
    <s v="Dhruv Vyas"/>
    <s v="Anil Matoo"/>
    <s v="Praveen Kuruvalli"/>
    <s v="Dhruv Vyas"/>
    <n v="0"/>
  </r>
  <r>
    <n v="2971"/>
    <n v="20047664"/>
    <s v="Devang Desai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- Customs EXIM &amp; FTP"/>
    <m/>
    <s v="Taxation"/>
    <s v="In Direct - Taxation"/>
    <s v="Indirect Taxation"/>
    <s v="Non Technical Support"/>
    <s v="Finance &amp; Accounts"/>
    <s v="Taxation"/>
    <s v="73904001"/>
    <s v="Direct Taxation"/>
    <s v="AM/NS Hazira"/>
    <d v="1970-10-14T00:00:00"/>
    <s v="52.11"/>
    <d v="2014-05-12T00:00:00"/>
    <d v="2028-10-31T00:00:00"/>
    <m/>
    <d v="2028-10-31T00:00:00"/>
    <n v="1868"/>
    <s v="A-"/>
    <s v="MBA-1994 , BE-1994"/>
    <s v="19.10"/>
    <s v="09.04"/>
    <s v="29.02"/>
    <s v="70072408"/>
    <s v="Customs / DGFT / EXIM"/>
    <s v="70382561"/>
    <s v="Head - Customs EXIM &amp; FTP"/>
    <s v="Hazira"/>
    <s v="0031950044"/>
    <s v="HZ-Commercial Taxati"/>
    <s v="2000HWO"/>
    <s v="20055193"/>
    <s v="Anuprita Kaushik Mehta"/>
    <s v="No"/>
    <s v="devang.desai@amns.in"/>
    <s v="9879100585"/>
    <s v="21577"/>
    <s v="Dhruv Vyas"/>
    <s v="Anil Matoo"/>
    <s v="Praveen Kuruvalli"/>
    <s v="Dhruv Vyas"/>
    <n v="0"/>
  </r>
  <r>
    <n v="2972"/>
    <n v="20047683"/>
    <s v="Virat Vij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Sales Head – Other West"/>
    <m/>
    <s v="Other West"/>
    <s v="Other West"/>
    <s v=""/>
    <s v="Non Technical Support"/>
    <s v="R&amp; D and QA/QC"/>
    <s v="R&amp;D"/>
    <s v="72103029"/>
    <s v="R&amp;D"/>
    <s v="Pune"/>
    <d v="1980-10-04T00:00:00"/>
    <s v="42.11"/>
    <d v="2014-05-12T00:00:00"/>
    <d v="2038-10-31T00:00:00"/>
    <m/>
    <d v="2038-10-31T00:00:00"/>
    <n v="5520"/>
    <s v="B-"/>
    <s v="BE-1998 , Intermediate-1998"/>
    <s v="08.01"/>
    <s v="09.04"/>
    <s v="17.05"/>
    <s v="70495309"/>
    <s v="Sales West Zone"/>
    <s v="70383968"/>
    <s v="Regional Sales Head – Other West"/>
    <s v="Hazira"/>
    <s v="0031950057"/>
    <s v="HZ-HRC - Marketing"/>
    <s v="2000HWO"/>
    <s v="20007104"/>
    <s v="Ranjan Dhar"/>
    <s v="No"/>
    <s v="virat.vij@amns.in"/>
    <s v="9923205269"/>
    <s v="24691"/>
    <s v="Dhruv Vyas"/>
    <s v="Anil Matoo"/>
    <s v="Praveen Kuruvalli"/>
    <s v="Dhruv Vyas"/>
    <n v="0"/>
  </r>
  <r>
    <n v="2981"/>
    <n v="20048487"/>
    <s v="Devendra Ra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Receivable"/>
    <m/>
    <s v="Working Capital"/>
    <s v="Accounts Receivable"/>
    <s v="Credit Control"/>
    <s v="Non Technical Support"/>
    <s v="Finance &amp; Accounts"/>
    <s v="Finance &amp; Accounts"/>
    <s v="73901001"/>
    <s v="Finance &amp; Accounts"/>
    <s v="AM/NS Hazira"/>
    <d v="1981-03-12T00:00:00"/>
    <s v="42.06"/>
    <d v="2014-08-29T00:00:00"/>
    <d v="2039-03-31T00:00:00"/>
    <m/>
    <d v="2039-03-31T00:00:00"/>
    <n v="5671"/>
    <s v="O-"/>
    <s v="LLB-2007 , CA Final-2007 , BCom-2006"/>
    <s v="06.06"/>
    <s v="09.00"/>
    <s v="15.06"/>
    <s v="00045312"/>
    <s v="Accounts Receivable"/>
    <s v="72150931"/>
    <s v="Sr. Lead - Accounts Receivable"/>
    <s v="Hazira"/>
    <s v="0031950045"/>
    <s v="HZ-Works Accounts-Ha"/>
    <s v="2000HWO"/>
    <s v="20007731"/>
    <s v="Ashish Mehta"/>
    <s v="No"/>
    <s v="devendra.rai@amns.in"/>
    <s v="9879106751"/>
    <s v="23612"/>
    <s v="Dhruv Vyas"/>
    <s v="Anil Matoo"/>
    <s v="Praveen Kuruvalli"/>
    <s v="Dhruv Vyas"/>
    <n v="0"/>
  </r>
  <r>
    <n v="2983"/>
    <n v="20048693"/>
    <s v="Krishnendu Banerjee"/>
    <s v="AM/NS India"/>
    <s v="Onroll"/>
    <s v="M-8"/>
    <n v="8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Lead - Corporate Accounts"/>
    <m/>
    <s v="Finance &amp; Accounts - Odisha"/>
    <s v="Finance &amp; Accounts"/>
    <s v="Corporate Accounts"/>
    <s v="Non Technical Support"/>
    <s v="Finance &amp; Accounts"/>
    <s v="Finance &amp; Accounts"/>
    <s v="73901001"/>
    <s v="Finance &amp; Accounts"/>
    <s v="Paradeep"/>
    <d v="1965-01-11T00:00:00"/>
    <s v="58.08"/>
    <d v="2014-10-08T00:00:00"/>
    <d v="2023-01-31T00:00:00"/>
    <d v="2024-01-31T00:00:00"/>
    <d v="2024-01-31T00:00:00"/>
    <n v="133"/>
    <s v="B-"/>
    <s v="Diploma-1986 , PG Diploma-1986 , BSc-198"/>
    <s v="20.00"/>
    <s v="08.11"/>
    <s v="28.11"/>
    <s v="70234933"/>
    <s v="Finance &amp; Accounts - Odisha"/>
    <s v="70410529"/>
    <s v="Lead - Corporate Accounts"/>
    <s v="Odisha"/>
    <s v="0022030019"/>
    <s v="PDP-HR &amp; Admn"/>
    <s v="2000STORIS"/>
    <s v="20055801"/>
    <s v="Sanjive Kumar Singh"/>
    <s v="No"/>
    <s v="krishnendu.banerjee@amns.in"/>
    <s v="7381007151"/>
    <s v="21158"/>
    <s v="Sunila Das"/>
    <s v="Anil Matoo"/>
    <s v="Praveen Kuruvalli"/>
    <s v="Sunila Das"/>
    <n v="0"/>
  </r>
  <r>
    <n v="2991"/>
    <n v="20048958"/>
    <s v="Tirthanka Roy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r. Manager - Sales &amp; Mkt"/>
    <m/>
    <s v="Plate"/>
    <s v="Plate"/>
    <s v=""/>
    <s v="Non Technical Support"/>
    <s v="Sales &amp; Marketing"/>
    <s v="Sales &amp; Marketing"/>
    <s v="73101001"/>
    <s v="Sales &amp; Marketing"/>
    <s v="Mumbai"/>
    <d v="1984-02-04T00:00:00"/>
    <s v="39.07"/>
    <d v="2014-11-17T00:00:00"/>
    <d v="2042-02-28T00:00:00"/>
    <m/>
    <d v="2042-02-28T00:00:00"/>
    <n v="6736"/>
    <s v="O-"/>
    <s v="BE-2007 , High School-2003"/>
    <s v="04.06"/>
    <s v="08.10"/>
    <s v="13.04"/>
    <s v="70387158"/>
    <s v="S&amp;M – e_Sales"/>
    <s v="70414442"/>
    <s v="Sales Manager - E Sales"/>
    <s v="Hazira"/>
    <s v="0031591982"/>
    <s v="PM-Marketing"/>
    <s v="2000HWO"/>
    <s v="20003623"/>
    <s v="Soumyadeep Datta"/>
    <s v="No"/>
    <s v="tirthanka.roy@amns.in"/>
    <s v="9819730149"/>
    <s v="23811"/>
    <s v="Dhruv Vyas"/>
    <s v="Anil Matoo"/>
    <s v="Praveen Kuruvalli"/>
    <s v="Dhruv Vyas"/>
    <n v="0"/>
  </r>
  <r>
    <n v="2992"/>
    <n v="20048962"/>
    <s v="Saurabh Mutt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-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89-10-01T00:00:00"/>
    <s v="33.11"/>
    <d v="2014-11-18T00:00:00"/>
    <d v="2047-09-30T00:00:00"/>
    <m/>
    <d v="2047-09-30T00:00:00"/>
    <n v="8776"/>
    <s v="O-"/>
    <s v="Chartered Financial Analyst (CFA)-2013 ,"/>
    <s v="02.08"/>
    <s v="08.10"/>
    <s v="11.06"/>
    <s v="70074192"/>
    <s v="Corporate Accounts"/>
    <s v="70414443"/>
    <s v="Lead-Corporate Accounts &amp; Audit"/>
    <s v="Hazira"/>
    <s v="0090000027"/>
    <s v="Corporate Steel - Ac"/>
    <s v="2000HWO"/>
    <s v="20007067"/>
    <s v="Gaurav Bhandari"/>
    <s v="No"/>
    <s v="saurabh.mutta@amns.in"/>
    <s v="9879102504"/>
    <s v="22743"/>
    <s v="Dhruv Vyas"/>
    <s v="Anil Matoo"/>
    <s v="Praveen Kuruvalli"/>
    <s v="Dhruv Vyas"/>
    <n v="0"/>
  </r>
  <r>
    <n v="2993"/>
    <n v="20048971"/>
    <s v="Arindam Ganguly"/>
    <s v="AM/NS India"/>
    <s v="Onroll"/>
    <s v="M-6"/>
    <n v="6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nior Lead"/>
    <m/>
    <s v="Finance &amp; Accounts - Pune"/>
    <s v="Finance &amp; Accounts"/>
    <s v="Costing"/>
    <s v="Non Technical Support"/>
    <s v="Finance &amp; Accounts"/>
    <s v="Costing"/>
    <s v="73906001"/>
    <s v="Costing"/>
    <s v="Pune AMNS"/>
    <d v="1968-06-01T00:00:00"/>
    <s v="55.03"/>
    <d v="2014-11-17T00:00:00"/>
    <d v="2026-05-31T00:00:00"/>
    <m/>
    <d v="2026-05-31T00:00:00"/>
    <n v="984"/>
    <s v="A-"/>
    <s v="ICWA Final-1996 , BCom-1989"/>
    <s v="21.11"/>
    <s v="08.10"/>
    <s v="30.09"/>
    <s v="70418544"/>
    <s v="Costing"/>
    <s v="70416525"/>
    <s v="Senior Lead"/>
    <s v="Pune Facility"/>
    <s v="0035950020"/>
    <s v="Pune-F&amp;A"/>
    <s v="2000ESPF"/>
    <s v="0"/>
    <s v=""/>
    <s v="No"/>
    <s v="arindam.ganguly@amns.in"/>
    <s v="9158820666"/>
    <s v="21763"/>
    <s v="Dhruv Vyas"/>
    <s v="Anil Matoo"/>
    <s v="Praveen Kuruvalli"/>
    <s v="Dhruv Vyas"/>
    <n v="0"/>
  </r>
  <r>
    <n v="2999"/>
    <n v="20049105"/>
    <s v="Vikas Bohra"/>
    <s v="AM/NS India"/>
    <s v="Onroll"/>
    <s v="M-5"/>
    <n v="5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– Structured Transactions"/>
    <m/>
    <s v="Treasury &amp; Banking"/>
    <s v="Treasury &amp; Banking"/>
    <s v="Corporate Finance"/>
    <s v="Non Technical Support"/>
    <s v="Finance &amp; Accounts"/>
    <s v="Corporate Finance"/>
    <s v="73902002"/>
    <s v="Project Finance"/>
    <s v="Mumbai"/>
    <d v="1979-03-28T00:00:00"/>
    <s v="44.05"/>
    <d v="2014-12-22T00:00:00"/>
    <d v="2037-03-31T00:00:00"/>
    <m/>
    <d v="2037-03-31T00:00:00"/>
    <n v="4941"/>
    <s v="B-"/>
    <s v="Intermediate-2000 , BCom-1995 , CA Final"/>
    <s v="05.03"/>
    <s v="08.08"/>
    <s v="13.11"/>
    <s v="70280332"/>
    <s v="Finance &amp; Treasury"/>
    <s v="70418547"/>
    <s v="Sr. Lead – Structured Transactions"/>
    <s v="Corporate"/>
    <s v="0090000028"/>
    <s v="Corporate Steel - Wo"/>
    <s v="2000CS"/>
    <s v="20000870"/>
    <s v="Balajee M"/>
    <s v="No"/>
    <s v="vikas.bohra@amns.in"/>
    <s v="9930137061"/>
    <s v="21309"/>
    <s v="Dhruv Vyas"/>
    <s v="Anil Matoo"/>
    <s v="Praveen Kuruvalli"/>
    <s v="Dhruv Vyas"/>
    <n v="0"/>
  </r>
  <r>
    <n v="3004"/>
    <n v="20049277"/>
    <s v="Rishabh  Bhandar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Capex Finance"/>
    <m/>
    <s v="Internal Control &amp; SOX"/>
    <s v="Internal Control &amp; SOX"/>
    <s v="Finance &amp; Accounts"/>
    <s v="Non Technical Support"/>
    <s v="Commercial"/>
    <s v="Commercial"/>
    <s v="73801001"/>
    <s v="Commercial"/>
    <s v="AM/NS Hazira"/>
    <d v="1989-10-07T00:00:00"/>
    <s v="33.11"/>
    <d v="2015-01-27T00:00:00"/>
    <d v="2047-10-31T00:00:00"/>
    <m/>
    <d v="2047-10-31T00:00:00"/>
    <n v="8807"/>
    <s v="A-"/>
    <s v="CS-2014 , CA Final-2014 , SSLC-2013 , BC"/>
    <s v="04.02"/>
    <s v="08.07"/>
    <s v="12.09"/>
    <s v="00050876"/>
    <s v="Capex Finance, Hazira"/>
    <s v="70433937"/>
    <s v="Officer - Internal Control &amp; SOX"/>
    <s v="Hazira"/>
    <s v="0090000038"/>
    <s v="CAPEX FINANCE"/>
    <s v="2000HWO"/>
    <s v="20056029"/>
    <s v="Ananya Maitra"/>
    <s v="No"/>
    <s v="rishabh.bhandari@amns.in"/>
    <s v="9930134938"/>
    <s v="21222"/>
    <s v="Dhruv Vyas"/>
    <s v="Anil Matoo"/>
    <s v="Praveen Kuruvalli"/>
    <s v="Dhruv Vyas"/>
    <n v="0"/>
  </r>
  <r>
    <n v="3005"/>
    <n v="20049281"/>
    <s v="Raveena Dhoot"/>
    <s v="AM/NS India"/>
    <s v="Onroll"/>
    <s v="M-6"/>
    <n v="6"/>
    <m/>
    <s v="MM"/>
    <s v="F"/>
    <s v="Corporate"/>
    <n v="7"/>
    <s v="2099"/>
    <x v="19"/>
    <s v="02.01"/>
    <s v="Raghavan Aravamudhan"/>
    <s v="Dilip Oommen"/>
    <n v="1"/>
    <s v="CEO Office"/>
    <s v="Business Strategy"/>
    <s v="02"/>
    <s v="Sr. Lead - PMO"/>
    <m/>
    <s v="Business Strategy"/>
    <s v="Business Strategy"/>
    <s v=""/>
    <s v="Non Technical Support"/>
    <s v="Operations"/>
    <s v="Operations"/>
    <s v="72103001"/>
    <s v="Operations"/>
    <s v="Mumbai"/>
    <d v="1993-01-10T00:00:00"/>
    <s v="30.08"/>
    <d v="2015-01-27T00:00:00"/>
    <d v="2051-01-31T00:00:00"/>
    <m/>
    <d v="2051-01-31T00:00:00"/>
    <n v="9995"/>
    <s v="B-"/>
    <s v="High School-2014 , CA Final-2014 , BCom-"/>
    <s v="04.00"/>
    <s v="08.07"/>
    <s v="12.07"/>
    <s v="00046538"/>
    <s v="Project Monitoring"/>
    <s v="70433936"/>
    <s v="Executive Assistant to CEO"/>
    <s v="Corporate"/>
    <s v="0090000022"/>
    <s v="Business Strategy"/>
    <s v="2000CS"/>
    <s v="20055068"/>
    <s v="Dilip Oommen"/>
    <s v="No"/>
    <s v="raveena.dhoot@amns.in"/>
    <s v="9930137063"/>
    <s v="21671"/>
    <s v="Dhruv Vyas"/>
    <s v="Anil Matoo"/>
    <s v="Praveen Kuruvalli"/>
    <s v="Dhruv Vyas"/>
    <n v="0"/>
  </r>
  <r>
    <n v="3009"/>
    <n v="20049474"/>
    <s v="Ashish Sawant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r. Manager - Sales &amp; Mkt"/>
    <m/>
    <s v="Pipe"/>
    <s v="Pipe"/>
    <s v=""/>
    <s v="Non Technical Support"/>
    <s v="Sales &amp; Marketing"/>
    <s v="Sales &amp; Marketing"/>
    <s v="73101001"/>
    <s v="Sales &amp; Marketing"/>
    <s v="Mumbai"/>
    <d v="1980-01-01T00:00:00"/>
    <s v="43.08"/>
    <d v="2015-02-23T00:00:00"/>
    <d v="2037-12-31T00:00:00"/>
    <m/>
    <d v="2037-12-31T00:00:00"/>
    <n v="5216"/>
    <s v="A-"/>
    <s v="MMS-2004 , BCom-2001 , High School-1998"/>
    <s v="11.01"/>
    <s v="08.06"/>
    <s v="19.08"/>
    <s v="70387159"/>
    <s v="Pipe Sales"/>
    <s v="70431062"/>
    <s v="KAM - Domestics Pipe Sales"/>
    <s v="Hazira"/>
    <s v="0031591982"/>
    <s v="PM-Marketing"/>
    <s v="2000HWO"/>
    <s v="20007414"/>
    <s v="Gaurav Sharma"/>
    <s v="No"/>
    <s v="ashish.sawant@amns.in"/>
    <s v="9930132225"/>
    <s v="23972"/>
    <s v="Dhruv Vyas"/>
    <s v="Anil Matoo"/>
    <s v="Praveen Kuruvalli"/>
    <s v="Dhruv Vyas"/>
    <n v="0"/>
  </r>
  <r>
    <n v="3012"/>
    <n v="20049542"/>
    <s v="Saumen Das"/>
    <s v="AM/NS India"/>
    <s v="Onroll"/>
    <s v="M-10"/>
    <n v="10"/>
    <m/>
    <s v="JM"/>
    <s v="M"/>
    <s v="Odisha"/>
    <n v="2"/>
    <s v="2095"/>
    <x v="4"/>
    <n v="36.01"/>
    <s v="Deepak Sindkar"/>
    <s v="Hrishikesh Kamat"/>
    <n v="7"/>
    <s v="Procurement"/>
    <s v="Raw Materials"/>
    <s v="36"/>
    <s v="Officer - Raw Material"/>
    <m/>
    <s v="Bulk Raw Materials"/>
    <s v="Bulck Raw Material"/>
    <s v="Bulck Raw Material"/>
    <s v="Non Technical Support"/>
    <s v="Commercial"/>
    <s v="Procurement"/>
    <s v="73803001"/>
    <s v="Procurement"/>
    <s v="Dabuna"/>
    <d v="1979-01-29T00:00:00"/>
    <s v="44.07"/>
    <d v="2015-02-10T00:00:00"/>
    <d v="2037-01-31T00:00:00"/>
    <m/>
    <d v="2037-01-31T00:00:00"/>
    <n v="4882"/>
    <s v="O-"/>
    <s v="High School-2002 , BCom-2002 , SSLC-1999"/>
    <s v="10.00"/>
    <s v="08.07"/>
    <s v="18.07"/>
    <s v="70258505"/>
    <s v="Bulk Raw Material"/>
    <s v="70433359"/>
    <s v="Officer - Raw Material"/>
    <s v="Odisha"/>
    <s v="0022010019"/>
    <s v="DBN-Benf-HR/Admin"/>
    <s v="2000STORIS"/>
    <s v="20037898"/>
    <s v="Sanjib Sinha"/>
    <s v="No"/>
    <s v="saumen.das@amns.in"/>
    <s v="8599008406"/>
    <s v="21524"/>
    <s v="Sunila Das"/>
    <s v="Anil Matoo"/>
    <s v="Praveen Kuruvalli"/>
    <s v="Sunila Das"/>
    <n v="0"/>
  </r>
  <r>
    <n v="3013"/>
    <n v="20049554"/>
    <s v="Uttam Kumar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Sales Planning &amp; Admin"/>
    <m/>
    <s v="Sales Planning"/>
    <s v="Sales Planning"/>
    <s v=""/>
    <s v="Non Technical Support"/>
    <s v="Sales &amp; Marketing"/>
    <s v="Sales &amp; Marketing"/>
    <s v="73101001"/>
    <s v="Sales &amp; Marketing"/>
    <s v="AM/NS Hazira"/>
    <d v="1980-01-18T00:00:00"/>
    <s v="43.08"/>
    <d v="2015-03-27T00:00:00"/>
    <d v="2038-01-31T00:00:00"/>
    <m/>
    <d v="2038-01-31T00:00:00"/>
    <n v="5247"/>
    <s v="B-"/>
    <s v="High School-2005 , MBA-2005 , BBA-2002 ,"/>
    <s v="09.09"/>
    <s v="08.05"/>
    <s v="18.02"/>
    <s v="70385322"/>
    <s v="Sales Planning &amp; Administration"/>
    <s v="70433844"/>
    <s v="Head - Sales Planning &amp; Admin"/>
    <s v="Hazira"/>
    <s v="0080000001"/>
    <s v="Head-Marketing"/>
    <s v="2000HWO"/>
    <s v="20007104"/>
    <s v="Ranjan Dhar"/>
    <s v="No"/>
    <s v="uttam.kumar@amns.in"/>
    <s v="9909901008"/>
    <s v="22374"/>
    <s v="Dhruv Vyas"/>
    <s v="Anil Matoo"/>
    <s v="Praveen Kuruvalli"/>
    <s v="Dhruv Vyas"/>
    <n v="0"/>
  </r>
  <r>
    <n v="3018"/>
    <n v="20049610"/>
    <s v="Anshuman Chowdhary"/>
    <s v="AM/NS India"/>
    <s v="Onroll"/>
    <s v="M-7"/>
    <n v="7"/>
    <m/>
    <s v="MM"/>
    <s v="M"/>
    <s v="Hazira"/>
    <n v="1"/>
    <s v="2095"/>
    <x v="4"/>
    <n v="36.01"/>
    <s v="Deepak Sindkar"/>
    <s v="Hrishikesh Kamat"/>
    <n v="7"/>
    <s v="Procurement"/>
    <s v="Raw Materials"/>
    <s v="36"/>
    <s v="Lead - BRM"/>
    <m/>
    <s v="Bulk Raw Materials"/>
    <s v="Raw Material"/>
    <s v="Bulk Raw Material"/>
    <s v="Non Technical Support"/>
    <s v="Commercial"/>
    <s v="Procurement"/>
    <s v="73803001"/>
    <s v="Procurement"/>
    <s v="AM/NS Hazira"/>
    <d v="1978-09-15T00:00:00"/>
    <s v="45.00"/>
    <d v="2015-04-01T00:00:00"/>
    <d v="2036-09-30T00:00:00"/>
    <m/>
    <d v="2036-09-30T00:00:00"/>
    <n v="4759"/>
    <s v="B-"/>
    <s v="MBA-2012 , BE-2001"/>
    <s v="10.05"/>
    <s v="08.05"/>
    <s v="18.10"/>
    <s v="00045894"/>
    <s v="Blacks"/>
    <s v="72150916"/>
    <s v="Lead - BRM"/>
    <s v="Hazira"/>
    <s v="0031950048"/>
    <s v="HZ-Procurment Depart"/>
    <s v="2000HWO"/>
    <s v="20001577"/>
    <s v="Prakash Thakur"/>
    <s v="No"/>
    <s v="anshuman.chowdhary@amns.in"/>
    <s v="9879103800"/>
    <s v="21436"/>
    <s v="Dhruv Vyas"/>
    <s v="Anil Matoo"/>
    <s v="Praveen Kuruvalli"/>
    <s v="Dhruv Vyas"/>
    <n v="0"/>
  </r>
  <r>
    <n v="3021"/>
    <n v="20049748"/>
    <s v="Vivek Shenvi"/>
    <s v="AM/NS India"/>
    <s v="Onroll"/>
    <s v="M-7"/>
    <n v="7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– Structured Transactions"/>
    <m/>
    <s v="Treasury &amp; Banking"/>
    <s v="Treasury &amp; Banking"/>
    <s v="Corporate Finance"/>
    <s v="Non Technical Support"/>
    <s v="Finance &amp; Accounts"/>
    <s v="Corporate Finance"/>
    <s v="73902001"/>
    <s v="Corporate Finance"/>
    <s v="Mumbai"/>
    <d v="1974-08-03T00:00:00"/>
    <s v="49.01"/>
    <d v="2015-02-16T00:00:00"/>
    <d v="2032-08-31T00:00:00"/>
    <m/>
    <d v="2032-08-31T00:00:00"/>
    <n v="3268"/>
    <s v="O-"/>
    <s v="MBA-2019 , LLB-2019 , BCom-2009"/>
    <s v="17.08"/>
    <s v="08.07"/>
    <s v="26.02"/>
    <s v="00050553"/>
    <s v="Banking &amp; Treasury"/>
    <s v="70438047"/>
    <s v="Lead – Structured Transactions"/>
    <s v="Corporate"/>
    <s v="0090000028"/>
    <s v="Corporate Steel - Wo"/>
    <s v="2000CS"/>
    <s v="20011972"/>
    <s v="Rajita Bagkar"/>
    <s v="No"/>
    <s v="shenvi.vivek@amns.in"/>
    <s v="9930137062"/>
    <s v="24709"/>
    <s v="Dhruv Vyas"/>
    <s v="Anil Matoo"/>
    <s v="Praveen Kuruvalli"/>
    <s v="Dhruv Vyas"/>
    <n v="0"/>
  </r>
  <r>
    <n v="3024"/>
    <n v="20050108"/>
    <s v="Ayyalasomayajula Koundinya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Engineer - Procurement (BP &amp; Common)"/>
    <m/>
    <s v="Procurement"/>
    <s v="New Projects &amp; Process Modification"/>
    <s v="New Projects &amp; Process Modification"/>
    <s v="Non Technical Support"/>
    <s v="Services"/>
    <s v="Maintenance Services"/>
    <s v="72103013"/>
    <s v="Mechanical Maintenance"/>
    <s v="Vizag"/>
    <d v="1992-06-11T00:00:00"/>
    <s v="31.03"/>
    <d v="2015-06-12T00:00:00"/>
    <d v="2050-06-30T00:00:00"/>
    <m/>
    <d v="2050-06-30T00:00:00"/>
    <n v="9780"/>
    <s v="B-"/>
    <s v="PG Diploma in Management-2015 , BTech-20"/>
    <s v=""/>
    <s v="08.03"/>
    <s v="08.03"/>
    <s v="00048432"/>
    <s v="Procurement - Plant Operations"/>
    <s v="70449383"/>
    <s v="Engineer - Procurement (BP &amp; Common)"/>
    <s v="Vizag"/>
    <s v="0028030019"/>
    <s v="VIZ-Personnel &amp; Admi"/>
    <s v="2000VIZOPS"/>
    <s v="20037594"/>
    <s v="M G S R D Prasad"/>
    <s v="No"/>
    <s v="koundinya.ayyalasomayajula@amns.in"/>
    <s v="9160963339"/>
    <s v="21109"/>
    <s v="DS Varma"/>
    <s v="Anil Matoo"/>
    <s v="Praveen Kuruvalli"/>
    <s v="Dhruv Vyas"/>
    <n v="0"/>
  </r>
  <r>
    <n v="3031"/>
    <n v="20050785"/>
    <s v="Pankaj Chourasia"/>
    <s v="AM/NS India"/>
    <s v="Onroll"/>
    <s v="M-4"/>
    <n v="4"/>
    <m/>
    <s v="SM"/>
    <s v="M"/>
    <s v="Corporate"/>
    <n v="7"/>
    <s v="2100"/>
    <x v="11"/>
    <s v="42.01"/>
    <s v="P Ashok Kumar"/>
    <s v="P Ashok Kumar"/>
    <n v="9"/>
    <s v="Legal"/>
    <s v="Company Secretary"/>
    <s v="42"/>
    <s v="Company Secretary"/>
    <m/>
    <s v="Company Secretary"/>
    <s v="Company Secretary"/>
    <s v="Company Secretary"/>
    <s v="Non Technical Support"/>
    <s v="Secretarial"/>
    <s v="Company Secretary"/>
    <s v="73301001"/>
    <s v="Company Secretary"/>
    <s v="Mumbai"/>
    <d v="1975-07-15T00:00:00"/>
    <s v="48.02"/>
    <d v="2015-10-27T00:00:00"/>
    <d v="2033-07-31T00:00:00"/>
    <m/>
    <d v="2033-07-31T00:00:00"/>
    <n v="3602"/>
    <s v="A-"/>
    <s v="LLB-2004 , MCom-1997 , CS-1999 , BCom-19"/>
    <s v="17.01"/>
    <s v="07.10"/>
    <s v="25.00"/>
    <s v="70273573"/>
    <s v="Company Secretarial"/>
    <s v="70463327"/>
    <s v="Company Secretary"/>
    <s v="Corporate"/>
    <s v="0090000020"/>
    <s v="Company Secretary"/>
    <s v="2000CS"/>
    <s v="20055235"/>
    <s v="P Ashok Kumar"/>
    <s v="No"/>
    <s v="pankaj.chourasia@amns.in"/>
    <s v="9819730722"/>
    <s v="21434"/>
    <s v="Dhruv Vyas"/>
    <s v="Anil Matoo"/>
    <s v="Praveen Kuruvalli"/>
    <s v="Dhruv Vyas"/>
    <n v="0"/>
  </r>
  <r>
    <n v="3057"/>
    <n v="20052026"/>
    <s v="Jigneshkumar Patel"/>
    <s v="AM/NS India"/>
    <s v="Onroll"/>
    <s v="M-5"/>
    <n v="5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r. Lead – Proc Rolls Lubes  System Dev"/>
    <m/>
    <s v="Procurement MRO Hazira"/>
    <s v="Procurement"/>
    <s v="APD &amp; OEM for HSM, Hose, System development and MIS"/>
    <s v="Non Technical Support"/>
    <s v="Commercial"/>
    <s v="Procurement"/>
    <s v="73803001"/>
    <s v="Procurement"/>
    <s v="AM/NS Hazira"/>
    <d v="1977-03-16T00:00:00"/>
    <s v="46.06"/>
    <d v="2016-06-06T00:00:00"/>
    <d v="2035-03-31T00:00:00"/>
    <m/>
    <d v="2035-03-31T00:00:00"/>
    <n v="4210"/>
    <s v="B-"/>
    <s v="BE-2004 , Diploma-1997 , Diploma-1994"/>
    <s v="17.05"/>
    <s v="07.03"/>
    <s v="24.08"/>
    <s v="00044544"/>
    <s v="Rolls Lubes  System Development"/>
    <s v="70486746"/>
    <s v="Sr. Lead – Proc Rolls Lubes  System Dev"/>
    <s v="Hazira"/>
    <s v="0031950048"/>
    <s v="HZ-Procurment Depart"/>
    <s v="2000HWO"/>
    <s v="20002323"/>
    <s v="Balaji Somvanshi"/>
    <s v="No"/>
    <s v="jigneshkumar01.patel@amns.in"/>
    <s v="9879103302"/>
    <s v="23209"/>
    <s v="Dhruv Vyas"/>
    <s v="Anil Matoo"/>
    <s v="Praveen Kuruvalli"/>
    <s v="Dhruv Vyas"/>
    <n v="0"/>
  </r>
  <r>
    <n v="3110"/>
    <n v="20052253"/>
    <s v="Niraj Thaku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– Sales Planning and Admin"/>
    <m/>
    <s v="Sales Planning"/>
    <s v="Sales Planning"/>
    <s v=""/>
    <s v="Non Technical Support"/>
    <s v="Operations"/>
    <s v="Operations"/>
    <s v="72103002"/>
    <s v="Operations Planning &amp; Str"/>
    <s v="Mumbai"/>
    <d v="1987-08-12T00:00:00"/>
    <s v="36.01"/>
    <d v="2016-07-18T00:00:00"/>
    <d v="2045-08-31T00:00:00"/>
    <m/>
    <d v="2045-08-31T00:00:00"/>
    <n v="8016"/>
    <s v="A+"/>
    <s v="PG Diploma in Management-2012 , BTech-20"/>
    <s v="08.01"/>
    <s v="07.02"/>
    <s v="15.03"/>
    <s v="72150188"/>
    <s v="Market Intelligence &amp; Pricing"/>
    <s v="70487112"/>
    <s v="Lead – Sales Planning and Admin"/>
    <s v="Hazira"/>
    <s v="0060110300"/>
    <s v="HMART-Guj-Ahemedabad"/>
    <s v="2000HWO"/>
    <s v="20008774"/>
    <s v="Ajay Somasundaran"/>
    <s v="No"/>
    <s v="niraj.thakur@amns.in"/>
    <s v="9909901283"/>
    <s v="24498"/>
    <s v="Dhruv Vyas"/>
    <s v="Anil Matoo"/>
    <s v="Praveen Kuruvalli"/>
    <s v="Dhruv Vyas"/>
    <n v="0"/>
  </r>
  <r>
    <n v="3111"/>
    <n v="20052261"/>
    <s v="Aruni Mishra"/>
    <s v="AM/NS India"/>
    <s v="Onroll"/>
    <s v="M-3"/>
    <n v="3"/>
    <m/>
    <s v="SM"/>
    <s v="M"/>
    <s v="Hazira"/>
    <n v="1"/>
    <s v="2161"/>
    <x v="15"/>
    <s v="31.02"/>
    <s v="Hrishikesh Kamat"/>
    <s v="Hrishikesh Kamat"/>
    <n v="7"/>
    <s v="Procurement"/>
    <s v="Procurement"/>
    <s v="31"/>
    <s v="Head-Capex Procurement &amp; Secondary Sale"/>
    <m/>
    <s v="Capex Procurement"/>
    <s v="Capex Procurement"/>
    <s v=""/>
    <s v="Non Technical Support"/>
    <s v="Operations"/>
    <s v="Operations"/>
    <s v="72103001"/>
    <s v="Operations"/>
    <s v="Hazira"/>
    <d v="1969-03-28T00:00:00"/>
    <s v="54.05"/>
    <d v="2016-07-11T00:00:00"/>
    <d v="2027-03-31T00:00:00"/>
    <m/>
    <d v="2027-03-31T00:00:00"/>
    <n v="1288"/>
    <s v="B+"/>
    <s v="MBA-1991 , MBA-1991 , MBA-1991 , MBA-199"/>
    <s v="22.11"/>
    <s v="07.02"/>
    <s v="30.01"/>
    <s v="70282830"/>
    <s v="Capex Procurement &amp; Secondary Sales"/>
    <s v="70487056"/>
    <s v="Head-Capex Procurement &amp; Secondary Sale"/>
    <s v="Confidential Payroll"/>
    <s v="0031950059"/>
    <s v="HZ-Hazira Project"/>
    <s v="2000HWO"/>
    <s v="20055090"/>
    <s v="Hrishikesh Kamat"/>
    <s v="No"/>
    <s v="aruni.mishra@amns.in"/>
    <s v="9879100155"/>
    <s v="22620"/>
    <s v="Dhruv Vyas"/>
    <s v="Anil Matoo"/>
    <s v="Praveen Kuruvalli"/>
    <s v="Dhruv Vyas"/>
    <n v="0"/>
  </r>
  <r>
    <n v="3125"/>
    <n v="20052385"/>
    <s v="Anupam Tiwari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In-Charge Quality (Fabric"/>
    <m/>
    <s v="North"/>
    <s v="Hypermart"/>
    <s v="Fabrication"/>
    <s v="Non Technical Support"/>
    <s v="Sales &amp; Marketing"/>
    <s v="Sales"/>
    <s v="73104003"/>
    <s v="Retail Sales"/>
    <s v="Ghaziabad"/>
    <d v="1990-07-05T00:00:00"/>
    <s v="33.02"/>
    <d v="2016-08-01T00:00:00"/>
    <d v="2048-07-31T00:00:00"/>
    <m/>
    <d v="2048-07-31T00:00:00"/>
    <n v="9081"/>
    <s v="O-"/>
    <s v="Certificate-2014 , BTech-2010 , Intermed"/>
    <s v="06.00"/>
    <s v="07.01"/>
    <s v="13.01"/>
    <s v="00052526"/>
    <s v="Sales - North"/>
    <s v="70487430"/>
    <s v="Sales Manager - Hypermart"/>
    <s v="Hazira"/>
    <s v="0060120600"/>
    <s v="HMART-UP-Ghaziabad"/>
    <s v="2000SPRJ"/>
    <s v="20007322"/>
    <s v="Sanjay Bohra"/>
    <s v="No"/>
    <s v="anupam.tiwari@amns.in"/>
    <s v="8053119822"/>
    <s v="24529"/>
    <s v="Dhruv Vyas"/>
    <s v="Anil Matoo"/>
    <s v="Praveen Kuruvalli"/>
    <s v="Dhruv Vyas"/>
    <n v="0"/>
  </r>
  <r>
    <n v="3133"/>
    <n v="20052581"/>
    <s v="Dipak Sayaji"/>
    <s v="AM/NS India"/>
    <s v="Onroll"/>
    <s v="M-7"/>
    <n v="7"/>
    <m/>
    <s v="MM"/>
    <s v="M"/>
    <s v="Service Centers"/>
    <n v="6"/>
    <s v="2043"/>
    <x v="3"/>
    <s v="31.01"/>
    <s v="Hrishikesh Kamat"/>
    <s v="Hrishikesh Kamat"/>
    <n v="7"/>
    <s v="Procurement"/>
    <s v="Procurement"/>
    <s v="31"/>
    <s v="Lead - Procurement - Service Center"/>
    <m/>
    <s v="Procurement Service Centre"/>
    <s v="Procurement"/>
    <s v="Procurement"/>
    <s v="Non Technical Support"/>
    <s v="Finance &amp; Accounts"/>
    <s v="Finance &amp; Accounts"/>
    <s v="73901001"/>
    <s v="Finance &amp; Accounts"/>
    <s v="Hazira"/>
    <d v="1988-11-19T00:00:00"/>
    <s v="34.09"/>
    <d v="2016-09-07T00:00:00"/>
    <d v="2046-11-30T00:00:00"/>
    <m/>
    <d v="2046-11-30T00:00:00"/>
    <n v="8472"/>
    <s v="A+"/>
    <s v="Diploma-2004"/>
    <s v="09.03"/>
    <s v="07.00"/>
    <s v="16.03"/>
    <s v="70413444"/>
    <s v="Purchase &amp; Contracts"/>
    <s v="70487684"/>
    <s v="Lead - Procurement - Service Center"/>
    <s v="Service Center"/>
    <s v="0040010019"/>
    <s v="SC-DSC-Common Cost"/>
    <s v="2000SPRJ"/>
    <s v="20052588"/>
    <s v="Govindraju Sampathirao"/>
    <s v="No"/>
    <s v="dipak.sayaji@amns.in"/>
    <s v="9176949966"/>
    <s v="23979"/>
    <s v="Dhruv Vyas"/>
    <s v="Anil Matoo"/>
    <s v="Praveen Kuruvalli"/>
    <s v="Dhruv Vyas"/>
    <n v="0"/>
  </r>
  <r>
    <n v="3134"/>
    <n v="20052588"/>
    <s v="Govindraju Sampathirao"/>
    <s v="AM/NS India"/>
    <s v="Onroll"/>
    <s v="M-6"/>
    <n v="6"/>
    <m/>
    <s v="MM"/>
    <s v="M"/>
    <s v="Service Centers"/>
    <n v="6"/>
    <s v="2043"/>
    <x v="3"/>
    <s v="31.01"/>
    <s v="Hrishikesh Kamat"/>
    <s v="Hrishikesh Kamat"/>
    <n v="7"/>
    <s v="Procurement"/>
    <s v="Procurement"/>
    <s v="31"/>
    <s v="Head – Procurement Service Center"/>
    <m/>
    <s v="Procurement Service Centre"/>
    <s v="Procurement"/>
    <s v="Procurement"/>
    <s v="Non Technical Support"/>
    <s v="Operations"/>
    <s v="Plant Operations"/>
    <s v="72103003"/>
    <s v="Plant Operations"/>
    <s v="Hazira"/>
    <d v="1975-11-12T00:00:00"/>
    <s v="47.10"/>
    <d v="2016-09-14T00:00:00"/>
    <d v="2033-11-30T00:00:00"/>
    <m/>
    <d v="2033-11-30T00:00:00"/>
    <n v="3724"/>
    <s v="A-"/>
    <s v="MBA-2003 , BSc-1997"/>
    <s v="17.10"/>
    <s v="07.00"/>
    <s v="24.09"/>
    <s v="70413444"/>
    <s v="Purchase &amp; Contracts"/>
    <s v="70487702"/>
    <s v="Head – Procurement Service Center"/>
    <s v="Service Center"/>
    <s v="0040000000"/>
    <s v="SC - Common"/>
    <s v="2000SPRJ"/>
    <s v="20055090"/>
    <s v="Hrishikesh Kamat"/>
    <s v="No"/>
    <s v="sampathirao.govindraju@amns.in"/>
    <s v="8053119824"/>
    <s v="23907"/>
    <s v="Dhruv Vyas"/>
    <s v="Anil Matoo"/>
    <s v="Praveen Kuruvalli"/>
    <s v="Dhruv Vyas"/>
    <n v="0"/>
  </r>
  <r>
    <n v="3136"/>
    <n v="20052653"/>
    <s v="Anup Agarwala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– Proc Steel Making &amp; Lifting Equi"/>
    <m/>
    <s v="Procurement MRO Hazira"/>
    <s v="Procurement"/>
    <s v="SMP I &amp; II Fabrication, Wire ropes, slings , hoists."/>
    <s v="Non Technical Support"/>
    <s v="Commercial"/>
    <s v="Procurement"/>
    <s v="73803001"/>
    <s v="Procurement"/>
    <s v="AM/NS Hazira"/>
    <d v="1993-01-04T00:00:00"/>
    <s v="30.08"/>
    <d v="2016-10-13T00:00:00"/>
    <d v="2051-01-31T00:00:00"/>
    <m/>
    <d v="2051-01-31T00:00:00"/>
    <n v="9995"/>
    <s v="B-"/>
    <s v="CA Final-2016 , CS-2014 , BCom-2014"/>
    <s v="00.05"/>
    <s v="06.11"/>
    <s v="07.04"/>
    <s v="70072411"/>
    <s v="Iron &amp; Steel Making"/>
    <s v="70487717"/>
    <s v="Lead – Proc Steel Making &amp; Lifting Equi"/>
    <s v="Hazira"/>
    <s v="0031950048"/>
    <s v="HZ-Procurment Depart"/>
    <s v="2000HWO"/>
    <s v="20000926"/>
    <s v="Manishkumar Seksaria"/>
    <s v="No"/>
    <s v="anup.agarwala@amns.in"/>
    <s v="9879102291"/>
    <s v="21030"/>
    <s v="Dhruv Vyas"/>
    <s v="Anil Matoo"/>
    <s v="Praveen Kuruvalli"/>
    <s v="Dhruv Vyas"/>
    <n v="0"/>
  </r>
  <r>
    <n v="3178"/>
    <n v="20053326"/>
    <s v="Banaj Khatua"/>
    <s v="AM/NS India"/>
    <s v="Onroll"/>
    <s v="M-7"/>
    <n v="7"/>
    <m/>
    <s v="MM"/>
    <s v="M"/>
    <s v="Odisha"/>
    <n v="2"/>
    <s v="2084"/>
    <x v="17"/>
    <s v="23.09"/>
    <s v="Anil Matoo"/>
    <s v="Ashutosh Telang"/>
    <n v="6"/>
    <s v="HR &amp; Administration"/>
    <s v="Industrial Relations"/>
    <s v="23"/>
    <s v="Lead - Industrial Relations"/>
    <m/>
    <s v="Industrial Relations"/>
    <s v="Administration"/>
    <s v="Administration"/>
    <s v="Non Technical Support"/>
    <s v="Human Resources Management"/>
    <s v="Industrial Relations &amp; Labour Law"/>
    <s v="73510000"/>
    <s v="Industrial Relations &amp; La"/>
    <s v="Dabuna"/>
    <d v="1973-05-16T00:00:00"/>
    <s v="50.04"/>
    <d v="2017-05-15T00:00:00"/>
    <d v="2031-05-31T00:00:00"/>
    <m/>
    <d v="2031-05-31T00:00:00"/>
    <n v="2810"/>
    <s v=""/>
    <s v="MBA-1995"/>
    <s v="10.11"/>
    <s v="06.04"/>
    <s v="17.03"/>
    <s v="00047828"/>
    <s v="Odisha HR Operations"/>
    <s v="70489660"/>
    <s v="Lead - Industrial Relations"/>
    <s v="Odisha"/>
    <s v="0022010019"/>
    <s v="DBN-Benf-HR/Admin"/>
    <s v="2000STORIS"/>
    <s v="20055611"/>
    <s v="Sunila Kumar Das"/>
    <s v="No"/>
    <s v="banaj.khatua@amns.in"/>
    <s v="8599008448"/>
    <s v="22231"/>
    <s v="Sunila Das"/>
    <s v="Anil Matoo"/>
    <s v="Praveen Kuruvalli"/>
    <s v="Sunila Das"/>
    <n v="0"/>
  </r>
  <r>
    <n v="3183"/>
    <n v="20053558"/>
    <s v="Tushar Kanti Panda"/>
    <s v="AM/NS India"/>
    <s v="Onroll"/>
    <s v="M-6"/>
    <n v="6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- Indirect Taxation"/>
    <m/>
    <s v="Finance &amp; Accounts - Odisha"/>
    <s v="Finance &amp; Accounts"/>
    <s v="Indirect Taxation"/>
    <s v="Non Technical Support"/>
    <s v="Finance &amp; Accounts"/>
    <s v="Taxation"/>
    <s v="73904002"/>
    <s v="Indirect Taxation"/>
    <s v="Paradeep"/>
    <d v="1967-01-15T00:00:00"/>
    <s v="56.08"/>
    <d v="2017-06-27T00:00:00"/>
    <d v="2025-01-31T00:00:00"/>
    <m/>
    <d v="2025-01-31T00:00:00"/>
    <n v="499"/>
    <s v=""/>
    <s v="LLB-1996 , ICWA Inter-1991 , MCom-1991"/>
    <s v="22.01"/>
    <s v="06.02"/>
    <s v="28.03"/>
    <s v="70234933"/>
    <s v="Finance &amp; Accounts - Odisha"/>
    <s v="70490163"/>
    <s v="Lead - Indirect Taxation"/>
    <s v="Odisha"/>
    <s v="0022030019"/>
    <s v="PDP-HR &amp; Admn"/>
    <s v="2000STORIS"/>
    <s v="20055801"/>
    <s v="Sanjive Kumar Singh"/>
    <s v="No"/>
    <s v="tushar.panda@amns.in"/>
    <s v="7381007259"/>
    <s v="22920"/>
    <s v="Sunila Das"/>
    <s v="Anil Matoo"/>
    <s v="Praveen Kuruvalli"/>
    <s v="Sunila Das"/>
    <n v="0"/>
  </r>
  <r>
    <n v="3184"/>
    <n v="20053562"/>
    <s v="Shankar Murugan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Auto"/>
    <s v=""/>
    <s v="Non Technical Support"/>
    <s v="Sales &amp; Marketing"/>
    <s v="Sales"/>
    <s v="73104004"/>
    <s v="OEM Sales"/>
    <s v="Chennai"/>
    <d v="1989-12-17T00:00:00"/>
    <s v="33.09"/>
    <d v="2017-07-03T00:00:00"/>
    <d v="2047-12-31T00:00:00"/>
    <m/>
    <d v="2047-12-31T00:00:00"/>
    <n v="8868"/>
    <s v="B-"/>
    <s v="MBA-2014 , BE-2011 , High School-2007 ,"/>
    <s v="03.05"/>
    <s v="06.02"/>
    <s v="09.07"/>
    <s v="00052470"/>
    <s v="Automotive Sales - Chennai"/>
    <s v="70490181"/>
    <s v="KAM – Automotive Sales"/>
    <s v="Hazira"/>
    <s v="0031950057"/>
    <s v="HZ-HRC - Marketing"/>
    <s v="2000HWO"/>
    <s v="20000909"/>
    <s v="Murali Krishna Chunduru"/>
    <s v="No"/>
    <s v="shankar.murugan@amns.in"/>
    <s v="9840070626"/>
    <s v="22739"/>
    <s v="Dhruv Vyas"/>
    <s v="Anil Matoo"/>
    <s v="Praveen Kuruvalli"/>
    <s v="Dhruv Vyas"/>
    <n v="0"/>
  </r>
  <r>
    <n v="3187"/>
    <n v="20053636"/>
    <s v="Reddy Bhanu Kishore"/>
    <s v="AM/NS India"/>
    <s v="Onroll"/>
    <s v="M-8"/>
    <n v="8"/>
    <m/>
    <s v="JM"/>
    <s v="M"/>
    <s v="Vizag"/>
    <n v="3"/>
    <s v="2013"/>
    <x v="0"/>
    <s v="20.01"/>
    <s v="Akiyo Omori"/>
    <s v="Amit Harlalka"/>
    <n v="5"/>
    <s v="Finance &amp; Accounts"/>
    <s v="Finance &amp; Accounts"/>
    <s v="20"/>
    <s v="Officer-IDT"/>
    <m/>
    <s v="Finance &amp; Accounts - Vizag"/>
    <s v="Finance &amp; Accounts"/>
    <s v="Indirect Taxation"/>
    <s v="Non Technical Support"/>
    <s v="Finance &amp; Accounts"/>
    <s v="Taxation"/>
    <s v="73904002"/>
    <s v="Indirect Taxation"/>
    <s v="Vizag"/>
    <d v="1983-08-03T00:00:00"/>
    <s v="40.01"/>
    <d v="2017-07-24T00:00:00"/>
    <d v="2041-08-31T00:00:00"/>
    <m/>
    <d v="2041-08-31T00:00:00"/>
    <n v="6555"/>
    <s v=""/>
    <s v="MBA-2006 , MCom-2003 , BCom-2001"/>
    <s v="07.00"/>
    <s v="06.01"/>
    <s v="13.01"/>
    <s v="70413458"/>
    <s v="Costing, Budgeting &amp; IDT"/>
    <s v="70490408"/>
    <s v="Officer-IDT"/>
    <s v="Vizag"/>
    <s v="0028030019"/>
    <s v="VIZ-Personnel &amp; Admi"/>
    <s v="2000VIZOPS"/>
    <s v="20006862"/>
    <s v="D Niranjan Patro"/>
    <s v="No"/>
    <s v="reddy.kishore@amns.in"/>
    <s v="7799064333"/>
    <s v="22254"/>
    <s v="DS Varma"/>
    <s v="Anil Matoo"/>
    <s v="Praveen Kuruvalli"/>
    <s v="Dhruv Vyas"/>
    <n v="0"/>
  </r>
  <r>
    <n v="3188"/>
    <n v="20053644"/>
    <s v="Vinit Jain"/>
    <s v="AM/NS India"/>
    <s v="Onroll"/>
    <s v="M-5"/>
    <n v="5"/>
    <m/>
    <s v="MM"/>
    <s v="M"/>
    <s v="Hazira"/>
    <n v="1"/>
    <s v="2095"/>
    <x v="4"/>
    <n v="36.01"/>
    <s v="Deepak Sindkar"/>
    <s v="Hrishikesh Kamat"/>
    <n v="7"/>
    <s v="Procurement"/>
    <s v="Raw Materials"/>
    <s v="36"/>
    <s v="Section Head – Anthracite coal &amp; Scrap"/>
    <m/>
    <s v="Bulk Raw Materials"/>
    <s v="Raw Material"/>
    <s v="Bulk Raw Material"/>
    <s v="Non Technical Support"/>
    <s v="Commercial"/>
    <s v="Procurement"/>
    <s v="73803001"/>
    <s v="Procurement"/>
    <s v="AM/NS Hazira"/>
    <d v="1967-02-21T00:00:00"/>
    <s v="56.06"/>
    <d v="2017-07-10T00:00:00"/>
    <d v="2025-02-28T00:00:00"/>
    <m/>
    <d v="2025-02-28T00:00:00"/>
    <n v="527"/>
    <s v="O-"/>
    <s v="BE-1989"/>
    <s v="25.06"/>
    <s v="06.02"/>
    <s v="31.08"/>
    <s v="70072409"/>
    <s v="Bulk Raw Materials"/>
    <s v="70490417"/>
    <s v="Section Head – Anthracite coal &amp; Scrap"/>
    <s v="Hazira"/>
    <s v="0031950048"/>
    <s v="HZ-Procurment Depart"/>
    <s v="2000HWO"/>
    <s v="20000253"/>
    <s v="Deepak Sindkar"/>
    <s v="No"/>
    <s v="vinit.jain@amns.in"/>
    <s v="9879103850"/>
    <s v="21974"/>
    <s v="Dhruv Vyas"/>
    <s v="Anil Matoo"/>
    <s v="Praveen Kuruvalli"/>
    <s v="Dhruv Vyas"/>
    <n v="0"/>
  </r>
  <r>
    <n v="3193"/>
    <n v="20053754"/>
    <s v="Jitendra Agrawal"/>
    <s v="AM/NS India"/>
    <s v="Onroll"/>
    <s v="M-7"/>
    <n v="7"/>
    <m/>
    <s v="M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Sr. Lead - F &amp; A and Stores"/>
    <m/>
    <s v="Working Capital"/>
    <s v="Service Centers"/>
    <s v="Service Centre"/>
    <s v="Non Technical Support"/>
    <s v="Finance &amp; Accounts"/>
    <s v="Finance &amp; Accounts"/>
    <s v="73901001"/>
    <s v="Finance &amp; Accounts"/>
    <s v="Bahadurgarh"/>
    <d v="1982-01-15T00:00:00"/>
    <s v="41.08"/>
    <d v="2017-08-21T00:00:00"/>
    <d v="2040-01-31T00:00:00"/>
    <m/>
    <d v="2040-01-31T00:00:00"/>
    <n v="5977"/>
    <s v=""/>
    <s v="ICWA Inter-2008 , MCom-2003"/>
    <s v="10.09"/>
    <s v="06.00"/>
    <s v="16.10"/>
    <s v="00043795"/>
    <s v="F&amp;A Hypermart &amp; Service Centre - 1"/>
    <s v="70490650"/>
    <s v="Sr. Lead - F &amp; A and Stores"/>
    <s v="Service Center"/>
    <s v="0040050019"/>
    <s v="SC-Bahadurgarh-Op1-C"/>
    <s v="2000SPRJ"/>
    <s v="20055201"/>
    <s v="Deepak Sahu"/>
    <s v="No"/>
    <s v="jitendra.agrawal@amns.in"/>
    <s v="8053119826"/>
    <s v="21036"/>
    <s v="Dhruv Vyas"/>
    <s v="Anil Matoo"/>
    <s v="Praveen Kuruvalli"/>
    <s v="Dhruv Vyas"/>
    <n v="0"/>
  </r>
  <r>
    <n v="3195"/>
    <n v="20053791"/>
    <s v="Rakesh Joshi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Other West"/>
    <s v="Auto"/>
    <s v=""/>
    <s v="Non Technical Support"/>
    <s v="Sales &amp; Marketing"/>
    <s v="Sales"/>
    <s v="73104004"/>
    <s v="OEM Sales"/>
    <s v="Pune"/>
    <d v="1991-01-09T00:00:00"/>
    <s v="32.08"/>
    <d v="2017-09-04T00:00:00"/>
    <d v="2049-01-31T00:00:00"/>
    <m/>
    <d v="2049-01-31T00:00:00"/>
    <n v="9265"/>
    <s v=""/>
    <s v="MBA-2017 , BBA-2012"/>
    <s v="02.11"/>
    <s v="06.00"/>
    <s v="08.11"/>
    <s v="70495309"/>
    <s v="Sales West Zone"/>
    <s v="70491371"/>
    <s v="KAM - Automotive Sales"/>
    <s v="Hazira"/>
    <s v="0031950057"/>
    <s v="HZ-HRC - Marketing"/>
    <s v="2000HWO"/>
    <s v="20047683"/>
    <s v="Virat Vij"/>
    <s v="No"/>
    <s v="rakesh.joshibhat@amns.in"/>
    <s v="9870074805"/>
    <s v="22075"/>
    <s v="Dhruv Vyas"/>
    <s v="Anil Matoo"/>
    <s v="Praveen Kuruvalli"/>
    <s v="Dhruv Vyas"/>
    <n v="0"/>
  </r>
  <r>
    <n v="3210"/>
    <n v="20053904"/>
    <s v="Abhishek Jain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GST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82-11-19T00:00:00"/>
    <s v="40.09"/>
    <d v="2017-12-01T00:00:00"/>
    <d v="2040-11-30T00:00:00"/>
    <m/>
    <d v="2040-11-30T00:00:00"/>
    <n v="6281"/>
    <s v="A-"/>
    <s v="BCom-2004"/>
    <s v=""/>
    <s v="05.09"/>
    <s v="05.09"/>
    <s v="00044379"/>
    <s v="GST - Hazira Assets"/>
    <s v="70491199"/>
    <s v="Lead - GST"/>
    <s v="Hazira"/>
    <s v="0031950044"/>
    <s v="HZ-Commercial Taxati"/>
    <s v="2000HWO"/>
    <s v="20015864"/>
    <s v="Mayank Desai"/>
    <s v="No"/>
    <s v="abhishek.jain@amns.in"/>
    <s v="9879101619"/>
    <s v="21964"/>
    <s v="Dhruv Vyas"/>
    <s v="Anil Matoo"/>
    <s v="Praveen Kuruvalli"/>
    <s v="Dhruv Vyas"/>
    <n v="0"/>
  </r>
  <r>
    <n v="3217"/>
    <n v="20053921"/>
    <s v="S V N S Ganesh"/>
    <s v="AM/NS India"/>
    <s v="Onroll"/>
    <s v="M-7"/>
    <n v="7"/>
    <m/>
    <s v="MM"/>
    <s v="M"/>
    <s v="Vizag"/>
    <n v="3"/>
    <s v="2013"/>
    <x v="0"/>
    <s v="20.01"/>
    <s v="Akiyo Omori"/>
    <s v="Amit Harlalka"/>
    <n v="5"/>
    <s v="Finance &amp; Accounts"/>
    <s v="Finance &amp; Accounts"/>
    <s v="20"/>
    <s v="Offeicer-IDT"/>
    <m/>
    <s v="Finance &amp; Accounts - Vizag"/>
    <s v="Finance &amp; Accounts"/>
    <s v="Indirect Taxation"/>
    <s v="Non Technical Support"/>
    <s v="Finance &amp; Accounts"/>
    <s v="Taxation"/>
    <s v="73904002"/>
    <s v="Indirect Taxation"/>
    <s v="Vizag"/>
    <d v="1979-08-09T00:00:00"/>
    <s v="44.01"/>
    <d v="2017-12-20T00:00:00"/>
    <d v="2037-08-31T00:00:00"/>
    <m/>
    <d v="2037-08-31T00:00:00"/>
    <n v="5094"/>
    <s v=""/>
    <s v="MBA-2003 , BCom-2000"/>
    <s v="15.03"/>
    <s v="05.09"/>
    <s v="20.11"/>
    <s v="70413458"/>
    <s v="Costing, Budgeting &amp; IDT"/>
    <s v="70491271"/>
    <s v="Offeicer-IDT"/>
    <s v="Vizag"/>
    <s v="0028030019"/>
    <s v="VIZ-Personnel &amp; Admi"/>
    <s v="2000VIZOPS"/>
    <s v="20006862"/>
    <s v="D Niranjan Patro"/>
    <s v="No"/>
    <s v="srikakolapu.ganesh@amns.in"/>
    <s v="8142125999"/>
    <s v="21759"/>
    <s v="DS Varma"/>
    <s v="Anil Matoo"/>
    <s v="Praveen Kuruvalli"/>
    <s v="Dhruv Vyas"/>
    <n v="0"/>
  </r>
  <r>
    <n v="3229"/>
    <n v="20053956"/>
    <s v="Motka Dharmendrabhai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c Instrumentation &amp; Automatio"/>
    <m/>
    <s v="Procurement MRO Hazira"/>
    <s v="Procurement"/>
    <s v="Instrumentation &amp; Automation spares - Hazira Complex"/>
    <s v="Non Technical Support"/>
    <s v="Commercial"/>
    <s v="Procurement"/>
    <s v="73803001"/>
    <s v="Procurement"/>
    <s v="AM/NS Hazira"/>
    <d v="1975-01-12T00:00:00"/>
    <s v="48.08"/>
    <d v="2018-02-09T00:00:00"/>
    <d v="2033-01-31T00:00:00"/>
    <m/>
    <d v="2033-01-31T00:00:00"/>
    <n v="3421"/>
    <s v="A-"/>
    <s v="BE-2001 , Diploma-1998"/>
    <s v="03.11"/>
    <s v="05.07"/>
    <s v="09.06"/>
    <s v="70266350"/>
    <s v="Zinc, Elect, Instrumentation, Automation"/>
    <s v="70491422"/>
    <s v="Lead - Proc Instrumentation &amp; Automatio"/>
    <s v="Hazira"/>
    <s v="0031950048"/>
    <s v="HZ-Procurment Depart"/>
    <s v="2000HWO"/>
    <s v="20002746"/>
    <s v="Deep Pyne"/>
    <s v="No"/>
    <s v="dharmendra.motka@amns.in"/>
    <s v="9909996271"/>
    <s v="22715"/>
    <s v="Dhruv Vyas"/>
    <s v="Anil Matoo"/>
    <s v="Praveen Kuruvalli"/>
    <s v="Dhruv Vyas"/>
    <n v="0"/>
  </r>
  <r>
    <n v="3274"/>
    <n v="20054232"/>
    <s v="Imran Mohammad"/>
    <s v="AM/NS India"/>
    <s v="Onroll"/>
    <s v="M-5"/>
    <n v="5"/>
    <m/>
    <s v="MM"/>
    <s v="M"/>
    <s v="Hazira"/>
    <n v="1"/>
    <s v="2015"/>
    <x v="1"/>
    <s v="22.06"/>
    <s v="Praveen Kuruvalli"/>
    <s v="Ashutosh Telang"/>
    <n v="6"/>
    <s v="HR &amp; Administration"/>
    <s v="Human Resources"/>
    <s v="22"/>
    <s v="Head-Talent Management &amp; OD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5-06-04T00:00:00"/>
    <s v="38.03"/>
    <d v="2018-07-25T00:00:00"/>
    <d v="2043-06-30T00:00:00"/>
    <m/>
    <d v="2043-06-30T00:00:00"/>
    <n v="7223"/>
    <s v=""/>
    <s v="MBA-2009 , BCom-2007 , High School-2004"/>
    <s v="11.06"/>
    <s v="05.01"/>
    <s v="16.08"/>
    <s v="70492872"/>
    <s v="Talent Management &amp; OD"/>
    <s v="70492364"/>
    <s v="Head-Talent Management &amp; OD"/>
    <s v="Hazira"/>
    <s v="0031950061"/>
    <s v="HZ-Human Resource"/>
    <s v="2000HWO"/>
    <s v="20055483"/>
    <s v="Praveen Kuruvalli"/>
    <s v="No"/>
    <s v="imran.mohammad@amns.in"/>
    <s v="9879103612"/>
    <s v="22682"/>
    <s v="Dhruv Vyas"/>
    <s v="Anil Matoo"/>
    <s v="Praveen Kuruvalli"/>
    <s v="Dhruv Vyas"/>
    <n v="0"/>
  </r>
  <r>
    <n v="3284"/>
    <n v="20054296"/>
    <s v="Ashish Rajak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Inventory Plant B"/>
    <s v="Non Technical Support"/>
    <s v="Commercial"/>
    <s v="Stores &amp; Warehouse"/>
    <s v="73806001"/>
    <s v="Stores &amp; Warehouse"/>
    <s v="Hazira"/>
    <d v="1990-09-12T00:00:00"/>
    <s v="33.00"/>
    <d v="2018-08-21T00:00:00"/>
    <d v="2048-09-30T00:00:00"/>
    <m/>
    <d v="2048-09-30T00:00:00"/>
    <n v="9142"/>
    <s v="O-"/>
    <s v="Diploma-2006"/>
    <s v="09.00"/>
    <s v="05.00"/>
    <s v="14.01"/>
    <s v="00053279"/>
    <s v="Receipts &amp; Unloading - Plant A"/>
    <s v="70492419"/>
    <s v="Section Officer - Issue/Shifting"/>
    <s v="Hazira"/>
    <s v="0031950049"/>
    <s v="HZ-Central Stores"/>
    <s v="2000HWO"/>
    <s v="20006916"/>
    <s v="Mir Ali Martaja"/>
    <s v="No"/>
    <s v="ashish.rajak@amns.in"/>
    <s v="9879102455"/>
    <s v="23630"/>
    <s v="Dhruv Vyas"/>
    <s v="Anil Matoo"/>
    <s v="Praveen Kuruvalli"/>
    <s v="Dhruv Vyas"/>
    <n v="0"/>
  </r>
  <r>
    <n v="3291"/>
    <n v="20054320"/>
    <s v="Sanjaykumar Kanani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– Capex Procurement"/>
    <m/>
    <s v="Capex Procurement"/>
    <s v="Capex Procurement"/>
    <s v=""/>
    <s v="Non Technical Support"/>
    <s v="Operations"/>
    <s v="Operations"/>
    <s v="72103001"/>
    <s v="Operations"/>
    <s v="Hazira"/>
    <d v="1994-12-09T00:00:00"/>
    <s v="28.09"/>
    <d v="2018-09-01T00:00:00"/>
    <d v="2052-12-31T00:00:00"/>
    <m/>
    <d v="2052-12-31T00:00:00"/>
    <n v="10695"/>
    <s v="B-"/>
    <s v="BE-2015 , Diploma-2012"/>
    <s v="03.03"/>
    <s v="05.00"/>
    <s v="08.03"/>
    <s v="00049515"/>
    <s v="Capex Procurement"/>
    <s v="70492467"/>
    <s v="Lead – Capex Procurement"/>
    <s v="Hazira"/>
    <s v="0031950059"/>
    <s v="HZ-Hazira Project"/>
    <s v="2000HWO"/>
    <s v="20055706"/>
    <s v="HimalKumar Madhusudan Sheth"/>
    <s v="No"/>
    <s v="sanjaykumar.kanani@amns.in"/>
    <s v="9879102090"/>
    <s v="22125"/>
    <s v="Dhruv Vyas"/>
    <s v="Anil Matoo"/>
    <s v="Praveen Kuruvalli"/>
    <s v="Dhruv Vyas"/>
    <n v="0"/>
  </r>
  <r>
    <n v="3292"/>
    <n v="20054321"/>
    <s v="Hitesh Suratwal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Profit Management"/>
    <m/>
    <s v="Performance Management"/>
    <s v="Performance Management"/>
    <s v="Profit Management"/>
    <s v="Non Technical Support"/>
    <s v="Finance &amp; Accounts"/>
    <s v="Costing"/>
    <s v="73906001"/>
    <s v="Costing"/>
    <s v="AM/NS Hazira"/>
    <d v="1995-11-13T00:00:00"/>
    <s v="27.10"/>
    <d v="2018-09-03T00:00:00"/>
    <d v="2053-11-30T00:00:00"/>
    <m/>
    <d v="2053-11-30T00:00:00"/>
    <n v="11029"/>
    <s v="B-"/>
    <s v="CA Final-2017 , BCom-2016"/>
    <s v=""/>
    <s v="05.00"/>
    <s v="05.00"/>
    <s v="00045310"/>
    <s v="Performance Management"/>
    <s v="70492468"/>
    <s v="Lead – Profit Management"/>
    <s v="Hazira"/>
    <s v="0031950043"/>
    <s v="HZ-Performance Manag"/>
    <s v="2000HWO"/>
    <s v="20059076"/>
    <s v="Ravish Doshi"/>
    <s v="No"/>
    <s v="hitesh.suratwala@amns.in"/>
    <s v="9879103154"/>
    <s v="24389"/>
    <s v="Dhruv Vyas"/>
    <s v="Anil Matoo"/>
    <s v="Praveen Kuruvalli"/>
    <s v="Dhruv Vyas"/>
    <n v="0"/>
  </r>
  <r>
    <n v="3308"/>
    <n v="20054383"/>
    <s v="Santosh Kumar Sahoo"/>
    <s v="AM/NS India"/>
    <s v="Onroll"/>
    <s v="M-9"/>
    <n v="9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Lead - Indirect Taxation"/>
    <m/>
    <s v="Finance &amp; Accounts - Odisha"/>
    <s v="Finance &amp; Accounts"/>
    <s v="Indirect Taxation"/>
    <s v="Non Technical Support"/>
    <s v="Finance &amp; Accounts"/>
    <s v="Taxation"/>
    <s v="73904002"/>
    <s v="Indirect Taxation"/>
    <s v="Paradeep"/>
    <d v="1985-05-19T00:00:00"/>
    <s v="38.04"/>
    <d v="2018-09-26T00:00:00"/>
    <d v="2043-05-31T00:00:00"/>
    <m/>
    <d v="2043-05-31T00:00:00"/>
    <n v="7193"/>
    <s v="O+"/>
    <s v="MBA-2006"/>
    <s v="02.06"/>
    <s v="04.11"/>
    <s v="07.05"/>
    <s v="70234933"/>
    <s v="Finance &amp; Accounts - Odisha"/>
    <s v="70492582"/>
    <s v="Lead - Indirect Taxation"/>
    <s v="Odisha"/>
    <s v="0022010019"/>
    <s v="DBN-Benf-HR/Admin"/>
    <s v="2000STORIS"/>
    <s v="20055801"/>
    <s v="Sanjive Kumar Singh"/>
    <s v="No"/>
    <s v="santosh.sahoo@amns.in"/>
    <s v="7381007062"/>
    <s v="23855"/>
    <s v="Sunila Das"/>
    <s v="Anil Matoo"/>
    <s v="Praveen Kuruvalli"/>
    <s v="Sunila Das"/>
    <n v="0"/>
  </r>
  <r>
    <n v="3355"/>
    <n v="20054448"/>
    <s v="Sejalben Pradipbhai Patel"/>
    <s v="AM/NS India"/>
    <s v="Onroll"/>
    <s v="M-10"/>
    <n v="10"/>
    <m/>
    <s v="JM"/>
    <s v="F"/>
    <s v="Hazira"/>
    <n v="1"/>
    <s v="2054"/>
    <x v="9"/>
    <s v="32.01"/>
    <s v="Pankaj Chaturvedi"/>
    <s v="Hrishikesh Kamat"/>
    <n v="7"/>
    <s v="Procurement"/>
    <s v="Contracts"/>
    <s v="32"/>
    <s v="Officer - Contracts"/>
    <m/>
    <s v="Contracts"/>
    <s v="Contracts"/>
    <s v="Power Infra, HK"/>
    <s v="Non Technical Support"/>
    <s v="Commercial"/>
    <s v="Contracts &amp; Tenders and E-bid"/>
    <s v="73805001"/>
    <s v="Contracts &amp; Tenders and E"/>
    <s v="AM/NS Hazira"/>
    <d v="1985-12-18T00:00:00"/>
    <s v="37.09"/>
    <d v="2018-10-01T00:00:00"/>
    <d v="2043-12-31T00:00:00"/>
    <m/>
    <d v="2043-12-31T00:00:00"/>
    <n v="7407"/>
    <s v="O+"/>
    <s v="Diploma-2014"/>
    <s v=""/>
    <s v="04.11"/>
    <s v="04.11"/>
    <s v="70495670"/>
    <s v="Contracts"/>
    <s v="70492612"/>
    <s v="Officer - Contracts"/>
    <s v="Hazira"/>
    <s v="0031950047"/>
    <s v="HZ-Contracts"/>
    <s v="2000HWO"/>
    <s v="20000795"/>
    <s v="Pankaj Chaturvedi"/>
    <s v="No"/>
    <s v="sejal.patel@amns.in"/>
    <s v="9925241140"/>
    <s v="23373"/>
    <s v="Dhruv Vyas"/>
    <s v="Anil Matoo"/>
    <s v="Praveen Kuruvalli"/>
    <s v="Dhruv Vyas"/>
    <n v="0"/>
  </r>
  <r>
    <n v="3408"/>
    <n v="20054512"/>
    <s v="Surinder Kumar Choudhary"/>
    <s v="AM/NS India"/>
    <s v="Onroll"/>
    <s v="M-6"/>
    <n v="6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Cluster Head - Human Resources"/>
    <m/>
    <s v="Human Resources"/>
    <s v=""/>
    <s v=""/>
    <s v="Non Technical Support"/>
    <s v="Human Resources Management"/>
    <s v="Human Resources Management"/>
    <s v="73501001"/>
    <s v="Human Resources"/>
    <s v="Hazira"/>
    <d v="1979-08-21T00:00:00"/>
    <s v="44.00"/>
    <d v="2018-10-12T00:00:00"/>
    <d v="2037-08-31T00:00:00"/>
    <m/>
    <d v="2037-08-31T00:00:00"/>
    <n v="5094"/>
    <s v="B+"/>
    <s v="PG Diploma in Management-2007 , BTech-20"/>
    <s v="12.10"/>
    <s v="04.11"/>
    <s v="17.09"/>
    <s v="70472771"/>
    <s v="Hazira HR Operations - 2"/>
    <s v="70319421"/>
    <s v="Cluster Head - Human Resources"/>
    <s v="Hazira"/>
    <s v="0031950061"/>
    <s v="HZ-Human Resource"/>
    <s v="2000HWO"/>
    <s v="20000083"/>
    <s v="Anil Matoo"/>
    <s v="No"/>
    <s v="surinder.choudhary@amns.in"/>
    <s v="9879100536"/>
    <s v="21427"/>
    <s v="Dhruv Vyas"/>
    <s v="Anil Matoo"/>
    <s v="Praveen Kuruvalli"/>
    <s v="Dhruv Vyas"/>
    <n v="0"/>
  </r>
  <r>
    <n v="3409"/>
    <n v="20054514"/>
    <s v="Sarvesh Jayesh Gangar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c OEM"/>
    <m/>
    <s v="Procurement MRO Hazira"/>
    <s v="Procurement"/>
    <s v="OEM across plant &amp; special inserts"/>
    <s v="Non Technical Support"/>
    <s v="Commercial"/>
    <s v="Procurement"/>
    <s v="73803001"/>
    <s v="Procurement"/>
    <s v="AM/NS Hazira"/>
    <d v="1990-06-15T00:00:00"/>
    <s v="33.03"/>
    <d v="2018-10-01T00:00:00"/>
    <d v="2048-06-30T00:00:00"/>
    <m/>
    <d v="2048-06-30T00:00:00"/>
    <n v="9050"/>
    <s v="O+"/>
    <s v="BE-2013"/>
    <s v="05.05"/>
    <s v="04.11"/>
    <s v="10.04"/>
    <s v="70072410"/>
    <s v="Rolling &amp; Finishing including CRM, Plate"/>
    <s v="70492725"/>
    <s v="Lead - Proc OEM"/>
    <s v="Hazira"/>
    <s v="0031950048"/>
    <s v="HZ-Procurment Depart"/>
    <s v="2000HWO"/>
    <s v="20002323"/>
    <s v="Balaji Somvanshi"/>
    <s v="No"/>
    <s v="sarvesh.gangar@amns.in"/>
    <s v="9909902759"/>
    <s v="21760"/>
    <s v="Dhruv Vyas"/>
    <s v="Anil Matoo"/>
    <s v="Praveen Kuruvalli"/>
    <s v="Dhruv Vyas"/>
    <n v="0"/>
  </r>
  <r>
    <n v="3412"/>
    <n v="20054520"/>
    <s v="Trupti Yagnesh Patel"/>
    <s v="AM/NS India"/>
    <s v="Onroll"/>
    <s v="M-8"/>
    <n v="8"/>
    <m/>
    <s v="JM"/>
    <s v="F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HSM, CSP Mill"/>
    <s v="Non Technical Support"/>
    <s v="Commercial"/>
    <s v="Contracts &amp; Tenders and E-bid"/>
    <s v="73805001"/>
    <s v="Contracts &amp; Tenders and E"/>
    <s v="AM/NS Hazira"/>
    <d v="1984-04-17T00:00:00"/>
    <s v="39.05"/>
    <d v="2018-10-10T00:00:00"/>
    <d v="2042-04-30T00:00:00"/>
    <m/>
    <d v="2042-04-30T00:00:00"/>
    <n v="6797"/>
    <s v="O+"/>
    <s v="Diploma-2005"/>
    <s v="11.08"/>
    <s v="04.11"/>
    <s v="16.07"/>
    <s v="70495670"/>
    <s v="Contracts"/>
    <s v="70492721"/>
    <s v="Lead - Contracts"/>
    <s v="Hazira"/>
    <s v="0031950047"/>
    <s v="HZ-Contracts"/>
    <s v="2000HWO"/>
    <s v="20000795"/>
    <s v="Pankaj Chaturvedi"/>
    <s v="No"/>
    <s v="trupti.patel@amns.in"/>
    <s v="9879106768"/>
    <s v="23392"/>
    <s v="Dhruv Vyas"/>
    <s v="Anil Matoo"/>
    <s v="Praveen Kuruvalli"/>
    <s v="Dhruv Vyas"/>
    <n v="0"/>
  </r>
  <r>
    <n v="3420"/>
    <n v="20054535"/>
    <s v="Mahendran V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 /Issue Plant"/>
    <m/>
    <s v="Stores &amp; Warehouse"/>
    <s v="Stores &amp; Warehouse"/>
    <s v="Refractory A, Receipt -Issue"/>
    <s v="Non Technical Support"/>
    <s v="Commercial"/>
    <s v="Stores &amp; Warehouse"/>
    <s v="73806001"/>
    <s v="Stores &amp; Warehouse"/>
    <s v="Hazira"/>
    <d v="1985-09-13T00:00:00"/>
    <s v="38.00"/>
    <d v="2018-10-20T00:00:00"/>
    <d v="2043-09-30T00:00:00"/>
    <m/>
    <d v="2043-09-30T00:00:00"/>
    <n v="7315"/>
    <s v="A+"/>
    <s v="Diploma-2006"/>
    <s v="12.00"/>
    <s v="04.11"/>
    <s v="16.11"/>
    <s v="00044539"/>
    <s v="Ferroalloy &amp; Refractory Stores"/>
    <s v="70492821"/>
    <s v="Section Officer - Receipt /Issue Plant"/>
    <s v="Hazira"/>
    <s v="0031950049"/>
    <s v="HZ-Central Stores"/>
    <s v="2000HWO"/>
    <s v="20010626"/>
    <s v="Barot Sachinkumar"/>
    <s v="No"/>
    <s v="mahendran.v@amns.in"/>
    <s v="9879104934"/>
    <s v="24599"/>
    <s v="Dhruv Vyas"/>
    <s v="Anil Matoo"/>
    <s v="Praveen Kuruvalli"/>
    <s v="Dhruv Vyas"/>
    <n v="0"/>
  </r>
  <r>
    <n v="3421"/>
    <n v="20054536"/>
    <s v="Parag Dilipkumar Joshi"/>
    <s v="AM/NS India"/>
    <s v="Onroll"/>
    <s v="M-10"/>
    <n v="10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fractory &amp; Plant B"/>
    <m/>
    <s v="Stores &amp; Warehouse"/>
    <s v="Stores &amp; Warehouse"/>
    <s v="Refractory B, Receipt -Issue"/>
    <s v="Non Technical Support"/>
    <s v="Commercial"/>
    <s v="Stores &amp; Warehouse"/>
    <s v="73806001"/>
    <s v="Stores &amp; Warehouse"/>
    <s v="Hazira"/>
    <d v="1987-03-17T00:00:00"/>
    <s v="36.06"/>
    <d v="2018-10-20T00:00:00"/>
    <d v="2045-03-31T00:00:00"/>
    <m/>
    <d v="2045-03-31T00:00:00"/>
    <n v="7863"/>
    <s v="A+"/>
    <s v="MCom-2006"/>
    <s v="08.09"/>
    <s v="04.11"/>
    <s v="13.07"/>
    <s v="00044539"/>
    <s v="Ferroalloy &amp; Refractory Stores"/>
    <s v="70492822"/>
    <s v="Section Officer - Refractory &amp; Plant B"/>
    <s v="Hazira"/>
    <s v="0031950049"/>
    <s v="HZ-Central Stores"/>
    <s v="2000HWO"/>
    <s v="20010626"/>
    <s v="Barot Sachinkumar"/>
    <s v="No"/>
    <s v="parag.joshi2@amns.in"/>
    <s v="9925245354"/>
    <s v="22067"/>
    <s v="Dhruv Vyas"/>
    <s v="Anil Matoo"/>
    <s v="Praveen Kuruvalli"/>
    <s v="Dhruv Vyas"/>
    <n v="0"/>
  </r>
  <r>
    <n v="3423"/>
    <n v="20054538"/>
    <s v="Niraj Pradeep Khopkar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– EXIM"/>
    <m/>
    <s v="Taxation"/>
    <s v="Indirect Taxation"/>
    <s v="EXIM"/>
    <s v="Non Technical Support"/>
    <s v="Finance &amp; Accounts"/>
    <s v="Taxation"/>
    <s v="73904002"/>
    <s v="Indirect Taxation"/>
    <s v="Mumbai"/>
    <d v="1982-06-05T00:00:00"/>
    <s v="41.03"/>
    <d v="2018-10-22T00:00:00"/>
    <d v="2040-06-30T00:00:00"/>
    <m/>
    <d v="2040-06-30T00:00:00"/>
    <n v="6128"/>
    <s v="A+"/>
    <s v="Certificate-2017 , Diploma-2007 , BCom-2"/>
    <s v="14.06"/>
    <s v="04.10"/>
    <s v="19.05"/>
    <s v="70072408"/>
    <s v="Customs / DGFT / EXIM"/>
    <s v="70492823"/>
    <s v="Sr. Lead– EXIM"/>
    <s v="Corporate"/>
    <s v="0090000033"/>
    <s v="Corporate Taxation"/>
    <s v="2000CS"/>
    <s v="20047664"/>
    <s v="Devang Desai"/>
    <s v="No"/>
    <s v="niraj.khopkar@amns.in"/>
    <s v="9819731545"/>
    <s v="22238"/>
    <s v="Dhruv Vyas"/>
    <s v="Anil Matoo"/>
    <s v="Praveen Kuruvalli"/>
    <s v="Dhruv Vyas"/>
    <n v="0"/>
  </r>
  <r>
    <n v="3429"/>
    <n v="20054565"/>
    <s v="Dhruv Vyas"/>
    <s v="AM/NS India"/>
    <s v="Onroll"/>
    <s v="M-7"/>
    <n v="7"/>
    <m/>
    <s v="MM"/>
    <s v="M"/>
    <s v="Hazira"/>
    <n v="1"/>
    <s v="2015"/>
    <x v="1"/>
    <s v="22.06"/>
    <s v="Praveen Kuruvalli"/>
    <s v="Ashutosh Telang"/>
    <n v="6"/>
    <s v="HR &amp; Administration"/>
    <s v="Human Resources"/>
    <s v="22"/>
    <s v="Lead  Human Resources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8-08-06T00:00:00"/>
    <s v="35.01"/>
    <d v="2018-11-01T00:00:00"/>
    <d v="2046-08-31T00:00:00"/>
    <m/>
    <d v="2046-08-31T00:00:00"/>
    <n v="8381"/>
    <s v="A+"/>
    <s v="MCA-2015 , MBA-2014 , Bachelor of Comput"/>
    <s v="04.06"/>
    <s v="04.10"/>
    <s v="09.04"/>
    <s v="00053055"/>
    <s v="Human Resources"/>
    <s v="70492873"/>
    <s v="Lead  Human Resources"/>
    <s v="Hazira"/>
    <s v="0031950061"/>
    <s v="HZ-Human Resource"/>
    <s v="2000HWO"/>
    <s v="20055672"/>
    <s v="Shailja Tripathi"/>
    <s v="No"/>
    <s v="dhruv.vyas@amns.in"/>
    <s v="9879101603"/>
    <s v="24719"/>
    <s v="Dhruv Vyas"/>
    <s v="Anil Matoo"/>
    <s v="Praveen Kuruvalli"/>
    <s v="Dhruv Vyas"/>
    <n v="0"/>
  </r>
  <r>
    <n v="3460"/>
    <n v="20054681"/>
    <s v="Roshan Farkunde"/>
    <s v="AM/NS India"/>
    <s v="Onroll"/>
    <s v="M-7"/>
    <n v="7"/>
    <m/>
    <s v="MM"/>
    <s v="M"/>
    <s v="Pune Facility"/>
    <n v="4"/>
    <s v="2015"/>
    <x v="1"/>
    <s v="22.06"/>
    <s v="Anil Matoo"/>
    <s v="Ashutosh Telang"/>
    <n v="6"/>
    <s v="HR &amp; Administration"/>
    <s v="Human Resources"/>
    <s v="22"/>
    <s v="Lead - Human Resource"/>
    <m/>
    <s v="Human Resources"/>
    <s v="Training"/>
    <s v="Human Resources"/>
    <s v="Non Technical Support"/>
    <s v="Human Resources Management"/>
    <s v="Human Resources Management"/>
    <s v="73501001"/>
    <s v="Human Resources"/>
    <s v="Pune AMNS"/>
    <d v="1984-09-11T00:00:00"/>
    <s v="39.00"/>
    <d v="2018-12-26T00:00:00"/>
    <d v="2042-09-30T00:00:00"/>
    <m/>
    <d v="2042-09-30T00:00:00"/>
    <n v="6950"/>
    <s v="B+"/>
    <s v="MBA-2009 , BSc-2005"/>
    <s v="09.07"/>
    <s v="04.08"/>
    <s v="14.03"/>
    <s v="73800068"/>
    <s v="Pune HR Operations &amp; Administration"/>
    <s v="70493321"/>
    <s v="Lead - Human Resource"/>
    <s v="Pune Facility"/>
    <s v="0035950019"/>
    <s v="Pune-Admin"/>
    <s v="2000ESPF"/>
    <s v="20037245"/>
    <s v="Mukund Jagirdar"/>
    <s v="No"/>
    <s v="roshan.farkunde@amns.in"/>
    <s v="9158045252"/>
    <s v="21714"/>
    <s v="Dhruv Vyas"/>
    <s v="Anil Matoo"/>
    <s v="Praveen Kuruvalli"/>
    <s v="Dhruv Vyas"/>
    <n v="0"/>
  </r>
  <r>
    <n v="3475"/>
    <n v="20054875"/>
    <s v="Sandeep Koul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4"/>
    <s v="OEM Sales"/>
    <s v="Noida"/>
    <d v="1985-06-29T00:00:00"/>
    <s v="38.02"/>
    <d v="2019-03-01T00:00:00"/>
    <d v="2043-06-30T00:00:00"/>
    <m/>
    <d v="2043-06-30T00:00:00"/>
    <n v="7223"/>
    <s v="A+"/>
    <s v="MBA-2011 , Bachelor of Computer Applicat"/>
    <s v="02.10"/>
    <s v="04.06"/>
    <s v="07.04"/>
    <s v="72150181"/>
    <s v="Sales North Zone"/>
    <s v="70493939"/>
    <s v="Sales Manager"/>
    <s v="Hazira"/>
    <s v="0031950057"/>
    <s v="HZ-HRC - Marketing"/>
    <s v="2000HWO"/>
    <s v="20002920"/>
    <s v="Sudhir Sharma"/>
    <s v="No"/>
    <s v="sandeep.koul@amns.in"/>
    <s v="9999949891"/>
    <s v="22277"/>
    <s v="Dhruv Vyas"/>
    <s v="Anil Matoo"/>
    <s v="Praveen Kuruvalli"/>
    <s v="Dhruv Vyas"/>
    <n v="0"/>
  </r>
  <r>
    <n v="3482"/>
    <n v="20054907"/>
    <s v="Shreyas Agarwal"/>
    <s v="AM/NS India"/>
    <s v="Onroll"/>
    <s v="M-9"/>
    <n v="9"/>
    <m/>
    <s v="JM"/>
    <s v="M"/>
    <s v="Hazira"/>
    <n v="1"/>
    <s v="2096"/>
    <x v="14"/>
    <s v="36.02"/>
    <s v="Deepak Sindkar"/>
    <s v="Hrishikesh Kamat"/>
    <n v="7"/>
    <s v="Procurement"/>
    <s v="Raw Materials"/>
    <s v="36"/>
    <s v="Lead - Gas Management"/>
    <m/>
    <s v="Power &amp; Gas"/>
    <s v="Power &amp; Gas"/>
    <s v="Power &amp; Gas"/>
    <s v="Non Technical Support"/>
    <s v="Commercial"/>
    <s v="Procurement"/>
    <s v="73803001"/>
    <s v="Procurement"/>
    <s v="AM/NS Hazira"/>
    <d v="1997-02-02T00:00:00"/>
    <s v="26.07"/>
    <d v="2019-04-15T00:00:00"/>
    <d v="2055-02-28T00:00:00"/>
    <m/>
    <d v="2055-02-28T00:00:00"/>
    <n v="11484"/>
    <s v="O+"/>
    <s v="MBA-2019 , BBA-2017 , Intermediate-2014"/>
    <s v=""/>
    <s v="04.05"/>
    <s v="04.05"/>
    <s v="00049516"/>
    <s v="Power &amp; Gas"/>
    <s v="70494001"/>
    <s v="Lead - Gas Management"/>
    <s v="Hazira"/>
    <s v="0031950048"/>
    <s v="HZ-Procurment Depart"/>
    <s v="2000HWO"/>
    <s v="20004612"/>
    <s v="Ramesh Chabhadiya"/>
    <s v="No"/>
    <s v="shreyas.agarwal@amns.in"/>
    <s v="9879101479"/>
    <s v="24862"/>
    <s v="Dhruv Vyas"/>
    <s v="Anil Matoo"/>
    <s v="Praveen Kuruvalli"/>
    <s v="Dhruv Vyas"/>
    <n v="0"/>
  </r>
  <r>
    <n v="3502"/>
    <n v="20054937"/>
    <s v="Hitesh Kumar Yadav"/>
    <s v="AM/NS India"/>
    <s v="Onroll"/>
    <s v="M-6"/>
    <n v="6"/>
    <m/>
    <s v="MM"/>
    <s v="M"/>
    <s v="Hazira"/>
    <n v="1"/>
    <s v="2722"/>
    <x v="20"/>
    <s v="28.02"/>
    <s v="Anil Matoo"/>
    <s v="Ashutosh Telang"/>
    <n v="6"/>
    <s v="HR &amp; Administration"/>
    <s v="Academy for Skill Development"/>
    <n v="28"/>
    <s v="Head - Academy"/>
    <m/>
    <s v="Academy for Skill Development"/>
    <s v=""/>
    <s v=""/>
    <s v="Non Technical Support"/>
    <s v="Human Resources Management"/>
    <s v="Human Resources Management"/>
    <s v="73501002"/>
    <s v="Human Resources Operation"/>
    <s v="Hazira"/>
    <d v="1977-03-30T00:00:00"/>
    <s v="46.05"/>
    <d v="2019-06-10T00:00:00"/>
    <d v="2035-03-31T00:00:00"/>
    <m/>
    <d v="2035-03-31T00:00:00"/>
    <n v="4210"/>
    <s v="O+"/>
    <s v="MHRM-2005 , BTech-2000 , Intermediate-19"/>
    <s v="02.03"/>
    <s v="04.03"/>
    <s v="06.06"/>
    <s v="70495652"/>
    <s v="Academy for Skill Development"/>
    <s v="70494107"/>
    <s v="Head - Academy"/>
    <s v="Hazira"/>
    <s v="0031950061"/>
    <s v="HZ-Human Resource"/>
    <s v="2000HWO"/>
    <s v="20000083"/>
    <s v="Anil Matoo"/>
    <s v="No"/>
    <s v="hitesh.yadav@amns.in"/>
    <s v="9879100546"/>
    <s v="24965"/>
    <s v="Dhruv Vyas"/>
    <s v="Anil Matoo"/>
    <s v="Praveen Kuruvalli"/>
    <s v="Dhruv Vyas"/>
    <n v="0"/>
  </r>
  <r>
    <n v="3509"/>
    <n v="20054954"/>
    <s v="Arnav Mishra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"/>
    <s v="Non Technical Support"/>
    <s v="Operations"/>
    <s v="Plant Operations"/>
    <s v="72103005"/>
    <s v="Shift Operations"/>
    <s v="Chennai"/>
    <d v="1988-11-21T00:00:00"/>
    <s v="34.09"/>
    <d v="2019-06-18T00:00:00"/>
    <d v="2046-11-30T00:00:00"/>
    <m/>
    <d v="2046-11-30T00:00:00"/>
    <n v="8472"/>
    <s v="B+"/>
    <s v="MTech-2019 , BTech-2010 , SSLC-2005 , Hi"/>
    <s v=""/>
    <s v="04.03"/>
    <s v="04.03"/>
    <s v="00052460"/>
    <s v="Auto &amp; YG"/>
    <s v="70494154"/>
    <s v="Lead – Application Engineer"/>
    <s v="Hazira"/>
    <s v="0031950057"/>
    <s v="HZ-HRC - Marketing"/>
    <s v="2000HWO"/>
    <s v="20056155"/>
    <s v="Kondapalli Venkateswarlu"/>
    <s v="No"/>
    <s v="arnav.mishra@amns.in"/>
    <s v="9925241696"/>
    <s v="24913"/>
    <s v="Dhruv Vyas"/>
    <s v="Anil Matoo"/>
    <s v="Praveen Kuruvalli"/>
    <s v="Dhruv Vyas"/>
    <n v="0"/>
  </r>
  <r>
    <n v="3510"/>
    <n v="20054955"/>
    <s v="Gaurav Sharma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"/>
    <s v="Non Technical Support"/>
    <s v="Operations"/>
    <s v="Plant Operations"/>
    <s v="72103005"/>
    <s v="Shift Operations"/>
    <s v="Noida"/>
    <d v="1991-09-28T00:00:00"/>
    <s v="31.11"/>
    <d v="2019-06-18T00:00:00"/>
    <d v="2049-09-30T00:00:00"/>
    <m/>
    <d v="2049-09-30T00:00:00"/>
    <n v="9507"/>
    <s v="B+"/>
    <s v="MTech-2019 , BTech-2014 , SSLC-2009 , Hi"/>
    <s v=""/>
    <s v="04.03"/>
    <s v="04.03"/>
    <s v="00052460"/>
    <s v="Auto &amp; YG"/>
    <s v="70494155"/>
    <s v="Lead – Application Engineer"/>
    <s v="Hazira"/>
    <s v="0031950057"/>
    <s v="HZ-HRC - Marketing"/>
    <s v="2000HWO"/>
    <s v="20056155"/>
    <s v="Kondapalli Venkateswarlu"/>
    <s v="No"/>
    <s v="gaurav.sharma@amns.in"/>
    <s v="9925241040"/>
    <s v="24097"/>
    <s v="Dhruv Vyas"/>
    <s v="Anil Matoo"/>
    <s v="Praveen Kuruvalli"/>
    <s v="Dhruv Vyas"/>
    <n v="0"/>
  </r>
  <r>
    <n v="3521"/>
    <n v="20054976"/>
    <s v="Golakiya Krushil Ishvarbhai"/>
    <s v="AM/NS India"/>
    <s v="Onroll"/>
    <s v="M-10"/>
    <n v="10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Section Engineer - Projects Coordination"/>
    <m/>
    <s v="Capex Planning &amp; Projects"/>
    <s v="AWESOME Projects, CRM Projects, Coal Conveyor to 300 MW PP"/>
    <s v="&quot;ARP-2 Project,"/>
    <s v="Non Technical Support"/>
    <s v="Projects"/>
    <s v="Projects Coordination"/>
    <s v="72103038"/>
    <s v="Projects Coordination"/>
    <s v="Hazira"/>
    <d v="1998-04-02T00:00:00"/>
    <s v="25.05"/>
    <d v="2019-06-18T00:00:00"/>
    <d v="2056-04-30T00:00:00"/>
    <m/>
    <d v="2056-04-30T00:00:00"/>
    <n v="11911"/>
    <s v="O+"/>
    <s v="BTech-2019 , SSLC-2015 , High School-201"/>
    <s v=""/>
    <s v="04.03"/>
    <s v="04.03"/>
    <s v="00049344"/>
    <s v="Capex Procurement"/>
    <s v="70494179"/>
    <s v="Section Engineer - Projects Coordination"/>
    <s v="Hazira"/>
    <s v="0031950059"/>
    <s v="HZ-Hazira Project"/>
    <s v="2000HWO"/>
    <s v="20055728"/>
    <s v="Mahebub Vahora"/>
    <s v="No"/>
    <s v="krushil.golakiya@amns.in"/>
    <s v="9909902475"/>
    <s v="24892"/>
    <s v="Dhruv Vyas"/>
    <s v="Anil Matoo"/>
    <s v="Praveen Kuruvalli"/>
    <s v="Dhruv Vyas"/>
    <n v="0"/>
  </r>
  <r>
    <n v="3526"/>
    <n v="20054987"/>
    <s v="Shaik Saajid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RM ÃƒÆ’Ã‚Â¢ÃƒÂ¢Ã¢â‚¬Å¡Ã‚Â¬ÃƒÂ¢Ã¢â€šÂ¬Ã…â€œ FM ÃƒÆ’Ã‚Â¢ÃƒÂ¢Ã¢â‚¬Å¡Ã‚Â¬ÃƒÂ¢Ã¢â€šÂ¬Ã…â€œ CS ÃƒÆ’Ã‚Â¢ÃƒÂ¢Ã¢â‚¬Å¡Ã‚Â¬ÃƒÂ¢Ã¢â€šÂ¬Ã…â€œ DC"/>
    <s v="Non Technical Support"/>
    <s v="Operations"/>
    <s v="Plant Maintenance"/>
    <s v="72103008"/>
    <s v="Mechanical Maintenance"/>
    <s v="Mumbai"/>
    <d v="1998-01-10T00:00:00"/>
    <s v="25.08"/>
    <d v="2019-06-18T00:00:00"/>
    <d v="2056-01-31T00:00:00"/>
    <m/>
    <d v="2056-01-31T00:00:00"/>
    <n v="11821"/>
    <s v="B+"/>
    <s v="BTech-2019 , SSLC-2015 , High School-201"/>
    <s v=""/>
    <s v="04.03"/>
    <s v="04.03"/>
    <s v="00052460"/>
    <s v="Auto &amp; YG"/>
    <s v="70494190"/>
    <s v="Lead – Application Engineer"/>
    <s v="Hazira"/>
    <s v="0031950057"/>
    <s v="HZ-HRC - Marketing"/>
    <s v="2000HWO"/>
    <s v="20056155"/>
    <s v="Kondapalli Venkateswarlu"/>
    <s v="No"/>
    <s v="shaik.sajid@amns.in"/>
    <s v="9909902292"/>
    <s v="24935"/>
    <s v="Dhruv Vyas"/>
    <s v="Anil Matoo"/>
    <s v="Praveen Kuruvalli"/>
    <s v="Dhruv Vyas"/>
    <n v="0"/>
  </r>
  <r>
    <n v="3538"/>
    <n v="20055011"/>
    <s v="Sambit Kumar Panda"/>
    <s v="AM/NS India"/>
    <s v="Onroll"/>
    <s v="M-10"/>
    <n v="10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Lead - Mechanical Buying"/>
    <m/>
    <s v="Procurement"/>
    <s v="Procurement"/>
    <s v="Procurement"/>
    <s v="Non Technical Support"/>
    <s v="Operations"/>
    <s v="Plant Maintenance"/>
    <s v="72103008"/>
    <s v="Mechanical Maintenance"/>
    <s v="Paradeep"/>
    <d v="1997-07-16T00:00:00"/>
    <s v="26.02"/>
    <d v="2019-06-18T00:00:00"/>
    <d v="2055-07-31T00:00:00"/>
    <m/>
    <d v="2055-07-31T00:00:00"/>
    <n v="11637"/>
    <s v="B+"/>
    <s v="BTech-2019 , SSLC-2015 , High School-201"/>
    <s v=""/>
    <s v="04.03"/>
    <s v="04.03"/>
    <s v="70407583"/>
    <s v="Procurement - Odisha Asset"/>
    <s v="70494163"/>
    <s v="Lead - Mechanical Buying"/>
    <s v="Odisha"/>
    <s v="0022030019"/>
    <s v="PDP-HR &amp; Admn"/>
    <s v="2000STORIS"/>
    <s v="20055692"/>
    <s v="Rajiv Ranjan"/>
    <s v="Yes"/>
    <s v="spanda1996@gmail.com"/>
    <s v="7381007063"/>
    <s v="24922"/>
    <s v="Sunila Das"/>
    <s v="Anil Matoo"/>
    <s v="Praveen Kuruvalli"/>
    <s v="Sunila Das"/>
    <n v="0"/>
  </r>
  <r>
    <n v="3544"/>
    <n v="20055018"/>
    <s v="Uzair Gulammohamad Vahora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"/>
    <s v="Non Technical Support"/>
    <s v="Sales &amp; Marketing"/>
    <s v="Sales"/>
    <s v="73104004"/>
    <s v="OEM Sales"/>
    <s v="Hazira"/>
    <d v="1995-05-28T00:00:00"/>
    <s v="28.03"/>
    <d v="2019-06-24T00:00:00"/>
    <d v="2053-05-31T00:00:00"/>
    <m/>
    <d v="2053-05-31T00:00:00"/>
    <n v="10846"/>
    <s v="O+"/>
    <s v="MBA-2019 , BBA-2016 , Intermediate-2013"/>
    <s v=""/>
    <s v="04.02"/>
    <s v="04.02"/>
    <s v="70394840"/>
    <s v="OEM Sales - Gujarat"/>
    <s v="70494225"/>
    <s v="Sales Manager - Hypermart"/>
    <s v="Hazira"/>
    <s v="0060110200"/>
    <s v="HMART-Gujarat Div"/>
    <s v="2000HWO"/>
    <s v="20001736"/>
    <s v="Manoranjan Jagdhari"/>
    <s v="No"/>
    <s v="uzair.vahora@amns.in"/>
    <s v="8657537920"/>
    <s v="24622"/>
    <s v="Dhruv Vyas"/>
    <s v="Anil Matoo"/>
    <s v="Praveen Kuruvalli"/>
    <s v="Dhruv Vyas"/>
    <n v="0"/>
  </r>
  <r>
    <n v="3557"/>
    <n v="20055033"/>
    <s v="Vikas Chandra Yadvendu"/>
    <s v="AM/NS India"/>
    <s v="Onroll"/>
    <s v="M-5"/>
    <n v="5"/>
    <m/>
    <s v="MM"/>
    <s v="M"/>
    <s v="Corporate"/>
    <n v="7"/>
    <s v="2094"/>
    <x v="21"/>
    <s v="27.10"/>
    <s v="Ashutosh Telang"/>
    <s v="Ashutosh Telang"/>
    <n v="6"/>
    <s v="HR &amp; Administration"/>
    <s v="Corporate SocialResponsibility"/>
    <s v="27"/>
    <s v="Head - Corporate Social Responsibility"/>
    <m/>
    <s v="Corporate Social Responsibility"/>
    <s v="CSR"/>
    <s v="CSR"/>
    <s v="Non Technical Support"/>
    <s v="Corporate Social Responsibility"/>
    <s v="Corporate Social Responsibility"/>
    <s v="75001001"/>
    <s v="Corporate Social Responsi"/>
    <s v="Paradeep"/>
    <d v="1983-08-03T00:00:00"/>
    <s v="40.01"/>
    <d v="2019-08-01T00:00:00"/>
    <d v="2041-08-31T00:00:00"/>
    <m/>
    <d v="2041-08-31T00:00:00"/>
    <n v="6555"/>
    <s v="O+"/>
    <s v="Phd-2016 , Master's Equivalent-2007 , BS"/>
    <s v="12.01"/>
    <s v="04.01"/>
    <s v="16.02"/>
    <s v="70495661"/>
    <s v="Corporate Social Responsibility"/>
    <s v="70494325"/>
    <s v="Head - Corporate Social Responsibility"/>
    <s v="Corporate"/>
    <s v="0022030019"/>
    <s v="PDP-HR &amp; Admn"/>
    <s v="2000CS"/>
    <s v="20059024"/>
    <s v="Keiji Kubota"/>
    <s v="No"/>
    <s v="vikas.yadvendu@amns.in"/>
    <s v="7381007260"/>
    <s v="24966"/>
    <s v="Dhruv Vyas"/>
    <s v="Anil Matoo"/>
    <s v="Praveen Kuruvalli"/>
    <s v="Dhruv Vyas"/>
    <n v="0"/>
  </r>
  <r>
    <n v="3558"/>
    <n v="20055034"/>
    <s v="Rabi Narayana Prusty"/>
    <s v="AM/NS India"/>
    <s v="Onroll"/>
    <s v="M-9"/>
    <n v="9"/>
    <m/>
    <s v="JM"/>
    <s v="M"/>
    <s v="Odisha"/>
    <n v="2"/>
    <s v="2069"/>
    <x v="8"/>
    <s v="25.01"/>
    <s v="Bibek Chattopadhyay"/>
    <s v="Ashutosh Telang"/>
    <n v="6"/>
    <s v="HR &amp; Administration"/>
    <s v="Corporate Communications"/>
    <s v="25"/>
    <s v="Lead-Corporate Communication"/>
    <m/>
    <s v="Corporate Communications"/>
    <s v="Coporate Communication"/>
    <s v="Coporate Communication"/>
    <s v="Non Technical Support"/>
    <s v="Corporate Communication"/>
    <s v="Corporate Communication"/>
    <s v="74001001"/>
    <s v="Corporate Communication"/>
    <s v="Bhubaneswar"/>
    <d v="1976-06-10T00:00:00"/>
    <s v="47.03"/>
    <d v="2019-08-01T00:00:00"/>
    <d v="2034-06-30T00:00:00"/>
    <m/>
    <d v="2034-06-30T00:00:00"/>
    <n v="3936"/>
    <s v="B+"/>
    <s v="Master's Equivalent-2018 , BEd-1996 , BA"/>
    <s v="16.07"/>
    <s v="04.01"/>
    <s v="20.08"/>
    <s v="00046762"/>
    <s v="Communiation &amp; Media Relations Odisha"/>
    <s v="70494354"/>
    <s v="Lead-Corporate Communication"/>
    <s v="Odisha"/>
    <s v="0022030019"/>
    <s v="PDP-HR &amp; Admn"/>
    <s v="2000STORIS"/>
    <s v="20056246"/>
    <s v="Soumitra Patnaik"/>
    <s v="No"/>
    <s v="rabi.prusty@amns.in"/>
    <s v="7381007154"/>
    <s v="23589"/>
    <s v="Sunila Das"/>
    <s v="Anil Matoo"/>
    <s v="Praveen Kuruvalli"/>
    <s v="Sunila Das"/>
    <n v="0"/>
  </r>
  <r>
    <n v="3565"/>
    <n v="20055048"/>
    <s v="Vyas Jaiminkumar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– Proc Instrumentation &amp; Automatio"/>
    <m/>
    <s v="Procurement MRO Hazira"/>
    <s v="Procurement"/>
    <s v="Instrumentation &amp; Automation spares, Cables - Hazira Complex"/>
    <s v="Non Technical Support"/>
    <s v="Commercial"/>
    <s v="Procurement"/>
    <s v="73803001"/>
    <s v="Procurement"/>
    <s v="AM/NS Hazira"/>
    <d v="1982-03-22T00:00:00"/>
    <s v="41.06"/>
    <d v="2019-09-21T00:00:00"/>
    <d v="2040-03-31T00:00:00"/>
    <m/>
    <d v="2040-03-31T00:00:00"/>
    <n v="6037"/>
    <s v="O+"/>
    <s v="Diploma-2003 , Diploma-2003 , High Schoo"/>
    <s v=""/>
    <s v="04.00"/>
    <s v="04.00"/>
    <s v="70266350"/>
    <s v="Zinc, Elect, Instrumentation, Automation"/>
    <s v="70494450"/>
    <s v="Lead – Proc Instrumentation &amp; Automatio"/>
    <s v="Hazira"/>
    <s v="0031950048"/>
    <s v="HZ-Procurment Depart"/>
    <s v="2000HWO"/>
    <s v="20002746"/>
    <s v="Deep Pyne"/>
    <s v="No"/>
    <s v="jaimin.vyas@amns.in"/>
    <s v="9879101941"/>
    <s v="24963"/>
    <s v="Dhruv Vyas"/>
    <s v="Anil Matoo"/>
    <s v="Praveen Kuruvalli"/>
    <s v="Dhruv Vyas"/>
    <n v="0"/>
  </r>
  <r>
    <n v="3566"/>
    <n v="20055049"/>
    <s v="Rajesh Prabhakar Raktate"/>
    <s v="AM/NS India"/>
    <s v="Onroll"/>
    <s v="M-6"/>
    <n v="6"/>
    <m/>
    <s v="MM"/>
    <s v="M"/>
    <s v="Corporate"/>
    <n v="7"/>
    <s v="2071"/>
    <x v="22"/>
    <s v="41.01"/>
    <s v="P Ashok Kumar"/>
    <s v="P Ashok Kumar"/>
    <n v="9"/>
    <s v="Legal"/>
    <s v="Legal"/>
    <s v="41"/>
    <s v="Legal Speclialist"/>
    <m/>
    <s v="Legal"/>
    <s v="Legal"/>
    <s v="Legal"/>
    <s v="Non Technical Support"/>
    <s v="Legal"/>
    <s v="Legal"/>
    <s v="73201001"/>
    <s v="Legal"/>
    <s v="Mumbai"/>
    <d v="1975-11-14T00:00:00"/>
    <s v="47.10"/>
    <d v="2019-10-01T00:00:00"/>
    <d v="2033-11-30T00:00:00"/>
    <m/>
    <d v="2033-11-30T00:00:00"/>
    <n v="3724"/>
    <s v="O+"/>
    <s v="LLB-2001 , Diploma-1998 , BCom-1996"/>
    <s v="15.02"/>
    <s v="03.11"/>
    <s v="19.01"/>
    <s v="70494754"/>
    <s v="Legal"/>
    <s v="70494454"/>
    <s v="Legal Speclialist"/>
    <s v="Corporate"/>
    <s v="0090000019"/>
    <s v="Corporate Steel - Le"/>
    <s v="2000CS"/>
    <s v="20055235"/>
    <s v="P Ashok Kumar"/>
    <s v="No"/>
    <s v="rajesh.raktate@amns.in"/>
    <s v="8657537942"/>
    <s v="24931"/>
    <s v="Dhruv Vyas"/>
    <s v="Anil Matoo"/>
    <s v="Praveen Kuruvalli"/>
    <s v="Dhruv Vyas"/>
    <n v="0"/>
  </r>
  <r>
    <n v="3575"/>
    <n v="20055067"/>
    <s v="Nikhil Kumar Mall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4"/>
    <s v="OEM Sales"/>
    <s v="Noida"/>
    <d v="1993-02-17T00:00:00"/>
    <s v="30.07"/>
    <d v="2019-12-16T00:00:00"/>
    <d v="2051-02-28T00:00:00"/>
    <m/>
    <d v="2051-02-28T00:00:00"/>
    <n v="10023"/>
    <s v="O+"/>
    <s v="MTech-2019 , BTech-2015 , Intermediate-2"/>
    <s v=""/>
    <s v="03.09"/>
    <s v="03.09"/>
    <s v="72150181"/>
    <s v="Sales North Zone"/>
    <s v="70494601"/>
    <s v="Sales Manager"/>
    <s v="Hazira"/>
    <s v="0031950057"/>
    <s v="HZ-HRC - Marketing"/>
    <s v="2000HWO"/>
    <s v="20002920"/>
    <s v="Sudhir Sharma"/>
    <s v="No"/>
    <s v="nikhil.mall@amns.in"/>
    <s v="6377820254"/>
    <s v="25087"/>
    <s v="Dhruv Vyas"/>
    <s v="Anil Matoo"/>
    <s v="Praveen Kuruvalli"/>
    <s v="Dhruv Vyas"/>
    <n v="0"/>
  </r>
  <r>
    <n v="3576"/>
    <n v="20055068"/>
    <s v="Dilip Oommen"/>
    <s v="AM/NS India"/>
    <s v="PDA"/>
    <s v="M-1"/>
    <n v="1"/>
    <m/>
    <s v="TM"/>
    <s v="M"/>
    <s v="Corporate"/>
    <n v="7"/>
    <s v="2260"/>
    <x v="5"/>
    <s v="01.01"/>
    <s v="Dilip Oommen"/>
    <s v="Dilip Oommen"/>
    <n v="1"/>
    <s v="CEO Office"/>
    <s v="CEO Office"/>
    <s v="01"/>
    <s v="Chief Executive Officer"/>
    <m/>
    <s v="CEO Office"/>
    <s v="CEO Office"/>
    <s v="CEO Office"/>
    <s v="Non Technical Support"/>
    <s v="Operations"/>
    <s v="Operations"/>
    <s v="72103001"/>
    <s v="Operations"/>
    <s v="Mumbai"/>
    <d v="1958-03-28T00:00:00"/>
    <s v="65.05"/>
    <d v="2019-12-16T00:00:00"/>
    <d v="2018-03-31T00:00:00"/>
    <d v="2025-03-31T00:00:00"/>
    <d v="2025-03-31T00:00:00"/>
    <n v="558"/>
    <s v="A-"/>
    <s v="BTech-1981"/>
    <s v="17.02"/>
    <s v="03.09"/>
    <s v="20.11"/>
    <s v="70176006"/>
    <s v="CEO Office"/>
    <s v="72150532"/>
    <s v="Chief Executive Officer"/>
    <s v="Non-payroll-relevant"/>
    <s v=""/>
    <s v=""/>
    <s v="2000CS"/>
    <s v="0"/>
    <s v=""/>
    <s v="No"/>
    <s v="dilip.oommen@amns.in"/>
    <s v="9909901994"/>
    <s v="22571"/>
    <s v="Dhruv Vyas"/>
    <s v="Anil Matoo"/>
    <s v="Praveen Kuruvalli"/>
    <s v="Dhruv Vyas"/>
    <n v="0"/>
  </r>
  <r>
    <n v="3578"/>
    <n v="20055071"/>
    <s v="Anirudha Bisoyi"/>
    <s v="AM/NS India"/>
    <s v="Onroll"/>
    <s v="M-8"/>
    <n v="8"/>
    <m/>
    <s v="JM"/>
    <s v="M"/>
    <s v="Hazira"/>
    <n v="1"/>
    <s v="2133"/>
    <x v="23"/>
    <s v="26.11"/>
    <s v="Anil Matoo"/>
    <s v="Ashutosh Telang"/>
    <n v="6"/>
    <s v="HR &amp; Administration"/>
    <s v="Payroll Administration"/>
    <s v="26"/>
    <s v="Lead - Payroll"/>
    <m/>
    <s v="Payroll Administration"/>
    <s v=""/>
    <s v=""/>
    <s v="Non Technical Support"/>
    <s v="Human Resources Management"/>
    <s v="Human Resources Management"/>
    <s v="73501002"/>
    <s v="Human Resources Operation"/>
    <s v="Hazira"/>
    <d v="1985-07-18T00:00:00"/>
    <s v="38.02"/>
    <d v="2020-01-15T00:00:00"/>
    <d v="2043-07-31T00:00:00"/>
    <m/>
    <d v="2043-07-31T00:00:00"/>
    <n v="7254"/>
    <s v="A+"/>
    <s v="MPM-2008 , BA-2006 , Intermediate-2003 ,"/>
    <s v="11.02"/>
    <s v="03.08"/>
    <s v="14.10"/>
    <s v="00051767"/>
    <s v="Payroll"/>
    <s v="70494627"/>
    <s v="Lead - Payroll"/>
    <s v="Hazira"/>
    <s v="0031950061"/>
    <s v="HZ-Human Resource"/>
    <s v="2000HWO"/>
    <s v="20016406"/>
    <s v="Manjit Shah"/>
    <s v="No"/>
    <s v="anirudha.bisoyi@amns.in"/>
    <s v="9825214160"/>
    <s v="25092"/>
    <s v="Dhruv Vyas"/>
    <s v="Anil Matoo"/>
    <s v="Praveen Kuruvalli"/>
    <s v="Dhruv Vyas"/>
    <n v="0"/>
  </r>
  <r>
    <n v="3580"/>
    <n v="20055075"/>
    <s v="Ashutosh Mathur"/>
    <s v="AM/NS India"/>
    <s v="Onroll"/>
    <s v="M-4"/>
    <n v="4"/>
    <m/>
    <s v="SM"/>
    <s v="M"/>
    <s v="Hazira"/>
    <n v="1"/>
    <s v="2162"/>
    <x v="18"/>
    <s v="33.01"/>
    <s v="Hrishikesh Kamat"/>
    <s v="Hrishikesh Kamat"/>
    <n v="7"/>
    <s v="Procurement"/>
    <s v="Shipping &amp; Chartering"/>
    <s v="33"/>
    <s v="Head – Shipping and Chartering"/>
    <m/>
    <s v="Shipping &amp; Chartering"/>
    <s v="Shipping &amp; Chartering"/>
    <s v="Ports &amp; Chartering"/>
    <s v="Non Technical Support"/>
    <s v="Commercial"/>
    <s v="Procurement"/>
    <s v="73803001"/>
    <s v="Procurement"/>
    <s v="AM/NS Hazira"/>
    <d v="1979-04-10T00:00:00"/>
    <s v="44.05"/>
    <d v="2020-02-03T00:00:00"/>
    <d v="2037-04-30T00:00:00"/>
    <m/>
    <d v="2037-04-30T00:00:00"/>
    <n v="4971"/>
    <s v="AB+"/>
    <s v="MBA-2008 , BE-2002 , Intermediate-1996 ,"/>
    <s v="15.01"/>
    <s v="03.07"/>
    <s v="18.08"/>
    <s v="70494731"/>
    <s v="Ports &amp; Chartering"/>
    <s v="70494631"/>
    <s v="Head – Shipping and Chartering"/>
    <s v="Hazira"/>
    <s v="0031950062"/>
    <s v="Hz-Ports"/>
    <s v="2000HWO"/>
    <s v="20055090"/>
    <s v="Hrishikesh Kamat"/>
    <s v="No"/>
    <s v="ashutosh.mathur@amns.in"/>
    <s v="9879104703"/>
    <s v="790275"/>
    <s v="Dhruv Vyas"/>
    <s v="Anil Matoo"/>
    <s v="Praveen Kuruvalli"/>
    <s v="Dhruv Vyas"/>
    <n v="0"/>
  </r>
  <r>
    <n v="3581"/>
    <n v="20055084"/>
    <s v="Alain Legrix De La Salle"/>
    <s v="AM/NS India"/>
    <s v="PDA"/>
    <s v="M-2"/>
    <n v="2"/>
    <m/>
    <s v="T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Director &amp; VP - Sales &amp; Marketing"/>
    <m/>
    <s v="Sales &amp; Marketing"/>
    <s v="Sales &amp; Marketing"/>
    <s v=""/>
    <s v="Non Technical Support"/>
    <s v=""/>
    <s v=""/>
    <s v="70494638"/>
    <s v="Director and Vice President"/>
    <s v="Mumbai"/>
    <d v="1961-03-11T00:00:00"/>
    <s v="62.06"/>
    <d v="2019-12-16T00:00:00"/>
    <d v="2021-03-31T00:00:00"/>
    <d v="2025-03-31T00:00:00"/>
    <d v="2025-03-31T00:00:00"/>
    <n v="558"/>
    <s v=""/>
    <s v=""/>
    <s v=""/>
    <s v="03.09"/>
    <s v="03.09"/>
    <s v="70494632"/>
    <s v="Sales &amp; Marketing"/>
    <s v="70494643"/>
    <s v="Director &amp; VP - Sales &amp; Marketing"/>
    <s v="Non-payroll-relevant"/>
    <s v=""/>
    <s v=""/>
    <s v="2000CS"/>
    <s v="20055068"/>
    <s v="Dilip Oommen"/>
    <s v="No"/>
    <s v="alain.legrix@amns.in"/>
    <s v="9727741283"/>
    <s v="2510"/>
    <s v="Dhruv Vyas"/>
    <s v="Anil Matoo"/>
    <s v="Praveen Kuruvalli"/>
    <s v="Dhruv Vyas"/>
    <n v="0"/>
  </r>
  <r>
    <n v="3583"/>
    <n v="20055088"/>
    <s v="Amit Harlalka"/>
    <s v="AM/NS India"/>
    <s v="PDA"/>
    <s v="PDA"/>
    <n v="2"/>
    <m/>
    <s v="TM"/>
    <s v="M"/>
    <s v="Corporate"/>
    <n v="7"/>
    <s v="2013"/>
    <x v="0"/>
    <s v="20.01"/>
    <s v="Amit Harlalka"/>
    <s v="Amit Harlalka"/>
    <n v="5"/>
    <s v="Finance &amp; Accounts"/>
    <s v="Finance &amp; Accounts"/>
    <s v="20"/>
    <s v="Director &amp; VP, Finance"/>
    <m/>
    <s v="CFO Office"/>
    <s v="CFO Office"/>
    <s v=""/>
    <s v="Non Technical Support"/>
    <s v=""/>
    <s v=""/>
    <s v="70494638"/>
    <s v="Director and Vice President"/>
    <s v="Mumbai"/>
    <d v="1977-12-04T00:00:00"/>
    <s v="45.09"/>
    <d v="2019-12-16T00:00:00"/>
    <d v="2035-12-31T00:00:00"/>
    <m/>
    <d v="2035-12-31T00:00:00"/>
    <n v="4485"/>
    <s v=""/>
    <s v=""/>
    <s v=""/>
    <s v="03.09"/>
    <s v="03.09"/>
    <s v="70494633"/>
    <s v="Finance &amp; Accounts"/>
    <s v="70494647"/>
    <s v="Director &amp; VP, Finance"/>
    <s v="Non-payroll-relevant"/>
    <s v="0090000013"/>
    <s v="Director-Fin-India"/>
    <s v="2000CS"/>
    <s v="20055068"/>
    <s v="Dilip Oommen"/>
    <s v="No"/>
    <s v="amit.harlalka@amns.in"/>
    <s v="9971999511"/>
    <s v="101628"/>
    <s v="Dhruv Vyas"/>
    <s v="Anil Matoo"/>
    <s v="Praveen Kuruvalli"/>
    <s v="Dhruv Vyas"/>
    <n v="0"/>
  </r>
  <r>
    <n v="3584"/>
    <n v="20055090"/>
    <s v="Hrishikesh Kamat"/>
    <s v="AM/NS India"/>
    <s v="PDA"/>
    <s v="PDA"/>
    <n v="3"/>
    <m/>
    <s v="SM"/>
    <s v="M"/>
    <s v="Corporate"/>
    <n v="7"/>
    <s v="2043"/>
    <x v="3"/>
    <s v="31.01"/>
    <s v="Hrishikesh Kamat"/>
    <s v="Hrishikesh Kamat"/>
    <n v="7"/>
    <s v="Procurement"/>
    <s v="Procurement"/>
    <s v="31"/>
    <s v="Chief Procurement Officer"/>
    <m/>
    <s v="Procurement"/>
    <s v="Procurement"/>
    <s v=""/>
    <s v="Non Technical Support"/>
    <s v=""/>
    <s v=""/>
    <s v="70494644"/>
    <s v="Chief Procurement Officer"/>
    <s v="Mumbai"/>
    <d v="1960-02-11T00:00:00"/>
    <s v="63.07"/>
    <d v="2019-12-16T00:00:00"/>
    <d v="2018-02-28T00:00:00"/>
    <d v="2025-03-31T00:00:00"/>
    <d v="2025-03-31T00:00:00"/>
    <n v="558"/>
    <s v=""/>
    <s v=""/>
    <s v=""/>
    <s v="03.09"/>
    <s v="03.09"/>
    <s v="70494637"/>
    <s v="Procurement"/>
    <s v="70494652"/>
    <s v="Chief Procurement Officer"/>
    <s v="Non-payroll-relevant"/>
    <s v="0031950048"/>
    <s v="HZ-Procurment Depart"/>
    <s v="2000CS"/>
    <s v="20055086"/>
    <s v="Wim Van Gerven"/>
    <s v="No"/>
    <s v="hrishikesh.kamat@amns.in"/>
    <s v="8980042458"/>
    <s v="3103"/>
    <s v="Dhruv Vyas"/>
    <s v="Anil Matoo"/>
    <s v="Praveen Kuruvalli"/>
    <s v="Dhruv Vyas"/>
    <n v="0"/>
  </r>
  <r>
    <n v="3616"/>
    <n v="20055134"/>
    <s v="Arvind Kumar"/>
    <s v="AM/NS India"/>
    <s v="Onroll"/>
    <s v="M-8"/>
    <n v="8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Buyer - Mechanical Spare"/>
    <m/>
    <s v="Procurement"/>
    <s v="Procurement"/>
    <s v="Procurement"/>
    <s v="Non Technical Support"/>
    <s v="Commercial"/>
    <s v="Purchase"/>
    <s v="73804001"/>
    <s v="Purchase"/>
    <s v="Paradeep"/>
    <d v="1988-01-16T00:00:00"/>
    <s v="35.08"/>
    <d v="2020-03-02T00:00:00"/>
    <d v="2046-01-31T00:00:00"/>
    <m/>
    <d v="2046-01-31T00:00:00"/>
    <n v="8169"/>
    <s v="B+"/>
    <s v="BTech-2010 , Intermediate-2006 , Interme"/>
    <s v=""/>
    <s v="03.06"/>
    <s v="03.06"/>
    <s v="70407583"/>
    <s v="Procurement - Odisha Asset"/>
    <s v="70493007"/>
    <s v="Buyer - Mechanical Spare"/>
    <s v="Odisha"/>
    <s v="0022030019"/>
    <s v="PDP-HR &amp; Admn"/>
    <s v="2000STORIS"/>
    <s v="20055692"/>
    <s v="Rajiv Ranjan"/>
    <s v="No"/>
    <s v="arvind.kumar@amns.in"/>
    <s v="8084831688"/>
    <s v="789377"/>
    <s v="Sunila Das"/>
    <s v="Anil Matoo"/>
    <s v="Praveen Kuruvalli"/>
    <s v="Sunila Das"/>
    <n v="0"/>
  </r>
  <r>
    <n v="3617"/>
    <n v="20055135"/>
    <s v="Raghavan Aravamudhan"/>
    <s v="AM/NS India"/>
    <s v="Onroll"/>
    <s v="M-3"/>
    <n v="3"/>
    <m/>
    <s v="SM"/>
    <s v="M"/>
    <s v="Corporate"/>
    <n v="7"/>
    <s v="2099"/>
    <x v="19"/>
    <s v="02.01"/>
    <s v="Dilip Oommen"/>
    <s v="Dilip Oommen"/>
    <n v="1"/>
    <s v="CEO Office"/>
    <s v="Business Strategy"/>
    <s v="02"/>
    <s v="Head Buisness Strategy"/>
    <m/>
    <s v="Business Strategy"/>
    <s v="Business Strategy"/>
    <s v="Business Strategy"/>
    <s v="Non Technical Support"/>
    <s v="Sales &amp; Marketing"/>
    <s v="Business Development"/>
    <s v="73103001"/>
    <s v="Business Development"/>
    <s v="Mumbai"/>
    <d v="1982-12-23T00:00:00"/>
    <s v="40.08"/>
    <d v="2020-03-02T00:00:00"/>
    <d v="2040-12-31T00:00:00"/>
    <m/>
    <d v="2040-12-31T00:00:00"/>
    <n v="6312"/>
    <s v="A+"/>
    <s v="MBA-2010 , BE-2005 , High School-2000 ,"/>
    <s v="13.07"/>
    <s v="03.06"/>
    <s v="17.01"/>
    <s v="70494715"/>
    <s v="Business Strategy"/>
    <s v="70494714"/>
    <s v="Head Buisness Strategy"/>
    <s v="Confidential Payroll"/>
    <s v="0090000022"/>
    <s v="Business Strategy"/>
    <s v="2000CS"/>
    <s v="20055068"/>
    <s v="Dilip Oommen"/>
    <s v="No"/>
    <s v="raghavan.aravamudhan@amns.in"/>
    <s v="9619627665"/>
    <s v="788788"/>
    <s v="Dhruv Vyas"/>
    <s v="Anil Matoo"/>
    <s v="Praveen Kuruvalli"/>
    <s v="Dhruv Vyas"/>
    <n v="0"/>
  </r>
  <r>
    <n v="3623"/>
    <n v="20055143"/>
    <s v="Naoki Shimazaki"/>
    <s v="AM/NS India"/>
    <s v="PDA"/>
    <s v="PDA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– Strategic Finance"/>
    <m/>
    <s v="Capex Finance"/>
    <s v="Capex Finance"/>
    <s v=""/>
    <s v="Non Technical Support"/>
    <s v=""/>
    <s v=""/>
    <s v="70286758"/>
    <s v="General Manager"/>
    <s v="AM/NS Hazira"/>
    <d v="1975-09-08T00:00:00"/>
    <s v="48.00"/>
    <d v="2020-01-01T00:00:00"/>
    <d v="2033-09-30T00:00:00"/>
    <m/>
    <d v="2033-09-30T00:00:00"/>
    <n v="3663"/>
    <s v="O+"/>
    <s v=""/>
    <s v=""/>
    <s v="03.08"/>
    <s v="03.08"/>
    <s v="00044378"/>
    <s v="Strategic Finance"/>
    <s v="70494730"/>
    <s v="Head – Strategic Finance"/>
    <s v="Non-payroll-relevant"/>
    <s v="0090000038"/>
    <s v="CAPEX FINANCE"/>
    <s v="2000CS"/>
    <s v="20056029"/>
    <s v="Ananya Maitra"/>
    <s v="No"/>
    <s v="naoki.shimazaki@amns.in"/>
    <s v="9925003689"/>
    <s v="788808"/>
    <s v="Dhruv Vyas"/>
    <s v="Anil Matoo"/>
    <s v="Praveen Kuruvalli"/>
    <s v="Dhruv Vyas"/>
    <n v="0"/>
  </r>
  <r>
    <n v="3634"/>
    <n v="20055156"/>
    <s v="Bharatbhai C Patel"/>
    <s v="AM/NS India"/>
    <s v="Onroll"/>
    <s v="M-8"/>
    <n v="8"/>
    <m/>
    <s v="JM"/>
    <s v="M"/>
    <s v="Hazira"/>
    <n v="1"/>
    <s v="2084"/>
    <x v="17"/>
    <s v="23.09"/>
    <s v="Anil Matoo"/>
    <s v="Ashutosh Telang"/>
    <n v="6"/>
    <s v="HR &amp; Administration"/>
    <s v="Industrial Relations"/>
    <s v="23"/>
    <s v="Lead - Industrial Relations"/>
    <m/>
    <s v="Hazira Operations"/>
    <s v="Operation &amp; Maintenance  and Control &amp; Instrumentation"/>
    <s v="Operation &amp; Maintenance  and Control &amp; Instrumentation"/>
    <s v="Non Technical Support"/>
    <s v="Operations"/>
    <s v="Plant Maintenance"/>
    <s v="72103009"/>
    <s v="Electrical Maintenance"/>
    <s v="Hazira"/>
    <d v="1973-03-29T00:00:00"/>
    <s v="50.05"/>
    <d v="2020-03-18T00:00:00"/>
    <d v="2031-03-31T00:00:00"/>
    <m/>
    <d v="2031-03-31T00:00:00"/>
    <n v="2749"/>
    <s v="AB-"/>
    <s v="Diploma-2012 , BA-1997 , Diploma-1996 ,"/>
    <s v="19.00"/>
    <s v="03.06"/>
    <s v="22.05"/>
    <s v="70309501"/>
    <s v="IR &amp; legal Compliance"/>
    <s v="70494747"/>
    <s v="Lead - Industrial Relations"/>
    <s v="Hazira"/>
    <s v="0031750300"/>
    <s v="HAZ-CPP 500 MW"/>
    <s v="2000HWO"/>
    <s v="20056503"/>
    <s v="Bhavin Pandya"/>
    <s v="No"/>
    <s v="bharat.patel2@amns.in"/>
    <s v="9879102899"/>
    <s v="791809"/>
    <s v="Dhruv Vyas"/>
    <s v="Anil Matoo"/>
    <s v="Praveen Kuruvalli"/>
    <s v="Dhruv Vyas"/>
    <n v="0"/>
  </r>
  <r>
    <n v="3636"/>
    <n v="20055158"/>
    <s v="Rajeev Kumar Singh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Automotive Sales"/>
    <m/>
    <s v="North"/>
    <s v="OEM"/>
    <s v=""/>
    <s v="Non Technical Support"/>
    <s v="Sales &amp; Marketing"/>
    <s v="Sales"/>
    <s v="73104004"/>
    <s v="OEM Sales"/>
    <s v="Noida"/>
    <d v="1979-08-10T00:00:00"/>
    <s v="44.01"/>
    <d v="2020-03-01T00:00:00"/>
    <d v="2037-08-31T00:00:00"/>
    <m/>
    <d v="2037-08-31T00:00:00"/>
    <n v="5094"/>
    <s v="O+"/>
    <s v="BE-2002 , Intermediate-1996 , High Schoo"/>
    <s v="17.04"/>
    <s v="03.06"/>
    <s v="20.10"/>
    <s v="72150181"/>
    <s v="Sales North Zone"/>
    <s v="70490284"/>
    <s v="KAM - OEM Sales"/>
    <s v="Hazira"/>
    <s v="0031950057"/>
    <s v="HZ-HRC - Marketing"/>
    <s v="2000HWO"/>
    <s v="20002920"/>
    <s v="Sudhir Sharma"/>
    <s v="No"/>
    <s v="rajeev.singh@amns.in"/>
    <s v="9810443694"/>
    <s v="793072"/>
    <s v="Dhruv Vyas"/>
    <s v="Anil Matoo"/>
    <s v="Praveen Kuruvalli"/>
    <s v="Dhruv Vyas"/>
    <n v="0"/>
  </r>
  <r>
    <n v="3637"/>
    <n v="20055160"/>
    <s v="Mrida Lakhmani"/>
    <s v="AM/NS India"/>
    <s v="Onroll"/>
    <s v="M-4"/>
    <n v="4"/>
    <m/>
    <s v="SM"/>
    <s v="F"/>
    <s v="Corporate"/>
    <n v="7"/>
    <s v="2071"/>
    <x v="22"/>
    <s v="41.01"/>
    <s v="P Ashok Kumar"/>
    <s v="P Ashok Kumar"/>
    <n v="9"/>
    <s v="Legal"/>
    <s v="Legal"/>
    <s v="41"/>
    <s v="Senior Legal Counsel"/>
    <m/>
    <s v="Legal"/>
    <s v=""/>
    <s v=""/>
    <s v="Non Technical Support"/>
    <s v="Legal"/>
    <s v="Legal"/>
    <s v="73201001"/>
    <s v="Legal"/>
    <s v="Mumbai"/>
    <d v="1992-11-19T00:00:00"/>
    <s v="30.09"/>
    <d v="2020-04-01T00:00:00"/>
    <d v="2050-11-30T00:00:00"/>
    <m/>
    <d v="2050-11-30T00:00:00"/>
    <n v="9933"/>
    <s v="A+"/>
    <s v="LLB-2012 , Intermediate-2009 , High Scho"/>
    <s v="04.09"/>
    <s v="03.05"/>
    <s v="08.02"/>
    <s v="00048996"/>
    <s v="Legal"/>
    <s v="70494755"/>
    <s v="Senior Legal Counsel"/>
    <s v="Corporate"/>
    <s v="0090000019"/>
    <s v="Corporate Steel - Le"/>
    <s v="2000CS"/>
    <s v="20055235"/>
    <s v="P Ashok Kumar"/>
    <s v="No"/>
    <s v="mrida.lakhmani@amns.in"/>
    <s v="7045589822"/>
    <s v="791880"/>
    <s v="Dhruv Vyas"/>
    <s v="Anil Matoo"/>
    <s v="Praveen Kuruvalli"/>
    <s v="Dhruv Vyas"/>
    <n v="0"/>
  </r>
  <r>
    <n v="3638"/>
    <n v="20055161"/>
    <s v="Shivani Sen"/>
    <s v="AM/NS India"/>
    <s v="Onroll"/>
    <s v="M-5"/>
    <n v="5"/>
    <m/>
    <s v="MM"/>
    <s v="F"/>
    <s v="Corporate"/>
    <n v="7"/>
    <s v="2069"/>
    <x v="8"/>
    <s v="25.01"/>
    <s v="Bibek Chattopadhyay"/>
    <s v="Ashutosh Telang"/>
    <n v="6"/>
    <s v="HR &amp; Administration"/>
    <s v="Corporate Communications"/>
    <s v="25"/>
    <s v="Senior Lead - Corporate Communication"/>
    <m/>
    <s v="Corporate Communications"/>
    <s v=""/>
    <s v=""/>
    <s v="Non Technical Support"/>
    <s v="Corporate Relations"/>
    <s v="Corporate Affairs"/>
    <s v="74501001"/>
    <s v="Corporate Affairs"/>
    <s v="Mumbai"/>
    <d v="1978-09-18T00:00:00"/>
    <s v="45.00"/>
    <d v="2020-04-01T00:00:00"/>
    <d v="2036-09-30T00:00:00"/>
    <m/>
    <d v="2036-09-30T00:00:00"/>
    <n v="4759"/>
    <s v="B+"/>
    <s v="MA-1999 , BA-1999 , High School-1995 , S"/>
    <s v="01.00"/>
    <s v="03.05"/>
    <s v="04.05"/>
    <s v="70318583"/>
    <s v="Communications &amp; Media Relations"/>
    <s v="70494761"/>
    <s v="Senior Lead - Corporate Communication"/>
    <s v="Corporate"/>
    <s v="0090000016"/>
    <s v="Corporate Steel - Co"/>
    <s v="2000CS"/>
    <s v="20055187"/>
    <s v="Bibek Chattopadhyay"/>
    <s v="No"/>
    <s v="shivani.sen@amns.in"/>
    <s v="9971800165"/>
    <s v="791881"/>
    <s v="Dhruv Vyas"/>
    <s v="Anil Matoo"/>
    <s v="Praveen Kuruvalli"/>
    <s v="Dhruv Vyas"/>
    <n v="0"/>
  </r>
  <r>
    <n v="3639"/>
    <n v="20055162"/>
    <s v="Dolly Kartik Shah"/>
    <s v="AM/NS India"/>
    <s v="Onroll"/>
    <s v="M-8"/>
    <n v="8"/>
    <m/>
    <s v="JM"/>
    <s v="F"/>
    <s v="Corporate"/>
    <n v="7"/>
    <s v="2071"/>
    <x v="22"/>
    <s v="41.01"/>
    <s v="P Ashok Kumar"/>
    <s v="P Ashok Kumar"/>
    <n v="9"/>
    <s v="Legal"/>
    <s v="Legal"/>
    <s v="41"/>
    <s v="EA to General Counsel &amp; Compliance Associate"/>
    <m/>
    <s v="Legal"/>
    <s v="Legal"/>
    <s v="Legal"/>
    <s v="Non Technical Support"/>
    <s v="Legal"/>
    <s v="Legal"/>
    <s v="73201001"/>
    <s v="Legal"/>
    <s v="Mumbai"/>
    <d v="1985-11-25T00:00:00"/>
    <s v="37.09"/>
    <d v="2020-04-01T00:00:00"/>
    <d v="2043-11-30T00:00:00"/>
    <m/>
    <d v="2043-11-30T00:00:00"/>
    <n v="7376"/>
    <s v="B+"/>
    <s v="BA-2012 , Certificate-2007 , High School"/>
    <s v="03.04"/>
    <s v="03.05"/>
    <s v="06.09"/>
    <s v="70494754"/>
    <s v="Legal"/>
    <s v="70494756"/>
    <s v="PA to General Counsel"/>
    <s v="Corporate"/>
    <s v="0090000019"/>
    <s v="Corporate Steel - Le"/>
    <s v="2000CS"/>
    <s v="20055235"/>
    <s v="P Ashok Kumar"/>
    <s v="No"/>
    <s v="dolly.shah@amns.in"/>
    <s v="9820251185"/>
    <s v="791878"/>
    <s v="Dhruv Vyas"/>
    <s v="Anil Matoo"/>
    <s v="Praveen Kuruvalli"/>
    <s v="Dhruv Vyas"/>
    <n v="0"/>
  </r>
  <r>
    <n v="3640"/>
    <n v="20055165"/>
    <s v="Subhakant Dash"/>
    <s v="AM/NS India"/>
    <s v="Onroll"/>
    <s v="M-5"/>
    <n v="5"/>
    <m/>
    <s v="MM"/>
    <s v="M"/>
    <s v="Odisha"/>
    <n v="2"/>
    <s v="2162"/>
    <x v="18"/>
    <s v="33.01"/>
    <s v="Hrishikesh Kamat"/>
    <s v="Hrishikesh Kamat"/>
    <n v="7"/>
    <s v="Procurement"/>
    <s v="Shipping &amp; Chartering"/>
    <s v="33"/>
    <s v="Section Head–Shipping &amp; Chartering,Odish"/>
    <m/>
    <s v="Shipping &amp; Chartering"/>
    <s v=""/>
    <s v=""/>
    <s v="Non Technical Support"/>
    <s v="Commercial"/>
    <s v="Procurement"/>
    <s v="73803001"/>
    <s v="Procurement"/>
    <s v="Paradeep"/>
    <d v="1975-07-15T00:00:00"/>
    <s v="48.02"/>
    <d v="2020-04-01T00:00:00"/>
    <d v="2033-07-31T00:00:00"/>
    <m/>
    <d v="2033-07-31T00:00:00"/>
    <n v="3602"/>
    <s v="B+"/>
    <s v="MBA-1997 , BCom-1995 , Intermediate-1992"/>
    <s v="21.00"/>
    <s v="03.05"/>
    <s v="24.05"/>
    <s v="70238106"/>
    <s v="Ports &amp; Logistics"/>
    <s v="70494759"/>
    <s v="Section Head–Shipping &amp; Chartering,Odish"/>
    <s v="Odisha"/>
    <s v="0022030019"/>
    <s v="PDP-HR &amp; Admn"/>
    <s v="2000STORIS"/>
    <s v="20055075"/>
    <s v="Ashutosh Mathur"/>
    <s v="No"/>
    <s v="subhakant.dash@amns.in"/>
    <s v="7381000432"/>
    <s v="791879"/>
    <s v="Sunila Das"/>
    <s v="Anil Matoo"/>
    <s v="Praveen Kuruvalli"/>
    <s v="Sunila Das"/>
    <n v="0"/>
  </r>
  <r>
    <n v="3643"/>
    <n v="20055181"/>
    <s v="Sanjay Sharma"/>
    <s v="AM/NS India"/>
    <s v="Onroll"/>
    <s v="M-2"/>
    <n v="2"/>
    <m/>
    <s v="TM"/>
    <s v="M"/>
    <s v="Corporate"/>
    <n v="7"/>
    <s v="2060"/>
    <x v="24"/>
    <s v="39.01"/>
    <s v="Sanjay Sharma"/>
    <s v="Sanjay Sharma"/>
    <n v="8"/>
    <s v="Business Development"/>
    <s v="Business Development"/>
    <s v="39"/>
    <s v="Head - Business Development"/>
    <m/>
    <s v="Business Development"/>
    <s v=""/>
    <s v=""/>
    <s v="Non Technical Support"/>
    <s v="Sales &amp; Marketing"/>
    <s v="Business Development"/>
    <s v="73103001"/>
    <s v="Business Development"/>
    <s v="Mumbai"/>
    <d v="1972-03-07T00:00:00"/>
    <s v="51.06"/>
    <d v="2019-12-16T00:00:00"/>
    <d v="2032-03-31T00:00:00"/>
    <m/>
    <d v="2032-03-31T00:00:00"/>
    <n v="3115"/>
    <s v=""/>
    <s v=""/>
    <s v=""/>
    <s v="03.09"/>
    <s v="03.09"/>
    <s v="70494900"/>
    <s v="Business Development"/>
    <s v="70494901"/>
    <s v="Head - Business Development"/>
    <s v="Non-payroll-relevant"/>
    <s v="0090000032"/>
    <s v="Business Devpelopmen"/>
    <s v="2000CS"/>
    <s v="20055068"/>
    <s v="Dilip Oommen"/>
    <s v="No"/>
    <s v="sanjay.sharma@amns.in"/>
    <s v="9599206733"/>
    <s v="102316"/>
    <s v="Dhruv Vyas"/>
    <s v="Anil Matoo"/>
    <s v="Praveen Kuruvalli"/>
    <s v="Dhruv Vyas"/>
    <n v="0"/>
  </r>
  <r>
    <n v="3644"/>
    <n v="20055182"/>
    <s v="Neha Soni"/>
    <s v="AM/NS India"/>
    <s v="Onroll"/>
    <s v="M-5"/>
    <n v="5"/>
    <m/>
    <s v="MM"/>
    <s v="F"/>
    <s v="Corporate"/>
    <n v="7"/>
    <s v="2060"/>
    <x v="24"/>
    <s v="39.01"/>
    <s v="Sanjay Sharma"/>
    <s v="Sanjay Sharma"/>
    <n v="8"/>
    <s v="Business Development"/>
    <s v="Business Development"/>
    <s v="39"/>
    <s v="Senior Lead - Business Development"/>
    <m/>
    <s v="Business Development"/>
    <s v=""/>
    <s v=""/>
    <s v="Non Technical Support"/>
    <s v="Sales &amp; Marketing"/>
    <s v="Business Development"/>
    <s v="73103001"/>
    <s v="Business Development"/>
    <s v="Mumbai"/>
    <d v="1986-04-18T00:00:00"/>
    <s v="37.05"/>
    <d v="2020-06-22T00:00:00"/>
    <d v="2044-04-30T00:00:00"/>
    <m/>
    <d v="2044-04-30T00:00:00"/>
    <n v="7528"/>
    <s v="O+"/>
    <s v="PG Diploma-2009 , BCom-2007 , Intermedia"/>
    <s v="11.03"/>
    <s v="03.03"/>
    <s v="14.05"/>
    <s v="00049729"/>
    <s v="Business Development - M&amp;A"/>
    <s v="70494902"/>
    <s v="Senior Lead - Business Development"/>
    <s v="Corporate"/>
    <s v="0090000032"/>
    <s v="Business Devpelopmen"/>
    <s v="2000CS"/>
    <s v="20055181"/>
    <s v="Sanjay Sharma"/>
    <s v="No"/>
    <s v="neha.soni@amns.in"/>
    <s v="8860614207"/>
    <s v="794449"/>
    <s v="Dhruv Vyas"/>
    <s v="Anil Matoo"/>
    <s v="Praveen Kuruvalli"/>
    <s v="Dhruv Vyas"/>
    <n v="0"/>
  </r>
  <r>
    <n v="3647"/>
    <n v="20055187"/>
    <s v="Bibek Chattopadhyay"/>
    <s v="AM/NS India"/>
    <s v="Onroll"/>
    <s v="M-3"/>
    <n v="3"/>
    <m/>
    <s v="SM"/>
    <s v="M"/>
    <s v="Corporate"/>
    <n v="7"/>
    <s v="2069"/>
    <x v="8"/>
    <s v="25.01"/>
    <s v="Ashutosh Telang"/>
    <s v="Ashutosh Telang"/>
    <n v="6"/>
    <s v="HR &amp; Administration"/>
    <s v="Corporate Communications"/>
    <s v="25"/>
    <s v="Head – Corporate Communication"/>
    <m/>
    <s v="Corporate Communications"/>
    <s v=""/>
    <s v=""/>
    <s v="Non Technical Support"/>
    <s v="Corporate Communication"/>
    <s v="Corporate Communication"/>
    <s v="74001001"/>
    <s v="Corporate Communication"/>
    <s v="Mumbai"/>
    <d v="1965-09-28T00:00:00"/>
    <s v="57.11"/>
    <d v="2020-07-01T00:00:00"/>
    <d v="2023-09-30T00:00:00"/>
    <m/>
    <d v="2023-09-30T00:00:00"/>
    <n v="10"/>
    <s v="B+"/>
    <s v="PG Diploma-1989 , PG Diploma-1987 , BA-1"/>
    <s v="23.02"/>
    <s v="03.02"/>
    <s v="26.04"/>
    <s v="70318583"/>
    <s v="Communications &amp; Media Relations"/>
    <s v="70494909"/>
    <s v="Head – Corporate Communication"/>
    <s v="Confidential Payroll"/>
    <s v="0090000016"/>
    <s v="Corporate Steel - Co"/>
    <s v="2000CS"/>
    <s v="20059024"/>
    <s v="Keiji Kubota"/>
    <s v="No"/>
    <s v="bibek.chattopadhyay@amns.in"/>
    <s v="9820150538"/>
    <s v="797464"/>
    <s v="Dhruv Vyas"/>
    <s v="Anil Matoo"/>
    <s v="Praveen Kuruvalli"/>
    <s v="Dhruv Vyas"/>
    <n v="0"/>
  </r>
  <r>
    <n v="3648"/>
    <n v="20055188"/>
    <s v="Rohit Sharma"/>
    <s v="AM/NS India"/>
    <s v="Onroll"/>
    <s v="M-3"/>
    <n v="3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– Working Capital"/>
    <m/>
    <s v="Working Capital"/>
    <s v="Working Capital"/>
    <s v=""/>
    <s v="Non Technical Support"/>
    <s v="Projects"/>
    <s v="Projects Coordination"/>
    <s v="72103038"/>
    <s v="Projects Coordination"/>
    <s v="Mumbai"/>
    <d v="1983-10-15T00:00:00"/>
    <s v="39.11"/>
    <d v="2020-07-02T00:00:00"/>
    <d v="2041-10-31T00:00:00"/>
    <m/>
    <d v="2041-10-31T00:00:00"/>
    <n v="6616"/>
    <s v="O+"/>
    <s v="CA Final-2002"/>
    <s v="12.07"/>
    <s v="03.02"/>
    <s v="15.09"/>
    <s v="70494931"/>
    <s v="Working Capital"/>
    <s v="70494912"/>
    <s v="Head – Working Capital"/>
    <s v="Corporate"/>
    <s v="0090000028"/>
    <s v="Corporate Steel - Wo"/>
    <s v="2000CS"/>
    <s v="20057933"/>
    <s v="Akiyo Omori"/>
    <s v="No"/>
    <s v="rohit.sharma1@amns.in"/>
    <s v="9818428034"/>
    <s v="797319"/>
    <s v="Dhruv Vyas"/>
    <s v="Anil Matoo"/>
    <s v="Praveen Kuruvalli"/>
    <s v="Dhruv Vyas"/>
    <n v="0"/>
  </r>
  <r>
    <n v="3649"/>
    <n v="20055189"/>
    <s v="Nivedita Saxena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"/>
    <m/>
    <s v="Legal"/>
    <s v=""/>
    <s v=""/>
    <s v="Non Technical Support"/>
    <s v="Legal"/>
    <s v="Legal"/>
    <s v="73201001"/>
    <s v="Legal"/>
    <s v="Mumbai"/>
    <d v="1993-10-03T00:00:00"/>
    <s v="29.11"/>
    <d v="2020-06-29T00:00:00"/>
    <d v="2051-10-31T00:00:00"/>
    <m/>
    <d v="2051-10-31T00:00:00"/>
    <n v="10268"/>
    <s v="B+"/>
    <s v="BA-2016 , Intermediate-2011 , High Schoo"/>
    <s v="04.01"/>
    <s v="03.02"/>
    <s v="07.03"/>
    <s v="70494754"/>
    <s v="Legal"/>
    <s v="70494910"/>
    <s v="Sr. Manager"/>
    <s v="Corporate"/>
    <s v="0090000019"/>
    <s v="Corporate Steel - Le"/>
    <s v="2000CS"/>
    <s v="20055235"/>
    <s v="P Ashok Kumar"/>
    <s v="No"/>
    <s v="nivedita.saxena@amns.in"/>
    <s v="8989504005"/>
    <s v="794446"/>
    <s v="Dhruv Vyas"/>
    <s v="Anil Matoo"/>
    <s v="Praveen Kuruvalli"/>
    <s v="Dhruv Vyas"/>
    <n v="0"/>
  </r>
  <r>
    <n v="3651"/>
    <n v="20055193"/>
    <s v="Anuprita Kaushik Mehta"/>
    <s v="AM/NS India"/>
    <s v="Onroll"/>
    <s v="M-3"/>
    <n v="3"/>
    <m/>
    <s v="SM"/>
    <s v="F"/>
    <s v="Corporate"/>
    <n v="7"/>
    <s v="2013"/>
    <x v="0"/>
    <s v="20.01"/>
    <s v="Akiyo Omori"/>
    <s v="Amit Harlalka"/>
    <n v="5"/>
    <s v="Finance &amp; Accounts"/>
    <s v="Finance &amp; Accounts"/>
    <s v="20"/>
    <s v="Head -Taxation"/>
    <m/>
    <s v="Taxation"/>
    <s v="Taxation"/>
    <s v=""/>
    <s v="Non Technical Support"/>
    <s v="Finance &amp; Accounts"/>
    <s v="Taxation"/>
    <s v="73904002"/>
    <s v="Indirect Taxation"/>
    <s v="Mumbai"/>
    <d v="1972-05-11T00:00:00"/>
    <s v="51.04"/>
    <d v="2020-07-16T00:00:00"/>
    <d v="2030-05-31T00:00:00"/>
    <m/>
    <d v="2030-05-31T00:00:00"/>
    <n v="2445"/>
    <s v="O+"/>
    <s v="CA Final-1995 , BCom-1992 , High School-"/>
    <s v="18.10"/>
    <s v="03.02"/>
    <s v="21.11"/>
    <s v="70490499"/>
    <s v="Taxation"/>
    <s v="70490525"/>
    <s v="Head -Taxation"/>
    <s v="Confidential Payroll"/>
    <s v="0090000033"/>
    <s v="Corporate Taxation"/>
    <s v="2000CS"/>
    <s v="20057933"/>
    <s v="Akiyo Omori"/>
    <s v="No"/>
    <s v="anuprita.mehta@amns.in"/>
    <s v="9867290005"/>
    <s v="794445"/>
    <s v="Dhruv Vyas"/>
    <s v="Anil Matoo"/>
    <s v="Praveen Kuruvalli"/>
    <s v="Dhruv Vyas"/>
    <n v="0"/>
  </r>
  <r>
    <n v="3653"/>
    <n v="20055195"/>
    <s v="Sanjay Champalal Gandhi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r. Manager – Marketing &amp; Sales"/>
    <m/>
    <s v="Sales Steering &amp; BD"/>
    <s v="Digital Initiatives"/>
    <s v=""/>
    <s v="Non Technical Support"/>
    <s v=""/>
    <s v=""/>
    <s v="70494645"/>
    <s v="Head of Sales BD"/>
    <s v="Mumbai"/>
    <d v="1976-03-17T00:00:00"/>
    <s v="47.06"/>
    <d v="2020-08-24T00:00:00"/>
    <d v="2034-03-31T00:00:00"/>
    <m/>
    <d v="2034-03-31T00:00:00"/>
    <n v="3845"/>
    <s v="O+"/>
    <s v="MBA-2002 , MCom-2000 , BCom-1996 , Inter"/>
    <s v="12.11"/>
    <s v="03.00"/>
    <s v="16.00"/>
    <s v="70462100"/>
    <s v="Digital Initiatives"/>
    <s v="70494930"/>
    <s v="Process Manager - Digitalization"/>
    <s v="Corporate"/>
    <s v="0031950057"/>
    <s v="HZ-HRC - Marketing"/>
    <s v="2000CS"/>
    <s v="20043383"/>
    <s v="Maneesh Moti"/>
    <s v="No"/>
    <s v="sanjay.gandhi@amns.in"/>
    <s v="9930508239"/>
    <s v="797318"/>
    <s v="Dhruv Vyas"/>
    <s v="Anil Matoo"/>
    <s v="Praveen Kuruvalli"/>
    <s v="Dhruv Vyas"/>
    <n v="0"/>
  </r>
  <r>
    <n v="3654"/>
    <n v="20055196"/>
    <s v="Abhimanyu Kharb"/>
    <s v="AM/NS India"/>
    <s v="Onroll"/>
    <s v="M-5"/>
    <n v="5"/>
    <m/>
    <s v="MM"/>
    <s v="M"/>
    <s v="Hazira"/>
    <n v="1"/>
    <s v="2071"/>
    <x v="22"/>
    <s v="41.01"/>
    <s v="P Ashok Kumar"/>
    <s v="P Ashok Kumar"/>
    <n v="9"/>
    <s v="Legal"/>
    <s v="Legal"/>
    <s v="41"/>
    <s v="Legal Counsel – Compliance"/>
    <m/>
    <s v="Legal"/>
    <s v=""/>
    <s v=""/>
    <s v="Non Technical Support"/>
    <s v="Legal"/>
    <s v="Legal"/>
    <s v="73201001"/>
    <s v="Legal"/>
    <s v="Mumbai"/>
    <d v="1989-02-14T00:00:00"/>
    <s v="34.07"/>
    <d v="2020-07-27T00:00:00"/>
    <d v="2047-02-28T00:00:00"/>
    <m/>
    <d v="2047-02-28T00:00:00"/>
    <n v="8562"/>
    <s v="O-"/>
    <s v="LLB-2011 , Intermediate-2006 , High Scho"/>
    <s v="08.08"/>
    <s v="03.01"/>
    <s v="11.09"/>
    <s v="70494754"/>
    <s v="Legal"/>
    <s v="70494937"/>
    <s v="Legal Counsel – Compliance"/>
    <s v="Hazira"/>
    <s v="0090000019"/>
    <s v="Corporate Steel - Le"/>
    <s v="2000HWO"/>
    <s v="20055235"/>
    <s v="P Ashok Kumar"/>
    <s v="No"/>
    <s v="abhimanyu.kharb@amns.in"/>
    <s v="9108915606"/>
    <s v="798080"/>
    <s v="Dhruv Vyas"/>
    <s v="Anil Matoo"/>
    <s v="Praveen Kuruvalli"/>
    <s v="Dhruv Vyas"/>
    <n v="0"/>
  </r>
  <r>
    <n v="3655"/>
    <n v="20055197"/>
    <s v="Sangeeta Munjal"/>
    <s v="AM/NS India"/>
    <s v="Onroll"/>
    <s v="M-3"/>
    <n v="3"/>
    <m/>
    <s v="SM"/>
    <s v="F"/>
    <s v="Corporate"/>
    <n v="7"/>
    <s v="2039"/>
    <x v="2"/>
    <s v="43.01"/>
    <s v="Manu Kapoor"/>
    <s v="Manu Kapoor"/>
    <n v="10"/>
    <s v="Corporate Affairs"/>
    <s v="Corporate Affairs"/>
    <s v="43"/>
    <s v="Head – Corporate Affairs Delhi"/>
    <m/>
    <s v="Corporate Affairs"/>
    <s v=""/>
    <s v=""/>
    <s v="Non Technical Support"/>
    <s v="Corporate Relations"/>
    <s v="Corporate Affairs"/>
    <s v="74501001"/>
    <s v="Corporate Affairs"/>
    <s v="Delhi"/>
    <d v="1960-05-11T00:00:00"/>
    <s v="63.04"/>
    <d v="2020-08-01T00:00:00"/>
    <d v="2018-05-31T00:00:00"/>
    <d v="2025-03-31T00:00:00"/>
    <d v="2025-03-31T00:00:00"/>
    <n v="558"/>
    <s v="B+"/>
    <s v="MA-1985 , PG Diploma-1982 , BA-1980 , In"/>
    <s v="33.10"/>
    <s v="03.01"/>
    <s v="36.11"/>
    <s v="00050150"/>
    <s v="Corporate Affairs - Delhi"/>
    <s v="70494939"/>
    <s v="Head – Corporate Affairs Delhi"/>
    <s v="Confidential Payroll"/>
    <s v="0090000021"/>
    <s v="Corporate Affairs"/>
    <s v="2000CS"/>
    <s v="20057928"/>
    <s v="Manu Kapoor"/>
    <s v="No"/>
    <s v="sangeeta.munjal@amns.in"/>
    <s v="9811305002"/>
    <s v="799214"/>
    <s v="Dhruv Vyas"/>
    <s v="Anil Matoo"/>
    <s v="Praveen Kuruvalli"/>
    <s v="Dhruv Vyas"/>
    <n v="0"/>
  </r>
  <r>
    <n v="3656"/>
    <n v="20055200"/>
    <s v="Umesh Nayak"/>
    <s v="AM/NS India"/>
    <s v="Onroll"/>
    <s v="M-3"/>
    <n v="3"/>
    <m/>
    <s v="SM"/>
    <s v="M"/>
    <s v="Corporate"/>
    <n v="7"/>
    <s v="2039"/>
    <x v="2"/>
    <s v="43.01"/>
    <s v="Sangeeta Munjal"/>
    <s v="Manu Kapoor"/>
    <n v="10"/>
    <s v="Corporate Affairs"/>
    <s v="Corporate Affairs"/>
    <s v="43"/>
    <s v="Head – Corporate Affairs, Gujarat"/>
    <m/>
    <s v="Corporate Affairs"/>
    <s v=""/>
    <s v=""/>
    <s v="Non Technical Support"/>
    <s v="Corporate Relations"/>
    <s v="Corporate Affairs"/>
    <s v="74501001"/>
    <s v="Corporate Affairs"/>
    <s v="Ahmedabad"/>
    <d v="1966-02-28T00:00:00"/>
    <s v="57.06"/>
    <d v="2020-08-14T00:00:00"/>
    <d v="2024-02-29T00:00:00"/>
    <m/>
    <d v="2024-02-29T00:00:00"/>
    <n v="162"/>
    <s v="O+"/>
    <s v="MBA-1996 , BE-1988 , Intermediate-1983 ,"/>
    <s v="31.01"/>
    <s v="03.01"/>
    <s v="34.02"/>
    <s v="70492729"/>
    <s v="Corporate Affairs - Gujarat"/>
    <s v="70494943"/>
    <s v="Head – Corporate Affairs, Gujarat"/>
    <s v="Confidential Payroll"/>
    <s v="0090000021"/>
    <s v="Corporate Affairs"/>
    <s v="2000CS"/>
    <s v="20057928"/>
    <s v="Manu Kapoor"/>
    <s v="No"/>
    <s v="umesh.nayak@amns.in"/>
    <s v="9099005111"/>
    <s v="798900"/>
    <s v="Dhruv Vyas"/>
    <s v="Anil Matoo"/>
    <s v="Praveen Kuruvalli"/>
    <s v="Dhruv Vyas"/>
    <n v="0"/>
  </r>
  <r>
    <n v="3657"/>
    <n v="20055201"/>
    <s v="Deepak Sahu"/>
    <s v="AM/NS India"/>
    <s v="Onroll"/>
    <s v="M-6"/>
    <n v="6"/>
    <m/>
    <s v="M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Sr. Lead – F &amp; A Service Centre"/>
    <m/>
    <s v="Working Capital"/>
    <s v="Service Centers"/>
    <s v=""/>
    <s v="Non Technical Support"/>
    <s v="Finance &amp; Accounts"/>
    <s v="Finance &amp; Accounts"/>
    <s v="73901001"/>
    <s v="Finance &amp; Accounts"/>
    <s v="Hazira"/>
    <d v="1977-09-20T00:00:00"/>
    <s v="46.00"/>
    <d v="2020-08-01T00:00:00"/>
    <d v="2035-09-30T00:00:00"/>
    <m/>
    <d v="2035-09-30T00:00:00"/>
    <n v="4393"/>
    <s v="A+"/>
    <s v="MBA-2009"/>
    <s v="13.07"/>
    <s v="03.01"/>
    <s v="16.08"/>
    <s v="00043795"/>
    <s v="F&amp;A Hypermart &amp; Service Centre - 1"/>
    <s v="70494951"/>
    <s v="Sr. Lead – F &amp; A Service Centre"/>
    <s v="Service Center"/>
    <s v="0040000000"/>
    <s v="SC - Common"/>
    <s v="2000SPRJ"/>
    <s v="20055504"/>
    <s v="Vivek Choudhary"/>
    <s v="No"/>
    <s v="deepak.sahu@amns.in"/>
    <s v="9971104084"/>
    <s v="135523"/>
    <s v="Dhruv Vyas"/>
    <s v="Anil Matoo"/>
    <s v="Praveen Kuruvalli"/>
    <s v="Dhruv Vyas"/>
    <n v="0"/>
  </r>
  <r>
    <n v="3659"/>
    <n v="20055204"/>
    <s v="Lakshmi Charan Mahapatra"/>
    <s v="AM/NS India"/>
    <s v="Onroll"/>
    <s v="M-4"/>
    <n v="4"/>
    <m/>
    <s v="SM"/>
    <s v="M"/>
    <s v="Odisha"/>
    <n v="2"/>
    <s v="2137"/>
    <x v="12"/>
    <s v="35.01"/>
    <s v="Hrishikesh Kamat"/>
    <s v="Hrishikesh Kamat"/>
    <n v="7"/>
    <s v="Procurement"/>
    <s v="Land Acquisition"/>
    <s v="35"/>
    <s v="Head - Land Kendrapada"/>
    <m/>
    <s v="Land Acquisition"/>
    <m/>
    <m/>
    <s v="Projects"/>
    <s v="Corporate Relations"/>
    <s v="Corporate Affairs"/>
    <s v="74501001"/>
    <s v="Corporate Affairs"/>
    <s v="Bhubaneswar"/>
    <d v="1959-01-30T00:00:00"/>
    <s v="64.07"/>
    <d v="2020-08-01T00:00:00"/>
    <d v="2017-01-31T00:00:00"/>
    <d v="2025-03-31T00:00:00"/>
    <d v="2025-03-31T00:00:00"/>
    <n v="558"/>
    <s v="O+"/>
    <s v="Master's Equivalent-1996 , Diploma-1983"/>
    <s v="12.06"/>
    <s v="03.01"/>
    <s v="15.07"/>
    <s v="00048076"/>
    <s v="Greenfield Project"/>
    <s v="70494954"/>
    <s v="Chief Coordinator - Greenfield Project"/>
    <s v="Odisha"/>
    <s v="0022030019"/>
    <s v="PDP-HR &amp; Admn"/>
    <s v="2000STORIS"/>
    <s v="20053139"/>
    <s v="Subrahmanya Shanbhogue Tantradi"/>
    <s v="No"/>
    <s v="lakshmi.mahapatra@amns.in"/>
    <s v="9937291506"/>
    <s v="101489"/>
    <s v="Sunila Das"/>
    <s v="Anil Matoo"/>
    <s v="Praveen Kuruvalli"/>
    <s v="Sunila Das"/>
    <n v="0"/>
  </r>
  <r>
    <n v="3663"/>
    <n v="20055216"/>
    <s v="Abhishek Shrivastav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 Manager – Sales &amp; Marketing"/>
    <m/>
    <s v="North"/>
    <s v="OEM"/>
    <s v=""/>
    <s v="Non Technical Support"/>
    <s v="Human Resources Management"/>
    <s v="Human Resources Management"/>
    <s v="73501002"/>
    <s v="Human Resources Operation"/>
    <s v="Noida"/>
    <d v="1994-06-13T00:00:00"/>
    <s v="29.03"/>
    <d v="2020-09-01T00:00:00"/>
    <d v="2052-06-30T00:00:00"/>
    <m/>
    <d v="2052-06-30T00:00:00"/>
    <n v="10511"/>
    <s v="O+"/>
    <s v="MTech-2020 , BTech-2016 , Intermediate-2"/>
    <s v=""/>
    <s v="03.00"/>
    <s v="03.00"/>
    <s v="72150181"/>
    <s v="Sales North Zone"/>
    <s v="70494965"/>
    <s v="Sales Manager"/>
    <s v="Hazira"/>
    <s v="0031950057"/>
    <s v="HZ-HRC - Marketing"/>
    <s v="2000HWO"/>
    <s v="20002920"/>
    <s v="Sudhir Sharma"/>
    <s v="No"/>
    <s v="abhishek.shrivastav@amns.in"/>
    <s v="9879102216"/>
    <s v="802315"/>
    <s v="Dhruv Vyas"/>
    <s v="Anil Matoo"/>
    <s v="Praveen Kuruvalli"/>
    <s v="Dhruv Vyas"/>
    <n v="0"/>
  </r>
  <r>
    <n v="3671"/>
    <n v="20055235"/>
    <s v="P Ashok Kumar"/>
    <s v="AM/NS India"/>
    <s v="Onroll"/>
    <s v="M-3"/>
    <n v="3"/>
    <m/>
    <s v="SM"/>
    <s v="M"/>
    <s v="Corporate"/>
    <n v="7"/>
    <s v="2071"/>
    <x v="22"/>
    <s v="41.01"/>
    <s v="P Ashok Kumar"/>
    <s v="P Ashok Kumar"/>
    <n v="9"/>
    <s v="Legal"/>
    <s v="Legal"/>
    <s v="41"/>
    <s v="Associate General Counsel"/>
    <m/>
    <s v="Legal"/>
    <s v=""/>
    <s v=""/>
    <s v="Non Technical Support"/>
    <s v="Legal"/>
    <s v="Legal"/>
    <s v="73201001"/>
    <s v="Legal"/>
    <s v="Mumbai"/>
    <d v="1982-07-17T00:00:00"/>
    <s v="41.02"/>
    <d v="2020-09-01T00:00:00"/>
    <d v="2040-07-31T00:00:00"/>
    <m/>
    <d v="2040-07-31T00:00:00"/>
    <n v="6159"/>
    <s v="O+"/>
    <s v="LLB-2004 , Intermediate-1999 , High Scho"/>
    <s v="06.05"/>
    <s v="03.00"/>
    <s v="09.05"/>
    <s v="70494754"/>
    <s v="Legal"/>
    <s v="70494985"/>
    <s v="Associate General Counsel"/>
    <s v="Confidential Payroll"/>
    <s v="0090000019"/>
    <s v="Corporate Steel - Le"/>
    <s v="2000CS"/>
    <s v="20055068"/>
    <s v="Dilip Oommen"/>
    <s v="No"/>
    <s v="ashok.kumar1@amns.in"/>
    <s v="9686811664"/>
    <s v="798211"/>
    <s v="Dhruv Vyas"/>
    <s v="Anil Matoo"/>
    <s v="Praveen Kuruvalli"/>
    <s v="Dhruv Vyas"/>
    <n v="0"/>
  </r>
  <r>
    <n v="3672"/>
    <n v="20055236"/>
    <s v="Vineet Kamlesh Ojha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Process Manager – Digitalization"/>
    <m/>
    <s v="Sales Steering &amp; BD"/>
    <s v="Digital Initiatives"/>
    <s v=""/>
    <s v="Non Technical Support"/>
    <s v="Sales &amp; Marketing"/>
    <s v="Marketing"/>
    <s v="73102001"/>
    <s v="Marketing"/>
    <s v="Mumbai"/>
    <d v="1988-07-09T00:00:00"/>
    <s v="35.02"/>
    <d v="2020-08-28T00:00:00"/>
    <d v="2046-07-31T00:00:00"/>
    <m/>
    <d v="2046-07-31T00:00:00"/>
    <n v="8350"/>
    <s v="A+"/>
    <s v="PG Diploma in Management-2011 , BCom-200"/>
    <s v="12.01"/>
    <s v="03.00"/>
    <s v="15.01"/>
    <s v="70462100"/>
    <s v="Digital Initiatives"/>
    <s v="70494984"/>
    <s v="Process Manager – CRM"/>
    <s v="Corporate"/>
    <s v="0080000005"/>
    <s v="Global Markets Team"/>
    <s v="2000CS"/>
    <s v="20043383"/>
    <s v="Maneesh Moti"/>
    <s v="No"/>
    <s v="vineet.ojha@amns.in"/>
    <s v="9920379079"/>
    <s v="802102"/>
    <s v="Dhruv Vyas"/>
    <s v="Anil Matoo"/>
    <s v="Praveen Kuruvalli"/>
    <s v="Dhruv Vyas"/>
    <n v="0"/>
  </r>
  <r>
    <n v="3689"/>
    <n v="20055312"/>
    <s v="Swapnil Srivastava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Lead Market Intelligence &amp; Pricing"/>
    <m/>
    <s v="Projects Long Products"/>
    <s v="Projects Long Products"/>
    <s v=""/>
    <s v="Non Technical Support"/>
    <s v="Human Resources Management"/>
    <s v="Human Resources Management"/>
    <s v="73501002"/>
    <s v="Human Resources Operation"/>
    <s v="Mumbai"/>
    <d v="1996-09-08T00:00:00"/>
    <s v="27.00"/>
    <d v="2020-09-16T00:00:00"/>
    <d v="2054-09-30T00:00:00"/>
    <m/>
    <d v="2054-09-30T00:00:00"/>
    <n v="11333"/>
    <s v=""/>
    <s v="MBA-2020 , BTech-2018 , Intermediate-201"/>
    <s v=""/>
    <s v="03.00"/>
    <s v="03.00"/>
    <s v="70494655"/>
    <s v="Sales Steering, Distribution and BD"/>
    <s v="70495035"/>
    <s v="Lead Market Intelligence &amp; Pricing"/>
    <s v="Corporate"/>
    <s v="0080000001"/>
    <s v="Head-Marketing"/>
    <s v="2000CS"/>
    <s v="20055091"/>
    <s v="Akshaya Gujral"/>
    <s v="No"/>
    <s v="swapnil.srivastava@amns.in"/>
    <s v="7764981301"/>
    <s v="804093"/>
    <s v="Dhruv Vyas"/>
    <s v="Anil Matoo"/>
    <s v="Praveen Kuruvalli"/>
    <s v="Dhruv Vyas"/>
    <n v="0"/>
  </r>
  <r>
    <n v="3693"/>
    <n v="20055320"/>
    <s v="Rohit Yadav"/>
    <s v="AM/NS India"/>
    <s v="Onroll"/>
    <s v="M-10"/>
    <n v="10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Sales &amp; Marketing"/>
    <m/>
    <s v="Sales Planning"/>
    <s v="Sales Planning"/>
    <s v=""/>
    <s v="Non Technical Support"/>
    <s v="Human Resources Management"/>
    <s v="Human Resources Management"/>
    <s v="73501002"/>
    <s v="Human Resources Operation"/>
    <s v="Delhi"/>
    <d v="1995-05-19T00:00:00"/>
    <s v="28.04"/>
    <d v="2020-10-03T00:00:00"/>
    <d v="2053-05-31T00:00:00"/>
    <m/>
    <d v="2053-05-31T00:00:00"/>
    <n v="10846"/>
    <s v="O+"/>
    <s v="MTech-2020 , BTech-2017 , Intermediate-2"/>
    <s v=""/>
    <s v="02.11"/>
    <s v="02.11"/>
    <s v="70385322"/>
    <s v="Sales Planning &amp; Administration"/>
    <s v="70495062"/>
    <s v="Officer - Sales Planning"/>
    <s v="Pune Facility"/>
    <s v="0035950073"/>
    <s v="Pune - S&amp;D Export"/>
    <s v="2000ESPF"/>
    <s v="20049554"/>
    <s v="Uttam Kumar"/>
    <s v="No"/>
    <s v="rohit.yadav@amns.in"/>
    <s v="6359610214"/>
    <s v="806648"/>
    <s v="Dhruv Vyas"/>
    <s v="Anil Matoo"/>
    <s v="Praveen Kuruvalli"/>
    <s v="Dhruv Vyas"/>
    <n v="0"/>
  </r>
  <r>
    <n v="3700"/>
    <n v="20055333"/>
    <s v="Shah Ronil"/>
    <s v="AM/NS India"/>
    <s v="Onroll"/>
    <s v="M-10"/>
    <n v="10"/>
    <m/>
    <s v="JM"/>
    <s v="M"/>
    <s v="Hazira"/>
    <n v="1"/>
    <s v="2015"/>
    <x v="1"/>
    <s v="22.06"/>
    <s v="Praveen Kuruvalli"/>
    <s v="Ashutosh Telang"/>
    <n v="6"/>
    <s v="HR &amp; Administration"/>
    <s v="Human Resources"/>
    <s v="22"/>
    <s v="Shift Engineer - Mechanical Maintenance"/>
    <m/>
    <s v="Hazira Operations"/>
    <s v="Mechanical"/>
    <s v="SH, Conveyors &amp; PCI"/>
    <s v="Mechanical Maintenance"/>
    <s v="Operations"/>
    <s v="Plant Operations"/>
    <s v="72103003"/>
    <s v="Plant Operations"/>
    <s v="Hazira"/>
    <d v="1998-10-21T00:00:00"/>
    <s v="24.10"/>
    <d v="2020-10-03T00:00:00"/>
    <d v="2056-10-31T00:00:00"/>
    <m/>
    <d v="2056-10-31T00:00:00"/>
    <n v="12095"/>
    <s v="B+"/>
    <s v="BTech-2020 , Intermediate-2016 , High Sc"/>
    <s v=""/>
    <s v="02.11"/>
    <s v="02.11"/>
    <s v="00051785"/>
    <s v="Hazira Project - Human Resources"/>
    <s v="70495075"/>
    <s v="Lead - Human Resources"/>
    <s v="Hazira"/>
    <s v="0031220011"/>
    <s v="Plant B - Blast Furn"/>
    <s v="2000HWO"/>
    <s v="20038382"/>
    <s v="Natasha Fernandes"/>
    <s v="No"/>
    <s v="ronil.shah@amns.in"/>
    <s v="9512047176"/>
    <s v="806659"/>
    <s v="Dhruv Vyas"/>
    <s v="Anil Matoo"/>
    <s v="Praveen Kuruvalli"/>
    <s v="Dhruv Vyas"/>
    <n v="0"/>
  </r>
  <r>
    <n v="3707"/>
    <n v="20055359"/>
    <s v="Pritish Ranjan Behera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"/>
    <m/>
    <s v="Coated Sales"/>
    <s v="Coated Sales"/>
    <s v=""/>
    <s v="Non Technical Support"/>
    <s v="Human Resources Management"/>
    <s v="Human Resources Management"/>
    <s v="73501002"/>
    <s v="Human Resources Operation"/>
    <s v="Pune"/>
    <d v="1991-09-01T00:00:00"/>
    <s v="32.00"/>
    <d v="2020-10-03T00:00:00"/>
    <d v="2049-08-31T00:00:00"/>
    <m/>
    <d v="2049-08-31T00:00:00"/>
    <n v="9477"/>
    <s v="B+"/>
    <s v="MBA-2020 , BTech-2013 , Intermediate-200"/>
    <s v=""/>
    <s v="02.11"/>
    <s v="02.11"/>
    <s v="00043882"/>
    <s v="International Sales"/>
    <s v="70495101"/>
    <s v="KAM - Coated Sales"/>
    <s v="Hazira"/>
    <s v="0031950057"/>
    <s v="HZ-HRC - Marketing"/>
    <s v="2000HWO"/>
    <s v="20037071"/>
    <s v="Amit Chandaliya"/>
    <s v="No"/>
    <s v="pritish.behera@amns.in"/>
    <s v="9923200102"/>
    <s v="806680"/>
    <s v="Dhruv Vyas"/>
    <s v="Anil Matoo"/>
    <s v="Praveen Kuruvalli"/>
    <s v="Dhruv Vyas"/>
    <n v="0"/>
  </r>
  <r>
    <n v="3708"/>
    <n v="20055360"/>
    <s v="Neha Bang"/>
    <s v="AM/NS India"/>
    <s v="Onroll"/>
    <s v="M-8"/>
    <n v="8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"/>
    <m/>
    <s v="Sales Steering &amp; BD"/>
    <s v="Product Branding"/>
    <s v=""/>
    <s v="Non Technical Support"/>
    <s v="Human Resources Management"/>
    <s v="Human Resources Management"/>
    <s v="73501002"/>
    <s v="Human Resources Operation"/>
    <s v="Mumbai"/>
    <d v="1995-02-22T00:00:00"/>
    <s v="28.06"/>
    <d v="2020-10-03T00:00:00"/>
    <d v="2053-02-28T00:00:00"/>
    <m/>
    <d v="2053-02-28T00:00:00"/>
    <n v="10754"/>
    <s v="B-"/>
    <s v="MBA-2020 , BA-2016 , Intermediate-2014 ,"/>
    <s v=""/>
    <s v="02.11"/>
    <s v="02.11"/>
    <s v="00044762"/>
    <s v="Branding"/>
    <s v="70495102"/>
    <s v="Brand Manager"/>
    <s v="Corporate"/>
    <s v="0080000001"/>
    <s v="Head-Marketing"/>
    <s v="2000CS"/>
    <s v="20056091"/>
    <s v="Pooja Rawal"/>
    <s v="No"/>
    <s v="neha.bang@amns.in"/>
    <s v="9879101215"/>
    <s v="806681"/>
    <s v="Dhruv Vyas"/>
    <s v="Anil Matoo"/>
    <s v="Praveen Kuruvalli"/>
    <s v="Dhruv Vyas"/>
    <n v="0"/>
  </r>
  <r>
    <n v="3709"/>
    <n v="20055361"/>
    <s v="Kuldeep Trivedi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Management Trainee"/>
    <m/>
    <s v="Performance Management"/>
    <s v="Performance Management"/>
    <s v=""/>
    <s v="Non Technical Support"/>
    <s v="Human Resources Management"/>
    <s v="Human Resources Management"/>
    <s v="73501002"/>
    <s v="Human Resources Operation"/>
    <s v="AM/NS Hazira"/>
    <d v="1994-04-17T00:00:00"/>
    <s v="29.05"/>
    <d v="2020-10-07T00:00:00"/>
    <d v="2052-04-30T00:00:00"/>
    <m/>
    <d v="2052-04-30T00:00:00"/>
    <n v="10450"/>
    <s v="O+"/>
    <s v="MBA-2020 , BTech-2016 , Intermediate-201"/>
    <s v=""/>
    <s v="02.11"/>
    <s v="02.11"/>
    <s v="00045310"/>
    <s v="Performance Management"/>
    <s v="70495103"/>
    <s v="Management Trainee"/>
    <s v="Hazira"/>
    <s v="0031950043"/>
    <s v="HZ-Performance Manag"/>
    <s v="2000HWO"/>
    <s v="20059076"/>
    <s v="Ravish Doshi"/>
    <s v="No"/>
    <s v="kuldeep.trivedi@amns.in"/>
    <s v="9727741053"/>
    <s v="806682"/>
    <s v="Dhruv Vyas"/>
    <s v="Anil Matoo"/>
    <s v="Praveen Kuruvalli"/>
    <s v="Dhruv Vyas"/>
    <n v="0"/>
  </r>
  <r>
    <n v="3760"/>
    <n v="20055424"/>
    <s v="Prasath Radhakrishnan"/>
    <s v="AM/NS India"/>
    <s v="Onroll"/>
    <s v="M-8"/>
    <n v="8"/>
    <m/>
    <s v="JM"/>
    <s v="M"/>
    <s v="Service Centers"/>
    <n v="6"/>
    <s v="2043"/>
    <x v="3"/>
    <s v="31.01"/>
    <s v="Hrishikesh Kamat"/>
    <s v="Hrishikesh Kamat"/>
    <n v="7"/>
    <s v="Procurement"/>
    <s v="Procurement"/>
    <s v="31"/>
    <s v="Incharge  Purchase"/>
    <m/>
    <s v="Procurement Service Centre"/>
    <s v="Procurement Service Centre"/>
    <s v=""/>
    <s v="Non Technical Support"/>
    <s v="Operations"/>
    <s v="Plant Operations"/>
    <s v="72103003"/>
    <s v="Plant Operations"/>
    <s v="Chennai"/>
    <d v="1979-11-09T00:00:00"/>
    <s v="43.10"/>
    <d v="2020-10-01T00:00:00"/>
    <d v="2037-11-30T00:00:00"/>
    <m/>
    <d v="2037-11-30T00:00:00"/>
    <n v="5185"/>
    <s v="O+"/>
    <s v="MBA-2009 , BE-2001 , High School-1997 ,"/>
    <s v="14.00"/>
    <s v="02.11"/>
    <s v="16.11"/>
    <s v="70413444"/>
    <s v="Purchase &amp; Contracts"/>
    <s v="70495186"/>
    <s v="Incharge  Purchase"/>
    <s v="Service Center"/>
    <s v="0040030019"/>
    <s v="SC-Chennai-Op1-HR-Ad"/>
    <s v="2000SPRJ"/>
    <s v="20052588"/>
    <s v="Govindraju Sampathirao"/>
    <s v="No"/>
    <s v="prasath.r@amns.in"/>
    <s v="9952966638"/>
    <s v="25533"/>
    <s v="Dhruv Vyas"/>
    <s v="Anil Matoo"/>
    <s v="Praveen Kuruvalli"/>
    <s v="Dhruv Vyas"/>
    <n v="0"/>
  </r>
  <r>
    <n v="3767"/>
    <n v="20055437"/>
    <s v="Sameer Vengurlekar"/>
    <s v="AM/NS India"/>
    <s v="Onroll"/>
    <s v="M-10"/>
    <n v="10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Sales &amp; Marketing"/>
    <m/>
    <s v="Coated Sales"/>
    <s v="Coated Sales"/>
    <s v=""/>
    <s v="Non Technical Support"/>
    <s v="Sales &amp; Marketing"/>
    <s v="Sales &amp; Marketing"/>
    <s v="73101001"/>
    <s v="Sales &amp; Marketing"/>
    <s v="Pune AMNS"/>
    <d v="1984-03-26T00:00:00"/>
    <s v="39.05"/>
    <d v="2020-10-27T00:00:00"/>
    <d v="2042-03-31T00:00:00"/>
    <m/>
    <d v="2042-03-31T00:00:00"/>
    <n v="6767"/>
    <s v=""/>
    <s v="PG Diploma in Management-2013 , BCom-200"/>
    <s v="14.08"/>
    <s v="02.10"/>
    <s v="17.06"/>
    <s v="00048138"/>
    <s v="Hypermart west"/>
    <s v="70495275"/>
    <s v="Sales Manger - Coated Sales"/>
    <s v="Pune Facility"/>
    <s v="0035950073"/>
    <s v="Pune - S&amp;D Export"/>
    <s v="2000ESPF"/>
    <s v="20056847"/>
    <s v="Vikas Chotia"/>
    <s v="No"/>
    <s v="sameer.vengurlekar@amns.in"/>
    <s v="9158895815"/>
    <s v="812346"/>
    <s v="Dhruv Vyas"/>
    <s v="Anil Matoo"/>
    <s v="Praveen Kuruvalli"/>
    <s v="Dhruv Vyas"/>
    <n v="0"/>
  </r>
  <r>
    <n v="3770"/>
    <n v="20055441"/>
    <s v="Bhushan Bhondwe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Sales &amp; Marketing"/>
    <m/>
    <s v="Export"/>
    <s v="Export"/>
    <s v=""/>
    <s v="Non Technical Support"/>
    <s v="Sales &amp; Marketing"/>
    <s v="Sales &amp; Marketing"/>
    <s v="73101001"/>
    <s v="Sales &amp; Marketing"/>
    <s v="Pune"/>
    <d v="1976-03-23T00:00:00"/>
    <s v="47.05"/>
    <d v="2020-11-17T00:00:00"/>
    <d v="2034-03-31T00:00:00"/>
    <m/>
    <d v="2034-03-31T00:00:00"/>
    <n v="3845"/>
    <s v=""/>
    <s v="Master's Equivalent-2000 , Diploma-1997"/>
    <s v="08.05"/>
    <s v="02.10"/>
    <s v="11.03"/>
    <s v="00043882"/>
    <s v="International Sales"/>
    <s v="70495280"/>
    <s v="KAM - Export Sales"/>
    <s v="Pune Facility"/>
    <s v="0035950073"/>
    <s v="Pune - S&amp;D Export"/>
    <s v="2000ESPF"/>
    <s v="20055663"/>
    <s v="Karamath Syed"/>
    <s v="No"/>
    <s v="bhushan.bhondwe@amns.in"/>
    <s v="9158895824"/>
    <s v="812345"/>
    <s v="Dhruv Vyas"/>
    <s v="Anil Matoo"/>
    <s v="Praveen Kuruvalli"/>
    <s v="Dhruv Vyas"/>
    <n v="0"/>
  </r>
  <r>
    <n v="3774"/>
    <n v="20055446"/>
    <s v="Chitrang Rana"/>
    <s v="AM/NS India"/>
    <s v="Onroll"/>
    <s v="M-5"/>
    <n v="5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Services"/>
    <m/>
    <s v="Capex Procurement"/>
    <s v="Capex Procurement"/>
    <s v=""/>
    <s v="Non Technical Support"/>
    <s v="Operations"/>
    <s v="Operations"/>
    <s v="72103001"/>
    <s v="Operations"/>
    <s v="Hazira"/>
    <d v="1974-02-14T00:00:00"/>
    <s v="49.07"/>
    <d v="2020-12-01T00:00:00"/>
    <d v="2032-02-29T00:00:00"/>
    <m/>
    <d v="2032-02-29T00:00:00"/>
    <n v="3084"/>
    <s v="B+"/>
    <s v="BE-1996 , Diploma-1992 , High School-198"/>
    <s v="23.11"/>
    <s v="02.09"/>
    <s v="26.09"/>
    <s v="00049359"/>
    <s v="Capex Services"/>
    <s v="70495292"/>
    <s v="Lead – Capex Services"/>
    <s v="Hazira"/>
    <s v="0031950059"/>
    <s v="HZ-Hazira Project"/>
    <s v="2000HWO"/>
    <s v="20052261"/>
    <s v="Aruni Mishra"/>
    <s v="No"/>
    <s v="chitrang.rana@amns.in"/>
    <s v="9879101778"/>
    <s v="806642"/>
    <s v="Dhruv Vyas"/>
    <s v="Anil Matoo"/>
    <s v="Praveen Kuruvalli"/>
    <s v="Dhruv Vyas"/>
    <n v="0"/>
  </r>
  <r>
    <n v="3775"/>
    <n v="20055447"/>
    <s v="Nirav Pachchigar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Buyer"/>
    <m/>
    <s v="Capex Procurement"/>
    <s v="Capex Procurement"/>
    <s v=""/>
    <s v="Non Technical Support"/>
    <s v="Operations"/>
    <s v="Operations"/>
    <s v="72103001"/>
    <s v="Operations"/>
    <s v="Hazira"/>
    <d v="1980-02-11T00:00:00"/>
    <s v="43.07"/>
    <d v="2020-11-25T00:00:00"/>
    <d v="2038-02-28T00:00:00"/>
    <m/>
    <d v="2038-02-28T00:00:00"/>
    <n v="5275"/>
    <s v="B+"/>
    <s v="PG Diploma-2013 , BE-2001 , High School-"/>
    <s v="19.02"/>
    <s v="02.09"/>
    <s v="21.11"/>
    <s v="70495711"/>
    <s v="Capex Buyer"/>
    <s v="70495286"/>
    <s v="Lead – Capex Buyer"/>
    <s v="Hazira"/>
    <s v="0031950059"/>
    <s v="HZ-Hazira Project"/>
    <s v="2000HWO"/>
    <s v="20055706"/>
    <s v="HimalKumar Madhusudan Sheth"/>
    <s v="No"/>
    <s v="nirav.pachchigar@amns.in"/>
    <s v="6357192763"/>
    <s v="812341"/>
    <s v="Dhruv Vyas"/>
    <s v="Anil Matoo"/>
    <s v="Praveen Kuruvalli"/>
    <s v="Dhruv Vyas"/>
    <n v="0"/>
  </r>
  <r>
    <n v="3778"/>
    <n v="20055451"/>
    <s v="Dhruvang Patel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– Capex Services"/>
    <m/>
    <s v="Capex Procurement"/>
    <s v="Capex Procurement"/>
    <s v=""/>
    <s v="Non Technical Support"/>
    <s v="Operations"/>
    <s v="Operations"/>
    <s v="72103001"/>
    <s v="Operations"/>
    <s v="Hazira"/>
    <d v="1993-05-09T00:00:00"/>
    <s v="30.04"/>
    <d v="2020-11-23T00:00:00"/>
    <d v="2051-05-31T00:00:00"/>
    <m/>
    <d v="2051-05-31T00:00:00"/>
    <n v="10115"/>
    <s v="B+"/>
    <s v="Diploma-2011 , SSLC-2008"/>
    <s v="09.03"/>
    <s v="02.09"/>
    <s v="12.00"/>
    <s v="00049360"/>
    <s v="Capex Services"/>
    <s v="70495293"/>
    <s v="Officer – Capex Services"/>
    <s v="Hazira"/>
    <s v="0031950059"/>
    <s v="HZ-Hazira Project"/>
    <s v="2000HWO"/>
    <s v="20055727"/>
    <s v="Javed Akhtar"/>
    <s v="No"/>
    <s v="dhruvang.patel@amns.in"/>
    <s v="6357192770"/>
    <s v="812340"/>
    <s v="Dhruv Vyas"/>
    <s v="Anil Matoo"/>
    <s v="Praveen Kuruvalli"/>
    <s v="Dhruv Vyas"/>
    <n v="0"/>
  </r>
  <r>
    <n v="3781"/>
    <n v="20055456"/>
    <s v="Vijay Malepu"/>
    <s v="AM/NS India"/>
    <s v="Onroll"/>
    <s v="M-7"/>
    <n v="7"/>
    <m/>
    <s v="MM"/>
    <s v="M"/>
    <s v="Corporate"/>
    <n v="7"/>
    <s v="2069"/>
    <x v="8"/>
    <s v="25.01"/>
    <s v="Bibek Chattopadhyay"/>
    <s v="Ashutosh Telang"/>
    <n v="6"/>
    <s v="HR &amp; Administration"/>
    <s v="Corporate Communications"/>
    <s v="25"/>
    <s v="Sr. Lead - Corporate Communication"/>
    <m/>
    <s v="Corporate Communications"/>
    <s v=""/>
    <s v=""/>
    <s v="Non Technical Support"/>
    <s v="Corporate Communication"/>
    <s v="Corporate Communication"/>
    <s v="74001001"/>
    <s v="Corporate Communication"/>
    <s v="Mumbai"/>
    <d v="1982-03-01T00:00:00"/>
    <s v="41.06"/>
    <d v="2020-12-02T00:00:00"/>
    <d v="2040-02-29T00:00:00"/>
    <m/>
    <d v="2040-02-29T00:00:00"/>
    <n v="6006"/>
    <s v="AB+"/>
    <s v="Master's Equivalent-2016 , Post Diploma"/>
    <s v="13.03"/>
    <s v="02.09"/>
    <s v="16.00"/>
    <s v="70318583"/>
    <s v="Communications &amp; Media Relations"/>
    <s v="70495298"/>
    <s v="Sr. Lead - Corporate Communication"/>
    <s v="Corporate"/>
    <s v="0090000016"/>
    <s v="Corporate Steel - Co"/>
    <s v="2000CS"/>
    <s v="20055187"/>
    <s v="Bibek Chattopadhyay"/>
    <s v="No"/>
    <s v="vijay.malepu@amns.in"/>
    <s v="9833403636"/>
    <s v="814930"/>
    <s v="Dhruv Vyas"/>
    <s v="Anil Matoo"/>
    <s v="Praveen Kuruvalli"/>
    <s v="Dhruv Vyas"/>
    <n v="0"/>
  </r>
  <r>
    <n v="3790"/>
    <n v="20055465"/>
    <s v="Mayank Zora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98-04-08T00:00:00"/>
    <s v="25.05"/>
    <d v="2020-12-28T00:00:00"/>
    <d v="2056-04-30T00:00:00"/>
    <m/>
    <d v="2056-04-30T00:00:00"/>
    <n v="11911"/>
    <s v="AB+"/>
    <s v="Diploma-2016 , SSLC-2013"/>
    <s v=""/>
    <s v="02.08"/>
    <s v="02.08"/>
    <s v="00053277"/>
    <s v="Receipts &amp; Unloading - Plant B"/>
    <s v="70495333"/>
    <s v="Section Officer - Issue/Shifting"/>
    <s v="Hazira"/>
    <s v="0031950049"/>
    <s v="HZ-Central Stores"/>
    <s v="2000HWO"/>
    <s v="20003180"/>
    <s v="Bhikhubhai Ahir"/>
    <s v="No"/>
    <s v="mayank.zora@amns.in"/>
    <s v="9925241193"/>
    <s v="25892"/>
    <s v="Dhruv Vyas"/>
    <s v="Anil Matoo"/>
    <s v="Praveen Kuruvalli"/>
    <s v="Dhruv Vyas"/>
    <n v="0"/>
  </r>
  <r>
    <n v="3806"/>
    <n v="20055483"/>
    <s v="Praveen Kuruvalli"/>
    <s v="AM/NS India"/>
    <s v="Onroll"/>
    <s v="M-2"/>
    <n v="2"/>
    <m/>
    <s v="TM"/>
    <s v="M"/>
    <s v="Corporate"/>
    <n v="7"/>
    <s v="2015"/>
    <x v="1"/>
    <s v="22.06"/>
    <s v="Ashutosh Telang"/>
    <s v="Ashutosh Telang"/>
    <n v="6"/>
    <s v="HR &amp; Administration"/>
    <s v="Human Resources"/>
    <s v="22"/>
    <s v="Head People Strategy &amp; HR COE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Mumbai"/>
    <d v="1980-06-04T00:00:00"/>
    <s v="43.03"/>
    <d v="2021-01-01T00:00:00"/>
    <d v="2040-06-30T00:00:00"/>
    <m/>
    <d v="2040-06-30T00:00:00"/>
    <n v="6128"/>
    <s v="A+"/>
    <s v="MBA-2007 , BTech-2002 , High School-1997"/>
    <s v="16.05"/>
    <s v="02.08"/>
    <s v="19.01"/>
    <s v="70242278"/>
    <s v="People Strategy &amp; HR Center Excellence"/>
    <s v="70495349"/>
    <s v="Head People Strategy &amp; HR COE"/>
    <s v="Confidential Payroll"/>
    <s v="0031950061"/>
    <s v="HZ-Human Resource"/>
    <s v="2000CS"/>
    <s v="20059024"/>
    <s v="Keiji Kubota"/>
    <s v="No"/>
    <s v="praveen.kuruvalli@amns.in"/>
    <s v="9619917060"/>
    <s v="103288"/>
    <s v="Dhruv Vyas"/>
    <s v="Anil Matoo"/>
    <s v="Praveen Kuruvalli"/>
    <s v="Dhruv Vyas"/>
    <n v="0"/>
  </r>
  <r>
    <n v="3809"/>
    <n v="20055486"/>
    <s v="Nilesh Likhite"/>
    <s v="AM/NS India"/>
    <s v="Onroll"/>
    <s v="M-3"/>
    <n v="3"/>
    <m/>
    <s v="SM"/>
    <s v="M"/>
    <s v="Corporate"/>
    <n v="7"/>
    <s v="2014"/>
    <x v="16"/>
    <s v="03.01"/>
    <s v="Dilip Oommen"/>
    <s v="Dilip Oommen"/>
    <n v="1"/>
    <s v="CEO Office"/>
    <s v="Internal Audit"/>
    <s v="03"/>
    <s v="Chief Internal Auditor"/>
    <m/>
    <s v="Internal Audit"/>
    <s v=""/>
    <s v=""/>
    <s v="Non Technical Support"/>
    <s v="Chairman's Secretariat"/>
    <s v="Chairman's Secretariat"/>
    <s v="74701000"/>
    <s v="Chairman's Secretariat"/>
    <s v="Mumbai"/>
    <d v="1970-04-29T00:00:00"/>
    <s v="53.04"/>
    <d v="2021-01-04T00:00:00"/>
    <d v="2028-04-30T00:00:00"/>
    <m/>
    <d v="2028-04-30T00:00:00"/>
    <n v="1684"/>
    <s v="O+"/>
    <s v="Certificate-2010 , Certificate-2007 , Ce"/>
    <s v="26.01"/>
    <s v="02.08"/>
    <s v="28.09"/>
    <s v="70310796"/>
    <s v="Internal Audit"/>
    <s v="70495350"/>
    <s v="Chief Internal Auditor"/>
    <s v="Confidential Payroll"/>
    <s v="0090000035"/>
    <s v="Internal Audit"/>
    <s v="2000CS"/>
    <s v="20055068"/>
    <s v="Dilip Oommen"/>
    <s v="No"/>
    <s v="nilesh.likhite@amns.in"/>
    <s v="9820049811"/>
    <s v="816692"/>
    <s v="Dhruv Vyas"/>
    <s v="Anil Matoo"/>
    <s v="Praveen Kuruvalli"/>
    <s v="Dhruv Vyas"/>
    <n v="0"/>
  </r>
  <r>
    <n v="3814"/>
    <n v="20055493"/>
    <s v="Ramanathan Rajagopalan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EM Sales"/>
    <m/>
    <s v="South"/>
    <s v="Auto"/>
    <s v=""/>
    <s v="Non Technical Support"/>
    <s v="Sales &amp; Marketing"/>
    <s v="Sales"/>
    <s v="73104004"/>
    <s v="OEM Sales"/>
    <s v="Chennai"/>
    <d v="1996-05-24T00:00:00"/>
    <s v="27.03"/>
    <d v="2021-01-01T00:00:00"/>
    <d v="2054-05-31T00:00:00"/>
    <m/>
    <d v="2054-05-31T00:00:00"/>
    <n v="11211"/>
    <s v="A+"/>
    <s v="BE-2017 , Intermediate-2013 , High Schoo"/>
    <s v="03.04"/>
    <s v="02.08"/>
    <s v="06.00"/>
    <s v="00052470"/>
    <s v="Automotive Sales - Chennai"/>
    <s v="70495378"/>
    <s v="Sales Manager"/>
    <s v="Hazira"/>
    <s v="0031950057"/>
    <s v="HZ-HRC - Marketing"/>
    <s v="2000HWO"/>
    <s v="20053562"/>
    <s v="Shankar Murugan"/>
    <s v="No"/>
    <s v="ramanathan.r@amns.in"/>
    <s v="9884923782"/>
    <s v="25496"/>
    <s v="Dhruv Vyas"/>
    <s v="Anil Matoo"/>
    <s v="Praveen Kuruvalli"/>
    <s v="Dhruv Vyas"/>
    <n v="0"/>
  </r>
  <r>
    <n v="3815"/>
    <n v="20055494"/>
    <s v="Vikas Soni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– Direct Taxation"/>
    <m/>
    <s v="Taxation"/>
    <s v="Direct - Taxation"/>
    <s v=""/>
    <s v="Non Technical Support"/>
    <s v="Finance &amp; Accounts"/>
    <s v="Taxation"/>
    <s v="73904001"/>
    <s v="Direct Taxation"/>
    <s v="Mumbai"/>
    <d v="1982-08-03T00:00:00"/>
    <s v="41.01"/>
    <d v="2021-01-08T00:00:00"/>
    <d v="2040-08-31T00:00:00"/>
    <m/>
    <d v="2040-08-31T00:00:00"/>
    <n v="6190"/>
    <s v="O+"/>
    <s v="BCom-2002 , CA Final-2005 , High School-"/>
    <s v="16.06"/>
    <s v="02.08"/>
    <s v="19.01"/>
    <s v="70495368"/>
    <s v="Direct Taxation"/>
    <s v="70495369"/>
    <s v="Head – Direct Taxation"/>
    <s v="Corporate"/>
    <s v="0090000033"/>
    <s v="Corporate Taxation"/>
    <s v="2000CS"/>
    <s v="20055193"/>
    <s v="Anuprita Kaushik Mehta"/>
    <s v="No"/>
    <s v="vikas.soni@amns.in"/>
    <s v="9892668935"/>
    <s v="818985"/>
    <s v="Dhruv Vyas"/>
    <s v="Anil Matoo"/>
    <s v="Praveen Kuruvalli"/>
    <s v="Dhruv Vyas"/>
    <n v="0"/>
  </r>
  <r>
    <n v="3818"/>
    <n v="20055503"/>
    <s v="Gajendra Parihar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– HRC Store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89-12-10T00:00:00"/>
    <s v="33.09"/>
    <d v="2021-01-15T00:00:00"/>
    <d v="2047-12-31T00:00:00"/>
    <m/>
    <d v="2047-12-31T00:00:00"/>
    <n v="8868"/>
    <s v="O+"/>
    <s v="BTech-2013 , Diploma-2009 , SSLC-2006"/>
    <s v="08.08"/>
    <s v="02.08"/>
    <s v="11.03"/>
    <s v="00053278"/>
    <s v="GRN/Documentation/Issue - Plant A"/>
    <s v="70495401"/>
    <s v="Section Officer – HRC Store"/>
    <s v="Hazira"/>
    <s v="0031950049"/>
    <s v="HZ-Central Stores"/>
    <s v="2000HWO"/>
    <s v="20002587"/>
    <s v="Seema Mehta"/>
    <s v="No"/>
    <s v="gajendra.parihar@amns.in"/>
    <s v="7486019908"/>
    <s v="818988"/>
    <s v="Dhruv Vyas"/>
    <s v="Anil Matoo"/>
    <s v="Praveen Kuruvalli"/>
    <s v="Dhruv Vyas"/>
    <n v="0"/>
  </r>
  <r>
    <n v="3819"/>
    <n v="20055504"/>
    <s v="Vivek Choudhary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 – F&amp;A Hypermart &amp; Service Centre"/>
    <m/>
    <s v="Working Capital"/>
    <s v="Service Centers"/>
    <s v=""/>
    <s v="Non Technical Support"/>
    <s v="Finance &amp; Accounts"/>
    <s v="Finance &amp; Accounts"/>
    <s v="73901001"/>
    <s v="Finance &amp; Accounts"/>
    <s v="AM/NS Hazira"/>
    <d v="1991-09-21T00:00:00"/>
    <s v="32.00"/>
    <d v="2021-01-18T00:00:00"/>
    <d v="2049-09-30T00:00:00"/>
    <m/>
    <d v="2049-09-30T00:00:00"/>
    <n v="9507"/>
    <s v="O+"/>
    <s v="MBA-2019 , CA Final-2014 , High School-2"/>
    <s v="06.05"/>
    <s v="02.08"/>
    <s v="09.00"/>
    <s v="70495565"/>
    <s v="F&amp;A Hypermart &amp; Service Centre"/>
    <s v="70495413"/>
    <s v="Head – F&amp;A Hypermart &amp; Service Centre"/>
    <s v="Hazira"/>
    <s v="0040000000"/>
    <s v="SC - Common"/>
    <s v="2000HWO"/>
    <s v="20055188"/>
    <s v="Rohit Sharma"/>
    <s v="No"/>
    <s v="vivek.choudhary@amns.in"/>
    <s v="7486019909"/>
    <s v="818990"/>
    <s v="Dhruv Vyas"/>
    <s v="Anil Matoo"/>
    <s v="Praveen Kuruvalli"/>
    <s v="Dhruv Vyas"/>
    <n v="0"/>
  </r>
  <r>
    <n v="3827"/>
    <n v="20055515"/>
    <s v="Manoj Raut"/>
    <s v="AM/NS India"/>
    <s v="Onroll"/>
    <s v="M-5"/>
    <n v="5"/>
    <m/>
    <s v="MM"/>
    <s v="M"/>
    <s v="Odisha"/>
    <n v="2"/>
    <s v="2039"/>
    <x v="2"/>
    <s v="43.01"/>
    <s v="Sangeeta Munjal"/>
    <s v="Manu Kapoor"/>
    <n v="10"/>
    <s v="Corporate Affairs"/>
    <s v="Corporate Affairs"/>
    <s v="43"/>
    <s v="Sr. Lead - Corporate Affairs"/>
    <m/>
    <s v="Corporate Affairs"/>
    <s v="Corporate Affairs"/>
    <s v="Corporate Affairs"/>
    <s v="Non Technical Support"/>
    <s v="Corporate Relations"/>
    <s v="Corporate Affairs"/>
    <s v="74501001"/>
    <s v="Corporate Affairs"/>
    <s v="Bhubaneswar"/>
    <d v="1974-07-13T00:00:00"/>
    <s v="49.02"/>
    <d v="2021-01-30T00:00:00"/>
    <d v="2032-07-31T00:00:00"/>
    <m/>
    <d v="2032-07-31T00:00:00"/>
    <n v="3237"/>
    <s v="O-"/>
    <s v="BE-2005 , Diploma-1997 , High School-198"/>
    <s v=""/>
    <s v="02.07"/>
    <s v="02.07"/>
    <s v="70495564"/>
    <s v="Corporate Affairs - Odisha"/>
    <s v="70495454"/>
    <s v="Sr. Lead Corporate Affairs"/>
    <s v="Odisha"/>
    <s v="0022030019"/>
    <s v="PDP-HR &amp; Admn"/>
    <s v="2000STORIS"/>
    <s v="20056422"/>
    <s v="Suparna Nanda"/>
    <s v="No"/>
    <s v="manoj.raut@amns.in"/>
    <s v="7682814750"/>
    <s v="819629"/>
    <s v="Sunila Das"/>
    <s v="Anil Matoo"/>
    <s v="Praveen Kuruvalli"/>
    <s v="Sunila Das"/>
    <n v="0"/>
  </r>
  <r>
    <n v="3829"/>
    <n v="20055517"/>
    <s v="Diptakshya Banerjee"/>
    <s v="AM/NS India"/>
    <s v="Onroll"/>
    <s v="M-7"/>
    <n v="7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Lead - Procurement &amp; Stores"/>
    <m/>
    <s v="Procurement"/>
    <s v="Procurement"/>
    <s v=""/>
    <s v="Non Technical Support"/>
    <s v="Commercial"/>
    <s v="Purchase"/>
    <s v="73804001"/>
    <s v="Purchase"/>
    <s v="Paradeep"/>
    <d v="1984-10-17T00:00:00"/>
    <s v="38.11"/>
    <d v="2021-01-30T00:00:00"/>
    <d v="2042-10-31T00:00:00"/>
    <m/>
    <d v="2042-10-31T00:00:00"/>
    <n v="6981"/>
    <s v="A+"/>
    <s v="MBA-2010 , BCom-2007 , Intermediate-2004"/>
    <s v=""/>
    <s v="02.07"/>
    <s v="02.07"/>
    <s v="70407583"/>
    <s v="Procurement - Odisha Asset"/>
    <s v="70495456"/>
    <s v="Lead - Procurement &amp; Stores"/>
    <s v="Odisha"/>
    <s v="0022030019"/>
    <s v="PDP-HR &amp; Admn"/>
    <s v="2000STORIS"/>
    <s v="20055692"/>
    <s v="Rajiv Ranjan"/>
    <s v="No"/>
    <s v="diptakshya.banerjee@amns.in"/>
    <s v="8718809224"/>
    <s v="819631"/>
    <s v="Sunila Das"/>
    <s v="Anil Matoo"/>
    <s v="Praveen Kuruvalli"/>
    <s v="Sunila Das"/>
    <n v="0"/>
  </r>
  <r>
    <n v="3836"/>
    <n v="20055527"/>
    <s v="Agnikant Mishra"/>
    <s v="AM/NS India"/>
    <s v="Onroll"/>
    <s v="M-7"/>
    <n v="7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Finance &amp; Accounts"/>
    <m/>
    <s v="Odisha Operations"/>
    <s v=""/>
    <s v=""/>
    <s v="Non Technical Support"/>
    <s v="Finance &amp; Accounts"/>
    <s v="Finance &amp; Accounts"/>
    <s v="73901001"/>
    <s v="Finance &amp; Accounts"/>
    <s v="Dabuna"/>
    <d v="1967-12-18T00:00:00"/>
    <s v="55.09"/>
    <d v="2021-01-30T00:00:00"/>
    <d v="2025-12-31T00:00:00"/>
    <m/>
    <d v="2025-12-31T00:00:00"/>
    <n v="833"/>
    <s v="B+"/>
    <s v="ICWA Final-1998 , High School-1984"/>
    <s v=""/>
    <s v="02.07"/>
    <s v="02.07"/>
    <s v="72150243"/>
    <s v="Accounts Payable"/>
    <s v="70495466"/>
    <s v="Lead Finance &amp; Accounts"/>
    <s v="Odisha"/>
    <s v="0022030019"/>
    <s v="PDP-HR &amp; Admn"/>
    <s v="2000STORIS"/>
    <s v="20001076"/>
    <s v="Bhavesh Modi"/>
    <s v="No"/>
    <s v="agnikant.mishra@amns.in"/>
    <s v="7077718332"/>
    <s v="819641"/>
    <s v="Sunila Das"/>
    <s v="Anil Matoo"/>
    <s v="Praveen Kuruvalli"/>
    <s v="Sunila Das"/>
    <n v="0"/>
  </r>
  <r>
    <n v="3863"/>
    <n v="20055561"/>
    <s v="Rahul Sahu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 Refractory"/>
    <m/>
    <s v="Procurement MRO Hazira"/>
    <s v="Procurement"/>
    <s v=""/>
    <s v="Non Technical Support"/>
    <s v="Commercial"/>
    <s v="Procurement"/>
    <s v="73803001"/>
    <s v="Procurement"/>
    <s v="AM/NS Hazira"/>
    <d v="1985-04-07T00:00:00"/>
    <s v="38.05"/>
    <d v="2021-01-29T00:00:00"/>
    <d v="2043-04-30T00:00:00"/>
    <m/>
    <d v="2043-04-30T00:00:00"/>
    <n v="7162"/>
    <s v="A+"/>
    <s v="PG Diploma-2019 , PG Diploma-2011 , BE-2"/>
    <s v="13.00"/>
    <s v="02.07"/>
    <s v="15.08"/>
    <s v="00044543"/>
    <s v="Procurement -Refractory"/>
    <s v="70495552"/>
    <s v="Lead - Pro Refractory"/>
    <s v="Hazira"/>
    <s v="0031950048"/>
    <s v="HZ-Procurment Depart"/>
    <s v="2000HWO"/>
    <s v="20008647"/>
    <s v="Alpesh Hirpara"/>
    <s v="No"/>
    <s v="rahul.sahu@amns.in"/>
    <s v="7486019925"/>
    <s v="819619"/>
    <s v="Dhruv Vyas"/>
    <s v="Anil Matoo"/>
    <s v="Praveen Kuruvalli"/>
    <s v="Dhruv Vyas"/>
    <n v="0"/>
  </r>
  <r>
    <n v="3881"/>
    <n v="20055590"/>
    <s v="Mehul Thakkar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Performance Management"/>
    <m/>
    <s v="Capex Finance"/>
    <s v="Capex Finance"/>
    <s v=""/>
    <s v="Non Technical Support"/>
    <s v="Finance &amp; Accounts"/>
    <s v="Costing"/>
    <s v="73906001"/>
    <s v="Costing"/>
    <s v="AM/NS Hazira"/>
    <d v="1993-08-19T00:00:00"/>
    <s v="30.01"/>
    <d v="2021-03-16T00:00:00"/>
    <d v="2051-08-31T00:00:00"/>
    <m/>
    <d v="2051-08-31T00:00:00"/>
    <n v="10207"/>
    <s v="B+"/>
    <s v="CA Final-2015 , BCom-2013 , Intermediate"/>
    <s v="05.10"/>
    <s v="02.06"/>
    <s v="08.04"/>
    <s v="00045912"/>
    <s v="Capex - Finance"/>
    <s v="70495618"/>
    <s v="Lead – Performance Management"/>
    <s v="Hazira"/>
    <s v="0090000038"/>
    <s v="CAPEX FINANCE"/>
    <s v="2000HWO"/>
    <s v="20055143"/>
    <s v="Naoki Shimazaki"/>
    <s v="No"/>
    <s v="mehul.thakkar@amns.in"/>
    <s v="7486036179"/>
    <s v="826411"/>
    <s v="Dhruv Vyas"/>
    <s v="Anil Matoo"/>
    <s v="Praveen Kuruvalli"/>
    <s v="Dhruv Vyas"/>
    <n v="0"/>
  </r>
  <r>
    <n v="3882"/>
    <n v="20055591"/>
    <s v="Amol Gaurkar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HSM &amp; CSP MIS"/>
    <m/>
    <s v="Procurement MRO Hazira"/>
    <s v="Procurement"/>
    <s v=""/>
    <s v="Non Technical Support"/>
    <s v="Commercial"/>
    <s v="Procurement"/>
    <s v="73803001"/>
    <s v="Procurement"/>
    <s v="AM/NS Hazira"/>
    <d v="1985-05-27T00:00:00"/>
    <s v="38.03"/>
    <d v="2021-03-22T00:00:00"/>
    <d v="2043-05-31T00:00:00"/>
    <m/>
    <d v="2043-05-31T00:00:00"/>
    <n v="7193"/>
    <s v="B+"/>
    <s v="Certificate-2013 , Post Diploma Course-2"/>
    <s v="12.11"/>
    <s v="02.06"/>
    <s v="15.04"/>
    <s v="70072410"/>
    <s v="Rolling &amp; Finishing including CRM, Plate"/>
    <s v="70495621"/>
    <s v="Lead – Proc HSM &amp; CSP MIS"/>
    <s v="Hazira"/>
    <s v="0031950048"/>
    <s v="HZ-Procurment Depart"/>
    <s v="2000HWO"/>
    <s v="20002323"/>
    <s v="Balaji Somvanshi"/>
    <s v="No"/>
    <s v="amol.gaurkar@amns.in"/>
    <s v="7486036183"/>
    <s v="827588"/>
    <s v="Dhruv Vyas"/>
    <s v="Anil Matoo"/>
    <s v="Praveen Kuruvalli"/>
    <s v="Dhruv Vyas"/>
    <n v="0"/>
  </r>
  <r>
    <n v="3883"/>
    <n v="20055592"/>
    <s v="Nisha Jotwani"/>
    <s v="AM/NS India"/>
    <s v="Onroll"/>
    <s v="M-6"/>
    <n v="6"/>
    <m/>
    <s v="MM"/>
    <s v="F"/>
    <s v="Hazira"/>
    <n v="1"/>
    <s v="2270"/>
    <x v="25"/>
    <s v="38.01"/>
    <s v="Hrishikesh Kamat"/>
    <s v="Hrishikesh Kamat"/>
    <n v="7"/>
    <s v="Procurement"/>
    <s v="Logistics"/>
    <s v="38"/>
    <s v="Sr. Lead – Container Business"/>
    <m/>
    <s v="Logistics"/>
    <s v="Logistics"/>
    <s v=""/>
    <s v="Non Technical Support"/>
    <s v="Commercial"/>
    <s v="Procurement"/>
    <s v="73803001"/>
    <s v="Procurement"/>
    <s v="AM/NS Hazira"/>
    <d v="1971-09-08T00:00:00"/>
    <s v="52.00"/>
    <d v="2021-03-21T00:00:00"/>
    <d v="2029-09-30T00:00:00"/>
    <m/>
    <d v="2029-09-30T00:00:00"/>
    <n v="2202"/>
    <s v="B+"/>
    <s v="PG Diploma-1999 , BCom-1992 , Intermedia"/>
    <s v="10.06"/>
    <s v="02.06"/>
    <s v="13.00"/>
    <s v="70495712"/>
    <s v="Logistics"/>
    <s v="70495622"/>
    <s v="Sr. Lead – Container Business"/>
    <s v="Hazira"/>
    <s v="0031950053"/>
    <s v="HZ-Logistics"/>
    <s v="2000HWO"/>
    <s v="20055688"/>
    <s v="Vibhavana Jaiswal"/>
    <s v="No"/>
    <s v="nisha.jotwani@amns.in"/>
    <s v="9879103138"/>
    <s v="827587"/>
    <s v="Dhruv Vyas"/>
    <s v="Anil Matoo"/>
    <s v="Praveen Kuruvalli"/>
    <s v="Dhruv Vyas"/>
    <n v="0"/>
  </r>
  <r>
    <n v="3889"/>
    <n v="20055601"/>
    <s v="Dipankar Pati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r. Lead  - Proc Ferro Alloys"/>
    <m/>
    <s v="Procurement MRO Hazira"/>
    <s v="Procurement"/>
    <s v=""/>
    <s v="Non Technical Support"/>
    <s v="Operations"/>
    <s v="Plant Maintenance"/>
    <s v="72103008"/>
    <s v="Mechanical Maintenance"/>
    <s v="AM/NS Hazira"/>
    <d v="1984-05-02T00:00:00"/>
    <s v="39.04"/>
    <d v="2021-03-30T00:00:00"/>
    <d v="2042-05-31T00:00:00"/>
    <m/>
    <d v="2042-05-31T00:00:00"/>
    <n v="6828"/>
    <s v="O+"/>
    <s v="BE-2006 , Intermediate-2001 , SSLC-1999"/>
    <s v="14.08"/>
    <s v="02.05"/>
    <s v="17.02"/>
    <s v="00044542"/>
    <s v="Procurement -Ferroalloys"/>
    <s v="70495663"/>
    <s v="Sr. Lead  - Proc Ferro Alloys"/>
    <s v="Hazira"/>
    <s v="0031950048"/>
    <s v="HZ-Procurment Depart"/>
    <s v="2000HWO"/>
    <s v="20001370"/>
    <s v="Tejas Desai"/>
    <s v="No"/>
    <s v="dipankar.pati@amns.in"/>
    <s v="9938250251"/>
    <s v="828737"/>
    <s v="Dhruv Vyas"/>
    <s v="Anil Matoo"/>
    <s v="Praveen Kuruvalli"/>
    <s v="Dhruv Vyas"/>
    <n v="0"/>
  </r>
  <r>
    <n v="3892"/>
    <n v="20055609"/>
    <s v="Santosh Shankar Tandale"/>
    <s v="AM/NS India"/>
    <s v="Onroll"/>
    <s v="M-7"/>
    <n v="7"/>
    <m/>
    <s v="MM"/>
    <s v="M"/>
    <s v="Hazira"/>
    <n v="1"/>
    <s v="2715"/>
    <x v="13"/>
    <s v="37.01"/>
    <s v="Aruni Mishra"/>
    <s v="Hrishikesh Kamat"/>
    <n v="7"/>
    <s v="Procurement"/>
    <s v="Secondary Sales"/>
    <s v="37"/>
    <s v="Lead - by Product Sales"/>
    <m/>
    <s v="Secondary Sales, Non Steel"/>
    <s v="Secondary Sales, Non Steel"/>
    <s v=""/>
    <s v="Non Technical Support"/>
    <s v="Operations"/>
    <s v="Operations"/>
    <s v="72103001"/>
    <s v="Operations"/>
    <s v="Hazira"/>
    <d v="1986-12-25T00:00:00"/>
    <s v="36.08"/>
    <d v="2021-04-14T00:00:00"/>
    <d v="2044-12-31T00:00:00"/>
    <m/>
    <d v="2044-12-31T00:00:00"/>
    <n v="7773"/>
    <s v="O+"/>
    <s v="MBA-2015 , BCom-2007 , Intermediate-2004"/>
    <s v="14.00"/>
    <s v="02.05"/>
    <s v="16.05"/>
    <s v="00049357"/>
    <s v="Secondary Sales"/>
    <s v="70495667"/>
    <s v="Lead - by Product Sales"/>
    <s v="Hazira"/>
    <s v="0080000006"/>
    <s v="Secondary Sales - In"/>
    <s v="2000HWO"/>
    <s v="20055763"/>
    <s v="Debashis Mohapatra"/>
    <s v="No"/>
    <s v="santosh.tandale@amns.in"/>
    <s v="9881009973"/>
    <s v="831583"/>
    <s v="Dhruv Vyas"/>
    <s v="Anil Matoo"/>
    <s v="Praveen Kuruvalli"/>
    <s v="Dhruv Vyas"/>
    <n v="0"/>
  </r>
  <r>
    <n v="3894"/>
    <n v="20055611"/>
    <s v="Sunila Kumar Das"/>
    <s v="AM/NS India"/>
    <s v="Onroll"/>
    <s v="M-6"/>
    <n v="6"/>
    <m/>
    <s v="MM"/>
    <s v="M"/>
    <s v="Odisha"/>
    <n v="2"/>
    <s v="2015"/>
    <x v="1"/>
    <s v="22.06"/>
    <s v="Anil Matoo"/>
    <s v="Ashutosh Telang"/>
    <n v="6"/>
    <s v="HR &amp; Administration"/>
    <s v="Human Resources"/>
    <s v="22"/>
    <s v="Head Human Resources"/>
    <m/>
    <s v="Human Resources"/>
    <s v=""/>
    <s v=""/>
    <s v="Non Technical Support"/>
    <s v="Human Resources Management"/>
    <s v="Human Resources Management"/>
    <s v="73501001"/>
    <s v="Human Resources"/>
    <s v="Paradeep"/>
    <d v="1978-06-22T00:00:00"/>
    <s v="45.03"/>
    <d v="2021-04-15T00:00:00"/>
    <d v="2036-06-30T00:00:00"/>
    <m/>
    <d v="2036-06-30T00:00:00"/>
    <n v="4667"/>
    <s v="O+"/>
    <s v="MA-2004 , BA-2002 , Intermediate-1995 ,"/>
    <s v="06.03"/>
    <s v="02.05"/>
    <s v="08.08"/>
    <s v="70495430"/>
    <s v="Odisha HR Operations"/>
    <s v="70495669"/>
    <s v="Head Human Resources"/>
    <s v="Odisha"/>
    <s v="0022030019"/>
    <s v="PDP-HR &amp; Admn"/>
    <s v="2000STORIS"/>
    <s v="20000083"/>
    <s v="Anil Matoo"/>
    <s v="No"/>
    <s v="sunila.das@amns.in"/>
    <s v="9040066834"/>
    <s v="831585"/>
    <s v="Sunila Das"/>
    <s v="Anil Matoo"/>
    <s v="Praveen Kuruvalli"/>
    <s v="Sunila Das"/>
    <n v="0"/>
  </r>
  <r>
    <n v="3937"/>
    <n v="20055659"/>
    <s v="Quazi Shahzad"/>
    <s v="AM/NS Middle East FZE"/>
    <s v="Onroll"/>
    <s v="M-6"/>
    <n v="6"/>
    <m/>
    <s v="MM"/>
    <s v="M"/>
    <s v="Dubai"/>
    <n v="10"/>
    <s v="2502"/>
    <x v="10"/>
    <s v="14.01"/>
    <s v="Ranjan Dhar"/>
    <s v="Alain Legrix De La Salle"/>
    <n v="3"/>
    <s v="Sales &amp; Marketing"/>
    <s v="Sales &amp; Marketing"/>
    <s v="14"/>
    <s v="Dy. General Manager - Sales &amp; Marketing"/>
    <m/>
    <s v="Sales ME"/>
    <s v="Sales ME"/>
    <s v=""/>
    <s v=""/>
    <s v="Sales &amp; Marketing"/>
    <s v="Sales &amp; Marketing"/>
    <s v="73101001"/>
    <s v="Sales &amp; Marketing"/>
    <s v="Dubai"/>
    <d v="1972-11-10T00:00:00"/>
    <s v="50.10"/>
    <d v="2011-01-18T00:00:00"/>
    <d v="2030-11-30T00:00:00"/>
    <m/>
    <d v="2030-11-30T00:00:00"/>
    <n v="2628"/>
    <s v="AB+"/>
    <s v="MBA-1998 , BE-1996"/>
    <s v="13.01"/>
    <s v="12.08"/>
    <s v="25.09"/>
    <s v="70495379"/>
    <s v="Chief Marketing Officer - AMNS ME FZE"/>
    <s v="70495719"/>
    <s v="Sr. Lead Sales ME"/>
    <s v="AMNS Middle East FZE"/>
    <s v="0093720082"/>
    <s v="SC-Dubai-Marketing"/>
    <s v="DUBA2081"/>
    <s v="20055663"/>
    <s v="Karamath Syed"/>
    <s v="No"/>
    <s v="shahzad.quazi@amns.in"/>
    <s v="971566556275"/>
    <s v="25045"/>
    <s v="Dhruv Vyas"/>
    <s v="Anil Matoo"/>
    <s v="Praveen Kuruvalli"/>
    <n v="0"/>
    <n v="0"/>
  </r>
  <r>
    <n v="3938"/>
    <n v="20055660"/>
    <s v="Mohammed Rasheed"/>
    <s v="AM/NS Middle East FZE"/>
    <s v="Onroll"/>
    <s v="M-9"/>
    <n v="9"/>
    <m/>
    <s v="JM"/>
    <s v="M"/>
    <s v="Dubai"/>
    <n v="10"/>
    <m/>
    <x v="10"/>
    <s v="25.01"/>
    <s v="Bibek Chattopadhyay"/>
    <s v="Ashutosh Telang"/>
    <n v="6"/>
    <s v="HR &amp; Administration"/>
    <s v="Corporate Communications"/>
    <s v="25"/>
    <s v="Sales Planning"/>
    <m/>
    <m/>
    <m/>
    <m/>
    <s v="Non Technical Support"/>
    <s v="Sales &amp; Marketing"/>
    <s v="Sales &amp; Marketing"/>
    <s v="73101001"/>
    <s v="Sales &amp; Marketing"/>
    <s v="Dubai"/>
    <d v="1979-12-26T00:00:00"/>
    <s v="43.08"/>
    <d v="2010-03-06T00:00:00"/>
    <d v="2037-12-31T00:00:00"/>
    <m/>
    <d v="2037-12-31T00:00:00"/>
    <n v="5216"/>
    <s v="O+"/>
    <s v="Bachelor Equivalent-2016"/>
    <s v="03.00"/>
    <s v="13.06"/>
    <s v="16.06"/>
    <s v="70495379"/>
    <s v="Chief Marketing Officer - AMNS ME FZE"/>
    <s v="70495720"/>
    <s v="Lead - Sales Planning ME"/>
    <s v="AMNS Middle East FZE"/>
    <s v="0093720082"/>
    <s v="SC-Dubai-Marketing"/>
    <s v="DUBA2081"/>
    <s v="20055663"/>
    <s v="Karamath Syed"/>
    <s v="No"/>
    <s v="rasheed.mohamed@amns.in"/>
    <s v="971507422862"/>
    <s v="25044"/>
    <s v="Dhruv Vyas"/>
    <s v="Anil Matoo"/>
    <s v="Praveen Kuruvalli"/>
    <s v="Dhruv Vyas"/>
    <n v="0"/>
  </r>
  <r>
    <n v="3939"/>
    <n v="20055661"/>
    <s v="Vijay Upadhyay"/>
    <s v="AM/NS Middle East FZE"/>
    <s v="Onroll"/>
    <s v="M-7"/>
    <n v="7"/>
    <m/>
    <s v="MM"/>
    <s v="M"/>
    <s v="Dubai"/>
    <n v="10"/>
    <s v="2504"/>
    <x v="0"/>
    <s v="20.01"/>
    <s v="Akiyo Omori"/>
    <s v="Amit Harlalka"/>
    <n v="5"/>
    <s v="Finance &amp; Accounts"/>
    <s v="Finance &amp; Accounts"/>
    <s v="20"/>
    <s v="Sr. Lead - Finance &amp; Accounts"/>
    <m/>
    <s v=""/>
    <s v=""/>
    <s v=""/>
    <s v="Non Technical Support"/>
    <s v="Sales &amp; Marketing"/>
    <s v="Sales &amp; Marketing"/>
    <s v="73101001"/>
    <s v="Sales &amp; Marketing"/>
    <s v="Dubai"/>
    <d v="1974-09-20T00:00:00"/>
    <s v="49.00"/>
    <d v="2014-08-11T00:00:00"/>
    <d v="2032-09-30T00:00:00"/>
    <m/>
    <d v="2032-09-30T00:00:00"/>
    <n v="3298"/>
    <s v="B+"/>
    <s v="CA Final-1998 , BCom-1994"/>
    <s v="11.11"/>
    <s v="09.01"/>
    <s v="21.00"/>
    <s v="70495379"/>
    <s v="Chief Marketing Officer - AMNS ME FZE"/>
    <s v="70495721"/>
    <s v="Sr. Lead - Finance &amp; Accounts"/>
    <s v="AMNS Middle East FZE"/>
    <s v="0093720082"/>
    <s v="SC-Dubai-Marketing"/>
    <s v="DUBA2081"/>
    <s v="20055663"/>
    <s v="Karamath Syed"/>
    <s v="No"/>
    <s v="vijay.upadhyay@amns.in"/>
    <s v="+971 506581757"/>
    <s v="25047"/>
    <s v="Dhruv Vyas"/>
    <s v="Anil Matoo"/>
    <s v="Praveen Kuruvalli"/>
    <s v="Dhruv Vyas"/>
    <n v="0"/>
  </r>
  <r>
    <n v="3947"/>
    <n v="20055672"/>
    <s v="Shailja Tripathi"/>
    <s v="AM/NS India"/>
    <s v="Onroll"/>
    <s v="M-5"/>
    <n v="5"/>
    <m/>
    <s v="MM"/>
    <s v="F"/>
    <s v="Corporate"/>
    <n v="7"/>
    <s v="2015"/>
    <x v="1"/>
    <s v="22.06"/>
    <s v="Praveen Kuruvalli"/>
    <s v="Ashutosh Telang"/>
    <n v="6"/>
    <s v="HR &amp; Administration"/>
    <s v="Human Resources"/>
    <s v="22"/>
    <s v="Sr. Lead - Compensation &amp; Benefits"/>
    <m/>
    <s v="Human Resources"/>
    <s v=""/>
    <s v=""/>
    <s v="Non Technical Support"/>
    <s v="Human Resources Management"/>
    <s v="Human Resources Management"/>
    <s v="73501001"/>
    <s v="Human Resources"/>
    <s v="Mumbai"/>
    <d v="1983-12-25T00:00:00"/>
    <s v="39.08"/>
    <d v="2021-05-04T00:00:00"/>
    <d v="2041-12-31T00:00:00"/>
    <m/>
    <d v="2041-12-31T00:00:00"/>
    <n v="6677"/>
    <s v="B+"/>
    <s v="PG Diploma in Management-2007 , BE-2005"/>
    <s v="11.00"/>
    <s v="02.04"/>
    <s v="13.04"/>
    <s v="00044377"/>
    <s v="Compensation &amp; Benefits"/>
    <s v="70495735"/>
    <s v="Sr. Lead - Compensation &amp; Benefits"/>
    <s v="Corporate"/>
    <s v="0031950061"/>
    <s v="HZ-Human Resource"/>
    <s v="2000CS"/>
    <s v="20055483"/>
    <s v="Praveen Kuruvalli"/>
    <s v="No"/>
    <s v="shailja.tripathi@amns.in"/>
    <s v="9650975511"/>
    <s v="834807"/>
    <s v="Dhruv Vyas"/>
    <s v="Anil Matoo"/>
    <s v="Praveen Kuruvalli"/>
    <s v="Dhruv Vyas"/>
    <n v="0"/>
  </r>
  <r>
    <n v="3951"/>
    <n v="20055678"/>
    <s v="Ashish Kaushik"/>
    <s v="AM/NS India"/>
    <s v="Onroll"/>
    <s v="M-7"/>
    <n v="7"/>
    <m/>
    <s v="MM"/>
    <s v="M"/>
    <s v="Corporate"/>
    <n v="7"/>
    <s v="2069"/>
    <x v="8"/>
    <s v="25.01"/>
    <s v="Bibek Chattopadhyay"/>
    <s v="Ashutosh Telang"/>
    <n v="6"/>
    <s v="HR &amp; Administration"/>
    <s v="Corporate Communications"/>
    <s v="25"/>
    <s v="Lead - Corporate Communication"/>
    <m/>
    <s v="Corporate Communications"/>
    <s v=""/>
    <s v=""/>
    <s v="Non Technical Support"/>
    <s v="Corporate Communication"/>
    <s v="Corporate Communication"/>
    <s v="74001001"/>
    <s v="Corporate Communication"/>
    <s v="Mumbai"/>
    <d v="1992-03-20T00:00:00"/>
    <s v="31.06"/>
    <d v="2021-05-03T00:00:00"/>
    <d v="2050-03-31T00:00:00"/>
    <m/>
    <d v="2050-03-31T00:00:00"/>
    <n v="9689"/>
    <s v="O+"/>
    <s v="MBA-2016 , BE-2014 , Intermediate-2009 ,"/>
    <s v="04.11"/>
    <s v="02.04"/>
    <s v="07.03"/>
    <s v="70318583"/>
    <s v="Communications &amp; Media Relations"/>
    <s v="70494528"/>
    <s v="Lead - Corporate Communications"/>
    <s v="Corporate"/>
    <s v="0090000016"/>
    <s v="Corporate Steel - Co"/>
    <s v="2000CS"/>
    <s v="20055187"/>
    <s v="Bibek Chattopadhyay"/>
    <s v="No"/>
    <s v="ashish.kaushik@amns.in"/>
    <s v="8800781166"/>
    <s v="832731"/>
    <s v="Dhruv Vyas"/>
    <s v="Anil Matoo"/>
    <s v="Praveen Kuruvalli"/>
    <s v="Dhruv Vyas"/>
    <n v="0"/>
  </r>
  <r>
    <n v="3954"/>
    <n v="20055682"/>
    <s v="Umashankar Rao"/>
    <s v="AM/NS India"/>
    <s v="Onroll"/>
    <s v="M-7"/>
    <n v="7"/>
    <m/>
    <s v="MM"/>
    <s v="M"/>
    <s v="Corporate"/>
    <n v="7"/>
    <s v="2043"/>
    <x v="3"/>
    <s v="31.01"/>
    <s v="Hrishikesh Kamat"/>
    <s v="Hrishikesh Kamat"/>
    <n v="7"/>
    <s v="Procurement"/>
    <s v="Procurement"/>
    <s v="31"/>
    <s v="Program Manager – Procurement"/>
    <m/>
    <s v="Procurement"/>
    <s v="Procurement"/>
    <s v=""/>
    <s v="Non Technical Support"/>
    <s v="Commercial"/>
    <s v="Procurement"/>
    <s v="73803001"/>
    <s v="Procurement"/>
    <s v="Mumbai"/>
    <d v="1986-10-10T00:00:00"/>
    <s v="36.11"/>
    <d v="2021-05-05T00:00:00"/>
    <d v="2044-10-31T00:00:00"/>
    <m/>
    <d v="2044-10-31T00:00:00"/>
    <n v="7712"/>
    <s v="A+"/>
    <s v="BTech-2008 , Intermediate-2003 , SSLC-20"/>
    <s v="16.03"/>
    <s v="02.04"/>
    <s v="18.07"/>
    <s v="00045894"/>
    <s v="Blacks"/>
    <s v="70495741"/>
    <s v="Program Manager – Procurement"/>
    <s v="Corporate"/>
    <s v="0031950059"/>
    <s v="HZ-Hazira Project"/>
    <s v="2000CS"/>
    <s v="20001577"/>
    <s v="Prakash Thakur"/>
    <s v="No"/>
    <s v="umashankar.rao@amns.in"/>
    <s v="7898336863"/>
    <s v="834844"/>
    <s v="Dhruv Vyas"/>
    <s v="Anil Matoo"/>
    <s v="Praveen Kuruvalli"/>
    <s v="Dhruv Vyas"/>
    <n v="0"/>
  </r>
  <r>
    <n v="3955"/>
    <n v="20055683"/>
    <s v="Ch.M.V.S.N. Durga Prasad"/>
    <s v="AM/NS India"/>
    <s v="Onroll"/>
    <s v="M-9"/>
    <n v="9"/>
    <m/>
    <s v="JM"/>
    <s v="M"/>
    <s v="Vizag"/>
    <n v="3"/>
    <s v="2013"/>
    <x v="0"/>
    <s v="20.01"/>
    <s v="Akiyo Omori"/>
    <s v="Amit Harlalka"/>
    <n v="5"/>
    <s v="Finance &amp; Accounts"/>
    <s v="Finance &amp; Accounts"/>
    <s v="20"/>
    <s v="Officer Costing, Budgeting &amp; MIS"/>
    <m/>
    <s v="Finance &amp; Accounts - Vizag"/>
    <s v="Finance &amp; Accounts"/>
    <s v=""/>
    <s v="Non Technical Support"/>
    <s v="Finance &amp; Accounts"/>
    <s v="Costing"/>
    <s v="73906001"/>
    <s v="Costing"/>
    <s v="Vizag"/>
    <d v="1989-07-07T00:00:00"/>
    <s v="34.02"/>
    <d v="2021-05-07T00:00:00"/>
    <d v="2047-07-31T00:00:00"/>
    <m/>
    <d v="2047-07-31T00:00:00"/>
    <n v="8715"/>
    <s v="O+"/>
    <s v="BCom-2013 , CA Final-2013 , CA Inter-201"/>
    <s v="09.01"/>
    <s v="02.04"/>
    <s v="11.05"/>
    <s v="70413458"/>
    <s v="Costing, Budgeting &amp; IDT"/>
    <s v="70495742"/>
    <s v="Officer Costing, Budgeting &amp; MIS"/>
    <s v="Vizag"/>
    <s v="0028030019"/>
    <s v="VIZ-Personnel &amp; Admi"/>
    <s v="2000VIZOPS"/>
    <s v="20006862"/>
    <s v="D Niranjan Patro"/>
    <s v="No"/>
    <s v="mvsn.durgaprasad@amns.in"/>
    <s v="9154869119"/>
    <s v="834827"/>
    <s v="DS Varma"/>
    <s v="Anil Matoo"/>
    <s v="Praveen Kuruvalli"/>
    <s v="Dhruv Vyas"/>
    <n v="0"/>
  </r>
  <r>
    <n v="3958"/>
    <n v="20055687"/>
    <s v="Prateek Singh"/>
    <s v="AM/NS India"/>
    <s v="Onroll"/>
    <s v="M-8"/>
    <n v="8"/>
    <m/>
    <s v="JM"/>
    <s v="M"/>
    <s v="Vizag"/>
    <n v="3"/>
    <s v="2039"/>
    <x v="2"/>
    <s v="43.01"/>
    <s v="Sangeeta Munjal"/>
    <s v="Manu Kapoor"/>
    <n v="10"/>
    <s v="Corporate Affairs"/>
    <s v="Corporate Affairs"/>
    <s v="43"/>
    <s v="Lead – Corporate Affairs"/>
    <m/>
    <s v="Corporate Affairs"/>
    <s v=""/>
    <s v=""/>
    <s v="Non Technical Support"/>
    <s v="Corporate Relations"/>
    <s v="Corporate Affairs"/>
    <s v="74501001"/>
    <s v="Corporate Affairs"/>
    <s v="Raipur"/>
    <d v="1988-02-20T00:00:00"/>
    <s v="35.06"/>
    <d v="2021-05-06T00:00:00"/>
    <d v="2046-02-28T00:00:00"/>
    <m/>
    <d v="2046-02-28T00:00:00"/>
    <n v="8197"/>
    <s v="B+"/>
    <s v="Bachelor Equivalent-2010 , Intermediate-"/>
    <s v="04.08"/>
    <s v="02.04"/>
    <s v="07.00"/>
    <s v="70494938"/>
    <s v="Corporate Affairs"/>
    <s v="70495746"/>
    <s v="Lead – Corporate Affairs"/>
    <s v="Vizag"/>
    <s v="0028030019"/>
    <s v="VIZ-Personnel &amp; Admi"/>
    <s v="2000VIZOPS"/>
    <s v="20057928"/>
    <s v="Manu Kapoor"/>
    <s v="No"/>
    <s v="prateek.singh@amns.in"/>
    <s v="8447748668"/>
    <s v="832732"/>
    <s v="DS Varma"/>
    <s v="Anil Matoo"/>
    <s v="Praveen Kuruvalli"/>
    <s v="Dhruv Vyas"/>
    <n v="0"/>
  </r>
  <r>
    <n v="3959"/>
    <n v="20055688"/>
    <s v="Vibhavana Jaiswal"/>
    <s v="AM/NS India"/>
    <s v="Onroll"/>
    <s v="M-5"/>
    <n v="5"/>
    <m/>
    <s v="MM"/>
    <s v="F"/>
    <s v="Hazira"/>
    <n v="1"/>
    <s v="2270"/>
    <x v="25"/>
    <s v="38.01"/>
    <s v="Hrishikesh Kamat"/>
    <s v="Hrishikesh Kamat"/>
    <n v="7"/>
    <s v="Procurement"/>
    <s v="Logistics"/>
    <s v="38"/>
    <s v="Head - Logistics"/>
    <m/>
    <s v="Logistics"/>
    <s v="Logistics"/>
    <s v=""/>
    <s v="Non Technical Support"/>
    <s v=""/>
    <s v=""/>
    <s v="70494644"/>
    <s v="Chief Procurement Officer"/>
    <s v="AM/NS Hazira"/>
    <d v="1983-05-18T00:00:00"/>
    <s v="40.04"/>
    <d v="2021-05-15T00:00:00"/>
    <d v="2041-05-31T00:00:00"/>
    <m/>
    <d v="2041-05-31T00:00:00"/>
    <n v="6463"/>
    <s v="B+"/>
    <s v="MBA-2010 , MSc-2007 , BSc-2005 , Interme"/>
    <s v="10.05"/>
    <s v="02.04"/>
    <s v="12.09"/>
    <s v="70495712"/>
    <s v="Logistics"/>
    <s v="70495744"/>
    <s v="Head - Logistics"/>
    <s v="Hazira"/>
    <s v="0031950053"/>
    <s v="HZ-Logistics"/>
    <s v="2000HWO"/>
    <s v="20055090"/>
    <s v="Hrishikesh Kamat"/>
    <s v="No"/>
    <s v="vibhavana.jaiswal@amns.in"/>
    <s v="7486036255"/>
    <s v="834817"/>
    <s v="Dhruv Vyas"/>
    <s v="Anil Matoo"/>
    <s v="Praveen Kuruvalli"/>
    <s v="Dhruv Vyas"/>
    <n v="0"/>
  </r>
  <r>
    <n v="3962"/>
    <n v="20055691"/>
    <s v="Dipesh Sudamrao Rathod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c HED"/>
    <m/>
    <s v="Procurement MRO Hazira"/>
    <s v="Procurement"/>
    <s v=""/>
    <s v="Non Technical Support"/>
    <s v="Commercial"/>
    <s v="Procurement"/>
    <s v="73803001"/>
    <s v="Procurement"/>
    <s v="AM/NS Hazira"/>
    <d v="1987-04-25T00:00:00"/>
    <s v="36.04"/>
    <d v="2021-05-17T00:00:00"/>
    <d v="2045-04-30T00:00:00"/>
    <m/>
    <d v="2045-04-30T00:00:00"/>
    <n v="7893"/>
    <s v="B-"/>
    <s v="BE-2009 , Diploma-2005 , SSLC-2002"/>
    <s v="12.06"/>
    <s v="02.04"/>
    <s v="14.09"/>
    <s v="70072410"/>
    <s v="Rolling &amp; Finishing including CRM, Plate"/>
    <s v="70495749"/>
    <s v="Lead - Proc HED"/>
    <s v="Hazira"/>
    <s v="0031950048"/>
    <s v="HZ-Procurment Depart"/>
    <s v="2000HWO"/>
    <s v="20002323"/>
    <s v="Balaji Somvanshi"/>
    <s v="No"/>
    <s v="dipesh.rathod@amns.in"/>
    <s v="7486036256"/>
    <s v="834805"/>
    <s v="Dhruv Vyas"/>
    <s v="Anil Matoo"/>
    <s v="Praveen Kuruvalli"/>
    <s v="Dhruv Vyas"/>
    <n v="0"/>
  </r>
  <r>
    <n v="3963"/>
    <n v="20055692"/>
    <s v="Rajiv Ranjan"/>
    <s v="AM/NS India"/>
    <s v="Onroll"/>
    <s v="M-5"/>
    <n v="5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Head – Procurement Odisha"/>
    <m/>
    <s v="Procurement"/>
    <s v="Procurement"/>
    <s v=""/>
    <s v="Non Technical Support"/>
    <s v=""/>
    <s v=""/>
    <s v="70494644"/>
    <s v="Chief Procurement Officer"/>
    <s v="Paradeep"/>
    <d v="1971-10-05T00:00:00"/>
    <s v="51.11"/>
    <d v="2021-05-17T00:00:00"/>
    <d v="2029-10-31T00:00:00"/>
    <m/>
    <d v="2029-10-31T00:00:00"/>
    <n v="2233"/>
    <s v="B+"/>
    <s v="PG Diploma-1996 , BSc-1990 , Intermediat"/>
    <s v="29.00"/>
    <s v="02.04"/>
    <s v="31.03"/>
    <s v="70407583"/>
    <s v="Procurement - Odisha Asset"/>
    <s v="70495750"/>
    <s v="Head – Procurement Odisha"/>
    <s v="Odisha"/>
    <s v="0022030019"/>
    <s v="PDP-HR &amp; Admn"/>
    <s v="2000STORIS"/>
    <s v="20055090"/>
    <s v="Hrishikesh Kamat"/>
    <s v="No"/>
    <s v="rajiv.ranjan2@amns.in"/>
    <s v="7381362860"/>
    <s v="834845"/>
    <s v="Sunila Das"/>
    <s v="Anil Matoo"/>
    <s v="Praveen Kuruvalli"/>
    <s v="Sunila Das"/>
    <n v="0"/>
  </r>
  <r>
    <n v="3966"/>
    <n v="20055696"/>
    <s v="Rupesh Shivaji Pol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Coated Products"/>
    <m/>
    <s v="Technical Marketing &amp; Application Engineering"/>
    <s v="Technical Marketing &amp; Application Engineering"/>
    <s v=""/>
    <s v="Non Technical Support"/>
    <s v="Sales &amp; Marketing"/>
    <s v="Sales"/>
    <s v="73104004"/>
    <s v="OEM Sales"/>
    <s v="Pune"/>
    <d v="1980-05-29T00:00:00"/>
    <s v="43.03"/>
    <d v="2021-05-24T00:00:00"/>
    <d v="2038-05-31T00:00:00"/>
    <m/>
    <d v="2038-05-31T00:00:00"/>
    <n v="5367"/>
    <s v="AB+"/>
    <s v="MTech-2009 , BE-2007 , Intermediate-2000"/>
    <s v="11.07"/>
    <s v="02.03"/>
    <s v="13.10"/>
    <s v="00052471"/>
    <s v="Coated &amp; OC"/>
    <s v="70495788"/>
    <s v="Sr. Lead - Coated Products"/>
    <s v="Hazira"/>
    <s v="0031950057"/>
    <s v="HZ-HRC - Marketing"/>
    <s v="2000HWO"/>
    <s v="20056431"/>
    <s v="Prajakta Wagholikar"/>
    <s v="No"/>
    <s v="rupesh.pol@amns.in"/>
    <s v="9175471411"/>
    <s v="834815"/>
    <s v="Dhruv Vyas"/>
    <s v="Anil Matoo"/>
    <s v="Praveen Kuruvalli"/>
    <s v="Dhruv Vyas"/>
    <n v="0"/>
  </r>
  <r>
    <n v="3968"/>
    <n v="20055698"/>
    <s v="Turiska Vinod Chhajer"/>
    <s v="AM/NS India"/>
    <s v="Onroll"/>
    <s v="M-9"/>
    <n v="9"/>
    <m/>
    <s v="JM"/>
    <s v="F"/>
    <s v="Corporate"/>
    <n v="7"/>
    <s v="2014"/>
    <x v="16"/>
    <s v="03.01"/>
    <s v="Nilesh Likhite"/>
    <s v="Dilip Oommen"/>
    <n v="1"/>
    <s v="CEO Office"/>
    <s v="Internal Audit"/>
    <s v="03"/>
    <s v="Lead Internal Audit"/>
    <m/>
    <s v="Internal Audit"/>
    <s v=""/>
    <s v=""/>
    <s v="Non Technical Support"/>
    <s v="Assurance &amp; Cost Control"/>
    <s v="Assurance &amp; Cost Control"/>
    <s v="73401001"/>
    <s v="Assurance &amp; Cost Control"/>
    <s v="AM/NS Hazira"/>
    <d v="1994-12-24T00:00:00"/>
    <s v="28.08"/>
    <d v="2021-06-01T00:00:00"/>
    <d v="2052-12-31T00:00:00"/>
    <m/>
    <d v="2052-12-31T00:00:00"/>
    <n v="10695"/>
    <s v="AB+"/>
    <s v="CA Final-2016 , BCom-2016 , Intermediate"/>
    <s v="03.09"/>
    <s v="02.03"/>
    <s v="06.00"/>
    <s v="00044330"/>
    <s v="Internal Audit - Hazira"/>
    <s v="250621"/>
    <s v="Lead Internal Audit"/>
    <s v="Hazira"/>
    <s v="0090000035"/>
    <s v="Internal Audit"/>
    <s v="2000HWO"/>
    <s v="20028777"/>
    <s v="Narendra Dugar"/>
    <s v="No"/>
    <s v="turiska.chhajer@amns.in"/>
    <s v="9586625308"/>
    <s v="838204"/>
    <s v="Dhruv Vyas"/>
    <s v="Anil Matoo"/>
    <s v="Praveen Kuruvalli"/>
    <s v="Dhruv Vyas"/>
    <n v="0"/>
  </r>
  <r>
    <n v="3973"/>
    <n v="20055706"/>
    <s v="Himalkumar Madhusudan Sheth"/>
    <s v="AM/NS India"/>
    <s v="Onroll"/>
    <s v="M-5"/>
    <n v="5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– Capex Procurement"/>
    <m/>
    <s v="Capex Procurement"/>
    <s v="Capex Procurement"/>
    <s v=""/>
    <s v="Non Technical Support"/>
    <s v="Operations"/>
    <s v="Operations"/>
    <s v="72103001"/>
    <s v="Operations"/>
    <s v="Hazira"/>
    <d v="1977-05-09T00:00:00"/>
    <s v="46.04"/>
    <d v="2021-06-01T00:00:00"/>
    <d v="2035-05-31T00:00:00"/>
    <m/>
    <d v="2035-05-31T00:00:00"/>
    <n v="4271"/>
    <s v="A+"/>
    <s v="BE-2005 , Diploma-1995 , SSLC-1992"/>
    <s v="24.10"/>
    <s v="02.03"/>
    <s v="27.01"/>
    <s v="00049337"/>
    <s v="Capex Procurement"/>
    <s v="251052"/>
    <s v="Sr. Lead – Capex Procurement"/>
    <s v="Hazira"/>
    <s v="0031950059"/>
    <s v="HZ-Hazira Project"/>
    <s v="2000HWO"/>
    <s v="20052261"/>
    <s v="Aruni Mishra"/>
    <s v="No"/>
    <s v="himal.sheth@amns.in"/>
    <s v="9879101404"/>
    <s v="840693"/>
    <s v="Dhruv Vyas"/>
    <s v="Anil Matoo"/>
    <s v="Praveen Kuruvalli"/>
    <s v="Dhruv Vyas"/>
    <n v="0"/>
  </r>
  <r>
    <n v="3974"/>
    <n v="20055709"/>
    <s v="S Mohan"/>
    <s v="AM/NS India"/>
    <s v="Onroll"/>
    <s v="M-9"/>
    <n v="9"/>
    <m/>
    <s v="J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Lead - Finance &amp; Accounts"/>
    <m/>
    <s v="Working Capital"/>
    <s v="Service Centers"/>
    <s v=""/>
    <s v="Non Technical Support"/>
    <s v="Finance &amp; Accounts"/>
    <s v="Finance &amp; Accounts"/>
    <s v="73901001"/>
    <s v="Finance &amp; Accounts"/>
    <s v="Chennai"/>
    <d v="1988-12-01T00:00:00"/>
    <s v="34.09"/>
    <d v="2021-06-04T00:00:00"/>
    <d v="2046-11-30T00:00:00"/>
    <m/>
    <d v="2046-11-30T00:00:00"/>
    <n v="8472"/>
    <s v="O+"/>
    <s v="MCom-2010 , BCom-2008 , Intermediate-200"/>
    <s v="11.09"/>
    <s v="02.03"/>
    <s v="14.00"/>
    <s v="00043795"/>
    <s v="F&amp;A Hypermart &amp; Service Centre - 1"/>
    <s v="251059"/>
    <s v="Lead - Finance &amp; Accounts"/>
    <s v="Service Center"/>
    <s v="0040030019"/>
    <s v="SC-Chennai-Op1-HR-Ad"/>
    <s v="2000SPRJ"/>
    <s v="20055201"/>
    <s v="Deepak Sahu"/>
    <s v="No"/>
    <s v="mohankumar.s@amns.in"/>
    <s v="9176147832"/>
    <s v="840828"/>
    <s v="Dhruv Vyas"/>
    <s v="Anil Matoo"/>
    <s v="Praveen Kuruvalli"/>
    <s v="Dhruv Vyas"/>
    <n v="0"/>
  </r>
  <r>
    <n v="3977"/>
    <n v="20055712"/>
    <s v="Ravi Goyal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Officer – Capex Procurement"/>
    <m/>
    <s v="Capex Procurement"/>
    <s v="Capex Procurement"/>
    <s v=""/>
    <s v="Non Technical Support"/>
    <s v="Operations"/>
    <s v="Operations"/>
    <s v="72103001"/>
    <s v="Operations"/>
    <s v="Hazira"/>
    <d v="1989-08-09T00:00:00"/>
    <s v="34.01"/>
    <d v="2021-06-21T00:00:00"/>
    <d v="2047-08-31T00:00:00"/>
    <m/>
    <d v="2047-08-31T00:00:00"/>
    <n v="8746"/>
    <s v="O+"/>
    <s v="BTech-2010 , Intermediate-2006 , SSLC-20"/>
    <s v="10.08"/>
    <s v="02.03"/>
    <s v="12.11"/>
    <s v="00049342"/>
    <s v="Capex Procurement"/>
    <s v="251746"/>
    <s v="Officer – Capex Procurement"/>
    <s v="Hazira"/>
    <s v="0031950059"/>
    <s v="HZ-Hazira Project"/>
    <s v="2000HWO"/>
    <s v="20055706"/>
    <s v="HimalKumar Madhusudan Sheth"/>
    <s v="No"/>
    <s v="ravi.goyal@amns.in"/>
    <s v="9040094622"/>
    <s v="841084"/>
    <s v="Dhruv Vyas"/>
    <s v="Anil Matoo"/>
    <s v="Praveen Kuruvalli"/>
    <s v="Dhruv Vyas"/>
    <n v="0"/>
  </r>
  <r>
    <n v="3979"/>
    <n v="20055714"/>
    <s v="Dipakkumar Shah"/>
    <s v="AM/NS India"/>
    <s v="Onroll"/>
    <s v="M-3"/>
    <n v="3"/>
    <m/>
    <s v="SM"/>
    <s v="M"/>
    <s v="Hazira"/>
    <n v="1"/>
    <s v="2039"/>
    <x v="2"/>
    <s v="43.01"/>
    <s v="Sangeeta Munjal"/>
    <s v="Manu Kapoor"/>
    <n v="10"/>
    <s v="Corporate Affairs"/>
    <s v="Corporate Affairs"/>
    <s v="43"/>
    <s v="Senior Advisor - Corporate Affairs"/>
    <m/>
    <s v="Corporate Affairs"/>
    <s v=""/>
    <s v=""/>
    <s v="Non Technical Support"/>
    <s v="Corporate Relations"/>
    <s v="Corporate Affairs"/>
    <s v="74501001"/>
    <s v="Corporate Affairs"/>
    <s v="Ahmedabad"/>
    <d v="1961-11-30T00:00:00"/>
    <s v="61.09"/>
    <d v="2021-06-14T00:00:00"/>
    <d v="2019-11-30T00:00:00"/>
    <d v="2023-12-02T00:00:00"/>
    <d v="2023-12-02T00:00:00"/>
    <n v="73"/>
    <s v="A+"/>
    <s v="MTech-1986 , BE-1982 , Intermediate-1978"/>
    <s v="35.00"/>
    <s v="02.03"/>
    <s v="37.02"/>
    <s v="00047082"/>
    <s v="Corporate Affairs, Gujarat"/>
    <s v="251745"/>
    <s v="Senior Advisor - Corporate Affairs"/>
    <s v="Confidential Payroll"/>
    <s v="0090000021"/>
    <s v="Corporate Affairs"/>
    <s v="2000HWO"/>
    <s v="20057928"/>
    <s v="Manu Kapoor"/>
    <s v="No"/>
    <s v="dipak.shah@amns.in"/>
    <s v="9099002828"/>
    <s v="841143"/>
    <s v="Dhruv Vyas"/>
    <s v="Anil Matoo"/>
    <s v="Praveen Kuruvalli"/>
    <s v="Dhruv Vyas"/>
    <n v="0"/>
  </r>
  <r>
    <n v="3983"/>
    <n v="20055720"/>
    <s v="Sambit Kumar Mohapatra"/>
    <s v="AM/NS India"/>
    <s v="PDA"/>
    <s v="PDA"/>
    <n v="7"/>
    <m/>
    <s v="MM"/>
    <s v="M"/>
    <s v="Mining"/>
    <n v="8"/>
    <s v="2013"/>
    <x v="0"/>
    <s v="20.01"/>
    <s v="Akiyo Omori"/>
    <s v="Amit Harlalka"/>
    <n v="5"/>
    <s v="Finance &amp; Accounts"/>
    <s v="Finance &amp; Accounts"/>
    <s v="20"/>
    <s v="Lead - Finance"/>
    <m/>
    <s v="Finance &amp; Account"/>
    <s v=""/>
    <s v=""/>
    <s v="Non Technical Support"/>
    <s v="Commercial"/>
    <s v="Commercial"/>
    <s v="73801001"/>
    <s v="Commercial"/>
    <s v="Barbil"/>
    <d v="1981-07-01T00:00:00"/>
    <s v="42.02"/>
    <d v="2021-06-25T00:00:00"/>
    <d v="2039-06-30T00:00:00"/>
    <m/>
    <d v="2039-06-30T00:00:00"/>
    <n v="5762"/>
    <s v=""/>
    <s v="CA Final-2008 , CA Inter-2004 , BCom-200"/>
    <s v="10.11"/>
    <s v="02.02"/>
    <s v="13.01"/>
    <s v="00048985"/>
    <s v="Finance &amp; Accounting"/>
    <s v="252530"/>
    <s v="Lead - Finance"/>
    <s v="Non-payroll-relevant"/>
    <s v="0011000018"/>
    <s v="Sagasahi Mine HR"/>
    <s v="2066BARB"/>
    <s v="20055801"/>
    <s v="Sanjive Kumar Singh"/>
    <s v="No"/>
    <s v="sambitkumar.mohapatra@amns.in"/>
    <s v="9439433302"/>
    <s v="842041"/>
    <s v="Pramod Sinha"/>
    <s v="Anil Matoo"/>
    <s v="Praveen Kuruvalli"/>
    <s v="Pramod Sinha"/>
    <n v="0"/>
  </r>
  <r>
    <n v="3988"/>
    <n v="20055727"/>
    <s v="Javed Akhtar"/>
    <s v="AM/NS India"/>
    <s v="Onroll"/>
    <s v="M-6"/>
    <n v="6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Services"/>
    <m/>
    <s v="Capex Procurement"/>
    <s v="Capex Procurement"/>
    <s v=""/>
    <s v="Non Technical Support"/>
    <s v="Operations"/>
    <s v="Operations"/>
    <s v="72103001"/>
    <s v="Operations"/>
    <s v="Hazira"/>
    <d v="1987-04-13T00:00:00"/>
    <s v="36.05"/>
    <d v="2021-07-05T00:00:00"/>
    <d v="2045-04-30T00:00:00"/>
    <m/>
    <d v="2045-04-30T00:00:00"/>
    <n v="7893"/>
    <s v="A+"/>
    <s v="BE-2009 , Intermediate-2005 , SSLC-2003"/>
    <s v="12.01"/>
    <s v="02.02"/>
    <s v="14.03"/>
    <s v="00049360"/>
    <s v="Capex Services"/>
    <s v="252800"/>
    <s v="Lead – Capex Services"/>
    <s v="Hazira"/>
    <s v="0031950059"/>
    <s v="HZ-Hazira Project"/>
    <s v="2000HWO"/>
    <s v="20052261"/>
    <s v="Aruni Mishra"/>
    <s v="No"/>
    <s v="javed.akhtar@amns.in"/>
    <s v="7486036280"/>
    <s v="843624"/>
    <s v="Dhruv Vyas"/>
    <s v="Anil Matoo"/>
    <s v="Praveen Kuruvalli"/>
    <s v="Dhruv Vyas"/>
    <n v="0"/>
  </r>
  <r>
    <n v="3989"/>
    <n v="20055728"/>
    <s v="Mahebub Vahora"/>
    <s v="AM/NS India"/>
    <s v="Onroll"/>
    <s v="M-5"/>
    <n v="5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- Capex Procurement"/>
    <m/>
    <s v="Capex Procurement"/>
    <s v="Capex Procurement"/>
    <s v=""/>
    <s v="Non Technical Support"/>
    <s v="Operations"/>
    <s v="Operations"/>
    <s v="72103001"/>
    <s v="Operations"/>
    <s v="Hazira"/>
    <d v="1979-04-03T00:00:00"/>
    <s v="44.05"/>
    <d v="2021-07-05T00:00:00"/>
    <d v="2037-04-30T00:00:00"/>
    <m/>
    <d v="2037-04-30T00:00:00"/>
    <n v="4971"/>
    <s v="A+"/>
    <s v="ICWA Final-2018 , MBA-2003 , BE-2000 , I"/>
    <s v="12.05"/>
    <s v="02.02"/>
    <s v="14.07"/>
    <s v="00049344"/>
    <s v="Capex Procurement"/>
    <s v="252799"/>
    <s v="Sr. Lead - Capex Procurement"/>
    <s v="Hazira"/>
    <s v="0031950059"/>
    <s v="HZ-Hazira Project"/>
    <s v="2000HWO"/>
    <s v="20052261"/>
    <s v="Aruni Mishra"/>
    <s v="No"/>
    <s v="mahebub.vahora@amns.in"/>
    <s v="7486036318"/>
    <s v="843630"/>
    <s v="Dhruv Vyas"/>
    <s v="Anil Matoo"/>
    <s v="Praveen Kuruvalli"/>
    <s v="Dhruv Vyas"/>
    <n v="0"/>
  </r>
  <r>
    <n v="3998"/>
    <n v="20055739"/>
    <s v="Dayaram Meghwal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– Inbound/Receipts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89-02-12T00:00:00"/>
    <s v="34.07"/>
    <d v="2021-07-12T00:00:00"/>
    <d v="2047-02-28T00:00:00"/>
    <m/>
    <d v="2047-02-28T00:00:00"/>
    <n v="8562"/>
    <s v="O+"/>
    <s v="Diploma-2010 , Intermediate-2007 , SSLC-"/>
    <s v="10.10"/>
    <s v="02.02"/>
    <s v="13.00"/>
    <s v="00053278"/>
    <s v="GRN/Documentation/Issue - Plant A"/>
    <s v="253466"/>
    <s v="Section Officer – Inbound/Receipts"/>
    <s v="Hazira"/>
    <s v="0031950049"/>
    <s v="HZ-Central Stores"/>
    <s v="2000HW0"/>
    <s v="20002587"/>
    <s v="Seema Mehta"/>
    <s v="No"/>
    <s v="dayaram.meghwal@amns.in"/>
    <s v="7486036326"/>
    <s v="844769"/>
    <s v="Dhruv Vyas"/>
    <s v="Anil Matoo"/>
    <s v="Praveen Kuruvalli"/>
    <s v="Dhruv Vyas"/>
    <n v="0"/>
  </r>
  <r>
    <n v="4000"/>
    <n v="20055742"/>
    <s v="Naresh Yadav"/>
    <s v="AM/NS India"/>
    <s v="Onroll"/>
    <s v="M-6"/>
    <n v="6"/>
    <m/>
    <s v="MM"/>
    <s v="M"/>
    <s v="Hazira"/>
    <n v="1"/>
    <s v="2096"/>
    <x v="14"/>
    <s v="36.02"/>
    <s v="Deepak Sindkar"/>
    <s v="Hrishikesh Kamat"/>
    <n v="7"/>
    <s v="Procurement"/>
    <s v="Raw Materials"/>
    <s v="36"/>
    <s v="Sr. Lead - Power Management"/>
    <m/>
    <s v="Power &amp; Gas"/>
    <s v="Power &amp; Gas"/>
    <s v=""/>
    <s v="Non Technical Support"/>
    <s v="Commercial"/>
    <s v="Procurement"/>
    <s v="73803001"/>
    <s v="Procurement"/>
    <s v="AM/NS Hazira"/>
    <d v="1985-08-24T00:00:00"/>
    <s v="38.00"/>
    <d v="2021-08-02T00:00:00"/>
    <d v="2043-08-31T00:00:00"/>
    <m/>
    <d v="2043-08-31T00:00:00"/>
    <n v="7285"/>
    <s v="B+"/>
    <s v="MTech-2015 , PG Diploma-2012 , BE-2007 ,"/>
    <s v="14.01"/>
    <s v="02.01"/>
    <s v="16.02"/>
    <s v="00049516"/>
    <s v="Power &amp; Gas"/>
    <s v="253472"/>
    <s v="Sr. Lead - Power Management"/>
    <s v="Hazira"/>
    <s v="0031950048"/>
    <s v="HZ-Procurment Depart"/>
    <s v="2000HW0"/>
    <s v="20004612"/>
    <s v="Ramesh Chabhadiya"/>
    <s v="No"/>
    <s v="naresh.yadav@amns.in"/>
    <s v="7486036332"/>
    <s v="844773"/>
    <s v="Dhruv Vyas"/>
    <s v="Anil Matoo"/>
    <s v="Praveen Kuruvalli"/>
    <s v="Dhruv Vyas"/>
    <n v="0"/>
  </r>
  <r>
    <n v="4001"/>
    <n v="20055743"/>
    <s v="Suyojit Gaikwad"/>
    <s v="AM/NS India"/>
    <s v="Onroll"/>
    <s v="M-8"/>
    <n v="8"/>
    <m/>
    <s v="JM"/>
    <s v="M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Chairman's Secretariat"/>
    <s v="Chairman's Secretariat"/>
    <s v="74701000"/>
    <s v="Chairman's Secretariat"/>
    <s v="AM/NS Hazira"/>
    <d v="1987-09-27T00:00:00"/>
    <s v="35.11"/>
    <d v="2021-07-12T00:00:00"/>
    <d v="2045-09-30T00:00:00"/>
    <m/>
    <d v="2045-09-30T00:00:00"/>
    <n v="8046"/>
    <s v="B+"/>
    <s v="MBA-2014 , BE-2011 , Intermediate-2005 ,"/>
    <s v="08.00"/>
    <s v="02.02"/>
    <s v="10.01"/>
    <s v="00044330"/>
    <s v="Internal Audit - Hazira"/>
    <s v="253473"/>
    <s v="Lead - Internal Audit"/>
    <s v="Hazira"/>
    <s v="0090000035"/>
    <s v="Internal Audit"/>
    <s v="2000HW0"/>
    <s v="20028777"/>
    <s v="Narendra Dugar"/>
    <s v="No"/>
    <s v="suyojit.gaikwad@amns.in"/>
    <s v="7486036324"/>
    <s v="844776"/>
    <s v="Dhruv Vyas"/>
    <s v="Anil Matoo"/>
    <s v="Praveen Kuruvalli"/>
    <s v="Dhruv Vyas"/>
    <n v="0"/>
  </r>
  <r>
    <n v="4003"/>
    <n v="20055745"/>
    <s v="Ajay Kumar Sharma"/>
    <s v="AM/NS India"/>
    <s v="Onroll"/>
    <s v="M-6"/>
    <n v="6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Internal Auditor Odisha"/>
    <m/>
    <s v="Internal Audit"/>
    <s v=""/>
    <s v=""/>
    <s v="Non Technical Support"/>
    <s v="Chairman's Secretariat"/>
    <s v="Chairman's Secretariat"/>
    <s v="74701000"/>
    <s v="Chairman's Secretariat"/>
    <s v="Paradeep"/>
    <d v="1974-12-13T00:00:00"/>
    <s v="48.09"/>
    <d v="2021-07-01T00:00:00"/>
    <d v="2032-12-31T00:00:00"/>
    <m/>
    <d v="2032-12-31T00:00:00"/>
    <n v="3390"/>
    <s v="A+"/>
    <s v="CA Final-2008 , LLB-1999 , BCom-1995 , I"/>
    <s v="09.06"/>
    <s v="02.02"/>
    <s v="11.08"/>
    <s v="00044333"/>
    <s v="Internal Audit -Odisha"/>
    <s v="253558"/>
    <s v="Sr. Lead Internal Auditor Odisha"/>
    <s v="Odisha"/>
    <s v="0090000035"/>
    <s v="Internal Audit"/>
    <s v="2000STORIS"/>
    <s v="20055486"/>
    <s v="Nilesh Likhite"/>
    <s v="No"/>
    <s v="ajay.sharma1@amns.in"/>
    <s v="8093061480"/>
    <s v="844910"/>
    <s v="Sunila Das"/>
    <s v="Anil Matoo"/>
    <s v="Praveen Kuruvalli"/>
    <s v="Sunila Das"/>
    <n v="0"/>
  </r>
  <r>
    <n v="4017"/>
    <n v="20055763"/>
    <s v="Debashis Mohapatra"/>
    <s v="AM/NS India"/>
    <s v="Onroll"/>
    <s v="M-6"/>
    <n v="6"/>
    <m/>
    <s v="MM"/>
    <s v="M"/>
    <s v="Hazira"/>
    <n v="1"/>
    <s v="2715"/>
    <x v="13"/>
    <s v="37.01"/>
    <s v="Aruni Mishra"/>
    <s v="Hrishikesh Kamat"/>
    <n v="7"/>
    <s v="Procurement"/>
    <s v="Secondary Sales"/>
    <s v="37"/>
    <s v="Sr. Lead - Secondary Sales"/>
    <m/>
    <s v="Procurement"/>
    <s v=""/>
    <s v=""/>
    <s v="Non Technical Support"/>
    <s v=""/>
    <s v=""/>
    <s v=""/>
    <s v=""/>
    <s v="Hazira"/>
    <d v="1984-06-26T00:00:00"/>
    <s v="39.02"/>
    <d v="2021-07-21T00:00:00"/>
    <d v="2042-06-30T00:00:00"/>
    <m/>
    <d v="2042-06-30T00:00:00"/>
    <n v="6858"/>
    <s v="B+"/>
    <s v="MBA-2008 , BE-2006 , Intermediate-2001 ,"/>
    <s v="13.01"/>
    <s v="02.02"/>
    <s v="15.03"/>
    <s v="00049357"/>
    <s v="Secondary Sales"/>
    <s v="253852"/>
    <s v="Sr. Lead - Secondary Sales"/>
    <s v="Hazira"/>
    <s v="0080000006"/>
    <s v="Secondary Sales - In"/>
    <s v="2000HWO"/>
    <s v="20052261"/>
    <s v="Aruni Mishra"/>
    <s v="No"/>
    <s v="debashis.mohapatra@amns.in"/>
    <s v="9328882489"/>
    <s v="845534"/>
    <s v="Dhruv Vyas"/>
    <s v="Anil Matoo"/>
    <s v="Praveen Kuruvalli"/>
    <s v="Dhruv Vyas"/>
    <n v="0"/>
  </r>
  <r>
    <n v="4042"/>
    <n v="20055799"/>
    <s v="Swasti Panchal"/>
    <s v="AM/NS India"/>
    <s v="Onroll"/>
    <s v="M-10"/>
    <n v="10"/>
    <m/>
    <s v="JM"/>
    <s v="F"/>
    <s v="Hazira"/>
    <n v="1"/>
    <s v="2722"/>
    <x v="20"/>
    <s v="28.02"/>
    <s v="Anil Matoo"/>
    <s v="Ashutosh Telang"/>
    <n v="6"/>
    <s v="HR &amp; Administration"/>
    <s v="Academy for Skill Development"/>
    <n v="28"/>
    <s v="Graduate Engineer Trainee 2021"/>
    <m/>
    <s v="Human Resources"/>
    <s v=""/>
    <s v=""/>
    <s v="Non Technical Support"/>
    <s v="Human Resources Management"/>
    <s v="Human Resources Management"/>
    <s v="73501002"/>
    <s v="Human Resources Operation"/>
    <s v="Hazira"/>
    <d v="2000-08-15T00:00:00"/>
    <s v="23.01"/>
    <d v="2021-08-02T00:00:00"/>
    <d v="2058-08-31T00:00:00"/>
    <m/>
    <d v="2058-08-31T00:00:00"/>
    <n v="12764"/>
    <s v="B-"/>
    <s v="BTech-2017 , BTech-2017 , Intermediate-2"/>
    <s v=""/>
    <s v="02.01"/>
    <s v="02.01"/>
    <s v="70495652"/>
    <s v="Academy for Skill Development"/>
    <s v="255035"/>
    <s v="Graduate Engineer Trainee 2021"/>
    <s v="Hazira"/>
    <s v="0031950061"/>
    <s v="HZ-Human Resource"/>
    <s v="2000HWO"/>
    <s v="20054937"/>
    <s v="Hitesh Kumar Yadav"/>
    <s v="No"/>
    <s v="swasti.panchal@amns.in"/>
    <s v="9328894660"/>
    <s v="846830"/>
    <s v="Dhruv Vyas"/>
    <s v="Anil Matoo"/>
    <s v="Praveen Kuruvalli"/>
    <s v="Dhruv Vyas"/>
    <n v="0"/>
  </r>
  <r>
    <n v="4043"/>
    <n v="20055801"/>
    <s v="Sanjive Kumar Singh"/>
    <s v="AM/NS India"/>
    <s v="Onroll"/>
    <s v="M-4"/>
    <n v="4"/>
    <m/>
    <s v="SM"/>
    <s v="M"/>
    <s v="Odisha"/>
    <n v="2"/>
    <s v="2013"/>
    <x v="0"/>
    <s v="20.01"/>
    <s v="Akiyo Omori"/>
    <s v="Amit Harlalka"/>
    <n v="5"/>
    <s v="Finance &amp; Accounts"/>
    <s v="Finance &amp; Accounts"/>
    <s v="20"/>
    <s v="Head - Finance &amp; Accounts Odisha"/>
    <m/>
    <s v="Finance &amp; Accounts - Odisha"/>
    <s v="Finance &amp; Accounts"/>
    <s v=""/>
    <s v="Non Technical Support"/>
    <s v="Finance &amp; Accounts"/>
    <s v="Finance &amp; Accounts"/>
    <s v="73901001"/>
    <s v="Finance &amp; Accounts"/>
    <s v="Paradeep"/>
    <d v="1974-03-15T00:00:00"/>
    <s v="49.06"/>
    <d v="2021-07-22T00:00:00"/>
    <d v="2032-03-31T00:00:00"/>
    <m/>
    <d v="2032-03-31T00:00:00"/>
    <n v="3115"/>
    <s v="O+"/>
    <s v="CA Final-1997 , ICWA Inter-1996 , BCom-1"/>
    <s v="23.08"/>
    <s v="02.01"/>
    <s v="25.09"/>
    <s v="70234933"/>
    <s v="Finance &amp; Accounts - Odisha"/>
    <s v="255232"/>
    <s v="Head - Finance &amp; Accounts Odisha"/>
    <s v="Odisha"/>
    <s v="0022030019"/>
    <s v="PDP-HR &amp; Admn"/>
    <s v="2000STORIS"/>
    <s v="20057933"/>
    <s v="Akiyo Omori"/>
    <s v="No"/>
    <s v="sanjive.singh@amns.in"/>
    <s v="8093061471"/>
    <s v="847478"/>
    <s v="Sunila Das"/>
    <s v="Anil Matoo"/>
    <s v="Praveen Kuruvalli"/>
    <s v="Sunila Das"/>
    <n v="0"/>
  </r>
  <r>
    <n v="4044"/>
    <n v="20055802"/>
    <s v="Pawan Kumar Baid"/>
    <s v="AM/NS India"/>
    <s v="Onroll"/>
    <s v="M-6"/>
    <n v="6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Internal Audit Corporate"/>
    <m/>
    <s v="Internal Audit"/>
    <s v=""/>
    <s v=""/>
    <s v="Non Technical Support"/>
    <s v="Chairman's Secretariat"/>
    <s v="Chairman's Secretariat"/>
    <s v="74701000"/>
    <s v="Chairman's Secretariat"/>
    <s v="Mumbai"/>
    <d v="1986-12-23T00:00:00"/>
    <s v="36.08"/>
    <d v="2021-08-02T00:00:00"/>
    <d v="2044-12-31T00:00:00"/>
    <m/>
    <d v="2044-12-31T00:00:00"/>
    <n v="7773"/>
    <s v="B+"/>
    <s v="CA Final-2011 , BCom-2008 , Intermediate"/>
    <s v="09.02"/>
    <s v="02.01"/>
    <s v="11.03"/>
    <s v="00044335"/>
    <s v="Internal Audit Corporate"/>
    <s v="255223"/>
    <s v="Sr. Lead Internal Audit Corporate"/>
    <s v="Corporate"/>
    <s v="0090000035"/>
    <s v="Internal Audit"/>
    <s v="2000CS"/>
    <s v="20055486"/>
    <s v="Nilesh Likhite"/>
    <s v="No"/>
    <s v="pawan.baid@amns.in"/>
    <s v="9000240429"/>
    <s v="847480"/>
    <s v="Dhruv Vyas"/>
    <s v="Anil Matoo"/>
    <s v="Praveen Kuruvalli"/>
    <s v="Dhruv Vyas"/>
    <n v="0"/>
  </r>
  <r>
    <n v="4045"/>
    <n v="20055803"/>
    <s v="Jay Harshad Patrawala"/>
    <s v="AM/NS India"/>
    <s v="Onroll"/>
    <s v="M-6"/>
    <n v="6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- Investigation Audit"/>
    <m/>
    <s v="Internal Audit"/>
    <s v=""/>
    <s v=""/>
    <s v="Non Technical Support"/>
    <s v="Chairman's Secretariat"/>
    <s v="Chairman's Secretariat"/>
    <s v="74701000"/>
    <s v="Chairman's Secretariat"/>
    <s v="Mumbai"/>
    <d v="1988-05-09T00:00:00"/>
    <s v="35.04"/>
    <d v="2021-08-02T00:00:00"/>
    <d v="2046-05-31T00:00:00"/>
    <m/>
    <d v="2046-05-31T00:00:00"/>
    <n v="8289"/>
    <s v="B+"/>
    <s v="CA Final-2012 , MCom-2010 , BCom-2009 ,"/>
    <s v="08.09"/>
    <s v="02.01"/>
    <s v="10.10"/>
    <s v="00044336"/>
    <s v="Investigation Audit"/>
    <s v="255222"/>
    <s v="Sr. Lead - Investigation Audit"/>
    <s v="Corporate"/>
    <s v="0090000035"/>
    <s v="Internal Audit"/>
    <s v="2000CS"/>
    <s v="20055486"/>
    <s v="Nilesh Likhite"/>
    <s v="No"/>
    <s v="jay.patrawala@amns.in"/>
    <s v="7021681923"/>
    <s v="847484"/>
    <s v="Dhruv Vyas"/>
    <s v="Anil Matoo"/>
    <s v="Praveen Kuruvalli"/>
    <s v="Dhruv Vyas"/>
    <n v="0"/>
  </r>
  <r>
    <n v="4046"/>
    <n v="20055804"/>
    <s v="Ankushkumar Shah"/>
    <s v="AM/NS India"/>
    <s v="Onroll"/>
    <s v="M-5"/>
    <n v="5"/>
    <m/>
    <s v="MM"/>
    <s v="M"/>
    <s v="Corporate"/>
    <n v="7"/>
    <s v="2060"/>
    <x v="24"/>
    <s v="39.01"/>
    <s v="Sanjay Sharma"/>
    <s v="Sanjay Sharma"/>
    <n v="8"/>
    <s v="Business Development"/>
    <s v="Business Development"/>
    <s v="39"/>
    <s v="Senior Lead - Business Development"/>
    <m/>
    <s v="Business Development"/>
    <s v=""/>
    <s v=""/>
    <s v="Non Technical Support"/>
    <s v="Sales &amp; Marketing"/>
    <s v="Business Development"/>
    <s v="73103001"/>
    <s v="Business Development"/>
    <s v="Mumbai"/>
    <d v="1990-06-19T00:00:00"/>
    <s v="33.03"/>
    <d v="2021-08-02T00:00:00"/>
    <d v="2048-06-30T00:00:00"/>
    <m/>
    <d v="2048-06-30T00:00:00"/>
    <n v="9050"/>
    <s v="B+"/>
    <s v="CA Final-2014 , BCom-2011 , Intermediate"/>
    <s v="07.05"/>
    <s v="02.01"/>
    <s v="09.06"/>
    <s v="00050003"/>
    <s v="Business Development - M&amp;A"/>
    <s v="255228"/>
    <s v="Senior Lead - Business Development"/>
    <s v="Corporate"/>
    <s v="0090000032"/>
    <s v="Business Devpelopmen"/>
    <s v="2000CS"/>
    <s v="20055181"/>
    <s v="Sanjay Sharma"/>
    <s v="No"/>
    <s v="ankush.shah@amns.in"/>
    <s v="9773559406"/>
    <s v="847499"/>
    <s v="Dhruv Vyas"/>
    <s v="Anil Matoo"/>
    <s v="Praveen Kuruvalli"/>
    <s v="Dhruv Vyas"/>
    <n v="0"/>
  </r>
  <r>
    <n v="4047"/>
    <n v="20055806"/>
    <s v="Rahul Mulik"/>
    <s v="AM/NS India"/>
    <s v="Onroll"/>
    <s v="M-8"/>
    <n v="8"/>
    <m/>
    <s v="JM"/>
    <s v="M"/>
    <s v="Hazira"/>
    <n v="1"/>
    <s v="2084"/>
    <x v="17"/>
    <s v="23.09"/>
    <s v="Anil Matoo"/>
    <s v="Ashutosh Telang"/>
    <n v="6"/>
    <s v="HR &amp; Administration"/>
    <s v="Industrial Relations"/>
    <s v="23"/>
    <s v="Lead – Industrial Relations"/>
    <m/>
    <s v="Industrial Relations"/>
    <s v=""/>
    <s v=""/>
    <s v="Non Technical Support"/>
    <s v="Human Resources Management"/>
    <s v="Human Resources Management"/>
    <s v="73501002"/>
    <s v="Human Resources Operation"/>
    <s v="Hazira"/>
    <d v="1976-06-10T00:00:00"/>
    <s v="47.03"/>
    <d v="2021-07-29T00:00:00"/>
    <d v="2034-06-30T00:00:00"/>
    <m/>
    <d v="2034-06-30T00:00:00"/>
    <n v="3936"/>
    <s v="A+"/>
    <s v="MBA-2008 , Diploma-2003 , BCom-1998 , In"/>
    <s v="16.05"/>
    <s v="02.01"/>
    <s v="18.06"/>
    <s v="70309501"/>
    <s v="IR &amp; legal Compliance"/>
    <s v="255231"/>
    <s v="Lead – Industrial Relations"/>
    <s v="Hazira"/>
    <s v="0031950061"/>
    <s v="HZ-Human Resource"/>
    <s v="2000HWO"/>
    <s v="20056503"/>
    <s v="Bhavin Pandya"/>
    <s v="No"/>
    <s v="rahul.mulik@amns.in"/>
    <s v="9328896544"/>
    <s v="847561"/>
    <s v="Dhruv Vyas"/>
    <s v="Anil Matoo"/>
    <s v="Praveen Kuruvalli"/>
    <s v="Dhruv Vyas"/>
    <n v="0"/>
  </r>
  <r>
    <n v="4055"/>
    <n v="20055816"/>
    <s v="Khilan Keyur Shah"/>
    <s v="AM/NS India"/>
    <s v="Onroll"/>
    <s v="M-7"/>
    <n v="7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Lead - Investigation Audit"/>
    <m/>
    <s v="Internal Audit"/>
    <s v=""/>
    <s v=""/>
    <s v="Non Technical Support"/>
    <s v="Assurance &amp; Cost Control"/>
    <s v="Assurance &amp; Cost Control"/>
    <s v="73401001"/>
    <s v="Assurance &amp; Cost Control"/>
    <s v="Mumbai"/>
    <d v="1991-08-22T00:00:00"/>
    <s v="32.00"/>
    <d v="2021-08-09T00:00:00"/>
    <d v="2049-08-31T00:00:00"/>
    <m/>
    <d v="2049-08-31T00:00:00"/>
    <n v="9477"/>
    <s v="B+"/>
    <s v="CA Final-2014 , BCom-2012 , Intermediate"/>
    <s v="06.05"/>
    <s v="02.01"/>
    <s v="08.05"/>
    <s v="00044336"/>
    <s v="Investigation Audit"/>
    <s v="255646"/>
    <s v="Lead - Investigation Audit"/>
    <s v="Corporate"/>
    <s v="0090000035"/>
    <s v="Internal Audit"/>
    <s v="2000CS"/>
    <s v="20055803"/>
    <s v="Jay Harshad Patrawala"/>
    <s v="No"/>
    <s v="khilan.shah@amns.in"/>
    <s v="8976785833"/>
    <s v="848456"/>
    <s v="Dhruv Vyas"/>
    <s v="Anil Matoo"/>
    <s v="Praveen Kuruvalli"/>
    <s v="Dhruv Vyas"/>
    <n v="0"/>
  </r>
  <r>
    <n v="4057"/>
    <n v="20055819"/>
    <s v="Sachin Kumar Yadav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Procurement"/>
    <m/>
    <s v="Capex Procurement"/>
    <s v="Capex Procurement"/>
    <s v=""/>
    <s v="Non Technical Support"/>
    <s v="Operations"/>
    <s v="Operations"/>
    <s v="72103001"/>
    <s v="Operations"/>
    <s v="Hazira"/>
    <d v="1989-10-16T00:00:00"/>
    <s v="33.11"/>
    <d v="2021-08-09T00:00:00"/>
    <d v="2047-10-31T00:00:00"/>
    <m/>
    <d v="2047-10-31T00:00:00"/>
    <n v="8807"/>
    <s v="B+"/>
    <s v="BTech-2010 , Intermediate-2005 , SSLC-20"/>
    <s v="11.00"/>
    <s v="02.01"/>
    <s v="13.01"/>
    <s v="00053248"/>
    <s v="Capex Procurement"/>
    <s v="255649"/>
    <s v="Lead – Capex Procurement"/>
    <s v="Hazira"/>
    <s v="0031950059"/>
    <s v="HZ-Hazira Project"/>
    <s v="2000HWO"/>
    <s v="20055728"/>
    <s v="Mahebub Vahora"/>
    <s v="No"/>
    <s v="sachin.yadav1@amns.in"/>
    <s v="9510872052"/>
    <s v="848545"/>
    <s v="Dhruv Vyas"/>
    <s v="Anil Matoo"/>
    <s v="Praveen Kuruvalli"/>
    <s v="Dhruv Vyas"/>
    <n v="0"/>
  </r>
  <r>
    <n v="4064"/>
    <n v="20055833"/>
    <s v="Animesh Mishra"/>
    <s v="AM/NS India"/>
    <s v="Onroll"/>
    <s v="M-10"/>
    <n v="10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Graduate Engineer Trainee 2021"/>
    <m/>
    <s v="Capex Procurement"/>
    <s v="Capex Procurement"/>
    <s v=""/>
    <s v="Non Technical Support"/>
    <s v="Operations"/>
    <s v="Operations"/>
    <s v="72103001"/>
    <s v="Operations"/>
    <s v="Hazira"/>
    <d v="1999-03-01T00:00:00"/>
    <s v="24.06"/>
    <d v="2021-08-17T00:00:00"/>
    <d v="2057-02-28T00:00:00"/>
    <m/>
    <d v="2057-02-28T00:00:00"/>
    <n v="12215"/>
    <s v="AB+"/>
    <s v="BTech-2021 , Intermediate-2016 , SSLC-20"/>
    <s v=""/>
    <s v="02.01"/>
    <s v="02.01"/>
    <s v="00049360"/>
    <s v="Capex Services"/>
    <s v="256014"/>
    <s v="Graduate Engineer Trainee 2021"/>
    <s v="Hazira"/>
    <s v="0031950059"/>
    <s v="HZ-Hazira Project"/>
    <s v="2000HWO"/>
    <s v="20055727"/>
    <s v="Javed Akhtar"/>
    <s v="No"/>
    <s v="animesh.mishra@amns.in"/>
    <s v="9510882498"/>
    <s v="849368"/>
    <s v="Dhruv Vyas"/>
    <s v="Anil Matoo"/>
    <s v="Praveen Kuruvalli"/>
    <s v="Dhruv Vyas"/>
    <n v="0"/>
  </r>
  <r>
    <n v="4066"/>
    <n v="20055835"/>
    <s v="Anshima Pandey"/>
    <s v="AM/NS India"/>
    <s v="Onroll"/>
    <s v="M-10"/>
    <n v="10"/>
    <m/>
    <s v="JM"/>
    <s v="F"/>
    <s v="Hazira"/>
    <n v="1"/>
    <s v="2015"/>
    <x v="1"/>
    <s v="22.06"/>
    <s v="Anil Matoo"/>
    <s v="Ashutosh Telang"/>
    <n v="6"/>
    <s v="HR &amp; Administration"/>
    <s v="Human Resources"/>
    <s v="22"/>
    <s v="Graduate Engineer Trainee 2021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2000-05-06T00:00:00"/>
    <s v="23.04"/>
    <d v="2021-08-17T00:00:00"/>
    <d v="2058-05-31T00:00:00"/>
    <m/>
    <d v="2058-05-31T00:00:00"/>
    <n v="12672"/>
    <s v="B+"/>
    <s v="BTech-2021 , Intermediate-2017 , SSLC-20"/>
    <s v=""/>
    <s v="02.01"/>
    <s v="02.01"/>
    <s v="70472770"/>
    <s v="Hazira HR Operations - 1"/>
    <s v="256016"/>
    <s v="Lead - Human Resources"/>
    <s v="Hazira"/>
    <s v="0031950061"/>
    <s v="HZ-Human Resource"/>
    <s v="2000HWO"/>
    <s v="20001265"/>
    <s v="Lakshman Iyer"/>
    <s v="No"/>
    <s v="anshima.pandey@amns.in"/>
    <s v="9510885212"/>
    <s v="849369"/>
    <s v="Dhruv Vyas"/>
    <s v="Anil Matoo"/>
    <s v="Praveen Kuruvalli"/>
    <s v="Dhruv Vyas"/>
    <n v="0"/>
  </r>
  <r>
    <n v="4071"/>
    <n v="20055843"/>
    <s v="Harshita Ghildiyal"/>
    <s v="AM/NS India"/>
    <s v="Onroll"/>
    <s v="M-10"/>
    <n v="10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Graduate Engineer Trainee 2021"/>
    <m/>
    <s v="Capex Procurement"/>
    <s v="Capex Procurement"/>
    <s v=""/>
    <s v="Non Technical Support"/>
    <s v="Operations"/>
    <s v="Operations"/>
    <s v="72103001"/>
    <s v="Operations"/>
    <s v="Hazira"/>
    <d v="1999-10-31T00:00:00"/>
    <s v="23.10"/>
    <d v="2021-08-17T00:00:00"/>
    <d v="2057-10-31T00:00:00"/>
    <m/>
    <d v="2057-10-31T00:00:00"/>
    <n v="12460"/>
    <s v="B+"/>
    <s v="BTech-2021 , Intermediate-2017 , SSLC-20"/>
    <s v=""/>
    <s v="02.01"/>
    <s v="02.01"/>
    <s v="00049342"/>
    <s v="Capex Procurement"/>
    <s v="256024"/>
    <s v="Graduate Engineer Trainee 2021"/>
    <s v="Hazira"/>
    <s v="0031950059"/>
    <s v="HZ-Hazira Project"/>
    <s v="2000HWO"/>
    <s v="20055712"/>
    <s v="Ravi Goyal"/>
    <s v="Yes"/>
    <s v="harshita.ghildiyal@amns.in"/>
    <s v="9510892400"/>
    <s v="849375"/>
    <s v="Dhruv Vyas"/>
    <s v="Anil Matoo"/>
    <s v="Praveen Kuruvalli"/>
    <s v="Dhruv Vyas"/>
    <n v="0"/>
  </r>
  <r>
    <n v="4084"/>
    <n v="20055867"/>
    <s v="Tatikonda Manoj Sai Kumar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Management Trainee 2021"/>
    <m/>
    <s v="West"/>
    <s v="Hypermart"/>
    <s v=""/>
    <s v="Non Technical Support"/>
    <s v="Human Resources Management"/>
    <s v="Human Resources Management"/>
    <s v="73501001"/>
    <s v="Human Resources"/>
    <s v="Pune"/>
    <d v="1997-08-05T00:00:00"/>
    <s v="26.01"/>
    <d v="2021-08-17T00:00:00"/>
    <d v="2055-08-31T00:00:00"/>
    <m/>
    <d v="2055-08-31T00:00:00"/>
    <n v="11668"/>
    <s v="O+"/>
    <s v="MBA-2021 , BTech-2018 , Intermediate-201"/>
    <s v=""/>
    <s v="02.01"/>
    <s v="02.01"/>
    <s v="00048138"/>
    <s v="Hypermart west"/>
    <s v="256049"/>
    <s v="Sales Manager - Hypermart"/>
    <s v="Pune Facility"/>
    <s v="0035950073"/>
    <s v="Pune - S&amp;D Export"/>
    <s v="2000ESPF"/>
    <s v="20056847"/>
    <s v="Vikas Chotia"/>
    <s v="No"/>
    <s v="manoj.tatikonda@amns.in"/>
    <s v="7016458879"/>
    <s v="849391"/>
    <s v="Dhruv Vyas"/>
    <s v="Anil Matoo"/>
    <s v="Praveen Kuruvalli"/>
    <s v="Dhruv Vyas"/>
    <n v="0"/>
  </r>
  <r>
    <n v="4085"/>
    <n v="20055868"/>
    <s v="Sanidhya Singh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 2021"/>
    <m/>
    <s v="North"/>
    <s v="OEM"/>
    <s v=""/>
    <s v="Non Technical Support"/>
    <s v="Sales &amp; Marketing"/>
    <s v="Sales"/>
    <s v="73104004"/>
    <s v="OEM Sales"/>
    <s v="Noida"/>
    <d v="1996-07-24T00:00:00"/>
    <s v="27.01"/>
    <d v="2021-08-17T00:00:00"/>
    <d v="2054-07-31T00:00:00"/>
    <m/>
    <d v="2054-07-31T00:00:00"/>
    <n v="11272"/>
    <s v="AB-"/>
    <s v="MBA-2021 , BTech-2018 , Intermediate-201"/>
    <s v=""/>
    <s v="02.01"/>
    <s v="02.01"/>
    <s v="72150181"/>
    <s v="Sales North Zone"/>
    <s v="256050"/>
    <s v="Sales Manager"/>
    <s v="Hypermart"/>
    <s v="0031950057"/>
    <s v="HZ-HRC - Marketing"/>
    <s v="2000SRET"/>
    <s v="20002920"/>
    <s v="Sudhir Sharma"/>
    <s v="No"/>
    <s v="sanidhya.singh@amns.in"/>
    <s v="7016457342"/>
    <s v="849392"/>
    <s v="Dhruv Vyas"/>
    <s v="Anil Matoo"/>
    <s v="Praveen Kuruvalli"/>
    <s v="Dhruv Vyas"/>
    <n v="0"/>
  </r>
  <r>
    <n v="4086"/>
    <n v="20055870"/>
    <s v="Singireddy Sindhuja Reddy"/>
    <s v="AM/NS India"/>
    <s v="Onroll"/>
    <s v="M-8"/>
    <n v="8"/>
    <m/>
    <s v="JM"/>
    <s v="F"/>
    <s v="Pune Facility"/>
    <n v="4"/>
    <s v="2031"/>
    <x v="10"/>
    <s v="14.01"/>
    <s v="Ranjan Dhar"/>
    <s v="Alain Legrix De La Salle"/>
    <n v="3"/>
    <s v="Sales &amp; Marketing"/>
    <s v="Sales &amp; Marketing"/>
    <s v="14"/>
    <s v="Management Trainee 2021"/>
    <m/>
    <s v="South"/>
    <s v="OEM"/>
    <s v=""/>
    <s v="Non Technical Support"/>
    <s v="Human Resources Management"/>
    <s v="Human Resources Management"/>
    <s v="73501001"/>
    <s v="Human Resources"/>
    <s v="Pune"/>
    <d v="1994-12-07T00:00:00"/>
    <s v="28.09"/>
    <d v="2021-08-17T00:00:00"/>
    <d v="2052-12-31T00:00:00"/>
    <m/>
    <d v="2052-12-31T00:00:00"/>
    <n v="10695"/>
    <s v="O+"/>
    <s v="MBA-2021 , BTech-2016 , Intermediate-201"/>
    <s v=""/>
    <s v="02.01"/>
    <s v="02.01"/>
    <s v="00043882"/>
    <s v="International Sales"/>
    <s v="256052"/>
    <s v="Sales Manager"/>
    <s v="Pune Facility"/>
    <s v="0035950073"/>
    <s v="Pune - S&amp;D Export"/>
    <s v="2000ESPF"/>
    <s v="20037071"/>
    <s v="Amit Chandaliya"/>
    <s v="No"/>
    <s v="sindhuja.reddy@amns.in"/>
    <s v="9177997249"/>
    <s v="849394"/>
    <s v="Dhruv Vyas"/>
    <s v="Anil Matoo"/>
    <s v="Praveen Kuruvalli"/>
    <s v="Dhruv Vyas"/>
    <n v="0"/>
  </r>
  <r>
    <n v="4087"/>
    <n v="20055873"/>
    <s v="Ameesha Khandelwal"/>
    <s v="AM/NS India"/>
    <s v="Onroll"/>
    <s v="M-8"/>
    <n v="8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1"/>
    <m/>
    <s v="Sales Steering &amp; BD"/>
    <s v="Product Branding"/>
    <s v=""/>
    <s v="Non Technical Support"/>
    <s v="Sales &amp; Marketing"/>
    <s v="Sales &amp; Marketing"/>
    <s v="73101001"/>
    <s v="Sales &amp; Marketing"/>
    <s v="Mumbai"/>
    <d v="1997-06-19T00:00:00"/>
    <s v="26.03"/>
    <d v="2021-08-17T00:00:00"/>
    <d v="2055-06-30T00:00:00"/>
    <m/>
    <d v="2055-06-30T00:00:00"/>
    <n v="11606"/>
    <s v="B+"/>
    <s v="MBA-2021 , BCom-2018 , Intermediate-2015"/>
    <s v=""/>
    <s v="02.01"/>
    <s v="02.01"/>
    <s v="00044762"/>
    <s v="Branding"/>
    <s v="256055"/>
    <s v="Brand Manager"/>
    <s v="Corporate"/>
    <s v="0080000001"/>
    <s v="Head-Marketing"/>
    <s v="2000CS"/>
    <s v="20056091"/>
    <s v="Pooja Rawal"/>
    <s v="No"/>
    <s v="ameesha.khandelwal@amns.in"/>
    <s v="7016451049"/>
    <s v="849397"/>
    <s v="Dhruv Vyas"/>
    <s v="Anil Matoo"/>
    <s v="Praveen Kuruvalli"/>
    <s v="Dhruv Vyas"/>
    <n v="0"/>
  </r>
  <r>
    <n v="4088"/>
    <n v="20055874"/>
    <s v="Meet Pandit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1"/>
    <m/>
    <s v="Sales Steering &amp; BD"/>
    <s v="Product Branding"/>
    <s v=""/>
    <s v="Non Technical Support"/>
    <s v="Sales &amp; Marketing"/>
    <s v="Sales &amp; Marketing"/>
    <s v="73101001"/>
    <s v="Sales &amp; Marketing"/>
    <s v="Mumbai"/>
    <d v="1997-08-06T00:00:00"/>
    <s v="26.01"/>
    <d v="2021-08-17T00:00:00"/>
    <d v="2055-08-31T00:00:00"/>
    <m/>
    <d v="2055-08-31T00:00:00"/>
    <n v="11668"/>
    <s v="AB+"/>
    <s v="MBA-2021 , BTech-2019 , Intermediate-201"/>
    <s v=""/>
    <s v="02.01"/>
    <s v="02.01"/>
    <s v="00044762"/>
    <s v="Branding"/>
    <s v="256056"/>
    <s v="Brand Manager"/>
    <s v="Corporate"/>
    <s v="0080000001"/>
    <s v="Head-Marketing"/>
    <s v="2000CS"/>
    <s v="20056091"/>
    <s v="Pooja Rawal"/>
    <s v="No"/>
    <s v="meet.pandit@amns.in"/>
    <s v="7016455896"/>
    <s v="849398"/>
    <s v="Dhruv Vyas"/>
    <s v="Anil Matoo"/>
    <s v="Praveen Kuruvalli"/>
    <s v="Dhruv Vyas"/>
    <n v="0"/>
  </r>
  <r>
    <n v="4089"/>
    <n v="20055879"/>
    <s v="Mahima Champaneria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Management Trainee 2021"/>
    <m/>
    <s v="Performance Management"/>
    <s v="Performance Management"/>
    <s v=""/>
    <s v="Non Technical Support"/>
    <s v="Human Resources Management"/>
    <s v="Human Resources Management"/>
    <s v="73501002"/>
    <s v="Human Resources Operation"/>
    <s v="AM/NS Hazira"/>
    <d v="1998-11-13T00:00:00"/>
    <s v="24.10"/>
    <d v="2021-08-17T00:00:00"/>
    <d v="2056-11-30T00:00:00"/>
    <m/>
    <d v="2056-11-30T00:00:00"/>
    <n v="12125"/>
    <s v="A+"/>
    <s v="MBA-2021 , Bachelor Equivalent-2017 , In"/>
    <s v=""/>
    <s v="02.01"/>
    <s v="02.01"/>
    <s v="00049304"/>
    <s v="PM - Internal Control"/>
    <s v="70495104"/>
    <s v="Management Trainee 2021"/>
    <s v="Hazira"/>
    <s v="0031950043"/>
    <s v="HZ-Performance Manag"/>
    <s v="2000HWO"/>
    <s v="20006833"/>
    <s v="Hardik Vasavada"/>
    <s v="No"/>
    <s v="mahima.champaneria@amns.in"/>
    <s v="7016455608"/>
    <s v="821406"/>
    <s v="Dhruv Vyas"/>
    <s v="Anil Matoo"/>
    <s v="Praveen Kuruvalli"/>
    <s v="Dhruv Vyas"/>
    <n v="0"/>
  </r>
  <r>
    <n v="4095"/>
    <n v="20055886"/>
    <s v="Parth Kathiriya"/>
    <s v="AM/NS India"/>
    <s v="Onroll"/>
    <s v="M-11"/>
    <n v="11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Engineer - Contracts"/>
    <m/>
    <s v="Contracts"/>
    <s v="Contracts"/>
    <s v=""/>
    <s v="Non Technical Support"/>
    <s v="Commercial"/>
    <s v="Contracts &amp; Tenders and E-bid"/>
    <s v="73805001"/>
    <s v="Contracts &amp; Tenders and E"/>
    <s v="Hazira"/>
    <d v="1998-07-01T00:00:00"/>
    <s v="25.02"/>
    <d v="2021-07-15T00:00:00"/>
    <d v="2056-06-30T00:00:00"/>
    <m/>
    <d v="2056-06-30T00:00:00"/>
    <n v="11972"/>
    <s v="A+"/>
    <s v="Diploma-2017 , SSLC-2014"/>
    <s v=""/>
    <s v="02.02"/>
    <s v="02.02"/>
    <s v="70495670"/>
    <s v="Contracts"/>
    <s v="256409"/>
    <s v="Engineer - Contracts"/>
    <s v="Hazira"/>
    <s v="0031950047"/>
    <s v="HZ-Contracts"/>
    <s v="2000HWO"/>
    <s v="20000795"/>
    <s v="Pankaj Chaturvedi"/>
    <s v="No"/>
    <s v="parth.kathiriya@amns.in"/>
    <s v="9727740427"/>
    <s v="26010"/>
    <s v="Dhruv Vyas"/>
    <s v="Anil Matoo"/>
    <s v="Praveen Kuruvalli"/>
    <s v="Dhruv Vyas"/>
    <n v="0"/>
  </r>
  <r>
    <n v="4164"/>
    <n v="20055959"/>
    <s v="Rajesh Kumar Pradhan"/>
    <s v="AM/NS India"/>
    <s v="Onroll"/>
    <s v="M-7"/>
    <n v="7"/>
    <m/>
    <s v="MM"/>
    <s v="M"/>
    <s v="Odisha"/>
    <n v="2"/>
    <s v="2031"/>
    <x v="10"/>
    <s v="14.01"/>
    <s v="Ranjan Dhar"/>
    <s v="Alain Legrix De La Salle"/>
    <n v="3"/>
    <s v="Sales &amp; Marketing"/>
    <s v="Sales &amp; Marketing"/>
    <s v="14"/>
    <s v="Lead – Iron Ore Sales (Domestic)"/>
    <m/>
    <s v="Iron Ore &amp; Infra"/>
    <s v="Iron Ore &amp; Infra"/>
    <s v=""/>
    <s v="Non Technical Support"/>
    <s v="Commercial"/>
    <s v="Procurement"/>
    <s v="73803001"/>
    <s v="Procurement"/>
    <s v="Bhubaneswar"/>
    <d v="1986-07-11T00:00:00"/>
    <s v="37.02"/>
    <d v="2021-08-17T00:00:00"/>
    <d v="2044-07-31T00:00:00"/>
    <m/>
    <d v="2044-07-31T00:00:00"/>
    <n v="7620"/>
    <s v="B+"/>
    <s v="PG Diploma-2009 , BTech-2007 , Intermedi"/>
    <s v="10.10"/>
    <s v="02.01"/>
    <s v="12.10"/>
    <s v="00044347"/>
    <s v="Sales - Iron Ore"/>
    <s v="256857"/>
    <s v="Lead – Iron Ore Sales (Domestic)"/>
    <s v="Odisha"/>
    <s v="0031950048"/>
    <s v="HZ-Procurment Depart"/>
    <s v="2000STORIS"/>
    <s v="20003630"/>
    <s v="Mukul Manchanda"/>
    <s v="No"/>
    <s v="rajesh.pradhan@amns.in"/>
    <s v="9937017593"/>
    <s v="850355"/>
    <s v="Sunila Das"/>
    <s v="Anil Matoo"/>
    <s v="Praveen Kuruvalli"/>
    <s v="Sunila Das"/>
    <n v="0"/>
  </r>
  <r>
    <n v="4165"/>
    <n v="20055961"/>
    <s v="Ayesha Gaglani"/>
    <s v="AM/NS India"/>
    <s v="Onroll"/>
    <s v="M-7"/>
    <n v="7"/>
    <m/>
    <s v="M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Sr. Lead - Iron Ore Sales Exports"/>
    <m/>
    <s v="Iron Ore &amp; Infra"/>
    <s v="Iron Ore &amp; Infra"/>
    <s v=""/>
    <s v="Non Technical Support"/>
    <s v="Commercial"/>
    <s v="Procurement"/>
    <s v="73803001"/>
    <s v="Procurement"/>
    <s v="Mumbai"/>
    <d v="1985-09-12T00:00:00"/>
    <s v="38.00"/>
    <d v="2021-08-18T00:00:00"/>
    <d v="2043-09-30T00:00:00"/>
    <m/>
    <d v="2043-09-30T00:00:00"/>
    <n v="7315"/>
    <s v="O+"/>
    <s v="PG Diploma-2014 , BE-2008 , Intermediate"/>
    <s v="10.04"/>
    <s v="02.01"/>
    <s v="12.05"/>
    <s v="00044347"/>
    <s v="Sales - Iron Ore"/>
    <s v="256859"/>
    <s v="Sr. Lead - Iron Ore Sales Exports"/>
    <s v="Corporate"/>
    <s v="0031950048"/>
    <s v="HZ-Procurment Depart"/>
    <s v="2000CS"/>
    <s v="20003630"/>
    <s v="Mukul Manchanda"/>
    <s v="No"/>
    <s v="ayesha.gaglani@amns.in"/>
    <s v="7894414970"/>
    <s v="850365"/>
    <s v="Dhruv Vyas"/>
    <s v="Anil Matoo"/>
    <s v="Praveen Kuruvalli"/>
    <s v="Dhruv Vyas"/>
    <n v="0"/>
  </r>
  <r>
    <n v="4166"/>
    <n v="20055962"/>
    <s v="Navin Kewalramani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– GST"/>
    <m/>
    <s v="Taxation"/>
    <s v="In Direct - Taxation"/>
    <s v=""/>
    <s v="Non Technical Support"/>
    <s v="Finance &amp; Accounts"/>
    <s v="Taxation"/>
    <s v="73904002"/>
    <s v="Indirect Taxation"/>
    <s v="AM/NS Hazira"/>
    <d v="1972-12-05T00:00:00"/>
    <s v="50.09"/>
    <d v="2021-08-19T00:00:00"/>
    <d v="2030-12-31T00:00:00"/>
    <m/>
    <d v="2030-12-31T00:00:00"/>
    <n v="2659"/>
    <s v="O+"/>
    <s v="CA Final-2004 , BCom-1995 , Intermediate"/>
    <s v="16.00"/>
    <s v="02.01"/>
    <s v="18.00"/>
    <s v="70282653"/>
    <s v="GST"/>
    <s v="256860"/>
    <s v="Head – GST"/>
    <s v="Hazira"/>
    <s v="0090000033"/>
    <s v="Corporate Taxation"/>
    <s v="2000HWO"/>
    <s v="20055193"/>
    <s v="Anuprita Kaushik Mehta"/>
    <s v="No"/>
    <s v="navin.kewalramani@amns.in"/>
    <s v="9510858997"/>
    <s v="850385"/>
    <s v="Dhruv Vyas"/>
    <s v="Anil Matoo"/>
    <s v="Praveen Kuruvalli"/>
    <s v="Dhruv Vyas"/>
    <n v="0"/>
  </r>
  <r>
    <n v="4172"/>
    <n v="20055971"/>
    <s v="Mohit Rank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Accounts Receivable"/>
    <m/>
    <s v="Working Capital"/>
    <s v="Accounts Receivable"/>
    <s v=""/>
    <s v="Non Technical Support"/>
    <s v=""/>
    <s v=""/>
    <s v=""/>
    <s v=""/>
    <s v="Khopoli"/>
    <d v="1991-07-15T00:00:00"/>
    <s v="32.02"/>
    <d v="2021-08-23T00:00:00"/>
    <d v="2049-07-31T00:00:00"/>
    <m/>
    <d v="2049-07-31T00:00:00"/>
    <n v="9446"/>
    <s v="AB+"/>
    <s v="BCom-2012 , CA Inter-2011 , Intermediate"/>
    <s v="04.05"/>
    <s v="02.00"/>
    <s v="06.05"/>
    <s v="70495565"/>
    <s v="F&amp;A Hypermart &amp; Service Centre"/>
    <s v="256995"/>
    <s v="Lead – Accounts Receivable"/>
    <s v="Hazira"/>
    <s v="0031950045"/>
    <s v="HZ-Works Accounts-Ha"/>
    <s v="2000HWO"/>
    <s v="20055504"/>
    <s v="Vivek Choudhary"/>
    <s v="No"/>
    <s v="mohit.ranka@amns.in"/>
    <s v="9510864658"/>
    <s v="850577"/>
    <s v="Dhruv Vyas"/>
    <s v="Anil Matoo"/>
    <s v="Praveen Kuruvalli"/>
    <s v="Dhruv Vyas"/>
    <n v="0"/>
  </r>
  <r>
    <n v="4179"/>
    <n v="20055985"/>
    <s v="Dilip Chandra Gelli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– Plate Sales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86-08-13T00:00:00"/>
    <s v="37.01"/>
    <d v="2021-09-02T00:00:00"/>
    <d v="2044-08-31T00:00:00"/>
    <m/>
    <d v="2044-08-31T00:00:00"/>
    <n v="7651"/>
    <s v="B+"/>
    <s v="MTech-2015 , AMIE-2010 , Intermediate-20"/>
    <s v="16.08"/>
    <s v="02.00"/>
    <s v="18.08"/>
    <s v="00052467"/>
    <s v="Plate"/>
    <s v="257876"/>
    <s v="Section Head – Plate Products"/>
    <s v="Corporate"/>
    <s v="0031950057"/>
    <s v="HZ-HRC - Marketing"/>
    <s v="2000CS"/>
    <s v="20008508"/>
    <s v="Satyajit Mohapatra"/>
    <s v="No"/>
    <s v="dilip.chandra@amns.in"/>
    <s v="9867776419"/>
    <s v="851934"/>
    <s v="Dhruv Vyas"/>
    <s v="Anil Matoo"/>
    <s v="Praveen Kuruvalli"/>
    <s v="Dhruv Vyas"/>
    <n v="0"/>
  </r>
  <r>
    <n v="4187"/>
    <n v="20056010"/>
    <s v="Maheswar Gupta"/>
    <s v="AM/NS India"/>
    <s v="Onroll"/>
    <s v="M-8"/>
    <n v="8"/>
    <m/>
    <s v="JM"/>
    <s v="M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Assurance &amp; Cost Control"/>
    <s v="Assurance &amp; Cost Control"/>
    <s v="73401001"/>
    <s v="Assurance &amp; Cost Control"/>
    <s v="Paradeep"/>
    <d v="1993-05-22T00:00:00"/>
    <s v="30.03"/>
    <d v="2021-09-06T00:00:00"/>
    <d v="2051-05-31T00:00:00"/>
    <m/>
    <d v="2051-05-31T00:00:00"/>
    <n v="10115"/>
    <s v="O+"/>
    <s v="MCom-2020 , BCom-2017 , CA Final-2016 ,"/>
    <s v="05.03"/>
    <s v="02.00"/>
    <s v="07.03"/>
    <s v="00044333"/>
    <s v="Internal Audit -Odisha"/>
    <s v="70310796"/>
    <s v="Lead - Internal Audit"/>
    <s v="Odisha"/>
    <s v="0090000035"/>
    <s v="Internal Audit"/>
    <s v="2000STORIS"/>
    <s v="20055745"/>
    <s v="Ajay Kumar Sharma"/>
    <s v="No"/>
    <s v="maheshwar.gupta@amns.in"/>
    <s v="9040394484"/>
    <s v="853925"/>
    <s v="Dhruv Vyas"/>
    <s v="Anil Matoo"/>
    <s v="Praveen Kuruvalli"/>
    <s v="Dhruv Vyas"/>
    <n v="0"/>
  </r>
  <r>
    <n v="4189"/>
    <n v="20056012"/>
    <s v="Ujwal Punia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Incharge Administration"/>
    <m/>
    <s v="Security, Vigilance &amp; Fire Services"/>
    <s v=""/>
    <s v=""/>
    <s v="Non Technical Support"/>
    <s v="Administration"/>
    <s v="Administration"/>
    <s v="74101001"/>
    <s v="Administration"/>
    <s v="Hazira"/>
    <d v="1984-09-10T00:00:00"/>
    <s v="39.00"/>
    <d v="2021-09-09T00:00:00"/>
    <d v="2042-09-30T00:00:00"/>
    <m/>
    <d v="2042-09-30T00:00:00"/>
    <n v="6950"/>
    <s v="B+"/>
    <s v="PG Diploma-2012 , LLB-2007 , BA-2004 , I"/>
    <s v="13.06"/>
    <s v="02.00"/>
    <s v="15.06"/>
    <s v="00049721"/>
    <s v="Regional &amp; Corporate offices"/>
    <s v="258976"/>
    <s v="Lead-Administration"/>
    <s v="Hazira"/>
    <s v="0031950030"/>
    <s v="HZ-Admin"/>
    <s v="2000HWO"/>
    <s v="20057888"/>
    <s v="Narinder Lamba"/>
    <s v="No"/>
    <s v="ujwal.punia@amns.in"/>
    <s v="7016462730"/>
    <s v="854007"/>
    <s v="Manjit Shah"/>
    <s v="Anil Matoo"/>
    <s v="Praveen Kuruvalli"/>
    <s v="Lakshman Iyer"/>
    <n v="0"/>
  </r>
  <r>
    <n v="4197"/>
    <n v="20056020"/>
    <s v="Samarjeet Ghosh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– Capex Services"/>
    <m/>
    <s v="Capex Procurement"/>
    <s v="Capex Procurement"/>
    <s v=""/>
    <s v="Non Technical Support"/>
    <s v="Operations"/>
    <s v="Operations"/>
    <s v="72103001"/>
    <s v="Operations"/>
    <s v="Hazira"/>
    <d v="1996-01-02T00:00:00"/>
    <s v="27.08"/>
    <d v="2021-09-18T00:00:00"/>
    <d v="2054-01-31T00:00:00"/>
    <m/>
    <d v="2054-01-31T00:00:00"/>
    <n v="11091"/>
    <s v="AB+"/>
    <s v="BTech-2018 , Intermediate-2013 , SSLC-20"/>
    <s v="03.03"/>
    <s v="02.00"/>
    <s v="05.02"/>
    <s v="00049359"/>
    <s v="Capex Services"/>
    <s v="259465"/>
    <s v="Officer– Capex Services"/>
    <s v="Hazira"/>
    <s v="0031950059"/>
    <s v="HZ-Hazira Project"/>
    <s v="2000HWO"/>
    <s v="20055446"/>
    <s v="Chitrang Rana"/>
    <s v="No"/>
    <s v="samarjeet.ghosh@amns.in"/>
    <s v="8160929757"/>
    <s v="855758"/>
    <s v="Dhruv Vyas"/>
    <s v="Anil Matoo"/>
    <s v="Praveen Kuruvalli"/>
    <s v="Dhruv Vyas"/>
    <n v="0"/>
  </r>
  <r>
    <n v="4204"/>
    <n v="20056028"/>
    <s v="Ashish Vitthalrao Raut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– Technical Marketing &amp; Application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Ahmedabad"/>
    <d v="1990-12-03T00:00:00"/>
    <s v="32.09"/>
    <d v="2021-09-27T00:00:00"/>
    <d v="2048-12-31T00:00:00"/>
    <m/>
    <d v="2048-12-31T00:00:00"/>
    <n v="9234"/>
    <s v="B+"/>
    <s v="BE-2012 , Intermediate-2008 , SSLC-2006"/>
    <s v="08.03"/>
    <s v="01.11"/>
    <s v="10.02"/>
    <s v="00052460"/>
    <s v="Auto &amp; YG"/>
    <s v="260497"/>
    <s v="Lead – Application Engineer"/>
    <s v="Hazira"/>
    <s v="0031950057"/>
    <s v="HZ-HRC - Marketing"/>
    <s v="2000HWO"/>
    <s v="20056155"/>
    <s v="Kondapalli Venkateswarlu"/>
    <s v="No"/>
    <s v="ashish.raut@amns.in"/>
    <s v="7775833791"/>
    <s v="857813"/>
    <s v="Dhruv Vyas"/>
    <s v="Anil Matoo"/>
    <s v="Praveen Kuruvalli"/>
    <s v="Dhruv Vyas"/>
    <n v="0"/>
  </r>
  <r>
    <n v="4205"/>
    <n v="20056029"/>
    <s v="Ananya Maitra"/>
    <s v="AM/NS India"/>
    <s v="Onroll"/>
    <s v="M-4"/>
    <n v="4"/>
    <m/>
    <s v="SM"/>
    <s v="F"/>
    <s v="Hazira"/>
    <n v="1"/>
    <s v="2013"/>
    <x v="0"/>
    <s v="20.01"/>
    <s v="Akiyo Omori"/>
    <s v="Amit Harlalka"/>
    <n v="5"/>
    <s v="Finance &amp; Accounts"/>
    <s v="Finance &amp; Accounts"/>
    <s v="20"/>
    <s v="Head of Capex – Finance &amp; Controlling"/>
    <m/>
    <s v="Capex Finance"/>
    <s v="Capex Finance"/>
    <s v=""/>
    <s v="Non Technical Support"/>
    <s v="Finance &amp; Accounts"/>
    <s v="Costing"/>
    <s v="73906001"/>
    <s v="Costing"/>
    <s v="AM/NS Hazira"/>
    <d v="1974-06-05T00:00:00"/>
    <s v="49.03"/>
    <d v="2021-09-30T00:00:00"/>
    <d v="2032-06-30T00:00:00"/>
    <m/>
    <d v="2032-06-30T00:00:00"/>
    <n v="3206"/>
    <s v="A+"/>
    <s v="Master's Equivalent-1998 , BSc-1996 , In"/>
    <s v="33.00"/>
    <s v="01.11"/>
    <s v="35.00"/>
    <s v="00045705"/>
    <s v="Capex – Finance &amp; Controlling"/>
    <s v="260496"/>
    <s v="Head of Capex – Finance &amp; Controlling"/>
    <s v="Hazira"/>
    <s v="0090000038"/>
    <s v="CAPEX FINANCE"/>
    <s v="2000HWO"/>
    <s v="20057933"/>
    <s v="Akiyo Omori"/>
    <s v="No"/>
    <s v="ananya.maitra@amns.in"/>
    <s v="9820409423"/>
    <s v="857829"/>
    <s v="Dhruv Vyas"/>
    <s v="Anil Matoo"/>
    <s v="Praveen Kuruvalli"/>
    <s v="Dhruv Vyas"/>
    <n v="0"/>
  </r>
  <r>
    <n v="4209"/>
    <n v="20056033"/>
    <s v="Afreen Hanif Shaikh"/>
    <s v="AM/NS India"/>
    <s v="Onroll"/>
    <s v="M-9"/>
    <n v="9"/>
    <m/>
    <s v="JM"/>
    <s v="F"/>
    <s v="Corporate"/>
    <n v="7"/>
    <s v="2014"/>
    <x v="16"/>
    <s v="03.01"/>
    <s v="Nilesh Likhite"/>
    <s v="Dilip Oommen"/>
    <n v="1"/>
    <s v="CEO Office"/>
    <s v="Internal Audit"/>
    <s v="03"/>
    <s v="Officer - Internal Audit"/>
    <m/>
    <s v="Internal Audit"/>
    <s v=""/>
    <s v=""/>
    <s v="Non Technical Support"/>
    <s v="Chairman's Secretariat"/>
    <s v="Chairman's Secretariat"/>
    <s v="74701000"/>
    <s v="Chairman's Secretariat"/>
    <s v="Mumbai"/>
    <d v="1992-02-29T00:00:00"/>
    <s v="31.06"/>
    <d v="2021-10-04T00:00:00"/>
    <d v="2050-02-28T00:00:00"/>
    <m/>
    <d v="2050-02-28T00:00:00"/>
    <n v="9658"/>
    <s v="B+"/>
    <s v="BCom-2012 , High School-2009 , SSLC-2007"/>
    <s v="09.01"/>
    <s v="01.11"/>
    <s v="11.00"/>
    <s v="00044335"/>
    <s v="Internal Audit Corporate"/>
    <s v="261002"/>
    <s v="Officer - Internal Audit Corporate Asset"/>
    <s v="Corporate"/>
    <s v="0090000035"/>
    <s v="Internal Audit"/>
    <s v="2000CS"/>
    <s v="20055802"/>
    <s v="Pawan Kumar Baid"/>
    <s v="No"/>
    <s v="afreen.shaikh@amns.in"/>
    <s v="9867181893"/>
    <s v="858640"/>
    <s v="Dhruv Vyas"/>
    <s v="Anil Matoo"/>
    <s v="Praveen Kuruvalli"/>
    <s v="Dhruv Vyas"/>
    <n v="0"/>
  </r>
  <r>
    <n v="4211"/>
    <n v="20056035"/>
    <s v="Arjun Ranjan Ogale"/>
    <s v="AM/NS India"/>
    <s v="Onroll"/>
    <s v="M-6"/>
    <n v="6"/>
    <m/>
    <s v="MM"/>
    <s v="M"/>
    <s v="Hazira"/>
    <n v="1"/>
    <s v="2270"/>
    <x v="25"/>
    <s v="38.01"/>
    <s v="Hrishikesh Kamat"/>
    <s v="Hrishikesh Kamat"/>
    <n v="7"/>
    <s v="Procurement"/>
    <s v="Logistics"/>
    <s v="38"/>
    <s v="Lead – Logistics"/>
    <m/>
    <s v="Logistics"/>
    <s v="Logistics"/>
    <s v=""/>
    <s v="Non Technical Support"/>
    <s v=""/>
    <s v=""/>
    <s v="70494644"/>
    <s v="Chief Procurement Officer"/>
    <s v="AM/NS Hazira"/>
    <d v="1984-01-14T00:00:00"/>
    <s v="39.08"/>
    <d v="2021-10-01T00:00:00"/>
    <d v="2042-01-31T00:00:00"/>
    <m/>
    <d v="2042-01-31T00:00:00"/>
    <n v="6708"/>
    <s v="B+"/>
    <s v="MBA-2009 , BE-2005 , Intermediate-2001 ,"/>
    <s v="14.11"/>
    <s v="01.11"/>
    <s v="16.10"/>
    <s v="70495712"/>
    <s v="Logistics"/>
    <s v="261001"/>
    <s v="Lead – Logistics"/>
    <s v="Hazira"/>
    <s v="0031950053"/>
    <s v="HZ-Logistics"/>
    <s v="2000HWO"/>
    <s v="20055688"/>
    <s v="Vibhavana Jaiswal"/>
    <s v="No"/>
    <s v="arjun.ogale@amns.in"/>
    <s v="9925246242"/>
    <s v="795217"/>
    <s v="Dhruv Vyas"/>
    <s v="Anil Matoo"/>
    <s v="Praveen Kuruvalli"/>
    <s v="Dhruv Vyas"/>
    <n v="0"/>
  </r>
  <r>
    <n v="4213"/>
    <n v="20056037"/>
    <s v="Ashish Hasmukhrai Sutaria"/>
    <s v="AM/NS India"/>
    <s v="Onroll"/>
    <s v="M-5"/>
    <n v="5"/>
    <m/>
    <s v="MM"/>
    <s v="M"/>
    <s v="Hazira"/>
    <n v="1"/>
    <s v="2270"/>
    <x v="25"/>
    <s v="38.01"/>
    <s v="Hrishikesh Kamat"/>
    <s v="Hrishikesh Kamat"/>
    <n v="7"/>
    <s v="Procurement"/>
    <s v="Logistics"/>
    <s v="38"/>
    <s v="Sr. Lead – Logistics"/>
    <m/>
    <s v="Logistics"/>
    <s v="Logistics"/>
    <s v=""/>
    <s v="Non Technical Support"/>
    <s v=""/>
    <s v=""/>
    <s v="70494644"/>
    <s v="Chief Procurement Officer"/>
    <s v="AM/NS Hazira"/>
    <d v="1976-09-12T00:00:00"/>
    <s v="47.00"/>
    <d v="2021-10-01T00:00:00"/>
    <d v="2034-09-30T00:00:00"/>
    <m/>
    <d v="2034-09-30T00:00:00"/>
    <n v="4028"/>
    <s v="B+"/>
    <s v="MBA-2007 , BCom-1996 , Intermediate-1993"/>
    <s v="25.00"/>
    <s v="01.11"/>
    <s v="27.00"/>
    <s v="70495712"/>
    <s v="Logistics"/>
    <s v="261000"/>
    <s v="Sr. Lead – Logistics"/>
    <s v="Hazira"/>
    <s v="0031950053"/>
    <s v="HZ-Logistics"/>
    <s v="2000HWO"/>
    <s v="20055688"/>
    <s v="Vibhavana Jaiswal"/>
    <s v="No"/>
    <s v="ashish.sutaria@amns.in"/>
    <s v="9879203054"/>
    <s v="795213"/>
    <s v="Dhruv Vyas"/>
    <s v="Anil Matoo"/>
    <s v="Praveen Kuruvalli"/>
    <s v="Dhruv Vyas"/>
    <n v="0"/>
  </r>
  <r>
    <n v="4218"/>
    <n v="20056045"/>
    <s v="Patel Vikas Amitbhai"/>
    <s v="AM/NS India"/>
    <s v="Onroll"/>
    <s v="M-8"/>
    <n v="8"/>
    <m/>
    <s v="J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"/>
    <s v=""/>
    <s v="Non Technical Support"/>
    <s v="Commercial"/>
    <s v="Contracts &amp; Tenders and E-bid"/>
    <s v="73805001"/>
    <s v="Contracts &amp; Tenders and E"/>
    <s v="AM/NS Hazira"/>
    <d v="1988-07-11T00:00:00"/>
    <s v="35.02"/>
    <d v="2021-10-18T00:00:00"/>
    <d v="2046-07-31T00:00:00"/>
    <m/>
    <d v="2046-07-31T00:00:00"/>
    <n v="8350"/>
    <s v="O+"/>
    <s v="MBA-2010 , Bachelor Equivalent-2008 , In"/>
    <s v="11.07"/>
    <s v="01.11"/>
    <s v="13.05"/>
    <s v="70495436"/>
    <s v="Land Property"/>
    <s v="261995"/>
    <s v="Lead - Land Matters"/>
    <s v="Hazira"/>
    <s v="0031950038"/>
    <s v="HZ-Hazira Land Acqui"/>
    <s v="2000HWO"/>
    <s v="20055714"/>
    <s v="Dipakkumar Shah"/>
    <s v="No"/>
    <s v="vikas.patel1@amns.in"/>
    <s v="9824163653"/>
    <s v="859864"/>
    <s v="Dhruv Vyas"/>
    <s v="Anil Matoo"/>
    <s v="Praveen Kuruvalli"/>
    <s v="Dhruv Vyas"/>
    <n v="0"/>
  </r>
  <r>
    <n v="4220"/>
    <n v="20056052"/>
    <s v="Kishan Patel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Procurement MRO Hazira"/>
    <s v="Procurement"/>
    <s v=""/>
    <s v="Non Technical Support"/>
    <s v=""/>
    <s v=""/>
    <s v=""/>
    <s v=""/>
    <s v="AM/NS Hazira"/>
    <d v="1996-11-28T00:00:00"/>
    <s v="26.09"/>
    <d v="2021-10-25T00:00:00"/>
    <d v="2054-11-30T00:00:00"/>
    <m/>
    <d v="2054-11-30T00:00:00"/>
    <n v="11394"/>
    <s v=""/>
    <s v="Diploma-2018 , Intermediate-2014 , SSLC-"/>
    <s v=""/>
    <s v="01.10"/>
    <s v="01.10"/>
    <s v="00044542"/>
    <s v="Procurement -Ferroalloys"/>
    <s v="262547"/>
    <s v="Engineer"/>
    <s v="Hazira"/>
    <s v="0031950048"/>
    <s v="HZ-Procurment Depart"/>
    <s v="2000HWO"/>
    <s v="20001370"/>
    <s v="Tejas Desai"/>
    <s v="No"/>
    <s v="kishan.patel@amns.in"/>
    <s v="9879100716"/>
    <s v="792097"/>
    <s v="Dhruv Vyas"/>
    <s v="Anil Matoo"/>
    <s v="Praveen Kuruvalli"/>
    <s v="Dhruv Vyas"/>
    <n v="0"/>
  </r>
  <r>
    <n v="4231"/>
    <n v="20056067"/>
    <s v="Deep Patel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Procurement MRO Hazira"/>
    <s v="Procurement"/>
    <s v=""/>
    <s v="Non Technical Support"/>
    <s v=""/>
    <s v=""/>
    <s v=""/>
    <s v=""/>
    <s v="AM/NS Hazira"/>
    <d v="1994-03-23T00:00:00"/>
    <s v="29.05"/>
    <d v="2021-10-25T00:00:00"/>
    <d v="2052-03-31T00:00:00"/>
    <m/>
    <d v="2052-03-31T00:00:00"/>
    <n v="10420"/>
    <s v=""/>
    <s v="Diploma-2014 , High School-2011 , SSLC-2"/>
    <s v=""/>
    <s v="01.10"/>
    <s v="01.10"/>
    <s v="70266350"/>
    <s v="Zinc, Elect, Instrumentation, Automation"/>
    <s v="262540"/>
    <s v="Engineer"/>
    <s v="Hazira"/>
    <s v="0031950048"/>
    <s v="HZ-Procurment Depart"/>
    <s v="2000HWO"/>
    <s v="20002746"/>
    <s v="Deep Pyne"/>
    <s v="No"/>
    <s v="deepkumar.patel@amns.in"/>
    <s v="9879102307"/>
    <s v="26031"/>
    <s v="Dhruv Vyas"/>
    <s v="Anil Matoo"/>
    <s v="Praveen Kuruvalli"/>
    <s v="Dhruv Vyas"/>
    <n v="0"/>
  </r>
  <r>
    <n v="4243"/>
    <n v="20056083"/>
    <s v="Neeraj Sharma"/>
    <s v="AM/NS India"/>
    <s v="Onroll"/>
    <s v="M-5"/>
    <n v="5"/>
    <m/>
    <s v="MM"/>
    <s v="M"/>
    <s v="Hazira"/>
    <n v="1"/>
    <s v="2069"/>
    <x v="8"/>
    <s v="25.01"/>
    <s v="Bibek Chattopadhyay"/>
    <s v="Ashutosh Telang"/>
    <n v="6"/>
    <s v="HR &amp; Administration"/>
    <s v="Corporate Communications"/>
    <s v="25"/>
    <s v="Head – Corporate Communication, Gujarat"/>
    <m/>
    <s v="Corporate Communications"/>
    <s v=""/>
    <s v=""/>
    <s v="Non Technical Support"/>
    <s v="Corporate Communication"/>
    <s v="Corporate Communication"/>
    <s v="74001001"/>
    <s v="Corporate Communication"/>
    <s v="Hazira"/>
    <d v="1981-03-10T00:00:00"/>
    <s v="42.06"/>
    <d v="2021-11-01T00:00:00"/>
    <d v="2039-03-31T00:00:00"/>
    <m/>
    <d v="2039-03-31T00:00:00"/>
    <n v="5671"/>
    <s v="O+"/>
    <s v="PG Diploma-2008 , BE-2005 , Intermediate"/>
    <s v="09.01"/>
    <s v="01.10"/>
    <s v="11.00"/>
    <s v="00047290"/>
    <s v="Communication Gujrat"/>
    <s v="263146"/>
    <s v="Head – Corporate Communication, Gujarat"/>
    <s v="Hazira"/>
    <s v="0090000016"/>
    <s v="Corporate Steel - Co"/>
    <s v="2000HWO"/>
    <s v="20055187"/>
    <s v="Bibek Chattopadhyay"/>
    <s v="No"/>
    <s v="neeraj.sharma@amns.in"/>
    <s v="9099933725"/>
    <s v="862084"/>
    <s v="Dhruv Vyas"/>
    <s v="Anil Matoo"/>
    <s v="Praveen Kuruvalli"/>
    <s v="Dhruv Vyas"/>
    <n v="0"/>
  </r>
  <r>
    <n v="4249"/>
    <n v="20056091"/>
    <s v="Pooja Rawal"/>
    <s v="AM/NS India"/>
    <s v="Onroll"/>
    <s v="M-6"/>
    <n v="6"/>
    <m/>
    <s v="M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Branding Manager"/>
    <m/>
    <s v="Sales Steering &amp; BD"/>
    <s v="Product Branding"/>
    <s v=""/>
    <s v="Non Technical Support"/>
    <s v=""/>
    <s v=""/>
    <s v="70494645"/>
    <s v="Head of Sales BD"/>
    <s v="Mumbai"/>
    <d v="1982-06-27T00:00:00"/>
    <s v="41.02"/>
    <d v="2021-11-01T00:00:00"/>
    <d v="2040-06-30T00:00:00"/>
    <m/>
    <d v="2040-06-30T00:00:00"/>
    <n v="6128"/>
    <s v="B+"/>
    <s v="PG Diploma-2007 , BE-2005 , Intermediate"/>
    <s v="14.09"/>
    <s v="01.10"/>
    <s v="16.07"/>
    <s v="00044762"/>
    <s v="Branding"/>
    <s v="263147"/>
    <s v="Head - Product Branding"/>
    <s v="Corporate"/>
    <s v="0080000001"/>
    <s v="Head-Marketing"/>
    <s v="2000CS"/>
    <s v="20010531"/>
    <s v="Saptarshi Saha"/>
    <s v="No"/>
    <s v="pooja.rawal@amns.in"/>
    <s v="9920613525"/>
    <s v="862850"/>
    <s v="Dhruv Vyas"/>
    <s v="Anil Matoo"/>
    <s v="Praveen Kuruvalli"/>
    <s v="Dhruv Vyas"/>
    <n v="0"/>
  </r>
  <r>
    <n v="4250"/>
    <n v="20056092"/>
    <s v="Sidra Shireen Kabir"/>
    <s v="AM/NS Middle East FZE"/>
    <s v="Onroll"/>
    <s v="M-9"/>
    <n v="9"/>
    <m/>
    <s v="JM"/>
    <s v="F"/>
    <s v="Dubai"/>
    <n v="10"/>
    <s v="2502"/>
    <x v="10"/>
    <s v="14.01"/>
    <s v="Ranjan Dhar"/>
    <s v="Alain Legrix De La Salle"/>
    <n v="3"/>
    <s v="Sales &amp; Marketing"/>
    <s v="Sales &amp; Marketing"/>
    <s v="14"/>
    <s v="Lead Sales"/>
    <m/>
    <s v="Sales ME"/>
    <s v="Sales ME"/>
    <s v=""/>
    <s v=""/>
    <s v="Sales &amp; Marketing"/>
    <s v="Sales &amp; Marketing"/>
    <s v="73101001"/>
    <s v="Sales &amp; Marketing"/>
    <s v="Dubai"/>
    <d v="1991-11-19T00:00:00"/>
    <s v="31.09"/>
    <d v="2021-11-07T00:00:00"/>
    <d v="2049-11-30T00:00:00"/>
    <m/>
    <d v="2049-11-30T00:00:00"/>
    <n v="9568"/>
    <s v="B+"/>
    <s v="MBA-2016 , Intermediate-2009 , SSLC-2007"/>
    <s v="01.06"/>
    <s v="01.10"/>
    <s v="03.04"/>
    <s v="70495379"/>
    <s v="Chief Marketing Officer - AMNS ME FZE"/>
    <s v="263577"/>
    <s v="Sales Manager ME"/>
    <s v="AMNS Middle East FZE"/>
    <s v="0093720082"/>
    <s v="SC-Dubai-Marketing"/>
    <s v="DUBA2081"/>
    <s v="20055663"/>
    <s v="Karamath Syed"/>
    <s v="No"/>
    <s v="sidra.shireen@amns.in"/>
    <s v="971522086070"/>
    <s v="863293"/>
    <s v="Dhruv Vyas"/>
    <s v="Anil Matoo"/>
    <s v="Praveen Kuruvalli"/>
    <n v="0"/>
    <n v="0"/>
  </r>
  <r>
    <n v="4260"/>
    <n v="20056103"/>
    <s v="Megha Modi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Lead – Accounts Payable"/>
    <m/>
    <s v="Working Capital"/>
    <s v="Accounts Payable"/>
    <s v=""/>
    <s v="Non Technical Support"/>
    <s v=""/>
    <s v=""/>
    <s v=""/>
    <s v=""/>
    <s v="AM/NS Hazira"/>
    <d v="1990-03-10T00:00:00"/>
    <s v="33.06"/>
    <d v="2021-11-10T00:00:00"/>
    <d v="2048-03-31T00:00:00"/>
    <m/>
    <d v="2048-03-31T00:00:00"/>
    <n v="8959"/>
    <s v="AB+"/>
    <s v="CA Final-2015 , CS-2012 , CA Inter-2011"/>
    <s v="05.04"/>
    <s v="01.10"/>
    <s v="07.02"/>
    <s v="72150243"/>
    <s v="Accounts Payable"/>
    <s v="263869"/>
    <s v="Lead – Accounts Payable"/>
    <s v="Hazira"/>
    <s v="0031950045"/>
    <s v="HZ-Works Accounts-Ha"/>
    <s v="2000HWO"/>
    <s v="20001076"/>
    <s v="Bhavesh Modi"/>
    <s v="No"/>
    <s v="megha.modi@amns.in"/>
    <s v="9167041164"/>
    <s v="864739"/>
    <s v="Dhruv Vyas"/>
    <s v="Anil Matoo"/>
    <s v="Praveen Kuruvalli"/>
    <s v="Dhruv Vyas"/>
    <n v="0"/>
  </r>
  <r>
    <n v="4264"/>
    <n v="20056108"/>
    <s v="Farhan Mehboob Virani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Direct Tax"/>
    <m/>
    <s v="Taxation"/>
    <s v="Direct - Taxation"/>
    <s v=""/>
    <s v="Non Technical Support"/>
    <s v="Finance &amp; Accounts"/>
    <s v="Taxation"/>
    <s v="73904001"/>
    <s v="Direct Taxation"/>
    <s v="Mumbai"/>
    <d v="1990-01-04T00:00:00"/>
    <s v="33.08"/>
    <d v="2021-11-16T00:00:00"/>
    <d v="2048-01-31T00:00:00"/>
    <m/>
    <d v="2048-01-31T00:00:00"/>
    <n v="8899"/>
    <s v="B+"/>
    <s v="CA Final-2012 , BCom-2010 , Intermediate"/>
    <s v="09.06"/>
    <s v="01.10"/>
    <s v="11.03"/>
    <s v="00047291"/>
    <s v="Taxation"/>
    <s v="264178"/>
    <s v="Sr. Lead Direct Tax"/>
    <s v="Corporate"/>
    <s v="0090000033"/>
    <s v="Corporate Taxation"/>
    <s v="2000CS"/>
    <s v="20055494"/>
    <s v="Vikas Soni"/>
    <s v="No"/>
    <s v="farhan.virani@amns.in"/>
    <s v="9833688214"/>
    <s v="865028"/>
    <s v="Dhruv Vyas"/>
    <s v="Anil Matoo"/>
    <s v="Praveen Kuruvalli"/>
    <s v="Dhruv Vyas"/>
    <n v="0"/>
  </r>
  <r>
    <n v="4267"/>
    <n v="20056112"/>
    <s v="Arpit Patel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Stores &amp; Warehouse"/>
    <s v="Stores &amp; Warehouse"/>
    <s v=""/>
    <s v="Non Technical Support"/>
    <s v=""/>
    <s v=""/>
    <s v=""/>
    <s v=""/>
    <s v="Hazira"/>
    <d v="1990-11-02T00:00:00"/>
    <s v="32.10"/>
    <d v="2021-11-01T00:00:00"/>
    <d v="2048-11-30T00:00:00"/>
    <m/>
    <d v="2048-11-30T00:00:00"/>
    <n v="9203"/>
    <s v=""/>
    <s v="Diploma-2011 , SSLC-2006"/>
    <s v=""/>
    <s v="01.10"/>
    <s v="01.10"/>
    <s v="00053278"/>
    <s v="GRN/Documentation/Issue - Plant A"/>
    <s v="264667"/>
    <s v="Engineer"/>
    <s v="Hazira"/>
    <s v="0031950049"/>
    <s v="HZ-Central Stores"/>
    <s v="2000HWO"/>
    <s v="20002587"/>
    <s v="Seema Mehta"/>
    <s v="No"/>
    <s v="arpit.patel2@amns.in"/>
    <s v="9909901723"/>
    <s v="792038"/>
    <s v="Dhruv Vyas"/>
    <s v="Anil Matoo"/>
    <s v="Praveen Kuruvalli"/>
    <s v="Dhruv Vyas"/>
    <n v="0"/>
  </r>
  <r>
    <n v="4285"/>
    <n v="20056133"/>
    <s v="Mukesh Kumar Agrawal"/>
    <s v="AM/NS India"/>
    <s v="Onroll"/>
    <s v="M-6"/>
    <n v="6"/>
    <m/>
    <s v="MM"/>
    <s v="M"/>
    <s v="Hazira"/>
    <n v="1"/>
    <s v="2162"/>
    <x v="18"/>
    <s v="33.01"/>
    <s v="Hrishikesh Kamat"/>
    <s v="Hrishikesh Kamat"/>
    <n v="7"/>
    <s v="Procurement"/>
    <s v="Shipping &amp; Chartering"/>
    <s v="33"/>
    <s v="Sr. Lead – Chartering"/>
    <m/>
    <s v="Shipping &amp; Chartering"/>
    <s v=""/>
    <s v=""/>
    <s v="Tech. Support Services"/>
    <s v="Commercial"/>
    <s v="Procurement"/>
    <s v="73803001"/>
    <s v="Procurement"/>
    <s v="AM/NS Hazira"/>
    <d v="1983-04-08T00:00:00"/>
    <s v="40.05"/>
    <d v="2021-11-18T00:00:00"/>
    <d v="2041-04-30T00:00:00"/>
    <m/>
    <d v="2041-04-30T00:00:00"/>
    <n v="6432"/>
    <s v="B+"/>
    <s v="PG Diploma-2012 , BSc-2010 , Diploma-200"/>
    <s v="13.09"/>
    <s v="01.10"/>
    <s v="15.06"/>
    <s v="70494731"/>
    <s v="Ports &amp; Chartering"/>
    <s v="264778"/>
    <s v="Sr. Lead – Chartering"/>
    <s v="Hazira"/>
    <s v="0031950062"/>
    <s v="Hz-Ports"/>
    <s v="2000HWO"/>
    <s v="20055075"/>
    <s v="Ashutosh Mathur"/>
    <s v="No"/>
    <s v="mukesh.agrawal@amns.in"/>
    <s v="9470152393"/>
    <s v="865525"/>
    <s v="Dhruv Vyas"/>
    <s v="Anil Matoo"/>
    <s v="Praveen Kuruvalli"/>
    <s v="Dhruv Vyas"/>
    <n v="0"/>
  </r>
  <r>
    <n v="4289"/>
    <n v="20056138"/>
    <s v="Vishal Gautam"/>
    <s v="AM/NS India"/>
    <s v="Onroll"/>
    <s v="M-9"/>
    <n v="9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Hypermart"/>
    <s v=""/>
    <s v="Non Technical Support"/>
    <s v="Sales &amp; Marketing"/>
    <s v="Sales"/>
    <s v="73104001"/>
    <s v="Sales"/>
    <s v="Jammu"/>
    <d v="1988-09-10T00:00:00"/>
    <s v="35.00"/>
    <d v="2021-11-18T00:00:00"/>
    <d v="2046-09-30T00:00:00"/>
    <m/>
    <d v="2046-09-30T00:00:00"/>
    <n v="8411"/>
    <s v="B+"/>
    <s v="MBA-2013 , BTech-2010 , Intermediate-200"/>
    <s v="08.04"/>
    <s v="01.10"/>
    <s v="10.02"/>
    <s v="00052526"/>
    <s v="Sales - North"/>
    <s v="266028"/>
    <s v="Sales Manager - Hypermart"/>
    <s v="Hypermart"/>
    <s v="0060121100"/>
    <s v="HMART-Jammu"/>
    <s v="2000SPRJ"/>
    <s v="20007322"/>
    <s v="Sanjay Bohra"/>
    <s v="No"/>
    <s v="vishal.gautam@amns.in"/>
    <s v="7341100804"/>
    <s v="867110"/>
    <s v="Dhruv Vyas"/>
    <s v="Anil Matoo"/>
    <s v="Praveen Kuruvalli"/>
    <s v="Dhruv Vyas"/>
    <n v="0"/>
  </r>
  <r>
    <n v="4297"/>
    <n v="20056146"/>
    <s v="Asvinbhai Sutarsandhiya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– Costing &amp; Budgeting"/>
    <m/>
    <s v="Performance Management"/>
    <s v="Performance Management"/>
    <s v=""/>
    <s v="Non Technical Support"/>
    <s v="Finance &amp; Accounts"/>
    <s v="Costing"/>
    <s v="73906001"/>
    <s v="Costing"/>
    <s v="AM/NS Hazira"/>
    <d v="1983-01-21T00:00:00"/>
    <s v="40.07"/>
    <d v="2021-12-06T00:00:00"/>
    <d v="2041-01-31T00:00:00"/>
    <m/>
    <d v="2041-01-31T00:00:00"/>
    <n v="6343"/>
    <s v="O+"/>
    <s v="Bachelor Equivalent-2006 , BCom-2003 , I"/>
    <s v="15.00"/>
    <s v="01.09"/>
    <s v="16.09"/>
    <s v="00045632"/>
    <s v="Costing &amp; Budgeting"/>
    <s v="266442"/>
    <s v="Sr. Lead – Costing &amp; Budgeting"/>
    <s v="Hazira"/>
    <s v="0031950043"/>
    <s v="HZ-Performance Manag"/>
    <s v="2000HWO"/>
    <s v="20003280"/>
    <s v="Chetan Jansari"/>
    <s v="No"/>
    <s v="asvin.sutarsandhiya@amns.in"/>
    <s v="9978808233"/>
    <s v="868218"/>
    <s v="Dhruv Vyas"/>
    <s v="Anil Matoo"/>
    <s v="Praveen Kuruvalli"/>
    <s v="Dhruv Vyas"/>
    <n v="0"/>
  </r>
  <r>
    <n v="4302"/>
    <n v="20056151"/>
    <s v="Sweta Jain"/>
    <s v="AM/NS India"/>
    <s v="Onroll"/>
    <s v="M-9"/>
    <n v="9"/>
    <m/>
    <s v="JM"/>
    <s v="F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Finance &amp; Accounts"/>
    <s v="Insurance &amp; Risk Management"/>
    <s v="73905001"/>
    <s v="Insurance &amp; Risk Managmen"/>
    <s v="AM/NS Hazira"/>
    <d v="1987-12-18T00:00:00"/>
    <s v="35.09"/>
    <d v="2021-12-01T00:00:00"/>
    <d v="2045-12-31T00:00:00"/>
    <m/>
    <d v="2045-12-31T00:00:00"/>
    <n v="8138"/>
    <s v="B+"/>
    <s v="CA Final-2012 , CS-2010 , BCom-2009 , In"/>
    <s v="06.10"/>
    <s v="01.09"/>
    <s v="08.07"/>
    <s v="00044330"/>
    <s v="Internal Audit - Hazira"/>
    <s v="266447"/>
    <s v="Lead - Internal Audit"/>
    <s v="Hazira"/>
    <s v="0090000035"/>
    <s v="Internal Audit"/>
    <s v="2000HWO"/>
    <s v="20028777"/>
    <s v="Narendra Dugar"/>
    <s v="No"/>
    <s v="sweta.jain@amns.in"/>
    <s v="8469584418"/>
    <s v="25135"/>
    <s v="Dhruv Vyas"/>
    <s v="Anil Matoo"/>
    <s v="Praveen Kuruvalli"/>
    <s v="Dhruv Vyas"/>
    <n v="0"/>
  </r>
  <r>
    <n v="4304"/>
    <n v="20056155"/>
    <s v="Kondapalli Venkateswarlu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– Technical Marketing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Noida"/>
    <d v="1972-06-16T00:00:00"/>
    <s v="51.03"/>
    <d v="2021-12-07T00:00:00"/>
    <d v="2030-06-30T00:00:00"/>
    <m/>
    <d v="2030-06-30T00:00:00"/>
    <n v="2475"/>
    <s v="B+"/>
    <s v="MTech-1999 , BTech-1996 , Diploma-1995 ,"/>
    <s v="23.06"/>
    <s v="01.09"/>
    <s v="25.03"/>
    <s v="00052460"/>
    <s v="Auto &amp; YG"/>
    <s v="266697"/>
    <s v="Section Head – Auto and YG"/>
    <s v="Corporate"/>
    <s v="0080000005"/>
    <s v="Global Markets Team"/>
    <s v="2000CS"/>
    <s v="20008508"/>
    <s v="Satyajit Mohapatra"/>
    <s v="No"/>
    <s v="venkat.kondapalli@amns.in"/>
    <s v="9560982229"/>
    <s v="2505"/>
    <s v="Dhruv Vyas"/>
    <s v="Anil Matoo"/>
    <s v="Praveen Kuruvalli"/>
    <s v="Dhruv Vyas"/>
    <n v="0"/>
  </r>
  <r>
    <n v="4305"/>
    <n v="20056156"/>
    <s v="Gayatri Patel"/>
    <s v="AM/NS India"/>
    <s v="Onroll"/>
    <s v="M-9"/>
    <n v="9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Lead - Post PO"/>
    <m/>
    <s v="Procurement MRO Hazira"/>
    <s v="Procurement"/>
    <s v=""/>
    <s v="Non Technical Support"/>
    <s v="Commercial"/>
    <s v="Procurement"/>
    <s v="73803001"/>
    <s v="Procurement"/>
    <s v="AM/NS Hazira"/>
    <d v="1975-05-05T00:00:00"/>
    <s v="48.04"/>
    <d v="2021-12-13T00:00:00"/>
    <d v="2033-05-31T00:00:00"/>
    <m/>
    <d v="2033-05-31T00:00:00"/>
    <n v="3541"/>
    <s v="B+"/>
    <s v="BCom-1996 , Intermediate-1992 , SSLC-199"/>
    <s v="10.01"/>
    <s v="01.09"/>
    <s v="11.09"/>
    <s v="72150383"/>
    <s v="Procurement (MRO/IP &amp; Consumable)"/>
    <s v="266695"/>
    <s v="Lead - Post PO"/>
    <s v="Hazira"/>
    <s v="0031950048"/>
    <s v="HZ-Procurment Depart"/>
    <s v="2000HWO"/>
    <s v="20000201"/>
    <s v="Manish Bakriwala"/>
    <s v="No"/>
    <s v="gayatri.patel@amns.in"/>
    <s v="8160962096"/>
    <s v="869494"/>
    <s v="Dhruv Vyas"/>
    <s v="Anil Matoo"/>
    <s v="Praveen Kuruvalli"/>
    <s v="Dhruv Vyas"/>
    <n v="0"/>
  </r>
  <r>
    <n v="4306"/>
    <n v="20056157"/>
    <s v="Sujit Kumar Mohanty"/>
    <s v="AM/NS India"/>
    <s v="Onroll"/>
    <s v="M-9"/>
    <n v="9"/>
    <m/>
    <s v="JM"/>
    <s v="M"/>
    <s v="Odisha"/>
    <n v="2"/>
    <s v="2095"/>
    <x v="4"/>
    <n v="36.01"/>
    <s v="Deepak Sindkar"/>
    <s v="Hrishikesh Kamat"/>
    <n v="7"/>
    <s v="Procurement"/>
    <s v="Raw Materials"/>
    <s v="36"/>
    <s v="Lead - Logistics, Beneficiation"/>
    <m/>
    <s v="Bulk Raw Materials"/>
    <s v="Raw Material"/>
    <s v=""/>
    <s v="Non Technical Support"/>
    <s v="Commercial"/>
    <s v="Procurement"/>
    <s v="73803001"/>
    <s v="Procurement"/>
    <s v="Dabuna"/>
    <d v="1982-07-07T00:00:00"/>
    <s v="41.02"/>
    <d v="2021-12-01T00:00:00"/>
    <d v="2040-07-31T00:00:00"/>
    <m/>
    <d v="2040-07-31T00:00:00"/>
    <n v="6159"/>
    <s v="O+"/>
    <s v="MBA-2017 , BA-2002 , Intermediate-1999 ,"/>
    <s v="17.02"/>
    <s v="01.09"/>
    <s v="18.11"/>
    <s v="70318846"/>
    <s v="Logistics &amp; Tailing Management"/>
    <s v="267037"/>
    <s v="Lead - Logistics, Beneficiation"/>
    <s v="Odisha"/>
    <s v="0022010019"/>
    <s v="DBN-Benf-HR/Admin"/>
    <s v="2000STORIS"/>
    <s v="20006499"/>
    <s v="Jaikishan Sharma"/>
    <s v="No"/>
    <s v="sujitkumar.mohanty@amns.in"/>
    <s v="8599008702"/>
    <s v="869498"/>
    <s v="Sunila Das"/>
    <s v="Anil Matoo"/>
    <s v="Praveen Kuruvalli"/>
    <s v="Sunila Das"/>
    <n v="0"/>
  </r>
  <r>
    <n v="4308"/>
    <n v="20056160"/>
    <s v="Sindha Kiransinh"/>
    <s v="AM/NS India"/>
    <s v="Onroll"/>
    <s v="M-9"/>
    <n v="9"/>
    <m/>
    <s v="JM"/>
    <s v="M"/>
    <s v="Hazira"/>
    <n v="1"/>
    <s v="2094"/>
    <x v="21"/>
    <s v="27.10"/>
    <s v="Vikas Chandra Yadvendu"/>
    <s v="Ashutosh Telang"/>
    <n v="6"/>
    <s v="HR &amp; Administration"/>
    <s v="Corporate SocialResponsibility"/>
    <s v="27"/>
    <s v="Lead - CSR Hazira"/>
    <m/>
    <s v=""/>
    <s v=""/>
    <s v=""/>
    <s v="Non Technical Support"/>
    <s v="Corporate Social Responsibility"/>
    <s v="Corporate Social Responsibility"/>
    <s v="75001001"/>
    <s v="Corporate Social Responsi"/>
    <s v="Hazira"/>
    <d v="1988-07-28T00:00:00"/>
    <s v="35.01"/>
    <d v="2021-12-16T00:00:00"/>
    <d v="2046-07-31T00:00:00"/>
    <m/>
    <d v="2046-07-31T00:00:00"/>
    <n v="8350"/>
    <s v="O+"/>
    <s v="LLM-2019 , LLB-2017 , MSW-2010 , BA-2008"/>
    <s v="09.01"/>
    <s v="01.09"/>
    <s v="10.09"/>
    <s v="70495661"/>
    <s v="Corporate Social Responsibility"/>
    <s v="267040"/>
    <s v="Lead - CSR Hazira"/>
    <s v="Hazira"/>
    <s v="0022030019"/>
    <s v="PDP-HR &amp; Admn"/>
    <s v="2000HWO"/>
    <s v="20055033"/>
    <s v="Vikas Chandra Yadvendu"/>
    <s v="No"/>
    <s v="kiransinh.sindha@amns.in"/>
    <s v="9998993472"/>
    <s v="869501"/>
    <s v="Dhruv Vyas"/>
    <s v="Anil Matoo"/>
    <s v="Praveen Kuruvalli"/>
    <s v="Dhruv Vyas"/>
    <n v="0"/>
  </r>
  <r>
    <n v="4311"/>
    <n v="20056164"/>
    <s v="Sukesh Kumar Jena"/>
    <s v="AM/NS India"/>
    <s v="Onroll"/>
    <s v="M-8"/>
    <n v="8"/>
    <m/>
    <s v="JM"/>
    <s v="M"/>
    <s v="Mining"/>
    <n v="8"/>
    <s v="2043"/>
    <x v="3"/>
    <s v="31.01"/>
    <s v="Hrishikesh Kamat"/>
    <s v="Hrishikesh Kamat"/>
    <n v="7"/>
    <s v="Procurement"/>
    <s v="Procurement"/>
    <s v="31"/>
    <s v="Sr. Lead - Procurement &amp; Contracts"/>
    <m/>
    <s v="Procurement &amp; Account"/>
    <s v="Procurement"/>
    <s v=""/>
    <s v="Non Technical Support"/>
    <s v="Operations"/>
    <s v="Operations"/>
    <s v="72103001"/>
    <s v="Operations"/>
    <s v="Barbil"/>
    <d v="1985-06-03T00:00:00"/>
    <s v="38.03"/>
    <d v="2021-12-09T00:00:00"/>
    <d v="2043-06-30T00:00:00"/>
    <m/>
    <d v="2043-06-30T00:00:00"/>
    <n v="7223"/>
    <s v="O+"/>
    <s v="PG Diploma-2019 , AMIE-2015 , Diploma-20"/>
    <s v="13.08"/>
    <s v="01.09"/>
    <s v="15.05"/>
    <s v="70407583"/>
    <s v="Procurement - Odisha Asset"/>
    <s v="267301"/>
    <s v="Sr. Lead - Procurement &amp; Contracts"/>
    <s v="Odisha"/>
    <s v="0011000018"/>
    <s v="Sagasahi Mine HR"/>
    <s v="2000STORIS"/>
    <s v="20055692"/>
    <s v="Rajiv Ranjan"/>
    <s v="No"/>
    <s v="sukesh.jena@amns.in"/>
    <s v="7978754748"/>
    <s v="869940"/>
    <s v="Pramod Sinha"/>
    <s v="Anil Matoo"/>
    <s v="Praveen Kuruvalli"/>
    <s v="Dhruv Vyas"/>
    <n v="0"/>
  </r>
  <r>
    <n v="4313"/>
    <n v="20056166"/>
    <s v="Sachin Dubal"/>
    <s v="AM/NS India"/>
    <s v="Onroll"/>
    <s v="M-9"/>
    <n v="9"/>
    <m/>
    <s v="J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Lead - Human Resource "/>
    <m/>
    <s v="Human Resources"/>
    <s v="Human Resources"/>
    <s v="Human Resources"/>
    <s v="Non Technical Support"/>
    <s v="Human Resources Management"/>
    <s v="Human Resources Management"/>
    <s v="73501001"/>
    <s v="Human Resources"/>
    <s v="Pune"/>
    <d v="1984-05-28T00:00:00"/>
    <s v="39.03"/>
    <d v="2021-12-24T00:00:00"/>
    <d v="2042-05-31T00:00:00"/>
    <m/>
    <d v="2042-05-31T00:00:00"/>
    <n v="6828"/>
    <s v="AB+"/>
    <s v="MSW-2010 , BCom-2005 , Intermediate-2002"/>
    <s v="10.03"/>
    <s v="01.08"/>
    <s v="12.00"/>
    <s v="00044376"/>
    <s v="Service Center &amp; Hypermart HR"/>
    <s v="267740"/>
    <s v="Lead - Human Resource"/>
    <s v="Service Center"/>
    <s v="0040020019"/>
    <s v="SC-Pune-Op1-HR-Admin"/>
    <s v="2000SPRJ"/>
    <s v="20057135"/>
    <s v="RAHUL RAJ"/>
    <s v="No"/>
    <s v="sachin.dubal@amns.in"/>
    <s v="09823559800"/>
    <s v="25463"/>
    <s v="Dhruv Vyas"/>
    <s v="Anil Matoo"/>
    <s v="Praveen Kuruvalli"/>
    <s v="Dhruv Vyas"/>
    <n v="0"/>
  </r>
  <r>
    <n v="4314"/>
    <n v="20056168"/>
    <s v="Debasis Swain"/>
    <s v="AM/NS India"/>
    <s v="Onroll"/>
    <s v="M-9"/>
    <n v="9"/>
    <m/>
    <s v="JM"/>
    <s v="M"/>
    <s v="Odisha"/>
    <n v="2"/>
    <s v="2094"/>
    <x v="21"/>
    <s v="27.10"/>
    <s v="Vikas Chandra Yadvendu"/>
    <s v="Ashutosh Telang"/>
    <n v="6"/>
    <s v="HR &amp; Administration"/>
    <s v="Corporate SocialResponsibility"/>
    <s v="27"/>
    <s v="Lead - CSR"/>
    <m/>
    <s v="Odisha Operations"/>
    <s v=""/>
    <s v=""/>
    <s v="Non Technical Support"/>
    <s v="Corporate Social Responsibility"/>
    <s v="Corporate Social Responsibility"/>
    <s v="75001001"/>
    <s v="Corporate Social Responsi"/>
    <s v="Paradeep"/>
    <d v="1980-03-23T00:00:00"/>
    <s v="43.05"/>
    <d v="2021-12-27T00:00:00"/>
    <d v="2038-03-31T00:00:00"/>
    <m/>
    <d v="2038-03-31T00:00:00"/>
    <n v="5306"/>
    <s v="AB+"/>
    <s v="MA-2005 , BA-2002 , Diploma-1999 , Inter"/>
    <s v="14.07"/>
    <s v="01.08"/>
    <s v="16.03"/>
    <s v="70495661"/>
    <s v="Corporate Social Responsibility"/>
    <s v="267748"/>
    <s v="Lead - CSR"/>
    <s v="Odisha"/>
    <s v="0022030019"/>
    <s v="PDP-HR &amp; Admn"/>
    <s v="2000STORIS"/>
    <s v="20055033"/>
    <s v="Vikas Chandra Yadvendu"/>
    <s v="No"/>
    <s v="debasis.swain@amns.in"/>
    <s v="9937332988"/>
    <s v="870752"/>
    <s v="Sunila Das"/>
    <s v="Anil Matoo"/>
    <s v="Praveen Kuruvalli"/>
    <s v="Sunila Das"/>
    <n v="0"/>
  </r>
  <r>
    <n v="4322"/>
    <n v="20056177"/>
    <s v="Manoj Kumar Nayak"/>
    <s v="AM/NS India"/>
    <s v="Onroll"/>
    <s v="M-9"/>
    <n v="9"/>
    <m/>
    <s v="JM"/>
    <s v="M"/>
    <s v="Mining"/>
    <n v="8"/>
    <s v="2013"/>
    <x v="0"/>
    <s v="20.01"/>
    <s v="Akiyo Omori"/>
    <s v="Amit Harlalka"/>
    <n v="5"/>
    <s v="Finance &amp; Accounts"/>
    <s v="Finance &amp; Accounts"/>
    <s v="20"/>
    <s v="Lead - Finance &amp; Accounts"/>
    <m/>
    <s v="Finance &amp; Accounts"/>
    <s v="Finance &amp; Accounts"/>
    <s v=""/>
    <s v="Non Technical Support"/>
    <s v="Commercial"/>
    <s v="Commercial"/>
    <s v="73801001"/>
    <s v="Commercial"/>
    <s v="Barbil"/>
    <d v="1988-04-20T00:00:00"/>
    <s v="35.05"/>
    <d v="2021-12-27T00:00:00"/>
    <d v="2046-04-30T00:00:00"/>
    <m/>
    <d v="2046-04-30T00:00:00"/>
    <n v="8258"/>
    <s v="O+"/>
    <s v="PG Diploma-2011 , BCom-2008 , Intermedia"/>
    <s v="09.05"/>
    <s v="01.08"/>
    <s v="11.02"/>
    <s v="00048985"/>
    <s v="Finance &amp; Accounting"/>
    <s v="268031"/>
    <s v="Lead - Finance &amp; Accounts"/>
    <s v="Odisha"/>
    <s v="0011000018"/>
    <s v="Sagasahi Mine HR"/>
    <s v="2000STORIS"/>
    <s v="20055720"/>
    <s v="Sambit Kumar Mohapatra"/>
    <s v="No"/>
    <s v="manoj.nayak@amns.in"/>
    <s v="9776062551"/>
    <s v="871258"/>
    <s v="Pramod Sinha"/>
    <s v="Anil Matoo"/>
    <s v="Praveen Kuruvalli"/>
    <s v="Pramod Sinha"/>
    <n v="0"/>
  </r>
  <r>
    <n v="4323"/>
    <n v="20056178"/>
    <s v="Aakansha Sinha"/>
    <s v="AM/NS India"/>
    <s v="Onroll"/>
    <s v="M-8"/>
    <n v="8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MT – HR"/>
    <m/>
    <s v="Human Resources"/>
    <s v=""/>
    <s v=""/>
    <s v="Non Technical Support"/>
    <s v="Human Resources Management"/>
    <s v="Human Resources Management"/>
    <s v="73501001"/>
    <s v="Human Resources"/>
    <s v="Hazira"/>
    <d v="1993-05-14T00:00:00"/>
    <s v="30.04"/>
    <d v="2022-01-04T00:00:00"/>
    <d v="2051-05-31T00:00:00"/>
    <m/>
    <d v="2051-05-31T00:00:00"/>
    <n v="10115"/>
    <s v="B+"/>
    <s v="MBA-2021 , BTech-2016 , Intermediate-201"/>
    <s v="03.00"/>
    <s v="01.08"/>
    <s v="04.09"/>
    <s v="70492872"/>
    <s v="Talent Management &amp; OD"/>
    <s v="268023"/>
    <s v="MT – HR"/>
    <s v="Corporate"/>
    <s v="0031950061"/>
    <s v="HZ-Human Resource"/>
    <s v="2000CS"/>
    <s v="20054232"/>
    <s v="Imran Mohammad"/>
    <s v="No"/>
    <s v="aakansha.sinha@amns.in"/>
    <s v="8976785837"/>
    <s v="871302"/>
    <s v="Dhruv Vyas"/>
    <s v="Anil Matoo"/>
    <s v="Praveen Kuruvalli"/>
    <s v="Dhruv Vyas"/>
    <n v="0"/>
  </r>
  <r>
    <n v="4327"/>
    <n v="20056185"/>
    <s v="Satish Kumar Charchi"/>
    <s v="AM/NS India"/>
    <s v="Onroll"/>
    <s v="M-8"/>
    <n v="8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Lead Costing &amp; Budgeting"/>
    <m/>
    <s v="Finance &amp; Accounts - Odisha"/>
    <s v="Finance &amp; Accounts"/>
    <s v=""/>
    <s v="Non Technical Support"/>
    <s v="Finance &amp; Accounts"/>
    <s v="Finance &amp; Accounts"/>
    <s v="73901001"/>
    <s v="Finance &amp; Accounts"/>
    <s v="Dabuna"/>
    <d v="1983-06-08T00:00:00"/>
    <s v="40.03"/>
    <d v="2022-01-03T00:00:00"/>
    <d v="2041-06-30T00:00:00"/>
    <m/>
    <d v="2041-06-30T00:00:00"/>
    <n v="6493"/>
    <s v="B+"/>
    <s v="MCom-2014 , BCom-2003 , Intermediate-200"/>
    <s v="17.02"/>
    <s v="01.08"/>
    <s v="18.10"/>
    <s v="70234933"/>
    <s v="Finance &amp; Accounts - Odisha"/>
    <s v="268035"/>
    <s v="Lead Costing &amp; Budgeting"/>
    <s v="Odisha"/>
    <s v="0022030019"/>
    <s v="PDP-HR &amp; Admn"/>
    <s v="2000STORIS"/>
    <s v="20055801"/>
    <s v="Sanjive Kumar Singh"/>
    <s v="No"/>
    <s v="satishkumar.charchi@amns.in"/>
    <s v="8340510261"/>
    <s v="871591"/>
    <s v="Sunila Das"/>
    <s v="Anil Matoo"/>
    <s v="Praveen Kuruvalli"/>
    <s v="Sunila Das"/>
    <n v="0"/>
  </r>
  <r>
    <n v="4332"/>
    <n v="20056191"/>
    <s v="Deepti Mahakud"/>
    <s v="AM/NS India"/>
    <s v="Onroll"/>
    <s v="M-10"/>
    <n v="10"/>
    <m/>
    <s v="JM"/>
    <s v="F"/>
    <s v="Pune Facility"/>
    <n v="4"/>
    <s v="2043"/>
    <x v="3"/>
    <s v="31.01"/>
    <s v="Hrishikesh Kamat"/>
    <s v="Hrishikesh Kamat"/>
    <n v="7"/>
    <s v="Procurement"/>
    <s v="Procurement"/>
    <s v="31"/>
    <s v="Lead - Procurement"/>
    <m/>
    <s v="Pune Operations"/>
    <s v=""/>
    <s v=""/>
    <s v="Non Technical Support"/>
    <s v="Commercial"/>
    <s v="Procurement"/>
    <s v="73803001"/>
    <s v="Procurement"/>
    <s v="Pune"/>
    <d v="1994-01-04T00:00:00"/>
    <s v="29.08"/>
    <d v="2022-01-05T00:00:00"/>
    <d v="2052-01-31T00:00:00"/>
    <m/>
    <d v="2052-01-31T00:00:00"/>
    <n v="10360"/>
    <s v="A+"/>
    <s v="BTech-2017 , Diploma-2013 , SSLC-2009"/>
    <s v="03.11"/>
    <s v="01.08"/>
    <s v="05.07"/>
    <s v="73800002"/>
    <s v="Procurement - Pune Asset"/>
    <s v="268668"/>
    <s v="Lead - Procurement"/>
    <s v="Pune Facility"/>
    <s v="0035950041"/>
    <s v="Pune-Procurement"/>
    <s v="2000ESPF"/>
    <s v="20006536"/>
    <s v="Mahesh Salunke"/>
    <s v="No"/>
    <s v="deepti.mahakud@amns.in"/>
    <s v="7894458192"/>
    <s v="872213"/>
    <s v="Roshan Farkunde"/>
    <s v="Anil Matoo"/>
    <n v="0"/>
    <s v="Surinder Choudhary"/>
    <s v="Robin Patel"/>
  </r>
  <r>
    <n v="4374"/>
    <n v="20056246"/>
    <s v="Soumitra Patnaik"/>
    <s v="AM/NS India"/>
    <s v="Onroll"/>
    <s v="M-4"/>
    <n v="4"/>
    <m/>
    <s v="SM"/>
    <s v="M"/>
    <s v="Odisha"/>
    <n v="2"/>
    <s v="2069"/>
    <x v="8"/>
    <s v="25.01"/>
    <s v="Bibek Chattopadhyay"/>
    <s v="Ashutosh Telang"/>
    <n v="6"/>
    <s v="HR &amp; Administration"/>
    <s v="Corporate Communications"/>
    <s v="25"/>
    <s v="Head  Corporate Communication, Odisha"/>
    <m/>
    <s v="Corporate Communication"/>
    <s v="Corporate Communication"/>
    <s v="Corporate Communication"/>
    <s v="Non Technical Support"/>
    <s v="Corporate Communication"/>
    <s v="Corporate Communication"/>
    <s v="74001001"/>
    <s v="Corporate Communication"/>
    <s v="Bhubaneswar"/>
    <d v="1969-01-14T00:00:00"/>
    <s v="54.08"/>
    <d v="2022-01-17T00:00:00"/>
    <d v="2027-01-31T00:00:00"/>
    <m/>
    <d v="2027-01-31T00:00:00"/>
    <n v="1229"/>
    <s v="O+"/>
    <s v="PG Diploma-1999 , MBA-1990 , BA-1987 , I"/>
    <s v="26.07"/>
    <s v="01.08"/>
    <s v="28.03"/>
    <s v="00046762"/>
    <s v="Communiation &amp; Media Relations Odisha"/>
    <s v="271590"/>
    <s v="Head  Corporate Communication"/>
    <s v="Odisha"/>
    <s v="0090000016"/>
    <s v="Corporate Steel - Co"/>
    <s v="2000STORIS"/>
    <s v="20055187"/>
    <s v="Bibek Chattopadhyay"/>
    <s v="No"/>
    <s v="soumitra.patnaik@amns.in"/>
    <s v="9937012643"/>
    <s v="876159"/>
    <s v="Sunila Das"/>
    <s v="Anil Matoo"/>
    <s v="Praveen Kuruvalli"/>
    <s v="Sunila Das"/>
    <n v="0"/>
  </r>
  <r>
    <n v="4375"/>
    <n v="20056247"/>
    <s v="Asit Samantaray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 Insurance"/>
    <m/>
    <s v="Risk &amp; Insurance"/>
    <s v="Risk &amp; Insurance"/>
    <s v=""/>
    <s v="Non Technical Support"/>
    <s v="Finance &amp; Accounts"/>
    <s v="Finance &amp; Accounts"/>
    <s v="73901001"/>
    <s v="Finance &amp; Accounts"/>
    <s v="AM/NS Hazira"/>
    <d v="1984-06-05T00:00:00"/>
    <s v="39.03"/>
    <d v="2022-01-17T00:00:00"/>
    <d v="2042-06-30T00:00:00"/>
    <m/>
    <d v="2042-06-30T00:00:00"/>
    <n v="6858"/>
    <s v="B+"/>
    <s v="PG Diploma-2011 , BE-2006 , Intermediate"/>
    <s v="12.06"/>
    <s v="01.08"/>
    <s v="14.02"/>
    <s v="70447071"/>
    <s v="Insurance &amp; Financial Risk"/>
    <s v="271587"/>
    <s v="Sr. Lead  Insurance"/>
    <s v="Hazira"/>
    <s v="0090000028"/>
    <s v="Corporate Steel - Wo"/>
    <s v="2000HWO"/>
    <s v="20017504"/>
    <s v="Appi Reddy Guttikonda"/>
    <s v="No"/>
    <s v="asit.samantaray@amns.in"/>
    <s v="8885299752"/>
    <s v="876251"/>
    <s v="Dhruv Vyas"/>
    <s v="Anil Matoo"/>
    <s v="Praveen Kuruvalli"/>
    <s v="Dhruv Vyas"/>
    <n v="0"/>
  </r>
  <r>
    <n v="4377"/>
    <n v="20056250"/>
    <s v="Nirmal Patel"/>
    <s v="AM/NS India"/>
    <s v="Onroll"/>
    <s v="M-9"/>
    <n v="9"/>
    <m/>
    <s v="JM"/>
    <s v="M"/>
    <s v="Hazira"/>
    <n v="1"/>
    <s v="2095"/>
    <x v="4"/>
    <n v="36.01"/>
    <s v="Deepak Sindkar"/>
    <s v="Hrishikesh Kamat"/>
    <n v="7"/>
    <s v="Procurement"/>
    <s v="Raw Materials"/>
    <s v="36"/>
    <s v="Lead Bulk Rawmaterial"/>
    <m/>
    <s v="Bulk Raw Materials"/>
    <s v="Power &amp; Gas"/>
    <s v=""/>
    <s v="Non Technical Support"/>
    <s v="Commercial"/>
    <s v="Procurement"/>
    <s v="73803001"/>
    <s v="Procurement"/>
    <s v="AM/NS Hazira"/>
    <d v="1993-05-08T00:00:00"/>
    <s v="30.04"/>
    <d v="2022-01-24T00:00:00"/>
    <d v="2051-05-31T00:00:00"/>
    <m/>
    <d v="2051-05-31T00:00:00"/>
    <n v="10115"/>
    <s v="B+"/>
    <s v="PG Diploma in Management-2020 , BE-2016"/>
    <s v="02.07"/>
    <s v="01.07"/>
    <s v="04.02"/>
    <s v="00045894"/>
    <s v="Blacks"/>
    <s v="271588"/>
    <s v="Lead Bulk Rawmaterial"/>
    <s v="Hazira"/>
    <s v="0031950048"/>
    <s v="HZ-Procurment Depart"/>
    <s v="2000HWO"/>
    <s v="20001577"/>
    <s v="Prakash Thakur"/>
    <s v="No"/>
    <s v="nirmal.patel@amns.in"/>
    <s v="9067007922"/>
    <s v="876287"/>
    <s v="Dhruv Vyas"/>
    <s v="Anil Matoo"/>
    <s v="Praveen Kuruvalli"/>
    <s v="Dhruv Vyas"/>
    <n v="0"/>
  </r>
  <r>
    <n v="4383"/>
    <n v="20056258"/>
    <s v="Dhwanil Dave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 Capex Procurement"/>
    <m/>
    <s v="Procurement MRO Hazira"/>
    <s v="Procurement"/>
    <s v=""/>
    <s v="Non Technical Support"/>
    <s v="Operations"/>
    <s v="Operations"/>
    <s v="72103001"/>
    <s v="Operations"/>
    <s v="Hazira"/>
    <d v="1996-10-18T00:00:00"/>
    <s v="26.11"/>
    <d v="2022-01-31T00:00:00"/>
    <d v="2054-10-31T00:00:00"/>
    <m/>
    <d v="2054-10-31T00:00:00"/>
    <n v="11364"/>
    <s v="B+"/>
    <s v="MSc-2019 , BE-2018 , Diploma-2015 , SSLC"/>
    <s v="01.11"/>
    <s v="01.07"/>
    <s v="03.06"/>
    <s v="00049359"/>
    <s v="Capex Services"/>
    <s v="271599"/>
    <s v="Officer  Capex Procurement"/>
    <s v="Hazira"/>
    <s v="0031950059"/>
    <s v="HZ-Hazira Project"/>
    <s v="2000HWO"/>
    <s v="20055446"/>
    <s v="Chitrang Rana"/>
    <s v="No"/>
    <s v="dhwanil.dave@amns.in"/>
    <s v="9429486865"/>
    <s v="876961"/>
    <s v="Dhruv Vyas"/>
    <s v="Anil Matoo"/>
    <s v="Praveen Kuruvalli"/>
    <s v="Dhruv Vyas"/>
    <n v="0"/>
  </r>
  <r>
    <n v="4389"/>
    <n v="20056268"/>
    <s v="Bhavsar Shalini Ishan"/>
    <s v="AM/NS India"/>
    <s v="Onroll"/>
    <s v="M-11"/>
    <n v="11"/>
    <m/>
    <s v="JM"/>
    <s v="F"/>
    <s v="Hazira"/>
    <n v="1"/>
    <s v="2023"/>
    <x v="6"/>
    <s v="24.08"/>
    <s v="Anil Matoo"/>
    <s v="Ashutosh Telang"/>
    <n v="6"/>
    <s v="HR &amp; Administration"/>
    <s v="Administration"/>
    <s v="24"/>
    <s v="Executive  Admin"/>
    <m/>
    <s v=""/>
    <s v=""/>
    <s v=""/>
    <s v="Non Technical Support"/>
    <s v="Corporate Relations"/>
    <s v="Corporate Affairs"/>
    <s v="74501001"/>
    <s v="Corporate Affairs"/>
    <s v="Ahmedabad"/>
    <d v="1996-01-15T00:00:00"/>
    <s v="27.08"/>
    <d v="2022-02-03T00:00:00"/>
    <d v="2054-01-31T00:00:00"/>
    <m/>
    <d v="2054-01-31T00:00:00"/>
    <n v="11091"/>
    <s v="O+"/>
    <s v="BSc-2018 , Intermediate-2015 , SSLC-2013"/>
    <s v="01.06"/>
    <s v="01.07"/>
    <s v="03.01"/>
    <s v="00049721"/>
    <s v="Regional &amp; Corporate offices"/>
    <s v="271604"/>
    <s v="Executive  Admin"/>
    <s v="Hazira"/>
    <s v="0090000016"/>
    <s v="Corporate Steel - Co"/>
    <s v="2000HWO"/>
    <s v="20057888"/>
    <s v="Narinder Lamba"/>
    <s v="No"/>
    <s v="shalini.bhavsar@amns.in"/>
    <s v="6358942196"/>
    <s v="877136"/>
    <s v="Dhruv Vyas"/>
    <s v="Anil Matoo"/>
    <s v="Praveen Kuruvalli"/>
    <s v="Dhruv Vyas"/>
    <n v="0"/>
  </r>
  <r>
    <n v="4391"/>
    <n v="20056270"/>
    <s v="Shubham Bhartiya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 Capex Finance"/>
    <m/>
    <s v="Capex Finance"/>
    <s v="Capex Finance"/>
    <s v=""/>
    <s v="Non Technical Support"/>
    <s v="Finance &amp; Accounts"/>
    <s v="Costing"/>
    <s v="73906001"/>
    <s v="Costing"/>
    <s v="AM/NS Hazira"/>
    <d v="1994-04-04T00:00:00"/>
    <s v="29.05"/>
    <d v="2022-01-28T00:00:00"/>
    <d v="2052-04-30T00:00:00"/>
    <m/>
    <d v="2052-04-30T00:00:00"/>
    <n v="10450"/>
    <s v="O+"/>
    <s v="CA Final-2019 , BCom-2015 , Intermediate"/>
    <s v="02.07"/>
    <s v="01.07"/>
    <s v="04.02"/>
    <s v="00045912"/>
    <s v="Capex - Finance"/>
    <s v="271589"/>
    <s v="Lead  Capex Finance"/>
    <s v="Hazira"/>
    <s v="0090000038"/>
    <s v="CAPEX FINANCE"/>
    <s v="2000HWO"/>
    <s v="20055590"/>
    <s v="Mehul Thakkar"/>
    <s v="No"/>
    <s v="shubham.bhartiya@amns.in"/>
    <s v="9038874943"/>
    <s v="877306"/>
    <s v="Dhruv Vyas"/>
    <s v="Anil Matoo"/>
    <s v="Praveen Kuruvalli"/>
    <s v="Dhruv Vyas"/>
    <n v="0"/>
  </r>
  <r>
    <n v="4395"/>
    <n v="20056274"/>
    <s v="Priya Jha"/>
    <s v="AM/NS India"/>
    <s v="Onroll"/>
    <s v="M-9"/>
    <n v="9"/>
    <m/>
    <s v="JM"/>
    <s v="F"/>
    <s v="Odisha"/>
    <n v="2"/>
    <s v="2015"/>
    <x v="1"/>
    <s v="22.06"/>
    <s v="Praveen Kuruvalli"/>
    <s v="Ashutosh Telang"/>
    <n v="6"/>
    <s v="HR &amp; Administration"/>
    <s v="Human Resources"/>
    <s v="22"/>
    <s v="Lead  Human Resources"/>
    <m/>
    <s v="Human Resources"/>
    <s v=""/>
    <s v=""/>
    <s v="Non Technical Support"/>
    <s v="Human Resources Management"/>
    <s v="Human Resources Management"/>
    <s v="73501002"/>
    <s v="Human Resources Operation"/>
    <s v="Bhubaneswar"/>
    <d v="1994-10-10T00:00:00"/>
    <s v="28.11"/>
    <d v="2022-02-15T00:00:00"/>
    <d v="2052-10-31T00:00:00"/>
    <m/>
    <d v="2052-10-31T00:00:00"/>
    <n v="10634"/>
    <s v="A+"/>
    <s v="PG Diploma-2019 , BCom-2017 , Intermedia"/>
    <s v="02.11"/>
    <s v="01.07"/>
    <s v="04.06"/>
    <s v="70495430"/>
    <s v="Odisha HR Operations"/>
    <s v="272214"/>
    <s v="Lead  Human Resources"/>
    <s v="Odisha"/>
    <s v="0022030019"/>
    <s v="PDP-HR &amp; Admn"/>
    <s v="2000STORIS"/>
    <s v="20055611"/>
    <s v="Sunila Kumar Das"/>
    <s v="No"/>
    <s v="priya.jha@amns.in"/>
    <s v="6287877667"/>
    <s v="877691"/>
    <s v="Sunila Das"/>
    <s v="Anil Matoo"/>
    <s v="Praveen Kuruvalli"/>
    <s v="Sunila Das"/>
    <n v="0"/>
  </r>
  <r>
    <n v="4398"/>
    <n v="20056279"/>
    <s v="Arun G"/>
    <s v="AM/NS India"/>
    <s v="Onroll"/>
    <s v="M-6"/>
    <n v="6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Leader KAM Hypermart"/>
    <m/>
    <s v="South"/>
    <s v="Hypermart"/>
    <s v=""/>
    <s v="Non Technical Support"/>
    <s v="Sales &amp; Marketing"/>
    <s v="Sales"/>
    <s v="73104003"/>
    <s v="Retail Sales"/>
    <s v="Chennai"/>
    <d v="1983-05-04T00:00:00"/>
    <s v="40.04"/>
    <d v="2022-02-21T00:00:00"/>
    <d v="2041-05-31T00:00:00"/>
    <m/>
    <d v="2041-05-31T00:00:00"/>
    <n v="6463"/>
    <s v="O+"/>
    <s v="BE-2006 , Intermediate-2001 , SSLC-1999"/>
    <s v="15.11"/>
    <s v="01.06"/>
    <s v="17.06"/>
    <s v="00048814"/>
    <s v="Sales South Zone – Hypermart"/>
    <s v="272207"/>
    <s v="Business Leader - Hypermart"/>
    <s v="Hypermart"/>
    <s v="0060140100"/>
    <s v="HMART-South Zone"/>
    <s v="2000SRET"/>
    <s v="20000909"/>
    <s v="Murali Krishna Chunduru"/>
    <s v="No"/>
    <s v="arun.g@amns.in"/>
    <s v="9686320755"/>
    <s v="877776"/>
    <s v="Dhruv Vyas"/>
    <s v="Anil Matoo"/>
    <s v="Praveen Kuruvalli"/>
    <s v="Dhruv Vyas"/>
    <n v="0"/>
  </r>
  <r>
    <n v="4399"/>
    <n v="20056280"/>
    <s v="Varun Sharma"/>
    <s v="AM/NS India"/>
    <s v="Onroll"/>
    <s v="M-9"/>
    <n v="9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 Manager"/>
    <m/>
    <s v="North"/>
    <s v="Hypermart"/>
    <s v=""/>
    <s v="Non Technical Support"/>
    <s v="Sales &amp; Marketing"/>
    <s v="Marketing"/>
    <s v="73102001"/>
    <s v="Marketing"/>
    <s v="Ludhiana"/>
    <d v="1998-05-26T00:00:00"/>
    <s v="25.03"/>
    <d v="2022-02-10T00:00:00"/>
    <d v="2056-05-31T00:00:00"/>
    <m/>
    <d v="2056-05-31T00:00:00"/>
    <n v="11942"/>
    <s v="AB+"/>
    <s v="MBA-2020 , BCom-2018 , Intermediate-2015"/>
    <s v="00.06"/>
    <s v="01.07"/>
    <s v="02.01"/>
    <s v="00052526"/>
    <s v="Sales - North"/>
    <s v="272211"/>
    <s v="Sales Manager - Hypermart"/>
    <s v="Hypermart"/>
    <s v="0080000006"/>
    <s v="Secondary Sales - In"/>
    <s v="2000SRET"/>
    <s v="20007322"/>
    <s v="Sanjay Bohra"/>
    <s v="No"/>
    <s v="varun.sharma@amns.in"/>
    <s v="8847638042"/>
    <s v="877777"/>
    <s v="Dhruv Vyas"/>
    <s v="Anil Matoo"/>
    <s v="Praveen Kuruvalli"/>
    <s v="Dhruv Vyas"/>
    <n v="0"/>
  </r>
  <r>
    <n v="4404"/>
    <n v="20056287"/>
    <s v="Annapurna Kolluru"/>
    <s v="AM/NS India"/>
    <s v="Onroll"/>
    <s v="M-10"/>
    <n v="10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Officer - Capex Services"/>
    <m/>
    <s v="Capex Procurement"/>
    <s v="Procurement"/>
    <s v=""/>
    <s v="Non Technical Support"/>
    <s v="Operations"/>
    <s v="Operations"/>
    <s v="72103001"/>
    <s v="Operations"/>
    <s v="Hazira"/>
    <d v="1980-05-25T00:00:00"/>
    <s v="43.03"/>
    <d v="2022-02-15T00:00:00"/>
    <d v="2038-05-31T00:00:00"/>
    <m/>
    <d v="2038-05-31T00:00:00"/>
    <n v="5367"/>
    <s v="O-"/>
    <s v="BTech-2001 , Intermediate-1997 , SSLC-19"/>
    <s v="11.08"/>
    <s v="01.07"/>
    <s v="13.02"/>
    <s v="00049359"/>
    <s v="Capex Services"/>
    <s v="272363"/>
    <s v="Officer - Capex Services"/>
    <s v="Hazira"/>
    <s v="0031950059"/>
    <s v="HZ-Hazira Project"/>
    <s v="2000HWO"/>
    <s v="20055446"/>
    <s v="Chitrang Rana"/>
    <s v="No"/>
    <s v="annapurna.kolluru@amns.in"/>
    <s v="9879103433"/>
    <s v="810272"/>
    <s v="Dhruv Vyas"/>
    <s v="Anil Matoo"/>
    <s v="Praveen Kuruvalli"/>
    <s v="Dhruv Vyas"/>
    <n v="0"/>
  </r>
  <r>
    <n v="4405"/>
    <n v="20056289"/>
    <s v="Harshneelsinh Jadeja"/>
    <s v="AM/NS India"/>
    <s v="Onroll"/>
    <s v="M-8"/>
    <n v="8"/>
    <m/>
    <s v="JM"/>
    <s v="M"/>
    <s v="Hazira"/>
    <n v="1"/>
    <s v="2015"/>
    <x v="1"/>
    <s v="22.06"/>
    <s v="Praveen Kuruvalli"/>
    <s v="Ashutosh Telang"/>
    <n v="6"/>
    <s v="HR &amp; Administration"/>
    <s v="Human Resources"/>
    <s v="22"/>
    <s v="Lead - Talent Management &amp; OD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91-11-27T00:00:00"/>
    <s v="31.09"/>
    <d v="2022-02-16T00:00:00"/>
    <d v="2049-11-30T00:00:00"/>
    <m/>
    <d v="2049-11-30T00:00:00"/>
    <n v="9568"/>
    <s v="B+"/>
    <s v="MBA-2018 , BTech-2013 , Intermediate-200"/>
    <s v="05.09"/>
    <s v="01.07"/>
    <s v="07.03"/>
    <s v="70492872"/>
    <s v="Talent Management &amp; OD"/>
    <s v="272365"/>
    <s v="Lead - Talent Management &amp; OD"/>
    <s v="Hazira"/>
    <s v="0031950061"/>
    <s v="HZ-Human Resource"/>
    <s v="2000HWO"/>
    <s v="20054232"/>
    <s v="Imran Mohammad"/>
    <s v="No"/>
    <s v="harshneel.jadeja@amns.in"/>
    <s v="9638302705"/>
    <s v="878002"/>
    <s v="Dhruv Vyas"/>
    <s v="Anil Matoo"/>
    <s v="Praveen Kuruvalli"/>
    <s v="Dhruv Vyas"/>
    <n v="0"/>
  </r>
  <r>
    <n v="4406"/>
    <n v="20056292"/>
    <s v="Amit Basak"/>
    <s v="AM/NS India"/>
    <s v="Onroll"/>
    <s v="M-7"/>
    <n v="7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Lead Procurement"/>
    <m/>
    <s v="Procurement"/>
    <s v="Procurement"/>
    <s v=""/>
    <s v="Non Technical Support"/>
    <s v="Commercial"/>
    <s v="Purchase"/>
    <s v="73804001"/>
    <s v="Purchase"/>
    <s v="Paradeep"/>
    <d v="1986-12-28T00:00:00"/>
    <s v="36.08"/>
    <d v="2022-02-21T00:00:00"/>
    <d v="2044-12-31T00:00:00"/>
    <m/>
    <d v="2044-12-31T00:00:00"/>
    <n v="7773"/>
    <s v="O+"/>
    <s v="BTech-2008 , Intermediate-2004 , SSLC-20"/>
    <s v="13.07"/>
    <s v="01.06"/>
    <s v="15.02"/>
    <s v="70407583"/>
    <s v="Procurement - Odisha Asset"/>
    <s v="272445"/>
    <s v="Lead Procurement"/>
    <s v="Odisha"/>
    <s v="0022030019"/>
    <s v="PDP-HR &amp; Admn"/>
    <s v="2000STORIS"/>
    <s v="20055692"/>
    <s v="Rajiv Ranjan"/>
    <s v="No"/>
    <s v="amit.basak@amns.in"/>
    <s v="9162725067"/>
    <s v="878329"/>
    <s v="Sunila Das"/>
    <s v="Anil Matoo"/>
    <s v="Praveen Kuruvalli"/>
    <s v="Sunila Das"/>
    <n v="0"/>
  </r>
  <r>
    <n v="4409"/>
    <n v="20056295"/>
    <s v="Ravibhai Vinubhai Lathiya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92-09-28T00:00:00"/>
    <s v="30.11"/>
    <d v="2022-02-21T00:00:00"/>
    <d v="2050-09-30T00:00:00"/>
    <m/>
    <d v="2050-09-30T00:00:00"/>
    <n v="9872"/>
    <s v="AB+"/>
    <s v="BE-2014 , Intermediate-2010 , SSLC-2008"/>
    <s v="06.01"/>
    <s v="01.06"/>
    <s v="07.07"/>
    <s v="00044541"/>
    <s v="HRC Store - Receipt"/>
    <s v="272448"/>
    <s v="Section Officer"/>
    <s v="Hazira"/>
    <s v="0031950049"/>
    <s v="HZ-Central Stores"/>
    <s v="2000HWO"/>
    <s v="20005047"/>
    <s v="Rajeev Jha"/>
    <s v="No"/>
    <s v="ravi.lathiya@amns.in"/>
    <s v="6358913620"/>
    <s v="878338"/>
    <s v="Dhruv Vyas"/>
    <s v="Anil Matoo"/>
    <s v="Praveen Kuruvalli"/>
    <s v="Dhruv Vyas"/>
    <n v="0"/>
  </r>
  <r>
    <n v="4413"/>
    <n v="20056300"/>
    <s v="Sumit Khamgaonkar"/>
    <s v="AM/NS India"/>
    <s v="Onroll"/>
    <s v="M-9"/>
    <n v="9"/>
    <m/>
    <s v="JM"/>
    <s v="M"/>
    <s v="Service Centers"/>
    <n v="6"/>
    <s v="2043"/>
    <x v="3"/>
    <s v="31.01"/>
    <s v="Hrishikesh Kamat"/>
    <s v="Hrishikesh Kamat"/>
    <n v="7"/>
    <s v="Procurement"/>
    <s v="Procurement"/>
    <s v="31"/>
    <s v="Lead Procurement"/>
    <m/>
    <s v="Procurement Service Centre"/>
    <s v="Procurement Service Centre"/>
    <s v="Procurement Service Centre"/>
    <s v="Non Technical Support"/>
    <s v="Operations"/>
    <s v="Plant Operations"/>
    <s v="72103003"/>
    <s v="Plant Operations"/>
    <s v="Pune"/>
    <d v="1995-11-19T00:00:00"/>
    <s v="27.09"/>
    <d v="2022-02-16T00:00:00"/>
    <d v="2053-11-30T00:00:00"/>
    <m/>
    <d v="2053-11-30T00:00:00"/>
    <n v="11029"/>
    <s v="B+"/>
    <s v="BE-2017 , Diploma-2014 , SSLC-2011"/>
    <s v="04.07"/>
    <s v="01.07"/>
    <s v="06.02"/>
    <s v="70413444"/>
    <s v="Purchase &amp; Contracts"/>
    <s v="272452"/>
    <s v="Lead Procurement"/>
    <s v="Service Center"/>
    <s v="0040020019"/>
    <s v="SC-Pune-Op1-HR-Admin"/>
    <s v="2000SPRJ"/>
    <s v="20052588"/>
    <s v="Govindraju Sampathirao"/>
    <s v="No"/>
    <s v="sumeet.khamgaonkar@amns.in"/>
    <s v="8482937013"/>
    <s v="878521"/>
    <s v="Dhruv Vyas"/>
    <s v="Anil Matoo"/>
    <s v="Praveen Kuruvalli"/>
    <s v="Dhruv Vyas"/>
    <n v="0"/>
  </r>
  <r>
    <n v="4415"/>
    <n v="20056302"/>
    <s v="Chintan Sangani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Expediting"/>
    <m/>
    <s v="Procurement MRO Hazira"/>
    <s v="Procurement"/>
    <s v=""/>
    <s v="Non Technical Support"/>
    <s v="Operations"/>
    <s v="Operations"/>
    <s v="72103001"/>
    <s v="Operations"/>
    <s v="Hazira"/>
    <d v="1981-03-08T00:00:00"/>
    <s v="42.06"/>
    <d v="2022-02-21T00:00:00"/>
    <d v="2039-03-31T00:00:00"/>
    <m/>
    <d v="2039-03-31T00:00:00"/>
    <n v="5671"/>
    <s v="O+"/>
    <s v="BE-2002 , Intermediate-1998 , SSLC-1996"/>
    <s v="14.09"/>
    <s v="01.06"/>
    <s v="16.04"/>
    <s v="00049335"/>
    <s v="Capex Procurement - Expediting"/>
    <s v="272454"/>
    <s v="Sr. Lead Expediting"/>
    <s v="Hazira"/>
    <s v="0031950059"/>
    <s v="HZ-Hazira Project"/>
    <s v="2000HWO"/>
    <s v="20057413"/>
    <s v="Vipin Toshniwal"/>
    <s v="No"/>
    <s v="chintan.sangani@amns.in"/>
    <s v="8799382299"/>
    <s v="878488"/>
    <s v="Dhruv Vyas"/>
    <s v="Anil Matoo"/>
    <s v="Praveen Kuruvalli"/>
    <s v="Dhruv Vyas"/>
    <n v="0"/>
  </r>
  <r>
    <n v="4425"/>
    <n v="20056313"/>
    <s v="Gaurav Chudasam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Performance Management"/>
    <m/>
    <s v="Performance Management"/>
    <s v="Performance Management"/>
    <s v=""/>
    <s v="Non Technical Support"/>
    <s v="Finance &amp; Accounts"/>
    <s v="Costing"/>
    <s v="73906001"/>
    <s v="Costing"/>
    <s v="AM/NS Hazira"/>
    <d v="1990-09-04T00:00:00"/>
    <s v="33.00"/>
    <d v="2022-02-25T00:00:00"/>
    <d v="2048-09-30T00:00:00"/>
    <m/>
    <d v="2048-09-30T00:00:00"/>
    <n v="9142"/>
    <s v="B+"/>
    <s v="BE-2012 , Intermediate-2008 , SSLC-2006"/>
    <s v="09.08"/>
    <s v="01.06"/>
    <s v="11.02"/>
    <s v="00045632"/>
    <s v="Costing &amp; Budgeting"/>
    <s v="272885"/>
    <s v="Lead - Performance Management"/>
    <s v="Hazira"/>
    <s v="0031950043"/>
    <s v="HZ-Performance Manag"/>
    <s v="2000HWO"/>
    <s v="20056146"/>
    <s v="Asvinbhai Sutarsandhiya"/>
    <s v="No"/>
    <s v="gaurav.chudasama@amns.in"/>
    <s v="9662793836"/>
    <s v="880578"/>
    <s v="Dhruv Vyas"/>
    <s v="Anil Matoo"/>
    <s v="Praveen Kuruvalli"/>
    <s v="Dhruv Vyas"/>
    <n v="0"/>
  </r>
  <r>
    <n v="4435"/>
    <n v="20056324"/>
    <s v="Meet Smart"/>
    <s v="AM/NS India"/>
    <s v="Onroll"/>
    <s v="M-10"/>
    <n v="10"/>
    <m/>
    <s v="JM"/>
    <s v="M"/>
    <s v="Hazira"/>
    <n v="1"/>
    <s v="2069"/>
    <x v="8"/>
    <s v="25.01"/>
    <s v="Bibek Chattopadhyay"/>
    <s v="Ashutosh Telang"/>
    <n v="6"/>
    <s v="HR &amp; Administration"/>
    <s v="Corporate Communications"/>
    <s v="25"/>
    <s v="Public Relation Officer"/>
    <m/>
    <s v="Corporate Communication"/>
    <s v=""/>
    <s v=""/>
    <s v="Non Technical Support"/>
    <s v="Corporate Communication"/>
    <s v="Corporate Communication"/>
    <s v="74001001"/>
    <s v="Corporate Communication"/>
    <s v="AM/NS Hazira"/>
    <d v="1994-01-01T00:00:00"/>
    <s v="29.08"/>
    <d v="2022-03-07T00:00:00"/>
    <d v="2051-12-31T00:00:00"/>
    <m/>
    <d v="2051-12-31T00:00:00"/>
    <n v="10329"/>
    <s v="B+"/>
    <s v="MA-2016 , BCom-2014 , Intermediate-2011"/>
    <s v="05.10"/>
    <s v="01.06"/>
    <s v="07.04"/>
    <s v="00047290"/>
    <s v="Communication Gujrat"/>
    <s v="273386"/>
    <s v="Public Relation Officer"/>
    <s v="Hazira"/>
    <s v="0090000016"/>
    <s v="Corporate Steel - Co"/>
    <s v="2000HWO"/>
    <s v="20056083"/>
    <s v="Neeraj Sharma"/>
    <s v="No"/>
    <s v="meet.smart@amns.in"/>
    <s v="6358913654"/>
    <s v="881632"/>
    <s v="Dhruv Vyas"/>
    <s v="Anil Matoo"/>
    <s v="Praveen Kuruvalli"/>
    <s v="Dhruv Vyas"/>
    <n v="0"/>
  </r>
  <r>
    <n v="4437"/>
    <n v="20056327"/>
    <s v="Aishwarya Singhi"/>
    <s v="AM/NS India"/>
    <s v="Onroll"/>
    <s v="M-7"/>
    <n v="7"/>
    <m/>
    <s v="MM"/>
    <s v="F"/>
    <s v="Hazira"/>
    <n v="1"/>
    <s v="2013"/>
    <x v="0"/>
    <s v="20.01"/>
    <s v="Akiyo Omori"/>
    <s v="Amit Harlalka"/>
    <n v="5"/>
    <s v="Finance &amp; Accounts"/>
    <s v="Finance &amp; Accounts"/>
    <s v="20"/>
    <s v="Lead Indirect Tax"/>
    <m/>
    <s v="Taxation"/>
    <s v="In Direct - Taxation"/>
    <s v=""/>
    <s v="Non Technical Support"/>
    <s v="Finance &amp; Accounts"/>
    <s v="Taxation"/>
    <s v="73904002"/>
    <s v="Indirect Taxation"/>
    <s v="AM/NS Hazira"/>
    <d v="1995-10-12T00:00:00"/>
    <s v="27.11"/>
    <d v="2022-03-07T00:00:00"/>
    <d v="2053-10-31T00:00:00"/>
    <m/>
    <d v="2053-10-31T00:00:00"/>
    <n v="10999"/>
    <s v="B+"/>
    <s v="CA Final-2018 , BCom-2016 , Intermediate"/>
    <s v="03.00"/>
    <s v="01.06"/>
    <s v="04.06"/>
    <s v="70282653"/>
    <s v="GST"/>
    <s v="70258426"/>
    <s v="Lead Indirect Tax"/>
    <s v="Hazira"/>
    <s v="0090000033"/>
    <s v="Corporate Taxation"/>
    <s v="2000HWO"/>
    <s v="20055962"/>
    <s v="Navin Kewalramani"/>
    <s v="No"/>
    <s v="aishwarya.singhi@amns.in"/>
    <s v="9903582010"/>
    <s v="882357"/>
    <s v="Dhruv Vyas"/>
    <s v="Anil Matoo"/>
    <s v="Praveen Kuruvalli"/>
    <s v="Dhruv Vyas"/>
    <n v="0"/>
  </r>
  <r>
    <n v="4442"/>
    <n v="20056333"/>
    <s v="Gonnakuti Shashank Naidu"/>
    <s v="AM/NS Middle East FZE"/>
    <s v="Onroll"/>
    <s v="M-9"/>
    <n v="9"/>
    <m/>
    <s v="JM"/>
    <s v="M"/>
    <s v="Dubai"/>
    <n v="10"/>
    <s v="2502"/>
    <x v="10"/>
    <s v="14.01"/>
    <s v="Ranjan Dhar"/>
    <s v="Alain Legrix De La Salle"/>
    <n v="3"/>
    <s v="Sales &amp; Marketing"/>
    <s v="Sales &amp; Marketing"/>
    <s v="14"/>
    <s v="Lead Sales"/>
    <m/>
    <s v="Sales ME"/>
    <s v="Sales ME"/>
    <s v=""/>
    <s v=""/>
    <s v="Sales &amp; Marketing"/>
    <s v="Sales &amp; Marketing"/>
    <s v="73101001"/>
    <s v="Sales &amp; Marketing"/>
    <s v="Dubai"/>
    <d v="1990-10-01T00:00:00"/>
    <s v="32.11"/>
    <d v="2022-03-14T00:00:00"/>
    <d v="2048-09-30T00:00:00"/>
    <m/>
    <d v="2048-09-30T00:00:00"/>
    <n v="9142"/>
    <s v="B+"/>
    <s v="MBA-2015 , BCom-2012"/>
    <s v="06.08"/>
    <s v="01.06"/>
    <s v="08.02"/>
    <s v="70495379"/>
    <s v="Chief Marketing Officer - AMNS ME FZE"/>
    <s v="274488"/>
    <s v="Sales Manager ME"/>
    <s v="AMNS Middle East FZE"/>
    <s v="0093720082"/>
    <s v="SC-Dubai-Marketing"/>
    <s v="DUBA2081"/>
    <s v="20055663"/>
    <s v="Karamath Syed"/>
    <s v="No"/>
    <s v="shashank.naidu@amns.in"/>
    <s v="+971564084646"/>
    <s v="24132"/>
    <s v="Dhruv Vyas"/>
    <s v="Anil Matoo"/>
    <s v="Praveen Kuruvalli"/>
    <n v="0"/>
    <n v="0"/>
  </r>
  <r>
    <n v="4456"/>
    <n v="20056350"/>
    <s v="Sanjay Kumar Jha"/>
    <s v="AM/NS India"/>
    <s v="Onroll"/>
    <s v="M-7"/>
    <n v="7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- Finance &amp; Accounts"/>
    <m/>
    <s v="Finance &amp; Accounts - Odisha"/>
    <s v="Finance &amp; Accounts"/>
    <s v=""/>
    <s v="Non Technical Support"/>
    <s v="Finance &amp; Accounts"/>
    <s v="Finance &amp; Accounts"/>
    <s v="73901001"/>
    <s v="Finance &amp; Accounts"/>
    <s v="Paradeep"/>
    <d v="1985-11-10T00:00:00"/>
    <s v="37.10"/>
    <d v="2022-03-07T00:00:00"/>
    <d v="2043-11-30T00:00:00"/>
    <m/>
    <d v="2043-11-30T00:00:00"/>
    <n v="7376"/>
    <s v="B+"/>
    <s v="BCom-2007 , CA Final-2010 , Intermediate"/>
    <s v="11.01"/>
    <s v="01.06"/>
    <s v="12.07"/>
    <s v="70234933"/>
    <s v="Finance &amp; Accounts - Odisha"/>
    <s v="273341"/>
    <s v="Lead - Finance &amp; Accounts"/>
    <s v="Odisha"/>
    <s v="0022030019"/>
    <s v="PDP-HR &amp; Admn"/>
    <s v="2000STORIS"/>
    <s v="20055801"/>
    <s v="Sanjive Kumar Singh"/>
    <s v="No"/>
    <s v="sanjay.jha@amns.in"/>
    <s v="9868413352"/>
    <s v="882952"/>
    <s v="Sunila Das"/>
    <s v="Anil Matoo"/>
    <s v="Praveen Kuruvalli"/>
    <s v="Sunila Das"/>
    <n v="0"/>
  </r>
  <r>
    <n v="4457"/>
    <n v="20056351"/>
    <s v="Abhiram Mahanty"/>
    <s v="AM/NS India"/>
    <s v="Onroll"/>
    <s v="M-8"/>
    <n v="8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Admin"/>
    <m/>
    <s v="Administration"/>
    <s v=""/>
    <s v=""/>
    <s v="Non Technical Support"/>
    <s v="Human Resources Management"/>
    <s v="Human Resources Management"/>
    <s v="73501002"/>
    <s v="Human Resources Operation"/>
    <s v="Dabuna"/>
    <d v="1983-08-02T00:00:00"/>
    <s v="40.01"/>
    <d v="2022-03-07T00:00:00"/>
    <d v="2041-08-31T00:00:00"/>
    <m/>
    <d v="2041-08-31T00:00:00"/>
    <n v="6555"/>
    <s v="B-"/>
    <s v="MBA-2010 , MSc-2005 , BSc-2003 , Interme"/>
    <s v="13.11"/>
    <s v="01.06"/>
    <s v="15.05"/>
    <s v="70238103"/>
    <s v="Odisha - Admin &amp; Industrial Relations"/>
    <s v="273313"/>
    <s v="Lead Admin"/>
    <s v="Odisha"/>
    <s v="0022010019"/>
    <s v="DBN-Benf-HR/Admin"/>
    <s v="2000STORIS"/>
    <s v="20057297"/>
    <s v="Bibhash Mohanty"/>
    <s v="No"/>
    <s v="abhiram.mahanty@amns.in"/>
    <s v="8599008836"/>
    <s v="882969"/>
    <s v="Sunila Das"/>
    <s v="Anil Matoo"/>
    <s v="Praveen Kuruvalli"/>
    <s v="Sunila Das"/>
    <n v="0"/>
  </r>
  <r>
    <n v="4468"/>
    <n v="20056362"/>
    <s v="Prashant Pandey"/>
    <s v="AM/NS India"/>
    <s v="Onroll"/>
    <s v="M-8"/>
    <n v="8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Lead – Secondary Sales"/>
    <m/>
    <s v=""/>
    <s v=""/>
    <s v=""/>
    <s v="Non Technical Support"/>
    <s v="Operations"/>
    <s v="Operations"/>
    <s v="72103001"/>
    <s v="Operations"/>
    <s v="Hazira"/>
    <d v="1992-01-16T00:00:00"/>
    <s v="31.08"/>
    <d v="2022-03-07T00:00:00"/>
    <d v="2050-01-31T00:00:00"/>
    <m/>
    <d v="2050-01-31T00:00:00"/>
    <n v="9630"/>
    <s v="B+"/>
    <s v="MBA-2021 , BTech-2014 , Intermediate-201"/>
    <s v="06.06"/>
    <s v="01.06"/>
    <s v="08.00"/>
    <s v="00049357"/>
    <s v="Secondary Sales"/>
    <s v="274960"/>
    <s v="Lead – Secondary Sales"/>
    <s v="Hazira"/>
    <s v="0031950059"/>
    <s v="HZ-Hazira Project"/>
    <s v="2000HWO"/>
    <s v="20055763"/>
    <s v="Debashis Mohapatra"/>
    <s v="No"/>
    <s v="prashant.pandey@amns.in"/>
    <s v="9879102273"/>
    <s v="22932"/>
    <s v="Dhruv Vyas"/>
    <s v="Anil Matoo"/>
    <s v="Praveen Kuruvalli"/>
    <s v="Dhruv Vyas"/>
    <n v="0"/>
  </r>
  <r>
    <n v="4471"/>
    <n v="20056368"/>
    <s v="Sanjay Mahawar"/>
    <s v="AM/NS India"/>
    <s v="Onroll"/>
    <s v="M-7"/>
    <n v="7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s v=""/>
    <s v=""/>
    <s v="Non Technical Support"/>
    <s v="Corporate Relations"/>
    <s v="Corporate Affairs"/>
    <s v="74501001"/>
    <s v="Corporate Affairs"/>
    <s v="Delhi"/>
    <d v="1975-12-23T00:00:00"/>
    <s v="47.08"/>
    <d v="2022-03-15T00:00:00"/>
    <d v="2033-12-31T00:00:00"/>
    <m/>
    <d v="2033-12-31T00:00:00"/>
    <n v="3755"/>
    <s v="AB+"/>
    <s v="Diploma-2007 , Diploma-2005 , BA-1998 ,"/>
    <s v="21.03"/>
    <s v="01.06"/>
    <s v="22.09"/>
    <s v="70494938"/>
    <s v="Corporate Affairs"/>
    <s v="273385"/>
    <s v="Lead - Corporate Affairs"/>
    <s v="Corporate"/>
    <s v="0090000021"/>
    <s v="Corporate Affairs"/>
    <s v="2000CS"/>
    <s v="20057928"/>
    <s v="Manu Kapoor"/>
    <s v="No"/>
    <s v="sanjay.mahawar@amns.in"/>
    <s v="9911225547"/>
    <s v="883537"/>
    <s v="Dhruv Vyas"/>
    <s v="Anil Matoo"/>
    <s v="Praveen Kuruvalli"/>
    <s v="Dhruv Vyas"/>
    <n v="0"/>
  </r>
  <r>
    <n v="4474"/>
    <n v="20056372"/>
    <s v="Varun Puri"/>
    <s v="AM/NS Middle East FZE"/>
    <s v="Onroll"/>
    <s v="M-8"/>
    <n v="8"/>
    <m/>
    <s v="JM"/>
    <s v="M"/>
    <s v="Dubai"/>
    <n v="10"/>
    <s v="2504"/>
    <x v="0"/>
    <s v="20.01"/>
    <s v="Akiyo Omori"/>
    <s v="Amit Harlalka"/>
    <n v="5"/>
    <s v="Finance &amp; Accounts"/>
    <s v="Finance &amp; Accounts"/>
    <s v="20"/>
    <s v="Lead - Finance &amp; Accounts"/>
    <m/>
    <s v=""/>
    <s v=""/>
    <s v=""/>
    <s v="Non Technical Support"/>
    <s v="Finance &amp; Accounts"/>
    <s v="Finance &amp; Accounts"/>
    <s v="73901001"/>
    <s v="Finance &amp; Accounts"/>
    <s v="Dubai"/>
    <d v="1988-04-05T00:00:00"/>
    <s v="35.05"/>
    <d v="2022-03-15T00:00:00"/>
    <d v="2046-04-30T00:00:00"/>
    <m/>
    <d v="2046-04-30T00:00:00"/>
    <n v="8258"/>
    <s v=""/>
    <s v=""/>
    <s v=""/>
    <s v="01.06"/>
    <s v="01.06"/>
    <s v="70495379"/>
    <s v="Chief Marketing Officer - AMNS ME FZE"/>
    <s v="70258779"/>
    <s v="Lead - Finance &amp; Accounts"/>
    <s v="AMNS Middle East FZE"/>
    <s v="0093720019"/>
    <s v="SC-Dubai-Hr-Admin"/>
    <s v="DUBA2081"/>
    <s v="20055663"/>
    <s v="Karamath Syed"/>
    <s v="No"/>
    <s v="varun.puri@amns.in"/>
    <s v="971564084480"/>
    <s v="23596"/>
    <s v="Dhruv Vyas"/>
    <s v="Anil Matoo"/>
    <s v="Praveen Kuruvalli"/>
    <s v="Dhruv Vyas"/>
    <n v="0"/>
  </r>
  <r>
    <n v="4477"/>
    <n v="20056375"/>
    <s v="Satyanarayan Routray"/>
    <s v="AM/NS India"/>
    <s v="Onroll"/>
    <s v="M-6"/>
    <n v="6"/>
    <m/>
    <s v="MM"/>
    <s v="M"/>
    <s v="Odisha"/>
    <n v="2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"/>
    <s v=""/>
    <s v="Projects"/>
    <s v="Corporate Relations"/>
    <s v="Corporate Affairs"/>
    <s v="74501001"/>
    <s v="Corporate Affairs"/>
    <s v="Bhubaneswar"/>
    <d v="1981-06-18T00:00:00"/>
    <s v="42.03"/>
    <d v="2022-03-21T00:00:00"/>
    <d v="2039-06-30T00:00:00"/>
    <m/>
    <d v="2039-06-30T00:00:00"/>
    <n v="5762"/>
    <s v="A+"/>
    <s v="BSc-2004 , Intermediate-2000 , SSLC-1996"/>
    <s v="16.00"/>
    <s v="01.06"/>
    <s v="17.06"/>
    <s v="00048076"/>
    <s v="Greenfield Project"/>
    <s v="273334"/>
    <s v="Lead Corporate Affairs"/>
    <s v="Odisha"/>
    <s v="0022030048"/>
    <s v="PDP-Projects"/>
    <s v="2000STORIS"/>
    <s v="20055204"/>
    <s v="Lakshmi Charan Mahapatra"/>
    <s v="No"/>
    <s v="satyanarayan.routray@amns.in"/>
    <s v="9438013247"/>
    <s v="883654"/>
    <s v="Sunila Das"/>
    <s v="Anil Matoo"/>
    <s v="Praveen Kuruvalli"/>
    <s v="Sunila Das"/>
    <n v="0"/>
  </r>
  <r>
    <n v="4488"/>
    <n v="20056387"/>
    <s v="Vikal Goyal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Internal Control &amp; SOX"/>
    <m/>
    <s v="Internal Control &amp; SOX"/>
    <s v="Internal Control &amp; SOX"/>
    <s v=""/>
    <s v="Non Technical Support"/>
    <s v="Chairman's Secretariat"/>
    <s v="Chairman's Secretariat"/>
    <s v="74701000"/>
    <s v="Chairman's Secretariat"/>
    <s v="AM/NS Hazira"/>
    <d v="1991-10-26T00:00:00"/>
    <s v="31.10"/>
    <d v="2022-03-21T00:00:00"/>
    <d v="2049-10-31T00:00:00"/>
    <m/>
    <d v="2049-10-31T00:00:00"/>
    <n v="9538"/>
    <s v="B+"/>
    <s v="BCom-2012 , CA Final-2014 , Intermediate"/>
    <s v="07.01"/>
    <s v="01.06"/>
    <s v="08.06"/>
    <s v="00051504"/>
    <s v="Internal Control &amp; SOX"/>
    <s v="275134"/>
    <s v="Lead – Internal Control &amp; SOX"/>
    <s v="Hazira"/>
    <s v="0031950043"/>
    <s v="HZ-Performance Manag"/>
    <s v="2000HWO"/>
    <s v="20000138"/>
    <s v="Suresh Iyer"/>
    <s v="No"/>
    <s v="vikal.goyal@amns.in"/>
    <s v="6358913683"/>
    <s v="884014"/>
    <s v="Dhruv Vyas"/>
    <s v="Anil Matoo"/>
    <s v="Praveen Kuruvalli"/>
    <s v="Dhruv Vyas"/>
    <n v="0"/>
  </r>
  <r>
    <n v="4494"/>
    <n v="20056394"/>
    <s v="Nikisha Desai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Performance Management"/>
    <m/>
    <s v="Performance Management"/>
    <s v="Performance Management"/>
    <s v=""/>
    <s v="Non Technical Support"/>
    <s v="Finance &amp; Accounts"/>
    <s v="Treasury"/>
    <s v="73903001"/>
    <s v="Treasury"/>
    <s v="AM/NS Hazira"/>
    <d v="1983-09-12T00:00:00"/>
    <s v="40.00"/>
    <d v="2022-03-16T00:00:00"/>
    <d v="2041-09-30T00:00:00"/>
    <m/>
    <d v="2041-09-30T00:00:00"/>
    <n v="6585"/>
    <s v="O+"/>
    <s v="PG Diploma in Management-2010 , MCom-200"/>
    <s v="11.03"/>
    <s v="01.06"/>
    <s v="12.09"/>
    <s v="00045632"/>
    <s v="Costing &amp; Budgeting"/>
    <s v="70360709"/>
    <s v="Officer - Performance Management"/>
    <s v="Hazira"/>
    <s v="0031950043"/>
    <s v="HZ-Performance Manag"/>
    <s v="2000HWO"/>
    <s v="20056146"/>
    <s v="Asvinbhai Sutarsandhiya"/>
    <s v="No"/>
    <s v="nikisha.desai@amns.in"/>
    <s v="9727255991"/>
    <s v="25213"/>
    <s v="Dhruv Vyas"/>
    <s v="Anil Matoo"/>
    <s v="Praveen Kuruvalli"/>
    <s v="Dhruv Vyas"/>
    <n v="0"/>
  </r>
  <r>
    <n v="4496"/>
    <n v="20056396"/>
    <s v="Ritesh Shrivastava"/>
    <s v="AM/NS India"/>
    <s v="Onroll"/>
    <s v="M-6"/>
    <n v="6"/>
    <m/>
    <s v="MM"/>
    <s v="M"/>
    <s v="Corporate"/>
    <n v="7"/>
    <s v="2095"/>
    <x v="4"/>
    <n v="36.01"/>
    <s v="Deepak Sindkar"/>
    <s v="Hrishikesh Kamat"/>
    <n v="7"/>
    <s v="Procurement"/>
    <s v="Raw Materials"/>
    <s v="36"/>
    <s v="Section Head – BRM"/>
    <m/>
    <s v="Bulk Raw Materials"/>
    <s v="Bulk Raw Materials"/>
    <s v=""/>
    <s v="Non Technical Support"/>
    <s v="Commercial"/>
    <s v="Procurement"/>
    <s v="73803001"/>
    <s v="Procurement"/>
    <s v="Mumbai"/>
    <d v="1984-12-08T00:00:00"/>
    <s v="38.09"/>
    <d v="2022-03-14T00:00:00"/>
    <d v="2042-12-31T00:00:00"/>
    <m/>
    <d v="2042-12-31T00:00:00"/>
    <n v="7042"/>
    <s v="O+"/>
    <s v="BE-2007 , Intermediate-2002 , SSLC-2000"/>
    <s v="14.07"/>
    <s v="01.06"/>
    <s v="16.01"/>
    <s v="00045893"/>
    <s v="Red Odisha Mill Scale"/>
    <s v="70258488"/>
    <s v="Section Head – BRM"/>
    <s v="Corporate"/>
    <s v="0031950048"/>
    <s v="HZ-Procurment Depart"/>
    <s v="2002MUMB"/>
    <s v="20035527"/>
    <s v="Anil Patro"/>
    <s v="No"/>
    <s v="ritesh.shrivastava@amns.in"/>
    <s v="9820508867"/>
    <s v="884173"/>
    <s v="Dhruv Vyas"/>
    <s v="Anil Matoo"/>
    <s v="Praveen Kuruvalli"/>
    <s v="Dhruv Vyas"/>
    <n v="0"/>
  </r>
  <r>
    <n v="4512"/>
    <n v="20056418"/>
    <s v="Vihar Vaghela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Operations"/>
    <s v="Operations"/>
    <s v="72103001"/>
    <s v="Operations"/>
    <s v="Hazira"/>
    <d v="1990-09-11T00:00:00"/>
    <s v="33.00"/>
    <d v="2022-04-04T00:00:00"/>
    <d v="2048-09-30T00:00:00"/>
    <m/>
    <d v="2048-09-30T00:00:00"/>
    <n v="9142"/>
    <s v="B+"/>
    <s v="BE-2011 , Intermediate-2007 , SSLC-2005"/>
    <s v="10.02"/>
    <s v="01.05"/>
    <s v="11.07"/>
    <s v="00049335"/>
    <s v="Capex Procurement - Expediting"/>
    <s v="273324"/>
    <s v="Lead – Expeditor Capex"/>
    <s v="Hazira"/>
    <s v="0031950059"/>
    <s v="HZ-Hazira Project"/>
    <s v="2000HWO"/>
    <s v="20057413"/>
    <s v="Vipin Toshniwal"/>
    <s v="No"/>
    <s v="vihar.vaghela@amns.in"/>
    <s v="9033182129"/>
    <s v="886077"/>
    <s v="Dhruv Vyas"/>
    <s v="Anil Matoo"/>
    <s v="Praveen Kuruvalli"/>
    <s v="Dhruv Vyas"/>
    <n v="0"/>
  </r>
  <r>
    <n v="4513"/>
    <n v="20056419"/>
    <s v="Avinash Tickoo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Operations"/>
    <s v="Operations"/>
    <s v="72103001"/>
    <s v="Operations"/>
    <s v="Hazira"/>
    <d v="1986-10-04T00:00:00"/>
    <s v="36.11"/>
    <d v="2022-04-01T00:00:00"/>
    <d v="2044-10-31T00:00:00"/>
    <m/>
    <d v="2044-10-31T00:00:00"/>
    <n v="7712"/>
    <s v="A+"/>
    <s v="BE-2010 , Intermediate-2006 , SSLC-2003"/>
    <s v="09.02"/>
    <s v="01.05"/>
    <s v="10.07"/>
    <s v="00049335"/>
    <s v="Capex Procurement - Expediting"/>
    <s v="273321"/>
    <s v="Lead – Expeditor Capex"/>
    <s v="Hazira"/>
    <s v="0031950059"/>
    <s v="HZ-Hazira Project"/>
    <s v="2000HWO"/>
    <s v="20057413"/>
    <s v="Vipin Toshniwal"/>
    <s v="No"/>
    <s v="avinash.tickoo@amns.in"/>
    <s v="7990300919"/>
    <s v="886338"/>
    <s v="Dhruv Vyas"/>
    <s v="Anil Matoo"/>
    <s v="Praveen Kuruvalli"/>
    <s v="Dhruv Vyas"/>
    <n v="0"/>
  </r>
  <r>
    <n v="4515"/>
    <n v="20056422"/>
    <s v="Suparna Nanda"/>
    <s v="AM/NS India"/>
    <s v="Onroll"/>
    <s v="M-4"/>
    <n v="4"/>
    <m/>
    <s v="SM"/>
    <s v="F"/>
    <s v="Odisha"/>
    <n v="2"/>
    <s v="2039"/>
    <x v="2"/>
    <s v="43.01"/>
    <s v="Sangeeta Munjal"/>
    <s v="Manu Kapoor"/>
    <n v="10"/>
    <s v="Corporate Affairs"/>
    <s v="Corporate Affairs"/>
    <s v="43"/>
    <s v="Head - Corporate Affairs, Odisha"/>
    <m/>
    <s v="Corporate Affairs"/>
    <s v="Corporate Affairs"/>
    <s v="Corporate Affairs"/>
    <s v="Non Technical Support"/>
    <s v="Corporate Relations"/>
    <s v="Corporate Affairs"/>
    <s v="74501001"/>
    <s v="Corporate Affairs"/>
    <s v="Bhubaneswar"/>
    <d v="1975-08-23T00:00:00"/>
    <s v="48.00"/>
    <d v="2022-04-02T00:00:00"/>
    <d v="2033-08-31T00:00:00"/>
    <m/>
    <d v="2033-08-31T00:00:00"/>
    <n v="3633"/>
    <s v="B-"/>
    <s v="PG Diploma-1998 , PG Diploma-1996 , Inte"/>
    <s v="21.06"/>
    <s v="01.05"/>
    <s v="22.11"/>
    <s v="70495564"/>
    <s v="Corporate Affairs - Odisha"/>
    <s v="276336"/>
    <s v="Head - Corporate Affairs, Odisha"/>
    <s v="Odisha"/>
    <s v="0090000021"/>
    <s v="Corporate Affairs"/>
    <s v="2000STORIS"/>
    <s v="20057928"/>
    <s v="Manu Kapoor"/>
    <s v="No"/>
    <s v="suparna.nanda@amns.in"/>
    <s v="9937154773"/>
    <s v="886522"/>
    <s v="Sunila Das"/>
    <s v="Anil Matoo"/>
    <s v="Praveen Kuruvalli"/>
    <s v="Sunila Das"/>
    <n v="0"/>
  </r>
  <r>
    <n v="4517"/>
    <n v="20056424"/>
    <s v="Ramesh Patel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- Capex Procurement"/>
    <m/>
    <s v=""/>
    <s v=""/>
    <s v=""/>
    <s v="Non Technical Support"/>
    <s v="Operations"/>
    <s v="Operations"/>
    <s v="72103001"/>
    <s v="Operations"/>
    <s v="Hazira"/>
    <d v="1983-01-31T00:00:00"/>
    <s v="40.07"/>
    <d v="2022-03-29T00:00:00"/>
    <d v="2041-01-31T00:00:00"/>
    <m/>
    <d v="2041-01-31T00:00:00"/>
    <n v="6343"/>
    <s v="A+"/>
    <s v="MBA-2007 , BE-2005 , Intermediate-2000 ,"/>
    <s v="17.03"/>
    <s v="01.05"/>
    <s v="18.08"/>
    <s v="00053251"/>
    <s v="Capex Procurement"/>
    <s v="273320"/>
    <s v="Sr. Lead - Capex Procurement"/>
    <s v="Hazira"/>
    <s v="0031950059"/>
    <s v="HZ-Hazira Project"/>
    <s v="2000HWO"/>
    <s v="20055706"/>
    <s v="HimalKumar Madhusudan Sheth"/>
    <s v="No"/>
    <s v="ramesh.patel1@amns.in"/>
    <s v="6358942015"/>
    <s v="886653"/>
    <s v="Dhruv Vyas"/>
    <s v="Anil Matoo"/>
    <s v="Praveen Kuruvalli"/>
    <s v="Dhruv Vyas"/>
    <n v="0"/>
  </r>
  <r>
    <n v="4521"/>
    <n v="20056429"/>
    <s v="Sonali Jain"/>
    <s v="AM/NS India"/>
    <s v="Onroll"/>
    <s v="M-10"/>
    <n v="10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Accounts Payable"/>
    <m/>
    <s v=""/>
    <s v=""/>
    <s v=""/>
    <s v="Non Technical Support"/>
    <s v="Finance &amp; Accounts"/>
    <s v="Finance &amp; Accounts"/>
    <s v="73901001"/>
    <s v="Finance &amp; Accounts"/>
    <s v="AM/NS Hazira"/>
    <d v="1993-03-06T00:00:00"/>
    <s v="30.06"/>
    <d v="2022-04-06T00:00:00"/>
    <d v="2051-03-31T00:00:00"/>
    <m/>
    <d v="2051-03-31T00:00:00"/>
    <n v="10054"/>
    <s v="B+"/>
    <s v="CS-2014 , CA Inter-2011 , BCom-2013 , In"/>
    <s v="03.00"/>
    <s v="01.05"/>
    <s v="04.05"/>
    <s v="72150243"/>
    <s v="Accounts Payable"/>
    <s v="70298654"/>
    <s v="Officer Accounts Payable"/>
    <s v="Hazira"/>
    <s v="0031950045"/>
    <s v="HZ-Works Accounts-Ha"/>
    <s v="2000HWO"/>
    <s v="20001076"/>
    <s v="Bhavesh Modi"/>
    <s v="No"/>
    <s v="sonali.jain@amns.in"/>
    <s v="9664527109"/>
    <s v="887052"/>
    <s v="Dhruv Vyas"/>
    <s v="Anil Matoo"/>
    <s v="Praveen Kuruvalli"/>
    <s v="Dhruv Vyas"/>
    <n v="0"/>
  </r>
  <r>
    <n v="4523"/>
    <n v="20056431"/>
    <s v="Prajakta Wagholikar"/>
    <s v="AM/NS India"/>
    <s v="Onroll"/>
    <s v="M-5"/>
    <n v="5"/>
    <m/>
    <s v="M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- Coated Products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75-03-28T00:00:00"/>
    <s v="48.05"/>
    <d v="2022-04-06T00:00:00"/>
    <d v="2033-03-31T00:00:00"/>
    <m/>
    <d v="2033-03-31T00:00:00"/>
    <n v="3480"/>
    <s v="O+"/>
    <s v="BE-1997 , Intermediate-1993 , SSLC-1991"/>
    <s v="24.09"/>
    <s v="01.05"/>
    <s v="26.02"/>
    <s v="00052471"/>
    <s v="Coated &amp; OC"/>
    <s v="273353"/>
    <s v="Section Head - Coated &amp; OC Products"/>
    <s v="Corporate"/>
    <s v="0031950057"/>
    <s v="HZ-HRC - Marketing"/>
    <s v="2002MUMB"/>
    <s v="20008508"/>
    <s v="Satyajit Mohapatra"/>
    <s v="No"/>
    <s v="prajakta.wagholikar@amns.in"/>
    <s v="9860998710"/>
    <s v="887153"/>
    <s v="Dhruv Vyas"/>
    <s v="Anil Matoo"/>
    <s v="Praveen Kuruvalli"/>
    <s v="Dhruv Vyas"/>
    <n v="0"/>
  </r>
  <r>
    <n v="4536"/>
    <n v="20056445"/>
    <s v="Monoswita Rez"/>
    <s v="AM/NS India"/>
    <s v="Onroll"/>
    <s v="M-9"/>
    <n v="9"/>
    <m/>
    <s v="JM"/>
    <s v="F"/>
    <s v="Odisha"/>
    <n v="2"/>
    <s v="2013"/>
    <x v="0"/>
    <s v="20.01"/>
    <s v="Akiyo Omori"/>
    <s v="Amit Harlalka"/>
    <n v="5"/>
    <s v="Finance &amp; Accounts"/>
    <s v="Finance &amp; Accounts"/>
    <s v="20"/>
    <s v="Officer- F&amp;A"/>
    <m/>
    <s v="Projects"/>
    <s v=""/>
    <s v=""/>
    <s v="Non Technical Support"/>
    <s v=""/>
    <s v=""/>
    <s v=""/>
    <s v=""/>
    <s v="Bhubaneswar"/>
    <d v="1997-05-04T00:00:00"/>
    <s v="26.04"/>
    <d v="2022-04-04T00:00:00"/>
    <d v="2055-05-31T00:00:00"/>
    <m/>
    <d v="2055-05-31T00:00:00"/>
    <n v="11576"/>
    <s v="B+"/>
    <s v="CA Final-2021 , BCom-2018 , SSLC-2015"/>
    <s v="00.03"/>
    <s v="01.05"/>
    <s v="01.08"/>
    <s v="70234933"/>
    <s v="Finance &amp; Accounts - Odisha"/>
    <s v="277056"/>
    <s v="Officer- F&amp;A"/>
    <s v="Odisha"/>
    <s v="0022030019"/>
    <s v="PDP-HR &amp; Admn"/>
    <s v="2000STORIS"/>
    <s v="20055801"/>
    <s v="Sanjive Kumar Singh"/>
    <s v="No"/>
    <s v="monoswita.rez@amns.in"/>
    <s v="8598027449"/>
    <s v="887972"/>
    <s v="Sunila Das"/>
    <s v="Anil Matoo"/>
    <s v="Praveen Kuruvalli"/>
    <s v="Sunila Das"/>
    <n v="0"/>
  </r>
  <r>
    <n v="4547"/>
    <n v="20056456"/>
    <s v="Prashant Bajpai"/>
    <s v="AM/NS India"/>
    <s v="Onroll"/>
    <s v="M-7"/>
    <n v="7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Lead- HR Operations"/>
    <m/>
    <s v="Human Resources"/>
    <s v=""/>
    <s v=""/>
    <s v="Non Technical Support"/>
    <s v="Human Resources Management"/>
    <s v="Human Resources Management"/>
    <s v="73501001"/>
    <s v="Human Resources"/>
    <s v="Hazira"/>
    <d v="1990-05-10T00:00:00"/>
    <s v="33.04"/>
    <d v="2022-04-07T00:00:00"/>
    <d v="2048-05-31T00:00:00"/>
    <m/>
    <d v="2048-05-31T00:00:00"/>
    <n v="9020"/>
    <s v="O+"/>
    <s v="MBA-2012 , BCom-2010"/>
    <s v="09.10"/>
    <s v="01.05"/>
    <s v="11.03"/>
    <s v="70472770"/>
    <s v="Hazira HR Operations - 1"/>
    <s v="273307"/>
    <s v="Lead- HR Operations"/>
    <s v="Hazira"/>
    <s v="0031950061"/>
    <s v="HZ-Human Resource"/>
    <s v="2000HWO"/>
    <s v="20001265"/>
    <s v="Lakshman Iyer"/>
    <s v="No"/>
    <s v="prashant.bajpai@amns.in"/>
    <s v="9558610703"/>
    <s v="888411"/>
    <s v="Dhruv Vyas"/>
    <s v="Anil Matoo"/>
    <s v="Praveen Kuruvalli"/>
    <s v="Dhruv Vyas"/>
    <n v="0"/>
  </r>
  <r>
    <n v="4574"/>
    <n v="20056488"/>
    <s v="Supriya Swain"/>
    <s v="AM/NS India"/>
    <s v="Onroll"/>
    <s v="M-7"/>
    <n v="7"/>
    <m/>
    <s v="MM"/>
    <s v="F"/>
    <s v="Odisha"/>
    <n v="2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1"/>
    <s v="Human Resources"/>
    <s v="Paradeep"/>
    <d v="1983-06-30T00:00:00"/>
    <s v="40.02"/>
    <d v="2022-05-02T00:00:00"/>
    <d v="2041-06-30T00:00:00"/>
    <m/>
    <d v="2041-06-30T00:00:00"/>
    <n v="6493"/>
    <s v="A+"/>
    <s v="MBA-2008 , PG Diploma-2005 , BSc-2004 ,"/>
    <s v="12.00"/>
    <s v="01.04"/>
    <s v="13.04"/>
    <s v="70495430"/>
    <s v="Odisha HR Operations"/>
    <s v="273311"/>
    <s v="Lead - Human Resources"/>
    <s v="Odisha"/>
    <s v="0022030019"/>
    <s v="PDP-HR &amp; Admn"/>
    <s v="2000STORIS"/>
    <s v="20055611"/>
    <s v="Sunila Kumar Das"/>
    <s v="No"/>
    <s v="supriya.swain@amns.in"/>
    <s v="7894450331"/>
    <s v="890454"/>
    <s v="Sunila Das"/>
    <s v="Anil Matoo"/>
    <s v="Praveen Kuruvalli"/>
    <s v="Sunila Das"/>
    <n v="0"/>
  </r>
  <r>
    <n v="4578"/>
    <n v="20056492"/>
    <s v="Parthajeet Mazumdar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Capex Procurement"/>
    <s v=""/>
    <s v=""/>
    <s v="Non Technical Support"/>
    <s v=""/>
    <s v=""/>
    <s v=""/>
    <s v=""/>
    <s v="Hazira"/>
    <d v="1990-08-28T00:00:00"/>
    <s v="33.00"/>
    <d v="2022-04-28T00:00:00"/>
    <d v="2048-08-31T00:00:00"/>
    <m/>
    <d v="2048-08-31T00:00:00"/>
    <n v="9112"/>
    <s v="O+"/>
    <s v="Bachelor of Computer Applications-2012 ,"/>
    <s v="09.09"/>
    <s v="01.04"/>
    <s v="11.01"/>
    <s v="00049335"/>
    <s v="Capex Procurement - Expediting"/>
    <s v="278454"/>
    <s v="Lead – Expeditor Capex"/>
    <s v="Hazira"/>
    <s v="0031950059"/>
    <s v="HZ-Hazira Project"/>
    <s v="2000HWO"/>
    <s v="20057413"/>
    <s v="Vipin Toshniwal"/>
    <s v="No"/>
    <s v="parthajeet.mazumdar@amns.in"/>
    <s v="6358942094"/>
    <s v="891002"/>
    <s v="Dhruv Vyas"/>
    <s v="Anil Matoo"/>
    <s v="Praveen Kuruvalli"/>
    <s v="Dhruv Vyas"/>
    <n v="0"/>
  </r>
  <r>
    <n v="4585"/>
    <n v="20056499"/>
    <s v="Bharti Chundawat"/>
    <s v="AM/NS India"/>
    <s v="Onroll"/>
    <s v="M-7"/>
    <n v="7"/>
    <m/>
    <s v="MM"/>
    <s v="F"/>
    <s v="Hazira"/>
    <n v="1"/>
    <s v="2161"/>
    <x v="15"/>
    <s v="31.02"/>
    <s v="Hrishikesh Kamat"/>
    <s v="Hrishikesh Kamat"/>
    <n v="7"/>
    <s v="Procurement"/>
    <s v="Procurement"/>
    <s v="31"/>
    <s v="Sr. Lead - Capex Services"/>
    <m/>
    <s v=""/>
    <s v=""/>
    <s v=""/>
    <s v="Non Technical Support"/>
    <s v="Operations"/>
    <s v="Operations"/>
    <s v="72103001"/>
    <s v="Operations"/>
    <s v="Hazira"/>
    <d v="1987-11-23T00:00:00"/>
    <s v="35.09"/>
    <d v="2022-05-09T00:00:00"/>
    <d v="2045-11-30T00:00:00"/>
    <m/>
    <d v="2045-11-30T00:00:00"/>
    <n v="8107"/>
    <s v="O+"/>
    <s v="Bachelor Equivalent-2009 , Intermediate-"/>
    <s v="12.04"/>
    <s v="01.04"/>
    <s v="13.08"/>
    <s v="00049344"/>
    <s v="Capex Procurement"/>
    <s v="273318"/>
    <s v="Sr. Lead - Capex Services"/>
    <s v="Hazira"/>
    <s v="0031950059"/>
    <s v="HZ-Hazira Project"/>
    <s v="2000HWO"/>
    <s v="20055728"/>
    <s v="Mahebub Vahora"/>
    <s v="No"/>
    <s v="bharti.chundawat@amns.in"/>
    <s v="9879105140"/>
    <s v="892294"/>
    <s v="Dhruv Vyas"/>
    <s v="Anil Matoo"/>
    <s v="Praveen Kuruvalli"/>
    <s v="Dhruv Vyas"/>
    <n v="0"/>
  </r>
  <r>
    <n v="4588"/>
    <n v="20056503"/>
    <s v="Bhavin Pandya"/>
    <s v="AM/NS India"/>
    <s v="Onroll"/>
    <s v="M-6"/>
    <n v="6"/>
    <m/>
    <s v="MM"/>
    <s v="M"/>
    <s v="Hazira"/>
    <n v="1"/>
    <s v="2084"/>
    <x v="17"/>
    <s v="23.09"/>
    <s v="Anil Matoo"/>
    <s v="Ashutosh Telang"/>
    <n v="6"/>
    <s v="HR &amp; Administration"/>
    <s v="Industrial Relations"/>
    <s v="23"/>
    <s v="Head IR &amp; Legal Compliance"/>
    <m/>
    <s v=""/>
    <s v=""/>
    <s v=""/>
    <s v="Non Technical Support"/>
    <s v="Human Resources Management"/>
    <s v="Human Resources Management"/>
    <s v="73501002"/>
    <s v="Human Resources Operation"/>
    <s v="Hazira"/>
    <d v="1976-01-02T00:00:00"/>
    <s v="47.08"/>
    <d v="2022-05-09T00:00:00"/>
    <d v="2034-01-31T00:00:00"/>
    <m/>
    <d v="2034-01-31T00:00:00"/>
    <n v="3786"/>
    <s v="AB-"/>
    <s v="Master's Equivalent-2001 , BSc-1999 , In"/>
    <s v="11.00"/>
    <s v="01.04"/>
    <s v="12.04"/>
    <s v="70309501"/>
    <s v="IR &amp; legal Compliance"/>
    <s v="70320438"/>
    <s v="Head IR &amp; Legal Compliance"/>
    <s v="Hazira"/>
    <s v="0090000018"/>
    <s v="CORP Group - HR"/>
    <s v="2000HWO"/>
    <s v="20000083"/>
    <s v="Anil Matoo"/>
    <s v="No"/>
    <s v="bhavin.pandya@amns.in"/>
    <s v="6358942110"/>
    <s v="892872"/>
    <s v="Dhruv Vyas"/>
    <s v="Anil Matoo"/>
    <s v="Praveen Kuruvalli"/>
    <s v="Dhruv Vyas"/>
    <n v="0"/>
  </r>
  <r>
    <n v="4590"/>
    <n v="20056505"/>
    <s v="Tanvee Vasudevan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, Delhi"/>
    <m/>
    <s v="Legal"/>
    <s v=""/>
    <s v=""/>
    <s v="Non Technical Support"/>
    <s v="Legal"/>
    <s v="Legal"/>
    <s v="73201001"/>
    <s v="Legal"/>
    <s v="Delhi"/>
    <d v="1991-12-27T00:00:00"/>
    <s v="31.08"/>
    <d v="2022-05-16T00:00:00"/>
    <d v="2049-12-31T00:00:00"/>
    <m/>
    <d v="2049-12-31T00:00:00"/>
    <n v="9599"/>
    <s v="O+"/>
    <s v="LLB-2014 , SSLC-2007 , Intermediate-2008"/>
    <s v="04.00"/>
    <s v="01.04"/>
    <s v="05.04"/>
    <s v="00048996"/>
    <s v="Legal"/>
    <s v="273390"/>
    <s v="Sr. Lead - Legal"/>
    <s v="Corporate"/>
    <s v="0090000019"/>
    <s v="Corporate Steel - Le"/>
    <s v="2000CS"/>
    <s v="20055160"/>
    <s v="Mrida Lakhmani"/>
    <s v="No"/>
    <s v="tanvee.vasudevan@amns.in"/>
    <s v="9867864462"/>
    <s v="893029"/>
    <s v="Dhruv Vyas"/>
    <s v="Anil Matoo"/>
    <s v="Praveen Kuruvalli"/>
    <s v="Dhruv Vyas"/>
    <n v="0"/>
  </r>
  <r>
    <n v="4592"/>
    <n v="20056507"/>
    <s v="Jojo Thalanany"/>
    <s v="AM/NS India"/>
    <s v="Onroll"/>
    <s v="M-9"/>
    <n v="9"/>
    <m/>
    <s v="JM"/>
    <s v="M"/>
    <s v="Corporate"/>
    <n v="7"/>
    <s v="2096"/>
    <x v="14"/>
    <s v="36.02"/>
    <s v="Deepak Sindkar"/>
    <s v="Hrishikesh Kamat"/>
    <n v="7"/>
    <s v="Procurement"/>
    <s v="Raw Materials"/>
    <s v="36"/>
    <s v="Officer Analyst – Power &amp; Gas"/>
    <m/>
    <s v=""/>
    <s v=""/>
    <s v=""/>
    <s v="Tech. Support Services"/>
    <s v=""/>
    <s v=""/>
    <s v=""/>
    <s v=""/>
    <s v="Mumbai"/>
    <d v="1990-05-03T00:00:00"/>
    <s v="33.04"/>
    <d v="2022-05-09T00:00:00"/>
    <d v="2048-05-31T00:00:00"/>
    <m/>
    <d v="2048-05-31T00:00:00"/>
    <n v="9020"/>
    <s v="A+"/>
    <s v="Master's Equivalent-2018 , PG Diploma-20"/>
    <s v="07.02"/>
    <s v="01.04"/>
    <s v="08.06"/>
    <s v="00049516"/>
    <s v="Power &amp; Gas"/>
    <s v="279676"/>
    <s v="Officer Analyst – Power &amp; Gas"/>
    <s v="Corporate"/>
    <s v="0031950048"/>
    <s v="HZ-Procurment Depart"/>
    <s v="2000CS"/>
    <s v="20004612"/>
    <s v="Ramesh Chabhadiya"/>
    <s v="No"/>
    <s v="jojo.thalanany@amns.in"/>
    <s v="9821721703"/>
    <s v="25647"/>
    <s v="Dhruv Vyas"/>
    <s v="Anil Matoo"/>
    <s v="Praveen Kuruvalli"/>
    <s v="Dhruv Vyas"/>
    <n v="0"/>
  </r>
  <r>
    <n v="4604"/>
    <n v="20056520"/>
    <s v="Ankit Panchal"/>
    <s v="AM/NS India"/>
    <s v="Onroll"/>
    <s v="M-6"/>
    <n v="6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- Capex Procurement"/>
    <m/>
    <s v=""/>
    <s v=""/>
    <s v=""/>
    <s v="Non Technical Support"/>
    <s v=""/>
    <s v=""/>
    <s v=""/>
    <s v=""/>
    <s v="Hazira"/>
    <d v="1984-10-13T00:00:00"/>
    <s v="38.11"/>
    <d v="2022-05-19T00:00:00"/>
    <d v="2042-10-31T00:00:00"/>
    <m/>
    <d v="2042-10-31T00:00:00"/>
    <n v="6981"/>
    <s v="B+"/>
    <s v="PG Diploma-2010 , Bachelor Equivalent-20"/>
    <s v="16.09"/>
    <s v="01.04"/>
    <s v="18.00"/>
    <s v="00049358"/>
    <s v="Capex Procurement"/>
    <s v="279775"/>
    <s v="Sr. Lead - Capex Procurement"/>
    <s v="Hazira"/>
    <s v="0031950059"/>
    <s v="HZ-Hazira Project"/>
    <s v="2000HWO"/>
    <s v="20052261"/>
    <s v="Aruni Mishra"/>
    <s v="No"/>
    <s v="ankit.panchal@amns.in"/>
    <s v="6354766167"/>
    <s v="893771"/>
    <s v="Dhruv Vyas"/>
    <s v="Anil Matoo"/>
    <s v="Praveen Kuruvalli"/>
    <s v="Dhruv Vyas"/>
    <n v="0"/>
  </r>
  <r>
    <n v="4617"/>
    <n v="20056538"/>
    <s v="Dinesh Chandra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Sales &amp; Marketing"/>
    <m/>
    <s v="North"/>
    <s v="OEM"/>
    <s v=""/>
    <s v="Non Technical Support"/>
    <s v=""/>
    <s v=""/>
    <s v=""/>
    <s v=""/>
    <s v="Noida"/>
    <d v="1979-07-11T00:00:00"/>
    <s v="44.02"/>
    <d v="2022-06-01T00:00:00"/>
    <d v="2037-07-31T00:00:00"/>
    <m/>
    <d v="2037-07-31T00:00:00"/>
    <n v="5063"/>
    <s v="B+"/>
    <s v="MBA-2007 , Diploma-2002 , BA-2001 , Inte"/>
    <s v="16.07"/>
    <s v="01.03"/>
    <s v="17.10"/>
    <s v="72150181"/>
    <s v="Sales North Zone"/>
    <s v="280472"/>
    <s v="KAM - OEM Sales"/>
    <s v="Hazira"/>
    <s v="0031950057"/>
    <s v="HZ-HRC - Marketing"/>
    <s v="2000HWO"/>
    <s v="20002920"/>
    <s v="Sudhir Sharma"/>
    <s v="No"/>
    <s v="dinesh.chauhan@amns.in"/>
    <s v="8826229382"/>
    <s v="895031"/>
    <s v="Dhruv Vyas"/>
    <s v="Anil Matoo"/>
    <s v="Praveen Kuruvalli"/>
    <s v="Dhruv Vyas"/>
    <n v="0"/>
  </r>
  <r>
    <n v="4618"/>
    <n v="20056539"/>
    <s v="Baruah Akshay"/>
    <s v="AM/NS India"/>
    <s v="Onroll"/>
    <s v="M-7"/>
    <n v="7"/>
    <m/>
    <s v="MM"/>
    <s v="M"/>
    <s v="Hazira"/>
    <n v="1"/>
    <s v="2099"/>
    <x v="19"/>
    <s v="02.01"/>
    <s v="Raghavan Aravamudhan"/>
    <s v="Dilip Oommen"/>
    <n v="1"/>
    <s v="CEO Office"/>
    <s v="Business Strategy"/>
    <s v="02"/>
    <s v="Lead - PMO (Analyst)"/>
    <m/>
    <s v="Business Strategy"/>
    <s v="Business Strategy"/>
    <s v=""/>
    <s v="Non Technical Support"/>
    <s v=""/>
    <s v=""/>
    <s v=""/>
    <s v=""/>
    <s v="Hazira"/>
    <d v="1987-11-30T00:00:00"/>
    <s v="35.09"/>
    <d v="2022-05-23T00:00:00"/>
    <d v="2045-11-30T00:00:00"/>
    <m/>
    <d v="2045-11-30T00:00:00"/>
    <n v="8107"/>
    <s v="A+"/>
    <s v="BE-2009 , Intermediate-2005 , SSLC-2003"/>
    <s v="12.02"/>
    <s v="01.03"/>
    <s v="13.06"/>
    <s v="00046538"/>
    <s v="Project Monitoring"/>
    <s v="280507"/>
    <s v="Lead - PMO (Analyst)"/>
    <s v="Hazira"/>
    <s v="0090000022"/>
    <s v="Business Strategy"/>
    <s v="2000HWO"/>
    <s v="20049281"/>
    <s v="Raveena Dhoot"/>
    <s v="No"/>
    <s v="akshay.baruah@amns.in"/>
    <s v="7763807221"/>
    <s v="895230"/>
    <s v="Dhruv Vyas"/>
    <s v="Anil Matoo"/>
    <s v="Praveen Kuruvalli"/>
    <s v="Dhruv Vyas"/>
    <n v="0"/>
  </r>
  <r>
    <n v="4624"/>
    <n v="20056545"/>
    <s v="Atul Shukla"/>
    <s v="AM/NS India"/>
    <s v="Onroll"/>
    <s v="M-9"/>
    <n v="9"/>
    <m/>
    <s v="J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Officer – Finance &amp; Accounts SC"/>
    <m/>
    <s v="Finance &amp; Accounts"/>
    <s v="Finance &amp; Accounts"/>
    <s v="Finance &amp; Accounts"/>
    <s v="Non Technical Support"/>
    <s v=""/>
    <s v=""/>
    <s v=""/>
    <s v=""/>
    <s v="Pune"/>
    <d v="1979-03-27T00:00:00"/>
    <s v="44.05"/>
    <d v="2022-06-10T00:00:00"/>
    <d v="2037-03-31T00:00:00"/>
    <m/>
    <d v="2037-03-31T00:00:00"/>
    <n v="4941"/>
    <s v="O-"/>
    <s v="MBA-2017 , BCom-2000 , Intermediate-1997"/>
    <s v="11.00"/>
    <s v="01.03"/>
    <s v="12.03"/>
    <s v="00043795"/>
    <s v="F&amp;A Hypermart &amp; Service Centre - 1"/>
    <s v="281143"/>
    <s v="Officer – Finance &amp; Accounts SC"/>
    <s v="Service Center"/>
    <s v="0040020019"/>
    <s v="SC-Pune-Op1-HR-Admin"/>
    <s v="2000SPRJ"/>
    <s v="20055201"/>
    <s v="Deepak Sahu"/>
    <s v="No"/>
    <s v="atul.shukla@amns.in"/>
    <s v="7600026392"/>
    <s v="896685"/>
    <s v="Dhruv Vyas"/>
    <s v="Anil Matoo"/>
    <s v="Praveen Kuruvalli"/>
    <s v="Dhruv Vyas"/>
    <n v="0"/>
  </r>
  <r>
    <n v="4664"/>
    <n v="20056666"/>
    <s v="Vishnu Jariwala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"/>
    <s v=""/>
    <s v=""/>
    <s v="Non Technical Support"/>
    <s v="Commercial"/>
    <s v="Procurement"/>
    <s v="73803001"/>
    <s v="Procurement"/>
    <s v="Hazira"/>
    <d v="1999-09-29T00:00:00"/>
    <s v="23.11"/>
    <d v="2022-06-10T00:00:00"/>
    <d v="2057-09-30T00:00:00"/>
    <m/>
    <d v="2057-09-30T00:00:00"/>
    <n v="12429"/>
    <s v="O+"/>
    <s v="Diploma-2018"/>
    <s v=""/>
    <s v="01.03"/>
    <s v="01.03"/>
    <s v="70072411"/>
    <s v="Iron &amp; Steel Making"/>
    <s v="281526"/>
    <s v="Engineer"/>
    <s v="Hazira"/>
    <s v="0031950048"/>
    <s v="HZ-Procurment Depart"/>
    <s v="2000HWO"/>
    <s v="20000926"/>
    <s v="Manishkumar Seksaria"/>
    <s v="No"/>
    <s v="vishnu.jariwala@amns.in"/>
    <s v="9727740223"/>
    <s v="26146"/>
    <s v="Dhruv Vyas"/>
    <s v="Anil Matoo"/>
    <s v="Praveen Kuruvalli"/>
    <s v="Dhruv Vyas"/>
    <n v="0"/>
  </r>
  <r>
    <n v="4665"/>
    <n v="20056668"/>
    <s v="Jaykumar Patel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"/>
    <s v=""/>
    <s v=""/>
    <s v="Non Technical Support"/>
    <s v="Commercial"/>
    <s v="Procurement"/>
    <s v="73803001"/>
    <s v="Procurement"/>
    <s v="Hazira"/>
    <d v="1998-06-13T00:00:00"/>
    <s v="25.03"/>
    <d v="2022-06-10T00:00:00"/>
    <d v="2056-06-30T00:00:00"/>
    <m/>
    <d v="2056-06-30T00:00:00"/>
    <n v="11972"/>
    <s v="O+"/>
    <s v="BTech-2022"/>
    <s v=""/>
    <s v="01.03"/>
    <s v="01.03"/>
    <s v="00044543"/>
    <s v="Procurement -Refractory"/>
    <s v="281528"/>
    <s v="Engineer"/>
    <s v="Hazira"/>
    <s v="0031950048"/>
    <s v="HZ-Procurment Depart"/>
    <s v="2000VIZOPS"/>
    <s v="20008647"/>
    <s v="Alpesh Hirpara"/>
    <s v="No"/>
    <s v="jaykumar.patel5@amns.in"/>
    <s v="9909902640"/>
    <s v="26270"/>
    <s v="Dhruv Vyas"/>
    <s v="Anil Matoo"/>
    <s v="Praveen Kuruvalli"/>
    <s v="Dhruv Vyas"/>
    <n v="0"/>
  </r>
  <r>
    <n v="4716"/>
    <n v="20056721"/>
    <s v="Amit Mosamkar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West"/>
    <s v="Hypermart"/>
    <s v=""/>
    <s v="Non Technical Support"/>
    <s v=""/>
    <s v=""/>
    <s v=""/>
    <s v=""/>
    <s v="Nashik"/>
    <d v="1989-12-29T00:00:00"/>
    <s v="33.08"/>
    <d v="2022-06-20T00:00:00"/>
    <d v="2047-12-31T00:00:00"/>
    <m/>
    <d v="2047-12-31T00:00:00"/>
    <n v="8868"/>
    <s v="AB+"/>
    <s v="MBA-2013 , BSc-2010 , Intermediate-2007"/>
    <s v="08.07"/>
    <s v="01.03"/>
    <s v="09.09"/>
    <s v="00048138"/>
    <s v="Hypermart west"/>
    <s v="281984"/>
    <s v="Sales Manager - Hypermart"/>
    <s v="Hazira"/>
    <s v="0060110600"/>
    <s v="HMART-Mah-Taloja"/>
    <s v="2000HWO"/>
    <s v="20056847"/>
    <s v="Vikas Chotia"/>
    <s v="No"/>
    <s v="amit.mosamkar@amns.in"/>
    <s v="9167716296"/>
    <s v="898091"/>
    <s v="Dhruv Vyas"/>
    <s v="Anil Matoo"/>
    <s v="Praveen Kuruvalli"/>
    <s v="Dhruv Vyas"/>
    <n v="0"/>
  </r>
  <r>
    <n v="4725"/>
    <n v="20056733"/>
    <s v="Satish Bhusale"/>
    <s v="AM/NS India"/>
    <s v="Onroll"/>
    <s v="M-9"/>
    <n v="9"/>
    <m/>
    <s v="JM"/>
    <s v="M"/>
    <s v="Pune Facility"/>
    <n v="4"/>
    <s v="2094"/>
    <x v="21"/>
    <s v="27.10"/>
    <s v="Vikas Chandra Yadvendu"/>
    <s v="Ashutosh Telang"/>
    <n v="6"/>
    <s v="HR &amp; Administration"/>
    <s v="Corporate SocialResponsibility"/>
    <s v="27"/>
    <s v="Dy Manager - CSR"/>
    <m/>
    <s v=""/>
    <s v=""/>
    <s v=""/>
    <s v="Non Technical Support"/>
    <s v=""/>
    <s v=""/>
    <s v=""/>
    <s v=""/>
    <s v="Pune AMNS"/>
    <d v="1986-04-13T00:00:00"/>
    <s v="37.05"/>
    <d v="2022-06-13T00:00:00"/>
    <d v="2044-04-30T00:00:00"/>
    <m/>
    <d v="2044-04-30T00:00:00"/>
    <n v="7528"/>
    <s v="O+"/>
    <s v="MSW-2009 , Intermediate-2004 , SSLC-2003"/>
    <s v="11.10"/>
    <s v="01.03"/>
    <s v="13.01"/>
    <s v="70495661"/>
    <s v="Corporate Social Responsibility"/>
    <s v="282389"/>
    <s v="Dy Manager - CSR"/>
    <s v="Pune Facility"/>
    <s v="0022030019"/>
    <s v="PDP-HR &amp; Admn"/>
    <s v="2000ESPF"/>
    <s v="20055033"/>
    <s v="Vikas Chandra Yadvendu"/>
    <s v="No"/>
    <s v="satish.bhusale@amns.in"/>
    <s v="7058612912"/>
    <s v="898737"/>
    <s v="Dhruv Vyas"/>
    <s v="Anil Matoo"/>
    <s v="Praveen Kuruvalli"/>
    <s v="Dhruv Vyas"/>
    <n v="0"/>
  </r>
  <r>
    <n v="4726"/>
    <n v="20056734"/>
    <s v="Sambit Das"/>
    <s v="AM/NS India"/>
    <s v="Onroll"/>
    <s v="M-8"/>
    <n v="8"/>
    <m/>
    <s v="JM"/>
    <s v="M"/>
    <s v="Corporate"/>
    <n v="7"/>
    <s v="2015"/>
    <x v="1"/>
    <s v="22.06"/>
    <s v="Praveen Kuruvalli"/>
    <s v="Ashutosh Telang"/>
    <n v="6"/>
    <s v="HR &amp; Administration"/>
    <s v="Human Resources"/>
    <s v="22"/>
    <s v="Talent Acquisition Specialist"/>
    <m/>
    <s v="Human Resources"/>
    <s v=""/>
    <s v=""/>
    <s v="Non Technical Support"/>
    <s v=""/>
    <s v=""/>
    <s v=""/>
    <s v=""/>
    <s v="Mumbai"/>
    <d v="1986-12-09T00:00:00"/>
    <s v="36.09"/>
    <d v="2022-06-01T00:00:00"/>
    <d v="2044-12-31T00:00:00"/>
    <m/>
    <d v="2044-12-31T00:00:00"/>
    <n v="7773"/>
    <s v="B+"/>
    <s v="MBA-2011 , BCom-2009 , Intermediate-2004"/>
    <s v="10.06"/>
    <s v="01.03"/>
    <s v="11.09"/>
    <s v="70242278"/>
    <s v="People Strategy &amp; HR Center Excellence"/>
    <s v="282396"/>
    <s v="Talent Acquisition Specialist"/>
    <s v="Corporate"/>
    <s v="0031950061"/>
    <s v="HZ-Human Resource"/>
    <s v="2000CS"/>
    <s v="20055483"/>
    <s v="Praveen Kuruvalli"/>
    <s v="No"/>
    <s v="sambit.das@amns.in"/>
    <s v="8981081994"/>
    <s v="898766"/>
    <s v="Dhruv Vyas"/>
    <s v="Anil Matoo"/>
    <s v="Praveen Kuruvalli"/>
    <s v="Dhruv Vyas"/>
    <n v="0"/>
  </r>
  <r>
    <n v="4783"/>
    <n v="20056809"/>
    <s v="Divyakumar Patel"/>
    <s v="AM/NS India"/>
    <s v="Onroll"/>
    <s v="T-1 (GET)"/>
    <n v="12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Commercial"/>
    <s v="Procurement"/>
    <s v="73803001"/>
    <s v="Procurement"/>
    <s v="Hazira"/>
    <d v="2001-02-27T00:00:00"/>
    <s v="22.06"/>
    <d v="2022-06-27T00:00:00"/>
    <d v="2059-02-28T00:00:00"/>
    <m/>
    <d v="2059-02-28T00:00:00"/>
    <n v="12945"/>
    <s v=""/>
    <s v="BE-2022"/>
    <s v=""/>
    <s v="01.02"/>
    <s v="01.02"/>
    <s v="70495711"/>
    <s v="Capex Buyer"/>
    <s v="273542"/>
    <s v="Graduate Engineer Trainee 2022"/>
    <s v="Hazira"/>
    <s v="0031950061"/>
    <s v="HZ-Human Resource"/>
    <s v="2161HAZI"/>
    <s v="20055447"/>
    <s v="Nirav Pachchigar"/>
    <s v="No"/>
    <s v="divyakumar.patel@amns.in"/>
    <s v="9662041625"/>
    <s v="899856"/>
    <s v="Dhruv Vyas"/>
    <s v="Anil Matoo"/>
    <s v="Praveen Kuruvalli"/>
    <s v="Dhruv Vyas"/>
    <n v="0"/>
  </r>
  <r>
    <n v="4807"/>
    <n v="20056841"/>
    <s v="Rishi Bhartia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Officer – Business Analysis"/>
    <m/>
    <s v="Sales Steering &amp; BD"/>
    <s v="Market Intelligence"/>
    <s v=""/>
    <s v="Non Technical Support"/>
    <s v=""/>
    <s v=""/>
    <s v=""/>
    <s v=""/>
    <s v="Mumbai"/>
    <d v="1992-07-15T00:00:00"/>
    <s v="31.02"/>
    <d v="2022-06-28T00:00:00"/>
    <d v="2050-07-31T00:00:00"/>
    <m/>
    <d v="2050-07-31T00:00:00"/>
    <n v="9811"/>
    <s v="B+"/>
    <s v="MBA-2018 , BTech-2015 , Intermediate-201"/>
    <s v="02.06"/>
    <s v="01.02"/>
    <s v="03.09"/>
    <s v="72150188"/>
    <s v="Market Intelligence &amp; Pricing"/>
    <s v="283093"/>
    <s v="Lead – Business Analysis"/>
    <s v="Corporate"/>
    <s v="0080000001"/>
    <s v="Head-Marketing"/>
    <s v="2000CS"/>
    <s v="20008774"/>
    <s v="Ajay Somasundaran"/>
    <s v="No"/>
    <s v="rishi.bhartia@amns.in"/>
    <s v="8097446244"/>
    <s v="1000612"/>
    <s v="Dhruv Vyas"/>
    <s v="Anil Matoo"/>
    <s v="Praveen Kuruvalli"/>
    <s v="Dhruv Vyas"/>
    <n v="0"/>
  </r>
  <r>
    <n v="4810"/>
    <n v="20056844"/>
    <s v="Kundan Rai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Lead Scrap Projects"/>
    <m/>
    <s v="Projects Long Products"/>
    <s v="Scrap"/>
    <s v=""/>
    <s v="Non Technical Support"/>
    <s v=""/>
    <s v=""/>
    <s v=""/>
    <s v=""/>
    <s v="Mumbai"/>
    <d v="1989-02-16T00:00:00"/>
    <s v="34.07"/>
    <d v="2022-06-20T00:00:00"/>
    <d v="2047-02-28T00:00:00"/>
    <m/>
    <d v="2047-02-28T00:00:00"/>
    <n v="8562"/>
    <s v="B+"/>
    <s v="BE-2010 , Intermediate-2006 , SSLC-2004"/>
    <s v="11.10"/>
    <s v="01.03"/>
    <s v="13.00"/>
    <s v="00053119"/>
    <s v="Recycling Strategy"/>
    <s v="283217"/>
    <s v="Lead Scrap Projects"/>
    <s v="Corporate"/>
    <s v="0080000005"/>
    <s v="Global Markets Team"/>
    <s v="2000CRG"/>
    <s v="20055091"/>
    <s v="Akshaya Gujral"/>
    <s v="No"/>
    <s v="kundan.rai@amns.in"/>
    <s v="9096422775"/>
    <s v="1000961"/>
    <s v="Dhruv Vyas"/>
    <s v="Anil Matoo"/>
    <s v="Praveen Kuruvalli"/>
    <s v="Dhruv Vyas"/>
    <n v="0"/>
  </r>
  <r>
    <n v="4811"/>
    <n v="20056845"/>
    <s v="Manoj Kumar"/>
    <s v="AM/NS Shipping &amp; Logistics"/>
    <s v="Onroll"/>
    <s v="M-6"/>
    <n v="6"/>
    <m/>
    <s v="MM"/>
    <s v="M"/>
    <s v="Hazira"/>
    <n v="1"/>
    <s v="7209"/>
    <x v="18"/>
    <s v="33.01"/>
    <s v="Hrishikesh Kamat"/>
    <s v="Hrishikesh Kamat"/>
    <n v="7"/>
    <s v="Procurement"/>
    <s v="Shipping &amp; Chartering"/>
    <s v="33"/>
    <s v="Sr. Lead - Shipping and Chartering"/>
    <m/>
    <s v=""/>
    <s v=""/>
    <s v=""/>
    <s v="Tech. Support Services"/>
    <s v="Operations"/>
    <s v="Operations"/>
    <s v="72103001"/>
    <s v="Operations"/>
    <s v="Hazira"/>
    <d v="1978-05-17T00:00:00"/>
    <s v="45.04"/>
    <d v="2022-07-01T00:00:00"/>
    <d v="2036-05-31T00:00:00"/>
    <m/>
    <d v="2036-05-31T00:00:00"/>
    <n v="4637"/>
    <s v="B+"/>
    <s v="MBA-2014 , BSc-2000 , Intermediate-1996"/>
    <s v="06.00"/>
    <s v="01.02"/>
    <s v="07.02"/>
    <s v="00000000"/>
    <s v=""/>
    <s v="303933"/>
    <s v="Sr. Lead - Shipping and Chartering"/>
    <s v="AMNSSL"/>
    <s v="0000700001"/>
    <s v="SHIP-COMMON"/>
    <s v="2000HWO"/>
    <s v="20055075"/>
    <s v="Ashutosh Mathur"/>
    <s v="No"/>
    <s v="manoj.kumar@amns.in"/>
    <s v="9819906271"/>
    <s v="1001270"/>
    <s v="Dhruv Vyas"/>
    <s v="Anil Matoo"/>
    <s v="Praveen Kuruvalli"/>
    <s v="Dhruv Vyas"/>
    <n v="0"/>
  </r>
  <r>
    <n v="4813"/>
    <n v="20056847"/>
    <s v="Vikas Chotia"/>
    <s v="AM/NS India"/>
    <s v="Onroll"/>
    <s v="M-6"/>
    <n v="6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Manager - West"/>
    <m/>
    <s v="West"/>
    <s v="Hypermart"/>
    <s v=""/>
    <s v="Non Technical Support"/>
    <s v=""/>
    <s v=""/>
    <s v=""/>
    <s v=""/>
    <s v="Mumbai"/>
    <d v="1981-03-21T00:00:00"/>
    <s v="42.06"/>
    <d v="2022-07-01T00:00:00"/>
    <d v="2039-03-31T00:00:00"/>
    <m/>
    <d v="2039-03-31T00:00:00"/>
    <n v="5671"/>
    <s v="A+"/>
    <s v="MBA-2005 , BSc-2003 , Intermediate-2001"/>
    <s v="16.01"/>
    <s v="01.02"/>
    <s v="17.03"/>
    <s v="00048138"/>
    <s v="Hypermart west"/>
    <s v="283359"/>
    <s v="Business Manager - West"/>
    <s v="Hypermart"/>
    <s v="0060110400"/>
    <s v="HMART-Maharastra Div"/>
    <s v="2000SRET"/>
    <s v="20000812"/>
    <s v="Sitaram Rege"/>
    <s v="No"/>
    <s v="vikas.chotia@amns.in"/>
    <s v="9826985600"/>
    <s v="1001419"/>
    <s v="Dhruv Vyas"/>
    <s v="Anil Matoo"/>
    <s v="Praveen Kuruvalli"/>
    <s v="Dhruv Vyas"/>
    <n v="0"/>
  </r>
  <r>
    <n v="4815"/>
    <n v="20056849"/>
    <s v="Pramod Kumar Sinha"/>
    <s v="AM/NS India"/>
    <s v="Onroll"/>
    <s v="M-9"/>
    <n v="9"/>
    <m/>
    <s v="JM"/>
    <s v="M"/>
    <s v="Mining"/>
    <n v="8"/>
    <s v="2015"/>
    <x v="1"/>
    <s v="22.06"/>
    <s v="Praveen Kuruvalli"/>
    <s v="Ashutosh Telang"/>
    <n v="6"/>
    <s v="HR &amp; Administration"/>
    <s v="Human Resources"/>
    <s v="22"/>
    <s v="Officer HR and Admin"/>
    <m/>
    <s v="HR &amp; Admin"/>
    <s v=""/>
    <s v=""/>
    <s v="Non Technical Support"/>
    <s v=""/>
    <s v=""/>
    <s v=""/>
    <s v=""/>
    <s v="Barbil"/>
    <d v="1978-07-07T00:00:00"/>
    <s v="45.02"/>
    <d v="2022-06-13T00:00:00"/>
    <d v="2036-07-31T00:00:00"/>
    <m/>
    <d v="2036-07-31T00:00:00"/>
    <n v="4698"/>
    <s v="B+"/>
    <s v="PG Diploma in Management-2013 , BA-2002"/>
    <s v="15.06"/>
    <s v="01.03"/>
    <s v="16.08"/>
    <s v="00051987"/>
    <s v="HR - Mining"/>
    <s v="283477"/>
    <s v="Officer HR and Admin"/>
    <s v="Odisha"/>
    <s v="0031950061"/>
    <s v="HZ-Human Resource"/>
    <s v="2000STORIS"/>
    <s v="20059042"/>
    <s v="Murali Sahoo"/>
    <s v="No"/>
    <s v="pramod.sinha@amns.in"/>
    <s v="8660290497"/>
    <s v="1001531"/>
    <s v="Pramod Sinha"/>
    <s v="Anil Matoo"/>
    <s v="Praveen Kuruvalli"/>
    <s v="Dhruv Vyas"/>
    <n v="0"/>
  </r>
  <r>
    <n v="4820"/>
    <n v="20056854"/>
    <s v="Ritesh Agarwal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"/>
    <s v=""/>
    <s v=""/>
    <s v=""/>
    <s v="Hazira"/>
    <d v="1988-11-19T00:00:00"/>
    <s v="34.09"/>
    <d v="2022-06-27T00:00:00"/>
    <d v="2046-11-30T00:00:00"/>
    <m/>
    <d v="2046-11-30T00:00:00"/>
    <n v="8472"/>
    <s v="O+"/>
    <s v="BE-2012 , Intermediate-2007 , SSLC-2005"/>
    <s v="09.11"/>
    <s v="01.02"/>
    <s v="11.01"/>
    <s v="00049335"/>
    <s v="Capex Procurement - Expediting"/>
    <s v="283472"/>
    <s v="Lead – Expeditor Capex"/>
    <s v="Hazira"/>
    <s v="0031950059"/>
    <s v="HZ-Hazira Project"/>
    <s v="2000HWO"/>
    <s v="20057413"/>
    <s v="Vipin Toshniwal"/>
    <s v="No"/>
    <s v="ritesh.agarwal@amns.in"/>
    <s v="9040078266"/>
    <s v="1001739"/>
    <s v="Dhruv Vyas"/>
    <s v="Anil Matoo"/>
    <s v="Praveen Kuruvalli"/>
    <s v="Dhruv Vyas"/>
    <n v="0"/>
  </r>
  <r>
    <n v="4825"/>
    <n v="20056859"/>
    <s v="Mohammed Shafi A K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South"/>
    <s v="Hypermart"/>
    <s v=""/>
    <s v="Non Technical Support"/>
    <s v=""/>
    <s v=""/>
    <s v=""/>
    <s v=""/>
    <s v="Cochin"/>
    <d v="1988-12-20T00:00:00"/>
    <s v="34.09"/>
    <d v="2022-07-05T00:00:00"/>
    <d v="2046-12-31T00:00:00"/>
    <m/>
    <d v="2046-12-31T00:00:00"/>
    <n v="8503"/>
    <s v="A+"/>
    <s v="MBA-2013 , BCom-2003"/>
    <s v="08.02"/>
    <s v="01.02"/>
    <s v="09.04"/>
    <s v="00048814"/>
    <s v="Sales South Zone – Hypermart"/>
    <s v="283475"/>
    <s v="Sales Manager - Hypermart"/>
    <s v="Hypermart"/>
    <s v="0060140100"/>
    <s v="HMART-South Zone"/>
    <s v="2000SRET"/>
    <s v="20056279"/>
    <s v="Arun G"/>
    <s v="No"/>
    <s v="mohammed.shafi@amns.in"/>
    <s v="9946649414"/>
    <s v="1001881"/>
    <s v="Dhruv Vyas"/>
    <s v="Anil Matoo"/>
    <s v="Praveen Kuruvalli"/>
    <s v="Dhruv Vyas"/>
    <n v="0"/>
  </r>
  <r>
    <n v="4827"/>
    <n v="20056862"/>
    <s v="Rudresh Priya Ranjan"/>
    <s v="AM/NS India"/>
    <s v="Onroll"/>
    <s v="M-7"/>
    <n v="7"/>
    <m/>
    <s v="MM"/>
    <s v="M"/>
    <s v="Corporate"/>
    <n v="7"/>
    <s v="2060"/>
    <x v="24"/>
    <s v="39.01"/>
    <s v="Sanjay Sharma"/>
    <s v="Sanjay Sharma"/>
    <n v="8"/>
    <s v="Business Development"/>
    <s v="Business Development"/>
    <s v="39"/>
    <s v="Lead - Business Development"/>
    <m/>
    <s v="Business Development"/>
    <s v=""/>
    <s v=""/>
    <s v="Non Technical Support"/>
    <s v=""/>
    <s v=""/>
    <s v=""/>
    <s v=""/>
    <s v="Mumbai"/>
    <d v="1991-11-05T00:00:00"/>
    <s v="31.10"/>
    <d v="2022-06-20T00:00:00"/>
    <d v="2049-11-30T00:00:00"/>
    <m/>
    <d v="2049-11-30T00:00:00"/>
    <n v="9568"/>
    <s v="A+"/>
    <s v="PG Diploma in Management-2022 , BTech-20"/>
    <s v="05.10"/>
    <s v="01.03"/>
    <s v="07.00"/>
    <s v="70494900"/>
    <s v="Business Development"/>
    <s v="283994"/>
    <s v="Lead Business Development"/>
    <s v="Corporate"/>
    <s v="0090000032"/>
    <s v="Business Devpelopmen"/>
    <s v="2000CS"/>
    <s v="20055181"/>
    <s v="Sanjay Sharma"/>
    <s v="No"/>
    <s v="rudresh.ranjan@amns.in"/>
    <s v="7010922485"/>
    <s v="1002593"/>
    <s v="Dhruv Vyas"/>
    <s v="Anil Matoo"/>
    <s v="Praveen Kuruvalli"/>
    <s v="Dhruv Vyas"/>
    <n v="0"/>
  </r>
  <r>
    <n v="4829"/>
    <n v="20056865"/>
    <s v="Rahul Aditya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Process Manager Digitalization"/>
    <m/>
    <s v="Sales Steering &amp; BD"/>
    <s v="Digital Initiatives"/>
    <s v=""/>
    <s v="Non Technical Support"/>
    <s v=""/>
    <s v=""/>
    <s v=""/>
    <s v=""/>
    <s v="Mumbai"/>
    <d v="1983-10-20T00:00:00"/>
    <s v="39.11"/>
    <d v="2022-07-11T00:00:00"/>
    <d v="2041-10-31T00:00:00"/>
    <m/>
    <d v="2041-10-31T00:00:00"/>
    <n v="6616"/>
    <s v="AB+"/>
    <s v="PG Diploma in Management-2013 , BTech-20"/>
    <s v="07.11"/>
    <s v="01.02"/>
    <s v="09.01"/>
    <s v="70462100"/>
    <s v="Digital Initiatives"/>
    <s v="283619"/>
    <s v="Process Manager - Digitalization"/>
    <s v="Corporate"/>
    <s v="0080000005"/>
    <s v="Global Markets Team"/>
    <s v="2000CS"/>
    <s v="20043383"/>
    <s v="Maneesh Moti"/>
    <s v="No"/>
    <s v="rahul.aditya@amns.in"/>
    <s v="7763807623"/>
    <s v="1003225"/>
    <s v="Dhruv Vyas"/>
    <s v="Anil Matoo"/>
    <s v="Praveen Kuruvalli"/>
    <s v="Dhruv Vyas"/>
    <n v="0"/>
  </r>
  <r>
    <n v="4830"/>
    <n v="20056866"/>
    <s v="Amit Gaurav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"/>
    <s v=""/>
    <s v=""/>
    <s v=""/>
    <s v="Hazira"/>
    <d v="1993-08-11T00:00:00"/>
    <s v="30.01"/>
    <d v="2022-07-04T00:00:00"/>
    <d v="2051-08-31T00:00:00"/>
    <m/>
    <d v="2051-08-31T00:00:00"/>
    <n v="10207"/>
    <s v="O+"/>
    <s v="BTech-2014 , Intermediate-2010 , SSLC-20"/>
    <s v="08.00"/>
    <s v="01.02"/>
    <s v="09.02"/>
    <s v="00049335"/>
    <s v="Capex Procurement - Expediting"/>
    <s v="284175"/>
    <s v="Lead – Expeditor Capex"/>
    <s v="Hazira"/>
    <s v="0031950059"/>
    <s v="HZ-Hazira Project"/>
    <s v="2000HWO"/>
    <s v="20057413"/>
    <s v="Vipin Toshniwal"/>
    <s v="No"/>
    <s v="amit.gaurav@amns.in"/>
    <s v="9564997810"/>
    <s v="1003422"/>
    <s v="Dhruv Vyas"/>
    <s v="Anil Matoo"/>
    <s v="Praveen Kuruvalli"/>
    <s v="Dhruv Vyas"/>
    <n v="0"/>
  </r>
  <r>
    <n v="4834"/>
    <n v="20056870"/>
    <s v="Aditya Shrimal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Internal Control &amp; SOX"/>
    <m/>
    <s v="Finance &amp; Accounts"/>
    <s v=""/>
    <s v=""/>
    <s v="Non Technical Support"/>
    <s v="Chairman's Secretariat"/>
    <s v="Chairman's Secretariat"/>
    <s v="74701000"/>
    <s v="Chairman's Secretariat"/>
    <s v="Hazira"/>
    <d v="1992-08-19T00:00:00"/>
    <s v="31.01"/>
    <d v="2022-07-11T00:00:00"/>
    <d v="2050-08-31T00:00:00"/>
    <m/>
    <d v="2050-08-31T00:00:00"/>
    <n v="9842"/>
    <s v="B+"/>
    <s v="BCom-2013 , CA Final-2014 , Intermediate"/>
    <s v="07.07"/>
    <s v="01.02"/>
    <s v="08.09"/>
    <s v="72150219"/>
    <s v="Internal Control &amp; SOX -1"/>
    <s v="284176"/>
    <s v="Lead - Internal Control &amp; SOX"/>
    <s v="Hazira"/>
    <s v="0031950043"/>
    <s v="HZ-Performance Manag"/>
    <s v="2000HWO"/>
    <s v="20000138"/>
    <s v="Suresh Iyer"/>
    <s v="No"/>
    <s v="aditya.shrimal@amns.in"/>
    <s v="9636684027"/>
    <s v="1003506"/>
    <s v="Dhruv Vyas"/>
    <s v="Anil Matoo"/>
    <s v="Praveen Kuruvalli"/>
    <s v="Dhruv Vyas"/>
    <n v="0"/>
  </r>
  <r>
    <n v="4836"/>
    <n v="20056872"/>
    <s v="Rahul Khaitan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- Direct Tax"/>
    <m/>
    <s v="Finance &amp; Accounts"/>
    <s v=""/>
    <s v=""/>
    <s v="Non Technical Support"/>
    <s v=""/>
    <s v=""/>
    <s v=""/>
    <s v=""/>
    <s v="Mumbai"/>
    <d v="1987-12-09T00:00:00"/>
    <s v="35.09"/>
    <d v="2022-07-12T00:00:00"/>
    <d v="2045-12-31T00:00:00"/>
    <m/>
    <d v="2045-12-31T00:00:00"/>
    <n v="8138"/>
    <s v="A+"/>
    <s v="BCom-2009 , Intermediate-2006"/>
    <s v="11.08"/>
    <s v="01.02"/>
    <s v="12.09"/>
    <s v="70495368"/>
    <s v="Direct Taxation"/>
    <s v="284177"/>
    <s v="Sr. Lead - Direct Tax"/>
    <s v="Corporate"/>
    <s v="0090000033"/>
    <s v="Corporate Taxation"/>
    <s v="2000CS"/>
    <s v="20055494"/>
    <s v="Vikas Soni"/>
    <s v="No"/>
    <s v="rahul.khaitan@amns.in"/>
    <s v="9930040621"/>
    <s v="1003538"/>
    <s v="Dhruv Vyas"/>
    <s v="Anil Matoo"/>
    <s v="Praveen Kuruvalli"/>
    <s v="Dhruv Vyas"/>
    <n v="0"/>
  </r>
  <r>
    <n v="4874"/>
    <n v="20056918"/>
    <s v="Rohit Kumar"/>
    <s v="AM/NS India"/>
    <s v="Onroll"/>
    <s v="T-1 (GET)"/>
    <n v="12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Operations"/>
    <s v="Plant Operations"/>
    <s v="72103003"/>
    <s v="Plant Operations"/>
    <s v="Hazira"/>
    <d v="1997-08-21T00:00:00"/>
    <s v="26.00"/>
    <d v="2022-07-18T00:00:00"/>
    <d v="2055-08-31T00:00:00"/>
    <m/>
    <d v="2055-08-31T00:00:00"/>
    <n v="11668"/>
    <s v=""/>
    <s v="BTech-2022 , BTech-2022"/>
    <s v=""/>
    <s v="01.02"/>
    <s v="01.02"/>
    <s v="00044542"/>
    <s v="Procurement -Ferroalloys"/>
    <s v="273595"/>
    <s v="Graduate Engineer Trainee 2022"/>
    <s v="Hazira"/>
    <s v="0031950061"/>
    <s v="HZ-Human Resource"/>
    <s v="2161HAZI"/>
    <s v="20001370"/>
    <s v="Tejas Desai"/>
    <s v="No"/>
    <s v="rohit.kumar1@amns.in"/>
    <s v="9471306425"/>
    <s v="1003876"/>
    <s v="Dhruv Vyas"/>
    <s v="Anil Matoo"/>
    <s v="Praveen Kuruvalli"/>
    <s v="Dhruv Vyas"/>
    <n v="0"/>
  </r>
  <r>
    <n v="4887"/>
    <n v="20056940"/>
    <s v="Yash Trivedi"/>
    <s v="AM/NS India"/>
    <s v="Onroll"/>
    <s v="T-1 (GET)"/>
    <n v="12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Graduate Engineer Trainee 2022"/>
    <m/>
    <s v="West"/>
    <s v="Plate"/>
    <s v=""/>
    <s v="Non Technical Support"/>
    <s v="Operations"/>
    <s v="Plant Operations"/>
    <s v="72103003"/>
    <s v="Plant Operations"/>
    <s v="Ahmedabad"/>
    <d v="1998-01-25T00:00:00"/>
    <s v="25.07"/>
    <d v="2022-07-18T00:00:00"/>
    <d v="2056-01-31T00:00:00"/>
    <m/>
    <d v="2056-01-31T00:00:00"/>
    <n v="11821"/>
    <s v=""/>
    <s v="Diploma-2013"/>
    <s v=""/>
    <s v="01.02"/>
    <s v="01.02"/>
    <s v="00052660"/>
    <s v="Plate Sales"/>
    <s v="273617"/>
    <s v="Graduate Engineer Trainee 2022"/>
    <s v="Hazira"/>
    <s v="0031950061"/>
    <s v="HZ-Human Resource"/>
    <s v="2031MUMB"/>
    <s v="20046414"/>
    <s v="Vinod Ninawe"/>
    <s v="No"/>
    <s v="yash.trivedi@amns.in"/>
    <s v="6358869424"/>
    <s v="874066"/>
    <s v="Dhruv Vyas"/>
    <s v="Anil Matoo"/>
    <s v="Praveen Kuruvalli"/>
    <s v="Dhruv Vyas"/>
    <n v="0"/>
  </r>
  <r>
    <n v="4934"/>
    <n v="20056993"/>
    <s v="Priscilla Mohanty"/>
    <s v="AM/NS India"/>
    <s v="Onroll"/>
    <s v="T-1 (GET)"/>
    <n v="12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Operations"/>
    <s v="Plant Operations"/>
    <s v="72103003"/>
    <s v="Plant Operations"/>
    <s v="AM/NS Hazira"/>
    <d v="1996-04-08T00:00:00"/>
    <s v="27.05"/>
    <d v="2022-07-18T00:00:00"/>
    <d v="2054-04-30T00:00:00"/>
    <m/>
    <d v="2054-04-30T00:00:00"/>
    <n v="11180"/>
    <s v=""/>
    <s v="BTech-2022"/>
    <s v=""/>
    <s v="01.02"/>
    <s v="01.02"/>
    <s v="00052258"/>
    <s v="Proc HSM &amp; CSP MIS"/>
    <s v="273670"/>
    <s v="Graduate Engineer Trainee 2022"/>
    <s v="Hazira"/>
    <s v="0031950061"/>
    <s v="HZ-Human Resource"/>
    <s v="2161HAZI"/>
    <s v="20055591"/>
    <s v="Amol Gaurkar"/>
    <s v="No"/>
    <s v="priscilla.mohanty@amns.in"/>
    <s v="6358869360"/>
    <s v="1003952"/>
    <s v="Dhruv Vyas"/>
    <s v="Anil Matoo"/>
    <s v="Praveen Kuruvalli"/>
    <s v="Dhruv Vyas"/>
    <n v="0"/>
  </r>
  <r>
    <n v="4936"/>
    <n v="20056996"/>
    <s v="Namrata Chowdhari"/>
    <s v="AM/NS India"/>
    <s v="Onroll"/>
    <s v="M-8"/>
    <n v="8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2"/>
    <m/>
    <s v="CMO Office"/>
    <s v="CMO Office"/>
    <s v=""/>
    <s v="Non Technical Support"/>
    <s v=""/>
    <s v=""/>
    <s v="70494642"/>
    <s v="Deputy Director"/>
    <s v="Mumbai"/>
    <d v="1999-10-14T00:00:00"/>
    <s v="23.11"/>
    <d v="2022-07-12T00:00:00"/>
    <d v="2057-10-31T00:00:00"/>
    <m/>
    <d v="2057-10-31T00:00:00"/>
    <n v="12460"/>
    <s v=""/>
    <s v="MBA-2022"/>
    <s v=""/>
    <s v="01.02"/>
    <s v="01.02"/>
    <s v="70139950"/>
    <s v="Sales &amp; Marketing"/>
    <s v="273462"/>
    <s v="EA to CMO"/>
    <s v="Corporate"/>
    <s v="0080000001"/>
    <s v="Head-Marketing"/>
    <s v="2134ESHZ"/>
    <s v="20007104"/>
    <s v="Ranjan Dhar"/>
    <s v="No"/>
    <s v="namrata.chowdhari@amns.in"/>
    <s v="6358869340"/>
    <s v="1003955"/>
    <s v="Dhruv Vyas"/>
    <s v="Anil Matoo"/>
    <s v="Praveen Kuruvalli"/>
    <s v="Dhruv Vyas"/>
    <n v="0"/>
  </r>
  <r>
    <n v="4937"/>
    <n v="20056997"/>
    <s v="Abhishek Pahadi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2"/>
    <m/>
    <s v="CMO Office"/>
    <s v="CMO Office"/>
    <s v=""/>
    <s v="Non Technical Support"/>
    <s v=""/>
    <s v=""/>
    <s v="70494642"/>
    <s v="Deputy Director"/>
    <s v="Mumbai"/>
    <d v="1996-12-20T00:00:00"/>
    <s v="26.09"/>
    <d v="2022-07-12T00:00:00"/>
    <d v="2054-12-31T00:00:00"/>
    <m/>
    <d v="2054-12-31T00:00:00"/>
    <n v="11425"/>
    <s v=""/>
    <s v="MBA-2022"/>
    <s v=""/>
    <s v="01.02"/>
    <s v="01.02"/>
    <s v="70139950"/>
    <s v="Sales &amp; Marketing"/>
    <s v="273463"/>
    <s v="Sales Manager- Hypermart"/>
    <s v="Corporate"/>
    <s v="0060100004"/>
    <s v="HMART-HR/Admin Expen"/>
    <s v="2134ESHZ"/>
    <s v="20007104"/>
    <s v="Ranjan Dhar"/>
    <s v="No"/>
    <s v="abhishek.pahadi@amns.in"/>
    <s v="6358869332"/>
    <s v="1003956"/>
    <s v="Dhruv Vyas"/>
    <s v="Anil Matoo"/>
    <s v="Praveen Kuruvalli"/>
    <s v="Dhruv Vyas"/>
    <n v="0"/>
  </r>
  <r>
    <n v="4938"/>
    <n v="20056998"/>
    <s v="Jatin Sati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2"/>
    <m/>
    <s v="Auto"/>
    <s v="Auto"/>
    <s v=""/>
    <s v="Non Technical Support"/>
    <s v="Human Resources Management"/>
    <s v="Human Resources Management"/>
    <s v="73501001"/>
    <s v="Human Resources"/>
    <s v="Mumbai"/>
    <d v="1998-06-14T00:00:00"/>
    <s v="25.03"/>
    <d v="2022-07-12T00:00:00"/>
    <d v="2056-06-30T00:00:00"/>
    <m/>
    <d v="2056-06-30T00:00:00"/>
    <n v="11972"/>
    <s v=""/>
    <s v="MBA-2022"/>
    <s v=""/>
    <s v="01.02"/>
    <s v="01.02"/>
    <s v="70343195"/>
    <s v="Automotive Sales &amp; Service Centers"/>
    <s v="273464"/>
    <s v="Jr Key Account Manager- Auto"/>
    <s v="Corporate"/>
    <s v="0090000028"/>
    <s v="Corporate Steel - Wo"/>
    <s v="2134ESHZ"/>
    <s v="20016767"/>
    <s v="Raghavan Venkatachalam"/>
    <s v="No"/>
    <s v="jatin.sati@amns.in"/>
    <s v="6358869335"/>
    <s v="1003957"/>
    <s v="Dhruv Vyas"/>
    <s v="Anil Matoo"/>
    <s v="Praveen Kuruvalli"/>
    <s v="Dhruv Vyas"/>
    <n v="0"/>
  </r>
  <r>
    <n v="4939"/>
    <n v="20056999"/>
    <s v="Manish Kumhar"/>
    <s v="AM/NS India"/>
    <s v="Onroll"/>
    <s v="M-8"/>
    <n v="8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Management Trainee 2022"/>
    <m/>
    <s v=""/>
    <s v=""/>
    <s v=""/>
    <s v="Non Technical Support"/>
    <s v="Human Resources Management"/>
    <s v="Human Resources Management"/>
    <s v="73501001"/>
    <s v="Human Resources"/>
    <s v="Mumbai"/>
    <d v="1998-02-13T00:00:00"/>
    <s v="25.07"/>
    <d v="2022-07-12T00:00:00"/>
    <d v="2056-02-29T00:00:00"/>
    <m/>
    <d v="2056-02-29T00:00:00"/>
    <n v="11850"/>
    <s v=""/>
    <s v="MBA-2022"/>
    <s v=""/>
    <s v="01.02"/>
    <s v="01.02"/>
    <s v="70494717"/>
    <s v="Treasury &amp; Finance"/>
    <s v="273465"/>
    <s v="Lead- Strategic Finance Auto"/>
    <s v="Corporate"/>
    <s v="0031950061"/>
    <s v="HZ-Human Resource"/>
    <s v="2134ESHZ"/>
    <s v="20000870"/>
    <s v="Balajee M"/>
    <s v="No"/>
    <s v="manish.kumhar@amns.in"/>
    <s v="6358869334"/>
    <s v="1003958"/>
    <s v="Dhruv Vyas"/>
    <s v="Anil Matoo"/>
    <s v="Praveen Kuruvalli"/>
    <s v="Dhruv Vyas"/>
    <n v="0"/>
  </r>
  <r>
    <n v="4940"/>
    <n v="20057000"/>
    <s v="Ravina Kumari"/>
    <s v="AM/NS India"/>
    <s v="Onroll"/>
    <s v="M-8"/>
    <n v="8"/>
    <m/>
    <s v="JM"/>
    <s v="F"/>
    <s v="Corporate"/>
    <n v="7"/>
    <s v="2043"/>
    <x v="3"/>
    <s v="31.01"/>
    <s v="Hrishikesh Kamat"/>
    <s v="Hrishikesh Kamat"/>
    <n v="7"/>
    <s v="Procurement"/>
    <s v="Procurement"/>
    <s v="31"/>
    <s v="Management Trainee 2022"/>
    <m/>
    <s v=""/>
    <s v=""/>
    <s v=""/>
    <s v="Non Technical Support"/>
    <s v="Human Resources Management"/>
    <s v="Human Resources Management"/>
    <s v="73501001"/>
    <s v="Human Resources"/>
    <s v="Mumbai"/>
    <d v="1997-03-30T00:00:00"/>
    <s v="26.05"/>
    <d v="2022-07-12T00:00:00"/>
    <d v="2055-03-31T00:00:00"/>
    <m/>
    <d v="2055-03-31T00:00:00"/>
    <n v="11515"/>
    <s v=""/>
    <s v="MBA-2022"/>
    <s v=""/>
    <s v="01.02"/>
    <s v="01.02"/>
    <s v="00045894"/>
    <s v="Blacks"/>
    <s v="273466"/>
    <s v="Asst Buyer- Bulk Raw Material"/>
    <s v="Corporate"/>
    <s v="0031950048"/>
    <s v="HZ-Procurment Depart"/>
    <s v="2134ESHZ"/>
    <s v="20001577"/>
    <s v="Prakash Thakur"/>
    <s v="No"/>
    <s v="ravina.kumari@amns.in"/>
    <s v="6358869336"/>
    <s v="1003959"/>
    <s v="Dhruv Vyas"/>
    <s v="Anil Matoo"/>
    <s v="Praveen Kuruvalli"/>
    <s v="Dhruv Vyas"/>
    <n v="0"/>
  </r>
  <r>
    <n v="4941"/>
    <n v="20057001"/>
    <s v="Urveshkumar Patel"/>
    <s v="AM/NS India"/>
    <s v="Onroll"/>
    <s v="M-8"/>
    <n v="8"/>
    <m/>
    <s v="JM"/>
    <s v="M"/>
    <s v="Corporate"/>
    <n v="7"/>
    <s v="2043"/>
    <x v="3"/>
    <s v="31.01"/>
    <s v="Hrishikesh Kamat"/>
    <s v="Hrishikesh Kamat"/>
    <n v="7"/>
    <s v="Procurement"/>
    <s v="Procurement"/>
    <s v="31"/>
    <s v="Management Trainee 2022"/>
    <m/>
    <s v=""/>
    <s v=""/>
    <s v=""/>
    <s v="Non Technical Support"/>
    <s v="Human Resources Management"/>
    <s v="Human Resources Management"/>
    <s v="73501001"/>
    <s v="Human Resources"/>
    <s v="Hazira"/>
    <d v="1998-03-31T00:00:00"/>
    <s v="25.05"/>
    <d v="2022-07-12T00:00:00"/>
    <d v="2056-03-31T00:00:00"/>
    <m/>
    <d v="2056-03-31T00:00:00"/>
    <n v="11881"/>
    <s v=""/>
    <s v="MBA-2022"/>
    <s v=""/>
    <s v="01.02"/>
    <s v="01.02"/>
    <s v="70495670"/>
    <s v="Contracts"/>
    <s v="273467"/>
    <s v="Lead Contracts"/>
    <s v="Corporate"/>
    <s v="0031950061"/>
    <s v="HZ-Human Resource"/>
    <s v="2134ESHZ"/>
    <s v="20000795"/>
    <s v="Pankaj Chaturvedi"/>
    <s v="No"/>
    <s v="urveshkumar.patel@amns.in"/>
    <s v="6358869337"/>
    <s v="1003960"/>
    <s v="Dhruv Vyas"/>
    <s v="Anil Matoo"/>
    <s v="Praveen Kuruvalli"/>
    <s v="Dhruv Vyas"/>
    <n v="0"/>
  </r>
  <r>
    <n v="4942"/>
    <n v="20057002"/>
    <s v="Chirashree Pal"/>
    <s v="AM/NS India"/>
    <s v="Onroll"/>
    <s v="M-9"/>
    <n v="9"/>
    <m/>
    <s v="JM"/>
    <s v="F"/>
    <s v="Hazira"/>
    <n v="1"/>
    <s v="2015"/>
    <x v="1"/>
    <s v="22.06"/>
    <s v="Anil Matoo"/>
    <s v="Ashutosh Telang"/>
    <n v="6"/>
    <s v="HR &amp; Administration"/>
    <s v="Human Resources"/>
    <s v="22"/>
    <s v="Management Trainee 2022"/>
    <m/>
    <s v="Human Resources"/>
    <s v=""/>
    <s v=""/>
    <s v="Non Technical Support"/>
    <s v=""/>
    <s v=""/>
    <s v="70494644"/>
    <s v="Chief Procurement Officer"/>
    <s v="AM/NS Hazira"/>
    <d v="1995-02-10T00:00:00"/>
    <s v="28.07"/>
    <d v="2022-07-12T00:00:00"/>
    <d v="2053-02-28T00:00:00"/>
    <m/>
    <d v="2053-02-28T00:00:00"/>
    <n v="10754"/>
    <s v=""/>
    <s v="MBA-2022"/>
    <s v=""/>
    <s v="01.02"/>
    <s v="01.02"/>
    <s v="70472770"/>
    <s v="Hazira HR Operations - 1"/>
    <s v="273469"/>
    <s v="HR Business Partner"/>
    <s v="Hazira"/>
    <s v="0031950061"/>
    <s v="HZ-Human Resource"/>
    <s v="2134ESHZ"/>
    <s v="20001265"/>
    <s v="Lakshman Iyer"/>
    <s v="No"/>
    <s v="chirashree.pal@amns.in"/>
    <s v="6358869338"/>
    <s v="1003961"/>
    <s v="Dhruv Vyas"/>
    <s v="Anil Matoo"/>
    <s v="Praveen Kuruvalli"/>
    <s v="Dhruv Vyas"/>
    <n v="0"/>
  </r>
  <r>
    <n v="4943"/>
    <n v="20057003"/>
    <s v="Kaustav Chowdhury"/>
    <s v="AM/NS India"/>
    <s v="Onroll"/>
    <s v="M-9"/>
    <n v="9"/>
    <m/>
    <s v="JM"/>
    <s v="M"/>
    <s v="Corporate"/>
    <n v="7"/>
    <s v="2015"/>
    <x v="1"/>
    <s v="22.06"/>
    <s v="Praveen Kuruvalli"/>
    <s v="Ashutosh Telang"/>
    <n v="6"/>
    <s v="HR &amp; Administration"/>
    <s v="Human Resources"/>
    <s v="22"/>
    <s v="Management Trainee - Human Resources"/>
    <m/>
    <s v="Human Resources"/>
    <s v=""/>
    <s v=""/>
    <s v="Non Technical Support"/>
    <s v="Projects"/>
    <s v="Projects Coordination"/>
    <s v="72103038"/>
    <s v="Projects Coordination"/>
    <s v="Mumbai"/>
    <d v="1998-06-22T00:00:00"/>
    <s v="25.03"/>
    <d v="2022-07-12T00:00:00"/>
    <d v="2056-06-30T00:00:00"/>
    <m/>
    <d v="2056-06-30T00:00:00"/>
    <n v="11972"/>
    <s v=""/>
    <s v="MBA-2022"/>
    <s v=""/>
    <s v="01.02"/>
    <s v="01.02"/>
    <s v="70242278"/>
    <s v="People Strategy &amp; HR Center Excellence"/>
    <s v="273680"/>
    <s v="HR Business Partner"/>
    <s v="Hazira"/>
    <s v="0031950061"/>
    <s v="HZ-Human Resource"/>
    <s v="2134ESHZ"/>
    <s v="20055483"/>
    <s v="Praveen Kuruvalli"/>
    <s v="No"/>
    <s v="kaustav.chowdhury@amns.in"/>
    <s v="6358869339"/>
    <s v="1003962"/>
    <s v="Dhruv Vyas"/>
    <s v="Anil Matoo"/>
    <s v="Praveen Kuruvalli"/>
    <s v="Dhruv Vyas"/>
    <n v="0"/>
  </r>
  <r>
    <n v="4944"/>
    <n v="20057005"/>
    <s v="Saureen Bhatt"/>
    <s v="AM/NS India"/>
    <s v="Onroll"/>
    <s v="M-6"/>
    <n v="6"/>
    <m/>
    <s v="MM"/>
    <s v="M"/>
    <s v="Corporate"/>
    <n v="7"/>
    <s v="2096"/>
    <x v="14"/>
    <s v="36.02"/>
    <s v="Deepak Sindkar"/>
    <s v="Hrishikesh Kamat"/>
    <n v="7"/>
    <s v="Procurement"/>
    <s v="Raw Materials"/>
    <s v="36"/>
    <s v="Sr. Lead – Power &amp; Gas"/>
    <m/>
    <s v="Raw Material"/>
    <s v=""/>
    <s v=""/>
    <s v="Tech. Support Services"/>
    <s v="Commercial"/>
    <s v="Procurement"/>
    <s v="73803001"/>
    <s v="Procurement"/>
    <s v="Mumbai"/>
    <d v="1985-08-03T00:00:00"/>
    <s v="38.01"/>
    <d v="2022-07-19T00:00:00"/>
    <d v="2043-08-31T00:00:00"/>
    <m/>
    <d v="2043-08-31T00:00:00"/>
    <n v="7285"/>
    <s v="A+"/>
    <s v="MBA-2010 , BE-2006 , Intermediate-2002 ,"/>
    <s v="14.01"/>
    <s v="01.02"/>
    <s v="15.02"/>
    <s v="00049516"/>
    <s v="Power &amp; Gas"/>
    <s v="252801"/>
    <s v="Sr. Lead – Power &amp; Gas"/>
    <s v="Corporate"/>
    <s v="0031950048"/>
    <s v="HZ-Procurment Depart"/>
    <s v="2000CS"/>
    <s v="20004612"/>
    <s v="Ramesh Chabhadiya"/>
    <s v="No"/>
    <s v="saureen.bhatt@amns.in"/>
    <s v="9998790823"/>
    <s v="1003816"/>
    <s v="Dhruv Vyas"/>
    <s v="Anil Matoo"/>
    <s v="Praveen Kuruvalli"/>
    <s v="Dhruv Vyas"/>
    <n v="0"/>
  </r>
  <r>
    <n v="4997"/>
    <n v="20057063"/>
    <s v="Ravi Shankar"/>
    <s v="AM/NS India"/>
    <s v="Onroll"/>
    <s v="M-7"/>
    <n v="7"/>
    <m/>
    <s v="MM"/>
    <s v="M"/>
    <s v="Hazira"/>
    <n v="1"/>
    <s v="2071"/>
    <x v="22"/>
    <s v="41.01"/>
    <s v="P Ashok Kumar"/>
    <s v="P Ashok Kumar"/>
    <n v="9"/>
    <s v="Legal"/>
    <s v="Legal"/>
    <s v="41"/>
    <s v="Legal Counsel, Hazira"/>
    <m/>
    <s v="Legal"/>
    <s v=""/>
    <s v=""/>
    <s v="Non Technical Support"/>
    <s v="Legal"/>
    <s v="Legal"/>
    <s v="73201001"/>
    <s v="Legal"/>
    <s v="Hazira"/>
    <d v="1985-03-25T00:00:00"/>
    <s v="38.05"/>
    <d v="2022-07-18T00:00:00"/>
    <d v="2043-03-31T00:00:00"/>
    <m/>
    <d v="2043-03-31T00:00:00"/>
    <n v="7132"/>
    <s v="A+"/>
    <s v="LLB-2009 , Intermediate-2004 , Intermedi"/>
    <s v="11.11"/>
    <s v="01.02"/>
    <s v="13.01"/>
    <s v="70494754"/>
    <s v="Legal"/>
    <s v="273394"/>
    <s v="Head - Legal Hazira"/>
    <s v="Hazira"/>
    <s v="0090000019"/>
    <s v="Corporate Steel - Le"/>
    <s v="2000HWO"/>
    <s v="20055235"/>
    <s v="P Ashok Kumar"/>
    <s v="No"/>
    <s v="ravi.shankar@amns.in"/>
    <s v="7486014006"/>
    <s v="1004223"/>
    <s v="Dhruv Vyas"/>
    <s v="Anil Matoo"/>
    <s v="Praveen Kuruvalli"/>
    <s v="Dhruv Vyas"/>
    <n v="0"/>
  </r>
  <r>
    <n v="5031"/>
    <n v="20057098"/>
    <s v="Brijesh Kedia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- Capex Procurement"/>
    <m/>
    <s v=""/>
    <s v=""/>
    <s v=""/>
    <s v="Non Technical Support"/>
    <s v="Execution"/>
    <s v="Electrical"/>
    <s v="72303027"/>
    <s v="Electrical"/>
    <s v="Hazira"/>
    <d v="1994-09-22T00:00:00"/>
    <s v="28.11"/>
    <d v="2022-07-22T00:00:00"/>
    <d v="2052-09-30T00:00:00"/>
    <m/>
    <d v="2052-09-30T00:00:00"/>
    <n v="10603"/>
    <s v="A+"/>
    <s v="BTech-2017 , Intermediate-2013 , Interme"/>
    <s v="04.11"/>
    <s v="01.01"/>
    <s v="06.01"/>
    <s v="00049342"/>
    <s v="Capex Procurement"/>
    <s v="70494197"/>
    <s v="Officer - Capex Procurement"/>
    <s v="Hazira"/>
    <s v="0031950059"/>
    <s v="HZ-Hazira Project"/>
    <s v="2000HWO"/>
    <s v="20055712"/>
    <s v="Ravi Goyal"/>
    <s v="No"/>
    <s v="brijesh.kedia@amns.in"/>
    <s v="7486014008"/>
    <s v="1004228"/>
    <s v="Dhruv Vyas"/>
    <s v="Anil Matoo"/>
    <s v="Praveen Kuruvalli"/>
    <s v="Dhruv Vyas"/>
    <n v="0"/>
  </r>
  <r>
    <n v="5033"/>
    <n v="20057100"/>
    <s v="Vijay Bhochiya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Commercial"/>
    <s v="Stores &amp; Warehouse"/>
    <s v="73806001"/>
    <s v="Stores &amp; Warehouse"/>
    <s v="Hazira"/>
    <d v="2000-01-17T00:00:00"/>
    <s v="23.08"/>
    <d v="2022-07-10T00:00:00"/>
    <d v="2058-01-31T00:00:00"/>
    <m/>
    <d v="2058-01-31T00:00:00"/>
    <n v="12552"/>
    <s v=""/>
    <s v="Diploma-2018"/>
    <s v=""/>
    <s v="01.02"/>
    <s v="01.02"/>
    <s v="00053279"/>
    <s v="Receipts &amp; Unloading - Plant A"/>
    <s v="284722"/>
    <s v="Engineer"/>
    <s v="Hazira"/>
    <s v="0031313111"/>
    <s v="SMS - EAF Operations"/>
    <s v="2012HAZI"/>
    <s v="20006916"/>
    <s v="Mir Ali Martaja"/>
    <s v="No"/>
    <s v="vijay.bhochiya@amns.in"/>
    <s v="9879103534"/>
    <s v="26179"/>
    <s v="Dhruv Vyas"/>
    <s v="Anil Matoo"/>
    <s v="Praveen Kuruvalli"/>
    <s v="Dhruv Vyas"/>
    <n v="0"/>
  </r>
  <r>
    <n v="5061"/>
    <n v="20057132"/>
    <s v="Amarnadh Kadiri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Section Engineer-BRM"/>
    <m/>
    <s v="Procurement"/>
    <s v="Procurement"/>
    <s v="Procurement"/>
    <s v="Non Technical Support"/>
    <s v=""/>
    <s v=""/>
    <s v=""/>
    <s v=""/>
    <s v="Vizag"/>
    <d v="1988-08-22T00:00:00"/>
    <s v="35.00"/>
    <d v="2022-08-01T00:00:00"/>
    <d v="2046-08-31T00:00:00"/>
    <m/>
    <d v="2046-08-31T00:00:00"/>
    <n v="8381"/>
    <s v="B+"/>
    <s v="BTech-2010 , Intermediate-2006 , SSLC-20"/>
    <s v="12.07"/>
    <s v="01.01"/>
    <s v="13.08"/>
    <s v="70301353"/>
    <s v="Procurement - Vizag &amp; Chitrakonda"/>
    <s v="285388"/>
    <s v="Section Engineer-BRM"/>
    <s v="Vizag"/>
    <s v="0028030019"/>
    <s v="VIZ-Personnel &amp; Admi"/>
    <s v="2000VIZOPS"/>
    <s v="20000200"/>
    <s v="A Venkateswara Rao"/>
    <s v="No"/>
    <s v="kadiri.amarnadh@amns.in"/>
    <s v="8985095945"/>
    <s v="1005775"/>
    <s v="DS Varma"/>
    <s v="Anil Matoo"/>
    <n v="0"/>
    <s v="DS Varma"/>
    <n v="0"/>
  </r>
  <r>
    <n v="5063"/>
    <n v="20057134"/>
    <s v="Sandeep Mohanty"/>
    <s v="AM/NS India"/>
    <s v="Onroll"/>
    <s v="M-8"/>
    <n v="8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Lead - Secondary Sales"/>
    <m/>
    <s v="Secondary Sales"/>
    <s v=""/>
    <s v=""/>
    <s v="Non Technical Support"/>
    <s v=""/>
    <s v=""/>
    <s v=""/>
    <s v=""/>
    <s v="Hazira"/>
    <d v="1992-05-15T00:00:00"/>
    <s v="31.04"/>
    <d v="2022-07-29T00:00:00"/>
    <d v="2050-05-31T00:00:00"/>
    <m/>
    <d v="2050-05-31T00:00:00"/>
    <n v="9750"/>
    <s v="O+"/>
    <s v="BTech-2013 , Intermediate-2009 , Interme"/>
    <s v="06.10"/>
    <s v="01.01"/>
    <s v="07.11"/>
    <s v="00049357"/>
    <s v="Secondary Sales"/>
    <s v="285452"/>
    <s v="Lead - Secondary Sales"/>
    <s v="Hazira"/>
    <s v="0031950059"/>
    <s v="HZ-Hazira Project"/>
    <s v="2000HWO"/>
    <s v="20055763"/>
    <s v="Debashis Mohapatra"/>
    <s v="No"/>
    <s v="sandeep.mohanty@amns.in"/>
    <s v="7486014018"/>
    <s v="1005874"/>
    <s v="Dhruv Vyas"/>
    <s v="Anil Matoo"/>
    <s v="Praveen Kuruvalli"/>
    <s v="Dhruv Vyas"/>
    <n v="0"/>
  </r>
  <r>
    <n v="5064"/>
    <n v="20057135"/>
    <s v="Rahul Raj"/>
    <s v="AM/NS India"/>
    <s v="Onroll"/>
    <s v="M-7"/>
    <n v="7"/>
    <m/>
    <s v="M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HRBP - Service Centre &amp; Hypermart"/>
    <m/>
    <s v="Human Resources"/>
    <s v="Human Resources"/>
    <s v="Human Resources"/>
    <s v="Non Technical Support"/>
    <s v="Human Resources Management"/>
    <s v="Human Resources Management"/>
    <s v="73501001"/>
    <s v="Human Resources"/>
    <s v="Pune"/>
    <d v="1986-11-26T00:00:00"/>
    <s v="36.09"/>
    <d v="2022-07-27T00:00:00"/>
    <d v="2044-11-30T00:00:00"/>
    <m/>
    <d v="2044-11-30T00:00:00"/>
    <n v="7742"/>
    <s v="B+"/>
    <s v="PG Diploma in Management-2015 , BE-2010"/>
    <s v="07.02"/>
    <s v="01.01"/>
    <s v="08.03"/>
    <s v="00044376"/>
    <s v="Service Center &amp; Hypermart HR"/>
    <s v="70495656"/>
    <s v="HRBP - Service Centre &amp; Hypermart"/>
    <s v="Service Center"/>
    <s v="0040000000"/>
    <s v="SC - Common"/>
    <s v="2000CS"/>
    <s v="20055483"/>
    <s v="Praveen Kuruvalli"/>
    <s v="No"/>
    <s v="rahul.raj@amns.in"/>
    <s v="8334847074"/>
    <s v="1006065"/>
    <s v="Dhruv Vyas"/>
    <s v="Anil Matoo"/>
    <s v="Praveen Kuruvalli"/>
    <s v="Dhruv Vyas"/>
    <n v="0"/>
  </r>
  <r>
    <n v="5067"/>
    <n v="20057138"/>
    <s v="Anil Sanjava"/>
    <s v="AM/NS India"/>
    <s v="Onroll"/>
    <s v="M-9"/>
    <n v="9"/>
    <m/>
    <s v="J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"/>
    <s v=""/>
    <s v="Non Technical Support"/>
    <s v=""/>
    <s v=""/>
    <s v=""/>
    <s v=""/>
    <s v="AM/NS Hazira"/>
    <d v="1985-02-24T00:00:00"/>
    <s v="38.06"/>
    <d v="2022-08-03T00:00:00"/>
    <d v="2043-02-28T00:00:00"/>
    <m/>
    <d v="2043-02-28T00:00:00"/>
    <n v="7101"/>
    <s v="B+"/>
    <s v="Master's Equivalent-2010 , BA-2005 , Int"/>
    <s v="06.01"/>
    <s v="01.01"/>
    <s v="07.02"/>
    <s v="70495436"/>
    <s v="Land Property"/>
    <s v="285613"/>
    <s v="Lead - Land Matters"/>
    <s v="Hazira"/>
    <s v="0090000021"/>
    <s v="Corporate Affairs"/>
    <s v="2000HWO"/>
    <s v="20059561"/>
    <s v="Bhavdip Jathal"/>
    <s v="No"/>
    <s v="anil.sanjava@amns.in"/>
    <s v="7486014218"/>
    <s v="1006172"/>
    <s v="Dhruv Vyas"/>
    <s v="Anil Matoo"/>
    <s v="Praveen Kuruvalli"/>
    <s v="Dhruv Vyas"/>
    <n v="0"/>
  </r>
  <r>
    <n v="5069"/>
    <n v="20057140"/>
    <s v="Simran Pitliya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– Corporate Accounts"/>
    <m/>
    <s v="Finance &amp; Accounts"/>
    <s v=""/>
    <s v=""/>
    <s v="Non Technical Support"/>
    <s v="Projects"/>
    <s v="Projects Coordination"/>
    <s v="72103038"/>
    <s v="Projects Coordination"/>
    <s v="AM/NS Hazira"/>
    <d v="1997-02-07T00:00:00"/>
    <s v="26.07"/>
    <d v="2022-07-25T00:00:00"/>
    <d v="2055-02-28T00:00:00"/>
    <m/>
    <d v="2055-02-28T00:00:00"/>
    <n v="11484"/>
    <s v="B+"/>
    <s v="MCom-2019 , CA Final-2019 , BCom-2017 ,"/>
    <s v="02.02"/>
    <s v="01.01"/>
    <s v="03.03"/>
    <s v="70495666"/>
    <s v="Corporate Asset Management"/>
    <s v="273338"/>
    <s v="Officer – Corporate Accounts"/>
    <s v="Hazira"/>
    <s v="0090000027"/>
    <s v="Corporate Steel - Ac"/>
    <s v="2000HWO"/>
    <s v="20045482"/>
    <s v="Sandeep Soni"/>
    <s v="No"/>
    <s v="simran.pitliya@amns.in"/>
    <s v="9820032018"/>
    <s v="1006201"/>
    <s v="Dhruv Vyas"/>
    <s v="Anil Matoo"/>
    <s v="Praveen Kuruvalli"/>
    <s v="Dhruv Vyas"/>
    <n v="0"/>
  </r>
  <r>
    <n v="5071"/>
    <n v="20057142"/>
    <s v="Yagnik Vala"/>
    <s v="AM/NS India"/>
    <s v="Onroll"/>
    <s v="M-9"/>
    <n v="9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Officer - MRO Procurement"/>
    <m/>
    <s v="Procurement"/>
    <s v=""/>
    <s v=""/>
    <s v="Non Technical Support"/>
    <s v=""/>
    <s v=""/>
    <s v=""/>
    <s v=""/>
    <s v="Hazira"/>
    <d v="1996-01-28T00:00:00"/>
    <s v="27.07"/>
    <d v="2022-08-01T00:00:00"/>
    <d v="2054-01-31T00:00:00"/>
    <m/>
    <d v="2054-01-31T00:00:00"/>
    <n v="11091"/>
    <s v="A+"/>
    <s v="BE-2017 , Intermediate-2013 , Intermedia"/>
    <s v="03.11"/>
    <s v="01.01"/>
    <s v="05.00"/>
    <s v="00044544"/>
    <s v="Rolls Lubes  System Development"/>
    <s v="285548"/>
    <s v="Officer - MRO Procurement"/>
    <s v="Hazira"/>
    <s v="0031950048"/>
    <s v="HZ-Procurment Depart"/>
    <s v="2000HWO"/>
    <s v="20052026"/>
    <s v="Jigneshkumar Patel"/>
    <s v="No"/>
    <s v="yagnik.vala@amns.in"/>
    <s v="9023866253"/>
    <s v="1006267"/>
    <s v="Dhruv Vyas"/>
    <s v="Anil Matoo"/>
    <s v="Praveen Kuruvalli"/>
    <s v="Dhruv Vyas"/>
    <n v="0"/>
  </r>
  <r>
    <n v="5080"/>
    <n v="20057151"/>
    <s v="Chaitali Panchal"/>
    <s v="AM/NS India"/>
    <s v="Onroll"/>
    <s v="M-10"/>
    <n v="10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Officer – Capex Procurement"/>
    <m/>
    <s v=""/>
    <s v=""/>
    <s v=""/>
    <s v="Non Technical Support"/>
    <s v=""/>
    <s v=""/>
    <s v=""/>
    <s v=""/>
    <s v="Hazira"/>
    <d v="1996-09-27T00:00:00"/>
    <s v="26.11"/>
    <d v="2022-08-08T00:00:00"/>
    <d v="2054-09-30T00:00:00"/>
    <m/>
    <d v="2054-09-30T00:00:00"/>
    <n v="11333"/>
    <s v="O-"/>
    <s v="BE-2018 , Diploma-2015 , Intermediate-20"/>
    <s v="03.01"/>
    <s v="01.01"/>
    <s v="04.02"/>
    <s v="00049515"/>
    <s v="Capex Procurement"/>
    <s v="285915"/>
    <s v="Officer – Capex Procurement"/>
    <s v="Hazira"/>
    <s v="0031950059"/>
    <s v="HZ-Hazira Project"/>
    <s v="2000HWO"/>
    <s v="20054320"/>
    <s v="Sanjaykumar Kanani"/>
    <s v="No"/>
    <s v="chaitali.panchal@amns.in"/>
    <s v="6359799279"/>
    <s v="25298"/>
    <s v="Dhruv Vyas"/>
    <s v="Anil Matoo"/>
    <s v="Praveen Kuruvalli"/>
    <s v="Dhruv Vyas"/>
    <n v="0"/>
  </r>
  <r>
    <n v="5082"/>
    <n v="20057154"/>
    <s v="Navin Kumar Amang"/>
    <s v="AM/NS India"/>
    <s v="Onroll"/>
    <s v="M-9"/>
    <n v="9"/>
    <m/>
    <s v="JM"/>
    <s v="M"/>
    <s v="Vizag"/>
    <n v="3"/>
    <s v="2094"/>
    <x v="21"/>
    <s v="27.10"/>
    <s v="Vikas Chandra Yadvendu"/>
    <s v="Ashutosh Telang"/>
    <n v="6"/>
    <s v="HR &amp; Administration"/>
    <s v="Corporate SocialResponsibility"/>
    <s v="27"/>
    <s v="Lead-CSR"/>
    <m/>
    <s v="Corporate Social Responsibility"/>
    <s v="CSR"/>
    <s v="CSR"/>
    <s v="Non Technical Support"/>
    <s v="Human Resources Management"/>
    <s v="Human Resources Management"/>
    <s v="73501001"/>
    <s v="Human Resources"/>
    <s v="Chitrakonda"/>
    <d v="1991-01-03T00:00:00"/>
    <s v="32.08"/>
    <d v="2022-08-10T00:00:00"/>
    <d v="2049-01-31T00:00:00"/>
    <m/>
    <d v="2049-01-31T00:00:00"/>
    <n v="9265"/>
    <s v="B+"/>
    <s v="MSc Engg-2016 , Intermediate-2014 , Inte"/>
    <s v="06.03"/>
    <s v="01.01"/>
    <s v="07.04"/>
    <s v="70495661"/>
    <s v="Corporate Social Responsibility"/>
    <s v="285722"/>
    <s v="Lead-CSR"/>
    <s v="Vizag"/>
    <s v="0028030019"/>
    <s v="VIZ-Personnel &amp; Admi"/>
    <s v="2000VIZOPS"/>
    <s v="20055033"/>
    <s v="Vikas Chandra Yadvendu"/>
    <s v="No"/>
    <s v="navin.amang@amns.in"/>
    <s v="9867267442"/>
    <s v="1007059"/>
    <s v="DS Varma"/>
    <s v="Anil Matoo"/>
    <n v="0"/>
    <s v="DS Varma"/>
    <n v="0"/>
  </r>
  <r>
    <n v="5084"/>
    <n v="20057157"/>
    <s v="Lopamudra Mohanty"/>
    <s v="AM/NS India"/>
    <s v="Onroll"/>
    <s v="T-1 (GET)"/>
    <n v="12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Commercial"/>
    <s v="Procurement"/>
    <s v="73803001"/>
    <s v="Procurement"/>
    <s v="Hazira"/>
    <d v="1996-09-30T00:00:00"/>
    <s v="26.11"/>
    <d v="2022-08-08T00:00:00"/>
    <d v="2054-09-30T00:00:00"/>
    <m/>
    <d v="2054-09-30T00:00:00"/>
    <n v="11333"/>
    <s v=""/>
    <s v="MTech-2022 , Diploma-2019 , BTech-2019 ,"/>
    <s v=""/>
    <s v="01.01"/>
    <s v="01.01"/>
    <s v="00049358"/>
    <s v="Capex Procurement"/>
    <s v="273471"/>
    <s v="Graduate Engineer Trainee 2022"/>
    <s v="Hazira"/>
    <s v="0031950061"/>
    <s v="HZ-Human Resource"/>
    <s v="2020HAZI"/>
    <s v="20056520"/>
    <s v="Ankit Panchal"/>
    <s v="No"/>
    <s v="lopamudra.mohanty@amns.in"/>
    <s v="7486014121"/>
    <s v="1007241"/>
    <s v="Dhruv Vyas"/>
    <s v="Anil Matoo"/>
    <s v="Praveen Kuruvalli"/>
    <s v="Dhruv Vyas"/>
    <n v="0"/>
  </r>
  <r>
    <n v="5095"/>
    <n v="20057175"/>
    <s v="Anjali Prasad"/>
    <s v="AM/NS India"/>
    <s v="Onroll"/>
    <s v="T-1 (GET)"/>
    <n v="12"/>
    <m/>
    <s v="JM"/>
    <s v="F"/>
    <s v="Hazira"/>
    <n v="1"/>
    <s v="2054"/>
    <x v="9"/>
    <s v="32.01"/>
    <s v="Pankaj Chaturvedi"/>
    <s v="Hrishikesh Kamat"/>
    <n v="7"/>
    <s v="Procurement"/>
    <s v="Contracts"/>
    <s v="32"/>
    <s v="Graduate Engineer Trainee 2022"/>
    <m/>
    <s v=""/>
    <s v=""/>
    <s v=""/>
    <s v="Non Technical Support"/>
    <s v="Services"/>
    <s v="Power Distribution services"/>
    <s v="72103027"/>
    <s v="Power Distribution Operat"/>
    <s v="AM/NS Hazira"/>
    <d v="1996-02-22T00:00:00"/>
    <s v="27.06"/>
    <d v="2022-08-08T00:00:00"/>
    <d v="2054-02-28T00:00:00"/>
    <m/>
    <d v="2054-02-28T00:00:00"/>
    <n v="11119"/>
    <s v=""/>
    <s v="MTech-2021"/>
    <s v=""/>
    <s v="01.01"/>
    <s v="01.01"/>
    <s v="70495670"/>
    <s v="Contracts"/>
    <s v="273683"/>
    <s v="Graduate Engineer Trainee 2022"/>
    <s v="Hazira"/>
    <s v="0031950061"/>
    <s v="HZ-Human Resource"/>
    <s v="2054HAZI"/>
    <s v="20000795"/>
    <s v="Pankaj Chaturvedi"/>
    <s v="No"/>
    <s v="anjali.prasad@amns.in"/>
    <s v="7024642785"/>
    <s v="1007255"/>
    <s v="Dhruv Vyas"/>
    <s v="Anil Matoo"/>
    <s v="Praveen Kuruvalli"/>
    <s v="Dhruv Vyas"/>
    <n v="0"/>
  </r>
  <r>
    <n v="5100"/>
    <n v="20057181"/>
    <s v="Rajat Raj"/>
    <s v="AM/NS India"/>
    <s v="Onroll"/>
    <s v="M-9"/>
    <n v="9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Services"/>
    <s v="Maintenance Services"/>
    <s v="72103012"/>
    <s v="Maintenance Services"/>
    <s v="AM/NS Hazira"/>
    <d v="1992-09-11T00:00:00"/>
    <s v="31.00"/>
    <d v="2022-08-08T00:00:00"/>
    <d v="2050-09-30T00:00:00"/>
    <m/>
    <d v="2050-09-30T00:00:00"/>
    <n v="9872"/>
    <s v=""/>
    <s v="BTech-2008"/>
    <s v=""/>
    <s v="01.01"/>
    <s v="01.01"/>
    <s v="00051524"/>
    <s v="Pro HED"/>
    <s v="273689"/>
    <s v="Graduate Engineer Trainee 2022"/>
    <s v="Hazira"/>
    <s v="0031950061"/>
    <s v="HZ-Human Resource"/>
    <s v="2043ESHZ"/>
    <s v="20055691"/>
    <s v="Dipesh Sudamrao Rathod"/>
    <s v="No"/>
    <s v="rajat.raj@amns.in"/>
    <s v="7486014100"/>
    <s v="1007262"/>
    <s v="Dhruv Vyas"/>
    <s v="Anil Matoo"/>
    <s v="Praveen Kuruvalli"/>
    <s v="Dhruv Vyas"/>
    <n v="0"/>
  </r>
  <r>
    <n v="5103"/>
    <n v="20057186"/>
    <s v="Suriya Prakash S"/>
    <s v="AM/NS India"/>
    <s v="Onroll"/>
    <s v="T-1 (GET)"/>
    <n v="12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Graduate Engineer Trainee 2022"/>
    <m/>
    <s v="South"/>
    <s v="Plate"/>
    <s v=""/>
    <s v="Non Technical Support"/>
    <s v="Services"/>
    <s v="Maintenance Services"/>
    <s v="72103012"/>
    <s v="Maintenance Services"/>
    <s v="Chennai"/>
    <d v="1998-06-02T00:00:00"/>
    <s v="25.03"/>
    <d v="2022-08-08T00:00:00"/>
    <d v="2056-06-30T00:00:00"/>
    <m/>
    <d v="2056-06-30T00:00:00"/>
    <n v="11972"/>
    <s v=""/>
    <s v="BTech-2013"/>
    <s v=""/>
    <s v="01.01"/>
    <s v="01.01"/>
    <s v="00052473"/>
    <s v="KAM - Plate Sales"/>
    <s v="273694"/>
    <s v="Graduate Engineer Trainee 2022"/>
    <s v="Hazira"/>
    <s v="0031950061"/>
    <s v="HZ-Human Resource"/>
    <s v="2031MUMB"/>
    <s v="20002639"/>
    <s v="Kathiresan K"/>
    <s v="No"/>
    <s v="suriyaprakash.s@amns.in"/>
    <s v="8754726530"/>
    <s v="1007267"/>
    <s v="Dhruv Vyas"/>
    <s v="Anil Matoo"/>
    <s v="Praveen Kuruvalli"/>
    <s v="Dhruv Vyas"/>
    <n v="0"/>
  </r>
  <r>
    <n v="5117"/>
    <n v="20057206"/>
    <s v="Swati Joshi"/>
    <s v="AM/NS India"/>
    <s v="Onroll"/>
    <s v="T-1 (GET)"/>
    <n v="12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Services"/>
    <s v="Maintenance Services"/>
    <s v="72103015"/>
    <s v="Instrumentation &amp; Automat"/>
    <s v="Hazira"/>
    <d v="1994-10-25T00:00:00"/>
    <s v="28.10"/>
    <d v="2022-08-08T00:00:00"/>
    <d v="2052-10-31T00:00:00"/>
    <m/>
    <d v="2052-10-31T00:00:00"/>
    <n v="10634"/>
    <s v=""/>
    <s v="MTech-2021"/>
    <s v=""/>
    <s v="01.01"/>
    <s v="01.01"/>
    <s v="00049359"/>
    <s v="Capex Services"/>
    <s v="273714"/>
    <s v="Graduate Engineer Trainee 2022"/>
    <s v="Hazira"/>
    <s v="0031950061"/>
    <s v="HZ-Human Resource"/>
    <s v="2020HAZI"/>
    <s v="20055446"/>
    <s v="Chitrang Rana"/>
    <s v="No"/>
    <s v="swati.joshi@amns.in"/>
    <s v="8650846722"/>
    <s v="1007285"/>
    <s v="Dhruv Vyas"/>
    <s v="Anil Matoo"/>
    <s v="Praveen Kuruvalli"/>
    <s v="Dhruv Vyas"/>
    <n v="0"/>
  </r>
  <r>
    <n v="5141"/>
    <n v="20057238"/>
    <s v="Shatrughna Sethy"/>
    <s v="AM/NS India"/>
    <s v="Onroll"/>
    <s v="T-1 (GET)"/>
    <n v="12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Graduate Engineer Trainee 2022"/>
    <m/>
    <s v="Other West"/>
    <s v="Plate"/>
    <s v=""/>
    <s v="Non Technical Support"/>
    <s v="Operations"/>
    <s v="Operations"/>
    <s v="72103001"/>
    <s v="Operations"/>
    <s v="Mumbai"/>
    <d v="1995-06-05T00:00:00"/>
    <s v="28.03"/>
    <d v="2022-08-08T00:00:00"/>
    <d v="2053-06-30T00:00:00"/>
    <m/>
    <d v="2053-06-30T00:00:00"/>
    <n v="10876"/>
    <s v=""/>
    <s v="BTech-2011"/>
    <s v=""/>
    <s v="01.01"/>
    <s v="01.01"/>
    <s v="70495309"/>
    <s v="Sales West Zone"/>
    <s v="273746"/>
    <s v="Graduate Engineer Trainee 2022"/>
    <s v="Hazira"/>
    <s v="0031950061"/>
    <s v="HZ-Human Resource"/>
    <s v="2031MUMB"/>
    <s v="20047683"/>
    <s v="Virat Vij"/>
    <s v="No"/>
    <s v="shatrughna.sethy@amns.in"/>
    <s v="7605950983"/>
    <s v="1007310"/>
    <s v="Dhruv Vyas"/>
    <s v="Anil Matoo"/>
    <s v="Praveen Kuruvalli"/>
    <s v="Dhruv Vyas"/>
    <n v="0"/>
  </r>
  <r>
    <n v="5145"/>
    <n v="20057242"/>
    <s v="Dhageti Sandhya"/>
    <s v="AM/NS India"/>
    <s v="Onroll"/>
    <s v="T-1 (GET)"/>
    <n v="12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Operations"/>
    <s v="Operations"/>
    <s v="72103001"/>
    <s v="Operations"/>
    <s v="AM/NS Hazira"/>
    <d v="2001-06-18T00:00:00"/>
    <s v="22.03"/>
    <d v="2022-08-08T00:00:00"/>
    <d v="2059-06-30T00:00:00"/>
    <m/>
    <d v="2059-06-30T00:00:00"/>
    <n v="13067"/>
    <s v=""/>
    <s v="BTech-2022"/>
    <s v=""/>
    <s v="01.01"/>
    <s v="01.01"/>
    <s v="72150383"/>
    <s v="Procurement (MRO/IP &amp; Consumable)"/>
    <s v="273750"/>
    <s v="Graduate Engineer Trainee 2022"/>
    <s v="Hazira"/>
    <s v="0031950061"/>
    <s v="HZ-Human Resource"/>
    <s v="2134ESHZ"/>
    <s v="20000201"/>
    <s v="Manish Bakriwala"/>
    <s v="No"/>
    <s v="dhageti.sandhya@amns.in"/>
    <s v="7486014120"/>
    <s v="1007314"/>
    <s v="Dhruv Vyas"/>
    <s v="Anil Matoo"/>
    <s v="Praveen Kuruvalli"/>
    <s v="Dhruv Vyas"/>
    <n v="0"/>
  </r>
  <r>
    <n v="5152"/>
    <n v="20057251"/>
    <s v="Toshit Kumar"/>
    <s v="AM/NS India"/>
    <s v="Onroll"/>
    <s v="T-1 (GET)"/>
    <n v="12"/>
    <m/>
    <s v="JM"/>
    <s v="M"/>
    <s v="Hazira"/>
    <n v="1"/>
    <s v="2096"/>
    <x v="14"/>
    <s v="36.02"/>
    <s v="Hrishikesh Kamat"/>
    <s v="Hrishikesh Kamat"/>
    <n v="7"/>
    <s v="Procurement"/>
    <s v="Raw Materials"/>
    <s v="36"/>
    <s v="Graduate Engineer Trainee 2022"/>
    <m/>
    <s v=""/>
    <s v=""/>
    <s v=""/>
    <s v="Operations"/>
    <s v="R&amp; D and QA/QC"/>
    <s v="QA &amp; QC"/>
    <s v="72103034"/>
    <s v="QA &amp; QC"/>
    <s v="Mumbai"/>
    <d v="1995-09-01T00:00:00"/>
    <s v="28.00"/>
    <d v="2022-08-08T00:00:00"/>
    <d v="2053-08-31T00:00:00"/>
    <m/>
    <d v="2053-08-31T00:00:00"/>
    <n v="10938"/>
    <s v=""/>
    <s v="MS-2022"/>
    <s v=""/>
    <s v="01.01"/>
    <s v="01.01"/>
    <s v="70494654"/>
    <s v="Finance"/>
    <s v="273759"/>
    <s v="Graduate Engineer Trainee 2022"/>
    <s v="Hazira"/>
    <s v="0031950061"/>
    <s v="HZ-Human Resource"/>
    <s v="2134ESHZ"/>
    <s v="20057933"/>
    <s v="Akiyo Omori"/>
    <s v="No"/>
    <s v="toshit.kumar@amns.in"/>
    <s v="6377436574"/>
    <s v="1007322"/>
    <s v="Lakshman Iyer"/>
    <s v="Anil Matoo"/>
    <n v="0"/>
    <s v="Lakshman Iyer"/>
    <n v="0"/>
  </r>
  <r>
    <n v="5154"/>
    <n v="20057253"/>
    <s v="Dandaveni Shashi Kumar"/>
    <s v="AM/NS India"/>
    <s v="Onroll"/>
    <s v="T-1 (GET)"/>
    <n v="12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Graduate Engineer Trainee 2022"/>
    <m/>
    <s v=""/>
    <s v=""/>
    <s v=""/>
    <s v="Non Technical Support"/>
    <s v="R&amp; D and QA/QC"/>
    <s v="QA &amp; QC"/>
    <s v="72103034"/>
    <s v="QA &amp; QC"/>
    <s v="AM/NS Hazira"/>
    <d v="1999-06-10T00:00:00"/>
    <s v="24.03"/>
    <d v="2022-08-08T00:00:00"/>
    <d v="2057-06-30T00:00:00"/>
    <m/>
    <d v="2057-06-30T00:00:00"/>
    <n v="12337"/>
    <s v=""/>
    <s v="BTech-2013"/>
    <s v=""/>
    <s v="01.01"/>
    <s v="01.01"/>
    <s v="70495670"/>
    <s v="Contracts"/>
    <s v="273761"/>
    <s v="Graduate Engineer Trainee 2022"/>
    <s v="Hazira"/>
    <s v="0031950061"/>
    <s v="HZ-Human Resource"/>
    <s v="2054HAZI"/>
    <s v="20000795"/>
    <s v="Pankaj Chaturvedi"/>
    <s v="No"/>
    <s v="dandaveni.shashikumar@amns.in"/>
    <s v="8790138222"/>
    <s v="1007324"/>
    <s v="Dhruv Vyas"/>
    <s v="Anil Matoo"/>
    <s v="Praveen Kuruvalli"/>
    <s v="Dhruv Vyas"/>
    <n v="0"/>
  </r>
  <r>
    <n v="5163"/>
    <n v="20057268"/>
    <s v="Ayyalasomayajula Naresh"/>
    <s v="AM/NS India"/>
    <s v="Onroll"/>
    <s v="M-9"/>
    <n v="9"/>
    <m/>
    <s v="JM"/>
    <s v="M"/>
    <s v="Vizag"/>
    <n v="3"/>
    <s v="2015"/>
    <x v="1"/>
    <s v="22.06"/>
    <s v="Anil Matoo"/>
    <s v="Ashutosh Telang"/>
    <n v="6"/>
    <s v="HR &amp; Administration"/>
    <s v="Human Resources"/>
    <s v="22"/>
    <s v="Lead-HR"/>
    <m/>
    <s v="Human Resources"/>
    <s v=""/>
    <s v=""/>
    <s v="Non Technical Support"/>
    <s v=""/>
    <s v=""/>
    <s v=""/>
    <s v=""/>
    <s v="Vizag"/>
    <d v="1987-12-08T00:00:00"/>
    <s v="35.09"/>
    <d v="2022-08-11T00:00:00"/>
    <d v="2045-12-31T00:00:00"/>
    <m/>
    <d v="2045-12-31T00:00:00"/>
    <n v="8138"/>
    <s v="A+"/>
    <s v="MBA-2010 , BSc Engg-2005 , Intermediate-"/>
    <s v="05.05"/>
    <s v="01.01"/>
    <s v="06.06"/>
    <s v="72150111"/>
    <s v="Vizag HR Operations &amp; Administration"/>
    <s v="286250"/>
    <s v="Lead-HR"/>
    <s v="Vizag"/>
    <s v="0028030019"/>
    <s v="VIZ-Personnel &amp; Admi"/>
    <s v="2000VIZOPS"/>
    <s v="20000519"/>
    <s v="Dandu Srinivas Varma"/>
    <s v="No"/>
    <s v="ayyalasomayajula.naresh@amns.in"/>
    <s v="9177509312"/>
    <s v="1007397"/>
    <s v="DS Varma"/>
    <s v="Anil Matoo"/>
    <s v="Praveen Kuruvalli"/>
    <s v="Dhruv Vyas"/>
    <n v="0"/>
  </r>
  <r>
    <n v="5165"/>
    <n v="20057271"/>
    <s v="Deepak Gupta"/>
    <s v="AM/NS India"/>
    <s v="Onroll"/>
    <s v="M-9"/>
    <n v="9"/>
    <m/>
    <s v="JM"/>
    <s v="M"/>
    <s v="Vizag"/>
    <n v="3"/>
    <s v="2013"/>
    <x v="0"/>
    <s v="20.01"/>
    <s v="Akiyo Omori"/>
    <s v="Amit Harlalka"/>
    <n v="5"/>
    <s v="Finance &amp; Accounts"/>
    <s v="Finance &amp; Accounts"/>
    <s v="20"/>
    <s v="Lead-F&amp;A"/>
    <m/>
    <s v=""/>
    <s v=""/>
    <s v=""/>
    <s v="Non Technical Support"/>
    <s v="Project Management"/>
    <s v="Planning"/>
    <s v="72303122"/>
    <s v="MIS"/>
    <s v="Kirandul"/>
    <d v="1990-10-26T00:00:00"/>
    <s v="32.10"/>
    <d v="2022-08-16T00:00:00"/>
    <d v="2048-10-31T00:00:00"/>
    <m/>
    <d v="2048-10-31T00:00:00"/>
    <n v="9173"/>
    <s v="O+"/>
    <s v="CA Inter-2014 , BCom-2010 , Intermediate"/>
    <s v="06.03"/>
    <s v="01.01"/>
    <s v="07.04"/>
    <s v="72150110"/>
    <s v="Finance &amp; Accounts - Vizag"/>
    <s v="286535"/>
    <s v="Lead-F&amp;A"/>
    <s v="Vizag"/>
    <s v="0028030019"/>
    <s v="VIZ-Personnel &amp; Admi"/>
    <s v="2000VIZOPS"/>
    <s v="20001003"/>
    <s v="Patnana Muralidhara Rao"/>
    <s v="No"/>
    <s v="deepak.gupta2@amns.in"/>
    <s v="8210156530"/>
    <s v="1007886"/>
    <s v="DS Varma"/>
    <s v="Anil Matoo"/>
    <s v="Praveen Kuruvalli"/>
    <s v="Dhruv Vyas"/>
    <n v="0"/>
  </r>
  <r>
    <n v="5168"/>
    <n v="20057274"/>
    <s v="Arup Gouda"/>
    <s v="AM/NS India"/>
    <s v="Onroll"/>
    <s v="M-8"/>
    <n v="8"/>
    <m/>
    <s v="JM"/>
    <s v="M"/>
    <s v="Odisha"/>
    <n v="2"/>
    <s v="2084"/>
    <x v="17"/>
    <s v="23.09"/>
    <s v="Anil Matoo"/>
    <s v="Ashutosh Telang"/>
    <n v="6"/>
    <s v="HR &amp; Administration"/>
    <s v="Industrial Relations"/>
    <s v="23"/>
    <s v="Lead – IR"/>
    <m/>
    <s v="Industrial Relations"/>
    <s v=""/>
    <s v=""/>
    <s v="Non Technical Support"/>
    <s v="Human Resources Management"/>
    <s v="Human Resources Management"/>
    <s v="73501002"/>
    <s v="Human Resources Operation"/>
    <s v="Paradeep"/>
    <d v="1986-02-13T00:00:00"/>
    <s v="37.07"/>
    <d v="2022-08-16T00:00:00"/>
    <d v="2044-02-29T00:00:00"/>
    <m/>
    <d v="2044-02-29T00:00:00"/>
    <n v="7467"/>
    <s v="A+"/>
    <s v="LLB-2011 , MA-2008 , BA-2006 , Intermedi"/>
    <s v="10.11"/>
    <s v="01.01"/>
    <s v="11.11"/>
    <s v="70495430"/>
    <s v="Odisha HR Operations"/>
    <s v="286663"/>
    <s v="Lead – IR"/>
    <s v="Odisha"/>
    <s v="0022030019"/>
    <s v="PDP-HR &amp; Admn"/>
    <s v="2000STORIS"/>
    <s v="20055611"/>
    <s v="Sunila Kumar Das"/>
    <s v="No"/>
    <s v="arup.gouda@amns.in"/>
    <s v="9337121771"/>
    <s v="1008027"/>
    <s v="Sunila Das"/>
    <s v="Anil Matoo"/>
    <s v="Praveen Kuruvalli"/>
    <s v="Sunila Das"/>
    <n v="0"/>
  </r>
  <r>
    <n v="5183"/>
    <n v="20057297"/>
    <s v="Bibhash Mohanty"/>
    <s v="AM/NS India"/>
    <s v="Onroll"/>
    <s v="M-6"/>
    <n v="6"/>
    <m/>
    <s v="MM"/>
    <s v="M"/>
    <s v="Odisha"/>
    <n v="2"/>
    <s v="2023"/>
    <x v="6"/>
    <s v="24.08"/>
    <s v="Anil Matoo"/>
    <s v="Ashutosh Telang"/>
    <n v="6"/>
    <s v="HR &amp; Administration"/>
    <s v="Administration"/>
    <s v="24"/>
    <s v="Head-Administration"/>
    <m/>
    <s v="Administration"/>
    <s v=""/>
    <s v=""/>
    <s v="Non Technical Support"/>
    <s v="Human Resources Management"/>
    <s v="Human Resources Management"/>
    <s v="73501001"/>
    <s v="Human Resources"/>
    <s v="Bhubaneswar"/>
    <d v="1982-10-21T00:00:00"/>
    <s v="40.10"/>
    <d v="2022-08-16T00:00:00"/>
    <d v="2040-10-31T00:00:00"/>
    <m/>
    <d v="2040-10-31T00:00:00"/>
    <n v="6251"/>
    <s v="A+"/>
    <s v="MBA-2013 , MSc-2005 , BSc-2003 , Interme"/>
    <s v="16.08"/>
    <s v="01.01"/>
    <s v="17.08"/>
    <s v="70238103"/>
    <s v="Odisha - Admin &amp; Industrial Relations"/>
    <s v="286859"/>
    <s v="Head-Administration"/>
    <s v="Odisha"/>
    <s v="0090000018"/>
    <s v="CORP Group - HR"/>
    <s v="2000STORIS"/>
    <s v="20000083"/>
    <s v="Anil Matoo"/>
    <s v="No"/>
    <s v="bibhash.mohanty@amns.in"/>
    <s v="9988881680"/>
    <s v="1008371"/>
    <s v="Sunila Das"/>
    <s v="Anil Matoo"/>
    <s v="Praveen Kuruvalli"/>
    <s v="Sunila Das"/>
    <n v="0"/>
  </r>
  <r>
    <n v="5217"/>
    <n v="20057334"/>
    <s v="Ranvir Hude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Commercial"/>
    <s v="Stores &amp; Warehouse"/>
    <s v="73806001"/>
    <s v="Stores &amp; Warehouse"/>
    <s v="Hazira"/>
    <d v="1999-07-25T00:00:00"/>
    <s v="24.01"/>
    <d v="2022-08-17T00:00:00"/>
    <d v="2057-07-31T00:00:00"/>
    <m/>
    <d v="2057-07-31T00:00:00"/>
    <n v="12368"/>
    <s v=""/>
    <s v="Diploma-2018"/>
    <s v=""/>
    <s v="01.01"/>
    <s v="01.01"/>
    <s v="00053277"/>
    <s v="Receipts &amp; Unloading - Plant B"/>
    <s v="286918"/>
    <s v="Engineer"/>
    <s v="Hazira"/>
    <s v="0031950049"/>
    <s v="HZ-Central Stores"/>
    <s v="2012HAZI"/>
    <s v="20003180"/>
    <s v="Bhikhubhai Ahir"/>
    <s v="No"/>
    <s v="ranvir.hude@amns.in"/>
    <s v="9879101355"/>
    <s v="26209"/>
    <s v="Dhruv Vyas"/>
    <s v="Anil Matoo"/>
    <s v="Praveen Kuruvalli"/>
    <s v="Dhruv Vyas"/>
    <n v="0"/>
  </r>
  <r>
    <n v="5246"/>
    <n v="20057366"/>
    <s v="Ashirbad Parida"/>
    <s v="AM/NS India"/>
    <s v="Onroll"/>
    <s v="M-7"/>
    <n v="7"/>
    <m/>
    <s v="MM"/>
    <s v="M"/>
    <s v="Hazira"/>
    <n v="1"/>
    <s v="2137"/>
    <x v="12"/>
    <s v="35.01"/>
    <s v="Hrishikesh Kamat"/>
    <s v="Hrishikesh Kamat"/>
    <n v="7"/>
    <s v="Procurement"/>
    <s v="Land Acquisition"/>
    <s v="35"/>
    <s v="Sr. Lead - Land Acquisition"/>
    <m/>
    <s v="Land Acquisition"/>
    <s v=""/>
    <s v=""/>
    <s v="Non Technical Support"/>
    <s v="Corporate Relations"/>
    <s v="Corporate Affairs"/>
    <s v="74501001"/>
    <s v="Corporate Affairs"/>
    <s v="AM/NS Hazira"/>
    <d v="1980-11-10T00:00:00"/>
    <s v="42.10"/>
    <d v="2022-08-16T00:00:00"/>
    <d v="2038-11-30T00:00:00"/>
    <m/>
    <d v="2038-11-30T00:00:00"/>
    <n v="5550"/>
    <s v="O+"/>
    <s v="MBA-2021 , MTech-2007 , BE-2003 , Interm"/>
    <s v="12.10"/>
    <s v="01.01"/>
    <s v="13.11"/>
    <s v="70494938"/>
    <s v="Corporate Affairs"/>
    <s v="287129"/>
    <s v="Sr. Lead - Land Matters"/>
    <s v="Hazira"/>
    <s v="0090000021"/>
    <s v="Corporate Affairs"/>
    <s v="2000HWO"/>
    <s v="20057928"/>
    <s v="Manu Kapoor"/>
    <s v="No"/>
    <s v="ashirbad.parida@amns.in"/>
    <s v="7486014232"/>
    <s v="1008459"/>
    <s v="Dhruv Vyas"/>
    <s v="Anil Matoo"/>
    <s v="Praveen Kuruvalli"/>
    <s v="Dhruv Vyas"/>
    <n v="0"/>
  </r>
  <r>
    <n v="5247"/>
    <n v="20057367"/>
    <s v="Abhishek Verma"/>
    <s v="AM/NS India"/>
    <s v="Onroll"/>
    <s v="M-7"/>
    <n v="7"/>
    <m/>
    <s v="MM"/>
    <s v="M"/>
    <s v="Corporate"/>
    <n v="7"/>
    <s v="2260"/>
    <x v="5"/>
    <s v="01.01"/>
    <s v="Dilip Oommen"/>
    <s v="Dilip Oommen"/>
    <n v="1"/>
    <s v="CEO Office"/>
    <s v="CEO Office"/>
    <s v="01"/>
    <s v="Executive Assistant to CEO"/>
    <m/>
    <s v="CEO Office"/>
    <s v="CEO Office"/>
    <s v=""/>
    <s v="Non Technical Support"/>
    <s v="Operations"/>
    <s v="Operations"/>
    <s v="72103001"/>
    <s v="Operations"/>
    <s v="Mumbai"/>
    <d v="1987-04-04T00:00:00"/>
    <s v="36.05"/>
    <d v="2022-08-22T00:00:00"/>
    <d v="2045-04-30T00:00:00"/>
    <m/>
    <d v="2045-04-30T00:00:00"/>
    <n v="7893"/>
    <s v="B+"/>
    <s v="Post Diploma Course-2019 , Intermediate-"/>
    <s v="03.08"/>
    <s v="01.00"/>
    <s v="04.09"/>
    <s v="00046538"/>
    <s v="Project Monitoring"/>
    <s v="287169"/>
    <s v="Executive Assistant to CEO"/>
    <s v="Corporate"/>
    <s v="0090000022"/>
    <s v="Business Strategy"/>
    <s v="2000CS"/>
    <s v="20049281"/>
    <s v="Raveena Dhoot"/>
    <s v="No"/>
    <s v="abhishek.verma@amns.in"/>
    <s v="7992309055"/>
    <s v="1008565"/>
    <s v="Dhruv Vyas"/>
    <s v="Anil Matoo"/>
    <s v="Praveen Kuruvalli"/>
    <s v="Dhruv Vyas"/>
    <n v="0"/>
  </r>
  <r>
    <n v="5248"/>
    <n v="20057368"/>
    <s v="Ajay Sahan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Accounts Payable Capex"/>
    <m/>
    <s v=""/>
    <s v=""/>
    <s v=""/>
    <s v="Non Technical Support"/>
    <s v=""/>
    <s v=""/>
    <s v=""/>
    <s v=""/>
    <s v="AM/NS Hazira"/>
    <d v="1988-05-19T00:00:00"/>
    <s v="35.04"/>
    <d v="2022-08-22T00:00:00"/>
    <d v="2046-05-31T00:00:00"/>
    <m/>
    <d v="2046-05-31T00:00:00"/>
    <n v="8289"/>
    <s v="O-"/>
    <s v="CA Final-2012 , BCom-2008 , Intermediate"/>
    <s v="45.02"/>
    <s v="01.00"/>
    <s v="46.02"/>
    <s v="00048363"/>
    <s v="AP Capex, F&amp;A"/>
    <s v="287303"/>
    <s v="Lead Accounts Payable Capex"/>
    <s v="Hazira"/>
    <s v="0031950045"/>
    <s v="HZ-Works Accounts-Ha"/>
    <s v="2000HWO"/>
    <s v="20057378"/>
    <s v="Ravi Seth"/>
    <s v="No"/>
    <s v="ajay.sahani@amns.in"/>
    <s v="6358915428"/>
    <s v="1009101"/>
    <s v="Dhruv Vyas"/>
    <s v="Anil Matoo"/>
    <s v="Praveen Kuruvalli"/>
    <s v="Dhruv Vyas"/>
    <n v="0"/>
  </r>
  <r>
    <n v="5255"/>
    <n v="20057376"/>
    <s v="Abhishek Das"/>
    <s v="AM/NS India"/>
    <s v="Onroll"/>
    <s v="M-7"/>
    <n v="7"/>
    <m/>
    <s v="MM"/>
    <s v="M"/>
    <s v="Odisha"/>
    <n v="2"/>
    <s v="2069"/>
    <x v="8"/>
    <s v="25.01"/>
    <s v="Bibek Chattopadhyay"/>
    <s v="Ashutosh Telang"/>
    <n v="6"/>
    <s v="HR &amp; Administration"/>
    <s v="Corporate Communications"/>
    <s v="25"/>
    <s v="Lead - Corporate Communication"/>
    <m/>
    <s v="Corporate Communication"/>
    <s v="Corporate Communication"/>
    <s v="Corporate Communication"/>
    <s v="Non Technical Support"/>
    <s v="Corporate Communication"/>
    <s v="Corporate Communication"/>
    <s v="74001001"/>
    <s v="Corporate Communication"/>
    <s v="Bhubaneswar"/>
    <d v="1988-11-04T00:00:00"/>
    <s v="34.10"/>
    <d v="2022-08-16T00:00:00"/>
    <d v="2046-11-30T00:00:00"/>
    <m/>
    <d v="2046-11-30T00:00:00"/>
    <n v="8472"/>
    <s v="O+"/>
    <s v="PG Diploma in Management-2021 , PG Diplo"/>
    <s v="08.11"/>
    <s v="01.01"/>
    <s v="10.00"/>
    <s v="00046762"/>
    <s v="Communiation &amp; Media Relations Odisha"/>
    <s v="287392"/>
    <s v="Lead – Corporate"/>
    <s v="Odisha"/>
    <s v="0090000016"/>
    <s v="Corporate Steel - Co"/>
    <s v="2000STORIS"/>
    <s v="20056246"/>
    <s v="Soumitra Patnaik"/>
    <s v="No"/>
    <s v="abhishek.das1@amns.in"/>
    <s v="9040094965"/>
    <s v="1009463"/>
    <s v="Sunila Das"/>
    <s v="Anil Matoo"/>
    <s v="Praveen Kuruvalli"/>
    <s v="Sunila Das"/>
    <n v="0"/>
  </r>
  <r>
    <n v="5257"/>
    <n v="20057378"/>
    <s v="Ravi Seth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 - Accounts Payable (Capex Projects)"/>
    <m/>
    <s v="Finance &amp; Accounts"/>
    <s v=""/>
    <s v=""/>
    <s v="Non Technical Support"/>
    <s v="Projects"/>
    <s v="Projects Coordination"/>
    <s v="72103038"/>
    <s v="Projects Coordination"/>
    <s v="AM/NS Hazira"/>
    <d v="1971-08-15T00:00:00"/>
    <s v="52.01"/>
    <d v="2022-09-01T00:00:00"/>
    <d v="2029-08-31T00:00:00"/>
    <m/>
    <d v="2029-08-31T00:00:00"/>
    <n v="2172"/>
    <s v="B-"/>
    <s v="MBA-2004 , MCom-1997 , BCom-1992 , Inter"/>
    <s v="24.07"/>
    <s v="01.00"/>
    <s v="25.07"/>
    <s v="00048363"/>
    <s v="AP Capex, F&amp;A"/>
    <s v="273300"/>
    <s v="Head - Accounts Payable (Capex Projects)"/>
    <s v="Hazira"/>
    <s v="0090000028"/>
    <s v="Corporate Steel - Wo"/>
    <s v="2000HWO"/>
    <s v="20055188"/>
    <s v="Rohit Sharma"/>
    <s v="No"/>
    <s v="ravi.seth@amns.in"/>
    <s v="9819597117"/>
    <s v="1010691"/>
    <s v="Dhruv Vyas"/>
    <s v="Anil Matoo"/>
    <s v="Praveen Kuruvalli"/>
    <s v="Dhruv Vyas"/>
    <n v="0"/>
  </r>
  <r>
    <n v="5258"/>
    <n v="20057379"/>
    <s v="Rahul Gupta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- Capex Procurement"/>
    <m/>
    <s v="Capex Procurement"/>
    <s v=""/>
    <s v=""/>
    <s v="Non Technical Support"/>
    <s v="Operations"/>
    <s v="Operations"/>
    <s v="72103001"/>
    <s v="Operations"/>
    <s v="Hazira"/>
    <d v="1994-03-26T00:00:00"/>
    <s v="29.05"/>
    <d v="2022-09-01T00:00:00"/>
    <d v="2052-03-31T00:00:00"/>
    <m/>
    <d v="2052-03-31T00:00:00"/>
    <n v="10420"/>
    <s v="B+"/>
    <s v="BTech-2017 , Intermediate-2012 , Interme"/>
    <s v="02.08"/>
    <s v="01.00"/>
    <s v="03.08"/>
    <s v="00049344"/>
    <s v="Capex Procurement"/>
    <s v="256012"/>
    <s v="Officer - Capex Procurement"/>
    <s v="Hazira"/>
    <s v="0031950059"/>
    <s v="HZ-Hazira Project"/>
    <s v="2000HWO"/>
    <s v="20055728"/>
    <s v="Mahebub Vahora"/>
    <s v="No"/>
    <s v="rahul.gupta1@amns.in"/>
    <s v="7209804673"/>
    <s v="1010692"/>
    <s v="Dhruv Vyas"/>
    <s v="Anil Matoo"/>
    <s v="Praveen Kuruvalli"/>
    <s v="Dhruv Vyas"/>
    <n v="0"/>
  </r>
  <r>
    <n v="5259"/>
    <n v="20057380"/>
    <s v="Vivek Gupta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ales Manager - Export Sales"/>
    <m/>
    <s v="Export"/>
    <s v="Export"/>
    <s v=""/>
    <s v="Non Technical Support"/>
    <s v="Sales &amp; Marketing"/>
    <s v="Sales &amp; Marketing"/>
    <s v="73101001"/>
    <s v="Sales &amp; Marketing"/>
    <s v="Mumbai"/>
    <d v="1988-09-14T00:00:00"/>
    <s v="35.00"/>
    <d v="2022-09-01T00:00:00"/>
    <d v="2046-09-30T00:00:00"/>
    <m/>
    <d v="2046-09-30T00:00:00"/>
    <n v="8411"/>
    <s v="A+"/>
    <s v="MS-2013 , BSc-2011 , Intermediate-2007 ,"/>
    <s v="04.04"/>
    <s v="01.00"/>
    <s v="05.04"/>
    <s v="70495379"/>
    <s v="Chief Marketing Officer - AMNS ME FZE"/>
    <s v="70495032"/>
    <s v="KAM - Export Sales"/>
    <s v="Corporate"/>
    <s v="0031950057"/>
    <s v="HZ-HRC - Marketing"/>
    <s v="2000CS"/>
    <s v="20055663"/>
    <s v="Karamath Syed"/>
    <s v="No"/>
    <s v="vivek.gupta@amns.in"/>
    <s v="9987607600"/>
    <s v="1010693"/>
    <s v="Dhruv Vyas"/>
    <s v="Anil Matoo"/>
    <s v="Praveen Kuruvalli"/>
    <s v="Dhruv Vyas"/>
    <n v="0"/>
  </r>
  <r>
    <n v="5260"/>
    <n v="20057381"/>
    <s v="Nitin Lokhande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West"/>
    <s v="Hypermart"/>
    <s v=""/>
    <s v="Non Technical Support"/>
    <s v="Sales &amp; Marketing"/>
    <s v="Sales"/>
    <s v="73104004"/>
    <s v="OEM Sales"/>
    <s v="Ahmedabad"/>
    <d v="1977-04-05T00:00:00"/>
    <s v="46.05"/>
    <d v="2022-09-01T00:00:00"/>
    <d v="2035-04-30T00:00:00"/>
    <m/>
    <d v="2035-04-30T00:00:00"/>
    <n v="4240"/>
    <s v="B+"/>
    <s v="PG Diploma in Management-2009 , Diploma-"/>
    <s v="23.01"/>
    <s v="01.00"/>
    <s v="24.01"/>
    <s v="70394840"/>
    <s v="OEM Sales - Gujarat"/>
    <s v="273362"/>
    <s v="Sales Manager - Hypermart"/>
    <s v="Hazira"/>
    <s v="0060110300"/>
    <s v="HMART-Guj-Ahemedabad"/>
    <s v="2000HWO"/>
    <s v="20001736"/>
    <s v="Manoranjan Jagdhari"/>
    <s v="No"/>
    <s v="nitin.lokhande@amns.in"/>
    <s v="9998815775"/>
    <s v="25564"/>
    <s v="Dhruv Vyas"/>
    <s v="Anil Matoo"/>
    <s v="Praveen Kuruvalli"/>
    <s v="Dhruv Vyas"/>
    <n v="0"/>
  </r>
  <r>
    <n v="5261"/>
    <n v="20057382"/>
    <s v="Naga Sunil Kumar Reddy Kodidala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South"/>
    <s v="Hypermart"/>
    <s v=""/>
    <s v="Non Technical Support"/>
    <s v="Sales &amp; Marketing"/>
    <s v="Sales"/>
    <s v="73104004"/>
    <s v="OEM Sales"/>
    <s v="Hyderabad"/>
    <d v="1980-06-23T00:00:00"/>
    <s v="43.02"/>
    <d v="2022-09-01T00:00:00"/>
    <d v="2038-06-30T00:00:00"/>
    <m/>
    <d v="2038-06-30T00:00:00"/>
    <n v="5397"/>
    <s v="O+"/>
    <s v="MBA-2006 , BSc-2001 , Intermediate-1997"/>
    <s v="11.05"/>
    <s v="01.00"/>
    <s v="12.05"/>
    <s v="00048814"/>
    <s v="Sales South Zone – Hypermart"/>
    <s v="273363"/>
    <s v="Sales Manager - Hypermart"/>
    <s v="Hazira"/>
    <s v="0060140600"/>
    <s v="HMART-Tela-Secundrab"/>
    <s v="2000HWO"/>
    <s v="20056279"/>
    <s v="Arun G"/>
    <s v="No"/>
    <s v="kn.reddy@amns.in"/>
    <s v="9885057067"/>
    <s v="1010810"/>
    <s v="Dhruv Vyas"/>
    <s v="Anil Matoo"/>
    <s v="Praveen Kuruvalli"/>
    <s v="Dhruv Vyas"/>
    <n v="0"/>
  </r>
  <r>
    <n v="5262"/>
    <n v="20057383"/>
    <s v="Nikhil Kumar"/>
    <s v="AM/NS India"/>
    <s v="Onroll"/>
    <s v="M-10"/>
    <n v="10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Officer - Secondary Sales"/>
    <m/>
    <s v="Secondary Sales"/>
    <s v=""/>
    <s v=""/>
    <s v="Non Technical Support"/>
    <s v="Operations"/>
    <s v="Operations"/>
    <s v="72103001"/>
    <s v="Operations"/>
    <s v="Hazira"/>
    <d v="1995-12-06T00:00:00"/>
    <s v="27.09"/>
    <d v="2022-09-05T00:00:00"/>
    <d v="2053-12-31T00:00:00"/>
    <m/>
    <d v="2053-12-31T00:00:00"/>
    <n v="11060"/>
    <s v="B+"/>
    <s v="BCom-2021 , Intermediate-2018 , Diploma-"/>
    <s v="07.00"/>
    <s v="01.00"/>
    <s v="08.00"/>
    <s v="00049357"/>
    <s v="Secondary Sales"/>
    <s v="288088"/>
    <s v="Officer - Secondary Sales"/>
    <s v="Hazira"/>
    <s v="0031950059"/>
    <s v="HZ-Hazira Project"/>
    <s v="2000HWO"/>
    <s v="20055763"/>
    <s v="Debashis Mohapatra"/>
    <s v="No"/>
    <s v="nikhil.kumar@amns.in"/>
    <s v="7970878773"/>
    <s v="1011053"/>
    <s v="Dhruv Vyas"/>
    <s v="Anil Matoo"/>
    <s v="Praveen Kuruvalli"/>
    <s v="Dhruv Vyas"/>
    <n v="0"/>
  </r>
  <r>
    <n v="5263"/>
    <n v="20057384"/>
    <s v="Sunil Beniwal"/>
    <s v="AM/NS India"/>
    <s v="Onroll"/>
    <s v="M-6"/>
    <n v="6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RO Development Manager – Hypermart"/>
    <m/>
    <s v="Hypermart"/>
    <s v="Hypermart"/>
    <s v=""/>
    <s v="Non Technical Support"/>
    <s v="Sales &amp; Marketing"/>
    <s v="Sales"/>
    <s v="73104004"/>
    <s v="OEM Sales"/>
    <s v="Pune"/>
    <d v="1983-08-02T00:00:00"/>
    <s v="40.01"/>
    <d v="2022-09-06T00:00:00"/>
    <d v="2041-08-31T00:00:00"/>
    <m/>
    <d v="2041-08-31T00:00:00"/>
    <n v="6555"/>
    <s v="B+"/>
    <s v="MBA-2019 , PG Diploma in Management-2012"/>
    <s v="06.02"/>
    <s v="01.00"/>
    <s v="07.02"/>
    <s v="72150154"/>
    <s v="HyperMart"/>
    <s v="288093"/>
    <s v="RO Development Manager – Hypermart"/>
    <s v="Hypermart"/>
    <s v="0060100004"/>
    <s v="HMART-HR/Admin Expen"/>
    <s v="2000SRET"/>
    <s v="20006236"/>
    <s v="Sanjay Vaid"/>
    <s v="No"/>
    <s v="sunil.beniwal@amns.in"/>
    <s v="9987267072"/>
    <s v="1011062"/>
    <s v="Dhruv Vyas"/>
    <s v="Anil Matoo"/>
    <s v="Praveen Kuruvalli"/>
    <s v="Dhruv Vyas"/>
    <n v="0"/>
  </r>
  <r>
    <n v="5289"/>
    <n v="20057412"/>
    <s v="Manish Kumar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- Capex Procurement"/>
    <m/>
    <s v="Capex Procurement"/>
    <s v=""/>
    <s v=""/>
    <s v="Non Technical Support"/>
    <s v="Operations"/>
    <s v="Operations"/>
    <s v="72103001"/>
    <s v="Operations"/>
    <s v="Hazira"/>
    <d v="1986-03-05T00:00:00"/>
    <s v="37.06"/>
    <d v="2022-09-12T00:00:00"/>
    <d v="2044-03-31T00:00:00"/>
    <m/>
    <d v="2044-03-31T00:00:00"/>
    <n v="7498"/>
    <s v="B+"/>
    <s v="PG Diploma in Management-2022 , BTech-20"/>
    <s v="11.01"/>
    <s v="01.00"/>
    <s v="12.01"/>
    <s v="00049360"/>
    <s v="Capex Services"/>
    <s v="288525"/>
    <s v="Lead - Capex Procurement"/>
    <s v="Hazira"/>
    <s v="0031950059"/>
    <s v="HZ-Hazira Project"/>
    <s v="2000HWO"/>
    <s v="20055727"/>
    <s v="Javed Akhtar"/>
    <s v="No"/>
    <s v="manish.kumar3@amns.in"/>
    <s v="6358915526"/>
    <s v="1012067"/>
    <s v="Dhruv Vyas"/>
    <s v="Anil Matoo"/>
    <s v="Praveen Kuruvalli"/>
    <s v="Dhruv Vyas"/>
    <n v="0"/>
  </r>
  <r>
    <n v="5290"/>
    <n v="20057413"/>
    <s v="Vipin Toshniwal"/>
    <s v="AM/NS India"/>
    <s v="Onroll"/>
    <s v="M-6"/>
    <n v="6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Head  Expediting"/>
    <m/>
    <s v="Capex Procurement"/>
    <s v=""/>
    <s v=""/>
    <s v="Non Technical Support"/>
    <s v="Operations"/>
    <s v="Operations"/>
    <s v="72103001"/>
    <s v="Operations"/>
    <s v="Hazira"/>
    <d v="1978-02-16T00:00:00"/>
    <s v="45.07"/>
    <d v="2022-09-06T00:00:00"/>
    <d v="2036-02-29T00:00:00"/>
    <m/>
    <d v="2036-02-29T00:00:00"/>
    <n v="4545"/>
    <s v="AB+"/>
    <s v="MBA-2007 , BE-2001 , Intermediate-1996 ,"/>
    <s v="07.07"/>
    <s v="01.00"/>
    <s v="08.07"/>
    <s v="00049335"/>
    <s v="Capex Procurement - Expediting"/>
    <s v="288520"/>
    <s v="Head  Expediting"/>
    <s v="Hazira"/>
    <s v="0031950059"/>
    <s v="HZ-Hazira Project"/>
    <s v="2000HWO"/>
    <s v="20052261"/>
    <s v="Aruni Mishra"/>
    <s v="No"/>
    <s v="vipin.toshniwal@amns.in"/>
    <s v="7224058362"/>
    <s v="1012075"/>
    <s v="Dhruv Vyas"/>
    <s v="Anil Matoo"/>
    <s v="Praveen Kuruvalli"/>
    <s v="Dhruv Vyas"/>
    <n v="0"/>
  </r>
  <r>
    <n v="5302"/>
    <n v="20057425"/>
    <s v="Vikram ."/>
    <s v="AM/NS India"/>
    <s v="Onroll"/>
    <s v="M-9"/>
    <n v="9"/>
    <m/>
    <s v="J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1"/>
    <s v="Human Resources"/>
    <s v="Bahadurgarh"/>
    <d v="1989-12-20T00:00:00"/>
    <s v="33.09"/>
    <d v="2022-09-15T00:00:00"/>
    <d v="2047-12-31T00:00:00"/>
    <m/>
    <d v="2047-12-31T00:00:00"/>
    <n v="8868"/>
    <s v="A+"/>
    <s v="MBA-2011 , Intermediate-2006 , Intermedi"/>
    <s v="04.04"/>
    <s v="01.00"/>
    <s v="05.03"/>
    <s v="00044376"/>
    <s v="Service Center &amp; Hypermart HR"/>
    <s v="256952"/>
    <s v="Lead - Human Resources"/>
    <s v="Service Center"/>
    <s v="0040050019"/>
    <s v="SC-Bahadurgarh-Op1-C"/>
    <s v="2000SPRJ"/>
    <s v="20057135"/>
    <s v="RAHUL RAJ"/>
    <s v="No"/>
    <s v="vikram.singh@amns.in"/>
    <s v="9813016565"/>
    <s v="1013048"/>
    <s v="Dhruv Vyas"/>
    <s v="Anil Matoo"/>
    <s v="Praveen Kuruvalli"/>
    <s v="Dhruv Vyas"/>
    <n v="0"/>
  </r>
  <r>
    <n v="5303"/>
    <n v="20057427"/>
    <s v="Sherryl John"/>
    <s v="AM/NS India"/>
    <s v="Onroll"/>
    <s v="M-9"/>
    <n v="9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Compensation and Benefits Analyst"/>
    <m/>
    <s v="Human Resources"/>
    <s v=""/>
    <s v=""/>
    <s v="Non Technical Support"/>
    <s v="Human Resources Management"/>
    <s v="Human Resources Management"/>
    <s v="73501001"/>
    <s v="Human Resources"/>
    <s v="Mumbai"/>
    <d v="1990-01-18T00:00:00"/>
    <s v="33.08"/>
    <d v="2022-09-19T00:00:00"/>
    <d v="2048-01-31T00:00:00"/>
    <m/>
    <d v="2048-01-31T00:00:00"/>
    <n v="8899"/>
    <s v="O+"/>
    <s v="MBA-2016 , Intermediate-2006 , Intermedi"/>
    <s v="05.06"/>
    <s v="01.00"/>
    <s v="06.06"/>
    <s v="00044377"/>
    <s v="Compensation &amp; Benefits"/>
    <s v="289171"/>
    <s v="Compensation and Benefits Analyst"/>
    <s v="Corporate"/>
    <s v="0031950061"/>
    <s v="HZ-Human Resource"/>
    <s v="2000CS"/>
    <s v="20055672"/>
    <s v="Shailja Tripathi"/>
    <s v="No"/>
    <s v="sherryl.john@amns.in"/>
    <s v="9892191061"/>
    <s v="1013179"/>
    <s v="Dhruv Vyas"/>
    <s v="Anil Matoo"/>
    <s v="Praveen Kuruvalli"/>
    <s v="Dhruv Vyas"/>
    <n v="0"/>
  </r>
  <r>
    <n v="5331"/>
    <n v="20057461"/>
    <s v="Adelbert Fernandes"/>
    <s v="AM/NS India"/>
    <s v="Onroll"/>
    <s v="M-7"/>
    <n v="7"/>
    <m/>
    <s v="MM"/>
    <s v="M"/>
    <s v="Corporate"/>
    <n v="7"/>
    <s v="2015"/>
    <x v="1"/>
    <s v="22.06"/>
    <s v="Praveen Kuruvalli"/>
    <s v="Ashutosh Telang"/>
    <n v="6"/>
    <s v="HR &amp; Administration"/>
    <s v="Human Resources"/>
    <s v="22"/>
    <s v="Lead HRIS &amp; HR Project Coordination"/>
    <m/>
    <s v="Human Resources"/>
    <s v=""/>
    <s v=""/>
    <s v="Non Technical Support"/>
    <s v="Human Resources Management"/>
    <s v="Human Resources Management"/>
    <s v="73501001"/>
    <s v="Human Resources"/>
    <s v="Mumbai"/>
    <d v="1985-02-02T00:00:00"/>
    <s v="38.07"/>
    <d v="2022-09-26T00:00:00"/>
    <d v="2043-02-28T00:00:00"/>
    <m/>
    <d v="2043-02-28T00:00:00"/>
    <n v="7101"/>
    <s v="O+"/>
    <s v="MBA-2008 , Diploma-2007 , BSc-2005 , Int"/>
    <s v="04.04"/>
    <s v="00.11"/>
    <s v="05.04"/>
    <s v="70242278"/>
    <s v="People Strategy &amp; HR Center Excellence"/>
    <s v="289629"/>
    <s v="Lead HRIS &amp; HR Project Coordination"/>
    <s v="Corporate"/>
    <s v="0031950061"/>
    <s v="HZ-Human Resource"/>
    <s v="2000CS"/>
    <s v="20055483"/>
    <s v="Praveen Kuruvalli"/>
    <s v="No"/>
    <s v="adelbert.fernandes@amns.in"/>
    <s v="9833012184"/>
    <s v="1014477"/>
    <s v="Dhruv Vyas"/>
    <s v="Anil Matoo"/>
    <s v="Praveen Kuruvalli"/>
    <s v="Dhruv Vyas"/>
    <n v="0"/>
  </r>
  <r>
    <n v="5334"/>
    <n v="20057464"/>
    <s v="Bidhan Barik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Indirect Tax"/>
    <m/>
    <s v="Finance &amp; Accounts"/>
    <s v=""/>
    <s v=""/>
    <s v="Non Technical Support"/>
    <s v="Finance &amp; Accounts"/>
    <s v="Taxation"/>
    <s v="73904002"/>
    <s v="Indirect Taxation"/>
    <s v="AM/NS Hazira"/>
    <d v="1985-01-03T00:00:00"/>
    <s v="38.08"/>
    <d v="2022-09-29T00:00:00"/>
    <d v="2043-01-31T00:00:00"/>
    <m/>
    <d v="2043-01-31T00:00:00"/>
    <n v="7073"/>
    <s v="A+"/>
    <s v="CA Final-2011 , ICWA Inter-2009 , BCom-2"/>
    <s v="09.03"/>
    <s v="00.11"/>
    <s v="10.02"/>
    <s v="70282653"/>
    <s v="GST"/>
    <s v="70386152"/>
    <s v="Officer - Indirect Tax"/>
    <s v="Hazira"/>
    <s v="0090000033"/>
    <s v="Corporate Taxation"/>
    <s v="2000HWO"/>
    <s v="20055962"/>
    <s v="Navin Kewalramani"/>
    <s v="No"/>
    <s v="bidhan.barik@amns.in"/>
    <s v="8652674108"/>
    <s v="1014916"/>
    <s v="Dhruv Vyas"/>
    <s v="Anil Matoo"/>
    <s v="Praveen Kuruvalli"/>
    <s v="Dhruv Vyas"/>
    <n v="0"/>
  </r>
  <r>
    <n v="5335"/>
    <n v="20057465"/>
    <s v="Nikhitha John"/>
    <s v="AM/NS India"/>
    <s v="Onroll"/>
    <s v="M-11"/>
    <n v="11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Performance Management"/>
    <m/>
    <s v="Finance &amp; Accounts"/>
    <s v=""/>
    <s v=""/>
    <s v="Non Technical Support"/>
    <s v="Finance &amp; Accounts"/>
    <s v="Costing"/>
    <s v="73906001"/>
    <s v="Costing"/>
    <s v="AM/NS Hazira"/>
    <d v="1998-10-06T00:00:00"/>
    <s v="24.11"/>
    <d v="2022-09-22T00:00:00"/>
    <d v="2056-10-31T00:00:00"/>
    <m/>
    <d v="2056-10-31T00:00:00"/>
    <n v="12095"/>
    <s v="A+"/>
    <s v="MCom-2021 , BCom-2019 , Intermediate-201"/>
    <s v="00.06"/>
    <s v="00.11"/>
    <s v="01.06"/>
    <s v="00045632"/>
    <s v="Costing &amp; Budgeting"/>
    <s v="273302"/>
    <s v="Officer - Performance Management"/>
    <s v="Hazira"/>
    <s v="0031950043"/>
    <s v="HZ-Performance Manag"/>
    <s v="2000HWO"/>
    <s v="20056146"/>
    <s v="Asvinbhai Sutarsandhiya"/>
    <s v="No"/>
    <s v="nikhitha.john2@amns.in"/>
    <s v="7977531146"/>
    <s v="884555"/>
    <s v="Dhruv Vyas"/>
    <s v="Anil Matoo"/>
    <s v="Praveen Kuruvalli"/>
    <s v="Dhruv Vyas"/>
    <n v="0"/>
  </r>
  <r>
    <n v="5336"/>
    <n v="20057466"/>
    <s v="Ravi Baswa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Indirect Tax"/>
    <m/>
    <s v="inance &amp; Accounts"/>
    <s v=""/>
    <s v=""/>
    <s v="Non Technical Support"/>
    <s v="Finance &amp; Accounts"/>
    <s v="Costing"/>
    <s v="73906001"/>
    <s v="Costing"/>
    <s v="AM/NS Hazira"/>
    <d v="1985-10-27T00:00:00"/>
    <s v="37.10"/>
    <d v="2022-09-26T00:00:00"/>
    <d v="2043-10-31T00:00:00"/>
    <m/>
    <d v="2043-10-31T00:00:00"/>
    <n v="7346"/>
    <s v="O+"/>
    <s v="MCom-2009 , BCom-2006 , Intermediate-200"/>
    <s v="07.09"/>
    <s v="00.11"/>
    <s v="08.08"/>
    <s v="70282653"/>
    <s v="GST"/>
    <s v="273303"/>
    <s v="Officer - Indirect Tax"/>
    <s v="Hazira"/>
    <s v="0090000033"/>
    <s v="Corporate Taxation"/>
    <s v="2000HWO"/>
    <s v="20015864"/>
    <s v="Mayank Desai"/>
    <s v="No"/>
    <s v="ravi.baswa@amns.in"/>
    <s v="9913131111"/>
    <s v="1014963"/>
    <s v="Dhruv Vyas"/>
    <s v="Anil Matoo"/>
    <s v="Praveen Kuruvalli"/>
    <s v="Dhruv Vyas"/>
    <n v="0"/>
  </r>
  <r>
    <n v="5342"/>
    <n v="20057472"/>
    <s v="Nicky Rajan"/>
    <s v="AM/NS India"/>
    <s v="Onroll"/>
    <s v="M-9"/>
    <n v="9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Officer - Direct Taxation"/>
    <m/>
    <s v=""/>
    <s v=""/>
    <s v=""/>
    <s v="Non Technical Support"/>
    <s v=""/>
    <s v=""/>
    <s v="70494642"/>
    <s v="Deputy Director"/>
    <s v="Mumbai"/>
    <d v="1997-05-10T00:00:00"/>
    <s v="26.04"/>
    <d v="2022-09-27T00:00:00"/>
    <d v="2055-05-31T00:00:00"/>
    <m/>
    <d v="2055-05-31T00:00:00"/>
    <n v="11576"/>
    <s v="A+"/>
    <s v="BCom-2018 , CA Final-2022"/>
    <s v=""/>
    <s v="00.11"/>
    <s v="00.11"/>
    <s v="00052148"/>
    <s v="Direct Tax"/>
    <s v="273459"/>
    <s v="Officer - Direct Taxation"/>
    <s v="Corporate"/>
    <s v="0090000033"/>
    <s v="Corporate Taxation"/>
    <s v="2000CS"/>
    <s v="20057473"/>
    <s v="Tarun Seksaria"/>
    <s v="No"/>
    <s v="nicky.rajan@amns.in"/>
    <s v="9930669224"/>
    <s v="1015471"/>
    <s v="Dhruv Vyas"/>
    <s v="Anil Matoo"/>
    <s v="Praveen Kuruvalli"/>
    <s v="Dhruv Vyas"/>
    <n v="0"/>
  </r>
  <r>
    <n v="5343"/>
    <n v="20057473"/>
    <s v="Tarun Seksaria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- Direct Tax"/>
    <m/>
    <s v=""/>
    <s v=""/>
    <s v=""/>
    <s v="Non Technical Support"/>
    <s v="Projects"/>
    <s v="Projects Coordination"/>
    <s v="72103038"/>
    <s v="Projects Coordination"/>
    <s v="Mumbai"/>
    <d v="1991-02-06T00:00:00"/>
    <s v="32.07"/>
    <d v="2022-09-28T00:00:00"/>
    <d v="2049-02-28T00:00:00"/>
    <m/>
    <d v="2049-02-28T00:00:00"/>
    <n v="9293"/>
    <s v="B+"/>
    <s v="BCom-2011 , CA Final-2011 , Intermediate"/>
    <s v="10.05"/>
    <s v="00.11"/>
    <s v="11.04"/>
    <s v="00052148"/>
    <s v="Direct Tax"/>
    <s v="273337"/>
    <s v="Sr. Lead - Direct Tax"/>
    <s v="Corporate"/>
    <s v="0090000033"/>
    <s v="Corporate Taxation"/>
    <s v="2000CS"/>
    <s v="20055494"/>
    <s v="Vikas Soni"/>
    <s v="No"/>
    <s v="tarun.seksaria@amns.in"/>
    <s v="9987299294"/>
    <s v="1015509"/>
    <s v="Dhruv Vyas"/>
    <s v="Anil Matoo"/>
    <s v="Praveen Kuruvalli"/>
    <s v="Dhruv Vyas"/>
    <n v="0"/>
  </r>
  <r>
    <n v="5356"/>
    <n v="20057488"/>
    <s v="Dhaval Patel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Treasury"/>
    <m/>
    <s v=""/>
    <s v=""/>
    <s v=""/>
    <s v="Non Technical Support"/>
    <s v="Finance &amp; Accounts"/>
    <s v="Treasury"/>
    <s v="73903001"/>
    <s v="Treasury"/>
    <s v="Hazira"/>
    <d v="1988-06-29T00:00:00"/>
    <s v="35.02"/>
    <d v="2022-09-30T00:00:00"/>
    <d v="2046-06-30T00:00:00"/>
    <m/>
    <d v="2046-06-30T00:00:00"/>
    <n v="8319"/>
    <s v="O+"/>
    <s v="MBA-2013 , BCom-2011 , Intermediate-2007"/>
    <s v="10.08"/>
    <s v="00.11"/>
    <s v="11.07"/>
    <s v="72150420"/>
    <s v="Treasury - Hazira"/>
    <s v="70386184"/>
    <s v="Lead - Treasury"/>
    <s v="Hazira"/>
    <s v="0031950045"/>
    <s v="HZ-Works Accounts-Ha"/>
    <s v="2000HWO"/>
    <s v="20001854"/>
    <s v="Arasappan Thirumaran"/>
    <s v="No"/>
    <s v="dhaval.patel30@amns.in"/>
    <s v="9879102154"/>
    <s v="1016451"/>
    <s v="Dhruv Vyas"/>
    <s v="Anil Matoo"/>
    <s v="Praveen Kuruvalli"/>
    <s v="Dhruv Vyas"/>
    <n v="0"/>
  </r>
  <r>
    <n v="5359"/>
    <n v="20057491"/>
    <s v="Miralkumar Patel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Officer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92-08-27T00:00:00"/>
    <s v="31.00"/>
    <d v="2022-09-30T00:00:00"/>
    <d v="2050-08-31T00:00:00"/>
    <m/>
    <d v="2050-08-31T00:00:00"/>
    <n v="9842"/>
    <s v="B+"/>
    <s v="MBA-2016 , BBA-2012 , Intermediate-2009"/>
    <s v="05.08"/>
    <s v="00.11"/>
    <s v="06.07"/>
    <s v="70385322"/>
    <s v="Sales Planning &amp; Administration"/>
    <s v="273377"/>
    <s v="Officer - Order Entry"/>
    <s v="Hazira"/>
    <s v="0080000001"/>
    <s v="Head-Marketing"/>
    <s v="2000HWO"/>
    <s v="20049554"/>
    <s v="Uttam Kumar"/>
    <s v="No"/>
    <s v="miral.patel2@amns.in"/>
    <s v="7383459549"/>
    <s v="25588"/>
    <s v="Dhruv Vyas"/>
    <s v="Anil Matoo"/>
    <s v="Praveen Kuruvalli"/>
    <s v="Dhruv Vyas"/>
    <n v="0"/>
  </r>
  <r>
    <n v="5360"/>
    <n v="20057492"/>
    <s v="Ankush Mane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78-05-01T00:00:00"/>
    <s v="45.04"/>
    <d v="2022-09-30T00:00:00"/>
    <d v="2036-04-30T00:00:00"/>
    <m/>
    <d v="2036-04-30T00:00:00"/>
    <n v="4606"/>
    <s v="B+"/>
    <s v="PG Diploma in Management-2009 , BCom-200"/>
    <s v="15.01"/>
    <s v="00.11"/>
    <s v="16.00"/>
    <s v="70385322"/>
    <s v="Sales Planning &amp; Administration"/>
    <s v="273379"/>
    <s v="Lead - Order Entry"/>
    <s v="Hazira"/>
    <s v="0080000001"/>
    <s v="Head-Marketing"/>
    <s v="2000HWO"/>
    <s v="20049554"/>
    <s v="Uttam Kumar"/>
    <s v="No"/>
    <s v="ankush.mane@amns.in"/>
    <s v="9167077780"/>
    <s v="1016548"/>
    <s v="Dhruv Vyas"/>
    <s v="Anil Matoo"/>
    <s v="Praveen Kuruvalli"/>
    <s v="Dhruv Vyas"/>
    <n v="0"/>
  </r>
  <r>
    <n v="5361"/>
    <n v="20057493"/>
    <s v="Hiteshkumar Patel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Officer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78-03-19T00:00:00"/>
    <s v="45.06"/>
    <d v="2022-09-30T00:00:00"/>
    <d v="2036-03-31T00:00:00"/>
    <m/>
    <d v="2036-03-31T00:00:00"/>
    <n v="4576"/>
    <s v="O+"/>
    <s v="BCom-1999 , Intermediate-1995 , Intermed"/>
    <s v="14.07"/>
    <s v="00.11"/>
    <s v="15.06"/>
    <s v="70385322"/>
    <s v="Sales Planning &amp; Administration"/>
    <s v="273376"/>
    <s v="Officer - Order Entry"/>
    <s v="Hazira"/>
    <s v="0080000001"/>
    <s v="Head-Marketing"/>
    <s v="2000HWO"/>
    <s v="20049554"/>
    <s v="Uttam Kumar"/>
    <s v="No"/>
    <s v="hitesh.patel31@amns.in"/>
    <s v="9925241175"/>
    <s v="25659"/>
    <s v="Dhruv Vyas"/>
    <s v="Anil Matoo"/>
    <s v="Praveen Kuruvalli"/>
    <s v="Dhruv Vyas"/>
    <n v="0"/>
  </r>
  <r>
    <n v="5362"/>
    <n v="20057494"/>
    <s v="Victor Manikindi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77-10-17T00:00:00"/>
    <s v="45.11"/>
    <d v="2022-09-30T00:00:00"/>
    <d v="2035-10-31T00:00:00"/>
    <m/>
    <d v="2035-10-31T00:00:00"/>
    <n v="4424"/>
    <s v="B+"/>
    <s v="Intermediate-1999 , Intermediate-1999"/>
    <s v="13.01"/>
    <s v="00.11"/>
    <s v="14.00"/>
    <s v="70385322"/>
    <s v="Sales Planning &amp; Administration"/>
    <s v="273380"/>
    <s v="Lead - Order Entry"/>
    <s v="Hazira"/>
    <s v="0080000001"/>
    <s v="Head-Marketing"/>
    <s v="2000HWO"/>
    <s v="20049554"/>
    <s v="Uttam Kumar"/>
    <s v="No"/>
    <s v="victor.manikindi@amns.in"/>
    <s v="9920092630"/>
    <s v="25376"/>
    <s v="Dhruv Vyas"/>
    <s v="Anil Matoo"/>
    <s v="Praveen Kuruvalli"/>
    <s v="Dhruv Vyas"/>
    <n v="0"/>
  </r>
  <r>
    <n v="5366"/>
    <n v="20057498"/>
    <s v="Hiteshbhai Patel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84-03-18T00:00:00"/>
    <s v="39.06"/>
    <d v="2022-09-30T00:00:00"/>
    <d v="2042-03-31T00:00:00"/>
    <m/>
    <d v="2042-03-31T00:00:00"/>
    <n v="6767"/>
    <s v="AB+"/>
    <s v="BCom-2004 , Intermediate-2001 , Intermed"/>
    <s v="12.01"/>
    <s v="00.11"/>
    <s v="13.00"/>
    <s v="70385322"/>
    <s v="Sales Planning &amp; Administration"/>
    <s v="273381"/>
    <s v="Lead - Order Entry"/>
    <s v="Hazira"/>
    <s v="0022010041"/>
    <s v="DBN-Benf-Purchases"/>
    <s v="2000HWO"/>
    <s v="20049554"/>
    <s v="Uttam Kumar"/>
    <s v="No"/>
    <s v="hitesh.patel15@amns.in"/>
    <s v="9879507129"/>
    <s v="25660"/>
    <s v="Dhruv Vyas"/>
    <s v="Anil Matoo"/>
    <s v="Praveen Kuruvalli"/>
    <s v="Dhruv Vyas"/>
    <n v="0"/>
  </r>
  <r>
    <n v="5367"/>
    <n v="20057499"/>
    <s v="Kushal Gandhi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Officer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90-10-09T00:00:00"/>
    <s v="32.11"/>
    <d v="2022-09-30T00:00:00"/>
    <d v="2048-10-31T00:00:00"/>
    <m/>
    <d v="2048-10-31T00:00:00"/>
    <n v="9173"/>
    <s v="A+"/>
    <s v="BE-2014 , Intermediate-2006 , Intermedia"/>
    <s v="05.03"/>
    <s v="00.11"/>
    <s v="06.02"/>
    <s v="70385322"/>
    <s v="Sales Planning &amp; Administration"/>
    <s v="273378"/>
    <s v="Officer - Order Entry"/>
    <s v="Hazira"/>
    <s v="0080000001"/>
    <s v="Head-Marketing"/>
    <s v="2000HWO"/>
    <s v="20049554"/>
    <s v="Uttam Kumar"/>
    <s v="No"/>
    <s v="kushal.gandhi@amns.in"/>
    <s v="7096286636"/>
    <s v="25616"/>
    <s v="Dhruv Vyas"/>
    <s v="Anil Matoo"/>
    <s v="Praveen Kuruvalli"/>
    <s v="Dhruv Vyas"/>
    <n v="0"/>
  </r>
  <r>
    <n v="5371"/>
    <n v="20057503"/>
    <s v="Prithviraj Singh"/>
    <s v="AM/NS India"/>
    <s v="Onroll"/>
    <s v="M-9"/>
    <n v="9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Officer - Procurement, Paradeep"/>
    <m/>
    <s v="Procurement"/>
    <s v=""/>
    <s v=""/>
    <s v="Non Technical Support"/>
    <s v="Commercial"/>
    <s v="Purchase"/>
    <s v="73804001"/>
    <s v="Purchase"/>
    <s v="Paradeep"/>
    <d v="1988-06-21T00:00:00"/>
    <s v="35.03"/>
    <d v="2022-10-10T00:00:00"/>
    <d v="2046-06-30T00:00:00"/>
    <m/>
    <d v="2046-06-30T00:00:00"/>
    <n v="8319"/>
    <s v="AB+"/>
    <s v="Intermediate-2005 , Intermediate-2004"/>
    <s v="16.03"/>
    <s v="00.11"/>
    <s v="17.02"/>
    <s v="70407583"/>
    <s v="Procurement - Odisha Asset"/>
    <s v="291468"/>
    <s v="Officer - Procurement, Paradeep"/>
    <s v="Odisha"/>
    <s v="0022030019"/>
    <s v="PDP-HR &amp; Admn"/>
    <s v="2000STORIS"/>
    <s v="20055692"/>
    <s v="Rajiv Ranjan"/>
    <s v="No"/>
    <s v="prithviraj.singh@amns.in"/>
    <s v="7077770050"/>
    <s v="1017147"/>
    <s v="Sunila Das"/>
    <s v="Anil Matoo"/>
    <s v="Praveen Kuruvalli"/>
    <s v="Sunila Das"/>
    <n v="0"/>
  </r>
  <r>
    <n v="5373"/>
    <n v="20057505"/>
    <s v="Tejas Vor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Indirect Tax"/>
    <m/>
    <s v=""/>
    <s v=""/>
    <s v=""/>
    <s v="Non Technical Support"/>
    <s v="Finance &amp; Accounts"/>
    <s v="Taxation"/>
    <s v="73904002"/>
    <s v="Indirect Taxation"/>
    <s v="AM/NS Hazira"/>
    <d v="1992-07-15T00:00:00"/>
    <s v="31.02"/>
    <d v="2022-10-13T00:00:00"/>
    <d v="2050-07-31T00:00:00"/>
    <m/>
    <d v="2050-07-31T00:00:00"/>
    <n v="9811"/>
    <s v="O+"/>
    <s v="CA Final-2017 , LLB-2014 , BCom-2011"/>
    <s v="05.02"/>
    <s v="00.11"/>
    <s v="06.01"/>
    <s v="70282653"/>
    <s v="GST"/>
    <s v="70372307"/>
    <s v="Lead - Indirect Tax"/>
    <s v="Hazira"/>
    <s v="0090000033"/>
    <s v="Corporate Taxation"/>
    <s v="2000HWO"/>
    <s v="20056327"/>
    <s v="Aishwarya Singhi"/>
    <s v="No"/>
    <s v="tejas.vora@amns.in"/>
    <s v="8140295402"/>
    <s v="1017358"/>
    <s v="Dhruv Vyas"/>
    <s v="Anil Matoo"/>
    <s v="Praveen Kuruvalli"/>
    <s v="Dhruv Vyas"/>
    <n v="0"/>
  </r>
  <r>
    <n v="5385"/>
    <n v="20057518"/>
    <s v="Eashank Yash Gautam"/>
    <s v="AM/NS India"/>
    <s v="Onroll"/>
    <s v="M-9"/>
    <n v="9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Officer - Stores"/>
    <m/>
    <s v="Procurement"/>
    <s v=""/>
    <s v=""/>
    <s v="Non Technical Support"/>
    <s v="Commercial"/>
    <s v="Stores &amp; Warehouse"/>
    <s v="73806001"/>
    <s v="Stores &amp; Warehouse"/>
    <s v="Kirandul"/>
    <d v="1994-03-15T00:00:00"/>
    <s v="29.06"/>
    <d v="2022-10-17T00:00:00"/>
    <d v="2052-03-31T00:00:00"/>
    <m/>
    <d v="2052-03-31T00:00:00"/>
    <n v="10420"/>
    <s v="B+"/>
    <s v="BE-2012 , Intermediate-2010"/>
    <s v="01.11"/>
    <s v="00.11"/>
    <s v="02.09"/>
    <s v="70301353"/>
    <s v="Procurement - Vizag &amp; Chitrakonda"/>
    <s v="291709"/>
    <s v="Officer - Stores"/>
    <s v="Vizag"/>
    <s v="0028030019"/>
    <s v="VIZ-Personnel &amp; Admi"/>
    <s v="2000VIZOPS"/>
    <s v="20000200"/>
    <s v="A Venkateswara Rao"/>
    <s v="No"/>
    <s v="eashank.gautam@amns.in"/>
    <s v="7725070639"/>
    <s v="1017630"/>
    <s v="DS Varma"/>
    <s v="Anil Matoo"/>
    <s v="Praveen Kuruvalli"/>
    <s v="Dhruv Vyas"/>
    <n v="0"/>
  </r>
  <r>
    <n v="5389"/>
    <n v="20057523"/>
    <s v="Tapas Kumar Panda"/>
    <s v="AM/NS India"/>
    <s v="Onroll"/>
    <s v="M-9"/>
    <n v="9"/>
    <m/>
    <s v="JM"/>
    <s v="M"/>
    <s v="Mining"/>
    <n v="8"/>
    <s v="2094"/>
    <x v="21"/>
    <s v="27.10"/>
    <s v="Vikas Chandra Yadvendu"/>
    <s v="Ashutosh Telang"/>
    <n v="6"/>
    <s v="HR &amp; Administration"/>
    <s v="Corporate SocialResponsibility"/>
    <s v="27"/>
    <s v="Officer - CSR Mines"/>
    <m/>
    <s v="Corporate Social Responsibility"/>
    <s v=""/>
    <s v=""/>
    <s v="Non Technical Support"/>
    <s v="Corporate Social Responsibility"/>
    <s v="Corporate Social Responsibility"/>
    <s v="75001001"/>
    <s v="Corporate Social Responsi"/>
    <s v="Barbil"/>
    <d v="1986-06-06T00:00:00"/>
    <s v="37.03"/>
    <d v="2022-10-01T00:00:00"/>
    <d v="2044-06-30T00:00:00"/>
    <m/>
    <d v="2044-06-30T00:00:00"/>
    <n v="7589"/>
    <s v="B+"/>
    <s v="Master's Equivalent-2011 , BA-2007 , Int"/>
    <s v="08.03"/>
    <s v="00.11"/>
    <s v="09.02"/>
    <s v="70495661"/>
    <s v="Corporate Social Responsibility"/>
    <s v="292117"/>
    <s v="Officer - CSR Mines"/>
    <s v="Odisha"/>
    <s v="0011000018"/>
    <s v="Sagasahi Mine HR"/>
    <s v="2000STORIS"/>
    <s v="20055033"/>
    <s v="Vikas Chandra Yadvendu"/>
    <s v="No"/>
    <s v="tapas.panda@amns.in"/>
    <s v="9238561546"/>
    <s v="1017978"/>
    <s v="Pramod Sinha"/>
    <s v="Anil Matoo"/>
    <s v="Praveen Kuruvalli"/>
    <s v="Dhruv Vyas"/>
    <n v="0"/>
  </r>
  <r>
    <n v="5391"/>
    <n v="20057525"/>
    <s v="Preeti Rawat"/>
    <s v="AM/NS India"/>
    <s v="Onroll"/>
    <s v="M-8"/>
    <n v="8"/>
    <m/>
    <s v="JM"/>
    <s v="F"/>
    <s v="Odisha"/>
    <n v="2"/>
    <s v="2094"/>
    <x v="21"/>
    <s v="27.10"/>
    <s v="Vikas Chandra Yadvendu"/>
    <s v="Ashutosh Telang"/>
    <n v="6"/>
    <s v="HR &amp; Administration"/>
    <s v="Corporate SocialResponsibility"/>
    <s v="27"/>
    <s v="Lead - CSR"/>
    <m/>
    <s v="Projects"/>
    <s v=""/>
    <s v=""/>
    <s v="Non Technical Support"/>
    <s v="Corporate Social Responsibility"/>
    <s v="Corporate Social Responsibility"/>
    <s v="75001001"/>
    <s v="Corporate Social Responsi"/>
    <s v="Bhubaneswar"/>
    <d v="1988-09-23T00:00:00"/>
    <s v="34.11"/>
    <d v="2022-10-15T00:00:00"/>
    <d v="2046-09-30T00:00:00"/>
    <m/>
    <d v="2046-09-30T00:00:00"/>
    <n v="8411"/>
    <s v="A+"/>
    <s v="Post Diploma Course-2013 , MSW-2012 , In"/>
    <s v="10.01"/>
    <s v="00.11"/>
    <s v="10.11"/>
    <s v="70495661"/>
    <s v="Corporate Social Responsibility"/>
    <s v="292163"/>
    <s v="Lead - CSR"/>
    <s v="Odisha"/>
    <s v="0022030019"/>
    <s v="PDP-HR &amp; Admn"/>
    <s v="2000STORIS"/>
    <s v="20055033"/>
    <s v="Vikas Chandra Yadvendu"/>
    <s v="No"/>
    <s v="preeti.rawat@amns.in"/>
    <s v="8146628232"/>
    <s v="1018293"/>
    <s v="Sunila Das"/>
    <s v="Anil Matoo"/>
    <s v="Praveen Kuruvalli"/>
    <s v="Sunila Das"/>
    <n v="0"/>
  </r>
  <r>
    <n v="5425"/>
    <n v="20057599"/>
    <s v="Om Prakash Giri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Commercial"/>
    <s v="Contracts &amp; Tenders and E-bid"/>
    <s v="73805001"/>
    <s v="Contracts &amp; Tenders and E"/>
    <s v="Hazira"/>
    <d v="1997-06-10T00:00:00"/>
    <s v="26.03"/>
    <d v="2022-11-14T00:00:00"/>
    <d v="2055-06-30T00:00:00"/>
    <m/>
    <d v="2055-06-30T00:00:00"/>
    <n v="11606"/>
    <s v="B+"/>
    <s v="Diploma-2018"/>
    <s v=""/>
    <s v="00.10"/>
    <s v="00.10"/>
    <s v="00053276"/>
    <s v="Issue/Shifting - Plant B"/>
    <s v="292312"/>
    <s v="Engineer"/>
    <s v="Hazira"/>
    <s v="0031950049"/>
    <s v="HZ-Central Stores"/>
    <s v="2012HAZI"/>
    <s v="20016604"/>
    <s v="Punit Verma"/>
    <s v="No"/>
    <s v="omprakash.giri2@amns.in"/>
    <s v="9879101240"/>
    <s v="26224"/>
    <s v="Dhruv Vyas"/>
    <s v="Anil Matoo"/>
    <s v="Praveen Kuruvalli"/>
    <s v="Dhruv Vyas"/>
    <n v="0"/>
  </r>
  <r>
    <n v="5427"/>
    <n v="20057601"/>
    <s v="Sistu Visweswara Rao"/>
    <s v="AM/NS India"/>
    <s v="Onroll"/>
    <s v="M-7"/>
    <n v="7"/>
    <m/>
    <s v="MM"/>
    <s v="M"/>
    <s v="Vizag"/>
    <n v="3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Human Resources"/>
    <s v=""/>
    <s v="Non Technical Support"/>
    <s v="Human Resources Management"/>
    <s v="Human Resources Management"/>
    <s v="73501002"/>
    <s v="Human Resources Operation"/>
    <s v="Vizag"/>
    <d v="1976-03-08T00:00:00"/>
    <s v="47.06"/>
    <d v="2022-10-26T00:00:00"/>
    <d v="2034-03-31T00:00:00"/>
    <m/>
    <d v="2034-03-31T00:00:00"/>
    <n v="3845"/>
    <s v="O+"/>
    <s v="MBA-2009 , BSc-1999"/>
    <s v="12.04"/>
    <s v="00.10"/>
    <s v="13.02"/>
    <s v="72150111"/>
    <s v="Vizag HR Operations &amp; Administration"/>
    <s v="72150367"/>
    <s v="Lead - Human Resources"/>
    <s v="Vizag"/>
    <s v="0028030019"/>
    <s v="VIZ-Personnel &amp; Admi"/>
    <s v="2000VIZOPS"/>
    <s v="20000519"/>
    <s v="Dandu Srinivas Varma"/>
    <s v="No"/>
    <s v="s.visweswararao@amns.in"/>
    <s v="9618325208"/>
    <s v="1018398"/>
    <s v="DS Varma"/>
    <s v="Anil Matoo"/>
    <s v="Praveen Kuruvalli"/>
    <s v="Dhruv Vyas"/>
    <n v="0"/>
  </r>
  <r>
    <n v="5429"/>
    <n v="20057603"/>
    <s v="Sanal Nair"/>
    <s v="AM/NS India"/>
    <s v="Onroll"/>
    <s v="M-9"/>
    <n v="9"/>
    <m/>
    <s v="JM"/>
    <s v="M"/>
    <s v="Hazira"/>
    <n v="1"/>
    <s v="2084"/>
    <x v="17"/>
    <s v="23.09"/>
    <s v="Anil Matoo"/>
    <s v="Ashutosh Telang"/>
    <n v="6"/>
    <s v="HR &amp; Administration"/>
    <s v="Industrial Relations"/>
    <s v="23"/>
    <s v="Lead - Industrial Relations"/>
    <m/>
    <s v="Human Resources"/>
    <s v="Industrial Relations"/>
    <s v=""/>
    <s v="Non Technical Support"/>
    <s v="Human Resources Management"/>
    <s v="Human Resources Management"/>
    <s v="73501002"/>
    <s v="Human Resources Operation"/>
    <s v="Hazira"/>
    <d v="1993-05-08T00:00:00"/>
    <s v="30.04"/>
    <d v="2022-10-27T00:00:00"/>
    <d v="2051-05-31T00:00:00"/>
    <m/>
    <d v="2051-05-31T00:00:00"/>
    <n v="10115"/>
    <s v="AB+"/>
    <s v="MSW-2017 , Diploma-2015 , BCom-2015 , In"/>
    <s v="04.09"/>
    <s v="00.10"/>
    <s v="05.07"/>
    <s v="70309501"/>
    <s v="IR &amp; legal Compliance"/>
    <s v="292411"/>
    <s v="Lead - Industrial Relations"/>
    <s v="Hazira"/>
    <s v="0090000018"/>
    <s v="CORP Group - HR"/>
    <s v="2000HWO"/>
    <s v="20056503"/>
    <s v="Bhavin Pandya"/>
    <s v="No"/>
    <s v="sanal.nair@amns.in"/>
    <s v="6351891819"/>
    <s v="1018595"/>
    <s v="Dhruv Vyas"/>
    <s v="Anil Matoo"/>
    <s v="Praveen Kuruvalli"/>
    <s v="Dhruv Vyas"/>
    <n v="0"/>
  </r>
  <r>
    <n v="5432"/>
    <n v="20057606"/>
    <s v="Vashu Singh Kachhavah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Delhi"/>
    <d v="1989-09-28T00:00:00"/>
    <s v="33.11"/>
    <d v="2022-10-20T00:00:00"/>
    <d v="2047-09-30T00:00:00"/>
    <m/>
    <d v="2047-09-30T00:00:00"/>
    <n v="8776"/>
    <s v="O+"/>
    <s v="MTech-2015 , BE-2012 , Intermediate-2007"/>
    <s v="07.02"/>
    <s v="00.11"/>
    <s v="08.01"/>
    <s v="00052460"/>
    <s v="Auto &amp; YG"/>
    <s v="292414"/>
    <s v="Resident Engineer"/>
    <s v="Corporate"/>
    <s v="0031950057"/>
    <s v="HZ-HRC - Marketing"/>
    <s v="2000CS"/>
    <s v="20056155"/>
    <s v="Kondapalli Venkateswarlu"/>
    <s v="No"/>
    <s v="vashu.singh@amns.in"/>
    <s v="8861449712"/>
    <s v="1018748"/>
    <s v="Dhruv Vyas"/>
    <s v="Anil Matoo"/>
    <s v="Praveen Kuruvalli"/>
    <s v="Dhruv Vyas"/>
    <n v="0"/>
  </r>
  <r>
    <n v="5446"/>
    <n v="20057621"/>
    <s v="Nachiket Sonalkar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KAM - Auto Sales"/>
    <m/>
    <s v="Auto"/>
    <s v="Auto"/>
    <s v=""/>
    <s v="Non Technical Support"/>
    <s v="Sales &amp; Marketing"/>
    <s v="Sales"/>
    <s v="73104004"/>
    <s v="OEM Sales"/>
    <s v="Mumbai"/>
    <d v="1992-05-05T00:00:00"/>
    <s v="31.04"/>
    <d v="2022-11-01T00:00:00"/>
    <d v="2050-05-31T00:00:00"/>
    <m/>
    <d v="2050-05-31T00:00:00"/>
    <n v="9750"/>
    <s v="A+"/>
    <s v="BE-2015 , Intermediate-2009 , High Schoo"/>
    <s v="05.07"/>
    <s v="00.10"/>
    <s v="06.05"/>
    <s v="70343195"/>
    <s v="Automotive Sales &amp; Service Centers"/>
    <s v="256054"/>
    <s v="KAM – Automotive Sales"/>
    <s v="Corporate"/>
    <s v="0031950057"/>
    <s v="HZ-HRC - Marketing"/>
    <s v="2000CS"/>
    <s v="20016767"/>
    <s v="Raghavan Venkatachalam"/>
    <s v="No"/>
    <s v="nachiket.sonalkar@amns.in"/>
    <s v="9819133573"/>
    <s v="1019481"/>
    <s v="Dhruv Vyas"/>
    <s v="Anil Matoo"/>
    <s v="Praveen Kuruvalli"/>
    <s v="Dhruv Vyas"/>
    <n v="0"/>
  </r>
  <r>
    <n v="5449"/>
    <n v="20057624"/>
    <s v="Sanika Gokhale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, Mumbai"/>
    <m/>
    <s v="Legal"/>
    <s v=""/>
    <s v=""/>
    <s v="Non Technical Support"/>
    <s v="Legal"/>
    <s v="Legal"/>
    <s v="73201001"/>
    <s v="Legal"/>
    <s v="Mumbai"/>
    <d v="1992-06-02T00:00:00"/>
    <s v="31.03"/>
    <d v="2022-11-01T00:00:00"/>
    <d v="2050-06-30T00:00:00"/>
    <m/>
    <d v="2050-06-30T00:00:00"/>
    <n v="9780"/>
    <s v="B+"/>
    <s v="LLB-2016 , Intermediate-2009 , Intermedi"/>
    <s v="05.01"/>
    <s v="00.10"/>
    <s v="05.11"/>
    <s v="00048996"/>
    <s v="Legal"/>
    <s v="292892"/>
    <s v="Legal Counsel"/>
    <s v="Corporate"/>
    <s v="0090000019"/>
    <s v="Corporate Steel - Le"/>
    <s v="2000CS"/>
    <s v="20055160"/>
    <s v="Mrida Lakhmani"/>
    <s v="No"/>
    <s v="sanika.gokhale@amns.in"/>
    <s v="9088940288"/>
    <s v="1019659"/>
    <s v="Dhruv Vyas"/>
    <s v="Anil Matoo"/>
    <s v="Praveen Kuruvalli"/>
    <s v="Dhruv Vyas"/>
    <n v="0"/>
  </r>
  <r>
    <n v="5459"/>
    <n v="20057635"/>
    <s v="Akshay Bhosale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OEM - Other West"/>
    <m/>
    <s v="Other West"/>
    <s v="Auto"/>
    <s v=""/>
    <s v="Non Technical Support"/>
    <s v="R&amp; D and QA/QC"/>
    <s v="R&amp;D"/>
    <s v="72103029"/>
    <s v="R&amp;D"/>
    <s v="Pune"/>
    <d v="1986-07-29T00:00:00"/>
    <s v="37.01"/>
    <d v="2022-11-07T00:00:00"/>
    <d v="2044-07-31T00:00:00"/>
    <m/>
    <d v="2044-07-31T00:00:00"/>
    <n v="7620"/>
    <s v="O+"/>
    <s v="MBA-2012 , BE-2008 , Intermediate-2004 ,"/>
    <s v="06.11"/>
    <s v="00.10"/>
    <s v="07.09"/>
    <s v="70495309"/>
    <s v="Sales West Zone"/>
    <s v="256057"/>
    <s v="KAM - Automotive Sales"/>
    <s v="Hazira"/>
    <s v="0031950057"/>
    <s v="HZ-HRC - Marketing"/>
    <s v="2000HWO"/>
    <s v="20047683"/>
    <s v="Virat Vij"/>
    <s v="No"/>
    <s v="akshay.bhosale@amns.in"/>
    <s v="9423238086"/>
    <s v="1019969"/>
    <s v="Dhruv Vyas"/>
    <s v="Anil Matoo"/>
    <s v="Praveen Kuruvalli"/>
    <s v="Dhruv Vyas"/>
    <n v="0"/>
  </r>
  <r>
    <n v="5461"/>
    <n v="20057637"/>
    <s v="Ashutosh Telang"/>
    <s v="AM/NS India"/>
    <s v="PDA"/>
    <s v="PDA"/>
    <n v="2"/>
    <m/>
    <s v="TM"/>
    <s v="M"/>
    <s v="Corporate"/>
    <n v="7"/>
    <s v="2015"/>
    <x v="1"/>
    <s v="22.06"/>
    <s v="Ashutosh Telang"/>
    <s v="Ashutosh Telang"/>
    <n v="6"/>
    <s v="HR &amp; Administration"/>
    <s v="Human Resources"/>
    <s v="22"/>
    <s v="Director &amp; VP - HR &amp; Admin"/>
    <m/>
    <s v=""/>
    <s v=""/>
    <s v=""/>
    <s v="Non Technical Support"/>
    <s v=""/>
    <s v=""/>
    <s v="70494638"/>
    <s v="Director and Vice President"/>
    <s v="Mumbai"/>
    <d v="1972-03-21T00:00:00"/>
    <s v="51.06"/>
    <d v="2022-11-10T00:00:00"/>
    <d v="2030-03-31T00:00:00"/>
    <m/>
    <d v="2030-03-31T00:00:00"/>
    <n v="2384"/>
    <s v="O-"/>
    <s v=""/>
    <s v=""/>
    <s v="00.10"/>
    <s v="00.10"/>
    <s v="00049042"/>
    <s v="HR &amp; Administration"/>
    <s v="293092"/>
    <s v="Director &amp; VP - HR &amp; Admin"/>
    <s v="Non-payroll-relevant"/>
    <s v="0090000018"/>
    <s v="CORP Group - HR"/>
    <s v="2003MUMB"/>
    <s v="20055068"/>
    <s v="Dilip Oommen"/>
    <s v="No"/>
    <s v="ashutosh.telang@amns.in"/>
    <s v="9820506713"/>
    <s v="1020214"/>
    <s v="Dhruv Vyas"/>
    <s v="Anil Matoo"/>
    <s v="Praveen Kuruvalli"/>
    <s v="Dhruv Vyas"/>
    <n v="0"/>
  </r>
  <r>
    <n v="5468"/>
    <n v="20057644"/>
    <s v="Kashyap Dave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Stores &amp; Warehouse"/>
    <s v=""/>
    <s v=""/>
    <s v="Non Technical Support"/>
    <s v="Commercial"/>
    <s v="Stores &amp; Warehouse"/>
    <s v="73806001"/>
    <s v="Stores &amp; Warehouse"/>
    <s v="Hazira"/>
    <d v="1999-10-01T00:00:00"/>
    <s v="23.11"/>
    <d v="2022-10-10T00:00:00"/>
    <d v="2057-09-30T00:00:00"/>
    <m/>
    <d v="2057-09-30T00:00:00"/>
    <n v="12429"/>
    <s v="B+"/>
    <s v="Diploma-2018 , Intermediate-2015"/>
    <s v="04.00"/>
    <s v="00.11"/>
    <s v="04.11"/>
    <s v="00048783"/>
    <s v="HBI, BF, Plant B &amp; Plate Mill"/>
    <s v="293127"/>
    <s v="Engineer"/>
    <s v="Hazira"/>
    <s v="0031950049"/>
    <s v="HZ-Central Stores"/>
    <s v="2000HWO"/>
    <s v="20005165"/>
    <s v="Parthiv Desai"/>
    <s v="No"/>
    <s v="kashyap.dave4@amns.in"/>
    <s v="6359610210"/>
    <s v="26212"/>
    <s v="Dhruv Vyas"/>
    <s v="Anil Matoo"/>
    <s v="Praveen Kuruvalli"/>
    <s v="Dhruv Vyas"/>
    <n v="0"/>
  </r>
  <r>
    <n v="5478"/>
    <n v="20057656"/>
    <s v="Ramesh Kumar Tiwari"/>
    <s v="AM/NS India"/>
    <s v="Onroll"/>
    <s v="M-9"/>
    <n v="9"/>
    <m/>
    <s v="J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Lead – HR, Indore"/>
    <m/>
    <s v="Human Resources"/>
    <s v=""/>
    <s v=""/>
    <s v="Non Technical Support"/>
    <s v="Human Resources Management"/>
    <s v="Human Resources Management"/>
    <s v="73501001"/>
    <s v="Human Resources"/>
    <s v="Indore"/>
    <d v="1985-08-08T00:00:00"/>
    <s v="38.01"/>
    <d v="2022-11-11T00:00:00"/>
    <d v="2043-08-31T00:00:00"/>
    <m/>
    <d v="2043-08-31T00:00:00"/>
    <n v="7285"/>
    <s v="A+"/>
    <s v="MBA-2010 , BA-2005 , Intermediate-2002 ,"/>
    <s v="09.02"/>
    <s v="00.10"/>
    <s v="10.00"/>
    <s v="00044376"/>
    <s v="Service Center &amp; Hypermart HR"/>
    <s v="293587"/>
    <s v="Lead – HR, Indore"/>
    <s v="Service Center"/>
    <s v="0040060019"/>
    <s v="SC-Indore-Op1-HR-Adm"/>
    <s v="2000SPRJ"/>
    <s v="20057135"/>
    <s v="RAHUL RAJ"/>
    <s v="No"/>
    <s v="ramesh.tiwari@amns.in"/>
    <s v="9575266444"/>
    <s v="1021217"/>
    <s v="Dhruv Vyas"/>
    <s v="Anil Matoo"/>
    <s v="Praveen Kuruvalli"/>
    <s v="Dhruv Vyas"/>
    <n v="0"/>
  </r>
  <r>
    <n v="5531"/>
    <n v="20057782"/>
    <s v="Raja Sahu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"/>
    <s v=""/>
    <s v=""/>
    <s v=""/>
    <s v="Hazira"/>
    <d v="1998-04-20T00:00:00"/>
    <s v="25.05"/>
    <d v="2022-11-14T00:00:00"/>
    <d v="2056-04-30T00:00:00"/>
    <m/>
    <d v="2056-04-30T00:00:00"/>
    <n v="11911"/>
    <s v="B+"/>
    <s v="BTech-2021 , Diploma-2018"/>
    <s v="04.00"/>
    <s v="00.10"/>
    <s v="04.10"/>
    <s v="00053278"/>
    <s v="GRN/Documentation/Issue - Plant A"/>
    <s v="293847"/>
    <s v="Engineer"/>
    <s v="Hazira"/>
    <s v="0031950049"/>
    <s v="HZ-Central Stores"/>
    <s v="2012HAZI"/>
    <s v="20002587"/>
    <s v="Seema Mehta"/>
    <s v="No"/>
    <s v="raja.sahu5@amns.in"/>
    <s v="9909902345"/>
    <s v="26226"/>
    <s v="Dhruv Vyas"/>
    <s v="Anil Matoo"/>
    <s v="Praveen Kuruvalli"/>
    <s v="Dhruv Vyas"/>
    <n v="0"/>
  </r>
  <r>
    <n v="5570"/>
    <n v="20057824"/>
    <s v="Agniva Ray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Accounts Payable"/>
    <m/>
    <s v="Finance &amp; Accounts"/>
    <s v=""/>
    <s v=""/>
    <s v="Non Technical Support"/>
    <s v="Finance &amp; Accounts"/>
    <s v="Corporate Finance"/>
    <s v="73902004"/>
    <s v="Banking Relations"/>
    <s v="Hazira"/>
    <d v="1990-01-18T00:00:00"/>
    <s v="33.08"/>
    <d v="2022-11-25T00:00:00"/>
    <d v="2048-01-31T00:00:00"/>
    <m/>
    <d v="2048-01-31T00:00:00"/>
    <n v="8899"/>
    <s v="A+"/>
    <s v="ICWA Final-2018 , BCom-2008 , Intermedia"/>
    <s v="04.00"/>
    <s v="00.09"/>
    <s v="04.09"/>
    <s v="72150243"/>
    <s v="Accounts Payable"/>
    <s v="294296"/>
    <s v="Officer - Accounts Payable"/>
    <s v="Hazira"/>
    <s v="0031950045"/>
    <s v="HZ-Works Accounts-Ha"/>
    <s v="2000HWO"/>
    <s v="20001076"/>
    <s v="Bhavesh Modi"/>
    <s v="No"/>
    <s v="agniva.ray@amns.in"/>
    <s v="9679035551"/>
    <s v="1024138"/>
    <s v="Dhruv Vyas"/>
    <s v="Anil Matoo"/>
    <s v="Praveen Kuruvalli"/>
    <s v="Dhruv Vyas"/>
    <n v="0"/>
  </r>
  <r>
    <n v="5573"/>
    <n v="20057827"/>
    <s v="Vivek Kumar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– Capex Services"/>
    <m/>
    <s v="Capex Procurement"/>
    <s v=""/>
    <s v=""/>
    <s v="Non Technical Support"/>
    <s v="Operations"/>
    <s v="Operations"/>
    <s v="72103001"/>
    <s v="Operations"/>
    <s v="Hazira"/>
    <d v="1996-12-25T00:00:00"/>
    <s v="26.08"/>
    <d v="2022-11-30T00:00:00"/>
    <d v="2054-12-31T00:00:00"/>
    <m/>
    <d v="2054-12-31T00:00:00"/>
    <n v="11425"/>
    <s v="O+"/>
    <s v="BTech-2018 , Intermediate-2012 , Interme"/>
    <s v="04.05"/>
    <s v="00.09"/>
    <s v="05.02"/>
    <s v="00049342"/>
    <s v="Capex Procurement"/>
    <s v="294609"/>
    <s v="Officer – Capex Services"/>
    <s v="Hazira"/>
    <s v="0031950059"/>
    <s v="HZ-Hazira Project"/>
    <s v="2000HWO"/>
    <s v="20055712"/>
    <s v="Ravi Goyal"/>
    <s v="No"/>
    <s v="vivek.kumar17@amns.in"/>
    <s v="6358926939"/>
    <s v="1024659"/>
    <s v="Dhruv Vyas"/>
    <s v="Anil Matoo"/>
    <s v="Praveen Kuruvalli"/>
    <s v="Dhruv Vyas"/>
    <n v="0"/>
  </r>
  <r>
    <n v="5574"/>
    <n v="20057828"/>
    <s v="Shailesh Rajori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Payable"/>
    <m/>
    <s v="Finance &amp; Accounts"/>
    <s v=""/>
    <s v=""/>
    <s v="Non Technical Support"/>
    <s v="Finance &amp; Accounts"/>
    <s v="Corporate Finance"/>
    <s v="73902004"/>
    <s v="Banking Relations"/>
    <s v="Hazira"/>
    <d v="1977-06-13T00:00:00"/>
    <s v="46.03"/>
    <d v="2022-12-01T00:00:00"/>
    <d v="2035-06-30T00:00:00"/>
    <m/>
    <d v="2035-06-30T00:00:00"/>
    <n v="4301"/>
    <s v="B+"/>
    <s v="CA Final-2006 , BCom-1999 , Intermediate"/>
    <s v="06.04"/>
    <s v="00.09"/>
    <s v="07.01"/>
    <s v="72150243"/>
    <s v="Accounts Payable"/>
    <s v="294611"/>
    <s v="Sr. Lead - Accounts Payable"/>
    <s v="Hazira"/>
    <s v="0031950045"/>
    <s v="HZ-Works Accounts-Ha"/>
    <s v="2000HWO"/>
    <s v="20001076"/>
    <s v="Bhavesh Modi"/>
    <s v="No"/>
    <s v="shailesh.rajoria@amns.in"/>
    <s v="6358926940"/>
    <s v="1024676"/>
    <s v="Dhruv Vyas"/>
    <s v="Anil Matoo"/>
    <s v="Praveen Kuruvalli"/>
    <s v="Dhruv Vyas"/>
    <n v="0"/>
  </r>
  <r>
    <n v="5582"/>
    <n v="20057836"/>
    <s v="George Skaria"/>
    <s v="AM/NS India"/>
    <s v="Onroll"/>
    <s v="M-8"/>
    <n v="8"/>
    <m/>
    <s v="JM"/>
    <s v="M"/>
    <s v="Pune Facility"/>
    <n v="7"/>
    <s v="2069"/>
    <x v="8"/>
    <s v="25.01"/>
    <s v="Bibek Chattopadhyay"/>
    <s v="Ashutosh Telang"/>
    <n v="6"/>
    <s v="HR &amp; Administration"/>
    <s v="Corporate Communications"/>
    <s v="25"/>
    <s v="Lead - Corporate Communication"/>
    <m/>
    <s v="Corporate Communicatiton"/>
    <s v=""/>
    <s v=""/>
    <s v="Non Technical Support"/>
    <s v="Corporate Communication"/>
    <s v="Corporate Communication"/>
    <s v="74001001"/>
    <s v="Corporate Communication"/>
    <s v="Pune"/>
    <d v="1980-06-06T00:00:00"/>
    <s v="43.03"/>
    <d v="2022-12-01T00:00:00"/>
    <d v="2038-06-30T00:00:00"/>
    <m/>
    <d v="2038-06-30T00:00:00"/>
    <n v="5397"/>
    <s v="B+"/>
    <s v="PG Diploma in Management-2004 , BCom-200"/>
    <s v="05.07"/>
    <s v="00.09"/>
    <s v="06.04"/>
    <s v="70318583"/>
    <s v="Communications &amp; Media Relations"/>
    <s v="295108"/>
    <s v="Lead – Corporate Communications"/>
    <s v="Service Center"/>
    <s v="0090000016"/>
    <s v="Corporate Steel - Co"/>
    <s v="2000CS"/>
    <s v="20055187"/>
    <s v="Bibek Chattopadhyay"/>
    <s v="No"/>
    <s v="george.skaria@amns.in"/>
    <s v="9881233076"/>
    <s v="1025408"/>
    <s v="Dhruv Vyas"/>
    <s v="Anil Matoo"/>
    <s v="Praveen Kuruvalli"/>
    <s v="Dhruv Vyas"/>
    <n v="0"/>
  </r>
  <r>
    <n v="5589"/>
    <n v="20057843"/>
    <s v="Ritesh Kumar Singh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3"/>
    <s v="Retail Sales"/>
    <s v="Gurgaon"/>
    <d v="1984-10-09T00:00:00"/>
    <s v="38.11"/>
    <d v="2022-12-12T00:00:00"/>
    <d v="2042-10-31T00:00:00"/>
    <m/>
    <d v="2042-10-31T00:00:00"/>
    <n v="6981"/>
    <s v="B+"/>
    <s v="MBA-2010 , BBA-2006 , Intermediate-2002"/>
    <s v="07.09"/>
    <s v="00.09"/>
    <s v="08.05"/>
    <s v="72150181"/>
    <s v="Sales North Zone"/>
    <s v="70319464"/>
    <s v="Sales Manager"/>
    <s v="Hazira"/>
    <s v="0031950057"/>
    <s v="HZ-HRC - Marketing"/>
    <s v="2000HWO"/>
    <s v="20002920"/>
    <s v="Sudhir Sharma"/>
    <s v="No"/>
    <s v="ritesh.singh5@amns.in"/>
    <s v="9654234238"/>
    <s v="1025980"/>
    <s v="Dhruv Vyas"/>
    <s v="Anil Matoo"/>
    <s v="Praveen Kuruvalli"/>
    <s v="Dhruv Vyas"/>
    <n v="0"/>
  </r>
  <r>
    <n v="5601"/>
    <n v="20057855"/>
    <s v="M Ganesh Charan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 2021"/>
    <m/>
    <s v="South"/>
    <s v="OEM"/>
    <s v=""/>
    <s v="Non Technical Support"/>
    <s v="Sales &amp; Marketing"/>
    <s v="Sales"/>
    <s v="73104004"/>
    <s v="OEM Sales"/>
    <s v="Chennai"/>
    <d v="1992-09-01T00:00:00"/>
    <s v="31.00"/>
    <d v="2022-12-14T00:00:00"/>
    <d v="2050-08-31T00:00:00"/>
    <m/>
    <d v="2050-08-31T00:00:00"/>
    <n v="9842"/>
    <s v="O+"/>
    <s v="MBA-2017 , BE-2013 , Intermediate-2009"/>
    <s v="05.10"/>
    <s v="00.09"/>
    <s v="06.07"/>
    <s v="00052474"/>
    <s v="KAM Automotive Sales - South"/>
    <s v="256051"/>
    <s v="KAM - OEM Sales"/>
    <s v="Hazira"/>
    <s v="0031950057"/>
    <s v="HZ-HRC - Marketing"/>
    <s v="2000HWO"/>
    <s v="20018700"/>
    <s v="Srinivasan Kamalakannan"/>
    <s v="No"/>
    <s v="ganesh.charan@amns.in"/>
    <s v="9626456337"/>
    <s v="1026538"/>
    <s v="Dhruv Vyas"/>
    <s v="Anil Matoo"/>
    <s v="Praveen Kuruvalli"/>
    <s v="Dhruv Vyas"/>
    <n v="0"/>
  </r>
  <r>
    <n v="5620"/>
    <n v="20057875"/>
    <s v="Sanat Kumar Vijay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Plate Sales"/>
    <m/>
    <s v="Plate"/>
    <s v="Plate"/>
    <s v=""/>
    <s v="Non Technical Support"/>
    <s v="Sales &amp; Marketing"/>
    <s v="Sales"/>
    <s v="73104004"/>
    <s v="OEM Sales"/>
    <s v="Mumbai"/>
    <d v="1987-08-22T00:00:00"/>
    <s v="36.00"/>
    <d v="2022-12-22T00:00:00"/>
    <d v="2045-08-31T00:00:00"/>
    <m/>
    <d v="2045-08-31T00:00:00"/>
    <n v="8016"/>
    <s v="B+"/>
    <s v="BE-2010 , Intermediate-2006 , High Schoo"/>
    <s v="11.05"/>
    <s v="00.08"/>
    <s v="12.01"/>
    <s v="70410953"/>
    <s v="Plate Sales - Gujarat"/>
    <s v="70336303"/>
    <s v="Sales Manager - Plate Sales"/>
    <s v="Hazira"/>
    <s v="0080000001"/>
    <s v="Head-Marketing"/>
    <s v="2000HWO"/>
    <s v="20003623"/>
    <s v="Soumyadeep Datta"/>
    <s v="No"/>
    <s v="sanat.vijay@amns.in"/>
    <s v="9770470005"/>
    <s v="1027165"/>
    <s v="Dhruv Vyas"/>
    <s v="Anil Matoo"/>
    <s v="Praveen Kuruvalli"/>
    <s v="Dhruv Vyas"/>
    <n v="0"/>
  </r>
  <r>
    <n v="5628"/>
    <n v="20057885"/>
    <s v="Rupali Waghmare"/>
    <s v="AM/NS India"/>
    <s v="Onroll"/>
    <s v="M-9"/>
    <n v="9"/>
    <m/>
    <s v="JM"/>
    <s v="F"/>
    <s v="Corporate"/>
    <n v="7"/>
    <s v="2060"/>
    <x v="24"/>
    <s v="39.01"/>
    <s v="Sanjay Sharma"/>
    <s v="Sanjay Sharma"/>
    <n v="8"/>
    <s v="Business Development"/>
    <s v="Business Development"/>
    <s v="39"/>
    <s v="Lead Business Development – M&amp;A"/>
    <m/>
    <s v="Business Development"/>
    <s v=""/>
    <s v=""/>
    <s v="Non Technical Support"/>
    <s v="Sales &amp; Marketing"/>
    <s v="Business Development"/>
    <s v="73103001"/>
    <s v="Business Development"/>
    <s v="Mumbai"/>
    <d v="1998-04-21T00:00:00"/>
    <s v="25.05"/>
    <d v="2022-12-26T00:00:00"/>
    <d v="2056-04-30T00:00:00"/>
    <m/>
    <d v="2056-04-30T00:00:00"/>
    <n v="11911"/>
    <s v="O+"/>
    <s v="CA Final-2020"/>
    <s v="01.07"/>
    <s v="00.08"/>
    <s v="02.03"/>
    <s v="00049729"/>
    <s v="Business Development - M&amp;A"/>
    <s v="296496"/>
    <s v="Lead Business Development – M&amp;A"/>
    <s v="Corporate"/>
    <s v="0090000032"/>
    <s v="Business Devpelopmen"/>
    <s v="2000CS"/>
    <s v="20055182"/>
    <s v="Neha Soni"/>
    <s v="No"/>
    <s v="rupali.waghmare@amns.in"/>
    <s v="8421262673"/>
    <s v="1027431"/>
    <s v="Dhruv Vyas"/>
    <s v="Anil Matoo"/>
    <s v="Praveen Kuruvalli"/>
    <s v="Dhruv Vyas"/>
    <n v="0"/>
  </r>
  <r>
    <n v="5629"/>
    <n v="20057886"/>
    <s v="Shakir Bandwala"/>
    <s v="AM/NS India"/>
    <s v="Onroll"/>
    <s v="M-5"/>
    <n v="5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Administration"/>
    <m/>
    <s v="Administration"/>
    <s v=""/>
    <s v=""/>
    <s v="Non Technical Support"/>
    <s v="Administration"/>
    <s v="Administration"/>
    <s v="74101001"/>
    <s v="Administration"/>
    <s v="Hazira"/>
    <d v="1966-08-18T00:00:00"/>
    <s v="57.01"/>
    <d v="2017-09-12T00:00:00"/>
    <d v="2024-08-31T00:00:00"/>
    <m/>
    <d v="2024-08-31T00:00:00"/>
    <n v="346"/>
    <s v="B+"/>
    <s v="Diploma-1986 , Intermediate-1983 , Inter"/>
    <s v="12.00"/>
    <s v="06.00"/>
    <s v="18.00"/>
    <s v="00049719"/>
    <s v="Administration Hazira"/>
    <s v="296420"/>
    <s v="Head-Administration,Hazira"/>
    <s v="Hazira"/>
    <s v="0031950030"/>
    <s v="HZ-Admin"/>
    <s v="2000HWO"/>
    <s v="20000083"/>
    <s v="Anil Matoo"/>
    <s v="No"/>
    <s v="shakir.bandwala@amns.in"/>
    <s v="9879100355"/>
    <s v="26747"/>
    <s v="Manjit Shah"/>
    <s v="Anil Matoo"/>
    <s v="Praveen Kuruvalli"/>
    <s v="Lakshman Iyer"/>
    <n v="0"/>
  </r>
  <r>
    <n v="5630"/>
    <n v="20057887"/>
    <s v="Kiran Vaidya"/>
    <s v="AM/NS India"/>
    <s v="Onroll"/>
    <s v="M-6"/>
    <n v="6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– Admin, Khopoli"/>
    <m/>
    <s v="Administration"/>
    <s v="Administration"/>
    <s v="Hazira"/>
    <s v="Non Technical Support"/>
    <s v="Administration"/>
    <s v="Administration"/>
    <s v="74101001"/>
    <s v="Administration"/>
    <s v="Khopoli"/>
    <d v="1975-03-07T00:00:00"/>
    <s v="48.06"/>
    <d v="2020-08-10T00:00:00"/>
    <d v="2033-03-31T00:00:00"/>
    <m/>
    <d v="2033-03-31T00:00:00"/>
    <n v="3480"/>
    <s v="A+"/>
    <s v="PG Diploma in Management-2007 , BBA-2002"/>
    <s v="12.06"/>
    <s v="03.01"/>
    <s v="15.07"/>
    <s v="73800068"/>
    <s v="Pune HR Operations &amp; Administration"/>
    <s v="296421"/>
    <s v="Head – Admin, Khopoli"/>
    <s v="Hazira"/>
    <s v="0031950030"/>
    <s v="HZ-Admin"/>
    <s v="2000HWO"/>
    <s v="20037245"/>
    <s v="Mukund Jagirdar"/>
    <s v="No"/>
    <s v="kiran.vaidya@amns.in"/>
    <s v="9921180482"/>
    <s v="802093"/>
    <s v="Manjit Shah"/>
    <s v="Anil Matoo"/>
    <s v="Praveen Kuruvalli"/>
    <s v="Lakshman Iyer"/>
    <n v="0"/>
  </r>
  <r>
    <n v="5631"/>
    <n v="20057888"/>
    <s v="Narinder Lamba"/>
    <s v="AM/NS India"/>
    <s v="Onroll"/>
    <s v="M-6"/>
    <n v="6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– Admin, Regional &amp; Corporate"/>
    <m/>
    <s v="Administration"/>
    <s v="Administration"/>
    <s v="Hazira"/>
    <s v="Non Technical Support"/>
    <s v="Administration"/>
    <s v="Administration"/>
    <s v="74101001"/>
    <s v="Administration"/>
    <s v="Hazira"/>
    <d v="1984-07-09T00:00:00"/>
    <s v="39.02"/>
    <d v="2019-11-25T00:00:00"/>
    <d v="2042-07-31T00:00:00"/>
    <m/>
    <d v="2042-07-31T00:00:00"/>
    <n v="6889"/>
    <s v="O+"/>
    <s v="BHMS-2007"/>
    <s v="05.01"/>
    <s v="03.09"/>
    <s v="08.11"/>
    <s v="00049721"/>
    <s v="Regional &amp; Corporate offices"/>
    <s v="296423"/>
    <s v="Sec. Head – Admin, Regional &amp; Corporate"/>
    <s v="Hazira"/>
    <s v="0031950030"/>
    <s v="HZ-Admin"/>
    <s v="2000HWO"/>
    <s v="20057886"/>
    <s v="Shakir Bandwala"/>
    <s v="No"/>
    <s v="narinder.lamba@amns.in"/>
    <s v="9909901133"/>
    <s v="793071"/>
    <s v="Manjit Shah"/>
    <s v="Anil Matoo"/>
    <s v="Praveen Kuruvalli"/>
    <s v="Lakshman Iyer"/>
    <n v="0"/>
  </r>
  <r>
    <n v="5632"/>
    <n v="20057891"/>
    <s v="Bhavik Mehta"/>
    <s v="AM/NS India"/>
    <s v="Onroll"/>
    <s v="M-7"/>
    <n v="7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Senior Lead - Administration"/>
    <m/>
    <s v="Administration"/>
    <s v="Administration"/>
    <s v="Hazira"/>
    <s v="Non Technical Support"/>
    <s v="Administration"/>
    <s v="Administration"/>
    <s v="74101001"/>
    <s v="Administration"/>
    <s v="Hazira"/>
    <d v="1986-10-09T00:00:00"/>
    <s v="36.11"/>
    <d v="2022-10-21T00:00:00"/>
    <d v="2044-10-31T00:00:00"/>
    <m/>
    <d v="2044-10-31T00:00:00"/>
    <n v="7712"/>
    <s v="B+"/>
    <s v="MBA-2016 , PG Diploma-2012 , BBA-2008 ,"/>
    <s v="09.09"/>
    <s v="00.10"/>
    <s v="10.08"/>
    <s v="00049721"/>
    <s v="Regional &amp; Corporate offices"/>
    <s v="296426"/>
    <s v="Senior Lead - Administration"/>
    <s v="Hazira"/>
    <s v="0031950030"/>
    <s v="HZ-Admin"/>
    <s v="2000HWO"/>
    <s v="20057888"/>
    <s v="Narinder Lamba"/>
    <s v="No"/>
    <s v="bhavik.mehta@amns.in"/>
    <s v="6358983766"/>
    <s v="1021717"/>
    <s v="Manjit Shah"/>
    <s v="Anil Matoo"/>
    <s v="Praveen Kuruvalli"/>
    <s v="Lakshman Iyer"/>
    <n v="0"/>
  </r>
  <r>
    <n v="5633"/>
    <n v="20057892"/>
    <s v="Taj Baby"/>
    <s v="AM/NS India"/>
    <s v="Onroll"/>
    <s v="M-7"/>
    <n v="7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Sr. Lead – Admin"/>
    <m/>
    <s v="Administration"/>
    <s v="Administration"/>
    <s v="Hazira"/>
    <s v="Non Technical Support"/>
    <s v="Administration"/>
    <s v="Administration"/>
    <s v="74101001"/>
    <s v="Administration"/>
    <s v="Hazira"/>
    <d v="1985-02-07T00:00:00"/>
    <s v="38.07"/>
    <d v="2022-07-12T00:00:00"/>
    <d v="2043-02-28T00:00:00"/>
    <m/>
    <d v="2043-02-28T00:00:00"/>
    <n v="7101"/>
    <s v="O+"/>
    <s v="BSc-2006 , Intermediate-2002 , Intermedi"/>
    <s v="03.01"/>
    <s v="01.02"/>
    <s v="04.03"/>
    <s v="00049777"/>
    <s v="Plant Administration"/>
    <s v="296424"/>
    <s v="Sr. Lead – Admin"/>
    <s v="Hazira"/>
    <s v="0031950030"/>
    <s v="HZ-Admin"/>
    <s v="2000HWO"/>
    <s v="20057886"/>
    <s v="Shakir Bandwala"/>
    <s v="No"/>
    <s v="taj.baby@amns.in"/>
    <s v="6358869319"/>
    <s v="1009163"/>
    <s v="Manjit Shah"/>
    <s v="Anil Matoo"/>
    <s v="Praveen Kuruvalli"/>
    <s v="Lakshman Iyer"/>
    <n v="0"/>
  </r>
  <r>
    <n v="5636"/>
    <n v="20057895"/>
    <s v="Bhagubhai Patel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ommercials"/>
    <m/>
    <s v="Administration"/>
    <s v="Administration"/>
    <s v="Hazira"/>
    <s v="Non Technical Support"/>
    <s v="Administration"/>
    <s v="Administration"/>
    <s v="74101001"/>
    <s v="Administration"/>
    <s v="Hazira"/>
    <d v="1965-06-01T00:00:00"/>
    <s v="58.03"/>
    <d v="2016-02-01T00:00:00"/>
    <d v="2023-05-31T00:00:00"/>
    <d v="2023-11-30T00:00:00"/>
    <d v="2023-11-30T00:00:00"/>
    <n v="71"/>
    <s v="B+"/>
    <s v="BCom-1988 , Intermediate-1981"/>
    <s v="26.09"/>
    <s v="07.07"/>
    <s v="34.04"/>
    <s v="00049721"/>
    <s v="Regional &amp; Corporate offices"/>
    <s v="296427"/>
    <s v="Lead - Commercials"/>
    <s v="Hazira"/>
    <s v="0031950030"/>
    <s v="HZ-Admin"/>
    <s v="2000HWO"/>
    <s v="20057888"/>
    <s v="Narinder Lamba"/>
    <s v="No"/>
    <s v="bhagubhai.patel@amns.in"/>
    <s v="9879102388"/>
    <s v="26754"/>
    <s v="Manjit Shah"/>
    <s v="Anil Matoo"/>
    <s v="Praveen Kuruvalli"/>
    <s v="Lakshman Iyer"/>
    <n v="0"/>
  </r>
  <r>
    <n v="5637"/>
    <n v="20057896"/>
    <s v="Chandravadan Patel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Transportation"/>
    <m/>
    <s v="Administration"/>
    <s v="Administration"/>
    <s v="Hazira"/>
    <s v="Non Technical Support"/>
    <s v="Administration"/>
    <s v="Administration"/>
    <s v="74101001"/>
    <s v="Administration"/>
    <s v="Hazira"/>
    <d v="1982-02-25T00:00:00"/>
    <s v="41.06"/>
    <d v="2016-02-01T00:00:00"/>
    <d v="2040-02-29T00:00:00"/>
    <m/>
    <d v="2040-02-29T00:00:00"/>
    <n v="6006"/>
    <s v="B+"/>
    <s v="MBA-2002 , Intermediate-1997 , Intermedi"/>
    <s v=""/>
    <s v="07.07"/>
    <s v="07.07"/>
    <s v="00049757"/>
    <s v="Facility Management"/>
    <s v="296428"/>
    <s v="Lead – Transportation"/>
    <s v="Hazira"/>
    <s v="0031950030"/>
    <s v="HZ-Admin"/>
    <s v="2000HWO"/>
    <s v="20059018"/>
    <s v="Sandeep Ray"/>
    <s v="No"/>
    <s v="chandravadan.patel@amns.in"/>
    <s v="9879101949"/>
    <s v="26755"/>
    <s v="Manjit Shah"/>
    <s v="Anil Matoo"/>
    <s v="Praveen Kuruvalli"/>
    <s v="Lakshman Iyer"/>
    <n v="0"/>
  </r>
  <r>
    <n v="5638"/>
    <n v="20057897"/>
    <s v="Mahipal Singh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Plant Admin"/>
    <m/>
    <s v="Administration"/>
    <s v="Administration"/>
    <s v="Hazira"/>
    <s v="Non Technical Support"/>
    <s v="Administration"/>
    <s v="Administration"/>
    <s v="74101001"/>
    <s v="Administration"/>
    <s v="Hazira"/>
    <d v="1969-07-01T00:00:00"/>
    <s v="54.02"/>
    <d v="2016-02-01T00:00:00"/>
    <d v="2027-06-30T00:00:00"/>
    <m/>
    <d v="2027-06-30T00:00:00"/>
    <n v="1379"/>
    <s v="B+"/>
    <s v="MSc-1992 , BSc-1990 , Intermediate-1987"/>
    <s v="06.11"/>
    <s v="07.07"/>
    <s v="14.06"/>
    <s v="00049777"/>
    <s v="Plant Administration"/>
    <s v="296429"/>
    <s v="Lead – Plant Admin"/>
    <s v="Hazira"/>
    <s v="0031950030"/>
    <s v="HZ-Admin"/>
    <s v="2000HWO"/>
    <s v="20057892"/>
    <s v="Taj Baby"/>
    <s v="No"/>
    <s v="mahipal.singh@amns.in"/>
    <s v="9879100736"/>
    <s v="26756"/>
    <s v="Manjit Shah"/>
    <s v="Anil Matoo"/>
    <s v="Praveen Kuruvalli"/>
    <s v="Lakshman Iyer"/>
    <n v="0"/>
  </r>
  <r>
    <n v="5639"/>
    <n v="20057898"/>
    <s v="Prakash Jha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Township"/>
    <m/>
    <s v="Administration"/>
    <s v="Administration"/>
    <s v="Hazira"/>
    <s v="Non Technical Support"/>
    <s v="Administration"/>
    <s v="Administration"/>
    <s v="74101001"/>
    <s v="Administration"/>
    <s v="Hazira"/>
    <d v="1969-10-09T00:00:00"/>
    <s v="53.11"/>
    <d v="2016-02-01T00:00:00"/>
    <d v="2027-10-31T00:00:00"/>
    <m/>
    <d v="2027-10-31T00:00:00"/>
    <n v="1502"/>
    <s v="O+"/>
    <s v="BA-1989"/>
    <s v="07.00"/>
    <s v="07.07"/>
    <s v="14.07"/>
    <s v="00049757"/>
    <s v="Facility Management"/>
    <s v="296430"/>
    <s v="Lead – Township"/>
    <s v="Hazira"/>
    <s v="0031950030"/>
    <s v="HZ-Admin"/>
    <s v="2000HWO"/>
    <s v="20059018"/>
    <s v="Sandeep Ray"/>
    <s v="No"/>
    <s v="prakash.jha@amns.in"/>
    <s v="9879102444"/>
    <s v="26751"/>
    <s v="Manjit Shah"/>
    <s v="Anil Matoo"/>
    <s v="Praveen Kuruvalli"/>
    <s v="Lakshman Iyer"/>
    <n v="0"/>
  </r>
  <r>
    <n v="5640"/>
    <n v="20057899"/>
    <s v="Dharmendrasinh Rathod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Plant Admin"/>
    <m/>
    <s v="Administration"/>
    <s v="Administration"/>
    <s v="Hazira"/>
    <s v="Non Technical Support"/>
    <s v="Administration"/>
    <s v="Administration"/>
    <s v="74101001"/>
    <s v="Administration"/>
    <s v="Hazira"/>
    <d v="1981-05-22T00:00:00"/>
    <s v="42.03"/>
    <d v="2016-02-01T00:00:00"/>
    <d v="2039-05-31T00:00:00"/>
    <m/>
    <d v="2039-05-31T00:00:00"/>
    <n v="5732"/>
    <s v="B+"/>
    <s v="MCom-2006 , BCom-2004 , Intermediate-200"/>
    <s v="15.06"/>
    <s v="07.07"/>
    <s v="23.01"/>
    <s v="00049777"/>
    <s v="Plant Administration"/>
    <s v="296431"/>
    <s v="Lead – Plant Admin"/>
    <s v="Hazira"/>
    <s v="0031950030"/>
    <s v="HZ-Admin"/>
    <s v="2000HWO"/>
    <s v="20057892"/>
    <s v="Taj Baby"/>
    <s v="No"/>
    <s v="dharmendrasinh.rathod@amns.in"/>
    <s v="9879103363"/>
    <s v="26759"/>
    <s v="Manjit Shah"/>
    <s v="Anil Matoo"/>
    <s v="Praveen Kuruvalli"/>
    <s v="Lakshman Iyer"/>
    <n v="0"/>
  </r>
  <r>
    <n v="5641"/>
    <n v="20057900"/>
    <s v="Ananda Reddy Mallireddygari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Plant Admin"/>
    <m/>
    <s v="Administration"/>
    <s v="Administration"/>
    <s v="Hazira"/>
    <s v="Non Technical Support"/>
    <s v="Administration"/>
    <s v="Administration"/>
    <s v="74101001"/>
    <s v="Administration"/>
    <s v="Hazira"/>
    <d v="1987-05-09T00:00:00"/>
    <s v="36.04"/>
    <d v="2021-11-18T00:00:00"/>
    <d v="2045-05-31T00:00:00"/>
    <m/>
    <d v="2045-05-31T00:00:00"/>
    <n v="7924"/>
    <s v="O+"/>
    <s v="BA-2006 , Intermediate-2004 , Intermedia"/>
    <s v="02.05"/>
    <s v="01.10"/>
    <s v="04.03"/>
    <s v="00049777"/>
    <s v="Plant Administration"/>
    <s v="296432"/>
    <s v="Lead – Plant Admin"/>
    <s v="Hazira"/>
    <s v="0031950030"/>
    <s v="HZ-Admin"/>
    <s v="2000HWO"/>
    <s v="20057892"/>
    <s v="Taj Baby"/>
    <s v="No"/>
    <s v="ananda.reddy@amns.in"/>
    <s v="7990166042"/>
    <s v="868382"/>
    <s v="Manjit Shah"/>
    <s v="Anil Matoo"/>
    <s v="Praveen Kuruvalli"/>
    <s v="Lakshman Iyer"/>
    <n v="0"/>
  </r>
  <r>
    <n v="5642"/>
    <n v="20057901"/>
    <s v="Amit Pandit"/>
    <s v="AM/NS India"/>
    <s v="Onroll"/>
    <s v="M-9"/>
    <n v="9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Hospitality"/>
    <m/>
    <s v="Administration"/>
    <s v="Administration"/>
    <s v="Hazira"/>
    <s v="Non Technical Support"/>
    <s v="Administration"/>
    <s v="Administration"/>
    <s v="74101001"/>
    <s v="Administration"/>
    <s v="Hazira"/>
    <d v="1991-03-15T00:00:00"/>
    <s v="32.06"/>
    <d v="2021-11-19T00:00:00"/>
    <d v="2049-03-31T00:00:00"/>
    <m/>
    <d v="2049-03-31T00:00:00"/>
    <n v="9324"/>
    <s v="O+"/>
    <s v="BSc-2015 , Intermediate-2009"/>
    <s v="03.07"/>
    <s v="01.09"/>
    <s v="05.04"/>
    <s v="00049757"/>
    <s v="Facility Management"/>
    <s v="296433"/>
    <s v="Lead – Hospitality"/>
    <s v="Hazira"/>
    <s v="0031950030"/>
    <s v="HZ-Admin"/>
    <s v="2000HWO"/>
    <s v="20059018"/>
    <s v="Sandeep Ray"/>
    <s v="No"/>
    <s v="amit.pandit@amns.in"/>
    <s v="8800981974"/>
    <s v="868383"/>
    <s v="Manjit Shah"/>
    <s v="Anil Matoo"/>
    <s v="Praveen Kuruvalli"/>
    <s v="Lakshman Iyer"/>
    <n v="0"/>
  </r>
  <r>
    <n v="5643"/>
    <n v="20057902"/>
    <s v="Umeshkumar Sharma"/>
    <s v="AM/NS India"/>
    <s v="Onroll"/>
    <s v="M-9"/>
    <n v="9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Horticulture"/>
    <m/>
    <s v="Administration"/>
    <s v="Administration"/>
    <s v="Hazira"/>
    <s v="Non Technical Support"/>
    <s v="Administration"/>
    <s v="Administration"/>
    <s v="74101001"/>
    <s v="Administration"/>
    <s v="Hazira"/>
    <d v="1986-11-18T00:00:00"/>
    <s v="36.10"/>
    <d v="2022-07-25T00:00:00"/>
    <d v="2044-11-30T00:00:00"/>
    <m/>
    <d v="2044-11-30T00:00:00"/>
    <n v="7742"/>
    <s v="O+"/>
    <s v="PG Diploma in Management-2011 , BSc-2008"/>
    <s v="10.07"/>
    <s v="01.01"/>
    <s v="11.09"/>
    <s v="00049757"/>
    <s v="Facility Management"/>
    <s v="296434"/>
    <s v="Lead - Horticulture"/>
    <s v="Hazira"/>
    <s v="0031950030"/>
    <s v="HZ-Admin"/>
    <s v="2000HWO"/>
    <s v="20059018"/>
    <s v="Sandeep Ray"/>
    <s v="No"/>
    <s v="umeshkumar.sharma@amns.in"/>
    <s v="9265998762"/>
    <s v="1009164"/>
    <s v="Manjit Shah"/>
    <s v="Anil Matoo"/>
    <s v="Praveen Kuruvalli"/>
    <s v="Lakshman Iyer"/>
    <n v="0"/>
  </r>
  <r>
    <n v="5644"/>
    <n v="20057903"/>
    <s v="Biswajit Saha"/>
    <s v="AM/NS India"/>
    <s v="Onroll"/>
    <s v="M-10"/>
    <n v="10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ommunications"/>
    <m/>
    <s v="Administration"/>
    <s v="Administration"/>
    <s v="Hazira"/>
    <s v="Non Technical Support"/>
    <s v="Administration"/>
    <s v="Administration"/>
    <s v="74101001"/>
    <s v="Administration"/>
    <s v="Hazira"/>
    <d v="1996-11-17T00:00:00"/>
    <s v="26.10"/>
    <d v="2022-04-16T00:00:00"/>
    <d v="2054-11-30T00:00:00"/>
    <m/>
    <d v="2054-11-30T00:00:00"/>
    <n v="11394"/>
    <s v="A+"/>
    <s v="BSc-2018 , Intermediate-2015 , Intermedi"/>
    <s v="00.11"/>
    <s v="01.05"/>
    <s v="02.04"/>
    <s v="00049757"/>
    <s v="Facility Management"/>
    <s v="296435"/>
    <s v="Lead - Communications"/>
    <s v="Hazira"/>
    <s v="0031950030"/>
    <s v="HZ-Admin"/>
    <s v="2000HWO"/>
    <s v="20059018"/>
    <s v="Sandeep Ray"/>
    <s v="No"/>
    <s v="biswajit.saha@amns.in"/>
    <s v="9903484279"/>
    <s v="891591"/>
    <s v="Manjit Shah"/>
    <s v="Anil Matoo"/>
    <s v="Praveen Kuruvalli"/>
    <s v="Lakshman Iyer"/>
    <n v="0"/>
  </r>
  <r>
    <n v="5658"/>
    <n v="20057920"/>
    <s v="Ghanshyam Gajera"/>
    <s v="AM/NS India"/>
    <s v="Onroll"/>
    <s v="M-8"/>
    <n v="8"/>
    <m/>
    <s v="JM"/>
    <s v="M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Finance &amp; Accounts"/>
    <s v="Insurance &amp; Risk Management"/>
    <s v="73905001"/>
    <s v="Insurance &amp; Risk Managmen"/>
    <s v="Hazira"/>
    <d v="1991-11-25T00:00:00"/>
    <s v="31.09"/>
    <d v="2023-01-02T00:00:00"/>
    <d v="2049-11-30T00:00:00"/>
    <m/>
    <d v="2049-11-30T00:00:00"/>
    <n v="9568"/>
    <s v="B+"/>
    <s v="BCom-2012 , Intermediate-2007"/>
    <s v="04.03"/>
    <s v="00.08"/>
    <s v="05.00"/>
    <s v="00044330"/>
    <s v="Internal Audit - Hazira"/>
    <s v="70432761"/>
    <s v="Lead - Internal Audit"/>
    <s v="Hazira"/>
    <s v="0090000035"/>
    <s v="Internal Audit"/>
    <s v="2000HWO"/>
    <s v="20028777"/>
    <s v="Narendra Dugar"/>
    <s v="No"/>
    <s v="ghanshyam.gajera@amns.in"/>
    <s v="8866214535"/>
    <s v="1027737"/>
    <s v="Dhruv Vyas"/>
    <s v="Anil Matoo"/>
    <s v="Praveen Kuruvalli"/>
    <s v="Dhruv Vyas"/>
    <n v="0"/>
  </r>
  <r>
    <n v="5659"/>
    <n v="20057921"/>
    <s v="Suresh Kumar Murugan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, Chennai"/>
    <m/>
    <s v="South"/>
    <s v="Auto"/>
    <s v=""/>
    <s v="Non Technical Support"/>
    <s v="Sales &amp; Marketing"/>
    <s v="Sales"/>
    <s v="73104004"/>
    <s v="OEM Sales"/>
    <s v="Chennai"/>
    <d v="1995-04-03T00:00:00"/>
    <s v="28.05"/>
    <d v="2023-01-02T00:00:00"/>
    <d v="2053-04-30T00:00:00"/>
    <m/>
    <d v="2053-04-30T00:00:00"/>
    <n v="10815"/>
    <s v="O+"/>
    <s v="BE-2017 , Diploma-2013 , Intermediate-20"/>
    <s v="03.06"/>
    <s v="00.08"/>
    <s v="04.02"/>
    <s v="00052470"/>
    <s v="Automotive Sales - Chennai"/>
    <s v="70495037"/>
    <s v="KAM – Automotive Sales"/>
    <s v="Hazira"/>
    <s v="0031950057"/>
    <s v="HZ-HRC - Marketing"/>
    <s v="2000HWO"/>
    <s v="20053562"/>
    <s v="Shankar Murugan"/>
    <s v="No"/>
    <s v="suresh.kumar35@amns.in"/>
    <s v="8807105635"/>
    <s v="1027742"/>
    <s v="Dhruv Vyas"/>
    <s v="Anil Matoo"/>
    <s v="Praveen Kuruvalli"/>
    <s v="Dhruv Vyas"/>
    <n v="0"/>
  </r>
  <r>
    <n v="5660"/>
    <n v="20057922"/>
    <s v="Venkatraman Balasubramanian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, Chennai"/>
    <m/>
    <s v="South"/>
    <s v="Hypermart"/>
    <s v="Material Planning &amp; Repairs"/>
    <s v="Non Technical Support"/>
    <s v="Sales &amp; Marketing"/>
    <s v="Sales"/>
    <s v="73104004"/>
    <s v="OEM Sales"/>
    <s v="Chennai"/>
    <d v="1993-02-26T00:00:00"/>
    <s v="30.06"/>
    <d v="2023-01-02T00:00:00"/>
    <d v="2051-02-28T00:00:00"/>
    <m/>
    <d v="2051-02-28T00:00:00"/>
    <n v="10023"/>
    <s v="O+"/>
    <s v="BE-2015 , Diploma-2012"/>
    <s v="04.08"/>
    <s v="00.08"/>
    <s v="05.04"/>
    <s v="00048814"/>
    <s v="Sales South Zone – Hypermart"/>
    <s v="70372403"/>
    <s v="Sales Manager - Hypermart"/>
    <s v="Hazira"/>
    <s v="0031950057"/>
    <s v="HZ-HRC - Marketing"/>
    <s v="2000HWO"/>
    <s v="20056279"/>
    <s v="Arun G"/>
    <s v="No"/>
    <s v="venkatraman.b@amns.in"/>
    <s v="9600595027"/>
    <s v="1027812"/>
    <s v="Dhruv Vyas"/>
    <s v="Anil Matoo"/>
    <s v="Praveen Kuruvalli"/>
    <s v="Dhruv Vyas"/>
    <n v="0"/>
  </r>
  <r>
    <n v="5662"/>
    <n v="20057924"/>
    <s v="Jigneshkumar Patel"/>
    <s v="AM/NS India"/>
    <s v="Onroll"/>
    <s v="M-9"/>
    <n v="9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ommercials"/>
    <m/>
    <s v="Administration"/>
    <s v="Administration"/>
    <s v="Hazira"/>
    <s v="Non Technical Support"/>
    <s v="Administration"/>
    <s v="Administration"/>
    <s v="74101001"/>
    <s v="Administration"/>
    <s v="Hazira"/>
    <d v="1985-07-04T00:00:00"/>
    <s v="38.02"/>
    <d v="2022-11-15T00:00:00"/>
    <d v="2043-07-31T00:00:00"/>
    <m/>
    <d v="2043-07-31T00:00:00"/>
    <n v="7254"/>
    <s v="B+"/>
    <s v="MBA-2010 , BCom-2006 , Intermediate-2003"/>
    <s v="10.09"/>
    <s v="00.10"/>
    <s v="11.06"/>
    <s v="00049721"/>
    <s v="Regional &amp; Corporate offices"/>
    <s v="296436"/>
    <s v="Lead - Commercials"/>
    <s v="Hazira"/>
    <s v="0031950030"/>
    <s v="HZ-Admin"/>
    <s v="2000HWO"/>
    <s v="20057888"/>
    <s v="Narinder Lamba"/>
    <s v="No"/>
    <s v="jignesh.patel37@amns.in"/>
    <s v="8238007629"/>
    <s v="1025501"/>
    <s v="Manjit Shah"/>
    <s v="Anil Matoo"/>
    <s v="Praveen Kuruvalli"/>
    <s v="Lakshman Iyer"/>
    <n v="0"/>
  </r>
  <r>
    <n v="5663"/>
    <n v="20057925"/>
    <s v="Stuti Agrawal"/>
    <s v="AM/NS India"/>
    <s v="Onroll"/>
    <s v="M-8"/>
    <n v="8"/>
    <m/>
    <s v="JM"/>
    <s v="F"/>
    <s v="Corporate"/>
    <n v="7"/>
    <s v="2099"/>
    <x v="19"/>
    <s v="02.01"/>
    <s v="Raghavan Aravamudhan"/>
    <s v="Dilip Oommen"/>
    <n v="1"/>
    <s v="CEO Office"/>
    <s v="Business Strategy"/>
    <s v="02"/>
    <s v="Analyst - Business Strategy"/>
    <m/>
    <s v="Business Strategy"/>
    <s v="Business Strategy"/>
    <s v=""/>
    <s v="Non Technical Support"/>
    <s v="Sales &amp; Marketing"/>
    <s v="Business Development"/>
    <s v="73103001"/>
    <s v="Business Development"/>
    <s v="Mumbai"/>
    <d v="1998-11-04T00:00:00"/>
    <s v="24.10"/>
    <d v="2023-01-03T00:00:00"/>
    <d v="2056-11-30T00:00:00"/>
    <m/>
    <d v="2056-11-30T00:00:00"/>
    <n v="12125"/>
    <s v="B+"/>
    <s v="BCom-2019 , CA Final-2020 , Intermediate"/>
    <s v="01.06"/>
    <s v="00.08"/>
    <s v="02.03"/>
    <s v="70494715"/>
    <s v="Business Strategy"/>
    <s v="272449"/>
    <s v="Analyst - Business Strategy"/>
    <s v="Corporate"/>
    <s v="0090000022"/>
    <s v="Business Strategy"/>
    <s v="2000CS"/>
    <s v="20055135"/>
    <s v="Raghavan Aravamudhan"/>
    <s v="No"/>
    <s v="stuti.agrawal@amns.in"/>
    <s v="8770315026"/>
    <s v="1027935"/>
    <s v="Dhruv Vyas"/>
    <s v="Anil Matoo"/>
    <s v="Praveen Kuruvalli"/>
    <s v="Dhruv Vyas"/>
    <n v="0"/>
  </r>
  <r>
    <n v="5665"/>
    <n v="20057927"/>
    <s v="Surbhi Kothari"/>
    <s v="AM/NS India"/>
    <s v="Onroll"/>
    <s v="M-7"/>
    <n v="7"/>
    <m/>
    <s v="MM"/>
    <s v="F"/>
    <s v="Hazira"/>
    <n v="1"/>
    <s v="2013"/>
    <x v="0"/>
    <s v="20.01"/>
    <s v="Akiyo Omori"/>
    <s v="Amit Harlalka"/>
    <n v="5"/>
    <s v="Finance &amp; Accounts"/>
    <s v="Finance &amp; Accounts"/>
    <s v="20"/>
    <s v="Lead – Indirect Tax, Litigation"/>
    <m/>
    <s v="Finance &amp; Accounts"/>
    <s v="In Direct - Taxation"/>
    <s v=""/>
    <s v="Non Technical Support"/>
    <s v=""/>
    <s v=""/>
    <s v=""/>
    <s v=""/>
    <s v="Hazira"/>
    <d v="1993-02-18T00:00:00"/>
    <s v="30.07"/>
    <d v="2023-01-05T00:00:00"/>
    <d v="2051-02-28T00:00:00"/>
    <m/>
    <d v="2051-02-28T00:00:00"/>
    <n v="10023"/>
    <s v="AB+"/>
    <s v="CA Final-2016 , BCom-2014 , Intermediate"/>
    <s v="04.09"/>
    <s v="00.08"/>
    <s v="05.06"/>
    <s v="70282653"/>
    <s v="GST"/>
    <s v="283969"/>
    <s v="Lead – Indirect Tax, Litigation"/>
    <s v="Hazira"/>
    <s v="0090000033"/>
    <s v="Corporate Taxation"/>
    <s v="2000HWO"/>
    <s v="20055962"/>
    <s v="Navin Kewalramani"/>
    <s v="No"/>
    <s v="surbhi.kothari@amns.in"/>
    <s v="9414161312"/>
    <s v="1028055"/>
    <s v="Dhruv Vyas"/>
    <s v="Anil Matoo"/>
    <s v="Praveen Kuruvalli"/>
    <s v="Dhruv Vyas"/>
    <n v="0"/>
  </r>
  <r>
    <n v="5666"/>
    <n v="20057928"/>
    <s v="Manu Kapoor"/>
    <s v="AM/NS India"/>
    <s v="Onroll"/>
    <s v="M-2"/>
    <n v="2"/>
    <m/>
    <s v="TM"/>
    <s v="M"/>
    <s v="Corporate"/>
    <n v="7"/>
    <s v="2039"/>
    <x v="2"/>
    <s v="43.01"/>
    <s v="Manu Kapoor"/>
    <s v="Manu Kapoor"/>
    <n v="10"/>
    <s v="Corporate Affairs"/>
    <s v="Corporate Affairs"/>
    <s v="43"/>
    <s v="Head - Corporate Affairs"/>
    <m/>
    <s v="Corporate Affairs"/>
    <s v=""/>
    <s v=""/>
    <s v="Non Technical Support"/>
    <s v="Corporate Relations"/>
    <s v="Corporate Affairs"/>
    <s v="74501001"/>
    <s v="Corporate Affairs"/>
    <s v="Delhi"/>
    <d v="1963-12-29T00:00:00"/>
    <s v="59.08"/>
    <d v="2023-01-05T00:00:00"/>
    <d v="2023-12-31T00:00:00"/>
    <m/>
    <d v="2023-12-31T00:00:00"/>
    <n v="102"/>
    <s v="B+"/>
    <s v="MPhil-1987"/>
    <s v="10.08"/>
    <s v="00.08"/>
    <s v="11.04"/>
    <s v="70494938"/>
    <s v="Corporate Affairs"/>
    <s v="296988"/>
    <s v="Head Corporate Affairs"/>
    <s v="Confidential Payroll"/>
    <s v="0090000021"/>
    <s v="Corporate Affairs"/>
    <s v="2000CS"/>
    <s v="20055068"/>
    <s v="Dilip Oommen"/>
    <s v="No"/>
    <s v="manu.kapoor@amns.in"/>
    <s v="8826244477"/>
    <s v="1028171"/>
    <s v="Dhruv Vyas"/>
    <s v="Anil Matoo"/>
    <s v="Praveen Kuruvalli"/>
    <s v="Dhruv Vyas"/>
    <n v="0"/>
  </r>
  <r>
    <n v="5670"/>
    <n v="20057933"/>
    <s v="Akiyo Omori"/>
    <s v="AM/NS India"/>
    <s v="PDA"/>
    <s v="PDA"/>
    <n v="2"/>
    <m/>
    <s v="TM"/>
    <s v="F"/>
    <s v="Corporate"/>
    <n v="7"/>
    <s v="2013"/>
    <x v="0"/>
    <s v="20.01"/>
    <s v="Amit Harlalka"/>
    <s v="Amit Harlalka"/>
    <n v="5"/>
    <s v="Finance &amp; Accounts"/>
    <s v="Finance &amp; Accounts"/>
    <s v="20"/>
    <s v="Deputy Director Finance"/>
    <m/>
    <s v=""/>
    <s v=""/>
    <s v=""/>
    <s v="Non Technical Support"/>
    <s v=""/>
    <s v=""/>
    <s v="70494642"/>
    <s v="Deputy Director"/>
    <s v="Mumbai"/>
    <d v="1981-12-03T00:00:00"/>
    <s v="41.09"/>
    <d v="2023-01-01T00:00:00"/>
    <d v="2039-12-31T00:00:00"/>
    <m/>
    <d v="2039-12-31T00:00:00"/>
    <n v="5946"/>
    <s v=""/>
    <s v=""/>
    <s v=""/>
    <s v="00.08"/>
    <s v="00.08"/>
    <s v="70494654"/>
    <s v="Finance"/>
    <s v="70494648"/>
    <s v="Deputy Director Finance"/>
    <s v="Non-payroll-relevant"/>
    <s v="0090000013"/>
    <s v="Director-Fin-India"/>
    <s v="2000CS"/>
    <s v="20055088"/>
    <s v="Amit Harlalka"/>
    <s v="No"/>
    <s v="akiyo.omori@amns.in"/>
    <s v="8433957551"/>
    <s v="1028248"/>
    <s v="Dhruv Vyas"/>
    <s v="Anil Matoo"/>
    <s v="Praveen Kuruvalli"/>
    <s v="Dhruv Vyas"/>
    <n v="0"/>
  </r>
  <r>
    <n v="5677"/>
    <n v="20057941"/>
    <s v="Kruti Shah"/>
    <s v="AM/NS India"/>
    <s v="Onroll"/>
    <s v="M-9"/>
    <n v="9"/>
    <m/>
    <s v="JM"/>
    <s v="F"/>
    <s v="Hazira"/>
    <n v="1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2"/>
    <s v="Human Resources Operation"/>
    <s v="Hazira"/>
    <d v="1992-08-24T00:00:00"/>
    <s v="31.00"/>
    <d v="2023-01-09T00:00:00"/>
    <d v="2050-08-31T00:00:00"/>
    <m/>
    <d v="2050-08-31T00:00:00"/>
    <n v="9842"/>
    <s v="B+"/>
    <s v="MHRM-2016 , BBA-2014 , Intermediate-2010"/>
    <s v="06.07"/>
    <s v="00.08"/>
    <s v="07.03"/>
    <s v="00050209"/>
    <s v="Human Resources"/>
    <s v="297052"/>
    <s v="Lead - Human Resources"/>
    <s v="Hazira"/>
    <s v="0031950061"/>
    <s v="HZ-Human Resource"/>
    <s v="2000HWO"/>
    <s v="20039780"/>
    <s v="Srikanya Thakur"/>
    <s v="No"/>
    <s v="kruti.shah@amns.in"/>
    <s v="7486035466"/>
    <s v="1028345"/>
    <s v="Dhruv Vyas"/>
    <s v="Anil Matoo"/>
    <s v="Praveen Kuruvalli"/>
    <s v="Dhruv Vyas"/>
    <n v="0"/>
  </r>
  <r>
    <n v="5681"/>
    <n v="20057945"/>
    <s v="Ramakrishnan Govinthasamy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s v="Head-Technical Mktg. &amp; Application Engg."/>
    <s v="Non Technical Support"/>
    <s v="Sales &amp; Marketing"/>
    <s v="Marketing"/>
    <s v="73102001"/>
    <s v="Marketing"/>
    <s v="Hazira"/>
    <d v="1992-05-27T00:00:00"/>
    <s v="31.03"/>
    <d v="2023-01-09T00:00:00"/>
    <d v="2050-05-31T00:00:00"/>
    <m/>
    <d v="2050-05-31T00:00:00"/>
    <n v="9750"/>
    <s v="B+"/>
    <s v="Intermediate-2009"/>
    <s v="04.05"/>
    <s v="00.08"/>
    <s v="05.01"/>
    <s v="00052460"/>
    <s v="Auto &amp; YG"/>
    <s v="297165"/>
    <s v="Resident Engineer"/>
    <s v="Hazira"/>
    <s v="0031950057"/>
    <s v="HZ-HRC - Marketing"/>
    <s v="2000HWO"/>
    <s v="20056155"/>
    <s v="Kondapalli Venkateswarlu"/>
    <s v="No"/>
    <s v="ramakrishnan.m@amns.in"/>
    <s v="9901352718"/>
    <s v="1028485"/>
    <s v="Dhruv Vyas"/>
    <s v="Anil Matoo"/>
    <s v="Praveen Kuruvalli"/>
    <s v="Dhruv Vyas"/>
    <n v="0"/>
  </r>
  <r>
    <n v="5682"/>
    <n v="20057946"/>
    <s v="Suraj Pachorkar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OEM - Other West"/>
    <m/>
    <s v="Other West"/>
    <s v="OEM"/>
    <s v=""/>
    <s v="Non Technical Support"/>
    <s v="R&amp; D and QA/QC"/>
    <s v="R&amp;D"/>
    <s v="72103029"/>
    <s v="R&amp;D"/>
    <s v="Hazira"/>
    <d v="1994-07-01T00:00:00"/>
    <s v="29.02"/>
    <d v="2023-01-09T00:00:00"/>
    <d v="2052-06-30T00:00:00"/>
    <m/>
    <d v="2052-06-30T00:00:00"/>
    <n v="10511"/>
    <s v="O+"/>
    <s v="MBA-2019"/>
    <s v="03.06"/>
    <s v="00.08"/>
    <s v="04.01"/>
    <s v="70495309"/>
    <s v="Sales West Zone"/>
    <s v="256057"/>
    <s v="KAM - Automotive Sales"/>
    <s v="Hazira"/>
    <s v="0031950057"/>
    <s v="HZ-HRC - Marketing"/>
    <s v="2000HWO"/>
    <s v="20047683"/>
    <s v="Virat Vij"/>
    <s v="No"/>
    <s v="suraj.pachorkar@amns.in"/>
    <s v="9637307294"/>
    <s v="1028498"/>
    <s v="Dhruv Vyas"/>
    <s v="Anil Matoo"/>
    <s v="Praveen Kuruvalli"/>
    <s v="Dhruv Vyas"/>
    <n v="0"/>
  </r>
  <r>
    <n v="5684"/>
    <n v="20057948"/>
    <s v="Akshit Oswal"/>
    <s v="AM/NS India"/>
    <s v="Onroll"/>
    <s v="M-9"/>
    <n v="9"/>
    <m/>
    <s v="JM"/>
    <s v="M"/>
    <s v="Corporate"/>
    <n v="7"/>
    <s v="2060"/>
    <x v="24"/>
    <s v="39.01"/>
    <s v="Sanjay Sharma"/>
    <s v="Sanjay Sharma"/>
    <n v="8"/>
    <s v="Business Development"/>
    <s v="Business Development"/>
    <s v="39"/>
    <s v="Lead Business Development – M&amp;A"/>
    <m/>
    <s v="Business Development"/>
    <s v=""/>
    <s v=""/>
    <s v="Non Technical Support"/>
    <s v="Sales &amp; Marketing"/>
    <s v="Business Development"/>
    <s v="73103001"/>
    <s v="Business Development"/>
    <s v="Mumbai"/>
    <d v="1999-09-27T00:00:00"/>
    <s v="23.11"/>
    <d v="2023-01-11T00:00:00"/>
    <d v="2057-09-30T00:00:00"/>
    <m/>
    <d v="2057-09-30T00:00:00"/>
    <n v="12429"/>
    <s v="B+"/>
    <s v="CA Final-2021 , Intermediate-2017"/>
    <s v="01.02"/>
    <s v="00.08"/>
    <s v="01.10"/>
    <s v="00050003"/>
    <s v="Business Development - M&amp;A"/>
    <s v="297438"/>
    <s v="Lead Business Development – M&amp;A"/>
    <s v="Corporate"/>
    <s v="0090000032"/>
    <s v="Business Devpelopmen"/>
    <s v="2000CS"/>
    <s v="20055804"/>
    <s v="Ankushkumar Shah"/>
    <s v="No"/>
    <s v="akshit.oswal@amns.in"/>
    <s v="9689043909"/>
    <s v="1028835"/>
    <s v="Dhruv Vyas"/>
    <s v="Anil Matoo"/>
    <s v="Praveen Kuruvalli"/>
    <s v="Dhruv Vyas"/>
    <n v="0"/>
  </r>
  <r>
    <n v="5696"/>
    <n v="20057961"/>
    <s v="Udaibir Singh"/>
    <s v="AM/NS India"/>
    <s v="Onroll"/>
    <s v="M-6"/>
    <n v="6"/>
    <m/>
    <s v="MM"/>
    <s v="M"/>
    <s v="Corporate"/>
    <n v="7"/>
    <s v="2096"/>
    <x v="14"/>
    <s v="36.02"/>
    <s v="Hrishikesh Kamat"/>
    <s v="Hrishikesh Kamat"/>
    <n v="7"/>
    <s v="Procurement"/>
    <s v="Raw Materials"/>
    <s v="36"/>
    <s v="Lead – Power Procurement"/>
    <m/>
    <s v="Procurement"/>
    <s v="Power &amp; Gas"/>
    <s v="Power &amp; Gas"/>
    <s v="Tech. Support Services"/>
    <s v="Commercial"/>
    <s v="Procurement"/>
    <s v="73803001"/>
    <s v="Procurement"/>
    <s v="Mumbai"/>
    <d v="1987-01-15T00:00:00"/>
    <s v="36.08"/>
    <d v="2023-01-16T00:00:00"/>
    <d v="2045-01-31T00:00:00"/>
    <m/>
    <d v="2045-01-31T00:00:00"/>
    <n v="7804"/>
    <s v="AB+"/>
    <s v="MSc-2014 , BTech-2009 , Intermediate-200"/>
    <s v="13.06"/>
    <s v="00.08"/>
    <s v="14.02"/>
    <s v="00049516"/>
    <s v="Power &amp; Gas"/>
    <s v="298089"/>
    <s v="Lead – Power Procurement"/>
    <s v="Corporate"/>
    <s v="0031950048"/>
    <s v=""/>
    <s v="2000CS"/>
    <s v="20004612"/>
    <s v="Ramesh Chabhadiya"/>
    <s v="No"/>
    <s v="udaibir.singh@amns.in"/>
    <s v="9987513900"/>
    <s v="1029952"/>
    <s v="Dhruv Vyas"/>
    <s v="Anil Matoo"/>
    <s v="Praveen Kuruvalli"/>
    <s v="Dhruv Vyas"/>
    <n v="0"/>
  </r>
  <r>
    <n v="5700"/>
    <n v="20057965"/>
    <s v="Devarshi Naik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anteen Administration"/>
    <m/>
    <s v="Administration"/>
    <s v=""/>
    <s v=""/>
    <s v="Non Technical Support"/>
    <s v="Administration"/>
    <s v="Administration"/>
    <s v="74101001"/>
    <s v="Administration"/>
    <s v="Hazira"/>
    <d v="1989-03-08T00:00:00"/>
    <s v="34.06"/>
    <d v="2023-01-23T00:00:00"/>
    <d v="2047-03-31T00:00:00"/>
    <m/>
    <d v="2047-03-31T00:00:00"/>
    <n v="8593"/>
    <s v="A+"/>
    <s v="BBA-2010 , Intermediate-2006 , Intermedi"/>
    <s v="02.00"/>
    <s v="00.07"/>
    <s v="02.07"/>
    <s v="00049777"/>
    <s v="Plant Administration"/>
    <s v="298229"/>
    <s v="Lead - Canteen Administration"/>
    <s v="Hazira"/>
    <s v="0090000018"/>
    <s v=""/>
    <s v="2000HWO"/>
    <s v="20057892"/>
    <s v="Taj Baby"/>
    <s v="No"/>
    <s v="devarshi.naik@amns.in"/>
    <s v="8469791912"/>
    <s v="1030194"/>
    <s v="Manjit Shah"/>
    <s v="Anil Matoo"/>
    <s v="Praveen Kuruvalli"/>
    <s v="Lakshman Iyer"/>
    <n v="0"/>
  </r>
  <r>
    <n v="5702"/>
    <n v="20057967"/>
    <s v="Anoop Cherian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– OEM Sales"/>
    <m/>
    <s v="South"/>
    <s v="Auto"/>
    <s v="RHTOB &amp; Ladle Managementc"/>
    <s v="Non Technical Support"/>
    <s v="Sales &amp; Marketing"/>
    <s v="Sales"/>
    <s v="73104004"/>
    <s v="OEM Sales"/>
    <s v="Chennai"/>
    <d v="1984-09-05T00:00:00"/>
    <s v="39.00"/>
    <d v="2023-01-23T00:00:00"/>
    <d v="2042-09-30T00:00:00"/>
    <m/>
    <d v="2042-09-30T00:00:00"/>
    <n v="6950"/>
    <s v="AB+"/>
    <s v="BTech-2006 , Intermediate-2000"/>
    <s v="13.05"/>
    <s v="00.07"/>
    <s v="14.01"/>
    <s v="00052468"/>
    <s v="Automotive Sales - Chennai"/>
    <s v="298232"/>
    <s v="KAM – Automotive Sales"/>
    <s v="Service Center"/>
    <s v="0031950057"/>
    <s v=""/>
    <s v="2000CS"/>
    <s v="20047658"/>
    <s v="Balamurugan Gurusamy"/>
    <s v="No"/>
    <s v="anoop.cherian@amns.in"/>
    <s v="9790861571"/>
    <s v="1030230"/>
    <s v="Dhruv Vyas"/>
    <s v="Anil Matoo"/>
    <s v="Praveen Kuruvalli"/>
    <s v="Dhruv Vyas"/>
    <n v="0"/>
  </r>
  <r>
    <n v="5711"/>
    <n v="20057977"/>
    <s v="Utkarsh Garhwal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– Coated Products"/>
    <m/>
    <s v="Sales Steering &amp; BD"/>
    <s v="Coated Marketing"/>
    <s v="National Sales"/>
    <s v="Non Technical Support"/>
    <s v="Sales &amp; Marketing"/>
    <s v="Sales &amp; Marketing"/>
    <s v="73101001"/>
    <s v="Sales &amp; Marketing"/>
    <s v="Pune"/>
    <d v="1992-12-24T00:00:00"/>
    <s v="30.08"/>
    <d v="2023-01-30T00:00:00"/>
    <d v="2050-12-31T00:00:00"/>
    <m/>
    <d v="2050-12-31T00:00:00"/>
    <n v="9964"/>
    <s v="O+"/>
    <s v="Intermediate-2015 , Intermediate-2010 ,"/>
    <s v="01.02"/>
    <s v="00.07"/>
    <s v="01.09"/>
    <s v="70492562"/>
    <s v="Domestic Sales"/>
    <s v="273359"/>
    <s v="Lead – Coated Marketing"/>
    <s v="Hazira"/>
    <s v="0080000001"/>
    <s v=""/>
    <s v="2000HWO"/>
    <s v="20036409"/>
    <s v="Ranjith Nambiar"/>
    <s v="No"/>
    <s v="utkarsh.garhwal@amns.in"/>
    <s v="8999703677"/>
    <s v="1032433"/>
    <s v="Dhruv Vyas"/>
    <s v="Anil Matoo"/>
    <s v="Praveen Kuruvalli"/>
    <s v="Dhruv Vyas"/>
    <n v="0"/>
  </r>
  <r>
    <n v="5720"/>
    <n v="20057987"/>
    <s v="Ravi Kumar Gupta"/>
    <s v="AM/NS India"/>
    <s v="Onroll"/>
    <s v="M-8"/>
    <n v="8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Officer – Accounts Payable"/>
    <m/>
    <s v="Finance &amp; Accounts"/>
    <s v="Accounts Payable"/>
    <s v="Export, Domestic &amp; Banking"/>
    <s v="Non Technical Support"/>
    <s v=""/>
    <s v=""/>
    <s v=""/>
    <s v=""/>
    <s v="Paradeep"/>
    <d v="1984-03-19T00:00:00"/>
    <s v="39.06"/>
    <d v="2023-02-13T00:00:00"/>
    <d v="2042-03-31T00:00:00"/>
    <m/>
    <d v="2042-03-31T00:00:00"/>
    <n v="6767"/>
    <s v="B+"/>
    <s v="MBA-2008 , BCom-2006 , Intermediate-2001"/>
    <s v="14.05"/>
    <s v="00.07"/>
    <s v="15.00"/>
    <s v="72150243"/>
    <s v="Accounts Payable"/>
    <s v="70494028"/>
    <s v="Officer – Accounts Payable"/>
    <s v="Odisha"/>
    <s v="0031950045"/>
    <s v=""/>
    <s v="2000STORIS"/>
    <s v="20001076"/>
    <s v="Bhavesh Modi"/>
    <s v="No"/>
    <s v="ravi.gupta@amns.in"/>
    <s v="7077770046"/>
    <s v="1033376"/>
    <s v="Sunila Das"/>
    <s v="Anil Matoo"/>
    <s v="Praveen Kuruvalli"/>
    <s v="Sunila Das"/>
    <n v="0"/>
  </r>
  <r>
    <n v="5723"/>
    <n v="20057990"/>
    <s v="Pankajakshi Harinaidu"/>
    <s v="AM/NS India"/>
    <s v="Onroll"/>
    <s v="M-8"/>
    <n v="8"/>
    <m/>
    <s v="JM"/>
    <s v="F"/>
    <s v="Service Centers"/>
    <n v="6"/>
    <s v="2015"/>
    <x v="1"/>
    <s v="22.06"/>
    <s v="Praveen Kuruvalli"/>
    <s v="Ashutosh Telang"/>
    <n v="6"/>
    <s v="HR &amp; Administration"/>
    <s v="Human Resources"/>
    <s v="22"/>
    <s v="Lead - Human Resources"/>
    <m/>
    <s v="Human Resources"/>
    <s v=""/>
    <s v=""/>
    <s v="Non Technical Support"/>
    <s v=""/>
    <s v=""/>
    <s v=""/>
    <s v=""/>
    <s v="Chennai"/>
    <d v="1974-03-27T00:00:00"/>
    <s v="49.05"/>
    <d v="2023-02-03T00:00:00"/>
    <d v="2032-03-31T00:00:00"/>
    <m/>
    <d v="2032-03-31T00:00:00"/>
    <n v="3115"/>
    <s v="B+"/>
    <s v="MBA-1996"/>
    <s v="01.06"/>
    <s v="00.07"/>
    <s v="02.01"/>
    <s v="00044376"/>
    <s v="Service Center &amp; Hypermart HR"/>
    <s v="259468"/>
    <s v="Lead - Human Resources"/>
    <s v="Service Center"/>
    <s v="0040030019"/>
    <s v="SC-Chennai-Op1-HR-Ad"/>
    <s v="2000SPRJ"/>
    <s v="20057135"/>
    <s v="RAHUL RAJ"/>
    <s v="No"/>
    <s v="pankajakshi.h@amns.in"/>
    <s v="8925821529"/>
    <s v="1033636"/>
    <s v="Dhruv Vyas"/>
    <s v="Anil Matoo"/>
    <s v="Praveen Kuruvalli"/>
    <s v="Dhruv Vyas"/>
    <n v="0"/>
  </r>
  <r>
    <n v="5725"/>
    <n v="20057992"/>
    <s v="Tanmay Deshpande"/>
    <s v="AM/NS India"/>
    <s v="Onroll"/>
    <s v="M-7"/>
    <n v="7"/>
    <m/>
    <s v="MM"/>
    <s v="M"/>
    <s v="Corporate"/>
    <n v="7"/>
    <s v="2060"/>
    <x v="24"/>
    <s v="39.01"/>
    <s v="Sanjay Sharma"/>
    <s v="Sanjay Sharma"/>
    <n v="8"/>
    <s v="Business Development"/>
    <s v="Business Development"/>
    <s v="39"/>
    <s v="Lead Business Development – M&amp;A"/>
    <m/>
    <s v="Business Development"/>
    <s v=""/>
    <s v=""/>
    <s v="Non Technical Support"/>
    <s v="Sales &amp; Marketing"/>
    <s v="Business Development"/>
    <s v="73103001"/>
    <s v="Business Development"/>
    <s v="Mumbai"/>
    <d v="1992-04-14T00:00:00"/>
    <s v="31.05"/>
    <d v="2023-02-15T00:00:00"/>
    <d v="2050-04-30T00:00:00"/>
    <m/>
    <d v="2050-04-30T00:00:00"/>
    <n v="9719"/>
    <s v="O+"/>
    <s v="PG Diploma-2018 , BTech-2015"/>
    <s v="04.08"/>
    <s v="00.07"/>
    <s v="05.03"/>
    <s v="00049729"/>
    <s v="Business Development - M&amp;A"/>
    <s v="300479"/>
    <s v="Lead Business Development – M&amp;A"/>
    <s v="Corporate"/>
    <s v="0090000032"/>
    <s v=""/>
    <s v="2000CS"/>
    <s v="20055182"/>
    <s v="Neha Soni"/>
    <s v="No"/>
    <s v="tanmay.deshpande@amns.in"/>
    <s v="8097520307"/>
    <s v="1033967"/>
    <s v="Dhruv Vyas"/>
    <s v="Anil Matoo"/>
    <s v="Praveen Kuruvalli"/>
    <s v="Dhruv Vyas"/>
    <n v="0"/>
  </r>
  <r>
    <n v="5731"/>
    <n v="20057999"/>
    <s v="Aarti Tejnani"/>
    <s v="AM/NS India"/>
    <s v="Onroll"/>
    <s v="M-9"/>
    <n v="9"/>
    <m/>
    <s v="JM"/>
    <s v="F"/>
    <s v="Corporate"/>
    <n v="7"/>
    <s v="2015"/>
    <x v="1"/>
    <s v="22.06"/>
    <s v="Anil Matoo"/>
    <s v="Ashutosh Telang"/>
    <n v="6"/>
    <s v="HR &amp; Administration"/>
    <s v="Human Resources"/>
    <s v="22"/>
    <s v="Executive Assistant"/>
    <m/>
    <s v="Human Resources"/>
    <s v=""/>
    <s v=""/>
    <s v="Non Technical Support"/>
    <s v="Human Resources Management"/>
    <s v="Human Resources Management"/>
    <s v="73501001"/>
    <s v="Human Resources"/>
    <s v="Mumbai"/>
    <d v="1988-11-22T00:00:00"/>
    <s v="34.09"/>
    <d v="2023-02-20T00:00:00"/>
    <d v="2046-11-30T00:00:00"/>
    <m/>
    <d v="2046-11-30T00:00:00"/>
    <n v="8472"/>
    <s v="O-"/>
    <s v="MBA-2019"/>
    <s v="01.04"/>
    <s v="00.06"/>
    <s v="01.11"/>
    <s v="00049042"/>
    <s v="HR &amp; Administration"/>
    <s v="300715"/>
    <s v="Executive Assistant"/>
    <s v="Corporate"/>
    <s v="0090000018"/>
    <s v=""/>
    <s v="2000CS"/>
    <s v="20057637"/>
    <s v="Ashutosh Telang"/>
    <s v="No"/>
    <s v="aarti.tejnani@amns.in"/>
    <s v="9004659639"/>
    <s v="1034349"/>
    <s v="Dhruv Vyas"/>
    <s v="Anil Matoo"/>
    <s v="Praveen Kuruvalli"/>
    <s v="Dhruv Vyas"/>
    <n v="0"/>
  </r>
  <r>
    <n v="5735"/>
    <n v="20058004"/>
    <s v="Kiran Kumar Athri Dattu Akondi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Sec Incharge - Procurement- Pellet Plant"/>
    <m/>
    <s v="Procurement"/>
    <s v="Purchase"/>
    <s v="Purchase"/>
    <s v="Non Technical Support"/>
    <s v=""/>
    <s v=""/>
    <s v=""/>
    <s v=""/>
    <s v="Vizag"/>
    <d v="1992-11-19T00:00:00"/>
    <s v="30.09"/>
    <d v="2023-03-04T00:00:00"/>
    <d v="2050-11-30T00:00:00"/>
    <m/>
    <d v="2050-11-30T00:00:00"/>
    <n v="9933"/>
    <s v="B+"/>
    <s v="Diploma-2011 , Intermediate-2008"/>
    <s v="11.07"/>
    <s v="00.06"/>
    <s v="12.01"/>
    <s v="70301353"/>
    <s v="Procurement - Vizag &amp; Chitrakonda"/>
    <s v="302201"/>
    <s v="Sec Incharge - Procurement- Pellet Plant"/>
    <s v="Vizag"/>
    <s v="0028020011"/>
    <s v=""/>
    <s v="2000VIZOPS"/>
    <s v="20000200"/>
    <s v="A Venkateswara Rao"/>
    <s v="No"/>
    <s v="kiran.akondi@amns.in"/>
    <s v="7207778393"/>
    <s v="1035963"/>
    <s v="DS Varma"/>
    <s v="Anil Matoo"/>
    <s v="Praveen Kuruvalli"/>
    <s v="Dhruv Vyas"/>
    <n v="0"/>
  </r>
  <r>
    <n v="5746"/>
    <n v="20058016"/>
    <s v="Krutikkumar Patel"/>
    <s v="AM/NS India"/>
    <s v="Onroll"/>
    <s v="M-7"/>
    <n v="7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SMP 1 &amp; 2, HSM, CSP, HBI, MH"/>
    <s v="Non Technical Support"/>
    <s v=""/>
    <s v=""/>
    <s v=""/>
    <s v=""/>
    <s v="Hazira"/>
    <d v="1991-09-04T00:00:00"/>
    <s v="32.00"/>
    <d v="2023-03-10T00:00:00"/>
    <d v="2049-09-30T00:00:00"/>
    <m/>
    <d v="2049-09-30T00:00:00"/>
    <n v="9507"/>
    <s v="O-"/>
    <s v="BE-2013 , Intermediate-2009 , Intermedia"/>
    <s v="09.08"/>
    <s v="00.06"/>
    <s v="10.01"/>
    <s v="70495670"/>
    <s v="Contracts"/>
    <s v="70259236"/>
    <s v="Lead - Contracts"/>
    <s v="Hazira"/>
    <s v="0031950047"/>
    <s v="HZ-Contracts"/>
    <s v="2000HWO"/>
    <s v="20000795"/>
    <s v="Pankaj Chaturvedi"/>
    <s v="No"/>
    <s v="krutik.patel@amns.in"/>
    <s v="7043217731"/>
    <s v="1036992"/>
    <s v="Dhruv Vyas"/>
    <s v="Anil Matoo"/>
    <s v="Praveen Kuruvalli"/>
    <s v="Dhruv Vyas"/>
    <n v="0"/>
  </r>
  <r>
    <n v="5747"/>
    <n v="20058017"/>
    <s v="Ajaykumar Mishra"/>
    <s v="AM/NS India"/>
    <s v="Onroll"/>
    <s v="M-9"/>
    <n v="9"/>
    <m/>
    <s v="JM"/>
    <s v="M"/>
    <s v="Odisha"/>
    <n v="2"/>
    <s v="2031"/>
    <x v="10"/>
    <s v="14.01"/>
    <s v="Ranjan Dhar"/>
    <s v="Alain Legrix De La Salle"/>
    <n v="3"/>
    <s v="Sales &amp; Marketing"/>
    <s v="Sales &amp; Marketing"/>
    <s v="14"/>
    <s v="Lead - Iron Ore Sales, Barbil"/>
    <m/>
    <s v="Iron Ore &amp; Infra"/>
    <s v="Iron Ore &amp; Infra"/>
    <s v="Power &amp; Gas"/>
    <s v="Non Technical Support"/>
    <s v="Commercial"/>
    <s v="Procurement"/>
    <s v="73803001"/>
    <s v="Procurement"/>
    <s v="Bhubaneswar"/>
    <d v="1995-07-03T00:00:00"/>
    <s v="28.02"/>
    <d v="2023-03-13T00:00:00"/>
    <d v="2053-07-31T00:00:00"/>
    <m/>
    <d v="2053-07-31T00:00:00"/>
    <n v="10907"/>
    <s v="B+"/>
    <s v="BCom-2019 , Intermediate-2014 , Intermed"/>
    <s v="05.05"/>
    <s v="00.06"/>
    <s v="05.11"/>
    <s v="00044347"/>
    <s v="Sales - Iron Ore"/>
    <s v="300889"/>
    <s v="Lead - Iron Ore Sales, Barbil"/>
    <s v="Odisha"/>
    <s v="0031950048"/>
    <s v=""/>
    <s v="2000STORIS"/>
    <s v="20003630"/>
    <s v="Mukul Manchanda"/>
    <s v="No"/>
    <s v="ajay.mishra1@amns.in"/>
    <s v="8329157473"/>
    <s v="1037018"/>
    <s v="Sunila Das"/>
    <s v="Anil Matoo"/>
    <s v="Praveen Kuruvalli"/>
    <s v="Sunila Das"/>
    <n v="0"/>
  </r>
  <r>
    <n v="5749"/>
    <n v="20058019"/>
    <s v="Tanmaya Mishra"/>
    <s v="AM/NS India"/>
    <s v="Onroll"/>
    <s v="M-7"/>
    <n v="7"/>
    <m/>
    <s v="MM"/>
    <s v="M"/>
    <s v="Odisha"/>
    <n v="2"/>
    <s v="2031"/>
    <x v="10"/>
    <s v="14.01"/>
    <s v="Ranjan Dhar"/>
    <s v="Alain Legrix De La Salle"/>
    <n v="3"/>
    <s v="Sales &amp; Marketing"/>
    <s v="Sales &amp; Marketing"/>
    <s v="14"/>
    <s v="Lead - Iron Ore Sales"/>
    <m/>
    <s v="Iron Ore &amp; Infra"/>
    <s v="Iron Ore &amp; Infra"/>
    <s v="Power &amp; Gas"/>
    <s v="Non Technical Support"/>
    <s v="Commercial"/>
    <s v="Procurement"/>
    <s v="73803001"/>
    <s v="Procurement"/>
    <s v="Bhubaneswar"/>
    <d v="1985-06-06T00:00:00"/>
    <s v="38.03"/>
    <d v="2023-03-15T00:00:00"/>
    <d v="2043-06-30T00:00:00"/>
    <m/>
    <d v="2043-06-30T00:00:00"/>
    <n v="7223"/>
    <s v="B+"/>
    <s v="MBA-2016 , PG Diploma-2008 , BSc-2006 ,"/>
    <s v="14.07"/>
    <s v="00.06"/>
    <s v="15.01"/>
    <s v="00044347"/>
    <s v="Sales - Iron Ore"/>
    <s v="300890"/>
    <s v="Lead - Iron Ore Sales"/>
    <s v="Odisha"/>
    <s v="0031950048"/>
    <s v=""/>
    <s v="2000STORIS"/>
    <s v="20003630"/>
    <s v="Mukul Manchanda"/>
    <s v="No"/>
    <s v="tanmaya.mishra@amns.in"/>
    <s v="7077770059"/>
    <s v="1040275"/>
    <s v="Sunila Das"/>
    <s v="Anil Matoo"/>
    <s v="Praveen Kuruvalli"/>
    <s v="Sunila Das"/>
    <n v="0"/>
  </r>
  <r>
    <n v="5750"/>
    <n v="20058020"/>
    <s v="Chapa Srinivasa Rao"/>
    <s v="AM/NS India"/>
    <s v="Onroll"/>
    <s v="M-8"/>
    <n v="8"/>
    <m/>
    <s v="JM"/>
    <s v="M"/>
    <s v="Vizag"/>
    <n v="3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1"/>
    <s v="Human Resources"/>
    <s v="Kirandul"/>
    <d v="1973-06-01T00:00:00"/>
    <s v="50.03"/>
    <d v="2023-03-17T00:00:00"/>
    <d v="2031-05-31T00:00:00"/>
    <m/>
    <d v="2031-05-31T00:00:00"/>
    <n v="2810"/>
    <s v="A+"/>
    <s v="Intermediate-1999"/>
    <s v="26.02"/>
    <s v="00.06"/>
    <s v="26.08"/>
    <s v="72150111"/>
    <s v="Vizag HR Operations &amp; Administration"/>
    <s v="301679"/>
    <s v="OJT Confirmation"/>
    <s v="Vizag"/>
    <s v="0028030019"/>
    <s v="VIZ-Personnel &amp; Admi"/>
    <s v="2000VIZOPS"/>
    <s v="20000519"/>
    <s v="Dandu Srinivas Varma"/>
    <s v="No"/>
    <s v="chapa.rao@amns.in"/>
    <s v="07901367624"/>
    <s v="1000532"/>
    <s v="Dhruv Vyas"/>
    <s v="Anil Matoo"/>
    <s v="Praveen Kuruvalli"/>
    <s v="Dhruv Vyas"/>
    <n v="0"/>
  </r>
  <r>
    <n v="5756"/>
    <n v="20058027"/>
    <s v="Rishi Mishra"/>
    <s v="AM/NS India"/>
    <s v="Onroll"/>
    <s v="M-7"/>
    <n v="7"/>
    <m/>
    <s v="MM"/>
    <s v="M"/>
    <s v="Hazira"/>
    <n v="1"/>
    <s v="2099"/>
    <x v="19"/>
    <s v="02.01"/>
    <s v="Raghavan Aravamudhan"/>
    <s v="Dilip Oommen"/>
    <n v="1"/>
    <s v="CEO Office"/>
    <s v="Business Strategy"/>
    <s v="02"/>
    <s v="Lead - PMO (Analyst)"/>
    <m/>
    <s v="Business Strategy"/>
    <s v="Business Strategy"/>
    <s v=""/>
    <s v="Non Technical Support"/>
    <s v="Operations"/>
    <s v="Operations"/>
    <s v="72103001"/>
    <s v="Operations"/>
    <s v="Hazira"/>
    <d v="1989-07-02T00:00:00"/>
    <s v="34.02"/>
    <d v="2023-03-20T00:00:00"/>
    <d v="2047-07-31T00:00:00"/>
    <m/>
    <d v="2047-07-31T00:00:00"/>
    <n v="8715"/>
    <s v="A+"/>
    <s v="BTech-2011"/>
    <s v="09.02"/>
    <s v="00.06"/>
    <s v="09.08"/>
    <s v="00046538"/>
    <s v="Project Monitoring"/>
    <s v="303698"/>
    <s v="Lead - PMO (Analyst)"/>
    <s v="Hazira"/>
    <s v="0090000022"/>
    <s v=""/>
    <s v="2000HWO"/>
    <s v="20049281"/>
    <s v="Raveena Dhoot"/>
    <s v="No"/>
    <s v="rishi.mishra@amns.in"/>
    <s v="7033095125"/>
    <s v="1040561"/>
    <s v="Dhruv Vyas"/>
    <s v="Anil Matoo"/>
    <s v="Praveen Kuruvalli"/>
    <s v="Dhruv Vyas"/>
    <n v="0"/>
  </r>
  <r>
    <n v="5757"/>
    <n v="20058028"/>
    <s v="Charu Misra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, Mumbai"/>
    <m/>
    <s v="Legal"/>
    <s v=""/>
    <s v=""/>
    <s v="Non Technical Support"/>
    <s v="Legal"/>
    <s v="Legal"/>
    <s v="73201001"/>
    <s v="Legal"/>
    <s v="Mumbai"/>
    <d v="1990-03-11T00:00:00"/>
    <s v="33.06"/>
    <d v="2023-03-20T00:00:00"/>
    <d v="2048-03-31T00:00:00"/>
    <m/>
    <d v="2048-03-31T00:00:00"/>
    <n v="8959"/>
    <s v="O+"/>
    <s v="LLB-2014"/>
    <s v="05.02"/>
    <s v="00.06"/>
    <s v="05.07"/>
    <s v="00050735"/>
    <s v="Legal"/>
    <s v="70494780"/>
    <s v="Legal Counsel"/>
    <s v="Corporate"/>
    <s v="0090000019"/>
    <s v=""/>
    <s v="2000CS"/>
    <s v="20055235"/>
    <s v="P Ashok Kumar"/>
    <s v="No"/>
    <s v="charu.misra@amns.in"/>
    <s v="7718807779"/>
    <s v="1040797"/>
    <s v="Dhruv Vyas"/>
    <s v="Anil Matoo"/>
    <s v="Praveen Kuruvalli"/>
    <s v="Dhruv Vyas"/>
    <n v="0"/>
  </r>
  <r>
    <n v="5759"/>
    <n v="20058031"/>
    <s v="Ananta Subudhi Ray"/>
    <s v="AM/NS Ports Paradip"/>
    <s v="Onroll"/>
    <s v="M-6"/>
    <n v="6"/>
    <m/>
    <s v="MM"/>
    <s v="M"/>
    <s v="Odisha"/>
    <n v="2"/>
    <s v="77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Paradeep"/>
    <d v="1970-05-20T00:00:00"/>
    <s v="53.04"/>
    <d v="2010-08-23T00:00:00"/>
    <d v="2028-05-31T00:00:00"/>
    <m/>
    <d v="2028-05-31T00:00:00"/>
    <n v="1715"/>
    <s v=""/>
    <s v=""/>
    <s v=""/>
    <s v="13.00"/>
    <s v="13.00"/>
    <s v="00051206"/>
    <s v="Commercial"/>
    <s v="304337"/>
    <s v="New Acquisition"/>
    <s v="AMNS PORTS"/>
    <s v="0004315000"/>
    <s v="EBTPL- COMMON"/>
    <s v="7700PARA"/>
    <s v="20055692"/>
    <s v="Rajiv Ranjan"/>
    <s v="No"/>
    <s v="ananta.subudhiray@amns.in"/>
    <s v="7381097586"/>
    <s v="1026657"/>
    <s v="Manjit Shah"/>
    <s v="Anil Matoo"/>
    <n v="0"/>
    <s v="Manjit Shah"/>
    <n v="0"/>
  </r>
  <r>
    <n v="5763"/>
    <n v="20058035"/>
    <s v="Prasanta Kumar Behera"/>
    <s v="AM/NS Ports Paradip"/>
    <s v="Onroll"/>
    <s v="M-6"/>
    <n v="6"/>
    <m/>
    <s v="MM"/>
    <s v="M"/>
    <s v="Odisha"/>
    <n v="2"/>
    <s v="77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Paradeep"/>
    <d v="1982-06-07T00:00:00"/>
    <s v="41.03"/>
    <d v="2012-01-02T00:00:00"/>
    <d v="2040-06-30T00:00:00"/>
    <m/>
    <d v="2040-06-30T00:00:00"/>
    <n v="6128"/>
    <s v=""/>
    <s v=""/>
    <s v=""/>
    <s v="11.08"/>
    <s v="11.08"/>
    <s v="00051207"/>
    <s v="Finance &amp; Accounts - Ports Paradip"/>
    <s v="304341"/>
    <s v="New Acquisition"/>
    <s v="AMNS PORTS"/>
    <s v="0004315000"/>
    <s v="EBTPL- COMMON"/>
    <s v="7704PARA"/>
    <s v="20055088"/>
    <s v="Amit Harlalka"/>
    <s v="No"/>
    <s v="prasanta.behera@amns.in"/>
    <s v="7381097608"/>
    <s v="1025168"/>
    <s v="Manjit Shah"/>
    <s v="Anil Matoo"/>
    <n v="0"/>
    <s v="Manjit Shah"/>
    <n v="0"/>
  </r>
  <r>
    <n v="5778"/>
    <n v="20058050"/>
    <s v="Niranjan Malu"/>
    <s v="AM/NS Ports Paradip"/>
    <s v="Onroll"/>
    <s v="M-10"/>
    <n v="10"/>
    <m/>
    <s v="JM"/>
    <s v="M"/>
    <s v="Odisha"/>
    <n v="2"/>
    <s v="77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Paradeep"/>
    <d v="1983-02-18T00:00:00"/>
    <s v="40.07"/>
    <d v="2018-07-02T00:00:00"/>
    <d v="2041-02-28T00:00:00"/>
    <m/>
    <d v="2041-02-28T00:00:00"/>
    <n v="6371"/>
    <s v=""/>
    <s v=""/>
    <s v=""/>
    <s v="05.02"/>
    <s v="05.02"/>
    <s v="00051207"/>
    <s v="Finance &amp; Accounts - Ports Paradip"/>
    <s v="304356"/>
    <s v="New Acquisition"/>
    <s v="AMNS PORTS"/>
    <s v="0004315000"/>
    <s v="EBTPL- COMMON"/>
    <s v="7704PARA"/>
    <s v="20058035"/>
    <s v="Prasanta Kumar Behera"/>
    <s v="No"/>
    <s v="niranjan.malu@amns.in"/>
    <s v="7381008677"/>
    <s v="1026678"/>
    <s v="Manjit Shah"/>
    <s v="Anil Matoo"/>
    <n v="0"/>
    <s v="Manjit Shah"/>
    <n v="0"/>
  </r>
  <r>
    <n v="5781"/>
    <n v="20058053"/>
    <s v="Krushna Barik"/>
    <s v="AM/NS Ports Paradip"/>
    <s v="Onroll"/>
    <s v="M-10"/>
    <n v="10"/>
    <m/>
    <s v="JM"/>
    <s v="M"/>
    <s v="Odisha"/>
    <n v="2"/>
    <s v="77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Paradeep"/>
    <d v="1991-05-16T00:00:00"/>
    <s v="32.04"/>
    <d v="2022-04-01T00:00:00"/>
    <d v="2049-05-31T00:00:00"/>
    <m/>
    <d v="2049-05-31T00:00:00"/>
    <n v="9385"/>
    <s v=""/>
    <s v=""/>
    <s v=""/>
    <s v="01.05"/>
    <s v="01.05"/>
    <s v="00051206"/>
    <s v="Commercial"/>
    <s v="304359"/>
    <s v="New Acquisition"/>
    <s v="AMNS PORTS"/>
    <s v="0004315000"/>
    <s v="EBTPL- COMMON"/>
    <s v="7700PARA"/>
    <s v="20058031"/>
    <s v="Ananta Subudhi Ray"/>
    <s v="No"/>
    <s v="krushna.barik@amns.in"/>
    <s v="7381008028"/>
    <s v="1026681"/>
    <s v="Manjit Shah"/>
    <s v="Anil Matoo"/>
    <n v="0"/>
    <s v="Manjit Shah"/>
    <n v="0"/>
  </r>
  <r>
    <n v="5788"/>
    <n v="20058060"/>
    <s v="Alok Nayak"/>
    <s v="AM/NS Ports Paradip"/>
    <s v="Onroll"/>
    <s v="M-10"/>
    <n v="10"/>
    <m/>
    <s v="JM"/>
    <s v="M"/>
    <s v="Odisha"/>
    <n v="2"/>
    <s v="77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Paradeep"/>
    <d v="1984-06-11T00:00:00"/>
    <s v="39.03"/>
    <d v="2022-04-01T00:00:00"/>
    <d v="2042-06-30T00:00:00"/>
    <m/>
    <d v="2042-06-30T00:00:00"/>
    <n v="6858"/>
    <s v=""/>
    <s v=""/>
    <s v=""/>
    <s v="01.05"/>
    <s v="01.05"/>
    <s v="00051207"/>
    <s v="Finance &amp; Accounts - Ports Paradip"/>
    <s v="304366"/>
    <s v="New Acquisition"/>
    <s v="AMNS PORTS"/>
    <s v="0004315000"/>
    <s v="EBTPL- COMMON"/>
    <s v="7704PARA"/>
    <s v="20058035"/>
    <s v="Prasanta Kumar Behera"/>
    <s v="No"/>
    <s v="alok.nayak@amns.in"/>
    <s v="9937138362"/>
    <s v="1026690"/>
    <s v="Manjit Shah"/>
    <s v="Anil Matoo"/>
    <n v="0"/>
    <s v="Manjit Shah"/>
    <n v="0"/>
  </r>
  <r>
    <n v="5796"/>
    <n v="20058068"/>
    <s v="Srinivas Munukuti"/>
    <s v="AM/NS Power Hazira"/>
    <s v="Onroll"/>
    <s v="M-10"/>
    <n v="10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1-05-27T00:00:00"/>
    <s v="52.03"/>
    <d v="1994-03-31T00:00:00"/>
    <d v="2029-05-31T00:00:00"/>
    <m/>
    <d v="2029-05-31T00:00:00"/>
    <n v="2080"/>
    <s v=""/>
    <s v=""/>
    <s v=""/>
    <s v="29.05"/>
    <s v="29.05"/>
    <s v="00051183"/>
    <s v="Contract &amp; Procurement"/>
    <s v="304022"/>
    <s v="New Acquisition"/>
    <s v="AMNS Power Hazira Ld"/>
    <s v="0309018065"/>
    <s v="EPOL 270MW"/>
    <s v="3509HAZI"/>
    <s v="20058072"/>
    <s v="Siddhartha Sutradhar"/>
    <s v="No"/>
    <s v="srinivas.munukuti@amns.in"/>
    <s v="9879102804"/>
    <s v="1019543"/>
    <s v="Manjit Shah"/>
    <s v="Anil Matoo"/>
    <n v="0"/>
    <s v="Manjit Shah"/>
    <n v="0"/>
  </r>
  <r>
    <n v="5800"/>
    <n v="20058072"/>
    <s v="Siddhartha Sutradhar"/>
    <s v="AM/NS Power Hazira"/>
    <s v="Onroll"/>
    <s v="M-6"/>
    <n v="6"/>
    <m/>
    <s v="M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0-01-01T00:00:00"/>
    <s v="53.08"/>
    <d v="1997-06-23T00:00:00"/>
    <d v="2027-12-31T00:00:00"/>
    <m/>
    <d v="2027-12-31T00:00:00"/>
    <n v="1563"/>
    <s v=""/>
    <s v=""/>
    <s v=""/>
    <s v="26.02"/>
    <s v="26.02"/>
    <s v="00051183"/>
    <s v="Contract &amp; Procurement"/>
    <s v="304026"/>
    <s v="New Acquisition"/>
    <s v="AMNS Power Hazira Ld"/>
    <s v="0309018065"/>
    <s v="EPOL 270MW"/>
    <s v="3509HAZI"/>
    <s v="20000201"/>
    <s v="Manish Bakriwala"/>
    <s v="No"/>
    <s v="siddhartha.sutradhar@amns.in"/>
    <s v="7903123553"/>
    <s v="1019726"/>
    <s v="Manjit Shah"/>
    <s v="Anil Matoo"/>
    <n v="0"/>
    <s v="Manjit Shah"/>
    <n v="0"/>
  </r>
  <r>
    <n v="5805"/>
    <n v="20058078"/>
    <s v="Bhupendra Patel"/>
    <s v="AM/NS Power Hazira"/>
    <s v="Onroll"/>
    <s v="M-8"/>
    <n v="8"/>
    <m/>
    <s v="J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67-06-22T00:00:00"/>
    <s v="56.03"/>
    <d v="2005-01-01T00:00:00"/>
    <d v="2025-06-30T00:00:00"/>
    <m/>
    <d v="2025-06-30T00:00:00"/>
    <n v="649"/>
    <s v=""/>
    <s v=""/>
    <s v=""/>
    <s v="18.08"/>
    <s v="18.08"/>
    <s v="00051184"/>
    <s v="Finance &amp; Accounts"/>
    <s v="304032"/>
    <s v="New Acquisition"/>
    <s v="AMNS Power Hazira Ld"/>
    <s v="0309018065"/>
    <s v="EPOL 270MW"/>
    <s v="3501HAZI"/>
    <s v="20058113"/>
    <s v="Gadhibantu Koteswar Rao"/>
    <s v="No"/>
    <s v="bhupendra.patel1@amns.in"/>
    <s v="9879102884"/>
    <s v="1018994"/>
    <s v="Manjit Shah"/>
    <s v="Anil Matoo"/>
    <n v="0"/>
    <s v="Manjit Shah"/>
    <n v="0"/>
  </r>
  <r>
    <n v="5806"/>
    <n v="20058079"/>
    <s v="Amit Patel"/>
    <s v="AM/NS Power Hazira"/>
    <s v="Onroll"/>
    <s v="M-8"/>
    <n v="8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6-04-30T00:00:00"/>
    <s v="47.04"/>
    <d v="2005-01-01T00:00:00"/>
    <d v="2034-04-30T00:00:00"/>
    <m/>
    <d v="2034-04-30T00:00:00"/>
    <n v="3875"/>
    <s v=""/>
    <s v=""/>
    <s v=""/>
    <s v="18.08"/>
    <s v="18.08"/>
    <s v="00051183"/>
    <s v="Contract &amp; Procurement"/>
    <s v="304033"/>
    <s v="New Acquisition"/>
    <s v="AMNS Power Hazira Ld"/>
    <s v="0309018065"/>
    <s v="EPOL 270MW"/>
    <s v="3509HAZI"/>
    <s v="20000948"/>
    <s v="Hitesh Raval"/>
    <s v="No"/>
    <s v="amit.patel10@amns.in"/>
    <s v="9879102885"/>
    <s v="1019733"/>
    <s v="Manjit Shah"/>
    <s v="Anil Matoo"/>
    <n v="0"/>
    <s v="Manjit Shah"/>
    <n v="0"/>
  </r>
  <r>
    <n v="5809"/>
    <n v="20058082"/>
    <s v="Anupmeya Anand"/>
    <s v="AM/NS Power Hazira"/>
    <s v="Onroll"/>
    <s v="M-8"/>
    <n v="8"/>
    <m/>
    <s v="JM"/>
    <s v="M"/>
    <s v="Hazira"/>
    <n v="1"/>
    <s v="3507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1-03-15T00:00:00"/>
    <s v="42.06"/>
    <d v="2006-12-20T00:00:00"/>
    <d v="2039-03-31T00:00:00"/>
    <m/>
    <d v="2039-03-31T00:00:00"/>
    <n v="5671"/>
    <s v=""/>
    <s v=""/>
    <s v=""/>
    <s v="16.09"/>
    <s v="16.09"/>
    <s v="00051183"/>
    <s v="Contract &amp; Procurement"/>
    <s v="304036"/>
    <s v="New Acquisition"/>
    <s v="AMNS Power Hazira Ld"/>
    <s v="0309018065"/>
    <s v="EPOL 270MW"/>
    <s v="3507HAZI"/>
    <s v="20058072"/>
    <s v="Siddhartha Sutradhar"/>
    <s v="No"/>
    <s v="anupmeya.anand@amns.in"/>
    <s v="9925227060"/>
    <s v="1019801"/>
    <s v="Manjit Shah"/>
    <s v="Anil Matoo"/>
    <n v="0"/>
    <s v="Manjit Shah"/>
    <n v="0"/>
  </r>
  <r>
    <n v="5815"/>
    <n v="20058088"/>
    <s v="Narendra Yadav"/>
    <s v="AM/NS Power Hazira"/>
    <s v="Onroll"/>
    <s v="M-7"/>
    <n v="7"/>
    <m/>
    <s v="M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67-03-02T00:00:00"/>
    <s v="56.06"/>
    <d v="2008-05-20T00:00:00"/>
    <d v="2025-03-31T00:00:00"/>
    <m/>
    <d v="2025-03-31T00:00:00"/>
    <n v="558"/>
    <s v=""/>
    <s v=""/>
    <s v=""/>
    <s v="15.04"/>
    <s v="15.04"/>
    <s v="00051184"/>
    <s v="Finance &amp; Accounts"/>
    <s v="304042"/>
    <s v="New Acquisition"/>
    <s v="AMNS Power Hazira Ld"/>
    <s v="0309018065"/>
    <s v="EPOL 270MW"/>
    <s v="3501HAZI"/>
    <s v="20001854"/>
    <s v="Arasappan Thirumaran"/>
    <s v="No"/>
    <s v="narendra.yadav@amns.in"/>
    <s v="9909993532"/>
    <s v="1019743"/>
    <s v="Manjit Shah"/>
    <s v="Anil Matoo"/>
    <n v="0"/>
    <s v="Manjit Shah"/>
    <n v="0"/>
  </r>
  <r>
    <n v="5816"/>
    <n v="20058089"/>
    <s v="Yudhishthir Trivedi"/>
    <s v="AM/NS Power Hazira"/>
    <s v="Onroll"/>
    <s v="M-8"/>
    <n v="8"/>
    <m/>
    <s v="JM"/>
    <s v="M"/>
    <s v="Corporate"/>
    <n v="1"/>
    <s v="3505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Operations"/>
    <s v="Operations"/>
    <s v="72103001"/>
    <s v="Operations"/>
    <s v="Hazira"/>
    <d v="1985-06-02T00:00:00"/>
    <s v="38.03"/>
    <d v="2008-06-09T00:00:00"/>
    <d v="2043-06-30T00:00:00"/>
    <m/>
    <d v="2043-06-30T00:00:00"/>
    <n v="7223"/>
    <s v=""/>
    <s v=""/>
    <s v=""/>
    <s v="15.03"/>
    <s v="15.03"/>
    <s v="00051172"/>
    <s v="Power Hazira"/>
    <s v="304043"/>
    <s v="New Acquisition"/>
    <s v="AMNS Power Hazira Ld"/>
    <s v="0309018065"/>
    <s v="EPOL 270MW"/>
    <s v="3505HAZI"/>
    <s v="20028777"/>
    <s v="Narendra Dugar"/>
    <s v="No"/>
    <s v="yudhishthir.trivedi@amns.in"/>
    <s v="9879102436"/>
    <s v="1019744"/>
    <s v="Manjit Shah"/>
    <s v="Anil Matoo"/>
    <n v="0"/>
    <s v="Manjit Shah"/>
    <n v="0"/>
  </r>
  <r>
    <n v="5823"/>
    <n v="20058096"/>
    <s v="Shailesh Kapadia"/>
    <s v="AM/NS Power Hazira"/>
    <s v="Onroll"/>
    <s v="M-8"/>
    <n v="8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8-02-01T00:00:00"/>
    <s v="45.07"/>
    <d v="2010-03-02T00:00:00"/>
    <d v="2036-01-31T00:00:00"/>
    <m/>
    <d v="2036-01-31T00:00:00"/>
    <n v="4516"/>
    <s v=""/>
    <s v=""/>
    <s v=""/>
    <s v="13.06"/>
    <s v="13.06"/>
    <s v="00051183"/>
    <s v="Contract &amp; Procurement"/>
    <s v="304050"/>
    <s v="New Acquisition"/>
    <s v="AMNS Power Hazira Ld"/>
    <s v="0309018065"/>
    <s v="EPOL 270MW"/>
    <s v="3509HAZI"/>
    <s v="20058072"/>
    <s v="Siddhartha Sutradhar"/>
    <s v="No"/>
    <s v="shailesh.kapadia@amns.in"/>
    <s v="9909993530"/>
    <s v="1019751"/>
    <s v="Manjit Shah"/>
    <s v="Anil Matoo"/>
    <n v="0"/>
    <s v="Manjit Shah"/>
    <n v="0"/>
  </r>
  <r>
    <n v="5839"/>
    <n v="20058113"/>
    <s v="Gadhibantu Koteswar Rao"/>
    <s v="AM/NS Power Hazira"/>
    <s v="Onroll"/>
    <s v="M-6"/>
    <n v="6"/>
    <m/>
    <s v="M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69-11-22T00:00:00"/>
    <s v="53.09"/>
    <d v="2012-02-17T00:00:00"/>
    <d v="2027-11-30T00:00:00"/>
    <m/>
    <d v="2027-11-30T00:00:00"/>
    <n v="1532"/>
    <s v=""/>
    <s v=""/>
    <s v=""/>
    <s v="11.07"/>
    <s v="11.07"/>
    <s v="00051184"/>
    <s v="Finance &amp; Accounts"/>
    <s v="304067"/>
    <s v="New Acquisition"/>
    <s v="AMNS Power Hazira Ld"/>
    <s v="0309018065"/>
    <s v="EPOL 270MW"/>
    <s v="3501HAZI"/>
    <s v="20000679"/>
    <s v="Dinesh Mangal"/>
    <s v="No"/>
    <s v="gadhibantu.koteswarrao@amns.in"/>
    <s v="9909993553"/>
    <s v="1018997"/>
    <s v="Manjit Shah"/>
    <s v="Anil Matoo"/>
    <n v="0"/>
    <s v="Manjit Shah"/>
    <n v="0"/>
  </r>
  <r>
    <n v="5856"/>
    <n v="20058134"/>
    <s v="Piyush Jain"/>
    <s v="AM/NS Power Hazira"/>
    <s v="Onroll"/>
    <s v="M-8"/>
    <n v="8"/>
    <m/>
    <s v="J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9-10-27T00:00:00"/>
    <s v="33.10"/>
    <d v="2019-06-17T00:00:00"/>
    <d v="2047-10-31T00:00:00"/>
    <m/>
    <d v="2047-10-31T00:00:00"/>
    <n v="8807"/>
    <s v=""/>
    <s v=""/>
    <s v=""/>
    <s v="04.03"/>
    <s v="04.03"/>
    <s v="00051197"/>
    <s v="Finance &amp; Accounts - Ports Hazira"/>
    <s v="304088"/>
    <s v="New Acquisition"/>
    <s v="AMNS Power Hazira Ld"/>
    <s v="0309018065"/>
    <s v="EPOL 270MW"/>
    <s v="3501HAZI"/>
    <s v="20058184"/>
    <s v="Rama Barik"/>
    <s v="No"/>
    <s v="piyush.jain@amns.in"/>
    <s v="9879102878"/>
    <s v="1018996"/>
    <s v="Manjit Shah"/>
    <s v="Anil Matoo"/>
    <n v="0"/>
    <s v="Manjit Shah"/>
    <n v="0"/>
  </r>
  <r>
    <n v="5858"/>
    <n v="20058136"/>
    <s v="Prateek Kumar"/>
    <s v="AM/NS Power Hazira"/>
    <s v="Onroll"/>
    <s v="M-9"/>
    <n v="9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81-08-26T00:00:00"/>
    <s v="42.00"/>
    <d v="2021-12-13T00:00:00"/>
    <d v="2039-08-31T00:00:00"/>
    <m/>
    <d v="2039-08-31T00:00:00"/>
    <n v="5824"/>
    <s v=""/>
    <s v=""/>
    <s v=""/>
    <s v="01.09"/>
    <s v="01.09"/>
    <s v="00051183"/>
    <s v="Contract &amp; Procurement"/>
    <s v="304090"/>
    <s v="New Acquisition"/>
    <s v="AMNS Power Hazira Ld"/>
    <s v="0309018065"/>
    <s v="EPOL 270MW"/>
    <s v="3509HAZI"/>
    <s v="20058072"/>
    <s v="Siddhartha Sutradhar"/>
    <s v="No"/>
    <s v="prateek.kumar@amns.in"/>
    <s v="9925203885"/>
    <s v="1019790"/>
    <s v="Manjit Shah"/>
    <s v="Anil Matoo"/>
    <n v="0"/>
    <s v="Manjit Shah"/>
    <n v="0"/>
  </r>
  <r>
    <n v="5861"/>
    <n v="20058139"/>
    <s v="Sunil Tiwari"/>
    <s v="AM/NS Power Hazira"/>
    <s v="Onroll"/>
    <s v="M-6"/>
    <n v="6"/>
    <m/>
    <s v="MM"/>
    <s v="M"/>
    <s v="Hazira"/>
    <n v="1"/>
    <s v="3503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81-01-01T00:00:00"/>
    <s v="42.08"/>
    <d v="2022-04-01T00:00:00"/>
    <d v="2038-12-31T00:00:00"/>
    <m/>
    <d v="2038-12-31T00:00:00"/>
    <n v="5581"/>
    <s v=""/>
    <s v=""/>
    <s v=""/>
    <s v="01.05"/>
    <s v="01.05"/>
    <s v="00051185"/>
    <s v="Human Resources"/>
    <s v="304093"/>
    <s v="New Acquisition"/>
    <s v="AMNS Power Hazira Ld"/>
    <s v="0309018065"/>
    <s v="EPOL 270MW"/>
    <s v="3503HAZI"/>
    <s v="20016406"/>
    <s v="Manjit Shah"/>
    <s v="No"/>
    <s v="sunil.tiwari@amns.in"/>
    <s v="9819730527"/>
    <s v="1019793"/>
    <s v="Manjit Shah"/>
    <s v="Anil Matoo"/>
    <n v="0"/>
    <s v="Manjit Shah"/>
    <n v="0"/>
  </r>
  <r>
    <n v="5869"/>
    <n v="20058149"/>
    <s v="Anjali ."/>
    <s v="AM/NS Power Hazira"/>
    <s v="Onroll"/>
    <s v="M-8"/>
    <n v="8"/>
    <m/>
    <s v="JM"/>
    <s v="F"/>
    <s v="Hazira"/>
    <n v="1"/>
    <s v="3503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94-08-14T00:00:00"/>
    <s v="29.01"/>
    <d v="2022-10-07T00:00:00"/>
    <d v="2052-08-31T00:00:00"/>
    <m/>
    <d v="2052-08-31T00:00:00"/>
    <n v="10573"/>
    <s v=""/>
    <s v=""/>
    <s v=""/>
    <s v="00.11"/>
    <s v="00.11"/>
    <s v="00051185"/>
    <s v="Human Resources"/>
    <s v="304103"/>
    <s v="New Acquisition"/>
    <s v="AMNS Power Hazira Ld"/>
    <s v="0309018065"/>
    <s v="EPOL 270MW"/>
    <s v="3503HAZI"/>
    <s v="20054937"/>
    <s v="Hitesh Kumar Yadav"/>
    <s v="No"/>
    <s v="anjali.anil@amns.in"/>
    <s v="9925240506"/>
    <s v="1019805"/>
    <s v="Manjit Shah"/>
    <s v="Anil Matoo"/>
    <n v="0"/>
    <s v="Manjit Shah"/>
    <n v="0"/>
  </r>
  <r>
    <n v="5870"/>
    <n v="20058150"/>
    <s v="Neeraj Murarka"/>
    <s v="AM/NS Power Hazira"/>
    <s v="Onroll"/>
    <s v="M-6"/>
    <n v="6"/>
    <m/>
    <s v="M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Mumbai"/>
    <d v="1981-04-16T00:00:00"/>
    <s v="42.05"/>
    <d v="2022-12-10T00:00:00"/>
    <d v="2039-04-30T00:00:00"/>
    <m/>
    <d v="2039-04-30T00:00:00"/>
    <n v="5701"/>
    <s v=""/>
    <s v=""/>
    <s v=""/>
    <s v="00.09"/>
    <s v="00.09"/>
    <s v="70494931"/>
    <s v="Working Capital"/>
    <s v="304104"/>
    <s v="New Acquisition"/>
    <s v="AMNS Power Hazira Ld"/>
    <s v="0309018065"/>
    <s v="EPOL 270MW"/>
    <s v="3501MUMB"/>
    <s v="20055188"/>
    <s v="Rohit Sharma"/>
    <s v="No"/>
    <s v="neeraj.murarka@amns.in"/>
    <s v="9167999769"/>
    <s v="1029647"/>
    <s v="Manjit Shah"/>
    <s v="Anil Matoo"/>
    <n v="0"/>
    <s v="Manjit Shah"/>
    <n v="0"/>
  </r>
  <r>
    <n v="5871"/>
    <n v="20058151"/>
    <s v="Laxmi Joshi"/>
    <s v="AM/NS Power Hazira"/>
    <s v="Onroll"/>
    <s v="M-7"/>
    <n v="7"/>
    <m/>
    <s v="MM"/>
    <s v="F"/>
    <s v="Hazira"/>
    <n v="1"/>
    <s v="3500"/>
    <x v="11"/>
    <s v="42.01"/>
    <s v="Pankaj Chourasia"/>
    <s v="P Ashok Kumar"/>
    <n v="9"/>
    <s v="Legal"/>
    <s v="Company Secretary"/>
    <s v="42"/>
    <s v="Lead Company Secretary"/>
    <m/>
    <s v="Company Secretary"/>
    <s v=""/>
    <s v=""/>
    <s v="Non Technical Support"/>
    <s v="Operations"/>
    <s v="Operations"/>
    <s v="72103001"/>
    <s v="Operations"/>
    <s v="Mumbai"/>
    <d v="1989-07-26T00:00:00"/>
    <s v="34.01"/>
    <d v="2022-12-03T00:00:00"/>
    <d v="2047-07-31T00:00:00"/>
    <m/>
    <d v="2047-07-31T00:00:00"/>
    <n v="8715"/>
    <s v=""/>
    <s v=""/>
    <s v=""/>
    <s v="00.09"/>
    <s v="00.09"/>
    <s v="70273573"/>
    <s v="Company Secretarial"/>
    <s v="304105"/>
    <s v="New Acquisition"/>
    <s v="AMNS Power Hazira Ld"/>
    <s v="0309018065"/>
    <s v="EPOL 270MW"/>
    <s v="3500MUMB"/>
    <s v="20050785"/>
    <s v="Pankaj Chourasia"/>
    <s v="No"/>
    <s v="laxmi.joshi@amns.in"/>
    <s v="9925240508"/>
    <s v="1041012"/>
    <s v="Manjit Shah"/>
    <s v="Anil Matoo"/>
    <n v="0"/>
    <s v="Manjit Shah"/>
    <n v="0"/>
  </r>
  <r>
    <n v="5872"/>
    <n v="20058152"/>
    <s v="Shabbir Juzerbhai Bengali"/>
    <s v="AM/NS Power Hazira"/>
    <s v="Onroll"/>
    <s v="M-8"/>
    <n v="8"/>
    <m/>
    <s v="J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1-07-25T00:00:00"/>
    <s v="42.01"/>
    <d v="2010-11-08T00:00:00"/>
    <d v="2039-07-31T00:00:00"/>
    <m/>
    <d v="2039-07-31T00:00:00"/>
    <n v="5793"/>
    <s v=""/>
    <s v=""/>
    <s v=""/>
    <s v="12.10"/>
    <s v="12.10"/>
    <s v="00051184"/>
    <s v="Finance &amp; Accounts"/>
    <s v="304106"/>
    <s v="New Acquisition"/>
    <s v="AMNS Power Hazira Ld"/>
    <s v="0309018065"/>
    <s v="EPOL 270MW"/>
    <s v="3501HAZI"/>
    <s v="20016107"/>
    <s v="Kalpesh Thathagar"/>
    <s v="No"/>
    <s v="shabbir.bengali@amns.in"/>
    <s v="9879107352"/>
    <s v="1019794"/>
    <s v="Manjit Shah"/>
    <s v="Anil Matoo"/>
    <n v="0"/>
    <s v="Manjit Shah"/>
    <n v="0"/>
  </r>
  <r>
    <n v="5888"/>
    <n v="20058169"/>
    <s v="Chirag Desai"/>
    <s v="AM/NS Ports Hazira"/>
    <s v="Onroll"/>
    <s v="M-7"/>
    <n v="7"/>
    <m/>
    <s v="MM"/>
    <s v="M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1-06-26T00:00:00"/>
    <s v="42.02"/>
    <d v="2006-06-19T00:00:00"/>
    <d v="2039-06-30T00:00:00"/>
    <m/>
    <d v="2039-06-30T00:00:00"/>
    <n v="5762"/>
    <s v=""/>
    <s v=""/>
    <s v=""/>
    <s v="17.03"/>
    <s v="17.03"/>
    <s v="00051196"/>
    <s v="Procurement - Ports Hazira"/>
    <s v="304237"/>
    <s v="New Acquisition"/>
    <s v="AMNS PARADIP PORT"/>
    <s v=""/>
    <s v=""/>
    <s v="7414HAZI"/>
    <s v="20058183"/>
    <s v="Pranabendra Barman"/>
    <s v="No"/>
    <s v="chirag.desai@amns.in"/>
    <s v="9925246149"/>
    <s v="1026743"/>
    <s v="Manjit Shah"/>
    <s v="Anil Matoo"/>
    <n v="0"/>
    <s v="Manjit Shah"/>
    <n v="0"/>
  </r>
  <r>
    <n v="5894"/>
    <n v="20058175"/>
    <s v="Neelam Thanvi"/>
    <s v="AM/NS Ports Hazira"/>
    <s v="Onroll"/>
    <s v="M-6"/>
    <n v="6"/>
    <m/>
    <s v="MM"/>
    <s v="F"/>
    <s v="Hazira"/>
    <n v="1"/>
    <s v="7401"/>
    <x v="11"/>
    <s v="42.01"/>
    <s v="Pankaj Chourasia"/>
    <s v="P Ashok Kumar"/>
    <n v="9"/>
    <s v="Legal"/>
    <s v="Company Secretary"/>
    <s v="42"/>
    <s v="Sr. Lead Company Secretary"/>
    <m/>
    <s v="Company Secretary"/>
    <s v=""/>
    <s v=""/>
    <s v="Non Technical Support"/>
    <s v="Operations"/>
    <s v="Operations"/>
    <s v="72103001"/>
    <s v="Operations"/>
    <s v="Mumbai"/>
    <d v="1983-10-24T00:00:00"/>
    <s v="39.10"/>
    <d v="2007-06-25T00:00:00"/>
    <d v="2041-10-31T00:00:00"/>
    <m/>
    <d v="2041-10-31T00:00:00"/>
    <n v="6616"/>
    <s v=""/>
    <s v=""/>
    <s v=""/>
    <s v="16.02"/>
    <s v="16.02"/>
    <s v="70273573"/>
    <s v="Company Secretarial"/>
    <s v="304243"/>
    <s v="New Acquisition"/>
    <s v="AMNS PARADIP PORT"/>
    <s v=""/>
    <s v=""/>
    <s v="7401MUMB"/>
    <s v="20050785"/>
    <s v="Pankaj Chourasia"/>
    <s v="No"/>
    <s v="neelam.thanvi@amns.in"/>
    <s v="9930136083"/>
    <s v="1026752"/>
    <s v="Manjit Shah"/>
    <s v="Anil Matoo"/>
    <n v="0"/>
    <s v="Manjit Shah"/>
    <n v="0"/>
  </r>
  <r>
    <n v="5899"/>
    <n v="20058180"/>
    <s v="Piyush Patel"/>
    <s v="AM/NS Ports Hazira"/>
    <s v="Onroll"/>
    <s v="M-9"/>
    <n v="9"/>
    <m/>
    <s v="JM"/>
    <s v="M"/>
    <s v="Hazira"/>
    <n v="1"/>
    <s v="7418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2-05-30T00:00:00"/>
    <s v="51.03"/>
    <d v="2008-03-15T00:00:00"/>
    <d v="2030-05-31T00:00:00"/>
    <m/>
    <d v="2030-05-31T00:00:00"/>
    <n v="2445"/>
    <s v=""/>
    <s v=""/>
    <s v=""/>
    <s v="15.06"/>
    <s v="15.06"/>
    <s v="00051196"/>
    <s v="Procurement - Ports Hazira"/>
    <s v="304249"/>
    <s v="New Acquisition"/>
    <s v="AMNS PARADIP PORT"/>
    <s v=""/>
    <s v=""/>
    <s v="7418HAZI"/>
    <s v="20001905"/>
    <s v="Nirav Bhagat"/>
    <s v="No"/>
    <s v="piyush.patel3@amns.in"/>
    <s v="9879102854"/>
    <s v="1026767"/>
    <s v="Manjit Shah"/>
    <s v="Anil Matoo"/>
    <n v="0"/>
    <s v="Manjit Shah"/>
    <n v="0"/>
  </r>
  <r>
    <n v="5902"/>
    <n v="20058183"/>
    <s v="Pranabendra Barman"/>
    <s v="AM/NS Ports Hazira"/>
    <s v="Onroll"/>
    <s v="M-5"/>
    <n v="5"/>
    <m/>
    <s v="MM"/>
    <s v="M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69-08-27T00:00:00"/>
    <s v="54.00"/>
    <d v="2008-07-16T00:00:00"/>
    <d v="2027-08-31T00:00:00"/>
    <m/>
    <d v="2027-08-31T00:00:00"/>
    <n v="1441"/>
    <s v=""/>
    <s v=""/>
    <s v=""/>
    <s v="15.02"/>
    <s v="15.02"/>
    <s v="00051196"/>
    <s v="Procurement - Ports Hazira"/>
    <s v="304252"/>
    <s v="New Acquisition"/>
    <s v="AMNS PARADIP PORT"/>
    <s v=""/>
    <s v=""/>
    <s v="7414HAZI"/>
    <s v="20000201"/>
    <s v="Manish Bakriwala"/>
    <s v="No"/>
    <s v="pranabendra.barman@amns.in"/>
    <s v="9727764050"/>
    <s v="1026772"/>
    <s v="Manjit Shah"/>
    <s v="Anil Matoo"/>
    <n v="0"/>
    <s v="Manjit Shah"/>
    <n v="0"/>
  </r>
  <r>
    <n v="5903"/>
    <n v="20058184"/>
    <s v="Rama Barik"/>
    <s v="AM/NS Ports Hazira"/>
    <s v="Onroll"/>
    <s v="M-5"/>
    <n v="5"/>
    <m/>
    <s v="M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78-03-04T00:00:00"/>
    <s v="45.06"/>
    <d v="2008-07-28T00:00:00"/>
    <d v="2036-03-31T00:00:00"/>
    <m/>
    <d v="2036-03-31T00:00:00"/>
    <n v="4576"/>
    <s v=""/>
    <s v=""/>
    <s v=""/>
    <s v="15.01"/>
    <s v="15.01"/>
    <s v="00051197"/>
    <s v="Finance &amp; Accounts - Ports Hazira"/>
    <s v="304253"/>
    <s v="New Acquisition"/>
    <s v="AMNS PARADIP PORT"/>
    <s v=""/>
    <s v=""/>
    <s v="7404HAZI"/>
    <s v="20055088"/>
    <s v="Amit Harlalka"/>
    <s v="No"/>
    <s v="rama.barik@amns.in"/>
    <s v="9727764049"/>
    <s v="1025165"/>
    <s v="Manjit Shah"/>
    <s v="Anil Matoo"/>
    <n v="0"/>
    <s v="Manjit Shah"/>
    <n v="0"/>
  </r>
  <r>
    <n v="5917"/>
    <n v="20058198"/>
    <s v="Chaitanya Chavan"/>
    <s v="AM/NS Ports Hazira"/>
    <s v="Onroll"/>
    <s v="M-7"/>
    <n v="7"/>
    <m/>
    <s v="M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Mumbai"/>
    <d v="1980-01-31T00:00:00"/>
    <s v="43.07"/>
    <d v="2011-11-14T00:00:00"/>
    <d v="2038-01-31T00:00:00"/>
    <m/>
    <d v="2038-01-31T00:00:00"/>
    <n v="5247"/>
    <s v=""/>
    <s v=""/>
    <s v=""/>
    <s v="11.10"/>
    <s v="11.10"/>
    <s v="70494633"/>
    <s v="Finance &amp; Accounts"/>
    <s v="304267"/>
    <s v="New Acquisition"/>
    <s v="AMNS PARADIP PORT"/>
    <s v=""/>
    <s v=""/>
    <s v="7404MUMB"/>
    <s v="20000870"/>
    <s v="Balajee M"/>
    <s v="No"/>
    <s v="chaitanya.chavan@amns.in"/>
    <s v="9930134105"/>
    <s v="1026797"/>
    <s v="Manjit Shah"/>
    <s v="Anil Matoo"/>
    <n v="0"/>
    <s v="Manjit Shah"/>
    <n v="0"/>
  </r>
  <r>
    <n v="5918"/>
    <n v="20058199"/>
    <s v="Rabindra Samal"/>
    <s v="AM/NS Ports Hazira"/>
    <s v="Onroll"/>
    <s v="M-5"/>
    <n v="5"/>
    <m/>
    <s v="MM"/>
    <s v="M"/>
    <s v="Corporate"/>
    <n v="1"/>
    <s v="7409"/>
    <x v="16"/>
    <s v="03.01"/>
    <s v="Nilesh Likhite"/>
    <s v="Dilip Oommen"/>
    <n v="1"/>
    <s v="CEO Office"/>
    <s v="Internal Audit"/>
    <s v="03"/>
    <s v="Sr. Lead Internal Audit "/>
    <m/>
    <s v="Internal Audit"/>
    <s v=""/>
    <s v=""/>
    <s v="Non Technical Support"/>
    <s v="Operations"/>
    <s v="Operations"/>
    <s v="72103001"/>
    <s v="Operations"/>
    <s v="Mumbai"/>
    <d v="1973-03-12T00:00:00"/>
    <s v="50.06"/>
    <d v="2015-01-27T00:00:00"/>
    <d v="2031-03-31T00:00:00"/>
    <m/>
    <d v="2031-03-31T00:00:00"/>
    <n v="2749"/>
    <s v=""/>
    <s v=""/>
    <s v=""/>
    <s v="08.07"/>
    <s v="08.07"/>
    <s v="00051199"/>
    <s v="Internal Audit"/>
    <s v="304268"/>
    <s v="New Acquisition"/>
    <s v="AMNS PARADIP PORT"/>
    <s v=""/>
    <s v=""/>
    <s v="7409MUMB"/>
    <s v="20055486"/>
    <s v="Nilesh Likhite"/>
    <s v="No"/>
    <s v="rabindra.samal@amns.in"/>
    <s v="9930136590"/>
    <s v="1026798"/>
    <s v="Manjit Shah"/>
    <s v="Anil Matoo"/>
    <n v="0"/>
    <s v="Manjit Shah"/>
    <n v="0"/>
  </r>
  <r>
    <n v="5922"/>
    <n v="20058203"/>
    <s v="Sejalkumar Patel"/>
    <s v="AM/NS Ports Hazira"/>
    <s v="Onroll"/>
    <s v="M-9"/>
    <n v="9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6-02-11T00:00:00"/>
    <s v="37.07"/>
    <d v="2016-06-01T00:00:00"/>
    <d v="2044-02-29T00:00:00"/>
    <m/>
    <d v="2044-02-29T00:00:00"/>
    <n v="7467"/>
    <s v=""/>
    <s v=""/>
    <s v=""/>
    <s v="07.03"/>
    <s v="07.03"/>
    <s v="00051197"/>
    <s v="Finance &amp; Accounts - Ports Hazira"/>
    <s v="304272"/>
    <s v="New Acquisition"/>
    <s v="AMNS PARADIP PORT"/>
    <s v=""/>
    <s v=""/>
    <s v="7404HAZI"/>
    <s v="20058184"/>
    <s v="Rama Barik"/>
    <s v="No"/>
    <s v="sejalkumar.patel@amns.in"/>
    <s v="9879102874"/>
    <s v="1026804"/>
    <s v="Manjit Shah"/>
    <s v="Anil Matoo"/>
    <n v="0"/>
    <s v="Manjit Shah"/>
    <n v="0"/>
  </r>
  <r>
    <n v="5933"/>
    <n v="20058214"/>
    <s v="Parameswar Biswal"/>
    <s v="AM/NS Ports Hazira"/>
    <s v="Onroll"/>
    <s v="M-9"/>
    <n v="9"/>
    <m/>
    <s v="JM"/>
    <s v="M"/>
    <s v="Hazira"/>
    <n v="1"/>
    <s v="74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Hazira"/>
    <d v="1976-05-12T00:00:00"/>
    <s v="47.04"/>
    <d v="2018-07-02T00:00:00"/>
    <d v="2034-05-31T00:00:00"/>
    <m/>
    <d v="2034-05-31T00:00:00"/>
    <n v="3906"/>
    <s v=""/>
    <s v=""/>
    <s v=""/>
    <s v="05.02"/>
    <s v="05.02"/>
    <s v="00051197"/>
    <s v="Finance &amp; Accounts - Ports Hazira"/>
    <s v="304283"/>
    <s v="New Acquisition"/>
    <s v="AMNS PARADIP PORT"/>
    <s v=""/>
    <s v=""/>
    <s v="7400HAZI"/>
    <s v="20058184"/>
    <s v="Rama Barik"/>
    <s v="No"/>
    <s v="parameswar.biswal@amns.in"/>
    <s v="9925246124"/>
    <s v="1026836"/>
    <s v="Manjit Shah"/>
    <s v="Anil Matoo"/>
    <n v="0"/>
    <s v="Manjit Shah"/>
    <n v="0"/>
  </r>
  <r>
    <n v="5944"/>
    <n v="20058225"/>
    <s v="Amita Rajubhai Patel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6-07-28T00:00:00"/>
    <s v="37.01"/>
    <d v="2019-09-02T00:00:00"/>
    <d v="2044-07-31T00:00:00"/>
    <m/>
    <d v="2044-07-31T00:00:00"/>
    <n v="7620"/>
    <s v=""/>
    <s v=""/>
    <s v=""/>
    <s v="04.00"/>
    <s v="04.00"/>
    <s v="00051197"/>
    <s v="Finance &amp; Accounts - Ports Hazira"/>
    <s v="304294"/>
    <s v="New Acquisition"/>
    <s v="AMNS PARADIP PORT"/>
    <s v=""/>
    <s v=""/>
    <s v="7404HAZI"/>
    <s v="20016107"/>
    <s v="Kalpesh Thathagar"/>
    <s v="No"/>
    <s v="amita.patel@amns.in"/>
    <s v="9879203848"/>
    <s v="1026856"/>
    <s v="Manjit Shah"/>
    <s v="Anil Matoo"/>
    <n v="0"/>
    <s v="Manjit Shah"/>
    <n v="0"/>
  </r>
  <r>
    <n v="5945"/>
    <n v="20058226"/>
    <s v="Kalpana Dinesh Patel"/>
    <s v="AM/NS Ports Hazira"/>
    <s v="Onroll"/>
    <s v="M-9"/>
    <n v="9"/>
    <m/>
    <s v="J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1-05-09T00:00:00"/>
    <s v="42.04"/>
    <d v="2019-09-02T00:00:00"/>
    <d v="2039-05-31T00:00:00"/>
    <m/>
    <d v="2039-05-31T00:00:00"/>
    <n v="5732"/>
    <s v=""/>
    <s v=""/>
    <s v=""/>
    <s v="04.00"/>
    <s v="04.00"/>
    <s v="00051196"/>
    <s v="Procurement - Ports Hazira"/>
    <s v="304295"/>
    <s v="New Acquisition"/>
    <s v="AMNS PARADIP PORT"/>
    <s v=""/>
    <s v=""/>
    <s v="7414HAZI"/>
    <s v="20058183"/>
    <s v="Pranabendra Barman"/>
    <s v="No"/>
    <s v="kalpana.patel1@amns.in"/>
    <s v="9925245362"/>
    <s v="1026858"/>
    <s v="Manjit Shah"/>
    <s v="Anil Matoo"/>
    <n v="0"/>
    <s v="Manjit Shah"/>
    <n v="0"/>
  </r>
  <r>
    <n v="5946"/>
    <n v="20058227"/>
    <s v="Rucha Shukla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1-02-26T00:00:00"/>
    <s v="42.06"/>
    <d v="2019-09-02T00:00:00"/>
    <d v="2039-02-28T00:00:00"/>
    <m/>
    <d v="2039-02-28T00:00:00"/>
    <n v="5640"/>
    <s v=""/>
    <s v=""/>
    <s v=""/>
    <s v="04.00"/>
    <s v="04.00"/>
    <s v="00051809"/>
    <s v="Stack Yard"/>
    <s v="304296"/>
    <s v="New Acquisition"/>
    <s v="AMNS PARADIP PORT"/>
    <s v=""/>
    <s v=""/>
    <s v="7404HAZI"/>
    <s v="20058182"/>
    <s v="Santosh Bhatt"/>
    <s v="No"/>
    <s v="rucha.shukla@amns.in"/>
    <s v="9909902377"/>
    <s v="1026860"/>
    <s v="Manjit Shah"/>
    <s v="Anil Matoo"/>
    <n v="0"/>
    <s v="Manjit Shah"/>
    <n v="0"/>
  </r>
  <r>
    <n v="5947"/>
    <n v="20058228"/>
    <s v="Hetal Pareshbhai Lad"/>
    <s v="AM/NS Ports Hazira"/>
    <s v="Onroll"/>
    <s v="M-10"/>
    <n v="10"/>
    <m/>
    <s v="J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5-12-31T00:00:00"/>
    <s v="37.08"/>
    <d v="2019-09-02T00:00:00"/>
    <d v="2043-12-31T00:00:00"/>
    <m/>
    <d v="2043-12-31T00:00:00"/>
    <n v="7407"/>
    <s v=""/>
    <s v=""/>
    <s v=""/>
    <s v="04.00"/>
    <s v="04.00"/>
    <s v="00051196"/>
    <s v="Procurement - Ports Hazira"/>
    <s v="304297"/>
    <s v="New Acquisition"/>
    <s v="AMNS PARADIP PORT"/>
    <s v=""/>
    <s v=""/>
    <s v="7414HAZI"/>
    <s v="20058183"/>
    <s v="Pranabendra Barman"/>
    <s v="No"/>
    <s v="hetal.lad@amns.in"/>
    <s v="9925240156"/>
    <s v="1026861"/>
    <s v="Manjit Shah"/>
    <s v="Anil Matoo"/>
    <n v="0"/>
    <s v="Manjit Shah"/>
    <n v="0"/>
  </r>
  <r>
    <n v="5948"/>
    <n v="20058229"/>
    <s v="Madhvi Gangani"/>
    <s v="AM/NS Ports Hazira"/>
    <s v="Onroll"/>
    <s v="M-10"/>
    <n v="10"/>
    <m/>
    <s v="JM"/>
    <s v="F"/>
    <s v="Hazira"/>
    <n v="1"/>
    <s v="74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Hazira"/>
    <d v="1991-11-08T00:00:00"/>
    <s v="31.10"/>
    <d v="2019-09-02T00:00:00"/>
    <d v="2049-11-30T00:00:00"/>
    <m/>
    <d v="2049-11-30T00:00:00"/>
    <n v="9568"/>
    <s v=""/>
    <s v=""/>
    <s v=""/>
    <s v="04.00"/>
    <s v="04.00"/>
    <s v="00051197"/>
    <s v="Finance &amp; Accounts - Ports Hazira"/>
    <s v="304298"/>
    <s v="New Acquisition"/>
    <s v="AMNS PARADIP PORT"/>
    <s v=""/>
    <s v=""/>
    <s v="7400HAZI"/>
    <s v="20058184"/>
    <s v="Rama Barik"/>
    <s v="No"/>
    <s v="madhvi.gangani@amns.in"/>
    <s v="9925240307"/>
    <s v="1026862"/>
    <s v="Manjit Shah"/>
    <s v="Anil Matoo"/>
    <n v="0"/>
    <s v="Manjit Shah"/>
    <n v="0"/>
  </r>
  <r>
    <n v="5949"/>
    <n v="20058230"/>
    <s v="Preeti Ray"/>
    <s v="AM/NS Ports Hazira"/>
    <s v="Onroll"/>
    <s v="M-10"/>
    <n v="10"/>
    <m/>
    <s v="J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92-05-26T00:00:00"/>
    <s v="31.03"/>
    <d v="2019-09-02T00:00:00"/>
    <d v="2050-05-31T00:00:00"/>
    <m/>
    <d v="2050-05-31T00:00:00"/>
    <n v="9750"/>
    <s v=""/>
    <s v=""/>
    <s v=""/>
    <s v="04.00"/>
    <s v="04.00"/>
    <s v="00051196"/>
    <s v="Procurement - Ports Hazira"/>
    <s v="304299"/>
    <s v="New Acquisition"/>
    <s v="AMNS PARADIP PORT"/>
    <s v=""/>
    <s v=""/>
    <s v="7414HAZI"/>
    <s v="20058183"/>
    <s v="Pranabendra Barman"/>
    <s v="No"/>
    <s v="preeti.ray@amns.in"/>
    <s v="9687634295"/>
    <s v="1026863"/>
    <s v="Manjit Shah"/>
    <s v="Anil Matoo"/>
    <n v="0"/>
    <s v="Manjit Shah"/>
    <n v="0"/>
  </r>
  <r>
    <n v="5950"/>
    <n v="20058231"/>
    <s v="Bhumika Patel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91-05-29T00:00:00"/>
    <s v="32.03"/>
    <d v="2019-09-02T00:00:00"/>
    <d v="2049-05-31T00:00:00"/>
    <m/>
    <d v="2049-05-31T00:00:00"/>
    <n v="9385"/>
    <s v=""/>
    <s v=""/>
    <s v=""/>
    <s v="04.00"/>
    <s v="04.00"/>
    <s v="00051197"/>
    <s v="Finance &amp; Accounts - Ports Hazira"/>
    <s v="304300"/>
    <s v="New Acquisition"/>
    <s v="AMNS PARADIP PORT"/>
    <s v=""/>
    <s v=""/>
    <s v="7404HAZI"/>
    <s v="20016107"/>
    <s v="Kalpesh Thathagar"/>
    <s v="No"/>
    <s v="bhumika.patel1@amns.in"/>
    <s v="9879109021"/>
    <s v="1026864"/>
    <s v="Manjit Shah"/>
    <s v="Anil Matoo"/>
    <n v="0"/>
    <s v="Manjit Shah"/>
    <n v="0"/>
  </r>
  <r>
    <n v="5955"/>
    <n v="20058237"/>
    <s v="Jaykumar Patel"/>
    <s v="AM/NS Ports Hazira"/>
    <s v="Onroll"/>
    <s v="M-10"/>
    <n v="10"/>
    <m/>
    <s v="JM"/>
    <s v="M"/>
    <s v="Hazira"/>
    <n v="1"/>
    <s v="74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Hazira"/>
    <d v="1990-11-24T00:00:00"/>
    <s v="32.09"/>
    <d v="2020-01-02T00:00:00"/>
    <d v="2048-11-30T00:00:00"/>
    <m/>
    <d v="2048-11-30T00:00:00"/>
    <n v="9203"/>
    <s v=""/>
    <s v=""/>
    <s v=""/>
    <s v="03.08"/>
    <s v="03.08"/>
    <s v="00051197"/>
    <s v="Finance &amp; Accounts - Ports Hazira"/>
    <s v="304306"/>
    <s v="New Acquisition"/>
    <s v="AMNS PARADIP PORT"/>
    <s v=""/>
    <s v=""/>
    <s v="7400HAZI"/>
    <s v="20058184"/>
    <s v="Rama Barik"/>
    <s v="No"/>
    <s v="jaykumar.patel3@amns.in"/>
    <s v="9925240972"/>
    <s v="1026870"/>
    <s v="Manjit Shah"/>
    <s v="Anil Matoo"/>
    <n v="0"/>
    <s v="Manjit Shah"/>
    <n v="0"/>
  </r>
  <r>
    <n v="5956"/>
    <n v="20058238"/>
    <s v="Prashant Naresh Gandhi"/>
    <s v="AM/NS Ports Hazira"/>
    <s v="Onroll"/>
    <s v="M-10"/>
    <n v="10"/>
    <m/>
    <s v="JM"/>
    <s v="M"/>
    <s v="Hazira"/>
    <n v="1"/>
    <s v="7407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85-07-20T00:00:00"/>
    <s v="38.02"/>
    <d v="2020-01-02T00:00:00"/>
    <d v="2043-07-31T00:00:00"/>
    <m/>
    <d v="2043-07-31T00:00:00"/>
    <n v="7254"/>
    <s v=""/>
    <s v=""/>
    <s v=""/>
    <s v="03.08"/>
    <s v="03.08"/>
    <s v="00051198"/>
    <s v="Human Resources"/>
    <s v="304307"/>
    <s v="New Acquisition"/>
    <s v="AMNS PARADIP PORT"/>
    <s v=""/>
    <s v=""/>
    <s v="7407HAZI"/>
    <s v="20058248"/>
    <s v="Mehulkumar Jariwala"/>
    <s v="No"/>
    <s v="prashant.gandhi@amns.in"/>
    <s v="9925249676"/>
    <s v="1026871"/>
    <s v="Manjit Shah"/>
    <s v="Anil Matoo"/>
    <n v="0"/>
    <s v="Manjit Shah"/>
    <n v="0"/>
  </r>
  <r>
    <n v="5957"/>
    <n v="20058239"/>
    <s v="Pratikkumar Patel"/>
    <s v="AM/NS Ports Hazira"/>
    <s v="Onroll"/>
    <s v="M-10"/>
    <n v="10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7-01-20T00:00:00"/>
    <s v="36.07"/>
    <d v="2020-01-02T00:00:00"/>
    <d v="2045-01-31T00:00:00"/>
    <m/>
    <d v="2045-01-31T00:00:00"/>
    <n v="7804"/>
    <s v=""/>
    <s v=""/>
    <s v=""/>
    <s v="03.08"/>
    <s v="03.08"/>
    <s v="00051197"/>
    <s v="Finance &amp; Accounts - Ports Hazira"/>
    <s v="304308"/>
    <s v="New Acquisition"/>
    <s v="AMNS PARADIP PORT"/>
    <s v=""/>
    <s v=""/>
    <s v="7404HAZI"/>
    <s v="20058184"/>
    <s v="Rama Barik"/>
    <s v="No"/>
    <s v="pratikkumar.patel@amns.in"/>
    <s v="9925249895"/>
    <s v="1042658"/>
    <s v="Manjit Shah"/>
    <s v="Anil Matoo"/>
    <n v="0"/>
    <s v="Manjit Shah"/>
    <n v="0"/>
  </r>
  <r>
    <n v="5961"/>
    <n v="20058243"/>
    <s v="Kitty Mohit Mehta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6-11-18T00:00:00"/>
    <s v="36.10"/>
    <d v="2020-10-05T00:00:00"/>
    <d v="2044-11-30T00:00:00"/>
    <m/>
    <d v="2044-11-30T00:00:00"/>
    <n v="7742"/>
    <s v=""/>
    <s v=""/>
    <s v=""/>
    <s v="02.11"/>
    <s v="02.11"/>
    <s v="00051197"/>
    <s v="Finance &amp; Accounts - Ports Hazira"/>
    <s v="304312"/>
    <s v="New Acquisition"/>
    <s v="AMNS PARADIP PORT"/>
    <s v=""/>
    <s v=""/>
    <s v="7404HAZI"/>
    <s v="20058184"/>
    <s v="Rama Barik"/>
    <s v="No"/>
    <s v="kitty.mehta@amns.in"/>
    <s v="9879108791"/>
    <s v="1026876"/>
    <s v="Manjit Shah"/>
    <s v="Anil Matoo"/>
    <n v="0"/>
    <s v="Manjit Shah"/>
    <n v="0"/>
  </r>
  <r>
    <n v="5963"/>
    <n v="20058245"/>
    <s v="Suvarna Wakhare"/>
    <s v="AM/NS Ports Hazira"/>
    <s v="Onroll"/>
    <s v="M-7"/>
    <n v="7"/>
    <m/>
    <s v="M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79-12-27T00:00:00"/>
    <s v="43.08"/>
    <d v="2021-01-02T00:00:00"/>
    <d v="2037-12-31T00:00:00"/>
    <m/>
    <d v="2037-12-31T00:00:00"/>
    <n v="5216"/>
    <s v=""/>
    <s v=""/>
    <s v=""/>
    <s v="02.08"/>
    <s v="02.08"/>
    <s v="00051196"/>
    <s v="Procurement - Ports Hazira"/>
    <s v="304314"/>
    <s v="New Acquisition"/>
    <s v="AMNS PARADIP PORT"/>
    <s v=""/>
    <s v=""/>
    <s v="7414HAZI"/>
    <s v="20000201"/>
    <s v="Manish Bakriwala"/>
    <s v="No"/>
    <s v="suvarna.wakhare@amns.in"/>
    <s v="9879202829"/>
    <s v="1026879"/>
    <s v="Manjit Shah"/>
    <s v="Anil Matoo"/>
    <n v="0"/>
    <s v="Manjit Shah"/>
    <n v="0"/>
  </r>
  <r>
    <n v="5964"/>
    <n v="20058246"/>
    <s v="Murugesan Konar"/>
    <s v="AM/NS Ports Hazira"/>
    <s v="Onroll"/>
    <s v="M-9"/>
    <n v="9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0-02-11T00:00:00"/>
    <s v="43.07"/>
    <d v="2020-12-28T00:00:00"/>
    <d v="2038-02-28T00:00:00"/>
    <m/>
    <d v="2038-02-28T00:00:00"/>
    <n v="5275"/>
    <s v=""/>
    <s v=""/>
    <s v=""/>
    <s v="02.08"/>
    <s v="02.08"/>
    <s v="00051197"/>
    <s v="Finance &amp; Accounts - Ports Hazira"/>
    <s v="304315"/>
    <s v="New Acquisition"/>
    <s v="AMNS PARADIP PORT"/>
    <s v=""/>
    <s v=""/>
    <s v="7404HAZI"/>
    <s v="20058184"/>
    <s v="Rama Barik"/>
    <s v="No"/>
    <s v="murugesan.konar@amns.in"/>
    <s v="7069756355"/>
    <s v="1026881"/>
    <s v="Manjit Shah"/>
    <s v="Anil Matoo"/>
    <n v="0"/>
    <s v="Manjit Shah"/>
    <n v="0"/>
  </r>
  <r>
    <n v="5965"/>
    <n v="20058247"/>
    <s v="Hemant Bhutra"/>
    <s v="AM/NS Ports Hazira"/>
    <s v="Onroll"/>
    <s v="M-8"/>
    <n v="8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95-04-09T00:00:00"/>
    <s v="28.05"/>
    <d v="2021-07-05T00:00:00"/>
    <d v="2053-04-30T00:00:00"/>
    <m/>
    <d v="2053-04-30T00:00:00"/>
    <n v="10815"/>
    <s v=""/>
    <s v=""/>
    <s v=""/>
    <s v="02.02"/>
    <s v="02.02"/>
    <s v="00051197"/>
    <s v="Finance &amp; Accounts - Ports Hazira"/>
    <s v="304316"/>
    <s v="New Acquisition"/>
    <s v="AMNS PARADIP PORT"/>
    <s v=""/>
    <s v=""/>
    <s v="7404HAZI"/>
    <s v="20058184"/>
    <s v="Rama Barik"/>
    <s v="No"/>
    <s v="hemant.bhutra@amns.in"/>
    <s v="9879106558"/>
    <s v="1025167"/>
    <s v="Manjit Shah"/>
    <s v="Anil Matoo"/>
    <n v="0"/>
    <s v="Manjit Shah"/>
    <n v="0"/>
  </r>
  <r>
    <n v="5966"/>
    <n v="20058248"/>
    <s v="Mehulkumar Jariwala"/>
    <s v="AM/NS Ports Hazira"/>
    <s v="Onroll"/>
    <s v="M-7"/>
    <n v="7"/>
    <m/>
    <s v="MM"/>
    <s v="M"/>
    <s v="Hazira"/>
    <n v="1"/>
    <s v="7407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81-11-19T00:00:00"/>
    <s v="41.09"/>
    <d v="2021-09-01T00:00:00"/>
    <d v="2039-11-30T00:00:00"/>
    <m/>
    <d v="2039-11-30T00:00:00"/>
    <n v="5915"/>
    <s v=""/>
    <s v=""/>
    <s v=""/>
    <s v="02.00"/>
    <s v="02.00"/>
    <s v="00051198"/>
    <s v="Human Resources"/>
    <s v="304317"/>
    <s v="New Acquisition"/>
    <s v="AMNS PARADIP PORT"/>
    <s v=""/>
    <s v=""/>
    <s v="7407HAZI"/>
    <s v="20058139"/>
    <s v="Sunil Tiwari"/>
    <s v="No"/>
    <s v="mehulkumar.jariwala@amns.in"/>
    <s v="9913146802"/>
    <s v="1026885"/>
    <s v="Manjit Shah"/>
    <s v="Anil Matoo"/>
    <n v="0"/>
    <s v="Manjit Shah"/>
    <n v="0"/>
  </r>
  <r>
    <n v="5969"/>
    <n v="20058251"/>
    <s v="Abhishek Bajpai"/>
    <s v="AM/NS Ports Hazira"/>
    <s v="Onroll"/>
    <s v="M-9"/>
    <n v="9"/>
    <m/>
    <s v="JM"/>
    <s v="M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99-02-12T00:00:00"/>
    <s v="24.07"/>
    <d v="2022-05-16T00:00:00"/>
    <d v="2057-02-28T00:00:00"/>
    <m/>
    <d v="2057-02-28T00:00:00"/>
    <n v="12215"/>
    <s v=""/>
    <s v=""/>
    <s v=""/>
    <s v="01.04"/>
    <s v="01.04"/>
    <s v="00051196"/>
    <s v="Procurement - Ports Hazira"/>
    <s v="304320"/>
    <s v="New Acquisition"/>
    <s v="AMNS PARADIP PORT"/>
    <s v=""/>
    <s v=""/>
    <s v="7414HAZI"/>
    <s v="20058183"/>
    <s v="Pranabendra Barman"/>
    <s v="No"/>
    <s v="abhishek.bajpai@amns.in"/>
    <s v="9925246112"/>
    <s v="1026888"/>
    <s v="Manjit Shah"/>
    <s v="Anil Matoo"/>
    <n v="0"/>
    <s v="Manjit Shah"/>
    <n v="0"/>
  </r>
  <r>
    <n v="5985"/>
    <n v="20058270"/>
    <s v="Anant Ghag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5-06-01T00:00:00"/>
    <s v="58.03"/>
    <d v="1988-05-10T00:00:00"/>
    <d v="2025-05-31T00:00:00"/>
    <m/>
    <d v="2025-05-31T00:00:00"/>
    <n v="619"/>
    <s v=""/>
    <s v=""/>
    <s v=""/>
    <s v="35.04"/>
    <s v="35.04"/>
    <s v="00051220"/>
    <s v="Administration &amp; Security"/>
    <s v="304478"/>
    <s v="New Acquisition"/>
    <s v="Khopoli staff"/>
    <s v="0000290006"/>
    <s v="FAC-MIS_DEPT"/>
    <s v="1111KHOP"/>
    <s v="20057887"/>
    <s v="Kiran Vaidya"/>
    <s v="No"/>
    <s v="anant.ghag@amns.in"/>
    <s v="9272434256"/>
    <s v="1042606"/>
    <s v="Pritam Debbarma"/>
    <s v="Anil Matoo"/>
    <s v="-"/>
    <s v="Manjit Shah"/>
    <s v="-"/>
  </r>
  <r>
    <n v="5987"/>
    <n v="20058272"/>
    <s v="Nisha Choudhari"/>
    <s v="AMNS Khopoli"/>
    <s v="Onroll"/>
    <s v="New Acquisition"/>
    <n v="17"/>
    <m/>
    <s v="NA"/>
    <s v="F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3-08-20T00:00:00"/>
    <s v="60.00"/>
    <d v="1990-07-01T00:00:00"/>
    <d v="2023-08-31T00:00:00"/>
    <m/>
    <d v="2023-08-31T00:00:00"/>
    <n v="-20"/>
    <s v=""/>
    <s v=""/>
    <s v=""/>
    <s v="33.02"/>
    <s v="33.02"/>
    <s v="00051220"/>
    <s v="Administration &amp; Security"/>
    <s v="304480"/>
    <s v="New Acquisition"/>
    <s v="Khopoli staff"/>
    <s v="0000290002"/>
    <s v="FAC-PERSONAL &amp; ADM"/>
    <s v="1111KHOP"/>
    <s v="20057887"/>
    <s v="Kiran Vaidya"/>
    <s v="No"/>
    <s v="nisha.chowdhary@amns.in"/>
    <s v="8411970485"/>
    <s v="1021938"/>
    <s v="Pritam Debbarma"/>
    <s v="Anil Matoo"/>
    <s v="-"/>
    <s v="Manjit Shah"/>
    <s v="-"/>
  </r>
  <r>
    <n v="5988"/>
    <n v="20058273"/>
    <s v="Arun Deshmukh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5-02-28T00:00:00"/>
    <s v="58.06"/>
    <d v="1992-11-01T00:00:00"/>
    <d v="2025-02-28T00:00:00"/>
    <m/>
    <d v="2025-02-28T00:00:00"/>
    <n v="527"/>
    <s v=""/>
    <s v=""/>
    <s v=""/>
    <s v="30.10"/>
    <s v="30.10"/>
    <s v="00051389"/>
    <s v="Stores - PRC"/>
    <s v="304481"/>
    <s v="New Acquisition"/>
    <s v="Khopoli staff"/>
    <s v="0000409007"/>
    <s v="PRC-STORES_DEPT"/>
    <s v="1111KHOP"/>
    <s v="20058695"/>
    <s v="Shrigopal Bhati"/>
    <s v="No"/>
    <s v="arun.deshmukh@amns.in"/>
    <s v="8411970066"/>
    <s v="1021942"/>
    <s v="Pritam Debbarma"/>
    <s v="Anil Matoo"/>
    <s v="-"/>
    <s v="Manjit Shah"/>
    <s v="-"/>
  </r>
  <r>
    <n v="5990"/>
    <n v="20058275"/>
    <s v="Vinayak Lot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7-11-18T00:00:00"/>
    <s v="55.10"/>
    <d v="1992-12-28T00:00:00"/>
    <d v="2027-11-30T00:00:00"/>
    <m/>
    <d v="2027-11-30T00:00:00"/>
    <n v="1532"/>
    <s v=""/>
    <s v=""/>
    <s v=""/>
    <s v="30.08"/>
    <s v="30.08"/>
    <s v="00051339"/>
    <s v="Excise"/>
    <s v="304483"/>
    <s v="New Acquisition"/>
    <s v="Khopoli staff"/>
    <s v="0000290001"/>
    <s v="FAC-EXCISE_DEPT"/>
    <s v="1111KHOP"/>
    <s v="40002639"/>
    <s v="Balveer Bhandari"/>
    <s v="No"/>
    <s v="vinayak.lote@amns.in"/>
    <s v="9271446989"/>
    <s v="1021948"/>
    <s v="Pritam Debbarma"/>
    <s v="Anil Matoo"/>
    <s v="-"/>
    <s v="Manjit Shah"/>
    <s v="-"/>
  </r>
  <r>
    <n v="5992"/>
    <n v="20058277"/>
    <s v="Victor Pushparaj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7-10-18T00:00:00"/>
    <s v="55.11"/>
    <d v="1993-08-28T00:00:00"/>
    <d v="2027-10-31T00:00:00"/>
    <m/>
    <d v="2027-10-31T00:00:00"/>
    <n v="1502"/>
    <s v=""/>
    <s v=""/>
    <s v=""/>
    <s v="30.00"/>
    <s v="30.00"/>
    <s v="00051278"/>
    <s v="Stores &amp; Warehouse"/>
    <s v="304485"/>
    <s v="New Acquisition"/>
    <s v="Khopoli staff"/>
    <s v="0000309007"/>
    <s v="CGL-STORES_DEPT"/>
    <s v="1111KHOP"/>
    <s v="20058695"/>
    <s v="Shrigopal Bhati"/>
    <s v="No"/>
    <s v="pvictor.syril@amns.in"/>
    <s v="8411970681"/>
    <s v="1021956"/>
    <s v="Pritam Debbarma"/>
    <s v="Anil Matoo"/>
    <s v="-"/>
    <s v="Manjit Shah"/>
    <s v="-"/>
  </r>
  <r>
    <n v="5994"/>
    <n v="20058279"/>
    <s v="Satish Nair"/>
    <s v="AMNS Khopoli"/>
    <s v="Onroll"/>
    <s v="New Acquisition"/>
    <n v="17"/>
    <m/>
    <s v="NA"/>
    <s v="M"/>
    <s v="Khopoli"/>
    <n v="9"/>
    <n v="1126"/>
    <x v="7"/>
    <s v="34.01"/>
    <s v="Hrishikesh Kamat"/>
    <s v="Hrishikesh Kamat"/>
    <n v="7"/>
    <s v="Procurement"/>
    <s v="Stores &amp; Warehouse"/>
    <s v="34"/>
    <m/>
    <m/>
    <s v="Stores &amp; Warehouse"/>
    <m/>
    <m/>
    <s v="Non Technical Support"/>
    <s v="Operations"/>
    <s v="Operations"/>
    <s v="72103001"/>
    <s v="Operations"/>
    <s v="Khopoli"/>
    <d v="1971-02-09T00:00:00"/>
    <s v="52.07"/>
    <d v="1994-05-04T00:00:00"/>
    <d v="2031-02-28T00:00:00"/>
    <m/>
    <d v="2031-02-28T00:00:00"/>
    <n v="2718"/>
    <s v=""/>
    <s v=""/>
    <s v=""/>
    <s v="29.04"/>
    <s v="29.04"/>
    <s v="00051351"/>
    <s v="Logistics &amp; Stores"/>
    <s v="304487"/>
    <s v="New Acquisition"/>
    <s v="Khopoli staff"/>
    <s v="0000309007"/>
    <s v="CGL-STORES_DEPT"/>
    <s v="1111KHOP"/>
    <s v="20058515"/>
    <s v="Madhusudan Murdhankar"/>
    <s v="No"/>
    <s v="satish.nair@amns.in"/>
    <s v="8411970406"/>
    <s v="1021965"/>
    <s v="Pritam Debbarma"/>
    <s v="Anil Matoo"/>
    <s v="-"/>
    <s v="Manjit Shah"/>
    <s v="-"/>
  </r>
  <r>
    <n v="5997"/>
    <n v="20058283"/>
    <s v="Dattatraya Shiralkar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2-04-20T00:00:00"/>
    <s v="51.05"/>
    <d v="1995-05-15T00:00:00"/>
    <d v="2032-04-30T00:00:00"/>
    <m/>
    <d v="2032-04-30T00:00:00"/>
    <n v="3145"/>
    <s v=""/>
    <s v=""/>
    <s v=""/>
    <s v="28.04"/>
    <s v="28.04"/>
    <s v="00051329"/>
    <s v="Finance &amp; Accounts"/>
    <s v="304491"/>
    <s v="New Acquisition"/>
    <s v="Khopoli staff"/>
    <s v="0000290004"/>
    <s v="FAC-ACCOUTS_DEPT"/>
    <s v="1111KHOP"/>
    <s v="20058805"/>
    <s v="Sunil Sharma"/>
    <s v="No"/>
    <s v="dattatray.shiralkar@amns.in"/>
    <s v="9421161008"/>
    <s v="1021988"/>
    <s v="Pritam Debbarma"/>
    <s v="Anil Matoo"/>
    <s v="-"/>
    <s v="Manjit Shah"/>
    <s v="-"/>
  </r>
  <r>
    <n v="5999"/>
    <n v="20058286"/>
    <s v="Sanjay Sawant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4-10-04T00:00:00"/>
    <s v="58.11"/>
    <d v="1996-04-01T00:00:00"/>
    <d v="2024-10-31T00:00:00"/>
    <m/>
    <d v="2024-10-31T00:00:00"/>
    <n v="407"/>
    <s v=""/>
    <s v=""/>
    <s v=""/>
    <s v="27.05"/>
    <s v="27.05"/>
    <s v="00051329"/>
    <s v="Finance &amp; Accounts"/>
    <s v="304494"/>
    <s v="New Acquisition"/>
    <s v="Khopoli staff"/>
    <s v="0000290004"/>
    <s v="FAC-ACCOUTS_DEPT"/>
    <s v="1111KHOP"/>
    <s v="20058805"/>
    <s v="Sunil Sharma"/>
    <s v="No"/>
    <s v="sanjay.sawant@amns.in"/>
    <s v="8411970624"/>
    <s v="1022005"/>
    <s v="Pritam Debbarma"/>
    <s v="Anil Matoo"/>
    <s v="-"/>
    <s v="Manjit Shah"/>
    <s v="-"/>
  </r>
  <r>
    <n v="6000"/>
    <n v="20058287"/>
    <s v="Madhura Sawant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4-06-01T00:00:00"/>
    <s v="49.03"/>
    <d v="1996-06-19T00:00:00"/>
    <d v="2034-05-31T00:00:00"/>
    <m/>
    <d v="2034-05-31T00:00:00"/>
    <n v="3906"/>
    <s v=""/>
    <s v=""/>
    <s v=""/>
    <s v="27.03"/>
    <s v="27.03"/>
    <s v="00051339"/>
    <s v="Excise"/>
    <s v="304495"/>
    <s v="New Acquisition"/>
    <s v="Khopoli staff"/>
    <s v="0000290001"/>
    <s v="FAC-EXCISE_DEPT"/>
    <s v="1111KHOP"/>
    <s v="40002639"/>
    <s v="Balveer Bhandari"/>
    <s v="No"/>
    <s v="madhura.sawant@amns.in"/>
    <s v="9768355274"/>
    <s v="1022010"/>
    <s v="Pritam Debbarma"/>
    <s v="Anil Matoo"/>
    <s v="-"/>
    <s v="Manjit Shah"/>
    <s v="-"/>
  </r>
  <r>
    <n v="6001"/>
    <n v="20058288"/>
    <s v="Manisha Desai"/>
    <s v="AMNS Khopoli"/>
    <s v="Onroll"/>
    <s v="New Acquisition"/>
    <n v="17"/>
    <m/>
    <s v="NA"/>
    <s v="F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74-04-13T00:00:00"/>
    <s v="49.05"/>
    <d v="1996-07-24T00:00:00"/>
    <d v="2034-04-30T00:00:00"/>
    <m/>
    <d v="2034-04-30T00:00:00"/>
    <n v="3875"/>
    <s v=""/>
    <s v=""/>
    <s v=""/>
    <s v="27.01"/>
    <s v="27.01"/>
    <s v="00051336"/>
    <s v="Industrial Relations"/>
    <s v="304496"/>
    <s v="New Acquisition"/>
    <s v="Khopoli staff"/>
    <s v="0000290002"/>
    <s v="FAC-PERSONAL &amp; ADM"/>
    <s v="1111KHOP"/>
    <s v="20058935"/>
    <s v="Satish Mulay"/>
    <s v="No"/>
    <s v="manisha.desai@amns.in"/>
    <s v="9869363458"/>
    <s v="1022020"/>
    <s v="Pritam Debbarma"/>
    <s v="Anil Matoo"/>
    <n v="0"/>
    <s v="Manjit Shah"/>
    <n v="0"/>
  </r>
  <r>
    <n v="6002"/>
    <n v="20058289"/>
    <s v="Shama Pisat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1-07-20T00:00:00"/>
    <s v="52.02"/>
    <d v="1996-08-28T00:00:00"/>
    <d v="2031-07-31T00:00:00"/>
    <m/>
    <d v="2031-07-31T00:00:00"/>
    <n v="2871"/>
    <s v=""/>
    <s v=""/>
    <s v=""/>
    <s v="27.00"/>
    <s v="27.00"/>
    <s v="00051329"/>
    <s v="Finance &amp; Accounts"/>
    <s v="304497"/>
    <s v="New Acquisition"/>
    <s v="Khopoli staff"/>
    <s v="0000290004"/>
    <s v="FAC-ACCOUTS_DEPT"/>
    <s v="1111KHOP"/>
    <s v="20058805"/>
    <s v="Sunil Sharma"/>
    <s v="No"/>
    <s v="shama.pisat@amns.in"/>
    <s v="9324788359"/>
    <s v="1022028"/>
    <s v="Pritam Debbarma"/>
    <s v="Anil Matoo"/>
    <s v="-"/>
    <s v="Manjit Shah"/>
    <s v="-"/>
  </r>
  <r>
    <n v="6003"/>
    <n v="20058290"/>
    <s v="Abhijit Pinga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3-05-01T00:00:00"/>
    <s v="50.04"/>
    <d v="1997-06-21T00:00:00"/>
    <d v="2033-04-30T00:00:00"/>
    <m/>
    <d v="2033-04-30T00:00:00"/>
    <n v="3510"/>
    <s v=""/>
    <s v=""/>
    <s v=""/>
    <s v="26.03"/>
    <s v="26.03"/>
    <s v="00051278"/>
    <s v="Stores &amp; Warehouse"/>
    <s v="304498"/>
    <s v="New Acquisition"/>
    <s v="Khopoli staff"/>
    <s v="0000309007"/>
    <s v="CGL-STORES_DEPT"/>
    <s v="1111KHOP"/>
    <s v="20058695"/>
    <s v="Shrigopal Bhati"/>
    <s v="No"/>
    <s v="abhijit.pingale@amns.in"/>
    <s v="9423378547"/>
    <s v="1022034"/>
    <s v="Pritam Debbarma"/>
    <s v="Anil Matoo"/>
    <s v="-"/>
    <s v="Manjit Shah"/>
    <s v="-"/>
  </r>
  <r>
    <n v="6005"/>
    <n v="20058292"/>
    <s v="Rajendra Kanase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2-06-02T00:00:00"/>
    <s v="51.03"/>
    <d v="2002-10-12T00:00:00"/>
    <d v="2032-06-30T00:00:00"/>
    <m/>
    <d v="2032-06-30T00:00:00"/>
    <n v="3206"/>
    <s v=""/>
    <s v=""/>
    <s v=""/>
    <s v="20.11"/>
    <s v="20.11"/>
    <s v="00051220"/>
    <s v="Administration &amp; Security"/>
    <s v="304500"/>
    <s v="New Acquisition"/>
    <s v="Khopoli staff"/>
    <s v="0000290006"/>
    <s v="FAC-MIS_DEPT"/>
    <s v="1111KHOP"/>
    <s v="20057887"/>
    <s v="Kiran Vaidya"/>
    <s v="No"/>
    <s v="rajendra.kanase@amns.in"/>
    <s v="8007253791"/>
    <s v="1042608"/>
    <s v="Pritam Debbarma"/>
    <s v="Anil Matoo"/>
    <s v="-"/>
    <s v="Manjit Shah"/>
    <s v="-"/>
  </r>
  <r>
    <n v="6010"/>
    <n v="20058297"/>
    <s v="Susanta Rath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1-01-02T00:00:00"/>
    <s v="52.08"/>
    <d v="2002-08-14T00:00:00"/>
    <d v="2031-01-31T00:00:00"/>
    <m/>
    <d v="2031-01-31T00:00:00"/>
    <n v="2690"/>
    <s v=""/>
    <s v=""/>
    <s v=""/>
    <s v="21.01"/>
    <s v="21.01"/>
    <s v="00051330"/>
    <s v="Accounts - Costing"/>
    <s v="304505"/>
    <s v="New Acquisition"/>
    <s v="Khopoli staff"/>
    <s v="0000290005"/>
    <s v="FAC-COSTING_DEPT"/>
    <s v="1111KHOP"/>
    <s v="0"/>
    <s v=""/>
    <s v="No"/>
    <s v="susanta.rath@amns.in"/>
    <s v="8411970453"/>
    <s v="1022058"/>
    <s v="Pritam Debbarma"/>
    <s v="Anil Matoo"/>
    <s v="-"/>
    <s v="Manjit Shah"/>
    <s v="-"/>
  </r>
  <r>
    <n v="6012"/>
    <n v="20058300"/>
    <s v="Sunita Manurkar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9-09-13T00:00:00"/>
    <s v="44.00"/>
    <d v="2005-04-15T00:00:00"/>
    <d v="2039-09-30T00:00:00"/>
    <m/>
    <d v="2039-09-30T00:00:00"/>
    <n v="5854"/>
    <s v=""/>
    <s v=""/>
    <s v=""/>
    <s v="18.05"/>
    <s v="18.05"/>
    <s v="00051339"/>
    <s v="Excise"/>
    <s v="304508"/>
    <s v="New Acquisition"/>
    <s v="Khopoli staff"/>
    <s v="0000290001"/>
    <s v="FAC-EXCISE_DEPT"/>
    <s v="1111KHOP"/>
    <s v="40002639"/>
    <s v="Balveer Bhandari"/>
    <s v="No"/>
    <s v="sunita.manurkar@amns.in"/>
    <s v="9552698460"/>
    <s v="1042453"/>
    <s v="Pritam Debbarma"/>
    <s v="Anil Matoo"/>
    <s v="-"/>
    <s v="Manjit Shah"/>
    <s v="-"/>
  </r>
  <r>
    <n v="6014"/>
    <n v="20058302"/>
    <s v="Sanjay Thaku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5-07-01T00:00:00"/>
    <s v="48.02"/>
    <d v="2005-11-14T00:00:00"/>
    <d v="2035-06-30T00:00:00"/>
    <m/>
    <d v="2035-06-30T00:00:00"/>
    <n v="4301"/>
    <s v=""/>
    <s v=""/>
    <s v=""/>
    <s v="17.10"/>
    <s v="17.10"/>
    <s v="00051220"/>
    <s v="Administration &amp; Security"/>
    <s v="304510"/>
    <s v="New Acquisition"/>
    <s v="Khopoli staff"/>
    <s v="0000290002"/>
    <s v="FAC-PERSONAL &amp; ADM"/>
    <s v="1111KHOP"/>
    <s v="20057887"/>
    <s v="Kiran Vaidya"/>
    <s v="No"/>
    <s v="sanjay.thakur@amns.in"/>
    <s v="8411970440"/>
    <s v="1022077"/>
    <s v="Pritam Debbarma"/>
    <s v="Anil Matoo"/>
    <s v="-"/>
    <s v="Manjit Shah"/>
    <s v="-"/>
  </r>
  <r>
    <n v="6016"/>
    <n v="20058304"/>
    <s v="Rajesh Kaps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4-03-14T00:00:00"/>
    <s v="49.06"/>
    <d v="2006-02-09T00:00:00"/>
    <d v="2034-03-31T00:00:00"/>
    <m/>
    <d v="2034-03-31T00:00:00"/>
    <n v="3845"/>
    <s v=""/>
    <s v=""/>
    <s v=""/>
    <s v="17.07"/>
    <s v="17.07"/>
    <s v="00051278"/>
    <s v="Stores &amp; Warehouse"/>
    <s v="304512"/>
    <s v="New Acquisition"/>
    <s v="Khopoli staff"/>
    <s v="0000509007"/>
    <s v="CCL-STORES_DEPT"/>
    <s v="1111KHOP"/>
    <s v="20058695"/>
    <s v="Shrigopal Bhati"/>
    <s v="No"/>
    <s v="rajesh.kapse@amns.in"/>
    <s v="9049828180"/>
    <s v="1021920"/>
    <s v="Pritam Debbarma"/>
    <s v="Anil Matoo"/>
    <s v="-"/>
    <s v="Manjit Shah"/>
    <s v="-"/>
  </r>
  <r>
    <n v="6018"/>
    <n v="20058306"/>
    <s v="Shashikumar Panike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7-02-26T00:00:00"/>
    <s v="56.06"/>
    <d v="2007-01-24T00:00:00"/>
    <d v="2027-02-28T00:00:00"/>
    <m/>
    <d v="2027-02-28T00:00:00"/>
    <n v="1257"/>
    <s v=""/>
    <s v=""/>
    <s v=""/>
    <s v="16.07"/>
    <s v="16.07"/>
    <s v="00051220"/>
    <s v="Administration &amp; Security"/>
    <s v="304514"/>
    <s v="New Acquisition"/>
    <s v="Khopoli staff"/>
    <s v="0000290002"/>
    <s v="FAC-PERSONAL &amp; ADM"/>
    <s v="1111KHOP"/>
    <s v="20057887"/>
    <s v="Kiran Vaidya"/>
    <s v="No"/>
    <s v="shashi.m@amns.in"/>
    <s v="8411970677"/>
    <s v="1021931"/>
    <s v="Pritam Debbarma"/>
    <s v="Anil Matoo"/>
    <s v="-"/>
    <s v="Manjit Shah"/>
    <s v="-"/>
  </r>
  <r>
    <n v="6019"/>
    <n v="20058307"/>
    <s v="Jyoti Kajale"/>
    <s v="AMNS Khopoli"/>
    <s v="Onroll"/>
    <s v="New Acquisition"/>
    <n v="17"/>
    <m/>
    <s v="NA"/>
    <s v="F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84-07-07T00:00:00"/>
    <s v="39.02"/>
    <d v="2007-03-05T00:00:00"/>
    <d v="2044-07-31T00:00:00"/>
    <m/>
    <d v="2044-07-31T00:00:00"/>
    <n v="7620"/>
    <s v=""/>
    <s v=""/>
    <s v=""/>
    <s v="16.06"/>
    <s v="16.06"/>
    <s v="00051336"/>
    <s v="Industrial Relations"/>
    <s v="304515"/>
    <s v="New Acquisition"/>
    <s v="Khopoli staff"/>
    <s v="0000290002"/>
    <s v="FAC-PERSONAL &amp; ADM"/>
    <s v="1111KHOP"/>
    <s v="20058935"/>
    <s v="Satish Mulay"/>
    <s v="No"/>
    <s v="jyoti.kajale@amns.in"/>
    <s v="9595361138"/>
    <s v="1021934"/>
    <s v="Pritam Debbarma"/>
    <s v="Anil Matoo"/>
    <n v="0"/>
    <s v="Manjit Shah"/>
    <n v="0"/>
  </r>
  <r>
    <n v="6020"/>
    <n v="20058308"/>
    <s v="Sudhir Thaku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4-06-01T00:00:00"/>
    <s v="49.03"/>
    <d v="2007-04-16T00:00:00"/>
    <d v="2034-05-31T00:00:00"/>
    <m/>
    <d v="2034-05-31T00:00:00"/>
    <n v="3906"/>
    <s v=""/>
    <s v=""/>
    <s v=""/>
    <s v="16.05"/>
    <s v="16.05"/>
    <s v="00051220"/>
    <s v="Administration &amp; Security"/>
    <s v="304516"/>
    <s v="New Acquisition"/>
    <s v="Khopoli staff"/>
    <s v="0000290002"/>
    <s v="FAC-PERSONAL &amp; ADM"/>
    <s v="1111KHOP"/>
    <s v="20057887"/>
    <s v="Kiran Vaidya"/>
    <s v="No"/>
    <s v="sudhir.thakur@amns.in"/>
    <s v="8411970439"/>
    <s v="1021937"/>
    <s v="Pritam Debbarma"/>
    <s v="Anil Matoo"/>
    <s v="-"/>
    <s v="Manjit Shah"/>
    <s v="-"/>
  </r>
  <r>
    <n v="6021"/>
    <n v="20058309"/>
    <s v="Santosh Salvi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63-12-24T00:00:00"/>
    <s v="59.08"/>
    <d v="2007-05-24T00:00:00"/>
    <d v="2023-12-31T00:00:00"/>
    <m/>
    <d v="2023-12-31T00:00:00"/>
    <n v="102"/>
    <s v=""/>
    <s v=""/>
    <s v=""/>
    <s v="16.03"/>
    <s v="16.03"/>
    <s v="00051336"/>
    <s v="Industrial Relations"/>
    <s v="304517"/>
    <s v="New Acquisition"/>
    <s v="Khopoli staff"/>
    <s v="0000290002"/>
    <s v="FAC-PERSONAL &amp; ADM"/>
    <s v="1111KHOP"/>
    <s v="20058935"/>
    <s v="Satish Mulay"/>
    <s v="No"/>
    <s v="santosh.salvi@amns.in"/>
    <s v="8411970840"/>
    <s v="1021941"/>
    <s v="Pritam Debbarma"/>
    <s v="Anil Matoo"/>
    <n v="0"/>
    <s v="Manjit Shah"/>
    <n v="0"/>
  </r>
  <r>
    <n v="6022"/>
    <n v="20058310"/>
    <s v="Amod Parange"/>
    <s v="AMNS Khopoli"/>
    <s v="Onroll"/>
    <s v="New Acquisition"/>
    <n v="17"/>
    <m/>
    <s v="NA"/>
    <s v="M"/>
    <s v="Khopoli"/>
    <n v="9"/>
    <s v="1123"/>
    <x v="12"/>
    <n v="35.02"/>
    <s v="Hrishikesh Kamat"/>
    <s v="Hrishikesh Kamat"/>
    <n v="7"/>
    <s v="Procurement"/>
    <s v="Land Acquisition"/>
    <s v="35"/>
    <m/>
    <m/>
    <s v="Legal / Land"/>
    <s v=""/>
    <s v=""/>
    <s v="Non Technical Support"/>
    <s v="Operations"/>
    <s v="Operations"/>
    <s v="72103001"/>
    <s v="Operations"/>
    <s v="Khopoli"/>
    <d v="1977-03-04T00:00:00"/>
    <s v="46.06"/>
    <d v="2007-06-01T00:00:00"/>
    <d v="2037-03-31T00:00:00"/>
    <m/>
    <d v="2037-03-31T00:00:00"/>
    <n v="4941"/>
    <s v=""/>
    <s v=""/>
    <s v=""/>
    <s v="16.03"/>
    <s v="16.03"/>
    <s v="00051268"/>
    <s v="Land Acquisition"/>
    <s v="304518"/>
    <s v="New Acquisition"/>
    <s v="Khopoli staff"/>
    <s v="0000290002"/>
    <s v="FAC-PERSONAL &amp; ADM"/>
    <s v="1111KHOP"/>
    <s v="0"/>
    <s v=""/>
    <s v="No"/>
    <s v="amod.parange@amns.in"/>
    <s v="8411970561"/>
    <s v="1021953"/>
    <s v="Pritam Debbarma"/>
    <s v="Anil Matoo"/>
    <s v="-"/>
    <s v="Manjit Shah"/>
    <s v="-"/>
  </r>
  <r>
    <n v="6025"/>
    <n v="20058313"/>
    <s v="Sanjivani Patil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1-06-21T00:00:00"/>
    <s v="42.03"/>
    <d v="2007-09-03T00:00:00"/>
    <d v="2041-06-30T00:00:00"/>
    <m/>
    <d v="2041-06-30T00:00:00"/>
    <n v="6493"/>
    <s v=""/>
    <s v=""/>
    <s v=""/>
    <s v="16.00"/>
    <s v="16.00"/>
    <s v="00051329"/>
    <s v="Finance &amp; Accounts"/>
    <s v="304521"/>
    <s v="New Acquisition"/>
    <s v="Khopoli staff"/>
    <s v="0000290004"/>
    <s v="FAC-ACCOUTS_DEPT"/>
    <s v="1111KHOP"/>
    <s v="20058805"/>
    <s v="Sunil Sharma"/>
    <s v="No"/>
    <s v="sanjivani.patil@amns.in"/>
    <s v="9049827523"/>
    <s v="1021962"/>
    <s v="Pritam Debbarma"/>
    <s v="Anil Matoo"/>
    <s v="-"/>
    <s v="Manjit Shah"/>
    <s v="-"/>
  </r>
  <r>
    <n v="6032"/>
    <n v="20058320"/>
    <s v="Bashir Shaikh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5-01-12T00:00:00"/>
    <s v="58.08"/>
    <d v="2010-03-10T00:00:00"/>
    <d v="2025-01-31T00:00:00"/>
    <m/>
    <d v="2025-01-31T00:00:00"/>
    <n v="499"/>
    <s v=""/>
    <s v=""/>
    <s v=""/>
    <s v="13.06"/>
    <s v="13.06"/>
    <s v="00051329"/>
    <s v="Finance &amp; Accounts"/>
    <s v="304528"/>
    <s v="New Acquisition"/>
    <s v="Khopoli staff"/>
    <s v="0000290004"/>
    <s v="FAC-ACCOUTS_DEPT"/>
    <s v="1111KHOP"/>
    <s v="20058805"/>
    <s v="Sunil Sharma"/>
    <s v="No"/>
    <s v="bashir.shaikh@amns.in"/>
    <s v="9421161095"/>
    <s v="1021987"/>
    <s v="Pritam Debbarma"/>
    <s v="Anil Matoo"/>
    <s v="-"/>
    <s v="Manjit Shah"/>
    <s v="-"/>
  </r>
  <r>
    <n v="6036"/>
    <n v="20058324"/>
    <s v="Ashwini Sakpal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90-04-11T00:00:00"/>
    <s v="33.05"/>
    <d v="2011-05-09T00:00:00"/>
    <d v="2050-04-30T00:00:00"/>
    <m/>
    <d v="2050-04-30T00:00:00"/>
    <n v="9719"/>
    <s v=""/>
    <s v=""/>
    <s v=""/>
    <s v="12.04"/>
    <s v="12.04"/>
    <s v="00051378"/>
    <s v="Exports - Marketing"/>
    <s v="304532"/>
    <s v="New Acquisition"/>
    <s v="Khopoli staff"/>
    <s v="0000100014"/>
    <s v="HOM-SALE&amp;MKTG-EXPORT"/>
    <s v="1111KHOP"/>
    <s v="20058801"/>
    <s v="Shubhangi Patil"/>
    <s v="No"/>
    <s v="ashwini.chalke@amns.in"/>
    <s v="9881307522"/>
    <s v="1022033"/>
    <s v="Pritam Debbarma"/>
    <s v="Anil Matoo"/>
    <s v="-"/>
    <s v="Manjit Shah"/>
    <s v="-"/>
  </r>
  <r>
    <n v="6054"/>
    <n v="20058342"/>
    <s v="Sandip Patil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3-02-10T00:00:00"/>
    <s v="50.07"/>
    <d v="1994-11-21T00:00:00"/>
    <d v="2033-02-28T00:00:00"/>
    <m/>
    <d v="2033-02-28T00:00:00"/>
    <n v="3449"/>
    <s v=""/>
    <s v=""/>
    <s v=""/>
    <s v="28.09"/>
    <s v="28.09"/>
    <s v="00051278"/>
    <s v="Stores &amp; Warehouse"/>
    <s v="304550"/>
    <s v="New Acquisition"/>
    <s v="Khopoli staff"/>
    <s v="0000209007"/>
    <s v="CRM-STORES_DEPT"/>
    <s v="1111KHOP"/>
    <s v="20058695"/>
    <s v="Shrigopal Bhati"/>
    <s v="No"/>
    <s v="sandip.patil@amns.in"/>
    <s v="8411970609"/>
    <s v="1022094"/>
    <s v="Pritam Debbarma"/>
    <s v="Anil Matoo"/>
    <s v="-"/>
    <s v="Manjit Shah"/>
    <s v="-"/>
  </r>
  <r>
    <n v="6069"/>
    <n v="20058357"/>
    <s v="Samadhan Sakhar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9-09-16T00:00:00"/>
    <s v="54.00"/>
    <d v="1995-12-20T00:00:00"/>
    <d v="2029-09-30T00:00:00"/>
    <m/>
    <d v="2029-09-30T00:00:00"/>
    <n v="2202"/>
    <s v=""/>
    <s v=""/>
    <s v=""/>
    <s v="27.09"/>
    <s v="27.09"/>
    <s v="00051278"/>
    <s v="Stores &amp; Warehouse"/>
    <s v="304565"/>
    <s v="New Acquisition"/>
    <s v="Khopoli staff"/>
    <s v="0000209007"/>
    <s v="CRM-STORES_DEPT"/>
    <s v="1111KHOP"/>
    <s v="20058695"/>
    <s v="Shrigopal Bhati"/>
    <s v="No"/>
    <s v="samadhan.sakhare@amns.in"/>
    <s v="7767808350"/>
    <s v="1022049"/>
    <s v="Pritam Debbarma"/>
    <s v="Anil Matoo"/>
    <s v="-"/>
    <s v="Manjit Shah"/>
    <s v="-"/>
  </r>
  <r>
    <n v="6073"/>
    <n v="20058362"/>
    <s v="Pravin Waghu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8-04-12T00:00:00"/>
    <s v="55.05"/>
    <d v="1996-04-04T00:00:00"/>
    <d v="2028-04-30T00:00:00"/>
    <m/>
    <d v="2028-04-30T00:00:00"/>
    <n v="1684"/>
    <s v=""/>
    <s v=""/>
    <s v=""/>
    <s v="27.05"/>
    <s v="27.05"/>
    <s v="00051278"/>
    <s v="Stores &amp; Warehouse"/>
    <s v="304570"/>
    <s v="New Acquisition"/>
    <s v="Khopoli staff"/>
    <s v="0000249007"/>
    <s v="SSC-STORES_DEPT"/>
    <s v="1111KHOP"/>
    <s v="20058695"/>
    <s v="Shrigopal Bhati"/>
    <s v="No"/>
    <s v="pravin.waghule@amns.in"/>
    <s v="7769881682"/>
    <s v="1042625"/>
    <s v="Pritam Debbarma"/>
    <s v="Anil Matoo"/>
    <s v="-"/>
    <s v="Manjit Shah"/>
    <s v="-"/>
  </r>
  <r>
    <n v="6075"/>
    <n v="20058364"/>
    <s v="Suresh Malusar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8-02-28T00:00:00"/>
    <s v="55.06"/>
    <d v="1996-04-13T00:00:00"/>
    <d v="2028-02-29T00:00:00"/>
    <m/>
    <d v="2028-02-29T00:00:00"/>
    <n v="1623"/>
    <s v=""/>
    <s v=""/>
    <s v=""/>
    <s v="27.05"/>
    <s v="27.05"/>
    <s v="00051278"/>
    <s v="Stores &amp; Warehouse"/>
    <s v="304572"/>
    <s v="New Acquisition"/>
    <s v="Khopoli staff"/>
    <s v="0000249007"/>
    <s v="SSC-STORES_DEPT"/>
    <s v="1111KHOP"/>
    <s v="20058695"/>
    <s v="Shrigopal Bhati"/>
    <s v="No"/>
    <s v="suresh.malusare@amns.in"/>
    <s v="8411970024"/>
    <s v="1022081"/>
    <s v="Pritam Debbarma"/>
    <s v="Anil Matoo"/>
    <s v="-"/>
    <s v="Manjit Shah"/>
    <s v="-"/>
  </r>
  <r>
    <n v="6102"/>
    <n v="20058392"/>
    <s v="Pratiksha Khare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74-03-20T00:00:00"/>
    <s v="49.06"/>
    <d v="1999-04-28T00:00:00"/>
    <d v="2034-03-31T00:00:00"/>
    <m/>
    <d v="2034-03-31T00:00:00"/>
    <n v="3845"/>
    <s v=""/>
    <s v=""/>
    <s v=""/>
    <s v="24.04"/>
    <s v="24.04"/>
    <s v="00051378"/>
    <s v="Exports - Marketing"/>
    <s v="304600"/>
    <s v="New Acquisition"/>
    <s v="Khopoli staff"/>
    <s v="0000100014"/>
    <s v="HOM-SALE&amp;MKTG-EXPORT"/>
    <s v="1111KHOP"/>
    <s v="20058801"/>
    <s v="Shubhangi Patil"/>
    <s v="No"/>
    <s v="pratiksha.khare@amns.in"/>
    <s v="8411970586"/>
    <s v="1022180"/>
    <s v="Pritam Debbarma"/>
    <s v="Anil Matoo"/>
    <s v="-"/>
    <s v="Manjit Shah"/>
    <s v="-"/>
  </r>
  <r>
    <n v="6116"/>
    <n v="20058406"/>
    <s v="Sameer Paland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6-12T00:00:00"/>
    <s v="47.03"/>
    <d v="1999-04-05T00:00:00"/>
    <d v="2036-06-30T00:00:00"/>
    <m/>
    <d v="2036-06-30T00:00:00"/>
    <n v="4667"/>
    <s v=""/>
    <s v=""/>
    <s v=""/>
    <s v="24.05"/>
    <s v="24.05"/>
    <s v="00051330"/>
    <s v="Accounts - Costing"/>
    <s v="304614"/>
    <s v="New Acquisition"/>
    <s v="Khopoli staff"/>
    <s v="0000290005"/>
    <s v="FAC-COSTING_DEPT"/>
    <s v="1111KHOP"/>
    <s v="20058297"/>
    <s v="Susanta Rath"/>
    <s v="No"/>
    <s v="sameer.palande@amns.in"/>
    <s v="8411970600"/>
    <s v="1022030"/>
    <s v="Pritam Debbarma"/>
    <s v="Anil Matoo"/>
    <s v="-"/>
    <s v="Manjit Shah"/>
    <s v="-"/>
  </r>
  <r>
    <n v="6133"/>
    <n v="20058423"/>
    <s v="Lalit Dhiman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06-19T00:00:00"/>
    <s v="57.03"/>
    <d v="2003-11-18T00:00:00"/>
    <d v="2026-06-30T00:00:00"/>
    <m/>
    <d v="2026-06-30T00:00:00"/>
    <n v="1014"/>
    <s v=""/>
    <s v=""/>
    <s v=""/>
    <s v="19.10"/>
    <s v="19.10"/>
    <s v="00051339"/>
    <s v="Excise"/>
    <s v="304631"/>
    <s v="New Acquisition"/>
    <s v="Khopoli staff"/>
    <s v="0000290001"/>
    <s v="FAC-EXCISE_DEPT"/>
    <s v="1111KHOP"/>
    <s v="40002639"/>
    <s v="Balveer Bhandari"/>
    <s v="No"/>
    <s v="lalit.dhiman@amns.in"/>
    <s v="9769837007"/>
    <s v="1022075"/>
    <s v="Pritam Debbarma"/>
    <s v="Anil Matoo"/>
    <s v="-"/>
    <s v="Manjit Shah"/>
    <s v="-"/>
  </r>
  <r>
    <n v="6167"/>
    <n v="20058460"/>
    <s v="Nazir Danwad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9-03-07T00:00:00"/>
    <s v="44.06"/>
    <d v="2003-12-16T00:00:00"/>
    <d v="2039-03-31T00:00:00"/>
    <m/>
    <d v="2039-03-31T00:00:00"/>
    <n v="5671"/>
    <s v=""/>
    <s v=""/>
    <s v=""/>
    <s v="19.09"/>
    <s v="19.09"/>
    <s v="00051330"/>
    <s v="Accounts - Costing"/>
    <s v="304668"/>
    <s v="New Acquisition"/>
    <s v="Khopoli staff"/>
    <s v="0000290005"/>
    <s v="FAC-COSTING_DEPT"/>
    <s v="1111KHOP"/>
    <s v="20058297"/>
    <s v="Susanta Rath"/>
    <s v="No"/>
    <s v="nazir.danawade@amns.in"/>
    <s v="8411970647"/>
    <s v="1022119"/>
    <s v="Pritam Debbarma"/>
    <s v="Anil Matoo"/>
    <s v="-"/>
    <s v="Manjit Shah"/>
    <s v="-"/>
  </r>
  <r>
    <n v="6169"/>
    <n v="20058462"/>
    <s v="Shailesh Gambhi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3-07-04T00:00:00"/>
    <s v="40.02"/>
    <d v="2005-08-17T00:00:00"/>
    <d v="2043-07-31T00:00:00"/>
    <m/>
    <d v="2043-07-31T00:00:00"/>
    <n v="7254"/>
    <s v=""/>
    <s v=""/>
    <s v=""/>
    <s v="18.01"/>
    <s v="18.01"/>
    <s v="00051278"/>
    <s v="Stores &amp; Warehouse"/>
    <s v="304670"/>
    <s v="New Acquisition"/>
    <s v="Khopoli staff"/>
    <s v="0000219007"/>
    <s v="TRM-STORES_DEPT"/>
    <s v="1111KHOP"/>
    <s v="20058695"/>
    <s v="Shrigopal Bhati"/>
    <s v="No"/>
    <s v="shailesh.gambhir@amns.in"/>
    <s v="9673126976"/>
    <s v="1022123"/>
    <s v="Pritam Debbarma"/>
    <s v="Anil Matoo"/>
    <s v="-"/>
    <s v="Manjit Shah"/>
    <s v="-"/>
  </r>
  <r>
    <n v="6173"/>
    <n v="20058466"/>
    <s v="Rakesh Patil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2-12-05T00:00:00"/>
    <s v="40.09"/>
    <d v="2006-01-09T00:00:00"/>
    <d v="2042-12-31T00:00:00"/>
    <m/>
    <d v="2042-12-31T00:00:00"/>
    <n v="7042"/>
    <s v=""/>
    <s v=""/>
    <s v=""/>
    <s v="17.08"/>
    <s v="17.08"/>
    <s v="00051278"/>
    <s v="Stores &amp; Warehouse"/>
    <s v="304674"/>
    <s v="New Acquisition"/>
    <s v="Khopoli staff"/>
    <s v="0000209007"/>
    <s v="CRM-STORES_DEPT"/>
    <s v="1111KHOP"/>
    <s v="20058695"/>
    <s v="Shrigopal Bhati"/>
    <s v="No"/>
    <s v="rakesh.patil2@amns.in"/>
    <s v="9823930232"/>
    <s v="1042685"/>
    <s v="Pritam Debbarma"/>
    <s v="Anil Matoo"/>
    <s v="-"/>
    <s v="Manjit Shah"/>
    <s v="-"/>
  </r>
  <r>
    <n v="6205"/>
    <n v="20058500"/>
    <s v="Bhushan Ghosalka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4-05-19T00:00:00"/>
    <s v="39.04"/>
    <d v="2007-08-09T00:00:00"/>
    <d v="2044-05-31T00:00:00"/>
    <m/>
    <d v="2044-05-31T00:00:00"/>
    <n v="7559"/>
    <s v=""/>
    <s v=""/>
    <s v=""/>
    <s v="16.01"/>
    <s v="16.01"/>
    <s v="00051278"/>
    <s v="Stores &amp; Warehouse"/>
    <s v="304708"/>
    <s v="New Acquisition"/>
    <s v="Khopoli staff"/>
    <s v="0000209007"/>
    <s v="CRM-STORES_DEPT"/>
    <s v="1111KHOP"/>
    <s v="20058695"/>
    <s v="Shrigopal Bhati"/>
    <s v="No"/>
    <s v="bhushan.ghosalkar@amns.in"/>
    <s v="8087771694"/>
    <s v="1042697"/>
    <s v="Pritam Debbarma"/>
    <s v="Anil Matoo"/>
    <s v="-"/>
    <s v="Manjit Shah"/>
    <s v="-"/>
  </r>
  <r>
    <n v="6207"/>
    <n v="20058502"/>
    <s v="Wilson Ratnam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8-04-15T00:00:00"/>
    <s v="45.05"/>
    <d v="2007-09-07T00:00:00"/>
    <d v="2038-04-30T00:00:00"/>
    <m/>
    <d v="2038-04-30T00:00:00"/>
    <n v="5336"/>
    <s v=""/>
    <s v=""/>
    <s v=""/>
    <s v="16.00"/>
    <s v="16.00"/>
    <s v="00051351"/>
    <s v="Logistics &amp; Stores"/>
    <s v="304710"/>
    <s v="New Acquisition"/>
    <s v="Khopoli staff"/>
    <s v="0000909007"/>
    <s v="NPP - STORES_DEPT"/>
    <s v="1111KHOP"/>
    <s v="20058515"/>
    <s v="Madhusudan Murdhankar"/>
    <s v="No"/>
    <s v="wilson.ratnam@amns.in"/>
    <s v="9823722478"/>
    <s v="1042698"/>
    <s v="Pritam Debbarma"/>
    <s v="Anil Matoo"/>
    <s v="-"/>
    <s v="Manjit Shah"/>
    <s v="-"/>
  </r>
  <r>
    <n v="6219"/>
    <n v="20058515"/>
    <s v="Madhusudan Murdhanka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6-05-24T00:00:00"/>
    <s v="57.03"/>
    <d v="2007-12-18T00:00:00"/>
    <d v="2026-05-31T00:00:00"/>
    <m/>
    <d v="2026-05-31T00:00:00"/>
    <n v="984"/>
    <s v=""/>
    <s v=""/>
    <s v=""/>
    <s v="15.09"/>
    <s v="15.09"/>
    <s v="00051351"/>
    <s v="Logistics &amp; Stores"/>
    <s v="304723"/>
    <s v="New Acquisition"/>
    <s v="Khopoli staff"/>
    <s v="0000909007"/>
    <s v="NPP - STORES_DEPT"/>
    <s v="1111KHOP"/>
    <s v="20058616"/>
    <s v="Vineet Jain"/>
    <s v="No"/>
    <s v="madhusudan.murdhankar@amns.in"/>
    <s v="8411970540"/>
    <s v=""/>
    <s v="Pritam Debbarma"/>
    <s v="Anil Matoo"/>
    <s v="-"/>
    <s v="Manjit Shah"/>
    <s v="-"/>
  </r>
  <r>
    <n v="6252"/>
    <n v="20058549"/>
    <s v="Debendra Sahoo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0-11-27T00:00:00"/>
    <s v="52.09"/>
    <d v="2008-08-19T00:00:00"/>
    <d v="2030-11-30T00:00:00"/>
    <m/>
    <d v="2030-11-30T00:00:00"/>
    <n v="2628"/>
    <s v=""/>
    <s v=""/>
    <s v=""/>
    <s v="15.01"/>
    <s v="15.01"/>
    <s v="00051278"/>
    <s v="Stores &amp; Warehouse"/>
    <s v="304757"/>
    <s v="New Acquisition"/>
    <s v="Khopoli staff"/>
    <s v="0000309007"/>
    <s v="CGL-STORES_DEPT"/>
    <s v="1111KHOP"/>
    <s v="20058695"/>
    <s v="Shrigopal Bhati"/>
    <s v="No"/>
    <s v="debendra.sahoo@amns.in"/>
    <s v="9545603945"/>
    <s v="1042476"/>
    <s v="Pritam Debbarma"/>
    <s v="Anil Matoo"/>
    <s v="-"/>
    <s v="Manjit Shah"/>
    <s v="-"/>
  </r>
  <r>
    <n v="6264"/>
    <n v="20058561"/>
    <s v="Dinesh Agiva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5-07-24T00:00:00"/>
    <s v="38.01"/>
    <d v="2009-02-16T00:00:00"/>
    <d v="2045-07-31T00:00:00"/>
    <m/>
    <d v="2045-07-31T00:00:00"/>
    <n v="7985"/>
    <s v=""/>
    <s v=""/>
    <s v=""/>
    <s v="14.07"/>
    <s v="14.07"/>
    <s v="00051351"/>
    <s v="Logistics &amp; Stores"/>
    <s v="304769"/>
    <s v="New Acquisition"/>
    <s v="Khopoli staff"/>
    <s v="0000909007"/>
    <s v="NPP - STORES_DEPT"/>
    <s v="1111KHOP"/>
    <s v="20058515"/>
    <s v="Madhusudan Murdhankar"/>
    <s v="No"/>
    <s v="dinesh.agivale@amns.in"/>
    <s v="8554910546"/>
    <s v="1042731"/>
    <s v="Pritam Debbarma"/>
    <s v="Anil Matoo"/>
    <s v="-"/>
    <s v="Manjit Shah"/>
    <s v="-"/>
  </r>
  <r>
    <n v="6286"/>
    <n v="20058584"/>
    <s v="Santhosh Raghava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outh"/>
    <s v="Hypermart"/>
    <s v=""/>
    <s v="Non Technical Support"/>
    <s v="Operations"/>
    <s v="Operations"/>
    <s v="72103001"/>
    <s v="Operations"/>
    <s v="Chennai"/>
    <d v="1966-05-04T00:00:00"/>
    <s v="57.04"/>
    <d v="2008-01-21T00:00:00"/>
    <d v="2026-05-31T00:00:00"/>
    <m/>
    <d v="2026-05-31T00:00:00"/>
    <n v="984"/>
    <s v=""/>
    <s v=""/>
    <s v=""/>
    <s v="15.07"/>
    <s v="15.07"/>
    <s v="00051380"/>
    <s v="Sales &amp; Marketing"/>
    <s v="304792"/>
    <s v="New Acquisition"/>
    <s v="Khopoli staff"/>
    <s v="0000290012"/>
    <s v="FAC-MARKETING CO-ORD"/>
    <s v="1111KHOP"/>
    <s v="20058920"/>
    <s v="Atul Singh"/>
    <s v="No"/>
    <s v="santosh.raghavan@amns.in"/>
    <s v="8411970402"/>
    <s v="1022150"/>
    <s v="Pritam Debbarma"/>
    <s v="Anil Matoo"/>
    <s v="-"/>
    <s v="Manjit Shah"/>
    <s v="-"/>
  </r>
  <r>
    <n v="6296"/>
    <n v="20058594"/>
    <s v="Praveen Singh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1-02-02T00:00:00"/>
    <s v="42.07"/>
    <d v="2010-03-08T00:00:00"/>
    <d v="2041-02-28T00:00:00"/>
    <m/>
    <d v="2041-02-28T00:00:00"/>
    <n v="6371"/>
    <s v=""/>
    <s v=""/>
    <s v=""/>
    <s v="13.06"/>
    <s v="13.06"/>
    <s v="00051278"/>
    <s v="Stores &amp; Warehouse"/>
    <s v="304802"/>
    <s v="New Acquisition"/>
    <s v="Khopoli staff"/>
    <s v="0000209007"/>
    <s v="CRM-STORES_DEPT"/>
    <s v="1111KHOP"/>
    <s v="20058695"/>
    <s v="Shrigopal Bhati"/>
    <s v="No"/>
    <s v="praveen.singh@amns.in"/>
    <s v="8237740145"/>
    <s v="1022211"/>
    <s v="Pritam Debbarma"/>
    <s v="Anil Matoo"/>
    <s v="-"/>
    <s v="Manjit Shah"/>
    <s v="-"/>
  </r>
  <r>
    <n v="6299"/>
    <n v="20058597"/>
    <s v="Shashi Rai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9-07-01T00:00:00"/>
    <s v="44.02"/>
    <d v="2010-04-19T00:00:00"/>
    <d v="2039-06-30T00:00:00"/>
    <m/>
    <d v="2039-06-30T00:00:00"/>
    <n v="5762"/>
    <s v=""/>
    <s v=""/>
    <s v=""/>
    <s v="13.05"/>
    <s v="13.05"/>
    <s v="73800002"/>
    <s v="Procurement - Pune Asset"/>
    <s v="304805"/>
    <s v="New Acquisition"/>
    <s v="Khopoli staff"/>
    <s v="0000100010"/>
    <s v="HOM-COMM. &amp; PROCTS"/>
    <s v="1111KHOP"/>
    <s v="20006536"/>
    <s v="Mahesh Salunke"/>
    <s v="No"/>
    <s v="shashi.rai@amns.in"/>
    <s v="8149908545"/>
    <s v="1042479"/>
    <s v="Pritam Debbarma"/>
    <s v="Anil Matoo"/>
    <s v="-"/>
    <s v="Manjit Shah"/>
    <s v="-"/>
  </r>
  <r>
    <n v="6305"/>
    <n v="20058603"/>
    <s v="Anil Lad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1-02-17T00:00:00"/>
    <s v="42.07"/>
    <d v="2010-06-07T00:00:00"/>
    <d v="2041-02-28T00:00:00"/>
    <m/>
    <d v="2041-02-28T00:00:00"/>
    <n v="6371"/>
    <s v=""/>
    <s v=""/>
    <s v=""/>
    <s v="13.03"/>
    <s v="13.03"/>
    <s v="00051278"/>
    <s v="Stores &amp; Warehouse"/>
    <s v="304811"/>
    <s v="New Acquisition"/>
    <s v="Khopoli staff"/>
    <s v="0000209007"/>
    <s v="CRM-STORES_DEPT"/>
    <s v="1111KHOP"/>
    <s v="20058695"/>
    <s v="Shrigopal Bhati"/>
    <s v="No"/>
    <s v="anil.lad@amns.in"/>
    <s v="9922321932"/>
    <s v="1021933"/>
    <s v="Pritam Debbarma"/>
    <s v="Anil Matoo"/>
    <s v="-"/>
    <s v="Manjit Shah"/>
    <s v="-"/>
  </r>
  <r>
    <n v="6308"/>
    <n v="20058606"/>
    <s v="Swapnil Dalv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84-05-03T00:00:00"/>
    <s v="39.04"/>
    <d v="2010-06-11T00:00:00"/>
    <d v="2044-05-31T00:00:00"/>
    <m/>
    <d v="2044-05-31T00:00:00"/>
    <n v="7559"/>
    <s v=""/>
    <s v=""/>
    <s v=""/>
    <s v="13.03"/>
    <s v="13.03"/>
    <s v="00051380"/>
    <s v="Sales &amp; Marketing"/>
    <s v="304814"/>
    <s v="New Acquisition"/>
    <s v="Khopoli staff"/>
    <s v="0000290012"/>
    <s v="FAC-MARKETING CO-ORD"/>
    <s v="1111KHOP"/>
    <s v="20058920"/>
    <s v="Atul Singh"/>
    <s v="No"/>
    <s v="swapnil.dalvi@amns.in"/>
    <s v="8411970487"/>
    <s v="1021969"/>
    <s v="Pritam Debbarma"/>
    <s v="Anil Matoo"/>
    <s v="-"/>
    <s v="Manjit Shah"/>
    <s v="-"/>
  </r>
  <r>
    <n v="6330"/>
    <n v="20058628"/>
    <s v="Netra Deore"/>
    <s v="AMNS Khopoli"/>
    <s v="Onroll"/>
    <s v="New Acquisition"/>
    <n v="17"/>
    <m/>
    <s v="NA"/>
    <s v="F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2-12-01T00:00:00"/>
    <s v="40.09"/>
    <d v="2011-04-01T00:00:00"/>
    <d v="2042-11-30T00:00:00"/>
    <m/>
    <d v="2042-11-30T00:00:00"/>
    <n v="7011"/>
    <s v=""/>
    <s v=""/>
    <s v=""/>
    <s v="12.05"/>
    <s v="12.05"/>
    <s v="73800002"/>
    <s v="Procurement - Pune Asset"/>
    <s v="304836"/>
    <s v="New Acquisition"/>
    <s v="Khopoli staff"/>
    <s v="0000100010"/>
    <s v="HOM-COMM. &amp; PROCTS"/>
    <s v="1111KHOP"/>
    <s v="20006536"/>
    <s v="Mahesh Salunke"/>
    <s v="No"/>
    <s v="netra.deore@amns.in"/>
    <s v="8692966622"/>
    <s v="1022105"/>
    <s v="Pritam Debbarma"/>
    <s v="Anil Matoo"/>
    <s v="-"/>
    <s v="Manjit Shah"/>
    <s v="-"/>
  </r>
  <r>
    <n v="6351"/>
    <n v="20058650"/>
    <s v="Anup Karn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87-09-05T00:00:00"/>
    <s v="36.00"/>
    <d v="2011-10-14T00:00:00"/>
    <d v="2047-09-30T00:00:00"/>
    <m/>
    <d v="2047-09-30T00:00:00"/>
    <n v="8776"/>
    <s v=""/>
    <s v=""/>
    <s v=""/>
    <s v="11.11"/>
    <s v="11.11"/>
    <s v="00051336"/>
    <s v="Industrial Relations"/>
    <s v="304858"/>
    <s v="New Acquisition"/>
    <s v="Khopoli staff"/>
    <s v="0000290002"/>
    <s v="FAC-PERSONAL &amp; ADM"/>
    <s v="1111KHOP"/>
    <s v="20058935"/>
    <s v="Satish Mulay"/>
    <s v="No"/>
    <s v="anup.karn@amns.in"/>
    <s v="8411970685"/>
    <s v="1022137"/>
    <s v="Pritam Debbarma"/>
    <s v="Anil Matoo"/>
    <n v="0"/>
    <s v="Manjit Shah"/>
    <n v="0"/>
  </r>
  <r>
    <n v="6369"/>
    <n v="20058668"/>
    <s v="Eknath Pawa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4-06-04T00:00:00"/>
    <s v="49.03"/>
    <d v="1998-02-03T00:00:00"/>
    <d v="2034-06-30T00:00:00"/>
    <m/>
    <d v="2034-06-30T00:00:00"/>
    <n v="3936"/>
    <s v=""/>
    <s v=""/>
    <s v=""/>
    <s v="25.07"/>
    <s v="25.07"/>
    <s v="00051220"/>
    <s v="Administration &amp; Security"/>
    <s v="304876"/>
    <s v="New Acquisition"/>
    <s v="Khopoli staff"/>
    <s v="0000400000"/>
    <s v="PRC-GENERAL"/>
    <s v="1111KHOP"/>
    <s v="20057887"/>
    <s v="Kiran Vaidya"/>
    <s v="No"/>
    <s v="eknath.pawar@amns.in"/>
    <s v="9923884325"/>
    <s v="1042533"/>
    <s v="Pritam Debbarma"/>
    <s v="Anil Matoo"/>
    <s v="-"/>
    <s v="Manjit Shah"/>
    <s v="-"/>
  </r>
  <r>
    <n v="6377"/>
    <n v="20058676"/>
    <s v="Prakash Bhoi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7-12-12T00:00:00"/>
    <s v="55.09"/>
    <d v="1998-06-25T00:00:00"/>
    <d v="2027-12-31T00:00:00"/>
    <m/>
    <d v="2027-12-31T00:00:00"/>
    <n v="1563"/>
    <s v=""/>
    <s v=""/>
    <s v=""/>
    <s v="25.02"/>
    <s v="25.02"/>
    <s v="00051389"/>
    <s v="Stores - PRC"/>
    <s v="304884"/>
    <s v="New Acquisition"/>
    <s v="Khopoli staff"/>
    <s v="0000409007"/>
    <s v="PRC-STORES_DEPT"/>
    <s v="1111KHOP"/>
    <s v="20058273"/>
    <s v="Arun Deshmukh"/>
    <s v="No"/>
    <s v="prakash.bhoir@amns.in"/>
    <s v="9673537067"/>
    <s v="1022009"/>
    <s v="Pritam Debbarma"/>
    <s v="Anil Matoo"/>
    <s v="-"/>
    <s v="Manjit Shah"/>
    <s v="-"/>
  </r>
  <r>
    <n v="6381"/>
    <n v="20058680"/>
    <s v="Vasant Sanas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0-11-11T00:00:00"/>
    <s v="52.10"/>
    <d v="1998-09-21T00:00:00"/>
    <d v="2030-11-30T00:00:00"/>
    <m/>
    <d v="2030-11-30T00:00:00"/>
    <n v="2628"/>
    <s v=""/>
    <s v=""/>
    <s v=""/>
    <s v="25.00"/>
    <s v="25.00"/>
    <s v="00051339"/>
    <s v="Excise"/>
    <s v="304888"/>
    <s v="New Acquisition"/>
    <s v="Khopoli staff"/>
    <s v="0000290001"/>
    <s v="FAC-EXCISE_DEPT"/>
    <s v="1111KHOP"/>
    <s v="40002639"/>
    <s v="Balveer Bhandari"/>
    <s v="No"/>
    <s v="vasant.sanas@amns.in"/>
    <s v="8411970995"/>
    <s v="1022113"/>
    <s v="Pritam Debbarma"/>
    <s v="Anil Matoo"/>
    <s v="-"/>
    <s v="Manjit Shah"/>
    <s v="-"/>
  </r>
  <r>
    <n v="6396"/>
    <n v="20058695"/>
    <s v="Shrigopal Bhati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5-06-12T00:00:00"/>
    <s v="58.03"/>
    <d v="1999-05-14T00:00:00"/>
    <d v="2025-06-30T00:00:00"/>
    <m/>
    <d v="2025-06-30T00:00:00"/>
    <n v="649"/>
    <s v=""/>
    <s v=""/>
    <s v=""/>
    <s v="24.04"/>
    <s v="24.04"/>
    <s v="00051278"/>
    <s v="Stores &amp; Warehouse"/>
    <s v="304903"/>
    <s v="New Acquisition"/>
    <s v="Khopoli staff"/>
    <s v="0000309007"/>
    <s v="CGL-STORES_DEPT"/>
    <s v="1111KHOP"/>
    <s v="40002638"/>
    <s v="K.V.G Raju"/>
    <s v="No"/>
    <s v="s.bhati@amns.in"/>
    <s v="8411970590"/>
    <s v="1022270"/>
    <s v="Pritam Debbarma"/>
    <s v="Anil Matoo"/>
    <s v="-"/>
    <s v="Manjit Shah"/>
    <s v="-"/>
  </r>
  <r>
    <n v="6424"/>
    <n v="20058724"/>
    <s v="Shankar Patil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7-07-13T00:00:00"/>
    <s v="36.02"/>
    <d v="2010-10-21T00:00:00"/>
    <d v="2047-07-31T00:00:00"/>
    <m/>
    <d v="2047-07-31T00:00:00"/>
    <n v="8715"/>
    <s v=""/>
    <s v=""/>
    <s v=""/>
    <s v="12.10"/>
    <s v="12.10"/>
    <s v="00051278"/>
    <s v="Stores &amp; Warehouse"/>
    <s v="304932"/>
    <s v="New Acquisition"/>
    <s v="Khopoli staff"/>
    <s v="0000509007"/>
    <s v="CCL-STORES_DEPT"/>
    <s v="1111KHOP"/>
    <s v="20058695"/>
    <s v="Shrigopal Bhati"/>
    <s v="No"/>
    <s v="shankar.patil@amns.in"/>
    <s v="9673239477"/>
    <s v="1042792"/>
    <s v="Pritam Debbarma"/>
    <s v="Anil Matoo"/>
    <s v="-"/>
    <s v="Manjit Shah"/>
    <s v="-"/>
  </r>
  <r>
    <n v="6425"/>
    <n v="20058725"/>
    <s v="Sachin Patil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9-11-12T00:00:00"/>
    <s v="43.10"/>
    <d v="2011-05-12T00:00:00"/>
    <d v="2039-11-30T00:00:00"/>
    <m/>
    <d v="2039-11-30T00:00:00"/>
    <n v="5915"/>
    <s v=""/>
    <s v=""/>
    <s v=""/>
    <s v="12.04"/>
    <s v="12.04"/>
    <s v="00051220"/>
    <s v="Administration &amp; Security"/>
    <s v="304933"/>
    <s v="New Acquisition"/>
    <s v="Khopoli staff"/>
    <s v="0000290002"/>
    <s v="FAC-PERSONAL &amp; ADM"/>
    <s v="1111KHOP"/>
    <s v="20057887"/>
    <s v="Kiran Vaidya"/>
    <s v="No"/>
    <s v="sachin.patil24@amns.in"/>
    <s v="7030825777"/>
    <s v="1042793"/>
    <s v="Pritam Debbarma"/>
    <s v="Anil Matoo"/>
    <s v="-"/>
    <s v="Manjit Shah"/>
    <s v="-"/>
  </r>
  <r>
    <n v="6450"/>
    <n v="20058751"/>
    <s v="Mandar Khadilk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67-10-18T00:00:00"/>
    <s v="55.11"/>
    <d v="2005-12-10T00:00:00"/>
    <d v="2027-10-31T00:00:00"/>
    <m/>
    <d v="2027-10-31T00:00:00"/>
    <n v="1502"/>
    <s v=""/>
    <s v=""/>
    <s v=""/>
    <s v="17.09"/>
    <s v="17.09"/>
    <s v="00051378"/>
    <s v="Exports - Marketing"/>
    <s v="304959"/>
    <s v="New Acquisition"/>
    <s v="Khopoli staff"/>
    <s v="0000290012"/>
    <s v="FAC-MARKETING CO-ORD"/>
    <s v="1111KHOP"/>
    <s v="20058801"/>
    <s v="Shubhangi Patil"/>
    <s v="No"/>
    <s v="mandar.khadilkar@amns.in"/>
    <s v="8411970653"/>
    <s v="1022163"/>
    <s v="Pritam Debbarma"/>
    <s v="Anil Matoo"/>
    <s v="-"/>
    <s v="Manjit Shah"/>
    <s v="-"/>
  </r>
  <r>
    <n v="6471"/>
    <n v="20058772"/>
    <s v="Bipinchandra Parekh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Khopoli"/>
    <d v="1971-12-03T00:00:00"/>
    <s v="51.09"/>
    <d v="2007-08-14T00:00:00"/>
    <d v="2031-12-31T00:00:00"/>
    <m/>
    <d v="2031-12-31T00:00:00"/>
    <n v="3024"/>
    <s v=""/>
    <s v=""/>
    <s v=""/>
    <s v="16.01"/>
    <s v="16.01"/>
    <s v="00051356"/>
    <s v="Logistics - MIS / Planning"/>
    <s v="304980"/>
    <s v="New Acquisition"/>
    <s v="Khopoli staff"/>
    <s v="0000319006"/>
    <s v="SGL-LOGISTIC_DEPT"/>
    <s v="1111KHOP"/>
    <s v="40002642"/>
    <s v="Vasant Pandit"/>
    <s v="No"/>
    <s v="bipinchandra.parekh@amns.in"/>
    <s v="9420651432"/>
    <s v="1022247"/>
    <s v="Pritam Debbarma"/>
    <s v="Anil Matoo"/>
    <s v="-"/>
    <s v="Manjit Shah"/>
    <s v="-"/>
  </r>
  <r>
    <n v="6475"/>
    <n v="20058777"/>
    <s v="Shailesh Mang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8-10-30T00:00:00"/>
    <s v="54.10"/>
    <d v="2007-12-01T00:00:00"/>
    <d v="2028-10-31T00:00:00"/>
    <m/>
    <d v="2028-10-31T00:00:00"/>
    <n v="1868"/>
    <s v=""/>
    <s v=""/>
    <s v=""/>
    <s v="15.09"/>
    <s v="15.09"/>
    <s v="00051389"/>
    <s v="Stores - PRC"/>
    <s v="304985"/>
    <s v="New Acquisition"/>
    <s v="Khopoli staff"/>
    <s v="0000409007"/>
    <s v="PRC-STORES_DEPT"/>
    <s v="1111KHOP"/>
    <s v="20058273"/>
    <s v="Arun Deshmukh"/>
    <s v="No"/>
    <s v="shailesh.mangle@amns.in"/>
    <s v="9923734424"/>
    <s v="1022265"/>
    <s v="Pritam Debbarma"/>
    <s v="Anil Matoo"/>
    <s v="-"/>
    <s v="Manjit Shah"/>
    <s v="-"/>
  </r>
  <r>
    <n v="6491"/>
    <n v="20058796"/>
    <s v="Rajany Nair"/>
    <s v="AMNS Khopoli"/>
    <s v="Onroll"/>
    <s v="New Acquisition"/>
    <n v="17"/>
    <m/>
    <s v="NA"/>
    <s v="F"/>
    <s v="Khopoli"/>
    <n v="9"/>
    <s v="1123"/>
    <x v="12"/>
    <n v="35.02"/>
    <s v="Hrishikesh Kamat"/>
    <s v="Hrishikesh Kamat"/>
    <n v="7"/>
    <s v="Procurement"/>
    <s v="Land Acquisition"/>
    <s v="35"/>
    <m/>
    <m/>
    <s v="Legal / Land"/>
    <s v=""/>
    <s v=""/>
    <s v="Non Technical Support"/>
    <s v="Operations"/>
    <s v="Operations"/>
    <s v="72103001"/>
    <s v="Operations"/>
    <s v="Khopoli"/>
    <d v="1972-04-16T00:00:00"/>
    <s v="51.05"/>
    <d v="2008-06-26T00:00:00"/>
    <d v="2032-04-30T00:00:00"/>
    <m/>
    <d v="2032-04-30T00:00:00"/>
    <n v="3145"/>
    <s v=""/>
    <s v=""/>
    <s v=""/>
    <s v="15.02"/>
    <s v="15.02"/>
    <s v="00051268"/>
    <s v="Land Acquisition"/>
    <s v="305004"/>
    <s v="New Acquisition"/>
    <s v="Khopoli staff"/>
    <s v="0000290002"/>
    <s v="FAC-PERSONAL &amp; ADM"/>
    <s v="1111KHOP"/>
    <s v="0"/>
    <s v=""/>
    <s v="No"/>
    <s v="rajany.nair@amns.in"/>
    <s v="8879994201"/>
    <s v="1022095"/>
    <s v="Pritam Debbarma"/>
    <s v="Anil Matoo"/>
    <s v="-"/>
    <s v="Manjit Shah"/>
    <s v="-"/>
  </r>
  <r>
    <n v="6492"/>
    <n v="20058798"/>
    <s v="Abhijeet Kulkarni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7-06-08T00:00:00"/>
    <s v="46.03"/>
    <d v="2007-05-23T00:00:00"/>
    <d v="2037-06-30T00:00:00"/>
    <m/>
    <d v="2037-06-30T00:00:00"/>
    <n v="5032"/>
    <s v=""/>
    <s v=""/>
    <s v=""/>
    <s v="16.03"/>
    <s v="16.03"/>
    <s v="00051338"/>
    <s v="Commercial &amp; Licenses"/>
    <s v="305006"/>
    <s v="New Acquisition"/>
    <s v="Khopoli staff"/>
    <s v="0000100019"/>
    <s v="HOM-COMMERCIAL"/>
    <s v="1111KHOP"/>
    <s v="20054538"/>
    <s v="Niraj Pradeep Khopkar"/>
    <s v="No"/>
    <s v="abhijeet.kulkarni@amns.in"/>
    <s v="8879994148"/>
    <s v=""/>
    <s v="Pritam Debbarma"/>
    <s v="Anil Matoo"/>
    <s v="-"/>
    <s v="Manjit Shah"/>
    <s v="-"/>
  </r>
  <r>
    <n v="6493"/>
    <n v="20058799"/>
    <s v="Rohit Kamat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2-04-22T00:00:00"/>
    <s v="41.04"/>
    <d v="2004-07-01T00:00:00"/>
    <d v="2042-04-30T00:00:00"/>
    <m/>
    <d v="2042-04-30T00:00:00"/>
    <n v="6797"/>
    <s v=""/>
    <s v=""/>
    <s v=""/>
    <s v="19.02"/>
    <s v="19.02"/>
    <s v="00051338"/>
    <s v="Commercial &amp; Licenses"/>
    <s v="305007"/>
    <s v="New Acquisition"/>
    <s v="Khopoli staff"/>
    <s v="0000100019"/>
    <s v="HOM-COMMERCIAL"/>
    <s v="1111KHOP"/>
    <s v="20054538"/>
    <s v="Niraj Pradeep Khopkar"/>
    <s v="No"/>
    <s v="rohit.kamat@amns.in"/>
    <s v="8879994193"/>
    <s v="1022117"/>
    <s v="Pritam Debbarma"/>
    <s v="Anil Matoo"/>
    <s v="-"/>
    <s v="Manjit Shah"/>
    <s v="-"/>
  </r>
  <r>
    <n v="6494"/>
    <n v="20058801"/>
    <s v="Shubhangi Patil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Sales Planning"/>
    <s v=""/>
    <s v="Non Technical Support"/>
    <s v="Operations"/>
    <s v="Operations"/>
    <s v="72103001"/>
    <s v="Operations"/>
    <s v="Khopoli"/>
    <d v="1974-05-25T00:00:00"/>
    <s v="49.03"/>
    <d v="2001-09-07T00:00:00"/>
    <d v="2034-05-31T00:00:00"/>
    <m/>
    <d v="2034-05-31T00:00:00"/>
    <n v="3906"/>
    <s v=""/>
    <s v=""/>
    <s v=""/>
    <s v="22.00"/>
    <s v="22.00"/>
    <s v="00051378"/>
    <s v="Exports - Marketing"/>
    <s v="305009"/>
    <s v="New Acquisition"/>
    <s v="Khopoli staff"/>
    <s v="0000100014"/>
    <s v="HOM-SALE&amp;MKTG-EXPORT"/>
    <s v="1111KHOP"/>
    <s v="20058920"/>
    <s v="Atul Singh"/>
    <s v="No"/>
    <s v="shubhangi.patil@amns.in"/>
    <s v="8879994108"/>
    <s v="1022448"/>
    <s v="Pritam Debbarma"/>
    <s v="Anil Matoo"/>
    <s v="-"/>
    <s v="Manjit Shah"/>
    <s v="-"/>
  </r>
  <r>
    <n v="6495"/>
    <n v="20058804"/>
    <s v="Roy Jos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5-12-03T00:00:00"/>
    <s v="47.09"/>
    <d v="2000-09-11T00:00:00"/>
    <d v="2035-12-31T00:00:00"/>
    <m/>
    <d v="2035-12-31T00:00:00"/>
    <n v="4485"/>
    <s v=""/>
    <s v=""/>
    <s v=""/>
    <s v="23.00"/>
    <s v="23.00"/>
    <s v="00051333"/>
    <s v="Corporate Accounts &amp; Global Reporting"/>
    <s v="305012"/>
    <s v="New Acquisition"/>
    <s v="Khopoli staff"/>
    <s v="0000100006"/>
    <s v="HOM-ACCOUNTS &amp; FIN"/>
    <s v="1111KHOP"/>
    <s v="20055188"/>
    <s v="Rohit Sharma"/>
    <s v="No"/>
    <s v="roy.jose@amns.in"/>
    <s v="8879994164"/>
    <s v="1022182"/>
    <s v="Pritam Debbarma"/>
    <s v="Anil Matoo"/>
    <s v="-"/>
    <s v="Manjit Shah"/>
    <s v="-"/>
  </r>
  <r>
    <n v="6496"/>
    <n v="20058805"/>
    <s v="Sunil Sharma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4-01-01T00:00:00"/>
    <s v="39.08"/>
    <d v="2011-06-15T00:00:00"/>
    <d v="2043-12-31T00:00:00"/>
    <m/>
    <d v="2043-12-31T00:00:00"/>
    <n v="7407"/>
    <s v=""/>
    <s v=""/>
    <s v=""/>
    <s v="12.03"/>
    <s v="12.03"/>
    <s v="00051329"/>
    <s v="Finance &amp; Accounts"/>
    <s v="305013"/>
    <s v="New Acquisition"/>
    <s v="Khopoli staff"/>
    <s v="0000100022"/>
    <s v="HOM-CORPORATE FINANC"/>
    <s v="1111KHOP"/>
    <s v="20055188"/>
    <s v="Rohit Sharma"/>
    <s v="No"/>
    <s v="sunil.sharma1@amns.in"/>
    <s v="8879994167"/>
    <s v="1022195"/>
    <s v="Pritam Debbarma"/>
    <s v="Anil Matoo"/>
    <s v="-"/>
    <s v="Manjit Shah"/>
    <s v="-"/>
  </r>
  <r>
    <n v="6497"/>
    <n v="20058806"/>
    <s v="Clara Dalmeida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7-08-07T00:00:00"/>
    <s v="56.01"/>
    <d v="1994-02-01T00:00:00"/>
    <d v="2027-08-31T00:00:00"/>
    <m/>
    <d v="2027-08-31T00:00:00"/>
    <n v="1441"/>
    <s v=""/>
    <s v=""/>
    <s v=""/>
    <s v="29.07"/>
    <s v="29.07"/>
    <s v="00051329"/>
    <s v="Finance &amp; Accounts"/>
    <s v="305014"/>
    <s v="New Acquisition"/>
    <s v="Khopoli staff"/>
    <s v="0000100006"/>
    <s v="HOM-ACCOUNTS &amp; FIN"/>
    <s v="1111KHOP"/>
    <s v="20058805"/>
    <s v="Sunil Sharma"/>
    <s v="No"/>
    <s v="clara.almeida@amns.in"/>
    <s v="8879994190"/>
    <s v=""/>
    <s v="Pritam Debbarma"/>
    <s v="Anil Matoo"/>
    <s v="-"/>
    <s v="Manjit Shah"/>
    <s v="-"/>
  </r>
  <r>
    <n v="6498"/>
    <n v="20058807"/>
    <s v="Santosh Jairaman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7-07-14T00:00:00"/>
    <s v="46.02"/>
    <d v="2000-08-28T00:00:00"/>
    <d v="2037-07-31T00:00:00"/>
    <m/>
    <d v="2037-07-31T00:00:00"/>
    <n v="5063"/>
    <s v=""/>
    <s v=""/>
    <s v=""/>
    <s v="23.00"/>
    <s v="23.00"/>
    <s v="00051329"/>
    <s v="Finance &amp; Accounts"/>
    <s v="305015"/>
    <s v="New Acquisition"/>
    <s v="Khopoli staff"/>
    <s v="0000100006"/>
    <s v="HOM-ACCOUNTS &amp; FIN"/>
    <s v="1111KHOP"/>
    <s v="20058805"/>
    <s v="Sunil Sharma"/>
    <s v="No"/>
    <s v="santosh.jairaman@amns.in"/>
    <s v="8879994169"/>
    <s v="1022216"/>
    <s v="Pritam Debbarma"/>
    <s v="Anil Matoo"/>
    <s v="-"/>
    <s v="Manjit Shah"/>
    <s v="-"/>
  </r>
  <r>
    <n v="6499"/>
    <n v="20058808"/>
    <s v="Bimal Dutta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01-07T00:00:00"/>
    <s v="57.08"/>
    <d v="2010-03-25T00:00:00"/>
    <d v="2026-01-31T00:00:00"/>
    <m/>
    <d v="2026-01-31T00:00:00"/>
    <n v="864"/>
    <s v=""/>
    <s v=""/>
    <s v=""/>
    <s v="13.05"/>
    <s v="13.05"/>
    <s v="00051329"/>
    <s v="Finance &amp; Accounts"/>
    <s v="305016"/>
    <s v="New Acquisition"/>
    <s v="Khopoli staff"/>
    <s v="0000100006"/>
    <s v="HOM-ACCOUNTS &amp; FIN"/>
    <s v="1111KHOP"/>
    <s v="20058805"/>
    <s v="Sunil Sharma"/>
    <s v="No"/>
    <s v="bimal.dutta@amns.in"/>
    <s v="9702133743"/>
    <s v="1022224"/>
    <s v="Pritam Debbarma"/>
    <s v="Anil Matoo"/>
    <s v="-"/>
    <s v="Manjit Shah"/>
    <s v="-"/>
  </r>
  <r>
    <n v="6500"/>
    <n v="20058809"/>
    <s v="Satyavan Mahapadi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5-11-08T00:00:00"/>
    <s v="47.10"/>
    <d v="2007-05-14T00:00:00"/>
    <d v="2035-11-30T00:00:00"/>
    <m/>
    <d v="2035-11-30T00:00:00"/>
    <n v="4454"/>
    <s v=""/>
    <s v=""/>
    <s v=""/>
    <s v="16.04"/>
    <s v="16.04"/>
    <s v="00051329"/>
    <s v="Finance &amp; Accounts"/>
    <s v="305017"/>
    <s v="New Acquisition"/>
    <s v="Khopoli staff"/>
    <s v="0000100006"/>
    <s v="HOM-ACCOUNTS &amp; FIN"/>
    <s v="1111KHOP"/>
    <s v="20058805"/>
    <s v="Sunil Sharma"/>
    <s v="No"/>
    <s v="satyavan.mahapadi@amns.in"/>
    <s v="8879994176"/>
    <s v="1022231"/>
    <s v="Pritam Debbarma"/>
    <s v="Anil Matoo"/>
    <s v="-"/>
    <s v="Manjit Shah"/>
    <s v="-"/>
  </r>
  <r>
    <n v="6501"/>
    <n v="20058810"/>
    <s v="Umesh Palshikar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5-07-12T00:00:00"/>
    <s v="58.02"/>
    <d v="2007-09-24T00:00:00"/>
    <d v="2025-07-31T00:00:00"/>
    <m/>
    <d v="2025-07-31T00:00:00"/>
    <n v="680"/>
    <s v=""/>
    <s v=""/>
    <s v=""/>
    <s v="15.11"/>
    <s v="15.11"/>
    <s v="00051329"/>
    <s v="Finance &amp; Accounts"/>
    <s v="305018"/>
    <s v="New Acquisition"/>
    <s v="Khopoli staff"/>
    <s v="0000100006"/>
    <s v="HOM-ACCOUNTS &amp; FIN"/>
    <s v="1111KHOP"/>
    <s v="20058805"/>
    <s v="Sunil Sharma"/>
    <s v="No"/>
    <s v="umesh.palshikar@amns.in"/>
    <s v="9820874012"/>
    <s v="1022238"/>
    <s v="Pritam Debbarma"/>
    <s v="Anil Matoo"/>
    <s v="-"/>
    <s v="Manjit Shah"/>
    <s v="-"/>
  </r>
  <r>
    <n v="6502"/>
    <n v="20058811"/>
    <s v="Vijay Vichar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8-09-11T00:00:00"/>
    <s v="45.00"/>
    <d v="2006-04-01T00:00:00"/>
    <d v="2038-09-30T00:00:00"/>
    <m/>
    <d v="2038-09-30T00:00:00"/>
    <n v="5489"/>
    <s v=""/>
    <s v=""/>
    <s v=""/>
    <s v="17.05"/>
    <s v="17.05"/>
    <s v="00051266"/>
    <s v="Internal Audit"/>
    <s v="305019"/>
    <s v="New Acquisition"/>
    <s v="Khopoli staff"/>
    <s v="0000100006"/>
    <s v="HOM-ACCOUNTS &amp; FIN"/>
    <s v="1111KHOP"/>
    <s v="20055486"/>
    <s v="Nilesh Likhite"/>
    <s v="No"/>
    <s v="vijay.vichare@amns.in"/>
    <s v="8879994174"/>
    <s v="1022263"/>
    <s v="Pritam Debbarma"/>
    <s v="Anil Matoo"/>
    <s v="-"/>
    <s v="Manjit Shah"/>
    <s v="-"/>
  </r>
  <r>
    <n v="6503"/>
    <n v="20058812"/>
    <s v="Shailesh Weling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7-04-13T00:00:00"/>
    <s v="46.05"/>
    <d v="2007-03-01T00:00:00"/>
    <d v="2037-04-30T00:00:00"/>
    <m/>
    <d v="2037-04-30T00:00:00"/>
    <n v="4971"/>
    <s v=""/>
    <s v=""/>
    <s v=""/>
    <s v="16.06"/>
    <s v="16.06"/>
    <s v="00051329"/>
    <s v="Finance &amp; Accounts"/>
    <s v="305020"/>
    <s v="New Acquisition"/>
    <s v="Khopoli staff"/>
    <s v="0000100006"/>
    <s v="HOM-ACCOUNTS &amp; FIN"/>
    <s v="1111KHOP"/>
    <s v="20016107"/>
    <s v="Kalpesh Thathagar"/>
    <s v="No"/>
    <s v="shailesh.weling@amns.in"/>
    <s v="9892518215"/>
    <s v="1022268"/>
    <s v="Pritam Debbarma"/>
    <s v="Anil Matoo"/>
    <s v="-"/>
    <s v="Manjit Shah"/>
    <s v="-"/>
  </r>
  <r>
    <n v="6504"/>
    <n v="20058814"/>
    <s v="Philip Abraham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5-28T00:00:00"/>
    <s v="47.03"/>
    <d v="2010-12-15T00:00:00"/>
    <d v="2036-05-31T00:00:00"/>
    <m/>
    <d v="2036-05-31T00:00:00"/>
    <n v="4637"/>
    <s v=""/>
    <s v=""/>
    <s v=""/>
    <s v="12.09"/>
    <s v="12.09"/>
    <s v="00051329"/>
    <s v="Finance &amp; Accounts"/>
    <s v="305022"/>
    <s v="New Acquisition"/>
    <s v="Khopoli staff"/>
    <s v="0000100006"/>
    <s v="HOM-ACCOUNTS &amp; FIN"/>
    <s v="1111KHOP"/>
    <s v="20058805"/>
    <s v="Sunil Sharma"/>
    <s v="No"/>
    <s v="philip.abraham@amns.in"/>
    <s v="9619928587"/>
    <s v="1022281"/>
    <s v="Pritam Debbarma"/>
    <s v="Anil Matoo"/>
    <s v="-"/>
    <s v="Manjit Shah"/>
    <s v="-"/>
  </r>
  <r>
    <n v="6505"/>
    <n v="20058815"/>
    <s v="Sagar Sawant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3-29T00:00:00"/>
    <s v="47.05"/>
    <d v="2007-03-01T00:00:00"/>
    <d v="2036-03-31T00:00:00"/>
    <m/>
    <d v="2036-03-31T00:00:00"/>
    <n v="4576"/>
    <s v=""/>
    <s v=""/>
    <s v=""/>
    <s v="16.06"/>
    <s v="16.06"/>
    <s v="00051329"/>
    <s v="Finance &amp; Accounts"/>
    <s v="305023"/>
    <s v="New Acquisition"/>
    <s v="Khopoli staff"/>
    <s v="0000100006"/>
    <s v="HOM-ACCOUNTS &amp; FIN"/>
    <s v="1111KHOP"/>
    <s v="20058805"/>
    <s v="Sunil Sharma"/>
    <s v="No"/>
    <s v="sagar.sawant@amns.in"/>
    <s v="9870354891"/>
    <s v="1022287"/>
    <s v="Pritam Debbarma"/>
    <s v="Anil Matoo"/>
    <s v="-"/>
    <s v="Manjit Shah"/>
    <s v="-"/>
  </r>
  <r>
    <n v="6506"/>
    <n v="20058819"/>
    <s v="Charusheela Santosh"/>
    <s v="AMNS Khopoli"/>
    <s v="Onroll"/>
    <s v="New Acquisition"/>
    <n v="17"/>
    <m/>
    <s v="NA"/>
    <s v="F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9-07-17T00:00:00"/>
    <s v="44.02"/>
    <d v="2005-11-21T00:00:00"/>
    <d v="2039-07-31T00:00:00"/>
    <m/>
    <d v="2039-07-31T00:00:00"/>
    <n v="5793"/>
    <s v=""/>
    <s v=""/>
    <s v=""/>
    <s v="17.09"/>
    <s v="17.09"/>
    <s v="73800002"/>
    <s v="Procurement - Pune Asset"/>
    <s v="305027"/>
    <s v="New Acquisition"/>
    <s v="Khopoli staff"/>
    <s v="0000100010"/>
    <s v="HOM-COMM. &amp; PROCTS"/>
    <s v="1111KHOP"/>
    <s v="20006536"/>
    <s v="Mahesh Salunke"/>
    <s v="No"/>
    <s v="charusheela.ware@amns.in"/>
    <s v="8879994213"/>
    <s v="1022199"/>
    <s v="Pritam Debbarma"/>
    <s v="Anil Matoo"/>
    <s v="-"/>
    <s v="Manjit Shah"/>
    <s v="-"/>
  </r>
  <r>
    <n v="6507"/>
    <n v="20058820"/>
    <s v="Rajesh Mistry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Other West"/>
    <s v="OEM"/>
    <s v=""/>
    <s v="Non Technical Support"/>
    <s v="Operations"/>
    <s v="Operations"/>
    <s v="72103001"/>
    <s v="Operations"/>
    <s v="Pune"/>
    <d v="1969-04-04T00:00:00"/>
    <s v="54.05"/>
    <d v="2007-05-14T00:00:00"/>
    <d v="2029-04-30T00:00:00"/>
    <m/>
    <d v="2029-04-30T00:00:00"/>
    <n v="2049"/>
    <s v=""/>
    <s v=""/>
    <s v=""/>
    <s v="16.04"/>
    <s v="16.04"/>
    <s v="00051380"/>
    <s v="Sales &amp; Marketing"/>
    <s v="305028"/>
    <s v="New Acquisition"/>
    <s v="Khopoli staff"/>
    <s v="0000120001"/>
    <s v="PUNE BRANCH"/>
    <s v="1111KHOP"/>
    <s v="20058920"/>
    <s v="Atul Singh"/>
    <s v="No"/>
    <s v="rajesh.mistry@amns.in"/>
    <s v="9923004854"/>
    <s v="1022204"/>
    <s v="Pritam Debbarma"/>
    <s v="Anil Matoo"/>
    <s v="-"/>
    <s v="Manjit Shah"/>
    <s v="-"/>
  </r>
  <r>
    <n v="6508"/>
    <n v="20058821"/>
    <s v="Mansi Shelar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OEM"/>
    <s v=""/>
    <s v="Non Technical Support"/>
    <s v="Operations"/>
    <s v="Operations"/>
    <s v="72103001"/>
    <s v="Operations"/>
    <s v="Khopoli"/>
    <d v="1968-03-03T00:00:00"/>
    <s v="55.06"/>
    <d v="1996-09-10T00:00:00"/>
    <d v="2028-03-31T00:00:00"/>
    <m/>
    <d v="2028-03-31T00:00:00"/>
    <n v="1654"/>
    <s v=""/>
    <s v=""/>
    <s v=""/>
    <s v="27.00"/>
    <s v="27.00"/>
    <s v="00051380"/>
    <s v="Sales &amp; Marketing"/>
    <s v="305029"/>
    <s v="New Acquisition"/>
    <s v="Khopoli staff"/>
    <s v="0000100013"/>
    <s v="HOM-SALE&amp;MKTG-OEM"/>
    <s v="1111KHOP"/>
    <s v="20058920"/>
    <s v="Atul Singh"/>
    <s v="No"/>
    <s v="mansi.shelar@amns.in"/>
    <s v="8879994069"/>
    <s v="1022212"/>
    <s v="Pritam Debbarma"/>
    <s v="Anil Matoo"/>
    <s v="-"/>
    <s v="Manjit Shah"/>
    <s v="-"/>
  </r>
  <r>
    <n v="6509"/>
    <n v="20058822"/>
    <s v="Manas Sahu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Pune"/>
    <d v="1976-07-01T00:00:00"/>
    <s v="47.02"/>
    <d v="2008-01-05T00:00:00"/>
    <d v="2034-06-30T00:00:00"/>
    <m/>
    <d v="2034-06-30T00:00:00"/>
    <n v="3936"/>
    <s v=""/>
    <s v=""/>
    <s v=""/>
    <s v="15.08"/>
    <s v="15.08"/>
    <s v="00043882"/>
    <s v="International Sales"/>
    <s v="305030"/>
    <s v="KAM - Coated Sales"/>
    <s v="Hypermart"/>
    <s v="0031950057"/>
    <s v="HZ-HRC - Marketing"/>
    <s v="2000HWO"/>
    <s v="20037071"/>
    <s v="Amit Chandaliya"/>
    <s v="No"/>
    <s v="manas.sahu@amns.in"/>
    <s v="9823682121"/>
    <s v="1022239"/>
    <s v="Dhruv Vyas"/>
    <s v="Anil Matoo"/>
    <s v="Praveen Kuruvalli"/>
    <s v="Dhruv Vyas"/>
    <n v="0"/>
  </r>
  <r>
    <n v="6510"/>
    <n v="20058823"/>
    <s v="Yash Sacha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Delhi"/>
    <d v="1978-12-04T00:00:00"/>
    <s v="44.09"/>
    <d v="2008-09-15T00:00:00"/>
    <d v="2038-12-31T00:00:00"/>
    <m/>
    <d v="2038-12-31T00:00:00"/>
    <n v="5581"/>
    <s v=""/>
    <s v=""/>
    <s v=""/>
    <s v="15.00"/>
    <s v="15.00"/>
    <s v="00051380"/>
    <s v="Sales &amp; Marketing"/>
    <s v="305031"/>
    <s v="New Acquisition"/>
    <s v="Khopoli staff"/>
    <s v="0000120004"/>
    <s v="DELHI BRANCH"/>
    <s v="1111KHOP"/>
    <s v="20058920"/>
    <s v="Atul Singh"/>
    <s v="No"/>
    <s v="yash.sachan@amns.in"/>
    <s v="9717733044"/>
    <s v="1022245"/>
    <s v="Pritam Debbarma"/>
    <s v="Anil Matoo"/>
    <s v="-"/>
    <s v="Manjit Shah"/>
    <s v="-"/>
  </r>
  <r>
    <n v="6511"/>
    <n v="20058824"/>
    <s v="Yogendra Ahe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Pune"/>
    <d v="1979-05-14T00:00:00"/>
    <s v="44.04"/>
    <d v="2007-08-06T00:00:00"/>
    <d v="2039-05-31T00:00:00"/>
    <m/>
    <d v="2039-05-31T00:00:00"/>
    <n v="5732"/>
    <s v=""/>
    <s v=""/>
    <s v=""/>
    <s v="16.01"/>
    <s v="16.01"/>
    <s v="00051380"/>
    <s v="Sales &amp; Marketing"/>
    <s v="305032"/>
    <s v="New Acquisition"/>
    <s v="Khopoli staff"/>
    <s v="0000120001"/>
    <s v="PUNE BRANCH"/>
    <s v="1111KHOP"/>
    <s v="20058920"/>
    <s v="Atul Singh"/>
    <s v="No"/>
    <s v="yogendra.aher@amns.in"/>
    <s v="9923004857"/>
    <s v="1022248"/>
    <s v="Pritam Debbarma"/>
    <s v="Anil Matoo"/>
    <s v="-"/>
    <s v="Manjit Shah"/>
    <s v="-"/>
  </r>
  <r>
    <n v="6512"/>
    <n v="20058825"/>
    <s v="Dattatrey Mahaja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Khopoli"/>
    <d v="1982-05-24T00:00:00"/>
    <s v="41.03"/>
    <d v="2007-07-06T00:00:00"/>
    <d v="2042-05-31T00:00:00"/>
    <m/>
    <d v="2042-05-31T00:00:00"/>
    <n v="6828"/>
    <s v=""/>
    <s v=""/>
    <s v=""/>
    <s v="16.02"/>
    <s v="16.02"/>
    <s v="00051380"/>
    <s v="Sales &amp; Marketing"/>
    <s v="305033"/>
    <s v="New Acquisition"/>
    <s v="Khopoli staff"/>
    <s v="0000100013"/>
    <s v="HOM-SALE&amp;MKTG-OEM"/>
    <s v="1111KHOP"/>
    <s v="20016382"/>
    <s v="Kunal Bhardwaj"/>
    <s v="No"/>
    <s v="dattatrey.mahajan@amns.in"/>
    <s v="8879994071"/>
    <s v="1022253"/>
    <s v="Pritam Debbarma"/>
    <s v="Anil Matoo"/>
    <s v="-"/>
    <s v="Manjit Shah"/>
    <s v="-"/>
  </r>
  <r>
    <n v="6513"/>
    <n v="20058826"/>
    <s v="Sudhir Shel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Khopoli"/>
    <d v="1974-08-06T00:00:00"/>
    <s v="49.01"/>
    <d v="1997-05-02T00:00:00"/>
    <d v="2034-08-31T00:00:00"/>
    <m/>
    <d v="2034-08-31T00:00:00"/>
    <n v="3998"/>
    <s v=""/>
    <s v=""/>
    <s v=""/>
    <s v="26.04"/>
    <s v="26.04"/>
    <s v="00051380"/>
    <s v="Sales &amp; Marketing"/>
    <s v="305034"/>
    <s v="New Acquisition"/>
    <s v="Khopoli staff"/>
    <s v="0000120001"/>
    <s v="PUNE BRANCH"/>
    <s v="1111KHOP"/>
    <s v="20058920"/>
    <s v="Atul Singh"/>
    <s v="No"/>
    <s v="sudhir.shelar@amns.in"/>
    <s v="9923004853"/>
    <s v="1022257"/>
    <s v="Pritam Debbarma"/>
    <s v="Anil Matoo"/>
    <s v="-"/>
    <s v="Manjit Shah"/>
    <s v="-"/>
  </r>
  <r>
    <n v="6514"/>
    <n v="20058827"/>
    <s v="Shailesh Tiwar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Khopoli"/>
    <d v="1974-09-07T00:00:00"/>
    <s v="49.00"/>
    <d v="2012-01-16T00:00:00"/>
    <d v="2034-09-30T00:00:00"/>
    <m/>
    <d v="2034-09-30T00:00:00"/>
    <n v="4028"/>
    <s v=""/>
    <s v=""/>
    <s v=""/>
    <s v="11.08"/>
    <s v="11.08"/>
    <s v="00051380"/>
    <s v="Sales &amp; Marketing"/>
    <s v="305035"/>
    <s v="New Acquisition"/>
    <s v="Khopoli staff"/>
    <s v="0000100004"/>
    <s v="HOM-DIRECTOR &amp; CEO"/>
    <s v="1111KHOP"/>
    <s v="20058920"/>
    <s v="Atul Singh"/>
    <s v="Yes"/>
    <s v="shailesh.tiwari@amns.in"/>
    <s v="8879994074"/>
    <s v="1022262"/>
    <s v="Pritam Debbarma"/>
    <s v="Anil Matoo"/>
    <s v="-"/>
    <s v="Manjit Shah"/>
    <s v="-"/>
  </r>
  <r>
    <n v="6515"/>
    <n v="20058830"/>
    <s v="Harsh Mathu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5-06-23T00:00:00"/>
    <s v="48.02"/>
    <d v="2009-09-24T00:00:00"/>
    <d v="2035-06-30T00:00:00"/>
    <m/>
    <d v="2035-06-30T00:00:00"/>
    <n v="4301"/>
    <s v=""/>
    <s v=""/>
    <s v=""/>
    <s v="13.11"/>
    <s v="13.11"/>
    <s v="00051278"/>
    <s v="Stores &amp; Warehouse"/>
    <s v="305038"/>
    <s v="New Acquisition"/>
    <s v="Khopoli staff"/>
    <s v="0000309007"/>
    <s v="CGL-STORES_DEPT"/>
    <s v="1111KHOP"/>
    <s v="20058695"/>
    <s v="Shrigopal Bhati"/>
    <s v="No"/>
    <s v="harsh.mathur@amns.in"/>
    <s v="8879994085"/>
    <s v="1022360"/>
    <s v="Pritam Debbarma"/>
    <s v="Anil Matoo"/>
    <s v="-"/>
    <s v="Manjit Shah"/>
    <s v="-"/>
  </r>
  <r>
    <n v="6516"/>
    <n v="20058831"/>
    <s v="Manoj Salian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4-12-05T00:00:00"/>
    <s v="48.09"/>
    <d v="2010-12-13T00:00:00"/>
    <d v="2034-12-31T00:00:00"/>
    <m/>
    <d v="2034-12-31T00:00:00"/>
    <n v="4120"/>
    <s v=""/>
    <s v=""/>
    <s v=""/>
    <s v="12.09"/>
    <s v="12.09"/>
    <s v="00051364"/>
    <s v="Purchase"/>
    <s v="305039"/>
    <s v="New Acquisition"/>
    <s v="Khopoli staff"/>
    <s v="0000100010"/>
    <s v="HOM-COMM. &amp; PROCTS"/>
    <s v="1111KHOP"/>
    <s v="20006536"/>
    <s v="Mahesh Salunke"/>
    <s v="Yes"/>
    <s v="manoj.salian@amns.in"/>
    <s v="8879994136"/>
    <s v="1022361"/>
    <s v="Pritam Debbarma"/>
    <s v="Anil Matoo"/>
    <s v="-"/>
    <s v="Manjit Shah"/>
    <s v="-"/>
  </r>
  <r>
    <n v="6517"/>
    <n v="20058832"/>
    <s v="Amit Rane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0-02-12T00:00:00"/>
    <s v="43.07"/>
    <d v="2006-04-15T00:00:00"/>
    <d v="2040-02-29T00:00:00"/>
    <m/>
    <d v="2040-02-29T00:00:00"/>
    <n v="6006"/>
    <s v=""/>
    <s v=""/>
    <s v=""/>
    <s v="17.05"/>
    <s v="17.05"/>
    <s v="73800002"/>
    <s v="Procurement - Pune Asset"/>
    <s v="305040"/>
    <s v="New Acquisition"/>
    <s v="Khopoli staff"/>
    <s v="0000100010"/>
    <s v="HOM-COMM. &amp; PROCTS"/>
    <s v="1111KHOP"/>
    <s v="20006536"/>
    <s v="Mahesh Salunke"/>
    <s v="No"/>
    <s v="amit.rane@amns.in"/>
    <s v="8879994139"/>
    <s v="1022362"/>
    <s v="Pritam Debbarma"/>
    <s v="Anil Matoo"/>
    <s v="-"/>
    <s v="Manjit Shah"/>
    <s v="-"/>
  </r>
  <r>
    <n v="6519"/>
    <n v="20058837"/>
    <s v="Ravindra Yadav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11-21T00:00:00"/>
    <s v="46.09"/>
    <d v="2011-05-05T00:00:00"/>
    <d v="2036-11-30T00:00:00"/>
    <m/>
    <d v="2036-11-30T00:00:00"/>
    <n v="4820"/>
    <s v=""/>
    <s v=""/>
    <s v=""/>
    <s v="12.04"/>
    <s v="12.04"/>
    <s v="70418543"/>
    <s v="Finance Controller"/>
    <s v="305045"/>
    <s v="New Acquisition"/>
    <s v="Khopoli staff"/>
    <s v="0000100006"/>
    <s v="HOM-ACCOUNTS &amp; FIN"/>
    <s v="1111KHOP"/>
    <s v="0"/>
    <s v=""/>
    <s v="No"/>
    <s v="ravindra.yadav@amns.in"/>
    <s v="8879994177"/>
    <s v="1022369"/>
    <s v="Pritam Debbarma"/>
    <s v="Anil Matoo"/>
    <s v="-"/>
    <s v="Manjit Shah"/>
    <s v="-"/>
  </r>
  <r>
    <n v="6520"/>
    <n v="20058839"/>
    <s v="Vithal Phadake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Hypermart"/>
    <s v="Hypermart "/>
    <s v=""/>
    <s v="Non Technical Support"/>
    <s v="Operations"/>
    <s v="Operations"/>
    <s v="72103001"/>
    <s v="Operations"/>
    <s v="Khopoli"/>
    <d v="1964-10-23T00:00:00"/>
    <s v="58.10"/>
    <d v="2000-12-01T00:00:00"/>
    <d v="2024-10-31T00:00:00"/>
    <m/>
    <d v="2024-10-31T00:00:00"/>
    <n v="407"/>
    <s v=""/>
    <s v=""/>
    <s v=""/>
    <s v="22.09"/>
    <s v="22.09"/>
    <s v="00051064"/>
    <s v="AMNS Khopoli Limited"/>
    <s v="305047"/>
    <s v="New Acquisition"/>
    <s v="Khopoli staff"/>
    <s v="0000120001"/>
    <s v="PUNE BRANCH"/>
    <s v="1111KHOP"/>
    <s v="20058920"/>
    <s v="Atul Singh"/>
    <s v="No"/>
    <s v="vitthal.phadke@amns.in"/>
    <s v="9923004851"/>
    <s v=""/>
    <s v="Pritam Debbarma"/>
    <s v="Anil Matoo"/>
    <s v="-"/>
    <s v="Manjit Shah"/>
    <s v="-"/>
  </r>
  <r>
    <n v="6521"/>
    <n v="20058840"/>
    <s v="Sumeer Raina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Coated Sales"/>
    <s v="Coated Sales"/>
    <s v=""/>
    <s v="Non Technical Support"/>
    <s v="Operations"/>
    <s v="Operations"/>
    <s v="72103001"/>
    <s v="Operations"/>
    <s v="Pune"/>
    <d v="1972-02-29T00:00:00"/>
    <s v="51.06"/>
    <d v="2006-07-03T00:00:00"/>
    <d v="2032-02-29T00:00:00"/>
    <m/>
    <d v="2032-02-29T00:00:00"/>
    <n v="3084"/>
    <s v=""/>
    <s v=""/>
    <s v=""/>
    <s v="17.02"/>
    <s v="17.02"/>
    <s v="00043882"/>
    <s v="International Sales"/>
    <s v="305048"/>
    <s v="New Acquisition"/>
    <s v="Khopoli staff"/>
    <s v="0000120001"/>
    <s v="PUNE BRANCH"/>
    <s v="1111KHOP"/>
    <s v="20037071"/>
    <s v="Amit Chandaliya"/>
    <s v="No"/>
    <s v="sumeer.raina@amns.in"/>
    <s v="9923004856"/>
    <s v="1022374"/>
    <s v="Pritam Debbarma"/>
    <s v="Anil Matoo"/>
    <s v="-"/>
    <s v="Manjit Shah"/>
    <s v="-"/>
  </r>
  <r>
    <n v="6522"/>
    <n v="20058843"/>
    <s v="Shivprasad Shetty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12-19T00:00:00"/>
    <s v="56.09"/>
    <d v="1996-04-08T00:00:00"/>
    <d v="2026-12-31T00:00:00"/>
    <m/>
    <d v="2026-12-31T00:00:00"/>
    <n v="1198"/>
    <s v=""/>
    <s v=""/>
    <s v=""/>
    <s v="27.05"/>
    <s v="27.05"/>
    <s v="00051329"/>
    <s v="Finance &amp; Accounts"/>
    <s v="305051"/>
    <s v="New Acquisition"/>
    <s v="Khopoli staff"/>
    <s v="0000100006"/>
    <s v="HOM-ACCOUNTS &amp; FIN"/>
    <s v="1111KHOP"/>
    <s v="20058805"/>
    <s v="Sunil Sharma"/>
    <s v="No"/>
    <s v="k.prasad@amns.in"/>
    <s v="9892850559"/>
    <s v="1022379"/>
    <s v="Pritam Debbarma"/>
    <s v="Anil Matoo"/>
    <s v="-"/>
    <s v="Manjit Shah"/>
    <s v="-"/>
  </r>
  <r>
    <n v="6523"/>
    <n v="20058846"/>
    <s v="Mitra Sharma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North"/>
    <s v="OEM"/>
    <s v=""/>
    <s v="Non Technical Support"/>
    <s v="Operations"/>
    <s v="Operations"/>
    <s v="72103001"/>
    <s v="Operations"/>
    <s v="Delhi"/>
    <d v="1965-04-12T00:00:00"/>
    <s v="58.05"/>
    <d v="2009-06-02T00:00:00"/>
    <d v="2025-04-30T00:00:00"/>
    <m/>
    <d v="2025-04-30T00:00:00"/>
    <n v="588"/>
    <s v=""/>
    <s v=""/>
    <s v=""/>
    <s v="14.03"/>
    <s v="14.03"/>
    <s v="00051380"/>
    <s v="Sales &amp; Marketing"/>
    <s v="305054"/>
    <s v="New Acquisition"/>
    <s v="Khopoli staff"/>
    <s v="0000120004"/>
    <s v="DELHI BRANCH"/>
    <s v="1111KHOP"/>
    <s v="20058920"/>
    <s v="Atul Singh"/>
    <s v="No"/>
    <s v="mitra.bandhu@amns.in"/>
    <s v="9810939550"/>
    <s v="1022382"/>
    <s v="Pritam Debbarma"/>
    <s v="Anil Matoo"/>
    <s v="-"/>
    <s v="Manjit Shah"/>
    <s v="-"/>
  </r>
  <r>
    <n v="6524"/>
    <n v="20058847"/>
    <s v="Mahesh Malhotra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Coated Sales"/>
    <s v="Coated Sales"/>
    <s v=""/>
    <s v="Non Technical Support"/>
    <s v="Operations"/>
    <s v="Operations"/>
    <s v="72103001"/>
    <s v="Operations"/>
    <s v="Delhi"/>
    <d v="1970-06-10T00:00:00"/>
    <s v="53.03"/>
    <d v="2007-11-17T00:00:00"/>
    <d v="2030-06-30T00:00:00"/>
    <m/>
    <d v="2030-06-30T00:00:00"/>
    <n v="2475"/>
    <s v=""/>
    <s v=""/>
    <s v=""/>
    <s v="15.10"/>
    <s v="15.10"/>
    <s v="00043882"/>
    <s v="International Sales"/>
    <s v="305055"/>
    <s v="New Acquisition"/>
    <s v="Khopoli staff"/>
    <s v="0000120004"/>
    <s v="DELHI BRANCH"/>
    <s v="1111KHOP"/>
    <s v="20037071"/>
    <s v="Amit Chandaliya"/>
    <s v="No"/>
    <s v="mahesh.malhothra@amns.in"/>
    <s v="9818806509"/>
    <s v="1022153"/>
    <s v="Pritam Debbarma"/>
    <s v="Anil Matoo"/>
    <s v="-"/>
    <s v="Manjit Shah"/>
    <s v="-"/>
  </r>
  <r>
    <n v="6525"/>
    <n v="20058849"/>
    <s v="Sunil Kum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Pune"/>
    <d v="1983-02-04T00:00:00"/>
    <s v="40.07"/>
    <d v="2012-06-01T00:00:00"/>
    <d v="2043-02-28T00:00:00"/>
    <m/>
    <d v="2043-02-28T00:00:00"/>
    <n v="7101"/>
    <s v=""/>
    <s v=""/>
    <s v=""/>
    <s v="11.03"/>
    <s v="11.03"/>
    <s v="00051380"/>
    <s v="Sales &amp; Marketing"/>
    <s v="305057"/>
    <s v="New Acquisition"/>
    <s v="Khopoli staff"/>
    <s v="0000120001"/>
    <s v="PUNE BRANCH"/>
    <s v="1111KHOP"/>
    <s v="20058920"/>
    <s v="Atul Singh"/>
    <s v="No"/>
    <s v="sunil.kumar@amns.in"/>
    <s v="9923004855"/>
    <s v="1022161"/>
    <s v="Pritam Debbarma"/>
    <s v="Anil Matoo"/>
    <s v="-"/>
    <s v="Manjit Shah"/>
    <s v="-"/>
  </r>
  <r>
    <n v="6526"/>
    <n v="20058850"/>
    <s v="Arvind Poras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North"/>
    <s v="Order Entry"/>
    <s v=""/>
    <s v="Non Technical Support"/>
    <s v="Operations"/>
    <s v="Operations"/>
    <s v="72103001"/>
    <s v="Operations"/>
    <s v="Delhi"/>
    <d v="1990-01-11T00:00:00"/>
    <s v="33.08"/>
    <d v="2011-12-27T00:00:00"/>
    <d v="2050-01-31T00:00:00"/>
    <m/>
    <d v="2050-01-31T00:00:00"/>
    <n v="9630"/>
    <s v=""/>
    <s v=""/>
    <s v=""/>
    <s v="11.08"/>
    <s v="11.08"/>
    <s v="00051380"/>
    <s v="Sales &amp; Marketing"/>
    <s v="305058"/>
    <s v="New Acquisition"/>
    <s v="Khopoli staff"/>
    <s v="0000120004"/>
    <s v="DELHI BRANCH"/>
    <s v="1111KHOP"/>
    <s v="20058920"/>
    <s v="Atul Singh"/>
    <s v="No"/>
    <s v="arvind.poras@amns.in"/>
    <s v="9818656644"/>
    <s v="1022166"/>
    <s v="Pritam Debbarma"/>
    <s v="Anil Matoo"/>
    <s v="-"/>
    <s v="Manjit Shah"/>
    <s v="-"/>
  </r>
  <r>
    <n v="6527"/>
    <n v="20058851"/>
    <s v="Abhishek Garg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3-12-15T00:00:00"/>
    <s v="39.09"/>
    <d v="2012-05-02T00:00:00"/>
    <d v="2043-12-31T00:00:00"/>
    <m/>
    <d v="2043-12-31T00:00:00"/>
    <n v="7407"/>
    <s v=""/>
    <s v=""/>
    <s v=""/>
    <s v="11.04"/>
    <s v="11.04"/>
    <s v="73800002"/>
    <s v="Procurement - Pune Asset"/>
    <s v="305059"/>
    <s v="New Acquisition"/>
    <s v="Khopoli staff"/>
    <s v="0000100010"/>
    <s v="HOM-COMM. &amp; PROCTS"/>
    <s v="1111KHOP"/>
    <s v="20006536"/>
    <s v="Mahesh Salunke"/>
    <s v="No"/>
    <s v="abhishek.garg1@amns.in"/>
    <s v="8411970578"/>
    <s v="1022174"/>
    <s v="Pritam Debbarma"/>
    <s v="Anil Matoo"/>
    <s v="-"/>
    <s v="Manjit Shah"/>
    <s v="-"/>
  </r>
  <r>
    <n v="6528"/>
    <n v="20058852"/>
    <s v="Sunil Padalka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9-09-05T00:00:00"/>
    <s v="54.00"/>
    <d v="2009-01-01T00:00:00"/>
    <d v="2029-09-30T00:00:00"/>
    <m/>
    <d v="2029-09-30T00:00:00"/>
    <n v="2202"/>
    <s v=""/>
    <s v=""/>
    <s v=""/>
    <s v="14.08"/>
    <s v="14.08"/>
    <s v="00051220"/>
    <s v="Administration &amp; Security"/>
    <s v="305060"/>
    <s v="New Acquisition"/>
    <s v="Khopoli staff"/>
    <s v="0000290002"/>
    <s v="FAC-PERSONAL &amp; ADM"/>
    <s v="1111KHOP"/>
    <s v="20057887"/>
    <s v="Kiran Vaidya"/>
    <s v="No"/>
    <s v="sunil.padalkar@amns.in"/>
    <s v="9619472111"/>
    <s v="1042812"/>
    <s v="Pritam Debbarma"/>
    <s v="Anil Matoo"/>
    <s v="-"/>
    <s v="Manjit Shah"/>
    <s v="-"/>
  </r>
  <r>
    <n v="6530"/>
    <n v="20058854"/>
    <s v="Satishkumar .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outh"/>
    <s v="OEM"/>
    <s v=""/>
    <s v="Non Technical Support"/>
    <s v="Operations"/>
    <s v="Operations"/>
    <s v="72103001"/>
    <s v="Operations"/>
    <s v="Bangalore"/>
    <d v="1984-06-01T00:00:00"/>
    <s v="39.03"/>
    <d v="2012-10-03T00:00:00"/>
    <d v="2044-05-31T00:00:00"/>
    <m/>
    <d v="2044-05-31T00:00:00"/>
    <n v="7559"/>
    <s v=""/>
    <s v=""/>
    <s v=""/>
    <s v="10.11"/>
    <s v="10.11"/>
    <s v="00051380"/>
    <s v="Sales &amp; Marketing"/>
    <s v="305062"/>
    <s v="New Acquisition"/>
    <s v="Khopoli staff"/>
    <s v="0000120005"/>
    <s v="BANGALORE BRANCH"/>
    <s v="1111KHOP"/>
    <s v="20058920"/>
    <s v="Atul Singh"/>
    <s v="No"/>
    <s v="satish.kumar@amns.in"/>
    <s v="9008450123"/>
    <s v="1022188"/>
    <s v="Pritam Debbarma"/>
    <s v="Anil Matoo"/>
    <s v="-"/>
    <s v="Manjit Shah"/>
    <s v="-"/>
  </r>
  <r>
    <n v="6545"/>
    <n v="20058869"/>
    <s v="Ganesh More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9-07-26T00:00:00"/>
    <s v="44.01"/>
    <d v="2013-05-14T00:00:00"/>
    <d v="2039-07-31T00:00:00"/>
    <m/>
    <d v="2039-07-31T00:00:00"/>
    <n v="5793"/>
    <s v=""/>
    <s v=""/>
    <s v=""/>
    <s v="10.04"/>
    <s v="10.04"/>
    <s v="73800002"/>
    <s v="Procurement - Pune Asset"/>
    <s v="305077"/>
    <s v="New Acquisition"/>
    <s v="Khopoli staff"/>
    <s v="0000100010"/>
    <s v="HOM-COMM. &amp; PROCTS"/>
    <s v="1111KHOP"/>
    <s v="20006536"/>
    <s v="Mahesh Salunke"/>
    <s v="No"/>
    <s v="ganesh.more@amns.in"/>
    <s v="8879994492"/>
    <s v="1022214"/>
    <s v="Pritam Debbarma"/>
    <s v="Anil Matoo"/>
    <s v="-"/>
    <s v="Manjit Shah"/>
    <s v="-"/>
  </r>
  <r>
    <n v="6555"/>
    <n v="20058879"/>
    <s v="Suraj Jaronde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0-08-11T00:00:00"/>
    <s v="43.01"/>
    <d v="2013-06-01T00:00:00"/>
    <d v="2040-08-31T00:00:00"/>
    <m/>
    <d v="2040-08-31T00:00:00"/>
    <n v="6190"/>
    <s v=""/>
    <s v=""/>
    <s v=""/>
    <s v="10.03"/>
    <s v="10.03"/>
    <s v="73800002"/>
    <s v="Procurement - Pune Asset"/>
    <s v="305087"/>
    <s v="New Acquisition"/>
    <s v="Khopoli staff"/>
    <s v="0000100010"/>
    <s v="HOM-COMM. &amp; PROCTS"/>
    <s v="1111KHOP"/>
    <s v="20006536"/>
    <s v="Mahesh Salunke"/>
    <s v="No"/>
    <s v="suraj.jaronde@amns.in"/>
    <s v="8411970843"/>
    <s v="1022223"/>
    <s v="Pritam Debbarma"/>
    <s v="Anil Matoo"/>
    <s v="-"/>
    <s v="Manjit Shah"/>
    <s v="-"/>
  </r>
  <r>
    <n v="6568"/>
    <n v="20058892"/>
    <s v="Nishant Deelwal"/>
    <s v="AM/NS India"/>
    <s v="Onroll"/>
    <s v="M-9"/>
    <n v="9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South"/>
    <s v="Hypermart"/>
    <s v=""/>
    <s v="Non Technical Support"/>
    <s v="Operations"/>
    <s v="Operations"/>
    <s v="72103001"/>
    <s v="Operations"/>
    <s v="Pune"/>
    <d v="1981-05-12T00:00:00"/>
    <s v="42.04"/>
    <d v="2014-01-01T00:00:00"/>
    <d v="2039-05-31T00:00:00"/>
    <m/>
    <d v="2039-05-31T00:00:00"/>
    <n v="5732"/>
    <s v=""/>
    <s v=""/>
    <s v=""/>
    <s v="09.08"/>
    <s v="09.08"/>
    <s v="00048814"/>
    <s v="Sales South Zone – Hypermart"/>
    <s v="305100"/>
    <s v="Sales Manager - Hypermart"/>
    <s v="Hypermart"/>
    <s v="0031950057"/>
    <s v="HZ-HRC - Marketing"/>
    <s v="2000SRET"/>
    <s v="20056279"/>
    <s v="Arun G"/>
    <s v="No"/>
    <s v="nishant.deelwal@amns.in"/>
    <s v="8879994091"/>
    <s v="1022249"/>
    <s v="Dhruv Vyas"/>
    <s v="Anil Matoo"/>
    <s v="Praveen Kuruvalli"/>
    <s v="Dhruv Vyas"/>
    <n v="0"/>
  </r>
  <r>
    <n v="6573"/>
    <n v="20058897"/>
    <s v="Dhananjay Pawa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90-07-08T00:00:00"/>
    <s v="33.02"/>
    <d v="2014-05-02T00:00:00"/>
    <d v="2050-07-31T00:00:00"/>
    <m/>
    <d v="2050-07-31T00:00:00"/>
    <n v="9811"/>
    <s v=""/>
    <s v=""/>
    <s v=""/>
    <s v="09.04"/>
    <s v="09.04"/>
    <s v="00051278"/>
    <s v="Stores &amp; Warehouse"/>
    <s v="305105"/>
    <s v="New Acquisition"/>
    <s v="Khopoli staff"/>
    <s v="0000509007"/>
    <s v="CCL-STORES_DEPT"/>
    <s v="1111KHOP"/>
    <s v="20058695"/>
    <s v="Shrigopal Bhati"/>
    <s v="No"/>
    <s v="dhananjay.pawar@amns.in"/>
    <s v="9821952033"/>
    <s v="1042814"/>
    <s v="Pritam Debbarma"/>
    <s v="Anil Matoo"/>
    <s v="-"/>
    <s v="Manjit Shah"/>
    <s v="-"/>
  </r>
  <r>
    <n v="6577"/>
    <n v="20058901"/>
    <s v="Mahesh Mohit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2-10-11T00:00:00"/>
    <s v="40.11"/>
    <d v="2014-06-09T00:00:00"/>
    <d v="2042-10-31T00:00:00"/>
    <m/>
    <d v="2042-10-31T00:00:00"/>
    <n v="6981"/>
    <s v=""/>
    <s v=""/>
    <s v=""/>
    <s v="09.03"/>
    <s v="09.03"/>
    <s v="00051278"/>
    <s v="Stores &amp; Warehouse"/>
    <s v="305109"/>
    <s v="New Acquisition"/>
    <s v="Khopoli staff"/>
    <s v="0000249007"/>
    <s v="SSC-STORES_DEPT"/>
    <s v="1111KHOP"/>
    <s v="20058695"/>
    <s v="Shrigopal Bhati"/>
    <s v="No"/>
    <s v="mahesh.mohite@amns.in"/>
    <s v="9823796143"/>
    <s v="1022226"/>
    <s v="Pritam Debbarma"/>
    <s v="Anil Matoo"/>
    <s v="-"/>
    <s v="Manjit Shah"/>
    <s v="-"/>
  </r>
  <r>
    <n v="6582"/>
    <n v="20058909"/>
    <s v="Ajay Wadek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Nanded"/>
    <d v="1976-06-08T00:00:00"/>
    <s v="47.03"/>
    <d v="2015-05-29T00:00:00"/>
    <d v="2036-06-30T00:00:00"/>
    <m/>
    <d v="2036-06-30T00:00:00"/>
    <n v="4667"/>
    <s v=""/>
    <s v=""/>
    <s v=""/>
    <s v="08.03"/>
    <s v="08.03"/>
    <s v="00051380"/>
    <s v="Sales &amp; Marketing"/>
    <s v="305117"/>
    <s v="New Acquisition"/>
    <s v="Khopoli staff"/>
    <s v="0000100015"/>
    <s v="HOM-SALE&amp;MKTG-TRADE"/>
    <s v="1111KHOP"/>
    <s v="20058920"/>
    <s v="Atul Singh"/>
    <s v="No"/>
    <s v="ajay.wadekar@amns.in"/>
    <s v="9850967680"/>
    <s v="1022274"/>
    <s v="Pritam Debbarma"/>
    <s v="Anil Matoo"/>
    <s v="-"/>
    <s v="Manjit Shah"/>
    <s v="-"/>
  </r>
  <r>
    <n v="6584"/>
    <n v="20058911"/>
    <s v="Sumitra Das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Technical Marketing &amp; Application Engineering"/>
    <s v="Technical Marketing &amp; Application Engineering"/>
    <s v=""/>
    <s v="Non Technical Support"/>
    <s v="Operations"/>
    <s v="Operations"/>
    <s v="72103001"/>
    <s v="Operations"/>
    <s v="Delhi"/>
    <d v="1982-08-07T00:00:00"/>
    <s v="41.01"/>
    <d v="2015-08-10T00:00:00"/>
    <d v="2042-08-31T00:00:00"/>
    <m/>
    <d v="2042-08-31T00:00:00"/>
    <n v="6920"/>
    <s v=""/>
    <s v=""/>
    <s v=""/>
    <s v="08.01"/>
    <s v="08.01"/>
    <s v="00051380"/>
    <s v="Sales &amp; Marketing"/>
    <s v="305119"/>
    <s v="New Acquisition"/>
    <s v="Khopoli staff"/>
    <s v="0000100015"/>
    <s v="HOM-SALE&amp;MKTG-TRADE"/>
    <s v="1111KHOP"/>
    <s v="20058920"/>
    <s v="Atul Singh"/>
    <s v="No"/>
    <s v="sumitra.das@amns.in"/>
    <s v="9599916356"/>
    <s v="1022277"/>
    <s v="Pritam Debbarma"/>
    <s v="Anil Matoo"/>
    <s v="-"/>
    <s v="Manjit Shah"/>
    <s v="-"/>
  </r>
  <r>
    <n v="6586"/>
    <n v="20058913"/>
    <s v="Sachin Kulkarn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Coated Sales"/>
    <s v="Coated Sales"/>
    <s v=""/>
    <s v="Non Technical Support"/>
    <s v="Operations"/>
    <s v="Operations"/>
    <s v="72103001"/>
    <s v="Operations"/>
    <s v="Pune"/>
    <d v="1971-07-11T00:00:00"/>
    <s v="52.02"/>
    <d v="2015-09-21T00:00:00"/>
    <d v="2031-07-31T00:00:00"/>
    <m/>
    <d v="2031-07-31T00:00:00"/>
    <n v="2871"/>
    <s v=""/>
    <s v=""/>
    <s v=""/>
    <s v="08.00"/>
    <s v="08.00"/>
    <s v="00051380"/>
    <s v="Sales &amp; Marketing"/>
    <s v="305121"/>
    <s v="New Acquisition"/>
    <s v="Khopoli staff"/>
    <s v="0000100013"/>
    <s v="HOM-SALE&amp;MKTG-OEM"/>
    <s v="1111KHOP"/>
    <s v="20058920"/>
    <s v="Atul Singh"/>
    <s v="No"/>
    <s v="sachin.kulkarni@amns.in"/>
    <s v="9923002584"/>
    <s v="1022283"/>
    <s v="Pritam Debbarma"/>
    <s v="Anil Matoo"/>
    <s v="-"/>
    <s v="Manjit Shah"/>
    <s v="-"/>
  </r>
  <r>
    <n v="6589"/>
    <n v="20058916"/>
    <s v="Rakesh Patel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Ahmedabad"/>
    <d v="1987-06-25T00:00:00"/>
    <s v="36.02"/>
    <d v="2015-11-02T00:00:00"/>
    <d v="2047-06-30T00:00:00"/>
    <m/>
    <d v="2047-06-30T00:00:00"/>
    <n v="8684"/>
    <s v=""/>
    <s v=""/>
    <s v=""/>
    <s v="07.10"/>
    <s v="07.10"/>
    <s v="00051380"/>
    <s v="Sales &amp; Marketing"/>
    <s v="305124"/>
    <s v="New Acquisition"/>
    <s v="Khopoli staff"/>
    <s v="0000100014"/>
    <s v="HOM-SALE&amp;MKTG-EXPORT"/>
    <s v="1111KHOP"/>
    <s v="20058920"/>
    <s v="Atul Singh"/>
    <s v="No"/>
    <s v="rakesh.patel@amns.in"/>
    <s v="7226090600"/>
    <s v="1022296"/>
    <s v="Pritam Debbarma"/>
    <s v="Anil Matoo"/>
    <s v="-"/>
    <s v="Manjit Shah"/>
    <s v="-"/>
  </r>
  <r>
    <n v="6590"/>
    <n v="20058917"/>
    <s v="Aditya Kaushik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North"/>
    <s v="Hypermart"/>
    <s v=""/>
    <s v="Non Technical Support"/>
    <s v="Operations"/>
    <s v="Operations"/>
    <s v="72103001"/>
    <s v="Operations"/>
    <s v="Delhi"/>
    <d v="1982-09-08T00:00:00"/>
    <s v="41.00"/>
    <d v="2015-12-07T00:00:00"/>
    <d v="2042-09-30T00:00:00"/>
    <m/>
    <d v="2042-09-30T00:00:00"/>
    <n v="6950"/>
    <s v=""/>
    <s v=""/>
    <s v=""/>
    <s v="07.09"/>
    <s v="07.09"/>
    <s v="00051380"/>
    <s v="Sales &amp; Marketing"/>
    <s v="305125"/>
    <s v="New Acquisition"/>
    <s v="Khopoli staff"/>
    <s v="0060120600"/>
    <s v="HMART-UP-Ghaziabad"/>
    <s v="1111KHOP"/>
    <s v="20058920"/>
    <s v="Atul Singh"/>
    <s v="No"/>
    <s v="aditya.kaushik@amns.in"/>
    <s v="9871119801"/>
    <s v="1022300"/>
    <s v="Pritam Debbarma"/>
    <s v="Anil Matoo"/>
    <s v="-"/>
    <s v="Manjit Shah"/>
    <s v="-"/>
  </r>
  <r>
    <n v="6591"/>
    <n v="20058920"/>
    <s v="Atul Singh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Sales &amp; Marketing, Khopoli"/>
    <s v=""/>
    <s v="Non Technical Support"/>
    <s v="Operations"/>
    <s v="Operations"/>
    <s v="72103001"/>
    <s v="Operations"/>
    <s v="Khopoli"/>
    <d v="1980-03-25T00:00:00"/>
    <s v="43.05"/>
    <d v="2016-04-04T00:00:00"/>
    <d v="2040-03-31T00:00:00"/>
    <m/>
    <d v="2040-03-31T00:00:00"/>
    <n v="6037"/>
    <s v=""/>
    <s v=""/>
    <s v=""/>
    <s v="07.05"/>
    <s v="07.05"/>
    <s v="00051380"/>
    <s v="Sales &amp; Marketing"/>
    <s v="305128"/>
    <s v="New Acquisition"/>
    <s v="Khopoli staff"/>
    <s v="0000100013"/>
    <s v="HOM-SALE&amp;MKTG-OEM"/>
    <s v="1111KHOP"/>
    <s v="20007104"/>
    <s v="Ranjan Dhar"/>
    <s v="No"/>
    <s v="atul.singh1@amns.in"/>
    <s v="8879994416"/>
    <s v="1022227"/>
    <s v="Pritam Debbarma"/>
    <s v="Anil Matoo"/>
    <s v="-"/>
    <s v="Manjit Shah"/>
    <s v="-"/>
  </r>
  <r>
    <n v="6592"/>
    <n v="20058923"/>
    <s v="Srikanth Santhanam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10-18T00:00:00"/>
    <s v="56.11"/>
    <d v="2017-03-06T00:00:00"/>
    <d v="2026-10-31T00:00:00"/>
    <d v="2029-10-31T00:00:00"/>
    <d v="2029-10-31T00:00:00"/>
    <n v="2233"/>
    <s v=""/>
    <s v=""/>
    <s v=""/>
    <s v="06.06"/>
    <s v="06.06"/>
    <s v="70494931"/>
    <s v="Working Capital"/>
    <s v="305131"/>
    <s v="New Acquisition"/>
    <s v="Khopoli staff"/>
    <s v="0000100022"/>
    <s v="HOM-CORPORATE FINANC"/>
    <s v="1111KHOP"/>
    <s v="20000870"/>
    <s v="Balajee M"/>
    <s v="No"/>
    <s v="srikanth.santhanam@amns.in"/>
    <s v="8879994423"/>
    <s v="1022252"/>
    <s v="Pritam Debbarma"/>
    <s v="Anil Matoo"/>
    <s v="-"/>
    <s v="Manjit Shah"/>
    <s v="-"/>
  </r>
  <r>
    <n v="6594"/>
    <n v="20058925"/>
    <s v="Balkrishna Bandr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6-01T00:00:00"/>
    <s v="47.03"/>
    <d v="2017-04-01T00:00:00"/>
    <d v="2036-05-31T00:00:00"/>
    <m/>
    <d v="2036-05-31T00:00:00"/>
    <n v="4637"/>
    <s v=""/>
    <s v=""/>
    <s v=""/>
    <s v="06.05"/>
    <s v="06.05"/>
    <s v="00051064"/>
    <s v="AMNS Khopoli Limited"/>
    <s v="305133"/>
    <s v="New Acquisition"/>
    <s v="Khopoli staff"/>
    <s v="0000100006"/>
    <s v="HOM-ACCOUNTS &amp; FIN"/>
    <s v="1111KHOP"/>
    <s v="20059045"/>
    <s v="Navneet Kumar Jain"/>
    <s v="No"/>
    <s v="balkrishna.bandre@amns.in"/>
    <s v="8655794396"/>
    <s v="1022261"/>
    <s v="Pritam Debbarma"/>
    <s v="Anil Matoo"/>
    <s v="-"/>
    <s v="Manjit Shah"/>
    <s v="-"/>
  </r>
  <r>
    <n v="6595"/>
    <n v="20058927"/>
    <s v="Aarti Sherla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91-11-20T00:00:00"/>
    <s v="31.09"/>
    <d v="2017-04-18T00:00:00"/>
    <d v="2051-11-30T00:00:00"/>
    <m/>
    <d v="2051-11-30T00:00:00"/>
    <n v="10298"/>
    <s v=""/>
    <s v=""/>
    <s v=""/>
    <s v="06.05"/>
    <s v="06.05"/>
    <s v="00051329"/>
    <s v="Finance &amp; Accounts"/>
    <s v="305135"/>
    <s v="New Acquisition"/>
    <s v="Khopoli staff"/>
    <s v="0000100006"/>
    <s v="HOM-ACCOUNTS &amp; FIN"/>
    <s v="1111KHOP"/>
    <s v="20058805"/>
    <s v="Sunil Sharma"/>
    <s v="No"/>
    <s v="aarti.sherla@amns.in"/>
    <s v="9702159322"/>
    <s v="1022272"/>
    <s v="Pritam Debbarma"/>
    <s v="Anil Matoo"/>
    <s v="-"/>
    <s v="Manjit Shah"/>
    <s v="-"/>
  </r>
  <r>
    <n v="6596"/>
    <n v="20058928"/>
    <s v="Shrikant Pusdek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Khopoli"/>
    <d v="1977-04-20T00:00:00"/>
    <s v="46.05"/>
    <d v="2017-08-03T00:00:00"/>
    <d v="2037-04-30T00:00:00"/>
    <m/>
    <d v="2037-04-30T00:00:00"/>
    <n v="4971"/>
    <s v=""/>
    <s v=""/>
    <s v=""/>
    <s v="06.01"/>
    <s v="06.01"/>
    <s v="00051378"/>
    <s v="Exports - Marketing"/>
    <s v="305136"/>
    <s v="New Acquisition"/>
    <s v="Khopoli staff"/>
    <s v="0000100014"/>
    <s v="HOM-SALE&amp;MKTG-EXPORT"/>
    <s v="1111KHOP"/>
    <s v="20058801"/>
    <s v="Shubhangi Patil"/>
    <s v="No"/>
    <s v="shrikant.pusdekar@amns.in"/>
    <s v="8805087800"/>
    <s v="1022286"/>
    <s v="Pritam Debbarma"/>
    <s v="Anil Matoo"/>
    <s v="-"/>
    <s v="Manjit Shah"/>
    <s v="-"/>
  </r>
  <r>
    <n v="6597"/>
    <n v="20058929"/>
    <s v="Shrinivas Matcha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81-07-02T00:00:00"/>
    <s v="42.02"/>
    <d v="2017-07-07T00:00:00"/>
    <d v="2041-07-31T00:00:00"/>
    <m/>
    <d v="2041-07-31T00:00:00"/>
    <n v="6524"/>
    <s v=""/>
    <s v=""/>
    <s v=""/>
    <s v="06.02"/>
    <s v="06.02"/>
    <s v="00051220"/>
    <s v="Administration &amp; Security"/>
    <s v="305137"/>
    <s v="New Acquisition"/>
    <s v="Khopoli staff"/>
    <s v="0000100009"/>
    <s v="HOM-PERSONNEL / HRD"/>
    <s v="1111KHOP"/>
    <s v="20057887"/>
    <s v="Kiran Vaidya"/>
    <s v="No"/>
    <s v="shrinivas.matcha@amns.in"/>
    <s v="8879994016"/>
    <s v="1022290"/>
    <s v="Pritam Debbarma"/>
    <s v="Anil Matoo"/>
    <s v="-"/>
    <s v="Manjit Shah"/>
    <s v="-"/>
  </r>
  <r>
    <n v="6598"/>
    <n v="20058930"/>
    <s v="Robin Kurie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Export"/>
    <s v="Export"/>
    <s v=""/>
    <s v="Non Technical Support"/>
    <s v="Operations"/>
    <s v="Operations"/>
    <s v="72103001"/>
    <s v="Operations"/>
    <s v="Khopoli"/>
    <d v="1980-09-22T00:00:00"/>
    <s v="42.11"/>
    <d v="2017-08-16T00:00:00"/>
    <d v="2040-09-30T00:00:00"/>
    <m/>
    <d v="2040-09-30T00:00:00"/>
    <n v="6220"/>
    <s v=""/>
    <s v=""/>
    <s v=""/>
    <s v="06.01"/>
    <s v="06.01"/>
    <s v="00052527"/>
    <s v="Sales &amp; Marketing"/>
    <s v="305138"/>
    <s v="New Acquisition"/>
    <s v="Khopoli staff"/>
    <s v="0000100013"/>
    <s v="HOM-SALE&amp;MKTG-OEM"/>
    <s v="1111KHOP"/>
    <s v="20055663"/>
    <s v="Karamath Syed"/>
    <s v="No"/>
    <s v="robin.kurien@amns.in"/>
    <s v="8879994605"/>
    <s v="1022297"/>
    <s v="Pritam Debbarma"/>
    <s v="Anil Matoo"/>
    <s v="-"/>
    <s v="Manjit Shah"/>
    <s v="-"/>
  </r>
  <r>
    <n v="6599"/>
    <n v="20058931"/>
    <s v="Dharmendra Tiwar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Other West"/>
    <s v="OEM"/>
    <s v=""/>
    <s v="Non Technical Support"/>
    <s v="Operations"/>
    <s v="Operations"/>
    <s v="72103001"/>
    <s v="Operations"/>
    <s v="Aurangabad"/>
    <d v="1980-10-05T00:00:00"/>
    <s v="42.11"/>
    <d v="2017-10-27T00:00:00"/>
    <d v="2040-10-31T00:00:00"/>
    <m/>
    <d v="2040-10-31T00:00:00"/>
    <n v="6251"/>
    <s v=""/>
    <s v=""/>
    <s v=""/>
    <s v="05.10"/>
    <s v="05.10"/>
    <s v="00051380"/>
    <s v="Sales &amp; Marketing"/>
    <s v="305139"/>
    <s v="New Acquisition"/>
    <s v="Khopoli staff"/>
    <s v="0000100013"/>
    <s v="HOM-SALE&amp;MKTG-OEM"/>
    <s v="1111KHOP"/>
    <s v="20058920"/>
    <s v="Atul Singh"/>
    <s v="No"/>
    <s v="dharmendra.tiwari@amns.in"/>
    <s v="7263016882"/>
    <s v="1022302"/>
    <s v="Pritam Debbarma"/>
    <s v="Anil Matoo"/>
    <s v="-"/>
    <s v="Manjit Shah"/>
    <s v="-"/>
  </r>
  <r>
    <n v="6600"/>
    <n v="20058932"/>
    <s v="Swapnil Mahajan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8-12-31T00:00:00"/>
    <s v="34.08"/>
    <d v="2018-01-19T00:00:00"/>
    <d v="2048-12-31T00:00:00"/>
    <m/>
    <d v="2048-12-31T00:00:00"/>
    <n v="9234"/>
    <s v=""/>
    <s v=""/>
    <s v=""/>
    <s v="05.08"/>
    <s v="05.08"/>
    <s v="73800002"/>
    <s v="Procurement - Pune Asset"/>
    <s v="305140"/>
    <s v="New Acquisition"/>
    <s v="Khopoli staff"/>
    <s v="0000100010"/>
    <s v="HOM-COMM. &amp; PROCTS"/>
    <s v="1111KHOP"/>
    <s v="20006536"/>
    <s v="Mahesh Salunke"/>
    <s v="No"/>
    <s v="swapnil.mahajan@amns.in"/>
    <s v="8411970668"/>
    <s v="1022310"/>
    <s v="Pritam Debbarma"/>
    <s v="Anil Matoo"/>
    <s v="-"/>
    <s v="Manjit Shah"/>
    <s v="-"/>
  </r>
  <r>
    <n v="6601"/>
    <n v="20058933"/>
    <s v="Pushpendra Mishra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4-02-03T00:00:00"/>
    <s v="39.07"/>
    <d v="2018-07-07T00:00:00"/>
    <d v="2044-02-29T00:00:00"/>
    <m/>
    <d v="2044-02-29T00:00:00"/>
    <n v="7467"/>
    <s v=""/>
    <s v=""/>
    <s v=""/>
    <s v="05.02"/>
    <s v="05.02"/>
    <s v="00051339"/>
    <s v="Excise"/>
    <s v="305143"/>
    <s v="New Acquisition"/>
    <s v="Khopoli staff"/>
    <s v="0000290001"/>
    <s v="FAC-EXCISE_DEPT"/>
    <s v="1111KHOP"/>
    <s v="40002639"/>
    <s v="Balveer Bhandari"/>
    <s v="No"/>
    <s v="pushpendrakumar.mishra@amns.in"/>
    <s v="9039001011"/>
    <s v="1022315"/>
    <s v="Pritam Debbarma"/>
    <s v="Anil Matoo"/>
    <s v="-"/>
    <s v="Manjit Shah"/>
    <s v="-"/>
  </r>
  <r>
    <n v="6603"/>
    <n v="20058935"/>
    <s v="Satish Mulay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71-06-02T00:00:00"/>
    <s v="52.03"/>
    <d v="2018-08-29T00:00:00"/>
    <d v="2031-06-30T00:00:00"/>
    <m/>
    <d v="2031-06-30T00:00:00"/>
    <n v="2840"/>
    <s v=""/>
    <s v=""/>
    <s v=""/>
    <s v="05.00"/>
    <s v="05.00"/>
    <s v="00051336"/>
    <s v="Industrial Relations"/>
    <s v="305145"/>
    <s v="New Acquisition"/>
    <s v="Khopoli staff"/>
    <s v="0000100009"/>
    <s v="HOM-PERSONNEL / HRD"/>
    <s v="1111KHOP"/>
    <s v="20037245"/>
    <s v="Mukund Jagirdar"/>
    <s v="No"/>
    <s v="satish.mulay@amns.in"/>
    <s v="8411970545"/>
    <s v="1022321"/>
    <s v="Pritam Debbarma"/>
    <s v="Anil Matoo"/>
    <n v="0"/>
    <s v="Manjit Shah"/>
    <n v="0"/>
  </r>
  <r>
    <n v="6607"/>
    <n v="20058941"/>
    <s v="Satish Pednekar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6-02-06T00:00:00"/>
    <s v="37.07"/>
    <d v="2019-05-02T00:00:00"/>
    <d v="2046-02-28T00:00:00"/>
    <m/>
    <d v="2046-02-28T00:00:00"/>
    <n v="8197"/>
    <s v=""/>
    <s v=""/>
    <s v=""/>
    <s v="04.04"/>
    <s v="04.04"/>
    <s v="00051333"/>
    <s v="Corporate Accounts &amp; Global Reporting"/>
    <s v="305151"/>
    <s v="New Acquisition"/>
    <s v="Khopoli staff"/>
    <s v="0000290004"/>
    <s v="FAC-ACCOUTS_DEPT"/>
    <s v="1111KHOP"/>
    <s v="20058804"/>
    <s v="Roy Jose"/>
    <s v="No"/>
    <s v="satuppa.pednekar@amns.in"/>
    <s v="9405257883"/>
    <s v="1022293"/>
    <s v="Pritam Debbarma"/>
    <s v="Anil Matoo"/>
    <s v="-"/>
    <s v="Manjit Shah"/>
    <s v="-"/>
  </r>
  <r>
    <n v="6608"/>
    <n v="20058942"/>
    <s v="Dattaram Kadam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Hazira"/>
    <d v="1982-03-21T00:00:00"/>
    <s v="41.06"/>
    <d v="2019-06-10T00:00:00"/>
    <d v="2042-03-31T00:00:00"/>
    <m/>
    <d v="2042-03-31T00:00:00"/>
    <n v="6767"/>
    <s v=""/>
    <s v="MA-2004 , BA-2002 , High School-1999"/>
    <s v="04.00"/>
    <s v="04.03"/>
    <s v="08.03"/>
    <s v="00051335"/>
    <s v="HR &amp; Administration - Khopoli"/>
    <s v="305152"/>
    <s v="New Acquisition"/>
    <s v="Khopoli staff"/>
    <s v="0000100009"/>
    <s v="HOM-PERSONNEL / HRD"/>
    <s v="1111KHOP"/>
    <s v="20055071"/>
    <s v="Anirudha Bisoyi"/>
    <s v="No"/>
    <s v="dattaram.kadam@amns.in"/>
    <s v="9423823696"/>
    <s v="1022303"/>
    <s v="Pritam Debbarma"/>
    <s v="Anil Matoo"/>
    <n v="0"/>
    <s v="Manjit Shah"/>
    <n v="0"/>
  </r>
  <r>
    <n v="6616"/>
    <n v="20058953"/>
    <s v="Aman Khalkho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94-12-21T00:00:00"/>
    <s v="28.09"/>
    <d v="2021-09-01T00:00:00"/>
    <d v="2054-12-31T00:00:00"/>
    <m/>
    <d v="2054-12-31T00:00:00"/>
    <n v="11425"/>
    <s v=""/>
    <s v=""/>
    <s v=""/>
    <s v="02.00"/>
    <s v="02.00"/>
    <s v="00051336"/>
    <s v="Industrial Relations"/>
    <s v="305164"/>
    <s v="New Acquisition"/>
    <s v="Khopoli staff"/>
    <s v="0000100009"/>
    <s v="HOM-PERSONNEL / HRD"/>
    <s v="1111KHOP"/>
    <s v="20058961"/>
    <s v="Pritam Debbarma"/>
    <s v="No"/>
    <s v="aman.khalkho@amns.in"/>
    <s v="8411970427"/>
    <s v="1022346"/>
    <s v="Pritam Debbarma"/>
    <s v="Anil Matoo"/>
    <n v="0"/>
    <s v="Manjit Shah"/>
    <n v="0"/>
  </r>
  <r>
    <n v="6623"/>
    <n v="20058960"/>
    <s v="Sandeep Kuma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82-10-06T00:00:00"/>
    <s v="40.11"/>
    <d v="2022-02-21T00:00:00"/>
    <d v="2042-10-31T00:00:00"/>
    <m/>
    <d v="2042-10-31T00:00:00"/>
    <n v="6981"/>
    <s v=""/>
    <s v=""/>
    <s v=""/>
    <s v="01.06"/>
    <s v="01.06"/>
    <s v="00051335"/>
    <s v="HR &amp; Administration - Khopoli"/>
    <s v="305171"/>
    <s v="New Acquisition"/>
    <s v="Khopoli staff"/>
    <s v="0000290002"/>
    <s v="FAC-PERSONAL &amp; ADM"/>
    <s v="1111KHOP"/>
    <s v="20057887"/>
    <s v="Kiran Vaidya"/>
    <s v="No"/>
    <s v="sandeep.kumar@amns.in"/>
    <s v="9992148185"/>
    <s v="1022176"/>
    <s v="Pritam Debbarma"/>
    <s v="Anil Matoo"/>
    <s v="-"/>
    <s v="Manjit Shah"/>
    <s v="-"/>
  </r>
  <r>
    <n v="6624"/>
    <n v="20058961"/>
    <s v="Pritam Debbarma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88-05-25T00:00:00"/>
    <s v="35.03"/>
    <d v="2022-02-28T00:00:00"/>
    <d v="2048-05-31T00:00:00"/>
    <m/>
    <d v="2048-05-31T00:00:00"/>
    <n v="9020"/>
    <s v=""/>
    <s v=""/>
    <s v=""/>
    <s v="01.06"/>
    <s v="01.06"/>
    <s v="00051335"/>
    <s v="HR &amp; Administration - Khopoli"/>
    <s v="305172"/>
    <s v="New Acquisition"/>
    <s v="Khopoli staff"/>
    <s v="0000100009"/>
    <s v="HOM-PERSONNEL / HRD"/>
    <s v="1111KHOP"/>
    <s v="20037245"/>
    <s v="Mukund Jagirdar"/>
    <s v="No"/>
    <s v="pritam.debbarma@amns.in"/>
    <s v="8411970848"/>
    <s v="1022191"/>
    <s v="Pritam Debbarma"/>
    <s v="Anil Matoo"/>
    <n v="0"/>
    <s v="Manjit Shah"/>
    <n v="0"/>
  </r>
  <r>
    <n v="6668"/>
    <n v="20059006"/>
    <s v="Ranjit Kumar Sahu"/>
    <s v="AM/NS India"/>
    <s v="Onroll"/>
    <s v="M-8"/>
    <n v="8"/>
    <m/>
    <s v="JM"/>
    <s v="M"/>
    <s v="Corporate"/>
    <n v="2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Chairman's Secretariat"/>
    <s v="Chairman's Secretariat"/>
    <s v="74701000"/>
    <s v="Chairman's Secretariat"/>
    <s v="Paradeep"/>
    <d v="1985-03-05T00:00:00"/>
    <s v="38.06"/>
    <d v="2023-03-27T00:00:00"/>
    <d v="2043-03-31T00:00:00"/>
    <m/>
    <d v="2043-03-31T00:00:00"/>
    <n v="7132"/>
    <s v="O+"/>
    <s v="CA Inter-2012 , BCom-2005 , Intermediate"/>
    <s v="03.00"/>
    <s v="00.05"/>
    <s v="03.06"/>
    <s v="00044333"/>
    <s v="Internal Audit -Odisha"/>
    <s v="301000"/>
    <s v="Lead - Internal Audit"/>
    <s v="Odisha"/>
    <s v="0090000035"/>
    <s v=""/>
    <s v="2000STORIS"/>
    <s v="20055745"/>
    <s v="Ajay Kumar Sharma"/>
    <s v="No"/>
    <s v="ranjit.sahu@amns.in"/>
    <s v="9940613119"/>
    <s v="1042000"/>
    <s v="Sunila Das"/>
    <s v="Anil Matoo"/>
    <s v="Praveen Kuruvalli"/>
    <s v="Sunila Das"/>
    <n v="0"/>
  </r>
  <r>
    <n v="6670"/>
    <n v="20059008"/>
    <s v="Kotaro Sato"/>
    <s v="AM/NS India"/>
    <s v="PDA"/>
    <s v="PDA"/>
    <m/>
    <m/>
    <s v="TM"/>
    <s v="M"/>
    <s v="Hazira"/>
    <n v="1"/>
    <s v="2161"/>
    <x v="15"/>
    <s v="31.02"/>
    <s v="Hrishikesh Kamat"/>
    <s v="Hrishikesh Kamat"/>
    <n v="7"/>
    <s v="Procurement"/>
    <s v="Procurement"/>
    <s v="31"/>
    <s v="Section Incharge - Capex Planning"/>
    <m/>
    <s v="Capex Procurement"/>
    <s v=""/>
    <s v=""/>
    <s v="Non Technical Support"/>
    <s v=""/>
    <s v=""/>
    <s v=""/>
    <s v=""/>
    <s v="Hazira"/>
    <d v="1980-12-26T00:00:00"/>
    <s v="42.08"/>
    <d v="2023-04-01T00:00:00"/>
    <d v="2038-12-31T00:00:00"/>
    <m/>
    <d v="2038-12-31T00:00:00"/>
    <n v="5581"/>
    <s v=""/>
    <s v=""/>
    <s v=""/>
    <s v="00.05"/>
    <s v="00.05"/>
    <s v="00046902"/>
    <s v="Capex Plannig"/>
    <s v="306049"/>
    <s v="Section Incharge - Capex Planning"/>
    <s v="Non-payroll-relevant"/>
    <s v="0031920100"/>
    <s v="HAZIRA UPSTREAM PROJ"/>
    <s v="2000HWO"/>
    <s v="20055485"/>
    <s v="Majima Toshio"/>
    <s v="No"/>
    <s v="kotaro.sato@amns.in"/>
    <s v="7227043117"/>
    <s v="1015814"/>
    <s v="Dhruv Vyas"/>
    <s v="Anil Matoo"/>
    <s v="Praveen Kuruvalli"/>
    <s v="Dhruv Vyas"/>
    <n v="0"/>
  </r>
  <r>
    <n v="6671"/>
    <n v="20059009"/>
    <s v="Michiro Urabe"/>
    <s v="AM/NS India"/>
    <s v="PDA"/>
    <s v="PDA"/>
    <m/>
    <m/>
    <s v="TM"/>
    <s v="M"/>
    <s v="Hazira"/>
    <n v="1"/>
    <s v="2161"/>
    <x v="15"/>
    <s v="31.02"/>
    <s v="Hrishikesh Kamat"/>
    <s v="Hrishikesh Kamat"/>
    <n v="7"/>
    <s v="Procurement"/>
    <s v="Procurement"/>
    <s v="31"/>
    <s v="Section Incharge - Capex Planning"/>
    <m/>
    <s v="Capex Procurement"/>
    <s v=""/>
    <s v=""/>
    <s v="Non Technical Support"/>
    <s v=""/>
    <s v=""/>
    <s v=""/>
    <s v=""/>
    <s v="Hazira"/>
    <d v="1978-11-01T00:00:00"/>
    <s v="44.10"/>
    <d v="2023-04-01T00:00:00"/>
    <d v="2036-10-31T00:00:00"/>
    <m/>
    <d v="2036-10-31T00:00:00"/>
    <n v="4790"/>
    <s v=""/>
    <s v=""/>
    <s v=""/>
    <s v="00.05"/>
    <s v="00.05"/>
    <s v="00052664"/>
    <s v="Capex Planning"/>
    <s v="306050"/>
    <s v="Section Incharge - Capex Planning"/>
    <s v="Non-payroll-relevant"/>
    <s v="0031920100"/>
    <s v="HAZIRA UPSTREAM PROJ"/>
    <s v="2000HWO"/>
    <s v="20055485"/>
    <s v="Majima Toshio"/>
    <s v="No"/>
    <s v="michiro.urabe@amns.in"/>
    <s v="7227043115"/>
    <s v="1042652"/>
    <s v="Dhruv Vyas"/>
    <s v="Anil Matoo"/>
    <s v="Praveen Kuruvalli"/>
    <s v="Dhruv Vyas"/>
    <n v="0"/>
  </r>
  <r>
    <n v="6675"/>
    <n v="20059013"/>
    <s v="Richa Gandhi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Internal Control and SOX"/>
    <m/>
    <s v="Finance &amp; Accounts"/>
    <s v="Internal Control &amp; SOX"/>
    <s v=""/>
    <s v="Non Technical Support"/>
    <s v="Chairman's Secretariat"/>
    <s v="Chairman's Secretariat"/>
    <s v="74701000"/>
    <s v="Chairman's Secretariat"/>
    <s v="Hazira"/>
    <d v="1996-07-25T00:00:00"/>
    <s v="27.01"/>
    <d v="2023-03-31T00:00:00"/>
    <d v="2054-07-31T00:00:00"/>
    <m/>
    <d v="2054-07-31T00:00:00"/>
    <n v="11272"/>
    <s v="AB+"/>
    <s v="BCom-2018 , CA Final-2019 , Intermediate"/>
    <s v="03.04"/>
    <s v="00.05"/>
    <s v="03.09"/>
    <s v="00051504"/>
    <s v="Internal Control &amp; SOX"/>
    <s v="300858"/>
    <s v="Officer - Internal Control and SOX"/>
    <s v="Hazira"/>
    <s v="0031950043"/>
    <s v=""/>
    <s v="2000HWO"/>
    <s v="20056387"/>
    <s v="Vikal Goyal"/>
    <s v="No"/>
    <s v="richa.gandhi@amns.in"/>
    <s v="8866433297"/>
    <s v="1042942"/>
    <s v="Dhruv Vyas"/>
    <s v="Anil Matoo"/>
    <s v="Praveen Kuruvalli"/>
    <s v="Dhruv Vyas"/>
    <n v="0"/>
  </r>
  <r>
    <n v="6676"/>
    <n v="20059014"/>
    <s v="Saikrishna Darni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charge - Stores &amp; Warehouse"/>
    <m/>
    <s v="Stores &amp; Warehouse"/>
    <s v="Stores &amp; Warehouse"/>
    <s v="Receipt, Unloading &amp; Unbound"/>
    <s v="Non Technical Support"/>
    <s v=""/>
    <s v=""/>
    <s v=""/>
    <s v=""/>
    <s v="Hazira"/>
    <d v="1993-06-26T00:00:00"/>
    <s v="30.02"/>
    <d v="2023-03-31T00:00:00"/>
    <d v="2051-06-30T00:00:00"/>
    <m/>
    <d v="2051-06-30T00:00:00"/>
    <n v="10145"/>
    <s v="O+"/>
    <s v="Diploma-2016 , Intermediate-2008"/>
    <s v="11.06"/>
    <s v="00.05"/>
    <s v="11.11"/>
    <s v="00044541"/>
    <s v="HRC Store - Receipt"/>
    <s v="272362"/>
    <s v="Section Incharge - Stores &amp; Warehouse"/>
    <s v="Hazira"/>
    <s v="0031950049"/>
    <s v=""/>
    <s v="2000HWO"/>
    <s v="20005047"/>
    <s v="Rajeev Jha"/>
    <s v="No"/>
    <s v="saikrishna.darni@amns.in"/>
    <s v="7227043145"/>
    <s v="1042964"/>
    <s v="Dhruv Vyas"/>
    <s v="Anil Matoo"/>
    <s v="Praveen Kuruvalli"/>
    <s v="Dhruv Vyas"/>
    <n v="0"/>
  </r>
  <r>
    <n v="6680"/>
    <n v="20059018"/>
    <s v="Sandeep Ray"/>
    <s v="AM/NS India"/>
    <s v="Onroll"/>
    <s v="M-6"/>
    <n v="6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Section Head – Facility Management"/>
    <m/>
    <s v="Administration"/>
    <s v=""/>
    <s v=""/>
    <s v="Non Technical Support"/>
    <s v="Administration"/>
    <s v="Administration"/>
    <s v="74101001"/>
    <s v="Administration"/>
    <s v="Hazira"/>
    <d v="1983-04-02T00:00:00"/>
    <s v="40.05"/>
    <d v="2023-04-03T00:00:00"/>
    <d v="2041-04-30T00:00:00"/>
    <m/>
    <d v="2041-04-30T00:00:00"/>
    <n v="6432"/>
    <s v="B+"/>
    <s v="PG Diploma in Management-2011"/>
    <s v="00.02"/>
    <s v="00.05"/>
    <s v="00.07"/>
    <s v="00049757"/>
    <s v="Facility Management"/>
    <s v="296422"/>
    <s v="Section Head – Facility Management"/>
    <s v="Hazira"/>
    <s v="0090000018"/>
    <s v=""/>
    <s v="2000HWO"/>
    <s v="20057886"/>
    <s v="Shakir Bandwala"/>
    <s v="No"/>
    <s v="sandeep.ray@amns.in"/>
    <s v="8238366222"/>
    <s v="1043070"/>
    <s v="Manjit Shah"/>
    <s v="Anil Matoo"/>
    <s v="Praveen Kuruvalli"/>
    <s v="Lakshman Iyer"/>
    <n v="0"/>
  </r>
  <r>
    <n v="6683"/>
    <n v="20059021"/>
    <s v="Nilesh Kumbhani"/>
    <s v="AM/NS India"/>
    <s v="Onroll"/>
    <s v="M-9"/>
    <n v="9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Officer - Contracts"/>
    <m/>
    <s v="Contracts"/>
    <s v=""/>
    <s v=""/>
    <s v="Non Technical Support"/>
    <s v="Commercial"/>
    <s v="Contracts &amp; Tenders and E-bid"/>
    <s v="73805001"/>
    <s v="Contracts &amp; Tenders and E"/>
    <s v="Hazira"/>
    <d v="1987-03-15T00:00:00"/>
    <s v="36.06"/>
    <d v="2023-04-01T00:00:00"/>
    <d v="2045-03-31T00:00:00"/>
    <m/>
    <d v="2045-03-31T00:00:00"/>
    <n v="7863"/>
    <s v="O+"/>
    <s v="MBA-2011 , BCom-2009 , Intermediate-2006"/>
    <s v="03.09"/>
    <s v="00.05"/>
    <s v="04.02"/>
    <s v="70495670"/>
    <s v="Contracts"/>
    <s v="300995"/>
    <s v="Officer - Contracts"/>
    <s v="Hazira"/>
    <s v="0031950047"/>
    <s v=""/>
    <s v="2000HWO"/>
    <s v="20000795"/>
    <s v="Pankaj Chaturvedi"/>
    <s v="No"/>
    <s v="nilesh.kumbhani@amns.in"/>
    <s v="9879101729"/>
    <s v="25211"/>
    <s v="Dhruv Vyas"/>
    <s v="Anil Matoo"/>
    <s v="Praveen Kuruvalli"/>
    <s v="Dhruv Vyas"/>
    <n v="0"/>
  </r>
  <r>
    <n v="6684"/>
    <n v="20059022"/>
    <s v="Mital Gohil"/>
    <s v="AM/NS India"/>
    <s v="Onroll"/>
    <s v="M-10"/>
    <n v="10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Finance &amp; Accounts"/>
    <m/>
    <s v="Finance &amp; Accounts"/>
    <s v="Service Centers"/>
    <s v=""/>
    <s v="Non Technical Support"/>
    <s v=""/>
    <s v=""/>
    <s v=""/>
    <s v=""/>
    <s v="Hazira"/>
    <d v="1991-08-12T00:00:00"/>
    <s v="32.01"/>
    <d v="2023-03-16T00:00:00"/>
    <d v="2049-08-31T00:00:00"/>
    <m/>
    <d v="2049-08-31T00:00:00"/>
    <n v="9477"/>
    <s v="AB+"/>
    <s v="MBA-2014 , BBA-2012 , Intermediate-2009"/>
    <s v="02.02"/>
    <s v="00.06"/>
    <s v="02.08"/>
    <s v="70495565"/>
    <s v="F&amp;A Hypermart &amp; Service Centre"/>
    <s v="305317"/>
    <s v="Officer Accounts Payable"/>
    <s v="Hazira"/>
    <s v="0031950045"/>
    <s v="HZ-Works Accounts-Ha"/>
    <s v="2000HWO"/>
    <s v="20055504"/>
    <s v="Vivek Choudhary"/>
    <s v="No"/>
    <s v="mital.gohil@amns.in"/>
    <s v="9978832962"/>
    <s v="794645"/>
    <s v="Dhruv Vyas"/>
    <s v="Anil Matoo"/>
    <s v="Praveen Kuruvalli"/>
    <s v="Dhruv Vyas"/>
    <n v="0"/>
  </r>
  <r>
    <n v="6685"/>
    <n v="20059023"/>
    <s v="Vishalkumar Panchawala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 Accounts Payable"/>
    <m/>
    <s v="Finance &amp; Accounts"/>
    <s v="Accounts Payable"/>
    <s v="Bills Payable"/>
    <s v="Non Technical Support"/>
    <s v="Finance &amp; Accounts"/>
    <s v="Corporate Finance"/>
    <s v="73902004"/>
    <s v="Banking Relations"/>
    <s v="Hazira"/>
    <d v="1980-07-14T00:00:00"/>
    <s v="43.02"/>
    <d v="2023-03-16T00:00:00"/>
    <d v="2038-07-31T00:00:00"/>
    <m/>
    <d v="2038-07-31T00:00:00"/>
    <n v="5428"/>
    <s v="B+"/>
    <s v="BCom-2004"/>
    <s v=""/>
    <s v="00.06"/>
    <s v="00.06"/>
    <s v="00043794"/>
    <s v="Accounts Payable - 1"/>
    <s v="300857"/>
    <s v="MT"/>
    <s v="Hazira"/>
    <s v="0031950045"/>
    <s v=""/>
    <s v="2000HWO"/>
    <s v="20016107"/>
    <s v="Kalpesh Thathagar"/>
    <s v="No"/>
    <s v="vishal.panchawala@amns.in"/>
    <s v="9879101096"/>
    <s v="25120"/>
    <s v="Dhruv Vyas"/>
    <s v="Anil Matoo"/>
    <s v="Praveen Kuruvalli"/>
    <s v="Dhruv Vyas"/>
    <n v="0"/>
  </r>
  <r>
    <n v="6686"/>
    <n v="20059024"/>
    <s v="Keiji Kubota"/>
    <s v="AM/NS India"/>
    <s v="PDA"/>
    <s v="PDA"/>
    <n v="2"/>
    <m/>
    <s v="TM"/>
    <s v="M"/>
    <s v="Hazira"/>
    <n v="1"/>
    <s v="2015"/>
    <x v="1"/>
    <s v="22.06"/>
    <s v="Ashutosh Telang"/>
    <s v="Ashutosh Telang"/>
    <n v="6"/>
    <s v="HR &amp; Administration"/>
    <s v="Human Resources"/>
    <s v="22"/>
    <s v="Dy Director - HR &amp; Admin"/>
    <m/>
    <s v="Human Resources"/>
    <s v=""/>
    <s v=""/>
    <s v="Non Technical Support"/>
    <s v=""/>
    <s v=""/>
    <s v="70494642"/>
    <s v="Deputy Director"/>
    <s v="Hazira"/>
    <d v="1969-07-11T00:00:00"/>
    <s v="54.02"/>
    <d v="2023-04-01T00:00:00"/>
    <d v="2027-07-31T00:00:00"/>
    <m/>
    <d v="2027-07-31T00:00:00"/>
    <n v="1410"/>
    <s v=""/>
    <s v=""/>
    <s v=""/>
    <s v="00.05"/>
    <s v="00.05"/>
    <s v="70494636"/>
    <s v="HR and Administration"/>
    <s v="306661"/>
    <s v="Deputy Directory HR &amp;Admin"/>
    <s v="Non-payroll-relevant"/>
    <s v="0090000018"/>
    <s v=""/>
    <s v="2000HWO"/>
    <s v="20057637"/>
    <s v="Ashutosh Telang"/>
    <s v="No"/>
    <s v="keiji.kubota@amns.in"/>
    <s v=""/>
    <s v="1043230"/>
    <s v="Dhruv Vyas"/>
    <s v="Anil Matoo"/>
    <s v="Praveen Kuruvalli"/>
    <s v="Dhruv Vyas"/>
    <n v="0"/>
  </r>
  <r>
    <n v="6689"/>
    <n v="20059027"/>
    <s v="Nikhil Kaura"/>
    <s v="AM/NS India"/>
    <s v="Onroll"/>
    <s v="M-6"/>
    <n v="6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s v=""/>
    <s v=""/>
    <s v="Non Technical Support"/>
    <s v="Corporate Relations"/>
    <s v="Corporate Affairs"/>
    <s v="74501001"/>
    <s v="Corporate Affairs"/>
    <s v="Delhi"/>
    <d v="1988-01-15T00:00:00"/>
    <s v="35.08"/>
    <d v="2023-04-07T00:00:00"/>
    <d v="2046-01-31T00:00:00"/>
    <m/>
    <d v="2046-01-31T00:00:00"/>
    <n v="8169"/>
    <s v="B+"/>
    <s v="PG Diploma in Management-2010 , BA-2010"/>
    <s v="05.06"/>
    <s v="00.05"/>
    <s v="05.10"/>
    <s v="70494938"/>
    <s v="Corporate Affairs"/>
    <s v="306590"/>
    <s v="Lead Corporate Affair"/>
    <s v="Corporate"/>
    <s v="0090000021"/>
    <s v=""/>
    <s v="2000CS"/>
    <s v="20057928"/>
    <s v="Manu Kapoor"/>
    <s v="No"/>
    <s v="nikhil.kaura@amns.in"/>
    <s v="9811038669"/>
    <s v="1044083"/>
    <s v="Dhruv Vyas"/>
    <s v="Anil Matoo"/>
    <s v="Praveen Kuruvalli"/>
    <s v="Dhruv Vyas"/>
    <n v="0"/>
  </r>
  <r>
    <n v="6704"/>
    <n v="20059042"/>
    <s v="Murali Sahoo"/>
    <s v="AM/NS India"/>
    <s v="Onroll"/>
    <s v="M-6"/>
    <n v="6"/>
    <m/>
    <s v="MM"/>
    <s v="M"/>
    <s v="Mining"/>
    <n v="8"/>
    <s v="2015"/>
    <x v="1"/>
    <s v="22.06"/>
    <s v="Praveen Kuruvalli"/>
    <s v="Ashutosh Telang"/>
    <n v="6"/>
    <s v="HR &amp; Administration"/>
    <s v="Human Resources"/>
    <s v="22"/>
    <s v="Head HR – Mines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Barbil"/>
    <d v="1981-05-12T00:00:00"/>
    <s v="42.04"/>
    <d v="2023-04-10T00:00:00"/>
    <d v="2039-05-31T00:00:00"/>
    <m/>
    <d v="2039-05-31T00:00:00"/>
    <n v="5732"/>
    <s v="AB+"/>
    <s v="MSW-2006 , BA-2003 , Intermediate-2000 ,"/>
    <s v="01.11"/>
    <s v="00.05"/>
    <s v="02.04"/>
    <s v="00051987"/>
    <s v="HR - Mining"/>
    <s v="301567"/>
    <s v="Head HR Mining"/>
    <s v="Odisha"/>
    <s v="0031950061"/>
    <s v=""/>
    <s v="2000STORIS"/>
    <s v="20055483"/>
    <s v="Praveen Kuruvalli"/>
    <s v="No"/>
    <s v="murali.sahoo@amns.in"/>
    <s v="9437717622"/>
    <s v="1044304"/>
    <s v="Murali Sahoo"/>
    <s v="Anil Matoo"/>
    <s v="Praveen Kuruvalli"/>
    <s v="Murali Sahoo"/>
    <n v="0"/>
  </r>
  <r>
    <n v="6705"/>
    <n v="20059043"/>
    <s v="Priyanka Patidar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Corporate Accounts"/>
    <m/>
    <s v="Finance &amp;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Hazira"/>
    <d v="2000-01-11T00:00:00"/>
    <s v="23.08"/>
    <d v="2023-04-10T00:00:00"/>
    <d v="2058-01-31T00:00:00"/>
    <m/>
    <d v="2058-01-31T00:00:00"/>
    <n v="12552"/>
    <s v="O+"/>
    <s v="CA Inter-2022 , Intermediate-2017 , Inte"/>
    <s v=""/>
    <s v="00.05"/>
    <s v="00.05"/>
    <s v="70074192"/>
    <s v="Corporate Accounts"/>
    <s v="70493872"/>
    <s v="Officer - Corporate Accounts"/>
    <s v="Hazira"/>
    <s v="0090000027"/>
    <s v=""/>
    <s v="2000HWO"/>
    <s v="20007067"/>
    <s v="Gaurav Bhandari"/>
    <s v="No"/>
    <s v="priyanka.patidar@amns.in"/>
    <s v="6378596477"/>
    <s v="1044311"/>
    <s v="Dhruv Vyas"/>
    <s v="Anil Matoo"/>
    <s v="Praveen Kuruvalli"/>
    <s v="Dhruv Vyas"/>
    <n v="0"/>
  </r>
  <r>
    <n v="6707"/>
    <n v="20059045"/>
    <s v="Navneet Kumar Jain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 Direct Tax"/>
    <m/>
    <s v="Finance &amp; Accounts"/>
    <s v="Direct - Taxation"/>
    <s v=""/>
    <s v="Non Technical Support"/>
    <s v="Finance &amp; Accounts"/>
    <s v="Taxation"/>
    <s v="73904001"/>
    <s v="Direct Taxation"/>
    <s v="Hazira"/>
    <d v="1993-09-20T00:00:00"/>
    <s v="30.00"/>
    <d v="2023-04-17T00:00:00"/>
    <d v="2051-09-30T00:00:00"/>
    <m/>
    <d v="2051-09-30T00:00:00"/>
    <n v="10237"/>
    <s v="AB+"/>
    <s v="BCom-2013 , CA Final-2015 , Diploma-2010"/>
    <s v="03.04"/>
    <s v="00.05"/>
    <s v="03.09"/>
    <s v="00052147"/>
    <s v="Direct Tax"/>
    <s v="300851"/>
    <s v="Lead  Direct Tax"/>
    <s v="Hazira"/>
    <s v="0090000033"/>
    <s v=""/>
    <s v="2000HWO"/>
    <s v="20055494"/>
    <s v="Vikas Soni"/>
    <s v="No"/>
    <s v="navneet.jain7@amns.in"/>
    <s v="7737397279"/>
    <s v="1044986"/>
    <s v="Dhruv Vyas"/>
    <s v="Anil Matoo"/>
    <s v="Praveen Kuruvalli"/>
    <s v="Dhruv Vyas"/>
    <n v="0"/>
  </r>
  <r>
    <n v="6716"/>
    <n v="20059054"/>
    <s v="Rohan Sarin"/>
    <s v="AM/NS India"/>
    <s v="Onroll"/>
    <s v="M-6"/>
    <n v="6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s v=""/>
    <s v=""/>
    <s v="Non Technical Support"/>
    <s v="Corporate Relations"/>
    <s v="Corporate Affairs"/>
    <s v="74501001"/>
    <s v="Corporate Affairs"/>
    <s v="Delhi"/>
    <d v="1985-11-16T00:00:00"/>
    <s v="37.10"/>
    <d v="2023-04-17T00:00:00"/>
    <d v="2043-11-30T00:00:00"/>
    <m/>
    <d v="2043-11-30T00:00:00"/>
    <n v="7376"/>
    <s v="B+"/>
    <s v="MBA-2008 , BA-2006 , Intermediate-2003 ,"/>
    <s v="11.08"/>
    <s v="00.05"/>
    <s v="12.01"/>
    <s v="70494938"/>
    <s v="Corporate Affairs"/>
    <s v="307007"/>
    <s v="Lead Corporate Affairs"/>
    <s v="Corporate"/>
    <s v="0090000021"/>
    <s v=""/>
    <s v="2000CRG"/>
    <s v="20057928"/>
    <s v="Manu Kapoor"/>
    <s v="No"/>
    <s v="rohan.sarin@amns.in"/>
    <s v="9999293221"/>
    <s v="1045153"/>
    <s v="Dhruv Vyas"/>
    <s v="Anil Matoo"/>
    <s v="Praveen Kuruvalli"/>
    <s v="Dhruv Vyas"/>
    <n v="0"/>
  </r>
  <r>
    <n v="6717"/>
    <n v="20059055"/>
    <s v="Shailaja Rai"/>
    <s v="AM/NS India"/>
    <s v="Onroll"/>
    <s v="M-8"/>
    <n v="8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Lead Talent Acquisition Campus Relations"/>
    <m/>
    <s v="Human Resources"/>
    <s v=""/>
    <s v=""/>
    <s v="Non Technical Support"/>
    <s v="Human Resources Management"/>
    <s v="Human Resources Management"/>
    <s v="73501001"/>
    <s v="Human Resources"/>
    <s v="Mumbai"/>
    <d v="1994-06-23T00:00:00"/>
    <s v="29.02"/>
    <d v="2023-04-17T00:00:00"/>
    <d v="2052-06-30T00:00:00"/>
    <m/>
    <d v="2052-06-30T00:00:00"/>
    <n v="10511"/>
    <s v="O+"/>
    <s v="MBA-2021 , BTech-2016"/>
    <s v="02.01"/>
    <s v="00.05"/>
    <s v="02.06"/>
    <s v="70242278"/>
    <s v="People Strategy &amp; HR Center Excellence"/>
    <s v="301566"/>
    <s v="Sr Lead Campus Relations"/>
    <s v="Hazira"/>
    <s v="0031950061"/>
    <s v=""/>
    <s v="2000CRG"/>
    <s v="20055483"/>
    <s v="Praveen Kuruvalli"/>
    <s v="No"/>
    <s v="shailaja.rai@amns.in"/>
    <s v="7043693058"/>
    <s v="1045163"/>
    <s v="Dhruv Vyas"/>
    <s v="Anil Matoo"/>
    <s v="Praveen Kuruvalli"/>
    <s v="Dhruv Vyas"/>
    <n v="0"/>
  </r>
  <r>
    <n v="6721"/>
    <n v="20059059"/>
    <s v="Rajendra Mukhekar"/>
    <s v="AM/NS Shipping &amp; Logistics"/>
    <s v="Onroll"/>
    <s v="M-8"/>
    <n v="8"/>
    <m/>
    <s v="JM"/>
    <s v="M"/>
    <s v="Hazira"/>
    <n v="1"/>
    <s v="7209"/>
    <x v="18"/>
    <s v="33.01"/>
    <s v="Hrishikesh Kamat"/>
    <s v="Hrishikesh Kamat"/>
    <n v="7"/>
    <s v="Procurement"/>
    <s v="Shipping &amp; Chartering"/>
    <s v="33"/>
    <s v="Lead Shipping &amp; Chartering"/>
    <m/>
    <s v="Shipping &amp; Charterin"/>
    <s v=""/>
    <s v=""/>
    <s v="Tech. Support Services"/>
    <s v="Operations"/>
    <s v="Operations"/>
    <s v="72103001"/>
    <s v="Operations"/>
    <s v="Hazira"/>
    <d v="1985-07-13T00:00:00"/>
    <s v="38.02"/>
    <d v="2023-04-01T00:00:00"/>
    <d v="2043-07-31T00:00:00"/>
    <m/>
    <d v="2043-07-31T00:00:00"/>
    <n v="7254"/>
    <s v="O+"/>
    <s v="BCom-2007 , Intermediate-2003 , Intermed"/>
    <s v="04.06"/>
    <s v="00.05"/>
    <s v="04.11"/>
    <s v="00051618"/>
    <s v="Shipping and Chartering"/>
    <s v="307281"/>
    <s v="Lead Shipping &amp; Chartering"/>
    <s v="AMNSSL"/>
    <s v="0000700001"/>
    <s v="SHIP-COMMON"/>
    <s v="2000HWO"/>
    <s v="20056845"/>
    <s v="Manoj Kumar"/>
    <s v="No"/>
    <s v="rajendra.mukherkar@amns.in"/>
    <s v="9909902661"/>
    <s v="798210"/>
    <s v="Dhruv Vyas"/>
    <s v="Anil Matoo"/>
    <s v="Praveen Kuruvalli"/>
    <s v="Dhruv Vyas"/>
    <n v="0"/>
  </r>
  <r>
    <n v="6724"/>
    <n v="20059062"/>
    <s v="Ankita Vyas"/>
    <s v="AM/NS India"/>
    <s v="Onroll"/>
    <s v="M-10"/>
    <n v="10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Analyst - Financial Concurrence"/>
    <m/>
    <s v="Finance &amp; Accounts"/>
    <s v="Internal Control &amp; SOX"/>
    <s v="Finance &amp; Accounts"/>
    <s v="Non Technical Support"/>
    <s v=""/>
    <s v=""/>
    <s v=""/>
    <s v=""/>
    <s v="Hazira"/>
    <d v="1989-11-04T00:00:00"/>
    <s v="33.10"/>
    <d v="2023-04-01T00:00:00"/>
    <d v="2047-11-30T00:00:00"/>
    <m/>
    <d v="2047-11-30T00:00:00"/>
    <n v="8837"/>
    <s v="A+"/>
    <s v="Diploma-2019 , BSc-2010 , Intermediate-2"/>
    <s v="04.01"/>
    <s v="00.05"/>
    <s v="04.06"/>
    <s v="00049304"/>
    <s v="PM - Internal Control"/>
    <s v="70486549"/>
    <s v="Analyst - Financial Concurrence"/>
    <s v="Hazira"/>
    <s v="0031950043"/>
    <s v="HZ-Performance Manag"/>
    <s v="2000HWO"/>
    <s v="20006833"/>
    <s v="Hardik Vasavada"/>
    <s v="No"/>
    <s v="ankita.vyas@amns.in"/>
    <s v="9462527772"/>
    <s v="25351"/>
    <s v="Dhruv Vyas"/>
    <s v="Anil Matoo"/>
    <s v="Praveen Kuruvalli"/>
    <s v="Dhruv Vyas"/>
    <n v="0"/>
  </r>
  <r>
    <n v="6725"/>
    <n v="20059063"/>
    <s v="Macarious M Joachim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87-03-10T00:00:00"/>
    <s v="36.06"/>
    <d v="2023-04-19T00:00:00"/>
    <d v="2045-03-31T00:00:00"/>
    <m/>
    <d v="2045-03-31T00:00:00"/>
    <n v="7863"/>
    <s v="A+"/>
    <s v="MTech-2014 , BTech-2008 , Intermediate-2"/>
    <s v="13.03"/>
    <s v="00.05"/>
    <s v="13.08"/>
    <s v="00052460"/>
    <s v="Auto &amp; YG"/>
    <s v="305326"/>
    <s v="Resident Engineer"/>
    <s v="Corporate"/>
    <s v="0031950057"/>
    <s v=""/>
    <s v="2000HWO"/>
    <s v="20056155"/>
    <s v="Kondapalli Venkateswarlu"/>
    <s v="No"/>
    <s v="macarious.joachim@amns.in"/>
    <s v="8095402625"/>
    <s v="1045842"/>
    <s v="Dhruv Vyas"/>
    <s v="Anil Matoo"/>
    <s v="Praveen Kuruvalli"/>
    <s v="Dhruv Vyas"/>
    <n v="0"/>
  </r>
  <r>
    <n v="6728"/>
    <n v="20059066"/>
    <s v="Pankaj Kaushik"/>
    <s v="AM/NS India"/>
    <s v="Onroll"/>
    <s v="M-6"/>
    <n v="6"/>
    <m/>
    <s v="MM"/>
    <s v="M"/>
    <s v="Corporate"/>
    <n v="7"/>
    <s v="2015"/>
    <x v="1"/>
    <s v="22.06"/>
    <s v="Praveen Kuruvalli"/>
    <s v="Ashutosh Telang"/>
    <n v="6"/>
    <s v="HR &amp; Administration"/>
    <s v="Human Resources"/>
    <s v="22"/>
    <s v="Sr. Lead HRIS &amp; Digitization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Mumbai"/>
    <d v="1977-08-04T00:00:00"/>
    <s v="46.01"/>
    <d v="2023-04-27T00:00:00"/>
    <d v="2035-08-31T00:00:00"/>
    <m/>
    <d v="2035-08-31T00:00:00"/>
    <n v="4363"/>
    <s v=""/>
    <s v="MBA-2014 , MCA-2008"/>
    <s v="22.05"/>
    <s v="00.04"/>
    <s v="22.10"/>
    <s v="00052538"/>
    <s v="HR Technology"/>
    <s v="308081"/>
    <s v="Sr. Lead HRIS &amp; Digitization"/>
    <s v="Corporate"/>
    <s v="0031950061"/>
    <s v=""/>
    <s v="2000CRG"/>
    <s v="20055483"/>
    <s v="Praveen Kuruvalli"/>
    <s v="No"/>
    <s v="pankaj.kaushik3@amns.in"/>
    <s v="9004476301"/>
    <s v="1047088"/>
    <s v="Dhruv Vyas"/>
    <s v="Anil Matoo"/>
    <s v="Praveen Kuruvalli"/>
    <s v="Dhruv Vyas"/>
    <n v="0"/>
  </r>
  <r>
    <n v="6737"/>
    <n v="20059075"/>
    <s v="Hardikkumar Patel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– Internal Control &amp; SOX"/>
    <m/>
    <m/>
    <m/>
    <m/>
    <s v="Non Technical Support"/>
    <s v=""/>
    <s v=""/>
    <s v=""/>
    <s v=""/>
    <s v="Hazira"/>
    <d v="1996-06-08T00:00:00"/>
    <s v="27.03"/>
    <d v="2023-05-01T00:00:00"/>
    <d v="2054-06-30T00:00:00"/>
    <m/>
    <d v="2054-06-30T00:00:00"/>
    <n v="11241"/>
    <s v="O+"/>
    <s v="MBA-2020 , BE-2017 , Intermediate-2011"/>
    <s v="03.03"/>
    <s v="00.04"/>
    <s v="03.08"/>
    <s v="00051504"/>
    <s v="Internal Control &amp; SOX"/>
    <s v="70495285"/>
    <s v="Officer – Internal Control &amp; SOX"/>
    <s v="Hazira"/>
    <s v="0031950043"/>
    <s v=""/>
    <s v="2000HWO"/>
    <s v="20056387"/>
    <s v="Vikal Goyal"/>
    <s v="No"/>
    <s v="hardik.patel3@amns.in"/>
    <s v="9427184518"/>
    <s v="1047187"/>
    <s v="Dhruv Vyas"/>
    <s v="Anil Matoo"/>
    <s v="Praveen Kuruvalli"/>
    <s v="Dhruv Vyas"/>
    <n v="0"/>
  </r>
  <r>
    <n v="6738"/>
    <n v="20059076"/>
    <s v="Ravish Doshi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Performance Management"/>
    <m/>
    <m/>
    <m/>
    <m/>
    <s v="Non Technical Support"/>
    <s v=""/>
    <s v=""/>
    <s v=""/>
    <s v=""/>
    <s v="Hazira"/>
    <d v="1982-08-24T00:00:00"/>
    <s v="41.00"/>
    <d v="2023-05-01T00:00:00"/>
    <d v="2040-08-31T00:00:00"/>
    <m/>
    <d v="2040-08-31T00:00:00"/>
    <n v="6190"/>
    <s v="B+"/>
    <s v="PG Diploma in Management-2018 , ICWA Fin"/>
    <s v="04.02"/>
    <s v="00.04"/>
    <s v="04.07"/>
    <s v="00045310"/>
    <s v="Performance Management"/>
    <s v="264181"/>
    <s v="Sr. Lead - Performance Management"/>
    <s v="Hazira"/>
    <s v="0031950043"/>
    <s v="HZ-Performance Manag"/>
    <s v="2000HWO"/>
    <s v="20003280"/>
    <s v="Chetan Jansari"/>
    <s v="No"/>
    <s v="ravish.doshi@amns.in"/>
    <s v="9687639785"/>
    <s v="1047188"/>
    <s v="Dhruv Vyas"/>
    <s v="Anil Matoo"/>
    <s v="Praveen Kuruvalli"/>
    <s v="Dhruv Vyas"/>
    <n v="0"/>
  </r>
  <r>
    <n v="6756"/>
    <n v="20059097"/>
    <s v="Gowtham D"/>
    <s v="AM/NS India"/>
    <s v="Onroll"/>
    <s v="M-8"/>
    <n v="8"/>
    <m/>
    <s v="JM"/>
    <s v="M"/>
    <s v="Corporate"/>
    <n v="7"/>
    <s v="2039"/>
    <x v="2"/>
    <s v="43.01"/>
    <s v="Sangeeta Munjal"/>
    <s v="Manu Kapoor"/>
    <n v="10"/>
    <s v="Corporate Affairs"/>
    <s v="Corporate Affairs"/>
    <s v="43"/>
    <s v="Executive Assistant"/>
    <m/>
    <s v="Corporate Affairs"/>
    <m/>
    <m/>
    <s v="Non Technical Support"/>
    <s v="Corporate Relations"/>
    <s v="Corporate Affairs"/>
    <s v="74501001"/>
    <s v="Corporate Affairs"/>
    <s v="Delhi"/>
    <d v="1993-08-20T00:00:00"/>
    <s v="30.00"/>
    <d v="2023-05-08T00:00:00"/>
    <d v="2051-08-31T00:00:00"/>
    <m/>
    <d v="2051-08-31T00:00:00"/>
    <n v="10207"/>
    <s v="A+"/>
    <s v="BE-2015"/>
    <s v="03.03"/>
    <s v="00.04"/>
    <s v="03.07"/>
    <s v="70494938"/>
    <s v="Corporate Affairs"/>
    <s v="308627"/>
    <s v="Executive Assistant"/>
    <s v="Corporate"/>
    <s v="0090000021"/>
    <s v="Corporate Affairs"/>
    <s v="2000CS"/>
    <s v="20057928"/>
    <s v="Manu Kapoor"/>
    <s v="No"/>
    <s v="gawtham.md@amns.in"/>
    <s v="8296587095"/>
    <s v="1048648"/>
    <s v="Dhruv Vyas"/>
    <s v="Anil Matoo"/>
    <s v="Praveen Kuruvalli"/>
    <s v="Dhruv Vyas"/>
    <n v="0"/>
  </r>
  <r>
    <n v="6757"/>
    <n v="20059098"/>
    <s v="Utsav Soni"/>
    <s v="AM/NS India"/>
    <s v="Onroll"/>
    <s v="M-7"/>
    <n v="7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– Direct Taxation"/>
    <m/>
    <m/>
    <m/>
    <m/>
    <s v="Non Technical Support"/>
    <s v=""/>
    <s v=""/>
    <s v=""/>
    <s v=""/>
    <s v="Mumbai"/>
    <d v="1994-02-20T00:00:00"/>
    <s v="29.06"/>
    <d v="2023-05-10T00:00:00"/>
    <d v="2052-02-29T00:00:00"/>
    <m/>
    <d v="2052-02-29T00:00:00"/>
    <n v="10389"/>
    <s v="B+"/>
    <s v="BCom-2016"/>
    <s v="04.07"/>
    <s v="00.04"/>
    <s v="04.11"/>
    <s v="00047291"/>
    <s v="Taxation"/>
    <s v="70494600"/>
    <s v="Lead– Direct Taxation"/>
    <s v="Corporate"/>
    <s v="0090000033"/>
    <s v="Corporate Taxation"/>
    <s v="2000CS"/>
    <s v="20056108"/>
    <s v="Farhan Mehboob Virani"/>
    <s v="No"/>
    <s v="utsav.soni1@amns.in"/>
    <s v="7709599965"/>
    <s v="1048832"/>
    <s v="Dhruv Vyas"/>
    <s v="Anil Matoo"/>
    <s v="Praveen Kuruvalli"/>
    <s v="Dhruv Vyas"/>
    <n v="0"/>
  </r>
  <r>
    <n v="6758"/>
    <n v="20059099"/>
    <s v="Ashutosh Barve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m/>
    <s v="Non Technical Support"/>
    <s v=""/>
    <s v=""/>
    <s v=""/>
    <s v=""/>
    <s v="Pune"/>
    <d v="1985-02-17T00:00:00"/>
    <s v="38.07"/>
    <d v="2023-05-10T00:00:00"/>
    <d v="2043-02-28T00:00:00"/>
    <m/>
    <d v="2043-02-28T00:00:00"/>
    <n v="7101"/>
    <s v="AB+"/>
    <s v="MTech-2012 , BE-2008 , Intermediate-2003"/>
    <s v="12.05"/>
    <s v="00.04"/>
    <s v="12.09"/>
    <s v="00052460"/>
    <s v="Auto &amp; YG"/>
    <s v="305324"/>
    <s v="Resident Engineer"/>
    <s v="Hazira"/>
    <s v="0031950057"/>
    <s v="HZ-HRC - Marketing"/>
    <s v="2000HWO"/>
    <s v="20056155"/>
    <s v="Kondapalli Venkateswarlu"/>
    <s v="No"/>
    <s v="ashutosh.barve1@amns.in"/>
    <s v="8160941350"/>
    <s v="1048842"/>
    <s v="Dhruv Vyas"/>
    <s v="Anil Matoo"/>
    <s v="Praveen Kuruvalli"/>
    <s v="Dhruv Vyas"/>
    <n v="0"/>
  </r>
  <r>
    <n v="6773"/>
    <n v="20059114"/>
    <s v="Akshat Gogia"/>
    <s v="AM/NS India"/>
    <s v="Onroll"/>
    <s v="M-7"/>
    <n v="7"/>
    <m/>
    <s v="MM"/>
    <s v="M"/>
    <s v="Corporate"/>
    <n v="1"/>
    <s v="2060"/>
    <x v="24"/>
    <s v="39.01"/>
    <s v="Sanjay Sharma"/>
    <s v="Sanjay Sharma"/>
    <n v="8"/>
    <s v="Business Development"/>
    <s v="Business Development"/>
    <s v="39"/>
    <s v="Ananlyst - Business Development"/>
    <m/>
    <s v="Business Development"/>
    <m/>
    <m/>
    <s v="Non Technical Support"/>
    <s v="Sales &amp; Marketing"/>
    <s v="Business Development"/>
    <s v="73103001"/>
    <s v="Business Development"/>
    <s v="Mumbai"/>
    <d v="1994-02-19T00:00:00"/>
    <s v="29.06"/>
    <d v="2023-05-15T00:00:00"/>
    <d v="2052-02-29T00:00:00"/>
    <m/>
    <d v="2052-02-29T00:00:00"/>
    <n v="10389"/>
    <s v="B-"/>
    <s v="PG Diploma in Management-2023 , BTech-20"/>
    <s v="05.09"/>
    <s v="00.04"/>
    <s v="06.00"/>
    <s v="00049729"/>
    <s v="Business Development - M&amp;A"/>
    <s v="300834"/>
    <s v="Lead Business Development"/>
    <s v="Corporate"/>
    <s v="0090000032"/>
    <s v="Business Devpelopmen"/>
    <s v="2000HWO"/>
    <s v="20055182"/>
    <s v="Neha Soni"/>
    <s v="No"/>
    <s v="akshat.gogia@amns.in"/>
    <s v="9534071376"/>
    <s v="1049769"/>
    <s v="Dhruv Vyas"/>
    <s v="Anil Matoo"/>
    <s v="Praveen Kuruvalli"/>
    <s v="Dhruv Vyas"/>
    <n v="0"/>
  </r>
  <r>
    <n v="6774"/>
    <n v="20059115"/>
    <s v="Navneet Kothari"/>
    <s v="AM/NS India"/>
    <s v="Onroll"/>
    <s v="M-7"/>
    <n v="7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Strategic Finance"/>
    <m/>
    <m/>
    <m/>
    <m/>
    <s v="Non Technical Support"/>
    <s v="Finance &amp; Accounts"/>
    <s v="Corporate Finance"/>
    <s v="73902001"/>
    <s v="Corporate Finance"/>
    <s v="Mumbai"/>
    <d v="1997-10-06T00:00:00"/>
    <s v="25.11"/>
    <d v="2023-05-15T00:00:00"/>
    <d v="2055-10-31T00:00:00"/>
    <m/>
    <d v="2055-10-31T00:00:00"/>
    <n v="11729"/>
    <s v="B+"/>
    <s v="PG Diploma in Management-2023"/>
    <s v="01.00"/>
    <s v="00.04"/>
    <s v="01.04"/>
    <s v="70494717"/>
    <s v="Treasury &amp; Finance"/>
    <s v="309190"/>
    <s v="Lead Strategic Finance"/>
    <s v="Corporate"/>
    <s v="0090000028"/>
    <s v="Corporate Steel - Wo"/>
    <s v="2000CRG"/>
    <s v="20000870"/>
    <s v="Balajee M"/>
    <s v="No"/>
    <s v="navneet.kothari@amns.in"/>
    <s v="9609823342"/>
    <s v="1049782"/>
    <s v="Dhruv Vyas"/>
    <s v="Anil Matoo"/>
    <s v="Praveen Kuruvalli"/>
    <s v="Dhruv Vyas"/>
    <n v="0"/>
  </r>
  <r>
    <n v="6800"/>
    <n v="20059143"/>
    <s v="Abhishek Shrivastava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0-08-16T00:00:00"/>
    <s v="43.01"/>
    <d v="2019-07-23T00:00:00"/>
    <d v="2038-08-31T00:00:00"/>
    <m/>
    <d v="2038-08-31T00:00:00"/>
    <n v="5459"/>
    <s v=""/>
    <s v=""/>
    <s v=""/>
    <s v="04.01"/>
    <s v="04.01"/>
    <s v="00052038"/>
    <s v="Gandhidham Operations"/>
    <s v="309853"/>
    <s v="New Acquisiiton"/>
    <s v="AMNS Gandhidham"/>
    <s v=""/>
    <s v=""/>
    <s v="2313BHIM"/>
    <s v="20059392"/>
    <s v="Rajendra Gupta"/>
    <s v="No"/>
    <s v="abhishek.shrivastava@amns.in"/>
    <s v=""/>
    <s v="1053901"/>
    <s v="Manjit Shah"/>
    <s v="Anil Matoo"/>
    <s v="-"/>
    <s v="Manjit Shah"/>
    <s v="-"/>
  </r>
  <r>
    <n v="6801"/>
    <n v="20059144"/>
    <s v="Kamlesh Khoche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69-07-22T00:00:00"/>
    <s v="54.01"/>
    <d v="2014-04-01T00:00:00"/>
    <d v="2027-07-31T00:00:00"/>
    <m/>
    <d v="2027-07-31T00:00:00"/>
    <n v="1410"/>
    <s v=""/>
    <s v=""/>
    <s v=""/>
    <s v="09.05"/>
    <s v="09.05"/>
    <s v="00052038"/>
    <s v="Gandhidham Operations"/>
    <s v="309928"/>
    <s v="New Acquisiiton"/>
    <s v="AMNS Gandhidham"/>
    <s v=""/>
    <s v=""/>
    <s v="2313BHIM"/>
    <s v="20059392"/>
    <s v="Rajendra Gupta"/>
    <s v="No"/>
    <s v="kamlesh.khoche@amns.in"/>
    <s v=""/>
    <s v="1053903"/>
    <s v="Manjit Shah"/>
    <s v="Anil Matoo"/>
    <s v="-"/>
    <s v="Manjit Shah"/>
    <s v="-"/>
  </r>
  <r>
    <n v="6802"/>
    <n v="20059145"/>
    <s v="Shiv Soni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8-11-12T00:00:00"/>
    <s v="34.10"/>
    <d v="2017-08-01T00:00:00"/>
    <d v="2046-11-30T00:00:00"/>
    <m/>
    <d v="2046-11-30T00:00:00"/>
    <n v="8472"/>
    <s v=""/>
    <s v=""/>
    <s v=""/>
    <s v="06.01"/>
    <s v="06.01"/>
    <s v="00052038"/>
    <s v="Gandhidham Operations"/>
    <s v="309951"/>
    <s v="New Acquisiiton"/>
    <s v="AMNS Gandhidham"/>
    <s v=""/>
    <s v=""/>
    <s v="2313BHIM"/>
    <s v="20059392"/>
    <s v="Rajendra Gupta"/>
    <s v="No"/>
    <s v="shiv.soni4@amns.in"/>
    <s v=""/>
    <s v="1053906"/>
    <s v="Manjit Shah"/>
    <s v="Anil Matoo"/>
    <s v="-"/>
    <s v="Manjit Shah"/>
    <s v="-"/>
  </r>
  <r>
    <n v="6803"/>
    <n v="20059146"/>
    <s v="Ramesh Yadav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3-01-10T00:00:00"/>
    <s v="40.08"/>
    <d v="2021-04-01T00:00:00"/>
    <d v="2041-01-31T00:00:00"/>
    <m/>
    <d v="2041-01-31T00:00:00"/>
    <n v="6343"/>
    <s v=""/>
    <s v=""/>
    <s v=""/>
    <s v="02.05"/>
    <s v="02.05"/>
    <s v="00052038"/>
    <s v="Gandhidham Operations"/>
    <s v="310099"/>
    <s v="New Acquisiiton"/>
    <s v="AMNS Gandhidham"/>
    <s v=""/>
    <s v=""/>
    <s v="2313BHIM"/>
    <s v="20059392"/>
    <s v="Rajendra Gupta"/>
    <s v="No"/>
    <s v="ramesh.yadav@amns.in"/>
    <s v=""/>
    <s v="1053907"/>
    <s v="Manjit Shah"/>
    <s v="Anil Matoo"/>
    <s v="-"/>
    <s v="Manjit Shah"/>
    <s v="-"/>
  </r>
  <r>
    <n v="6804"/>
    <n v="20059147"/>
    <s v="Vikas Lata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9-09-01T00:00:00"/>
    <s v="34.00"/>
    <d v="2021-04-01T00:00:00"/>
    <d v="2047-08-31T00:00:00"/>
    <m/>
    <d v="2047-08-31T00:00:00"/>
    <n v="8746"/>
    <s v=""/>
    <s v=""/>
    <s v=""/>
    <s v="02.05"/>
    <s v="02.05"/>
    <s v="00052038"/>
    <s v="Gandhidham Operations"/>
    <s v="310108"/>
    <s v="New Acquisiiton"/>
    <s v="AMNS Gandhidham"/>
    <s v=""/>
    <s v=""/>
    <s v="2313BHIM"/>
    <s v="20059392"/>
    <s v="Rajendra Gupta"/>
    <s v="No"/>
    <s v="vikas.lata@amns.in"/>
    <s v=""/>
    <s v="1053947"/>
    <s v="Manjit Shah"/>
    <s v="Anil Matoo"/>
    <s v="-"/>
    <s v="Manjit Shah"/>
    <s v="-"/>
  </r>
  <r>
    <n v="6805"/>
    <n v="20059148"/>
    <s v="Deepak Bakshi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Indore"/>
    <d v="1981-10-14T00:00:00"/>
    <s v="41.11"/>
    <d v="2012-01-11T00:00:00"/>
    <d v="2039-10-31T00:00:00"/>
    <m/>
    <d v="2039-10-31T00:00:00"/>
    <n v="5885"/>
    <s v=""/>
    <s v=""/>
    <s v=""/>
    <s v="11.08"/>
    <s v="11.08"/>
    <s v="00052038"/>
    <s v="Gandhidham Operations"/>
    <s v="310109"/>
    <s v="New Acquisiiton"/>
    <s v="AMNS Gandhidham"/>
    <s v=""/>
    <s v=""/>
    <s v="2313INDO"/>
    <s v="20059392"/>
    <s v="Rajendra Gupta"/>
    <s v="No"/>
    <s v="deepak.bakshi1@amns.in"/>
    <s v=""/>
    <s v="1053948"/>
    <s v="Manjit Shah"/>
    <s v="Anil Matoo"/>
    <s v="-"/>
    <s v="Manjit Shah"/>
    <s v="-"/>
  </r>
  <r>
    <n v="6991"/>
    <n v="20059334"/>
    <s v="Ashish Khandelw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80-11-14T00:00:00"/>
    <s v="42.10"/>
    <d v="2020-08-17T00:00:00"/>
    <d v="2038-11-30T00:00:00"/>
    <m/>
    <d v="2038-11-30T00:00:00"/>
    <n v="5550"/>
    <s v=""/>
    <s v=""/>
    <s v=""/>
    <s v="03.01"/>
    <s v="03.01"/>
    <s v="00052420"/>
    <s v="Finance &amp; Accounts"/>
    <s v="309826"/>
    <s v="New Acquisiiton"/>
    <s v="AMNS Gandhidham"/>
    <s v=""/>
    <s v=""/>
    <s v="2309INDO"/>
    <s v="20059338"/>
    <s v="Manish Patidar"/>
    <s v="No"/>
    <s v="ashish.khandelwal1@amns.in"/>
    <s v=""/>
    <s v="1054463"/>
    <s v="Manjit Shah"/>
    <s v="Anil Matoo"/>
    <s v="-"/>
    <s v="Manjit Shah"/>
    <s v="-"/>
  </r>
  <r>
    <n v="6992"/>
    <n v="20059335"/>
    <s v="Manoj Choudhary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8-12-20T00:00:00"/>
    <s v="44.09"/>
    <d v="2017-06-20T00:00:00"/>
    <d v="2036-12-31T00:00:00"/>
    <m/>
    <d v="2036-12-31T00:00:00"/>
    <n v="4851"/>
    <s v=""/>
    <s v=""/>
    <s v=""/>
    <s v="06.03"/>
    <s v="06.03"/>
    <s v="00052420"/>
    <s v="Finance &amp; Accounts"/>
    <s v="309828"/>
    <s v="New Acquisiiton"/>
    <s v="AMNS Gandhidham"/>
    <s v=""/>
    <s v=""/>
    <s v="2309INDO"/>
    <s v="20059338"/>
    <s v="Manish Patidar"/>
    <s v="No"/>
    <s v="manoj.choudhary2@amns.in"/>
    <s v=""/>
    <s v="1054465"/>
    <s v="Manjit Shah"/>
    <s v="Anil Matoo"/>
    <s v="-"/>
    <s v="Manjit Shah"/>
    <s v="-"/>
  </r>
  <r>
    <n v="6993"/>
    <n v="20059336"/>
    <s v="Jitendra Tiwar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1-02-05T00:00:00"/>
    <s v="52.07"/>
    <d v="2008-02-01T00:00:00"/>
    <d v="2029-02-28T00:00:00"/>
    <m/>
    <d v="2029-02-28T00:00:00"/>
    <n v="1988"/>
    <s v=""/>
    <s v=""/>
    <s v=""/>
    <s v="15.07"/>
    <s v="15.07"/>
    <s v="00052420"/>
    <s v="Finance &amp; Accounts"/>
    <s v="309832"/>
    <s v="New Acquisiiton"/>
    <s v="AMNS Gandhidham"/>
    <s v=""/>
    <s v=""/>
    <s v="2309BHIM"/>
    <s v="20059338"/>
    <s v="Manish Patidar"/>
    <s v="No"/>
    <s v="jitendrakumar.tiwari@amns.in"/>
    <s v=""/>
    <s v="1054631"/>
    <s v="Manjit Shah"/>
    <s v="Anil Matoo"/>
    <s v="-"/>
    <s v="Manjit Shah"/>
    <s v="-"/>
  </r>
  <r>
    <n v="6994"/>
    <n v="20059337"/>
    <s v="Manish Parik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Mumbai"/>
    <d v="1974-07-07T00:00:00"/>
    <s v="49.02"/>
    <d v="2018-01-07T00:00:00"/>
    <d v="2032-07-31T00:00:00"/>
    <m/>
    <d v="2032-07-31T00:00:00"/>
    <n v="3237"/>
    <s v=""/>
    <s v=""/>
    <s v=""/>
    <s v="05.08"/>
    <s v="05.08"/>
    <s v="00052038"/>
    <s v="Gandhidham Operations"/>
    <s v="309838"/>
    <s v="New Acquisiiton"/>
    <s v="AMNS Gandhidham"/>
    <s v=""/>
    <s v=""/>
    <s v="2309MUMB"/>
    <s v="20059392"/>
    <s v="Rajendra Gupta"/>
    <s v="No"/>
    <s v="manish.parikh1@amns.in"/>
    <s v=""/>
    <s v="1054467"/>
    <s v="Manjit Shah"/>
    <s v="Anil Matoo"/>
    <s v="-"/>
    <s v="Manjit Shah"/>
    <s v="-"/>
  </r>
  <r>
    <n v="6995"/>
    <n v="20059338"/>
    <s v="Manish Patidar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84-12-08T00:00:00"/>
    <s v="38.09"/>
    <d v="2010-06-28T00:00:00"/>
    <d v="2042-12-31T00:00:00"/>
    <m/>
    <d v="2042-12-31T00:00:00"/>
    <n v="7042"/>
    <s v=""/>
    <s v=""/>
    <s v=""/>
    <s v="13.02"/>
    <s v="13.02"/>
    <s v="00052420"/>
    <s v="Finance &amp; Accounts"/>
    <s v="309839"/>
    <s v="New Acquisiiton"/>
    <s v="AMNS Gandhidham"/>
    <s v=""/>
    <s v=""/>
    <s v="2309INDO"/>
    <s v="20055188"/>
    <s v="Rohit Sharma"/>
    <s v="No"/>
    <s v="manish.patidar1@amns.in"/>
    <s v=""/>
    <s v="1054468"/>
    <s v="Manjit Shah"/>
    <s v="Anil Matoo"/>
    <s v="-"/>
    <s v="Manjit Shah"/>
    <s v="-"/>
  </r>
  <r>
    <n v="6996"/>
    <n v="20059339"/>
    <s v="Rajeev Sing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6-03-30T00:00:00"/>
    <s v="47.05"/>
    <d v="2019-01-22T00:00:00"/>
    <d v="2034-03-31T00:00:00"/>
    <m/>
    <d v="2034-03-31T00:00:00"/>
    <n v="3845"/>
    <s v=""/>
    <s v=""/>
    <s v=""/>
    <s v="04.07"/>
    <s v="04.07"/>
    <s v="00052038"/>
    <s v="Gandhidham Operations"/>
    <s v="309867"/>
    <s v="New Acquisiiton"/>
    <s v="AMNS Gandhidham"/>
    <s v=""/>
    <s v=""/>
    <s v="2309INDO"/>
    <s v="20059338"/>
    <s v="Manish Patidar"/>
    <s v="No"/>
    <s v="rajeev.singh27@amns.in"/>
    <s v=""/>
    <s v="1054471"/>
    <s v="Manjit Shah"/>
    <s v="Anil Matoo"/>
    <s v="-"/>
    <s v="Manjit Shah"/>
    <s v="-"/>
  </r>
  <r>
    <n v="6997"/>
    <n v="20059340"/>
    <s v="Prasant Singh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90-07-19T00:00:00"/>
    <s v="33.02"/>
    <d v="2023-01-11T00:00:00"/>
    <d v="2048-07-31T00:00:00"/>
    <m/>
    <d v="2048-07-31T00:00:00"/>
    <n v="9081"/>
    <s v=""/>
    <s v=""/>
    <s v=""/>
    <s v="00.08"/>
    <s v="00.08"/>
    <s v="00052038"/>
    <s v="Gandhidham Operations"/>
    <s v="309877"/>
    <s v="New Acquisiiton"/>
    <s v="AMNS Gandhidham"/>
    <s v=""/>
    <s v=""/>
    <s v="2309BHIM"/>
    <s v="20059392"/>
    <s v="Rajendra Gupta"/>
    <s v="No"/>
    <s v="prasant.singhal@amns.in"/>
    <s v=""/>
    <s v="1054632"/>
    <s v="Manjit Shah"/>
    <s v="Anil Matoo"/>
    <s v="-"/>
    <s v="Manjit Shah"/>
    <s v="-"/>
  </r>
  <r>
    <n v="6998"/>
    <n v="20059341"/>
    <s v="Shailesh Pagare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1-07-01T00:00:00"/>
    <s v="52.02"/>
    <d v="2008-09-22T00:00:00"/>
    <d v="2029-06-30T00:00:00"/>
    <m/>
    <d v="2029-06-30T00:00:00"/>
    <n v="2110"/>
    <s v=""/>
    <s v=""/>
    <s v=""/>
    <s v="14.11"/>
    <s v="14.11"/>
    <s v="00052038"/>
    <s v="Gandhidham Operations"/>
    <s v="309882"/>
    <s v="New Acquisiiton"/>
    <s v="AMNS Gandhidham"/>
    <s v=""/>
    <s v=""/>
    <s v="2309BHIM"/>
    <s v="20059392"/>
    <s v="Rajendra Gupta"/>
    <s v="No"/>
    <s v="shailesh.pagare@amns.in"/>
    <s v=""/>
    <s v="1054634"/>
    <s v="Manjit Shah"/>
    <s v="Anil Matoo"/>
    <s v="-"/>
    <s v="Manjit Shah"/>
    <s v="-"/>
  </r>
  <r>
    <n v="6999"/>
    <n v="20059342"/>
    <s v="Prem Medatw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4-08-27T00:00:00"/>
    <s v="49.00"/>
    <d v="2019-12-06T00:00:00"/>
    <d v="2032-08-31T00:00:00"/>
    <m/>
    <d v="2032-08-31T00:00:00"/>
    <n v="3268"/>
    <s v=""/>
    <s v=""/>
    <s v=""/>
    <s v="03.09"/>
    <s v="03.09"/>
    <s v="00052038"/>
    <s v="Gandhidham Operations"/>
    <s v="309889"/>
    <s v="New Acquisiiton"/>
    <s v="AMNS Gandhidham"/>
    <s v=""/>
    <s v=""/>
    <s v="2309INDO"/>
    <s v="20059392"/>
    <s v="Rajendra Gupta"/>
    <s v="No"/>
    <s v="prem.medatwal@amns.in"/>
    <s v=""/>
    <s v="1054473"/>
    <s v="Manjit Shah"/>
    <s v="Anil Matoo"/>
    <s v="-"/>
    <s v="Manjit Shah"/>
    <s v="-"/>
  </r>
  <r>
    <n v="7000"/>
    <n v="20059343"/>
    <s v="Ganesh Ja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Mumbai"/>
    <d v="1973-04-27T00:00:00"/>
    <s v="50.04"/>
    <d v="2019-01-09T00:00:00"/>
    <d v="2031-04-30T00:00:00"/>
    <m/>
    <d v="2031-04-30T00:00:00"/>
    <n v="2779"/>
    <s v=""/>
    <s v=""/>
    <s v=""/>
    <s v="04.08"/>
    <s v="04.08"/>
    <s v="00052038"/>
    <s v="Gandhidham Operations"/>
    <s v="309910"/>
    <s v="New Acquisiiton"/>
    <s v="AMNS Gandhidham"/>
    <s v=""/>
    <s v=""/>
    <s v="2309MUMB"/>
    <s v="20059392"/>
    <s v="Rajendra Gupta"/>
    <s v="No"/>
    <s v="ganesh.jain1@amns.in"/>
    <s v=""/>
    <s v="1054474"/>
    <s v="Manjit Shah"/>
    <s v="Anil Matoo"/>
    <s v="-"/>
    <s v="Manjit Shah"/>
    <s v="-"/>
  </r>
  <r>
    <n v="7001"/>
    <n v="20059344"/>
    <s v="Somesh Ja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7-07-06T00:00:00"/>
    <s v="46.02"/>
    <d v="2007-09-17T00:00:00"/>
    <d v="2035-07-31T00:00:00"/>
    <m/>
    <d v="2035-07-31T00:00:00"/>
    <n v="4332"/>
    <s v=""/>
    <s v=""/>
    <s v=""/>
    <s v="16.00"/>
    <s v="16.00"/>
    <s v="00052038"/>
    <s v="Gandhidham Operations"/>
    <s v="309912"/>
    <s v="New Acquisiiton"/>
    <s v="AMNS Gandhidham"/>
    <s v=""/>
    <s v=""/>
    <s v="2309INDO"/>
    <s v="20059392"/>
    <s v="Rajendra Gupta"/>
    <s v="No"/>
    <s v="somesh.jain14@amns.in"/>
    <s v=""/>
    <s v="1054477"/>
    <s v="Manjit Shah"/>
    <s v="Anil Matoo"/>
    <s v="-"/>
    <s v="Manjit Shah"/>
    <s v="-"/>
  </r>
  <r>
    <n v="7002"/>
    <n v="20059345"/>
    <s v="Bhaskarbhai Josh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67-12-30T00:00:00"/>
    <s v="55.08"/>
    <d v="2018-04-30T00:00:00"/>
    <d v="2025-12-31T00:00:00"/>
    <m/>
    <d v="2025-12-31T00:00:00"/>
    <n v="833"/>
    <s v=""/>
    <s v=""/>
    <s v=""/>
    <s v="05.04"/>
    <s v="05.04"/>
    <s v="00052038"/>
    <s v="Gandhidham Operations"/>
    <s v="309919"/>
    <s v="New Acquisiiton"/>
    <s v="AMNS Gandhidham"/>
    <s v=""/>
    <s v=""/>
    <s v="2309BHIM"/>
    <s v="20059392"/>
    <s v="Rajendra Gupta"/>
    <s v="No"/>
    <s v="bhaskarbhai.joshi@amns.in"/>
    <s v=""/>
    <s v="1054479"/>
    <s v="Manjit Shah"/>
    <s v="Anil Matoo"/>
    <s v="-"/>
    <s v="Manjit Shah"/>
    <s v="-"/>
  </r>
  <r>
    <n v="7003"/>
    <n v="20059346"/>
    <s v="Dinesh Pareek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9-07-15T00:00:00"/>
    <s v="44.02"/>
    <d v="2007-08-01T00:00:00"/>
    <d v="2037-07-31T00:00:00"/>
    <m/>
    <d v="2037-07-31T00:00:00"/>
    <n v="5063"/>
    <s v=""/>
    <s v=""/>
    <s v=""/>
    <s v="16.01"/>
    <s v="16.01"/>
    <s v="00052038"/>
    <s v="Gandhidham Operations"/>
    <s v="309923"/>
    <s v="New Acquisiiton"/>
    <s v="AMNS Gandhidham"/>
    <s v=""/>
    <s v=""/>
    <s v="2309BHIM"/>
    <s v="20059392"/>
    <s v="Rajendra Gupta"/>
    <s v="No"/>
    <s v="dinesh.pareek1@amns.in"/>
    <s v=""/>
    <s v="1054635"/>
    <s v="Manjit Shah"/>
    <s v="Anil Matoo"/>
    <s v="-"/>
    <s v="Manjit Shah"/>
    <s v="-"/>
  </r>
  <r>
    <n v="7004"/>
    <n v="20059347"/>
    <s v="Gaurav Bhas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8-02-08T00:00:00"/>
    <s v="45.07"/>
    <d v="2012-10-08T00:00:00"/>
    <d v="2036-02-29T00:00:00"/>
    <m/>
    <d v="2036-02-29T00:00:00"/>
    <n v="4545"/>
    <s v=""/>
    <s v=""/>
    <s v=""/>
    <s v="10.11"/>
    <s v="10.11"/>
    <s v="00052038"/>
    <s v="Gandhidham Operations"/>
    <s v="309924"/>
    <s v="New Acquisiiton"/>
    <s v="AMNS Gandhidham"/>
    <s v=""/>
    <s v=""/>
    <s v="2309BHIM"/>
    <s v="20059392"/>
    <s v="Rajendra Gupta"/>
    <s v="No"/>
    <s v="gaurav.bhasin@amns.in"/>
    <s v=""/>
    <s v="1054636"/>
    <s v="Manjit Shah"/>
    <s v="Anil Matoo"/>
    <s v="-"/>
    <s v="Manjit Shah"/>
    <s v="-"/>
  </r>
  <r>
    <n v="7005"/>
    <n v="20059348"/>
    <s v="V. Sridhar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0-05-10T00:00:00"/>
    <s v="53.04"/>
    <d v="2011-05-20T00:00:00"/>
    <d v="2028-05-31T00:00:00"/>
    <m/>
    <d v="2028-05-31T00:00:00"/>
    <n v="1715"/>
    <s v=""/>
    <s v=""/>
    <s v=""/>
    <s v="12.04"/>
    <s v="12.04"/>
    <s v="00052038"/>
    <s v="Gandhidham Operations"/>
    <s v="309958"/>
    <s v="New Acquisiiton"/>
    <s v="AMNS Gandhidham"/>
    <s v=""/>
    <s v=""/>
    <s v="2309BHIM"/>
    <s v="20059392"/>
    <s v="Rajendra Gupta"/>
    <s v="No"/>
    <s v="v.shridhar@amns.in"/>
    <s v=""/>
    <s v="1054637"/>
    <s v="Manjit Shah"/>
    <s v="Anil Matoo"/>
    <s v="-"/>
    <s v="Manjit Shah"/>
    <s v="-"/>
  </r>
  <r>
    <n v="7006"/>
    <n v="20059349"/>
    <s v="Mukesh Ja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0-05-07T00:00:00"/>
    <s v="53.04"/>
    <d v="2019-01-09T00:00:00"/>
    <d v="2028-05-31T00:00:00"/>
    <m/>
    <d v="2028-05-31T00:00:00"/>
    <n v="1715"/>
    <s v=""/>
    <s v=""/>
    <s v=""/>
    <s v="04.08"/>
    <s v="04.08"/>
    <s v="00052038"/>
    <s v="Gandhidham Operations"/>
    <s v="309964"/>
    <s v="New Acquisiiton"/>
    <s v="AMNS Gandhidham"/>
    <s v=""/>
    <s v=""/>
    <s v="2309DELH"/>
    <s v="20059392"/>
    <s v="Rajendra Gupta"/>
    <s v="No"/>
    <s v="mukesh.jain7@amns.in"/>
    <s v=""/>
    <s v="1054481"/>
    <s v="Manjit Shah"/>
    <s v="Anil Matoo"/>
    <s v="-"/>
    <s v="Manjit Shah"/>
    <s v="-"/>
  </r>
  <r>
    <n v="7007"/>
    <n v="20059350"/>
    <s v="Anil Gawde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67-05-01T00:00:00"/>
    <s v="56.04"/>
    <d v="2018-07-01T00:00:00"/>
    <d v="2025-04-30T00:00:00"/>
    <m/>
    <d v="2025-04-30T00:00:00"/>
    <n v="588"/>
    <s v=""/>
    <s v=""/>
    <s v=""/>
    <s v="05.02"/>
    <s v="05.02"/>
    <s v="00052038"/>
    <s v="Gandhidham Operations"/>
    <s v="309970"/>
    <s v="New Acquisiiton"/>
    <s v="AMNS Gandhidham"/>
    <s v=""/>
    <s v=""/>
    <s v="2309BHIM"/>
    <s v="20059392"/>
    <s v="Rajendra Gupta"/>
    <s v="No"/>
    <s v="anil.gawde@amns.in"/>
    <s v=""/>
    <s v="1054638"/>
    <s v="Manjit Shah"/>
    <s v="Anil Matoo"/>
    <s v="-"/>
    <s v="Manjit Shah"/>
    <s v="-"/>
  </r>
  <r>
    <n v="7008"/>
    <n v="20059351"/>
    <s v="Rakesh Kushwaha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9-07-01T00:00:00"/>
    <s v="44.02"/>
    <d v="2010-12-06T00:00:00"/>
    <d v="2037-06-30T00:00:00"/>
    <m/>
    <d v="2037-06-30T00:00:00"/>
    <n v="5032"/>
    <s v=""/>
    <s v=""/>
    <s v=""/>
    <s v="12.09"/>
    <s v="12.09"/>
    <s v="00052038"/>
    <s v="Gandhidham Operations"/>
    <s v="309986"/>
    <s v="New Acquisiiton"/>
    <s v="AMNS Gandhidham"/>
    <s v=""/>
    <s v=""/>
    <s v="2309BHIM"/>
    <s v="20059392"/>
    <s v="Rajendra Gupta"/>
    <s v="No"/>
    <s v="rakesh.kushwaha@amns.in"/>
    <s v=""/>
    <s v="1054482"/>
    <s v="Manjit Shah"/>
    <s v="Anil Matoo"/>
    <s v="-"/>
    <s v="Manjit Shah"/>
    <s v="-"/>
  </r>
  <r>
    <n v="7009"/>
    <n v="20059352"/>
    <s v="Ramnivas Lowansh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3-06-22T00:00:00"/>
    <s v="40.03"/>
    <d v="2019-05-01T00:00:00"/>
    <d v="2041-06-30T00:00:00"/>
    <m/>
    <d v="2041-06-30T00:00:00"/>
    <n v="6493"/>
    <s v=""/>
    <s v=""/>
    <s v=""/>
    <s v="04.04"/>
    <s v="04.04"/>
    <s v="00052038"/>
    <s v="Gandhidham Operations"/>
    <s v="310048"/>
    <s v="New Acquisiiton"/>
    <s v="AMNS Gandhidham"/>
    <s v=""/>
    <s v=""/>
    <s v="2309BHIM"/>
    <s v="20059392"/>
    <s v="Rajendra Gupta"/>
    <s v="No"/>
    <s v="ramnivas.lowanshi1@amns.in"/>
    <s v=""/>
    <s v="1054491"/>
    <s v="Manjit Shah"/>
    <s v="Anil Matoo"/>
    <s v="-"/>
    <s v="Manjit Shah"/>
    <s v="-"/>
  </r>
  <r>
    <n v="7010"/>
    <n v="20059353"/>
    <s v="Pramod Shukla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1-04-21T00:00:00"/>
    <s v="52.05"/>
    <d v="2011-12-06T00:00:00"/>
    <d v="2029-04-30T00:00:00"/>
    <m/>
    <d v="2029-04-30T00:00:00"/>
    <n v="2049"/>
    <s v=""/>
    <s v=""/>
    <s v=""/>
    <s v="11.09"/>
    <s v="11.09"/>
    <s v="00052038"/>
    <s v="Gandhidham Operations"/>
    <s v="310080"/>
    <s v="New Acquisiiton"/>
    <s v="AMNS Gandhidham"/>
    <s v=""/>
    <s v=""/>
    <s v="2309BHIM"/>
    <s v="20059392"/>
    <s v="Rajendra Gupta"/>
    <s v="No"/>
    <s v="pramod.shukla@amns.in"/>
    <s v=""/>
    <s v="1054639"/>
    <s v="Manjit Shah"/>
    <s v="Anil Matoo"/>
    <s v="-"/>
    <s v="Manjit Shah"/>
    <s v="-"/>
  </r>
  <r>
    <n v="7011"/>
    <n v="20059354"/>
    <s v="Sandeep Thakur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1-07-21T00:00:00"/>
    <s v="42.02"/>
    <d v="2008-01-23T00:00:00"/>
    <d v="2039-07-31T00:00:00"/>
    <m/>
    <d v="2039-07-31T00:00:00"/>
    <n v="5793"/>
    <s v=""/>
    <s v=""/>
    <s v=""/>
    <s v="15.07"/>
    <s v="15.07"/>
    <s v="00052420"/>
    <s v="Finance &amp; Accounts"/>
    <s v="310082"/>
    <s v="New Acquisiiton"/>
    <s v="AMNS Gandhidham"/>
    <s v=""/>
    <s v=""/>
    <s v="2309BHIM"/>
    <s v="20059338"/>
    <s v="Manish Patidar"/>
    <s v="No"/>
    <s v="sandeep.thakur@amns.in"/>
    <s v=""/>
    <s v="1054641"/>
    <s v="Manjit Shah"/>
    <s v="Anil Matoo"/>
    <s v="-"/>
    <s v="Manjit Shah"/>
    <s v="-"/>
  </r>
  <r>
    <n v="7012"/>
    <n v="20059355"/>
    <s v="Sachin Wag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9-01-02T00:00:00"/>
    <s v="44.08"/>
    <d v="2012-06-26T00:00:00"/>
    <d v="2037-01-31T00:00:00"/>
    <m/>
    <d v="2037-01-31T00:00:00"/>
    <n v="4882"/>
    <s v=""/>
    <s v=""/>
    <s v=""/>
    <s v="11.02"/>
    <s v="11.02"/>
    <s v="00052420"/>
    <s v="Finance &amp; Accounts"/>
    <s v="310089"/>
    <s v="New Acquisiiton"/>
    <s v="AMNS Gandhidham"/>
    <s v=""/>
    <s v=""/>
    <s v="2309INDO"/>
    <s v="20059338"/>
    <s v="Manish Patidar"/>
    <s v="No"/>
    <s v="sachin.wagh1@amns.in"/>
    <s v=""/>
    <s v="1054495"/>
    <s v="Manjit Shah"/>
    <s v="Anil Matoo"/>
    <s v="-"/>
    <s v="Manjit Shah"/>
    <s v="-"/>
  </r>
  <r>
    <n v="7013"/>
    <n v="20059356"/>
    <s v="Rahul Parik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5-10-14T00:00:00"/>
    <s v="37.11"/>
    <d v="2020-11-01T00:00:00"/>
    <d v="2043-10-31T00:00:00"/>
    <m/>
    <d v="2043-10-31T00:00:00"/>
    <n v="7346"/>
    <s v=""/>
    <s v=""/>
    <s v=""/>
    <s v="02.10"/>
    <s v="02.10"/>
    <s v="00052038"/>
    <s v="Gandhidham Operations"/>
    <s v="310094"/>
    <s v="New Acquisiiton"/>
    <s v="AMNS Gandhidham"/>
    <s v=""/>
    <s v=""/>
    <s v="2309BHIM"/>
    <s v="20059392"/>
    <s v="Rajendra Gupta"/>
    <s v="No"/>
    <s v="rahul.parikh@amns.in"/>
    <s v=""/>
    <s v="1054497"/>
    <s v="Manjit Shah"/>
    <s v="Anil Matoo"/>
    <s v="-"/>
    <s v="Manjit Shah"/>
    <s v="-"/>
  </r>
  <r>
    <n v="7014"/>
    <n v="20059357"/>
    <s v="Rakesh Bans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4-01-08T00:00:00"/>
    <s v="49.08"/>
    <d v="2007-01-24T00:00:00"/>
    <d v="2032-01-31T00:00:00"/>
    <m/>
    <d v="2032-01-31T00:00:00"/>
    <n v="3055"/>
    <s v=""/>
    <s v=""/>
    <s v=""/>
    <s v="16.07"/>
    <s v="16.07"/>
    <s v="00052420"/>
    <s v="Finance &amp; Accounts"/>
    <s v="310097"/>
    <s v="New Acquisiiton"/>
    <s v="AMNS Gandhidham"/>
    <s v=""/>
    <s v=""/>
    <s v="2309BHIM"/>
    <s v="20059338"/>
    <s v="Manish Patidar"/>
    <s v="No"/>
    <s v="rakesh.bansal@amns.in"/>
    <s v=""/>
    <s v="1054643"/>
    <s v="Manjit Shah"/>
    <s v="Anil Matoo"/>
    <s v="-"/>
    <s v="Manjit Shah"/>
    <s v="-"/>
  </r>
  <r>
    <n v="7015"/>
    <n v="20059358"/>
    <s v="Sunil Swam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8-11-10T00:00:00"/>
    <s v="34.10"/>
    <d v="2023-02-06T00:00:00"/>
    <d v="2046-11-30T00:00:00"/>
    <m/>
    <d v="2046-11-30T00:00:00"/>
    <n v="8472"/>
    <s v=""/>
    <s v=""/>
    <s v=""/>
    <s v="00.07"/>
    <s v="00.07"/>
    <s v="00052038"/>
    <s v="Gandhidham Operations"/>
    <s v="310107"/>
    <s v="New Acquisiiton"/>
    <s v="AMNS Gandhidham"/>
    <s v=""/>
    <s v=""/>
    <s v="2309BHIM"/>
    <s v="20059392"/>
    <s v="Rajendra Gupta"/>
    <s v="No"/>
    <s v="sunilkumar.swami@amns.in"/>
    <s v=""/>
    <s v="1054645"/>
    <s v="Manjit Shah"/>
    <s v="Anil Matoo"/>
    <s v="-"/>
    <s v="Manjit Shah"/>
    <s v="-"/>
  </r>
  <r>
    <n v="7016"/>
    <n v="20059359"/>
    <s v="Prahladbhai U.Prajapat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3-06-01T00:00:00"/>
    <s v="40.03"/>
    <d v="2008-01-01T00:00:00"/>
    <d v="2041-05-31T00:00:00"/>
    <m/>
    <d v="2041-05-31T00:00:00"/>
    <n v="6463"/>
    <s v=""/>
    <s v=""/>
    <s v=""/>
    <s v="15.08"/>
    <s v="15.08"/>
    <s v="00052038"/>
    <s v="Gandhidham Operations"/>
    <s v="310114"/>
    <s v="New Acquisiiton"/>
    <s v="AMNS Gandhidham"/>
    <s v=""/>
    <s v=""/>
    <s v="2309BHIM"/>
    <s v="20059392"/>
    <s v="Rajendra Gupta"/>
    <s v="No"/>
    <s v="prahladbhai.prajapati@amns.in"/>
    <s v=""/>
    <s v="1054022"/>
    <s v="Manjit Shah"/>
    <s v="Anil Matoo"/>
    <s v="-"/>
    <s v="Manjit Shah"/>
    <s v="-"/>
  </r>
  <r>
    <n v="7017"/>
    <n v="20059360"/>
    <s v="Gulab Chand"/>
    <s v="AM/NS Gandhidham"/>
    <s v="Onroll"/>
    <s v="New Acquisition"/>
    <n v="17"/>
    <m/>
    <s v="NA"/>
    <s v="M"/>
    <s v="Gandhidham"/>
    <n v="12"/>
    <s v="2310"/>
    <x v="1"/>
    <s v="22.06"/>
    <s v="Anil Matoo"/>
    <s v="Ashutosh Telang"/>
    <n v="6"/>
    <s v="HR &amp; Administration"/>
    <s v="Human Resources"/>
    <s v="22"/>
    <m/>
    <m/>
    <s v=""/>
    <s v=""/>
    <s v=""/>
    <s v="Non Technical Support"/>
    <s v="Operations"/>
    <s v="Operations"/>
    <s v="72103001"/>
    <s v="Operations"/>
    <s v="Bhimasar"/>
    <d v="1972-02-10T00:00:00"/>
    <s v="51.07"/>
    <d v="2005-02-15T00:00:00"/>
    <d v="2030-02-28T00:00:00"/>
    <m/>
    <d v="2030-02-28T00:00:00"/>
    <n v="2353"/>
    <s v=""/>
    <s v=""/>
    <s v=""/>
    <s v="18.07"/>
    <s v="18.07"/>
    <s v="00052038"/>
    <s v="Gandhidham Operations"/>
    <s v="309831"/>
    <s v="New Acquisiiton"/>
    <s v="AMNS Gandhidham"/>
    <s v=""/>
    <s v=""/>
    <s v="2310BHIM"/>
    <s v="20059392"/>
    <s v="Rajendra Gupta"/>
    <s v="No"/>
    <s v="gulab.chand@amns.in"/>
    <s v=""/>
    <s v="1054646"/>
    <s v="Manjit Shah"/>
    <s v="Anil Matoo"/>
    <s v="-"/>
    <s v="Manjit Shah"/>
    <s v="-"/>
  </r>
  <r>
    <n v="7018"/>
    <n v="20059361"/>
    <s v="Dinesh Barala"/>
    <s v="AM/NS Gandhidham"/>
    <s v="Onroll"/>
    <s v="New Acquisition"/>
    <n v="17"/>
    <m/>
    <s v="NA"/>
    <s v="M"/>
    <s v="Gandhidham"/>
    <n v="12"/>
    <s v="2310"/>
    <x v="1"/>
    <s v="22.06"/>
    <s v="Anil Matoo"/>
    <s v="Ashutosh Telang"/>
    <n v="6"/>
    <s v="HR &amp; Administration"/>
    <s v="Human Resources"/>
    <s v="22"/>
    <m/>
    <m/>
    <s v=""/>
    <s v=""/>
    <s v=""/>
    <s v="Non Technical Support"/>
    <s v="Operations"/>
    <s v="Operations"/>
    <s v="72103001"/>
    <s v="Operations"/>
    <s v="Bhimasar"/>
    <d v="1986-08-21T00:00:00"/>
    <s v="37.00"/>
    <d v="2019-01-01T00:00:00"/>
    <d v="2044-08-31T00:00:00"/>
    <m/>
    <d v="2044-08-31T00:00:00"/>
    <n v="7651"/>
    <s v=""/>
    <s v=""/>
    <s v=""/>
    <s v="04.08"/>
    <s v="04.08"/>
    <s v="00052038"/>
    <s v="Gandhidham Operations"/>
    <s v="310073"/>
    <s v="New Acquisiiton"/>
    <s v="AMNS Gandhidham"/>
    <s v=""/>
    <s v=""/>
    <s v="2310BHIM"/>
    <s v="20059392"/>
    <s v="Rajendra Gupta"/>
    <s v="No"/>
    <s v="dinesh.barala@amns.in"/>
    <s v=""/>
    <s v="1054498"/>
    <s v="Manjit Shah"/>
    <s v="Anil Matoo"/>
    <s v="-"/>
    <s v="Manjit Shah"/>
    <s v="-"/>
  </r>
  <r>
    <n v="7019"/>
    <n v="20059362"/>
    <s v="Rajendra Singh"/>
    <s v="AM/NS Gandhidham"/>
    <s v="Onroll"/>
    <s v="New Acquisition"/>
    <n v="17"/>
    <m/>
    <s v="NA"/>
    <s v="M"/>
    <s v="Gandhidham"/>
    <n v="12"/>
    <s v="2310"/>
    <x v="1"/>
    <s v="22.06"/>
    <s v="Anil Matoo"/>
    <s v="Ashutosh Telang"/>
    <n v="6"/>
    <s v="HR &amp; Administration"/>
    <s v="Human Resources"/>
    <s v="22"/>
    <m/>
    <m/>
    <s v=""/>
    <s v=""/>
    <s v=""/>
    <s v="Non Technical Support"/>
    <s v="Operations"/>
    <s v="Operations"/>
    <s v="72103001"/>
    <s v="Operations"/>
    <s v="Bhimasar"/>
    <d v="1976-07-05T00:00:00"/>
    <s v="47.02"/>
    <d v="2015-09-01T00:00:00"/>
    <d v="2034-07-31T00:00:00"/>
    <m/>
    <d v="2034-07-31T00:00:00"/>
    <n v="3967"/>
    <s v=""/>
    <s v=""/>
    <s v=""/>
    <s v="08.00"/>
    <s v="08.00"/>
    <s v="00052038"/>
    <s v="Gandhidham Operations"/>
    <s v="310095"/>
    <s v="New Acquisiiton"/>
    <s v="AMNS Gandhidham"/>
    <s v=""/>
    <s v=""/>
    <s v="2310BHIM"/>
    <s v="20059392"/>
    <s v="Rajendra Gupta"/>
    <s v="No"/>
    <s v="rajendra.singh@amns.in"/>
    <s v=""/>
    <s v="1054649"/>
    <s v="Manjit Shah"/>
    <s v="Anil Matoo"/>
    <s v="-"/>
    <s v="Manjit Shah"/>
    <s v="-"/>
  </r>
  <r>
    <n v="7026"/>
    <n v="20059369"/>
    <s v="Arvind Singh"/>
    <s v="AM/NS Gandhidham"/>
    <s v="Onroll"/>
    <s v="M-7"/>
    <n v="17"/>
    <m/>
    <s v="NA"/>
    <s v="M"/>
    <s v="Gandhidham"/>
    <n v="12"/>
    <s v="2311"/>
    <x v="22"/>
    <s v="41.01"/>
    <s v="P Ashok Kumar"/>
    <s v="P Ashok Kumar"/>
    <n v="9"/>
    <s v="Legal"/>
    <s v="Legal"/>
    <s v="41"/>
    <s v="Legal Counsel, Gandhidham"/>
    <m/>
    <s v="legal"/>
    <s v=""/>
    <s v=""/>
    <s v="Non Technical Support"/>
    <s v="Operations"/>
    <s v="Operations"/>
    <s v="72103001"/>
    <s v="Operations"/>
    <s v="Indore"/>
    <d v="1967-01-11T00:00:00"/>
    <s v="56.08"/>
    <d v="2014-01-14T00:00:00"/>
    <d v="2025-01-31T00:00:00"/>
    <m/>
    <d v="2025-01-31T00:00:00"/>
    <n v="499"/>
    <s v=""/>
    <s v=""/>
    <s v=""/>
    <s v="09.08"/>
    <s v="09.08"/>
    <s v="00052038"/>
    <s v="Gandhidham Operations"/>
    <s v="309851"/>
    <s v="New Acquisiiton"/>
    <s v="AMNS Gandhidham"/>
    <s v=""/>
    <s v=""/>
    <s v="2311INDO"/>
    <s v="20059392"/>
    <s v="Rajendra Gupta"/>
    <s v="No"/>
    <s v="arvindkumar.singh5@amns.in"/>
    <s v=""/>
    <s v="1054511"/>
    <s v="Manjit Shah"/>
    <s v="Anil Matoo"/>
    <s v="-"/>
    <s v="Manjit Shah"/>
    <s v="-"/>
  </r>
  <r>
    <n v="7027"/>
    <n v="20059370"/>
    <s v="Vinod Kashyap"/>
    <s v="AM/NS Gandhidham"/>
    <s v="Onroll"/>
    <s v="M-8"/>
    <n v="17"/>
    <m/>
    <s v="NA"/>
    <s v="M"/>
    <s v="Gandhidham"/>
    <n v="12"/>
    <s v="2311"/>
    <x v="22"/>
    <s v="41.01"/>
    <s v="P Ashok Kumar"/>
    <s v="P Ashok Kumar"/>
    <n v="9"/>
    <s v="Legal"/>
    <s v="Legal"/>
    <s v="41"/>
    <s v="Legal Counsel, Gandhidham"/>
    <m/>
    <s v="legal"/>
    <s v=""/>
    <s v=""/>
    <s v="Non Technical Support"/>
    <s v="Operations"/>
    <s v="Operations"/>
    <s v="72103001"/>
    <s v="Operations"/>
    <s v="Bhimasar"/>
    <d v="1976-09-22T00:00:00"/>
    <s v="46.11"/>
    <d v="2020-10-27T00:00:00"/>
    <d v="2034-09-30T00:00:00"/>
    <m/>
    <d v="2034-09-30T00:00:00"/>
    <n v="4028"/>
    <s v=""/>
    <s v=""/>
    <s v=""/>
    <s v="02.10"/>
    <s v="02.10"/>
    <s v="00052038"/>
    <s v="Gandhidham Operations"/>
    <s v="309863"/>
    <s v="New Acquisiiton"/>
    <s v="AMNS Gandhidham"/>
    <s v=""/>
    <s v=""/>
    <s v="2311BHIM"/>
    <s v="20059392"/>
    <s v="Rajendra Gupta"/>
    <s v="No"/>
    <s v="vinod.kashyap@amns.in"/>
    <s v=""/>
    <s v="1054517"/>
    <s v="Manjit Shah"/>
    <s v="Anil Matoo"/>
    <s v="-"/>
    <s v="Manjit Shah"/>
    <s v="-"/>
  </r>
  <r>
    <n v="7052"/>
    <n v="20059395"/>
    <s v="Manoj Choudhary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Indore"/>
    <d v="1971-11-03T00:00:00"/>
    <s v="51.10"/>
    <d v="2006-11-03T00:00:00"/>
    <d v="2029-11-30T00:00:00"/>
    <m/>
    <d v="2029-11-30T00:00:00"/>
    <n v="2263"/>
    <s v=""/>
    <s v=""/>
    <s v=""/>
    <s v="16.10"/>
    <s v="16.10"/>
    <s v="00052038"/>
    <s v="Gandhidham Operations"/>
    <s v="309865"/>
    <s v="New Acquisiiton"/>
    <s v="AMNS Gandhidham"/>
    <s v=""/>
    <s v=""/>
    <s v="2316INDO"/>
    <s v="20059392"/>
    <s v="Rajendra Gupta"/>
    <s v="No"/>
    <s v="manoj.choudhary3@amns.in"/>
    <s v=""/>
    <s v="1054603"/>
    <s v="Manjit Shah"/>
    <s v="Anil Matoo"/>
    <s v="-"/>
    <s v="Manjit Shah"/>
    <s v="-"/>
  </r>
  <r>
    <n v="7053"/>
    <n v="20059396"/>
    <s v="Vipin Kumar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4-05-16T00:00:00"/>
    <s v="39.04"/>
    <d v="2022-03-07T00:00:00"/>
    <d v="2042-05-31T00:00:00"/>
    <m/>
    <d v="2042-05-31T00:00:00"/>
    <n v="6828"/>
    <s v=""/>
    <s v=""/>
    <s v=""/>
    <s v="01.06"/>
    <s v="01.06"/>
    <s v="00052332"/>
    <s v="Mechanical Maintenance"/>
    <s v="309884"/>
    <s v="New Acquisiiton"/>
    <s v="AMNS Gandhidham"/>
    <s v=""/>
    <s v=""/>
    <s v="2316BHIM"/>
    <s v="20059381"/>
    <s v="Govind Dhanuka"/>
    <s v="No"/>
    <s v="vipin.kumar@amns.in"/>
    <s v=""/>
    <s v="1054605"/>
    <s v="Manjit Shah"/>
    <s v="Anil Matoo"/>
    <s v="-"/>
    <s v="Manjit Shah"/>
    <s v="-"/>
  </r>
  <r>
    <n v="7054"/>
    <n v="20059397"/>
    <s v="Manish Namdeo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Indore"/>
    <d v="1975-07-22T00:00:00"/>
    <s v="48.01"/>
    <d v="2019-11-02T00:00:00"/>
    <d v="2033-07-31T00:00:00"/>
    <m/>
    <d v="2033-07-31T00:00:00"/>
    <n v="3602"/>
    <s v=""/>
    <s v=""/>
    <s v=""/>
    <s v="03.10"/>
    <s v="03.10"/>
    <s v="00052038"/>
    <s v="Gandhidham Operations"/>
    <s v="309888"/>
    <s v="New Acquisiiton"/>
    <s v="AMNS Gandhidham"/>
    <s v=""/>
    <s v=""/>
    <s v="2316INDO"/>
    <s v="20059392"/>
    <s v="Rajendra Gupta"/>
    <s v="No"/>
    <s v="manish.namdeo@amns.in"/>
    <s v=""/>
    <s v="1054612"/>
    <s v="Manjit Shah"/>
    <s v="Anil Matoo"/>
    <s v="-"/>
    <s v="Manjit Shah"/>
    <s v="-"/>
  </r>
  <r>
    <n v="7055"/>
    <n v="20059398"/>
    <s v="Devendra Lakshkar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5-06-09T00:00:00"/>
    <s v="38.03"/>
    <d v="2023-03-20T00:00:00"/>
    <d v="2043-06-30T00:00:00"/>
    <m/>
    <d v="2043-06-30T00:00:00"/>
    <n v="7223"/>
    <s v=""/>
    <s v=""/>
    <s v=""/>
    <s v="00.06"/>
    <s v="00.06"/>
    <s v="00052038"/>
    <s v="Gandhidham Operations"/>
    <s v="309921"/>
    <s v="New Acquisiiton"/>
    <s v="AMNS Gandhidham"/>
    <s v=""/>
    <s v=""/>
    <s v="2316BHIM"/>
    <s v="20059392"/>
    <s v="Rajendra Gupta"/>
    <s v="No"/>
    <s v="devendra.lakshkar@amns.in"/>
    <s v=""/>
    <s v="1054657"/>
    <s v="Manjit Shah"/>
    <s v="Anil Matoo"/>
    <s v="-"/>
    <s v="Manjit Shah"/>
    <s v="-"/>
  </r>
  <r>
    <n v="7056"/>
    <n v="20059399"/>
    <s v="Nityanand Sharma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1-06-01T00:00:00"/>
    <s v="42.03"/>
    <d v="2014-04-01T00:00:00"/>
    <d v="2039-05-31T00:00:00"/>
    <m/>
    <d v="2039-05-31T00:00:00"/>
    <n v="5732"/>
    <s v=""/>
    <s v=""/>
    <s v=""/>
    <s v="09.05"/>
    <s v="09.05"/>
    <s v="00052038"/>
    <s v="Gandhidham Operations"/>
    <s v="309936"/>
    <s v="New Acquisiiton"/>
    <s v="AMNS Gandhidham"/>
    <s v=""/>
    <s v=""/>
    <s v="2316BHIM"/>
    <s v="20059392"/>
    <s v="Rajendra Gupta"/>
    <s v="No"/>
    <s v="nityanand.sharma@amns.in"/>
    <s v=""/>
    <s v="1054660"/>
    <s v="Manjit Shah"/>
    <s v="Anil Matoo"/>
    <s v="-"/>
    <s v="Manjit Shah"/>
    <s v="-"/>
  </r>
  <r>
    <n v="7057"/>
    <n v="20059400"/>
    <s v="Somsinh Puvar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79-08-09T00:00:00"/>
    <s v="44.01"/>
    <d v="2008-09-29T00:00:00"/>
    <d v="2037-08-31T00:00:00"/>
    <m/>
    <d v="2037-08-31T00:00:00"/>
    <n v="5094"/>
    <s v=""/>
    <s v=""/>
    <s v=""/>
    <s v="14.11"/>
    <s v="14.11"/>
    <s v="00052038"/>
    <s v="Gandhidham Operations"/>
    <s v="310060"/>
    <s v="New Acquisiiton"/>
    <s v="AMNS Gandhidham"/>
    <s v=""/>
    <s v=""/>
    <s v="2316BHIM"/>
    <s v="20059392"/>
    <s v="Rajendra Gupta"/>
    <s v="No"/>
    <s v="somsinh.puvar@amns.in"/>
    <s v=""/>
    <s v="1054661"/>
    <s v="Manjit Shah"/>
    <s v="Anil Matoo"/>
    <s v="-"/>
    <s v="Manjit Shah"/>
    <s v="-"/>
  </r>
  <r>
    <n v="7058"/>
    <n v="20059401"/>
    <s v="Prajapati Jayantibhai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8-02-05T00:00:00"/>
    <s v="35.07"/>
    <d v="2023-03-01T00:00:00"/>
    <d v="2046-02-28T00:00:00"/>
    <m/>
    <d v="2046-02-28T00:00:00"/>
    <n v="8197"/>
    <s v=""/>
    <s v=""/>
    <s v=""/>
    <s v="00.06"/>
    <s v="00.06"/>
    <s v="00052038"/>
    <s v="Gandhidham Operations"/>
    <s v="310079"/>
    <s v="New Acquisiiton"/>
    <s v="AMNS Gandhidham"/>
    <s v=""/>
    <s v=""/>
    <s v="2316BHIM"/>
    <s v="20059392"/>
    <s v="Rajendra Gupta"/>
    <s v="No"/>
    <s v="prajapati.jayantibhai@amns.in"/>
    <s v=""/>
    <s v="1054710"/>
    <s v="Manjit Shah"/>
    <s v="Anil Matoo"/>
    <s v="-"/>
    <s v="Manjit Shah"/>
    <s v="-"/>
  </r>
  <r>
    <n v="7059"/>
    <n v="20059402"/>
    <s v="Sajjan Sharma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5-06-16T00:00:00"/>
    <s v="38.03"/>
    <d v="2018-05-01T00:00:00"/>
    <d v="2043-06-30T00:00:00"/>
    <m/>
    <d v="2043-06-30T00:00:00"/>
    <n v="7223"/>
    <s v=""/>
    <s v=""/>
    <s v=""/>
    <s v="05.04"/>
    <s v="05.04"/>
    <s v="00052038"/>
    <s v="Gandhidham Operations"/>
    <s v="310115"/>
    <s v="New Acquisiiton"/>
    <s v="AMNS Gandhidham"/>
    <s v=""/>
    <s v=""/>
    <s v="2316BHIM"/>
    <s v="20059392"/>
    <s v="Rajendra Gupta"/>
    <s v="No"/>
    <s v="sajjan.sharma@amns.in"/>
    <s v=""/>
    <s v="1054662"/>
    <s v="Manjit Shah"/>
    <s v="Anil Matoo"/>
    <s v="-"/>
    <s v="Manjit Shah"/>
    <s v="-"/>
  </r>
  <r>
    <n v="7064"/>
    <n v="20059407"/>
    <s v="Abhay Vishwakarm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7-01-18T00:00:00"/>
    <s v="56.08"/>
    <d v="2020-04-08T00:00:00"/>
    <d v="2025-01-31T00:00:00"/>
    <m/>
    <d v="2025-01-31T00:00:00"/>
    <n v="499"/>
    <s v=""/>
    <s v=""/>
    <s v=""/>
    <s v="03.05"/>
    <s v="03.05"/>
    <s v="00052038"/>
    <s v="Gandhidham Operations"/>
    <s v="309823"/>
    <s v="New Acquisiiton"/>
    <s v="AMNS Gandhidham"/>
    <s v=""/>
    <s v=""/>
    <s v="2306INDO"/>
    <s v="20059392"/>
    <s v="Rajendra Gupta"/>
    <s v="No"/>
    <s v="abhay.vishwakarma@amns.in"/>
    <s v=""/>
    <s v="1054663"/>
    <s v="Manjit Shah"/>
    <s v="Anil Matoo"/>
    <s v="-"/>
    <s v="Manjit Shah"/>
    <s v="-"/>
  </r>
  <r>
    <n v="7065"/>
    <n v="20059408"/>
    <s v="C. Ramesh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anglore"/>
    <d v="1966-01-27T00:00:00"/>
    <s v="57.07"/>
    <d v="2015-08-06T00:00:00"/>
    <d v="2024-01-31T00:00:00"/>
    <m/>
    <d v="2024-01-31T00:00:00"/>
    <n v="133"/>
    <s v=""/>
    <s v=""/>
    <s v=""/>
    <s v="08.01"/>
    <s v="08.01"/>
    <s v="00052038"/>
    <s v="Gandhidham Operations"/>
    <s v="309827"/>
    <s v="New Acquisiiton"/>
    <s v="AMNS Gandhidham"/>
    <s v=""/>
    <s v=""/>
    <s v="2306BANG"/>
    <s v="20059392"/>
    <s v="Rajendra Gupta"/>
    <s v="No"/>
    <s v="c.ramesh1@amns.in"/>
    <s v=""/>
    <s v="1054665"/>
    <s v="Manjit Shah"/>
    <s v="Anil Matoo"/>
    <s v="-"/>
    <s v="Manjit Shah"/>
    <s v="-"/>
  </r>
  <r>
    <n v="7066"/>
    <n v="20059409"/>
    <s v="Toliram Rahangdale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7-05-12T00:00:00"/>
    <s v="56.04"/>
    <d v="2019-11-15T00:00:00"/>
    <d v="2025-05-31T00:00:00"/>
    <m/>
    <d v="2025-05-31T00:00:00"/>
    <n v="619"/>
    <s v=""/>
    <s v=""/>
    <s v=""/>
    <s v="03.10"/>
    <s v="03.10"/>
    <s v="00052038"/>
    <s v="Gandhidham Operations"/>
    <s v="309829"/>
    <s v="New Acquisiiton"/>
    <s v="AMNS Gandhidham"/>
    <s v=""/>
    <s v=""/>
    <s v="2306INDO"/>
    <s v="20059392"/>
    <s v="Rajendra Gupta"/>
    <s v="No"/>
    <s v="toliram.rahangdale@amns.in"/>
    <s v=""/>
    <s v="1054666"/>
    <s v="Manjit Shah"/>
    <s v="Anil Matoo"/>
    <s v="-"/>
    <s v="Manjit Shah"/>
    <s v="-"/>
  </r>
  <r>
    <n v="7067"/>
    <n v="20059410"/>
    <s v="Umesh Vashisth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Delhi"/>
    <d v="1973-07-07T00:00:00"/>
    <s v="50.02"/>
    <d v="2013-10-06T00:00:00"/>
    <d v="2031-07-31T00:00:00"/>
    <m/>
    <d v="2031-07-31T00:00:00"/>
    <n v="2871"/>
    <s v=""/>
    <s v=""/>
    <s v=""/>
    <s v="09.11"/>
    <s v="09.11"/>
    <s v="00052038"/>
    <s v="Gandhidham Operations"/>
    <s v="309830"/>
    <s v="New Acquisiiton"/>
    <s v="AMNS Gandhidham"/>
    <s v=""/>
    <s v=""/>
    <s v="2306DELH"/>
    <s v="20059392"/>
    <s v="Rajendra Gupta"/>
    <s v="No"/>
    <s v="umesh.vashistha@amns.in"/>
    <s v=""/>
    <s v="1054669"/>
    <s v="Manjit Shah"/>
    <s v="Anil Matoo"/>
    <s v="-"/>
    <s v="Manjit Shah"/>
    <s v="-"/>
  </r>
  <r>
    <n v="7068"/>
    <n v="20059411"/>
    <s v="Shiv Tawar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8-10-01T00:00:00"/>
    <s v="54.11"/>
    <d v="2010-07-01T00:00:00"/>
    <d v="2026-09-30T00:00:00"/>
    <m/>
    <d v="2026-09-30T00:00:00"/>
    <n v="1106"/>
    <s v=""/>
    <s v=""/>
    <s v=""/>
    <s v="13.02"/>
    <s v="13.02"/>
    <s v="00052038"/>
    <s v="Gandhidham Operations"/>
    <s v="309852"/>
    <s v="New Acquisiiton"/>
    <s v="AMNS Gandhidham"/>
    <s v=""/>
    <s v=""/>
    <s v="2306INDO"/>
    <s v="20059392"/>
    <s v="Rajendra Gupta"/>
    <s v="No"/>
    <s v="shiv.tawar1@amns.in"/>
    <s v=""/>
    <s v="1054671"/>
    <s v="Manjit Shah"/>
    <s v="Anil Matoo"/>
    <s v="-"/>
    <s v="Manjit Shah"/>
    <s v="-"/>
  </r>
  <r>
    <n v="7069"/>
    <n v="20059412"/>
    <s v="Chandra Ojh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Patna"/>
    <d v="1969-05-01T00:00:00"/>
    <s v="54.04"/>
    <d v="2019-05-08T00:00:00"/>
    <d v="2027-04-30T00:00:00"/>
    <m/>
    <d v="2027-04-30T00:00:00"/>
    <n v="1318"/>
    <s v=""/>
    <s v=""/>
    <s v=""/>
    <s v="04.04"/>
    <s v="04.04"/>
    <s v="00052038"/>
    <s v="Gandhidham Operations"/>
    <s v="309864"/>
    <s v="New Acquisiiton"/>
    <s v="AMNS Gandhidham"/>
    <s v=""/>
    <s v=""/>
    <s v="2306PATN"/>
    <s v="20059392"/>
    <s v="Rajendra Gupta"/>
    <s v="No"/>
    <s v="chandra.ojha1@amns.in"/>
    <s v=""/>
    <s v="1054674"/>
    <s v="Manjit Shah"/>
    <s v="Anil Matoo"/>
    <s v="-"/>
    <s v="Manjit Shah"/>
    <s v="-"/>
  </r>
  <r>
    <n v="7070"/>
    <n v="20059413"/>
    <s v="Ramesh Babu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76-03-17T00:00:00"/>
    <s v="47.06"/>
    <d v="2015-11-09T00:00:00"/>
    <d v="2034-03-31T00:00:00"/>
    <m/>
    <d v="2034-03-31T00:00:00"/>
    <n v="3845"/>
    <s v=""/>
    <s v=""/>
    <s v=""/>
    <s v="07.10"/>
    <s v="07.10"/>
    <s v="00052038"/>
    <s v="Gandhidham Operations"/>
    <s v="309868"/>
    <s v="New Acquisiiton"/>
    <s v="AMNS Gandhidham"/>
    <s v=""/>
    <s v=""/>
    <s v="2306BHIM"/>
    <s v="20059392"/>
    <s v="Rajendra Gupta"/>
    <s v="No"/>
    <s v="ramesh.babu2@amns.in"/>
    <s v=""/>
    <s v="1054684"/>
    <s v="Manjit Shah"/>
    <s v="Anil Matoo"/>
    <s v="-"/>
    <s v="Manjit Shah"/>
    <s v="-"/>
  </r>
  <r>
    <n v="7071"/>
    <n v="20059414"/>
    <s v="Chandra Kandari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Delhi"/>
    <d v="1978-05-07T00:00:00"/>
    <s v="45.04"/>
    <d v="2007-06-08T00:00:00"/>
    <d v="2036-05-31T00:00:00"/>
    <m/>
    <d v="2036-05-31T00:00:00"/>
    <n v="4637"/>
    <s v=""/>
    <s v=""/>
    <s v=""/>
    <s v="16.03"/>
    <s v="16.03"/>
    <s v="00052038"/>
    <s v="Gandhidham Operations"/>
    <s v="309885"/>
    <s v="New Acquisiiton"/>
    <s v="AMNS Gandhidham"/>
    <s v=""/>
    <s v=""/>
    <s v="2306DELH"/>
    <s v="20059392"/>
    <s v="Rajendra Gupta"/>
    <s v="No"/>
    <s v="chandra.kandari@amns.in"/>
    <s v=""/>
    <s v="1054686"/>
    <s v="Manjit Shah"/>
    <s v="Anil Matoo"/>
    <s v="-"/>
    <s v="Manjit Shah"/>
    <s v="-"/>
  </r>
  <r>
    <n v="7072"/>
    <n v="20059415"/>
    <s v="Deepak Patidar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Ahmedabad"/>
    <d v="1988-07-30T00:00:00"/>
    <s v="35.01"/>
    <d v="2020-01-23T00:00:00"/>
    <d v="2046-07-31T00:00:00"/>
    <m/>
    <d v="2046-07-31T00:00:00"/>
    <n v="8350"/>
    <s v=""/>
    <s v=""/>
    <s v=""/>
    <s v="03.07"/>
    <s v="03.07"/>
    <s v="00052038"/>
    <s v="Gandhidham Operations"/>
    <s v="309886"/>
    <s v="New Acquisiiton"/>
    <s v="AMNS Gandhidham"/>
    <s v=""/>
    <s v=""/>
    <s v="2306AHME"/>
    <s v="20037071"/>
    <s v="Amit Chandaliya"/>
    <s v="No"/>
    <s v="deepak.patidar@amns.in"/>
    <s v=""/>
    <s v="1054688"/>
    <s v="Manjit Shah"/>
    <s v="Anil Matoo"/>
    <s v="-"/>
    <s v="Manjit Shah"/>
    <s v="-"/>
  </r>
  <r>
    <n v="7073"/>
    <n v="20059416"/>
    <s v="Digvijay Khunte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Pune"/>
    <d v="1983-07-16T00:00:00"/>
    <s v="40.02"/>
    <d v="2012-02-07T00:00:00"/>
    <d v="2041-07-31T00:00:00"/>
    <m/>
    <d v="2041-07-31T00:00:00"/>
    <n v="6524"/>
    <s v=""/>
    <s v=""/>
    <s v=""/>
    <s v="11.07"/>
    <s v="11.07"/>
    <s v="00052038"/>
    <s v="Gandhidham Operations"/>
    <s v="309887"/>
    <s v="New Acquisiiton"/>
    <s v="AMNS Gandhidham"/>
    <s v=""/>
    <s v=""/>
    <s v="2306PUNE"/>
    <s v="20059392"/>
    <s v="Rajendra Gupta"/>
    <s v="No"/>
    <s v="digvijay.khunte@amns.in"/>
    <s v=""/>
    <s v="1054689"/>
    <s v="Manjit Shah"/>
    <s v="Anil Matoo"/>
    <s v="-"/>
    <s v="Manjit Shah"/>
    <s v="-"/>
  </r>
  <r>
    <n v="7074"/>
    <n v="20059417"/>
    <s v="Hari Singh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75-09-23T00:00:00"/>
    <s v="47.11"/>
    <d v="2018-01-04T00:00:00"/>
    <d v="2033-09-30T00:00:00"/>
    <m/>
    <d v="2033-09-30T00:00:00"/>
    <n v="3663"/>
    <s v=""/>
    <s v=""/>
    <s v=""/>
    <s v="05.08"/>
    <s v="05.08"/>
    <s v="00052038"/>
    <s v="Gandhidham Operations"/>
    <s v="309911"/>
    <s v="New Acquisiiton"/>
    <s v="AMNS Gandhidham"/>
    <s v=""/>
    <s v=""/>
    <s v="2306INDO"/>
    <s v="20059392"/>
    <s v="Rajendra Gupta"/>
    <s v="No"/>
    <s v="hari.singh7@amns.in"/>
    <s v=""/>
    <s v="1054693"/>
    <s v="Manjit Shah"/>
    <s v="Anil Matoo"/>
    <s v="-"/>
    <s v="Manjit Shah"/>
    <s v="-"/>
  </r>
  <r>
    <n v="7075"/>
    <n v="20059418"/>
    <s v="Pardeep Kumar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8-07-10T00:00:00"/>
    <s v="35.02"/>
    <d v="2014-04-01T00:00:00"/>
    <d v="2046-07-31T00:00:00"/>
    <m/>
    <d v="2046-07-31T00:00:00"/>
    <n v="8350"/>
    <s v=""/>
    <s v=""/>
    <s v=""/>
    <s v="09.05"/>
    <s v="09.05"/>
    <s v="00052038"/>
    <s v="Gandhidham Operations"/>
    <s v="309938"/>
    <s v="New Acquisiiton"/>
    <s v="AMNS Gandhidham"/>
    <s v=""/>
    <s v=""/>
    <s v="2306BHIM"/>
    <s v="20059392"/>
    <s v="Rajendra Gupta"/>
    <s v="No"/>
    <s v="pardeep.kumar36@amns.in"/>
    <s v=""/>
    <s v="1054696"/>
    <s v="Manjit Shah"/>
    <s v="Anil Matoo"/>
    <s v="-"/>
    <s v="Manjit Shah"/>
    <s v="-"/>
  </r>
  <r>
    <n v="7076"/>
    <n v="20059419"/>
    <s v="Joseph Antony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9-05-20T00:00:00"/>
    <s v="54.04"/>
    <d v="2019-01-04T00:00:00"/>
    <d v="2027-05-31T00:00:00"/>
    <m/>
    <d v="2027-05-31T00:00:00"/>
    <n v="1349"/>
    <s v=""/>
    <s v=""/>
    <s v=""/>
    <s v="04.08"/>
    <s v="04.08"/>
    <s v="00052038"/>
    <s v="Gandhidham Operations"/>
    <s v="309962"/>
    <s v="New Acquisiiton"/>
    <s v="AMNS Gandhidham"/>
    <s v=""/>
    <s v=""/>
    <s v="2306INDO"/>
    <s v="20059392"/>
    <s v="Rajendra Gupta"/>
    <s v="No"/>
    <s v="joseph.antony1@amns.in"/>
    <s v=""/>
    <s v="1054697"/>
    <s v="Manjit Shah"/>
    <s v="Anil Matoo"/>
    <s v="-"/>
    <s v="Manjit Shah"/>
    <s v="-"/>
  </r>
  <r>
    <n v="7077"/>
    <n v="20059420"/>
    <s v="Mahesh Saini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Jammu"/>
    <d v="1984-01-02T00:00:00"/>
    <s v="39.08"/>
    <d v="2006-07-07T00:00:00"/>
    <d v="2042-01-31T00:00:00"/>
    <m/>
    <d v="2042-01-31T00:00:00"/>
    <n v="6708"/>
    <s v=""/>
    <s v=""/>
    <s v=""/>
    <s v="17.02"/>
    <s v="17.02"/>
    <s v="00052038"/>
    <s v="Gandhidham Operations"/>
    <s v="309963"/>
    <s v="New Acquisiiton"/>
    <s v="AMNS Gandhidham"/>
    <s v=""/>
    <s v=""/>
    <s v="2306JAMM"/>
    <s v="20059392"/>
    <s v="Rajendra Gupta"/>
    <s v="No"/>
    <s v="mahesh.saini1@amns.in"/>
    <s v=""/>
    <s v="1054699"/>
    <s v="Manjit Shah"/>
    <s v="Anil Matoo"/>
    <s v="-"/>
    <s v="Manjit Shah"/>
    <s v="-"/>
  </r>
  <r>
    <n v="7078"/>
    <n v="20059421"/>
    <s v="Sanjay Sharm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Jaipur"/>
    <d v="1977-11-22T00:00:00"/>
    <s v="45.09"/>
    <d v="2006-06-12T00:00:00"/>
    <d v="2035-11-30T00:00:00"/>
    <m/>
    <d v="2035-11-30T00:00:00"/>
    <n v="4454"/>
    <s v=""/>
    <s v=""/>
    <s v=""/>
    <s v="17.03"/>
    <s v="17.03"/>
    <s v="00052038"/>
    <s v="Gandhidham Operations"/>
    <s v="309965"/>
    <s v="New Acquisiiton"/>
    <s v="AMNS Gandhidham"/>
    <s v=""/>
    <s v=""/>
    <s v="2306JAIP"/>
    <s v="20059392"/>
    <s v="Rajendra Gupta"/>
    <s v="No"/>
    <s v="sanjay.sharma26@amns.in"/>
    <s v=""/>
    <s v="1054701"/>
    <s v="Manjit Shah"/>
    <s v="Anil Matoo"/>
    <s v="-"/>
    <s v="Manjit Shah"/>
    <s v="-"/>
  </r>
  <r>
    <n v="7079"/>
    <n v="20059422"/>
    <s v="Deepak Sharm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1-03-25T00:00:00"/>
    <s v="42.05"/>
    <d v="2005-12-27T00:00:00"/>
    <d v="2039-03-31T00:00:00"/>
    <m/>
    <d v="2039-03-31T00:00:00"/>
    <n v="5671"/>
    <s v=""/>
    <s v=""/>
    <s v=""/>
    <s v="17.08"/>
    <s v="17.08"/>
    <s v="00052038"/>
    <s v="Gandhidham Operations"/>
    <s v="310072"/>
    <s v="New Acquisiiton"/>
    <s v="AMNS Gandhidham"/>
    <s v=""/>
    <s v=""/>
    <s v="2306BHIM"/>
    <s v="20059392"/>
    <s v="Rajendra Gupta"/>
    <s v="No"/>
    <s v="deepak.sharma@amns.in"/>
    <s v=""/>
    <s v="1054702"/>
    <s v="Manjit Shah"/>
    <s v="Anil Matoo"/>
    <s v="-"/>
    <s v="Manjit Shah"/>
    <s v="-"/>
  </r>
  <r>
    <n v="7080"/>
    <n v="20059423"/>
    <s v="Nitin Soniy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8-06-17T00:00:00"/>
    <s v="35.03"/>
    <d v="2016-09-21T00:00:00"/>
    <d v="2046-06-30T00:00:00"/>
    <m/>
    <d v="2046-06-30T00:00:00"/>
    <n v="8319"/>
    <s v=""/>
    <s v=""/>
    <s v=""/>
    <s v="07.00"/>
    <s v="07.00"/>
    <s v="00052038"/>
    <s v="Gandhidham Operations"/>
    <s v="310078"/>
    <s v="New Acquisiiton"/>
    <s v="AMNS Gandhidham"/>
    <s v=""/>
    <s v=""/>
    <s v="2306BHIM"/>
    <s v="20059392"/>
    <s v="Rajendra Gupta"/>
    <s v="No"/>
    <s v="nitinsingh.soniya@amns.in"/>
    <s v=""/>
    <s v="1054740"/>
    <s v="Manjit Shah"/>
    <s v="Anil Matoo"/>
    <s v="-"/>
    <s v="Manjit Shah"/>
    <s v="-"/>
  </r>
  <r>
    <n v="7081"/>
    <n v="20059424"/>
    <s v="Abhishek Khandelwal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Delhi"/>
    <d v="1980-06-08T00:00:00"/>
    <s v="43.03"/>
    <d v="2015-09-17T00:00:00"/>
    <d v="2038-06-30T00:00:00"/>
    <m/>
    <d v="2038-06-30T00:00:00"/>
    <n v="5397"/>
    <s v=""/>
    <s v=""/>
    <s v=""/>
    <s v="08.00"/>
    <s v="08.00"/>
    <s v="00043882"/>
    <s v="International Sales"/>
    <s v="310088"/>
    <s v="New Acquisiiton"/>
    <s v="AMNS Gandhidham"/>
    <s v=""/>
    <s v=""/>
    <s v="2306DELH"/>
    <s v="20037071"/>
    <s v="Amit Chandaliya"/>
    <s v="No"/>
    <s v="abhishek.khandelwal1@amns.in"/>
    <s v=""/>
    <s v="1054706"/>
    <s v="Manjit Shah"/>
    <s v="Anil Matoo"/>
    <s v="-"/>
    <s v="Manjit Shah"/>
    <s v="-"/>
  </r>
  <r>
    <n v="7082"/>
    <n v="20059425"/>
    <s v="Girish Ary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2-04-15T00:00:00"/>
    <s v="41.05"/>
    <d v="2010-11-01T00:00:00"/>
    <d v="2040-04-30T00:00:00"/>
    <m/>
    <d v="2040-04-30T00:00:00"/>
    <n v="6067"/>
    <s v=""/>
    <s v=""/>
    <s v=""/>
    <s v="12.10"/>
    <s v="12.10"/>
    <s v="00052038"/>
    <s v="Gandhidham Operations"/>
    <s v="310092"/>
    <s v="New Acquisiiton"/>
    <s v="AMNS Gandhidham"/>
    <s v=""/>
    <s v=""/>
    <s v="2306BHIM"/>
    <s v="20059392"/>
    <s v="Rajendra Gupta"/>
    <s v="No"/>
    <s v="girish.arya1@amns.in"/>
    <s v=""/>
    <s v="1054709"/>
    <s v="Manjit Shah"/>
    <s v="Anil Matoo"/>
    <s v="-"/>
    <s v="Manjit Shah"/>
    <s v="-"/>
  </r>
  <r>
    <n v="7083"/>
    <n v="20059426"/>
    <s v="Satyendra Singh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5-07-10T00:00:00"/>
    <s v="38.02"/>
    <d v="2010-02-22T00:00:00"/>
    <d v="2043-07-31T00:00:00"/>
    <m/>
    <d v="2043-07-31T00:00:00"/>
    <n v="7254"/>
    <s v=""/>
    <s v=""/>
    <s v=""/>
    <s v="13.06"/>
    <s v="13.06"/>
    <s v="00052038"/>
    <s v="Gandhidham Operations"/>
    <s v="310106"/>
    <s v="New Acquisiiton"/>
    <s v="AMNS Gandhidham"/>
    <s v=""/>
    <s v=""/>
    <s v="2306BHIM"/>
    <s v="20059392"/>
    <s v="Rajendra Gupta"/>
    <s v="No"/>
    <s v="satyendra.singh41@amns.in"/>
    <s v=""/>
    <s v="1054711"/>
    <s v="Manjit Shah"/>
    <s v="Anil Matoo"/>
    <s v="-"/>
    <s v="Manjit Shah"/>
    <s v="-"/>
  </r>
  <r>
    <n v="7085"/>
    <n v="20059428"/>
    <s v="Hasmukh R.Gadhavi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5-10-22T00:00:00"/>
    <s v="47.10"/>
    <d v="2005-06-01T00:00:00"/>
    <d v="2033-10-31T00:00:00"/>
    <m/>
    <d v="2033-10-31T00:00:00"/>
    <n v="3694"/>
    <s v=""/>
    <s v=""/>
    <s v=""/>
    <s v="18.03"/>
    <s v="18.03"/>
    <s v="00052332"/>
    <s v="Mechanical Maintenance"/>
    <s v="309893"/>
    <s v="New Acquisiiton"/>
    <s v="AMNS Gandhidham"/>
    <s v=""/>
    <s v=""/>
    <s v="2318BHIM"/>
    <s v="20059381"/>
    <s v="Govind Dhanuka"/>
    <s v="No"/>
    <s v="hasmukh.rgadhavi@amns.in"/>
    <s v=""/>
    <s v="1054720"/>
    <s v="Manjit Shah"/>
    <s v="Anil Matoo"/>
    <s v="-"/>
    <s v="Manjit Shah"/>
    <s v="-"/>
  </r>
  <r>
    <n v="7086"/>
    <n v="20059429"/>
    <s v="Jagdish Yadav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69-07-03T00:00:00"/>
    <s v="54.02"/>
    <d v="2021-08-01T00:00:00"/>
    <d v="2027-07-31T00:00:00"/>
    <m/>
    <d v="2027-07-31T00:00:00"/>
    <n v="1410"/>
    <s v=""/>
    <s v=""/>
    <s v=""/>
    <s v="02.01"/>
    <s v="02.01"/>
    <s v="00052332"/>
    <s v="Mechanical Maintenance"/>
    <s v="309894"/>
    <s v="New Acquisiiton"/>
    <s v="AMNS Gandhidham"/>
    <s v=""/>
    <s v=""/>
    <s v="2318BHIM"/>
    <s v="20059381"/>
    <s v="Govind Dhanuka"/>
    <s v="No"/>
    <s v="jagdish.yadav3@amns.in"/>
    <s v=""/>
    <s v="1054722"/>
    <s v="Manjit Shah"/>
    <s v="Anil Matoo"/>
    <s v="-"/>
    <s v="Manjit Shah"/>
    <s v="-"/>
  </r>
  <r>
    <n v="7087"/>
    <n v="20059430"/>
    <s v="Jayeshbhai Dave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0-11-06T00:00:00"/>
    <s v="52.10"/>
    <d v="2019-08-08T00:00:00"/>
    <d v="2028-11-30T00:00:00"/>
    <m/>
    <d v="2028-11-30T00:00:00"/>
    <n v="1898"/>
    <s v=""/>
    <s v=""/>
    <s v=""/>
    <s v="04.01"/>
    <s v="04.01"/>
    <s v="00052038"/>
    <s v="Gandhidham Operations"/>
    <s v="309895"/>
    <s v="New Acquisiiton"/>
    <s v="AMNS Gandhidham"/>
    <s v=""/>
    <s v=""/>
    <s v="2318BHIM"/>
    <s v="20059392"/>
    <s v="Rajendra Gupta"/>
    <s v="No"/>
    <s v="jagdish.yadav3@amns.in"/>
    <s v=""/>
    <s v="1054742"/>
    <s v="Manjit Shah"/>
    <s v="Anil Matoo"/>
    <s v="-"/>
    <s v="Manjit Shah"/>
    <s v="-"/>
  </r>
  <r>
    <n v="7088"/>
    <n v="20059431"/>
    <s v="Nand Kumhar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3-01-01T00:00:00"/>
    <s v="50.08"/>
    <d v="2018-09-01T00:00:00"/>
    <d v="2030-12-31T00:00:00"/>
    <m/>
    <d v="2030-12-31T00:00:00"/>
    <n v="2659"/>
    <s v=""/>
    <s v=""/>
    <s v=""/>
    <s v="05.00"/>
    <s v="05.00"/>
    <s v="00052038"/>
    <s v="Gandhidham Operations"/>
    <s v="310076"/>
    <s v="New Acquisiiton"/>
    <s v="AMNS Gandhidham"/>
    <s v=""/>
    <s v=""/>
    <s v="2318BHIM"/>
    <s v="20059392"/>
    <s v="Rajendra Gupta"/>
    <s v="No"/>
    <s v="nand.kumhar@amns.in"/>
    <s v=""/>
    <s v="1054724"/>
    <s v="Manjit Shah"/>
    <s v="Anil Matoo"/>
    <s v="-"/>
    <s v="Manjit Shah"/>
    <s v="-"/>
  </r>
  <r>
    <n v="7089"/>
    <n v="20059432"/>
    <s v="Satish Warhokar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81-05-17T00:00:00"/>
    <s v="42.04"/>
    <d v="2017-12-25T00:00:00"/>
    <d v="2039-05-31T00:00:00"/>
    <m/>
    <d v="2039-05-31T00:00:00"/>
    <n v="5732"/>
    <s v=""/>
    <s v=""/>
    <s v=""/>
    <s v="05.08"/>
    <s v="05.08"/>
    <s v="00052038"/>
    <s v="Gandhidham Operations"/>
    <s v="310084"/>
    <s v="New Acquisiiton"/>
    <s v="AMNS Gandhidham"/>
    <s v=""/>
    <s v=""/>
    <s v="2318BHIM"/>
    <s v="20059392"/>
    <s v="Rajendra Gupta"/>
    <s v="No"/>
    <s v="satish.warhokar@amns.in"/>
    <s v=""/>
    <s v="1054743"/>
    <s v="Manjit Shah"/>
    <s v="Anil Matoo"/>
    <s v="-"/>
    <s v="Manjit Shah"/>
    <s v="-"/>
  </r>
  <r>
    <n v="7090"/>
    <n v="20059433"/>
    <s v="Santosh Sahoo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83-07-05T00:00:00"/>
    <s v="40.02"/>
    <d v="2021-04-01T00:00:00"/>
    <d v="2041-07-31T00:00:00"/>
    <m/>
    <d v="2041-07-31T00:00:00"/>
    <n v="6524"/>
    <s v=""/>
    <s v=""/>
    <s v=""/>
    <s v="02.05"/>
    <s v="02.05"/>
    <s v="00052038"/>
    <s v="Gandhidham Operations"/>
    <s v="310104"/>
    <s v="New Acquisiiton"/>
    <s v="AMNS Gandhidham"/>
    <s v=""/>
    <s v=""/>
    <s v="2318BHIM"/>
    <s v="20059392"/>
    <s v="Rajendra Gupta"/>
    <s v="No"/>
    <s v="santosh.sahoo31@amns.in"/>
    <s v=""/>
    <s v="1054731"/>
    <s v="Manjit Shah"/>
    <s v="Anil Matoo"/>
    <s v="-"/>
    <s v="Manjit Shah"/>
    <s v="-"/>
  </r>
  <r>
    <n v="7091"/>
    <n v="20059434"/>
    <s v="Arun Singh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5-12-20T00:00:00"/>
    <s v="47.09"/>
    <d v="2020-01-01T00:00:00"/>
    <d v="2033-12-31T00:00:00"/>
    <m/>
    <d v="2033-12-31T00:00:00"/>
    <n v="3755"/>
    <s v=""/>
    <s v=""/>
    <s v=""/>
    <s v="03.08"/>
    <s v="03.08"/>
    <s v="00052038"/>
    <s v="Gandhidham Operations"/>
    <s v="310110"/>
    <s v="New Acquisiiton"/>
    <s v="AMNS Gandhidham"/>
    <s v=""/>
    <s v=""/>
    <s v="2318BHIM"/>
    <s v="20059392"/>
    <s v="Rajendra Gupta"/>
    <s v="No"/>
    <s v="arun.singh55@amns.in"/>
    <s v="09627210043"/>
    <s v="1054744"/>
    <s v="Manjit Shah"/>
    <s v="Anil Matoo"/>
    <s v="-"/>
    <s v="Manjit Shah"/>
    <s v="-"/>
  </r>
  <r>
    <n v="7092"/>
    <n v="20059435"/>
    <s v="Vishnu Mishra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84-09-03T00:00:00"/>
    <s v="39.00"/>
    <d v="2010-07-03T00:00:00"/>
    <d v="2042-09-30T00:00:00"/>
    <m/>
    <d v="2042-09-30T00:00:00"/>
    <n v="6950"/>
    <s v=""/>
    <s v=""/>
    <s v=""/>
    <s v="13.02"/>
    <s v="13.02"/>
    <s v="00052038"/>
    <s v="Gandhidham Operations"/>
    <s v="310117"/>
    <s v="New Acquisiiton"/>
    <s v="AMNS Gandhidham"/>
    <s v=""/>
    <s v=""/>
    <s v="2318BHIM"/>
    <s v="20059392"/>
    <s v="Rajendra Gupta"/>
    <s v="No"/>
    <s v="vishnu.mishra3@amns.in"/>
    <s v=""/>
    <s v="1054745"/>
    <s v="Manjit Shah"/>
    <s v="Anil Matoo"/>
    <s v="-"/>
    <s v="Manjit Shah"/>
    <s v="-"/>
  </r>
  <r>
    <n v="7111"/>
    <n v="20059454"/>
    <s v="Saikat Dhar"/>
    <s v="AM/NS India"/>
    <s v="Onroll"/>
    <s v="M-5"/>
    <n v="5"/>
    <m/>
    <s v="MM"/>
    <s v="M"/>
    <s v="Odisha"/>
    <n v="2"/>
    <s v="2071"/>
    <x v="22"/>
    <s v="41.01"/>
    <s v="P Ashok Kumar"/>
    <s v="P Ashok Kumar"/>
    <n v="9"/>
    <s v="Legal"/>
    <s v="Legal"/>
    <s v="41"/>
    <s v="Legal Counsel, Odisha"/>
    <m/>
    <s v="Legal"/>
    <s v="Legal"/>
    <s v="Legal"/>
    <s v="Non Technical Support"/>
    <s v="Legal"/>
    <s v="Legal"/>
    <s v="73201001"/>
    <s v="Legal"/>
    <s v="Bhubaneswar"/>
    <d v="1976-08-03T00:00:00"/>
    <s v="47.01"/>
    <d v="2023-06-05T00:00:00"/>
    <d v="2034-08-31T00:00:00"/>
    <m/>
    <d v="2034-08-31T00:00:00"/>
    <n v="3998"/>
    <s v="B+"/>
    <s v="Diploma-2011 , LLB-1999"/>
    <s v="05.07"/>
    <s v="00.03"/>
    <s v="05.10"/>
    <s v="70494754"/>
    <s v="Legal"/>
    <s v="301041"/>
    <s v="Legal Counsel"/>
    <s v="Odisha"/>
    <s v="0090000019"/>
    <s v="Corporate Steel - Le"/>
    <s v="2000STORIS"/>
    <s v="20055235"/>
    <s v="P Ashok Kumar"/>
    <s v="No"/>
    <s v="saikat.dhar@amns.in"/>
    <s v="7077773398"/>
    <s v="1052604"/>
    <s v="Sunila Das"/>
    <s v="Anil Matoo"/>
    <s v="Praveen Kuruvalli"/>
    <s v="Sunila Das"/>
    <n v="0"/>
  </r>
  <r>
    <n v="7116"/>
    <n v="20059459"/>
    <s v="Ankush Gupta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Lead Sales &amp; Mark strategy-Long Products"/>
    <m/>
    <s v="Lead Sales and Marketing Strategy - Specialty"/>
    <s v=""/>
    <s v=""/>
    <s v="Non Technical Support"/>
    <s v=""/>
    <s v=""/>
    <s v=""/>
    <s v=""/>
    <s v="Mumbai"/>
    <d v="1981-06-21T00:00:00"/>
    <s v="42.03"/>
    <d v="2023-05-25T00:00:00"/>
    <d v="2039-06-30T00:00:00"/>
    <m/>
    <d v="2039-06-30T00:00:00"/>
    <n v="5762"/>
    <s v="A+"/>
    <s v="MBA-2009 , BTech-2004 , Intermediate-199"/>
    <s v="13.09"/>
    <s v="00.03"/>
    <s v="14.01"/>
    <s v="70494655"/>
    <s v="Sales Steering, Distribution and BD"/>
    <s v="311294"/>
    <s v="Lead Sales &amp; Mark strategy-Long Products"/>
    <s v="Corporate"/>
    <s v="0080000005"/>
    <s v="Global Markets Team"/>
    <s v="2000CRG"/>
    <s v="20055091"/>
    <s v="Akshaya Gujral"/>
    <s v="No"/>
    <s v="ankush.gupta@amns.in"/>
    <s v="9727751391"/>
    <s v="1053400"/>
    <s v="Dhruv Vyas"/>
    <s v="Anil Matoo"/>
    <s v="Praveen Kuruvalli"/>
    <s v="Dhruv Vyas"/>
    <n v="0"/>
  </r>
  <r>
    <n v="7117"/>
    <n v="20059460"/>
    <s v="Anshika Kayasth"/>
    <s v="AM/NS India"/>
    <s v="Onroll"/>
    <s v="T-2 (MT)"/>
    <n v="13"/>
    <m/>
    <s v="JM"/>
    <s v="F"/>
    <s v="Hazira"/>
    <n v="1"/>
    <s v="2015"/>
    <x v="1"/>
    <s v="22.06"/>
    <s v="Praveen Kuruvalli"/>
    <s v="Ashutosh Telang"/>
    <n v="6"/>
    <s v="HR &amp; Administration"/>
    <s v="Human Resources"/>
    <s v="22"/>
    <s v="Management Trainee- Human Resouces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Hazira"/>
    <d v="1999-03-22T00:00:00"/>
    <s v="24.06"/>
    <d v="2023-05-29T00:00:00"/>
    <d v="2057-03-31T00:00:00"/>
    <m/>
    <d v="2057-03-31T00:00:00"/>
    <n v="12246"/>
    <s v="B+"/>
    <s v="MBA-2023 , Intermediate-2016"/>
    <s v=""/>
    <s v="00.03"/>
    <s v="00.03"/>
    <s v="70242278"/>
    <s v="People Strategy &amp; HR Center Excellence"/>
    <s v="301580"/>
    <s v="Management Trainee- Human Resouces"/>
    <s v="Hazira"/>
    <s v="0031950061"/>
    <s v="HZ-Human Resource"/>
    <s v="2000HWO"/>
    <s v="20055483"/>
    <s v="Praveen Kuruvalli"/>
    <s v="No"/>
    <s v="anshika.kayasth@amns.in"/>
    <s v="7310709459"/>
    <s v="892334"/>
    <s v="Dhruv Vyas"/>
    <s v="Anil Matoo"/>
    <s v="Praveen Kuruvalli"/>
    <s v="Dhruv Vyas"/>
    <n v="0"/>
  </r>
  <r>
    <n v="7118"/>
    <n v="20059461"/>
    <s v="Mudit Jain"/>
    <s v="AM/NS India"/>
    <s v="Onroll"/>
    <s v="T-2 (MT)"/>
    <n v="13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Management Trainee - Finance"/>
    <m/>
    <s v="Finance &amp; Accounts"/>
    <s v="Performance Management"/>
    <s v="Performance Management"/>
    <s v="Non Technical Support"/>
    <s v=""/>
    <s v=""/>
    <s v="70494642"/>
    <s v="Deputy Director"/>
    <s v="Hazira"/>
    <d v="2000-11-20T00:00:00"/>
    <s v="22.09"/>
    <d v="2023-05-29T00:00:00"/>
    <d v="2058-11-30T00:00:00"/>
    <m/>
    <d v="2058-11-30T00:00:00"/>
    <n v="12855"/>
    <s v="AB+"/>
    <s v="MBA-2023 , Intermediate-2018 , MBA-2016"/>
    <s v=""/>
    <s v="00.03"/>
    <s v="00.03"/>
    <s v="00049304"/>
    <s v="PM - Internal Control"/>
    <s v="301582"/>
    <s v="Management Trainee - Finance"/>
    <s v="Hazira"/>
    <s v="0031950043"/>
    <s v="HZ-Performance Manag"/>
    <s v="2000HWO"/>
    <s v="20006833"/>
    <s v="Hardik Vasavada"/>
    <s v="No"/>
    <s v="mudit.jain@amns.in"/>
    <s v="9315802581"/>
    <s v="892322"/>
    <s v="Dhruv Vyas"/>
    <s v="Anil Matoo"/>
    <s v="Praveen Kuruvalli"/>
    <s v="Dhruv Vyas"/>
    <n v="0"/>
  </r>
  <r>
    <n v="7119"/>
    <n v="20059462"/>
    <s v="Nikhil Bhad"/>
    <s v="AM/NS India"/>
    <s v="Onroll"/>
    <s v="T-2 (MT)"/>
    <n v="13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Management Trainee - Procurement"/>
    <m/>
    <s v="Procurement"/>
    <s v="Procurement"/>
    <s v=""/>
    <s v="Non Technical Support"/>
    <s v=""/>
    <s v=""/>
    <s v=""/>
    <s v=""/>
    <s v="Hazira"/>
    <d v="1999-02-06T00:00:00"/>
    <s v="24.07"/>
    <d v="2023-05-29T00:00:00"/>
    <d v="2057-02-28T00:00:00"/>
    <m/>
    <d v="2057-02-28T00:00:00"/>
    <n v="12215"/>
    <s v="B+"/>
    <s v="MBA-2023 , BE-2021 , Intermediate-2017 ,"/>
    <s v=""/>
    <s v="00.03"/>
    <s v="00.03"/>
    <s v="70495712"/>
    <s v="Logistics"/>
    <s v="302237"/>
    <s v="Management Trainee - Procurement"/>
    <s v="Hazira"/>
    <s v="0031950048"/>
    <s v="HZ-Procurment Depart"/>
    <s v="2000HWO"/>
    <s v="20055688"/>
    <s v="Vibhavana Jaiswal"/>
    <s v="No"/>
    <s v="nikhil.bhad@amns.in"/>
    <s v="7757936535"/>
    <s v="892318"/>
    <s v="Dhruv Vyas"/>
    <s v="Anil Matoo"/>
    <s v="Praveen Kuruvalli"/>
    <s v="Dhruv Vyas"/>
    <n v="0"/>
  </r>
  <r>
    <n v="7120"/>
    <n v="20059463"/>
    <s v="Srijan Negi"/>
    <s v="AM/NS India"/>
    <s v="Onroll"/>
    <s v="T-2 (MT)"/>
    <n v="13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Management Trainee - Finance"/>
    <m/>
    <s v="Finance &amp; Accounts"/>
    <s v="Working Capital"/>
    <s v=""/>
    <s v="Non Technical Support"/>
    <s v=""/>
    <s v=""/>
    <s v=""/>
    <s v=""/>
    <s v="Mumbai"/>
    <d v="2000-09-19T00:00:00"/>
    <s v="23.00"/>
    <d v="2023-05-29T00:00:00"/>
    <d v="2058-09-30T00:00:00"/>
    <m/>
    <d v="2058-09-30T00:00:00"/>
    <n v="12794"/>
    <s v="AB-"/>
    <s v="MBA-2023 , BCom-2021 , Intermediate-2019"/>
    <s v=""/>
    <s v="00.03"/>
    <s v="00.03"/>
    <s v="70494931"/>
    <s v="Working Capital"/>
    <s v="302223"/>
    <s v="Management Trainee - Finance"/>
    <s v="Corporate"/>
    <s v="0090000028"/>
    <s v="Corporate Steel - Wo"/>
    <s v="2000CS"/>
    <s v="20055188"/>
    <s v="Rohit Sharma"/>
    <s v="No"/>
    <s v="srijan.negi@amns.in"/>
    <s v="7007797619"/>
    <s v="892328"/>
    <s v="Dhruv Vyas"/>
    <s v="Anil Matoo"/>
    <s v="Praveen Kuruvalli"/>
    <s v="Dhruv Vyas"/>
    <n v="0"/>
  </r>
  <r>
    <n v="7121"/>
    <n v="20059464"/>
    <s v="Saurabh Ingavale"/>
    <s v="AM/NS India"/>
    <s v="Onroll"/>
    <s v="T-2 (MT)"/>
    <n v="13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Management Trainee - Procurement"/>
    <m/>
    <s v="Capex Procurement"/>
    <s v=""/>
    <s v=""/>
    <s v="Non Technical Support"/>
    <s v=""/>
    <s v=""/>
    <s v=""/>
    <s v=""/>
    <s v="Hazira"/>
    <d v="1996-03-12T00:00:00"/>
    <s v="27.06"/>
    <d v="2023-05-29T00:00:00"/>
    <d v="2054-03-31T00:00:00"/>
    <m/>
    <d v="2054-03-31T00:00:00"/>
    <n v="11150"/>
    <s v="B+"/>
    <s v="MBA-2023 , BE-2017 , Intermediate-2013"/>
    <s v="02.03"/>
    <s v="00.03"/>
    <s v="02.06"/>
    <s v="70282830"/>
    <s v="Capex Procurement &amp; Secondary Sales"/>
    <s v="302236"/>
    <s v="Management Trainee - Procurement"/>
    <s v="Hazira"/>
    <s v="0031950059"/>
    <s v="HZ-Hazira Project"/>
    <s v="2000HWO"/>
    <s v="20052261"/>
    <s v="Aruni Mishra"/>
    <s v="No"/>
    <s v="saurabh.ingavale@amns.in"/>
    <s v="6358079760"/>
    <s v="892333"/>
    <s v="Dhruv Vyas"/>
    <s v="Anil Matoo"/>
    <s v="Praveen Kuruvalli"/>
    <s v="Dhruv Vyas"/>
    <n v="0"/>
  </r>
  <r>
    <n v="7122"/>
    <n v="20059465"/>
    <s v="Parvathy B"/>
    <s v="AM/NS India"/>
    <s v="Onroll"/>
    <s v="T-2 (MT)"/>
    <n v="13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Operations"/>
    <s v="Operations"/>
    <s v="72103001"/>
    <s v="Operations"/>
    <s v="Mumbai"/>
    <d v="1998-01-14T00:00:00"/>
    <s v="25.08"/>
    <d v="2023-05-29T00:00:00"/>
    <d v="2056-01-31T00:00:00"/>
    <m/>
    <d v="2056-01-31T00:00:00"/>
    <n v="11821"/>
    <s v="O+"/>
    <s v=""/>
    <s v=""/>
    <s v="00.03"/>
    <s v="00.03"/>
    <s v="70343195"/>
    <s v="Automotive Sales &amp; Service Centers"/>
    <s v="300900"/>
    <s v="Management Trainee - Sales &amp; Marketing"/>
    <s v="Corporate"/>
    <s v="0031950057"/>
    <s v="HZ-HRC - Marketing"/>
    <s v="2000CS"/>
    <s v="20016767"/>
    <s v="Raghavan Venkatachalam"/>
    <s v="No"/>
    <s v="parvarthy.b@amns.in"/>
    <s v="8289972238"/>
    <s v="1053567"/>
    <s v="Dhruv Vyas"/>
    <s v="Anil Matoo"/>
    <s v="Praveen Kuruvalli"/>
    <s v="Dhruv Vyas"/>
    <n v="0"/>
  </r>
  <r>
    <n v="7123"/>
    <n v="20059466"/>
    <s v="Sridharan S"/>
    <s v="AM/NS India"/>
    <s v="Onroll"/>
    <s v="T-2 (MT)"/>
    <n v="13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Sales &amp; Marketing"/>
    <s v="Sales &amp; Marketing"/>
    <s v="73101001"/>
    <s v="Sales &amp; Marketing"/>
    <s v="Chennai"/>
    <d v="2001-03-29T00:00:00"/>
    <s v="22.05"/>
    <d v="2023-05-29T00:00:00"/>
    <d v="2059-03-31T00:00:00"/>
    <m/>
    <d v="2059-03-31T00:00:00"/>
    <n v="12976"/>
    <s v="A+"/>
    <s v=""/>
    <s v=""/>
    <s v="00.03"/>
    <s v="00.03"/>
    <s v="72150150"/>
    <s v="Sales South Zone"/>
    <s v="301589"/>
    <s v="Management Trainee - Sales &amp; Marketing"/>
    <s v="Service Center"/>
    <s v="0031950057"/>
    <s v="HZ-HRC - Marketing"/>
    <s v="2000CS"/>
    <s v="20000909"/>
    <s v="Murali Krishna Chunduru"/>
    <s v="No"/>
    <s v="sridharan.s@amns.in"/>
    <s v="7092675620"/>
    <s v="1053580"/>
    <s v="Dhruv Vyas"/>
    <s v="Anil Matoo"/>
    <s v="Praveen Kuruvalli"/>
    <s v="Dhruv Vyas"/>
    <n v="0"/>
  </r>
  <r>
    <n v="7124"/>
    <n v="20059467"/>
    <s v="Akshay Kumar P D"/>
    <s v="AM/NS India"/>
    <s v="Onroll"/>
    <s v="T-2 (MT)"/>
    <n v="13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"/>
    <s v=""/>
    <s v=""/>
    <s v=""/>
    <s v="Mumbai"/>
    <d v="1996-05-24T00:00:00"/>
    <s v="27.03"/>
    <d v="2023-05-29T00:00:00"/>
    <d v="2054-05-31T00:00:00"/>
    <m/>
    <d v="2054-05-31T00:00:00"/>
    <n v="11211"/>
    <s v="B+"/>
    <s v=""/>
    <s v=""/>
    <s v="00.03"/>
    <s v="00.03"/>
    <s v="70494655"/>
    <s v="Sales Steering, Distribution and BD"/>
    <s v="302221"/>
    <s v="Management Trainee - Sales &amp; Marketing"/>
    <s v="Corporate"/>
    <s v="0080000005"/>
    <s v="Global Markets Team"/>
    <s v="2000CS"/>
    <s v="20055091"/>
    <s v="Akshaya Gujral"/>
    <s v="No"/>
    <s v="akshay.kumar1@amns.in"/>
    <s v="7710001719"/>
    <s v="1053610"/>
    <s v="Dhruv Vyas"/>
    <s v="Anil Matoo"/>
    <s v="Praveen Kuruvalli"/>
    <s v="Dhruv Vyas"/>
    <n v="0"/>
  </r>
  <r>
    <n v="7125"/>
    <n v="20059468"/>
    <s v="Abhay Hoshing"/>
    <s v="AM/NS India"/>
    <s v="Onroll"/>
    <s v="T-2 (MT)"/>
    <n v="13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Management Trainee - Finance"/>
    <m/>
    <s v="Finance &amp; Accounts"/>
    <s v="Working Capital"/>
    <s v=""/>
    <s v="Non Technical Support"/>
    <s v="Sales &amp; Marketing"/>
    <s v="Business Development"/>
    <s v="73103001"/>
    <s v="Business Development"/>
    <s v="Mumbai"/>
    <d v="1994-06-29T00:00:00"/>
    <s v="29.02"/>
    <d v="2023-05-29T00:00:00"/>
    <d v="2052-06-30T00:00:00"/>
    <m/>
    <d v="2052-06-30T00:00:00"/>
    <n v="10511"/>
    <s v="B+"/>
    <s v=""/>
    <s v=""/>
    <s v="00.03"/>
    <s v="00.03"/>
    <s v="70494931"/>
    <s v="Working Capital"/>
    <s v="301672"/>
    <s v="Management Trainee - Finance"/>
    <s v="Corporate"/>
    <s v="0090000028"/>
    <s v="Corporate Steel - Wo"/>
    <s v="2000HWO"/>
    <s v="20055188"/>
    <s v="Rohit Sharma"/>
    <s v="No"/>
    <s v="abhay.hoshing@amns.in"/>
    <s v="7708262619"/>
    <s v="1053612"/>
    <s v="Dhruv Vyas"/>
    <s v="Anil Matoo"/>
    <s v="Praveen Kuruvalli"/>
    <s v="Dhruv Vyas"/>
    <n v="0"/>
  </r>
  <r>
    <n v="7126"/>
    <n v="20059469"/>
    <s v="Jayant Dev Goel"/>
    <s v="AM/NS India"/>
    <s v="Onroll"/>
    <s v="T-2 (MT)"/>
    <n v="13"/>
    <m/>
    <s v="JM"/>
    <s v="M"/>
    <s v="Corporate"/>
    <n v="7"/>
    <s v="2069"/>
    <x v="8"/>
    <s v="25.01"/>
    <s v="Bibek Chattopadhyay"/>
    <s v="Ashutosh Telang"/>
    <n v="6"/>
    <s v="HR &amp; Administration"/>
    <s v="Corporate Communications"/>
    <s v="25"/>
    <s v="MT - Corporate Communication"/>
    <m/>
    <s v="Corporate Communicat"/>
    <s v=""/>
    <s v=""/>
    <s v="Non Technical Support"/>
    <s v="Corporate Communication"/>
    <s v="Corporate Communication"/>
    <s v="74001001"/>
    <s v="Corporate Communication"/>
    <s v="Mumbai"/>
    <d v="1999-08-24T00:00:00"/>
    <s v="24.00"/>
    <d v="2023-05-29T00:00:00"/>
    <d v="2057-08-31T00:00:00"/>
    <m/>
    <d v="2057-08-31T00:00:00"/>
    <n v="12399"/>
    <s v="O+"/>
    <s v=""/>
    <s v=""/>
    <s v="00.03"/>
    <s v="00.03"/>
    <s v="70318583"/>
    <s v="Communications &amp; Media Relations"/>
    <s v="301670"/>
    <s v="Management Trainee-Corpo. Communication"/>
    <s v="Corporate"/>
    <s v="0090000016"/>
    <s v="Corporate Steel - Co"/>
    <s v="2000CS"/>
    <s v="20055187"/>
    <s v="Bibek Chattopadhyay"/>
    <s v="No"/>
    <s v="jayant.goel@amns.in"/>
    <s v="9501020285"/>
    <s v="1053615"/>
    <s v="Dhruv Vyas"/>
    <s v="Anil Matoo"/>
    <s v="Praveen Kuruvalli"/>
    <s v="Dhruv Vyas"/>
    <n v="0"/>
  </r>
  <r>
    <n v="7127"/>
    <n v="20059470"/>
    <s v="Akhil Sharma"/>
    <s v="AM/NS India"/>
    <s v="Onroll"/>
    <s v="T-2 (MT)"/>
    <n v="13"/>
    <m/>
    <s v="JM"/>
    <s v="M"/>
    <s v="Corporate"/>
    <n v="7"/>
    <s v="2043"/>
    <x v="3"/>
    <s v="31.01"/>
    <s v="Hrishikesh Kamat"/>
    <s v="Hrishikesh Kamat"/>
    <n v="7"/>
    <s v="Procurement"/>
    <s v="Procurement"/>
    <s v="31"/>
    <s v="Management Trainee - Procurement"/>
    <m/>
    <s v="Procurement"/>
    <s v=""/>
    <s v=""/>
    <s v="Non Technical Support"/>
    <s v="Sales &amp; Marketing"/>
    <s v="Business Development"/>
    <s v="73103001"/>
    <s v="Business Development"/>
    <s v="Mumbai"/>
    <d v="1997-10-11T00:00:00"/>
    <s v="25.11"/>
    <d v="2023-05-29T00:00:00"/>
    <d v="2055-10-31T00:00:00"/>
    <m/>
    <d v="2055-10-31T00:00:00"/>
    <n v="11729"/>
    <s v="A-"/>
    <s v=""/>
    <s v=""/>
    <s v="00.03"/>
    <s v="00.03"/>
    <s v="70494637"/>
    <s v="Procurement"/>
    <s v="301671"/>
    <s v="Management Trainee - Procurement"/>
    <s v="Corporate"/>
    <s v="0031950048"/>
    <s v="HZ-Procurment Depart"/>
    <s v="2000CRG"/>
    <s v="20055090"/>
    <s v="Hrishikesh Kamat"/>
    <s v="No"/>
    <s v="akhil.sharma@amns.in"/>
    <s v="9040861106"/>
    <s v="1053617"/>
    <s v="Dhruv Vyas"/>
    <s v="Anil Matoo"/>
    <s v="Praveen Kuruvalli"/>
    <s v="Dhruv Vyas"/>
    <n v="0"/>
  </r>
  <r>
    <n v="7128"/>
    <n v="20059471"/>
    <s v="Srinadhu Bhimesh Kumar"/>
    <s v="AM/NS India"/>
    <s v="Onroll"/>
    <s v="T-2 (MT)"/>
    <n v="13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"/>
    <s v=""/>
    <s v=""/>
    <s v=""/>
    <s v="Mumbai"/>
    <d v="1995-12-29T00:00:00"/>
    <s v="27.08"/>
    <d v="2023-05-29T00:00:00"/>
    <d v="2053-12-31T00:00:00"/>
    <m/>
    <d v="2053-12-31T00:00:00"/>
    <n v="11060"/>
    <s v="O+"/>
    <s v=""/>
    <s v=""/>
    <s v="00.03"/>
    <s v="00.03"/>
    <s v="00052527"/>
    <s v="Sales &amp; Marketing"/>
    <s v="302222"/>
    <s v="Management Trainee - Sales &amp; Marketing"/>
    <s v="Corporate"/>
    <s v="0031950048"/>
    <s v="HZ-Procurment Depart"/>
    <s v="2000CRG"/>
    <s v="20058930"/>
    <s v="Robin Kurien"/>
    <s v="No"/>
    <s v="srinadhu.kumar@amns.in"/>
    <s v="9701686749"/>
    <s v="1053619"/>
    <s v="Dhruv Vyas"/>
    <s v="Anil Matoo"/>
    <s v="Praveen Kuruvalli"/>
    <s v="Dhruv Vyas"/>
    <n v="0"/>
  </r>
  <r>
    <n v="7129"/>
    <n v="20059472"/>
    <s v="Muskaan Garg"/>
    <s v="AM/NS India"/>
    <s v="Onroll"/>
    <s v="T-2 (MT)"/>
    <n v="13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Mechanical"/>
    <s v="LSAW"/>
    <s v="Non Technical Support"/>
    <s v=""/>
    <s v=""/>
    <s v=""/>
    <s v=""/>
    <s v="Mumbai"/>
    <d v="2000-04-10T00:00:00"/>
    <s v="23.05"/>
    <d v="2023-05-29T00:00:00"/>
    <d v="2058-04-30T00:00:00"/>
    <m/>
    <d v="2058-04-30T00:00:00"/>
    <n v="12641"/>
    <s v="A+"/>
    <s v="MBA-2023 , BSc-2021 , BSc-2021 , Interme"/>
    <s v=""/>
    <s v="00.03"/>
    <s v="00.03"/>
    <s v="00051380"/>
    <s v="Sales &amp; Marketing"/>
    <s v="311297"/>
    <s v="Management Trainee - Sales &amp; Marketing"/>
    <s v="Corporate"/>
    <s v="0031591619"/>
    <s v="PM-Common Cost"/>
    <s v="2000CS"/>
    <s v="20058920"/>
    <s v="Atul Singh"/>
    <s v="No"/>
    <s v="muskaan.garg@amns.in"/>
    <s v="8826488454"/>
    <s v="892309"/>
    <s v="Dhruv Vyas"/>
    <s v="Anil Matoo"/>
    <s v="Praveen Kuruvalli"/>
    <s v="Dhruv Vyas"/>
    <n v="0"/>
  </r>
  <r>
    <n v="7130"/>
    <n v="20059473"/>
    <s v="S Srinivash Patro"/>
    <s v="AM/NS India"/>
    <s v="Onroll"/>
    <s v="M-7"/>
    <n v="7"/>
    <m/>
    <s v="MM"/>
    <s v="M"/>
    <s v="Odisha"/>
    <n v="2"/>
    <s v="2099"/>
    <x v="19"/>
    <s v="02.01"/>
    <s v="Raghavan Aravamudhan"/>
    <s v="Dilip Oommen"/>
    <n v="1"/>
    <s v="CEO Office"/>
    <s v="Business Strategy"/>
    <s v="02"/>
    <s v="Lead PMO Analyst"/>
    <m/>
    <s v="Business Strategy"/>
    <s v="Business Strategy"/>
    <s v="Business Strategy"/>
    <s v="Non Technical Support"/>
    <s v="Operations"/>
    <s v="Operations"/>
    <s v="72103001"/>
    <s v="Operations"/>
    <s v="Bhubaneswar"/>
    <d v="1989-01-26T00:00:00"/>
    <s v="34.07"/>
    <d v="2023-05-29T00:00:00"/>
    <d v="2047-01-31T00:00:00"/>
    <m/>
    <d v="2047-01-31T00:00:00"/>
    <n v="8534"/>
    <s v="O+"/>
    <s v="PG Diploma-2016 , BTech-2011 , Intermedi"/>
    <s v="01.04"/>
    <s v="00.03"/>
    <s v="01.07"/>
    <s v="00046538"/>
    <s v="Project Monitoring"/>
    <s v="311446"/>
    <s v="Lead PMO Analyst"/>
    <s v="Odisha"/>
    <s v="0090000022"/>
    <s v="Business Strategy"/>
    <s v="2000STORIS"/>
    <s v="20049281"/>
    <s v="Raveena Dhoot"/>
    <s v="No"/>
    <s v="srinivash.patro@amns.in"/>
    <s v="9019236907"/>
    <s v="1053956"/>
    <s v="Sunila Das"/>
    <s v="Anil Matoo"/>
    <s v="Praveen Kuruvalli"/>
    <s v="Sunila Das"/>
    <n v="0"/>
  </r>
  <r>
    <n v="7133"/>
    <n v="20059476"/>
    <s v="Jayesh Jhawar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Corporate Accounts"/>
    <m/>
    <s v="Finance &amp; Accounts"/>
    <s v=""/>
    <s v=""/>
    <s v="Non Technical Support"/>
    <s v=""/>
    <s v=""/>
    <s v=""/>
    <s v=""/>
    <s v="Hazira"/>
    <d v="2000-03-29T00:00:00"/>
    <s v="23.05"/>
    <d v="2023-06-12T00:00:00"/>
    <d v="2058-03-31T00:00:00"/>
    <m/>
    <d v="2058-03-31T00:00:00"/>
    <n v="12611"/>
    <s v="A+"/>
    <s v="BCom-2021 , Intermediate-2016"/>
    <s v="00.08"/>
    <s v="00.03"/>
    <s v="00.11"/>
    <s v="70495666"/>
    <s v="Corporate Asset Management"/>
    <s v="70495599"/>
    <s v="Officer - Corporate Accounts"/>
    <s v="Hazira"/>
    <s v="0090000027"/>
    <s v="Corporate Steel - Ac"/>
    <s v="2000HWO"/>
    <s v="20045482"/>
    <s v="Sandeep Soni"/>
    <s v="No"/>
    <s v="jayesh.jhawar@amns.in"/>
    <s v="8320434531"/>
    <s v="1054010"/>
    <s v="Dhruv Vyas"/>
    <s v="Anil Matoo"/>
    <s v="Praveen Kuruvalli"/>
    <s v="Dhruv Vyas"/>
    <n v="0"/>
  </r>
  <r>
    <n v="7134"/>
    <n v="20059477"/>
    <s v="Jasmin Karena"/>
    <s v="AM/NS India"/>
    <s v="Onroll"/>
    <s v="M-8"/>
    <n v="8"/>
    <m/>
    <s v="JM"/>
    <s v="M"/>
    <s v="Hazira"/>
    <n v="1"/>
    <s v="2270"/>
    <x v="25"/>
    <s v="38.01"/>
    <s v="Hrishikesh Kamat"/>
    <s v="Hrishikesh Kamat"/>
    <n v="7"/>
    <s v="Procurement"/>
    <s v="Logistics"/>
    <s v="38"/>
    <s v="Lead – Logistics (Air Shipment)"/>
    <m/>
    <s v="Logistics – Commercial"/>
    <s v=""/>
    <s v=""/>
    <s v="Non Technical Support"/>
    <s v=""/>
    <s v=""/>
    <s v=""/>
    <s v=""/>
    <s v="Hazira"/>
    <d v="1989-02-05T00:00:00"/>
    <s v="34.07"/>
    <d v="2023-06-15T00:00:00"/>
    <d v="2047-02-28T00:00:00"/>
    <m/>
    <d v="2047-02-28T00:00:00"/>
    <n v="8562"/>
    <s v="O+"/>
    <s v="MBA-2013 , Intermediate-2007"/>
    <s v="07.03"/>
    <s v="00.03"/>
    <s v="07.06"/>
    <s v="70495712"/>
    <s v="Logistics"/>
    <s v="305370"/>
    <s v="Lead – Logistics (Air Shipment)"/>
    <s v="Hazira"/>
    <s v="0031950053"/>
    <s v="HZ-Logistics"/>
    <s v="2000HWO"/>
    <s v="20055688"/>
    <s v="Vibhavana Jaiswal"/>
    <s v="No"/>
    <s v="jasmin.karena@amns.in"/>
    <s v="9428894746"/>
    <s v="1054768"/>
    <s v="Dhruv Vyas"/>
    <s v="Anil Matoo"/>
    <s v="Praveen Kuruvalli"/>
    <s v="Dhruv Vyas"/>
    <n v="0"/>
  </r>
  <r>
    <n v="7135"/>
    <n v="20059478"/>
    <s v="Medha Kumari"/>
    <s v="AM/NS India"/>
    <s v="Onroll"/>
    <s v="M-9"/>
    <n v="9"/>
    <m/>
    <s v="JM"/>
    <s v="F"/>
    <s v="Corporate"/>
    <n v="7"/>
    <s v="2069"/>
    <x v="8"/>
    <s v="25.01"/>
    <s v="Bibek Chattopadhyay"/>
    <s v="Ashutosh Telang"/>
    <n v="6"/>
    <s v="HR &amp; Administration"/>
    <s v="Corporate Communications"/>
    <s v="25"/>
    <s v="Officer - Corporate Communication"/>
    <m/>
    <s v="Corporate Communicat"/>
    <s v=""/>
    <s v=""/>
    <s v="Non Technical Support"/>
    <s v="Corporate Communication"/>
    <s v="Corporate Communication"/>
    <s v="74001001"/>
    <s v="Corporate Communication"/>
    <s v="Mumbai"/>
    <d v="1999-10-02T00:00:00"/>
    <s v="23.11"/>
    <d v="2023-06-12T00:00:00"/>
    <d v="2057-10-31T00:00:00"/>
    <m/>
    <d v="2057-10-31T00:00:00"/>
    <n v="12460"/>
    <s v="O+"/>
    <s v="BCom-2019"/>
    <s v=""/>
    <s v="00.03"/>
    <s v="00.03"/>
    <s v="70318583"/>
    <s v="Communications &amp; Media Relations"/>
    <s v="272985"/>
    <s v="Officer - Corporate Communication"/>
    <s v="Corporate"/>
    <s v="0090000016"/>
    <s v="Corporate Steel - Co"/>
    <s v="2000CRG"/>
    <s v="20055187"/>
    <s v="Bibek Chattopadhyay"/>
    <s v="No"/>
    <s v="medha.kumari@amns.in"/>
    <s v="9523705964"/>
    <s v="1054913"/>
    <s v="Dhruv Vyas"/>
    <s v="Anil Matoo"/>
    <s v="Praveen Kuruvalli"/>
    <s v="Dhruv Vyas"/>
    <n v="0"/>
  </r>
  <r>
    <n v="7146"/>
    <n v="20059489"/>
    <s v="Aayushi Jain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Finance &amp; Accounts"/>
    <m/>
    <s v="Finance &amp; Accounts"/>
    <s v="Service Centers"/>
    <s v=""/>
    <s v="Non Technical Support"/>
    <s v="Projects"/>
    <s v="Projects Coordination"/>
    <s v="72103038"/>
    <s v="Projects Coordination"/>
    <s v="Hazira"/>
    <d v="1999-01-27T00:00:00"/>
    <s v="24.07"/>
    <d v="2023-06-19T00:00:00"/>
    <d v="2057-01-31T00:00:00"/>
    <m/>
    <d v="2057-01-31T00:00:00"/>
    <n v="12187"/>
    <s v="A+"/>
    <s v="BCom-2020 , CA Final-2023 , Intermediate"/>
    <s v=""/>
    <s v="00.03"/>
    <s v="00.03"/>
    <s v="70495565"/>
    <s v="F&amp;A Hypermart &amp; Service Centre"/>
    <s v="272364"/>
    <s v="Officer - Finance &amp; Accounts"/>
    <s v="Hazira"/>
    <s v="0040000000"/>
    <s v="SC - Common"/>
    <s v="2000HWO"/>
    <s v="20055504"/>
    <s v="Vivek Choudhary"/>
    <s v="No"/>
    <s v="aayushi.jain@amns.in"/>
    <s v="8302957922"/>
    <s v="1055538"/>
    <s v="Dhruv Vyas"/>
    <s v="Anil Matoo"/>
    <s v="Praveen Kuruvalli"/>
    <s v="Dhruv Vyas"/>
    <n v="0"/>
  </r>
  <r>
    <n v="7147"/>
    <n v="20059490"/>
    <s v="Saurabh Nalway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Pipe Sales"/>
    <m/>
    <s v="Sales &amp; Marketing"/>
    <s v=""/>
    <s v=""/>
    <s v="Non Technical Support"/>
    <s v="Sales &amp; Marketing"/>
    <s v="Sales &amp; Marketing"/>
    <s v="73101001"/>
    <s v="Sales &amp; Marketing"/>
    <s v="Delhi"/>
    <d v="1982-08-04T00:00:00"/>
    <s v="41.01"/>
    <d v="2023-06-19T00:00:00"/>
    <d v="2040-08-31T00:00:00"/>
    <m/>
    <d v="2040-08-31T00:00:00"/>
    <n v="6190"/>
    <s v=""/>
    <s v="BTech-2005 , Intermediate-2000"/>
    <s v="15.00"/>
    <s v="00.03"/>
    <s v="15.02"/>
    <s v="70387159"/>
    <s v="Pipe Sales"/>
    <s v="312029"/>
    <s v="KAM - Pipe Sales"/>
    <s v="Hazira"/>
    <s v="0031591982"/>
    <s v="PM-Marketing"/>
    <s v="2000HWO"/>
    <s v="20007414"/>
    <s v="Gaurav Sharma"/>
    <s v="No"/>
    <s v="saurabh.nalwaya@amns.in"/>
    <s v="9999914262"/>
    <s v="889972"/>
    <s v="Dhruv Vyas"/>
    <s v="Anil Matoo"/>
    <s v="Praveen Kuruvalli"/>
    <s v="Dhruv Vyas"/>
    <n v="0"/>
  </r>
  <r>
    <n v="7150"/>
    <n v="20059493"/>
    <s v="Jaiyamin Vaghasiya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"/>
    <s v=""/>
    <s v=""/>
    <s v="Non Technical Support"/>
    <s v="Sales &amp; Marketing"/>
    <s v="Sales &amp; Marketing"/>
    <s v="73101001"/>
    <s v="Sales &amp; Marketing"/>
    <s v="Hazira"/>
    <d v="2001-07-07T00:00:00"/>
    <s v="22.02"/>
    <d v="2023-06-14T00:00:00"/>
    <d v="2059-07-31T00:00:00"/>
    <m/>
    <d v="2059-07-31T00:00:00"/>
    <n v="13098"/>
    <s v=""/>
    <s v=""/>
    <s v=""/>
    <s v="00.03"/>
    <s v="00.03"/>
    <s v="00049515"/>
    <s v="Capex Procurement"/>
    <s v="301541"/>
    <s v="Engineer"/>
    <s v="Hazira"/>
    <s v="0031490019"/>
    <s v="CRM- ADMIN/HR/OTHER"/>
    <s v="2043HAZI"/>
    <s v="20054320"/>
    <s v="Sanjaykumar Kanani"/>
    <s v="No"/>
    <s v="jaiyamin.vaghasiya@amns.in"/>
    <s v="9909902199"/>
    <s v="26542"/>
    <s v="Dhruv Vyas"/>
    <s v="Anil Matoo"/>
    <s v="Praveen Kuruvalli"/>
    <s v="Dhruv Vyas"/>
    <n v="0"/>
  </r>
  <r>
    <n v="7205"/>
    <n v="20059548"/>
    <s v="Jayanti Chhajer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m/>
    <m/>
    <s v="Non Technical Support"/>
    <s v="Operations"/>
    <s v="Operations"/>
    <s v="72103001"/>
    <s v="Operations"/>
    <s v="Khopoli"/>
    <d v="1991-03-28T00:00:00"/>
    <s v="32.05"/>
    <d v="2023-06-23T00:00:00"/>
    <d v="2051-03-31T00:00:00"/>
    <m/>
    <d v="2051-03-31T00:00:00"/>
    <n v="10054"/>
    <s v="O+"/>
    <s v="CS-2014 , BCom-2012"/>
    <s v="02.05"/>
    <s v="00.02"/>
    <s v="02.07"/>
    <s v="00051333"/>
    <s v="Corporate Accounts &amp; Global Reporting"/>
    <s v="305127"/>
    <s v="New Acquisition"/>
    <s v="Khopoli staff"/>
    <s v="0031000019"/>
    <s v="HZ-MH-ADMN/HR/COM"/>
    <s v="1121KHOP"/>
    <s v="20058804"/>
    <s v="Roy Jose"/>
    <s v="No"/>
    <s v="jayanti.chhajer@amns.in"/>
    <s v="9829145666"/>
    <s v="1057138"/>
    <s v="Pritam Debbarma"/>
    <s v="Anil Matoo"/>
    <s v="-"/>
    <s v="Manjit Shah"/>
    <s v="-"/>
  </r>
  <r>
    <n v="7215"/>
    <n v="20059558"/>
    <s v="Soumya Nayak"/>
    <s v="AM/NS India"/>
    <s v="Onroll"/>
    <s v="M-8"/>
    <n v="8"/>
    <m/>
    <s v="JM"/>
    <s v="M"/>
    <s v="Odisha"/>
    <n v="2"/>
    <s v="2094"/>
    <x v="21"/>
    <s v="27.10"/>
    <s v="Vikas Chandra Yadvendu"/>
    <s v="Ashutosh Telang"/>
    <n v="6"/>
    <s v="HR &amp; Administration"/>
    <s v="Corporate SocialResponsibility"/>
    <s v="27"/>
    <s v="Lead CSR - Program"/>
    <m/>
    <s v="Corporate Social Responsibility"/>
    <s v="CSR"/>
    <s v="CSR"/>
    <s v="Non Technical Support"/>
    <s v="Corporate Social Responsibility"/>
    <s v="Corporate Social Responsibility"/>
    <s v="75001001"/>
    <s v="Corporate Social Responsi"/>
    <s v="Bhubaneswar"/>
    <d v="1988-03-26T00:00:00"/>
    <s v="35.05"/>
    <d v="2023-06-19T00:00:00"/>
    <d v="2046-03-31T00:00:00"/>
    <m/>
    <d v="2046-03-31T00:00:00"/>
    <n v="8228"/>
    <s v="B+"/>
    <s v="MBA-2017 , BTech-2010"/>
    <s v="04.02"/>
    <s v="00.03"/>
    <s v="04.04"/>
    <s v="70495661"/>
    <s v="Corporate Social Responsibility"/>
    <s v="285719"/>
    <s v="Lead CSR - Program"/>
    <s v="Odisha"/>
    <s v="0022030019"/>
    <s v="PDP-HR &amp; Admn"/>
    <s v="2000STORIS"/>
    <s v="20055033"/>
    <s v="Vikas Chandra Yadvendu"/>
    <s v="No"/>
    <s v="soumya.nayak@amns.in"/>
    <s v="7735891299"/>
    <s v="1057477"/>
    <s v="Sunila Das"/>
    <s v="Anil Matoo"/>
    <s v="Praveen Kuruvalli"/>
    <s v="Sunila Das"/>
    <n v="0"/>
  </r>
  <r>
    <n v="7218"/>
    <n v="20059561"/>
    <s v="Bhavdip Jathal"/>
    <s v="AM/NS India"/>
    <s v="Onroll"/>
    <s v="M-5"/>
    <n v="5"/>
    <m/>
    <s v="MM"/>
    <s v="M"/>
    <s v="Hazira"/>
    <n v="1"/>
    <s v="2039"/>
    <x v="12"/>
    <s v="43.01"/>
    <s v="Sangeeta Munjal"/>
    <s v="Manu Kapoor"/>
    <n v="10"/>
    <s v="Corporate Affairs"/>
    <s v="Corporate Affairs"/>
    <s v="43"/>
    <s v="Head - Land Acquisition"/>
    <m/>
    <s v="Land Acquisition"/>
    <m/>
    <m/>
    <s v="Non Technical Support"/>
    <s v="Commercial"/>
    <s v="Contracts &amp; Tenders and E-bid"/>
    <s v="73805001"/>
    <s v="Contracts &amp; Tenders and E"/>
    <s v="Hazira"/>
    <d v="1966-05-08T00:00:00"/>
    <s v="57.04"/>
    <d v="2023-06-29T00:00:00"/>
    <d v="2024-05-31T00:00:00"/>
    <m/>
    <d v="2024-05-31T00:00:00"/>
    <n v="254"/>
    <s v="B+"/>
    <s v="LLB-1993 , BCom-1987"/>
    <s v="14.11"/>
    <s v="00.02"/>
    <s v="15.01"/>
    <s v="70495436"/>
    <s v="Land Property"/>
    <s v="70411520"/>
    <s v="Head - Land Acquisition"/>
    <s v="Hazira"/>
    <s v="0090000021"/>
    <s v="Corporate Affairs"/>
    <s v="2000HWO"/>
    <s v="20057928"/>
    <s v="Manu Kapoor"/>
    <s v="No"/>
    <s v="bhavdip.jathal@amns.in"/>
    <s v="9898507111"/>
    <s v="1057909"/>
    <s v="Dhruv Vyas"/>
    <s v="Anil Matoo"/>
    <s v="Praveen Kuruvalli"/>
    <s v="Dhruv Vyas"/>
    <n v="0"/>
  </r>
  <r>
    <n v="7220"/>
    <n v="20059564"/>
    <s v="Dilipkumar Purohit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Indirect Tax"/>
    <m/>
    <s v="Finance &amp; Accounts"/>
    <m/>
    <m/>
    <s v="Non Technical Support"/>
    <s v="Finance &amp; Accounts"/>
    <s v="Taxation"/>
    <s v="73904002"/>
    <s v="Indirect Taxation"/>
    <s v="Hazira"/>
    <d v="1989-06-01T00:00:00"/>
    <s v="34.03"/>
    <d v="2023-07-03T00:00:00"/>
    <d v="2047-05-31T00:00:00"/>
    <m/>
    <d v="2047-05-31T00:00:00"/>
    <n v="8654"/>
    <s v="O-"/>
    <s v="MBA-2018"/>
    <s v="00.05"/>
    <s v="00.02"/>
    <s v="00.07"/>
    <s v="70282653"/>
    <s v="GST"/>
    <s v="300856"/>
    <s v="Lead - Indirect Tax"/>
    <s v="Hazira"/>
    <s v="0090000033"/>
    <s v="Corporate Taxation"/>
    <s v="2000HWO"/>
    <s v="20057927"/>
    <s v="Surbhi Kothari"/>
    <s v="No"/>
    <s v="dilip.purohit@amns.in"/>
    <s v="9909748243"/>
    <s v="1058014"/>
    <s v="Dhruv Vyas"/>
    <s v="Anil Matoo"/>
    <s v="Praveen Kuruvalli"/>
    <s v="Dhruv Vyas"/>
    <n v="0"/>
  </r>
  <r>
    <n v="7221"/>
    <n v="20059565"/>
    <s v="Hasan Bilal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Auto Sales, South Region"/>
    <m/>
    <s v="Sales &amp; Marketing"/>
    <m/>
    <m/>
    <s v="Non Technical Support"/>
    <s v="Sales &amp; Marketing"/>
    <s v="Sales"/>
    <s v="73104001"/>
    <s v="Sales"/>
    <s v="Hyderabad"/>
    <d v="1974-08-24T00:00:00"/>
    <s v="49.00"/>
    <d v="2023-07-03T00:00:00"/>
    <d v="2032-08-31T00:00:00"/>
    <m/>
    <d v="2032-08-31T00:00:00"/>
    <n v="3268"/>
    <s v="B+"/>
    <s v="MBA-2004 , BTech-1997"/>
    <s v="16.01"/>
    <s v="00.02"/>
    <s v="16.03"/>
    <s v="70343195"/>
    <s v="Automotive Sales &amp; Service Centers"/>
    <s v="70449086"/>
    <s v="KAM Auto Sales, South Region"/>
    <s v="Hazira"/>
    <s v="0031950057"/>
    <s v="HZ-HRC - Marketing"/>
    <s v="2000HWO"/>
    <s v="20016767"/>
    <s v="Raghavan Venkatachalam"/>
    <s v="No"/>
    <s v="hasan.bilal@amns.in"/>
    <s v="9884812740"/>
    <s v="468525"/>
    <s v="Dhruv Vyas"/>
    <s v="Anil Matoo"/>
    <s v="Praveen Kuruvalli"/>
    <s v="Dhruv Vyas"/>
    <n v="0"/>
  </r>
  <r>
    <n v="7222"/>
    <n v="20059566"/>
    <s v="Jigar Upadhyay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Officer - Stores &amp; Warehouse"/>
    <m/>
    <s v="Stores &amp; Warehouse"/>
    <s v="Stores &amp; Warehouse"/>
    <m/>
    <s v="Non Technical Support"/>
    <s v="Commercial"/>
    <s v="Stores &amp; Warehouse"/>
    <s v="73806001"/>
    <s v="Stores &amp; Warehouse"/>
    <s v="Hazira"/>
    <d v="1988-02-17T00:00:00"/>
    <s v="35.07"/>
    <d v="2023-07-03T00:00:00"/>
    <d v="2046-02-28T00:00:00"/>
    <m/>
    <d v="2046-02-28T00:00:00"/>
    <n v="8197"/>
    <s v="AB+"/>
    <s v="PG Diploma-2011 , MCom-2010"/>
    <s v="10.11"/>
    <s v="00.02"/>
    <s v="11.01"/>
    <s v="00044541"/>
    <s v="HRC Store - Receipt"/>
    <s v="70372617"/>
    <s v="Officer - Stores &amp; Warehouse"/>
    <s v="Hazira"/>
    <s v="0031950049"/>
    <s v="HZ-Central Stores"/>
    <s v="2000HWO"/>
    <s v="20005047"/>
    <s v="Rajeev Jha"/>
    <s v="No"/>
    <s v="jigar.upadhyay@amns.in"/>
    <s v="6358080831"/>
    <s v="1058190"/>
    <s v="Dhruv Vyas"/>
    <s v="Anil Matoo"/>
    <s v="Praveen Kuruvalli"/>
    <s v="Dhruv Vyas"/>
    <n v="0"/>
  </r>
  <r>
    <n v="7223"/>
    <n v="20059567"/>
    <s v="Khanjan Gajiwala"/>
    <s v="AM/NS India"/>
    <s v="Onroll"/>
    <s v="M-9"/>
    <n v="9"/>
    <m/>
    <s v="J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– Automotive Sales"/>
    <m/>
    <s v="Sales &amp; Marketing"/>
    <m/>
    <m/>
    <s v="Non Technical Support"/>
    <s v=""/>
    <s v=""/>
    <s v=""/>
    <s v=""/>
    <s v="Ahmedabad"/>
    <d v="1999-01-19T00:00:00"/>
    <s v="24.08"/>
    <d v="2023-07-06T00:00:00"/>
    <d v="2057-01-31T00:00:00"/>
    <m/>
    <d v="2057-01-31T00:00:00"/>
    <n v="12187"/>
    <s v="B+"/>
    <s v="MBA-2022 , BCom-2019"/>
    <s v="01.01"/>
    <s v="00.02"/>
    <s v="01.03"/>
    <s v="70265035"/>
    <s v="Value Recovery"/>
    <s v="305331"/>
    <s v="Sales Manager – Automotive Sales"/>
    <s v="Hazira"/>
    <s v="0060110300"/>
    <s v="HMART-Guj-Ahemedabad"/>
    <s v="2000HWO"/>
    <s v="20016382"/>
    <s v="Kunal Bhardwaj"/>
    <s v="No"/>
    <s v="khanjan.gajiwala@amns.in"/>
    <s v="7698432577"/>
    <s v="1058319"/>
    <s v="Dhruv Vyas"/>
    <s v="Anil Matoo"/>
    <s v="Praveen Kuruvalli"/>
    <s v="Dhruv Vyas"/>
    <n v="0"/>
  </r>
  <r>
    <n v="7224"/>
    <n v="20059568"/>
    <s v="Merubhai Odedara"/>
    <s v="AM/NS India"/>
    <s v="Onroll"/>
    <s v="M-8"/>
    <n v="8"/>
    <m/>
    <s v="JM"/>
    <s v="M"/>
    <s v="Hazira"/>
    <n v="1"/>
    <s v="2039"/>
    <x v="12"/>
    <s v="43.01"/>
    <s v="Sangeeta Munjal"/>
    <s v="Manu Kapoor"/>
    <n v="10"/>
    <s v="Corporate Affairs"/>
    <s v="Corporate Affairs"/>
    <s v="43"/>
    <s v="Land Records - Specialist"/>
    <m/>
    <s v="Land Acquisition"/>
    <m/>
    <m/>
    <s v="Non Technical Support"/>
    <s v="Corporate Relations"/>
    <s v="Corporate Affairs"/>
    <s v="74501001"/>
    <s v="Corporate Affairs"/>
    <s v="Hazira"/>
    <d v="1994-01-29T00:00:00"/>
    <s v="29.07"/>
    <d v="2023-07-05T00:00:00"/>
    <d v="2052-01-31T00:00:00"/>
    <m/>
    <d v="2052-01-31T00:00:00"/>
    <n v="10360"/>
    <s v="O+"/>
    <s v="Intermediate-2011 , Intermediate-2009"/>
    <s v="05.02"/>
    <s v="00.02"/>
    <s v="05.04"/>
    <s v="70494938"/>
    <s v="Corporate Affairs"/>
    <s v="313127"/>
    <s v="Land Records - Specialist"/>
    <s v="Hazira"/>
    <s v="0090000021"/>
    <s v="Corporate Affairs"/>
    <s v="2000HWO"/>
    <s v="20057928"/>
    <s v="Manu Kapoor"/>
    <s v="No"/>
    <s v="meru.odedara@amns.in"/>
    <s v="8511449696"/>
    <s v="1058326"/>
    <s v="Dhruv Vyas"/>
    <s v="Anil Matoo"/>
    <s v="Praveen Kuruvalli"/>
    <s v="Dhruv Vyas"/>
    <n v="0"/>
  </r>
  <r>
    <n v="7240"/>
    <n v="20059584"/>
    <s v="Kanupriya Jain"/>
    <s v="AM/NS India"/>
    <s v="Onroll"/>
    <s v="M-7"/>
    <n v="7"/>
    <m/>
    <s v="MM"/>
    <s v="F"/>
    <s v="Corporate"/>
    <n v="7"/>
    <s v="2015"/>
    <x v="1"/>
    <s v="22.06"/>
    <s v="Praveen Kuruvalli"/>
    <s v="Ashutosh Telang"/>
    <n v="6"/>
    <s v="HR &amp; Administration"/>
    <s v="Human Resources"/>
    <s v="22"/>
    <s v="Lead - Compensation &amp; Benefits"/>
    <m/>
    <s v="Human Resources"/>
    <m/>
    <m/>
    <s v="Non Technical Support"/>
    <s v="Human Resources Management"/>
    <s v="Human Resources Management"/>
    <s v="73501001"/>
    <s v="Human Resources"/>
    <s v="Mumbai"/>
    <d v="1990-09-05T00:00:00"/>
    <s v="33.00"/>
    <d v="2023-07-10T00:00:00"/>
    <d v="2048-09-30T00:00:00"/>
    <m/>
    <d v="2048-09-30T00:00:00"/>
    <n v="9142"/>
    <s v="B+"/>
    <s v="PG Diploma-2020 , MBA-2012 , Intermediat"/>
    <s v="02.10"/>
    <s v="00.02"/>
    <s v="03.00"/>
    <s v="70242278"/>
    <s v="People Strategy &amp; HR Center Excellence"/>
    <s v="301568"/>
    <s v="Lead - Compensation &amp; Benefits"/>
    <s v="Corporate"/>
    <s v="0031950061"/>
    <s v="HZ-Human Resource"/>
    <s v="2000CRG"/>
    <s v="20055483"/>
    <s v="Praveen Kuruvalli"/>
    <s v="No"/>
    <s v="kanupriya.jain@amns.in"/>
    <s v="7000760906"/>
    <s v="1059042"/>
    <s v="Dhruv Vyas"/>
    <s v="Anil Matoo"/>
    <s v="Praveen Kuruvalli"/>
    <s v="Dhruv Vyas"/>
    <n v="0"/>
  </r>
  <r>
    <n v="7357"/>
    <n v="20059702"/>
    <s v="Nikita Athalye"/>
    <s v="AM/NS India"/>
    <s v="Onroll"/>
    <s v="M-7"/>
    <n v="7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Direct Tax"/>
    <m/>
    <s v="Finance &amp; Accounts"/>
    <m/>
    <m/>
    <s v="Non Technical Support"/>
    <s v="Finance &amp; Accounts"/>
    <s v="Taxation"/>
    <s v="73904002"/>
    <s v="Indirect Taxation"/>
    <s v="Mumbai"/>
    <d v="1996-04-08T00:00:00"/>
    <s v="27.05"/>
    <d v="2023-07-04T00:00:00"/>
    <d v="2054-04-30T00:00:00"/>
    <m/>
    <d v="2054-04-30T00:00:00"/>
    <n v="11180"/>
    <s v="O+"/>
    <s v="LLB-2021 , CA Final-2017 , BCom-2016"/>
    <s v="05.03"/>
    <s v="00.02"/>
    <s v="05.05"/>
    <s v="00048994"/>
    <s v="Compliances"/>
    <s v="70258946"/>
    <s v="Lead - Direct Tax"/>
    <s v="Corporate"/>
    <s v="0090000033"/>
    <s v="Corporate Taxation"/>
    <s v="2000CRG"/>
    <s v="20057473"/>
    <s v="Tarun Seksaria"/>
    <s v="No"/>
    <s v="nikita.athalye@amns.in"/>
    <s v="9833657726"/>
    <s v="1059483"/>
    <s v="Dhruv Vyas"/>
    <s v="Anil Matoo"/>
    <s v="Praveen Kuruvalli"/>
    <s v="Dhruv Vyas"/>
    <n v="0"/>
  </r>
  <r>
    <n v="7359"/>
    <n v="20059704"/>
    <s v="Birendra Mohan"/>
    <s v="AM/NS Middle East FZE"/>
    <s v="Onroll"/>
    <s v="M-7"/>
    <n v="7"/>
    <m/>
    <s v="MM"/>
    <s v="M"/>
    <s v="Dubai"/>
    <n v="10"/>
    <s v="2502"/>
    <x v="10"/>
    <s v="14.01"/>
    <s v="Ranjan Dhar"/>
    <s v="Alain Legrix De La Salle"/>
    <n v="3"/>
    <s v="Sales &amp; Marketing"/>
    <s v="Sales &amp; Marketing"/>
    <s v="14"/>
    <s v="Sr. Manager - Sales &amp; Marketing"/>
    <m/>
    <s v="Sales ME"/>
    <s v="Sales ME"/>
    <s v=""/>
    <s v=""/>
    <s v="Sales &amp; Marketing"/>
    <s v="Sales &amp; Marketing"/>
    <s v="73101001"/>
    <s v="Sales &amp; Marketing"/>
    <s v="Dubai"/>
    <d v="1977-10-30T00:00:00"/>
    <s v="45.10"/>
    <d v="2023-07-07T00:00:00"/>
    <d v="2035-10-31T00:00:00"/>
    <m/>
    <d v="2035-10-31T00:00:00"/>
    <n v="4424"/>
    <s v="B+"/>
    <s v="PG Diploma-2009 , BBA-2000"/>
    <s v="05.05"/>
    <s v="00.02"/>
    <s v="05.06"/>
    <s v="70495379"/>
    <s v="Chief Marketing Officer - AMNS ME FZE"/>
    <s v="70495722"/>
    <s v="Sr. Manager - Sales &amp; Marketing"/>
    <s v="AMNS Middle East FZE"/>
    <s v="0093720082"/>
    <s v="SC-Dubai-Marketing"/>
    <s v="DUBA2081"/>
    <s v="20055663"/>
    <s v="Karamath Syed"/>
    <s v="No"/>
    <s v="birendra.rai@amns.in"/>
    <s v="02040042772"/>
    <s v="1022280"/>
    <s v="Dhruv Vyas"/>
    <s v="Anil Matoo"/>
    <s v="Praveen Kuruvalli"/>
    <n v="0"/>
    <n v="0"/>
  </r>
  <r>
    <n v="7368"/>
    <n v="20059713"/>
    <s v="Gaurav Lodh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Account Receivable"/>
    <m/>
    <s v="Finance &amp; Accounts"/>
    <m/>
    <m/>
    <s v="Non Technical Support"/>
    <s v="Finance &amp; Accounts"/>
    <s v="Finance &amp; Accounts"/>
    <s v="73901004"/>
    <s v="Accounts Receivables"/>
    <s v="Hazira"/>
    <d v="1983-12-28T00:00:00"/>
    <s v="39.08"/>
    <d v="2023-07-19T00:00:00"/>
    <d v="2041-12-31T00:00:00"/>
    <m/>
    <d v="2041-12-31T00:00:00"/>
    <n v="6677"/>
    <s v="O+"/>
    <s v="CA Final-2008 , Intermediate-2002 , Inte"/>
    <s v="06.07"/>
    <s v="00.02"/>
    <s v="06.08"/>
    <s v="72150286"/>
    <s v="Accounts Receivables &amp; Export Banking"/>
    <s v="272542"/>
    <s v="Lead - Account Receivable"/>
    <s v="Hazira"/>
    <s v="0031950045"/>
    <s v="HZ-Works Accounts-Ha"/>
    <s v="2000HWO"/>
    <s v="20007731"/>
    <s v="Ashish Mehta"/>
    <s v="No"/>
    <s v="gaurav.lodha@amns.in"/>
    <s v="7433944725"/>
    <s v="1060386"/>
    <s v="Dhruv Vyas"/>
    <s v="Anil Matoo"/>
    <s v="Praveen Kuruvalli"/>
    <s v="Dhruv Vyas"/>
    <n v="0"/>
  </r>
  <r>
    <n v="7384"/>
    <n v="20059729"/>
    <s v="Harsh Parmar"/>
    <s v="AM/NS India"/>
    <s v="Onroll"/>
    <s v="M-7"/>
    <n v="7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m/>
    <m/>
    <s v="Non Technical Support"/>
    <s v="Corporate Relations"/>
    <s v="Corporate Affairs"/>
    <s v="74501001"/>
    <s v="Corporate Affairs"/>
    <s v="Delhi"/>
    <d v="1993-12-03T00:00:00"/>
    <s v="29.09"/>
    <d v="2023-07-24T00:00:00"/>
    <d v="2051-12-31T00:00:00"/>
    <m/>
    <d v="2051-12-31T00:00:00"/>
    <n v="10329"/>
    <s v="O+"/>
    <s v="PG Diploma in Management-2017 , BTech-20"/>
    <s v="06.02"/>
    <s v="00.01"/>
    <s v="06.03"/>
    <s v="70494938"/>
    <s v="Corporate Affairs"/>
    <s v="314883"/>
    <s v="Lead Corporate Affairs"/>
    <s v="Corporate"/>
    <s v="0090000021"/>
    <s v="Corporate Affairs"/>
    <s v="2000CS"/>
    <s v="20057928"/>
    <s v="Manu Kapoor"/>
    <s v="No"/>
    <s v="harsh.parmar@amns.in"/>
    <s v="9589057109"/>
    <s v="1061183"/>
    <s v="Dhruv Vyas"/>
    <s v="Anil Matoo"/>
    <s v="Praveen Kuruvalli"/>
    <s v="Dhruv Vyas"/>
    <n v="0"/>
  </r>
  <r>
    <n v="7392"/>
    <n v="20059737"/>
    <s v="Mahendra Singh Chandrawat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Application Engineer"/>
    <m/>
    <s v="Sales &amp; Marketing"/>
    <m/>
    <m/>
    <s v="Non Technical Support"/>
    <s v=""/>
    <s v=""/>
    <s v=""/>
    <s v=""/>
    <s v="Khopoli"/>
    <d v="1989-04-17T00:00:00"/>
    <s v="34.05"/>
    <d v="2023-08-01T00:00:00"/>
    <d v="2047-04-30T00:00:00"/>
    <m/>
    <d v="2047-04-30T00:00:00"/>
    <n v="8623"/>
    <s v="O+"/>
    <s v="PG Diploma-2021 , BE-2011 , Intermediate"/>
    <s v="11.08"/>
    <s v="00.01"/>
    <s v="11.09"/>
    <s v="00052471"/>
    <s v="Coated &amp; OC"/>
    <s v="305332"/>
    <s v="Lead - Application Engineer"/>
    <s v="Hazira"/>
    <s v="0031950057"/>
    <s v="HZ-HRC - Marketing"/>
    <s v="2000HWO"/>
    <s v="20056431"/>
    <s v="Prajakta Wagholikar"/>
    <s v="No"/>
    <s v="mahendrasingh.chandrawat@amns.in"/>
    <s v="7700922268"/>
    <s v="1061821"/>
    <s v="Dhruv Vyas"/>
    <s v="Anil Matoo"/>
    <s v="Praveen Kuruvalli"/>
    <s v="Dhruv Vyas"/>
    <n v="0"/>
  </r>
  <r>
    <n v="7393"/>
    <n v="20059738"/>
    <s v="Ayush Dixit"/>
    <s v="AM/NS India"/>
    <s v="Onroll"/>
    <s v="M-8"/>
    <n v="8"/>
    <m/>
    <s v="JM"/>
    <s v="M"/>
    <s v="Vizag"/>
    <n v="3"/>
    <s v="2161"/>
    <x v="15"/>
    <s v="31.02"/>
    <s v="Hrishikesh Kamat"/>
    <s v="Hrishikesh Kamat"/>
    <n v="7"/>
    <s v="Procurement"/>
    <s v="Procurement"/>
    <s v="31"/>
    <m/>
    <m/>
    <s v="Capex Procurement"/>
    <s v=""/>
    <s v=""/>
    <s v="Non Technical Support"/>
    <s v=""/>
    <s v=""/>
    <s v=""/>
    <s v=""/>
    <s v="Vizag"/>
    <d v="1996-07-02T00:00:00"/>
    <s v="27.02"/>
    <d v="2023-08-02T00:00:00"/>
    <d v="2054-07-31T00:00:00"/>
    <m/>
    <d v="2054-07-31T00:00:00"/>
    <n v="11272"/>
    <s v="B+"/>
    <s v="BTech-2017 , Intermediate-2012 , Interme"/>
    <s v="06.00"/>
    <s v="00.01"/>
    <s v="06.02"/>
    <s v="70282830"/>
    <s v="Capex Procurement &amp; Secondary Sales"/>
    <s v="302508"/>
    <s v="Lead Capex Procurement"/>
    <s v="Vizag"/>
    <s v="0031950059"/>
    <s v="HZ-Hazira Project"/>
    <s v="2000VIZOPS"/>
    <s v="20052261"/>
    <s v="Aruni Mishra"/>
    <s v="No"/>
    <s v="ayush.dixit@amns.in"/>
    <s v="7692960254"/>
    <s v="1061936"/>
    <s v="Dhruv Vyas"/>
    <s v="Anil Matoo"/>
    <s v="Praveen Kuruvalli"/>
    <s v="Dhruv Vyas"/>
    <n v="0"/>
  </r>
  <r>
    <n v="7394"/>
    <n v="20059739"/>
    <s v="Jennifer Xavier"/>
    <s v="AM/NS India"/>
    <s v="Onroll"/>
    <s v="M-8"/>
    <n v="8"/>
    <m/>
    <s v="JM"/>
    <s v="F"/>
    <s v="Pune Facility"/>
    <n v="4"/>
    <s v="2071"/>
    <x v="22"/>
    <s v="41.01"/>
    <s v="P Ashok Kumar"/>
    <s v="P Ashok Kumar"/>
    <n v="9"/>
    <s v="Legal"/>
    <s v="Legal"/>
    <s v="41"/>
    <s v="Legal Counsel, Pune"/>
    <m/>
    <s v="Legal"/>
    <m/>
    <m/>
    <s v="Non Technical Support"/>
    <s v=""/>
    <s v=""/>
    <s v=""/>
    <s v=""/>
    <s v="Pune"/>
    <d v="1992-01-17T00:00:00"/>
    <s v="31.08"/>
    <d v="2023-08-01T00:00:00"/>
    <d v="2050-01-31T00:00:00"/>
    <m/>
    <d v="2050-01-31T00:00:00"/>
    <n v="9630"/>
    <s v="B-"/>
    <s v="LLB-2016"/>
    <s v="01.10"/>
    <s v="00.01"/>
    <s v="01.11"/>
    <s v="00050735"/>
    <s v="Legal"/>
    <s v="305369"/>
    <s v="Legal Counsel - Pune"/>
    <s v="Pune Facility"/>
    <s v="0090000019"/>
    <s v="Corporate Steel - Le"/>
    <s v="2000ESPF"/>
    <s v="20058028"/>
    <s v="Charu Misra"/>
    <s v="No"/>
    <s v="jennifer.xavier@amns.in"/>
    <s v="9873925605"/>
    <s v="1061960"/>
    <s v="Dhruv Vyas"/>
    <s v="Anil Matoo"/>
    <s v="Praveen Kuruvalli"/>
    <s v="Dhruv Vyas"/>
    <n v="0"/>
  </r>
  <r>
    <n v="7395"/>
    <n v="20059740"/>
    <s v="Chanchal Agarwal"/>
    <s v="AM/NS India"/>
    <s v="Onroll"/>
    <s v="M-8"/>
    <n v="8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HR Business Partner"/>
    <m/>
    <s v="Human Resources"/>
    <m/>
    <m/>
    <s v="Non Technical Support"/>
    <s v="Human Resources Management"/>
    <s v="Human Resources Management"/>
    <s v="73501001"/>
    <s v="Human Resources"/>
    <s v="Mumbai"/>
    <d v="1998-07-16T00:00:00"/>
    <s v="25.02"/>
    <d v="2023-08-02T00:00:00"/>
    <d v="2056-07-31T00:00:00"/>
    <m/>
    <d v="2056-07-31T00:00:00"/>
    <n v="12003"/>
    <s v="O+"/>
    <s v="MBA-2021 , Intermediate-2014"/>
    <s v="01.10"/>
    <s v="00.01"/>
    <s v="02.00"/>
    <s v="00053055"/>
    <s v="Human Resources"/>
    <s v="301565"/>
    <s v="HR Business Partner"/>
    <s v="Corporate"/>
    <s v="0031950061"/>
    <s v="HZ-Human Resource"/>
    <s v="2000CRG"/>
    <s v="20054565"/>
    <s v="Dhruv Vyas"/>
    <s v="No"/>
    <s v="chanchal.agarwal@amns.in"/>
    <s v="7700922269"/>
    <s v="1061964"/>
    <s v="Dhruv Vyas"/>
    <s v="Anil Matoo"/>
    <s v="Praveen Kuruvalli"/>
    <s v="Dhruv Vyas"/>
    <n v="0"/>
  </r>
  <r>
    <n v="7519"/>
    <n v="20059864"/>
    <s v="Bijal Khambhala"/>
    <s v="AM/NS India"/>
    <s v="Onroll"/>
    <s v="M-11"/>
    <n v="11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Engineer"/>
    <m/>
    <s v="Contracts"/>
    <m/>
    <m/>
    <s v="Non Technical Support"/>
    <s v="Operations"/>
    <s v="Operations"/>
    <s v="72103001"/>
    <s v="Operations"/>
    <s v="Hazira"/>
    <d v="2001-03-28T00:00:00"/>
    <s v="22.05"/>
    <d v="2023-08-01T00:00:00"/>
    <d v="2059-03-31T00:00:00"/>
    <m/>
    <d v="2059-03-31T00:00:00"/>
    <n v="12976"/>
    <s v=""/>
    <s v=""/>
    <s v=""/>
    <s v="00.01"/>
    <s v="00.01"/>
    <s v="00053411"/>
    <s v="Contracts"/>
    <s v="301007"/>
    <s v="Engineer"/>
    <s v="Hazira"/>
    <s v="0031961000"/>
    <s v="Waste Management"/>
    <s v="2054HAZI"/>
    <s v="20010980"/>
    <s v="Kirit Upadhyay"/>
    <s v="No"/>
    <s v="bijal.khambhala@amns.in"/>
    <s v="8238770455"/>
    <s v="26594"/>
    <s v="Dhruv Vyas"/>
    <s v="Anil Matoo"/>
    <s v="Praveen Kuruvalli"/>
    <s v="Dhruv Vyas"/>
    <n v="0"/>
  </r>
  <r>
    <n v="7551"/>
    <n v="20059896"/>
    <s v="Ujjwal Singh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m/>
    <m/>
    <m/>
    <s v="Non Technical Support"/>
    <s v="Projects"/>
    <s v="Projects"/>
    <s v="72103036"/>
    <s v="Projects"/>
    <s v="Hazira"/>
    <d v="2001-02-17T00:00:00"/>
    <s v="22.07"/>
    <d v="2023-08-01T00:00:00"/>
    <d v="2059-02-28T00:00:00"/>
    <m/>
    <d v="2059-02-28T00:00:00"/>
    <n v="12945"/>
    <s v=""/>
    <s v=""/>
    <s v=""/>
    <s v="00.01"/>
    <s v="00.01"/>
    <s v="00053409"/>
    <s v="Proc PowerTransmission"/>
    <s v="300822"/>
    <s v="Engineer"/>
    <s v="Hazira"/>
    <s v="0031961000"/>
    <s v="Waste Management"/>
    <s v="2043HAZI"/>
    <s v="20002629"/>
    <s v="Bhavesh Patel"/>
    <s v="No"/>
    <s v="ujjwal.singh@amns.in"/>
    <s v="9687429656"/>
    <s v="26580"/>
    <s v="Dhruv Vyas"/>
    <s v="Anil Matoo"/>
    <s v="Praveen Kuruvalli"/>
    <s v="Dhruv Vyas"/>
    <n v="0"/>
  </r>
  <r>
    <n v="7584"/>
    <n v="20059929"/>
    <s v="Rutvik Dudakiya"/>
    <s v="AM/NS India"/>
    <s v="Onroll"/>
    <s v="M-11"/>
    <n v="11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Engineer"/>
    <m/>
    <s v="Contracts"/>
    <m/>
    <m/>
    <s v="Non Technical Support"/>
    <s v="Operations"/>
    <s v="Operations"/>
    <s v="72103001"/>
    <s v="Operations"/>
    <s v="Hazira"/>
    <d v="2001-06-30T00:00:00"/>
    <s v="22.02"/>
    <d v="2023-08-01T00:00:00"/>
    <d v="2059-06-30T00:00:00"/>
    <m/>
    <d v="2059-06-30T00:00:00"/>
    <n v="13067"/>
    <s v=""/>
    <s v=""/>
    <s v=""/>
    <s v="00.01"/>
    <s v="00.01"/>
    <s v="00053416"/>
    <s v="Contracts"/>
    <s v="301008"/>
    <s v="Engineer"/>
    <s v="Hazira"/>
    <s v="0031961000"/>
    <s v="Waste Management"/>
    <s v="2054HAZI"/>
    <s v="20054520"/>
    <s v="Trupti Yagnesh Patel"/>
    <s v="No"/>
    <s v="rutvik.dudakiya@amns.in"/>
    <s v="9879101370"/>
    <s v="26617"/>
    <s v="Dhruv Vyas"/>
    <s v="Anil Matoo"/>
    <s v="Praveen Kuruvalli"/>
    <s v="Dhruv Vyas"/>
    <n v="0"/>
  </r>
  <r>
    <n v="7599"/>
    <n v="20059944"/>
    <s v="Dharanipathi Murugesan"/>
    <s v="AM/NS India"/>
    <s v="Onroll"/>
    <s v="M-4"/>
    <n v="4"/>
    <m/>
    <s v="SM"/>
    <s v="M"/>
    <s v="Corporate"/>
    <n v="7"/>
    <s v="2039"/>
    <x v="12"/>
    <s v="43.01"/>
    <s v="Sangeeta Munjal"/>
    <s v="Manu Kapoor"/>
    <n v="10"/>
    <s v="Corporate Affairs"/>
    <s v="Corporate Affairs"/>
    <s v="43"/>
    <s v="Head – Land Acquisition Excellence"/>
    <m/>
    <s v="Land Acquisition"/>
    <m/>
    <m/>
    <s v="Non Technical Support"/>
    <s v="Corporate Relations"/>
    <s v="Corporate Affairs"/>
    <s v="74501001"/>
    <s v="Corporate Affairs"/>
    <s v="Mumbai"/>
    <d v="1969-02-12T00:00:00"/>
    <s v="54.07"/>
    <d v="2023-08-09T00:00:00"/>
    <d v="2027-02-28T00:00:00"/>
    <m/>
    <d v="2027-02-28T00:00:00"/>
    <n v="1257"/>
    <s v="B+"/>
    <s v="Diploma-2023 , BTech-2000 , Diploma-1987"/>
    <s v="16.08"/>
    <s v="00.01"/>
    <s v="16.09"/>
    <s v="70494938"/>
    <s v="Corporate Affairs"/>
    <s v="313430"/>
    <s v="Head – Land Acquisition Excellence"/>
    <s v="Corporate"/>
    <s v="0090000021"/>
    <s v="Corporate Affairs"/>
    <s v="2000CRG"/>
    <s v="20057928"/>
    <s v="Manu Kapoor"/>
    <s v="No"/>
    <s v="m.dharanipathi@amns.in"/>
    <s v="8879994254"/>
    <s v="1022366"/>
    <s v="Dhruv Vyas"/>
    <s v="Anil Matoo"/>
    <s v="Praveen Kuruvalli"/>
    <s v="Dhruv Vyas"/>
    <n v="0"/>
  </r>
  <r>
    <n v="7608"/>
    <n v="20059953"/>
    <s v="Prashanth Kasyap Lank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Coated Sales"/>
    <m/>
    <s v="Sales &amp; Marketing"/>
    <m/>
    <m/>
    <s v="Non Technical Support"/>
    <s v="Sales &amp; Marketing"/>
    <s v="Sales &amp; Marketing"/>
    <s v="73101001"/>
    <s v="Sales &amp; Marketing"/>
    <s v="Chennai"/>
    <d v="1982-08-09T00:00:00"/>
    <s v="41.01"/>
    <d v="2023-08-07T00:00:00"/>
    <d v="2040-08-31T00:00:00"/>
    <m/>
    <d v="2040-08-31T00:00:00"/>
    <n v="6190"/>
    <s v="A+"/>
    <s v="MBA-2009 , BE-2005 , Intermediate-1999"/>
    <s v="00.05"/>
    <s v="00.01"/>
    <s v="00.06"/>
    <s v="70492562"/>
    <s v="Domestic Sales"/>
    <s v="305407"/>
    <s v="KAM - Coated Sales"/>
    <s v="Hazira"/>
    <s v="0031950057"/>
    <s v="HZ-HRC - Marketing"/>
    <s v="2000HWO"/>
    <s v="20036409"/>
    <s v="Ranjith Nambiar"/>
    <s v="No"/>
    <s v="prashanth.kasyap@amns.in"/>
    <s v="8088449167"/>
    <s v="1064152"/>
    <s v="Dhruv Vyas"/>
    <s v="Anil Matoo"/>
    <s v="Praveen Kuruvalli"/>
    <s v="Dhruv Vyas"/>
    <n v="0"/>
  </r>
  <r>
    <n v="7609"/>
    <n v="20059954"/>
    <s v="Abhinav Kumar"/>
    <s v="AM/NS India"/>
    <s v="Onroll"/>
    <s v="M-7"/>
    <n v="7"/>
    <m/>
    <s v="MM"/>
    <s v="M"/>
    <s v="Service Centers"/>
    <n v="6"/>
    <s v="2031"/>
    <x v="10"/>
    <s v="14.01"/>
    <s v="Ranjan Dhar"/>
    <s v="Alain Legrix De La Salle"/>
    <n v="3"/>
    <s v="Sales &amp; Marketing"/>
    <s v="Sales &amp; Marketing"/>
    <s v="14"/>
    <s v="Plant Head - Recycling Strategy"/>
    <m/>
    <s v="Sales &amp; Marketing"/>
    <s v=""/>
    <s v=""/>
    <s v="Non Technical Support"/>
    <s v="Sales &amp; Marketing"/>
    <s v="Sales &amp; Marketing"/>
    <s v="73101001"/>
    <s v="Sales &amp; Marketing"/>
    <s v="Ahmedabad"/>
    <d v="1985-12-12T00:00:00"/>
    <s v="37.09"/>
    <d v="2023-08-07T00:00:00"/>
    <d v="2043-12-31T00:00:00"/>
    <m/>
    <d v="2043-12-31T00:00:00"/>
    <n v="7407"/>
    <s v="O+"/>
    <s v="BE-2009"/>
    <s v="02.00"/>
    <s v="00.01"/>
    <s v="02.01"/>
    <s v="00053119"/>
    <s v="Recycling Strategy"/>
    <s v="313817"/>
    <s v="Plant Head - Recycling Strategy"/>
    <s v="Service Center"/>
    <s v="0080000005"/>
    <s v="Global Markets Team"/>
    <s v="2000CS"/>
    <s v="20056844"/>
    <s v="Kundan Rai"/>
    <s v="No"/>
    <s v="abhinav.kumar@amns.in"/>
    <s v="7837100109"/>
    <s v="1064204"/>
    <s v="Dhruv Vyas"/>
    <s v="Anil Matoo"/>
    <s v="Praveen Kuruvalli"/>
    <s v="Dhruv Vyas"/>
    <n v="0"/>
  </r>
  <r>
    <n v="7612"/>
    <n v="20059957"/>
    <s v="Samuel Katisa"/>
    <s v="AM/NS India"/>
    <s v="Onroll"/>
    <s v="M-7"/>
    <n v="7"/>
    <m/>
    <s v="MM"/>
    <s v="M"/>
    <s v="Service Centers"/>
    <n v="6"/>
    <s v="2031"/>
    <x v="10"/>
    <s v="14.01"/>
    <s v="Ranjan Dhar"/>
    <s v="Alain Legrix De La Salle"/>
    <n v="3"/>
    <s v="Sales &amp; Marketing"/>
    <s v="Sales &amp; Marketing"/>
    <s v="14"/>
    <s v="Lead - Sales &amp; Marketing, Hypermart"/>
    <m/>
    <s v="Sales &amp; Marketing"/>
    <s v=""/>
    <s v=""/>
    <s v="Non Technical Support"/>
    <s v=""/>
    <s v=""/>
    <s v=""/>
    <s v=""/>
    <s v="Chennai"/>
    <d v="1986-08-16T00:00:00"/>
    <s v="37.01"/>
    <d v="2023-08-14T00:00:00"/>
    <d v="2044-08-31T00:00:00"/>
    <m/>
    <d v="2044-08-31T00:00:00"/>
    <n v="7651"/>
    <s v="A+"/>
    <s v="MTech-2019 , MA-2010 , BTech-2007"/>
    <s v="16.01"/>
    <s v="00.01"/>
    <s v="16.02"/>
    <s v="72150150"/>
    <s v="Sales South Zone"/>
    <s v="305327"/>
    <s v="Lead - Sales &amp; Marketing, Hypermart"/>
    <s v="Service Center"/>
    <s v="0031950057"/>
    <s v="HZ-HRC - Marketing"/>
    <s v="2000CS"/>
    <s v="20000909"/>
    <s v="Murali Krishna Chunduru"/>
    <s v="No"/>
    <s v="samuel.morris@amns.in"/>
    <s v="9581700766"/>
    <s v="22711"/>
    <s v="Dhruv Vyas"/>
    <s v="Anil Matoo"/>
    <s v="Praveen Kuruvalli"/>
    <s v="Dhruv Vyas"/>
    <n v="0"/>
  </r>
  <r>
    <n v="7613"/>
    <n v="20059958"/>
    <s v="Bodhishotto Bhattacharjee"/>
    <s v="AM/NS India"/>
    <s v="Onroll"/>
    <s v="M-7"/>
    <n v="7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Public Advocacy"/>
    <m/>
    <s v="Corporate Affairs"/>
    <m/>
    <m/>
    <s v="Non Technical Support"/>
    <s v="Corporate Relations"/>
    <s v="Corporate Affairs"/>
    <s v="74501001"/>
    <s v="Corporate Affairs"/>
    <s v="Delhi"/>
    <d v="1991-04-19T00:00:00"/>
    <s v="32.05"/>
    <d v="2023-08-14T00:00:00"/>
    <d v="2049-04-30T00:00:00"/>
    <m/>
    <d v="2049-04-30T00:00:00"/>
    <n v="9354"/>
    <s v="O+"/>
    <s v="PG Diploma-2020 , MBA-2017 , BTech-2015"/>
    <s v="01.00"/>
    <s v="00.01"/>
    <s v="01.00"/>
    <s v="70494938"/>
    <s v="Corporate Affairs"/>
    <s v="316689"/>
    <s v="Lead Public Advocacy"/>
    <s v="Corporate"/>
    <s v="0090000021"/>
    <s v="Corporate Affairs"/>
    <s v="2000CRG"/>
    <s v="20057928"/>
    <s v="Manu Kapoor"/>
    <s v="No"/>
    <s v="bodhishotto.bhattacharjee@amns.in"/>
    <s v="7228016115"/>
    <s v="1064656"/>
    <s v="Dhruv Vyas"/>
    <s v="Anil Matoo"/>
    <s v="Praveen Kuruvalli"/>
    <s v="Dhruv Vyas"/>
    <n v="0"/>
  </r>
  <r>
    <n v="7614"/>
    <n v="20059959"/>
    <s v="Rajesh Kumar Meena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- Scrap Procurement"/>
    <m/>
    <s v="Sales &amp; Marketing"/>
    <m/>
    <m/>
    <s v="Non Technical Support"/>
    <s v=""/>
    <s v=""/>
    <s v="70494645"/>
    <s v="Head of Sales BD"/>
    <s v="Mumbai"/>
    <d v="1989-09-01T00:00:00"/>
    <s v="34.00"/>
    <d v="2023-08-16T00:00:00"/>
    <d v="2047-08-31T00:00:00"/>
    <m/>
    <d v="2047-08-31T00:00:00"/>
    <n v="8746"/>
    <s v="A+"/>
    <s v="PG Diploma-2016 , BE-2017"/>
    <s v="01.06"/>
    <s v="00.01"/>
    <s v="01.07"/>
    <s v="70494655"/>
    <s v="Sales Steering, Distribution and BD"/>
    <s v="284179"/>
    <s v="Section Head - Scrap Procurement"/>
    <s v="Corporate"/>
    <s v="0080000005"/>
    <s v="Global Markets Team"/>
    <s v="2000CRG"/>
    <s v="20055091"/>
    <s v="Akshaya Gujral"/>
    <s v="No"/>
    <s v="rajeshkumar.meena@amns.in"/>
    <s v="7542033074"/>
    <s v="1064745"/>
    <s v="Dhruv Vyas"/>
    <s v="Anil Matoo"/>
    <s v="Praveen Kuruvalli"/>
    <s v="Dhruv Vyas"/>
    <n v="0"/>
  </r>
  <r>
    <n v="7616"/>
    <n v="20059961"/>
    <s v="Pavan Patil"/>
    <s v="AM/NS India"/>
    <s v="Onroll"/>
    <s v="M-9"/>
    <n v="9"/>
    <m/>
    <s v="JM"/>
    <s v="M"/>
    <s v="Service Centers"/>
    <n v="6"/>
    <s v="2031"/>
    <x v="10"/>
    <s v="14.01"/>
    <s v="Ranjan Dhar"/>
    <s v="Alain Legrix De La Salle"/>
    <n v="3"/>
    <s v="Sales &amp; Marketing"/>
    <s v="Sales &amp; Marketing"/>
    <s v="14"/>
    <s v="Quality Inspector - Recycling Strategy"/>
    <m/>
    <s v="Sales &amp; Marketing"/>
    <s v=""/>
    <s v=""/>
    <s v="Non Technical Support"/>
    <s v="Sales &amp; Marketing"/>
    <s v="Sales &amp; Marketing"/>
    <s v="73101001"/>
    <s v="Sales &amp; Marketing"/>
    <s v="Khopoli"/>
    <d v="1995-05-23T00:00:00"/>
    <s v="28.03"/>
    <d v="2023-08-16T00:00:00"/>
    <d v="2053-05-31T00:00:00"/>
    <m/>
    <d v="2053-05-31T00:00:00"/>
    <n v="10846"/>
    <s v="A+"/>
    <s v="BE-2017 , Intermediate-2014 , Diploma-20"/>
    <s v="02.08"/>
    <s v="00.01"/>
    <s v="02.09"/>
    <s v="00053119"/>
    <s v="Recycling Strategy"/>
    <s v="313822"/>
    <s v="Quality Inspector - Recycling Strategy"/>
    <s v="Service Center"/>
    <s v="0080000005"/>
    <s v="Global Markets Team"/>
    <s v="2000CS"/>
    <s v="20056844"/>
    <s v="Kundan Rai"/>
    <s v="No"/>
    <s v="pavan.patil@amns.in"/>
    <s v="8600552071"/>
    <s v="1064761"/>
    <s v="Dhruv Vyas"/>
    <s v="Anil Matoo"/>
    <s v="Praveen Kuruvalli"/>
    <s v="Dhruv Vyas"/>
    <n v="0"/>
  </r>
  <r>
    <n v="7628"/>
    <n v="20059973"/>
    <s v="Akshay Patel"/>
    <s v="AM/NS India"/>
    <s v="Onroll"/>
    <s v="T-4 (Other Trainee)"/>
    <n v="1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1998-08-25T00:00:00"/>
    <s v="25.00"/>
    <d v="2023-08-14T00:00:00"/>
    <d v="2056-08-31T00:00:00"/>
    <m/>
    <d v="2056-08-31T00:00:00"/>
    <n v="12034"/>
    <s v="A+"/>
    <s v="Diploma-2019"/>
    <s v=""/>
    <s v="00.01"/>
    <s v="00.01"/>
    <s v="00049777"/>
    <s v="Plant Administration"/>
    <s v="315235"/>
    <s v="Trainee"/>
    <s v="Hazira"/>
    <s v="0031950030"/>
    <s v="HZ-Admin"/>
    <s v="2000HWO"/>
    <s v="20057892"/>
    <s v="Taj Baby"/>
    <s v="No"/>
    <s v=""/>
    <s v=""/>
    <s v="868976"/>
    <s v="Manjit Shah"/>
    <s v="Anil Matoo"/>
    <s v="-"/>
    <s v="Manjit Shah"/>
    <s v="-"/>
  </r>
  <r>
    <n v="7629"/>
    <n v="20059974"/>
    <s v="Kamakshi Patel"/>
    <s v="AM/NS India"/>
    <s v="Onroll"/>
    <s v="T-4 (Other Trainee)"/>
    <n v="18"/>
    <m/>
    <s v="JM"/>
    <s v="F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1997-10-21T00:00:00"/>
    <s v="25.10"/>
    <d v="2023-08-14T00:00:00"/>
    <d v="2055-10-31T00:00:00"/>
    <m/>
    <d v="2055-10-31T00:00:00"/>
    <n v="11729"/>
    <s v="A+"/>
    <s v="MCom-2023"/>
    <s v=""/>
    <s v="00.01"/>
    <s v="00.01"/>
    <s v="00049719"/>
    <s v="Administration Hazira"/>
    <s v="315236"/>
    <s v="Trainee"/>
    <s v="Hazira"/>
    <s v="0031950030"/>
    <s v="HZ-Admin"/>
    <s v="2000HWO"/>
    <s v="20057886"/>
    <s v="Shakir Bandwala"/>
    <s v="No"/>
    <s v=""/>
    <s v="9825073422"/>
    <s v="1065377"/>
    <s v="Manjit Shah"/>
    <s v="Anil Matoo"/>
    <s v="-"/>
    <s v="Manjit Shah"/>
    <s v="-"/>
  </r>
  <r>
    <n v="7630"/>
    <n v="20059975"/>
    <s v="Ruchi Patel"/>
    <s v="AM/NS India"/>
    <s v="Onroll"/>
    <s v="T-4 (Other Trainee)"/>
    <n v="18"/>
    <m/>
    <s v="JM"/>
    <s v="F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2000-02-23T00:00:00"/>
    <s v="23.06"/>
    <d v="2023-08-14T00:00:00"/>
    <d v="2058-02-28T00:00:00"/>
    <m/>
    <d v="2058-02-28T00:00:00"/>
    <n v="12580"/>
    <s v="B+"/>
    <s v="BCom-2022"/>
    <s v=""/>
    <s v="00.01"/>
    <s v="00.01"/>
    <s v="00049777"/>
    <s v="Plant Administration"/>
    <s v="315237"/>
    <s v="Trainee"/>
    <s v="Hazira"/>
    <s v="0031950030"/>
    <s v="HZ-Admin"/>
    <s v="2000HWO"/>
    <s v="20057892"/>
    <s v="Taj Baby"/>
    <s v="No"/>
    <s v=""/>
    <s v=""/>
    <s v="1065380"/>
    <s v="Manjit Shah"/>
    <s v="Anil Matoo"/>
    <s v="-"/>
    <s v="Manjit Shah"/>
    <s v="-"/>
  </r>
  <r>
    <n v="7631"/>
    <n v="20059976"/>
    <s v="Karan Patel"/>
    <s v="AM/NS India"/>
    <s v="Onroll"/>
    <s v="T-4 (Other Trainee)"/>
    <n v="1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1999-03-24T00:00:00"/>
    <s v="24.05"/>
    <d v="2023-08-14T00:00:00"/>
    <d v="2057-03-31T00:00:00"/>
    <m/>
    <d v="2057-03-31T00:00:00"/>
    <n v="12246"/>
    <s v="O+"/>
    <s v="PG Diploma in Management-2023 , PG Diplo"/>
    <s v=""/>
    <s v="00.01"/>
    <s v="00.01"/>
    <s v="00049719"/>
    <s v="Administration Hazira"/>
    <s v="315238"/>
    <s v="Trainee"/>
    <s v="Hazira"/>
    <s v="0031950030"/>
    <s v="HZ-Admin"/>
    <s v="2000HWO"/>
    <s v="20057886"/>
    <s v="Shakir Bandwala"/>
    <s v="No"/>
    <s v=""/>
    <s v=""/>
    <s v="1065420"/>
    <s v="Manjit Shah"/>
    <s v="Anil Matoo"/>
    <s v="-"/>
    <s v="Manjit Shah"/>
    <s v="-"/>
  </r>
  <r>
    <n v="7636"/>
    <n v="20059981"/>
    <s v="Ankit Singh"/>
    <s v="AM/NS India"/>
    <s v="Onroll"/>
    <s v="M-6"/>
    <n v="6"/>
    <m/>
    <s v="M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sition"/>
    <m/>
    <s v="Land Acquisition"/>
    <s v=""/>
    <s v=""/>
    <s v="Non Technical Support"/>
    <s v="Corporate Relations"/>
    <s v="Corporate Affairs"/>
    <s v="74501001"/>
    <s v="Corporate Affairs"/>
    <s v="Hazira"/>
    <d v="1987-03-15T00:00:00"/>
    <s v="36.06"/>
    <d v="2023-08-21T00:00:00"/>
    <d v="2045-03-31T00:00:00"/>
    <m/>
    <d v="2045-03-31T00:00:00"/>
    <n v="7863"/>
    <s v="O+"/>
    <s v="BTech-2009"/>
    <s v="12.11"/>
    <s v="00.00"/>
    <s v="13.00"/>
    <s v="70494938"/>
    <s v="Corporate Affairs"/>
    <s v="313342"/>
    <s v="Lead - Land Acqusition"/>
    <s v="Hazira"/>
    <s v="0090000021"/>
    <s v="Corporate Affairs"/>
    <s v="2000HWO"/>
    <s v="20057928"/>
    <s v="Manu Kapoor"/>
    <s v="No"/>
    <s v="ankit.singh@amns.in"/>
    <s v="9767811522"/>
    <s v="728538"/>
    <s v="Dhruv Vyas"/>
    <s v="Anil Matoo"/>
    <s v="Praveen Kuruvalli"/>
    <s v="Dhruv Vyas"/>
    <n v="0"/>
  </r>
  <r>
    <n v="7641"/>
    <n v="20059986"/>
    <s v="Rohit Sharma"/>
    <s v="AM/NS India"/>
    <s v="Onroll"/>
    <s v="M-8"/>
    <n v="8"/>
    <m/>
    <s v="JM"/>
    <s v="M"/>
    <s v="Corporate"/>
    <n v="7"/>
    <s v="2039"/>
    <x v="16"/>
    <s v="43.01"/>
    <s v="Sangeeta Munjal"/>
    <s v="Manu Kapoor"/>
    <n v="10"/>
    <s v="Corporate Affairs"/>
    <s v="Corporate Affairs"/>
    <s v="43"/>
    <s v="Lead – Internal Audit"/>
    <m/>
    <s v="Corporate Affairs"/>
    <m/>
    <m/>
    <s v="Non Technical Support"/>
    <s v="Chairman's Secretariat"/>
    <s v="Chairman's Secretariat"/>
    <s v="74701000"/>
    <s v="Chairman's Secretariat"/>
    <s v="Mumbai"/>
    <d v="1992-01-07T00:00:00"/>
    <s v="31.08"/>
    <d v="2023-08-21T00:00:00"/>
    <d v="2050-01-31T00:00:00"/>
    <m/>
    <d v="2050-01-31T00:00:00"/>
    <n v="9630"/>
    <s v="O+"/>
    <s v="CA Inter-2020"/>
    <s v="01.05"/>
    <s v="00.00"/>
    <s v="01.05"/>
    <s v="00044335"/>
    <s v="Internal Audit Corporate"/>
    <s v="317208"/>
    <s v="Lead – Internal Audit"/>
    <s v="Corporate"/>
    <s v="0090000035"/>
    <s v="Internal Audit"/>
    <s v="2000CS"/>
    <s v="20055802"/>
    <s v="Pawan Kumar Baid"/>
    <s v="No"/>
    <s v="rohit.sharma2@amns.in"/>
    <s v="7004584854"/>
    <s v="648539"/>
    <s v="Dhruv Vyas"/>
    <s v="Anil Matoo"/>
    <s v="Praveen Kuruvalli"/>
    <s v="Dhruv Vyas"/>
    <n v="0"/>
  </r>
  <r>
    <n v="7656"/>
    <n v="40001771"/>
    <s v="Canakapalli Hanumanth Rao"/>
    <s v="AM/NS India"/>
    <s v="Onroll"/>
    <s v="Advisor"/>
    <n v="4"/>
    <s v="M-4"/>
    <s v="Advisor"/>
    <s v="M"/>
    <s v="Vizag"/>
    <n v="3"/>
    <s v="2095"/>
    <x v="4"/>
    <n v="36.01"/>
    <s v="Deepak Sindkar"/>
    <s v="Hrishikesh Kamat"/>
    <n v="7"/>
    <s v="Procurement"/>
    <s v="Raw Materials"/>
    <s v="36"/>
    <s v="Advisor - NMDC &amp; Railways CO-Ordination"/>
    <m/>
    <s v="Bulk Raw Materials"/>
    <s v="Bulk Raw Materials"/>
    <m/>
    <s v="Non Technical Support"/>
    <s v="Commercial"/>
    <s v="Procurement"/>
    <s v="73803001"/>
    <s v="Procurement"/>
    <s v="Hyderabad"/>
    <d v="1951-09-26T00:00:00"/>
    <s v="71.11"/>
    <d v="2013-03-04T00:00:00"/>
    <d v="2009-09-30T00:00:00"/>
    <d v="2023-12-31T00:00:00"/>
    <d v="2023-12-31T00:00:00"/>
    <n v="102"/>
    <s v=""/>
    <s v="BE-1974"/>
    <s v="38.00"/>
    <s v="10.06"/>
    <s v="48.06"/>
    <s v="72150107"/>
    <s v="Vizag Operations"/>
    <s v="70328454"/>
    <s v="Advisor - NMDC &amp; Railways CO-Ordination"/>
    <s v="Non-payroll-relevant"/>
    <s v="0028030019"/>
    <s v="VIZ-Personnel &amp; Admi"/>
    <s v="2000VIZOPS"/>
    <s v="20000547"/>
    <s v="Ravindranath Modekurthi"/>
    <s v="No"/>
    <s v="hanumanth.rao@amns.in"/>
    <s v="9502701230"/>
    <s v="21893"/>
    <s v="Dhruv Vyas"/>
    <s v="Anil Matoo"/>
    <s v="Praveen Kuruvalli"/>
    <s v="Dhruv Vyas"/>
    <n v="0"/>
  </r>
  <r>
    <n v="7752"/>
    <n v="40002452"/>
    <s v="Shantilal Dhansukhbhai Patel"/>
    <s v="AM/NS India"/>
    <s v="Onroll"/>
    <s v="Advisor"/>
    <n v="8"/>
    <s v="M-8"/>
    <s v="Advisor"/>
    <s v="M"/>
    <s v="Hazira"/>
    <n v="1"/>
    <s v="2137"/>
    <x v="12"/>
    <s v="35.01"/>
    <s v="Hrishikesh Kamat"/>
    <s v="Hrishikesh Kamat"/>
    <n v="7"/>
    <s v="Procurement"/>
    <s v="Land Acquisition"/>
    <s v="35"/>
    <s v="Advisor - Land Acqusition"/>
    <m/>
    <s v="Land Acquisition"/>
    <s v="Land Acquisition"/>
    <s v=""/>
    <s v="Non Technical Support"/>
    <s v="Commercial"/>
    <s v="Contracts &amp; Tenders and E-bid"/>
    <s v="73805001"/>
    <s v="Contracts &amp; Tenders and E"/>
    <s v="AM/NS Hazira"/>
    <d v="1962-02-07T00:00:00"/>
    <s v="61.07"/>
    <d v="2021-05-17T00:00:00"/>
    <d v="2020-02-29T00:00:00"/>
    <d v="2023-05-16T00:00:00"/>
    <d v="2023-05-16T00:00:00"/>
    <n v="-127"/>
    <s v="B+"/>
    <s v="BCom-1984 , Intermediate-1980 , SSLC-197"/>
    <s v="38.03"/>
    <s v="02.04"/>
    <s v="40.07"/>
    <s v="70495436"/>
    <s v="Land Property"/>
    <s v="70495786"/>
    <s v="Advisor - Land Matters"/>
    <s v="Hazira"/>
    <s v="0031950038"/>
    <s v="HZ-Hazira Land Acqui"/>
    <s v="2000HWO"/>
    <s v="20059561"/>
    <s v="Bhavdip Jathal"/>
    <s v="No"/>
    <s v="shantilal.patel@amns.in"/>
    <s v="9825055371"/>
    <s v="838199"/>
    <s v="Dhruv Vyas"/>
    <s v="Anil Matoo"/>
    <s v="Praveen Kuruvalli"/>
    <s v="Dhruv Vyas"/>
    <n v="0"/>
  </r>
  <r>
    <n v="7763"/>
    <n v="40002494"/>
    <s v="Prabhatbhai Desai"/>
    <s v="AM/NS India"/>
    <s v="Onroll"/>
    <s v="Advisor"/>
    <n v="6"/>
    <s v="M-6"/>
    <s v="Advisor"/>
    <s v="M"/>
    <s v="Hazira"/>
    <n v="1"/>
    <s v="2039"/>
    <x v="12"/>
    <s v="43.01"/>
    <s v="Sangeeta Munjal"/>
    <s v="Manu Kapoor"/>
    <n v="10"/>
    <s v="Corporate Affairs"/>
    <s v="Corporate Affairs"/>
    <s v="43"/>
    <s v="Advisor - Land Acqusition"/>
    <m/>
    <s v="Land Acquisition"/>
    <s v=""/>
    <s v=""/>
    <s v="Non Technical Support"/>
    <s v="Corporate Relations"/>
    <s v="Corporate Affairs"/>
    <s v="74501001"/>
    <s v="Corporate Affairs"/>
    <s v="AM/NS Hazira"/>
    <d v="1959-05-31T00:00:00"/>
    <s v="64.03"/>
    <d v="2022-01-25T00:00:00"/>
    <d v="2017-05-31T00:00:00"/>
    <d v="2024-03-31T00:00:00"/>
    <d v="2024-03-31T00:00:00"/>
    <n v="193"/>
    <s v="O+"/>
    <s v="BA-1982 , Intermediate-1979 , SSLC-1977"/>
    <s v="34.05"/>
    <s v="01.07"/>
    <s v="36.00"/>
    <s v="70495436"/>
    <s v="Land Property"/>
    <s v="272202"/>
    <s v="Advisor Corporate Affairs"/>
    <s v="Hazira"/>
    <s v="0090000021"/>
    <s v="Corporate Affairs"/>
    <s v="2000HWO"/>
    <s v="20059561"/>
    <s v="Bhavdip Jathal"/>
    <s v="No"/>
    <s v="prabhatbhai.desai@amns.in"/>
    <s v="9825034045"/>
    <s v="878191"/>
    <s v="Dhruv Vyas"/>
    <s v="Anil Matoo"/>
    <s v="Praveen Kuruvalli"/>
    <s v="Dhruv Vyas"/>
    <n v="0"/>
  </r>
  <r>
    <n v="7769"/>
    <n v="40002500"/>
    <s v="Himanshu Parekh"/>
    <s v="AM/NS India"/>
    <s v="Onroll"/>
    <s v="Advisor"/>
    <n v="4"/>
    <s v="M-4"/>
    <s v="Advisor"/>
    <s v="M"/>
    <s v="Hazira"/>
    <n v="1"/>
    <s v="2137"/>
    <x v="12"/>
    <s v="35.01"/>
    <s v="Hrishikesh Kamat"/>
    <s v="Hrishikesh Kamat"/>
    <n v="7"/>
    <s v="Procurement"/>
    <s v="Land Acquisition"/>
    <s v="35"/>
    <s v="Advisor - Land Acqusition"/>
    <m/>
    <s v="Land Acquisition"/>
    <s v=""/>
    <s v=""/>
    <s v="Non Technical Support"/>
    <s v="Corporate Relations"/>
    <s v="Corporate Affairs"/>
    <s v="74501001"/>
    <s v="Corporate Affairs"/>
    <s v="AM/NS Hazira"/>
    <d v="1962-01-21T00:00:00"/>
    <s v="61.07"/>
    <d v="2022-03-01T00:00:00"/>
    <d v="2020-01-31T00:00:00"/>
    <d v="2024-02-29T00:00:00"/>
    <d v="2024-02-29T00:00:00"/>
    <n v="162"/>
    <s v="O+"/>
    <s v="SSLC-1977"/>
    <s v=""/>
    <s v="01.06"/>
    <s v="01.06"/>
    <s v="70494938"/>
    <s v="Corporate Affairs"/>
    <s v="275232"/>
    <s v="Advisor – Land Matters"/>
    <s v="Hazira"/>
    <s v="0090000021"/>
    <s v="Corporate Affairs"/>
    <s v="2000HWO"/>
    <s v="20057928"/>
    <s v="Manu Kapoor"/>
    <s v="No"/>
    <s v="himanshu.parekh@amns.in"/>
    <s v="9978405232"/>
    <s v="884276"/>
    <s v="Dhruv Vyas"/>
    <s v="Anil Matoo"/>
    <s v="Praveen Kuruvalli"/>
    <s v="Dhruv Vyas"/>
    <n v="0"/>
  </r>
  <r>
    <n v="7816"/>
    <n v="40002555"/>
    <s v="Alamsinh Chauhan"/>
    <s v="AM/NS India"/>
    <s v="Onroll"/>
    <s v="Advisor"/>
    <n v="7"/>
    <s v="M-7"/>
    <s v="Advisor"/>
    <s v="M"/>
    <s v="Hazira"/>
    <n v="1"/>
    <s v="2137"/>
    <x v="12"/>
    <s v="35.01"/>
    <s v="Hrishikesh Kamat"/>
    <s v="Hrishikesh Kamat"/>
    <n v="7"/>
    <s v="Procurement"/>
    <s v="Land Acquisition"/>
    <s v="35"/>
    <s v="Advisor - Land Acqusition"/>
    <m/>
    <s v="Land Acquisition"/>
    <s v=""/>
    <s v=""/>
    <s v="Non Technical Support"/>
    <s v="Corporate Relations"/>
    <s v="Corporate Affairs"/>
    <s v="74501001"/>
    <s v="Corporate Affairs"/>
    <s v="Hazira"/>
    <d v="1962-06-01T00:00:00"/>
    <s v="61.03"/>
    <d v="2022-11-28T00:00:00"/>
    <d v="2020-05-31T00:00:00"/>
    <d v="2023-11-28T00:00:00"/>
    <d v="2023-11-28T00:00:00"/>
    <n v="69"/>
    <s v="B+"/>
    <s v="Diploma-1984 , Intermediate-1976"/>
    <s v="37.09"/>
    <s v="00.09"/>
    <s v="38.06"/>
    <s v="70495436"/>
    <s v="Land Property"/>
    <s v="294610"/>
    <s v="Advisor – Land Surveyor"/>
    <s v="Hazira"/>
    <s v="0031950045"/>
    <s v="HZ-Works Accounts-Ha"/>
    <s v="2000HWO"/>
    <s v="20059561"/>
    <s v="Bhavdip Jathal"/>
    <s v="No"/>
    <s v="alamsinh.chauhan@amns.in"/>
    <s v="9825770580"/>
    <s v="1024779"/>
    <s v="Dhruv Vyas"/>
    <s v="Anil Matoo"/>
    <s v="Praveen Kuruvalli"/>
    <s v="Dhruv Vyas"/>
    <n v="0"/>
  </r>
  <r>
    <n v="7890"/>
    <n v="40002639"/>
    <s v="Balveer Bhandari"/>
    <s v="AMNS Khopoli"/>
    <s v="Onroll"/>
    <s v="Advisor"/>
    <m/>
    <m/>
    <s v="Advisor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2-06-22T00:00:00"/>
    <s v="61.03"/>
    <d v="2023-04-01T00:00:00"/>
    <d v="2022-06-30T00:00:00"/>
    <m/>
    <d v="2022-06-30T00:00:00"/>
    <n v="-447"/>
    <s v=""/>
    <s v=""/>
    <s v=""/>
    <s v="00.05"/>
    <s v="00.05"/>
    <s v="00051339"/>
    <s v="Excise"/>
    <s v="305212"/>
    <s v="New Acquisition"/>
    <s v="Non-payroll-relevant"/>
    <s v=""/>
    <s v=""/>
    <s v="1121KHOP"/>
    <s v="20055962"/>
    <s v="Navin Kewalramani"/>
    <s v="No"/>
    <s v="balveer.bhandari@amns.in"/>
    <s v="8879994156"/>
    <s v="1022220"/>
    <s v="Pritam Debbarma"/>
    <s v="Anil Matoo"/>
    <s v="-"/>
    <s v="Manjit Shah"/>
    <s v="-"/>
  </r>
  <r>
    <n v="7915"/>
    <n v="80127955"/>
    <s v="Kalpesh Raghunath Tawde"/>
    <s v="AM/NS India"/>
    <s v="Onroll"/>
    <s v="M-10"/>
    <n v="10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"/>
    <s v="Non Technical Support"/>
    <s v="Finance &amp; Accounts"/>
    <s v="Treasury"/>
    <s v="73903001"/>
    <s v="Treasury"/>
    <s v="Pune AMNS"/>
    <d v="1986-04-11T00:00:00"/>
    <s v="37.05"/>
    <d v="2007-08-16T00:00:00"/>
    <d v="2044-04-30T00:00:00"/>
    <m/>
    <d v="2044-04-30T00:00:00"/>
    <n v="7528"/>
    <s v=""/>
    <s v="Diploma-2007 , BCom-2006 , High School-2"/>
    <s v="09.01"/>
    <s v="16.01"/>
    <s v="25.02"/>
    <s v="70418544"/>
    <s v="Costing"/>
    <s v="70395939"/>
    <s v="Lead"/>
    <s v="Pune Facility"/>
    <s v="0035950020"/>
    <s v="Pune-F&amp;A"/>
    <s v="2000ESPF"/>
    <s v="20048971"/>
    <s v="Arindam Ganguly"/>
    <s v="No"/>
    <s v="kalpesh.tawde@amns.in"/>
    <s v="9930136551"/>
    <s v="24474"/>
    <s v="Dhruv Vyas"/>
    <s v="Anil Matoo"/>
    <s v="Praveen Kuruvalli"/>
    <s v="Dhruv Vyas"/>
    <n v="0"/>
  </r>
  <r>
    <n v="7916"/>
    <n v="80141906"/>
    <s v="Akhilesh Purohit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- Insurance"/>
    <m/>
    <s v="Risk &amp; Insurance"/>
    <s v="Risk &amp; Insurance"/>
    <s v=""/>
    <s v="Non Technical Support"/>
    <s v="International Supply &amp; Trading"/>
    <s v="Price Risk Management"/>
    <s v="72203047"/>
    <s v="Risk Management"/>
    <s v="Mumbai"/>
    <d v="1977-07-03T00:00:00"/>
    <s v="46.02"/>
    <d v="2011-03-14T00:00:00"/>
    <d v="2035-07-31T00:00:00"/>
    <m/>
    <d v="2035-07-31T00:00:00"/>
    <n v="4332"/>
    <s v="AB-"/>
    <s v="MBA-1999"/>
    <s v="07.05"/>
    <s v="12.06"/>
    <s v="19.11"/>
    <s v="70447071"/>
    <s v="Insurance &amp; Financial Risk"/>
    <s v="70490224"/>
    <s v="Lead - Insurance"/>
    <s v="Corporate"/>
    <s v="0090000028"/>
    <s v="Corporate Steel - Wo"/>
    <s v="2000CS"/>
    <s v="20017504"/>
    <s v="Appi Reddy Guttikonda"/>
    <s v="No"/>
    <s v="akhilesh.purohit@amns.in"/>
    <s v="9930134249"/>
    <s v="23598"/>
    <s v="Dhruv Vyas"/>
    <s v="Anil Matoo"/>
    <s v="Praveen Kuruvalli"/>
    <s v="Dhruv Vyas"/>
    <n v="0"/>
  </r>
  <r>
    <n v="7929"/>
    <n v="30072"/>
    <s v="David Rajkumar Ambrose"/>
    <s v="AM/NS SSL"/>
    <s v="Onroll"/>
    <s v="M-10"/>
    <n v="10"/>
    <m/>
    <s v="JM"/>
    <s v="M"/>
    <s v="Hazira"/>
    <n v="1"/>
    <m/>
    <x v="7"/>
    <s v="34.01"/>
    <s v="Ambrish Chaturvedi"/>
    <s v="Hrishikesh Kamat"/>
    <n v="7"/>
    <s v="Procurement"/>
    <s v="Stores &amp; Warehouse"/>
    <s v="34"/>
    <s v="Lead - Diesel supply"/>
    <m/>
    <s v="Stores &amp; Warehouse"/>
    <s v="Diesel supply"/>
    <m/>
    <m/>
    <m/>
    <s v="Lead - Diesel supply"/>
    <m/>
    <m/>
    <s v="Hazira"/>
    <d v="1981-09-06T00:00:00"/>
    <n v="42.02465753424657"/>
    <d v="2020-11-01T00:00:00"/>
    <d v="2039-09-30T00:00:00"/>
    <m/>
    <d v="2039-09-30T00:00:00"/>
    <n v="5854"/>
    <s v="B+ve"/>
    <s v="B.A'-2004"/>
    <n v="14.05"/>
    <n v="2.253251197809719"/>
    <n v="16.30325119780972"/>
    <m/>
    <m/>
    <m/>
    <s v="Lead - Diesel supply"/>
    <s v="SSL"/>
    <m/>
    <m/>
    <m/>
    <n v="20001164"/>
    <s v="Snehal Anjaria"/>
    <s v="No"/>
    <s v="David.rajkumar@ssl.AMNS.in"/>
    <n v="6357192754"/>
    <n v="810319"/>
    <s v="Manjit Shah"/>
    <s v="Anil Matoo"/>
    <n v="0"/>
    <s v="Manjit Shah"/>
    <n v="0"/>
  </r>
  <r>
    <n v="7933"/>
    <n v="30078"/>
    <s v="Virendra Singh"/>
    <s v="AM/NS SSL"/>
    <s v="Onroll"/>
    <s v="M-11"/>
    <n v="11"/>
    <m/>
    <s v="JM"/>
    <s v="M"/>
    <s v="Hazira"/>
    <n v="1"/>
    <m/>
    <x v="7"/>
    <s v="34.01"/>
    <s v="Ambrish Chaturvedi"/>
    <s v="Hrishikesh Kamat"/>
    <n v="7"/>
    <s v="Procurement"/>
    <s v="Stores &amp; Warehouse"/>
    <s v="34"/>
    <s v="Lead - Stores &amp; Warehouse"/>
    <m/>
    <s v="Stores &amp; Warehouse"/>
    <s v="Stores &amp; Warehouse"/>
    <m/>
    <m/>
    <m/>
    <s v="Lead - Stores &amp; Warehouse"/>
    <m/>
    <m/>
    <s v="Hazira"/>
    <d v="1987-05-14T00:00:00"/>
    <n v="36.33698630136986"/>
    <d v="2021-01-02T00:00:00"/>
    <d v="2045-05-31T00:00:00"/>
    <m/>
    <d v="2045-05-31T00:00:00"/>
    <n v="7924"/>
    <s v="O+ve"/>
    <s v="BA'2009, DBM'2011"/>
    <n v="8.050000000000001"/>
    <n v="2.083504449007529"/>
    <n v="10.13350444900753"/>
    <m/>
    <m/>
    <m/>
    <s v="Lead - Stores &amp; Warehouse"/>
    <s v="SSL"/>
    <m/>
    <m/>
    <m/>
    <n v="20001164"/>
    <s v="Snehal Anjaria"/>
    <s v="No"/>
    <s v="Virendra.Singh@ssl.AMNS.in"/>
    <n v="9925241063"/>
    <n v="818991"/>
    <s v="Manjit Shah"/>
    <s v="Anil Matoo"/>
    <n v="0"/>
    <s v="Manjit Shah"/>
    <n v="0"/>
  </r>
  <r>
    <n v="7998"/>
    <n v="30094"/>
    <s v="Prashant Vilas Mandavekar"/>
    <s v="AM/NS SSL"/>
    <s v="Onroll"/>
    <s v="M-9"/>
    <n v="9"/>
    <m/>
    <s v="JM"/>
    <s v="M"/>
    <s v="Hazira"/>
    <n v="1"/>
    <m/>
    <x v="23"/>
    <s v="26.11"/>
    <s v="Anil Matoo"/>
    <s v="Ashutosh Telang"/>
    <n v="6"/>
    <s v="HR &amp; Administration"/>
    <s v="Payroll Administration"/>
    <s v="26"/>
    <s v="Lead - HR, IR &amp; Admin"/>
    <m/>
    <s v="HR, IR &amp; Admin"/>
    <s v="HR, IR &amp; Admin"/>
    <m/>
    <m/>
    <m/>
    <s v="Lead - HR, IR &amp; Admin"/>
    <m/>
    <m/>
    <s v="Hazira"/>
    <d v="1988-02-25T00:00:00"/>
    <n v="35.55068493150685"/>
    <d v="2021-06-15T00:00:00"/>
    <d v="2046-02-28T00:00:00"/>
    <m/>
    <d v="2046-02-28T00:00:00"/>
    <n v="8197"/>
    <s v="O+ve"/>
    <s v="MBA- HR 2012, BHTMS 2008"/>
    <n v="8"/>
    <n v="1.634496919917864"/>
    <n v="9.634496919917865"/>
    <m/>
    <m/>
    <m/>
    <s v="Lead - HR, IR &amp; Admin"/>
    <s v="SSL"/>
    <m/>
    <m/>
    <m/>
    <n v="20055071"/>
    <s v="Anirudha Bisoyi"/>
    <s v="No"/>
    <s v="Prashant.Mandavekar@ssl.AMNS.in"/>
    <n v="7486036266"/>
    <n v="846926"/>
    <s v="Manjit Shah"/>
    <s v="Anil Matoo"/>
    <n v="0"/>
    <s v="Manjit Shah"/>
    <n v="0"/>
  </r>
  <r>
    <n v="7999"/>
    <n v="30106"/>
    <s v="Pinkesh Maheshkumar Bhutwala"/>
    <s v="AM/NS SSL"/>
    <s v="Onroll"/>
    <s v="M-9"/>
    <n v="9"/>
    <m/>
    <s v="JM"/>
    <s v="M"/>
    <s v="Hazira"/>
    <n v="1"/>
    <m/>
    <x v="23"/>
    <s v="26.11"/>
    <s v="Anil Matoo"/>
    <s v="Ashutosh Telang"/>
    <n v="6"/>
    <s v="HR &amp; Administration"/>
    <s v="Payroll Administration"/>
    <s v="26"/>
    <s v="Lead - HR, IR &amp; Admin"/>
    <m/>
    <s v="HR, IR &amp; Admin"/>
    <s v="HR, IR &amp; Admin"/>
    <m/>
    <m/>
    <m/>
    <s v="Lead - HR, IR &amp; Admin"/>
    <m/>
    <m/>
    <s v="Hazira"/>
    <d v="1992-10-23T00:00:00"/>
    <n v="30.88767123287671"/>
    <d v="2022-09-01T00:00:00"/>
    <d v="2050-10-31T00:00:00"/>
    <m/>
    <d v="2050-10-31T00:00:00"/>
    <n v="9903"/>
    <s v="B+ve"/>
    <s v="P.G.D. HRM-2016,MLW-2016,B. Com.-2014"/>
    <n v="7"/>
    <n v="0.4216290212183436"/>
    <n v="7.421629021218344"/>
    <m/>
    <m/>
    <m/>
    <s v="Lead - HR, IR &amp; Admin"/>
    <s v="SSL"/>
    <m/>
    <m/>
    <m/>
    <n v="20055071"/>
    <s v="Anirudha Bisoyi"/>
    <s v="No"/>
    <s v="pinkesh.bhutwala@ssl.amns.in"/>
    <n v="9624569689"/>
    <n v="1015823"/>
    <s v="Manjit Shah"/>
    <s v="Anil Matoo"/>
    <s v="-"/>
    <s v="Manjit Shah"/>
    <s v="-"/>
  </r>
  <r>
    <n v="8000"/>
    <n v="30132"/>
    <s v="Pareshbhai Nathubhai Patel"/>
    <s v="AM/NS SSL"/>
    <s v="Onroll"/>
    <s v="M-9"/>
    <n v="9"/>
    <m/>
    <s v="JM"/>
    <s v="M"/>
    <s v="Hazira"/>
    <n v="1"/>
    <m/>
    <x v="12"/>
    <s v="35.01"/>
    <s v="Hrishikesh Kamat"/>
    <s v="Hrishikesh Kamat"/>
    <n v="7"/>
    <s v="Procurement"/>
    <s v="Land Acquisition"/>
    <s v="35"/>
    <s v="Officer-Land Acqusition"/>
    <m/>
    <s v="Land Acquisition"/>
    <s v="Land Acquisition"/>
    <m/>
    <m/>
    <m/>
    <s v="Officer-Land Matters"/>
    <m/>
    <m/>
    <s v="Hazira"/>
    <d v="1982-05-16T00:00:00"/>
    <n v="41.33424657534247"/>
    <d v="2022-10-06T00:00:00"/>
    <d v="2040-05-31T00:00:00"/>
    <m/>
    <d v="2040-05-31T00:00:00"/>
    <n v="6098"/>
    <s v="AB+ve"/>
    <s v="B.A.-2016"/>
    <n v="5"/>
    <n v="0.3258042436687201"/>
    <n v="5.325804243668721"/>
    <m/>
    <m/>
    <m/>
    <s v="Officer-Land Matters"/>
    <s v="SSL"/>
    <m/>
    <m/>
    <m/>
    <n v="20057928"/>
    <s v="Manu Kapoor"/>
    <s v="No"/>
    <s v="paresh.patel@ssl.amns.in"/>
    <n v="7283833888"/>
    <m/>
    <s v="Manjit Shah"/>
    <s v="Anil Matoo"/>
    <s v="-"/>
    <s v="Manjit Shah"/>
    <s v="-"/>
  </r>
  <r>
    <n v="8001"/>
    <n v="30140"/>
    <s v="Shurtik Prasadbhai Patel"/>
    <s v="AM/NS SSL"/>
    <s v="Onroll"/>
    <s v="M-11"/>
    <n v="11"/>
    <m/>
    <s v="JM"/>
    <s v="M"/>
    <s v="Hazira"/>
    <n v="1"/>
    <m/>
    <x v="12"/>
    <s v="35.01"/>
    <s v="Hrishikesh Kamat"/>
    <s v="Hrishikesh Kamat"/>
    <n v="7"/>
    <s v="Procurement"/>
    <s v="Land Acquisition"/>
    <s v="35"/>
    <s v="Officer-Land Matters"/>
    <m/>
    <s v="Land Acquisition"/>
    <s v="Land Matters"/>
    <m/>
    <m/>
    <m/>
    <s v="Officer-Land Matters"/>
    <m/>
    <m/>
    <s v="Hazira"/>
    <d v="2001-01-01T00:00:00"/>
    <n v="22.69041095890411"/>
    <d v="2022-11-04T00:00:00"/>
    <d v="2058-12-31T00:00:00"/>
    <m/>
    <d v="2058-12-31T00:00:00"/>
    <n v="12886"/>
    <m/>
    <s v="H.S.C.-2018, S.S.C.-2016"/>
    <n v="3"/>
    <n v="0.2464065708418891"/>
    <n v="3.246406570841889"/>
    <m/>
    <m/>
    <m/>
    <s v="Officer-Land Matters"/>
    <s v="SSL"/>
    <m/>
    <m/>
    <m/>
    <n v="20057714"/>
    <s v="Anand Purohit"/>
    <s v="No"/>
    <s v="shurtik.patel@ssl.amns.in"/>
    <n v="9925094876"/>
    <n v="1025511"/>
    <s v="Manjit Shah"/>
    <s v="Anil Matoo"/>
    <s v="-"/>
    <s v="Manjit Shah"/>
    <s v="-"/>
  </r>
  <r>
    <n v="8040"/>
    <n v="30192"/>
    <s v="Vasantbhai Patel"/>
    <s v="AM/NS SSL"/>
    <s v="Onroll"/>
    <s v="M-11"/>
    <n v="11"/>
    <m/>
    <s v="JM"/>
    <s v="M"/>
    <s v="Hazira"/>
    <n v="1"/>
    <m/>
    <x v="6"/>
    <s v="24.08"/>
    <s v="Anil Matoo"/>
    <s v="Ashutosh Telang"/>
    <n v="6"/>
    <s v="HR &amp; Administration"/>
    <s v="Administration"/>
    <s v="24"/>
    <s v="Management Associate"/>
    <m/>
    <m/>
    <m/>
    <m/>
    <m/>
    <m/>
    <s v="Management Associate"/>
    <m/>
    <m/>
    <s v="Hazira"/>
    <d v="1987-05-28T00:00:00"/>
    <n v="36.2986301369863"/>
    <d v="2023-04-01T00:00:00"/>
    <d v="2045-05-31T00:00:00"/>
    <m/>
    <d v="2045-05-31T00:00:00"/>
    <n v="7924"/>
    <s v="O+ve"/>
    <s v="SSC-2002, ITI (MMCP) - 2004"/>
    <n v="16"/>
    <n v="0.4301369863013699"/>
    <n v="16.43013698630137"/>
    <m/>
    <m/>
    <m/>
    <s v="Management Associate"/>
    <s v="SSL"/>
    <m/>
    <m/>
    <m/>
    <n v="20056012"/>
    <s v="Ujwal Punia"/>
    <s v="No"/>
    <s v="vasant.patel@ssl.amns.in"/>
    <n v="7227043135"/>
    <m/>
    <s v="Manjit Shah"/>
    <s v="Anil Matoo"/>
    <s v="-"/>
    <s v="Manjit Shah"/>
    <s v="-"/>
  </r>
  <r>
    <n v="8051"/>
    <n v="30203"/>
    <s v="Yunas Ali"/>
    <s v="AM/NS SSL"/>
    <s v="Onroll"/>
    <s v="M-11"/>
    <n v="11"/>
    <m/>
    <s v="JM"/>
    <s v="M"/>
    <s v="Hazira"/>
    <n v="1"/>
    <m/>
    <x v="6"/>
    <s v="24.08"/>
    <s v="Anil Matoo"/>
    <s v="Ashutosh Telang"/>
    <n v="6"/>
    <s v="HR &amp; Administration"/>
    <s v="Administration"/>
    <s v="24"/>
    <s v="Associate"/>
    <m/>
    <m/>
    <m/>
    <m/>
    <m/>
    <m/>
    <s v="Associate"/>
    <m/>
    <m/>
    <s v="Hazira"/>
    <d v="1974-09-01T00:00:00"/>
    <n v="49.04383561643836"/>
    <d v="2023-04-13T00:00:00"/>
    <d v="2032-08-31T00:00:00"/>
    <d v="2025-04-13T00:00:00"/>
    <d v="2025-04-13T00:00:00"/>
    <n v="3268"/>
    <s v="B+ve"/>
    <s v="Army Graduate - 2012"/>
    <n v="23"/>
    <n v="0.3972602739726027"/>
    <n v="23.3972602739726"/>
    <m/>
    <m/>
    <m/>
    <s v="Associate"/>
    <s v="SSL"/>
    <m/>
    <m/>
    <m/>
    <n v="1770495"/>
    <s v="Remya P R"/>
    <s v="No"/>
    <s v="yunas.ali@ssl.amns.in"/>
    <n v="8094347207"/>
    <m/>
    <s v="Manjit Shah"/>
    <s v="Anil Matoo"/>
    <s v="-"/>
    <s v="Manjit Shah"/>
    <s v="-"/>
  </r>
  <r>
    <n v="8066"/>
    <n v="30218"/>
    <s v="Sowmiya Venkatramani"/>
    <s v="AM/NS SSL"/>
    <s v="Onroll"/>
    <s v="M-11"/>
    <n v="11"/>
    <m/>
    <s v="JM"/>
    <s v="F"/>
    <s v="Hazira"/>
    <n v="1"/>
    <m/>
    <x v="1"/>
    <s v="22.06"/>
    <s v="Anil Matoo"/>
    <s v="Ashutosh Telang"/>
    <n v="6"/>
    <s v="HR &amp; Administration"/>
    <s v="Human Resources"/>
    <s v="22"/>
    <s v="Management Associate"/>
    <m/>
    <m/>
    <m/>
    <m/>
    <m/>
    <m/>
    <s v="Management Associate"/>
    <m/>
    <m/>
    <s v="Hazira"/>
    <s v="17/06/1992"/>
    <n v="31.23835616438356"/>
    <s v="01/08/2023"/>
    <d v="2050-06-30T00:00:00"/>
    <d v="2025-08-01T00:00:00"/>
    <d v="2025-08-01T00:00:00"/>
    <n v="9780"/>
    <s v="A+ve"/>
    <s v="MSW - 2016"/>
    <n v="5.05"/>
    <n v="0.0958904109589041"/>
    <n v="5.145890410958904"/>
    <m/>
    <m/>
    <m/>
    <s v="Management Associate"/>
    <s v="SSL"/>
    <m/>
    <m/>
    <m/>
    <n v="20001265"/>
    <s v="Lakshman Iyer"/>
    <s v="No"/>
    <s v="sowmiya.venkatramani@ssl.amns.in"/>
    <n v="9662315712"/>
    <m/>
    <s v="Manjit Shah"/>
    <s v="Anil Matoo"/>
    <s v="-"/>
    <s v="Manjit Shah"/>
    <s v="-"/>
  </r>
  <r>
    <n v="8068"/>
    <n v="30220"/>
    <s v="Jennifer Varghese"/>
    <s v="AM/NS SSL"/>
    <s v="Onroll"/>
    <s v="M-11"/>
    <n v="11"/>
    <m/>
    <s v="JM"/>
    <s v="F"/>
    <s v="Hazira"/>
    <n v="1"/>
    <m/>
    <x v="6"/>
    <s v="24.08"/>
    <s v="Anil Matoo"/>
    <s v="Ashutosh Telang"/>
    <n v="6"/>
    <s v="HR &amp; Administration"/>
    <s v="Administration"/>
    <s v="24"/>
    <s v="Associate"/>
    <m/>
    <m/>
    <m/>
    <m/>
    <m/>
    <m/>
    <s v="Associate"/>
    <m/>
    <m/>
    <s v="Hazira"/>
    <s v="05/11/1990"/>
    <n v="32.85479452054795"/>
    <s v="07/08/2023"/>
    <d v="2048-11-30T00:00:00"/>
    <d v="2025-08-07T00:00:00"/>
    <d v="2025-08-07T00:00:00"/>
    <n v="9203"/>
    <s v="B +ve"/>
    <s v="B.Com. - 2012"/>
    <n v="10"/>
    <n v="0.07945205479452055"/>
    <n v="10.07945205479452"/>
    <m/>
    <m/>
    <m/>
    <s v="Associate"/>
    <s v="SSL"/>
    <m/>
    <m/>
    <m/>
    <n v="20057891"/>
    <s v="Bhavik Mehta"/>
    <s v="No"/>
    <s v="jennifer.varghese@ssl.amns.in"/>
    <n v="7045727810"/>
    <m/>
    <s v="Manjit Shah"/>
    <s v="Anil Matoo"/>
    <s v="-"/>
    <s v="Manjit Shah"/>
    <s v="-"/>
  </r>
  <r>
    <n v="8068"/>
    <n v="1111"/>
    <s v="Vidyasagar Kona"/>
    <s v="AM/NS India"/>
    <m/>
    <s v="M-6"/>
    <m/>
    <m/>
    <m/>
    <m/>
    <s v="Corporate"/>
    <m/>
    <m/>
    <x v="19"/>
    <m/>
    <s v="Raghavan Aravamudhan"/>
    <s v="Dilip Oommen"/>
    <m/>
    <s v="CEO Office"/>
    <s v="Business Strategy"/>
    <m/>
    <s v="Analyst - Business Strategy"/>
    <m/>
    <s v="Business Strategy"/>
    <s v="Business Strateg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count="1030">
  <r>
    <n v="1"/>
    <n v="20000057"/>
    <s v="Vivek Sanil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Section Head - Banking"/>
    <m/>
    <s v="Treasury &amp; Banking"/>
    <s v="Banking"/>
    <s v="Treasury &amp; Finance"/>
    <s v="Non Technical Support"/>
    <s v="Finance &amp; Accounts"/>
    <s v="Treasury"/>
    <s v="73903001"/>
    <s v="Treasury"/>
    <s v="Mumbai"/>
    <d v="1966-08-12T00:00:00"/>
    <s v="57.01"/>
    <d v="1987-01-01T00:00:00"/>
    <d v="2024-08-31T00:00:00"/>
    <m/>
    <d v="2024-08-31T00:00:00"/>
    <n v="346"/>
    <s v="O-"/>
    <s v="BCom-1989"/>
    <s v=""/>
    <s v="36.08"/>
    <s v="36.08"/>
    <s v="70101920"/>
    <s v="Treasury - Mumbai"/>
    <s v="72153381"/>
    <s v="Section Head - Banking"/>
    <s v="Hazira"/>
    <s v="0090000028"/>
    <s v="Corporate Steel - Wo"/>
    <s v="2000HWO"/>
    <s v="20000870"/>
    <s v="Balajee M"/>
    <s v="No"/>
    <s v="vivek.sanil@amns.in"/>
    <s v="9819730117"/>
    <s v="23918"/>
    <s v="Dhruv Vyas"/>
    <s v="Anil Matoo"/>
    <s v="Praveen Kuruvalli"/>
    <s v="Dhruv Vyas"/>
    <n v="0"/>
  </r>
  <r>
    <n v="2"/>
    <n v="20000083"/>
    <s v="Anil Matoo"/>
    <s v="AM/NS India"/>
    <s v="Onroll"/>
    <s v="M-2"/>
    <n v="2"/>
    <m/>
    <s v="TM"/>
    <s v="M"/>
    <s v="Corporate"/>
    <n v="7"/>
    <s v="2015"/>
    <x v="1"/>
    <s v="22.06"/>
    <s v="Ashutosh Telang"/>
    <s v="Ashutosh Telang"/>
    <n v="6"/>
    <s v="HR &amp; Administration"/>
    <s v="Human Resources"/>
    <s v="22"/>
    <s v="Head - HR IR &amp; Admin"/>
    <m/>
    <s v="Human Resources"/>
    <s v="HR &amp; Administration"/>
    <s v="HR &amp; Administration"/>
    <s v="Non Technical Support"/>
    <s v="Human Resources Management"/>
    <s v="Human Resources Management"/>
    <s v="73501001"/>
    <s v="Human Resources"/>
    <s v="AM/NS Hazira"/>
    <d v="1964-04-29T00:00:00"/>
    <s v="59.04"/>
    <d v="1988-08-29T00:00:00"/>
    <d v="2024-04-30T00:00:00"/>
    <m/>
    <d v="2024-04-30T00:00:00"/>
    <n v="223"/>
    <s v="O-"/>
    <s v="MBA-2011 , MSW-1988 , BSc-1988"/>
    <s v="01.00"/>
    <s v="35.00"/>
    <s v="36.00"/>
    <s v="70040651"/>
    <s v="HR Operations, IR &amp; Administration"/>
    <s v="70444350"/>
    <s v="Head - HR IR &amp; Admin"/>
    <s v="Confidential Payroll"/>
    <s v="0090000018"/>
    <s v="CORP Group - HR"/>
    <s v="2000CS"/>
    <s v="20059024"/>
    <s v="Keiji Kubota"/>
    <s v="No"/>
    <s v="anil.matoo@amns.in"/>
    <s v="9879102999"/>
    <s v="22563"/>
    <s v="Dhruv Vyas"/>
    <s v="Anil Matoo"/>
    <s v="Praveen Kuruvalli"/>
    <s v="Dhruv Vyas"/>
    <n v="0"/>
  </r>
  <r>
    <n v="3"/>
    <n v="20000103"/>
    <s v="M K Sachidanandan Panicker"/>
    <s v="AM/NS India"/>
    <s v="Onroll"/>
    <s v="M-5"/>
    <n v="5"/>
    <m/>
    <s v="MM"/>
    <s v="M"/>
    <s v="Hazira"/>
    <n v="1"/>
    <s v="2039"/>
    <x v="2"/>
    <s v="43.01"/>
    <s v="Sangeeta Munjal"/>
    <s v="Manu Kapoor"/>
    <n v="10"/>
    <s v="Corporate Affairs"/>
    <s v="Corporate Affairs"/>
    <s v="43"/>
    <s v="Sr. Lead - Corporate Affairs"/>
    <m/>
    <s v="Corporate Affairs"/>
    <s v="Corporate Relations Group"/>
    <s v="Corporate Relations Group"/>
    <s v="Non Technical Support"/>
    <s v="Corporate Relations"/>
    <s v="Corporate Affairs"/>
    <s v="74501001"/>
    <s v="Corporate Affairs"/>
    <s v="Ahmedabad"/>
    <d v="1962-05-15T00:00:00"/>
    <s v="61.04"/>
    <d v="1989-04-10T00:00:00"/>
    <d v="2020-05-31T00:00:00"/>
    <d v="2024-03-31T00:00:00"/>
    <d v="2024-03-31T00:00:00"/>
    <n v="193"/>
    <s v="A-"/>
    <s v="Intermediate-1998 , BA-1998"/>
    <s v="06.07"/>
    <s v="34.05"/>
    <s v="41.00"/>
    <s v="70492729"/>
    <s v="Corporate Affairs - Gujarat"/>
    <s v="70323864"/>
    <s v="JGM - Corporate Affairs"/>
    <s v="Hazira"/>
    <s v="0090000016"/>
    <s v="Corporate Steel - Co"/>
    <s v="2000HWO"/>
    <s v="20055200"/>
    <s v="Umesh Nayak"/>
    <s v="No"/>
    <s v="sachidanandan.panicker@amns.in"/>
    <s v="9979868801"/>
    <s v="22965"/>
    <s v="Dhruv Vyas"/>
    <s v="Anil Matoo"/>
    <s v="Praveen Kuruvalli"/>
    <s v="Dhruv Vyas"/>
    <n v="0"/>
  </r>
  <r>
    <n v="7"/>
    <n v="20000138"/>
    <s v="Suresh Iyer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- Internal Contro &amp; SOX"/>
    <m/>
    <s v="Internal Control &amp; SOX"/>
    <s v="Internal Control &amp; SOX"/>
    <s v="Internal Audit"/>
    <s v="Non Technical Support"/>
    <s v="Chairman's Secretariat"/>
    <s v="Chairman's Secretariat"/>
    <s v="74701000"/>
    <s v="Chairman's Secretariat"/>
    <s v="Mumbai"/>
    <d v="1965-08-25T00:00:00"/>
    <s v="58.00"/>
    <d v="1989-10-16T00:00:00"/>
    <d v="2023-08-31T00:00:00"/>
    <m/>
    <d v="2023-08-31T00:00:00"/>
    <n v="-20"/>
    <s v="O-"/>
    <s v="ICWA Final-1989 , CA Final-1989"/>
    <s v=""/>
    <s v="33.11"/>
    <s v="33.11"/>
    <s v="72150219"/>
    <s v="Internal Control &amp; SOX -1"/>
    <s v="70028340"/>
    <s v="Head - Internal Contro &amp; SOX"/>
    <s v="Corporate"/>
    <s v="0031950043"/>
    <s v="HZ-Performance Manag"/>
    <s v="2000CS"/>
    <s v="20055088"/>
    <s v="Amit Harlalka"/>
    <s v="No"/>
    <s v="suresh.iyer@amns.in"/>
    <s v="9819730194"/>
    <s v="21934"/>
    <s v="Dhruv Vyas"/>
    <s v="Anil Matoo"/>
    <s v="Praveen Kuruvalli"/>
    <s v="Dhruv Vyas"/>
    <n v="0"/>
  </r>
  <r>
    <n v="11"/>
    <n v="20000200"/>
    <s v="A Venkateswara Rao"/>
    <s v="AM/NS India"/>
    <s v="Onroll"/>
    <s v="M-6"/>
    <n v="6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Section In-Charge- Procurement"/>
    <m/>
    <s v="Procurement"/>
    <s v="Purchase"/>
    <s v="Purchase"/>
    <s v="Non Technical Support"/>
    <s v="Commercial"/>
    <s v="Purchase"/>
    <s v="73804001"/>
    <s v="Purchase"/>
    <s v="Vizag"/>
    <d v="1966-08-31T00:00:00"/>
    <s v="57.00"/>
    <d v="1990-08-08T00:00:00"/>
    <d v="2024-08-31T00:00:00"/>
    <m/>
    <d v="2024-08-31T00:00:00"/>
    <n v="346"/>
    <s v="B-"/>
    <s v="Diploma-2011 , MBA-2011 , BCom-1988"/>
    <s v="01.06"/>
    <s v="33.01"/>
    <s v="34.07"/>
    <s v="00048348"/>
    <s v="Procurement - Vizag"/>
    <s v="72150331"/>
    <s v="Section In-Charge- Procurement"/>
    <s v="Vizag"/>
    <s v="0028030019"/>
    <s v="VIZ-Personnel &amp; Admi"/>
    <s v="2000VIZOPS"/>
    <s v="20011945"/>
    <s v="Raghavendra Rao Yerramsetty"/>
    <s v="No"/>
    <s v="venkateshwara.rao@amns.in"/>
    <s v="9885310935"/>
    <s v="23719"/>
    <s v="DS Varma"/>
    <s v="Anil Matoo"/>
    <s v="Praveen Kuruvalli"/>
    <s v="Dhruv Vyas"/>
    <n v="0"/>
  </r>
  <r>
    <n v="12"/>
    <n v="20000201"/>
    <s v="Manish Bakriwala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Head -Procurement (MRO/IP &amp; Consumables"/>
    <m/>
    <s v="Procurement MRO Hazira"/>
    <s v="Procurement"/>
    <s v="Procurement"/>
    <s v="Non Technical Support"/>
    <s v="Commercial"/>
    <s v="Procurement"/>
    <s v="73803001"/>
    <s v="Procurement"/>
    <s v="AM/NS Hazira"/>
    <d v="1968-04-06T00:00:00"/>
    <s v="55.05"/>
    <d v="1990-08-20T00:00:00"/>
    <d v="2026-04-30T00:00:00"/>
    <m/>
    <d v="2026-04-30T00:00:00"/>
    <n v="953"/>
    <s v="AB-"/>
    <s v="BE-1985 , Intermediate-1985"/>
    <s v="00.08"/>
    <s v="33.00"/>
    <s v="33.08"/>
    <s v="72150383"/>
    <s v="Procurement (MRO/IP &amp; Consumable)"/>
    <s v="72152818"/>
    <s v="Head -Procurement (MRO/IP &amp; Consumables"/>
    <s v="Hazira"/>
    <s v="0031950048"/>
    <s v="HZ-Procurment Depart"/>
    <s v="2000HWO"/>
    <s v="20055090"/>
    <s v="Hrishikesh Kamat"/>
    <s v="No"/>
    <s v="manish.bakriwala@amns.in"/>
    <s v="9909901215"/>
    <s v="21143"/>
    <s v="Dhruv Vyas"/>
    <s v="Anil Matoo"/>
    <s v="Praveen Kuruvalli"/>
    <s v="Dhruv Vyas"/>
    <n v="0"/>
  </r>
  <r>
    <n v="19"/>
    <n v="20000253"/>
    <s v="Deepak Sindkar"/>
    <s v="AM/NS India"/>
    <s v="Onroll"/>
    <s v="M-3"/>
    <n v="3"/>
    <m/>
    <s v="SM"/>
    <s v="M"/>
    <s v="Hazira"/>
    <n v="1"/>
    <s v="2095"/>
    <x v="4"/>
    <n v="36.01"/>
    <s v="Hrishikesh Kamat"/>
    <s v="Hrishikesh Kamat"/>
    <n v="7"/>
    <s v="Procurement"/>
    <s v="Raw Materials"/>
    <s v="36"/>
    <s v="Head - Bulk Raw Material"/>
    <m/>
    <s v="Bulk Raw Materials"/>
    <s v="Raw Material"/>
    <s v="Bulk Raw Material"/>
    <s v="Non Technical Support"/>
    <s v="Commercial"/>
    <s v="Procurement"/>
    <s v="73803001"/>
    <s v="Procurement"/>
    <s v="AM/NS Hazira"/>
    <d v="1967-12-11T00:00:00"/>
    <s v="55.09"/>
    <d v="1991-04-22T00:00:00"/>
    <d v="2025-12-31T00:00:00"/>
    <m/>
    <d v="2025-12-31T00:00:00"/>
    <n v="833"/>
    <s v="B-"/>
    <s v="PG Diploma in Management-1991 , BE-1991"/>
    <s v=""/>
    <s v="32.04"/>
    <s v="32.04"/>
    <s v="70072409"/>
    <s v="Bulk Raw Materials"/>
    <s v="72150892"/>
    <s v="Head - Bulk Raw Material"/>
    <s v="Confidential Payroll"/>
    <s v="0031950048"/>
    <s v="HZ-Procurment Depart"/>
    <s v="2000HWO"/>
    <s v="20055090"/>
    <s v="Hrishikesh Kamat"/>
    <s v="No"/>
    <s v="deepak.sindkar@amns.in"/>
    <s v="9879100345"/>
    <s v="24214"/>
    <s v="Dhruv Vyas"/>
    <s v="Anil Matoo"/>
    <s v="Praveen Kuruvalli"/>
    <s v="Dhruv Vyas"/>
    <n v="0"/>
  </r>
  <r>
    <n v="25"/>
    <n v="20000273"/>
    <s v="Satyanarayan Iyer"/>
    <s v="AM/NS India"/>
    <s v="Onroll"/>
    <s v="M-8"/>
    <n v="8"/>
    <m/>
    <s v="JM"/>
    <s v="M"/>
    <s v="Corporate"/>
    <n v="7"/>
    <s v="2260"/>
    <x v="5"/>
    <s v="01.01"/>
    <s v="Dilip Oommen"/>
    <s v="Dilip Oommen"/>
    <n v="1"/>
    <s v="CEO Office"/>
    <s v="CEO Office"/>
    <s v="01"/>
    <s v="Secretary to CEO"/>
    <m/>
    <s v="CEO Office"/>
    <s v="CEO Office"/>
    <s v=""/>
    <s v="Non Technical Support"/>
    <s v="Secretary"/>
    <s v="Secretary"/>
    <s v="74601000"/>
    <s v="Secretary"/>
    <s v="AM/NS Hazira"/>
    <d v="1963-02-17T00:00:00"/>
    <s v="60.07"/>
    <d v="1991-09-01T00:00:00"/>
    <d v="2021-02-28T00:00:00"/>
    <d v="2023-08-31T00:00:00"/>
    <d v="2023-08-31T00:00:00"/>
    <n v="-20"/>
    <s v="O-"/>
    <s v="SSLC-1978"/>
    <s v="08.03"/>
    <s v="32.00"/>
    <s v="40.03"/>
    <s v="70176006"/>
    <s v="CEO Office"/>
    <s v="70226714"/>
    <s v="Secretary to CEO"/>
    <s v="Corporate"/>
    <s v="0090000010"/>
    <s v="CEO OFFICE"/>
    <s v="2000CS"/>
    <s v="20055068"/>
    <s v="Dilip Oommen"/>
    <s v="No"/>
    <s v="satyanarayan.iyer@amns.in"/>
    <s v="9879101739"/>
    <s v="21933"/>
    <s v="Dhruv Vyas"/>
    <s v="Anil Matoo"/>
    <s v="Praveen Kuruvalli"/>
    <s v="Dhruv Vyas"/>
    <n v="0"/>
  </r>
  <r>
    <n v="31"/>
    <n v="20000318"/>
    <s v="Gulammohamad Agahasham Vahora"/>
    <s v="AM/NS India"/>
    <s v="Onroll"/>
    <s v="M-7"/>
    <n v="7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- Travel Desk"/>
    <m/>
    <s v="Administration"/>
    <s v=""/>
    <s v=""/>
    <s v="Non Technical Support"/>
    <s v="Administration"/>
    <s v="Travel Services"/>
    <s v="74106002"/>
    <s v="Transport Operations"/>
    <s v="AM/NS Hazira"/>
    <d v="1965-06-07T00:00:00"/>
    <s v="58.03"/>
    <d v="1991-11-16T00:00:00"/>
    <d v="2023-06-30T00:00:00"/>
    <d v="2024-06-30T00:00:00"/>
    <d v="2024-06-30T00:00:00"/>
    <n v="284"/>
    <s v="O-"/>
    <s v="BA-1990"/>
    <s v="02.10"/>
    <s v="31.10"/>
    <s v="34.07"/>
    <s v="00046249"/>
    <s v="Travel Desk"/>
    <s v="70493534"/>
    <s v="Head - Travel Desk"/>
    <s v="Hazira"/>
    <s v="0031950061"/>
    <s v="HZ-Human Resource"/>
    <s v="2000HWO"/>
    <s v="20000083"/>
    <s v="Anil Matoo"/>
    <s v="No"/>
    <s v="gulammohamad.vahora@amns.in"/>
    <s v="9879101212"/>
    <s v="24620"/>
    <s v="Dhruv Vyas"/>
    <s v="Anil Matoo"/>
    <s v="Praveen Kuruvalli"/>
    <s v="Dhruv Vyas"/>
    <n v="0"/>
  </r>
  <r>
    <n v="34"/>
    <n v="20000329"/>
    <s v="Ashwinbhai Patel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67-06-30T00:00:00"/>
    <s v="56.02"/>
    <d v="1991-12-02T00:00:00"/>
    <d v="2025-06-30T00:00:00"/>
    <m/>
    <d v="2025-06-30T00:00:00"/>
    <n v="649"/>
    <s v="B-"/>
    <s v="High School-1991"/>
    <s v=""/>
    <s v="31.09"/>
    <s v="31.09"/>
    <s v="00044156"/>
    <s v="Indirect Taxation - 2"/>
    <s v="70259332"/>
    <s v="Lead - Customs"/>
    <s v="Hazira"/>
    <s v="0031950044"/>
    <s v="HZ-Commercial Taxati"/>
    <s v="2000HWO"/>
    <s v="20006246"/>
    <s v="Deven Sadadiwala"/>
    <s v="No"/>
    <s v="ashwinbhai.patel@amns.in"/>
    <s v="9879102338"/>
    <s v="23094"/>
    <s v="Dhruv Vyas"/>
    <s v="Anil Matoo"/>
    <s v="Praveen Kuruvalli"/>
    <s v="Dhruv Vyas"/>
    <n v="0"/>
  </r>
  <r>
    <n v="35"/>
    <n v="20000330"/>
    <s v="Arvindbhai Patel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Receipt"/>
    <m/>
    <s v="Stores &amp; Warehouse"/>
    <s v="Stores &amp; Warehouse"/>
    <s v="&quot;&quot;&quot;Issue &amp; Receipt - Oil &amp; Gas"/>
    <s v="Non Technical Support"/>
    <s v="Commercial"/>
    <s v="Stores &amp; Warehouse"/>
    <s v="73806001"/>
    <s v="Stores &amp; Warehouse"/>
    <s v="Hazira"/>
    <d v="1967-11-14T00:00:00"/>
    <s v="55.10"/>
    <d v="1991-12-02T00:00:00"/>
    <d v="2025-11-30T00:00:00"/>
    <m/>
    <d v="2025-11-30T00:00:00"/>
    <n v="802"/>
    <s v="B-"/>
    <s v="High School-1984"/>
    <s v=""/>
    <s v="31.09"/>
    <s v="31.09"/>
    <s v="00048783"/>
    <s v="HBI, BF, Plant B &amp; Plate Mill"/>
    <s v="70226659"/>
    <s v="Section Officer - Issue/Receipt"/>
    <s v="Hazira"/>
    <s v="0031950049"/>
    <s v="HZ-Central Stores"/>
    <s v="2000HWO"/>
    <s v="20005165"/>
    <s v="Parthiv Desai"/>
    <s v="No"/>
    <s v="arvind.patel@amns.in"/>
    <s v="9879102337"/>
    <s v="23088"/>
    <s v="Dhruv Vyas"/>
    <s v="Anil Matoo"/>
    <s v="Praveen Kuruvalli"/>
    <s v="Dhruv Vyas"/>
    <n v="0"/>
  </r>
  <r>
    <n v="53"/>
    <n v="20000519"/>
    <s v="Dandu Srinivas Varma"/>
    <s v="AM/NS India"/>
    <s v="Onroll"/>
    <s v="M-5"/>
    <n v="5"/>
    <m/>
    <s v="MM"/>
    <s v="M"/>
    <s v="Vizag"/>
    <n v="3"/>
    <s v="2015"/>
    <x v="1"/>
    <s v="22.06"/>
    <s v="Anil Matoo"/>
    <s v="Ashutosh Telang"/>
    <n v="6"/>
    <s v="HR &amp; Administration"/>
    <s v="Human Resources"/>
    <s v="22"/>
    <s v="Head HR IR &amp; Admin - Vizag Asset"/>
    <m/>
    <s v="Human Resources"/>
    <s v="HR &amp; Admin"/>
    <s v="HR &amp; Admin"/>
    <s v="Non Technical Support"/>
    <s v="Human Resources Management"/>
    <s v="Human Resources Management"/>
    <s v="73501001"/>
    <s v="Human Resources"/>
    <s v="Vizag"/>
    <d v="1967-10-29T00:00:00"/>
    <s v="55.10"/>
    <d v="1993-11-01T00:00:00"/>
    <d v="2025-10-31T00:00:00"/>
    <m/>
    <d v="2025-10-31T00:00:00"/>
    <n v="772"/>
    <s v="A-"/>
    <s v="BCom-1992 , PG Diploma in Management-199"/>
    <s v=""/>
    <s v="29.10"/>
    <s v="29.10"/>
    <s v="72150111"/>
    <s v="Vizag HR Operations &amp; Administration"/>
    <s v="72150364"/>
    <s v="Head HR IR &amp; Admin - Vizag Asset"/>
    <s v="Vizag"/>
    <s v="0028030019"/>
    <s v="VIZ-Personnel &amp; Admi"/>
    <s v="2000VIZOPS"/>
    <s v="20000083"/>
    <s v="Anil Matoo"/>
    <s v="No"/>
    <s v="dandu.varma@amns.in"/>
    <s v="9885310951"/>
    <s v="24643"/>
    <s v="DS Varma"/>
    <s v="Anil Matoo"/>
    <s v="Praveen Kuruvalli"/>
    <s v="Dhruv Vyas"/>
    <n v="0"/>
  </r>
  <r>
    <n v="87"/>
    <n v="20000637"/>
    <s v="Kedar Rajwade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Electrical"/>
    <m/>
    <s v="Procurement MRO Hazira"/>
    <s v="Procurement"/>
    <s v="Electrical Switch Gears and power systems - Hazira Complex"/>
    <s v="Non Technical Support"/>
    <s v="Commercial"/>
    <s v="Procurement"/>
    <s v="73803001"/>
    <s v="Procurement"/>
    <s v="AM/NS Hazira"/>
    <d v="1971-07-19T00:00:00"/>
    <s v="52.02"/>
    <d v="1994-09-12T00:00:00"/>
    <d v="2029-07-31T00:00:00"/>
    <m/>
    <d v="2029-07-31T00:00:00"/>
    <n v="2141"/>
    <s v="O-"/>
    <s v="Diploma-1990 , Diploma-1990"/>
    <s v="01.00"/>
    <s v="29.00"/>
    <s v="30.00"/>
    <s v="00044546"/>
    <s v="Procurement Electrical"/>
    <s v="70144107"/>
    <s v="Lead – Proc Electrical"/>
    <s v="Hazira"/>
    <s v="0031950048"/>
    <s v="HZ-Procurment Depart"/>
    <s v="2000HWO"/>
    <s v="20002746"/>
    <s v="Deep Pyne"/>
    <s v="No"/>
    <s v="kedar.rajwade@amns.in"/>
    <s v="9879101151"/>
    <s v="23654"/>
    <s v="Dhruv Vyas"/>
    <s v="Anil Matoo"/>
    <s v="Praveen Kuruvalli"/>
    <s v="Dhruv Vyas"/>
    <n v="0"/>
  </r>
  <r>
    <n v="91"/>
    <n v="20000678"/>
    <s v="Bella Fernandes"/>
    <s v="AM/NS India"/>
    <s v="Onroll"/>
    <s v="M-5"/>
    <n v="5"/>
    <m/>
    <s v="MM"/>
    <s v="F"/>
    <s v="Hazira"/>
    <n v="7"/>
    <s v="2069"/>
    <x v="8"/>
    <s v="25.01"/>
    <s v="Bibek Chattopadhyay"/>
    <s v="Ashutosh Telang"/>
    <n v="6"/>
    <s v="HR &amp; Administration"/>
    <s v="Corporate Communications"/>
    <s v="25"/>
    <s v="Public Relation Officer"/>
    <m/>
    <s v="Corporate Communications"/>
    <s v="Corporate Communications"/>
    <s v="Corporate Communications"/>
    <s v="Non Technical Support"/>
    <s v="Corporate Communication"/>
    <s v="Corporate Communication"/>
    <s v="74001001"/>
    <s v="Corporate Communication"/>
    <s v="AM/NS Hazira"/>
    <d v="1962-12-02T00:00:00"/>
    <s v="60.09"/>
    <d v="1994-11-14T00:00:00"/>
    <d v="2020-12-31T00:00:00"/>
    <d v="2024-03-31T00:00:00"/>
    <d v="2024-03-31T00:00:00"/>
    <n v="193"/>
    <s v="A-"/>
    <s v="BA-1984"/>
    <s v="10.10"/>
    <s v="28.10"/>
    <s v="39.08"/>
    <s v="70318583"/>
    <s v="Communications &amp; Media Relations"/>
    <s v="70320223"/>
    <s v="JGM - Public Relations"/>
    <s v="Corporate"/>
    <s v="0090000016"/>
    <s v="Corporate Steel - Co"/>
    <s v="2000CS"/>
    <s v="20055187"/>
    <s v="Bibek Chattopadhyay"/>
    <s v="No"/>
    <s v="bella.fernandes@amns.in"/>
    <s v="9879101222"/>
    <s v="21717"/>
    <s v="Dhruv Vyas"/>
    <s v="Anil Matoo"/>
    <s v="Praveen Kuruvalli"/>
    <s v="Dhruv Vyas"/>
    <n v="0"/>
  </r>
  <r>
    <n v="92"/>
    <n v="20000679"/>
    <s v="Dinesh Mangal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- Corporate Accounts &amp; Audit"/>
    <m/>
    <s v="Corporate Accounts"/>
    <s v="Corporate Accounts &amp; Audit"/>
    <s v="Procurement"/>
    <s v="Non Technical Support"/>
    <s v="Finance &amp; Accounts"/>
    <s v="Finance &amp; Accounts"/>
    <s v="73901002"/>
    <s v="Corporate Accounts &amp; Audi"/>
    <s v="AM/NS Hazira"/>
    <d v="1971-01-03T00:00:00"/>
    <s v="52.08"/>
    <d v="1994-11-16T00:00:00"/>
    <d v="2029-01-31T00:00:00"/>
    <m/>
    <d v="2029-01-31T00:00:00"/>
    <n v="1960"/>
    <s v="B-"/>
    <s v="BCom-1994 , CA Final-1994 , Intermediate"/>
    <s v=""/>
    <s v="28.10"/>
    <s v="28.10"/>
    <s v="72150475"/>
    <s v="Corporate Accounts &amp; Audit"/>
    <s v="72152588"/>
    <s v="Head - Corporate Accounts &amp; Audit"/>
    <s v="Hazira"/>
    <s v="0090000027"/>
    <s v="Corporate Steel - Ac"/>
    <s v="2000HWO"/>
    <s v="20057933"/>
    <s v="Akiyo Omori"/>
    <s v="No"/>
    <s v="dinesh.mangal@amns.in"/>
    <s v="9879100350"/>
    <s v="22531"/>
    <s v="Dhruv Vyas"/>
    <s v="Anil Matoo"/>
    <s v="Praveen Kuruvalli"/>
    <s v="Dhruv Vyas"/>
    <n v="0"/>
  </r>
  <r>
    <n v="116"/>
    <n v="20000746"/>
    <s v="Keyur Shah"/>
    <s v="AM/NS India"/>
    <s v="Onroll"/>
    <s v="M-6"/>
    <n v="6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Senior Lead - Contracts"/>
    <m/>
    <s v="Contracts"/>
    <s v="Contracts"/>
    <s v="Plate mill, Pipe Mill, CMD/CEID, Project, Utility"/>
    <s v="Non Technical Support"/>
    <s v="Commercial"/>
    <s v="Contracts &amp; Tenders and E-bid"/>
    <s v="73805001"/>
    <s v="Contracts &amp; Tenders and E"/>
    <s v="AM/NS Hazira"/>
    <d v="1971-03-07T00:00:00"/>
    <s v="52.06"/>
    <d v="1994-12-20T00:00:00"/>
    <d v="2029-03-31T00:00:00"/>
    <m/>
    <d v="2029-03-31T00:00:00"/>
    <n v="2019"/>
    <s v="B-"/>
    <s v="Diploma-1993 , Diploma-1993 , MBA-1990"/>
    <s v="01.10"/>
    <s v="28.09"/>
    <s v="30.07"/>
    <s v="00044538"/>
    <s v="Contracts - Steel Making Zone"/>
    <s v="72150871"/>
    <s v="Senior Lead - Contracts"/>
    <s v="Hazira"/>
    <s v="0031950047"/>
    <s v="HZ-Contracts"/>
    <s v="2000HWO"/>
    <s v="20000795"/>
    <s v="Pankaj Chaturvedi"/>
    <s v="No"/>
    <s v="keyur.shah@amns.in"/>
    <s v="9879101011"/>
    <s v="24018"/>
    <s v="Dhruv Vyas"/>
    <s v="Anil Matoo"/>
    <s v="Praveen Kuruvalli"/>
    <s v="Dhruv Vyas"/>
    <n v="0"/>
  </r>
  <r>
    <n v="132"/>
    <n v="20000795"/>
    <s v="Pankaj Chaturvedi"/>
    <s v="AM/NS India"/>
    <s v="Onroll"/>
    <s v="M-4"/>
    <n v="4"/>
    <m/>
    <s v="SM"/>
    <s v="M"/>
    <s v="Hazira"/>
    <n v="1"/>
    <s v="2054"/>
    <x v="9"/>
    <s v="32.01"/>
    <s v="Hrishikesh Kamat"/>
    <s v="Hrishikesh Kamat"/>
    <n v="7"/>
    <s v="Procurement"/>
    <s v="Contracts"/>
    <s v="32"/>
    <s v="Head –Contracts Cell"/>
    <m/>
    <s v="Contracts"/>
    <s v="Contracts"/>
    <s v="SMP 1 &amp; 2, HSM, CSP, HBI, MH"/>
    <s v="Non Technical Support"/>
    <s v="Commercial"/>
    <s v="Contracts &amp; Tenders and E-bid"/>
    <s v="73805001"/>
    <s v="Contracts &amp; Tenders and E"/>
    <s v="AM/NS Hazira"/>
    <d v="1975-12-15T00:00:00"/>
    <s v="47.09"/>
    <d v="1995-03-14T00:00:00"/>
    <d v="2033-12-31T00:00:00"/>
    <m/>
    <d v="2033-12-31T00:00:00"/>
    <n v="3755"/>
    <s v="AB-"/>
    <s v="PG Diploma in Management-2011 , Diploma-"/>
    <s v=""/>
    <s v="28.06"/>
    <s v="28.06"/>
    <s v="70495670"/>
    <s v="Contracts"/>
    <s v="72150922"/>
    <s v="Head –Contracts Cell"/>
    <s v="Hazira"/>
    <s v="0031950047"/>
    <s v="HZ-Contracts"/>
    <s v="2000HWO"/>
    <s v="20055090"/>
    <s v="Hrishikesh Kamat"/>
    <s v="No"/>
    <s v="pankaj.chaturvedi@amns.in"/>
    <s v="9879101171"/>
    <s v="21355"/>
    <s v="Dhruv Vyas"/>
    <s v="Anil Matoo"/>
    <s v="Praveen Kuruvalli"/>
    <s v="Dhruv Vyas"/>
    <n v="0"/>
  </r>
  <r>
    <n v="137"/>
    <n v="20000812"/>
    <s v="Sitaram Rege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Sales Head - Gujarat and Mumbai"/>
    <m/>
    <s v="West"/>
    <s v="West"/>
    <s v="West Zone"/>
    <s v="Non Technical Support"/>
    <s v="Sales &amp; Marketing"/>
    <s v="Sales"/>
    <s v="73104004"/>
    <s v="OEM Sales"/>
    <s v="Mumbai"/>
    <d v="1970-07-05T00:00:00"/>
    <s v="53.02"/>
    <d v="1995-04-10T00:00:00"/>
    <d v="2028-07-31T00:00:00"/>
    <m/>
    <d v="2028-07-31T00:00:00"/>
    <n v="1776"/>
    <s v="A-"/>
    <s v="PG Diploma in Management-1994"/>
    <s v="01.08"/>
    <s v="28.05"/>
    <s v="30.00"/>
    <s v="70140931"/>
    <s v="Sales Gujarat &amp; Mumbai Zone"/>
    <s v="70386150"/>
    <s v="Regional Sales Head - Gujarat and Mumbai"/>
    <s v="Hazira"/>
    <s v="0031950057"/>
    <s v="HZ-HRC - Marketing"/>
    <s v="2000HWO"/>
    <s v="20007104"/>
    <s v="Ranjan Dhar"/>
    <s v="No"/>
    <s v="sitaram.rege@amns.in"/>
    <s v="9819730641"/>
    <s v="23785"/>
    <s v="Dhruv Vyas"/>
    <s v="Anil Matoo"/>
    <s v="Praveen Kuruvalli"/>
    <s v="Dhruv Vyas"/>
    <n v="0"/>
  </r>
  <r>
    <n v="157"/>
    <n v="20000868"/>
    <s v="Chakravadhanula Venkataraman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r. Lead - Value added Product Strategy"/>
    <m/>
    <s v="Technical Marketing &amp; Application Engineering"/>
    <s v="Technical Marketing &amp; Application Engineering"/>
    <s v=""/>
    <s v="Non Technical Support"/>
    <s v="Sales &amp; Marketing"/>
    <s v="Sales"/>
    <s v="73104004"/>
    <s v="OEM Sales"/>
    <s v="Pune"/>
    <d v="1970-08-12T00:00:00"/>
    <s v="53.01"/>
    <d v="1995-06-15T00:00:00"/>
    <d v="2028-08-31T00:00:00"/>
    <m/>
    <d v="2028-08-31T00:00:00"/>
    <n v="1807"/>
    <s v="A-"/>
    <s v="MMS-1992 , BTech-1992"/>
    <s v="01.01"/>
    <s v="28.03"/>
    <s v="29.04"/>
    <s v="00052460"/>
    <s v="Auto &amp; YG"/>
    <s v="70389874"/>
    <s v="Sr. Lead - Value added Product Strategy"/>
    <s v="Hazira"/>
    <s v="0080000005"/>
    <s v="Global Markets Team"/>
    <s v="2000HWO"/>
    <s v="20056155"/>
    <s v="Kondapalli Venkateswarlu"/>
    <s v="No"/>
    <s v="srivenkataramana.chakravadhanula@amns.in"/>
    <s v="9930136471"/>
    <s v="24667"/>
    <s v="Dhruv Vyas"/>
    <s v="Anil Matoo"/>
    <s v="Praveen Kuruvalli"/>
    <s v="Dhruv Vyas"/>
    <n v="0"/>
  </r>
  <r>
    <n v="158"/>
    <n v="20000870"/>
    <s v="Balajee M"/>
    <s v="AM/NS India"/>
    <s v="Onroll"/>
    <s v="M-3"/>
    <n v="3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- Treasury &amp; Banking"/>
    <m/>
    <s v="Treasury &amp; Banking"/>
    <s v="Treasury &amp; Banking"/>
    <s v="Treasury &amp; Finance"/>
    <s v="Non Technical Support"/>
    <s v="Finance &amp; Accounts"/>
    <s v="Corporate Finance"/>
    <s v="73902001"/>
    <s v="Corporate Finance"/>
    <s v="Mumbai"/>
    <d v="1967-11-15T00:00:00"/>
    <s v="55.10"/>
    <d v="1995-06-15T00:00:00"/>
    <d v="2025-11-30T00:00:00"/>
    <m/>
    <d v="2025-11-30T00:00:00"/>
    <n v="802"/>
    <s v="AB+"/>
    <s v="PG Diploma in Management-1989 , BSc Engg"/>
    <s v="04.02"/>
    <s v="28.03"/>
    <s v="32.04"/>
    <s v="70494717"/>
    <s v="Treasury &amp; Finance"/>
    <s v="70176647"/>
    <s v="Head - Treasury &amp; Banking"/>
    <s v="Confidential Payroll"/>
    <s v="0090000028"/>
    <s v="Corporate Steel - Wo"/>
    <s v="2000HWO"/>
    <s v="20057933"/>
    <s v="Akiyo Omori"/>
    <s v="No"/>
    <s v="muthukrishnan.balajee@amns.in"/>
    <s v="9819730098"/>
    <s v="21145"/>
    <s v="Dhruv Vyas"/>
    <s v="Anil Matoo"/>
    <s v="Praveen Kuruvalli"/>
    <s v="Dhruv Vyas"/>
    <n v="0"/>
  </r>
  <r>
    <n v="175"/>
    <n v="20000909"/>
    <s v="Murali Krishna Chunduru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Head Sales, South Zone"/>
    <m/>
    <s v="South"/>
    <s v="South"/>
    <s v=""/>
    <s v="Non Technical Support"/>
    <s v="Sales &amp; Marketing"/>
    <s v="Sales"/>
    <s v="73104004"/>
    <s v="OEM Sales"/>
    <s v="Chennai"/>
    <d v="1973-11-19T00:00:00"/>
    <s v="49.09"/>
    <d v="1995-07-10T00:00:00"/>
    <d v="2031-11-30T00:00:00"/>
    <m/>
    <d v="2031-11-30T00:00:00"/>
    <n v="2993"/>
    <s v="O-"/>
    <s v="BTech-1995"/>
    <s v=""/>
    <s v="28.02"/>
    <s v="28.02"/>
    <s v="72150150"/>
    <s v="Sales South Zone"/>
    <s v="70386158"/>
    <s v="Regional Head Sales, South Zone"/>
    <s v="Hazira"/>
    <s v="0031950057"/>
    <s v="HZ-HRC - Marketing"/>
    <s v="2000HWO"/>
    <s v="20007104"/>
    <s v="Ranjan Dhar"/>
    <s v="No"/>
    <s v="muralikrishna.chunduru@amns.in"/>
    <s v="9884974923"/>
    <s v="22731"/>
    <s v="Dhruv Vyas"/>
    <s v="Anil Matoo"/>
    <s v="Praveen Kuruvalli"/>
    <s v="Dhruv Vyas"/>
    <n v="0"/>
  </r>
  <r>
    <n v="178"/>
    <n v="20000926"/>
    <s v="Manishkumar Seksaria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Section Head – Pro Iron &amp; Steel Making"/>
    <m/>
    <s v="Procurement MRO Hazira"/>
    <s v="Procurement"/>
    <s v="Iron &amp; Steel Making"/>
    <s v="Non Technical Support"/>
    <s v="Commercial"/>
    <s v="Procurement"/>
    <s v="73803001"/>
    <s v="Procurement"/>
    <s v="AM/NS Hazira"/>
    <d v="1969-11-03T00:00:00"/>
    <s v="53.10"/>
    <d v="1995-08-14T00:00:00"/>
    <d v="2027-11-30T00:00:00"/>
    <m/>
    <d v="2027-11-30T00:00:00"/>
    <n v="1532"/>
    <s v="O-"/>
    <s v="BE-1995 , MBA-1995"/>
    <s v="02.00"/>
    <s v="28.01"/>
    <s v="30.01"/>
    <s v="70072411"/>
    <s v="Iron &amp; Steel Making"/>
    <s v="72150870"/>
    <s v="Section Head – Pro Iron &amp; Steel Making"/>
    <s v="Hazira"/>
    <s v="0031950048"/>
    <s v="HZ-Procurment Depart"/>
    <s v="2000HWO"/>
    <s v="20000201"/>
    <s v="Manish Bakriwala"/>
    <s v="No"/>
    <s v="manish.seksaria@amns.in"/>
    <s v="9879100306"/>
    <s v="23981"/>
    <s v="Dhruv Vyas"/>
    <s v="Anil Matoo"/>
    <s v="Praveen Kuruvalli"/>
    <s v="Dhruv Vyas"/>
    <n v="0"/>
  </r>
  <r>
    <n v="184"/>
    <n v="20000948"/>
    <s v="Hitesh Raval"/>
    <s v="AM/NS India"/>
    <s v="Onroll"/>
    <s v="M-5"/>
    <n v="5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Head -  HRC Store &amp; Inventory"/>
    <m/>
    <s v="Stores &amp; Warehouse"/>
    <s v="Stores &amp; Warehouse"/>
    <s v="HRC Store &amp; Inventory  &amp; Cataloging Mgt."/>
    <s v="Non Technical Support"/>
    <s v="Commercial"/>
    <s v="Stores &amp; Warehouse"/>
    <s v="73806001"/>
    <s v="Stores &amp; Warehouse"/>
    <s v="Hazira"/>
    <d v="1974-01-10T00:00:00"/>
    <s v="49.08"/>
    <d v="1995-11-13T00:00:00"/>
    <d v="2032-01-31T00:00:00"/>
    <m/>
    <d v="2032-01-31T00:00:00"/>
    <n v="3055"/>
    <s v="O-"/>
    <s v="Diploma-2010 , BCom-2010 , MBA-1994"/>
    <s v="01.06"/>
    <s v="27.10"/>
    <s v="29.04"/>
    <s v="70232287"/>
    <s v="HRC Store &amp; Inventory  &amp; Cataloging Mgt."/>
    <s v="70258296"/>
    <s v="&quot; Section Head -  HRC Store &amp; Inventory"/>
    <s v="Hazira"/>
    <s v="0031950049"/>
    <s v="HZ-Central Stores"/>
    <s v="2000HWO"/>
    <s v="20001240"/>
    <s v="Ambrish Chaturvedi"/>
    <s v="No"/>
    <s v="hitesh.raval@amns.in"/>
    <s v="9879101687"/>
    <s v="23760"/>
    <s v="Dhruv Vyas"/>
    <s v="Anil Matoo"/>
    <s v="Praveen Kuruvalli"/>
    <s v="Dhruv Vyas"/>
    <n v="0"/>
  </r>
  <r>
    <n v="202"/>
    <n v="20000990"/>
    <s v="Jignesh Thaker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Baroda"/>
    <d v="1975-09-16T00:00:00"/>
    <s v="48.00"/>
    <d v="1995-12-18T00:00:00"/>
    <d v="2033-09-30T00:00:00"/>
    <m/>
    <d v="2033-09-30T00:00:00"/>
    <n v="3663"/>
    <s v="B-"/>
    <s v="BA-2005 , MBA-2005 , Diploma-2000"/>
    <s v=""/>
    <s v="27.09"/>
    <s v="27.09"/>
    <s v="70394840"/>
    <s v="OEM Sales - Gujarat"/>
    <s v="70448513"/>
    <s v="Sales Manager - Hypermart"/>
    <s v="Hypermart"/>
    <s v="0060110300"/>
    <s v="HMART-Guj-Ahemedabad"/>
    <s v="2000SRET"/>
    <s v="20001736"/>
    <s v="Manoranjan Jagdhari"/>
    <s v="No"/>
    <s v="jignesh.thaker@amns.in"/>
    <s v="9879104379"/>
    <s v="24488"/>
    <s v="Dhruv Vyas"/>
    <s v="Anil Matoo"/>
    <s v="Praveen Kuruvalli"/>
    <s v="Dhruv Vyas"/>
    <n v="0"/>
  </r>
  <r>
    <n v="205"/>
    <n v="20001003"/>
    <s v="Patnana Muralidhara Rao"/>
    <s v="AM/NS India"/>
    <s v="Onroll"/>
    <s v="M-4"/>
    <n v="4"/>
    <m/>
    <s v="SM"/>
    <s v="M"/>
    <s v="Vizag"/>
    <n v="3"/>
    <s v="2013"/>
    <x v="0"/>
    <s v="20.01"/>
    <s v="Akiyo Omori"/>
    <s v="Amit Harlalka"/>
    <n v="5"/>
    <s v="Finance &amp; Accounts"/>
    <s v="Finance &amp; Accounts"/>
    <s v="20"/>
    <s v="Head - Finance &amp; Accounts, Vizag"/>
    <m/>
    <s v="Finance &amp; Accounts - Vizag"/>
    <s v="Finance &amp; Accounts"/>
    <s v="Finance &amp; Accounts"/>
    <s v="Non Technical Support"/>
    <s v="Finance &amp; Accounts"/>
    <s v="Finance &amp; Accounts"/>
    <s v="73901001"/>
    <s v="Finance &amp; Accounts"/>
    <s v="Vizag"/>
    <d v="1960-06-01T00:00:00"/>
    <s v="63.03"/>
    <d v="1996-01-25T00:00:00"/>
    <d v="2018-05-31T00:00:00"/>
    <d v="2024-03-31T00:00:00"/>
    <d v="2024-03-31T00:00:00"/>
    <n v="193"/>
    <s v="O-"/>
    <s v="CA Final-1985 , BCom-1985 , Intermediate"/>
    <s v="10.06"/>
    <s v="27.07"/>
    <s v="38.01"/>
    <s v="72150110"/>
    <s v="Finance &amp; Accounts - Vizag"/>
    <s v="72150352"/>
    <s v="Head - Finance &amp; Accounts, Vizag"/>
    <s v="Vizag"/>
    <s v="0028030019"/>
    <s v="VIZ-Personnel &amp; Admi"/>
    <s v="2000VIZOPS"/>
    <s v="20057933"/>
    <s v="Akiyo Omori"/>
    <s v="No"/>
    <s v="muralidhararao.p@amns.in"/>
    <s v="9885310922"/>
    <s v="22728"/>
    <s v="DS Varma"/>
    <s v="Anil Matoo"/>
    <s v="Praveen Kuruvalli"/>
    <s v="Dhruv Vyas"/>
    <n v="0"/>
  </r>
  <r>
    <n v="227"/>
    <n v="20001076"/>
    <s v="Bhavesh Modi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 - Accounts Payable"/>
    <m/>
    <s v="Working Capital"/>
    <s v="Accounts Payable"/>
    <s v="Export, Domestic &amp; Banking"/>
    <s v="Non Technical Support"/>
    <s v="Finance &amp; Accounts"/>
    <s v="Corporate Finance"/>
    <s v="73902004"/>
    <s v="Banking Relations"/>
    <s v="AM/NS Hazira"/>
    <d v="1975-02-07T00:00:00"/>
    <s v="48.07"/>
    <d v="1996-05-05T00:00:00"/>
    <d v="2033-02-28T00:00:00"/>
    <m/>
    <d v="2033-02-28T00:00:00"/>
    <n v="3449"/>
    <s v="A-"/>
    <s v="LLB-2005 , MBA-2005 , BCom-1997"/>
    <s v=""/>
    <s v="27.04"/>
    <s v="27.04"/>
    <s v="72150243"/>
    <s v="Accounts Payable"/>
    <s v="70258433"/>
    <s v="Head - Accounts Payable"/>
    <s v="Hazira"/>
    <s v="0031950045"/>
    <s v="HZ-Works Accounts-Ha"/>
    <s v="2000HWO"/>
    <s v="20055188"/>
    <s v="Rohit Sharma"/>
    <s v="No"/>
    <s v="bhavesh.modi@amns.in"/>
    <s v="9879101765"/>
    <s v="22662"/>
    <s v="Dhruv Vyas"/>
    <s v="Anil Matoo"/>
    <s v="Praveen Kuruvalli"/>
    <s v="Dhruv Vyas"/>
    <n v="0"/>
  </r>
  <r>
    <n v="228"/>
    <n v="20001077"/>
    <s v="Pradeep Parte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ection Head - Export Domestic &amp;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0-04-15T00:00:00"/>
    <s v="53.05"/>
    <d v="1996-05-06T00:00:00"/>
    <d v="2028-04-30T00:00:00"/>
    <m/>
    <d v="2028-04-30T00:00:00"/>
    <n v="1684"/>
    <s v="B-"/>
    <s v="MBA-2003 , Diploma-2003"/>
    <s v="06.01"/>
    <s v="27.04"/>
    <s v="33.05"/>
    <s v="70495314"/>
    <s v="Export, Domestic &amp; Banking"/>
    <s v="72150854"/>
    <s v="Section Head - Export Domestic &amp; Banking"/>
    <s v="Hazira"/>
    <s v="0031950045"/>
    <s v="HZ-Works Accounts-Ha"/>
    <s v="2000HWO"/>
    <s v="20007731"/>
    <s v="Ashish Mehta"/>
    <s v="No"/>
    <s v="pradeep.parte@amns.in"/>
    <s v="9879101840"/>
    <s v="23038"/>
    <s v="Dhruv Vyas"/>
    <s v="Anil Matoo"/>
    <s v="Praveen Kuruvalli"/>
    <s v="Dhruv Vyas"/>
    <n v="0"/>
  </r>
  <r>
    <n v="233"/>
    <n v="20001090"/>
    <s v="Sheetal Navlia"/>
    <s v="AM/NS India"/>
    <s v="Onroll"/>
    <s v="M-5"/>
    <n v="5"/>
    <m/>
    <s v="M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"/>
    <m/>
    <s v="West"/>
    <s v="OEM"/>
    <s v=""/>
    <s v="Non Technical Support"/>
    <s v="Sales &amp; Marketing"/>
    <s v="Sales"/>
    <s v="73104004"/>
    <s v="OEM Sales"/>
    <s v="Ahmedabad"/>
    <d v="1975-04-13T00:00:00"/>
    <s v="48.05"/>
    <d v="1996-06-15T00:00:00"/>
    <d v="2033-04-30T00:00:00"/>
    <m/>
    <d v="2033-04-30T00:00:00"/>
    <n v="3510"/>
    <s v="O-"/>
    <s v="BE-1996 , BE-1996"/>
    <s v=""/>
    <s v="27.03"/>
    <s v="27.03"/>
    <s v="70140931"/>
    <s v="Sales Gujarat &amp; Mumbai Zone"/>
    <s v="70334315"/>
    <s v="Sr. KAM - OEM Sales"/>
    <s v="Hazira"/>
    <s v="0031950057"/>
    <s v="HZ-HRC - Marketing"/>
    <s v="2000HWO"/>
    <s v="20000812"/>
    <s v="Sitaram Rege"/>
    <s v="No"/>
    <s v="sheetal.navlia@amns.in"/>
    <s v="9879101272"/>
    <s v="22814"/>
    <s v="Dhruv Vyas"/>
    <s v="Anil Matoo"/>
    <s v="Praveen Kuruvalli"/>
    <s v="Dhruv Vyas"/>
    <n v="0"/>
  </r>
  <r>
    <n v="239"/>
    <n v="20001102"/>
    <s v="Anil Patel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 HBI &amp; BF"/>
    <m/>
    <s v="Stores &amp; Warehouse"/>
    <s v="Stores &amp; Warehouse"/>
    <s v="Issue HBI &amp; BF"/>
    <s v="Non Technical Support"/>
    <s v="Commercial"/>
    <s v="Stores &amp; Warehouse"/>
    <s v="73806001"/>
    <s v="Stores &amp; Warehouse"/>
    <s v="Hazira"/>
    <d v="1965-08-31T00:00:00"/>
    <s v="58.00"/>
    <d v="1996-07-01T00:00:00"/>
    <d v="2023-08-31T00:00:00"/>
    <m/>
    <d v="2023-08-31T00:00:00"/>
    <n v="-20"/>
    <s v="O-"/>
    <s v="BCom-1986"/>
    <s v="06.05"/>
    <s v="27.02"/>
    <s v="33.07"/>
    <s v="00053278"/>
    <s v="GRN/Documentation/Issue - Plant A"/>
    <s v="72152514"/>
    <s v="Section Officer - Issue HBI &amp; BF"/>
    <s v="Hazira"/>
    <s v="0031950049"/>
    <s v="HZ-Central Stores"/>
    <s v="2000HWO"/>
    <s v="20002587"/>
    <s v="Seema Mehta"/>
    <s v="No"/>
    <s v="anil.patel2@amns.in"/>
    <s v="9879101854"/>
    <s v="23079"/>
    <s v="Dhruv Vyas"/>
    <s v="Anil Matoo"/>
    <s v="Praveen Kuruvalli"/>
    <s v="Dhruv Vyas"/>
    <n v="0"/>
  </r>
  <r>
    <n v="247"/>
    <n v="20001137"/>
    <s v="Bayana Prasad"/>
    <s v="AM/NS India"/>
    <s v="Onroll"/>
    <s v="M-5"/>
    <n v="5"/>
    <m/>
    <s v="MM"/>
    <s v="M"/>
    <s v="Vizag"/>
    <n v="3"/>
    <s v="2013"/>
    <x v="0"/>
    <s v="20.01"/>
    <s v="Akiyo Omori"/>
    <s v="Amit Harlalka"/>
    <n v="5"/>
    <s v="Finance &amp; Accounts"/>
    <s v="Finance &amp; Accounts"/>
    <s v="20"/>
    <s v="Section Head-Accounts payable/Receivable"/>
    <m/>
    <s v="Finance &amp; Accounts - Vizag"/>
    <s v="Finance &amp; Accounts"/>
    <s v="Accounts Payble &amp; Receivable"/>
    <s v="Non Technical Support"/>
    <s v="Finance &amp; Accounts"/>
    <s v="Finance &amp; Accounts"/>
    <s v="73901003"/>
    <s v="Accounts Payable"/>
    <s v="Vizag"/>
    <d v="1966-05-04T00:00:00"/>
    <s v="57.04"/>
    <d v="1996-11-01T00:00:00"/>
    <d v="2024-05-31T00:00:00"/>
    <m/>
    <d v="2024-05-31T00:00:00"/>
    <n v="254"/>
    <s v="O-"/>
    <s v="CA Inter-2008 , MBA-2008 , ICWA Final-19"/>
    <s v="01.07"/>
    <s v="26.10"/>
    <s v="28.05"/>
    <s v="72150243"/>
    <s v="Accounts Payable"/>
    <s v="72150357"/>
    <s v="Section Head-Accounts payable/Receivable"/>
    <s v="Vizag"/>
    <s v="0028030019"/>
    <s v="VIZ-Personnel &amp; Admi"/>
    <s v="2000VIZOPS"/>
    <s v="20001076"/>
    <s v="Bhavesh Modi"/>
    <s v="No"/>
    <s v="bayana.prasad@amns.in"/>
    <s v="9885310925"/>
    <s v="23570"/>
    <s v="DS Varma"/>
    <s v="Anil Matoo"/>
    <s v="Praveen Kuruvalli"/>
    <s v="Dhruv Vyas"/>
    <n v="0"/>
  </r>
  <r>
    <n v="248"/>
    <n v="20001139"/>
    <s v="Chetan Pandy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66-08-06T00:00:00"/>
    <s v="57.01"/>
    <d v="1996-11-15T00:00:00"/>
    <d v="2024-08-31T00:00:00"/>
    <m/>
    <d v="2024-08-31T00:00:00"/>
    <n v="346"/>
    <s v="AB-"/>
    <s v="BCom-1992"/>
    <s v="04.00"/>
    <s v="26.10"/>
    <s v="30.10"/>
    <s v="70491113"/>
    <s v="Indirect Taxation - 1"/>
    <s v="70319509"/>
    <s v="Lead - Customs"/>
    <s v="Hazira"/>
    <s v="0031950044"/>
    <s v="HZ-Commercial Taxati"/>
    <s v="2000HWO"/>
    <s v="20006246"/>
    <s v="Deven Sadadiwala"/>
    <s v="No"/>
    <s v="chetan.pandya@amns.in"/>
    <s v="9879101841"/>
    <s v="22947"/>
    <s v="Dhruv Vyas"/>
    <s v="Anil Matoo"/>
    <s v="Praveen Kuruvalli"/>
    <s v="Dhruv Vyas"/>
    <n v="0"/>
  </r>
  <r>
    <n v="255"/>
    <n v="20001164"/>
    <s v="Snehal Anjaria"/>
    <s v="AM/NS India"/>
    <s v="Onroll"/>
    <s v="M-6"/>
    <n v="6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Head - HBI BF Sinter /Trans Mgt"/>
    <m/>
    <s v="Stores &amp; Warehouse"/>
    <s v="Stores &amp; Warehouse"/>
    <s v="&quot;&quot;&quot;HBI, BF, Plant B &amp; Plate Mill-Trans Mgt-Import Logistics"/>
    <s v="Non Technical Support"/>
    <s v="Commercial"/>
    <s v="Stores &amp; Warehouse"/>
    <s v="73806001"/>
    <s v="Stores &amp; Warehouse"/>
    <s v="Hazira"/>
    <d v="1976-11-29T00:00:00"/>
    <s v="46.09"/>
    <d v="1996-12-23T00:00:00"/>
    <d v="2034-11-30T00:00:00"/>
    <m/>
    <d v="2034-11-30T00:00:00"/>
    <n v="4089"/>
    <s v="B-"/>
    <s v="Diploma-1996"/>
    <s v=""/>
    <s v="26.08"/>
    <s v="26.08"/>
    <s v="70272820"/>
    <s v="HBI, BF, Plant B &amp; Plate Mill"/>
    <s v="70320421"/>
    <s v="Section Head - HBI BF Sinter /Trans Mgt"/>
    <s v="Hazira"/>
    <s v="0031950049"/>
    <s v="HZ-Central Stores"/>
    <s v="2000HWO"/>
    <s v="20001240"/>
    <s v="Ambrish Chaturvedi"/>
    <s v="No"/>
    <s v="snehal.anjaria@amns.in"/>
    <s v="9879101700"/>
    <s v="21086"/>
    <s v="Dhruv Vyas"/>
    <s v="Anil Matoo"/>
    <s v="Praveen Kuruvalli"/>
    <s v="Dhruv Vyas"/>
    <n v="0"/>
  </r>
  <r>
    <n v="274"/>
    <n v="20001234"/>
    <s v="Anwar Khan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Payable"/>
    <m/>
    <s v="Working Capital"/>
    <s v="Accounts Payable"/>
    <s v="Bills Payable"/>
    <s v="Non Technical Support"/>
    <s v="Finance &amp; Accounts"/>
    <s v="Finance &amp; Accounts"/>
    <s v="73901003"/>
    <s v="Accounts Payable"/>
    <s v="AM/NS Hazira"/>
    <d v="1967-04-22T00:00:00"/>
    <s v="56.04"/>
    <d v="1997-03-15T00:00:00"/>
    <d v="2025-04-30T00:00:00"/>
    <m/>
    <d v="2025-04-30T00:00:00"/>
    <n v="588"/>
    <s v="O-"/>
    <s v="BCom-2011 , Certificate-2011"/>
    <s v="06.07"/>
    <s v="26.06"/>
    <s v="33.01"/>
    <s v="72150243"/>
    <s v="Accounts Payable"/>
    <s v="70320423"/>
    <s v="Sr. Lead - Accounts Payable"/>
    <s v="Hazira"/>
    <s v="0031950045"/>
    <s v="HZ-Works Accounts-Ha"/>
    <s v="2000HWO"/>
    <s v="20001076"/>
    <s v="Bhavesh Modi"/>
    <s v="No"/>
    <s v="anwar.khan1@amns.in"/>
    <s v="9879101766"/>
    <s v="22208"/>
    <s v="Dhruv Vyas"/>
    <s v="Anil Matoo"/>
    <s v="Praveen Kuruvalli"/>
    <s v="Dhruv Vyas"/>
    <n v="0"/>
  </r>
  <r>
    <n v="275"/>
    <n v="20001236"/>
    <s v="Vipul Padhiar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ost Audit &amp; Budgetary Control"/>
    <m/>
    <s v="Performance Management"/>
    <s v="Performance Management"/>
    <s v="Budgetory Control &amp; Audit"/>
    <s v="Non Technical Support"/>
    <s v="Finance &amp; Accounts"/>
    <s v="Costing"/>
    <s v="73906001"/>
    <s v="Costing"/>
    <s v="AM/NS Hazira"/>
    <d v="1972-04-18T00:00:00"/>
    <s v="51.05"/>
    <d v="1997-03-15T00:00:00"/>
    <d v="2030-04-30T00:00:00"/>
    <m/>
    <d v="2030-04-30T00:00:00"/>
    <n v="2414"/>
    <s v="AB-"/>
    <s v="MBA-2012 , ICWA Inter-2012 , MCom-2009"/>
    <s v="03.00"/>
    <s v="26.06"/>
    <s v="29.06"/>
    <s v="00045632"/>
    <s v="Costing &amp; Budgeting"/>
    <s v="70372306"/>
    <s v="Lead - Cost Audit &amp; Budgetary Control"/>
    <s v="Hazira"/>
    <s v="0031950043"/>
    <s v="HZ-Performance Manag"/>
    <s v="2000HWO"/>
    <s v="20056146"/>
    <s v="Asvinbhai Sutarsandhiya"/>
    <s v="No"/>
    <s v="vipul.padhiar@amns.in"/>
    <s v="9879101767"/>
    <s v="22878"/>
    <s v="Dhruv Vyas"/>
    <s v="Anil Matoo"/>
    <s v="Praveen Kuruvalli"/>
    <s v="Dhruv Vyas"/>
    <n v="0"/>
  </r>
  <r>
    <n v="276"/>
    <n v="20001238"/>
    <s v="Pitambar Sahu"/>
    <s v="AM/NS India"/>
    <s v="Onroll"/>
    <s v="M-6"/>
    <n v="6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- Finance &amp; Business Control"/>
    <m/>
    <s v="Finance &amp; Accounts - Odisha"/>
    <s v="Finance &amp; Accounts"/>
    <s v="Finance &amp; Business Control"/>
    <s v="Non Technical Support"/>
    <s v="Finance &amp; Accounts"/>
    <s v="Finance &amp; Accounts"/>
    <s v="73901001"/>
    <s v="Finance &amp; Accounts"/>
    <s v="Paradeep"/>
    <d v="1971-04-07T00:00:00"/>
    <s v="52.05"/>
    <d v="1997-03-15T00:00:00"/>
    <d v="2029-04-30T00:00:00"/>
    <m/>
    <d v="2029-04-30T00:00:00"/>
    <n v="2049"/>
    <s v="AB-"/>
    <s v="BCom-2009 , MBA-2009"/>
    <s v="00.08"/>
    <s v="26.06"/>
    <s v="27.02"/>
    <s v="70234933"/>
    <s v="Finance &amp; Accounts - Odisha"/>
    <s v="70298164"/>
    <s v="Lead - Finance &amp; Business Control"/>
    <s v="Odisha"/>
    <s v="0022030019"/>
    <s v="PDP-HR &amp; Admn"/>
    <s v="2000STORIS"/>
    <s v="20055801"/>
    <s v="Sanjive Kumar Singh"/>
    <s v="No"/>
    <s v="pitambar.sahu@amns.in"/>
    <s v="9437188790"/>
    <s v="23863"/>
    <s v="Sunila Das"/>
    <s v="Anil Matoo"/>
    <s v="Praveen Kuruvalli"/>
    <s v="Sunila Das"/>
    <n v="0"/>
  </r>
  <r>
    <n v="277"/>
    <n v="20001240"/>
    <s v="Ambrish Chaturvedi"/>
    <s v="AM/NS India"/>
    <s v="Onroll"/>
    <s v="M-5"/>
    <n v="5"/>
    <m/>
    <s v="MM"/>
    <s v="M"/>
    <s v="Hazira"/>
    <n v="1"/>
    <s v="2012"/>
    <x v="7"/>
    <s v="34.01"/>
    <s v="Hrishikesh Kamat"/>
    <s v="Hrishikesh Kamat"/>
    <n v="7"/>
    <s v="Procurement"/>
    <s v="Stores &amp; Warehouse"/>
    <s v="34"/>
    <s v="Head - Stores &amp; Warehouse Hazira"/>
    <m/>
    <s v="Stores &amp; Warehouse"/>
    <s v="Stores &amp; Warehouse"/>
    <s v="Operations"/>
    <s v="Non Technical Support"/>
    <s v="Commercial"/>
    <s v="Stores &amp; Warehouse"/>
    <s v="73806001"/>
    <s v="Stores &amp; Warehouse"/>
    <s v="Hazira"/>
    <d v="1967-12-29T00:00:00"/>
    <s v="55.08"/>
    <d v="1997-03-18T00:00:00"/>
    <d v="2025-12-31T00:00:00"/>
    <m/>
    <d v="2025-12-31T00:00:00"/>
    <n v="833"/>
    <s v="O-"/>
    <s v="BSc-1989"/>
    <s v="06.05"/>
    <s v="26.06"/>
    <s v="32.11"/>
    <s v="70072413"/>
    <s v="Stores &amp; Warehouse - Hazira"/>
    <s v="70258469"/>
    <s v="Head - Stores &amp; Warehouse Hazira"/>
    <s v="Hazira"/>
    <s v="0031950049"/>
    <s v="HZ-Central Stores"/>
    <s v="2000HWO"/>
    <s v="20055090"/>
    <s v="Hrishikesh Kamat"/>
    <s v="No"/>
    <s v="ambrish.chaturvedi@amns.in"/>
    <s v="9879101611"/>
    <s v="21353"/>
    <s v="Dhruv Vyas"/>
    <s v="Anil Matoo"/>
    <s v="Praveen Kuruvalli"/>
    <s v="Dhruv Vyas"/>
    <n v="0"/>
  </r>
  <r>
    <n v="284"/>
    <n v="20001265"/>
    <s v="Lakshman Iyer"/>
    <s v="AM/NS India"/>
    <s v="Onroll"/>
    <s v="M-4"/>
    <n v="4"/>
    <m/>
    <s v="SM"/>
    <s v="M"/>
    <s v="Hazira"/>
    <n v="1"/>
    <s v="2015"/>
    <x v="1"/>
    <s v="22.06"/>
    <s v="Anil Matoo"/>
    <s v="Ashutosh Telang"/>
    <n v="6"/>
    <s v="HR &amp; Administration"/>
    <s v="Human Resources"/>
    <s v="22"/>
    <s v="Cluster Head - Human Resources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68-10-26T00:00:00"/>
    <s v="54.10"/>
    <d v="1997-05-26T00:00:00"/>
    <d v="2026-10-31T00:00:00"/>
    <m/>
    <d v="2026-10-31T00:00:00"/>
    <n v="1137"/>
    <s v="AB-"/>
    <s v="BCom-1993"/>
    <s v="00.10"/>
    <s v="26.03"/>
    <s v="27.02"/>
    <s v="70472770"/>
    <s v="Hazira HR Operations - 1"/>
    <s v="70415280"/>
    <s v="Cluster Head - Human Resources"/>
    <s v="Hazira"/>
    <s v="0031950061"/>
    <s v="HZ-Human Resource"/>
    <s v="2000HWO"/>
    <s v="20000083"/>
    <s v="Anil Matoo"/>
    <s v="No"/>
    <s v="lakshman.iyer@amns.in"/>
    <s v="9909901600"/>
    <s v="21932"/>
    <s v="Dhruv Vyas"/>
    <s v="Anil Matoo"/>
    <s v="Praveen Kuruvalli"/>
    <s v="Dhruv Vyas"/>
    <n v="0"/>
  </r>
  <r>
    <n v="287"/>
    <n v="20001274"/>
    <s v="Nilesh Solanki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– Export Account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69-11-11T00:00:00"/>
    <s v="53.10"/>
    <d v="1997-05-31T00:00:00"/>
    <d v="2027-11-30T00:00:00"/>
    <m/>
    <d v="2027-11-30T00:00:00"/>
    <n v="1532"/>
    <s v="O-"/>
    <s v="MBA-2008"/>
    <s v="06.01"/>
    <s v="26.03"/>
    <s v="32.04"/>
    <s v="00044362"/>
    <s v="Export Documentation"/>
    <s v="70227008"/>
    <s v="Officer – Export Accounting"/>
    <s v="Hazira"/>
    <s v="0031950045"/>
    <s v="HZ-Works Accounts-Ha"/>
    <s v="2000HWO"/>
    <s v="20021039"/>
    <s v="Rajesh Patel"/>
    <s v="No"/>
    <s v="nilesh.solanki1@amns.in"/>
    <s v="9879101769"/>
    <s v="22844"/>
    <s v="Dhruv Vyas"/>
    <s v="Anil Matoo"/>
    <s v="Praveen Kuruvalli"/>
    <s v="Dhruv Vyas"/>
    <n v="0"/>
  </r>
  <r>
    <n v="288"/>
    <n v="20001275"/>
    <s v="Sheo Shankar Upadhyay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Collections &amp; Receivables"/>
    <m/>
    <s v="Sales Planning"/>
    <s v="Sales Planning"/>
    <s v=""/>
    <s v="Non Technical Support"/>
    <s v="Sales &amp; Marketing"/>
    <s v="Sales &amp; Marketing"/>
    <s v="73101001"/>
    <s v="Sales &amp; Marketing"/>
    <s v="Mumbai"/>
    <d v="1966-10-20T00:00:00"/>
    <s v="56.11"/>
    <d v="1997-06-01T00:00:00"/>
    <d v="2024-10-31T00:00:00"/>
    <m/>
    <d v="2024-10-31T00:00:00"/>
    <n v="407"/>
    <s v="O-"/>
    <s v="BCom-1989"/>
    <s v="02.00"/>
    <s v="26.03"/>
    <s v="28.03"/>
    <s v="70385322"/>
    <s v="Sales Planning &amp; Administration"/>
    <s v="70334295"/>
    <s v="Lead - Collections &amp; Receivables"/>
    <s v="Hazira"/>
    <s v="0080000001"/>
    <s v="Head-Marketing"/>
    <s v="2000HWO"/>
    <s v="20049554"/>
    <s v="Uttam Kumar"/>
    <s v="No"/>
    <s v="sheoshankar.upadhyay@amns.in"/>
    <s v="9819730643"/>
    <s v="24592"/>
    <s v="Dhruv Vyas"/>
    <s v="Anil Matoo"/>
    <s v="Praveen Kuruvalli"/>
    <s v="Dhruv Vyas"/>
    <n v="0"/>
  </r>
  <r>
    <n v="291"/>
    <n v="20001284"/>
    <s v="Kalpesh Tamakuwal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Domestic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3-01-03T00:00:00"/>
    <s v="50.08"/>
    <d v="1997-06-09T00:00:00"/>
    <d v="2031-01-31T00:00:00"/>
    <m/>
    <d v="2031-01-31T00:00:00"/>
    <n v="2690"/>
    <s v="A-"/>
    <s v="BCom-1993"/>
    <s v="03.03"/>
    <s v="26.03"/>
    <s v="29.06"/>
    <s v="70495314"/>
    <s v="Export, Domestic &amp; Banking"/>
    <s v="70319245"/>
    <s v="Sr. Lead - Domestic Banking"/>
    <s v="Hazira"/>
    <s v="0031950045"/>
    <s v="HZ-Works Accounts-Ha"/>
    <s v="2000HWO"/>
    <s v="20001077"/>
    <s v="Pradeep Parte"/>
    <s v="No"/>
    <s v="kalpesh.tamakuwala@amns.in"/>
    <s v="9879101842"/>
    <s v="24449"/>
    <s v="Dhruv Vyas"/>
    <s v="Anil Matoo"/>
    <s v="Praveen Kuruvalli"/>
    <s v="Dhruv Vyas"/>
    <n v="0"/>
  </r>
  <r>
    <n v="292"/>
    <n v="20001286"/>
    <s v="Rajeev Trivedi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Accounts Receivable"/>
    <m/>
    <s v="Working Capital"/>
    <s v="Accounts Receivable"/>
    <s v="Credit Control"/>
    <s v="Non Technical Support"/>
    <s v="Finance &amp; Accounts"/>
    <s v="Finance &amp; Accounts"/>
    <s v="73901004"/>
    <s v="Accounts Receivables"/>
    <s v="AM/NS Hazira"/>
    <d v="1966-02-12T00:00:00"/>
    <s v="57.07"/>
    <d v="1997-06-10T00:00:00"/>
    <d v="2024-02-29T00:00:00"/>
    <m/>
    <d v="2024-02-29T00:00:00"/>
    <n v="162"/>
    <s v="B-"/>
    <s v="BCom-1990"/>
    <s v="04.06"/>
    <s v="26.03"/>
    <s v="30.09"/>
    <s v="00045312"/>
    <s v="Accounts Receivable"/>
    <s v="70259333"/>
    <s v="Lead - Accounts Receivable"/>
    <s v="Hazira"/>
    <s v="0031950045"/>
    <s v="HZ-Works Accounts-Ha"/>
    <s v="2000HWO"/>
    <s v="20048487"/>
    <s v="Devendra Rai"/>
    <s v="No"/>
    <s v="rajeev.trivedi@amns.in"/>
    <s v="9879101843"/>
    <s v="24568"/>
    <s v="Dhruv Vyas"/>
    <s v="Anil Matoo"/>
    <s v="Praveen Kuruvalli"/>
    <s v="Dhruv Vyas"/>
    <n v="0"/>
  </r>
  <r>
    <n v="294"/>
    <n v="20001289"/>
    <s v="Siddaraju N"/>
    <s v="AM/NS India"/>
    <s v="Onroll"/>
    <s v="M-6"/>
    <n v="6"/>
    <m/>
    <s v="MM"/>
    <s v="M"/>
    <s v="Pune Facility"/>
    <n v="4"/>
    <s v="2043"/>
    <x v="3"/>
    <s v="31.01"/>
    <s v="Hrishikesh Kamat"/>
    <s v="Hrishikesh Kamat"/>
    <n v="7"/>
    <s v="Procurement"/>
    <s v="Procurement"/>
    <s v="31"/>
    <s v="Section Incharge - Purchase"/>
    <m/>
    <s v="Procurement"/>
    <s v="Row materail and Consumables"/>
    <s v="Row materail and Consumables"/>
    <s v="Non Technical Support"/>
    <s v="Operations"/>
    <s v="Plant Operations"/>
    <s v="72103003"/>
    <s v="Plant Operations"/>
    <s v="Pune AMNS"/>
    <d v="1975-06-15T00:00:00"/>
    <s v="48.03"/>
    <d v="1997-06-14T00:00:00"/>
    <d v="2033-06-30T00:00:00"/>
    <m/>
    <d v="2033-06-30T00:00:00"/>
    <n v="3571"/>
    <s v="O-"/>
    <s v="Diploma-2009 , MBA-2009"/>
    <s v="00.11"/>
    <s v="26.03"/>
    <s v="27.02"/>
    <s v="73800002"/>
    <s v="Procurement - Pune Asset"/>
    <s v="70226729"/>
    <s v="Section Incharge - Purchase"/>
    <s v="Pune Facility"/>
    <s v="0035950041"/>
    <s v="Pune-Procurement"/>
    <s v="2000ESPF"/>
    <s v="20006536"/>
    <s v="Mahesh Salunke"/>
    <s v="No"/>
    <s v="siddaraju.narayanappa@amns.in"/>
    <s v="9158895019"/>
    <s v="24211"/>
    <s v="Dhruv Vyas"/>
    <s v="Anil Matoo"/>
    <s v="Praveen Kuruvalli"/>
    <s v="Dhruv Vyas"/>
    <n v="0"/>
  </r>
  <r>
    <n v="310"/>
    <n v="20001370"/>
    <s v="Tejas Desai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Section Head - Pro Ferro Alloys"/>
    <m/>
    <s v="Procurement MRO Hazira"/>
    <s v="Procurement"/>
    <s v="Ferro Alloys, Electrodes, DSR, Quartzite"/>
    <s v="Non Technical Support"/>
    <s v="Commercial"/>
    <s v="Procurement"/>
    <s v="73803001"/>
    <s v="Procurement"/>
    <s v="AM/NS Hazira"/>
    <d v="1977-01-13T00:00:00"/>
    <s v="46.08"/>
    <d v="1998-03-02T00:00:00"/>
    <d v="2035-01-31T00:00:00"/>
    <m/>
    <d v="2035-01-31T00:00:00"/>
    <n v="4151"/>
    <s v="B-"/>
    <s v="MBA-2004 , BE-2004"/>
    <s v="00.10"/>
    <s v="25.06"/>
    <s v="26.04"/>
    <s v="00044542"/>
    <s v="Procurement -Ferroalloys"/>
    <s v="70386219"/>
    <s v="Section Head - Pro Ferro Alloys"/>
    <s v="Hazira"/>
    <s v="0031950048"/>
    <s v="HZ-Procurment Depart"/>
    <s v="2000HWO"/>
    <s v="20000201"/>
    <s v="Manish Bakriwala"/>
    <s v="No"/>
    <s v="tejas.desai@amns.in"/>
    <s v="9879101626"/>
    <s v="21609"/>
    <s v="Dhruv Vyas"/>
    <s v="Anil Matoo"/>
    <s v="Praveen Kuruvalli"/>
    <s v="Dhruv Vyas"/>
    <n v="0"/>
  </r>
  <r>
    <n v="322"/>
    <n v="20001476"/>
    <s v="Vinod Khai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- Business Support"/>
    <m/>
    <s v="CMO Office"/>
    <s v="CMO Office"/>
    <s v=""/>
    <s v="Non Technical Support"/>
    <s v="Sales &amp; Marketing"/>
    <s v="Sales &amp; Marketing"/>
    <s v="73101001"/>
    <s v="Sales &amp; Marketing"/>
    <s v="Mumbai"/>
    <d v="1972-01-25T00:00:00"/>
    <s v="51.07"/>
    <d v="2000-10-16T00:00:00"/>
    <d v="2030-01-31T00:00:00"/>
    <m/>
    <d v="2030-01-31T00:00:00"/>
    <n v="2325"/>
    <s v="O-"/>
    <s v="BCom-1997"/>
    <s v=""/>
    <s v="22.11"/>
    <s v="22.11"/>
    <s v="70139950"/>
    <s v="Sales &amp; Marketing"/>
    <s v="70376875"/>
    <s v="Lead- Business Support"/>
    <s v="Hazira"/>
    <s v="0080000001"/>
    <s v="Head-Marketing"/>
    <s v="2000HWO"/>
    <s v="20007104"/>
    <s v="Ranjan Dhar"/>
    <s v="No"/>
    <s v="vinod.khair@amns.in"/>
    <s v="9819730190"/>
    <s v="22192"/>
    <s v="Dhruv Vyas"/>
    <s v="Anil Matoo"/>
    <s v="Praveen Kuruvalli"/>
    <s v="Dhruv Vyas"/>
    <n v="0"/>
  </r>
  <r>
    <n v="323"/>
    <n v="20001488"/>
    <s v="Rajkumar Bhatia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NCO"/>
    <m/>
    <s v="Sales Steering &amp; BD"/>
    <s v="NCO"/>
    <s v="Secondary Sales"/>
    <s v="Non Technical Support"/>
    <s v="Sales &amp; Marketing"/>
    <s v="Sales"/>
    <s v="73104001"/>
    <s v="Sales"/>
    <s v="Hazira"/>
    <d v="1968-05-04T00:00:00"/>
    <s v="55.04"/>
    <d v="2001-01-02T00:00:00"/>
    <d v="2026-05-31T00:00:00"/>
    <m/>
    <d v="2026-05-31T00:00:00"/>
    <n v="984"/>
    <s v="O-"/>
    <s v="BCom-1990"/>
    <s v="03.00"/>
    <s v="22.08"/>
    <s v="25.08"/>
    <s v="70265035"/>
    <s v="Value Recovery"/>
    <s v="70226997"/>
    <s v="Lead - NCO"/>
    <s v="Hazira"/>
    <s v="0080000006"/>
    <s v="Secondary Sales - In"/>
    <s v="2000HWO"/>
    <s v="20016382"/>
    <s v="Kunal Bhardwaj"/>
    <s v="No"/>
    <s v="rajkumar.bhatia@amns.in"/>
    <s v="9879101520"/>
    <s v="21233"/>
    <s v="Dhruv Vyas"/>
    <s v="Anil Matoo"/>
    <s v="Praveen Kuruvalli"/>
    <s v="Dhruv Vyas"/>
    <n v="0"/>
  </r>
  <r>
    <n v="324"/>
    <n v="20001495"/>
    <s v="Milind Nargolka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NCO"/>
    <m/>
    <s v="Sales Steering &amp; BD"/>
    <s v="NCO"/>
    <s v="Secondary Sales"/>
    <s v="Non Technical Support"/>
    <s v="Sales &amp; Marketing"/>
    <s v="Sales"/>
    <s v="73104001"/>
    <s v="Sales"/>
    <s v="Mumbai"/>
    <d v="1976-08-07T00:00:00"/>
    <s v="47.01"/>
    <d v="2001-04-01T00:00:00"/>
    <d v="2034-08-31T00:00:00"/>
    <m/>
    <d v="2034-08-31T00:00:00"/>
    <n v="3998"/>
    <s v="A-"/>
    <s v="BCom-1999 , Diploma Equivalent-1999"/>
    <s v="00.11"/>
    <s v="22.05"/>
    <s v="23.04"/>
    <s v="70265035"/>
    <s v="Value Recovery"/>
    <s v="70226998"/>
    <s v="Lead - NCO"/>
    <s v="Hazira"/>
    <s v="0080000006"/>
    <s v="Secondary Sales - In"/>
    <s v="2000HWO"/>
    <s v="20016382"/>
    <s v="Kunal Bhardwaj"/>
    <s v="No"/>
    <s v="milind.nargolkar@amns.in"/>
    <s v="9879101199"/>
    <s v="22800"/>
    <s v="Dhruv Vyas"/>
    <s v="Anil Matoo"/>
    <s v="Praveen Kuruvalli"/>
    <s v="Dhruv Vyas"/>
    <n v="0"/>
  </r>
  <r>
    <n v="325"/>
    <n v="20001506"/>
    <s v="Ajay Kulkarni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NCO"/>
    <m/>
    <s v="Sales Steering &amp; BD"/>
    <s v="NCO"/>
    <s v="Domestic"/>
    <s v="Non Technical Support"/>
    <s v="Supply Chain Management"/>
    <s v="Supply Chain Management"/>
    <s v="73701001"/>
    <s v="Supply Chain Management"/>
    <s v="Pune AMNS"/>
    <d v="1967-06-04T00:00:00"/>
    <s v="56.03"/>
    <d v="2001-07-17T00:00:00"/>
    <d v="2025-06-30T00:00:00"/>
    <m/>
    <d v="2025-06-30T00:00:00"/>
    <n v="649"/>
    <s v="A-"/>
    <s v="BCom-2018 , MBA-2018"/>
    <s v="04.03"/>
    <s v="22.02"/>
    <s v="26.05"/>
    <s v="00044934"/>
    <s v="Value Recovery - Pune Facility"/>
    <s v="70259167"/>
    <s v="Lead - NCO"/>
    <s v="Pune Facility"/>
    <s v="0035950020"/>
    <s v="Pune-F&amp;A"/>
    <s v="2000ESPF"/>
    <s v="20016382"/>
    <s v="Kunal Bhardwaj"/>
    <s v="No"/>
    <s v="ajay.kulkarni@amns.in"/>
    <s v="9158895775"/>
    <s v="22292"/>
    <s v="Dhruv Vyas"/>
    <s v="Anil Matoo"/>
    <s v="Praveen Kuruvalli"/>
    <s v="Dhruv Vyas"/>
    <n v="0"/>
  </r>
  <r>
    <n v="326"/>
    <n v="20001529"/>
    <s v="Velidi Chandra Sekhara Rao"/>
    <s v="AM/NS India"/>
    <s v="Onroll"/>
    <s v="M-8"/>
    <n v="8"/>
    <m/>
    <s v="JM"/>
    <s v="M"/>
    <s v="Vizag"/>
    <n v="3"/>
    <s v="2012"/>
    <x v="7"/>
    <s v="34.01"/>
    <s v="Ambrish Chaturvedi"/>
    <s v="Hrishikesh Kamat"/>
    <n v="7"/>
    <s v="Procurement"/>
    <s v="Stores &amp; Warehouse"/>
    <s v="34"/>
    <s v="Warehouse Officers Kirandul"/>
    <m/>
    <s v="Stores &amp; Warehouse"/>
    <s v="Stores &amp; Warehouse"/>
    <s v="Stores &amp; Warehouse"/>
    <s v="Non Technical Support"/>
    <s v="Commercial"/>
    <s v="Stores &amp; Warehouse"/>
    <s v="73806001"/>
    <s v="Stores &amp; Warehouse"/>
    <s v="Kirandul"/>
    <d v="1967-06-05T00:00:00"/>
    <s v="56.03"/>
    <d v="2002-02-15T00:00:00"/>
    <d v="2025-06-30T00:00:00"/>
    <m/>
    <d v="2025-06-30T00:00:00"/>
    <n v="649"/>
    <s v="A-"/>
    <s v="BCom-1987"/>
    <s v="07.04"/>
    <s v="21.07"/>
    <s v="28.11"/>
    <s v="70301353"/>
    <s v="Procurement - Vizag &amp; Chitrakonda"/>
    <s v="70258960"/>
    <s v="Warehouse Officers Kirandul"/>
    <s v="Vizag"/>
    <s v="0028030019"/>
    <s v="VIZ-Personnel &amp; Admi"/>
    <s v="2000VIZOPS"/>
    <s v="20000200"/>
    <s v="A Venkateswara Rao"/>
    <s v="No"/>
    <s v="velidi.chandrasekhararao@amns.in"/>
    <s v="9713766632"/>
    <s v="23707"/>
    <s v="DS Varma"/>
    <s v="Anil Matoo"/>
    <s v="Praveen Kuruvalli"/>
    <s v="Dhruv Vyas"/>
    <n v="0"/>
  </r>
  <r>
    <n v="330"/>
    <n v="20001577"/>
    <s v="Prakash Thakur"/>
    <s v="AM/NS India"/>
    <s v="Onroll"/>
    <s v="M-4"/>
    <n v="4"/>
    <m/>
    <s v="SM"/>
    <s v="M"/>
    <s v="Hazira"/>
    <n v="1"/>
    <s v="2095"/>
    <x v="4"/>
    <n v="36.01"/>
    <s v="Deepak Sindkar"/>
    <s v="Hrishikesh Kamat"/>
    <n v="7"/>
    <s v="Procurement"/>
    <s v="Raw Materials"/>
    <s v="36"/>
    <s v="Section Head - Blacks"/>
    <m/>
    <s v="Bulk Raw Materials"/>
    <s v="Raw Material"/>
    <s v="Coal &amp; Coke"/>
    <s v="Non Technical Support"/>
    <s v="Commercial"/>
    <s v="Procurement"/>
    <s v="73803001"/>
    <s v="Procurement"/>
    <s v="Mumbai"/>
    <d v="1981-02-16T00:00:00"/>
    <s v="42.07"/>
    <d v="2003-01-20T00:00:00"/>
    <d v="2039-02-28T00:00:00"/>
    <m/>
    <d v="2039-02-28T00:00:00"/>
    <n v="5640"/>
    <s v="B-"/>
    <s v="BTech-2003"/>
    <s v=""/>
    <s v="20.07"/>
    <s v="20.07"/>
    <s v="00045894"/>
    <s v="Blacks"/>
    <s v="70386222"/>
    <s v="Section Head - Blacks"/>
    <s v="Hazira"/>
    <s v="0031950048"/>
    <s v="HZ-Procurment Depart"/>
    <s v="2000HWO"/>
    <s v="20000253"/>
    <s v="Deepak Sindkar"/>
    <s v="No"/>
    <s v="prakash.thakur@amns.in"/>
    <s v="9833946423"/>
    <s v="24500"/>
    <s v="Dhruv Vyas"/>
    <s v="Anil Matoo"/>
    <s v="Praveen Kuruvalli"/>
    <s v="Dhruv Vyas"/>
    <n v="0"/>
  </r>
  <r>
    <n v="332"/>
    <n v="20001585"/>
    <s v="Y S V Satish Kumar"/>
    <s v="AM/NS India"/>
    <s v="Onroll"/>
    <s v="M-8"/>
    <n v="8"/>
    <m/>
    <s v="JM"/>
    <s v="M"/>
    <s v="Vizag"/>
    <n v="3"/>
    <s v="2023"/>
    <x v="6"/>
    <s v="24.08"/>
    <s v="Anil Matoo"/>
    <s v="Ashutosh Telang"/>
    <n v="6"/>
    <s v="HR &amp; Administration"/>
    <s v="Administration"/>
    <s v="24"/>
    <s v="Plant Node Officer - PP"/>
    <m/>
    <s v="Administration"/>
    <s v="Administration"/>
    <s v="Administration"/>
    <s v="Non Technical Support"/>
    <s v="Administration"/>
    <s v="Administration"/>
    <s v="74101001"/>
    <s v="Administration"/>
    <s v="Vizag"/>
    <d v="1979-02-03T00:00:00"/>
    <s v="44.07"/>
    <d v="2003-02-08T00:00:00"/>
    <d v="2037-02-28T00:00:00"/>
    <m/>
    <d v="2037-02-28T00:00:00"/>
    <n v="4910"/>
    <s v="A-"/>
    <s v="MBA-2002 , BCom-2002"/>
    <s v=""/>
    <s v="20.07"/>
    <s v="20.07"/>
    <s v="72150111"/>
    <s v="Vizag HR Operations &amp; Administration"/>
    <s v="70319475"/>
    <s v="Plant Node Officer - PP"/>
    <s v="Vizag"/>
    <s v="0028030019"/>
    <s v="VIZ-Personnel &amp; Admi"/>
    <s v="2000VIZOPS"/>
    <s v="20000519"/>
    <s v="Dandu Srinivas Varma"/>
    <s v="No"/>
    <s v="satish.kumar2@amns.in"/>
    <s v="9885310953"/>
    <s v="23956"/>
    <s v="DS Varma"/>
    <s v="Anil Matoo"/>
    <s v="Praveen Kuruvalli"/>
    <s v="Dhruv Vyas"/>
    <n v="0"/>
  </r>
  <r>
    <n v="341"/>
    <n v="20001664"/>
    <s v="Vivek Koul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CRM &amp; Pipe"/>
    <m/>
    <s v="Procurement MRO Hazira"/>
    <s v="Procurement"/>
    <s v="APD &amp; OEM for CRM Complex"/>
    <s v="Non Technical Support"/>
    <s v="Commercial"/>
    <s v="Procurement"/>
    <s v="73803001"/>
    <s v="Procurement"/>
    <s v="AM/NS Hazira"/>
    <d v="1981-03-05T00:00:00"/>
    <s v="42.06"/>
    <d v="2003-05-26T00:00:00"/>
    <d v="2039-03-31T00:00:00"/>
    <m/>
    <d v="2039-03-31T00:00:00"/>
    <n v="5671"/>
    <s v="O-"/>
    <s v="BTech-2003"/>
    <s v=""/>
    <s v="20.03"/>
    <s v="20.03"/>
    <s v="70072410"/>
    <s v="Rolling &amp; Finishing including CRM, Plate"/>
    <s v="70227024"/>
    <s v="Lead – Proc CRM &amp; Pipe"/>
    <s v="Hazira"/>
    <s v="0031950048"/>
    <s v="HZ-Procurment Depart"/>
    <s v="2000HWO"/>
    <s v="20002323"/>
    <s v="Balaji Somvanshi"/>
    <s v="No"/>
    <s v="vivek.koul@amns.in"/>
    <s v="9879101781"/>
    <s v="22278"/>
    <s v="Dhruv Vyas"/>
    <s v="Anil Matoo"/>
    <s v="Praveen Kuruvalli"/>
    <s v="Dhruv Vyas"/>
    <n v="0"/>
  </r>
  <r>
    <n v="345"/>
    <n v="20001736"/>
    <s v="Manoranjan Jagdhari"/>
    <s v="AM/NS India"/>
    <s v="Onroll"/>
    <s v="M-5"/>
    <n v="5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KAM - OEM Sales"/>
    <m/>
    <s v="West"/>
    <s v="Hypermart"/>
    <s v=""/>
    <s v="Non Technical Support"/>
    <s v="Sales &amp; Marketing"/>
    <s v="Sales"/>
    <s v="73104004"/>
    <s v="OEM Sales"/>
    <s v="Ahmedabad"/>
    <d v="1977-10-29T00:00:00"/>
    <s v="45.10"/>
    <d v="2003-07-28T00:00:00"/>
    <d v="2035-10-31T00:00:00"/>
    <m/>
    <d v="2035-10-31T00:00:00"/>
    <n v="4424"/>
    <s v="B-"/>
    <s v="BE-2002 , MBA-2002"/>
    <s v=""/>
    <s v="20.01"/>
    <s v="20.01"/>
    <s v="70394840"/>
    <s v="OEM Sales - Gujarat"/>
    <s v="70390042"/>
    <s v="Business Lead - Hypermart Gujarat"/>
    <s v="Hazira"/>
    <s v="0060110200"/>
    <s v="HMART-Gujarat Div"/>
    <s v="2000HWO"/>
    <s v="20000812"/>
    <s v="Sitaram Rege"/>
    <s v="No"/>
    <s v="manoranjan.jagdhari@amns.in"/>
    <s v="9978937895"/>
    <s v="21957"/>
    <s v="Dhruv Vyas"/>
    <s v="Anil Matoo"/>
    <s v="Praveen Kuruvalli"/>
    <s v="Dhruv Vyas"/>
    <n v="0"/>
  </r>
  <r>
    <n v="349"/>
    <n v="20001800"/>
    <s v="Sanjay Desa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76-04-23T00:00:00"/>
    <s v="47.04"/>
    <d v="2003-11-20T00:00:00"/>
    <d v="2034-04-30T00:00:00"/>
    <m/>
    <d v="2034-04-30T00:00:00"/>
    <n v="3875"/>
    <s v="O-"/>
    <s v="BCom-2001 , LLB-2001"/>
    <s v="11.06"/>
    <s v="19.09"/>
    <s v="31.03"/>
    <s v="00044156"/>
    <s v="Indirect Taxation - 2"/>
    <s v="70372310"/>
    <s v="Lead - Customs"/>
    <s v="Hazira"/>
    <s v="0031950044"/>
    <s v="HZ-Commercial Taxati"/>
    <s v="2000HWO"/>
    <s v="20006246"/>
    <s v="Deven Sadadiwala"/>
    <s v="No"/>
    <s v="sanjay.desai@amns.in"/>
    <s v="9909901504"/>
    <s v="21607"/>
    <s v="Dhruv Vyas"/>
    <s v="Anil Matoo"/>
    <s v="Praveen Kuruvalli"/>
    <s v="Dhruv Vyas"/>
    <n v="0"/>
  </r>
  <r>
    <n v="350"/>
    <n v="20001808"/>
    <s v="Alpesh Parikh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Hypermart"/>
    <s v="Hypermart"/>
    <s v=""/>
    <s v="Non Technical Support"/>
    <s v="Sales &amp; Marketing"/>
    <s v="Sales"/>
    <s v="73104004"/>
    <s v="OEM Sales"/>
    <s v="Ahmedabad"/>
    <d v="1972-08-22T00:00:00"/>
    <s v="51.00"/>
    <d v="2003-12-01T00:00:00"/>
    <d v="2030-08-31T00:00:00"/>
    <m/>
    <d v="2030-08-31T00:00:00"/>
    <n v="2537"/>
    <s v="A-"/>
    <s v="BSc-1994 , Diploma-1994"/>
    <s v=""/>
    <s v="19.09"/>
    <s v="19.09"/>
    <s v="72150154"/>
    <s v="HyperMart"/>
    <s v="70334352"/>
    <s v="KAM - Secondary Sales"/>
    <s v="Hazira"/>
    <s v="0031950057"/>
    <s v="HZ-HRC - Marketing"/>
    <s v="2000HWO"/>
    <s v="20006236"/>
    <s v="Sanjay Vaid"/>
    <s v="No"/>
    <s v="alpesh.parikh@amns.in"/>
    <s v="9879100901"/>
    <s v="23003"/>
    <s v="Dhruv Vyas"/>
    <s v="Anil Matoo"/>
    <s v="Praveen Kuruvalli"/>
    <s v="Dhruv Vyas"/>
    <n v="0"/>
  </r>
  <r>
    <n v="353"/>
    <n v="20001854"/>
    <s v="Arasappan Thirumaran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Section Head - Treasury"/>
    <m/>
    <s v="Treasury &amp; Banking"/>
    <s v="Treasury"/>
    <s v="Treasury"/>
    <s v="Non Technical Support"/>
    <s v="Finance &amp; Accounts"/>
    <s v="Treasury"/>
    <s v="73903001"/>
    <s v="Treasury"/>
    <s v="AM/NS Hazira"/>
    <d v="1968-06-13T00:00:00"/>
    <s v="55.03"/>
    <d v="2004-01-23T00:00:00"/>
    <d v="2026-06-30T00:00:00"/>
    <m/>
    <d v="2026-06-30T00:00:00"/>
    <n v="1014"/>
    <s v="O-"/>
    <s v="ICWA Final-2009 , BCom-2009 , CA Inter-1"/>
    <s v="09.00"/>
    <s v="19.07"/>
    <s v="28.07"/>
    <s v="72150420"/>
    <s v="Treasury - Hazira"/>
    <s v="72152884"/>
    <s v="Section Head - Treasury"/>
    <s v="Hazira"/>
    <s v="0031950045"/>
    <s v="HZ-Works Accounts-Ha"/>
    <s v="2000HWO"/>
    <s v="20000870"/>
    <s v="Balajee M"/>
    <s v="No"/>
    <s v="maran.thiru@amns.in"/>
    <s v="9909901125"/>
    <s v="24516"/>
    <s v="Dhruv Vyas"/>
    <s v="Anil Matoo"/>
    <s v="Praveen Kuruvalli"/>
    <s v="Dhruv Vyas"/>
    <n v="0"/>
  </r>
  <r>
    <n v="362"/>
    <n v="20001905"/>
    <s v="Nirav Bhagat"/>
    <s v="AM/NS India"/>
    <s v="Onroll"/>
    <s v="M-7"/>
    <n v="7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 Charge - Issue/Shifting"/>
    <m/>
    <s v="Stores &amp; Warehouse"/>
    <s v="Stores &amp; Warehouse"/>
    <s v="INI-CSP Caster, RMHS, F&amp;S, Admin, SMP Crane &amp; all bearing"/>
    <s v="Non Technical Support"/>
    <s v="Commercial"/>
    <s v="Stores &amp; Warehouse"/>
    <s v="73806001"/>
    <s v="Stores &amp; Warehouse"/>
    <s v="Hazira"/>
    <d v="1982-11-17T00:00:00"/>
    <s v="40.10"/>
    <d v="2003-07-08T00:00:00"/>
    <d v="2040-11-30T00:00:00"/>
    <m/>
    <d v="2040-11-30T00:00:00"/>
    <n v="6281"/>
    <s v="B-"/>
    <s v="Diploma-2003"/>
    <s v="00.08"/>
    <s v="20.02"/>
    <s v="20.10"/>
    <s v="00044540"/>
    <s v="Material Issue &amp; Shifting"/>
    <s v="70372311"/>
    <s v="Section In Charge - Issue/Shifting"/>
    <s v="Hazira"/>
    <s v="0031950049"/>
    <s v="HZ-Central Stores"/>
    <s v="2000HWO"/>
    <s v="20001164"/>
    <s v="Snehal Anjaria"/>
    <s v="No"/>
    <s v="nirav.bhagat@amns.in"/>
    <s v="9879102032"/>
    <s v="21207"/>
    <s v="Dhruv Vyas"/>
    <s v="Anil Matoo"/>
    <s v="Praveen Kuruvalli"/>
    <s v="Dhruv Vyas"/>
    <n v="0"/>
  </r>
  <r>
    <n v="383"/>
    <n v="20002323"/>
    <s v="Balaji Somvanshi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Section Head -  Pro Rolling &amp; Finishing"/>
    <m/>
    <s v="Procurement MRO Hazira"/>
    <s v="Procurement"/>
    <s v="Rolling &amp; Finishing"/>
    <s v="Non Technical Support"/>
    <s v="Commercial"/>
    <s v="Procurement"/>
    <s v="73803001"/>
    <s v="Procurement"/>
    <s v="AM/NS Hazira"/>
    <d v="1973-05-05T00:00:00"/>
    <s v="50.04"/>
    <d v="2004-08-11T00:00:00"/>
    <d v="2031-05-31T00:00:00"/>
    <m/>
    <d v="2031-05-31T00:00:00"/>
    <n v="2810"/>
    <s v="B-"/>
    <s v="BE-1994"/>
    <s v="09.08"/>
    <s v="19.01"/>
    <s v="28.09"/>
    <s v="70072410"/>
    <s v="Rolling &amp; Finishing including CRM, Plate"/>
    <s v="70320256"/>
    <s v="Section Head -  Pro Rolling &amp; Finishing"/>
    <s v="Hazira"/>
    <s v="0031950048"/>
    <s v="HZ-Procurment Depart"/>
    <s v="2000HWO"/>
    <s v="20000201"/>
    <s v="Manish Bakriwala"/>
    <s v="No"/>
    <s v="balaji.somvanshi@amns.in"/>
    <s v="9879100735"/>
    <s v="24325"/>
    <s v="Dhruv Vyas"/>
    <s v="Anil Matoo"/>
    <s v="Praveen Kuruvalli"/>
    <s v="Dhruv Vyas"/>
    <n v="0"/>
  </r>
  <r>
    <n v="385"/>
    <n v="20002379"/>
    <s v="Mateen Rizvi"/>
    <s v="AM/NS India"/>
    <s v="Onroll"/>
    <s v="M-6"/>
    <n v="6"/>
    <m/>
    <s v="MM"/>
    <s v="M"/>
    <s v="Vizag"/>
    <n v="3"/>
    <s v="2095"/>
    <x v="4"/>
    <n v="36.01"/>
    <s v="Deepak Sindkar"/>
    <s v="Hrishikesh Kamat"/>
    <n v="7"/>
    <s v="Procurement"/>
    <s v="Raw Materials"/>
    <s v="36"/>
    <s v="Section Head - Raw Material Liasioning"/>
    <m/>
    <s v="Bulk Raw Materials"/>
    <s v="Liaisoning"/>
    <s v="Liaisoning"/>
    <s v="Non Technical Support"/>
    <s v="Services"/>
    <s v="Maintenance Services"/>
    <s v="72103013"/>
    <s v="Mechanical Maintenance"/>
    <s v="Kirandul"/>
    <d v="1981-02-20T00:00:00"/>
    <s v="42.06"/>
    <d v="2004-08-16T00:00:00"/>
    <d v="2039-02-28T00:00:00"/>
    <m/>
    <d v="2039-02-28T00:00:00"/>
    <n v="5640"/>
    <s v="B-"/>
    <s v="BE-2004"/>
    <s v=""/>
    <s v="19.01"/>
    <s v="19.01"/>
    <s v="00045893"/>
    <s v="Red Odisha Mill Scale"/>
    <s v="70402767"/>
    <s v="Section Head - Raw Material Liasioning"/>
    <s v="Vizag"/>
    <s v="0028010019"/>
    <s v="KRD-Admin &amp; General"/>
    <s v="2000VIZOPS"/>
    <s v="20035527"/>
    <s v="Anil Patro"/>
    <s v="No"/>
    <s v="mateen.rizvi@amns.in"/>
    <s v="9425591778"/>
    <s v="23790"/>
    <s v="Dhruv Vyas"/>
    <s v="Anil Matoo"/>
    <s v="Praveen Kuruvalli"/>
    <s v="Dhruv Vyas"/>
    <n v="0"/>
  </r>
  <r>
    <n v="406"/>
    <n v="20002479"/>
    <s v="Anand Talabhatula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- Pro MH"/>
    <m/>
    <s v="Procurement MRO Hazira"/>
    <s v="Procurement"/>
    <s v="Quality System &amp; Customer Relation Manager"/>
    <s v="Non Technical Support"/>
    <s v="Operations"/>
    <s v="Operations"/>
    <s v="72103001"/>
    <s v="Operations"/>
    <s v="AM/NS Hazira"/>
    <d v="1982-01-23T00:00:00"/>
    <s v="41.07"/>
    <d v="2004-09-14T00:00:00"/>
    <d v="2040-01-31T00:00:00"/>
    <m/>
    <d v="2040-01-31T00:00:00"/>
    <n v="5977"/>
    <s v="B-"/>
    <s v="PG Diploma in Management-2012 , BTech-20"/>
    <s v=""/>
    <s v="19.00"/>
    <s v="19.00"/>
    <s v="72150383"/>
    <s v="Procurement (MRO/IP &amp; Consumable)"/>
    <s v="70226947"/>
    <s v="Lead - Pro MH"/>
    <s v="Hazira"/>
    <s v="0031950048"/>
    <s v="HZ-Procurment Depart"/>
    <s v="2000HWO"/>
    <s v="20000201"/>
    <s v="Manish Bakriwala"/>
    <s v="No"/>
    <s v="anand.talabhatula@amns.in"/>
    <s v="9909901508"/>
    <s v="24443"/>
    <s v="Dhruv Vyas"/>
    <s v="Anil Matoo"/>
    <s v="Praveen Kuruvalli"/>
    <s v="Dhruv Vyas"/>
    <n v="0"/>
  </r>
  <r>
    <n v="413"/>
    <n v="20002587"/>
    <s v="Seema Mehta"/>
    <s v="AM/NS India"/>
    <s v="Onroll"/>
    <s v="M-8"/>
    <n v="8"/>
    <m/>
    <s v="JM"/>
    <s v="F"/>
    <s v="Hazira"/>
    <n v="1"/>
    <s v="2012"/>
    <x v="7"/>
    <s v="34.01"/>
    <s v="Ambrish Chaturvedi"/>
    <s v="Hrishikesh Kamat"/>
    <n v="7"/>
    <s v="Procurement"/>
    <s v="Stores &amp; Warehouse"/>
    <s v="34"/>
    <s v="Section Officer - GRN &amp; Documentation"/>
    <m/>
    <s v="Stores &amp; Warehouse"/>
    <s v="Stores &amp; Warehouse"/>
    <s v="GRN &amp; Documentation"/>
    <s v="Non Technical Support"/>
    <s v="Commercial"/>
    <s v="Stores &amp; Warehouse"/>
    <s v="73806001"/>
    <s v="Stores &amp; Warehouse"/>
    <s v="Hazira"/>
    <d v="1968-07-13T00:00:00"/>
    <s v="55.02"/>
    <d v="2004-09-23T00:00:00"/>
    <d v="2026-07-31T00:00:00"/>
    <m/>
    <d v="2026-07-31T00:00:00"/>
    <n v="1045"/>
    <s v="AB-"/>
    <s v="BCom-1988"/>
    <s v=""/>
    <s v="18.11"/>
    <s v="18.11"/>
    <s v="00053278"/>
    <s v="GRN/Documentation/Issue - Plant A"/>
    <s v="70259108"/>
    <s v="Section Officer - GRN &amp; Documentation"/>
    <s v="Hazira"/>
    <s v="0031950049"/>
    <s v="HZ-Central Stores"/>
    <s v="2000HWO"/>
    <s v="20001164"/>
    <s v="Snehal Anjaria"/>
    <s v="No"/>
    <s v="seema.mehta@amns.in"/>
    <s v="9879101993"/>
    <s v="22601"/>
    <s v="Dhruv Vyas"/>
    <s v="Anil Matoo"/>
    <s v="Praveen Kuruvalli"/>
    <s v="Dhruv Vyas"/>
    <n v="0"/>
  </r>
  <r>
    <n v="414"/>
    <n v="20002607"/>
    <s v="Perpetina Corda"/>
    <s v="AM/NS India"/>
    <s v="Onroll"/>
    <s v="M-6"/>
    <n v="6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Trade Finance"/>
    <m/>
    <s v="Treasury &amp; Banking"/>
    <s v="Treasury &amp; Banking"/>
    <s v="Corporate Finance"/>
    <s v="Non Technical Support"/>
    <s v="Finance &amp; Accounts"/>
    <s v="Treasury"/>
    <s v="73903001"/>
    <s v="Treasury"/>
    <s v="Mumbai"/>
    <d v="1970-06-17T00:00:00"/>
    <s v="53.03"/>
    <d v="1994-03-21T00:00:00"/>
    <d v="2028-06-30T00:00:00"/>
    <m/>
    <d v="2028-06-30T00:00:00"/>
    <n v="1745"/>
    <s v="AB+"/>
    <s v="BA-2013 , Chartered Financial Analyst (C"/>
    <s v=""/>
    <s v="29.06"/>
    <s v="29.06"/>
    <s v="70447071"/>
    <s v="Insurance &amp; Financial Risk"/>
    <s v="70285612"/>
    <s v="Lead - Trade Finance"/>
    <s v="Hazira"/>
    <s v="0090000028"/>
    <s v="Corporate Steel - Wo"/>
    <s v="2000HWO"/>
    <s v="20017504"/>
    <s v="Appi Reddy Guttikonda"/>
    <s v="No"/>
    <s v="perpetina.corda@amns.in"/>
    <s v="9819731811"/>
    <s v="21446"/>
    <s v="Dhruv Vyas"/>
    <s v="Anil Matoo"/>
    <s v="Praveen Kuruvalli"/>
    <s v="Dhruv Vyas"/>
    <n v="0"/>
  </r>
  <r>
    <n v="416"/>
    <n v="20002629"/>
    <s v="Bhavesh Patel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Power Transmission  Hazira"/>
    <m/>
    <s v="Procurement MRO Hazira"/>
    <s v="Procurement"/>
    <s v="APD &amp; OEM Plate Mill &amp; Power Transmission for Hazira Complex"/>
    <s v="Non Technical Support"/>
    <s v="Commercial"/>
    <s v="Procurement"/>
    <s v="73803001"/>
    <s v="Procurement"/>
    <s v="AM/NS Hazira"/>
    <d v="1981-11-28T00:00:00"/>
    <s v="41.09"/>
    <d v="2004-10-06T00:00:00"/>
    <d v="2039-11-30T00:00:00"/>
    <m/>
    <d v="2039-11-30T00:00:00"/>
    <n v="5915"/>
    <s v="A-"/>
    <s v="BE-2003"/>
    <s v="01.00"/>
    <s v="18.11"/>
    <s v="19.11"/>
    <s v="00053409"/>
    <s v="Proc PowerTransmission"/>
    <s v="70227553"/>
    <s v="Lead – Proc Power Transmission  Hazira"/>
    <s v="Hazira"/>
    <s v="0031950048"/>
    <s v="HZ-Procurment Depart"/>
    <s v="2000HWO"/>
    <s v="20002323"/>
    <s v="Balaji Somvanshi"/>
    <s v="No"/>
    <s v="bhavesh.patel2@amns.in"/>
    <s v="9879102141"/>
    <s v="23104"/>
    <s v="Dhruv Vyas"/>
    <s v="Anil Matoo"/>
    <s v="Praveen Kuruvalli"/>
    <s v="Dhruv Vyas"/>
    <n v="0"/>
  </r>
  <r>
    <n v="418"/>
    <n v="20002639"/>
    <s v="Kathiresan K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Plate"/>
    <s v=""/>
    <s v="Non Technical Support"/>
    <s v="Sales &amp; Marketing"/>
    <s v="Sales"/>
    <s v="73104004"/>
    <s v="OEM Sales"/>
    <s v="Chennai"/>
    <d v="1985-06-22T00:00:00"/>
    <s v="38.03"/>
    <d v="2004-10-06T00:00:00"/>
    <d v="2043-06-30T00:00:00"/>
    <m/>
    <d v="2043-06-30T00:00:00"/>
    <n v="7223"/>
    <s v="B-"/>
    <s v="Diploma-2010 , AMIE-2010 , BSc-9999 , MB"/>
    <s v=""/>
    <s v="18.11"/>
    <s v="18.11"/>
    <s v="00052473"/>
    <s v="KAM - Plate Sales"/>
    <s v="70319532"/>
    <s v="KAM - Plate Sales"/>
    <s v="Hazira"/>
    <s v="0031581982"/>
    <s v="PLM-Marketing"/>
    <s v="2000HWO"/>
    <s v="20000909"/>
    <s v="Murali Krishna Chunduru"/>
    <s v="No"/>
    <s v="kathiresan.k@amns.in"/>
    <s v="9962828289"/>
    <s v="22083"/>
    <s v="Dhruv Vyas"/>
    <s v="Anil Matoo"/>
    <s v="Praveen Kuruvalli"/>
    <s v="Dhruv Vyas"/>
    <n v="0"/>
  </r>
  <r>
    <n v="430"/>
    <n v="20002744"/>
    <s v="Lalit Periwal"/>
    <s v="AM/NS India"/>
    <s v="Onroll"/>
    <s v="M-8"/>
    <n v="8"/>
    <m/>
    <s v="JM"/>
    <s v="M"/>
    <s v="Corporate"/>
    <n v="7"/>
    <s v="2100"/>
    <x v="11"/>
    <s v="42.01"/>
    <s v="Pankaj Chourasia"/>
    <s v="P Ashok Kumar"/>
    <n v="9"/>
    <s v="Legal"/>
    <s v="Company Secretary"/>
    <s v="42"/>
    <s v="Lead Company Secretary"/>
    <m/>
    <s v="Company Secretary"/>
    <s v="Company Secretary"/>
    <s v="Lead - Corporate Secretarial"/>
    <s v="Non Technical Support"/>
    <s v="Secretarial"/>
    <s v="Company Secretary"/>
    <s v="73301001"/>
    <s v="Company Secretary"/>
    <s v="Mumbai"/>
    <d v="1965-01-05T00:00:00"/>
    <s v="58.08"/>
    <d v="1987-01-01T00:00:00"/>
    <d v="2023-01-31T00:00:00"/>
    <d v="2024-01-31T00:00:00"/>
    <d v="2024-01-31T00:00:00"/>
    <n v="133"/>
    <s v="O-"/>
    <s v="BCom-1986"/>
    <s v=""/>
    <s v="36.08"/>
    <s v="36.08"/>
    <s v="70273573"/>
    <s v="Company Secretarial"/>
    <s v="72153643"/>
    <s v="Lead Company Secretary"/>
    <s v="Corporate"/>
    <s v="0090000020"/>
    <s v="Company Secretary"/>
    <s v="2000CS"/>
    <s v="20050785"/>
    <s v="Pankaj Chourasia"/>
    <s v="No"/>
    <s v="lalit.periwal@amns.in"/>
    <s v="9819730810"/>
    <s v="23496"/>
    <s v="Dhruv Vyas"/>
    <s v="Anil Matoo"/>
    <s v="Praveen Kuruvalli"/>
    <s v="Dhruv Vyas"/>
    <n v="0"/>
  </r>
  <r>
    <n v="431"/>
    <n v="20002746"/>
    <s v="Deep Pyne"/>
    <s v="AM/NS India"/>
    <s v="Onroll"/>
    <s v="M-5"/>
    <n v="5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ection Head – Pro E I &amp;A and Zinc"/>
    <m/>
    <s v="Procurement MRO Hazira"/>
    <s v="Procurement"/>
    <s v="Zinc, Electrical, Instrumentation, Automation spares"/>
    <s v="Non Technical Support"/>
    <s v="Commercial"/>
    <s v="Procurement"/>
    <s v="73803001"/>
    <s v="Procurement"/>
    <s v="AM/NS Hazira"/>
    <d v="1973-06-12T00:00:00"/>
    <s v="50.03"/>
    <d v="2004-11-01T00:00:00"/>
    <d v="2031-06-30T00:00:00"/>
    <m/>
    <d v="2031-06-30T00:00:00"/>
    <n v="2840"/>
    <s v="O-"/>
    <s v="BE-1995"/>
    <s v="09.00"/>
    <s v="18.10"/>
    <s v="27.10"/>
    <s v="70266350"/>
    <s v="Zinc, Elect, Instrumentation, Automation"/>
    <s v="70258442"/>
    <s v="Section Head – Pro E I &amp;A and Zinc"/>
    <s v="Hazira"/>
    <s v="0031950048"/>
    <s v="HZ-Procurment Depart"/>
    <s v="2000HWO"/>
    <s v="20000201"/>
    <s v="Manish Bakriwala"/>
    <s v="No"/>
    <s v="deep.pyne@amns.in"/>
    <s v="9879100819"/>
    <s v="23601"/>
    <s v="Dhruv Vyas"/>
    <s v="Anil Matoo"/>
    <s v="Praveen Kuruvalli"/>
    <s v="Dhruv Vyas"/>
    <n v="0"/>
  </r>
  <r>
    <n v="440"/>
    <n v="20002894"/>
    <s v="Soni Majji"/>
    <s v="AM/NS India"/>
    <s v="Onroll"/>
    <s v="M-8"/>
    <n v="8"/>
    <m/>
    <s v="JM"/>
    <s v="F"/>
    <s v="Vizag"/>
    <n v="3"/>
    <s v="2043"/>
    <x v="3"/>
    <s v="31.01"/>
    <s v="Hrishikesh Kamat"/>
    <s v="Hrishikesh Kamat"/>
    <n v="7"/>
    <s v="Procurement"/>
    <s v="Procurement"/>
    <s v="31"/>
    <s v="Engineers -  Procurement (BP &amp; Common)"/>
    <m/>
    <s v="Procurement"/>
    <s v="Procurement"/>
    <s v="Purchase"/>
    <s v="Non Technical Support"/>
    <s v="Operations"/>
    <s v="Plant Operations"/>
    <s v="72103003"/>
    <s v="Plant Operations"/>
    <s v="Vizag"/>
    <d v="1985-12-30T00:00:00"/>
    <s v="37.08"/>
    <d v="2004-12-20T00:00:00"/>
    <d v="2043-12-31T00:00:00"/>
    <m/>
    <d v="2043-12-31T00:00:00"/>
    <n v="7407"/>
    <s v="AB-"/>
    <s v="Diploma-2004"/>
    <s v=""/>
    <s v="18.09"/>
    <s v="18.09"/>
    <s v="70301353"/>
    <s v="Procurement - Vizag &amp; Chitrakonda"/>
    <s v="70372801"/>
    <s v="Engineers -  Procurement (BP &amp; Common)"/>
    <s v="Vizag"/>
    <s v="0028030019"/>
    <s v="VIZ-Personnel &amp; Admi"/>
    <s v="2000VIZOPS"/>
    <s v="20000200"/>
    <s v="A Venkateswara Rao"/>
    <s v="No"/>
    <s v="soni.majji@amns.in"/>
    <s v="9966333321"/>
    <s v="22495"/>
    <s v="DS Varma"/>
    <s v="Anil Matoo"/>
    <s v="Praveen Kuruvalli"/>
    <s v="Dhruv Vyas"/>
    <n v="0"/>
  </r>
  <r>
    <n v="445"/>
    <n v="20002920"/>
    <s v="Sudhir Sharm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Head Sales - North Zone"/>
    <m/>
    <s v="North"/>
    <s v="North"/>
    <s v=""/>
    <s v="Non Technical Support"/>
    <s v="Sales &amp; Marketing"/>
    <s v="Sales"/>
    <s v="73104004"/>
    <s v="OEM Sales"/>
    <s v="Noida"/>
    <d v="1966-09-03T00:00:00"/>
    <s v="57.00"/>
    <d v="2004-12-23T00:00:00"/>
    <d v="2024-09-30T00:00:00"/>
    <m/>
    <d v="2024-09-30T00:00:00"/>
    <n v="376"/>
    <s v="B-"/>
    <s v="Diploma-1994 , AMIE-1994 , BSc-1990"/>
    <s v="14.03"/>
    <s v="18.08"/>
    <s v="32.11"/>
    <s v="72150181"/>
    <s v="Sales North Zone"/>
    <s v="70334358"/>
    <s v="Regional Head Sales - North Zone"/>
    <s v="Hazira"/>
    <s v="0031950057"/>
    <s v="HZ-HRC - Marketing"/>
    <s v="2000HWO"/>
    <s v="20007104"/>
    <s v="Ranjan Dhar"/>
    <s v="No"/>
    <s v="sudhir.sharma@amns.in"/>
    <s v="9811226008"/>
    <s v="24121"/>
    <s v="Dhruv Vyas"/>
    <s v="Anil Matoo"/>
    <s v="Praveen Kuruvalli"/>
    <s v="Dhruv Vyas"/>
    <n v="0"/>
  </r>
  <r>
    <n v="461"/>
    <n v="20003094"/>
    <s v="Vikaskumar Bhavsar"/>
    <s v="AM/NS India"/>
    <s v="Onroll"/>
    <s v="M-8"/>
    <n v="8"/>
    <m/>
    <s v="J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Land Acquisition"/>
    <s v="Receipt &amp; Unbound"/>
    <s v="Non Technical Support"/>
    <s v="Commercial"/>
    <s v="Stores &amp; Warehouse"/>
    <s v="73806001"/>
    <s v="Stores &amp; Warehouse"/>
    <s v="AM/NS Hazira"/>
    <d v="1967-03-18T00:00:00"/>
    <s v="56.06"/>
    <d v="2005-02-10T00:00:00"/>
    <d v="2025-03-31T00:00:00"/>
    <m/>
    <d v="2025-03-31T00:00:00"/>
    <n v="558"/>
    <s v="A-"/>
    <s v="BCom-1989"/>
    <s v="15.06"/>
    <s v="18.07"/>
    <s v="34.00"/>
    <s v="70495436"/>
    <s v="Land Property"/>
    <s v="70259109"/>
    <s v="Manager"/>
    <s v="Hazira"/>
    <s v="0031950038"/>
    <s v="HZ-Hazira Land Acqui"/>
    <s v="2000HWO"/>
    <s v="20059561"/>
    <s v="Bhavdip Jathal"/>
    <s v="No"/>
    <s v="vikaskumar.bhavsar@amns.in"/>
    <s v="9879101470"/>
    <s v="21263"/>
    <s v="Dhruv Vyas"/>
    <s v="Anil Matoo"/>
    <s v="Praveen Kuruvalli"/>
    <s v="Dhruv Vyas"/>
    <n v="0"/>
  </r>
  <r>
    <n v="469"/>
    <n v="20003178"/>
    <s v="Leena Agarwal"/>
    <s v="AM/NS India"/>
    <s v="Onroll"/>
    <s v="M-7"/>
    <n v="7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Compliance &amp; Trade Finance"/>
    <m/>
    <s v="Treasury &amp; Banking"/>
    <s v="Treasury &amp; Banking"/>
    <s v="Corporate Finance"/>
    <s v="Non Technical Support"/>
    <s v="Finance &amp; Accounts"/>
    <s v="Treasury"/>
    <s v="73903001"/>
    <s v="Treasury"/>
    <s v="Mumbai"/>
    <d v="1981-03-11T00:00:00"/>
    <s v="42.06"/>
    <d v="2005-03-14T00:00:00"/>
    <d v="2039-03-31T00:00:00"/>
    <m/>
    <d v="2039-03-31T00:00:00"/>
    <n v="5671"/>
    <s v="O-"/>
    <s v="MBA-2007 , MBA-2007"/>
    <s v="03.03"/>
    <s v="18.06"/>
    <s v="21.09"/>
    <s v="70101920"/>
    <s v="Treasury - Mumbai"/>
    <s v="70258947"/>
    <s v="Lead - Compliance &amp; Trade Finance"/>
    <s v="Corporate"/>
    <s v="0090000028"/>
    <s v="Corporate Steel - Wo"/>
    <s v="2000CS"/>
    <s v="20000057"/>
    <s v="Vivek Sanil"/>
    <s v="No"/>
    <s v="leena.agarwal@amns.in"/>
    <s v="9819731888"/>
    <s v="21025"/>
    <s v="Dhruv Vyas"/>
    <s v="Anil Matoo"/>
    <s v="Praveen Kuruvalli"/>
    <s v="Dhruv Vyas"/>
    <n v="0"/>
  </r>
  <r>
    <n v="470"/>
    <n v="20003180"/>
    <s v="Bhikhubhai Ahir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 &amp; Unloading"/>
    <m/>
    <s v="Stores &amp; Warehouse"/>
    <s v="Stores &amp; Warehouse"/>
    <s v="Receipt &amp; Unloading"/>
    <s v="Non Technical Support"/>
    <s v="Commercial"/>
    <s v="Stores &amp; Warehouse"/>
    <s v="73806001"/>
    <s v="Stores &amp; Warehouse"/>
    <s v="Hazira"/>
    <d v="1967-04-01T00:00:00"/>
    <s v="56.05"/>
    <d v="2005-03-14T00:00:00"/>
    <d v="2025-03-31T00:00:00"/>
    <m/>
    <d v="2025-03-31T00:00:00"/>
    <n v="558"/>
    <s v="A-"/>
    <s v="BA-1988"/>
    <s v="08.01"/>
    <s v="18.06"/>
    <s v="26.07"/>
    <s v="00053277"/>
    <s v="Receipts &amp; Unloading - Plant B"/>
    <s v="70319566"/>
    <s v="Section Officer - Receipt &amp; Unloading"/>
    <s v="Hazira"/>
    <s v="0031950049"/>
    <s v="HZ-Central Stores"/>
    <s v="2000HWO"/>
    <s v="20000948"/>
    <s v="Hitesh Raval"/>
    <s v="No"/>
    <s v="bhikhubhai.ahir@amns.in"/>
    <s v="9879101995"/>
    <s v="21042"/>
    <s v="Dhruv Vyas"/>
    <s v="Anil Matoo"/>
    <s v="Praveen Kuruvalli"/>
    <s v="Dhruv Vyas"/>
    <n v="0"/>
  </r>
  <r>
    <n v="474"/>
    <n v="20003222"/>
    <s v="Sanket Vakhariy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Ahmedabad"/>
    <d v="1981-12-04T00:00:00"/>
    <s v="41.09"/>
    <d v="2005-03-21T00:00:00"/>
    <d v="2039-12-31T00:00:00"/>
    <m/>
    <d v="2039-12-31T00:00:00"/>
    <n v="5946"/>
    <s v="O-"/>
    <s v="BE-2005 , MBA-2005"/>
    <s v=""/>
    <s v="18.06"/>
    <s v="18.06"/>
    <s v="70394840"/>
    <s v="OEM Sales - Gujarat"/>
    <s v="70258921"/>
    <s v="Sales Manager - Hypermart"/>
    <s v="Hypermart"/>
    <s v="0060110200"/>
    <s v="HMART-Gujarat Div"/>
    <s v="2000SRET"/>
    <s v="20001736"/>
    <s v="Manoranjan Jagdhari"/>
    <s v="No"/>
    <s v="sanket.vakhariya@amns.in"/>
    <s v="9825523407"/>
    <s v="24627"/>
    <s v="Dhruv Vyas"/>
    <s v="Anil Matoo"/>
    <s v="Praveen Kuruvalli"/>
    <s v="Dhruv Vyas"/>
    <n v="0"/>
  </r>
  <r>
    <n v="476"/>
    <n v="20003239"/>
    <s v="Mitesh Motka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Manager"/>
    <m/>
    <s v="West"/>
    <s v="OEM"/>
    <s v="Gujarat Sales"/>
    <s v="Non Technical Support"/>
    <s v="Services"/>
    <s v="Material Handling services"/>
    <s v="72103020"/>
    <s v="Packaging &amp; Warehousing"/>
    <s v="Ahmedabad"/>
    <d v="1985-08-17T00:00:00"/>
    <s v="38.01"/>
    <d v="2005-03-21T00:00:00"/>
    <d v="2043-08-31T00:00:00"/>
    <m/>
    <d v="2043-08-31T00:00:00"/>
    <n v="7285"/>
    <s v="O-"/>
    <s v="Diploma-2004"/>
    <s v="00.04"/>
    <s v="18.06"/>
    <s v="18.09"/>
    <s v="00052660"/>
    <s v="Plate Sales"/>
    <s v="70411831"/>
    <s v="Sales Manager"/>
    <s v="Hypermart"/>
    <s v="0031950057"/>
    <s v="HZ-HRC - Marketing"/>
    <s v="2000SRET"/>
    <s v="20046414"/>
    <s v="Vinod Ninawe"/>
    <s v="No"/>
    <s v="mitesh.motka@amns.in"/>
    <s v="9879102540"/>
    <s v="22716"/>
    <s v="Dhruv Vyas"/>
    <s v="Anil Matoo"/>
    <s v="Praveen Kuruvalli"/>
    <s v="Dhruv Vyas"/>
    <n v="0"/>
  </r>
  <r>
    <n v="477"/>
    <n v="20003280"/>
    <s v="Chetan Jansari"/>
    <s v="AM/NS India"/>
    <s v="Onroll"/>
    <s v="M-3"/>
    <n v="3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- Performance Management"/>
    <m/>
    <s v="Performance Management"/>
    <s v="Performance Management"/>
    <s v="Performance Management"/>
    <s v="Non Technical Support"/>
    <s v="Finance &amp; Accounts"/>
    <s v="Costing"/>
    <s v="73906001"/>
    <s v="Costing"/>
    <s v="AM/NS Hazira"/>
    <d v="1971-10-04T00:00:00"/>
    <s v="51.11"/>
    <d v="2005-04-01T00:00:00"/>
    <d v="2029-10-31T00:00:00"/>
    <m/>
    <d v="2029-10-31T00:00:00"/>
    <n v="2233"/>
    <s v="B-"/>
    <s v="BE-2004 , MBA-2004 , ICWA Inter-1993"/>
    <s v="08.10"/>
    <s v="18.05"/>
    <s v="27.04"/>
    <s v="70494729"/>
    <s v="Performance Management"/>
    <s v="70386195"/>
    <s v="Head - Performance Management"/>
    <s v="Confidential Payroll"/>
    <s v="0031950043"/>
    <s v="HZ-Performance Manag"/>
    <s v="2000HWO"/>
    <s v="20057933"/>
    <s v="Akiyo Omori"/>
    <s v="No"/>
    <s v="chetan.jansari@amns.in"/>
    <s v="9879100523"/>
    <s v="21992"/>
    <s v="Dhruv Vyas"/>
    <s v="Anil Matoo"/>
    <s v="Praveen Kuruvalli"/>
    <s v="Dhruv Vyas"/>
    <n v="0"/>
  </r>
  <r>
    <n v="478"/>
    <n v="20003359"/>
    <s v="Nilesh Jetani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- Proc Corex &amp; Utility"/>
    <m/>
    <s v="Procurement MRO Hazira"/>
    <s v="Procurement"/>
    <s v="APD &amp; OEM for SMP, Utility equipment's (Pumps, Compressors, HVAC)"/>
    <s v="Non Technical Support"/>
    <s v="Commercial"/>
    <s v="Procurement"/>
    <s v="73803001"/>
    <s v="Procurement"/>
    <s v="AM/NS Hazira"/>
    <d v="1983-11-07T00:00:00"/>
    <s v="39.10"/>
    <d v="2005-04-18T00:00:00"/>
    <d v="2041-11-30T00:00:00"/>
    <m/>
    <d v="2041-11-30T00:00:00"/>
    <n v="6646"/>
    <s v="A-"/>
    <s v="BE-2004"/>
    <s v="00.10"/>
    <s v="18.05"/>
    <s v="19.02"/>
    <s v="70072411"/>
    <s v="Iron &amp; Steel Making"/>
    <s v="70227554"/>
    <s v="Lead - Proc Corex &amp; Utility"/>
    <s v="Hazira"/>
    <s v="0031950048"/>
    <s v="HZ-Procurment Depart"/>
    <s v="2000HWO"/>
    <s v="20000926"/>
    <s v="Manishkumar Seksaria"/>
    <s v="No"/>
    <s v="nilesh.jetani@amns.in"/>
    <s v="9879102550"/>
    <s v="22843"/>
    <s v="Dhruv Vyas"/>
    <s v="Anil Matoo"/>
    <s v="Praveen Kuruvalli"/>
    <s v="Dhruv Vyas"/>
    <n v="0"/>
  </r>
  <r>
    <n v="479"/>
    <n v="20003360"/>
    <s v="Abhijit Kal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"/>
    <s v="Non Technical Support"/>
    <s v="R&amp; D and QA/QC"/>
    <s v="QA &amp; QC"/>
    <s v="72103034"/>
    <s v="QA &amp; QC"/>
    <s v="Pune"/>
    <d v="1981-11-26T00:00:00"/>
    <s v="41.09"/>
    <d v="2005-04-18T00:00:00"/>
    <d v="2039-11-30T00:00:00"/>
    <m/>
    <d v="2039-11-30T00:00:00"/>
    <n v="5915"/>
    <s v="B-"/>
    <s v="MTech-2004 , BE-2004"/>
    <s v="00.09"/>
    <s v="18.05"/>
    <s v="19.02"/>
    <s v="00052460"/>
    <s v="Auto &amp; YG"/>
    <s v="70319382"/>
    <s v="Sr. Lead - Application Engineering"/>
    <s v="Hazira"/>
    <s v="0031950057"/>
    <s v="HZ-HRC - Marketing"/>
    <s v="2000HWO"/>
    <s v="20056155"/>
    <s v="Kondapalli Venkateswarlu"/>
    <s v="No"/>
    <s v="abhijit.kale@amns.in"/>
    <s v="9923200093"/>
    <s v="22108"/>
    <s v="Dhruv Vyas"/>
    <s v="Anil Matoo"/>
    <s v="Praveen Kuruvalli"/>
    <s v="Dhruv Vyas"/>
    <n v="0"/>
  </r>
  <r>
    <n v="499"/>
    <n v="20003603"/>
    <s v="Madhur Kohli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Sales Head – East"/>
    <m/>
    <s v="East"/>
    <s v="East"/>
    <s v=""/>
    <s v="Non Technical Support"/>
    <s v="Sales &amp; Marketing"/>
    <s v="Sales"/>
    <s v="73104004"/>
    <s v="OEM Sales"/>
    <s v="Chennai"/>
    <d v="1967-09-13T00:00:00"/>
    <s v="56.00"/>
    <d v="2005-06-06T00:00:00"/>
    <d v="2025-09-30T00:00:00"/>
    <m/>
    <d v="2025-09-30T00:00:00"/>
    <n v="741"/>
    <s v="O-"/>
    <s v="BE-1989"/>
    <s v="15.05"/>
    <s v="18.03"/>
    <s v="33.08"/>
    <s v="00045321"/>
    <s v="Sales East Zone"/>
    <s v="70386196"/>
    <s v="Regional Sales Head – East"/>
    <s v="Hazira"/>
    <s v="0031581982"/>
    <s v="PLM-Marketing"/>
    <s v="2000HWO"/>
    <s v="20007104"/>
    <s v="Ranjan Dhar"/>
    <s v="No"/>
    <s v="madhur.kohli@amns.in"/>
    <s v="9874746461"/>
    <s v="22257"/>
    <s v="Dhruv Vyas"/>
    <s v="Anil Matoo"/>
    <s v="Praveen Kuruvalli"/>
    <s v="Dhruv Vyas"/>
    <n v="0"/>
  </r>
  <r>
    <n v="500"/>
    <n v="20003619"/>
    <s v="Abhishek Bhattacharyya"/>
    <s v="AM/NS India"/>
    <s v="Onroll"/>
    <s v="M-5"/>
    <n v="5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Head - Exports, Pune"/>
    <m/>
    <s v="Sales &amp; Marketing"/>
    <s v="Downstream Construction"/>
    <s v="International Sales"/>
    <s v="Non Technical Support"/>
    <s v="Operations"/>
    <s v="Operations"/>
    <s v="72103001"/>
    <s v="Operations"/>
    <s v="Pune AMNS"/>
    <d v="1980-02-28T00:00:00"/>
    <s v="43.06"/>
    <d v="2005-06-06T00:00:00"/>
    <d v="2038-02-28T00:00:00"/>
    <m/>
    <d v="2038-02-28T00:00:00"/>
    <n v="5275"/>
    <s v="B-"/>
    <s v="Certificate-2005 , MBA-2005 , BE-2002 ,"/>
    <s v=""/>
    <s v="18.03"/>
    <s v="18.03"/>
    <s v="70491980"/>
    <s v="Export Sales"/>
    <s v="70434505"/>
    <s v="Head- Project Downstream Const. Solution"/>
    <s v="Pune Facility"/>
    <s v="0035950073"/>
    <s v="Pune - S&amp;D Export"/>
    <s v="2000ESPF"/>
    <s v="20055084"/>
    <s v="Alain Legrix De La Salle"/>
    <s v="No"/>
    <s v="abhishek.bhattacharyya@amns.in"/>
    <s v="9158895051"/>
    <s v="21249"/>
    <s v="Dhruv Vyas"/>
    <s v="Anil Matoo"/>
    <s v="Praveen Kuruvalli"/>
    <s v="Dhruv Vyas"/>
    <n v="0"/>
  </r>
  <r>
    <n v="501"/>
    <n v="20003623"/>
    <s v="Soumyadeep Datt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– Plate Sales"/>
    <m/>
    <s v="Plate"/>
    <s v="Plate"/>
    <s v=""/>
    <s v="Non Technical Support"/>
    <s v="Sales &amp; Marketing"/>
    <s v="Sales"/>
    <s v="73104004"/>
    <s v="OEM Sales"/>
    <s v="Ahmedabad"/>
    <d v="1982-10-20T00:00:00"/>
    <s v="40.11"/>
    <d v="2005-06-06T00:00:00"/>
    <d v="2040-10-31T00:00:00"/>
    <m/>
    <d v="2040-10-31T00:00:00"/>
    <n v="6251"/>
    <s v="O-"/>
    <s v="MBA-2005"/>
    <s v=""/>
    <s v="18.03"/>
    <s v="18.03"/>
    <s v="70410953"/>
    <s v="Plate Sales - Gujarat"/>
    <s v="70386198"/>
    <s v="Head – Plate Sales"/>
    <s v="Hazira"/>
    <s v="0031581982"/>
    <s v="PLM-Marketing"/>
    <s v="2000HWO"/>
    <s v="20007104"/>
    <s v="Ranjan Dhar"/>
    <s v="No"/>
    <s v="soumyadeep.datta@amns.in"/>
    <s v="9925016964"/>
    <s v="21537"/>
    <s v="Dhruv Vyas"/>
    <s v="Anil Matoo"/>
    <s v="Praveen Kuruvalli"/>
    <s v="Dhruv Vyas"/>
    <n v="0"/>
  </r>
  <r>
    <n v="502"/>
    <n v="20003630"/>
    <s v="Mukul Manchand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of Sales - Iron Ore"/>
    <m/>
    <s v="Iron Ore &amp; Infra"/>
    <s v="Iron Ore &amp; Infra"/>
    <s v="Power &amp; Gas"/>
    <s v="Non Technical Support"/>
    <s v="Commercial"/>
    <s v="Procurement"/>
    <s v="73803001"/>
    <s v="Procurement"/>
    <s v="Mumbai"/>
    <d v="1981-02-15T00:00:00"/>
    <s v="42.07"/>
    <d v="2005-06-06T00:00:00"/>
    <d v="2039-02-28T00:00:00"/>
    <m/>
    <d v="2039-02-28T00:00:00"/>
    <n v="5640"/>
    <s v="B-"/>
    <s v="PG Diploma in Management-2005"/>
    <s v=""/>
    <s v="18.03"/>
    <s v="18.03"/>
    <s v="00044347"/>
    <s v="Sales - Iron Ore"/>
    <s v="70320364"/>
    <s v="Head of Sales - Iron Ore"/>
    <s v="Hazira"/>
    <s v="0031950048"/>
    <s v="HZ-Procurment Depart"/>
    <s v="2000HWO"/>
    <s v="20007104"/>
    <s v="Ranjan Dhar"/>
    <s v="No"/>
    <s v="mukul.manchanda@amns.in"/>
    <s v="9819730748"/>
    <s v="22515"/>
    <s v="Dhruv Vyas"/>
    <s v="Anil Matoo"/>
    <s v="Praveen Kuruvalli"/>
    <s v="Dhruv Vyas"/>
    <n v="0"/>
  </r>
  <r>
    <n v="510"/>
    <n v="20003847"/>
    <s v="Mahesh Mehar"/>
    <s v="AM/NS India"/>
    <s v="Onroll"/>
    <s v="M-5"/>
    <n v="5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Sr. Lead - Domestic Sales, Pune"/>
    <m/>
    <s v="West"/>
    <s v="OEM"/>
    <s v="National Sales"/>
    <s v="Non Technical Support"/>
    <s v="Operations"/>
    <s v="Operations"/>
    <s v="72103001"/>
    <s v="Operations"/>
    <s v="Mumbai"/>
    <d v="1974-12-10T00:00:00"/>
    <s v="48.09"/>
    <d v="2005-07-18T00:00:00"/>
    <d v="2032-12-31T00:00:00"/>
    <m/>
    <d v="2032-12-31T00:00:00"/>
    <n v="3390"/>
    <s v="O-"/>
    <s v="BE-1996"/>
    <s v="07.02"/>
    <s v="18.02"/>
    <s v="25.04"/>
    <s v="70140931"/>
    <s v="Sales Gujarat &amp; Mumbai Zone"/>
    <s v="70435076"/>
    <s v="Sr. KAM - OEM Sales"/>
    <s v="Pune Facility"/>
    <s v="0031950057"/>
    <s v="HZ-HRC - Marketing"/>
    <s v="2000ESPF"/>
    <s v="20000812"/>
    <s v="Sitaram Rege"/>
    <s v="No"/>
    <s v="mahesh.mehar@amns.in"/>
    <s v="9819730744"/>
    <s v="22475"/>
    <s v="Dhruv Vyas"/>
    <s v="Anil Matoo"/>
    <s v="Praveen Kuruvalli"/>
    <s v="Dhruv Vyas"/>
    <n v="0"/>
  </r>
  <r>
    <n v="534"/>
    <n v="20004058"/>
    <s v="Mayank Shah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Pro HBI Sinter BF"/>
    <m/>
    <s v="Procurement MRO Hazira"/>
    <s v="Procurement"/>
    <s v="APD &amp; OEM for Sinter, HBI Modules, Water Treatment Chemicals, High value hyd"/>
    <s v="Non Technical Support"/>
    <s v="Commercial"/>
    <s v="Procurement"/>
    <s v="73803001"/>
    <s v="Procurement"/>
    <s v="AM/NS Hazira"/>
    <d v="1980-11-30T00:00:00"/>
    <s v="42.09"/>
    <d v="2004-08-01T00:00:00"/>
    <d v="2038-11-30T00:00:00"/>
    <m/>
    <d v="2038-11-30T00:00:00"/>
    <n v="5550"/>
    <s v="B-"/>
    <s v="BE-2003"/>
    <s v=""/>
    <s v="19.01"/>
    <s v="19.01"/>
    <s v="00048362"/>
    <s v="Procurement HBI Sinter BF"/>
    <s v="70319391"/>
    <s v="Lead –Pro HBI Sinter BF"/>
    <s v="Hazira"/>
    <s v="0031950048"/>
    <s v="HZ-Procurment Depart"/>
    <s v="2000HWO"/>
    <s v="20000201"/>
    <s v="Manish Bakriwala"/>
    <s v="No"/>
    <s v="mayank.shah@amns.in"/>
    <s v="9879103926"/>
    <s v="24021"/>
    <s v="Dhruv Vyas"/>
    <s v="Anil Matoo"/>
    <s v="Praveen Kuruvalli"/>
    <s v="Dhruv Vyas"/>
    <n v="0"/>
  </r>
  <r>
    <n v="543"/>
    <n v="20004197"/>
    <s v="Nitin Dhimmer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r. Lead – Proc Pipe Pipe fittings Mech"/>
    <m/>
    <s v="Procurement MRO Hazira"/>
    <s v="Procurement"/>
    <s v="Pipe, Pipe fittings, Cooling Towers, Mech. Valves"/>
    <s v="Non Technical Support"/>
    <s v="Commercial"/>
    <s v="Contracts &amp; Tenders and E-bid"/>
    <s v="73805001"/>
    <s v="Contracts &amp; Tenders and E"/>
    <s v="AM/NS Hazira"/>
    <d v="1977-07-26T00:00:00"/>
    <s v="46.01"/>
    <d v="2005-11-01T00:00:00"/>
    <d v="2035-07-31T00:00:00"/>
    <m/>
    <d v="2035-07-31T00:00:00"/>
    <n v="4332"/>
    <s v="A-"/>
    <s v="High School-1997 , Diploma-1997 , High S"/>
    <s v="07.09"/>
    <s v="17.10"/>
    <s v="25.07"/>
    <s v="72150383"/>
    <s v="Procurement (MRO/IP &amp; Consumable)"/>
    <s v="70386201"/>
    <s v="Sr. Lead – Proc Pipe Pipe fittings Mech"/>
    <s v="Hazira"/>
    <s v="0031950048"/>
    <s v="HZ-Procurment Depart"/>
    <s v="2000HWO"/>
    <s v="20000201"/>
    <s v="Manish Bakriwala"/>
    <s v="No"/>
    <s v="nitin.dhimmer@amns.in"/>
    <s v="9879108329"/>
    <s v="21662"/>
    <s v="Dhruv Vyas"/>
    <s v="Anil Matoo"/>
    <s v="Praveen Kuruvalli"/>
    <s v="Dhruv Vyas"/>
    <n v="0"/>
  </r>
  <r>
    <n v="550"/>
    <n v="20004339"/>
    <s v="Alok Dalwadi"/>
    <s v="AM/NS India"/>
    <s v="Onroll"/>
    <s v="M-8"/>
    <n v="8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Lead - Secondary Sales"/>
    <m/>
    <s v="Secondary Sales, Non Steel"/>
    <s v="Secondary Sales"/>
    <s v="Secondary Sales (Non Steel)"/>
    <s v="Non Technical Support"/>
    <s v="Sales &amp; Marketing"/>
    <s v="Sales"/>
    <s v="73104001"/>
    <s v="Sales"/>
    <s v="Hazira"/>
    <d v="1986-12-12T00:00:00"/>
    <s v="36.09"/>
    <d v="2005-12-05T00:00:00"/>
    <d v="2044-12-31T00:00:00"/>
    <m/>
    <d v="2044-12-31T00:00:00"/>
    <n v="7773"/>
    <s v="AB-"/>
    <s v="Diploma-2005"/>
    <s v="00.05"/>
    <s v="17.09"/>
    <s v="18.02"/>
    <s v="00044541"/>
    <s v="HRC Store - Receipt"/>
    <s v="70372535"/>
    <s v="Lead - Secondary Sales"/>
    <s v="Hazira"/>
    <s v="0080000006"/>
    <s v="Secondary Sales - In"/>
    <s v="2000HWO"/>
    <s v="20005047"/>
    <s v="Rajeev Jha"/>
    <s v="No"/>
    <s v="alok.dalwadi@amns.in"/>
    <s v="9879102104"/>
    <s v="21469"/>
    <s v="Dhruv Vyas"/>
    <s v="Anil Matoo"/>
    <s v="Praveen Kuruvalli"/>
    <s v="Dhruv Vyas"/>
    <n v="0"/>
  </r>
  <r>
    <n v="567"/>
    <n v="20004519"/>
    <s v="Sarjan Mahid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 - Inventory Plant B"/>
    <m/>
    <s v="Stores &amp; Warehouse"/>
    <s v="Stores &amp; Warehouse"/>
    <s v="Inventory Plant B"/>
    <s v="Non Technical Support"/>
    <s v="Commercial"/>
    <s v="Stores &amp; Warehouse"/>
    <s v="73806001"/>
    <s v="Stores &amp; Warehouse"/>
    <s v="Hazira"/>
    <d v="1984-03-29T00:00:00"/>
    <s v="39.05"/>
    <d v="2006-01-09T00:00:00"/>
    <d v="2042-03-31T00:00:00"/>
    <m/>
    <d v="2042-03-31T00:00:00"/>
    <n v="6767"/>
    <s v="B-"/>
    <s v="Diploma-2005 , BTech-2005"/>
    <s v=""/>
    <s v="17.08"/>
    <s v="17.08"/>
    <s v="70232287"/>
    <s v="HRC Store &amp; Inventory  &amp; Cataloging Mgt."/>
    <s v="70319772"/>
    <s v="Section Office - Inventory Plant B"/>
    <s v="Hazira"/>
    <s v="0031950049"/>
    <s v="HZ-Central Stores"/>
    <s v="2000HWO"/>
    <s v="20000948"/>
    <s v="Hitesh Raval"/>
    <s v="No"/>
    <s v="sarjan.mahida@amns.in"/>
    <s v="9879103403"/>
    <s v="22482"/>
    <s v="Dhruv Vyas"/>
    <s v="Anil Matoo"/>
    <s v="Praveen Kuruvalli"/>
    <s v="Dhruv Vyas"/>
    <n v="0"/>
  </r>
  <r>
    <n v="575"/>
    <n v="20004612"/>
    <s v="Ramesh Chabhadiya"/>
    <s v="AM/NS India"/>
    <s v="Onroll"/>
    <s v="M-5"/>
    <n v="5"/>
    <m/>
    <s v="MM"/>
    <s v="M"/>
    <s v="Hazira"/>
    <n v="1"/>
    <s v="2096"/>
    <x v="14"/>
    <s v="36.02"/>
    <s v="Deepak Sindkar"/>
    <s v="Hrishikesh Kamat"/>
    <n v="7"/>
    <s v="Procurement"/>
    <s v="Raw Materials"/>
    <s v="36"/>
    <s v="Section Head – Gas &amp; Power"/>
    <m/>
    <s v="Power &amp; Gas"/>
    <s v="Power &amp; Gas"/>
    <s v="Power &amp; Gas"/>
    <s v="Tech. Support Services"/>
    <s v="Commercial"/>
    <s v="Procurement"/>
    <s v="73803001"/>
    <s v="Procurement"/>
    <s v="AM/NS Hazira"/>
    <d v="1980-10-15T00:00:00"/>
    <s v="42.11"/>
    <d v="2006-01-23T00:00:00"/>
    <d v="2038-10-31T00:00:00"/>
    <m/>
    <d v="2038-10-31T00:00:00"/>
    <n v="5520"/>
    <s v="B-"/>
    <s v="BE-2010 , PG Diploma in Management-2010"/>
    <s v="01.02"/>
    <s v="17.07"/>
    <s v="18.10"/>
    <s v="00049516"/>
    <s v="Power &amp; Gas"/>
    <s v="70319458"/>
    <s v="Section Head – Gas &amp; Power"/>
    <s v="Hazira"/>
    <s v="0031950048"/>
    <s v="HZ-Procurment Depart"/>
    <s v="2000HWO"/>
    <s v="20055090"/>
    <s v="Hrishikesh Kamat"/>
    <s v="No"/>
    <s v="ramesh.chabhadiya@amns.in"/>
    <s v="9879102342"/>
    <s v="21328"/>
    <s v="Dhruv Vyas"/>
    <s v="Anil Matoo"/>
    <s v="Praveen Kuruvalli"/>
    <s v="Dhruv Vyas"/>
    <n v="0"/>
  </r>
  <r>
    <n v="590"/>
    <n v="20004925"/>
    <s v="Tufail Ahmad"/>
    <s v="AM/NS India"/>
    <s v="Onroll"/>
    <s v="M-8"/>
    <n v="8"/>
    <m/>
    <s v="JM"/>
    <s v="M"/>
    <s v="Service Centers"/>
    <n v="6"/>
    <s v="2043"/>
    <x v="3"/>
    <s v="31.01"/>
    <s v="Hrishikesh Kamat"/>
    <s v="Hrishikesh Kamat"/>
    <n v="7"/>
    <s v="Procurement"/>
    <s v="Procurement"/>
    <s v="31"/>
    <s v="Lead - Procurement - Service Center"/>
    <m/>
    <s v="Procurement Service Centre"/>
    <s v="Procurement"/>
    <s v="Procurement"/>
    <s v="Non Technical Support"/>
    <s v="Operations"/>
    <s v="Plant Maintenance"/>
    <s v="72103008"/>
    <s v="Mechanical Maintenance"/>
    <s v="Bahadurgarh"/>
    <d v="1985-02-15T00:00:00"/>
    <s v="38.07"/>
    <d v="2006-03-07T00:00:00"/>
    <d v="2043-02-28T00:00:00"/>
    <m/>
    <d v="2043-02-28T00:00:00"/>
    <n v="7101"/>
    <s v="O-"/>
    <s v="Diploma-2004"/>
    <s v=""/>
    <s v="17.06"/>
    <s v="17.06"/>
    <s v="70413444"/>
    <s v="Purchase &amp; Contracts"/>
    <s v="70371387"/>
    <s v="Lead - Procurement - Service Center"/>
    <s v="Service Center"/>
    <s v="0040050019"/>
    <s v="SC-Bahadurgarh-Op1-C"/>
    <s v="2000SPRJ"/>
    <s v="20052588"/>
    <s v="Govindraju Sampathirao"/>
    <s v="No"/>
    <s v="tufail.ahmad@amns.in"/>
    <s v="9836631818"/>
    <s v="21050"/>
    <s v="Dhruv Vyas"/>
    <s v="Anil Matoo"/>
    <s v="Praveen Kuruvalli"/>
    <s v="Dhruv Vyas"/>
    <n v="0"/>
  </r>
  <r>
    <n v="596"/>
    <n v="20005047"/>
    <s v="Rajeev Jha"/>
    <s v="AM/NS India"/>
    <s v="Onroll"/>
    <s v="M-7"/>
    <n v="7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 Charge - Receipt"/>
    <m/>
    <s v="Stores &amp; Warehouse"/>
    <s v="Stores &amp; Warehouse"/>
    <s v="Receipt, Unloading &amp; Unbound"/>
    <s v="Non Technical Support"/>
    <s v="Commercial"/>
    <s v="Stores &amp; Warehouse"/>
    <s v="73806001"/>
    <s v="Stores &amp; Warehouse"/>
    <s v="Hazira"/>
    <d v="1971-01-15T00:00:00"/>
    <s v="52.08"/>
    <d v="2003-05-01T00:00:00"/>
    <d v="2029-01-31T00:00:00"/>
    <m/>
    <d v="2029-01-31T00:00:00"/>
    <n v="1960"/>
    <s v="A+"/>
    <s v="BA-2000 , Diploma-2000"/>
    <s v="04.11"/>
    <s v="20.04"/>
    <s v="25.03"/>
    <s v="00044541"/>
    <s v="HRC Store - Receipt"/>
    <s v="70319402"/>
    <s v="Section In Charge - Receipt"/>
    <s v="Hazira"/>
    <s v="0031950049"/>
    <s v="HZ-Central Stores"/>
    <s v="2000HWO"/>
    <s v="20001240"/>
    <s v="Ambrish Chaturvedi"/>
    <s v="No"/>
    <s v="rajeev.jha@amns.in"/>
    <s v="9879103256"/>
    <s v="22033"/>
    <s v="Dhruv Vyas"/>
    <s v="Anil Matoo"/>
    <s v="Praveen Kuruvalli"/>
    <s v="Dhruv Vyas"/>
    <n v="0"/>
  </r>
  <r>
    <n v="618"/>
    <n v="20005165"/>
    <s v="Parthiv Desai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 HBI &amp; BF"/>
    <m/>
    <s v="Stores &amp; Warehouse"/>
    <s v="Stores &amp; Warehouse"/>
    <s v="Receipt  HBI &amp; BF"/>
    <s v="Non Technical Support"/>
    <s v="Commercial"/>
    <s v="Contracts &amp; Tenders and E-bid"/>
    <s v="73805001"/>
    <s v="Contracts &amp; Tenders and E"/>
    <s v="Hazira"/>
    <d v="1982-05-08T00:00:00"/>
    <s v="41.04"/>
    <d v="2004-03-02T00:00:00"/>
    <d v="2040-05-31T00:00:00"/>
    <m/>
    <d v="2040-05-31T00:00:00"/>
    <n v="6098"/>
    <s v="B-"/>
    <s v="Diploma-2001"/>
    <s v="02.01"/>
    <s v="19.06"/>
    <s v="21.07"/>
    <s v="00048783"/>
    <s v="HBI, BF, Plant B &amp; Plate Mill"/>
    <s v="70319611"/>
    <s v="Section Officer - Receipt HBI &amp; BF"/>
    <s v="Hazira"/>
    <s v="0031950049"/>
    <s v="HZ-Central Stores"/>
    <s v="2000HWO"/>
    <s v="20001905"/>
    <s v="Nirav Bhagat"/>
    <s v="No"/>
    <s v="parthiv.desai@amns.in"/>
    <s v="9879103486"/>
    <s v="21601"/>
    <s v="Dhruv Vyas"/>
    <s v="Anil Matoo"/>
    <s v="Praveen Kuruvalli"/>
    <s v="Dhruv Vyas"/>
    <n v="0"/>
  </r>
  <r>
    <n v="655"/>
    <n v="20005286"/>
    <s v="Sanjay Jain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Instrumentation &amp; Automatio"/>
    <m/>
    <s v="Procurement MRO Hazira"/>
    <s v="Procurement"/>
    <s v="Instrumentation &amp; Automation spares - Hazira Complex"/>
    <s v="Non Technical Support"/>
    <s v="Commercial"/>
    <s v="Procurement"/>
    <s v="73803001"/>
    <s v="Procurement"/>
    <s v="AM/NS Hazira"/>
    <d v="1980-12-21T00:00:00"/>
    <s v="42.09"/>
    <d v="2004-10-06T00:00:00"/>
    <d v="2038-12-31T00:00:00"/>
    <m/>
    <d v="2038-12-31T00:00:00"/>
    <n v="5581"/>
    <s v="B-"/>
    <s v="BE-2004"/>
    <s v=""/>
    <s v="18.11"/>
    <s v="18.11"/>
    <s v="70072411"/>
    <s v="Iron &amp; Steel Making"/>
    <s v="70258882"/>
    <s v="Lead – Proc Instrumentation &amp; Automatio"/>
    <s v="Hazira"/>
    <s v="0031950048"/>
    <s v="HZ-Procurment Depart"/>
    <s v="2000HWO"/>
    <s v="20000926"/>
    <s v="Manishkumar Seksaria"/>
    <s v="No"/>
    <s v="sanjay.jain@amns.in"/>
    <s v="9879103413"/>
    <s v="21971"/>
    <s v="Dhruv Vyas"/>
    <s v="Anil Matoo"/>
    <s v="Praveen Kuruvalli"/>
    <s v="Dhruv Vyas"/>
    <n v="0"/>
  </r>
  <r>
    <n v="671"/>
    <n v="20005328"/>
    <s v="Abhay Dorley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Plate Yard &amp; Dispatch"/>
    <s v="Non Technical Support"/>
    <s v="Sales &amp; Marketing"/>
    <s v="Sales"/>
    <s v="73104004"/>
    <s v="OEM Sales"/>
    <s v="Hazira"/>
    <d v="1985-06-05T00:00:00"/>
    <s v="38.03"/>
    <d v="2005-02-09T00:00:00"/>
    <d v="2043-06-30T00:00:00"/>
    <m/>
    <d v="2043-06-30T00:00:00"/>
    <n v="7223"/>
    <s v="A-"/>
    <s v="Diploma-2017 , BBA-2017 , MBA-2004"/>
    <s v=""/>
    <s v="18.07"/>
    <s v="18.07"/>
    <s v="00052660"/>
    <s v="Plate Sales"/>
    <s v="70259132"/>
    <s v="Sales Manager"/>
    <s v="Hazira"/>
    <s v="0031581982"/>
    <s v="PLM-Marketing"/>
    <s v="2000HWO"/>
    <s v="20046414"/>
    <s v="Vinod Ninawe"/>
    <s v="No"/>
    <s v="abhay.dorley@amns.in"/>
    <s v="9879103507"/>
    <s v="21696"/>
    <s v="Dhruv Vyas"/>
    <s v="Anil Matoo"/>
    <s v="Praveen Kuruvalli"/>
    <s v="Dhruv Vyas"/>
    <n v="0"/>
  </r>
  <r>
    <n v="676"/>
    <n v="20005375"/>
    <s v="Hrushikesh Deoghar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"/>
    <s v="Non Technical Support"/>
    <s v="Sales &amp; Marketing"/>
    <s v="Sales"/>
    <s v="73104004"/>
    <s v="OEM Sales"/>
    <s v="Mumbai"/>
    <d v="1979-03-20T00:00:00"/>
    <s v="44.06"/>
    <d v="2006-04-10T00:00:00"/>
    <d v="2037-03-31T00:00:00"/>
    <m/>
    <d v="2037-03-31T00:00:00"/>
    <n v="4941"/>
    <s v="O-"/>
    <s v="BSc-2003 , MBA-2003"/>
    <s v="05.07"/>
    <s v="17.05"/>
    <s v="23.00"/>
    <s v="70140931"/>
    <s v="Sales Gujarat &amp; Mumbai Zone"/>
    <s v="70336302"/>
    <s v="KAM - OEM Sales"/>
    <s v="Hazira"/>
    <s v="0031581982"/>
    <s v="PLM-Marketing"/>
    <s v="2000HWO"/>
    <s v="20000812"/>
    <s v="Sitaram Rege"/>
    <s v="No"/>
    <s v="hrushikesh.deoghare@amns.in"/>
    <s v="9930134040"/>
    <s v="21560"/>
    <s v="Dhruv Vyas"/>
    <s v="Anil Matoo"/>
    <s v="Praveen Kuruvalli"/>
    <s v="Dhruv Vyas"/>
    <n v="0"/>
  </r>
  <r>
    <n v="696"/>
    <n v="20005676"/>
    <s v="Bhavyesh Adhavaryu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Banking"/>
    <m/>
    <s v="Treasury &amp; Banking"/>
    <s v="Treasury"/>
    <s v="Export, Domestic &amp; Banking"/>
    <s v="Non Technical Support"/>
    <s v="Finance &amp; Accounts"/>
    <s v="Corporate Finance"/>
    <s v="73902004"/>
    <s v="Banking Relations"/>
    <s v="AM/NS Hazira"/>
    <d v="1981-10-06T00:00:00"/>
    <s v="41.11"/>
    <d v="2006-05-15T00:00:00"/>
    <d v="2039-10-31T00:00:00"/>
    <m/>
    <d v="2039-10-31T00:00:00"/>
    <n v="5885"/>
    <s v="B-"/>
    <s v="MMS-2005"/>
    <s v="00.06"/>
    <s v="17.04"/>
    <s v="17.10"/>
    <s v="72150420"/>
    <s v="Treasury - Hazira"/>
    <s v="70258858"/>
    <s v="Lead - Banking"/>
    <s v="Hazira"/>
    <s v="0031950045"/>
    <s v="HZ-Works Accounts-Ha"/>
    <s v="2000HWO"/>
    <s v="20001854"/>
    <s v="Arasappan Thirumaran"/>
    <s v="No"/>
    <s v="bhavyesh.adhavaryu@amns.in"/>
    <s v="9909901654"/>
    <s v="21019"/>
    <s v="Dhruv Vyas"/>
    <s v="Anil Matoo"/>
    <s v="Praveen Kuruvalli"/>
    <s v="Dhruv Vyas"/>
    <n v="0"/>
  </r>
  <r>
    <n v="708"/>
    <n v="20005759"/>
    <s v="Santosh G Kannoujia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Accounting"/>
    <m/>
    <s v="Working Capital"/>
    <s v="Accounts Payable"/>
    <s v="Central Accounting"/>
    <s v="Non Technical Support"/>
    <s v="Human Resources Management"/>
    <s v="Human Resources Management"/>
    <s v="73501002"/>
    <s v="Human Resources Operation"/>
    <s v="AM/NS Hazira"/>
    <d v="1978-04-05T00:00:00"/>
    <s v="45.05"/>
    <d v="2006-05-01T00:00:00"/>
    <d v="2036-04-30T00:00:00"/>
    <m/>
    <d v="2036-04-30T00:00:00"/>
    <n v="4606"/>
    <s v="A-"/>
    <s v="BA-2009 , MBA-2009"/>
    <s v=""/>
    <s v="17.04"/>
    <s v="17.04"/>
    <s v="00043794"/>
    <s v="Accounts Payable - 1"/>
    <s v="70226885"/>
    <s v="Officer - Accounting"/>
    <s v="Hazira"/>
    <s v="0031950045"/>
    <s v="HZ-Works Accounts-Ha"/>
    <s v="2000HWO"/>
    <s v="20016107"/>
    <s v="Kalpesh Thathagar"/>
    <s v="No"/>
    <s v="santoshg.kannoujia@amns.in"/>
    <s v="9879102378"/>
    <s v="22135"/>
    <s v="Dhruv Vyas"/>
    <s v="Anil Matoo"/>
    <s v="Praveen Kuruvalli"/>
    <s v="Dhruv Vyas"/>
    <n v="0"/>
  </r>
  <r>
    <n v="709"/>
    <n v="20005829"/>
    <s v="Subrata Banerjee"/>
    <s v="AM/NS India"/>
    <s v="Onroll"/>
    <s v="M-7"/>
    <n v="7"/>
    <m/>
    <s v="MM"/>
    <s v="M"/>
    <s v="Odisha"/>
    <n v="2"/>
    <s v="2012"/>
    <x v="7"/>
    <s v="34.01"/>
    <s v="Ambrish Chaturvedi"/>
    <s v="Hrishikesh Kamat"/>
    <n v="7"/>
    <s v="Procurement"/>
    <s v="Stores &amp; Warehouse"/>
    <s v="34"/>
    <s v="Department Head - Stores"/>
    <m/>
    <s v="Stores &amp; Warehouse"/>
    <s v="Stores"/>
    <s v="Stores"/>
    <s v="Non Technical Support"/>
    <s v="Commercial"/>
    <s v="Stores &amp; Warehouse"/>
    <s v="73806001"/>
    <s v="Stores &amp; Warehouse"/>
    <s v="Dabuna"/>
    <d v="1972-09-25T00:00:00"/>
    <s v="50.11"/>
    <d v="2006-05-01T00:00:00"/>
    <d v="2030-09-30T00:00:00"/>
    <m/>
    <d v="2030-09-30T00:00:00"/>
    <n v="2567"/>
    <s v="O-"/>
    <s v="BSc Engg-2008 , PG Diploma-2008 , Interm"/>
    <s v="12.00"/>
    <s v="17.04"/>
    <s v="29.04"/>
    <s v="70493265"/>
    <s v="Production"/>
    <s v="70395941"/>
    <s v="Department Head - Stores"/>
    <s v="Odisha"/>
    <s v="0022010019"/>
    <s v="DBN-Benf-HR/Admin"/>
    <s v="2000STORIS"/>
    <s v="20053014"/>
    <s v="Bhawesh Jha"/>
    <s v="No"/>
    <s v="subrata.banerjee@amns.in"/>
    <s v="9437573779"/>
    <s v="21159"/>
    <s v="Sunila Das"/>
    <s v="Anil Matoo"/>
    <s v="Praveen Kuruvalli"/>
    <s v="Sunila Das"/>
    <n v="0"/>
  </r>
  <r>
    <n v="727"/>
    <n v="20006023"/>
    <s v="Kavishwar Goral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enior Manager"/>
    <m/>
    <s v="Technical Marketing &amp; Application Engineering"/>
    <s v="Technical Marketing &amp; Application Engineering"/>
    <s v="Plate Finishing"/>
    <s v="Non Technical Support"/>
    <s v="Operations"/>
    <s v="Plant Operations"/>
    <s v="72103003"/>
    <s v="Plant Operations"/>
    <s v="Hazira"/>
    <d v="1981-12-08T00:00:00"/>
    <s v="41.09"/>
    <d v="2006-05-22T00:00:00"/>
    <d v="2039-12-31T00:00:00"/>
    <m/>
    <d v="2039-12-31T00:00:00"/>
    <n v="5946"/>
    <s v="AB-"/>
    <s v="BE-2005"/>
    <s v="00.09"/>
    <s v="17.03"/>
    <s v="18.00"/>
    <s v="00052467"/>
    <s v="Plate"/>
    <s v="70258876"/>
    <s v="Sr. Lead – Plate Products"/>
    <s v="Hazira"/>
    <s v="0031950057"/>
    <s v="HZ-HRC - Marketing"/>
    <s v="2000HWO"/>
    <s v="20055985"/>
    <s v="Dilip Chandra Gelli"/>
    <s v="No"/>
    <s v="kavishwar.gorale@amns.in"/>
    <s v="9909901510"/>
    <s v="21834"/>
    <s v="Dhruv Vyas"/>
    <s v="Anil Matoo"/>
    <s v="Praveen Kuruvalli"/>
    <s v="Dhruv Vyas"/>
    <n v="0"/>
  </r>
  <r>
    <n v="733"/>
    <n v="20006188"/>
    <s v="Sachin Toshniwal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- Treasury &amp; Investments"/>
    <m/>
    <s v="Taxation"/>
    <s v="In Direct - Taxation"/>
    <s v="Indirect Taxation"/>
    <s v="Non Technical Support"/>
    <s v="Finance &amp; Accounts"/>
    <s v="Treasury"/>
    <s v="73903001"/>
    <s v="Treasury"/>
    <s v="Mumbai"/>
    <d v="1977-10-23T00:00:00"/>
    <s v="45.10"/>
    <d v="2006-06-07T00:00:00"/>
    <d v="2035-10-31T00:00:00"/>
    <m/>
    <d v="2035-10-31T00:00:00"/>
    <n v="4424"/>
    <s v="O-"/>
    <s v="MBA-1999 , BCom-1999"/>
    <s v="06.08"/>
    <s v="17.03"/>
    <s v="23.11"/>
    <s v="70447071"/>
    <s v="Insurance &amp; Financial Risk"/>
    <s v="70258948"/>
    <s v="Lead - Treasury &amp; Investments"/>
    <s v="Corporate"/>
    <s v="0090000028"/>
    <s v="Corporate Steel - Wo"/>
    <s v="2000CS"/>
    <s v="20017504"/>
    <s v="Appi Reddy Guttikonda"/>
    <s v="No"/>
    <s v="sachin.toshniwal@amns.in"/>
    <s v="9819731528"/>
    <s v="24557"/>
    <s v="Dhruv Vyas"/>
    <s v="Anil Matoo"/>
    <s v="Praveen Kuruvalli"/>
    <s v="Dhruv Vyas"/>
    <n v="0"/>
  </r>
  <r>
    <n v="734"/>
    <n v="20006196"/>
    <s v="Tejashree Sathe"/>
    <s v="AM/NS India"/>
    <s v="Onroll"/>
    <s v="M-7"/>
    <n v="7"/>
    <m/>
    <s v="M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Other West"/>
    <s v="OEM"/>
    <s v=""/>
    <s v="Non Technical Support"/>
    <s v="Sales &amp; Marketing"/>
    <s v="Sales"/>
    <s v="73104004"/>
    <s v="OEM Sales"/>
    <s v="Pune"/>
    <d v="1981-05-23T00:00:00"/>
    <s v="42.03"/>
    <d v="2006-06-19T00:00:00"/>
    <d v="2039-05-31T00:00:00"/>
    <m/>
    <d v="2039-05-31T00:00:00"/>
    <n v="5732"/>
    <s v="A-"/>
    <s v="BTech-2007 , MBA-2007"/>
    <s v="02.04"/>
    <s v="17.03"/>
    <s v="19.07"/>
    <s v="70495309"/>
    <s v="Sales West Zone"/>
    <s v="70334311"/>
    <s v="KAM - OEM Sales"/>
    <s v="Hazira"/>
    <s v="0031950057"/>
    <s v="HZ-HRC - Marketing"/>
    <s v="2000HWO"/>
    <s v="20047683"/>
    <s v="Virat Vij"/>
    <s v="No"/>
    <s v="tejashree.sathe@amns.in"/>
    <s v="9923201806"/>
    <s v="23952"/>
    <s v="Dhruv Vyas"/>
    <s v="Anil Matoo"/>
    <s v="Praveen Kuruvalli"/>
    <s v="Dhruv Vyas"/>
    <n v="0"/>
  </r>
  <r>
    <n v="736"/>
    <n v="20006236"/>
    <s v="Sanjay Vaid"/>
    <s v="AM/NS India"/>
    <s v="Onroll"/>
    <s v="M-4"/>
    <n v="4"/>
    <m/>
    <s v="S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Head - HyperMart"/>
    <m/>
    <s v="Hypermart"/>
    <s v="Hypermart"/>
    <s v=""/>
    <s v="Non Technical Support"/>
    <s v="Sales &amp; Marketing"/>
    <s v="Sales"/>
    <s v="73104004"/>
    <s v="OEM Sales"/>
    <s v="Pune"/>
    <d v="1970-05-06T00:00:00"/>
    <s v="53.04"/>
    <d v="2006-07-03T00:00:00"/>
    <d v="2028-05-31T00:00:00"/>
    <m/>
    <d v="2028-05-31T00:00:00"/>
    <n v="1715"/>
    <s v="B-"/>
    <s v="BE-1997 , MBA-1997"/>
    <s v="09.00"/>
    <s v="17.02"/>
    <s v="26.02"/>
    <s v="72150154"/>
    <s v="HyperMart"/>
    <s v="70334316"/>
    <s v="Head - Hypermart"/>
    <s v="Hypermart"/>
    <s v="0060100004"/>
    <s v="HMART-HR/Admin Expen"/>
    <s v="2000SRET"/>
    <s v="20007104"/>
    <s v="Ranjan Dhar"/>
    <s v="No"/>
    <s v="sanjay.vaid@amns.in"/>
    <s v="9923200840"/>
    <s v="24623"/>
    <s v="Dhruv Vyas"/>
    <s v="Anil Matoo"/>
    <s v="Praveen Kuruvalli"/>
    <s v="Dhruv Vyas"/>
    <n v="0"/>
  </r>
  <r>
    <n v="738"/>
    <n v="20006246"/>
    <s v="Deven Sadadiwal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75-01-18T00:00:00"/>
    <s v="48.08"/>
    <d v="2006-07-01T00:00:00"/>
    <d v="2033-01-31T00:00:00"/>
    <m/>
    <d v="2033-01-31T00:00:00"/>
    <n v="3421"/>
    <s v="AB-"/>
    <s v="MBA-1999"/>
    <s v="06.10"/>
    <s v="17.02"/>
    <s v="24.01"/>
    <s v="70491113"/>
    <s v="Indirect Taxation - 1"/>
    <s v="70320434"/>
    <s v="Sr. lead - Customs"/>
    <s v="Hazira"/>
    <s v="0031950044"/>
    <s v="HZ-Commercial Taxati"/>
    <s v="2000HWO"/>
    <s v="20047664"/>
    <s v="Devang Desai"/>
    <s v="No"/>
    <s v="deven.sadadiwala@amns.in"/>
    <s v="9909901638"/>
    <s v="23827"/>
    <s v="Dhruv Vyas"/>
    <s v="Anil Matoo"/>
    <s v="Praveen Kuruvalli"/>
    <s v="Dhruv Vyas"/>
    <n v="0"/>
  </r>
  <r>
    <n v="756"/>
    <n v="20006499"/>
    <s v="Jaikishan Sharma"/>
    <s v="AM/NS India"/>
    <s v="Onroll"/>
    <s v="M-4"/>
    <n v="4"/>
    <m/>
    <s v="SM"/>
    <s v="M"/>
    <s v="Odisha"/>
    <n v="2"/>
    <s v="2095"/>
    <x v="4"/>
    <n v="36.01"/>
    <s v="Deepak Sindkar"/>
    <s v="Hrishikesh Kamat"/>
    <n v="7"/>
    <s v="Procurement"/>
    <s v="Raw Materials"/>
    <s v="36"/>
    <s v="Dep. Head - Logistics &amp; Tailing Mgmt."/>
    <m/>
    <s v="Bulk Raw Materials"/>
    <s v="Logistics &amp; Tailing Management"/>
    <s v="Logistics"/>
    <s v="Non Technical Support"/>
    <s v="Commercial"/>
    <s v="Procurement"/>
    <s v="73803001"/>
    <s v="Procurement"/>
    <s v="Dabuna"/>
    <d v="1962-04-10T00:00:00"/>
    <s v="61.05"/>
    <d v="2006-07-15T00:00:00"/>
    <d v="2020-04-30T00:00:00"/>
    <d v="2024-03-31T00:00:00"/>
    <d v="2024-03-31T00:00:00"/>
    <n v="193"/>
    <s v="A-"/>
    <s v="BA-1994 , PG Diploma in Management-1994"/>
    <s v="21.02"/>
    <s v="17.02"/>
    <s v="38.04"/>
    <s v="70318846"/>
    <s v="Logistics &amp; Tailing Management"/>
    <s v="70308224"/>
    <s v="Dep. Head - Logistics &amp; Tailing Mgmt."/>
    <s v="Odisha"/>
    <s v="0022010019"/>
    <s v="DBN-Benf-HR/Admin"/>
    <s v="2000STORIS"/>
    <s v="20055574"/>
    <s v="Suresha G"/>
    <s v="No"/>
    <s v="jaikishan.sharma@amns.in"/>
    <s v="9437481206"/>
    <s v="24100"/>
    <s v="Sunila Das"/>
    <s v="Anil Matoo"/>
    <s v="Praveen Kuruvalli"/>
    <s v="Sunila Das"/>
    <n v="0"/>
  </r>
  <r>
    <n v="760"/>
    <n v="20006536"/>
    <s v="Mahesh Salunke"/>
    <s v="AM/NS India"/>
    <s v="Onroll"/>
    <s v="M-4"/>
    <n v="4"/>
    <m/>
    <s v="SM"/>
    <s v="M"/>
    <s v="Pune Facility"/>
    <n v="4"/>
    <s v="2043"/>
    <x v="3"/>
    <s v="31.01"/>
    <s v="Hrishikesh Kamat"/>
    <s v="Hrishikesh Kamat"/>
    <n v="7"/>
    <s v="Procurement"/>
    <s v="Procurement"/>
    <s v="31"/>
    <s v="Head – Procurement Pune"/>
    <m/>
    <s v="Procurement"/>
    <s v="Procurement"/>
    <s v="Procurement"/>
    <s v="Non Technical Support"/>
    <s v="Commercial"/>
    <s v="Procurement"/>
    <s v="73803001"/>
    <s v="Procurement"/>
    <s v="Pune AMNS"/>
    <d v="1971-11-08T00:00:00"/>
    <s v="51.10"/>
    <d v="2006-07-10T00:00:00"/>
    <d v="2029-11-30T00:00:00"/>
    <m/>
    <d v="2029-11-30T00:00:00"/>
    <n v="2263"/>
    <s v="B-"/>
    <s v="BE-1993"/>
    <s v="12.10"/>
    <s v="17.02"/>
    <s v="30.00"/>
    <s v="73800002"/>
    <s v="Procurement - Pune Asset"/>
    <s v="70386091"/>
    <s v="Head – Procurement Pune"/>
    <s v="Pune Facility"/>
    <s v="0035950041"/>
    <s v="Pune-Procurement"/>
    <s v="2000ESPF"/>
    <s v="20055090"/>
    <s v="Hrishikesh Kamat"/>
    <s v="No"/>
    <s v="mahesh.salunke@amns.in"/>
    <s v="9158895146"/>
    <s v="23891"/>
    <s v="Dhruv Vyas"/>
    <s v="Anil Matoo"/>
    <s v="Praveen Kuruvalli"/>
    <s v="Dhruv Vyas"/>
    <n v="0"/>
  </r>
  <r>
    <n v="777"/>
    <n v="20006785"/>
    <s v="Sunil Patil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ales Manager Defence"/>
    <m/>
    <s v="Plate"/>
    <s v="Plate"/>
    <s v="Strategic Sales &amp; Branding"/>
    <s v="Non Technical Support"/>
    <s v="Assurance &amp; Cost Control"/>
    <s v="Assurance &amp; Cost Control"/>
    <s v="73401001"/>
    <s v="Assurance &amp; Cost Control"/>
    <s v="Mumbai"/>
    <d v="1983-09-20T00:00:00"/>
    <s v="40.00"/>
    <d v="2006-07-10T00:00:00"/>
    <d v="2041-09-30T00:00:00"/>
    <m/>
    <d v="2041-09-30T00:00:00"/>
    <n v="6585"/>
    <s v="B-"/>
    <s v="BE-2015 , Master's Equivalent-2006 , MTe"/>
    <s v=""/>
    <s v="17.02"/>
    <s v="17.02"/>
    <s v="70410953"/>
    <s v="Plate Sales - Gujarat"/>
    <s v="70289843"/>
    <s v="Sales Manager Defence"/>
    <s v="Corporate"/>
    <s v="0080000005"/>
    <s v="Global Markets Team"/>
    <s v="2000CS"/>
    <s v="20003623"/>
    <s v="Soumyadeep Datta"/>
    <s v="No"/>
    <s v="sunil.patil@amns.in"/>
    <s v="9930135384"/>
    <s v="23457"/>
    <s v="Dhruv Vyas"/>
    <s v="Anil Matoo"/>
    <s v="Praveen Kuruvalli"/>
    <s v="Dhruv Vyas"/>
    <n v="0"/>
  </r>
  <r>
    <n v="778"/>
    <n v="20006819"/>
    <s v="Prafulla Kumar Mohanty"/>
    <s v="AM/NS India"/>
    <s v="Onroll"/>
    <s v="M-4"/>
    <n v="4"/>
    <m/>
    <s v="SM"/>
    <s v="M"/>
    <s v="Odisha"/>
    <n v="2"/>
    <s v="2039"/>
    <x v="12"/>
    <s v="43.01"/>
    <s v="Sangeeta Munjal"/>
    <s v="Manu Kapoor"/>
    <n v="10"/>
    <s v="Corporate Affairs"/>
    <s v="Corporate Affairs"/>
    <s v="43"/>
    <s v="Head - Land Paradeep"/>
    <m/>
    <s v="Land Acquisition"/>
    <s v="Corporate Affairs"/>
    <s v="Corporate Affairs"/>
    <s v="Non Technical Support"/>
    <s v="Human Resources Management"/>
    <s v="Human Resources Management"/>
    <s v="73501002"/>
    <s v="Human Resources Operation"/>
    <s v="Paradeep"/>
    <d v="1971-11-22T00:00:00"/>
    <s v="51.09"/>
    <d v="2006-08-01T00:00:00"/>
    <d v="2029-11-30T00:00:00"/>
    <m/>
    <d v="2029-11-30T00:00:00"/>
    <n v="2263"/>
    <s v="O-"/>
    <s v="Master's Equivalent-1998 , LLB-1998 , MA"/>
    <s v="11.10"/>
    <s v="17.01"/>
    <s v="29.00"/>
    <s v="00052871"/>
    <s v="Land Acquisition and R&amp;R"/>
    <s v="70257475"/>
    <s v="Head – Land Acquisition and R&amp;R"/>
    <s v="Odisha"/>
    <s v="0022030019"/>
    <s v="PDP-HR &amp; Admn"/>
    <s v="2000STORIS"/>
    <s v="20033424"/>
    <s v="Rajiv Bhatnagar"/>
    <s v="No"/>
    <s v="prafullakumar.mohanty@amns.in"/>
    <s v="7381007005"/>
    <s v="22687"/>
    <s v="Sunila Das"/>
    <s v="Anil Matoo"/>
    <s v="Praveen Kuruvalli"/>
    <s v="Sunila Das"/>
    <n v="0"/>
  </r>
  <r>
    <n v="779"/>
    <n v="20006833"/>
    <s v="Hardik Vasavada"/>
    <s v="AM/NS India"/>
    <s v="Onroll"/>
    <s v="M-5"/>
    <n v="5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- Internal Control"/>
    <m/>
    <s v="Internal Control &amp; SOX"/>
    <s v="Internal Control &amp; SOX"/>
    <s v="Finance &amp; Accounts"/>
    <s v="Non Technical Support"/>
    <s v="Finance &amp; Accounts"/>
    <s v="Costing"/>
    <s v="73906001"/>
    <s v="Costing"/>
    <s v="AM/NS Hazira"/>
    <d v="1980-02-29T00:00:00"/>
    <s v="43.06"/>
    <d v="2006-08-04T00:00:00"/>
    <d v="2038-02-28T00:00:00"/>
    <m/>
    <d v="2038-02-28T00:00:00"/>
    <n v="5275"/>
    <s v="O-"/>
    <s v="CA Final-2005"/>
    <s v="01.01"/>
    <s v="17.01"/>
    <s v="18.02"/>
    <s v="00049304"/>
    <s v="PM - Internal Control"/>
    <s v="70258329"/>
    <s v="Lead - Internal Control"/>
    <s v="Corporate"/>
    <s v="0031950043"/>
    <s v="HZ-Performance Manag"/>
    <s v="2000CS"/>
    <s v="20003280"/>
    <s v="Chetan Jansari"/>
    <s v="No"/>
    <s v="hardik.vasavada@amns.in"/>
    <s v="9879102207"/>
    <s v="24649"/>
    <s v="Dhruv Vyas"/>
    <s v="Anil Matoo"/>
    <s v="Praveen Kuruvalli"/>
    <s v="Dhruv Vyas"/>
    <n v="0"/>
  </r>
  <r>
    <n v="780"/>
    <n v="20006862"/>
    <s v="D Niranjan Patro"/>
    <s v="AM/NS India"/>
    <s v="Onroll"/>
    <s v="M-5"/>
    <n v="5"/>
    <m/>
    <s v="MM"/>
    <s v="M"/>
    <s v="Vizag"/>
    <n v="3"/>
    <s v="2013"/>
    <x v="0"/>
    <s v="20.01"/>
    <s v="Akiyo Omori"/>
    <s v="Amit Harlalka"/>
    <n v="5"/>
    <s v="Finance &amp; Accounts"/>
    <s v="Finance &amp; Accounts"/>
    <s v="20"/>
    <s v="Section Head-Costing, Budgeting &amp; IDT"/>
    <m/>
    <s v="Finance &amp; Accounts - Vizag"/>
    <s v="Finance &amp; Accounts"/>
    <s v="Costing, Budgeting, IDT &amp; Insurance"/>
    <s v="Non Technical Support"/>
    <s v="Finance &amp; Accounts"/>
    <s v="Finance &amp; Accounts"/>
    <s v="73901001"/>
    <s v="Finance &amp; Accounts"/>
    <s v="Vizag"/>
    <d v="1968-03-24T00:00:00"/>
    <s v="55.05"/>
    <d v="2006-08-18T00:00:00"/>
    <d v="2026-03-31T00:00:00"/>
    <m/>
    <d v="2026-03-31T00:00:00"/>
    <n v="923"/>
    <s v="O-"/>
    <s v="MBA-2012 , Certificate-2012"/>
    <s v="14.07"/>
    <s v="17.01"/>
    <s v="31.08"/>
    <s v="70413458"/>
    <s v="Costing, Budgeting &amp; IDT"/>
    <s v="70402768"/>
    <s v="Section Head-Costing, Budgeting &amp; IDT"/>
    <s v="Vizag"/>
    <s v="0028030019"/>
    <s v="VIZ-Personnel &amp; Admi"/>
    <s v="2000VIZOPS"/>
    <s v="20001003"/>
    <s v="Patnana Muralidhara Rao"/>
    <s v="No"/>
    <s v="niranjan.patro@amns.in"/>
    <s v="9885108061"/>
    <s v="23476"/>
    <s v="DS Varma"/>
    <s v="Anil Matoo"/>
    <s v="Praveen Kuruvalli"/>
    <s v="Dhruv Vyas"/>
    <n v="0"/>
  </r>
  <r>
    <n v="781"/>
    <n v="20006916"/>
    <s v="Mir Ali Martaj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s &amp; Unloading"/>
    <m/>
    <s v="Stores &amp; Warehouse"/>
    <s v="Stores &amp; Warehouse"/>
    <s v="Receipt &amp; Unloading"/>
    <s v="Non Technical Support"/>
    <s v="Commercial"/>
    <s v="Stores &amp; Warehouse"/>
    <s v="73806001"/>
    <s v="Stores &amp; Warehouse"/>
    <s v="Hazira"/>
    <d v="1967-02-08T00:00:00"/>
    <s v="56.07"/>
    <d v="2006-08-01T00:00:00"/>
    <d v="2025-02-28T00:00:00"/>
    <m/>
    <d v="2025-02-28T00:00:00"/>
    <n v="527"/>
    <s v="O+"/>
    <s v="BA-1992"/>
    <s v="21.04"/>
    <s v="17.01"/>
    <s v="38.05"/>
    <s v="00053279"/>
    <s v="Receipts &amp; Unloading - Plant A"/>
    <s v="70259110"/>
    <s v="Section Officer - Receipts &amp; Unloading"/>
    <s v="Hazira"/>
    <s v="0031950049"/>
    <s v="HZ-Central Stores"/>
    <s v="2000HWO"/>
    <s v="20001164"/>
    <s v="Snehal Anjaria"/>
    <s v="No"/>
    <s v="mir.ali@amns.in"/>
    <s v="9909901791"/>
    <s v="21064"/>
    <s v="Dhruv Vyas"/>
    <s v="Anil Matoo"/>
    <s v="Praveen Kuruvalli"/>
    <s v="Dhruv Vyas"/>
    <n v="0"/>
  </r>
  <r>
    <n v="785"/>
    <n v="20007008"/>
    <s v="Pradeep Kumar Sharm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– STC Plate Mill"/>
    <m/>
    <s v="Working Capital"/>
    <s v="Accounts Receivable"/>
    <s v="STC Platemill"/>
    <s v="Non Technical Support"/>
    <s v="Finance &amp; Accounts"/>
    <s v="Finance &amp; Accounts"/>
    <s v="73901001"/>
    <s v="Finance &amp; Accounts"/>
    <s v="Hazira"/>
    <d v="1968-03-03T00:00:00"/>
    <s v="55.06"/>
    <d v="2006-08-25T00:00:00"/>
    <d v="2026-03-31T00:00:00"/>
    <m/>
    <d v="2026-03-31T00:00:00"/>
    <n v="923"/>
    <s v="O-"/>
    <s v="MBA-2012 , BCom-2012 , BCom-1988"/>
    <s v="17.03"/>
    <s v="17.00"/>
    <s v="34.03"/>
    <s v="72150286"/>
    <s v="Accounts Receivables &amp; Export Banking"/>
    <s v="70258462"/>
    <s v="DGM – Finance &amp; Account"/>
    <s v="Hazira"/>
    <s v="0031950045"/>
    <s v="HZ-Works Accounts-Ha"/>
    <s v="2000HWO"/>
    <s v="20007731"/>
    <s v="Ashish Mehta"/>
    <s v="No"/>
    <s v="pradeep.sharma@amns.in"/>
    <s v="9643897060"/>
    <s v="24107"/>
    <s v="Dhruv Vyas"/>
    <s v="Anil Matoo"/>
    <s v="Praveen Kuruvalli"/>
    <s v="Dhruv Vyas"/>
    <n v="0"/>
  </r>
  <r>
    <n v="788"/>
    <n v="20007067"/>
    <s v="Gaurav Bhandari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Section Head-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77-08-28T00:00:00"/>
    <s v="46.00"/>
    <d v="2006-08-31T00:00:00"/>
    <d v="2035-08-31T00:00:00"/>
    <m/>
    <d v="2035-08-31T00:00:00"/>
    <n v="4363"/>
    <s v="O-"/>
    <s v="CS-2002 , CA Final-2002"/>
    <s v="03.04"/>
    <s v="17.00"/>
    <s v="20.04"/>
    <s v="70074192"/>
    <s v="Corporate Accounts"/>
    <s v="70386071"/>
    <s v="Section Head-Corporate Accounts &amp; Audit"/>
    <s v="Hazira"/>
    <s v="0090000027"/>
    <s v="Corporate Steel - Ac"/>
    <s v="2000HWO"/>
    <s v="20000679"/>
    <s v="Dinesh Mangal"/>
    <s v="No"/>
    <s v="gaurav.bhandari@amns.in"/>
    <s v="9879100810"/>
    <s v="21218"/>
    <s v="Dhruv Vyas"/>
    <s v="Anil Matoo"/>
    <s v="Praveen Kuruvalli"/>
    <s v="Dhruv Vyas"/>
    <n v="0"/>
  </r>
  <r>
    <n v="790"/>
    <n v="20007104"/>
    <s v="Ranjan Dhar"/>
    <s v="AM/NS India"/>
    <s v="Onroll"/>
    <s v="M-2"/>
    <n v="2"/>
    <m/>
    <s v="TM"/>
    <s v="M"/>
    <s v="Hazira"/>
    <n v="1"/>
    <s v="2031"/>
    <x v="10"/>
    <s v="14.01"/>
    <s v="Alain Legrix De La Salle"/>
    <s v="Alain Legrix De La Salle"/>
    <n v="3"/>
    <s v="Sales &amp; Marketing"/>
    <s v="Sales &amp; Marketing"/>
    <s v="14"/>
    <s v="Chief Marketing Officer"/>
    <m/>
    <s v="Sales &amp; Marketing"/>
    <s v="CMO Office"/>
    <s v=""/>
    <s v="Non Technical Support"/>
    <s v="Sales &amp; Marketing"/>
    <s v="Sales &amp; Marketing"/>
    <s v="73101001"/>
    <s v="Sales &amp; Marketing"/>
    <s v="Mumbai"/>
    <d v="1973-10-03T00:00:00"/>
    <s v="49.11"/>
    <d v="2006-09-05T00:00:00"/>
    <d v="2033-10-31T00:00:00"/>
    <m/>
    <d v="2033-10-31T00:00:00"/>
    <n v="3694"/>
    <s v="B-"/>
    <s v="Certificate-2004 , BTech-2004 , Certific"/>
    <s v="06.03"/>
    <s v="17.00"/>
    <s v="23.03"/>
    <s v="70139950"/>
    <s v="Sales &amp; Marketing"/>
    <s v="70413461"/>
    <s v="Chief Marketing Officer"/>
    <s v="Confidential Payroll"/>
    <s v="0080000001"/>
    <s v="Head-Marketing"/>
    <s v="2000HWO"/>
    <s v="20055084"/>
    <s v="Alain Legrix De La Salle"/>
    <s v="No"/>
    <s v="ranjan.dhar@amns.in"/>
    <s v="9819731543"/>
    <s v="21649"/>
    <s v="Dhruv Vyas"/>
    <s v="Anil Matoo"/>
    <s v="Praveen Kuruvalli"/>
    <s v="Dhruv Vyas"/>
    <n v="0"/>
  </r>
  <r>
    <n v="815"/>
    <n v="20007322"/>
    <s v="Sanjay Bohr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Automotive Sales"/>
    <m/>
    <s v="North"/>
    <s v="Hypermart"/>
    <s v=""/>
    <s v="Non Technical Support"/>
    <s v="Sales &amp; Marketing"/>
    <s v="Marketing"/>
    <s v="73102001"/>
    <s v="Marketing"/>
    <s v="Faridabad"/>
    <d v="1973-03-15T00:00:00"/>
    <s v="50.06"/>
    <d v="2006-09-18T00:00:00"/>
    <d v="2031-03-31T00:00:00"/>
    <m/>
    <d v="2031-03-31T00:00:00"/>
    <n v="2749"/>
    <s v="B-"/>
    <s v="Diploma-1990 , Diploma-1990"/>
    <s v="15.09"/>
    <s v="17.00"/>
    <s v="32.08"/>
    <s v="00052526"/>
    <s v="Sales - North"/>
    <s v="70258465"/>
    <s v="KAM - Automotive Sales"/>
    <s v="Hazira"/>
    <s v="0060120100"/>
    <s v="HMART-North Zone"/>
    <s v="2000HWO"/>
    <s v="20002920"/>
    <s v="Sudhir Sharma"/>
    <s v="No"/>
    <s v="sanjay.bohra@amns.in"/>
    <s v="9899257110"/>
    <s v="21308"/>
    <s v="Dhruv Vyas"/>
    <s v="Anil Matoo"/>
    <s v="Praveen Kuruvalli"/>
    <s v="Dhruv Vyas"/>
    <n v="0"/>
  </r>
  <r>
    <n v="830"/>
    <n v="20007414"/>
    <s v="Gaurav Sharm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Sales – Pipe Products"/>
    <m/>
    <s v="Pipe"/>
    <s v="Pipe"/>
    <s v=""/>
    <s v="Non Technical Support"/>
    <s v="Sales &amp; Marketing"/>
    <s v="Sales &amp; Marketing"/>
    <s v="73101001"/>
    <s v="Sales &amp; Marketing"/>
    <s v="Noida"/>
    <d v="1979-08-14T00:00:00"/>
    <s v="44.01"/>
    <d v="2006-09-11T00:00:00"/>
    <d v="2037-08-31T00:00:00"/>
    <m/>
    <d v="2037-08-31T00:00:00"/>
    <n v="5094"/>
    <s v="B-"/>
    <s v="BE-2010 , PG Diploma in Management-2010"/>
    <s v="03.09"/>
    <s v="17.00"/>
    <s v="20.09"/>
    <s v="70387159"/>
    <s v="Pipe Sales"/>
    <s v="70258291"/>
    <s v="Head Sales – Pipe Products"/>
    <s v="Hazira"/>
    <s v="0031591982"/>
    <s v="PM-Marketing"/>
    <s v="2000HWO"/>
    <s v="20007104"/>
    <s v="Ranjan Dhar"/>
    <s v="No"/>
    <s v="gaurav.sharma1@amns.in"/>
    <s v="9654099920"/>
    <s v="24096"/>
    <s v="Dhruv Vyas"/>
    <s v="Anil Matoo"/>
    <s v="Praveen Kuruvalli"/>
    <s v="Dhruv Vyas"/>
    <n v="0"/>
  </r>
  <r>
    <n v="834"/>
    <n v="20007499"/>
    <s v="Sunil Mangoli"/>
    <s v="AM/NS India"/>
    <s v="Onroll"/>
    <s v="M-7"/>
    <n v="7"/>
    <m/>
    <s v="MM"/>
    <s v="M"/>
    <s v="Service Centers"/>
    <n v="6"/>
    <s v="2043"/>
    <x v="3"/>
    <s v="31.01"/>
    <s v="Hrishikesh Kamat"/>
    <s v="Hrishikesh Kamat"/>
    <n v="7"/>
    <s v="Procurement"/>
    <s v="Procurement"/>
    <s v="31"/>
    <s v="Lead - Procurement - Service Center"/>
    <m/>
    <s v="Procurement Service Centre"/>
    <s v="Procurement"/>
    <s v="Procurement"/>
    <s v="Non Technical Support"/>
    <s v="Commercial"/>
    <s v="Procurement"/>
    <s v="73803001"/>
    <s v="Procurement"/>
    <s v="Hazira"/>
    <d v="1976-06-08T00:00:00"/>
    <s v="47.03"/>
    <d v="2006-09-27T00:00:00"/>
    <d v="2034-06-30T00:00:00"/>
    <m/>
    <d v="2034-06-30T00:00:00"/>
    <n v="3936"/>
    <s v="B-"/>
    <s v="Diploma-1996"/>
    <s v="14.04"/>
    <s v="16.11"/>
    <s v="31.03"/>
    <s v="70413444"/>
    <s v="Purchase &amp; Contracts"/>
    <s v="72150636"/>
    <s v="Lead - Procurement - Service Center"/>
    <s v="Service Center"/>
    <s v="0040010019"/>
    <s v="SC-DSC-Common Cost"/>
    <s v="2000SPRJ"/>
    <s v="20052588"/>
    <s v="Govindraju Sampathirao"/>
    <s v="No"/>
    <s v="sunil.mangoli@amns.in"/>
    <s v="9923205755"/>
    <s v="22535"/>
    <s v="Dhruv Vyas"/>
    <s v="Anil Matoo"/>
    <s v="Praveen Kuruvalli"/>
    <s v="Dhruv Vyas"/>
    <n v="0"/>
  </r>
  <r>
    <n v="847"/>
    <n v="20007731"/>
    <s v="Ashish Mehta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-Accounts Receivables Export Banking"/>
    <m/>
    <s v="Working Capital"/>
    <s v="Accounts Receivable"/>
    <s v="Credit Control"/>
    <s v="Non Technical Support"/>
    <s v="Finance &amp; Accounts"/>
    <s v="Finance &amp; Accounts"/>
    <s v="73901004"/>
    <s v="Accounts Receivables"/>
    <s v="AM/NS Hazira"/>
    <d v="1977-07-30T00:00:00"/>
    <s v="46.01"/>
    <d v="2006-10-16T00:00:00"/>
    <d v="2035-07-31T00:00:00"/>
    <m/>
    <d v="2035-07-31T00:00:00"/>
    <n v="4332"/>
    <s v="B-"/>
    <s v="CA Final-2004"/>
    <s v="04.09"/>
    <s v="16.11"/>
    <s v="21.08"/>
    <s v="72150286"/>
    <s v="Accounts Receivables &amp; Export Banking"/>
    <s v="70227020"/>
    <s v="Head-Accounts Receivables Export Banking"/>
    <s v="Hazira"/>
    <s v="0031950045"/>
    <s v="HZ-Works Accounts-Ha"/>
    <s v="2000HWO"/>
    <s v="20055188"/>
    <s v="Rohit Sharma"/>
    <s v="No"/>
    <s v="ashish.mehta@amns.in"/>
    <s v="9879100614"/>
    <s v="22583"/>
    <s v="Dhruv Vyas"/>
    <s v="Anil Matoo"/>
    <s v="Praveen Kuruvalli"/>
    <s v="Dhruv Vyas"/>
    <n v="0"/>
  </r>
  <r>
    <n v="863"/>
    <n v="20008040"/>
    <s v="Rajesh Gupt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Gen.Mgr-Finance &amp; Acco"/>
    <m/>
    <s v="Sales Steering &amp; BD"/>
    <s v="Sales Audit"/>
    <s v=""/>
    <s v="Non Technical Support"/>
    <s v="Finance &amp; Accounts"/>
    <s v="Treasury"/>
    <s v="73903001"/>
    <s v="Treasury"/>
    <s v="Noida"/>
    <d v="1968-11-24T00:00:00"/>
    <s v="54.09"/>
    <d v="2006-11-06T00:00:00"/>
    <d v="2026-11-30T00:00:00"/>
    <m/>
    <d v="2026-11-30T00:00:00"/>
    <n v="1167"/>
    <s v="O-"/>
    <s v="PG Diploma in Management-1999 , MBA-1999"/>
    <s v="16.05"/>
    <s v="16.10"/>
    <s v="33.03"/>
    <s v="70277912"/>
    <s v="Plate Sales"/>
    <s v="70226691"/>
    <s v="Head Sales Audit &amp; Compliances"/>
    <s v="Hazira"/>
    <s v="0060100004"/>
    <s v="HMART-HR/Admin Expen"/>
    <s v="2000HWO"/>
    <s v="20010531"/>
    <s v="Saptarshi Saha"/>
    <s v="No"/>
    <s v="rajesh.gupta@amns.in"/>
    <s v="9811421542"/>
    <s v="21872"/>
    <s v="Dhruv Vyas"/>
    <s v="Anil Matoo"/>
    <s v="Praveen Kuruvalli"/>
    <s v="Dhruv Vyas"/>
    <n v="0"/>
  </r>
  <r>
    <n v="873"/>
    <n v="20008508"/>
    <s v="Satyajit Mohapatra"/>
    <s v="AM/NS India"/>
    <s v="Onroll"/>
    <s v="M-4"/>
    <n v="4"/>
    <m/>
    <s v="S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Head-Technical Mktg. &amp; Application Engg.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70-07-03T00:00:00"/>
    <s v="53.02"/>
    <d v="2006-12-18T00:00:00"/>
    <d v="2028-07-31T00:00:00"/>
    <m/>
    <d v="2028-07-31T00:00:00"/>
    <n v="1776"/>
    <s v="B-"/>
    <s v="Master's Equivalent-2006"/>
    <s v="12.00"/>
    <s v="16.09"/>
    <s v="28.08"/>
    <s v="70343197"/>
    <s v="Technical Mktg &amp; Application Engineering"/>
    <s v="70336265"/>
    <s v="Head-Technical Mktg. &amp; Application Engg."/>
    <s v="Hazira"/>
    <s v="0031950057"/>
    <s v="HZ-HRC - Marketing"/>
    <s v="2000HWO"/>
    <s v="20007104"/>
    <s v="Ranjan Dhar"/>
    <s v="No"/>
    <s v="satyajit.mohapatra@amns.in"/>
    <s v="9930134371"/>
    <s v="22699"/>
    <s v="Dhruv Vyas"/>
    <s v="Anil Matoo"/>
    <s v="Praveen Kuruvalli"/>
    <s v="Dhruv Vyas"/>
    <n v="0"/>
  </r>
  <r>
    <n v="880"/>
    <n v="20008647"/>
    <s v="Alpesh Hirpara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- Pro Refractory"/>
    <m/>
    <s v="Procurement MRO Hazira"/>
    <s v="Procurement"/>
    <s v="Consumables"/>
    <s v="Non Technical Support"/>
    <s v="Commercial"/>
    <s v="Procurement"/>
    <s v="73803001"/>
    <s v="Procurement"/>
    <s v="AM/NS Hazira"/>
    <d v="1983-09-25T00:00:00"/>
    <s v="39.11"/>
    <d v="2006-12-18T00:00:00"/>
    <d v="2041-09-30T00:00:00"/>
    <m/>
    <d v="2041-09-30T00:00:00"/>
    <n v="6585"/>
    <s v="O-"/>
    <s v="BE-2006"/>
    <s v=""/>
    <s v="16.09"/>
    <s v="16.09"/>
    <s v="00044543"/>
    <s v="Procurement -Refractory"/>
    <s v="70372367"/>
    <s v="Lead - Pro Refractory"/>
    <s v="Hazira"/>
    <s v="0031950048"/>
    <s v="HZ-Procurment Depart"/>
    <s v="2000HWO"/>
    <s v="20000201"/>
    <s v="Manish Bakriwala"/>
    <s v="No"/>
    <s v="alpesh.hirpara@amns.in"/>
    <s v="9925241335"/>
    <s v="21912"/>
    <s v="Dhruv Vyas"/>
    <s v="Anil Matoo"/>
    <s v="Praveen Kuruvalli"/>
    <s v="Dhruv Vyas"/>
    <n v="0"/>
  </r>
  <r>
    <n v="890"/>
    <n v="20008774"/>
    <s v="Ajay Somasundaran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r. Lead - Market Intelligence"/>
    <m/>
    <s v="Sales Steering &amp; BD"/>
    <s v="Market Intelligence"/>
    <s v="Pricing &amp; Strategy"/>
    <s v="Non Technical Support"/>
    <s v="Sales &amp; Marketing"/>
    <s v="Marketing"/>
    <s v="73102007"/>
    <s v="Pricing"/>
    <s v="Mumbai"/>
    <d v="1976-04-08T00:00:00"/>
    <s v="47.05"/>
    <d v="2007-01-15T00:00:00"/>
    <d v="2034-04-30T00:00:00"/>
    <m/>
    <d v="2034-04-30T00:00:00"/>
    <n v="3875"/>
    <s v="A-"/>
    <s v="MBA-2005"/>
    <s v="05.07"/>
    <s v="16.08"/>
    <s v="22.03"/>
    <s v="72150188"/>
    <s v="Market Intelligence &amp; Pricing"/>
    <s v="72150163"/>
    <s v="Head - Market Intelligence &amp; Pricing"/>
    <s v="Corporate"/>
    <s v="0080000001"/>
    <s v="Head-Marketing"/>
    <s v="2000CS"/>
    <s v="20010531"/>
    <s v="Saptarshi Saha"/>
    <s v="No"/>
    <s v="ajay.somasundaran@amns.in"/>
    <s v="9819731553"/>
    <s v="24323"/>
    <s v="Dhruv Vyas"/>
    <s v="Anil Matoo"/>
    <s v="Praveen Kuruvalli"/>
    <s v="Dhruv Vyas"/>
    <n v="0"/>
  </r>
  <r>
    <n v="896"/>
    <n v="20008966"/>
    <s v="Rajesh Katoch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Process Manager"/>
    <m/>
    <s v="Sales Steering &amp; BD"/>
    <s v="Digital Initiatives"/>
    <s v="West Zone"/>
    <s v="Non Technical Support"/>
    <s v="IT"/>
    <s v="IT"/>
    <s v="74901001"/>
    <s v="IT"/>
    <s v="Mumbai"/>
    <d v="1972-04-08T00:00:00"/>
    <s v="51.05"/>
    <d v="2007-01-22T00:00:00"/>
    <d v="2030-04-30T00:00:00"/>
    <m/>
    <d v="2030-04-30T00:00:00"/>
    <n v="2414"/>
    <s v="A-"/>
    <s v="BCom-1996"/>
    <s v="13.08"/>
    <s v="16.07"/>
    <s v="30.03"/>
    <s v="70462100"/>
    <s v="Digital Initiatives"/>
    <s v="70386465"/>
    <s v="Process Manager - Digitalization"/>
    <s v="Corporate"/>
    <s v="0060100003"/>
    <s v="HMART-IT/JDS Support"/>
    <s v="2000CS"/>
    <s v="20043383"/>
    <s v="Maneesh Moti"/>
    <s v="No"/>
    <s v="rajesh.katoch@amns.in"/>
    <s v="9819730698"/>
    <s v="22175"/>
    <s v="Dhruv Vyas"/>
    <s v="Anil Matoo"/>
    <s v="Praveen Kuruvalli"/>
    <s v="Dhruv Vyas"/>
    <n v="0"/>
  </r>
  <r>
    <n v="906"/>
    <n v="20009067"/>
    <s v="Neelesh Mishr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Business Leader Hypermart (West)"/>
    <m/>
    <s v="Hypermart"/>
    <s v="Hypermart"/>
    <s v=""/>
    <s v="Non Technical Support"/>
    <s v="Sales &amp; Marketing"/>
    <s v="Sales"/>
    <s v="73104003"/>
    <s v="Retail Sales"/>
    <s v="Mumbai"/>
    <d v="1975-12-23T00:00:00"/>
    <s v="47.08"/>
    <d v="2007-01-25T00:00:00"/>
    <d v="2033-12-31T00:00:00"/>
    <m/>
    <d v="2033-12-31T00:00:00"/>
    <n v="3755"/>
    <s v="B-"/>
    <s v="BCom-1996"/>
    <s v="06.06"/>
    <s v="16.07"/>
    <s v="23.01"/>
    <s v="70164330"/>
    <s v="HyperMart - West"/>
    <s v="70226631"/>
    <s v="Distribution Incharge - G'dham"/>
    <s v="Hazira"/>
    <s v="0031950057"/>
    <s v="HZ-HRC - Marketing"/>
    <s v="2000HWO"/>
    <s v="20006236"/>
    <s v="Sanjay Vaid"/>
    <s v="No"/>
    <s v="neelesh.mishra@amns.in"/>
    <s v="9819731556"/>
    <s v="22630"/>
    <s v="Dhruv Vyas"/>
    <s v="Anil Matoo"/>
    <s v="Praveen Kuruvalli"/>
    <s v="Dhruv Vyas"/>
    <n v="0"/>
  </r>
  <r>
    <n v="907"/>
    <n v="20009073"/>
    <s v="Hiral Bhatt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Rajkot"/>
    <d v="1982-09-14T00:00:00"/>
    <s v="41.00"/>
    <d v="2007-01-22T00:00:00"/>
    <d v="2040-09-30T00:00:00"/>
    <m/>
    <d v="2040-09-30T00:00:00"/>
    <n v="6220"/>
    <s v="A-"/>
    <s v="BBA-2004 , Certificate-2004"/>
    <s v="02.03"/>
    <s v="16.07"/>
    <s v="18.10"/>
    <s v="70394840"/>
    <s v="OEM Sales - Gujarat"/>
    <s v="70372455"/>
    <s v="Sales Manager - Hypermart"/>
    <s v="Hypermart"/>
    <s v="0060110300"/>
    <s v="HMART-Guj-Ahemedabad"/>
    <s v="2000SRET"/>
    <s v="20001736"/>
    <s v="Manoranjan Jagdhari"/>
    <s v="No"/>
    <s v="hiral.bhatt@amns.in"/>
    <s v="9909043001"/>
    <s v="21238"/>
    <s v="Dhruv Vyas"/>
    <s v="Anil Matoo"/>
    <s v="Praveen Kuruvalli"/>
    <s v="Dhruv Vyas"/>
    <n v="0"/>
  </r>
  <r>
    <n v="908"/>
    <n v="20009082"/>
    <s v="Ashutosh Misr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North"/>
    <s v="Hypermart"/>
    <s v="Nort Zone"/>
    <s v="Non Technical Support"/>
    <s v="Sales &amp; Marketing"/>
    <s v="Sales"/>
    <s v="73104003"/>
    <s v="Retail Sales"/>
    <s v="Jaipur"/>
    <d v="1977-09-28T00:00:00"/>
    <s v="45.11"/>
    <d v="2007-01-15T00:00:00"/>
    <d v="2035-09-30T00:00:00"/>
    <m/>
    <d v="2035-09-30T00:00:00"/>
    <n v="4393"/>
    <s v="A-"/>
    <s v="BA-1999 , Master's Equivalent-1999"/>
    <s v="03.03"/>
    <s v="16.08"/>
    <s v="19.11"/>
    <s v="00052526"/>
    <s v="Sales - North"/>
    <s v="70258923"/>
    <s v="Sales Manager - Hypermart"/>
    <s v="Hypermart"/>
    <s v="0060120300"/>
    <s v="HMART-Raj-Jaipur"/>
    <s v="2000SRET"/>
    <s v="20007322"/>
    <s v="Sanjay Bohra"/>
    <s v="No"/>
    <s v="ashutosh.misra@amns.in"/>
    <s v=""/>
    <s v="22639"/>
    <s v="Dhruv Vyas"/>
    <s v="Anil Matoo"/>
    <s v="Praveen Kuruvalli"/>
    <s v="Dhruv Vyas"/>
    <n v="0"/>
  </r>
  <r>
    <n v="923"/>
    <n v="20009190"/>
    <s v="Pradeep Gandikot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Hypermart"/>
    <s v="South Zone"/>
    <s v="Non Technical Support"/>
    <s v="Sales &amp; Marketing"/>
    <s v="Sales"/>
    <s v="73104003"/>
    <s v="Retail Sales"/>
    <s v="Hyderabad"/>
    <d v="1981-05-06T00:00:00"/>
    <s v="42.04"/>
    <d v="2007-02-19T00:00:00"/>
    <d v="2039-05-31T00:00:00"/>
    <m/>
    <d v="2039-05-31T00:00:00"/>
    <n v="5732"/>
    <s v="O-"/>
    <s v="MBA-2008"/>
    <s v="04.06"/>
    <s v="16.06"/>
    <s v="21.01"/>
    <s v="00048814"/>
    <s v="Sales South Zone – Hypermart"/>
    <s v="70403504"/>
    <s v="Sales Manager - Hypermart"/>
    <s v="Hypermart"/>
    <s v="0060140600"/>
    <s v="HMART-Tela-Secundrab"/>
    <s v="2000SRET"/>
    <s v="20056279"/>
    <s v="Arun G"/>
    <s v="No"/>
    <s v="pradeep.gandikota@amns.in"/>
    <s v="9866101615"/>
    <s v="21756"/>
    <s v="Dhruv Vyas"/>
    <s v="Anil Matoo"/>
    <s v="Praveen Kuruvalli"/>
    <s v="Dhruv Vyas"/>
    <n v="0"/>
  </r>
  <r>
    <n v="925"/>
    <n v="20009250"/>
    <s v="Bhagwati Gupt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Hypermart"/>
    <s v="Nort Zone"/>
    <s v="Non Technical Support"/>
    <s v="Sales &amp; Marketing"/>
    <s v="Sales"/>
    <s v="73104003"/>
    <s v="Retail Sales"/>
    <s v="Delhi"/>
    <d v="1974-01-01T00:00:00"/>
    <s v="49.08"/>
    <d v="2007-02-12T00:00:00"/>
    <d v="2031-12-31T00:00:00"/>
    <m/>
    <d v="2031-12-31T00:00:00"/>
    <n v="3024"/>
    <s v="B-"/>
    <s v="Certificate-2000 , MBA-2000 , BSc-1996"/>
    <s v="01.04"/>
    <s v="16.07"/>
    <s v="17.10"/>
    <s v="00052526"/>
    <s v="Sales - North"/>
    <s v="70320454"/>
    <s v="Sales Manager - Hypermart"/>
    <s v="Hypermart"/>
    <s v="0060120900"/>
    <s v="HMART-NCR-Faridabad"/>
    <s v="2000SRET"/>
    <s v="20007322"/>
    <s v="Sanjay Bohra"/>
    <s v="No"/>
    <s v="bhagwati.gupta@amns.in"/>
    <s v="9999015435"/>
    <s v="21860"/>
    <s v="Dhruv Vyas"/>
    <s v="Anil Matoo"/>
    <s v="Praveen Kuruvalli"/>
    <s v="Dhruv Vyas"/>
    <n v="0"/>
  </r>
  <r>
    <n v="933"/>
    <n v="20009438"/>
    <s v="Vidyadhar Bhise"/>
    <s v="AM/NS India"/>
    <s v="Onroll"/>
    <s v="M-8"/>
    <n v="8"/>
    <m/>
    <s v="JM"/>
    <s v="M"/>
    <s v="Hypermart"/>
    <n v="5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Human Resources"/>
    <s v="Human Resources"/>
    <s v="Non Technical Support"/>
    <s v="Human Resources Management"/>
    <s v="Human Resources Management"/>
    <s v="73501002"/>
    <s v="Human Resources Operation"/>
    <s v="Mumbai"/>
    <d v="1976-07-23T00:00:00"/>
    <s v="47.01"/>
    <d v="2007-03-01T00:00:00"/>
    <d v="2034-07-31T00:00:00"/>
    <m/>
    <d v="2034-07-31T00:00:00"/>
    <n v="3967"/>
    <s v="A-"/>
    <s v="BCom-2011 , PG Diploma in Management-201"/>
    <s v="06.09"/>
    <s v="16.06"/>
    <s v="23.03"/>
    <s v="00049721"/>
    <s v="Regional &amp; Corporate offices"/>
    <s v="70258919"/>
    <s v="Lead - Administration"/>
    <s v="Hypermart"/>
    <s v="0090000018"/>
    <s v="CORP Group - HR"/>
    <s v="2000SRET"/>
    <s v="20057888"/>
    <s v="Narinder Lamba"/>
    <s v="No"/>
    <s v="vidyadhar.bhise@amns.in"/>
    <s v="9819730498"/>
    <s v="21270"/>
    <s v="Dhruv Vyas"/>
    <s v="Anil Matoo"/>
    <s v="Praveen Kuruvalli"/>
    <s v="Dhruv Vyas"/>
    <n v="0"/>
  </r>
  <r>
    <n v="940"/>
    <n v="20009743"/>
    <s v="Rakesh Kuma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4"/>
    <s v="OEM Sales"/>
    <s v="Noida"/>
    <d v="1979-04-25T00:00:00"/>
    <s v="44.04"/>
    <d v="2007-03-30T00:00:00"/>
    <d v="2037-04-30T00:00:00"/>
    <m/>
    <d v="2037-04-30T00:00:00"/>
    <n v="4971"/>
    <s v="O-"/>
    <s v="BCom-2003"/>
    <s v="04.08"/>
    <s v="16.05"/>
    <s v="21.01"/>
    <s v="72150181"/>
    <s v="Sales North Zone"/>
    <s v="70334319"/>
    <s v="Sales Manager"/>
    <s v="Hazira"/>
    <s v="0031950057"/>
    <s v="HZ-HRC - Marketing"/>
    <s v="2000HWO"/>
    <s v="20002920"/>
    <s v="Sudhir Sharma"/>
    <s v="No"/>
    <s v="rakesh.kumar5@amns.in"/>
    <s v="9899789317"/>
    <s v="22355"/>
    <s v="Dhruv Vyas"/>
    <s v="Anil Matoo"/>
    <s v="Praveen Kuruvalli"/>
    <s v="Dhruv Vyas"/>
    <n v="0"/>
  </r>
  <r>
    <n v="941"/>
    <n v="20009749"/>
    <s v="Daksha Bhalodia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Lead - Accounts Payable"/>
    <m/>
    <s v="Working Capital"/>
    <s v="Hypermart"/>
    <s v="Hypermart"/>
    <s v="Non Technical Support"/>
    <s v="Finance &amp; Accounts"/>
    <s v="Finance &amp; Accounts"/>
    <s v="73901002"/>
    <s v="Corporate Accounts &amp; Audi"/>
    <s v="AM/NS Hazira"/>
    <d v="1971-07-23T00:00:00"/>
    <s v="52.01"/>
    <d v="2007-04-05T00:00:00"/>
    <d v="2029-07-31T00:00:00"/>
    <m/>
    <d v="2029-07-31T00:00:00"/>
    <n v="2141"/>
    <s v="B-"/>
    <s v="BCom-1992"/>
    <s v="03.08"/>
    <s v="16.05"/>
    <s v="20.01"/>
    <s v="00043794"/>
    <s v="Accounts Payable - 1"/>
    <s v="70259111"/>
    <s v="Lead - Accounts Payable"/>
    <s v="Hazira"/>
    <s v="0060100001"/>
    <s v="HMART-Finance &amp; Acco"/>
    <s v="2000SRET"/>
    <s v="20016107"/>
    <s v="Kalpesh Thathagar"/>
    <s v="No"/>
    <s v="daksha.bhalodia@amns.in"/>
    <s v="9879102011"/>
    <s v="21827"/>
    <s v="Dhruv Vyas"/>
    <s v="Anil Matoo"/>
    <s v="Praveen Kuruvalli"/>
    <s v="Dhruv Vyas"/>
    <n v="0"/>
  </r>
  <r>
    <n v="942"/>
    <n v="20009786"/>
    <s v="Rahul Deshpande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West Zone"/>
    <s v="Non Technical Support"/>
    <s v="Sales &amp; Marketing"/>
    <s v="Sales"/>
    <s v="73104003"/>
    <s v="Retail Sales"/>
    <s v="Pune"/>
    <d v="1977-11-22T00:00:00"/>
    <s v="45.09"/>
    <d v="2007-04-04T00:00:00"/>
    <d v="2035-11-30T00:00:00"/>
    <m/>
    <d v="2035-11-30T00:00:00"/>
    <n v="4454"/>
    <s v="B-"/>
    <s v="BCom-2002"/>
    <s v="13.01"/>
    <s v="16.05"/>
    <s v="29.06"/>
    <s v="00048138"/>
    <s v="Hypermart west"/>
    <s v="70258929"/>
    <s v="Sales Manager - Hypermart"/>
    <s v="Hypermart"/>
    <s v="0060110600"/>
    <s v="HMART-Mah-Taloja"/>
    <s v="2000SRET"/>
    <s v="20056847"/>
    <s v="Vikas Chotia"/>
    <s v="No"/>
    <s v="rahul.deshpande@amns.in"/>
    <s v="9819730702"/>
    <s v="21623"/>
    <s v="Dhruv Vyas"/>
    <s v="Anil Matoo"/>
    <s v="Praveen Kuruvalli"/>
    <s v="Dhruv Vyas"/>
    <n v="0"/>
  </r>
  <r>
    <n v="943"/>
    <n v="20009950"/>
    <s v="Bhavin Parekh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Ahmedabad"/>
    <d v="1980-01-15T00:00:00"/>
    <s v="43.08"/>
    <d v="2007-04-23T00:00:00"/>
    <d v="2038-01-31T00:00:00"/>
    <m/>
    <d v="2038-01-31T00:00:00"/>
    <n v="5247"/>
    <s v="O-"/>
    <s v="Diploma-2008 , BE-2008"/>
    <s v="02.09"/>
    <s v="16.04"/>
    <s v="19.02"/>
    <s v="70394840"/>
    <s v="OEM Sales - Gujarat"/>
    <s v="70319462"/>
    <s v="Sales Manager - Hypermart"/>
    <s v="Hypermart"/>
    <s v="0060110200"/>
    <s v="HMART-Gujarat Div"/>
    <s v="2000SRET"/>
    <s v="20001736"/>
    <s v="Manoranjan Jagdhari"/>
    <s v="No"/>
    <s v="bhavin.parekh@amns.in"/>
    <s v="9879109060"/>
    <s v="22983"/>
    <s v="Dhruv Vyas"/>
    <s v="Anil Matoo"/>
    <s v="Praveen Kuruvalli"/>
    <s v="Dhruv Vyas"/>
    <n v="0"/>
  </r>
  <r>
    <n v="944"/>
    <n v="20009970"/>
    <s v="Vijyendra Srivastava"/>
    <s v="AM/NS India"/>
    <s v="Onroll"/>
    <s v="M-5"/>
    <n v="5"/>
    <m/>
    <s v="MM"/>
    <s v="M"/>
    <s v="Hazira"/>
    <n v="1"/>
    <s v="2095"/>
    <x v="4"/>
    <n v="36.01"/>
    <s v="Deepak Sindkar"/>
    <s v="Hrishikesh Kamat"/>
    <n v="7"/>
    <s v="Procurement"/>
    <s v="Raw Materials"/>
    <s v="36"/>
    <s v="Senior Lead - Blacks"/>
    <m/>
    <s v="Bulk Raw Materials"/>
    <s v="Raw Material"/>
    <s v="Coal &amp; Coke"/>
    <s v="Non Technical Support"/>
    <s v="Commercial"/>
    <s v="Procurement"/>
    <s v="73803001"/>
    <s v="Procurement"/>
    <s v="Mumbai"/>
    <d v="1974-09-01T00:00:00"/>
    <s v="49.00"/>
    <d v="2007-04-25T00:00:00"/>
    <d v="2032-08-31T00:00:00"/>
    <m/>
    <d v="2032-08-31T00:00:00"/>
    <n v="3268"/>
    <s v="A-"/>
    <s v="PG Diploma in Management-1998"/>
    <s v="08.07"/>
    <s v="16.04"/>
    <s v="24.11"/>
    <s v="00045894"/>
    <s v="Blacks"/>
    <s v="70275841"/>
    <s v="Senior Lead - Blacks"/>
    <s v="Hazira"/>
    <s v="0031950048"/>
    <s v="HZ-Procurment Depart"/>
    <s v="2000HWO"/>
    <s v="20001577"/>
    <s v="Prakash Thakur"/>
    <s v="No"/>
    <s v="vijyendra.srivastava@amns.in"/>
    <s v="9930134238"/>
    <s v="24362"/>
    <s v="Dhruv Vyas"/>
    <s v="Anil Matoo"/>
    <s v="Praveen Kuruvalli"/>
    <s v="Dhruv Vyas"/>
    <n v="0"/>
  </r>
  <r>
    <n v="946"/>
    <n v="20010065"/>
    <s v="Ashish Mali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Central Zone"/>
    <s v="Non Technical Support"/>
    <s v="Sales &amp; Marketing"/>
    <s v="Sales"/>
    <s v="73104003"/>
    <s v="Retail Sales"/>
    <s v="Indore"/>
    <d v="1979-02-14T00:00:00"/>
    <s v="44.07"/>
    <d v="2007-04-16T00:00:00"/>
    <d v="2037-02-28T00:00:00"/>
    <m/>
    <d v="2037-02-28T00:00:00"/>
    <n v="4910"/>
    <s v="O-"/>
    <s v="PG Diploma in Management-2008"/>
    <s v="04.08"/>
    <s v="16.05"/>
    <s v="21.00"/>
    <s v="00048138"/>
    <s v="Hypermart west"/>
    <s v="70258932"/>
    <s v="Sales Manager - Hypermart"/>
    <s v="Hypermart"/>
    <s v="0060110700"/>
    <s v="HMART-MP-Pithampur"/>
    <s v="2000SRET"/>
    <s v="20056847"/>
    <s v="Vikas Chotia"/>
    <s v="No"/>
    <s v="ashish.mali@amns.in"/>
    <s v="9713300779"/>
    <s v="22509"/>
    <s v="Dhruv Vyas"/>
    <s v="Anil Matoo"/>
    <s v="Praveen Kuruvalli"/>
    <s v="Dhruv Vyas"/>
    <n v="0"/>
  </r>
  <r>
    <n v="965"/>
    <n v="20010531"/>
    <s v="Saptarshi Sah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Plate Sales"/>
    <m/>
    <s v="Sales Steering &amp; BD"/>
    <s v="Sales Steering &amp; BD"/>
    <s v=""/>
    <s v="Non Technical Support"/>
    <s v="Sales &amp; Marketing"/>
    <s v="Sales"/>
    <s v="73104004"/>
    <s v="OEM Sales"/>
    <s v="Mumbai"/>
    <d v="1979-11-02T00:00:00"/>
    <s v="43.10"/>
    <d v="2007-06-11T00:00:00"/>
    <d v="2037-11-30T00:00:00"/>
    <m/>
    <d v="2037-11-30T00:00:00"/>
    <n v="5185"/>
    <s v="A-"/>
    <s v="BTech-2007 , MBA-2007"/>
    <s v="00.05"/>
    <s v="16.03"/>
    <s v="16.08"/>
    <s v="70277912"/>
    <s v="Plate Sales"/>
    <s v="70386090"/>
    <s v="Head Sales Steering, Distribution &amp; BD"/>
    <s v="Hazira"/>
    <s v="0080000001"/>
    <s v="Head-Marketing"/>
    <s v="2000HWO"/>
    <s v="20055084"/>
    <s v="Alain Legrix De La Salle"/>
    <s v="No"/>
    <s v="saptarshi.saha@amns.in"/>
    <s v="9833946115"/>
    <s v="23838"/>
    <s v="Dhruv Vyas"/>
    <s v="Anil Matoo"/>
    <s v="Praveen Kuruvalli"/>
    <s v="Dhruv Vyas"/>
    <n v="0"/>
  </r>
  <r>
    <n v="971"/>
    <n v="20010602"/>
    <s v="Sanjeev Kumar Jha"/>
    <s v="AM/NS India"/>
    <s v="Onroll"/>
    <s v="M-8"/>
    <n v="8"/>
    <m/>
    <s v="JM"/>
    <s v="M"/>
    <s v="Odisha"/>
    <n v="2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Human Resources"/>
    <s v="Human Resources"/>
    <s v="Non Technical Support"/>
    <s v="Human Resources Management"/>
    <s v="Human Resources Management"/>
    <s v="73501002"/>
    <s v="Human Resources Operation"/>
    <s v="Paradeep"/>
    <d v="1974-10-04T00:00:00"/>
    <s v="48.11"/>
    <d v="2007-06-01T00:00:00"/>
    <d v="2032-10-31T00:00:00"/>
    <m/>
    <d v="2032-10-31T00:00:00"/>
    <n v="3329"/>
    <s v="O-"/>
    <s v="BSc-2001 , Bachelor Equivalent-2001"/>
    <s v="09.07"/>
    <s v="16.03"/>
    <s v="25.10"/>
    <s v="70495430"/>
    <s v="Odisha HR Operations"/>
    <s v="70226867"/>
    <s v="Lead - Human Resources"/>
    <s v="Odisha"/>
    <s v="0022030019"/>
    <s v="PDP-HR &amp; Admn"/>
    <s v="2000STORIS"/>
    <s v="20055611"/>
    <s v="Sunila Kumar Das"/>
    <s v="No"/>
    <s v="sanjeev.jha@amns.in"/>
    <s v="7566111174"/>
    <s v="22035"/>
    <s v="Sunila Das"/>
    <s v="Anil Matoo"/>
    <s v="Praveen Kuruvalli"/>
    <s v="Sunila Das"/>
    <n v="0"/>
  </r>
  <r>
    <n v="974"/>
    <n v="20010608"/>
    <s v="Tejas Patel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nventory Plant A"/>
    <m/>
    <s v="Stores &amp; Warehouse"/>
    <s v="Stores &amp; Warehouse"/>
    <s v="Inventory Plant A"/>
    <s v="Non Technical Support"/>
    <s v="Commercial"/>
    <s v="Stores &amp; Warehouse"/>
    <s v="73806001"/>
    <s v="Stores &amp; Warehouse"/>
    <s v="Hazira"/>
    <d v="1987-01-22T00:00:00"/>
    <s v="36.07"/>
    <d v="2007-06-04T00:00:00"/>
    <d v="2045-01-31T00:00:00"/>
    <m/>
    <d v="2045-01-31T00:00:00"/>
    <n v="7804"/>
    <s v="A-"/>
    <s v="Diploma-2006"/>
    <s v=""/>
    <s v="16.03"/>
    <s v="16.03"/>
    <s v="70232287"/>
    <s v="HRC Store &amp; Inventory  &amp; Cataloging Mgt."/>
    <s v="70245137"/>
    <s v="Section Officer - Inventory Plant A"/>
    <s v="Hazira"/>
    <s v="0031950049"/>
    <s v="HZ-Central Stores"/>
    <s v="2000HWO"/>
    <s v="20000948"/>
    <s v="Hitesh Raval"/>
    <s v="No"/>
    <s v="tejas.patel5@amns.in"/>
    <s v="9879102541"/>
    <s v="23390"/>
    <s v="Dhruv Vyas"/>
    <s v="Anil Matoo"/>
    <s v="Praveen Kuruvalli"/>
    <s v="Dhruv Vyas"/>
    <n v="0"/>
  </r>
  <r>
    <n v="978"/>
    <n v="20010626"/>
    <s v="Barot Sachinkumar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fractory Plant- A"/>
    <m/>
    <s v="Stores &amp; Warehouse"/>
    <s v="Stores &amp; Warehouse"/>
    <s v="Refractory A, Receipt -Issue"/>
    <s v="Non Technical Support"/>
    <s v="Commercial"/>
    <s v="Stores &amp; Warehouse"/>
    <s v="73806001"/>
    <s v="Stores &amp; Warehouse"/>
    <s v="Hazira"/>
    <d v="1986-05-31T00:00:00"/>
    <s v="37.03"/>
    <d v="2007-06-01T00:00:00"/>
    <d v="2044-05-31T00:00:00"/>
    <m/>
    <d v="2044-05-31T00:00:00"/>
    <n v="7559"/>
    <s v="B-"/>
    <s v="Diploma-2007"/>
    <s v=""/>
    <s v="16.03"/>
    <s v="16.03"/>
    <s v="00044539"/>
    <s v="Ferroalloy &amp; Refractory Stores"/>
    <s v="70372635"/>
    <s v="Section Officer - Refractory Plant- A"/>
    <s v="Hazira"/>
    <s v="0031950049"/>
    <s v="HZ-Central Stores"/>
    <s v="2000HWO"/>
    <s v="20001240"/>
    <s v="Ambrish Chaturvedi"/>
    <s v="No"/>
    <s v="sachin.barot@amns.in"/>
    <s v="9879102495"/>
    <s v="21177"/>
    <s v="Dhruv Vyas"/>
    <s v="Anil Matoo"/>
    <s v="Praveen Kuruvalli"/>
    <s v="Dhruv Vyas"/>
    <n v="0"/>
  </r>
  <r>
    <n v="1004"/>
    <n v="20010980"/>
    <s v="Kirit Upadhyay"/>
    <s v="AM/NS India"/>
    <s v="Onroll"/>
    <s v="M-8"/>
    <n v="8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HBI Mod 1-6, MH, RHMS, HMM"/>
    <s v="Non Technical Support"/>
    <s v="Operations"/>
    <s v="Operations"/>
    <s v="72103002"/>
    <s v="Operations Planning &amp; Str"/>
    <s v="AM/NS Hazira"/>
    <d v="1985-11-30T00:00:00"/>
    <s v="37.09"/>
    <d v="2007-06-16T00:00:00"/>
    <d v="2043-11-30T00:00:00"/>
    <m/>
    <d v="2043-11-30T00:00:00"/>
    <n v="7376"/>
    <s v="A-"/>
    <s v="Diploma-2014 , BTech-2014"/>
    <s v=""/>
    <s v="16.03"/>
    <s v="16.03"/>
    <s v="00053411"/>
    <s v="Contracts"/>
    <s v="70245082"/>
    <s v="Lead - Contracts"/>
    <s v="Hazira"/>
    <s v="0031950047"/>
    <s v="HZ-Contracts"/>
    <s v="2000HWO"/>
    <s v="20000795"/>
    <s v="Pankaj Chaturvedi"/>
    <s v="No"/>
    <s v="kirit.upadhyay@amns.in"/>
    <s v="9879105693"/>
    <s v="24590"/>
    <s v="Dhruv Vyas"/>
    <s v="Anil Matoo"/>
    <s v="Praveen Kuruvalli"/>
    <s v="Dhruv Vyas"/>
    <n v="0"/>
  </r>
  <r>
    <n v="1010"/>
    <n v="20010998"/>
    <s v="Venkata Raman  Lagadapati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Section Inchrge - Contracts"/>
    <m/>
    <s v="Procurement"/>
    <s v="Procurement"/>
    <s v="Purchase"/>
    <s v="Non Technical Support"/>
    <s v="Operations"/>
    <s v="Plant Operations"/>
    <s v="72103005"/>
    <s v="Shift Operations"/>
    <s v="Vizag"/>
    <d v="1986-08-01T00:00:00"/>
    <s v="37.01"/>
    <d v="2007-06-18T00:00:00"/>
    <d v="2044-07-31T00:00:00"/>
    <m/>
    <d v="2044-07-31T00:00:00"/>
    <n v="7620"/>
    <s v="O-"/>
    <s v="BTech-2007"/>
    <s v=""/>
    <s v="16.03"/>
    <s v="16.03"/>
    <s v="00046540"/>
    <s v="Contracts &amp; Production consumables"/>
    <s v="70487857"/>
    <s v="Section Inchrge - Contracts"/>
    <s v="Vizag"/>
    <s v="0028030019"/>
    <s v="VIZ-Personnel &amp; Admi"/>
    <s v="2000VIZOPS"/>
    <s v="20000200"/>
    <s v="A Venkateswara Rao"/>
    <s v="No"/>
    <s v="venkataraman.lagadapati@amns.in"/>
    <s v="9160881188"/>
    <s v="24661"/>
    <s v="DS Varma"/>
    <s v="Anil Matoo"/>
    <s v="Praveen Kuruvalli"/>
    <s v="Dhruv Vyas"/>
    <n v="0"/>
  </r>
  <r>
    <n v="1058"/>
    <n v="20011898"/>
    <s v="Mohit Meht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Treasury &amp; Systems"/>
    <m/>
    <s v="Treasury &amp; Banking"/>
    <s v="Treasury"/>
    <s v="Treasury"/>
    <s v="Non Technical Support"/>
    <s v="Finance &amp; Accounts"/>
    <s v="Treasury"/>
    <s v="73903001"/>
    <s v="Treasury"/>
    <s v="AM/NS Hazira"/>
    <d v="1984-06-22T00:00:00"/>
    <s v="39.03"/>
    <d v="2007-07-26T00:00:00"/>
    <d v="2042-06-30T00:00:00"/>
    <m/>
    <d v="2042-06-30T00:00:00"/>
    <n v="6858"/>
    <s v="B-"/>
    <s v="PG Diploma in Management-2007"/>
    <s v=""/>
    <s v="16.01"/>
    <s v="16.01"/>
    <s v="72150420"/>
    <s v="Treasury - Hazira"/>
    <s v="70259112"/>
    <s v="Lead - Treasury &amp; Systems"/>
    <s v="Hazira"/>
    <s v="0031950045"/>
    <s v="HZ-Works Accounts-Ha"/>
    <s v="2000HWO"/>
    <s v="20001854"/>
    <s v="Arasappan Thirumaran"/>
    <s v="No"/>
    <s v="mohit.mehta@amns.in"/>
    <s v="9879102245"/>
    <s v="22595"/>
    <s v="Dhruv Vyas"/>
    <s v="Anil Matoo"/>
    <s v="Praveen Kuruvalli"/>
    <s v="Dhruv Vyas"/>
    <n v="0"/>
  </r>
  <r>
    <n v="1059"/>
    <n v="20011904"/>
    <s v="Bhalchandra Vast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– Transaction Banking"/>
    <m/>
    <s v="Treasury &amp; Banking"/>
    <s v="Banking"/>
    <s v="Finance &amp; Accounts"/>
    <s v="Non Technical Support"/>
    <s v="Finance &amp; Accounts"/>
    <s v="Finance &amp; Accounts"/>
    <s v="73901001"/>
    <s v="Finance &amp; Accounts"/>
    <s v="Mumbai"/>
    <d v="1973-02-17T00:00:00"/>
    <s v="50.07"/>
    <d v="2007-07-24T00:00:00"/>
    <d v="2031-02-28T00:00:00"/>
    <m/>
    <d v="2031-02-28T00:00:00"/>
    <n v="2718"/>
    <s v="O-"/>
    <s v="BCom-1993"/>
    <s v="13.04"/>
    <s v="16.01"/>
    <s v="29.06"/>
    <s v="70101920"/>
    <s v="Treasury - Mumbai"/>
    <s v="70258424"/>
    <s v="Sr. Lead – Transaction Banking"/>
    <s v="Hazira"/>
    <s v="0090000028"/>
    <s v="Corporate Steel - Wo"/>
    <s v="2000HWO"/>
    <s v="20000057"/>
    <s v="Vivek Sanil"/>
    <s v="No"/>
    <s v="bhalchandra.vast@amns.in"/>
    <s v="9819731550"/>
    <s v="24652"/>
    <s v="Dhruv Vyas"/>
    <s v="Anil Matoo"/>
    <s v="Praveen Kuruvalli"/>
    <s v="Dhruv Vyas"/>
    <n v="0"/>
  </r>
  <r>
    <n v="1062"/>
    <n v="20011945"/>
    <s v="Raghavendra Rao Yerramsetty"/>
    <s v="AM/NS India"/>
    <s v="Onroll"/>
    <s v="M-5"/>
    <n v="5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Lead – Procurement, Contracts, Stores"/>
    <m/>
    <s v="Procurement"/>
    <s v="New Projects &amp; Process Modification"/>
    <s v="New Projects &amp; Process Modification"/>
    <s v="Non Technical Support"/>
    <s v="Projects"/>
    <s v="Projects"/>
    <s v="72103036"/>
    <s v="Projects"/>
    <s v="Vizag"/>
    <d v="1986-03-03T00:00:00"/>
    <s v="37.06"/>
    <d v="2007-07-16T00:00:00"/>
    <d v="2044-03-31T00:00:00"/>
    <m/>
    <d v="2044-03-31T00:00:00"/>
    <n v="7498"/>
    <s v="O-"/>
    <s v="BTech-2007"/>
    <s v=""/>
    <s v="16.02"/>
    <s v="16.02"/>
    <s v="72150139"/>
    <s v="Procurement, Contract &amp; Stores - Vizag"/>
    <s v="70259001"/>
    <s v="Lead – Procurement, Contracts, Stores"/>
    <s v="Vizag"/>
    <s v="0028030019"/>
    <s v="VIZ-Personnel &amp; Admi"/>
    <s v="2000VIZOPS"/>
    <s v="20055090"/>
    <s v="Hrishikesh Kamat"/>
    <s v="No"/>
    <s v="raghavendra.rao@amns.in"/>
    <s v="9966028577"/>
    <s v="23716"/>
    <s v="DS Varma"/>
    <s v="Anil Matoo"/>
    <s v="Praveen Kuruvalli"/>
    <s v="Dhruv Vyas"/>
    <n v="0"/>
  </r>
  <r>
    <n v="1065"/>
    <n v="20011972"/>
    <s v="Rajita Bagkar"/>
    <s v="AM/NS India"/>
    <s v="Onroll"/>
    <s v="M-5"/>
    <n v="5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Section Head - Banking &amp; Treasury"/>
    <m/>
    <s v="Treasury &amp; Banking"/>
    <s v="Risk &amp; Insurance"/>
    <s v="Long Term Finance &amp; Forex"/>
    <s v="Non Technical Support"/>
    <s v="Finance &amp; Accounts"/>
    <s v="Treasury"/>
    <s v="73903001"/>
    <s v="Treasury"/>
    <s v="Mumbai"/>
    <d v="1978-04-27T00:00:00"/>
    <s v="45.04"/>
    <d v="2007-08-01T00:00:00"/>
    <d v="2036-04-30T00:00:00"/>
    <m/>
    <d v="2036-04-30T00:00:00"/>
    <n v="4606"/>
    <s v="A-"/>
    <s v="BCom-2003 , MMS-2003"/>
    <s v="03.09"/>
    <s v="16.01"/>
    <s v="19.10"/>
    <s v="00050553"/>
    <s v="Banking &amp; Treasury"/>
    <s v="70386092"/>
    <s v="Section Head - Banking &amp; Treasury"/>
    <s v="Corporate"/>
    <s v="0090000028"/>
    <s v="Corporate Steel - Wo"/>
    <s v="2000CS"/>
    <s v="20000870"/>
    <s v="Balajee M"/>
    <s v="No"/>
    <s v="rajita.bagkar@amns.in"/>
    <s v="9819730767"/>
    <s v="21133"/>
    <s v="Dhruv Vyas"/>
    <s v="Anil Matoo"/>
    <s v="Praveen Kuruvalli"/>
    <s v="Dhruv Vyas"/>
    <n v="0"/>
  </r>
  <r>
    <n v="1074"/>
    <n v="20012203"/>
    <s v="Dhirendra Singh Rajawat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Procurement"/>
    <m/>
    <s v="Capex Procurement"/>
    <s v="Capex Procurement"/>
    <s v=""/>
    <s v="Non Technical Support"/>
    <s v="Projects"/>
    <s v="Projects Coordination"/>
    <s v="72103038"/>
    <s v="Projects Coordination"/>
    <s v="Hazira"/>
    <d v="1987-11-03T00:00:00"/>
    <s v="35.10"/>
    <d v="2007-06-28T00:00:00"/>
    <d v="2045-11-30T00:00:00"/>
    <m/>
    <d v="2045-11-30T00:00:00"/>
    <n v="8107"/>
    <s v="O-"/>
    <s v="Diploma-2013 , BTech-2013"/>
    <s v=""/>
    <s v="16.02"/>
    <s v="16.02"/>
    <s v="00049344"/>
    <s v="Capex Procurement"/>
    <s v="70372646"/>
    <s v="Lead – Capex Procurement"/>
    <s v="Hazira"/>
    <s v="0031950059"/>
    <s v="HZ-Hazira Project"/>
    <s v="2000HWO"/>
    <s v="20055728"/>
    <s v="Mahebub Vahora"/>
    <s v="No"/>
    <s v="dhirendra.rajawat@amns.in"/>
    <s v="9909902354"/>
    <s v="23635"/>
    <s v="Dhruv Vyas"/>
    <s v="Anil Matoo"/>
    <s v="Praveen Kuruvalli"/>
    <s v="Dhruv Vyas"/>
    <n v="0"/>
  </r>
  <r>
    <n v="1077"/>
    <n v="20012229"/>
    <s v="Bhaumikkumar Shah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r. Analyst - Market Intelligence"/>
    <m/>
    <s v="Sales Steering &amp; BD"/>
    <s v="Market Intelligence"/>
    <s v="Internal Audit"/>
    <s v="Non Technical Support"/>
    <s v="Assurance &amp; Cost Control"/>
    <s v="Assurance &amp; Cost Control"/>
    <s v="73401001"/>
    <s v="Assurance &amp; Cost Control"/>
    <s v="Mumbai"/>
    <d v="1986-02-06T00:00:00"/>
    <s v="37.07"/>
    <d v="2007-06-29T00:00:00"/>
    <d v="2044-02-29T00:00:00"/>
    <m/>
    <d v="2044-02-29T00:00:00"/>
    <n v="7467"/>
    <s v="A-"/>
    <s v="BE-2007"/>
    <s v=""/>
    <s v="16.02"/>
    <s v="16.02"/>
    <s v="72150188"/>
    <s v="Market Intelligence &amp; Pricing"/>
    <s v="70372405"/>
    <s v="Sr. Analyst - Market Intelligence"/>
    <s v="Corporate"/>
    <s v="0080000001"/>
    <s v="Head-Marketing"/>
    <s v="2000CS"/>
    <s v="20008774"/>
    <s v="Ajay Somasundaran"/>
    <s v="No"/>
    <s v="bhaumik.shah@amns.in"/>
    <s v="9909902379"/>
    <s v="24000"/>
    <s v="Dhruv Vyas"/>
    <s v="Anil Matoo"/>
    <s v="Praveen Kuruvalli"/>
    <s v="Dhruv Vyas"/>
    <n v="0"/>
  </r>
  <r>
    <n v="1084"/>
    <n v="20012267"/>
    <s v="Pooja Sharma"/>
    <s v="AM/NS India"/>
    <s v="Onroll"/>
    <s v="M-7"/>
    <n v="7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Banking &amp; MIS"/>
    <m/>
    <s v="Treasury &amp; Banking"/>
    <s v="Forex &amp; Risk Management"/>
    <s v="RBI Matters"/>
    <s v="Non Technical Support"/>
    <s v="Finance &amp; Accounts"/>
    <s v="Treasury"/>
    <s v="73903001"/>
    <s v="Treasury"/>
    <s v="Mumbai"/>
    <d v="1984-09-25T00:00:00"/>
    <s v="38.11"/>
    <d v="2007-08-13T00:00:00"/>
    <d v="2042-09-30T00:00:00"/>
    <m/>
    <d v="2042-09-30T00:00:00"/>
    <n v="6950"/>
    <s v="B-"/>
    <s v="BCom-2007 , MBA-2007"/>
    <s v=""/>
    <s v="16.01"/>
    <s v="16.01"/>
    <s v="70447071"/>
    <s v="Insurance &amp; Financial Risk"/>
    <s v="70226817"/>
    <s v="Lead - Banking &amp; MIS"/>
    <s v="Corporate"/>
    <s v="0090000028"/>
    <s v="Corporate Steel - Wo"/>
    <s v="2000CS"/>
    <s v="20017504"/>
    <s v="Appi Reddy Guttikonda"/>
    <s v="No"/>
    <s v="pooja.sharma@amns.in"/>
    <s v="9819731599"/>
    <s v="24106"/>
    <s v="Dhruv Vyas"/>
    <s v="Anil Matoo"/>
    <s v="Praveen Kuruvalli"/>
    <s v="Dhruv Vyas"/>
    <n v="0"/>
  </r>
  <r>
    <n v="1110"/>
    <n v="20012680"/>
    <s v="Dhiraj Bachani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Ahmedabad"/>
    <d v="1985-08-26T00:00:00"/>
    <s v="38.00"/>
    <d v="2007-08-27T00:00:00"/>
    <d v="2043-08-31T00:00:00"/>
    <m/>
    <d v="2043-08-31T00:00:00"/>
    <n v="7285"/>
    <s v="B-"/>
    <s v="BTech-2007"/>
    <s v=""/>
    <s v="16.00"/>
    <s v="16.00"/>
    <s v="70394840"/>
    <s v="OEM Sales - Gujarat"/>
    <s v="70319504"/>
    <s v="Sales Manager - Hypermart"/>
    <s v="Hypermart"/>
    <s v="0060110200"/>
    <s v="HMART-Gujarat Div"/>
    <s v="2000SRET"/>
    <s v="20001736"/>
    <s v="Manoranjan Jagdhari"/>
    <s v="No"/>
    <s v="dhiraj.bachani@amns.in"/>
    <s v="9879597549"/>
    <s v="21122"/>
    <s v="Dhruv Vyas"/>
    <s v="Anil Matoo"/>
    <s v="Praveen Kuruvalli"/>
    <s v="Dhruv Vyas"/>
    <n v="0"/>
  </r>
  <r>
    <n v="1131"/>
    <n v="20013199"/>
    <s v="Vivek Vishwakarm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Automotive Sales"/>
    <m/>
    <s v="Other West"/>
    <s v="Auto"/>
    <s v=""/>
    <s v="Non Technical Support"/>
    <s v="Sales &amp; Marketing"/>
    <s v="Sales"/>
    <s v="73104004"/>
    <s v="OEM Sales"/>
    <s v="Indore"/>
    <d v="1978-03-12T00:00:00"/>
    <s v="45.06"/>
    <d v="2007-09-29T00:00:00"/>
    <d v="2036-03-31T00:00:00"/>
    <m/>
    <d v="2036-03-31T00:00:00"/>
    <n v="4576"/>
    <s v="A-"/>
    <s v="BE-2005 , MBA-2005"/>
    <s v="03.03"/>
    <s v="15.11"/>
    <s v="19.02"/>
    <s v="70495309"/>
    <s v="Sales West Zone"/>
    <s v="70398868"/>
    <s v="KAM - Automotive Sales"/>
    <s v="Hazira"/>
    <s v="0031950057"/>
    <s v="HZ-HRC - Marketing"/>
    <s v="2000HWO"/>
    <s v="20047683"/>
    <s v="Virat Vij"/>
    <s v="No"/>
    <s v="vivek.vishwakarma@amns.in"/>
    <s v="9819731565"/>
    <s v="24705"/>
    <s v="Dhruv Vyas"/>
    <s v="Anil Matoo"/>
    <s v="Praveen Kuruvalli"/>
    <s v="Dhruv Vyas"/>
    <n v="0"/>
  </r>
  <r>
    <n v="1149"/>
    <n v="20014487"/>
    <s v="Chandra Sekhar Senevada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Engineer  - Procurement"/>
    <m/>
    <s v="Procurement"/>
    <s v="Purchase"/>
    <s v="Purchase"/>
    <s v="Non Technical Support"/>
    <s v="Commercial"/>
    <s v="Purchase"/>
    <s v="73804001"/>
    <s v="Purchase"/>
    <s v="Vizag"/>
    <d v="1983-10-21T00:00:00"/>
    <s v="39.10"/>
    <d v="2007-12-20T00:00:00"/>
    <d v="2041-10-31T00:00:00"/>
    <m/>
    <d v="2041-10-31T00:00:00"/>
    <n v="6616"/>
    <s v="B-"/>
    <s v="BE-2005"/>
    <s v="00.10"/>
    <s v="15.09"/>
    <s v="16.07"/>
    <s v="70301353"/>
    <s v="Procurement - Vizag &amp; Chitrakonda"/>
    <s v="70259004"/>
    <s v="Engineer  - Procurement"/>
    <s v="Vizag"/>
    <s v="0028030019"/>
    <s v="VIZ-Personnel &amp; Admi"/>
    <s v="2000VIZOPS"/>
    <s v="20000200"/>
    <s v="A Venkateswara Rao"/>
    <s v="No"/>
    <s v="chandra.sekhar@amns.in"/>
    <s v="9581663366"/>
    <s v="21342"/>
    <s v="DS Varma"/>
    <s v="Anil Matoo"/>
    <s v="Praveen Kuruvalli"/>
    <s v="Dhruv Vyas"/>
    <n v="0"/>
  </r>
  <r>
    <n v="1151"/>
    <n v="20015183"/>
    <s v="Raggavendran Subbarathnam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fractory Plant-A"/>
    <m/>
    <s v="Stores &amp; Warehouse"/>
    <s v="Stores &amp; Warehouse"/>
    <s v="Refractory B, Receipt -Issue"/>
    <s v="Non Technical Support"/>
    <s v="Commercial"/>
    <s v="Stores &amp; Warehouse"/>
    <s v="73806001"/>
    <s v="Stores &amp; Warehouse"/>
    <s v="Hazira"/>
    <d v="1978-03-01T00:00:00"/>
    <s v="45.06"/>
    <d v="2007-11-12T00:00:00"/>
    <d v="2036-02-29T00:00:00"/>
    <m/>
    <d v="2036-02-29T00:00:00"/>
    <n v="4545"/>
    <s v="AB-"/>
    <s v="BCom-1998"/>
    <s v="05.05"/>
    <s v="15.10"/>
    <s v="21.03"/>
    <s v="00044539"/>
    <s v="Ferroalloy &amp; Refractory Stores"/>
    <s v="70319802"/>
    <s v="Section Officer - Refractory Plant-A"/>
    <s v="Hazira"/>
    <s v="0031950049"/>
    <s v="HZ-Central Stores"/>
    <s v="2000HWO"/>
    <s v="20010626"/>
    <s v="Barot Sachinkumar"/>
    <s v="No"/>
    <s v="raggavendran.subbarathnam@amns.in"/>
    <s v="9909901663"/>
    <s v="24363"/>
    <s v="Dhruv Vyas"/>
    <s v="Anil Matoo"/>
    <s v="Praveen Kuruvalli"/>
    <s v="Dhruv Vyas"/>
    <n v="0"/>
  </r>
  <r>
    <n v="1156"/>
    <n v="20015864"/>
    <s v="Mayank Desai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GST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74-07-13T00:00:00"/>
    <s v="49.02"/>
    <d v="2008-01-24T00:00:00"/>
    <d v="2032-07-31T00:00:00"/>
    <m/>
    <d v="2032-07-31T00:00:00"/>
    <n v="3237"/>
    <s v="O-"/>
    <s v="PG Diploma-2009 , MCom-2009 , Diploma-19"/>
    <s v="11.09"/>
    <s v="15.07"/>
    <s v="27.04"/>
    <s v="00044379"/>
    <s v="GST - Hazira Assets"/>
    <s v="70259113"/>
    <s v="Sr. lead - GST"/>
    <s v="Hazira"/>
    <s v="0031950044"/>
    <s v="HZ-Commercial Taxati"/>
    <s v="2000HWO"/>
    <s v="20055962"/>
    <s v="Navin Kewalramani"/>
    <s v="No"/>
    <s v="mayank.desai@amns.in"/>
    <s v="9909902062"/>
    <s v="21592"/>
    <s v="Dhruv Vyas"/>
    <s v="Anil Matoo"/>
    <s v="Praveen Kuruvalli"/>
    <s v="Dhruv Vyas"/>
    <n v="0"/>
  </r>
  <r>
    <n v="1158"/>
    <n v="20016058"/>
    <s v="Ambreen Qadir"/>
    <s v="AM/NS India"/>
    <s v="Onroll"/>
    <s v="M-5"/>
    <n v="5"/>
    <m/>
    <s v="M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"/>
    <m/>
    <s v="North"/>
    <s v="OEM"/>
    <s v=""/>
    <s v="Non Technical Support"/>
    <s v="Sales &amp; Marketing"/>
    <s v="Sales"/>
    <s v="73104004"/>
    <s v="OEM Sales"/>
    <s v="Noida"/>
    <d v="1978-06-09T00:00:00"/>
    <s v="45.03"/>
    <d v="2008-02-04T00:00:00"/>
    <d v="2036-06-30T00:00:00"/>
    <m/>
    <d v="2036-06-30T00:00:00"/>
    <n v="4667"/>
    <s v=""/>
    <s v="BE-2004 , MBA-2004"/>
    <s v="02.01"/>
    <s v="15.07"/>
    <s v="17.08"/>
    <s v="72150181"/>
    <s v="Sales North Zone"/>
    <s v="70334351"/>
    <s v="Sr. KAM - OEM Sales"/>
    <s v="Hazira"/>
    <s v="0031950057"/>
    <s v="HZ-HRC - Marketing"/>
    <s v="2000HWO"/>
    <s v="20002920"/>
    <s v="Sudhir Sharma"/>
    <s v="No"/>
    <s v="ambreen.qadir@amns.in"/>
    <s v="9703215456"/>
    <s v="23602"/>
    <s v="Dhruv Vyas"/>
    <s v="Anil Matoo"/>
    <s v="Praveen Kuruvalli"/>
    <s v="Dhruv Vyas"/>
    <n v="0"/>
  </r>
  <r>
    <n v="1159"/>
    <n v="20016107"/>
    <s v="Kalpesh Thathagar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Payable"/>
    <m/>
    <s v="Working Capital"/>
    <s v="Accounts Payable"/>
    <s v="Bills Payable"/>
    <s v="Non Technical Support"/>
    <s v="Finance &amp; Accounts"/>
    <s v="Finance &amp; Accounts"/>
    <s v="73901002"/>
    <s v="Corporate Accounts &amp; Audi"/>
    <s v="AM/NS Hazira"/>
    <d v="1977-10-05T00:00:00"/>
    <s v="45.11"/>
    <d v="2008-02-01T00:00:00"/>
    <d v="2035-10-31T00:00:00"/>
    <m/>
    <d v="2035-10-31T00:00:00"/>
    <n v="4424"/>
    <s v="A-"/>
    <s v="CA Inter-2003"/>
    <s v="04.06"/>
    <s v="15.07"/>
    <s v="20.01"/>
    <s v="00043794"/>
    <s v="Accounts Payable - 1"/>
    <s v="70258859"/>
    <s v="Sr. Lead - Accounts Payable"/>
    <s v="Hazira"/>
    <s v="0031950045"/>
    <s v="HZ-Works Accounts-Ha"/>
    <s v="2000HWO"/>
    <s v="20001076"/>
    <s v="Bhavesh Modi"/>
    <s v="No"/>
    <s v="kalpesh.thathagar@amns.in"/>
    <s v="9909902066"/>
    <s v="24514"/>
    <s v="Dhruv Vyas"/>
    <s v="Anil Matoo"/>
    <s v="Praveen Kuruvalli"/>
    <s v="Dhruv Vyas"/>
    <n v="0"/>
  </r>
  <r>
    <n v="1161"/>
    <n v="20016382"/>
    <s v="Kunal Bhardwaj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Value Recovery"/>
    <m/>
    <s v="Sales Steering &amp; BD"/>
    <s v="NCO"/>
    <s v=""/>
    <s v="Non Technical Support"/>
    <s v="Sales &amp; Marketing"/>
    <s v="Sales"/>
    <s v="73104003"/>
    <s v="Retail Sales"/>
    <s v="Ahmedabad"/>
    <d v="1973-05-12T00:00:00"/>
    <s v="50.04"/>
    <d v="2008-02-25T00:00:00"/>
    <d v="2031-05-31T00:00:00"/>
    <m/>
    <d v="2031-05-31T00:00:00"/>
    <n v="2810"/>
    <s v="O-"/>
    <s v="MBA-2005"/>
    <s v="10.07"/>
    <s v="15.06"/>
    <s v="26.02"/>
    <s v="70265035"/>
    <s v="Value Recovery"/>
    <s v="70258498"/>
    <s v="Head - Value Recovery"/>
    <s v="Hazira"/>
    <s v="0060110300"/>
    <s v="HMART-Guj-Ahemedabad"/>
    <s v="2000HWO"/>
    <s v="20010531"/>
    <s v="Saptarshi Saha"/>
    <s v="No"/>
    <s v="kunal.bhardwaj@amns.in"/>
    <s v="9874810107"/>
    <s v="21230"/>
    <s v="Dhruv Vyas"/>
    <s v="Anil Matoo"/>
    <s v="Praveen Kuruvalli"/>
    <s v="Dhruv Vyas"/>
    <n v="0"/>
  </r>
  <r>
    <n v="1162"/>
    <n v="20016406"/>
    <s v="Manjit Shah"/>
    <s v="AM/NS India"/>
    <s v="Onroll"/>
    <s v="M-6"/>
    <n v="6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Cluster Head – Human Resources"/>
    <m/>
    <s v="Human Resources"/>
    <s v="Human Resources"/>
    <s v="Human Resources"/>
    <s v="Non Technical Support"/>
    <s v="Human Resources Management"/>
    <s v="Compensation &amp; Benefits"/>
    <s v="73504001"/>
    <s v="Compensation &amp; Benefits"/>
    <s v="AM/NS Hazira"/>
    <d v="1985-05-15T00:00:00"/>
    <s v="38.04"/>
    <d v="2008-02-26T00:00:00"/>
    <d v="2043-05-31T00:00:00"/>
    <m/>
    <d v="2043-05-31T00:00:00"/>
    <n v="7193"/>
    <s v="B-"/>
    <s v="BCom-2010 , PG Diploma in Management-201"/>
    <s v="02.04"/>
    <s v="15.06"/>
    <s v="17.11"/>
    <s v="70376383"/>
    <s v="Hazira HR Operations - 3"/>
    <s v="70490221"/>
    <s v="Cluster Head – Human Resources"/>
    <s v="Hazira"/>
    <s v="0031950061"/>
    <s v="HZ-Human Resource"/>
    <s v="2000HWO"/>
    <s v="20000083"/>
    <s v="Anil Matoo"/>
    <s v="No"/>
    <s v="manjit.shah@amns.in"/>
    <s v="9930136990"/>
    <s v="24020"/>
    <s v="Dhruv Vyas"/>
    <s v="Anil Matoo"/>
    <s v="Praveen Kuruvalli"/>
    <s v="Dhruv Vyas"/>
    <n v="0"/>
  </r>
  <r>
    <n v="1163"/>
    <n v="20016604"/>
    <s v="Punit Verm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Plate Mill issue Elec-Mech, Paints-Yard development &amp; Mgt"/>
    <s v="Non Technical Support"/>
    <s v="Commercial"/>
    <s v="Stores &amp; Warehouse"/>
    <s v="73806001"/>
    <s v="Stores &amp; Warehouse"/>
    <s v="Hazira"/>
    <d v="1968-10-05T00:00:00"/>
    <s v="54.11"/>
    <d v="2008-03-17T00:00:00"/>
    <d v="2026-10-31T00:00:00"/>
    <m/>
    <d v="2026-10-31T00:00:00"/>
    <n v="1137"/>
    <s v="AB-"/>
    <s v="Diploma-2009 , MBA-2009 , BA-2000"/>
    <s v="10.11"/>
    <s v="15.06"/>
    <s v="26.05"/>
    <s v="00053276"/>
    <s v="Issue/Shifting - Plant B"/>
    <s v="72152898"/>
    <s v="Section Officer - Issue/Shifting"/>
    <s v="Hazira"/>
    <s v="0031950049"/>
    <s v="HZ-Central Stores"/>
    <s v="2000HWO"/>
    <s v="20000948"/>
    <s v="Hitesh Raval"/>
    <s v="No"/>
    <s v="punit.verma@amns.in"/>
    <s v="9909902191"/>
    <s v="24682"/>
    <s v="Dhruv Vyas"/>
    <s v="Anil Matoo"/>
    <s v="Praveen Kuruvalli"/>
    <s v="Dhruv Vyas"/>
    <n v="0"/>
  </r>
  <r>
    <n v="1165"/>
    <n v="20016749"/>
    <s v="Heena Patel"/>
    <s v="AM/NS India"/>
    <s v="Onroll"/>
    <s v="M-9"/>
    <n v="9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Officer - Proc Electrical"/>
    <m/>
    <s v="Procurement MRO Hazira"/>
    <s v="Procurement"/>
    <s v="Electrical Switch Gears and power systems - Hazira Complex"/>
    <s v="Non Technical Support"/>
    <s v="Sales &amp; Marketing"/>
    <s v="CRM"/>
    <s v="73105003"/>
    <s v="Customer Service"/>
    <s v="AM/NS Hazira"/>
    <d v="1985-09-10T00:00:00"/>
    <s v="38.00"/>
    <d v="2008-03-07T00:00:00"/>
    <d v="2043-09-30T00:00:00"/>
    <m/>
    <d v="2043-09-30T00:00:00"/>
    <n v="7315"/>
    <s v="A-"/>
    <s v="Diploma-2006"/>
    <s v=""/>
    <s v="15.06"/>
    <s v="15.06"/>
    <s v="00044546"/>
    <s v="Procurement Electrical"/>
    <s v="70339996"/>
    <s v="Officer - Proc Electrical"/>
    <s v="Hazira"/>
    <s v="0031950048"/>
    <s v="HZ-Procurment Depart"/>
    <s v="2000HWO"/>
    <s v="20000637"/>
    <s v="Kedar Rajwade"/>
    <s v="No"/>
    <s v="heena.patel@amns.in"/>
    <s v="9879102361"/>
    <s v="23168"/>
    <s v="Dhruv Vyas"/>
    <s v="Anil Matoo"/>
    <s v="Praveen Kuruvalli"/>
    <s v="Dhruv Vyas"/>
    <n v="0"/>
  </r>
  <r>
    <n v="1168"/>
    <n v="20016767"/>
    <s v="Raghavan Venkatachalam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- Automotive Sales &amp; Service Centes"/>
    <m/>
    <s v="Auto"/>
    <s v="Auto"/>
    <s v=""/>
    <s v="Non Technical Support"/>
    <s v="Sales &amp; Marketing"/>
    <s v="Sales"/>
    <s v="73104004"/>
    <s v="OEM Sales"/>
    <s v="Mumbai"/>
    <d v="1971-12-01T00:00:00"/>
    <s v="51.09"/>
    <d v="2008-03-27T00:00:00"/>
    <d v="2029-11-30T00:00:00"/>
    <m/>
    <d v="2029-11-30T00:00:00"/>
    <n v="2263"/>
    <s v="A+"/>
    <s v="BE-1997 , MBA-1997"/>
    <s v="10.01"/>
    <s v="15.05"/>
    <s v="25.06"/>
    <s v="70343195"/>
    <s v="Automotive Sales &amp; Service Centers"/>
    <s v="70336269"/>
    <s v="Head- Automotive Sales &amp; Service Centes"/>
    <s v="Hazira"/>
    <s v="0031950057"/>
    <s v="HZ-HRC - Marketing"/>
    <s v="2000HWO"/>
    <s v="20007104"/>
    <s v="Ranjan Dhar"/>
    <s v="No"/>
    <s v="raghavan.venkat@amns.in"/>
    <s v="9819730760"/>
    <s v="24601"/>
    <s v="Dhruv Vyas"/>
    <s v="Anil Matoo"/>
    <s v="Praveen Kuruvalli"/>
    <s v="Dhruv Vyas"/>
    <n v="0"/>
  </r>
  <r>
    <n v="1183"/>
    <n v="20017504"/>
    <s v="Appi Reddy Guttikonda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Chief Risk Officer"/>
    <m/>
    <s v="Risk &amp; Insurance"/>
    <s v="Risk &amp; Insurance"/>
    <s v="Corporate Finance &amp; Risk &amp; Insurance"/>
    <s v="Non Technical Support"/>
    <s v="Finance &amp; Accounts"/>
    <s v="Finance &amp; Accounts"/>
    <s v="73901001"/>
    <s v="Finance &amp; Accounts"/>
    <s v="Mumbai"/>
    <d v="1966-04-24T00:00:00"/>
    <s v="57.04"/>
    <d v="2008-04-02T00:00:00"/>
    <d v="2024-04-30T00:00:00"/>
    <m/>
    <d v="2024-04-30T00:00:00"/>
    <n v="223"/>
    <s v="B-"/>
    <s v="Certificate-2000 , MBA-2000 , PG Diploma"/>
    <s v="17.06"/>
    <s v="15.05"/>
    <s v="32.11"/>
    <s v="70447071"/>
    <s v="Insurance &amp; Financial Risk"/>
    <s v="70375801"/>
    <s v="Chief Risk Officer"/>
    <s v="Corporate"/>
    <s v="0090000028"/>
    <s v="Corporate Steel - Wo"/>
    <s v="2000CS"/>
    <s v="20057933"/>
    <s v="Akiyo Omori"/>
    <s v="No"/>
    <s v="appireddy.guttikonda@amns.in"/>
    <s v="9833946401"/>
    <s v="21886"/>
    <s v="Dhruv Vyas"/>
    <s v="Anil Matoo"/>
    <s v="Praveen Kuruvalli"/>
    <s v="Dhruv Vyas"/>
    <n v="0"/>
  </r>
  <r>
    <n v="1184"/>
    <n v="20017569"/>
    <s v="Girija Das"/>
    <s v="AM/NS India"/>
    <s v="Onroll"/>
    <s v="M-6"/>
    <n v="6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Buyer - Dabuna"/>
    <m/>
    <s v="Procurement"/>
    <s v="Procurement"/>
    <s v="Procurement"/>
    <s v="Non Technical Support"/>
    <s v="Operations"/>
    <s v="Plant Operations"/>
    <s v="72103005"/>
    <s v="Shift Operations"/>
    <s v="Dabuna"/>
    <d v="1980-05-17T00:00:00"/>
    <s v="43.04"/>
    <d v="2008-04-11T00:00:00"/>
    <d v="2038-05-31T00:00:00"/>
    <m/>
    <d v="2038-05-31T00:00:00"/>
    <n v="5367"/>
    <s v=""/>
    <s v="BTech-2008 , BTech-2008"/>
    <s v="09.03"/>
    <s v="15.05"/>
    <s v="24.08"/>
    <s v="70494404"/>
    <s v="Procurement - Dabuna"/>
    <s v="70326782"/>
    <s v="Buyer - Dabuna"/>
    <s v="Odisha"/>
    <s v="0022010019"/>
    <s v="DBN-Benf-HR/Admin"/>
    <s v="2000STORIS"/>
    <s v="20055692"/>
    <s v="Rajiv Ranjan"/>
    <s v="No"/>
    <s v="girija.das@amns.in"/>
    <s v="9437058486"/>
    <s v="21518"/>
    <s v="Sunila Das"/>
    <s v="Anil Matoo"/>
    <s v="Praveen Kuruvalli"/>
    <s v="Sunila Das"/>
    <n v="0"/>
  </r>
  <r>
    <n v="1188"/>
    <n v="20018249"/>
    <s v="Mahendra Naxan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Other West"/>
    <s v="OEM"/>
    <s v=""/>
    <s v="Non Technical Support"/>
    <s v="Sales &amp; Marketing"/>
    <s v="Sales"/>
    <s v="73104004"/>
    <s v="OEM Sales"/>
    <s v="Pune"/>
    <d v="1970-04-29T00:00:00"/>
    <s v="53.04"/>
    <d v="2008-05-06T00:00:00"/>
    <d v="2028-04-30T00:00:00"/>
    <m/>
    <d v="2028-04-30T00:00:00"/>
    <n v="1684"/>
    <s v="A-"/>
    <s v="BE-2008 , MBA-2008"/>
    <s v="16.08"/>
    <s v="15.04"/>
    <s v="32.00"/>
    <s v="70495309"/>
    <s v="Sales West Zone"/>
    <s v="70334290"/>
    <s v="KAM - OEM Sales"/>
    <s v="Hazira"/>
    <s v="0031581982"/>
    <s v="PLM-Marketing"/>
    <s v="2000HWO"/>
    <s v="20047683"/>
    <s v="Virat Vij"/>
    <s v="No"/>
    <s v="mahendra.naxane@amns.in"/>
    <s v="9923200850"/>
    <s v="22818"/>
    <s v="Dhruv Vyas"/>
    <s v="Anil Matoo"/>
    <s v="Praveen Kuruvalli"/>
    <s v="Dhruv Vyas"/>
    <n v="0"/>
  </r>
  <r>
    <n v="1193"/>
    <n v="20018700"/>
    <s v="Srinivasan Kamalakannan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Compliance S&amp;M"/>
    <m/>
    <s v="South"/>
    <s v="Auto"/>
    <s v="South Zone"/>
    <s v="Non Technical Support"/>
    <s v="Sales &amp; Marketing"/>
    <s v="Sales"/>
    <s v="73104003"/>
    <s v="Retail Sales"/>
    <s v="Chennai"/>
    <d v="1980-02-22T00:00:00"/>
    <s v="43.06"/>
    <d v="2008-06-06T00:00:00"/>
    <d v="2038-02-28T00:00:00"/>
    <m/>
    <d v="2038-02-28T00:00:00"/>
    <n v="5275"/>
    <s v="O-"/>
    <s v="BE-2006 , MBA-2006"/>
    <s v="04.02"/>
    <s v="15.03"/>
    <s v="19.05"/>
    <s v="00052474"/>
    <s v="KAM Automotive Sales - South"/>
    <s v="70320470"/>
    <s v="Sr. KAM – Automotive Sales"/>
    <s v="Hypermart"/>
    <s v="0060140300"/>
    <s v="HMART-Kar-Bangolre"/>
    <s v="2000SRET"/>
    <s v="20000909"/>
    <s v="Murali Krishna Chunduru"/>
    <s v="No"/>
    <s v="kamal.kannan@amns.in"/>
    <s v="9884069563"/>
    <s v="22117"/>
    <s v="Dhruv Vyas"/>
    <s v="Anil Matoo"/>
    <s v="Praveen Kuruvalli"/>
    <s v="Dhruv Vyas"/>
    <n v="0"/>
  </r>
  <r>
    <n v="1194"/>
    <n v="20018855"/>
    <s v="Ravikanth Reddy Yarkareddy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Section Engineer - Procurement"/>
    <m/>
    <s v="Procurement"/>
    <s v="Procurement"/>
    <s v="Procurement"/>
    <s v="Non Technical Support"/>
    <s v="Operations"/>
    <s v="Plant Operations"/>
    <s v="72103005"/>
    <s v="Shift Operations"/>
    <s v="Vizag"/>
    <d v="1985-09-03T00:00:00"/>
    <s v="38.00"/>
    <d v="2008-06-02T00:00:00"/>
    <d v="2043-09-30T00:00:00"/>
    <m/>
    <d v="2043-09-30T00:00:00"/>
    <n v="7315"/>
    <s v="AB-"/>
    <s v="BE-2014 , Diploma-2014 , BSc-2006"/>
    <s v="01.09"/>
    <s v="15.03"/>
    <s v="17.00"/>
    <s v="00046540"/>
    <s v="Contracts &amp; Production consumables"/>
    <s v="70487841"/>
    <s v="Section Engineer - Procurement"/>
    <s v="Vizag"/>
    <s v="0028030019"/>
    <s v="VIZ-Personnel &amp; Admi"/>
    <s v="2000VIZOPS"/>
    <s v="20010998"/>
    <s v="Venkata Raman  Lagadapati"/>
    <s v="No"/>
    <s v="ravikanth.reddy@amns.in"/>
    <s v="9885017475"/>
    <s v="23766"/>
    <s v="DS Varma"/>
    <s v="Anil Matoo"/>
    <s v="Praveen Kuruvalli"/>
    <s v="Dhruv Vyas"/>
    <n v="0"/>
  </r>
  <r>
    <n v="1197"/>
    <n v="20019125"/>
    <s v="Robinkumar Patel"/>
    <s v="AM/NS India"/>
    <s v="Onroll"/>
    <s v="M-7"/>
    <n v="7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Lead  Human Resources"/>
    <m/>
    <s v="Human Resources"/>
    <s v=""/>
    <s v=""/>
    <s v="Non Technical Support"/>
    <s v="Human Resources Management"/>
    <s v="Essar Learning- Academy"/>
    <s v="73503001"/>
    <s v="Faculty"/>
    <s v="Hazira"/>
    <d v="1986-02-11T00:00:00"/>
    <s v="37.07"/>
    <d v="2008-03-07T00:00:00"/>
    <d v="2044-02-29T00:00:00"/>
    <m/>
    <d v="2044-02-29T00:00:00"/>
    <n v="7467"/>
    <s v="B-"/>
    <s v="BE-2013 , PG Diploma in Management-2013"/>
    <s v=""/>
    <s v="15.06"/>
    <s v="15.06"/>
    <s v="70472771"/>
    <s v="Hazira HR Operations - 2"/>
    <s v="70257420"/>
    <s v="Lead  Human Resources"/>
    <s v="Hazira"/>
    <s v="0031950061"/>
    <s v="HZ-Human Resource"/>
    <s v="2000HWO"/>
    <s v="20054512"/>
    <s v="Surinder Kumar Choudhary"/>
    <s v="No"/>
    <s v="robinkumar.patel@amns.in"/>
    <s v="9925241199"/>
    <s v="23348"/>
    <s v="Dhruv Vyas"/>
    <s v="Anil Matoo"/>
    <s v="Praveen Kuruvalli"/>
    <s v="Dhruv Vyas"/>
    <n v="0"/>
  </r>
  <r>
    <n v="1198"/>
    <n v="20019430"/>
    <s v="Goundla Prasad Goud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Plate"/>
    <s v=""/>
    <s v="Non Technical Support"/>
    <s v="Sales &amp; Marketing"/>
    <s v="Sales"/>
    <s v="73104004"/>
    <s v="OEM Sales"/>
    <s v="Hyderabad"/>
    <d v="1986-10-13T00:00:00"/>
    <s v="36.11"/>
    <d v="2008-06-10T00:00:00"/>
    <d v="2044-10-31T00:00:00"/>
    <m/>
    <d v="2044-10-31T00:00:00"/>
    <n v="7712"/>
    <s v=""/>
    <s v="BE-2008"/>
    <s v=""/>
    <s v="15.03"/>
    <s v="15.03"/>
    <s v="00052472"/>
    <s v="KAM - Plate Sales"/>
    <s v="70334286"/>
    <s v="KAM - Plate Sales"/>
    <s v="Hazira"/>
    <s v="0031581982"/>
    <s v="PLM-Marketing"/>
    <s v="2000HWO"/>
    <s v="20000909"/>
    <s v="Murali Krishna Chunduru"/>
    <s v="No"/>
    <s v="prasad.goundla@amns.in"/>
    <s v="8886445567"/>
    <s v="21842"/>
    <s v="Dhruv Vyas"/>
    <s v="Anil Matoo"/>
    <s v="Praveen Kuruvalli"/>
    <s v="Dhruv Vyas"/>
    <n v="0"/>
  </r>
  <r>
    <n v="1200"/>
    <n v="20019604"/>
    <s v="Rajan Shah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/Issue"/>
    <m/>
    <s v="Stores &amp; Warehouse"/>
    <s v="Stores &amp; Warehouse"/>
    <s v="Receipt-Issue - Pipemill"/>
    <s v="Non Technical Support"/>
    <s v="Commercial"/>
    <s v="Stores &amp; Warehouse"/>
    <s v="73806001"/>
    <s v="Stores &amp; Warehouse"/>
    <s v="Hazira"/>
    <d v="1977-01-15T00:00:00"/>
    <s v="46.08"/>
    <d v="2008-06-27T00:00:00"/>
    <d v="2035-01-31T00:00:00"/>
    <m/>
    <d v="2035-01-31T00:00:00"/>
    <n v="4151"/>
    <s v="O-"/>
    <s v="BCom-1999 , LLB-1999"/>
    <s v="03.02"/>
    <s v="15.02"/>
    <s v="18.04"/>
    <s v="70495598"/>
    <s v="Pipe Mill Store"/>
    <s v="70319646"/>
    <s v="Section Officer - Receipt/Issue"/>
    <s v="Hazira"/>
    <s v="0031950049"/>
    <s v="HZ-Central Stores"/>
    <s v="2000HWO"/>
    <s v="20019745"/>
    <s v="Devendra Kaushik"/>
    <s v="No"/>
    <s v="rajan.shah@amns.in"/>
    <s v="9925241493"/>
    <s v="24032"/>
    <s v="Dhruv Vyas"/>
    <s v="Anil Matoo"/>
    <s v="Praveen Kuruvalli"/>
    <s v="Dhruv Vyas"/>
    <n v="0"/>
  </r>
  <r>
    <n v="1205"/>
    <n v="20019682"/>
    <s v="Manish Patel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Domestic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9-05-05T00:00:00"/>
    <s v="44.04"/>
    <d v="2008-04-01T00:00:00"/>
    <d v="2037-05-31T00:00:00"/>
    <m/>
    <d v="2037-05-31T00:00:00"/>
    <n v="5002"/>
    <s v="O-"/>
    <s v="BCom-2000"/>
    <s v="07.09"/>
    <s v="15.05"/>
    <s v="23.02"/>
    <s v="70495314"/>
    <s v="Export, Domestic &amp; Banking"/>
    <s v="70237694"/>
    <s v="Officer - Domestic Banking"/>
    <s v="Hazira"/>
    <s v="0031950045"/>
    <s v="HZ-Works Accounts-Ha"/>
    <s v="2000HWO"/>
    <s v="20001077"/>
    <s v="Pradeep Parte"/>
    <s v="No"/>
    <s v="manish.patel5@amns.in"/>
    <s v="9925246222"/>
    <s v="23249"/>
    <s v="Dhruv Vyas"/>
    <s v="Anil Matoo"/>
    <s v="Praveen Kuruvalli"/>
    <s v="Dhruv Vyas"/>
    <n v="0"/>
  </r>
  <r>
    <n v="1206"/>
    <n v="20019686"/>
    <s v="Pareshkumar Ramanlal Parekh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Domestic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9-04-11T00:00:00"/>
    <s v="44.05"/>
    <d v="2008-04-01T00:00:00"/>
    <d v="2037-04-30T00:00:00"/>
    <m/>
    <d v="2037-04-30T00:00:00"/>
    <n v="4971"/>
    <s v="B-"/>
    <s v="PG Diploma in Management-1998 , MCom-199"/>
    <s v="16.00"/>
    <s v="15.05"/>
    <s v="31.05"/>
    <s v="70495314"/>
    <s v="Export, Domestic &amp; Banking"/>
    <s v="70446069"/>
    <s v="Officer - Domestic Banking"/>
    <s v="Hazira"/>
    <s v="0031950045"/>
    <s v="HZ-Works Accounts-Ha"/>
    <s v="2000HWO"/>
    <s v="20001077"/>
    <s v="Pradeep Parte"/>
    <s v="No"/>
    <s v="paresh.parekh@amns.in"/>
    <s v="9879203058"/>
    <s v="22992"/>
    <s v="Dhruv Vyas"/>
    <s v="Anil Matoo"/>
    <s v="Praveen Kuruvalli"/>
    <s v="Dhruv Vyas"/>
    <n v="0"/>
  </r>
  <r>
    <n v="1213"/>
    <n v="20019745"/>
    <s v="Devendra Kaushik"/>
    <s v="AM/NS India"/>
    <s v="Onroll"/>
    <s v="M-6"/>
    <n v="6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 Charge - Pipe Mill Store"/>
    <m/>
    <s v="Stores &amp; Warehouse"/>
    <s v="Stores &amp; Warehouse"/>
    <s v="Pipe Mill Store"/>
    <s v="Non Technical Support"/>
    <s v="Commercial"/>
    <s v="Stores &amp; Warehouse"/>
    <s v="73806001"/>
    <s v="Stores &amp; Warehouse"/>
    <s v="Hazira"/>
    <d v="1970-08-19T00:00:00"/>
    <s v="53.01"/>
    <d v="2008-07-01T00:00:00"/>
    <d v="2028-08-31T00:00:00"/>
    <m/>
    <d v="2028-08-31T00:00:00"/>
    <n v="1807"/>
    <s v="O-"/>
    <s v="Diploma-2012 , MBA-2012 , Diploma-2005 ,"/>
    <s v="16.03"/>
    <s v="15.02"/>
    <s v="31.05"/>
    <s v="70495598"/>
    <s v="Pipe Mill Store"/>
    <s v="70320354"/>
    <s v="&quot; Section In Charge - Pipe Mill Store"/>
    <s v="Hazira"/>
    <s v="0031950049"/>
    <s v="HZ-Central Stores"/>
    <s v="2000HWO"/>
    <s v="20001240"/>
    <s v="Ambrish Chaturvedi"/>
    <s v="No"/>
    <s v="devendra.kaushik@amns.in"/>
    <s v="9879100555"/>
    <s v="22181"/>
    <s v="Dhruv Vyas"/>
    <s v="Anil Matoo"/>
    <s v="Praveen Kuruvalli"/>
    <s v="Dhruv Vyas"/>
    <n v="0"/>
  </r>
  <r>
    <n v="1217"/>
    <n v="20021039"/>
    <s v="Rajesh Patel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– Export Documentation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81-12-22T00:00:00"/>
    <s v="41.08"/>
    <d v="2008-07-18T00:00:00"/>
    <d v="2039-12-31T00:00:00"/>
    <m/>
    <d v="2039-12-31T00:00:00"/>
    <n v="5946"/>
    <s v="O-"/>
    <s v="MBA-2008 , MCom-2008 , Diploma-2004"/>
    <s v="06.03"/>
    <s v="15.02"/>
    <s v="21.04"/>
    <s v="00044362"/>
    <s v="Export Documentation"/>
    <s v="70259114"/>
    <s v="Sr. Lead – Export Documentation"/>
    <s v="Hazira"/>
    <s v="0031950045"/>
    <s v="HZ-Works Accounts-Ha"/>
    <s v="2000HWO"/>
    <s v="20007731"/>
    <s v="Ashish Mehta"/>
    <s v="No"/>
    <s v="rajesh.patel@amns.in"/>
    <s v="9925241112"/>
    <s v="23336"/>
    <s v="Dhruv Vyas"/>
    <s v="Anil Matoo"/>
    <s v="Praveen Kuruvalli"/>
    <s v="Dhruv Vyas"/>
    <n v="0"/>
  </r>
  <r>
    <n v="1218"/>
    <n v="20021191"/>
    <s v="Priya Kalantri"/>
    <s v="AM/NS India"/>
    <s v="Onroll"/>
    <s v="M-6"/>
    <n v="6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EA to Deputy CFO"/>
    <m/>
    <s v="CFO Office"/>
    <s v="CFO Office"/>
    <s v="CFO Office"/>
    <s v="Non Technical Support"/>
    <s v="Finance &amp; Accounts"/>
    <s v="Treasury"/>
    <s v="73903001"/>
    <s v="Treasury"/>
    <s v="Mumbai"/>
    <d v="1984-01-10T00:00:00"/>
    <s v="39.08"/>
    <d v="2008-07-19T00:00:00"/>
    <d v="2042-01-31T00:00:00"/>
    <m/>
    <d v="2042-01-31T00:00:00"/>
    <n v="6708"/>
    <s v="B-"/>
    <s v="MBA-2008 , BCom-2008"/>
    <s v="01.01"/>
    <s v="15.02"/>
    <s v="16.03"/>
    <s v="70494654"/>
    <s v="Finance"/>
    <s v="70258416"/>
    <s v="EA to Deputy CFO"/>
    <s v="Corporate"/>
    <s v="0090000028"/>
    <s v="Corporate Steel - Wo"/>
    <s v="2000CS"/>
    <s v="20057933"/>
    <s v="Akiyo Omori"/>
    <s v="No"/>
    <s v="priya.kalantri@amns.in"/>
    <s v="9930135381"/>
    <s v="22102"/>
    <s v="Dhruv Vyas"/>
    <s v="Anil Matoo"/>
    <s v="Praveen Kuruvalli"/>
    <s v="Dhruv Vyas"/>
    <n v="0"/>
  </r>
  <r>
    <n v="1219"/>
    <n v="20021262"/>
    <s v="Abhishek Srivastav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– Automotive Sales"/>
    <m/>
    <s v="Auto"/>
    <s v="Auto"/>
    <s v=""/>
    <s v="Non Technical Support"/>
    <s v="Sales &amp; Marketing"/>
    <s v="Sales"/>
    <s v="73104004"/>
    <s v="OEM Sales"/>
    <s v="Mumbai"/>
    <d v="1983-08-05T00:00:00"/>
    <s v="40.01"/>
    <d v="2008-06-23T00:00:00"/>
    <d v="2041-08-31T00:00:00"/>
    <m/>
    <d v="2041-08-31T00:00:00"/>
    <n v="6555"/>
    <s v="B-"/>
    <s v="MBA-2008 , BTech-2008"/>
    <s v=""/>
    <s v="15.02"/>
    <s v="15.02"/>
    <s v="70343195"/>
    <s v="Automotive Sales &amp; Service Centers"/>
    <s v="70385921"/>
    <s v="Sr. KAM – Automotive Sales"/>
    <s v="Hazira"/>
    <s v="0031950057"/>
    <s v="HZ-HRC - Marketing"/>
    <s v="2000HWO"/>
    <s v="20016767"/>
    <s v="Raghavan Venkatachalam"/>
    <s v="No"/>
    <s v="abhishek.srivastava@amns.in"/>
    <s v="9930135163"/>
    <s v="24358"/>
    <s v="Dhruv Vyas"/>
    <s v="Anil Matoo"/>
    <s v="Praveen Kuruvalli"/>
    <s v="Dhruv Vyas"/>
    <n v="0"/>
  </r>
  <r>
    <n v="1246"/>
    <n v="20022866"/>
    <s v="Surya Avinash Akondi"/>
    <s v="AM/NS India"/>
    <s v="Onroll"/>
    <s v="M-7"/>
    <n v="7"/>
    <m/>
    <s v="MM"/>
    <s v="M"/>
    <s v="Vizag"/>
    <n v="3"/>
    <s v="2012"/>
    <x v="7"/>
    <s v="34.01"/>
    <s v="Ambrish Chaturvedi"/>
    <s v="Hrishikesh Kamat"/>
    <n v="7"/>
    <s v="Procurement"/>
    <s v="Stores &amp; Warehouse"/>
    <s v="34"/>
    <s v="Engineer - Procurement"/>
    <m/>
    <s v="Procurement"/>
    <s v="Mechanical"/>
    <s v="Mechanical"/>
    <s v="Non Technical Support"/>
    <s v="Operations"/>
    <s v="Plant Operations"/>
    <s v="72103005"/>
    <s v="Shift Operations"/>
    <s v="Vizag"/>
    <d v="1989-11-26T00:00:00"/>
    <s v="33.09"/>
    <d v="2008-09-05T00:00:00"/>
    <d v="2047-11-30T00:00:00"/>
    <m/>
    <d v="2047-11-30T00:00:00"/>
    <n v="8837"/>
    <s v=""/>
    <s v="Diploma-2008"/>
    <s v=""/>
    <s v="15.00"/>
    <s v="15.00"/>
    <s v="70301353"/>
    <s v="Procurement - Vizag &amp; Chitrakonda"/>
    <s v="70372812"/>
    <s v="Engineer - Procurement"/>
    <s v="Vizag"/>
    <s v="0028030019"/>
    <s v="VIZ-Personnel &amp; Admi"/>
    <s v="2000VIZOPS"/>
    <s v="20000200"/>
    <s v="A Venkateswara Rao"/>
    <s v="No"/>
    <s v="akondi.surya@amns.in"/>
    <s v="8886385679"/>
    <s v="24398"/>
    <s v="DS Varma"/>
    <s v="Anil Matoo"/>
    <s v="Praveen Kuruvalli"/>
    <s v="Dhruv Vyas"/>
    <n v="0"/>
  </r>
  <r>
    <n v="1274"/>
    <n v="20023325"/>
    <s v="Prashant Gadhethri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s Unloading"/>
    <m/>
    <s v="Stores &amp; Warehouse"/>
    <s v="Stores &amp; Warehouse"/>
    <s v="Receipt, Unloading &amp; Insurance"/>
    <s v="Non Technical Support"/>
    <s v="Commercial"/>
    <s v="Stores &amp; Warehouse"/>
    <s v="73806001"/>
    <s v="Stores &amp; Warehouse"/>
    <s v="Hazira"/>
    <d v="1989-01-26T00:00:00"/>
    <s v="34.07"/>
    <d v="2008-09-09T00:00:00"/>
    <d v="2047-01-31T00:00:00"/>
    <m/>
    <d v="2047-01-31T00:00:00"/>
    <n v="8534"/>
    <s v=""/>
    <s v="Diploma-2008 , Diploma-2008"/>
    <s v=""/>
    <s v="15.00"/>
    <s v="15.00"/>
    <s v="00053276"/>
    <s v="Issue/Shifting - Plant B"/>
    <s v="70259397"/>
    <s v="Section Officer - Receipts Unloading"/>
    <s v="Hazira"/>
    <s v="0031950049"/>
    <s v="HZ-Central Stores"/>
    <s v="2000HWO"/>
    <s v="20016604"/>
    <s v="Punit Verma"/>
    <s v="No"/>
    <s v="prashant.gadhetharia@amns.in"/>
    <s v="9909901893"/>
    <s v="21724"/>
    <s v="Dhruv Vyas"/>
    <s v="Anil Matoo"/>
    <s v="Praveen Kuruvalli"/>
    <s v="Dhruv Vyas"/>
    <n v="0"/>
  </r>
  <r>
    <n v="1304"/>
    <n v="20023490"/>
    <s v="Pankaj Suklech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"/>
    <m/>
    <s v="North"/>
    <s v="Hypermart"/>
    <s v=""/>
    <s v="Non Technical Support"/>
    <s v="Finance &amp; Accounts"/>
    <s v="Insurance &amp; Risk Management"/>
    <s v="73905001"/>
    <s v="Insurance &amp; Risk Managmen"/>
    <s v="Jaipur"/>
    <d v="1984-02-18T00:00:00"/>
    <s v="39.07"/>
    <d v="2008-09-24T00:00:00"/>
    <d v="2042-02-28T00:00:00"/>
    <m/>
    <d v="2042-02-28T00:00:00"/>
    <n v="6736"/>
    <s v="O+"/>
    <s v="MBA-2005 , BCom-2005"/>
    <s v="01.01"/>
    <s v="14.11"/>
    <s v="16.00"/>
    <s v="00052526"/>
    <s v="Sales - North"/>
    <s v="70324106"/>
    <s v="Sales Manager - Hypermart"/>
    <s v="Hazira"/>
    <s v="0060120300"/>
    <s v="HMART-Raj-Jaipur"/>
    <s v="2000HWO"/>
    <s v="20007322"/>
    <s v="Sanjay Bohra"/>
    <s v="No"/>
    <s v="pankaj.suklecha@amns.in"/>
    <s v="9879103251"/>
    <s v="24382"/>
    <s v="Dhruv Vyas"/>
    <s v="Anil Matoo"/>
    <s v="Praveen Kuruvalli"/>
    <s v="Dhruv Vyas"/>
    <n v="0"/>
  </r>
  <r>
    <n v="1310"/>
    <n v="20024714"/>
    <s v="Alok Mittal"/>
    <s v="AM/NS India"/>
    <s v="Onroll"/>
    <s v="M-5"/>
    <n v="5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Senior Lead - Contracts"/>
    <m/>
    <s v="Contracts"/>
    <s v="Contracts"/>
    <s v="CRM, Admin, Oxy,Plant, Documentation"/>
    <s v="Non Technical Support"/>
    <s v="Commercial"/>
    <s v="Contracts &amp; Tenders and E-bid"/>
    <s v="73805001"/>
    <s v="Contracts &amp; Tenders and E"/>
    <s v="AM/NS Hazira"/>
    <d v="1981-05-15T00:00:00"/>
    <s v="42.04"/>
    <d v="2008-12-15T00:00:00"/>
    <d v="2039-05-31T00:00:00"/>
    <m/>
    <d v="2039-05-31T00:00:00"/>
    <n v="5732"/>
    <s v="B+"/>
    <s v="MBA-2008 , BE-2008"/>
    <s v="02.05"/>
    <s v="14.09"/>
    <s v="17.02"/>
    <s v="70495670"/>
    <s v="Contracts"/>
    <s v="70320439"/>
    <s v="Senior Lead - Contracts"/>
    <s v="Hazira"/>
    <s v="0031950047"/>
    <s v="HZ-Contracts"/>
    <s v="2000HWO"/>
    <s v="20000795"/>
    <s v="Pankaj Chaturvedi"/>
    <s v="No"/>
    <s v="alok.mittal@amns.in"/>
    <s v="9879100726"/>
    <s v="22651"/>
    <s v="Dhruv Vyas"/>
    <s v="Anil Matoo"/>
    <s v="Praveen Kuruvalli"/>
    <s v="Dhruv Vyas"/>
    <n v="0"/>
  </r>
  <r>
    <n v="1334"/>
    <n v="20026469"/>
    <s v="Soumya Ranjan Rout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Engineers - Procurement (PP SP &amp; CPP)"/>
    <m/>
    <s v="Procurement"/>
    <s v="Procurement"/>
    <s v="Purchase"/>
    <s v="Non Technical Support"/>
    <s v="Commercial"/>
    <s v="Purchase"/>
    <s v="73804001"/>
    <s v="Purchase"/>
    <s v="Vizag"/>
    <d v="1986-07-06T00:00:00"/>
    <s v="37.02"/>
    <d v="2009-07-23T00:00:00"/>
    <d v="2044-07-31T00:00:00"/>
    <m/>
    <d v="2044-07-31T00:00:00"/>
    <n v="7620"/>
    <s v="A-"/>
    <s v="Intermediate-2015 , PG Diploma in Manage"/>
    <s v=""/>
    <s v="14.01"/>
    <s v="14.01"/>
    <s v="70301353"/>
    <s v="Procurement - Vizag &amp; Chitrakonda"/>
    <s v="70369061"/>
    <s v="Engineers - Procurement (PP SP &amp; CPP)"/>
    <s v="Vizag"/>
    <s v="0028030019"/>
    <s v="VIZ-Personnel &amp; Admi"/>
    <s v="2000VIZOPS"/>
    <s v="20000200"/>
    <s v="A Venkateswara Rao"/>
    <s v="No"/>
    <s v="soumya.rout@amns.in"/>
    <s v="8297092555"/>
    <s v="23802"/>
    <s v="DS Varma"/>
    <s v="Anil Matoo"/>
    <s v="Praveen Kuruvalli"/>
    <s v="Dhruv Vyas"/>
    <n v="0"/>
  </r>
  <r>
    <n v="1381"/>
    <n v="20026951"/>
    <s v="Bhavesh Rathod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SMP, RHTOB, UTY,HMM, Lime Plant-Mech"/>
    <s v="Non Technical Support"/>
    <s v="Commercial"/>
    <s v="Stores &amp; Warehouse"/>
    <s v="73806001"/>
    <s v="Stores &amp; Warehouse"/>
    <s v="Hazira"/>
    <d v="1991-02-08T00:00:00"/>
    <s v="32.07"/>
    <d v="2009-08-19T00:00:00"/>
    <d v="2049-02-28T00:00:00"/>
    <m/>
    <d v="2049-02-28T00:00:00"/>
    <n v="9293"/>
    <s v="O+"/>
    <s v="Diploma-2009"/>
    <s v=""/>
    <s v="14.01"/>
    <s v="14.01"/>
    <s v="00053276"/>
    <s v="Issue/Shifting - Plant B"/>
    <s v="70319972"/>
    <s v="Section Officer - Issue/Shifting"/>
    <s v="Hazira"/>
    <s v="0031950049"/>
    <s v="HZ-Central Stores"/>
    <s v="2000HWO"/>
    <s v="20016604"/>
    <s v="Punit Verma"/>
    <s v="No"/>
    <s v="bhaveshkumar.rathod@amns.in"/>
    <s v="9909901085"/>
    <s v="23734"/>
    <s v="Dhruv Vyas"/>
    <s v="Anil Matoo"/>
    <s v="Praveen Kuruvalli"/>
    <s v="Dhruv Vyas"/>
    <n v="0"/>
  </r>
  <r>
    <n v="1394"/>
    <n v="20027199"/>
    <s v="Sharan Mahagoan"/>
    <s v="AM/NS India"/>
    <s v="Onroll"/>
    <s v="M-8"/>
    <n v="8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Lead - Procurement"/>
    <m/>
    <s v="Procurement"/>
    <s v="Procurement"/>
    <s v="Procurement"/>
    <s v="Non Technical Support"/>
    <s v="Operations"/>
    <s v="Plant Maintenance"/>
    <s v="72103008"/>
    <s v="Mechanical Maintenance"/>
    <s v="Dabuna"/>
    <d v="1987-11-30T00:00:00"/>
    <s v="35.09"/>
    <d v="2009-08-29T00:00:00"/>
    <d v="2045-11-30T00:00:00"/>
    <m/>
    <d v="2045-11-30T00:00:00"/>
    <n v="8107"/>
    <s v=""/>
    <s v="BE-2009"/>
    <s v=""/>
    <s v="14.00"/>
    <s v="14.00"/>
    <s v="70494404"/>
    <s v="Procurement - Dabuna"/>
    <s v="70326779"/>
    <s v="Lead - Procurement"/>
    <s v="Odisha"/>
    <s v="0022010019"/>
    <s v="DBN-Benf-HR/Admin"/>
    <s v="2000STORIS"/>
    <s v="20017569"/>
    <s v="Girija Das"/>
    <s v="No"/>
    <s v="sharan.mahagoan@amns.in"/>
    <s v="9437058214"/>
    <s v="22463"/>
    <s v="Sunila Das"/>
    <s v="Anil Matoo"/>
    <s v="Praveen Kuruvalli"/>
    <s v="Sunila Das"/>
    <n v="0"/>
  </r>
  <r>
    <n v="1403"/>
    <n v="20027374"/>
    <s v="Ravi Borra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Section Engineer -  Procurement"/>
    <m/>
    <s v="Vizag Operations"/>
    <s v="Production"/>
    <s v="Production"/>
    <s v="Non Technical Support"/>
    <s v="Operations"/>
    <s v="Operations"/>
    <s v="72103001"/>
    <s v="Operations"/>
    <s v="Vizag"/>
    <d v="1982-08-18T00:00:00"/>
    <s v="41.01"/>
    <d v="2009-09-14T00:00:00"/>
    <d v="2040-08-31T00:00:00"/>
    <m/>
    <d v="2040-08-31T00:00:00"/>
    <n v="6190"/>
    <s v="O-"/>
    <s v="BTech-2010"/>
    <s v="07.10"/>
    <s v="14.00"/>
    <s v="21.10"/>
    <s v="70301353"/>
    <s v="Procurement - Vizag &amp; Chitrakonda"/>
    <s v="70449380"/>
    <s v="Section Engineer -  Procurement"/>
    <s v="Vizag"/>
    <s v="0028030019"/>
    <s v="VIZ-Personnel &amp; Admi"/>
    <s v="2000VIZOPS"/>
    <s v="20000200"/>
    <s v="A Venkateswara Rao"/>
    <s v="No"/>
    <s v="ravikishore.borra@amns.in"/>
    <s v="8886154111"/>
    <s v="21314"/>
    <s v="DS Varma"/>
    <s v="Anil Matoo"/>
    <s v="Praveen Kuruvalli"/>
    <s v="Dhruv Vyas"/>
    <n v="0"/>
  </r>
  <r>
    <n v="1407"/>
    <n v="20027573"/>
    <s v="Rajesh Malu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GST"/>
    <m/>
    <s v="Taxation"/>
    <s v="In Direct - Taxation"/>
    <s v="Indirect Taxation"/>
    <s v="Non Technical Support"/>
    <s v="Finance &amp; Accounts"/>
    <s v="Finance &amp; Accounts"/>
    <s v="73901002"/>
    <s v="Corporate Accounts &amp; Audi"/>
    <s v="AM/NS Hazira"/>
    <d v="1987-06-23T00:00:00"/>
    <s v="36.02"/>
    <d v="2009-10-01T00:00:00"/>
    <d v="2045-06-30T00:00:00"/>
    <m/>
    <d v="2045-06-30T00:00:00"/>
    <n v="7954"/>
    <s v="A+"/>
    <s v="CS-2009 , CA Final-2009 , BCom-2007"/>
    <s v=""/>
    <s v="13.11"/>
    <s v="13.11"/>
    <s v="00044380"/>
    <s v="GST - Hazira Assets - 2"/>
    <s v="70320447"/>
    <s v="Sr. lead - GST"/>
    <s v="Hazira"/>
    <s v="0031950044"/>
    <s v="HZ-Commercial Taxati"/>
    <s v="2000HWO"/>
    <s v="20055962"/>
    <s v="Navin Kewalramani"/>
    <s v="No"/>
    <s v="rajesh.malu@amns.in"/>
    <s v="9879100796"/>
    <s v="22512"/>
    <s v="Dhruv Vyas"/>
    <s v="Anil Matoo"/>
    <s v="Praveen Kuruvalli"/>
    <s v="Dhruv Vyas"/>
    <n v="0"/>
  </r>
  <r>
    <n v="1441"/>
    <n v="20028099"/>
    <s v="Nimisha Patel"/>
    <s v="AM/NS India"/>
    <s v="Onroll"/>
    <s v="M-8"/>
    <n v="8"/>
    <m/>
    <s v="JM"/>
    <s v="F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&quot;&quot;&quot;Issue &amp; Receipt - HSM, SMP, Caster-MEC, UTY"/>
    <s v="Non Technical Support"/>
    <s v="Commercial"/>
    <s v="Stores &amp; Warehouse"/>
    <s v="73806001"/>
    <s v="Stores &amp; Warehouse"/>
    <s v="Hazira"/>
    <d v="1988-04-08T00:00:00"/>
    <s v="35.05"/>
    <d v="2009-10-26T00:00:00"/>
    <d v="2046-04-30T00:00:00"/>
    <m/>
    <d v="2046-04-30T00:00:00"/>
    <n v="8258"/>
    <s v=""/>
    <s v="Diploma-2008"/>
    <s v=""/>
    <s v="13.10"/>
    <s v="13.10"/>
    <s v="00053276"/>
    <s v="Issue/Shifting - Plant B"/>
    <s v="70320031"/>
    <s v="Section Officer - Issue/Shifting"/>
    <s v="Hazira"/>
    <s v="0031950049"/>
    <s v="HZ-Central Stores"/>
    <s v="2000HWO"/>
    <s v="20016604"/>
    <s v="Punit Verma"/>
    <s v="No"/>
    <s v="nimisha.patel@amns.in"/>
    <s v="9909901301"/>
    <s v="23298"/>
    <s v="Dhruv Vyas"/>
    <s v="Anil Matoo"/>
    <s v="Praveen Kuruvalli"/>
    <s v="Dhruv Vyas"/>
    <n v="0"/>
  </r>
  <r>
    <n v="1453"/>
    <n v="20028777"/>
    <s v="Narendra Dugar"/>
    <s v="AM/NS India"/>
    <s v="Onroll"/>
    <s v="M-5"/>
    <n v="5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Internal Audit Hazira"/>
    <m/>
    <s v="Internal Audit"/>
    <s v="Internal Audit"/>
    <s v="Internal Audit"/>
    <s v="Non Technical Support"/>
    <s v="Finance &amp; Accounts"/>
    <s v="Insurance &amp; Risk Management"/>
    <s v="73905001"/>
    <s v="Insurance &amp; Risk Managmen"/>
    <s v="AM/NS Hazira"/>
    <d v="1982-10-21T00:00:00"/>
    <s v="40.10"/>
    <d v="2009-12-10T00:00:00"/>
    <d v="2040-10-31T00:00:00"/>
    <m/>
    <d v="2040-10-31T00:00:00"/>
    <n v="6251"/>
    <s v="O-"/>
    <s v="MCom-2005 , BCom-2005 , CA Final-2003"/>
    <s v="02.01"/>
    <s v="13.09"/>
    <s v="15.10"/>
    <s v="00044330"/>
    <s v="Internal Audit - Hazira"/>
    <s v="70386056"/>
    <s v="Sr. Lead Internal Audit Hazira"/>
    <s v="Hazira"/>
    <s v="0090000035"/>
    <s v="Internal Audit"/>
    <s v="2000HWO"/>
    <s v="20055486"/>
    <s v="Nilesh Likhite"/>
    <s v="No"/>
    <s v="narendra.dugar@amns.in"/>
    <s v="9879100706"/>
    <s v="21706"/>
    <s v="Dhruv Vyas"/>
    <s v="Anil Matoo"/>
    <s v="Praveen Kuruvalli"/>
    <s v="Dhruv Vyas"/>
    <n v="0"/>
  </r>
  <r>
    <n v="1454"/>
    <n v="20028863"/>
    <s v="Keshav Dehariya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Central Zone"/>
    <s v="Non Technical Support"/>
    <s v="Operations"/>
    <s v="Plant Maintenance"/>
    <s v="72103009"/>
    <s v="Electrical Maintenance"/>
    <s v="Indore"/>
    <d v="1986-08-13T00:00:00"/>
    <s v="37.01"/>
    <d v="2009-11-23T00:00:00"/>
    <d v="2044-08-31T00:00:00"/>
    <m/>
    <d v="2044-08-31T00:00:00"/>
    <n v="7651"/>
    <s v="O-"/>
    <s v="BE-2009 , High School-2009 , High School"/>
    <s v=""/>
    <s v="13.09"/>
    <s v="13.09"/>
    <s v="00048138"/>
    <s v="Hypermart west"/>
    <s v="70450022"/>
    <s v="Sales Manager - Hypermart"/>
    <s v="Hypermart"/>
    <s v="0060110700"/>
    <s v="HMART-MP-Pithampur"/>
    <s v="2000SRET"/>
    <s v="20056847"/>
    <s v="Vikas Chotia"/>
    <s v="No"/>
    <s v="keshav.dehariya@amns.in"/>
    <s v="9522198100"/>
    <s v="21558"/>
    <s v="Dhruv Vyas"/>
    <s v="Anil Matoo"/>
    <s v="Praveen Kuruvalli"/>
    <s v="Dhruv Vyas"/>
    <n v="0"/>
  </r>
  <r>
    <n v="1455"/>
    <n v="20028961"/>
    <s v="Anshuman Majhi"/>
    <s v="AM/NS India"/>
    <s v="Onroll"/>
    <s v="M-5"/>
    <n v="5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Sr. Lead  - Costing &amp; MIS"/>
    <m/>
    <s v="Finance &amp; Accounts - Odisha"/>
    <s v="Finance &amp; Accounts"/>
    <s v="Costing &amp; MIS"/>
    <s v="Non Technical Support"/>
    <s v="Finance &amp; Accounts"/>
    <s v="Finance &amp; Accounts"/>
    <s v="73901001"/>
    <s v="Finance &amp; Accounts"/>
    <s v="Dabuna"/>
    <d v="1965-07-08T00:00:00"/>
    <s v="58.02"/>
    <d v="2009-12-11T00:00:00"/>
    <d v="2023-07-31T00:00:00"/>
    <d v="2024-07-31T00:00:00"/>
    <d v="2024-07-31T00:00:00"/>
    <n v="315"/>
    <s v="B-"/>
    <s v="ICWA Final-2011 , PG Diploma in Manageme"/>
    <s v="22.05"/>
    <s v="13.09"/>
    <s v="36.02"/>
    <s v="70234933"/>
    <s v="Finance &amp; Accounts - Odisha"/>
    <s v="70375779"/>
    <s v="Sr. Lead  - Costing &amp; MIS"/>
    <s v="Odisha"/>
    <s v="0022030019"/>
    <s v="PDP-HR &amp; Admn"/>
    <s v="2000STORIS"/>
    <s v="20055801"/>
    <s v="Sanjive Kumar Singh"/>
    <s v="No"/>
    <s v="anshuman.majhi@amns.in"/>
    <s v="9437481167"/>
    <s v="22490"/>
    <s v="Sunila Das"/>
    <s v="Anil Matoo"/>
    <s v="Praveen Kuruvalli"/>
    <s v="Sunila Das"/>
    <n v="0"/>
  </r>
  <r>
    <n v="1474"/>
    <n v="20029041"/>
    <s v="Siddharth Patel"/>
    <s v="AM/NS India"/>
    <s v="Onroll"/>
    <s v="M-7"/>
    <n v="7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Contracts"/>
    <s v="Non Technical Support"/>
    <s v="Services"/>
    <s v="Maintenance Services"/>
    <s v="72103012"/>
    <s v="Maintenance Services"/>
    <s v="AM/NS Hazira"/>
    <d v="1987-12-27T00:00:00"/>
    <s v="35.08"/>
    <d v="2009-11-26T00:00:00"/>
    <d v="2045-12-31T00:00:00"/>
    <m/>
    <d v="2045-12-31T00:00:00"/>
    <n v="8138"/>
    <s v="B+"/>
    <s v="BE-2009"/>
    <s v=""/>
    <s v="13.09"/>
    <s v="13.09"/>
    <s v="70495670"/>
    <s v="Contracts"/>
    <s v="70259203"/>
    <s v="Lead - Contracts"/>
    <s v="Hazira"/>
    <s v="0031950047"/>
    <s v="HZ-Contracts"/>
    <s v="2000HWO"/>
    <s v="20000795"/>
    <s v="Pankaj Chaturvedi"/>
    <s v="No"/>
    <s v="siddharth.patel@amns.in"/>
    <s v="9879101862"/>
    <s v="23382"/>
    <s v="Dhruv Vyas"/>
    <s v="Anil Matoo"/>
    <s v="Praveen Kuruvalli"/>
    <s v="Dhruv Vyas"/>
    <n v="0"/>
  </r>
  <r>
    <n v="1691"/>
    <n v="20029683"/>
    <s v="Pallav Vadgama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"/>
    <s v="Non Technical Support"/>
    <s v="Sales &amp; Marketing"/>
    <s v="Sales"/>
    <s v="73104004"/>
    <s v="OEM Sales"/>
    <s v="Ahmedabad"/>
    <d v="1987-01-21T00:00:00"/>
    <s v="36.07"/>
    <d v="2009-11-20T00:00:00"/>
    <d v="2045-01-31T00:00:00"/>
    <m/>
    <d v="2045-01-31T00:00:00"/>
    <n v="7804"/>
    <s v="O-"/>
    <s v="BE-2009"/>
    <s v=""/>
    <s v="13.09"/>
    <s v="13.09"/>
    <s v="70265035"/>
    <s v="Value Recovery"/>
    <s v="70336309"/>
    <s v="Sales Manager"/>
    <s v="Hazira"/>
    <s v="0031950057"/>
    <s v="HZ-HRC - Marketing"/>
    <s v="2000HWO"/>
    <s v="20016382"/>
    <s v="Kunal Bhardwaj"/>
    <s v="No"/>
    <s v="pallav.vadgama@amns.in"/>
    <s v="9099934874"/>
    <s v="24606"/>
    <s v="Dhruv Vyas"/>
    <s v="Anil Matoo"/>
    <s v="Praveen Kuruvalli"/>
    <s v="Dhruv Vyas"/>
    <n v="0"/>
  </r>
  <r>
    <n v="1733"/>
    <n v="20030332"/>
    <s v="Darshan Desai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Project Administration"/>
    <m/>
    <s v="Hazira Operations"/>
    <s v="SMS"/>
    <s v="Secondary Metallurgy"/>
    <s v="Non Technical Support"/>
    <s v="Operations"/>
    <s v="Plant Operations"/>
    <s v="72103005"/>
    <s v="Shift Operations"/>
    <s v="Hazira"/>
    <d v="1976-10-07T00:00:00"/>
    <s v="46.11"/>
    <d v="2010-02-20T00:00:00"/>
    <d v="2034-10-31T00:00:00"/>
    <m/>
    <d v="2034-10-31T00:00:00"/>
    <n v="4059"/>
    <s v="A-"/>
    <s v="Diploma-1999"/>
    <s v="09.04"/>
    <s v="13.06"/>
    <s v="22.10"/>
    <s v="00049719"/>
    <s v="Administration Hazira"/>
    <s v="70202819"/>
    <s v="Lead - Project Administration"/>
    <s v="Hazira"/>
    <s v="0031323111"/>
    <s v="CONARC - Plant B - O"/>
    <s v="2000HWO"/>
    <s v="20057886"/>
    <s v="Shakir Bandwala"/>
    <s v="No"/>
    <s v="darshan.desai@amns.in"/>
    <s v="9909902497"/>
    <s v="21575"/>
    <s v="Surinder Choudhary"/>
    <s v="Anil Matoo"/>
    <n v="0"/>
    <s v="Surinder Choudhary"/>
    <s v="Robin Patel"/>
  </r>
  <r>
    <n v="1794"/>
    <n v="20031922"/>
    <s v="Nalla Shyamala"/>
    <s v="AM/NS India"/>
    <s v="Onroll"/>
    <s v="M-6"/>
    <n v="6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Sr. Lead - EXIM"/>
    <m/>
    <s v="Taxation"/>
    <s v="EXIM"/>
    <s v="EXIM"/>
    <s v="Non Technical Support"/>
    <s v="Finance &amp; Accounts"/>
    <s v="Corporate Finance"/>
    <s v="73902001"/>
    <s v="Corporate Finance"/>
    <s v="Mumbai"/>
    <d v="1971-02-13T00:00:00"/>
    <s v="52.07"/>
    <d v="2010-05-27T00:00:00"/>
    <d v="2029-02-28T00:00:00"/>
    <m/>
    <d v="2029-02-28T00:00:00"/>
    <n v="1988"/>
    <s v="A-"/>
    <s v="Certificate-1999 , Diploma-1999 , BCom-1"/>
    <s v="19.04"/>
    <s v="13.03"/>
    <s v="32.07"/>
    <s v="70072408"/>
    <s v="Customs / DGFT / EXIM"/>
    <s v="70224406"/>
    <s v="Sr. Lead - EXIM"/>
    <s v="Hazira"/>
    <s v="0090000033"/>
    <s v="Corporate Taxation"/>
    <s v="2000HWO"/>
    <s v="20047664"/>
    <s v="Devang Desai"/>
    <s v="No"/>
    <s v="shyamala.nalla@amns.in"/>
    <s v="9930136459"/>
    <s v="22783"/>
    <s v="Dhruv Vyas"/>
    <s v="Anil Matoo"/>
    <s v="Praveen Kuruvalli"/>
    <s v="Dhruv Vyas"/>
    <n v="0"/>
  </r>
  <r>
    <n v="1832"/>
    <n v="20033268"/>
    <s v="Rathish R"/>
    <s v="AM/NS India"/>
    <s v="Onroll"/>
    <s v="M-7"/>
    <n v="7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South"/>
    <s v="Auto"/>
    <s v="Domestic"/>
    <s v="Non Technical Support"/>
    <s v="Sales &amp; Marketing"/>
    <s v="Sales"/>
    <s v="73104004"/>
    <s v="OEM Sales"/>
    <s v="Pune AMNS"/>
    <d v="1984-06-23T00:00:00"/>
    <s v="39.02"/>
    <d v="2010-08-07T00:00:00"/>
    <d v="2042-06-30T00:00:00"/>
    <m/>
    <d v="2042-06-30T00:00:00"/>
    <n v="6858"/>
    <s v="O-"/>
    <s v="BCom-2009 , MBA-2009"/>
    <s v="01.02"/>
    <s v="13.01"/>
    <s v="14.03"/>
    <s v="00052468"/>
    <s v="Automotive Sales - Chennai"/>
    <s v="70228566"/>
    <s v="KAM – Automotive Sales"/>
    <s v="Pune Facility"/>
    <s v="0035950073"/>
    <s v="Pune - S&amp;D Export"/>
    <s v="2000ESPF"/>
    <s v="20047658"/>
    <s v="Balamurugan Gurusamy"/>
    <s v="No"/>
    <s v="rathish.r@amns.in"/>
    <s v="8939900882"/>
    <s v="23604"/>
    <s v="Dhruv Vyas"/>
    <s v="Anil Matoo"/>
    <s v="Praveen Kuruvalli"/>
    <s v="Dhruv Vyas"/>
    <n v="0"/>
  </r>
  <r>
    <n v="1892"/>
    <n v="20034319"/>
    <s v="Ashokkumar Mehe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r - Sales &amp; Mkt"/>
    <m/>
    <s v="Pipe"/>
    <s v="Pipe"/>
    <s v=""/>
    <s v="Non Technical Support"/>
    <s v="Sales &amp; Marketing"/>
    <s v="Sales &amp; Marketing"/>
    <s v="73101001"/>
    <s v="Sales &amp; Marketing"/>
    <s v="Noida"/>
    <d v="1986-05-02T00:00:00"/>
    <s v="37.04"/>
    <d v="2010-09-23T00:00:00"/>
    <d v="2044-05-31T00:00:00"/>
    <m/>
    <d v="2044-05-31T00:00:00"/>
    <n v="7559"/>
    <s v="A-"/>
    <s v="BTech-2007"/>
    <s v="03.03"/>
    <s v="12.11"/>
    <s v="16.03"/>
    <s v="70387159"/>
    <s v="Pipe Sales"/>
    <s v="70230900"/>
    <s v="Sales Manager - Domestics Pipe Sales"/>
    <s v="Hazira"/>
    <s v="0031591982"/>
    <s v="PM-Marketing"/>
    <s v="2000HWO"/>
    <s v="20007414"/>
    <s v="Gaurav Sharma"/>
    <s v="No"/>
    <s v="ashok.meher@amns.in"/>
    <s v="8376904700"/>
    <s v="22576"/>
    <s v="Dhruv Vyas"/>
    <s v="Anil Matoo"/>
    <s v="Praveen Kuruvalli"/>
    <s v="Dhruv Vyas"/>
    <n v="0"/>
  </r>
  <r>
    <n v="1898"/>
    <n v="20034616"/>
    <s v="Bimal Parida"/>
    <s v="AM/NS India"/>
    <s v="Onroll"/>
    <s v="M-8"/>
    <n v="8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Lead - Procurement"/>
    <m/>
    <s v="Procurement"/>
    <s v="Procurement"/>
    <s v="Procurement"/>
    <s v="Non Technical Support"/>
    <s v="Operations"/>
    <s v="Plant Maintenance"/>
    <s v="72103009"/>
    <s v="Electrical Maintenance"/>
    <s v="Dabuna"/>
    <d v="1988-04-23T00:00:00"/>
    <s v="35.04"/>
    <d v="2010-08-23T00:00:00"/>
    <d v="2046-04-30T00:00:00"/>
    <m/>
    <d v="2046-04-30T00:00:00"/>
    <n v="8258"/>
    <s v="A-"/>
    <s v="BTech-2010"/>
    <s v=""/>
    <s v="13.00"/>
    <s v="13.00"/>
    <s v="70494404"/>
    <s v="Procurement - Dabuna"/>
    <s v="70319754"/>
    <s v="Lead - Procurement"/>
    <s v="Odisha"/>
    <s v="0022010019"/>
    <s v="DBN-Benf-HR/Admin"/>
    <s v="2000STORIS"/>
    <s v="20017569"/>
    <s v="Girija Das"/>
    <s v="No"/>
    <s v="bimal.parida@amns.in"/>
    <s v="9437061139"/>
    <s v="22995"/>
    <s v="Sunila Das"/>
    <s v="Anil Matoo"/>
    <s v="Praveen Kuruvalli"/>
    <s v="Sunila Das"/>
    <n v="0"/>
  </r>
  <r>
    <n v="1943"/>
    <n v="20035527"/>
    <s v="Anil Patro"/>
    <s v="AM/NS India"/>
    <s v="Onroll"/>
    <s v="M-4"/>
    <n v="4"/>
    <m/>
    <s v="SM"/>
    <s v="M"/>
    <s v="Hazira"/>
    <n v="1"/>
    <s v="2095"/>
    <x v="4"/>
    <n v="36.01"/>
    <s v="Deepak Sindkar"/>
    <s v="Hrishikesh Kamat"/>
    <n v="7"/>
    <s v="Procurement"/>
    <s v="Raw Materials"/>
    <s v="36"/>
    <s v="Head – Iron Bearing Materials"/>
    <m/>
    <s v="Bulk Raw Materials"/>
    <s v="Raw Material"/>
    <s v="Iron Ore"/>
    <s v="Non Technical Support"/>
    <s v="Sales &amp; Marketing"/>
    <s v="Business Development"/>
    <s v="73103001"/>
    <s v="Business Development"/>
    <s v="Mumbai"/>
    <d v="1970-03-01T00:00:00"/>
    <s v="53.06"/>
    <d v="2010-12-10T00:00:00"/>
    <d v="2028-02-29T00:00:00"/>
    <m/>
    <d v="2028-02-29T00:00:00"/>
    <n v="1623"/>
    <s v="A-"/>
    <s v="BSc-1992 , MSc-1992"/>
    <s v="17.10"/>
    <s v="12.09"/>
    <s v="30.07"/>
    <s v="00045893"/>
    <s v="Red Odisha Mill Scale"/>
    <s v="70258515"/>
    <s v="Head – Iron Bearing Materials"/>
    <s v="Hazira"/>
    <s v="0031950048"/>
    <s v="HZ-Procurment Depart"/>
    <s v="2000HWO"/>
    <s v="20000253"/>
    <s v="Deepak Sindkar"/>
    <s v="No"/>
    <s v="anil.patro@amns.in"/>
    <s v="9930136253"/>
    <s v="23475"/>
    <s v="Dhruv Vyas"/>
    <s v="Anil Matoo"/>
    <s v="Praveen Kuruvalli"/>
    <s v="Dhruv Vyas"/>
    <n v="0"/>
  </r>
  <r>
    <n v="1964"/>
    <n v="20035714"/>
    <s v="Emani Sitarami Reddy"/>
    <s v="AM/NS India"/>
    <s v="Onroll"/>
    <s v="M-8"/>
    <n v="8"/>
    <m/>
    <s v="JM"/>
    <s v="M"/>
    <s v="Vizag"/>
    <n v="3"/>
    <s v="2015"/>
    <x v="1"/>
    <s v="22.06"/>
    <s v="Anil Matoo"/>
    <s v="Ashutosh Telang"/>
    <n v="6"/>
    <s v="HR &amp; Administration"/>
    <s v="Human Resources"/>
    <s v="22"/>
    <s v="Lead Human Resources"/>
    <m/>
    <s v="Human Resources"/>
    <s v="HR &amp; Admin"/>
    <s v="HR &amp; Admin"/>
    <s v="Non Technical Support"/>
    <s v="Human Resources Management"/>
    <s v="Human Resources Management"/>
    <s v="73501001"/>
    <s v="Human Resources"/>
    <s v="Vizag"/>
    <d v="1964-04-05T00:00:00"/>
    <s v="59.05"/>
    <d v="2011-01-01T00:00:00"/>
    <d v="2022-04-30T00:00:00"/>
    <d v="2023-12-31T00:00:00"/>
    <d v="2023-12-31T00:00:00"/>
    <n v="102"/>
    <s v=""/>
    <s v="Diploma-1986"/>
    <s v="24.11"/>
    <s v="12.08"/>
    <s v="37.07"/>
    <s v="72150111"/>
    <s v="Vizag HR Operations &amp; Administration"/>
    <s v="70372501"/>
    <s v="Lead Human Resources"/>
    <s v="Vizag"/>
    <s v="0028030019"/>
    <s v="VIZ-Personnel &amp; Admi"/>
    <s v="2000VIZOPS"/>
    <s v="20000519"/>
    <s v="Dandu Srinivas Varma"/>
    <s v="No"/>
    <s v="emani.reddy@amns.in"/>
    <s v="9642054999"/>
    <s v="24298"/>
    <s v="DS Varma"/>
    <s v="Anil Matoo"/>
    <s v="Praveen Kuruvalli"/>
    <s v="Dhruv Vyas"/>
    <n v="0"/>
  </r>
  <r>
    <n v="1965"/>
    <n v="20035716"/>
    <s v="Satesh Datla"/>
    <s v="AM/NS India"/>
    <s v="Onroll"/>
    <s v="M-8"/>
    <n v="8"/>
    <m/>
    <s v="JM"/>
    <s v="M"/>
    <s v="Vizag"/>
    <n v="3"/>
    <s v="2023"/>
    <x v="6"/>
    <s v="24.08"/>
    <s v="Anil Matoo"/>
    <s v="Ashutosh Telang"/>
    <n v="6"/>
    <s v="HR &amp; Administration"/>
    <s v="Administration"/>
    <s v="24"/>
    <s v="Plant Node Officer - BP"/>
    <m/>
    <s v="Administration"/>
    <s v="Administration"/>
    <s v="Administration"/>
    <s v="Non Technical Support"/>
    <s v="Human Resources Management"/>
    <s v="Human Resources Management"/>
    <s v="73501001"/>
    <s v="Human Resources"/>
    <s v="Kirandul"/>
    <d v="1969-04-17T00:00:00"/>
    <s v="54.05"/>
    <d v="2011-01-01T00:00:00"/>
    <d v="2027-04-30T00:00:00"/>
    <m/>
    <d v="2027-04-30T00:00:00"/>
    <n v="1318"/>
    <s v=""/>
    <s v="MBA-1996 , BCom-1989"/>
    <s v="16.08"/>
    <s v="12.08"/>
    <s v="29.04"/>
    <s v="72150111"/>
    <s v="Vizag HR Operations &amp; Administration"/>
    <s v="70237920"/>
    <s v="Plant Node Officer - BP"/>
    <s v="Vizag"/>
    <s v="0028010019"/>
    <s v="KRD-Admin &amp; General"/>
    <s v="2000VIZOPS"/>
    <s v="20000519"/>
    <s v="Dandu Srinivas Varma"/>
    <s v="No"/>
    <s v="satish.datla@amns.in"/>
    <s v="9425591760"/>
    <s v="23957"/>
    <s v="DS Varma"/>
    <s v="Anil Matoo"/>
    <s v="Praveen Kuruvalli"/>
    <s v="Dhruv Vyas"/>
    <n v="0"/>
  </r>
  <r>
    <n v="1993"/>
    <n v="20036343"/>
    <s v="Pinal Patel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Gen Cons., Spares, &amp; Fitings Pipes, Valves Fasteners"/>
    <s v="Non Technical Support"/>
    <s v="Commercial"/>
    <s v="Stores &amp; Warehouse"/>
    <s v="73806001"/>
    <s v="Stores &amp; Warehouse"/>
    <s v="Hazira"/>
    <d v="1979-02-20T00:00:00"/>
    <s v="44.06"/>
    <d v="2011-02-16T00:00:00"/>
    <d v="2037-02-28T00:00:00"/>
    <m/>
    <d v="2037-02-28T00:00:00"/>
    <n v="4910"/>
    <s v=""/>
    <s v="Diploma-2003"/>
    <s v="11.07"/>
    <s v="12.07"/>
    <s v="24.02"/>
    <s v="00053276"/>
    <s v="Issue/Shifting - Plant B"/>
    <s v="70239744"/>
    <s v="Section Officer - Issue/Shifting"/>
    <s v="Hazira"/>
    <s v="0031950049"/>
    <s v="HZ-Central Stores"/>
    <s v="2000HWO"/>
    <s v="20016604"/>
    <s v="Punit Verma"/>
    <s v="No"/>
    <s v="pinal.patel@amns.in"/>
    <s v="9879101362"/>
    <s v="23314"/>
    <s v="Dhruv Vyas"/>
    <s v="Anil Matoo"/>
    <s v="Praveen Kuruvalli"/>
    <s v="Dhruv Vyas"/>
    <n v="0"/>
  </r>
  <r>
    <n v="1997"/>
    <n v="20036363"/>
    <s v="Gopalrao Bodke"/>
    <s v="AM/NS India"/>
    <s v="Onroll"/>
    <s v="L-01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WEIGH BRIDGE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70-06-02T00:00:00"/>
    <s v="53.03"/>
    <d v="1995-01-01T00:00:00"/>
    <d v="2028-06-30T00:00:00"/>
    <m/>
    <d v="2028-06-30T00:00:00"/>
    <n v="1745"/>
    <s v="O-"/>
    <s v="SSLC-1988 , SSLC-1988 , SSLC-1988"/>
    <s v=""/>
    <s v="28.08"/>
    <s v="28.08"/>
    <s v="73800024"/>
    <s v="General Consumables"/>
    <s v="73800061"/>
    <s v="WEIGH BRIDGE"/>
    <s v="Pune Facility"/>
    <s v="0035950030"/>
    <s v="Pune - Stores"/>
    <s v="2000ESPF"/>
    <s v="20036403"/>
    <s v="Sanjay Kumbhar"/>
    <s v="No"/>
    <s v="gopalrao.bodke@amns.in"/>
    <s v="9673996785"/>
    <s v="21306"/>
    <s v="Dhruv Vyas"/>
    <s v="Anil Matoo"/>
    <s v="Praveen Kuruvalli"/>
    <s v="Dhruv Vyas"/>
    <n v="0"/>
  </r>
  <r>
    <n v="2006"/>
    <n v="20036385"/>
    <s v="Ganesh Adhikari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3"/>
    <s v="Accounts Payable"/>
    <s v="Pune AMNS"/>
    <d v="1969-11-14T00:00:00"/>
    <s v="53.10"/>
    <d v="1995-01-01T00:00:00"/>
    <d v="2027-11-30T00:00:00"/>
    <m/>
    <d v="2027-11-30T00:00:00"/>
    <n v="1532"/>
    <s v="B-"/>
    <s v="SSLC-1984"/>
    <s v="01.00"/>
    <s v="28.08"/>
    <s v="29.08"/>
    <s v="73800027"/>
    <s v="Account Receivables"/>
    <s v="70319250"/>
    <s v="Lead"/>
    <s v="Pune Facility"/>
    <s v="0035950020"/>
    <s v="Pune-F&amp;A"/>
    <s v="2000ESPF"/>
    <s v="20037239"/>
    <s v="Prashant Shah"/>
    <s v="No"/>
    <s v="ganesh.adhikari@amns.in"/>
    <s v="9890756491"/>
    <s v="21020"/>
    <s v="Dhruv Vyas"/>
    <s v="Anil Matoo"/>
    <s v="Praveen Kuruvalli"/>
    <s v="Dhruv Vyas"/>
    <n v="0"/>
  </r>
  <r>
    <n v="2013"/>
    <n v="20036398"/>
    <s v="Yogini Jadhav"/>
    <s v="AM/NS India"/>
    <s v="Onroll"/>
    <s v="M-8"/>
    <n v="8"/>
    <m/>
    <s v="JM"/>
    <s v="F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1"/>
    <s v="Finance &amp; Accounts"/>
    <s v="Pune AMNS"/>
    <d v="1970-11-03T00:00:00"/>
    <s v="52.10"/>
    <d v="1995-01-01T00:00:00"/>
    <d v="2028-11-30T00:00:00"/>
    <m/>
    <d v="2028-11-30T00:00:00"/>
    <n v="1898"/>
    <s v="A-"/>
    <s v="Intermediate-1992 , BCom-1992"/>
    <s v="02.04"/>
    <s v="28.08"/>
    <s v="31.00"/>
    <s v="73800027"/>
    <s v="Account Receivables"/>
    <s v="73800085"/>
    <s v="Lead"/>
    <s v="Pune Facility"/>
    <s v="0035950020"/>
    <s v="Pune-F&amp;A"/>
    <s v="2000ESPF"/>
    <s v="20037239"/>
    <s v="Prashant Shah"/>
    <s v="No"/>
    <s v="yogini.jadhav@amns.in"/>
    <s v="9158895077"/>
    <s v="21952"/>
    <s v="Dhruv Vyas"/>
    <s v="Anil Matoo"/>
    <s v="Praveen Kuruvalli"/>
    <s v="Dhruv Vyas"/>
    <n v="0"/>
  </r>
  <r>
    <n v="2017"/>
    <n v="20036403"/>
    <s v="Sanjay Kumbhar"/>
    <s v="AM/NS India"/>
    <s v="Onroll"/>
    <s v="M-8"/>
    <n v="8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DY. SECTION MANAG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68-04-01T00:00:00"/>
    <s v="55.05"/>
    <d v="1995-01-01T00:00:00"/>
    <d v="2026-03-31T00:00:00"/>
    <m/>
    <d v="2026-03-31T00:00:00"/>
    <n v="923"/>
    <s v="A-"/>
    <s v="BCom-2009 , Diploma Equivalent-2009 , In"/>
    <s v="01.03"/>
    <s v="28.08"/>
    <s v="29.11"/>
    <s v="73800024"/>
    <s v="General Consumables"/>
    <s v="73800046"/>
    <s v="DY. SECTION MANAGER"/>
    <s v="Pune Facility"/>
    <s v="0035950030"/>
    <s v="Pune - Stores"/>
    <s v="2000ESPF"/>
    <s v="20036934"/>
    <s v="Atul Patwardhan"/>
    <s v="No"/>
    <s v="sanjay.kumbhar@amns.in"/>
    <s v="9158895929"/>
    <s v="22385"/>
    <s v="Dhruv Vyas"/>
    <s v="Anil Matoo"/>
    <s v="Praveen Kuruvalli"/>
    <s v="Dhruv Vyas"/>
    <n v="0"/>
  </r>
  <r>
    <n v="2019"/>
    <n v="20036407"/>
    <s v="Ravindra Bhorde"/>
    <s v="AM/NS India"/>
    <s v="Onroll"/>
    <s v="M-8"/>
    <n v="8"/>
    <m/>
    <s v="JM"/>
    <s v="M"/>
    <s v="Pune Facility"/>
    <n v="4"/>
    <s v="2084"/>
    <x v="17"/>
    <s v="23.09"/>
    <s v="Anil Matoo"/>
    <s v="Ashutosh Telang"/>
    <n v="6"/>
    <s v="HR &amp; Administration"/>
    <s v="Industrial Relations"/>
    <s v="23"/>
    <s v="SECTION MANAGER"/>
    <m/>
    <s v="Pune Operations"/>
    <s v="Administration"/>
    <s v="Time office"/>
    <s v="Non Technical Support"/>
    <s v="Human Resources Management"/>
    <s v="Payroll Shared Services"/>
    <s v="73509002"/>
    <s v="Payroll Administration"/>
    <s v="Pune AMNS"/>
    <d v="1971-06-14T00:00:00"/>
    <s v="52.03"/>
    <d v="1993-10-05T00:00:00"/>
    <d v="2029-06-30T00:00:00"/>
    <m/>
    <d v="2029-06-30T00:00:00"/>
    <n v="2110"/>
    <s v="O-"/>
    <s v="Intermediate-1991"/>
    <s v="01.03"/>
    <s v="29.11"/>
    <s v="31.02"/>
    <s v="73800068"/>
    <s v="Pune HR Operations &amp; Administration"/>
    <s v="70273858"/>
    <s v="SECTION MANAGER"/>
    <s v="Pune Facility"/>
    <s v="0035950019"/>
    <s v="Pune-Admin"/>
    <s v="2000ESPF"/>
    <s v="20037245"/>
    <s v="Mukund Jagirdar"/>
    <s v="No"/>
    <s v="ravindra.bhorde@amns.in"/>
    <s v="9890113037"/>
    <s v="21277"/>
    <s v="Dhruv Vyas"/>
    <s v="Anil Matoo"/>
    <s v="Praveen Kuruvalli"/>
    <s v="Dhruv Vyas"/>
    <n v="0"/>
  </r>
  <r>
    <n v="2021"/>
    <n v="20036409"/>
    <s v="Ranjith Nambiar"/>
    <s v="AM/NS India"/>
    <s v="Onroll"/>
    <s v="M-5"/>
    <n v="5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Head - Domestic Sales, Pune"/>
    <m/>
    <s v="Sales Steering &amp; BD"/>
    <s v="Coated Marketing"/>
    <s v="National Sales"/>
    <s v="Non Technical Support"/>
    <s v="Operations"/>
    <s v="Operations"/>
    <s v="72103001"/>
    <s v="Operations"/>
    <s v="Pune AMNS"/>
    <d v="1973-04-20T00:00:00"/>
    <s v="50.05"/>
    <d v="1995-01-01T00:00:00"/>
    <d v="2031-04-30T00:00:00"/>
    <m/>
    <d v="2031-04-30T00:00:00"/>
    <n v="2779"/>
    <s v="O-"/>
    <s v="Diploma-1991"/>
    <s v="01.04"/>
    <s v="28.08"/>
    <s v="30.00"/>
    <s v="70492562"/>
    <s v="Domestic Sales"/>
    <s v="70435075"/>
    <s v="Head - Marketing Coated Products"/>
    <s v="Pune Facility"/>
    <s v="0031950057"/>
    <s v="HZ-HRC - Marketing"/>
    <s v="2000ESPF"/>
    <s v="20010531"/>
    <s v="Saptarshi Saha"/>
    <s v="No"/>
    <s v="ranjith.nambiar@amns.in"/>
    <s v="9158895828"/>
    <s v="22784"/>
    <s v="Dhruv Vyas"/>
    <s v="Anil Matoo"/>
    <s v="Praveen Kuruvalli"/>
    <s v="Dhruv Vyas"/>
    <n v="0"/>
  </r>
  <r>
    <n v="2031"/>
    <n v="20036425"/>
    <s v="Ashok Raikar"/>
    <s v="AM/NS India"/>
    <s v="Onroll"/>
    <s v="L-02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Jr.Stores Assistant"/>
    <m/>
    <s v="Procurement"/>
    <s v="Stores &amp; Warehouse"/>
    <s v="Stores"/>
    <s v="Non Technical Support"/>
    <s v="Administration"/>
    <s v="Administration"/>
    <s v="74101001"/>
    <s v="Administration"/>
    <s v="Pune Facility"/>
    <d v="1967-06-01T00:00:00"/>
    <s v="56.03"/>
    <d v="1996-01-01T00:00:00"/>
    <d v="2025-05-31T00:00:00"/>
    <m/>
    <d v="2025-05-31T00:00:00"/>
    <n v="619"/>
    <s v="AB-"/>
    <s v="Non Matric-1987"/>
    <s v=""/>
    <s v="27.08"/>
    <s v="27.08"/>
    <s v="73800024"/>
    <s v="General Consumables"/>
    <s v="73800273"/>
    <s v="Jr.Stores Assistant"/>
    <s v="Pune Facility"/>
    <s v="0035950030"/>
    <s v="Pune - Stores"/>
    <s v="2000ESPF"/>
    <s v="20036403"/>
    <s v="Sanjay Kumbhar"/>
    <s v="No"/>
    <s v="ashok.raikar@amns.in"/>
    <s v="9158895814"/>
    <s v="23620"/>
    <s v="Dhruv Vyas"/>
    <s v="Anil Matoo"/>
    <s v="Praveen Kuruvalli"/>
    <s v="Dhruv Vyas"/>
    <n v="0"/>
  </r>
  <r>
    <n v="2039"/>
    <n v="20036435"/>
    <s v="Shankar Sure"/>
    <s v="AM/NS India"/>
    <s v="Onroll"/>
    <s v="M-8"/>
    <n v="8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Dy. Section Manag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65-08-13T00:00:00"/>
    <s v="58.01"/>
    <d v="1996-02-01T00:00:00"/>
    <d v="2023-08-31T00:00:00"/>
    <m/>
    <d v="2023-08-31T00:00:00"/>
    <n v="-20"/>
    <s v="A-"/>
    <s v="MCom-1990"/>
    <s v="04.05"/>
    <s v="27.07"/>
    <s v="32.00"/>
    <s v="73800024"/>
    <s v="General Consumables"/>
    <s v="70319258"/>
    <s v="Dy. Section Manager"/>
    <s v="Pune Facility"/>
    <s v="0035950030"/>
    <s v="Pune - Stores"/>
    <s v="2000ESPF"/>
    <s v="20036403"/>
    <s v="Sanjay Kumbhar"/>
    <s v="No"/>
    <s v="shankar.sure@amns.in"/>
    <s v="9271898041"/>
    <s v="24390"/>
    <s v="Dhruv Vyas"/>
    <s v="Anil Matoo"/>
    <s v="Praveen Kuruvalli"/>
    <s v="Dhruv Vyas"/>
    <n v="0"/>
  </r>
  <r>
    <n v="2040"/>
    <n v="20036436"/>
    <s v="Megha Chaure"/>
    <s v="AM/NS India"/>
    <s v="Onroll"/>
    <s v="L-01"/>
    <n v="15"/>
    <m/>
    <s v="Blue Collar"/>
    <s v="F"/>
    <s v="Pune Facility"/>
    <n v="4"/>
    <s v="2023"/>
    <x v="6"/>
    <s v="24.08"/>
    <s v="Anil Matoo"/>
    <s v="Ashutosh Telang"/>
    <n v="6"/>
    <s v="HR &amp; Administration"/>
    <s v="Administration"/>
    <s v="24"/>
    <s v="ASST.PERS.CUM STENO - Hum"/>
    <m/>
    <s v="Pune Operations"/>
    <s v="Administration"/>
    <s v="Reception"/>
    <s v="Non Technical Support"/>
    <s v="Human Resources Management"/>
    <s v="Learning &amp; Development"/>
    <s v="73502001"/>
    <s v="Learning &amp; Development"/>
    <s v="Pune Facility"/>
    <d v="1967-06-17T00:00:00"/>
    <s v="56.03"/>
    <d v="1996-02-01T00:00:00"/>
    <d v="2025-06-30T00:00:00"/>
    <m/>
    <d v="2025-06-30T00:00:00"/>
    <n v="649"/>
    <s v="O-"/>
    <s v="Certificate-1989 , Intermediate-1989 , N"/>
    <s v="01.00"/>
    <s v="27.07"/>
    <s v="28.07"/>
    <s v="73800072"/>
    <s v="Administration"/>
    <s v="73800265"/>
    <s v="ASST.PERS.CUM STENO - Hum"/>
    <s v="Pune Facility"/>
    <s v="0035950019"/>
    <s v="Pune-Admin"/>
    <s v="2000ESPF"/>
    <s v="20036748"/>
    <s v="Suresh Kadam"/>
    <s v="No"/>
    <s v="megha.chaure@amns.in"/>
    <s v="9422314583"/>
    <s v="21385"/>
    <s v="Dhruv Vyas"/>
    <s v="Anil Matoo"/>
    <s v="Praveen Kuruvalli"/>
    <s v="Dhruv Vyas"/>
    <n v="0"/>
  </r>
  <r>
    <n v="2047"/>
    <n v="20036451"/>
    <s v="Sunil Shewale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GST"/>
    <s v="Non Technical Support"/>
    <s v="Finance &amp; Accounts"/>
    <s v="Taxation"/>
    <s v="73904002"/>
    <s v="Indirect Taxation"/>
    <s v="Pune AMNS"/>
    <d v="1966-06-24T00:00:00"/>
    <s v="57.02"/>
    <d v="1997-05-02T00:00:00"/>
    <d v="2024-06-30T00:00:00"/>
    <m/>
    <d v="2024-06-30T00:00:00"/>
    <n v="284"/>
    <s v="B-"/>
    <s v="BCom-1987"/>
    <s v="01.10"/>
    <s v="26.04"/>
    <s v="28.02"/>
    <s v="73800021"/>
    <s v="Excise"/>
    <s v="70273866"/>
    <s v="Lead"/>
    <s v="Pune Facility"/>
    <s v="0035950020"/>
    <s v="Pune-F&amp;A"/>
    <s v="2000ESPF"/>
    <s v="20037274"/>
    <s v="Imtiyazkhan Pathan"/>
    <s v="No"/>
    <s v="sunil.shewale@amns.in"/>
    <s v="9423581266"/>
    <s v="24155"/>
    <s v="Dhruv Vyas"/>
    <s v="Anil Matoo"/>
    <s v="Praveen Kuruvalli"/>
    <s v="Dhruv Vyas"/>
    <n v="0"/>
  </r>
  <r>
    <n v="2051"/>
    <n v="20036456"/>
    <s v="Rajesh Dadiya"/>
    <s v="AM/NS India"/>
    <s v="Onroll"/>
    <s v="L-02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ASST.OPERATOR - Productio"/>
    <m/>
    <s v="Procurement"/>
    <s v="Stores &amp; Warehouse"/>
    <s v="Stores"/>
    <s v="Non Technical Support"/>
    <s v="Operations"/>
    <s v="Plant Operations"/>
    <s v="72103005"/>
    <s v="Shift Operations"/>
    <s v="Pune Facility"/>
    <d v="1974-01-09T00:00:00"/>
    <s v="49.08"/>
    <d v="1997-06-07T00:00:00"/>
    <d v="2032-01-31T00:00:00"/>
    <m/>
    <d v="2032-01-31T00:00:00"/>
    <n v="3055"/>
    <s v="O-"/>
    <s v="SSLC-1989"/>
    <s v=""/>
    <s v="26.03"/>
    <s v="26.03"/>
    <s v="73800197"/>
    <s v="Logistics"/>
    <s v="73800794"/>
    <s v="ASST.OPERATOR - Productio"/>
    <s v="Pune Facility"/>
    <s v="0035950030"/>
    <s v="Pune - Stores"/>
    <s v="2000ESPF"/>
    <s v="20036920"/>
    <s v="Pankaj Patil"/>
    <s v="No"/>
    <s v="rajesh.dadiya@amns.in"/>
    <s v="8551099224"/>
    <s v="21452"/>
    <s v="Dhruv Vyas"/>
    <s v="Anil Matoo"/>
    <s v="Praveen Kuruvalli"/>
    <s v="Dhruv Vyas"/>
    <n v="0"/>
  </r>
  <r>
    <n v="2094"/>
    <n v="20036519"/>
    <s v="Kamal Tamboli"/>
    <s v="AM/NS India"/>
    <s v="Onroll"/>
    <s v="L-02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Office Attendant"/>
    <m/>
    <s v="Pune Operations"/>
    <s v="Administration"/>
    <s v="Administration"/>
    <s v="Non Technical Support"/>
    <s v="Administration"/>
    <s v="Housekeeping"/>
    <s v="74103001"/>
    <s v="Housekeeping"/>
    <s v="Pune Facility"/>
    <d v="1969-10-04T00:00:00"/>
    <s v="53.11"/>
    <d v="1998-04-01T00:00:00"/>
    <d v="2027-10-31T00:00:00"/>
    <m/>
    <d v="2027-10-31T00:00:00"/>
    <n v="1502"/>
    <s v="AB-"/>
    <s v="Non Matric-1983"/>
    <s v=""/>
    <s v="25.05"/>
    <s v="25.05"/>
    <s v="73800072"/>
    <s v="Administration"/>
    <s v="73800282"/>
    <s v="Office Attendant"/>
    <s v="Pune Facility"/>
    <s v="0035950019"/>
    <s v="Pune-Admin"/>
    <s v="2000ESPF"/>
    <s v="20036748"/>
    <s v="Suresh Kadam"/>
    <s v="No"/>
    <s v="kamal.tamboli@amns.in"/>
    <s v="9970244526"/>
    <s v="24455"/>
    <s v="Dhruv Vyas"/>
    <s v="Anil Matoo"/>
    <s v="Praveen Kuruvalli"/>
    <s v="Dhruv Vyas"/>
    <n v="0"/>
  </r>
  <r>
    <n v="2101"/>
    <n v="20036535"/>
    <s v="Johnson Noronha"/>
    <s v="AM/NS India"/>
    <s v="Onroll"/>
    <s v="L-01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Office Attendant"/>
    <m/>
    <s v="Finance &amp; Accounts - Pune"/>
    <s v="Finance &amp; Accounts"/>
    <s v="Documentation"/>
    <s v="Non Technical Support"/>
    <s v="Finance &amp; Accounts"/>
    <s v="Taxation"/>
    <s v="73904002"/>
    <s v="Indirect Taxation"/>
    <s v="Pune Facility"/>
    <d v="1975-06-03T00:00:00"/>
    <s v="48.03"/>
    <d v="1998-04-01T00:00:00"/>
    <d v="2033-06-30T00:00:00"/>
    <m/>
    <d v="2033-06-30T00:00:00"/>
    <n v="3571"/>
    <s v="B-"/>
    <s v="Non Matric-1989"/>
    <s v=""/>
    <s v="25.05"/>
    <s v="25.05"/>
    <s v="73800015"/>
    <s v="Export Documentation"/>
    <s v="73800037"/>
    <s v="Office Attendant"/>
    <s v="Pune Facility"/>
    <s v="0035950020"/>
    <s v="Pune-F&amp;A"/>
    <s v="2000ESPF"/>
    <s v="20036642"/>
    <s v="Narayan Joshi"/>
    <s v="No"/>
    <s v="johnson.norohna@amns.in"/>
    <s v="9158895819"/>
    <s v="22854"/>
    <s v="Dhruv Vyas"/>
    <s v="Anil Matoo"/>
    <s v="Praveen Kuruvalli"/>
    <s v="Dhruv Vyas"/>
    <n v="0"/>
  </r>
  <r>
    <n v="2103"/>
    <n v="20036537"/>
    <s v="Ramdas Ghogare"/>
    <s v="AM/NS India"/>
    <s v="Onroll"/>
    <s v="L-01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Sr.Driver"/>
    <m/>
    <s v="Pune Operations"/>
    <s v="Transport"/>
    <s v="Transport"/>
    <s v="Non Technical Support"/>
    <s v="Administration"/>
    <s v="Travel Services"/>
    <s v="74106002"/>
    <s v="Transport Operations"/>
    <s v="Pune Facility"/>
    <d v="1969-06-01T00:00:00"/>
    <s v="54.03"/>
    <d v="1998-04-01T00:00:00"/>
    <d v="2027-05-31T00:00:00"/>
    <m/>
    <d v="2027-05-31T00:00:00"/>
    <n v="1349"/>
    <s v="A-"/>
    <s v="Non Matric-1984"/>
    <s v="23.00"/>
    <s v="25.05"/>
    <s v="48.05"/>
    <s v="73800072"/>
    <s v="Administration"/>
    <s v="73800311"/>
    <s v="Sr.Driver"/>
    <s v="Pune Facility"/>
    <s v="0035950019"/>
    <s v="Pune-Admin"/>
    <s v="2000ESPF"/>
    <s v="20036748"/>
    <s v="Suresh Kadam"/>
    <s v="No"/>
    <s v="ramdas.ghogare@amns.in"/>
    <s v="9960178572"/>
    <s v="21796"/>
    <s v="Dhruv Vyas"/>
    <s v="Anil Matoo"/>
    <s v="Praveen Kuruvalli"/>
    <s v="Dhruv Vyas"/>
    <n v="0"/>
  </r>
  <r>
    <n v="2111"/>
    <n v="20036549"/>
    <s v="Dattatraya Birajdar"/>
    <s v="AM/NS India"/>
    <s v="Onroll"/>
    <s v="L-01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r.Weigh Bridge Opt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69-07-08T00:00:00"/>
    <s v="54.02"/>
    <d v="1999-03-01T00:00:00"/>
    <d v="2027-07-31T00:00:00"/>
    <m/>
    <d v="2027-07-31T00:00:00"/>
    <n v="1410"/>
    <s v="A-"/>
    <s v="Intermediate-1987"/>
    <s v="08.00"/>
    <s v="24.06"/>
    <s v="32.06"/>
    <s v="73800024"/>
    <s v="General Consumables"/>
    <s v="73800062"/>
    <s v="Sr.Weigh Bridge Optr"/>
    <s v="Pune Facility"/>
    <s v="0035950030"/>
    <s v="Pune - Stores"/>
    <s v="2000ESPF"/>
    <s v="20036403"/>
    <s v="Sanjay Kumbhar"/>
    <s v="No"/>
    <s v="dattatraya.birajdar@amns.in"/>
    <s v="9766275118"/>
    <s v="21293"/>
    <s v="Dhruv Vyas"/>
    <s v="Anil Matoo"/>
    <s v="Praveen Kuruvalli"/>
    <s v="Dhruv Vyas"/>
    <n v="0"/>
  </r>
  <r>
    <n v="2113"/>
    <n v="20036553"/>
    <s v="Manaji Awhale"/>
    <s v="AM/NS India"/>
    <s v="Onroll"/>
    <s v="L-01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Asst.Admin"/>
    <m/>
    <s v="Pune Operations"/>
    <s v="Administration"/>
    <s v="Admin and Housekeeping"/>
    <s v="Non Technical Support"/>
    <s v="Administration"/>
    <s v="Housekeeping"/>
    <s v="74103001"/>
    <s v="Housekeeping"/>
    <s v="Pune Facility"/>
    <d v="1968-10-10T00:00:00"/>
    <s v="54.11"/>
    <d v="1999-03-01T00:00:00"/>
    <d v="2026-10-31T00:00:00"/>
    <m/>
    <d v="2026-10-31T00:00:00"/>
    <n v="1137"/>
    <s v="A-"/>
    <s v="Non Matric-1986"/>
    <s v="06.05"/>
    <s v="24.06"/>
    <s v="30.11"/>
    <s v="73800072"/>
    <s v="Administration"/>
    <s v="73800279"/>
    <s v="Jr.Asst.Admin"/>
    <s v="Pune Facility"/>
    <s v="0035950019"/>
    <s v="Pune-Admin"/>
    <s v="2000ESPF"/>
    <s v="20036748"/>
    <s v="Suresh Kadam"/>
    <s v="No"/>
    <s v="manaji.awhale@amns.in"/>
    <s v="9158895885"/>
    <s v="21105"/>
    <s v="Dhruv Vyas"/>
    <s v="Anil Matoo"/>
    <s v="Praveen Kuruvalli"/>
    <s v="Dhruv Vyas"/>
    <n v="0"/>
  </r>
  <r>
    <n v="2115"/>
    <n v="20036557"/>
    <s v="Suresh Gadade"/>
    <s v="AM/NS India"/>
    <s v="Onroll"/>
    <s v="L-01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Asst.Admin."/>
    <m/>
    <s v="Pune Operations"/>
    <s v="Administration"/>
    <s v="Admin and Canteen"/>
    <s v="Non Technical Support"/>
    <s v="Administration"/>
    <s v="Administration"/>
    <s v="74101001"/>
    <s v="Administration"/>
    <s v="Pune Facility"/>
    <d v="1973-07-10T00:00:00"/>
    <s v="50.02"/>
    <d v="1999-04-01T00:00:00"/>
    <d v="2031-07-31T00:00:00"/>
    <m/>
    <d v="2031-07-31T00:00:00"/>
    <n v="2871"/>
    <s v="O-"/>
    <s v="Non Matric-1989"/>
    <s v=""/>
    <s v="24.05"/>
    <s v="24.05"/>
    <s v="73800072"/>
    <s v="Administration"/>
    <s v="73800274"/>
    <s v="Jr.Asst.Admin."/>
    <s v="Pune Facility"/>
    <s v="0035950019"/>
    <s v="Pune-Admin"/>
    <s v="2000ESPF"/>
    <s v="20036748"/>
    <s v="Suresh Kadam"/>
    <s v="No"/>
    <s v="suresh.gadade@amns.in"/>
    <s v="9158895994"/>
    <s v="21721"/>
    <s v="Dhruv Vyas"/>
    <s v="Anil Matoo"/>
    <s v="Praveen Kuruvalli"/>
    <s v="Dhruv Vyas"/>
    <n v="0"/>
  </r>
  <r>
    <n v="2137"/>
    <n v="20036591"/>
    <s v="Deepak Nikumbh"/>
    <s v="AM/NS India"/>
    <s v="Onroll"/>
    <s v="M-7"/>
    <n v="7"/>
    <m/>
    <s v="MM"/>
    <s v="M"/>
    <s v="Pune Facility"/>
    <n v="4"/>
    <s v="2084"/>
    <x v="17"/>
    <s v="23.09"/>
    <s v="Anil Matoo"/>
    <s v="Ashutosh Telang"/>
    <n v="6"/>
    <s v="HR &amp; Administration"/>
    <s v="Industrial Relations"/>
    <s v="23"/>
    <s v="Lead - Industrial Relations"/>
    <m/>
    <s v="Industrial Relations"/>
    <s v="Industrial Relation ER"/>
    <s v="Industrial Relation"/>
    <s v="Non Technical Support"/>
    <s v="Human Resources Management"/>
    <s v="Industrial Relations &amp; Labour Law"/>
    <s v="73510000"/>
    <s v="Industrial Relations &amp; La"/>
    <s v="Pune AMNS"/>
    <d v="1974-03-20T00:00:00"/>
    <s v="49.06"/>
    <d v="2000-08-01T00:00:00"/>
    <d v="2032-03-31T00:00:00"/>
    <m/>
    <d v="2032-03-31T00:00:00"/>
    <n v="3115"/>
    <s v="B-"/>
    <s v="BA-1997 , MPM-1997"/>
    <s v="04.08"/>
    <s v="23.01"/>
    <s v="27.09"/>
    <s v="73800070"/>
    <s v="Industrial Relations &amp; Pa"/>
    <s v="70319505"/>
    <s v="Lead - Industrial Relations"/>
    <s v="Pune Facility"/>
    <s v="0035950019"/>
    <s v="Pune-Admin"/>
    <s v="2000ESPF"/>
    <s v="20037245"/>
    <s v="Mukund Jagirdar"/>
    <s v="No"/>
    <s v="deepak.nikumbh@amns.in"/>
    <s v="9158895897"/>
    <s v="22839"/>
    <s v="Dhruv Vyas"/>
    <s v="Anil Matoo"/>
    <s v="Praveen Kuruvalli"/>
    <s v="Dhruv Vyas"/>
    <n v="0"/>
  </r>
  <r>
    <n v="2167"/>
    <n v="20036638"/>
    <s v="Kiran Chaudhari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ection Officer"/>
    <m/>
    <s v="Procurement"/>
    <s v="Row materail and Consumables"/>
    <s v="Purchase"/>
    <s v="Non Technical Support"/>
    <s v="Operations"/>
    <s v="Plant Maintenance"/>
    <s v="72103008"/>
    <s v="Mechanical Maintenance"/>
    <s v="Pune AMNS"/>
    <d v="1976-01-06T00:00:00"/>
    <s v="47.08"/>
    <d v="2003-02-21T00:00:00"/>
    <d v="2034-01-31T00:00:00"/>
    <m/>
    <d v="2034-01-31T00:00:00"/>
    <n v="3786"/>
    <s v="A-"/>
    <s v="Diploma-1994 , Diploma Equivalent-1994 ,"/>
    <s v="04.05"/>
    <s v="20.06"/>
    <s v="24.11"/>
    <s v="73800002"/>
    <s v="Procurement - Pune Asset"/>
    <s v="70376904"/>
    <s v="Section Officer"/>
    <s v="Pune Facility"/>
    <s v="0035950041"/>
    <s v="Pune-Procurement"/>
    <s v="2000ESPF"/>
    <s v="20006536"/>
    <s v="Mahesh Salunke"/>
    <s v="No"/>
    <s v="kiran.chaudhari@amns.in"/>
    <s v="9158895323"/>
    <s v="21360"/>
    <s v="Dhruv Vyas"/>
    <s v="Anil Matoo"/>
    <s v="Praveen Kuruvalli"/>
    <s v="Dhruv Vyas"/>
    <n v="0"/>
  </r>
  <r>
    <n v="2171"/>
    <n v="20036642"/>
    <s v="Narayan Joshi"/>
    <s v="AM/NS India"/>
    <s v="Onroll"/>
    <s v="M-7"/>
    <n v="7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nior Lead"/>
    <m/>
    <s v="Finance &amp; Accounts - Pune"/>
    <s v="Finance &amp; Accounts"/>
    <s v="Export Documentation"/>
    <s v="Non Technical Support"/>
    <s v="Finance &amp; Accounts"/>
    <s v="Taxation"/>
    <s v="73904002"/>
    <s v="Indirect Taxation"/>
    <s v="Pune AMNS"/>
    <d v="1971-12-09T00:00:00"/>
    <s v="51.09"/>
    <d v="2003-04-24T00:00:00"/>
    <d v="2029-12-31T00:00:00"/>
    <m/>
    <d v="2029-12-31T00:00:00"/>
    <n v="2294"/>
    <s v="O-"/>
    <s v="BE-1999 , Diploma Equivalent-1999"/>
    <s v="08.04"/>
    <s v="20.04"/>
    <s v="28.08"/>
    <s v="73800015"/>
    <s v="Export Documentation"/>
    <s v="70271103"/>
    <s v="Senior Lead"/>
    <s v="Pune Facility"/>
    <s v="0035950020"/>
    <s v="Pune-F&amp;A"/>
    <s v="2000ESPF"/>
    <s v="0"/>
    <s v=""/>
    <s v="No"/>
    <s v="narayan.joshi@amns.in"/>
    <s v="9158895818"/>
    <s v="22065"/>
    <s v="Dhruv Vyas"/>
    <s v="Anil Matoo"/>
    <s v="Praveen Kuruvalli"/>
    <s v="Dhruv Vyas"/>
    <n v="0"/>
  </r>
  <r>
    <n v="2178"/>
    <n v="20036652"/>
    <s v="Sachin Shimpi"/>
    <s v="AM/NS India"/>
    <s v="Onroll"/>
    <s v="M-10"/>
    <n v="10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3"/>
    <s v="Accounts Payable"/>
    <s v="Pune AMNS"/>
    <d v="1977-07-12T00:00:00"/>
    <s v="46.02"/>
    <d v="2003-08-03T00:00:00"/>
    <d v="2035-07-31T00:00:00"/>
    <m/>
    <d v="2035-07-31T00:00:00"/>
    <n v="4332"/>
    <s v="A-"/>
    <s v="BCom-1999"/>
    <s v="00.07"/>
    <s v="20.01"/>
    <s v="20.08"/>
    <s v="73800027"/>
    <s v="Account Receivables"/>
    <s v="70319308"/>
    <s v="Lead"/>
    <s v="Pune Facility"/>
    <s v="0035950020"/>
    <s v="Pune-F&amp;A"/>
    <s v="2000ESPF"/>
    <s v="20037239"/>
    <s v="Prashant Shah"/>
    <s v="No"/>
    <s v="sachin.shimpi@amns.in"/>
    <s v="9850192331"/>
    <s v="24159"/>
    <s v="Dhruv Vyas"/>
    <s v="Anil Matoo"/>
    <s v="Praveen Kuruvalli"/>
    <s v="Dhruv Vyas"/>
    <n v="0"/>
  </r>
  <r>
    <n v="2179"/>
    <n v="20036653"/>
    <s v="Suryakant Mandalekar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Finance &amp; Accounts"/>
    <s v="Non Technical Support"/>
    <s v="Finance &amp; Accounts"/>
    <s v="Finance &amp; Accounts"/>
    <s v="73901003"/>
    <s v="Accounts Payable"/>
    <s v="Pune AMNS"/>
    <d v="1973-03-04T00:00:00"/>
    <s v="50.06"/>
    <d v="2003-09-23T00:00:00"/>
    <d v="2031-03-31T00:00:00"/>
    <m/>
    <d v="2031-03-31T00:00:00"/>
    <n v="2749"/>
    <s v="AB-"/>
    <s v="Diploma-2011 , MMS-2011 , Diploma Equiva"/>
    <s v="11.01"/>
    <s v="19.11"/>
    <s v="31.00"/>
    <s v="70418543"/>
    <s v="Finance Controller"/>
    <s v="70376888"/>
    <s v="Lead"/>
    <s v="Pune Facility"/>
    <s v="0035950020"/>
    <s v="Pune-F&amp;A"/>
    <s v="2000ESPF"/>
    <s v="0"/>
    <s v=""/>
    <s v="No"/>
    <s v="suryakant.mandalekar@amns.in"/>
    <s v="9420166909"/>
    <s v="22520"/>
    <s v="Dhruv Vyas"/>
    <s v="Anil Matoo"/>
    <s v="Praveen Kuruvalli"/>
    <s v="Dhruv Vyas"/>
    <n v="0"/>
  </r>
  <r>
    <n v="2194"/>
    <n v="20036674"/>
    <s v="Rahul Khule"/>
    <s v="AM/NS India"/>
    <s v="Onroll"/>
    <s v="M-11"/>
    <n v="11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Asst. 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78-08-22T00:00:00"/>
    <s v="45.00"/>
    <d v="2004-02-04T00:00:00"/>
    <d v="2036-08-31T00:00:00"/>
    <m/>
    <d v="2036-08-31T00:00:00"/>
    <n v="4729"/>
    <s v="B-"/>
    <s v="SSLC-1995"/>
    <s v="02.00"/>
    <s v="19.07"/>
    <s v="21.07"/>
    <s v="73800024"/>
    <s v="General Consumables"/>
    <s v="70319306"/>
    <s v="Asst. Section Officer"/>
    <s v="Pune Facility"/>
    <s v="0035950030"/>
    <s v="Pune - Stores"/>
    <s v="2000ESPF"/>
    <s v="20036403"/>
    <s v="Sanjay Kumbhar"/>
    <s v="Yes"/>
    <s v=""/>
    <s v="9822056554"/>
    <s v="827578"/>
    <s v="Dhruv Vyas"/>
    <s v="Anil Matoo"/>
    <s v="Praveen Kuruvalli"/>
    <s v="Dhruv Vyas"/>
    <n v="0"/>
  </r>
  <r>
    <n v="2242"/>
    <n v="20036748"/>
    <s v="Suresh Kadam"/>
    <s v="AM/NS India"/>
    <s v="Onroll"/>
    <s v="M-6"/>
    <n v="6"/>
    <m/>
    <s v="MM"/>
    <s v="M"/>
    <s v="Pune Facility"/>
    <n v="4"/>
    <s v="2023"/>
    <x v="6"/>
    <s v="24.08"/>
    <s v="Anil Matoo"/>
    <s v="Ashutosh Telang"/>
    <n v="6"/>
    <s v="HR &amp; Administration"/>
    <s v="Administration"/>
    <s v="24"/>
    <s v="Sr. Lead - Administration"/>
    <m/>
    <s v="Administration"/>
    <s v="Administration"/>
    <s v="Administration"/>
    <s v="Non Technical Support"/>
    <s v="Administration"/>
    <s v="Administration"/>
    <s v="74101001"/>
    <s v="Administration"/>
    <s v="Pune AMNS"/>
    <d v="1970-06-01T00:00:00"/>
    <s v="53.03"/>
    <d v="2005-04-11T00:00:00"/>
    <d v="2028-05-31T00:00:00"/>
    <m/>
    <d v="2028-05-31T00:00:00"/>
    <n v="1715"/>
    <s v="A-"/>
    <s v="BE-1993"/>
    <s v="09.01"/>
    <s v="18.05"/>
    <s v="27.06"/>
    <s v="73800072"/>
    <s v="Administration"/>
    <s v="70271104"/>
    <s v="Sr. Lead - Administration"/>
    <s v="Pune Facility"/>
    <s v="0035950019"/>
    <s v="Pune-Admin"/>
    <s v="2000ESPF"/>
    <s v="20037245"/>
    <s v="Mukund Jagirdar"/>
    <s v="No"/>
    <s v="suresh.kadam@amns.in"/>
    <s v="9158895880"/>
    <s v="22097"/>
    <s v="Dhruv Vyas"/>
    <s v="Anil Matoo"/>
    <s v="Praveen Kuruvalli"/>
    <s v="Dhruv Vyas"/>
    <n v="0"/>
  </r>
  <r>
    <n v="2243"/>
    <n v="20036749"/>
    <s v="Uday Dhamale"/>
    <s v="AM/NS India"/>
    <s v="Onroll"/>
    <s v="L-04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Asst.Store Keep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80-12-21T00:00:00"/>
    <s v="42.09"/>
    <d v="2005-04-12T00:00:00"/>
    <d v="2038-12-31T00:00:00"/>
    <m/>
    <d v="2038-12-31T00:00:00"/>
    <n v="5581"/>
    <s v="O-"/>
    <s v="BCom-2010 , MBA-2010"/>
    <s v="02.11"/>
    <s v="18.05"/>
    <s v="21.04"/>
    <s v="73800023"/>
    <s v="Raw Materials"/>
    <s v="73800048"/>
    <s v="Asst.Store Keeper"/>
    <s v="Pune Facility"/>
    <s v="0035950030"/>
    <s v="Pune - Stores"/>
    <s v="2000ESPF"/>
    <s v="20036934"/>
    <s v="Atul Patwardhan"/>
    <s v="No"/>
    <s v="uday.dhamale@amns.in"/>
    <s v="9604373261"/>
    <s v="21642"/>
    <s v="Dhruv Vyas"/>
    <s v="Anil Matoo"/>
    <s v="Praveen Kuruvalli"/>
    <s v="Dhruv Vyas"/>
    <n v="0"/>
  </r>
  <r>
    <n v="2250"/>
    <n v="20036757"/>
    <s v="Milind Chavan"/>
    <s v="AM/NS India"/>
    <s v="Onroll"/>
    <s v="M-7"/>
    <n v="7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GST"/>
    <s v="Non Technical Support"/>
    <s v="Finance &amp; Accounts"/>
    <s v="Taxation"/>
    <s v="73904002"/>
    <s v="Indirect Taxation"/>
    <s v="Pune AMNS"/>
    <d v="1970-05-15T00:00:00"/>
    <s v="53.04"/>
    <d v="2005-06-13T00:00:00"/>
    <d v="2028-05-31T00:00:00"/>
    <m/>
    <d v="2028-05-31T00:00:00"/>
    <n v="1715"/>
    <s v="B-"/>
    <s v="Diploma Equivalent-2015 , MBA-2015 , Cer"/>
    <s v="05.11"/>
    <s v="18.03"/>
    <s v="24.02"/>
    <s v="73800067"/>
    <s v="Excise"/>
    <s v="70318872"/>
    <s v="Lead"/>
    <s v="Pune Facility"/>
    <s v="0035950020"/>
    <s v="Pune-F&amp;A"/>
    <s v="2000ESPF"/>
    <s v="20037274"/>
    <s v="Imtiyazkhan Pathan"/>
    <s v="No"/>
    <s v="milind.chavan@amns.in"/>
    <s v="9158895849"/>
    <s v="21392"/>
    <s v="Dhruv Vyas"/>
    <s v="Anil Matoo"/>
    <s v="Praveen Kuruvalli"/>
    <s v="Dhruv Vyas"/>
    <n v="0"/>
  </r>
  <r>
    <n v="2282"/>
    <n v="20036803"/>
    <s v="Vilas Walunj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ection Manager"/>
    <m/>
    <s v="Procurement"/>
    <s v="Service and Contract"/>
    <s v="Purchase"/>
    <s v="Non Technical Support"/>
    <s v="Commercial"/>
    <s v="Purchase"/>
    <s v="73804001"/>
    <s v="Purchase"/>
    <s v="Pune AMNS"/>
    <d v="1979-11-26T00:00:00"/>
    <s v="43.09"/>
    <d v="2006-01-06T00:00:00"/>
    <d v="2037-11-30T00:00:00"/>
    <m/>
    <d v="2037-11-30T00:00:00"/>
    <n v="5185"/>
    <s v="O-"/>
    <s v="BSc-2009 , Diploma-2009"/>
    <s v="01.09"/>
    <s v="17.08"/>
    <s v="19.05"/>
    <s v="73800002"/>
    <s v="Procurement - Pune Asset"/>
    <s v="70319260"/>
    <s v="Section Manager"/>
    <s v="Pune Facility"/>
    <s v="0035950041"/>
    <s v="Pune-Procurement"/>
    <s v="2000ESPF"/>
    <s v="20006536"/>
    <s v="Mahesh Salunke"/>
    <s v="No"/>
    <s v="vilas.walunj@amns.in"/>
    <s v="9158895843"/>
    <s v="24748"/>
    <s v="Dhruv Vyas"/>
    <s v="Anil Matoo"/>
    <s v="Praveen Kuruvalli"/>
    <s v="Dhruv Vyas"/>
    <n v="0"/>
  </r>
  <r>
    <n v="2300"/>
    <n v="20036827"/>
    <s v="Pritam Jagtap"/>
    <s v="AM/NS India"/>
    <s v="Onroll"/>
    <s v="L-05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ASST. SECTION OFFICER"/>
    <m/>
    <s v="Finance &amp; Accounts - Pune"/>
    <s v="Finance &amp; Accounts"/>
    <s v="GST"/>
    <s v="Non Technical Support"/>
    <s v="Projects"/>
    <s v="Projects"/>
    <s v="72103036"/>
    <s v="Projects"/>
    <s v="Pune Facility"/>
    <d v="1984-06-24T00:00:00"/>
    <s v="39.02"/>
    <d v="2006-04-04T00:00:00"/>
    <d v="2042-06-30T00:00:00"/>
    <m/>
    <d v="2042-06-30T00:00:00"/>
    <n v="6858"/>
    <s v="AB-"/>
    <s v="Post Diploma Course-2005 , MBA-2005 , MA"/>
    <s v="02.09"/>
    <s v="17.05"/>
    <s v="20.02"/>
    <s v="73800021"/>
    <s v="Excise"/>
    <s v="73800256"/>
    <s v="ASST. SECTION OFFICER"/>
    <s v="Pune Facility"/>
    <s v="0035950020"/>
    <s v="Pune-F&amp;A"/>
    <s v="2000ESPF"/>
    <s v="20037274"/>
    <s v="Imtiyazkhan Pathan"/>
    <s v="No"/>
    <s v="pritam.jagtap@amns.in"/>
    <s v="9960406661"/>
    <s v="21960"/>
    <s v="Dhruv Vyas"/>
    <s v="Anil Matoo"/>
    <s v="Praveen Kuruvalli"/>
    <s v="Dhruv Vyas"/>
    <n v="0"/>
  </r>
  <r>
    <n v="2302"/>
    <n v="20036829"/>
    <s v="Sunil Hawaldar"/>
    <s v="AM/NS India"/>
    <s v="Onroll"/>
    <s v="M-6"/>
    <n v="6"/>
    <m/>
    <s v="MM"/>
    <s v="M"/>
    <s v="Pune Facility"/>
    <n v="4"/>
    <s v="2043"/>
    <x v="3"/>
    <s v="31.01"/>
    <s v="Hrishikesh Kamat"/>
    <s v="Hrishikesh Kamat"/>
    <n v="7"/>
    <s v="Procurement"/>
    <s v="Procurement"/>
    <s v="31"/>
    <s v="Section In charge - Purchase"/>
    <m/>
    <s v="Procurement"/>
    <s v="Mechanical Spares"/>
    <s v="Mechanical Spares"/>
    <s v="Non Technical Support"/>
    <s v="Commercial"/>
    <s v="Purchase"/>
    <s v="73804001"/>
    <s v="Purchase"/>
    <s v="Pune AMNS"/>
    <d v="1973-09-23T00:00:00"/>
    <s v="49.11"/>
    <d v="2006-04-10T00:00:00"/>
    <d v="2031-09-30T00:00:00"/>
    <m/>
    <d v="2031-09-30T00:00:00"/>
    <n v="2932"/>
    <s v="A-"/>
    <s v="Diploma-2009 , Certificate-2009 , SSLC-1"/>
    <s v="10.06"/>
    <s v="17.05"/>
    <s v="27.11"/>
    <s v="73800002"/>
    <s v="Procurement - Pune Asset"/>
    <s v="70271117"/>
    <s v="Section In charge - Purchase"/>
    <s v="Pune Facility"/>
    <s v="0035950041"/>
    <s v="Pune-Procurement"/>
    <s v="2000ESPF"/>
    <s v="20006536"/>
    <s v="Mahesh Salunke"/>
    <s v="No"/>
    <s v="sunil.hawaldar@amns.in"/>
    <s v="9158895840"/>
    <s v="21906"/>
    <s v="Dhruv Vyas"/>
    <s v="Anil Matoo"/>
    <s v="Praveen Kuruvalli"/>
    <s v="Dhruv Vyas"/>
    <n v="0"/>
  </r>
  <r>
    <n v="2315"/>
    <n v="20036844"/>
    <s v="Santosh Kumar Pandey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ASST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80-01-30T00:00:00"/>
    <s v="43.07"/>
    <d v="2006-06-01T00:00:00"/>
    <d v="2038-01-31T00:00:00"/>
    <m/>
    <d v="2038-01-31T00:00:00"/>
    <n v="5247"/>
    <s v="B-"/>
    <s v="SSLC-1995"/>
    <s v=""/>
    <s v="17.03"/>
    <s v="17.03"/>
    <s v="73800072"/>
    <s v="Administration"/>
    <s v="73800315"/>
    <s v="ASST. SECTION OFFICER"/>
    <s v="Pune Facility"/>
    <s v="0035950019"/>
    <s v="Pune-Admin"/>
    <s v="2000ESPF"/>
    <s v="20036748"/>
    <s v="Suresh Kadam"/>
    <s v="No"/>
    <s v="santoshkumar.pandey@amns.in"/>
    <s v="9960770196"/>
    <s v="22935"/>
    <s v="Dhruv Vyas"/>
    <s v="Anil Matoo"/>
    <s v="Praveen Kuruvalli"/>
    <s v="Dhruv Vyas"/>
    <n v="0"/>
  </r>
  <r>
    <n v="2316"/>
    <n v="20036845"/>
    <s v="Rupchand Yadav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 Section Officer - Tra"/>
    <m/>
    <s v="Pune Operations"/>
    <s v="Transport"/>
    <s v="Transport"/>
    <s v="Non Technical Support"/>
    <s v="Administration"/>
    <s v="Travel Services"/>
    <s v="74106002"/>
    <s v="Transport Operations"/>
    <s v="Pune Facility"/>
    <d v="1975-05-05T00:00:00"/>
    <s v="48.04"/>
    <d v="2006-06-01T00:00:00"/>
    <d v="2033-05-31T00:00:00"/>
    <m/>
    <d v="2033-05-31T00:00:00"/>
    <n v="3541"/>
    <s v="O-"/>
    <s v="Intermediate-1993"/>
    <s v=""/>
    <s v="17.03"/>
    <s v="17.03"/>
    <s v="73800072"/>
    <s v="Administration"/>
    <s v="73800316"/>
    <s v="Jr. Section Officer - Tra"/>
    <s v="Pune Facility"/>
    <s v="0035950019"/>
    <s v="Pune-Admin"/>
    <s v="2000ESPF"/>
    <s v="20036748"/>
    <s v="Suresh Kadam"/>
    <s v="No"/>
    <s v="rupchand.yadav@amns.in"/>
    <s v="9421015349"/>
    <s v="24783"/>
    <s v="Dhruv Vyas"/>
    <s v="Anil Matoo"/>
    <s v="Praveen Kuruvalli"/>
    <s v="Dhruv Vyas"/>
    <n v="0"/>
  </r>
  <r>
    <n v="2329"/>
    <n v="20036863"/>
    <s v="Pradeep Kamble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Lead - Procurement"/>
    <m/>
    <s v="Procurement"/>
    <s v="Electrical Spares"/>
    <s v="Purchase"/>
    <s v="Non Technical Support"/>
    <s v="Commercial"/>
    <s v="Purchase"/>
    <s v="73804001"/>
    <s v="Purchase"/>
    <s v="Pune AMNS"/>
    <d v="1981-11-27T00:00:00"/>
    <s v="41.09"/>
    <d v="2006-07-03T00:00:00"/>
    <d v="2039-11-30T00:00:00"/>
    <m/>
    <d v="2039-11-30T00:00:00"/>
    <n v="5915"/>
    <s v="A-"/>
    <s v="Intermediate-2002 , BCom-2002"/>
    <s v="02.02"/>
    <s v="17.02"/>
    <s v="19.04"/>
    <s v="73800002"/>
    <s v="Procurement - Pune Asset"/>
    <s v="70273872"/>
    <s v="ASST. SECTION MANAGER"/>
    <s v="Pune Facility"/>
    <s v="0035950041"/>
    <s v="Pune-Procurement"/>
    <s v="2000ESPF"/>
    <s v="20006536"/>
    <s v="Mahesh Salunke"/>
    <s v="No"/>
    <s v="pradeep.kamble@amns.in"/>
    <s v="9158895846"/>
    <s v="22119"/>
    <s v="Dhruv Vyas"/>
    <s v="Anil Matoo"/>
    <s v="Praveen Kuruvalli"/>
    <s v="Dhruv Vyas"/>
    <n v="0"/>
  </r>
  <r>
    <n v="2333"/>
    <n v="20036873"/>
    <s v="Vrushali Nagare"/>
    <s v="AM/NS India"/>
    <s v="Onroll"/>
    <s v="M-8"/>
    <n v="8"/>
    <m/>
    <s v="JM"/>
    <s v="F"/>
    <s v="Pune Facility"/>
    <n v="4"/>
    <s v="2031"/>
    <x v="10"/>
    <s v="14.01"/>
    <s v="Ranjan Dhar"/>
    <s v="Alain Legrix De La Salle"/>
    <n v="3"/>
    <s v="Sales &amp; Marketing"/>
    <s v="Sales &amp; Marketing"/>
    <s v="14"/>
    <s v="Sr. Section Officer"/>
    <m/>
    <s v="Export"/>
    <s v="Export"/>
    <s v="Export"/>
    <s v="Non Technical Support"/>
    <s v="R&amp; D and QA/QC"/>
    <s v="QA &amp; QC"/>
    <s v="72103034"/>
    <s v="QA &amp; QC"/>
    <s v="Pune AMNS"/>
    <d v="1983-09-23T00:00:00"/>
    <s v="39.11"/>
    <d v="2006-08-01T00:00:00"/>
    <d v="2041-09-30T00:00:00"/>
    <m/>
    <d v="2041-09-30T00:00:00"/>
    <n v="6585"/>
    <s v="B-"/>
    <s v="BSc-2010 , PG Diploma in Management-2010"/>
    <s v="03.02"/>
    <s v="17.01"/>
    <s v="20.03"/>
    <s v="70495379"/>
    <s v="Chief Marketing Officer - AMNS ME FZE"/>
    <s v="73800161"/>
    <s v="KAM - Export Sales"/>
    <s v="Pune Facility"/>
    <s v="0035950028"/>
    <s v="Pune- QA/QC"/>
    <s v="2000ESPF"/>
    <s v="20055663"/>
    <s v="Karamath Syed"/>
    <s v="No"/>
    <s v="vrushali.nagare@amns.in"/>
    <s v="9158892124"/>
    <s v="22755"/>
    <s v="Dhruv Vyas"/>
    <s v="Anil Matoo"/>
    <s v="Praveen Kuruvalli"/>
    <s v="Dhruv Vyas"/>
    <n v="0"/>
  </r>
  <r>
    <n v="2348"/>
    <n v="20036894"/>
    <s v="Nand Kumar Jha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ection Engineer - Purchase"/>
    <m/>
    <s v="Procurement"/>
    <s v="Service and Contract"/>
    <s v="Purchase"/>
    <s v="Non Technical Support"/>
    <s v="Administration"/>
    <s v="Travel Services"/>
    <s v="74106002"/>
    <s v="Transport Operations"/>
    <s v="Pune AMNS"/>
    <d v="1968-10-02T00:00:00"/>
    <s v="54.11"/>
    <d v="2006-10-24T00:00:00"/>
    <d v="2026-10-31T00:00:00"/>
    <m/>
    <d v="2026-10-31T00:00:00"/>
    <n v="1137"/>
    <s v="B-"/>
    <s v="Certificate-2004 , Certificate-2004 , BT"/>
    <s v="30.00"/>
    <s v="16.10"/>
    <s v="46.11"/>
    <s v="73800002"/>
    <s v="Procurement - Pune Asset"/>
    <s v="70319669"/>
    <s v="Section Engineer - Purchase"/>
    <s v="Pune Facility"/>
    <s v="0035950041"/>
    <s v="Pune-Procurement"/>
    <s v="2000ESPF"/>
    <s v="20006536"/>
    <s v="Mahesh Salunke"/>
    <s v="No"/>
    <s v="nandkumar.jha@amns.in"/>
    <s v="9158895882"/>
    <s v="22032"/>
    <s v="Dhruv Vyas"/>
    <s v="Anil Matoo"/>
    <s v="Praveen Kuruvalli"/>
    <s v="Dhruv Vyas"/>
    <n v="0"/>
  </r>
  <r>
    <n v="2356"/>
    <n v="20036904"/>
    <s v="Prakash Gavhane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GST"/>
    <s v="Non Technical Support"/>
    <s v="Finance &amp; Accounts"/>
    <s v="Taxation"/>
    <s v="73904002"/>
    <s v="Indirect Taxation"/>
    <s v="Pune AMNS"/>
    <d v="1978-08-26T00:00:00"/>
    <s v="45.00"/>
    <d v="2006-12-01T00:00:00"/>
    <d v="2036-08-31T00:00:00"/>
    <m/>
    <d v="2036-08-31T00:00:00"/>
    <n v="4729"/>
    <s v="B-"/>
    <s v="BCom-2002"/>
    <s v="00.08"/>
    <s v="16.09"/>
    <s v="17.05"/>
    <s v="73800067"/>
    <s v="Excise"/>
    <s v="70376865"/>
    <s v="Lead"/>
    <s v="Pune Facility"/>
    <s v="0035950020"/>
    <s v="Pune-F&amp;A"/>
    <s v="2000ESPF"/>
    <s v="20036757"/>
    <s v="Milind Chavan"/>
    <s v="No"/>
    <s v="prakash.gavhane@amns.in"/>
    <s v="7798986819"/>
    <s v="21777"/>
    <s v="Dhruv Vyas"/>
    <s v="Anil Matoo"/>
    <s v="Praveen Kuruvalli"/>
    <s v="Dhruv Vyas"/>
    <n v="0"/>
  </r>
  <r>
    <n v="2358"/>
    <n v="20036908"/>
    <s v="Sachin Chavan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r. Section Officer"/>
    <m/>
    <s v="Procurement"/>
    <s v="Row materail and Consumables"/>
    <s v="Purchase"/>
    <s v="Non Technical Support"/>
    <s v="Commercial"/>
    <s v="Purchase"/>
    <s v="73804001"/>
    <s v="Purchase"/>
    <s v="Pune AMNS"/>
    <d v="1983-06-01T00:00:00"/>
    <s v="40.03"/>
    <d v="2006-12-25T00:00:00"/>
    <d v="2041-05-31T00:00:00"/>
    <m/>
    <d v="2041-05-31T00:00:00"/>
    <n v="6463"/>
    <s v="O-"/>
    <s v="BCom-2006 , MCom-2006"/>
    <s v=""/>
    <s v="16.08"/>
    <s v="16.08"/>
    <s v="73800002"/>
    <s v="Procurement - Pune Asset"/>
    <s v="70319270"/>
    <s v="Sr. Section Officer"/>
    <s v="Pune Facility"/>
    <s v="0035950041"/>
    <s v="Pune-Procurement"/>
    <s v="2000ESPF"/>
    <s v="20006536"/>
    <s v="Mahesh Salunke"/>
    <s v="No"/>
    <s v="sachin.chavan@amns.in"/>
    <s v="7798986811"/>
    <s v="21394"/>
    <s v="Dhruv Vyas"/>
    <s v="Anil Matoo"/>
    <s v="Praveen Kuruvalli"/>
    <s v="Dhruv Vyas"/>
    <n v="0"/>
  </r>
  <r>
    <n v="2371"/>
    <n v="20036929"/>
    <s v="Shiv Kumar Bharadwaj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West"/>
    <s v="Hypermart"/>
    <s v="Domestic"/>
    <s v="Non Technical Support"/>
    <s v="Sales &amp; Marketing"/>
    <s v="Sales"/>
    <s v="73104004"/>
    <s v="OEM Sales"/>
    <s v="Pune AMNS"/>
    <d v="1971-07-15T00:00:00"/>
    <s v="52.02"/>
    <d v="2007-02-12T00:00:00"/>
    <d v="2029-07-31T00:00:00"/>
    <m/>
    <d v="2029-07-31T00:00:00"/>
    <n v="2141"/>
    <s v="B-"/>
    <s v="BA-1994 , Diploma-1994"/>
    <s v="11.08"/>
    <s v="16.07"/>
    <s v="28.02"/>
    <s v="00048138"/>
    <s v="Hypermart west"/>
    <s v="70277711"/>
    <s v="Sales Manager - Hypermart"/>
    <s v="Pune Facility"/>
    <s v="0035950073"/>
    <s v="Pune - S&amp;D Export"/>
    <s v="2000ESPF"/>
    <s v="20056847"/>
    <s v="Vikas Chotia"/>
    <s v="No"/>
    <s v="shiv.bhardwaj@amns.in"/>
    <s v="9930136640"/>
    <s v="21232"/>
    <s v="Dhruv Vyas"/>
    <s v="Anil Matoo"/>
    <s v="Praveen Kuruvalli"/>
    <s v="Dhruv Vyas"/>
    <n v="0"/>
  </r>
  <r>
    <n v="2374"/>
    <n v="20036934"/>
    <s v="Atul Patwardhan"/>
    <s v="AM/NS India"/>
    <s v="Onroll"/>
    <s v="M-8"/>
    <n v="8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MANAG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70-02-23T00:00:00"/>
    <s v="53.06"/>
    <d v="2007-02-20T00:00:00"/>
    <d v="2028-02-29T00:00:00"/>
    <m/>
    <d v="2028-02-29T00:00:00"/>
    <n v="1623"/>
    <s v="A-"/>
    <s v="MCom-1992"/>
    <s v="12.02"/>
    <s v="16.06"/>
    <s v="28.08"/>
    <s v="73800023"/>
    <s v="Raw Materials"/>
    <s v="73800045"/>
    <s v="SECTION MANAGER"/>
    <s v="Pune Facility"/>
    <s v="0035950030"/>
    <s v="Pune - Stores"/>
    <s v="2000ESPF"/>
    <s v="20006536"/>
    <s v="Mahesh Salunke"/>
    <s v="No"/>
    <s v="atul.patwardhan@amns.in"/>
    <s v="9158895928"/>
    <s v="23479"/>
    <s v="Dhruv Vyas"/>
    <s v="Anil Matoo"/>
    <s v="Praveen Kuruvalli"/>
    <s v="Dhruv Vyas"/>
    <n v="0"/>
  </r>
  <r>
    <n v="2378"/>
    <n v="20036940"/>
    <s v="Jyoti Phadtale"/>
    <s v="AM/NS India"/>
    <s v="Onroll"/>
    <s v="M-10"/>
    <n v="10"/>
    <m/>
    <s v="JM"/>
    <s v="F"/>
    <s v="Pune Facility"/>
    <n v="4"/>
    <s v="2043"/>
    <x v="3"/>
    <s v="31.01"/>
    <s v="Hrishikesh Kamat"/>
    <s v="Hrishikesh Kamat"/>
    <n v="7"/>
    <s v="Procurement"/>
    <s v="Procurement"/>
    <s v="31"/>
    <s v="Section Officer"/>
    <m/>
    <s v="Procurement"/>
    <s v="Service and Contract"/>
    <s v="Purchase"/>
    <s v="Non Technical Support"/>
    <s v="Finance &amp; Accounts"/>
    <s v="Finance &amp; Accounts"/>
    <s v="73901003"/>
    <s v="Accounts Payable"/>
    <s v="Pune AMNS"/>
    <d v="1981-02-24T00:00:00"/>
    <s v="42.06"/>
    <d v="2007-03-01T00:00:00"/>
    <d v="2039-02-28T00:00:00"/>
    <m/>
    <d v="2039-02-28T00:00:00"/>
    <n v="5640"/>
    <s v="O-"/>
    <s v="MCom-2005 , Certificate-2005 , BCom-2001"/>
    <s v="04.11"/>
    <s v="16.06"/>
    <s v="21.05"/>
    <s v="73800002"/>
    <s v="Procurement - Pune Asset"/>
    <s v="73800082"/>
    <s v="Section Officer"/>
    <s v="Pune Facility"/>
    <s v="0035950041"/>
    <s v="Pune-Procurement"/>
    <s v="2000ESPF"/>
    <s v="20006536"/>
    <s v="Mahesh Salunke"/>
    <s v="No"/>
    <s v="jyoti.gaware@amns.in"/>
    <s v="9158229060"/>
    <s v="21780"/>
    <s v="Dhruv Vyas"/>
    <s v="Anil Matoo"/>
    <s v="Praveen Kuruvalli"/>
    <s v="Dhruv Vyas"/>
    <n v="0"/>
  </r>
  <r>
    <n v="2379"/>
    <n v="20036941"/>
    <s v="Sagar Timbadia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r. Section Officer"/>
    <m/>
    <s v="Procurement"/>
    <s v="Mechanical Spares"/>
    <s v="Purchase"/>
    <s v="Non Technical Support"/>
    <s v="Commercial"/>
    <s v="Purchase"/>
    <s v="73804001"/>
    <s v="Purchase"/>
    <s v="Pune AMNS"/>
    <d v="1986-04-07T00:00:00"/>
    <s v="37.05"/>
    <d v="2007-03-01T00:00:00"/>
    <d v="2044-04-30T00:00:00"/>
    <m/>
    <d v="2044-04-30T00:00:00"/>
    <n v="7528"/>
    <s v="B-"/>
    <s v="BSc-2011 , Certificate-2011"/>
    <s v=""/>
    <s v="16.06"/>
    <s v="16.06"/>
    <s v="73800002"/>
    <s v="Procurement - Pune Asset"/>
    <s v="70273911"/>
    <s v="Sr. Section Officer"/>
    <s v="Pune Facility"/>
    <s v="0035950041"/>
    <s v="Pune-Procurement"/>
    <s v="2000ESPF"/>
    <s v="20006536"/>
    <s v="Mahesh Salunke"/>
    <s v="No"/>
    <s v="sagar.timbadia@amns.in"/>
    <s v="7798986812"/>
    <s v="24525"/>
    <s v="Dhruv Vyas"/>
    <s v="Anil Matoo"/>
    <s v="Praveen Kuruvalli"/>
    <s v="Dhruv Vyas"/>
    <n v="0"/>
  </r>
  <r>
    <n v="2402"/>
    <n v="20036977"/>
    <s v="Anisha Bansode"/>
    <s v="AM/NS India"/>
    <s v="Onroll"/>
    <s v="M-10"/>
    <n v="10"/>
    <m/>
    <s v="JM"/>
    <s v="F"/>
    <s v="Pune Facility"/>
    <n v="4"/>
    <s v="2023"/>
    <x v="6"/>
    <s v="24.08"/>
    <s v="Anil Matoo"/>
    <s v="Ashutosh Telang"/>
    <n v="6"/>
    <s v="HR &amp; Administration"/>
    <s v="Administration"/>
    <s v="24"/>
    <s v="Section Officer"/>
    <m/>
    <s v="Pune Operations"/>
    <s v="Administration"/>
    <s v="Front Office Services"/>
    <s v="Non Technical Support"/>
    <s v="Administration"/>
    <s v="Customer Operations"/>
    <s v="74102004"/>
    <s v="Front Office Services"/>
    <s v="Pune AMNS"/>
    <d v="1983-06-02T00:00:00"/>
    <s v="40.03"/>
    <d v="2007-06-25T00:00:00"/>
    <d v="2041-06-30T00:00:00"/>
    <m/>
    <d v="2041-06-30T00:00:00"/>
    <n v="6493"/>
    <s v="A-"/>
    <s v="BCom-2006"/>
    <s v="00.05"/>
    <s v="16.02"/>
    <s v="16.07"/>
    <s v="73800072"/>
    <s v="Administration"/>
    <s v="73800275"/>
    <s v="Section Officer"/>
    <s v="Pune Facility"/>
    <s v="0035950019"/>
    <s v="Pune-Admin"/>
    <s v="2000ESPF"/>
    <s v="20036748"/>
    <s v="Suresh Kadam"/>
    <s v="No"/>
    <s v="anisha.bansode@amns.in"/>
    <s v="9881397441"/>
    <s v="21162"/>
    <s v="Dhruv Vyas"/>
    <s v="Anil Matoo"/>
    <s v="Praveen Kuruvalli"/>
    <s v="Dhruv Vyas"/>
    <n v="0"/>
  </r>
  <r>
    <n v="2404"/>
    <n v="20036980"/>
    <s v="Vijay Nebapure"/>
    <s v="AM/NS India"/>
    <s v="Onroll"/>
    <s v="M-9"/>
    <n v="9"/>
    <m/>
    <s v="JM"/>
    <s v="M"/>
    <s v="Pune Facility"/>
    <n v="4"/>
    <s v="2084"/>
    <x v="17"/>
    <s v="23.09"/>
    <s v="Anil Matoo"/>
    <s v="Ashutosh Telang"/>
    <n v="6"/>
    <s v="HR &amp; Administration"/>
    <s v="Industrial Relations"/>
    <s v="23"/>
    <s v="Section Officer"/>
    <m/>
    <s v="Pune Operations"/>
    <s v="Administration"/>
    <s v="Welfer Officer"/>
    <s v="Non Technical Support"/>
    <s v="Human Resources Management"/>
    <s v="Payroll Shared Services"/>
    <s v="73509002"/>
    <s v="Payroll Administration"/>
    <s v="Pune AMNS"/>
    <d v="1982-06-12T00:00:00"/>
    <s v="41.03"/>
    <d v="2007-07-02T00:00:00"/>
    <d v="2040-06-30T00:00:00"/>
    <m/>
    <d v="2040-06-30T00:00:00"/>
    <n v="6128"/>
    <s v="AB-"/>
    <s v="MA-2013 , MPM-2013"/>
    <s v="03.00"/>
    <s v="16.02"/>
    <s v="19.02"/>
    <s v="73800070"/>
    <s v="Industrial Relations &amp; Pa"/>
    <s v="70376876"/>
    <s v="Section Officer"/>
    <s v="Pune Facility"/>
    <s v="0035950019"/>
    <s v="Pune-Admin"/>
    <s v="2000ESPF"/>
    <s v="20036591"/>
    <s v="Deepak Nikumbh"/>
    <s v="No"/>
    <s v="vijay.nebapure@amns.in"/>
    <s v="9158895144"/>
    <s v="22827"/>
    <s v="Dhruv Vyas"/>
    <s v="Anil Matoo"/>
    <s v="Praveen Kuruvalli"/>
    <s v="Dhruv Vyas"/>
    <n v="0"/>
  </r>
  <r>
    <n v="2418"/>
    <n v="20037003"/>
    <s v="Sandip Deshmukh"/>
    <s v="AM/NS India"/>
    <s v="Onroll"/>
    <s v="L-05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82-06-01T00:00:00"/>
    <s v="41.03"/>
    <d v="2007-08-11T00:00:00"/>
    <d v="2040-05-31T00:00:00"/>
    <m/>
    <d v="2040-05-31T00:00:00"/>
    <n v="6098"/>
    <s v="A-"/>
    <s v="BA-2008 , Certificate-2008 , Certificate"/>
    <s v="03.01"/>
    <s v="16.01"/>
    <s v="19.02"/>
    <s v="73800023"/>
    <s v="Raw Materials"/>
    <s v="70273912"/>
    <s v="SECTION OFFICER"/>
    <s v="Pune Facility"/>
    <s v="0035950030"/>
    <s v="Pune - Stores"/>
    <s v="2000ESPF"/>
    <s v="20036934"/>
    <s v="Atul Patwardhan"/>
    <s v="No"/>
    <s v="sandip.deshmukh@amns.in"/>
    <s v="8108098084"/>
    <s v="21618"/>
    <s v="Dhruv Vyas"/>
    <s v="Anil Matoo"/>
    <s v="Praveen Kuruvalli"/>
    <s v="Dhruv Vyas"/>
    <n v="0"/>
  </r>
  <r>
    <n v="2425"/>
    <n v="20037017"/>
    <s v="Manisha Raut"/>
    <s v="AM/NS India"/>
    <s v="Onroll"/>
    <s v="M-10"/>
    <n v="10"/>
    <m/>
    <s v="JM"/>
    <s v="F"/>
    <s v="Pune Facility"/>
    <n v="4"/>
    <s v="2023"/>
    <x v="6"/>
    <s v="24.08"/>
    <s v="Anil Matoo"/>
    <s v="Ashutosh Telang"/>
    <n v="6"/>
    <s v="HR &amp; Administration"/>
    <s v="Administration"/>
    <s v="24"/>
    <s v="Section Officer"/>
    <m/>
    <s v="Pune Operations"/>
    <s v="Administration"/>
    <s v="Admin &amp; Front Office Services"/>
    <s v="Non Technical Support"/>
    <s v="Administration"/>
    <s v="Customer Operations"/>
    <s v="74102004"/>
    <s v="Front Office Services"/>
    <s v="Pune AMNS"/>
    <d v="1974-09-26T00:00:00"/>
    <s v="48.11"/>
    <d v="2007-09-04T00:00:00"/>
    <d v="2032-09-30T00:00:00"/>
    <m/>
    <d v="2032-09-30T00:00:00"/>
    <n v="3298"/>
    <s v="B-"/>
    <s v="Intermediate-1993"/>
    <s v="02.09"/>
    <s v="16.00"/>
    <s v="18.09"/>
    <s v="73800072"/>
    <s v="Administration"/>
    <s v="70376861"/>
    <s v="Section Officer"/>
    <s v="Pune Facility"/>
    <s v="0035950019"/>
    <s v="Pune-Admin"/>
    <s v="2000ESPF"/>
    <s v="20036748"/>
    <s v="Suresh Kadam"/>
    <s v="No"/>
    <s v="manisha.raut@amns.in"/>
    <s v="9158895754"/>
    <s v="23755"/>
    <s v="Dhruv Vyas"/>
    <s v="Anil Matoo"/>
    <s v="Praveen Kuruvalli"/>
    <s v="Dhruv Vyas"/>
    <n v="0"/>
  </r>
  <r>
    <n v="2426"/>
    <n v="20037020"/>
    <s v="Shripad Sudame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Lead"/>
    <m/>
    <s v="Stores &amp; Warehouse"/>
    <s v="Stores &amp; Warehouse"/>
    <s v="Documentation"/>
    <s v="Non Technical Support"/>
    <s v="Finance &amp; Accounts"/>
    <s v="Finance &amp; Accounts"/>
    <s v="73901003"/>
    <s v="Accounts Payable"/>
    <s v="Pune AMNS"/>
    <d v="1968-12-23T00:00:00"/>
    <s v="54.08"/>
    <d v="2007-09-19T00:00:00"/>
    <d v="2026-12-31T00:00:00"/>
    <m/>
    <d v="2026-12-31T00:00:00"/>
    <n v="1198"/>
    <s v="A-"/>
    <s v="BCom-1991"/>
    <s v="15.11"/>
    <s v="16.00"/>
    <s v="31.10"/>
    <s v="73800023"/>
    <s v="Raw Materials"/>
    <s v="70376866"/>
    <s v="Lead"/>
    <s v="Pune Facility"/>
    <s v="0035950020"/>
    <s v="Pune-F&amp;A"/>
    <s v="2000ESPF"/>
    <s v="20036934"/>
    <s v="Atul Patwardhan"/>
    <s v="No"/>
    <s v="shripad.sudame@amns.in"/>
    <s v="9922913610"/>
    <s v="24377"/>
    <s v="Dhruv Vyas"/>
    <s v="Anil Matoo"/>
    <s v="Praveen Kuruvalli"/>
    <s v="Dhruv Vyas"/>
    <n v="0"/>
  </r>
  <r>
    <n v="2439"/>
    <n v="20037044"/>
    <s v="Vikas Ahankari"/>
    <s v="AM/NS India"/>
    <s v="Onroll"/>
    <s v="M-6"/>
    <n v="6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West"/>
    <s v="Hypermart"/>
    <s v="National Sales"/>
    <s v="Non Technical Support"/>
    <s v="Sales &amp; Marketing"/>
    <s v="Sales"/>
    <s v="73104004"/>
    <s v="OEM Sales"/>
    <s v="Pune AMNS"/>
    <d v="1978-05-20T00:00:00"/>
    <s v="45.04"/>
    <d v="2008-01-21T00:00:00"/>
    <d v="2036-05-31T00:00:00"/>
    <m/>
    <d v="2036-05-31T00:00:00"/>
    <n v="4637"/>
    <s v="A-"/>
    <s v="BE-1999"/>
    <s v="05.10"/>
    <s v="15.07"/>
    <s v="21.05"/>
    <s v="00048138"/>
    <s v="Hypermart west"/>
    <s v="70271023"/>
    <s v="Sales Manager - Hypermart"/>
    <s v="Pune Facility"/>
    <s v="0035950073"/>
    <s v="Pune - S&amp;D Export"/>
    <s v="2000ESPF"/>
    <s v="20056847"/>
    <s v="Vikas Chotia"/>
    <s v="No"/>
    <s v="vikas.ahankari@amns.in"/>
    <s v="9930136637"/>
    <s v="21041"/>
    <s v="Dhruv Vyas"/>
    <s v="Anil Matoo"/>
    <s v="Praveen Kuruvalli"/>
    <s v="Dhruv Vyas"/>
    <n v="0"/>
  </r>
  <r>
    <n v="2447"/>
    <n v="20037068"/>
    <s v="Ishwar Pingale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78-06-06T00:00:00"/>
    <s v="45.03"/>
    <d v="2008-03-20T00:00:00"/>
    <d v="2036-06-30T00:00:00"/>
    <m/>
    <d v="2036-06-30T00:00:00"/>
    <n v="4667"/>
    <s v="B-"/>
    <s v="MBA-2010 , BA-2010"/>
    <s v="02.05"/>
    <s v="15.06"/>
    <s v="17.10"/>
    <s v="73800024"/>
    <s v="General Consumables"/>
    <s v="70273914"/>
    <s v="Section Officer"/>
    <s v="Pune Facility"/>
    <s v="0035950030"/>
    <s v="Pune - Stores"/>
    <s v="2000ESPF"/>
    <s v="20036403"/>
    <s v="Sanjay Kumbhar"/>
    <s v="No"/>
    <s v="ishwar.pingale@amns.in"/>
    <s v="9604378396"/>
    <s v="23502"/>
    <s v="Dhruv Vyas"/>
    <s v="Anil Matoo"/>
    <s v="Praveen Kuruvalli"/>
    <s v="Dhruv Vyas"/>
    <n v="0"/>
  </r>
  <r>
    <n v="2449"/>
    <n v="20037070"/>
    <s v="Juber Shaikh"/>
    <s v="AM/NS India"/>
    <s v="Onroll"/>
    <s v="L-05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Asst.Indirect Tax"/>
    <m/>
    <s v="Finance &amp; Accounts - Pune"/>
    <s v="Finance &amp; Accounts"/>
    <s v="GST"/>
    <s v="Non Technical Support"/>
    <s v="Finance &amp; Accounts"/>
    <s v="Taxation"/>
    <s v="73904002"/>
    <s v="Indirect Taxation"/>
    <s v="Pune Facility"/>
    <d v="1986-01-20T00:00:00"/>
    <s v="37.07"/>
    <d v="2008-04-01T00:00:00"/>
    <d v="2044-01-31T00:00:00"/>
    <m/>
    <d v="2044-01-31T00:00:00"/>
    <n v="7438"/>
    <s v="O-"/>
    <s v="BCom-2006"/>
    <s v="00.03"/>
    <s v="15.05"/>
    <s v="15.08"/>
    <s v="73800021"/>
    <s v="Excise"/>
    <s v="70273915"/>
    <s v="Asst.Indirect Tax"/>
    <s v="Pune Facility"/>
    <s v="0035950020"/>
    <s v="Pune-F&amp;A"/>
    <s v="2000ESPF"/>
    <s v="20037274"/>
    <s v="Imtiyazkhan Pathan"/>
    <s v="No"/>
    <s v="juber.shaikh@amns.in"/>
    <s v="8552938899"/>
    <s v="24063"/>
    <s v="Dhruv Vyas"/>
    <s v="Anil Matoo"/>
    <s v="Praveen Kuruvalli"/>
    <s v="Dhruv Vyas"/>
    <n v="0"/>
  </r>
  <r>
    <n v="2450"/>
    <n v="20037071"/>
    <s v="Amit Chandaliy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Export Sales"/>
    <m/>
    <s v="Coated Sales"/>
    <s v="Coated Sales"/>
    <s v=""/>
    <s v="Non Technical Support"/>
    <s v="Sales &amp; Marketing"/>
    <s v="Sales"/>
    <s v="73104004"/>
    <s v="OEM Sales"/>
    <s v="Mumbai"/>
    <d v="1984-05-14T00:00:00"/>
    <s v="39.04"/>
    <d v="2008-04-01T00:00:00"/>
    <d v="2042-05-31T00:00:00"/>
    <m/>
    <d v="2042-05-31T00:00:00"/>
    <n v="6828"/>
    <s v="A-"/>
    <s v="B Pharma-2008 , PG Diploma-2008"/>
    <s v=""/>
    <s v="15.05"/>
    <s v="15.05"/>
    <s v="00043882"/>
    <s v="International Sales"/>
    <s v="70372450"/>
    <s v="Head Coated Sales"/>
    <s v="Hazira"/>
    <s v="0031950057"/>
    <s v="HZ-HRC - Marketing"/>
    <s v="2000HWO"/>
    <s v="20007104"/>
    <s v="Ranjan Dhar"/>
    <s v="No"/>
    <s v="amit.chandaliya@amns.in"/>
    <s v="9930136644"/>
    <s v="21339"/>
    <s v="Dhruv Vyas"/>
    <s v="Anil Matoo"/>
    <s v="Praveen Kuruvalli"/>
    <s v="Dhruv Vyas"/>
    <n v="0"/>
  </r>
  <r>
    <n v="2452"/>
    <n v="20037074"/>
    <s v="Balasaheb Mahale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69-06-06T00:00:00"/>
    <s v="54.03"/>
    <d v="2008-04-02T00:00:00"/>
    <d v="2027-06-30T00:00:00"/>
    <m/>
    <d v="2027-06-30T00:00:00"/>
    <n v="1379"/>
    <s v="O-"/>
    <s v="BCom-1991"/>
    <s v="15.02"/>
    <s v="15.05"/>
    <s v="30.07"/>
    <s v="73800024"/>
    <s v="General Consumables"/>
    <s v="70319307"/>
    <s v="Section Officer"/>
    <s v="Pune Facility"/>
    <s v="0035950030"/>
    <s v="Pune - Stores"/>
    <s v="2000ESPF"/>
    <s v="20036403"/>
    <s v="Sanjay Kumbhar"/>
    <s v="No"/>
    <s v="balasaheb.mahale@amns.in"/>
    <s v="9766654569"/>
    <s v="22466"/>
    <s v="Dhruv Vyas"/>
    <s v="Anil Matoo"/>
    <s v="Praveen Kuruvalli"/>
    <s v="Dhruv Vyas"/>
    <n v="0"/>
  </r>
  <r>
    <n v="2455"/>
    <n v="20037079"/>
    <s v="Prashant Zalke"/>
    <s v="AM/NS India"/>
    <s v="Onroll"/>
    <s v="M-9"/>
    <n v="9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Sr. Section Officer"/>
    <m/>
    <s v="West"/>
    <s v="Hypermart"/>
    <s v="Domestic"/>
    <s v="Non Technical Support"/>
    <s v="Sales &amp; Marketing"/>
    <s v="Sales &amp; Marketing"/>
    <s v="73101001"/>
    <s v="Sales &amp; Marketing"/>
    <s v="Pune AMNS"/>
    <d v="1981-07-23T00:00:00"/>
    <s v="42.01"/>
    <d v="2008-04-12T00:00:00"/>
    <d v="2039-07-31T00:00:00"/>
    <m/>
    <d v="2039-07-31T00:00:00"/>
    <n v="5793"/>
    <s v="B-"/>
    <s v="Intermediate-1999"/>
    <s v="01.04"/>
    <s v="15.05"/>
    <s v="16.09"/>
    <s v="00048138"/>
    <s v="Hypermart west"/>
    <s v="70277713"/>
    <s v="Sales Manager - Hypermart"/>
    <s v="Pune Facility"/>
    <s v="0035950073"/>
    <s v="Pune - S&amp;D Export"/>
    <s v="2000ESPF"/>
    <s v="20056847"/>
    <s v="Vikas Chotia"/>
    <s v="No"/>
    <s v="prashant.zalke@amns.in"/>
    <s v="9158895817"/>
    <s v="24808"/>
    <s v="Dhruv Vyas"/>
    <s v="Anil Matoo"/>
    <s v="Praveen Kuruvalli"/>
    <s v="Dhruv Vyas"/>
    <n v="0"/>
  </r>
  <r>
    <n v="2456"/>
    <n v="20037081"/>
    <s v="Savio Lainez"/>
    <s v="AM/NS India"/>
    <s v="Onroll"/>
    <s v="M-4"/>
    <n v="4"/>
    <m/>
    <s v="S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Head - Sales &amp; Marketing, Pune"/>
    <m/>
    <s v="Coated Sales"/>
    <s v="National Sales"/>
    <s v="National Sales"/>
    <s v="Non Technical Support"/>
    <s v="Human Resources Management"/>
    <s v="Human Resources Management"/>
    <s v="73501001"/>
    <s v="Human Resources"/>
    <s v="Mumbai"/>
    <d v="1966-07-14T00:00:00"/>
    <s v="57.02"/>
    <d v="2008-04-24T00:00:00"/>
    <d v="2024-07-31T00:00:00"/>
    <m/>
    <d v="2024-07-31T00:00:00"/>
    <n v="315"/>
    <s v="A-"/>
    <s v="BSc-1993 , Diploma Equivalent-1993"/>
    <s v="20.07"/>
    <s v="15.04"/>
    <s v="35.11"/>
    <s v="70265784"/>
    <s v="Sales &amp; Marketing - Pune Asset"/>
    <s v="73800222"/>
    <s v="Head - Sales &amp; Marketing, Pune"/>
    <s v="Pune Facility"/>
    <s v="0035950073"/>
    <s v="Pune - S&amp;D Export"/>
    <s v="2000ESPF"/>
    <s v="20055091"/>
    <s v="Akshaya Gujral"/>
    <s v="No"/>
    <s v="savio.lainez@amns.in"/>
    <s v="9930136635"/>
    <s v="22414"/>
    <s v="Dhruv Vyas"/>
    <s v="Anil Matoo"/>
    <s v="Praveen Kuruvalli"/>
    <s v="Dhruv Vyas"/>
    <n v="0"/>
  </r>
  <r>
    <n v="2457"/>
    <n v="20037086"/>
    <s v="Ganesh Gaikwad"/>
    <s v="AM/NS India"/>
    <s v="Onroll"/>
    <s v="L-05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Asst.Indirect Tax"/>
    <m/>
    <s v="Finance &amp; Accounts - Pune"/>
    <s v="Finance &amp; Accounts"/>
    <s v="EXIM &amp; Custom"/>
    <s v="Non Technical Support"/>
    <s v="Finance &amp; Accounts"/>
    <s v="Taxation"/>
    <s v="73904002"/>
    <s v="Indirect Taxation"/>
    <s v="Pune Facility"/>
    <d v="1987-06-26T00:00:00"/>
    <s v="36.02"/>
    <d v="2008-05-12T00:00:00"/>
    <d v="2045-06-30T00:00:00"/>
    <m/>
    <d v="2045-06-30T00:00:00"/>
    <n v="7954"/>
    <s v="A-"/>
    <s v="Intermediate-2005"/>
    <s v=""/>
    <s v="15.04"/>
    <s v="15.04"/>
    <s v="73800021"/>
    <s v="Excise"/>
    <s v="73800029"/>
    <s v="Asst.Indirect Tax"/>
    <s v="Pune Facility"/>
    <s v="0035950020"/>
    <s v="Pune-F&amp;A"/>
    <s v="2000ESPF"/>
    <s v="20037274"/>
    <s v="Imtiyazkhan Pathan"/>
    <s v="No"/>
    <s v="ganesh.gaikwad@amns.in"/>
    <s v="9823919399"/>
    <s v="21729"/>
    <s v="Dhruv Vyas"/>
    <s v="Anil Matoo"/>
    <s v="Praveen Kuruvalli"/>
    <s v="Dhruv Vyas"/>
    <n v="0"/>
  </r>
  <r>
    <n v="2458"/>
    <n v="20037087"/>
    <s v="Midhilesh Kumar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SECTION OFFICER"/>
    <m/>
    <s v="Export"/>
    <s v="Export"/>
    <s v="Export"/>
    <s v="Non Technical Support"/>
    <s v="Finance &amp; Accounts"/>
    <s v="Taxation"/>
    <s v="73904002"/>
    <s v="Indirect Taxation"/>
    <s v="Pune AMNS"/>
    <d v="1987-06-16T00:00:00"/>
    <s v="36.03"/>
    <d v="2008-05-12T00:00:00"/>
    <d v="2045-06-30T00:00:00"/>
    <m/>
    <d v="2045-06-30T00:00:00"/>
    <n v="7954"/>
    <s v="A-"/>
    <s v="Intermediate-2008 , Bachelor Equivalent-"/>
    <s v=""/>
    <s v="15.04"/>
    <s v="15.04"/>
    <s v="70495379"/>
    <s v="Chief Marketing Officer - AMNS ME FZE"/>
    <s v="70273916"/>
    <s v="KAM - Export Sales"/>
    <s v="Pune Facility"/>
    <s v="0035950073"/>
    <s v="Pune - S&amp;D Export"/>
    <s v="2000ESPF"/>
    <s v="20055663"/>
    <s v="Karamath Syed"/>
    <s v="No"/>
    <s v="midhilesh.kumar@amns.in"/>
    <s v="9158895082"/>
    <s v="22331"/>
    <s v="Dhruv Vyas"/>
    <s v="Anil Matoo"/>
    <s v="Praveen Kuruvalli"/>
    <s v="Dhruv Vyas"/>
    <n v="0"/>
  </r>
  <r>
    <n v="2466"/>
    <n v="20037100"/>
    <s v="Devendra Rathod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Finance &amp; Accounts"/>
    <s v="Non Technical Support"/>
    <s v="Finance &amp; Accounts"/>
    <s v="Treasury"/>
    <s v="73903001"/>
    <s v="Treasury"/>
    <s v="Mumbai"/>
    <d v="1974-10-02T00:00:00"/>
    <s v="48.11"/>
    <d v="2008-06-10T00:00:00"/>
    <d v="2032-10-31T00:00:00"/>
    <m/>
    <d v="2032-10-31T00:00:00"/>
    <n v="3329"/>
    <s v="AB-"/>
    <s v="Certificate-1998 , BCom-1998"/>
    <s v="11.02"/>
    <s v="15.03"/>
    <s v="26.05"/>
    <s v="70494410"/>
    <s v="Finance Controller 1"/>
    <s v="70376862"/>
    <s v="Lead"/>
    <s v="Pune Facility"/>
    <s v="0035950020"/>
    <s v="Pune-F&amp;A"/>
    <s v="2000ESPF"/>
    <s v="20007731"/>
    <s v="Ashish Mehta"/>
    <s v="No"/>
    <s v="devendra.rathod@amns.in"/>
    <s v="9769621236"/>
    <s v="23736"/>
    <s v="Dhruv Vyas"/>
    <s v="Anil Matoo"/>
    <s v="Praveen Kuruvalli"/>
    <s v="Dhruv Vyas"/>
    <n v="0"/>
  </r>
  <r>
    <n v="2491"/>
    <n v="20037138"/>
    <s v="Sanjay Chunekar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DY. SECTION MANAGER"/>
    <m/>
    <s v="Coated Sales"/>
    <s v="Coated Sales"/>
    <s v="Domestic"/>
    <s v="Non Technical Support"/>
    <s v="Sales &amp; Marketing"/>
    <s v="Sales"/>
    <s v="73104004"/>
    <s v="OEM Sales"/>
    <s v="Mumbai"/>
    <d v="1975-12-19T00:00:00"/>
    <s v="47.09"/>
    <d v="2008-07-14T00:00:00"/>
    <d v="2033-12-31T00:00:00"/>
    <m/>
    <d v="2033-12-31T00:00:00"/>
    <n v="3755"/>
    <s v="O-"/>
    <s v="BCom-1998"/>
    <s v="08.07"/>
    <s v="15.02"/>
    <s v="23.09"/>
    <s v="00043882"/>
    <s v="International Sales"/>
    <s v="70277712"/>
    <s v="KAM - Coated Sales"/>
    <s v="Pune Facility"/>
    <s v="0035950074"/>
    <s v="Pune - S&amp;d Domestic"/>
    <s v="2000ESPF"/>
    <s v="20037071"/>
    <s v="Amit Chandaliya"/>
    <s v="No"/>
    <s v="sanjay.chunekar@amns.in"/>
    <s v="9930134718"/>
    <s v="21443"/>
    <s v="Dhruv Vyas"/>
    <s v="Anil Matoo"/>
    <s v="Praveen Kuruvalli"/>
    <s v="Dhruv Vyas"/>
    <n v="0"/>
  </r>
  <r>
    <n v="2494"/>
    <n v="20037146"/>
    <s v="Neeta Satav"/>
    <s v="AM/NS India"/>
    <s v="Onroll"/>
    <s v="M-10"/>
    <n v="10"/>
    <m/>
    <s v="JM"/>
    <s v="F"/>
    <s v="Pune Facility"/>
    <n v="4"/>
    <s v="2015"/>
    <x v="1"/>
    <s v="22.06"/>
    <s v="Anil Matoo"/>
    <s v="Ashutosh Telang"/>
    <n v="6"/>
    <s v="HR &amp; Administration"/>
    <s v="Human Resources"/>
    <s v="22"/>
    <s v="Section Officer"/>
    <m/>
    <s v="Pune Operations"/>
    <s v="Administration"/>
    <s v="Recuritment"/>
    <s v="Non Technical Support"/>
    <s v="Human Resources Management"/>
    <s v="Compensation &amp; Benefits"/>
    <s v="73504001"/>
    <s v="Compensation &amp; Benefits"/>
    <s v="Pune AMNS"/>
    <d v="1986-08-06T00:00:00"/>
    <s v="37.01"/>
    <d v="2008-07-16T00:00:00"/>
    <d v="2044-08-31T00:00:00"/>
    <m/>
    <d v="2044-08-31T00:00:00"/>
    <n v="7651"/>
    <s v="AB-"/>
    <s v="Diploma-2008"/>
    <s v=""/>
    <s v="15.02"/>
    <s v="15.02"/>
    <s v="73800068"/>
    <s v="Pune HR Operations &amp; Administration"/>
    <s v="70415282"/>
    <s v="Section Officer"/>
    <s v="Pune Facility"/>
    <s v="0035950019"/>
    <s v="Pune-Admin"/>
    <s v="2000ESPF"/>
    <s v="20037245"/>
    <s v="Mukund Jagirdar"/>
    <s v="No"/>
    <s v="neeta.satav@amns.in"/>
    <s v="7875649364"/>
    <s v="23943"/>
    <s v="Dhruv Vyas"/>
    <s v="Anil Matoo"/>
    <s v="Praveen Kuruvalli"/>
    <s v="Dhruv Vyas"/>
    <n v="0"/>
  </r>
  <r>
    <n v="2509"/>
    <n v="20037177"/>
    <s v="Pradip Biswas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- Export Sales"/>
    <m/>
    <s v="Export"/>
    <s v="Export"/>
    <s v=""/>
    <s v="Non Technical Support"/>
    <s v="Sales &amp; Marketing"/>
    <s v="Sales"/>
    <s v="73104004"/>
    <s v="OEM Sales"/>
    <s v="Mumbai"/>
    <d v="1969-01-19T00:00:00"/>
    <s v="54.08"/>
    <d v="2008-08-11T00:00:00"/>
    <d v="2027-01-31T00:00:00"/>
    <m/>
    <d v="2027-01-31T00:00:00"/>
    <n v="1229"/>
    <s v="B-"/>
    <s v="Intermediate-1992 , BA-1992"/>
    <s v="16.02"/>
    <s v="15.01"/>
    <s v="31.03"/>
    <s v="70495379"/>
    <s v="Chief Marketing Officer - AMNS ME FZE"/>
    <s v="70336259"/>
    <s v="Sr. KAM - Export Sales"/>
    <s v="Hazira"/>
    <s v="0031950057"/>
    <s v="HZ-HRC - Marketing"/>
    <s v="2000HWO"/>
    <s v="20055663"/>
    <s v="Karamath Syed"/>
    <s v="No"/>
    <s v="pradip.biswas@amns.in"/>
    <s v="9930136642"/>
    <s v="21300"/>
    <s v="Dhruv Vyas"/>
    <s v="Anil Matoo"/>
    <s v="Praveen Kuruvalli"/>
    <s v="Dhruv Vyas"/>
    <n v="0"/>
  </r>
  <r>
    <n v="2511"/>
    <n v="20037180"/>
    <s v="Santosh Sathe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ASST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85-08-03T00:00:00"/>
    <s v="38.01"/>
    <d v="2008-08-18T00:00:00"/>
    <d v="2043-08-31T00:00:00"/>
    <m/>
    <d v="2043-08-31T00:00:00"/>
    <n v="7285"/>
    <s v="O-"/>
    <s v="Intermediate-2006 , Certificate-2006"/>
    <s v=""/>
    <s v="15.01"/>
    <s v="15.01"/>
    <s v="73800072"/>
    <s v="Administration"/>
    <s v="70376872"/>
    <s v="ASST. SECTION OFFICER"/>
    <s v="Pune Facility"/>
    <s v="0035950019"/>
    <s v="Pune-Admin"/>
    <s v="2000ESPF"/>
    <s v="20036748"/>
    <s v="Suresh Kadam"/>
    <s v="No"/>
    <s v="santosh.sathe@amns.in"/>
    <s v="9637040461"/>
    <s v="23950"/>
    <s v="Dhruv Vyas"/>
    <s v="Anil Matoo"/>
    <s v="Praveen Kuruvalli"/>
    <s v="Dhruv Vyas"/>
    <n v="0"/>
  </r>
  <r>
    <n v="2515"/>
    <n v="20037185"/>
    <s v="Shilpa Darekar"/>
    <s v="AM/NS India"/>
    <s v="Onroll"/>
    <s v="M-10"/>
    <n v="10"/>
    <m/>
    <s v="JM"/>
    <s v="F"/>
    <s v="Pune Facility"/>
    <n v="4"/>
    <s v="2023"/>
    <x v="6"/>
    <s v="24.08"/>
    <s v="Anil Matoo"/>
    <s v="Ashutosh Telang"/>
    <n v="6"/>
    <s v="HR &amp; Administration"/>
    <s v="Administration"/>
    <s v="24"/>
    <s v="Section Officer"/>
    <m/>
    <s v="Pune Operations"/>
    <s v="Administration"/>
    <s v="Admin. And Billing"/>
    <s v="Non Technical Support"/>
    <s v="Administration"/>
    <s v="Administration"/>
    <s v="74101001"/>
    <s v="Administration"/>
    <s v="Pune AMNS"/>
    <d v="1977-02-14T00:00:00"/>
    <s v="46.07"/>
    <d v="2008-08-25T00:00:00"/>
    <d v="2035-02-28T00:00:00"/>
    <m/>
    <d v="2035-02-28T00:00:00"/>
    <n v="4179"/>
    <s v="O-"/>
    <s v="BA-2002 , MA-2002 , Intermediate-1999"/>
    <s v=""/>
    <s v="15.00"/>
    <s v="15.00"/>
    <s v="73800072"/>
    <s v="Administration"/>
    <s v="73800272"/>
    <s v="Section Officer"/>
    <s v="Pune Facility"/>
    <s v="0035950019"/>
    <s v="Pune-Admin"/>
    <s v="2000ESPF"/>
    <s v="20036748"/>
    <s v="Suresh Kadam"/>
    <s v="No"/>
    <s v="shilpa.darekar@amns.in"/>
    <s v="8552987333"/>
    <s v="21497"/>
    <s v="Dhruv Vyas"/>
    <s v="Anil Matoo"/>
    <s v="Praveen Kuruvalli"/>
    <s v="Dhruv Vyas"/>
    <n v="0"/>
  </r>
  <r>
    <n v="2517"/>
    <n v="20037187"/>
    <s v="Ramhari Darekar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 Section Officer - Tra"/>
    <m/>
    <s v="Pune Operations"/>
    <s v="Transport"/>
    <s v="Transport"/>
    <s v="Non Technical Support"/>
    <s v="Administration"/>
    <s v="Travel Services"/>
    <s v="74106002"/>
    <s v="Transport Operations"/>
    <s v="Pune Facility"/>
    <d v="1985-08-11T00:00:00"/>
    <s v="38.01"/>
    <d v="2008-08-25T00:00:00"/>
    <d v="2043-08-31T00:00:00"/>
    <m/>
    <d v="2043-08-31T00:00:00"/>
    <n v="7285"/>
    <s v="O-"/>
    <s v="Non Matric-2000"/>
    <s v="02.01"/>
    <s v="15.00"/>
    <s v="17.01"/>
    <s v="73800072"/>
    <s v="Administration"/>
    <s v="73800314"/>
    <s v="Jr. Section Officer - Tra"/>
    <s v="Pune Facility"/>
    <s v="0035950019"/>
    <s v="Pune-Admin"/>
    <s v="2000ESPF"/>
    <s v="20036748"/>
    <s v="Suresh Kadam"/>
    <s v="No"/>
    <s v="ramhari.darekar@amns.in"/>
    <s v="9767784141"/>
    <s v="21492"/>
    <s v="Dhruv Vyas"/>
    <s v="Anil Matoo"/>
    <s v="Praveen Kuruvalli"/>
    <s v="Dhruv Vyas"/>
    <n v="0"/>
  </r>
  <r>
    <n v="2523"/>
    <n v="20037193"/>
    <s v="Pravin Darekar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ASST. 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85-06-22T00:00:00"/>
    <s v="38.03"/>
    <d v="2008-09-03T00:00:00"/>
    <d v="2043-06-30T00:00:00"/>
    <m/>
    <d v="2043-06-30T00:00:00"/>
    <n v="7223"/>
    <s v="B-"/>
    <s v="NAC/NCVT/ITI-2002"/>
    <s v=""/>
    <s v="15.00"/>
    <s v="15.00"/>
    <s v="73800023"/>
    <s v="Raw Materials"/>
    <s v="70376868"/>
    <s v="ASST. SECTION OFFICER"/>
    <s v="Pune Facility"/>
    <s v="0035950030"/>
    <s v="Pune - Stores"/>
    <s v="2000ESPF"/>
    <s v="20036934"/>
    <s v="Atul Patwardhan"/>
    <s v="No"/>
    <s v="pravin.darekar@amns.in"/>
    <s v="9764616877"/>
    <s v="21488"/>
    <s v="Dhruv Vyas"/>
    <s v="Anil Matoo"/>
    <s v="Praveen Kuruvalli"/>
    <s v="Dhruv Vyas"/>
    <n v="0"/>
  </r>
  <r>
    <n v="2524"/>
    <n v="20037194"/>
    <s v="Subhash Bhandare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 Section Officer - Tra"/>
    <m/>
    <s v="Pune Operations"/>
    <s v="Transport"/>
    <s v="Transport"/>
    <s v="Non Technical Support"/>
    <s v="Administration"/>
    <s v="Travel Services"/>
    <s v="74106002"/>
    <s v="Transport Operations"/>
    <s v="Pune Facility"/>
    <d v="1979-01-23T00:00:00"/>
    <s v="44.07"/>
    <d v="2008-09-03T00:00:00"/>
    <d v="2037-01-31T00:00:00"/>
    <m/>
    <d v="2037-01-31T00:00:00"/>
    <n v="4882"/>
    <s v="O-"/>
    <s v="Non Matric-1996"/>
    <s v="01.00"/>
    <s v="15.00"/>
    <s v="16.00"/>
    <s v="73800072"/>
    <s v="Administration"/>
    <s v="73800313"/>
    <s v="Jr. Section Officer - Tra"/>
    <s v="Pune Facility"/>
    <s v="0035950019"/>
    <s v="Pune-Admin"/>
    <s v="2000ESPF"/>
    <s v="20036748"/>
    <s v="Suresh Kadam"/>
    <s v="Yes"/>
    <s v="subhash.bhandare@amns.in"/>
    <s v="9623137854"/>
    <s v="21217"/>
    <s v="Dhruv Vyas"/>
    <s v="Anil Matoo"/>
    <s v="Praveen Kuruvalli"/>
    <s v="Dhruv Vyas"/>
    <n v="0"/>
  </r>
  <r>
    <n v="2525"/>
    <n v="20037195"/>
    <s v="Rahul Shamarav Darekar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Jr. Section Officer - Mec"/>
    <m/>
    <s v="Procurement"/>
    <s v="Stores &amp; Warehouse"/>
    <s v="Stores"/>
    <s v="Non Technical Support"/>
    <s v="Operations"/>
    <s v="Plant Maintenance"/>
    <s v="72103008"/>
    <s v="Mechanical Maintenance"/>
    <s v="Pune Facility"/>
    <d v="1990-08-23T00:00:00"/>
    <s v="33.00"/>
    <d v="2008-09-03T00:00:00"/>
    <d v="2048-08-31T00:00:00"/>
    <m/>
    <d v="2048-08-31T00:00:00"/>
    <n v="9112"/>
    <s v="B-"/>
    <s v="SSLC-2007 , Certificate-2007"/>
    <s v=""/>
    <s v="15.00"/>
    <s v="15.00"/>
    <s v="73800023"/>
    <s v="Raw Materials"/>
    <s v="73800550"/>
    <s v="Jr. Section Officer - Mec"/>
    <s v="Pune Facility"/>
    <s v="0035950030"/>
    <s v="Pune - Stores"/>
    <s v="2000ESPF"/>
    <s v="20036934"/>
    <s v="Atul Patwardhan"/>
    <s v="No"/>
    <s v="rahul.darekar@amns.in"/>
    <s v="9860638400"/>
    <s v="21489"/>
    <s v="Dhruv Vyas"/>
    <s v="Anil Matoo"/>
    <s v="Praveen Kuruvalli"/>
    <s v="Dhruv Vyas"/>
    <n v="0"/>
  </r>
  <r>
    <n v="2527"/>
    <n v="20037199"/>
    <s v="Jaydeep Satpute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4"/>
    <s v="Accounts Receivables"/>
    <s v="Pune AMNS"/>
    <d v="1980-09-04T00:00:00"/>
    <s v="43.00"/>
    <d v="2008-09-01T00:00:00"/>
    <d v="2038-09-30T00:00:00"/>
    <m/>
    <d v="2038-09-30T00:00:00"/>
    <n v="5489"/>
    <s v="A-"/>
    <s v="Certificate-2011 , MBA-2011 , Post Diplo"/>
    <s v="06.08"/>
    <s v="15.00"/>
    <s v="21.08"/>
    <s v="70418544"/>
    <s v="Costing"/>
    <s v="73800076"/>
    <s v="Lead"/>
    <s v="Pune Facility"/>
    <s v="0035950020"/>
    <s v="Pune-F&amp;A"/>
    <s v="2000ESPF"/>
    <s v="20048971"/>
    <s v="Arindam Ganguly"/>
    <s v="No"/>
    <s v="jaydeep.satpute@amns.in"/>
    <s v="7588075421"/>
    <s v="23961"/>
    <s v="Dhruv Vyas"/>
    <s v="Anil Matoo"/>
    <s v="Praveen Kuruvalli"/>
    <s v="Dhruv Vyas"/>
    <n v="0"/>
  </r>
  <r>
    <n v="2531"/>
    <n v="20037204"/>
    <s v="Vinay Verenkar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Lead"/>
    <m/>
    <s v="Procurement"/>
    <s v="Procurement"/>
    <s v="Procurement"/>
    <s v="Non Technical Support"/>
    <s v="Finance &amp; Accounts"/>
    <s v="Finance &amp; Accounts"/>
    <s v="73901003"/>
    <s v="Accounts Payable"/>
    <s v="Pune AMNS"/>
    <d v="1972-09-02T00:00:00"/>
    <s v="51.00"/>
    <d v="2008-09-15T00:00:00"/>
    <d v="2030-09-30T00:00:00"/>
    <m/>
    <d v="2030-09-30T00:00:00"/>
    <n v="2567"/>
    <s v="B-"/>
    <s v="Intermediate-1993 , BCom-1993"/>
    <s v="13.09"/>
    <s v="15.00"/>
    <s v="28.09"/>
    <s v="73800002"/>
    <s v="Procurement - Pune Asset"/>
    <s v="70319259"/>
    <s v="Lead"/>
    <s v="Pune Facility"/>
    <s v="0035950020"/>
    <s v="Pune-F&amp;A"/>
    <s v="2000ESPF"/>
    <s v="20006536"/>
    <s v="Mahesh Salunke"/>
    <s v="No"/>
    <s v="vinay.verenkar@amns.in"/>
    <s v="9923036976"/>
    <s v="24670"/>
    <s v="Dhruv Vyas"/>
    <s v="Anil Matoo"/>
    <s v="Praveen Kuruvalli"/>
    <s v="Dhruv Vyas"/>
    <n v="0"/>
  </r>
  <r>
    <n v="2532"/>
    <n v="20037206"/>
    <s v="Salim Shaikh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SR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71-07-01T00:00:00"/>
    <s v="52.02"/>
    <d v="2008-10-01T00:00:00"/>
    <d v="2029-06-30T00:00:00"/>
    <m/>
    <d v="2029-06-30T00:00:00"/>
    <n v="2110"/>
    <s v="B-"/>
    <s v="Non Matric-1980"/>
    <s v="17.00"/>
    <s v="14.11"/>
    <s v="31.11"/>
    <s v="73800072"/>
    <s v="Administration"/>
    <s v="73800302"/>
    <s v="SR. SECTION OFFICER"/>
    <s v="Pune Facility"/>
    <s v="0035950019"/>
    <s v="Pune-Admin"/>
    <s v="2000ESPF"/>
    <s v="20036748"/>
    <s v="Suresh Kadam"/>
    <s v="No"/>
    <s v="salim.shaikh1@amns.in"/>
    <s v="9763810633"/>
    <s v="24068"/>
    <s v="Dhruv Vyas"/>
    <s v="Anil Matoo"/>
    <s v="Praveen Kuruvalli"/>
    <s v="Dhruv Vyas"/>
    <n v="0"/>
  </r>
  <r>
    <n v="2537"/>
    <n v="20037219"/>
    <s v="Japani Ansari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ASST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76-02-20T00:00:00"/>
    <s v="47.06"/>
    <d v="2008-12-01T00:00:00"/>
    <d v="2034-02-28T00:00:00"/>
    <m/>
    <d v="2034-02-28T00:00:00"/>
    <n v="3814"/>
    <s v="B-"/>
    <s v="Non Matric-1993"/>
    <s v="08.09"/>
    <s v="14.09"/>
    <s v="23.06"/>
    <s v="73800072"/>
    <s v="Administration"/>
    <s v="73800305"/>
    <s v="ASST. SECTION OFFICER"/>
    <s v="Pune Facility"/>
    <s v="0035950019"/>
    <s v="Pune-Admin"/>
    <s v="2000ESPF"/>
    <s v="20036748"/>
    <s v="Suresh Kadam"/>
    <s v="No"/>
    <s v="japani.ansari@amns.in"/>
    <s v="9730509425"/>
    <s v="21088"/>
    <s v="Dhruv Vyas"/>
    <s v="Anil Matoo"/>
    <s v="Praveen Kuruvalli"/>
    <s v="Dhruv Vyas"/>
    <n v="0"/>
  </r>
  <r>
    <n v="2541"/>
    <n v="20037239"/>
    <s v="Prashant Shah"/>
    <s v="AM/NS India"/>
    <s v="Onroll"/>
    <s v="M-6"/>
    <n v="6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nior Lead"/>
    <m/>
    <s v="Finance &amp; Accounts - Pune"/>
    <s v="Finance &amp; Accounts"/>
    <s v="Accounts Payable"/>
    <s v="Non Technical Support"/>
    <s v="Finance &amp; Accounts"/>
    <s v="Finance &amp; Accounts"/>
    <s v="73901004"/>
    <s v="Accounts Receivables"/>
    <s v="Pune AMNS"/>
    <d v="1975-05-10T00:00:00"/>
    <s v="48.04"/>
    <d v="2010-05-05T00:00:00"/>
    <d v="2033-05-31T00:00:00"/>
    <m/>
    <d v="2033-05-31T00:00:00"/>
    <n v="3541"/>
    <s v="A-"/>
    <s v="BSc-2003 , CA Final-2003"/>
    <s v="06.06"/>
    <s v="13.04"/>
    <s v="19.10"/>
    <s v="73800027"/>
    <s v="Account Receivables"/>
    <s v="70386110"/>
    <s v="Senior Lead"/>
    <s v="Pune Facility"/>
    <s v="0035950020"/>
    <s v="Pune-F&amp;A"/>
    <s v="2000ESPF"/>
    <s v="0"/>
    <s v=""/>
    <s v="No"/>
    <s v="prashant.shah@amns.in"/>
    <s v="7798986828"/>
    <s v="24029"/>
    <s v="Dhruv Vyas"/>
    <s v="Anil Matoo"/>
    <s v="Praveen Kuruvalli"/>
    <s v="Dhruv Vyas"/>
    <n v="0"/>
  </r>
  <r>
    <n v="2542"/>
    <n v="20037245"/>
    <s v="Mukund Jagirdar"/>
    <s v="AM/NS India"/>
    <s v="Onroll"/>
    <s v="M-3"/>
    <n v="3"/>
    <m/>
    <s v="SM"/>
    <s v="M"/>
    <s v="Pune Facility"/>
    <n v="4"/>
    <s v="2015"/>
    <x v="1"/>
    <s v="22.06"/>
    <s v="Anil Matoo"/>
    <s v="Ashutosh Telang"/>
    <n v="6"/>
    <s v="HR &amp; Administration"/>
    <s v="Human Resources"/>
    <s v="22"/>
    <s v="Head HR IR &amp; Admin - Pune Asset"/>
    <m/>
    <s v="Human Resources"/>
    <s v="HR,Admin &amp; IR"/>
    <s v="HR,Admin &amp; IR"/>
    <s v="Non Technical Support"/>
    <s v="Human Resources Management"/>
    <s v="Human Resources Management"/>
    <s v="73501001"/>
    <s v="Human Resources"/>
    <s v="Pune AMNS"/>
    <d v="1964-09-06T00:00:00"/>
    <s v="59.00"/>
    <d v="2010-10-18T00:00:00"/>
    <d v="2022-09-30T00:00:00"/>
    <d v="2024-09-30T00:00:00"/>
    <d v="2024-09-30T00:00:00"/>
    <n v="376"/>
    <s v="O-"/>
    <s v="Master's Equivalent-1999 , Diploma Equiv"/>
    <s v="21.02"/>
    <s v="12.11"/>
    <s v="34.00"/>
    <s v="73800068"/>
    <s v="Pune HR Operations &amp; Administration"/>
    <s v="70320203"/>
    <s v="Head HR IR &amp; Admin - Pune Asset"/>
    <s v="Pune Facility"/>
    <s v="0035950019"/>
    <s v="Pune-Admin"/>
    <s v="2000ESPF"/>
    <s v="20000083"/>
    <s v="Anil Matoo"/>
    <s v="No"/>
    <s v="mukund.jagirdar@amns.in"/>
    <s v="7875440661"/>
    <s v="21959"/>
    <s v="Dhruv Vyas"/>
    <s v="Anil Matoo"/>
    <s v="Praveen Kuruvalli"/>
    <s v="Dhruv Vyas"/>
    <n v="0"/>
  </r>
  <r>
    <n v="2545"/>
    <n v="20037274"/>
    <s v="Imtiyazkhan Pathan"/>
    <s v="AM/NS India"/>
    <s v="Onroll"/>
    <s v="M-7"/>
    <n v="7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ction Head– Indirect Taxation"/>
    <m/>
    <s v="Finance &amp; Accounts - Pune"/>
    <s v="Finance &amp; Accounts"/>
    <s v="Indirect Taxation"/>
    <s v="Non Technical Support"/>
    <s v="Finance &amp; Accounts"/>
    <s v="Taxation"/>
    <s v="73904002"/>
    <s v="Indirect Taxation"/>
    <s v="Pune AMNS"/>
    <d v="1964-06-01T00:00:00"/>
    <s v="59.03"/>
    <d v="1994-04-02T00:00:00"/>
    <d v="2022-05-31T00:00:00"/>
    <d v="2025-05-31T00:00:00"/>
    <d v="2025-05-31T00:00:00"/>
    <n v="619"/>
    <s v="B-"/>
    <s v="BCom-1988 , MCom-1988"/>
    <s v="01.06"/>
    <s v="29.05"/>
    <s v="30.11"/>
    <s v="73800021"/>
    <s v="Excise"/>
    <s v="70386113"/>
    <s v="Section Head– Indirect Taxation"/>
    <s v="Pune Facility"/>
    <s v="0035950020"/>
    <s v="Pune-F&amp;A"/>
    <s v="2000ESPF"/>
    <s v="20055188"/>
    <s v="Rohit Sharma"/>
    <s v="No"/>
    <s v="imtiyazkhan.pathan@amns.in"/>
    <s v="9158895848"/>
    <s v="23430"/>
    <s v="Dhruv Vyas"/>
    <s v="Anil Matoo"/>
    <s v="Praveen Kuruvalli"/>
    <s v="Dhruv Vyas"/>
    <n v="0"/>
  </r>
  <r>
    <n v="2546"/>
    <n v="20037277"/>
    <s v="Sripada Sailendra"/>
    <s v="AM/NS India"/>
    <s v="Onroll"/>
    <s v="M-6"/>
    <n v="6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South"/>
    <s v="OEM"/>
    <s v="Domestic"/>
    <s v="Non Technical Support"/>
    <s v="Sales &amp; Marketing"/>
    <s v="Sales"/>
    <s v="73104004"/>
    <s v="OEM Sales"/>
    <s v="Pune AMNS"/>
    <d v="1976-05-15T00:00:00"/>
    <s v="47.04"/>
    <d v="2007-05-26T00:00:00"/>
    <d v="2034-05-31T00:00:00"/>
    <m/>
    <d v="2034-05-31T00:00:00"/>
    <n v="3906"/>
    <s v="B-"/>
    <s v="MBA-2004 , PG Diploma-2004 , BSc-2000"/>
    <s v="06.04"/>
    <s v="16.03"/>
    <s v="22.07"/>
    <s v="00048814"/>
    <s v="Sales South Zone – Hypermart"/>
    <s v="70271027"/>
    <s v="Sales Manager - Hypermart"/>
    <s v="Pune Facility"/>
    <s v="0035950073"/>
    <s v="Pune - S&amp;D Export"/>
    <s v="2000ESPF"/>
    <s v="20056279"/>
    <s v="Arun G"/>
    <s v="No"/>
    <s v="sripada.sailendra@amns.in"/>
    <s v="9160887755"/>
    <s v="23873"/>
    <s v="Dhruv Vyas"/>
    <s v="Anil Matoo"/>
    <s v="Praveen Kuruvalli"/>
    <s v="Dhruv Vyas"/>
    <n v="0"/>
  </r>
  <r>
    <n v="2551"/>
    <n v="20037479"/>
    <s v="Suranjan Dasgupta"/>
    <s v="AM/NS India"/>
    <s v="Onroll"/>
    <s v="M-4"/>
    <n v="4"/>
    <m/>
    <s v="SM"/>
    <s v="M"/>
    <s v="Corporate"/>
    <n v="7"/>
    <s v="2039"/>
    <x v="2"/>
    <s v="43.01"/>
    <s v="Sangeeta Munjal"/>
    <s v="Manu Kapoor"/>
    <n v="10"/>
    <s v="Corporate Affairs"/>
    <s v="Corporate Affairs"/>
    <s v="43"/>
    <s v="Sr. Lead - Corporate Affairs"/>
    <m/>
    <s v="Corporate Affairs"/>
    <s v="Corporate Relations Group"/>
    <s v="Corporate Relations Group"/>
    <s v="Non Technical Support"/>
    <s v="Corporate Relations"/>
    <s v="Corporate Affairs"/>
    <s v="74501001"/>
    <s v="Corporate Affairs"/>
    <s v="Delhi"/>
    <d v="1971-05-21T00:00:00"/>
    <s v="52.03"/>
    <d v="2011-03-15T00:00:00"/>
    <d v="2029-05-31T00:00:00"/>
    <m/>
    <d v="2029-05-31T00:00:00"/>
    <n v="2080"/>
    <s v="O-"/>
    <s v="PG Diploma in Management-1993 , BCom-199"/>
    <s v="20.00"/>
    <s v="12.06"/>
    <s v="32.06"/>
    <s v="70494938"/>
    <s v="Corporate Affairs"/>
    <s v="70323867"/>
    <s v="JGM - Corporate Affairs"/>
    <s v="Corporate"/>
    <s v="0090000016"/>
    <s v="Corporate Steel - Co"/>
    <s v="2000CS"/>
    <s v="20057928"/>
    <s v="Manu Kapoor"/>
    <s v="No"/>
    <s v="suranjan.dasgupta@amns.in"/>
    <s v="8860641464"/>
    <s v="21529"/>
    <s v="Dhruv Vyas"/>
    <s v="Anil Matoo"/>
    <s v="Praveen Kuruvalli"/>
    <s v="Dhruv Vyas"/>
    <n v="0"/>
  </r>
  <r>
    <n v="2561"/>
    <n v="20037898"/>
    <s v="Sanjib Sinha"/>
    <s v="AM/NS India"/>
    <s v="Onroll"/>
    <s v="M-6"/>
    <n v="6"/>
    <m/>
    <s v="MM"/>
    <s v="M"/>
    <s v="Odisha"/>
    <n v="2"/>
    <s v="2095"/>
    <x v="4"/>
    <n v="36.01"/>
    <s v="Deepak Sindkar"/>
    <s v="Hrishikesh Kamat"/>
    <n v="7"/>
    <s v="Procurement"/>
    <s v="Raw Materials"/>
    <s v="36"/>
    <s v="Section Head - Raw Material Dabuna"/>
    <m/>
    <s v="Bulk Raw Materials"/>
    <s v="Bulck Raw Material"/>
    <s v="Bulck Raw Material"/>
    <s v="Non Technical Support"/>
    <s v="Sales &amp; Marketing"/>
    <s v="Business Development"/>
    <s v="73103001"/>
    <s v="Business Development"/>
    <s v="Dabuna"/>
    <d v="1960-12-25T00:00:00"/>
    <s v="62.08"/>
    <d v="2011-05-02T00:00:00"/>
    <d v="2018-12-31T00:00:00"/>
    <d v="2024-03-31T00:00:00"/>
    <d v="2024-03-31T00:00:00"/>
    <n v="193"/>
    <s v="A-"/>
    <s v="BSc-1989 , MSc-1989"/>
    <s v="21.11"/>
    <s v="12.04"/>
    <s v="34.03"/>
    <s v="70258505"/>
    <s v="Bulk Raw Material"/>
    <s v="70258514"/>
    <s v="Section Head - Raw Material Dabuna"/>
    <s v="Odisha"/>
    <s v="0022010019"/>
    <s v="DBN-Benf-HR/Admin"/>
    <s v="2000STORIS"/>
    <s v="20035527"/>
    <s v="Anil Patro"/>
    <s v="No"/>
    <s v="sanjib.sinha@amns.in"/>
    <s v="8599008447"/>
    <s v="24294"/>
    <s v="Sunila Das"/>
    <s v="Anil Matoo"/>
    <s v="Praveen Kuruvalli"/>
    <s v="Sunila Das"/>
    <n v="0"/>
  </r>
  <r>
    <n v="2563"/>
    <n v="20037995"/>
    <s v="Hitesh Shah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82-08-18T00:00:00"/>
    <s v="41.01"/>
    <d v="2011-05-09T00:00:00"/>
    <d v="2040-08-31T00:00:00"/>
    <m/>
    <d v="2040-08-31T00:00:00"/>
    <n v="6190"/>
    <s v="O+"/>
    <s v="CA Final-2005"/>
    <s v="04.08"/>
    <s v="12.04"/>
    <s v="17.00"/>
    <s v="70074192"/>
    <s v="Corporate Accounts"/>
    <s v="70386084"/>
    <s v="Sr. Lead - Corporate Accounts &amp; Audit"/>
    <s v="Hazira"/>
    <s v="0090000027"/>
    <s v="Corporate Steel - Ac"/>
    <s v="2000HWO"/>
    <s v="20007067"/>
    <s v="Gaurav Bhandari"/>
    <s v="No"/>
    <s v="hitesh.shah@amns.in"/>
    <s v="9879100888"/>
    <s v="24012"/>
    <s v="Dhruv Vyas"/>
    <s v="Anil Matoo"/>
    <s v="Praveen Kuruvalli"/>
    <s v="Dhruv Vyas"/>
    <n v="0"/>
  </r>
  <r>
    <n v="2566"/>
    <n v="20038232"/>
    <s v="Mukesh Maheshwari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-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71-07-08T00:00:00"/>
    <s v="52.02"/>
    <d v="2011-06-06T00:00:00"/>
    <d v="2029-07-31T00:00:00"/>
    <m/>
    <d v="2029-07-31T00:00:00"/>
    <n v="2141"/>
    <s v="O-"/>
    <s v="BCom-1991"/>
    <s v="17.02"/>
    <s v="12.03"/>
    <s v="29.05"/>
    <s v="70074192"/>
    <s v="Corporate Accounts"/>
    <s v="70226680"/>
    <s v="Lead-Corporate Accounts &amp; Audit"/>
    <s v="Hazira"/>
    <s v="0090000027"/>
    <s v="Corporate Steel - Ac"/>
    <s v="2000HWO"/>
    <s v="20007067"/>
    <s v="Gaurav Bhandari"/>
    <s v="No"/>
    <s v="mukesh.maheshwari@amns.in"/>
    <s v="9879102522"/>
    <s v="22476"/>
    <s v="Dhruv Vyas"/>
    <s v="Anil Matoo"/>
    <s v="Praveen Kuruvalli"/>
    <s v="Dhruv Vyas"/>
    <n v="0"/>
  </r>
  <r>
    <n v="2572"/>
    <n v="20038382"/>
    <s v="Natasha Fernandes"/>
    <s v="AM/NS India"/>
    <s v="Onroll"/>
    <s v="M-6"/>
    <n v="6"/>
    <m/>
    <s v="MM"/>
    <s v="F"/>
    <s v="Hazira"/>
    <n v="1"/>
    <s v="2015"/>
    <x v="1"/>
    <s v="22.06"/>
    <s v="Praveen Kuruvalli"/>
    <s v="Ashutosh Telang"/>
    <n v="6"/>
    <s v="HR &amp; Administration"/>
    <s v="Human Resources"/>
    <s v="22"/>
    <s v="Lead - Talent Acquisition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8-07-27T00:00:00"/>
    <s v="35.01"/>
    <d v="2011-06-13T00:00:00"/>
    <d v="2046-07-31T00:00:00"/>
    <m/>
    <d v="2046-07-31T00:00:00"/>
    <n v="8350"/>
    <s v="O-"/>
    <s v="BBA-2011 , MHRM-2011"/>
    <s v=""/>
    <s v="12.03"/>
    <s v="12.03"/>
    <s v="00051785"/>
    <s v="Hazira Project - Human Resources"/>
    <s v="70453202"/>
    <s v="Sr. Lead - Human Resources"/>
    <s v="Hazira"/>
    <s v="0031950061"/>
    <s v="HZ-Human Resource"/>
    <s v="2000HWO"/>
    <s v="20001265"/>
    <s v="Lakshman Iyer"/>
    <s v="No"/>
    <s v="natasha.fernandes@amns.in"/>
    <s v="9909993483"/>
    <s v="21716"/>
    <s v="Dhruv Vyas"/>
    <s v="Anil Matoo"/>
    <s v="Praveen Kuruvalli"/>
    <s v="Dhruv Vyas"/>
    <n v="0"/>
  </r>
  <r>
    <n v="2580"/>
    <n v="20038817"/>
    <s v="Chandra Sekhar Panda"/>
    <s v="AM/NS India"/>
    <s v="Onroll"/>
    <s v="M-9"/>
    <n v="9"/>
    <m/>
    <s v="JM"/>
    <s v="M"/>
    <s v="Odisha"/>
    <n v="2"/>
    <s v="2162"/>
    <x v="18"/>
    <s v="33.01"/>
    <s v="Hrishikesh Kamat"/>
    <s v="Hrishikesh Kamat"/>
    <n v="7"/>
    <s v="Procurement"/>
    <s v="Shipping &amp; Chartering"/>
    <s v="33"/>
    <s v="Lead - Logistics"/>
    <m/>
    <s v="Shipping &amp; Chartering"/>
    <s v="Logistics"/>
    <s v="Logistics"/>
    <s v="Non Technical Support"/>
    <s v="Operations"/>
    <s v="Operations"/>
    <s v="72103001"/>
    <s v="Operations"/>
    <s v="Paradeep"/>
    <d v="1976-10-18T00:00:00"/>
    <s v="46.11"/>
    <d v="2011-06-27T00:00:00"/>
    <d v="2034-10-31T00:00:00"/>
    <m/>
    <d v="2034-10-31T00:00:00"/>
    <n v="4059"/>
    <s v=""/>
    <s v="Certificate-2014 , BTech-2014 , Diploma-"/>
    <s v=""/>
    <s v="12.02"/>
    <s v="12.02"/>
    <s v="70238106"/>
    <s v="Ports &amp; Logistics"/>
    <s v="70307053"/>
    <s v="Lead - Logistics"/>
    <s v="Odisha"/>
    <s v="0022030019"/>
    <s v="PDP-HR &amp; Admn"/>
    <s v="2000STORIS"/>
    <s v="20055165"/>
    <s v="Subhakant Dash"/>
    <s v="No"/>
    <s v="chandrasekhar.panda@amns.in"/>
    <s v="7381007149"/>
    <s v="22919"/>
    <s v="Sunila Das"/>
    <s v="Anil Matoo"/>
    <s v="Praveen Kuruvalli"/>
    <s v="Sunila Das"/>
    <n v="0"/>
  </r>
  <r>
    <n v="2601"/>
    <n v="20038926"/>
    <s v="Shashi Kant Beura"/>
    <s v="AM/NS India"/>
    <s v="Onroll"/>
    <s v="M-8"/>
    <n v="8"/>
    <m/>
    <s v="JM"/>
    <s v="M"/>
    <s v="Odisha"/>
    <n v="2"/>
    <s v="2162"/>
    <x v="18"/>
    <s v="33.01"/>
    <s v="Hrishikesh Kamat"/>
    <s v="Hrishikesh Kamat"/>
    <n v="7"/>
    <s v="Procurement"/>
    <s v="Shipping &amp; Chartering"/>
    <s v="33"/>
    <s v="Lead - Logistics"/>
    <m/>
    <s v="Shipping &amp; Chartering"/>
    <s v="Logistics"/>
    <s v="Logistics"/>
    <s v="Operations"/>
    <s v="Operations"/>
    <s v="Operations"/>
    <s v="72103001"/>
    <s v="Operations"/>
    <s v="Paradeep"/>
    <d v="1987-06-22T00:00:00"/>
    <s v="36.03"/>
    <d v="2011-06-27T00:00:00"/>
    <d v="2045-06-30T00:00:00"/>
    <m/>
    <d v="2045-06-30T00:00:00"/>
    <n v="7954"/>
    <s v=""/>
    <s v="BTech-2014"/>
    <s v="00.07"/>
    <s v="12.02"/>
    <s v="12.09"/>
    <s v="70238106"/>
    <s v="Ports &amp; Logistics"/>
    <s v="70307050"/>
    <s v="Lead - Logistics"/>
    <s v="Odisha"/>
    <s v="0022030019"/>
    <s v="PDP-HR &amp; Admn"/>
    <s v="2000STORIS"/>
    <s v="20055165"/>
    <s v="Subhakant Dash"/>
    <s v="No"/>
    <s v="shashikant.beura@amns.in"/>
    <s v="7381007152"/>
    <s v="21200"/>
    <s v="Sunila Das"/>
    <s v="Anil Matoo"/>
    <s v="Praveen Kuruvalli"/>
    <s v="Sunila Das"/>
    <n v="0"/>
  </r>
  <r>
    <n v="2634"/>
    <n v="20039051"/>
    <s v="Rashmirekha Swain"/>
    <s v="AM/NS India"/>
    <s v="Onroll"/>
    <s v="M-9"/>
    <n v="9"/>
    <m/>
    <s v="JM"/>
    <s v="F"/>
    <s v="Odisha"/>
    <n v="2"/>
    <s v="2043"/>
    <x v="3"/>
    <s v="31.01"/>
    <s v="Hrishikesh Kamat"/>
    <s v="Hrishikesh Kamat"/>
    <n v="7"/>
    <s v="Procurement"/>
    <s v="Procurement"/>
    <s v="31"/>
    <s v="Lead - Vendor Registration &amp; Document."/>
    <m/>
    <s v="Procurement"/>
    <s v="Procurement"/>
    <s v="Procurement"/>
    <s v="Non Technical Support"/>
    <s v="Operations"/>
    <s v="Operations"/>
    <s v="72103001"/>
    <s v="Operations"/>
    <s v="Paradeep"/>
    <d v="1967-05-25T00:00:00"/>
    <s v="56.03"/>
    <d v="2011-06-27T00:00:00"/>
    <d v="2025-05-31T00:00:00"/>
    <m/>
    <d v="2025-05-31T00:00:00"/>
    <n v="619"/>
    <s v=""/>
    <s v="SSLC-1988 , Diploma-1988"/>
    <s v=""/>
    <s v="12.02"/>
    <s v="12.02"/>
    <s v="70407583"/>
    <s v="Procurement - Odisha Asset"/>
    <s v="70307062"/>
    <s v="Lead - Vendor Registration &amp; Document."/>
    <s v="Odisha"/>
    <s v="0022030019"/>
    <s v="PDP-HR &amp; Admn"/>
    <s v="2000STORIS"/>
    <s v="20055692"/>
    <s v="Rajiv Ranjan"/>
    <s v="No"/>
    <s v="rashmirekha.swain@amns.in"/>
    <s v="7381007114"/>
    <s v="24424"/>
    <s v="Sunila Das"/>
    <s v="Anil Matoo"/>
    <s v="Praveen Kuruvalli"/>
    <s v="Sunila Das"/>
    <n v="0"/>
  </r>
  <r>
    <n v="2658"/>
    <n v="20039780"/>
    <s v="Srikanya Thakur"/>
    <s v="AM/NS India"/>
    <s v="Onroll"/>
    <s v="M-6"/>
    <n v="6"/>
    <m/>
    <s v="MM"/>
    <s v="F"/>
    <s v="Hazira"/>
    <n v="1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8-04-21T00:00:00"/>
    <s v="35.05"/>
    <d v="2011-08-10T00:00:00"/>
    <d v="2046-04-30T00:00:00"/>
    <m/>
    <d v="2046-04-30T00:00:00"/>
    <n v="8258"/>
    <s v="B-"/>
    <s v="High School-2010 , BTech-2010 , SSLC-200"/>
    <s v=""/>
    <s v="12.01"/>
    <s v="12.01"/>
    <s v="00050209"/>
    <s v="Human Resources"/>
    <s v="70372722"/>
    <s v="Sr. Lead - Human Resources"/>
    <s v="Hazira"/>
    <s v="0031950061"/>
    <s v="HZ-Human Resource"/>
    <s v="2000HWO"/>
    <s v="20001265"/>
    <s v="Lakshman Iyer"/>
    <s v="No"/>
    <s v="srikanya.das@amns.in"/>
    <s v="9879101068"/>
    <s v="21525"/>
    <s v="Dhruv Vyas"/>
    <s v="Anil Matoo"/>
    <s v="Praveen Kuruvalli"/>
    <s v="Dhruv Vyas"/>
    <n v="0"/>
  </r>
  <r>
    <n v="2724"/>
    <n v="20040700"/>
    <s v="Sidharth Mohanty"/>
    <s v="AM/NS India"/>
    <s v="Onroll"/>
    <s v="M-8"/>
    <n v="8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Administration"/>
    <s v="Administration"/>
    <s v="Non Technical Support"/>
    <s v="Sales &amp; Marketing"/>
    <s v="Sales"/>
    <s v="73104004"/>
    <s v="OEM Sales"/>
    <s v="Paradeep"/>
    <d v="1984-04-27T00:00:00"/>
    <s v="39.04"/>
    <d v="2011-09-30T00:00:00"/>
    <d v="2042-04-30T00:00:00"/>
    <m/>
    <d v="2042-04-30T00:00:00"/>
    <n v="6797"/>
    <s v="AB-"/>
    <s v="MBA-2006 , Bachelor Equivalent-2003 , Hi"/>
    <s v="04.00"/>
    <s v="11.11"/>
    <s v="15.11"/>
    <s v="70238103"/>
    <s v="Odisha - Admin &amp; Industrial Relations"/>
    <s v="70265112"/>
    <s v="Lead - Administration"/>
    <s v="Odisha"/>
    <s v="0022030019"/>
    <s v="PDP-HR &amp; Admn"/>
    <s v="2000STORIS"/>
    <s v="20057297"/>
    <s v="Bibhash Mohanty"/>
    <s v="No"/>
    <s v="sidharth.mohanty@amns.in"/>
    <s v="7381007021"/>
    <s v="22692"/>
    <s v="Sunila Das"/>
    <s v="Anil Matoo"/>
    <s v="Praveen Kuruvalli"/>
    <s v="Sunila Das"/>
    <n v="0"/>
  </r>
  <r>
    <n v="2739"/>
    <n v="20041786"/>
    <s v="Pradeep Bhandari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Manager - SCM"/>
    <m/>
    <s v="Hypermart"/>
    <s v="Hypermart"/>
    <s v="West Zone"/>
    <s v="Non Technical Support"/>
    <s v="Supply Chain Management"/>
    <s v="Supply Chain Management"/>
    <s v="73701001"/>
    <s v="Supply Chain Management"/>
    <s v="Mumbai"/>
    <d v="1985-02-09T00:00:00"/>
    <s v="38.07"/>
    <d v="2012-01-16T00:00:00"/>
    <d v="2043-02-28T00:00:00"/>
    <m/>
    <d v="2043-02-28T00:00:00"/>
    <n v="7101"/>
    <s v="A-"/>
    <s v="High School-2006 , BCom-2006 , SSLC-2003"/>
    <s v="07.02"/>
    <s v="11.08"/>
    <s v="18.09"/>
    <s v="72150154"/>
    <s v="HyperMart"/>
    <s v="70277120"/>
    <s v="Lead - SCM Hypermart"/>
    <s v="Hypermart"/>
    <s v="0060100004"/>
    <s v="HMART-HR/Admin Expen"/>
    <s v="2000SRET"/>
    <s v="20006236"/>
    <s v="Sanjay Vaid"/>
    <s v="No"/>
    <s v="pradeep.bhandari@amns.in"/>
    <s v="9930134258"/>
    <s v="21221"/>
    <s v="Dhruv Vyas"/>
    <s v="Anil Matoo"/>
    <s v="Praveen Kuruvalli"/>
    <s v="Dhruv Vyas"/>
    <n v="0"/>
  </r>
  <r>
    <n v="2754"/>
    <n v="20042978"/>
    <s v="Kalingakeshari Ray"/>
    <s v="AM/NS India"/>
    <s v="Onroll"/>
    <s v="M-9"/>
    <n v="9"/>
    <m/>
    <s v="JM"/>
    <s v="M"/>
    <s v="Odisha"/>
    <n v="2"/>
    <s v="2095"/>
    <x v="4"/>
    <n v="36.01"/>
    <s v="Deepak Sindkar"/>
    <s v="Hrishikesh Kamat"/>
    <n v="7"/>
    <s v="Procurement"/>
    <s v="Raw Materials"/>
    <s v="36"/>
    <s v="Officer - Raw Material"/>
    <m/>
    <s v="Bulk Raw Materials"/>
    <s v="Bulck Raw Material"/>
    <s v="Bulck Raw Material"/>
    <s v="Non Technical Support"/>
    <s v="Administration"/>
    <s v="Administration"/>
    <s v="74101001"/>
    <s v="Administration"/>
    <s v="Dabuna"/>
    <d v="1974-04-01T00:00:00"/>
    <s v="49.05"/>
    <d v="2012-06-01T00:00:00"/>
    <d v="2032-03-31T00:00:00"/>
    <m/>
    <d v="2032-03-31T00:00:00"/>
    <n v="3115"/>
    <s v="AB-"/>
    <s v="Intermediate-1994 , BA-1994 , SSLC-1991"/>
    <s v=""/>
    <s v="11.03"/>
    <s v="11.03"/>
    <s v="70258505"/>
    <s v="Bulk Raw Material"/>
    <s v="70293785"/>
    <s v="Officer - Raw Material"/>
    <s v="Odisha"/>
    <s v="0022010019"/>
    <s v="DBN-Benf-HR/Admin"/>
    <s v="2000STORIS"/>
    <s v="20037898"/>
    <s v="Sanjib Sinha"/>
    <s v="No"/>
    <s v="kalinga.ray@amns.in"/>
    <s v="9437487790"/>
    <s v="23774"/>
    <s v="Sunila Das"/>
    <s v="Anil Matoo"/>
    <s v="Praveen Kuruvalli"/>
    <s v="Sunila Das"/>
    <n v="0"/>
  </r>
  <r>
    <n v="2763"/>
    <n v="20043383"/>
    <s v="Maneesh Moti"/>
    <s v="AM/NS India"/>
    <s v="Onroll"/>
    <s v="M-4"/>
    <n v="4"/>
    <m/>
    <s v="S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Head-Digital Initiatives (CRM &amp; E-Com.)"/>
    <m/>
    <s v="Sales Steering &amp; BD"/>
    <s v="Digital Initiatives"/>
    <s v="Strategic Sales &amp; Branding"/>
    <s v="Non Technical Support"/>
    <s v="Sales &amp; Marketing"/>
    <s v="Marketing"/>
    <s v="73102001"/>
    <s v="Marketing"/>
    <s v="Mumbai"/>
    <d v="1965-12-14T00:00:00"/>
    <s v="57.09"/>
    <d v="2012-07-01T00:00:00"/>
    <d v="2023-12-31T00:00:00"/>
    <m/>
    <d v="2023-12-31T00:00:00"/>
    <n v="102"/>
    <s v="O-"/>
    <s v="MBA-1988 , BSc-1988 , MSc-1986"/>
    <s v="16.04"/>
    <s v="11.02"/>
    <s v="27.06"/>
    <s v="70462100"/>
    <s v="Digital Initiatives"/>
    <s v="70336305"/>
    <s v="Head-Digital Initiatives (CRM &amp; E-Com.)"/>
    <s v="Corporate"/>
    <s v="0080000005"/>
    <s v="Global Markets Team"/>
    <s v="2000CS"/>
    <s v="20010531"/>
    <s v="Saptarshi Saha"/>
    <s v="No"/>
    <s v="maneesh.moti@amns.in"/>
    <s v="9819730706"/>
    <s v="22712"/>
    <s v="Dhruv Vyas"/>
    <s v="Anil Matoo"/>
    <s v="Praveen Kuruvalli"/>
    <s v="Dhruv Vyas"/>
    <n v="0"/>
  </r>
  <r>
    <n v="2823"/>
    <n v="20043911"/>
    <s v="Sudhanshu Sharm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F &amp; A &amp; Hypermart"/>
    <m/>
    <s v="Working Capital"/>
    <s v="Hypermart"/>
    <s v="Hypermart"/>
    <s v="Non Technical Support"/>
    <s v="Commercial"/>
    <s v="Commercial"/>
    <s v="73801001"/>
    <s v="Commercial"/>
    <s v="AM/NS Hazira"/>
    <d v="1974-11-10T00:00:00"/>
    <s v="48.10"/>
    <d v="2012-09-10T00:00:00"/>
    <d v="2032-11-30T00:00:00"/>
    <m/>
    <d v="2032-11-30T00:00:00"/>
    <n v="3359"/>
    <s v="B-"/>
    <s v="BCom-2012 , MBA-2012 , Intermediate-1996"/>
    <s v="11.03"/>
    <s v="11.00"/>
    <s v="22.03"/>
    <s v="70495565"/>
    <s v="F&amp;A Hypermart &amp; Service Centre"/>
    <s v="70308841"/>
    <s v="Lead - F &amp; A &amp; Hypermart"/>
    <s v="Hypermart"/>
    <s v="0060100001"/>
    <s v="HMART-Finance &amp; Acco"/>
    <s v="2000SRET"/>
    <s v="20055504"/>
    <s v="Vivek Choudhary"/>
    <s v="No"/>
    <s v="sudhanshu.sharma@amns.in"/>
    <s v="9930134585"/>
    <s v="24120"/>
    <s v="Dhruv Vyas"/>
    <s v="Anil Matoo"/>
    <s v="Praveen Kuruvalli"/>
    <s v="Dhruv Vyas"/>
    <n v="0"/>
  </r>
  <r>
    <n v="2830"/>
    <n v="20044846"/>
    <s v="Prasanna Malagi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Lead - MIS"/>
    <m/>
    <s v="Hypermart"/>
    <s v="Hypermart"/>
    <s v="West Zone"/>
    <s v="Non Technical Support"/>
    <s v="Supply Chain Management"/>
    <s v="Supply Chain Management"/>
    <s v="73701001"/>
    <s v="Supply Chain Management"/>
    <s v="Mumbai"/>
    <d v="1985-08-30T00:00:00"/>
    <s v="38.00"/>
    <d v="2013-01-28T00:00:00"/>
    <d v="2043-08-31T00:00:00"/>
    <m/>
    <d v="2043-08-31T00:00:00"/>
    <n v="7285"/>
    <s v="O-"/>
    <s v="High School-2012 , PG Diploma in Managem"/>
    <s v=""/>
    <s v="10.07"/>
    <s v="10.07"/>
    <s v="72150154"/>
    <s v="HyperMart"/>
    <s v="70325244"/>
    <s v="Lead - MIS"/>
    <s v="Hypermart"/>
    <s v="0060100004"/>
    <s v="HMART-HR/Admin Expen"/>
    <s v="2000SRET"/>
    <s v="20006236"/>
    <s v="Sanjay Vaid"/>
    <s v="No"/>
    <s v="prasanna.malagi@amns.in"/>
    <s v="9930134713"/>
    <s v="22507"/>
    <s v="Dhruv Vyas"/>
    <s v="Anil Matoo"/>
    <s v="Praveen Kuruvalli"/>
    <s v="Dhruv Vyas"/>
    <n v="0"/>
  </r>
  <r>
    <n v="2845"/>
    <n v="20045323"/>
    <s v="Aditya Chandra Lenka"/>
    <s v="AM/NS India"/>
    <s v="Onroll"/>
    <s v="M-11"/>
    <n v="11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Administration"/>
    <s v="Administration"/>
    <s v="Non Technical Support"/>
    <s v="Administration"/>
    <s v="Administration"/>
    <s v="74101001"/>
    <s v="Administration"/>
    <s v="Paradeep"/>
    <d v="1988-03-31T00:00:00"/>
    <s v="35.05"/>
    <d v="2013-04-05T00:00:00"/>
    <d v="2046-03-31T00:00:00"/>
    <m/>
    <d v="2046-03-31T00:00:00"/>
    <n v="8228"/>
    <s v=""/>
    <s v="BBA-2011 , MA-2011"/>
    <s v=""/>
    <s v="10.05"/>
    <s v="10.05"/>
    <s v="70238103"/>
    <s v="Odisha - Admin &amp; Industrial Relations"/>
    <s v="70333604"/>
    <s v="Lead - Administration"/>
    <s v="Odisha"/>
    <s v="0022030019"/>
    <s v="PDP-HR &amp; Admn"/>
    <s v="2000STORIS"/>
    <s v="20057297"/>
    <s v="Bibhash Mohanty"/>
    <s v="No"/>
    <s v="aditya.lenka@amns.in"/>
    <s v="9437037968"/>
    <s v="21022"/>
    <s v="Sunila Das"/>
    <s v="Anil Matoo"/>
    <s v="Praveen Kuruvalli"/>
    <s v="Sunila Das"/>
    <n v="0"/>
  </r>
  <r>
    <n v="2846"/>
    <n v="20045324"/>
    <s v="Basavaraj Ramappa Gulalkai"/>
    <s v="AM/NS India"/>
    <s v="Onroll"/>
    <s v="M-8"/>
    <n v="8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Administration"/>
    <s v="Administration"/>
    <s v="Non Technical Support"/>
    <s v="Administration"/>
    <s v="Administration"/>
    <s v="74101001"/>
    <s v="Administration"/>
    <s v="Paradeep"/>
    <d v="1965-07-15T00:00:00"/>
    <s v="58.02"/>
    <d v="2013-04-05T00:00:00"/>
    <d v="2023-07-31T00:00:00"/>
    <m/>
    <d v="2023-07-31T00:00:00"/>
    <n v="-51"/>
    <s v="O-"/>
    <s v="BSc-1993"/>
    <s v="19.11"/>
    <s v="10.05"/>
    <s v="30.04"/>
    <s v="70238103"/>
    <s v="Odisha - Admin &amp; Industrial Relations"/>
    <s v="70333606"/>
    <s v="Lead - Administration"/>
    <s v="Odisha"/>
    <s v="0022030019"/>
    <s v="PDP-HR &amp; Admn"/>
    <s v="2000STORIS"/>
    <s v="20057297"/>
    <s v="Bibhash Mohanty"/>
    <s v="Yes"/>
    <s v="basavaraj.gulalkai@amns.in"/>
    <s v="7381007047"/>
    <s v="21850"/>
    <s v="Sunila Das"/>
    <s v="Anil Matoo"/>
    <s v="Praveen Kuruvalli"/>
    <s v="Sunila Das"/>
    <n v="0"/>
  </r>
  <r>
    <n v="2850"/>
    <n v="20045482"/>
    <s v="Sandeep Soni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Corporate Asset Management"/>
    <m/>
    <s v="Corporate Accounts"/>
    <s v="Corporate Accounts &amp; Audit"/>
    <s v="Corporate Accounts &amp; Audit"/>
    <s v="Non Technical Support"/>
    <s v="Finance &amp; Accounts"/>
    <s v="Finance &amp; Accounts"/>
    <s v="73901001"/>
    <s v="Finance &amp; Accounts"/>
    <s v="AM/NS Hazira"/>
    <d v="1978-09-16T00:00:00"/>
    <s v="45.00"/>
    <d v="2013-05-01T00:00:00"/>
    <d v="2036-09-30T00:00:00"/>
    <m/>
    <d v="2036-09-30T00:00:00"/>
    <n v="4759"/>
    <s v="B-"/>
    <s v="BCom-2004 , CA Final-2004"/>
    <s v="06.09"/>
    <s v="10.04"/>
    <s v="17.01"/>
    <s v="70495666"/>
    <s v="Corporate Asset Management"/>
    <s v="70336612"/>
    <s v="Sr. Lead - Corporate Asset Management"/>
    <s v="Hazira"/>
    <s v="0090000027"/>
    <s v="Corporate Steel - Ac"/>
    <s v="2000HWO"/>
    <s v="20000679"/>
    <s v="Dinesh Mangal"/>
    <s v="No"/>
    <s v="sandeep.soni@amns.in"/>
    <s v="9879103501"/>
    <s v="24344"/>
    <s v="Dhruv Vyas"/>
    <s v="Anil Matoo"/>
    <s v="Praveen Kuruvalli"/>
    <s v="Dhruv Vyas"/>
    <n v="0"/>
  </r>
  <r>
    <n v="2860"/>
    <n v="20045946"/>
    <s v="Yatin Madhukar Thakur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 Gen. Mgr - Sales &amp; Mk"/>
    <m/>
    <s v="Pipe"/>
    <s v="Pipe"/>
    <s v=""/>
    <s v="Non Technical Support"/>
    <s v="Sales &amp; Marketing"/>
    <s v="Sales &amp; Marketing"/>
    <s v="73101001"/>
    <s v="Sales &amp; Marketing"/>
    <s v="Mumbai"/>
    <d v="1972-08-05T00:00:00"/>
    <s v="51.01"/>
    <d v="2013-08-01T00:00:00"/>
    <d v="2030-08-31T00:00:00"/>
    <m/>
    <d v="2030-08-31T00:00:00"/>
    <n v="2537"/>
    <s v=""/>
    <s v="PG Diploma in Management-1993 , BCom-199"/>
    <s v="10.06"/>
    <s v="10.01"/>
    <s v="20.07"/>
    <s v="70387159"/>
    <s v="Pipe Sales"/>
    <s v="70346075"/>
    <s v="Sr. KAM - Domestics Pipe Sales"/>
    <s v="Hazira"/>
    <s v="0031591982"/>
    <s v="PM-Marketing"/>
    <s v="2000HWO"/>
    <s v="20007414"/>
    <s v="Gaurav Sharma"/>
    <s v="No"/>
    <s v="yatin.thakur@amns.in"/>
    <s v="9930132103"/>
    <s v="24506"/>
    <s v="Dhruv Vyas"/>
    <s v="Anil Matoo"/>
    <s v="Praveen Kuruvalli"/>
    <s v="Dhruv Vyas"/>
    <n v="0"/>
  </r>
  <r>
    <n v="2862"/>
    <n v="20046027"/>
    <s v="Sapan Manoj Roy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West Zone"/>
    <s v="Non Technical Support"/>
    <s v="Sales &amp; Marketing"/>
    <s v="Sales"/>
    <s v="73104003"/>
    <s v="Retail Sales"/>
    <s v="Taloja"/>
    <d v="1983-05-21T00:00:00"/>
    <s v="40.03"/>
    <d v="2013-08-16T00:00:00"/>
    <d v="2041-05-31T00:00:00"/>
    <m/>
    <d v="2041-05-31T00:00:00"/>
    <n v="6463"/>
    <s v="A-"/>
    <s v="High School-2005 , BCom-2005"/>
    <s v="01.09"/>
    <s v="10.01"/>
    <s v="11.10"/>
    <s v="00048138"/>
    <s v="Hypermart west"/>
    <s v="70346813"/>
    <s v="Sales Manager - Hypermart"/>
    <s v="Hypermart"/>
    <s v="0060110500"/>
    <s v="HMART-Mah-Pune"/>
    <s v="2000SRET"/>
    <s v="20056847"/>
    <s v="Vikas Chotia"/>
    <s v="No"/>
    <s v="sapan.roy@amns.in"/>
    <s v="9819730777"/>
    <s v="23810"/>
    <s v="Dhruv Vyas"/>
    <s v="Anil Matoo"/>
    <s v="Praveen Kuruvalli"/>
    <s v="Dhruv Vyas"/>
    <n v="0"/>
  </r>
  <r>
    <n v="2863"/>
    <n v="20046072"/>
    <s v="Mandar Sitaram Ambr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 Gen. Mgr - Sales &amp; Mk"/>
    <m/>
    <s v="Pipe"/>
    <s v="Pipe"/>
    <s v=""/>
    <s v="Non Technical Support"/>
    <s v="Sales &amp; Marketing"/>
    <s v="Sales &amp; Marketing"/>
    <s v="73101001"/>
    <s v="Sales &amp; Marketing"/>
    <s v="Mumbai"/>
    <d v="1980-05-13T00:00:00"/>
    <s v="43.04"/>
    <d v="2013-08-19T00:00:00"/>
    <d v="2038-05-31T00:00:00"/>
    <m/>
    <d v="2038-05-31T00:00:00"/>
    <n v="5367"/>
    <s v="B-"/>
    <s v="BE-2005 , Diploma-2005"/>
    <s v="11.05"/>
    <s v="10.01"/>
    <s v="21.06"/>
    <s v="70387159"/>
    <s v="Pipe Sales"/>
    <s v="70347387"/>
    <s v="KAM - International Pipe Sales"/>
    <s v="Hazira"/>
    <s v="0031591982"/>
    <s v="PM-Marketing"/>
    <s v="2000HWO"/>
    <s v="20007414"/>
    <s v="Gaurav Sharma"/>
    <s v="No"/>
    <s v="mandar.ambre@amns.in"/>
    <s v="9819730229"/>
    <s v="22521"/>
    <s v="Dhruv Vyas"/>
    <s v="Anil Matoo"/>
    <s v="Praveen Kuruvalli"/>
    <s v="Dhruv Vyas"/>
    <n v="0"/>
  </r>
  <r>
    <n v="2864"/>
    <n v="20046194"/>
    <s v="Shivashankar Rajapur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Hypermart"/>
    <s v=""/>
    <s v="Non Technical Support"/>
    <s v="Sales &amp; Marketing"/>
    <s v="Sales"/>
    <s v="73104004"/>
    <s v="OEM Sales"/>
    <s v="Bangalore"/>
    <d v="1978-08-10T00:00:00"/>
    <s v="45.01"/>
    <d v="2013-09-10T00:00:00"/>
    <d v="2036-08-31T00:00:00"/>
    <m/>
    <d v="2036-08-31T00:00:00"/>
    <n v="4729"/>
    <s v="A-"/>
    <s v="SSLC-1996 , Diploma-1996"/>
    <s v="09.03"/>
    <s v="10.00"/>
    <s v="19.03"/>
    <s v="00048814"/>
    <s v="Sales South Zone – Hypermart"/>
    <s v="70349522"/>
    <s v="Sales Manager - Hypermart"/>
    <s v="Hazira"/>
    <s v="0060140300"/>
    <s v="HMART-Kar-Bangolre"/>
    <s v="2000HWO"/>
    <s v="20056279"/>
    <s v="Arun G"/>
    <s v="No"/>
    <s v="shivashankar.rajapur@amns.in"/>
    <s v="9845895458"/>
    <s v="23632"/>
    <s v="Dhruv Vyas"/>
    <s v="Anil Matoo"/>
    <s v="Praveen Kuruvalli"/>
    <s v="Dhruv Vyas"/>
    <n v="0"/>
  </r>
  <r>
    <n v="2866"/>
    <n v="20046362"/>
    <s v="Sandeep Shah"/>
    <s v="AM/NS India"/>
    <s v="Onroll"/>
    <s v="M-8"/>
    <n v="8"/>
    <m/>
    <s v="JM"/>
    <s v="M"/>
    <s v="Hazira"/>
    <n v="1"/>
    <s v="2096"/>
    <x v="14"/>
    <s v="36.02"/>
    <s v="Hrishikesh Kamat"/>
    <s v="Hrishikesh Kamat"/>
    <n v="7"/>
    <s v="Procurement"/>
    <s v="Raw Materials"/>
    <s v="36"/>
    <s v="Lead - Power Management"/>
    <m/>
    <s v="Power &amp; Gas"/>
    <s v="Power &amp; Gas"/>
    <s v="Power &amp; Gas"/>
    <s v="Non Technical Support"/>
    <s v="Commercial"/>
    <s v="Procurement"/>
    <s v="73803001"/>
    <s v="Procurement"/>
    <s v="Hazira"/>
    <d v="1984-11-05T00:00:00"/>
    <s v="38.10"/>
    <d v="2013-10-14T00:00:00"/>
    <d v="2042-11-30T00:00:00"/>
    <m/>
    <d v="2042-11-30T00:00:00"/>
    <n v="7011"/>
    <s v="O-"/>
    <s v="BCom-2009 , MBA-2009"/>
    <s v="05.08"/>
    <s v="09.11"/>
    <s v="15.06"/>
    <s v="00049516"/>
    <s v="Power &amp; Gas"/>
    <s v="70352941"/>
    <s v="Lead - Power Management"/>
    <s v="Hazira"/>
    <s v="0031950048"/>
    <s v="HZ-Procurment Depart"/>
    <s v="2000HWO"/>
    <s v="20004612"/>
    <s v="Ramesh Chabhadiya"/>
    <s v="No"/>
    <s v="sandeep.shah1@amns.in"/>
    <s v="9925241531"/>
    <s v="24038"/>
    <s v="Dhruv Vyas"/>
    <s v="Anil Matoo"/>
    <s v="Praveen Kuruvalli"/>
    <s v="Dhruv Vyas"/>
    <n v="0"/>
  </r>
  <r>
    <n v="2869"/>
    <n v="20046414"/>
    <s v="Vinod Ninaw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"/>
    <s v="Non Technical Support"/>
    <s v="Sales &amp; Marketing"/>
    <s v="Sales"/>
    <s v="73104004"/>
    <s v="OEM Sales"/>
    <s v="Vadodara"/>
    <d v="1975-12-10T00:00:00"/>
    <s v="47.09"/>
    <d v="2013-10-22T00:00:00"/>
    <d v="2033-12-31T00:00:00"/>
    <m/>
    <d v="2033-12-31T00:00:00"/>
    <n v="3755"/>
    <s v="O-"/>
    <s v="Diploma-2012 , BBA-2012"/>
    <s v="16.10"/>
    <s v="09.10"/>
    <s v="26.08"/>
    <s v="00052660"/>
    <s v="Plate Sales"/>
    <s v="70356053"/>
    <s v="KAM - OEM Sales"/>
    <s v="Hazira"/>
    <s v="0031581982"/>
    <s v="PLM-Marketing"/>
    <s v="2000HWO"/>
    <s v="20003623"/>
    <s v="Soumyadeep Datta"/>
    <s v="No"/>
    <s v="vinod.ninawe@amns.in"/>
    <s v="9879103692"/>
    <s v="22847"/>
    <s v="Dhruv Vyas"/>
    <s v="Anil Matoo"/>
    <s v="Praveen Kuruvalli"/>
    <s v="Dhruv Vyas"/>
    <n v="0"/>
  </r>
  <r>
    <n v="2871"/>
    <n v="20046597"/>
    <s v="Satyabrata Ray"/>
    <s v="AM/NS India"/>
    <s v="Onroll"/>
    <s v="M-7"/>
    <n v="7"/>
    <m/>
    <s v="MM"/>
    <s v="M"/>
    <s v="Odisha"/>
    <n v="2"/>
    <s v="2162"/>
    <x v="18"/>
    <s v="33.01"/>
    <s v="Hrishikesh Kamat"/>
    <s v="Hrishikesh Kamat"/>
    <n v="7"/>
    <s v="Procurement"/>
    <s v="Shipping &amp; Chartering"/>
    <s v="33"/>
    <s v="Lead - Logistics &amp; Marketing"/>
    <m/>
    <s v="Shipping &amp; Chartering"/>
    <s v="Logistics"/>
    <s v="Logistics"/>
    <s v="Non Technical Support"/>
    <s v="Sales &amp; Marketing"/>
    <s v="Sales &amp; Marketing"/>
    <s v="73101001"/>
    <s v="Sales &amp; Marketing"/>
    <s v="Paradeep"/>
    <d v="1980-09-28T00:00:00"/>
    <s v="42.11"/>
    <d v="2013-11-09T00:00:00"/>
    <d v="2038-09-30T00:00:00"/>
    <m/>
    <d v="2038-09-30T00:00:00"/>
    <n v="5489"/>
    <s v="B-"/>
    <s v="High School-2004 , PG Diploma in Managem"/>
    <s v="09.07"/>
    <s v="09.10"/>
    <s v="19.05"/>
    <s v="70238106"/>
    <s v="Ports &amp; Logistics"/>
    <s v="70360680"/>
    <s v="Lead - Logistics &amp; Marketing"/>
    <s v="Odisha"/>
    <s v="0022030019"/>
    <s v="PDP-HR &amp; Admn"/>
    <s v="2000STORIS"/>
    <s v="20055165"/>
    <s v="Subhakant Dash"/>
    <s v="No"/>
    <s v="satyabrata.ray@amns.in"/>
    <s v="7381007276"/>
    <s v="23775"/>
    <s v="Sunila Das"/>
    <s v="Anil Matoo"/>
    <s v="Praveen Kuruvalli"/>
    <s v="Sunila Das"/>
    <n v="0"/>
  </r>
  <r>
    <n v="2873"/>
    <n v="20046623"/>
    <s v="Anil Kumar Sahoo"/>
    <s v="AM/NS India"/>
    <s v="Onroll"/>
    <s v="M-7"/>
    <n v="7"/>
    <m/>
    <s v="MM"/>
    <s v="M"/>
    <s v="Odisha"/>
    <n v="2"/>
    <s v="2095"/>
    <x v="4"/>
    <n v="36.01"/>
    <s v="Deepak Sindkar"/>
    <s v="Hrishikesh Kamat"/>
    <n v="7"/>
    <s v="Procurement"/>
    <s v="Raw Materials"/>
    <s v="36"/>
    <s v="Lead - Raw Material"/>
    <m/>
    <s v="Bulk Raw Materials"/>
    <s v="Bulck Raw Material"/>
    <s v="Bulck Raw Material"/>
    <s v="Non Technical Support"/>
    <s v="Services"/>
    <s v="Material Handling services"/>
    <s v="72103019"/>
    <s v="Logistics Operations"/>
    <s v="Dabuna"/>
    <d v="1976-01-08T00:00:00"/>
    <s v="47.08"/>
    <d v="2013-12-10T00:00:00"/>
    <d v="2034-01-31T00:00:00"/>
    <m/>
    <d v="2034-01-31T00:00:00"/>
    <n v="3786"/>
    <s v="B-"/>
    <s v="BA-2005 , PG Diploma in Management-2005"/>
    <s v="04.00"/>
    <s v="09.09"/>
    <s v="13.09"/>
    <s v="70258505"/>
    <s v="Bulk Raw Material"/>
    <s v="70361391"/>
    <s v="Lead - Raw Material"/>
    <s v="Odisha"/>
    <s v="0022010019"/>
    <s v="DBN-Benf-HR/Admin"/>
    <s v="2000STORIS"/>
    <s v="20037898"/>
    <s v="Sanjib Sinha"/>
    <s v="No"/>
    <s v="anil.sahoo@amns.in"/>
    <s v="7381007292"/>
    <s v="23845"/>
    <s v="Sunila Das"/>
    <s v="Anil Matoo"/>
    <s v="Praveen Kuruvalli"/>
    <s v="Sunila Das"/>
    <n v="0"/>
  </r>
  <r>
    <n v="2962"/>
    <n v="20047249"/>
    <s v="Anantha Nataraja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Hypermart"/>
    <s v="South Zone"/>
    <s v="Non Technical Support"/>
    <s v="Sales &amp; Marketing"/>
    <s v="Sales"/>
    <s v="73104003"/>
    <s v="Retail Sales"/>
    <s v="Coimbatore"/>
    <d v="1987-07-14T00:00:00"/>
    <s v="36.02"/>
    <d v="2014-02-24T00:00:00"/>
    <d v="2045-07-31T00:00:00"/>
    <m/>
    <d v="2045-07-31T00:00:00"/>
    <n v="7985"/>
    <s v="B-"/>
    <s v="MBA-2014 , BE-2008 , Intermediate-2004"/>
    <s v="05.00"/>
    <s v="09.06"/>
    <s v="14.06"/>
    <s v="00048814"/>
    <s v="Sales South Zone – Hypermart"/>
    <s v="70373206"/>
    <s v="Sales Manager - Hypermart"/>
    <s v="Hypermart"/>
    <s v="0060140900"/>
    <s v="HMART-TN-Coimbatore"/>
    <s v="2000SRET"/>
    <s v="20056279"/>
    <s v="Arun G"/>
    <s v="No"/>
    <s v="anantha.ganapathy@amns.in"/>
    <s v="8870171005"/>
    <s v="21745"/>
    <s v="Dhruv Vyas"/>
    <s v="Anil Matoo"/>
    <s v="Praveen Kuruvalli"/>
    <s v="Dhruv Vyas"/>
    <n v="0"/>
  </r>
  <r>
    <n v="2969"/>
    <n v="20047579"/>
    <s v="Mahadev Kumar"/>
    <s v="AM/NS India"/>
    <s v="Onroll"/>
    <s v="M-7"/>
    <n v="7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Sr. Lead - F &amp; A and Stores"/>
    <m/>
    <s v="Working Capital"/>
    <s v="Service Centers"/>
    <s v="Service Centre"/>
    <s v="Non Technical Support"/>
    <s v="Commercial"/>
    <s v="Commercial"/>
    <s v="73801001"/>
    <s v="Commercial"/>
    <s v="Paradeep"/>
    <d v="1967-05-27T00:00:00"/>
    <s v="56.03"/>
    <d v="2014-04-14T00:00:00"/>
    <d v="2025-05-31T00:00:00"/>
    <m/>
    <d v="2025-05-31T00:00:00"/>
    <n v="619"/>
    <s v="AB+"/>
    <s v="BCom-1991"/>
    <s v="23.09"/>
    <s v="09.05"/>
    <s v="33.02"/>
    <s v="72150243"/>
    <s v="Accounts Payable"/>
    <s v="70380446"/>
    <s v="Sr. Lead - F &amp; A and Stores"/>
    <s v="Odisha"/>
    <s v="0040040019"/>
    <s v="SC-Howrah-HR - Admn"/>
    <s v="2000STORIS"/>
    <s v="20001076"/>
    <s v="Bhavesh Modi"/>
    <s v="No"/>
    <s v="mahadev.kumar@amns.in"/>
    <s v="8335820020"/>
    <s v="22327"/>
    <s v="Sunila Das"/>
    <s v="Anil Matoo"/>
    <s v="Praveen Kuruvalli"/>
    <s v="Sunila Das"/>
    <n v="0"/>
  </r>
  <r>
    <n v="2970"/>
    <n v="20047658"/>
    <s v="Balamurugan Gurusamy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Automotive Sales"/>
    <m/>
    <s v="South"/>
    <s v="Auto"/>
    <s v=""/>
    <s v="Non Technical Support"/>
    <s v="Sales &amp; Marketing"/>
    <s v="Sales"/>
    <s v="73104004"/>
    <s v="OEM Sales"/>
    <s v="Chennai"/>
    <d v="1983-03-20T00:00:00"/>
    <s v="40.06"/>
    <d v="2014-05-05T00:00:00"/>
    <d v="2041-03-31T00:00:00"/>
    <m/>
    <d v="2041-03-31T00:00:00"/>
    <n v="6402"/>
    <s v="O-"/>
    <s v="BTech-2006 , Intermediate-2006 , MBA-199"/>
    <s v="07.10"/>
    <s v="09.04"/>
    <s v="17.02"/>
    <s v="00052468"/>
    <s v="Automotive Sales - Chennai"/>
    <s v="70381670"/>
    <s v="Sr. KAM Automotive Sales"/>
    <s v="Hazira"/>
    <s v="0031950057"/>
    <s v="HZ-HRC - Marketing"/>
    <s v="2000HWO"/>
    <s v="20000909"/>
    <s v="Murali Krishna Chunduru"/>
    <s v="No"/>
    <s v="balamurugan.gurusamy@amns.in"/>
    <s v="9884039030"/>
    <s v="21883"/>
    <s v="Dhruv Vyas"/>
    <s v="Anil Matoo"/>
    <s v="Praveen Kuruvalli"/>
    <s v="Dhruv Vyas"/>
    <n v="0"/>
  </r>
  <r>
    <n v="2971"/>
    <n v="20047664"/>
    <s v="Devang Desai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- Customs EXIM &amp; FTP"/>
    <m/>
    <s v="Taxation"/>
    <s v="In Direct - Taxation"/>
    <s v="Indirect Taxation"/>
    <s v="Non Technical Support"/>
    <s v="Finance &amp; Accounts"/>
    <s v="Taxation"/>
    <s v="73904001"/>
    <s v="Direct Taxation"/>
    <s v="AM/NS Hazira"/>
    <d v="1970-10-14T00:00:00"/>
    <s v="52.11"/>
    <d v="2014-05-12T00:00:00"/>
    <d v="2028-10-31T00:00:00"/>
    <m/>
    <d v="2028-10-31T00:00:00"/>
    <n v="1868"/>
    <s v="A-"/>
    <s v="MBA-1994 , BE-1994"/>
    <s v="19.10"/>
    <s v="09.04"/>
    <s v="29.02"/>
    <s v="70072408"/>
    <s v="Customs / DGFT / EXIM"/>
    <s v="70382561"/>
    <s v="Head - Customs EXIM &amp; FTP"/>
    <s v="Hazira"/>
    <s v="0031950044"/>
    <s v="HZ-Commercial Taxati"/>
    <s v="2000HWO"/>
    <s v="20055193"/>
    <s v="Anuprita Kaushik Mehta"/>
    <s v="No"/>
    <s v="devang.desai@amns.in"/>
    <s v="9879100585"/>
    <s v="21577"/>
    <s v="Dhruv Vyas"/>
    <s v="Anil Matoo"/>
    <s v="Praveen Kuruvalli"/>
    <s v="Dhruv Vyas"/>
    <n v="0"/>
  </r>
  <r>
    <n v="2972"/>
    <n v="20047683"/>
    <s v="Virat Vij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Sales Head – Other West"/>
    <m/>
    <s v="Other West"/>
    <s v="Other West"/>
    <s v=""/>
    <s v="Non Technical Support"/>
    <s v="R&amp; D and QA/QC"/>
    <s v="R&amp;D"/>
    <s v="72103029"/>
    <s v="R&amp;D"/>
    <s v="Pune"/>
    <d v="1980-10-04T00:00:00"/>
    <s v="42.11"/>
    <d v="2014-05-12T00:00:00"/>
    <d v="2038-10-31T00:00:00"/>
    <m/>
    <d v="2038-10-31T00:00:00"/>
    <n v="5520"/>
    <s v="B-"/>
    <s v="BE-1998 , Intermediate-1998"/>
    <s v="08.01"/>
    <s v="09.04"/>
    <s v="17.05"/>
    <s v="70495309"/>
    <s v="Sales West Zone"/>
    <s v="70383968"/>
    <s v="Regional Sales Head – Other West"/>
    <s v="Hazira"/>
    <s v="0031950057"/>
    <s v="HZ-HRC - Marketing"/>
    <s v="2000HWO"/>
    <s v="20007104"/>
    <s v="Ranjan Dhar"/>
    <s v="No"/>
    <s v="virat.vij@amns.in"/>
    <s v="9923205269"/>
    <s v="24691"/>
    <s v="Dhruv Vyas"/>
    <s v="Anil Matoo"/>
    <s v="Praveen Kuruvalli"/>
    <s v="Dhruv Vyas"/>
    <n v="0"/>
  </r>
  <r>
    <n v="2981"/>
    <n v="20048487"/>
    <s v="Devendra Ra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Receivable"/>
    <m/>
    <s v="Working Capital"/>
    <s v="Accounts Receivable"/>
    <s v="Credit Control"/>
    <s v="Non Technical Support"/>
    <s v="Finance &amp; Accounts"/>
    <s v="Finance &amp; Accounts"/>
    <s v="73901001"/>
    <s v="Finance &amp; Accounts"/>
    <s v="AM/NS Hazira"/>
    <d v="1981-03-12T00:00:00"/>
    <s v="42.06"/>
    <d v="2014-08-29T00:00:00"/>
    <d v="2039-03-31T00:00:00"/>
    <m/>
    <d v="2039-03-31T00:00:00"/>
    <n v="5671"/>
    <s v="O-"/>
    <s v="LLB-2007 , CA Final-2007 , BCom-2006"/>
    <s v="06.06"/>
    <s v="09.00"/>
    <s v="15.06"/>
    <s v="00045312"/>
    <s v="Accounts Receivable"/>
    <s v="72150931"/>
    <s v="Sr. Lead - Accounts Receivable"/>
    <s v="Hazira"/>
    <s v="0031950045"/>
    <s v="HZ-Works Accounts-Ha"/>
    <s v="2000HWO"/>
    <s v="20007731"/>
    <s v="Ashish Mehta"/>
    <s v="No"/>
    <s v="devendra.rai@amns.in"/>
    <s v="9879106751"/>
    <s v="23612"/>
    <s v="Dhruv Vyas"/>
    <s v="Anil Matoo"/>
    <s v="Praveen Kuruvalli"/>
    <s v="Dhruv Vyas"/>
    <n v="0"/>
  </r>
  <r>
    <n v="2983"/>
    <n v="20048693"/>
    <s v="Krishnendu Banerjee"/>
    <s v="AM/NS India"/>
    <s v="Onroll"/>
    <s v="M-8"/>
    <n v="8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Lead - Corporate Accounts"/>
    <m/>
    <s v="Finance &amp; Accounts - Odisha"/>
    <s v="Finance &amp; Accounts"/>
    <s v="Corporate Accounts"/>
    <s v="Non Technical Support"/>
    <s v="Finance &amp; Accounts"/>
    <s v="Finance &amp; Accounts"/>
    <s v="73901001"/>
    <s v="Finance &amp; Accounts"/>
    <s v="Paradeep"/>
    <d v="1965-01-11T00:00:00"/>
    <s v="58.08"/>
    <d v="2014-10-08T00:00:00"/>
    <d v="2023-01-31T00:00:00"/>
    <d v="2024-01-31T00:00:00"/>
    <d v="2024-01-31T00:00:00"/>
    <n v="133"/>
    <s v="B-"/>
    <s v="Diploma-1986 , PG Diploma-1986 , BSc-198"/>
    <s v="20.00"/>
    <s v="08.11"/>
    <s v="28.11"/>
    <s v="70234933"/>
    <s v="Finance &amp; Accounts - Odisha"/>
    <s v="70410529"/>
    <s v="Lead - Corporate Accounts"/>
    <s v="Odisha"/>
    <s v="0022030019"/>
    <s v="PDP-HR &amp; Admn"/>
    <s v="2000STORIS"/>
    <s v="20055801"/>
    <s v="Sanjive Kumar Singh"/>
    <s v="No"/>
    <s v="krishnendu.banerjee@amns.in"/>
    <s v="7381007151"/>
    <s v="21158"/>
    <s v="Sunila Das"/>
    <s v="Anil Matoo"/>
    <s v="Praveen Kuruvalli"/>
    <s v="Sunila Das"/>
    <n v="0"/>
  </r>
  <r>
    <n v="2991"/>
    <n v="20048958"/>
    <s v="Tirthanka Roy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r. Manager - Sales &amp; Mkt"/>
    <m/>
    <s v="Plate"/>
    <s v="Plate"/>
    <s v=""/>
    <s v="Non Technical Support"/>
    <s v="Sales &amp; Marketing"/>
    <s v="Sales &amp; Marketing"/>
    <s v="73101001"/>
    <s v="Sales &amp; Marketing"/>
    <s v="Mumbai"/>
    <d v="1984-02-04T00:00:00"/>
    <s v="39.07"/>
    <d v="2014-11-17T00:00:00"/>
    <d v="2042-02-28T00:00:00"/>
    <m/>
    <d v="2042-02-28T00:00:00"/>
    <n v="6736"/>
    <s v="O-"/>
    <s v="BE-2007 , High School-2003"/>
    <s v="04.06"/>
    <s v="08.10"/>
    <s v="13.04"/>
    <s v="70387158"/>
    <s v="S&amp;M – e_Sales"/>
    <s v="70414442"/>
    <s v="Sales Manager - E Sales"/>
    <s v="Hazira"/>
    <s v="0031591982"/>
    <s v="PM-Marketing"/>
    <s v="2000HWO"/>
    <s v="20003623"/>
    <s v="Soumyadeep Datta"/>
    <s v="No"/>
    <s v="tirthanka.roy@amns.in"/>
    <s v="9819730149"/>
    <s v="23811"/>
    <s v="Dhruv Vyas"/>
    <s v="Anil Matoo"/>
    <s v="Praveen Kuruvalli"/>
    <s v="Dhruv Vyas"/>
    <n v="0"/>
  </r>
  <r>
    <n v="2992"/>
    <n v="20048962"/>
    <s v="Saurabh Mutt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-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89-10-01T00:00:00"/>
    <s v="33.11"/>
    <d v="2014-11-18T00:00:00"/>
    <d v="2047-09-30T00:00:00"/>
    <m/>
    <d v="2047-09-30T00:00:00"/>
    <n v="8776"/>
    <s v="O-"/>
    <s v="Chartered Financial Analyst (CFA)-2013 ,"/>
    <s v="02.08"/>
    <s v="08.10"/>
    <s v="11.06"/>
    <s v="70074192"/>
    <s v="Corporate Accounts"/>
    <s v="70414443"/>
    <s v="Lead-Corporate Accounts &amp; Audit"/>
    <s v="Hazira"/>
    <s v="0090000027"/>
    <s v="Corporate Steel - Ac"/>
    <s v="2000HWO"/>
    <s v="20007067"/>
    <s v="Gaurav Bhandari"/>
    <s v="No"/>
    <s v="saurabh.mutta@amns.in"/>
    <s v="9879102504"/>
    <s v="22743"/>
    <s v="Dhruv Vyas"/>
    <s v="Anil Matoo"/>
    <s v="Praveen Kuruvalli"/>
    <s v="Dhruv Vyas"/>
    <n v="0"/>
  </r>
  <r>
    <n v="2993"/>
    <n v="20048971"/>
    <s v="Arindam Ganguly"/>
    <s v="AM/NS India"/>
    <s v="Onroll"/>
    <s v="M-6"/>
    <n v="6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nior Lead"/>
    <m/>
    <s v="Finance &amp; Accounts - Pune"/>
    <s v="Finance &amp; Accounts"/>
    <s v="Costing"/>
    <s v="Non Technical Support"/>
    <s v="Finance &amp; Accounts"/>
    <s v="Costing"/>
    <s v="73906001"/>
    <s v="Costing"/>
    <s v="Pune AMNS"/>
    <d v="1968-06-01T00:00:00"/>
    <s v="55.03"/>
    <d v="2014-11-17T00:00:00"/>
    <d v="2026-05-31T00:00:00"/>
    <m/>
    <d v="2026-05-31T00:00:00"/>
    <n v="984"/>
    <s v="A-"/>
    <s v="ICWA Final-1996 , BCom-1989"/>
    <s v="21.11"/>
    <s v="08.10"/>
    <s v="30.09"/>
    <s v="70418544"/>
    <s v="Costing"/>
    <s v="70416525"/>
    <s v="Senior Lead"/>
    <s v="Pune Facility"/>
    <s v="0035950020"/>
    <s v="Pune-F&amp;A"/>
    <s v="2000ESPF"/>
    <s v="0"/>
    <s v=""/>
    <s v="No"/>
    <s v="arindam.ganguly@amns.in"/>
    <s v="9158820666"/>
    <s v="21763"/>
    <s v="Dhruv Vyas"/>
    <s v="Anil Matoo"/>
    <s v="Praveen Kuruvalli"/>
    <s v="Dhruv Vyas"/>
    <n v="0"/>
  </r>
  <r>
    <n v="2999"/>
    <n v="20049105"/>
    <s v="Vikas Bohra"/>
    <s v="AM/NS India"/>
    <s v="Onroll"/>
    <s v="M-5"/>
    <n v="5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– Structured Transactions"/>
    <m/>
    <s v="Treasury &amp; Banking"/>
    <s v="Treasury &amp; Banking"/>
    <s v="Corporate Finance"/>
    <s v="Non Technical Support"/>
    <s v="Finance &amp; Accounts"/>
    <s v="Corporate Finance"/>
    <s v="73902002"/>
    <s v="Project Finance"/>
    <s v="Mumbai"/>
    <d v="1979-03-28T00:00:00"/>
    <s v="44.05"/>
    <d v="2014-12-22T00:00:00"/>
    <d v="2037-03-31T00:00:00"/>
    <m/>
    <d v="2037-03-31T00:00:00"/>
    <n v="4941"/>
    <s v="B-"/>
    <s v="Intermediate-2000 , BCom-1995 , CA Final"/>
    <s v="05.03"/>
    <s v="08.08"/>
    <s v="13.11"/>
    <s v="70280332"/>
    <s v="Finance &amp; Treasury"/>
    <s v="70418547"/>
    <s v="Sr. Lead – Structured Transactions"/>
    <s v="Corporate"/>
    <s v="0090000028"/>
    <s v="Corporate Steel - Wo"/>
    <s v="2000CS"/>
    <s v="20000870"/>
    <s v="Balajee M"/>
    <s v="No"/>
    <s v="vikas.bohra@amns.in"/>
    <s v="9930137061"/>
    <s v="21309"/>
    <s v="Dhruv Vyas"/>
    <s v="Anil Matoo"/>
    <s v="Praveen Kuruvalli"/>
    <s v="Dhruv Vyas"/>
    <n v="0"/>
  </r>
  <r>
    <n v="3004"/>
    <n v="20049277"/>
    <s v="Rishabh  Bhandar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Capex Finance"/>
    <m/>
    <s v="Internal Control &amp; SOX"/>
    <s v="Internal Control &amp; SOX"/>
    <s v="Finance &amp; Accounts"/>
    <s v="Non Technical Support"/>
    <s v="Commercial"/>
    <s v="Commercial"/>
    <s v="73801001"/>
    <s v="Commercial"/>
    <s v="AM/NS Hazira"/>
    <d v="1989-10-07T00:00:00"/>
    <s v="33.11"/>
    <d v="2015-01-27T00:00:00"/>
    <d v="2047-10-31T00:00:00"/>
    <m/>
    <d v="2047-10-31T00:00:00"/>
    <n v="8807"/>
    <s v="A-"/>
    <s v="CS-2014 , CA Final-2014 , SSLC-2013 , BC"/>
    <s v="04.02"/>
    <s v="08.07"/>
    <s v="12.09"/>
    <s v="00050876"/>
    <s v="Capex Finance, Hazira"/>
    <s v="70433937"/>
    <s v="Officer - Internal Control &amp; SOX"/>
    <s v="Hazira"/>
    <s v="0090000038"/>
    <s v="CAPEX FINANCE"/>
    <s v="2000HWO"/>
    <s v="20056029"/>
    <s v="Ananya Maitra"/>
    <s v="No"/>
    <s v="rishabh.bhandari@amns.in"/>
    <s v="9930134938"/>
    <s v="21222"/>
    <s v="Dhruv Vyas"/>
    <s v="Anil Matoo"/>
    <s v="Praveen Kuruvalli"/>
    <s v="Dhruv Vyas"/>
    <n v="0"/>
  </r>
  <r>
    <n v="3005"/>
    <n v="20049281"/>
    <s v="Raveena Dhoot"/>
    <s v="AM/NS India"/>
    <s v="Onroll"/>
    <s v="M-6"/>
    <n v="6"/>
    <m/>
    <s v="MM"/>
    <s v="F"/>
    <s v="Corporate"/>
    <n v="7"/>
    <s v="2099"/>
    <x v="19"/>
    <s v="02.01"/>
    <s v="Raghavan Aravamudhan"/>
    <s v="Dilip Oommen"/>
    <n v="1"/>
    <s v="CEO Office"/>
    <s v="Business Strategy"/>
    <s v="02"/>
    <s v="Sr. Lead - PMO"/>
    <m/>
    <s v="Business Strategy"/>
    <s v="Business Strategy"/>
    <s v=""/>
    <s v="Non Technical Support"/>
    <s v="Operations"/>
    <s v="Operations"/>
    <s v="72103001"/>
    <s v="Operations"/>
    <s v="Mumbai"/>
    <d v="1993-01-10T00:00:00"/>
    <s v="30.08"/>
    <d v="2015-01-27T00:00:00"/>
    <d v="2051-01-31T00:00:00"/>
    <m/>
    <d v="2051-01-31T00:00:00"/>
    <n v="9995"/>
    <s v="B-"/>
    <s v="High School-2014 , CA Final-2014 , BCom-"/>
    <s v="04.00"/>
    <s v="08.07"/>
    <s v="12.07"/>
    <s v="00046538"/>
    <s v="Project Monitoring"/>
    <s v="70433936"/>
    <s v="Executive Assistant to CEO"/>
    <s v="Corporate"/>
    <s v="0090000022"/>
    <s v="Business Strategy"/>
    <s v="2000CS"/>
    <s v="20055068"/>
    <s v="Dilip Oommen"/>
    <s v="No"/>
    <s v="raveena.dhoot@amns.in"/>
    <s v="9930137063"/>
    <s v="21671"/>
    <s v="Dhruv Vyas"/>
    <s v="Anil Matoo"/>
    <s v="Praveen Kuruvalli"/>
    <s v="Dhruv Vyas"/>
    <n v="0"/>
  </r>
  <r>
    <n v="3009"/>
    <n v="20049474"/>
    <s v="Ashish Sawant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r. Manager - Sales &amp; Mkt"/>
    <m/>
    <s v="Pipe"/>
    <s v="Pipe"/>
    <s v=""/>
    <s v="Non Technical Support"/>
    <s v="Sales &amp; Marketing"/>
    <s v="Sales &amp; Marketing"/>
    <s v="73101001"/>
    <s v="Sales &amp; Marketing"/>
    <s v="Mumbai"/>
    <d v="1980-01-01T00:00:00"/>
    <s v="43.08"/>
    <d v="2015-02-23T00:00:00"/>
    <d v="2037-12-31T00:00:00"/>
    <m/>
    <d v="2037-12-31T00:00:00"/>
    <n v="5216"/>
    <s v="A-"/>
    <s v="MMS-2004 , BCom-2001 , High School-1998"/>
    <s v="11.01"/>
    <s v="08.06"/>
    <s v="19.08"/>
    <s v="70387159"/>
    <s v="Pipe Sales"/>
    <s v="70431062"/>
    <s v="KAM - Domestics Pipe Sales"/>
    <s v="Hazira"/>
    <s v="0031591982"/>
    <s v="PM-Marketing"/>
    <s v="2000HWO"/>
    <s v="20007414"/>
    <s v="Gaurav Sharma"/>
    <s v="No"/>
    <s v="ashish.sawant@amns.in"/>
    <s v="9930132225"/>
    <s v="23972"/>
    <s v="Dhruv Vyas"/>
    <s v="Anil Matoo"/>
    <s v="Praveen Kuruvalli"/>
    <s v="Dhruv Vyas"/>
    <n v="0"/>
  </r>
  <r>
    <n v="3012"/>
    <n v="20049542"/>
    <s v="Saumen Das"/>
    <s v="AM/NS India"/>
    <s v="Onroll"/>
    <s v="M-10"/>
    <n v="10"/>
    <m/>
    <s v="JM"/>
    <s v="M"/>
    <s v="Odisha"/>
    <n v="2"/>
    <s v="2095"/>
    <x v="4"/>
    <n v="36.01"/>
    <s v="Deepak Sindkar"/>
    <s v="Hrishikesh Kamat"/>
    <n v="7"/>
    <s v="Procurement"/>
    <s v="Raw Materials"/>
    <s v="36"/>
    <s v="Officer - Raw Material"/>
    <m/>
    <s v="Bulk Raw Materials"/>
    <s v="Bulck Raw Material"/>
    <s v="Bulck Raw Material"/>
    <s v="Non Technical Support"/>
    <s v="Commercial"/>
    <s v="Procurement"/>
    <s v="73803001"/>
    <s v="Procurement"/>
    <s v="Dabuna"/>
    <d v="1979-01-29T00:00:00"/>
    <s v="44.07"/>
    <d v="2015-02-10T00:00:00"/>
    <d v="2037-01-31T00:00:00"/>
    <m/>
    <d v="2037-01-31T00:00:00"/>
    <n v="4882"/>
    <s v="O-"/>
    <s v="High School-2002 , BCom-2002 , SSLC-1999"/>
    <s v="10.00"/>
    <s v="08.07"/>
    <s v="18.07"/>
    <s v="70258505"/>
    <s v="Bulk Raw Material"/>
    <s v="70433359"/>
    <s v="Officer - Raw Material"/>
    <s v="Odisha"/>
    <s v="0022010019"/>
    <s v="DBN-Benf-HR/Admin"/>
    <s v="2000STORIS"/>
    <s v="20037898"/>
    <s v="Sanjib Sinha"/>
    <s v="No"/>
    <s v="saumen.das@amns.in"/>
    <s v="8599008406"/>
    <s v="21524"/>
    <s v="Sunila Das"/>
    <s v="Anil Matoo"/>
    <s v="Praveen Kuruvalli"/>
    <s v="Sunila Das"/>
    <n v="0"/>
  </r>
  <r>
    <n v="3013"/>
    <n v="20049554"/>
    <s v="Uttam Kumar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Sales Planning &amp; Admin"/>
    <m/>
    <s v="Sales Planning"/>
    <s v="Sales Planning"/>
    <s v=""/>
    <s v="Non Technical Support"/>
    <s v="Sales &amp; Marketing"/>
    <s v="Sales &amp; Marketing"/>
    <s v="73101001"/>
    <s v="Sales &amp; Marketing"/>
    <s v="AM/NS Hazira"/>
    <d v="1980-01-18T00:00:00"/>
    <s v="43.08"/>
    <d v="2015-03-27T00:00:00"/>
    <d v="2038-01-31T00:00:00"/>
    <m/>
    <d v="2038-01-31T00:00:00"/>
    <n v="5247"/>
    <s v="B-"/>
    <s v="High School-2005 , MBA-2005 , BBA-2002 ,"/>
    <s v="09.09"/>
    <s v="08.05"/>
    <s v="18.02"/>
    <s v="70385322"/>
    <s v="Sales Planning &amp; Administration"/>
    <s v="70433844"/>
    <s v="Head - Sales Planning &amp; Admin"/>
    <s v="Hazira"/>
    <s v="0080000001"/>
    <s v="Head-Marketing"/>
    <s v="2000HWO"/>
    <s v="20007104"/>
    <s v="Ranjan Dhar"/>
    <s v="No"/>
    <s v="uttam.kumar@amns.in"/>
    <s v="9909901008"/>
    <s v="22374"/>
    <s v="Dhruv Vyas"/>
    <s v="Anil Matoo"/>
    <s v="Praveen Kuruvalli"/>
    <s v="Dhruv Vyas"/>
    <n v="0"/>
  </r>
  <r>
    <n v="3018"/>
    <n v="20049610"/>
    <s v="Anshuman Chowdhary"/>
    <s v="AM/NS India"/>
    <s v="Onroll"/>
    <s v="M-7"/>
    <n v="7"/>
    <m/>
    <s v="MM"/>
    <s v="M"/>
    <s v="Hazira"/>
    <n v="1"/>
    <s v="2095"/>
    <x v="4"/>
    <n v="36.01"/>
    <s v="Deepak Sindkar"/>
    <s v="Hrishikesh Kamat"/>
    <n v="7"/>
    <s v="Procurement"/>
    <s v="Raw Materials"/>
    <s v="36"/>
    <s v="Lead - BRM"/>
    <m/>
    <s v="Bulk Raw Materials"/>
    <s v="Raw Material"/>
    <s v="Bulk Raw Material"/>
    <s v="Non Technical Support"/>
    <s v="Commercial"/>
    <s v="Procurement"/>
    <s v="73803001"/>
    <s v="Procurement"/>
    <s v="AM/NS Hazira"/>
    <d v="1978-09-15T00:00:00"/>
    <s v="45.00"/>
    <d v="2015-04-01T00:00:00"/>
    <d v="2036-09-30T00:00:00"/>
    <m/>
    <d v="2036-09-30T00:00:00"/>
    <n v="4759"/>
    <s v="B-"/>
    <s v="MBA-2012 , BE-2001"/>
    <s v="10.05"/>
    <s v="08.05"/>
    <s v="18.10"/>
    <s v="00045894"/>
    <s v="Blacks"/>
    <s v="72150916"/>
    <s v="Lead - BRM"/>
    <s v="Hazira"/>
    <s v="0031950048"/>
    <s v="HZ-Procurment Depart"/>
    <s v="2000HWO"/>
    <s v="20001577"/>
    <s v="Prakash Thakur"/>
    <s v="No"/>
    <s v="anshuman.chowdhary@amns.in"/>
    <s v="9879103800"/>
    <s v="21436"/>
    <s v="Dhruv Vyas"/>
    <s v="Anil Matoo"/>
    <s v="Praveen Kuruvalli"/>
    <s v="Dhruv Vyas"/>
    <n v="0"/>
  </r>
  <r>
    <n v="3021"/>
    <n v="20049748"/>
    <s v="Vivek Shenvi"/>
    <s v="AM/NS India"/>
    <s v="Onroll"/>
    <s v="M-7"/>
    <n v="7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– Structured Transactions"/>
    <m/>
    <s v="Treasury &amp; Banking"/>
    <s v="Treasury &amp; Banking"/>
    <s v="Corporate Finance"/>
    <s v="Non Technical Support"/>
    <s v="Finance &amp; Accounts"/>
    <s v="Corporate Finance"/>
    <s v="73902001"/>
    <s v="Corporate Finance"/>
    <s v="Mumbai"/>
    <d v="1974-08-03T00:00:00"/>
    <s v="49.01"/>
    <d v="2015-02-16T00:00:00"/>
    <d v="2032-08-31T00:00:00"/>
    <m/>
    <d v="2032-08-31T00:00:00"/>
    <n v="3268"/>
    <s v="O-"/>
    <s v="MBA-2019 , LLB-2019 , BCom-2009"/>
    <s v="17.08"/>
    <s v="08.07"/>
    <s v="26.02"/>
    <s v="00050553"/>
    <s v="Banking &amp; Treasury"/>
    <s v="70438047"/>
    <s v="Lead – Structured Transactions"/>
    <s v="Corporate"/>
    <s v="0090000028"/>
    <s v="Corporate Steel - Wo"/>
    <s v="2000CS"/>
    <s v="20011972"/>
    <s v="Rajita Bagkar"/>
    <s v="No"/>
    <s v="shenvi.vivek@amns.in"/>
    <s v="9930137062"/>
    <s v="24709"/>
    <s v="Dhruv Vyas"/>
    <s v="Anil Matoo"/>
    <s v="Praveen Kuruvalli"/>
    <s v="Dhruv Vyas"/>
    <n v="0"/>
  </r>
  <r>
    <n v="3024"/>
    <n v="20050108"/>
    <s v="Ayyalasomayajula Koundinya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Engineer - Procurement (BP &amp; Common)"/>
    <m/>
    <s v="Procurement"/>
    <s v="New Projects &amp; Process Modification"/>
    <s v="New Projects &amp; Process Modification"/>
    <s v="Non Technical Support"/>
    <s v="Services"/>
    <s v="Maintenance Services"/>
    <s v="72103013"/>
    <s v="Mechanical Maintenance"/>
    <s v="Vizag"/>
    <d v="1992-06-11T00:00:00"/>
    <s v="31.03"/>
    <d v="2015-06-12T00:00:00"/>
    <d v="2050-06-30T00:00:00"/>
    <m/>
    <d v="2050-06-30T00:00:00"/>
    <n v="9780"/>
    <s v="B-"/>
    <s v="PG Diploma in Management-2015 , BTech-20"/>
    <s v=""/>
    <s v="08.03"/>
    <s v="08.03"/>
    <s v="00048432"/>
    <s v="Procurement - Plant Operations"/>
    <s v="70449383"/>
    <s v="Engineer - Procurement (BP &amp; Common)"/>
    <s v="Vizag"/>
    <s v="0028030019"/>
    <s v="VIZ-Personnel &amp; Admi"/>
    <s v="2000VIZOPS"/>
    <s v="20037594"/>
    <s v="M G S R D Prasad"/>
    <s v="No"/>
    <s v="koundinya.ayyalasomayajula@amns.in"/>
    <s v="9160963339"/>
    <s v="21109"/>
    <s v="DS Varma"/>
    <s v="Anil Matoo"/>
    <s v="Praveen Kuruvalli"/>
    <s v="Dhruv Vyas"/>
    <n v="0"/>
  </r>
  <r>
    <n v="3031"/>
    <n v="20050785"/>
    <s v="Pankaj Chourasia"/>
    <s v="AM/NS India"/>
    <s v="Onroll"/>
    <s v="M-4"/>
    <n v="4"/>
    <m/>
    <s v="SM"/>
    <s v="M"/>
    <s v="Corporate"/>
    <n v="7"/>
    <s v="2100"/>
    <x v="11"/>
    <s v="42.01"/>
    <s v="P Ashok Kumar"/>
    <s v="P Ashok Kumar"/>
    <n v="9"/>
    <s v="Legal"/>
    <s v="Company Secretary"/>
    <s v="42"/>
    <s v="Company Secretary"/>
    <m/>
    <s v="Company Secretary"/>
    <s v="Company Secretary"/>
    <s v="Company Secretary"/>
    <s v="Non Technical Support"/>
    <s v="Secretarial"/>
    <s v="Company Secretary"/>
    <s v="73301001"/>
    <s v="Company Secretary"/>
    <s v="Mumbai"/>
    <d v="1975-07-15T00:00:00"/>
    <s v="48.02"/>
    <d v="2015-10-27T00:00:00"/>
    <d v="2033-07-31T00:00:00"/>
    <m/>
    <d v="2033-07-31T00:00:00"/>
    <n v="3602"/>
    <s v="A-"/>
    <s v="LLB-2004 , MCom-1997 , CS-1999 , BCom-19"/>
    <s v="17.01"/>
    <s v="07.10"/>
    <s v="25.00"/>
    <s v="70273573"/>
    <s v="Company Secretarial"/>
    <s v="70463327"/>
    <s v="Company Secretary"/>
    <s v="Corporate"/>
    <s v="0090000020"/>
    <s v="Company Secretary"/>
    <s v="2000CS"/>
    <s v="20055235"/>
    <s v="P Ashok Kumar"/>
    <s v="No"/>
    <s v="pankaj.chourasia@amns.in"/>
    <s v="9819730722"/>
    <s v="21434"/>
    <s v="Dhruv Vyas"/>
    <s v="Anil Matoo"/>
    <s v="Praveen Kuruvalli"/>
    <s v="Dhruv Vyas"/>
    <n v="0"/>
  </r>
  <r>
    <n v="3057"/>
    <n v="20052026"/>
    <s v="Jigneshkumar Patel"/>
    <s v="AM/NS India"/>
    <s v="Onroll"/>
    <s v="M-5"/>
    <n v="5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r. Lead – Proc Rolls Lubes  System Dev"/>
    <m/>
    <s v="Procurement MRO Hazira"/>
    <s v="Procurement"/>
    <s v="APD &amp; OEM for HSM, Hose, System development and MIS"/>
    <s v="Non Technical Support"/>
    <s v="Commercial"/>
    <s v="Procurement"/>
    <s v="73803001"/>
    <s v="Procurement"/>
    <s v="AM/NS Hazira"/>
    <d v="1977-03-16T00:00:00"/>
    <s v="46.06"/>
    <d v="2016-06-06T00:00:00"/>
    <d v="2035-03-31T00:00:00"/>
    <m/>
    <d v="2035-03-31T00:00:00"/>
    <n v="4210"/>
    <s v="B-"/>
    <s v="BE-2004 , Diploma-1997 , Diploma-1994"/>
    <s v="17.05"/>
    <s v="07.03"/>
    <s v="24.08"/>
    <s v="00044544"/>
    <s v="Rolls Lubes  System Development"/>
    <s v="70486746"/>
    <s v="Sr. Lead – Proc Rolls Lubes  System Dev"/>
    <s v="Hazira"/>
    <s v="0031950048"/>
    <s v="HZ-Procurment Depart"/>
    <s v="2000HWO"/>
    <s v="20002323"/>
    <s v="Balaji Somvanshi"/>
    <s v="No"/>
    <s v="jigneshkumar01.patel@amns.in"/>
    <s v="9879103302"/>
    <s v="23209"/>
    <s v="Dhruv Vyas"/>
    <s v="Anil Matoo"/>
    <s v="Praveen Kuruvalli"/>
    <s v="Dhruv Vyas"/>
    <n v="0"/>
  </r>
  <r>
    <n v="3110"/>
    <n v="20052253"/>
    <s v="Niraj Thaku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– Sales Planning and Admin"/>
    <m/>
    <s v="Sales Planning"/>
    <s v="Sales Planning"/>
    <s v=""/>
    <s v="Non Technical Support"/>
    <s v="Operations"/>
    <s v="Operations"/>
    <s v="72103002"/>
    <s v="Operations Planning &amp; Str"/>
    <s v="Mumbai"/>
    <d v="1987-08-12T00:00:00"/>
    <s v="36.01"/>
    <d v="2016-07-18T00:00:00"/>
    <d v="2045-08-31T00:00:00"/>
    <m/>
    <d v="2045-08-31T00:00:00"/>
    <n v="8016"/>
    <s v="A+"/>
    <s v="PG Diploma in Management-2012 , BTech-20"/>
    <s v="08.01"/>
    <s v="07.02"/>
    <s v="15.03"/>
    <s v="72150188"/>
    <s v="Market Intelligence &amp; Pricing"/>
    <s v="70487112"/>
    <s v="Lead – Sales Planning and Admin"/>
    <s v="Hazira"/>
    <s v="0060110300"/>
    <s v="HMART-Guj-Ahemedabad"/>
    <s v="2000HWO"/>
    <s v="20008774"/>
    <s v="Ajay Somasundaran"/>
    <s v="No"/>
    <s v="niraj.thakur@amns.in"/>
    <s v="9909901283"/>
    <s v="24498"/>
    <s v="Dhruv Vyas"/>
    <s v="Anil Matoo"/>
    <s v="Praveen Kuruvalli"/>
    <s v="Dhruv Vyas"/>
    <n v="0"/>
  </r>
  <r>
    <n v="3111"/>
    <n v="20052261"/>
    <s v="Aruni Mishra"/>
    <s v="AM/NS India"/>
    <s v="Onroll"/>
    <s v="M-3"/>
    <n v="3"/>
    <m/>
    <s v="SM"/>
    <s v="M"/>
    <s v="Hazira"/>
    <n v="1"/>
    <s v="2161"/>
    <x v="15"/>
    <s v="31.02"/>
    <s v="Hrishikesh Kamat"/>
    <s v="Hrishikesh Kamat"/>
    <n v="7"/>
    <s v="Procurement"/>
    <s v="Procurement"/>
    <s v="31"/>
    <s v="Head-Capex Procurement &amp; Secondary Sale"/>
    <m/>
    <s v="Capex Procurement"/>
    <s v="Capex Procurement"/>
    <s v=""/>
    <s v="Non Technical Support"/>
    <s v="Operations"/>
    <s v="Operations"/>
    <s v="72103001"/>
    <s v="Operations"/>
    <s v="Hazira"/>
    <d v="1969-03-28T00:00:00"/>
    <s v="54.05"/>
    <d v="2016-07-11T00:00:00"/>
    <d v="2027-03-31T00:00:00"/>
    <m/>
    <d v="2027-03-31T00:00:00"/>
    <n v="1288"/>
    <s v="B+"/>
    <s v="MBA-1991 , MBA-1991 , MBA-1991 , MBA-199"/>
    <s v="22.11"/>
    <s v="07.02"/>
    <s v="30.01"/>
    <s v="70282830"/>
    <s v="Capex Procurement &amp; Secondary Sales"/>
    <s v="70487056"/>
    <s v="Head-Capex Procurement &amp; Secondary Sale"/>
    <s v="Confidential Payroll"/>
    <s v="0031950059"/>
    <s v="HZ-Hazira Project"/>
    <s v="2000HWO"/>
    <s v="20055090"/>
    <s v="Hrishikesh Kamat"/>
    <s v="No"/>
    <s v="aruni.mishra@amns.in"/>
    <s v="9879100155"/>
    <s v="22620"/>
    <s v="Dhruv Vyas"/>
    <s v="Anil Matoo"/>
    <s v="Praveen Kuruvalli"/>
    <s v="Dhruv Vyas"/>
    <n v="0"/>
  </r>
  <r>
    <n v="3125"/>
    <n v="20052385"/>
    <s v="Anupam Tiwari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In-Charge Quality (Fabric"/>
    <m/>
    <s v="North"/>
    <s v="Hypermart"/>
    <s v="Fabrication"/>
    <s v="Non Technical Support"/>
    <s v="Sales &amp; Marketing"/>
    <s v="Sales"/>
    <s v="73104003"/>
    <s v="Retail Sales"/>
    <s v="Ghaziabad"/>
    <d v="1990-07-05T00:00:00"/>
    <s v="33.02"/>
    <d v="2016-08-01T00:00:00"/>
    <d v="2048-07-31T00:00:00"/>
    <m/>
    <d v="2048-07-31T00:00:00"/>
    <n v="9081"/>
    <s v="O-"/>
    <s v="Certificate-2014 , BTech-2010 , Intermed"/>
    <s v="06.00"/>
    <s v="07.01"/>
    <s v="13.01"/>
    <s v="00052526"/>
    <s v="Sales - North"/>
    <s v="70487430"/>
    <s v="Sales Manager - Hypermart"/>
    <s v="Hazira"/>
    <s v="0060120600"/>
    <s v="HMART-UP-Ghaziabad"/>
    <s v="2000SPRJ"/>
    <s v="20007322"/>
    <s v="Sanjay Bohra"/>
    <s v="No"/>
    <s v="anupam.tiwari@amns.in"/>
    <s v="8053119822"/>
    <s v="24529"/>
    <s v="Dhruv Vyas"/>
    <s v="Anil Matoo"/>
    <s v="Praveen Kuruvalli"/>
    <s v="Dhruv Vyas"/>
    <n v="0"/>
  </r>
  <r>
    <n v="3133"/>
    <n v="20052581"/>
    <s v="Dipak Sayaji"/>
    <s v="AM/NS India"/>
    <s v="Onroll"/>
    <s v="M-7"/>
    <n v="7"/>
    <m/>
    <s v="MM"/>
    <s v="M"/>
    <s v="Service Centers"/>
    <n v="6"/>
    <s v="2043"/>
    <x v="3"/>
    <s v="31.01"/>
    <s v="Hrishikesh Kamat"/>
    <s v="Hrishikesh Kamat"/>
    <n v="7"/>
    <s v="Procurement"/>
    <s v="Procurement"/>
    <s v="31"/>
    <s v="Lead - Procurement - Service Center"/>
    <m/>
    <s v="Procurement Service Centre"/>
    <s v="Procurement"/>
    <s v="Procurement"/>
    <s v="Non Technical Support"/>
    <s v="Finance &amp; Accounts"/>
    <s v="Finance &amp; Accounts"/>
    <s v="73901001"/>
    <s v="Finance &amp; Accounts"/>
    <s v="Hazira"/>
    <d v="1988-11-19T00:00:00"/>
    <s v="34.09"/>
    <d v="2016-09-07T00:00:00"/>
    <d v="2046-11-30T00:00:00"/>
    <m/>
    <d v="2046-11-30T00:00:00"/>
    <n v="8472"/>
    <s v="A+"/>
    <s v="Diploma-2004"/>
    <s v="09.03"/>
    <s v="07.00"/>
    <s v="16.03"/>
    <s v="70413444"/>
    <s v="Purchase &amp; Contracts"/>
    <s v="70487684"/>
    <s v="Lead - Procurement - Service Center"/>
    <s v="Service Center"/>
    <s v="0040010019"/>
    <s v="SC-DSC-Common Cost"/>
    <s v="2000SPRJ"/>
    <s v="20052588"/>
    <s v="Govindraju Sampathirao"/>
    <s v="No"/>
    <s v="dipak.sayaji@amns.in"/>
    <s v="9176949966"/>
    <s v="23979"/>
    <s v="Dhruv Vyas"/>
    <s v="Anil Matoo"/>
    <s v="Praveen Kuruvalli"/>
    <s v="Dhruv Vyas"/>
    <n v="0"/>
  </r>
  <r>
    <n v="3134"/>
    <n v="20052588"/>
    <s v="Govindraju Sampathirao"/>
    <s v="AM/NS India"/>
    <s v="Onroll"/>
    <s v="M-6"/>
    <n v="6"/>
    <m/>
    <s v="MM"/>
    <s v="M"/>
    <s v="Service Centers"/>
    <n v="6"/>
    <s v="2043"/>
    <x v="3"/>
    <s v="31.01"/>
    <s v="Hrishikesh Kamat"/>
    <s v="Hrishikesh Kamat"/>
    <n v="7"/>
    <s v="Procurement"/>
    <s v="Procurement"/>
    <s v="31"/>
    <s v="Head – Procurement Service Center"/>
    <m/>
    <s v="Procurement Service Centre"/>
    <s v="Procurement"/>
    <s v="Procurement"/>
    <s v="Non Technical Support"/>
    <s v="Operations"/>
    <s v="Plant Operations"/>
    <s v="72103003"/>
    <s v="Plant Operations"/>
    <s v="Hazira"/>
    <d v="1975-11-12T00:00:00"/>
    <s v="47.10"/>
    <d v="2016-09-14T00:00:00"/>
    <d v="2033-11-30T00:00:00"/>
    <m/>
    <d v="2033-11-30T00:00:00"/>
    <n v="3724"/>
    <s v="A-"/>
    <s v="MBA-2003 , BSc-1997"/>
    <s v="17.10"/>
    <s v="07.00"/>
    <s v="24.09"/>
    <s v="70413444"/>
    <s v="Purchase &amp; Contracts"/>
    <s v="70487702"/>
    <s v="Head – Procurement Service Center"/>
    <s v="Service Center"/>
    <s v="0040000000"/>
    <s v="SC - Common"/>
    <s v="2000SPRJ"/>
    <s v="20055090"/>
    <s v="Hrishikesh Kamat"/>
    <s v="No"/>
    <s v="sampathirao.govindraju@amns.in"/>
    <s v="8053119824"/>
    <s v="23907"/>
    <s v="Dhruv Vyas"/>
    <s v="Anil Matoo"/>
    <s v="Praveen Kuruvalli"/>
    <s v="Dhruv Vyas"/>
    <n v="0"/>
  </r>
  <r>
    <n v="3136"/>
    <n v="20052653"/>
    <s v="Anup Agarwala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– Proc Steel Making &amp; Lifting Equi"/>
    <m/>
    <s v="Procurement MRO Hazira"/>
    <s v="Procurement"/>
    <s v="SMP I &amp; II Fabrication, Wire ropes, slings , hoists."/>
    <s v="Non Technical Support"/>
    <s v="Commercial"/>
    <s v="Procurement"/>
    <s v="73803001"/>
    <s v="Procurement"/>
    <s v="AM/NS Hazira"/>
    <d v="1993-01-04T00:00:00"/>
    <s v="30.08"/>
    <d v="2016-10-13T00:00:00"/>
    <d v="2051-01-31T00:00:00"/>
    <m/>
    <d v="2051-01-31T00:00:00"/>
    <n v="9995"/>
    <s v="B-"/>
    <s v="CA Final-2016 , CS-2014 , BCom-2014"/>
    <s v="00.05"/>
    <s v="06.11"/>
    <s v="07.04"/>
    <s v="70072411"/>
    <s v="Iron &amp; Steel Making"/>
    <s v="70487717"/>
    <s v="Lead – Proc Steel Making &amp; Lifting Equi"/>
    <s v="Hazira"/>
    <s v="0031950048"/>
    <s v="HZ-Procurment Depart"/>
    <s v="2000HWO"/>
    <s v="20000926"/>
    <s v="Manishkumar Seksaria"/>
    <s v="No"/>
    <s v="anup.agarwala@amns.in"/>
    <s v="9879102291"/>
    <s v="21030"/>
    <s v="Dhruv Vyas"/>
    <s v="Anil Matoo"/>
    <s v="Praveen Kuruvalli"/>
    <s v="Dhruv Vyas"/>
    <n v="0"/>
  </r>
  <r>
    <n v="3178"/>
    <n v="20053326"/>
    <s v="Banaj Khatua"/>
    <s v="AM/NS India"/>
    <s v="Onroll"/>
    <s v="M-7"/>
    <n v="7"/>
    <m/>
    <s v="MM"/>
    <s v="M"/>
    <s v="Odisha"/>
    <n v="2"/>
    <s v="2084"/>
    <x v="17"/>
    <s v="23.09"/>
    <s v="Anil Matoo"/>
    <s v="Ashutosh Telang"/>
    <n v="6"/>
    <s v="HR &amp; Administration"/>
    <s v="Industrial Relations"/>
    <s v="23"/>
    <s v="Lead - Industrial Relations"/>
    <m/>
    <s v="Industrial Relations"/>
    <s v="Administration"/>
    <s v="Administration"/>
    <s v="Non Technical Support"/>
    <s v="Human Resources Management"/>
    <s v="Industrial Relations &amp; Labour Law"/>
    <s v="73510000"/>
    <s v="Industrial Relations &amp; La"/>
    <s v="Dabuna"/>
    <d v="1973-05-16T00:00:00"/>
    <s v="50.04"/>
    <d v="2017-05-15T00:00:00"/>
    <d v="2031-05-31T00:00:00"/>
    <m/>
    <d v="2031-05-31T00:00:00"/>
    <n v="2810"/>
    <s v=""/>
    <s v="MBA-1995"/>
    <s v="10.11"/>
    <s v="06.04"/>
    <s v="17.03"/>
    <s v="00047828"/>
    <s v="Odisha HR Operations"/>
    <s v="70489660"/>
    <s v="Lead - Industrial Relations"/>
    <s v="Odisha"/>
    <s v="0022010019"/>
    <s v="DBN-Benf-HR/Admin"/>
    <s v="2000STORIS"/>
    <s v="20055611"/>
    <s v="Sunila Kumar Das"/>
    <s v="No"/>
    <s v="banaj.khatua@amns.in"/>
    <s v="8599008448"/>
    <s v="22231"/>
    <s v="Sunila Das"/>
    <s v="Anil Matoo"/>
    <s v="Praveen Kuruvalli"/>
    <s v="Sunila Das"/>
    <n v="0"/>
  </r>
  <r>
    <n v="3183"/>
    <n v="20053558"/>
    <s v="Tushar Kanti Panda"/>
    <s v="AM/NS India"/>
    <s v="Onroll"/>
    <s v="M-6"/>
    <n v="6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- Indirect Taxation"/>
    <m/>
    <s v="Finance &amp; Accounts - Odisha"/>
    <s v="Finance &amp; Accounts"/>
    <s v="Indirect Taxation"/>
    <s v="Non Technical Support"/>
    <s v="Finance &amp; Accounts"/>
    <s v="Taxation"/>
    <s v="73904002"/>
    <s v="Indirect Taxation"/>
    <s v="Paradeep"/>
    <d v="1967-01-15T00:00:00"/>
    <s v="56.08"/>
    <d v="2017-06-27T00:00:00"/>
    <d v="2025-01-31T00:00:00"/>
    <m/>
    <d v="2025-01-31T00:00:00"/>
    <n v="499"/>
    <s v=""/>
    <s v="LLB-1996 , ICWA Inter-1991 , MCom-1991"/>
    <s v="22.01"/>
    <s v="06.02"/>
    <s v="28.03"/>
    <s v="70234933"/>
    <s v="Finance &amp; Accounts - Odisha"/>
    <s v="70490163"/>
    <s v="Lead - Indirect Taxation"/>
    <s v="Odisha"/>
    <s v="0022030019"/>
    <s v="PDP-HR &amp; Admn"/>
    <s v="2000STORIS"/>
    <s v="20055801"/>
    <s v="Sanjive Kumar Singh"/>
    <s v="No"/>
    <s v="tushar.panda@amns.in"/>
    <s v="7381007259"/>
    <s v="22920"/>
    <s v="Sunila Das"/>
    <s v="Anil Matoo"/>
    <s v="Praveen Kuruvalli"/>
    <s v="Sunila Das"/>
    <n v="0"/>
  </r>
  <r>
    <n v="3184"/>
    <n v="20053562"/>
    <s v="Shankar Murugan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Auto"/>
    <s v=""/>
    <s v="Non Technical Support"/>
    <s v="Sales &amp; Marketing"/>
    <s v="Sales"/>
    <s v="73104004"/>
    <s v="OEM Sales"/>
    <s v="Chennai"/>
    <d v="1989-12-17T00:00:00"/>
    <s v="33.09"/>
    <d v="2017-07-03T00:00:00"/>
    <d v="2047-12-31T00:00:00"/>
    <m/>
    <d v="2047-12-31T00:00:00"/>
    <n v="8868"/>
    <s v="B-"/>
    <s v="MBA-2014 , BE-2011 , High School-2007 ,"/>
    <s v="03.05"/>
    <s v="06.02"/>
    <s v="09.07"/>
    <s v="00052470"/>
    <s v="Automotive Sales - Chennai"/>
    <s v="70490181"/>
    <s v="KAM – Automotive Sales"/>
    <s v="Hazira"/>
    <s v="0031950057"/>
    <s v="HZ-HRC - Marketing"/>
    <s v="2000HWO"/>
    <s v="20000909"/>
    <s v="Murali Krishna Chunduru"/>
    <s v="No"/>
    <s v="shankar.murugan@amns.in"/>
    <s v="9840070626"/>
    <s v="22739"/>
    <s v="Dhruv Vyas"/>
    <s v="Anil Matoo"/>
    <s v="Praveen Kuruvalli"/>
    <s v="Dhruv Vyas"/>
    <n v="0"/>
  </r>
  <r>
    <n v="3187"/>
    <n v="20053636"/>
    <s v="Reddy Bhanu Kishore"/>
    <s v="AM/NS India"/>
    <s v="Onroll"/>
    <s v="M-8"/>
    <n v="8"/>
    <m/>
    <s v="JM"/>
    <s v="M"/>
    <s v="Vizag"/>
    <n v="3"/>
    <s v="2013"/>
    <x v="0"/>
    <s v="20.01"/>
    <s v="Akiyo Omori"/>
    <s v="Amit Harlalka"/>
    <n v="5"/>
    <s v="Finance &amp; Accounts"/>
    <s v="Finance &amp; Accounts"/>
    <s v="20"/>
    <s v="Officer-IDT"/>
    <m/>
    <s v="Finance &amp; Accounts - Vizag"/>
    <s v="Finance &amp; Accounts"/>
    <s v="Indirect Taxation"/>
    <s v="Non Technical Support"/>
    <s v="Finance &amp; Accounts"/>
    <s v="Taxation"/>
    <s v="73904002"/>
    <s v="Indirect Taxation"/>
    <s v="Vizag"/>
    <d v="1983-08-03T00:00:00"/>
    <s v="40.01"/>
    <d v="2017-07-24T00:00:00"/>
    <d v="2041-08-31T00:00:00"/>
    <m/>
    <d v="2041-08-31T00:00:00"/>
    <n v="6555"/>
    <s v=""/>
    <s v="MBA-2006 , MCom-2003 , BCom-2001"/>
    <s v="07.00"/>
    <s v="06.01"/>
    <s v="13.01"/>
    <s v="70413458"/>
    <s v="Costing, Budgeting &amp; IDT"/>
    <s v="70490408"/>
    <s v="Officer-IDT"/>
    <s v="Vizag"/>
    <s v="0028030019"/>
    <s v="VIZ-Personnel &amp; Admi"/>
    <s v="2000VIZOPS"/>
    <s v="20006862"/>
    <s v="D Niranjan Patro"/>
    <s v="No"/>
    <s v="reddy.kishore@amns.in"/>
    <s v="7799064333"/>
    <s v="22254"/>
    <s v="DS Varma"/>
    <s v="Anil Matoo"/>
    <s v="Praveen Kuruvalli"/>
    <s v="Dhruv Vyas"/>
    <n v="0"/>
  </r>
  <r>
    <n v="3188"/>
    <n v="20053644"/>
    <s v="Vinit Jain"/>
    <s v="AM/NS India"/>
    <s v="Onroll"/>
    <s v="M-5"/>
    <n v="5"/>
    <m/>
    <s v="MM"/>
    <s v="M"/>
    <s v="Hazira"/>
    <n v="1"/>
    <s v="2095"/>
    <x v="4"/>
    <n v="36.01"/>
    <s v="Deepak Sindkar"/>
    <s v="Hrishikesh Kamat"/>
    <n v="7"/>
    <s v="Procurement"/>
    <s v="Raw Materials"/>
    <s v="36"/>
    <s v="Section Head – Anthracite coal &amp; Scrap"/>
    <m/>
    <s v="Bulk Raw Materials"/>
    <s v="Raw Material"/>
    <s v="Bulk Raw Material"/>
    <s v="Non Technical Support"/>
    <s v="Commercial"/>
    <s v="Procurement"/>
    <s v="73803001"/>
    <s v="Procurement"/>
    <s v="AM/NS Hazira"/>
    <d v="1967-02-21T00:00:00"/>
    <s v="56.06"/>
    <d v="2017-07-10T00:00:00"/>
    <d v="2025-02-28T00:00:00"/>
    <m/>
    <d v="2025-02-28T00:00:00"/>
    <n v="527"/>
    <s v="O-"/>
    <s v="BE-1989"/>
    <s v="25.06"/>
    <s v="06.02"/>
    <s v="31.08"/>
    <s v="70072409"/>
    <s v="Bulk Raw Materials"/>
    <s v="70490417"/>
    <s v="Section Head – Anthracite coal &amp; Scrap"/>
    <s v="Hazira"/>
    <s v="0031950048"/>
    <s v="HZ-Procurment Depart"/>
    <s v="2000HWO"/>
    <s v="20000253"/>
    <s v="Deepak Sindkar"/>
    <s v="No"/>
    <s v="vinit.jain@amns.in"/>
    <s v="9879103850"/>
    <s v="21974"/>
    <s v="Dhruv Vyas"/>
    <s v="Anil Matoo"/>
    <s v="Praveen Kuruvalli"/>
    <s v="Dhruv Vyas"/>
    <n v="0"/>
  </r>
  <r>
    <n v="3193"/>
    <n v="20053754"/>
    <s v="Jitendra Agrawal"/>
    <s v="AM/NS India"/>
    <s v="Onroll"/>
    <s v="M-7"/>
    <n v="7"/>
    <m/>
    <s v="M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Sr. Lead - F &amp; A and Stores"/>
    <m/>
    <s v="Working Capital"/>
    <s v="Service Centers"/>
    <s v="Service Centre"/>
    <s v="Non Technical Support"/>
    <s v="Finance &amp; Accounts"/>
    <s v="Finance &amp; Accounts"/>
    <s v="73901001"/>
    <s v="Finance &amp; Accounts"/>
    <s v="Bahadurgarh"/>
    <d v="1982-01-15T00:00:00"/>
    <s v="41.08"/>
    <d v="2017-08-21T00:00:00"/>
    <d v="2040-01-31T00:00:00"/>
    <m/>
    <d v="2040-01-31T00:00:00"/>
    <n v="5977"/>
    <s v=""/>
    <s v="ICWA Inter-2008 , MCom-2003"/>
    <s v="10.09"/>
    <s v="06.00"/>
    <s v="16.10"/>
    <s v="00043795"/>
    <s v="F&amp;A Hypermart &amp; Service Centre - 1"/>
    <s v="70490650"/>
    <s v="Sr. Lead - F &amp; A and Stores"/>
    <s v="Service Center"/>
    <s v="0040050019"/>
    <s v="SC-Bahadurgarh-Op1-C"/>
    <s v="2000SPRJ"/>
    <s v="20055201"/>
    <s v="Deepak Sahu"/>
    <s v="No"/>
    <s v="jitendra.agrawal@amns.in"/>
    <s v="8053119826"/>
    <s v="21036"/>
    <s v="Dhruv Vyas"/>
    <s v="Anil Matoo"/>
    <s v="Praveen Kuruvalli"/>
    <s v="Dhruv Vyas"/>
    <n v="0"/>
  </r>
  <r>
    <n v="3195"/>
    <n v="20053791"/>
    <s v="Rakesh Joshi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Other West"/>
    <s v="Auto"/>
    <s v=""/>
    <s v="Non Technical Support"/>
    <s v="Sales &amp; Marketing"/>
    <s v="Sales"/>
    <s v="73104004"/>
    <s v="OEM Sales"/>
    <s v="Pune"/>
    <d v="1991-01-09T00:00:00"/>
    <s v="32.08"/>
    <d v="2017-09-04T00:00:00"/>
    <d v="2049-01-31T00:00:00"/>
    <m/>
    <d v="2049-01-31T00:00:00"/>
    <n v="9265"/>
    <s v=""/>
    <s v="MBA-2017 , BBA-2012"/>
    <s v="02.11"/>
    <s v="06.00"/>
    <s v="08.11"/>
    <s v="70495309"/>
    <s v="Sales West Zone"/>
    <s v="70491371"/>
    <s v="KAM - Automotive Sales"/>
    <s v="Hazira"/>
    <s v="0031950057"/>
    <s v="HZ-HRC - Marketing"/>
    <s v="2000HWO"/>
    <s v="20047683"/>
    <s v="Virat Vij"/>
    <s v="No"/>
    <s v="rakesh.joshibhat@amns.in"/>
    <s v="9870074805"/>
    <s v="22075"/>
    <s v="Dhruv Vyas"/>
    <s v="Anil Matoo"/>
    <s v="Praveen Kuruvalli"/>
    <s v="Dhruv Vyas"/>
    <n v="0"/>
  </r>
  <r>
    <n v="3210"/>
    <n v="20053904"/>
    <s v="Abhishek Jain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GST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82-11-19T00:00:00"/>
    <s v="40.09"/>
    <d v="2017-12-01T00:00:00"/>
    <d v="2040-11-30T00:00:00"/>
    <m/>
    <d v="2040-11-30T00:00:00"/>
    <n v="6281"/>
    <s v="A-"/>
    <s v="BCom-2004"/>
    <s v=""/>
    <s v="05.09"/>
    <s v="05.09"/>
    <s v="00044379"/>
    <s v="GST - Hazira Assets"/>
    <s v="70491199"/>
    <s v="Lead - GST"/>
    <s v="Hazira"/>
    <s v="0031950044"/>
    <s v="HZ-Commercial Taxati"/>
    <s v="2000HWO"/>
    <s v="20015864"/>
    <s v="Mayank Desai"/>
    <s v="No"/>
    <s v="abhishek.jain@amns.in"/>
    <s v="9879101619"/>
    <s v="21964"/>
    <s v="Dhruv Vyas"/>
    <s v="Anil Matoo"/>
    <s v="Praveen Kuruvalli"/>
    <s v="Dhruv Vyas"/>
    <n v="0"/>
  </r>
  <r>
    <n v="3217"/>
    <n v="20053921"/>
    <s v="S V N S Ganesh"/>
    <s v="AM/NS India"/>
    <s v="Onroll"/>
    <s v="M-7"/>
    <n v="7"/>
    <m/>
    <s v="MM"/>
    <s v="M"/>
    <s v="Vizag"/>
    <n v="3"/>
    <s v="2013"/>
    <x v="0"/>
    <s v="20.01"/>
    <s v="Akiyo Omori"/>
    <s v="Amit Harlalka"/>
    <n v="5"/>
    <s v="Finance &amp; Accounts"/>
    <s v="Finance &amp; Accounts"/>
    <s v="20"/>
    <s v="Offeicer-IDT"/>
    <m/>
    <s v="Finance &amp; Accounts - Vizag"/>
    <s v="Finance &amp; Accounts"/>
    <s v="Indirect Taxation"/>
    <s v="Non Technical Support"/>
    <s v="Finance &amp; Accounts"/>
    <s v="Taxation"/>
    <s v="73904002"/>
    <s v="Indirect Taxation"/>
    <s v="Vizag"/>
    <d v="1979-08-09T00:00:00"/>
    <s v="44.01"/>
    <d v="2017-12-20T00:00:00"/>
    <d v="2037-08-31T00:00:00"/>
    <m/>
    <d v="2037-08-31T00:00:00"/>
    <n v="5094"/>
    <s v=""/>
    <s v="MBA-2003 , BCom-2000"/>
    <s v="15.03"/>
    <s v="05.09"/>
    <s v="20.11"/>
    <s v="70413458"/>
    <s v="Costing, Budgeting &amp; IDT"/>
    <s v="70491271"/>
    <s v="Offeicer-IDT"/>
    <s v="Vizag"/>
    <s v="0028030019"/>
    <s v="VIZ-Personnel &amp; Admi"/>
    <s v="2000VIZOPS"/>
    <s v="20006862"/>
    <s v="D Niranjan Patro"/>
    <s v="No"/>
    <s v="srikakolapu.ganesh@amns.in"/>
    <s v="8142125999"/>
    <s v="21759"/>
    <s v="DS Varma"/>
    <s v="Anil Matoo"/>
    <s v="Praveen Kuruvalli"/>
    <s v="Dhruv Vyas"/>
    <n v="0"/>
  </r>
  <r>
    <n v="3229"/>
    <n v="20053956"/>
    <s v="Motka Dharmendrabhai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c Instrumentation &amp; Automatio"/>
    <m/>
    <s v="Procurement MRO Hazira"/>
    <s v="Procurement"/>
    <s v="Instrumentation &amp; Automation spares - Hazira Complex"/>
    <s v="Non Technical Support"/>
    <s v="Commercial"/>
    <s v="Procurement"/>
    <s v="73803001"/>
    <s v="Procurement"/>
    <s v="AM/NS Hazira"/>
    <d v="1975-01-12T00:00:00"/>
    <s v="48.08"/>
    <d v="2018-02-09T00:00:00"/>
    <d v="2033-01-31T00:00:00"/>
    <m/>
    <d v="2033-01-31T00:00:00"/>
    <n v="3421"/>
    <s v="A-"/>
    <s v="BE-2001 , Diploma-1998"/>
    <s v="03.11"/>
    <s v="05.07"/>
    <s v="09.06"/>
    <s v="70266350"/>
    <s v="Zinc, Elect, Instrumentation, Automation"/>
    <s v="70491422"/>
    <s v="Lead - Proc Instrumentation &amp; Automatio"/>
    <s v="Hazira"/>
    <s v="0031950048"/>
    <s v="HZ-Procurment Depart"/>
    <s v="2000HWO"/>
    <s v="20002746"/>
    <s v="Deep Pyne"/>
    <s v="No"/>
    <s v="dharmendra.motka@amns.in"/>
    <s v="9909996271"/>
    <s v="22715"/>
    <s v="Dhruv Vyas"/>
    <s v="Anil Matoo"/>
    <s v="Praveen Kuruvalli"/>
    <s v="Dhruv Vyas"/>
    <n v="0"/>
  </r>
  <r>
    <n v="3274"/>
    <n v="20054232"/>
    <s v="Imran Mohammad"/>
    <s v="AM/NS India"/>
    <s v="Onroll"/>
    <s v="M-5"/>
    <n v="5"/>
    <m/>
    <s v="MM"/>
    <s v="M"/>
    <s v="Hazira"/>
    <n v="1"/>
    <s v="2015"/>
    <x v="1"/>
    <s v="22.06"/>
    <s v="Praveen Kuruvalli"/>
    <s v="Ashutosh Telang"/>
    <n v="6"/>
    <s v="HR &amp; Administration"/>
    <s v="Human Resources"/>
    <s v="22"/>
    <s v="Head-Talent Management &amp; OD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5-06-04T00:00:00"/>
    <s v="38.03"/>
    <d v="2018-07-25T00:00:00"/>
    <d v="2043-06-30T00:00:00"/>
    <m/>
    <d v="2043-06-30T00:00:00"/>
    <n v="7223"/>
    <s v=""/>
    <s v="MBA-2009 , BCom-2007 , High School-2004"/>
    <s v="11.06"/>
    <s v="05.01"/>
    <s v="16.08"/>
    <s v="70492872"/>
    <s v="Talent Management &amp; OD"/>
    <s v="70492364"/>
    <s v="Head-Talent Management &amp; OD"/>
    <s v="Hazira"/>
    <s v="0031950061"/>
    <s v="HZ-Human Resource"/>
    <s v="2000HWO"/>
    <s v="20055483"/>
    <s v="Praveen Kuruvalli"/>
    <s v="No"/>
    <s v="imran.mohammad@amns.in"/>
    <s v="9879103612"/>
    <s v="22682"/>
    <s v="Dhruv Vyas"/>
    <s v="Anil Matoo"/>
    <s v="Praveen Kuruvalli"/>
    <s v="Dhruv Vyas"/>
    <n v="0"/>
  </r>
  <r>
    <n v="3284"/>
    <n v="20054296"/>
    <s v="Ashish Rajak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Inventory Plant B"/>
    <s v="Non Technical Support"/>
    <s v="Commercial"/>
    <s v="Stores &amp; Warehouse"/>
    <s v="73806001"/>
    <s v="Stores &amp; Warehouse"/>
    <s v="Hazira"/>
    <d v="1990-09-12T00:00:00"/>
    <s v="33.00"/>
    <d v="2018-08-21T00:00:00"/>
    <d v="2048-09-30T00:00:00"/>
    <m/>
    <d v="2048-09-30T00:00:00"/>
    <n v="9142"/>
    <s v="O-"/>
    <s v="Diploma-2006"/>
    <s v="09.00"/>
    <s v="05.00"/>
    <s v="14.01"/>
    <s v="00053279"/>
    <s v="Receipts &amp; Unloading - Plant A"/>
    <s v="70492419"/>
    <s v="Section Officer - Issue/Shifting"/>
    <s v="Hazira"/>
    <s v="0031950049"/>
    <s v="HZ-Central Stores"/>
    <s v="2000HWO"/>
    <s v="20006916"/>
    <s v="Mir Ali Martaja"/>
    <s v="No"/>
    <s v="ashish.rajak@amns.in"/>
    <s v="9879102455"/>
    <s v="23630"/>
    <s v="Dhruv Vyas"/>
    <s v="Anil Matoo"/>
    <s v="Praveen Kuruvalli"/>
    <s v="Dhruv Vyas"/>
    <n v="0"/>
  </r>
  <r>
    <n v="3291"/>
    <n v="20054320"/>
    <s v="Sanjaykumar Kanani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– Capex Procurement"/>
    <m/>
    <s v="Capex Procurement"/>
    <s v="Capex Procurement"/>
    <s v=""/>
    <s v="Non Technical Support"/>
    <s v="Operations"/>
    <s v="Operations"/>
    <s v="72103001"/>
    <s v="Operations"/>
    <s v="Hazira"/>
    <d v="1994-12-09T00:00:00"/>
    <s v="28.09"/>
    <d v="2018-09-01T00:00:00"/>
    <d v="2052-12-31T00:00:00"/>
    <m/>
    <d v="2052-12-31T00:00:00"/>
    <n v="10695"/>
    <s v="B-"/>
    <s v="BE-2015 , Diploma-2012"/>
    <s v="03.03"/>
    <s v="05.00"/>
    <s v="08.03"/>
    <s v="00049515"/>
    <s v="Capex Procurement"/>
    <s v="70492467"/>
    <s v="Lead – Capex Procurement"/>
    <s v="Hazira"/>
    <s v="0031950059"/>
    <s v="HZ-Hazira Project"/>
    <s v="2000HWO"/>
    <s v="20055706"/>
    <s v="HimalKumar Madhusudan Sheth"/>
    <s v="No"/>
    <s v="sanjaykumar.kanani@amns.in"/>
    <s v="9879102090"/>
    <s v="22125"/>
    <s v="Dhruv Vyas"/>
    <s v="Anil Matoo"/>
    <s v="Praveen Kuruvalli"/>
    <s v="Dhruv Vyas"/>
    <n v="0"/>
  </r>
  <r>
    <n v="3292"/>
    <n v="20054321"/>
    <s v="Hitesh Suratwal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Profit Management"/>
    <m/>
    <s v="Performance Management"/>
    <s v="Performance Management"/>
    <s v="Profit Management"/>
    <s v="Non Technical Support"/>
    <s v="Finance &amp; Accounts"/>
    <s v="Costing"/>
    <s v="73906001"/>
    <s v="Costing"/>
    <s v="AM/NS Hazira"/>
    <d v="1995-11-13T00:00:00"/>
    <s v="27.10"/>
    <d v="2018-09-03T00:00:00"/>
    <d v="2053-11-30T00:00:00"/>
    <m/>
    <d v="2053-11-30T00:00:00"/>
    <n v="11029"/>
    <s v="B-"/>
    <s v="CA Final-2017 , BCom-2016"/>
    <s v=""/>
    <s v="05.00"/>
    <s v="05.00"/>
    <s v="00045310"/>
    <s v="Performance Management"/>
    <s v="70492468"/>
    <s v="Lead – Profit Management"/>
    <s v="Hazira"/>
    <s v="0031950043"/>
    <s v="HZ-Performance Manag"/>
    <s v="2000HWO"/>
    <s v="20059076"/>
    <s v="Ravish Doshi"/>
    <s v="No"/>
    <s v="hitesh.suratwala@amns.in"/>
    <s v="9879103154"/>
    <s v="24389"/>
    <s v="Dhruv Vyas"/>
    <s v="Anil Matoo"/>
    <s v="Praveen Kuruvalli"/>
    <s v="Dhruv Vyas"/>
    <n v="0"/>
  </r>
  <r>
    <n v="3308"/>
    <n v="20054383"/>
    <s v="Santosh Kumar Sahoo"/>
    <s v="AM/NS India"/>
    <s v="Onroll"/>
    <s v="M-9"/>
    <n v="9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Lead - Indirect Taxation"/>
    <m/>
    <s v="Finance &amp; Accounts - Odisha"/>
    <s v="Finance &amp; Accounts"/>
    <s v="Indirect Taxation"/>
    <s v="Non Technical Support"/>
    <s v="Finance &amp; Accounts"/>
    <s v="Taxation"/>
    <s v="73904002"/>
    <s v="Indirect Taxation"/>
    <s v="Paradeep"/>
    <d v="1985-05-19T00:00:00"/>
    <s v="38.04"/>
    <d v="2018-09-26T00:00:00"/>
    <d v="2043-05-31T00:00:00"/>
    <m/>
    <d v="2043-05-31T00:00:00"/>
    <n v="7193"/>
    <s v="O+"/>
    <s v="MBA-2006"/>
    <s v="02.06"/>
    <s v="04.11"/>
    <s v="07.05"/>
    <s v="70234933"/>
    <s v="Finance &amp; Accounts - Odisha"/>
    <s v="70492582"/>
    <s v="Lead - Indirect Taxation"/>
    <s v="Odisha"/>
    <s v="0022010019"/>
    <s v="DBN-Benf-HR/Admin"/>
    <s v="2000STORIS"/>
    <s v="20055801"/>
    <s v="Sanjive Kumar Singh"/>
    <s v="No"/>
    <s v="santosh.sahoo@amns.in"/>
    <s v="7381007062"/>
    <s v="23855"/>
    <s v="Sunila Das"/>
    <s v="Anil Matoo"/>
    <s v="Praveen Kuruvalli"/>
    <s v="Sunila Das"/>
    <n v="0"/>
  </r>
  <r>
    <n v="3355"/>
    <n v="20054448"/>
    <s v="Sejalben Pradipbhai Patel"/>
    <s v="AM/NS India"/>
    <s v="Onroll"/>
    <s v="M-10"/>
    <n v="10"/>
    <m/>
    <s v="JM"/>
    <s v="F"/>
    <s v="Hazira"/>
    <n v="1"/>
    <s v="2054"/>
    <x v="9"/>
    <s v="32.01"/>
    <s v="Pankaj Chaturvedi"/>
    <s v="Hrishikesh Kamat"/>
    <n v="7"/>
    <s v="Procurement"/>
    <s v="Contracts"/>
    <s v="32"/>
    <s v="Officer - Contracts"/>
    <m/>
    <s v="Contracts"/>
    <s v="Contracts"/>
    <s v="Power Infra, HK"/>
    <s v="Non Technical Support"/>
    <s v="Commercial"/>
    <s v="Contracts &amp; Tenders and E-bid"/>
    <s v="73805001"/>
    <s v="Contracts &amp; Tenders and E"/>
    <s v="AM/NS Hazira"/>
    <d v="1985-12-18T00:00:00"/>
    <s v="37.09"/>
    <d v="2018-10-01T00:00:00"/>
    <d v="2043-12-31T00:00:00"/>
    <m/>
    <d v="2043-12-31T00:00:00"/>
    <n v="7407"/>
    <s v="O+"/>
    <s v="Diploma-2014"/>
    <s v=""/>
    <s v="04.11"/>
    <s v="04.11"/>
    <s v="70495670"/>
    <s v="Contracts"/>
    <s v="70492612"/>
    <s v="Officer - Contracts"/>
    <s v="Hazira"/>
    <s v="0031950047"/>
    <s v="HZ-Contracts"/>
    <s v="2000HWO"/>
    <s v="20000795"/>
    <s v="Pankaj Chaturvedi"/>
    <s v="No"/>
    <s v="sejal.patel@amns.in"/>
    <s v="9925241140"/>
    <s v="23373"/>
    <s v="Dhruv Vyas"/>
    <s v="Anil Matoo"/>
    <s v="Praveen Kuruvalli"/>
    <s v="Dhruv Vyas"/>
    <n v="0"/>
  </r>
  <r>
    <n v="3408"/>
    <n v="20054512"/>
    <s v="Surinder Kumar Choudhary"/>
    <s v="AM/NS India"/>
    <s v="Onroll"/>
    <s v="M-6"/>
    <n v="6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Cluster Head - Human Resources"/>
    <m/>
    <s v="Human Resources"/>
    <s v=""/>
    <s v=""/>
    <s v="Non Technical Support"/>
    <s v="Human Resources Management"/>
    <s v="Human Resources Management"/>
    <s v="73501001"/>
    <s v="Human Resources"/>
    <s v="Hazira"/>
    <d v="1979-08-21T00:00:00"/>
    <s v="44.00"/>
    <d v="2018-10-12T00:00:00"/>
    <d v="2037-08-31T00:00:00"/>
    <m/>
    <d v="2037-08-31T00:00:00"/>
    <n v="5094"/>
    <s v="B+"/>
    <s v="PG Diploma in Management-2007 , BTech-20"/>
    <s v="12.10"/>
    <s v="04.11"/>
    <s v="17.09"/>
    <s v="70472771"/>
    <s v="Hazira HR Operations - 2"/>
    <s v="70319421"/>
    <s v="Cluster Head - Human Resources"/>
    <s v="Hazira"/>
    <s v="0031950061"/>
    <s v="HZ-Human Resource"/>
    <s v="2000HWO"/>
    <s v="20000083"/>
    <s v="Anil Matoo"/>
    <s v="No"/>
    <s v="surinder.choudhary@amns.in"/>
    <s v="9879100536"/>
    <s v="21427"/>
    <s v="Dhruv Vyas"/>
    <s v="Anil Matoo"/>
    <s v="Praveen Kuruvalli"/>
    <s v="Dhruv Vyas"/>
    <n v="0"/>
  </r>
  <r>
    <n v="3409"/>
    <n v="20054514"/>
    <s v="Sarvesh Jayesh Gangar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c OEM"/>
    <m/>
    <s v="Procurement MRO Hazira"/>
    <s v="Procurement"/>
    <s v="OEM across plant &amp; special inserts"/>
    <s v="Non Technical Support"/>
    <s v="Commercial"/>
    <s v="Procurement"/>
    <s v="73803001"/>
    <s v="Procurement"/>
    <s v="AM/NS Hazira"/>
    <d v="1990-06-15T00:00:00"/>
    <s v="33.03"/>
    <d v="2018-10-01T00:00:00"/>
    <d v="2048-06-30T00:00:00"/>
    <m/>
    <d v="2048-06-30T00:00:00"/>
    <n v="9050"/>
    <s v="O+"/>
    <s v="BE-2013"/>
    <s v="05.05"/>
    <s v="04.11"/>
    <s v="10.04"/>
    <s v="70072410"/>
    <s v="Rolling &amp; Finishing including CRM, Plate"/>
    <s v="70492725"/>
    <s v="Lead - Proc OEM"/>
    <s v="Hazira"/>
    <s v="0031950048"/>
    <s v="HZ-Procurment Depart"/>
    <s v="2000HWO"/>
    <s v="20002323"/>
    <s v="Balaji Somvanshi"/>
    <s v="No"/>
    <s v="sarvesh.gangar@amns.in"/>
    <s v="9909902759"/>
    <s v="21760"/>
    <s v="Dhruv Vyas"/>
    <s v="Anil Matoo"/>
    <s v="Praveen Kuruvalli"/>
    <s v="Dhruv Vyas"/>
    <n v="0"/>
  </r>
  <r>
    <n v="3412"/>
    <n v="20054520"/>
    <s v="Trupti Yagnesh Patel"/>
    <s v="AM/NS India"/>
    <s v="Onroll"/>
    <s v="M-8"/>
    <n v="8"/>
    <m/>
    <s v="JM"/>
    <s v="F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HSM, CSP Mill"/>
    <s v="Non Technical Support"/>
    <s v="Commercial"/>
    <s v="Contracts &amp; Tenders and E-bid"/>
    <s v="73805001"/>
    <s v="Contracts &amp; Tenders and E"/>
    <s v="AM/NS Hazira"/>
    <d v="1984-04-17T00:00:00"/>
    <s v="39.05"/>
    <d v="2018-10-10T00:00:00"/>
    <d v="2042-04-30T00:00:00"/>
    <m/>
    <d v="2042-04-30T00:00:00"/>
    <n v="6797"/>
    <s v="O+"/>
    <s v="Diploma-2005"/>
    <s v="11.08"/>
    <s v="04.11"/>
    <s v="16.07"/>
    <s v="70495670"/>
    <s v="Contracts"/>
    <s v="70492721"/>
    <s v="Lead - Contracts"/>
    <s v="Hazira"/>
    <s v="0031950047"/>
    <s v="HZ-Contracts"/>
    <s v="2000HWO"/>
    <s v="20000795"/>
    <s v="Pankaj Chaturvedi"/>
    <s v="No"/>
    <s v="trupti.patel@amns.in"/>
    <s v="9879106768"/>
    <s v="23392"/>
    <s v="Dhruv Vyas"/>
    <s v="Anil Matoo"/>
    <s v="Praveen Kuruvalli"/>
    <s v="Dhruv Vyas"/>
    <n v="0"/>
  </r>
  <r>
    <n v="3420"/>
    <n v="20054535"/>
    <s v="Mahendran V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 /Issue Plant"/>
    <m/>
    <s v="Stores &amp; Warehouse"/>
    <s v="Stores &amp; Warehouse"/>
    <s v="Refractory A, Receipt -Issue"/>
    <s v="Non Technical Support"/>
    <s v="Commercial"/>
    <s v="Stores &amp; Warehouse"/>
    <s v="73806001"/>
    <s v="Stores &amp; Warehouse"/>
    <s v="Hazira"/>
    <d v="1985-09-13T00:00:00"/>
    <s v="38.00"/>
    <d v="2018-10-20T00:00:00"/>
    <d v="2043-09-30T00:00:00"/>
    <m/>
    <d v="2043-09-30T00:00:00"/>
    <n v="7315"/>
    <s v="A+"/>
    <s v="Diploma-2006"/>
    <s v="12.00"/>
    <s v="04.11"/>
    <s v="16.11"/>
    <s v="00044539"/>
    <s v="Ferroalloy &amp; Refractory Stores"/>
    <s v="70492821"/>
    <s v="Section Officer - Receipt /Issue Plant"/>
    <s v="Hazira"/>
    <s v="0031950049"/>
    <s v="HZ-Central Stores"/>
    <s v="2000HWO"/>
    <s v="20010626"/>
    <s v="Barot Sachinkumar"/>
    <s v="No"/>
    <s v="mahendran.v@amns.in"/>
    <s v="9879104934"/>
    <s v="24599"/>
    <s v="Dhruv Vyas"/>
    <s v="Anil Matoo"/>
    <s v="Praveen Kuruvalli"/>
    <s v="Dhruv Vyas"/>
    <n v="0"/>
  </r>
  <r>
    <n v="3421"/>
    <n v="20054536"/>
    <s v="Parag Dilipkumar Joshi"/>
    <s v="AM/NS India"/>
    <s v="Onroll"/>
    <s v="M-10"/>
    <n v="10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fractory &amp; Plant B"/>
    <m/>
    <s v="Stores &amp; Warehouse"/>
    <s v="Stores &amp; Warehouse"/>
    <s v="Refractory B, Receipt -Issue"/>
    <s v="Non Technical Support"/>
    <s v="Commercial"/>
    <s v="Stores &amp; Warehouse"/>
    <s v="73806001"/>
    <s v="Stores &amp; Warehouse"/>
    <s v="Hazira"/>
    <d v="1987-03-17T00:00:00"/>
    <s v="36.06"/>
    <d v="2018-10-20T00:00:00"/>
    <d v="2045-03-31T00:00:00"/>
    <m/>
    <d v="2045-03-31T00:00:00"/>
    <n v="7863"/>
    <s v="A+"/>
    <s v="MCom-2006"/>
    <s v="08.09"/>
    <s v="04.11"/>
    <s v="13.07"/>
    <s v="00044539"/>
    <s v="Ferroalloy &amp; Refractory Stores"/>
    <s v="70492822"/>
    <s v="Section Officer - Refractory &amp; Plant B"/>
    <s v="Hazira"/>
    <s v="0031950049"/>
    <s v="HZ-Central Stores"/>
    <s v="2000HWO"/>
    <s v="20010626"/>
    <s v="Barot Sachinkumar"/>
    <s v="No"/>
    <s v="parag.joshi2@amns.in"/>
    <s v="9925245354"/>
    <s v="22067"/>
    <s v="Dhruv Vyas"/>
    <s v="Anil Matoo"/>
    <s v="Praveen Kuruvalli"/>
    <s v="Dhruv Vyas"/>
    <n v="0"/>
  </r>
  <r>
    <n v="3423"/>
    <n v="20054538"/>
    <s v="Niraj Pradeep Khopkar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– EXIM"/>
    <m/>
    <s v="Taxation"/>
    <s v="Indirect Taxation"/>
    <s v="EXIM"/>
    <s v="Non Technical Support"/>
    <s v="Finance &amp; Accounts"/>
    <s v="Taxation"/>
    <s v="73904002"/>
    <s v="Indirect Taxation"/>
    <s v="Mumbai"/>
    <d v="1982-06-05T00:00:00"/>
    <s v="41.03"/>
    <d v="2018-10-22T00:00:00"/>
    <d v="2040-06-30T00:00:00"/>
    <m/>
    <d v="2040-06-30T00:00:00"/>
    <n v="6128"/>
    <s v="A+"/>
    <s v="Certificate-2017 , Diploma-2007 , BCom-2"/>
    <s v="14.06"/>
    <s v="04.10"/>
    <s v="19.05"/>
    <s v="70072408"/>
    <s v="Customs / DGFT / EXIM"/>
    <s v="70492823"/>
    <s v="Sr. Lead– EXIM"/>
    <s v="Corporate"/>
    <s v="0090000033"/>
    <s v="Corporate Taxation"/>
    <s v="2000CS"/>
    <s v="20047664"/>
    <s v="Devang Desai"/>
    <s v="No"/>
    <s v="niraj.khopkar@amns.in"/>
    <s v="9819731545"/>
    <s v="22238"/>
    <s v="Dhruv Vyas"/>
    <s v="Anil Matoo"/>
    <s v="Praveen Kuruvalli"/>
    <s v="Dhruv Vyas"/>
    <n v="0"/>
  </r>
  <r>
    <n v="3429"/>
    <n v="20054565"/>
    <s v="Dhruv Vyas"/>
    <s v="AM/NS India"/>
    <s v="Onroll"/>
    <s v="M-7"/>
    <n v="7"/>
    <m/>
    <s v="MM"/>
    <s v="M"/>
    <s v="Hazira"/>
    <n v="1"/>
    <s v="2015"/>
    <x v="1"/>
    <s v="22.06"/>
    <s v="Praveen Kuruvalli"/>
    <s v="Ashutosh Telang"/>
    <n v="6"/>
    <s v="HR &amp; Administration"/>
    <s v="Human Resources"/>
    <s v="22"/>
    <s v="Lead  Human Resources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8-08-06T00:00:00"/>
    <s v="35.01"/>
    <d v="2018-11-01T00:00:00"/>
    <d v="2046-08-31T00:00:00"/>
    <m/>
    <d v="2046-08-31T00:00:00"/>
    <n v="8381"/>
    <s v="A+"/>
    <s v="MCA-2015 , MBA-2014 , Bachelor of Comput"/>
    <s v="04.06"/>
    <s v="04.10"/>
    <s v="09.04"/>
    <s v="00053055"/>
    <s v="Human Resources"/>
    <s v="70492873"/>
    <s v="Lead  Human Resources"/>
    <s v="Hazira"/>
    <s v="0031950061"/>
    <s v="HZ-Human Resource"/>
    <s v="2000HWO"/>
    <s v="20055672"/>
    <s v="Shailja Tripathi"/>
    <s v="No"/>
    <s v="dhruv.vyas@amns.in"/>
    <s v="9879101603"/>
    <s v="24719"/>
    <s v="Dhruv Vyas"/>
    <s v="Anil Matoo"/>
    <s v="Praveen Kuruvalli"/>
    <s v="Dhruv Vyas"/>
    <n v="0"/>
  </r>
  <r>
    <n v="3460"/>
    <n v="20054681"/>
    <s v="Roshan Farkunde"/>
    <s v="AM/NS India"/>
    <s v="Onroll"/>
    <s v="M-7"/>
    <n v="7"/>
    <m/>
    <s v="MM"/>
    <s v="M"/>
    <s v="Pune Facility"/>
    <n v="4"/>
    <s v="2015"/>
    <x v="1"/>
    <s v="22.06"/>
    <s v="Anil Matoo"/>
    <s v="Ashutosh Telang"/>
    <n v="6"/>
    <s v="HR &amp; Administration"/>
    <s v="Human Resources"/>
    <s v="22"/>
    <s v="Lead - Human Resource"/>
    <m/>
    <s v="Human Resources"/>
    <s v="Training"/>
    <s v="Human Resources"/>
    <s v="Non Technical Support"/>
    <s v="Human Resources Management"/>
    <s v="Human Resources Management"/>
    <s v="73501001"/>
    <s v="Human Resources"/>
    <s v="Pune AMNS"/>
    <d v="1984-09-11T00:00:00"/>
    <s v="39.00"/>
    <d v="2018-12-26T00:00:00"/>
    <d v="2042-09-30T00:00:00"/>
    <m/>
    <d v="2042-09-30T00:00:00"/>
    <n v="6950"/>
    <s v="B+"/>
    <s v="MBA-2009 , BSc-2005"/>
    <s v="09.07"/>
    <s v="04.08"/>
    <s v="14.03"/>
    <s v="73800068"/>
    <s v="Pune HR Operations &amp; Administration"/>
    <s v="70493321"/>
    <s v="Lead - Human Resource"/>
    <s v="Pune Facility"/>
    <s v="0035950019"/>
    <s v="Pune-Admin"/>
    <s v="2000ESPF"/>
    <s v="20037245"/>
    <s v="Mukund Jagirdar"/>
    <s v="No"/>
    <s v="roshan.farkunde@amns.in"/>
    <s v="9158045252"/>
    <s v="21714"/>
    <s v="Dhruv Vyas"/>
    <s v="Anil Matoo"/>
    <s v="Praveen Kuruvalli"/>
    <s v="Dhruv Vyas"/>
    <n v="0"/>
  </r>
  <r>
    <n v="3475"/>
    <n v="20054875"/>
    <s v="Sandeep Koul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4"/>
    <s v="OEM Sales"/>
    <s v="Noida"/>
    <d v="1985-06-29T00:00:00"/>
    <s v="38.02"/>
    <d v="2019-03-01T00:00:00"/>
    <d v="2043-06-30T00:00:00"/>
    <m/>
    <d v="2043-06-30T00:00:00"/>
    <n v="7223"/>
    <s v="A+"/>
    <s v="MBA-2011 , Bachelor of Computer Applicat"/>
    <s v="02.10"/>
    <s v="04.06"/>
    <s v="07.04"/>
    <s v="72150181"/>
    <s v="Sales North Zone"/>
    <s v="70493939"/>
    <s v="Sales Manager"/>
    <s v="Hazira"/>
    <s v="0031950057"/>
    <s v="HZ-HRC - Marketing"/>
    <s v="2000HWO"/>
    <s v="20002920"/>
    <s v="Sudhir Sharma"/>
    <s v="No"/>
    <s v="sandeep.koul@amns.in"/>
    <s v="9999949891"/>
    <s v="22277"/>
    <s v="Dhruv Vyas"/>
    <s v="Anil Matoo"/>
    <s v="Praveen Kuruvalli"/>
    <s v="Dhruv Vyas"/>
    <n v="0"/>
  </r>
  <r>
    <n v="3482"/>
    <n v="20054907"/>
    <s v="Shreyas Agarwal"/>
    <s v="AM/NS India"/>
    <s v="Onroll"/>
    <s v="M-9"/>
    <n v="9"/>
    <m/>
    <s v="JM"/>
    <s v="M"/>
    <s v="Hazira"/>
    <n v="1"/>
    <s v="2096"/>
    <x v="14"/>
    <s v="36.02"/>
    <s v="Deepak Sindkar"/>
    <s v="Hrishikesh Kamat"/>
    <n v="7"/>
    <s v="Procurement"/>
    <s v="Raw Materials"/>
    <s v="36"/>
    <s v="Lead - Gas Management"/>
    <m/>
    <s v="Power &amp; Gas"/>
    <s v="Power &amp; Gas"/>
    <s v="Power &amp; Gas"/>
    <s v="Non Technical Support"/>
    <s v="Commercial"/>
    <s v="Procurement"/>
    <s v="73803001"/>
    <s v="Procurement"/>
    <s v="AM/NS Hazira"/>
    <d v="1997-02-02T00:00:00"/>
    <s v="26.07"/>
    <d v="2019-04-15T00:00:00"/>
    <d v="2055-02-28T00:00:00"/>
    <m/>
    <d v="2055-02-28T00:00:00"/>
    <n v="11484"/>
    <s v="O+"/>
    <s v="MBA-2019 , BBA-2017 , Intermediate-2014"/>
    <s v=""/>
    <s v="04.05"/>
    <s v="04.05"/>
    <s v="00049516"/>
    <s v="Power &amp; Gas"/>
    <s v="70494001"/>
    <s v="Lead - Gas Management"/>
    <s v="Hazira"/>
    <s v="0031950048"/>
    <s v="HZ-Procurment Depart"/>
    <s v="2000HWO"/>
    <s v="20004612"/>
    <s v="Ramesh Chabhadiya"/>
    <s v="No"/>
    <s v="shreyas.agarwal@amns.in"/>
    <s v="9879101479"/>
    <s v="24862"/>
    <s v="Dhruv Vyas"/>
    <s v="Anil Matoo"/>
    <s v="Praveen Kuruvalli"/>
    <s v="Dhruv Vyas"/>
    <n v="0"/>
  </r>
  <r>
    <n v="3502"/>
    <n v="20054937"/>
    <s v="Hitesh Kumar Yadav"/>
    <s v="AM/NS India"/>
    <s v="Onroll"/>
    <s v="M-6"/>
    <n v="6"/>
    <m/>
    <s v="MM"/>
    <s v="M"/>
    <s v="Hazira"/>
    <n v="1"/>
    <s v="2722"/>
    <x v="20"/>
    <s v="28.02"/>
    <s v="Anil Matoo"/>
    <s v="Ashutosh Telang"/>
    <n v="6"/>
    <s v="HR &amp; Administration"/>
    <s v="Academy for Skill Development"/>
    <n v="28"/>
    <s v="Head - Academy"/>
    <m/>
    <s v="Academy for Skill Development"/>
    <s v=""/>
    <s v=""/>
    <s v="Non Technical Support"/>
    <s v="Human Resources Management"/>
    <s v="Human Resources Management"/>
    <s v="73501002"/>
    <s v="Human Resources Operation"/>
    <s v="Hazira"/>
    <d v="1977-03-30T00:00:00"/>
    <s v="46.05"/>
    <d v="2019-06-10T00:00:00"/>
    <d v="2035-03-31T00:00:00"/>
    <m/>
    <d v="2035-03-31T00:00:00"/>
    <n v="4210"/>
    <s v="O+"/>
    <s v="MHRM-2005 , BTech-2000 , Intermediate-19"/>
    <s v="02.03"/>
    <s v="04.03"/>
    <s v="06.06"/>
    <s v="70495652"/>
    <s v="Academy for Skill Development"/>
    <s v="70494107"/>
    <s v="Head - Academy"/>
    <s v="Hazira"/>
    <s v="0031950061"/>
    <s v="HZ-Human Resource"/>
    <s v="2000HWO"/>
    <s v="20000083"/>
    <s v="Anil Matoo"/>
    <s v="No"/>
    <s v="hitesh.yadav@amns.in"/>
    <s v="9879100546"/>
    <s v="24965"/>
    <s v="Dhruv Vyas"/>
    <s v="Anil Matoo"/>
    <s v="Praveen Kuruvalli"/>
    <s v="Dhruv Vyas"/>
    <n v="0"/>
  </r>
  <r>
    <n v="3509"/>
    <n v="20054954"/>
    <s v="Arnav Mishra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"/>
    <s v="Non Technical Support"/>
    <s v="Operations"/>
    <s v="Plant Operations"/>
    <s v="72103005"/>
    <s v="Shift Operations"/>
    <s v="Chennai"/>
    <d v="1988-11-21T00:00:00"/>
    <s v="34.09"/>
    <d v="2019-06-18T00:00:00"/>
    <d v="2046-11-30T00:00:00"/>
    <m/>
    <d v="2046-11-30T00:00:00"/>
    <n v="8472"/>
    <s v="B+"/>
    <s v="MTech-2019 , BTech-2010 , SSLC-2005 , Hi"/>
    <s v=""/>
    <s v="04.03"/>
    <s v="04.03"/>
    <s v="00052460"/>
    <s v="Auto &amp; YG"/>
    <s v="70494154"/>
    <s v="Lead – Application Engineer"/>
    <s v="Hazira"/>
    <s v="0031950057"/>
    <s v="HZ-HRC - Marketing"/>
    <s v="2000HWO"/>
    <s v="20056155"/>
    <s v="Kondapalli Venkateswarlu"/>
    <s v="No"/>
    <s v="arnav.mishra@amns.in"/>
    <s v="9925241696"/>
    <s v="24913"/>
    <s v="Dhruv Vyas"/>
    <s v="Anil Matoo"/>
    <s v="Praveen Kuruvalli"/>
    <s v="Dhruv Vyas"/>
    <n v="0"/>
  </r>
  <r>
    <n v="3510"/>
    <n v="20054955"/>
    <s v="Gaurav Sharma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"/>
    <s v="Non Technical Support"/>
    <s v="Operations"/>
    <s v="Plant Operations"/>
    <s v="72103005"/>
    <s v="Shift Operations"/>
    <s v="Noida"/>
    <d v="1991-09-28T00:00:00"/>
    <s v="31.11"/>
    <d v="2019-06-18T00:00:00"/>
    <d v="2049-09-30T00:00:00"/>
    <m/>
    <d v="2049-09-30T00:00:00"/>
    <n v="9507"/>
    <s v="B+"/>
    <s v="MTech-2019 , BTech-2014 , SSLC-2009 , Hi"/>
    <s v=""/>
    <s v="04.03"/>
    <s v="04.03"/>
    <s v="00052460"/>
    <s v="Auto &amp; YG"/>
    <s v="70494155"/>
    <s v="Lead – Application Engineer"/>
    <s v="Hazira"/>
    <s v="0031950057"/>
    <s v="HZ-HRC - Marketing"/>
    <s v="2000HWO"/>
    <s v="20056155"/>
    <s v="Kondapalli Venkateswarlu"/>
    <s v="No"/>
    <s v="gaurav.sharma@amns.in"/>
    <s v="9925241040"/>
    <s v="24097"/>
    <s v="Dhruv Vyas"/>
    <s v="Anil Matoo"/>
    <s v="Praveen Kuruvalli"/>
    <s v="Dhruv Vyas"/>
    <n v="0"/>
  </r>
  <r>
    <n v="3521"/>
    <n v="20054976"/>
    <s v="Golakiya Krushil Ishvarbhai"/>
    <s v="AM/NS India"/>
    <s v="Onroll"/>
    <s v="M-10"/>
    <n v="10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Section Engineer - Projects Coordination"/>
    <m/>
    <s v="Capex Planning &amp; Projects"/>
    <s v="AWESOME Projects, CRM Projects, Coal Conveyor to 300 MW PP"/>
    <s v="&quot;ARP-2 Project,"/>
    <s v="Non Technical Support"/>
    <s v="Projects"/>
    <s v="Projects Coordination"/>
    <s v="72103038"/>
    <s v="Projects Coordination"/>
    <s v="Hazira"/>
    <d v="1998-04-02T00:00:00"/>
    <s v="25.05"/>
    <d v="2019-06-18T00:00:00"/>
    <d v="2056-04-30T00:00:00"/>
    <m/>
    <d v="2056-04-30T00:00:00"/>
    <n v="11911"/>
    <s v="O+"/>
    <s v="BTech-2019 , SSLC-2015 , High School-201"/>
    <s v=""/>
    <s v="04.03"/>
    <s v="04.03"/>
    <s v="00049344"/>
    <s v="Capex Procurement"/>
    <s v="70494179"/>
    <s v="Section Engineer - Projects Coordination"/>
    <s v="Hazira"/>
    <s v="0031950059"/>
    <s v="HZ-Hazira Project"/>
    <s v="2000HWO"/>
    <s v="20055728"/>
    <s v="Mahebub Vahora"/>
    <s v="No"/>
    <s v="krushil.golakiya@amns.in"/>
    <s v="9909902475"/>
    <s v="24892"/>
    <s v="Dhruv Vyas"/>
    <s v="Anil Matoo"/>
    <s v="Praveen Kuruvalli"/>
    <s v="Dhruv Vyas"/>
    <n v="0"/>
  </r>
  <r>
    <n v="3526"/>
    <n v="20054987"/>
    <s v="Shaik Saajid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RM ÃƒÆ’Ã‚Â¢ÃƒÂ¢Ã¢â‚¬Å¡Ã‚Â¬ÃƒÂ¢Ã¢â€šÂ¬Ã…â€œ FM ÃƒÆ’Ã‚Â¢ÃƒÂ¢Ã¢â‚¬Å¡Ã‚Â¬ÃƒÂ¢Ã¢â€šÂ¬Ã…â€œ CS ÃƒÆ’Ã‚Â¢ÃƒÂ¢Ã¢â‚¬Å¡Ã‚Â¬ÃƒÂ¢Ã¢â€šÂ¬Ã…â€œ DC"/>
    <s v="Non Technical Support"/>
    <s v="Operations"/>
    <s v="Plant Maintenance"/>
    <s v="72103008"/>
    <s v="Mechanical Maintenance"/>
    <s v="Mumbai"/>
    <d v="1998-01-10T00:00:00"/>
    <s v="25.08"/>
    <d v="2019-06-18T00:00:00"/>
    <d v="2056-01-31T00:00:00"/>
    <m/>
    <d v="2056-01-31T00:00:00"/>
    <n v="11821"/>
    <s v="B+"/>
    <s v="BTech-2019 , SSLC-2015 , High School-201"/>
    <s v=""/>
    <s v="04.03"/>
    <s v="04.03"/>
    <s v="00052460"/>
    <s v="Auto &amp; YG"/>
    <s v="70494190"/>
    <s v="Lead – Application Engineer"/>
    <s v="Hazira"/>
    <s v="0031950057"/>
    <s v="HZ-HRC - Marketing"/>
    <s v="2000HWO"/>
    <s v="20056155"/>
    <s v="Kondapalli Venkateswarlu"/>
    <s v="No"/>
    <s v="shaik.sajid@amns.in"/>
    <s v="9909902292"/>
    <s v="24935"/>
    <s v="Dhruv Vyas"/>
    <s v="Anil Matoo"/>
    <s v="Praveen Kuruvalli"/>
    <s v="Dhruv Vyas"/>
    <n v="0"/>
  </r>
  <r>
    <n v="3538"/>
    <n v="20055011"/>
    <s v="Sambit Kumar Panda"/>
    <s v="AM/NS India"/>
    <s v="Onroll"/>
    <s v="M-10"/>
    <n v="10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Lead - Mechanical Buying"/>
    <m/>
    <s v="Procurement"/>
    <s v="Procurement"/>
    <s v="Procurement"/>
    <s v="Non Technical Support"/>
    <s v="Operations"/>
    <s v="Plant Maintenance"/>
    <s v="72103008"/>
    <s v="Mechanical Maintenance"/>
    <s v="Paradeep"/>
    <d v="1997-07-16T00:00:00"/>
    <s v="26.02"/>
    <d v="2019-06-18T00:00:00"/>
    <d v="2055-07-31T00:00:00"/>
    <m/>
    <d v="2055-07-31T00:00:00"/>
    <n v="11637"/>
    <s v="B+"/>
    <s v="BTech-2019 , SSLC-2015 , High School-201"/>
    <s v=""/>
    <s v="04.03"/>
    <s v="04.03"/>
    <s v="70407583"/>
    <s v="Procurement - Odisha Asset"/>
    <s v="70494163"/>
    <s v="Lead - Mechanical Buying"/>
    <s v="Odisha"/>
    <s v="0022030019"/>
    <s v="PDP-HR &amp; Admn"/>
    <s v="2000STORIS"/>
    <s v="20055692"/>
    <s v="Rajiv Ranjan"/>
    <s v="Yes"/>
    <s v="spanda1996@gmail.com"/>
    <s v="7381007063"/>
    <s v="24922"/>
    <s v="Sunila Das"/>
    <s v="Anil Matoo"/>
    <s v="Praveen Kuruvalli"/>
    <s v="Sunila Das"/>
    <n v="0"/>
  </r>
  <r>
    <n v="3544"/>
    <n v="20055018"/>
    <s v="Uzair Gulammohamad Vahora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"/>
    <s v="Non Technical Support"/>
    <s v="Sales &amp; Marketing"/>
    <s v="Sales"/>
    <s v="73104004"/>
    <s v="OEM Sales"/>
    <s v="Hazira"/>
    <d v="1995-05-28T00:00:00"/>
    <s v="28.03"/>
    <d v="2019-06-24T00:00:00"/>
    <d v="2053-05-31T00:00:00"/>
    <m/>
    <d v="2053-05-31T00:00:00"/>
    <n v="10846"/>
    <s v="O+"/>
    <s v="MBA-2019 , BBA-2016 , Intermediate-2013"/>
    <s v=""/>
    <s v="04.02"/>
    <s v="04.02"/>
    <s v="70394840"/>
    <s v="OEM Sales - Gujarat"/>
    <s v="70494225"/>
    <s v="Sales Manager - Hypermart"/>
    <s v="Hazira"/>
    <s v="0060110200"/>
    <s v="HMART-Gujarat Div"/>
    <s v="2000HWO"/>
    <s v="20001736"/>
    <s v="Manoranjan Jagdhari"/>
    <s v="No"/>
    <s v="uzair.vahora@amns.in"/>
    <s v="8657537920"/>
    <s v="24622"/>
    <s v="Dhruv Vyas"/>
    <s v="Anil Matoo"/>
    <s v="Praveen Kuruvalli"/>
    <s v="Dhruv Vyas"/>
    <n v="0"/>
  </r>
  <r>
    <n v="3557"/>
    <n v="20055033"/>
    <s v="Vikas Chandra Yadvendu"/>
    <s v="AM/NS India"/>
    <s v="Onroll"/>
    <s v="M-5"/>
    <n v="5"/>
    <m/>
    <s v="MM"/>
    <s v="M"/>
    <s v="Corporate"/>
    <n v="7"/>
    <s v="2094"/>
    <x v="21"/>
    <s v="27.10"/>
    <s v="Ashutosh Telang"/>
    <s v="Ashutosh Telang"/>
    <n v="6"/>
    <s v="HR &amp; Administration"/>
    <s v="Corporate SocialResponsibility"/>
    <s v="27"/>
    <s v="Head - Corporate Social Responsibility"/>
    <m/>
    <s v="Corporate Social Responsibility"/>
    <s v="CSR"/>
    <s v="CSR"/>
    <s v="Non Technical Support"/>
    <s v="Corporate Social Responsibility"/>
    <s v="Corporate Social Responsibility"/>
    <s v="75001001"/>
    <s v="Corporate Social Responsi"/>
    <s v="Paradeep"/>
    <d v="1983-08-03T00:00:00"/>
    <s v="40.01"/>
    <d v="2019-08-01T00:00:00"/>
    <d v="2041-08-31T00:00:00"/>
    <m/>
    <d v="2041-08-31T00:00:00"/>
    <n v="6555"/>
    <s v="O+"/>
    <s v="Phd-2016 , Master's Equivalent-2007 , BS"/>
    <s v="12.01"/>
    <s v="04.01"/>
    <s v="16.02"/>
    <s v="70495661"/>
    <s v="Corporate Social Responsibility"/>
    <s v="70494325"/>
    <s v="Head - Corporate Social Responsibility"/>
    <s v="Corporate"/>
    <s v="0022030019"/>
    <s v="PDP-HR &amp; Admn"/>
    <s v="2000CS"/>
    <s v="20059024"/>
    <s v="Keiji Kubota"/>
    <s v="No"/>
    <s v="vikas.yadvendu@amns.in"/>
    <s v="7381007260"/>
    <s v="24966"/>
    <s v="Dhruv Vyas"/>
    <s v="Anil Matoo"/>
    <s v="Praveen Kuruvalli"/>
    <s v="Dhruv Vyas"/>
    <n v="0"/>
  </r>
  <r>
    <n v="3558"/>
    <n v="20055034"/>
    <s v="Rabi Narayana Prusty"/>
    <s v="AM/NS India"/>
    <s v="Onroll"/>
    <s v="M-9"/>
    <n v="9"/>
    <m/>
    <s v="JM"/>
    <s v="M"/>
    <s v="Odisha"/>
    <n v="2"/>
    <s v="2069"/>
    <x v="8"/>
    <s v="25.01"/>
    <s v="Bibek Chattopadhyay"/>
    <s v="Ashutosh Telang"/>
    <n v="6"/>
    <s v="HR &amp; Administration"/>
    <s v="Corporate Communications"/>
    <s v="25"/>
    <s v="Lead-Corporate Communication"/>
    <m/>
    <s v="Corporate Communications"/>
    <s v="Coporate Communication"/>
    <s v="Coporate Communication"/>
    <s v="Non Technical Support"/>
    <s v="Corporate Communication"/>
    <s v="Corporate Communication"/>
    <s v="74001001"/>
    <s v="Corporate Communication"/>
    <s v="Bhubaneswar"/>
    <d v="1976-06-10T00:00:00"/>
    <s v="47.03"/>
    <d v="2019-08-01T00:00:00"/>
    <d v="2034-06-30T00:00:00"/>
    <m/>
    <d v="2034-06-30T00:00:00"/>
    <n v="3936"/>
    <s v="B+"/>
    <s v="Master's Equivalent-2018 , BEd-1996 , BA"/>
    <s v="16.07"/>
    <s v="04.01"/>
    <s v="20.08"/>
    <s v="00046762"/>
    <s v="Communiation &amp; Media Relations Odisha"/>
    <s v="70494354"/>
    <s v="Lead-Corporate Communication"/>
    <s v="Odisha"/>
    <s v="0022030019"/>
    <s v="PDP-HR &amp; Admn"/>
    <s v="2000STORIS"/>
    <s v="20056246"/>
    <s v="Soumitra Patnaik"/>
    <s v="No"/>
    <s v="rabi.prusty@amns.in"/>
    <s v="7381007154"/>
    <s v="23589"/>
    <s v="Sunila Das"/>
    <s v="Anil Matoo"/>
    <s v="Praveen Kuruvalli"/>
    <s v="Sunila Das"/>
    <n v="0"/>
  </r>
  <r>
    <n v="3565"/>
    <n v="20055048"/>
    <s v="Vyas Jaiminkumar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– Proc Instrumentation &amp; Automatio"/>
    <m/>
    <s v="Procurement MRO Hazira"/>
    <s v="Procurement"/>
    <s v="Instrumentation &amp; Automation spares, Cables - Hazira Complex"/>
    <s v="Non Technical Support"/>
    <s v="Commercial"/>
    <s v="Procurement"/>
    <s v="73803001"/>
    <s v="Procurement"/>
    <s v="AM/NS Hazira"/>
    <d v="1982-03-22T00:00:00"/>
    <s v="41.06"/>
    <d v="2019-09-21T00:00:00"/>
    <d v="2040-03-31T00:00:00"/>
    <m/>
    <d v="2040-03-31T00:00:00"/>
    <n v="6037"/>
    <s v="O+"/>
    <s v="Diploma-2003 , Diploma-2003 , High Schoo"/>
    <s v=""/>
    <s v="04.00"/>
    <s v="04.00"/>
    <s v="70266350"/>
    <s v="Zinc, Elect, Instrumentation, Automation"/>
    <s v="70494450"/>
    <s v="Lead – Proc Instrumentation &amp; Automatio"/>
    <s v="Hazira"/>
    <s v="0031950048"/>
    <s v="HZ-Procurment Depart"/>
    <s v="2000HWO"/>
    <s v="20002746"/>
    <s v="Deep Pyne"/>
    <s v="No"/>
    <s v="jaimin.vyas@amns.in"/>
    <s v="9879101941"/>
    <s v="24963"/>
    <s v="Dhruv Vyas"/>
    <s v="Anil Matoo"/>
    <s v="Praveen Kuruvalli"/>
    <s v="Dhruv Vyas"/>
    <n v="0"/>
  </r>
  <r>
    <n v="3566"/>
    <n v="20055049"/>
    <s v="Rajesh Prabhakar Raktate"/>
    <s v="AM/NS India"/>
    <s v="Onroll"/>
    <s v="M-6"/>
    <n v="6"/>
    <m/>
    <s v="MM"/>
    <s v="M"/>
    <s v="Corporate"/>
    <n v="7"/>
    <s v="2071"/>
    <x v="22"/>
    <s v="41.01"/>
    <s v="P Ashok Kumar"/>
    <s v="P Ashok Kumar"/>
    <n v="9"/>
    <s v="Legal"/>
    <s v="Legal"/>
    <s v="41"/>
    <s v="Legal Speclialist"/>
    <m/>
    <s v="Legal"/>
    <s v="Legal"/>
    <s v="Legal"/>
    <s v="Non Technical Support"/>
    <s v="Legal"/>
    <s v="Legal"/>
    <s v="73201001"/>
    <s v="Legal"/>
    <s v="Mumbai"/>
    <d v="1975-11-14T00:00:00"/>
    <s v="47.10"/>
    <d v="2019-10-01T00:00:00"/>
    <d v="2033-11-30T00:00:00"/>
    <m/>
    <d v="2033-11-30T00:00:00"/>
    <n v="3724"/>
    <s v="O+"/>
    <s v="LLB-2001 , Diploma-1998 , BCom-1996"/>
    <s v="15.02"/>
    <s v="03.11"/>
    <s v="19.01"/>
    <s v="70494754"/>
    <s v="Legal"/>
    <s v="70494454"/>
    <s v="Legal Speclialist"/>
    <s v="Corporate"/>
    <s v="0090000019"/>
    <s v="Corporate Steel - Le"/>
    <s v="2000CS"/>
    <s v="20055235"/>
    <s v="P Ashok Kumar"/>
    <s v="No"/>
    <s v="rajesh.raktate@amns.in"/>
    <s v="8657537942"/>
    <s v="24931"/>
    <s v="Dhruv Vyas"/>
    <s v="Anil Matoo"/>
    <s v="Praveen Kuruvalli"/>
    <s v="Dhruv Vyas"/>
    <n v="0"/>
  </r>
  <r>
    <n v="3575"/>
    <n v="20055067"/>
    <s v="Nikhil Kumar Mall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4"/>
    <s v="OEM Sales"/>
    <s v="Noida"/>
    <d v="1993-02-17T00:00:00"/>
    <s v="30.07"/>
    <d v="2019-12-16T00:00:00"/>
    <d v="2051-02-28T00:00:00"/>
    <m/>
    <d v="2051-02-28T00:00:00"/>
    <n v="10023"/>
    <s v="O+"/>
    <s v="MTech-2019 , BTech-2015 , Intermediate-2"/>
    <s v=""/>
    <s v="03.09"/>
    <s v="03.09"/>
    <s v="72150181"/>
    <s v="Sales North Zone"/>
    <s v="70494601"/>
    <s v="Sales Manager"/>
    <s v="Hazira"/>
    <s v="0031950057"/>
    <s v="HZ-HRC - Marketing"/>
    <s v="2000HWO"/>
    <s v="20002920"/>
    <s v="Sudhir Sharma"/>
    <s v="No"/>
    <s v="nikhil.mall@amns.in"/>
    <s v="6377820254"/>
    <s v="25087"/>
    <s v="Dhruv Vyas"/>
    <s v="Anil Matoo"/>
    <s v="Praveen Kuruvalli"/>
    <s v="Dhruv Vyas"/>
    <n v="0"/>
  </r>
  <r>
    <n v="3576"/>
    <n v="20055068"/>
    <s v="Dilip Oommen"/>
    <s v="AM/NS India"/>
    <s v="PDA"/>
    <s v="M-1"/>
    <n v="1"/>
    <m/>
    <s v="TM"/>
    <s v="M"/>
    <s v="Corporate"/>
    <n v="7"/>
    <s v="2260"/>
    <x v="5"/>
    <s v="01.01"/>
    <s v="Dilip Oommen"/>
    <s v="Dilip Oommen"/>
    <n v="1"/>
    <s v="CEO Office"/>
    <s v="CEO Office"/>
    <s v="01"/>
    <s v="Chief Executive Officer"/>
    <m/>
    <s v="CEO Office"/>
    <s v="CEO Office"/>
    <s v="CEO Office"/>
    <s v="Non Technical Support"/>
    <s v="Operations"/>
    <s v="Operations"/>
    <s v="72103001"/>
    <s v="Operations"/>
    <s v="Mumbai"/>
    <d v="1958-03-28T00:00:00"/>
    <s v="65.05"/>
    <d v="2019-12-16T00:00:00"/>
    <d v="2018-03-31T00:00:00"/>
    <d v="2025-03-31T00:00:00"/>
    <d v="2025-03-31T00:00:00"/>
    <n v="558"/>
    <s v="A-"/>
    <s v="BTech-1981"/>
    <s v="17.02"/>
    <s v="03.09"/>
    <s v="20.11"/>
    <s v="70176006"/>
    <s v="CEO Office"/>
    <s v="72150532"/>
    <s v="Chief Executive Officer"/>
    <s v="Non-payroll-relevant"/>
    <s v=""/>
    <s v=""/>
    <s v="2000CS"/>
    <s v="0"/>
    <s v=""/>
    <s v="No"/>
    <s v="dilip.oommen@amns.in"/>
    <s v="9909901994"/>
    <s v="22571"/>
    <s v="Dhruv Vyas"/>
    <s v="Anil Matoo"/>
    <s v="Praveen Kuruvalli"/>
    <s v="Dhruv Vyas"/>
    <n v="0"/>
  </r>
  <r>
    <n v="3578"/>
    <n v="20055071"/>
    <s v="Anirudha Bisoyi"/>
    <s v="AM/NS India"/>
    <s v="Onroll"/>
    <s v="M-8"/>
    <n v="8"/>
    <m/>
    <s v="JM"/>
    <s v="M"/>
    <s v="Hazira"/>
    <n v="1"/>
    <s v="2133"/>
    <x v="23"/>
    <s v="26.11"/>
    <s v="Anil Matoo"/>
    <s v="Ashutosh Telang"/>
    <n v="6"/>
    <s v="HR &amp; Administration"/>
    <s v="Payroll Administration"/>
    <s v="26"/>
    <s v="Lead - Payroll"/>
    <m/>
    <s v="Payroll Administration"/>
    <s v=""/>
    <s v=""/>
    <s v="Non Technical Support"/>
    <s v="Human Resources Management"/>
    <s v="Human Resources Management"/>
    <s v="73501002"/>
    <s v="Human Resources Operation"/>
    <s v="Hazira"/>
    <d v="1985-07-18T00:00:00"/>
    <s v="38.02"/>
    <d v="2020-01-15T00:00:00"/>
    <d v="2043-07-31T00:00:00"/>
    <m/>
    <d v="2043-07-31T00:00:00"/>
    <n v="7254"/>
    <s v="A+"/>
    <s v="MPM-2008 , BA-2006 , Intermediate-2003 ,"/>
    <s v="11.02"/>
    <s v="03.08"/>
    <s v="14.10"/>
    <s v="00051767"/>
    <s v="Payroll"/>
    <s v="70494627"/>
    <s v="Lead - Payroll"/>
    <s v="Hazira"/>
    <s v="0031950061"/>
    <s v="HZ-Human Resource"/>
    <s v="2000HWO"/>
    <s v="20016406"/>
    <s v="Manjit Shah"/>
    <s v="No"/>
    <s v="anirudha.bisoyi@amns.in"/>
    <s v="9825214160"/>
    <s v="25092"/>
    <s v="Dhruv Vyas"/>
    <s v="Anil Matoo"/>
    <s v="Praveen Kuruvalli"/>
    <s v="Dhruv Vyas"/>
    <n v="0"/>
  </r>
  <r>
    <n v="3580"/>
    <n v="20055075"/>
    <s v="Ashutosh Mathur"/>
    <s v="AM/NS India"/>
    <s v="Onroll"/>
    <s v="M-4"/>
    <n v="4"/>
    <m/>
    <s v="SM"/>
    <s v="M"/>
    <s v="Hazira"/>
    <n v="1"/>
    <s v="2162"/>
    <x v="18"/>
    <s v="33.01"/>
    <s v="Hrishikesh Kamat"/>
    <s v="Hrishikesh Kamat"/>
    <n v="7"/>
    <s v="Procurement"/>
    <s v="Shipping &amp; Chartering"/>
    <s v="33"/>
    <s v="Head – Shipping and Chartering"/>
    <m/>
    <s v="Shipping &amp; Chartering"/>
    <s v="Shipping &amp; Chartering"/>
    <s v="Ports &amp; Chartering"/>
    <s v="Non Technical Support"/>
    <s v="Commercial"/>
    <s v="Procurement"/>
    <s v="73803001"/>
    <s v="Procurement"/>
    <s v="AM/NS Hazira"/>
    <d v="1979-04-10T00:00:00"/>
    <s v="44.05"/>
    <d v="2020-02-03T00:00:00"/>
    <d v="2037-04-30T00:00:00"/>
    <m/>
    <d v="2037-04-30T00:00:00"/>
    <n v="4971"/>
    <s v="AB+"/>
    <s v="MBA-2008 , BE-2002 , Intermediate-1996 ,"/>
    <s v="15.01"/>
    <s v="03.07"/>
    <s v="18.08"/>
    <s v="70494731"/>
    <s v="Ports &amp; Chartering"/>
    <s v="70494631"/>
    <s v="Head – Shipping and Chartering"/>
    <s v="Hazira"/>
    <s v="0031950062"/>
    <s v="Hz-Ports"/>
    <s v="2000HWO"/>
    <s v="20055090"/>
    <s v="Hrishikesh Kamat"/>
    <s v="No"/>
    <s v="ashutosh.mathur@amns.in"/>
    <s v="9879104703"/>
    <s v="790275"/>
    <s v="Dhruv Vyas"/>
    <s v="Anil Matoo"/>
    <s v="Praveen Kuruvalli"/>
    <s v="Dhruv Vyas"/>
    <n v="0"/>
  </r>
  <r>
    <n v="3581"/>
    <n v="20055084"/>
    <s v="Alain Legrix De La Salle"/>
    <s v="AM/NS India"/>
    <s v="PDA"/>
    <s v="M-2"/>
    <n v="2"/>
    <m/>
    <s v="T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Director &amp; VP - Sales &amp; Marketing"/>
    <m/>
    <s v="Sales &amp; Marketing"/>
    <s v="Sales &amp; Marketing"/>
    <s v=""/>
    <s v="Non Technical Support"/>
    <s v=""/>
    <s v=""/>
    <s v="70494638"/>
    <s v="Director and Vice President"/>
    <s v="Mumbai"/>
    <d v="1961-03-11T00:00:00"/>
    <s v="62.06"/>
    <d v="2019-12-16T00:00:00"/>
    <d v="2021-03-31T00:00:00"/>
    <d v="2025-03-31T00:00:00"/>
    <d v="2025-03-31T00:00:00"/>
    <n v="558"/>
    <s v=""/>
    <s v=""/>
    <s v=""/>
    <s v="03.09"/>
    <s v="03.09"/>
    <s v="70494632"/>
    <s v="Sales &amp; Marketing"/>
    <s v="70494643"/>
    <s v="Director &amp; VP - Sales &amp; Marketing"/>
    <s v="Non-payroll-relevant"/>
    <s v=""/>
    <s v=""/>
    <s v="2000CS"/>
    <s v="20055068"/>
    <s v="Dilip Oommen"/>
    <s v="No"/>
    <s v="alain.legrix@amns.in"/>
    <s v="9727741283"/>
    <s v="2510"/>
    <s v="Dhruv Vyas"/>
    <s v="Anil Matoo"/>
    <s v="Praveen Kuruvalli"/>
    <s v="Dhruv Vyas"/>
    <n v="0"/>
  </r>
  <r>
    <n v="3583"/>
    <n v="20055088"/>
    <s v="Amit Harlalka"/>
    <s v="AM/NS India"/>
    <s v="PDA"/>
    <s v="PDA"/>
    <n v="2"/>
    <m/>
    <s v="TM"/>
    <s v="M"/>
    <s v="Corporate"/>
    <n v="7"/>
    <s v="2013"/>
    <x v="0"/>
    <s v="20.01"/>
    <s v="Amit Harlalka"/>
    <s v="Amit Harlalka"/>
    <n v="5"/>
    <s v="Finance &amp; Accounts"/>
    <s v="Finance &amp; Accounts"/>
    <s v="20"/>
    <s v="Director &amp; VP, Finance"/>
    <m/>
    <s v="CFO Office"/>
    <s v="CFO Office"/>
    <s v=""/>
    <s v="Non Technical Support"/>
    <s v=""/>
    <s v=""/>
    <s v="70494638"/>
    <s v="Director and Vice President"/>
    <s v="Mumbai"/>
    <d v="1977-12-04T00:00:00"/>
    <s v="45.09"/>
    <d v="2019-12-16T00:00:00"/>
    <d v="2035-12-31T00:00:00"/>
    <m/>
    <d v="2035-12-31T00:00:00"/>
    <n v="4485"/>
    <s v=""/>
    <s v=""/>
    <s v=""/>
    <s v="03.09"/>
    <s v="03.09"/>
    <s v="70494633"/>
    <s v="Finance &amp; Accounts"/>
    <s v="70494647"/>
    <s v="Director &amp; VP, Finance"/>
    <s v="Non-payroll-relevant"/>
    <s v="0090000013"/>
    <s v="Director-Fin-India"/>
    <s v="2000CS"/>
    <s v="20055068"/>
    <s v="Dilip Oommen"/>
    <s v="No"/>
    <s v="amit.harlalka@amns.in"/>
    <s v="9971999511"/>
    <s v="101628"/>
    <s v="Dhruv Vyas"/>
    <s v="Anil Matoo"/>
    <s v="Praveen Kuruvalli"/>
    <s v="Dhruv Vyas"/>
    <n v="0"/>
  </r>
  <r>
    <n v="3584"/>
    <n v="20055090"/>
    <s v="Hrishikesh Kamat"/>
    <s v="AM/NS India"/>
    <s v="PDA"/>
    <s v="PDA"/>
    <n v="3"/>
    <m/>
    <s v="SM"/>
    <s v="M"/>
    <s v="Corporate"/>
    <n v="7"/>
    <s v="2043"/>
    <x v="3"/>
    <s v="31.01"/>
    <s v="Hrishikesh Kamat"/>
    <s v="Hrishikesh Kamat"/>
    <n v="7"/>
    <s v="Procurement"/>
    <s v="Procurement"/>
    <s v="31"/>
    <s v="Chief Procurement Officer"/>
    <m/>
    <s v="Procurement"/>
    <s v="Procurement"/>
    <s v=""/>
    <s v="Non Technical Support"/>
    <s v=""/>
    <s v=""/>
    <s v="70494644"/>
    <s v="Chief Procurement Officer"/>
    <s v="Mumbai"/>
    <d v="1960-02-11T00:00:00"/>
    <s v="63.07"/>
    <d v="2019-12-16T00:00:00"/>
    <d v="2018-02-28T00:00:00"/>
    <d v="2025-03-31T00:00:00"/>
    <d v="2025-03-31T00:00:00"/>
    <n v="558"/>
    <s v=""/>
    <s v=""/>
    <s v=""/>
    <s v="03.09"/>
    <s v="03.09"/>
    <s v="70494637"/>
    <s v="Procurement"/>
    <s v="70494652"/>
    <s v="Chief Procurement Officer"/>
    <s v="Non-payroll-relevant"/>
    <s v="0031950048"/>
    <s v="HZ-Procurment Depart"/>
    <s v="2000CS"/>
    <s v="20055086"/>
    <s v="Wim Van Gerven"/>
    <s v="No"/>
    <s v="hrishikesh.kamat@amns.in"/>
    <s v="8980042458"/>
    <s v="3103"/>
    <s v="Dhruv Vyas"/>
    <s v="Anil Matoo"/>
    <s v="Praveen Kuruvalli"/>
    <s v="Dhruv Vyas"/>
    <n v="0"/>
  </r>
  <r>
    <n v="3616"/>
    <n v="20055134"/>
    <s v="Arvind Kumar"/>
    <s v="AM/NS India"/>
    <s v="Onroll"/>
    <s v="M-8"/>
    <n v="8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Buyer - Mechanical Spare"/>
    <m/>
    <s v="Procurement"/>
    <s v="Procurement"/>
    <s v="Procurement"/>
    <s v="Non Technical Support"/>
    <s v="Commercial"/>
    <s v="Purchase"/>
    <s v="73804001"/>
    <s v="Purchase"/>
    <s v="Paradeep"/>
    <d v="1988-01-16T00:00:00"/>
    <s v="35.08"/>
    <d v="2020-03-02T00:00:00"/>
    <d v="2046-01-31T00:00:00"/>
    <m/>
    <d v="2046-01-31T00:00:00"/>
    <n v="8169"/>
    <s v="B+"/>
    <s v="BTech-2010 , Intermediate-2006 , Interme"/>
    <s v=""/>
    <s v="03.06"/>
    <s v="03.06"/>
    <s v="70407583"/>
    <s v="Procurement - Odisha Asset"/>
    <s v="70493007"/>
    <s v="Buyer - Mechanical Spare"/>
    <s v="Odisha"/>
    <s v="0022030019"/>
    <s v="PDP-HR &amp; Admn"/>
    <s v="2000STORIS"/>
    <s v="20055692"/>
    <s v="Rajiv Ranjan"/>
    <s v="No"/>
    <s v="arvind.kumar@amns.in"/>
    <s v="8084831688"/>
    <s v="789377"/>
    <s v="Sunila Das"/>
    <s v="Anil Matoo"/>
    <s v="Praveen Kuruvalli"/>
    <s v="Sunila Das"/>
    <n v="0"/>
  </r>
  <r>
    <n v="3617"/>
    <n v="20055135"/>
    <s v="Raghavan Aravamudhan"/>
    <s v="AM/NS India"/>
    <s v="Onroll"/>
    <s v="M-3"/>
    <n v="3"/>
    <m/>
    <s v="SM"/>
    <s v="M"/>
    <s v="Corporate"/>
    <n v="7"/>
    <s v="2099"/>
    <x v="19"/>
    <s v="02.01"/>
    <s v="Dilip Oommen"/>
    <s v="Dilip Oommen"/>
    <n v="1"/>
    <s v="CEO Office"/>
    <s v="Business Strategy"/>
    <s v="02"/>
    <s v="Head Buisness Strategy"/>
    <m/>
    <s v="Business Strategy"/>
    <s v="Business Strategy"/>
    <s v="Business Strategy"/>
    <s v="Non Technical Support"/>
    <s v="Sales &amp; Marketing"/>
    <s v="Business Development"/>
    <s v="73103001"/>
    <s v="Business Development"/>
    <s v="Mumbai"/>
    <d v="1982-12-23T00:00:00"/>
    <s v="40.08"/>
    <d v="2020-03-02T00:00:00"/>
    <d v="2040-12-31T00:00:00"/>
    <m/>
    <d v="2040-12-31T00:00:00"/>
    <n v="6312"/>
    <s v="A+"/>
    <s v="MBA-2010 , BE-2005 , High School-2000 ,"/>
    <s v="13.07"/>
    <s v="03.06"/>
    <s v="17.01"/>
    <s v="70494715"/>
    <s v="Business Strategy"/>
    <s v="70494714"/>
    <s v="Head Buisness Strategy"/>
    <s v="Confidential Payroll"/>
    <s v="0090000022"/>
    <s v="Business Strategy"/>
    <s v="2000CS"/>
    <s v="20055068"/>
    <s v="Dilip Oommen"/>
    <s v="No"/>
    <s v="raghavan.aravamudhan@amns.in"/>
    <s v="9619627665"/>
    <s v="788788"/>
    <s v="Dhruv Vyas"/>
    <s v="Anil Matoo"/>
    <s v="Praveen Kuruvalli"/>
    <s v="Dhruv Vyas"/>
    <n v="0"/>
  </r>
  <r>
    <n v="3623"/>
    <n v="20055143"/>
    <s v="Naoki Shimazaki"/>
    <s v="AM/NS India"/>
    <s v="PDA"/>
    <s v="PDA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– Strategic Finance"/>
    <m/>
    <s v="Capex Finance"/>
    <s v="Capex Finance"/>
    <s v=""/>
    <s v="Non Technical Support"/>
    <s v=""/>
    <s v=""/>
    <s v="70286758"/>
    <s v="General Manager"/>
    <s v="AM/NS Hazira"/>
    <d v="1975-09-08T00:00:00"/>
    <s v="48.00"/>
    <d v="2020-01-01T00:00:00"/>
    <d v="2033-09-30T00:00:00"/>
    <m/>
    <d v="2033-09-30T00:00:00"/>
    <n v="3663"/>
    <s v="O+"/>
    <s v=""/>
    <s v=""/>
    <s v="03.08"/>
    <s v="03.08"/>
    <s v="00044378"/>
    <s v="Strategic Finance"/>
    <s v="70494730"/>
    <s v="Head – Strategic Finance"/>
    <s v="Non-payroll-relevant"/>
    <s v="0090000038"/>
    <s v="CAPEX FINANCE"/>
    <s v="2000CS"/>
    <s v="20056029"/>
    <s v="Ananya Maitra"/>
    <s v="No"/>
    <s v="naoki.shimazaki@amns.in"/>
    <s v="9925003689"/>
    <s v="788808"/>
    <s v="Dhruv Vyas"/>
    <s v="Anil Matoo"/>
    <s v="Praveen Kuruvalli"/>
    <s v="Dhruv Vyas"/>
    <n v="0"/>
  </r>
  <r>
    <n v="3634"/>
    <n v="20055156"/>
    <s v="Bharatbhai C Patel"/>
    <s v="AM/NS India"/>
    <s v="Onroll"/>
    <s v="M-8"/>
    <n v="8"/>
    <m/>
    <s v="JM"/>
    <s v="M"/>
    <s v="Hazira"/>
    <n v="1"/>
    <s v="2084"/>
    <x v="17"/>
    <s v="23.09"/>
    <s v="Anil Matoo"/>
    <s v="Ashutosh Telang"/>
    <n v="6"/>
    <s v="HR &amp; Administration"/>
    <s v="Industrial Relations"/>
    <s v="23"/>
    <s v="Lead - Industrial Relations"/>
    <m/>
    <s v="Hazira Operations"/>
    <s v="Operation &amp; Maintenance  and Control &amp; Instrumentation"/>
    <s v="Operation &amp; Maintenance  and Control &amp; Instrumentation"/>
    <s v="Non Technical Support"/>
    <s v="Operations"/>
    <s v="Plant Maintenance"/>
    <s v="72103009"/>
    <s v="Electrical Maintenance"/>
    <s v="Hazira"/>
    <d v="1973-03-29T00:00:00"/>
    <s v="50.05"/>
    <d v="2020-03-18T00:00:00"/>
    <d v="2031-03-31T00:00:00"/>
    <m/>
    <d v="2031-03-31T00:00:00"/>
    <n v="2749"/>
    <s v="AB-"/>
    <s v="Diploma-2012 , BA-1997 , Diploma-1996 ,"/>
    <s v="19.00"/>
    <s v="03.06"/>
    <s v="22.05"/>
    <s v="70309501"/>
    <s v="IR &amp; legal Compliance"/>
    <s v="70494747"/>
    <s v="Lead - Industrial Relations"/>
    <s v="Hazira"/>
    <s v="0031750300"/>
    <s v="HAZ-CPP 500 MW"/>
    <s v="2000HWO"/>
    <s v="20056503"/>
    <s v="Bhavin Pandya"/>
    <s v="No"/>
    <s v="bharat.patel2@amns.in"/>
    <s v="9879102899"/>
    <s v="791809"/>
    <s v="Dhruv Vyas"/>
    <s v="Anil Matoo"/>
    <s v="Praveen Kuruvalli"/>
    <s v="Dhruv Vyas"/>
    <n v="0"/>
  </r>
  <r>
    <n v="3636"/>
    <n v="20055158"/>
    <s v="Rajeev Kumar Singh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Automotive Sales"/>
    <m/>
    <s v="North"/>
    <s v="OEM"/>
    <s v=""/>
    <s v="Non Technical Support"/>
    <s v="Sales &amp; Marketing"/>
    <s v="Sales"/>
    <s v="73104004"/>
    <s v="OEM Sales"/>
    <s v="Noida"/>
    <d v="1979-08-10T00:00:00"/>
    <s v="44.01"/>
    <d v="2020-03-01T00:00:00"/>
    <d v="2037-08-31T00:00:00"/>
    <m/>
    <d v="2037-08-31T00:00:00"/>
    <n v="5094"/>
    <s v="O+"/>
    <s v="BE-2002 , Intermediate-1996 , High Schoo"/>
    <s v="17.04"/>
    <s v="03.06"/>
    <s v="20.10"/>
    <s v="72150181"/>
    <s v="Sales North Zone"/>
    <s v="70490284"/>
    <s v="KAM - OEM Sales"/>
    <s v="Hazira"/>
    <s v="0031950057"/>
    <s v="HZ-HRC - Marketing"/>
    <s v="2000HWO"/>
    <s v="20002920"/>
    <s v="Sudhir Sharma"/>
    <s v="No"/>
    <s v="rajeev.singh@amns.in"/>
    <s v="9810443694"/>
    <s v="793072"/>
    <s v="Dhruv Vyas"/>
    <s v="Anil Matoo"/>
    <s v="Praveen Kuruvalli"/>
    <s v="Dhruv Vyas"/>
    <n v="0"/>
  </r>
  <r>
    <n v="3637"/>
    <n v="20055160"/>
    <s v="Mrida Lakhmani"/>
    <s v="AM/NS India"/>
    <s v="Onroll"/>
    <s v="M-4"/>
    <n v="4"/>
    <m/>
    <s v="SM"/>
    <s v="F"/>
    <s v="Corporate"/>
    <n v="7"/>
    <s v="2071"/>
    <x v="22"/>
    <s v="41.01"/>
    <s v="P Ashok Kumar"/>
    <s v="P Ashok Kumar"/>
    <n v="9"/>
    <s v="Legal"/>
    <s v="Legal"/>
    <s v="41"/>
    <s v="Senior Legal Counsel"/>
    <m/>
    <s v="Legal"/>
    <s v=""/>
    <s v=""/>
    <s v="Non Technical Support"/>
    <s v="Legal"/>
    <s v="Legal"/>
    <s v="73201001"/>
    <s v="Legal"/>
    <s v="Mumbai"/>
    <d v="1992-11-19T00:00:00"/>
    <s v="30.09"/>
    <d v="2020-04-01T00:00:00"/>
    <d v="2050-11-30T00:00:00"/>
    <m/>
    <d v="2050-11-30T00:00:00"/>
    <n v="9933"/>
    <s v="A+"/>
    <s v="LLB-2012 , Intermediate-2009 , High Scho"/>
    <s v="04.09"/>
    <s v="03.05"/>
    <s v="08.02"/>
    <s v="00048996"/>
    <s v="Legal"/>
    <s v="70494755"/>
    <s v="Senior Legal Counsel"/>
    <s v="Corporate"/>
    <s v="0090000019"/>
    <s v="Corporate Steel - Le"/>
    <s v="2000CS"/>
    <s v="20055235"/>
    <s v="P Ashok Kumar"/>
    <s v="No"/>
    <s v="mrida.lakhmani@amns.in"/>
    <s v="7045589822"/>
    <s v="791880"/>
    <s v="Dhruv Vyas"/>
    <s v="Anil Matoo"/>
    <s v="Praveen Kuruvalli"/>
    <s v="Dhruv Vyas"/>
    <n v="0"/>
  </r>
  <r>
    <n v="3638"/>
    <n v="20055161"/>
    <s v="Shivani Sen"/>
    <s v="AM/NS India"/>
    <s v="Onroll"/>
    <s v="M-5"/>
    <n v="5"/>
    <m/>
    <s v="MM"/>
    <s v="F"/>
    <s v="Corporate"/>
    <n v="7"/>
    <s v="2069"/>
    <x v="8"/>
    <s v="25.01"/>
    <s v="Bibek Chattopadhyay"/>
    <s v="Ashutosh Telang"/>
    <n v="6"/>
    <s v="HR &amp; Administration"/>
    <s v="Corporate Communications"/>
    <s v="25"/>
    <s v="Senior Lead - Corporate Communication"/>
    <m/>
    <s v="Corporate Communications"/>
    <s v=""/>
    <s v=""/>
    <s v="Non Technical Support"/>
    <s v="Corporate Relations"/>
    <s v="Corporate Affairs"/>
    <s v="74501001"/>
    <s v="Corporate Affairs"/>
    <s v="Mumbai"/>
    <d v="1978-09-18T00:00:00"/>
    <s v="45.00"/>
    <d v="2020-04-01T00:00:00"/>
    <d v="2036-09-30T00:00:00"/>
    <m/>
    <d v="2036-09-30T00:00:00"/>
    <n v="4759"/>
    <s v="B+"/>
    <s v="MA-1999 , BA-1999 , High School-1995 , S"/>
    <s v="01.00"/>
    <s v="03.05"/>
    <s v="04.05"/>
    <s v="70318583"/>
    <s v="Communications &amp; Media Relations"/>
    <s v="70494761"/>
    <s v="Senior Lead - Corporate Communication"/>
    <s v="Corporate"/>
    <s v="0090000016"/>
    <s v="Corporate Steel - Co"/>
    <s v="2000CS"/>
    <s v="20055187"/>
    <s v="Bibek Chattopadhyay"/>
    <s v="No"/>
    <s v="shivani.sen@amns.in"/>
    <s v="9971800165"/>
    <s v="791881"/>
    <s v="Dhruv Vyas"/>
    <s v="Anil Matoo"/>
    <s v="Praveen Kuruvalli"/>
    <s v="Dhruv Vyas"/>
    <n v="0"/>
  </r>
  <r>
    <n v="3639"/>
    <n v="20055162"/>
    <s v="Dolly Kartik Shah"/>
    <s v="AM/NS India"/>
    <s v="Onroll"/>
    <s v="M-8"/>
    <n v="8"/>
    <m/>
    <s v="JM"/>
    <s v="F"/>
    <s v="Corporate"/>
    <n v="7"/>
    <s v="2071"/>
    <x v="22"/>
    <s v="41.01"/>
    <s v="P Ashok Kumar"/>
    <s v="P Ashok Kumar"/>
    <n v="9"/>
    <s v="Legal"/>
    <s v="Legal"/>
    <s v="41"/>
    <s v="EA to General Counsel &amp; Compliance Associate"/>
    <m/>
    <s v="Legal"/>
    <s v="Legal"/>
    <s v="Legal"/>
    <s v="Non Technical Support"/>
    <s v="Legal"/>
    <s v="Legal"/>
    <s v="73201001"/>
    <s v="Legal"/>
    <s v="Mumbai"/>
    <d v="1985-11-25T00:00:00"/>
    <s v="37.09"/>
    <d v="2020-04-01T00:00:00"/>
    <d v="2043-11-30T00:00:00"/>
    <m/>
    <d v="2043-11-30T00:00:00"/>
    <n v="7376"/>
    <s v="B+"/>
    <s v="BA-2012 , Certificate-2007 , High School"/>
    <s v="03.04"/>
    <s v="03.05"/>
    <s v="06.09"/>
    <s v="70494754"/>
    <s v="Legal"/>
    <s v="70494756"/>
    <s v="PA to General Counsel"/>
    <s v="Corporate"/>
    <s v="0090000019"/>
    <s v="Corporate Steel - Le"/>
    <s v="2000CS"/>
    <s v="20055235"/>
    <s v="P Ashok Kumar"/>
    <s v="No"/>
    <s v="dolly.shah@amns.in"/>
    <s v="9820251185"/>
    <s v="791878"/>
    <s v="Dhruv Vyas"/>
    <s v="Anil Matoo"/>
    <s v="Praveen Kuruvalli"/>
    <s v="Dhruv Vyas"/>
    <n v="0"/>
  </r>
  <r>
    <n v="3640"/>
    <n v="20055165"/>
    <s v="Subhakant Dash"/>
    <s v="AM/NS India"/>
    <s v="Onroll"/>
    <s v="M-5"/>
    <n v="5"/>
    <m/>
    <s v="MM"/>
    <s v="M"/>
    <s v="Odisha"/>
    <n v="2"/>
    <s v="2162"/>
    <x v="18"/>
    <s v="33.01"/>
    <s v="Hrishikesh Kamat"/>
    <s v="Hrishikesh Kamat"/>
    <n v="7"/>
    <s v="Procurement"/>
    <s v="Shipping &amp; Chartering"/>
    <s v="33"/>
    <s v="Section Head–Shipping &amp; Chartering,Odish"/>
    <m/>
    <s v="Shipping &amp; Chartering"/>
    <s v=""/>
    <s v=""/>
    <s v="Non Technical Support"/>
    <s v="Commercial"/>
    <s v="Procurement"/>
    <s v="73803001"/>
    <s v="Procurement"/>
    <s v="Paradeep"/>
    <d v="1975-07-15T00:00:00"/>
    <s v="48.02"/>
    <d v="2020-04-01T00:00:00"/>
    <d v="2033-07-31T00:00:00"/>
    <m/>
    <d v="2033-07-31T00:00:00"/>
    <n v="3602"/>
    <s v="B+"/>
    <s v="MBA-1997 , BCom-1995 , Intermediate-1992"/>
    <s v="21.00"/>
    <s v="03.05"/>
    <s v="24.05"/>
    <s v="70238106"/>
    <s v="Ports &amp; Logistics"/>
    <s v="70494759"/>
    <s v="Section Head–Shipping &amp; Chartering,Odish"/>
    <s v="Odisha"/>
    <s v="0022030019"/>
    <s v="PDP-HR &amp; Admn"/>
    <s v="2000STORIS"/>
    <s v="20055075"/>
    <s v="Ashutosh Mathur"/>
    <s v="No"/>
    <s v="subhakant.dash@amns.in"/>
    <s v="7381000432"/>
    <s v="791879"/>
    <s v="Sunila Das"/>
    <s v="Anil Matoo"/>
    <s v="Praveen Kuruvalli"/>
    <s v="Sunila Das"/>
    <n v="0"/>
  </r>
  <r>
    <n v="3643"/>
    <n v="20055181"/>
    <s v="Sanjay Sharma"/>
    <s v="AM/NS India"/>
    <s v="Onroll"/>
    <s v="M-2"/>
    <n v="2"/>
    <m/>
    <s v="TM"/>
    <s v="M"/>
    <s v="Corporate"/>
    <n v="7"/>
    <s v="2060"/>
    <x v="24"/>
    <s v="39.01"/>
    <s v="Sanjay Sharma"/>
    <s v="Sanjay Sharma"/>
    <n v="8"/>
    <s v="Business Development"/>
    <s v="Business Development"/>
    <s v="39"/>
    <s v="Head - Business Development"/>
    <m/>
    <s v="Business Development"/>
    <s v=""/>
    <s v=""/>
    <s v="Non Technical Support"/>
    <s v="Sales &amp; Marketing"/>
    <s v="Business Development"/>
    <s v="73103001"/>
    <s v="Business Development"/>
    <s v="Mumbai"/>
    <d v="1972-03-07T00:00:00"/>
    <s v="51.06"/>
    <d v="2019-12-16T00:00:00"/>
    <d v="2032-03-31T00:00:00"/>
    <m/>
    <d v="2032-03-31T00:00:00"/>
    <n v="3115"/>
    <s v=""/>
    <s v=""/>
    <s v=""/>
    <s v="03.09"/>
    <s v="03.09"/>
    <s v="70494900"/>
    <s v="Business Development"/>
    <s v="70494901"/>
    <s v="Head - Business Development"/>
    <s v="Non-payroll-relevant"/>
    <s v="0090000032"/>
    <s v="Business Devpelopmen"/>
    <s v="2000CS"/>
    <s v="20055068"/>
    <s v="Dilip Oommen"/>
    <s v="No"/>
    <s v="sanjay.sharma@amns.in"/>
    <s v="9599206733"/>
    <s v="102316"/>
    <s v="Dhruv Vyas"/>
    <s v="Anil Matoo"/>
    <s v="Praveen Kuruvalli"/>
    <s v="Dhruv Vyas"/>
    <n v="0"/>
  </r>
  <r>
    <n v="3644"/>
    <n v="20055182"/>
    <s v="Neha Soni"/>
    <s v="AM/NS India"/>
    <s v="Onroll"/>
    <s v="M-5"/>
    <n v="5"/>
    <m/>
    <s v="MM"/>
    <s v="F"/>
    <s v="Corporate"/>
    <n v="7"/>
    <s v="2060"/>
    <x v="24"/>
    <s v="39.01"/>
    <s v="Sanjay Sharma"/>
    <s v="Sanjay Sharma"/>
    <n v="8"/>
    <s v="Business Development"/>
    <s v="Business Development"/>
    <s v="39"/>
    <s v="Senior Lead - Business Development"/>
    <m/>
    <s v="Business Development"/>
    <s v=""/>
    <s v=""/>
    <s v="Non Technical Support"/>
    <s v="Sales &amp; Marketing"/>
    <s v="Business Development"/>
    <s v="73103001"/>
    <s v="Business Development"/>
    <s v="Mumbai"/>
    <d v="1986-04-18T00:00:00"/>
    <s v="37.05"/>
    <d v="2020-06-22T00:00:00"/>
    <d v="2044-04-30T00:00:00"/>
    <m/>
    <d v="2044-04-30T00:00:00"/>
    <n v="7528"/>
    <s v="O+"/>
    <s v="PG Diploma-2009 , BCom-2007 , Intermedia"/>
    <s v="11.03"/>
    <s v="03.03"/>
    <s v="14.05"/>
    <s v="00049729"/>
    <s v="Business Development - M&amp;A"/>
    <s v="70494902"/>
    <s v="Senior Lead - Business Development"/>
    <s v="Corporate"/>
    <s v="0090000032"/>
    <s v="Business Devpelopmen"/>
    <s v="2000CS"/>
    <s v="20055181"/>
    <s v="Sanjay Sharma"/>
    <s v="No"/>
    <s v="neha.soni@amns.in"/>
    <s v="8860614207"/>
    <s v="794449"/>
    <s v="Dhruv Vyas"/>
    <s v="Anil Matoo"/>
    <s v="Praveen Kuruvalli"/>
    <s v="Dhruv Vyas"/>
    <n v="0"/>
  </r>
  <r>
    <n v="3647"/>
    <n v="20055187"/>
    <s v="Bibek Chattopadhyay"/>
    <s v="AM/NS India"/>
    <s v="Onroll"/>
    <s v="M-3"/>
    <n v="3"/>
    <m/>
    <s v="SM"/>
    <s v="M"/>
    <s v="Corporate"/>
    <n v="7"/>
    <s v="2069"/>
    <x v="8"/>
    <s v="25.01"/>
    <s v="Ashutosh Telang"/>
    <s v="Ashutosh Telang"/>
    <n v="6"/>
    <s v="HR &amp; Administration"/>
    <s v="Corporate Communications"/>
    <s v="25"/>
    <s v="Head – Corporate Communication"/>
    <m/>
    <s v="Corporate Communications"/>
    <s v=""/>
    <s v=""/>
    <s v="Non Technical Support"/>
    <s v="Corporate Communication"/>
    <s v="Corporate Communication"/>
    <s v="74001001"/>
    <s v="Corporate Communication"/>
    <s v="Mumbai"/>
    <d v="1965-09-28T00:00:00"/>
    <s v="57.11"/>
    <d v="2020-07-01T00:00:00"/>
    <d v="2023-09-30T00:00:00"/>
    <m/>
    <d v="2023-09-30T00:00:00"/>
    <n v="10"/>
    <s v="B+"/>
    <s v="PG Diploma-1989 , PG Diploma-1987 , BA-1"/>
    <s v="23.02"/>
    <s v="03.02"/>
    <s v="26.04"/>
    <s v="70318583"/>
    <s v="Communications &amp; Media Relations"/>
    <s v="70494909"/>
    <s v="Head – Corporate Communication"/>
    <s v="Confidential Payroll"/>
    <s v="0090000016"/>
    <s v="Corporate Steel - Co"/>
    <s v="2000CS"/>
    <s v="20059024"/>
    <s v="Keiji Kubota"/>
    <s v="No"/>
    <s v="bibek.chattopadhyay@amns.in"/>
    <s v="9820150538"/>
    <s v="797464"/>
    <s v="Dhruv Vyas"/>
    <s v="Anil Matoo"/>
    <s v="Praveen Kuruvalli"/>
    <s v="Dhruv Vyas"/>
    <n v="0"/>
  </r>
  <r>
    <n v="3648"/>
    <n v="20055188"/>
    <s v="Rohit Sharma"/>
    <s v="AM/NS India"/>
    <s v="Onroll"/>
    <s v="M-3"/>
    <n v="3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– Working Capital"/>
    <m/>
    <s v="Working Capital"/>
    <s v="Working Capital"/>
    <s v=""/>
    <s v="Non Technical Support"/>
    <s v="Projects"/>
    <s v="Projects Coordination"/>
    <s v="72103038"/>
    <s v="Projects Coordination"/>
    <s v="Mumbai"/>
    <d v="1983-10-15T00:00:00"/>
    <s v="39.11"/>
    <d v="2020-07-02T00:00:00"/>
    <d v="2041-10-31T00:00:00"/>
    <m/>
    <d v="2041-10-31T00:00:00"/>
    <n v="6616"/>
    <s v="O+"/>
    <s v="CA Final-2002"/>
    <s v="12.07"/>
    <s v="03.02"/>
    <s v="15.09"/>
    <s v="70494931"/>
    <s v="Working Capital"/>
    <s v="70494912"/>
    <s v="Head – Working Capital"/>
    <s v="Corporate"/>
    <s v="0090000028"/>
    <s v="Corporate Steel - Wo"/>
    <s v="2000CS"/>
    <s v="20057933"/>
    <s v="Akiyo Omori"/>
    <s v="No"/>
    <s v="rohit.sharma1@amns.in"/>
    <s v="9818428034"/>
    <s v="797319"/>
    <s v="Dhruv Vyas"/>
    <s v="Anil Matoo"/>
    <s v="Praveen Kuruvalli"/>
    <s v="Dhruv Vyas"/>
    <n v="0"/>
  </r>
  <r>
    <n v="3649"/>
    <n v="20055189"/>
    <s v="Nivedita Saxena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"/>
    <m/>
    <s v="Legal"/>
    <s v=""/>
    <s v=""/>
    <s v="Non Technical Support"/>
    <s v="Legal"/>
    <s v="Legal"/>
    <s v="73201001"/>
    <s v="Legal"/>
    <s v="Mumbai"/>
    <d v="1993-10-03T00:00:00"/>
    <s v="29.11"/>
    <d v="2020-06-29T00:00:00"/>
    <d v="2051-10-31T00:00:00"/>
    <m/>
    <d v="2051-10-31T00:00:00"/>
    <n v="10268"/>
    <s v="B+"/>
    <s v="BA-2016 , Intermediate-2011 , High Schoo"/>
    <s v="04.01"/>
    <s v="03.02"/>
    <s v="07.03"/>
    <s v="70494754"/>
    <s v="Legal"/>
    <s v="70494910"/>
    <s v="Sr. Manager"/>
    <s v="Corporate"/>
    <s v="0090000019"/>
    <s v="Corporate Steel - Le"/>
    <s v="2000CS"/>
    <s v="20055235"/>
    <s v="P Ashok Kumar"/>
    <s v="No"/>
    <s v="nivedita.saxena@amns.in"/>
    <s v="8989504005"/>
    <s v="794446"/>
    <s v="Dhruv Vyas"/>
    <s v="Anil Matoo"/>
    <s v="Praveen Kuruvalli"/>
    <s v="Dhruv Vyas"/>
    <n v="0"/>
  </r>
  <r>
    <n v="3651"/>
    <n v="20055193"/>
    <s v="Anuprita Kaushik Mehta"/>
    <s v="AM/NS India"/>
    <s v="Onroll"/>
    <s v="M-3"/>
    <n v="3"/>
    <m/>
    <s v="SM"/>
    <s v="F"/>
    <s v="Corporate"/>
    <n v="7"/>
    <s v="2013"/>
    <x v="0"/>
    <s v="20.01"/>
    <s v="Akiyo Omori"/>
    <s v="Amit Harlalka"/>
    <n v="5"/>
    <s v="Finance &amp; Accounts"/>
    <s v="Finance &amp; Accounts"/>
    <s v="20"/>
    <s v="Head -Taxation"/>
    <m/>
    <s v="Taxation"/>
    <s v="Taxation"/>
    <s v=""/>
    <s v="Non Technical Support"/>
    <s v="Finance &amp; Accounts"/>
    <s v="Taxation"/>
    <s v="73904002"/>
    <s v="Indirect Taxation"/>
    <s v="Mumbai"/>
    <d v="1972-05-11T00:00:00"/>
    <s v="51.04"/>
    <d v="2020-07-16T00:00:00"/>
    <d v="2030-05-31T00:00:00"/>
    <m/>
    <d v="2030-05-31T00:00:00"/>
    <n v="2445"/>
    <s v="O+"/>
    <s v="CA Final-1995 , BCom-1992 , High School-"/>
    <s v="18.10"/>
    <s v="03.02"/>
    <s v="21.11"/>
    <s v="70490499"/>
    <s v="Taxation"/>
    <s v="70490525"/>
    <s v="Head -Taxation"/>
    <s v="Confidential Payroll"/>
    <s v="0090000033"/>
    <s v="Corporate Taxation"/>
    <s v="2000CS"/>
    <s v="20057933"/>
    <s v="Akiyo Omori"/>
    <s v="No"/>
    <s v="anuprita.mehta@amns.in"/>
    <s v="9867290005"/>
    <s v="794445"/>
    <s v="Dhruv Vyas"/>
    <s v="Anil Matoo"/>
    <s v="Praveen Kuruvalli"/>
    <s v="Dhruv Vyas"/>
    <n v="0"/>
  </r>
  <r>
    <n v="3653"/>
    <n v="20055195"/>
    <s v="Sanjay Champalal Gandhi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r. Manager – Marketing &amp; Sales"/>
    <m/>
    <s v="Sales Steering &amp; BD"/>
    <s v="Digital Initiatives"/>
    <s v=""/>
    <s v="Non Technical Support"/>
    <s v=""/>
    <s v=""/>
    <s v="70494645"/>
    <s v="Head of Sales BD"/>
    <s v="Mumbai"/>
    <d v="1976-03-17T00:00:00"/>
    <s v="47.06"/>
    <d v="2020-08-24T00:00:00"/>
    <d v="2034-03-31T00:00:00"/>
    <m/>
    <d v="2034-03-31T00:00:00"/>
    <n v="3845"/>
    <s v="O+"/>
    <s v="MBA-2002 , MCom-2000 , BCom-1996 , Inter"/>
    <s v="12.11"/>
    <s v="03.00"/>
    <s v="16.00"/>
    <s v="70462100"/>
    <s v="Digital Initiatives"/>
    <s v="70494930"/>
    <s v="Process Manager - Digitalization"/>
    <s v="Corporate"/>
    <s v="0031950057"/>
    <s v="HZ-HRC - Marketing"/>
    <s v="2000CS"/>
    <s v="20043383"/>
    <s v="Maneesh Moti"/>
    <s v="No"/>
    <s v="sanjay.gandhi@amns.in"/>
    <s v="9930508239"/>
    <s v="797318"/>
    <s v="Dhruv Vyas"/>
    <s v="Anil Matoo"/>
    <s v="Praveen Kuruvalli"/>
    <s v="Dhruv Vyas"/>
    <n v="0"/>
  </r>
  <r>
    <n v="3654"/>
    <n v="20055196"/>
    <s v="Abhimanyu Kharb"/>
    <s v="AM/NS India"/>
    <s v="Onroll"/>
    <s v="M-5"/>
    <n v="5"/>
    <m/>
    <s v="MM"/>
    <s v="M"/>
    <s v="Hazira"/>
    <n v="1"/>
    <s v="2071"/>
    <x v="22"/>
    <s v="41.01"/>
    <s v="P Ashok Kumar"/>
    <s v="P Ashok Kumar"/>
    <n v="9"/>
    <s v="Legal"/>
    <s v="Legal"/>
    <s v="41"/>
    <s v="Legal Counsel – Compliance"/>
    <m/>
    <s v="Legal"/>
    <s v=""/>
    <s v=""/>
    <s v="Non Technical Support"/>
    <s v="Legal"/>
    <s v="Legal"/>
    <s v="73201001"/>
    <s v="Legal"/>
    <s v="Mumbai"/>
    <d v="1989-02-14T00:00:00"/>
    <s v="34.07"/>
    <d v="2020-07-27T00:00:00"/>
    <d v="2047-02-28T00:00:00"/>
    <m/>
    <d v="2047-02-28T00:00:00"/>
    <n v="8562"/>
    <s v="O-"/>
    <s v="LLB-2011 , Intermediate-2006 , High Scho"/>
    <s v="08.08"/>
    <s v="03.01"/>
    <s v="11.09"/>
    <s v="70494754"/>
    <s v="Legal"/>
    <s v="70494937"/>
    <s v="Legal Counsel – Compliance"/>
    <s v="Hazira"/>
    <s v="0090000019"/>
    <s v="Corporate Steel - Le"/>
    <s v="2000HWO"/>
    <s v="20055235"/>
    <s v="P Ashok Kumar"/>
    <s v="No"/>
    <s v="abhimanyu.kharb@amns.in"/>
    <s v="9108915606"/>
    <s v="798080"/>
    <s v="Dhruv Vyas"/>
    <s v="Anil Matoo"/>
    <s v="Praveen Kuruvalli"/>
    <s v="Dhruv Vyas"/>
    <n v="0"/>
  </r>
  <r>
    <n v="3655"/>
    <n v="20055197"/>
    <s v="Sangeeta Munjal"/>
    <s v="AM/NS India"/>
    <s v="Onroll"/>
    <s v="M-3"/>
    <n v="3"/>
    <m/>
    <s v="SM"/>
    <s v="F"/>
    <s v="Corporate"/>
    <n v="7"/>
    <s v="2039"/>
    <x v="2"/>
    <s v="43.01"/>
    <s v="Manu Kapoor"/>
    <s v="Manu Kapoor"/>
    <n v="10"/>
    <s v="Corporate Affairs"/>
    <s v="Corporate Affairs"/>
    <s v="43"/>
    <s v="Head – Corporate Affairs Delhi"/>
    <m/>
    <s v="Corporate Affairs"/>
    <s v=""/>
    <s v=""/>
    <s v="Non Technical Support"/>
    <s v="Corporate Relations"/>
    <s v="Corporate Affairs"/>
    <s v="74501001"/>
    <s v="Corporate Affairs"/>
    <s v="Delhi"/>
    <d v="1960-05-11T00:00:00"/>
    <s v="63.04"/>
    <d v="2020-08-01T00:00:00"/>
    <d v="2018-05-31T00:00:00"/>
    <d v="2025-03-31T00:00:00"/>
    <d v="2025-03-31T00:00:00"/>
    <n v="558"/>
    <s v="B+"/>
    <s v="MA-1985 , PG Diploma-1982 , BA-1980 , In"/>
    <s v="33.10"/>
    <s v="03.01"/>
    <s v="36.11"/>
    <s v="00050150"/>
    <s v="Corporate Affairs - Delhi"/>
    <s v="70494939"/>
    <s v="Head – Corporate Affairs Delhi"/>
    <s v="Confidential Payroll"/>
    <s v="0090000021"/>
    <s v="Corporate Affairs"/>
    <s v="2000CS"/>
    <s v="20057928"/>
    <s v="Manu Kapoor"/>
    <s v="No"/>
    <s v="sangeeta.munjal@amns.in"/>
    <s v="9811305002"/>
    <s v="799214"/>
    <s v="Dhruv Vyas"/>
    <s v="Anil Matoo"/>
    <s v="Praveen Kuruvalli"/>
    <s v="Dhruv Vyas"/>
    <n v="0"/>
  </r>
  <r>
    <n v="3656"/>
    <n v="20055200"/>
    <s v="Umesh Nayak"/>
    <s v="AM/NS India"/>
    <s v="Onroll"/>
    <s v="M-3"/>
    <n v="3"/>
    <m/>
    <s v="SM"/>
    <s v="M"/>
    <s v="Corporate"/>
    <n v="7"/>
    <s v="2039"/>
    <x v="2"/>
    <s v="43.01"/>
    <s v="Sangeeta Munjal"/>
    <s v="Manu Kapoor"/>
    <n v="10"/>
    <s v="Corporate Affairs"/>
    <s v="Corporate Affairs"/>
    <s v="43"/>
    <s v="Head – Corporate Affairs, Gujarat"/>
    <m/>
    <s v="Corporate Affairs"/>
    <s v=""/>
    <s v=""/>
    <s v="Non Technical Support"/>
    <s v="Corporate Relations"/>
    <s v="Corporate Affairs"/>
    <s v="74501001"/>
    <s v="Corporate Affairs"/>
    <s v="Ahmedabad"/>
    <d v="1966-02-28T00:00:00"/>
    <s v="57.06"/>
    <d v="2020-08-14T00:00:00"/>
    <d v="2024-02-29T00:00:00"/>
    <m/>
    <d v="2024-02-29T00:00:00"/>
    <n v="162"/>
    <s v="O+"/>
    <s v="MBA-1996 , BE-1988 , Intermediate-1983 ,"/>
    <s v="31.01"/>
    <s v="03.01"/>
    <s v="34.02"/>
    <s v="70492729"/>
    <s v="Corporate Affairs - Gujarat"/>
    <s v="70494943"/>
    <s v="Head – Corporate Affairs, Gujarat"/>
    <s v="Confidential Payroll"/>
    <s v="0090000021"/>
    <s v="Corporate Affairs"/>
    <s v="2000CS"/>
    <s v="20057928"/>
    <s v="Manu Kapoor"/>
    <s v="No"/>
    <s v="umesh.nayak@amns.in"/>
    <s v="9099005111"/>
    <s v="798900"/>
    <s v="Dhruv Vyas"/>
    <s v="Anil Matoo"/>
    <s v="Praveen Kuruvalli"/>
    <s v="Dhruv Vyas"/>
    <n v="0"/>
  </r>
  <r>
    <n v="3657"/>
    <n v="20055201"/>
    <s v="Deepak Sahu"/>
    <s v="AM/NS India"/>
    <s v="Onroll"/>
    <s v="M-6"/>
    <n v="6"/>
    <m/>
    <s v="M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Sr. Lead – F &amp; A Service Centre"/>
    <m/>
    <s v="Working Capital"/>
    <s v="Service Centers"/>
    <s v=""/>
    <s v="Non Technical Support"/>
    <s v="Finance &amp; Accounts"/>
    <s v="Finance &amp; Accounts"/>
    <s v="73901001"/>
    <s v="Finance &amp; Accounts"/>
    <s v="Hazira"/>
    <d v="1977-09-20T00:00:00"/>
    <s v="46.00"/>
    <d v="2020-08-01T00:00:00"/>
    <d v="2035-09-30T00:00:00"/>
    <m/>
    <d v="2035-09-30T00:00:00"/>
    <n v="4393"/>
    <s v="A+"/>
    <s v="MBA-2009"/>
    <s v="13.07"/>
    <s v="03.01"/>
    <s v="16.08"/>
    <s v="00043795"/>
    <s v="F&amp;A Hypermart &amp; Service Centre - 1"/>
    <s v="70494951"/>
    <s v="Sr. Lead – F &amp; A Service Centre"/>
    <s v="Service Center"/>
    <s v="0040000000"/>
    <s v="SC - Common"/>
    <s v="2000SPRJ"/>
    <s v="20055504"/>
    <s v="Vivek Choudhary"/>
    <s v="No"/>
    <s v="deepak.sahu@amns.in"/>
    <s v="9971104084"/>
    <s v="135523"/>
    <s v="Dhruv Vyas"/>
    <s v="Anil Matoo"/>
    <s v="Praveen Kuruvalli"/>
    <s v="Dhruv Vyas"/>
    <n v="0"/>
  </r>
  <r>
    <n v="3659"/>
    <n v="20055204"/>
    <s v="Lakshmi Charan Mahapatra"/>
    <s v="AM/NS India"/>
    <s v="Onroll"/>
    <s v="M-4"/>
    <n v="4"/>
    <m/>
    <s v="SM"/>
    <s v="M"/>
    <s v="Odisha"/>
    <n v="2"/>
    <s v="2137"/>
    <x v="12"/>
    <s v="35.01"/>
    <s v="Hrishikesh Kamat"/>
    <s v="Hrishikesh Kamat"/>
    <n v="7"/>
    <s v="Procurement"/>
    <s v="Land Acquisition"/>
    <s v="35"/>
    <s v="Head - Land Kendrapada"/>
    <m/>
    <s v="Land Acquisition"/>
    <m/>
    <m/>
    <s v="Projects"/>
    <s v="Corporate Relations"/>
    <s v="Corporate Affairs"/>
    <s v="74501001"/>
    <s v="Corporate Affairs"/>
    <s v="Bhubaneswar"/>
    <d v="1959-01-30T00:00:00"/>
    <s v="64.07"/>
    <d v="2020-08-01T00:00:00"/>
    <d v="2017-01-31T00:00:00"/>
    <d v="2025-03-31T00:00:00"/>
    <d v="2025-03-31T00:00:00"/>
    <n v="558"/>
    <s v="O+"/>
    <s v="Master's Equivalent-1996 , Diploma-1983"/>
    <s v="12.06"/>
    <s v="03.01"/>
    <s v="15.07"/>
    <s v="00048076"/>
    <s v="Greenfield Project"/>
    <s v="70494954"/>
    <s v="Chief Coordinator - Greenfield Project"/>
    <s v="Odisha"/>
    <s v="0022030019"/>
    <s v="PDP-HR &amp; Admn"/>
    <s v="2000STORIS"/>
    <s v="20053139"/>
    <s v="Subrahmanya Shanbhogue Tantradi"/>
    <s v="No"/>
    <s v="lakshmi.mahapatra@amns.in"/>
    <s v="9937291506"/>
    <s v="101489"/>
    <s v="Sunila Das"/>
    <s v="Anil Matoo"/>
    <s v="Praveen Kuruvalli"/>
    <s v="Sunila Das"/>
    <n v="0"/>
  </r>
  <r>
    <n v="3663"/>
    <n v="20055216"/>
    <s v="Abhishek Shrivastav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 Manager – Sales &amp; Marketing"/>
    <m/>
    <s v="North"/>
    <s v="OEM"/>
    <s v=""/>
    <s v="Non Technical Support"/>
    <s v="Human Resources Management"/>
    <s v="Human Resources Management"/>
    <s v="73501002"/>
    <s v="Human Resources Operation"/>
    <s v="Noida"/>
    <d v="1994-06-13T00:00:00"/>
    <s v="29.03"/>
    <d v="2020-09-01T00:00:00"/>
    <d v="2052-06-30T00:00:00"/>
    <m/>
    <d v="2052-06-30T00:00:00"/>
    <n v="10511"/>
    <s v="O+"/>
    <s v="MTech-2020 , BTech-2016 , Intermediate-2"/>
    <s v=""/>
    <s v="03.00"/>
    <s v="03.00"/>
    <s v="72150181"/>
    <s v="Sales North Zone"/>
    <s v="70494965"/>
    <s v="Sales Manager"/>
    <s v="Hazira"/>
    <s v="0031950057"/>
    <s v="HZ-HRC - Marketing"/>
    <s v="2000HWO"/>
    <s v="20002920"/>
    <s v="Sudhir Sharma"/>
    <s v="No"/>
    <s v="abhishek.shrivastav@amns.in"/>
    <s v="9879102216"/>
    <s v="802315"/>
    <s v="Dhruv Vyas"/>
    <s v="Anil Matoo"/>
    <s v="Praveen Kuruvalli"/>
    <s v="Dhruv Vyas"/>
    <n v="0"/>
  </r>
  <r>
    <n v="3671"/>
    <n v="20055235"/>
    <s v="P Ashok Kumar"/>
    <s v="AM/NS India"/>
    <s v="Onroll"/>
    <s v="M-3"/>
    <n v="3"/>
    <m/>
    <s v="SM"/>
    <s v="M"/>
    <s v="Corporate"/>
    <n v="7"/>
    <s v="2071"/>
    <x v="22"/>
    <s v="41.01"/>
    <s v="P Ashok Kumar"/>
    <s v="P Ashok Kumar"/>
    <n v="9"/>
    <s v="Legal"/>
    <s v="Legal"/>
    <s v="41"/>
    <s v="Associate General Counsel"/>
    <m/>
    <s v="Legal"/>
    <s v=""/>
    <s v=""/>
    <s v="Non Technical Support"/>
    <s v="Legal"/>
    <s v="Legal"/>
    <s v="73201001"/>
    <s v="Legal"/>
    <s v="Mumbai"/>
    <d v="1982-07-17T00:00:00"/>
    <s v="41.02"/>
    <d v="2020-09-01T00:00:00"/>
    <d v="2040-07-31T00:00:00"/>
    <m/>
    <d v="2040-07-31T00:00:00"/>
    <n v="6159"/>
    <s v="O+"/>
    <s v="LLB-2004 , Intermediate-1999 , High Scho"/>
    <s v="06.05"/>
    <s v="03.00"/>
    <s v="09.05"/>
    <s v="70494754"/>
    <s v="Legal"/>
    <s v="70494985"/>
    <s v="Associate General Counsel"/>
    <s v="Confidential Payroll"/>
    <s v="0090000019"/>
    <s v="Corporate Steel - Le"/>
    <s v="2000CS"/>
    <s v="20055068"/>
    <s v="Dilip Oommen"/>
    <s v="No"/>
    <s v="ashok.kumar1@amns.in"/>
    <s v="9686811664"/>
    <s v="798211"/>
    <s v="Dhruv Vyas"/>
    <s v="Anil Matoo"/>
    <s v="Praveen Kuruvalli"/>
    <s v="Dhruv Vyas"/>
    <n v="0"/>
  </r>
  <r>
    <n v="3672"/>
    <n v="20055236"/>
    <s v="Vineet Kamlesh Ojha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Process Manager – Digitalization"/>
    <m/>
    <s v="Sales Steering &amp; BD"/>
    <s v="Digital Initiatives"/>
    <s v=""/>
    <s v="Non Technical Support"/>
    <s v="Sales &amp; Marketing"/>
    <s v="Marketing"/>
    <s v="73102001"/>
    <s v="Marketing"/>
    <s v="Mumbai"/>
    <d v="1988-07-09T00:00:00"/>
    <s v="35.02"/>
    <d v="2020-08-28T00:00:00"/>
    <d v="2046-07-31T00:00:00"/>
    <m/>
    <d v="2046-07-31T00:00:00"/>
    <n v="8350"/>
    <s v="A+"/>
    <s v="PG Diploma in Management-2011 , BCom-200"/>
    <s v="12.01"/>
    <s v="03.00"/>
    <s v="15.01"/>
    <s v="70462100"/>
    <s v="Digital Initiatives"/>
    <s v="70494984"/>
    <s v="Process Manager – CRM"/>
    <s v="Corporate"/>
    <s v="0080000005"/>
    <s v="Global Markets Team"/>
    <s v="2000CS"/>
    <s v="20043383"/>
    <s v="Maneesh Moti"/>
    <s v="No"/>
    <s v="vineet.ojha@amns.in"/>
    <s v="9920379079"/>
    <s v="802102"/>
    <s v="Dhruv Vyas"/>
    <s v="Anil Matoo"/>
    <s v="Praveen Kuruvalli"/>
    <s v="Dhruv Vyas"/>
    <n v="0"/>
  </r>
  <r>
    <n v="3689"/>
    <n v="20055312"/>
    <s v="Swapnil Srivastava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Lead Market Intelligence &amp; Pricing"/>
    <m/>
    <s v="Projects Long Products"/>
    <s v="Projects Long Products"/>
    <s v=""/>
    <s v="Non Technical Support"/>
    <s v="Human Resources Management"/>
    <s v="Human Resources Management"/>
    <s v="73501002"/>
    <s v="Human Resources Operation"/>
    <s v="Mumbai"/>
    <d v="1996-09-08T00:00:00"/>
    <s v="27.00"/>
    <d v="2020-09-16T00:00:00"/>
    <d v="2054-09-30T00:00:00"/>
    <m/>
    <d v="2054-09-30T00:00:00"/>
    <n v="11333"/>
    <s v=""/>
    <s v="MBA-2020 , BTech-2018 , Intermediate-201"/>
    <s v=""/>
    <s v="03.00"/>
    <s v="03.00"/>
    <s v="70494655"/>
    <s v="Sales Steering, Distribution and BD"/>
    <s v="70495035"/>
    <s v="Lead Market Intelligence &amp; Pricing"/>
    <s v="Corporate"/>
    <s v="0080000001"/>
    <s v="Head-Marketing"/>
    <s v="2000CS"/>
    <s v="20055091"/>
    <s v="Akshaya Gujral"/>
    <s v="No"/>
    <s v="swapnil.srivastava@amns.in"/>
    <s v="7764981301"/>
    <s v="804093"/>
    <s v="Dhruv Vyas"/>
    <s v="Anil Matoo"/>
    <s v="Praveen Kuruvalli"/>
    <s v="Dhruv Vyas"/>
    <n v="0"/>
  </r>
  <r>
    <n v="3693"/>
    <n v="20055320"/>
    <s v="Rohit Yadav"/>
    <s v="AM/NS India"/>
    <s v="Onroll"/>
    <s v="M-10"/>
    <n v="10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Sales &amp; Marketing"/>
    <m/>
    <s v="Sales Planning"/>
    <s v="Sales Planning"/>
    <s v=""/>
    <s v="Non Technical Support"/>
    <s v="Human Resources Management"/>
    <s v="Human Resources Management"/>
    <s v="73501002"/>
    <s v="Human Resources Operation"/>
    <s v="Delhi"/>
    <d v="1995-05-19T00:00:00"/>
    <s v="28.04"/>
    <d v="2020-10-03T00:00:00"/>
    <d v="2053-05-31T00:00:00"/>
    <m/>
    <d v="2053-05-31T00:00:00"/>
    <n v="10846"/>
    <s v="O+"/>
    <s v="MTech-2020 , BTech-2017 , Intermediate-2"/>
    <s v=""/>
    <s v="02.11"/>
    <s v="02.11"/>
    <s v="70385322"/>
    <s v="Sales Planning &amp; Administration"/>
    <s v="70495062"/>
    <s v="Officer - Sales Planning"/>
    <s v="Pune Facility"/>
    <s v="0035950073"/>
    <s v="Pune - S&amp;D Export"/>
    <s v="2000ESPF"/>
    <s v="20049554"/>
    <s v="Uttam Kumar"/>
    <s v="No"/>
    <s v="rohit.yadav@amns.in"/>
    <s v="6359610214"/>
    <s v="806648"/>
    <s v="Dhruv Vyas"/>
    <s v="Anil Matoo"/>
    <s v="Praveen Kuruvalli"/>
    <s v="Dhruv Vyas"/>
    <n v="0"/>
  </r>
  <r>
    <n v="3700"/>
    <n v="20055333"/>
    <s v="Shah Ronil"/>
    <s v="AM/NS India"/>
    <s v="Onroll"/>
    <s v="M-10"/>
    <n v="10"/>
    <m/>
    <s v="JM"/>
    <s v="M"/>
    <s v="Hazira"/>
    <n v="1"/>
    <s v="2015"/>
    <x v="1"/>
    <s v="22.06"/>
    <s v="Praveen Kuruvalli"/>
    <s v="Ashutosh Telang"/>
    <n v="6"/>
    <s v="HR &amp; Administration"/>
    <s v="Human Resources"/>
    <s v="22"/>
    <s v="Shift Engineer - Mechanical Maintenance"/>
    <m/>
    <s v="Hazira Operations"/>
    <s v="Mechanical"/>
    <s v="SH, Conveyors &amp; PCI"/>
    <s v="Mechanical Maintenance"/>
    <s v="Operations"/>
    <s v="Plant Operations"/>
    <s v="72103003"/>
    <s v="Plant Operations"/>
    <s v="Hazira"/>
    <d v="1998-10-21T00:00:00"/>
    <s v="24.10"/>
    <d v="2020-10-03T00:00:00"/>
    <d v="2056-10-31T00:00:00"/>
    <m/>
    <d v="2056-10-31T00:00:00"/>
    <n v="12095"/>
    <s v="B+"/>
    <s v="BTech-2020 , Intermediate-2016 , High Sc"/>
    <s v=""/>
    <s v="02.11"/>
    <s v="02.11"/>
    <s v="00051785"/>
    <s v="Hazira Project - Human Resources"/>
    <s v="70495075"/>
    <s v="Lead - Human Resources"/>
    <s v="Hazira"/>
    <s v="0031220011"/>
    <s v="Plant B - Blast Furn"/>
    <s v="2000HWO"/>
    <s v="20038382"/>
    <s v="Natasha Fernandes"/>
    <s v="No"/>
    <s v="ronil.shah@amns.in"/>
    <s v="9512047176"/>
    <s v="806659"/>
    <s v="Dhruv Vyas"/>
    <s v="Anil Matoo"/>
    <s v="Praveen Kuruvalli"/>
    <s v="Dhruv Vyas"/>
    <n v="0"/>
  </r>
  <r>
    <n v="3707"/>
    <n v="20055359"/>
    <s v="Pritish Ranjan Behera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"/>
    <m/>
    <s v="Coated Sales"/>
    <s v="Coated Sales"/>
    <s v=""/>
    <s v="Non Technical Support"/>
    <s v="Human Resources Management"/>
    <s v="Human Resources Management"/>
    <s v="73501002"/>
    <s v="Human Resources Operation"/>
    <s v="Pune"/>
    <d v="1991-09-01T00:00:00"/>
    <s v="32.00"/>
    <d v="2020-10-03T00:00:00"/>
    <d v="2049-08-31T00:00:00"/>
    <m/>
    <d v="2049-08-31T00:00:00"/>
    <n v="9477"/>
    <s v="B+"/>
    <s v="MBA-2020 , BTech-2013 , Intermediate-200"/>
    <s v=""/>
    <s v="02.11"/>
    <s v="02.11"/>
    <s v="00043882"/>
    <s v="International Sales"/>
    <s v="70495101"/>
    <s v="KAM - Coated Sales"/>
    <s v="Hazira"/>
    <s v="0031950057"/>
    <s v="HZ-HRC - Marketing"/>
    <s v="2000HWO"/>
    <s v="20037071"/>
    <s v="Amit Chandaliya"/>
    <s v="No"/>
    <s v="pritish.behera@amns.in"/>
    <s v="9923200102"/>
    <s v="806680"/>
    <s v="Dhruv Vyas"/>
    <s v="Anil Matoo"/>
    <s v="Praveen Kuruvalli"/>
    <s v="Dhruv Vyas"/>
    <n v="0"/>
  </r>
  <r>
    <n v="3708"/>
    <n v="20055360"/>
    <s v="Neha Bang"/>
    <s v="AM/NS India"/>
    <s v="Onroll"/>
    <s v="M-8"/>
    <n v="8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"/>
    <m/>
    <s v="Sales Steering &amp; BD"/>
    <s v="Product Branding"/>
    <s v=""/>
    <s v="Non Technical Support"/>
    <s v="Human Resources Management"/>
    <s v="Human Resources Management"/>
    <s v="73501002"/>
    <s v="Human Resources Operation"/>
    <s v="Mumbai"/>
    <d v="1995-02-22T00:00:00"/>
    <s v="28.06"/>
    <d v="2020-10-03T00:00:00"/>
    <d v="2053-02-28T00:00:00"/>
    <m/>
    <d v="2053-02-28T00:00:00"/>
    <n v="10754"/>
    <s v="B-"/>
    <s v="MBA-2020 , BA-2016 , Intermediate-2014 ,"/>
    <s v=""/>
    <s v="02.11"/>
    <s v="02.11"/>
    <s v="00044762"/>
    <s v="Branding"/>
    <s v="70495102"/>
    <s v="Brand Manager"/>
    <s v="Corporate"/>
    <s v="0080000001"/>
    <s v="Head-Marketing"/>
    <s v="2000CS"/>
    <s v="20056091"/>
    <s v="Pooja Rawal"/>
    <s v="No"/>
    <s v="neha.bang@amns.in"/>
    <s v="9879101215"/>
    <s v="806681"/>
    <s v="Dhruv Vyas"/>
    <s v="Anil Matoo"/>
    <s v="Praveen Kuruvalli"/>
    <s v="Dhruv Vyas"/>
    <n v="0"/>
  </r>
  <r>
    <n v="3709"/>
    <n v="20055361"/>
    <s v="Kuldeep Trivedi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Management Trainee"/>
    <m/>
    <s v="Performance Management"/>
    <s v="Performance Management"/>
    <s v=""/>
    <s v="Non Technical Support"/>
    <s v="Human Resources Management"/>
    <s v="Human Resources Management"/>
    <s v="73501002"/>
    <s v="Human Resources Operation"/>
    <s v="AM/NS Hazira"/>
    <d v="1994-04-17T00:00:00"/>
    <s v="29.05"/>
    <d v="2020-10-07T00:00:00"/>
    <d v="2052-04-30T00:00:00"/>
    <m/>
    <d v="2052-04-30T00:00:00"/>
    <n v="10450"/>
    <s v="O+"/>
    <s v="MBA-2020 , BTech-2016 , Intermediate-201"/>
    <s v=""/>
    <s v="02.11"/>
    <s v="02.11"/>
    <s v="00045310"/>
    <s v="Performance Management"/>
    <s v="70495103"/>
    <s v="Management Trainee"/>
    <s v="Hazira"/>
    <s v="0031950043"/>
    <s v="HZ-Performance Manag"/>
    <s v="2000HWO"/>
    <s v="20059076"/>
    <s v="Ravish Doshi"/>
    <s v="No"/>
    <s v="kuldeep.trivedi@amns.in"/>
    <s v="9727741053"/>
    <s v="806682"/>
    <s v="Dhruv Vyas"/>
    <s v="Anil Matoo"/>
    <s v="Praveen Kuruvalli"/>
    <s v="Dhruv Vyas"/>
    <n v="0"/>
  </r>
  <r>
    <n v="3760"/>
    <n v="20055424"/>
    <s v="Prasath Radhakrishnan"/>
    <s v="AM/NS India"/>
    <s v="Onroll"/>
    <s v="M-8"/>
    <n v="8"/>
    <m/>
    <s v="JM"/>
    <s v="M"/>
    <s v="Service Centers"/>
    <n v="6"/>
    <s v="2043"/>
    <x v="3"/>
    <s v="31.01"/>
    <s v="Hrishikesh Kamat"/>
    <s v="Hrishikesh Kamat"/>
    <n v="7"/>
    <s v="Procurement"/>
    <s v="Procurement"/>
    <s v="31"/>
    <s v="Incharge  Purchase"/>
    <m/>
    <s v="Procurement Service Centre"/>
    <s v="Procurement Service Centre"/>
    <s v=""/>
    <s v="Non Technical Support"/>
    <s v="Operations"/>
    <s v="Plant Operations"/>
    <s v="72103003"/>
    <s v="Plant Operations"/>
    <s v="Chennai"/>
    <d v="1979-11-09T00:00:00"/>
    <s v="43.10"/>
    <d v="2020-10-01T00:00:00"/>
    <d v="2037-11-30T00:00:00"/>
    <m/>
    <d v="2037-11-30T00:00:00"/>
    <n v="5185"/>
    <s v="O+"/>
    <s v="MBA-2009 , BE-2001 , High School-1997 ,"/>
    <s v="14.00"/>
    <s v="02.11"/>
    <s v="16.11"/>
    <s v="70413444"/>
    <s v="Purchase &amp; Contracts"/>
    <s v="70495186"/>
    <s v="Incharge  Purchase"/>
    <s v="Service Center"/>
    <s v="0040030019"/>
    <s v="SC-Chennai-Op1-HR-Ad"/>
    <s v="2000SPRJ"/>
    <s v="20052588"/>
    <s v="Govindraju Sampathirao"/>
    <s v="No"/>
    <s v="prasath.r@amns.in"/>
    <s v="9952966638"/>
    <s v="25533"/>
    <s v="Dhruv Vyas"/>
    <s v="Anil Matoo"/>
    <s v="Praveen Kuruvalli"/>
    <s v="Dhruv Vyas"/>
    <n v="0"/>
  </r>
  <r>
    <n v="3767"/>
    <n v="20055437"/>
    <s v="Sameer Vengurlekar"/>
    <s v="AM/NS India"/>
    <s v="Onroll"/>
    <s v="M-10"/>
    <n v="10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Sales &amp; Marketing"/>
    <m/>
    <s v="Coated Sales"/>
    <s v="Coated Sales"/>
    <s v=""/>
    <s v="Non Technical Support"/>
    <s v="Sales &amp; Marketing"/>
    <s v="Sales &amp; Marketing"/>
    <s v="73101001"/>
    <s v="Sales &amp; Marketing"/>
    <s v="Pune AMNS"/>
    <d v="1984-03-26T00:00:00"/>
    <s v="39.05"/>
    <d v="2020-10-27T00:00:00"/>
    <d v="2042-03-31T00:00:00"/>
    <m/>
    <d v="2042-03-31T00:00:00"/>
    <n v="6767"/>
    <s v=""/>
    <s v="PG Diploma in Management-2013 , BCom-200"/>
    <s v="14.08"/>
    <s v="02.10"/>
    <s v="17.06"/>
    <s v="00048138"/>
    <s v="Hypermart west"/>
    <s v="70495275"/>
    <s v="Sales Manger - Coated Sales"/>
    <s v="Pune Facility"/>
    <s v="0035950073"/>
    <s v="Pune - S&amp;D Export"/>
    <s v="2000ESPF"/>
    <s v="20056847"/>
    <s v="Vikas Chotia"/>
    <s v="No"/>
    <s v="sameer.vengurlekar@amns.in"/>
    <s v="9158895815"/>
    <s v="812346"/>
    <s v="Dhruv Vyas"/>
    <s v="Anil Matoo"/>
    <s v="Praveen Kuruvalli"/>
    <s v="Dhruv Vyas"/>
    <n v="0"/>
  </r>
  <r>
    <n v="3770"/>
    <n v="20055441"/>
    <s v="Bhushan Bhondwe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Sales &amp; Marketing"/>
    <m/>
    <s v="Export"/>
    <s v="Export"/>
    <s v=""/>
    <s v="Non Technical Support"/>
    <s v="Sales &amp; Marketing"/>
    <s v="Sales &amp; Marketing"/>
    <s v="73101001"/>
    <s v="Sales &amp; Marketing"/>
    <s v="Pune"/>
    <d v="1976-03-23T00:00:00"/>
    <s v="47.05"/>
    <d v="2020-11-17T00:00:00"/>
    <d v="2034-03-31T00:00:00"/>
    <m/>
    <d v="2034-03-31T00:00:00"/>
    <n v="3845"/>
    <s v=""/>
    <s v="Master's Equivalent-2000 , Diploma-1997"/>
    <s v="08.05"/>
    <s v="02.10"/>
    <s v="11.03"/>
    <s v="00043882"/>
    <s v="International Sales"/>
    <s v="70495280"/>
    <s v="KAM - Export Sales"/>
    <s v="Pune Facility"/>
    <s v="0035950073"/>
    <s v="Pune - S&amp;D Export"/>
    <s v="2000ESPF"/>
    <s v="20055663"/>
    <s v="Karamath Syed"/>
    <s v="No"/>
    <s v="bhushan.bhondwe@amns.in"/>
    <s v="9158895824"/>
    <s v="812345"/>
    <s v="Dhruv Vyas"/>
    <s v="Anil Matoo"/>
    <s v="Praveen Kuruvalli"/>
    <s v="Dhruv Vyas"/>
    <n v="0"/>
  </r>
  <r>
    <n v="3774"/>
    <n v="20055446"/>
    <s v="Chitrang Rana"/>
    <s v="AM/NS India"/>
    <s v="Onroll"/>
    <s v="M-5"/>
    <n v="5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Services"/>
    <m/>
    <s v="Capex Procurement"/>
    <s v="Capex Procurement"/>
    <s v=""/>
    <s v="Non Technical Support"/>
    <s v="Operations"/>
    <s v="Operations"/>
    <s v="72103001"/>
    <s v="Operations"/>
    <s v="Hazira"/>
    <d v="1974-02-14T00:00:00"/>
    <s v="49.07"/>
    <d v="2020-12-01T00:00:00"/>
    <d v="2032-02-29T00:00:00"/>
    <m/>
    <d v="2032-02-29T00:00:00"/>
    <n v="3084"/>
    <s v="B+"/>
    <s v="BE-1996 , Diploma-1992 , High School-198"/>
    <s v="23.11"/>
    <s v="02.09"/>
    <s v="26.09"/>
    <s v="00049359"/>
    <s v="Capex Services"/>
    <s v="70495292"/>
    <s v="Lead – Capex Services"/>
    <s v="Hazira"/>
    <s v="0031950059"/>
    <s v="HZ-Hazira Project"/>
    <s v="2000HWO"/>
    <s v="20052261"/>
    <s v="Aruni Mishra"/>
    <s v="No"/>
    <s v="chitrang.rana@amns.in"/>
    <s v="9879101778"/>
    <s v="806642"/>
    <s v="Dhruv Vyas"/>
    <s v="Anil Matoo"/>
    <s v="Praveen Kuruvalli"/>
    <s v="Dhruv Vyas"/>
    <n v="0"/>
  </r>
  <r>
    <n v="3775"/>
    <n v="20055447"/>
    <s v="Nirav Pachchigar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Buyer"/>
    <m/>
    <s v="Capex Procurement"/>
    <s v="Capex Procurement"/>
    <s v=""/>
    <s v="Non Technical Support"/>
    <s v="Operations"/>
    <s v="Operations"/>
    <s v="72103001"/>
    <s v="Operations"/>
    <s v="Hazira"/>
    <d v="1980-02-11T00:00:00"/>
    <s v="43.07"/>
    <d v="2020-11-25T00:00:00"/>
    <d v="2038-02-28T00:00:00"/>
    <m/>
    <d v="2038-02-28T00:00:00"/>
    <n v="5275"/>
    <s v="B+"/>
    <s v="PG Diploma-2013 , BE-2001 , High School-"/>
    <s v="19.02"/>
    <s v="02.09"/>
    <s v="21.11"/>
    <s v="70495711"/>
    <s v="Capex Buyer"/>
    <s v="70495286"/>
    <s v="Lead – Capex Buyer"/>
    <s v="Hazira"/>
    <s v="0031950059"/>
    <s v="HZ-Hazira Project"/>
    <s v="2000HWO"/>
    <s v="20055706"/>
    <s v="HimalKumar Madhusudan Sheth"/>
    <s v="No"/>
    <s v="nirav.pachchigar@amns.in"/>
    <s v="6357192763"/>
    <s v="812341"/>
    <s v="Dhruv Vyas"/>
    <s v="Anil Matoo"/>
    <s v="Praveen Kuruvalli"/>
    <s v="Dhruv Vyas"/>
    <n v="0"/>
  </r>
  <r>
    <n v="3778"/>
    <n v="20055451"/>
    <s v="Dhruvang Patel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– Capex Services"/>
    <m/>
    <s v="Capex Procurement"/>
    <s v="Capex Procurement"/>
    <s v=""/>
    <s v="Non Technical Support"/>
    <s v="Operations"/>
    <s v="Operations"/>
    <s v="72103001"/>
    <s v="Operations"/>
    <s v="Hazira"/>
    <d v="1993-05-09T00:00:00"/>
    <s v="30.04"/>
    <d v="2020-11-23T00:00:00"/>
    <d v="2051-05-31T00:00:00"/>
    <m/>
    <d v="2051-05-31T00:00:00"/>
    <n v="10115"/>
    <s v="B+"/>
    <s v="Diploma-2011 , SSLC-2008"/>
    <s v="09.03"/>
    <s v="02.09"/>
    <s v="12.00"/>
    <s v="00049360"/>
    <s v="Capex Services"/>
    <s v="70495293"/>
    <s v="Officer – Capex Services"/>
    <s v="Hazira"/>
    <s v="0031950059"/>
    <s v="HZ-Hazira Project"/>
    <s v="2000HWO"/>
    <s v="20055727"/>
    <s v="Javed Akhtar"/>
    <s v="No"/>
    <s v="dhruvang.patel@amns.in"/>
    <s v="6357192770"/>
    <s v="812340"/>
    <s v="Dhruv Vyas"/>
    <s v="Anil Matoo"/>
    <s v="Praveen Kuruvalli"/>
    <s v="Dhruv Vyas"/>
    <n v="0"/>
  </r>
  <r>
    <n v="3781"/>
    <n v="20055456"/>
    <s v="Vijay Malepu"/>
    <s v="AM/NS India"/>
    <s v="Onroll"/>
    <s v="M-7"/>
    <n v="7"/>
    <m/>
    <s v="MM"/>
    <s v="M"/>
    <s v="Corporate"/>
    <n v="7"/>
    <s v="2069"/>
    <x v="8"/>
    <s v="25.01"/>
    <s v="Bibek Chattopadhyay"/>
    <s v="Ashutosh Telang"/>
    <n v="6"/>
    <s v="HR &amp; Administration"/>
    <s v="Corporate Communications"/>
    <s v="25"/>
    <s v="Sr. Lead - Corporate Communication"/>
    <m/>
    <s v="Corporate Communications"/>
    <s v=""/>
    <s v=""/>
    <s v="Non Technical Support"/>
    <s v="Corporate Communication"/>
    <s v="Corporate Communication"/>
    <s v="74001001"/>
    <s v="Corporate Communication"/>
    <s v="Mumbai"/>
    <d v="1982-03-01T00:00:00"/>
    <s v="41.06"/>
    <d v="2020-12-02T00:00:00"/>
    <d v="2040-02-29T00:00:00"/>
    <m/>
    <d v="2040-02-29T00:00:00"/>
    <n v="6006"/>
    <s v="AB+"/>
    <s v="Master's Equivalent-2016 , Post Diploma"/>
    <s v="13.03"/>
    <s v="02.09"/>
    <s v="16.00"/>
    <s v="70318583"/>
    <s v="Communications &amp; Media Relations"/>
    <s v="70495298"/>
    <s v="Sr. Lead - Corporate Communication"/>
    <s v="Corporate"/>
    <s v="0090000016"/>
    <s v="Corporate Steel - Co"/>
    <s v="2000CS"/>
    <s v="20055187"/>
    <s v="Bibek Chattopadhyay"/>
    <s v="No"/>
    <s v="vijay.malepu@amns.in"/>
    <s v="9833403636"/>
    <s v="814930"/>
    <s v="Dhruv Vyas"/>
    <s v="Anil Matoo"/>
    <s v="Praveen Kuruvalli"/>
    <s v="Dhruv Vyas"/>
    <n v="0"/>
  </r>
  <r>
    <n v="3790"/>
    <n v="20055465"/>
    <s v="Mayank Zora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98-04-08T00:00:00"/>
    <s v="25.05"/>
    <d v="2020-12-28T00:00:00"/>
    <d v="2056-04-30T00:00:00"/>
    <m/>
    <d v="2056-04-30T00:00:00"/>
    <n v="11911"/>
    <s v="AB+"/>
    <s v="Diploma-2016 , SSLC-2013"/>
    <s v=""/>
    <s v="02.08"/>
    <s v="02.08"/>
    <s v="00053277"/>
    <s v="Receipts &amp; Unloading - Plant B"/>
    <s v="70495333"/>
    <s v="Section Officer - Issue/Shifting"/>
    <s v="Hazira"/>
    <s v="0031950049"/>
    <s v="HZ-Central Stores"/>
    <s v="2000HWO"/>
    <s v="20003180"/>
    <s v="Bhikhubhai Ahir"/>
    <s v="No"/>
    <s v="mayank.zora@amns.in"/>
    <s v="9925241193"/>
    <s v="25892"/>
    <s v="Dhruv Vyas"/>
    <s v="Anil Matoo"/>
    <s v="Praveen Kuruvalli"/>
    <s v="Dhruv Vyas"/>
    <n v="0"/>
  </r>
  <r>
    <n v="3806"/>
    <n v="20055483"/>
    <s v="Praveen Kuruvalli"/>
    <s v="AM/NS India"/>
    <s v="Onroll"/>
    <s v="M-2"/>
    <n v="2"/>
    <m/>
    <s v="TM"/>
    <s v="M"/>
    <s v="Corporate"/>
    <n v="7"/>
    <s v="2015"/>
    <x v="1"/>
    <s v="22.06"/>
    <s v="Ashutosh Telang"/>
    <s v="Ashutosh Telang"/>
    <n v="6"/>
    <s v="HR &amp; Administration"/>
    <s v="Human Resources"/>
    <s v="22"/>
    <s v="Head People Strategy &amp; HR COE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Mumbai"/>
    <d v="1980-06-04T00:00:00"/>
    <s v="43.03"/>
    <d v="2021-01-01T00:00:00"/>
    <d v="2040-06-30T00:00:00"/>
    <m/>
    <d v="2040-06-30T00:00:00"/>
    <n v="6128"/>
    <s v="A+"/>
    <s v="MBA-2007 , BTech-2002 , High School-1997"/>
    <s v="16.05"/>
    <s v="02.08"/>
    <s v="19.01"/>
    <s v="70242278"/>
    <s v="People Strategy &amp; HR Center Excellence"/>
    <s v="70495349"/>
    <s v="Head People Strategy &amp; HR COE"/>
    <s v="Confidential Payroll"/>
    <s v="0031950061"/>
    <s v="HZ-Human Resource"/>
    <s v="2000CS"/>
    <s v="20059024"/>
    <s v="Keiji Kubota"/>
    <s v="No"/>
    <s v="praveen.kuruvalli@amns.in"/>
    <s v="9619917060"/>
    <s v="103288"/>
    <s v="Dhruv Vyas"/>
    <s v="Anil Matoo"/>
    <s v="Praveen Kuruvalli"/>
    <s v="Dhruv Vyas"/>
    <n v="0"/>
  </r>
  <r>
    <n v="3809"/>
    <n v="20055486"/>
    <s v="Nilesh Likhite"/>
    <s v="AM/NS India"/>
    <s v="Onroll"/>
    <s v="M-3"/>
    <n v="3"/>
    <m/>
    <s v="SM"/>
    <s v="M"/>
    <s v="Corporate"/>
    <n v="7"/>
    <s v="2014"/>
    <x v="16"/>
    <s v="03.01"/>
    <s v="Dilip Oommen"/>
    <s v="Dilip Oommen"/>
    <n v="1"/>
    <s v="CEO Office"/>
    <s v="Internal Audit"/>
    <s v="03"/>
    <s v="Chief Internal Auditor"/>
    <m/>
    <s v="Internal Audit"/>
    <s v=""/>
    <s v=""/>
    <s v="Non Technical Support"/>
    <s v="Chairman's Secretariat"/>
    <s v="Chairman's Secretariat"/>
    <s v="74701000"/>
    <s v="Chairman's Secretariat"/>
    <s v="Mumbai"/>
    <d v="1970-04-29T00:00:00"/>
    <s v="53.04"/>
    <d v="2021-01-04T00:00:00"/>
    <d v="2028-04-30T00:00:00"/>
    <m/>
    <d v="2028-04-30T00:00:00"/>
    <n v="1684"/>
    <s v="O+"/>
    <s v="Certificate-2010 , Certificate-2007 , Ce"/>
    <s v="26.01"/>
    <s v="02.08"/>
    <s v="28.09"/>
    <s v="70310796"/>
    <s v="Internal Audit"/>
    <s v="70495350"/>
    <s v="Chief Internal Auditor"/>
    <s v="Confidential Payroll"/>
    <s v="0090000035"/>
    <s v="Internal Audit"/>
    <s v="2000CS"/>
    <s v="20055068"/>
    <s v="Dilip Oommen"/>
    <s v="No"/>
    <s v="nilesh.likhite@amns.in"/>
    <s v="9820049811"/>
    <s v="816692"/>
    <s v="Dhruv Vyas"/>
    <s v="Anil Matoo"/>
    <s v="Praveen Kuruvalli"/>
    <s v="Dhruv Vyas"/>
    <n v="0"/>
  </r>
  <r>
    <n v="3814"/>
    <n v="20055493"/>
    <s v="Ramanathan Rajagopalan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EM Sales"/>
    <m/>
    <s v="South"/>
    <s v="Auto"/>
    <s v=""/>
    <s v="Non Technical Support"/>
    <s v="Sales &amp; Marketing"/>
    <s v="Sales"/>
    <s v="73104004"/>
    <s v="OEM Sales"/>
    <s v="Chennai"/>
    <d v="1996-05-24T00:00:00"/>
    <s v="27.03"/>
    <d v="2021-01-01T00:00:00"/>
    <d v="2054-05-31T00:00:00"/>
    <m/>
    <d v="2054-05-31T00:00:00"/>
    <n v="11211"/>
    <s v="A+"/>
    <s v="BE-2017 , Intermediate-2013 , High Schoo"/>
    <s v="03.04"/>
    <s v="02.08"/>
    <s v="06.00"/>
    <s v="00052470"/>
    <s v="Automotive Sales - Chennai"/>
    <s v="70495378"/>
    <s v="Sales Manager"/>
    <s v="Hazira"/>
    <s v="0031950057"/>
    <s v="HZ-HRC - Marketing"/>
    <s v="2000HWO"/>
    <s v="20053562"/>
    <s v="Shankar Murugan"/>
    <s v="No"/>
    <s v="ramanathan.r@amns.in"/>
    <s v="9884923782"/>
    <s v="25496"/>
    <s v="Dhruv Vyas"/>
    <s v="Anil Matoo"/>
    <s v="Praveen Kuruvalli"/>
    <s v="Dhruv Vyas"/>
    <n v="0"/>
  </r>
  <r>
    <n v="3815"/>
    <n v="20055494"/>
    <s v="Vikas Soni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– Direct Taxation"/>
    <m/>
    <s v="Taxation"/>
    <s v="Direct - Taxation"/>
    <s v=""/>
    <s v="Non Technical Support"/>
    <s v="Finance &amp; Accounts"/>
    <s v="Taxation"/>
    <s v="73904001"/>
    <s v="Direct Taxation"/>
    <s v="Mumbai"/>
    <d v="1982-08-03T00:00:00"/>
    <s v="41.01"/>
    <d v="2021-01-08T00:00:00"/>
    <d v="2040-08-31T00:00:00"/>
    <m/>
    <d v="2040-08-31T00:00:00"/>
    <n v="6190"/>
    <s v="O+"/>
    <s v="BCom-2002 , CA Final-2005 , High School-"/>
    <s v="16.06"/>
    <s v="02.08"/>
    <s v="19.01"/>
    <s v="70495368"/>
    <s v="Direct Taxation"/>
    <s v="70495369"/>
    <s v="Head – Direct Taxation"/>
    <s v="Corporate"/>
    <s v="0090000033"/>
    <s v="Corporate Taxation"/>
    <s v="2000CS"/>
    <s v="20055193"/>
    <s v="Anuprita Kaushik Mehta"/>
    <s v="No"/>
    <s v="vikas.soni@amns.in"/>
    <s v="9892668935"/>
    <s v="818985"/>
    <s v="Dhruv Vyas"/>
    <s v="Anil Matoo"/>
    <s v="Praveen Kuruvalli"/>
    <s v="Dhruv Vyas"/>
    <n v="0"/>
  </r>
  <r>
    <n v="3818"/>
    <n v="20055503"/>
    <s v="Gajendra Parihar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– HRC Store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89-12-10T00:00:00"/>
    <s v="33.09"/>
    <d v="2021-01-15T00:00:00"/>
    <d v="2047-12-31T00:00:00"/>
    <m/>
    <d v="2047-12-31T00:00:00"/>
    <n v="8868"/>
    <s v="O+"/>
    <s v="BTech-2013 , Diploma-2009 , SSLC-2006"/>
    <s v="08.08"/>
    <s v="02.08"/>
    <s v="11.03"/>
    <s v="00053278"/>
    <s v="GRN/Documentation/Issue - Plant A"/>
    <s v="70495401"/>
    <s v="Section Officer – HRC Store"/>
    <s v="Hazira"/>
    <s v="0031950049"/>
    <s v="HZ-Central Stores"/>
    <s v="2000HWO"/>
    <s v="20002587"/>
    <s v="Seema Mehta"/>
    <s v="No"/>
    <s v="gajendra.parihar@amns.in"/>
    <s v="7486019908"/>
    <s v="818988"/>
    <s v="Dhruv Vyas"/>
    <s v="Anil Matoo"/>
    <s v="Praveen Kuruvalli"/>
    <s v="Dhruv Vyas"/>
    <n v="0"/>
  </r>
  <r>
    <n v="3819"/>
    <n v="20055504"/>
    <s v="Vivek Choudhary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 – F&amp;A Hypermart &amp; Service Centre"/>
    <m/>
    <s v="Working Capital"/>
    <s v="Service Centers"/>
    <s v=""/>
    <s v="Non Technical Support"/>
    <s v="Finance &amp; Accounts"/>
    <s v="Finance &amp; Accounts"/>
    <s v="73901001"/>
    <s v="Finance &amp; Accounts"/>
    <s v="AM/NS Hazira"/>
    <d v="1991-09-21T00:00:00"/>
    <s v="32.00"/>
    <d v="2021-01-18T00:00:00"/>
    <d v="2049-09-30T00:00:00"/>
    <m/>
    <d v="2049-09-30T00:00:00"/>
    <n v="9507"/>
    <s v="O+"/>
    <s v="MBA-2019 , CA Final-2014 , High School-2"/>
    <s v="06.05"/>
    <s v="02.08"/>
    <s v="09.00"/>
    <s v="70495565"/>
    <s v="F&amp;A Hypermart &amp; Service Centre"/>
    <s v="70495413"/>
    <s v="Head – F&amp;A Hypermart &amp; Service Centre"/>
    <s v="Hazira"/>
    <s v="0040000000"/>
    <s v="SC - Common"/>
    <s v="2000HWO"/>
    <s v="20055188"/>
    <s v="Rohit Sharma"/>
    <s v="No"/>
    <s v="vivek.choudhary@amns.in"/>
    <s v="7486019909"/>
    <s v="818990"/>
    <s v="Dhruv Vyas"/>
    <s v="Anil Matoo"/>
    <s v="Praveen Kuruvalli"/>
    <s v="Dhruv Vyas"/>
    <n v="0"/>
  </r>
  <r>
    <n v="3827"/>
    <n v="20055515"/>
    <s v="Manoj Raut"/>
    <s v="AM/NS India"/>
    <s v="Onroll"/>
    <s v="M-5"/>
    <n v="5"/>
    <m/>
    <s v="MM"/>
    <s v="M"/>
    <s v="Odisha"/>
    <n v="2"/>
    <s v="2039"/>
    <x v="2"/>
    <s v="43.01"/>
    <s v="Sangeeta Munjal"/>
    <s v="Manu Kapoor"/>
    <n v="10"/>
    <s v="Corporate Affairs"/>
    <s v="Corporate Affairs"/>
    <s v="43"/>
    <s v="Sr. Lead - Corporate Affairs"/>
    <m/>
    <s v="Corporate Affairs"/>
    <s v="Corporate Affairs"/>
    <s v="Corporate Affairs"/>
    <s v="Non Technical Support"/>
    <s v="Corporate Relations"/>
    <s v="Corporate Affairs"/>
    <s v="74501001"/>
    <s v="Corporate Affairs"/>
    <s v="Bhubaneswar"/>
    <d v="1974-07-13T00:00:00"/>
    <s v="49.02"/>
    <d v="2021-01-30T00:00:00"/>
    <d v="2032-07-31T00:00:00"/>
    <m/>
    <d v="2032-07-31T00:00:00"/>
    <n v="3237"/>
    <s v="O-"/>
    <s v="BE-2005 , Diploma-1997 , High School-198"/>
    <s v=""/>
    <s v="02.07"/>
    <s v="02.07"/>
    <s v="70495564"/>
    <s v="Corporate Affairs - Odisha"/>
    <s v="70495454"/>
    <s v="Sr. Lead Corporate Affairs"/>
    <s v="Odisha"/>
    <s v="0022030019"/>
    <s v="PDP-HR &amp; Admn"/>
    <s v="2000STORIS"/>
    <s v="20056422"/>
    <s v="Suparna Nanda"/>
    <s v="No"/>
    <s v="manoj.raut@amns.in"/>
    <s v="7682814750"/>
    <s v="819629"/>
    <s v="Sunila Das"/>
    <s v="Anil Matoo"/>
    <s v="Praveen Kuruvalli"/>
    <s v="Sunila Das"/>
    <n v="0"/>
  </r>
  <r>
    <n v="3829"/>
    <n v="20055517"/>
    <s v="Diptakshya Banerjee"/>
    <s v="AM/NS India"/>
    <s v="Onroll"/>
    <s v="M-7"/>
    <n v="7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Lead - Procurement &amp; Stores"/>
    <m/>
    <s v="Procurement"/>
    <s v="Procurement"/>
    <s v=""/>
    <s v="Non Technical Support"/>
    <s v="Commercial"/>
    <s v="Purchase"/>
    <s v="73804001"/>
    <s v="Purchase"/>
    <s v="Paradeep"/>
    <d v="1984-10-17T00:00:00"/>
    <s v="38.11"/>
    <d v="2021-01-30T00:00:00"/>
    <d v="2042-10-31T00:00:00"/>
    <m/>
    <d v="2042-10-31T00:00:00"/>
    <n v="6981"/>
    <s v="A+"/>
    <s v="MBA-2010 , BCom-2007 , Intermediate-2004"/>
    <s v=""/>
    <s v="02.07"/>
    <s v="02.07"/>
    <s v="70407583"/>
    <s v="Procurement - Odisha Asset"/>
    <s v="70495456"/>
    <s v="Lead - Procurement &amp; Stores"/>
    <s v="Odisha"/>
    <s v="0022030019"/>
    <s v="PDP-HR &amp; Admn"/>
    <s v="2000STORIS"/>
    <s v="20055692"/>
    <s v="Rajiv Ranjan"/>
    <s v="No"/>
    <s v="diptakshya.banerjee@amns.in"/>
    <s v="8718809224"/>
    <s v="819631"/>
    <s v="Sunila Das"/>
    <s v="Anil Matoo"/>
    <s v="Praveen Kuruvalli"/>
    <s v="Sunila Das"/>
    <n v="0"/>
  </r>
  <r>
    <n v="3836"/>
    <n v="20055527"/>
    <s v="Agnikant Mishra"/>
    <s v="AM/NS India"/>
    <s v="Onroll"/>
    <s v="M-7"/>
    <n v="7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Finance &amp; Accounts"/>
    <m/>
    <s v="Odisha Operations"/>
    <s v=""/>
    <s v=""/>
    <s v="Non Technical Support"/>
    <s v="Finance &amp; Accounts"/>
    <s v="Finance &amp; Accounts"/>
    <s v="73901001"/>
    <s v="Finance &amp; Accounts"/>
    <s v="Dabuna"/>
    <d v="1967-12-18T00:00:00"/>
    <s v="55.09"/>
    <d v="2021-01-30T00:00:00"/>
    <d v="2025-12-31T00:00:00"/>
    <m/>
    <d v="2025-12-31T00:00:00"/>
    <n v="833"/>
    <s v="B+"/>
    <s v="ICWA Final-1998 , High School-1984"/>
    <s v=""/>
    <s v="02.07"/>
    <s v="02.07"/>
    <s v="72150243"/>
    <s v="Accounts Payable"/>
    <s v="70495466"/>
    <s v="Lead Finance &amp; Accounts"/>
    <s v="Odisha"/>
    <s v="0022030019"/>
    <s v="PDP-HR &amp; Admn"/>
    <s v="2000STORIS"/>
    <s v="20001076"/>
    <s v="Bhavesh Modi"/>
    <s v="No"/>
    <s v="agnikant.mishra@amns.in"/>
    <s v="7077718332"/>
    <s v="819641"/>
    <s v="Sunila Das"/>
    <s v="Anil Matoo"/>
    <s v="Praveen Kuruvalli"/>
    <s v="Sunila Das"/>
    <n v="0"/>
  </r>
  <r>
    <n v="3863"/>
    <n v="20055561"/>
    <s v="Rahul Sahu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 Refractory"/>
    <m/>
    <s v="Procurement MRO Hazira"/>
    <s v="Procurement"/>
    <s v=""/>
    <s v="Non Technical Support"/>
    <s v="Commercial"/>
    <s v="Procurement"/>
    <s v="73803001"/>
    <s v="Procurement"/>
    <s v="AM/NS Hazira"/>
    <d v="1985-04-07T00:00:00"/>
    <s v="38.05"/>
    <d v="2021-01-29T00:00:00"/>
    <d v="2043-04-30T00:00:00"/>
    <m/>
    <d v="2043-04-30T00:00:00"/>
    <n v="7162"/>
    <s v="A+"/>
    <s v="PG Diploma-2019 , PG Diploma-2011 , BE-2"/>
    <s v="13.00"/>
    <s v="02.07"/>
    <s v="15.08"/>
    <s v="00044543"/>
    <s v="Procurement -Refractory"/>
    <s v="70495552"/>
    <s v="Lead - Pro Refractory"/>
    <s v="Hazira"/>
    <s v="0031950048"/>
    <s v="HZ-Procurment Depart"/>
    <s v="2000HWO"/>
    <s v="20008647"/>
    <s v="Alpesh Hirpara"/>
    <s v="No"/>
    <s v="rahul.sahu@amns.in"/>
    <s v="7486019925"/>
    <s v="819619"/>
    <s v="Dhruv Vyas"/>
    <s v="Anil Matoo"/>
    <s v="Praveen Kuruvalli"/>
    <s v="Dhruv Vyas"/>
    <n v="0"/>
  </r>
  <r>
    <n v="3881"/>
    <n v="20055590"/>
    <s v="Mehul Thakkar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Performance Management"/>
    <m/>
    <s v="Capex Finance"/>
    <s v="Capex Finance"/>
    <s v=""/>
    <s v="Non Technical Support"/>
    <s v="Finance &amp; Accounts"/>
    <s v="Costing"/>
    <s v="73906001"/>
    <s v="Costing"/>
    <s v="AM/NS Hazira"/>
    <d v="1993-08-19T00:00:00"/>
    <s v="30.01"/>
    <d v="2021-03-16T00:00:00"/>
    <d v="2051-08-31T00:00:00"/>
    <m/>
    <d v="2051-08-31T00:00:00"/>
    <n v="10207"/>
    <s v="B+"/>
    <s v="CA Final-2015 , BCom-2013 , Intermediate"/>
    <s v="05.10"/>
    <s v="02.06"/>
    <s v="08.04"/>
    <s v="00045912"/>
    <s v="Capex - Finance"/>
    <s v="70495618"/>
    <s v="Lead – Performance Management"/>
    <s v="Hazira"/>
    <s v="0090000038"/>
    <s v="CAPEX FINANCE"/>
    <s v="2000HWO"/>
    <s v="20055143"/>
    <s v="Naoki Shimazaki"/>
    <s v="No"/>
    <s v="mehul.thakkar@amns.in"/>
    <s v="7486036179"/>
    <s v="826411"/>
    <s v="Dhruv Vyas"/>
    <s v="Anil Matoo"/>
    <s v="Praveen Kuruvalli"/>
    <s v="Dhruv Vyas"/>
    <n v="0"/>
  </r>
  <r>
    <n v="3882"/>
    <n v="20055591"/>
    <s v="Amol Gaurkar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HSM &amp; CSP MIS"/>
    <m/>
    <s v="Procurement MRO Hazira"/>
    <s v="Procurement"/>
    <s v=""/>
    <s v="Non Technical Support"/>
    <s v="Commercial"/>
    <s v="Procurement"/>
    <s v="73803001"/>
    <s v="Procurement"/>
    <s v="AM/NS Hazira"/>
    <d v="1985-05-27T00:00:00"/>
    <s v="38.03"/>
    <d v="2021-03-22T00:00:00"/>
    <d v="2043-05-31T00:00:00"/>
    <m/>
    <d v="2043-05-31T00:00:00"/>
    <n v="7193"/>
    <s v="B+"/>
    <s v="Certificate-2013 , Post Diploma Course-2"/>
    <s v="12.11"/>
    <s v="02.06"/>
    <s v="15.04"/>
    <s v="70072410"/>
    <s v="Rolling &amp; Finishing including CRM, Plate"/>
    <s v="70495621"/>
    <s v="Lead – Proc HSM &amp; CSP MIS"/>
    <s v="Hazira"/>
    <s v="0031950048"/>
    <s v="HZ-Procurment Depart"/>
    <s v="2000HWO"/>
    <s v="20002323"/>
    <s v="Balaji Somvanshi"/>
    <s v="No"/>
    <s v="amol.gaurkar@amns.in"/>
    <s v="7486036183"/>
    <s v="827588"/>
    <s v="Dhruv Vyas"/>
    <s v="Anil Matoo"/>
    <s v="Praveen Kuruvalli"/>
    <s v="Dhruv Vyas"/>
    <n v="0"/>
  </r>
  <r>
    <n v="3883"/>
    <n v="20055592"/>
    <s v="Nisha Jotwani"/>
    <s v="AM/NS India"/>
    <s v="Onroll"/>
    <s v="M-6"/>
    <n v="6"/>
    <m/>
    <s v="MM"/>
    <s v="F"/>
    <s v="Hazira"/>
    <n v="1"/>
    <s v="2270"/>
    <x v="25"/>
    <s v="38.01"/>
    <s v="Hrishikesh Kamat"/>
    <s v="Hrishikesh Kamat"/>
    <n v="7"/>
    <s v="Procurement"/>
    <s v="Logistics"/>
    <s v="38"/>
    <s v="Sr. Lead – Container Business"/>
    <m/>
    <s v="Logistics"/>
    <s v="Logistics"/>
    <s v=""/>
    <s v="Non Technical Support"/>
    <s v="Commercial"/>
    <s v="Procurement"/>
    <s v="73803001"/>
    <s v="Procurement"/>
    <s v="AM/NS Hazira"/>
    <d v="1971-09-08T00:00:00"/>
    <s v="52.00"/>
    <d v="2021-03-21T00:00:00"/>
    <d v="2029-09-30T00:00:00"/>
    <m/>
    <d v="2029-09-30T00:00:00"/>
    <n v="2202"/>
    <s v="B+"/>
    <s v="PG Diploma-1999 , BCom-1992 , Intermedia"/>
    <s v="10.06"/>
    <s v="02.06"/>
    <s v="13.00"/>
    <s v="70495712"/>
    <s v="Logistics"/>
    <s v="70495622"/>
    <s v="Sr. Lead – Container Business"/>
    <s v="Hazira"/>
    <s v="0031950053"/>
    <s v="HZ-Logistics"/>
    <s v="2000HWO"/>
    <s v="20055688"/>
    <s v="Vibhavana Jaiswal"/>
    <s v="No"/>
    <s v="nisha.jotwani@amns.in"/>
    <s v="9879103138"/>
    <s v="827587"/>
    <s v="Dhruv Vyas"/>
    <s v="Anil Matoo"/>
    <s v="Praveen Kuruvalli"/>
    <s v="Dhruv Vyas"/>
    <n v="0"/>
  </r>
  <r>
    <n v="3889"/>
    <n v="20055601"/>
    <s v="Dipankar Pati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r. Lead  - Proc Ferro Alloys"/>
    <m/>
    <s v="Procurement MRO Hazira"/>
    <s v="Procurement"/>
    <s v=""/>
    <s v="Non Technical Support"/>
    <s v="Operations"/>
    <s v="Plant Maintenance"/>
    <s v="72103008"/>
    <s v="Mechanical Maintenance"/>
    <s v="AM/NS Hazira"/>
    <d v="1984-05-02T00:00:00"/>
    <s v="39.04"/>
    <d v="2021-03-30T00:00:00"/>
    <d v="2042-05-31T00:00:00"/>
    <m/>
    <d v="2042-05-31T00:00:00"/>
    <n v="6828"/>
    <s v="O+"/>
    <s v="BE-2006 , Intermediate-2001 , SSLC-1999"/>
    <s v="14.08"/>
    <s v="02.05"/>
    <s v="17.02"/>
    <s v="00044542"/>
    <s v="Procurement -Ferroalloys"/>
    <s v="70495663"/>
    <s v="Sr. Lead  - Proc Ferro Alloys"/>
    <s v="Hazira"/>
    <s v="0031950048"/>
    <s v="HZ-Procurment Depart"/>
    <s v="2000HWO"/>
    <s v="20001370"/>
    <s v="Tejas Desai"/>
    <s v="No"/>
    <s v="dipankar.pati@amns.in"/>
    <s v="9938250251"/>
    <s v="828737"/>
    <s v="Dhruv Vyas"/>
    <s v="Anil Matoo"/>
    <s v="Praveen Kuruvalli"/>
    <s v="Dhruv Vyas"/>
    <n v="0"/>
  </r>
  <r>
    <n v="3892"/>
    <n v="20055609"/>
    <s v="Santosh Shankar Tandale"/>
    <s v="AM/NS India"/>
    <s v="Onroll"/>
    <s v="M-7"/>
    <n v="7"/>
    <m/>
    <s v="MM"/>
    <s v="M"/>
    <s v="Hazira"/>
    <n v="1"/>
    <s v="2715"/>
    <x v="13"/>
    <s v="37.01"/>
    <s v="Aruni Mishra"/>
    <s v="Hrishikesh Kamat"/>
    <n v="7"/>
    <s v="Procurement"/>
    <s v="Secondary Sales"/>
    <s v="37"/>
    <s v="Lead - by Product Sales"/>
    <m/>
    <s v="Secondary Sales, Non Steel"/>
    <s v="Secondary Sales, Non Steel"/>
    <s v=""/>
    <s v="Non Technical Support"/>
    <s v="Operations"/>
    <s v="Operations"/>
    <s v="72103001"/>
    <s v="Operations"/>
    <s v="Hazira"/>
    <d v="1986-12-25T00:00:00"/>
    <s v="36.08"/>
    <d v="2021-04-14T00:00:00"/>
    <d v="2044-12-31T00:00:00"/>
    <m/>
    <d v="2044-12-31T00:00:00"/>
    <n v="7773"/>
    <s v="O+"/>
    <s v="MBA-2015 , BCom-2007 , Intermediate-2004"/>
    <s v="14.00"/>
    <s v="02.05"/>
    <s v="16.05"/>
    <s v="00049357"/>
    <s v="Secondary Sales"/>
    <s v="70495667"/>
    <s v="Lead - by Product Sales"/>
    <s v="Hazira"/>
    <s v="0080000006"/>
    <s v="Secondary Sales - In"/>
    <s v="2000HWO"/>
    <s v="20055763"/>
    <s v="Debashis Mohapatra"/>
    <s v="No"/>
    <s v="santosh.tandale@amns.in"/>
    <s v="9881009973"/>
    <s v="831583"/>
    <s v="Dhruv Vyas"/>
    <s v="Anil Matoo"/>
    <s v="Praveen Kuruvalli"/>
    <s v="Dhruv Vyas"/>
    <n v="0"/>
  </r>
  <r>
    <n v="3894"/>
    <n v="20055611"/>
    <s v="Sunila Kumar Das"/>
    <s v="AM/NS India"/>
    <s v="Onroll"/>
    <s v="M-6"/>
    <n v="6"/>
    <m/>
    <s v="MM"/>
    <s v="M"/>
    <s v="Odisha"/>
    <n v="2"/>
    <s v="2015"/>
    <x v="1"/>
    <s v="22.06"/>
    <s v="Anil Matoo"/>
    <s v="Ashutosh Telang"/>
    <n v="6"/>
    <s v="HR &amp; Administration"/>
    <s v="Human Resources"/>
    <s v="22"/>
    <s v="Head Human Resources"/>
    <m/>
    <s v="Human Resources"/>
    <s v=""/>
    <s v=""/>
    <s v="Non Technical Support"/>
    <s v="Human Resources Management"/>
    <s v="Human Resources Management"/>
    <s v="73501001"/>
    <s v="Human Resources"/>
    <s v="Paradeep"/>
    <d v="1978-06-22T00:00:00"/>
    <s v="45.03"/>
    <d v="2021-04-15T00:00:00"/>
    <d v="2036-06-30T00:00:00"/>
    <m/>
    <d v="2036-06-30T00:00:00"/>
    <n v="4667"/>
    <s v="O+"/>
    <s v="MA-2004 , BA-2002 , Intermediate-1995 ,"/>
    <s v="06.03"/>
    <s v="02.05"/>
    <s v="08.08"/>
    <s v="70495430"/>
    <s v="Odisha HR Operations"/>
    <s v="70495669"/>
    <s v="Head Human Resources"/>
    <s v="Odisha"/>
    <s v="0022030019"/>
    <s v="PDP-HR &amp; Admn"/>
    <s v="2000STORIS"/>
    <s v="20000083"/>
    <s v="Anil Matoo"/>
    <s v="No"/>
    <s v="sunila.das@amns.in"/>
    <s v="9040066834"/>
    <s v="831585"/>
    <s v="Sunila Das"/>
    <s v="Anil Matoo"/>
    <s v="Praveen Kuruvalli"/>
    <s v="Sunila Das"/>
    <n v="0"/>
  </r>
  <r>
    <n v="3937"/>
    <n v="20055659"/>
    <s v="Quazi Shahzad"/>
    <s v="AM/NS Middle East FZE"/>
    <s v="Onroll"/>
    <s v="M-6"/>
    <n v="6"/>
    <m/>
    <s v="MM"/>
    <s v="M"/>
    <s v="Dubai"/>
    <n v="10"/>
    <s v="2502"/>
    <x v="10"/>
    <s v="14.01"/>
    <s v="Ranjan Dhar"/>
    <s v="Alain Legrix De La Salle"/>
    <n v="3"/>
    <s v="Sales &amp; Marketing"/>
    <s v="Sales &amp; Marketing"/>
    <s v="14"/>
    <s v="Dy. General Manager - Sales &amp; Marketing"/>
    <m/>
    <s v="Sales ME"/>
    <s v="Sales ME"/>
    <s v=""/>
    <s v=""/>
    <s v="Sales &amp; Marketing"/>
    <s v="Sales &amp; Marketing"/>
    <s v="73101001"/>
    <s v="Sales &amp; Marketing"/>
    <s v="Dubai"/>
    <d v="1972-11-10T00:00:00"/>
    <s v="50.10"/>
    <d v="2011-01-18T00:00:00"/>
    <d v="2030-11-30T00:00:00"/>
    <m/>
    <d v="2030-11-30T00:00:00"/>
    <n v="2628"/>
    <s v="AB+"/>
    <s v="MBA-1998 , BE-1996"/>
    <s v="13.01"/>
    <s v="12.08"/>
    <s v="25.09"/>
    <s v="70495379"/>
    <s v="Chief Marketing Officer - AMNS ME FZE"/>
    <s v="70495719"/>
    <s v="Sr. Lead Sales ME"/>
    <s v="AMNS Middle East FZE"/>
    <s v="0093720082"/>
    <s v="SC-Dubai-Marketing"/>
    <s v="DUBA2081"/>
    <s v="20055663"/>
    <s v="Karamath Syed"/>
    <s v="No"/>
    <s v="shahzad.quazi@amns.in"/>
    <s v="971566556275"/>
    <s v="25045"/>
    <s v="Dhruv Vyas"/>
    <s v="Anil Matoo"/>
    <s v="Praveen Kuruvalli"/>
    <n v="0"/>
    <n v="0"/>
  </r>
  <r>
    <n v="3938"/>
    <n v="20055660"/>
    <s v="Mohammed Rasheed"/>
    <s v="AM/NS Middle East FZE"/>
    <s v="Onroll"/>
    <s v="M-9"/>
    <n v="9"/>
    <m/>
    <s v="JM"/>
    <s v="M"/>
    <s v="Dubai"/>
    <n v="10"/>
    <m/>
    <x v="10"/>
    <s v="25.01"/>
    <s v="Bibek Chattopadhyay"/>
    <s v="Ashutosh Telang"/>
    <n v="6"/>
    <s v="HR &amp; Administration"/>
    <s v="Corporate Communications"/>
    <s v="25"/>
    <s v="Sales Planning"/>
    <m/>
    <m/>
    <m/>
    <m/>
    <s v="Non Technical Support"/>
    <s v="Sales &amp; Marketing"/>
    <s v="Sales &amp; Marketing"/>
    <s v="73101001"/>
    <s v="Sales &amp; Marketing"/>
    <s v="Dubai"/>
    <d v="1979-12-26T00:00:00"/>
    <s v="43.08"/>
    <d v="2010-03-06T00:00:00"/>
    <d v="2037-12-31T00:00:00"/>
    <m/>
    <d v="2037-12-31T00:00:00"/>
    <n v="5216"/>
    <s v="O+"/>
    <s v="Bachelor Equivalent-2016"/>
    <s v="03.00"/>
    <s v="13.06"/>
    <s v="16.06"/>
    <s v="70495379"/>
    <s v="Chief Marketing Officer - AMNS ME FZE"/>
    <s v="70495720"/>
    <s v="Lead - Sales Planning ME"/>
    <s v="AMNS Middle East FZE"/>
    <s v="0093720082"/>
    <s v="SC-Dubai-Marketing"/>
    <s v="DUBA2081"/>
    <s v="20055663"/>
    <s v="Karamath Syed"/>
    <s v="No"/>
    <s v="rasheed.mohamed@amns.in"/>
    <s v="971507422862"/>
    <s v="25044"/>
    <s v="Dhruv Vyas"/>
    <s v="Anil Matoo"/>
    <s v="Praveen Kuruvalli"/>
    <s v="Dhruv Vyas"/>
    <n v="0"/>
  </r>
  <r>
    <n v="3939"/>
    <n v="20055661"/>
    <s v="Vijay Upadhyay"/>
    <s v="AM/NS Middle East FZE"/>
    <s v="Onroll"/>
    <s v="M-7"/>
    <n v="7"/>
    <m/>
    <s v="MM"/>
    <s v="M"/>
    <s v="Dubai"/>
    <n v="10"/>
    <s v="2504"/>
    <x v="0"/>
    <s v="20.01"/>
    <s v="Akiyo Omori"/>
    <s v="Amit Harlalka"/>
    <n v="5"/>
    <s v="Finance &amp; Accounts"/>
    <s v="Finance &amp; Accounts"/>
    <s v="20"/>
    <s v="Sr. Lead - Finance &amp; Accounts"/>
    <m/>
    <s v=""/>
    <s v=""/>
    <s v=""/>
    <s v="Non Technical Support"/>
    <s v="Sales &amp; Marketing"/>
    <s v="Sales &amp; Marketing"/>
    <s v="73101001"/>
    <s v="Sales &amp; Marketing"/>
    <s v="Dubai"/>
    <d v="1974-09-20T00:00:00"/>
    <s v="49.00"/>
    <d v="2014-08-11T00:00:00"/>
    <d v="2032-09-30T00:00:00"/>
    <m/>
    <d v="2032-09-30T00:00:00"/>
    <n v="3298"/>
    <s v="B+"/>
    <s v="CA Final-1998 , BCom-1994"/>
    <s v="11.11"/>
    <s v="09.01"/>
    <s v="21.00"/>
    <s v="70495379"/>
    <s v="Chief Marketing Officer - AMNS ME FZE"/>
    <s v="70495721"/>
    <s v="Sr. Lead - Finance &amp; Accounts"/>
    <s v="AMNS Middle East FZE"/>
    <s v="0093720082"/>
    <s v="SC-Dubai-Marketing"/>
    <s v="DUBA2081"/>
    <s v="20055663"/>
    <s v="Karamath Syed"/>
    <s v="No"/>
    <s v="vijay.upadhyay@amns.in"/>
    <s v="+971 506581757"/>
    <s v="25047"/>
    <s v="Dhruv Vyas"/>
    <s v="Anil Matoo"/>
    <s v="Praveen Kuruvalli"/>
    <s v="Dhruv Vyas"/>
    <n v="0"/>
  </r>
  <r>
    <n v="3947"/>
    <n v="20055672"/>
    <s v="Shailja Tripathi"/>
    <s v="AM/NS India"/>
    <s v="Onroll"/>
    <s v="M-5"/>
    <n v="5"/>
    <m/>
    <s v="MM"/>
    <s v="F"/>
    <s v="Corporate"/>
    <n v="7"/>
    <s v="2015"/>
    <x v="1"/>
    <s v="22.06"/>
    <s v="Praveen Kuruvalli"/>
    <s v="Ashutosh Telang"/>
    <n v="6"/>
    <s v="HR &amp; Administration"/>
    <s v="Human Resources"/>
    <s v="22"/>
    <s v="Sr. Lead - Compensation &amp; Benefits"/>
    <m/>
    <s v="Human Resources"/>
    <s v=""/>
    <s v=""/>
    <s v="Non Technical Support"/>
    <s v="Human Resources Management"/>
    <s v="Human Resources Management"/>
    <s v="73501001"/>
    <s v="Human Resources"/>
    <s v="Mumbai"/>
    <d v="1983-12-25T00:00:00"/>
    <s v="39.08"/>
    <d v="2021-05-04T00:00:00"/>
    <d v="2041-12-31T00:00:00"/>
    <m/>
    <d v="2041-12-31T00:00:00"/>
    <n v="6677"/>
    <s v="B+"/>
    <s v="PG Diploma in Management-2007 , BE-2005"/>
    <s v="11.00"/>
    <s v="02.04"/>
    <s v="13.04"/>
    <s v="00044377"/>
    <s v="Compensation &amp; Benefits"/>
    <s v="70495735"/>
    <s v="Sr. Lead - Compensation &amp; Benefits"/>
    <s v="Corporate"/>
    <s v="0031950061"/>
    <s v="HZ-Human Resource"/>
    <s v="2000CS"/>
    <s v="20055483"/>
    <s v="Praveen Kuruvalli"/>
    <s v="No"/>
    <s v="shailja.tripathi@amns.in"/>
    <s v="9650975511"/>
    <s v="834807"/>
    <s v="Dhruv Vyas"/>
    <s v="Anil Matoo"/>
    <s v="Praveen Kuruvalli"/>
    <s v="Dhruv Vyas"/>
    <n v="0"/>
  </r>
  <r>
    <n v="3951"/>
    <n v="20055678"/>
    <s v="Ashish Kaushik"/>
    <s v="AM/NS India"/>
    <s v="Onroll"/>
    <s v="M-7"/>
    <n v="7"/>
    <m/>
    <s v="MM"/>
    <s v="M"/>
    <s v="Corporate"/>
    <n v="7"/>
    <s v="2069"/>
    <x v="8"/>
    <s v="25.01"/>
    <s v="Bibek Chattopadhyay"/>
    <s v="Ashutosh Telang"/>
    <n v="6"/>
    <s v="HR &amp; Administration"/>
    <s v="Corporate Communications"/>
    <s v="25"/>
    <s v="Lead - Corporate Communication"/>
    <m/>
    <s v="Corporate Communications"/>
    <s v=""/>
    <s v=""/>
    <s v="Non Technical Support"/>
    <s v="Corporate Communication"/>
    <s v="Corporate Communication"/>
    <s v="74001001"/>
    <s v="Corporate Communication"/>
    <s v="Mumbai"/>
    <d v="1992-03-20T00:00:00"/>
    <s v="31.06"/>
    <d v="2021-05-03T00:00:00"/>
    <d v="2050-03-31T00:00:00"/>
    <m/>
    <d v="2050-03-31T00:00:00"/>
    <n v="9689"/>
    <s v="O+"/>
    <s v="MBA-2016 , BE-2014 , Intermediate-2009 ,"/>
    <s v="04.11"/>
    <s v="02.04"/>
    <s v="07.03"/>
    <s v="70318583"/>
    <s v="Communications &amp; Media Relations"/>
    <s v="70494528"/>
    <s v="Lead - Corporate Communications"/>
    <s v="Corporate"/>
    <s v="0090000016"/>
    <s v="Corporate Steel - Co"/>
    <s v="2000CS"/>
    <s v="20055187"/>
    <s v="Bibek Chattopadhyay"/>
    <s v="No"/>
    <s v="ashish.kaushik@amns.in"/>
    <s v="8800781166"/>
    <s v="832731"/>
    <s v="Dhruv Vyas"/>
    <s v="Anil Matoo"/>
    <s v="Praveen Kuruvalli"/>
    <s v="Dhruv Vyas"/>
    <n v="0"/>
  </r>
  <r>
    <n v="3954"/>
    <n v="20055682"/>
    <s v="Umashankar Rao"/>
    <s v="AM/NS India"/>
    <s v="Onroll"/>
    <s v="M-7"/>
    <n v="7"/>
    <m/>
    <s v="MM"/>
    <s v="M"/>
    <s v="Corporate"/>
    <n v="7"/>
    <s v="2043"/>
    <x v="3"/>
    <s v="31.01"/>
    <s v="Hrishikesh Kamat"/>
    <s v="Hrishikesh Kamat"/>
    <n v="7"/>
    <s v="Procurement"/>
    <s v="Procurement"/>
    <s v="31"/>
    <s v="Program Manager – Procurement"/>
    <m/>
    <s v="Procurement"/>
    <s v="Procurement"/>
    <s v=""/>
    <s v="Non Technical Support"/>
    <s v="Commercial"/>
    <s v="Procurement"/>
    <s v="73803001"/>
    <s v="Procurement"/>
    <s v="Mumbai"/>
    <d v="1986-10-10T00:00:00"/>
    <s v="36.11"/>
    <d v="2021-05-05T00:00:00"/>
    <d v="2044-10-31T00:00:00"/>
    <m/>
    <d v="2044-10-31T00:00:00"/>
    <n v="7712"/>
    <s v="A+"/>
    <s v="BTech-2008 , Intermediate-2003 , SSLC-20"/>
    <s v="16.03"/>
    <s v="02.04"/>
    <s v="18.07"/>
    <s v="00045894"/>
    <s v="Blacks"/>
    <s v="70495741"/>
    <s v="Program Manager – Procurement"/>
    <s v="Corporate"/>
    <s v="0031950059"/>
    <s v="HZ-Hazira Project"/>
    <s v="2000CS"/>
    <s v="20001577"/>
    <s v="Prakash Thakur"/>
    <s v="No"/>
    <s v="umashankar.rao@amns.in"/>
    <s v="7898336863"/>
    <s v="834844"/>
    <s v="Dhruv Vyas"/>
    <s v="Anil Matoo"/>
    <s v="Praveen Kuruvalli"/>
    <s v="Dhruv Vyas"/>
    <n v="0"/>
  </r>
  <r>
    <n v="3955"/>
    <n v="20055683"/>
    <s v="Ch.M.V.S.N. Durga Prasad"/>
    <s v="AM/NS India"/>
    <s v="Onroll"/>
    <s v="M-9"/>
    <n v="9"/>
    <m/>
    <s v="JM"/>
    <s v="M"/>
    <s v="Vizag"/>
    <n v="3"/>
    <s v="2013"/>
    <x v="0"/>
    <s v="20.01"/>
    <s v="Akiyo Omori"/>
    <s v="Amit Harlalka"/>
    <n v="5"/>
    <s v="Finance &amp; Accounts"/>
    <s v="Finance &amp; Accounts"/>
    <s v="20"/>
    <s v="Officer Costing, Budgeting &amp; MIS"/>
    <m/>
    <s v="Finance &amp; Accounts - Vizag"/>
    <s v="Finance &amp; Accounts"/>
    <s v=""/>
    <s v="Non Technical Support"/>
    <s v="Finance &amp; Accounts"/>
    <s v="Costing"/>
    <s v="73906001"/>
    <s v="Costing"/>
    <s v="Vizag"/>
    <d v="1989-07-07T00:00:00"/>
    <s v="34.02"/>
    <d v="2021-05-07T00:00:00"/>
    <d v="2047-07-31T00:00:00"/>
    <m/>
    <d v="2047-07-31T00:00:00"/>
    <n v="8715"/>
    <s v="O+"/>
    <s v="BCom-2013 , CA Final-2013 , CA Inter-201"/>
    <s v="09.01"/>
    <s v="02.04"/>
    <s v="11.05"/>
    <s v="70413458"/>
    <s v="Costing, Budgeting &amp; IDT"/>
    <s v="70495742"/>
    <s v="Officer Costing, Budgeting &amp; MIS"/>
    <s v="Vizag"/>
    <s v="0028030019"/>
    <s v="VIZ-Personnel &amp; Admi"/>
    <s v="2000VIZOPS"/>
    <s v="20006862"/>
    <s v="D Niranjan Patro"/>
    <s v="No"/>
    <s v="mvsn.durgaprasad@amns.in"/>
    <s v="9154869119"/>
    <s v="834827"/>
    <s v="DS Varma"/>
    <s v="Anil Matoo"/>
    <s v="Praveen Kuruvalli"/>
    <s v="Dhruv Vyas"/>
    <n v="0"/>
  </r>
  <r>
    <n v="3958"/>
    <n v="20055687"/>
    <s v="Prateek Singh"/>
    <s v="AM/NS India"/>
    <s v="Onroll"/>
    <s v="M-8"/>
    <n v="8"/>
    <m/>
    <s v="JM"/>
    <s v="M"/>
    <s v="Vizag"/>
    <n v="3"/>
    <s v="2039"/>
    <x v="2"/>
    <s v="43.01"/>
    <s v="Sangeeta Munjal"/>
    <s v="Manu Kapoor"/>
    <n v="10"/>
    <s v="Corporate Affairs"/>
    <s v="Corporate Affairs"/>
    <s v="43"/>
    <s v="Lead – Corporate Affairs"/>
    <m/>
    <s v="Corporate Affairs"/>
    <s v=""/>
    <s v=""/>
    <s v="Non Technical Support"/>
    <s v="Corporate Relations"/>
    <s v="Corporate Affairs"/>
    <s v="74501001"/>
    <s v="Corporate Affairs"/>
    <s v="Raipur"/>
    <d v="1988-02-20T00:00:00"/>
    <s v="35.06"/>
    <d v="2021-05-06T00:00:00"/>
    <d v="2046-02-28T00:00:00"/>
    <m/>
    <d v="2046-02-28T00:00:00"/>
    <n v="8197"/>
    <s v="B+"/>
    <s v="Bachelor Equivalent-2010 , Intermediate-"/>
    <s v="04.08"/>
    <s v="02.04"/>
    <s v="07.00"/>
    <s v="70494938"/>
    <s v="Corporate Affairs"/>
    <s v="70495746"/>
    <s v="Lead – Corporate Affairs"/>
    <s v="Vizag"/>
    <s v="0028030019"/>
    <s v="VIZ-Personnel &amp; Admi"/>
    <s v="2000VIZOPS"/>
    <s v="20057928"/>
    <s v="Manu Kapoor"/>
    <s v="No"/>
    <s v="prateek.singh@amns.in"/>
    <s v="8447748668"/>
    <s v="832732"/>
    <s v="DS Varma"/>
    <s v="Anil Matoo"/>
    <s v="Praveen Kuruvalli"/>
    <s v="Dhruv Vyas"/>
    <n v="0"/>
  </r>
  <r>
    <n v="3959"/>
    <n v="20055688"/>
    <s v="Vibhavana Jaiswal"/>
    <s v="AM/NS India"/>
    <s v="Onroll"/>
    <s v="M-5"/>
    <n v="5"/>
    <m/>
    <s v="MM"/>
    <s v="F"/>
    <s v="Hazira"/>
    <n v="1"/>
    <s v="2270"/>
    <x v="25"/>
    <s v="38.01"/>
    <s v="Hrishikesh Kamat"/>
    <s v="Hrishikesh Kamat"/>
    <n v="7"/>
    <s v="Procurement"/>
    <s v="Logistics"/>
    <s v="38"/>
    <s v="Head - Logistics"/>
    <m/>
    <s v="Logistics"/>
    <s v="Logistics"/>
    <s v=""/>
    <s v="Non Technical Support"/>
    <s v=""/>
    <s v=""/>
    <s v="70494644"/>
    <s v="Chief Procurement Officer"/>
    <s v="AM/NS Hazira"/>
    <d v="1983-05-18T00:00:00"/>
    <s v="40.04"/>
    <d v="2021-05-15T00:00:00"/>
    <d v="2041-05-31T00:00:00"/>
    <m/>
    <d v="2041-05-31T00:00:00"/>
    <n v="6463"/>
    <s v="B+"/>
    <s v="MBA-2010 , MSc-2007 , BSc-2005 , Interme"/>
    <s v="10.05"/>
    <s v="02.04"/>
    <s v="12.09"/>
    <s v="70495712"/>
    <s v="Logistics"/>
    <s v="70495744"/>
    <s v="Head - Logistics"/>
    <s v="Hazira"/>
    <s v="0031950053"/>
    <s v="HZ-Logistics"/>
    <s v="2000HWO"/>
    <s v="20055090"/>
    <s v="Hrishikesh Kamat"/>
    <s v="No"/>
    <s v="vibhavana.jaiswal@amns.in"/>
    <s v="7486036255"/>
    <s v="834817"/>
    <s v="Dhruv Vyas"/>
    <s v="Anil Matoo"/>
    <s v="Praveen Kuruvalli"/>
    <s v="Dhruv Vyas"/>
    <n v="0"/>
  </r>
  <r>
    <n v="3962"/>
    <n v="20055691"/>
    <s v="Dipesh Sudamrao Rathod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c HED"/>
    <m/>
    <s v="Procurement MRO Hazira"/>
    <s v="Procurement"/>
    <s v=""/>
    <s v="Non Technical Support"/>
    <s v="Commercial"/>
    <s v="Procurement"/>
    <s v="73803001"/>
    <s v="Procurement"/>
    <s v="AM/NS Hazira"/>
    <d v="1987-04-25T00:00:00"/>
    <s v="36.04"/>
    <d v="2021-05-17T00:00:00"/>
    <d v="2045-04-30T00:00:00"/>
    <m/>
    <d v="2045-04-30T00:00:00"/>
    <n v="7893"/>
    <s v="B-"/>
    <s v="BE-2009 , Diploma-2005 , SSLC-2002"/>
    <s v="12.06"/>
    <s v="02.04"/>
    <s v="14.09"/>
    <s v="70072410"/>
    <s v="Rolling &amp; Finishing including CRM, Plate"/>
    <s v="70495749"/>
    <s v="Lead - Proc HED"/>
    <s v="Hazira"/>
    <s v="0031950048"/>
    <s v="HZ-Procurment Depart"/>
    <s v="2000HWO"/>
    <s v="20002323"/>
    <s v="Balaji Somvanshi"/>
    <s v="No"/>
    <s v="dipesh.rathod@amns.in"/>
    <s v="7486036256"/>
    <s v="834805"/>
    <s v="Dhruv Vyas"/>
    <s v="Anil Matoo"/>
    <s v="Praveen Kuruvalli"/>
    <s v="Dhruv Vyas"/>
    <n v="0"/>
  </r>
  <r>
    <n v="3963"/>
    <n v="20055692"/>
    <s v="Rajiv Ranjan"/>
    <s v="AM/NS India"/>
    <s v="Onroll"/>
    <s v="M-5"/>
    <n v="5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Head – Procurement Odisha"/>
    <m/>
    <s v="Procurement"/>
    <s v="Procurement"/>
    <s v=""/>
    <s v="Non Technical Support"/>
    <s v=""/>
    <s v=""/>
    <s v="70494644"/>
    <s v="Chief Procurement Officer"/>
    <s v="Paradeep"/>
    <d v="1971-10-05T00:00:00"/>
    <s v="51.11"/>
    <d v="2021-05-17T00:00:00"/>
    <d v="2029-10-31T00:00:00"/>
    <m/>
    <d v="2029-10-31T00:00:00"/>
    <n v="2233"/>
    <s v="B+"/>
    <s v="PG Diploma-1996 , BSc-1990 , Intermediat"/>
    <s v="29.00"/>
    <s v="02.04"/>
    <s v="31.03"/>
    <s v="70407583"/>
    <s v="Procurement - Odisha Asset"/>
    <s v="70495750"/>
    <s v="Head – Procurement Odisha"/>
    <s v="Odisha"/>
    <s v="0022030019"/>
    <s v="PDP-HR &amp; Admn"/>
    <s v="2000STORIS"/>
    <s v="20055090"/>
    <s v="Hrishikesh Kamat"/>
    <s v="No"/>
    <s v="rajiv.ranjan2@amns.in"/>
    <s v="7381362860"/>
    <s v="834845"/>
    <s v="Sunila Das"/>
    <s v="Anil Matoo"/>
    <s v="Praveen Kuruvalli"/>
    <s v="Sunila Das"/>
    <n v="0"/>
  </r>
  <r>
    <n v="3966"/>
    <n v="20055696"/>
    <s v="Rupesh Shivaji Pol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Coated Products"/>
    <m/>
    <s v="Technical Marketing &amp; Application Engineering"/>
    <s v="Technical Marketing &amp; Application Engineering"/>
    <s v=""/>
    <s v="Non Technical Support"/>
    <s v="Sales &amp; Marketing"/>
    <s v="Sales"/>
    <s v="73104004"/>
    <s v="OEM Sales"/>
    <s v="Pune"/>
    <d v="1980-05-29T00:00:00"/>
    <s v="43.03"/>
    <d v="2021-05-24T00:00:00"/>
    <d v="2038-05-31T00:00:00"/>
    <m/>
    <d v="2038-05-31T00:00:00"/>
    <n v="5367"/>
    <s v="AB+"/>
    <s v="MTech-2009 , BE-2007 , Intermediate-2000"/>
    <s v="11.07"/>
    <s v="02.03"/>
    <s v="13.10"/>
    <s v="00052471"/>
    <s v="Coated &amp; OC"/>
    <s v="70495788"/>
    <s v="Sr. Lead - Coated Products"/>
    <s v="Hazira"/>
    <s v="0031950057"/>
    <s v="HZ-HRC - Marketing"/>
    <s v="2000HWO"/>
    <s v="20056431"/>
    <s v="Prajakta Wagholikar"/>
    <s v="No"/>
    <s v="rupesh.pol@amns.in"/>
    <s v="9175471411"/>
    <s v="834815"/>
    <s v="Dhruv Vyas"/>
    <s v="Anil Matoo"/>
    <s v="Praveen Kuruvalli"/>
    <s v="Dhruv Vyas"/>
    <n v="0"/>
  </r>
  <r>
    <n v="3968"/>
    <n v="20055698"/>
    <s v="Turiska Vinod Chhajer"/>
    <s v="AM/NS India"/>
    <s v="Onroll"/>
    <s v="M-9"/>
    <n v="9"/>
    <m/>
    <s v="JM"/>
    <s v="F"/>
    <s v="Corporate"/>
    <n v="7"/>
    <s v="2014"/>
    <x v="16"/>
    <s v="03.01"/>
    <s v="Nilesh Likhite"/>
    <s v="Dilip Oommen"/>
    <n v="1"/>
    <s v="CEO Office"/>
    <s v="Internal Audit"/>
    <s v="03"/>
    <s v="Lead Internal Audit"/>
    <m/>
    <s v="Internal Audit"/>
    <s v=""/>
    <s v=""/>
    <s v="Non Technical Support"/>
    <s v="Assurance &amp; Cost Control"/>
    <s v="Assurance &amp; Cost Control"/>
    <s v="73401001"/>
    <s v="Assurance &amp; Cost Control"/>
    <s v="AM/NS Hazira"/>
    <d v="1994-12-24T00:00:00"/>
    <s v="28.08"/>
    <d v="2021-06-01T00:00:00"/>
    <d v="2052-12-31T00:00:00"/>
    <m/>
    <d v="2052-12-31T00:00:00"/>
    <n v="10695"/>
    <s v="AB+"/>
    <s v="CA Final-2016 , BCom-2016 , Intermediate"/>
    <s v="03.09"/>
    <s v="02.03"/>
    <s v="06.00"/>
    <s v="00044330"/>
    <s v="Internal Audit - Hazira"/>
    <s v="250621"/>
    <s v="Lead Internal Audit"/>
    <s v="Hazira"/>
    <s v="0090000035"/>
    <s v="Internal Audit"/>
    <s v="2000HWO"/>
    <s v="20028777"/>
    <s v="Narendra Dugar"/>
    <s v="No"/>
    <s v="turiska.chhajer@amns.in"/>
    <s v="9586625308"/>
    <s v="838204"/>
    <s v="Dhruv Vyas"/>
    <s v="Anil Matoo"/>
    <s v="Praveen Kuruvalli"/>
    <s v="Dhruv Vyas"/>
    <n v="0"/>
  </r>
  <r>
    <n v="3973"/>
    <n v="20055706"/>
    <s v="Himalkumar Madhusudan Sheth"/>
    <s v="AM/NS India"/>
    <s v="Onroll"/>
    <s v="M-5"/>
    <n v="5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– Capex Procurement"/>
    <m/>
    <s v="Capex Procurement"/>
    <s v="Capex Procurement"/>
    <s v=""/>
    <s v="Non Technical Support"/>
    <s v="Operations"/>
    <s v="Operations"/>
    <s v="72103001"/>
    <s v="Operations"/>
    <s v="Hazira"/>
    <d v="1977-05-09T00:00:00"/>
    <s v="46.04"/>
    <d v="2021-06-01T00:00:00"/>
    <d v="2035-05-31T00:00:00"/>
    <m/>
    <d v="2035-05-31T00:00:00"/>
    <n v="4271"/>
    <s v="A+"/>
    <s v="BE-2005 , Diploma-1995 , SSLC-1992"/>
    <s v="24.10"/>
    <s v="02.03"/>
    <s v="27.01"/>
    <s v="00049337"/>
    <s v="Capex Procurement"/>
    <s v="251052"/>
    <s v="Sr. Lead – Capex Procurement"/>
    <s v="Hazira"/>
    <s v="0031950059"/>
    <s v="HZ-Hazira Project"/>
    <s v="2000HWO"/>
    <s v="20052261"/>
    <s v="Aruni Mishra"/>
    <s v="No"/>
    <s v="himal.sheth@amns.in"/>
    <s v="9879101404"/>
    <s v="840693"/>
    <s v="Dhruv Vyas"/>
    <s v="Anil Matoo"/>
    <s v="Praveen Kuruvalli"/>
    <s v="Dhruv Vyas"/>
    <n v="0"/>
  </r>
  <r>
    <n v="3974"/>
    <n v="20055709"/>
    <s v="S Mohan"/>
    <s v="AM/NS India"/>
    <s v="Onroll"/>
    <s v="M-9"/>
    <n v="9"/>
    <m/>
    <s v="J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Lead - Finance &amp; Accounts"/>
    <m/>
    <s v="Working Capital"/>
    <s v="Service Centers"/>
    <s v=""/>
    <s v="Non Technical Support"/>
    <s v="Finance &amp; Accounts"/>
    <s v="Finance &amp; Accounts"/>
    <s v="73901001"/>
    <s v="Finance &amp; Accounts"/>
    <s v="Chennai"/>
    <d v="1988-12-01T00:00:00"/>
    <s v="34.09"/>
    <d v="2021-06-04T00:00:00"/>
    <d v="2046-11-30T00:00:00"/>
    <m/>
    <d v="2046-11-30T00:00:00"/>
    <n v="8472"/>
    <s v="O+"/>
    <s v="MCom-2010 , BCom-2008 , Intermediate-200"/>
    <s v="11.09"/>
    <s v="02.03"/>
    <s v="14.00"/>
    <s v="00043795"/>
    <s v="F&amp;A Hypermart &amp; Service Centre - 1"/>
    <s v="251059"/>
    <s v="Lead - Finance &amp; Accounts"/>
    <s v="Service Center"/>
    <s v="0040030019"/>
    <s v="SC-Chennai-Op1-HR-Ad"/>
    <s v="2000SPRJ"/>
    <s v="20055201"/>
    <s v="Deepak Sahu"/>
    <s v="No"/>
    <s v="mohankumar.s@amns.in"/>
    <s v="9176147832"/>
    <s v="840828"/>
    <s v="Dhruv Vyas"/>
    <s v="Anil Matoo"/>
    <s v="Praveen Kuruvalli"/>
    <s v="Dhruv Vyas"/>
    <n v="0"/>
  </r>
  <r>
    <n v="3977"/>
    <n v="20055712"/>
    <s v="Ravi Goyal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Officer – Capex Procurement"/>
    <m/>
    <s v="Capex Procurement"/>
    <s v="Capex Procurement"/>
    <s v=""/>
    <s v="Non Technical Support"/>
    <s v="Operations"/>
    <s v="Operations"/>
    <s v="72103001"/>
    <s v="Operations"/>
    <s v="Hazira"/>
    <d v="1989-08-09T00:00:00"/>
    <s v="34.01"/>
    <d v="2021-06-21T00:00:00"/>
    <d v="2047-08-31T00:00:00"/>
    <m/>
    <d v="2047-08-31T00:00:00"/>
    <n v="8746"/>
    <s v="O+"/>
    <s v="BTech-2010 , Intermediate-2006 , SSLC-20"/>
    <s v="10.08"/>
    <s v="02.03"/>
    <s v="12.11"/>
    <s v="00049342"/>
    <s v="Capex Procurement"/>
    <s v="251746"/>
    <s v="Officer – Capex Procurement"/>
    <s v="Hazira"/>
    <s v="0031950059"/>
    <s v="HZ-Hazira Project"/>
    <s v="2000HWO"/>
    <s v="20055706"/>
    <s v="HimalKumar Madhusudan Sheth"/>
    <s v="No"/>
    <s v="ravi.goyal@amns.in"/>
    <s v="9040094622"/>
    <s v="841084"/>
    <s v="Dhruv Vyas"/>
    <s v="Anil Matoo"/>
    <s v="Praveen Kuruvalli"/>
    <s v="Dhruv Vyas"/>
    <n v="0"/>
  </r>
  <r>
    <n v="3979"/>
    <n v="20055714"/>
    <s v="Dipakkumar Shah"/>
    <s v="AM/NS India"/>
    <s v="Onroll"/>
    <s v="M-3"/>
    <n v="3"/>
    <m/>
    <s v="SM"/>
    <s v="M"/>
    <s v="Hazira"/>
    <n v="1"/>
    <s v="2039"/>
    <x v="2"/>
    <s v="43.01"/>
    <s v="Sangeeta Munjal"/>
    <s v="Manu Kapoor"/>
    <n v="10"/>
    <s v="Corporate Affairs"/>
    <s v="Corporate Affairs"/>
    <s v="43"/>
    <s v="Senior Advisor - Corporate Affairs"/>
    <m/>
    <s v="Corporate Affairs"/>
    <s v=""/>
    <s v=""/>
    <s v="Non Technical Support"/>
    <s v="Corporate Relations"/>
    <s v="Corporate Affairs"/>
    <s v="74501001"/>
    <s v="Corporate Affairs"/>
    <s v="Ahmedabad"/>
    <d v="1961-11-30T00:00:00"/>
    <s v="61.09"/>
    <d v="2021-06-14T00:00:00"/>
    <d v="2019-11-30T00:00:00"/>
    <d v="2023-12-02T00:00:00"/>
    <d v="2023-12-02T00:00:00"/>
    <n v="73"/>
    <s v="A+"/>
    <s v="MTech-1986 , BE-1982 , Intermediate-1978"/>
    <s v="35.00"/>
    <s v="02.03"/>
    <s v="37.02"/>
    <s v="00047082"/>
    <s v="Corporate Affairs, Gujarat"/>
    <s v="251745"/>
    <s v="Senior Advisor - Corporate Affairs"/>
    <s v="Confidential Payroll"/>
    <s v="0090000021"/>
    <s v="Corporate Affairs"/>
    <s v="2000HWO"/>
    <s v="20057928"/>
    <s v="Manu Kapoor"/>
    <s v="No"/>
    <s v="dipak.shah@amns.in"/>
    <s v="9099002828"/>
    <s v="841143"/>
    <s v="Dhruv Vyas"/>
    <s v="Anil Matoo"/>
    <s v="Praveen Kuruvalli"/>
    <s v="Dhruv Vyas"/>
    <n v="0"/>
  </r>
  <r>
    <n v="3983"/>
    <n v="20055720"/>
    <s v="Sambit Kumar Mohapatra"/>
    <s v="AM/NS India"/>
    <s v="PDA"/>
    <s v="PDA"/>
    <n v="7"/>
    <m/>
    <s v="MM"/>
    <s v="M"/>
    <s v="Mining"/>
    <n v="8"/>
    <s v="2013"/>
    <x v="0"/>
    <s v="20.01"/>
    <s v="Akiyo Omori"/>
    <s v="Amit Harlalka"/>
    <n v="5"/>
    <s v="Finance &amp; Accounts"/>
    <s v="Finance &amp; Accounts"/>
    <s v="20"/>
    <s v="Lead - Finance"/>
    <m/>
    <s v="Finance &amp; Account"/>
    <s v=""/>
    <s v=""/>
    <s v="Non Technical Support"/>
    <s v="Commercial"/>
    <s v="Commercial"/>
    <s v="73801001"/>
    <s v="Commercial"/>
    <s v="Barbil"/>
    <d v="1981-07-01T00:00:00"/>
    <s v="42.02"/>
    <d v="2021-06-25T00:00:00"/>
    <d v="2039-06-30T00:00:00"/>
    <m/>
    <d v="2039-06-30T00:00:00"/>
    <n v="5762"/>
    <s v=""/>
    <s v="CA Final-2008 , CA Inter-2004 , BCom-200"/>
    <s v="10.11"/>
    <s v="02.02"/>
    <s v="13.01"/>
    <s v="00048985"/>
    <s v="Finance &amp; Accounting"/>
    <s v="252530"/>
    <s v="Lead - Finance"/>
    <s v="Non-payroll-relevant"/>
    <s v="0011000018"/>
    <s v="Sagasahi Mine HR"/>
    <s v="2066BARB"/>
    <s v="20055801"/>
    <s v="Sanjive Kumar Singh"/>
    <s v="No"/>
    <s v="sambitkumar.mohapatra@amns.in"/>
    <s v="9439433302"/>
    <s v="842041"/>
    <s v="Pramod Sinha"/>
    <s v="Anil Matoo"/>
    <s v="Praveen Kuruvalli"/>
    <s v="Pramod Sinha"/>
    <n v="0"/>
  </r>
  <r>
    <n v="3988"/>
    <n v="20055727"/>
    <s v="Javed Akhtar"/>
    <s v="AM/NS India"/>
    <s v="Onroll"/>
    <s v="M-6"/>
    <n v="6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Services"/>
    <m/>
    <s v="Capex Procurement"/>
    <s v="Capex Procurement"/>
    <s v=""/>
    <s v="Non Technical Support"/>
    <s v="Operations"/>
    <s v="Operations"/>
    <s v="72103001"/>
    <s v="Operations"/>
    <s v="Hazira"/>
    <d v="1987-04-13T00:00:00"/>
    <s v="36.05"/>
    <d v="2021-07-05T00:00:00"/>
    <d v="2045-04-30T00:00:00"/>
    <m/>
    <d v="2045-04-30T00:00:00"/>
    <n v="7893"/>
    <s v="A+"/>
    <s v="BE-2009 , Intermediate-2005 , SSLC-2003"/>
    <s v="12.01"/>
    <s v="02.02"/>
    <s v="14.03"/>
    <s v="00049360"/>
    <s v="Capex Services"/>
    <s v="252800"/>
    <s v="Lead – Capex Services"/>
    <s v="Hazira"/>
    <s v="0031950059"/>
    <s v="HZ-Hazira Project"/>
    <s v="2000HWO"/>
    <s v="20052261"/>
    <s v="Aruni Mishra"/>
    <s v="No"/>
    <s v="javed.akhtar@amns.in"/>
    <s v="7486036280"/>
    <s v="843624"/>
    <s v="Dhruv Vyas"/>
    <s v="Anil Matoo"/>
    <s v="Praveen Kuruvalli"/>
    <s v="Dhruv Vyas"/>
    <n v="0"/>
  </r>
  <r>
    <n v="3989"/>
    <n v="20055728"/>
    <s v="Mahebub Vahora"/>
    <s v="AM/NS India"/>
    <s v="Onroll"/>
    <s v="M-5"/>
    <n v="5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- Capex Procurement"/>
    <m/>
    <s v="Capex Procurement"/>
    <s v="Capex Procurement"/>
    <s v=""/>
    <s v="Non Technical Support"/>
    <s v="Operations"/>
    <s v="Operations"/>
    <s v="72103001"/>
    <s v="Operations"/>
    <s v="Hazira"/>
    <d v="1979-04-03T00:00:00"/>
    <s v="44.05"/>
    <d v="2021-07-05T00:00:00"/>
    <d v="2037-04-30T00:00:00"/>
    <m/>
    <d v="2037-04-30T00:00:00"/>
    <n v="4971"/>
    <s v="A+"/>
    <s v="ICWA Final-2018 , MBA-2003 , BE-2000 , I"/>
    <s v="12.05"/>
    <s v="02.02"/>
    <s v="14.07"/>
    <s v="00049344"/>
    <s v="Capex Procurement"/>
    <s v="252799"/>
    <s v="Sr. Lead - Capex Procurement"/>
    <s v="Hazira"/>
    <s v="0031950059"/>
    <s v="HZ-Hazira Project"/>
    <s v="2000HWO"/>
    <s v="20052261"/>
    <s v="Aruni Mishra"/>
    <s v="No"/>
    <s v="mahebub.vahora@amns.in"/>
    <s v="7486036318"/>
    <s v="843630"/>
    <s v="Dhruv Vyas"/>
    <s v="Anil Matoo"/>
    <s v="Praveen Kuruvalli"/>
    <s v="Dhruv Vyas"/>
    <n v="0"/>
  </r>
  <r>
    <n v="3998"/>
    <n v="20055739"/>
    <s v="Dayaram Meghwal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– Inbound/Receipts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89-02-12T00:00:00"/>
    <s v="34.07"/>
    <d v="2021-07-12T00:00:00"/>
    <d v="2047-02-28T00:00:00"/>
    <m/>
    <d v="2047-02-28T00:00:00"/>
    <n v="8562"/>
    <s v="O+"/>
    <s v="Diploma-2010 , Intermediate-2007 , SSLC-"/>
    <s v="10.10"/>
    <s v="02.02"/>
    <s v="13.00"/>
    <s v="00053278"/>
    <s v="GRN/Documentation/Issue - Plant A"/>
    <s v="253466"/>
    <s v="Section Officer – Inbound/Receipts"/>
    <s v="Hazira"/>
    <s v="0031950049"/>
    <s v="HZ-Central Stores"/>
    <s v="2000HW0"/>
    <s v="20002587"/>
    <s v="Seema Mehta"/>
    <s v="No"/>
    <s v="dayaram.meghwal@amns.in"/>
    <s v="7486036326"/>
    <s v="844769"/>
    <s v="Dhruv Vyas"/>
    <s v="Anil Matoo"/>
    <s v="Praveen Kuruvalli"/>
    <s v="Dhruv Vyas"/>
    <n v="0"/>
  </r>
  <r>
    <n v="4000"/>
    <n v="20055742"/>
    <s v="Naresh Yadav"/>
    <s v="AM/NS India"/>
    <s v="Onroll"/>
    <s v="M-6"/>
    <n v="6"/>
    <m/>
    <s v="MM"/>
    <s v="M"/>
    <s v="Hazira"/>
    <n v="1"/>
    <s v="2096"/>
    <x v="14"/>
    <s v="36.02"/>
    <s v="Deepak Sindkar"/>
    <s v="Hrishikesh Kamat"/>
    <n v="7"/>
    <s v="Procurement"/>
    <s v="Raw Materials"/>
    <s v="36"/>
    <s v="Sr. Lead - Power Management"/>
    <m/>
    <s v="Power &amp; Gas"/>
    <s v="Power &amp; Gas"/>
    <s v=""/>
    <s v="Non Technical Support"/>
    <s v="Commercial"/>
    <s v="Procurement"/>
    <s v="73803001"/>
    <s v="Procurement"/>
    <s v="AM/NS Hazira"/>
    <d v="1985-08-24T00:00:00"/>
    <s v="38.00"/>
    <d v="2021-08-02T00:00:00"/>
    <d v="2043-08-31T00:00:00"/>
    <m/>
    <d v="2043-08-31T00:00:00"/>
    <n v="7285"/>
    <s v="B+"/>
    <s v="MTech-2015 , PG Diploma-2012 , BE-2007 ,"/>
    <s v="14.01"/>
    <s v="02.01"/>
    <s v="16.02"/>
    <s v="00049516"/>
    <s v="Power &amp; Gas"/>
    <s v="253472"/>
    <s v="Sr. Lead - Power Management"/>
    <s v="Hazira"/>
    <s v="0031950048"/>
    <s v="HZ-Procurment Depart"/>
    <s v="2000HW0"/>
    <s v="20004612"/>
    <s v="Ramesh Chabhadiya"/>
    <s v="No"/>
    <s v="naresh.yadav@amns.in"/>
    <s v="7486036332"/>
    <s v="844773"/>
    <s v="Dhruv Vyas"/>
    <s v="Anil Matoo"/>
    <s v="Praveen Kuruvalli"/>
    <s v="Dhruv Vyas"/>
    <n v="0"/>
  </r>
  <r>
    <n v="4001"/>
    <n v="20055743"/>
    <s v="Suyojit Gaikwad"/>
    <s v="AM/NS India"/>
    <s v="Onroll"/>
    <s v="M-8"/>
    <n v="8"/>
    <m/>
    <s v="JM"/>
    <s v="M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Chairman's Secretariat"/>
    <s v="Chairman's Secretariat"/>
    <s v="74701000"/>
    <s v="Chairman's Secretariat"/>
    <s v="AM/NS Hazira"/>
    <d v="1987-09-27T00:00:00"/>
    <s v="35.11"/>
    <d v="2021-07-12T00:00:00"/>
    <d v="2045-09-30T00:00:00"/>
    <m/>
    <d v="2045-09-30T00:00:00"/>
    <n v="8046"/>
    <s v="B+"/>
    <s v="MBA-2014 , BE-2011 , Intermediate-2005 ,"/>
    <s v="08.00"/>
    <s v="02.02"/>
    <s v="10.01"/>
    <s v="00044330"/>
    <s v="Internal Audit - Hazira"/>
    <s v="253473"/>
    <s v="Lead - Internal Audit"/>
    <s v="Hazira"/>
    <s v="0090000035"/>
    <s v="Internal Audit"/>
    <s v="2000HW0"/>
    <s v="20028777"/>
    <s v="Narendra Dugar"/>
    <s v="No"/>
    <s v="suyojit.gaikwad@amns.in"/>
    <s v="7486036324"/>
    <s v="844776"/>
    <s v="Dhruv Vyas"/>
    <s v="Anil Matoo"/>
    <s v="Praveen Kuruvalli"/>
    <s v="Dhruv Vyas"/>
    <n v="0"/>
  </r>
  <r>
    <n v="4003"/>
    <n v="20055745"/>
    <s v="Ajay Kumar Sharma"/>
    <s v="AM/NS India"/>
    <s v="Onroll"/>
    <s v="M-6"/>
    <n v="6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Internal Auditor Odisha"/>
    <m/>
    <s v="Internal Audit"/>
    <s v=""/>
    <s v=""/>
    <s v="Non Technical Support"/>
    <s v="Chairman's Secretariat"/>
    <s v="Chairman's Secretariat"/>
    <s v="74701000"/>
    <s v="Chairman's Secretariat"/>
    <s v="Paradeep"/>
    <d v="1974-12-13T00:00:00"/>
    <s v="48.09"/>
    <d v="2021-07-01T00:00:00"/>
    <d v="2032-12-31T00:00:00"/>
    <m/>
    <d v="2032-12-31T00:00:00"/>
    <n v="3390"/>
    <s v="A+"/>
    <s v="CA Final-2008 , LLB-1999 , BCom-1995 , I"/>
    <s v="09.06"/>
    <s v="02.02"/>
    <s v="11.08"/>
    <s v="00044333"/>
    <s v="Internal Audit -Odisha"/>
    <s v="253558"/>
    <s v="Sr. Lead Internal Auditor Odisha"/>
    <s v="Odisha"/>
    <s v="0090000035"/>
    <s v="Internal Audit"/>
    <s v="2000STORIS"/>
    <s v="20055486"/>
    <s v="Nilesh Likhite"/>
    <s v="No"/>
    <s v="ajay.sharma1@amns.in"/>
    <s v="8093061480"/>
    <s v="844910"/>
    <s v="Sunila Das"/>
    <s v="Anil Matoo"/>
    <s v="Praveen Kuruvalli"/>
    <s v="Sunila Das"/>
    <n v="0"/>
  </r>
  <r>
    <n v="4017"/>
    <n v="20055763"/>
    <s v="Debashis Mohapatra"/>
    <s v="AM/NS India"/>
    <s v="Onroll"/>
    <s v="M-6"/>
    <n v="6"/>
    <m/>
    <s v="MM"/>
    <s v="M"/>
    <s v="Hazira"/>
    <n v="1"/>
    <s v="2715"/>
    <x v="13"/>
    <s v="37.01"/>
    <s v="Aruni Mishra"/>
    <s v="Hrishikesh Kamat"/>
    <n v="7"/>
    <s v="Procurement"/>
    <s v="Secondary Sales"/>
    <s v="37"/>
    <s v="Sr. Lead - Secondary Sales"/>
    <m/>
    <s v="Procurement"/>
    <s v=""/>
    <s v=""/>
    <s v="Non Technical Support"/>
    <s v=""/>
    <s v=""/>
    <s v=""/>
    <s v=""/>
    <s v="Hazira"/>
    <d v="1984-06-26T00:00:00"/>
    <s v="39.02"/>
    <d v="2021-07-21T00:00:00"/>
    <d v="2042-06-30T00:00:00"/>
    <m/>
    <d v="2042-06-30T00:00:00"/>
    <n v="6858"/>
    <s v="B+"/>
    <s v="MBA-2008 , BE-2006 , Intermediate-2001 ,"/>
    <s v="13.01"/>
    <s v="02.02"/>
    <s v="15.03"/>
    <s v="00049357"/>
    <s v="Secondary Sales"/>
    <s v="253852"/>
    <s v="Sr. Lead - Secondary Sales"/>
    <s v="Hazira"/>
    <s v="0080000006"/>
    <s v="Secondary Sales - In"/>
    <s v="2000HWO"/>
    <s v="20052261"/>
    <s v="Aruni Mishra"/>
    <s v="No"/>
    <s v="debashis.mohapatra@amns.in"/>
    <s v="9328882489"/>
    <s v="845534"/>
    <s v="Dhruv Vyas"/>
    <s v="Anil Matoo"/>
    <s v="Praveen Kuruvalli"/>
    <s v="Dhruv Vyas"/>
    <n v="0"/>
  </r>
  <r>
    <n v="4042"/>
    <n v="20055799"/>
    <s v="Swasti Panchal"/>
    <s v="AM/NS India"/>
    <s v="Onroll"/>
    <s v="M-10"/>
    <n v="10"/>
    <m/>
    <s v="JM"/>
    <s v="F"/>
    <s v="Hazira"/>
    <n v="1"/>
    <s v="2722"/>
    <x v="20"/>
    <s v="28.02"/>
    <s v="Anil Matoo"/>
    <s v="Ashutosh Telang"/>
    <n v="6"/>
    <s v="HR &amp; Administration"/>
    <s v="Academy for Skill Development"/>
    <n v="28"/>
    <s v="Graduate Engineer Trainee 2021"/>
    <m/>
    <s v="Human Resources"/>
    <s v=""/>
    <s v=""/>
    <s v="Non Technical Support"/>
    <s v="Human Resources Management"/>
    <s v="Human Resources Management"/>
    <s v="73501002"/>
    <s v="Human Resources Operation"/>
    <s v="Hazira"/>
    <d v="2000-08-15T00:00:00"/>
    <s v="23.01"/>
    <d v="2021-08-02T00:00:00"/>
    <d v="2058-08-31T00:00:00"/>
    <m/>
    <d v="2058-08-31T00:00:00"/>
    <n v="12764"/>
    <s v="B-"/>
    <s v="BTech-2017 , BTech-2017 , Intermediate-2"/>
    <s v=""/>
    <s v="02.01"/>
    <s v="02.01"/>
    <s v="70495652"/>
    <s v="Academy for Skill Development"/>
    <s v="255035"/>
    <s v="Graduate Engineer Trainee 2021"/>
    <s v="Hazira"/>
    <s v="0031950061"/>
    <s v="HZ-Human Resource"/>
    <s v="2000HWO"/>
    <s v="20054937"/>
    <s v="Hitesh Kumar Yadav"/>
    <s v="No"/>
    <s v="swasti.panchal@amns.in"/>
    <s v="9328894660"/>
    <s v="846830"/>
    <s v="Dhruv Vyas"/>
    <s v="Anil Matoo"/>
    <s v="Praveen Kuruvalli"/>
    <s v="Dhruv Vyas"/>
    <n v="0"/>
  </r>
  <r>
    <n v="4043"/>
    <n v="20055801"/>
    <s v="Sanjive Kumar Singh"/>
    <s v="AM/NS India"/>
    <s v="Onroll"/>
    <s v="M-4"/>
    <n v="4"/>
    <m/>
    <s v="SM"/>
    <s v="M"/>
    <s v="Odisha"/>
    <n v="2"/>
    <s v="2013"/>
    <x v="0"/>
    <s v="20.01"/>
    <s v="Akiyo Omori"/>
    <s v="Amit Harlalka"/>
    <n v="5"/>
    <s v="Finance &amp; Accounts"/>
    <s v="Finance &amp; Accounts"/>
    <s v="20"/>
    <s v="Head - Finance &amp; Accounts Odisha"/>
    <m/>
    <s v="Finance &amp; Accounts - Odisha"/>
    <s v="Finance &amp; Accounts"/>
    <s v=""/>
    <s v="Non Technical Support"/>
    <s v="Finance &amp; Accounts"/>
    <s v="Finance &amp; Accounts"/>
    <s v="73901001"/>
    <s v="Finance &amp; Accounts"/>
    <s v="Paradeep"/>
    <d v="1974-03-15T00:00:00"/>
    <s v="49.06"/>
    <d v="2021-07-22T00:00:00"/>
    <d v="2032-03-31T00:00:00"/>
    <m/>
    <d v="2032-03-31T00:00:00"/>
    <n v="3115"/>
    <s v="O+"/>
    <s v="CA Final-1997 , ICWA Inter-1996 , BCom-1"/>
    <s v="23.08"/>
    <s v="02.01"/>
    <s v="25.09"/>
    <s v="70234933"/>
    <s v="Finance &amp; Accounts - Odisha"/>
    <s v="255232"/>
    <s v="Head - Finance &amp; Accounts Odisha"/>
    <s v="Odisha"/>
    <s v="0022030019"/>
    <s v="PDP-HR &amp; Admn"/>
    <s v="2000STORIS"/>
    <s v="20057933"/>
    <s v="Akiyo Omori"/>
    <s v="No"/>
    <s v="sanjive.singh@amns.in"/>
    <s v="8093061471"/>
    <s v="847478"/>
    <s v="Sunila Das"/>
    <s v="Anil Matoo"/>
    <s v="Praveen Kuruvalli"/>
    <s v="Sunila Das"/>
    <n v="0"/>
  </r>
  <r>
    <n v="4044"/>
    <n v="20055802"/>
    <s v="Pawan Kumar Baid"/>
    <s v="AM/NS India"/>
    <s v="Onroll"/>
    <s v="M-6"/>
    <n v="6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Internal Audit Corporate"/>
    <m/>
    <s v="Internal Audit"/>
    <s v=""/>
    <s v=""/>
    <s v="Non Technical Support"/>
    <s v="Chairman's Secretariat"/>
    <s v="Chairman's Secretariat"/>
    <s v="74701000"/>
    <s v="Chairman's Secretariat"/>
    <s v="Mumbai"/>
    <d v="1986-12-23T00:00:00"/>
    <s v="36.08"/>
    <d v="2021-08-02T00:00:00"/>
    <d v="2044-12-31T00:00:00"/>
    <m/>
    <d v="2044-12-31T00:00:00"/>
    <n v="7773"/>
    <s v="B+"/>
    <s v="CA Final-2011 , BCom-2008 , Intermediate"/>
    <s v="09.02"/>
    <s v="02.01"/>
    <s v="11.03"/>
    <s v="00044335"/>
    <s v="Internal Audit Corporate"/>
    <s v="255223"/>
    <s v="Sr. Lead Internal Audit Corporate"/>
    <s v="Corporate"/>
    <s v="0090000035"/>
    <s v="Internal Audit"/>
    <s v="2000CS"/>
    <s v="20055486"/>
    <s v="Nilesh Likhite"/>
    <s v="No"/>
    <s v="pawan.baid@amns.in"/>
    <s v="9000240429"/>
    <s v="847480"/>
    <s v="Dhruv Vyas"/>
    <s v="Anil Matoo"/>
    <s v="Praveen Kuruvalli"/>
    <s v="Dhruv Vyas"/>
    <n v="0"/>
  </r>
  <r>
    <n v="4045"/>
    <n v="20055803"/>
    <s v="Jay Harshad Patrawala"/>
    <s v="AM/NS India"/>
    <s v="Onroll"/>
    <s v="M-6"/>
    <n v="6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- Investigation Audit"/>
    <m/>
    <s v="Internal Audit"/>
    <s v=""/>
    <s v=""/>
    <s v="Non Technical Support"/>
    <s v="Chairman's Secretariat"/>
    <s v="Chairman's Secretariat"/>
    <s v="74701000"/>
    <s v="Chairman's Secretariat"/>
    <s v="Mumbai"/>
    <d v="1988-05-09T00:00:00"/>
    <s v="35.04"/>
    <d v="2021-08-02T00:00:00"/>
    <d v="2046-05-31T00:00:00"/>
    <m/>
    <d v="2046-05-31T00:00:00"/>
    <n v="8289"/>
    <s v="B+"/>
    <s v="CA Final-2012 , MCom-2010 , BCom-2009 ,"/>
    <s v="08.09"/>
    <s v="02.01"/>
    <s v="10.10"/>
    <s v="00044336"/>
    <s v="Investigation Audit"/>
    <s v="255222"/>
    <s v="Sr. Lead - Investigation Audit"/>
    <s v="Corporate"/>
    <s v="0090000035"/>
    <s v="Internal Audit"/>
    <s v="2000CS"/>
    <s v="20055486"/>
    <s v="Nilesh Likhite"/>
    <s v="No"/>
    <s v="jay.patrawala@amns.in"/>
    <s v="7021681923"/>
    <s v="847484"/>
    <s v="Dhruv Vyas"/>
    <s v="Anil Matoo"/>
    <s v="Praveen Kuruvalli"/>
    <s v="Dhruv Vyas"/>
    <n v="0"/>
  </r>
  <r>
    <n v="4046"/>
    <n v="20055804"/>
    <s v="Ankushkumar Shah"/>
    <s v="AM/NS India"/>
    <s v="Onroll"/>
    <s v="M-5"/>
    <n v="5"/>
    <m/>
    <s v="MM"/>
    <s v="M"/>
    <s v="Corporate"/>
    <n v="7"/>
    <s v="2060"/>
    <x v="24"/>
    <s v="39.01"/>
    <s v="Sanjay Sharma"/>
    <s v="Sanjay Sharma"/>
    <n v="8"/>
    <s v="Business Development"/>
    <s v="Business Development"/>
    <s v="39"/>
    <s v="Senior Lead - Business Development"/>
    <m/>
    <s v="Business Development"/>
    <s v=""/>
    <s v=""/>
    <s v="Non Technical Support"/>
    <s v="Sales &amp; Marketing"/>
    <s v="Business Development"/>
    <s v="73103001"/>
    <s v="Business Development"/>
    <s v="Mumbai"/>
    <d v="1990-06-19T00:00:00"/>
    <s v="33.03"/>
    <d v="2021-08-02T00:00:00"/>
    <d v="2048-06-30T00:00:00"/>
    <m/>
    <d v="2048-06-30T00:00:00"/>
    <n v="9050"/>
    <s v="B+"/>
    <s v="CA Final-2014 , BCom-2011 , Intermediate"/>
    <s v="07.05"/>
    <s v="02.01"/>
    <s v="09.06"/>
    <s v="00050003"/>
    <s v="Business Development - M&amp;A"/>
    <s v="255228"/>
    <s v="Senior Lead - Business Development"/>
    <s v="Corporate"/>
    <s v="0090000032"/>
    <s v="Business Devpelopmen"/>
    <s v="2000CS"/>
    <s v="20055181"/>
    <s v="Sanjay Sharma"/>
    <s v="No"/>
    <s v="ankush.shah@amns.in"/>
    <s v="9773559406"/>
    <s v="847499"/>
    <s v="Dhruv Vyas"/>
    <s v="Anil Matoo"/>
    <s v="Praveen Kuruvalli"/>
    <s v="Dhruv Vyas"/>
    <n v="0"/>
  </r>
  <r>
    <n v="4047"/>
    <n v="20055806"/>
    <s v="Rahul Mulik"/>
    <s v="AM/NS India"/>
    <s v="Onroll"/>
    <s v="M-8"/>
    <n v="8"/>
    <m/>
    <s v="JM"/>
    <s v="M"/>
    <s v="Hazira"/>
    <n v="1"/>
    <s v="2084"/>
    <x v="17"/>
    <s v="23.09"/>
    <s v="Anil Matoo"/>
    <s v="Ashutosh Telang"/>
    <n v="6"/>
    <s v="HR &amp; Administration"/>
    <s v="Industrial Relations"/>
    <s v="23"/>
    <s v="Lead – Industrial Relations"/>
    <m/>
    <s v="Industrial Relations"/>
    <s v=""/>
    <s v=""/>
    <s v="Non Technical Support"/>
    <s v="Human Resources Management"/>
    <s v="Human Resources Management"/>
    <s v="73501002"/>
    <s v="Human Resources Operation"/>
    <s v="Hazira"/>
    <d v="1976-06-10T00:00:00"/>
    <s v="47.03"/>
    <d v="2021-07-29T00:00:00"/>
    <d v="2034-06-30T00:00:00"/>
    <m/>
    <d v="2034-06-30T00:00:00"/>
    <n v="3936"/>
    <s v="A+"/>
    <s v="MBA-2008 , Diploma-2003 , BCom-1998 , In"/>
    <s v="16.05"/>
    <s v="02.01"/>
    <s v="18.06"/>
    <s v="70309501"/>
    <s v="IR &amp; legal Compliance"/>
    <s v="255231"/>
    <s v="Lead – Industrial Relations"/>
    <s v="Hazira"/>
    <s v="0031950061"/>
    <s v="HZ-Human Resource"/>
    <s v="2000HWO"/>
    <s v="20056503"/>
    <s v="Bhavin Pandya"/>
    <s v="No"/>
    <s v="rahul.mulik@amns.in"/>
    <s v="9328896544"/>
    <s v="847561"/>
    <s v="Dhruv Vyas"/>
    <s v="Anil Matoo"/>
    <s v="Praveen Kuruvalli"/>
    <s v="Dhruv Vyas"/>
    <n v="0"/>
  </r>
  <r>
    <n v="4055"/>
    <n v="20055816"/>
    <s v="Khilan Keyur Shah"/>
    <s v="AM/NS India"/>
    <s v="Onroll"/>
    <s v="M-7"/>
    <n v="7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Lead - Investigation Audit"/>
    <m/>
    <s v="Internal Audit"/>
    <s v=""/>
    <s v=""/>
    <s v="Non Technical Support"/>
    <s v="Assurance &amp; Cost Control"/>
    <s v="Assurance &amp; Cost Control"/>
    <s v="73401001"/>
    <s v="Assurance &amp; Cost Control"/>
    <s v="Mumbai"/>
    <d v="1991-08-22T00:00:00"/>
    <s v="32.00"/>
    <d v="2021-08-09T00:00:00"/>
    <d v="2049-08-31T00:00:00"/>
    <m/>
    <d v="2049-08-31T00:00:00"/>
    <n v="9477"/>
    <s v="B+"/>
    <s v="CA Final-2014 , BCom-2012 , Intermediate"/>
    <s v="06.05"/>
    <s v="02.01"/>
    <s v="08.05"/>
    <s v="00044336"/>
    <s v="Investigation Audit"/>
    <s v="255646"/>
    <s v="Lead - Investigation Audit"/>
    <s v="Corporate"/>
    <s v="0090000035"/>
    <s v="Internal Audit"/>
    <s v="2000CS"/>
    <s v="20055803"/>
    <s v="Jay Harshad Patrawala"/>
    <s v="No"/>
    <s v="khilan.shah@amns.in"/>
    <s v="8976785833"/>
    <s v="848456"/>
    <s v="Dhruv Vyas"/>
    <s v="Anil Matoo"/>
    <s v="Praveen Kuruvalli"/>
    <s v="Dhruv Vyas"/>
    <n v="0"/>
  </r>
  <r>
    <n v="4057"/>
    <n v="20055819"/>
    <s v="Sachin Kumar Yadav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Procurement"/>
    <m/>
    <s v="Capex Procurement"/>
    <s v="Capex Procurement"/>
    <s v=""/>
    <s v="Non Technical Support"/>
    <s v="Operations"/>
    <s v="Operations"/>
    <s v="72103001"/>
    <s v="Operations"/>
    <s v="Hazira"/>
    <d v="1989-10-16T00:00:00"/>
    <s v="33.11"/>
    <d v="2021-08-09T00:00:00"/>
    <d v="2047-10-31T00:00:00"/>
    <m/>
    <d v="2047-10-31T00:00:00"/>
    <n v="8807"/>
    <s v="B+"/>
    <s v="BTech-2010 , Intermediate-2005 , SSLC-20"/>
    <s v="11.00"/>
    <s v="02.01"/>
    <s v="13.01"/>
    <s v="00053248"/>
    <s v="Capex Procurement"/>
    <s v="255649"/>
    <s v="Lead – Capex Procurement"/>
    <s v="Hazira"/>
    <s v="0031950059"/>
    <s v="HZ-Hazira Project"/>
    <s v="2000HWO"/>
    <s v="20055728"/>
    <s v="Mahebub Vahora"/>
    <s v="No"/>
    <s v="sachin.yadav1@amns.in"/>
    <s v="9510872052"/>
    <s v="848545"/>
    <s v="Dhruv Vyas"/>
    <s v="Anil Matoo"/>
    <s v="Praveen Kuruvalli"/>
    <s v="Dhruv Vyas"/>
    <n v="0"/>
  </r>
  <r>
    <n v="4064"/>
    <n v="20055833"/>
    <s v="Animesh Mishra"/>
    <s v="AM/NS India"/>
    <s v="Onroll"/>
    <s v="M-10"/>
    <n v="10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Graduate Engineer Trainee 2021"/>
    <m/>
    <s v="Capex Procurement"/>
    <s v="Capex Procurement"/>
    <s v=""/>
    <s v="Non Technical Support"/>
    <s v="Operations"/>
    <s v="Operations"/>
    <s v="72103001"/>
    <s v="Operations"/>
    <s v="Hazira"/>
    <d v="1999-03-01T00:00:00"/>
    <s v="24.06"/>
    <d v="2021-08-17T00:00:00"/>
    <d v="2057-02-28T00:00:00"/>
    <m/>
    <d v="2057-02-28T00:00:00"/>
    <n v="12215"/>
    <s v="AB+"/>
    <s v="BTech-2021 , Intermediate-2016 , SSLC-20"/>
    <s v=""/>
    <s v="02.01"/>
    <s v="02.01"/>
    <s v="00049360"/>
    <s v="Capex Services"/>
    <s v="256014"/>
    <s v="Graduate Engineer Trainee 2021"/>
    <s v="Hazira"/>
    <s v="0031950059"/>
    <s v="HZ-Hazira Project"/>
    <s v="2000HWO"/>
    <s v="20055727"/>
    <s v="Javed Akhtar"/>
    <s v="No"/>
    <s v="animesh.mishra@amns.in"/>
    <s v="9510882498"/>
    <s v="849368"/>
    <s v="Dhruv Vyas"/>
    <s v="Anil Matoo"/>
    <s v="Praveen Kuruvalli"/>
    <s v="Dhruv Vyas"/>
    <n v="0"/>
  </r>
  <r>
    <n v="4066"/>
    <n v="20055835"/>
    <s v="Anshima Pandey"/>
    <s v="AM/NS India"/>
    <s v="Onroll"/>
    <s v="M-10"/>
    <n v="10"/>
    <m/>
    <s v="JM"/>
    <s v="F"/>
    <s v="Hazira"/>
    <n v="1"/>
    <s v="2015"/>
    <x v="1"/>
    <s v="22.06"/>
    <s v="Anil Matoo"/>
    <s v="Ashutosh Telang"/>
    <n v="6"/>
    <s v="HR &amp; Administration"/>
    <s v="Human Resources"/>
    <s v="22"/>
    <s v="Graduate Engineer Trainee 2021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2000-05-06T00:00:00"/>
    <s v="23.04"/>
    <d v="2021-08-17T00:00:00"/>
    <d v="2058-05-31T00:00:00"/>
    <m/>
    <d v="2058-05-31T00:00:00"/>
    <n v="12672"/>
    <s v="B+"/>
    <s v="BTech-2021 , Intermediate-2017 , SSLC-20"/>
    <s v=""/>
    <s v="02.01"/>
    <s v="02.01"/>
    <s v="70472770"/>
    <s v="Hazira HR Operations - 1"/>
    <s v="256016"/>
    <s v="Lead - Human Resources"/>
    <s v="Hazira"/>
    <s v="0031950061"/>
    <s v="HZ-Human Resource"/>
    <s v="2000HWO"/>
    <s v="20001265"/>
    <s v="Lakshman Iyer"/>
    <s v="No"/>
    <s v="anshima.pandey@amns.in"/>
    <s v="9510885212"/>
    <s v="849369"/>
    <s v="Dhruv Vyas"/>
    <s v="Anil Matoo"/>
    <s v="Praveen Kuruvalli"/>
    <s v="Dhruv Vyas"/>
    <n v="0"/>
  </r>
  <r>
    <n v="4071"/>
    <n v="20055843"/>
    <s v="Harshita Ghildiyal"/>
    <s v="AM/NS India"/>
    <s v="Onroll"/>
    <s v="M-10"/>
    <n v="10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Graduate Engineer Trainee 2021"/>
    <m/>
    <s v="Capex Procurement"/>
    <s v="Capex Procurement"/>
    <s v=""/>
    <s v="Non Technical Support"/>
    <s v="Operations"/>
    <s v="Operations"/>
    <s v="72103001"/>
    <s v="Operations"/>
    <s v="Hazira"/>
    <d v="1999-10-31T00:00:00"/>
    <s v="23.10"/>
    <d v="2021-08-17T00:00:00"/>
    <d v="2057-10-31T00:00:00"/>
    <m/>
    <d v="2057-10-31T00:00:00"/>
    <n v="12460"/>
    <s v="B+"/>
    <s v="BTech-2021 , Intermediate-2017 , SSLC-20"/>
    <s v=""/>
    <s v="02.01"/>
    <s v="02.01"/>
    <s v="00049342"/>
    <s v="Capex Procurement"/>
    <s v="256024"/>
    <s v="Graduate Engineer Trainee 2021"/>
    <s v="Hazira"/>
    <s v="0031950059"/>
    <s v="HZ-Hazira Project"/>
    <s v="2000HWO"/>
    <s v="20055712"/>
    <s v="Ravi Goyal"/>
    <s v="Yes"/>
    <s v="harshita.ghildiyal@amns.in"/>
    <s v="9510892400"/>
    <s v="849375"/>
    <s v="Dhruv Vyas"/>
    <s v="Anil Matoo"/>
    <s v="Praveen Kuruvalli"/>
    <s v="Dhruv Vyas"/>
    <n v="0"/>
  </r>
  <r>
    <n v="4084"/>
    <n v="20055867"/>
    <s v="Tatikonda Manoj Sai Kumar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Management Trainee 2021"/>
    <m/>
    <s v="West"/>
    <s v="Hypermart"/>
    <s v=""/>
    <s v="Non Technical Support"/>
    <s v="Human Resources Management"/>
    <s v="Human Resources Management"/>
    <s v="73501001"/>
    <s v="Human Resources"/>
    <s v="Pune"/>
    <d v="1997-08-05T00:00:00"/>
    <s v="26.01"/>
    <d v="2021-08-17T00:00:00"/>
    <d v="2055-08-31T00:00:00"/>
    <m/>
    <d v="2055-08-31T00:00:00"/>
    <n v="11668"/>
    <s v="O+"/>
    <s v="MBA-2021 , BTech-2018 , Intermediate-201"/>
    <s v=""/>
    <s v="02.01"/>
    <s v="02.01"/>
    <s v="00048138"/>
    <s v="Hypermart west"/>
    <s v="256049"/>
    <s v="Sales Manager - Hypermart"/>
    <s v="Pune Facility"/>
    <s v="0035950073"/>
    <s v="Pune - S&amp;D Export"/>
    <s v="2000ESPF"/>
    <s v="20056847"/>
    <s v="Vikas Chotia"/>
    <s v="No"/>
    <s v="manoj.tatikonda@amns.in"/>
    <s v="7016458879"/>
    <s v="849391"/>
    <s v="Dhruv Vyas"/>
    <s v="Anil Matoo"/>
    <s v="Praveen Kuruvalli"/>
    <s v="Dhruv Vyas"/>
    <n v="0"/>
  </r>
  <r>
    <n v="4085"/>
    <n v="20055868"/>
    <s v="Sanidhya Singh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 2021"/>
    <m/>
    <s v="North"/>
    <s v="OEM"/>
    <s v=""/>
    <s v="Non Technical Support"/>
    <s v="Sales &amp; Marketing"/>
    <s v="Sales"/>
    <s v="73104004"/>
    <s v="OEM Sales"/>
    <s v="Noida"/>
    <d v="1996-07-24T00:00:00"/>
    <s v="27.01"/>
    <d v="2021-08-17T00:00:00"/>
    <d v="2054-07-31T00:00:00"/>
    <m/>
    <d v="2054-07-31T00:00:00"/>
    <n v="11272"/>
    <s v="AB-"/>
    <s v="MBA-2021 , BTech-2018 , Intermediate-201"/>
    <s v=""/>
    <s v="02.01"/>
    <s v="02.01"/>
    <s v="72150181"/>
    <s v="Sales North Zone"/>
    <s v="256050"/>
    <s v="Sales Manager"/>
    <s v="Hypermart"/>
    <s v="0031950057"/>
    <s v="HZ-HRC - Marketing"/>
    <s v="2000SRET"/>
    <s v="20002920"/>
    <s v="Sudhir Sharma"/>
    <s v="No"/>
    <s v="sanidhya.singh@amns.in"/>
    <s v="7016457342"/>
    <s v="849392"/>
    <s v="Dhruv Vyas"/>
    <s v="Anil Matoo"/>
    <s v="Praveen Kuruvalli"/>
    <s v="Dhruv Vyas"/>
    <n v="0"/>
  </r>
  <r>
    <n v="4086"/>
    <n v="20055870"/>
    <s v="Singireddy Sindhuja Reddy"/>
    <s v="AM/NS India"/>
    <s v="Onroll"/>
    <s v="M-8"/>
    <n v="8"/>
    <m/>
    <s v="JM"/>
    <s v="F"/>
    <s v="Pune Facility"/>
    <n v="4"/>
    <s v="2031"/>
    <x v="10"/>
    <s v="14.01"/>
    <s v="Ranjan Dhar"/>
    <s v="Alain Legrix De La Salle"/>
    <n v="3"/>
    <s v="Sales &amp; Marketing"/>
    <s v="Sales &amp; Marketing"/>
    <s v="14"/>
    <s v="Management Trainee 2021"/>
    <m/>
    <s v="South"/>
    <s v="OEM"/>
    <s v=""/>
    <s v="Non Technical Support"/>
    <s v="Human Resources Management"/>
    <s v="Human Resources Management"/>
    <s v="73501001"/>
    <s v="Human Resources"/>
    <s v="Pune"/>
    <d v="1994-12-07T00:00:00"/>
    <s v="28.09"/>
    <d v="2021-08-17T00:00:00"/>
    <d v="2052-12-31T00:00:00"/>
    <m/>
    <d v="2052-12-31T00:00:00"/>
    <n v="10695"/>
    <s v="O+"/>
    <s v="MBA-2021 , BTech-2016 , Intermediate-201"/>
    <s v=""/>
    <s v="02.01"/>
    <s v="02.01"/>
    <s v="00043882"/>
    <s v="International Sales"/>
    <s v="256052"/>
    <s v="Sales Manager"/>
    <s v="Pune Facility"/>
    <s v="0035950073"/>
    <s v="Pune - S&amp;D Export"/>
    <s v="2000ESPF"/>
    <s v="20037071"/>
    <s v="Amit Chandaliya"/>
    <s v="No"/>
    <s v="sindhuja.reddy@amns.in"/>
    <s v="9177997249"/>
    <s v="849394"/>
    <s v="Dhruv Vyas"/>
    <s v="Anil Matoo"/>
    <s v="Praveen Kuruvalli"/>
    <s v="Dhruv Vyas"/>
    <n v="0"/>
  </r>
  <r>
    <n v="4087"/>
    <n v="20055873"/>
    <s v="Ameesha Khandelwal"/>
    <s v="AM/NS India"/>
    <s v="Onroll"/>
    <s v="M-8"/>
    <n v="8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1"/>
    <m/>
    <s v="Sales Steering &amp; BD"/>
    <s v="Product Branding"/>
    <s v=""/>
    <s v="Non Technical Support"/>
    <s v="Sales &amp; Marketing"/>
    <s v="Sales &amp; Marketing"/>
    <s v="73101001"/>
    <s v="Sales &amp; Marketing"/>
    <s v="Mumbai"/>
    <d v="1997-06-19T00:00:00"/>
    <s v="26.03"/>
    <d v="2021-08-17T00:00:00"/>
    <d v="2055-06-30T00:00:00"/>
    <m/>
    <d v="2055-06-30T00:00:00"/>
    <n v="11606"/>
    <s v="B+"/>
    <s v="MBA-2021 , BCom-2018 , Intermediate-2015"/>
    <s v=""/>
    <s v="02.01"/>
    <s v="02.01"/>
    <s v="00044762"/>
    <s v="Branding"/>
    <s v="256055"/>
    <s v="Brand Manager"/>
    <s v="Corporate"/>
    <s v="0080000001"/>
    <s v="Head-Marketing"/>
    <s v="2000CS"/>
    <s v="20056091"/>
    <s v="Pooja Rawal"/>
    <s v="No"/>
    <s v="ameesha.khandelwal@amns.in"/>
    <s v="7016451049"/>
    <s v="849397"/>
    <s v="Dhruv Vyas"/>
    <s v="Anil Matoo"/>
    <s v="Praveen Kuruvalli"/>
    <s v="Dhruv Vyas"/>
    <n v="0"/>
  </r>
  <r>
    <n v="4088"/>
    <n v="20055874"/>
    <s v="Meet Pandit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1"/>
    <m/>
    <s v="Sales Steering &amp; BD"/>
    <s v="Product Branding"/>
    <s v=""/>
    <s v="Non Technical Support"/>
    <s v="Sales &amp; Marketing"/>
    <s v="Sales &amp; Marketing"/>
    <s v="73101001"/>
    <s v="Sales &amp; Marketing"/>
    <s v="Mumbai"/>
    <d v="1997-08-06T00:00:00"/>
    <s v="26.01"/>
    <d v="2021-08-17T00:00:00"/>
    <d v="2055-08-31T00:00:00"/>
    <m/>
    <d v="2055-08-31T00:00:00"/>
    <n v="11668"/>
    <s v="AB+"/>
    <s v="MBA-2021 , BTech-2019 , Intermediate-201"/>
    <s v=""/>
    <s v="02.01"/>
    <s v="02.01"/>
    <s v="00044762"/>
    <s v="Branding"/>
    <s v="256056"/>
    <s v="Brand Manager"/>
    <s v="Corporate"/>
    <s v="0080000001"/>
    <s v="Head-Marketing"/>
    <s v="2000CS"/>
    <s v="20056091"/>
    <s v="Pooja Rawal"/>
    <s v="No"/>
    <s v="meet.pandit@amns.in"/>
    <s v="7016455896"/>
    <s v="849398"/>
    <s v="Dhruv Vyas"/>
    <s v="Anil Matoo"/>
    <s v="Praveen Kuruvalli"/>
    <s v="Dhruv Vyas"/>
    <n v="0"/>
  </r>
  <r>
    <n v="4089"/>
    <n v="20055879"/>
    <s v="Mahima Champaneria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Management Trainee 2021"/>
    <m/>
    <s v="Performance Management"/>
    <s v="Performance Management"/>
    <s v=""/>
    <s v="Non Technical Support"/>
    <s v="Human Resources Management"/>
    <s v="Human Resources Management"/>
    <s v="73501002"/>
    <s v="Human Resources Operation"/>
    <s v="AM/NS Hazira"/>
    <d v="1998-11-13T00:00:00"/>
    <s v="24.10"/>
    <d v="2021-08-17T00:00:00"/>
    <d v="2056-11-30T00:00:00"/>
    <m/>
    <d v="2056-11-30T00:00:00"/>
    <n v="12125"/>
    <s v="A+"/>
    <s v="MBA-2021 , Bachelor Equivalent-2017 , In"/>
    <s v=""/>
    <s v="02.01"/>
    <s v="02.01"/>
    <s v="00049304"/>
    <s v="PM - Internal Control"/>
    <s v="70495104"/>
    <s v="Management Trainee 2021"/>
    <s v="Hazira"/>
    <s v="0031950043"/>
    <s v="HZ-Performance Manag"/>
    <s v="2000HWO"/>
    <s v="20006833"/>
    <s v="Hardik Vasavada"/>
    <s v="No"/>
    <s v="mahima.champaneria@amns.in"/>
    <s v="7016455608"/>
    <s v="821406"/>
    <s v="Dhruv Vyas"/>
    <s v="Anil Matoo"/>
    <s v="Praveen Kuruvalli"/>
    <s v="Dhruv Vyas"/>
    <n v="0"/>
  </r>
  <r>
    <n v="4095"/>
    <n v="20055886"/>
    <s v="Parth Kathiriya"/>
    <s v="AM/NS India"/>
    <s v="Onroll"/>
    <s v="M-11"/>
    <n v="11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Engineer - Contracts"/>
    <m/>
    <s v="Contracts"/>
    <s v="Contracts"/>
    <s v=""/>
    <s v="Non Technical Support"/>
    <s v="Commercial"/>
    <s v="Contracts &amp; Tenders and E-bid"/>
    <s v="73805001"/>
    <s v="Contracts &amp; Tenders and E"/>
    <s v="Hazira"/>
    <d v="1998-07-01T00:00:00"/>
    <s v="25.02"/>
    <d v="2021-07-15T00:00:00"/>
    <d v="2056-06-30T00:00:00"/>
    <m/>
    <d v="2056-06-30T00:00:00"/>
    <n v="11972"/>
    <s v="A+"/>
    <s v="Diploma-2017 , SSLC-2014"/>
    <s v=""/>
    <s v="02.02"/>
    <s v="02.02"/>
    <s v="70495670"/>
    <s v="Contracts"/>
    <s v="256409"/>
    <s v="Engineer - Contracts"/>
    <s v="Hazira"/>
    <s v="0031950047"/>
    <s v="HZ-Contracts"/>
    <s v="2000HWO"/>
    <s v="20000795"/>
    <s v="Pankaj Chaturvedi"/>
    <s v="No"/>
    <s v="parth.kathiriya@amns.in"/>
    <s v="9727740427"/>
    <s v="26010"/>
    <s v="Dhruv Vyas"/>
    <s v="Anil Matoo"/>
    <s v="Praveen Kuruvalli"/>
    <s v="Dhruv Vyas"/>
    <n v="0"/>
  </r>
  <r>
    <n v="4164"/>
    <n v="20055959"/>
    <s v="Rajesh Kumar Pradhan"/>
    <s v="AM/NS India"/>
    <s v="Onroll"/>
    <s v="M-7"/>
    <n v="7"/>
    <m/>
    <s v="MM"/>
    <s v="M"/>
    <s v="Odisha"/>
    <n v="2"/>
    <s v="2031"/>
    <x v="10"/>
    <s v="14.01"/>
    <s v="Ranjan Dhar"/>
    <s v="Alain Legrix De La Salle"/>
    <n v="3"/>
    <s v="Sales &amp; Marketing"/>
    <s v="Sales &amp; Marketing"/>
    <s v="14"/>
    <s v="Lead – Iron Ore Sales (Domestic)"/>
    <m/>
    <s v="Iron Ore &amp; Infra"/>
    <s v="Iron Ore &amp; Infra"/>
    <s v=""/>
    <s v="Non Technical Support"/>
    <s v="Commercial"/>
    <s v="Procurement"/>
    <s v="73803001"/>
    <s v="Procurement"/>
    <s v="Bhubaneswar"/>
    <d v="1986-07-11T00:00:00"/>
    <s v="37.02"/>
    <d v="2021-08-17T00:00:00"/>
    <d v="2044-07-31T00:00:00"/>
    <m/>
    <d v="2044-07-31T00:00:00"/>
    <n v="7620"/>
    <s v="B+"/>
    <s v="PG Diploma-2009 , BTech-2007 , Intermedi"/>
    <s v="10.10"/>
    <s v="02.01"/>
    <s v="12.10"/>
    <s v="00044347"/>
    <s v="Sales - Iron Ore"/>
    <s v="256857"/>
    <s v="Lead – Iron Ore Sales (Domestic)"/>
    <s v="Odisha"/>
    <s v="0031950048"/>
    <s v="HZ-Procurment Depart"/>
    <s v="2000STORIS"/>
    <s v="20003630"/>
    <s v="Mukul Manchanda"/>
    <s v="No"/>
    <s v="rajesh.pradhan@amns.in"/>
    <s v="9937017593"/>
    <s v="850355"/>
    <s v="Sunila Das"/>
    <s v="Anil Matoo"/>
    <s v="Praveen Kuruvalli"/>
    <s v="Sunila Das"/>
    <n v="0"/>
  </r>
  <r>
    <n v="4165"/>
    <n v="20055961"/>
    <s v="Ayesha Gaglani"/>
    <s v="AM/NS India"/>
    <s v="Onroll"/>
    <s v="M-7"/>
    <n v="7"/>
    <m/>
    <s v="M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Sr. Lead - Iron Ore Sales Exports"/>
    <m/>
    <s v="Iron Ore &amp; Infra"/>
    <s v="Iron Ore &amp; Infra"/>
    <s v=""/>
    <s v="Non Technical Support"/>
    <s v="Commercial"/>
    <s v="Procurement"/>
    <s v="73803001"/>
    <s v="Procurement"/>
    <s v="Mumbai"/>
    <d v="1985-09-12T00:00:00"/>
    <s v="38.00"/>
    <d v="2021-08-18T00:00:00"/>
    <d v="2043-09-30T00:00:00"/>
    <m/>
    <d v="2043-09-30T00:00:00"/>
    <n v="7315"/>
    <s v="O+"/>
    <s v="PG Diploma-2014 , BE-2008 , Intermediate"/>
    <s v="10.04"/>
    <s v="02.01"/>
    <s v="12.05"/>
    <s v="00044347"/>
    <s v="Sales - Iron Ore"/>
    <s v="256859"/>
    <s v="Sr. Lead - Iron Ore Sales Exports"/>
    <s v="Corporate"/>
    <s v="0031950048"/>
    <s v="HZ-Procurment Depart"/>
    <s v="2000CS"/>
    <s v="20003630"/>
    <s v="Mukul Manchanda"/>
    <s v="No"/>
    <s v="ayesha.gaglani@amns.in"/>
    <s v="7894414970"/>
    <s v="850365"/>
    <s v="Dhruv Vyas"/>
    <s v="Anil Matoo"/>
    <s v="Praveen Kuruvalli"/>
    <s v="Dhruv Vyas"/>
    <n v="0"/>
  </r>
  <r>
    <n v="4166"/>
    <n v="20055962"/>
    <s v="Navin Kewalramani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– GST"/>
    <m/>
    <s v="Taxation"/>
    <s v="In Direct - Taxation"/>
    <s v=""/>
    <s v="Non Technical Support"/>
    <s v="Finance &amp; Accounts"/>
    <s v="Taxation"/>
    <s v="73904002"/>
    <s v="Indirect Taxation"/>
    <s v="AM/NS Hazira"/>
    <d v="1972-12-05T00:00:00"/>
    <s v="50.09"/>
    <d v="2021-08-19T00:00:00"/>
    <d v="2030-12-31T00:00:00"/>
    <m/>
    <d v="2030-12-31T00:00:00"/>
    <n v="2659"/>
    <s v="O+"/>
    <s v="CA Final-2004 , BCom-1995 , Intermediate"/>
    <s v="16.00"/>
    <s v="02.01"/>
    <s v="18.00"/>
    <s v="70282653"/>
    <s v="GST"/>
    <s v="256860"/>
    <s v="Head – GST"/>
    <s v="Hazira"/>
    <s v="0090000033"/>
    <s v="Corporate Taxation"/>
    <s v="2000HWO"/>
    <s v="20055193"/>
    <s v="Anuprita Kaushik Mehta"/>
    <s v="No"/>
    <s v="navin.kewalramani@amns.in"/>
    <s v="9510858997"/>
    <s v="850385"/>
    <s v="Dhruv Vyas"/>
    <s v="Anil Matoo"/>
    <s v="Praveen Kuruvalli"/>
    <s v="Dhruv Vyas"/>
    <n v="0"/>
  </r>
  <r>
    <n v="4172"/>
    <n v="20055971"/>
    <s v="Mohit Rank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Accounts Receivable"/>
    <m/>
    <s v="Working Capital"/>
    <s v="Accounts Receivable"/>
    <s v=""/>
    <s v="Non Technical Support"/>
    <s v=""/>
    <s v=""/>
    <s v=""/>
    <s v=""/>
    <s v="Khopoli"/>
    <d v="1991-07-15T00:00:00"/>
    <s v="32.02"/>
    <d v="2021-08-23T00:00:00"/>
    <d v="2049-07-31T00:00:00"/>
    <m/>
    <d v="2049-07-31T00:00:00"/>
    <n v="9446"/>
    <s v="AB+"/>
    <s v="BCom-2012 , CA Inter-2011 , Intermediate"/>
    <s v="04.05"/>
    <s v="02.00"/>
    <s v="06.05"/>
    <s v="70495565"/>
    <s v="F&amp;A Hypermart &amp; Service Centre"/>
    <s v="256995"/>
    <s v="Lead – Accounts Receivable"/>
    <s v="Hazira"/>
    <s v="0031950045"/>
    <s v="HZ-Works Accounts-Ha"/>
    <s v="2000HWO"/>
    <s v="20055504"/>
    <s v="Vivek Choudhary"/>
    <s v="No"/>
    <s v="mohit.ranka@amns.in"/>
    <s v="9510864658"/>
    <s v="850577"/>
    <s v="Dhruv Vyas"/>
    <s v="Anil Matoo"/>
    <s v="Praveen Kuruvalli"/>
    <s v="Dhruv Vyas"/>
    <n v="0"/>
  </r>
  <r>
    <n v="4179"/>
    <n v="20055985"/>
    <s v="Dilip Chandra Gelli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– Plate Sales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86-08-13T00:00:00"/>
    <s v="37.01"/>
    <d v="2021-09-02T00:00:00"/>
    <d v="2044-08-31T00:00:00"/>
    <m/>
    <d v="2044-08-31T00:00:00"/>
    <n v="7651"/>
    <s v="B+"/>
    <s v="MTech-2015 , AMIE-2010 , Intermediate-20"/>
    <s v="16.08"/>
    <s v="02.00"/>
    <s v="18.08"/>
    <s v="00052467"/>
    <s v="Plate"/>
    <s v="257876"/>
    <s v="Section Head – Plate Products"/>
    <s v="Corporate"/>
    <s v="0031950057"/>
    <s v="HZ-HRC - Marketing"/>
    <s v="2000CS"/>
    <s v="20008508"/>
    <s v="Satyajit Mohapatra"/>
    <s v="No"/>
    <s v="dilip.chandra@amns.in"/>
    <s v="9867776419"/>
    <s v="851934"/>
    <s v="Dhruv Vyas"/>
    <s v="Anil Matoo"/>
    <s v="Praveen Kuruvalli"/>
    <s v="Dhruv Vyas"/>
    <n v="0"/>
  </r>
  <r>
    <n v="4187"/>
    <n v="20056010"/>
    <s v="Maheswar Gupta"/>
    <s v="AM/NS India"/>
    <s v="Onroll"/>
    <s v="M-8"/>
    <n v="8"/>
    <m/>
    <s v="JM"/>
    <s v="M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Assurance &amp; Cost Control"/>
    <s v="Assurance &amp; Cost Control"/>
    <s v="73401001"/>
    <s v="Assurance &amp; Cost Control"/>
    <s v="Paradeep"/>
    <d v="1993-05-22T00:00:00"/>
    <s v="30.03"/>
    <d v="2021-09-06T00:00:00"/>
    <d v="2051-05-31T00:00:00"/>
    <m/>
    <d v="2051-05-31T00:00:00"/>
    <n v="10115"/>
    <s v="O+"/>
    <s v="MCom-2020 , BCom-2017 , CA Final-2016 ,"/>
    <s v="05.03"/>
    <s v="02.00"/>
    <s v="07.03"/>
    <s v="00044333"/>
    <s v="Internal Audit -Odisha"/>
    <s v="70310796"/>
    <s v="Lead - Internal Audit"/>
    <s v="Odisha"/>
    <s v="0090000035"/>
    <s v="Internal Audit"/>
    <s v="2000STORIS"/>
    <s v="20055745"/>
    <s v="Ajay Kumar Sharma"/>
    <s v="No"/>
    <s v="maheshwar.gupta@amns.in"/>
    <s v="9040394484"/>
    <s v="853925"/>
    <s v="Dhruv Vyas"/>
    <s v="Anil Matoo"/>
    <s v="Praveen Kuruvalli"/>
    <s v="Dhruv Vyas"/>
    <n v="0"/>
  </r>
  <r>
    <n v="4189"/>
    <n v="20056012"/>
    <s v="Ujwal Punia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Incharge Administration"/>
    <m/>
    <s v="Security, Vigilance &amp; Fire Services"/>
    <s v=""/>
    <s v=""/>
    <s v="Non Technical Support"/>
    <s v="Administration"/>
    <s v="Administration"/>
    <s v="74101001"/>
    <s v="Administration"/>
    <s v="Hazira"/>
    <d v="1984-09-10T00:00:00"/>
    <s v="39.00"/>
    <d v="2021-09-09T00:00:00"/>
    <d v="2042-09-30T00:00:00"/>
    <m/>
    <d v="2042-09-30T00:00:00"/>
    <n v="6950"/>
    <s v="B+"/>
    <s v="PG Diploma-2012 , LLB-2007 , BA-2004 , I"/>
    <s v="13.06"/>
    <s v="02.00"/>
    <s v="15.06"/>
    <s v="00049721"/>
    <s v="Regional &amp; Corporate offices"/>
    <s v="258976"/>
    <s v="Lead-Administration"/>
    <s v="Hazira"/>
    <s v="0031950030"/>
    <s v="HZ-Admin"/>
    <s v="2000HWO"/>
    <s v="20057888"/>
    <s v="Narinder Lamba"/>
    <s v="No"/>
    <s v="ujwal.punia@amns.in"/>
    <s v="7016462730"/>
    <s v="854007"/>
    <s v="Manjit Shah"/>
    <s v="Anil Matoo"/>
    <s v="Praveen Kuruvalli"/>
    <s v="Lakshman Iyer"/>
    <n v="0"/>
  </r>
  <r>
    <n v="4197"/>
    <n v="20056020"/>
    <s v="Samarjeet Ghosh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– Capex Services"/>
    <m/>
    <s v="Capex Procurement"/>
    <s v="Capex Procurement"/>
    <s v=""/>
    <s v="Non Technical Support"/>
    <s v="Operations"/>
    <s v="Operations"/>
    <s v="72103001"/>
    <s v="Operations"/>
    <s v="Hazira"/>
    <d v="1996-01-02T00:00:00"/>
    <s v="27.08"/>
    <d v="2021-09-18T00:00:00"/>
    <d v="2054-01-31T00:00:00"/>
    <m/>
    <d v="2054-01-31T00:00:00"/>
    <n v="11091"/>
    <s v="AB+"/>
    <s v="BTech-2018 , Intermediate-2013 , SSLC-20"/>
    <s v="03.03"/>
    <s v="02.00"/>
    <s v="05.02"/>
    <s v="00049359"/>
    <s v="Capex Services"/>
    <s v="259465"/>
    <s v="Officer– Capex Services"/>
    <s v="Hazira"/>
    <s v="0031950059"/>
    <s v="HZ-Hazira Project"/>
    <s v="2000HWO"/>
    <s v="20055446"/>
    <s v="Chitrang Rana"/>
    <s v="No"/>
    <s v="samarjeet.ghosh@amns.in"/>
    <s v="8160929757"/>
    <s v="855758"/>
    <s v="Dhruv Vyas"/>
    <s v="Anil Matoo"/>
    <s v="Praveen Kuruvalli"/>
    <s v="Dhruv Vyas"/>
    <n v="0"/>
  </r>
  <r>
    <n v="4204"/>
    <n v="20056028"/>
    <s v="Ashish Vitthalrao Raut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– Technical Marketing &amp; Application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Ahmedabad"/>
    <d v="1990-12-03T00:00:00"/>
    <s v="32.09"/>
    <d v="2021-09-27T00:00:00"/>
    <d v="2048-12-31T00:00:00"/>
    <m/>
    <d v="2048-12-31T00:00:00"/>
    <n v="9234"/>
    <s v="B+"/>
    <s v="BE-2012 , Intermediate-2008 , SSLC-2006"/>
    <s v="08.03"/>
    <s v="01.11"/>
    <s v="10.02"/>
    <s v="00052460"/>
    <s v="Auto &amp; YG"/>
    <s v="260497"/>
    <s v="Lead – Application Engineer"/>
    <s v="Hazira"/>
    <s v="0031950057"/>
    <s v="HZ-HRC - Marketing"/>
    <s v="2000HWO"/>
    <s v="20056155"/>
    <s v="Kondapalli Venkateswarlu"/>
    <s v="No"/>
    <s v="ashish.raut@amns.in"/>
    <s v="7775833791"/>
    <s v="857813"/>
    <s v="Dhruv Vyas"/>
    <s v="Anil Matoo"/>
    <s v="Praveen Kuruvalli"/>
    <s v="Dhruv Vyas"/>
    <n v="0"/>
  </r>
  <r>
    <n v="4205"/>
    <n v="20056029"/>
    <s v="Ananya Maitra"/>
    <s v="AM/NS India"/>
    <s v="Onroll"/>
    <s v="M-4"/>
    <n v="4"/>
    <m/>
    <s v="SM"/>
    <s v="F"/>
    <s v="Hazira"/>
    <n v="1"/>
    <s v="2013"/>
    <x v="0"/>
    <s v="20.01"/>
    <s v="Akiyo Omori"/>
    <s v="Amit Harlalka"/>
    <n v="5"/>
    <s v="Finance &amp; Accounts"/>
    <s v="Finance &amp; Accounts"/>
    <s v="20"/>
    <s v="Head of Capex – Finance &amp; Controlling"/>
    <m/>
    <s v="Capex Finance"/>
    <s v="Capex Finance"/>
    <s v=""/>
    <s v="Non Technical Support"/>
    <s v="Finance &amp; Accounts"/>
    <s v="Costing"/>
    <s v="73906001"/>
    <s v="Costing"/>
    <s v="AM/NS Hazira"/>
    <d v="1974-06-05T00:00:00"/>
    <s v="49.03"/>
    <d v="2021-09-30T00:00:00"/>
    <d v="2032-06-30T00:00:00"/>
    <m/>
    <d v="2032-06-30T00:00:00"/>
    <n v="3206"/>
    <s v="A+"/>
    <s v="Master's Equivalent-1998 , BSc-1996 , In"/>
    <s v="33.00"/>
    <s v="01.11"/>
    <s v="35.00"/>
    <s v="00045705"/>
    <s v="Capex – Finance &amp; Controlling"/>
    <s v="260496"/>
    <s v="Head of Capex – Finance &amp; Controlling"/>
    <s v="Hazira"/>
    <s v="0090000038"/>
    <s v="CAPEX FINANCE"/>
    <s v="2000HWO"/>
    <s v="20057933"/>
    <s v="Akiyo Omori"/>
    <s v="No"/>
    <s v="ananya.maitra@amns.in"/>
    <s v="9820409423"/>
    <s v="857829"/>
    <s v="Dhruv Vyas"/>
    <s v="Anil Matoo"/>
    <s v="Praveen Kuruvalli"/>
    <s v="Dhruv Vyas"/>
    <n v="0"/>
  </r>
  <r>
    <n v="4209"/>
    <n v="20056033"/>
    <s v="Afreen Hanif Shaikh"/>
    <s v="AM/NS India"/>
    <s v="Onroll"/>
    <s v="M-9"/>
    <n v="9"/>
    <m/>
    <s v="JM"/>
    <s v="F"/>
    <s v="Corporate"/>
    <n v="7"/>
    <s v="2014"/>
    <x v="16"/>
    <s v="03.01"/>
    <s v="Nilesh Likhite"/>
    <s v="Dilip Oommen"/>
    <n v="1"/>
    <s v="CEO Office"/>
    <s v="Internal Audit"/>
    <s v="03"/>
    <s v="Officer - Internal Audit"/>
    <m/>
    <s v="Internal Audit"/>
    <s v=""/>
    <s v=""/>
    <s v="Non Technical Support"/>
    <s v="Chairman's Secretariat"/>
    <s v="Chairman's Secretariat"/>
    <s v="74701000"/>
    <s v="Chairman's Secretariat"/>
    <s v="Mumbai"/>
    <d v="1992-02-29T00:00:00"/>
    <s v="31.06"/>
    <d v="2021-10-04T00:00:00"/>
    <d v="2050-02-28T00:00:00"/>
    <m/>
    <d v="2050-02-28T00:00:00"/>
    <n v="9658"/>
    <s v="B+"/>
    <s v="BCom-2012 , High School-2009 , SSLC-2007"/>
    <s v="09.01"/>
    <s v="01.11"/>
    <s v="11.00"/>
    <s v="00044335"/>
    <s v="Internal Audit Corporate"/>
    <s v="261002"/>
    <s v="Officer - Internal Audit Corporate Asset"/>
    <s v="Corporate"/>
    <s v="0090000035"/>
    <s v="Internal Audit"/>
    <s v="2000CS"/>
    <s v="20055802"/>
    <s v="Pawan Kumar Baid"/>
    <s v="No"/>
    <s v="afreen.shaikh@amns.in"/>
    <s v="9867181893"/>
    <s v="858640"/>
    <s v="Dhruv Vyas"/>
    <s v="Anil Matoo"/>
    <s v="Praveen Kuruvalli"/>
    <s v="Dhruv Vyas"/>
    <n v="0"/>
  </r>
  <r>
    <n v="4211"/>
    <n v="20056035"/>
    <s v="Arjun Ranjan Ogale"/>
    <s v="AM/NS India"/>
    <s v="Onroll"/>
    <s v="M-6"/>
    <n v="6"/>
    <m/>
    <s v="MM"/>
    <s v="M"/>
    <s v="Hazira"/>
    <n v="1"/>
    <s v="2270"/>
    <x v="25"/>
    <s v="38.01"/>
    <s v="Hrishikesh Kamat"/>
    <s v="Hrishikesh Kamat"/>
    <n v="7"/>
    <s v="Procurement"/>
    <s v="Logistics"/>
    <s v="38"/>
    <s v="Lead – Logistics"/>
    <m/>
    <s v="Logistics"/>
    <s v="Logistics"/>
    <s v=""/>
    <s v="Non Technical Support"/>
    <s v=""/>
    <s v=""/>
    <s v="70494644"/>
    <s v="Chief Procurement Officer"/>
    <s v="AM/NS Hazira"/>
    <d v="1984-01-14T00:00:00"/>
    <s v="39.08"/>
    <d v="2021-10-01T00:00:00"/>
    <d v="2042-01-31T00:00:00"/>
    <m/>
    <d v="2042-01-31T00:00:00"/>
    <n v="6708"/>
    <s v="B+"/>
    <s v="MBA-2009 , BE-2005 , Intermediate-2001 ,"/>
    <s v="14.11"/>
    <s v="01.11"/>
    <s v="16.10"/>
    <s v="70495712"/>
    <s v="Logistics"/>
    <s v="261001"/>
    <s v="Lead – Logistics"/>
    <s v="Hazira"/>
    <s v="0031950053"/>
    <s v="HZ-Logistics"/>
    <s v="2000HWO"/>
    <s v="20055688"/>
    <s v="Vibhavana Jaiswal"/>
    <s v="No"/>
    <s v="arjun.ogale@amns.in"/>
    <s v="9925246242"/>
    <s v="795217"/>
    <s v="Dhruv Vyas"/>
    <s v="Anil Matoo"/>
    <s v="Praveen Kuruvalli"/>
    <s v="Dhruv Vyas"/>
    <n v="0"/>
  </r>
  <r>
    <n v="4213"/>
    <n v="20056037"/>
    <s v="Ashish Hasmukhrai Sutaria"/>
    <s v="AM/NS India"/>
    <s v="Onroll"/>
    <s v="M-5"/>
    <n v="5"/>
    <m/>
    <s v="MM"/>
    <s v="M"/>
    <s v="Hazira"/>
    <n v="1"/>
    <s v="2270"/>
    <x v="25"/>
    <s v="38.01"/>
    <s v="Hrishikesh Kamat"/>
    <s v="Hrishikesh Kamat"/>
    <n v="7"/>
    <s v="Procurement"/>
    <s v="Logistics"/>
    <s v="38"/>
    <s v="Sr. Lead – Logistics"/>
    <m/>
    <s v="Logistics"/>
    <s v="Logistics"/>
    <s v=""/>
    <s v="Non Technical Support"/>
    <s v=""/>
    <s v=""/>
    <s v="70494644"/>
    <s v="Chief Procurement Officer"/>
    <s v="AM/NS Hazira"/>
    <d v="1976-09-12T00:00:00"/>
    <s v="47.00"/>
    <d v="2021-10-01T00:00:00"/>
    <d v="2034-09-30T00:00:00"/>
    <m/>
    <d v="2034-09-30T00:00:00"/>
    <n v="4028"/>
    <s v="B+"/>
    <s v="MBA-2007 , BCom-1996 , Intermediate-1993"/>
    <s v="25.00"/>
    <s v="01.11"/>
    <s v="27.00"/>
    <s v="70495712"/>
    <s v="Logistics"/>
    <s v="261000"/>
    <s v="Sr. Lead – Logistics"/>
    <s v="Hazira"/>
    <s v="0031950053"/>
    <s v="HZ-Logistics"/>
    <s v="2000HWO"/>
    <s v="20055688"/>
    <s v="Vibhavana Jaiswal"/>
    <s v="No"/>
    <s v="ashish.sutaria@amns.in"/>
    <s v="9879203054"/>
    <s v="795213"/>
    <s v="Dhruv Vyas"/>
    <s v="Anil Matoo"/>
    <s v="Praveen Kuruvalli"/>
    <s v="Dhruv Vyas"/>
    <n v="0"/>
  </r>
  <r>
    <n v="4218"/>
    <n v="20056045"/>
    <s v="Patel Vikas Amitbhai"/>
    <s v="AM/NS India"/>
    <s v="Onroll"/>
    <s v="M-8"/>
    <n v="8"/>
    <m/>
    <s v="J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"/>
    <s v=""/>
    <s v="Non Technical Support"/>
    <s v="Commercial"/>
    <s v="Contracts &amp; Tenders and E-bid"/>
    <s v="73805001"/>
    <s v="Contracts &amp; Tenders and E"/>
    <s v="AM/NS Hazira"/>
    <d v="1988-07-11T00:00:00"/>
    <s v="35.02"/>
    <d v="2021-10-18T00:00:00"/>
    <d v="2046-07-31T00:00:00"/>
    <m/>
    <d v="2046-07-31T00:00:00"/>
    <n v="8350"/>
    <s v="O+"/>
    <s v="MBA-2010 , Bachelor Equivalent-2008 , In"/>
    <s v="11.07"/>
    <s v="01.11"/>
    <s v="13.05"/>
    <s v="70495436"/>
    <s v="Land Property"/>
    <s v="261995"/>
    <s v="Lead - Land Matters"/>
    <s v="Hazira"/>
    <s v="0031950038"/>
    <s v="HZ-Hazira Land Acqui"/>
    <s v="2000HWO"/>
    <s v="20055714"/>
    <s v="Dipakkumar Shah"/>
    <s v="No"/>
    <s v="vikas.patel1@amns.in"/>
    <s v="9824163653"/>
    <s v="859864"/>
    <s v="Dhruv Vyas"/>
    <s v="Anil Matoo"/>
    <s v="Praveen Kuruvalli"/>
    <s v="Dhruv Vyas"/>
    <n v="0"/>
  </r>
  <r>
    <n v="4220"/>
    <n v="20056052"/>
    <s v="Kishan Patel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Procurement MRO Hazira"/>
    <s v="Procurement"/>
    <s v=""/>
    <s v="Non Technical Support"/>
    <s v=""/>
    <s v=""/>
    <s v=""/>
    <s v=""/>
    <s v="AM/NS Hazira"/>
    <d v="1996-11-28T00:00:00"/>
    <s v="26.09"/>
    <d v="2021-10-25T00:00:00"/>
    <d v="2054-11-30T00:00:00"/>
    <m/>
    <d v="2054-11-30T00:00:00"/>
    <n v="11394"/>
    <s v=""/>
    <s v="Diploma-2018 , Intermediate-2014 , SSLC-"/>
    <s v=""/>
    <s v="01.10"/>
    <s v="01.10"/>
    <s v="00044542"/>
    <s v="Procurement -Ferroalloys"/>
    <s v="262547"/>
    <s v="Engineer"/>
    <s v="Hazira"/>
    <s v="0031950048"/>
    <s v="HZ-Procurment Depart"/>
    <s v="2000HWO"/>
    <s v="20001370"/>
    <s v="Tejas Desai"/>
    <s v="No"/>
    <s v="kishan.patel@amns.in"/>
    <s v="9879100716"/>
    <s v="792097"/>
    <s v="Dhruv Vyas"/>
    <s v="Anil Matoo"/>
    <s v="Praveen Kuruvalli"/>
    <s v="Dhruv Vyas"/>
    <n v="0"/>
  </r>
  <r>
    <n v="4231"/>
    <n v="20056067"/>
    <s v="Deep Patel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Procurement MRO Hazira"/>
    <s v="Procurement"/>
    <s v=""/>
    <s v="Non Technical Support"/>
    <s v=""/>
    <s v=""/>
    <s v=""/>
    <s v=""/>
    <s v="AM/NS Hazira"/>
    <d v="1994-03-23T00:00:00"/>
    <s v="29.05"/>
    <d v="2021-10-25T00:00:00"/>
    <d v="2052-03-31T00:00:00"/>
    <m/>
    <d v="2052-03-31T00:00:00"/>
    <n v="10420"/>
    <s v=""/>
    <s v="Diploma-2014 , High School-2011 , SSLC-2"/>
    <s v=""/>
    <s v="01.10"/>
    <s v="01.10"/>
    <s v="70266350"/>
    <s v="Zinc, Elect, Instrumentation, Automation"/>
    <s v="262540"/>
    <s v="Engineer"/>
    <s v="Hazira"/>
    <s v="0031950048"/>
    <s v="HZ-Procurment Depart"/>
    <s v="2000HWO"/>
    <s v="20002746"/>
    <s v="Deep Pyne"/>
    <s v="No"/>
    <s v="deepkumar.patel@amns.in"/>
    <s v="9879102307"/>
    <s v="26031"/>
    <s v="Dhruv Vyas"/>
    <s v="Anil Matoo"/>
    <s v="Praveen Kuruvalli"/>
    <s v="Dhruv Vyas"/>
    <n v="0"/>
  </r>
  <r>
    <n v="4243"/>
    <n v="20056083"/>
    <s v="Neeraj Sharma"/>
    <s v="AM/NS India"/>
    <s v="Onroll"/>
    <s v="M-5"/>
    <n v="5"/>
    <m/>
    <s v="MM"/>
    <s v="M"/>
    <s v="Hazira"/>
    <n v="1"/>
    <s v="2069"/>
    <x v="8"/>
    <s v="25.01"/>
    <s v="Bibek Chattopadhyay"/>
    <s v="Ashutosh Telang"/>
    <n v="6"/>
    <s v="HR &amp; Administration"/>
    <s v="Corporate Communications"/>
    <s v="25"/>
    <s v="Head – Corporate Communication, Gujarat"/>
    <m/>
    <s v="Corporate Communications"/>
    <s v=""/>
    <s v=""/>
    <s v="Non Technical Support"/>
    <s v="Corporate Communication"/>
    <s v="Corporate Communication"/>
    <s v="74001001"/>
    <s v="Corporate Communication"/>
    <s v="Hazira"/>
    <d v="1981-03-10T00:00:00"/>
    <s v="42.06"/>
    <d v="2021-11-01T00:00:00"/>
    <d v="2039-03-31T00:00:00"/>
    <m/>
    <d v="2039-03-31T00:00:00"/>
    <n v="5671"/>
    <s v="O+"/>
    <s v="PG Diploma-2008 , BE-2005 , Intermediate"/>
    <s v="09.01"/>
    <s v="01.10"/>
    <s v="11.00"/>
    <s v="00047290"/>
    <s v="Communication Gujrat"/>
    <s v="263146"/>
    <s v="Head – Corporate Communication, Gujarat"/>
    <s v="Hazira"/>
    <s v="0090000016"/>
    <s v="Corporate Steel - Co"/>
    <s v="2000HWO"/>
    <s v="20055187"/>
    <s v="Bibek Chattopadhyay"/>
    <s v="No"/>
    <s v="neeraj.sharma@amns.in"/>
    <s v="9099933725"/>
    <s v="862084"/>
    <s v="Dhruv Vyas"/>
    <s v="Anil Matoo"/>
    <s v="Praveen Kuruvalli"/>
    <s v="Dhruv Vyas"/>
    <n v="0"/>
  </r>
  <r>
    <n v="4249"/>
    <n v="20056091"/>
    <s v="Pooja Rawal"/>
    <s v="AM/NS India"/>
    <s v="Onroll"/>
    <s v="M-6"/>
    <n v="6"/>
    <m/>
    <s v="M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Branding Manager"/>
    <m/>
    <s v="Sales Steering &amp; BD"/>
    <s v="Product Branding"/>
    <s v=""/>
    <s v="Non Technical Support"/>
    <s v=""/>
    <s v=""/>
    <s v="70494645"/>
    <s v="Head of Sales BD"/>
    <s v="Mumbai"/>
    <d v="1982-06-27T00:00:00"/>
    <s v="41.02"/>
    <d v="2021-11-01T00:00:00"/>
    <d v="2040-06-30T00:00:00"/>
    <m/>
    <d v="2040-06-30T00:00:00"/>
    <n v="6128"/>
    <s v="B+"/>
    <s v="PG Diploma-2007 , BE-2005 , Intermediate"/>
    <s v="14.09"/>
    <s v="01.10"/>
    <s v="16.07"/>
    <s v="00044762"/>
    <s v="Branding"/>
    <s v="263147"/>
    <s v="Head - Product Branding"/>
    <s v="Corporate"/>
    <s v="0080000001"/>
    <s v="Head-Marketing"/>
    <s v="2000CS"/>
    <s v="20010531"/>
    <s v="Saptarshi Saha"/>
    <s v="No"/>
    <s v="pooja.rawal@amns.in"/>
    <s v="9920613525"/>
    <s v="862850"/>
    <s v="Dhruv Vyas"/>
    <s v="Anil Matoo"/>
    <s v="Praveen Kuruvalli"/>
    <s v="Dhruv Vyas"/>
    <n v="0"/>
  </r>
  <r>
    <n v="4250"/>
    <n v="20056092"/>
    <s v="Sidra Shireen Kabir"/>
    <s v="AM/NS Middle East FZE"/>
    <s v="Onroll"/>
    <s v="M-9"/>
    <n v="9"/>
    <m/>
    <s v="JM"/>
    <s v="F"/>
    <s v="Dubai"/>
    <n v="10"/>
    <s v="2502"/>
    <x v="10"/>
    <s v="14.01"/>
    <s v="Ranjan Dhar"/>
    <s v="Alain Legrix De La Salle"/>
    <n v="3"/>
    <s v="Sales &amp; Marketing"/>
    <s v="Sales &amp; Marketing"/>
    <s v="14"/>
    <s v="Lead Sales"/>
    <m/>
    <s v="Sales ME"/>
    <s v="Sales ME"/>
    <s v=""/>
    <s v=""/>
    <s v="Sales &amp; Marketing"/>
    <s v="Sales &amp; Marketing"/>
    <s v="73101001"/>
    <s v="Sales &amp; Marketing"/>
    <s v="Dubai"/>
    <d v="1991-11-19T00:00:00"/>
    <s v="31.09"/>
    <d v="2021-11-07T00:00:00"/>
    <d v="2049-11-30T00:00:00"/>
    <m/>
    <d v="2049-11-30T00:00:00"/>
    <n v="9568"/>
    <s v="B+"/>
    <s v="MBA-2016 , Intermediate-2009 , SSLC-2007"/>
    <s v="01.06"/>
    <s v="01.10"/>
    <s v="03.04"/>
    <s v="70495379"/>
    <s v="Chief Marketing Officer - AMNS ME FZE"/>
    <s v="263577"/>
    <s v="Sales Manager ME"/>
    <s v="AMNS Middle East FZE"/>
    <s v="0093720082"/>
    <s v="SC-Dubai-Marketing"/>
    <s v="DUBA2081"/>
    <s v="20055663"/>
    <s v="Karamath Syed"/>
    <s v="No"/>
    <s v="sidra.shireen@amns.in"/>
    <s v="971522086070"/>
    <s v="863293"/>
    <s v="Dhruv Vyas"/>
    <s v="Anil Matoo"/>
    <s v="Praveen Kuruvalli"/>
    <n v="0"/>
    <n v="0"/>
  </r>
  <r>
    <n v="4260"/>
    <n v="20056103"/>
    <s v="Megha Modi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Lead – Accounts Payable"/>
    <m/>
    <s v="Working Capital"/>
    <s v="Accounts Payable"/>
    <s v=""/>
    <s v="Non Technical Support"/>
    <s v=""/>
    <s v=""/>
    <s v=""/>
    <s v=""/>
    <s v="AM/NS Hazira"/>
    <d v="1990-03-10T00:00:00"/>
    <s v="33.06"/>
    <d v="2021-11-10T00:00:00"/>
    <d v="2048-03-31T00:00:00"/>
    <m/>
    <d v="2048-03-31T00:00:00"/>
    <n v="8959"/>
    <s v="AB+"/>
    <s v="CA Final-2015 , CS-2012 , CA Inter-2011"/>
    <s v="05.04"/>
    <s v="01.10"/>
    <s v="07.02"/>
    <s v="72150243"/>
    <s v="Accounts Payable"/>
    <s v="263869"/>
    <s v="Lead – Accounts Payable"/>
    <s v="Hazira"/>
    <s v="0031950045"/>
    <s v="HZ-Works Accounts-Ha"/>
    <s v="2000HWO"/>
    <s v="20001076"/>
    <s v="Bhavesh Modi"/>
    <s v="No"/>
    <s v="megha.modi@amns.in"/>
    <s v="9167041164"/>
    <s v="864739"/>
    <s v="Dhruv Vyas"/>
    <s v="Anil Matoo"/>
    <s v="Praveen Kuruvalli"/>
    <s v="Dhruv Vyas"/>
    <n v="0"/>
  </r>
  <r>
    <n v="4264"/>
    <n v="20056108"/>
    <s v="Farhan Mehboob Virani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Direct Tax"/>
    <m/>
    <s v="Taxation"/>
    <s v="Direct - Taxation"/>
    <s v=""/>
    <s v="Non Technical Support"/>
    <s v="Finance &amp; Accounts"/>
    <s v="Taxation"/>
    <s v="73904001"/>
    <s v="Direct Taxation"/>
    <s v="Mumbai"/>
    <d v="1990-01-04T00:00:00"/>
    <s v="33.08"/>
    <d v="2021-11-16T00:00:00"/>
    <d v="2048-01-31T00:00:00"/>
    <m/>
    <d v="2048-01-31T00:00:00"/>
    <n v="8899"/>
    <s v="B+"/>
    <s v="CA Final-2012 , BCom-2010 , Intermediate"/>
    <s v="09.06"/>
    <s v="01.10"/>
    <s v="11.03"/>
    <s v="00047291"/>
    <s v="Taxation"/>
    <s v="264178"/>
    <s v="Sr. Lead Direct Tax"/>
    <s v="Corporate"/>
    <s v="0090000033"/>
    <s v="Corporate Taxation"/>
    <s v="2000CS"/>
    <s v="20055494"/>
    <s v="Vikas Soni"/>
    <s v="No"/>
    <s v="farhan.virani@amns.in"/>
    <s v="9833688214"/>
    <s v="865028"/>
    <s v="Dhruv Vyas"/>
    <s v="Anil Matoo"/>
    <s v="Praveen Kuruvalli"/>
    <s v="Dhruv Vyas"/>
    <n v="0"/>
  </r>
  <r>
    <n v="4267"/>
    <n v="20056112"/>
    <s v="Arpit Patel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Stores &amp; Warehouse"/>
    <s v="Stores &amp; Warehouse"/>
    <s v=""/>
    <s v="Non Technical Support"/>
    <s v=""/>
    <s v=""/>
    <s v=""/>
    <s v=""/>
    <s v="Hazira"/>
    <d v="1990-11-02T00:00:00"/>
    <s v="32.10"/>
    <d v="2021-11-01T00:00:00"/>
    <d v="2048-11-30T00:00:00"/>
    <m/>
    <d v="2048-11-30T00:00:00"/>
    <n v="9203"/>
    <s v=""/>
    <s v="Diploma-2011 , SSLC-2006"/>
    <s v=""/>
    <s v="01.10"/>
    <s v="01.10"/>
    <s v="00053278"/>
    <s v="GRN/Documentation/Issue - Plant A"/>
    <s v="264667"/>
    <s v="Engineer"/>
    <s v="Hazira"/>
    <s v="0031950049"/>
    <s v="HZ-Central Stores"/>
    <s v="2000HWO"/>
    <s v="20002587"/>
    <s v="Seema Mehta"/>
    <s v="No"/>
    <s v="arpit.patel2@amns.in"/>
    <s v="9909901723"/>
    <s v="792038"/>
    <s v="Dhruv Vyas"/>
    <s v="Anil Matoo"/>
    <s v="Praveen Kuruvalli"/>
    <s v="Dhruv Vyas"/>
    <n v="0"/>
  </r>
  <r>
    <n v="4285"/>
    <n v="20056133"/>
    <s v="Mukesh Kumar Agrawal"/>
    <s v="AM/NS India"/>
    <s v="Onroll"/>
    <s v="M-6"/>
    <n v="6"/>
    <m/>
    <s v="MM"/>
    <s v="M"/>
    <s v="Hazira"/>
    <n v="1"/>
    <s v="2162"/>
    <x v="18"/>
    <s v="33.01"/>
    <s v="Hrishikesh Kamat"/>
    <s v="Hrishikesh Kamat"/>
    <n v="7"/>
    <s v="Procurement"/>
    <s v="Shipping &amp; Chartering"/>
    <s v="33"/>
    <s v="Sr. Lead – Chartering"/>
    <m/>
    <s v="Shipping &amp; Chartering"/>
    <s v=""/>
    <s v=""/>
    <s v="Tech. Support Services"/>
    <s v="Commercial"/>
    <s v="Procurement"/>
    <s v="73803001"/>
    <s v="Procurement"/>
    <s v="AM/NS Hazira"/>
    <d v="1983-04-08T00:00:00"/>
    <s v="40.05"/>
    <d v="2021-11-18T00:00:00"/>
    <d v="2041-04-30T00:00:00"/>
    <m/>
    <d v="2041-04-30T00:00:00"/>
    <n v="6432"/>
    <s v="B+"/>
    <s v="PG Diploma-2012 , BSc-2010 , Diploma-200"/>
    <s v="13.09"/>
    <s v="01.10"/>
    <s v="15.06"/>
    <s v="70494731"/>
    <s v="Ports &amp; Chartering"/>
    <s v="264778"/>
    <s v="Sr. Lead – Chartering"/>
    <s v="Hazira"/>
    <s v="0031950062"/>
    <s v="Hz-Ports"/>
    <s v="2000HWO"/>
    <s v="20055075"/>
    <s v="Ashutosh Mathur"/>
    <s v="No"/>
    <s v="mukesh.agrawal@amns.in"/>
    <s v="9470152393"/>
    <s v="865525"/>
    <s v="Dhruv Vyas"/>
    <s v="Anil Matoo"/>
    <s v="Praveen Kuruvalli"/>
    <s v="Dhruv Vyas"/>
    <n v="0"/>
  </r>
  <r>
    <n v="4289"/>
    <n v="20056138"/>
    <s v="Vishal Gautam"/>
    <s v="AM/NS India"/>
    <s v="Onroll"/>
    <s v="M-9"/>
    <n v="9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Hypermart"/>
    <s v=""/>
    <s v="Non Technical Support"/>
    <s v="Sales &amp; Marketing"/>
    <s v="Sales"/>
    <s v="73104001"/>
    <s v="Sales"/>
    <s v="Jammu"/>
    <d v="1988-09-10T00:00:00"/>
    <s v="35.00"/>
    <d v="2021-11-18T00:00:00"/>
    <d v="2046-09-30T00:00:00"/>
    <m/>
    <d v="2046-09-30T00:00:00"/>
    <n v="8411"/>
    <s v="B+"/>
    <s v="MBA-2013 , BTech-2010 , Intermediate-200"/>
    <s v="08.04"/>
    <s v="01.10"/>
    <s v="10.02"/>
    <s v="00052526"/>
    <s v="Sales - North"/>
    <s v="266028"/>
    <s v="Sales Manager - Hypermart"/>
    <s v="Hypermart"/>
    <s v="0060121100"/>
    <s v="HMART-Jammu"/>
    <s v="2000SPRJ"/>
    <s v="20007322"/>
    <s v="Sanjay Bohra"/>
    <s v="No"/>
    <s v="vishal.gautam@amns.in"/>
    <s v="7341100804"/>
    <s v="867110"/>
    <s v="Dhruv Vyas"/>
    <s v="Anil Matoo"/>
    <s v="Praveen Kuruvalli"/>
    <s v="Dhruv Vyas"/>
    <n v="0"/>
  </r>
  <r>
    <n v="4297"/>
    <n v="20056146"/>
    <s v="Asvinbhai Sutarsandhiya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– Costing &amp; Budgeting"/>
    <m/>
    <s v="Performance Management"/>
    <s v="Performance Management"/>
    <s v=""/>
    <s v="Non Technical Support"/>
    <s v="Finance &amp; Accounts"/>
    <s v="Costing"/>
    <s v="73906001"/>
    <s v="Costing"/>
    <s v="AM/NS Hazira"/>
    <d v="1983-01-21T00:00:00"/>
    <s v="40.07"/>
    <d v="2021-12-06T00:00:00"/>
    <d v="2041-01-31T00:00:00"/>
    <m/>
    <d v="2041-01-31T00:00:00"/>
    <n v="6343"/>
    <s v="O+"/>
    <s v="Bachelor Equivalent-2006 , BCom-2003 , I"/>
    <s v="15.00"/>
    <s v="01.09"/>
    <s v="16.09"/>
    <s v="00045632"/>
    <s v="Costing &amp; Budgeting"/>
    <s v="266442"/>
    <s v="Sr. Lead – Costing &amp; Budgeting"/>
    <s v="Hazira"/>
    <s v="0031950043"/>
    <s v="HZ-Performance Manag"/>
    <s v="2000HWO"/>
    <s v="20003280"/>
    <s v="Chetan Jansari"/>
    <s v="No"/>
    <s v="asvin.sutarsandhiya@amns.in"/>
    <s v="9978808233"/>
    <s v="868218"/>
    <s v="Dhruv Vyas"/>
    <s v="Anil Matoo"/>
    <s v="Praveen Kuruvalli"/>
    <s v="Dhruv Vyas"/>
    <n v="0"/>
  </r>
  <r>
    <n v="4302"/>
    <n v="20056151"/>
    <s v="Sweta Jain"/>
    <s v="AM/NS India"/>
    <s v="Onroll"/>
    <s v="M-9"/>
    <n v="9"/>
    <m/>
    <s v="JM"/>
    <s v="F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Finance &amp; Accounts"/>
    <s v="Insurance &amp; Risk Management"/>
    <s v="73905001"/>
    <s v="Insurance &amp; Risk Managmen"/>
    <s v="AM/NS Hazira"/>
    <d v="1987-12-18T00:00:00"/>
    <s v="35.09"/>
    <d v="2021-12-01T00:00:00"/>
    <d v="2045-12-31T00:00:00"/>
    <m/>
    <d v="2045-12-31T00:00:00"/>
    <n v="8138"/>
    <s v="B+"/>
    <s v="CA Final-2012 , CS-2010 , BCom-2009 , In"/>
    <s v="06.10"/>
    <s v="01.09"/>
    <s v="08.07"/>
    <s v="00044330"/>
    <s v="Internal Audit - Hazira"/>
    <s v="266447"/>
    <s v="Lead - Internal Audit"/>
    <s v="Hazira"/>
    <s v="0090000035"/>
    <s v="Internal Audit"/>
    <s v="2000HWO"/>
    <s v="20028777"/>
    <s v="Narendra Dugar"/>
    <s v="No"/>
    <s v="sweta.jain@amns.in"/>
    <s v="8469584418"/>
    <s v="25135"/>
    <s v="Dhruv Vyas"/>
    <s v="Anil Matoo"/>
    <s v="Praveen Kuruvalli"/>
    <s v="Dhruv Vyas"/>
    <n v="0"/>
  </r>
  <r>
    <n v="4304"/>
    <n v="20056155"/>
    <s v="Kondapalli Venkateswarlu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– Technical Marketing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Noida"/>
    <d v="1972-06-16T00:00:00"/>
    <s v="51.03"/>
    <d v="2021-12-07T00:00:00"/>
    <d v="2030-06-30T00:00:00"/>
    <m/>
    <d v="2030-06-30T00:00:00"/>
    <n v="2475"/>
    <s v="B+"/>
    <s v="MTech-1999 , BTech-1996 , Diploma-1995 ,"/>
    <s v="23.06"/>
    <s v="01.09"/>
    <s v="25.03"/>
    <s v="00052460"/>
    <s v="Auto &amp; YG"/>
    <s v="266697"/>
    <s v="Section Head – Auto and YG"/>
    <s v="Corporate"/>
    <s v="0080000005"/>
    <s v="Global Markets Team"/>
    <s v="2000CS"/>
    <s v="20008508"/>
    <s v="Satyajit Mohapatra"/>
    <s v="No"/>
    <s v="venkat.kondapalli@amns.in"/>
    <s v="9560982229"/>
    <s v="2505"/>
    <s v="Dhruv Vyas"/>
    <s v="Anil Matoo"/>
    <s v="Praveen Kuruvalli"/>
    <s v="Dhruv Vyas"/>
    <n v="0"/>
  </r>
  <r>
    <n v="4305"/>
    <n v="20056156"/>
    <s v="Gayatri Patel"/>
    <s v="AM/NS India"/>
    <s v="Onroll"/>
    <s v="M-9"/>
    <n v="9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Lead - Post PO"/>
    <m/>
    <s v="Procurement MRO Hazira"/>
    <s v="Procurement"/>
    <s v=""/>
    <s v="Non Technical Support"/>
    <s v="Commercial"/>
    <s v="Procurement"/>
    <s v="73803001"/>
    <s v="Procurement"/>
    <s v="AM/NS Hazira"/>
    <d v="1975-05-05T00:00:00"/>
    <s v="48.04"/>
    <d v="2021-12-13T00:00:00"/>
    <d v="2033-05-31T00:00:00"/>
    <m/>
    <d v="2033-05-31T00:00:00"/>
    <n v="3541"/>
    <s v="B+"/>
    <s v="BCom-1996 , Intermediate-1992 , SSLC-199"/>
    <s v="10.01"/>
    <s v="01.09"/>
    <s v="11.09"/>
    <s v="72150383"/>
    <s v="Procurement (MRO/IP &amp; Consumable)"/>
    <s v="266695"/>
    <s v="Lead - Post PO"/>
    <s v="Hazira"/>
    <s v="0031950048"/>
    <s v="HZ-Procurment Depart"/>
    <s v="2000HWO"/>
    <s v="20000201"/>
    <s v="Manish Bakriwala"/>
    <s v="No"/>
    <s v="gayatri.patel@amns.in"/>
    <s v="8160962096"/>
    <s v="869494"/>
    <s v="Dhruv Vyas"/>
    <s v="Anil Matoo"/>
    <s v="Praveen Kuruvalli"/>
    <s v="Dhruv Vyas"/>
    <n v="0"/>
  </r>
  <r>
    <n v="4306"/>
    <n v="20056157"/>
    <s v="Sujit Kumar Mohanty"/>
    <s v="AM/NS India"/>
    <s v="Onroll"/>
    <s v="M-9"/>
    <n v="9"/>
    <m/>
    <s v="JM"/>
    <s v="M"/>
    <s v="Odisha"/>
    <n v="2"/>
    <s v="2095"/>
    <x v="4"/>
    <n v="36.01"/>
    <s v="Deepak Sindkar"/>
    <s v="Hrishikesh Kamat"/>
    <n v="7"/>
    <s v="Procurement"/>
    <s v="Raw Materials"/>
    <s v="36"/>
    <s v="Lead - Logistics, Beneficiation"/>
    <m/>
    <s v="Bulk Raw Materials"/>
    <s v="Raw Material"/>
    <s v=""/>
    <s v="Non Technical Support"/>
    <s v="Commercial"/>
    <s v="Procurement"/>
    <s v="73803001"/>
    <s v="Procurement"/>
    <s v="Dabuna"/>
    <d v="1982-07-07T00:00:00"/>
    <s v="41.02"/>
    <d v="2021-12-01T00:00:00"/>
    <d v="2040-07-31T00:00:00"/>
    <m/>
    <d v="2040-07-31T00:00:00"/>
    <n v="6159"/>
    <s v="O+"/>
    <s v="MBA-2017 , BA-2002 , Intermediate-1999 ,"/>
    <s v="17.02"/>
    <s v="01.09"/>
    <s v="18.11"/>
    <s v="70318846"/>
    <s v="Logistics &amp; Tailing Management"/>
    <s v="267037"/>
    <s v="Lead - Logistics, Beneficiation"/>
    <s v="Odisha"/>
    <s v="0022010019"/>
    <s v="DBN-Benf-HR/Admin"/>
    <s v="2000STORIS"/>
    <s v="20006499"/>
    <s v="Jaikishan Sharma"/>
    <s v="No"/>
    <s v="sujitkumar.mohanty@amns.in"/>
    <s v="8599008702"/>
    <s v="869498"/>
    <s v="Sunila Das"/>
    <s v="Anil Matoo"/>
    <s v="Praveen Kuruvalli"/>
    <s v="Sunila Das"/>
    <n v="0"/>
  </r>
  <r>
    <n v="4308"/>
    <n v="20056160"/>
    <s v="Sindha Kiransinh"/>
    <s v="AM/NS India"/>
    <s v="Onroll"/>
    <s v="M-9"/>
    <n v="9"/>
    <m/>
    <s v="JM"/>
    <s v="M"/>
    <s v="Hazira"/>
    <n v="1"/>
    <s v="2094"/>
    <x v="21"/>
    <s v="27.10"/>
    <s v="Vikas Chandra Yadvendu"/>
    <s v="Ashutosh Telang"/>
    <n v="6"/>
    <s v="HR &amp; Administration"/>
    <s v="Corporate SocialResponsibility"/>
    <s v="27"/>
    <s v="Lead - CSR Hazira"/>
    <m/>
    <s v=""/>
    <s v=""/>
    <s v=""/>
    <s v="Non Technical Support"/>
    <s v="Corporate Social Responsibility"/>
    <s v="Corporate Social Responsibility"/>
    <s v="75001001"/>
    <s v="Corporate Social Responsi"/>
    <s v="Hazira"/>
    <d v="1988-07-28T00:00:00"/>
    <s v="35.01"/>
    <d v="2021-12-16T00:00:00"/>
    <d v="2046-07-31T00:00:00"/>
    <m/>
    <d v="2046-07-31T00:00:00"/>
    <n v="8350"/>
    <s v="O+"/>
    <s v="LLM-2019 , LLB-2017 , MSW-2010 , BA-2008"/>
    <s v="09.01"/>
    <s v="01.09"/>
    <s v="10.09"/>
    <s v="70495661"/>
    <s v="Corporate Social Responsibility"/>
    <s v="267040"/>
    <s v="Lead - CSR Hazira"/>
    <s v="Hazira"/>
    <s v="0022030019"/>
    <s v="PDP-HR &amp; Admn"/>
    <s v="2000HWO"/>
    <s v="20055033"/>
    <s v="Vikas Chandra Yadvendu"/>
    <s v="No"/>
    <s v="kiransinh.sindha@amns.in"/>
    <s v="9998993472"/>
    <s v="869501"/>
    <s v="Dhruv Vyas"/>
    <s v="Anil Matoo"/>
    <s v="Praveen Kuruvalli"/>
    <s v="Dhruv Vyas"/>
    <n v="0"/>
  </r>
  <r>
    <n v="4311"/>
    <n v="20056164"/>
    <s v="Sukesh Kumar Jena"/>
    <s v="AM/NS India"/>
    <s v="Onroll"/>
    <s v="M-8"/>
    <n v="8"/>
    <m/>
    <s v="JM"/>
    <s v="M"/>
    <s v="Mining"/>
    <n v="8"/>
    <s v="2043"/>
    <x v="3"/>
    <s v="31.01"/>
    <s v="Hrishikesh Kamat"/>
    <s v="Hrishikesh Kamat"/>
    <n v="7"/>
    <s v="Procurement"/>
    <s v="Procurement"/>
    <s v="31"/>
    <s v="Sr. Lead - Procurement &amp; Contracts"/>
    <m/>
    <s v="Procurement &amp; Account"/>
    <s v="Procurement"/>
    <s v=""/>
    <s v="Non Technical Support"/>
    <s v="Operations"/>
    <s v="Operations"/>
    <s v="72103001"/>
    <s v="Operations"/>
    <s v="Barbil"/>
    <d v="1985-06-03T00:00:00"/>
    <s v="38.03"/>
    <d v="2021-12-09T00:00:00"/>
    <d v="2043-06-30T00:00:00"/>
    <m/>
    <d v="2043-06-30T00:00:00"/>
    <n v="7223"/>
    <s v="O+"/>
    <s v="PG Diploma-2019 , AMIE-2015 , Diploma-20"/>
    <s v="13.08"/>
    <s v="01.09"/>
    <s v="15.05"/>
    <s v="70407583"/>
    <s v="Procurement - Odisha Asset"/>
    <s v="267301"/>
    <s v="Sr. Lead - Procurement &amp; Contracts"/>
    <s v="Odisha"/>
    <s v="0011000018"/>
    <s v="Sagasahi Mine HR"/>
    <s v="2000STORIS"/>
    <s v="20055692"/>
    <s v="Rajiv Ranjan"/>
    <s v="No"/>
    <s v="sukesh.jena@amns.in"/>
    <s v="7978754748"/>
    <s v="869940"/>
    <s v="Pramod Sinha"/>
    <s v="Anil Matoo"/>
    <s v="Praveen Kuruvalli"/>
    <s v="Dhruv Vyas"/>
    <n v="0"/>
  </r>
  <r>
    <n v="4313"/>
    <n v="20056166"/>
    <s v="Sachin Dubal"/>
    <s v="AM/NS India"/>
    <s v="Onroll"/>
    <s v="M-9"/>
    <n v="9"/>
    <m/>
    <s v="J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Lead - Human Resource "/>
    <m/>
    <s v="Human Resources"/>
    <s v="Human Resources"/>
    <s v="Human Resources"/>
    <s v="Non Technical Support"/>
    <s v="Human Resources Management"/>
    <s v="Human Resources Management"/>
    <s v="73501001"/>
    <s v="Human Resources"/>
    <s v="Pune"/>
    <d v="1984-05-28T00:00:00"/>
    <s v="39.03"/>
    <d v="2021-12-24T00:00:00"/>
    <d v="2042-05-31T00:00:00"/>
    <m/>
    <d v="2042-05-31T00:00:00"/>
    <n v="6828"/>
    <s v="AB+"/>
    <s v="MSW-2010 , BCom-2005 , Intermediate-2002"/>
    <s v="10.03"/>
    <s v="01.08"/>
    <s v="12.00"/>
    <s v="00044376"/>
    <s v="Service Center &amp; Hypermart HR"/>
    <s v="267740"/>
    <s v="Lead - Human Resource"/>
    <s v="Service Center"/>
    <s v="0040020019"/>
    <s v="SC-Pune-Op1-HR-Admin"/>
    <s v="2000SPRJ"/>
    <s v="20057135"/>
    <s v="RAHUL RAJ"/>
    <s v="No"/>
    <s v="sachin.dubal@amns.in"/>
    <s v="09823559800"/>
    <s v="25463"/>
    <s v="Dhruv Vyas"/>
    <s v="Anil Matoo"/>
    <s v="Praveen Kuruvalli"/>
    <s v="Dhruv Vyas"/>
    <n v="0"/>
  </r>
  <r>
    <n v="4314"/>
    <n v="20056168"/>
    <s v="Debasis Swain"/>
    <s v="AM/NS India"/>
    <s v="Onroll"/>
    <s v="M-9"/>
    <n v="9"/>
    <m/>
    <s v="JM"/>
    <s v="M"/>
    <s v="Odisha"/>
    <n v="2"/>
    <s v="2094"/>
    <x v="21"/>
    <s v="27.10"/>
    <s v="Vikas Chandra Yadvendu"/>
    <s v="Ashutosh Telang"/>
    <n v="6"/>
    <s v="HR &amp; Administration"/>
    <s v="Corporate SocialResponsibility"/>
    <s v="27"/>
    <s v="Lead - CSR"/>
    <m/>
    <s v="Odisha Operations"/>
    <s v=""/>
    <s v=""/>
    <s v="Non Technical Support"/>
    <s v="Corporate Social Responsibility"/>
    <s v="Corporate Social Responsibility"/>
    <s v="75001001"/>
    <s v="Corporate Social Responsi"/>
    <s v="Paradeep"/>
    <d v="1980-03-23T00:00:00"/>
    <s v="43.05"/>
    <d v="2021-12-27T00:00:00"/>
    <d v="2038-03-31T00:00:00"/>
    <m/>
    <d v="2038-03-31T00:00:00"/>
    <n v="5306"/>
    <s v="AB+"/>
    <s v="MA-2005 , BA-2002 , Diploma-1999 , Inter"/>
    <s v="14.07"/>
    <s v="01.08"/>
    <s v="16.03"/>
    <s v="70495661"/>
    <s v="Corporate Social Responsibility"/>
    <s v="267748"/>
    <s v="Lead - CSR"/>
    <s v="Odisha"/>
    <s v="0022030019"/>
    <s v="PDP-HR &amp; Admn"/>
    <s v="2000STORIS"/>
    <s v="20055033"/>
    <s v="Vikas Chandra Yadvendu"/>
    <s v="No"/>
    <s v="debasis.swain@amns.in"/>
    <s v="9937332988"/>
    <s v="870752"/>
    <s v="Sunila Das"/>
    <s v="Anil Matoo"/>
    <s v="Praveen Kuruvalli"/>
    <s v="Sunila Das"/>
    <n v="0"/>
  </r>
  <r>
    <n v="4322"/>
    <n v="20056177"/>
    <s v="Manoj Kumar Nayak"/>
    <s v="AM/NS India"/>
    <s v="Onroll"/>
    <s v="M-9"/>
    <n v="9"/>
    <m/>
    <s v="JM"/>
    <s v="M"/>
    <s v="Mining"/>
    <n v="8"/>
    <s v="2013"/>
    <x v="0"/>
    <s v="20.01"/>
    <s v="Akiyo Omori"/>
    <s v="Amit Harlalka"/>
    <n v="5"/>
    <s v="Finance &amp; Accounts"/>
    <s v="Finance &amp; Accounts"/>
    <s v="20"/>
    <s v="Lead - Finance &amp; Accounts"/>
    <m/>
    <s v="Finance &amp; Accounts"/>
    <s v="Finance &amp; Accounts"/>
    <s v=""/>
    <s v="Non Technical Support"/>
    <s v="Commercial"/>
    <s v="Commercial"/>
    <s v="73801001"/>
    <s v="Commercial"/>
    <s v="Barbil"/>
    <d v="1988-04-20T00:00:00"/>
    <s v="35.05"/>
    <d v="2021-12-27T00:00:00"/>
    <d v="2046-04-30T00:00:00"/>
    <m/>
    <d v="2046-04-30T00:00:00"/>
    <n v="8258"/>
    <s v="O+"/>
    <s v="PG Diploma-2011 , BCom-2008 , Intermedia"/>
    <s v="09.05"/>
    <s v="01.08"/>
    <s v="11.02"/>
    <s v="00048985"/>
    <s v="Finance &amp; Accounting"/>
    <s v="268031"/>
    <s v="Lead - Finance &amp; Accounts"/>
    <s v="Odisha"/>
    <s v="0011000018"/>
    <s v="Sagasahi Mine HR"/>
    <s v="2000STORIS"/>
    <s v="20055720"/>
    <s v="Sambit Kumar Mohapatra"/>
    <s v="No"/>
    <s v="manoj.nayak@amns.in"/>
    <s v="9776062551"/>
    <s v="871258"/>
    <s v="Pramod Sinha"/>
    <s v="Anil Matoo"/>
    <s v="Praveen Kuruvalli"/>
    <s v="Pramod Sinha"/>
    <n v="0"/>
  </r>
  <r>
    <n v="4323"/>
    <n v="20056178"/>
    <s v="Aakansha Sinha"/>
    <s v="AM/NS India"/>
    <s v="Onroll"/>
    <s v="M-8"/>
    <n v="8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MT – HR"/>
    <m/>
    <s v="Human Resources"/>
    <s v=""/>
    <s v=""/>
    <s v="Non Technical Support"/>
    <s v="Human Resources Management"/>
    <s v="Human Resources Management"/>
    <s v="73501001"/>
    <s v="Human Resources"/>
    <s v="Hazira"/>
    <d v="1993-05-14T00:00:00"/>
    <s v="30.04"/>
    <d v="2022-01-04T00:00:00"/>
    <d v="2051-05-31T00:00:00"/>
    <m/>
    <d v="2051-05-31T00:00:00"/>
    <n v="10115"/>
    <s v="B+"/>
    <s v="MBA-2021 , BTech-2016 , Intermediate-201"/>
    <s v="03.00"/>
    <s v="01.08"/>
    <s v="04.09"/>
    <s v="70492872"/>
    <s v="Talent Management &amp; OD"/>
    <s v="268023"/>
    <s v="MT – HR"/>
    <s v="Corporate"/>
    <s v="0031950061"/>
    <s v="HZ-Human Resource"/>
    <s v="2000CS"/>
    <s v="20054232"/>
    <s v="Imran Mohammad"/>
    <s v="No"/>
    <s v="aakansha.sinha@amns.in"/>
    <s v="8976785837"/>
    <s v="871302"/>
    <s v="Dhruv Vyas"/>
    <s v="Anil Matoo"/>
    <s v="Praveen Kuruvalli"/>
    <s v="Dhruv Vyas"/>
    <n v="0"/>
  </r>
  <r>
    <n v="4327"/>
    <n v="20056185"/>
    <s v="Satish Kumar Charchi"/>
    <s v="AM/NS India"/>
    <s v="Onroll"/>
    <s v="M-8"/>
    <n v="8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Lead Costing &amp; Budgeting"/>
    <m/>
    <s v="Finance &amp; Accounts - Odisha"/>
    <s v="Finance &amp; Accounts"/>
    <s v=""/>
    <s v="Non Technical Support"/>
    <s v="Finance &amp; Accounts"/>
    <s v="Finance &amp; Accounts"/>
    <s v="73901001"/>
    <s v="Finance &amp; Accounts"/>
    <s v="Dabuna"/>
    <d v="1983-06-08T00:00:00"/>
    <s v="40.03"/>
    <d v="2022-01-03T00:00:00"/>
    <d v="2041-06-30T00:00:00"/>
    <m/>
    <d v="2041-06-30T00:00:00"/>
    <n v="6493"/>
    <s v="B+"/>
    <s v="MCom-2014 , BCom-2003 , Intermediate-200"/>
    <s v="17.02"/>
    <s v="01.08"/>
    <s v="18.10"/>
    <s v="70234933"/>
    <s v="Finance &amp; Accounts - Odisha"/>
    <s v="268035"/>
    <s v="Lead Costing &amp; Budgeting"/>
    <s v="Odisha"/>
    <s v="0022030019"/>
    <s v="PDP-HR &amp; Admn"/>
    <s v="2000STORIS"/>
    <s v="20055801"/>
    <s v="Sanjive Kumar Singh"/>
    <s v="No"/>
    <s v="satishkumar.charchi@amns.in"/>
    <s v="8340510261"/>
    <s v="871591"/>
    <s v="Sunila Das"/>
    <s v="Anil Matoo"/>
    <s v="Praveen Kuruvalli"/>
    <s v="Sunila Das"/>
    <n v="0"/>
  </r>
  <r>
    <n v="4332"/>
    <n v="20056191"/>
    <s v="Deepti Mahakud"/>
    <s v="AM/NS India"/>
    <s v="Onroll"/>
    <s v="M-10"/>
    <n v="10"/>
    <m/>
    <s v="JM"/>
    <s v="F"/>
    <s v="Pune Facility"/>
    <n v="4"/>
    <s v="2043"/>
    <x v="3"/>
    <s v="31.01"/>
    <s v="Hrishikesh Kamat"/>
    <s v="Hrishikesh Kamat"/>
    <n v="7"/>
    <s v="Procurement"/>
    <s v="Procurement"/>
    <s v="31"/>
    <s v="Lead - Procurement"/>
    <m/>
    <s v="Pune Operations"/>
    <s v=""/>
    <s v=""/>
    <s v="Non Technical Support"/>
    <s v="Commercial"/>
    <s v="Procurement"/>
    <s v="73803001"/>
    <s v="Procurement"/>
    <s v="Pune"/>
    <d v="1994-01-04T00:00:00"/>
    <s v="29.08"/>
    <d v="2022-01-05T00:00:00"/>
    <d v="2052-01-31T00:00:00"/>
    <m/>
    <d v="2052-01-31T00:00:00"/>
    <n v="10360"/>
    <s v="A+"/>
    <s v="BTech-2017 , Diploma-2013 , SSLC-2009"/>
    <s v="03.11"/>
    <s v="01.08"/>
    <s v="05.07"/>
    <s v="73800002"/>
    <s v="Procurement - Pune Asset"/>
    <s v="268668"/>
    <s v="Lead - Procurement"/>
    <s v="Pune Facility"/>
    <s v="0035950041"/>
    <s v="Pune-Procurement"/>
    <s v="2000ESPF"/>
    <s v="20006536"/>
    <s v="Mahesh Salunke"/>
    <s v="No"/>
    <s v="deepti.mahakud@amns.in"/>
    <s v="7894458192"/>
    <s v="872213"/>
    <s v="Roshan Farkunde"/>
    <s v="Anil Matoo"/>
    <n v="0"/>
    <s v="Surinder Choudhary"/>
    <s v="Robin Patel"/>
  </r>
  <r>
    <n v="4374"/>
    <n v="20056246"/>
    <s v="Soumitra Patnaik"/>
    <s v="AM/NS India"/>
    <s v="Onroll"/>
    <s v="M-4"/>
    <n v="4"/>
    <m/>
    <s v="SM"/>
    <s v="M"/>
    <s v="Odisha"/>
    <n v="2"/>
    <s v="2069"/>
    <x v="8"/>
    <s v="25.01"/>
    <s v="Bibek Chattopadhyay"/>
    <s v="Ashutosh Telang"/>
    <n v="6"/>
    <s v="HR &amp; Administration"/>
    <s v="Corporate Communications"/>
    <s v="25"/>
    <s v="Head  Corporate Communication, Odisha"/>
    <m/>
    <s v="Corporate Communication"/>
    <s v="Corporate Communication"/>
    <s v="Corporate Communication"/>
    <s v="Non Technical Support"/>
    <s v="Corporate Communication"/>
    <s v="Corporate Communication"/>
    <s v="74001001"/>
    <s v="Corporate Communication"/>
    <s v="Bhubaneswar"/>
    <d v="1969-01-14T00:00:00"/>
    <s v="54.08"/>
    <d v="2022-01-17T00:00:00"/>
    <d v="2027-01-31T00:00:00"/>
    <m/>
    <d v="2027-01-31T00:00:00"/>
    <n v="1229"/>
    <s v="O+"/>
    <s v="PG Diploma-1999 , MBA-1990 , BA-1987 , I"/>
    <s v="26.07"/>
    <s v="01.08"/>
    <s v="28.03"/>
    <s v="00046762"/>
    <s v="Communiation &amp; Media Relations Odisha"/>
    <s v="271590"/>
    <s v="Head  Corporate Communication"/>
    <s v="Odisha"/>
    <s v="0090000016"/>
    <s v="Corporate Steel - Co"/>
    <s v="2000STORIS"/>
    <s v="20055187"/>
    <s v="Bibek Chattopadhyay"/>
    <s v="No"/>
    <s v="soumitra.patnaik@amns.in"/>
    <s v="9937012643"/>
    <s v="876159"/>
    <s v="Sunila Das"/>
    <s v="Anil Matoo"/>
    <s v="Praveen Kuruvalli"/>
    <s v="Sunila Das"/>
    <n v="0"/>
  </r>
  <r>
    <n v="4375"/>
    <n v="20056247"/>
    <s v="Asit Samantaray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 Insurance"/>
    <m/>
    <s v="Risk &amp; Insurance"/>
    <s v="Risk &amp; Insurance"/>
    <s v=""/>
    <s v="Non Technical Support"/>
    <s v="Finance &amp; Accounts"/>
    <s v="Finance &amp; Accounts"/>
    <s v="73901001"/>
    <s v="Finance &amp; Accounts"/>
    <s v="AM/NS Hazira"/>
    <d v="1984-06-05T00:00:00"/>
    <s v="39.03"/>
    <d v="2022-01-17T00:00:00"/>
    <d v="2042-06-30T00:00:00"/>
    <m/>
    <d v="2042-06-30T00:00:00"/>
    <n v="6858"/>
    <s v="B+"/>
    <s v="PG Diploma-2011 , BE-2006 , Intermediate"/>
    <s v="12.06"/>
    <s v="01.08"/>
    <s v="14.02"/>
    <s v="70447071"/>
    <s v="Insurance &amp; Financial Risk"/>
    <s v="271587"/>
    <s v="Sr. Lead  Insurance"/>
    <s v="Hazira"/>
    <s v="0090000028"/>
    <s v="Corporate Steel - Wo"/>
    <s v="2000HWO"/>
    <s v="20017504"/>
    <s v="Appi Reddy Guttikonda"/>
    <s v="No"/>
    <s v="asit.samantaray@amns.in"/>
    <s v="8885299752"/>
    <s v="876251"/>
    <s v="Dhruv Vyas"/>
    <s v="Anil Matoo"/>
    <s v="Praveen Kuruvalli"/>
    <s v="Dhruv Vyas"/>
    <n v="0"/>
  </r>
  <r>
    <n v="4377"/>
    <n v="20056250"/>
    <s v="Nirmal Patel"/>
    <s v="AM/NS India"/>
    <s v="Onroll"/>
    <s v="M-9"/>
    <n v="9"/>
    <m/>
    <s v="JM"/>
    <s v="M"/>
    <s v="Hazira"/>
    <n v="1"/>
    <s v="2095"/>
    <x v="4"/>
    <n v="36.01"/>
    <s v="Deepak Sindkar"/>
    <s v="Hrishikesh Kamat"/>
    <n v="7"/>
    <s v="Procurement"/>
    <s v="Raw Materials"/>
    <s v="36"/>
    <s v="Lead Bulk Rawmaterial"/>
    <m/>
    <s v="Bulk Raw Materials"/>
    <s v="Power &amp; Gas"/>
    <s v=""/>
    <s v="Non Technical Support"/>
    <s v="Commercial"/>
    <s v="Procurement"/>
    <s v="73803001"/>
    <s v="Procurement"/>
    <s v="AM/NS Hazira"/>
    <d v="1993-05-08T00:00:00"/>
    <s v="30.04"/>
    <d v="2022-01-24T00:00:00"/>
    <d v="2051-05-31T00:00:00"/>
    <m/>
    <d v="2051-05-31T00:00:00"/>
    <n v="10115"/>
    <s v="B+"/>
    <s v="PG Diploma in Management-2020 , BE-2016"/>
    <s v="02.07"/>
    <s v="01.07"/>
    <s v="04.02"/>
    <s v="00045894"/>
    <s v="Blacks"/>
    <s v="271588"/>
    <s v="Lead Bulk Rawmaterial"/>
    <s v="Hazira"/>
    <s v="0031950048"/>
    <s v="HZ-Procurment Depart"/>
    <s v="2000HWO"/>
    <s v="20001577"/>
    <s v="Prakash Thakur"/>
    <s v="No"/>
    <s v="nirmal.patel@amns.in"/>
    <s v="9067007922"/>
    <s v="876287"/>
    <s v="Dhruv Vyas"/>
    <s v="Anil Matoo"/>
    <s v="Praveen Kuruvalli"/>
    <s v="Dhruv Vyas"/>
    <n v="0"/>
  </r>
  <r>
    <n v="4383"/>
    <n v="20056258"/>
    <s v="Dhwanil Dave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 Capex Procurement"/>
    <m/>
    <s v="Procurement MRO Hazira"/>
    <s v="Procurement"/>
    <s v=""/>
    <s v="Non Technical Support"/>
    <s v="Operations"/>
    <s v="Operations"/>
    <s v="72103001"/>
    <s v="Operations"/>
    <s v="Hazira"/>
    <d v="1996-10-18T00:00:00"/>
    <s v="26.11"/>
    <d v="2022-01-31T00:00:00"/>
    <d v="2054-10-31T00:00:00"/>
    <m/>
    <d v="2054-10-31T00:00:00"/>
    <n v="11364"/>
    <s v="B+"/>
    <s v="MSc-2019 , BE-2018 , Diploma-2015 , SSLC"/>
    <s v="01.11"/>
    <s v="01.07"/>
    <s v="03.06"/>
    <s v="00049359"/>
    <s v="Capex Services"/>
    <s v="271599"/>
    <s v="Officer  Capex Procurement"/>
    <s v="Hazira"/>
    <s v="0031950059"/>
    <s v="HZ-Hazira Project"/>
    <s v="2000HWO"/>
    <s v="20055446"/>
    <s v="Chitrang Rana"/>
    <s v="No"/>
    <s v="dhwanil.dave@amns.in"/>
    <s v="9429486865"/>
    <s v="876961"/>
    <s v="Dhruv Vyas"/>
    <s v="Anil Matoo"/>
    <s v="Praveen Kuruvalli"/>
    <s v="Dhruv Vyas"/>
    <n v="0"/>
  </r>
  <r>
    <n v="4389"/>
    <n v="20056268"/>
    <s v="Bhavsar Shalini Ishan"/>
    <s v="AM/NS India"/>
    <s v="Onroll"/>
    <s v="M-11"/>
    <n v="11"/>
    <m/>
    <s v="JM"/>
    <s v="F"/>
    <s v="Hazira"/>
    <n v="1"/>
    <s v="2023"/>
    <x v="6"/>
    <s v="24.08"/>
    <s v="Anil Matoo"/>
    <s v="Ashutosh Telang"/>
    <n v="6"/>
    <s v="HR &amp; Administration"/>
    <s v="Administration"/>
    <s v="24"/>
    <s v="Executive  Admin"/>
    <m/>
    <s v=""/>
    <s v=""/>
    <s v=""/>
    <s v="Non Technical Support"/>
    <s v="Corporate Relations"/>
    <s v="Corporate Affairs"/>
    <s v="74501001"/>
    <s v="Corporate Affairs"/>
    <s v="Ahmedabad"/>
    <d v="1996-01-15T00:00:00"/>
    <s v="27.08"/>
    <d v="2022-02-03T00:00:00"/>
    <d v="2054-01-31T00:00:00"/>
    <m/>
    <d v="2054-01-31T00:00:00"/>
    <n v="11091"/>
    <s v="O+"/>
    <s v="BSc-2018 , Intermediate-2015 , SSLC-2013"/>
    <s v="01.06"/>
    <s v="01.07"/>
    <s v="03.01"/>
    <s v="00049721"/>
    <s v="Regional &amp; Corporate offices"/>
    <s v="271604"/>
    <s v="Executive  Admin"/>
    <s v="Hazira"/>
    <s v="0090000016"/>
    <s v="Corporate Steel - Co"/>
    <s v="2000HWO"/>
    <s v="20057888"/>
    <s v="Narinder Lamba"/>
    <s v="No"/>
    <s v="shalini.bhavsar@amns.in"/>
    <s v="6358942196"/>
    <s v="877136"/>
    <s v="Dhruv Vyas"/>
    <s v="Anil Matoo"/>
    <s v="Praveen Kuruvalli"/>
    <s v="Dhruv Vyas"/>
    <n v="0"/>
  </r>
  <r>
    <n v="4391"/>
    <n v="20056270"/>
    <s v="Shubham Bhartiya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 Capex Finance"/>
    <m/>
    <s v="Capex Finance"/>
    <s v="Capex Finance"/>
    <s v=""/>
    <s v="Non Technical Support"/>
    <s v="Finance &amp; Accounts"/>
    <s v="Costing"/>
    <s v="73906001"/>
    <s v="Costing"/>
    <s v="AM/NS Hazira"/>
    <d v="1994-04-04T00:00:00"/>
    <s v="29.05"/>
    <d v="2022-01-28T00:00:00"/>
    <d v="2052-04-30T00:00:00"/>
    <m/>
    <d v="2052-04-30T00:00:00"/>
    <n v="10450"/>
    <s v="O+"/>
    <s v="CA Final-2019 , BCom-2015 , Intermediate"/>
    <s v="02.07"/>
    <s v="01.07"/>
    <s v="04.02"/>
    <s v="00045912"/>
    <s v="Capex - Finance"/>
    <s v="271589"/>
    <s v="Lead  Capex Finance"/>
    <s v="Hazira"/>
    <s v="0090000038"/>
    <s v="CAPEX FINANCE"/>
    <s v="2000HWO"/>
    <s v="20055590"/>
    <s v="Mehul Thakkar"/>
    <s v="No"/>
    <s v="shubham.bhartiya@amns.in"/>
    <s v="9038874943"/>
    <s v="877306"/>
    <s v="Dhruv Vyas"/>
    <s v="Anil Matoo"/>
    <s v="Praveen Kuruvalli"/>
    <s v="Dhruv Vyas"/>
    <n v="0"/>
  </r>
  <r>
    <n v="4395"/>
    <n v="20056274"/>
    <s v="Priya Jha"/>
    <s v="AM/NS India"/>
    <s v="Onroll"/>
    <s v="M-9"/>
    <n v="9"/>
    <m/>
    <s v="JM"/>
    <s v="F"/>
    <s v="Odisha"/>
    <n v="2"/>
    <s v="2015"/>
    <x v="1"/>
    <s v="22.06"/>
    <s v="Praveen Kuruvalli"/>
    <s v="Ashutosh Telang"/>
    <n v="6"/>
    <s v="HR &amp; Administration"/>
    <s v="Human Resources"/>
    <s v="22"/>
    <s v="Lead  Human Resources"/>
    <m/>
    <s v="Human Resources"/>
    <s v=""/>
    <s v=""/>
    <s v="Non Technical Support"/>
    <s v="Human Resources Management"/>
    <s v="Human Resources Management"/>
    <s v="73501002"/>
    <s v="Human Resources Operation"/>
    <s v="Bhubaneswar"/>
    <d v="1994-10-10T00:00:00"/>
    <s v="28.11"/>
    <d v="2022-02-15T00:00:00"/>
    <d v="2052-10-31T00:00:00"/>
    <m/>
    <d v="2052-10-31T00:00:00"/>
    <n v="10634"/>
    <s v="A+"/>
    <s v="PG Diploma-2019 , BCom-2017 , Intermedia"/>
    <s v="02.11"/>
    <s v="01.07"/>
    <s v="04.06"/>
    <s v="70495430"/>
    <s v="Odisha HR Operations"/>
    <s v="272214"/>
    <s v="Lead  Human Resources"/>
    <s v="Odisha"/>
    <s v="0022030019"/>
    <s v="PDP-HR &amp; Admn"/>
    <s v="2000STORIS"/>
    <s v="20055611"/>
    <s v="Sunila Kumar Das"/>
    <s v="No"/>
    <s v="priya.jha@amns.in"/>
    <s v="6287877667"/>
    <s v="877691"/>
    <s v="Sunila Das"/>
    <s v="Anil Matoo"/>
    <s v="Praveen Kuruvalli"/>
    <s v="Sunila Das"/>
    <n v="0"/>
  </r>
  <r>
    <n v="4398"/>
    <n v="20056279"/>
    <s v="Arun G"/>
    <s v="AM/NS India"/>
    <s v="Onroll"/>
    <s v="M-6"/>
    <n v="6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Leader KAM Hypermart"/>
    <m/>
    <s v="South"/>
    <s v="Hypermart"/>
    <s v=""/>
    <s v="Non Technical Support"/>
    <s v="Sales &amp; Marketing"/>
    <s v="Sales"/>
    <s v="73104003"/>
    <s v="Retail Sales"/>
    <s v="Chennai"/>
    <d v="1983-05-04T00:00:00"/>
    <s v="40.04"/>
    <d v="2022-02-21T00:00:00"/>
    <d v="2041-05-31T00:00:00"/>
    <m/>
    <d v="2041-05-31T00:00:00"/>
    <n v="6463"/>
    <s v="O+"/>
    <s v="BE-2006 , Intermediate-2001 , SSLC-1999"/>
    <s v="15.11"/>
    <s v="01.06"/>
    <s v="17.06"/>
    <s v="00048814"/>
    <s v="Sales South Zone – Hypermart"/>
    <s v="272207"/>
    <s v="Business Leader - Hypermart"/>
    <s v="Hypermart"/>
    <s v="0060140100"/>
    <s v="HMART-South Zone"/>
    <s v="2000SRET"/>
    <s v="20000909"/>
    <s v="Murali Krishna Chunduru"/>
    <s v="No"/>
    <s v="arun.g@amns.in"/>
    <s v="9686320755"/>
    <s v="877776"/>
    <s v="Dhruv Vyas"/>
    <s v="Anil Matoo"/>
    <s v="Praveen Kuruvalli"/>
    <s v="Dhruv Vyas"/>
    <n v="0"/>
  </r>
  <r>
    <n v="4399"/>
    <n v="20056280"/>
    <s v="Varun Sharma"/>
    <s v="AM/NS India"/>
    <s v="Onroll"/>
    <s v="M-9"/>
    <n v="9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 Manager"/>
    <m/>
    <s v="North"/>
    <s v="Hypermart"/>
    <s v=""/>
    <s v="Non Technical Support"/>
    <s v="Sales &amp; Marketing"/>
    <s v="Marketing"/>
    <s v="73102001"/>
    <s v="Marketing"/>
    <s v="Ludhiana"/>
    <d v="1998-05-26T00:00:00"/>
    <s v="25.03"/>
    <d v="2022-02-10T00:00:00"/>
    <d v="2056-05-31T00:00:00"/>
    <m/>
    <d v="2056-05-31T00:00:00"/>
    <n v="11942"/>
    <s v="AB+"/>
    <s v="MBA-2020 , BCom-2018 , Intermediate-2015"/>
    <s v="00.06"/>
    <s v="01.07"/>
    <s v="02.01"/>
    <s v="00052526"/>
    <s v="Sales - North"/>
    <s v="272211"/>
    <s v="Sales Manager - Hypermart"/>
    <s v="Hypermart"/>
    <s v="0080000006"/>
    <s v="Secondary Sales - In"/>
    <s v="2000SRET"/>
    <s v="20007322"/>
    <s v="Sanjay Bohra"/>
    <s v="No"/>
    <s v="varun.sharma@amns.in"/>
    <s v="8847638042"/>
    <s v="877777"/>
    <s v="Dhruv Vyas"/>
    <s v="Anil Matoo"/>
    <s v="Praveen Kuruvalli"/>
    <s v="Dhruv Vyas"/>
    <n v="0"/>
  </r>
  <r>
    <n v="4404"/>
    <n v="20056287"/>
    <s v="Annapurna Kolluru"/>
    <s v="AM/NS India"/>
    <s v="Onroll"/>
    <s v="M-10"/>
    <n v="10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Officer - Capex Services"/>
    <m/>
    <s v="Capex Procurement"/>
    <s v="Procurement"/>
    <s v=""/>
    <s v="Non Technical Support"/>
    <s v="Operations"/>
    <s v="Operations"/>
    <s v="72103001"/>
    <s v="Operations"/>
    <s v="Hazira"/>
    <d v="1980-05-25T00:00:00"/>
    <s v="43.03"/>
    <d v="2022-02-15T00:00:00"/>
    <d v="2038-05-31T00:00:00"/>
    <m/>
    <d v="2038-05-31T00:00:00"/>
    <n v="5367"/>
    <s v="O-"/>
    <s v="BTech-2001 , Intermediate-1997 , SSLC-19"/>
    <s v="11.08"/>
    <s v="01.07"/>
    <s v="13.02"/>
    <s v="00049359"/>
    <s v="Capex Services"/>
    <s v="272363"/>
    <s v="Officer - Capex Services"/>
    <s v="Hazira"/>
    <s v="0031950059"/>
    <s v="HZ-Hazira Project"/>
    <s v="2000HWO"/>
    <s v="20055446"/>
    <s v="Chitrang Rana"/>
    <s v="No"/>
    <s v="annapurna.kolluru@amns.in"/>
    <s v="9879103433"/>
    <s v="810272"/>
    <s v="Dhruv Vyas"/>
    <s v="Anil Matoo"/>
    <s v="Praveen Kuruvalli"/>
    <s v="Dhruv Vyas"/>
    <n v="0"/>
  </r>
  <r>
    <n v="4405"/>
    <n v="20056289"/>
    <s v="Harshneelsinh Jadeja"/>
    <s v="AM/NS India"/>
    <s v="Onroll"/>
    <s v="M-8"/>
    <n v="8"/>
    <m/>
    <s v="JM"/>
    <s v="M"/>
    <s v="Hazira"/>
    <n v="1"/>
    <s v="2015"/>
    <x v="1"/>
    <s v="22.06"/>
    <s v="Praveen Kuruvalli"/>
    <s v="Ashutosh Telang"/>
    <n v="6"/>
    <s v="HR &amp; Administration"/>
    <s v="Human Resources"/>
    <s v="22"/>
    <s v="Lead - Talent Management &amp; OD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91-11-27T00:00:00"/>
    <s v="31.09"/>
    <d v="2022-02-16T00:00:00"/>
    <d v="2049-11-30T00:00:00"/>
    <m/>
    <d v="2049-11-30T00:00:00"/>
    <n v="9568"/>
    <s v="B+"/>
    <s v="MBA-2018 , BTech-2013 , Intermediate-200"/>
    <s v="05.09"/>
    <s v="01.07"/>
    <s v="07.03"/>
    <s v="70492872"/>
    <s v="Talent Management &amp; OD"/>
    <s v="272365"/>
    <s v="Lead - Talent Management &amp; OD"/>
    <s v="Hazira"/>
    <s v="0031950061"/>
    <s v="HZ-Human Resource"/>
    <s v="2000HWO"/>
    <s v="20054232"/>
    <s v="Imran Mohammad"/>
    <s v="No"/>
    <s v="harshneel.jadeja@amns.in"/>
    <s v="9638302705"/>
    <s v="878002"/>
    <s v="Dhruv Vyas"/>
    <s v="Anil Matoo"/>
    <s v="Praveen Kuruvalli"/>
    <s v="Dhruv Vyas"/>
    <n v="0"/>
  </r>
  <r>
    <n v="4406"/>
    <n v="20056292"/>
    <s v="Amit Basak"/>
    <s v="AM/NS India"/>
    <s v="Onroll"/>
    <s v="M-7"/>
    <n v="7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Lead Procurement"/>
    <m/>
    <s v="Procurement"/>
    <s v="Procurement"/>
    <s v=""/>
    <s v="Non Technical Support"/>
    <s v="Commercial"/>
    <s v="Purchase"/>
    <s v="73804001"/>
    <s v="Purchase"/>
    <s v="Paradeep"/>
    <d v="1986-12-28T00:00:00"/>
    <s v="36.08"/>
    <d v="2022-02-21T00:00:00"/>
    <d v="2044-12-31T00:00:00"/>
    <m/>
    <d v="2044-12-31T00:00:00"/>
    <n v="7773"/>
    <s v="O+"/>
    <s v="BTech-2008 , Intermediate-2004 , SSLC-20"/>
    <s v="13.07"/>
    <s v="01.06"/>
    <s v="15.02"/>
    <s v="70407583"/>
    <s v="Procurement - Odisha Asset"/>
    <s v="272445"/>
    <s v="Lead Procurement"/>
    <s v="Odisha"/>
    <s v="0022030019"/>
    <s v="PDP-HR &amp; Admn"/>
    <s v="2000STORIS"/>
    <s v="20055692"/>
    <s v="Rajiv Ranjan"/>
    <s v="No"/>
    <s v="amit.basak@amns.in"/>
    <s v="9162725067"/>
    <s v="878329"/>
    <s v="Sunila Das"/>
    <s v="Anil Matoo"/>
    <s v="Praveen Kuruvalli"/>
    <s v="Sunila Das"/>
    <n v="0"/>
  </r>
  <r>
    <n v="4409"/>
    <n v="20056295"/>
    <s v="Ravibhai Vinubhai Lathiya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92-09-28T00:00:00"/>
    <s v="30.11"/>
    <d v="2022-02-21T00:00:00"/>
    <d v="2050-09-30T00:00:00"/>
    <m/>
    <d v="2050-09-30T00:00:00"/>
    <n v="9872"/>
    <s v="AB+"/>
    <s v="BE-2014 , Intermediate-2010 , SSLC-2008"/>
    <s v="06.01"/>
    <s v="01.06"/>
    <s v="07.07"/>
    <s v="00044541"/>
    <s v="HRC Store - Receipt"/>
    <s v="272448"/>
    <s v="Section Officer"/>
    <s v="Hazira"/>
    <s v="0031950049"/>
    <s v="HZ-Central Stores"/>
    <s v="2000HWO"/>
    <s v="20005047"/>
    <s v="Rajeev Jha"/>
    <s v="No"/>
    <s v="ravi.lathiya@amns.in"/>
    <s v="6358913620"/>
    <s v="878338"/>
    <s v="Dhruv Vyas"/>
    <s v="Anil Matoo"/>
    <s v="Praveen Kuruvalli"/>
    <s v="Dhruv Vyas"/>
    <n v="0"/>
  </r>
  <r>
    <n v="4413"/>
    <n v="20056300"/>
    <s v="Sumit Khamgaonkar"/>
    <s v="AM/NS India"/>
    <s v="Onroll"/>
    <s v="M-9"/>
    <n v="9"/>
    <m/>
    <s v="JM"/>
    <s v="M"/>
    <s v="Service Centers"/>
    <n v="6"/>
    <s v="2043"/>
    <x v="3"/>
    <s v="31.01"/>
    <s v="Hrishikesh Kamat"/>
    <s v="Hrishikesh Kamat"/>
    <n v="7"/>
    <s v="Procurement"/>
    <s v="Procurement"/>
    <s v="31"/>
    <s v="Lead Procurement"/>
    <m/>
    <s v="Procurement Service Centre"/>
    <s v="Procurement Service Centre"/>
    <s v="Procurement Service Centre"/>
    <s v="Non Technical Support"/>
    <s v="Operations"/>
    <s v="Plant Operations"/>
    <s v="72103003"/>
    <s v="Plant Operations"/>
    <s v="Pune"/>
    <d v="1995-11-19T00:00:00"/>
    <s v="27.09"/>
    <d v="2022-02-16T00:00:00"/>
    <d v="2053-11-30T00:00:00"/>
    <m/>
    <d v="2053-11-30T00:00:00"/>
    <n v="11029"/>
    <s v="B+"/>
    <s v="BE-2017 , Diploma-2014 , SSLC-2011"/>
    <s v="04.07"/>
    <s v="01.07"/>
    <s v="06.02"/>
    <s v="70413444"/>
    <s v="Purchase &amp; Contracts"/>
    <s v="272452"/>
    <s v="Lead Procurement"/>
    <s v="Service Center"/>
    <s v="0040020019"/>
    <s v="SC-Pune-Op1-HR-Admin"/>
    <s v="2000SPRJ"/>
    <s v="20052588"/>
    <s v="Govindraju Sampathirao"/>
    <s v="No"/>
    <s v="sumeet.khamgaonkar@amns.in"/>
    <s v="8482937013"/>
    <s v="878521"/>
    <s v="Dhruv Vyas"/>
    <s v="Anil Matoo"/>
    <s v="Praveen Kuruvalli"/>
    <s v="Dhruv Vyas"/>
    <n v="0"/>
  </r>
  <r>
    <n v="4415"/>
    <n v="20056302"/>
    <s v="Chintan Sangani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Expediting"/>
    <m/>
    <s v="Procurement MRO Hazira"/>
    <s v="Procurement"/>
    <s v=""/>
    <s v="Non Technical Support"/>
    <s v="Operations"/>
    <s v="Operations"/>
    <s v="72103001"/>
    <s v="Operations"/>
    <s v="Hazira"/>
    <d v="1981-03-08T00:00:00"/>
    <s v="42.06"/>
    <d v="2022-02-21T00:00:00"/>
    <d v="2039-03-31T00:00:00"/>
    <m/>
    <d v="2039-03-31T00:00:00"/>
    <n v="5671"/>
    <s v="O+"/>
    <s v="BE-2002 , Intermediate-1998 , SSLC-1996"/>
    <s v="14.09"/>
    <s v="01.06"/>
    <s v="16.04"/>
    <s v="00049335"/>
    <s v="Capex Procurement - Expediting"/>
    <s v="272454"/>
    <s v="Sr. Lead Expediting"/>
    <s v="Hazira"/>
    <s v="0031950059"/>
    <s v="HZ-Hazira Project"/>
    <s v="2000HWO"/>
    <s v="20057413"/>
    <s v="Vipin Toshniwal"/>
    <s v="No"/>
    <s v="chintan.sangani@amns.in"/>
    <s v="8799382299"/>
    <s v="878488"/>
    <s v="Dhruv Vyas"/>
    <s v="Anil Matoo"/>
    <s v="Praveen Kuruvalli"/>
    <s v="Dhruv Vyas"/>
    <n v="0"/>
  </r>
  <r>
    <n v="4425"/>
    <n v="20056313"/>
    <s v="Gaurav Chudasam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Performance Management"/>
    <m/>
    <s v="Performance Management"/>
    <s v="Performance Management"/>
    <s v=""/>
    <s v="Non Technical Support"/>
    <s v="Finance &amp; Accounts"/>
    <s v="Costing"/>
    <s v="73906001"/>
    <s v="Costing"/>
    <s v="AM/NS Hazira"/>
    <d v="1990-09-04T00:00:00"/>
    <s v="33.00"/>
    <d v="2022-02-25T00:00:00"/>
    <d v="2048-09-30T00:00:00"/>
    <m/>
    <d v="2048-09-30T00:00:00"/>
    <n v="9142"/>
    <s v="B+"/>
    <s v="BE-2012 , Intermediate-2008 , SSLC-2006"/>
    <s v="09.08"/>
    <s v="01.06"/>
    <s v="11.02"/>
    <s v="00045632"/>
    <s v="Costing &amp; Budgeting"/>
    <s v="272885"/>
    <s v="Lead - Performance Management"/>
    <s v="Hazira"/>
    <s v="0031950043"/>
    <s v="HZ-Performance Manag"/>
    <s v="2000HWO"/>
    <s v="20056146"/>
    <s v="Asvinbhai Sutarsandhiya"/>
    <s v="No"/>
    <s v="gaurav.chudasama@amns.in"/>
    <s v="9662793836"/>
    <s v="880578"/>
    <s v="Dhruv Vyas"/>
    <s v="Anil Matoo"/>
    <s v="Praveen Kuruvalli"/>
    <s v="Dhruv Vyas"/>
    <n v="0"/>
  </r>
  <r>
    <n v="4435"/>
    <n v="20056324"/>
    <s v="Meet Smart"/>
    <s v="AM/NS India"/>
    <s v="Onroll"/>
    <s v="M-10"/>
    <n v="10"/>
    <m/>
    <s v="JM"/>
    <s v="M"/>
    <s v="Hazira"/>
    <n v="1"/>
    <s v="2069"/>
    <x v="8"/>
    <s v="25.01"/>
    <s v="Bibek Chattopadhyay"/>
    <s v="Ashutosh Telang"/>
    <n v="6"/>
    <s v="HR &amp; Administration"/>
    <s v="Corporate Communications"/>
    <s v="25"/>
    <s v="Public Relation Officer"/>
    <m/>
    <s v="Corporate Communication"/>
    <s v=""/>
    <s v=""/>
    <s v="Non Technical Support"/>
    <s v="Corporate Communication"/>
    <s v="Corporate Communication"/>
    <s v="74001001"/>
    <s v="Corporate Communication"/>
    <s v="AM/NS Hazira"/>
    <d v="1994-01-01T00:00:00"/>
    <s v="29.08"/>
    <d v="2022-03-07T00:00:00"/>
    <d v="2051-12-31T00:00:00"/>
    <m/>
    <d v="2051-12-31T00:00:00"/>
    <n v="10329"/>
    <s v="B+"/>
    <s v="MA-2016 , BCom-2014 , Intermediate-2011"/>
    <s v="05.10"/>
    <s v="01.06"/>
    <s v="07.04"/>
    <s v="00047290"/>
    <s v="Communication Gujrat"/>
    <s v="273386"/>
    <s v="Public Relation Officer"/>
    <s v="Hazira"/>
    <s v="0090000016"/>
    <s v="Corporate Steel - Co"/>
    <s v="2000HWO"/>
    <s v="20056083"/>
    <s v="Neeraj Sharma"/>
    <s v="No"/>
    <s v="meet.smart@amns.in"/>
    <s v="6358913654"/>
    <s v="881632"/>
    <s v="Dhruv Vyas"/>
    <s v="Anil Matoo"/>
    <s v="Praveen Kuruvalli"/>
    <s v="Dhruv Vyas"/>
    <n v="0"/>
  </r>
  <r>
    <n v="4437"/>
    <n v="20056327"/>
    <s v="Aishwarya Singhi"/>
    <s v="AM/NS India"/>
    <s v="Onroll"/>
    <s v="M-7"/>
    <n v="7"/>
    <m/>
    <s v="MM"/>
    <s v="F"/>
    <s v="Hazira"/>
    <n v="1"/>
    <s v="2013"/>
    <x v="0"/>
    <s v="20.01"/>
    <s v="Akiyo Omori"/>
    <s v="Amit Harlalka"/>
    <n v="5"/>
    <s v="Finance &amp; Accounts"/>
    <s v="Finance &amp; Accounts"/>
    <s v="20"/>
    <s v="Lead Indirect Tax"/>
    <m/>
    <s v="Taxation"/>
    <s v="In Direct - Taxation"/>
    <s v=""/>
    <s v="Non Technical Support"/>
    <s v="Finance &amp; Accounts"/>
    <s v="Taxation"/>
    <s v="73904002"/>
    <s v="Indirect Taxation"/>
    <s v="AM/NS Hazira"/>
    <d v="1995-10-12T00:00:00"/>
    <s v="27.11"/>
    <d v="2022-03-07T00:00:00"/>
    <d v="2053-10-31T00:00:00"/>
    <m/>
    <d v="2053-10-31T00:00:00"/>
    <n v="10999"/>
    <s v="B+"/>
    <s v="CA Final-2018 , BCom-2016 , Intermediate"/>
    <s v="03.00"/>
    <s v="01.06"/>
    <s v="04.06"/>
    <s v="70282653"/>
    <s v="GST"/>
    <s v="70258426"/>
    <s v="Lead Indirect Tax"/>
    <s v="Hazira"/>
    <s v="0090000033"/>
    <s v="Corporate Taxation"/>
    <s v="2000HWO"/>
    <s v="20055962"/>
    <s v="Navin Kewalramani"/>
    <s v="No"/>
    <s v="aishwarya.singhi@amns.in"/>
    <s v="9903582010"/>
    <s v="882357"/>
    <s v="Dhruv Vyas"/>
    <s v="Anil Matoo"/>
    <s v="Praveen Kuruvalli"/>
    <s v="Dhruv Vyas"/>
    <n v="0"/>
  </r>
  <r>
    <n v="4442"/>
    <n v="20056333"/>
    <s v="Gonnakuti Shashank Naidu"/>
    <s v="AM/NS Middle East FZE"/>
    <s v="Onroll"/>
    <s v="M-9"/>
    <n v="9"/>
    <m/>
    <s v="JM"/>
    <s v="M"/>
    <s v="Dubai"/>
    <n v="10"/>
    <s v="2502"/>
    <x v="10"/>
    <s v="14.01"/>
    <s v="Ranjan Dhar"/>
    <s v="Alain Legrix De La Salle"/>
    <n v="3"/>
    <s v="Sales &amp; Marketing"/>
    <s v="Sales &amp; Marketing"/>
    <s v="14"/>
    <s v="Lead Sales"/>
    <m/>
    <s v="Sales ME"/>
    <s v="Sales ME"/>
    <s v=""/>
    <s v=""/>
    <s v="Sales &amp; Marketing"/>
    <s v="Sales &amp; Marketing"/>
    <s v="73101001"/>
    <s v="Sales &amp; Marketing"/>
    <s v="Dubai"/>
    <d v="1990-10-01T00:00:00"/>
    <s v="32.11"/>
    <d v="2022-03-14T00:00:00"/>
    <d v="2048-09-30T00:00:00"/>
    <m/>
    <d v="2048-09-30T00:00:00"/>
    <n v="9142"/>
    <s v="B+"/>
    <s v="MBA-2015 , BCom-2012"/>
    <s v="06.08"/>
    <s v="01.06"/>
    <s v="08.02"/>
    <s v="70495379"/>
    <s v="Chief Marketing Officer - AMNS ME FZE"/>
    <s v="274488"/>
    <s v="Sales Manager ME"/>
    <s v="AMNS Middle East FZE"/>
    <s v="0093720082"/>
    <s v="SC-Dubai-Marketing"/>
    <s v="DUBA2081"/>
    <s v="20055663"/>
    <s v="Karamath Syed"/>
    <s v="No"/>
    <s v="shashank.naidu@amns.in"/>
    <s v="+971564084646"/>
    <s v="24132"/>
    <s v="Dhruv Vyas"/>
    <s v="Anil Matoo"/>
    <s v="Praveen Kuruvalli"/>
    <n v="0"/>
    <n v="0"/>
  </r>
  <r>
    <n v="4456"/>
    <n v="20056350"/>
    <s v="Sanjay Kumar Jha"/>
    <s v="AM/NS India"/>
    <s v="Onroll"/>
    <s v="M-7"/>
    <n v="7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- Finance &amp; Accounts"/>
    <m/>
    <s v="Finance &amp; Accounts - Odisha"/>
    <s v="Finance &amp; Accounts"/>
    <s v=""/>
    <s v="Non Technical Support"/>
    <s v="Finance &amp; Accounts"/>
    <s v="Finance &amp; Accounts"/>
    <s v="73901001"/>
    <s v="Finance &amp; Accounts"/>
    <s v="Paradeep"/>
    <d v="1985-11-10T00:00:00"/>
    <s v="37.10"/>
    <d v="2022-03-07T00:00:00"/>
    <d v="2043-11-30T00:00:00"/>
    <m/>
    <d v="2043-11-30T00:00:00"/>
    <n v="7376"/>
    <s v="B+"/>
    <s v="BCom-2007 , CA Final-2010 , Intermediate"/>
    <s v="11.01"/>
    <s v="01.06"/>
    <s v="12.07"/>
    <s v="70234933"/>
    <s v="Finance &amp; Accounts - Odisha"/>
    <s v="273341"/>
    <s v="Lead - Finance &amp; Accounts"/>
    <s v="Odisha"/>
    <s v="0022030019"/>
    <s v="PDP-HR &amp; Admn"/>
    <s v="2000STORIS"/>
    <s v="20055801"/>
    <s v="Sanjive Kumar Singh"/>
    <s v="No"/>
    <s v="sanjay.jha@amns.in"/>
    <s v="9868413352"/>
    <s v="882952"/>
    <s v="Sunila Das"/>
    <s v="Anil Matoo"/>
    <s v="Praveen Kuruvalli"/>
    <s v="Sunila Das"/>
    <n v="0"/>
  </r>
  <r>
    <n v="4457"/>
    <n v="20056351"/>
    <s v="Abhiram Mahanty"/>
    <s v="AM/NS India"/>
    <s v="Onroll"/>
    <s v="M-8"/>
    <n v="8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Admin"/>
    <m/>
    <s v="Administration"/>
    <s v=""/>
    <s v=""/>
    <s v="Non Technical Support"/>
    <s v="Human Resources Management"/>
    <s v="Human Resources Management"/>
    <s v="73501002"/>
    <s v="Human Resources Operation"/>
    <s v="Dabuna"/>
    <d v="1983-08-02T00:00:00"/>
    <s v="40.01"/>
    <d v="2022-03-07T00:00:00"/>
    <d v="2041-08-31T00:00:00"/>
    <m/>
    <d v="2041-08-31T00:00:00"/>
    <n v="6555"/>
    <s v="B-"/>
    <s v="MBA-2010 , MSc-2005 , BSc-2003 , Interme"/>
    <s v="13.11"/>
    <s v="01.06"/>
    <s v="15.05"/>
    <s v="70238103"/>
    <s v="Odisha - Admin &amp; Industrial Relations"/>
    <s v="273313"/>
    <s v="Lead Admin"/>
    <s v="Odisha"/>
    <s v="0022010019"/>
    <s v="DBN-Benf-HR/Admin"/>
    <s v="2000STORIS"/>
    <s v="20057297"/>
    <s v="Bibhash Mohanty"/>
    <s v="No"/>
    <s v="abhiram.mahanty@amns.in"/>
    <s v="8599008836"/>
    <s v="882969"/>
    <s v="Sunila Das"/>
    <s v="Anil Matoo"/>
    <s v="Praveen Kuruvalli"/>
    <s v="Sunila Das"/>
    <n v="0"/>
  </r>
  <r>
    <n v="4468"/>
    <n v="20056362"/>
    <s v="Prashant Pandey"/>
    <s v="AM/NS India"/>
    <s v="Onroll"/>
    <s v="M-8"/>
    <n v="8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Lead – Secondary Sales"/>
    <m/>
    <s v=""/>
    <s v=""/>
    <s v=""/>
    <s v="Non Technical Support"/>
    <s v="Operations"/>
    <s v="Operations"/>
    <s v="72103001"/>
    <s v="Operations"/>
    <s v="Hazira"/>
    <d v="1992-01-16T00:00:00"/>
    <s v="31.08"/>
    <d v="2022-03-07T00:00:00"/>
    <d v="2050-01-31T00:00:00"/>
    <m/>
    <d v="2050-01-31T00:00:00"/>
    <n v="9630"/>
    <s v="B+"/>
    <s v="MBA-2021 , BTech-2014 , Intermediate-201"/>
    <s v="06.06"/>
    <s v="01.06"/>
    <s v="08.00"/>
    <s v="00049357"/>
    <s v="Secondary Sales"/>
    <s v="274960"/>
    <s v="Lead – Secondary Sales"/>
    <s v="Hazira"/>
    <s v="0031950059"/>
    <s v="HZ-Hazira Project"/>
    <s v="2000HWO"/>
    <s v="20055763"/>
    <s v="Debashis Mohapatra"/>
    <s v="No"/>
    <s v="prashant.pandey@amns.in"/>
    <s v="9879102273"/>
    <s v="22932"/>
    <s v="Dhruv Vyas"/>
    <s v="Anil Matoo"/>
    <s v="Praveen Kuruvalli"/>
    <s v="Dhruv Vyas"/>
    <n v="0"/>
  </r>
  <r>
    <n v="4471"/>
    <n v="20056368"/>
    <s v="Sanjay Mahawar"/>
    <s v="AM/NS India"/>
    <s v="Onroll"/>
    <s v="M-7"/>
    <n v="7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s v=""/>
    <s v=""/>
    <s v="Non Technical Support"/>
    <s v="Corporate Relations"/>
    <s v="Corporate Affairs"/>
    <s v="74501001"/>
    <s v="Corporate Affairs"/>
    <s v="Delhi"/>
    <d v="1975-12-23T00:00:00"/>
    <s v="47.08"/>
    <d v="2022-03-15T00:00:00"/>
    <d v="2033-12-31T00:00:00"/>
    <m/>
    <d v="2033-12-31T00:00:00"/>
    <n v="3755"/>
    <s v="AB+"/>
    <s v="Diploma-2007 , Diploma-2005 , BA-1998 ,"/>
    <s v="21.03"/>
    <s v="01.06"/>
    <s v="22.09"/>
    <s v="70494938"/>
    <s v="Corporate Affairs"/>
    <s v="273385"/>
    <s v="Lead - Corporate Affairs"/>
    <s v="Corporate"/>
    <s v="0090000021"/>
    <s v="Corporate Affairs"/>
    <s v="2000CS"/>
    <s v="20057928"/>
    <s v="Manu Kapoor"/>
    <s v="No"/>
    <s v="sanjay.mahawar@amns.in"/>
    <s v="9911225547"/>
    <s v="883537"/>
    <s v="Dhruv Vyas"/>
    <s v="Anil Matoo"/>
    <s v="Praveen Kuruvalli"/>
    <s v="Dhruv Vyas"/>
    <n v="0"/>
  </r>
  <r>
    <n v="4474"/>
    <n v="20056372"/>
    <s v="Varun Puri"/>
    <s v="AM/NS Middle East FZE"/>
    <s v="Onroll"/>
    <s v="M-8"/>
    <n v="8"/>
    <m/>
    <s v="JM"/>
    <s v="M"/>
    <s v="Dubai"/>
    <n v="10"/>
    <s v="2504"/>
    <x v="0"/>
    <s v="20.01"/>
    <s v="Akiyo Omori"/>
    <s v="Amit Harlalka"/>
    <n v="5"/>
    <s v="Finance &amp; Accounts"/>
    <s v="Finance &amp; Accounts"/>
    <s v="20"/>
    <s v="Lead - Finance &amp; Accounts"/>
    <m/>
    <s v=""/>
    <s v=""/>
    <s v=""/>
    <s v="Non Technical Support"/>
    <s v="Finance &amp; Accounts"/>
    <s v="Finance &amp; Accounts"/>
    <s v="73901001"/>
    <s v="Finance &amp; Accounts"/>
    <s v="Dubai"/>
    <d v="1988-04-05T00:00:00"/>
    <s v="35.05"/>
    <d v="2022-03-15T00:00:00"/>
    <d v="2046-04-30T00:00:00"/>
    <m/>
    <d v="2046-04-30T00:00:00"/>
    <n v="8258"/>
    <s v=""/>
    <s v=""/>
    <s v=""/>
    <s v="01.06"/>
    <s v="01.06"/>
    <s v="70495379"/>
    <s v="Chief Marketing Officer - AMNS ME FZE"/>
    <s v="70258779"/>
    <s v="Lead - Finance &amp; Accounts"/>
    <s v="AMNS Middle East FZE"/>
    <s v="0093720019"/>
    <s v="SC-Dubai-Hr-Admin"/>
    <s v="DUBA2081"/>
    <s v="20055663"/>
    <s v="Karamath Syed"/>
    <s v="No"/>
    <s v="varun.puri@amns.in"/>
    <s v="971564084480"/>
    <s v="23596"/>
    <s v="Dhruv Vyas"/>
    <s v="Anil Matoo"/>
    <s v="Praveen Kuruvalli"/>
    <s v="Dhruv Vyas"/>
    <n v="0"/>
  </r>
  <r>
    <n v="4477"/>
    <n v="20056375"/>
    <s v="Satyanarayan Routray"/>
    <s v="AM/NS India"/>
    <s v="Onroll"/>
    <s v="M-6"/>
    <n v="6"/>
    <m/>
    <s v="MM"/>
    <s v="M"/>
    <s v="Odisha"/>
    <n v="2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"/>
    <s v=""/>
    <s v="Projects"/>
    <s v="Corporate Relations"/>
    <s v="Corporate Affairs"/>
    <s v="74501001"/>
    <s v="Corporate Affairs"/>
    <s v="Bhubaneswar"/>
    <d v="1981-06-18T00:00:00"/>
    <s v="42.03"/>
    <d v="2022-03-21T00:00:00"/>
    <d v="2039-06-30T00:00:00"/>
    <m/>
    <d v="2039-06-30T00:00:00"/>
    <n v="5762"/>
    <s v="A+"/>
    <s v="BSc-2004 , Intermediate-2000 , SSLC-1996"/>
    <s v="16.00"/>
    <s v="01.06"/>
    <s v="17.06"/>
    <s v="00048076"/>
    <s v="Greenfield Project"/>
    <s v="273334"/>
    <s v="Lead Corporate Affairs"/>
    <s v="Odisha"/>
    <s v="0022030048"/>
    <s v="PDP-Projects"/>
    <s v="2000STORIS"/>
    <s v="20055204"/>
    <s v="Lakshmi Charan Mahapatra"/>
    <s v="No"/>
    <s v="satyanarayan.routray@amns.in"/>
    <s v="9438013247"/>
    <s v="883654"/>
    <s v="Sunila Das"/>
    <s v="Anil Matoo"/>
    <s v="Praveen Kuruvalli"/>
    <s v="Sunila Das"/>
    <n v="0"/>
  </r>
  <r>
    <n v="4488"/>
    <n v="20056387"/>
    <s v="Vikal Goyal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Internal Control &amp; SOX"/>
    <m/>
    <s v="Internal Control &amp; SOX"/>
    <s v="Internal Control &amp; SOX"/>
    <s v=""/>
    <s v="Non Technical Support"/>
    <s v="Chairman's Secretariat"/>
    <s v="Chairman's Secretariat"/>
    <s v="74701000"/>
    <s v="Chairman's Secretariat"/>
    <s v="AM/NS Hazira"/>
    <d v="1991-10-26T00:00:00"/>
    <s v="31.10"/>
    <d v="2022-03-21T00:00:00"/>
    <d v="2049-10-31T00:00:00"/>
    <m/>
    <d v="2049-10-31T00:00:00"/>
    <n v="9538"/>
    <s v="B+"/>
    <s v="BCom-2012 , CA Final-2014 , Intermediate"/>
    <s v="07.01"/>
    <s v="01.06"/>
    <s v="08.06"/>
    <s v="00051504"/>
    <s v="Internal Control &amp; SOX"/>
    <s v="275134"/>
    <s v="Lead – Internal Control &amp; SOX"/>
    <s v="Hazira"/>
    <s v="0031950043"/>
    <s v="HZ-Performance Manag"/>
    <s v="2000HWO"/>
    <s v="20000138"/>
    <s v="Suresh Iyer"/>
    <s v="No"/>
    <s v="vikal.goyal@amns.in"/>
    <s v="6358913683"/>
    <s v="884014"/>
    <s v="Dhruv Vyas"/>
    <s v="Anil Matoo"/>
    <s v="Praveen Kuruvalli"/>
    <s v="Dhruv Vyas"/>
    <n v="0"/>
  </r>
  <r>
    <n v="4494"/>
    <n v="20056394"/>
    <s v="Nikisha Desai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Performance Management"/>
    <m/>
    <s v="Performance Management"/>
    <s v="Performance Management"/>
    <s v=""/>
    <s v="Non Technical Support"/>
    <s v="Finance &amp; Accounts"/>
    <s v="Treasury"/>
    <s v="73903001"/>
    <s v="Treasury"/>
    <s v="AM/NS Hazira"/>
    <d v="1983-09-12T00:00:00"/>
    <s v="40.00"/>
    <d v="2022-03-16T00:00:00"/>
    <d v="2041-09-30T00:00:00"/>
    <m/>
    <d v="2041-09-30T00:00:00"/>
    <n v="6585"/>
    <s v="O+"/>
    <s v="PG Diploma in Management-2010 , MCom-200"/>
    <s v="11.03"/>
    <s v="01.06"/>
    <s v="12.09"/>
    <s v="00045632"/>
    <s v="Costing &amp; Budgeting"/>
    <s v="70360709"/>
    <s v="Officer - Performance Management"/>
    <s v="Hazira"/>
    <s v="0031950043"/>
    <s v="HZ-Performance Manag"/>
    <s v="2000HWO"/>
    <s v="20056146"/>
    <s v="Asvinbhai Sutarsandhiya"/>
    <s v="No"/>
    <s v="nikisha.desai@amns.in"/>
    <s v="9727255991"/>
    <s v="25213"/>
    <s v="Dhruv Vyas"/>
    <s v="Anil Matoo"/>
    <s v="Praveen Kuruvalli"/>
    <s v="Dhruv Vyas"/>
    <n v="0"/>
  </r>
  <r>
    <n v="4496"/>
    <n v="20056396"/>
    <s v="Ritesh Shrivastava"/>
    <s v="AM/NS India"/>
    <s v="Onroll"/>
    <s v="M-6"/>
    <n v="6"/>
    <m/>
    <s v="MM"/>
    <s v="M"/>
    <s v="Corporate"/>
    <n v="7"/>
    <s v="2095"/>
    <x v="4"/>
    <n v="36.01"/>
    <s v="Deepak Sindkar"/>
    <s v="Hrishikesh Kamat"/>
    <n v="7"/>
    <s v="Procurement"/>
    <s v="Raw Materials"/>
    <s v="36"/>
    <s v="Section Head – BRM"/>
    <m/>
    <s v="Bulk Raw Materials"/>
    <s v="Bulk Raw Materials"/>
    <s v=""/>
    <s v="Non Technical Support"/>
    <s v="Commercial"/>
    <s v="Procurement"/>
    <s v="73803001"/>
    <s v="Procurement"/>
    <s v="Mumbai"/>
    <d v="1984-12-08T00:00:00"/>
    <s v="38.09"/>
    <d v="2022-03-14T00:00:00"/>
    <d v="2042-12-31T00:00:00"/>
    <m/>
    <d v="2042-12-31T00:00:00"/>
    <n v="7042"/>
    <s v="O+"/>
    <s v="BE-2007 , Intermediate-2002 , SSLC-2000"/>
    <s v="14.07"/>
    <s v="01.06"/>
    <s v="16.01"/>
    <s v="00045893"/>
    <s v="Red Odisha Mill Scale"/>
    <s v="70258488"/>
    <s v="Section Head – BRM"/>
    <s v="Corporate"/>
    <s v="0031950048"/>
    <s v="HZ-Procurment Depart"/>
    <s v="2002MUMB"/>
    <s v="20035527"/>
    <s v="Anil Patro"/>
    <s v="No"/>
    <s v="ritesh.shrivastava@amns.in"/>
    <s v="9820508867"/>
    <s v="884173"/>
    <s v="Dhruv Vyas"/>
    <s v="Anil Matoo"/>
    <s v="Praveen Kuruvalli"/>
    <s v="Dhruv Vyas"/>
    <n v="0"/>
  </r>
  <r>
    <n v="4512"/>
    <n v="20056418"/>
    <s v="Vihar Vaghela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Operations"/>
    <s v="Operations"/>
    <s v="72103001"/>
    <s v="Operations"/>
    <s v="Hazira"/>
    <d v="1990-09-11T00:00:00"/>
    <s v="33.00"/>
    <d v="2022-04-04T00:00:00"/>
    <d v="2048-09-30T00:00:00"/>
    <m/>
    <d v="2048-09-30T00:00:00"/>
    <n v="9142"/>
    <s v="B+"/>
    <s v="BE-2011 , Intermediate-2007 , SSLC-2005"/>
    <s v="10.02"/>
    <s v="01.05"/>
    <s v="11.07"/>
    <s v="00049335"/>
    <s v="Capex Procurement - Expediting"/>
    <s v="273324"/>
    <s v="Lead – Expeditor Capex"/>
    <s v="Hazira"/>
    <s v="0031950059"/>
    <s v="HZ-Hazira Project"/>
    <s v="2000HWO"/>
    <s v="20057413"/>
    <s v="Vipin Toshniwal"/>
    <s v="No"/>
    <s v="vihar.vaghela@amns.in"/>
    <s v="9033182129"/>
    <s v="886077"/>
    <s v="Dhruv Vyas"/>
    <s v="Anil Matoo"/>
    <s v="Praveen Kuruvalli"/>
    <s v="Dhruv Vyas"/>
    <n v="0"/>
  </r>
  <r>
    <n v="4513"/>
    <n v="20056419"/>
    <s v="Avinash Tickoo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Operations"/>
    <s v="Operations"/>
    <s v="72103001"/>
    <s v="Operations"/>
    <s v="Hazira"/>
    <d v="1986-10-04T00:00:00"/>
    <s v="36.11"/>
    <d v="2022-04-01T00:00:00"/>
    <d v="2044-10-31T00:00:00"/>
    <m/>
    <d v="2044-10-31T00:00:00"/>
    <n v="7712"/>
    <s v="A+"/>
    <s v="BE-2010 , Intermediate-2006 , SSLC-2003"/>
    <s v="09.02"/>
    <s v="01.05"/>
    <s v="10.07"/>
    <s v="00049335"/>
    <s v="Capex Procurement - Expediting"/>
    <s v="273321"/>
    <s v="Lead – Expeditor Capex"/>
    <s v="Hazira"/>
    <s v="0031950059"/>
    <s v="HZ-Hazira Project"/>
    <s v="2000HWO"/>
    <s v="20057413"/>
    <s v="Vipin Toshniwal"/>
    <s v="No"/>
    <s v="avinash.tickoo@amns.in"/>
    <s v="7990300919"/>
    <s v="886338"/>
    <s v="Dhruv Vyas"/>
    <s v="Anil Matoo"/>
    <s v="Praveen Kuruvalli"/>
    <s v="Dhruv Vyas"/>
    <n v="0"/>
  </r>
  <r>
    <n v="4515"/>
    <n v="20056422"/>
    <s v="Suparna Nanda"/>
    <s v="AM/NS India"/>
    <s v="Onroll"/>
    <s v="M-4"/>
    <n v="4"/>
    <m/>
    <s v="SM"/>
    <s v="F"/>
    <s v="Odisha"/>
    <n v="2"/>
    <s v="2039"/>
    <x v="2"/>
    <s v="43.01"/>
    <s v="Sangeeta Munjal"/>
    <s v="Manu Kapoor"/>
    <n v="10"/>
    <s v="Corporate Affairs"/>
    <s v="Corporate Affairs"/>
    <s v="43"/>
    <s v="Head - Corporate Affairs, Odisha"/>
    <m/>
    <s v="Corporate Affairs"/>
    <s v="Corporate Affairs"/>
    <s v="Corporate Affairs"/>
    <s v="Non Technical Support"/>
    <s v="Corporate Relations"/>
    <s v="Corporate Affairs"/>
    <s v="74501001"/>
    <s v="Corporate Affairs"/>
    <s v="Bhubaneswar"/>
    <d v="1975-08-23T00:00:00"/>
    <s v="48.00"/>
    <d v="2022-04-02T00:00:00"/>
    <d v="2033-08-31T00:00:00"/>
    <m/>
    <d v="2033-08-31T00:00:00"/>
    <n v="3633"/>
    <s v="B-"/>
    <s v="PG Diploma-1998 , PG Diploma-1996 , Inte"/>
    <s v="21.06"/>
    <s v="01.05"/>
    <s v="22.11"/>
    <s v="70495564"/>
    <s v="Corporate Affairs - Odisha"/>
    <s v="276336"/>
    <s v="Head - Corporate Affairs, Odisha"/>
    <s v="Odisha"/>
    <s v="0090000021"/>
    <s v="Corporate Affairs"/>
    <s v="2000STORIS"/>
    <s v="20057928"/>
    <s v="Manu Kapoor"/>
    <s v="No"/>
    <s v="suparna.nanda@amns.in"/>
    <s v="9937154773"/>
    <s v="886522"/>
    <s v="Sunila Das"/>
    <s v="Anil Matoo"/>
    <s v="Praveen Kuruvalli"/>
    <s v="Sunila Das"/>
    <n v="0"/>
  </r>
  <r>
    <n v="4517"/>
    <n v="20056424"/>
    <s v="Ramesh Patel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- Capex Procurement"/>
    <m/>
    <s v=""/>
    <s v=""/>
    <s v=""/>
    <s v="Non Technical Support"/>
    <s v="Operations"/>
    <s v="Operations"/>
    <s v="72103001"/>
    <s v="Operations"/>
    <s v="Hazira"/>
    <d v="1983-01-31T00:00:00"/>
    <s v="40.07"/>
    <d v="2022-03-29T00:00:00"/>
    <d v="2041-01-31T00:00:00"/>
    <m/>
    <d v="2041-01-31T00:00:00"/>
    <n v="6343"/>
    <s v="A+"/>
    <s v="MBA-2007 , BE-2005 , Intermediate-2000 ,"/>
    <s v="17.03"/>
    <s v="01.05"/>
    <s v="18.08"/>
    <s v="00053251"/>
    <s v="Capex Procurement"/>
    <s v="273320"/>
    <s v="Sr. Lead - Capex Procurement"/>
    <s v="Hazira"/>
    <s v="0031950059"/>
    <s v="HZ-Hazira Project"/>
    <s v="2000HWO"/>
    <s v="20055706"/>
    <s v="HimalKumar Madhusudan Sheth"/>
    <s v="No"/>
    <s v="ramesh.patel1@amns.in"/>
    <s v="6358942015"/>
    <s v="886653"/>
    <s v="Dhruv Vyas"/>
    <s v="Anil Matoo"/>
    <s v="Praveen Kuruvalli"/>
    <s v="Dhruv Vyas"/>
    <n v="0"/>
  </r>
  <r>
    <n v="4521"/>
    <n v="20056429"/>
    <s v="Sonali Jain"/>
    <s v="AM/NS India"/>
    <s v="Onroll"/>
    <s v="M-10"/>
    <n v="10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Accounts Payable"/>
    <m/>
    <s v=""/>
    <s v=""/>
    <s v=""/>
    <s v="Non Technical Support"/>
    <s v="Finance &amp; Accounts"/>
    <s v="Finance &amp; Accounts"/>
    <s v="73901001"/>
    <s v="Finance &amp; Accounts"/>
    <s v="AM/NS Hazira"/>
    <d v="1993-03-06T00:00:00"/>
    <s v="30.06"/>
    <d v="2022-04-06T00:00:00"/>
    <d v="2051-03-31T00:00:00"/>
    <m/>
    <d v="2051-03-31T00:00:00"/>
    <n v="10054"/>
    <s v="B+"/>
    <s v="CS-2014 , CA Inter-2011 , BCom-2013 , In"/>
    <s v="03.00"/>
    <s v="01.05"/>
    <s v="04.05"/>
    <s v="72150243"/>
    <s v="Accounts Payable"/>
    <s v="70298654"/>
    <s v="Officer Accounts Payable"/>
    <s v="Hazira"/>
    <s v="0031950045"/>
    <s v="HZ-Works Accounts-Ha"/>
    <s v="2000HWO"/>
    <s v="20001076"/>
    <s v="Bhavesh Modi"/>
    <s v="No"/>
    <s v="sonali.jain@amns.in"/>
    <s v="9664527109"/>
    <s v="887052"/>
    <s v="Dhruv Vyas"/>
    <s v="Anil Matoo"/>
    <s v="Praveen Kuruvalli"/>
    <s v="Dhruv Vyas"/>
    <n v="0"/>
  </r>
  <r>
    <n v="4523"/>
    <n v="20056431"/>
    <s v="Prajakta Wagholikar"/>
    <s v="AM/NS India"/>
    <s v="Onroll"/>
    <s v="M-5"/>
    <n v="5"/>
    <m/>
    <s v="M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- Coated Products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75-03-28T00:00:00"/>
    <s v="48.05"/>
    <d v="2022-04-06T00:00:00"/>
    <d v="2033-03-31T00:00:00"/>
    <m/>
    <d v="2033-03-31T00:00:00"/>
    <n v="3480"/>
    <s v="O+"/>
    <s v="BE-1997 , Intermediate-1993 , SSLC-1991"/>
    <s v="24.09"/>
    <s v="01.05"/>
    <s v="26.02"/>
    <s v="00052471"/>
    <s v="Coated &amp; OC"/>
    <s v="273353"/>
    <s v="Section Head - Coated &amp; OC Products"/>
    <s v="Corporate"/>
    <s v="0031950057"/>
    <s v="HZ-HRC - Marketing"/>
    <s v="2002MUMB"/>
    <s v="20008508"/>
    <s v="Satyajit Mohapatra"/>
    <s v="No"/>
    <s v="prajakta.wagholikar@amns.in"/>
    <s v="9860998710"/>
    <s v="887153"/>
    <s v="Dhruv Vyas"/>
    <s v="Anil Matoo"/>
    <s v="Praveen Kuruvalli"/>
    <s v="Dhruv Vyas"/>
    <n v="0"/>
  </r>
  <r>
    <n v="4536"/>
    <n v="20056445"/>
    <s v="Monoswita Rez"/>
    <s v="AM/NS India"/>
    <s v="Onroll"/>
    <s v="M-9"/>
    <n v="9"/>
    <m/>
    <s v="JM"/>
    <s v="F"/>
    <s v="Odisha"/>
    <n v="2"/>
    <s v="2013"/>
    <x v="0"/>
    <s v="20.01"/>
    <s v="Akiyo Omori"/>
    <s v="Amit Harlalka"/>
    <n v="5"/>
    <s v="Finance &amp; Accounts"/>
    <s v="Finance &amp; Accounts"/>
    <s v="20"/>
    <s v="Officer- F&amp;A"/>
    <m/>
    <s v="Projects"/>
    <s v=""/>
    <s v=""/>
    <s v="Non Technical Support"/>
    <s v=""/>
    <s v=""/>
    <s v=""/>
    <s v=""/>
    <s v="Bhubaneswar"/>
    <d v="1997-05-04T00:00:00"/>
    <s v="26.04"/>
    <d v="2022-04-04T00:00:00"/>
    <d v="2055-05-31T00:00:00"/>
    <m/>
    <d v="2055-05-31T00:00:00"/>
    <n v="11576"/>
    <s v="B+"/>
    <s v="CA Final-2021 , BCom-2018 , SSLC-2015"/>
    <s v="00.03"/>
    <s v="01.05"/>
    <s v="01.08"/>
    <s v="70234933"/>
    <s v="Finance &amp; Accounts - Odisha"/>
    <s v="277056"/>
    <s v="Officer- F&amp;A"/>
    <s v="Odisha"/>
    <s v="0022030019"/>
    <s v="PDP-HR &amp; Admn"/>
    <s v="2000STORIS"/>
    <s v="20055801"/>
    <s v="Sanjive Kumar Singh"/>
    <s v="No"/>
    <s v="monoswita.rez@amns.in"/>
    <s v="8598027449"/>
    <s v="887972"/>
    <s v="Sunila Das"/>
    <s v="Anil Matoo"/>
    <s v="Praveen Kuruvalli"/>
    <s v="Sunila Das"/>
    <n v="0"/>
  </r>
  <r>
    <n v="4547"/>
    <n v="20056456"/>
    <s v="Prashant Bajpai"/>
    <s v="AM/NS India"/>
    <s v="Onroll"/>
    <s v="M-7"/>
    <n v="7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Lead- HR Operations"/>
    <m/>
    <s v="Human Resources"/>
    <s v=""/>
    <s v=""/>
    <s v="Non Technical Support"/>
    <s v="Human Resources Management"/>
    <s v="Human Resources Management"/>
    <s v="73501001"/>
    <s v="Human Resources"/>
    <s v="Hazira"/>
    <d v="1990-05-10T00:00:00"/>
    <s v="33.04"/>
    <d v="2022-04-07T00:00:00"/>
    <d v="2048-05-31T00:00:00"/>
    <m/>
    <d v="2048-05-31T00:00:00"/>
    <n v="9020"/>
    <s v="O+"/>
    <s v="MBA-2012 , BCom-2010"/>
    <s v="09.10"/>
    <s v="01.05"/>
    <s v="11.03"/>
    <s v="70472770"/>
    <s v="Hazira HR Operations - 1"/>
    <s v="273307"/>
    <s v="Lead- HR Operations"/>
    <s v="Hazira"/>
    <s v="0031950061"/>
    <s v="HZ-Human Resource"/>
    <s v="2000HWO"/>
    <s v="20001265"/>
    <s v="Lakshman Iyer"/>
    <s v="No"/>
    <s v="prashant.bajpai@amns.in"/>
    <s v="9558610703"/>
    <s v="888411"/>
    <s v="Dhruv Vyas"/>
    <s v="Anil Matoo"/>
    <s v="Praveen Kuruvalli"/>
    <s v="Dhruv Vyas"/>
    <n v="0"/>
  </r>
  <r>
    <n v="4574"/>
    <n v="20056488"/>
    <s v="Supriya Swain"/>
    <s v="AM/NS India"/>
    <s v="Onroll"/>
    <s v="M-7"/>
    <n v="7"/>
    <m/>
    <s v="MM"/>
    <s v="F"/>
    <s v="Odisha"/>
    <n v="2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1"/>
    <s v="Human Resources"/>
    <s v="Paradeep"/>
    <d v="1983-06-30T00:00:00"/>
    <s v="40.02"/>
    <d v="2022-05-02T00:00:00"/>
    <d v="2041-06-30T00:00:00"/>
    <m/>
    <d v="2041-06-30T00:00:00"/>
    <n v="6493"/>
    <s v="A+"/>
    <s v="MBA-2008 , PG Diploma-2005 , BSc-2004 ,"/>
    <s v="12.00"/>
    <s v="01.04"/>
    <s v="13.04"/>
    <s v="70495430"/>
    <s v="Odisha HR Operations"/>
    <s v="273311"/>
    <s v="Lead - Human Resources"/>
    <s v="Odisha"/>
    <s v="0022030019"/>
    <s v="PDP-HR &amp; Admn"/>
    <s v="2000STORIS"/>
    <s v="20055611"/>
    <s v="Sunila Kumar Das"/>
    <s v="No"/>
    <s v="supriya.swain@amns.in"/>
    <s v="7894450331"/>
    <s v="890454"/>
    <s v="Sunila Das"/>
    <s v="Anil Matoo"/>
    <s v="Praveen Kuruvalli"/>
    <s v="Sunila Das"/>
    <n v="0"/>
  </r>
  <r>
    <n v="4578"/>
    <n v="20056492"/>
    <s v="Parthajeet Mazumdar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Capex Procurement"/>
    <s v=""/>
    <s v=""/>
    <s v="Non Technical Support"/>
    <s v=""/>
    <s v=""/>
    <s v=""/>
    <s v=""/>
    <s v="Hazira"/>
    <d v="1990-08-28T00:00:00"/>
    <s v="33.00"/>
    <d v="2022-04-28T00:00:00"/>
    <d v="2048-08-31T00:00:00"/>
    <m/>
    <d v="2048-08-31T00:00:00"/>
    <n v="9112"/>
    <s v="O+"/>
    <s v="Bachelor of Computer Applications-2012 ,"/>
    <s v="09.09"/>
    <s v="01.04"/>
    <s v="11.01"/>
    <s v="00049335"/>
    <s v="Capex Procurement - Expediting"/>
    <s v="278454"/>
    <s v="Lead – Expeditor Capex"/>
    <s v="Hazira"/>
    <s v="0031950059"/>
    <s v="HZ-Hazira Project"/>
    <s v="2000HWO"/>
    <s v="20057413"/>
    <s v="Vipin Toshniwal"/>
    <s v="No"/>
    <s v="parthajeet.mazumdar@amns.in"/>
    <s v="6358942094"/>
    <s v="891002"/>
    <s v="Dhruv Vyas"/>
    <s v="Anil Matoo"/>
    <s v="Praveen Kuruvalli"/>
    <s v="Dhruv Vyas"/>
    <n v="0"/>
  </r>
  <r>
    <n v="4585"/>
    <n v="20056499"/>
    <s v="Bharti Chundawat"/>
    <s v="AM/NS India"/>
    <s v="Onroll"/>
    <s v="M-7"/>
    <n v="7"/>
    <m/>
    <s v="MM"/>
    <s v="F"/>
    <s v="Hazira"/>
    <n v="1"/>
    <s v="2161"/>
    <x v="15"/>
    <s v="31.02"/>
    <s v="Hrishikesh Kamat"/>
    <s v="Hrishikesh Kamat"/>
    <n v="7"/>
    <s v="Procurement"/>
    <s v="Procurement"/>
    <s v="31"/>
    <s v="Sr. Lead - Capex Services"/>
    <m/>
    <s v=""/>
    <s v=""/>
    <s v=""/>
    <s v="Non Technical Support"/>
    <s v="Operations"/>
    <s v="Operations"/>
    <s v="72103001"/>
    <s v="Operations"/>
    <s v="Hazira"/>
    <d v="1987-11-23T00:00:00"/>
    <s v="35.09"/>
    <d v="2022-05-09T00:00:00"/>
    <d v="2045-11-30T00:00:00"/>
    <m/>
    <d v="2045-11-30T00:00:00"/>
    <n v="8107"/>
    <s v="O+"/>
    <s v="Bachelor Equivalent-2009 , Intermediate-"/>
    <s v="12.04"/>
    <s v="01.04"/>
    <s v="13.08"/>
    <s v="00049344"/>
    <s v="Capex Procurement"/>
    <s v="273318"/>
    <s v="Sr. Lead - Capex Services"/>
    <s v="Hazira"/>
    <s v="0031950059"/>
    <s v="HZ-Hazira Project"/>
    <s v="2000HWO"/>
    <s v="20055728"/>
    <s v="Mahebub Vahora"/>
    <s v="No"/>
    <s v="bharti.chundawat@amns.in"/>
    <s v="9879105140"/>
    <s v="892294"/>
    <s v="Dhruv Vyas"/>
    <s v="Anil Matoo"/>
    <s v="Praveen Kuruvalli"/>
    <s v="Dhruv Vyas"/>
    <n v="0"/>
  </r>
  <r>
    <n v="4588"/>
    <n v="20056503"/>
    <s v="Bhavin Pandya"/>
    <s v="AM/NS India"/>
    <s v="Onroll"/>
    <s v="M-6"/>
    <n v="6"/>
    <m/>
    <s v="MM"/>
    <s v="M"/>
    <s v="Hazira"/>
    <n v="1"/>
    <s v="2084"/>
    <x v="17"/>
    <s v="23.09"/>
    <s v="Anil Matoo"/>
    <s v="Ashutosh Telang"/>
    <n v="6"/>
    <s v="HR &amp; Administration"/>
    <s v="Industrial Relations"/>
    <s v="23"/>
    <s v="Head IR &amp; Legal Compliance"/>
    <m/>
    <s v=""/>
    <s v=""/>
    <s v=""/>
    <s v="Non Technical Support"/>
    <s v="Human Resources Management"/>
    <s v="Human Resources Management"/>
    <s v="73501002"/>
    <s v="Human Resources Operation"/>
    <s v="Hazira"/>
    <d v="1976-01-02T00:00:00"/>
    <s v="47.08"/>
    <d v="2022-05-09T00:00:00"/>
    <d v="2034-01-31T00:00:00"/>
    <m/>
    <d v="2034-01-31T00:00:00"/>
    <n v="3786"/>
    <s v="AB-"/>
    <s v="Master's Equivalent-2001 , BSc-1999 , In"/>
    <s v="11.00"/>
    <s v="01.04"/>
    <s v="12.04"/>
    <s v="70309501"/>
    <s v="IR &amp; legal Compliance"/>
    <s v="70320438"/>
    <s v="Head IR &amp; Legal Compliance"/>
    <s v="Hazira"/>
    <s v="0090000018"/>
    <s v="CORP Group - HR"/>
    <s v="2000HWO"/>
    <s v="20000083"/>
    <s v="Anil Matoo"/>
    <s v="No"/>
    <s v="bhavin.pandya@amns.in"/>
    <s v="6358942110"/>
    <s v="892872"/>
    <s v="Dhruv Vyas"/>
    <s v="Anil Matoo"/>
    <s v="Praveen Kuruvalli"/>
    <s v="Dhruv Vyas"/>
    <n v="0"/>
  </r>
  <r>
    <n v="4590"/>
    <n v="20056505"/>
    <s v="Tanvee Vasudevan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, Delhi"/>
    <m/>
    <s v="Legal"/>
    <s v=""/>
    <s v=""/>
    <s v="Non Technical Support"/>
    <s v="Legal"/>
    <s v="Legal"/>
    <s v="73201001"/>
    <s v="Legal"/>
    <s v="Delhi"/>
    <d v="1991-12-27T00:00:00"/>
    <s v="31.08"/>
    <d v="2022-05-16T00:00:00"/>
    <d v="2049-12-31T00:00:00"/>
    <m/>
    <d v="2049-12-31T00:00:00"/>
    <n v="9599"/>
    <s v="O+"/>
    <s v="LLB-2014 , SSLC-2007 , Intermediate-2008"/>
    <s v="04.00"/>
    <s v="01.04"/>
    <s v="05.04"/>
    <s v="00048996"/>
    <s v="Legal"/>
    <s v="273390"/>
    <s v="Sr. Lead - Legal"/>
    <s v="Corporate"/>
    <s v="0090000019"/>
    <s v="Corporate Steel - Le"/>
    <s v="2000CS"/>
    <s v="20055160"/>
    <s v="Mrida Lakhmani"/>
    <s v="No"/>
    <s v="tanvee.vasudevan@amns.in"/>
    <s v="9867864462"/>
    <s v="893029"/>
    <s v="Dhruv Vyas"/>
    <s v="Anil Matoo"/>
    <s v="Praveen Kuruvalli"/>
    <s v="Dhruv Vyas"/>
    <n v="0"/>
  </r>
  <r>
    <n v="4592"/>
    <n v="20056507"/>
    <s v="Jojo Thalanany"/>
    <s v="AM/NS India"/>
    <s v="Onroll"/>
    <s v="M-9"/>
    <n v="9"/>
    <m/>
    <s v="JM"/>
    <s v="M"/>
    <s v="Corporate"/>
    <n v="7"/>
    <s v="2096"/>
    <x v="14"/>
    <s v="36.02"/>
    <s v="Deepak Sindkar"/>
    <s v="Hrishikesh Kamat"/>
    <n v="7"/>
    <s v="Procurement"/>
    <s v="Raw Materials"/>
    <s v="36"/>
    <s v="Officer Analyst – Power &amp; Gas"/>
    <m/>
    <s v=""/>
    <s v=""/>
    <s v=""/>
    <s v="Tech. Support Services"/>
    <s v=""/>
    <s v=""/>
    <s v=""/>
    <s v=""/>
    <s v="Mumbai"/>
    <d v="1990-05-03T00:00:00"/>
    <s v="33.04"/>
    <d v="2022-05-09T00:00:00"/>
    <d v="2048-05-31T00:00:00"/>
    <m/>
    <d v="2048-05-31T00:00:00"/>
    <n v="9020"/>
    <s v="A+"/>
    <s v="Master's Equivalent-2018 , PG Diploma-20"/>
    <s v="07.02"/>
    <s v="01.04"/>
    <s v="08.06"/>
    <s v="00049516"/>
    <s v="Power &amp; Gas"/>
    <s v="279676"/>
    <s v="Officer Analyst – Power &amp; Gas"/>
    <s v="Corporate"/>
    <s v="0031950048"/>
    <s v="HZ-Procurment Depart"/>
    <s v="2000CS"/>
    <s v="20004612"/>
    <s v="Ramesh Chabhadiya"/>
    <s v="No"/>
    <s v="jojo.thalanany@amns.in"/>
    <s v="9821721703"/>
    <s v="25647"/>
    <s v="Dhruv Vyas"/>
    <s v="Anil Matoo"/>
    <s v="Praveen Kuruvalli"/>
    <s v="Dhruv Vyas"/>
    <n v="0"/>
  </r>
  <r>
    <n v="4604"/>
    <n v="20056520"/>
    <s v="Ankit Panchal"/>
    <s v="AM/NS India"/>
    <s v="Onroll"/>
    <s v="M-6"/>
    <n v="6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- Capex Procurement"/>
    <m/>
    <s v=""/>
    <s v=""/>
    <s v=""/>
    <s v="Non Technical Support"/>
    <s v=""/>
    <s v=""/>
    <s v=""/>
    <s v=""/>
    <s v="Hazira"/>
    <d v="1984-10-13T00:00:00"/>
    <s v="38.11"/>
    <d v="2022-05-19T00:00:00"/>
    <d v="2042-10-31T00:00:00"/>
    <m/>
    <d v="2042-10-31T00:00:00"/>
    <n v="6981"/>
    <s v="B+"/>
    <s v="PG Diploma-2010 , Bachelor Equivalent-20"/>
    <s v="16.09"/>
    <s v="01.04"/>
    <s v="18.00"/>
    <s v="00049358"/>
    <s v="Capex Procurement"/>
    <s v="279775"/>
    <s v="Sr. Lead - Capex Procurement"/>
    <s v="Hazira"/>
    <s v="0031950059"/>
    <s v="HZ-Hazira Project"/>
    <s v="2000HWO"/>
    <s v="20052261"/>
    <s v="Aruni Mishra"/>
    <s v="No"/>
    <s v="ankit.panchal@amns.in"/>
    <s v="6354766167"/>
    <s v="893771"/>
    <s v="Dhruv Vyas"/>
    <s v="Anil Matoo"/>
    <s v="Praveen Kuruvalli"/>
    <s v="Dhruv Vyas"/>
    <n v="0"/>
  </r>
  <r>
    <n v="4617"/>
    <n v="20056538"/>
    <s v="Dinesh Chandra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Sales &amp; Marketing"/>
    <m/>
    <s v="North"/>
    <s v="OEM"/>
    <s v=""/>
    <s v="Non Technical Support"/>
    <s v=""/>
    <s v=""/>
    <s v=""/>
    <s v=""/>
    <s v="Noida"/>
    <d v="1979-07-11T00:00:00"/>
    <s v="44.02"/>
    <d v="2022-06-01T00:00:00"/>
    <d v="2037-07-31T00:00:00"/>
    <m/>
    <d v="2037-07-31T00:00:00"/>
    <n v="5063"/>
    <s v="B+"/>
    <s v="MBA-2007 , Diploma-2002 , BA-2001 , Inte"/>
    <s v="16.07"/>
    <s v="01.03"/>
    <s v="17.10"/>
    <s v="72150181"/>
    <s v="Sales North Zone"/>
    <s v="280472"/>
    <s v="KAM - OEM Sales"/>
    <s v="Hazira"/>
    <s v="0031950057"/>
    <s v="HZ-HRC - Marketing"/>
    <s v="2000HWO"/>
    <s v="20002920"/>
    <s v="Sudhir Sharma"/>
    <s v="No"/>
    <s v="dinesh.chauhan@amns.in"/>
    <s v="8826229382"/>
    <s v="895031"/>
    <s v="Dhruv Vyas"/>
    <s v="Anil Matoo"/>
    <s v="Praveen Kuruvalli"/>
    <s v="Dhruv Vyas"/>
    <n v="0"/>
  </r>
  <r>
    <n v="4618"/>
    <n v="20056539"/>
    <s v="Baruah Akshay"/>
    <s v="AM/NS India"/>
    <s v="Onroll"/>
    <s v="M-7"/>
    <n v="7"/>
    <m/>
    <s v="MM"/>
    <s v="M"/>
    <s v="Hazira"/>
    <n v="1"/>
    <s v="2099"/>
    <x v="19"/>
    <s v="02.01"/>
    <s v="Raghavan Aravamudhan"/>
    <s v="Dilip Oommen"/>
    <n v="1"/>
    <s v="CEO Office"/>
    <s v="Business Strategy"/>
    <s v="02"/>
    <s v="Lead - PMO (Analyst)"/>
    <m/>
    <s v="Business Strategy"/>
    <s v="Business Strategy"/>
    <s v=""/>
    <s v="Non Technical Support"/>
    <s v=""/>
    <s v=""/>
    <s v=""/>
    <s v=""/>
    <s v="Hazira"/>
    <d v="1987-11-30T00:00:00"/>
    <s v="35.09"/>
    <d v="2022-05-23T00:00:00"/>
    <d v="2045-11-30T00:00:00"/>
    <m/>
    <d v="2045-11-30T00:00:00"/>
    <n v="8107"/>
    <s v="A+"/>
    <s v="BE-2009 , Intermediate-2005 , SSLC-2003"/>
    <s v="12.02"/>
    <s v="01.03"/>
    <s v="13.06"/>
    <s v="00046538"/>
    <s v="Project Monitoring"/>
    <s v="280507"/>
    <s v="Lead - PMO (Analyst)"/>
    <s v="Hazira"/>
    <s v="0090000022"/>
    <s v="Business Strategy"/>
    <s v="2000HWO"/>
    <s v="20049281"/>
    <s v="Raveena Dhoot"/>
    <s v="No"/>
    <s v="akshay.baruah@amns.in"/>
    <s v="7763807221"/>
    <s v="895230"/>
    <s v="Dhruv Vyas"/>
    <s v="Anil Matoo"/>
    <s v="Praveen Kuruvalli"/>
    <s v="Dhruv Vyas"/>
    <n v="0"/>
  </r>
  <r>
    <n v="4624"/>
    <n v="20056545"/>
    <s v="Atul Shukla"/>
    <s v="AM/NS India"/>
    <s v="Onroll"/>
    <s v="M-9"/>
    <n v="9"/>
    <m/>
    <s v="J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Officer – Finance &amp; Accounts SC"/>
    <m/>
    <s v="Finance &amp; Accounts"/>
    <s v="Finance &amp; Accounts"/>
    <s v="Finance &amp; Accounts"/>
    <s v="Non Technical Support"/>
    <s v=""/>
    <s v=""/>
    <s v=""/>
    <s v=""/>
    <s v="Pune"/>
    <d v="1979-03-27T00:00:00"/>
    <s v="44.05"/>
    <d v="2022-06-10T00:00:00"/>
    <d v="2037-03-31T00:00:00"/>
    <m/>
    <d v="2037-03-31T00:00:00"/>
    <n v="4941"/>
    <s v="O-"/>
    <s v="MBA-2017 , BCom-2000 , Intermediate-1997"/>
    <s v="11.00"/>
    <s v="01.03"/>
    <s v="12.03"/>
    <s v="00043795"/>
    <s v="F&amp;A Hypermart &amp; Service Centre - 1"/>
    <s v="281143"/>
    <s v="Officer – Finance &amp; Accounts SC"/>
    <s v="Service Center"/>
    <s v="0040020019"/>
    <s v="SC-Pune-Op1-HR-Admin"/>
    <s v="2000SPRJ"/>
    <s v="20055201"/>
    <s v="Deepak Sahu"/>
    <s v="No"/>
    <s v="atul.shukla@amns.in"/>
    <s v="7600026392"/>
    <s v="896685"/>
    <s v="Dhruv Vyas"/>
    <s v="Anil Matoo"/>
    <s v="Praveen Kuruvalli"/>
    <s v="Dhruv Vyas"/>
    <n v="0"/>
  </r>
  <r>
    <n v="4664"/>
    <n v="20056666"/>
    <s v="Vishnu Jariwala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"/>
    <s v=""/>
    <s v=""/>
    <s v="Non Technical Support"/>
    <s v="Commercial"/>
    <s v="Procurement"/>
    <s v="73803001"/>
    <s v="Procurement"/>
    <s v="Hazira"/>
    <d v="1999-09-29T00:00:00"/>
    <s v="23.11"/>
    <d v="2022-06-10T00:00:00"/>
    <d v="2057-09-30T00:00:00"/>
    <m/>
    <d v="2057-09-30T00:00:00"/>
    <n v="12429"/>
    <s v="O+"/>
    <s v="Diploma-2018"/>
    <s v=""/>
    <s v="01.03"/>
    <s v="01.03"/>
    <s v="70072411"/>
    <s v="Iron &amp; Steel Making"/>
    <s v="281526"/>
    <s v="Engineer"/>
    <s v="Hazira"/>
    <s v="0031950048"/>
    <s v="HZ-Procurment Depart"/>
    <s v="2000HWO"/>
    <s v="20000926"/>
    <s v="Manishkumar Seksaria"/>
    <s v="No"/>
    <s v="vishnu.jariwala@amns.in"/>
    <s v="9727740223"/>
    <s v="26146"/>
    <s v="Dhruv Vyas"/>
    <s v="Anil Matoo"/>
    <s v="Praveen Kuruvalli"/>
    <s v="Dhruv Vyas"/>
    <n v="0"/>
  </r>
  <r>
    <n v="4665"/>
    <n v="20056668"/>
    <s v="Jaykumar Patel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"/>
    <s v=""/>
    <s v=""/>
    <s v="Non Technical Support"/>
    <s v="Commercial"/>
    <s v="Procurement"/>
    <s v="73803001"/>
    <s v="Procurement"/>
    <s v="Hazira"/>
    <d v="1998-06-13T00:00:00"/>
    <s v="25.03"/>
    <d v="2022-06-10T00:00:00"/>
    <d v="2056-06-30T00:00:00"/>
    <m/>
    <d v="2056-06-30T00:00:00"/>
    <n v="11972"/>
    <s v="O+"/>
    <s v="BTech-2022"/>
    <s v=""/>
    <s v="01.03"/>
    <s v="01.03"/>
    <s v="00044543"/>
    <s v="Procurement -Refractory"/>
    <s v="281528"/>
    <s v="Engineer"/>
    <s v="Hazira"/>
    <s v="0031950048"/>
    <s v="HZ-Procurment Depart"/>
    <s v="2000VIZOPS"/>
    <s v="20008647"/>
    <s v="Alpesh Hirpara"/>
    <s v="No"/>
    <s v="jaykumar.patel5@amns.in"/>
    <s v="9909902640"/>
    <s v="26270"/>
    <s v="Dhruv Vyas"/>
    <s v="Anil Matoo"/>
    <s v="Praveen Kuruvalli"/>
    <s v="Dhruv Vyas"/>
    <n v="0"/>
  </r>
  <r>
    <n v="4716"/>
    <n v="20056721"/>
    <s v="Amit Mosamkar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West"/>
    <s v="Hypermart"/>
    <s v=""/>
    <s v="Non Technical Support"/>
    <s v=""/>
    <s v=""/>
    <s v=""/>
    <s v=""/>
    <s v="Nashik"/>
    <d v="1989-12-29T00:00:00"/>
    <s v="33.08"/>
    <d v="2022-06-20T00:00:00"/>
    <d v="2047-12-31T00:00:00"/>
    <m/>
    <d v="2047-12-31T00:00:00"/>
    <n v="8868"/>
    <s v="AB+"/>
    <s v="MBA-2013 , BSc-2010 , Intermediate-2007"/>
    <s v="08.07"/>
    <s v="01.03"/>
    <s v="09.09"/>
    <s v="00048138"/>
    <s v="Hypermart west"/>
    <s v="281984"/>
    <s v="Sales Manager - Hypermart"/>
    <s v="Hazira"/>
    <s v="0060110600"/>
    <s v="HMART-Mah-Taloja"/>
    <s v="2000HWO"/>
    <s v="20056847"/>
    <s v="Vikas Chotia"/>
    <s v="No"/>
    <s v="amit.mosamkar@amns.in"/>
    <s v="9167716296"/>
    <s v="898091"/>
    <s v="Dhruv Vyas"/>
    <s v="Anil Matoo"/>
    <s v="Praveen Kuruvalli"/>
    <s v="Dhruv Vyas"/>
    <n v="0"/>
  </r>
  <r>
    <n v="4725"/>
    <n v="20056733"/>
    <s v="Satish Bhusale"/>
    <s v="AM/NS India"/>
    <s v="Onroll"/>
    <s v="M-9"/>
    <n v="9"/>
    <m/>
    <s v="JM"/>
    <s v="M"/>
    <s v="Pune Facility"/>
    <n v="4"/>
    <s v="2094"/>
    <x v="21"/>
    <s v="27.10"/>
    <s v="Vikas Chandra Yadvendu"/>
    <s v="Ashutosh Telang"/>
    <n v="6"/>
    <s v="HR &amp; Administration"/>
    <s v="Corporate SocialResponsibility"/>
    <s v="27"/>
    <s v="Dy Manager - CSR"/>
    <m/>
    <s v=""/>
    <s v=""/>
    <s v=""/>
    <s v="Non Technical Support"/>
    <s v=""/>
    <s v=""/>
    <s v=""/>
    <s v=""/>
    <s v="Pune AMNS"/>
    <d v="1986-04-13T00:00:00"/>
    <s v="37.05"/>
    <d v="2022-06-13T00:00:00"/>
    <d v="2044-04-30T00:00:00"/>
    <m/>
    <d v="2044-04-30T00:00:00"/>
    <n v="7528"/>
    <s v="O+"/>
    <s v="MSW-2009 , Intermediate-2004 , SSLC-2003"/>
    <s v="11.10"/>
    <s v="01.03"/>
    <s v="13.01"/>
    <s v="70495661"/>
    <s v="Corporate Social Responsibility"/>
    <s v="282389"/>
    <s v="Dy Manager - CSR"/>
    <s v="Pune Facility"/>
    <s v="0022030019"/>
    <s v="PDP-HR &amp; Admn"/>
    <s v="2000ESPF"/>
    <s v="20055033"/>
    <s v="Vikas Chandra Yadvendu"/>
    <s v="No"/>
    <s v="satish.bhusale@amns.in"/>
    <s v="7058612912"/>
    <s v="898737"/>
    <s v="Dhruv Vyas"/>
    <s v="Anil Matoo"/>
    <s v="Praveen Kuruvalli"/>
    <s v="Dhruv Vyas"/>
    <n v="0"/>
  </r>
  <r>
    <n v="4726"/>
    <n v="20056734"/>
    <s v="Sambit Das"/>
    <s v="AM/NS India"/>
    <s v="Onroll"/>
    <s v="M-8"/>
    <n v="8"/>
    <m/>
    <s v="JM"/>
    <s v="M"/>
    <s v="Corporate"/>
    <n v="7"/>
    <s v="2015"/>
    <x v="1"/>
    <s v="22.06"/>
    <s v="Praveen Kuruvalli"/>
    <s v="Ashutosh Telang"/>
    <n v="6"/>
    <s v="HR &amp; Administration"/>
    <s v="Human Resources"/>
    <s v="22"/>
    <s v="Talent Acquisition Specialist"/>
    <m/>
    <s v="Human Resources"/>
    <s v=""/>
    <s v=""/>
    <s v="Non Technical Support"/>
    <s v=""/>
    <s v=""/>
    <s v=""/>
    <s v=""/>
    <s v="Mumbai"/>
    <d v="1986-12-09T00:00:00"/>
    <s v="36.09"/>
    <d v="2022-06-01T00:00:00"/>
    <d v="2044-12-31T00:00:00"/>
    <m/>
    <d v="2044-12-31T00:00:00"/>
    <n v="7773"/>
    <s v="B+"/>
    <s v="MBA-2011 , BCom-2009 , Intermediate-2004"/>
    <s v="10.06"/>
    <s v="01.03"/>
    <s v="11.09"/>
    <s v="70242278"/>
    <s v="People Strategy &amp; HR Center Excellence"/>
    <s v="282396"/>
    <s v="Talent Acquisition Specialist"/>
    <s v="Corporate"/>
    <s v="0031950061"/>
    <s v="HZ-Human Resource"/>
    <s v="2000CS"/>
    <s v="20055483"/>
    <s v="Praveen Kuruvalli"/>
    <s v="No"/>
    <s v="sambit.das@amns.in"/>
    <s v="8981081994"/>
    <s v="898766"/>
    <s v="Dhruv Vyas"/>
    <s v="Anil Matoo"/>
    <s v="Praveen Kuruvalli"/>
    <s v="Dhruv Vyas"/>
    <n v="0"/>
  </r>
  <r>
    <n v="4783"/>
    <n v="20056809"/>
    <s v="Divyakumar Patel"/>
    <s v="AM/NS India"/>
    <s v="Onroll"/>
    <s v="T-1 (GET)"/>
    <n v="12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Commercial"/>
    <s v="Procurement"/>
    <s v="73803001"/>
    <s v="Procurement"/>
    <s v="Hazira"/>
    <d v="2001-02-27T00:00:00"/>
    <s v="22.06"/>
    <d v="2022-06-27T00:00:00"/>
    <d v="2059-02-28T00:00:00"/>
    <m/>
    <d v="2059-02-28T00:00:00"/>
    <n v="12945"/>
    <s v=""/>
    <s v="BE-2022"/>
    <s v=""/>
    <s v="01.02"/>
    <s v="01.02"/>
    <s v="70495711"/>
    <s v="Capex Buyer"/>
    <s v="273542"/>
    <s v="Graduate Engineer Trainee 2022"/>
    <s v="Hazira"/>
    <s v="0031950061"/>
    <s v="HZ-Human Resource"/>
    <s v="2161HAZI"/>
    <s v="20055447"/>
    <s v="Nirav Pachchigar"/>
    <s v="No"/>
    <s v="divyakumar.patel@amns.in"/>
    <s v="9662041625"/>
    <s v="899856"/>
    <s v="Dhruv Vyas"/>
    <s v="Anil Matoo"/>
    <s v="Praveen Kuruvalli"/>
    <s v="Dhruv Vyas"/>
    <n v="0"/>
  </r>
  <r>
    <n v="4807"/>
    <n v="20056841"/>
    <s v="Rishi Bhartia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Officer – Business Analysis"/>
    <m/>
    <s v="Sales Steering &amp; BD"/>
    <s v="Market Intelligence"/>
    <s v=""/>
    <s v="Non Technical Support"/>
    <s v=""/>
    <s v=""/>
    <s v=""/>
    <s v=""/>
    <s v="Mumbai"/>
    <d v="1992-07-15T00:00:00"/>
    <s v="31.02"/>
    <d v="2022-06-28T00:00:00"/>
    <d v="2050-07-31T00:00:00"/>
    <m/>
    <d v="2050-07-31T00:00:00"/>
    <n v="9811"/>
    <s v="B+"/>
    <s v="MBA-2018 , BTech-2015 , Intermediate-201"/>
    <s v="02.06"/>
    <s v="01.02"/>
    <s v="03.09"/>
    <s v="72150188"/>
    <s v="Market Intelligence &amp; Pricing"/>
    <s v="283093"/>
    <s v="Lead – Business Analysis"/>
    <s v="Corporate"/>
    <s v="0080000001"/>
    <s v="Head-Marketing"/>
    <s v="2000CS"/>
    <s v="20008774"/>
    <s v="Ajay Somasundaran"/>
    <s v="No"/>
    <s v="rishi.bhartia@amns.in"/>
    <s v="8097446244"/>
    <s v="1000612"/>
    <s v="Dhruv Vyas"/>
    <s v="Anil Matoo"/>
    <s v="Praveen Kuruvalli"/>
    <s v="Dhruv Vyas"/>
    <n v="0"/>
  </r>
  <r>
    <n v="4810"/>
    <n v="20056844"/>
    <s v="Kundan Rai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Lead Scrap Projects"/>
    <m/>
    <s v="Projects Long Products"/>
    <s v="Scrap"/>
    <s v=""/>
    <s v="Non Technical Support"/>
    <s v=""/>
    <s v=""/>
    <s v=""/>
    <s v=""/>
    <s v="Mumbai"/>
    <d v="1989-02-16T00:00:00"/>
    <s v="34.07"/>
    <d v="2022-06-20T00:00:00"/>
    <d v="2047-02-28T00:00:00"/>
    <m/>
    <d v="2047-02-28T00:00:00"/>
    <n v="8562"/>
    <s v="B+"/>
    <s v="BE-2010 , Intermediate-2006 , SSLC-2004"/>
    <s v="11.10"/>
    <s v="01.03"/>
    <s v="13.00"/>
    <s v="00053119"/>
    <s v="Recycling Strategy"/>
    <s v="283217"/>
    <s v="Lead Scrap Projects"/>
    <s v="Corporate"/>
    <s v="0080000005"/>
    <s v="Global Markets Team"/>
    <s v="2000CRG"/>
    <s v="20055091"/>
    <s v="Akshaya Gujral"/>
    <s v="No"/>
    <s v="kundan.rai@amns.in"/>
    <s v="9096422775"/>
    <s v="1000961"/>
    <s v="Dhruv Vyas"/>
    <s v="Anil Matoo"/>
    <s v="Praveen Kuruvalli"/>
    <s v="Dhruv Vyas"/>
    <n v="0"/>
  </r>
  <r>
    <n v="4811"/>
    <n v="20056845"/>
    <s v="Manoj Kumar"/>
    <s v="AM/NS Shipping &amp; Logistics"/>
    <s v="Onroll"/>
    <s v="M-6"/>
    <n v="6"/>
    <m/>
    <s v="MM"/>
    <s v="M"/>
    <s v="Hazira"/>
    <n v="1"/>
    <s v="7209"/>
    <x v="18"/>
    <s v="33.01"/>
    <s v="Hrishikesh Kamat"/>
    <s v="Hrishikesh Kamat"/>
    <n v="7"/>
    <s v="Procurement"/>
    <s v="Shipping &amp; Chartering"/>
    <s v="33"/>
    <s v="Sr. Lead - Shipping and Chartering"/>
    <m/>
    <s v=""/>
    <s v=""/>
    <s v=""/>
    <s v="Tech. Support Services"/>
    <s v="Operations"/>
    <s v="Operations"/>
    <s v="72103001"/>
    <s v="Operations"/>
    <s v="Hazira"/>
    <d v="1978-05-17T00:00:00"/>
    <s v="45.04"/>
    <d v="2022-07-01T00:00:00"/>
    <d v="2036-05-31T00:00:00"/>
    <m/>
    <d v="2036-05-31T00:00:00"/>
    <n v="4637"/>
    <s v="B+"/>
    <s v="MBA-2014 , BSc-2000 , Intermediate-1996"/>
    <s v="06.00"/>
    <s v="01.02"/>
    <s v="07.02"/>
    <s v="00000000"/>
    <s v=""/>
    <s v="303933"/>
    <s v="Sr. Lead - Shipping and Chartering"/>
    <s v="AMNSSL"/>
    <s v="0000700001"/>
    <s v="SHIP-COMMON"/>
    <s v="2000HWO"/>
    <s v="20055075"/>
    <s v="Ashutosh Mathur"/>
    <s v="No"/>
    <s v="manoj.kumar@amns.in"/>
    <s v="9819906271"/>
    <s v="1001270"/>
    <s v="Dhruv Vyas"/>
    <s v="Anil Matoo"/>
    <s v="Praveen Kuruvalli"/>
    <s v="Dhruv Vyas"/>
    <n v="0"/>
  </r>
  <r>
    <n v="4813"/>
    <n v="20056847"/>
    <s v="Vikas Chotia"/>
    <s v="AM/NS India"/>
    <s v="Onroll"/>
    <s v="M-6"/>
    <n v="6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Manager - West"/>
    <m/>
    <s v="West"/>
    <s v="Hypermart"/>
    <s v=""/>
    <s v="Non Technical Support"/>
    <s v=""/>
    <s v=""/>
    <s v=""/>
    <s v=""/>
    <s v="Mumbai"/>
    <d v="1981-03-21T00:00:00"/>
    <s v="42.06"/>
    <d v="2022-07-01T00:00:00"/>
    <d v="2039-03-31T00:00:00"/>
    <m/>
    <d v="2039-03-31T00:00:00"/>
    <n v="5671"/>
    <s v="A+"/>
    <s v="MBA-2005 , BSc-2003 , Intermediate-2001"/>
    <s v="16.01"/>
    <s v="01.02"/>
    <s v="17.03"/>
    <s v="00048138"/>
    <s v="Hypermart west"/>
    <s v="283359"/>
    <s v="Business Manager - West"/>
    <s v="Hypermart"/>
    <s v="0060110400"/>
    <s v="HMART-Maharastra Div"/>
    <s v="2000SRET"/>
    <s v="20000812"/>
    <s v="Sitaram Rege"/>
    <s v="No"/>
    <s v="vikas.chotia@amns.in"/>
    <s v="9826985600"/>
    <s v="1001419"/>
    <s v="Dhruv Vyas"/>
    <s v="Anil Matoo"/>
    <s v="Praveen Kuruvalli"/>
    <s v="Dhruv Vyas"/>
    <n v="0"/>
  </r>
  <r>
    <n v="4815"/>
    <n v="20056849"/>
    <s v="Pramod Kumar Sinha"/>
    <s v="AM/NS India"/>
    <s v="Onroll"/>
    <s v="M-9"/>
    <n v="9"/>
    <m/>
    <s v="JM"/>
    <s v="M"/>
    <s v="Mining"/>
    <n v="8"/>
    <s v="2015"/>
    <x v="1"/>
    <s v="22.06"/>
    <s v="Praveen Kuruvalli"/>
    <s v="Ashutosh Telang"/>
    <n v="6"/>
    <s v="HR &amp; Administration"/>
    <s v="Human Resources"/>
    <s v="22"/>
    <s v="Officer HR and Admin"/>
    <m/>
    <s v="HR &amp; Admin"/>
    <s v=""/>
    <s v=""/>
    <s v="Non Technical Support"/>
    <s v=""/>
    <s v=""/>
    <s v=""/>
    <s v=""/>
    <s v="Barbil"/>
    <d v="1978-07-07T00:00:00"/>
    <s v="45.02"/>
    <d v="2022-06-13T00:00:00"/>
    <d v="2036-07-31T00:00:00"/>
    <m/>
    <d v="2036-07-31T00:00:00"/>
    <n v="4698"/>
    <s v="B+"/>
    <s v="PG Diploma in Management-2013 , BA-2002"/>
    <s v="15.06"/>
    <s v="01.03"/>
    <s v="16.08"/>
    <s v="00051987"/>
    <s v="HR - Mining"/>
    <s v="283477"/>
    <s v="Officer HR and Admin"/>
    <s v="Odisha"/>
    <s v="0031950061"/>
    <s v="HZ-Human Resource"/>
    <s v="2000STORIS"/>
    <s v="20059042"/>
    <s v="Murali Sahoo"/>
    <s v="No"/>
    <s v="pramod.sinha@amns.in"/>
    <s v="8660290497"/>
    <s v="1001531"/>
    <s v="Pramod Sinha"/>
    <s v="Anil Matoo"/>
    <s v="Praveen Kuruvalli"/>
    <s v="Dhruv Vyas"/>
    <n v="0"/>
  </r>
  <r>
    <n v="4820"/>
    <n v="20056854"/>
    <s v="Ritesh Agarwal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"/>
    <s v=""/>
    <s v=""/>
    <s v=""/>
    <s v="Hazira"/>
    <d v="1988-11-19T00:00:00"/>
    <s v="34.09"/>
    <d v="2022-06-27T00:00:00"/>
    <d v="2046-11-30T00:00:00"/>
    <m/>
    <d v="2046-11-30T00:00:00"/>
    <n v="8472"/>
    <s v="O+"/>
    <s v="BE-2012 , Intermediate-2007 , SSLC-2005"/>
    <s v="09.11"/>
    <s v="01.02"/>
    <s v="11.01"/>
    <s v="00049335"/>
    <s v="Capex Procurement - Expediting"/>
    <s v="283472"/>
    <s v="Lead – Expeditor Capex"/>
    <s v="Hazira"/>
    <s v="0031950059"/>
    <s v="HZ-Hazira Project"/>
    <s v="2000HWO"/>
    <s v="20057413"/>
    <s v="Vipin Toshniwal"/>
    <s v="No"/>
    <s v="ritesh.agarwal@amns.in"/>
    <s v="9040078266"/>
    <s v="1001739"/>
    <s v="Dhruv Vyas"/>
    <s v="Anil Matoo"/>
    <s v="Praveen Kuruvalli"/>
    <s v="Dhruv Vyas"/>
    <n v="0"/>
  </r>
  <r>
    <n v="4825"/>
    <n v="20056859"/>
    <s v="Mohammed Shafi A K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South"/>
    <s v="Hypermart"/>
    <s v=""/>
    <s v="Non Technical Support"/>
    <s v=""/>
    <s v=""/>
    <s v=""/>
    <s v=""/>
    <s v="Cochin"/>
    <d v="1988-12-20T00:00:00"/>
    <s v="34.09"/>
    <d v="2022-07-05T00:00:00"/>
    <d v="2046-12-31T00:00:00"/>
    <m/>
    <d v="2046-12-31T00:00:00"/>
    <n v="8503"/>
    <s v="A+"/>
    <s v="MBA-2013 , BCom-2003"/>
    <s v="08.02"/>
    <s v="01.02"/>
    <s v="09.04"/>
    <s v="00048814"/>
    <s v="Sales South Zone – Hypermart"/>
    <s v="283475"/>
    <s v="Sales Manager - Hypermart"/>
    <s v="Hypermart"/>
    <s v="0060140100"/>
    <s v="HMART-South Zone"/>
    <s v="2000SRET"/>
    <s v="20056279"/>
    <s v="Arun G"/>
    <s v="No"/>
    <s v="mohammed.shafi@amns.in"/>
    <s v="9946649414"/>
    <s v="1001881"/>
    <s v="Dhruv Vyas"/>
    <s v="Anil Matoo"/>
    <s v="Praveen Kuruvalli"/>
    <s v="Dhruv Vyas"/>
    <n v="0"/>
  </r>
  <r>
    <n v="4827"/>
    <n v="20056862"/>
    <s v="Rudresh Priya Ranjan"/>
    <s v="AM/NS India"/>
    <s v="Onroll"/>
    <s v="M-7"/>
    <n v="7"/>
    <m/>
    <s v="MM"/>
    <s v="M"/>
    <s v="Corporate"/>
    <n v="7"/>
    <s v="2060"/>
    <x v="24"/>
    <s v="39.01"/>
    <s v="Sanjay Sharma"/>
    <s v="Sanjay Sharma"/>
    <n v="8"/>
    <s v="Business Development"/>
    <s v="Business Development"/>
    <s v="39"/>
    <s v="Lead - Business Development"/>
    <m/>
    <s v="Business Development"/>
    <s v=""/>
    <s v=""/>
    <s v="Non Technical Support"/>
    <s v=""/>
    <s v=""/>
    <s v=""/>
    <s v=""/>
    <s v="Mumbai"/>
    <d v="1991-11-05T00:00:00"/>
    <s v="31.10"/>
    <d v="2022-06-20T00:00:00"/>
    <d v="2049-11-30T00:00:00"/>
    <m/>
    <d v="2049-11-30T00:00:00"/>
    <n v="9568"/>
    <s v="A+"/>
    <s v="PG Diploma in Management-2022 , BTech-20"/>
    <s v="05.10"/>
    <s v="01.03"/>
    <s v="07.00"/>
    <s v="70494900"/>
    <s v="Business Development"/>
    <s v="283994"/>
    <s v="Lead Business Development"/>
    <s v="Corporate"/>
    <s v="0090000032"/>
    <s v="Business Devpelopmen"/>
    <s v="2000CS"/>
    <s v="20055181"/>
    <s v="Sanjay Sharma"/>
    <s v="No"/>
    <s v="rudresh.ranjan@amns.in"/>
    <s v="7010922485"/>
    <s v="1002593"/>
    <s v="Dhruv Vyas"/>
    <s v="Anil Matoo"/>
    <s v="Praveen Kuruvalli"/>
    <s v="Dhruv Vyas"/>
    <n v="0"/>
  </r>
  <r>
    <n v="4829"/>
    <n v="20056865"/>
    <s v="Rahul Aditya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Process Manager Digitalization"/>
    <m/>
    <s v="Sales Steering &amp; BD"/>
    <s v="Digital Initiatives"/>
    <s v=""/>
    <s v="Non Technical Support"/>
    <s v=""/>
    <s v=""/>
    <s v=""/>
    <s v=""/>
    <s v="Mumbai"/>
    <d v="1983-10-20T00:00:00"/>
    <s v="39.11"/>
    <d v="2022-07-11T00:00:00"/>
    <d v="2041-10-31T00:00:00"/>
    <m/>
    <d v="2041-10-31T00:00:00"/>
    <n v="6616"/>
    <s v="AB+"/>
    <s v="PG Diploma in Management-2013 , BTech-20"/>
    <s v="07.11"/>
    <s v="01.02"/>
    <s v="09.01"/>
    <s v="70462100"/>
    <s v="Digital Initiatives"/>
    <s v="283619"/>
    <s v="Process Manager - Digitalization"/>
    <s v="Corporate"/>
    <s v="0080000005"/>
    <s v="Global Markets Team"/>
    <s v="2000CS"/>
    <s v="20043383"/>
    <s v="Maneesh Moti"/>
    <s v="No"/>
    <s v="rahul.aditya@amns.in"/>
    <s v="7763807623"/>
    <s v="1003225"/>
    <s v="Dhruv Vyas"/>
    <s v="Anil Matoo"/>
    <s v="Praveen Kuruvalli"/>
    <s v="Dhruv Vyas"/>
    <n v="0"/>
  </r>
  <r>
    <n v="4830"/>
    <n v="20056866"/>
    <s v="Amit Gaurav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"/>
    <s v=""/>
    <s v=""/>
    <s v=""/>
    <s v="Hazira"/>
    <d v="1993-08-11T00:00:00"/>
    <s v="30.01"/>
    <d v="2022-07-04T00:00:00"/>
    <d v="2051-08-31T00:00:00"/>
    <m/>
    <d v="2051-08-31T00:00:00"/>
    <n v="10207"/>
    <s v="O+"/>
    <s v="BTech-2014 , Intermediate-2010 , SSLC-20"/>
    <s v="08.00"/>
    <s v="01.02"/>
    <s v="09.02"/>
    <s v="00049335"/>
    <s v="Capex Procurement - Expediting"/>
    <s v="284175"/>
    <s v="Lead – Expeditor Capex"/>
    <s v="Hazira"/>
    <s v="0031950059"/>
    <s v="HZ-Hazira Project"/>
    <s v="2000HWO"/>
    <s v="20057413"/>
    <s v="Vipin Toshniwal"/>
    <s v="No"/>
    <s v="amit.gaurav@amns.in"/>
    <s v="9564997810"/>
    <s v="1003422"/>
    <s v="Dhruv Vyas"/>
    <s v="Anil Matoo"/>
    <s v="Praveen Kuruvalli"/>
    <s v="Dhruv Vyas"/>
    <n v="0"/>
  </r>
  <r>
    <n v="4834"/>
    <n v="20056870"/>
    <s v="Aditya Shrimal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Internal Control &amp; SOX"/>
    <m/>
    <s v="Finance &amp; Accounts"/>
    <s v=""/>
    <s v=""/>
    <s v="Non Technical Support"/>
    <s v="Chairman's Secretariat"/>
    <s v="Chairman's Secretariat"/>
    <s v="74701000"/>
    <s v="Chairman's Secretariat"/>
    <s v="Hazira"/>
    <d v="1992-08-19T00:00:00"/>
    <s v="31.01"/>
    <d v="2022-07-11T00:00:00"/>
    <d v="2050-08-31T00:00:00"/>
    <m/>
    <d v="2050-08-31T00:00:00"/>
    <n v="9842"/>
    <s v="B+"/>
    <s v="BCom-2013 , CA Final-2014 , Intermediate"/>
    <s v="07.07"/>
    <s v="01.02"/>
    <s v="08.09"/>
    <s v="72150219"/>
    <s v="Internal Control &amp; SOX -1"/>
    <s v="284176"/>
    <s v="Lead - Internal Control &amp; SOX"/>
    <s v="Hazira"/>
    <s v="0031950043"/>
    <s v="HZ-Performance Manag"/>
    <s v="2000HWO"/>
    <s v="20000138"/>
    <s v="Suresh Iyer"/>
    <s v="No"/>
    <s v="aditya.shrimal@amns.in"/>
    <s v="9636684027"/>
    <s v="1003506"/>
    <s v="Dhruv Vyas"/>
    <s v="Anil Matoo"/>
    <s v="Praveen Kuruvalli"/>
    <s v="Dhruv Vyas"/>
    <n v="0"/>
  </r>
  <r>
    <n v="4836"/>
    <n v="20056872"/>
    <s v="Rahul Khaitan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- Direct Tax"/>
    <m/>
    <s v="Finance &amp; Accounts"/>
    <s v=""/>
    <s v=""/>
    <s v="Non Technical Support"/>
    <s v=""/>
    <s v=""/>
    <s v=""/>
    <s v=""/>
    <s v="Mumbai"/>
    <d v="1987-12-09T00:00:00"/>
    <s v="35.09"/>
    <d v="2022-07-12T00:00:00"/>
    <d v="2045-12-31T00:00:00"/>
    <m/>
    <d v="2045-12-31T00:00:00"/>
    <n v="8138"/>
    <s v="A+"/>
    <s v="BCom-2009 , Intermediate-2006"/>
    <s v="11.08"/>
    <s v="01.02"/>
    <s v="12.09"/>
    <s v="70495368"/>
    <s v="Direct Taxation"/>
    <s v="284177"/>
    <s v="Sr. Lead - Direct Tax"/>
    <s v="Corporate"/>
    <s v="0090000033"/>
    <s v="Corporate Taxation"/>
    <s v="2000CS"/>
    <s v="20055494"/>
    <s v="Vikas Soni"/>
    <s v="No"/>
    <s v="rahul.khaitan@amns.in"/>
    <s v="9930040621"/>
    <s v="1003538"/>
    <s v="Dhruv Vyas"/>
    <s v="Anil Matoo"/>
    <s v="Praveen Kuruvalli"/>
    <s v="Dhruv Vyas"/>
    <n v="0"/>
  </r>
  <r>
    <n v="4874"/>
    <n v="20056918"/>
    <s v="Rohit Kumar"/>
    <s v="AM/NS India"/>
    <s v="Onroll"/>
    <s v="T-1 (GET)"/>
    <n v="12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Operations"/>
    <s v="Plant Operations"/>
    <s v="72103003"/>
    <s v="Plant Operations"/>
    <s v="Hazira"/>
    <d v="1997-08-21T00:00:00"/>
    <s v="26.00"/>
    <d v="2022-07-18T00:00:00"/>
    <d v="2055-08-31T00:00:00"/>
    <m/>
    <d v="2055-08-31T00:00:00"/>
    <n v="11668"/>
    <s v=""/>
    <s v="BTech-2022 , BTech-2022"/>
    <s v=""/>
    <s v="01.02"/>
    <s v="01.02"/>
    <s v="00044542"/>
    <s v="Procurement -Ferroalloys"/>
    <s v="273595"/>
    <s v="Graduate Engineer Trainee 2022"/>
    <s v="Hazira"/>
    <s v="0031950061"/>
    <s v="HZ-Human Resource"/>
    <s v="2161HAZI"/>
    <s v="20001370"/>
    <s v="Tejas Desai"/>
    <s v="No"/>
    <s v="rohit.kumar1@amns.in"/>
    <s v="9471306425"/>
    <s v="1003876"/>
    <s v="Dhruv Vyas"/>
    <s v="Anil Matoo"/>
    <s v="Praveen Kuruvalli"/>
    <s v="Dhruv Vyas"/>
    <n v="0"/>
  </r>
  <r>
    <n v="4887"/>
    <n v="20056940"/>
    <s v="Yash Trivedi"/>
    <s v="AM/NS India"/>
    <s v="Onroll"/>
    <s v="T-1 (GET)"/>
    <n v="12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Graduate Engineer Trainee 2022"/>
    <m/>
    <s v="West"/>
    <s v="Plate"/>
    <s v=""/>
    <s v="Non Technical Support"/>
    <s v="Operations"/>
    <s v="Plant Operations"/>
    <s v="72103003"/>
    <s v="Plant Operations"/>
    <s v="Ahmedabad"/>
    <d v="1998-01-25T00:00:00"/>
    <s v="25.07"/>
    <d v="2022-07-18T00:00:00"/>
    <d v="2056-01-31T00:00:00"/>
    <m/>
    <d v="2056-01-31T00:00:00"/>
    <n v="11821"/>
    <s v=""/>
    <s v="Diploma-2013"/>
    <s v=""/>
    <s v="01.02"/>
    <s v="01.02"/>
    <s v="00052660"/>
    <s v="Plate Sales"/>
    <s v="273617"/>
    <s v="Graduate Engineer Trainee 2022"/>
    <s v="Hazira"/>
    <s v="0031950061"/>
    <s v="HZ-Human Resource"/>
    <s v="2031MUMB"/>
    <s v="20046414"/>
    <s v="Vinod Ninawe"/>
    <s v="No"/>
    <s v="yash.trivedi@amns.in"/>
    <s v="6358869424"/>
    <s v="874066"/>
    <s v="Dhruv Vyas"/>
    <s v="Anil Matoo"/>
    <s v="Praveen Kuruvalli"/>
    <s v="Dhruv Vyas"/>
    <n v="0"/>
  </r>
  <r>
    <n v="4934"/>
    <n v="20056993"/>
    <s v="Priscilla Mohanty"/>
    <s v="AM/NS India"/>
    <s v="Onroll"/>
    <s v="T-1 (GET)"/>
    <n v="12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Operations"/>
    <s v="Plant Operations"/>
    <s v="72103003"/>
    <s v="Plant Operations"/>
    <s v="AM/NS Hazira"/>
    <d v="1996-04-08T00:00:00"/>
    <s v="27.05"/>
    <d v="2022-07-18T00:00:00"/>
    <d v="2054-04-30T00:00:00"/>
    <m/>
    <d v="2054-04-30T00:00:00"/>
    <n v="11180"/>
    <s v=""/>
    <s v="BTech-2022"/>
    <s v=""/>
    <s v="01.02"/>
    <s v="01.02"/>
    <s v="00052258"/>
    <s v="Proc HSM &amp; CSP MIS"/>
    <s v="273670"/>
    <s v="Graduate Engineer Trainee 2022"/>
    <s v="Hazira"/>
    <s v="0031950061"/>
    <s v="HZ-Human Resource"/>
    <s v="2161HAZI"/>
    <s v="20055591"/>
    <s v="Amol Gaurkar"/>
    <s v="No"/>
    <s v="priscilla.mohanty@amns.in"/>
    <s v="6358869360"/>
    <s v="1003952"/>
    <s v="Dhruv Vyas"/>
    <s v="Anil Matoo"/>
    <s v="Praveen Kuruvalli"/>
    <s v="Dhruv Vyas"/>
    <n v="0"/>
  </r>
  <r>
    <n v="4936"/>
    <n v="20056996"/>
    <s v="Namrata Chowdhari"/>
    <s v="AM/NS India"/>
    <s v="Onroll"/>
    <s v="M-8"/>
    <n v="8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2"/>
    <m/>
    <s v="CMO Office"/>
    <s v="CMO Office"/>
    <s v=""/>
    <s v="Non Technical Support"/>
    <s v=""/>
    <s v=""/>
    <s v="70494642"/>
    <s v="Deputy Director"/>
    <s v="Mumbai"/>
    <d v="1999-10-14T00:00:00"/>
    <s v="23.11"/>
    <d v="2022-07-12T00:00:00"/>
    <d v="2057-10-31T00:00:00"/>
    <m/>
    <d v="2057-10-31T00:00:00"/>
    <n v="12460"/>
    <s v=""/>
    <s v="MBA-2022"/>
    <s v=""/>
    <s v="01.02"/>
    <s v="01.02"/>
    <s v="70139950"/>
    <s v="Sales &amp; Marketing"/>
    <s v="273462"/>
    <s v="EA to CMO"/>
    <s v="Corporate"/>
    <s v="0080000001"/>
    <s v="Head-Marketing"/>
    <s v="2134ESHZ"/>
    <s v="20007104"/>
    <s v="Ranjan Dhar"/>
    <s v="No"/>
    <s v="namrata.chowdhari@amns.in"/>
    <s v="6358869340"/>
    <s v="1003955"/>
    <s v="Dhruv Vyas"/>
    <s v="Anil Matoo"/>
    <s v="Praveen Kuruvalli"/>
    <s v="Dhruv Vyas"/>
    <n v="0"/>
  </r>
  <r>
    <n v="4937"/>
    <n v="20056997"/>
    <s v="Abhishek Pahadi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2"/>
    <m/>
    <s v="CMO Office"/>
    <s v="CMO Office"/>
    <s v=""/>
    <s v="Non Technical Support"/>
    <s v=""/>
    <s v=""/>
    <s v="70494642"/>
    <s v="Deputy Director"/>
    <s v="Mumbai"/>
    <d v="1996-12-20T00:00:00"/>
    <s v="26.09"/>
    <d v="2022-07-12T00:00:00"/>
    <d v="2054-12-31T00:00:00"/>
    <m/>
    <d v="2054-12-31T00:00:00"/>
    <n v="11425"/>
    <s v=""/>
    <s v="MBA-2022"/>
    <s v=""/>
    <s v="01.02"/>
    <s v="01.02"/>
    <s v="70139950"/>
    <s v="Sales &amp; Marketing"/>
    <s v="273463"/>
    <s v="Sales Manager- Hypermart"/>
    <s v="Corporate"/>
    <s v="0060100004"/>
    <s v="HMART-HR/Admin Expen"/>
    <s v="2134ESHZ"/>
    <s v="20007104"/>
    <s v="Ranjan Dhar"/>
    <s v="No"/>
    <s v="abhishek.pahadi@amns.in"/>
    <s v="6358869332"/>
    <s v="1003956"/>
    <s v="Dhruv Vyas"/>
    <s v="Anil Matoo"/>
    <s v="Praveen Kuruvalli"/>
    <s v="Dhruv Vyas"/>
    <n v="0"/>
  </r>
  <r>
    <n v="4938"/>
    <n v="20056998"/>
    <s v="Jatin Sati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2"/>
    <m/>
    <s v="Auto"/>
    <s v="Auto"/>
    <s v=""/>
    <s v="Non Technical Support"/>
    <s v="Human Resources Management"/>
    <s v="Human Resources Management"/>
    <s v="73501001"/>
    <s v="Human Resources"/>
    <s v="Mumbai"/>
    <d v="1998-06-14T00:00:00"/>
    <s v="25.03"/>
    <d v="2022-07-12T00:00:00"/>
    <d v="2056-06-30T00:00:00"/>
    <m/>
    <d v="2056-06-30T00:00:00"/>
    <n v="11972"/>
    <s v=""/>
    <s v="MBA-2022"/>
    <s v=""/>
    <s v="01.02"/>
    <s v="01.02"/>
    <s v="70343195"/>
    <s v="Automotive Sales &amp; Service Centers"/>
    <s v="273464"/>
    <s v="Jr Key Account Manager- Auto"/>
    <s v="Corporate"/>
    <s v="0090000028"/>
    <s v="Corporate Steel - Wo"/>
    <s v="2134ESHZ"/>
    <s v="20016767"/>
    <s v="Raghavan Venkatachalam"/>
    <s v="No"/>
    <s v="jatin.sati@amns.in"/>
    <s v="6358869335"/>
    <s v="1003957"/>
    <s v="Dhruv Vyas"/>
    <s v="Anil Matoo"/>
    <s v="Praveen Kuruvalli"/>
    <s v="Dhruv Vyas"/>
    <n v="0"/>
  </r>
  <r>
    <n v="4939"/>
    <n v="20056999"/>
    <s v="Manish Kumhar"/>
    <s v="AM/NS India"/>
    <s v="Onroll"/>
    <s v="M-8"/>
    <n v="8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Management Trainee 2022"/>
    <m/>
    <s v=""/>
    <s v=""/>
    <s v=""/>
    <s v="Non Technical Support"/>
    <s v="Human Resources Management"/>
    <s v="Human Resources Management"/>
    <s v="73501001"/>
    <s v="Human Resources"/>
    <s v="Mumbai"/>
    <d v="1998-02-13T00:00:00"/>
    <s v="25.07"/>
    <d v="2022-07-12T00:00:00"/>
    <d v="2056-02-29T00:00:00"/>
    <m/>
    <d v="2056-02-29T00:00:00"/>
    <n v="11850"/>
    <s v=""/>
    <s v="MBA-2022"/>
    <s v=""/>
    <s v="01.02"/>
    <s v="01.02"/>
    <s v="70494717"/>
    <s v="Treasury &amp; Finance"/>
    <s v="273465"/>
    <s v="Lead- Strategic Finance Auto"/>
    <s v="Corporate"/>
    <s v="0031950061"/>
    <s v="HZ-Human Resource"/>
    <s v="2134ESHZ"/>
    <s v="20000870"/>
    <s v="Balajee M"/>
    <s v="No"/>
    <s v="manish.kumhar@amns.in"/>
    <s v="6358869334"/>
    <s v="1003958"/>
    <s v="Dhruv Vyas"/>
    <s v="Anil Matoo"/>
    <s v="Praveen Kuruvalli"/>
    <s v="Dhruv Vyas"/>
    <n v="0"/>
  </r>
  <r>
    <n v="4940"/>
    <n v="20057000"/>
    <s v="Ravina Kumari"/>
    <s v="AM/NS India"/>
    <s v="Onroll"/>
    <s v="M-8"/>
    <n v="8"/>
    <m/>
    <s v="JM"/>
    <s v="F"/>
    <s v="Corporate"/>
    <n v="7"/>
    <s v="2043"/>
    <x v="3"/>
    <s v="31.01"/>
    <s v="Hrishikesh Kamat"/>
    <s v="Hrishikesh Kamat"/>
    <n v="7"/>
    <s v="Procurement"/>
    <s v="Procurement"/>
    <s v="31"/>
    <s v="Management Trainee 2022"/>
    <m/>
    <s v=""/>
    <s v=""/>
    <s v=""/>
    <s v="Non Technical Support"/>
    <s v="Human Resources Management"/>
    <s v="Human Resources Management"/>
    <s v="73501001"/>
    <s v="Human Resources"/>
    <s v="Mumbai"/>
    <d v="1997-03-30T00:00:00"/>
    <s v="26.05"/>
    <d v="2022-07-12T00:00:00"/>
    <d v="2055-03-31T00:00:00"/>
    <m/>
    <d v="2055-03-31T00:00:00"/>
    <n v="11515"/>
    <s v=""/>
    <s v="MBA-2022"/>
    <s v=""/>
    <s v="01.02"/>
    <s v="01.02"/>
    <s v="00045894"/>
    <s v="Blacks"/>
    <s v="273466"/>
    <s v="Asst Buyer- Bulk Raw Material"/>
    <s v="Corporate"/>
    <s v="0031950048"/>
    <s v="HZ-Procurment Depart"/>
    <s v="2134ESHZ"/>
    <s v="20001577"/>
    <s v="Prakash Thakur"/>
    <s v="No"/>
    <s v="ravina.kumari@amns.in"/>
    <s v="6358869336"/>
    <s v="1003959"/>
    <s v="Dhruv Vyas"/>
    <s v="Anil Matoo"/>
    <s v="Praveen Kuruvalli"/>
    <s v="Dhruv Vyas"/>
    <n v="0"/>
  </r>
  <r>
    <n v="4941"/>
    <n v="20057001"/>
    <s v="Urveshkumar Patel"/>
    <s v="AM/NS India"/>
    <s v="Onroll"/>
    <s v="M-8"/>
    <n v="8"/>
    <m/>
    <s v="JM"/>
    <s v="M"/>
    <s v="Corporate"/>
    <n v="7"/>
    <s v="2043"/>
    <x v="3"/>
    <s v="31.01"/>
    <s v="Hrishikesh Kamat"/>
    <s v="Hrishikesh Kamat"/>
    <n v="7"/>
    <s v="Procurement"/>
    <s v="Procurement"/>
    <s v="31"/>
    <s v="Management Trainee 2022"/>
    <m/>
    <s v=""/>
    <s v=""/>
    <s v=""/>
    <s v="Non Technical Support"/>
    <s v="Human Resources Management"/>
    <s v="Human Resources Management"/>
    <s v="73501001"/>
    <s v="Human Resources"/>
    <s v="Hazira"/>
    <d v="1998-03-31T00:00:00"/>
    <s v="25.05"/>
    <d v="2022-07-12T00:00:00"/>
    <d v="2056-03-31T00:00:00"/>
    <m/>
    <d v="2056-03-31T00:00:00"/>
    <n v="11881"/>
    <s v=""/>
    <s v="MBA-2022"/>
    <s v=""/>
    <s v="01.02"/>
    <s v="01.02"/>
    <s v="70495670"/>
    <s v="Contracts"/>
    <s v="273467"/>
    <s v="Lead Contracts"/>
    <s v="Corporate"/>
    <s v="0031950061"/>
    <s v="HZ-Human Resource"/>
    <s v="2134ESHZ"/>
    <s v="20000795"/>
    <s v="Pankaj Chaturvedi"/>
    <s v="No"/>
    <s v="urveshkumar.patel@amns.in"/>
    <s v="6358869337"/>
    <s v="1003960"/>
    <s v="Dhruv Vyas"/>
    <s v="Anil Matoo"/>
    <s v="Praveen Kuruvalli"/>
    <s v="Dhruv Vyas"/>
    <n v="0"/>
  </r>
  <r>
    <n v="4942"/>
    <n v="20057002"/>
    <s v="Chirashree Pal"/>
    <s v="AM/NS India"/>
    <s v="Onroll"/>
    <s v="M-9"/>
    <n v="9"/>
    <m/>
    <s v="JM"/>
    <s v="F"/>
    <s v="Hazira"/>
    <n v="1"/>
    <s v="2015"/>
    <x v="1"/>
    <s v="22.06"/>
    <s v="Anil Matoo"/>
    <s v="Ashutosh Telang"/>
    <n v="6"/>
    <s v="HR &amp; Administration"/>
    <s v="Human Resources"/>
    <s v="22"/>
    <s v="Management Trainee 2022"/>
    <m/>
    <s v="Human Resources"/>
    <s v=""/>
    <s v=""/>
    <s v="Non Technical Support"/>
    <s v=""/>
    <s v=""/>
    <s v="70494644"/>
    <s v="Chief Procurement Officer"/>
    <s v="AM/NS Hazira"/>
    <d v="1995-02-10T00:00:00"/>
    <s v="28.07"/>
    <d v="2022-07-12T00:00:00"/>
    <d v="2053-02-28T00:00:00"/>
    <m/>
    <d v="2053-02-28T00:00:00"/>
    <n v="10754"/>
    <s v=""/>
    <s v="MBA-2022"/>
    <s v=""/>
    <s v="01.02"/>
    <s v="01.02"/>
    <s v="70472770"/>
    <s v="Hazira HR Operations - 1"/>
    <s v="273469"/>
    <s v="HR Business Partner"/>
    <s v="Hazira"/>
    <s v="0031950061"/>
    <s v="HZ-Human Resource"/>
    <s v="2134ESHZ"/>
    <s v="20001265"/>
    <s v="Lakshman Iyer"/>
    <s v="No"/>
    <s v="chirashree.pal@amns.in"/>
    <s v="6358869338"/>
    <s v="1003961"/>
    <s v="Dhruv Vyas"/>
    <s v="Anil Matoo"/>
    <s v="Praveen Kuruvalli"/>
    <s v="Dhruv Vyas"/>
    <n v="0"/>
  </r>
  <r>
    <n v="4943"/>
    <n v="20057003"/>
    <s v="Kaustav Chowdhury"/>
    <s v="AM/NS India"/>
    <s v="Onroll"/>
    <s v="M-9"/>
    <n v="9"/>
    <m/>
    <s v="JM"/>
    <s v="M"/>
    <s v="Corporate"/>
    <n v="7"/>
    <s v="2015"/>
    <x v="1"/>
    <s v="22.06"/>
    <s v="Praveen Kuruvalli"/>
    <s v="Ashutosh Telang"/>
    <n v="6"/>
    <s v="HR &amp; Administration"/>
    <s v="Human Resources"/>
    <s v="22"/>
    <s v="Management Trainee - Human Resources"/>
    <m/>
    <s v="Human Resources"/>
    <s v=""/>
    <s v=""/>
    <s v="Non Technical Support"/>
    <s v="Projects"/>
    <s v="Projects Coordination"/>
    <s v="72103038"/>
    <s v="Projects Coordination"/>
    <s v="Mumbai"/>
    <d v="1998-06-22T00:00:00"/>
    <s v="25.03"/>
    <d v="2022-07-12T00:00:00"/>
    <d v="2056-06-30T00:00:00"/>
    <m/>
    <d v="2056-06-30T00:00:00"/>
    <n v="11972"/>
    <s v=""/>
    <s v="MBA-2022"/>
    <s v=""/>
    <s v="01.02"/>
    <s v="01.02"/>
    <s v="70242278"/>
    <s v="People Strategy &amp; HR Center Excellence"/>
    <s v="273680"/>
    <s v="HR Business Partner"/>
    <s v="Hazira"/>
    <s v="0031950061"/>
    <s v="HZ-Human Resource"/>
    <s v="2134ESHZ"/>
    <s v="20055483"/>
    <s v="Praveen Kuruvalli"/>
    <s v="No"/>
    <s v="kaustav.chowdhury@amns.in"/>
    <s v="6358869339"/>
    <s v="1003962"/>
    <s v="Dhruv Vyas"/>
    <s v="Anil Matoo"/>
    <s v="Praveen Kuruvalli"/>
    <s v="Dhruv Vyas"/>
    <n v="0"/>
  </r>
  <r>
    <n v="4944"/>
    <n v="20057005"/>
    <s v="Saureen Bhatt"/>
    <s v="AM/NS India"/>
    <s v="Onroll"/>
    <s v="M-6"/>
    <n v="6"/>
    <m/>
    <s v="MM"/>
    <s v="M"/>
    <s v="Corporate"/>
    <n v="7"/>
    <s v="2096"/>
    <x v="14"/>
    <s v="36.02"/>
    <s v="Deepak Sindkar"/>
    <s v="Hrishikesh Kamat"/>
    <n v="7"/>
    <s v="Procurement"/>
    <s v="Raw Materials"/>
    <s v="36"/>
    <s v="Sr. Lead – Power &amp; Gas"/>
    <m/>
    <s v="Raw Material"/>
    <s v=""/>
    <s v=""/>
    <s v="Tech. Support Services"/>
    <s v="Commercial"/>
    <s v="Procurement"/>
    <s v="73803001"/>
    <s v="Procurement"/>
    <s v="Mumbai"/>
    <d v="1985-08-03T00:00:00"/>
    <s v="38.01"/>
    <d v="2022-07-19T00:00:00"/>
    <d v="2043-08-31T00:00:00"/>
    <m/>
    <d v="2043-08-31T00:00:00"/>
    <n v="7285"/>
    <s v="A+"/>
    <s v="MBA-2010 , BE-2006 , Intermediate-2002 ,"/>
    <s v="14.01"/>
    <s v="01.02"/>
    <s v="15.02"/>
    <s v="00049516"/>
    <s v="Power &amp; Gas"/>
    <s v="252801"/>
    <s v="Sr. Lead – Power &amp; Gas"/>
    <s v="Corporate"/>
    <s v="0031950048"/>
    <s v="HZ-Procurment Depart"/>
    <s v="2000CS"/>
    <s v="20004612"/>
    <s v="Ramesh Chabhadiya"/>
    <s v="No"/>
    <s v="saureen.bhatt@amns.in"/>
    <s v="9998790823"/>
    <s v="1003816"/>
    <s v="Dhruv Vyas"/>
    <s v="Anil Matoo"/>
    <s v="Praveen Kuruvalli"/>
    <s v="Dhruv Vyas"/>
    <n v="0"/>
  </r>
  <r>
    <n v="4997"/>
    <n v="20057063"/>
    <s v="Ravi Shankar"/>
    <s v="AM/NS India"/>
    <s v="Onroll"/>
    <s v="M-7"/>
    <n v="7"/>
    <m/>
    <s v="MM"/>
    <s v="M"/>
    <s v="Hazira"/>
    <n v="1"/>
    <s v="2071"/>
    <x v="22"/>
    <s v="41.01"/>
    <s v="P Ashok Kumar"/>
    <s v="P Ashok Kumar"/>
    <n v="9"/>
    <s v="Legal"/>
    <s v="Legal"/>
    <s v="41"/>
    <s v="Legal Counsel, Hazira"/>
    <m/>
    <s v="Legal"/>
    <s v=""/>
    <s v=""/>
    <s v="Non Technical Support"/>
    <s v="Legal"/>
    <s v="Legal"/>
    <s v="73201001"/>
    <s v="Legal"/>
    <s v="Hazira"/>
    <d v="1985-03-25T00:00:00"/>
    <s v="38.05"/>
    <d v="2022-07-18T00:00:00"/>
    <d v="2043-03-31T00:00:00"/>
    <m/>
    <d v="2043-03-31T00:00:00"/>
    <n v="7132"/>
    <s v="A+"/>
    <s v="LLB-2009 , Intermediate-2004 , Intermedi"/>
    <s v="11.11"/>
    <s v="01.02"/>
    <s v="13.01"/>
    <s v="70494754"/>
    <s v="Legal"/>
    <s v="273394"/>
    <s v="Head - Legal Hazira"/>
    <s v="Hazira"/>
    <s v="0090000019"/>
    <s v="Corporate Steel - Le"/>
    <s v="2000HWO"/>
    <s v="20055235"/>
    <s v="P Ashok Kumar"/>
    <s v="No"/>
    <s v="ravi.shankar@amns.in"/>
    <s v="7486014006"/>
    <s v="1004223"/>
    <s v="Dhruv Vyas"/>
    <s v="Anil Matoo"/>
    <s v="Praveen Kuruvalli"/>
    <s v="Dhruv Vyas"/>
    <n v="0"/>
  </r>
  <r>
    <n v="5031"/>
    <n v="20057098"/>
    <s v="Brijesh Kedia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- Capex Procurement"/>
    <m/>
    <s v=""/>
    <s v=""/>
    <s v=""/>
    <s v="Non Technical Support"/>
    <s v="Execution"/>
    <s v="Electrical"/>
    <s v="72303027"/>
    <s v="Electrical"/>
    <s v="Hazira"/>
    <d v="1994-09-22T00:00:00"/>
    <s v="28.11"/>
    <d v="2022-07-22T00:00:00"/>
    <d v="2052-09-30T00:00:00"/>
    <m/>
    <d v="2052-09-30T00:00:00"/>
    <n v="10603"/>
    <s v="A+"/>
    <s v="BTech-2017 , Intermediate-2013 , Interme"/>
    <s v="04.11"/>
    <s v="01.01"/>
    <s v="06.01"/>
    <s v="00049342"/>
    <s v="Capex Procurement"/>
    <s v="70494197"/>
    <s v="Officer - Capex Procurement"/>
    <s v="Hazira"/>
    <s v="0031950059"/>
    <s v="HZ-Hazira Project"/>
    <s v="2000HWO"/>
    <s v="20055712"/>
    <s v="Ravi Goyal"/>
    <s v="No"/>
    <s v="brijesh.kedia@amns.in"/>
    <s v="7486014008"/>
    <s v="1004228"/>
    <s v="Dhruv Vyas"/>
    <s v="Anil Matoo"/>
    <s v="Praveen Kuruvalli"/>
    <s v="Dhruv Vyas"/>
    <n v="0"/>
  </r>
  <r>
    <n v="5033"/>
    <n v="20057100"/>
    <s v="Vijay Bhochiya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Commercial"/>
    <s v="Stores &amp; Warehouse"/>
    <s v="73806001"/>
    <s v="Stores &amp; Warehouse"/>
    <s v="Hazira"/>
    <d v="2000-01-17T00:00:00"/>
    <s v="23.08"/>
    <d v="2022-07-10T00:00:00"/>
    <d v="2058-01-31T00:00:00"/>
    <m/>
    <d v="2058-01-31T00:00:00"/>
    <n v="12552"/>
    <s v=""/>
    <s v="Diploma-2018"/>
    <s v=""/>
    <s v="01.02"/>
    <s v="01.02"/>
    <s v="00053279"/>
    <s v="Receipts &amp; Unloading - Plant A"/>
    <s v="284722"/>
    <s v="Engineer"/>
    <s v="Hazira"/>
    <s v="0031313111"/>
    <s v="SMS - EAF Operations"/>
    <s v="2012HAZI"/>
    <s v="20006916"/>
    <s v="Mir Ali Martaja"/>
    <s v="No"/>
    <s v="vijay.bhochiya@amns.in"/>
    <s v="9879103534"/>
    <s v="26179"/>
    <s v="Dhruv Vyas"/>
    <s v="Anil Matoo"/>
    <s v="Praveen Kuruvalli"/>
    <s v="Dhruv Vyas"/>
    <n v="0"/>
  </r>
  <r>
    <n v="5061"/>
    <n v="20057132"/>
    <s v="Amarnadh Kadiri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Section Engineer-BRM"/>
    <m/>
    <s v="Procurement"/>
    <s v="Procurement"/>
    <s v="Procurement"/>
    <s v="Non Technical Support"/>
    <s v=""/>
    <s v=""/>
    <s v=""/>
    <s v=""/>
    <s v="Vizag"/>
    <d v="1988-08-22T00:00:00"/>
    <s v="35.00"/>
    <d v="2022-08-01T00:00:00"/>
    <d v="2046-08-31T00:00:00"/>
    <m/>
    <d v="2046-08-31T00:00:00"/>
    <n v="8381"/>
    <s v="B+"/>
    <s v="BTech-2010 , Intermediate-2006 , SSLC-20"/>
    <s v="12.07"/>
    <s v="01.01"/>
    <s v="13.08"/>
    <s v="70301353"/>
    <s v="Procurement - Vizag &amp; Chitrakonda"/>
    <s v="285388"/>
    <s v="Section Engineer-BRM"/>
    <s v="Vizag"/>
    <s v="0028030019"/>
    <s v="VIZ-Personnel &amp; Admi"/>
    <s v="2000VIZOPS"/>
    <s v="20000200"/>
    <s v="A Venkateswara Rao"/>
    <s v="No"/>
    <s v="kadiri.amarnadh@amns.in"/>
    <s v="8985095945"/>
    <s v="1005775"/>
    <s v="DS Varma"/>
    <s v="Anil Matoo"/>
    <n v="0"/>
    <s v="DS Varma"/>
    <n v="0"/>
  </r>
  <r>
    <n v="5063"/>
    <n v="20057134"/>
    <s v="Sandeep Mohanty"/>
    <s v="AM/NS India"/>
    <s v="Onroll"/>
    <s v="M-8"/>
    <n v="8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Lead - Secondary Sales"/>
    <m/>
    <s v="Secondary Sales"/>
    <s v=""/>
    <s v=""/>
    <s v="Non Technical Support"/>
    <s v=""/>
    <s v=""/>
    <s v=""/>
    <s v=""/>
    <s v="Hazira"/>
    <d v="1992-05-15T00:00:00"/>
    <s v="31.04"/>
    <d v="2022-07-29T00:00:00"/>
    <d v="2050-05-31T00:00:00"/>
    <m/>
    <d v="2050-05-31T00:00:00"/>
    <n v="9750"/>
    <s v="O+"/>
    <s v="BTech-2013 , Intermediate-2009 , Interme"/>
    <s v="06.10"/>
    <s v="01.01"/>
    <s v="07.11"/>
    <s v="00049357"/>
    <s v="Secondary Sales"/>
    <s v="285452"/>
    <s v="Lead - Secondary Sales"/>
    <s v="Hazira"/>
    <s v="0031950059"/>
    <s v="HZ-Hazira Project"/>
    <s v="2000HWO"/>
    <s v="20055763"/>
    <s v="Debashis Mohapatra"/>
    <s v="No"/>
    <s v="sandeep.mohanty@amns.in"/>
    <s v="7486014018"/>
    <s v="1005874"/>
    <s v="Dhruv Vyas"/>
    <s v="Anil Matoo"/>
    <s v="Praveen Kuruvalli"/>
    <s v="Dhruv Vyas"/>
    <n v="0"/>
  </r>
  <r>
    <n v="5064"/>
    <n v="20057135"/>
    <s v="Rahul Raj"/>
    <s v="AM/NS India"/>
    <s v="Onroll"/>
    <s v="M-7"/>
    <n v="7"/>
    <m/>
    <s v="M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HRBP - Service Centre &amp; Hypermart"/>
    <m/>
    <s v="Human Resources"/>
    <s v="Human Resources"/>
    <s v="Human Resources"/>
    <s v="Non Technical Support"/>
    <s v="Human Resources Management"/>
    <s v="Human Resources Management"/>
    <s v="73501001"/>
    <s v="Human Resources"/>
    <s v="Pune"/>
    <d v="1986-11-26T00:00:00"/>
    <s v="36.09"/>
    <d v="2022-07-27T00:00:00"/>
    <d v="2044-11-30T00:00:00"/>
    <m/>
    <d v="2044-11-30T00:00:00"/>
    <n v="7742"/>
    <s v="B+"/>
    <s v="PG Diploma in Management-2015 , BE-2010"/>
    <s v="07.02"/>
    <s v="01.01"/>
    <s v="08.03"/>
    <s v="00044376"/>
    <s v="Service Center &amp; Hypermart HR"/>
    <s v="70495656"/>
    <s v="HRBP - Service Centre &amp; Hypermart"/>
    <s v="Service Center"/>
    <s v="0040000000"/>
    <s v="SC - Common"/>
    <s v="2000CS"/>
    <s v="20055483"/>
    <s v="Praveen Kuruvalli"/>
    <s v="No"/>
    <s v="rahul.raj@amns.in"/>
    <s v="8334847074"/>
    <s v="1006065"/>
    <s v="Dhruv Vyas"/>
    <s v="Anil Matoo"/>
    <s v="Praveen Kuruvalli"/>
    <s v="Dhruv Vyas"/>
    <n v="0"/>
  </r>
  <r>
    <n v="5067"/>
    <n v="20057138"/>
    <s v="Anil Sanjava"/>
    <s v="AM/NS India"/>
    <s v="Onroll"/>
    <s v="M-9"/>
    <n v="9"/>
    <m/>
    <s v="J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"/>
    <s v=""/>
    <s v="Non Technical Support"/>
    <s v=""/>
    <s v=""/>
    <s v=""/>
    <s v=""/>
    <s v="AM/NS Hazira"/>
    <d v="1985-02-24T00:00:00"/>
    <s v="38.06"/>
    <d v="2022-08-03T00:00:00"/>
    <d v="2043-02-28T00:00:00"/>
    <m/>
    <d v="2043-02-28T00:00:00"/>
    <n v="7101"/>
    <s v="B+"/>
    <s v="Master's Equivalent-2010 , BA-2005 , Int"/>
    <s v="06.01"/>
    <s v="01.01"/>
    <s v="07.02"/>
    <s v="70495436"/>
    <s v="Land Property"/>
    <s v="285613"/>
    <s v="Lead - Land Matters"/>
    <s v="Hazira"/>
    <s v="0090000021"/>
    <s v="Corporate Affairs"/>
    <s v="2000HWO"/>
    <s v="20059561"/>
    <s v="Bhavdip Jathal"/>
    <s v="No"/>
    <s v="anil.sanjava@amns.in"/>
    <s v="7486014218"/>
    <s v="1006172"/>
    <s v="Dhruv Vyas"/>
    <s v="Anil Matoo"/>
    <s v="Praveen Kuruvalli"/>
    <s v="Dhruv Vyas"/>
    <n v="0"/>
  </r>
  <r>
    <n v="5069"/>
    <n v="20057140"/>
    <s v="Simran Pitliya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– Corporate Accounts"/>
    <m/>
    <s v="Finance &amp; Accounts"/>
    <s v=""/>
    <s v=""/>
    <s v="Non Technical Support"/>
    <s v="Projects"/>
    <s v="Projects Coordination"/>
    <s v="72103038"/>
    <s v="Projects Coordination"/>
    <s v="AM/NS Hazira"/>
    <d v="1997-02-07T00:00:00"/>
    <s v="26.07"/>
    <d v="2022-07-25T00:00:00"/>
    <d v="2055-02-28T00:00:00"/>
    <m/>
    <d v="2055-02-28T00:00:00"/>
    <n v="11484"/>
    <s v="B+"/>
    <s v="MCom-2019 , CA Final-2019 , BCom-2017 ,"/>
    <s v="02.02"/>
    <s v="01.01"/>
    <s v="03.03"/>
    <s v="70495666"/>
    <s v="Corporate Asset Management"/>
    <s v="273338"/>
    <s v="Officer – Corporate Accounts"/>
    <s v="Hazira"/>
    <s v="0090000027"/>
    <s v="Corporate Steel - Ac"/>
    <s v="2000HWO"/>
    <s v="20045482"/>
    <s v="Sandeep Soni"/>
    <s v="No"/>
    <s v="simran.pitliya@amns.in"/>
    <s v="9820032018"/>
    <s v="1006201"/>
    <s v="Dhruv Vyas"/>
    <s v="Anil Matoo"/>
    <s v="Praveen Kuruvalli"/>
    <s v="Dhruv Vyas"/>
    <n v="0"/>
  </r>
  <r>
    <n v="5071"/>
    <n v="20057142"/>
    <s v="Yagnik Vala"/>
    <s v="AM/NS India"/>
    <s v="Onroll"/>
    <s v="M-9"/>
    <n v="9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Officer - MRO Procurement"/>
    <m/>
    <s v="Procurement"/>
    <s v=""/>
    <s v=""/>
    <s v="Non Technical Support"/>
    <s v=""/>
    <s v=""/>
    <s v=""/>
    <s v=""/>
    <s v="Hazira"/>
    <d v="1996-01-28T00:00:00"/>
    <s v="27.07"/>
    <d v="2022-08-01T00:00:00"/>
    <d v="2054-01-31T00:00:00"/>
    <m/>
    <d v="2054-01-31T00:00:00"/>
    <n v="11091"/>
    <s v="A+"/>
    <s v="BE-2017 , Intermediate-2013 , Intermedia"/>
    <s v="03.11"/>
    <s v="01.01"/>
    <s v="05.00"/>
    <s v="00044544"/>
    <s v="Rolls Lubes  System Development"/>
    <s v="285548"/>
    <s v="Officer - MRO Procurement"/>
    <s v="Hazira"/>
    <s v="0031950048"/>
    <s v="HZ-Procurment Depart"/>
    <s v="2000HWO"/>
    <s v="20052026"/>
    <s v="Jigneshkumar Patel"/>
    <s v="No"/>
    <s v="yagnik.vala@amns.in"/>
    <s v="9023866253"/>
    <s v="1006267"/>
    <s v="Dhruv Vyas"/>
    <s v="Anil Matoo"/>
    <s v="Praveen Kuruvalli"/>
    <s v="Dhruv Vyas"/>
    <n v="0"/>
  </r>
  <r>
    <n v="5080"/>
    <n v="20057151"/>
    <s v="Chaitali Panchal"/>
    <s v="AM/NS India"/>
    <s v="Onroll"/>
    <s v="M-10"/>
    <n v="10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Officer – Capex Procurement"/>
    <m/>
    <s v=""/>
    <s v=""/>
    <s v=""/>
    <s v="Non Technical Support"/>
    <s v=""/>
    <s v=""/>
    <s v=""/>
    <s v=""/>
    <s v="Hazira"/>
    <d v="1996-09-27T00:00:00"/>
    <s v="26.11"/>
    <d v="2022-08-08T00:00:00"/>
    <d v="2054-09-30T00:00:00"/>
    <m/>
    <d v="2054-09-30T00:00:00"/>
    <n v="11333"/>
    <s v="O-"/>
    <s v="BE-2018 , Diploma-2015 , Intermediate-20"/>
    <s v="03.01"/>
    <s v="01.01"/>
    <s v="04.02"/>
    <s v="00049515"/>
    <s v="Capex Procurement"/>
    <s v="285915"/>
    <s v="Officer – Capex Procurement"/>
    <s v="Hazira"/>
    <s v="0031950059"/>
    <s v="HZ-Hazira Project"/>
    <s v="2000HWO"/>
    <s v="20054320"/>
    <s v="Sanjaykumar Kanani"/>
    <s v="No"/>
    <s v="chaitali.panchal@amns.in"/>
    <s v="6359799279"/>
    <s v="25298"/>
    <s v="Dhruv Vyas"/>
    <s v="Anil Matoo"/>
    <s v="Praveen Kuruvalli"/>
    <s v="Dhruv Vyas"/>
    <n v="0"/>
  </r>
  <r>
    <n v="5082"/>
    <n v="20057154"/>
    <s v="Navin Kumar Amang"/>
    <s v="AM/NS India"/>
    <s v="Onroll"/>
    <s v="M-9"/>
    <n v="9"/>
    <m/>
    <s v="JM"/>
    <s v="M"/>
    <s v="Vizag"/>
    <n v="3"/>
    <s v="2094"/>
    <x v="21"/>
    <s v="27.10"/>
    <s v="Vikas Chandra Yadvendu"/>
    <s v="Ashutosh Telang"/>
    <n v="6"/>
    <s v="HR &amp; Administration"/>
    <s v="Corporate SocialResponsibility"/>
    <s v="27"/>
    <s v="Lead-CSR"/>
    <m/>
    <s v="Corporate Social Responsibility"/>
    <s v="CSR"/>
    <s v="CSR"/>
    <s v="Non Technical Support"/>
    <s v="Human Resources Management"/>
    <s v="Human Resources Management"/>
    <s v="73501001"/>
    <s v="Human Resources"/>
    <s v="Chitrakonda"/>
    <d v="1991-01-03T00:00:00"/>
    <s v="32.08"/>
    <d v="2022-08-10T00:00:00"/>
    <d v="2049-01-31T00:00:00"/>
    <m/>
    <d v="2049-01-31T00:00:00"/>
    <n v="9265"/>
    <s v="B+"/>
    <s v="MSc Engg-2016 , Intermediate-2014 , Inte"/>
    <s v="06.03"/>
    <s v="01.01"/>
    <s v="07.04"/>
    <s v="70495661"/>
    <s v="Corporate Social Responsibility"/>
    <s v="285722"/>
    <s v="Lead-CSR"/>
    <s v="Vizag"/>
    <s v="0028030019"/>
    <s v="VIZ-Personnel &amp; Admi"/>
    <s v="2000VIZOPS"/>
    <s v="20055033"/>
    <s v="Vikas Chandra Yadvendu"/>
    <s v="No"/>
    <s v="navin.amang@amns.in"/>
    <s v="9867267442"/>
    <s v="1007059"/>
    <s v="DS Varma"/>
    <s v="Anil Matoo"/>
    <n v="0"/>
    <s v="DS Varma"/>
    <n v="0"/>
  </r>
  <r>
    <n v="5084"/>
    <n v="20057157"/>
    <s v="Lopamudra Mohanty"/>
    <s v="AM/NS India"/>
    <s v="Onroll"/>
    <s v="T-1 (GET)"/>
    <n v="12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Commercial"/>
    <s v="Procurement"/>
    <s v="73803001"/>
    <s v="Procurement"/>
    <s v="Hazira"/>
    <d v="1996-09-30T00:00:00"/>
    <s v="26.11"/>
    <d v="2022-08-08T00:00:00"/>
    <d v="2054-09-30T00:00:00"/>
    <m/>
    <d v="2054-09-30T00:00:00"/>
    <n v="11333"/>
    <s v=""/>
    <s v="MTech-2022 , Diploma-2019 , BTech-2019 ,"/>
    <s v=""/>
    <s v="01.01"/>
    <s v="01.01"/>
    <s v="00049358"/>
    <s v="Capex Procurement"/>
    <s v="273471"/>
    <s v="Graduate Engineer Trainee 2022"/>
    <s v="Hazira"/>
    <s v="0031950061"/>
    <s v="HZ-Human Resource"/>
    <s v="2020HAZI"/>
    <s v="20056520"/>
    <s v="Ankit Panchal"/>
    <s v="No"/>
    <s v="lopamudra.mohanty@amns.in"/>
    <s v="7486014121"/>
    <s v="1007241"/>
    <s v="Dhruv Vyas"/>
    <s v="Anil Matoo"/>
    <s v="Praveen Kuruvalli"/>
    <s v="Dhruv Vyas"/>
    <n v="0"/>
  </r>
  <r>
    <n v="5095"/>
    <n v="20057175"/>
    <s v="Anjali Prasad"/>
    <s v="AM/NS India"/>
    <s v="Onroll"/>
    <s v="T-1 (GET)"/>
    <n v="12"/>
    <m/>
    <s v="JM"/>
    <s v="F"/>
    <s v="Hazira"/>
    <n v="1"/>
    <s v="2054"/>
    <x v="9"/>
    <s v="32.01"/>
    <s v="Pankaj Chaturvedi"/>
    <s v="Hrishikesh Kamat"/>
    <n v="7"/>
    <s v="Procurement"/>
    <s v="Contracts"/>
    <s v="32"/>
    <s v="Graduate Engineer Trainee 2022"/>
    <m/>
    <s v=""/>
    <s v=""/>
    <s v=""/>
    <s v="Non Technical Support"/>
    <s v="Services"/>
    <s v="Power Distribution services"/>
    <s v="72103027"/>
    <s v="Power Distribution Operat"/>
    <s v="AM/NS Hazira"/>
    <d v="1996-02-22T00:00:00"/>
    <s v="27.06"/>
    <d v="2022-08-08T00:00:00"/>
    <d v="2054-02-28T00:00:00"/>
    <m/>
    <d v="2054-02-28T00:00:00"/>
    <n v="11119"/>
    <s v=""/>
    <s v="MTech-2021"/>
    <s v=""/>
    <s v="01.01"/>
    <s v="01.01"/>
    <s v="70495670"/>
    <s v="Contracts"/>
    <s v="273683"/>
    <s v="Graduate Engineer Trainee 2022"/>
    <s v="Hazira"/>
    <s v="0031950061"/>
    <s v="HZ-Human Resource"/>
    <s v="2054HAZI"/>
    <s v="20000795"/>
    <s v="Pankaj Chaturvedi"/>
    <s v="No"/>
    <s v="anjali.prasad@amns.in"/>
    <s v="7024642785"/>
    <s v="1007255"/>
    <s v="Dhruv Vyas"/>
    <s v="Anil Matoo"/>
    <s v="Praveen Kuruvalli"/>
    <s v="Dhruv Vyas"/>
    <n v="0"/>
  </r>
  <r>
    <n v="5100"/>
    <n v="20057181"/>
    <s v="Rajat Raj"/>
    <s v="AM/NS India"/>
    <s v="Onroll"/>
    <s v="M-9"/>
    <n v="9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Services"/>
    <s v="Maintenance Services"/>
    <s v="72103012"/>
    <s v="Maintenance Services"/>
    <s v="AM/NS Hazira"/>
    <d v="1992-09-11T00:00:00"/>
    <s v="31.00"/>
    <d v="2022-08-08T00:00:00"/>
    <d v="2050-09-30T00:00:00"/>
    <m/>
    <d v="2050-09-30T00:00:00"/>
    <n v="9872"/>
    <s v=""/>
    <s v="BTech-2008"/>
    <s v=""/>
    <s v="01.01"/>
    <s v="01.01"/>
    <s v="00051524"/>
    <s v="Pro HED"/>
    <s v="273689"/>
    <s v="Graduate Engineer Trainee 2022"/>
    <s v="Hazira"/>
    <s v="0031950061"/>
    <s v="HZ-Human Resource"/>
    <s v="2043ESHZ"/>
    <s v="20055691"/>
    <s v="Dipesh Sudamrao Rathod"/>
    <s v="No"/>
    <s v="rajat.raj@amns.in"/>
    <s v="7486014100"/>
    <s v="1007262"/>
    <s v="Dhruv Vyas"/>
    <s v="Anil Matoo"/>
    <s v="Praveen Kuruvalli"/>
    <s v="Dhruv Vyas"/>
    <n v="0"/>
  </r>
  <r>
    <n v="5103"/>
    <n v="20057186"/>
    <s v="Suriya Prakash S"/>
    <s v="AM/NS India"/>
    <s v="Onroll"/>
    <s v="T-1 (GET)"/>
    <n v="12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Graduate Engineer Trainee 2022"/>
    <m/>
    <s v="South"/>
    <s v="Plate"/>
    <s v=""/>
    <s v="Non Technical Support"/>
    <s v="Services"/>
    <s v="Maintenance Services"/>
    <s v="72103012"/>
    <s v="Maintenance Services"/>
    <s v="Chennai"/>
    <d v="1998-06-02T00:00:00"/>
    <s v="25.03"/>
    <d v="2022-08-08T00:00:00"/>
    <d v="2056-06-30T00:00:00"/>
    <m/>
    <d v="2056-06-30T00:00:00"/>
    <n v="11972"/>
    <s v=""/>
    <s v="BTech-2013"/>
    <s v=""/>
    <s v="01.01"/>
    <s v="01.01"/>
    <s v="00052473"/>
    <s v="KAM - Plate Sales"/>
    <s v="273694"/>
    <s v="Graduate Engineer Trainee 2022"/>
    <s v="Hazira"/>
    <s v="0031950061"/>
    <s v="HZ-Human Resource"/>
    <s v="2031MUMB"/>
    <s v="20002639"/>
    <s v="Kathiresan K"/>
    <s v="No"/>
    <s v="suriyaprakash.s@amns.in"/>
    <s v="8754726530"/>
    <s v="1007267"/>
    <s v="Dhruv Vyas"/>
    <s v="Anil Matoo"/>
    <s v="Praveen Kuruvalli"/>
    <s v="Dhruv Vyas"/>
    <n v="0"/>
  </r>
  <r>
    <n v="5117"/>
    <n v="20057206"/>
    <s v="Swati Joshi"/>
    <s v="AM/NS India"/>
    <s v="Onroll"/>
    <s v="T-1 (GET)"/>
    <n v="12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Services"/>
    <s v="Maintenance Services"/>
    <s v="72103015"/>
    <s v="Instrumentation &amp; Automat"/>
    <s v="Hazira"/>
    <d v="1994-10-25T00:00:00"/>
    <s v="28.10"/>
    <d v="2022-08-08T00:00:00"/>
    <d v="2052-10-31T00:00:00"/>
    <m/>
    <d v="2052-10-31T00:00:00"/>
    <n v="10634"/>
    <s v=""/>
    <s v="MTech-2021"/>
    <s v=""/>
    <s v="01.01"/>
    <s v="01.01"/>
    <s v="00049359"/>
    <s v="Capex Services"/>
    <s v="273714"/>
    <s v="Graduate Engineer Trainee 2022"/>
    <s v="Hazira"/>
    <s v="0031950061"/>
    <s v="HZ-Human Resource"/>
    <s v="2020HAZI"/>
    <s v="20055446"/>
    <s v="Chitrang Rana"/>
    <s v="No"/>
    <s v="swati.joshi@amns.in"/>
    <s v="8650846722"/>
    <s v="1007285"/>
    <s v="Dhruv Vyas"/>
    <s v="Anil Matoo"/>
    <s v="Praveen Kuruvalli"/>
    <s v="Dhruv Vyas"/>
    <n v="0"/>
  </r>
  <r>
    <n v="5141"/>
    <n v="20057238"/>
    <s v="Shatrughna Sethy"/>
    <s v="AM/NS India"/>
    <s v="Onroll"/>
    <s v="T-1 (GET)"/>
    <n v="12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Graduate Engineer Trainee 2022"/>
    <m/>
    <s v="Other West"/>
    <s v="Plate"/>
    <s v=""/>
    <s v="Non Technical Support"/>
    <s v="Operations"/>
    <s v="Operations"/>
    <s v="72103001"/>
    <s v="Operations"/>
    <s v="Mumbai"/>
    <d v="1995-06-05T00:00:00"/>
    <s v="28.03"/>
    <d v="2022-08-08T00:00:00"/>
    <d v="2053-06-30T00:00:00"/>
    <m/>
    <d v="2053-06-30T00:00:00"/>
    <n v="10876"/>
    <s v=""/>
    <s v="BTech-2011"/>
    <s v=""/>
    <s v="01.01"/>
    <s v="01.01"/>
    <s v="70495309"/>
    <s v="Sales West Zone"/>
    <s v="273746"/>
    <s v="Graduate Engineer Trainee 2022"/>
    <s v="Hazira"/>
    <s v="0031950061"/>
    <s v="HZ-Human Resource"/>
    <s v="2031MUMB"/>
    <s v="20047683"/>
    <s v="Virat Vij"/>
    <s v="No"/>
    <s v="shatrughna.sethy@amns.in"/>
    <s v="7605950983"/>
    <s v="1007310"/>
    <s v="Dhruv Vyas"/>
    <s v="Anil Matoo"/>
    <s v="Praveen Kuruvalli"/>
    <s v="Dhruv Vyas"/>
    <n v="0"/>
  </r>
  <r>
    <n v="5145"/>
    <n v="20057242"/>
    <s v="Dhageti Sandhya"/>
    <s v="AM/NS India"/>
    <s v="Onroll"/>
    <s v="T-1 (GET)"/>
    <n v="12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Operations"/>
    <s v="Operations"/>
    <s v="72103001"/>
    <s v="Operations"/>
    <s v="AM/NS Hazira"/>
    <d v="2001-06-18T00:00:00"/>
    <s v="22.03"/>
    <d v="2022-08-08T00:00:00"/>
    <d v="2059-06-30T00:00:00"/>
    <m/>
    <d v="2059-06-30T00:00:00"/>
    <n v="13067"/>
    <s v=""/>
    <s v="BTech-2022"/>
    <s v=""/>
    <s v="01.01"/>
    <s v="01.01"/>
    <s v="72150383"/>
    <s v="Procurement (MRO/IP &amp; Consumable)"/>
    <s v="273750"/>
    <s v="Graduate Engineer Trainee 2022"/>
    <s v="Hazira"/>
    <s v="0031950061"/>
    <s v="HZ-Human Resource"/>
    <s v="2134ESHZ"/>
    <s v="20000201"/>
    <s v="Manish Bakriwala"/>
    <s v="No"/>
    <s v="dhageti.sandhya@amns.in"/>
    <s v="7486014120"/>
    <s v="1007314"/>
    <s v="Dhruv Vyas"/>
    <s v="Anil Matoo"/>
    <s v="Praveen Kuruvalli"/>
    <s v="Dhruv Vyas"/>
    <n v="0"/>
  </r>
  <r>
    <n v="5152"/>
    <n v="20057251"/>
    <s v="Toshit Kumar"/>
    <s v="AM/NS India"/>
    <s v="Onroll"/>
    <s v="T-1 (GET)"/>
    <n v="12"/>
    <m/>
    <s v="JM"/>
    <s v="M"/>
    <s v="Hazira"/>
    <n v="1"/>
    <s v="2096"/>
    <x v="14"/>
    <s v="36.02"/>
    <s v="Hrishikesh Kamat"/>
    <s v="Hrishikesh Kamat"/>
    <n v="7"/>
    <s v="Procurement"/>
    <s v="Raw Materials"/>
    <s v="36"/>
    <s v="Graduate Engineer Trainee 2022"/>
    <m/>
    <s v=""/>
    <s v=""/>
    <s v=""/>
    <s v="Operations"/>
    <s v="R&amp; D and QA/QC"/>
    <s v="QA &amp; QC"/>
    <s v="72103034"/>
    <s v="QA &amp; QC"/>
    <s v="Mumbai"/>
    <d v="1995-09-01T00:00:00"/>
    <s v="28.00"/>
    <d v="2022-08-08T00:00:00"/>
    <d v="2053-08-31T00:00:00"/>
    <m/>
    <d v="2053-08-31T00:00:00"/>
    <n v="10938"/>
    <s v=""/>
    <s v="MS-2022"/>
    <s v=""/>
    <s v="01.01"/>
    <s v="01.01"/>
    <s v="70494654"/>
    <s v="Finance"/>
    <s v="273759"/>
    <s v="Graduate Engineer Trainee 2022"/>
    <s v="Hazira"/>
    <s v="0031950061"/>
    <s v="HZ-Human Resource"/>
    <s v="2134ESHZ"/>
    <s v="20057933"/>
    <s v="Akiyo Omori"/>
    <s v="No"/>
    <s v="toshit.kumar@amns.in"/>
    <s v="6377436574"/>
    <s v="1007322"/>
    <s v="Lakshman Iyer"/>
    <s v="Anil Matoo"/>
    <n v="0"/>
    <s v="Lakshman Iyer"/>
    <n v="0"/>
  </r>
  <r>
    <n v="5154"/>
    <n v="20057253"/>
    <s v="Dandaveni Shashi Kumar"/>
    <s v="AM/NS India"/>
    <s v="Onroll"/>
    <s v="T-1 (GET)"/>
    <n v="12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Graduate Engineer Trainee 2022"/>
    <m/>
    <s v=""/>
    <s v=""/>
    <s v=""/>
    <s v="Non Technical Support"/>
    <s v="R&amp; D and QA/QC"/>
    <s v="QA &amp; QC"/>
    <s v="72103034"/>
    <s v="QA &amp; QC"/>
    <s v="AM/NS Hazira"/>
    <d v="1999-06-10T00:00:00"/>
    <s v="24.03"/>
    <d v="2022-08-08T00:00:00"/>
    <d v="2057-06-30T00:00:00"/>
    <m/>
    <d v="2057-06-30T00:00:00"/>
    <n v="12337"/>
    <s v=""/>
    <s v="BTech-2013"/>
    <s v=""/>
    <s v="01.01"/>
    <s v="01.01"/>
    <s v="70495670"/>
    <s v="Contracts"/>
    <s v="273761"/>
    <s v="Graduate Engineer Trainee 2022"/>
    <s v="Hazira"/>
    <s v="0031950061"/>
    <s v="HZ-Human Resource"/>
    <s v="2054HAZI"/>
    <s v="20000795"/>
    <s v="Pankaj Chaturvedi"/>
    <s v="No"/>
    <s v="dandaveni.shashikumar@amns.in"/>
    <s v="8790138222"/>
    <s v="1007324"/>
    <s v="Dhruv Vyas"/>
    <s v="Anil Matoo"/>
    <s v="Praveen Kuruvalli"/>
    <s v="Dhruv Vyas"/>
    <n v="0"/>
  </r>
  <r>
    <n v="5163"/>
    <n v="20057268"/>
    <s v="Ayyalasomayajula Naresh"/>
    <s v="AM/NS India"/>
    <s v="Onroll"/>
    <s v="M-9"/>
    <n v="9"/>
    <m/>
    <s v="JM"/>
    <s v="M"/>
    <s v="Vizag"/>
    <n v="3"/>
    <s v="2015"/>
    <x v="1"/>
    <s v="22.06"/>
    <s v="Anil Matoo"/>
    <s v="Ashutosh Telang"/>
    <n v="6"/>
    <s v="HR &amp; Administration"/>
    <s v="Human Resources"/>
    <s v="22"/>
    <s v="Lead-HR"/>
    <m/>
    <s v="Human Resources"/>
    <s v=""/>
    <s v=""/>
    <s v="Non Technical Support"/>
    <s v=""/>
    <s v=""/>
    <s v=""/>
    <s v=""/>
    <s v="Vizag"/>
    <d v="1987-12-08T00:00:00"/>
    <s v="35.09"/>
    <d v="2022-08-11T00:00:00"/>
    <d v="2045-12-31T00:00:00"/>
    <m/>
    <d v="2045-12-31T00:00:00"/>
    <n v="8138"/>
    <s v="A+"/>
    <s v="MBA-2010 , BSc Engg-2005 , Intermediate-"/>
    <s v="05.05"/>
    <s v="01.01"/>
    <s v="06.06"/>
    <s v="72150111"/>
    <s v="Vizag HR Operations &amp; Administration"/>
    <s v="286250"/>
    <s v="Lead-HR"/>
    <s v="Vizag"/>
    <s v="0028030019"/>
    <s v="VIZ-Personnel &amp; Admi"/>
    <s v="2000VIZOPS"/>
    <s v="20000519"/>
    <s v="Dandu Srinivas Varma"/>
    <s v="No"/>
    <s v="ayyalasomayajula.naresh@amns.in"/>
    <s v="9177509312"/>
    <s v="1007397"/>
    <s v="DS Varma"/>
    <s v="Anil Matoo"/>
    <s v="Praveen Kuruvalli"/>
    <s v="Dhruv Vyas"/>
    <n v="0"/>
  </r>
  <r>
    <n v="5165"/>
    <n v="20057271"/>
    <s v="Deepak Gupta"/>
    <s v="AM/NS India"/>
    <s v="Onroll"/>
    <s v="M-9"/>
    <n v="9"/>
    <m/>
    <s v="JM"/>
    <s v="M"/>
    <s v="Vizag"/>
    <n v="3"/>
    <s v="2013"/>
    <x v="0"/>
    <s v="20.01"/>
    <s v="Akiyo Omori"/>
    <s v="Amit Harlalka"/>
    <n v="5"/>
    <s v="Finance &amp; Accounts"/>
    <s v="Finance &amp; Accounts"/>
    <s v="20"/>
    <s v="Lead-F&amp;A"/>
    <m/>
    <s v=""/>
    <s v=""/>
    <s v=""/>
    <s v="Non Technical Support"/>
    <s v="Project Management"/>
    <s v="Planning"/>
    <s v="72303122"/>
    <s v="MIS"/>
    <s v="Kirandul"/>
    <d v="1990-10-26T00:00:00"/>
    <s v="32.10"/>
    <d v="2022-08-16T00:00:00"/>
    <d v="2048-10-31T00:00:00"/>
    <m/>
    <d v="2048-10-31T00:00:00"/>
    <n v="9173"/>
    <s v="O+"/>
    <s v="CA Inter-2014 , BCom-2010 , Intermediate"/>
    <s v="06.03"/>
    <s v="01.01"/>
    <s v="07.04"/>
    <s v="72150110"/>
    <s v="Finance &amp; Accounts - Vizag"/>
    <s v="286535"/>
    <s v="Lead-F&amp;A"/>
    <s v="Vizag"/>
    <s v="0028030019"/>
    <s v="VIZ-Personnel &amp; Admi"/>
    <s v="2000VIZOPS"/>
    <s v="20001003"/>
    <s v="Patnana Muralidhara Rao"/>
    <s v="No"/>
    <s v="deepak.gupta2@amns.in"/>
    <s v="8210156530"/>
    <s v="1007886"/>
    <s v="DS Varma"/>
    <s v="Anil Matoo"/>
    <s v="Praveen Kuruvalli"/>
    <s v="Dhruv Vyas"/>
    <n v="0"/>
  </r>
  <r>
    <n v="5168"/>
    <n v="20057274"/>
    <s v="Arup Gouda"/>
    <s v="AM/NS India"/>
    <s v="Onroll"/>
    <s v="M-8"/>
    <n v="8"/>
    <m/>
    <s v="JM"/>
    <s v="M"/>
    <s v="Odisha"/>
    <n v="2"/>
    <s v="2084"/>
    <x v="17"/>
    <s v="23.09"/>
    <s v="Anil Matoo"/>
    <s v="Ashutosh Telang"/>
    <n v="6"/>
    <s v="HR &amp; Administration"/>
    <s v="Industrial Relations"/>
    <s v="23"/>
    <s v="Lead – IR"/>
    <m/>
    <s v="Industrial Relations"/>
    <s v=""/>
    <s v=""/>
    <s v="Non Technical Support"/>
    <s v="Human Resources Management"/>
    <s v="Human Resources Management"/>
    <s v="73501002"/>
    <s v="Human Resources Operation"/>
    <s v="Paradeep"/>
    <d v="1986-02-13T00:00:00"/>
    <s v="37.07"/>
    <d v="2022-08-16T00:00:00"/>
    <d v="2044-02-29T00:00:00"/>
    <m/>
    <d v="2044-02-29T00:00:00"/>
    <n v="7467"/>
    <s v="A+"/>
    <s v="LLB-2011 , MA-2008 , BA-2006 , Intermedi"/>
    <s v="10.11"/>
    <s v="01.01"/>
    <s v="11.11"/>
    <s v="70495430"/>
    <s v="Odisha HR Operations"/>
    <s v="286663"/>
    <s v="Lead – IR"/>
    <s v="Odisha"/>
    <s v="0022030019"/>
    <s v="PDP-HR &amp; Admn"/>
    <s v="2000STORIS"/>
    <s v="20055611"/>
    <s v="Sunila Kumar Das"/>
    <s v="No"/>
    <s v="arup.gouda@amns.in"/>
    <s v="9337121771"/>
    <s v="1008027"/>
    <s v="Sunila Das"/>
    <s v="Anil Matoo"/>
    <s v="Praveen Kuruvalli"/>
    <s v="Sunila Das"/>
    <n v="0"/>
  </r>
  <r>
    <n v="5183"/>
    <n v="20057297"/>
    <s v="Bibhash Mohanty"/>
    <s v="AM/NS India"/>
    <s v="Onroll"/>
    <s v="M-6"/>
    <n v="6"/>
    <m/>
    <s v="MM"/>
    <s v="M"/>
    <s v="Odisha"/>
    <n v="2"/>
    <s v="2023"/>
    <x v="6"/>
    <s v="24.08"/>
    <s v="Anil Matoo"/>
    <s v="Ashutosh Telang"/>
    <n v="6"/>
    <s v="HR &amp; Administration"/>
    <s v="Administration"/>
    <s v="24"/>
    <s v="Head-Administration"/>
    <m/>
    <s v="Administration"/>
    <s v=""/>
    <s v=""/>
    <s v="Non Technical Support"/>
    <s v="Human Resources Management"/>
    <s v="Human Resources Management"/>
    <s v="73501001"/>
    <s v="Human Resources"/>
    <s v="Bhubaneswar"/>
    <d v="1982-10-21T00:00:00"/>
    <s v="40.10"/>
    <d v="2022-08-16T00:00:00"/>
    <d v="2040-10-31T00:00:00"/>
    <m/>
    <d v="2040-10-31T00:00:00"/>
    <n v="6251"/>
    <s v="A+"/>
    <s v="MBA-2013 , MSc-2005 , BSc-2003 , Interme"/>
    <s v="16.08"/>
    <s v="01.01"/>
    <s v="17.08"/>
    <s v="70238103"/>
    <s v="Odisha - Admin &amp; Industrial Relations"/>
    <s v="286859"/>
    <s v="Head-Administration"/>
    <s v="Odisha"/>
    <s v="0090000018"/>
    <s v="CORP Group - HR"/>
    <s v="2000STORIS"/>
    <s v="20000083"/>
    <s v="Anil Matoo"/>
    <s v="No"/>
    <s v="bibhash.mohanty@amns.in"/>
    <s v="9988881680"/>
    <s v="1008371"/>
    <s v="Sunila Das"/>
    <s v="Anil Matoo"/>
    <s v="Praveen Kuruvalli"/>
    <s v="Sunila Das"/>
    <n v="0"/>
  </r>
  <r>
    <n v="5217"/>
    <n v="20057334"/>
    <s v="Ranvir Hude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Commercial"/>
    <s v="Stores &amp; Warehouse"/>
    <s v="73806001"/>
    <s v="Stores &amp; Warehouse"/>
    <s v="Hazira"/>
    <d v="1999-07-25T00:00:00"/>
    <s v="24.01"/>
    <d v="2022-08-17T00:00:00"/>
    <d v="2057-07-31T00:00:00"/>
    <m/>
    <d v="2057-07-31T00:00:00"/>
    <n v="12368"/>
    <s v=""/>
    <s v="Diploma-2018"/>
    <s v=""/>
    <s v="01.01"/>
    <s v="01.01"/>
    <s v="00053277"/>
    <s v="Receipts &amp; Unloading - Plant B"/>
    <s v="286918"/>
    <s v="Engineer"/>
    <s v="Hazira"/>
    <s v="0031950049"/>
    <s v="HZ-Central Stores"/>
    <s v="2012HAZI"/>
    <s v="20003180"/>
    <s v="Bhikhubhai Ahir"/>
    <s v="No"/>
    <s v="ranvir.hude@amns.in"/>
    <s v="9879101355"/>
    <s v="26209"/>
    <s v="Dhruv Vyas"/>
    <s v="Anil Matoo"/>
    <s v="Praveen Kuruvalli"/>
    <s v="Dhruv Vyas"/>
    <n v="0"/>
  </r>
  <r>
    <n v="5246"/>
    <n v="20057366"/>
    <s v="Ashirbad Parida"/>
    <s v="AM/NS India"/>
    <s v="Onroll"/>
    <s v="M-7"/>
    <n v="7"/>
    <m/>
    <s v="MM"/>
    <s v="M"/>
    <s v="Hazira"/>
    <n v="1"/>
    <s v="2137"/>
    <x v="12"/>
    <s v="35.01"/>
    <s v="Hrishikesh Kamat"/>
    <s v="Hrishikesh Kamat"/>
    <n v="7"/>
    <s v="Procurement"/>
    <s v="Land Acquisition"/>
    <s v="35"/>
    <s v="Sr. Lead - Land Acquisition"/>
    <m/>
    <s v="Land Acquisition"/>
    <s v=""/>
    <s v=""/>
    <s v="Non Technical Support"/>
    <s v="Corporate Relations"/>
    <s v="Corporate Affairs"/>
    <s v="74501001"/>
    <s v="Corporate Affairs"/>
    <s v="AM/NS Hazira"/>
    <d v="1980-11-10T00:00:00"/>
    <s v="42.10"/>
    <d v="2022-08-16T00:00:00"/>
    <d v="2038-11-30T00:00:00"/>
    <m/>
    <d v="2038-11-30T00:00:00"/>
    <n v="5550"/>
    <s v="O+"/>
    <s v="MBA-2021 , MTech-2007 , BE-2003 , Interm"/>
    <s v="12.10"/>
    <s v="01.01"/>
    <s v="13.11"/>
    <s v="70494938"/>
    <s v="Corporate Affairs"/>
    <s v="287129"/>
    <s v="Sr. Lead - Land Matters"/>
    <s v="Hazira"/>
    <s v="0090000021"/>
    <s v="Corporate Affairs"/>
    <s v="2000HWO"/>
    <s v="20057928"/>
    <s v="Manu Kapoor"/>
    <s v="No"/>
    <s v="ashirbad.parida@amns.in"/>
    <s v="7486014232"/>
    <s v="1008459"/>
    <s v="Dhruv Vyas"/>
    <s v="Anil Matoo"/>
    <s v="Praveen Kuruvalli"/>
    <s v="Dhruv Vyas"/>
    <n v="0"/>
  </r>
  <r>
    <n v="5247"/>
    <n v="20057367"/>
    <s v="Abhishek Verma"/>
    <s v="AM/NS India"/>
    <s v="Onroll"/>
    <s v="M-7"/>
    <n v="7"/>
    <m/>
    <s v="MM"/>
    <s v="M"/>
    <s v="Corporate"/>
    <n v="7"/>
    <s v="2260"/>
    <x v="5"/>
    <s v="01.01"/>
    <s v="Dilip Oommen"/>
    <s v="Dilip Oommen"/>
    <n v="1"/>
    <s v="CEO Office"/>
    <s v="CEO Office"/>
    <s v="01"/>
    <s v="Executive Assistant to CEO"/>
    <m/>
    <s v="CEO Office"/>
    <s v="CEO Office"/>
    <s v=""/>
    <s v="Non Technical Support"/>
    <s v="Operations"/>
    <s v="Operations"/>
    <s v="72103001"/>
    <s v="Operations"/>
    <s v="Mumbai"/>
    <d v="1987-04-04T00:00:00"/>
    <s v="36.05"/>
    <d v="2022-08-22T00:00:00"/>
    <d v="2045-04-30T00:00:00"/>
    <m/>
    <d v="2045-04-30T00:00:00"/>
    <n v="7893"/>
    <s v="B+"/>
    <s v="Post Diploma Course-2019 , Intermediate-"/>
    <s v="03.08"/>
    <s v="01.00"/>
    <s v="04.09"/>
    <s v="00046538"/>
    <s v="Project Monitoring"/>
    <s v="287169"/>
    <s v="Executive Assistant to CEO"/>
    <s v="Corporate"/>
    <s v="0090000022"/>
    <s v="Business Strategy"/>
    <s v="2000CS"/>
    <s v="20049281"/>
    <s v="Raveena Dhoot"/>
    <s v="No"/>
    <s v="abhishek.verma@amns.in"/>
    <s v="7992309055"/>
    <s v="1008565"/>
    <s v="Dhruv Vyas"/>
    <s v="Anil Matoo"/>
    <s v="Praveen Kuruvalli"/>
    <s v="Dhruv Vyas"/>
    <n v="0"/>
  </r>
  <r>
    <n v="5248"/>
    <n v="20057368"/>
    <s v="Ajay Sahan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Accounts Payable Capex"/>
    <m/>
    <s v=""/>
    <s v=""/>
    <s v=""/>
    <s v="Non Technical Support"/>
    <s v=""/>
    <s v=""/>
    <s v=""/>
    <s v=""/>
    <s v="AM/NS Hazira"/>
    <d v="1988-05-19T00:00:00"/>
    <s v="35.04"/>
    <d v="2022-08-22T00:00:00"/>
    <d v="2046-05-31T00:00:00"/>
    <m/>
    <d v="2046-05-31T00:00:00"/>
    <n v="8289"/>
    <s v="O-"/>
    <s v="CA Final-2012 , BCom-2008 , Intermediate"/>
    <s v="45.02"/>
    <s v="01.00"/>
    <s v="46.02"/>
    <s v="00048363"/>
    <s v="AP Capex, F&amp;A"/>
    <s v="287303"/>
    <s v="Lead Accounts Payable Capex"/>
    <s v="Hazira"/>
    <s v="0031950045"/>
    <s v="HZ-Works Accounts-Ha"/>
    <s v="2000HWO"/>
    <s v="20057378"/>
    <s v="Ravi Seth"/>
    <s v="No"/>
    <s v="ajay.sahani@amns.in"/>
    <s v="6358915428"/>
    <s v="1009101"/>
    <s v="Dhruv Vyas"/>
    <s v="Anil Matoo"/>
    <s v="Praveen Kuruvalli"/>
    <s v="Dhruv Vyas"/>
    <n v="0"/>
  </r>
  <r>
    <n v="5255"/>
    <n v="20057376"/>
    <s v="Abhishek Das"/>
    <s v="AM/NS India"/>
    <s v="Onroll"/>
    <s v="M-7"/>
    <n v="7"/>
    <m/>
    <s v="MM"/>
    <s v="M"/>
    <s v="Odisha"/>
    <n v="2"/>
    <s v="2069"/>
    <x v="8"/>
    <s v="25.01"/>
    <s v="Bibek Chattopadhyay"/>
    <s v="Ashutosh Telang"/>
    <n v="6"/>
    <s v="HR &amp; Administration"/>
    <s v="Corporate Communications"/>
    <s v="25"/>
    <s v="Lead - Corporate Communication"/>
    <m/>
    <s v="Corporate Communication"/>
    <s v="Corporate Communication"/>
    <s v="Corporate Communication"/>
    <s v="Non Technical Support"/>
    <s v="Corporate Communication"/>
    <s v="Corporate Communication"/>
    <s v="74001001"/>
    <s v="Corporate Communication"/>
    <s v="Bhubaneswar"/>
    <d v="1988-11-04T00:00:00"/>
    <s v="34.10"/>
    <d v="2022-08-16T00:00:00"/>
    <d v="2046-11-30T00:00:00"/>
    <m/>
    <d v="2046-11-30T00:00:00"/>
    <n v="8472"/>
    <s v="O+"/>
    <s v="PG Diploma in Management-2021 , PG Diplo"/>
    <s v="08.11"/>
    <s v="01.01"/>
    <s v="10.00"/>
    <s v="00046762"/>
    <s v="Communiation &amp; Media Relations Odisha"/>
    <s v="287392"/>
    <s v="Lead – Corporate"/>
    <s v="Odisha"/>
    <s v="0090000016"/>
    <s v="Corporate Steel - Co"/>
    <s v="2000STORIS"/>
    <s v="20056246"/>
    <s v="Soumitra Patnaik"/>
    <s v="No"/>
    <s v="abhishek.das1@amns.in"/>
    <s v="9040094965"/>
    <s v="1009463"/>
    <s v="Sunila Das"/>
    <s v="Anil Matoo"/>
    <s v="Praveen Kuruvalli"/>
    <s v="Sunila Das"/>
    <n v="0"/>
  </r>
  <r>
    <n v="5257"/>
    <n v="20057378"/>
    <s v="Ravi Seth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 - Accounts Payable (Capex Projects)"/>
    <m/>
    <s v="Finance &amp; Accounts"/>
    <s v=""/>
    <s v=""/>
    <s v="Non Technical Support"/>
    <s v="Projects"/>
    <s v="Projects Coordination"/>
    <s v="72103038"/>
    <s v="Projects Coordination"/>
    <s v="AM/NS Hazira"/>
    <d v="1971-08-15T00:00:00"/>
    <s v="52.01"/>
    <d v="2022-09-01T00:00:00"/>
    <d v="2029-08-31T00:00:00"/>
    <m/>
    <d v="2029-08-31T00:00:00"/>
    <n v="2172"/>
    <s v="B-"/>
    <s v="MBA-2004 , MCom-1997 , BCom-1992 , Inter"/>
    <s v="24.07"/>
    <s v="01.00"/>
    <s v="25.07"/>
    <s v="00048363"/>
    <s v="AP Capex, F&amp;A"/>
    <s v="273300"/>
    <s v="Head - Accounts Payable (Capex Projects)"/>
    <s v="Hazira"/>
    <s v="0090000028"/>
    <s v="Corporate Steel - Wo"/>
    <s v="2000HWO"/>
    <s v="20055188"/>
    <s v="Rohit Sharma"/>
    <s v="No"/>
    <s v="ravi.seth@amns.in"/>
    <s v="9819597117"/>
    <s v="1010691"/>
    <s v="Dhruv Vyas"/>
    <s v="Anil Matoo"/>
    <s v="Praveen Kuruvalli"/>
    <s v="Dhruv Vyas"/>
    <n v="0"/>
  </r>
  <r>
    <n v="5258"/>
    <n v="20057379"/>
    <s v="Rahul Gupta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- Capex Procurement"/>
    <m/>
    <s v="Capex Procurement"/>
    <s v=""/>
    <s v=""/>
    <s v="Non Technical Support"/>
    <s v="Operations"/>
    <s v="Operations"/>
    <s v="72103001"/>
    <s v="Operations"/>
    <s v="Hazira"/>
    <d v="1994-03-26T00:00:00"/>
    <s v="29.05"/>
    <d v="2022-09-01T00:00:00"/>
    <d v="2052-03-31T00:00:00"/>
    <m/>
    <d v="2052-03-31T00:00:00"/>
    <n v="10420"/>
    <s v="B+"/>
    <s v="BTech-2017 , Intermediate-2012 , Interme"/>
    <s v="02.08"/>
    <s v="01.00"/>
    <s v="03.08"/>
    <s v="00049344"/>
    <s v="Capex Procurement"/>
    <s v="256012"/>
    <s v="Officer - Capex Procurement"/>
    <s v="Hazira"/>
    <s v="0031950059"/>
    <s v="HZ-Hazira Project"/>
    <s v="2000HWO"/>
    <s v="20055728"/>
    <s v="Mahebub Vahora"/>
    <s v="No"/>
    <s v="rahul.gupta1@amns.in"/>
    <s v="7209804673"/>
    <s v="1010692"/>
    <s v="Dhruv Vyas"/>
    <s v="Anil Matoo"/>
    <s v="Praveen Kuruvalli"/>
    <s v="Dhruv Vyas"/>
    <n v="0"/>
  </r>
  <r>
    <n v="5259"/>
    <n v="20057380"/>
    <s v="Vivek Gupta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ales Manager - Export Sales"/>
    <m/>
    <s v="Export"/>
    <s v="Export"/>
    <s v=""/>
    <s v="Non Technical Support"/>
    <s v="Sales &amp; Marketing"/>
    <s v="Sales &amp; Marketing"/>
    <s v="73101001"/>
    <s v="Sales &amp; Marketing"/>
    <s v="Mumbai"/>
    <d v="1988-09-14T00:00:00"/>
    <s v="35.00"/>
    <d v="2022-09-01T00:00:00"/>
    <d v="2046-09-30T00:00:00"/>
    <m/>
    <d v="2046-09-30T00:00:00"/>
    <n v="8411"/>
    <s v="A+"/>
    <s v="MS-2013 , BSc-2011 , Intermediate-2007 ,"/>
    <s v="04.04"/>
    <s v="01.00"/>
    <s v="05.04"/>
    <s v="70495379"/>
    <s v="Chief Marketing Officer - AMNS ME FZE"/>
    <s v="70495032"/>
    <s v="KAM - Export Sales"/>
    <s v="Corporate"/>
    <s v="0031950057"/>
    <s v="HZ-HRC - Marketing"/>
    <s v="2000CS"/>
    <s v="20055663"/>
    <s v="Karamath Syed"/>
    <s v="No"/>
    <s v="vivek.gupta@amns.in"/>
    <s v="9987607600"/>
    <s v="1010693"/>
    <s v="Dhruv Vyas"/>
    <s v="Anil Matoo"/>
    <s v="Praveen Kuruvalli"/>
    <s v="Dhruv Vyas"/>
    <n v="0"/>
  </r>
  <r>
    <n v="5260"/>
    <n v="20057381"/>
    <s v="Nitin Lokhande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West"/>
    <s v="Hypermart"/>
    <s v=""/>
    <s v="Non Technical Support"/>
    <s v="Sales &amp; Marketing"/>
    <s v="Sales"/>
    <s v="73104004"/>
    <s v="OEM Sales"/>
    <s v="Ahmedabad"/>
    <d v="1977-04-05T00:00:00"/>
    <s v="46.05"/>
    <d v="2022-09-01T00:00:00"/>
    <d v="2035-04-30T00:00:00"/>
    <m/>
    <d v="2035-04-30T00:00:00"/>
    <n v="4240"/>
    <s v="B+"/>
    <s v="PG Diploma in Management-2009 , Diploma-"/>
    <s v="23.01"/>
    <s v="01.00"/>
    <s v="24.01"/>
    <s v="70394840"/>
    <s v="OEM Sales - Gujarat"/>
    <s v="273362"/>
    <s v="Sales Manager - Hypermart"/>
    <s v="Hazira"/>
    <s v="0060110300"/>
    <s v="HMART-Guj-Ahemedabad"/>
    <s v="2000HWO"/>
    <s v="20001736"/>
    <s v="Manoranjan Jagdhari"/>
    <s v="No"/>
    <s v="nitin.lokhande@amns.in"/>
    <s v="9998815775"/>
    <s v="25564"/>
    <s v="Dhruv Vyas"/>
    <s v="Anil Matoo"/>
    <s v="Praveen Kuruvalli"/>
    <s v="Dhruv Vyas"/>
    <n v="0"/>
  </r>
  <r>
    <n v="5261"/>
    <n v="20057382"/>
    <s v="Naga Sunil Kumar Reddy Kodidala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South"/>
    <s v="Hypermart"/>
    <s v=""/>
    <s v="Non Technical Support"/>
    <s v="Sales &amp; Marketing"/>
    <s v="Sales"/>
    <s v="73104004"/>
    <s v="OEM Sales"/>
    <s v="Hyderabad"/>
    <d v="1980-06-23T00:00:00"/>
    <s v="43.02"/>
    <d v="2022-09-01T00:00:00"/>
    <d v="2038-06-30T00:00:00"/>
    <m/>
    <d v="2038-06-30T00:00:00"/>
    <n v="5397"/>
    <s v="O+"/>
    <s v="MBA-2006 , BSc-2001 , Intermediate-1997"/>
    <s v="11.05"/>
    <s v="01.00"/>
    <s v="12.05"/>
    <s v="00048814"/>
    <s v="Sales South Zone – Hypermart"/>
    <s v="273363"/>
    <s v="Sales Manager - Hypermart"/>
    <s v="Hazira"/>
    <s v="0060140600"/>
    <s v="HMART-Tela-Secundrab"/>
    <s v="2000HWO"/>
    <s v="20056279"/>
    <s v="Arun G"/>
    <s v="No"/>
    <s v="kn.reddy@amns.in"/>
    <s v="9885057067"/>
    <s v="1010810"/>
    <s v="Dhruv Vyas"/>
    <s v="Anil Matoo"/>
    <s v="Praveen Kuruvalli"/>
    <s v="Dhruv Vyas"/>
    <n v="0"/>
  </r>
  <r>
    <n v="5262"/>
    <n v="20057383"/>
    <s v="Nikhil Kumar"/>
    <s v="AM/NS India"/>
    <s v="Onroll"/>
    <s v="M-10"/>
    <n v="10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Officer - Secondary Sales"/>
    <m/>
    <s v="Secondary Sales"/>
    <s v=""/>
    <s v=""/>
    <s v="Non Technical Support"/>
    <s v="Operations"/>
    <s v="Operations"/>
    <s v="72103001"/>
    <s v="Operations"/>
    <s v="Hazira"/>
    <d v="1995-12-06T00:00:00"/>
    <s v="27.09"/>
    <d v="2022-09-05T00:00:00"/>
    <d v="2053-12-31T00:00:00"/>
    <m/>
    <d v="2053-12-31T00:00:00"/>
    <n v="11060"/>
    <s v="B+"/>
    <s v="BCom-2021 , Intermediate-2018 , Diploma-"/>
    <s v="07.00"/>
    <s v="01.00"/>
    <s v="08.00"/>
    <s v="00049357"/>
    <s v="Secondary Sales"/>
    <s v="288088"/>
    <s v="Officer - Secondary Sales"/>
    <s v="Hazira"/>
    <s v="0031950059"/>
    <s v="HZ-Hazira Project"/>
    <s v="2000HWO"/>
    <s v="20055763"/>
    <s v="Debashis Mohapatra"/>
    <s v="No"/>
    <s v="nikhil.kumar@amns.in"/>
    <s v="7970878773"/>
    <s v="1011053"/>
    <s v="Dhruv Vyas"/>
    <s v="Anil Matoo"/>
    <s v="Praveen Kuruvalli"/>
    <s v="Dhruv Vyas"/>
    <n v="0"/>
  </r>
  <r>
    <n v="5263"/>
    <n v="20057384"/>
    <s v="Sunil Beniwal"/>
    <s v="AM/NS India"/>
    <s v="Onroll"/>
    <s v="M-6"/>
    <n v="6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RO Development Manager – Hypermart"/>
    <m/>
    <s v="Hypermart"/>
    <s v="Hypermart"/>
    <s v=""/>
    <s v="Non Technical Support"/>
    <s v="Sales &amp; Marketing"/>
    <s v="Sales"/>
    <s v="73104004"/>
    <s v="OEM Sales"/>
    <s v="Pune"/>
    <d v="1983-08-02T00:00:00"/>
    <s v="40.01"/>
    <d v="2022-09-06T00:00:00"/>
    <d v="2041-08-31T00:00:00"/>
    <m/>
    <d v="2041-08-31T00:00:00"/>
    <n v="6555"/>
    <s v="B+"/>
    <s v="MBA-2019 , PG Diploma in Management-2012"/>
    <s v="06.02"/>
    <s v="01.00"/>
    <s v="07.02"/>
    <s v="72150154"/>
    <s v="HyperMart"/>
    <s v="288093"/>
    <s v="RO Development Manager – Hypermart"/>
    <s v="Hypermart"/>
    <s v="0060100004"/>
    <s v="HMART-HR/Admin Expen"/>
    <s v="2000SRET"/>
    <s v="20006236"/>
    <s v="Sanjay Vaid"/>
    <s v="No"/>
    <s v="sunil.beniwal@amns.in"/>
    <s v="9987267072"/>
    <s v="1011062"/>
    <s v="Dhruv Vyas"/>
    <s v="Anil Matoo"/>
    <s v="Praveen Kuruvalli"/>
    <s v="Dhruv Vyas"/>
    <n v="0"/>
  </r>
  <r>
    <n v="5289"/>
    <n v="20057412"/>
    <s v="Manish Kumar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- Capex Procurement"/>
    <m/>
    <s v="Capex Procurement"/>
    <s v=""/>
    <s v=""/>
    <s v="Non Technical Support"/>
    <s v="Operations"/>
    <s v="Operations"/>
    <s v="72103001"/>
    <s v="Operations"/>
    <s v="Hazira"/>
    <d v="1986-03-05T00:00:00"/>
    <s v="37.06"/>
    <d v="2022-09-12T00:00:00"/>
    <d v="2044-03-31T00:00:00"/>
    <m/>
    <d v="2044-03-31T00:00:00"/>
    <n v="7498"/>
    <s v="B+"/>
    <s v="PG Diploma in Management-2022 , BTech-20"/>
    <s v="11.01"/>
    <s v="01.00"/>
    <s v="12.01"/>
    <s v="00049360"/>
    <s v="Capex Services"/>
    <s v="288525"/>
    <s v="Lead - Capex Procurement"/>
    <s v="Hazira"/>
    <s v="0031950059"/>
    <s v="HZ-Hazira Project"/>
    <s v="2000HWO"/>
    <s v="20055727"/>
    <s v="Javed Akhtar"/>
    <s v="No"/>
    <s v="manish.kumar3@amns.in"/>
    <s v="6358915526"/>
    <s v="1012067"/>
    <s v="Dhruv Vyas"/>
    <s v="Anil Matoo"/>
    <s v="Praveen Kuruvalli"/>
    <s v="Dhruv Vyas"/>
    <n v="0"/>
  </r>
  <r>
    <n v="5290"/>
    <n v="20057413"/>
    <s v="Vipin Toshniwal"/>
    <s v="AM/NS India"/>
    <s v="Onroll"/>
    <s v="M-6"/>
    <n v="6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Head  Expediting"/>
    <m/>
    <s v="Capex Procurement"/>
    <s v=""/>
    <s v=""/>
    <s v="Non Technical Support"/>
    <s v="Operations"/>
    <s v="Operations"/>
    <s v="72103001"/>
    <s v="Operations"/>
    <s v="Hazira"/>
    <d v="1978-02-16T00:00:00"/>
    <s v="45.07"/>
    <d v="2022-09-06T00:00:00"/>
    <d v="2036-02-29T00:00:00"/>
    <m/>
    <d v="2036-02-29T00:00:00"/>
    <n v="4545"/>
    <s v="AB+"/>
    <s v="MBA-2007 , BE-2001 , Intermediate-1996 ,"/>
    <s v="07.07"/>
    <s v="01.00"/>
    <s v="08.07"/>
    <s v="00049335"/>
    <s v="Capex Procurement - Expediting"/>
    <s v="288520"/>
    <s v="Head  Expediting"/>
    <s v="Hazira"/>
    <s v="0031950059"/>
    <s v="HZ-Hazira Project"/>
    <s v="2000HWO"/>
    <s v="20052261"/>
    <s v="Aruni Mishra"/>
    <s v="No"/>
    <s v="vipin.toshniwal@amns.in"/>
    <s v="7224058362"/>
    <s v="1012075"/>
    <s v="Dhruv Vyas"/>
    <s v="Anil Matoo"/>
    <s v="Praveen Kuruvalli"/>
    <s v="Dhruv Vyas"/>
    <n v="0"/>
  </r>
  <r>
    <n v="5302"/>
    <n v="20057425"/>
    <s v="Vikram ."/>
    <s v="AM/NS India"/>
    <s v="Onroll"/>
    <s v="M-9"/>
    <n v="9"/>
    <m/>
    <s v="J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1"/>
    <s v="Human Resources"/>
    <s v="Bahadurgarh"/>
    <d v="1989-12-20T00:00:00"/>
    <s v="33.09"/>
    <d v="2022-09-15T00:00:00"/>
    <d v="2047-12-31T00:00:00"/>
    <m/>
    <d v="2047-12-31T00:00:00"/>
    <n v="8868"/>
    <s v="A+"/>
    <s v="MBA-2011 , Intermediate-2006 , Intermedi"/>
    <s v="04.04"/>
    <s v="01.00"/>
    <s v="05.03"/>
    <s v="00044376"/>
    <s v="Service Center &amp; Hypermart HR"/>
    <s v="256952"/>
    <s v="Lead - Human Resources"/>
    <s v="Service Center"/>
    <s v="0040050019"/>
    <s v="SC-Bahadurgarh-Op1-C"/>
    <s v="2000SPRJ"/>
    <s v="20057135"/>
    <s v="RAHUL RAJ"/>
    <s v="No"/>
    <s v="vikram.singh@amns.in"/>
    <s v="9813016565"/>
    <s v="1013048"/>
    <s v="Dhruv Vyas"/>
    <s v="Anil Matoo"/>
    <s v="Praveen Kuruvalli"/>
    <s v="Dhruv Vyas"/>
    <n v="0"/>
  </r>
  <r>
    <n v="5303"/>
    <n v="20057427"/>
    <s v="Sherryl John"/>
    <s v="AM/NS India"/>
    <s v="Onroll"/>
    <s v="M-9"/>
    <n v="9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Compensation and Benefits Analyst"/>
    <m/>
    <s v="Human Resources"/>
    <s v=""/>
    <s v=""/>
    <s v="Non Technical Support"/>
    <s v="Human Resources Management"/>
    <s v="Human Resources Management"/>
    <s v="73501001"/>
    <s v="Human Resources"/>
    <s v="Mumbai"/>
    <d v="1990-01-18T00:00:00"/>
    <s v="33.08"/>
    <d v="2022-09-19T00:00:00"/>
    <d v="2048-01-31T00:00:00"/>
    <m/>
    <d v="2048-01-31T00:00:00"/>
    <n v="8899"/>
    <s v="O+"/>
    <s v="MBA-2016 , Intermediate-2006 , Intermedi"/>
    <s v="05.06"/>
    <s v="01.00"/>
    <s v="06.06"/>
    <s v="00044377"/>
    <s v="Compensation &amp; Benefits"/>
    <s v="289171"/>
    <s v="Compensation and Benefits Analyst"/>
    <s v="Corporate"/>
    <s v="0031950061"/>
    <s v="HZ-Human Resource"/>
    <s v="2000CS"/>
    <s v="20055672"/>
    <s v="Shailja Tripathi"/>
    <s v="No"/>
    <s v="sherryl.john@amns.in"/>
    <s v="9892191061"/>
    <s v="1013179"/>
    <s v="Dhruv Vyas"/>
    <s v="Anil Matoo"/>
    <s v="Praveen Kuruvalli"/>
    <s v="Dhruv Vyas"/>
    <n v="0"/>
  </r>
  <r>
    <n v="5331"/>
    <n v="20057461"/>
    <s v="Adelbert Fernandes"/>
    <s v="AM/NS India"/>
    <s v="Onroll"/>
    <s v="M-7"/>
    <n v="7"/>
    <m/>
    <s v="MM"/>
    <s v="M"/>
    <s v="Corporate"/>
    <n v="7"/>
    <s v="2015"/>
    <x v="1"/>
    <s v="22.06"/>
    <s v="Praveen Kuruvalli"/>
    <s v="Ashutosh Telang"/>
    <n v="6"/>
    <s v="HR &amp; Administration"/>
    <s v="Human Resources"/>
    <s v="22"/>
    <s v="Lead HRIS &amp; HR Project Coordination"/>
    <m/>
    <s v="Human Resources"/>
    <s v=""/>
    <s v=""/>
    <s v="Non Technical Support"/>
    <s v="Human Resources Management"/>
    <s v="Human Resources Management"/>
    <s v="73501001"/>
    <s v="Human Resources"/>
    <s v="Mumbai"/>
    <d v="1985-02-02T00:00:00"/>
    <s v="38.07"/>
    <d v="2022-09-26T00:00:00"/>
    <d v="2043-02-28T00:00:00"/>
    <m/>
    <d v="2043-02-28T00:00:00"/>
    <n v="7101"/>
    <s v="O+"/>
    <s v="MBA-2008 , Diploma-2007 , BSc-2005 , Int"/>
    <s v="04.04"/>
    <s v="00.11"/>
    <s v="05.04"/>
    <s v="70242278"/>
    <s v="People Strategy &amp; HR Center Excellence"/>
    <s v="289629"/>
    <s v="Lead HRIS &amp; HR Project Coordination"/>
    <s v="Corporate"/>
    <s v="0031950061"/>
    <s v="HZ-Human Resource"/>
    <s v="2000CS"/>
    <s v="20055483"/>
    <s v="Praveen Kuruvalli"/>
    <s v="No"/>
    <s v="adelbert.fernandes@amns.in"/>
    <s v="9833012184"/>
    <s v="1014477"/>
    <s v="Dhruv Vyas"/>
    <s v="Anil Matoo"/>
    <s v="Praveen Kuruvalli"/>
    <s v="Dhruv Vyas"/>
    <n v="0"/>
  </r>
  <r>
    <n v="5334"/>
    <n v="20057464"/>
    <s v="Bidhan Barik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Indirect Tax"/>
    <m/>
    <s v="Finance &amp; Accounts"/>
    <s v=""/>
    <s v=""/>
    <s v="Non Technical Support"/>
    <s v="Finance &amp; Accounts"/>
    <s v="Taxation"/>
    <s v="73904002"/>
    <s v="Indirect Taxation"/>
    <s v="AM/NS Hazira"/>
    <d v="1985-01-03T00:00:00"/>
    <s v="38.08"/>
    <d v="2022-09-29T00:00:00"/>
    <d v="2043-01-31T00:00:00"/>
    <m/>
    <d v="2043-01-31T00:00:00"/>
    <n v="7073"/>
    <s v="A+"/>
    <s v="CA Final-2011 , ICWA Inter-2009 , BCom-2"/>
    <s v="09.03"/>
    <s v="00.11"/>
    <s v="10.02"/>
    <s v="70282653"/>
    <s v="GST"/>
    <s v="70386152"/>
    <s v="Officer - Indirect Tax"/>
    <s v="Hazira"/>
    <s v="0090000033"/>
    <s v="Corporate Taxation"/>
    <s v="2000HWO"/>
    <s v="20055962"/>
    <s v="Navin Kewalramani"/>
    <s v="No"/>
    <s v="bidhan.barik@amns.in"/>
    <s v="8652674108"/>
    <s v="1014916"/>
    <s v="Dhruv Vyas"/>
    <s v="Anil Matoo"/>
    <s v="Praveen Kuruvalli"/>
    <s v="Dhruv Vyas"/>
    <n v="0"/>
  </r>
  <r>
    <n v="5335"/>
    <n v="20057465"/>
    <s v="Nikhitha John"/>
    <s v="AM/NS India"/>
    <s v="Onroll"/>
    <s v="M-11"/>
    <n v="11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Performance Management"/>
    <m/>
    <s v="Finance &amp; Accounts"/>
    <s v=""/>
    <s v=""/>
    <s v="Non Technical Support"/>
    <s v="Finance &amp; Accounts"/>
    <s v="Costing"/>
    <s v="73906001"/>
    <s v="Costing"/>
    <s v="AM/NS Hazira"/>
    <d v="1998-10-06T00:00:00"/>
    <s v="24.11"/>
    <d v="2022-09-22T00:00:00"/>
    <d v="2056-10-31T00:00:00"/>
    <m/>
    <d v="2056-10-31T00:00:00"/>
    <n v="12095"/>
    <s v="A+"/>
    <s v="MCom-2021 , BCom-2019 , Intermediate-201"/>
    <s v="00.06"/>
    <s v="00.11"/>
    <s v="01.06"/>
    <s v="00045632"/>
    <s v="Costing &amp; Budgeting"/>
    <s v="273302"/>
    <s v="Officer - Performance Management"/>
    <s v="Hazira"/>
    <s v="0031950043"/>
    <s v="HZ-Performance Manag"/>
    <s v="2000HWO"/>
    <s v="20056146"/>
    <s v="Asvinbhai Sutarsandhiya"/>
    <s v="No"/>
    <s v="nikhitha.john2@amns.in"/>
    <s v="7977531146"/>
    <s v="884555"/>
    <s v="Dhruv Vyas"/>
    <s v="Anil Matoo"/>
    <s v="Praveen Kuruvalli"/>
    <s v="Dhruv Vyas"/>
    <n v="0"/>
  </r>
  <r>
    <n v="5336"/>
    <n v="20057466"/>
    <s v="Ravi Baswa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Indirect Tax"/>
    <m/>
    <s v="inance &amp; Accounts"/>
    <s v=""/>
    <s v=""/>
    <s v="Non Technical Support"/>
    <s v="Finance &amp; Accounts"/>
    <s v="Costing"/>
    <s v="73906001"/>
    <s v="Costing"/>
    <s v="AM/NS Hazira"/>
    <d v="1985-10-27T00:00:00"/>
    <s v="37.10"/>
    <d v="2022-09-26T00:00:00"/>
    <d v="2043-10-31T00:00:00"/>
    <m/>
    <d v="2043-10-31T00:00:00"/>
    <n v="7346"/>
    <s v="O+"/>
    <s v="MCom-2009 , BCom-2006 , Intermediate-200"/>
    <s v="07.09"/>
    <s v="00.11"/>
    <s v="08.08"/>
    <s v="70282653"/>
    <s v="GST"/>
    <s v="273303"/>
    <s v="Officer - Indirect Tax"/>
    <s v="Hazira"/>
    <s v="0090000033"/>
    <s v="Corporate Taxation"/>
    <s v="2000HWO"/>
    <s v="20015864"/>
    <s v="Mayank Desai"/>
    <s v="No"/>
    <s v="ravi.baswa@amns.in"/>
    <s v="9913131111"/>
    <s v="1014963"/>
    <s v="Dhruv Vyas"/>
    <s v="Anil Matoo"/>
    <s v="Praveen Kuruvalli"/>
    <s v="Dhruv Vyas"/>
    <n v="0"/>
  </r>
  <r>
    <n v="5342"/>
    <n v="20057472"/>
    <s v="Nicky Rajan"/>
    <s v="AM/NS India"/>
    <s v="Onroll"/>
    <s v="M-9"/>
    <n v="9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Officer - Direct Taxation"/>
    <m/>
    <s v=""/>
    <s v=""/>
    <s v=""/>
    <s v="Non Technical Support"/>
    <s v=""/>
    <s v=""/>
    <s v="70494642"/>
    <s v="Deputy Director"/>
    <s v="Mumbai"/>
    <d v="1997-05-10T00:00:00"/>
    <s v="26.04"/>
    <d v="2022-09-27T00:00:00"/>
    <d v="2055-05-31T00:00:00"/>
    <m/>
    <d v="2055-05-31T00:00:00"/>
    <n v="11576"/>
    <s v="A+"/>
    <s v="BCom-2018 , CA Final-2022"/>
    <s v=""/>
    <s v="00.11"/>
    <s v="00.11"/>
    <s v="00052148"/>
    <s v="Direct Tax"/>
    <s v="273459"/>
    <s v="Officer - Direct Taxation"/>
    <s v="Corporate"/>
    <s v="0090000033"/>
    <s v="Corporate Taxation"/>
    <s v="2000CS"/>
    <s v="20057473"/>
    <s v="Tarun Seksaria"/>
    <s v="No"/>
    <s v="nicky.rajan@amns.in"/>
    <s v="9930669224"/>
    <s v="1015471"/>
    <s v="Dhruv Vyas"/>
    <s v="Anil Matoo"/>
    <s v="Praveen Kuruvalli"/>
    <s v="Dhruv Vyas"/>
    <n v="0"/>
  </r>
  <r>
    <n v="5343"/>
    <n v="20057473"/>
    <s v="Tarun Seksaria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- Direct Tax"/>
    <m/>
    <s v=""/>
    <s v=""/>
    <s v=""/>
    <s v="Non Technical Support"/>
    <s v="Projects"/>
    <s v="Projects Coordination"/>
    <s v="72103038"/>
    <s v="Projects Coordination"/>
    <s v="Mumbai"/>
    <d v="1991-02-06T00:00:00"/>
    <s v="32.07"/>
    <d v="2022-09-28T00:00:00"/>
    <d v="2049-02-28T00:00:00"/>
    <m/>
    <d v="2049-02-28T00:00:00"/>
    <n v="9293"/>
    <s v="B+"/>
    <s v="BCom-2011 , CA Final-2011 , Intermediate"/>
    <s v="10.05"/>
    <s v="00.11"/>
    <s v="11.04"/>
    <s v="00052148"/>
    <s v="Direct Tax"/>
    <s v="273337"/>
    <s v="Sr. Lead - Direct Tax"/>
    <s v="Corporate"/>
    <s v="0090000033"/>
    <s v="Corporate Taxation"/>
    <s v="2000CS"/>
    <s v="20055494"/>
    <s v="Vikas Soni"/>
    <s v="No"/>
    <s v="tarun.seksaria@amns.in"/>
    <s v="9987299294"/>
    <s v="1015509"/>
    <s v="Dhruv Vyas"/>
    <s v="Anil Matoo"/>
    <s v="Praveen Kuruvalli"/>
    <s v="Dhruv Vyas"/>
    <n v="0"/>
  </r>
  <r>
    <n v="5356"/>
    <n v="20057488"/>
    <s v="Dhaval Patel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Treasury"/>
    <m/>
    <s v=""/>
    <s v=""/>
    <s v=""/>
    <s v="Non Technical Support"/>
    <s v="Finance &amp; Accounts"/>
    <s v="Treasury"/>
    <s v="73903001"/>
    <s v="Treasury"/>
    <s v="Hazira"/>
    <d v="1988-06-29T00:00:00"/>
    <s v="35.02"/>
    <d v="2022-09-30T00:00:00"/>
    <d v="2046-06-30T00:00:00"/>
    <m/>
    <d v="2046-06-30T00:00:00"/>
    <n v="8319"/>
    <s v="O+"/>
    <s v="MBA-2013 , BCom-2011 , Intermediate-2007"/>
    <s v="10.08"/>
    <s v="00.11"/>
    <s v="11.07"/>
    <s v="72150420"/>
    <s v="Treasury - Hazira"/>
    <s v="70386184"/>
    <s v="Lead - Treasury"/>
    <s v="Hazira"/>
    <s v="0031950045"/>
    <s v="HZ-Works Accounts-Ha"/>
    <s v="2000HWO"/>
    <s v="20001854"/>
    <s v="Arasappan Thirumaran"/>
    <s v="No"/>
    <s v="dhaval.patel30@amns.in"/>
    <s v="9879102154"/>
    <s v="1016451"/>
    <s v="Dhruv Vyas"/>
    <s v="Anil Matoo"/>
    <s v="Praveen Kuruvalli"/>
    <s v="Dhruv Vyas"/>
    <n v="0"/>
  </r>
  <r>
    <n v="5359"/>
    <n v="20057491"/>
    <s v="Miralkumar Patel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Officer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92-08-27T00:00:00"/>
    <s v="31.00"/>
    <d v="2022-09-30T00:00:00"/>
    <d v="2050-08-31T00:00:00"/>
    <m/>
    <d v="2050-08-31T00:00:00"/>
    <n v="9842"/>
    <s v="B+"/>
    <s v="MBA-2016 , BBA-2012 , Intermediate-2009"/>
    <s v="05.08"/>
    <s v="00.11"/>
    <s v="06.07"/>
    <s v="70385322"/>
    <s v="Sales Planning &amp; Administration"/>
    <s v="273377"/>
    <s v="Officer - Order Entry"/>
    <s v="Hazira"/>
    <s v="0080000001"/>
    <s v="Head-Marketing"/>
    <s v="2000HWO"/>
    <s v="20049554"/>
    <s v="Uttam Kumar"/>
    <s v="No"/>
    <s v="miral.patel2@amns.in"/>
    <s v="7383459549"/>
    <s v="25588"/>
    <s v="Dhruv Vyas"/>
    <s v="Anil Matoo"/>
    <s v="Praveen Kuruvalli"/>
    <s v="Dhruv Vyas"/>
    <n v="0"/>
  </r>
  <r>
    <n v="5360"/>
    <n v="20057492"/>
    <s v="Ankush Mane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78-05-01T00:00:00"/>
    <s v="45.04"/>
    <d v="2022-09-30T00:00:00"/>
    <d v="2036-04-30T00:00:00"/>
    <m/>
    <d v="2036-04-30T00:00:00"/>
    <n v="4606"/>
    <s v="B+"/>
    <s v="PG Diploma in Management-2009 , BCom-200"/>
    <s v="15.01"/>
    <s v="00.11"/>
    <s v="16.00"/>
    <s v="70385322"/>
    <s v="Sales Planning &amp; Administration"/>
    <s v="273379"/>
    <s v="Lead - Order Entry"/>
    <s v="Hazira"/>
    <s v="0080000001"/>
    <s v="Head-Marketing"/>
    <s v="2000HWO"/>
    <s v="20049554"/>
    <s v="Uttam Kumar"/>
    <s v="No"/>
    <s v="ankush.mane@amns.in"/>
    <s v="9167077780"/>
    <s v="1016548"/>
    <s v="Dhruv Vyas"/>
    <s v="Anil Matoo"/>
    <s v="Praveen Kuruvalli"/>
    <s v="Dhruv Vyas"/>
    <n v="0"/>
  </r>
  <r>
    <n v="5361"/>
    <n v="20057493"/>
    <s v="Hiteshkumar Patel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Officer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78-03-19T00:00:00"/>
    <s v="45.06"/>
    <d v="2022-09-30T00:00:00"/>
    <d v="2036-03-31T00:00:00"/>
    <m/>
    <d v="2036-03-31T00:00:00"/>
    <n v="4576"/>
    <s v="O+"/>
    <s v="BCom-1999 , Intermediate-1995 , Intermed"/>
    <s v="14.07"/>
    <s v="00.11"/>
    <s v="15.06"/>
    <s v="70385322"/>
    <s v="Sales Planning &amp; Administration"/>
    <s v="273376"/>
    <s v="Officer - Order Entry"/>
    <s v="Hazira"/>
    <s v="0080000001"/>
    <s v="Head-Marketing"/>
    <s v="2000HWO"/>
    <s v="20049554"/>
    <s v="Uttam Kumar"/>
    <s v="No"/>
    <s v="hitesh.patel31@amns.in"/>
    <s v="9925241175"/>
    <s v="25659"/>
    <s v="Dhruv Vyas"/>
    <s v="Anil Matoo"/>
    <s v="Praveen Kuruvalli"/>
    <s v="Dhruv Vyas"/>
    <n v="0"/>
  </r>
  <r>
    <n v="5362"/>
    <n v="20057494"/>
    <s v="Victor Manikindi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77-10-17T00:00:00"/>
    <s v="45.11"/>
    <d v="2022-09-30T00:00:00"/>
    <d v="2035-10-31T00:00:00"/>
    <m/>
    <d v="2035-10-31T00:00:00"/>
    <n v="4424"/>
    <s v="B+"/>
    <s v="Intermediate-1999 , Intermediate-1999"/>
    <s v="13.01"/>
    <s v="00.11"/>
    <s v="14.00"/>
    <s v="70385322"/>
    <s v="Sales Planning &amp; Administration"/>
    <s v="273380"/>
    <s v="Lead - Order Entry"/>
    <s v="Hazira"/>
    <s v="0080000001"/>
    <s v="Head-Marketing"/>
    <s v="2000HWO"/>
    <s v="20049554"/>
    <s v="Uttam Kumar"/>
    <s v="No"/>
    <s v="victor.manikindi@amns.in"/>
    <s v="9920092630"/>
    <s v="25376"/>
    <s v="Dhruv Vyas"/>
    <s v="Anil Matoo"/>
    <s v="Praveen Kuruvalli"/>
    <s v="Dhruv Vyas"/>
    <n v="0"/>
  </r>
  <r>
    <n v="5366"/>
    <n v="20057498"/>
    <s v="Hiteshbhai Patel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84-03-18T00:00:00"/>
    <s v="39.06"/>
    <d v="2022-09-30T00:00:00"/>
    <d v="2042-03-31T00:00:00"/>
    <m/>
    <d v="2042-03-31T00:00:00"/>
    <n v="6767"/>
    <s v="AB+"/>
    <s v="BCom-2004 , Intermediate-2001 , Intermed"/>
    <s v="12.01"/>
    <s v="00.11"/>
    <s v="13.00"/>
    <s v="70385322"/>
    <s v="Sales Planning &amp; Administration"/>
    <s v="273381"/>
    <s v="Lead - Order Entry"/>
    <s v="Hazira"/>
    <s v="0022010041"/>
    <s v="DBN-Benf-Purchases"/>
    <s v="2000HWO"/>
    <s v="20049554"/>
    <s v="Uttam Kumar"/>
    <s v="No"/>
    <s v="hitesh.patel15@amns.in"/>
    <s v="9879507129"/>
    <s v="25660"/>
    <s v="Dhruv Vyas"/>
    <s v="Anil Matoo"/>
    <s v="Praveen Kuruvalli"/>
    <s v="Dhruv Vyas"/>
    <n v="0"/>
  </r>
  <r>
    <n v="5367"/>
    <n v="20057499"/>
    <s v="Kushal Gandhi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Officer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90-10-09T00:00:00"/>
    <s v="32.11"/>
    <d v="2022-09-30T00:00:00"/>
    <d v="2048-10-31T00:00:00"/>
    <m/>
    <d v="2048-10-31T00:00:00"/>
    <n v="9173"/>
    <s v="A+"/>
    <s v="BE-2014 , Intermediate-2006 , Intermedia"/>
    <s v="05.03"/>
    <s v="00.11"/>
    <s v="06.02"/>
    <s v="70385322"/>
    <s v="Sales Planning &amp; Administration"/>
    <s v="273378"/>
    <s v="Officer - Order Entry"/>
    <s v="Hazira"/>
    <s v="0080000001"/>
    <s v="Head-Marketing"/>
    <s v="2000HWO"/>
    <s v="20049554"/>
    <s v="Uttam Kumar"/>
    <s v="No"/>
    <s v="kushal.gandhi@amns.in"/>
    <s v="7096286636"/>
    <s v="25616"/>
    <s v="Dhruv Vyas"/>
    <s v="Anil Matoo"/>
    <s v="Praveen Kuruvalli"/>
    <s v="Dhruv Vyas"/>
    <n v="0"/>
  </r>
  <r>
    <n v="5371"/>
    <n v="20057503"/>
    <s v="Prithviraj Singh"/>
    <s v="AM/NS India"/>
    <s v="Onroll"/>
    <s v="M-9"/>
    <n v="9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Officer - Procurement, Paradeep"/>
    <m/>
    <s v="Procurement"/>
    <s v=""/>
    <s v=""/>
    <s v="Non Technical Support"/>
    <s v="Commercial"/>
    <s v="Purchase"/>
    <s v="73804001"/>
    <s v="Purchase"/>
    <s v="Paradeep"/>
    <d v="1988-06-21T00:00:00"/>
    <s v="35.03"/>
    <d v="2022-10-10T00:00:00"/>
    <d v="2046-06-30T00:00:00"/>
    <m/>
    <d v="2046-06-30T00:00:00"/>
    <n v="8319"/>
    <s v="AB+"/>
    <s v="Intermediate-2005 , Intermediate-2004"/>
    <s v="16.03"/>
    <s v="00.11"/>
    <s v="17.02"/>
    <s v="70407583"/>
    <s v="Procurement - Odisha Asset"/>
    <s v="291468"/>
    <s v="Officer - Procurement, Paradeep"/>
    <s v="Odisha"/>
    <s v="0022030019"/>
    <s v="PDP-HR &amp; Admn"/>
    <s v="2000STORIS"/>
    <s v="20055692"/>
    <s v="Rajiv Ranjan"/>
    <s v="No"/>
    <s v="prithviraj.singh@amns.in"/>
    <s v="7077770050"/>
    <s v="1017147"/>
    <s v="Sunila Das"/>
    <s v="Anil Matoo"/>
    <s v="Praveen Kuruvalli"/>
    <s v="Sunila Das"/>
    <n v="0"/>
  </r>
  <r>
    <n v="5373"/>
    <n v="20057505"/>
    <s v="Tejas Vor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Indirect Tax"/>
    <m/>
    <s v=""/>
    <s v=""/>
    <s v=""/>
    <s v="Non Technical Support"/>
    <s v="Finance &amp; Accounts"/>
    <s v="Taxation"/>
    <s v="73904002"/>
    <s v="Indirect Taxation"/>
    <s v="AM/NS Hazira"/>
    <d v="1992-07-15T00:00:00"/>
    <s v="31.02"/>
    <d v="2022-10-13T00:00:00"/>
    <d v="2050-07-31T00:00:00"/>
    <m/>
    <d v="2050-07-31T00:00:00"/>
    <n v="9811"/>
    <s v="O+"/>
    <s v="CA Final-2017 , LLB-2014 , BCom-2011"/>
    <s v="05.02"/>
    <s v="00.11"/>
    <s v="06.01"/>
    <s v="70282653"/>
    <s v="GST"/>
    <s v="70372307"/>
    <s v="Lead - Indirect Tax"/>
    <s v="Hazira"/>
    <s v="0090000033"/>
    <s v="Corporate Taxation"/>
    <s v="2000HWO"/>
    <s v="20056327"/>
    <s v="Aishwarya Singhi"/>
    <s v="No"/>
    <s v="tejas.vora@amns.in"/>
    <s v="8140295402"/>
    <s v="1017358"/>
    <s v="Dhruv Vyas"/>
    <s v="Anil Matoo"/>
    <s v="Praveen Kuruvalli"/>
    <s v="Dhruv Vyas"/>
    <n v="0"/>
  </r>
  <r>
    <n v="5385"/>
    <n v="20057518"/>
    <s v="Eashank Yash Gautam"/>
    <s v="AM/NS India"/>
    <s v="Onroll"/>
    <s v="M-9"/>
    <n v="9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Officer - Stores"/>
    <m/>
    <s v="Procurement"/>
    <s v=""/>
    <s v=""/>
    <s v="Non Technical Support"/>
    <s v="Commercial"/>
    <s v="Stores &amp; Warehouse"/>
    <s v="73806001"/>
    <s v="Stores &amp; Warehouse"/>
    <s v="Kirandul"/>
    <d v="1994-03-15T00:00:00"/>
    <s v="29.06"/>
    <d v="2022-10-17T00:00:00"/>
    <d v="2052-03-31T00:00:00"/>
    <m/>
    <d v="2052-03-31T00:00:00"/>
    <n v="10420"/>
    <s v="B+"/>
    <s v="BE-2012 , Intermediate-2010"/>
    <s v="01.11"/>
    <s v="00.11"/>
    <s v="02.09"/>
    <s v="70301353"/>
    <s v="Procurement - Vizag &amp; Chitrakonda"/>
    <s v="291709"/>
    <s v="Officer - Stores"/>
    <s v="Vizag"/>
    <s v="0028030019"/>
    <s v="VIZ-Personnel &amp; Admi"/>
    <s v="2000VIZOPS"/>
    <s v="20000200"/>
    <s v="A Venkateswara Rao"/>
    <s v="No"/>
    <s v="eashank.gautam@amns.in"/>
    <s v="7725070639"/>
    <s v="1017630"/>
    <s v="DS Varma"/>
    <s v="Anil Matoo"/>
    <s v="Praveen Kuruvalli"/>
    <s v="Dhruv Vyas"/>
    <n v="0"/>
  </r>
  <r>
    <n v="5389"/>
    <n v="20057523"/>
    <s v="Tapas Kumar Panda"/>
    <s v="AM/NS India"/>
    <s v="Onroll"/>
    <s v="M-9"/>
    <n v="9"/>
    <m/>
    <s v="JM"/>
    <s v="M"/>
    <s v="Mining"/>
    <n v="8"/>
    <s v="2094"/>
    <x v="21"/>
    <s v="27.10"/>
    <s v="Vikas Chandra Yadvendu"/>
    <s v="Ashutosh Telang"/>
    <n v="6"/>
    <s v="HR &amp; Administration"/>
    <s v="Corporate SocialResponsibility"/>
    <s v="27"/>
    <s v="Officer - CSR Mines"/>
    <m/>
    <s v="Corporate Social Responsibility"/>
    <s v=""/>
    <s v=""/>
    <s v="Non Technical Support"/>
    <s v="Corporate Social Responsibility"/>
    <s v="Corporate Social Responsibility"/>
    <s v="75001001"/>
    <s v="Corporate Social Responsi"/>
    <s v="Barbil"/>
    <d v="1986-06-06T00:00:00"/>
    <s v="37.03"/>
    <d v="2022-10-01T00:00:00"/>
    <d v="2044-06-30T00:00:00"/>
    <m/>
    <d v="2044-06-30T00:00:00"/>
    <n v="7589"/>
    <s v="B+"/>
    <s v="Master's Equivalent-2011 , BA-2007 , Int"/>
    <s v="08.03"/>
    <s v="00.11"/>
    <s v="09.02"/>
    <s v="70495661"/>
    <s v="Corporate Social Responsibility"/>
    <s v="292117"/>
    <s v="Officer - CSR Mines"/>
    <s v="Odisha"/>
    <s v="0011000018"/>
    <s v="Sagasahi Mine HR"/>
    <s v="2000STORIS"/>
    <s v="20055033"/>
    <s v="Vikas Chandra Yadvendu"/>
    <s v="No"/>
    <s v="tapas.panda@amns.in"/>
    <s v="9238561546"/>
    <s v="1017978"/>
    <s v="Pramod Sinha"/>
    <s v="Anil Matoo"/>
    <s v="Praveen Kuruvalli"/>
    <s v="Dhruv Vyas"/>
    <n v="0"/>
  </r>
  <r>
    <n v="5391"/>
    <n v="20057525"/>
    <s v="Preeti Rawat"/>
    <s v="AM/NS India"/>
    <s v="Onroll"/>
    <s v="M-8"/>
    <n v="8"/>
    <m/>
    <s v="JM"/>
    <s v="F"/>
    <s v="Odisha"/>
    <n v="2"/>
    <s v="2094"/>
    <x v="21"/>
    <s v="27.10"/>
    <s v="Vikas Chandra Yadvendu"/>
    <s v="Ashutosh Telang"/>
    <n v="6"/>
    <s v="HR &amp; Administration"/>
    <s v="Corporate SocialResponsibility"/>
    <s v="27"/>
    <s v="Lead - CSR"/>
    <m/>
    <s v="Projects"/>
    <s v=""/>
    <s v=""/>
    <s v="Non Technical Support"/>
    <s v="Corporate Social Responsibility"/>
    <s v="Corporate Social Responsibility"/>
    <s v="75001001"/>
    <s v="Corporate Social Responsi"/>
    <s v="Bhubaneswar"/>
    <d v="1988-09-23T00:00:00"/>
    <s v="34.11"/>
    <d v="2022-10-15T00:00:00"/>
    <d v="2046-09-30T00:00:00"/>
    <m/>
    <d v="2046-09-30T00:00:00"/>
    <n v="8411"/>
    <s v="A+"/>
    <s v="Post Diploma Course-2013 , MSW-2012 , In"/>
    <s v="10.01"/>
    <s v="00.11"/>
    <s v="10.11"/>
    <s v="70495661"/>
    <s v="Corporate Social Responsibility"/>
    <s v="292163"/>
    <s v="Lead - CSR"/>
    <s v="Odisha"/>
    <s v="0022030019"/>
    <s v="PDP-HR &amp; Admn"/>
    <s v="2000STORIS"/>
    <s v="20055033"/>
    <s v="Vikas Chandra Yadvendu"/>
    <s v="No"/>
    <s v="preeti.rawat@amns.in"/>
    <s v="8146628232"/>
    <s v="1018293"/>
    <s v="Sunila Das"/>
    <s v="Anil Matoo"/>
    <s v="Praveen Kuruvalli"/>
    <s v="Sunila Das"/>
    <n v="0"/>
  </r>
  <r>
    <n v="5425"/>
    <n v="20057599"/>
    <s v="Om Prakash Giri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Commercial"/>
    <s v="Contracts &amp; Tenders and E-bid"/>
    <s v="73805001"/>
    <s v="Contracts &amp; Tenders and E"/>
    <s v="Hazira"/>
    <d v="1997-06-10T00:00:00"/>
    <s v="26.03"/>
    <d v="2022-11-14T00:00:00"/>
    <d v="2055-06-30T00:00:00"/>
    <m/>
    <d v="2055-06-30T00:00:00"/>
    <n v="11606"/>
    <s v="B+"/>
    <s v="Diploma-2018"/>
    <s v=""/>
    <s v="00.10"/>
    <s v="00.10"/>
    <s v="00053276"/>
    <s v="Issue/Shifting - Plant B"/>
    <s v="292312"/>
    <s v="Engineer"/>
    <s v="Hazira"/>
    <s v="0031950049"/>
    <s v="HZ-Central Stores"/>
    <s v="2012HAZI"/>
    <s v="20016604"/>
    <s v="Punit Verma"/>
    <s v="No"/>
    <s v="omprakash.giri2@amns.in"/>
    <s v="9879101240"/>
    <s v="26224"/>
    <s v="Dhruv Vyas"/>
    <s v="Anil Matoo"/>
    <s v="Praveen Kuruvalli"/>
    <s v="Dhruv Vyas"/>
    <n v="0"/>
  </r>
  <r>
    <n v="5427"/>
    <n v="20057601"/>
    <s v="Sistu Visweswara Rao"/>
    <s v="AM/NS India"/>
    <s v="Onroll"/>
    <s v="M-7"/>
    <n v="7"/>
    <m/>
    <s v="MM"/>
    <s v="M"/>
    <s v="Vizag"/>
    <n v="3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Human Resources"/>
    <s v=""/>
    <s v="Non Technical Support"/>
    <s v="Human Resources Management"/>
    <s v="Human Resources Management"/>
    <s v="73501002"/>
    <s v="Human Resources Operation"/>
    <s v="Vizag"/>
    <d v="1976-03-08T00:00:00"/>
    <s v="47.06"/>
    <d v="2022-10-26T00:00:00"/>
    <d v="2034-03-31T00:00:00"/>
    <m/>
    <d v="2034-03-31T00:00:00"/>
    <n v="3845"/>
    <s v="O+"/>
    <s v="MBA-2009 , BSc-1999"/>
    <s v="12.04"/>
    <s v="00.10"/>
    <s v="13.02"/>
    <s v="72150111"/>
    <s v="Vizag HR Operations &amp; Administration"/>
    <s v="72150367"/>
    <s v="Lead - Human Resources"/>
    <s v="Vizag"/>
    <s v="0028030019"/>
    <s v="VIZ-Personnel &amp; Admi"/>
    <s v="2000VIZOPS"/>
    <s v="20000519"/>
    <s v="Dandu Srinivas Varma"/>
    <s v="No"/>
    <s v="s.visweswararao@amns.in"/>
    <s v="9618325208"/>
    <s v="1018398"/>
    <s v="DS Varma"/>
    <s v="Anil Matoo"/>
    <s v="Praveen Kuruvalli"/>
    <s v="Dhruv Vyas"/>
    <n v="0"/>
  </r>
  <r>
    <n v="5429"/>
    <n v="20057603"/>
    <s v="Sanal Nair"/>
    <s v="AM/NS India"/>
    <s v="Onroll"/>
    <s v="M-9"/>
    <n v="9"/>
    <m/>
    <s v="JM"/>
    <s v="M"/>
    <s v="Hazira"/>
    <n v="1"/>
    <s v="2084"/>
    <x v="17"/>
    <s v="23.09"/>
    <s v="Anil Matoo"/>
    <s v="Ashutosh Telang"/>
    <n v="6"/>
    <s v="HR &amp; Administration"/>
    <s v="Industrial Relations"/>
    <s v="23"/>
    <s v="Lead - Industrial Relations"/>
    <m/>
    <s v="Human Resources"/>
    <s v="Industrial Relations"/>
    <s v=""/>
    <s v="Non Technical Support"/>
    <s v="Human Resources Management"/>
    <s v="Human Resources Management"/>
    <s v="73501002"/>
    <s v="Human Resources Operation"/>
    <s v="Hazira"/>
    <d v="1993-05-08T00:00:00"/>
    <s v="30.04"/>
    <d v="2022-10-27T00:00:00"/>
    <d v="2051-05-31T00:00:00"/>
    <m/>
    <d v="2051-05-31T00:00:00"/>
    <n v="10115"/>
    <s v="AB+"/>
    <s v="MSW-2017 , Diploma-2015 , BCom-2015 , In"/>
    <s v="04.09"/>
    <s v="00.10"/>
    <s v="05.07"/>
    <s v="70309501"/>
    <s v="IR &amp; legal Compliance"/>
    <s v="292411"/>
    <s v="Lead - Industrial Relations"/>
    <s v="Hazira"/>
    <s v="0090000018"/>
    <s v="CORP Group - HR"/>
    <s v="2000HWO"/>
    <s v="20056503"/>
    <s v="Bhavin Pandya"/>
    <s v="No"/>
    <s v="sanal.nair@amns.in"/>
    <s v="6351891819"/>
    <s v="1018595"/>
    <s v="Dhruv Vyas"/>
    <s v="Anil Matoo"/>
    <s v="Praveen Kuruvalli"/>
    <s v="Dhruv Vyas"/>
    <n v="0"/>
  </r>
  <r>
    <n v="5432"/>
    <n v="20057606"/>
    <s v="Vashu Singh Kachhavah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Delhi"/>
    <d v="1989-09-28T00:00:00"/>
    <s v="33.11"/>
    <d v="2022-10-20T00:00:00"/>
    <d v="2047-09-30T00:00:00"/>
    <m/>
    <d v="2047-09-30T00:00:00"/>
    <n v="8776"/>
    <s v="O+"/>
    <s v="MTech-2015 , BE-2012 , Intermediate-2007"/>
    <s v="07.02"/>
    <s v="00.11"/>
    <s v="08.01"/>
    <s v="00052460"/>
    <s v="Auto &amp; YG"/>
    <s v="292414"/>
    <s v="Resident Engineer"/>
    <s v="Corporate"/>
    <s v="0031950057"/>
    <s v="HZ-HRC - Marketing"/>
    <s v="2000CS"/>
    <s v="20056155"/>
    <s v="Kondapalli Venkateswarlu"/>
    <s v="No"/>
    <s v="vashu.singh@amns.in"/>
    <s v="8861449712"/>
    <s v="1018748"/>
    <s v="Dhruv Vyas"/>
    <s v="Anil Matoo"/>
    <s v="Praveen Kuruvalli"/>
    <s v="Dhruv Vyas"/>
    <n v="0"/>
  </r>
  <r>
    <n v="5446"/>
    <n v="20057621"/>
    <s v="Nachiket Sonalkar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KAM - Auto Sales"/>
    <m/>
    <s v="Auto"/>
    <s v="Auto"/>
    <s v=""/>
    <s v="Non Technical Support"/>
    <s v="Sales &amp; Marketing"/>
    <s v="Sales"/>
    <s v="73104004"/>
    <s v="OEM Sales"/>
    <s v="Mumbai"/>
    <d v="1992-05-05T00:00:00"/>
    <s v="31.04"/>
    <d v="2022-11-01T00:00:00"/>
    <d v="2050-05-31T00:00:00"/>
    <m/>
    <d v="2050-05-31T00:00:00"/>
    <n v="9750"/>
    <s v="A+"/>
    <s v="BE-2015 , Intermediate-2009 , High Schoo"/>
    <s v="05.07"/>
    <s v="00.10"/>
    <s v="06.05"/>
    <s v="70343195"/>
    <s v="Automotive Sales &amp; Service Centers"/>
    <s v="256054"/>
    <s v="KAM – Automotive Sales"/>
    <s v="Corporate"/>
    <s v="0031950057"/>
    <s v="HZ-HRC - Marketing"/>
    <s v="2000CS"/>
    <s v="20016767"/>
    <s v="Raghavan Venkatachalam"/>
    <s v="No"/>
    <s v="nachiket.sonalkar@amns.in"/>
    <s v="9819133573"/>
    <s v="1019481"/>
    <s v="Dhruv Vyas"/>
    <s v="Anil Matoo"/>
    <s v="Praveen Kuruvalli"/>
    <s v="Dhruv Vyas"/>
    <n v="0"/>
  </r>
  <r>
    <n v="5449"/>
    <n v="20057624"/>
    <s v="Sanika Gokhale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, Mumbai"/>
    <m/>
    <s v="Legal"/>
    <s v=""/>
    <s v=""/>
    <s v="Non Technical Support"/>
    <s v="Legal"/>
    <s v="Legal"/>
    <s v="73201001"/>
    <s v="Legal"/>
    <s v="Mumbai"/>
    <d v="1992-06-02T00:00:00"/>
    <s v="31.03"/>
    <d v="2022-11-01T00:00:00"/>
    <d v="2050-06-30T00:00:00"/>
    <m/>
    <d v="2050-06-30T00:00:00"/>
    <n v="9780"/>
    <s v="B+"/>
    <s v="LLB-2016 , Intermediate-2009 , Intermedi"/>
    <s v="05.01"/>
    <s v="00.10"/>
    <s v="05.11"/>
    <s v="00048996"/>
    <s v="Legal"/>
    <s v="292892"/>
    <s v="Legal Counsel"/>
    <s v="Corporate"/>
    <s v="0090000019"/>
    <s v="Corporate Steel - Le"/>
    <s v="2000CS"/>
    <s v="20055160"/>
    <s v="Mrida Lakhmani"/>
    <s v="No"/>
    <s v="sanika.gokhale@amns.in"/>
    <s v="9088940288"/>
    <s v="1019659"/>
    <s v="Dhruv Vyas"/>
    <s v="Anil Matoo"/>
    <s v="Praveen Kuruvalli"/>
    <s v="Dhruv Vyas"/>
    <n v="0"/>
  </r>
  <r>
    <n v="5459"/>
    <n v="20057635"/>
    <s v="Akshay Bhosale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OEM - Other West"/>
    <m/>
    <s v="Other West"/>
    <s v="Auto"/>
    <s v=""/>
    <s v="Non Technical Support"/>
    <s v="R&amp; D and QA/QC"/>
    <s v="R&amp;D"/>
    <s v="72103029"/>
    <s v="R&amp;D"/>
    <s v="Pune"/>
    <d v="1986-07-29T00:00:00"/>
    <s v="37.01"/>
    <d v="2022-11-07T00:00:00"/>
    <d v="2044-07-31T00:00:00"/>
    <m/>
    <d v="2044-07-31T00:00:00"/>
    <n v="7620"/>
    <s v="O+"/>
    <s v="MBA-2012 , BE-2008 , Intermediate-2004 ,"/>
    <s v="06.11"/>
    <s v="00.10"/>
    <s v="07.09"/>
    <s v="70495309"/>
    <s v="Sales West Zone"/>
    <s v="256057"/>
    <s v="KAM - Automotive Sales"/>
    <s v="Hazira"/>
    <s v="0031950057"/>
    <s v="HZ-HRC - Marketing"/>
    <s v="2000HWO"/>
    <s v="20047683"/>
    <s v="Virat Vij"/>
    <s v="No"/>
    <s v="akshay.bhosale@amns.in"/>
    <s v="9423238086"/>
    <s v="1019969"/>
    <s v="Dhruv Vyas"/>
    <s v="Anil Matoo"/>
    <s v="Praveen Kuruvalli"/>
    <s v="Dhruv Vyas"/>
    <n v="0"/>
  </r>
  <r>
    <n v="5461"/>
    <n v="20057637"/>
    <s v="Ashutosh Telang"/>
    <s v="AM/NS India"/>
    <s v="PDA"/>
    <s v="PDA"/>
    <n v="2"/>
    <m/>
    <s v="TM"/>
    <s v="M"/>
    <s v="Corporate"/>
    <n v="7"/>
    <s v="2015"/>
    <x v="1"/>
    <s v="22.06"/>
    <s v="Ashutosh Telang"/>
    <s v="Ashutosh Telang"/>
    <n v="6"/>
    <s v="HR &amp; Administration"/>
    <s v="Human Resources"/>
    <s v="22"/>
    <s v="Director &amp; VP - HR &amp; Admin"/>
    <m/>
    <s v=""/>
    <s v=""/>
    <s v=""/>
    <s v="Non Technical Support"/>
    <s v=""/>
    <s v=""/>
    <s v="70494638"/>
    <s v="Director and Vice President"/>
    <s v="Mumbai"/>
    <d v="1972-03-21T00:00:00"/>
    <s v="51.06"/>
    <d v="2022-11-10T00:00:00"/>
    <d v="2030-03-31T00:00:00"/>
    <m/>
    <d v="2030-03-31T00:00:00"/>
    <n v="2384"/>
    <s v="O-"/>
    <s v=""/>
    <s v=""/>
    <s v="00.10"/>
    <s v="00.10"/>
    <s v="00049042"/>
    <s v="HR &amp; Administration"/>
    <s v="293092"/>
    <s v="Director &amp; VP - HR &amp; Admin"/>
    <s v="Non-payroll-relevant"/>
    <s v="0090000018"/>
    <s v="CORP Group - HR"/>
    <s v="2003MUMB"/>
    <s v="20055068"/>
    <s v="Dilip Oommen"/>
    <s v="No"/>
    <s v="ashutosh.telang@amns.in"/>
    <s v="9820506713"/>
    <s v="1020214"/>
    <s v="Dhruv Vyas"/>
    <s v="Anil Matoo"/>
    <s v="Praveen Kuruvalli"/>
    <s v="Dhruv Vyas"/>
    <n v="0"/>
  </r>
  <r>
    <n v="5468"/>
    <n v="20057644"/>
    <s v="Kashyap Dave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Stores &amp; Warehouse"/>
    <s v=""/>
    <s v=""/>
    <s v="Non Technical Support"/>
    <s v="Commercial"/>
    <s v="Stores &amp; Warehouse"/>
    <s v="73806001"/>
    <s v="Stores &amp; Warehouse"/>
    <s v="Hazira"/>
    <d v="1999-10-01T00:00:00"/>
    <s v="23.11"/>
    <d v="2022-10-10T00:00:00"/>
    <d v="2057-09-30T00:00:00"/>
    <m/>
    <d v="2057-09-30T00:00:00"/>
    <n v="12429"/>
    <s v="B+"/>
    <s v="Diploma-2018 , Intermediate-2015"/>
    <s v="04.00"/>
    <s v="00.11"/>
    <s v="04.11"/>
    <s v="00048783"/>
    <s v="HBI, BF, Plant B &amp; Plate Mill"/>
    <s v="293127"/>
    <s v="Engineer"/>
    <s v="Hazira"/>
    <s v="0031950049"/>
    <s v="HZ-Central Stores"/>
    <s v="2000HWO"/>
    <s v="20005165"/>
    <s v="Parthiv Desai"/>
    <s v="No"/>
    <s v="kashyap.dave4@amns.in"/>
    <s v="6359610210"/>
    <s v="26212"/>
    <s v="Dhruv Vyas"/>
    <s v="Anil Matoo"/>
    <s v="Praveen Kuruvalli"/>
    <s v="Dhruv Vyas"/>
    <n v="0"/>
  </r>
  <r>
    <n v="5478"/>
    <n v="20057656"/>
    <s v="Ramesh Kumar Tiwari"/>
    <s v="AM/NS India"/>
    <s v="Onroll"/>
    <s v="M-9"/>
    <n v="9"/>
    <m/>
    <s v="J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Lead – HR, Indore"/>
    <m/>
    <s v="Human Resources"/>
    <s v=""/>
    <s v=""/>
    <s v="Non Technical Support"/>
    <s v="Human Resources Management"/>
    <s v="Human Resources Management"/>
    <s v="73501001"/>
    <s v="Human Resources"/>
    <s v="Indore"/>
    <d v="1985-08-08T00:00:00"/>
    <s v="38.01"/>
    <d v="2022-11-11T00:00:00"/>
    <d v="2043-08-31T00:00:00"/>
    <m/>
    <d v="2043-08-31T00:00:00"/>
    <n v="7285"/>
    <s v="A+"/>
    <s v="MBA-2010 , BA-2005 , Intermediate-2002 ,"/>
    <s v="09.02"/>
    <s v="00.10"/>
    <s v="10.00"/>
    <s v="00044376"/>
    <s v="Service Center &amp; Hypermart HR"/>
    <s v="293587"/>
    <s v="Lead – HR, Indore"/>
    <s v="Service Center"/>
    <s v="0040060019"/>
    <s v="SC-Indore-Op1-HR-Adm"/>
    <s v="2000SPRJ"/>
    <s v="20057135"/>
    <s v="RAHUL RAJ"/>
    <s v="No"/>
    <s v="ramesh.tiwari@amns.in"/>
    <s v="9575266444"/>
    <s v="1021217"/>
    <s v="Dhruv Vyas"/>
    <s v="Anil Matoo"/>
    <s v="Praveen Kuruvalli"/>
    <s v="Dhruv Vyas"/>
    <n v="0"/>
  </r>
  <r>
    <n v="5531"/>
    <n v="20057782"/>
    <s v="Raja Sahu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"/>
    <s v=""/>
    <s v=""/>
    <s v=""/>
    <s v="Hazira"/>
    <d v="1998-04-20T00:00:00"/>
    <s v="25.05"/>
    <d v="2022-11-14T00:00:00"/>
    <d v="2056-04-30T00:00:00"/>
    <m/>
    <d v="2056-04-30T00:00:00"/>
    <n v="11911"/>
    <s v="B+"/>
    <s v="BTech-2021 , Diploma-2018"/>
    <s v="04.00"/>
    <s v="00.10"/>
    <s v="04.10"/>
    <s v="00053278"/>
    <s v="GRN/Documentation/Issue - Plant A"/>
    <s v="293847"/>
    <s v="Engineer"/>
    <s v="Hazira"/>
    <s v="0031950049"/>
    <s v="HZ-Central Stores"/>
    <s v="2012HAZI"/>
    <s v="20002587"/>
    <s v="Seema Mehta"/>
    <s v="No"/>
    <s v="raja.sahu5@amns.in"/>
    <s v="9909902345"/>
    <s v="26226"/>
    <s v="Dhruv Vyas"/>
    <s v="Anil Matoo"/>
    <s v="Praveen Kuruvalli"/>
    <s v="Dhruv Vyas"/>
    <n v="0"/>
  </r>
  <r>
    <n v="5570"/>
    <n v="20057824"/>
    <s v="Agniva Ray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Accounts Payable"/>
    <m/>
    <s v="Finance &amp; Accounts"/>
    <s v=""/>
    <s v=""/>
    <s v="Non Technical Support"/>
    <s v="Finance &amp; Accounts"/>
    <s v="Corporate Finance"/>
    <s v="73902004"/>
    <s v="Banking Relations"/>
    <s v="Hazira"/>
    <d v="1990-01-18T00:00:00"/>
    <s v="33.08"/>
    <d v="2022-11-25T00:00:00"/>
    <d v="2048-01-31T00:00:00"/>
    <m/>
    <d v="2048-01-31T00:00:00"/>
    <n v="8899"/>
    <s v="A+"/>
    <s v="ICWA Final-2018 , BCom-2008 , Intermedia"/>
    <s v="04.00"/>
    <s v="00.09"/>
    <s v="04.09"/>
    <s v="72150243"/>
    <s v="Accounts Payable"/>
    <s v="294296"/>
    <s v="Officer - Accounts Payable"/>
    <s v="Hazira"/>
    <s v="0031950045"/>
    <s v="HZ-Works Accounts-Ha"/>
    <s v="2000HWO"/>
    <s v="20001076"/>
    <s v="Bhavesh Modi"/>
    <s v="No"/>
    <s v="agniva.ray@amns.in"/>
    <s v="9679035551"/>
    <s v="1024138"/>
    <s v="Dhruv Vyas"/>
    <s v="Anil Matoo"/>
    <s v="Praveen Kuruvalli"/>
    <s v="Dhruv Vyas"/>
    <n v="0"/>
  </r>
  <r>
    <n v="5573"/>
    <n v="20057827"/>
    <s v="Vivek Kumar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– Capex Services"/>
    <m/>
    <s v="Capex Procurement"/>
    <s v=""/>
    <s v=""/>
    <s v="Non Technical Support"/>
    <s v="Operations"/>
    <s v="Operations"/>
    <s v="72103001"/>
    <s v="Operations"/>
    <s v="Hazira"/>
    <d v="1996-12-25T00:00:00"/>
    <s v="26.08"/>
    <d v="2022-11-30T00:00:00"/>
    <d v="2054-12-31T00:00:00"/>
    <m/>
    <d v="2054-12-31T00:00:00"/>
    <n v="11425"/>
    <s v="O+"/>
    <s v="BTech-2018 , Intermediate-2012 , Interme"/>
    <s v="04.05"/>
    <s v="00.09"/>
    <s v="05.02"/>
    <s v="00049342"/>
    <s v="Capex Procurement"/>
    <s v="294609"/>
    <s v="Officer – Capex Services"/>
    <s v="Hazira"/>
    <s v="0031950059"/>
    <s v="HZ-Hazira Project"/>
    <s v="2000HWO"/>
    <s v="20055712"/>
    <s v="Ravi Goyal"/>
    <s v="No"/>
    <s v="vivek.kumar17@amns.in"/>
    <s v="6358926939"/>
    <s v="1024659"/>
    <s v="Dhruv Vyas"/>
    <s v="Anil Matoo"/>
    <s v="Praveen Kuruvalli"/>
    <s v="Dhruv Vyas"/>
    <n v="0"/>
  </r>
  <r>
    <n v="5574"/>
    <n v="20057828"/>
    <s v="Shailesh Rajori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Payable"/>
    <m/>
    <s v="Finance &amp; Accounts"/>
    <s v=""/>
    <s v=""/>
    <s v="Non Technical Support"/>
    <s v="Finance &amp; Accounts"/>
    <s v="Corporate Finance"/>
    <s v="73902004"/>
    <s v="Banking Relations"/>
    <s v="Hazira"/>
    <d v="1977-06-13T00:00:00"/>
    <s v="46.03"/>
    <d v="2022-12-01T00:00:00"/>
    <d v="2035-06-30T00:00:00"/>
    <m/>
    <d v="2035-06-30T00:00:00"/>
    <n v="4301"/>
    <s v="B+"/>
    <s v="CA Final-2006 , BCom-1999 , Intermediate"/>
    <s v="06.04"/>
    <s v="00.09"/>
    <s v="07.01"/>
    <s v="72150243"/>
    <s v="Accounts Payable"/>
    <s v="294611"/>
    <s v="Sr. Lead - Accounts Payable"/>
    <s v="Hazira"/>
    <s v="0031950045"/>
    <s v="HZ-Works Accounts-Ha"/>
    <s v="2000HWO"/>
    <s v="20001076"/>
    <s v="Bhavesh Modi"/>
    <s v="No"/>
    <s v="shailesh.rajoria@amns.in"/>
    <s v="6358926940"/>
    <s v="1024676"/>
    <s v="Dhruv Vyas"/>
    <s v="Anil Matoo"/>
    <s v="Praveen Kuruvalli"/>
    <s v="Dhruv Vyas"/>
    <n v="0"/>
  </r>
  <r>
    <n v="5582"/>
    <n v="20057836"/>
    <s v="George Skaria"/>
    <s v="AM/NS India"/>
    <s v="Onroll"/>
    <s v="M-8"/>
    <n v="8"/>
    <m/>
    <s v="JM"/>
    <s v="M"/>
    <s v="Pune Facility"/>
    <n v="7"/>
    <s v="2069"/>
    <x v="8"/>
    <s v="25.01"/>
    <s v="Bibek Chattopadhyay"/>
    <s v="Ashutosh Telang"/>
    <n v="6"/>
    <s v="HR &amp; Administration"/>
    <s v="Corporate Communications"/>
    <s v="25"/>
    <s v="Lead - Corporate Communication"/>
    <m/>
    <s v="Corporate Communicatiton"/>
    <s v=""/>
    <s v=""/>
    <s v="Non Technical Support"/>
    <s v="Corporate Communication"/>
    <s v="Corporate Communication"/>
    <s v="74001001"/>
    <s v="Corporate Communication"/>
    <s v="Pune"/>
    <d v="1980-06-06T00:00:00"/>
    <s v="43.03"/>
    <d v="2022-12-01T00:00:00"/>
    <d v="2038-06-30T00:00:00"/>
    <m/>
    <d v="2038-06-30T00:00:00"/>
    <n v="5397"/>
    <s v="B+"/>
    <s v="PG Diploma in Management-2004 , BCom-200"/>
    <s v="05.07"/>
    <s v="00.09"/>
    <s v="06.04"/>
    <s v="70318583"/>
    <s v="Communications &amp; Media Relations"/>
    <s v="295108"/>
    <s v="Lead – Corporate Communications"/>
    <s v="Service Center"/>
    <s v="0090000016"/>
    <s v="Corporate Steel - Co"/>
    <s v="2000CS"/>
    <s v="20055187"/>
    <s v="Bibek Chattopadhyay"/>
    <s v="No"/>
    <s v="george.skaria@amns.in"/>
    <s v="9881233076"/>
    <s v="1025408"/>
    <s v="Dhruv Vyas"/>
    <s v="Anil Matoo"/>
    <s v="Praveen Kuruvalli"/>
    <s v="Dhruv Vyas"/>
    <n v="0"/>
  </r>
  <r>
    <n v="5589"/>
    <n v="20057843"/>
    <s v="Ritesh Kumar Singh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3"/>
    <s v="Retail Sales"/>
    <s v="Gurgaon"/>
    <d v="1984-10-09T00:00:00"/>
    <s v="38.11"/>
    <d v="2022-12-12T00:00:00"/>
    <d v="2042-10-31T00:00:00"/>
    <m/>
    <d v="2042-10-31T00:00:00"/>
    <n v="6981"/>
    <s v="B+"/>
    <s v="MBA-2010 , BBA-2006 , Intermediate-2002"/>
    <s v="07.09"/>
    <s v="00.09"/>
    <s v="08.05"/>
    <s v="72150181"/>
    <s v="Sales North Zone"/>
    <s v="70319464"/>
    <s v="Sales Manager"/>
    <s v="Hazira"/>
    <s v="0031950057"/>
    <s v="HZ-HRC - Marketing"/>
    <s v="2000HWO"/>
    <s v="20002920"/>
    <s v="Sudhir Sharma"/>
    <s v="No"/>
    <s v="ritesh.singh5@amns.in"/>
    <s v="9654234238"/>
    <s v="1025980"/>
    <s v="Dhruv Vyas"/>
    <s v="Anil Matoo"/>
    <s v="Praveen Kuruvalli"/>
    <s v="Dhruv Vyas"/>
    <n v="0"/>
  </r>
  <r>
    <n v="5601"/>
    <n v="20057855"/>
    <s v="M Ganesh Charan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 2021"/>
    <m/>
    <s v="South"/>
    <s v="OEM"/>
    <s v=""/>
    <s v="Non Technical Support"/>
    <s v="Sales &amp; Marketing"/>
    <s v="Sales"/>
    <s v="73104004"/>
    <s v="OEM Sales"/>
    <s v="Chennai"/>
    <d v="1992-09-01T00:00:00"/>
    <s v="31.00"/>
    <d v="2022-12-14T00:00:00"/>
    <d v="2050-08-31T00:00:00"/>
    <m/>
    <d v="2050-08-31T00:00:00"/>
    <n v="9842"/>
    <s v="O+"/>
    <s v="MBA-2017 , BE-2013 , Intermediate-2009"/>
    <s v="05.10"/>
    <s v="00.09"/>
    <s v="06.07"/>
    <s v="00052474"/>
    <s v="KAM Automotive Sales - South"/>
    <s v="256051"/>
    <s v="KAM - OEM Sales"/>
    <s v="Hazira"/>
    <s v="0031950057"/>
    <s v="HZ-HRC - Marketing"/>
    <s v="2000HWO"/>
    <s v="20018700"/>
    <s v="Srinivasan Kamalakannan"/>
    <s v="No"/>
    <s v="ganesh.charan@amns.in"/>
    <s v="9626456337"/>
    <s v="1026538"/>
    <s v="Dhruv Vyas"/>
    <s v="Anil Matoo"/>
    <s v="Praveen Kuruvalli"/>
    <s v="Dhruv Vyas"/>
    <n v="0"/>
  </r>
  <r>
    <n v="5620"/>
    <n v="20057875"/>
    <s v="Sanat Kumar Vijay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Plate Sales"/>
    <m/>
    <s v="Plate"/>
    <s v="Plate"/>
    <s v=""/>
    <s v="Non Technical Support"/>
    <s v="Sales &amp; Marketing"/>
    <s v="Sales"/>
    <s v="73104004"/>
    <s v="OEM Sales"/>
    <s v="Mumbai"/>
    <d v="1987-08-22T00:00:00"/>
    <s v="36.00"/>
    <d v="2022-12-22T00:00:00"/>
    <d v="2045-08-31T00:00:00"/>
    <m/>
    <d v="2045-08-31T00:00:00"/>
    <n v="8016"/>
    <s v="B+"/>
    <s v="BE-2010 , Intermediate-2006 , High Schoo"/>
    <s v="11.05"/>
    <s v="00.08"/>
    <s v="12.01"/>
    <s v="70410953"/>
    <s v="Plate Sales - Gujarat"/>
    <s v="70336303"/>
    <s v="Sales Manager - Plate Sales"/>
    <s v="Hazira"/>
    <s v="0080000001"/>
    <s v="Head-Marketing"/>
    <s v="2000HWO"/>
    <s v="20003623"/>
    <s v="Soumyadeep Datta"/>
    <s v="No"/>
    <s v="sanat.vijay@amns.in"/>
    <s v="9770470005"/>
    <s v="1027165"/>
    <s v="Dhruv Vyas"/>
    <s v="Anil Matoo"/>
    <s v="Praveen Kuruvalli"/>
    <s v="Dhruv Vyas"/>
    <n v="0"/>
  </r>
  <r>
    <n v="5628"/>
    <n v="20057885"/>
    <s v="Rupali Waghmare"/>
    <s v="AM/NS India"/>
    <s v="Onroll"/>
    <s v="M-9"/>
    <n v="9"/>
    <m/>
    <s v="JM"/>
    <s v="F"/>
    <s v="Corporate"/>
    <n v="7"/>
    <s v="2060"/>
    <x v="24"/>
    <s v="39.01"/>
    <s v="Sanjay Sharma"/>
    <s v="Sanjay Sharma"/>
    <n v="8"/>
    <s v="Business Development"/>
    <s v="Business Development"/>
    <s v="39"/>
    <s v="Lead Business Development – M&amp;A"/>
    <m/>
    <s v="Business Development"/>
    <s v=""/>
    <s v=""/>
    <s v="Non Technical Support"/>
    <s v="Sales &amp; Marketing"/>
    <s v="Business Development"/>
    <s v="73103001"/>
    <s v="Business Development"/>
    <s v="Mumbai"/>
    <d v="1998-04-21T00:00:00"/>
    <s v="25.05"/>
    <d v="2022-12-26T00:00:00"/>
    <d v="2056-04-30T00:00:00"/>
    <m/>
    <d v="2056-04-30T00:00:00"/>
    <n v="11911"/>
    <s v="O+"/>
    <s v="CA Final-2020"/>
    <s v="01.07"/>
    <s v="00.08"/>
    <s v="02.03"/>
    <s v="00049729"/>
    <s v="Business Development - M&amp;A"/>
    <s v="296496"/>
    <s v="Lead Business Development – M&amp;A"/>
    <s v="Corporate"/>
    <s v="0090000032"/>
    <s v="Business Devpelopmen"/>
    <s v="2000CS"/>
    <s v="20055182"/>
    <s v="Neha Soni"/>
    <s v="No"/>
    <s v="rupali.waghmare@amns.in"/>
    <s v="8421262673"/>
    <s v="1027431"/>
    <s v="Dhruv Vyas"/>
    <s v="Anil Matoo"/>
    <s v="Praveen Kuruvalli"/>
    <s v="Dhruv Vyas"/>
    <n v="0"/>
  </r>
  <r>
    <n v="5629"/>
    <n v="20057886"/>
    <s v="Shakir Bandwala"/>
    <s v="AM/NS India"/>
    <s v="Onroll"/>
    <s v="M-5"/>
    <n v="5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Administration"/>
    <m/>
    <s v="Administration"/>
    <s v=""/>
    <s v=""/>
    <s v="Non Technical Support"/>
    <s v="Administration"/>
    <s v="Administration"/>
    <s v="74101001"/>
    <s v="Administration"/>
    <s v="Hazira"/>
    <d v="1966-08-18T00:00:00"/>
    <s v="57.01"/>
    <d v="2017-09-12T00:00:00"/>
    <d v="2024-08-31T00:00:00"/>
    <m/>
    <d v="2024-08-31T00:00:00"/>
    <n v="346"/>
    <s v="B+"/>
    <s v="Diploma-1986 , Intermediate-1983 , Inter"/>
    <s v="12.00"/>
    <s v="06.00"/>
    <s v="18.00"/>
    <s v="00049719"/>
    <s v="Administration Hazira"/>
    <s v="296420"/>
    <s v="Head-Administration,Hazira"/>
    <s v="Hazira"/>
    <s v="0031950030"/>
    <s v="HZ-Admin"/>
    <s v="2000HWO"/>
    <s v="20000083"/>
    <s v="Anil Matoo"/>
    <s v="No"/>
    <s v="shakir.bandwala@amns.in"/>
    <s v="9879100355"/>
    <s v="26747"/>
    <s v="Manjit Shah"/>
    <s v="Anil Matoo"/>
    <s v="Praveen Kuruvalli"/>
    <s v="Lakshman Iyer"/>
    <n v="0"/>
  </r>
  <r>
    <n v="5630"/>
    <n v="20057887"/>
    <s v="Kiran Vaidya"/>
    <s v="AM/NS India"/>
    <s v="Onroll"/>
    <s v="M-6"/>
    <n v="6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– Admin, Khopoli"/>
    <m/>
    <s v="Administration"/>
    <s v="Administration"/>
    <s v="Hazira"/>
    <s v="Non Technical Support"/>
    <s v="Administration"/>
    <s v="Administration"/>
    <s v="74101001"/>
    <s v="Administration"/>
    <s v="Khopoli"/>
    <d v="1975-03-07T00:00:00"/>
    <s v="48.06"/>
    <d v="2020-08-10T00:00:00"/>
    <d v="2033-03-31T00:00:00"/>
    <m/>
    <d v="2033-03-31T00:00:00"/>
    <n v="3480"/>
    <s v="A+"/>
    <s v="PG Diploma in Management-2007 , BBA-2002"/>
    <s v="12.06"/>
    <s v="03.01"/>
    <s v="15.07"/>
    <s v="73800068"/>
    <s v="Pune HR Operations &amp; Administration"/>
    <s v="296421"/>
    <s v="Head – Admin, Khopoli"/>
    <s v="Hazira"/>
    <s v="0031950030"/>
    <s v="HZ-Admin"/>
    <s v="2000HWO"/>
    <s v="20037245"/>
    <s v="Mukund Jagirdar"/>
    <s v="No"/>
    <s v="kiran.vaidya@amns.in"/>
    <s v="9921180482"/>
    <s v="802093"/>
    <s v="Manjit Shah"/>
    <s v="Anil Matoo"/>
    <s v="Praveen Kuruvalli"/>
    <s v="Lakshman Iyer"/>
    <n v="0"/>
  </r>
  <r>
    <n v="5631"/>
    <n v="20057888"/>
    <s v="Narinder Lamba"/>
    <s v="AM/NS India"/>
    <s v="Onroll"/>
    <s v="M-6"/>
    <n v="6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– Admin, Regional &amp; Corporate"/>
    <m/>
    <s v="Administration"/>
    <s v="Administration"/>
    <s v="Hazira"/>
    <s v="Non Technical Support"/>
    <s v="Administration"/>
    <s v="Administration"/>
    <s v="74101001"/>
    <s v="Administration"/>
    <s v="Hazira"/>
    <d v="1984-07-09T00:00:00"/>
    <s v="39.02"/>
    <d v="2019-11-25T00:00:00"/>
    <d v="2042-07-31T00:00:00"/>
    <m/>
    <d v="2042-07-31T00:00:00"/>
    <n v="6889"/>
    <s v="O+"/>
    <s v="BHMS-2007"/>
    <s v="05.01"/>
    <s v="03.09"/>
    <s v="08.11"/>
    <s v="00049721"/>
    <s v="Regional &amp; Corporate offices"/>
    <s v="296423"/>
    <s v="Sec. Head – Admin, Regional &amp; Corporate"/>
    <s v="Hazira"/>
    <s v="0031950030"/>
    <s v="HZ-Admin"/>
    <s v="2000HWO"/>
    <s v="20057886"/>
    <s v="Shakir Bandwala"/>
    <s v="No"/>
    <s v="narinder.lamba@amns.in"/>
    <s v="9909901133"/>
    <s v="793071"/>
    <s v="Manjit Shah"/>
    <s v="Anil Matoo"/>
    <s v="Praveen Kuruvalli"/>
    <s v="Lakshman Iyer"/>
    <n v="0"/>
  </r>
  <r>
    <n v="5632"/>
    <n v="20057891"/>
    <s v="Bhavik Mehta"/>
    <s v="AM/NS India"/>
    <s v="Onroll"/>
    <s v="M-7"/>
    <n v="7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Senior Lead - Administration"/>
    <m/>
    <s v="Administration"/>
    <s v="Administration"/>
    <s v="Hazira"/>
    <s v="Non Technical Support"/>
    <s v="Administration"/>
    <s v="Administration"/>
    <s v="74101001"/>
    <s v="Administration"/>
    <s v="Hazira"/>
    <d v="1986-10-09T00:00:00"/>
    <s v="36.11"/>
    <d v="2022-10-21T00:00:00"/>
    <d v="2044-10-31T00:00:00"/>
    <m/>
    <d v="2044-10-31T00:00:00"/>
    <n v="7712"/>
    <s v="B+"/>
    <s v="MBA-2016 , PG Diploma-2012 , BBA-2008 ,"/>
    <s v="09.09"/>
    <s v="00.10"/>
    <s v="10.08"/>
    <s v="00049721"/>
    <s v="Regional &amp; Corporate offices"/>
    <s v="296426"/>
    <s v="Senior Lead - Administration"/>
    <s v="Hazira"/>
    <s v="0031950030"/>
    <s v="HZ-Admin"/>
    <s v="2000HWO"/>
    <s v="20057888"/>
    <s v="Narinder Lamba"/>
    <s v="No"/>
    <s v="bhavik.mehta@amns.in"/>
    <s v="6358983766"/>
    <s v="1021717"/>
    <s v="Manjit Shah"/>
    <s v="Anil Matoo"/>
    <s v="Praveen Kuruvalli"/>
    <s v="Lakshman Iyer"/>
    <n v="0"/>
  </r>
  <r>
    <n v="5633"/>
    <n v="20057892"/>
    <s v="Taj Baby"/>
    <s v="AM/NS India"/>
    <s v="Onroll"/>
    <s v="M-7"/>
    <n v="7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Sr. Lead – Admin"/>
    <m/>
    <s v="Administration"/>
    <s v="Administration"/>
    <s v="Hazira"/>
    <s v="Non Technical Support"/>
    <s v="Administration"/>
    <s v="Administration"/>
    <s v="74101001"/>
    <s v="Administration"/>
    <s v="Hazira"/>
    <d v="1985-02-07T00:00:00"/>
    <s v="38.07"/>
    <d v="2022-07-12T00:00:00"/>
    <d v="2043-02-28T00:00:00"/>
    <m/>
    <d v="2043-02-28T00:00:00"/>
    <n v="7101"/>
    <s v="O+"/>
    <s v="BSc-2006 , Intermediate-2002 , Intermedi"/>
    <s v="03.01"/>
    <s v="01.02"/>
    <s v="04.03"/>
    <s v="00049777"/>
    <s v="Plant Administration"/>
    <s v="296424"/>
    <s v="Sr. Lead – Admin"/>
    <s v="Hazira"/>
    <s v="0031950030"/>
    <s v="HZ-Admin"/>
    <s v="2000HWO"/>
    <s v="20057886"/>
    <s v="Shakir Bandwala"/>
    <s v="No"/>
    <s v="taj.baby@amns.in"/>
    <s v="6358869319"/>
    <s v="1009163"/>
    <s v="Manjit Shah"/>
    <s v="Anil Matoo"/>
    <s v="Praveen Kuruvalli"/>
    <s v="Lakshman Iyer"/>
    <n v="0"/>
  </r>
  <r>
    <n v="5636"/>
    <n v="20057895"/>
    <s v="Bhagubhai Patel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ommercials"/>
    <m/>
    <s v="Administration"/>
    <s v="Administration"/>
    <s v="Hazira"/>
    <s v="Non Technical Support"/>
    <s v="Administration"/>
    <s v="Administration"/>
    <s v="74101001"/>
    <s v="Administration"/>
    <s v="Hazira"/>
    <d v="1965-06-01T00:00:00"/>
    <s v="58.03"/>
    <d v="2016-02-01T00:00:00"/>
    <d v="2023-05-31T00:00:00"/>
    <d v="2023-11-30T00:00:00"/>
    <d v="2023-11-30T00:00:00"/>
    <n v="71"/>
    <s v="B+"/>
    <s v="BCom-1988 , Intermediate-1981"/>
    <s v="26.09"/>
    <s v="07.07"/>
    <s v="34.04"/>
    <s v="00049721"/>
    <s v="Regional &amp; Corporate offices"/>
    <s v="296427"/>
    <s v="Lead - Commercials"/>
    <s v="Hazira"/>
    <s v="0031950030"/>
    <s v="HZ-Admin"/>
    <s v="2000HWO"/>
    <s v="20057888"/>
    <s v="Narinder Lamba"/>
    <s v="No"/>
    <s v="bhagubhai.patel@amns.in"/>
    <s v="9879102388"/>
    <s v="26754"/>
    <s v="Manjit Shah"/>
    <s v="Anil Matoo"/>
    <s v="Praveen Kuruvalli"/>
    <s v="Lakshman Iyer"/>
    <n v="0"/>
  </r>
  <r>
    <n v="5637"/>
    <n v="20057896"/>
    <s v="Chandravadan Patel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Transportation"/>
    <m/>
    <s v="Administration"/>
    <s v="Administration"/>
    <s v="Hazira"/>
    <s v="Non Technical Support"/>
    <s v="Administration"/>
    <s v="Administration"/>
    <s v="74101001"/>
    <s v="Administration"/>
    <s v="Hazira"/>
    <d v="1982-02-25T00:00:00"/>
    <s v="41.06"/>
    <d v="2016-02-01T00:00:00"/>
    <d v="2040-02-29T00:00:00"/>
    <m/>
    <d v="2040-02-29T00:00:00"/>
    <n v="6006"/>
    <s v="B+"/>
    <s v="MBA-2002 , Intermediate-1997 , Intermedi"/>
    <s v=""/>
    <s v="07.07"/>
    <s v="07.07"/>
    <s v="00049757"/>
    <s v="Facility Management"/>
    <s v="296428"/>
    <s v="Lead – Transportation"/>
    <s v="Hazira"/>
    <s v="0031950030"/>
    <s v="HZ-Admin"/>
    <s v="2000HWO"/>
    <s v="20059018"/>
    <s v="Sandeep Ray"/>
    <s v="No"/>
    <s v="chandravadan.patel@amns.in"/>
    <s v="9879101949"/>
    <s v="26755"/>
    <s v="Manjit Shah"/>
    <s v="Anil Matoo"/>
    <s v="Praveen Kuruvalli"/>
    <s v="Lakshman Iyer"/>
    <n v="0"/>
  </r>
  <r>
    <n v="5638"/>
    <n v="20057897"/>
    <s v="Mahipal Singh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Plant Admin"/>
    <m/>
    <s v="Administration"/>
    <s v="Administration"/>
    <s v="Hazira"/>
    <s v="Non Technical Support"/>
    <s v="Administration"/>
    <s v="Administration"/>
    <s v="74101001"/>
    <s v="Administration"/>
    <s v="Hazira"/>
    <d v="1969-07-01T00:00:00"/>
    <s v="54.02"/>
    <d v="2016-02-01T00:00:00"/>
    <d v="2027-06-30T00:00:00"/>
    <m/>
    <d v="2027-06-30T00:00:00"/>
    <n v="1379"/>
    <s v="B+"/>
    <s v="MSc-1992 , BSc-1990 , Intermediate-1987"/>
    <s v="06.11"/>
    <s v="07.07"/>
    <s v="14.06"/>
    <s v="00049777"/>
    <s v="Plant Administration"/>
    <s v="296429"/>
    <s v="Lead – Plant Admin"/>
    <s v="Hazira"/>
    <s v="0031950030"/>
    <s v="HZ-Admin"/>
    <s v="2000HWO"/>
    <s v="20057892"/>
    <s v="Taj Baby"/>
    <s v="No"/>
    <s v="mahipal.singh@amns.in"/>
    <s v="9879100736"/>
    <s v="26756"/>
    <s v="Manjit Shah"/>
    <s v="Anil Matoo"/>
    <s v="Praveen Kuruvalli"/>
    <s v="Lakshman Iyer"/>
    <n v="0"/>
  </r>
  <r>
    <n v="5639"/>
    <n v="20057898"/>
    <s v="Prakash Jha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Township"/>
    <m/>
    <s v="Administration"/>
    <s v="Administration"/>
    <s v="Hazira"/>
    <s v="Non Technical Support"/>
    <s v="Administration"/>
    <s v="Administration"/>
    <s v="74101001"/>
    <s v="Administration"/>
    <s v="Hazira"/>
    <d v="1969-10-09T00:00:00"/>
    <s v="53.11"/>
    <d v="2016-02-01T00:00:00"/>
    <d v="2027-10-31T00:00:00"/>
    <m/>
    <d v="2027-10-31T00:00:00"/>
    <n v="1502"/>
    <s v="O+"/>
    <s v="BA-1989"/>
    <s v="07.00"/>
    <s v="07.07"/>
    <s v="14.07"/>
    <s v="00049757"/>
    <s v="Facility Management"/>
    <s v="296430"/>
    <s v="Lead – Township"/>
    <s v="Hazira"/>
    <s v="0031950030"/>
    <s v="HZ-Admin"/>
    <s v="2000HWO"/>
    <s v="20059018"/>
    <s v="Sandeep Ray"/>
    <s v="No"/>
    <s v="prakash.jha@amns.in"/>
    <s v="9879102444"/>
    <s v="26751"/>
    <s v="Manjit Shah"/>
    <s v="Anil Matoo"/>
    <s v="Praveen Kuruvalli"/>
    <s v="Lakshman Iyer"/>
    <n v="0"/>
  </r>
  <r>
    <n v="5640"/>
    <n v="20057899"/>
    <s v="Dharmendrasinh Rathod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Plant Admin"/>
    <m/>
    <s v="Administration"/>
    <s v="Administration"/>
    <s v="Hazira"/>
    <s v="Non Technical Support"/>
    <s v="Administration"/>
    <s v="Administration"/>
    <s v="74101001"/>
    <s v="Administration"/>
    <s v="Hazira"/>
    <d v="1981-05-22T00:00:00"/>
    <s v="42.03"/>
    <d v="2016-02-01T00:00:00"/>
    <d v="2039-05-31T00:00:00"/>
    <m/>
    <d v="2039-05-31T00:00:00"/>
    <n v="5732"/>
    <s v="B+"/>
    <s v="MCom-2006 , BCom-2004 , Intermediate-200"/>
    <s v="15.06"/>
    <s v="07.07"/>
    <s v="23.01"/>
    <s v="00049777"/>
    <s v="Plant Administration"/>
    <s v="296431"/>
    <s v="Lead – Plant Admin"/>
    <s v="Hazira"/>
    <s v="0031950030"/>
    <s v="HZ-Admin"/>
    <s v="2000HWO"/>
    <s v="20057892"/>
    <s v="Taj Baby"/>
    <s v="No"/>
    <s v="dharmendrasinh.rathod@amns.in"/>
    <s v="9879103363"/>
    <s v="26759"/>
    <s v="Manjit Shah"/>
    <s v="Anil Matoo"/>
    <s v="Praveen Kuruvalli"/>
    <s v="Lakshman Iyer"/>
    <n v="0"/>
  </r>
  <r>
    <n v="5641"/>
    <n v="20057900"/>
    <s v="Ananda Reddy Mallireddygari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Plant Admin"/>
    <m/>
    <s v="Administration"/>
    <s v="Administration"/>
    <s v="Hazira"/>
    <s v="Non Technical Support"/>
    <s v="Administration"/>
    <s v="Administration"/>
    <s v="74101001"/>
    <s v="Administration"/>
    <s v="Hazira"/>
    <d v="1987-05-09T00:00:00"/>
    <s v="36.04"/>
    <d v="2021-11-18T00:00:00"/>
    <d v="2045-05-31T00:00:00"/>
    <m/>
    <d v="2045-05-31T00:00:00"/>
    <n v="7924"/>
    <s v="O+"/>
    <s v="BA-2006 , Intermediate-2004 , Intermedia"/>
    <s v="02.05"/>
    <s v="01.10"/>
    <s v="04.03"/>
    <s v="00049777"/>
    <s v="Plant Administration"/>
    <s v="296432"/>
    <s v="Lead – Plant Admin"/>
    <s v="Hazira"/>
    <s v="0031950030"/>
    <s v="HZ-Admin"/>
    <s v="2000HWO"/>
    <s v="20057892"/>
    <s v="Taj Baby"/>
    <s v="No"/>
    <s v="ananda.reddy@amns.in"/>
    <s v="7990166042"/>
    <s v="868382"/>
    <s v="Manjit Shah"/>
    <s v="Anil Matoo"/>
    <s v="Praveen Kuruvalli"/>
    <s v="Lakshman Iyer"/>
    <n v="0"/>
  </r>
  <r>
    <n v="5642"/>
    <n v="20057901"/>
    <s v="Amit Pandit"/>
    <s v="AM/NS India"/>
    <s v="Onroll"/>
    <s v="M-9"/>
    <n v="9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Hospitality"/>
    <m/>
    <s v="Administration"/>
    <s v="Administration"/>
    <s v="Hazira"/>
    <s v="Non Technical Support"/>
    <s v="Administration"/>
    <s v="Administration"/>
    <s v="74101001"/>
    <s v="Administration"/>
    <s v="Hazira"/>
    <d v="1991-03-15T00:00:00"/>
    <s v="32.06"/>
    <d v="2021-11-19T00:00:00"/>
    <d v="2049-03-31T00:00:00"/>
    <m/>
    <d v="2049-03-31T00:00:00"/>
    <n v="9324"/>
    <s v="O+"/>
    <s v="BSc-2015 , Intermediate-2009"/>
    <s v="03.07"/>
    <s v="01.09"/>
    <s v="05.04"/>
    <s v="00049757"/>
    <s v="Facility Management"/>
    <s v="296433"/>
    <s v="Lead – Hospitality"/>
    <s v="Hazira"/>
    <s v="0031950030"/>
    <s v="HZ-Admin"/>
    <s v="2000HWO"/>
    <s v="20059018"/>
    <s v="Sandeep Ray"/>
    <s v="No"/>
    <s v="amit.pandit@amns.in"/>
    <s v="8800981974"/>
    <s v="868383"/>
    <s v="Manjit Shah"/>
    <s v="Anil Matoo"/>
    <s v="Praveen Kuruvalli"/>
    <s v="Lakshman Iyer"/>
    <n v="0"/>
  </r>
  <r>
    <n v="5643"/>
    <n v="20057902"/>
    <s v="Umeshkumar Sharma"/>
    <s v="AM/NS India"/>
    <s v="Onroll"/>
    <s v="M-9"/>
    <n v="9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Horticulture"/>
    <m/>
    <s v="Administration"/>
    <s v="Administration"/>
    <s v="Hazira"/>
    <s v="Non Technical Support"/>
    <s v="Administration"/>
    <s v="Administration"/>
    <s v="74101001"/>
    <s v="Administration"/>
    <s v="Hazira"/>
    <d v="1986-11-18T00:00:00"/>
    <s v="36.10"/>
    <d v="2022-07-25T00:00:00"/>
    <d v="2044-11-30T00:00:00"/>
    <m/>
    <d v="2044-11-30T00:00:00"/>
    <n v="7742"/>
    <s v="O+"/>
    <s v="PG Diploma in Management-2011 , BSc-2008"/>
    <s v="10.07"/>
    <s v="01.01"/>
    <s v="11.09"/>
    <s v="00049757"/>
    <s v="Facility Management"/>
    <s v="296434"/>
    <s v="Lead - Horticulture"/>
    <s v="Hazira"/>
    <s v="0031950030"/>
    <s v="HZ-Admin"/>
    <s v="2000HWO"/>
    <s v="20059018"/>
    <s v="Sandeep Ray"/>
    <s v="No"/>
    <s v="umeshkumar.sharma@amns.in"/>
    <s v="9265998762"/>
    <s v="1009164"/>
    <s v="Manjit Shah"/>
    <s v="Anil Matoo"/>
    <s v="Praveen Kuruvalli"/>
    <s v="Lakshman Iyer"/>
    <n v="0"/>
  </r>
  <r>
    <n v="5644"/>
    <n v="20057903"/>
    <s v="Biswajit Saha"/>
    <s v="AM/NS India"/>
    <s v="Onroll"/>
    <s v="M-10"/>
    <n v="10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ommunications"/>
    <m/>
    <s v="Administration"/>
    <s v="Administration"/>
    <s v="Hazira"/>
    <s v="Non Technical Support"/>
    <s v="Administration"/>
    <s v="Administration"/>
    <s v="74101001"/>
    <s v="Administration"/>
    <s v="Hazira"/>
    <d v="1996-11-17T00:00:00"/>
    <s v="26.10"/>
    <d v="2022-04-16T00:00:00"/>
    <d v="2054-11-30T00:00:00"/>
    <m/>
    <d v="2054-11-30T00:00:00"/>
    <n v="11394"/>
    <s v="A+"/>
    <s v="BSc-2018 , Intermediate-2015 , Intermedi"/>
    <s v="00.11"/>
    <s v="01.05"/>
    <s v="02.04"/>
    <s v="00049757"/>
    <s v="Facility Management"/>
    <s v="296435"/>
    <s v="Lead - Communications"/>
    <s v="Hazira"/>
    <s v="0031950030"/>
    <s v="HZ-Admin"/>
    <s v="2000HWO"/>
    <s v="20059018"/>
    <s v="Sandeep Ray"/>
    <s v="No"/>
    <s v="biswajit.saha@amns.in"/>
    <s v="9903484279"/>
    <s v="891591"/>
    <s v="Manjit Shah"/>
    <s v="Anil Matoo"/>
    <s v="Praveen Kuruvalli"/>
    <s v="Lakshman Iyer"/>
    <n v="0"/>
  </r>
  <r>
    <n v="5658"/>
    <n v="20057920"/>
    <s v="Ghanshyam Gajera"/>
    <s v="AM/NS India"/>
    <s v="Onroll"/>
    <s v="M-8"/>
    <n v="8"/>
    <m/>
    <s v="JM"/>
    <s v="M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Finance &amp; Accounts"/>
    <s v="Insurance &amp; Risk Management"/>
    <s v="73905001"/>
    <s v="Insurance &amp; Risk Managmen"/>
    <s v="Hazira"/>
    <d v="1991-11-25T00:00:00"/>
    <s v="31.09"/>
    <d v="2023-01-02T00:00:00"/>
    <d v="2049-11-30T00:00:00"/>
    <m/>
    <d v="2049-11-30T00:00:00"/>
    <n v="9568"/>
    <s v="B+"/>
    <s v="BCom-2012 , Intermediate-2007"/>
    <s v="04.03"/>
    <s v="00.08"/>
    <s v="05.00"/>
    <s v="00044330"/>
    <s v="Internal Audit - Hazira"/>
    <s v="70432761"/>
    <s v="Lead - Internal Audit"/>
    <s v="Hazira"/>
    <s v="0090000035"/>
    <s v="Internal Audit"/>
    <s v="2000HWO"/>
    <s v="20028777"/>
    <s v="Narendra Dugar"/>
    <s v="No"/>
    <s v="ghanshyam.gajera@amns.in"/>
    <s v="8866214535"/>
    <s v="1027737"/>
    <s v="Dhruv Vyas"/>
    <s v="Anil Matoo"/>
    <s v="Praveen Kuruvalli"/>
    <s v="Dhruv Vyas"/>
    <n v="0"/>
  </r>
  <r>
    <n v="5659"/>
    <n v="20057921"/>
    <s v="Suresh Kumar Murugan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, Chennai"/>
    <m/>
    <s v="South"/>
    <s v="Auto"/>
    <s v=""/>
    <s v="Non Technical Support"/>
    <s v="Sales &amp; Marketing"/>
    <s v="Sales"/>
    <s v="73104004"/>
    <s v="OEM Sales"/>
    <s v="Chennai"/>
    <d v="1995-04-03T00:00:00"/>
    <s v="28.05"/>
    <d v="2023-01-02T00:00:00"/>
    <d v="2053-04-30T00:00:00"/>
    <m/>
    <d v="2053-04-30T00:00:00"/>
    <n v="10815"/>
    <s v="O+"/>
    <s v="BE-2017 , Diploma-2013 , Intermediate-20"/>
    <s v="03.06"/>
    <s v="00.08"/>
    <s v="04.02"/>
    <s v="00052470"/>
    <s v="Automotive Sales - Chennai"/>
    <s v="70495037"/>
    <s v="KAM – Automotive Sales"/>
    <s v="Hazira"/>
    <s v="0031950057"/>
    <s v="HZ-HRC - Marketing"/>
    <s v="2000HWO"/>
    <s v="20053562"/>
    <s v="Shankar Murugan"/>
    <s v="No"/>
    <s v="suresh.kumar35@amns.in"/>
    <s v="8807105635"/>
    <s v="1027742"/>
    <s v="Dhruv Vyas"/>
    <s v="Anil Matoo"/>
    <s v="Praveen Kuruvalli"/>
    <s v="Dhruv Vyas"/>
    <n v="0"/>
  </r>
  <r>
    <n v="5660"/>
    <n v="20057922"/>
    <s v="Venkatraman Balasubramanian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, Chennai"/>
    <m/>
    <s v="South"/>
    <s v="Hypermart"/>
    <s v="Material Planning &amp; Repairs"/>
    <s v="Non Technical Support"/>
    <s v="Sales &amp; Marketing"/>
    <s v="Sales"/>
    <s v="73104004"/>
    <s v="OEM Sales"/>
    <s v="Chennai"/>
    <d v="1993-02-26T00:00:00"/>
    <s v="30.06"/>
    <d v="2023-01-02T00:00:00"/>
    <d v="2051-02-28T00:00:00"/>
    <m/>
    <d v="2051-02-28T00:00:00"/>
    <n v="10023"/>
    <s v="O+"/>
    <s v="BE-2015 , Diploma-2012"/>
    <s v="04.08"/>
    <s v="00.08"/>
    <s v="05.04"/>
    <s v="00048814"/>
    <s v="Sales South Zone – Hypermart"/>
    <s v="70372403"/>
    <s v="Sales Manager - Hypermart"/>
    <s v="Hazira"/>
    <s v="0031950057"/>
    <s v="HZ-HRC - Marketing"/>
    <s v="2000HWO"/>
    <s v="20056279"/>
    <s v="Arun G"/>
    <s v="No"/>
    <s v="venkatraman.b@amns.in"/>
    <s v="9600595027"/>
    <s v="1027812"/>
    <s v="Dhruv Vyas"/>
    <s v="Anil Matoo"/>
    <s v="Praveen Kuruvalli"/>
    <s v="Dhruv Vyas"/>
    <n v="0"/>
  </r>
  <r>
    <n v="5662"/>
    <n v="20057924"/>
    <s v="Jigneshkumar Patel"/>
    <s v="AM/NS India"/>
    <s v="Onroll"/>
    <s v="M-9"/>
    <n v="9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ommercials"/>
    <m/>
    <s v="Administration"/>
    <s v="Administration"/>
    <s v="Hazira"/>
    <s v="Non Technical Support"/>
    <s v="Administration"/>
    <s v="Administration"/>
    <s v="74101001"/>
    <s v="Administration"/>
    <s v="Hazira"/>
    <d v="1985-07-04T00:00:00"/>
    <s v="38.02"/>
    <d v="2022-11-15T00:00:00"/>
    <d v="2043-07-31T00:00:00"/>
    <m/>
    <d v="2043-07-31T00:00:00"/>
    <n v="7254"/>
    <s v="B+"/>
    <s v="MBA-2010 , BCom-2006 , Intermediate-2003"/>
    <s v="10.09"/>
    <s v="00.10"/>
    <s v="11.06"/>
    <s v="00049721"/>
    <s v="Regional &amp; Corporate offices"/>
    <s v="296436"/>
    <s v="Lead - Commercials"/>
    <s v="Hazira"/>
    <s v="0031950030"/>
    <s v="HZ-Admin"/>
    <s v="2000HWO"/>
    <s v="20057888"/>
    <s v="Narinder Lamba"/>
    <s v="No"/>
    <s v="jignesh.patel37@amns.in"/>
    <s v="8238007629"/>
    <s v="1025501"/>
    <s v="Manjit Shah"/>
    <s v="Anil Matoo"/>
    <s v="Praveen Kuruvalli"/>
    <s v="Lakshman Iyer"/>
    <n v="0"/>
  </r>
  <r>
    <n v="5663"/>
    <n v="20057925"/>
    <s v="Stuti Agrawal"/>
    <s v="AM/NS India"/>
    <s v="Onroll"/>
    <s v="M-8"/>
    <n v="8"/>
    <m/>
    <s v="JM"/>
    <s v="F"/>
    <s v="Corporate"/>
    <n v="7"/>
    <s v="2099"/>
    <x v="19"/>
    <s v="02.01"/>
    <s v="Raghavan Aravamudhan"/>
    <s v="Dilip Oommen"/>
    <n v="1"/>
    <s v="CEO Office"/>
    <s v="Business Strategy"/>
    <s v="02"/>
    <s v="Analyst - Business Strategy"/>
    <m/>
    <s v="Business Strategy"/>
    <s v="Business Strategy"/>
    <s v=""/>
    <s v="Non Technical Support"/>
    <s v="Sales &amp; Marketing"/>
    <s v="Business Development"/>
    <s v="73103001"/>
    <s v="Business Development"/>
    <s v="Mumbai"/>
    <d v="1998-11-04T00:00:00"/>
    <s v="24.10"/>
    <d v="2023-01-03T00:00:00"/>
    <d v="2056-11-30T00:00:00"/>
    <m/>
    <d v="2056-11-30T00:00:00"/>
    <n v="12125"/>
    <s v="B+"/>
    <s v="BCom-2019 , CA Final-2020 , Intermediate"/>
    <s v="01.06"/>
    <s v="00.08"/>
    <s v="02.03"/>
    <s v="70494715"/>
    <s v="Business Strategy"/>
    <s v="272449"/>
    <s v="Analyst - Business Strategy"/>
    <s v="Corporate"/>
    <s v="0090000022"/>
    <s v="Business Strategy"/>
    <s v="2000CS"/>
    <s v="20055135"/>
    <s v="Raghavan Aravamudhan"/>
    <s v="No"/>
    <s v="stuti.agrawal@amns.in"/>
    <s v="8770315026"/>
    <s v="1027935"/>
    <s v="Dhruv Vyas"/>
    <s v="Anil Matoo"/>
    <s v="Praveen Kuruvalli"/>
    <s v="Dhruv Vyas"/>
    <n v="0"/>
  </r>
  <r>
    <n v="5665"/>
    <n v="20057927"/>
    <s v="Surbhi Kothari"/>
    <s v="AM/NS India"/>
    <s v="Onroll"/>
    <s v="M-7"/>
    <n v="7"/>
    <m/>
    <s v="MM"/>
    <s v="F"/>
    <s v="Hazira"/>
    <n v="1"/>
    <s v="2013"/>
    <x v="0"/>
    <s v="20.01"/>
    <s v="Akiyo Omori"/>
    <s v="Amit Harlalka"/>
    <n v="5"/>
    <s v="Finance &amp; Accounts"/>
    <s v="Finance &amp; Accounts"/>
    <s v="20"/>
    <s v="Lead – Indirect Tax, Litigation"/>
    <m/>
    <s v="Finance &amp; Accounts"/>
    <s v="In Direct - Taxation"/>
    <s v=""/>
    <s v="Non Technical Support"/>
    <s v=""/>
    <s v=""/>
    <s v=""/>
    <s v=""/>
    <s v="Hazira"/>
    <d v="1993-02-18T00:00:00"/>
    <s v="30.07"/>
    <d v="2023-01-05T00:00:00"/>
    <d v="2051-02-28T00:00:00"/>
    <m/>
    <d v="2051-02-28T00:00:00"/>
    <n v="10023"/>
    <s v="AB+"/>
    <s v="CA Final-2016 , BCom-2014 , Intermediate"/>
    <s v="04.09"/>
    <s v="00.08"/>
    <s v="05.06"/>
    <s v="70282653"/>
    <s v="GST"/>
    <s v="283969"/>
    <s v="Lead – Indirect Tax, Litigation"/>
    <s v="Hazira"/>
    <s v="0090000033"/>
    <s v="Corporate Taxation"/>
    <s v="2000HWO"/>
    <s v="20055962"/>
    <s v="Navin Kewalramani"/>
    <s v="No"/>
    <s v="surbhi.kothari@amns.in"/>
    <s v="9414161312"/>
    <s v="1028055"/>
    <s v="Dhruv Vyas"/>
    <s v="Anil Matoo"/>
    <s v="Praveen Kuruvalli"/>
    <s v="Dhruv Vyas"/>
    <n v="0"/>
  </r>
  <r>
    <n v="5666"/>
    <n v="20057928"/>
    <s v="Manu Kapoor"/>
    <s v="AM/NS India"/>
    <s v="Onroll"/>
    <s v="M-2"/>
    <n v="2"/>
    <m/>
    <s v="TM"/>
    <s v="M"/>
    <s v="Corporate"/>
    <n v="7"/>
    <s v="2039"/>
    <x v="2"/>
    <s v="43.01"/>
    <s v="Manu Kapoor"/>
    <s v="Manu Kapoor"/>
    <n v="10"/>
    <s v="Corporate Affairs"/>
    <s v="Corporate Affairs"/>
    <s v="43"/>
    <s v="Head - Corporate Affairs"/>
    <m/>
    <s v="Corporate Affairs"/>
    <s v=""/>
    <s v=""/>
    <s v="Non Technical Support"/>
    <s v="Corporate Relations"/>
    <s v="Corporate Affairs"/>
    <s v="74501001"/>
    <s v="Corporate Affairs"/>
    <s v="Delhi"/>
    <d v="1963-12-29T00:00:00"/>
    <s v="59.08"/>
    <d v="2023-01-05T00:00:00"/>
    <d v="2023-12-31T00:00:00"/>
    <m/>
    <d v="2023-12-31T00:00:00"/>
    <n v="102"/>
    <s v="B+"/>
    <s v="MPhil-1987"/>
    <s v="10.08"/>
    <s v="00.08"/>
    <s v="11.04"/>
    <s v="70494938"/>
    <s v="Corporate Affairs"/>
    <s v="296988"/>
    <s v="Head Corporate Affairs"/>
    <s v="Confidential Payroll"/>
    <s v="0090000021"/>
    <s v="Corporate Affairs"/>
    <s v="2000CS"/>
    <s v="20055068"/>
    <s v="Dilip Oommen"/>
    <s v="No"/>
    <s v="manu.kapoor@amns.in"/>
    <s v="8826244477"/>
    <s v="1028171"/>
    <s v="Dhruv Vyas"/>
    <s v="Anil Matoo"/>
    <s v="Praveen Kuruvalli"/>
    <s v="Dhruv Vyas"/>
    <n v="0"/>
  </r>
  <r>
    <n v="5670"/>
    <n v="20057933"/>
    <s v="Akiyo Omori"/>
    <s v="AM/NS India"/>
    <s v="PDA"/>
    <s v="PDA"/>
    <n v="2"/>
    <m/>
    <s v="TM"/>
    <s v="F"/>
    <s v="Corporate"/>
    <n v="7"/>
    <s v="2013"/>
    <x v="0"/>
    <s v="20.01"/>
    <s v="Amit Harlalka"/>
    <s v="Amit Harlalka"/>
    <n v="5"/>
    <s v="Finance &amp; Accounts"/>
    <s v="Finance &amp; Accounts"/>
    <s v="20"/>
    <s v="Deputy Director Finance"/>
    <m/>
    <s v=""/>
    <s v=""/>
    <s v=""/>
    <s v="Non Technical Support"/>
    <s v=""/>
    <s v=""/>
    <s v="70494642"/>
    <s v="Deputy Director"/>
    <s v="Mumbai"/>
    <d v="1981-12-03T00:00:00"/>
    <s v="41.09"/>
    <d v="2023-01-01T00:00:00"/>
    <d v="2039-12-31T00:00:00"/>
    <m/>
    <d v="2039-12-31T00:00:00"/>
    <n v="5946"/>
    <s v=""/>
    <s v=""/>
    <s v=""/>
    <s v="00.08"/>
    <s v="00.08"/>
    <s v="70494654"/>
    <s v="Finance"/>
    <s v="70494648"/>
    <s v="Deputy Director Finance"/>
    <s v="Non-payroll-relevant"/>
    <s v="0090000013"/>
    <s v="Director-Fin-India"/>
    <s v="2000CS"/>
    <s v="20055088"/>
    <s v="Amit Harlalka"/>
    <s v="No"/>
    <s v="akiyo.omori@amns.in"/>
    <s v="8433957551"/>
    <s v="1028248"/>
    <s v="Dhruv Vyas"/>
    <s v="Anil Matoo"/>
    <s v="Praveen Kuruvalli"/>
    <s v="Dhruv Vyas"/>
    <n v="0"/>
  </r>
  <r>
    <n v="5677"/>
    <n v="20057941"/>
    <s v="Kruti Shah"/>
    <s v="AM/NS India"/>
    <s v="Onroll"/>
    <s v="M-9"/>
    <n v="9"/>
    <m/>
    <s v="JM"/>
    <s v="F"/>
    <s v="Hazira"/>
    <n v="1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2"/>
    <s v="Human Resources Operation"/>
    <s v="Hazira"/>
    <d v="1992-08-24T00:00:00"/>
    <s v="31.00"/>
    <d v="2023-01-09T00:00:00"/>
    <d v="2050-08-31T00:00:00"/>
    <m/>
    <d v="2050-08-31T00:00:00"/>
    <n v="9842"/>
    <s v="B+"/>
    <s v="MHRM-2016 , BBA-2014 , Intermediate-2010"/>
    <s v="06.07"/>
    <s v="00.08"/>
    <s v="07.03"/>
    <s v="00050209"/>
    <s v="Human Resources"/>
    <s v="297052"/>
    <s v="Lead - Human Resources"/>
    <s v="Hazira"/>
    <s v="0031950061"/>
    <s v="HZ-Human Resource"/>
    <s v="2000HWO"/>
    <s v="20039780"/>
    <s v="Srikanya Thakur"/>
    <s v="No"/>
    <s v="kruti.shah@amns.in"/>
    <s v="7486035466"/>
    <s v="1028345"/>
    <s v="Dhruv Vyas"/>
    <s v="Anil Matoo"/>
    <s v="Praveen Kuruvalli"/>
    <s v="Dhruv Vyas"/>
    <n v="0"/>
  </r>
  <r>
    <n v="5681"/>
    <n v="20057945"/>
    <s v="Ramakrishnan Govinthasamy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s v="Head-Technical Mktg. &amp; Application Engg."/>
    <s v="Non Technical Support"/>
    <s v="Sales &amp; Marketing"/>
    <s v="Marketing"/>
    <s v="73102001"/>
    <s v="Marketing"/>
    <s v="Hazira"/>
    <d v="1992-05-27T00:00:00"/>
    <s v="31.03"/>
    <d v="2023-01-09T00:00:00"/>
    <d v="2050-05-31T00:00:00"/>
    <m/>
    <d v="2050-05-31T00:00:00"/>
    <n v="9750"/>
    <s v="B+"/>
    <s v="Intermediate-2009"/>
    <s v="04.05"/>
    <s v="00.08"/>
    <s v="05.01"/>
    <s v="00052460"/>
    <s v="Auto &amp; YG"/>
    <s v="297165"/>
    <s v="Resident Engineer"/>
    <s v="Hazira"/>
    <s v="0031950057"/>
    <s v="HZ-HRC - Marketing"/>
    <s v="2000HWO"/>
    <s v="20056155"/>
    <s v="Kondapalli Venkateswarlu"/>
    <s v="No"/>
    <s v="ramakrishnan.m@amns.in"/>
    <s v="9901352718"/>
    <s v="1028485"/>
    <s v="Dhruv Vyas"/>
    <s v="Anil Matoo"/>
    <s v="Praveen Kuruvalli"/>
    <s v="Dhruv Vyas"/>
    <n v="0"/>
  </r>
  <r>
    <n v="5682"/>
    <n v="20057946"/>
    <s v="Suraj Pachorkar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OEM - Other West"/>
    <m/>
    <s v="Other West"/>
    <s v="OEM"/>
    <s v=""/>
    <s v="Non Technical Support"/>
    <s v="R&amp; D and QA/QC"/>
    <s v="R&amp;D"/>
    <s v="72103029"/>
    <s v="R&amp;D"/>
    <s v="Hazira"/>
    <d v="1994-07-01T00:00:00"/>
    <s v="29.02"/>
    <d v="2023-01-09T00:00:00"/>
    <d v="2052-06-30T00:00:00"/>
    <m/>
    <d v="2052-06-30T00:00:00"/>
    <n v="10511"/>
    <s v="O+"/>
    <s v="MBA-2019"/>
    <s v="03.06"/>
    <s v="00.08"/>
    <s v="04.01"/>
    <s v="70495309"/>
    <s v="Sales West Zone"/>
    <s v="256057"/>
    <s v="KAM - Automotive Sales"/>
    <s v="Hazira"/>
    <s v="0031950057"/>
    <s v="HZ-HRC - Marketing"/>
    <s v="2000HWO"/>
    <s v="20047683"/>
    <s v="Virat Vij"/>
    <s v="No"/>
    <s v="suraj.pachorkar@amns.in"/>
    <s v="9637307294"/>
    <s v="1028498"/>
    <s v="Dhruv Vyas"/>
    <s v="Anil Matoo"/>
    <s v="Praveen Kuruvalli"/>
    <s v="Dhruv Vyas"/>
    <n v="0"/>
  </r>
  <r>
    <n v="5684"/>
    <n v="20057948"/>
    <s v="Akshit Oswal"/>
    <s v="AM/NS India"/>
    <s v="Onroll"/>
    <s v="M-9"/>
    <n v="9"/>
    <m/>
    <s v="JM"/>
    <s v="M"/>
    <s v="Corporate"/>
    <n v="7"/>
    <s v="2060"/>
    <x v="24"/>
    <s v="39.01"/>
    <s v="Sanjay Sharma"/>
    <s v="Sanjay Sharma"/>
    <n v="8"/>
    <s v="Business Development"/>
    <s v="Business Development"/>
    <s v="39"/>
    <s v="Lead Business Development – M&amp;A"/>
    <m/>
    <s v="Business Development"/>
    <s v=""/>
    <s v=""/>
    <s v="Non Technical Support"/>
    <s v="Sales &amp; Marketing"/>
    <s v="Business Development"/>
    <s v="73103001"/>
    <s v="Business Development"/>
    <s v="Mumbai"/>
    <d v="1999-09-27T00:00:00"/>
    <s v="23.11"/>
    <d v="2023-01-11T00:00:00"/>
    <d v="2057-09-30T00:00:00"/>
    <m/>
    <d v="2057-09-30T00:00:00"/>
    <n v="12429"/>
    <s v="B+"/>
    <s v="CA Final-2021 , Intermediate-2017"/>
    <s v="01.02"/>
    <s v="00.08"/>
    <s v="01.10"/>
    <s v="00050003"/>
    <s v="Business Development - M&amp;A"/>
    <s v="297438"/>
    <s v="Lead Business Development – M&amp;A"/>
    <s v="Corporate"/>
    <s v="0090000032"/>
    <s v="Business Devpelopmen"/>
    <s v="2000CS"/>
    <s v="20055804"/>
    <s v="Ankushkumar Shah"/>
    <s v="No"/>
    <s v="akshit.oswal@amns.in"/>
    <s v="9689043909"/>
    <s v="1028835"/>
    <s v="Dhruv Vyas"/>
    <s v="Anil Matoo"/>
    <s v="Praveen Kuruvalli"/>
    <s v="Dhruv Vyas"/>
    <n v="0"/>
  </r>
  <r>
    <n v="5696"/>
    <n v="20057961"/>
    <s v="Udaibir Singh"/>
    <s v="AM/NS India"/>
    <s v="Onroll"/>
    <s v="M-6"/>
    <n v="6"/>
    <m/>
    <s v="MM"/>
    <s v="M"/>
    <s v="Corporate"/>
    <n v="7"/>
    <s v="2096"/>
    <x v="14"/>
    <s v="36.02"/>
    <s v="Hrishikesh Kamat"/>
    <s v="Hrishikesh Kamat"/>
    <n v="7"/>
    <s v="Procurement"/>
    <s v="Raw Materials"/>
    <s v="36"/>
    <s v="Lead – Power Procurement"/>
    <m/>
    <s v="Procurement"/>
    <s v="Power &amp; Gas"/>
    <s v="Power &amp; Gas"/>
    <s v="Tech. Support Services"/>
    <s v="Commercial"/>
    <s v="Procurement"/>
    <s v="73803001"/>
    <s v="Procurement"/>
    <s v="Mumbai"/>
    <d v="1987-01-15T00:00:00"/>
    <s v="36.08"/>
    <d v="2023-01-16T00:00:00"/>
    <d v="2045-01-31T00:00:00"/>
    <m/>
    <d v="2045-01-31T00:00:00"/>
    <n v="7804"/>
    <s v="AB+"/>
    <s v="MSc-2014 , BTech-2009 , Intermediate-200"/>
    <s v="13.06"/>
    <s v="00.08"/>
    <s v="14.02"/>
    <s v="00049516"/>
    <s v="Power &amp; Gas"/>
    <s v="298089"/>
    <s v="Lead – Power Procurement"/>
    <s v="Corporate"/>
    <s v="0031950048"/>
    <s v=""/>
    <s v="2000CS"/>
    <s v="20004612"/>
    <s v="Ramesh Chabhadiya"/>
    <s v="No"/>
    <s v="udaibir.singh@amns.in"/>
    <s v="9987513900"/>
    <s v="1029952"/>
    <s v="Dhruv Vyas"/>
    <s v="Anil Matoo"/>
    <s v="Praveen Kuruvalli"/>
    <s v="Dhruv Vyas"/>
    <n v="0"/>
  </r>
  <r>
    <n v="5700"/>
    <n v="20057965"/>
    <s v="Devarshi Naik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anteen Administration"/>
    <m/>
    <s v="Administration"/>
    <s v=""/>
    <s v=""/>
    <s v="Non Technical Support"/>
    <s v="Administration"/>
    <s v="Administration"/>
    <s v="74101001"/>
    <s v="Administration"/>
    <s v="Hazira"/>
    <d v="1989-03-08T00:00:00"/>
    <s v="34.06"/>
    <d v="2023-01-23T00:00:00"/>
    <d v="2047-03-31T00:00:00"/>
    <m/>
    <d v="2047-03-31T00:00:00"/>
    <n v="8593"/>
    <s v="A+"/>
    <s v="BBA-2010 , Intermediate-2006 , Intermedi"/>
    <s v="02.00"/>
    <s v="00.07"/>
    <s v="02.07"/>
    <s v="00049777"/>
    <s v="Plant Administration"/>
    <s v="298229"/>
    <s v="Lead - Canteen Administration"/>
    <s v="Hazira"/>
    <s v="0090000018"/>
    <s v=""/>
    <s v="2000HWO"/>
    <s v="20057892"/>
    <s v="Taj Baby"/>
    <s v="No"/>
    <s v="devarshi.naik@amns.in"/>
    <s v="8469791912"/>
    <s v="1030194"/>
    <s v="Manjit Shah"/>
    <s v="Anil Matoo"/>
    <s v="Praveen Kuruvalli"/>
    <s v="Lakshman Iyer"/>
    <n v="0"/>
  </r>
  <r>
    <n v="5702"/>
    <n v="20057967"/>
    <s v="Anoop Cherian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– OEM Sales"/>
    <m/>
    <s v="South"/>
    <s v="Auto"/>
    <s v="RHTOB &amp; Ladle Managementc"/>
    <s v="Non Technical Support"/>
    <s v="Sales &amp; Marketing"/>
    <s v="Sales"/>
    <s v="73104004"/>
    <s v="OEM Sales"/>
    <s v="Chennai"/>
    <d v="1984-09-05T00:00:00"/>
    <s v="39.00"/>
    <d v="2023-01-23T00:00:00"/>
    <d v="2042-09-30T00:00:00"/>
    <m/>
    <d v="2042-09-30T00:00:00"/>
    <n v="6950"/>
    <s v="AB+"/>
    <s v="BTech-2006 , Intermediate-2000"/>
    <s v="13.05"/>
    <s v="00.07"/>
    <s v="14.01"/>
    <s v="00052468"/>
    <s v="Automotive Sales - Chennai"/>
    <s v="298232"/>
    <s v="KAM – Automotive Sales"/>
    <s v="Service Center"/>
    <s v="0031950057"/>
    <s v=""/>
    <s v="2000CS"/>
    <s v="20047658"/>
    <s v="Balamurugan Gurusamy"/>
    <s v="No"/>
    <s v="anoop.cherian@amns.in"/>
    <s v="9790861571"/>
    <s v="1030230"/>
    <s v="Dhruv Vyas"/>
    <s v="Anil Matoo"/>
    <s v="Praveen Kuruvalli"/>
    <s v="Dhruv Vyas"/>
    <n v="0"/>
  </r>
  <r>
    <n v="5711"/>
    <n v="20057977"/>
    <s v="Utkarsh Garhwal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– Coated Products"/>
    <m/>
    <s v="Sales Steering &amp; BD"/>
    <s v="Coated Marketing"/>
    <s v="National Sales"/>
    <s v="Non Technical Support"/>
    <s v="Sales &amp; Marketing"/>
    <s v="Sales &amp; Marketing"/>
    <s v="73101001"/>
    <s v="Sales &amp; Marketing"/>
    <s v="Pune"/>
    <d v="1992-12-24T00:00:00"/>
    <s v="30.08"/>
    <d v="2023-01-30T00:00:00"/>
    <d v="2050-12-31T00:00:00"/>
    <m/>
    <d v="2050-12-31T00:00:00"/>
    <n v="9964"/>
    <s v="O+"/>
    <s v="Intermediate-2015 , Intermediate-2010 ,"/>
    <s v="01.02"/>
    <s v="00.07"/>
    <s v="01.09"/>
    <s v="70492562"/>
    <s v="Domestic Sales"/>
    <s v="273359"/>
    <s v="Lead – Coated Marketing"/>
    <s v="Hazira"/>
    <s v="0080000001"/>
    <s v=""/>
    <s v="2000HWO"/>
    <s v="20036409"/>
    <s v="Ranjith Nambiar"/>
    <s v="No"/>
    <s v="utkarsh.garhwal@amns.in"/>
    <s v="8999703677"/>
    <s v="1032433"/>
    <s v="Dhruv Vyas"/>
    <s v="Anil Matoo"/>
    <s v="Praveen Kuruvalli"/>
    <s v="Dhruv Vyas"/>
    <n v="0"/>
  </r>
  <r>
    <n v="5720"/>
    <n v="20057987"/>
    <s v="Ravi Kumar Gupta"/>
    <s v="AM/NS India"/>
    <s v="Onroll"/>
    <s v="M-8"/>
    <n v="8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Officer – Accounts Payable"/>
    <m/>
    <s v="Finance &amp; Accounts"/>
    <s v="Accounts Payable"/>
    <s v="Export, Domestic &amp; Banking"/>
    <s v="Non Technical Support"/>
    <s v=""/>
    <s v=""/>
    <s v=""/>
    <s v=""/>
    <s v="Paradeep"/>
    <d v="1984-03-19T00:00:00"/>
    <s v="39.06"/>
    <d v="2023-02-13T00:00:00"/>
    <d v="2042-03-31T00:00:00"/>
    <m/>
    <d v="2042-03-31T00:00:00"/>
    <n v="6767"/>
    <s v="B+"/>
    <s v="MBA-2008 , BCom-2006 , Intermediate-2001"/>
    <s v="14.05"/>
    <s v="00.07"/>
    <s v="15.00"/>
    <s v="72150243"/>
    <s v="Accounts Payable"/>
    <s v="70494028"/>
    <s v="Officer – Accounts Payable"/>
    <s v="Odisha"/>
    <s v="0031950045"/>
    <s v=""/>
    <s v="2000STORIS"/>
    <s v="20001076"/>
    <s v="Bhavesh Modi"/>
    <s v="No"/>
    <s v="ravi.gupta@amns.in"/>
    <s v="7077770046"/>
    <s v="1033376"/>
    <s v="Sunila Das"/>
    <s v="Anil Matoo"/>
    <s v="Praveen Kuruvalli"/>
    <s v="Sunila Das"/>
    <n v="0"/>
  </r>
  <r>
    <n v="5723"/>
    <n v="20057990"/>
    <s v="Pankajakshi Harinaidu"/>
    <s v="AM/NS India"/>
    <s v="Onroll"/>
    <s v="M-8"/>
    <n v="8"/>
    <m/>
    <s v="JM"/>
    <s v="F"/>
    <s v="Service Centers"/>
    <n v="6"/>
    <s v="2015"/>
    <x v="1"/>
    <s v="22.06"/>
    <s v="Praveen Kuruvalli"/>
    <s v="Ashutosh Telang"/>
    <n v="6"/>
    <s v="HR &amp; Administration"/>
    <s v="Human Resources"/>
    <s v="22"/>
    <s v="Lead - Human Resources"/>
    <m/>
    <s v="Human Resources"/>
    <s v=""/>
    <s v=""/>
    <s v="Non Technical Support"/>
    <s v=""/>
    <s v=""/>
    <s v=""/>
    <s v=""/>
    <s v="Chennai"/>
    <d v="1974-03-27T00:00:00"/>
    <s v="49.05"/>
    <d v="2023-02-03T00:00:00"/>
    <d v="2032-03-31T00:00:00"/>
    <m/>
    <d v="2032-03-31T00:00:00"/>
    <n v="3115"/>
    <s v="B+"/>
    <s v="MBA-1996"/>
    <s v="01.06"/>
    <s v="00.07"/>
    <s v="02.01"/>
    <s v="00044376"/>
    <s v="Service Center &amp; Hypermart HR"/>
    <s v="259468"/>
    <s v="Lead - Human Resources"/>
    <s v="Service Center"/>
    <s v="0040030019"/>
    <s v="SC-Chennai-Op1-HR-Ad"/>
    <s v="2000SPRJ"/>
    <s v="20057135"/>
    <s v="RAHUL RAJ"/>
    <s v="No"/>
    <s v="pankajakshi.h@amns.in"/>
    <s v="8925821529"/>
    <s v="1033636"/>
    <s v="Dhruv Vyas"/>
    <s v="Anil Matoo"/>
    <s v="Praveen Kuruvalli"/>
    <s v="Dhruv Vyas"/>
    <n v="0"/>
  </r>
  <r>
    <n v="5725"/>
    <n v="20057992"/>
    <s v="Tanmay Deshpande"/>
    <s v="AM/NS India"/>
    <s v="Onroll"/>
    <s v="M-7"/>
    <n v="7"/>
    <m/>
    <s v="MM"/>
    <s v="M"/>
    <s v="Corporate"/>
    <n v="7"/>
    <s v="2060"/>
    <x v="24"/>
    <s v="39.01"/>
    <s v="Sanjay Sharma"/>
    <s v="Sanjay Sharma"/>
    <n v="8"/>
    <s v="Business Development"/>
    <s v="Business Development"/>
    <s v="39"/>
    <s v="Lead Business Development – M&amp;A"/>
    <m/>
    <s v="Business Development"/>
    <s v=""/>
    <s v=""/>
    <s v="Non Technical Support"/>
    <s v="Sales &amp; Marketing"/>
    <s v="Business Development"/>
    <s v="73103001"/>
    <s v="Business Development"/>
    <s v="Mumbai"/>
    <d v="1992-04-14T00:00:00"/>
    <s v="31.05"/>
    <d v="2023-02-15T00:00:00"/>
    <d v="2050-04-30T00:00:00"/>
    <m/>
    <d v="2050-04-30T00:00:00"/>
    <n v="9719"/>
    <s v="O+"/>
    <s v="PG Diploma-2018 , BTech-2015"/>
    <s v="04.08"/>
    <s v="00.07"/>
    <s v="05.03"/>
    <s v="00049729"/>
    <s v="Business Development - M&amp;A"/>
    <s v="300479"/>
    <s v="Lead Business Development – M&amp;A"/>
    <s v="Corporate"/>
    <s v="0090000032"/>
    <s v=""/>
    <s v="2000CS"/>
    <s v="20055182"/>
    <s v="Neha Soni"/>
    <s v="No"/>
    <s v="tanmay.deshpande@amns.in"/>
    <s v="8097520307"/>
    <s v="1033967"/>
    <s v="Dhruv Vyas"/>
    <s v="Anil Matoo"/>
    <s v="Praveen Kuruvalli"/>
    <s v="Dhruv Vyas"/>
    <n v="0"/>
  </r>
  <r>
    <n v="5731"/>
    <n v="20057999"/>
    <s v="Aarti Tejnani"/>
    <s v="AM/NS India"/>
    <s v="Onroll"/>
    <s v="M-9"/>
    <n v="9"/>
    <m/>
    <s v="JM"/>
    <s v="F"/>
    <s v="Corporate"/>
    <n v="7"/>
    <s v="2015"/>
    <x v="1"/>
    <s v="22.06"/>
    <s v="Anil Matoo"/>
    <s v="Ashutosh Telang"/>
    <n v="6"/>
    <s v="HR &amp; Administration"/>
    <s v="Human Resources"/>
    <s v="22"/>
    <s v="Executive Assistant"/>
    <m/>
    <s v="Human Resources"/>
    <s v=""/>
    <s v=""/>
    <s v="Non Technical Support"/>
    <s v="Human Resources Management"/>
    <s v="Human Resources Management"/>
    <s v="73501001"/>
    <s v="Human Resources"/>
    <s v="Mumbai"/>
    <d v="1988-11-22T00:00:00"/>
    <s v="34.09"/>
    <d v="2023-02-20T00:00:00"/>
    <d v="2046-11-30T00:00:00"/>
    <m/>
    <d v="2046-11-30T00:00:00"/>
    <n v="8472"/>
    <s v="O-"/>
    <s v="MBA-2019"/>
    <s v="01.04"/>
    <s v="00.06"/>
    <s v="01.11"/>
    <s v="00049042"/>
    <s v="HR &amp; Administration"/>
    <s v="300715"/>
    <s v="Executive Assistant"/>
    <s v="Corporate"/>
    <s v="0090000018"/>
    <s v=""/>
    <s v="2000CS"/>
    <s v="20057637"/>
    <s v="Ashutosh Telang"/>
    <s v="No"/>
    <s v="aarti.tejnani@amns.in"/>
    <s v="9004659639"/>
    <s v="1034349"/>
    <s v="Dhruv Vyas"/>
    <s v="Anil Matoo"/>
    <s v="Praveen Kuruvalli"/>
    <s v="Dhruv Vyas"/>
    <n v="0"/>
  </r>
  <r>
    <n v="5735"/>
    <n v="20058004"/>
    <s v="Kiran Kumar Athri Dattu Akondi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Sec Incharge - Procurement- Pellet Plant"/>
    <m/>
    <s v="Procurement"/>
    <s v="Purchase"/>
    <s v="Purchase"/>
    <s v="Non Technical Support"/>
    <s v=""/>
    <s v=""/>
    <s v=""/>
    <s v=""/>
    <s v="Vizag"/>
    <d v="1992-11-19T00:00:00"/>
    <s v="30.09"/>
    <d v="2023-03-04T00:00:00"/>
    <d v="2050-11-30T00:00:00"/>
    <m/>
    <d v="2050-11-30T00:00:00"/>
    <n v="9933"/>
    <s v="B+"/>
    <s v="Diploma-2011 , Intermediate-2008"/>
    <s v="11.07"/>
    <s v="00.06"/>
    <s v="12.01"/>
    <s v="70301353"/>
    <s v="Procurement - Vizag &amp; Chitrakonda"/>
    <s v="302201"/>
    <s v="Sec Incharge - Procurement- Pellet Plant"/>
    <s v="Vizag"/>
    <s v="0028020011"/>
    <s v=""/>
    <s v="2000VIZOPS"/>
    <s v="20000200"/>
    <s v="A Venkateswara Rao"/>
    <s v="No"/>
    <s v="kiran.akondi@amns.in"/>
    <s v="7207778393"/>
    <s v="1035963"/>
    <s v="DS Varma"/>
    <s v="Anil Matoo"/>
    <s v="Praveen Kuruvalli"/>
    <s v="Dhruv Vyas"/>
    <n v="0"/>
  </r>
  <r>
    <n v="5746"/>
    <n v="20058016"/>
    <s v="Krutikkumar Patel"/>
    <s v="AM/NS India"/>
    <s v="Onroll"/>
    <s v="M-7"/>
    <n v="7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SMP 1 &amp; 2, HSM, CSP, HBI, MH"/>
    <s v="Non Technical Support"/>
    <s v=""/>
    <s v=""/>
    <s v=""/>
    <s v=""/>
    <s v="Hazira"/>
    <d v="1991-09-04T00:00:00"/>
    <s v="32.00"/>
    <d v="2023-03-10T00:00:00"/>
    <d v="2049-09-30T00:00:00"/>
    <m/>
    <d v="2049-09-30T00:00:00"/>
    <n v="9507"/>
    <s v="O-"/>
    <s v="BE-2013 , Intermediate-2009 , Intermedia"/>
    <s v="09.08"/>
    <s v="00.06"/>
    <s v="10.01"/>
    <s v="70495670"/>
    <s v="Contracts"/>
    <s v="70259236"/>
    <s v="Lead - Contracts"/>
    <s v="Hazira"/>
    <s v="0031950047"/>
    <s v="HZ-Contracts"/>
    <s v="2000HWO"/>
    <s v="20000795"/>
    <s v="Pankaj Chaturvedi"/>
    <s v="No"/>
    <s v="krutik.patel@amns.in"/>
    <s v="7043217731"/>
    <s v="1036992"/>
    <s v="Dhruv Vyas"/>
    <s v="Anil Matoo"/>
    <s v="Praveen Kuruvalli"/>
    <s v="Dhruv Vyas"/>
    <n v="0"/>
  </r>
  <r>
    <n v="5747"/>
    <n v="20058017"/>
    <s v="Ajaykumar Mishra"/>
    <s v="AM/NS India"/>
    <s v="Onroll"/>
    <s v="M-9"/>
    <n v="9"/>
    <m/>
    <s v="JM"/>
    <s v="M"/>
    <s v="Odisha"/>
    <n v="2"/>
    <s v="2031"/>
    <x v="10"/>
    <s v="14.01"/>
    <s v="Ranjan Dhar"/>
    <s v="Alain Legrix De La Salle"/>
    <n v="3"/>
    <s v="Sales &amp; Marketing"/>
    <s v="Sales &amp; Marketing"/>
    <s v="14"/>
    <s v="Lead - Iron Ore Sales, Barbil"/>
    <m/>
    <s v="Iron Ore &amp; Infra"/>
    <s v="Iron Ore &amp; Infra"/>
    <s v="Power &amp; Gas"/>
    <s v="Non Technical Support"/>
    <s v="Commercial"/>
    <s v="Procurement"/>
    <s v="73803001"/>
    <s v="Procurement"/>
    <s v="Bhubaneswar"/>
    <d v="1995-07-03T00:00:00"/>
    <s v="28.02"/>
    <d v="2023-03-13T00:00:00"/>
    <d v="2053-07-31T00:00:00"/>
    <m/>
    <d v="2053-07-31T00:00:00"/>
    <n v="10907"/>
    <s v="B+"/>
    <s v="BCom-2019 , Intermediate-2014 , Intermed"/>
    <s v="05.05"/>
    <s v="00.06"/>
    <s v="05.11"/>
    <s v="00044347"/>
    <s v="Sales - Iron Ore"/>
    <s v="300889"/>
    <s v="Lead - Iron Ore Sales, Barbil"/>
    <s v="Odisha"/>
    <s v="0031950048"/>
    <s v=""/>
    <s v="2000STORIS"/>
    <s v="20003630"/>
    <s v="Mukul Manchanda"/>
    <s v="No"/>
    <s v="ajay.mishra1@amns.in"/>
    <s v="8329157473"/>
    <s v="1037018"/>
    <s v="Sunila Das"/>
    <s v="Anil Matoo"/>
    <s v="Praveen Kuruvalli"/>
    <s v="Sunila Das"/>
    <n v="0"/>
  </r>
  <r>
    <n v="5749"/>
    <n v="20058019"/>
    <s v="Tanmaya Mishra"/>
    <s v="AM/NS India"/>
    <s v="Onroll"/>
    <s v="M-7"/>
    <n v="7"/>
    <m/>
    <s v="MM"/>
    <s v="M"/>
    <s v="Odisha"/>
    <n v="2"/>
    <s v="2031"/>
    <x v="10"/>
    <s v="14.01"/>
    <s v="Ranjan Dhar"/>
    <s v="Alain Legrix De La Salle"/>
    <n v="3"/>
    <s v="Sales &amp; Marketing"/>
    <s v="Sales &amp; Marketing"/>
    <s v="14"/>
    <s v="Lead - Iron Ore Sales"/>
    <m/>
    <s v="Iron Ore &amp; Infra"/>
    <s v="Iron Ore &amp; Infra"/>
    <s v="Power &amp; Gas"/>
    <s v="Non Technical Support"/>
    <s v="Commercial"/>
    <s v="Procurement"/>
    <s v="73803001"/>
    <s v="Procurement"/>
    <s v="Bhubaneswar"/>
    <d v="1985-06-06T00:00:00"/>
    <s v="38.03"/>
    <d v="2023-03-15T00:00:00"/>
    <d v="2043-06-30T00:00:00"/>
    <m/>
    <d v="2043-06-30T00:00:00"/>
    <n v="7223"/>
    <s v="B+"/>
    <s v="MBA-2016 , PG Diploma-2008 , BSc-2006 ,"/>
    <s v="14.07"/>
    <s v="00.06"/>
    <s v="15.01"/>
    <s v="00044347"/>
    <s v="Sales - Iron Ore"/>
    <s v="300890"/>
    <s v="Lead - Iron Ore Sales"/>
    <s v="Odisha"/>
    <s v="0031950048"/>
    <s v=""/>
    <s v="2000STORIS"/>
    <s v="20003630"/>
    <s v="Mukul Manchanda"/>
    <s v="No"/>
    <s v="tanmaya.mishra@amns.in"/>
    <s v="7077770059"/>
    <s v="1040275"/>
    <s v="Sunila Das"/>
    <s v="Anil Matoo"/>
    <s v="Praveen Kuruvalli"/>
    <s v="Sunila Das"/>
    <n v="0"/>
  </r>
  <r>
    <n v="5750"/>
    <n v="20058020"/>
    <s v="Chapa Srinivasa Rao"/>
    <s v="AM/NS India"/>
    <s v="Onroll"/>
    <s v="M-8"/>
    <n v="8"/>
    <m/>
    <s v="JM"/>
    <s v="M"/>
    <s v="Vizag"/>
    <n v="3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1"/>
    <s v="Human Resources"/>
    <s v="Kirandul"/>
    <d v="1973-06-01T00:00:00"/>
    <s v="50.03"/>
    <d v="2023-03-17T00:00:00"/>
    <d v="2031-05-31T00:00:00"/>
    <m/>
    <d v="2031-05-31T00:00:00"/>
    <n v="2810"/>
    <s v="A+"/>
    <s v="Intermediate-1999"/>
    <s v="26.02"/>
    <s v="00.06"/>
    <s v="26.08"/>
    <s v="72150111"/>
    <s v="Vizag HR Operations &amp; Administration"/>
    <s v="301679"/>
    <s v="OJT Confirmation"/>
    <s v="Vizag"/>
    <s v="0028030019"/>
    <s v="VIZ-Personnel &amp; Admi"/>
    <s v="2000VIZOPS"/>
    <s v="20000519"/>
    <s v="Dandu Srinivas Varma"/>
    <s v="No"/>
    <s v="chapa.rao@amns.in"/>
    <s v="07901367624"/>
    <s v="1000532"/>
    <s v="Dhruv Vyas"/>
    <s v="Anil Matoo"/>
    <s v="Praveen Kuruvalli"/>
    <s v="Dhruv Vyas"/>
    <n v="0"/>
  </r>
  <r>
    <n v="5756"/>
    <n v="20058027"/>
    <s v="Rishi Mishra"/>
    <s v="AM/NS India"/>
    <s v="Onroll"/>
    <s v="M-7"/>
    <n v="7"/>
    <m/>
    <s v="MM"/>
    <s v="M"/>
    <s v="Hazira"/>
    <n v="1"/>
    <s v="2099"/>
    <x v="19"/>
    <s v="02.01"/>
    <s v="Raghavan Aravamudhan"/>
    <s v="Dilip Oommen"/>
    <n v="1"/>
    <s v="CEO Office"/>
    <s v="Business Strategy"/>
    <s v="02"/>
    <s v="Lead - PMO (Analyst)"/>
    <m/>
    <s v="Business Strategy"/>
    <s v="Business Strategy"/>
    <s v=""/>
    <s v="Non Technical Support"/>
    <s v="Operations"/>
    <s v="Operations"/>
    <s v="72103001"/>
    <s v="Operations"/>
    <s v="Hazira"/>
    <d v="1989-07-02T00:00:00"/>
    <s v="34.02"/>
    <d v="2023-03-20T00:00:00"/>
    <d v="2047-07-31T00:00:00"/>
    <m/>
    <d v="2047-07-31T00:00:00"/>
    <n v="8715"/>
    <s v="A+"/>
    <s v="BTech-2011"/>
    <s v="09.02"/>
    <s v="00.06"/>
    <s v="09.08"/>
    <s v="00046538"/>
    <s v="Project Monitoring"/>
    <s v="303698"/>
    <s v="Lead - PMO (Analyst)"/>
    <s v="Hazira"/>
    <s v="0090000022"/>
    <s v=""/>
    <s v="2000HWO"/>
    <s v="20049281"/>
    <s v="Raveena Dhoot"/>
    <s v="No"/>
    <s v="rishi.mishra@amns.in"/>
    <s v="7033095125"/>
    <s v="1040561"/>
    <s v="Dhruv Vyas"/>
    <s v="Anil Matoo"/>
    <s v="Praveen Kuruvalli"/>
    <s v="Dhruv Vyas"/>
    <n v="0"/>
  </r>
  <r>
    <n v="5757"/>
    <n v="20058028"/>
    <s v="Charu Misra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, Mumbai"/>
    <m/>
    <s v="Legal"/>
    <s v=""/>
    <s v=""/>
    <s v="Non Technical Support"/>
    <s v="Legal"/>
    <s v="Legal"/>
    <s v="73201001"/>
    <s v="Legal"/>
    <s v="Mumbai"/>
    <d v="1990-03-11T00:00:00"/>
    <s v="33.06"/>
    <d v="2023-03-20T00:00:00"/>
    <d v="2048-03-31T00:00:00"/>
    <m/>
    <d v="2048-03-31T00:00:00"/>
    <n v="8959"/>
    <s v="O+"/>
    <s v="LLB-2014"/>
    <s v="05.02"/>
    <s v="00.06"/>
    <s v="05.07"/>
    <s v="00050735"/>
    <s v="Legal"/>
    <s v="70494780"/>
    <s v="Legal Counsel"/>
    <s v="Corporate"/>
    <s v="0090000019"/>
    <s v=""/>
    <s v="2000CS"/>
    <s v="20055235"/>
    <s v="P Ashok Kumar"/>
    <s v="No"/>
    <s v="charu.misra@amns.in"/>
    <s v="7718807779"/>
    <s v="1040797"/>
    <s v="Dhruv Vyas"/>
    <s v="Anil Matoo"/>
    <s v="Praveen Kuruvalli"/>
    <s v="Dhruv Vyas"/>
    <n v="0"/>
  </r>
  <r>
    <n v="5759"/>
    <n v="20058031"/>
    <s v="Ananta Subudhi Ray"/>
    <s v="AM/NS Ports Paradip"/>
    <s v="Onroll"/>
    <s v="M-6"/>
    <n v="6"/>
    <m/>
    <s v="MM"/>
    <s v="M"/>
    <s v="Odisha"/>
    <n v="2"/>
    <s v="77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Paradeep"/>
    <d v="1970-05-20T00:00:00"/>
    <s v="53.04"/>
    <d v="2010-08-23T00:00:00"/>
    <d v="2028-05-31T00:00:00"/>
    <m/>
    <d v="2028-05-31T00:00:00"/>
    <n v="1715"/>
    <s v=""/>
    <s v=""/>
    <s v=""/>
    <s v="13.00"/>
    <s v="13.00"/>
    <s v="00051206"/>
    <s v="Commercial"/>
    <s v="304337"/>
    <s v="New Acquisition"/>
    <s v="AMNS PORTS"/>
    <s v="0004315000"/>
    <s v="EBTPL- COMMON"/>
    <s v="7700PARA"/>
    <s v="20055692"/>
    <s v="Rajiv Ranjan"/>
    <s v="No"/>
    <s v="ananta.subudhiray@amns.in"/>
    <s v="7381097586"/>
    <s v="1026657"/>
    <s v="Manjit Shah"/>
    <s v="Anil Matoo"/>
    <n v="0"/>
    <s v="Manjit Shah"/>
    <n v="0"/>
  </r>
  <r>
    <n v="5763"/>
    <n v="20058035"/>
    <s v="Prasanta Kumar Behera"/>
    <s v="AM/NS Ports Paradip"/>
    <s v="Onroll"/>
    <s v="M-6"/>
    <n v="6"/>
    <m/>
    <s v="MM"/>
    <s v="M"/>
    <s v="Odisha"/>
    <n v="2"/>
    <s v="77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Paradeep"/>
    <d v="1982-06-07T00:00:00"/>
    <s v="41.03"/>
    <d v="2012-01-02T00:00:00"/>
    <d v="2040-06-30T00:00:00"/>
    <m/>
    <d v="2040-06-30T00:00:00"/>
    <n v="6128"/>
    <s v=""/>
    <s v=""/>
    <s v=""/>
    <s v="11.08"/>
    <s v="11.08"/>
    <s v="00051207"/>
    <s v="Finance &amp; Accounts - Ports Paradip"/>
    <s v="304341"/>
    <s v="New Acquisition"/>
    <s v="AMNS PORTS"/>
    <s v="0004315000"/>
    <s v="EBTPL- COMMON"/>
    <s v="7704PARA"/>
    <s v="20055088"/>
    <s v="Amit Harlalka"/>
    <s v="No"/>
    <s v="prasanta.behera@amns.in"/>
    <s v="7381097608"/>
    <s v="1025168"/>
    <s v="Manjit Shah"/>
    <s v="Anil Matoo"/>
    <n v="0"/>
    <s v="Manjit Shah"/>
    <n v="0"/>
  </r>
  <r>
    <n v="5778"/>
    <n v="20058050"/>
    <s v="Niranjan Malu"/>
    <s v="AM/NS Ports Paradip"/>
    <s v="Onroll"/>
    <s v="M-10"/>
    <n v="10"/>
    <m/>
    <s v="JM"/>
    <s v="M"/>
    <s v="Odisha"/>
    <n v="2"/>
    <s v="77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Paradeep"/>
    <d v="1983-02-18T00:00:00"/>
    <s v="40.07"/>
    <d v="2018-07-02T00:00:00"/>
    <d v="2041-02-28T00:00:00"/>
    <m/>
    <d v="2041-02-28T00:00:00"/>
    <n v="6371"/>
    <s v=""/>
    <s v=""/>
    <s v=""/>
    <s v="05.02"/>
    <s v="05.02"/>
    <s v="00051207"/>
    <s v="Finance &amp; Accounts - Ports Paradip"/>
    <s v="304356"/>
    <s v="New Acquisition"/>
    <s v="AMNS PORTS"/>
    <s v="0004315000"/>
    <s v="EBTPL- COMMON"/>
    <s v="7704PARA"/>
    <s v="20058035"/>
    <s v="Prasanta Kumar Behera"/>
    <s v="No"/>
    <s v="niranjan.malu@amns.in"/>
    <s v="7381008677"/>
    <s v="1026678"/>
    <s v="Manjit Shah"/>
    <s v="Anil Matoo"/>
    <n v="0"/>
    <s v="Manjit Shah"/>
    <n v="0"/>
  </r>
  <r>
    <n v="5781"/>
    <n v="20058053"/>
    <s v="Krushna Barik"/>
    <s v="AM/NS Ports Paradip"/>
    <s v="Onroll"/>
    <s v="M-10"/>
    <n v="10"/>
    <m/>
    <s v="JM"/>
    <s v="M"/>
    <s v="Odisha"/>
    <n v="2"/>
    <s v="77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Paradeep"/>
    <d v="1991-05-16T00:00:00"/>
    <s v="32.04"/>
    <d v="2022-04-01T00:00:00"/>
    <d v="2049-05-31T00:00:00"/>
    <m/>
    <d v="2049-05-31T00:00:00"/>
    <n v="9385"/>
    <s v=""/>
    <s v=""/>
    <s v=""/>
    <s v="01.05"/>
    <s v="01.05"/>
    <s v="00051206"/>
    <s v="Commercial"/>
    <s v="304359"/>
    <s v="New Acquisition"/>
    <s v="AMNS PORTS"/>
    <s v="0004315000"/>
    <s v="EBTPL- COMMON"/>
    <s v="7700PARA"/>
    <s v="20058031"/>
    <s v="Ananta Subudhi Ray"/>
    <s v="No"/>
    <s v="krushna.barik@amns.in"/>
    <s v="7381008028"/>
    <s v="1026681"/>
    <s v="Manjit Shah"/>
    <s v="Anil Matoo"/>
    <n v="0"/>
    <s v="Manjit Shah"/>
    <n v="0"/>
  </r>
  <r>
    <n v="5788"/>
    <n v="20058060"/>
    <s v="Alok Nayak"/>
    <s v="AM/NS Ports Paradip"/>
    <s v="Onroll"/>
    <s v="M-10"/>
    <n v="10"/>
    <m/>
    <s v="JM"/>
    <s v="M"/>
    <s v="Odisha"/>
    <n v="2"/>
    <s v="77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Paradeep"/>
    <d v="1984-06-11T00:00:00"/>
    <s v="39.03"/>
    <d v="2022-04-01T00:00:00"/>
    <d v="2042-06-30T00:00:00"/>
    <m/>
    <d v="2042-06-30T00:00:00"/>
    <n v="6858"/>
    <s v=""/>
    <s v=""/>
    <s v=""/>
    <s v="01.05"/>
    <s v="01.05"/>
    <s v="00051207"/>
    <s v="Finance &amp; Accounts - Ports Paradip"/>
    <s v="304366"/>
    <s v="New Acquisition"/>
    <s v="AMNS PORTS"/>
    <s v="0004315000"/>
    <s v="EBTPL- COMMON"/>
    <s v="7704PARA"/>
    <s v="20058035"/>
    <s v="Prasanta Kumar Behera"/>
    <s v="No"/>
    <s v="alok.nayak@amns.in"/>
    <s v="9937138362"/>
    <s v="1026690"/>
    <s v="Manjit Shah"/>
    <s v="Anil Matoo"/>
    <n v="0"/>
    <s v="Manjit Shah"/>
    <n v="0"/>
  </r>
  <r>
    <n v="5796"/>
    <n v="20058068"/>
    <s v="Srinivas Munukuti"/>
    <s v="AM/NS Power Hazira"/>
    <s v="Onroll"/>
    <s v="M-10"/>
    <n v="10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1-05-27T00:00:00"/>
    <s v="52.03"/>
    <d v="1994-03-31T00:00:00"/>
    <d v="2029-05-31T00:00:00"/>
    <m/>
    <d v="2029-05-31T00:00:00"/>
    <n v="2080"/>
    <s v=""/>
    <s v=""/>
    <s v=""/>
    <s v="29.05"/>
    <s v="29.05"/>
    <s v="00051183"/>
    <s v="Contract &amp; Procurement"/>
    <s v="304022"/>
    <s v="New Acquisition"/>
    <s v="AMNS Power Hazira Ld"/>
    <s v="0309018065"/>
    <s v="EPOL 270MW"/>
    <s v="3509HAZI"/>
    <s v="20058072"/>
    <s v="Siddhartha Sutradhar"/>
    <s v="No"/>
    <s v="srinivas.munukuti@amns.in"/>
    <s v="9879102804"/>
    <s v="1019543"/>
    <s v="Manjit Shah"/>
    <s v="Anil Matoo"/>
    <n v="0"/>
    <s v="Manjit Shah"/>
    <n v="0"/>
  </r>
  <r>
    <n v="5800"/>
    <n v="20058072"/>
    <s v="Siddhartha Sutradhar"/>
    <s v="AM/NS Power Hazira"/>
    <s v="Onroll"/>
    <s v="M-6"/>
    <n v="6"/>
    <m/>
    <s v="M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0-01-01T00:00:00"/>
    <s v="53.08"/>
    <d v="1997-06-23T00:00:00"/>
    <d v="2027-12-31T00:00:00"/>
    <m/>
    <d v="2027-12-31T00:00:00"/>
    <n v="1563"/>
    <s v=""/>
    <s v=""/>
    <s v=""/>
    <s v="26.02"/>
    <s v="26.02"/>
    <s v="00051183"/>
    <s v="Contract &amp; Procurement"/>
    <s v="304026"/>
    <s v="New Acquisition"/>
    <s v="AMNS Power Hazira Ld"/>
    <s v="0309018065"/>
    <s v="EPOL 270MW"/>
    <s v="3509HAZI"/>
    <s v="20000201"/>
    <s v="Manish Bakriwala"/>
    <s v="No"/>
    <s v="siddhartha.sutradhar@amns.in"/>
    <s v="7903123553"/>
    <s v="1019726"/>
    <s v="Manjit Shah"/>
    <s v="Anil Matoo"/>
    <n v="0"/>
    <s v="Manjit Shah"/>
    <n v="0"/>
  </r>
  <r>
    <n v="5805"/>
    <n v="20058078"/>
    <s v="Bhupendra Patel"/>
    <s v="AM/NS Power Hazira"/>
    <s v="Onroll"/>
    <s v="M-8"/>
    <n v="8"/>
    <m/>
    <s v="J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67-06-22T00:00:00"/>
    <s v="56.03"/>
    <d v="2005-01-01T00:00:00"/>
    <d v="2025-06-30T00:00:00"/>
    <m/>
    <d v="2025-06-30T00:00:00"/>
    <n v="649"/>
    <s v=""/>
    <s v=""/>
    <s v=""/>
    <s v="18.08"/>
    <s v="18.08"/>
    <s v="00051184"/>
    <s v="Finance &amp; Accounts"/>
    <s v="304032"/>
    <s v="New Acquisition"/>
    <s v="AMNS Power Hazira Ld"/>
    <s v="0309018065"/>
    <s v="EPOL 270MW"/>
    <s v="3501HAZI"/>
    <s v="20058113"/>
    <s v="Gadhibantu Koteswar Rao"/>
    <s v="No"/>
    <s v="bhupendra.patel1@amns.in"/>
    <s v="9879102884"/>
    <s v="1018994"/>
    <s v="Manjit Shah"/>
    <s v="Anil Matoo"/>
    <n v="0"/>
    <s v="Manjit Shah"/>
    <n v="0"/>
  </r>
  <r>
    <n v="5806"/>
    <n v="20058079"/>
    <s v="Amit Patel"/>
    <s v="AM/NS Power Hazira"/>
    <s v="Onroll"/>
    <s v="M-8"/>
    <n v="8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6-04-30T00:00:00"/>
    <s v="47.04"/>
    <d v="2005-01-01T00:00:00"/>
    <d v="2034-04-30T00:00:00"/>
    <m/>
    <d v="2034-04-30T00:00:00"/>
    <n v="3875"/>
    <s v=""/>
    <s v=""/>
    <s v=""/>
    <s v="18.08"/>
    <s v="18.08"/>
    <s v="00051183"/>
    <s v="Contract &amp; Procurement"/>
    <s v="304033"/>
    <s v="New Acquisition"/>
    <s v="AMNS Power Hazira Ld"/>
    <s v="0309018065"/>
    <s v="EPOL 270MW"/>
    <s v="3509HAZI"/>
    <s v="20000948"/>
    <s v="Hitesh Raval"/>
    <s v="No"/>
    <s v="amit.patel10@amns.in"/>
    <s v="9879102885"/>
    <s v="1019733"/>
    <s v="Manjit Shah"/>
    <s v="Anil Matoo"/>
    <n v="0"/>
    <s v="Manjit Shah"/>
    <n v="0"/>
  </r>
  <r>
    <n v="5809"/>
    <n v="20058082"/>
    <s v="Anupmeya Anand"/>
    <s v="AM/NS Power Hazira"/>
    <s v="Onroll"/>
    <s v="M-8"/>
    <n v="8"/>
    <m/>
    <s v="JM"/>
    <s v="M"/>
    <s v="Hazira"/>
    <n v="1"/>
    <s v="3507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1-03-15T00:00:00"/>
    <s v="42.06"/>
    <d v="2006-12-20T00:00:00"/>
    <d v="2039-03-31T00:00:00"/>
    <m/>
    <d v="2039-03-31T00:00:00"/>
    <n v="5671"/>
    <s v=""/>
    <s v=""/>
    <s v=""/>
    <s v="16.09"/>
    <s v="16.09"/>
    <s v="00051183"/>
    <s v="Contract &amp; Procurement"/>
    <s v="304036"/>
    <s v="New Acquisition"/>
    <s v="AMNS Power Hazira Ld"/>
    <s v="0309018065"/>
    <s v="EPOL 270MW"/>
    <s v="3507HAZI"/>
    <s v="20058072"/>
    <s v="Siddhartha Sutradhar"/>
    <s v="No"/>
    <s v="anupmeya.anand@amns.in"/>
    <s v="9925227060"/>
    <s v="1019801"/>
    <s v="Manjit Shah"/>
    <s v="Anil Matoo"/>
    <n v="0"/>
    <s v="Manjit Shah"/>
    <n v="0"/>
  </r>
  <r>
    <n v="5815"/>
    <n v="20058088"/>
    <s v="Narendra Yadav"/>
    <s v="AM/NS Power Hazira"/>
    <s v="Onroll"/>
    <s v="M-7"/>
    <n v="7"/>
    <m/>
    <s v="M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67-03-02T00:00:00"/>
    <s v="56.06"/>
    <d v="2008-05-20T00:00:00"/>
    <d v="2025-03-31T00:00:00"/>
    <m/>
    <d v="2025-03-31T00:00:00"/>
    <n v="558"/>
    <s v=""/>
    <s v=""/>
    <s v=""/>
    <s v="15.04"/>
    <s v="15.04"/>
    <s v="00051184"/>
    <s v="Finance &amp; Accounts"/>
    <s v="304042"/>
    <s v="New Acquisition"/>
    <s v="AMNS Power Hazira Ld"/>
    <s v="0309018065"/>
    <s v="EPOL 270MW"/>
    <s v="3501HAZI"/>
    <s v="20001854"/>
    <s v="Arasappan Thirumaran"/>
    <s v="No"/>
    <s v="narendra.yadav@amns.in"/>
    <s v="9909993532"/>
    <s v="1019743"/>
    <s v="Manjit Shah"/>
    <s v="Anil Matoo"/>
    <n v="0"/>
    <s v="Manjit Shah"/>
    <n v="0"/>
  </r>
  <r>
    <n v="5816"/>
    <n v="20058089"/>
    <s v="Yudhishthir Trivedi"/>
    <s v="AM/NS Power Hazira"/>
    <s v="Onroll"/>
    <s v="M-8"/>
    <n v="8"/>
    <m/>
    <s v="JM"/>
    <s v="M"/>
    <s v="Corporate"/>
    <n v="1"/>
    <s v="3505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Operations"/>
    <s v="Operations"/>
    <s v="72103001"/>
    <s v="Operations"/>
    <s v="Hazira"/>
    <d v="1985-06-02T00:00:00"/>
    <s v="38.03"/>
    <d v="2008-06-09T00:00:00"/>
    <d v="2043-06-30T00:00:00"/>
    <m/>
    <d v="2043-06-30T00:00:00"/>
    <n v="7223"/>
    <s v=""/>
    <s v=""/>
    <s v=""/>
    <s v="15.03"/>
    <s v="15.03"/>
    <s v="00051172"/>
    <s v="Power Hazira"/>
    <s v="304043"/>
    <s v="New Acquisition"/>
    <s v="AMNS Power Hazira Ld"/>
    <s v="0309018065"/>
    <s v="EPOL 270MW"/>
    <s v="3505HAZI"/>
    <s v="20028777"/>
    <s v="Narendra Dugar"/>
    <s v="No"/>
    <s v="yudhishthir.trivedi@amns.in"/>
    <s v="9879102436"/>
    <s v="1019744"/>
    <s v="Manjit Shah"/>
    <s v="Anil Matoo"/>
    <n v="0"/>
    <s v="Manjit Shah"/>
    <n v="0"/>
  </r>
  <r>
    <n v="5823"/>
    <n v="20058096"/>
    <s v="Shailesh Kapadia"/>
    <s v="AM/NS Power Hazira"/>
    <s v="Onroll"/>
    <s v="M-8"/>
    <n v="8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8-02-01T00:00:00"/>
    <s v="45.07"/>
    <d v="2010-03-02T00:00:00"/>
    <d v="2036-01-31T00:00:00"/>
    <m/>
    <d v="2036-01-31T00:00:00"/>
    <n v="4516"/>
    <s v=""/>
    <s v=""/>
    <s v=""/>
    <s v="13.06"/>
    <s v="13.06"/>
    <s v="00051183"/>
    <s v="Contract &amp; Procurement"/>
    <s v="304050"/>
    <s v="New Acquisition"/>
    <s v="AMNS Power Hazira Ld"/>
    <s v="0309018065"/>
    <s v="EPOL 270MW"/>
    <s v="3509HAZI"/>
    <s v="20058072"/>
    <s v="Siddhartha Sutradhar"/>
    <s v="No"/>
    <s v="shailesh.kapadia@amns.in"/>
    <s v="9909993530"/>
    <s v="1019751"/>
    <s v="Manjit Shah"/>
    <s v="Anil Matoo"/>
    <n v="0"/>
    <s v="Manjit Shah"/>
    <n v="0"/>
  </r>
  <r>
    <n v="5839"/>
    <n v="20058113"/>
    <s v="Gadhibantu Koteswar Rao"/>
    <s v="AM/NS Power Hazira"/>
    <s v="Onroll"/>
    <s v="M-6"/>
    <n v="6"/>
    <m/>
    <s v="M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69-11-22T00:00:00"/>
    <s v="53.09"/>
    <d v="2012-02-17T00:00:00"/>
    <d v="2027-11-30T00:00:00"/>
    <m/>
    <d v="2027-11-30T00:00:00"/>
    <n v="1532"/>
    <s v=""/>
    <s v=""/>
    <s v=""/>
    <s v="11.07"/>
    <s v="11.07"/>
    <s v="00051184"/>
    <s v="Finance &amp; Accounts"/>
    <s v="304067"/>
    <s v="New Acquisition"/>
    <s v="AMNS Power Hazira Ld"/>
    <s v="0309018065"/>
    <s v="EPOL 270MW"/>
    <s v="3501HAZI"/>
    <s v="20000679"/>
    <s v="Dinesh Mangal"/>
    <s v="No"/>
    <s v="gadhibantu.koteswarrao@amns.in"/>
    <s v="9909993553"/>
    <s v="1018997"/>
    <s v="Manjit Shah"/>
    <s v="Anil Matoo"/>
    <n v="0"/>
    <s v="Manjit Shah"/>
    <n v="0"/>
  </r>
  <r>
    <n v="5856"/>
    <n v="20058134"/>
    <s v="Piyush Jain"/>
    <s v="AM/NS Power Hazira"/>
    <s v="Onroll"/>
    <s v="M-8"/>
    <n v="8"/>
    <m/>
    <s v="J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9-10-27T00:00:00"/>
    <s v="33.10"/>
    <d v="2019-06-17T00:00:00"/>
    <d v="2047-10-31T00:00:00"/>
    <m/>
    <d v="2047-10-31T00:00:00"/>
    <n v="8807"/>
    <s v=""/>
    <s v=""/>
    <s v=""/>
    <s v="04.03"/>
    <s v="04.03"/>
    <s v="00051197"/>
    <s v="Finance &amp; Accounts - Ports Hazira"/>
    <s v="304088"/>
    <s v="New Acquisition"/>
    <s v="AMNS Power Hazira Ld"/>
    <s v="0309018065"/>
    <s v="EPOL 270MW"/>
    <s v="3501HAZI"/>
    <s v="20058184"/>
    <s v="Rama Barik"/>
    <s v="No"/>
    <s v="piyush.jain@amns.in"/>
    <s v="9879102878"/>
    <s v="1018996"/>
    <s v="Manjit Shah"/>
    <s v="Anil Matoo"/>
    <n v="0"/>
    <s v="Manjit Shah"/>
    <n v="0"/>
  </r>
  <r>
    <n v="5858"/>
    <n v="20058136"/>
    <s v="Prateek Kumar"/>
    <s v="AM/NS Power Hazira"/>
    <s v="Onroll"/>
    <s v="M-9"/>
    <n v="9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81-08-26T00:00:00"/>
    <s v="42.00"/>
    <d v="2021-12-13T00:00:00"/>
    <d v="2039-08-31T00:00:00"/>
    <m/>
    <d v="2039-08-31T00:00:00"/>
    <n v="5824"/>
    <s v=""/>
    <s v=""/>
    <s v=""/>
    <s v="01.09"/>
    <s v="01.09"/>
    <s v="00051183"/>
    <s v="Contract &amp; Procurement"/>
    <s v="304090"/>
    <s v="New Acquisition"/>
    <s v="AMNS Power Hazira Ld"/>
    <s v="0309018065"/>
    <s v="EPOL 270MW"/>
    <s v="3509HAZI"/>
    <s v="20058072"/>
    <s v="Siddhartha Sutradhar"/>
    <s v="No"/>
    <s v="prateek.kumar@amns.in"/>
    <s v="9925203885"/>
    <s v="1019790"/>
    <s v="Manjit Shah"/>
    <s v="Anil Matoo"/>
    <n v="0"/>
    <s v="Manjit Shah"/>
    <n v="0"/>
  </r>
  <r>
    <n v="5861"/>
    <n v="20058139"/>
    <s v="Sunil Tiwari"/>
    <s v="AM/NS Power Hazira"/>
    <s v="Onroll"/>
    <s v="M-6"/>
    <n v="6"/>
    <m/>
    <s v="MM"/>
    <s v="M"/>
    <s v="Hazira"/>
    <n v="1"/>
    <s v="3503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81-01-01T00:00:00"/>
    <s v="42.08"/>
    <d v="2022-04-01T00:00:00"/>
    <d v="2038-12-31T00:00:00"/>
    <m/>
    <d v="2038-12-31T00:00:00"/>
    <n v="5581"/>
    <s v=""/>
    <s v=""/>
    <s v=""/>
    <s v="01.05"/>
    <s v="01.05"/>
    <s v="00051185"/>
    <s v="Human Resources"/>
    <s v="304093"/>
    <s v="New Acquisition"/>
    <s v="AMNS Power Hazira Ld"/>
    <s v="0309018065"/>
    <s v="EPOL 270MW"/>
    <s v="3503HAZI"/>
    <s v="20016406"/>
    <s v="Manjit Shah"/>
    <s v="No"/>
    <s v="sunil.tiwari@amns.in"/>
    <s v="9819730527"/>
    <s v="1019793"/>
    <s v="Manjit Shah"/>
    <s v="Anil Matoo"/>
    <n v="0"/>
    <s v="Manjit Shah"/>
    <n v="0"/>
  </r>
  <r>
    <n v="5869"/>
    <n v="20058149"/>
    <s v="Anjali ."/>
    <s v="AM/NS Power Hazira"/>
    <s v="Onroll"/>
    <s v="M-8"/>
    <n v="8"/>
    <m/>
    <s v="JM"/>
    <s v="F"/>
    <s v="Hazira"/>
    <n v="1"/>
    <s v="3503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94-08-14T00:00:00"/>
    <s v="29.01"/>
    <d v="2022-10-07T00:00:00"/>
    <d v="2052-08-31T00:00:00"/>
    <m/>
    <d v="2052-08-31T00:00:00"/>
    <n v="10573"/>
    <s v=""/>
    <s v=""/>
    <s v=""/>
    <s v="00.11"/>
    <s v="00.11"/>
    <s v="00051185"/>
    <s v="Human Resources"/>
    <s v="304103"/>
    <s v="New Acquisition"/>
    <s v="AMNS Power Hazira Ld"/>
    <s v="0309018065"/>
    <s v="EPOL 270MW"/>
    <s v="3503HAZI"/>
    <s v="20054937"/>
    <s v="Hitesh Kumar Yadav"/>
    <s v="No"/>
    <s v="anjali.anil@amns.in"/>
    <s v="9925240506"/>
    <s v="1019805"/>
    <s v="Manjit Shah"/>
    <s v="Anil Matoo"/>
    <n v="0"/>
    <s v="Manjit Shah"/>
    <n v="0"/>
  </r>
  <r>
    <n v="5870"/>
    <n v="20058150"/>
    <s v="Neeraj Murarka"/>
    <s v="AM/NS Power Hazira"/>
    <s v="Onroll"/>
    <s v="M-6"/>
    <n v="6"/>
    <m/>
    <s v="M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Mumbai"/>
    <d v="1981-04-16T00:00:00"/>
    <s v="42.05"/>
    <d v="2022-12-10T00:00:00"/>
    <d v="2039-04-30T00:00:00"/>
    <m/>
    <d v="2039-04-30T00:00:00"/>
    <n v="5701"/>
    <s v=""/>
    <s v=""/>
    <s v=""/>
    <s v="00.09"/>
    <s v="00.09"/>
    <s v="70494931"/>
    <s v="Working Capital"/>
    <s v="304104"/>
    <s v="New Acquisition"/>
    <s v="AMNS Power Hazira Ld"/>
    <s v="0309018065"/>
    <s v="EPOL 270MW"/>
    <s v="3501MUMB"/>
    <s v="20055188"/>
    <s v="Rohit Sharma"/>
    <s v="No"/>
    <s v="neeraj.murarka@amns.in"/>
    <s v="9167999769"/>
    <s v="1029647"/>
    <s v="Manjit Shah"/>
    <s v="Anil Matoo"/>
    <n v="0"/>
    <s v="Manjit Shah"/>
    <n v="0"/>
  </r>
  <r>
    <n v="5871"/>
    <n v="20058151"/>
    <s v="Laxmi Joshi"/>
    <s v="AM/NS Power Hazira"/>
    <s v="Onroll"/>
    <s v="M-7"/>
    <n v="7"/>
    <m/>
    <s v="MM"/>
    <s v="F"/>
    <s v="Hazira"/>
    <n v="1"/>
    <s v="3500"/>
    <x v="11"/>
    <s v="42.01"/>
    <s v="Pankaj Chourasia"/>
    <s v="P Ashok Kumar"/>
    <n v="9"/>
    <s v="Legal"/>
    <s v="Company Secretary"/>
    <s v="42"/>
    <s v="Lead Company Secretary"/>
    <m/>
    <s v="Company Secretary"/>
    <s v=""/>
    <s v=""/>
    <s v="Non Technical Support"/>
    <s v="Operations"/>
    <s v="Operations"/>
    <s v="72103001"/>
    <s v="Operations"/>
    <s v="Mumbai"/>
    <d v="1989-07-26T00:00:00"/>
    <s v="34.01"/>
    <d v="2022-12-03T00:00:00"/>
    <d v="2047-07-31T00:00:00"/>
    <m/>
    <d v="2047-07-31T00:00:00"/>
    <n v="8715"/>
    <s v=""/>
    <s v=""/>
    <s v=""/>
    <s v="00.09"/>
    <s v="00.09"/>
    <s v="70273573"/>
    <s v="Company Secretarial"/>
    <s v="304105"/>
    <s v="New Acquisition"/>
    <s v="AMNS Power Hazira Ld"/>
    <s v="0309018065"/>
    <s v="EPOL 270MW"/>
    <s v="3500MUMB"/>
    <s v="20050785"/>
    <s v="Pankaj Chourasia"/>
    <s v="No"/>
    <s v="laxmi.joshi@amns.in"/>
    <s v="9925240508"/>
    <s v="1041012"/>
    <s v="Manjit Shah"/>
    <s v="Anil Matoo"/>
    <n v="0"/>
    <s v="Manjit Shah"/>
    <n v="0"/>
  </r>
  <r>
    <n v="5872"/>
    <n v="20058152"/>
    <s v="Shabbir Juzerbhai Bengali"/>
    <s v="AM/NS Power Hazira"/>
    <s v="Onroll"/>
    <s v="M-8"/>
    <n v="8"/>
    <m/>
    <s v="J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1-07-25T00:00:00"/>
    <s v="42.01"/>
    <d v="2010-11-08T00:00:00"/>
    <d v="2039-07-31T00:00:00"/>
    <m/>
    <d v="2039-07-31T00:00:00"/>
    <n v="5793"/>
    <s v=""/>
    <s v=""/>
    <s v=""/>
    <s v="12.10"/>
    <s v="12.10"/>
    <s v="00051184"/>
    <s v="Finance &amp; Accounts"/>
    <s v="304106"/>
    <s v="New Acquisition"/>
    <s v="AMNS Power Hazira Ld"/>
    <s v="0309018065"/>
    <s v="EPOL 270MW"/>
    <s v="3501HAZI"/>
    <s v="20016107"/>
    <s v="Kalpesh Thathagar"/>
    <s v="No"/>
    <s v="shabbir.bengali@amns.in"/>
    <s v="9879107352"/>
    <s v="1019794"/>
    <s v="Manjit Shah"/>
    <s v="Anil Matoo"/>
    <n v="0"/>
    <s v="Manjit Shah"/>
    <n v="0"/>
  </r>
  <r>
    <n v="5888"/>
    <n v="20058169"/>
    <s v="Chirag Desai"/>
    <s v="AM/NS Ports Hazira"/>
    <s v="Onroll"/>
    <s v="M-7"/>
    <n v="7"/>
    <m/>
    <s v="MM"/>
    <s v="M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1-06-26T00:00:00"/>
    <s v="42.02"/>
    <d v="2006-06-19T00:00:00"/>
    <d v="2039-06-30T00:00:00"/>
    <m/>
    <d v="2039-06-30T00:00:00"/>
    <n v="5762"/>
    <s v=""/>
    <s v=""/>
    <s v=""/>
    <s v="17.03"/>
    <s v="17.03"/>
    <s v="00051196"/>
    <s v="Procurement - Ports Hazira"/>
    <s v="304237"/>
    <s v="New Acquisition"/>
    <s v="AMNS PARADIP PORT"/>
    <s v=""/>
    <s v=""/>
    <s v="7414HAZI"/>
    <s v="20058183"/>
    <s v="Pranabendra Barman"/>
    <s v="No"/>
    <s v="chirag.desai@amns.in"/>
    <s v="9925246149"/>
    <s v="1026743"/>
    <s v="Manjit Shah"/>
    <s v="Anil Matoo"/>
    <n v="0"/>
    <s v="Manjit Shah"/>
    <n v="0"/>
  </r>
  <r>
    <n v="5894"/>
    <n v="20058175"/>
    <s v="Neelam Thanvi"/>
    <s v="AM/NS Ports Hazira"/>
    <s v="Onroll"/>
    <s v="M-6"/>
    <n v="6"/>
    <m/>
    <s v="MM"/>
    <s v="F"/>
    <s v="Hazira"/>
    <n v="1"/>
    <s v="7401"/>
    <x v="11"/>
    <s v="42.01"/>
    <s v="Pankaj Chourasia"/>
    <s v="P Ashok Kumar"/>
    <n v="9"/>
    <s v="Legal"/>
    <s v="Company Secretary"/>
    <s v="42"/>
    <s v="Sr. Lead Company Secretary"/>
    <m/>
    <s v="Company Secretary"/>
    <s v=""/>
    <s v=""/>
    <s v="Non Technical Support"/>
    <s v="Operations"/>
    <s v="Operations"/>
    <s v="72103001"/>
    <s v="Operations"/>
    <s v="Mumbai"/>
    <d v="1983-10-24T00:00:00"/>
    <s v="39.10"/>
    <d v="2007-06-25T00:00:00"/>
    <d v="2041-10-31T00:00:00"/>
    <m/>
    <d v="2041-10-31T00:00:00"/>
    <n v="6616"/>
    <s v=""/>
    <s v=""/>
    <s v=""/>
    <s v="16.02"/>
    <s v="16.02"/>
    <s v="70273573"/>
    <s v="Company Secretarial"/>
    <s v="304243"/>
    <s v="New Acquisition"/>
    <s v="AMNS PARADIP PORT"/>
    <s v=""/>
    <s v=""/>
    <s v="7401MUMB"/>
    <s v="20050785"/>
    <s v="Pankaj Chourasia"/>
    <s v="No"/>
    <s v="neelam.thanvi@amns.in"/>
    <s v="9930136083"/>
    <s v="1026752"/>
    <s v="Manjit Shah"/>
    <s v="Anil Matoo"/>
    <n v="0"/>
    <s v="Manjit Shah"/>
    <n v="0"/>
  </r>
  <r>
    <n v="5899"/>
    <n v="20058180"/>
    <s v="Piyush Patel"/>
    <s v="AM/NS Ports Hazira"/>
    <s v="Onroll"/>
    <s v="M-9"/>
    <n v="9"/>
    <m/>
    <s v="JM"/>
    <s v="M"/>
    <s v="Hazira"/>
    <n v="1"/>
    <s v="7418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2-05-30T00:00:00"/>
    <s v="51.03"/>
    <d v="2008-03-15T00:00:00"/>
    <d v="2030-05-31T00:00:00"/>
    <m/>
    <d v="2030-05-31T00:00:00"/>
    <n v="2445"/>
    <s v=""/>
    <s v=""/>
    <s v=""/>
    <s v="15.06"/>
    <s v="15.06"/>
    <s v="00051196"/>
    <s v="Procurement - Ports Hazira"/>
    <s v="304249"/>
    <s v="New Acquisition"/>
    <s v="AMNS PARADIP PORT"/>
    <s v=""/>
    <s v=""/>
    <s v="7418HAZI"/>
    <s v="20001905"/>
    <s v="Nirav Bhagat"/>
    <s v="No"/>
    <s v="piyush.patel3@amns.in"/>
    <s v="9879102854"/>
    <s v="1026767"/>
    <s v="Manjit Shah"/>
    <s v="Anil Matoo"/>
    <n v="0"/>
    <s v="Manjit Shah"/>
    <n v="0"/>
  </r>
  <r>
    <n v="5902"/>
    <n v="20058183"/>
    <s v="Pranabendra Barman"/>
    <s v="AM/NS Ports Hazira"/>
    <s v="Onroll"/>
    <s v="M-5"/>
    <n v="5"/>
    <m/>
    <s v="MM"/>
    <s v="M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69-08-27T00:00:00"/>
    <s v="54.00"/>
    <d v="2008-07-16T00:00:00"/>
    <d v="2027-08-31T00:00:00"/>
    <m/>
    <d v="2027-08-31T00:00:00"/>
    <n v="1441"/>
    <s v=""/>
    <s v=""/>
    <s v=""/>
    <s v="15.02"/>
    <s v="15.02"/>
    <s v="00051196"/>
    <s v="Procurement - Ports Hazira"/>
    <s v="304252"/>
    <s v="New Acquisition"/>
    <s v="AMNS PARADIP PORT"/>
    <s v=""/>
    <s v=""/>
    <s v="7414HAZI"/>
    <s v="20000201"/>
    <s v="Manish Bakriwala"/>
    <s v="No"/>
    <s v="pranabendra.barman@amns.in"/>
    <s v="9727764050"/>
    <s v="1026772"/>
    <s v="Manjit Shah"/>
    <s v="Anil Matoo"/>
    <n v="0"/>
    <s v="Manjit Shah"/>
    <n v="0"/>
  </r>
  <r>
    <n v="5903"/>
    <n v="20058184"/>
    <s v="Rama Barik"/>
    <s v="AM/NS Ports Hazira"/>
    <s v="Onroll"/>
    <s v="M-5"/>
    <n v="5"/>
    <m/>
    <s v="M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78-03-04T00:00:00"/>
    <s v="45.06"/>
    <d v="2008-07-28T00:00:00"/>
    <d v="2036-03-31T00:00:00"/>
    <m/>
    <d v="2036-03-31T00:00:00"/>
    <n v="4576"/>
    <s v=""/>
    <s v=""/>
    <s v=""/>
    <s v="15.01"/>
    <s v="15.01"/>
    <s v="00051197"/>
    <s v="Finance &amp; Accounts - Ports Hazira"/>
    <s v="304253"/>
    <s v="New Acquisition"/>
    <s v="AMNS PARADIP PORT"/>
    <s v=""/>
    <s v=""/>
    <s v="7404HAZI"/>
    <s v="20055088"/>
    <s v="Amit Harlalka"/>
    <s v="No"/>
    <s v="rama.barik@amns.in"/>
    <s v="9727764049"/>
    <s v="1025165"/>
    <s v="Manjit Shah"/>
    <s v="Anil Matoo"/>
    <n v="0"/>
    <s v="Manjit Shah"/>
    <n v="0"/>
  </r>
  <r>
    <n v="5917"/>
    <n v="20058198"/>
    <s v="Chaitanya Chavan"/>
    <s v="AM/NS Ports Hazira"/>
    <s v="Onroll"/>
    <s v="M-7"/>
    <n v="7"/>
    <m/>
    <s v="M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Mumbai"/>
    <d v="1980-01-31T00:00:00"/>
    <s v="43.07"/>
    <d v="2011-11-14T00:00:00"/>
    <d v="2038-01-31T00:00:00"/>
    <m/>
    <d v="2038-01-31T00:00:00"/>
    <n v="5247"/>
    <s v=""/>
    <s v=""/>
    <s v=""/>
    <s v="11.10"/>
    <s v="11.10"/>
    <s v="70494633"/>
    <s v="Finance &amp; Accounts"/>
    <s v="304267"/>
    <s v="New Acquisition"/>
    <s v="AMNS PARADIP PORT"/>
    <s v=""/>
    <s v=""/>
    <s v="7404MUMB"/>
    <s v="20000870"/>
    <s v="Balajee M"/>
    <s v="No"/>
    <s v="chaitanya.chavan@amns.in"/>
    <s v="9930134105"/>
    <s v="1026797"/>
    <s v="Manjit Shah"/>
    <s v="Anil Matoo"/>
    <n v="0"/>
    <s v="Manjit Shah"/>
    <n v="0"/>
  </r>
  <r>
    <n v="5918"/>
    <n v="20058199"/>
    <s v="Rabindra Samal"/>
    <s v="AM/NS Ports Hazira"/>
    <s v="Onroll"/>
    <s v="M-5"/>
    <n v="5"/>
    <m/>
    <s v="MM"/>
    <s v="M"/>
    <s v="Corporate"/>
    <n v="1"/>
    <s v="7409"/>
    <x v="16"/>
    <s v="03.01"/>
    <s v="Nilesh Likhite"/>
    <s v="Dilip Oommen"/>
    <n v="1"/>
    <s v="CEO Office"/>
    <s v="Internal Audit"/>
    <s v="03"/>
    <s v="Sr. Lead Internal Audit "/>
    <m/>
    <s v="Internal Audit"/>
    <s v=""/>
    <s v=""/>
    <s v="Non Technical Support"/>
    <s v="Operations"/>
    <s v="Operations"/>
    <s v="72103001"/>
    <s v="Operations"/>
    <s v="Mumbai"/>
    <d v="1973-03-12T00:00:00"/>
    <s v="50.06"/>
    <d v="2015-01-27T00:00:00"/>
    <d v="2031-03-31T00:00:00"/>
    <m/>
    <d v="2031-03-31T00:00:00"/>
    <n v="2749"/>
    <s v=""/>
    <s v=""/>
    <s v=""/>
    <s v="08.07"/>
    <s v="08.07"/>
    <s v="00051199"/>
    <s v="Internal Audit"/>
    <s v="304268"/>
    <s v="New Acquisition"/>
    <s v="AMNS PARADIP PORT"/>
    <s v=""/>
    <s v=""/>
    <s v="7409MUMB"/>
    <s v="20055486"/>
    <s v="Nilesh Likhite"/>
    <s v="No"/>
    <s v="rabindra.samal@amns.in"/>
    <s v="9930136590"/>
    <s v="1026798"/>
    <s v="Manjit Shah"/>
    <s v="Anil Matoo"/>
    <n v="0"/>
    <s v="Manjit Shah"/>
    <n v="0"/>
  </r>
  <r>
    <n v="5922"/>
    <n v="20058203"/>
    <s v="Sejalkumar Patel"/>
    <s v="AM/NS Ports Hazira"/>
    <s v="Onroll"/>
    <s v="M-9"/>
    <n v="9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6-02-11T00:00:00"/>
    <s v="37.07"/>
    <d v="2016-06-01T00:00:00"/>
    <d v="2044-02-29T00:00:00"/>
    <m/>
    <d v="2044-02-29T00:00:00"/>
    <n v="7467"/>
    <s v=""/>
    <s v=""/>
    <s v=""/>
    <s v="07.03"/>
    <s v="07.03"/>
    <s v="00051197"/>
    <s v="Finance &amp; Accounts - Ports Hazira"/>
    <s v="304272"/>
    <s v="New Acquisition"/>
    <s v="AMNS PARADIP PORT"/>
    <s v=""/>
    <s v=""/>
    <s v="7404HAZI"/>
    <s v="20058184"/>
    <s v="Rama Barik"/>
    <s v="No"/>
    <s v="sejalkumar.patel@amns.in"/>
    <s v="9879102874"/>
    <s v="1026804"/>
    <s v="Manjit Shah"/>
    <s v="Anil Matoo"/>
    <n v="0"/>
    <s v="Manjit Shah"/>
    <n v="0"/>
  </r>
  <r>
    <n v="5933"/>
    <n v="20058214"/>
    <s v="Parameswar Biswal"/>
    <s v="AM/NS Ports Hazira"/>
    <s v="Onroll"/>
    <s v="M-9"/>
    <n v="9"/>
    <m/>
    <s v="JM"/>
    <s v="M"/>
    <s v="Hazira"/>
    <n v="1"/>
    <s v="74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Hazira"/>
    <d v="1976-05-12T00:00:00"/>
    <s v="47.04"/>
    <d v="2018-07-02T00:00:00"/>
    <d v="2034-05-31T00:00:00"/>
    <m/>
    <d v="2034-05-31T00:00:00"/>
    <n v="3906"/>
    <s v=""/>
    <s v=""/>
    <s v=""/>
    <s v="05.02"/>
    <s v="05.02"/>
    <s v="00051197"/>
    <s v="Finance &amp; Accounts - Ports Hazira"/>
    <s v="304283"/>
    <s v="New Acquisition"/>
    <s v="AMNS PARADIP PORT"/>
    <s v=""/>
    <s v=""/>
    <s v="7400HAZI"/>
    <s v="20058184"/>
    <s v="Rama Barik"/>
    <s v="No"/>
    <s v="parameswar.biswal@amns.in"/>
    <s v="9925246124"/>
    <s v="1026836"/>
    <s v="Manjit Shah"/>
    <s v="Anil Matoo"/>
    <n v="0"/>
    <s v="Manjit Shah"/>
    <n v="0"/>
  </r>
  <r>
    <n v="5944"/>
    <n v="20058225"/>
    <s v="Amita Rajubhai Patel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6-07-28T00:00:00"/>
    <s v="37.01"/>
    <d v="2019-09-02T00:00:00"/>
    <d v="2044-07-31T00:00:00"/>
    <m/>
    <d v="2044-07-31T00:00:00"/>
    <n v="7620"/>
    <s v=""/>
    <s v=""/>
    <s v=""/>
    <s v="04.00"/>
    <s v="04.00"/>
    <s v="00051197"/>
    <s v="Finance &amp; Accounts - Ports Hazira"/>
    <s v="304294"/>
    <s v="New Acquisition"/>
    <s v="AMNS PARADIP PORT"/>
    <s v=""/>
    <s v=""/>
    <s v="7404HAZI"/>
    <s v="20016107"/>
    <s v="Kalpesh Thathagar"/>
    <s v="No"/>
    <s v="amita.patel@amns.in"/>
    <s v="9879203848"/>
    <s v="1026856"/>
    <s v="Manjit Shah"/>
    <s v="Anil Matoo"/>
    <n v="0"/>
    <s v="Manjit Shah"/>
    <n v="0"/>
  </r>
  <r>
    <n v="5945"/>
    <n v="20058226"/>
    <s v="Kalpana Dinesh Patel"/>
    <s v="AM/NS Ports Hazira"/>
    <s v="Onroll"/>
    <s v="M-9"/>
    <n v="9"/>
    <m/>
    <s v="J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1-05-09T00:00:00"/>
    <s v="42.04"/>
    <d v="2019-09-02T00:00:00"/>
    <d v="2039-05-31T00:00:00"/>
    <m/>
    <d v="2039-05-31T00:00:00"/>
    <n v="5732"/>
    <s v=""/>
    <s v=""/>
    <s v=""/>
    <s v="04.00"/>
    <s v="04.00"/>
    <s v="00051196"/>
    <s v="Procurement - Ports Hazira"/>
    <s v="304295"/>
    <s v="New Acquisition"/>
    <s v="AMNS PARADIP PORT"/>
    <s v=""/>
    <s v=""/>
    <s v="7414HAZI"/>
    <s v="20058183"/>
    <s v="Pranabendra Barman"/>
    <s v="No"/>
    <s v="kalpana.patel1@amns.in"/>
    <s v="9925245362"/>
    <s v="1026858"/>
    <s v="Manjit Shah"/>
    <s v="Anil Matoo"/>
    <n v="0"/>
    <s v="Manjit Shah"/>
    <n v="0"/>
  </r>
  <r>
    <n v="5946"/>
    <n v="20058227"/>
    <s v="Rucha Shukla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1-02-26T00:00:00"/>
    <s v="42.06"/>
    <d v="2019-09-02T00:00:00"/>
    <d v="2039-02-28T00:00:00"/>
    <m/>
    <d v="2039-02-28T00:00:00"/>
    <n v="5640"/>
    <s v=""/>
    <s v=""/>
    <s v=""/>
    <s v="04.00"/>
    <s v="04.00"/>
    <s v="00051809"/>
    <s v="Stack Yard"/>
    <s v="304296"/>
    <s v="New Acquisition"/>
    <s v="AMNS PARADIP PORT"/>
    <s v=""/>
    <s v=""/>
    <s v="7404HAZI"/>
    <s v="20058182"/>
    <s v="Santosh Bhatt"/>
    <s v="No"/>
    <s v="rucha.shukla@amns.in"/>
    <s v="9909902377"/>
    <s v="1026860"/>
    <s v="Manjit Shah"/>
    <s v="Anil Matoo"/>
    <n v="0"/>
    <s v="Manjit Shah"/>
    <n v="0"/>
  </r>
  <r>
    <n v="5947"/>
    <n v="20058228"/>
    <s v="Hetal Pareshbhai Lad"/>
    <s v="AM/NS Ports Hazira"/>
    <s v="Onroll"/>
    <s v="M-10"/>
    <n v="10"/>
    <m/>
    <s v="J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5-12-31T00:00:00"/>
    <s v="37.08"/>
    <d v="2019-09-02T00:00:00"/>
    <d v="2043-12-31T00:00:00"/>
    <m/>
    <d v="2043-12-31T00:00:00"/>
    <n v="7407"/>
    <s v=""/>
    <s v=""/>
    <s v=""/>
    <s v="04.00"/>
    <s v="04.00"/>
    <s v="00051196"/>
    <s v="Procurement - Ports Hazira"/>
    <s v="304297"/>
    <s v="New Acquisition"/>
    <s v="AMNS PARADIP PORT"/>
    <s v=""/>
    <s v=""/>
    <s v="7414HAZI"/>
    <s v="20058183"/>
    <s v="Pranabendra Barman"/>
    <s v="No"/>
    <s v="hetal.lad@amns.in"/>
    <s v="9925240156"/>
    <s v="1026861"/>
    <s v="Manjit Shah"/>
    <s v="Anil Matoo"/>
    <n v="0"/>
    <s v="Manjit Shah"/>
    <n v="0"/>
  </r>
  <r>
    <n v="5948"/>
    <n v="20058229"/>
    <s v="Madhvi Gangani"/>
    <s v="AM/NS Ports Hazira"/>
    <s v="Onroll"/>
    <s v="M-10"/>
    <n v="10"/>
    <m/>
    <s v="JM"/>
    <s v="F"/>
    <s v="Hazira"/>
    <n v="1"/>
    <s v="74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Hazira"/>
    <d v="1991-11-08T00:00:00"/>
    <s v="31.10"/>
    <d v="2019-09-02T00:00:00"/>
    <d v="2049-11-30T00:00:00"/>
    <m/>
    <d v="2049-11-30T00:00:00"/>
    <n v="9568"/>
    <s v=""/>
    <s v=""/>
    <s v=""/>
    <s v="04.00"/>
    <s v="04.00"/>
    <s v="00051197"/>
    <s v="Finance &amp; Accounts - Ports Hazira"/>
    <s v="304298"/>
    <s v="New Acquisition"/>
    <s v="AMNS PARADIP PORT"/>
    <s v=""/>
    <s v=""/>
    <s v="7400HAZI"/>
    <s v="20058184"/>
    <s v="Rama Barik"/>
    <s v="No"/>
    <s v="madhvi.gangani@amns.in"/>
    <s v="9925240307"/>
    <s v="1026862"/>
    <s v="Manjit Shah"/>
    <s v="Anil Matoo"/>
    <n v="0"/>
    <s v="Manjit Shah"/>
    <n v="0"/>
  </r>
  <r>
    <n v="5949"/>
    <n v="20058230"/>
    <s v="Preeti Ray"/>
    <s v="AM/NS Ports Hazira"/>
    <s v="Onroll"/>
    <s v="M-10"/>
    <n v="10"/>
    <m/>
    <s v="J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92-05-26T00:00:00"/>
    <s v="31.03"/>
    <d v="2019-09-02T00:00:00"/>
    <d v="2050-05-31T00:00:00"/>
    <m/>
    <d v="2050-05-31T00:00:00"/>
    <n v="9750"/>
    <s v=""/>
    <s v=""/>
    <s v=""/>
    <s v="04.00"/>
    <s v="04.00"/>
    <s v="00051196"/>
    <s v="Procurement - Ports Hazira"/>
    <s v="304299"/>
    <s v="New Acquisition"/>
    <s v="AMNS PARADIP PORT"/>
    <s v=""/>
    <s v=""/>
    <s v="7414HAZI"/>
    <s v="20058183"/>
    <s v="Pranabendra Barman"/>
    <s v="No"/>
    <s v="preeti.ray@amns.in"/>
    <s v="9687634295"/>
    <s v="1026863"/>
    <s v="Manjit Shah"/>
    <s v="Anil Matoo"/>
    <n v="0"/>
    <s v="Manjit Shah"/>
    <n v="0"/>
  </r>
  <r>
    <n v="5950"/>
    <n v="20058231"/>
    <s v="Bhumika Patel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91-05-29T00:00:00"/>
    <s v="32.03"/>
    <d v="2019-09-02T00:00:00"/>
    <d v="2049-05-31T00:00:00"/>
    <m/>
    <d v="2049-05-31T00:00:00"/>
    <n v="9385"/>
    <s v=""/>
    <s v=""/>
    <s v=""/>
    <s v="04.00"/>
    <s v="04.00"/>
    <s v="00051197"/>
    <s v="Finance &amp; Accounts - Ports Hazira"/>
    <s v="304300"/>
    <s v="New Acquisition"/>
    <s v="AMNS PARADIP PORT"/>
    <s v=""/>
    <s v=""/>
    <s v="7404HAZI"/>
    <s v="20016107"/>
    <s v="Kalpesh Thathagar"/>
    <s v="No"/>
    <s v="bhumika.patel1@amns.in"/>
    <s v="9879109021"/>
    <s v="1026864"/>
    <s v="Manjit Shah"/>
    <s v="Anil Matoo"/>
    <n v="0"/>
    <s v="Manjit Shah"/>
    <n v="0"/>
  </r>
  <r>
    <n v="5955"/>
    <n v="20058237"/>
    <s v="Jaykumar Patel"/>
    <s v="AM/NS Ports Hazira"/>
    <s v="Onroll"/>
    <s v="M-10"/>
    <n v="10"/>
    <m/>
    <s v="JM"/>
    <s v="M"/>
    <s v="Hazira"/>
    <n v="1"/>
    <s v="74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Hazira"/>
    <d v="1990-11-24T00:00:00"/>
    <s v="32.09"/>
    <d v="2020-01-02T00:00:00"/>
    <d v="2048-11-30T00:00:00"/>
    <m/>
    <d v="2048-11-30T00:00:00"/>
    <n v="9203"/>
    <s v=""/>
    <s v=""/>
    <s v=""/>
    <s v="03.08"/>
    <s v="03.08"/>
    <s v="00051197"/>
    <s v="Finance &amp; Accounts - Ports Hazira"/>
    <s v="304306"/>
    <s v="New Acquisition"/>
    <s v="AMNS PARADIP PORT"/>
    <s v=""/>
    <s v=""/>
    <s v="7400HAZI"/>
    <s v="20058184"/>
    <s v="Rama Barik"/>
    <s v="No"/>
    <s v="jaykumar.patel3@amns.in"/>
    <s v="9925240972"/>
    <s v="1026870"/>
    <s v="Manjit Shah"/>
    <s v="Anil Matoo"/>
    <n v="0"/>
    <s v="Manjit Shah"/>
    <n v="0"/>
  </r>
  <r>
    <n v="5956"/>
    <n v="20058238"/>
    <s v="Prashant Naresh Gandhi"/>
    <s v="AM/NS Ports Hazira"/>
    <s v="Onroll"/>
    <s v="M-10"/>
    <n v="10"/>
    <m/>
    <s v="JM"/>
    <s v="M"/>
    <s v="Hazira"/>
    <n v="1"/>
    <s v="7407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85-07-20T00:00:00"/>
    <s v="38.02"/>
    <d v="2020-01-02T00:00:00"/>
    <d v="2043-07-31T00:00:00"/>
    <m/>
    <d v="2043-07-31T00:00:00"/>
    <n v="7254"/>
    <s v=""/>
    <s v=""/>
    <s v=""/>
    <s v="03.08"/>
    <s v="03.08"/>
    <s v="00051198"/>
    <s v="Human Resources"/>
    <s v="304307"/>
    <s v="New Acquisition"/>
    <s v="AMNS PARADIP PORT"/>
    <s v=""/>
    <s v=""/>
    <s v="7407HAZI"/>
    <s v="20058248"/>
    <s v="Mehulkumar Jariwala"/>
    <s v="No"/>
    <s v="prashant.gandhi@amns.in"/>
    <s v="9925249676"/>
    <s v="1026871"/>
    <s v="Manjit Shah"/>
    <s v="Anil Matoo"/>
    <n v="0"/>
    <s v="Manjit Shah"/>
    <n v="0"/>
  </r>
  <r>
    <n v="5957"/>
    <n v="20058239"/>
    <s v="Pratikkumar Patel"/>
    <s v="AM/NS Ports Hazira"/>
    <s v="Onroll"/>
    <s v="M-10"/>
    <n v="10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7-01-20T00:00:00"/>
    <s v="36.07"/>
    <d v="2020-01-02T00:00:00"/>
    <d v="2045-01-31T00:00:00"/>
    <m/>
    <d v="2045-01-31T00:00:00"/>
    <n v="7804"/>
    <s v=""/>
    <s v=""/>
    <s v=""/>
    <s v="03.08"/>
    <s v="03.08"/>
    <s v="00051197"/>
    <s v="Finance &amp; Accounts - Ports Hazira"/>
    <s v="304308"/>
    <s v="New Acquisition"/>
    <s v="AMNS PARADIP PORT"/>
    <s v=""/>
    <s v=""/>
    <s v="7404HAZI"/>
    <s v="20058184"/>
    <s v="Rama Barik"/>
    <s v="No"/>
    <s v="pratikkumar.patel@amns.in"/>
    <s v="9925249895"/>
    <s v="1042658"/>
    <s v="Manjit Shah"/>
    <s v="Anil Matoo"/>
    <n v="0"/>
    <s v="Manjit Shah"/>
    <n v="0"/>
  </r>
  <r>
    <n v="5961"/>
    <n v="20058243"/>
    <s v="Kitty Mohit Mehta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6-11-18T00:00:00"/>
    <s v="36.10"/>
    <d v="2020-10-05T00:00:00"/>
    <d v="2044-11-30T00:00:00"/>
    <m/>
    <d v="2044-11-30T00:00:00"/>
    <n v="7742"/>
    <s v=""/>
    <s v=""/>
    <s v=""/>
    <s v="02.11"/>
    <s v="02.11"/>
    <s v="00051197"/>
    <s v="Finance &amp; Accounts - Ports Hazira"/>
    <s v="304312"/>
    <s v="New Acquisition"/>
    <s v="AMNS PARADIP PORT"/>
    <s v=""/>
    <s v=""/>
    <s v="7404HAZI"/>
    <s v="20058184"/>
    <s v="Rama Barik"/>
    <s v="No"/>
    <s v="kitty.mehta@amns.in"/>
    <s v="9879108791"/>
    <s v="1026876"/>
    <s v="Manjit Shah"/>
    <s v="Anil Matoo"/>
    <n v="0"/>
    <s v="Manjit Shah"/>
    <n v="0"/>
  </r>
  <r>
    <n v="5963"/>
    <n v="20058245"/>
    <s v="Suvarna Wakhare"/>
    <s v="AM/NS Ports Hazira"/>
    <s v="Onroll"/>
    <s v="M-7"/>
    <n v="7"/>
    <m/>
    <s v="M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79-12-27T00:00:00"/>
    <s v="43.08"/>
    <d v="2021-01-02T00:00:00"/>
    <d v="2037-12-31T00:00:00"/>
    <m/>
    <d v="2037-12-31T00:00:00"/>
    <n v="5216"/>
    <s v=""/>
    <s v=""/>
    <s v=""/>
    <s v="02.08"/>
    <s v="02.08"/>
    <s v="00051196"/>
    <s v="Procurement - Ports Hazira"/>
    <s v="304314"/>
    <s v="New Acquisition"/>
    <s v="AMNS PARADIP PORT"/>
    <s v=""/>
    <s v=""/>
    <s v="7414HAZI"/>
    <s v="20000201"/>
    <s v="Manish Bakriwala"/>
    <s v="No"/>
    <s v="suvarna.wakhare@amns.in"/>
    <s v="9879202829"/>
    <s v="1026879"/>
    <s v="Manjit Shah"/>
    <s v="Anil Matoo"/>
    <n v="0"/>
    <s v="Manjit Shah"/>
    <n v="0"/>
  </r>
  <r>
    <n v="5964"/>
    <n v="20058246"/>
    <s v="Murugesan Konar"/>
    <s v="AM/NS Ports Hazira"/>
    <s v="Onroll"/>
    <s v="M-9"/>
    <n v="9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0-02-11T00:00:00"/>
    <s v="43.07"/>
    <d v="2020-12-28T00:00:00"/>
    <d v="2038-02-28T00:00:00"/>
    <m/>
    <d v="2038-02-28T00:00:00"/>
    <n v="5275"/>
    <s v=""/>
    <s v=""/>
    <s v=""/>
    <s v="02.08"/>
    <s v="02.08"/>
    <s v="00051197"/>
    <s v="Finance &amp; Accounts - Ports Hazira"/>
    <s v="304315"/>
    <s v="New Acquisition"/>
    <s v="AMNS PARADIP PORT"/>
    <s v=""/>
    <s v=""/>
    <s v="7404HAZI"/>
    <s v="20058184"/>
    <s v="Rama Barik"/>
    <s v="No"/>
    <s v="murugesan.konar@amns.in"/>
    <s v="7069756355"/>
    <s v="1026881"/>
    <s v="Manjit Shah"/>
    <s v="Anil Matoo"/>
    <n v="0"/>
    <s v="Manjit Shah"/>
    <n v="0"/>
  </r>
  <r>
    <n v="5965"/>
    <n v="20058247"/>
    <s v="Hemant Bhutra"/>
    <s v="AM/NS Ports Hazira"/>
    <s v="Onroll"/>
    <s v="M-8"/>
    <n v="8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95-04-09T00:00:00"/>
    <s v="28.05"/>
    <d v="2021-07-05T00:00:00"/>
    <d v="2053-04-30T00:00:00"/>
    <m/>
    <d v="2053-04-30T00:00:00"/>
    <n v="10815"/>
    <s v=""/>
    <s v=""/>
    <s v=""/>
    <s v="02.02"/>
    <s v="02.02"/>
    <s v="00051197"/>
    <s v="Finance &amp; Accounts - Ports Hazira"/>
    <s v="304316"/>
    <s v="New Acquisition"/>
    <s v="AMNS PARADIP PORT"/>
    <s v=""/>
    <s v=""/>
    <s v="7404HAZI"/>
    <s v="20058184"/>
    <s v="Rama Barik"/>
    <s v="No"/>
    <s v="hemant.bhutra@amns.in"/>
    <s v="9879106558"/>
    <s v="1025167"/>
    <s v="Manjit Shah"/>
    <s v="Anil Matoo"/>
    <n v="0"/>
    <s v="Manjit Shah"/>
    <n v="0"/>
  </r>
  <r>
    <n v="5966"/>
    <n v="20058248"/>
    <s v="Mehulkumar Jariwala"/>
    <s v="AM/NS Ports Hazira"/>
    <s v="Onroll"/>
    <s v="M-7"/>
    <n v="7"/>
    <m/>
    <s v="MM"/>
    <s v="M"/>
    <s v="Hazira"/>
    <n v="1"/>
    <s v="7407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81-11-19T00:00:00"/>
    <s v="41.09"/>
    <d v="2021-09-01T00:00:00"/>
    <d v="2039-11-30T00:00:00"/>
    <m/>
    <d v="2039-11-30T00:00:00"/>
    <n v="5915"/>
    <s v=""/>
    <s v=""/>
    <s v=""/>
    <s v="02.00"/>
    <s v="02.00"/>
    <s v="00051198"/>
    <s v="Human Resources"/>
    <s v="304317"/>
    <s v="New Acquisition"/>
    <s v="AMNS PARADIP PORT"/>
    <s v=""/>
    <s v=""/>
    <s v="7407HAZI"/>
    <s v="20058139"/>
    <s v="Sunil Tiwari"/>
    <s v="No"/>
    <s v="mehulkumar.jariwala@amns.in"/>
    <s v="9913146802"/>
    <s v="1026885"/>
    <s v="Manjit Shah"/>
    <s v="Anil Matoo"/>
    <n v="0"/>
    <s v="Manjit Shah"/>
    <n v="0"/>
  </r>
  <r>
    <n v="5969"/>
    <n v="20058251"/>
    <s v="Abhishek Bajpai"/>
    <s v="AM/NS Ports Hazira"/>
    <s v="Onroll"/>
    <s v="M-9"/>
    <n v="9"/>
    <m/>
    <s v="JM"/>
    <s v="M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99-02-12T00:00:00"/>
    <s v="24.07"/>
    <d v="2022-05-16T00:00:00"/>
    <d v="2057-02-28T00:00:00"/>
    <m/>
    <d v="2057-02-28T00:00:00"/>
    <n v="12215"/>
    <s v=""/>
    <s v=""/>
    <s v=""/>
    <s v="01.04"/>
    <s v="01.04"/>
    <s v="00051196"/>
    <s v="Procurement - Ports Hazira"/>
    <s v="304320"/>
    <s v="New Acquisition"/>
    <s v="AMNS PARADIP PORT"/>
    <s v=""/>
    <s v=""/>
    <s v="7414HAZI"/>
    <s v="20058183"/>
    <s v="Pranabendra Barman"/>
    <s v="No"/>
    <s v="abhishek.bajpai@amns.in"/>
    <s v="9925246112"/>
    <s v="1026888"/>
    <s v="Manjit Shah"/>
    <s v="Anil Matoo"/>
    <n v="0"/>
    <s v="Manjit Shah"/>
    <n v="0"/>
  </r>
  <r>
    <n v="5985"/>
    <n v="20058270"/>
    <s v="Anant Ghag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5-06-01T00:00:00"/>
    <s v="58.03"/>
    <d v="1988-05-10T00:00:00"/>
    <d v="2025-05-31T00:00:00"/>
    <m/>
    <d v="2025-05-31T00:00:00"/>
    <n v="619"/>
    <s v=""/>
    <s v=""/>
    <s v=""/>
    <s v="35.04"/>
    <s v="35.04"/>
    <s v="00051220"/>
    <s v="Administration &amp; Security"/>
    <s v="304478"/>
    <s v="New Acquisition"/>
    <s v="Khopoli staff"/>
    <s v="0000290006"/>
    <s v="FAC-MIS_DEPT"/>
    <s v="1111KHOP"/>
    <s v="20057887"/>
    <s v="Kiran Vaidya"/>
    <s v="No"/>
    <s v="anant.ghag@amns.in"/>
    <s v="9272434256"/>
    <s v="1042606"/>
    <s v="Pritam Debbarma"/>
    <s v="Anil Matoo"/>
    <s v="-"/>
    <s v="Manjit Shah"/>
    <s v="-"/>
  </r>
  <r>
    <n v="5987"/>
    <n v="20058272"/>
    <s v="Nisha Choudhari"/>
    <s v="AMNS Khopoli"/>
    <s v="Onroll"/>
    <s v="New Acquisition"/>
    <n v="17"/>
    <m/>
    <s v="NA"/>
    <s v="F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3-08-20T00:00:00"/>
    <s v="60.00"/>
    <d v="1990-07-01T00:00:00"/>
    <d v="2023-08-31T00:00:00"/>
    <m/>
    <d v="2023-08-31T00:00:00"/>
    <n v="-20"/>
    <s v=""/>
    <s v=""/>
    <s v=""/>
    <s v="33.02"/>
    <s v="33.02"/>
    <s v="00051220"/>
    <s v="Administration &amp; Security"/>
    <s v="304480"/>
    <s v="New Acquisition"/>
    <s v="Khopoli staff"/>
    <s v="0000290002"/>
    <s v="FAC-PERSONAL &amp; ADM"/>
    <s v="1111KHOP"/>
    <s v="20057887"/>
    <s v="Kiran Vaidya"/>
    <s v="No"/>
    <s v="nisha.chowdhary@amns.in"/>
    <s v="8411970485"/>
    <s v="1021938"/>
    <s v="Pritam Debbarma"/>
    <s v="Anil Matoo"/>
    <s v="-"/>
    <s v="Manjit Shah"/>
    <s v="-"/>
  </r>
  <r>
    <n v="5988"/>
    <n v="20058273"/>
    <s v="Arun Deshmukh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5-02-28T00:00:00"/>
    <s v="58.06"/>
    <d v="1992-11-01T00:00:00"/>
    <d v="2025-02-28T00:00:00"/>
    <m/>
    <d v="2025-02-28T00:00:00"/>
    <n v="527"/>
    <s v=""/>
    <s v=""/>
    <s v=""/>
    <s v="30.10"/>
    <s v="30.10"/>
    <s v="00051389"/>
    <s v="Stores - PRC"/>
    <s v="304481"/>
    <s v="New Acquisition"/>
    <s v="Khopoli staff"/>
    <s v="0000409007"/>
    <s v="PRC-STORES_DEPT"/>
    <s v="1111KHOP"/>
    <s v="20058695"/>
    <s v="Shrigopal Bhati"/>
    <s v="No"/>
    <s v="arun.deshmukh@amns.in"/>
    <s v="8411970066"/>
    <s v="1021942"/>
    <s v="Pritam Debbarma"/>
    <s v="Anil Matoo"/>
    <s v="-"/>
    <s v="Manjit Shah"/>
    <s v="-"/>
  </r>
  <r>
    <n v="5990"/>
    <n v="20058275"/>
    <s v="Vinayak Lot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7-11-18T00:00:00"/>
    <s v="55.10"/>
    <d v="1992-12-28T00:00:00"/>
    <d v="2027-11-30T00:00:00"/>
    <m/>
    <d v="2027-11-30T00:00:00"/>
    <n v="1532"/>
    <s v=""/>
    <s v=""/>
    <s v=""/>
    <s v="30.08"/>
    <s v="30.08"/>
    <s v="00051339"/>
    <s v="Excise"/>
    <s v="304483"/>
    <s v="New Acquisition"/>
    <s v="Khopoli staff"/>
    <s v="0000290001"/>
    <s v="FAC-EXCISE_DEPT"/>
    <s v="1111KHOP"/>
    <s v="40002639"/>
    <s v="Balveer Bhandari"/>
    <s v="No"/>
    <s v="vinayak.lote@amns.in"/>
    <s v="9271446989"/>
    <s v="1021948"/>
    <s v="Pritam Debbarma"/>
    <s v="Anil Matoo"/>
    <s v="-"/>
    <s v="Manjit Shah"/>
    <s v="-"/>
  </r>
  <r>
    <n v="5992"/>
    <n v="20058277"/>
    <s v="Victor Pushparaj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7-10-18T00:00:00"/>
    <s v="55.11"/>
    <d v="1993-08-28T00:00:00"/>
    <d v="2027-10-31T00:00:00"/>
    <m/>
    <d v="2027-10-31T00:00:00"/>
    <n v="1502"/>
    <s v=""/>
    <s v=""/>
    <s v=""/>
    <s v="30.00"/>
    <s v="30.00"/>
    <s v="00051278"/>
    <s v="Stores &amp; Warehouse"/>
    <s v="304485"/>
    <s v="New Acquisition"/>
    <s v="Khopoli staff"/>
    <s v="0000309007"/>
    <s v="CGL-STORES_DEPT"/>
    <s v="1111KHOP"/>
    <s v="20058695"/>
    <s v="Shrigopal Bhati"/>
    <s v="No"/>
    <s v="pvictor.syril@amns.in"/>
    <s v="8411970681"/>
    <s v="1021956"/>
    <s v="Pritam Debbarma"/>
    <s v="Anil Matoo"/>
    <s v="-"/>
    <s v="Manjit Shah"/>
    <s v="-"/>
  </r>
  <r>
    <n v="5994"/>
    <n v="20058279"/>
    <s v="Satish Nair"/>
    <s v="AMNS Khopoli"/>
    <s v="Onroll"/>
    <s v="New Acquisition"/>
    <n v="17"/>
    <m/>
    <s v="NA"/>
    <s v="M"/>
    <s v="Khopoli"/>
    <n v="9"/>
    <n v="1126"/>
    <x v="7"/>
    <s v="34.01"/>
    <s v="Hrishikesh Kamat"/>
    <s v="Hrishikesh Kamat"/>
    <n v="7"/>
    <s v="Procurement"/>
    <s v="Stores &amp; Warehouse"/>
    <s v="34"/>
    <m/>
    <m/>
    <s v="Stores &amp; Warehouse"/>
    <m/>
    <m/>
    <s v="Non Technical Support"/>
    <s v="Operations"/>
    <s v="Operations"/>
    <s v="72103001"/>
    <s v="Operations"/>
    <s v="Khopoli"/>
    <d v="1971-02-09T00:00:00"/>
    <s v="52.07"/>
    <d v="1994-05-04T00:00:00"/>
    <d v="2031-02-28T00:00:00"/>
    <m/>
    <d v="2031-02-28T00:00:00"/>
    <n v="2718"/>
    <s v=""/>
    <s v=""/>
    <s v=""/>
    <s v="29.04"/>
    <s v="29.04"/>
    <s v="00051351"/>
    <s v="Logistics &amp; Stores"/>
    <s v="304487"/>
    <s v="New Acquisition"/>
    <s v="Khopoli staff"/>
    <s v="0000309007"/>
    <s v="CGL-STORES_DEPT"/>
    <s v="1111KHOP"/>
    <s v="20058515"/>
    <s v="Madhusudan Murdhankar"/>
    <s v="No"/>
    <s v="satish.nair@amns.in"/>
    <s v="8411970406"/>
    <s v="1021965"/>
    <s v="Pritam Debbarma"/>
    <s v="Anil Matoo"/>
    <s v="-"/>
    <s v="Manjit Shah"/>
    <s v="-"/>
  </r>
  <r>
    <n v="5997"/>
    <n v="20058283"/>
    <s v="Dattatraya Shiralkar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2-04-20T00:00:00"/>
    <s v="51.05"/>
    <d v="1995-05-15T00:00:00"/>
    <d v="2032-04-30T00:00:00"/>
    <m/>
    <d v="2032-04-30T00:00:00"/>
    <n v="3145"/>
    <s v=""/>
    <s v=""/>
    <s v=""/>
    <s v="28.04"/>
    <s v="28.04"/>
    <s v="00051329"/>
    <s v="Finance &amp; Accounts"/>
    <s v="304491"/>
    <s v="New Acquisition"/>
    <s v="Khopoli staff"/>
    <s v="0000290004"/>
    <s v="FAC-ACCOUTS_DEPT"/>
    <s v="1111KHOP"/>
    <s v="20058805"/>
    <s v="Sunil Sharma"/>
    <s v="No"/>
    <s v="dattatray.shiralkar@amns.in"/>
    <s v="9421161008"/>
    <s v="1021988"/>
    <s v="Pritam Debbarma"/>
    <s v="Anil Matoo"/>
    <s v="-"/>
    <s v="Manjit Shah"/>
    <s v="-"/>
  </r>
  <r>
    <n v="5999"/>
    <n v="20058286"/>
    <s v="Sanjay Sawant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4-10-04T00:00:00"/>
    <s v="58.11"/>
    <d v="1996-04-01T00:00:00"/>
    <d v="2024-10-31T00:00:00"/>
    <m/>
    <d v="2024-10-31T00:00:00"/>
    <n v="407"/>
    <s v=""/>
    <s v=""/>
    <s v=""/>
    <s v="27.05"/>
    <s v="27.05"/>
    <s v="00051329"/>
    <s v="Finance &amp; Accounts"/>
    <s v="304494"/>
    <s v="New Acquisition"/>
    <s v="Khopoli staff"/>
    <s v="0000290004"/>
    <s v="FAC-ACCOUTS_DEPT"/>
    <s v="1111KHOP"/>
    <s v="20058805"/>
    <s v="Sunil Sharma"/>
    <s v="No"/>
    <s v="sanjay.sawant@amns.in"/>
    <s v="8411970624"/>
    <s v="1022005"/>
    <s v="Pritam Debbarma"/>
    <s v="Anil Matoo"/>
    <s v="-"/>
    <s v="Manjit Shah"/>
    <s v="-"/>
  </r>
  <r>
    <n v="6000"/>
    <n v="20058287"/>
    <s v="Madhura Sawant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4-06-01T00:00:00"/>
    <s v="49.03"/>
    <d v="1996-06-19T00:00:00"/>
    <d v="2034-05-31T00:00:00"/>
    <m/>
    <d v="2034-05-31T00:00:00"/>
    <n v="3906"/>
    <s v=""/>
    <s v=""/>
    <s v=""/>
    <s v="27.03"/>
    <s v="27.03"/>
    <s v="00051339"/>
    <s v="Excise"/>
    <s v="304495"/>
    <s v="New Acquisition"/>
    <s v="Khopoli staff"/>
    <s v="0000290001"/>
    <s v="FAC-EXCISE_DEPT"/>
    <s v="1111KHOP"/>
    <s v="40002639"/>
    <s v="Balveer Bhandari"/>
    <s v="No"/>
    <s v="madhura.sawant@amns.in"/>
    <s v="9768355274"/>
    <s v="1022010"/>
    <s v="Pritam Debbarma"/>
    <s v="Anil Matoo"/>
    <s v="-"/>
    <s v="Manjit Shah"/>
    <s v="-"/>
  </r>
  <r>
    <n v="6001"/>
    <n v="20058288"/>
    <s v="Manisha Desai"/>
    <s v="AMNS Khopoli"/>
    <s v="Onroll"/>
    <s v="New Acquisition"/>
    <n v="17"/>
    <m/>
    <s v="NA"/>
    <s v="F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74-04-13T00:00:00"/>
    <s v="49.05"/>
    <d v="1996-07-24T00:00:00"/>
    <d v="2034-04-30T00:00:00"/>
    <m/>
    <d v="2034-04-30T00:00:00"/>
    <n v="3875"/>
    <s v=""/>
    <s v=""/>
    <s v=""/>
    <s v="27.01"/>
    <s v="27.01"/>
    <s v="00051336"/>
    <s v="Industrial Relations"/>
    <s v="304496"/>
    <s v="New Acquisition"/>
    <s v="Khopoli staff"/>
    <s v="0000290002"/>
    <s v="FAC-PERSONAL &amp; ADM"/>
    <s v="1111KHOP"/>
    <s v="20058935"/>
    <s v="Satish Mulay"/>
    <s v="No"/>
    <s v="manisha.desai@amns.in"/>
    <s v="9869363458"/>
    <s v="1022020"/>
    <s v="Pritam Debbarma"/>
    <s v="Anil Matoo"/>
    <n v="0"/>
    <s v="Manjit Shah"/>
    <n v="0"/>
  </r>
  <r>
    <n v="6002"/>
    <n v="20058289"/>
    <s v="Shama Pisat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1-07-20T00:00:00"/>
    <s v="52.02"/>
    <d v="1996-08-28T00:00:00"/>
    <d v="2031-07-31T00:00:00"/>
    <m/>
    <d v="2031-07-31T00:00:00"/>
    <n v="2871"/>
    <s v=""/>
    <s v=""/>
    <s v=""/>
    <s v="27.00"/>
    <s v="27.00"/>
    <s v="00051329"/>
    <s v="Finance &amp; Accounts"/>
    <s v="304497"/>
    <s v="New Acquisition"/>
    <s v="Khopoli staff"/>
    <s v="0000290004"/>
    <s v="FAC-ACCOUTS_DEPT"/>
    <s v="1111KHOP"/>
    <s v="20058805"/>
    <s v="Sunil Sharma"/>
    <s v="No"/>
    <s v="shama.pisat@amns.in"/>
    <s v="9324788359"/>
    <s v="1022028"/>
    <s v="Pritam Debbarma"/>
    <s v="Anil Matoo"/>
    <s v="-"/>
    <s v="Manjit Shah"/>
    <s v="-"/>
  </r>
  <r>
    <n v="6003"/>
    <n v="20058290"/>
    <s v="Abhijit Pinga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3-05-01T00:00:00"/>
    <s v="50.04"/>
    <d v="1997-06-21T00:00:00"/>
    <d v="2033-04-30T00:00:00"/>
    <m/>
    <d v="2033-04-30T00:00:00"/>
    <n v="3510"/>
    <s v=""/>
    <s v=""/>
    <s v=""/>
    <s v="26.03"/>
    <s v="26.03"/>
    <s v="00051278"/>
    <s v="Stores &amp; Warehouse"/>
    <s v="304498"/>
    <s v="New Acquisition"/>
    <s v="Khopoli staff"/>
    <s v="0000309007"/>
    <s v="CGL-STORES_DEPT"/>
    <s v="1111KHOP"/>
    <s v="20058695"/>
    <s v="Shrigopal Bhati"/>
    <s v="No"/>
    <s v="abhijit.pingale@amns.in"/>
    <s v="9423378547"/>
    <s v="1022034"/>
    <s v="Pritam Debbarma"/>
    <s v="Anil Matoo"/>
    <s v="-"/>
    <s v="Manjit Shah"/>
    <s v="-"/>
  </r>
  <r>
    <n v="6005"/>
    <n v="20058292"/>
    <s v="Rajendra Kanase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2-06-02T00:00:00"/>
    <s v="51.03"/>
    <d v="2002-10-12T00:00:00"/>
    <d v="2032-06-30T00:00:00"/>
    <m/>
    <d v="2032-06-30T00:00:00"/>
    <n v="3206"/>
    <s v=""/>
    <s v=""/>
    <s v=""/>
    <s v="20.11"/>
    <s v="20.11"/>
    <s v="00051220"/>
    <s v="Administration &amp; Security"/>
    <s v="304500"/>
    <s v="New Acquisition"/>
    <s v="Khopoli staff"/>
    <s v="0000290006"/>
    <s v="FAC-MIS_DEPT"/>
    <s v="1111KHOP"/>
    <s v="20057887"/>
    <s v="Kiran Vaidya"/>
    <s v="No"/>
    <s v="rajendra.kanase@amns.in"/>
    <s v="8007253791"/>
    <s v="1042608"/>
    <s v="Pritam Debbarma"/>
    <s v="Anil Matoo"/>
    <s v="-"/>
    <s v="Manjit Shah"/>
    <s v="-"/>
  </r>
  <r>
    <n v="6010"/>
    <n v="20058297"/>
    <s v="Susanta Rath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1-01-02T00:00:00"/>
    <s v="52.08"/>
    <d v="2002-08-14T00:00:00"/>
    <d v="2031-01-31T00:00:00"/>
    <m/>
    <d v="2031-01-31T00:00:00"/>
    <n v="2690"/>
    <s v=""/>
    <s v=""/>
    <s v=""/>
    <s v="21.01"/>
    <s v="21.01"/>
    <s v="00051330"/>
    <s v="Accounts - Costing"/>
    <s v="304505"/>
    <s v="New Acquisition"/>
    <s v="Khopoli staff"/>
    <s v="0000290005"/>
    <s v="FAC-COSTING_DEPT"/>
    <s v="1111KHOP"/>
    <s v="0"/>
    <s v=""/>
    <s v="No"/>
    <s v="susanta.rath@amns.in"/>
    <s v="8411970453"/>
    <s v="1022058"/>
    <s v="Pritam Debbarma"/>
    <s v="Anil Matoo"/>
    <s v="-"/>
    <s v="Manjit Shah"/>
    <s v="-"/>
  </r>
  <r>
    <n v="6012"/>
    <n v="20058300"/>
    <s v="Sunita Manurkar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9-09-13T00:00:00"/>
    <s v="44.00"/>
    <d v="2005-04-15T00:00:00"/>
    <d v="2039-09-30T00:00:00"/>
    <m/>
    <d v="2039-09-30T00:00:00"/>
    <n v="5854"/>
    <s v=""/>
    <s v=""/>
    <s v=""/>
    <s v="18.05"/>
    <s v="18.05"/>
    <s v="00051339"/>
    <s v="Excise"/>
    <s v="304508"/>
    <s v="New Acquisition"/>
    <s v="Khopoli staff"/>
    <s v="0000290001"/>
    <s v="FAC-EXCISE_DEPT"/>
    <s v="1111KHOP"/>
    <s v="40002639"/>
    <s v="Balveer Bhandari"/>
    <s v="No"/>
    <s v="sunita.manurkar@amns.in"/>
    <s v="9552698460"/>
    <s v="1042453"/>
    <s v="Pritam Debbarma"/>
    <s v="Anil Matoo"/>
    <s v="-"/>
    <s v="Manjit Shah"/>
    <s v="-"/>
  </r>
  <r>
    <n v="6014"/>
    <n v="20058302"/>
    <s v="Sanjay Thaku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5-07-01T00:00:00"/>
    <s v="48.02"/>
    <d v="2005-11-14T00:00:00"/>
    <d v="2035-06-30T00:00:00"/>
    <m/>
    <d v="2035-06-30T00:00:00"/>
    <n v="4301"/>
    <s v=""/>
    <s v=""/>
    <s v=""/>
    <s v="17.10"/>
    <s v="17.10"/>
    <s v="00051220"/>
    <s v="Administration &amp; Security"/>
    <s v="304510"/>
    <s v="New Acquisition"/>
    <s v="Khopoli staff"/>
    <s v="0000290002"/>
    <s v="FAC-PERSONAL &amp; ADM"/>
    <s v="1111KHOP"/>
    <s v="20057887"/>
    <s v="Kiran Vaidya"/>
    <s v="No"/>
    <s v="sanjay.thakur@amns.in"/>
    <s v="8411970440"/>
    <s v="1022077"/>
    <s v="Pritam Debbarma"/>
    <s v="Anil Matoo"/>
    <s v="-"/>
    <s v="Manjit Shah"/>
    <s v="-"/>
  </r>
  <r>
    <n v="6016"/>
    <n v="20058304"/>
    <s v="Rajesh Kaps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4-03-14T00:00:00"/>
    <s v="49.06"/>
    <d v="2006-02-09T00:00:00"/>
    <d v="2034-03-31T00:00:00"/>
    <m/>
    <d v="2034-03-31T00:00:00"/>
    <n v="3845"/>
    <s v=""/>
    <s v=""/>
    <s v=""/>
    <s v="17.07"/>
    <s v="17.07"/>
    <s v="00051278"/>
    <s v="Stores &amp; Warehouse"/>
    <s v="304512"/>
    <s v="New Acquisition"/>
    <s v="Khopoli staff"/>
    <s v="0000509007"/>
    <s v="CCL-STORES_DEPT"/>
    <s v="1111KHOP"/>
    <s v="20058695"/>
    <s v="Shrigopal Bhati"/>
    <s v="No"/>
    <s v="rajesh.kapse@amns.in"/>
    <s v="9049828180"/>
    <s v="1021920"/>
    <s v="Pritam Debbarma"/>
    <s v="Anil Matoo"/>
    <s v="-"/>
    <s v="Manjit Shah"/>
    <s v="-"/>
  </r>
  <r>
    <n v="6018"/>
    <n v="20058306"/>
    <s v="Shashikumar Panike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7-02-26T00:00:00"/>
    <s v="56.06"/>
    <d v="2007-01-24T00:00:00"/>
    <d v="2027-02-28T00:00:00"/>
    <m/>
    <d v="2027-02-28T00:00:00"/>
    <n v="1257"/>
    <s v=""/>
    <s v=""/>
    <s v=""/>
    <s v="16.07"/>
    <s v="16.07"/>
    <s v="00051220"/>
    <s v="Administration &amp; Security"/>
    <s v="304514"/>
    <s v="New Acquisition"/>
    <s v="Khopoli staff"/>
    <s v="0000290002"/>
    <s v="FAC-PERSONAL &amp; ADM"/>
    <s v="1111KHOP"/>
    <s v="20057887"/>
    <s v="Kiran Vaidya"/>
    <s v="No"/>
    <s v="shashi.m@amns.in"/>
    <s v="8411970677"/>
    <s v="1021931"/>
    <s v="Pritam Debbarma"/>
    <s v="Anil Matoo"/>
    <s v="-"/>
    <s v="Manjit Shah"/>
    <s v="-"/>
  </r>
  <r>
    <n v="6019"/>
    <n v="20058307"/>
    <s v="Jyoti Kajale"/>
    <s v="AMNS Khopoli"/>
    <s v="Onroll"/>
    <s v="New Acquisition"/>
    <n v="17"/>
    <m/>
    <s v="NA"/>
    <s v="F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84-07-07T00:00:00"/>
    <s v="39.02"/>
    <d v="2007-03-05T00:00:00"/>
    <d v="2044-07-31T00:00:00"/>
    <m/>
    <d v="2044-07-31T00:00:00"/>
    <n v="7620"/>
    <s v=""/>
    <s v=""/>
    <s v=""/>
    <s v="16.06"/>
    <s v="16.06"/>
    <s v="00051336"/>
    <s v="Industrial Relations"/>
    <s v="304515"/>
    <s v="New Acquisition"/>
    <s v="Khopoli staff"/>
    <s v="0000290002"/>
    <s v="FAC-PERSONAL &amp; ADM"/>
    <s v="1111KHOP"/>
    <s v="20058935"/>
    <s v="Satish Mulay"/>
    <s v="No"/>
    <s v="jyoti.kajale@amns.in"/>
    <s v="9595361138"/>
    <s v="1021934"/>
    <s v="Pritam Debbarma"/>
    <s v="Anil Matoo"/>
    <n v="0"/>
    <s v="Manjit Shah"/>
    <n v="0"/>
  </r>
  <r>
    <n v="6020"/>
    <n v="20058308"/>
    <s v="Sudhir Thaku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4-06-01T00:00:00"/>
    <s v="49.03"/>
    <d v="2007-04-16T00:00:00"/>
    <d v="2034-05-31T00:00:00"/>
    <m/>
    <d v="2034-05-31T00:00:00"/>
    <n v="3906"/>
    <s v=""/>
    <s v=""/>
    <s v=""/>
    <s v="16.05"/>
    <s v="16.05"/>
    <s v="00051220"/>
    <s v="Administration &amp; Security"/>
    <s v="304516"/>
    <s v="New Acquisition"/>
    <s v="Khopoli staff"/>
    <s v="0000290002"/>
    <s v="FAC-PERSONAL &amp; ADM"/>
    <s v="1111KHOP"/>
    <s v="20057887"/>
    <s v="Kiran Vaidya"/>
    <s v="No"/>
    <s v="sudhir.thakur@amns.in"/>
    <s v="8411970439"/>
    <s v="1021937"/>
    <s v="Pritam Debbarma"/>
    <s v="Anil Matoo"/>
    <s v="-"/>
    <s v="Manjit Shah"/>
    <s v="-"/>
  </r>
  <r>
    <n v="6021"/>
    <n v="20058309"/>
    <s v="Santosh Salvi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63-12-24T00:00:00"/>
    <s v="59.08"/>
    <d v="2007-05-24T00:00:00"/>
    <d v="2023-12-31T00:00:00"/>
    <m/>
    <d v="2023-12-31T00:00:00"/>
    <n v="102"/>
    <s v=""/>
    <s v=""/>
    <s v=""/>
    <s v="16.03"/>
    <s v="16.03"/>
    <s v="00051336"/>
    <s v="Industrial Relations"/>
    <s v="304517"/>
    <s v="New Acquisition"/>
    <s v="Khopoli staff"/>
    <s v="0000290002"/>
    <s v="FAC-PERSONAL &amp; ADM"/>
    <s v="1111KHOP"/>
    <s v="20058935"/>
    <s v="Satish Mulay"/>
    <s v="No"/>
    <s v="santosh.salvi@amns.in"/>
    <s v="8411970840"/>
    <s v="1021941"/>
    <s v="Pritam Debbarma"/>
    <s v="Anil Matoo"/>
    <n v="0"/>
    <s v="Manjit Shah"/>
    <n v="0"/>
  </r>
  <r>
    <n v="6022"/>
    <n v="20058310"/>
    <s v="Amod Parange"/>
    <s v="AMNS Khopoli"/>
    <s v="Onroll"/>
    <s v="New Acquisition"/>
    <n v="17"/>
    <m/>
    <s v="NA"/>
    <s v="M"/>
    <s v="Khopoli"/>
    <n v="9"/>
    <s v="1123"/>
    <x v="12"/>
    <n v="35.02"/>
    <s v="Hrishikesh Kamat"/>
    <s v="Hrishikesh Kamat"/>
    <n v="7"/>
    <s v="Procurement"/>
    <s v="Land Acquisition"/>
    <s v="35"/>
    <m/>
    <m/>
    <s v="Legal / Land"/>
    <s v=""/>
    <s v=""/>
    <s v="Non Technical Support"/>
    <s v="Operations"/>
    <s v="Operations"/>
    <s v="72103001"/>
    <s v="Operations"/>
    <s v="Khopoli"/>
    <d v="1977-03-04T00:00:00"/>
    <s v="46.06"/>
    <d v="2007-06-01T00:00:00"/>
    <d v="2037-03-31T00:00:00"/>
    <m/>
    <d v="2037-03-31T00:00:00"/>
    <n v="4941"/>
    <s v=""/>
    <s v=""/>
    <s v=""/>
    <s v="16.03"/>
    <s v="16.03"/>
    <s v="00051268"/>
    <s v="Land Acquisition"/>
    <s v="304518"/>
    <s v="New Acquisition"/>
    <s v="Khopoli staff"/>
    <s v="0000290002"/>
    <s v="FAC-PERSONAL &amp; ADM"/>
    <s v="1111KHOP"/>
    <s v="0"/>
    <s v=""/>
    <s v="No"/>
    <s v="amod.parange@amns.in"/>
    <s v="8411970561"/>
    <s v="1021953"/>
    <s v="Pritam Debbarma"/>
    <s v="Anil Matoo"/>
    <s v="-"/>
    <s v="Manjit Shah"/>
    <s v="-"/>
  </r>
  <r>
    <n v="6025"/>
    <n v="20058313"/>
    <s v="Sanjivani Patil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1-06-21T00:00:00"/>
    <s v="42.03"/>
    <d v="2007-09-03T00:00:00"/>
    <d v="2041-06-30T00:00:00"/>
    <m/>
    <d v="2041-06-30T00:00:00"/>
    <n v="6493"/>
    <s v=""/>
    <s v=""/>
    <s v=""/>
    <s v="16.00"/>
    <s v="16.00"/>
    <s v="00051329"/>
    <s v="Finance &amp; Accounts"/>
    <s v="304521"/>
    <s v="New Acquisition"/>
    <s v="Khopoli staff"/>
    <s v="0000290004"/>
    <s v="FAC-ACCOUTS_DEPT"/>
    <s v="1111KHOP"/>
    <s v="20058805"/>
    <s v="Sunil Sharma"/>
    <s v="No"/>
    <s v="sanjivani.patil@amns.in"/>
    <s v="9049827523"/>
    <s v="1021962"/>
    <s v="Pritam Debbarma"/>
    <s v="Anil Matoo"/>
    <s v="-"/>
    <s v="Manjit Shah"/>
    <s v="-"/>
  </r>
  <r>
    <n v="6032"/>
    <n v="20058320"/>
    <s v="Bashir Shaikh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5-01-12T00:00:00"/>
    <s v="58.08"/>
    <d v="2010-03-10T00:00:00"/>
    <d v="2025-01-31T00:00:00"/>
    <m/>
    <d v="2025-01-31T00:00:00"/>
    <n v="499"/>
    <s v=""/>
    <s v=""/>
    <s v=""/>
    <s v="13.06"/>
    <s v="13.06"/>
    <s v="00051329"/>
    <s v="Finance &amp; Accounts"/>
    <s v="304528"/>
    <s v="New Acquisition"/>
    <s v="Khopoli staff"/>
    <s v="0000290004"/>
    <s v="FAC-ACCOUTS_DEPT"/>
    <s v="1111KHOP"/>
    <s v="20058805"/>
    <s v="Sunil Sharma"/>
    <s v="No"/>
    <s v="bashir.shaikh@amns.in"/>
    <s v="9421161095"/>
    <s v="1021987"/>
    <s v="Pritam Debbarma"/>
    <s v="Anil Matoo"/>
    <s v="-"/>
    <s v="Manjit Shah"/>
    <s v="-"/>
  </r>
  <r>
    <n v="6036"/>
    <n v="20058324"/>
    <s v="Ashwini Sakpal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90-04-11T00:00:00"/>
    <s v="33.05"/>
    <d v="2011-05-09T00:00:00"/>
    <d v="2050-04-30T00:00:00"/>
    <m/>
    <d v="2050-04-30T00:00:00"/>
    <n v="9719"/>
    <s v=""/>
    <s v=""/>
    <s v=""/>
    <s v="12.04"/>
    <s v="12.04"/>
    <s v="00051378"/>
    <s v="Exports - Marketing"/>
    <s v="304532"/>
    <s v="New Acquisition"/>
    <s v="Khopoli staff"/>
    <s v="0000100014"/>
    <s v="HOM-SALE&amp;MKTG-EXPORT"/>
    <s v="1111KHOP"/>
    <s v="20058801"/>
    <s v="Shubhangi Patil"/>
    <s v="No"/>
    <s v="ashwini.chalke@amns.in"/>
    <s v="9881307522"/>
    <s v="1022033"/>
    <s v="Pritam Debbarma"/>
    <s v="Anil Matoo"/>
    <s v="-"/>
    <s v="Manjit Shah"/>
    <s v="-"/>
  </r>
  <r>
    <n v="6054"/>
    <n v="20058342"/>
    <s v="Sandip Patil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3-02-10T00:00:00"/>
    <s v="50.07"/>
    <d v="1994-11-21T00:00:00"/>
    <d v="2033-02-28T00:00:00"/>
    <m/>
    <d v="2033-02-28T00:00:00"/>
    <n v="3449"/>
    <s v=""/>
    <s v=""/>
    <s v=""/>
    <s v="28.09"/>
    <s v="28.09"/>
    <s v="00051278"/>
    <s v="Stores &amp; Warehouse"/>
    <s v="304550"/>
    <s v="New Acquisition"/>
    <s v="Khopoli staff"/>
    <s v="0000209007"/>
    <s v="CRM-STORES_DEPT"/>
    <s v="1111KHOP"/>
    <s v="20058695"/>
    <s v="Shrigopal Bhati"/>
    <s v="No"/>
    <s v="sandip.patil@amns.in"/>
    <s v="8411970609"/>
    <s v="1022094"/>
    <s v="Pritam Debbarma"/>
    <s v="Anil Matoo"/>
    <s v="-"/>
    <s v="Manjit Shah"/>
    <s v="-"/>
  </r>
  <r>
    <n v="6069"/>
    <n v="20058357"/>
    <s v="Samadhan Sakhar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9-09-16T00:00:00"/>
    <s v="54.00"/>
    <d v="1995-12-20T00:00:00"/>
    <d v="2029-09-30T00:00:00"/>
    <m/>
    <d v="2029-09-30T00:00:00"/>
    <n v="2202"/>
    <s v=""/>
    <s v=""/>
    <s v=""/>
    <s v="27.09"/>
    <s v="27.09"/>
    <s v="00051278"/>
    <s v="Stores &amp; Warehouse"/>
    <s v="304565"/>
    <s v="New Acquisition"/>
    <s v="Khopoli staff"/>
    <s v="0000209007"/>
    <s v="CRM-STORES_DEPT"/>
    <s v="1111KHOP"/>
    <s v="20058695"/>
    <s v="Shrigopal Bhati"/>
    <s v="No"/>
    <s v="samadhan.sakhare@amns.in"/>
    <s v="7767808350"/>
    <s v="1022049"/>
    <s v="Pritam Debbarma"/>
    <s v="Anil Matoo"/>
    <s v="-"/>
    <s v="Manjit Shah"/>
    <s v="-"/>
  </r>
  <r>
    <n v="6073"/>
    <n v="20058362"/>
    <s v="Pravin Waghu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8-04-12T00:00:00"/>
    <s v="55.05"/>
    <d v="1996-04-04T00:00:00"/>
    <d v="2028-04-30T00:00:00"/>
    <m/>
    <d v="2028-04-30T00:00:00"/>
    <n v="1684"/>
    <s v=""/>
    <s v=""/>
    <s v=""/>
    <s v="27.05"/>
    <s v="27.05"/>
    <s v="00051278"/>
    <s v="Stores &amp; Warehouse"/>
    <s v="304570"/>
    <s v="New Acquisition"/>
    <s v="Khopoli staff"/>
    <s v="0000249007"/>
    <s v="SSC-STORES_DEPT"/>
    <s v="1111KHOP"/>
    <s v="20058695"/>
    <s v="Shrigopal Bhati"/>
    <s v="No"/>
    <s v="pravin.waghule@amns.in"/>
    <s v="7769881682"/>
    <s v="1042625"/>
    <s v="Pritam Debbarma"/>
    <s v="Anil Matoo"/>
    <s v="-"/>
    <s v="Manjit Shah"/>
    <s v="-"/>
  </r>
  <r>
    <n v="6075"/>
    <n v="20058364"/>
    <s v="Suresh Malusar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8-02-28T00:00:00"/>
    <s v="55.06"/>
    <d v="1996-04-13T00:00:00"/>
    <d v="2028-02-29T00:00:00"/>
    <m/>
    <d v="2028-02-29T00:00:00"/>
    <n v="1623"/>
    <s v=""/>
    <s v=""/>
    <s v=""/>
    <s v="27.05"/>
    <s v="27.05"/>
    <s v="00051278"/>
    <s v="Stores &amp; Warehouse"/>
    <s v="304572"/>
    <s v="New Acquisition"/>
    <s v="Khopoli staff"/>
    <s v="0000249007"/>
    <s v="SSC-STORES_DEPT"/>
    <s v="1111KHOP"/>
    <s v="20058695"/>
    <s v="Shrigopal Bhati"/>
    <s v="No"/>
    <s v="suresh.malusare@amns.in"/>
    <s v="8411970024"/>
    <s v="1022081"/>
    <s v="Pritam Debbarma"/>
    <s v="Anil Matoo"/>
    <s v="-"/>
    <s v="Manjit Shah"/>
    <s v="-"/>
  </r>
  <r>
    <n v="6102"/>
    <n v="20058392"/>
    <s v="Pratiksha Khare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74-03-20T00:00:00"/>
    <s v="49.06"/>
    <d v="1999-04-28T00:00:00"/>
    <d v="2034-03-31T00:00:00"/>
    <m/>
    <d v="2034-03-31T00:00:00"/>
    <n v="3845"/>
    <s v=""/>
    <s v=""/>
    <s v=""/>
    <s v="24.04"/>
    <s v="24.04"/>
    <s v="00051378"/>
    <s v="Exports - Marketing"/>
    <s v="304600"/>
    <s v="New Acquisition"/>
    <s v="Khopoli staff"/>
    <s v="0000100014"/>
    <s v="HOM-SALE&amp;MKTG-EXPORT"/>
    <s v="1111KHOP"/>
    <s v="20058801"/>
    <s v="Shubhangi Patil"/>
    <s v="No"/>
    <s v="pratiksha.khare@amns.in"/>
    <s v="8411970586"/>
    <s v="1022180"/>
    <s v="Pritam Debbarma"/>
    <s v="Anil Matoo"/>
    <s v="-"/>
    <s v="Manjit Shah"/>
    <s v="-"/>
  </r>
  <r>
    <n v="6116"/>
    <n v="20058406"/>
    <s v="Sameer Paland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6-12T00:00:00"/>
    <s v="47.03"/>
    <d v="1999-04-05T00:00:00"/>
    <d v="2036-06-30T00:00:00"/>
    <m/>
    <d v="2036-06-30T00:00:00"/>
    <n v="4667"/>
    <s v=""/>
    <s v=""/>
    <s v=""/>
    <s v="24.05"/>
    <s v="24.05"/>
    <s v="00051330"/>
    <s v="Accounts - Costing"/>
    <s v="304614"/>
    <s v="New Acquisition"/>
    <s v="Khopoli staff"/>
    <s v="0000290005"/>
    <s v="FAC-COSTING_DEPT"/>
    <s v="1111KHOP"/>
    <s v="20058297"/>
    <s v="Susanta Rath"/>
    <s v="No"/>
    <s v="sameer.palande@amns.in"/>
    <s v="8411970600"/>
    <s v="1022030"/>
    <s v="Pritam Debbarma"/>
    <s v="Anil Matoo"/>
    <s v="-"/>
    <s v="Manjit Shah"/>
    <s v="-"/>
  </r>
  <r>
    <n v="6133"/>
    <n v="20058423"/>
    <s v="Lalit Dhiman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06-19T00:00:00"/>
    <s v="57.03"/>
    <d v="2003-11-18T00:00:00"/>
    <d v="2026-06-30T00:00:00"/>
    <m/>
    <d v="2026-06-30T00:00:00"/>
    <n v="1014"/>
    <s v=""/>
    <s v=""/>
    <s v=""/>
    <s v="19.10"/>
    <s v="19.10"/>
    <s v="00051339"/>
    <s v="Excise"/>
    <s v="304631"/>
    <s v="New Acquisition"/>
    <s v="Khopoli staff"/>
    <s v="0000290001"/>
    <s v="FAC-EXCISE_DEPT"/>
    <s v="1111KHOP"/>
    <s v="40002639"/>
    <s v="Balveer Bhandari"/>
    <s v="No"/>
    <s v="lalit.dhiman@amns.in"/>
    <s v="9769837007"/>
    <s v="1022075"/>
    <s v="Pritam Debbarma"/>
    <s v="Anil Matoo"/>
    <s v="-"/>
    <s v="Manjit Shah"/>
    <s v="-"/>
  </r>
  <r>
    <n v="6167"/>
    <n v="20058460"/>
    <s v="Nazir Danwad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9-03-07T00:00:00"/>
    <s v="44.06"/>
    <d v="2003-12-16T00:00:00"/>
    <d v="2039-03-31T00:00:00"/>
    <m/>
    <d v="2039-03-31T00:00:00"/>
    <n v="5671"/>
    <s v=""/>
    <s v=""/>
    <s v=""/>
    <s v="19.09"/>
    <s v="19.09"/>
    <s v="00051330"/>
    <s v="Accounts - Costing"/>
    <s v="304668"/>
    <s v="New Acquisition"/>
    <s v="Khopoli staff"/>
    <s v="0000290005"/>
    <s v="FAC-COSTING_DEPT"/>
    <s v="1111KHOP"/>
    <s v="20058297"/>
    <s v="Susanta Rath"/>
    <s v="No"/>
    <s v="nazir.danawade@amns.in"/>
    <s v="8411970647"/>
    <s v="1022119"/>
    <s v="Pritam Debbarma"/>
    <s v="Anil Matoo"/>
    <s v="-"/>
    <s v="Manjit Shah"/>
    <s v="-"/>
  </r>
  <r>
    <n v="6169"/>
    <n v="20058462"/>
    <s v="Shailesh Gambhi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3-07-04T00:00:00"/>
    <s v="40.02"/>
    <d v="2005-08-17T00:00:00"/>
    <d v="2043-07-31T00:00:00"/>
    <m/>
    <d v="2043-07-31T00:00:00"/>
    <n v="7254"/>
    <s v=""/>
    <s v=""/>
    <s v=""/>
    <s v="18.01"/>
    <s v="18.01"/>
    <s v="00051278"/>
    <s v="Stores &amp; Warehouse"/>
    <s v="304670"/>
    <s v="New Acquisition"/>
    <s v="Khopoli staff"/>
    <s v="0000219007"/>
    <s v="TRM-STORES_DEPT"/>
    <s v="1111KHOP"/>
    <s v="20058695"/>
    <s v="Shrigopal Bhati"/>
    <s v="No"/>
    <s v="shailesh.gambhir@amns.in"/>
    <s v="9673126976"/>
    <s v="1022123"/>
    <s v="Pritam Debbarma"/>
    <s v="Anil Matoo"/>
    <s v="-"/>
    <s v="Manjit Shah"/>
    <s v="-"/>
  </r>
  <r>
    <n v="6173"/>
    <n v="20058466"/>
    <s v="Rakesh Patil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2-12-05T00:00:00"/>
    <s v="40.09"/>
    <d v="2006-01-09T00:00:00"/>
    <d v="2042-12-31T00:00:00"/>
    <m/>
    <d v="2042-12-31T00:00:00"/>
    <n v="7042"/>
    <s v=""/>
    <s v=""/>
    <s v=""/>
    <s v="17.08"/>
    <s v="17.08"/>
    <s v="00051278"/>
    <s v="Stores &amp; Warehouse"/>
    <s v="304674"/>
    <s v="New Acquisition"/>
    <s v="Khopoli staff"/>
    <s v="0000209007"/>
    <s v="CRM-STORES_DEPT"/>
    <s v="1111KHOP"/>
    <s v="20058695"/>
    <s v="Shrigopal Bhati"/>
    <s v="No"/>
    <s v="rakesh.patil2@amns.in"/>
    <s v="9823930232"/>
    <s v="1042685"/>
    <s v="Pritam Debbarma"/>
    <s v="Anil Matoo"/>
    <s v="-"/>
    <s v="Manjit Shah"/>
    <s v="-"/>
  </r>
  <r>
    <n v="6205"/>
    <n v="20058500"/>
    <s v="Bhushan Ghosalka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4-05-19T00:00:00"/>
    <s v="39.04"/>
    <d v="2007-08-09T00:00:00"/>
    <d v="2044-05-31T00:00:00"/>
    <m/>
    <d v="2044-05-31T00:00:00"/>
    <n v="7559"/>
    <s v=""/>
    <s v=""/>
    <s v=""/>
    <s v="16.01"/>
    <s v="16.01"/>
    <s v="00051278"/>
    <s v="Stores &amp; Warehouse"/>
    <s v="304708"/>
    <s v="New Acquisition"/>
    <s v="Khopoli staff"/>
    <s v="0000209007"/>
    <s v="CRM-STORES_DEPT"/>
    <s v="1111KHOP"/>
    <s v="20058695"/>
    <s v="Shrigopal Bhati"/>
    <s v="No"/>
    <s v="bhushan.ghosalkar@amns.in"/>
    <s v="8087771694"/>
    <s v="1042697"/>
    <s v="Pritam Debbarma"/>
    <s v="Anil Matoo"/>
    <s v="-"/>
    <s v="Manjit Shah"/>
    <s v="-"/>
  </r>
  <r>
    <n v="6207"/>
    <n v="20058502"/>
    <s v="Wilson Ratnam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8-04-15T00:00:00"/>
    <s v="45.05"/>
    <d v="2007-09-07T00:00:00"/>
    <d v="2038-04-30T00:00:00"/>
    <m/>
    <d v="2038-04-30T00:00:00"/>
    <n v="5336"/>
    <s v=""/>
    <s v=""/>
    <s v=""/>
    <s v="16.00"/>
    <s v="16.00"/>
    <s v="00051351"/>
    <s v="Logistics &amp; Stores"/>
    <s v="304710"/>
    <s v="New Acquisition"/>
    <s v="Khopoli staff"/>
    <s v="0000909007"/>
    <s v="NPP - STORES_DEPT"/>
    <s v="1111KHOP"/>
    <s v="20058515"/>
    <s v="Madhusudan Murdhankar"/>
    <s v="No"/>
    <s v="wilson.ratnam@amns.in"/>
    <s v="9823722478"/>
    <s v="1042698"/>
    <s v="Pritam Debbarma"/>
    <s v="Anil Matoo"/>
    <s v="-"/>
    <s v="Manjit Shah"/>
    <s v="-"/>
  </r>
  <r>
    <n v="6219"/>
    <n v="20058515"/>
    <s v="Madhusudan Murdhanka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6-05-24T00:00:00"/>
    <s v="57.03"/>
    <d v="2007-12-18T00:00:00"/>
    <d v="2026-05-31T00:00:00"/>
    <m/>
    <d v="2026-05-31T00:00:00"/>
    <n v="984"/>
    <s v=""/>
    <s v=""/>
    <s v=""/>
    <s v="15.09"/>
    <s v="15.09"/>
    <s v="00051351"/>
    <s v="Logistics &amp; Stores"/>
    <s v="304723"/>
    <s v="New Acquisition"/>
    <s v="Khopoli staff"/>
    <s v="0000909007"/>
    <s v="NPP - STORES_DEPT"/>
    <s v="1111KHOP"/>
    <s v="20058616"/>
    <s v="Vineet Jain"/>
    <s v="No"/>
    <s v="madhusudan.murdhankar@amns.in"/>
    <s v="8411970540"/>
    <s v=""/>
    <s v="Pritam Debbarma"/>
    <s v="Anil Matoo"/>
    <s v="-"/>
    <s v="Manjit Shah"/>
    <s v="-"/>
  </r>
  <r>
    <n v="6252"/>
    <n v="20058549"/>
    <s v="Debendra Sahoo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0-11-27T00:00:00"/>
    <s v="52.09"/>
    <d v="2008-08-19T00:00:00"/>
    <d v="2030-11-30T00:00:00"/>
    <m/>
    <d v="2030-11-30T00:00:00"/>
    <n v="2628"/>
    <s v=""/>
    <s v=""/>
    <s v=""/>
    <s v="15.01"/>
    <s v="15.01"/>
    <s v="00051278"/>
    <s v="Stores &amp; Warehouse"/>
    <s v="304757"/>
    <s v="New Acquisition"/>
    <s v="Khopoli staff"/>
    <s v="0000309007"/>
    <s v="CGL-STORES_DEPT"/>
    <s v="1111KHOP"/>
    <s v="20058695"/>
    <s v="Shrigopal Bhati"/>
    <s v="No"/>
    <s v="debendra.sahoo@amns.in"/>
    <s v="9545603945"/>
    <s v="1042476"/>
    <s v="Pritam Debbarma"/>
    <s v="Anil Matoo"/>
    <s v="-"/>
    <s v="Manjit Shah"/>
    <s v="-"/>
  </r>
  <r>
    <n v="6264"/>
    <n v="20058561"/>
    <s v="Dinesh Agiva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5-07-24T00:00:00"/>
    <s v="38.01"/>
    <d v="2009-02-16T00:00:00"/>
    <d v="2045-07-31T00:00:00"/>
    <m/>
    <d v="2045-07-31T00:00:00"/>
    <n v="7985"/>
    <s v=""/>
    <s v=""/>
    <s v=""/>
    <s v="14.07"/>
    <s v="14.07"/>
    <s v="00051351"/>
    <s v="Logistics &amp; Stores"/>
    <s v="304769"/>
    <s v="New Acquisition"/>
    <s v="Khopoli staff"/>
    <s v="0000909007"/>
    <s v="NPP - STORES_DEPT"/>
    <s v="1111KHOP"/>
    <s v="20058515"/>
    <s v="Madhusudan Murdhankar"/>
    <s v="No"/>
    <s v="dinesh.agivale@amns.in"/>
    <s v="8554910546"/>
    <s v="1042731"/>
    <s v="Pritam Debbarma"/>
    <s v="Anil Matoo"/>
    <s v="-"/>
    <s v="Manjit Shah"/>
    <s v="-"/>
  </r>
  <r>
    <n v="6286"/>
    <n v="20058584"/>
    <s v="Santhosh Raghava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outh"/>
    <s v="Hypermart"/>
    <s v=""/>
    <s v="Non Technical Support"/>
    <s v="Operations"/>
    <s v="Operations"/>
    <s v="72103001"/>
    <s v="Operations"/>
    <s v="Chennai"/>
    <d v="1966-05-04T00:00:00"/>
    <s v="57.04"/>
    <d v="2008-01-21T00:00:00"/>
    <d v="2026-05-31T00:00:00"/>
    <m/>
    <d v="2026-05-31T00:00:00"/>
    <n v="984"/>
    <s v=""/>
    <s v=""/>
    <s v=""/>
    <s v="15.07"/>
    <s v="15.07"/>
    <s v="00051380"/>
    <s v="Sales &amp; Marketing"/>
    <s v="304792"/>
    <s v="New Acquisition"/>
    <s v="Khopoli staff"/>
    <s v="0000290012"/>
    <s v="FAC-MARKETING CO-ORD"/>
    <s v="1111KHOP"/>
    <s v="20058920"/>
    <s v="Atul Singh"/>
    <s v="No"/>
    <s v="santosh.raghavan@amns.in"/>
    <s v="8411970402"/>
    <s v="1022150"/>
    <s v="Pritam Debbarma"/>
    <s v="Anil Matoo"/>
    <s v="-"/>
    <s v="Manjit Shah"/>
    <s v="-"/>
  </r>
  <r>
    <n v="6296"/>
    <n v="20058594"/>
    <s v="Praveen Singh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1-02-02T00:00:00"/>
    <s v="42.07"/>
    <d v="2010-03-08T00:00:00"/>
    <d v="2041-02-28T00:00:00"/>
    <m/>
    <d v="2041-02-28T00:00:00"/>
    <n v="6371"/>
    <s v=""/>
    <s v=""/>
    <s v=""/>
    <s v="13.06"/>
    <s v="13.06"/>
    <s v="00051278"/>
    <s v="Stores &amp; Warehouse"/>
    <s v="304802"/>
    <s v="New Acquisition"/>
    <s v="Khopoli staff"/>
    <s v="0000209007"/>
    <s v="CRM-STORES_DEPT"/>
    <s v="1111KHOP"/>
    <s v="20058695"/>
    <s v="Shrigopal Bhati"/>
    <s v="No"/>
    <s v="praveen.singh@amns.in"/>
    <s v="8237740145"/>
    <s v="1022211"/>
    <s v="Pritam Debbarma"/>
    <s v="Anil Matoo"/>
    <s v="-"/>
    <s v="Manjit Shah"/>
    <s v="-"/>
  </r>
  <r>
    <n v="6299"/>
    <n v="20058597"/>
    <s v="Shashi Rai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9-07-01T00:00:00"/>
    <s v="44.02"/>
    <d v="2010-04-19T00:00:00"/>
    <d v="2039-06-30T00:00:00"/>
    <m/>
    <d v="2039-06-30T00:00:00"/>
    <n v="5762"/>
    <s v=""/>
    <s v=""/>
    <s v=""/>
    <s v="13.05"/>
    <s v="13.05"/>
    <s v="73800002"/>
    <s v="Procurement - Pune Asset"/>
    <s v="304805"/>
    <s v="New Acquisition"/>
    <s v="Khopoli staff"/>
    <s v="0000100010"/>
    <s v="HOM-COMM. &amp; PROCTS"/>
    <s v="1111KHOP"/>
    <s v="20006536"/>
    <s v="Mahesh Salunke"/>
    <s v="No"/>
    <s v="shashi.rai@amns.in"/>
    <s v="8149908545"/>
    <s v="1042479"/>
    <s v="Pritam Debbarma"/>
    <s v="Anil Matoo"/>
    <s v="-"/>
    <s v="Manjit Shah"/>
    <s v="-"/>
  </r>
  <r>
    <n v="6305"/>
    <n v="20058603"/>
    <s v="Anil Lad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1-02-17T00:00:00"/>
    <s v="42.07"/>
    <d v="2010-06-07T00:00:00"/>
    <d v="2041-02-28T00:00:00"/>
    <m/>
    <d v="2041-02-28T00:00:00"/>
    <n v="6371"/>
    <s v=""/>
    <s v=""/>
    <s v=""/>
    <s v="13.03"/>
    <s v="13.03"/>
    <s v="00051278"/>
    <s v="Stores &amp; Warehouse"/>
    <s v="304811"/>
    <s v="New Acquisition"/>
    <s v="Khopoli staff"/>
    <s v="0000209007"/>
    <s v="CRM-STORES_DEPT"/>
    <s v="1111KHOP"/>
    <s v="20058695"/>
    <s v="Shrigopal Bhati"/>
    <s v="No"/>
    <s v="anil.lad@amns.in"/>
    <s v="9922321932"/>
    <s v="1021933"/>
    <s v="Pritam Debbarma"/>
    <s v="Anil Matoo"/>
    <s v="-"/>
    <s v="Manjit Shah"/>
    <s v="-"/>
  </r>
  <r>
    <n v="6308"/>
    <n v="20058606"/>
    <s v="Swapnil Dalv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84-05-03T00:00:00"/>
    <s v="39.04"/>
    <d v="2010-06-11T00:00:00"/>
    <d v="2044-05-31T00:00:00"/>
    <m/>
    <d v="2044-05-31T00:00:00"/>
    <n v="7559"/>
    <s v=""/>
    <s v=""/>
    <s v=""/>
    <s v="13.03"/>
    <s v="13.03"/>
    <s v="00051380"/>
    <s v="Sales &amp; Marketing"/>
    <s v="304814"/>
    <s v="New Acquisition"/>
    <s v="Khopoli staff"/>
    <s v="0000290012"/>
    <s v="FAC-MARKETING CO-ORD"/>
    <s v="1111KHOP"/>
    <s v="20058920"/>
    <s v="Atul Singh"/>
    <s v="No"/>
    <s v="swapnil.dalvi@amns.in"/>
    <s v="8411970487"/>
    <s v="1021969"/>
    <s v="Pritam Debbarma"/>
    <s v="Anil Matoo"/>
    <s v="-"/>
    <s v="Manjit Shah"/>
    <s v="-"/>
  </r>
  <r>
    <n v="6330"/>
    <n v="20058628"/>
    <s v="Netra Deore"/>
    <s v="AMNS Khopoli"/>
    <s v="Onroll"/>
    <s v="New Acquisition"/>
    <n v="17"/>
    <m/>
    <s v="NA"/>
    <s v="F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2-12-01T00:00:00"/>
    <s v="40.09"/>
    <d v="2011-04-01T00:00:00"/>
    <d v="2042-11-30T00:00:00"/>
    <m/>
    <d v="2042-11-30T00:00:00"/>
    <n v="7011"/>
    <s v=""/>
    <s v=""/>
    <s v=""/>
    <s v="12.05"/>
    <s v="12.05"/>
    <s v="73800002"/>
    <s v="Procurement - Pune Asset"/>
    <s v="304836"/>
    <s v="New Acquisition"/>
    <s v="Khopoli staff"/>
    <s v="0000100010"/>
    <s v="HOM-COMM. &amp; PROCTS"/>
    <s v="1111KHOP"/>
    <s v="20006536"/>
    <s v="Mahesh Salunke"/>
    <s v="No"/>
    <s v="netra.deore@amns.in"/>
    <s v="8692966622"/>
    <s v="1022105"/>
    <s v="Pritam Debbarma"/>
    <s v="Anil Matoo"/>
    <s v="-"/>
    <s v="Manjit Shah"/>
    <s v="-"/>
  </r>
  <r>
    <n v="6351"/>
    <n v="20058650"/>
    <s v="Anup Karn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87-09-05T00:00:00"/>
    <s v="36.00"/>
    <d v="2011-10-14T00:00:00"/>
    <d v="2047-09-30T00:00:00"/>
    <m/>
    <d v="2047-09-30T00:00:00"/>
    <n v="8776"/>
    <s v=""/>
    <s v=""/>
    <s v=""/>
    <s v="11.11"/>
    <s v="11.11"/>
    <s v="00051336"/>
    <s v="Industrial Relations"/>
    <s v="304858"/>
    <s v="New Acquisition"/>
    <s v="Khopoli staff"/>
    <s v="0000290002"/>
    <s v="FAC-PERSONAL &amp; ADM"/>
    <s v="1111KHOP"/>
    <s v="20058935"/>
    <s v="Satish Mulay"/>
    <s v="No"/>
    <s v="anup.karn@amns.in"/>
    <s v="8411970685"/>
    <s v="1022137"/>
    <s v="Pritam Debbarma"/>
    <s v="Anil Matoo"/>
    <n v="0"/>
    <s v="Manjit Shah"/>
    <n v="0"/>
  </r>
  <r>
    <n v="6369"/>
    <n v="20058668"/>
    <s v="Eknath Pawa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4-06-04T00:00:00"/>
    <s v="49.03"/>
    <d v="1998-02-03T00:00:00"/>
    <d v="2034-06-30T00:00:00"/>
    <m/>
    <d v="2034-06-30T00:00:00"/>
    <n v="3936"/>
    <s v=""/>
    <s v=""/>
    <s v=""/>
    <s v="25.07"/>
    <s v="25.07"/>
    <s v="00051220"/>
    <s v="Administration &amp; Security"/>
    <s v="304876"/>
    <s v="New Acquisition"/>
    <s v="Khopoli staff"/>
    <s v="0000400000"/>
    <s v="PRC-GENERAL"/>
    <s v="1111KHOP"/>
    <s v="20057887"/>
    <s v="Kiran Vaidya"/>
    <s v="No"/>
    <s v="eknath.pawar@amns.in"/>
    <s v="9923884325"/>
    <s v="1042533"/>
    <s v="Pritam Debbarma"/>
    <s v="Anil Matoo"/>
    <s v="-"/>
    <s v="Manjit Shah"/>
    <s v="-"/>
  </r>
  <r>
    <n v="6377"/>
    <n v="20058676"/>
    <s v="Prakash Bhoi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7-12-12T00:00:00"/>
    <s v="55.09"/>
    <d v="1998-06-25T00:00:00"/>
    <d v="2027-12-31T00:00:00"/>
    <m/>
    <d v="2027-12-31T00:00:00"/>
    <n v="1563"/>
    <s v=""/>
    <s v=""/>
    <s v=""/>
    <s v="25.02"/>
    <s v="25.02"/>
    <s v="00051389"/>
    <s v="Stores - PRC"/>
    <s v="304884"/>
    <s v="New Acquisition"/>
    <s v="Khopoli staff"/>
    <s v="0000409007"/>
    <s v="PRC-STORES_DEPT"/>
    <s v="1111KHOP"/>
    <s v="20058273"/>
    <s v="Arun Deshmukh"/>
    <s v="No"/>
    <s v="prakash.bhoir@amns.in"/>
    <s v="9673537067"/>
    <s v="1022009"/>
    <s v="Pritam Debbarma"/>
    <s v="Anil Matoo"/>
    <s v="-"/>
    <s v="Manjit Shah"/>
    <s v="-"/>
  </r>
  <r>
    <n v="6381"/>
    <n v="20058680"/>
    <s v="Vasant Sanas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0-11-11T00:00:00"/>
    <s v="52.10"/>
    <d v="1998-09-21T00:00:00"/>
    <d v="2030-11-30T00:00:00"/>
    <m/>
    <d v="2030-11-30T00:00:00"/>
    <n v="2628"/>
    <s v=""/>
    <s v=""/>
    <s v=""/>
    <s v="25.00"/>
    <s v="25.00"/>
    <s v="00051339"/>
    <s v="Excise"/>
    <s v="304888"/>
    <s v="New Acquisition"/>
    <s v="Khopoli staff"/>
    <s v="0000290001"/>
    <s v="FAC-EXCISE_DEPT"/>
    <s v="1111KHOP"/>
    <s v="40002639"/>
    <s v="Balveer Bhandari"/>
    <s v="No"/>
    <s v="vasant.sanas@amns.in"/>
    <s v="8411970995"/>
    <s v="1022113"/>
    <s v="Pritam Debbarma"/>
    <s v="Anil Matoo"/>
    <s v="-"/>
    <s v="Manjit Shah"/>
    <s v="-"/>
  </r>
  <r>
    <n v="6396"/>
    <n v="20058695"/>
    <s v="Shrigopal Bhati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5-06-12T00:00:00"/>
    <s v="58.03"/>
    <d v="1999-05-14T00:00:00"/>
    <d v="2025-06-30T00:00:00"/>
    <m/>
    <d v="2025-06-30T00:00:00"/>
    <n v="649"/>
    <s v=""/>
    <s v=""/>
    <s v=""/>
    <s v="24.04"/>
    <s v="24.04"/>
    <s v="00051278"/>
    <s v="Stores &amp; Warehouse"/>
    <s v="304903"/>
    <s v="New Acquisition"/>
    <s v="Khopoli staff"/>
    <s v="0000309007"/>
    <s v="CGL-STORES_DEPT"/>
    <s v="1111KHOP"/>
    <s v="40002638"/>
    <s v="K.V.G Raju"/>
    <s v="No"/>
    <s v="s.bhati@amns.in"/>
    <s v="8411970590"/>
    <s v="1022270"/>
    <s v="Pritam Debbarma"/>
    <s v="Anil Matoo"/>
    <s v="-"/>
    <s v="Manjit Shah"/>
    <s v="-"/>
  </r>
  <r>
    <n v="6424"/>
    <n v="20058724"/>
    <s v="Shankar Patil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7-07-13T00:00:00"/>
    <s v="36.02"/>
    <d v="2010-10-21T00:00:00"/>
    <d v="2047-07-31T00:00:00"/>
    <m/>
    <d v="2047-07-31T00:00:00"/>
    <n v="8715"/>
    <s v=""/>
    <s v=""/>
    <s v=""/>
    <s v="12.10"/>
    <s v="12.10"/>
    <s v="00051278"/>
    <s v="Stores &amp; Warehouse"/>
    <s v="304932"/>
    <s v="New Acquisition"/>
    <s v="Khopoli staff"/>
    <s v="0000509007"/>
    <s v="CCL-STORES_DEPT"/>
    <s v="1111KHOP"/>
    <s v="20058695"/>
    <s v="Shrigopal Bhati"/>
    <s v="No"/>
    <s v="shankar.patil@amns.in"/>
    <s v="9673239477"/>
    <s v="1042792"/>
    <s v="Pritam Debbarma"/>
    <s v="Anil Matoo"/>
    <s v="-"/>
    <s v="Manjit Shah"/>
    <s v="-"/>
  </r>
  <r>
    <n v="6425"/>
    <n v="20058725"/>
    <s v="Sachin Patil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9-11-12T00:00:00"/>
    <s v="43.10"/>
    <d v="2011-05-12T00:00:00"/>
    <d v="2039-11-30T00:00:00"/>
    <m/>
    <d v="2039-11-30T00:00:00"/>
    <n v="5915"/>
    <s v=""/>
    <s v=""/>
    <s v=""/>
    <s v="12.04"/>
    <s v="12.04"/>
    <s v="00051220"/>
    <s v="Administration &amp; Security"/>
    <s v="304933"/>
    <s v="New Acquisition"/>
    <s v="Khopoli staff"/>
    <s v="0000290002"/>
    <s v="FAC-PERSONAL &amp; ADM"/>
    <s v="1111KHOP"/>
    <s v="20057887"/>
    <s v="Kiran Vaidya"/>
    <s v="No"/>
    <s v="sachin.patil24@amns.in"/>
    <s v="7030825777"/>
    <s v="1042793"/>
    <s v="Pritam Debbarma"/>
    <s v="Anil Matoo"/>
    <s v="-"/>
    <s v="Manjit Shah"/>
    <s v="-"/>
  </r>
  <r>
    <n v="6450"/>
    <n v="20058751"/>
    <s v="Mandar Khadilk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67-10-18T00:00:00"/>
    <s v="55.11"/>
    <d v="2005-12-10T00:00:00"/>
    <d v="2027-10-31T00:00:00"/>
    <m/>
    <d v="2027-10-31T00:00:00"/>
    <n v="1502"/>
    <s v=""/>
    <s v=""/>
    <s v=""/>
    <s v="17.09"/>
    <s v="17.09"/>
    <s v="00051378"/>
    <s v="Exports - Marketing"/>
    <s v="304959"/>
    <s v="New Acquisition"/>
    <s v="Khopoli staff"/>
    <s v="0000290012"/>
    <s v="FAC-MARKETING CO-ORD"/>
    <s v="1111KHOP"/>
    <s v="20058801"/>
    <s v="Shubhangi Patil"/>
    <s v="No"/>
    <s v="mandar.khadilkar@amns.in"/>
    <s v="8411970653"/>
    <s v="1022163"/>
    <s v="Pritam Debbarma"/>
    <s v="Anil Matoo"/>
    <s v="-"/>
    <s v="Manjit Shah"/>
    <s v="-"/>
  </r>
  <r>
    <n v="6471"/>
    <n v="20058772"/>
    <s v="Bipinchandra Parekh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Khopoli"/>
    <d v="1971-12-03T00:00:00"/>
    <s v="51.09"/>
    <d v="2007-08-14T00:00:00"/>
    <d v="2031-12-31T00:00:00"/>
    <m/>
    <d v="2031-12-31T00:00:00"/>
    <n v="3024"/>
    <s v=""/>
    <s v=""/>
    <s v=""/>
    <s v="16.01"/>
    <s v="16.01"/>
    <s v="00051356"/>
    <s v="Logistics - MIS / Planning"/>
    <s v="304980"/>
    <s v="New Acquisition"/>
    <s v="Khopoli staff"/>
    <s v="0000319006"/>
    <s v="SGL-LOGISTIC_DEPT"/>
    <s v="1111KHOP"/>
    <s v="40002642"/>
    <s v="Vasant Pandit"/>
    <s v="No"/>
    <s v="bipinchandra.parekh@amns.in"/>
    <s v="9420651432"/>
    <s v="1022247"/>
    <s v="Pritam Debbarma"/>
    <s v="Anil Matoo"/>
    <s v="-"/>
    <s v="Manjit Shah"/>
    <s v="-"/>
  </r>
  <r>
    <n v="6475"/>
    <n v="20058777"/>
    <s v="Shailesh Mang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8-10-30T00:00:00"/>
    <s v="54.10"/>
    <d v="2007-12-01T00:00:00"/>
    <d v="2028-10-31T00:00:00"/>
    <m/>
    <d v="2028-10-31T00:00:00"/>
    <n v="1868"/>
    <s v=""/>
    <s v=""/>
    <s v=""/>
    <s v="15.09"/>
    <s v="15.09"/>
    <s v="00051389"/>
    <s v="Stores - PRC"/>
    <s v="304985"/>
    <s v="New Acquisition"/>
    <s v="Khopoli staff"/>
    <s v="0000409007"/>
    <s v="PRC-STORES_DEPT"/>
    <s v="1111KHOP"/>
    <s v="20058273"/>
    <s v="Arun Deshmukh"/>
    <s v="No"/>
    <s v="shailesh.mangle@amns.in"/>
    <s v="9923734424"/>
    <s v="1022265"/>
    <s v="Pritam Debbarma"/>
    <s v="Anil Matoo"/>
    <s v="-"/>
    <s v="Manjit Shah"/>
    <s v="-"/>
  </r>
  <r>
    <n v="6491"/>
    <n v="20058796"/>
    <s v="Rajany Nair"/>
    <s v="AMNS Khopoli"/>
    <s v="Onroll"/>
    <s v="New Acquisition"/>
    <n v="17"/>
    <m/>
    <s v="NA"/>
    <s v="F"/>
    <s v="Khopoli"/>
    <n v="9"/>
    <s v="1123"/>
    <x v="12"/>
    <n v="35.02"/>
    <s v="Hrishikesh Kamat"/>
    <s v="Hrishikesh Kamat"/>
    <n v="7"/>
    <s v="Procurement"/>
    <s v="Land Acquisition"/>
    <s v="35"/>
    <m/>
    <m/>
    <s v="Legal / Land"/>
    <s v=""/>
    <s v=""/>
    <s v="Non Technical Support"/>
    <s v="Operations"/>
    <s v="Operations"/>
    <s v="72103001"/>
    <s v="Operations"/>
    <s v="Khopoli"/>
    <d v="1972-04-16T00:00:00"/>
    <s v="51.05"/>
    <d v="2008-06-26T00:00:00"/>
    <d v="2032-04-30T00:00:00"/>
    <m/>
    <d v="2032-04-30T00:00:00"/>
    <n v="3145"/>
    <s v=""/>
    <s v=""/>
    <s v=""/>
    <s v="15.02"/>
    <s v="15.02"/>
    <s v="00051268"/>
    <s v="Land Acquisition"/>
    <s v="305004"/>
    <s v="New Acquisition"/>
    <s v="Khopoli staff"/>
    <s v="0000290002"/>
    <s v="FAC-PERSONAL &amp; ADM"/>
    <s v="1111KHOP"/>
    <s v="0"/>
    <s v=""/>
    <s v="No"/>
    <s v="rajany.nair@amns.in"/>
    <s v="8879994201"/>
    <s v="1022095"/>
    <s v="Pritam Debbarma"/>
    <s v="Anil Matoo"/>
    <s v="-"/>
    <s v="Manjit Shah"/>
    <s v="-"/>
  </r>
  <r>
    <n v="6492"/>
    <n v="20058798"/>
    <s v="Abhijeet Kulkarni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7-06-08T00:00:00"/>
    <s v="46.03"/>
    <d v="2007-05-23T00:00:00"/>
    <d v="2037-06-30T00:00:00"/>
    <m/>
    <d v="2037-06-30T00:00:00"/>
    <n v="5032"/>
    <s v=""/>
    <s v=""/>
    <s v=""/>
    <s v="16.03"/>
    <s v="16.03"/>
    <s v="00051338"/>
    <s v="Commercial &amp; Licenses"/>
    <s v="305006"/>
    <s v="New Acquisition"/>
    <s v="Khopoli staff"/>
    <s v="0000100019"/>
    <s v="HOM-COMMERCIAL"/>
    <s v="1111KHOP"/>
    <s v="20054538"/>
    <s v="Niraj Pradeep Khopkar"/>
    <s v="No"/>
    <s v="abhijeet.kulkarni@amns.in"/>
    <s v="8879994148"/>
    <s v=""/>
    <s v="Pritam Debbarma"/>
    <s v="Anil Matoo"/>
    <s v="-"/>
    <s v="Manjit Shah"/>
    <s v="-"/>
  </r>
  <r>
    <n v="6493"/>
    <n v="20058799"/>
    <s v="Rohit Kamat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2-04-22T00:00:00"/>
    <s v="41.04"/>
    <d v="2004-07-01T00:00:00"/>
    <d v="2042-04-30T00:00:00"/>
    <m/>
    <d v="2042-04-30T00:00:00"/>
    <n v="6797"/>
    <s v=""/>
    <s v=""/>
    <s v=""/>
    <s v="19.02"/>
    <s v="19.02"/>
    <s v="00051338"/>
    <s v="Commercial &amp; Licenses"/>
    <s v="305007"/>
    <s v="New Acquisition"/>
    <s v="Khopoli staff"/>
    <s v="0000100019"/>
    <s v="HOM-COMMERCIAL"/>
    <s v="1111KHOP"/>
    <s v="20054538"/>
    <s v="Niraj Pradeep Khopkar"/>
    <s v="No"/>
    <s v="rohit.kamat@amns.in"/>
    <s v="8879994193"/>
    <s v="1022117"/>
    <s v="Pritam Debbarma"/>
    <s v="Anil Matoo"/>
    <s v="-"/>
    <s v="Manjit Shah"/>
    <s v="-"/>
  </r>
  <r>
    <n v="6494"/>
    <n v="20058801"/>
    <s v="Shubhangi Patil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Sales Planning"/>
    <s v=""/>
    <s v="Non Technical Support"/>
    <s v="Operations"/>
    <s v="Operations"/>
    <s v="72103001"/>
    <s v="Operations"/>
    <s v="Khopoli"/>
    <d v="1974-05-25T00:00:00"/>
    <s v="49.03"/>
    <d v="2001-09-07T00:00:00"/>
    <d v="2034-05-31T00:00:00"/>
    <m/>
    <d v="2034-05-31T00:00:00"/>
    <n v="3906"/>
    <s v=""/>
    <s v=""/>
    <s v=""/>
    <s v="22.00"/>
    <s v="22.00"/>
    <s v="00051378"/>
    <s v="Exports - Marketing"/>
    <s v="305009"/>
    <s v="New Acquisition"/>
    <s v="Khopoli staff"/>
    <s v="0000100014"/>
    <s v="HOM-SALE&amp;MKTG-EXPORT"/>
    <s v="1111KHOP"/>
    <s v="20058920"/>
    <s v="Atul Singh"/>
    <s v="No"/>
    <s v="shubhangi.patil@amns.in"/>
    <s v="8879994108"/>
    <s v="1022448"/>
    <s v="Pritam Debbarma"/>
    <s v="Anil Matoo"/>
    <s v="-"/>
    <s v="Manjit Shah"/>
    <s v="-"/>
  </r>
  <r>
    <n v="6495"/>
    <n v="20058804"/>
    <s v="Roy Jos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5-12-03T00:00:00"/>
    <s v="47.09"/>
    <d v="2000-09-11T00:00:00"/>
    <d v="2035-12-31T00:00:00"/>
    <m/>
    <d v="2035-12-31T00:00:00"/>
    <n v="4485"/>
    <s v=""/>
    <s v=""/>
    <s v=""/>
    <s v="23.00"/>
    <s v="23.00"/>
    <s v="00051333"/>
    <s v="Corporate Accounts &amp; Global Reporting"/>
    <s v="305012"/>
    <s v="New Acquisition"/>
    <s v="Khopoli staff"/>
    <s v="0000100006"/>
    <s v="HOM-ACCOUNTS &amp; FIN"/>
    <s v="1111KHOP"/>
    <s v="20055188"/>
    <s v="Rohit Sharma"/>
    <s v="No"/>
    <s v="roy.jose@amns.in"/>
    <s v="8879994164"/>
    <s v="1022182"/>
    <s v="Pritam Debbarma"/>
    <s v="Anil Matoo"/>
    <s v="-"/>
    <s v="Manjit Shah"/>
    <s v="-"/>
  </r>
  <r>
    <n v="6496"/>
    <n v="20058805"/>
    <s v="Sunil Sharma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4-01-01T00:00:00"/>
    <s v="39.08"/>
    <d v="2011-06-15T00:00:00"/>
    <d v="2043-12-31T00:00:00"/>
    <m/>
    <d v="2043-12-31T00:00:00"/>
    <n v="7407"/>
    <s v=""/>
    <s v=""/>
    <s v=""/>
    <s v="12.03"/>
    <s v="12.03"/>
    <s v="00051329"/>
    <s v="Finance &amp; Accounts"/>
    <s v="305013"/>
    <s v="New Acquisition"/>
    <s v="Khopoli staff"/>
    <s v="0000100022"/>
    <s v="HOM-CORPORATE FINANC"/>
    <s v="1111KHOP"/>
    <s v="20055188"/>
    <s v="Rohit Sharma"/>
    <s v="No"/>
    <s v="sunil.sharma1@amns.in"/>
    <s v="8879994167"/>
    <s v="1022195"/>
    <s v="Pritam Debbarma"/>
    <s v="Anil Matoo"/>
    <s v="-"/>
    <s v="Manjit Shah"/>
    <s v="-"/>
  </r>
  <r>
    <n v="6497"/>
    <n v="20058806"/>
    <s v="Clara Dalmeida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7-08-07T00:00:00"/>
    <s v="56.01"/>
    <d v="1994-02-01T00:00:00"/>
    <d v="2027-08-31T00:00:00"/>
    <m/>
    <d v="2027-08-31T00:00:00"/>
    <n v="1441"/>
    <s v=""/>
    <s v=""/>
    <s v=""/>
    <s v="29.07"/>
    <s v="29.07"/>
    <s v="00051329"/>
    <s v="Finance &amp; Accounts"/>
    <s v="305014"/>
    <s v="New Acquisition"/>
    <s v="Khopoli staff"/>
    <s v="0000100006"/>
    <s v="HOM-ACCOUNTS &amp; FIN"/>
    <s v="1111KHOP"/>
    <s v="20058805"/>
    <s v="Sunil Sharma"/>
    <s v="No"/>
    <s v="clara.almeida@amns.in"/>
    <s v="8879994190"/>
    <s v=""/>
    <s v="Pritam Debbarma"/>
    <s v="Anil Matoo"/>
    <s v="-"/>
    <s v="Manjit Shah"/>
    <s v="-"/>
  </r>
  <r>
    <n v="6498"/>
    <n v="20058807"/>
    <s v="Santosh Jairaman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7-07-14T00:00:00"/>
    <s v="46.02"/>
    <d v="2000-08-28T00:00:00"/>
    <d v="2037-07-31T00:00:00"/>
    <m/>
    <d v="2037-07-31T00:00:00"/>
    <n v="5063"/>
    <s v=""/>
    <s v=""/>
    <s v=""/>
    <s v="23.00"/>
    <s v="23.00"/>
    <s v="00051329"/>
    <s v="Finance &amp; Accounts"/>
    <s v="305015"/>
    <s v="New Acquisition"/>
    <s v="Khopoli staff"/>
    <s v="0000100006"/>
    <s v="HOM-ACCOUNTS &amp; FIN"/>
    <s v="1111KHOP"/>
    <s v="20058805"/>
    <s v="Sunil Sharma"/>
    <s v="No"/>
    <s v="santosh.jairaman@amns.in"/>
    <s v="8879994169"/>
    <s v="1022216"/>
    <s v="Pritam Debbarma"/>
    <s v="Anil Matoo"/>
    <s v="-"/>
    <s v="Manjit Shah"/>
    <s v="-"/>
  </r>
  <r>
    <n v="6499"/>
    <n v="20058808"/>
    <s v="Bimal Dutta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01-07T00:00:00"/>
    <s v="57.08"/>
    <d v="2010-03-25T00:00:00"/>
    <d v="2026-01-31T00:00:00"/>
    <m/>
    <d v="2026-01-31T00:00:00"/>
    <n v="864"/>
    <s v=""/>
    <s v=""/>
    <s v=""/>
    <s v="13.05"/>
    <s v="13.05"/>
    <s v="00051329"/>
    <s v="Finance &amp; Accounts"/>
    <s v="305016"/>
    <s v="New Acquisition"/>
    <s v="Khopoli staff"/>
    <s v="0000100006"/>
    <s v="HOM-ACCOUNTS &amp; FIN"/>
    <s v="1111KHOP"/>
    <s v="20058805"/>
    <s v="Sunil Sharma"/>
    <s v="No"/>
    <s v="bimal.dutta@amns.in"/>
    <s v="9702133743"/>
    <s v="1022224"/>
    <s v="Pritam Debbarma"/>
    <s v="Anil Matoo"/>
    <s v="-"/>
    <s v="Manjit Shah"/>
    <s v="-"/>
  </r>
  <r>
    <n v="6500"/>
    <n v="20058809"/>
    <s v="Satyavan Mahapadi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5-11-08T00:00:00"/>
    <s v="47.10"/>
    <d v="2007-05-14T00:00:00"/>
    <d v="2035-11-30T00:00:00"/>
    <m/>
    <d v="2035-11-30T00:00:00"/>
    <n v="4454"/>
    <s v=""/>
    <s v=""/>
    <s v=""/>
    <s v="16.04"/>
    <s v="16.04"/>
    <s v="00051329"/>
    <s v="Finance &amp; Accounts"/>
    <s v="305017"/>
    <s v="New Acquisition"/>
    <s v="Khopoli staff"/>
    <s v="0000100006"/>
    <s v="HOM-ACCOUNTS &amp; FIN"/>
    <s v="1111KHOP"/>
    <s v="20058805"/>
    <s v="Sunil Sharma"/>
    <s v="No"/>
    <s v="satyavan.mahapadi@amns.in"/>
    <s v="8879994176"/>
    <s v="1022231"/>
    <s v="Pritam Debbarma"/>
    <s v="Anil Matoo"/>
    <s v="-"/>
    <s v="Manjit Shah"/>
    <s v="-"/>
  </r>
  <r>
    <n v="6501"/>
    <n v="20058810"/>
    <s v="Umesh Palshikar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5-07-12T00:00:00"/>
    <s v="58.02"/>
    <d v="2007-09-24T00:00:00"/>
    <d v="2025-07-31T00:00:00"/>
    <m/>
    <d v="2025-07-31T00:00:00"/>
    <n v="680"/>
    <s v=""/>
    <s v=""/>
    <s v=""/>
    <s v="15.11"/>
    <s v="15.11"/>
    <s v="00051329"/>
    <s v="Finance &amp; Accounts"/>
    <s v="305018"/>
    <s v="New Acquisition"/>
    <s v="Khopoli staff"/>
    <s v="0000100006"/>
    <s v="HOM-ACCOUNTS &amp; FIN"/>
    <s v="1111KHOP"/>
    <s v="20058805"/>
    <s v="Sunil Sharma"/>
    <s v="No"/>
    <s v="umesh.palshikar@amns.in"/>
    <s v="9820874012"/>
    <s v="1022238"/>
    <s v="Pritam Debbarma"/>
    <s v="Anil Matoo"/>
    <s v="-"/>
    <s v="Manjit Shah"/>
    <s v="-"/>
  </r>
  <r>
    <n v="6502"/>
    <n v="20058811"/>
    <s v="Vijay Vichar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8-09-11T00:00:00"/>
    <s v="45.00"/>
    <d v="2006-04-01T00:00:00"/>
    <d v="2038-09-30T00:00:00"/>
    <m/>
    <d v="2038-09-30T00:00:00"/>
    <n v="5489"/>
    <s v=""/>
    <s v=""/>
    <s v=""/>
    <s v="17.05"/>
    <s v="17.05"/>
    <s v="00051266"/>
    <s v="Internal Audit"/>
    <s v="305019"/>
    <s v="New Acquisition"/>
    <s v="Khopoli staff"/>
    <s v="0000100006"/>
    <s v="HOM-ACCOUNTS &amp; FIN"/>
    <s v="1111KHOP"/>
    <s v="20055486"/>
    <s v="Nilesh Likhite"/>
    <s v="No"/>
    <s v="vijay.vichare@amns.in"/>
    <s v="8879994174"/>
    <s v="1022263"/>
    <s v="Pritam Debbarma"/>
    <s v="Anil Matoo"/>
    <s v="-"/>
    <s v="Manjit Shah"/>
    <s v="-"/>
  </r>
  <r>
    <n v="6503"/>
    <n v="20058812"/>
    <s v="Shailesh Weling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7-04-13T00:00:00"/>
    <s v="46.05"/>
    <d v="2007-03-01T00:00:00"/>
    <d v="2037-04-30T00:00:00"/>
    <m/>
    <d v="2037-04-30T00:00:00"/>
    <n v="4971"/>
    <s v=""/>
    <s v=""/>
    <s v=""/>
    <s v="16.06"/>
    <s v="16.06"/>
    <s v="00051329"/>
    <s v="Finance &amp; Accounts"/>
    <s v="305020"/>
    <s v="New Acquisition"/>
    <s v="Khopoli staff"/>
    <s v="0000100006"/>
    <s v="HOM-ACCOUNTS &amp; FIN"/>
    <s v="1111KHOP"/>
    <s v="20016107"/>
    <s v="Kalpesh Thathagar"/>
    <s v="No"/>
    <s v="shailesh.weling@amns.in"/>
    <s v="9892518215"/>
    <s v="1022268"/>
    <s v="Pritam Debbarma"/>
    <s v="Anil Matoo"/>
    <s v="-"/>
    <s v="Manjit Shah"/>
    <s v="-"/>
  </r>
  <r>
    <n v="6504"/>
    <n v="20058814"/>
    <s v="Philip Abraham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5-28T00:00:00"/>
    <s v="47.03"/>
    <d v="2010-12-15T00:00:00"/>
    <d v="2036-05-31T00:00:00"/>
    <m/>
    <d v="2036-05-31T00:00:00"/>
    <n v="4637"/>
    <s v=""/>
    <s v=""/>
    <s v=""/>
    <s v="12.09"/>
    <s v="12.09"/>
    <s v="00051329"/>
    <s v="Finance &amp; Accounts"/>
    <s v="305022"/>
    <s v="New Acquisition"/>
    <s v="Khopoli staff"/>
    <s v="0000100006"/>
    <s v="HOM-ACCOUNTS &amp; FIN"/>
    <s v="1111KHOP"/>
    <s v="20058805"/>
    <s v="Sunil Sharma"/>
    <s v="No"/>
    <s v="philip.abraham@amns.in"/>
    <s v="9619928587"/>
    <s v="1022281"/>
    <s v="Pritam Debbarma"/>
    <s v="Anil Matoo"/>
    <s v="-"/>
    <s v="Manjit Shah"/>
    <s v="-"/>
  </r>
  <r>
    <n v="6505"/>
    <n v="20058815"/>
    <s v="Sagar Sawant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3-29T00:00:00"/>
    <s v="47.05"/>
    <d v="2007-03-01T00:00:00"/>
    <d v="2036-03-31T00:00:00"/>
    <m/>
    <d v="2036-03-31T00:00:00"/>
    <n v="4576"/>
    <s v=""/>
    <s v=""/>
    <s v=""/>
    <s v="16.06"/>
    <s v="16.06"/>
    <s v="00051329"/>
    <s v="Finance &amp; Accounts"/>
    <s v="305023"/>
    <s v="New Acquisition"/>
    <s v="Khopoli staff"/>
    <s v="0000100006"/>
    <s v="HOM-ACCOUNTS &amp; FIN"/>
    <s v="1111KHOP"/>
    <s v="20058805"/>
    <s v="Sunil Sharma"/>
    <s v="No"/>
    <s v="sagar.sawant@amns.in"/>
    <s v="9870354891"/>
    <s v="1022287"/>
    <s v="Pritam Debbarma"/>
    <s v="Anil Matoo"/>
    <s v="-"/>
    <s v="Manjit Shah"/>
    <s v="-"/>
  </r>
  <r>
    <n v="6506"/>
    <n v="20058819"/>
    <s v="Charusheela Santosh"/>
    <s v="AMNS Khopoli"/>
    <s v="Onroll"/>
    <s v="New Acquisition"/>
    <n v="17"/>
    <m/>
    <s v="NA"/>
    <s v="F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9-07-17T00:00:00"/>
    <s v="44.02"/>
    <d v="2005-11-21T00:00:00"/>
    <d v="2039-07-31T00:00:00"/>
    <m/>
    <d v="2039-07-31T00:00:00"/>
    <n v="5793"/>
    <s v=""/>
    <s v=""/>
    <s v=""/>
    <s v="17.09"/>
    <s v="17.09"/>
    <s v="73800002"/>
    <s v="Procurement - Pune Asset"/>
    <s v="305027"/>
    <s v="New Acquisition"/>
    <s v="Khopoli staff"/>
    <s v="0000100010"/>
    <s v="HOM-COMM. &amp; PROCTS"/>
    <s v="1111KHOP"/>
    <s v="20006536"/>
    <s v="Mahesh Salunke"/>
    <s v="No"/>
    <s v="charusheela.ware@amns.in"/>
    <s v="8879994213"/>
    <s v="1022199"/>
    <s v="Pritam Debbarma"/>
    <s v="Anil Matoo"/>
    <s v="-"/>
    <s v="Manjit Shah"/>
    <s v="-"/>
  </r>
  <r>
    <n v="6507"/>
    <n v="20058820"/>
    <s v="Rajesh Mistry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Other West"/>
    <s v="OEM"/>
    <s v=""/>
    <s v="Non Technical Support"/>
    <s v="Operations"/>
    <s v="Operations"/>
    <s v="72103001"/>
    <s v="Operations"/>
    <s v="Pune"/>
    <d v="1969-04-04T00:00:00"/>
    <s v="54.05"/>
    <d v="2007-05-14T00:00:00"/>
    <d v="2029-04-30T00:00:00"/>
    <m/>
    <d v="2029-04-30T00:00:00"/>
    <n v="2049"/>
    <s v=""/>
    <s v=""/>
    <s v=""/>
    <s v="16.04"/>
    <s v="16.04"/>
    <s v="00051380"/>
    <s v="Sales &amp; Marketing"/>
    <s v="305028"/>
    <s v="New Acquisition"/>
    <s v="Khopoli staff"/>
    <s v="0000120001"/>
    <s v="PUNE BRANCH"/>
    <s v="1111KHOP"/>
    <s v="20058920"/>
    <s v="Atul Singh"/>
    <s v="No"/>
    <s v="rajesh.mistry@amns.in"/>
    <s v="9923004854"/>
    <s v="1022204"/>
    <s v="Pritam Debbarma"/>
    <s v="Anil Matoo"/>
    <s v="-"/>
    <s v="Manjit Shah"/>
    <s v="-"/>
  </r>
  <r>
    <n v="6508"/>
    <n v="20058821"/>
    <s v="Mansi Shelar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OEM"/>
    <s v=""/>
    <s v="Non Technical Support"/>
    <s v="Operations"/>
    <s v="Operations"/>
    <s v="72103001"/>
    <s v="Operations"/>
    <s v="Khopoli"/>
    <d v="1968-03-03T00:00:00"/>
    <s v="55.06"/>
    <d v="1996-09-10T00:00:00"/>
    <d v="2028-03-31T00:00:00"/>
    <m/>
    <d v="2028-03-31T00:00:00"/>
    <n v="1654"/>
    <s v=""/>
    <s v=""/>
    <s v=""/>
    <s v="27.00"/>
    <s v="27.00"/>
    <s v="00051380"/>
    <s v="Sales &amp; Marketing"/>
    <s v="305029"/>
    <s v="New Acquisition"/>
    <s v="Khopoli staff"/>
    <s v="0000100013"/>
    <s v="HOM-SALE&amp;MKTG-OEM"/>
    <s v="1111KHOP"/>
    <s v="20058920"/>
    <s v="Atul Singh"/>
    <s v="No"/>
    <s v="mansi.shelar@amns.in"/>
    <s v="8879994069"/>
    <s v="1022212"/>
    <s v="Pritam Debbarma"/>
    <s v="Anil Matoo"/>
    <s v="-"/>
    <s v="Manjit Shah"/>
    <s v="-"/>
  </r>
  <r>
    <n v="6509"/>
    <n v="20058822"/>
    <s v="Manas Sahu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Pune"/>
    <d v="1976-07-01T00:00:00"/>
    <s v="47.02"/>
    <d v="2008-01-05T00:00:00"/>
    <d v="2034-06-30T00:00:00"/>
    <m/>
    <d v="2034-06-30T00:00:00"/>
    <n v="3936"/>
    <s v=""/>
    <s v=""/>
    <s v=""/>
    <s v="15.08"/>
    <s v="15.08"/>
    <s v="00043882"/>
    <s v="International Sales"/>
    <s v="305030"/>
    <s v="KAM - Coated Sales"/>
    <s v="Hypermart"/>
    <s v="0031950057"/>
    <s v="HZ-HRC - Marketing"/>
    <s v="2000HWO"/>
    <s v="20037071"/>
    <s v="Amit Chandaliya"/>
    <s v="No"/>
    <s v="manas.sahu@amns.in"/>
    <s v="9823682121"/>
    <s v="1022239"/>
    <s v="Dhruv Vyas"/>
    <s v="Anil Matoo"/>
    <s v="Praveen Kuruvalli"/>
    <s v="Dhruv Vyas"/>
    <n v="0"/>
  </r>
  <r>
    <n v="6510"/>
    <n v="20058823"/>
    <s v="Yash Sacha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Delhi"/>
    <d v="1978-12-04T00:00:00"/>
    <s v="44.09"/>
    <d v="2008-09-15T00:00:00"/>
    <d v="2038-12-31T00:00:00"/>
    <m/>
    <d v="2038-12-31T00:00:00"/>
    <n v="5581"/>
    <s v=""/>
    <s v=""/>
    <s v=""/>
    <s v="15.00"/>
    <s v="15.00"/>
    <s v="00051380"/>
    <s v="Sales &amp; Marketing"/>
    <s v="305031"/>
    <s v="New Acquisition"/>
    <s v="Khopoli staff"/>
    <s v="0000120004"/>
    <s v="DELHI BRANCH"/>
    <s v="1111KHOP"/>
    <s v="20058920"/>
    <s v="Atul Singh"/>
    <s v="No"/>
    <s v="yash.sachan@amns.in"/>
    <s v="9717733044"/>
    <s v="1022245"/>
    <s v="Pritam Debbarma"/>
    <s v="Anil Matoo"/>
    <s v="-"/>
    <s v="Manjit Shah"/>
    <s v="-"/>
  </r>
  <r>
    <n v="6511"/>
    <n v="20058824"/>
    <s v="Yogendra Ahe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Pune"/>
    <d v="1979-05-14T00:00:00"/>
    <s v="44.04"/>
    <d v="2007-08-06T00:00:00"/>
    <d v="2039-05-31T00:00:00"/>
    <m/>
    <d v="2039-05-31T00:00:00"/>
    <n v="5732"/>
    <s v=""/>
    <s v=""/>
    <s v=""/>
    <s v="16.01"/>
    <s v="16.01"/>
    <s v="00051380"/>
    <s v="Sales &amp; Marketing"/>
    <s v="305032"/>
    <s v="New Acquisition"/>
    <s v="Khopoli staff"/>
    <s v="0000120001"/>
    <s v="PUNE BRANCH"/>
    <s v="1111KHOP"/>
    <s v="20058920"/>
    <s v="Atul Singh"/>
    <s v="No"/>
    <s v="yogendra.aher@amns.in"/>
    <s v="9923004857"/>
    <s v="1022248"/>
    <s v="Pritam Debbarma"/>
    <s v="Anil Matoo"/>
    <s v="-"/>
    <s v="Manjit Shah"/>
    <s v="-"/>
  </r>
  <r>
    <n v="6512"/>
    <n v="20058825"/>
    <s v="Dattatrey Mahaja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Khopoli"/>
    <d v="1982-05-24T00:00:00"/>
    <s v="41.03"/>
    <d v="2007-07-06T00:00:00"/>
    <d v="2042-05-31T00:00:00"/>
    <m/>
    <d v="2042-05-31T00:00:00"/>
    <n v="6828"/>
    <s v=""/>
    <s v=""/>
    <s v=""/>
    <s v="16.02"/>
    <s v="16.02"/>
    <s v="00051380"/>
    <s v="Sales &amp; Marketing"/>
    <s v="305033"/>
    <s v="New Acquisition"/>
    <s v="Khopoli staff"/>
    <s v="0000100013"/>
    <s v="HOM-SALE&amp;MKTG-OEM"/>
    <s v="1111KHOP"/>
    <s v="20016382"/>
    <s v="Kunal Bhardwaj"/>
    <s v="No"/>
    <s v="dattatrey.mahajan@amns.in"/>
    <s v="8879994071"/>
    <s v="1022253"/>
    <s v="Pritam Debbarma"/>
    <s v="Anil Matoo"/>
    <s v="-"/>
    <s v="Manjit Shah"/>
    <s v="-"/>
  </r>
  <r>
    <n v="6513"/>
    <n v="20058826"/>
    <s v="Sudhir Shel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Khopoli"/>
    <d v="1974-08-06T00:00:00"/>
    <s v="49.01"/>
    <d v="1997-05-02T00:00:00"/>
    <d v="2034-08-31T00:00:00"/>
    <m/>
    <d v="2034-08-31T00:00:00"/>
    <n v="3998"/>
    <s v=""/>
    <s v=""/>
    <s v=""/>
    <s v="26.04"/>
    <s v="26.04"/>
    <s v="00051380"/>
    <s v="Sales &amp; Marketing"/>
    <s v="305034"/>
    <s v="New Acquisition"/>
    <s v="Khopoli staff"/>
    <s v="0000120001"/>
    <s v="PUNE BRANCH"/>
    <s v="1111KHOP"/>
    <s v="20058920"/>
    <s v="Atul Singh"/>
    <s v="No"/>
    <s v="sudhir.shelar@amns.in"/>
    <s v="9923004853"/>
    <s v="1022257"/>
    <s v="Pritam Debbarma"/>
    <s v="Anil Matoo"/>
    <s v="-"/>
    <s v="Manjit Shah"/>
    <s v="-"/>
  </r>
  <r>
    <n v="6514"/>
    <n v="20058827"/>
    <s v="Shailesh Tiwar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Khopoli"/>
    <d v="1974-09-07T00:00:00"/>
    <s v="49.00"/>
    <d v="2012-01-16T00:00:00"/>
    <d v="2034-09-30T00:00:00"/>
    <m/>
    <d v="2034-09-30T00:00:00"/>
    <n v="4028"/>
    <s v=""/>
    <s v=""/>
    <s v=""/>
    <s v="11.08"/>
    <s v="11.08"/>
    <s v="00051380"/>
    <s v="Sales &amp; Marketing"/>
    <s v="305035"/>
    <s v="New Acquisition"/>
    <s v="Khopoli staff"/>
    <s v="0000100004"/>
    <s v="HOM-DIRECTOR &amp; CEO"/>
    <s v="1111KHOP"/>
    <s v="20058920"/>
    <s v="Atul Singh"/>
    <s v="Yes"/>
    <s v="shailesh.tiwari@amns.in"/>
    <s v="8879994074"/>
    <s v="1022262"/>
    <s v="Pritam Debbarma"/>
    <s v="Anil Matoo"/>
    <s v="-"/>
    <s v="Manjit Shah"/>
    <s v="-"/>
  </r>
  <r>
    <n v="6515"/>
    <n v="20058830"/>
    <s v="Harsh Mathu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5-06-23T00:00:00"/>
    <s v="48.02"/>
    <d v="2009-09-24T00:00:00"/>
    <d v="2035-06-30T00:00:00"/>
    <m/>
    <d v="2035-06-30T00:00:00"/>
    <n v="4301"/>
    <s v=""/>
    <s v=""/>
    <s v=""/>
    <s v="13.11"/>
    <s v="13.11"/>
    <s v="00051278"/>
    <s v="Stores &amp; Warehouse"/>
    <s v="305038"/>
    <s v="New Acquisition"/>
    <s v="Khopoli staff"/>
    <s v="0000309007"/>
    <s v="CGL-STORES_DEPT"/>
    <s v="1111KHOP"/>
    <s v="20058695"/>
    <s v="Shrigopal Bhati"/>
    <s v="No"/>
    <s v="harsh.mathur@amns.in"/>
    <s v="8879994085"/>
    <s v="1022360"/>
    <s v="Pritam Debbarma"/>
    <s v="Anil Matoo"/>
    <s v="-"/>
    <s v="Manjit Shah"/>
    <s v="-"/>
  </r>
  <r>
    <n v="6516"/>
    <n v="20058831"/>
    <s v="Manoj Salian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4-12-05T00:00:00"/>
    <s v="48.09"/>
    <d v="2010-12-13T00:00:00"/>
    <d v="2034-12-31T00:00:00"/>
    <m/>
    <d v="2034-12-31T00:00:00"/>
    <n v="4120"/>
    <s v=""/>
    <s v=""/>
    <s v=""/>
    <s v="12.09"/>
    <s v="12.09"/>
    <s v="00051364"/>
    <s v="Purchase"/>
    <s v="305039"/>
    <s v="New Acquisition"/>
    <s v="Khopoli staff"/>
    <s v="0000100010"/>
    <s v="HOM-COMM. &amp; PROCTS"/>
    <s v="1111KHOP"/>
    <s v="20006536"/>
    <s v="Mahesh Salunke"/>
    <s v="Yes"/>
    <s v="manoj.salian@amns.in"/>
    <s v="8879994136"/>
    <s v="1022361"/>
    <s v="Pritam Debbarma"/>
    <s v="Anil Matoo"/>
    <s v="-"/>
    <s v="Manjit Shah"/>
    <s v="-"/>
  </r>
  <r>
    <n v="6517"/>
    <n v="20058832"/>
    <s v="Amit Rane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0-02-12T00:00:00"/>
    <s v="43.07"/>
    <d v="2006-04-15T00:00:00"/>
    <d v="2040-02-29T00:00:00"/>
    <m/>
    <d v="2040-02-29T00:00:00"/>
    <n v="6006"/>
    <s v=""/>
    <s v=""/>
    <s v=""/>
    <s v="17.05"/>
    <s v="17.05"/>
    <s v="73800002"/>
    <s v="Procurement - Pune Asset"/>
    <s v="305040"/>
    <s v="New Acquisition"/>
    <s v="Khopoli staff"/>
    <s v="0000100010"/>
    <s v="HOM-COMM. &amp; PROCTS"/>
    <s v="1111KHOP"/>
    <s v="20006536"/>
    <s v="Mahesh Salunke"/>
    <s v="No"/>
    <s v="amit.rane@amns.in"/>
    <s v="8879994139"/>
    <s v="1022362"/>
    <s v="Pritam Debbarma"/>
    <s v="Anil Matoo"/>
    <s v="-"/>
    <s v="Manjit Shah"/>
    <s v="-"/>
  </r>
  <r>
    <n v="6519"/>
    <n v="20058837"/>
    <s v="Ravindra Yadav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11-21T00:00:00"/>
    <s v="46.09"/>
    <d v="2011-05-05T00:00:00"/>
    <d v="2036-11-30T00:00:00"/>
    <m/>
    <d v="2036-11-30T00:00:00"/>
    <n v="4820"/>
    <s v=""/>
    <s v=""/>
    <s v=""/>
    <s v="12.04"/>
    <s v="12.04"/>
    <s v="70418543"/>
    <s v="Finance Controller"/>
    <s v="305045"/>
    <s v="New Acquisition"/>
    <s v="Khopoli staff"/>
    <s v="0000100006"/>
    <s v="HOM-ACCOUNTS &amp; FIN"/>
    <s v="1111KHOP"/>
    <s v="0"/>
    <s v=""/>
    <s v="No"/>
    <s v="ravindra.yadav@amns.in"/>
    <s v="8879994177"/>
    <s v="1022369"/>
    <s v="Pritam Debbarma"/>
    <s v="Anil Matoo"/>
    <s v="-"/>
    <s v="Manjit Shah"/>
    <s v="-"/>
  </r>
  <r>
    <n v="6520"/>
    <n v="20058839"/>
    <s v="Vithal Phadake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Hypermart"/>
    <s v="Hypermart "/>
    <s v=""/>
    <s v="Non Technical Support"/>
    <s v="Operations"/>
    <s v="Operations"/>
    <s v="72103001"/>
    <s v="Operations"/>
    <s v="Khopoli"/>
    <d v="1964-10-23T00:00:00"/>
    <s v="58.10"/>
    <d v="2000-12-01T00:00:00"/>
    <d v="2024-10-31T00:00:00"/>
    <m/>
    <d v="2024-10-31T00:00:00"/>
    <n v="407"/>
    <s v=""/>
    <s v=""/>
    <s v=""/>
    <s v="22.09"/>
    <s v="22.09"/>
    <s v="00051064"/>
    <s v="AMNS Khopoli Limited"/>
    <s v="305047"/>
    <s v="New Acquisition"/>
    <s v="Khopoli staff"/>
    <s v="0000120001"/>
    <s v="PUNE BRANCH"/>
    <s v="1111KHOP"/>
    <s v="20058920"/>
    <s v="Atul Singh"/>
    <s v="No"/>
    <s v="vitthal.phadke@amns.in"/>
    <s v="9923004851"/>
    <s v=""/>
    <s v="Pritam Debbarma"/>
    <s v="Anil Matoo"/>
    <s v="-"/>
    <s v="Manjit Shah"/>
    <s v="-"/>
  </r>
  <r>
    <n v="6521"/>
    <n v="20058840"/>
    <s v="Sumeer Raina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Coated Sales"/>
    <s v="Coated Sales"/>
    <s v=""/>
    <s v="Non Technical Support"/>
    <s v="Operations"/>
    <s v="Operations"/>
    <s v="72103001"/>
    <s v="Operations"/>
    <s v="Pune"/>
    <d v="1972-02-29T00:00:00"/>
    <s v="51.06"/>
    <d v="2006-07-03T00:00:00"/>
    <d v="2032-02-29T00:00:00"/>
    <m/>
    <d v="2032-02-29T00:00:00"/>
    <n v="3084"/>
    <s v=""/>
    <s v=""/>
    <s v=""/>
    <s v="17.02"/>
    <s v="17.02"/>
    <s v="00043882"/>
    <s v="International Sales"/>
    <s v="305048"/>
    <s v="New Acquisition"/>
    <s v="Khopoli staff"/>
    <s v="0000120001"/>
    <s v="PUNE BRANCH"/>
    <s v="1111KHOP"/>
    <s v="20037071"/>
    <s v="Amit Chandaliya"/>
    <s v="No"/>
    <s v="sumeer.raina@amns.in"/>
    <s v="9923004856"/>
    <s v="1022374"/>
    <s v="Pritam Debbarma"/>
    <s v="Anil Matoo"/>
    <s v="-"/>
    <s v="Manjit Shah"/>
    <s v="-"/>
  </r>
  <r>
    <n v="6522"/>
    <n v="20058843"/>
    <s v="Shivprasad Shetty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12-19T00:00:00"/>
    <s v="56.09"/>
    <d v="1996-04-08T00:00:00"/>
    <d v="2026-12-31T00:00:00"/>
    <m/>
    <d v="2026-12-31T00:00:00"/>
    <n v="1198"/>
    <s v=""/>
    <s v=""/>
    <s v=""/>
    <s v="27.05"/>
    <s v="27.05"/>
    <s v="00051329"/>
    <s v="Finance &amp; Accounts"/>
    <s v="305051"/>
    <s v="New Acquisition"/>
    <s v="Khopoli staff"/>
    <s v="0000100006"/>
    <s v="HOM-ACCOUNTS &amp; FIN"/>
    <s v="1111KHOP"/>
    <s v="20058805"/>
    <s v="Sunil Sharma"/>
    <s v="No"/>
    <s v="k.prasad@amns.in"/>
    <s v="9892850559"/>
    <s v="1022379"/>
    <s v="Pritam Debbarma"/>
    <s v="Anil Matoo"/>
    <s v="-"/>
    <s v="Manjit Shah"/>
    <s v="-"/>
  </r>
  <r>
    <n v="6523"/>
    <n v="20058846"/>
    <s v="Mitra Sharma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North"/>
    <s v="OEM"/>
    <s v=""/>
    <s v="Non Technical Support"/>
    <s v="Operations"/>
    <s v="Operations"/>
    <s v="72103001"/>
    <s v="Operations"/>
    <s v="Delhi"/>
    <d v="1965-04-12T00:00:00"/>
    <s v="58.05"/>
    <d v="2009-06-02T00:00:00"/>
    <d v="2025-04-30T00:00:00"/>
    <m/>
    <d v="2025-04-30T00:00:00"/>
    <n v="588"/>
    <s v=""/>
    <s v=""/>
    <s v=""/>
    <s v="14.03"/>
    <s v="14.03"/>
    <s v="00051380"/>
    <s v="Sales &amp; Marketing"/>
    <s v="305054"/>
    <s v="New Acquisition"/>
    <s v="Khopoli staff"/>
    <s v="0000120004"/>
    <s v="DELHI BRANCH"/>
    <s v="1111KHOP"/>
    <s v="20058920"/>
    <s v="Atul Singh"/>
    <s v="No"/>
    <s v="mitra.bandhu@amns.in"/>
    <s v="9810939550"/>
    <s v="1022382"/>
    <s v="Pritam Debbarma"/>
    <s v="Anil Matoo"/>
    <s v="-"/>
    <s v="Manjit Shah"/>
    <s v="-"/>
  </r>
  <r>
    <n v="6524"/>
    <n v="20058847"/>
    <s v="Mahesh Malhotra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Coated Sales"/>
    <s v="Coated Sales"/>
    <s v=""/>
    <s v="Non Technical Support"/>
    <s v="Operations"/>
    <s v="Operations"/>
    <s v="72103001"/>
    <s v="Operations"/>
    <s v="Delhi"/>
    <d v="1970-06-10T00:00:00"/>
    <s v="53.03"/>
    <d v="2007-11-17T00:00:00"/>
    <d v="2030-06-30T00:00:00"/>
    <m/>
    <d v="2030-06-30T00:00:00"/>
    <n v="2475"/>
    <s v=""/>
    <s v=""/>
    <s v=""/>
    <s v="15.10"/>
    <s v="15.10"/>
    <s v="00043882"/>
    <s v="International Sales"/>
    <s v="305055"/>
    <s v="New Acquisition"/>
    <s v="Khopoli staff"/>
    <s v="0000120004"/>
    <s v="DELHI BRANCH"/>
    <s v="1111KHOP"/>
    <s v="20037071"/>
    <s v="Amit Chandaliya"/>
    <s v="No"/>
    <s v="mahesh.malhothra@amns.in"/>
    <s v="9818806509"/>
    <s v="1022153"/>
    <s v="Pritam Debbarma"/>
    <s v="Anil Matoo"/>
    <s v="-"/>
    <s v="Manjit Shah"/>
    <s v="-"/>
  </r>
  <r>
    <n v="6525"/>
    <n v="20058849"/>
    <s v="Sunil Kum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Pune"/>
    <d v="1983-02-04T00:00:00"/>
    <s v="40.07"/>
    <d v="2012-06-01T00:00:00"/>
    <d v="2043-02-28T00:00:00"/>
    <m/>
    <d v="2043-02-28T00:00:00"/>
    <n v="7101"/>
    <s v=""/>
    <s v=""/>
    <s v=""/>
    <s v="11.03"/>
    <s v="11.03"/>
    <s v="00051380"/>
    <s v="Sales &amp; Marketing"/>
    <s v="305057"/>
    <s v="New Acquisition"/>
    <s v="Khopoli staff"/>
    <s v="0000120001"/>
    <s v="PUNE BRANCH"/>
    <s v="1111KHOP"/>
    <s v="20058920"/>
    <s v="Atul Singh"/>
    <s v="No"/>
    <s v="sunil.kumar@amns.in"/>
    <s v="9923004855"/>
    <s v="1022161"/>
    <s v="Pritam Debbarma"/>
    <s v="Anil Matoo"/>
    <s v="-"/>
    <s v="Manjit Shah"/>
    <s v="-"/>
  </r>
  <r>
    <n v="6526"/>
    <n v="20058850"/>
    <s v="Arvind Poras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North"/>
    <s v="Order Entry"/>
    <s v=""/>
    <s v="Non Technical Support"/>
    <s v="Operations"/>
    <s v="Operations"/>
    <s v="72103001"/>
    <s v="Operations"/>
    <s v="Delhi"/>
    <d v="1990-01-11T00:00:00"/>
    <s v="33.08"/>
    <d v="2011-12-27T00:00:00"/>
    <d v="2050-01-31T00:00:00"/>
    <m/>
    <d v="2050-01-31T00:00:00"/>
    <n v="9630"/>
    <s v=""/>
    <s v=""/>
    <s v=""/>
    <s v="11.08"/>
    <s v="11.08"/>
    <s v="00051380"/>
    <s v="Sales &amp; Marketing"/>
    <s v="305058"/>
    <s v="New Acquisition"/>
    <s v="Khopoli staff"/>
    <s v="0000120004"/>
    <s v="DELHI BRANCH"/>
    <s v="1111KHOP"/>
    <s v="20058920"/>
    <s v="Atul Singh"/>
    <s v="No"/>
    <s v="arvind.poras@amns.in"/>
    <s v="9818656644"/>
    <s v="1022166"/>
    <s v="Pritam Debbarma"/>
    <s v="Anil Matoo"/>
    <s v="-"/>
    <s v="Manjit Shah"/>
    <s v="-"/>
  </r>
  <r>
    <n v="6527"/>
    <n v="20058851"/>
    <s v="Abhishek Garg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3-12-15T00:00:00"/>
    <s v="39.09"/>
    <d v="2012-05-02T00:00:00"/>
    <d v="2043-12-31T00:00:00"/>
    <m/>
    <d v="2043-12-31T00:00:00"/>
    <n v="7407"/>
    <s v=""/>
    <s v=""/>
    <s v=""/>
    <s v="11.04"/>
    <s v="11.04"/>
    <s v="73800002"/>
    <s v="Procurement - Pune Asset"/>
    <s v="305059"/>
    <s v="New Acquisition"/>
    <s v="Khopoli staff"/>
    <s v="0000100010"/>
    <s v="HOM-COMM. &amp; PROCTS"/>
    <s v="1111KHOP"/>
    <s v="20006536"/>
    <s v="Mahesh Salunke"/>
    <s v="No"/>
    <s v="abhishek.garg1@amns.in"/>
    <s v="8411970578"/>
    <s v="1022174"/>
    <s v="Pritam Debbarma"/>
    <s v="Anil Matoo"/>
    <s v="-"/>
    <s v="Manjit Shah"/>
    <s v="-"/>
  </r>
  <r>
    <n v="6528"/>
    <n v="20058852"/>
    <s v="Sunil Padalka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9-09-05T00:00:00"/>
    <s v="54.00"/>
    <d v="2009-01-01T00:00:00"/>
    <d v="2029-09-30T00:00:00"/>
    <m/>
    <d v="2029-09-30T00:00:00"/>
    <n v="2202"/>
    <s v=""/>
    <s v=""/>
    <s v=""/>
    <s v="14.08"/>
    <s v="14.08"/>
    <s v="00051220"/>
    <s v="Administration &amp; Security"/>
    <s v="305060"/>
    <s v="New Acquisition"/>
    <s v="Khopoli staff"/>
    <s v="0000290002"/>
    <s v="FAC-PERSONAL &amp; ADM"/>
    <s v="1111KHOP"/>
    <s v="20057887"/>
    <s v="Kiran Vaidya"/>
    <s v="No"/>
    <s v="sunil.padalkar@amns.in"/>
    <s v="9619472111"/>
    <s v="1042812"/>
    <s v="Pritam Debbarma"/>
    <s v="Anil Matoo"/>
    <s v="-"/>
    <s v="Manjit Shah"/>
    <s v="-"/>
  </r>
  <r>
    <n v="6530"/>
    <n v="20058854"/>
    <s v="Satishkumar .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outh"/>
    <s v="OEM"/>
    <s v=""/>
    <s v="Non Technical Support"/>
    <s v="Operations"/>
    <s v="Operations"/>
    <s v="72103001"/>
    <s v="Operations"/>
    <s v="Bangalore"/>
    <d v="1984-06-01T00:00:00"/>
    <s v="39.03"/>
    <d v="2012-10-03T00:00:00"/>
    <d v="2044-05-31T00:00:00"/>
    <m/>
    <d v="2044-05-31T00:00:00"/>
    <n v="7559"/>
    <s v=""/>
    <s v=""/>
    <s v=""/>
    <s v="10.11"/>
    <s v="10.11"/>
    <s v="00051380"/>
    <s v="Sales &amp; Marketing"/>
    <s v="305062"/>
    <s v="New Acquisition"/>
    <s v="Khopoli staff"/>
    <s v="0000120005"/>
    <s v="BANGALORE BRANCH"/>
    <s v="1111KHOP"/>
    <s v="20058920"/>
    <s v="Atul Singh"/>
    <s v="No"/>
    <s v="satish.kumar@amns.in"/>
    <s v="9008450123"/>
    <s v="1022188"/>
    <s v="Pritam Debbarma"/>
    <s v="Anil Matoo"/>
    <s v="-"/>
    <s v="Manjit Shah"/>
    <s v="-"/>
  </r>
  <r>
    <n v="6545"/>
    <n v="20058869"/>
    <s v="Ganesh More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9-07-26T00:00:00"/>
    <s v="44.01"/>
    <d v="2013-05-14T00:00:00"/>
    <d v="2039-07-31T00:00:00"/>
    <m/>
    <d v="2039-07-31T00:00:00"/>
    <n v="5793"/>
    <s v=""/>
    <s v=""/>
    <s v=""/>
    <s v="10.04"/>
    <s v="10.04"/>
    <s v="73800002"/>
    <s v="Procurement - Pune Asset"/>
    <s v="305077"/>
    <s v="New Acquisition"/>
    <s v="Khopoli staff"/>
    <s v="0000100010"/>
    <s v="HOM-COMM. &amp; PROCTS"/>
    <s v="1111KHOP"/>
    <s v="20006536"/>
    <s v="Mahesh Salunke"/>
    <s v="No"/>
    <s v="ganesh.more@amns.in"/>
    <s v="8879994492"/>
    <s v="1022214"/>
    <s v="Pritam Debbarma"/>
    <s v="Anil Matoo"/>
    <s v="-"/>
    <s v="Manjit Shah"/>
    <s v="-"/>
  </r>
  <r>
    <n v="6555"/>
    <n v="20058879"/>
    <s v="Suraj Jaronde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0-08-11T00:00:00"/>
    <s v="43.01"/>
    <d v="2013-06-01T00:00:00"/>
    <d v="2040-08-31T00:00:00"/>
    <m/>
    <d v="2040-08-31T00:00:00"/>
    <n v="6190"/>
    <s v=""/>
    <s v=""/>
    <s v=""/>
    <s v="10.03"/>
    <s v="10.03"/>
    <s v="73800002"/>
    <s v="Procurement - Pune Asset"/>
    <s v="305087"/>
    <s v="New Acquisition"/>
    <s v="Khopoli staff"/>
    <s v="0000100010"/>
    <s v="HOM-COMM. &amp; PROCTS"/>
    <s v="1111KHOP"/>
    <s v="20006536"/>
    <s v="Mahesh Salunke"/>
    <s v="No"/>
    <s v="suraj.jaronde@amns.in"/>
    <s v="8411970843"/>
    <s v="1022223"/>
    <s v="Pritam Debbarma"/>
    <s v="Anil Matoo"/>
    <s v="-"/>
    <s v="Manjit Shah"/>
    <s v="-"/>
  </r>
  <r>
    <n v="6568"/>
    <n v="20058892"/>
    <s v="Nishant Deelwal"/>
    <s v="AM/NS India"/>
    <s v="Onroll"/>
    <s v="M-9"/>
    <n v="9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South"/>
    <s v="Hypermart"/>
    <s v=""/>
    <s v="Non Technical Support"/>
    <s v="Operations"/>
    <s v="Operations"/>
    <s v="72103001"/>
    <s v="Operations"/>
    <s v="Pune"/>
    <d v="1981-05-12T00:00:00"/>
    <s v="42.04"/>
    <d v="2014-01-01T00:00:00"/>
    <d v="2039-05-31T00:00:00"/>
    <m/>
    <d v="2039-05-31T00:00:00"/>
    <n v="5732"/>
    <s v=""/>
    <s v=""/>
    <s v=""/>
    <s v="09.08"/>
    <s v="09.08"/>
    <s v="00048814"/>
    <s v="Sales South Zone – Hypermart"/>
    <s v="305100"/>
    <s v="Sales Manager - Hypermart"/>
    <s v="Hypermart"/>
    <s v="0031950057"/>
    <s v="HZ-HRC - Marketing"/>
    <s v="2000SRET"/>
    <s v="20056279"/>
    <s v="Arun G"/>
    <s v="No"/>
    <s v="nishant.deelwal@amns.in"/>
    <s v="8879994091"/>
    <s v="1022249"/>
    <s v="Dhruv Vyas"/>
    <s v="Anil Matoo"/>
    <s v="Praveen Kuruvalli"/>
    <s v="Dhruv Vyas"/>
    <n v="0"/>
  </r>
  <r>
    <n v="6573"/>
    <n v="20058897"/>
    <s v="Dhananjay Pawa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90-07-08T00:00:00"/>
    <s v="33.02"/>
    <d v="2014-05-02T00:00:00"/>
    <d v="2050-07-31T00:00:00"/>
    <m/>
    <d v="2050-07-31T00:00:00"/>
    <n v="9811"/>
    <s v=""/>
    <s v=""/>
    <s v=""/>
    <s v="09.04"/>
    <s v="09.04"/>
    <s v="00051278"/>
    <s v="Stores &amp; Warehouse"/>
    <s v="305105"/>
    <s v="New Acquisition"/>
    <s v="Khopoli staff"/>
    <s v="0000509007"/>
    <s v="CCL-STORES_DEPT"/>
    <s v="1111KHOP"/>
    <s v="20058695"/>
    <s v="Shrigopal Bhati"/>
    <s v="No"/>
    <s v="dhananjay.pawar@amns.in"/>
    <s v="9821952033"/>
    <s v="1042814"/>
    <s v="Pritam Debbarma"/>
    <s v="Anil Matoo"/>
    <s v="-"/>
    <s v="Manjit Shah"/>
    <s v="-"/>
  </r>
  <r>
    <n v="6577"/>
    <n v="20058901"/>
    <s v="Mahesh Mohit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2-10-11T00:00:00"/>
    <s v="40.11"/>
    <d v="2014-06-09T00:00:00"/>
    <d v="2042-10-31T00:00:00"/>
    <m/>
    <d v="2042-10-31T00:00:00"/>
    <n v="6981"/>
    <s v=""/>
    <s v=""/>
    <s v=""/>
    <s v="09.03"/>
    <s v="09.03"/>
    <s v="00051278"/>
    <s v="Stores &amp; Warehouse"/>
    <s v="305109"/>
    <s v="New Acquisition"/>
    <s v="Khopoli staff"/>
    <s v="0000249007"/>
    <s v="SSC-STORES_DEPT"/>
    <s v="1111KHOP"/>
    <s v="20058695"/>
    <s v="Shrigopal Bhati"/>
    <s v="No"/>
    <s v="mahesh.mohite@amns.in"/>
    <s v="9823796143"/>
    <s v="1022226"/>
    <s v="Pritam Debbarma"/>
    <s v="Anil Matoo"/>
    <s v="-"/>
    <s v="Manjit Shah"/>
    <s v="-"/>
  </r>
  <r>
    <n v="6582"/>
    <n v="20058909"/>
    <s v="Ajay Wadek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Nanded"/>
    <d v="1976-06-08T00:00:00"/>
    <s v="47.03"/>
    <d v="2015-05-29T00:00:00"/>
    <d v="2036-06-30T00:00:00"/>
    <m/>
    <d v="2036-06-30T00:00:00"/>
    <n v="4667"/>
    <s v=""/>
    <s v=""/>
    <s v=""/>
    <s v="08.03"/>
    <s v="08.03"/>
    <s v="00051380"/>
    <s v="Sales &amp; Marketing"/>
    <s v="305117"/>
    <s v="New Acquisition"/>
    <s v="Khopoli staff"/>
    <s v="0000100015"/>
    <s v="HOM-SALE&amp;MKTG-TRADE"/>
    <s v="1111KHOP"/>
    <s v="20058920"/>
    <s v="Atul Singh"/>
    <s v="No"/>
    <s v="ajay.wadekar@amns.in"/>
    <s v="9850967680"/>
    <s v="1022274"/>
    <s v="Pritam Debbarma"/>
    <s v="Anil Matoo"/>
    <s v="-"/>
    <s v="Manjit Shah"/>
    <s v="-"/>
  </r>
  <r>
    <n v="6584"/>
    <n v="20058911"/>
    <s v="Sumitra Das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Technical Marketing &amp; Application Engineering"/>
    <s v="Technical Marketing &amp; Application Engineering"/>
    <s v=""/>
    <s v="Non Technical Support"/>
    <s v="Operations"/>
    <s v="Operations"/>
    <s v="72103001"/>
    <s v="Operations"/>
    <s v="Delhi"/>
    <d v="1982-08-07T00:00:00"/>
    <s v="41.01"/>
    <d v="2015-08-10T00:00:00"/>
    <d v="2042-08-31T00:00:00"/>
    <m/>
    <d v="2042-08-31T00:00:00"/>
    <n v="6920"/>
    <s v=""/>
    <s v=""/>
    <s v=""/>
    <s v="08.01"/>
    <s v="08.01"/>
    <s v="00051380"/>
    <s v="Sales &amp; Marketing"/>
    <s v="305119"/>
    <s v="New Acquisition"/>
    <s v="Khopoli staff"/>
    <s v="0000100015"/>
    <s v="HOM-SALE&amp;MKTG-TRADE"/>
    <s v="1111KHOP"/>
    <s v="20058920"/>
    <s v="Atul Singh"/>
    <s v="No"/>
    <s v="sumitra.das@amns.in"/>
    <s v="9599916356"/>
    <s v="1022277"/>
    <s v="Pritam Debbarma"/>
    <s v="Anil Matoo"/>
    <s v="-"/>
    <s v="Manjit Shah"/>
    <s v="-"/>
  </r>
  <r>
    <n v="6586"/>
    <n v="20058913"/>
    <s v="Sachin Kulkarn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Coated Sales"/>
    <s v="Coated Sales"/>
    <s v=""/>
    <s v="Non Technical Support"/>
    <s v="Operations"/>
    <s v="Operations"/>
    <s v="72103001"/>
    <s v="Operations"/>
    <s v="Pune"/>
    <d v="1971-07-11T00:00:00"/>
    <s v="52.02"/>
    <d v="2015-09-21T00:00:00"/>
    <d v="2031-07-31T00:00:00"/>
    <m/>
    <d v="2031-07-31T00:00:00"/>
    <n v="2871"/>
    <s v=""/>
    <s v=""/>
    <s v=""/>
    <s v="08.00"/>
    <s v="08.00"/>
    <s v="00051380"/>
    <s v="Sales &amp; Marketing"/>
    <s v="305121"/>
    <s v="New Acquisition"/>
    <s v="Khopoli staff"/>
    <s v="0000100013"/>
    <s v="HOM-SALE&amp;MKTG-OEM"/>
    <s v="1111KHOP"/>
    <s v="20058920"/>
    <s v="Atul Singh"/>
    <s v="No"/>
    <s v="sachin.kulkarni@amns.in"/>
    <s v="9923002584"/>
    <s v="1022283"/>
    <s v="Pritam Debbarma"/>
    <s v="Anil Matoo"/>
    <s v="-"/>
    <s v="Manjit Shah"/>
    <s v="-"/>
  </r>
  <r>
    <n v="6589"/>
    <n v="20058916"/>
    <s v="Rakesh Patel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Ahmedabad"/>
    <d v="1987-06-25T00:00:00"/>
    <s v="36.02"/>
    <d v="2015-11-02T00:00:00"/>
    <d v="2047-06-30T00:00:00"/>
    <m/>
    <d v="2047-06-30T00:00:00"/>
    <n v="8684"/>
    <s v=""/>
    <s v=""/>
    <s v=""/>
    <s v="07.10"/>
    <s v="07.10"/>
    <s v="00051380"/>
    <s v="Sales &amp; Marketing"/>
    <s v="305124"/>
    <s v="New Acquisition"/>
    <s v="Khopoli staff"/>
    <s v="0000100014"/>
    <s v="HOM-SALE&amp;MKTG-EXPORT"/>
    <s v="1111KHOP"/>
    <s v="20058920"/>
    <s v="Atul Singh"/>
    <s v="No"/>
    <s v="rakesh.patel@amns.in"/>
    <s v="7226090600"/>
    <s v="1022296"/>
    <s v="Pritam Debbarma"/>
    <s v="Anil Matoo"/>
    <s v="-"/>
    <s v="Manjit Shah"/>
    <s v="-"/>
  </r>
  <r>
    <n v="6590"/>
    <n v="20058917"/>
    <s v="Aditya Kaushik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North"/>
    <s v="Hypermart"/>
    <s v=""/>
    <s v="Non Technical Support"/>
    <s v="Operations"/>
    <s v="Operations"/>
    <s v="72103001"/>
    <s v="Operations"/>
    <s v="Delhi"/>
    <d v="1982-09-08T00:00:00"/>
    <s v="41.00"/>
    <d v="2015-12-07T00:00:00"/>
    <d v="2042-09-30T00:00:00"/>
    <m/>
    <d v="2042-09-30T00:00:00"/>
    <n v="6950"/>
    <s v=""/>
    <s v=""/>
    <s v=""/>
    <s v="07.09"/>
    <s v="07.09"/>
    <s v="00051380"/>
    <s v="Sales &amp; Marketing"/>
    <s v="305125"/>
    <s v="New Acquisition"/>
    <s v="Khopoli staff"/>
    <s v="0060120600"/>
    <s v="HMART-UP-Ghaziabad"/>
    <s v="1111KHOP"/>
    <s v="20058920"/>
    <s v="Atul Singh"/>
    <s v="No"/>
    <s v="aditya.kaushik@amns.in"/>
    <s v="9871119801"/>
    <s v="1022300"/>
    <s v="Pritam Debbarma"/>
    <s v="Anil Matoo"/>
    <s v="-"/>
    <s v="Manjit Shah"/>
    <s v="-"/>
  </r>
  <r>
    <n v="6591"/>
    <n v="20058920"/>
    <s v="Atul Singh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Sales &amp; Marketing, Khopoli"/>
    <s v=""/>
    <s v="Non Technical Support"/>
    <s v="Operations"/>
    <s v="Operations"/>
    <s v="72103001"/>
    <s v="Operations"/>
    <s v="Khopoli"/>
    <d v="1980-03-25T00:00:00"/>
    <s v="43.05"/>
    <d v="2016-04-04T00:00:00"/>
    <d v="2040-03-31T00:00:00"/>
    <m/>
    <d v="2040-03-31T00:00:00"/>
    <n v="6037"/>
    <s v=""/>
    <s v=""/>
    <s v=""/>
    <s v="07.05"/>
    <s v="07.05"/>
    <s v="00051380"/>
    <s v="Sales &amp; Marketing"/>
    <s v="305128"/>
    <s v="New Acquisition"/>
    <s v="Khopoli staff"/>
    <s v="0000100013"/>
    <s v="HOM-SALE&amp;MKTG-OEM"/>
    <s v="1111KHOP"/>
    <s v="20007104"/>
    <s v="Ranjan Dhar"/>
    <s v="No"/>
    <s v="atul.singh1@amns.in"/>
    <s v="8879994416"/>
    <s v="1022227"/>
    <s v="Pritam Debbarma"/>
    <s v="Anil Matoo"/>
    <s v="-"/>
    <s v="Manjit Shah"/>
    <s v="-"/>
  </r>
  <r>
    <n v="6592"/>
    <n v="20058923"/>
    <s v="Srikanth Santhanam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10-18T00:00:00"/>
    <s v="56.11"/>
    <d v="2017-03-06T00:00:00"/>
    <d v="2026-10-31T00:00:00"/>
    <d v="2029-10-31T00:00:00"/>
    <d v="2029-10-31T00:00:00"/>
    <n v="2233"/>
    <s v=""/>
    <s v=""/>
    <s v=""/>
    <s v="06.06"/>
    <s v="06.06"/>
    <s v="70494931"/>
    <s v="Working Capital"/>
    <s v="305131"/>
    <s v="New Acquisition"/>
    <s v="Khopoli staff"/>
    <s v="0000100022"/>
    <s v="HOM-CORPORATE FINANC"/>
    <s v="1111KHOP"/>
    <s v="20000870"/>
    <s v="Balajee M"/>
    <s v="No"/>
    <s v="srikanth.santhanam@amns.in"/>
    <s v="8879994423"/>
    <s v="1022252"/>
    <s v="Pritam Debbarma"/>
    <s v="Anil Matoo"/>
    <s v="-"/>
    <s v="Manjit Shah"/>
    <s v="-"/>
  </r>
  <r>
    <n v="6594"/>
    <n v="20058925"/>
    <s v="Balkrishna Bandr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6-01T00:00:00"/>
    <s v="47.03"/>
    <d v="2017-04-01T00:00:00"/>
    <d v="2036-05-31T00:00:00"/>
    <m/>
    <d v="2036-05-31T00:00:00"/>
    <n v="4637"/>
    <s v=""/>
    <s v=""/>
    <s v=""/>
    <s v="06.05"/>
    <s v="06.05"/>
    <s v="00051064"/>
    <s v="AMNS Khopoli Limited"/>
    <s v="305133"/>
    <s v="New Acquisition"/>
    <s v="Khopoli staff"/>
    <s v="0000100006"/>
    <s v="HOM-ACCOUNTS &amp; FIN"/>
    <s v="1111KHOP"/>
    <s v="20059045"/>
    <s v="Navneet Kumar Jain"/>
    <s v="No"/>
    <s v="balkrishna.bandre@amns.in"/>
    <s v="8655794396"/>
    <s v="1022261"/>
    <s v="Pritam Debbarma"/>
    <s v="Anil Matoo"/>
    <s v="-"/>
    <s v="Manjit Shah"/>
    <s v="-"/>
  </r>
  <r>
    <n v="6595"/>
    <n v="20058927"/>
    <s v="Aarti Sherla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91-11-20T00:00:00"/>
    <s v="31.09"/>
    <d v="2017-04-18T00:00:00"/>
    <d v="2051-11-30T00:00:00"/>
    <m/>
    <d v="2051-11-30T00:00:00"/>
    <n v="10298"/>
    <s v=""/>
    <s v=""/>
    <s v=""/>
    <s v="06.05"/>
    <s v="06.05"/>
    <s v="00051329"/>
    <s v="Finance &amp; Accounts"/>
    <s v="305135"/>
    <s v="New Acquisition"/>
    <s v="Khopoli staff"/>
    <s v="0000100006"/>
    <s v="HOM-ACCOUNTS &amp; FIN"/>
    <s v="1111KHOP"/>
    <s v="20058805"/>
    <s v="Sunil Sharma"/>
    <s v="No"/>
    <s v="aarti.sherla@amns.in"/>
    <s v="9702159322"/>
    <s v="1022272"/>
    <s v="Pritam Debbarma"/>
    <s v="Anil Matoo"/>
    <s v="-"/>
    <s v="Manjit Shah"/>
    <s v="-"/>
  </r>
  <r>
    <n v="6596"/>
    <n v="20058928"/>
    <s v="Shrikant Pusdek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Khopoli"/>
    <d v="1977-04-20T00:00:00"/>
    <s v="46.05"/>
    <d v="2017-08-03T00:00:00"/>
    <d v="2037-04-30T00:00:00"/>
    <m/>
    <d v="2037-04-30T00:00:00"/>
    <n v="4971"/>
    <s v=""/>
    <s v=""/>
    <s v=""/>
    <s v="06.01"/>
    <s v="06.01"/>
    <s v="00051378"/>
    <s v="Exports - Marketing"/>
    <s v="305136"/>
    <s v="New Acquisition"/>
    <s v="Khopoli staff"/>
    <s v="0000100014"/>
    <s v="HOM-SALE&amp;MKTG-EXPORT"/>
    <s v="1111KHOP"/>
    <s v="20058801"/>
    <s v="Shubhangi Patil"/>
    <s v="No"/>
    <s v="shrikant.pusdekar@amns.in"/>
    <s v="8805087800"/>
    <s v="1022286"/>
    <s v="Pritam Debbarma"/>
    <s v="Anil Matoo"/>
    <s v="-"/>
    <s v="Manjit Shah"/>
    <s v="-"/>
  </r>
  <r>
    <n v="6597"/>
    <n v="20058929"/>
    <s v="Shrinivas Matcha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81-07-02T00:00:00"/>
    <s v="42.02"/>
    <d v="2017-07-07T00:00:00"/>
    <d v="2041-07-31T00:00:00"/>
    <m/>
    <d v="2041-07-31T00:00:00"/>
    <n v="6524"/>
    <s v=""/>
    <s v=""/>
    <s v=""/>
    <s v="06.02"/>
    <s v="06.02"/>
    <s v="00051220"/>
    <s v="Administration &amp; Security"/>
    <s v="305137"/>
    <s v="New Acquisition"/>
    <s v="Khopoli staff"/>
    <s v="0000100009"/>
    <s v="HOM-PERSONNEL / HRD"/>
    <s v="1111KHOP"/>
    <s v="20057887"/>
    <s v="Kiran Vaidya"/>
    <s v="No"/>
    <s v="shrinivas.matcha@amns.in"/>
    <s v="8879994016"/>
    <s v="1022290"/>
    <s v="Pritam Debbarma"/>
    <s v="Anil Matoo"/>
    <s v="-"/>
    <s v="Manjit Shah"/>
    <s v="-"/>
  </r>
  <r>
    <n v="6598"/>
    <n v="20058930"/>
    <s v="Robin Kurie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Export"/>
    <s v="Export"/>
    <s v=""/>
    <s v="Non Technical Support"/>
    <s v="Operations"/>
    <s v="Operations"/>
    <s v="72103001"/>
    <s v="Operations"/>
    <s v="Khopoli"/>
    <d v="1980-09-22T00:00:00"/>
    <s v="42.11"/>
    <d v="2017-08-16T00:00:00"/>
    <d v="2040-09-30T00:00:00"/>
    <m/>
    <d v="2040-09-30T00:00:00"/>
    <n v="6220"/>
    <s v=""/>
    <s v=""/>
    <s v=""/>
    <s v="06.01"/>
    <s v="06.01"/>
    <s v="00052527"/>
    <s v="Sales &amp; Marketing"/>
    <s v="305138"/>
    <s v="New Acquisition"/>
    <s v="Khopoli staff"/>
    <s v="0000100013"/>
    <s v="HOM-SALE&amp;MKTG-OEM"/>
    <s v="1111KHOP"/>
    <s v="20055663"/>
    <s v="Karamath Syed"/>
    <s v="No"/>
    <s v="robin.kurien@amns.in"/>
    <s v="8879994605"/>
    <s v="1022297"/>
    <s v="Pritam Debbarma"/>
    <s v="Anil Matoo"/>
    <s v="-"/>
    <s v="Manjit Shah"/>
    <s v="-"/>
  </r>
  <r>
    <n v="6599"/>
    <n v="20058931"/>
    <s v="Dharmendra Tiwar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Other West"/>
    <s v="OEM"/>
    <s v=""/>
    <s v="Non Technical Support"/>
    <s v="Operations"/>
    <s v="Operations"/>
    <s v="72103001"/>
    <s v="Operations"/>
    <s v="Aurangabad"/>
    <d v="1980-10-05T00:00:00"/>
    <s v="42.11"/>
    <d v="2017-10-27T00:00:00"/>
    <d v="2040-10-31T00:00:00"/>
    <m/>
    <d v="2040-10-31T00:00:00"/>
    <n v="6251"/>
    <s v=""/>
    <s v=""/>
    <s v=""/>
    <s v="05.10"/>
    <s v="05.10"/>
    <s v="00051380"/>
    <s v="Sales &amp; Marketing"/>
    <s v="305139"/>
    <s v="New Acquisition"/>
    <s v="Khopoli staff"/>
    <s v="0000100013"/>
    <s v="HOM-SALE&amp;MKTG-OEM"/>
    <s v="1111KHOP"/>
    <s v="20058920"/>
    <s v="Atul Singh"/>
    <s v="No"/>
    <s v="dharmendra.tiwari@amns.in"/>
    <s v="7263016882"/>
    <s v="1022302"/>
    <s v="Pritam Debbarma"/>
    <s v="Anil Matoo"/>
    <s v="-"/>
    <s v="Manjit Shah"/>
    <s v="-"/>
  </r>
  <r>
    <n v="6600"/>
    <n v="20058932"/>
    <s v="Swapnil Mahajan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8-12-31T00:00:00"/>
    <s v="34.08"/>
    <d v="2018-01-19T00:00:00"/>
    <d v="2048-12-31T00:00:00"/>
    <m/>
    <d v="2048-12-31T00:00:00"/>
    <n v="9234"/>
    <s v=""/>
    <s v=""/>
    <s v=""/>
    <s v="05.08"/>
    <s v="05.08"/>
    <s v="73800002"/>
    <s v="Procurement - Pune Asset"/>
    <s v="305140"/>
    <s v="New Acquisition"/>
    <s v="Khopoli staff"/>
    <s v="0000100010"/>
    <s v="HOM-COMM. &amp; PROCTS"/>
    <s v="1111KHOP"/>
    <s v="20006536"/>
    <s v="Mahesh Salunke"/>
    <s v="No"/>
    <s v="swapnil.mahajan@amns.in"/>
    <s v="8411970668"/>
    <s v="1022310"/>
    <s v="Pritam Debbarma"/>
    <s v="Anil Matoo"/>
    <s v="-"/>
    <s v="Manjit Shah"/>
    <s v="-"/>
  </r>
  <r>
    <n v="6601"/>
    <n v="20058933"/>
    <s v="Pushpendra Mishra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4-02-03T00:00:00"/>
    <s v="39.07"/>
    <d v="2018-07-07T00:00:00"/>
    <d v="2044-02-29T00:00:00"/>
    <m/>
    <d v="2044-02-29T00:00:00"/>
    <n v="7467"/>
    <s v=""/>
    <s v=""/>
    <s v=""/>
    <s v="05.02"/>
    <s v="05.02"/>
    <s v="00051339"/>
    <s v="Excise"/>
    <s v="305143"/>
    <s v="New Acquisition"/>
    <s v="Khopoli staff"/>
    <s v="0000290001"/>
    <s v="FAC-EXCISE_DEPT"/>
    <s v="1111KHOP"/>
    <s v="40002639"/>
    <s v="Balveer Bhandari"/>
    <s v="No"/>
    <s v="pushpendrakumar.mishra@amns.in"/>
    <s v="9039001011"/>
    <s v="1022315"/>
    <s v="Pritam Debbarma"/>
    <s v="Anil Matoo"/>
    <s v="-"/>
    <s v="Manjit Shah"/>
    <s v="-"/>
  </r>
  <r>
    <n v="6603"/>
    <n v="20058935"/>
    <s v="Satish Mulay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71-06-02T00:00:00"/>
    <s v="52.03"/>
    <d v="2018-08-29T00:00:00"/>
    <d v="2031-06-30T00:00:00"/>
    <m/>
    <d v="2031-06-30T00:00:00"/>
    <n v="2840"/>
    <s v=""/>
    <s v=""/>
    <s v=""/>
    <s v="05.00"/>
    <s v="05.00"/>
    <s v="00051336"/>
    <s v="Industrial Relations"/>
    <s v="305145"/>
    <s v="New Acquisition"/>
    <s v="Khopoli staff"/>
    <s v="0000100009"/>
    <s v="HOM-PERSONNEL / HRD"/>
    <s v="1111KHOP"/>
    <s v="20037245"/>
    <s v="Mukund Jagirdar"/>
    <s v="No"/>
    <s v="satish.mulay@amns.in"/>
    <s v="8411970545"/>
    <s v="1022321"/>
    <s v="Pritam Debbarma"/>
    <s v="Anil Matoo"/>
    <n v="0"/>
    <s v="Manjit Shah"/>
    <n v="0"/>
  </r>
  <r>
    <n v="6607"/>
    <n v="20058941"/>
    <s v="Satish Pednekar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6-02-06T00:00:00"/>
    <s v="37.07"/>
    <d v="2019-05-02T00:00:00"/>
    <d v="2046-02-28T00:00:00"/>
    <m/>
    <d v="2046-02-28T00:00:00"/>
    <n v="8197"/>
    <s v=""/>
    <s v=""/>
    <s v=""/>
    <s v="04.04"/>
    <s v="04.04"/>
    <s v="00051333"/>
    <s v="Corporate Accounts &amp; Global Reporting"/>
    <s v="305151"/>
    <s v="New Acquisition"/>
    <s v="Khopoli staff"/>
    <s v="0000290004"/>
    <s v="FAC-ACCOUTS_DEPT"/>
    <s v="1111KHOP"/>
    <s v="20058804"/>
    <s v="Roy Jose"/>
    <s v="No"/>
    <s v="satuppa.pednekar@amns.in"/>
    <s v="9405257883"/>
    <s v="1022293"/>
    <s v="Pritam Debbarma"/>
    <s v="Anil Matoo"/>
    <s v="-"/>
    <s v="Manjit Shah"/>
    <s v="-"/>
  </r>
  <r>
    <n v="6608"/>
    <n v="20058942"/>
    <s v="Dattaram Kadam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Hazira"/>
    <d v="1982-03-21T00:00:00"/>
    <s v="41.06"/>
    <d v="2019-06-10T00:00:00"/>
    <d v="2042-03-31T00:00:00"/>
    <m/>
    <d v="2042-03-31T00:00:00"/>
    <n v="6767"/>
    <s v=""/>
    <s v="MA-2004 , BA-2002 , High School-1999"/>
    <s v="04.00"/>
    <s v="04.03"/>
    <s v="08.03"/>
    <s v="00051335"/>
    <s v="HR &amp; Administration - Khopoli"/>
    <s v="305152"/>
    <s v="New Acquisition"/>
    <s v="Khopoli staff"/>
    <s v="0000100009"/>
    <s v="HOM-PERSONNEL / HRD"/>
    <s v="1111KHOP"/>
    <s v="20055071"/>
    <s v="Anirudha Bisoyi"/>
    <s v="No"/>
    <s v="dattaram.kadam@amns.in"/>
    <s v="9423823696"/>
    <s v="1022303"/>
    <s v="Pritam Debbarma"/>
    <s v="Anil Matoo"/>
    <n v="0"/>
    <s v="Manjit Shah"/>
    <n v="0"/>
  </r>
  <r>
    <n v="6616"/>
    <n v="20058953"/>
    <s v="Aman Khalkho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94-12-21T00:00:00"/>
    <s v="28.09"/>
    <d v="2021-09-01T00:00:00"/>
    <d v="2054-12-31T00:00:00"/>
    <m/>
    <d v="2054-12-31T00:00:00"/>
    <n v="11425"/>
    <s v=""/>
    <s v=""/>
    <s v=""/>
    <s v="02.00"/>
    <s v="02.00"/>
    <s v="00051336"/>
    <s v="Industrial Relations"/>
    <s v="305164"/>
    <s v="New Acquisition"/>
    <s v="Khopoli staff"/>
    <s v="0000100009"/>
    <s v="HOM-PERSONNEL / HRD"/>
    <s v="1111KHOP"/>
    <s v="20058961"/>
    <s v="Pritam Debbarma"/>
    <s v="No"/>
    <s v="aman.khalkho@amns.in"/>
    <s v="8411970427"/>
    <s v="1022346"/>
    <s v="Pritam Debbarma"/>
    <s v="Anil Matoo"/>
    <n v="0"/>
    <s v="Manjit Shah"/>
    <n v="0"/>
  </r>
  <r>
    <n v="6623"/>
    <n v="20058960"/>
    <s v="Sandeep Kuma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82-10-06T00:00:00"/>
    <s v="40.11"/>
    <d v="2022-02-21T00:00:00"/>
    <d v="2042-10-31T00:00:00"/>
    <m/>
    <d v="2042-10-31T00:00:00"/>
    <n v="6981"/>
    <s v=""/>
    <s v=""/>
    <s v=""/>
    <s v="01.06"/>
    <s v="01.06"/>
    <s v="00051335"/>
    <s v="HR &amp; Administration - Khopoli"/>
    <s v="305171"/>
    <s v="New Acquisition"/>
    <s v="Khopoli staff"/>
    <s v="0000290002"/>
    <s v="FAC-PERSONAL &amp; ADM"/>
    <s v="1111KHOP"/>
    <s v="20057887"/>
    <s v="Kiran Vaidya"/>
    <s v="No"/>
    <s v="sandeep.kumar@amns.in"/>
    <s v="9992148185"/>
    <s v="1022176"/>
    <s v="Pritam Debbarma"/>
    <s v="Anil Matoo"/>
    <s v="-"/>
    <s v="Manjit Shah"/>
    <s v="-"/>
  </r>
  <r>
    <n v="6624"/>
    <n v="20058961"/>
    <s v="Pritam Debbarma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88-05-25T00:00:00"/>
    <s v="35.03"/>
    <d v="2022-02-28T00:00:00"/>
    <d v="2048-05-31T00:00:00"/>
    <m/>
    <d v="2048-05-31T00:00:00"/>
    <n v="9020"/>
    <s v=""/>
    <s v=""/>
    <s v=""/>
    <s v="01.06"/>
    <s v="01.06"/>
    <s v="00051335"/>
    <s v="HR &amp; Administration - Khopoli"/>
    <s v="305172"/>
    <s v="New Acquisition"/>
    <s v="Khopoli staff"/>
    <s v="0000100009"/>
    <s v="HOM-PERSONNEL / HRD"/>
    <s v="1111KHOP"/>
    <s v="20037245"/>
    <s v="Mukund Jagirdar"/>
    <s v="No"/>
    <s v="pritam.debbarma@amns.in"/>
    <s v="8411970848"/>
    <s v="1022191"/>
    <s v="Pritam Debbarma"/>
    <s v="Anil Matoo"/>
    <n v="0"/>
    <s v="Manjit Shah"/>
    <n v="0"/>
  </r>
  <r>
    <n v="6668"/>
    <n v="20059006"/>
    <s v="Ranjit Kumar Sahu"/>
    <s v="AM/NS India"/>
    <s v="Onroll"/>
    <s v="M-8"/>
    <n v="8"/>
    <m/>
    <s v="JM"/>
    <s v="M"/>
    <s v="Corporate"/>
    <n v="2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Chairman's Secretariat"/>
    <s v="Chairman's Secretariat"/>
    <s v="74701000"/>
    <s v="Chairman's Secretariat"/>
    <s v="Paradeep"/>
    <d v="1985-03-05T00:00:00"/>
    <s v="38.06"/>
    <d v="2023-03-27T00:00:00"/>
    <d v="2043-03-31T00:00:00"/>
    <m/>
    <d v="2043-03-31T00:00:00"/>
    <n v="7132"/>
    <s v="O+"/>
    <s v="CA Inter-2012 , BCom-2005 , Intermediate"/>
    <s v="03.00"/>
    <s v="00.05"/>
    <s v="03.06"/>
    <s v="00044333"/>
    <s v="Internal Audit -Odisha"/>
    <s v="301000"/>
    <s v="Lead - Internal Audit"/>
    <s v="Odisha"/>
    <s v="0090000035"/>
    <s v=""/>
    <s v="2000STORIS"/>
    <s v="20055745"/>
    <s v="Ajay Kumar Sharma"/>
    <s v="No"/>
    <s v="ranjit.sahu@amns.in"/>
    <s v="9940613119"/>
    <s v="1042000"/>
    <s v="Sunila Das"/>
    <s v="Anil Matoo"/>
    <s v="Praveen Kuruvalli"/>
    <s v="Sunila Das"/>
    <n v="0"/>
  </r>
  <r>
    <n v="6670"/>
    <n v="20059008"/>
    <s v="Kotaro Sato"/>
    <s v="AM/NS India"/>
    <s v="PDA"/>
    <s v="PDA"/>
    <m/>
    <m/>
    <s v="TM"/>
    <s v="M"/>
    <s v="Hazira"/>
    <n v="1"/>
    <s v="2161"/>
    <x v="15"/>
    <s v="31.02"/>
    <s v="Hrishikesh Kamat"/>
    <s v="Hrishikesh Kamat"/>
    <n v="7"/>
    <s v="Procurement"/>
    <s v="Procurement"/>
    <s v="31"/>
    <s v="Section Incharge - Capex Planning"/>
    <m/>
    <s v="Capex Procurement"/>
    <s v=""/>
    <s v=""/>
    <s v="Non Technical Support"/>
    <s v=""/>
    <s v=""/>
    <s v=""/>
    <s v=""/>
    <s v="Hazira"/>
    <d v="1980-12-26T00:00:00"/>
    <s v="42.08"/>
    <d v="2023-04-01T00:00:00"/>
    <d v="2038-12-31T00:00:00"/>
    <m/>
    <d v="2038-12-31T00:00:00"/>
    <n v="5581"/>
    <s v=""/>
    <s v=""/>
    <s v=""/>
    <s v="00.05"/>
    <s v="00.05"/>
    <s v="00046902"/>
    <s v="Capex Plannig"/>
    <s v="306049"/>
    <s v="Section Incharge - Capex Planning"/>
    <s v="Non-payroll-relevant"/>
    <s v="0031920100"/>
    <s v="HAZIRA UPSTREAM PROJ"/>
    <s v="2000HWO"/>
    <s v="20055485"/>
    <s v="Majima Toshio"/>
    <s v="No"/>
    <s v="kotaro.sato@amns.in"/>
    <s v="7227043117"/>
    <s v="1015814"/>
    <s v="Dhruv Vyas"/>
    <s v="Anil Matoo"/>
    <s v="Praveen Kuruvalli"/>
    <s v="Dhruv Vyas"/>
    <n v="0"/>
  </r>
  <r>
    <n v="6671"/>
    <n v="20059009"/>
    <s v="Michiro Urabe"/>
    <s v="AM/NS India"/>
    <s v="PDA"/>
    <s v="PDA"/>
    <m/>
    <m/>
    <s v="TM"/>
    <s v="M"/>
    <s v="Hazira"/>
    <n v="1"/>
    <s v="2161"/>
    <x v="15"/>
    <s v="31.02"/>
    <s v="Hrishikesh Kamat"/>
    <s v="Hrishikesh Kamat"/>
    <n v="7"/>
    <s v="Procurement"/>
    <s v="Procurement"/>
    <s v="31"/>
    <s v="Section Incharge - Capex Planning"/>
    <m/>
    <s v="Capex Procurement"/>
    <s v=""/>
    <s v=""/>
    <s v="Non Technical Support"/>
    <s v=""/>
    <s v=""/>
    <s v=""/>
    <s v=""/>
    <s v="Hazira"/>
    <d v="1978-11-01T00:00:00"/>
    <s v="44.10"/>
    <d v="2023-04-01T00:00:00"/>
    <d v="2036-10-31T00:00:00"/>
    <m/>
    <d v="2036-10-31T00:00:00"/>
    <n v="4790"/>
    <s v=""/>
    <s v=""/>
    <s v=""/>
    <s v="00.05"/>
    <s v="00.05"/>
    <s v="00052664"/>
    <s v="Capex Planning"/>
    <s v="306050"/>
    <s v="Section Incharge - Capex Planning"/>
    <s v="Non-payroll-relevant"/>
    <s v="0031920100"/>
    <s v="HAZIRA UPSTREAM PROJ"/>
    <s v="2000HWO"/>
    <s v="20055485"/>
    <s v="Majima Toshio"/>
    <s v="No"/>
    <s v="michiro.urabe@amns.in"/>
    <s v="7227043115"/>
    <s v="1042652"/>
    <s v="Dhruv Vyas"/>
    <s v="Anil Matoo"/>
    <s v="Praveen Kuruvalli"/>
    <s v="Dhruv Vyas"/>
    <n v="0"/>
  </r>
  <r>
    <n v="6675"/>
    <n v="20059013"/>
    <s v="Richa Gandhi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Internal Control and SOX"/>
    <m/>
    <s v="Finance &amp; Accounts"/>
    <s v="Internal Control &amp; SOX"/>
    <s v=""/>
    <s v="Non Technical Support"/>
    <s v="Chairman's Secretariat"/>
    <s v="Chairman's Secretariat"/>
    <s v="74701000"/>
    <s v="Chairman's Secretariat"/>
    <s v="Hazira"/>
    <d v="1996-07-25T00:00:00"/>
    <s v="27.01"/>
    <d v="2023-03-31T00:00:00"/>
    <d v="2054-07-31T00:00:00"/>
    <m/>
    <d v="2054-07-31T00:00:00"/>
    <n v="11272"/>
    <s v="AB+"/>
    <s v="BCom-2018 , CA Final-2019 , Intermediate"/>
    <s v="03.04"/>
    <s v="00.05"/>
    <s v="03.09"/>
    <s v="00051504"/>
    <s v="Internal Control &amp; SOX"/>
    <s v="300858"/>
    <s v="Officer - Internal Control and SOX"/>
    <s v="Hazira"/>
    <s v="0031950043"/>
    <s v=""/>
    <s v="2000HWO"/>
    <s v="20056387"/>
    <s v="Vikal Goyal"/>
    <s v="No"/>
    <s v="richa.gandhi@amns.in"/>
    <s v="8866433297"/>
    <s v="1042942"/>
    <s v="Dhruv Vyas"/>
    <s v="Anil Matoo"/>
    <s v="Praveen Kuruvalli"/>
    <s v="Dhruv Vyas"/>
    <n v="0"/>
  </r>
  <r>
    <n v="6676"/>
    <n v="20059014"/>
    <s v="Saikrishna Darni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charge - Stores &amp; Warehouse"/>
    <m/>
    <s v="Stores &amp; Warehouse"/>
    <s v="Stores &amp; Warehouse"/>
    <s v="Receipt, Unloading &amp; Unbound"/>
    <s v="Non Technical Support"/>
    <s v=""/>
    <s v=""/>
    <s v=""/>
    <s v=""/>
    <s v="Hazira"/>
    <d v="1993-06-26T00:00:00"/>
    <s v="30.02"/>
    <d v="2023-03-31T00:00:00"/>
    <d v="2051-06-30T00:00:00"/>
    <m/>
    <d v="2051-06-30T00:00:00"/>
    <n v="10145"/>
    <s v="O+"/>
    <s v="Diploma-2016 , Intermediate-2008"/>
    <s v="11.06"/>
    <s v="00.05"/>
    <s v="11.11"/>
    <s v="00044541"/>
    <s v="HRC Store - Receipt"/>
    <s v="272362"/>
    <s v="Section Incharge - Stores &amp; Warehouse"/>
    <s v="Hazira"/>
    <s v="0031950049"/>
    <s v=""/>
    <s v="2000HWO"/>
    <s v="20005047"/>
    <s v="Rajeev Jha"/>
    <s v="No"/>
    <s v="saikrishna.darni@amns.in"/>
    <s v="7227043145"/>
    <s v="1042964"/>
    <s v="Dhruv Vyas"/>
    <s v="Anil Matoo"/>
    <s v="Praveen Kuruvalli"/>
    <s v="Dhruv Vyas"/>
    <n v="0"/>
  </r>
  <r>
    <n v="6680"/>
    <n v="20059018"/>
    <s v="Sandeep Ray"/>
    <s v="AM/NS India"/>
    <s v="Onroll"/>
    <s v="M-6"/>
    <n v="6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Section Head – Facility Management"/>
    <m/>
    <s v="Administration"/>
    <s v=""/>
    <s v=""/>
    <s v="Non Technical Support"/>
    <s v="Administration"/>
    <s v="Administration"/>
    <s v="74101001"/>
    <s v="Administration"/>
    <s v="Hazira"/>
    <d v="1983-04-02T00:00:00"/>
    <s v="40.05"/>
    <d v="2023-04-03T00:00:00"/>
    <d v="2041-04-30T00:00:00"/>
    <m/>
    <d v="2041-04-30T00:00:00"/>
    <n v="6432"/>
    <s v="B+"/>
    <s v="PG Diploma in Management-2011"/>
    <s v="00.02"/>
    <s v="00.05"/>
    <s v="00.07"/>
    <s v="00049757"/>
    <s v="Facility Management"/>
    <s v="296422"/>
    <s v="Section Head – Facility Management"/>
    <s v="Hazira"/>
    <s v="0090000018"/>
    <s v=""/>
    <s v="2000HWO"/>
    <s v="20057886"/>
    <s v="Shakir Bandwala"/>
    <s v="No"/>
    <s v="sandeep.ray@amns.in"/>
    <s v="8238366222"/>
    <s v="1043070"/>
    <s v="Manjit Shah"/>
    <s v="Anil Matoo"/>
    <s v="Praveen Kuruvalli"/>
    <s v="Lakshman Iyer"/>
    <n v="0"/>
  </r>
  <r>
    <n v="6683"/>
    <n v="20059021"/>
    <s v="Nilesh Kumbhani"/>
    <s v="AM/NS India"/>
    <s v="Onroll"/>
    <s v="M-9"/>
    <n v="9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Officer - Contracts"/>
    <m/>
    <s v="Contracts"/>
    <s v=""/>
    <s v=""/>
    <s v="Non Technical Support"/>
    <s v="Commercial"/>
    <s v="Contracts &amp; Tenders and E-bid"/>
    <s v="73805001"/>
    <s v="Contracts &amp; Tenders and E"/>
    <s v="Hazira"/>
    <d v="1987-03-15T00:00:00"/>
    <s v="36.06"/>
    <d v="2023-04-01T00:00:00"/>
    <d v="2045-03-31T00:00:00"/>
    <m/>
    <d v="2045-03-31T00:00:00"/>
    <n v="7863"/>
    <s v="O+"/>
    <s v="MBA-2011 , BCom-2009 , Intermediate-2006"/>
    <s v="03.09"/>
    <s v="00.05"/>
    <s v="04.02"/>
    <s v="70495670"/>
    <s v="Contracts"/>
    <s v="300995"/>
    <s v="Officer - Contracts"/>
    <s v="Hazira"/>
    <s v="0031950047"/>
    <s v=""/>
    <s v="2000HWO"/>
    <s v="20000795"/>
    <s v="Pankaj Chaturvedi"/>
    <s v="No"/>
    <s v="nilesh.kumbhani@amns.in"/>
    <s v="9879101729"/>
    <s v="25211"/>
    <s v="Dhruv Vyas"/>
    <s v="Anil Matoo"/>
    <s v="Praveen Kuruvalli"/>
    <s v="Dhruv Vyas"/>
    <n v="0"/>
  </r>
  <r>
    <n v="6684"/>
    <n v="20059022"/>
    <s v="Mital Gohil"/>
    <s v="AM/NS India"/>
    <s v="Onroll"/>
    <s v="M-10"/>
    <n v="10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Finance &amp; Accounts"/>
    <m/>
    <s v="Finance &amp; Accounts"/>
    <s v="Service Centers"/>
    <s v=""/>
    <s v="Non Technical Support"/>
    <s v=""/>
    <s v=""/>
    <s v=""/>
    <s v=""/>
    <s v="Hazira"/>
    <d v="1991-08-12T00:00:00"/>
    <s v="32.01"/>
    <d v="2023-03-16T00:00:00"/>
    <d v="2049-08-31T00:00:00"/>
    <m/>
    <d v="2049-08-31T00:00:00"/>
    <n v="9477"/>
    <s v="AB+"/>
    <s v="MBA-2014 , BBA-2012 , Intermediate-2009"/>
    <s v="02.02"/>
    <s v="00.06"/>
    <s v="02.08"/>
    <s v="70495565"/>
    <s v="F&amp;A Hypermart &amp; Service Centre"/>
    <s v="305317"/>
    <s v="Officer Accounts Payable"/>
    <s v="Hazira"/>
    <s v="0031950045"/>
    <s v="HZ-Works Accounts-Ha"/>
    <s v="2000HWO"/>
    <s v="20055504"/>
    <s v="Vivek Choudhary"/>
    <s v="No"/>
    <s v="mital.gohil@amns.in"/>
    <s v="9978832962"/>
    <s v="794645"/>
    <s v="Dhruv Vyas"/>
    <s v="Anil Matoo"/>
    <s v="Praveen Kuruvalli"/>
    <s v="Dhruv Vyas"/>
    <n v="0"/>
  </r>
  <r>
    <n v="6685"/>
    <n v="20059023"/>
    <s v="Vishalkumar Panchawala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 Accounts Payable"/>
    <m/>
    <s v="Finance &amp; Accounts"/>
    <s v="Accounts Payable"/>
    <s v="Bills Payable"/>
    <s v="Non Technical Support"/>
    <s v="Finance &amp; Accounts"/>
    <s v="Corporate Finance"/>
    <s v="73902004"/>
    <s v="Banking Relations"/>
    <s v="Hazira"/>
    <d v="1980-07-14T00:00:00"/>
    <s v="43.02"/>
    <d v="2023-03-16T00:00:00"/>
    <d v="2038-07-31T00:00:00"/>
    <m/>
    <d v="2038-07-31T00:00:00"/>
    <n v="5428"/>
    <s v="B+"/>
    <s v="BCom-2004"/>
    <s v=""/>
    <s v="00.06"/>
    <s v="00.06"/>
    <s v="00043794"/>
    <s v="Accounts Payable - 1"/>
    <s v="300857"/>
    <s v="MT"/>
    <s v="Hazira"/>
    <s v="0031950045"/>
    <s v=""/>
    <s v="2000HWO"/>
    <s v="20016107"/>
    <s v="Kalpesh Thathagar"/>
    <s v="No"/>
    <s v="vishal.panchawala@amns.in"/>
    <s v="9879101096"/>
    <s v="25120"/>
    <s v="Dhruv Vyas"/>
    <s v="Anil Matoo"/>
    <s v="Praveen Kuruvalli"/>
    <s v="Dhruv Vyas"/>
    <n v="0"/>
  </r>
  <r>
    <n v="6686"/>
    <n v="20059024"/>
    <s v="Keiji Kubota"/>
    <s v="AM/NS India"/>
    <s v="PDA"/>
    <s v="PDA"/>
    <n v="2"/>
    <m/>
    <s v="TM"/>
    <s v="M"/>
    <s v="Hazira"/>
    <n v="1"/>
    <s v="2015"/>
    <x v="1"/>
    <s v="22.06"/>
    <s v="Ashutosh Telang"/>
    <s v="Ashutosh Telang"/>
    <n v="6"/>
    <s v="HR &amp; Administration"/>
    <s v="Human Resources"/>
    <s v="22"/>
    <s v="Dy Director - HR &amp; Admin"/>
    <m/>
    <s v="Human Resources"/>
    <s v=""/>
    <s v=""/>
    <s v="Non Technical Support"/>
    <s v=""/>
    <s v=""/>
    <s v="70494642"/>
    <s v="Deputy Director"/>
    <s v="Hazira"/>
    <d v="1969-07-11T00:00:00"/>
    <s v="54.02"/>
    <d v="2023-04-01T00:00:00"/>
    <d v="2027-07-31T00:00:00"/>
    <m/>
    <d v="2027-07-31T00:00:00"/>
    <n v="1410"/>
    <s v=""/>
    <s v=""/>
    <s v=""/>
    <s v="00.05"/>
    <s v="00.05"/>
    <s v="70494636"/>
    <s v="HR and Administration"/>
    <s v="306661"/>
    <s v="Deputy Directory HR &amp;Admin"/>
    <s v="Non-payroll-relevant"/>
    <s v="0090000018"/>
    <s v=""/>
    <s v="2000HWO"/>
    <s v="20057637"/>
    <s v="Ashutosh Telang"/>
    <s v="No"/>
    <s v="keiji.kubota@amns.in"/>
    <s v=""/>
    <s v="1043230"/>
    <s v="Dhruv Vyas"/>
    <s v="Anil Matoo"/>
    <s v="Praveen Kuruvalli"/>
    <s v="Dhruv Vyas"/>
    <n v="0"/>
  </r>
  <r>
    <n v="6689"/>
    <n v="20059027"/>
    <s v="Nikhil Kaura"/>
    <s v="AM/NS India"/>
    <s v="Onroll"/>
    <s v="M-6"/>
    <n v="6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s v=""/>
    <s v=""/>
    <s v="Non Technical Support"/>
    <s v="Corporate Relations"/>
    <s v="Corporate Affairs"/>
    <s v="74501001"/>
    <s v="Corporate Affairs"/>
    <s v="Delhi"/>
    <d v="1988-01-15T00:00:00"/>
    <s v="35.08"/>
    <d v="2023-04-07T00:00:00"/>
    <d v="2046-01-31T00:00:00"/>
    <m/>
    <d v="2046-01-31T00:00:00"/>
    <n v="8169"/>
    <s v="B+"/>
    <s v="PG Diploma in Management-2010 , BA-2010"/>
    <s v="05.06"/>
    <s v="00.05"/>
    <s v="05.10"/>
    <s v="70494938"/>
    <s v="Corporate Affairs"/>
    <s v="306590"/>
    <s v="Lead Corporate Affair"/>
    <s v="Corporate"/>
    <s v="0090000021"/>
    <s v=""/>
    <s v="2000CS"/>
    <s v="20057928"/>
    <s v="Manu Kapoor"/>
    <s v="No"/>
    <s v="nikhil.kaura@amns.in"/>
    <s v="9811038669"/>
    <s v="1044083"/>
    <s v="Dhruv Vyas"/>
    <s v="Anil Matoo"/>
    <s v="Praveen Kuruvalli"/>
    <s v="Dhruv Vyas"/>
    <n v="0"/>
  </r>
  <r>
    <n v="6704"/>
    <n v="20059042"/>
    <s v="Murali Sahoo"/>
    <s v="AM/NS India"/>
    <s v="Onroll"/>
    <s v="M-6"/>
    <n v="6"/>
    <m/>
    <s v="MM"/>
    <s v="M"/>
    <s v="Mining"/>
    <n v="8"/>
    <s v="2015"/>
    <x v="1"/>
    <s v="22.06"/>
    <s v="Praveen Kuruvalli"/>
    <s v="Ashutosh Telang"/>
    <n v="6"/>
    <s v="HR &amp; Administration"/>
    <s v="Human Resources"/>
    <s v="22"/>
    <s v="Head HR – Mines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Barbil"/>
    <d v="1981-05-12T00:00:00"/>
    <s v="42.04"/>
    <d v="2023-04-10T00:00:00"/>
    <d v="2039-05-31T00:00:00"/>
    <m/>
    <d v="2039-05-31T00:00:00"/>
    <n v="5732"/>
    <s v="AB+"/>
    <s v="MSW-2006 , BA-2003 , Intermediate-2000 ,"/>
    <s v="01.11"/>
    <s v="00.05"/>
    <s v="02.04"/>
    <s v="00051987"/>
    <s v="HR - Mining"/>
    <s v="301567"/>
    <s v="Head HR Mining"/>
    <s v="Odisha"/>
    <s v="0031950061"/>
    <s v=""/>
    <s v="2000STORIS"/>
    <s v="20055483"/>
    <s v="Praveen Kuruvalli"/>
    <s v="No"/>
    <s v="murali.sahoo@amns.in"/>
    <s v="9437717622"/>
    <s v="1044304"/>
    <s v="Murali Sahoo"/>
    <s v="Anil Matoo"/>
    <s v="Praveen Kuruvalli"/>
    <s v="Murali Sahoo"/>
    <n v="0"/>
  </r>
  <r>
    <n v="6705"/>
    <n v="20059043"/>
    <s v="Priyanka Patidar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Corporate Accounts"/>
    <m/>
    <s v="Finance &amp;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Hazira"/>
    <d v="2000-01-11T00:00:00"/>
    <s v="23.08"/>
    <d v="2023-04-10T00:00:00"/>
    <d v="2058-01-31T00:00:00"/>
    <m/>
    <d v="2058-01-31T00:00:00"/>
    <n v="12552"/>
    <s v="O+"/>
    <s v="CA Inter-2022 , Intermediate-2017 , Inte"/>
    <s v=""/>
    <s v="00.05"/>
    <s v="00.05"/>
    <s v="70074192"/>
    <s v="Corporate Accounts"/>
    <s v="70493872"/>
    <s v="Officer - Corporate Accounts"/>
    <s v="Hazira"/>
    <s v="0090000027"/>
    <s v=""/>
    <s v="2000HWO"/>
    <s v="20007067"/>
    <s v="Gaurav Bhandari"/>
    <s v="No"/>
    <s v="priyanka.patidar@amns.in"/>
    <s v="6378596477"/>
    <s v="1044311"/>
    <s v="Dhruv Vyas"/>
    <s v="Anil Matoo"/>
    <s v="Praveen Kuruvalli"/>
    <s v="Dhruv Vyas"/>
    <n v="0"/>
  </r>
  <r>
    <n v="6707"/>
    <n v="20059045"/>
    <s v="Navneet Kumar Jain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 Direct Tax"/>
    <m/>
    <s v="Finance &amp; Accounts"/>
    <s v="Direct - Taxation"/>
    <s v=""/>
    <s v="Non Technical Support"/>
    <s v="Finance &amp; Accounts"/>
    <s v="Taxation"/>
    <s v="73904001"/>
    <s v="Direct Taxation"/>
    <s v="Hazira"/>
    <d v="1993-09-20T00:00:00"/>
    <s v="30.00"/>
    <d v="2023-04-17T00:00:00"/>
    <d v="2051-09-30T00:00:00"/>
    <m/>
    <d v="2051-09-30T00:00:00"/>
    <n v="10237"/>
    <s v="AB+"/>
    <s v="BCom-2013 , CA Final-2015 , Diploma-2010"/>
    <s v="03.04"/>
    <s v="00.05"/>
    <s v="03.09"/>
    <s v="00052147"/>
    <s v="Direct Tax"/>
    <s v="300851"/>
    <s v="Lead  Direct Tax"/>
    <s v="Hazira"/>
    <s v="0090000033"/>
    <s v=""/>
    <s v="2000HWO"/>
    <s v="20055494"/>
    <s v="Vikas Soni"/>
    <s v="No"/>
    <s v="navneet.jain7@amns.in"/>
    <s v="7737397279"/>
    <s v="1044986"/>
    <s v="Dhruv Vyas"/>
    <s v="Anil Matoo"/>
    <s v="Praveen Kuruvalli"/>
    <s v="Dhruv Vyas"/>
    <n v="0"/>
  </r>
  <r>
    <n v="6716"/>
    <n v="20059054"/>
    <s v="Rohan Sarin"/>
    <s v="AM/NS India"/>
    <s v="Onroll"/>
    <s v="M-6"/>
    <n v="6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s v=""/>
    <s v=""/>
    <s v="Non Technical Support"/>
    <s v="Corporate Relations"/>
    <s v="Corporate Affairs"/>
    <s v="74501001"/>
    <s v="Corporate Affairs"/>
    <s v="Delhi"/>
    <d v="1985-11-16T00:00:00"/>
    <s v="37.10"/>
    <d v="2023-04-17T00:00:00"/>
    <d v="2043-11-30T00:00:00"/>
    <m/>
    <d v="2043-11-30T00:00:00"/>
    <n v="7376"/>
    <s v="B+"/>
    <s v="MBA-2008 , BA-2006 , Intermediate-2003 ,"/>
    <s v="11.08"/>
    <s v="00.05"/>
    <s v="12.01"/>
    <s v="70494938"/>
    <s v="Corporate Affairs"/>
    <s v="307007"/>
    <s v="Lead Corporate Affairs"/>
    <s v="Corporate"/>
    <s v="0090000021"/>
    <s v=""/>
    <s v="2000CRG"/>
    <s v="20057928"/>
    <s v="Manu Kapoor"/>
    <s v="No"/>
    <s v="rohan.sarin@amns.in"/>
    <s v="9999293221"/>
    <s v="1045153"/>
    <s v="Dhruv Vyas"/>
    <s v="Anil Matoo"/>
    <s v="Praveen Kuruvalli"/>
    <s v="Dhruv Vyas"/>
    <n v="0"/>
  </r>
  <r>
    <n v="6717"/>
    <n v="20059055"/>
    <s v="Shailaja Rai"/>
    <s v="AM/NS India"/>
    <s v="Onroll"/>
    <s v="M-8"/>
    <n v="8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Lead Talent Acquisition Campus Relations"/>
    <m/>
    <s v="Human Resources"/>
    <s v=""/>
    <s v=""/>
    <s v="Non Technical Support"/>
    <s v="Human Resources Management"/>
    <s v="Human Resources Management"/>
    <s v="73501001"/>
    <s v="Human Resources"/>
    <s v="Mumbai"/>
    <d v="1994-06-23T00:00:00"/>
    <s v="29.02"/>
    <d v="2023-04-17T00:00:00"/>
    <d v="2052-06-30T00:00:00"/>
    <m/>
    <d v="2052-06-30T00:00:00"/>
    <n v="10511"/>
    <s v="O+"/>
    <s v="MBA-2021 , BTech-2016"/>
    <s v="02.01"/>
    <s v="00.05"/>
    <s v="02.06"/>
    <s v="70242278"/>
    <s v="People Strategy &amp; HR Center Excellence"/>
    <s v="301566"/>
    <s v="Sr Lead Campus Relations"/>
    <s v="Hazira"/>
    <s v="0031950061"/>
    <s v=""/>
    <s v="2000CRG"/>
    <s v="20055483"/>
    <s v="Praveen Kuruvalli"/>
    <s v="No"/>
    <s v="shailaja.rai@amns.in"/>
    <s v="7043693058"/>
    <s v="1045163"/>
    <s v="Dhruv Vyas"/>
    <s v="Anil Matoo"/>
    <s v="Praveen Kuruvalli"/>
    <s v="Dhruv Vyas"/>
    <n v="0"/>
  </r>
  <r>
    <n v="6721"/>
    <n v="20059059"/>
    <s v="Rajendra Mukhekar"/>
    <s v="AM/NS Shipping &amp; Logistics"/>
    <s v="Onroll"/>
    <s v="M-8"/>
    <n v="8"/>
    <m/>
    <s v="JM"/>
    <s v="M"/>
    <s v="Hazira"/>
    <n v="1"/>
    <s v="7209"/>
    <x v="18"/>
    <s v="33.01"/>
    <s v="Hrishikesh Kamat"/>
    <s v="Hrishikesh Kamat"/>
    <n v="7"/>
    <s v="Procurement"/>
    <s v="Shipping &amp; Chartering"/>
    <s v="33"/>
    <s v="Lead Shipping &amp; Chartering"/>
    <m/>
    <s v="Shipping &amp; Charterin"/>
    <s v=""/>
    <s v=""/>
    <s v="Tech. Support Services"/>
    <s v="Operations"/>
    <s v="Operations"/>
    <s v="72103001"/>
    <s v="Operations"/>
    <s v="Hazira"/>
    <d v="1985-07-13T00:00:00"/>
    <s v="38.02"/>
    <d v="2023-04-01T00:00:00"/>
    <d v="2043-07-31T00:00:00"/>
    <m/>
    <d v="2043-07-31T00:00:00"/>
    <n v="7254"/>
    <s v="O+"/>
    <s v="BCom-2007 , Intermediate-2003 , Intermed"/>
    <s v="04.06"/>
    <s v="00.05"/>
    <s v="04.11"/>
    <s v="00051618"/>
    <s v="Shipping and Chartering"/>
    <s v="307281"/>
    <s v="Lead Shipping &amp; Chartering"/>
    <s v="AMNSSL"/>
    <s v="0000700001"/>
    <s v="SHIP-COMMON"/>
    <s v="2000HWO"/>
    <s v="20056845"/>
    <s v="Manoj Kumar"/>
    <s v="No"/>
    <s v="rajendra.mukherkar@amns.in"/>
    <s v="9909902661"/>
    <s v="798210"/>
    <s v="Dhruv Vyas"/>
    <s v="Anil Matoo"/>
    <s v="Praveen Kuruvalli"/>
    <s v="Dhruv Vyas"/>
    <n v="0"/>
  </r>
  <r>
    <n v="6724"/>
    <n v="20059062"/>
    <s v="Ankita Vyas"/>
    <s v="AM/NS India"/>
    <s v="Onroll"/>
    <s v="M-10"/>
    <n v="10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Analyst - Financial Concurrence"/>
    <m/>
    <s v="Finance &amp; Accounts"/>
    <s v="Internal Control &amp; SOX"/>
    <s v="Finance &amp; Accounts"/>
    <s v="Non Technical Support"/>
    <s v=""/>
    <s v=""/>
    <s v=""/>
    <s v=""/>
    <s v="Hazira"/>
    <d v="1989-11-04T00:00:00"/>
    <s v="33.10"/>
    <d v="2023-04-01T00:00:00"/>
    <d v="2047-11-30T00:00:00"/>
    <m/>
    <d v="2047-11-30T00:00:00"/>
    <n v="8837"/>
    <s v="A+"/>
    <s v="Diploma-2019 , BSc-2010 , Intermediate-2"/>
    <s v="04.01"/>
    <s v="00.05"/>
    <s v="04.06"/>
    <s v="00049304"/>
    <s v="PM - Internal Control"/>
    <s v="70486549"/>
    <s v="Analyst - Financial Concurrence"/>
    <s v="Hazira"/>
    <s v="0031950043"/>
    <s v="HZ-Performance Manag"/>
    <s v="2000HWO"/>
    <s v="20006833"/>
    <s v="Hardik Vasavada"/>
    <s v="No"/>
    <s v="ankita.vyas@amns.in"/>
    <s v="9462527772"/>
    <s v="25351"/>
    <s v="Dhruv Vyas"/>
    <s v="Anil Matoo"/>
    <s v="Praveen Kuruvalli"/>
    <s v="Dhruv Vyas"/>
    <n v="0"/>
  </r>
  <r>
    <n v="6725"/>
    <n v="20059063"/>
    <s v="Macarious M Joachim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87-03-10T00:00:00"/>
    <s v="36.06"/>
    <d v="2023-04-19T00:00:00"/>
    <d v="2045-03-31T00:00:00"/>
    <m/>
    <d v="2045-03-31T00:00:00"/>
    <n v="7863"/>
    <s v="A+"/>
    <s v="MTech-2014 , BTech-2008 , Intermediate-2"/>
    <s v="13.03"/>
    <s v="00.05"/>
    <s v="13.08"/>
    <s v="00052460"/>
    <s v="Auto &amp; YG"/>
    <s v="305326"/>
    <s v="Resident Engineer"/>
    <s v="Corporate"/>
    <s v="0031950057"/>
    <s v=""/>
    <s v="2000HWO"/>
    <s v="20056155"/>
    <s v="Kondapalli Venkateswarlu"/>
    <s v="No"/>
    <s v="macarious.joachim@amns.in"/>
    <s v="8095402625"/>
    <s v="1045842"/>
    <s v="Dhruv Vyas"/>
    <s v="Anil Matoo"/>
    <s v="Praveen Kuruvalli"/>
    <s v="Dhruv Vyas"/>
    <n v="0"/>
  </r>
  <r>
    <n v="6728"/>
    <n v="20059066"/>
    <s v="Pankaj Kaushik"/>
    <s v="AM/NS India"/>
    <s v="Onroll"/>
    <s v="M-6"/>
    <n v="6"/>
    <m/>
    <s v="MM"/>
    <s v="M"/>
    <s v="Corporate"/>
    <n v="7"/>
    <s v="2015"/>
    <x v="1"/>
    <s v="22.06"/>
    <s v="Praveen Kuruvalli"/>
    <s v="Ashutosh Telang"/>
    <n v="6"/>
    <s v="HR &amp; Administration"/>
    <s v="Human Resources"/>
    <s v="22"/>
    <s v="Sr. Lead HRIS &amp; Digitization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Mumbai"/>
    <d v="1977-08-04T00:00:00"/>
    <s v="46.01"/>
    <d v="2023-04-27T00:00:00"/>
    <d v="2035-08-31T00:00:00"/>
    <m/>
    <d v="2035-08-31T00:00:00"/>
    <n v="4363"/>
    <s v=""/>
    <s v="MBA-2014 , MCA-2008"/>
    <s v="22.05"/>
    <s v="00.04"/>
    <s v="22.10"/>
    <s v="00052538"/>
    <s v="HR Technology"/>
    <s v="308081"/>
    <s v="Sr. Lead HRIS &amp; Digitization"/>
    <s v="Corporate"/>
    <s v="0031950061"/>
    <s v=""/>
    <s v="2000CRG"/>
    <s v="20055483"/>
    <s v="Praveen Kuruvalli"/>
    <s v="No"/>
    <s v="pankaj.kaushik3@amns.in"/>
    <s v="9004476301"/>
    <s v="1047088"/>
    <s v="Dhruv Vyas"/>
    <s v="Anil Matoo"/>
    <s v="Praveen Kuruvalli"/>
    <s v="Dhruv Vyas"/>
    <n v="0"/>
  </r>
  <r>
    <n v="6737"/>
    <n v="20059075"/>
    <s v="Hardikkumar Patel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– Internal Control &amp; SOX"/>
    <m/>
    <m/>
    <m/>
    <m/>
    <s v="Non Technical Support"/>
    <s v=""/>
    <s v=""/>
    <s v=""/>
    <s v=""/>
    <s v="Hazira"/>
    <d v="1996-06-08T00:00:00"/>
    <s v="27.03"/>
    <d v="2023-05-01T00:00:00"/>
    <d v="2054-06-30T00:00:00"/>
    <m/>
    <d v="2054-06-30T00:00:00"/>
    <n v="11241"/>
    <s v="O+"/>
    <s v="MBA-2020 , BE-2017 , Intermediate-2011"/>
    <s v="03.03"/>
    <s v="00.04"/>
    <s v="03.08"/>
    <s v="00051504"/>
    <s v="Internal Control &amp; SOX"/>
    <s v="70495285"/>
    <s v="Officer – Internal Control &amp; SOX"/>
    <s v="Hazira"/>
    <s v="0031950043"/>
    <s v=""/>
    <s v="2000HWO"/>
    <s v="20056387"/>
    <s v="Vikal Goyal"/>
    <s v="No"/>
    <s v="hardik.patel3@amns.in"/>
    <s v="9427184518"/>
    <s v="1047187"/>
    <s v="Dhruv Vyas"/>
    <s v="Anil Matoo"/>
    <s v="Praveen Kuruvalli"/>
    <s v="Dhruv Vyas"/>
    <n v="0"/>
  </r>
  <r>
    <n v="6738"/>
    <n v="20059076"/>
    <s v="Ravish Doshi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Performance Management"/>
    <m/>
    <m/>
    <m/>
    <m/>
    <s v="Non Technical Support"/>
    <s v=""/>
    <s v=""/>
    <s v=""/>
    <s v=""/>
    <s v="Hazira"/>
    <d v="1982-08-24T00:00:00"/>
    <s v="41.00"/>
    <d v="2023-05-01T00:00:00"/>
    <d v="2040-08-31T00:00:00"/>
    <m/>
    <d v="2040-08-31T00:00:00"/>
    <n v="6190"/>
    <s v="B+"/>
    <s v="PG Diploma in Management-2018 , ICWA Fin"/>
    <s v="04.02"/>
    <s v="00.04"/>
    <s v="04.07"/>
    <s v="00045310"/>
    <s v="Performance Management"/>
    <s v="264181"/>
    <s v="Sr. Lead - Performance Management"/>
    <s v="Hazira"/>
    <s v="0031950043"/>
    <s v="HZ-Performance Manag"/>
    <s v="2000HWO"/>
    <s v="20003280"/>
    <s v="Chetan Jansari"/>
    <s v="No"/>
    <s v="ravish.doshi@amns.in"/>
    <s v="9687639785"/>
    <s v="1047188"/>
    <s v="Dhruv Vyas"/>
    <s v="Anil Matoo"/>
    <s v="Praveen Kuruvalli"/>
    <s v="Dhruv Vyas"/>
    <n v="0"/>
  </r>
  <r>
    <n v="6756"/>
    <n v="20059097"/>
    <s v="Gowtham D"/>
    <s v="AM/NS India"/>
    <s v="Onroll"/>
    <s v="M-8"/>
    <n v="8"/>
    <m/>
    <s v="JM"/>
    <s v="M"/>
    <s v="Corporate"/>
    <n v="7"/>
    <s v="2039"/>
    <x v="2"/>
    <s v="43.01"/>
    <s v="Sangeeta Munjal"/>
    <s v="Manu Kapoor"/>
    <n v="10"/>
    <s v="Corporate Affairs"/>
    <s v="Corporate Affairs"/>
    <s v="43"/>
    <s v="Executive Assistant"/>
    <m/>
    <s v="Corporate Affairs"/>
    <m/>
    <m/>
    <s v="Non Technical Support"/>
    <s v="Corporate Relations"/>
    <s v="Corporate Affairs"/>
    <s v="74501001"/>
    <s v="Corporate Affairs"/>
    <s v="Delhi"/>
    <d v="1993-08-20T00:00:00"/>
    <s v="30.00"/>
    <d v="2023-05-08T00:00:00"/>
    <d v="2051-08-31T00:00:00"/>
    <m/>
    <d v="2051-08-31T00:00:00"/>
    <n v="10207"/>
    <s v="A+"/>
    <s v="BE-2015"/>
    <s v="03.03"/>
    <s v="00.04"/>
    <s v="03.07"/>
    <s v="70494938"/>
    <s v="Corporate Affairs"/>
    <s v="308627"/>
    <s v="Executive Assistant"/>
    <s v="Corporate"/>
    <s v="0090000021"/>
    <s v="Corporate Affairs"/>
    <s v="2000CS"/>
    <s v="20057928"/>
    <s v="Manu Kapoor"/>
    <s v="No"/>
    <s v="gawtham.md@amns.in"/>
    <s v="8296587095"/>
    <s v="1048648"/>
    <s v="Dhruv Vyas"/>
    <s v="Anil Matoo"/>
    <s v="Praveen Kuruvalli"/>
    <s v="Dhruv Vyas"/>
    <n v="0"/>
  </r>
  <r>
    <n v="6757"/>
    <n v="20059098"/>
    <s v="Utsav Soni"/>
    <s v="AM/NS India"/>
    <s v="Onroll"/>
    <s v="M-7"/>
    <n v="7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– Direct Taxation"/>
    <m/>
    <m/>
    <m/>
    <m/>
    <s v="Non Technical Support"/>
    <s v=""/>
    <s v=""/>
    <s v=""/>
    <s v=""/>
    <s v="Mumbai"/>
    <d v="1994-02-20T00:00:00"/>
    <s v="29.06"/>
    <d v="2023-05-10T00:00:00"/>
    <d v="2052-02-29T00:00:00"/>
    <m/>
    <d v="2052-02-29T00:00:00"/>
    <n v="10389"/>
    <s v="B+"/>
    <s v="BCom-2016"/>
    <s v="04.07"/>
    <s v="00.04"/>
    <s v="04.11"/>
    <s v="00047291"/>
    <s v="Taxation"/>
    <s v="70494600"/>
    <s v="Lead– Direct Taxation"/>
    <s v="Corporate"/>
    <s v="0090000033"/>
    <s v="Corporate Taxation"/>
    <s v="2000CS"/>
    <s v="20056108"/>
    <s v="Farhan Mehboob Virani"/>
    <s v="No"/>
    <s v="utsav.soni1@amns.in"/>
    <s v="7709599965"/>
    <s v="1048832"/>
    <s v="Dhruv Vyas"/>
    <s v="Anil Matoo"/>
    <s v="Praveen Kuruvalli"/>
    <s v="Dhruv Vyas"/>
    <n v="0"/>
  </r>
  <r>
    <n v="6758"/>
    <n v="20059099"/>
    <s v="Ashutosh Barve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m/>
    <s v="Non Technical Support"/>
    <s v=""/>
    <s v=""/>
    <s v=""/>
    <s v=""/>
    <s v="Pune"/>
    <d v="1985-02-17T00:00:00"/>
    <s v="38.07"/>
    <d v="2023-05-10T00:00:00"/>
    <d v="2043-02-28T00:00:00"/>
    <m/>
    <d v="2043-02-28T00:00:00"/>
    <n v="7101"/>
    <s v="AB+"/>
    <s v="MTech-2012 , BE-2008 , Intermediate-2003"/>
    <s v="12.05"/>
    <s v="00.04"/>
    <s v="12.09"/>
    <s v="00052460"/>
    <s v="Auto &amp; YG"/>
    <s v="305324"/>
    <s v="Resident Engineer"/>
    <s v="Hazira"/>
    <s v="0031950057"/>
    <s v="HZ-HRC - Marketing"/>
    <s v="2000HWO"/>
    <s v="20056155"/>
    <s v="Kondapalli Venkateswarlu"/>
    <s v="No"/>
    <s v="ashutosh.barve1@amns.in"/>
    <s v="8160941350"/>
    <s v="1048842"/>
    <s v="Dhruv Vyas"/>
    <s v="Anil Matoo"/>
    <s v="Praveen Kuruvalli"/>
    <s v="Dhruv Vyas"/>
    <n v="0"/>
  </r>
  <r>
    <n v="6773"/>
    <n v="20059114"/>
    <s v="Akshat Gogia"/>
    <s v="AM/NS India"/>
    <s v="Onroll"/>
    <s v="M-7"/>
    <n v="7"/>
    <m/>
    <s v="MM"/>
    <s v="M"/>
    <s v="Corporate"/>
    <n v="1"/>
    <s v="2060"/>
    <x v="24"/>
    <s v="39.01"/>
    <s v="Sanjay Sharma"/>
    <s v="Sanjay Sharma"/>
    <n v="8"/>
    <s v="Business Development"/>
    <s v="Business Development"/>
    <s v="39"/>
    <s v="Ananlyst - Business Development"/>
    <m/>
    <s v="Business Development"/>
    <m/>
    <m/>
    <s v="Non Technical Support"/>
    <s v="Sales &amp; Marketing"/>
    <s v="Business Development"/>
    <s v="73103001"/>
    <s v="Business Development"/>
    <s v="Mumbai"/>
    <d v="1994-02-19T00:00:00"/>
    <s v="29.06"/>
    <d v="2023-05-15T00:00:00"/>
    <d v="2052-02-29T00:00:00"/>
    <m/>
    <d v="2052-02-29T00:00:00"/>
    <n v="10389"/>
    <s v="B-"/>
    <s v="PG Diploma in Management-2023 , BTech-20"/>
    <s v="05.09"/>
    <s v="00.04"/>
    <s v="06.00"/>
    <s v="00049729"/>
    <s v="Business Development - M&amp;A"/>
    <s v="300834"/>
    <s v="Lead Business Development"/>
    <s v="Corporate"/>
    <s v="0090000032"/>
    <s v="Business Devpelopmen"/>
    <s v="2000HWO"/>
    <s v="20055182"/>
    <s v="Neha Soni"/>
    <s v="No"/>
    <s v="akshat.gogia@amns.in"/>
    <s v="9534071376"/>
    <s v="1049769"/>
    <s v="Dhruv Vyas"/>
    <s v="Anil Matoo"/>
    <s v="Praveen Kuruvalli"/>
    <s v="Dhruv Vyas"/>
    <n v="0"/>
  </r>
  <r>
    <n v="6774"/>
    <n v="20059115"/>
    <s v="Navneet Kothari"/>
    <s v="AM/NS India"/>
    <s v="Onroll"/>
    <s v="M-7"/>
    <n v="7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Strategic Finance"/>
    <m/>
    <m/>
    <m/>
    <m/>
    <s v="Non Technical Support"/>
    <s v="Finance &amp; Accounts"/>
    <s v="Corporate Finance"/>
    <s v="73902001"/>
    <s v="Corporate Finance"/>
    <s v="Mumbai"/>
    <d v="1997-10-06T00:00:00"/>
    <s v="25.11"/>
    <d v="2023-05-15T00:00:00"/>
    <d v="2055-10-31T00:00:00"/>
    <m/>
    <d v="2055-10-31T00:00:00"/>
    <n v="11729"/>
    <s v="B+"/>
    <s v="PG Diploma in Management-2023"/>
    <s v="01.00"/>
    <s v="00.04"/>
    <s v="01.04"/>
    <s v="70494717"/>
    <s v="Treasury &amp; Finance"/>
    <s v="309190"/>
    <s v="Lead Strategic Finance"/>
    <s v="Corporate"/>
    <s v="0090000028"/>
    <s v="Corporate Steel - Wo"/>
    <s v="2000CRG"/>
    <s v="20000870"/>
    <s v="Balajee M"/>
    <s v="No"/>
    <s v="navneet.kothari@amns.in"/>
    <s v="9609823342"/>
    <s v="1049782"/>
    <s v="Dhruv Vyas"/>
    <s v="Anil Matoo"/>
    <s v="Praveen Kuruvalli"/>
    <s v="Dhruv Vyas"/>
    <n v="0"/>
  </r>
  <r>
    <n v="6800"/>
    <n v="20059143"/>
    <s v="Abhishek Shrivastava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0-08-16T00:00:00"/>
    <s v="43.01"/>
    <d v="2019-07-23T00:00:00"/>
    <d v="2038-08-31T00:00:00"/>
    <m/>
    <d v="2038-08-31T00:00:00"/>
    <n v="5459"/>
    <s v=""/>
    <s v=""/>
    <s v=""/>
    <s v="04.01"/>
    <s v="04.01"/>
    <s v="00052038"/>
    <s v="Gandhidham Operations"/>
    <s v="309853"/>
    <s v="New Acquisiiton"/>
    <s v="AMNS Gandhidham"/>
    <s v=""/>
    <s v=""/>
    <s v="2313BHIM"/>
    <s v="20059392"/>
    <s v="Rajendra Gupta"/>
    <s v="No"/>
    <s v="abhishek.shrivastava@amns.in"/>
    <s v=""/>
    <s v="1053901"/>
    <s v="Manjit Shah"/>
    <s v="Anil Matoo"/>
    <s v="-"/>
    <s v="Manjit Shah"/>
    <s v="-"/>
  </r>
  <r>
    <n v="6801"/>
    <n v="20059144"/>
    <s v="Kamlesh Khoche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69-07-22T00:00:00"/>
    <s v="54.01"/>
    <d v="2014-04-01T00:00:00"/>
    <d v="2027-07-31T00:00:00"/>
    <m/>
    <d v="2027-07-31T00:00:00"/>
    <n v="1410"/>
    <s v=""/>
    <s v=""/>
    <s v=""/>
    <s v="09.05"/>
    <s v="09.05"/>
    <s v="00052038"/>
    <s v="Gandhidham Operations"/>
    <s v="309928"/>
    <s v="New Acquisiiton"/>
    <s v="AMNS Gandhidham"/>
    <s v=""/>
    <s v=""/>
    <s v="2313BHIM"/>
    <s v="20059392"/>
    <s v="Rajendra Gupta"/>
    <s v="No"/>
    <s v="kamlesh.khoche@amns.in"/>
    <s v=""/>
    <s v="1053903"/>
    <s v="Manjit Shah"/>
    <s v="Anil Matoo"/>
    <s v="-"/>
    <s v="Manjit Shah"/>
    <s v="-"/>
  </r>
  <r>
    <n v="6802"/>
    <n v="20059145"/>
    <s v="Shiv Soni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8-11-12T00:00:00"/>
    <s v="34.10"/>
    <d v="2017-08-01T00:00:00"/>
    <d v="2046-11-30T00:00:00"/>
    <m/>
    <d v="2046-11-30T00:00:00"/>
    <n v="8472"/>
    <s v=""/>
    <s v=""/>
    <s v=""/>
    <s v="06.01"/>
    <s v="06.01"/>
    <s v="00052038"/>
    <s v="Gandhidham Operations"/>
    <s v="309951"/>
    <s v="New Acquisiiton"/>
    <s v="AMNS Gandhidham"/>
    <s v=""/>
    <s v=""/>
    <s v="2313BHIM"/>
    <s v="20059392"/>
    <s v="Rajendra Gupta"/>
    <s v="No"/>
    <s v="shiv.soni4@amns.in"/>
    <s v=""/>
    <s v="1053906"/>
    <s v="Manjit Shah"/>
    <s v="Anil Matoo"/>
    <s v="-"/>
    <s v="Manjit Shah"/>
    <s v="-"/>
  </r>
  <r>
    <n v="6803"/>
    <n v="20059146"/>
    <s v="Ramesh Yadav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3-01-10T00:00:00"/>
    <s v="40.08"/>
    <d v="2021-04-01T00:00:00"/>
    <d v="2041-01-31T00:00:00"/>
    <m/>
    <d v="2041-01-31T00:00:00"/>
    <n v="6343"/>
    <s v=""/>
    <s v=""/>
    <s v=""/>
    <s v="02.05"/>
    <s v="02.05"/>
    <s v="00052038"/>
    <s v="Gandhidham Operations"/>
    <s v="310099"/>
    <s v="New Acquisiiton"/>
    <s v="AMNS Gandhidham"/>
    <s v=""/>
    <s v=""/>
    <s v="2313BHIM"/>
    <s v="20059392"/>
    <s v="Rajendra Gupta"/>
    <s v="No"/>
    <s v="ramesh.yadav@amns.in"/>
    <s v=""/>
    <s v="1053907"/>
    <s v="Manjit Shah"/>
    <s v="Anil Matoo"/>
    <s v="-"/>
    <s v="Manjit Shah"/>
    <s v="-"/>
  </r>
  <r>
    <n v="6804"/>
    <n v="20059147"/>
    <s v="Vikas Lata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9-09-01T00:00:00"/>
    <s v="34.00"/>
    <d v="2021-04-01T00:00:00"/>
    <d v="2047-08-31T00:00:00"/>
    <m/>
    <d v="2047-08-31T00:00:00"/>
    <n v="8746"/>
    <s v=""/>
    <s v=""/>
    <s v=""/>
    <s v="02.05"/>
    <s v="02.05"/>
    <s v="00052038"/>
    <s v="Gandhidham Operations"/>
    <s v="310108"/>
    <s v="New Acquisiiton"/>
    <s v="AMNS Gandhidham"/>
    <s v=""/>
    <s v=""/>
    <s v="2313BHIM"/>
    <s v="20059392"/>
    <s v="Rajendra Gupta"/>
    <s v="No"/>
    <s v="vikas.lata@amns.in"/>
    <s v=""/>
    <s v="1053947"/>
    <s v="Manjit Shah"/>
    <s v="Anil Matoo"/>
    <s v="-"/>
    <s v="Manjit Shah"/>
    <s v="-"/>
  </r>
  <r>
    <n v="6805"/>
    <n v="20059148"/>
    <s v="Deepak Bakshi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Indore"/>
    <d v="1981-10-14T00:00:00"/>
    <s v="41.11"/>
    <d v="2012-01-11T00:00:00"/>
    <d v="2039-10-31T00:00:00"/>
    <m/>
    <d v="2039-10-31T00:00:00"/>
    <n v="5885"/>
    <s v=""/>
    <s v=""/>
    <s v=""/>
    <s v="11.08"/>
    <s v="11.08"/>
    <s v="00052038"/>
    <s v="Gandhidham Operations"/>
    <s v="310109"/>
    <s v="New Acquisiiton"/>
    <s v="AMNS Gandhidham"/>
    <s v=""/>
    <s v=""/>
    <s v="2313INDO"/>
    <s v="20059392"/>
    <s v="Rajendra Gupta"/>
    <s v="No"/>
    <s v="deepak.bakshi1@amns.in"/>
    <s v=""/>
    <s v="1053948"/>
    <s v="Manjit Shah"/>
    <s v="Anil Matoo"/>
    <s v="-"/>
    <s v="Manjit Shah"/>
    <s v="-"/>
  </r>
  <r>
    <n v="6991"/>
    <n v="20059334"/>
    <s v="Ashish Khandelw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80-11-14T00:00:00"/>
    <s v="42.10"/>
    <d v="2020-08-17T00:00:00"/>
    <d v="2038-11-30T00:00:00"/>
    <m/>
    <d v="2038-11-30T00:00:00"/>
    <n v="5550"/>
    <s v=""/>
    <s v=""/>
    <s v=""/>
    <s v="03.01"/>
    <s v="03.01"/>
    <s v="00052420"/>
    <s v="Finance &amp; Accounts"/>
    <s v="309826"/>
    <s v="New Acquisiiton"/>
    <s v="AMNS Gandhidham"/>
    <s v=""/>
    <s v=""/>
    <s v="2309INDO"/>
    <s v="20059338"/>
    <s v="Manish Patidar"/>
    <s v="No"/>
    <s v="ashish.khandelwal1@amns.in"/>
    <s v=""/>
    <s v="1054463"/>
    <s v="Manjit Shah"/>
    <s v="Anil Matoo"/>
    <s v="-"/>
    <s v="Manjit Shah"/>
    <s v="-"/>
  </r>
  <r>
    <n v="6992"/>
    <n v="20059335"/>
    <s v="Manoj Choudhary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8-12-20T00:00:00"/>
    <s v="44.09"/>
    <d v="2017-06-20T00:00:00"/>
    <d v="2036-12-31T00:00:00"/>
    <m/>
    <d v="2036-12-31T00:00:00"/>
    <n v="4851"/>
    <s v=""/>
    <s v=""/>
    <s v=""/>
    <s v="06.03"/>
    <s v="06.03"/>
    <s v="00052420"/>
    <s v="Finance &amp; Accounts"/>
    <s v="309828"/>
    <s v="New Acquisiiton"/>
    <s v="AMNS Gandhidham"/>
    <s v=""/>
    <s v=""/>
    <s v="2309INDO"/>
    <s v="20059338"/>
    <s v="Manish Patidar"/>
    <s v="No"/>
    <s v="manoj.choudhary2@amns.in"/>
    <s v=""/>
    <s v="1054465"/>
    <s v="Manjit Shah"/>
    <s v="Anil Matoo"/>
    <s v="-"/>
    <s v="Manjit Shah"/>
    <s v="-"/>
  </r>
  <r>
    <n v="6993"/>
    <n v="20059336"/>
    <s v="Jitendra Tiwar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1-02-05T00:00:00"/>
    <s v="52.07"/>
    <d v="2008-02-01T00:00:00"/>
    <d v="2029-02-28T00:00:00"/>
    <m/>
    <d v="2029-02-28T00:00:00"/>
    <n v="1988"/>
    <s v=""/>
    <s v=""/>
    <s v=""/>
    <s v="15.07"/>
    <s v="15.07"/>
    <s v="00052420"/>
    <s v="Finance &amp; Accounts"/>
    <s v="309832"/>
    <s v="New Acquisiiton"/>
    <s v="AMNS Gandhidham"/>
    <s v=""/>
    <s v=""/>
    <s v="2309BHIM"/>
    <s v="20059338"/>
    <s v="Manish Patidar"/>
    <s v="No"/>
    <s v="jitendrakumar.tiwari@amns.in"/>
    <s v=""/>
    <s v="1054631"/>
    <s v="Manjit Shah"/>
    <s v="Anil Matoo"/>
    <s v="-"/>
    <s v="Manjit Shah"/>
    <s v="-"/>
  </r>
  <r>
    <n v="6994"/>
    <n v="20059337"/>
    <s v="Manish Parik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Mumbai"/>
    <d v="1974-07-07T00:00:00"/>
    <s v="49.02"/>
    <d v="2018-01-07T00:00:00"/>
    <d v="2032-07-31T00:00:00"/>
    <m/>
    <d v="2032-07-31T00:00:00"/>
    <n v="3237"/>
    <s v=""/>
    <s v=""/>
    <s v=""/>
    <s v="05.08"/>
    <s v="05.08"/>
    <s v="00052038"/>
    <s v="Gandhidham Operations"/>
    <s v="309838"/>
    <s v="New Acquisiiton"/>
    <s v="AMNS Gandhidham"/>
    <s v=""/>
    <s v=""/>
    <s v="2309MUMB"/>
    <s v="20059392"/>
    <s v="Rajendra Gupta"/>
    <s v="No"/>
    <s v="manish.parikh1@amns.in"/>
    <s v=""/>
    <s v="1054467"/>
    <s v="Manjit Shah"/>
    <s v="Anil Matoo"/>
    <s v="-"/>
    <s v="Manjit Shah"/>
    <s v="-"/>
  </r>
  <r>
    <n v="6995"/>
    <n v="20059338"/>
    <s v="Manish Patidar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84-12-08T00:00:00"/>
    <s v="38.09"/>
    <d v="2010-06-28T00:00:00"/>
    <d v="2042-12-31T00:00:00"/>
    <m/>
    <d v="2042-12-31T00:00:00"/>
    <n v="7042"/>
    <s v=""/>
    <s v=""/>
    <s v=""/>
    <s v="13.02"/>
    <s v="13.02"/>
    <s v="00052420"/>
    <s v="Finance &amp; Accounts"/>
    <s v="309839"/>
    <s v="New Acquisiiton"/>
    <s v="AMNS Gandhidham"/>
    <s v=""/>
    <s v=""/>
    <s v="2309INDO"/>
    <s v="20055188"/>
    <s v="Rohit Sharma"/>
    <s v="No"/>
    <s v="manish.patidar1@amns.in"/>
    <s v=""/>
    <s v="1054468"/>
    <s v="Manjit Shah"/>
    <s v="Anil Matoo"/>
    <s v="-"/>
    <s v="Manjit Shah"/>
    <s v="-"/>
  </r>
  <r>
    <n v="6996"/>
    <n v="20059339"/>
    <s v="Rajeev Sing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6-03-30T00:00:00"/>
    <s v="47.05"/>
    <d v="2019-01-22T00:00:00"/>
    <d v="2034-03-31T00:00:00"/>
    <m/>
    <d v="2034-03-31T00:00:00"/>
    <n v="3845"/>
    <s v=""/>
    <s v=""/>
    <s v=""/>
    <s v="04.07"/>
    <s v="04.07"/>
    <s v="00052038"/>
    <s v="Gandhidham Operations"/>
    <s v="309867"/>
    <s v="New Acquisiiton"/>
    <s v="AMNS Gandhidham"/>
    <s v=""/>
    <s v=""/>
    <s v="2309INDO"/>
    <s v="20059338"/>
    <s v="Manish Patidar"/>
    <s v="No"/>
    <s v="rajeev.singh27@amns.in"/>
    <s v=""/>
    <s v="1054471"/>
    <s v="Manjit Shah"/>
    <s v="Anil Matoo"/>
    <s v="-"/>
    <s v="Manjit Shah"/>
    <s v="-"/>
  </r>
  <r>
    <n v="6997"/>
    <n v="20059340"/>
    <s v="Prasant Singh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90-07-19T00:00:00"/>
    <s v="33.02"/>
    <d v="2023-01-11T00:00:00"/>
    <d v="2048-07-31T00:00:00"/>
    <m/>
    <d v="2048-07-31T00:00:00"/>
    <n v="9081"/>
    <s v=""/>
    <s v=""/>
    <s v=""/>
    <s v="00.08"/>
    <s v="00.08"/>
    <s v="00052038"/>
    <s v="Gandhidham Operations"/>
    <s v="309877"/>
    <s v="New Acquisiiton"/>
    <s v="AMNS Gandhidham"/>
    <s v=""/>
    <s v=""/>
    <s v="2309BHIM"/>
    <s v="20059392"/>
    <s v="Rajendra Gupta"/>
    <s v="No"/>
    <s v="prasant.singhal@amns.in"/>
    <s v=""/>
    <s v="1054632"/>
    <s v="Manjit Shah"/>
    <s v="Anil Matoo"/>
    <s v="-"/>
    <s v="Manjit Shah"/>
    <s v="-"/>
  </r>
  <r>
    <n v="6998"/>
    <n v="20059341"/>
    <s v="Shailesh Pagare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1-07-01T00:00:00"/>
    <s v="52.02"/>
    <d v="2008-09-22T00:00:00"/>
    <d v="2029-06-30T00:00:00"/>
    <m/>
    <d v="2029-06-30T00:00:00"/>
    <n v="2110"/>
    <s v=""/>
    <s v=""/>
    <s v=""/>
    <s v="14.11"/>
    <s v="14.11"/>
    <s v="00052038"/>
    <s v="Gandhidham Operations"/>
    <s v="309882"/>
    <s v="New Acquisiiton"/>
    <s v="AMNS Gandhidham"/>
    <s v=""/>
    <s v=""/>
    <s v="2309BHIM"/>
    <s v="20059392"/>
    <s v="Rajendra Gupta"/>
    <s v="No"/>
    <s v="shailesh.pagare@amns.in"/>
    <s v=""/>
    <s v="1054634"/>
    <s v="Manjit Shah"/>
    <s v="Anil Matoo"/>
    <s v="-"/>
    <s v="Manjit Shah"/>
    <s v="-"/>
  </r>
  <r>
    <n v="6999"/>
    <n v="20059342"/>
    <s v="Prem Medatw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4-08-27T00:00:00"/>
    <s v="49.00"/>
    <d v="2019-12-06T00:00:00"/>
    <d v="2032-08-31T00:00:00"/>
    <m/>
    <d v="2032-08-31T00:00:00"/>
    <n v="3268"/>
    <s v=""/>
    <s v=""/>
    <s v=""/>
    <s v="03.09"/>
    <s v="03.09"/>
    <s v="00052038"/>
    <s v="Gandhidham Operations"/>
    <s v="309889"/>
    <s v="New Acquisiiton"/>
    <s v="AMNS Gandhidham"/>
    <s v=""/>
    <s v=""/>
    <s v="2309INDO"/>
    <s v="20059392"/>
    <s v="Rajendra Gupta"/>
    <s v="No"/>
    <s v="prem.medatwal@amns.in"/>
    <s v=""/>
    <s v="1054473"/>
    <s v="Manjit Shah"/>
    <s v="Anil Matoo"/>
    <s v="-"/>
    <s v="Manjit Shah"/>
    <s v="-"/>
  </r>
  <r>
    <n v="7000"/>
    <n v="20059343"/>
    <s v="Ganesh Ja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Mumbai"/>
    <d v="1973-04-27T00:00:00"/>
    <s v="50.04"/>
    <d v="2019-01-09T00:00:00"/>
    <d v="2031-04-30T00:00:00"/>
    <m/>
    <d v="2031-04-30T00:00:00"/>
    <n v="2779"/>
    <s v=""/>
    <s v=""/>
    <s v=""/>
    <s v="04.08"/>
    <s v="04.08"/>
    <s v="00052038"/>
    <s v="Gandhidham Operations"/>
    <s v="309910"/>
    <s v="New Acquisiiton"/>
    <s v="AMNS Gandhidham"/>
    <s v=""/>
    <s v=""/>
    <s v="2309MUMB"/>
    <s v="20059392"/>
    <s v="Rajendra Gupta"/>
    <s v="No"/>
    <s v="ganesh.jain1@amns.in"/>
    <s v=""/>
    <s v="1054474"/>
    <s v="Manjit Shah"/>
    <s v="Anil Matoo"/>
    <s v="-"/>
    <s v="Manjit Shah"/>
    <s v="-"/>
  </r>
  <r>
    <n v="7001"/>
    <n v="20059344"/>
    <s v="Somesh Ja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7-07-06T00:00:00"/>
    <s v="46.02"/>
    <d v="2007-09-17T00:00:00"/>
    <d v="2035-07-31T00:00:00"/>
    <m/>
    <d v="2035-07-31T00:00:00"/>
    <n v="4332"/>
    <s v=""/>
    <s v=""/>
    <s v=""/>
    <s v="16.00"/>
    <s v="16.00"/>
    <s v="00052038"/>
    <s v="Gandhidham Operations"/>
    <s v="309912"/>
    <s v="New Acquisiiton"/>
    <s v="AMNS Gandhidham"/>
    <s v=""/>
    <s v=""/>
    <s v="2309INDO"/>
    <s v="20059392"/>
    <s v="Rajendra Gupta"/>
    <s v="No"/>
    <s v="somesh.jain14@amns.in"/>
    <s v=""/>
    <s v="1054477"/>
    <s v="Manjit Shah"/>
    <s v="Anil Matoo"/>
    <s v="-"/>
    <s v="Manjit Shah"/>
    <s v="-"/>
  </r>
  <r>
    <n v="7002"/>
    <n v="20059345"/>
    <s v="Bhaskarbhai Josh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67-12-30T00:00:00"/>
    <s v="55.08"/>
    <d v="2018-04-30T00:00:00"/>
    <d v="2025-12-31T00:00:00"/>
    <m/>
    <d v="2025-12-31T00:00:00"/>
    <n v="833"/>
    <s v=""/>
    <s v=""/>
    <s v=""/>
    <s v="05.04"/>
    <s v="05.04"/>
    <s v="00052038"/>
    <s v="Gandhidham Operations"/>
    <s v="309919"/>
    <s v="New Acquisiiton"/>
    <s v="AMNS Gandhidham"/>
    <s v=""/>
    <s v=""/>
    <s v="2309BHIM"/>
    <s v="20059392"/>
    <s v="Rajendra Gupta"/>
    <s v="No"/>
    <s v="bhaskarbhai.joshi@amns.in"/>
    <s v=""/>
    <s v="1054479"/>
    <s v="Manjit Shah"/>
    <s v="Anil Matoo"/>
    <s v="-"/>
    <s v="Manjit Shah"/>
    <s v="-"/>
  </r>
  <r>
    <n v="7003"/>
    <n v="20059346"/>
    <s v="Dinesh Pareek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9-07-15T00:00:00"/>
    <s v="44.02"/>
    <d v="2007-08-01T00:00:00"/>
    <d v="2037-07-31T00:00:00"/>
    <m/>
    <d v="2037-07-31T00:00:00"/>
    <n v="5063"/>
    <s v=""/>
    <s v=""/>
    <s v=""/>
    <s v="16.01"/>
    <s v="16.01"/>
    <s v="00052038"/>
    <s v="Gandhidham Operations"/>
    <s v="309923"/>
    <s v="New Acquisiiton"/>
    <s v="AMNS Gandhidham"/>
    <s v=""/>
    <s v=""/>
    <s v="2309BHIM"/>
    <s v="20059392"/>
    <s v="Rajendra Gupta"/>
    <s v="No"/>
    <s v="dinesh.pareek1@amns.in"/>
    <s v=""/>
    <s v="1054635"/>
    <s v="Manjit Shah"/>
    <s v="Anil Matoo"/>
    <s v="-"/>
    <s v="Manjit Shah"/>
    <s v="-"/>
  </r>
  <r>
    <n v="7004"/>
    <n v="20059347"/>
    <s v="Gaurav Bhas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8-02-08T00:00:00"/>
    <s v="45.07"/>
    <d v="2012-10-08T00:00:00"/>
    <d v="2036-02-29T00:00:00"/>
    <m/>
    <d v="2036-02-29T00:00:00"/>
    <n v="4545"/>
    <s v=""/>
    <s v=""/>
    <s v=""/>
    <s v="10.11"/>
    <s v="10.11"/>
    <s v="00052038"/>
    <s v="Gandhidham Operations"/>
    <s v="309924"/>
    <s v="New Acquisiiton"/>
    <s v="AMNS Gandhidham"/>
    <s v=""/>
    <s v=""/>
    <s v="2309BHIM"/>
    <s v="20059392"/>
    <s v="Rajendra Gupta"/>
    <s v="No"/>
    <s v="gaurav.bhasin@amns.in"/>
    <s v=""/>
    <s v="1054636"/>
    <s v="Manjit Shah"/>
    <s v="Anil Matoo"/>
    <s v="-"/>
    <s v="Manjit Shah"/>
    <s v="-"/>
  </r>
  <r>
    <n v="7005"/>
    <n v="20059348"/>
    <s v="V. Sridhar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0-05-10T00:00:00"/>
    <s v="53.04"/>
    <d v="2011-05-20T00:00:00"/>
    <d v="2028-05-31T00:00:00"/>
    <m/>
    <d v="2028-05-31T00:00:00"/>
    <n v="1715"/>
    <s v=""/>
    <s v=""/>
    <s v=""/>
    <s v="12.04"/>
    <s v="12.04"/>
    <s v="00052038"/>
    <s v="Gandhidham Operations"/>
    <s v="309958"/>
    <s v="New Acquisiiton"/>
    <s v="AMNS Gandhidham"/>
    <s v=""/>
    <s v=""/>
    <s v="2309BHIM"/>
    <s v="20059392"/>
    <s v="Rajendra Gupta"/>
    <s v="No"/>
    <s v="v.shridhar@amns.in"/>
    <s v=""/>
    <s v="1054637"/>
    <s v="Manjit Shah"/>
    <s v="Anil Matoo"/>
    <s v="-"/>
    <s v="Manjit Shah"/>
    <s v="-"/>
  </r>
  <r>
    <n v="7006"/>
    <n v="20059349"/>
    <s v="Mukesh Ja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0-05-07T00:00:00"/>
    <s v="53.04"/>
    <d v="2019-01-09T00:00:00"/>
    <d v="2028-05-31T00:00:00"/>
    <m/>
    <d v="2028-05-31T00:00:00"/>
    <n v="1715"/>
    <s v=""/>
    <s v=""/>
    <s v=""/>
    <s v="04.08"/>
    <s v="04.08"/>
    <s v="00052038"/>
    <s v="Gandhidham Operations"/>
    <s v="309964"/>
    <s v="New Acquisiiton"/>
    <s v="AMNS Gandhidham"/>
    <s v=""/>
    <s v=""/>
    <s v="2309DELH"/>
    <s v="20059392"/>
    <s v="Rajendra Gupta"/>
    <s v="No"/>
    <s v="mukesh.jain7@amns.in"/>
    <s v=""/>
    <s v="1054481"/>
    <s v="Manjit Shah"/>
    <s v="Anil Matoo"/>
    <s v="-"/>
    <s v="Manjit Shah"/>
    <s v="-"/>
  </r>
  <r>
    <n v="7007"/>
    <n v="20059350"/>
    <s v="Anil Gawde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67-05-01T00:00:00"/>
    <s v="56.04"/>
    <d v="2018-07-01T00:00:00"/>
    <d v="2025-04-30T00:00:00"/>
    <m/>
    <d v="2025-04-30T00:00:00"/>
    <n v="588"/>
    <s v=""/>
    <s v=""/>
    <s v=""/>
    <s v="05.02"/>
    <s v="05.02"/>
    <s v="00052038"/>
    <s v="Gandhidham Operations"/>
    <s v="309970"/>
    <s v="New Acquisiiton"/>
    <s v="AMNS Gandhidham"/>
    <s v=""/>
    <s v=""/>
    <s v="2309BHIM"/>
    <s v="20059392"/>
    <s v="Rajendra Gupta"/>
    <s v="No"/>
    <s v="anil.gawde@amns.in"/>
    <s v=""/>
    <s v="1054638"/>
    <s v="Manjit Shah"/>
    <s v="Anil Matoo"/>
    <s v="-"/>
    <s v="Manjit Shah"/>
    <s v="-"/>
  </r>
  <r>
    <n v="7008"/>
    <n v="20059351"/>
    <s v="Rakesh Kushwaha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9-07-01T00:00:00"/>
    <s v="44.02"/>
    <d v="2010-12-06T00:00:00"/>
    <d v="2037-06-30T00:00:00"/>
    <m/>
    <d v="2037-06-30T00:00:00"/>
    <n v="5032"/>
    <s v=""/>
    <s v=""/>
    <s v=""/>
    <s v="12.09"/>
    <s v="12.09"/>
    <s v="00052038"/>
    <s v="Gandhidham Operations"/>
    <s v="309986"/>
    <s v="New Acquisiiton"/>
    <s v="AMNS Gandhidham"/>
    <s v=""/>
    <s v=""/>
    <s v="2309BHIM"/>
    <s v="20059392"/>
    <s v="Rajendra Gupta"/>
    <s v="No"/>
    <s v="rakesh.kushwaha@amns.in"/>
    <s v=""/>
    <s v="1054482"/>
    <s v="Manjit Shah"/>
    <s v="Anil Matoo"/>
    <s v="-"/>
    <s v="Manjit Shah"/>
    <s v="-"/>
  </r>
  <r>
    <n v="7009"/>
    <n v="20059352"/>
    <s v="Ramnivas Lowansh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3-06-22T00:00:00"/>
    <s v="40.03"/>
    <d v="2019-05-01T00:00:00"/>
    <d v="2041-06-30T00:00:00"/>
    <m/>
    <d v="2041-06-30T00:00:00"/>
    <n v="6493"/>
    <s v=""/>
    <s v=""/>
    <s v=""/>
    <s v="04.04"/>
    <s v="04.04"/>
    <s v="00052038"/>
    <s v="Gandhidham Operations"/>
    <s v="310048"/>
    <s v="New Acquisiiton"/>
    <s v="AMNS Gandhidham"/>
    <s v=""/>
    <s v=""/>
    <s v="2309BHIM"/>
    <s v="20059392"/>
    <s v="Rajendra Gupta"/>
    <s v="No"/>
    <s v="ramnivas.lowanshi1@amns.in"/>
    <s v=""/>
    <s v="1054491"/>
    <s v="Manjit Shah"/>
    <s v="Anil Matoo"/>
    <s v="-"/>
    <s v="Manjit Shah"/>
    <s v="-"/>
  </r>
  <r>
    <n v="7010"/>
    <n v="20059353"/>
    <s v="Pramod Shukla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1-04-21T00:00:00"/>
    <s v="52.05"/>
    <d v="2011-12-06T00:00:00"/>
    <d v="2029-04-30T00:00:00"/>
    <m/>
    <d v="2029-04-30T00:00:00"/>
    <n v="2049"/>
    <s v=""/>
    <s v=""/>
    <s v=""/>
    <s v="11.09"/>
    <s v="11.09"/>
    <s v="00052038"/>
    <s v="Gandhidham Operations"/>
    <s v="310080"/>
    <s v="New Acquisiiton"/>
    <s v="AMNS Gandhidham"/>
    <s v=""/>
    <s v=""/>
    <s v="2309BHIM"/>
    <s v="20059392"/>
    <s v="Rajendra Gupta"/>
    <s v="No"/>
    <s v="pramod.shukla@amns.in"/>
    <s v=""/>
    <s v="1054639"/>
    <s v="Manjit Shah"/>
    <s v="Anil Matoo"/>
    <s v="-"/>
    <s v="Manjit Shah"/>
    <s v="-"/>
  </r>
  <r>
    <n v="7011"/>
    <n v="20059354"/>
    <s v="Sandeep Thakur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1-07-21T00:00:00"/>
    <s v="42.02"/>
    <d v="2008-01-23T00:00:00"/>
    <d v="2039-07-31T00:00:00"/>
    <m/>
    <d v="2039-07-31T00:00:00"/>
    <n v="5793"/>
    <s v=""/>
    <s v=""/>
    <s v=""/>
    <s v="15.07"/>
    <s v="15.07"/>
    <s v="00052420"/>
    <s v="Finance &amp; Accounts"/>
    <s v="310082"/>
    <s v="New Acquisiiton"/>
    <s v="AMNS Gandhidham"/>
    <s v=""/>
    <s v=""/>
    <s v="2309BHIM"/>
    <s v="20059338"/>
    <s v="Manish Patidar"/>
    <s v="No"/>
    <s v="sandeep.thakur@amns.in"/>
    <s v=""/>
    <s v="1054641"/>
    <s v="Manjit Shah"/>
    <s v="Anil Matoo"/>
    <s v="-"/>
    <s v="Manjit Shah"/>
    <s v="-"/>
  </r>
  <r>
    <n v="7012"/>
    <n v="20059355"/>
    <s v="Sachin Wag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9-01-02T00:00:00"/>
    <s v="44.08"/>
    <d v="2012-06-26T00:00:00"/>
    <d v="2037-01-31T00:00:00"/>
    <m/>
    <d v="2037-01-31T00:00:00"/>
    <n v="4882"/>
    <s v=""/>
    <s v=""/>
    <s v=""/>
    <s v="11.02"/>
    <s v="11.02"/>
    <s v="00052420"/>
    <s v="Finance &amp; Accounts"/>
    <s v="310089"/>
    <s v="New Acquisiiton"/>
    <s v="AMNS Gandhidham"/>
    <s v=""/>
    <s v=""/>
    <s v="2309INDO"/>
    <s v="20059338"/>
    <s v="Manish Patidar"/>
    <s v="No"/>
    <s v="sachin.wagh1@amns.in"/>
    <s v=""/>
    <s v="1054495"/>
    <s v="Manjit Shah"/>
    <s v="Anil Matoo"/>
    <s v="-"/>
    <s v="Manjit Shah"/>
    <s v="-"/>
  </r>
  <r>
    <n v="7013"/>
    <n v="20059356"/>
    <s v="Rahul Parik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5-10-14T00:00:00"/>
    <s v="37.11"/>
    <d v="2020-11-01T00:00:00"/>
    <d v="2043-10-31T00:00:00"/>
    <m/>
    <d v="2043-10-31T00:00:00"/>
    <n v="7346"/>
    <s v=""/>
    <s v=""/>
    <s v=""/>
    <s v="02.10"/>
    <s v="02.10"/>
    <s v="00052038"/>
    <s v="Gandhidham Operations"/>
    <s v="310094"/>
    <s v="New Acquisiiton"/>
    <s v="AMNS Gandhidham"/>
    <s v=""/>
    <s v=""/>
    <s v="2309BHIM"/>
    <s v="20059392"/>
    <s v="Rajendra Gupta"/>
    <s v="No"/>
    <s v="rahul.parikh@amns.in"/>
    <s v=""/>
    <s v="1054497"/>
    <s v="Manjit Shah"/>
    <s v="Anil Matoo"/>
    <s v="-"/>
    <s v="Manjit Shah"/>
    <s v="-"/>
  </r>
  <r>
    <n v="7014"/>
    <n v="20059357"/>
    <s v="Rakesh Bans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4-01-08T00:00:00"/>
    <s v="49.08"/>
    <d v="2007-01-24T00:00:00"/>
    <d v="2032-01-31T00:00:00"/>
    <m/>
    <d v="2032-01-31T00:00:00"/>
    <n v="3055"/>
    <s v=""/>
    <s v=""/>
    <s v=""/>
    <s v="16.07"/>
    <s v="16.07"/>
    <s v="00052420"/>
    <s v="Finance &amp; Accounts"/>
    <s v="310097"/>
    <s v="New Acquisiiton"/>
    <s v="AMNS Gandhidham"/>
    <s v=""/>
    <s v=""/>
    <s v="2309BHIM"/>
    <s v="20059338"/>
    <s v="Manish Patidar"/>
    <s v="No"/>
    <s v="rakesh.bansal@amns.in"/>
    <s v=""/>
    <s v="1054643"/>
    <s v="Manjit Shah"/>
    <s v="Anil Matoo"/>
    <s v="-"/>
    <s v="Manjit Shah"/>
    <s v="-"/>
  </r>
  <r>
    <n v="7015"/>
    <n v="20059358"/>
    <s v="Sunil Swam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8-11-10T00:00:00"/>
    <s v="34.10"/>
    <d v="2023-02-06T00:00:00"/>
    <d v="2046-11-30T00:00:00"/>
    <m/>
    <d v="2046-11-30T00:00:00"/>
    <n v="8472"/>
    <s v=""/>
    <s v=""/>
    <s v=""/>
    <s v="00.07"/>
    <s v="00.07"/>
    <s v="00052038"/>
    <s v="Gandhidham Operations"/>
    <s v="310107"/>
    <s v="New Acquisiiton"/>
    <s v="AMNS Gandhidham"/>
    <s v=""/>
    <s v=""/>
    <s v="2309BHIM"/>
    <s v="20059392"/>
    <s v="Rajendra Gupta"/>
    <s v="No"/>
    <s v="sunilkumar.swami@amns.in"/>
    <s v=""/>
    <s v="1054645"/>
    <s v="Manjit Shah"/>
    <s v="Anil Matoo"/>
    <s v="-"/>
    <s v="Manjit Shah"/>
    <s v="-"/>
  </r>
  <r>
    <n v="7016"/>
    <n v="20059359"/>
    <s v="Prahladbhai U.Prajapat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3-06-01T00:00:00"/>
    <s v="40.03"/>
    <d v="2008-01-01T00:00:00"/>
    <d v="2041-05-31T00:00:00"/>
    <m/>
    <d v="2041-05-31T00:00:00"/>
    <n v="6463"/>
    <s v=""/>
    <s v=""/>
    <s v=""/>
    <s v="15.08"/>
    <s v="15.08"/>
    <s v="00052038"/>
    <s v="Gandhidham Operations"/>
    <s v="310114"/>
    <s v="New Acquisiiton"/>
    <s v="AMNS Gandhidham"/>
    <s v=""/>
    <s v=""/>
    <s v="2309BHIM"/>
    <s v="20059392"/>
    <s v="Rajendra Gupta"/>
    <s v="No"/>
    <s v="prahladbhai.prajapati@amns.in"/>
    <s v=""/>
    <s v="1054022"/>
    <s v="Manjit Shah"/>
    <s v="Anil Matoo"/>
    <s v="-"/>
    <s v="Manjit Shah"/>
    <s v="-"/>
  </r>
  <r>
    <n v="7017"/>
    <n v="20059360"/>
    <s v="Gulab Chand"/>
    <s v="AM/NS Gandhidham"/>
    <s v="Onroll"/>
    <s v="New Acquisition"/>
    <n v="17"/>
    <m/>
    <s v="NA"/>
    <s v="M"/>
    <s v="Gandhidham"/>
    <n v="12"/>
    <s v="2310"/>
    <x v="1"/>
    <s v="22.06"/>
    <s v="Anil Matoo"/>
    <s v="Ashutosh Telang"/>
    <n v="6"/>
    <s v="HR &amp; Administration"/>
    <s v="Human Resources"/>
    <s v="22"/>
    <m/>
    <m/>
    <s v=""/>
    <s v=""/>
    <s v=""/>
    <s v="Non Technical Support"/>
    <s v="Operations"/>
    <s v="Operations"/>
    <s v="72103001"/>
    <s v="Operations"/>
    <s v="Bhimasar"/>
    <d v="1972-02-10T00:00:00"/>
    <s v="51.07"/>
    <d v="2005-02-15T00:00:00"/>
    <d v="2030-02-28T00:00:00"/>
    <m/>
    <d v="2030-02-28T00:00:00"/>
    <n v="2353"/>
    <s v=""/>
    <s v=""/>
    <s v=""/>
    <s v="18.07"/>
    <s v="18.07"/>
    <s v="00052038"/>
    <s v="Gandhidham Operations"/>
    <s v="309831"/>
    <s v="New Acquisiiton"/>
    <s v="AMNS Gandhidham"/>
    <s v=""/>
    <s v=""/>
    <s v="2310BHIM"/>
    <s v="20059392"/>
    <s v="Rajendra Gupta"/>
    <s v="No"/>
    <s v="gulab.chand@amns.in"/>
    <s v=""/>
    <s v="1054646"/>
    <s v="Manjit Shah"/>
    <s v="Anil Matoo"/>
    <s v="-"/>
    <s v="Manjit Shah"/>
    <s v="-"/>
  </r>
  <r>
    <n v="7018"/>
    <n v="20059361"/>
    <s v="Dinesh Barala"/>
    <s v="AM/NS Gandhidham"/>
    <s v="Onroll"/>
    <s v="New Acquisition"/>
    <n v="17"/>
    <m/>
    <s v="NA"/>
    <s v="M"/>
    <s v="Gandhidham"/>
    <n v="12"/>
    <s v="2310"/>
    <x v="1"/>
    <s v="22.06"/>
    <s v="Anil Matoo"/>
    <s v="Ashutosh Telang"/>
    <n v="6"/>
    <s v="HR &amp; Administration"/>
    <s v="Human Resources"/>
    <s v="22"/>
    <m/>
    <m/>
    <s v=""/>
    <s v=""/>
    <s v=""/>
    <s v="Non Technical Support"/>
    <s v="Operations"/>
    <s v="Operations"/>
    <s v="72103001"/>
    <s v="Operations"/>
    <s v="Bhimasar"/>
    <d v="1986-08-21T00:00:00"/>
    <s v="37.00"/>
    <d v="2019-01-01T00:00:00"/>
    <d v="2044-08-31T00:00:00"/>
    <m/>
    <d v="2044-08-31T00:00:00"/>
    <n v="7651"/>
    <s v=""/>
    <s v=""/>
    <s v=""/>
    <s v="04.08"/>
    <s v="04.08"/>
    <s v="00052038"/>
    <s v="Gandhidham Operations"/>
    <s v="310073"/>
    <s v="New Acquisiiton"/>
    <s v="AMNS Gandhidham"/>
    <s v=""/>
    <s v=""/>
    <s v="2310BHIM"/>
    <s v="20059392"/>
    <s v="Rajendra Gupta"/>
    <s v="No"/>
    <s v="dinesh.barala@amns.in"/>
    <s v=""/>
    <s v="1054498"/>
    <s v="Manjit Shah"/>
    <s v="Anil Matoo"/>
    <s v="-"/>
    <s v="Manjit Shah"/>
    <s v="-"/>
  </r>
  <r>
    <n v="7019"/>
    <n v="20059362"/>
    <s v="Rajendra Singh"/>
    <s v="AM/NS Gandhidham"/>
    <s v="Onroll"/>
    <s v="New Acquisition"/>
    <n v="17"/>
    <m/>
    <s v="NA"/>
    <s v="M"/>
    <s v="Gandhidham"/>
    <n v="12"/>
    <s v="2310"/>
    <x v="1"/>
    <s v="22.06"/>
    <s v="Anil Matoo"/>
    <s v="Ashutosh Telang"/>
    <n v="6"/>
    <s v="HR &amp; Administration"/>
    <s v="Human Resources"/>
    <s v="22"/>
    <m/>
    <m/>
    <s v=""/>
    <s v=""/>
    <s v=""/>
    <s v="Non Technical Support"/>
    <s v="Operations"/>
    <s v="Operations"/>
    <s v="72103001"/>
    <s v="Operations"/>
    <s v="Bhimasar"/>
    <d v="1976-07-05T00:00:00"/>
    <s v="47.02"/>
    <d v="2015-09-01T00:00:00"/>
    <d v="2034-07-31T00:00:00"/>
    <m/>
    <d v="2034-07-31T00:00:00"/>
    <n v="3967"/>
    <s v=""/>
    <s v=""/>
    <s v=""/>
    <s v="08.00"/>
    <s v="08.00"/>
    <s v="00052038"/>
    <s v="Gandhidham Operations"/>
    <s v="310095"/>
    <s v="New Acquisiiton"/>
    <s v="AMNS Gandhidham"/>
    <s v=""/>
    <s v=""/>
    <s v="2310BHIM"/>
    <s v="20059392"/>
    <s v="Rajendra Gupta"/>
    <s v="No"/>
    <s v="rajendra.singh@amns.in"/>
    <s v=""/>
    <s v="1054649"/>
    <s v="Manjit Shah"/>
    <s v="Anil Matoo"/>
    <s v="-"/>
    <s v="Manjit Shah"/>
    <s v="-"/>
  </r>
  <r>
    <n v="7026"/>
    <n v="20059369"/>
    <s v="Arvind Singh"/>
    <s v="AM/NS Gandhidham"/>
    <s v="Onroll"/>
    <s v="M-7"/>
    <n v="17"/>
    <m/>
    <s v="NA"/>
    <s v="M"/>
    <s v="Gandhidham"/>
    <n v="12"/>
    <s v="2311"/>
    <x v="22"/>
    <s v="41.01"/>
    <s v="P Ashok Kumar"/>
    <s v="P Ashok Kumar"/>
    <n v="9"/>
    <s v="Legal"/>
    <s v="Legal"/>
    <s v="41"/>
    <s v="Legal Counsel, Gandhidham"/>
    <m/>
    <s v="legal"/>
    <s v=""/>
    <s v=""/>
    <s v="Non Technical Support"/>
    <s v="Operations"/>
    <s v="Operations"/>
    <s v="72103001"/>
    <s v="Operations"/>
    <s v="Indore"/>
    <d v="1967-01-11T00:00:00"/>
    <s v="56.08"/>
    <d v="2014-01-14T00:00:00"/>
    <d v="2025-01-31T00:00:00"/>
    <m/>
    <d v="2025-01-31T00:00:00"/>
    <n v="499"/>
    <s v=""/>
    <s v=""/>
    <s v=""/>
    <s v="09.08"/>
    <s v="09.08"/>
    <s v="00052038"/>
    <s v="Gandhidham Operations"/>
    <s v="309851"/>
    <s v="New Acquisiiton"/>
    <s v="AMNS Gandhidham"/>
    <s v=""/>
    <s v=""/>
    <s v="2311INDO"/>
    <s v="20059392"/>
    <s v="Rajendra Gupta"/>
    <s v="No"/>
    <s v="arvindkumar.singh5@amns.in"/>
    <s v=""/>
    <s v="1054511"/>
    <s v="Manjit Shah"/>
    <s v="Anil Matoo"/>
    <s v="-"/>
    <s v="Manjit Shah"/>
    <s v="-"/>
  </r>
  <r>
    <n v="7027"/>
    <n v="20059370"/>
    <s v="Vinod Kashyap"/>
    <s v="AM/NS Gandhidham"/>
    <s v="Onroll"/>
    <s v="M-8"/>
    <n v="17"/>
    <m/>
    <s v="NA"/>
    <s v="M"/>
    <s v="Gandhidham"/>
    <n v="12"/>
    <s v="2311"/>
    <x v="22"/>
    <s v="41.01"/>
    <s v="P Ashok Kumar"/>
    <s v="P Ashok Kumar"/>
    <n v="9"/>
    <s v="Legal"/>
    <s v="Legal"/>
    <s v="41"/>
    <s v="Legal Counsel, Gandhidham"/>
    <m/>
    <s v="legal"/>
    <s v=""/>
    <s v=""/>
    <s v="Non Technical Support"/>
    <s v="Operations"/>
    <s v="Operations"/>
    <s v="72103001"/>
    <s v="Operations"/>
    <s v="Bhimasar"/>
    <d v="1976-09-22T00:00:00"/>
    <s v="46.11"/>
    <d v="2020-10-27T00:00:00"/>
    <d v="2034-09-30T00:00:00"/>
    <m/>
    <d v="2034-09-30T00:00:00"/>
    <n v="4028"/>
    <s v=""/>
    <s v=""/>
    <s v=""/>
    <s v="02.10"/>
    <s v="02.10"/>
    <s v="00052038"/>
    <s v="Gandhidham Operations"/>
    <s v="309863"/>
    <s v="New Acquisiiton"/>
    <s v="AMNS Gandhidham"/>
    <s v=""/>
    <s v=""/>
    <s v="2311BHIM"/>
    <s v="20059392"/>
    <s v="Rajendra Gupta"/>
    <s v="No"/>
    <s v="vinod.kashyap@amns.in"/>
    <s v=""/>
    <s v="1054517"/>
    <s v="Manjit Shah"/>
    <s v="Anil Matoo"/>
    <s v="-"/>
    <s v="Manjit Shah"/>
    <s v="-"/>
  </r>
  <r>
    <n v="7052"/>
    <n v="20059395"/>
    <s v="Manoj Choudhary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Indore"/>
    <d v="1971-11-03T00:00:00"/>
    <s v="51.10"/>
    <d v="2006-11-03T00:00:00"/>
    <d v="2029-11-30T00:00:00"/>
    <m/>
    <d v="2029-11-30T00:00:00"/>
    <n v="2263"/>
    <s v=""/>
    <s v=""/>
    <s v=""/>
    <s v="16.10"/>
    <s v="16.10"/>
    <s v="00052038"/>
    <s v="Gandhidham Operations"/>
    <s v="309865"/>
    <s v="New Acquisiiton"/>
    <s v="AMNS Gandhidham"/>
    <s v=""/>
    <s v=""/>
    <s v="2316INDO"/>
    <s v="20059392"/>
    <s v="Rajendra Gupta"/>
    <s v="No"/>
    <s v="manoj.choudhary3@amns.in"/>
    <s v=""/>
    <s v="1054603"/>
    <s v="Manjit Shah"/>
    <s v="Anil Matoo"/>
    <s v="-"/>
    <s v="Manjit Shah"/>
    <s v="-"/>
  </r>
  <r>
    <n v="7053"/>
    <n v="20059396"/>
    <s v="Vipin Kumar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4-05-16T00:00:00"/>
    <s v="39.04"/>
    <d v="2022-03-07T00:00:00"/>
    <d v="2042-05-31T00:00:00"/>
    <m/>
    <d v="2042-05-31T00:00:00"/>
    <n v="6828"/>
    <s v=""/>
    <s v=""/>
    <s v=""/>
    <s v="01.06"/>
    <s v="01.06"/>
    <s v="00052332"/>
    <s v="Mechanical Maintenance"/>
    <s v="309884"/>
    <s v="New Acquisiiton"/>
    <s v="AMNS Gandhidham"/>
    <s v=""/>
    <s v=""/>
    <s v="2316BHIM"/>
    <s v="20059381"/>
    <s v="Govind Dhanuka"/>
    <s v="No"/>
    <s v="vipin.kumar@amns.in"/>
    <s v=""/>
    <s v="1054605"/>
    <s v="Manjit Shah"/>
    <s v="Anil Matoo"/>
    <s v="-"/>
    <s v="Manjit Shah"/>
    <s v="-"/>
  </r>
  <r>
    <n v="7054"/>
    <n v="20059397"/>
    <s v="Manish Namdeo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Indore"/>
    <d v="1975-07-22T00:00:00"/>
    <s v="48.01"/>
    <d v="2019-11-02T00:00:00"/>
    <d v="2033-07-31T00:00:00"/>
    <m/>
    <d v="2033-07-31T00:00:00"/>
    <n v="3602"/>
    <s v=""/>
    <s v=""/>
    <s v=""/>
    <s v="03.10"/>
    <s v="03.10"/>
    <s v="00052038"/>
    <s v="Gandhidham Operations"/>
    <s v="309888"/>
    <s v="New Acquisiiton"/>
    <s v="AMNS Gandhidham"/>
    <s v=""/>
    <s v=""/>
    <s v="2316INDO"/>
    <s v="20059392"/>
    <s v="Rajendra Gupta"/>
    <s v="No"/>
    <s v="manish.namdeo@amns.in"/>
    <s v=""/>
    <s v="1054612"/>
    <s v="Manjit Shah"/>
    <s v="Anil Matoo"/>
    <s v="-"/>
    <s v="Manjit Shah"/>
    <s v="-"/>
  </r>
  <r>
    <n v="7055"/>
    <n v="20059398"/>
    <s v="Devendra Lakshkar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5-06-09T00:00:00"/>
    <s v="38.03"/>
    <d v="2023-03-20T00:00:00"/>
    <d v="2043-06-30T00:00:00"/>
    <m/>
    <d v="2043-06-30T00:00:00"/>
    <n v="7223"/>
    <s v=""/>
    <s v=""/>
    <s v=""/>
    <s v="00.06"/>
    <s v="00.06"/>
    <s v="00052038"/>
    <s v="Gandhidham Operations"/>
    <s v="309921"/>
    <s v="New Acquisiiton"/>
    <s v="AMNS Gandhidham"/>
    <s v=""/>
    <s v=""/>
    <s v="2316BHIM"/>
    <s v="20059392"/>
    <s v="Rajendra Gupta"/>
    <s v="No"/>
    <s v="devendra.lakshkar@amns.in"/>
    <s v=""/>
    <s v="1054657"/>
    <s v="Manjit Shah"/>
    <s v="Anil Matoo"/>
    <s v="-"/>
    <s v="Manjit Shah"/>
    <s v="-"/>
  </r>
  <r>
    <n v="7056"/>
    <n v="20059399"/>
    <s v="Nityanand Sharma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1-06-01T00:00:00"/>
    <s v="42.03"/>
    <d v="2014-04-01T00:00:00"/>
    <d v="2039-05-31T00:00:00"/>
    <m/>
    <d v="2039-05-31T00:00:00"/>
    <n v="5732"/>
    <s v=""/>
    <s v=""/>
    <s v=""/>
    <s v="09.05"/>
    <s v="09.05"/>
    <s v="00052038"/>
    <s v="Gandhidham Operations"/>
    <s v="309936"/>
    <s v="New Acquisiiton"/>
    <s v="AMNS Gandhidham"/>
    <s v=""/>
    <s v=""/>
    <s v="2316BHIM"/>
    <s v="20059392"/>
    <s v="Rajendra Gupta"/>
    <s v="No"/>
    <s v="nityanand.sharma@amns.in"/>
    <s v=""/>
    <s v="1054660"/>
    <s v="Manjit Shah"/>
    <s v="Anil Matoo"/>
    <s v="-"/>
    <s v="Manjit Shah"/>
    <s v="-"/>
  </r>
  <r>
    <n v="7057"/>
    <n v="20059400"/>
    <s v="Somsinh Puvar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79-08-09T00:00:00"/>
    <s v="44.01"/>
    <d v="2008-09-29T00:00:00"/>
    <d v="2037-08-31T00:00:00"/>
    <m/>
    <d v="2037-08-31T00:00:00"/>
    <n v="5094"/>
    <s v=""/>
    <s v=""/>
    <s v=""/>
    <s v="14.11"/>
    <s v="14.11"/>
    <s v="00052038"/>
    <s v="Gandhidham Operations"/>
    <s v="310060"/>
    <s v="New Acquisiiton"/>
    <s v="AMNS Gandhidham"/>
    <s v=""/>
    <s v=""/>
    <s v="2316BHIM"/>
    <s v="20059392"/>
    <s v="Rajendra Gupta"/>
    <s v="No"/>
    <s v="somsinh.puvar@amns.in"/>
    <s v=""/>
    <s v="1054661"/>
    <s v="Manjit Shah"/>
    <s v="Anil Matoo"/>
    <s v="-"/>
    <s v="Manjit Shah"/>
    <s v="-"/>
  </r>
  <r>
    <n v="7058"/>
    <n v="20059401"/>
    <s v="Prajapati Jayantibhai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8-02-05T00:00:00"/>
    <s v="35.07"/>
    <d v="2023-03-01T00:00:00"/>
    <d v="2046-02-28T00:00:00"/>
    <m/>
    <d v="2046-02-28T00:00:00"/>
    <n v="8197"/>
    <s v=""/>
    <s v=""/>
    <s v=""/>
    <s v="00.06"/>
    <s v="00.06"/>
    <s v="00052038"/>
    <s v="Gandhidham Operations"/>
    <s v="310079"/>
    <s v="New Acquisiiton"/>
    <s v="AMNS Gandhidham"/>
    <s v=""/>
    <s v=""/>
    <s v="2316BHIM"/>
    <s v="20059392"/>
    <s v="Rajendra Gupta"/>
    <s v="No"/>
    <s v="prajapati.jayantibhai@amns.in"/>
    <s v=""/>
    <s v="1054710"/>
    <s v="Manjit Shah"/>
    <s v="Anil Matoo"/>
    <s v="-"/>
    <s v="Manjit Shah"/>
    <s v="-"/>
  </r>
  <r>
    <n v="7059"/>
    <n v="20059402"/>
    <s v="Sajjan Sharma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5-06-16T00:00:00"/>
    <s v="38.03"/>
    <d v="2018-05-01T00:00:00"/>
    <d v="2043-06-30T00:00:00"/>
    <m/>
    <d v="2043-06-30T00:00:00"/>
    <n v="7223"/>
    <s v=""/>
    <s v=""/>
    <s v=""/>
    <s v="05.04"/>
    <s v="05.04"/>
    <s v="00052038"/>
    <s v="Gandhidham Operations"/>
    <s v="310115"/>
    <s v="New Acquisiiton"/>
    <s v="AMNS Gandhidham"/>
    <s v=""/>
    <s v=""/>
    <s v="2316BHIM"/>
    <s v="20059392"/>
    <s v="Rajendra Gupta"/>
    <s v="No"/>
    <s v="sajjan.sharma@amns.in"/>
    <s v=""/>
    <s v="1054662"/>
    <s v="Manjit Shah"/>
    <s v="Anil Matoo"/>
    <s v="-"/>
    <s v="Manjit Shah"/>
    <s v="-"/>
  </r>
  <r>
    <n v="7064"/>
    <n v="20059407"/>
    <s v="Abhay Vishwakarm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7-01-18T00:00:00"/>
    <s v="56.08"/>
    <d v="2020-04-08T00:00:00"/>
    <d v="2025-01-31T00:00:00"/>
    <m/>
    <d v="2025-01-31T00:00:00"/>
    <n v="499"/>
    <s v=""/>
    <s v=""/>
    <s v=""/>
    <s v="03.05"/>
    <s v="03.05"/>
    <s v="00052038"/>
    <s v="Gandhidham Operations"/>
    <s v="309823"/>
    <s v="New Acquisiiton"/>
    <s v="AMNS Gandhidham"/>
    <s v=""/>
    <s v=""/>
    <s v="2306INDO"/>
    <s v="20059392"/>
    <s v="Rajendra Gupta"/>
    <s v="No"/>
    <s v="abhay.vishwakarma@amns.in"/>
    <s v=""/>
    <s v="1054663"/>
    <s v="Manjit Shah"/>
    <s v="Anil Matoo"/>
    <s v="-"/>
    <s v="Manjit Shah"/>
    <s v="-"/>
  </r>
  <r>
    <n v="7065"/>
    <n v="20059408"/>
    <s v="C. Ramesh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anglore"/>
    <d v="1966-01-27T00:00:00"/>
    <s v="57.07"/>
    <d v="2015-08-06T00:00:00"/>
    <d v="2024-01-31T00:00:00"/>
    <m/>
    <d v="2024-01-31T00:00:00"/>
    <n v="133"/>
    <s v=""/>
    <s v=""/>
    <s v=""/>
    <s v="08.01"/>
    <s v="08.01"/>
    <s v="00052038"/>
    <s v="Gandhidham Operations"/>
    <s v="309827"/>
    <s v="New Acquisiiton"/>
    <s v="AMNS Gandhidham"/>
    <s v=""/>
    <s v=""/>
    <s v="2306BANG"/>
    <s v="20059392"/>
    <s v="Rajendra Gupta"/>
    <s v="No"/>
    <s v="c.ramesh1@amns.in"/>
    <s v=""/>
    <s v="1054665"/>
    <s v="Manjit Shah"/>
    <s v="Anil Matoo"/>
    <s v="-"/>
    <s v="Manjit Shah"/>
    <s v="-"/>
  </r>
  <r>
    <n v="7066"/>
    <n v="20059409"/>
    <s v="Toliram Rahangdale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7-05-12T00:00:00"/>
    <s v="56.04"/>
    <d v="2019-11-15T00:00:00"/>
    <d v="2025-05-31T00:00:00"/>
    <m/>
    <d v="2025-05-31T00:00:00"/>
    <n v="619"/>
    <s v=""/>
    <s v=""/>
    <s v=""/>
    <s v="03.10"/>
    <s v="03.10"/>
    <s v="00052038"/>
    <s v="Gandhidham Operations"/>
    <s v="309829"/>
    <s v="New Acquisiiton"/>
    <s v="AMNS Gandhidham"/>
    <s v=""/>
    <s v=""/>
    <s v="2306INDO"/>
    <s v="20059392"/>
    <s v="Rajendra Gupta"/>
    <s v="No"/>
    <s v="toliram.rahangdale@amns.in"/>
    <s v=""/>
    <s v="1054666"/>
    <s v="Manjit Shah"/>
    <s v="Anil Matoo"/>
    <s v="-"/>
    <s v="Manjit Shah"/>
    <s v="-"/>
  </r>
  <r>
    <n v="7067"/>
    <n v="20059410"/>
    <s v="Umesh Vashisth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Delhi"/>
    <d v="1973-07-07T00:00:00"/>
    <s v="50.02"/>
    <d v="2013-10-06T00:00:00"/>
    <d v="2031-07-31T00:00:00"/>
    <m/>
    <d v="2031-07-31T00:00:00"/>
    <n v="2871"/>
    <s v=""/>
    <s v=""/>
    <s v=""/>
    <s v="09.11"/>
    <s v="09.11"/>
    <s v="00052038"/>
    <s v="Gandhidham Operations"/>
    <s v="309830"/>
    <s v="New Acquisiiton"/>
    <s v="AMNS Gandhidham"/>
    <s v=""/>
    <s v=""/>
    <s v="2306DELH"/>
    <s v="20059392"/>
    <s v="Rajendra Gupta"/>
    <s v="No"/>
    <s v="umesh.vashistha@amns.in"/>
    <s v=""/>
    <s v="1054669"/>
    <s v="Manjit Shah"/>
    <s v="Anil Matoo"/>
    <s v="-"/>
    <s v="Manjit Shah"/>
    <s v="-"/>
  </r>
  <r>
    <n v="7068"/>
    <n v="20059411"/>
    <s v="Shiv Tawar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8-10-01T00:00:00"/>
    <s v="54.11"/>
    <d v="2010-07-01T00:00:00"/>
    <d v="2026-09-30T00:00:00"/>
    <m/>
    <d v="2026-09-30T00:00:00"/>
    <n v="1106"/>
    <s v=""/>
    <s v=""/>
    <s v=""/>
    <s v="13.02"/>
    <s v="13.02"/>
    <s v="00052038"/>
    <s v="Gandhidham Operations"/>
    <s v="309852"/>
    <s v="New Acquisiiton"/>
    <s v="AMNS Gandhidham"/>
    <s v=""/>
    <s v=""/>
    <s v="2306INDO"/>
    <s v="20059392"/>
    <s v="Rajendra Gupta"/>
    <s v="No"/>
    <s v="shiv.tawar1@amns.in"/>
    <s v=""/>
    <s v="1054671"/>
    <s v="Manjit Shah"/>
    <s v="Anil Matoo"/>
    <s v="-"/>
    <s v="Manjit Shah"/>
    <s v="-"/>
  </r>
  <r>
    <n v="7069"/>
    <n v="20059412"/>
    <s v="Chandra Ojh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Patna"/>
    <d v="1969-05-01T00:00:00"/>
    <s v="54.04"/>
    <d v="2019-05-08T00:00:00"/>
    <d v="2027-04-30T00:00:00"/>
    <m/>
    <d v="2027-04-30T00:00:00"/>
    <n v="1318"/>
    <s v=""/>
    <s v=""/>
    <s v=""/>
    <s v="04.04"/>
    <s v="04.04"/>
    <s v="00052038"/>
    <s v="Gandhidham Operations"/>
    <s v="309864"/>
    <s v="New Acquisiiton"/>
    <s v="AMNS Gandhidham"/>
    <s v=""/>
    <s v=""/>
    <s v="2306PATN"/>
    <s v="20059392"/>
    <s v="Rajendra Gupta"/>
    <s v="No"/>
    <s v="chandra.ojha1@amns.in"/>
    <s v=""/>
    <s v="1054674"/>
    <s v="Manjit Shah"/>
    <s v="Anil Matoo"/>
    <s v="-"/>
    <s v="Manjit Shah"/>
    <s v="-"/>
  </r>
  <r>
    <n v="7070"/>
    <n v="20059413"/>
    <s v="Ramesh Babu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76-03-17T00:00:00"/>
    <s v="47.06"/>
    <d v="2015-11-09T00:00:00"/>
    <d v="2034-03-31T00:00:00"/>
    <m/>
    <d v="2034-03-31T00:00:00"/>
    <n v="3845"/>
    <s v=""/>
    <s v=""/>
    <s v=""/>
    <s v="07.10"/>
    <s v="07.10"/>
    <s v="00052038"/>
    <s v="Gandhidham Operations"/>
    <s v="309868"/>
    <s v="New Acquisiiton"/>
    <s v="AMNS Gandhidham"/>
    <s v=""/>
    <s v=""/>
    <s v="2306BHIM"/>
    <s v="20059392"/>
    <s v="Rajendra Gupta"/>
    <s v="No"/>
    <s v="ramesh.babu2@amns.in"/>
    <s v=""/>
    <s v="1054684"/>
    <s v="Manjit Shah"/>
    <s v="Anil Matoo"/>
    <s v="-"/>
    <s v="Manjit Shah"/>
    <s v="-"/>
  </r>
  <r>
    <n v="7071"/>
    <n v="20059414"/>
    <s v="Chandra Kandari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Delhi"/>
    <d v="1978-05-07T00:00:00"/>
    <s v="45.04"/>
    <d v="2007-06-08T00:00:00"/>
    <d v="2036-05-31T00:00:00"/>
    <m/>
    <d v="2036-05-31T00:00:00"/>
    <n v="4637"/>
    <s v=""/>
    <s v=""/>
    <s v=""/>
    <s v="16.03"/>
    <s v="16.03"/>
    <s v="00052038"/>
    <s v="Gandhidham Operations"/>
    <s v="309885"/>
    <s v="New Acquisiiton"/>
    <s v="AMNS Gandhidham"/>
    <s v=""/>
    <s v=""/>
    <s v="2306DELH"/>
    <s v="20059392"/>
    <s v="Rajendra Gupta"/>
    <s v="No"/>
    <s v="chandra.kandari@amns.in"/>
    <s v=""/>
    <s v="1054686"/>
    <s v="Manjit Shah"/>
    <s v="Anil Matoo"/>
    <s v="-"/>
    <s v="Manjit Shah"/>
    <s v="-"/>
  </r>
  <r>
    <n v="7072"/>
    <n v="20059415"/>
    <s v="Deepak Patidar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Ahmedabad"/>
    <d v="1988-07-30T00:00:00"/>
    <s v="35.01"/>
    <d v="2020-01-23T00:00:00"/>
    <d v="2046-07-31T00:00:00"/>
    <m/>
    <d v="2046-07-31T00:00:00"/>
    <n v="8350"/>
    <s v=""/>
    <s v=""/>
    <s v=""/>
    <s v="03.07"/>
    <s v="03.07"/>
    <s v="00052038"/>
    <s v="Gandhidham Operations"/>
    <s v="309886"/>
    <s v="New Acquisiiton"/>
    <s v="AMNS Gandhidham"/>
    <s v=""/>
    <s v=""/>
    <s v="2306AHME"/>
    <s v="20037071"/>
    <s v="Amit Chandaliya"/>
    <s v="No"/>
    <s v="deepak.patidar@amns.in"/>
    <s v=""/>
    <s v="1054688"/>
    <s v="Manjit Shah"/>
    <s v="Anil Matoo"/>
    <s v="-"/>
    <s v="Manjit Shah"/>
    <s v="-"/>
  </r>
  <r>
    <n v="7073"/>
    <n v="20059416"/>
    <s v="Digvijay Khunte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Pune"/>
    <d v="1983-07-16T00:00:00"/>
    <s v="40.02"/>
    <d v="2012-02-07T00:00:00"/>
    <d v="2041-07-31T00:00:00"/>
    <m/>
    <d v="2041-07-31T00:00:00"/>
    <n v="6524"/>
    <s v=""/>
    <s v=""/>
    <s v=""/>
    <s v="11.07"/>
    <s v="11.07"/>
    <s v="00052038"/>
    <s v="Gandhidham Operations"/>
    <s v="309887"/>
    <s v="New Acquisiiton"/>
    <s v="AMNS Gandhidham"/>
    <s v=""/>
    <s v=""/>
    <s v="2306PUNE"/>
    <s v="20059392"/>
    <s v="Rajendra Gupta"/>
    <s v="No"/>
    <s v="digvijay.khunte@amns.in"/>
    <s v=""/>
    <s v="1054689"/>
    <s v="Manjit Shah"/>
    <s v="Anil Matoo"/>
    <s v="-"/>
    <s v="Manjit Shah"/>
    <s v="-"/>
  </r>
  <r>
    <n v="7074"/>
    <n v="20059417"/>
    <s v="Hari Singh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75-09-23T00:00:00"/>
    <s v="47.11"/>
    <d v="2018-01-04T00:00:00"/>
    <d v="2033-09-30T00:00:00"/>
    <m/>
    <d v="2033-09-30T00:00:00"/>
    <n v="3663"/>
    <s v=""/>
    <s v=""/>
    <s v=""/>
    <s v="05.08"/>
    <s v="05.08"/>
    <s v="00052038"/>
    <s v="Gandhidham Operations"/>
    <s v="309911"/>
    <s v="New Acquisiiton"/>
    <s v="AMNS Gandhidham"/>
    <s v=""/>
    <s v=""/>
    <s v="2306INDO"/>
    <s v="20059392"/>
    <s v="Rajendra Gupta"/>
    <s v="No"/>
    <s v="hari.singh7@amns.in"/>
    <s v=""/>
    <s v="1054693"/>
    <s v="Manjit Shah"/>
    <s v="Anil Matoo"/>
    <s v="-"/>
    <s v="Manjit Shah"/>
    <s v="-"/>
  </r>
  <r>
    <n v="7075"/>
    <n v="20059418"/>
    <s v="Pardeep Kumar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8-07-10T00:00:00"/>
    <s v="35.02"/>
    <d v="2014-04-01T00:00:00"/>
    <d v="2046-07-31T00:00:00"/>
    <m/>
    <d v="2046-07-31T00:00:00"/>
    <n v="8350"/>
    <s v=""/>
    <s v=""/>
    <s v=""/>
    <s v="09.05"/>
    <s v="09.05"/>
    <s v="00052038"/>
    <s v="Gandhidham Operations"/>
    <s v="309938"/>
    <s v="New Acquisiiton"/>
    <s v="AMNS Gandhidham"/>
    <s v=""/>
    <s v=""/>
    <s v="2306BHIM"/>
    <s v="20059392"/>
    <s v="Rajendra Gupta"/>
    <s v="No"/>
    <s v="pardeep.kumar36@amns.in"/>
    <s v=""/>
    <s v="1054696"/>
    <s v="Manjit Shah"/>
    <s v="Anil Matoo"/>
    <s v="-"/>
    <s v="Manjit Shah"/>
    <s v="-"/>
  </r>
  <r>
    <n v="7076"/>
    <n v="20059419"/>
    <s v="Joseph Antony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9-05-20T00:00:00"/>
    <s v="54.04"/>
    <d v="2019-01-04T00:00:00"/>
    <d v="2027-05-31T00:00:00"/>
    <m/>
    <d v="2027-05-31T00:00:00"/>
    <n v="1349"/>
    <s v=""/>
    <s v=""/>
    <s v=""/>
    <s v="04.08"/>
    <s v="04.08"/>
    <s v="00052038"/>
    <s v="Gandhidham Operations"/>
    <s v="309962"/>
    <s v="New Acquisiiton"/>
    <s v="AMNS Gandhidham"/>
    <s v=""/>
    <s v=""/>
    <s v="2306INDO"/>
    <s v="20059392"/>
    <s v="Rajendra Gupta"/>
    <s v="No"/>
    <s v="joseph.antony1@amns.in"/>
    <s v=""/>
    <s v="1054697"/>
    <s v="Manjit Shah"/>
    <s v="Anil Matoo"/>
    <s v="-"/>
    <s v="Manjit Shah"/>
    <s v="-"/>
  </r>
  <r>
    <n v="7077"/>
    <n v="20059420"/>
    <s v="Mahesh Saini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Jammu"/>
    <d v="1984-01-02T00:00:00"/>
    <s v="39.08"/>
    <d v="2006-07-07T00:00:00"/>
    <d v="2042-01-31T00:00:00"/>
    <m/>
    <d v="2042-01-31T00:00:00"/>
    <n v="6708"/>
    <s v=""/>
    <s v=""/>
    <s v=""/>
    <s v="17.02"/>
    <s v="17.02"/>
    <s v="00052038"/>
    <s v="Gandhidham Operations"/>
    <s v="309963"/>
    <s v="New Acquisiiton"/>
    <s v="AMNS Gandhidham"/>
    <s v=""/>
    <s v=""/>
    <s v="2306JAMM"/>
    <s v="20059392"/>
    <s v="Rajendra Gupta"/>
    <s v="No"/>
    <s v="mahesh.saini1@amns.in"/>
    <s v=""/>
    <s v="1054699"/>
    <s v="Manjit Shah"/>
    <s v="Anil Matoo"/>
    <s v="-"/>
    <s v="Manjit Shah"/>
    <s v="-"/>
  </r>
  <r>
    <n v="7078"/>
    <n v="20059421"/>
    <s v="Sanjay Sharm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Jaipur"/>
    <d v="1977-11-22T00:00:00"/>
    <s v="45.09"/>
    <d v="2006-06-12T00:00:00"/>
    <d v="2035-11-30T00:00:00"/>
    <m/>
    <d v="2035-11-30T00:00:00"/>
    <n v="4454"/>
    <s v=""/>
    <s v=""/>
    <s v=""/>
    <s v="17.03"/>
    <s v="17.03"/>
    <s v="00052038"/>
    <s v="Gandhidham Operations"/>
    <s v="309965"/>
    <s v="New Acquisiiton"/>
    <s v="AMNS Gandhidham"/>
    <s v=""/>
    <s v=""/>
    <s v="2306JAIP"/>
    <s v="20059392"/>
    <s v="Rajendra Gupta"/>
    <s v="No"/>
    <s v="sanjay.sharma26@amns.in"/>
    <s v=""/>
    <s v="1054701"/>
    <s v="Manjit Shah"/>
    <s v="Anil Matoo"/>
    <s v="-"/>
    <s v="Manjit Shah"/>
    <s v="-"/>
  </r>
  <r>
    <n v="7079"/>
    <n v="20059422"/>
    <s v="Deepak Sharm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1-03-25T00:00:00"/>
    <s v="42.05"/>
    <d v="2005-12-27T00:00:00"/>
    <d v="2039-03-31T00:00:00"/>
    <m/>
    <d v="2039-03-31T00:00:00"/>
    <n v="5671"/>
    <s v=""/>
    <s v=""/>
    <s v=""/>
    <s v="17.08"/>
    <s v="17.08"/>
    <s v="00052038"/>
    <s v="Gandhidham Operations"/>
    <s v="310072"/>
    <s v="New Acquisiiton"/>
    <s v="AMNS Gandhidham"/>
    <s v=""/>
    <s v=""/>
    <s v="2306BHIM"/>
    <s v="20059392"/>
    <s v="Rajendra Gupta"/>
    <s v="No"/>
    <s v="deepak.sharma@amns.in"/>
    <s v=""/>
    <s v="1054702"/>
    <s v="Manjit Shah"/>
    <s v="Anil Matoo"/>
    <s v="-"/>
    <s v="Manjit Shah"/>
    <s v="-"/>
  </r>
  <r>
    <n v="7080"/>
    <n v="20059423"/>
    <s v="Nitin Soniy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8-06-17T00:00:00"/>
    <s v="35.03"/>
    <d v="2016-09-21T00:00:00"/>
    <d v="2046-06-30T00:00:00"/>
    <m/>
    <d v="2046-06-30T00:00:00"/>
    <n v="8319"/>
    <s v=""/>
    <s v=""/>
    <s v=""/>
    <s v="07.00"/>
    <s v="07.00"/>
    <s v="00052038"/>
    <s v="Gandhidham Operations"/>
    <s v="310078"/>
    <s v="New Acquisiiton"/>
    <s v="AMNS Gandhidham"/>
    <s v=""/>
    <s v=""/>
    <s v="2306BHIM"/>
    <s v="20059392"/>
    <s v="Rajendra Gupta"/>
    <s v="No"/>
    <s v="nitinsingh.soniya@amns.in"/>
    <s v=""/>
    <s v="1054740"/>
    <s v="Manjit Shah"/>
    <s v="Anil Matoo"/>
    <s v="-"/>
    <s v="Manjit Shah"/>
    <s v="-"/>
  </r>
  <r>
    <n v="7081"/>
    <n v="20059424"/>
    <s v="Abhishek Khandelwal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Delhi"/>
    <d v="1980-06-08T00:00:00"/>
    <s v="43.03"/>
    <d v="2015-09-17T00:00:00"/>
    <d v="2038-06-30T00:00:00"/>
    <m/>
    <d v="2038-06-30T00:00:00"/>
    <n v="5397"/>
    <s v=""/>
    <s v=""/>
    <s v=""/>
    <s v="08.00"/>
    <s v="08.00"/>
    <s v="00043882"/>
    <s v="International Sales"/>
    <s v="310088"/>
    <s v="New Acquisiiton"/>
    <s v="AMNS Gandhidham"/>
    <s v=""/>
    <s v=""/>
    <s v="2306DELH"/>
    <s v="20037071"/>
    <s v="Amit Chandaliya"/>
    <s v="No"/>
    <s v="abhishek.khandelwal1@amns.in"/>
    <s v=""/>
    <s v="1054706"/>
    <s v="Manjit Shah"/>
    <s v="Anil Matoo"/>
    <s v="-"/>
    <s v="Manjit Shah"/>
    <s v="-"/>
  </r>
  <r>
    <n v="7082"/>
    <n v="20059425"/>
    <s v="Girish Ary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2-04-15T00:00:00"/>
    <s v="41.05"/>
    <d v="2010-11-01T00:00:00"/>
    <d v="2040-04-30T00:00:00"/>
    <m/>
    <d v="2040-04-30T00:00:00"/>
    <n v="6067"/>
    <s v=""/>
    <s v=""/>
    <s v=""/>
    <s v="12.10"/>
    <s v="12.10"/>
    <s v="00052038"/>
    <s v="Gandhidham Operations"/>
    <s v="310092"/>
    <s v="New Acquisiiton"/>
    <s v="AMNS Gandhidham"/>
    <s v=""/>
    <s v=""/>
    <s v="2306BHIM"/>
    <s v="20059392"/>
    <s v="Rajendra Gupta"/>
    <s v="No"/>
    <s v="girish.arya1@amns.in"/>
    <s v=""/>
    <s v="1054709"/>
    <s v="Manjit Shah"/>
    <s v="Anil Matoo"/>
    <s v="-"/>
    <s v="Manjit Shah"/>
    <s v="-"/>
  </r>
  <r>
    <n v="7083"/>
    <n v="20059426"/>
    <s v="Satyendra Singh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5-07-10T00:00:00"/>
    <s v="38.02"/>
    <d v="2010-02-22T00:00:00"/>
    <d v="2043-07-31T00:00:00"/>
    <m/>
    <d v="2043-07-31T00:00:00"/>
    <n v="7254"/>
    <s v=""/>
    <s v=""/>
    <s v=""/>
    <s v="13.06"/>
    <s v="13.06"/>
    <s v="00052038"/>
    <s v="Gandhidham Operations"/>
    <s v="310106"/>
    <s v="New Acquisiiton"/>
    <s v="AMNS Gandhidham"/>
    <s v=""/>
    <s v=""/>
    <s v="2306BHIM"/>
    <s v="20059392"/>
    <s v="Rajendra Gupta"/>
    <s v="No"/>
    <s v="satyendra.singh41@amns.in"/>
    <s v=""/>
    <s v="1054711"/>
    <s v="Manjit Shah"/>
    <s v="Anil Matoo"/>
    <s v="-"/>
    <s v="Manjit Shah"/>
    <s v="-"/>
  </r>
  <r>
    <n v="7085"/>
    <n v="20059428"/>
    <s v="Hasmukh R.Gadhavi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5-10-22T00:00:00"/>
    <s v="47.10"/>
    <d v="2005-06-01T00:00:00"/>
    <d v="2033-10-31T00:00:00"/>
    <m/>
    <d v="2033-10-31T00:00:00"/>
    <n v="3694"/>
    <s v=""/>
    <s v=""/>
    <s v=""/>
    <s v="18.03"/>
    <s v="18.03"/>
    <s v="00052332"/>
    <s v="Mechanical Maintenance"/>
    <s v="309893"/>
    <s v="New Acquisiiton"/>
    <s v="AMNS Gandhidham"/>
    <s v=""/>
    <s v=""/>
    <s v="2318BHIM"/>
    <s v="20059381"/>
    <s v="Govind Dhanuka"/>
    <s v="No"/>
    <s v="hasmukh.rgadhavi@amns.in"/>
    <s v=""/>
    <s v="1054720"/>
    <s v="Manjit Shah"/>
    <s v="Anil Matoo"/>
    <s v="-"/>
    <s v="Manjit Shah"/>
    <s v="-"/>
  </r>
  <r>
    <n v="7086"/>
    <n v="20059429"/>
    <s v="Jagdish Yadav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69-07-03T00:00:00"/>
    <s v="54.02"/>
    <d v="2021-08-01T00:00:00"/>
    <d v="2027-07-31T00:00:00"/>
    <m/>
    <d v="2027-07-31T00:00:00"/>
    <n v="1410"/>
    <s v=""/>
    <s v=""/>
    <s v=""/>
    <s v="02.01"/>
    <s v="02.01"/>
    <s v="00052332"/>
    <s v="Mechanical Maintenance"/>
    <s v="309894"/>
    <s v="New Acquisiiton"/>
    <s v="AMNS Gandhidham"/>
    <s v=""/>
    <s v=""/>
    <s v="2318BHIM"/>
    <s v="20059381"/>
    <s v="Govind Dhanuka"/>
    <s v="No"/>
    <s v="jagdish.yadav3@amns.in"/>
    <s v=""/>
    <s v="1054722"/>
    <s v="Manjit Shah"/>
    <s v="Anil Matoo"/>
    <s v="-"/>
    <s v="Manjit Shah"/>
    <s v="-"/>
  </r>
  <r>
    <n v="7087"/>
    <n v="20059430"/>
    <s v="Jayeshbhai Dave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0-11-06T00:00:00"/>
    <s v="52.10"/>
    <d v="2019-08-08T00:00:00"/>
    <d v="2028-11-30T00:00:00"/>
    <m/>
    <d v="2028-11-30T00:00:00"/>
    <n v="1898"/>
    <s v=""/>
    <s v=""/>
    <s v=""/>
    <s v="04.01"/>
    <s v="04.01"/>
    <s v="00052038"/>
    <s v="Gandhidham Operations"/>
    <s v="309895"/>
    <s v="New Acquisiiton"/>
    <s v="AMNS Gandhidham"/>
    <s v=""/>
    <s v=""/>
    <s v="2318BHIM"/>
    <s v="20059392"/>
    <s v="Rajendra Gupta"/>
    <s v="No"/>
    <s v="jagdish.yadav3@amns.in"/>
    <s v=""/>
    <s v="1054742"/>
    <s v="Manjit Shah"/>
    <s v="Anil Matoo"/>
    <s v="-"/>
    <s v="Manjit Shah"/>
    <s v="-"/>
  </r>
  <r>
    <n v="7088"/>
    <n v="20059431"/>
    <s v="Nand Kumhar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3-01-01T00:00:00"/>
    <s v="50.08"/>
    <d v="2018-09-01T00:00:00"/>
    <d v="2030-12-31T00:00:00"/>
    <m/>
    <d v="2030-12-31T00:00:00"/>
    <n v="2659"/>
    <s v=""/>
    <s v=""/>
    <s v=""/>
    <s v="05.00"/>
    <s v="05.00"/>
    <s v="00052038"/>
    <s v="Gandhidham Operations"/>
    <s v="310076"/>
    <s v="New Acquisiiton"/>
    <s v="AMNS Gandhidham"/>
    <s v=""/>
    <s v=""/>
    <s v="2318BHIM"/>
    <s v="20059392"/>
    <s v="Rajendra Gupta"/>
    <s v="No"/>
    <s v="nand.kumhar@amns.in"/>
    <s v=""/>
    <s v="1054724"/>
    <s v="Manjit Shah"/>
    <s v="Anil Matoo"/>
    <s v="-"/>
    <s v="Manjit Shah"/>
    <s v="-"/>
  </r>
  <r>
    <n v="7089"/>
    <n v="20059432"/>
    <s v="Satish Warhokar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81-05-17T00:00:00"/>
    <s v="42.04"/>
    <d v="2017-12-25T00:00:00"/>
    <d v="2039-05-31T00:00:00"/>
    <m/>
    <d v="2039-05-31T00:00:00"/>
    <n v="5732"/>
    <s v=""/>
    <s v=""/>
    <s v=""/>
    <s v="05.08"/>
    <s v="05.08"/>
    <s v="00052038"/>
    <s v="Gandhidham Operations"/>
    <s v="310084"/>
    <s v="New Acquisiiton"/>
    <s v="AMNS Gandhidham"/>
    <s v=""/>
    <s v=""/>
    <s v="2318BHIM"/>
    <s v="20059392"/>
    <s v="Rajendra Gupta"/>
    <s v="No"/>
    <s v="satish.warhokar@amns.in"/>
    <s v=""/>
    <s v="1054743"/>
    <s v="Manjit Shah"/>
    <s v="Anil Matoo"/>
    <s v="-"/>
    <s v="Manjit Shah"/>
    <s v="-"/>
  </r>
  <r>
    <n v="7090"/>
    <n v="20059433"/>
    <s v="Santosh Sahoo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83-07-05T00:00:00"/>
    <s v="40.02"/>
    <d v="2021-04-01T00:00:00"/>
    <d v="2041-07-31T00:00:00"/>
    <m/>
    <d v="2041-07-31T00:00:00"/>
    <n v="6524"/>
    <s v=""/>
    <s v=""/>
    <s v=""/>
    <s v="02.05"/>
    <s v="02.05"/>
    <s v="00052038"/>
    <s v="Gandhidham Operations"/>
    <s v="310104"/>
    <s v="New Acquisiiton"/>
    <s v="AMNS Gandhidham"/>
    <s v=""/>
    <s v=""/>
    <s v="2318BHIM"/>
    <s v="20059392"/>
    <s v="Rajendra Gupta"/>
    <s v="No"/>
    <s v="santosh.sahoo31@amns.in"/>
    <s v=""/>
    <s v="1054731"/>
    <s v="Manjit Shah"/>
    <s v="Anil Matoo"/>
    <s v="-"/>
    <s v="Manjit Shah"/>
    <s v="-"/>
  </r>
  <r>
    <n v="7091"/>
    <n v="20059434"/>
    <s v="Arun Singh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5-12-20T00:00:00"/>
    <s v="47.09"/>
    <d v="2020-01-01T00:00:00"/>
    <d v="2033-12-31T00:00:00"/>
    <m/>
    <d v="2033-12-31T00:00:00"/>
    <n v="3755"/>
    <s v=""/>
    <s v=""/>
    <s v=""/>
    <s v="03.08"/>
    <s v="03.08"/>
    <s v="00052038"/>
    <s v="Gandhidham Operations"/>
    <s v="310110"/>
    <s v="New Acquisiiton"/>
    <s v="AMNS Gandhidham"/>
    <s v=""/>
    <s v=""/>
    <s v="2318BHIM"/>
    <s v="20059392"/>
    <s v="Rajendra Gupta"/>
    <s v="No"/>
    <s v="arun.singh55@amns.in"/>
    <s v="09627210043"/>
    <s v="1054744"/>
    <s v="Manjit Shah"/>
    <s v="Anil Matoo"/>
    <s v="-"/>
    <s v="Manjit Shah"/>
    <s v="-"/>
  </r>
  <r>
    <n v="7092"/>
    <n v="20059435"/>
    <s v="Vishnu Mishra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84-09-03T00:00:00"/>
    <s v="39.00"/>
    <d v="2010-07-03T00:00:00"/>
    <d v="2042-09-30T00:00:00"/>
    <m/>
    <d v="2042-09-30T00:00:00"/>
    <n v="6950"/>
    <s v=""/>
    <s v=""/>
    <s v=""/>
    <s v="13.02"/>
    <s v="13.02"/>
    <s v="00052038"/>
    <s v="Gandhidham Operations"/>
    <s v="310117"/>
    <s v="New Acquisiiton"/>
    <s v="AMNS Gandhidham"/>
    <s v=""/>
    <s v=""/>
    <s v="2318BHIM"/>
    <s v="20059392"/>
    <s v="Rajendra Gupta"/>
    <s v="No"/>
    <s v="vishnu.mishra3@amns.in"/>
    <s v=""/>
    <s v="1054745"/>
    <s v="Manjit Shah"/>
    <s v="Anil Matoo"/>
    <s v="-"/>
    <s v="Manjit Shah"/>
    <s v="-"/>
  </r>
  <r>
    <n v="7111"/>
    <n v="20059454"/>
    <s v="Saikat Dhar"/>
    <s v="AM/NS India"/>
    <s v="Onroll"/>
    <s v="M-5"/>
    <n v="5"/>
    <m/>
    <s v="MM"/>
    <s v="M"/>
    <s v="Odisha"/>
    <n v="2"/>
    <s v="2071"/>
    <x v="22"/>
    <s v="41.01"/>
    <s v="P Ashok Kumar"/>
    <s v="P Ashok Kumar"/>
    <n v="9"/>
    <s v="Legal"/>
    <s v="Legal"/>
    <s v="41"/>
    <s v="Legal Counsel, Odisha"/>
    <m/>
    <s v="Legal"/>
    <s v="Legal"/>
    <s v="Legal"/>
    <s v="Non Technical Support"/>
    <s v="Legal"/>
    <s v="Legal"/>
    <s v="73201001"/>
    <s v="Legal"/>
    <s v="Bhubaneswar"/>
    <d v="1976-08-03T00:00:00"/>
    <s v="47.01"/>
    <d v="2023-06-05T00:00:00"/>
    <d v="2034-08-31T00:00:00"/>
    <m/>
    <d v="2034-08-31T00:00:00"/>
    <n v="3998"/>
    <s v="B+"/>
    <s v="Diploma-2011 , LLB-1999"/>
    <s v="05.07"/>
    <s v="00.03"/>
    <s v="05.10"/>
    <s v="70494754"/>
    <s v="Legal"/>
    <s v="301041"/>
    <s v="Legal Counsel"/>
    <s v="Odisha"/>
    <s v="0090000019"/>
    <s v="Corporate Steel - Le"/>
    <s v="2000STORIS"/>
    <s v="20055235"/>
    <s v="P Ashok Kumar"/>
    <s v="No"/>
    <s v="saikat.dhar@amns.in"/>
    <s v="7077773398"/>
    <s v="1052604"/>
    <s v="Sunila Das"/>
    <s v="Anil Matoo"/>
    <s v="Praveen Kuruvalli"/>
    <s v="Sunila Das"/>
    <n v="0"/>
  </r>
  <r>
    <n v="7116"/>
    <n v="20059459"/>
    <s v="Ankush Gupta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Lead Sales &amp; Mark strategy-Long Products"/>
    <m/>
    <s v="Lead Sales and Marketing Strategy - Specialty"/>
    <s v=""/>
    <s v=""/>
    <s v="Non Technical Support"/>
    <s v=""/>
    <s v=""/>
    <s v=""/>
    <s v=""/>
    <s v="Mumbai"/>
    <d v="1981-06-21T00:00:00"/>
    <s v="42.03"/>
    <d v="2023-05-25T00:00:00"/>
    <d v="2039-06-30T00:00:00"/>
    <m/>
    <d v="2039-06-30T00:00:00"/>
    <n v="5762"/>
    <s v="A+"/>
    <s v="MBA-2009 , BTech-2004 , Intermediate-199"/>
    <s v="13.09"/>
    <s v="00.03"/>
    <s v="14.01"/>
    <s v="70494655"/>
    <s v="Sales Steering, Distribution and BD"/>
    <s v="311294"/>
    <s v="Lead Sales &amp; Mark strategy-Long Products"/>
    <s v="Corporate"/>
    <s v="0080000005"/>
    <s v="Global Markets Team"/>
    <s v="2000CRG"/>
    <s v="20055091"/>
    <s v="Akshaya Gujral"/>
    <s v="No"/>
    <s v="ankush.gupta@amns.in"/>
    <s v="9727751391"/>
    <s v="1053400"/>
    <s v="Dhruv Vyas"/>
    <s v="Anil Matoo"/>
    <s v="Praveen Kuruvalli"/>
    <s v="Dhruv Vyas"/>
    <n v="0"/>
  </r>
  <r>
    <n v="7117"/>
    <n v="20059460"/>
    <s v="Anshika Kayasth"/>
    <s v="AM/NS India"/>
    <s v="Onroll"/>
    <s v="T-2 (MT)"/>
    <n v="13"/>
    <m/>
    <s v="JM"/>
    <s v="F"/>
    <s v="Hazira"/>
    <n v="1"/>
    <s v="2015"/>
    <x v="1"/>
    <s v="22.06"/>
    <s v="Praveen Kuruvalli"/>
    <s v="Ashutosh Telang"/>
    <n v="6"/>
    <s v="HR &amp; Administration"/>
    <s v="Human Resources"/>
    <s v="22"/>
    <s v="Management Trainee- Human Resouces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Hazira"/>
    <d v="1999-03-22T00:00:00"/>
    <s v="24.06"/>
    <d v="2023-05-29T00:00:00"/>
    <d v="2057-03-31T00:00:00"/>
    <m/>
    <d v="2057-03-31T00:00:00"/>
    <n v="12246"/>
    <s v="B+"/>
    <s v="MBA-2023 , Intermediate-2016"/>
    <s v=""/>
    <s v="00.03"/>
    <s v="00.03"/>
    <s v="70242278"/>
    <s v="People Strategy &amp; HR Center Excellence"/>
    <s v="301580"/>
    <s v="Management Trainee- Human Resouces"/>
    <s v="Hazira"/>
    <s v="0031950061"/>
    <s v="HZ-Human Resource"/>
    <s v="2000HWO"/>
    <s v="20055483"/>
    <s v="Praveen Kuruvalli"/>
    <s v="No"/>
    <s v="anshika.kayasth@amns.in"/>
    <s v="7310709459"/>
    <s v="892334"/>
    <s v="Dhruv Vyas"/>
    <s v="Anil Matoo"/>
    <s v="Praveen Kuruvalli"/>
    <s v="Dhruv Vyas"/>
    <n v="0"/>
  </r>
  <r>
    <n v="7118"/>
    <n v="20059461"/>
    <s v="Mudit Jain"/>
    <s v="AM/NS India"/>
    <s v="Onroll"/>
    <s v="T-2 (MT)"/>
    <n v="13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Management Trainee - Finance"/>
    <m/>
    <s v="Finance &amp; Accounts"/>
    <s v="Performance Management"/>
    <s v="Performance Management"/>
    <s v="Non Technical Support"/>
    <s v=""/>
    <s v=""/>
    <s v="70494642"/>
    <s v="Deputy Director"/>
    <s v="Hazira"/>
    <d v="2000-11-20T00:00:00"/>
    <s v="22.09"/>
    <d v="2023-05-29T00:00:00"/>
    <d v="2058-11-30T00:00:00"/>
    <m/>
    <d v="2058-11-30T00:00:00"/>
    <n v="12855"/>
    <s v="AB+"/>
    <s v="MBA-2023 , Intermediate-2018 , MBA-2016"/>
    <s v=""/>
    <s v="00.03"/>
    <s v="00.03"/>
    <s v="00049304"/>
    <s v="PM - Internal Control"/>
    <s v="301582"/>
    <s v="Management Trainee - Finance"/>
    <s v="Hazira"/>
    <s v="0031950043"/>
    <s v="HZ-Performance Manag"/>
    <s v="2000HWO"/>
    <s v="20006833"/>
    <s v="Hardik Vasavada"/>
    <s v="No"/>
    <s v="mudit.jain@amns.in"/>
    <s v="9315802581"/>
    <s v="892322"/>
    <s v="Dhruv Vyas"/>
    <s v="Anil Matoo"/>
    <s v="Praveen Kuruvalli"/>
    <s v="Dhruv Vyas"/>
    <n v="0"/>
  </r>
  <r>
    <n v="7119"/>
    <n v="20059462"/>
    <s v="Nikhil Bhad"/>
    <s v="AM/NS India"/>
    <s v="Onroll"/>
    <s v="T-2 (MT)"/>
    <n v="13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Management Trainee - Procurement"/>
    <m/>
    <s v="Procurement"/>
    <s v="Procurement"/>
    <s v=""/>
    <s v="Non Technical Support"/>
    <s v=""/>
    <s v=""/>
    <s v=""/>
    <s v=""/>
    <s v="Hazira"/>
    <d v="1999-02-06T00:00:00"/>
    <s v="24.07"/>
    <d v="2023-05-29T00:00:00"/>
    <d v="2057-02-28T00:00:00"/>
    <m/>
    <d v="2057-02-28T00:00:00"/>
    <n v="12215"/>
    <s v="B+"/>
    <s v="MBA-2023 , BE-2021 , Intermediate-2017 ,"/>
    <s v=""/>
    <s v="00.03"/>
    <s v="00.03"/>
    <s v="70495712"/>
    <s v="Logistics"/>
    <s v="302237"/>
    <s v="Management Trainee - Procurement"/>
    <s v="Hazira"/>
    <s v="0031950048"/>
    <s v="HZ-Procurment Depart"/>
    <s v="2000HWO"/>
    <s v="20055688"/>
    <s v="Vibhavana Jaiswal"/>
    <s v="No"/>
    <s v="nikhil.bhad@amns.in"/>
    <s v="7757936535"/>
    <s v="892318"/>
    <s v="Dhruv Vyas"/>
    <s v="Anil Matoo"/>
    <s v="Praveen Kuruvalli"/>
    <s v="Dhruv Vyas"/>
    <n v="0"/>
  </r>
  <r>
    <n v="7120"/>
    <n v="20059463"/>
    <s v="Srijan Negi"/>
    <s v="AM/NS India"/>
    <s v="Onroll"/>
    <s v="T-2 (MT)"/>
    <n v="13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Management Trainee - Finance"/>
    <m/>
    <s v="Finance &amp; Accounts"/>
    <s v="Working Capital"/>
    <s v=""/>
    <s v="Non Technical Support"/>
    <s v=""/>
    <s v=""/>
    <s v=""/>
    <s v=""/>
    <s v="Mumbai"/>
    <d v="2000-09-19T00:00:00"/>
    <s v="23.00"/>
    <d v="2023-05-29T00:00:00"/>
    <d v="2058-09-30T00:00:00"/>
    <m/>
    <d v="2058-09-30T00:00:00"/>
    <n v="12794"/>
    <s v="AB-"/>
    <s v="MBA-2023 , BCom-2021 , Intermediate-2019"/>
    <s v=""/>
    <s v="00.03"/>
    <s v="00.03"/>
    <s v="70494931"/>
    <s v="Working Capital"/>
    <s v="302223"/>
    <s v="Management Trainee - Finance"/>
    <s v="Corporate"/>
    <s v="0090000028"/>
    <s v="Corporate Steel - Wo"/>
    <s v="2000CS"/>
    <s v="20055188"/>
    <s v="Rohit Sharma"/>
    <s v="No"/>
    <s v="srijan.negi@amns.in"/>
    <s v="7007797619"/>
    <s v="892328"/>
    <s v="Dhruv Vyas"/>
    <s v="Anil Matoo"/>
    <s v="Praveen Kuruvalli"/>
    <s v="Dhruv Vyas"/>
    <n v="0"/>
  </r>
  <r>
    <n v="7121"/>
    <n v="20059464"/>
    <s v="Saurabh Ingavale"/>
    <s v="AM/NS India"/>
    <s v="Onroll"/>
    <s v="T-2 (MT)"/>
    <n v="13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Management Trainee - Procurement"/>
    <m/>
    <s v="Capex Procurement"/>
    <s v=""/>
    <s v=""/>
    <s v="Non Technical Support"/>
    <s v=""/>
    <s v=""/>
    <s v=""/>
    <s v=""/>
    <s v="Hazira"/>
    <d v="1996-03-12T00:00:00"/>
    <s v="27.06"/>
    <d v="2023-05-29T00:00:00"/>
    <d v="2054-03-31T00:00:00"/>
    <m/>
    <d v="2054-03-31T00:00:00"/>
    <n v="11150"/>
    <s v="B+"/>
    <s v="MBA-2023 , BE-2017 , Intermediate-2013"/>
    <s v="02.03"/>
    <s v="00.03"/>
    <s v="02.06"/>
    <s v="70282830"/>
    <s v="Capex Procurement &amp; Secondary Sales"/>
    <s v="302236"/>
    <s v="Management Trainee - Procurement"/>
    <s v="Hazira"/>
    <s v="0031950059"/>
    <s v="HZ-Hazira Project"/>
    <s v="2000HWO"/>
    <s v="20052261"/>
    <s v="Aruni Mishra"/>
    <s v="No"/>
    <s v="saurabh.ingavale@amns.in"/>
    <s v="6358079760"/>
    <s v="892333"/>
    <s v="Dhruv Vyas"/>
    <s v="Anil Matoo"/>
    <s v="Praveen Kuruvalli"/>
    <s v="Dhruv Vyas"/>
    <n v="0"/>
  </r>
  <r>
    <n v="7122"/>
    <n v="20059465"/>
    <s v="Parvathy B"/>
    <s v="AM/NS India"/>
    <s v="Onroll"/>
    <s v="T-2 (MT)"/>
    <n v="13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Operations"/>
    <s v="Operations"/>
    <s v="72103001"/>
    <s v="Operations"/>
    <s v="Mumbai"/>
    <d v="1998-01-14T00:00:00"/>
    <s v="25.08"/>
    <d v="2023-05-29T00:00:00"/>
    <d v="2056-01-31T00:00:00"/>
    <m/>
    <d v="2056-01-31T00:00:00"/>
    <n v="11821"/>
    <s v="O+"/>
    <s v=""/>
    <s v=""/>
    <s v="00.03"/>
    <s v="00.03"/>
    <s v="70343195"/>
    <s v="Automotive Sales &amp; Service Centers"/>
    <s v="300900"/>
    <s v="Management Trainee - Sales &amp; Marketing"/>
    <s v="Corporate"/>
    <s v="0031950057"/>
    <s v="HZ-HRC - Marketing"/>
    <s v="2000CS"/>
    <s v="20016767"/>
    <s v="Raghavan Venkatachalam"/>
    <s v="No"/>
    <s v="parvarthy.b@amns.in"/>
    <s v="8289972238"/>
    <s v="1053567"/>
    <s v="Dhruv Vyas"/>
    <s v="Anil Matoo"/>
    <s v="Praveen Kuruvalli"/>
    <s v="Dhruv Vyas"/>
    <n v="0"/>
  </r>
  <r>
    <n v="7123"/>
    <n v="20059466"/>
    <s v="Sridharan S"/>
    <s v="AM/NS India"/>
    <s v="Onroll"/>
    <s v="T-2 (MT)"/>
    <n v="13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Sales &amp; Marketing"/>
    <s v="Sales &amp; Marketing"/>
    <s v="73101001"/>
    <s v="Sales &amp; Marketing"/>
    <s v="Chennai"/>
    <d v="2001-03-29T00:00:00"/>
    <s v="22.05"/>
    <d v="2023-05-29T00:00:00"/>
    <d v="2059-03-31T00:00:00"/>
    <m/>
    <d v="2059-03-31T00:00:00"/>
    <n v="12976"/>
    <s v="A+"/>
    <s v=""/>
    <s v=""/>
    <s v="00.03"/>
    <s v="00.03"/>
    <s v="72150150"/>
    <s v="Sales South Zone"/>
    <s v="301589"/>
    <s v="Management Trainee - Sales &amp; Marketing"/>
    <s v="Service Center"/>
    <s v="0031950057"/>
    <s v="HZ-HRC - Marketing"/>
    <s v="2000CS"/>
    <s v="20000909"/>
    <s v="Murali Krishna Chunduru"/>
    <s v="No"/>
    <s v="sridharan.s@amns.in"/>
    <s v="7092675620"/>
    <s v="1053580"/>
    <s v="Dhruv Vyas"/>
    <s v="Anil Matoo"/>
    <s v="Praveen Kuruvalli"/>
    <s v="Dhruv Vyas"/>
    <n v="0"/>
  </r>
  <r>
    <n v="7124"/>
    <n v="20059467"/>
    <s v="Akshay Kumar P D"/>
    <s v="AM/NS India"/>
    <s v="Onroll"/>
    <s v="T-2 (MT)"/>
    <n v="13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"/>
    <s v=""/>
    <s v=""/>
    <s v=""/>
    <s v="Mumbai"/>
    <d v="1996-05-24T00:00:00"/>
    <s v="27.03"/>
    <d v="2023-05-29T00:00:00"/>
    <d v="2054-05-31T00:00:00"/>
    <m/>
    <d v="2054-05-31T00:00:00"/>
    <n v="11211"/>
    <s v="B+"/>
    <s v=""/>
    <s v=""/>
    <s v="00.03"/>
    <s v="00.03"/>
    <s v="70494655"/>
    <s v="Sales Steering, Distribution and BD"/>
    <s v="302221"/>
    <s v="Management Trainee - Sales &amp; Marketing"/>
    <s v="Corporate"/>
    <s v="0080000005"/>
    <s v="Global Markets Team"/>
    <s v="2000CS"/>
    <s v="20055091"/>
    <s v="Akshaya Gujral"/>
    <s v="No"/>
    <s v="akshay.kumar1@amns.in"/>
    <s v="7710001719"/>
    <s v="1053610"/>
    <s v="Dhruv Vyas"/>
    <s v="Anil Matoo"/>
    <s v="Praveen Kuruvalli"/>
    <s v="Dhruv Vyas"/>
    <n v="0"/>
  </r>
  <r>
    <n v="7125"/>
    <n v="20059468"/>
    <s v="Abhay Hoshing"/>
    <s v="AM/NS India"/>
    <s v="Onroll"/>
    <s v="T-2 (MT)"/>
    <n v="13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Management Trainee - Finance"/>
    <m/>
    <s v="Finance &amp; Accounts"/>
    <s v="Working Capital"/>
    <s v=""/>
    <s v="Non Technical Support"/>
    <s v="Sales &amp; Marketing"/>
    <s v="Business Development"/>
    <s v="73103001"/>
    <s v="Business Development"/>
    <s v="Mumbai"/>
    <d v="1994-06-29T00:00:00"/>
    <s v="29.02"/>
    <d v="2023-05-29T00:00:00"/>
    <d v="2052-06-30T00:00:00"/>
    <m/>
    <d v="2052-06-30T00:00:00"/>
    <n v="10511"/>
    <s v="B+"/>
    <s v=""/>
    <s v=""/>
    <s v="00.03"/>
    <s v="00.03"/>
    <s v="70494931"/>
    <s v="Working Capital"/>
    <s v="301672"/>
    <s v="Management Trainee - Finance"/>
    <s v="Corporate"/>
    <s v="0090000028"/>
    <s v="Corporate Steel - Wo"/>
    <s v="2000HWO"/>
    <s v="20055188"/>
    <s v="Rohit Sharma"/>
    <s v="No"/>
    <s v="abhay.hoshing@amns.in"/>
    <s v="7708262619"/>
    <s v="1053612"/>
    <s v="Dhruv Vyas"/>
    <s v="Anil Matoo"/>
    <s v="Praveen Kuruvalli"/>
    <s v="Dhruv Vyas"/>
    <n v="0"/>
  </r>
  <r>
    <n v="7126"/>
    <n v="20059469"/>
    <s v="Jayant Dev Goel"/>
    <s v="AM/NS India"/>
    <s v="Onroll"/>
    <s v="T-2 (MT)"/>
    <n v="13"/>
    <m/>
    <s v="JM"/>
    <s v="M"/>
    <s v="Corporate"/>
    <n v="7"/>
    <s v="2069"/>
    <x v="8"/>
    <s v="25.01"/>
    <s v="Bibek Chattopadhyay"/>
    <s v="Ashutosh Telang"/>
    <n v="6"/>
    <s v="HR &amp; Administration"/>
    <s v="Corporate Communications"/>
    <s v="25"/>
    <s v="MT - Corporate Communication"/>
    <m/>
    <s v="Corporate Communicat"/>
    <s v=""/>
    <s v=""/>
    <s v="Non Technical Support"/>
    <s v="Corporate Communication"/>
    <s v="Corporate Communication"/>
    <s v="74001001"/>
    <s v="Corporate Communication"/>
    <s v="Mumbai"/>
    <d v="1999-08-24T00:00:00"/>
    <s v="24.00"/>
    <d v="2023-05-29T00:00:00"/>
    <d v="2057-08-31T00:00:00"/>
    <m/>
    <d v="2057-08-31T00:00:00"/>
    <n v="12399"/>
    <s v="O+"/>
    <s v=""/>
    <s v=""/>
    <s v="00.03"/>
    <s v="00.03"/>
    <s v="70318583"/>
    <s v="Communications &amp; Media Relations"/>
    <s v="301670"/>
    <s v="Management Trainee-Corpo. Communication"/>
    <s v="Corporate"/>
    <s v="0090000016"/>
    <s v="Corporate Steel - Co"/>
    <s v="2000CS"/>
    <s v="20055187"/>
    <s v="Bibek Chattopadhyay"/>
    <s v="No"/>
    <s v="jayant.goel@amns.in"/>
    <s v="9501020285"/>
    <s v="1053615"/>
    <s v="Dhruv Vyas"/>
    <s v="Anil Matoo"/>
    <s v="Praveen Kuruvalli"/>
    <s v="Dhruv Vyas"/>
    <n v="0"/>
  </r>
  <r>
    <n v="7127"/>
    <n v="20059470"/>
    <s v="Akhil Sharma"/>
    <s v="AM/NS India"/>
    <s v="Onroll"/>
    <s v="T-2 (MT)"/>
    <n v="13"/>
    <m/>
    <s v="JM"/>
    <s v="M"/>
    <s v="Corporate"/>
    <n v="7"/>
    <s v="2043"/>
    <x v="3"/>
    <s v="31.01"/>
    <s v="Hrishikesh Kamat"/>
    <s v="Hrishikesh Kamat"/>
    <n v="7"/>
    <s v="Procurement"/>
    <s v="Procurement"/>
    <s v="31"/>
    <s v="Management Trainee - Procurement"/>
    <m/>
    <s v="Procurement"/>
    <s v=""/>
    <s v=""/>
    <s v="Non Technical Support"/>
    <s v="Sales &amp; Marketing"/>
    <s v="Business Development"/>
    <s v="73103001"/>
    <s v="Business Development"/>
    <s v="Mumbai"/>
    <d v="1997-10-11T00:00:00"/>
    <s v="25.11"/>
    <d v="2023-05-29T00:00:00"/>
    <d v="2055-10-31T00:00:00"/>
    <m/>
    <d v="2055-10-31T00:00:00"/>
    <n v="11729"/>
    <s v="A-"/>
    <s v=""/>
    <s v=""/>
    <s v="00.03"/>
    <s v="00.03"/>
    <s v="70494637"/>
    <s v="Procurement"/>
    <s v="301671"/>
    <s v="Management Trainee - Procurement"/>
    <s v="Corporate"/>
    <s v="0031950048"/>
    <s v="HZ-Procurment Depart"/>
    <s v="2000CRG"/>
    <s v="20055090"/>
    <s v="Hrishikesh Kamat"/>
    <s v="No"/>
    <s v="akhil.sharma@amns.in"/>
    <s v="9040861106"/>
    <s v="1053617"/>
    <s v="Dhruv Vyas"/>
    <s v="Anil Matoo"/>
    <s v="Praveen Kuruvalli"/>
    <s v="Dhruv Vyas"/>
    <n v="0"/>
  </r>
  <r>
    <n v="7128"/>
    <n v="20059471"/>
    <s v="Srinadhu Bhimesh Kumar"/>
    <s v="AM/NS India"/>
    <s v="Onroll"/>
    <s v="T-2 (MT)"/>
    <n v="13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"/>
    <s v=""/>
    <s v=""/>
    <s v=""/>
    <s v="Mumbai"/>
    <d v="1995-12-29T00:00:00"/>
    <s v="27.08"/>
    <d v="2023-05-29T00:00:00"/>
    <d v="2053-12-31T00:00:00"/>
    <m/>
    <d v="2053-12-31T00:00:00"/>
    <n v="11060"/>
    <s v="O+"/>
    <s v=""/>
    <s v=""/>
    <s v="00.03"/>
    <s v="00.03"/>
    <s v="00052527"/>
    <s v="Sales &amp; Marketing"/>
    <s v="302222"/>
    <s v="Management Trainee - Sales &amp; Marketing"/>
    <s v="Corporate"/>
    <s v="0031950048"/>
    <s v="HZ-Procurment Depart"/>
    <s v="2000CRG"/>
    <s v="20058930"/>
    <s v="Robin Kurien"/>
    <s v="No"/>
    <s v="srinadhu.kumar@amns.in"/>
    <s v="9701686749"/>
    <s v="1053619"/>
    <s v="Dhruv Vyas"/>
    <s v="Anil Matoo"/>
    <s v="Praveen Kuruvalli"/>
    <s v="Dhruv Vyas"/>
    <n v="0"/>
  </r>
  <r>
    <n v="7129"/>
    <n v="20059472"/>
    <s v="Muskaan Garg"/>
    <s v="AM/NS India"/>
    <s v="Onroll"/>
    <s v="T-2 (MT)"/>
    <n v="13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Mechanical"/>
    <s v="LSAW"/>
    <s v="Non Technical Support"/>
    <s v=""/>
    <s v=""/>
    <s v=""/>
    <s v=""/>
    <s v="Mumbai"/>
    <d v="2000-04-10T00:00:00"/>
    <s v="23.05"/>
    <d v="2023-05-29T00:00:00"/>
    <d v="2058-04-30T00:00:00"/>
    <m/>
    <d v="2058-04-30T00:00:00"/>
    <n v="12641"/>
    <s v="A+"/>
    <s v="MBA-2023 , BSc-2021 , BSc-2021 , Interme"/>
    <s v=""/>
    <s v="00.03"/>
    <s v="00.03"/>
    <s v="00051380"/>
    <s v="Sales &amp; Marketing"/>
    <s v="311297"/>
    <s v="Management Trainee - Sales &amp; Marketing"/>
    <s v="Corporate"/>
    <s v="0031591619"/>
    <s v="PM-Common Cost"/>
    <s v="2000CS"/>
    <s v="20058920"/>
    <s v="Atul Singh"/>
    <s v="No"/>
    <s v="muskaan.garg@amns.in"/>
    <s v="8826488454"/>
    <s v="892309"/>
    <s v="Dhruv Vyas"/>
    <s v="Anil Matoo"/>
    <s v="Praveen Kuruvalli"/>
    <s v="Dhruv Vyas"/>
    <n v="0"/>
  </r>
  <r>
    <n v="7130"/>
    <n v="20059473"/>
    <s v="S Srinivash Patro"/>
    <s v="AM/NS India"/>
    <s v="Onroll"/>
    <s v="M-7"/>
    <n v="7"/>
    <m/>
    <s v="MM"/>
    <s v="M"/>
    <s v="Odisha"/>
    <n v="2"/>
    <s v="2099"/>
    <x v="19"/>
    <s v="02.01"/>
    <s v="Raghavan Aravamudhan"/>
    <s v="Dilip Oommen"/>
    <n v="1"/>
    <s v="CEO Office"/>
    <s v="Business Strategy"/>
    <s v="02"/>
    <s v="Lead PMO Analyst"/>
    <m/>
    <s v="Business Strategy"/>
    <s v="Business Strategy"/>
    <s v="Business Strategy"/>
    <s v="Non Technical Support"/>
    <s v="Operations"/>
    <s v="Operations"/>
    <s v="72103001"/>
    <s v="Operations"/>
    <s v="Bhubaneswar"/>
    <d v="1989-01-26T00:00:00"/>
    <s v="34.07"/>
    <d v="2023-05-29T00:00:00"/>
    <d v="2047-01-31T00:00:00"/>
    <m/>
    <d v="2047-01-31T00:00:00"/>
    <n v="8534"/>
    <s v="O+"/>
    <s v="PG Diploma-2016 , BTech-2011 , Intermedi"/>
    <s v="01.04"/>
    <s v="00.03"/>
    <s v="01.07"/>
    <s v="00046538"/>
    <s v="Project Monitoring"/>
    <s v="311446"/>
    <s v="Lead PMO Analyst"/>
    <s v="Odisha"/>
    <s v="0090000022"/>
    <s v="Business Strategy"/>
    <s v="2000STORIS"/>
    <s v="20049281"/>
    <s v="Raveena Dhoot"/>
    <s v="No"/>
    <s v="srinivash.patro@amns.in"/>
    <s v="9019236907"/>
    <s v="1053956"/>
    <s v="Sunila Das"/>
    <s v="Anil Matoo"/>
    <s v="Praveen Kuruvalli"/>
    <s v="Sunila Das"/>
    <n v="0"/>
  </r>
  <r>
    <n v="7133"/>
    <n v="20059476"/>
    <s v="Jayesh Jhawar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Corporate Accounts"/>
    <m/>
    <s v="Finance &amp; Accounts"/>
    <s v=""/>
    <s v=""/>
    <s v="Non Technical Support"/>
    <s v=""/>
    <s v=""/>
    <s v=""/>
    <s v=""/>
    <s v="Hazira"/>
    <d v="2000-03-29T00:00:00"/>
    <s v="23.05"/>
    <d v="2023-06-12T00:00:00"/>
    <d v="2058-03-31T00:00:00"/>
    <m/>
    <d v="2058-03-31T00:00:00"/>
    <n v="12611"/>
    <s v="A+"/>
    <s v="BCom-2021 , Intermediate-2016"/>
    <s v="00.08"/>
    <s v="00.03"/>
    <s v="00.11"/>
    <s v="70495666"/>
    <s v="Corporate Asset Management"/>
    <s v="70495599"/>
    <s v="Officer - Corporate Accounts"/>
    <s v="Hazira"/>
    <s v="0090000027"/>
    <s v="Corporate Steel - Ac"/>
    <s v="2000HWO"/>
    <s v="20045482"/>
    <s v="Sandeep Soni"/>
    <s v="No"/>
    <s v="jayesh.jhawar@amns.in"/>
    <s v="8320434531"/>
    <s v="1054010"/>
    <s v="Dhruv Vyas"/>
    <s v="Anil Matoo"/>
    <s v="Praveen Kuruvalli"/>
    <s v="Dhruv Vyas"/>
    <n v="0"/>
  </r>
  <r>
    <n v="7134"/>
    <n v="20059477"/>
    <s v="Jasmin Karena"/>
    <s v="AM/NS India"/>
    <s v="Onroll"/>
    <s v="M-8"/>
    <n v="8"/>
    <m/>
    <s v="JM"/>
    <s v="M"/>
    <s v="Hazira"/>
    <n v="1"/>
    <s v="2270"/>
    <x v="25"/>
    <s v="38.01"/>
    <s v="Hrishikesh Kamat"/>
    <s v="Hrishikesh Kamat"/>
    <n v="7"/>
    <s v="Procurement"/>
    <s v="Logistics"/>
    <s v="38"/>
    <s v="Lead – Logistics (Air Shipment)"/>
    <m/>
    <s v="Logistics – Commercial"/>
    <s v=""/>
    <s v=""/>
    <s v="Non Technical Support"/>
    <s v=""/>
    <s v=""/>
    <s v=""/>
    <s v=""/>
    <s v="Hazira"/>
    <d v="1989-02-05T00:00:00"/>
    <s v="34.07"/>
    <d v="2023-06-15T00:00:00"/>
    <d v="2047-02-28T00:00:00"/>
    <m/>
    <d v="2047-02-28T00:00:00"/>
    <n v="8562"/>
    <s v="O+"/>
    <s v="MBA-2013 , Intermediate-2007"/>
    <s v="07.03"/>
    <s v="00.03"/>
    <s v="07.06"/>
    <s v="70495712"/>
    <s v="Logistics"/>
    <s v="305370"/>
    <s v="Lead – Logistics (Air Shipment)"/>
    <s v="Hazira"/>
    <s v="0031950053"/>
    <s v="HZ-Logistics"/>
    <s v="2000HWO"/>
    <s v="20055688"/>
    <s v="Vibhavana Jaiswal"/>
    <s v="No"/>
    <s v="jasmin.karena@amns.in"/>
    <s v="9428894746"/>
    <s v="1054768"/>
    <s v="Dhruv Vyas"/>
    <s v="Anil Matoo"/>
    <s v="Praveen Kuruvalli"/>
    <s v="Dhruv Vyas"/>
    <n v="0"/>
  </r>
  <r>
    <n v="7135"/>
    <n v="20059478"/>
    <s v="Medha Kumari"/>
    <s v="AM/NS India"/>
    <s v="Onroll"/>
    <s v="M-9"/>
    <n v="9"/>
    <m/>
    <s v="JM"/>
    <s v="F"/>
    <s v="Corporate"/>
    <n v="7"/>
    <s v="2069"/>
    <x v="8"/>
    <s v="25.01"/>
    <s v="Bibek Chattopadhyay"/>
    <s v="Ashutosh Telang"/>
    <n v="6"/>
    <s v="HR &amp; Administration"/>
    <s v="Corporate Communications"/>
    <s v="25"/>
    <s v="Officer - Corporate Communication"/>
    <m/>
    <s v="Corporate Communicat"/>
    <s v=""/>
    <s v=""/>
    <s v="Non Technical Support"/>
    <s v="Corporate Communication"/>
    <s v="Corporate Communication"/>
    <s v="74001001"/>
    <s v="Corporate Communication"/>
    <s v="Mumbai"/>
    <d v="1999-10-02T00:00:00"/>
    <s v="23.11"/>
    <d v="2023-06-12T00:00:00"/>
    <d v="2057-10-31T00:00:00"/>
    <m/>
    <d v="2057-10-31T00:00:00"/>
    <n v="12460"/>
    <s v="O+"/>
    <s v="BCom-2019"/>
    <s v=""/>
    <s v="00.03"/>
    <s v="00.03"/>
    <s v="70318583"/>
    <s v="Communications &amp; Media Relations"/>
    <s v="272985"/>
    <s v="Officer - Corporate Communication"/>
    <s v="Corporate"/>
    <s v="0090000016"/>
    <s v="Corporate Steel - Co"/>
    <s v="2000CRG"/>
    <s v="20055187"/>
    <s v="Bibek Chattopadhyay"/>
    <s v="No"/>
    <s v="medha.kumari@amns.in"/>
    <s v="9523705964"/>
    <s v="1054913"/>
    <s v="Dhruv Vyas"/>
    <s v="Anil Matoo"/>
    <s v="Praveen Kuruvalli"/>
    <s v="Dhruv Vyas"/>
    <n v="0"/>
  </r>
  <r>
    <n v="7146"/>
    <n v="20059489"/>
    <s v="Aayushi Jain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Finance &amp; Accounts"/>
    <m/>
    <s v="Finance &amp; Accounts"/>
    <s v="Service Centers"/>
    <s v=""/>
    <s v="Non Technical Support"/>
    <s v="Projects"/>
    <s v="Projects Coordination"/>
    <s v="72103038"/>
    <s v="Projects Coordination"/>
    <s v="Hazira"/>
    <d v="1999-01-27T00:00:00"/>
    <s v="24.07"/>
    <d v="2023-06-19T00:00:00"/>
    <d v="2057-01-31T00:00:00"/>
    <m/>
    <d v="2057-01-31T00:00:00"/>
    <n v="12187"/>
    <s v="A+"/>
    <s v="BCom-2020 , CA Final-2023 , Intermediate"/>
    <s v=""/>
    <s v="00.03"/>
    <s v="00.03"/>
    <s v="70495565"/>
    <s v="F&amp;A Hypermart &amp; Service Centre"/>
    <s v="272364"/>
    <s v="Officer - Finance &amp; Accounts"/>
    <s v="Hazira"/>
    <s v="0040000000"/>
    <s v="SC - Common"/>
    <s v="2000HWO"/>
    <s v="20055504"/>
    <s v="Vivek Choudhary"/>
    <s v="No"/>
    <s v="aayushi.jain@amns.in"/>
    <s v="8302957922"/>
    <s v="1055538"/>
    <s v="Dhruv Vyas"/>
    <s v="Anil Matoo"/>
    <s v="Praveen Kuruvalli"/>
    <s v="Dhruv Vyas"/>
    <n v="0"/>
  </r>
  <r>
    <n v="7147"/>
    <n v="20059490"/>
    <s v="Saurabh Nalway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Pipe Sales"/>
    <m/>
    <s v="Sales &amp; Marketing"/>
    <s v=""/>
    <s v=""/>
    <s v="Non Technical Support"/>
    <s v="Sales &amp; Marketing"/>
    <s v="Sales &amp; Marketing"/>
    <s v="73101001"/>
    <s v="Sales &amp; Marketing"/>
    <s v="Delhi"/>
    <d v="1982-08-04T00:00:00"/>
    <s v="41.01"/>
    <d v="2023-06-19T00:00:00"/>
    <d v="2040-08-31T00:00:00"/>
    <m/>
    <d v="2040-08-31T00:00:00"/>
    <n v="6190"/>
    <s v=""/>
    <s v="BTech-2005 , Intermediate-2000"/>
    <s v="15.00"/>
    <s v="00.03"/>
    <s v="15.02"/>
    <s v="70387159"/>
    <s v="Pipe Sales"/>
    <s v="312029"/>
    <s v="KAM - Pipe Sales"/>
    <s v="Hazira"/>
    <s v="0031591982"/>
    <s v="PM-Marketing"/>
    <s v="2000HWO"/>
    <s v="20007414"/>
    <s v="Gaurav Sharma"/>
    <s v="No"/>
    <s v="saurabh.nalwaya@amns.in"/>
    <s v="9999914262"/>
    <s v="889972"/>
    <s v="Dhruv Vyas"/>
    <s v="Anil Matoo"/>
    <s v="Praveen Kuruvalli"/>
    <s v="Dhruv Vyas"/>
    <n v="0"/>
  </r>
  <r>
    <n v="7150"/>
    <n v="20059493"/>
    <s v="Jaiyamin Vaghasiya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"/>
    <s v=""/>
    <s v=""/>
    <s v="Non Technical Support"/>
    <s v="Sales &amp; Marketing"/>
    <s v="Sales &amp; Marketing"/>
    <s v="73101001"/>
    <s v="Sales &amp; Marketing"/>
    <s v="Hazira"/>
    <d v="2001-07-07T00:00:00"/>
    <s v="22.02"/>
    <d v="2023-06-14T00:00:00"/>
    <d v="2059-07-31T00:00:00"/>
    <m/>
    <d v="2059-07-31T00:00:00"/>
    <n v="13098"/>
    <s v=""/>
    <s v=""/>
    <s v=""/>
    <s v="00.03"/>
    <s v="00.03"/>
    <s v="00049515"/>
    <s v="Capex Procurement"/>
    <s v="301541"/>
    <s v="Engineer"/>
    <s v="Hazira"/>
    <s v="0031490019"/>
    <s v="CRM- ADMIN/HR/OTHER"/>
    <s v="2043HAZI"/>
    <s v="20054320"/>
    <s v="Sanjaykumar Kanani"/>
    <s v="No"/>
    <s v="jaiyamin.vaghasiya@amns.in"/>
    <s v="9909902199"/>
    <s v="26542"/>
    <s v="Dhruv Vyas"/>
    <s v="Anil Matoo"/>
    <s v="Praveen Kuruvalli"/>
    <s v="Dhruv Vyas"/>
    <n v="0"/>
  </r>
  <r>
    <n v="7205"/>
    <n v="20059548"/>
    <s v="Jayanti Chhajer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m/>
    <m/>
    <s v="Non Technical Support"/>
    <s v="Operations"/>
    <s v="Operations"/>
    <s v="72103001"/>
    <s v="Operations"/>
    <s v="Khopoli"/>
    <d v="1991-03-28T00:00:00"/>
    <s v="32.05"/>
    <d v="2023-06-23T00:00:00"/>
    <d v="2051-03-31T00:00:00"/>
    <m/>
    <d v="2051-03-31T00:00:00"/>
    <n v="10054"/>
    <s v="O+"/>
    <s v="CS-2014 , BCom-2012"/>
    <s v="02.05"/>
    <s v="00.02"/>
    <s v="02.07"/>
    <s v="00051333"/>
    <s v="Corporate Accounts &amp; Global Reporting"/>
    <s v="305127"/>
    <s v="New Acquisition"/>
    <s v="Khopoli staff"/>
    <s v="0031000019"/>
    <s v="HZ-MH-ADMN/HR/COM"/>
    <s v="1121KHOP"/>
    <s v="20058804"/>
    <s v="Roy Jose"/>
    <s v="No"/>
    <s v="jayanti.chhajer@amns.in"/>
    <s v="9829145666"/>
    <s v="1057138"/>
    <s v="Pritam Debbarma"/>
    <s v="Anil Matoo"/>
    <s v="-"/>
    <s v="Manjit Shah"/>
    <s v="-"/>
  </r>
  <r>
    <n v="7215"/>
    <n v="20059558"/>
    <s v="Soumya Nayak"/>
    <s v="AM/NS India"/>
    <s v="Onroll"/>
    <s v="M-8"/>
    <n v="8"/>
    <m/>
    <s v="JM"/>
    <s v="M"/>
    <s v="Odisha"/>
    <n v="2"/>
    <s v="2094"/>
    <x v="21"/>
    <s v="27.10"/>
    <s v="Vikas Chandra Yadvendu"/>
    <s v="Ashutosh Telang"/>
    <n v="6"/>
    <s v="HR &amp; Administration"/>
    <s v="Corporate SocialResponsibility"/>
    <s v="27"/>
    <s v="Lead CSR - Program"/>
    <m/>
    <s v="Corporate Social Responsibility"/>
    <s v="CSR"/>
    <s v="CSR"/>
    <s v="Non Technical Support"/>
    <s v="Corporate Social Responsibility"/>
    <s v="Corporate Social Responsibility"/>
    <s v="75001001"/>
    <s v="Corporate Social Responsi"/>
    <s v="Bhubaneswar"/>
    <d v="1988-03-26T00:00:00"/>
    <s v="35.05"/>
    <d v="2023-06-19T00:00:00"/>
    <d v="2046-03-31T00:00:00"/>
    <m/>
    <d v="2046-03-31T00:00:00"/>
    <n v="8228"/>
    <s v="B+"/>
    <s v="MBA-2017 , BTech-2010"/>
    <s v="04.02"/>
    <s v="00.03"/>
    <s v="04.04"/>
    <s v="70495661"/>
    <s v="Corporate Social Responsibility"/>
    <s v="285719"/>
    <s v="Lead CSR - Program"/>
    <s v="Odisha"/>
    <s v="0022030019"/>
    <s v="PDP-HR &amp; Admn"/>
    <s v="2000STORIS"/>
    <s v="20055033"/>
    <s v="Vikas Chandra Yadvendu"/>
    <s v="No"/>
    <s v="soumya.nayak@amns.in"/>
    <s v="7735891299"/>
    <s v="1057477"/>
    <s v="Sunila Das"/>
    <s v="Anil Matoo"/>
    <s v="Praveen Kuruvalli"/>
    <s v="Sunila Das"/>
    <n v="0"/>
  </r>
  <r>
    <n v="7218"/>
    <n v="20059561"/>
    <s v="Bhavdip Jathal"/>
    <s v="AM/NS India"/>
    <s v="Onroll"/>
    <s v="M-5"/>
    <n v="5"/>
    <m/>
    <s v="MM"/>
    <s v="M"/>
    <s v="Hazira"/>
    <n v="1"/>
    <s v="2039"/>
    <x v="12"/>
    <s v="43.01"/>
    <s v="Sangeeta Munjal"/>
    <s v="Manu Kapoor"/>
    <n v="10"/>
    <s v="Corporate Affairs"/>
    <s v="Corporate Affairs"/>
    <s v="43"/>
    <s v="Head - Land Acquisition"/>
    <m/>
    <s v="Land Acquisition"/>
    <m/>
    <m/>
    <s v="Non Technical Support"/>
    <s v="Commercial"/>
    <s v="Contracts &amp; Tenders and E-bid"/>
    <s v="73805001"/>
    <s v="Contracts &amp; Tenders and E"/>
    <s v="Hazira"/>
    <d v="1966-05-08T00:00:00"/>
    <s v="57.04"/>
    <d v="2023-06-29T00:00:00"/>
    <d v="2024-05-31T00:00:00"/>
    <m/>
    <d v="2024-05-31T00:00:00"/>
    <n v="254"/>
    <s v="B+"/>
    <s v="LLB-1993 , BCom-1987"/>
    <s v="14.11"/>
    <s v="00.02"/>
    <s v="15.01"/>
    <s v="70495436"/>
    <s v="Land Property"/>
    <s v="70411520"/>
    <s v="Head - Land Acquisition"/>
    <s v="Hazira"/>
    <s v="0090000021"/>
    <s v="Corporate Affairs"/>
    <s v="2000HWO"/>
    <s v="20057928"/>
    <s v="Manu Kapoor"/>
    <s v="No"/>
    <s v="bhavdip.jathal@amns.in"/>
    <s v="9898507111"/>
    <s v="1057909"/>
    <s v="Dhruv Vyas"/>
    <s v="Anil Matoo"/>
    <s v="Praveen Kuruvalli"/>
    <s v="Dhruv Vyas"/>
    <n v="0"/>
  </r>
  <r>
    <n v="7220"/>
    <n v="20059564"/>
    <s v="Dilipkumar Purohit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Indirect Tax"/>
    <m/>
    <s v="Finance &amp; Accounts"/>
    <m/>
    <m/>
    <s v="Non Technical Support"/>
    <s v="Finance &amp; Accounts"/>
    <s v="Taxation"/>
    <s v="73904002"/>
    <s v="Indirect Taxation"/>
    <s v="Hazira"/>
    <d v="1989-06-01T00:00:00"/>
    <s v="34.03"/>
    <d v="2023-07-03T00:00:00"/>
    <d v="2047-05-31T00:00:00"/>
    <m/>
    <d v="2047-05-31T00:00:00"/>
    <n v="8654"/>
    <s v="O-"/>
    <s v="MBA-2018"/>
    <s v="00.05"/>
    <s v="00.02"/>
    <s v="00.07"/>
    <s v="70282653"/>
    <s v="GST"/>
    <s v="300856"/>
    <s v="Lead - Indirect Tax"/>
    <s v="Hazira"/>
    <s v="0090000033"/>
    <s v="Corporate Taxation"/>
    <s v="2000HWO"/>
    <s v="20057927"/>
    <s v="Surbhi Kothari"/>
    <s v="No"/>
    <s v="dilip.purohit@amns.in"/>
    <s v="9909748243"/>
    <s v="1058014"/>
    <s v="Dhruv Vyas"/>
    <s v="Anil Matoo"/>
    <s v="Praveen Kuruvalli"/>
    <s v="Dhruv Vyas"/>
    <n v="0"/>
  </r>
  <r>
    <n v="7221"/>
    <n v="20059565"/>
    <s v="Hasan Bilal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Auto Sales, South Region"/>
    <m/>
    <s v="Sales &amp; Marketing"/>
    <m/>
    <m/>
    <s v="Non Technical Support"/>
    <s v="Sales &amp; Marketing"/>
    <s v="Sales"/>
    <s v="73104001"/>
    <s v="Sales"/>
    <s v="Hyderabad"/>
    <d v="1974-08-24T00:00:00"/>
    <s v="49.00"/>
    <d v="2023-07-03T00:00:00"/>
    <d v="2032-08-31T00:00:00"/>
    <m/>
    <d v="2032-08-31T00:00:00"/>
    <n v="3268"/>
    <s v="B+"/>
    <s v="MBA-2004 , BTech-1997"/>
    <s v="16.01"/>
    <s v="00.02"/>
    <s v="16.03"/>
    <s v="70343195"/>
    <s v="Automotive Sales &amp; Service Centers"/>
    <s v="70449086"/>
    <s v="KAM Auto Sales, South Region"/>
    <s v="Hazira"/>
    <s v="0031950057"/>
    <s v="HZ-HRC - Marketing"/>
    <s v="2000HWO"/>
    <s v="20016767"/>
    <s v="Raghavan Venkatachalam"/>
    <s v="No"/>
    <s v="hasan.bilal@amns.in"/>
    <s v="9884812740"/>
    <s v="468525"/>
    <s v="Dhruv Vyas"/>
    <s v="Anil Matoo"/>
    <s v="Praveen Kuruvalli"/>
    <s v="Dhruv Vyas"/>
    <n v="0"/>
  </r>
  <r>
    <n v="7222"/>
    <n v="20059566"/>
    <s v="Jigar Upadhyay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Officer - Stores &amp; Warehouse"/>
    <m/>
    <s v="Stores &amp; Warehouse"/>
    <s v="Stores &amp; Warehouse"/>
    <m/>
    <s v="Non Technical Support"/>
    <s v="Commercial"/>
    <s v="Stores &amp; Warehouse"/>
    <s v="73806001"/>
    <s v="Stores &amp; Warehouse"/>
    <s v="Hazira"/>
    <d v="1988-02-17T00:00:00"/>
    <s v="35.07"/>
    <d v="2023-07-03T00:00:00"/>
    <d v="2046-02-28T00:00:00"/>
    <m/>
    <d v="2046-02-28T00:00:00"/>
    <n v="8197"/>
    <s v="AB+"/>
    <s v="PG Diploma-2011 , MCom-2010"/>
    <s v="10.11"/>
    <s v="00.02"/>
    <s v="11.01"/>
    <s v="00044541"/>
    <s v="HRC Store - Receipt"/>
    <s v="70372617"/>
    <s v="Officer - Stores &amp; Warehouse"/>
    <s v="Hazira"/>
    <s v="0031950049"/>
    <s v="HZ-Central Stores"/>
    <s v="2000HWO"/>
    <s v="20005047"/>
    <s v="Rajeev Jha"/>
    <s v="No"/>
    <s v="jigar.upadhyay@amns.in"/>
    <s v="6358080831"/>
    <s v="1058190"/>
    <s v="Dhruv Vyas"/>
    <s v="Anil Matoo"/>
    <s v="Praveen Kuruvalli"/>
    <s v="Dhruv Vyas"/>
    <n v="0"/>
  </r>
  <r>
    <n v="7223"/>
    <n v="20059567"/>
    <s v="Khanjan Gajiwala"/>
    <s v="AM/NS India"/>
    <s v="Onroll"/>
    <s v="M-9"/>
    <n v="9"/>
    <m/>
    <s v="J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– Automotive Sales"/>
    <m/>
    <s v="Sales &amp; Marketing"/>
    <m/>
    <m/>
    <s v="Non Technical Support"/>
    <s v=""/>
    <s v=""/>
    <s v=""/>
    <s v=""/>
    <s v="Ahmedabad"/>
    <d v="1999-01-19T00:00:00"/>
    <s v="24.08"/>
    <d v="2023-07-06T00:00:00"/>
    <d v="2057-01-31T00:00:00"/>
    <m/>
    <d v="2057-01-31T00:00:00"/>
    <n v="12187"/>
    <s v="B+"/>
    <s v="MBA-2022 , BCom-2019"/>
    <s v="01.01"/>
    <s v="00.02"/>
    <s v="01.03"/>
    <s v="70265035"/>
    <s v="Value Recovery"/>
    <s v="305331"/>
    <s v="Sales Manager – Automotive Sales"/>
    <s v="Hazira"/>
    <s v="0060110300"/>
    <s v="HMART-Guj-Ahemedabad"/>
    <s v="2000HWO"/>
    <s v="20016382"/>
    <s v="Kunal Bhardwaj"/>
    <s v="No"/>
    <s v="khanjan.gajiwala@amns.in"/>
    <s v="7698432577"/>
    <s v="1058319"/>
    <s v="Dhruv Vyas"/>
    <s v="Anil Matoo"/>
    <s v="Praveen Kuruvalli"/>
    <s v="Dhruv Vyas"/>
    <n v="0"/>
  </r>
  <r>
    <n v="7224"/>
    <n v="20059568"/>
    <s v="Merubhai Odedara"/>
    <s v="AM/NS India"/>
    <s v="Onroll"/>
    <s v="M-8"/>
    <n v="8"/>
    <m/>
    <s v="JM"/>
    <s v="M"/>
    <s v="Hazira"/>
    <n v="1"/>
    <s v="2039"/>
    <x v="12"/>
    <s v="43.01"/>
    <s v="Sangeeta Munjal"/>
    <s v="Manu Kapoor"/>
    <n v="10"/>
    <s v="Corporate Affairs"/>
    <s v="Corporate Affairs"/>
    <s v="43"/>
    <s v="Land Records - Specialist"/>
    <m/>
    <s v="Land Acquisition"/>
    <m/>
    <m/>
    <s v="Non Technical Support"/>
    <s v="Corporate Relations"/>
    <s v="Corporate Affairs"/>
    <s v="74501001"/>
    <s v="Corporate Affairs"/>
    <s v="Hazira"/>
    <d v="1994-01-29T00:00:00"/>
    <s v="29.07"/>
    <d v="2023-07-05T00:00:00"/>
    <d v="2052-01-31T00:00:00"/>
    <m/>
    <d v="2052-01-31T00:00:00"/>
    <n v="10360"/>
    <s v="O+"/>
    <s v="Intermediate-2011 , Intermediate-2009"/>
    <s v="05.02"/>
    <s v="00.02"/>
    <s v="05.04"/>
    <s v="70494938"/>
    <s v="Corporate Affairs"/>
    <s v="313127"/>
    <s v="Land Records - Specialist"/>
    <s v="Hazira"/>
    <s v="0090000021"/>
    <s v="Corporate Affairs"/>
    <s v="2000HWO"/>
    <s v="20057928"/>
    <s v="Manu Kapoor"/>
    <s v="No"/>
    <s v="meru.odedara@amns.in"/>
    <s v="8511449696"/>
    <s v="1058326"/>
    <s v="Dhruv Vyas"/>
    <s v="Anil Matoo"/>
    <s v="Praveen Kuruvalli"/>
    <s v="Dhruv Vyas"/>
    <n v="0"/>
  </r>
  <r>
    <n v="7240"/>
    <n v="20059584"/>
    <s v="Kanupriya Jain"/>
    <s v="AM/NS India"/>
    <s v="Onroll"/>
    <s v="M-7"/>
    <n v="7"/>
    <m/>
    <s v="MM"/>
    <s v="F"/>
    <s v="Corporate"/>
    <n v="7"/>
    <s v="2015"/>
    <x v="1"/>
    <s v="22.06"/>
    <s v="Praveen Kuruvalli"/>
    <s v="Ashutosh Telang"/>
    <n v="6"/>
    <s v="HR &amp; Administration"/>
    <s v="Human Resources"/>
    <s v="22"/>
    <s v="Lead - Compensation &amp; Benefits"/>
    <m/>
    <s v="Human Resources"/>
    <m/>
    <m/>
    <s v="Non Technical Support"/>
    <s v="Human Resources Management"/>
    <s v="Human Resources Management"/>
    <s v="73501001"/>
    <s v="Human Resources"/>
    <s v="Mumbai"/>
    <d v="1990-09-05T00:00:00"/>
    <s v="33.00"/>
    <d v="2023-07-10T00:00:00"/>
    <d v="2048-09-30T00:00:00"/>
    <m/>
    <d v="2048-09-30T00:00:00"/>
    <n v="9142"/>
    <s v="B+"/>
    <s v="PG Diploma-2020 , MBA-2012 , Intermediat"/>
    <s v="02.10"/>
    <s v="00.02"/>
    <s v="03.00"/>
    <s v="70242278"/>
    <s v="People Strategy &amp; HR Center Excellence"/>
    <s v="301568"/>
    <s v="Lead - Compensation &amp; Benefits"/>
    <s v="Corporate"/>
    <s v="0031950061"/>
    <s v="HZ-Human Resource"/>
    <s v="2000CRG"/>
    <s v="20055483"/>
    <s v="Praveen Kuruvalli"/>
    <s v="No"/>
    <s v="kanupriya.jain@amns.in"/>
    <s v="7000760906"/>
    <s v="1059042"/>
    <s v="Dhruv Vyas"/>
    <s v="Anil Matoo"/>
    <s v="Praveen Kuruvalli"/>
    <s v="Dhruv Vyas"/>
    <n v="0"/>
  </r>
  <r>
    <n v="7357"/>
    <n v="20059702"/>
    <s v="Nikita Athalye"/>
    <s v="AM/NS India"/>
    <s v="Onroll"/>
    <s v="M-7"/>
    <n v="7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Direct Tax"/>
    <m/>
    <s v="Finance &amp; Accounts"/>
    <m/>
    <m/>
    <s v="Non Technical Support"/>
    <s v="Finance &amp; Accounts"/>
    <s v="Taxation"/>
    <s v="73904002"/>
    <s v="Indirect Taxation"/>
    <s v="Mumbai"/>
    <d v="1996-04-08T00:00:00"/>
    <s v="27.05"/>
    <d v="2023-07-04T00:00:00"/>
    <d v="2054-04-30T00:00:00"/>
    <m/>
    <d v="2054-04-30T00:00:00"/>
    <n v="11180"/>
    <s v="O+"/>
    <s v="LLB-2021 , CA Final-2017 , BCom-2016"/>
    <s v="05.03"/>
    <s v="00.02"/>
    <s v="05.05"/>
    <s v="00048994"/>
    <s v="Compliances"/>
    <s v="70258946"/>
    <s v="Lead - Direct Tax"/>
    <s v="Corporate"/>
    <s v="0090000033"/>
    <s v="Corporate Taxation"/>
    <s v="2000CRG"/>
    <s v="20057473"/>
    <s v="Tarun Seksaria"/>
    <s v="No"/>
    <s v="nikita.athalye@amns.in"/>
    <s v="9833657726"/>
    <s v="1059483"/>
    <s v="Dhruv Vyas"/>
    <s v="Anil Matoo"/>
    <s v="Praveen Kuruvalli"/>
    <s v="Dhruv Vyas"/>
    <n v="0"/>
  </r>
  <r>
    <n v="7359"/>
    <n v="20059704"/>
    <s v="Birendra Mohan"/>
    <s v="AM/NS Middle East FZE"/>
    <s v="Onroll"/>
    <s v="M-7"/>
    <n v="7"/>
    <m/>
    <s v="MM"/>
    <s v="M"/>
    <s v="Dubai"/>
    <n v="10"/>
    <s v="2502"/>
    <x v="10"/>
    <s v="14.01"/>
    <s v="Ranjan Dhar"/>
    <s v="Alain Legrix De La Salle"/>
    <n v="3"/>
    <s v="Sales &amp; Marketing"/>
    <s v="Sales &amp; Marketing"/>
    <s v="14"/>
    <s v="Sr. Manager - Sales &amp; Marketing"/>
    <m/>
    <s v="Sales ME"/>
    <s v="Sales ME"/>
    <s v=""/>
    <s v=""/>
    <s v="Sales &amp; Marketing"/>
    <s v="Sales &amp; Marketing"/>
    <s v="73101001"/>
    <s v="Sales &amp; Marketing"/>
    <s v="Dubai"/>
    <d v="1977-10-30T00:00:00"/>
    <s v="45.10"/>
    <d v="2023-07-07T00:00:00"/>
    <d v="2035-10-31T00:00:00"/>
    <m/>
    <d v="2035-10-31T00:00:00"/>
    <n v="4424"/>
    <s v="B+"/>
    <s v="PG Diploma-2009 , BBA-2000"/>
    <s v="05.05"/>
    <s v="00.02"/>
    <s v="05.06"/>
    <s v="70495379"/>
    <s v="Chief Marketing Officer - AMNS ME FZE"/>
    <s v="70495722"/>
    <s v="Sr. Manager - Sales &amp; Marketing"/>
    <s v="AMNS Middle East FZE"/>
    <s v="0093720082"/>
    <s v="SC-Dubai-Marketing"/>
    <s v="DUBA2081"/>
    <s v="20055663"/>
    <s v="Karamath Syed"/>
    <s v="No"/>
    <s v="birendra.rai@amns.in"/>
    <s v="02040042772"/>
    <s v="1022280"/>
    <s v="Dhruv Vyas"/>
    <s v="Anil Matoo"/>
    <s v="Praveen Kuruvalli"/>
    <n v="0"/>
    <n v="0"/>
  </r>
  <r>
    <n v="7368"/>
    <n v="20059713"/>
    <s v="Gaurav Lodh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Account Receivable"/>
    <m/>
    <s v="Finance &amp; Accounts"/>
    <m/>
    <m/>
    <s v="Non Technical Support"/>
    <s v="Finance &amp; Accounts"/>
    <s v="Finance &amp; Accounts"/>
    <s v="73901004"/>
    <s v="Accounts Receivables"/>
    <s v="Hazira"/>
    <d v="1983-12-28T00:00:00"/>
    <s v="39.08"/>
    <d v="2023-07-19T00:00:00"/>
    <d v="2041-12-31T00:00:00"/>
    <m/>
    <d v="2041-12-31T00:00:00"/>
    <n v="6677"/>
    <s v="O+"/>
    <s v="CA Final-2008 , Intermediate-2002 , Inte"/>
    <s v="06.07"/>
    <s v="00.02"/>
    <s v="06.08"/>
    <s v="72150286"/>
    <s v="Accounts Receivables &amp; Export Banking"/>
    <s v="272542"/>
    <s v="Lead - Account Receivable"/>
    <s v="Hazira"/>
    <s v="0031950045"/>
    <s v="HZ-Works Accounts-Ha"/>
    <s v="2000HWO"/>
    <s v="20007731"/>
    <s v="Ashish Mehta"/>
    <s v="No"/>
    <s v="gaurav.lodha@amns.in"/>
    <s v="7433944725"/>
    <s v="1060386"/>
    <s v="Dhruv Vyas"/>
    <s v="Anil Matoo"/>
    <s v="Praveen Kuruvalli"/>
    <s v="Dhruv Vyas"/>
    <n v="0"/>
  </r>
  <r>
    <n v="7384"/>
    <n v="20059729"/>
    <s v="Harsh Parmar"/>
    <s v="AM/NS India"/>
    <s v="Onroll"/>
    <s v="M-7"/>
    <n v="7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m/>
    <m/>
    <s v="Non Technical Support"/>
    <s v="Corporate Relations"/>
    <s v="Corporate Affairs"/>
    <s v="74501001"/>
    <s v="Corporate Affairs"/>
    <s v="Delhi"/>
    <d v="1993-12-03T00:00:00"/>
    <s v="29.09"/>
    <d v="2023-07-24T00:00:00"/>
    <d v="2051-12-31T00:00:00"/>
    <m/>
    <d v="2051-12-31T00:00:00"/>
    <n v="10329"/>
    <s v="O+"/>
    <s v="PG Diploma in Management-2017 , BTech-20"/>
    <s v="06.02"/>
    <s v="00.01"/>
    <s v="06.03"/>
    <s v="70494938"/>
    <s v="Corporate Affairs"/>
    <s v="314883"/>
    <s v="Lead Corporate Affairs"/>
    <s v="Corporate"/>
    <s v="0090000021"/>
    <s v="Corporate Affairs"/>
    <s v="2000CS"/>
    <s v="20057928"/>
    <s v="Manu Kapoor"/>
    <s v="No"/>
    <s v="harsh.parmar@amns.in"/>
    <s v="9589057109"/>
    <s v="1061183"/>
    <s v="Dhruv Vyas"/>
    <s v="Anil Matoo"/>
    <s v="Praveen Kuruvalli"/>
    <s v="Dhruv Vyas"/>
    <n v="0"/>
  </r>
  <r>
    <n v="7392"/>
    <n v="20059737"/>
    <s v="Mahendra Singh Chandrawat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Application Engineer"/>
    <m/>
    <s v="Sales &amp; Marketing"/>
    <m/>
    <m/>
    <s v="Non Technical Support"/>
    <s v=""/>
    <s v=""/>
    <s v=""/>
    <s v=""/>
    <s v="Khopoli"/>
    <d v="1989-04-17T00:00:00"/>
    <s v="34.05"/>
    <d v="2023-08-01T00:00:00"/>
    <d v="2047-04-30T00:00:00"/>
    <m/>
    <d v="2047-04-30T00:00:00"/>
    <n v="8623"/>
    <s v="O+"/>
    <s v="PG Diploma-2021 , BE-2011 , Intermediate"/>
    <s v="11.08"/>
    <s v="00.01"/>
    <s v="11.09"/>
    <s v="00052471"/>
    <s v="Coated &amp; OC"/>
    <s v="305332"/>
    <s v="Lead - Application Engineer"/>
    <s v="Hazira"/>
    <s v="0031950057"/>
    <s v="HZ-HRC - Marketing"/>
    <s v="2000HWO"/>
    <s v="20056431"/>
    <s v="Prajakta Wagholikar"/>
    <s v="No"/>
    <s v="mahendrasingh.chandrawat@amns.in"/>
    <s v="7700922268"/>
    <s v="1061821"/>
    <s v="Dhruv Vyas"/>
    <s v="Anil Matoo"/>
    <s v="Praveen Kuruvalli"/>
    <s v="Dhruv Vyas"/>
    <n v="0"/>
  </r>
  <r>
    <n v="7393"/>
    <n v="20059738"/>
    <s v="Ayush Dixit"/>
    <s v="AM/NS India"/>
    <s v="Onroll"/>
    <s v="M-8"/>
    <n v="8"/>
    <m/>
    <s v="JM"/>
    <s v="M"/>
    <s v="Vizag"/>
    <n v="3"/>
    <s v="2161"/>
    <x v="15"/>
    <s v="31.02"/>
    <s v="Hrishikesh Kamat"/>
    <s v="Hrishikesh Kamat"/>
    <n v="7"/>
    <s v="Procurement"/>
    <s v="Procurement"/>
    <s v="31"/>
    <m/>
    <m/>
    <s v="Capex Procurement"/>
    <s v=""/>
    <s v=""/>
    <s v="Non Technical Support"/>
    <s v=""/>
    <s v=""/>
    <s v=""/>
    <s v=""/>
    <s v="Vizag"/>
    <d v="1996-07-02T00:00:00"/>
    <s v="27.02"/>
    <d v="2023-08-02T00:00:00"/>
    <d v="2054-07-31T00:00:00"/>
    <m/>
    <d v="2054-07-31T00:00:00"/>
    <n v="11272"/>
    <s v="B+"/>
    <s v="BTech-2017 , Intermediate-2012 , Interme"/>
    <s v="06.00"/>
    <s v="00.01"/>
    <s v="06.02"/>
    <s v="70282830"/>
    <s v="Capex Procurement &amp; Secondary Sales"/>
    <s v="302508"/>
    <s v="Lead Capex Procurement"/>
    <s v="Vizag"/>
    <s v="0031950059"/>
    <s v="HZ-Hazira Project"/>
    <s v="2000VIZOPS"/>
    <s v="20052261"/>
    <s v="Aruni Mishra"/>
    <s v="No"/>
    <s v="ayush.dixit@amns.in"/>
    <s v="7692960254"/>
    <s v="1061936"/>
    <s v="Dhruv Vyas"/>
    <s v="Anil Matoo"/>
    <s v="Praveen Kuruvalli"/>
    <s v="Dhruv Vyas"/>
    <n v="0"/>
  </r>
  <r>
    <n v="7394"/>
    <n v="20059739"/>
    <s v="Jennifer Xavier"/>
    <s v="AM/NS India"/>
    <s v="Onroll"/>
    <s v="M-8"/>
    <n v="8"/>
    <m/>
    <s v="JM"/>
    <s v="F"/>
    <s v="Pune Facility"/>
    <n v="4"/>
    <s v="2071"/>
    <x v="22"/>
    <s v="41.01"/>
    <s v="P Ashok Kumar"/>
    <s v="P Ashok Kumar"/>
    <n v="9"/>
    <s v="Legal"/>
    <s v="Legal"/>
    <s v="41"/>
    <s v="Legal Counsel, Pune"/>
    <m/>
    <s v="Legal"/>
    <m/>
    <m/>
    <s v="Non Technical Support"/>
    <s v=""/>
    <s v=""/>
    <s v=""/>
    <s v=""/>
    <s v="Pune"/>
    <d v="1992-01-17T00:00:00"/>
    <s v="31.08"/>
    <d v="2023-08-01T00:00:00"/>
    <d v="2050-01-31T00:00:00"/>
    <m/>
    <d v="2050-01-31T00:00:00"/>
    <n v="9630"/>
    <s v="B-"/>
    <s v="LLB-2016"/>
    <s v="01.10"/>
    <s v="00.01"/>
    <s v="01.11"/>
    <s v="00050735"/>
    <s v="Legal"/>
    <s v="305369"/>
    <s v="Legal Counsel - Pune"/>
    <s v="Pune Facility"/>
    <s v="0090000019"/>
    <s v="Corporate Steel - Le"/>
    <s v="2000ESPF"/>
    <s v="20058028"/>
    <s v="Charu Misra"/>
    <s v="No"/>
    <s v="jennifer.xavier@amns.in"/>
    <s v="9873925605"/>
    <s v="1061960"/>
    <s v="Dhruv Vyas"/>
    <s v="Anil Matoo"/>
    <s v="Praveen Kuruvalli"/>
    <s v="Dhruv Vyas"/>
    <n v="0"/>
  </r>
  <r>
    <n v="7395"/>
    <n v="20059740"/>
    <s v="Chanchal Agarwal"/>
    <s v="AM/NS India"/>
    <s v="Onroll"/>
    <s v="M-8"/>
    <n v="8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HR Business Partner"/>
    <m/>
    <s v="Human Resources"/>
    <m/>
    <m/>
    <s v="Non Technical Support"/>
    <s v="Human Resources Management"/>
    <s v="Human Resources Management"/>
    <s v="73501001"/>
    <s v="Human Resources"/>
    <s v="Mumbai"/>
    <d v="1998-07-16T00:00:00"/>
    <s v="25.02"/>
    <d v="2023-08-02T00:00:00"/>
    <d v="2056-07-31T00:00:00"/>
    <m/>
    <d v="2056-07-31T00:00:00"/>
    <n v="12003"/>
    <s v="O+"/>
    <s v="MBA-2021 , Intermediate-2014"/>
    <s v="01.10"/>
    <s v="00.01"/>
    <s v="02.00"/>
    <s v="00053055"/>
    <s v="Human Resources"/>
    <s v="301565"/>
    <s v="HR Business Partner"/>
    <s v="Corporate"/>
    <s v="0031950061"/>
    <s v="HZ-Human Resource"/>
    <s v="2000CRG"/>
    <s v="20054565"/>
    <s v="Dhruv Vyas"/>
    <s v="No"/>
    <s v="chanchal.agarwal@amns.in"/>
    <s v="7700922269"/>
    <s v="1061964"/>
    <s v="Dhruv Vyas"/>
    <s v="Anil Matoo"/>
    <s v="Praveen Kuruvalli"/>
    <s v="Dhruv Vyas"/>
    <n v="0"/>
  </r>
  <r>
    <n v="7519"/>
    <n v="20059864"/>
    <s v="Bijal Khambhala"/>
    <s v="AM/NS India"/>
    <s v="Onroll"/>
    <s v="M-11"/>
    <n v="11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Engineer"/>
    <m/>
    <s v="Contracts"/>
    <m/>
    <m/>
    <s v="Non Technical Support"/>
    <s v="Operations"/>
    <s v="Operations"/>
    <s v="72103001"/>
    <s v="Operations"/>
    <s v="Hazira"/>
    <d v="2001-03-28T00:00:00"/>
    <s v="22.05"/>
    <d v="2023-08-01T00:00:00"/>
    <d v="2059-03-31T00:00:00"/>
    <m/>
    <d v="2059-03-31T00:00:00"/>
    <n v="12976"/>
    <s v=""/>
    <s v=""/>
    <s v=""/>
    <s v="00.01"/>
    <s v="00.01"/>
    <s v="00053411"/>
    <s v="Contracts"/>
    <s v="301007"/>
    <s v="Engineer"/>
    <s v="Hazira"/>
    <s v="0031961000"/>
    <s v="Waste Management"/>
    <s v="2054HAZI"/>
    <s v="20010980"/>
    <s v="Kirit Upadhyay"/>
    <s v="No"/>
    <s v="bijal.khambhala@amns.in"/>
    <s v="8238770455"/>
    <s v="26594"/>
    <s v="Dhruv Vyas"/>
    <s v="Anil Matoo"/>
    <s v="Praveen Kuruvalli"/>
    <s v="Dhruv Vyas"/>
    <n v="0"/>
  </r>
  <r>
    <n v="7551"/>
    <n v="20059896"/>
    <s v="Ujjwal Singh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m/>
    <m/>
    <m/>
    <s v="Non Technical Support"/>
    <s v="Projects"/>
    <s v="Projects"/>
    <s v="72103036"/>
    <s v="Projects"/>
    <s v="Hazira"/>
    <d v="2001-02-17T00:00:00"/>
    <s v="22.07"/>
    <d v="2023-08-01T00:00:00"/>
    <d v="2059-02-28T00:00:00"/>
    <m/>
    <d v="2059-02-28T00:00:00"/>
    <n v="12945"/>
    <s v=""/>
    <s v=""/>
    <s v=""/>
    <s v="00.01"/>
    <s v="00.01"/>
    <s v="00053409"/>
    <s v="Proc PowerTransmission"/>
    <s v="300822"/>
    <s v="Engineer"/>
    <s v="Hazira"/>
    <s v="0031961000"/>
    <s v="Waste Management"/>
    <s v="2043HAZI"/>
    <s v="20002629"/>
    <s v="Bhavesh Patel"/>
    <s v="No"/>
    <s v="ujjwal.singh@amns.in"/>
    <s v="9687429656"/>
    <s v="26580"/>
    <s v="Dhruv Vyas"/>
    <s v="Anil Matoo"/>
    <s v="Praveen Kuruvalli"/>
    <s v="Dhruv Vyas"/>
    <n v="0"/>
  </r>
  <r>
    <n v="7584"/>
    <n v="20059929"/>
    <s v="Rutvik Dudakiya"/>
    <s v="AM/NS India"/>
    <s v="Onroll"/>
    <s v="M-11"/>
    <n v="11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Engineer"/>
    <m/>
    <s v="Contracts"/>
    <m/>
    <m/>
    <s v="Non Technical Support"/>
    <s v="Operations"/>
    <s v="Operations"/>
    <s v="72103001"/>
    <s v="Operations"/>
    <s v="Hazira"/>
    <d v="2001-06-30T00:00:00"/>
    <s v="22.02"/>
    <d v="2023-08-01T00:00:00"/>
    <d v="2059-06-30T00:00:00"/>
    <m/>
    <d v="2059-06-30T00:00:00"/>
    <n v="13067"/>
    <s v=""/>
    <s v=""/>
    <s v=""/>
    <s v="00.01"/>
    <s v="00.01"/>
    <s v="00053416"/>
    <s v="Contracts"/>
    <s v="301008"/>
    <s v="Engineer"/>
    <s v="Hazira"/>
    <s v="0031961000"/>
    <s v="Waste Management"/>
    <s v="2054HAZI"/>
    <s v="20054520"/>
    <s v="Trupti Yagnesh Patel"/>
    <s v="No"/>
    <s v="rutvik.dudakiya@amns.in"/>
    <s v="9879101370"/>
    <s v="26617"/>
    <s v="Dhruv Vyas"/>
    <s v="Anil Matoo"/>
    <s v="Praveen Kuruvalli"/>
    <s v="Dhruv Vyas"/>
    <n v="0"/>
  </r>
  <r>
    <n v="7599"/>
    <n v="20059944"/>
    <s v="Dharanipathi Murugesan"/>
    <s v="AM/NS India"/>
    <s v="Onroll"/>
    <s v="M-4"/>
    <n v="4"/>
    <m/>
    <s v="SM"/>
    <s v="M"/>
    <s v="Corporate"/>
    <n v="7"/>
    <s v="2039"/>
    <x v="12"/>
    <s v="43.01"/>
    <s v="Sangeeta Munjal"/>
    <s v="Manu Kapoor"/>
    <n v="10"/>
    <s v="Corporate Affairs"/>
    <s v="Corporate Affairs"/>
    <s v="43"/>
    <s v="Head – Land Acquisition Excellence"/>
    <m/>
    <s v="Land Acquisition"/>
    <m/>
    <m/>
    <s v="Non Technical Support"/>
    <s v="Corporate Relations"/>
    <s v="Corporate Affairs"/>
    <s v="74501001"/>
    <s v="Corporate Affairs"/>
    <s v="Mumbai"/>
    <d v="1969-02-12T00:00:00"/>
    <s v="54.07"/>
    <d v="2023-08-09T00:00:00"/>
    <d v="2027-02-28T00:00:00"/>
    <m/>
    <d v="2027-02-28T00:00:00"/>
    <n v="1257"/>
    <s v="B+"/>
    <s v="Diploma-2023 , BTech-2000 , Diploma-1987"/>
    <s v="16.08"/>
    <s v="00.01"/>
    <s v="16.09"/>
    <s v="70494938"/>
    <s v="Corporate Affairs"/>
    <s v="313430"/>
    <s v="Head – Land Acquisition Excellence"/>
    <s v="Corporate"/>
    <s v="0090000021"/>
    <s v="Corporate Affairs"/>
    <s v="2000CRG"/>
    <s v="20057928"/>
    <s v="Manu Kapoor"/>
    <s v="No"/>
    <s v="m.dharanipathi@amns.in"/>
    <s v="8879994254"/>
    <s v="1022366"/>
    <s v="Dhruv Vyas"/>
    <s v="Anil Matoo"/>
    <s v="Praveen Kuruvalli"/>
    <s v="Dhruv Vyas"/>
    <n v="0"/>
  </r>
  <r>
    <n v="7608"/>
    <n v="20059953"/>
    <s v="Prashanth Kasyap Lank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Coated Sales"/>
    <m/>
    <s v="Sales &amp; Marketing"/>
    <m/>
    <m/>
    <s v="Non Technical Support"/>
    <s v="Sales &amp; Marketing"/>
    <s v="Sales &amp; Marketing"/>
    <s v="73101001"/>
    <s v="Sales &amp; Marketing"/>
    <s v="Chennai"/>
    <d v="1982-08-09T00:00:00"/>
    <s v="41.01"/>
    <d v="2023-08-07T00:00:00"/>
    <d v="2040-08-31T00:00:00"/>
    <m/>
    <d v="2040-08-31T00:00:00"/>
    <n v="6190"/>
    <s v="A+"/>
    <s v="MBA-2009 , BE-2005 , Intermediate-1999"/>
    <s v="00.05"/>
    <s v="00.01"/>
    <s v="00.06"/>
    <s v="70492562"/>
    <s v="Domestic Sales"/>
    <s v="305407"/>
    <s v="KAM - Coated Sales"/>
    <s v="Hazira"/>
    <s v="0031950057"/>
    <s v="HZ-HRC - Marketing"/>
    <s v="2000HWO"/>
    <s v="20036409"/>
    <s v="Ranjith Nambiar"/>
    <s v="No"/>
    <s v="prashanth.kasyap@amns.in"/>
    <s v="8088449167"/>
    <s v="1064152"/>
    <s v="Dhruv Vyas"/>
    <s v="Anil Matoo"/>
    <s v="Praveen Kuruvalli"/>
    <s v="Dhruv Vyas"/>
    <n v="0"/>
  </r>
  <r>
    <n v="7609"/>
    <n v="20059954"/>
    <s v="Abhinav Kumar"/>
    <s v="AM/NS India"/>
    <s v="Onroll"/>
    <s v="M-7"/>
    <n v="7"/>
    <m/>
    <s v="MM"/>
    <s v="M"/>
    <s v="Service Centers"/>
    <n v="6"/>
    <s v="2031"/>
    <x v="10"/>
    <s v="14.01"/>
    <s v="Ranjan Dhar"/>
    <s v="Alain Legrix De La Salle"/>
    <n v="3"/>
    <s v="Sales &amp; Marketing"/>
    <s v="Sales &amp; Marketing"/>
    <s v="14"/>
    <s v="Plant Head - Recycling Strategy"/>
    <m/>
    <s v="Sales &amp; Marketing"/>
    <s v=""/>
    <s v=""/>
    <s v="Non Technical Support"/>
    <s v="Sales &amp; Marketing"/>
    <s v="Sales &amp; Marketing"/>
    <s v="73101001"/>
    <s v="Sales &amp; Marketing"/>
    <s v="Ahmedabad"/>
    <d v="1985-12-12T00:00:00"/>
    <s v="37.09"/>
    <d v="2023-08-07T00:00:00"/>
    <d v="2043-12-31T00:00:00"/>
    <m/>
    <d v="2043-12-31T00:00:00"/>
    <n v="7407"/>
    <s v="O+"/>
    <s v="BE-2009"/>
    <s v="02.00"/>
    <s v="00.01"/>
    <s v="02.01"/>
    <s v="00053119"/>
    <s v="Recycling Strategy"/>
    <s v="313817"/>
    <s v="Plant Head - Recycling Strategy"/>
    <s v="Service Center"/>
    <s v="0080000005"/>
    <s v="Global Markets Team"/>
    <s v="2000CS"/>
    <s v="20056844"/>
    <s v="Kundan Rai"/>
    <s v="No"/>
    <s v="abhinav.kumar@amns.in"/>
    <s v="7837100109"/>
    <s v="1064204"/>
    <s v="Dhruv Vyas"/>
    <s v="Anil Matoo"/>
    <s v="Praveen Kuruvalli"/>
    <s v="Dhruv Vyas"/>
    <n v="0"/>
  </r>
  <r>
    <n v="7612"/>
    <n v="20059957"/>
    <s v="Samuel Katisa"/>
    <s v="AM/NS India"/>
    <s v="Onroll"/>
    <s v="M-7"/>
    <n v="7"/>
    <m/>
    <s v="MM"/>
    <s v="M"/>
    <s v="Service Centers"/>
    <n v="6"/>
    <s v="2031"/>
    <x v="10"/>
    <s v="14.01"/>
    <s v="Ranjan Dhar"/>
    <s v="Alain Legrix De La Salle"/>
    <n v="3"/>
    <s v="Sales &amp; Marketing"/>
    <s v="Sales &amp; Marketing"/>
    <s v="14"/>
    <s v="Lead - Sales &amp; Marketing, Hypermart"/>
    <m/>
    <s v="Sales &amp; Marketing"/>
    <s v=""/>
    <s v=""/>
    <s v="Non Technical Support"/>
    <s v=""/>
    <s v=""/>
    <s v=""/>
    <s v=""/>
    <s v="Chennai"/>
    <d v="1986-08-16T00:00:00"/>
    <s v="37.01"/>
    <d v="2023-08-14T00:00:00"/>
    <d v="2044-08-31T00:00:00"/>
    <m/>
    <d v="2044-08-31T00:00:00"/>
    <n v="7651"/>
    <s v="A+"/>
    <s v="MTech-2019 , MA-2010 , BTech-2007"/>
    <s v="16.01"/>
    <s v="00.01"/>
    <s v="16.02"/>
    <s v="72150150"/>
    <s v="Sales South Zone"/>
    <s v="305327"/>
    <s v="Lead - Sales &amp; Marketing, Hypermart"/>
    <s v="Service Center"/>
    <s v="0031950057"/>
    <s v="HZ-HRC - Marketing"/>
    <s v="2000CS"/>
    <s v="20000909"/>
    <s v="Murali Krishna Chunduru"/>
    <s v="No"/>
    <s v="samuel.morris@amns.in"/>
    <s v="9581700766"/>
    <s v="22711"/>
    <s v="Dhruv Vyas"/>
    <s v="Anil Matoo"/>
    <s v="Praveen Kuruvalli"/>
    <s v="Dhruv Vyas"/>
    <n v="0"/>
  </r>
  <r>
    <n v="7613"/>
    <n v="20059958"/>
    <s v="Bodhishotto Bhattacharjee"/>
    <s v="AM/NS India"/>
    <s v="Onroll"/>
    <s v="M-7"/>
    <n v="7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Public Advocacy"/>
    <m/>
    <s v="Corporate Affairs"/>
    <m/>
    <m/>
    <s v="Non Technical Support"/>
    <s v="Corporate Relations"/>
    <s v="Corporate Affairs"/>
    <s v="74501001"/>
    <s v="Corporate Affairs"/>
    <s v="Delhi"/>
    <d v="1991-04-19T00:00:00"/>
    <s v="32.05"/>
    <d v="2023-08-14T00:00:00"/>
    <d v="2049-04-30T00:00:00"/>
    <m/>
    <d v="2049-04-30T00:00:00"/>
    <n v="9354"/>
    <s v="O+"/>
    <s v="PG Diploma-2020 , MBA-2017 , BTech-2015"/>
    <s v="01.00"/>
    <s v="00.01"/>
    <s v="01.00"/>
    <s v="70494938"/>
    <s v="Corporate Affairs"/>
    <s v="316689"/>
    <s v="Lead Public Advocacy"/>
    <s v="Corporate"/>
    <s v="0090000021"/>
    <s v="Corporate Affairs"/>
    <s v="2000CRG"/>
    <s v="20057928"/>
    <s v="Manu Kapoor"/>
    <s v="No"/>
    <s v="bodhishotto.bhattacharjee@amns.in"/>
    <s v="7228016115"/>
    <s v="1064656"/>
    <s v="Dhruv Vyas"/>
    <s v="Anil Matoo"/>
    <s v="Praveen Kuruvalli"/>
    <s v="Dhruv Vyas"/>
    <n v="0"/>
  </r>
  <r>
    <n v="7614"/>
    <n v="20059959"/>
    <s v="Rajesh Kumar Meena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- Scrap Procurement"/>
    <m/>
    <s v="Sales &amp; Marketing"/>
    <m/>
    <m/>
    <s v="Non Technical Support"/>
    <s v=""/>
    <s v=""/>
    <s v="70494645"/>
    <s v="Head of Sales BD"/>
    <s v="Mumbai"/>
    <d v="1989-09-01T00:00:00"/>
    <s v="34.00"/>
    <d v="2023-08-16T00:00:00"/>
    <d v="2047-08-31T00:00:00"/>
    <m/>
    <d v="2047-08-31T00:00:00"/>
    <n v="8746"/>
    <s v="A+"/>
    <s v="PG Diploma-2016 , BE-2017"/>
    <s v="01.06"/>
    <s v="00.01"/>
    <s v="01.07"/>
    <s v="70494655"/>
    <s v="Sales Steering, Distribution and BD"/>
    <s v="284179"/>
    <s v="Section Head - Scrap Procurement"/>
    <s v="Corporate"/>
    <s v="0080000005"/>
    <s v="Global Markets Team"/>
    <s v="2000CRG"/>
    <s v="20055091"/>
    <s v="Akshaya Gujral"/>
    <s v="No"/>
    <s v="rajeshkumar.meena@amns.in"/>
    <s v="7542033074"/>
    <s v="1064745"/>
    <s v="Dhruv Vyas"/>
    <s v="Anil Matoo"/>
    <s v="Praveen Kuruvalli"/>
    <s v="Dhruv Vyas"/>
    <n v="0"/>
  </r>
  <r>
    <n v="7616"/>
    <n v="20059961"/>
    <s v="Pavan Patil"/>
    <s v="AM/NS India"/>
    <s v="Onroll"/>
    <s v="M-9"/>
    <n v="9"/>
    <m/>
    <s v="JM"/>
    <s v="M"/>
    <s v="Service Centers"/>
    <n v="6"/>
    <s v="2031"/>
    <x v="10"/>
    <s v="14.01"/>
    <s v="Ranjan Dhar"/>
    <s v="Alain Legrix De La Salle"/>
    <n v="3"/>
    <s v="Sales &amp; Marketing"/>
    <s v="Sales &amp; Marketing"/>
    <s v="14"/>
    <s v="Quality Inspector - Recycling Strategy"/>
    <m/>
    <s v="Sales &amp; Marketing"/>
    <s v=""/>
    <s v=""/>
    <s v="Non Technical Support"/>
    <s v="Sales &amp; Marketing"/>
    <s v="Sales &amp; Marketing"/>
    <s v="73101001"/>
    <s v="Sales &amp; Marketing"/>
    <s v="Khopoli"/>
    <d v="1995-05-23T00:00:00"/>
    <s v="28.03"/>
    <d v="2023-08-16T00:00:00"/>
    <d v="2053-05-31T00:00:00"/>
    <m/>
    <d v="2053-05-31T00:00:00"/>
    <n v="10846"/>
    <s v="A+"/>
    <s v="BE-2017 , Intermediate-2014 , Diploma-20"/>
    <s v="02.08"/>
    <s v="00.01"/>
    <s v="02.09"/>
    <s v="00053119"/>
    <s v="Recycling Strategy"/>
    <s v="313822"/>
    <s v="Quality Inspector - Recycling Strategy"/>
    <s v="Service Center"/>
    <s v="0080000005"/>
    <s v="Global Markets Team"/>
    <s v="2000CS"/>
    <s v="20056844"/>
    <s v="Kundan Rai"/>
    <s v="No"/>
    <s v="pavan.patil@amns.in"/>
    <s v="8600552071"/>
    <s v="1064761"/>
    <s v="Dhruv Vyas"/>
    <s v="Anil Matoo"/>
    <s v="Praveen Kuruvalli"/>
    <s v="Dhruv Vyas"/>
    <n v="0"/>
  </r>
  <r>
    <n v="7628"/>
    <n v="20059973"/>
    <s v="Akshay Patel"/>
    <s v="AM/NS India"/>
    <s v="Onroll"/>
    <s v="T-4 (Other Trainee)"/>
    <n v="1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1998-08-25T00:00:00"/>
    <s v="25.00"/>
    <d v="2023-08-14T00:00:00"/>
    <d v="2056-08-31T00:00:00"/>
    <m/>
    <d v="2056-08-31T00:00:00"/>
    <n v="12034"/>
    <s v="A+"/>
    <s v="Diploma-2019"/>
    <s v=""/>
    <s v="00.01"/>
    <s v="00.01"/>
    <s v="00049777"/>
    <s v="Plant Administration"/>
    <s v="315235"/>
    <s v="Trainee"/>
    <s v="Hazira"/>
    <s v="0031950030"/>
    <s v="HZ-Admin"/>
    <s v="2000HWO"/>
    <s v="20057892"/>
    <s v="Taj Baby"/>
    <s v="No"/>
    <s v=""/>
    <s v=""/>
    <s v="868976"/>
    <s v="Manjit Shah"/>
    <s v="Anil Matoo"/>
    <s v="-"/>
    <s v="Manjit Shah"/>
    <s v="-"/>
  </r>
  <r>
    <n v="7629"/>
    <n v="20059974"/>
    <s v="Kamakshi Patel"/>
    <s v="AM/NS India"/>
    <s v="Onroll"/>
    <s v="T-4 (Other Trainee)"/>
    <n v="18"/>
    <m/>
    <s v="JM"/>
    <s v="F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1997-10-21T00:00:00"/>
    <s v="25.10"/>
    <d v="2023-08-14T00:00:00"/>
    <d v="2055-10-31T00:00:00"/>
    <m/>
    <d v="2055-10-31T00:00:00"/>
    <n v="11729"/>
    <s v="A+"/>
    <s v="MCom-2023"/>
    <s v=""/>
    <s v="00.01"/>
    <s v="00.01"/>
    <s v="00049719"/>
    <s v="Administration Hazira"/>
    <s v="315236"/>
    <s v="Trainee"/>
    <s v="Hazira"/>
    <s v="0031950030"/>
    <s v="HZ-Admin"/>
    <s v="2000HWO"/>
    <s v="20057886"/>
    <s v="Shakir Bandwala"/>
    <s v="No"/>
    <s v=""/>
    <s v="9825073422"/>
    <s v="1065377"/>
    <s v="Manjit Shah"/>
    <s v="Anil Matoo"/>
    <s v="-"/>
    <s v="Manjit Shah"/>
    <s v="-"/>
  </r>
  <r>
    <n v="7630"/>
    <n v="20059975"/>
    <s v="Ruchi Patel"/>
    <s v="AM/NS India"/>
    <s v="Onroll"/>
    <s v="T-4 (Other Trainee)"/>
    <n v="18"/>
    <m/>
    <s v="JM"/>
    <s v="F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2000-02-23T00:00:00"/>
    <s v="23.06"/>
    <d v="2023-08-14T00:00:00"/>
    <d v="2058-02-28T00:00:00"/>
    <m/>
    <d v="2058-02-28T00:00:00"/>
    <n v="12580"/>
    <s v="B+"/>
    <s v="BCom-2022"/>
    <s v=""/>
    <s v="00.01"/>
    <s v="00.01"/>
    <s v="00049777"/>
    <s v="Plant Administration"/>
    <s v="315237"/>
    <s v="Trainee"/>
    <s v="Hazira"/>
    <s v="0031950030"/>
    <s v="HZ-Admin"/>
    <s v="2000HWO"/>
    <s v="20057892"/>
    <s v="Taj Baby"/>
    <s v="No"/>
    <s v=""/>
    <s v=""/>
    <s v="1065380"/>
    <s v="Manjit Shah"/>
    <s v="Anil Matoo"/>
    <s v="-"/>
    <s v="Manjit Shah"/>
    <s v="-"/>
  </r>
  <r>
    <n v="7631"/>
    <n v="20059976"/>
    <s v="Karan Patel"/>
    <s v="AM/NS India"/>
    <s v="Onroll"/>
    <s v="T-4 (Other Trainee)"/>
    <n v="1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1999-03-24T00:00:00"/>
    <s v="24.05"/>
    <d v="2023-08-14T00:00:00"/>
    <d v="2057-03-31T00:00:00"/>
    <m/>
    <d v="2057-03-31T00:00:00"/>
    <n v="12246"/>
    <s v="O+"/>
    <s v="PG Diploma in Management-2023 , PG Diplo"/>
    <s v=""/>
    <s v="00.01"/>
    <s v="00.01"/>
    <s v="00049719"/>
    <s v="Administration Hazira"/>
    <s v="315238"/>
    <s v="Trainee"/>
    <s v="Hazira"/>
    <s v="0031950030"/>
    <s v="HZ-Admin"/>
    <s v="2000HWO"/>
    <s v="20057886"/>
    <s v="Shakir Bandwala"/>
    <s v="No"/>
    <s v=""/>
    <s v=""/>
    <s v="1065420"/>
    <s v="Manjit Shah"/>
    <s v="Anil Matoo"/>
    <s v="-"/>
    <s v="Manjit Shah"/>
    <s v="-"/>
  </r>
  <r>
    <n v="7636"/>
    <n v="20059981"/>
    <s v="Ankit Singh"/>
    <s v="AM/NS India"/>
    <s v="Onroll"/>
    <s v="M-6"/>
    <n v="6"/>
    <m/>
    <s v="M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sition"/>
    <m/>
    <s v="Land Acquisition"/>
    <s v=""/>
    <s v=""/>
    <s v="Non Technical Support"/>
    <s v="Corporate Relations"/>
    <s v="Corporate Affairs"/>
    <s v="74501001"/>
    <s v="Corporate Affairs"/>
    <s v="Hazira"/>
    <d v="1987-03-15T00:00:00"/>
    <s v="36.06"/>
    <d v="2023-08-21T00:00:00"/>
    <d v="2045-03-31T00:00:00"/>
    <m/>
    <d v="2045-03-31T00:00:00"/>
    <n v="7863"/>
    <s v="O+"/>
    <s v="BTech-2009"/>
    <s v="12.11"/>
    <s v="00.00"/>
    <s v="13.00"/>
    <s v="70494938"/>
    <s v="Corporate Affairs"/>
    <s v="313342"/>
    <s v="Lead - Land Acqusition"/>
    <s v="Hazira"/>
    <s v="0090000021"/>
    <s v="Corporate Affairs"/>
    <s v="2000HWO"/>
    <s v="20057928"/>
    <s v="Manu Kapoor"/>
    <s v="No"/>
    <s v="ankit.singh@amns.in"/>
    <s v="9767811522"/>
    <s v="728538"/>
    <s v="Dhruv Vyas"/>
    <s v="Anil Matoo"/>
    <s v="Praveen Kuruvalli"/>
    <s v="Dhruv Vyas"/>
    <n v="0"/>
  </r>
  <r>
    <n v="7641"/>
    <n v="20059986"/>
    <s v="Rohit Sharma"/>
    <s v="AM/NS India"/>
    <s v="Onroll"/>
    <s v="M-8"/>
    <n v="8"/>
    <m/>
    <s v="JM"/>
    <s v="M"/>
    <s v="Corporate"/>
    <n v="7"/>
    <s v="2039"/>
    <x v="16"/>
    <s v="43.01"/>
    <s v="Sangeeta Munjal"/>
    <s v="Manu Kapoor"/>
    <n v="10"/>
    <s v="Corporate Affairs"/>
    <s v="Corporate Affairs"/>
    <s v="43"/>
    <s v="Lead – Internal Audit"/>
    <m/>
    <s v="Corporate Affairs"/>
    <m/>
    <m/>
    <s v="Non Technical Support"/>
    <s v="Chairman's Secretariat"/>
    <s v="Chairman's Secretariat"/>
    <s v="74701000"/>
    <s v="Chairman's Secretariat"/>
    <s v="Mumbai"/>
    <d v="1992-01-07T00:00:00"/>
    <s v="31.08"/>
    <d v="2023-08-21T00:00:00"/>
    <d v="2050-01-31T00:00:00"/>
    <m/>
    <d v="2050-01-31T00:00:00"/>
    <n v="9630"/>
    <s v="O+"/>
    <s v="CA Inter-2020"/>
    <s v="01.05"/>
    <s v="00.00"/>
    <s v="01.05"/>
    <s v="00044335"/>
    <s v="Internal Audit Corporate"/>
    <s v="317208"/>
    <s v="Lead – Internal Audit"/>
    <s v="Corporate"/>
    <s v="0090000035"/>
    <s v="Internal Audit"/>
    <s v="2000CS"/>
    <s v="20055802"/>
    <s v="Pawan Kumar Baid"/>
    <s v="No"/>
    <s v="rohit.sharma2@amns.in"/>
    <s v="7004584854"/>
    <s v="648539"/>
    <s v="Dhruv Vyas"/>
    <s v="Anil Matoo"/>
    <s v="Praveen Kuruvalli"/>
    <s v="Dhruv Vyas"/>
    <n v="0"/>
  </r>
  <r>
    <n v="7656"/>
    <n v="40001771"/>
    <s v="Canakapalli Hanumanth Rao"/>
    <s v="AM/NS India"/>
    <s v="Onroll"/>
    <s v="Advisor"/>
    <n v="4"/>
    <s v="M-4"/>
    <s v="Advisor"/>
    <s v="M"/>
    <s v="Vizag"/>
    <n v="3"/>
    <s v="2095"/>
    <x v="4"/>
    <n v="36.01"/>
    <s v="Deepak Sindkar"/>
    <s v="Hrishikesh Kamat"/>
    <n v="7"/>
    <s v="Procurement"/>
    <s v="Raw Materials"/>
    <s v="36"/>
    <s v="Advisor - NMDC &amp; Railways CO-Ordination"/>
    <m/>
    <s v="Bulk Raw Materials"/>
    <s v="Bulk Raw Materials"/>
    <m/>
    <s v="Non Technical Support"/>
    <s v="Commercial"/>
    <s v="Procurement"/>
    <s v="73803001"/>
    <s v="Procurement"/>
    <s v="Hyderabad"/>
    <d v="1951-09-26T00:00:00"/>
    <s v="71.11"/>
    <d v="2013-03-04T00:00:00"/>
    <d v="2009-09-30T00:00:00"/>
    <d v="2023-12-31T00:00:00"/>
    <d v="2023-12-31T00:00:00"/>
    <n v="102"/>
    <s v=""/>
    <s v="BE-1974"/>
    <s v="38.00"/>
    <s v="10.06"/>
    <s v="48.06"/>
    <s v="72150107"/>
    <s v="Vizag Operations"/>
    <s v="70328454"/>
    <s v="Advisor - NMDC &amp; Railways CO-Ordination"/>
    <s v="Non-payroll-relevant"/>
    <s v="0028030019"/>
    <s v="VIZ-Personnel &amp; Admi"/>
    <s v="2000VIZOPS"/>
    <s v="20000547"/>
    <s v="Ravindranath Modekurthi"/>
    <s v="No"/>
    <s v="hanumanth.rao@amns.in"/>
    <s v="9502701230"/>
    <s v="21893"/>
    <s v="Dhruv Vyas"/>
    <s v="Anil Matoo"/>
    <s v="Praveen Kuruvalli"/>
    <s v="Dhruv Vyas"/>
    <n v="0"/>
  </r>
  <r>
    <n v="7752"/>
    <n v="40002452"/>
    <s v="Shantilal Dhansukhbhai Patel"/>
    <s v="AM/NS India"/>
    <s v="Onroll"/>
    <s v="Advisor"/>
    <n v="8"/>
    <s v="M-8"/>
    <s v="Advisor"/>
    <s v="M"/>
    <s v="Hazira"/>
    <n v="1"/>
    <s v="2137"/>
    <x v="12"/>
    <s v="35.01"/>
    <s v="Hrishikesh Kamat"/>
    <s v="Hrishikesh Kamat"/>
    <n v="7"/>
    <s v="Procurement"/>
    <s v="Land Acquisition"/>
    <s v="35"/>
    <s v="Advisor - Land Acqusition"/>
    <m/>
    <s v="Land Acquisition"/>
    <s v="Land Acquisition"/>
    <s v=""/>
    <s v="Non Technical Support"/>
    <s v="Commercial"/>
    <s v="Contracts &amp; Tenders and E-bid"/>
    <s v="73805001"/>
    <s v="Contracts &amp; Tenders and E"/>
    <s v="AM/NS Hazira"/>
    <d v="1962-02-07T00:00:00"/>
    <s v="61.07"/>
    <d v="2021-05-17T00:00:00"/>
    <d v="2020-02-29T00:00:00"/>
    <d v="2023-05-16T00:00:00"/>
    <d v="2023-05-16T00:00:00"/>
    <n v="-127"/>
    <s v="B+"/>
    <s v="BCom-1984 , Intermediate-1980 , SSLC-197"/>
    <s v="38.03"/>
    <s v="02.04"/>
    <s v="40.07"/>
    <s v="70495436"/>
    <s v="Land Property"/>
    <s v="70495786"/>
    <s v="Advisor - Land Matters"/>
    <s v="Hazira"/>
    <s v="0031950038"/>
    <s v="HZ-Hazira Land Acqui"/>
    <s v="2000HWO"/>
    <s v="20059561"/>
    <s v="Bhavdip Jathal"/>
    <s v="No"/>
    <s v="shantilal.patel@amns.in"/>
    <s v="9825055371"/>
    <s v="838199"/>
    <s v="Dhruv Vyas"/>
    <s v="Anil Matoo"/>
    <s v="Praveen Kuruvalli"/>
    <s v="Dhruv Vyas"/>
    <n v="0"/>
  </r>
  <r>
    <n v="7763"/>
    <n v="40002494"/>
    <s v="Prabhatbhai Desai"/>
    <s v="AM/NS India"/>
    <s v="Onroll"/>
    <s v="Advisor"/>
    <n v="6"/>
    <s v="M-6"/>
    <s v="Advisor"/>
    <s v="M"/>
    <s v="Hazira"/>
    <n v="1"/>
    <s v="2039"/>
    <x v="12"/>
    <s v="43.01"/>
    <s v="Sangeeta Munjal"/>
    <s v="Manu Kapoor"/>
    <n v="10"/>
    <s v="Corporate Affairs"/>
    <s v="Corporate Affairs"/>
    <s v="43"/>
    <s v="Advisor - Land Acqusition"/>
    <m/>
    <s v="Land Acquisition"/>
    <s v=""/>
    <s v=""/>
    <s v="Non Technical Support"/>
    <s v="Corporate Relations"/>
    <s v="Corporate Affairs"/>
    <s v="74501001"/>
    <s v="Corporate Affairs"/>
    <s v="AM/NS Hazira"/>
    <d v="1959-05-31T00:00:00"/>
    <s v="64.03"/>
    <d v="2022-01-25T00:00:00"/>
    <d v="2017-05-31T00:00:00"/>
    <d v="2024-03-31T00:00:00"/>
    <d v="2024-03-31T00:00:00"/>
    <n v="193"/>
    <s v="O+"/>
    <s v="BA-1982 , Intermediate-1979 , SSLC-1977"/>
    <s v="34.05"/>
    <s v="01.07"/>
    <s v="36.00"/>
    <s v="70495436"/>
    <s v="Land Property"/>
    <s v="272202"/>
    <s v="Advisor Corporate Affairs"/>
    <s v="Hazira"/>
    <s v="0090000021"/>
    <s v="Corporate Affairs"/>
    <s v="2000HWO"/>
    <s v="20059561"/>
    <s v="Bhavdip Jathal"/>
    <s v="No"/>
    <s v="prabhatbhai.desai@amns.in"/>
    <s v="9825034045"/>
    <s v="878191"/>
    <s v="Dhruv Vyas"/>
    <s v="Anil Matoo"/>
    <s v="Praveen Kuruvalli"/>
    <s v="Dhruv Vyas"/>
    <n v="0"/>
  </r>
  <r>
    <n v="7769"/>
    <n v="40002500"/>
    <s v="Himanshu Parekh"/>
    <s v="AM/NS India"/>
    <s v="Onroll"/>
    <s v="Advisor"/>
    <n v="4"/>
    <s v="M-4"/>
    <s v="Advisor"/>
    <s v="M"/>
    <s v="Hazira"/>
    <n v="1"/>
    <s v="2137"/>
    <x v="12"/>
    <s v="35.01"/>
    <s v="Hrishikesh Kamat"/>
    <s v="Hrishikesh Kamat"/>
    <n v="7"/>
    <s v="Procurement"/>
    <s v="Land Acquisition"/>
    <s v="35"/>
    <s v="Advisor - Land Acqusition"/>
    <m/>
    <s v="Land Acquisition"/>
    <s v=""/>
    <s v=""/>
    <s v="Non Technical Support"/>
    <s v="Corporate Relations"/>
    <s v="Corporate Affairs"/>
    <s v="74501001"/>
    <s v="Corporate Affairs"/>
    <s v="AM/NS Hazira"/>
    <d v="1962-01-21T00:00:00"/>
    <s v="61.07"/>
    <d v="2022-03-01T00:00:00"/>
    <d v="2020-01-31T00:00:00"/>
    <d v="2024-02-29T00:00:00"/>
    <d v="2024-02-29T00:00:00"/>
    <n v="162"/>
    <s v="O+"/>
    <s v="SSLC-1977"/>
    <s v=""/>
    <s v="01.06"/>
    <s v="01.06"/>
    <s v="70494938"/>
    <s v="Corporate Affairs"/>
    <s v="275232"/>
    <s v="Advisor – Land Matters"/>
    <s v="Hazira"/>
    <s v="0090000021"/>
    <s v="Corporate Affairs"/>
    <s v="2000HWO"/>
    <s v="20057928"/>
    <s v="Manu Kapoor"/>
    <s v="No"/>
    <s v="himanshu.parekh@amns.in"/>
    <s v="9978405232"/>
    <s v="884276"/>
    <s v="Dhruv Vyas"/>
    <s v="Anil Matoo"/>
    <s v="Praveen Kuruvalli"/>
    <s v="Dhruv Vyas"/>
    <n v="0"/>
  </r>
  <r>
    <n v="7816"/>
    <n v="40002555"/>
    <s v="Alamsinh Chauhan"/>
    <s v="AM/NS India"/>
    <s v="Onroll"/>
    <s v="Advisor"/>
    <n v="7"/>
    <s v="M-7"/>
    <s v="Advisor"/>
    <s v="M"/>
    <s v="Hazira"/>
    <n v="1"/>
    <s v="2137"/>
    <x v="12"/>
    <s v="35.01"/>
    <s v="Hrishikesh Kamat"/>
    <s v="Hrishikesh Kamat"/>
    <n v="7"/>
    <s v="Procurement"/>
    <s v="Land Acquisition"/>
    <s v="35"/>
    <s v="Advisor - Land Acqusition"/>
    <m/>
    <s v="Land Acquisition"/>
    <s v=""/>
    <s v=""/>
    <s v="Non Technical Support"/>
    <s v="Corporate Relations"/>
    <s v="Corporate Affairs"/>
    <s v="74501001"/>
    <s v="Corporate Affairs"/>
    <s v="Hazira"/>
    <d v="1962-06-01T00:00:00"/>
    <s v="61.03"/>
    <d v="2022-11-28T00:00:00"/>
    <d v="2020-05-31T00:00:00"/>
    <d v="2023-11-28T00:00:00"/>
    <d v="2023-11-28T00:00:00"/>
    <n v="69"/>
    <s v="B+"/>
    <s v="Diploma-1984 , Intermediate-1976"/>
    <s v="37.09"/>
    <s v="00.09"/>
    <s v="38.06"/>
    <s v="70495436"/>
    <s v="Land Property"/>
    <s v="294610"/>
    <s v="Advisor – Land Surveyor"/>
    <s v="Hazira"/>
    <s v="0031950045"/>
    <s v="HZ-Works Accounts-Ha"/>
    <s v="2000HWO"/>
    <s v="20059561"/>
    <s v="Bhavdip Jathal"/>
    <s v="No"/>
    <s v="alamsinh.chauhan@amns.in"/>
    <s v="9825770580"/>
    <s v="1024779"/>
    <s v="Dhruv Vyas"/>
    <s v="Anil Matoo"/>
    <s v="Praveen Kuruvalli"/>
    <s v="Dhruv Vyas"/>
    <n v="0"/>
  </r>
  <r>
    <n v="7890"/>
    <n v="40002639"/>
    <s v="Balveer Bhandari"/>
    <s v="AMNS Khopoli"/>
    <s v="Onroll"/>
    <s v="Advisor"/>
    <m/>
    <m/>
    <s v="Advisor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2-06-22T00:00:00"/>
    <s v="61.03"/>
    <d v="2023-04-01T00:00:00"/>
    <d v="2022-06-30T00:00:00"/>
    <m/>
    <d v="2022-06-30T00:00:00"/>
    <n v="-447"/>
    <s v=""/>
    <s v=""/>
    <s v=""/>
    <s v="00.05"/>
    <s v="00.05"/>
    <s v="00051339"/>
    <s v="Excise"/>
    <s v="305212"/>
    <s v="New Acquisition"/>
    <s v="Non-payroll-relevant"/>
    <s v=""/>
    <s v=""/>
    <s v="1121KHOP"/>
    <s v="20055962"/>
    <s v="Navin Kewalramani"/>
    <s v="No"/>
    <s v="balveer.bhandari@amns.in"/>
    <s v="8879994156"/>
    <s v="1022220"/>
    <s v="Pritam Debbarma"/>
    <s v="Anil Matoo"/>
    <s v="-"/>
    <s v="Manjit Shah"/>
    <s v="-"/>
  </r>
  <r>
    <n v="7915"/>
    <n v="80127955"/>
    <s v="Kalpesh Raghunath Tawde"/>
    <s v="AM/NS India"/>
    <s v="Onroll"/>
    <s v="M-10"/>
    <n v="10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"/>
    <s v="Non Technical Support"/>
    <s v="Finance &amp; Accounts"/>
    <s v="Treasury"/>
    <s v="73903001"/>
    <s v="Treasury"/>
    <s v="Pune AMNS"/>
    <d v="1986-04-11T00:00:00"/>
    <s v="37.05"/>
    <d v="2007-08-16T00:00:00"/>
    <d v="2044-04-30T00:00:00"/>
    <m/>
    <d v="2044-04-30T00:00:00"/>
    <n v="7528"/>
    <s v=""/>
    <s v="Diploma-2007 , BCom-2006 , High School-2"/>
    <s v="09.01"/>
    <s v="16.01"/>
    <s v="25.02"/>
    <s v="70418544"/>
    <s v="Costing"/>
    <s v="70395939"/>
    <s v="Lead"/>
    <s v="Pune Facility"/>
    <s v="0035950020"/>
    <s v="Pune-F&amp;A"/>
    <s v="2000ESPF"/>
    <s v="20048971"/>
    <s v="Arindam Ganguly"/>
    <s v="No"/>
    <s v="kalpesh.tawde@amns.in"/>
    <s v="9930136551"/>
    <s v="24474"/>
    <s v="Dhruv Vyas"/>
    <s v="Anil Matoo"/>
    <s v="Praveen Kuruvalli"/>
    <s v="Dhruv Vyas"/>
    <n v="0"/>
  </r>
  <r>
    <n v="7916"/>
    <n v="80141906"/>
    <s v="Akhilesh Purohit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- Insurance"/>
    <m/>
    <s v="Risk &amp; Insurance"/>
    <s v="Risk &amp; Insurance"/>
    <s v=""/>
    <s v="Non Technical Support"/>
    <s v="International Supply &amp; Trading"/>
    <s v="Price Risk Management"/>
    <s v="72203047"/>
    <s v="Risk Management"/>
    <s v="Mumbai"/>
    <d v="1977-07-03T00:00:00"/>
    <s v="46.02"/>
    <d v="2011-03-14T00:00:00"/>
    <d v="2035-07-31T00:00:00"/>
    <m/>
    <d v="2035-07-31T00:00:00"/>
    <n v="4332"/>
    <s v="AB-"/>
    <s v="MBA-1999"/>
    <s v="07.05"/>
    <s v="12.06"/>
    <s v="19.11"/>
    <s v="70447071"/>
    <s v="Insurance &amp; Financial Risk"/>
    <s v="70490224"/>
    <s v="Lead - Insurance"/>
    <s v="Corporate"/>
    <s v="0090000028"/>
    <s v="Corporate Steel - Wo"/>
    <s v="2000CS"/>
    <s v="20017504"/>
    <s v="Appi Reddy Guttikonda"/>
    <s v="No"/>
    <s v="akhilesh.purohit@amns.in"/>
    <s v="9930134249"/>
    <s v="23598"/>
    <s v="Dhruv Vyas"/>
    <s v="Anil Matoo"/>
    <s v="Praveen Kuruvalli"/>
    <s v="Dhruv Vyas"/>
    <n v="0"/>
  </r>
  <r>
    <n v="7929"/>
    <n v="30072"/>
    <s v="David Rajkumar Ambrose"/>
    <s v="AM/NS SSL"/>
    <s v="Onroll"/>
    <s v="M-10"/>
    <n v="10"/>
    <m/>
    <s v="JM"/>
    <s v="M"/>
    <s v="Hazira"/>
    <n v="1"/>
    <m/>
    <x v="7"/>
    <s v="34.01"/>
    <s v="Ambrish Chaturvedi"/>
    <s v="Hrishikesh Kamat"/>
    <n v="7"/>
    <s v="Procurement"/>
    <s v="Stores &amp; Warehouse"/>
    <s v="34"/>
    <s v="Lead - Diesel supply"/>
    <m/>
    <s v="Stores &amp; Warehouse"/>
    <s v="Diesel supply"/>
    <m/>
    <m/>
    <m/>
    <s v="Lead - Diesel supply"/>
    <m/>
    <m/>
    <s v="Hazira"/>
    <d v="1981-09-06T00:00:00"/>
    <n v="42.02465753424657"/>
    <d v="2020-11-01T00:00:00"/>
    <d v="2039-09-30T00:00:00"/>
    <m/>
    <d v="2039-09-30T00:00:00"/>
    <n v="5854"/>
    <s v="B+ve"/>
    <s v="B.A'-2004"/>
    <n v="14.05"/>
    <n v="2.253251197809719"/>
    <n v="16.30325119780972"/>
    <m/>
    <m/>
    <m/>
    <s v="Lead - Diesel supply"/>
    <s v="SSL"/>
    <m/>
    <m/>
    <m/>
    <n v="20001164"/>
    <s v="Snehal Anjaria"/>
    <s v="No"/>
    <s v="David.rajkumar@ssl.AMNS.in"/>
    <n v="6357192754"/>
    <n v="810319"/>
    <s v="Manjit Shah"/>
    <s v="Anil Matoo"/>
    <n v="0"/>
    <s v="Manjit Shah"/>
    <n v="0"/>
  </r>
  <r>
    <n v="7933"/>
    <n v="30078"/>
    <s v="Virendra Singh"/>
    <s v="AM/NS SSL"/>
    <s v="Onroll"/>
    <s v="M-11"/>
    <n v="11"/>
    <m/>
    <s v="JM"/>
    <s v="M"/>
    <s v="Hazira"/>
    <n v="1"/>
    <m/>
    <x v="7"/>
    <s v="34.01"/>
    <s v="Ambrish Chaturvedi"/>
    <s v="Hrishikesh Kamat"/>
    <n v="7"/>
    <s v="Procurement"/>
    <s v="Stores &amp; Warehouse"/>
    <s v="34"/>
    <s v="Lead - Stores &amp; Warehouse"/>
    <m/>
    <s v="Stores &amp; Warehouse"/>
    <s v="Stores &amp; Warehouse"/>
    <m/>
    <m/>
    <m/>
    <s v="Lead - Stores &amp; Warehouse"/>
    <m/>
    <m/>
    <s v="Hazira"/>
    <d v="1987-05-14T00:00:00"/>
    <n v="36.33698630136986"/>
    <d v="2021-01-02T00:00:00"/>
    <d v="2045-05-31T00:00:00"/>
    <m/>
    <d v="2045-05-31T00:00:00"/>
    <n v="7924"/>
    <s v="O+ve"/>
    <s v="BA'2009, DBM'2011"/>
    <n v="8.050000000000001"/>
    <n v="2.083504449007529"/>
    <n v="10.13350444900753"/>
    <m/>
    <m/>
    <m/>
    <s v="Lead - Stores &amp; Warehouse"/>
    <s v="SSL"/>
    <m/>
    <m/>
    <m/>
    <n v="20001164"/>
    <s v="Snehal Anjaria"/>
    <s v="No"/>
    <s v="Virendra.Singh@ssl.AMNS.in"/>
    <n v="9925241063"/>
    <n v="818991"/>
    <s v="Manjit Shah"/>
    <s v="Anil Matoo"/>
    <n v="0"/>
    <s v="Manjit Shah"/>
    <n v="0"/>
  </r>
  <r>
    <n v="7998"/>
    <n v="30094"/>
    <s v="Prashant Vilas Mandavekar"/>
    <s v="AM/NS SSL"/>
    <s v="Onroll"/>
    <s v="M-9"/>
    <n v="9"/>
    <m/>
    <s v="JM"/>
    <s v="M"/>
    <s v="Hazira"/>
    <n v="1"/>
    <m/>
    <x v="23"/>
    <s v="26.11"/>
    <s v="Anil Matoo"/>
    <s v="Ashutosh Telang"/>
    <n v="6"/>
    <s v="HR &amp; Administration"/>
    <s v="Payroll Administration"/>
    <s v="26"/>
    <s v="Lead - HR, IR &amp; Admin"/>
    <m/>
    <s v="HR, IR &amp; Admin"/>
    <s v="HR, IR &amp; Admin"/>
    <m/>
    <m/>
    <m/>
    <s v="Lead - HR, IR &amp; Admin"/>
    <m/>
    <m/>
    <s v="Hazira"/>
    <d v="1988-02-25T00:00:00"/>
    <n v="35.55068493150685"/>
    <d v="2021-06-15T00:00:00"/>
    <d v="2046-02-28T00:00:00"/>
    <m/>
    <d v="2046-02-28T00:00:00"/>
    <n v="8197"/>
    <s v="O+ve"/>
    <s v="MBA- HR 2012, BHTMS 2008"/>
    <n v="8"/>
    <n v="1.634496919917864"/>
    <n v="9.634496919917865"/>
    <m/>
    <m/>
    <m/>
    <s v="Lead - HR, IR &amp; Admin"/>
    <s v="SSL"/>
    <m/>
    <m/>
    <m/>
    <n v="20055071"/>
    <s v="Anirudha Bisoyi"/>
    <s v="No"/>
    <s v="Prashant.Mandavekar@ssl.AMNS.in"/>
    <n v="7486036266"/>
    <n v="846926"/>
    <s v="Manjit Shah"/>
    <s v="Anil Matoo"/>
    <n v="0"/>
    <s v="Manjit Shah"/>
    <n v="0"/>
  </r>
  <r>
    <n v="7999"/>
    <n v="30106"/>
    <s v="Pinkesh Maheshkumar Bhutwala"/>
    <s v="AM/NS SSL"/>
    <s v="Onroll"/>
    <s v="M-9"/>
    <n v="9"/>
    <m/>
    <s v="JM"/>
    <s v="M"/>
    <s v="Hazira"/>
    <n v="1"/>
    <m/>
    <x v="23"/>
    <s v="26.11"/>
    <s v="Anil Matoo"/>
    <s v="Ashutosh Telang"/>
    <n v="6"/>
    <s v="HR &amp; Administration"/>
    <s v="Payroll Administration"/>
    <s v="26"/>
    <s v="Lead - HR, IR &amp; Admin"/>
    <m/>
    <s v="HR, IR &amp; Admin"/>
    <s v="HR, IR &amp; Admin"/>
    <m/>
    <m/>
    <m/>
    <s v="Lead - HR, IR &amp; Admin"/>
    <m/>
    <m/>
    <s v="Hazira"/>
    <d v="1992-10-23T00:00:00"/>
    <n v="30.88767123287671"/>
    <d v="2022-09-01T00:00:00"/>
    <d v="2050-10-31T00:00:00"/>
    <m/>
    <d v="2050-10-31T00:00:00"/>
    <n v="9903"/>
    <s v="B+ve"/>
    <s v="P.G.D. HRM-2016,MLW-2016,B. Com.-2014"/>
    <n v="7"/>
    <n v="0.4216290212183436"/>
    <n v="7.421629021218344"/>
    <m/>
    <m/>
    <m/>
    <s v="Lead - HR, IR &amp; Admin"/>
    <s v="SSL"/>
    <m/>
    <m/>
    <m/>
    <n v="20055071"/>
    <s v="Anirudha Bisoyi"/>
    <s v="No"/>
    <s v="pinkesh.bhutwala@ssl.amns.in"/>
    <n v="9624569689"/>
    <n v="1015823"/>
    <s v="Manjit Shah"/>
    <s v="Anil Matoo"/>
    <s v="-"/>
    <s v="Manjit Shah"/>
    <s v="-"/>
  </r>
  <r>
    <n v="8000"/>
    <n v="30132"/>
    <s v="Pareshbhai Nathubhai Patel"/>
    <s v="AM/NS SSL"/>
    <s v="Onroll"/>
    <s v="M-9"/>
    <n v="9"/>
    <m/>
    <s v="JM"/>
    <s v="M"/>
    <s v="Hazira"/>
    <n v="1"/>
    <m/>
    <x v="12"/>
    <s v="35.01"/>
    <s v="Hrishikesh Kamat"/>
    <s v="Hrishikesh Kamat"/>
    <n v="7"/>
    <s v="Procurement"/>
    <s v="Land Acquisition"/>
    <s v="35"/>
    <s v="Officer-Land Acqusition"/>
    <m/>
    <s v="Land Acquisition"/>
    <s v="Land Acquisition"/>
    <m/>
    <m/>
    <m/>
    <s v="Officer-Land Matters"/>
    <m/>
    <m/>
    <s v="Hazira"/>
    <d v="1982-05-16T00:00:00"/>
    <n v="41.33424657534247"/>
    <d v="2022-10-06T00:00:00"/>
    <d v="2040-05-31T00:00:00"/>
    <m/>
    <d v="2040-05-31T00:00:00"/>
    <n v="6098"/>
    <s v="AB+ve"/>
    <s v="B.A.-2016"/>
    <n v="5"/>
    <n v="0.3258042436687201"/>
    <n v="5.325804243668721"/>
    <m/>
    <m/>
    <m/>
    <s v="Officer-Land Matters"/>
    <s v="SSL"/>
    <m/>
    <m/>
    <m/>
    <n v="20057928"/>
    <s v="Manu Kapoor"/>
    <s v="No"/>
    <s v="paresh.patel@ssl.amns.in"/>
    <n v="7283833888"/>
    <m/>
    <s v="Manjit Shah"/>
    <s v="Anil Matoo"/>
    <s v="-"/>
    <s v="Manjit Shah"/>
    <s v="-"/>
  </r>
  <r>
    <n v="8001"/>
    <n v="30140"/>
    <s v="Shurtik Prasadbhai Patel"/>
    <s v="AM/NS SSL"/>
    <s v="Onroll"/>
    <s v="M-11"/>
    <n v="11"/>
    <m/>
    <s v="JM"/>
    <s v="M"/>
    <s v="Hazira"/>
    <n v="1"/>
    <m/>
    <x v="12"/>
    <s v="35.01"/>
    <s v="Hrishikesh Kamat"/>
    <s v="Hrishikesh Kamat"/>
    <n v="7"/>
    <s v="Procurement"/>
    <s v="Land Acquisition"/>
    <s v="35"/>
    <s v="Officer-Land Matters"/>
    <m/>
    <s v="Land Acquisition"/>
    <s v="Land Matters"/>
    <m/>
    <m/>
    <m/>
    <s v="Officer-Land Matters"/>
    <m/>
    <m/>
    <s v="Hazira"/>
    <d v="2001-01-01T00:00:00"/>
    <n v="22.69041095890411"/>
    <d v="2022-11-04T00:00:00"/>
    <d v="2058-12-31T00:00:00"/>
    <m/>
    <d v="2058-12-31T00:00:00"/>
    <n v="12886"/>
    <m/>
    <s v="H.S.C.-2018, S.S.C.-2016"/>
    <n v="3"/>
    <n v="0.2464065708418891"/>
    <n v="3.246406570841889"/>
    <m/>
    <m/>
    <m/>
    <s v="Officer-Land Matters"/>
    <s v="SSL"/>
    <m/>
    <m/>
    <m/>
    <n v="20057714"/>
    <s v="Anand Purohit"/>
    <s v="No"/>
    <s v="shurtik.patel@ssl.amns.in"/>
    <n v="9925094876"/>
    <n v="1025511"/>
    <s v="Manjit Shah"/>
    <s v="Anil Matoo"/>
    <s v="-"/>
    <s v="Manjit Shah"/>
    <s v="-"/>
  </r>
  <r>
    <n v="8040"/>
    <n v="30192"/>
    <s v="Vasantbhai Patel"/>
    <s v="AM/NS SSL"/>
    <s v="Onroll"/>
    <s v="M-11"/>
    <n v="11"/>
    <m/>
    <s v="JM"/>
    <s v="M"/>
    <s v="Hazira"/>
    <n v="1"/>
    <m/>
    <x v="6"/>
    <s v="24.08"/>
    <s v="Anil Matoo"/>
    <s v="Ashutosh Telang"/>
    <n v="6"/>
    <s v="HR &amp; Administration"/>
    <s v="Administration"/>
    <s v="24"/>
    <s v="Management Associate"/>
    <m/>
    <m/>
    <m/>
    <m/>
    <m/>
    <m/>
    <s v="Management Associate"/>
    <m/>
    <m/>
    <s v="Hazira"/>
    <d v="1987-05-28T00:00:00"/>
    <n v="36.2986301369863"/>
    <d v="2023-04-01T00:00:00"/>
    <d v="2045-05-31T00:00:00"/>
    <m/>
    <d v="2045-05-31T00:00:00"/>
    <n v="7924"/>
    <s v="O+ve"/>
    <s v="SSC-2002, ITI (MMCP) - 2004"/>
    <n v="16"/>
    <n v="0.4301369863013699"/>
    <n v="16.43013698630137"/>
    <m/>
    <m/>
    <m/>
    <s v="Management Associate"/>
    <s v="SSL"/>
    <m/>
    <m/>
    <m/>
    <n v="20056012"/>
    <s v="Ujwal Punia"/>
    <s v="No"/>
    <s v="vasant.patel@ssl.amns.in"/>
    <n v="7227043135"/>
    <m/>
    <s v="Manjit Shah"/>
    <s v="Anil Matoo"/>
    <s v="-"/>
    <s v="Manjit Shah"/>
    <s v="-"/>
  </r>
  <r>
    <n v="8051"/>
    <n v="30203"/>
    <s v="Yunas Ali"/>
    <s v="AM/NS SSL"/>
    <s v="Onroll"/>
    <s v="M-11"/>
    <n v="11"/>
    <m/>
    <s v="JM"/>
    <s v="M"/>
    <s v="Hazira"/>
    <n v="1"/>
    <m/>
    <x v="6"/>
    <s v="24.08"/>
    <s v="Anil Matoo"/>
    <s v="Ashutosh Telang"/>
    <n v="6"/>
    <s v="HR &amp; Administration"/>
    <s v="Administration"/>
    <s v="24"/>
    <s v="Associate"/>
    <m/>
    <m/>
    <m/>
    <m/>
    <m/>
    <m/>
    <s v="Associate"/>
    <m/>
    <m/>
    <s v="Hazira"/>
    <d v="1974-09-01T00:00:00"/>
    <n v="49.04383561643836"/>
    <d v="2023-04-13T00:00:00"/>
    <d v="2032-08-31T00:00:00"/>
    <d v="2025-04-13T00:00:00"/>
    <d v="2025-04-13T00:00:00"/>
    <n v="3268"/>
    <s v="B+ve"/>
    <s v="Army Graduate - 2012"/>
    <n v="23"/>
    <n v="0.3972602739726027"/>
    <n v="23.3972602739726"/>
    <m/>
    <m/>
    <m/>
    <s v="Associate"/>
    <s v="SSL"/>
    <m/>
    <m/>
    <m/>
    <n v="1770495"/>
    <s v="Remya P R"/>
    <s v="No"/>
    <s v="yunas.ali@ssl.amns.in"/>
    <n v="8094347207"/>
    <m/>
    <s v="Manjit Shah"/>
    <s v="Anil Matoo"/>
    <s v="-"/>
    <s v="Manjit Shah"/>
    <s v="-"/>
  </r>
  <r>
    <n v="8066"/>
    <n v="30218"/>
    <s v="Sowmiya Venkatramani"/>
    <s v="AM/NS SSL"/>
    <s v="Onroll"/>
    <s v="M-11"/>
    <n v="11"/>
    <m/>
    <s v="JM"/>
    <s v="F"/>
    <s v="Hazira"/>
    <n v="1"/>
    <m/>
    <x v="1"/>
    <s v="22.06"/>
    <s v="Anil Matoo"/>
    <s v="Ashutosh Telang"/>
    <n v="6"/>
    <s v="HR &amp; Administration"/>
    <s v="Human Resources"/>
    <s v="22"/>
    <s v="Management Associate"/>
    <m/>
    <m/>
    <m/>
    <m/>
    <m/>
    <m/>
    <s v="Management Associate"/>
    <m/>
    <m/>
    <s v="Hazira"/>
    <s v="17/06/1992"/>
    <n v="31.23835616438356"/>
    <s v="01/08/2023"/>
    <d v="2050-06-30T00:00:00"/>
    <d v="2025-08-01T00:00:00"/>
    <d v="2025-08-01T00:00:00"/>
    <n v="9780"/>
    <s v="A+ve"/>
    <s v="MSW - 2016"/>
    <n v="5.05"/>
    <n v="0.0958904109589041"/>
    <n v="5.145890410958904"/>
    <m/>
    <m/>
    <m/>
    <s v="Management Associate"/>
    <s v="SSL"/>
    <m/>
    <m/>
    <m/>
    <n v="20001265"/>
    <s v="Lakshman Iyer"/>
    <s v="No"/>
    <s v="sowmiya.venkatramani@ssl.amns.in"/>
    <n v="9662315712"/>
    <m/>
    <s v="Manjit Shah"/>
    <s v="Anil Matoo"/>
    <s v="-"/>
    <s v="Manjit Shah"/>
    <s v="-"/>
  </r>
  <r>
    <n v="8068"/>
    <n v="30220"/>
    <s v="Jennifer Varghese"/>
    <s v="AM/NS SSL"/>
    <s v="Onroll"/>
    <s v="M-11"/>
    <n v="11"/>
    <m/>
    <s v="JM"/>
    <s v="F"/>
    <s v="Hazira"/>
    <n v="1"/>
    <m/>
    <x v="6"/>
    <s v="24.08"/>
    <s v="Anil Matoo"/>
    <s v="Ashutosh Telang"/>
    <n v="6"/>
    <s v="HR &amp; Administration"/>
    <s v="Administration"/>
    <s v="24"/>
    <s v="Associate"/>
    <m/>
    <m/>
    <m/>
    <m/>
    <m/>
    <m/>
    <s v="Associate"/>
    <m/>
    <m/>
    <s v="Hazira"/>
    <s v="05/11/1990"/>
    <n v="32.85479452054795"/>
    <s v="07/08/2023"/>
    <d v="2048-11-30T00:00:00"/>
    <d v="2025-08-07T00:00:00"/>
    <d v="2025-08-07T00:00:00"/>
    <n v="9203"/>
    <s v="B +ve"/>
    <s v="B.Com. - 2012"/>
    <n v="10"/>
    <n v="0.07945205479452055"/>
    <n v="10.07945205479452"/>
    <m/>
    <m/>
    <m/>
    <s v="Associate"/>
    <s v="SSL"/>
    <m/>
    <m/>
    <m/>
    <n v="20057891"/>
    <s v="Bhavik Mehta"/>
    <s v="No"/>
    <s v="jennifer.varghese@ssl.amns.in"/>
    <n v="7045727810"/>
    <m/>
    <s v="Manjit Shah"/>
    <s v="Anil Matoo"/>
    <s v="-"/>
    <s v="Manjit Shah"/>
    <s v="-"/>
  </r>
  <r>
    <n v="8068"/>
    <n v="1111"/>
    <s v="Vidyasagar Kona"/>
    <s v="AM/NS India"/>
    <m/>
    <s v="M-6"/>
    <m/>
    <m/>
    <m/>
    <m/>
    <s v="Corporate"/>
    <m/>
    <m/>
    <x v="19"/>
    <m/>
    <s v="Raghavan Aravamudhan"/>
    <s v="Dilip Oommen"/>
    <m/>
    <s v="CEO Office"/>
    <s v="Business Strategy"/>
    <m/>
    <s v="Analyst - Business Strategy"/>
    <m/>
    <s v="Business Strategy"/>
    <s v="Business Strateg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count="1030">
  <r>
    <n v="1"/>
    <n v="20000057"/>
    <s v="Vivek Sanil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Section Head - Banking"/>
    <m/>
    <s v="Treasury &amp; Banking"/>
    <s v="Banking"/>
    <s v="Treasury &amp; Finance"/>
    <s v="Non Technical Support"/>
    <s v="Finance &amp; Accounts"/>
    <s v="Treasury"/>
    <s v="73903001"/>
    <s v="Treasury"/>
    <s v="Mumbai"/>
    <d v="1966-08-12T00:00:00"/>
    <s v="57.01"/>
    <d v="1987-01-01T00:00:00"/>
    <d v="2024-08-31T00:00:00"/>
    <m/>
    <d v="2024-08-31T00:00:00"/>
    <n v="346"/>
    <s v="O-"/>
    <s v="BCom-1989"/>
    <s v=""/>
    <s v="36.08"/>
    <s v="36.08"/>
    <s v="70101920"/>
    <s v="Treasury - Mumbai"/>
    <s v="72153381"/>
    <s v="Section Head - Banking"/>
    <s v="Hazira"/>
    <s v="0090000028"/>
    <s v="Corporate Steel - Wo"/>
    <s v="2000HWO"/>
    <s v="20000870"/>
    <s v="Balajee M"/>
    <s v="No"/>
    <s v="vivek.sanil@amns.in"/>
    <s v="9819730117"/>
    <s v="23918"/>
    <s v="Dhruv Vyas"/>
    <s v="Anil Matoo"/>
    <s v="Praveen Kuruvalli"/>
    <s v="Dhruv Vyas"/>
    <n v="0"/>
  </r>
  <r>
    <n v="2"/>
    <n v="20000083"/>
    <s v="Anil Matoo"/>
    <s v="AM/NS India"/>
    <s v="Onroll"/>
    <s v="M-2"/>
    <n v="2"/>
    <m/>
    <s v="TM"/>
    <s v="M"/>
    <s v="Corporate"/>
    <n v="7"/>
    <s v="2015"/>
    <x v="1"/>
    <s v="22.06"/>
    <s v="Ashutosh Telang"/>
    <s v="Ashutosh Telang"/>
    <n v="6"/>
    <s v="HR &amp; Administration"/>
    <s v="Human Resources"/>
    <s v="22"/>
    <s v="Head - HR IR &amp; Admin"/>
    <m/>
    <s v="Human Resources"/>
    <s v="HR &amp; Administration"/>
    <s v="HR &amp; Administration"/>
    <s v="Non Technical Support"/>
    <s v="Human Resources Management"/>
    <s v="Human Resources Management"/>
    <s v="73501001"/>
    <s v="Human Resources"/>
    <s v="AM/NS Hazira"/>
    <d v="1964-04-29T00:00:00"/>
    <s v="59.04"/>
    <d v="1988-08-29T00:00:00"/>
    <d v="2024-04-30T00:00:00"/>
    <m/>
    <d v="2024-04-30T00:00:00"/>
    <n v="223"/>
    <s v="O-"/>
    <s v="MBA-2011 , MSW-1988 , BSc-1988"/>
    <s v="01.00"/>
    <s v="35.00"/>
    <s v="36.00"/>
    <s v="70040651"/>
    <s v="HR Operations, IR &amp; Administration"/>
    <s v="70444350"/>
    <s v="Head - HR IR &amp; Admin"/>
    <s v="Confidential Payroll"/>
    <s v="0090000018"/>
    <s v="CORP Group - HR"/>
    <s v="2000CS"/>
    <s v="20059024"/>
    <s v="Keiji Kubota"/>
    <s v="No"/>
    <s v="anil.matoo@amns.in"/>
    <s v="9879102999"/>
    <s v="22563"/>
    <s v="Dhruv Vyas"/>
    <s v="Anil Matoo"/>
    <s v="Praveen Kuruvalli"/>
    <s v="Dhruv Vyas"/>
    <n v="0"/>
  </r>
  <r>
    <n v="3"/>
    <n v="20000103"/>
    <s v="M K Sachidanandan Panicker"/>
    <s v="AM/NS India"/>
    <s v="Onroll"/>
    <s v="M-5"/>
    <n v="5"/>
    <m/>
    <s v="MM"/>
    <s v="M"/>
    <s v="Hazira"/>
    <n v="1"/>
    <s v="2039"/>
    <x v="2"/>
    <s v="43.01"/>
    <s v="Sangeeta Munjal"/>
    <s v="Manu Kapoor"/>
    <n v="10"/>
    <s v="Corporate Affairs"/>
    <s v="Corporate Affairs"/>
    <s v="43"/>
    <s v="Sr. Lead - Corporate Affairs"/>
    <m/>
    <s v="Corporate Affairs"/>
    <s v="Corporate Relations Group"/>
    <s v="Corporate Relations Group"/>
    <s v="Non Technical Support"/>
    <s v="Corporate Relations"/>
    <s v="Corporate Affairs"/>
    <s v="74501001"/>
    <s v="Corporate Affairs"/>
    <s v="Ahmedabad"/>
    <d v="1962-05-15T00:00:00"/>
    <s v="61.04"/>
    <d v="1989-04-10T00:00:00"/>
    <d v="2020-05-31T00:00:00"/>
    <d v="2024-03-31T00:00:00"/>
    <d v="2024-03-31T00:00:00"/>
    <n v="193"/>
    <s v="A-"/>
    <s v="Intermediate-1998 , BA-1998"/>
    <s v="06.07"/>
    <s v="34.05"/>
    <s v="41.00"/>
    <s v="70492729"/>
    <s v="Corporate Affairs - Gujarat"/>
    <s v="70323864"/>
    <s v="JGM - Corporate Affairs"/>
    <s v="Hazira"/>
    <s v="0090000016"/>
    <s v="Corporate Steel - Co"/>
    <s v="2000HWO"/>
    <s v="20055200"/>
    <s v="Umesh Nayak"/>
    <s v="No"/>
    <s v="sachidanandan.panicker@amns.in"/>
    <s v="9979868801"/>
    <s v="22965"/>
    <s v="Dhruv Vyas"/>
    <s v="Anil Matoo"/>
    <s v="Praveen Kuruvalli"/>
    <s v="Dhruv Vyas"/>
    <n v="0"/>
  </r>
  <r>
    <n v="7"/>
    <n v="20000138"/>
    <s v="Suresh Iyer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- Internal Contro &amp; SOX"/>
    <m/>
    <s v="Internal Control &amp; SOX"/>
    <s v="Internal Control &amp; SOX"/>
    <s v="Internal Audit"/>
    <s v="Non Technical Support"/>
    <s v="Chairman's Secretariat"/>
    <s v="Chairman's Secretariat"/>
    <s v="74701000"/>
    <s v="Chairman's Secretariat"/>
    <s v="Mumbai"/>
    <d v="1965-08-25T00:00:00"/>
    <s v="58.00"/>
    <d v="1989-10-16T00:00:00"/>
    <d v="2023-08-31T00:00:00"/>
    <m/>
    <d v="2023-08-31T00:00:00"/>
    <n v="-20"/>
    <s v="O-"/>
    <s v="ICWA Final-1989 , CA Final-1989"/>
    <s v=""/>
    <s v="33.11"/>
    <s v="33.11"/>
    <s v="72150219"/>
    <s v="Internal Control &amp; SOX -1"/>
    <s v="70028340"/>
    <s v="Head - Internal Contro &amp; SOX"/>
    <s v="Corporate"/>
    <s v="0031950043"/>
    <s v="HZ-Performance Manag"/>
    <s v="2000CS"/>
    <s v="20055088"/>
    <s v="Amit Harlalka"/>
    <s v="No"/>
    <s v="suresh.iyer@amns.in"/>
    <s v="9819730194"/>
    <s v="21934"/>
    <s v="Dhruv Vyas"/>
    <s v="Anil Matoo"/>
    <s v="Praveen Kuruvalli"/>
    <s v="Dhruv Vyas"/>
    <n v="0"/>
  </r>
  <r>
    <n v="11"/>
    <n v="20000200"/>
    <s v="A Venkateswara Rao"/>
    <s v="AM/NS India"/>
    <s v="Onroll"/>
    <s v="M-6"/>
    <n v="6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Section In-Charge- Procurement"/>
    <m/>
    <s v="Procurement"/>
    <s v="Purchase"/>
    <s v="Purchase"/>
    <s v="Non Technical Support"/>
    <s v="Commercial"/>
    <s v="Purchase"/>
    <s v="73804001"/>
    <s v="Purchase"/>
    <s v="Vizag"/>
    <d v="1966-08-31T00:00:00"/>
    <s v="57.00"/>
    <d v="1990-08-08T00:00:00"/>
    <d v="2024-08-31T00:00:00"/>
    <m/>
    <d v="2024-08-31T00:00:00"/>
    <n v="346"/>
    <s v="B-"/>
    <s v="Diploma-2011 , MBA-2011 , BCom-1988"/>
    <s v="01.06"/>
    <s v="33.01"/>
    <s v="34.07"/>
    <s v="00048348"/>
    <s v="Procurement - Vizag"/>
    <s v="72150331"/>
    <s v="Section In-Charge- Procurement"/>
    <s v="Vizag"/>
    <s v="0028030019"/>
    <s v="VIZ-Personnel &amp; Admi"/>
    <s v="2000VIZOPS"/>
    <s v="20011945"/>
    <s v="Raghavendra Rao Yerramsetty"/>
    <s v="No"/>
    <s v="venkateshwara.rao@amns.in"/>
    <s v="9885310935"/>
    <s v="23719"/>
    <s v="DS Varma"/>
    <s v="Anil Matoo"/>
    <s v="Praveen Kuruvalli"/>
    <s v="Dhruv Vyas"/>
    <n v="0"/>
  </r>
  <r>
    <n v="12"/>
    <n v="20000201"/>
    <s v="Manish Bakriwala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Head -Procurement (MRO/IP &amp; Consumables"/>
    <m/>
    <s v="Procurement MRO Hazira"/>
    <s v="Procurement"/>
    <s v="Procurement"/>
    <s v="Non Technical Support"/>
    <s v="Commercial"/>
    <s v="Procurement"/>
    <s v="73803001"/>
    <s v="Procurement"/>
    <s v="AM/NS Hazira"/>
    <d v="1968-04-06T00:00:00"/>
    <s v="55.05"/>
    <d v="1990-08-20T00:00:00"/>
    <d v="2026-04-30T00:00:00"/>
    <m/>
    <d v="2026-04-30T00:00:00"/>
    <n v="953"/>
    <s v="AB-"/>
    <s v="BE-1985 , Intermediate-1985"/>
    <s v="00.08"/>
    <s v="33.00"/>
    <s v="33.08"/>
    <s v="72150383"/>
    <s v="Procurement (MRO/IP &amp; Consumable)"/>
    <s v="72152818"/>
    <s v="Head -Procurement (MRO/IP &amp; Consumables"/>
    <s v="Hazira"/>
    <s v="0031950048"/>
    <s v="HZ-Procurment Depart"/>
    <s v="2000HWO"/>
    <s v="20055090"/>
    <s v="Hrishikesh Kamat"/>
    <s v="No"/>
    <s v="manish.bakriwala@amns.in"/>
    <s v="9909901215"/>
    <s v="21143"/>
    <s v="Dhruv Vyas"/>
    <s v="Anil Matoo"/>
    <s v="Praveen Kuruvalli"/>
    <s v="Dhruv Vyas"/>
    <n v="0"/>
  </r>
  <r>
    <n v="19"/>
    <n v="20000253"/>
    <s v="Deepak Sindkar"/>
    <s v="AM/NS India"/>
    <s v="Onroll"/>
    <s v="M-3"/>
    <n v="3"/>
    <m/>
    <s v="SM"/>
    <s v="M"/>
    <s v="Hazira"/>
    <n v="1"/>
    <s v="2095"/>
    <x v="4"/>
    <n v="36.01"/>
    <s v="Hrishikesh Kamat"/>
    <s v="Hrishikesh Kamat"/>
    <n v="7"/>
    <s v="Procurement"/>
    <s v="Raw Materials"/>
    <s v="36"/>
    <s v="Head - Bulk Raw Material"/>
    <m/>
    <s v="Bulk Raw Materials"/>
    <s v="Raw Material"/>
    <s v="Bulk Raw Material"/>
    <s v="Non Technical Support"/>
    <s v="Commercial"/>
    <s v="Procurement"/>
    <s v="73803001"/>
    <s v="Procurement"/>
    <s v="AM/NS Hazira"/>
    <d v="1967-12-11T00:00:00"/>
    <s v="55.09"/>
    <d v="1991-04-22T00:00:00"/>
    <d v="2025-12-31T00:00:00"/>
    <m/>
    <d v="2025-12-31T00:00:00"/>
    <n v="833"/>
    <s v="B-"/>
    <s v="PG Diploma in Management-1991 , BE-1991"/>
    <s v=""/>
    <s v="32.04"/>
    <s v="32.04"/>
    <s v="70072409"/>
    <s v="Bulk Raw Materials"/>
    <s v="72150892"/>
    <s v="Head - Bulk Raw Material"/>
    <s v="Confidential Payroll"/>
    <s v="0031950048"/>
    <s v="HZ-Procurment Depart"/>
    <s v="2000HWO"/>
    <s v="20055090"/>
    <s v="Hrishikesh Kamat"/>
    <s v="No"/>
    <s v="deepak.sindkar@amns.in"/>
    <s v="9879100345"/>
    <s v="24214"/>
    <s v="Dhruv Vyas"/>
    <s v="Anil Matoo"/>
    <s v="Praveen Kuruvalli"/>
    <s v="Dhruv Vyas"/>
    <n v="0"/>
  </r>
  <r>
    <n v="25"/>
    <n v="20000273"/>
    <s v="Satyanarayan Iyer"/>
    <s v="AM/NS India"/>
    <s v="Onroll"/>
    <s v="M-8"/>
    <n v="8"/>
    <m/>
    <s v="JM"/>
    <s v="M"/>
    <s v="Corporate"/>
    <n v="7"/>
    <s v="2260"/>
    <x v="5"/>
    <s v="01.01"/>
    <s v="Dilip Oommen"/>
    <s v="Dilip Oommen"/>
    <n v="1"/>
    <s v="CEO Office"/>
    <s v="CEO Office"/>
    <s v="01"/>
    <s v="Secretary to CEO"/>
    <m/>
    <s v="CEO Office"/>
    <s v="CEO Office"/>
    <s v=""/>
    <s v="Non Technical Support"/>
    <s v="Secretary"/>
    <s v="Secretary"/>
    <s v="74601000"/>
    <s v="Secretary"/>
    <s v="AM/NS Hazira"/>
    <d v="1963-02-17T00:00:00"/>
    <s v="60.07"/>
    <d v="1991-09-01T00:00:00"/>
    <d v="2021-02-28T00:00:00"/>
    <d v="2023-08-31T00:00:00"/>
    <d v="2023-08-31T00:00:00"/>
    <n v="-20"/>
    <s v="O-"/>
    <s v="SSLC-1978"/>
    <s v="08.03"/>
    <s v="32.00"/>
    <s v="40.03"/>
    <s v="70176006"/>
    <s v="CEO Office"/>
    <s v="70226714"/>
    <s v="Secretary to CEO"/>
    <s v="Corporate"/>
    <s v="0090000010"/>
    <s v="CEO OFFICE"/>
    <s v="2000CS"/>
    <s v="20055068"/>
    <s v="Dilip Oommen"/>
    <s v="No"/>
    <s v="satyanarayan.iyer@amns.in"/>
    <s v="9879101739"/>
    <s v="21933"/>
    <s v="Dhruv Vyas"/>
    <s v="Anil Matoo"/>
    <s v="Praveen Kuruvalli"/>
    <s v="Dhruv Vyas"/>
    <n v="0"/>
  </r>
  <r>
    <n v="31"/>
    <n v="20000318"/>
    <s v="Gulammohamad Agahasham Vahora"/>
    <s v="AM/NS India"/>
    <s v="Onroll"/>
    <s v="M-7"/>
    <n v="7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- Travel Desk"/>
    <m/>
    <s v="Administration"/>
    <s v=""/>
    <s v=""/>
    <s v="Non Technical Support"/>
    <s v="Administration"/>
    <s v="Travel Services"/>
    <s v="74106002"/>
    <s v="Transport Operations"/>
    <s v="AM/NS Hazira"/>
    <d v="1965-06-07T00:00:00"/>
    <s v="58.03"/>
    <d v="1991-11-16T00:00:00"/>
    <d v="2023-06-30T00:00:00"/>
    <d v="2024-06-30T00:00:00"/>
    <d v="2024-06-30T00:00:00"/>
    <n v="284"/>
    <s v="O-"/>
    <s v="BA-1990"/>
    <s v="02.10"/>
    <s v="31.10"/>
    <s v="34.07"/>
    <s v="00046249"/>
    <s v="Travel Desk"/>
    <s v="70493534"/>
    <s v="Head - Travel Desk"/>
    <s v="Hazira"/>
    <s v="0031950061"/>
    <s v="HZ-Human Resource"/>
    <s v="2000HWO"/>
    <s v="20000083"/>
    <s v="Anil Matoo"/>
    <s v="No"/>
    <s v="gulammohamad.vahora@amns.in"/>
    <s v="9879101212"/>
    <s v="24620"/>
    <s v="Dhruv Vyas"/>
    <s v="Anil Matoo"/>
    <s v="Praveen Kuruvalli"/>
    <s v="Dhruv Vyas"/>
    <n v="0"/>
  </r>
  <r>
    <n v="34"/>
    <n v="20000329"/>
    <s v="Ashwinbhai Patel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67-06-30T00:00:00"/>
    <s v="56.02"/>
    <d v="1991-12-02T00:00:00"/>
    <d v="2025-06-30T00:00:00"/>
    <m/>
    <d v="2025-06-30T00:00:00"/>
    <n v="649"/>
    <s v="B-"/>
    <s v="High School-1991"/>
    <s v=""/>
    <s v="31.09"/>
    <s v="31.09"/>
    <s v="00044156"/>
    <s v="Indirect Taxation - 2"/>
    <s v="70259332"/>
    <s v="Lead - Customs"/>
    <s v="Hazira"/>
    <s v="0031950044"/>
    <s v="HZ-Commercial Taxati"/>
    <s v="2000HWO"/>
    <s v="20006246"/>
    <s v="Deven Sadadiwala"/>
    <s v="No"/>
    <s v="ashwinbhai.patel@amns.in"/>
    <s v="9879102338"/>
    <s v="23094"/>
    <s v="Dhruv Vyas"/>
    <s v="Anil Matoo"/>
    <s v="Praveen Kuruvalli"/>
    <s v="Dhruv Vyas"/>
    <n v="0"/>
  </r>
  <r>
    <n v="35"/>
    <n v="20000330"/>
    <s v="Arvindbhai Patel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Receipt"/>
    <m/>
    <s v="Stores &amp; Warehouse"/>
    <s v="Stores &amp; Warehouse"/>
    <s v="&quot;&quot;&quot;Issue &amp; Receipt - Oil &amp; Gas"/>
    <s v="Non Technical Support"/>
    <s v="Commercial"/>
    <s v="Stores &amp; Warehouse"/>
    <s v="73806001"/>
    <s v="Stores &amp; Warehouse"/>
    <s v="Hazira"/>
    <d v="1967-11-14T00:00:00"/>
    <s v="55.10"/>
    <d v="1991-12-02T00:00:00"/>
    <d v="2025-11-30T00:00:00"/>
    <m/>
    <d v="2025-11-30T00:00:00"/>
    <n v="802"/>
    <s v="B-"/>
    <s v="High School-1984"/>
    <s v=""/>
    <s v="31.09"/>
    <s v="31.09"/>
    <s v="00048783"/>
    <s v="HBI, BF, Plant B &amp; Plate Mill"/>
    <s v="70226659"/>
    <s v="Section Officer - Issue/Receipt"/>
    <s v="Hazira"/>
    <s v="0031950049"/>
    <s v="HZ-Central Stores"/>
    <s v="2000HWO"/>
    <s v="20005165"/>
    <s v="Parthiv Desai"/>
    <s v="No"/>
    <s v="arvind.patel@amns.in"/>
    <s v="9879102337"/>
    <s v="23088"/>
    <s v="Dhruv Vyas"/>
    <s v="Anil Matoo"/>
    <s v="Praveen Kuruvalli"/>
    <s v="Dhruv Vyas"/>
    <n v="0"/>
  </r>
  <r>
    <n v="53"/>
    <n v="20000519"/>
    <s v="Dandu Srinivas Varma"/>
    <s v="AM/NS India"/>
    <s v="Onroll"/>
    <s v="M-5"/>
    <n v="5"/>
    <m/>
    <s v="MM"/>
    <s v="M"/>
    <s v="Vizag"/>
    <n v="3"/>
    <s v="2015"/>
    <x v="1"/>
    <s v="22.06"/>
    <s v="Anil Matoo"/>
    <s v="Ashutosh Telang"/>
    <n v="6"/>
    <s v="HR &amp; Administration"/>
    <s v="Human Resources"/>
    <s v="22"/>
    <s v="Head HR IR &amp; Admin - Vizag Asset"/>
    <m/>
    <s v="Human Resources"/>
    <s v="HR &amp; Admin"/>
    <s v="HR &amp; Admin"/>
    <s v="Non Technical Support"/>
    <s v="Human Resources Management"/>
    <s v="Human Resources Management"/>
    <s v="73501001"/>
    <s v="Human Resources"/>
    <s v="Vizag"/>
    <d v="1967-10-29T00:00:00"/>
    <s v="55.10"/>
    <d v="1993-11-01T00:00:00"/>
    <d v="2025-10-31T00:00:00"/>
    <m/>
    <d v="2025-10-31T00:00:00"/>
    <n v="772"/>
    <s v="A-"/>
    <s v="BCom-1992 , PG Diploma in Management-199"/>
    <s v=""/>
    <s v="29.10"/>
    <s v="29.10"/>
    <s v="72150111"/>
    <s v="Vizag HR Operations &amp; Administration"/>
    <s v="72150364"/>
    <s v="Head HR IR &amp; Admin - Vizag Asset"/>
    <s v="Vizag"/>
    <s v="0028030019"/>
    <s v="VIZ-Personnel &amp; Admi"/>
    <s v="2000VIZOPS"/>
    <s v="20000083"/>
    <s v="Anil Matoo"/>
    <s v="No"/>
    <s v="dandu.varma@amns.in"/>
    <s v="9885310951"/>
    <s v="24643"/>
    <s v="DS Varma"/>
    <s v="Anil Matoo"/>
    <s v="Praveen Kuruvalli"/>
    <s v="Dhruv Vyas"/>
    <n v="0"/>
  </r>
  <r>
    <n v="87"/>
    <n v="20000637"/>
    <s v="Kedar Rajwade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Electrical"/>
    <m/>
    <s v="Procurement MRO Hazira"/>
    <s v="Procurement"/>
    <s v="Electrical Switch Gears and power systems - Hazira Complex"/>
    <s v="Non Technical Support"/>
    <s v="Commercial"/>
    <s v="Procurement"/>
    <s v="73803001"/>
    <s v="Procurement"/>
    <s v="AM/NS Hazira"/>
    <d v="1971-07-19T00:00:00"/>
    <s v="52.02"/>
    <d v="1994-09-12T00:00:00"/>
    <d v="2029-07-31T00:00:00"/>
    <m/>
    <d v="2029-07-31T00:00:00"/>
    <n v="2141"/>
    <s v="O-"/>
    <s v="Diploma-1990 , Diploma-1990"/>
    <s v="01.00"/>
    <s v="29.00"/>
    <s v="30.00"/>
    <s v="00044546"/>
    <s v="Procurement Electrical"/>
    <s v="70144107"/>
    <s v="Lead – Proc Electrical"/>
    <s v="Hazira"/>
    <s v="0031950048"/>
    <s v="HZ-Procurment Depart"/>
    <s v="2000HWO"/>
    <s v="20002746"/>
    <s v="Deep Pyne"/>
    <s v="No"/>
    <s v="kedar.rajwade@amns.in"/>
    <s v="9879101151"/>
    <s v="23654"/>
    <s v="Dhruv Vyas"/>
    <s v="Anil Matoo"/>
    <s v="Praveen Kuruvalli"/>
    <s v="Dhruv Vyas"/>
    <n v="0"/>
  </r>
  <r>
    <n v="91"/>
    <n v="20000678"/>
    <s v="Bella Fernandes"/>
    <s v="AM/NS India"/>
    <s v="Onroll"/>
    <s v="M-5"/>
    <n v="5"/>
    <m/>
    <s v="MM"/>
    <s v="F"/>
    <s v="Hazira"/>
    <n v="7"/>
    <s v="2069"/>
    <x v="8"/>
    <s v="25.01"/>
    <s v="Bibek Chattopadhyay"/>
    <s v="Ashutosh Telang"/>
    <n v="6"/>
    <s v="HR &amp; Administration"/>
    <s v="Corporate Communications"/>
    <s v="25"/>
    <s v="Public Relation Officer"/>
    <m/>
    <s v="Corporate Communications"/>
    <s v="Corporate Communications"/>
    <s v="Corporate Communications"/>
    <s v="Non Technical Support"/>
    <s v="Corporate Communication"/>
    <s v="Corporate Communication"/>
    <s v="74001001"/>
    <s v="Corporate Communication"/>
    <s v="AM/NS Hazira"/>
    <d v="1962-12-02T00:00:00"/>
    <s v="60.09"/>
    <d v="1994-11-14T00:00:00"/>
    <d v="2020-12-31T00:00:00"/>
    <d v="2024-03-31T00:00:00"/>
    <d v="2024-03-31T00:00:00"/>
    <n v="193"/>
    <s v="A-"/>
    <s v="BA-1984"/>
    <s v="10.10"/>
    <s v="28.10"/>
    <s v="39.08"/>
    <s v="70318583"/>
    <s v="Communications &amp; Media Relations"/>
    <s v="70320223"/>
    <s v="JGM - Public Relations"/>
    <s v="Corporate"/>
    <s v="0090000016"/>
    <s v="Corporate Steel - Co"/>
    <s v="2000CS"/>
    <s v="20055187"/>
    <s v="Bibek Chattopadhyay"/>
    <s v="No"/>
    <s v="bella.fernandes@amns.in"/>
    <s v="9879101222"/>
    <s v="21717"/>
    <s v="Dhruv Vyas"/>
    <s v="Anil Matoo"/>
    <s v="Praveen Kuruvalli"/>
    <s v="Dhruv Vyas"/>
    <n v="0"/>
  </r>
  <r>
    <n v="92"/>
    <n v="20000679"/>
    <s v="Dinesh Mangal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- Corporate Accounts &amp; Audit"/>
    <m/>
    <s v="Corporate Accounts"/>
    <s v="Corporate Accounts &amp; Audit"/>
    <s v="Procurement"/>
    <s v="Non Technical Support"/>
    <s v="Finance &amp; Accounts"/>
    <s v="Finance &amp; Accounts"/>
    <s v="73901002"/>
    <s v="Corporate Accounts &amp; Audi"/>
    <s v="AM/NS Hazira"/>
    <d v="1971-01-03T00:00:00"/>
    <s v="52.08"/>
    <d v="1994-11-16T00:00:00"/>
    <d v="2029-01-31T00:00:00"/>
    <m/>
    <d v="2029-01-31T00:00:00"/>
    <n v="1960"/>
    <s v="B-"/>
    <s v="BCom-1994 , CA Final-1994 , Intermediate"/>
    <s v=""/>
    <s v="28.10"/>
    <s v="28.10"/>
    <s v="72150475"/>
    <s v="Corporate Accounts &amp; Audit"/>
    <s v="72152588"/>
    <s v="Head - Corporate Accounts &amp; Audit"/>
    <s v="Hazira"/>
    <s v="0090000027"/>
    <s v="Corporate Steel - Ac"/>
    <s v="2000HWO"/>
    <s v="20057933"/>
    <s v="Akiyo Omori"/>
    <s v="No"/>
    <s v="dinesh.mangal@amns.in"/>
    <s v="9879100350"/>
    <s v="22531"/>
    <s v="Dhruv Vyas"/>
    <s v="Anil Matoo"/>
    <s v="Praveen Kuruvalli"/>
    <s v="Dhruv Vyas"/>
    <n v="0"/>
  </r>
  <r>
    <n v="116"/>
    <n v="20000746"/>
    <s v="Keyur Shah"/>
    <s v="AM/NS India"/>
    <s v="Onroll"/>
    <s v="M-6"/>
    <n v="6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Senior Lead - Contracts"/>
    <m/>
    <s v="Contracts"/>
    <s v="Contracts"/>
    <s v="Plate mill, Pipe Mill, CMD/CEID, Project, Utility"/>
    <s v="Non Technical Support"/>
    <s v="Commercial"/>
    <s v="Contracts &amp; Tenders and E-bid"/>
    <s v="73805001"/>
    <s v="Contracts &amp; Tenders and E"/>
    <s v="AM/NS Hazira"/>
    <d v="1971-03-07T00:00:00"/>
    <s v="52.06"/>
    <d v="1994-12-20T00:00:00"/>
    <d v="2029-03-31T00:00:00"/>
    <m/>
    <d v="2029-03-31T00:00:00"/>
    <n v="2019"/>
    <s v="B-"/>
    <s v="Diploma-1993 , Diploma-1993 , MBA-1990"/>
    <s v="01.10"/>
    <s v="28.09"/>
    <s v="30.07"/>
    <s v="00044538"/>
    <s v="Contracts - Steel Making Zone"/>
    <s v="72150871"/>
    <s v="Senior Lead - Contracts"/>
    <s v="Hazira"/>
    <s v="0031950047"/>
    <s v="HZ-Contracts"/>
    <s v="2000HWO"/>
    <s v="20000795"/>
    <s v="Pankaj Chaturvedi"/>
    <s v="No"/>
    <s v="keyur.shah@amns.in"/>
    <s v="9879101011"/>
    <s v="24018"/>
    <s v="Dhruv Vyas"/>
    <s v="Anil Matoo"/>
    <s v="Praveen Kuruvalli"/>
    <s v="Dhruv Vyas"/>
    <n v="0"/>
  </r>
  <r>
    <n v="132"/>
    <n v="20000795"/>
    <s v="Pankaj Chaturvedi"/>
    <s v="AM/NS India"/>
    <s v="Onroll"/>
    <s v="M-4"/>
    <n v="4"/>
    <m/>
    <s v="SM"/>
    <s v="M"/>
    <s v="Hazira"/>
    <n v="1"/>
    <s v="2054"/>
    <x v="9"/>
    <s v="32.01"/>
    <s v="Hrishikesh Kamat"/>
    <s v="Hrishikesh Kamat"/>
    <n v="7"/>
    <s v="Procurement"/>
    <s v="Contracts"/>
    <s v="32"/>
    <s v="Head –Contracts Cell"/>
    <m/>
    <s v="Contracts"/>
    <s v="Contracts"/>
    <s v="SMP 1 &amp; 2, HSM, CSP, HBI, MH"/>
    <s v="Non Technical Support"/>
    <s v="Commercial"/>
    <s v="Contracts &amp; Tenders and E-bid"/>
    <s v="73805001"/>
    <s v="Contracts &amp; Tenders and E"/>
    <s v="AM/NS Hazira"/>
    <d v="1975-12-15T00:00:00"/>
    <s v="47.09"/>
    <d v="1995-03-14T00:00:00"/>
    <d v="2033-12-31T00:00:00"/>
    <m/>
    <d v="2033-12-31T00:00:00"/>
    <n v="3755"/>
    <s v="AB-"/>
    <s v="PG Diploma in Management-2011 , Diploma-"/>
    <s v=""/>
    <s v="28.06"/>
    <s v="28.06"/>
    <s v="70495670"/>
    <s v="Contracts"/>
    <s v="72150922"/>
    <s v="Head –Contracts Cell"/>
    <s v="Hazira"/>
    <s v="0031950047"/>
    <s v="HZ-Contracts"/>
    <s v="2000HWO"/>
    <s v="20055090"/>
    <s v="Hrishikesh Kamat"/>
    <s v="No"/>
    <s v="pankaj.chaturvedi@amns.in"/>
    <s v="9879101171"/>
    <s v="21355"/>
    <s v="Dhruv Vyas"/>
    <s v="Anil Matoo"/>
    <s v="Praveen Kuruvalli"/>
    <s v="Dhruv Vyas"/>
    <n v="0"/>
  </r>
  <r>
    <n v="137"/>
    <n v="20000812"/>
    <s v="Sitaram Rege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Sales Head - Gujarat and Mumbai"/>
    <m/>
    <s v="West"/>
    <s v="West"/>
    <s v="West Zone"/>
    <s v="Non Technical Support"/>
    <s v="Sales &amp; Marketing"/>
    <s v="Sales"/>
    <s v="73104004"/>
    <s v="OEM Sales"/>
    <s v="Mumbai"/>
    <d v="1970-07-05T00:00:00"/>
    <s v="53.02"/>
    <d v="1995-04-10T00:00:00"/>
    <d v="2028-07-31T00:00:00"/>
    <m/>
    <d v="2028-07-31T00:00:00"/>
    <n v="1776"/>
    <s v="A-"/>
    <s v="PG Diploma in Management-1994"/>
    <s v="01.08"/>
    <s v="28.05"/>
    <s v="30.00"/>
    <s v="70140931"/>
    <s v="Sales Gujarat &amp; Mumbai Zone"/>
    <s v="70386150"/>
    <s v="Regional Sales Head - Gujarat and Mumbai"/>
    <s v="Hazira"/>
    <s v="0031950057"/>
    <s v="HZ-HRC - Marketing"/>
    <s v="2000HWO"/>
    <s v="20007104"/>
    <s v="Ranjan Dhar"/>
    <s v="No"/>
    <s v="sitaram.rege@amns.in"/>
    <s v="9819730641"/>
    <s v="23785"/>
    <s v="Dhruv Vyas"/>
    <s v="Anil Matoo"/>
    <s v="Praveen Kuruvalli"/>
    <s v="Dhruv Vyas"/>
    <n v="0"/>
  </r>
  <r>
    <n v="157"/>
    <n v="20000868"/>
    <s v="Chakravadhanula Venkataraman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r. Lead - Value added Product Strategy"/>
    <m/>
    <s v="Technical Marketing &amp; Application Engineering"/>
    <s v="Technical Marketing &amp; Application Engineering"/>
    <s v=""/>
    <s v="Non Technical Support"/>
    <s v="Sales &amp; Marketing"/>
    <s v="Sales"/>
    <s v="73104004"/>
    <s v="OEM Sales"/>
    <s v="Pune"/>
    <d v="1970-08-12T00:00:00"/>
    <s v="53.01"/>
    <d v="1995-06-15T00:00:00"/>
    <d v="2028-08-31T00:00:00"/>
    <m/>
    <d v="2028-08-31T00:00:00"/>
    <n v="1807"/>
    <s v="A-"/>
    <s v="MMS-1992 , BTech-1992"/>
    <s v="01.01"/>
    <s v="28.03"/>
    <s v="29.04"/>
    <s v="00052460"/>
    <s v="Auto &amp; YG"/>
    <s v="70389874"/>
    <s v="Sr. Lead - Value added Product Strategy"/>
    <s v="Hazira"/>
    <s v="0080000005"/>
    <s v="Global Markets Team"/>
    <s v="2000HWO"/>
    <s v="20056155"/>
    <s v="Kondapalli Venkateswarlu"/>
    <s v="No"/>
    <s v="srivenkataramana.chakravadhanula@amns.in"/>
    <s v="9930136471"/>
    <s v="24667"/>
    <s v="Dhruv Vyas"/>
    <s v="Anil Matoo"/>
    <s v="Praveen Kuruvalli"/>
    <s v="Dhruv Vyas"/>
    <n v="0"/>
  </r>
  <r>
    <n v="158"/>
    <n v="20000870"/>
    <s v="Balajee M"/>
    <s v="AM/NS India"/>
    <s v="Onroll"/>
    <s v="M-3"/>
    <n v="3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- Treasury &amp; Banking"/>
    <m/>
    <s v="Treasury &amp; Banking"/>
    <s v="Treasury &amp; Banking"/>
    <s v="Treasury &amp; Finance"/>
    <s v="Non Technical Support"/>
    <s v="Finance &amp; Accounts"/>
    <s v="Corporate Finance"/>
    <s v="73902001"/>
    <s v="Corporate Finance"/>
    <s v="Mumbai"/>
    <d v="1967-11-15T00:00:00"/>
    <s v="55.10"/>
    <d v="1995-06-15T00:00:00"/>
    <d v="2025-11-30T00:00:00"/>
    <m/>
    <d v="2025-11-30T00:00:00"/>
    <n v="802"/>
    <s v="AB+"/>
    <s v="PG Diploma in Management-1989 , BSc Engg"/>
    <s v="04.02"/>
    <s v="28.03"/>
    <s v="32.04"/>
    <s v="70494717"/>
    <s v="Treasury &amp; Finance"/>
    <s v="70176647"/>
    <s v="Head - Treasury &amp; Banking"/>
    <s v="Confidential Payroll"/>
    <s v="0090000028"/>
    <s v="Corporate Steel - Wo"/>
    <s v="2000HWO"/>
    <s v="20057933"/>
    <s v="Akiyo Omori"/>
    <s v="No"/>
    <s v="muthukrishnan.balajee@amns.in"/>
    <s v="9819730098"/>
    <s v="21145"/>
    <s v="Dhruv Vyas"/>
    <s v="Anil Matoo"/>
    <s v="Praveen Kuruvalli"/>
    <s v="Dhruv Vyas"/>
    <n v="0"/>
  </r>
  <r>
    <n v="175"/>
    <n v="20000909"/>
    <s v="Murali Krishna Chunduru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Head Sales, South Zone"/>
    <m/>
    <s v="South"/>
    <s v="South"/>
    <s v=""/>
    <s v="Non Technical Support"/>
    <s v="Sales &amp; Marketing"/>
    <s v="Sales"/>
    <s v="73104004"/>
    <s v="OEM Sales"/>
    <s v="Chennai"/>
    <d v="1973-11-19T00:00:00"/>
    <s v="49.09"/>
    <d v="1995-07-10T00:00:00"/>
    <d v="2031-11-30T00:00:00"/>
    <m/>
    <d v="2031-11-30T00:00:00"/>
    <n v="2993"/>
    <s v="O-"/>
    <s v="BTech-1995"/>
    <s v=""/>
    <s v="28.02"/>
    <s v="28.02"/>
    <s v="72150150"/>
    <s v="Sales South Zone"/>
    <s v="70386158"/>
    <s v="Regional Head Sales, South Zone"/>
    <s v="Hazira"/>
    <s v="0031950057"/>
    <s v="HZ-HRC - Marketing"/>
    <s v="2000HWO"/>
    <s v="20007104"/>
    <s v="Ranjan Dhar"/>
    <s v="No"/>
    <s v="muralikrishna.chunduru@amns.in"/>
    <s v="9884974923"/>
    <s v="22731"/>
    <s v="Dhruv Vyas"/>
    <s v="Anil Matoo"/>
    <s v="Praveen Kuruvalli"/>
    <s v="Dhruv Vyas"/>
    <n v="0"/>
  </r>
  <r>
    <n v="178"/>
    <n v="20000926"/>
    <s v="Manishkumar Seksaria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Section Head – Pro Iron &amp; Steel Making"/>
    <m/>
    <s v="Procurement MRO Hazira"/>
    <s v="Procurement"/>
    <s v="Iron &amp; Steel Making"/>
    <s v="Non Technical Support"/>
    <s v="Commercial"/>
    <s v="Procurement"/>
    <s v="73803001"/>
    <s v="Procurement"/>
    <s v="AM/NS Hazira"/>
    <d v="1969-11-03T00:00:00"/>
    <s v="53.10"/>
    <d v="1995-08-14T00:00:00"/>
    <d v="2027-11-30T00:00:00"/>
    <m/>
    <d v="2027-11-30T00:00:00"/>
    <n v="1532"/>
    <s v="O-"/>
    <s v="BE-1995 , MBA-1995"/>
    <s v="02.00"/>
    <s v="28.01"/>
    <s v="30.01"/>
    <s v="70072411"/>
    <s v="Iron &amp; Steel Making"/>
    <s v="72150870"/>
    <s v="Section Head – Pro Iron &amp; Steel Making"/>
    <s v="Hazira"/>
    <s v="0031950048"/>
    <s v="HZ-Procurment Depart"/>
    <s v="2000HWO"/>
    <s v="20000201"/>
    <s v="Manish Bakriwala"/>
    <s v="No"/>
    <s v="manish.seksaria@amns.in"/>
    <s v="9879100306"/>
    <s v="23981"/>
    <s v="Dhruv Vyas"/>
    <s v="Anil Matoo"/>
    <s v="Praveen Kuruvalli"/>
    <s v="Dhruv Vyas"/>
    <n v="0"/>
  </r>
  <r>
    <n v="184"/>
    <n v="20000948"/>
    <s v="Hitesh Raval"/>
    <s v="AM/NS India"/>
    <s v="Onroll"/>
    <s v="M-5"/>
    <n v="5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Head -  HRC Store &amp; Inventory"/>
    <m/>
    <s v="Stores &amp; Warehouse"/>
    <s v="Stores &amp; Warehouse"/>
    <s v="HRC Store &amp; Inventory  &amp; Cataloging Mgt."/>
    <s v="Non Technical Support"/>
    <s v="Commercial"/>
    <s v="Stores &amp; Warehouse"/>
    <s v="73806001"/>
    <s v="Stores &amp; Warehouse"/>
    <s v="Hazira"/>
    <d v="1974-01-10T00:00:00"/>
    <s v="49.08"/>
    <d v="1995-11-13T00:00:00"/>
    <d v="2032-01-31T00:00:00"/>
    <m/>
    <d v="2032-01-31T00:00:00"/>
    <n v="3055"/>
    <s v="O-"/>
    <s v="Diploma-2010 , BCom-2010 , MBA-1994"/>
    <s v="01.06"/>
    <s v="27.10"/>
    <s v="29.04"/>
    <s v="70232287"/>
    <s v="HRC Store &amp; Inventory  &amp; Cataloging Mgt."/>
    <s v="70258296"/>
    <s v="&quot; Section Head -  HRC Store &amp; Inventory"/>
    <s v="Hazira"/>
    <s v="0031950049"/>
    <s v="HZ-Central Stores"/>
    <s v="2000HWO"/>
    <s v="20001240"/>
    <s v="Ambrish Chaturvedi"/>
    <s v="No"/>
    <s v="hitesh.raval@amns.in"/>
    <s v="9879101687"/>
    <s v="23760"/>
    <s v="Dhruv Vyas"/>
    <s v="Anil Matoo"/>
    <s v="Praveen Kuruvalli"/>
    <s v="Dhruv Vyas"/>
    <n v="0"/>
  </r>
  <r>
    <n v="202"/>
    <n v="20000990"/>
    <s v="Jignesh Thaker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Baroda"/>
    <d v="1975-09-16T00:00:00"/>
    <s v="48.00"/>
    <d v="1995-12-18T00:00:00"/>
    <d v="2033-09-30T00:00:00"/>
    <m/>
    <d v="2033-09-30T00:00:00"/>
    <n v="3663"/>
    <s v="B-"/>
    <s v="BA-2005 , MBA-2005 , Diploma-2000"/>
    <s v=""/>
    <s v="27.09"/>
    <s v="27.09"/>
    <s v="70394840"/>
    <s v="OEM Sales - Gujarat"/>
    <s v="70448513"/>
    <s v="Sales Manager - Hypermart"/>
    <s v="Hypermart"/>
    <s v="0060110300"/>
    <s v="HMART-Guj-Ahemedabad"/>
    <s v="2000SRET"/>
    <s v="20001736"/>
    <s v="Manoranjan Jagdhari"/>
    <s v="No"/>
    <s v="jignesh.thaker@amns.in"/>
    <s v="9879104379"/>
    <s v="24488"/>
    <s v="Dhruv Vyas"/>
    <s v="Anil Matoo"/>
    <s v="Praveen Kuruvalli"/>
    <s v="Dhruv Vyas"/>
    <n v="0"/>
  </r>
  <r>
    <n v="205"/>
    <n v="20001003"/>
    <s v="Patnana Muralidhara Rao"/>
    <s v="AM/NS India"/>
    <s v="Onroll"/>
    <s v="M-4"/>
    <n v="4"/>
    <m/>
    <s v="SM"/>
    <s v="M"/>
    <s v="Vizag"/>
    <n v="3"/>
    <s v="2013"/>
    <x v="0"/>
    <s v="20.01"/>
    <s v="Akiyo Omori"/>
    <s v="Amit Harlalka"/>
    <n v="5"/>
    <s v="Finance &amp; Accounts"/>
    <s v="Finance &amp; Accounts"/>
    <s v="20"/>
    <s v="Head - Finance &amp; Accounts, Vizag"/>
    <m/>
    <s v="Finance &amp; Accounts - Vizag"/>
    <s v="Finance &amp; Accounts"/>
    <s v="Finance &amp; Accounts"/>
    <s v="Non Technical Support"/>
    <s v="Finance &amp; Accounts"/>
    <s v="Finance &amp; Accounts"/>
    <s v="73901001"/>
    <s v="Finance &amp; Accounts"/>
    <s v="Vizag"/>
    <d v="1960-06-01T00:00:00"/>
    <s v="63.03"/>
    <d v="1996-01-25T00:00:00"/>
    <d v="2018-05-31T00:00:00"/>
    <d v="2024-03-31T00:00:00"/>
    <d v="2024-03-31T00:00:00"/>
    <n v="193"/>
    <s v="O-"/>
    <s v="CA Final-1985 , BCom-1985 , Intermediate"/>
    <s v="10.06"/>
    <s v="27.07"/>
    <s v="38.01"/>
    <s v="72150110"/>
    <s v="Finance &amp; Accounts - Vizag"/>
    <s v="72150352"/>
    <s v="Head - Finance &amp; Accounts, Vizag"/>
    <s v="Vizag"/>
    <s v="0028030019"/>
    <s v="VIZ-Personnel &amp; Admi"/>
    <s v="2000VIZOPS"/>
    <s v="20057933"/>
    <s v="Akiyo Omori"/>
    <s v="No"/>
    <s v="muralidhararao.p@amns.in"/>
    <s v="9885310922"/>
    <s v="22728"/>
    <s v="DS Varma"/>
    <s v="Anil Matoo"/>
    <s v="Praveen Kuruvalli"/>
    <s v="Dhruv Vyas"/>
    <n v="0"/>
  </r>
  <r>
    <n v="227"/>
    <n v="20001076"/>
    <s v="Bhavesh Modi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 - Accounts Payable"/>
    <m/>
    <s v="Working Capital"/>
    <s v="Accounts Payable"/>
    <s v="Export, Domestic &amp; Banking"/>
    <s v="Non Technical Support"/>
    <s v="Finance &amp; Accounts"/>
    <s v="Corporate Finance"/>
    <s v="73902004"/>
    <s v="Banking Relations"/>
    <s v="AM/NS Hazira"/>
    <d v="1975-02-07T00:00:00"/>
    <s v="48.07"/>
    <d v="1996-05-05T00:00:00"/>
    <d v="2033-02-28T00:00:00"/>
    <m/>
    <d v="2033-02-28T00:00:00"/>
    <n v="3449"/>
    <s v="A-"/>
    <s v="LLB-2005 , MBA-2005 , BCom-1997"/>
    <s v=""/>
    <s v="27.04"/>
    <s v="27.04"/>
    <s v="72150243"/>
    <s v="Accounts Payable"/>
    <s v="70258433"/>
    <s v="Head - Accounts Payable"/>
    <s v="Hazira"/>
    <s v="0031950045"/>
    <s v="HZ-Works Accounts-Ha"/>
    <s v="2000HWO"/>
    <s v="20055188"/>
    <s v="Rohit Sharma"/>
    <s v="No"/>
    <s v="bhavesh.modi@amns.in"/>
    <s v="9879101765"/>
    <s v="22662"/>
    <s v="Dhruv Vyas"/>
    <s v="Anil Matoo"/>
    <s v="Praveen Kuruvalli"/>
    <s v="Dhruv Vyas"/>
    <n v="0"/>
  </r>
  <r>
    <n v="228"/>
    <n v="20001077"/>
    <s v="Pradeep Parte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ection Head - Export Domestic &amp;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0-04-15T00:00:00"/>
    <s v="53.05"/>
    <d v="1996-05-06T00:00:00"/>
    <d v="2028-04-30T00:00:00"/>
    <m/>
    <d v="2028-04-30T00:00:00"/>
    <n v="1684"/>
    <s v="B-"/>
    <s v="MBA-2003 , Diploma-2003"/>
    <s v="06.01"/>
    <s v="27.04"/>
    <s v="33.05"/>
    <s v="70495314"/>
    <s v="Export, Domestic &amp; Banking"/>
    <s v="72150854"/>
    <s v="Section Head - Export Domestic &amp; Banking"/>
    <s v="Hazira"/>
    <s v="0031950045"/>
    <s v="HZ-Works Accounts-Ha"/>
    <s v="2000HWO"/>
    <s v="20007731"/>
    <s v="Ashish Mehta"/>
    <s v="No"/>
    <s v="pradeep.parte@amns.in"/>
    <s v="9879101840"/>
    <s v="23038"/>
    <s v="Dhruv Vyas"/>
    <s v="Anil Matoo"/>
    <s v="Praveen Kuruvalli"/>
    <s v="Dhruv Vyas"/>
    <n v="0"/>
  </r>
  <r>
    <n v="233"/>
    <n v="20001090"/>
    <s v="Sheetal Navlia"/>
    <s v="AM/NS India"/>
    <s v="Onroll"/>
    <s v="M-5"/>
    <n v="5"/>
    <m/>
    <s v="M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"/>
    <m/>
    <s v="West"/>
    <s v="OEM"/>
    <s v=""/>
    <s v="Non Technical Support"/>
    <s v="Sales &amp; Marketing"/>
    <s v="Sales"/>
    <s v="73104004"/>
    <s v="OEM Sales"/>
    <s v="Ahmedabad"/>
    <d v="1975-04-13T00:00:00"/>
    <s v="48.05"/>
    <d v="1996-06-15T00:00:00"/>
    <d v="2033-04-30T00:00:00"/>
    <m/>
    <d v="2033-04-30T00:00:00"/>
    <n v="3510"/>
    <s v="O-"/>
    <s v="BE-1996 , BE-1996"/>
    <s v=""/>
    <s v="27.03"/>
    <s v="27.03"/>
    <s v="70140931"/>
    <s v="Sales Gujarat &amp; Mumbai Zone"/>
    <s v="70334315"/>
    <s v="Sr. KAM - OEM Sales"/>
    <s v="Hazira"/>
    <s v="0031950057"/>
    <s v="HZ-HRC - Marketing"/>
    <s v="2000HWO"/>
    <s v="20000812"/>
    <s v="Sitaram Rege"/>
    <s v="No"/>
    <s v="sheetal.navlia@amns.in"/>
    <s v="9879101272"/>
    <s v="22814"/>
    <s v="Dhruv Vyas"/>
    <s v="Anil Matoo"/>
    <s v="Praveen Kuruvalli"/>
    <s v="Dhruv Vyas"/>
    <n v="0"/>
  </r>
  <r>
    <n v="239"/>
    <n v="20001102"/>
    <s v="Anil Patel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 HBI &amp; BF"/>
    <m/>
    <s v="Stores &amp; Warehouse"/>
    <s v="Stores &amp; Warehouse"/>
    <s v="Issue HBI &amp; BF"/>
    <s v="Non Technical Support"/>
    <s v="Commercial"/>
    <s v="Stores &amp; Warehouse"/>
    <s v="73806001"/>
    <s v="Stores &amp; Warehouse"/>
    <s v="Hazira"/>
    <d v="1965-08-31T00:00:00"/>
    <s v="58.00"/>
    <d v="1996-07-01T00:00:00"/>
    <d v="2023-08-31T00:00:00"/>
    <m/>
    <d v="2023-08-31T00:00:00"/>
    <n v="-20"/>
    <s v="O-"/>
    <s v="BCom-1986"/>
    <s v="06.05"/>
    <s v="27.02"/>
    <s v="33.07"/>
    <s v="00053278"/>
    <s v="GRN/Documentation/Issue - Plant A"/>
    <s v="72152514"/>
    <s v="Section Officer - Issue HBI &amp; BF"/>
    <s v="Hazira"/>
    <s v="0031950049"/>
    <s v="HZ-Central Stores"/>
    <s v="2000HWO"/>
    <s v="20002587"/>
    <s v="Seema Mehta"/>
    <s v="No"/>
    <s v="anil.patel2@amns.in"/>
    <s v="9879101854"/>
    <s v="23079"/>
    <s v="Dhruv Vyas"/>
    <s v="Anil Matoo"/>
    <s v="Praveen Kuruvalli"/>
    <s v="Dhruv Vyas"/>
    <n v="0"/>
  </r>
  <r>
    <n v="247"/>
    <n v="20001137"/>
    <s v="Bayana Prasad"/>
    <s v="AM/NS India"/>
    <s v="Onroll"/>
    <s v="M-5"/>
    <n v="5"/>
    <m/>
    <s v="MM"/>
    <s v="M"/>
    <s v="Vizag"/>
    <n v="3"/>
    <s v="2013"/>
    <x v="0"/>
    <s v="20.01"/>
    <s v="Akiyo Omori"/>
    <s v="Amit Harlalka"/>
    <n v="5"/>
    <s v="Finance &amp; Accounts"/>
    <s v="Finance &amp; Accounts"/>
    <s v="20"/>
    <s v="Section Head-Accounts payable/Receivable"/>
    <m/>
    <s v="Finance &amp; Accounts - Vizag"/>
    <s v="Finance &amp; Accounts"/>
    <s v="Accounts Payble &amp; Receivable"/>
    <s v="Non Technical Support"/>
    <s v="Finance &amp; Accounts"/>
    <s v="Finance &amp; Accounts"/>
    <s v="73901003"/>
    <s v="Accounts Payable"/>
    <s v="Vizag"/>
    <d v="1966-05-04T00:00:00"/>
    <s v="57.04"/>
    <d v="1996-11-01T00:00:00"/>
    <d v="2024-05-31T00:00:00"/>
    <m/>
    <d v="2024-05-31T00:00:00"/>
    <n v="254"/>
    <s v="O-"/>
    <s v="CA Inter-2008 , MBA-2008 , ICWA Final-19"/>
    <s v="01.07"/>
    <s v="26.10"/>
    <s v="28.05"/>
    <s v="72150243"/>
    <s v="Accounts Payable"/>
    <s v="72150357"/>
    <s v="Section Head-Accounts payable/Receivable"/>
    <s v="Vizag"/>
    <s v="0028030019"/>
    <s v="VIZ-Personnel &amp; Admi"/>
    <s v="2000VIZOPS"/>
    <s v="20001076"/>
    <s v="Bhavesh Modi"/>
    <s v="No"/>
    <s v="bayana.prasad@amns.in"/>
    <s v="9885310925"/>
    <s v="23570"/>
    <s v="DS Varma"/>
    <s v="Anil Matoo"/>
    <s v="Praveen Kuruvalli"/>
    <s v="Dhruv Vyas"/>
    <n v="0"/>
  </r>
  <r>
    <n v="248"/>
    <n v="20001139"/>
    <s v="Chetan Pandy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66-08-06T00:00:00"/>
    <s v="57.01"/>
    <d v="1996-11-15T00:00:00"/>
    <d v="2024-08-31T00:00:00"/>
    <m/>
    <d v="2024-08-31T00:00:00"/>
    <n v="346"/>
    <s v="AB-"/>
    <s v="BCom-1992"/>
    <s v="04.00"/>
    <s v="26.10"/>
    <s v="30.10"/>
    <s v="70491113"/>
    <s v="Indirect Taxation - 1"/>
    <s v="70319509"/>
    <s v="Lead - Customs"/>
    <s v="Hazira"/>
    <s v="0031950044"/>
    <s v="HZ-Commercial Taxati"/>
    <s v="2000HWO"/>
    <s v="20006246"/>
    <s v="Deven Sadadiwala"/>
    <s v="No"/>
    <s v="chetan.pandya@amns.in"/>
    <s v="9879101841"/>
    <s v="22947"/>
    <s v="Dhruv Vyas"/>
    <s v="Anil Matoo"/>
    <s v="Praveen Kuruvalli"/>
    <s v="Dhruv Vyas"/>
    <n v="0"/>
  </r>
  <r>
    <n v="255"/>
    <n v="20001164"/>
    <s v="Snehal Anjaria"/>
    <s v="AM/NS India"/>
    <s v="Onroll"/>
    <s v="M-6"/>
    <n v="6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Head - HBI BF Sinter /Trans Mgt"/>
    <m/>
    <s v="Stores &amp; Warehouse"/>
    <s v="Stores &amp; Warehouse"/>
    <s v="&quot;&quot;&quot;HBI, BF, Plant B &amp; Plate Mill-Trans Mgt-Import Logistics"/>
    <s v="Non Technical Support"/>
    <s v="Commercial"/>
    <s v="Stores &amp; Warehouse"/>
    <s v="73806001"/>
    <s v="Stores &amp; Warehouse"/>
    <s v="Hazira"/>
    <d v="1976-11-29T00:00:00"/>
    <s v="46.09"/>
    <d v="1996-12-23T00:00:00"/>
    <d v="2034-11-30T00:00:00"/>
    <m/>
    <d v="2034-11-30T00:00:00"/>
    <n v="4089"/>
    <s v="B-"/>
    <s v="Diploma-1996"/>
    <s v=""/>
    <s v="26.08"/>
    <s v="26.08"/>
    <s v="70272820"/>
    <s v="HBI, BF, Plant B &amp; Plate Mill"/>
    <s v="70320421"/>
    <s v="Section Head - HBI BF Sinter /Trans Mgt"/>
    <s v="Hazira"/>
    <s v="0031950049"/>
    <s v="HZ-Central Stores"/>
    <s v="2000HWO"/>
    <s v="20001240"/>
    <s v="Ambrish Chaturvedi"/>
    <s v="No"/>
    <s v="snehal.anjaria@amns.in"/>
    <s v="9879101700"/>
    <s v="21086"/>
    <s v="Dhruv Vyas"/>
    <s v="Anil Matoo"/>
    <s v="Praveen Kuruvalli"/>
    <s v="Dhruv Vyas"/>
    <n v="0"/>
  </r>
  <r>
    <n v="274"/>
    <n v="20001234"/>
    <s v="Anwar Khan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Payable"/>
    <m/>
    <s v="Working Capital"/>
    <s v="Accounts Payable"/>
    <s v="Bills Payable"/>
    <s v="Non Technical Support"/>
    <s v="Finance &amp; Accounts"/>
    <s v="Finance &amp; Accounts"/>
    <s v="73901003"/>
    <s v="Accounts Payable"/>
    <s v="AM/NS Hazira"/>
    <d v="1967-04-22T00:00:00"/>
    <s v="56.04"/>
    <d v="1997-03-15T00:00:00"/>
    <d v="2025-04-30T00:00:00"/>
    <m/>
    <d v="2025-04-30T00:00:00"/>
    <n v="588"/>
    <s v="O-"/>
    <s v="BCom-2011 , Certificate-2011"/>
    <s v="06.07"/>
    <s v="26.06"/>
    <s v="33.01"/>
    <s v="72150243"/>
    <s v="Accounts Payable"/>
    <s v="70320423"/>
    <s v="Sr. Lead - Accounts Payable"/>
    <s v="Hazira"/>
    <s v="0031950045"/>
    <s v="HZ-Works Accounts-Ha"/>
    <s v="2000HWO"/>
    <s v="20001076"/>
    <s v="Bhavesh Modi"/>
    <s v="No"/>
    <s v="anwar.khan1@amns.in"/>
    <s v="9879101766"/>
    <s v="22208"/>
    <s v="Dhruv Vyas"/>
    <s v="Anil Matoo"/>
    <s v="Praveen Kuruvalli"/>
    <s v="Dhruv Vyas"/>
    <n v="0"/>
  </r>
  <r>
    <n v="275"/>
    <n v="20001236"/>
    <s v="Vipul Padhiar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ost Audit &amp; Budgetary Control"/>
    <m/>
    <s v="Performance Management"/>
    <s v="Performance Management"/>
    <s v="Budgetory Control &amp; Audit"/>
    <s v="Non Technical Support"/>
    <s v="Finance &amp; Accounts"/>
    <s v="Costing"/>
    <s v="73906001"/>
    <s v="Costing"/>
    <s v="AM/NS Hazira"/>
    <d v="1972-04-18T00:00:00"/>
    <s v="51.05"/>
    <d v="1997-03-15T00:00:00"/>
    <d v="2030-04-30T00:00:00"/>
    <m/>
    <d v="2030-04-30T00:00:00"/>
    <n v="2414"/>
    <s v="AB-"/>
    <s v="MBA-2012 , ICWA Inter-2012 , MCom-2009"/>
    <s v="03.00"/>
    <s v="26.06"/>
    <s v="29.06"/>
    <s v="00045632"/>
    <s v="Costing &amp; Budgeting"/>
    <s v="70372306"/>
    <s v="Lead - Cost Audit &amp; Budgetary Control"/>
    <s v="Hazira"/>
    <s v="0031950043"/>
    <s v="HZ-Performance Manag"/>
    <s v="2000HWO"/>
    <s v="20056146"/>
    <s v="Asvinbhai Sutarsandhiya"/>
    <s v="No"/>
    <s v="vipul.padhiar@amns.in"/>
    <s v="9879101767"/>
    <s v="22878"/>
    <s v="Dhruv Vyas"/>
    <s v="Anil Matoo"/>
    <s v="Praveen Kuruvalli"/>
    <s v="Dhruv Vyas"/>
    <n v="0"/>
  </r>
  <r>
    <n v="276"/>
    <n v="20001238"/>
    <s v="Pitambar Sahu"/>
    <s v="AM/NS India"/>
    <s v="Onroll"/>
    <s v="M-6"/>
    <n v="6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- Finance &amp; Business Control"/>
    <m/>
    <s v="Finance &amp; Accounts - Odisha"/>
    <s v="Finance &amp; Accounts"/>
    <s v="Finance &amp; Business Control"/>
    <s v="Non Technical Support"/>
    <s v="Finance &amp; Accounts"/>
    <s v="Finance &amp; Accounts"/>
    <s v="73901001"/>
    <s v="Finance &amp; Accounts"/>
    <s v="Paradeep"/>
    <d v="1971-04-07T00:00:00"/>
    <s v="52.05"/>
    <d v="1997-03-15T00:00:00"/>
    <d v="2029-04-30T00:00:00"/>
    <m/>
    <d v="2029-04-30T00:00:00"/>
    <n v="2049"/>
    <s v="AB-"/>
    <s v="BCom-2009 , MBA-2009"/>
    <s v="00.08"/>
    <s v="26.06"/>
    <s v="27.02"/>
    <s v="70234933"/>
    <s v="Finance &amp; Accounts - Odisha"/>
    <s v="70298164"/>
    <s v="Lead - Finance &amp; Business Control"/>
    <s v="Odisha"/>
    <s v="0022030019"/>
    <s v="PDP-HR &amp; Admn"/>
    <s v="2000STORIS"/>
    <s v="20055801"/>
    <s v="Sanjive Kumar Singh"/>
    <s v="No"/>
    <s v="pitambar.sahu@amns.in"/>
    <s v="9437188790"/>
    <s v="23863"/>
    <s v="Sunila Das"/>
    <s v="Anil Matoo"/>
    <s v="Praveen Kuruvalli"/>
    <s v="Sunila Das"/>
    <n v="0"/>
  </r>
  <r>
    <n v="277"/>
    <n v="20001240"/>
    <s v="Ambrish Chaturvedi"/>
    <s v="AM/NS India"/>
    <s v="Onroll"/>
    <s v="M-5"/>
    <n v="5"/>
    <m/>
    <s v="MM"/>
    <s v="M"/>
    <s v="Hazira"/>
    <n v="1"/>
    <s v="2012"/>
    <x v="7"/>
    <s v="34.01"/>
    <s v="Hrishikesh Kamat"/>
    <s v="Hrishikesh Kamat"/>
    <n v="7"/>
    <s v="Procurement"/>
    <s v="Stores &amp; Warehouse"/>
    <s v="34"/>
    <s v="Head - Stores &amp; Warehouse Hazira"/>
    <m/>
    <s v="Stores &amp; Warehouse"/>
    <s v="Stores &amp; Warehouse"/>
    <s v="Operations"/>
    <s v="Non Technical Support"/>
    <s v="Commercial"/>
    <s v="Stores &amp; Warehouse"/>
    <s v="73806001"/>
    <s v="Stores &amp; Warehouse"/>
    <s v="Hazira"/>
    <d v="1967-12-29T00:00:00"/>
    <s v="55.08"/>
    <d v="1997-03-18T00:00:00"/>
    <d v="2025-12-31T00:00:00"/>
    <m/>
    <d v="2025-12-31T00:00:00"/>
    <n v="833"/>
    <s v="O-"/>
    <s v="BSc-1989"/>
    <s v="06.05"/>
    <s v="26.06"/>
    <s v="32.11"/>
    <s v="70072413"/>
    <s v="Stores &amp; Warehouse - Hazira"/>
    <s v="70258469"/>
    <s v="Head - Stores &amp; Warehouse Hazira"/>
    <s v="Hazira"/>
    <s v="0031950049"/>
    <s v="HZ-Central Stores"/>
    <s v="2000HWO"/>
    <s v="20055090"/>
    <s v="Hrishikesh Kamat"/>
    <s v="No"/>
    <s v="ambrish.chaturvedi@amns.in"/>
    <s v="9879101611"/>
    <s v="21353"/>
    <s v="Dhruv Vyas"/>
    <s v="Anil Matoo"/>
    <s v="Praveen Kuruvalli"/>
    <s v="Dhruv Vyas"/>
    <n v="0"/>
  </r>
  <r>
    <n v="284"/>
    <n v="20001265"/>
    <s v="Lakshman Iyer"/>
    <s v="AM/NS India"/>
    <s v="Onroll"/>
    <s v="M-4"/>
    <n v="4"/>
    <m/>
    <s v="SM"/>
    <s v="M"/>
    <s v="Hazira"/>
    <n v="1"/>
    <s v="2015"/>
    <x v="1"/>
    <s v="22.06"/>
    <s v="Anil Matoo"/>
    <s v="Ashutosh Telang"/>
    <n v="6"/>
    <s v="HR &amp; Administration"/>
    <s v="Human Resources"/>
    <s v="22"/>
    <s v="Cluster Head - Human Resources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68-10-26T00:00:00"/>
    <s v="54.10"/>
    <d v="1997-05-26T00:00:00"/>
    <d v="2026-10-31T00:00:00"/>
    <m/>
    <d v="2026-10-31T00:00:00"/>
    <n v="1137"/>
    <s v="AB-"/>
    <s v="BCom-1993"/>
    <s v="00.10"/>
    <s v="26.03"/>
    <s v="27.02"/>
    <s v="70472770"/>
    <s v="Hazira HR Operations - 1"/>
    <s v="70415280"/>
    <s v="Cluster Head - Human Resources"/>
    <s v="Hazira"/>
    <s v="0031950061"/>
    <s v="HZ-Human Resource"/>
    <s v="2000HWO"/>
    <s v="20000083"/>
    <s v="Anil Matoo"/>
    <s v="No"/>
    <s v="lakshman.iyer@amns.in"/>
    <s v="9909901600"/>
    <s v="21932"/>
    <s v="Dhruv Vyas"/>
    <s v="Anil Matoo"/>
    <s v="Praveen Kuruvalli"/>
    <s v="Dhruv Vyas"/>
    <n v="0"/>
  </r>
  <r>
    <n v="287"/>
    <n v="20001274"/>
    <s v="Nilesh Solanki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– Export Account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69-11-11T00:00:00"/>
    <s v="53.10"/>
    <d v="1997-05-31T00:00:00"/>
    <d v="2027-11-30T00:00:00"/>
    <m/>
    <d v="2027-11-30T00:00:00"/>
    <n v="1532"/>
    <s v="O-"/>
    <s v="MBA-2008"/>
    <s v="06.01"/>
    <s v="26.03"/>
    <s v="32.04"/>
    <s v="00044362"/>
    <s v="Export Documentation"/>
    <s v="70227008"/>
    <s v="Officer – Export Accounting"/>
    <s v="Hazira"/>
    <s v="0031950045"/>
    <s v="HZ-Works Accounts-Ha"/>
    <s v="2000HWO"/>
    <s v="20021039"/>
    <s v="Rajesh Patel"/>
    <s v="No"/>
    <s v="nilesh.solanki1@amns.in"/>
    <s v="9879101769"/>
    <s v="22844"/>
    <s v="Dhruv Vyas"/>
    <s v="Anil Matoo"/>
    <s v="Praveen Kuruvalli"/>
    <s v="Dhruv Vyas"/>
    <n v="0"/>
  </r>
  <r>
    <n v="288"/>
    <n v="20001275"/>
    <s v="Sheo Shankar Upadhyay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Collections &amp; Receivables"/>
    <m/>
    <s v="Sales Planning"/>
    <s v="Sales Planning"/>
    <s v=""/>
    <s v="Non Technical Support"/>
    <s v="Sales &amp; Marketing"/>
    <s v="Sales &amp; Marketing"/>
    <s v="73101001"/>
    <s v="Sales &amp; Marketing"/>
    <s v="Mumbai"/>
    <d v="1966-10-20T00:00:00"/>
    <s v="56.11"/>
    <d v="1997-06-01T00:00:00"/>
    <d v="2024-10-31T00:00:00"/>
    <m/>
    <d v="2024-10-31T00:00:00"/>
    <n v="407"/>
    <s v="O-"/>
    <s v="BCom-1989"/>
    <s v="02.00"/>
    <s v="26.03"/>
    <s v="28.03"/>
    <s v="70385322"/>
    <s v="Sales Planning &amp; Administration"/>
    <s v="70334295"/>
    <s v="Lead - Collections &amp; Receivables"/>
    <s v="Hazira"/>
    <s v="0080000001"/>
    <s v="Head-Marketing"/>
    <s v="2000HWO"/>
    <s v="20049554"/>
    <s v="Uttam Kumar"/>
    <s v="No"/>
    <s v="sheoshankar.upadhyay@amns.in"/>
    <s v="9819730643"/>
    <s v="24592"/>
    <s v="Dhruv Vyas"/>
    <s v="Anil Matoo"/>
    <s v="Praveen Kuruvalli"/>
    <s v="Dhruv Vyas"/>
    <n v="0"/>
  </r>
  <r>
    <n v="291"/>
    <n v="20001284"/>
    <s v="Kalpesh Tamakuwal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Domestic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3-01-03T00:00:00"/>
    <s v="50.08"/>
    <d v="1997-06-09T00:00:00"/>
    <d v="2031-01-31T00:00:00"/>
    <m/>
    <d v="2031-01-31T00:00:00"/>
    <n v="2690"/>
    <s v="A-"/>
    <s v="BCom-1993"/>
    <s v="03.03"/>
    <s v="26.03"/>
    <s v="29.06"/>
    <s v="70495314"/>
    <s v="Export, Domestic &amp; Banking"/>
    <s v="70319245"/>
    <s v="Sr. Lead - Domestic Banking"/>
    <s v="Hazira"/>
    <s v="0031950045"/>
    <s v="HZ-Works Accounts-Ha"/>
    <s v="2000HWO"/>
    <s v="20001077"/>
    <s v="Pradeep Parte"/>
    <s v="No"/>
    <s v="kalpesh.tamakuwala@amns.in"/>
    <s v="9879101842"/>
    <s v="24449"/>
    <s v="Dhruv Vyas"/>
    <s v="Anil Matoo"/>
    <s v="Praveen Kuruvalli"/>
    <s v="Dhruv Vyas"/>
    <n v="0"/>
  </r>
  <r>
    <n v="292"/>
    <n v="20001286"/>
    <s v="Rajeev Trivedi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Accounts Receivable"/>
    <m/>
    <s v="Working Capital"/>
    <s v="Accounts Receivable"/>
    <s v="Credit Control"/>
    <s v="Non Technical Support"/>
    <s v="Finance &amp; Accounts"/>
    <s v="Finance &amp; Accounts"/>
    <s v="73901004"/>
    <s v="Accounts Receivables"/>
    <s v="AM/NS Hazira"/>
    <d v="1966-02-12T00:00:00"/>
    <s v="57.07"/>
    <d v="1997-06-10T00:00:00"/>
    <d v="2024-02-29T00:00:00"/>
    <m/>
    <d v="2024-02-29T00:00:00"/>
    <n v="162"/>
    <s v="B-"/>
    <s v="BCom-1990"/>
    <s v="04.06"/>
    <s v="26.03"/>
    <s v="30.09"/>
    <s v="00045312"/>
    <s v="Accounts Receivable"/>
    <s v="70259333"/>
    <s v="Lead - Accounts Receivable"/>
    <s v="Hazira"/>
    <s v="0031950045"/>
    <s v="HZ-Works Accounts-Ha"/>
    <s v="2000HWO"/>
    <s v="20048487"/>
    <s v="Devendra Rai"/>
    <s v="No"/>
    <s v="rajeev.trivedi@amns.in"/>
    <s v="9879101843"/>
    <s v="24568"/>
    <s v="Dhruv Vyas"/>
    <s v="Anil Matoo"/>
    <s v="Praveen Kuruvalli"/>
    <s v="Dhruv Vyas"/>
    <n v="0"/>
  </r>
  <r>
    <n v="294"/>
    <n v="20001289"/>
    <s v="Siddaraju N"/>
    <s v="AM/NS India"/>
    <s v="Onroll"/>
    <s v="M-6"/>
    <n v="6"/>
    <m/>
    <s v="MM"/>
    <s v="M"/>
    <s v="Pune Facility"/>
    <n v="4"/>
    <s v="2043"/>
    <x v="3"/>
    <s v="31.01"/>
    <s v="Hrishikesh Kamat"/>
    <s v="Hrishikesh Kamat"/>
    <n v="7"/>
    <s v="Procurement"/>
    <s v="Procurement"/>
    <s v="31"/>
    <s v="Section Incharge - Purchase"/>
    <m/>
    <s v="Procurement"/>
    <s v="Row materail and Consumables"/>
    <s v="Row materail and Consumables"/>
    <s v="Non Technical Support"/>
    <s v="Operations"/>
    <s v="Plant Operations"/>
    <s v="72103003"/>
    <s v="Plant Operations"/>
    <s v="Pune AMNS"/>
    <d v="1975-06-15T00:00:00"/>
    <s v="48.03"/>
    <d v="1997-06-14T00:00:00"/>
    <d v="2033-06-30T00:00:00"/>
    <m/>
    <d v="2033-06-30T00:00:00"/>
    <n v="3571"/>
    <s v="O-"/>
    <s v="Diploma-2009 , MBA-2009"/>
    <s v="00.11"/>
    <s v="26.03"/>
    <s v="27.02"/>
    <s v="73800002"/>
    <s v="Procurement - Pune Asset"/>
    <s v="70226729"/>
    <s v="Section Incharge - Purchase"/>
    <s v="Pune Facility"/>
    <s v="0035950041"/>
    <s v="Pune-Procurement"/>
    <s v="2000ESPF"/>
    <s v="20006536"/>
    <s v="Mahesh Salunke"/>
    <s v="No"/>
    <s v="siddaraju.narayanappa@amns.in"/>
    <s v="9158895019"/>
    <s v="24211"/>
    <s v="Dhruv Vyas"/>
    <s v="Anil Matoo"/>
    <s v="Praveen Kuruvalli"/>
    <s v="Dhruv Vyas"/>
    <n v="0"/>
  </r>
  <r>
    <n v="310"/>
    <n v="20001370"/>
    <s v="Tejas Desai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Section Head - Pro Ferro Alloys"/>
    <m/>
    <s v="Procurement MRO Hazira"/>
    <s v="Procurement"/>
    <s v="Ferro Alloys, Electrodes, DSR, Quartzite"/>
    <s v="Non Technical Support"/>
    <s v="Commercial"/>
    <s v="Procurement"/>
    <s v="73803001"/>
    <s v="Procurement"/>
    <s v="AM/NS Hazira"/>
    <d v="1977-01-13T00:00:00"/>
    <s v="46.08"/>
    <d v="1998-03-02T00:00:00"/>
    <d v="2035-01-31T00:00:00"/>
    <m/>
    <d v="2035-01-31T00:00:00"/>
    <n v="4151"/>
    <s v="B-"/>
    <s v="MBA-2004 , BE-2004"/>
    <s v="00.10"/>
    <s v="25.06"/>
    <s v="26.04"/>
    <s v="00044542"/>
    <s v="Procurement -Ferroalloys"/>
    <s v="70386219"/>
    <s v="Section Head - Pro Ferro Alloys"/>
    <s v="Hazira"/>
    <s v="0031950048"/>
    <s v="HZ-Procurment Depart"/>
    <s v="2000HWO"/>
    <s v="20000201"/>
    <s v="Manish Bakriwala"/>
    <s v="No"/>
    <s v="tejas.desai@amns.in"/>
    <s v="9879101626"/>
    <s v="21609"/>
    <s v="Dhruv Vyas"/>
    <s v="Anil Matoo"/>
    <s v="Praveen Kuruvalli"/>
    <s v="Dhruv Vyas"/>
    <n v="0"/>
  </r>
  <r>
    <n v="322"/>
    <n v="20001476"/>
    <s v="Vinod Khai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- Business Support"/>
    <m/>
    <s v="CMO Office"/>
    <s v="CMO Office"/>
    <s v=""/>
    <s v="Non Technical Support"/>
    <s v="Sales &amp; Marketing"/>
    <s v="Sales &amp; Marketing"/>
    <s v="73101001"/>
    <s v="Sales &amp; Marketing"/>
    <s v="Mumbai"/>
    <d v="1972-01-25T00:00:00"/>
    <s v="51.07"/>
    <d v="2000-10-16T00:00:00"/>
    <d v="2030-01-31T00:00:00"/>
    <m/>
    <d v="2030-01-31T00:00:00"/>
    <n v="2325"/>
    <s v="O-"/>
    <s v="BCom-1997"/>
    <s v=""/>
    <s v="22.11"/>
    <s v="22.11"/>
    <s v="70139950"/>
    <s v="Sales &amp; Marketing"/>
    <s v="70376875"/>
    <s v="Lead- Business Support"/>
    <s v="Hazira"/>
    <s v="0080000001"/>
    <s v="Head-Marketing"/>
    <s v="2000HWO"/>
    <s v="20007104"/>
    <s v="Ranjan Dhar"/>
    <s v="No"/>
    <s v="vinod.khair@amns.in"/>
    <s v="9819730190"/>
    <s v="22192"/>
    <s v="Dhruv Vyas"/>
    <s v="Anil Matoo"/>
    <s v="Praveen Kuruvalli"/>
    <s v="Dhruv Vyas"/>
    <n v="0"/>
  </r>
  <r>
    <n v="323"/>
    <n v="20001488"/>
    <s v="Rajkumar Bhatia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NCO"/>
    <m/>
    <s v="Sales Steering &amp; BD"/>
    <s v="NCO"/>
    <s v="Secondary Sales"/>
    <s v="Non Technical Support"/>
    <s v="Sales &amp; Marketing"/>
    <s v="Sales"/>
    <s v="73104001"/>
    <s v="Sales"/>
    <s v="Hazira"/>
    <d v="1968-05-04T00:00:00"/>
    <s v="55.04"/>
    <d v="2001-01-02T00:00:00"/>
    <d v="2026-05-31T00:00:00"/>
    <m/>
    <d v="2026-05-31T00:00:00"/>
    <n v="984"/>
    <s v="O-"/>
    <s v="BCom-1990"/>
    <s v="03.00"/>
    <s v="22.08"/>
    <s v="25.08"/>
    <s v="70265035"/>
    <s v="Value Recovery"/>
    <s v="70226997"/>
    <s v="Lead - NCO"/>
    <s v="Hazira"/>
    <s v="0080000006"/>
    <s v="Secondary Sales - In"/>
    <s v="2000HWO"/>
    <s v="20016382"/>
    <s v="Kunal Bhardwaj"/>
    <s v="No"/>
    <s v="rajkumar.bhatia@amns.in"/>
    <s v="9879101520"/>
    <s v="21233"/>
    <s v="Dhruv Vyas"/>
    <s v="Anil Matoo"/>
    <s v="Praveen Kuruvalli"/>
    <s v="Dhruv Vyas"/>
    <n v="0"/>
  </r>
  <r>
    <n v="324"/>
    <n v="20001495"/>
    <s v="Milind Nargolka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NCO"/>
    <m/>
    <s v="Sales Steering &amp; BD"/>
    <s v="NCO"/>
    <s v="Secondary Sales"/>
    <s v="Non Technical Support"/>
    <s v="Sales &amp; Marketing"/>
    <s v="Sales"/>
    <s v="73104001"/>
    <s v="Sales"/>
    <s v="Mumbai"/>
    <d v="1976-08-07T00:00:00"/>
    <s v="47.01"/>
    <d v="2001-04-01T00:00:00"/>
    <d v="2034-08-31T00:00:00"/>
    <m/>
    <d v="2034-08-31T00:00:00"/>
    <n v="3998"/>
    <s v="A-"/>
    <s v="BCom-1999 , Diploma Equivalent-1999"/>
    <s v="00.11"/>
    <s v="22.05"/>
    <s v="23.04"/>
    <s v="70265035"/>
    <s v="Value Recovery"/>
    <s v="70226998"/>
    <s v="Lead - NCO"/>
    <s v="Hazira"/>
    <s v="0080000006"/>
    <s v="Secondary Sales - In"/>
    <s v="2000HWO"/>
    <s v="20016382"/>
    <s v="Kunal Bhardwaj"/>
    <s v="No"/>
    <s v="milind.nargolkar@amns.in"/>
    <s v="9879101199"/>
    <s v="22800"/>
    <s v="Dhruv Vyas"/>
    <s v="Anil Matoo"/>
    <s v="Praveen Kuruvalli"/>
    <s v="Dhruv Vyas"/>
    <n v="0"/>
  </r>
  <r>
    <n v="325"/>
    <n v="20001506"/>
    <s v="Ajay Kulkarni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NCO"/>
    <m/>
    <s v="Sales Steering &amp; BD"/>
    <s v="NCO"/>
    <s v="Domestic"/>
    <s v="Non Technical Support"/>
    <s v="Supply Chain Management"/>
    <s v="Supply Chain Management"/>
    <s v="73701001"/>
    <s v="Supply Chain Management"/>
    <s v="Pune AMNS"/>
    <d v="1967-06-04T00:00:00"/>
    <s v="56.03"/>
    <d v="2001-07-17T00:00:00"/>
    <d v="2025-06-30T00:00:00"/>
    <m/>
    <d v="2025-06-30T00:00:00"/>
    <n v="649"/>
    <s v="A-"/>
    <s v="BCom-2018 , MBA-2018"/>
    <s v="04.03"/>
    <s v="22.02"/>
    <s v="26.05"/>
    <s v="00044934"/>
    <s v="Value Recovery - Pune Facility"/>
    <s v="70259167"/>
    <s v="Lead - NCO"/>
    <s v="Pune Facility"/>
    <s v="0035950020"/>
    <s v="Pune-F&amp;A"/>
    <s v="2000ESPF"/>
    <s v="20016382"/>
    <s v="Kunal Bhardwaj"/>
    <s v="No"/>
    <s v="ajay.kulkarni@amns.in"/>
    <s v="9158895775"/>
    <s v="22292"/>
    <s v="Dhruv Vyas"/>
    <s v="Anil Matoo"/>
    <s v="Praveen Kuruvalli"/>
    <s v="Dhruv Vyas"/>
    <n v="0"/>
  </r>
  <r>
    <n v="326"/>
    <n v="20001529"/>
    <s v="Velidi Chandra Sekhara Rao"/>
    <s v="AM/NS India"/>
    <s v="Onroll"/>
    <s v="M-8"/>
    <n v="8"/>
    <m/>
    <s v="JM"/>
    <s v="M"/>
    <s v="Vizag"/>
    <n v="3"/>
    <s v="2012"/>
    <x v="7"/>
    <s v="34.01"/>
    <s v="Ambrish Chaturvedi"/>
    <s v="Hrishikesh Kamat"/>
    <n v="7"/>
    <s v="Procurement"/>
    <s v="Stores &amp; Warehouse"/>
    <s v="34"/>
    <s v="Warehouse Officers Kirandul"/>
    <m/>
    <s v="Stores &amp; Warehouse"/>
    <s v="Stores &amp; Warehouse"/>
    <s v="Stores &amp; Warehouse"/>
    <s v="Non Technical Support"/>
    <s v="Commercial"/>
    <s v="Stores &amp; Warehouse"/>
    <s v="73806001"/>
    <s v="Stores &amp; Warehouse"/>
    <s v="Kirandul"/>
    <d v="1967-06-05T00:00:00"/>
    <s v="56.03"/>
    <d v="2002-02-15T00:00:00"/>
    <d v="2025-06-30T00:00:00"/>
    <m/>
    <d v="2025-06-30T00:00:00"/>
    <n v="649"/>
    <s v="A-"/>
    <s v="BCom-1987"/>
    <s v="07.04"/>
    <s v="21.07"/>
    <s v="28.11"/>
    <s v="70301353"/>
    <s v="Procurement - Vizag &amp; Chitrakonda"/>
    <s v="70258960"/>
    <s v="Warehouse Officers Kirandul"/>
    <s v="Vizag"/>
    <s v="0028030019"/>
    <s v="VIZ-Personnel &amp; Admi"/>
    <s v="2000VIZOPS"/>
    <s v="20000200"/>
    <s v="A Venkateswara Rao"/>
    <s v="No"/>
    <s v="velidi.chandrasekhararao@amns.in"/>
    <s v="9713766632"/>
    <s v="23707"/>
    <s v="DS Varma"/>
    <s v="Anil Matoo"/>
    <s v="Praveen Kuruvalli"/>
    <s v="Dhruv Vyas"/>
    <n v="0"/>
  </r>
  <r>
    <n v="330"/>
    <n v="20001577"/>
    <s v="Prakash Thakur"/>
    <s v="AM/NS India"/>
    <s v="Onroll"/>
    <s v="M-4"/>
    <n v="4"/>
    <m/>
    <s v="SM"/>
    <s v="M"/>
    <s v="Hazira"/>
    <n v="1"/>
    <s v="2095"/>
    <x v="4"/>
    <n v="36.01"/>
    <s v="Deepak Sindkar"/>
    <s v="Hrishikesh Kamat"/>
    <n v="7"/>
    <s v="Procurement"/>
    <s v="Raw Materials"/>
    <s v="36"/>
    <s v="Section Head - Blacks"/>
    <m/>
    <s v="Bulk Raw Materials"/>
    <s v="Raw Material"/>
    <s v="Coal &amp; Coke"/>
    <s v="Non Technical Support"/>
    <s v="Commercial"/>
    <s v="Procurement"/>
    <s v="73803001"/>
    <s v="Procurement"/>
    <s v="Mumbai"/>
    <d v="1981-02-16T00:00:00"/>
    <s v="42.07"/>
    <d v="2003-01-20T00:00:00"/>
    <d v="2039-02-28T00:00:00"/>
    <m/>
    <d v="2039-02-28T00:00:00"/>
    <n v="5640"/>
    <s v="B-"/>
    <s v="BTech-2003"/>
    <s v=""/>
    <s v="20.07"/>
    <s v="20.07"/>
    <s v="00045894"/>
    <s v="Blacks"/>
    <s v="70386222"/>
    <s v="Section Head - Blacks"/>
    <s v="Hazira"/>
    <s v="0031950048"/>
    <s v="HZ-Procurment Depart"/>
    <s v="2000HWO"/>
    <s v="20000253"/>
    <s v="Deepak Sindkar"/>
    <s v="No"/>
    <s v="prakash.thakur@amns.in"/>
    <s v="9833946423"/>
    <s v="24500"/>
    <s v="Dhruv Vyas"/>
    <s v="Anil Matoo"/>
    <s v="Praveen Kuruvalli"/>
    <s v="Dhruv Vyas"/>
    <n v="0"/>
  </r>
  <r>
    <n v="332"/>
    <n v="20001585"/>
    <s v="Y S V Satish Kumar"/>
    <s v="AM/NS India"/>
    <s v="Onroll"/>
    <s v="M-8"/>
    <n v="8"/>
    <m/>
    <s v="JM"/>
    <s v="M"/>
    <s v="Vizag"/>
    <n v="3"/>
    <s v="2023"/>
    <x v="6"/>
    <s v="24.08"/>
    <s v="Anil Matoo"/>
    <s v="Ashutosh Telang"/>
    <n v="6"/>
    <s v="HR &amp; Administration"/>
    <s v="Administration"/>
    <s v="24"/>
    <s v="Plant Node Officer - PP"/>
    <m/>
    <s v="Administration"/>
    <s v="Administration"/>
    <s v="Administration"/>
    <s v="Non Technical Support"/>
    <s v="Administration"/>
    <s v="Administration"/>
    <s v="74101001"/>
    <s v="Administration"/>
    <s v="Vizag"/>
    <d v="1979-02-03T00:00:00"/>
    <s v="44.07"/>
    <d v="2003-02-08T00:00:00"/>
    <d v="2037-02-28T00:00:00"/>
    <m/>
    <d v="2037-02-28T00:00:00"/>
    <n v="4910"/>
    <s v="A-"/>
    <s v="MBA-2002 , BCom-2002"/>
    <s v=""/>
    <s v="20.07"/>
    <s v="20.07"/>
    <s v="72150111"/>
    <s v="Vizag HR Operations &amp; Administration"/>
    <s v="70319475"/>
    <s v="Plant Node Officer - PP"/>
    <s v="Vizag"/>
    <s v="0028030019"/>
    <s v="VIZ-Personnel &amp; Admi"/>
    <s v="2000VIZOPS"/>
    <s v="20000519"/>
    <s v="Dandu Srinivas Varma"/>
    <s v="No"/>
    <s v="satish.kumar2@amns.in"/>
    <s v="9885310953"/>
    <s v="23956"/>
    <s v="DS Varma"/>
    <s v="Anil Matoo"/>
    <s v="Praveen Kuruvalli"/>
    <s v="Dhruv Vyas"/>
    <n v="0"/>
  </r>
  <r>
    <n v="341"/>
    <n v="20001664"/>
    <s v="Vivek Koul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CRM &amp; Pipe"/>
    <m/>
    <s v="Procurement MRO Hazira"/>
    <s v="Procurement"/>
    <s v="APD &amp; OEM for CRM Complex"/>
    <s v="Non Technical Support"/>
    <s v="Commercial"/>
    <s v="Procurement"/>
    <s v="73803001"/>
    <s v="Procurement"/>
    <s v="AM/NS Hazira"/>
    <d v="1981-03-05T00:00:00"/>
    <s v="42.06"/>
    <d v="2003-05-26T00:00:00"/>
    <d v="2039-03-31T00:00:00"/>
    <m/>
    <d v="2039-03-31T00:00:00"/>
    <n v="5671"/>
    <s v="O-"/>
    <s v="BTech-2003"/>
    <s v=""/>
    <s v="20.03"/>
    <s v="20.03"/>
    <s v="70072410"/>
    <s v="Rolling &amp; Finishing including CRM, Plate"/>
    <s v="70227024"/>
    <s v="Lead – Proc CRM &amp; Pipe"/>
    <s v="Hazira"/>
    <s v="0031950048"/>
    <s v="HZ-Procurment Depart"/>
    <s v="2000HWO"/>
    <s v="20002323"/>
    <s v="Balaji Somvanshi"/>
    <s v="No"/>
    <s v="vivek.koul@amns.in"/>
    <s v="9879101781"/>
    <s v="22278"/>
    <s v="Dhruv Vyas"/>
    <s v="Anil Matoo"/>
    <s v="Praveen Kuruvalli"/>
    <s v="Dhruv Vyas"/>
    <n v="0"/>
  </r>
  <r>
    <n v="345"/>
    <n v="20001736"/>
    <s v="Manoranjan Jagdhari"/>
    <s v="AM/NS India"/>
    <s v="Onroll"/>
    <s v="M-5"/>
    <n v="5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KAM - OEM Sales"/>
    <m/>
    <s v="West"/>
    <s v="Hypermart"/>
    <s v=""/>
    <s v="Non Technical Support"/>
    <s v="Sales &amp; Marketing"/>
    <s v="Sales"/>
    <s v="73104004"/>
    <s v="OEM Sales"/>
    <s v="Ahmedabad"/>
    <d v="1977-10-29T00:00:00"/>
    <s v="45.10"/>
    <d v="2003-07-28T00:00:00"/>
    <d v="2035-10-31T00:00:00"/>
    <m/>
    <d v="2035-10-31T00:00:00"/>
    <n v="4424"/>
    <s v="B-"/>
    <s v="BE-2002 , MBA-2002"/>
    <s v=""/>
    <s v="20.01"/>
    <s v="20.01"/>
    <s v="70394840"/>
    <s v="OEM Sales - Gujarat"/>
    <s v="70390042"/>
    <s v="Business Lead - Hypermart Gujarat"/>
    <s v="Hazira"/>
    <s v="0060110200"/>
    <s v="HMART-Gujarat Div"/>
    <s v="2000HWO"/>
    <s v="20000812"/>
    <s v="Sitaram Rege"/>
    <s v="No"/>
    <s v="manoranjan.jagdhari@amns.in"/>
    <s v="9978937895"/>
    <s v="21957"/>
    <s v="Dhruv Vyas"/>
    <s v="Anil Matoo"/>
    <s v="Praveen Kuruvalli"/>
    <s v="Dhruv Vyas"/>
    <n v="0"/>
  </r>
  <r>
    <n v="349"/>
    <n v="20001800"/>
    <s v="Sanjay Desa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76-04-23T00:00:00"/>
    <s v="47.04"/>
    <d v="2003-11-20T00:00:00"/>
    <d v="2034-04-30T00:00:00"/>
    <m/>
    <d v="2034-04-30T00:00:00"/>
    <n v="3875"/>
    <s v="O-"/>
    <s v="BCom-2001 , LLB-2001"/>
    <s v="11.06"/>
    <s v="19.09"/>
    <s v="31.03"/>
    <s v="00044156"/>
    <s v="Indirect Taxation - 2"/>
    <s v="70372310"/>
    <s v="Lead - Customs"/>
    <s v="Hazira"/>
    <s v="0031950044"/>
    <s v="HZ-Commercial Taxati"/>
    <s v="2000HWO"/>
    <s v="20006246"/>
    <s v="Deven Sadadiwala"/>
    <s v="No"/>
    <s v="sanjay.desai@amns.in"/>
    <s v="9909901504"/>
    <s v="21607"/>
    <s v="Dhruv Vyas"/>
    <s v="Anil Matoo"/>
    <s v="Praveen Kuruvalli"/>
    <s v="Dhruv Vyas"/>
    <n v="0"/>
  </r>
  <r>
    <n v="350"/>
    <n v="20001808"/>
    <s v="Alpesh Parikh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Hypermart"/>
    <s v="Hypermart"/>
    <s v=""/>
    <s v="Non Technical Support"/>
    <s v="Sales &amp; Marketing"/>
    <s v="Sales"/>
    <s v="73104004"/>
    <s v="OEM Sales"/>
    <s v="Ahmedabad"/>
    <d v="1972-08-22T00:00:00"/>
    <s v="51.00"/>
    <d v="2003-12-01T00:00:00"/>
    <d v="2030-08-31T00:00:00"/>
    <m/>
    <d v="2030-08-31T00:00:00"/>
    <n v="2537"/>
    <s v="A-"/>
    <s v="BSc-1994 , Diploma-1994"/>
    <s v=""/>
    <s v="19.09"/>
    <s v="19.09"/>
    <s v="72150154"/>
    <s v="HyperMart"/>
    <s v="70334352"/>
    <s v="KAM - Secondary Sales"/>
    <s v="Hazira"/>
    <s v="0031950057"/>
    <s v="HZ-HRC - Marketing"/>
    <s v="2000HWO"/>
    <s v="20006236"/>
    <s v="Sanjay Vaid"/>
    <s v="No"/>
    <s v="alpesh.parikh@amns.in"/>
    <s v="9879100901"/>
    <s v="23003"/>
    <s v="Dhruv Vyas"/>
    <s v="Anil Matoo"/>
    <s v="Praveen Kuruvalli"/>
    <s v="Dhruv Vyas"/>
    <n v="0"/>
  </r>
  <r>
    <n v="353"/>
    <n v="20001854"/>
    <s v="Arasappan Thirumaran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Section Head - Treasury"/>
    <m/>
    <s v="Treasury &amp; Banking"/>
    <s v="Treasury"/>
    <s v="Treasury"/>
    <s v="Non Technical Support"/>
    <s v="Finance &amp; Accounts"/>
    <s v="Treasury"/>
    <s v="73903001"/>
    <s v="Treasury"/>
    <s v="AM/NS Hazira"/>
    <d v="1968-06-13T00:00:00"/>
    <s v="55.03"/>
    <d v="2004-01-23T00:00:00"/>
    <d v="2026-06-30T00:00:00"/>
    <m/>
    <d v="2026-06-30T00:00:00"/>
    <n v="1014"/>
    <s v="O-"/>
    <s v="ICWA Final-2009 , BCom-2009 , CA Inter-1"/>
    <s v="09.00"/>
    <s v="19.07"/>
    <s v="28.07"/>
    <s v="72150420"/>
    <s v="Treasury - Hazira"/>
    <s v="72152884"/>
    <s v="Section Head - Treasury"/>
    <s v="Hazira"/>
    <s v="0031950045"/>
    <s v="HZ-Works Accounts-Ha"/>
    <s v="2000HWO"/>
    <s v="20000870"/>
    <s v="Balajee M"/>
    <s v="No"/>
    <s v="maran.thiru@amns.in"/>
    <s v="9909901125"/>
    <s v="24516"/>
    <s v="Dhruv Vyas"/>
    <s v="Anil Matoo"/>
    <s v="Praveen Kuruvalli"/>
    <s v="Dhruv Vyas"/>
    <n v="0"/>
  </r>
  <r>
    <n v="362"/>
    <n v="20001905"/>
    <s v="Nirav Bhagat"/>
    <s v="AM/NS India"/>
    <s v="Onroll"/>
    <s v="M-7"/>
    <n v="7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 Charge - Issue/Shifting"/>
    <m/>
    <s v="Stores &amp; Warehouse"/>
    <s v="Stores &amp; Warehouse"/>
    <s v="INI-CSP Caster, RMHS, F&amp;S, Admin, SMP Crane &amp; all bearing"/>
    <s v="Non Technical Support"/>
    <s v="Commercial"/>
    <s v="Stores &amp; Warehouse"/>
    <s v="73806001"/>
    <s v="Stores &amp; Warehouse"/>
    <s v="Hazira"/>
    <d v="1982-11-17T00:00:00"/>
    <s v="40.10"/>
    <d v="2003-07-08T00:00:00"/>
    <d v="2040-11-30T00:00:00"/>
    <m/>
    <d v="2040-11-30T00:00:00"/>
    <n v="6281"/>
    <s v="B-"/>
    <s v="Diploma-2003"/>
    <s v="00.08"/>
    <s v="20.02"/>
    <s v="20.10"/>
    <s v="00044540"/>
    <s v="Material Issue &amp; Shifting"/>
    <s v="70372311"/>
    <s v="Section In Charge - Issue/Shifting"/>
    <s v="Hazira"/>
    <s v="0031950049"/>
    <s v="HZ-Central Stores"/>
    <s v="2000HWO"/>
    <s v="20001164"/>
    <s v="Snehal Anjaria"/>
    <s v="No"/>
    <s v="nirav.bhagat@amns.in"/>
    <s v="9879102032"/>
    <s v="21207"/>
    <s v="Dhruv Vyas"/>
    <s v="Anil Matoo"/>
    <s v="Praveen Kuruvalli"/>
    <s v="Dhruv Vyas"/>
    <n v="0"/>
  </r>
  <r>
    <n v="383"/>
    <n v="20002323"/>
    <s v="Balaji Somvanshi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Section Head -  Pro Rolling &amp; Finishing"/>
    <m/>
    <s v="Procurement MRO Hazira"/>
    <s v="Procurement"/>
    <s v="Rolling &amp; Finishing"/>
    <s v="Non Technical Support"/>
    <s v="Commercial"/>
    <s v="Procurement"/>
    <s v="73803001"/>
    <s v="Procurement"/>
    <s v="AM/NS Hazira"/>
    <d v="1973-05-05T00:00:00"/>
    <s v="50.04"/>
    <d v="2004-08-11T00:00:00"/>
    <d v="2031-05-31T00:00:00"/>
    <m/>
    <d v="2031-05-31T00:00:00"/>
    <n v="2810"/>
    <s v="B-"/>
    <s v="BE-1994"/>
    <s v="09.08"/>
    <s v="19.01"/>
    <s v="28.09"/>
    <s v="70072410"/>
    <s v="Rolling &amp; Finishing including CRM, Plate"/>
    <s v="70320256"/>
    <s v="Section Head -  Pro Rolling &amp; Finishing"/>
    <s v="Hazira"/>
    <s v="0031950048"/>
    <s v="HZ-Procurment Depart"/>
    <s v="2000HWO"/>
    <s v="20000201"/>
    <s v="Manish Bakriwala"/>
    <s v="No"/>
    <s v="balaji.somvanshi@amns.in"/>
    <s v="9879100735"/>
    <s v="24325"/>
    <s v="Dhruv Vyas"/>
    <s v="Anil Matoo"/>
    <s v="Praveen Kuruvalli"/>
    <s v="Dhruv Vyas"/>
    <n v="0"/>
  </r>
  <r>
    <n v="385"/>
    <n v="20002379"/>
    <s v="Mateen Rizvi"/>
    <s v="AM/NS India"/>
    <s v="Onroll"/>
    <s v="M-6"/>
    <n v="6"/>
    <m/>
    <s v="MM"/>
    <s v="M"/>
    <s v="Vizag"/>
    <n v="3"/>
    <s v="2095"/>
    <x v="4"/>
    <n v="36.01"/>
    <s v="Deepak Sindkar"/>
    <s v="Hrishikesh Kamat"/>
    <n v="7"/>
    <s v="Procurement"/>
    <s v="Raw Materials"/>
    <s v="36"/>
    <s v="Section Head - Raw Material Liasioning"/>
    <m/>
    <s v="Bulk Raw Materials"/>
    <s v="Liaisoning"/>
    <s v="Liaisoning"/>
    <s v="Non Technical Support"/>
    <s v="Services"/>
    <s v="Maintenance Services"/>
    <s v="72103013"/>
    <s v="Mechanical Maintenance"/>
    <s v="Kirandul"/>
    <d v="1981-02-20T00:00:00"/>
    <s v="42.06"/>
    <d v="2004-08-16T00:00:00"/>
    <d v="2039-02-28T00:00:00"/>
    <m/>
    <d v="2039-02-28T00:00:00"/>
    <n v="5640"/>
    <s v="B-"/>
    <s v="BE-2004"/>
    <s v=""/>
    <s v="19.01"/>
    <s v="19.01"/>
    <s v="00045893"/>
    <s v="Red Odisha Mill Scale"/>
    <s v="70402767"/>
    <s v="Section Head - Raw Material Liasioning"/>
    <s v="Vizag"/>
    <s v="0028010019"/>
    <s v="KRD-Admin &amp; General"/>
    <s v="2000VIZOPS"/>
    <s v="20035527"/>
    <s v="Anil Patro"/>
    <s v="No"/>
    <s v="mateen.rizvi@amns.in"/>
    <s v="9425591778"/>
    <s v="23790"/>
    <s v="Dhruv Vyas"/>
    <s v="Anil Matoo"/>
    <s v="Praveen Kuruvalli"/>
    <s v="Dhruv Vyas"/>
    <n v="0"/>
  </r>
  <r>
    <n v="406"/>
    <n v="20002479"/>
    <s v="Anand Talabhatula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- Pro MH"/>
    <m/>
    <s v="Procurement MRO Hazira"/>
    <s v="Procurement"/>
    <s v="Quality System &amp; Customer Relation Manager"/>
    <s v="Non Technical Support"/>
    <s v="Operations"/>
    <s v="Operations"/>
    <s v="72103001"/>
    <s v="Operations"/>
    <s v="AM/NS Hazira"/>
    <d v="1982-01-23T00:00:00"/>
    <s v="41.07"/>
    <d v="2004-09-14T00:00:00"/>
    <d v="2040-01-31T00:00:00"/>
    <m/>
    <d v="2040-01-31T00:00:00"/>
    <n v="5977"/>
    <s v="B-"/>
    <s v="PG Diploma in Management-2012 , BTech-20"/>
    <s v=""/>
    <s v="19.00"/>
    <s v="19.00"/>
    <s v="72150383"/>
    <s v="Procurement (MRO/IP &amp; Consumable)"/>
    <s v="70226947"/>
    <s v="Lead - Pro MH"/>
    <s v="Hazira"/>
    <s v="0031950048"/>
    <s v="HZ-Procurment Depart"/>
    <s v="2000HWO"/>
    <s v="20000201"/>
    <s v="Manish Bakriwala"/>
    <s v="No"/>
    <s v="anand.talabhatula@amns.in"/>
    <s v="9909901508"/>
    <s v="24443"/>
    <s v="Dhruv Vyas"/>
    <s v="Anil Matoo"/>
    <s v="Praveen Kuruvalli"/>
    <s v="Dhruv Vyas"/>
    <n v="0"/>
  </r>
  <r>
    <n v="413"/>
    <n v="20002587"/>
    <s v="Seema Mehta"/>
    <s v="AM/NS India"/>
    <s v="Onroll"/>
    <s v="M-8"/>
    <n v="8"/>
    <m/>
    <s v="JM"/>
    <s v="F"/>
    <s v="Hazira"/>
    <n v="1"/>
    <s v="2012"/>
    <x v="7"/>
    <s v="34.01"/>
    <s v="Ambrish Chaturvedi"/>
    <s v="Hrishikesh Kamat"/>
    <n v="7"/>
    <s v="Procurement"/>
    <s v="Stores &amp; Warehouse"/>
    <s v="34"/>
    <s v="Section Officer - GRN &amp; Documentation"/>
    <m/>
    <s v="Stores &amp; Warehouse"/>
    <s v="Stores &amp; Warehouse"/>
    <s v="GRN &amp; Documentation"/>
    <s v="Non Technical Support"/>
    <s v="Commercial"/>
    <s v="Stores &amp; Warehouse"/>
    <s v="73806001"/>
    <s v="Stores &amp; Warehouse"/>
    <s v="Hazira"/>
    <d v="1968-07-13T00:00:00"/>
    <s v="55.02"/>
    <d v="2004-09-23T00:00:00"/>
    <d v="2026-07-31T00:00:00"/>
    <m/>
    <d v="2026-07-31T00:00:00"/>
    <n v="1045"/>
    <s v="AB-"/>
    <s v="BCom-1988"/>
    <s v=""/>
    <s v="18.11"/>
    <s v="18.11"/>
    <s v="00053278"/>
    <s v="GRN/Documentation/Issue - Plant A"/>
    <s v="70259108"/>
    <s v="Section Officer - GRN &amp; Documentation"/>
    <s v="Hazira"/>
    <s v="0031950049"/>
    <s v="HZ-Central Stores"/>
    <s v="2000HWO"/>
    <s v="20001164"/>
    <s v="Snehal Anjaria"/>
    <s v="No"/>
    <s v="seema.mehta@amns.in"/>
    <s v="9879101993"/>
    <s v="22601"/>
    <s v="Dhruv Vyas"/>
    <s v="Anil Matoo"/>
    <s v="Praveen Kuruvalli"/>
    <s v="Dhruv Vyas"/>
    <n v="0"/>
  </r>
  <r>
    <n v="414"/>
    <n v="20002607"/>
    <s v="Perpetina Corda"/>
    <s v="AM/NS India"/>
    <s v="Onroll"/>
    <s v="M-6"/>
    <n v="6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Trade Finance"/>
    <m/>
    <s v="Treasury &amp; Banking"/>
    <s v="Treasury &amp; Banking"/>
    <s v="Corporate Finance"/>
    <s v="Non Technical Support"/>
    <s v="Finance &amp; Accounts"/>
    <s v="Treasury"/>
    <s v="73903001"/>
    <s v="Treasury"/>
    <s v="Mumbai"/>
    <d v="1970-06-17T00:00:00"/>
    <s v="53.03"/>
    <d v="1994-03-21T00:00:00"/>
    <d v="2028-06-30T00:00:00"/>
    <m/>
    <d v="2028-06-30T00:00:00"/>
    <n v="1745"/>
    <s v="AB+"/>
    <s v="BA-2013 , Chartered Financial Analyst (C"/>
    <s v=""/>
    <s v="29.06"/>
    <s v="29.06"/>
    <s v="70447071"/>
    <s v="Insurance &amp; Financial Risk"/>
    <s v="70285612"/>
    <s v="Lead - Trade Finance"/>
    <s v="Hazira"/>
    <s v="0090000028"/>
    <s v="Corporate Steel - Wo"/>
    <s v="2000HWO"/>
    <s v="20017504"/>
    <s v="Appi Reddy Guttikonda"/>
    <s v="No"/>
    <s v="perpetina.corda@amns.in"/>
    <s v="9819731811"/>
    <s v="21446"/>
    <s v="Dhruv Vyas"/>
    <s v="Anil Matoo"/>
    <s v="Praveen Kuruvalli"/>
    <s v="Dhruv Vyas"/>
    <n v="0"/>
  </r>
  <r>
    <n v="416"/>
    <n v="20002629"/>
    <s v="Bhavesh Patel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Power Transmission  Hazira"/>
    <m/>
    <s v="Procurement MRO Hazira"/>
    <s v="Procurement"/>
    <s v="APD &amp; OEM Plate Mill &amp; Power Transmission for Hazira Complex"/>
    <s v="Non Technical Support"/>
    <s v="Commercial"/>
    <s v="Procurement"/>
    <s v="73803001"/>
    <s v="Procurement"/>
    <s v="AM/NS Hazira"/>
    <d v="1981-11-28T00:00:00"/>
    <s v="41.09"/>
    <d v="2004-10-06T00:00:00"/>
    <d v="2039-11-30T00:00:00"/>
    <m/>
    <d v="2039-11-30T00:00:00"/>
    <n v="5915"/>
    <s v="A-"/>
    <s v="BE-2003"/>
    <s v="01.00"/>
    <s v="18.11"/>
    <s v="19.11"/>
    <s v="00053409"/>
    <s v="Proc PowerTransmission"/>
    <s v="70227553"/>
    <s v="Lead – Proc Power Transmission  Hazira"/>
    <s v="Hazira"/>
    <s v="0031950048"/>
    <s v="HZ-Procurment Depart"/>
    <s v="2000HWO"/>
    <s v="20002323"/>
    <s v="Balaji Somvanshi"/>
    <s v="No"/>
    <s v="bhavesh.patel2@amns.in"/>
    <s v="9879102141"/>
    <s v="23104"/>
    <s v="Dhruv Vyas"/>
    <s v="Anil Matoo"/>
    <s v="Praveen Kuruvalli"/>
    <s v="Dhruv Vyas"/>
    <n v="0"/>
  </r>
  <r>
    <n v="418"/>
    <n v="20002639"/>
    <s v="Kathiresan K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Plate"/>
    <s v=""/>
    <s v="Non Technical Support"/>
    <s v="Sales &amp; Marketing"/>
    <s v="Sales"/>
    <s v="73104004"/>
    <s v="OEM Sales"/>
    <s v="Chennai"/>
    <d v="1985-06-22T00:00:00"/>
    <s v="38.03"/>
    <d v="2004-10-06T00:00:00"/>
    <d v="2043-06-30T00:00:00"/>
    <m/>
    <d v="2043-06-30T00:00:00"/>
    <n v="7223"/>
    <s v="B-"/>
    <s v="Diploma-2010 , AMIE-2010 , BSc-9999 , MB"/>
    <s v=""/>
    <s v="18.11"/>
    <s v="18.11"/>
    <s v="00052473"/>
    <s v="KAM - Plate Sales"/>
    <s v="70319532"/>
    <s v="KAM - Plate Sales"/>
    <s v="Hazira"/>
    <s v="0031581982"/>
    <s v="PLM-Marketing"/>
    <s v="2000HWO"/>
    <s v="20000909"/>
    <s v="Murali Krishna Chunduru"/>
    <s v="No"/>
    <s v="kathiresan.k@amns.in"/>
    <s v="9962828289"/>
    <s v="22083"/>
    <s v="Dhruv Vyas"/>
    <s v="Anil Matoo"/>
    <s v="Praveen Kuruvalli"/>
    <s v="Dhruv Vyas"/>
    <n v="0"/>
  </r>
  <r>
    <n v="430"/>
    <n v="20002744"/>
    <s v="Lalit Periwal"/>
    <s v="AM/NS India"/>
    <s v="Onroll"/>
    <s v="M-8"/>
    <n v="8"/>
    <m/>
    <s v="JM"/>
    <s v="M"/>
    <s v="Corporate"/>
    <n v="7"/>
    <s v="2100"/>
    <x v="11"/>
    <s v="42.01"/>
    <s v="Pankaj Chourasia"/>
    <s v="P Ashok Kumar"/>
    <n v="9"/>
    <s v="Legal"/>
    <s v="Company Secretary"/>
    <s v="42"/>
    <s v="Lead Company Secretary"/>
    <m/>
    <s v="Company Secretary"/>
    <s v="Company Secretary"/>
    <s v="Lead - Corporate Secretarial"/>
    <s v="Non Technical Support"/>
    <s v="Secretarial"/>
    <s v="Company Secretary"/>
    <s v="73301001"/>
    <s v="Company Secretary"/>
    <s v="Mumbai"/>
    <d v="1965-01-05T00:00:00"/>
    <s v="58.08"/>
    <d v="1987-01-01T00:00:00"/>
    <d v="2023-01-31T00:00:00"/>
    <d v="2024-01-31T00:00:00"/>
    <d v="2024-01-31T00:00:00"/>
    <n v="133"/>
    <s v="O-"/>
    <s v="BCom-1986"/>
    <s v=""/>
    <s v="36.08"/>
    <s v="36.08"/>
    <s v="70273573"/>
    <s v="Company Secretarial"/>
    <s v="72153643"/>
    <s v="Lead Company Secretary"/>
    <s v="Corporate"/>
    <s v="0090000020"/>
    <s v="Company Secretary"/>
    <s v="2000CS"/>
    <s v="20050785"/>
    <s v="Pankaj Chourasia"/>
    <s v="No"/>
    <s v="lalit.periwal@amns.in"/>
    <s v="9819730810"/>
    <s v="23496"/>
    <s v="Dhruv Vyas"/>
    <s v="Anil Matoo"/>
    <s v="Praveen Kuruvalli"/>
    <s v="Dhruv Vyas"/>
    <n v="0"/>
  </r>
  <r>
    <n v="431"/>
    <n v="20002746"/>
    <s v="Deep Pyne"/>
    <s v="AM/NS India"/>
    <s v="Onroll"/>
    <s v="M-5"/>
    <n v="5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ection Head – Pro E I &amp;A and Zinc"/>
    <m/>
    <s v="Procurement MRO Hazira"/>
    <s v="Procurement"/>
    <s v="Zinc, Electrical, Instrumentation, Automation spares"/>
    <s v="Non Technical Support"/>
    <s v="Commercial"/>
    <s v="Procurement"/>
    <s v="73803001"/>
    <s v="Procurement"/>
    <s v="AM/NS Hazira"/>
    <d v="1973-06-12T00:00:00"/>
    <s v="50.03"/>
    <d v="2004-11-01T00:00:00"/>
    <d v="2031-06-30T00:00:00"/>
    <m/>
    <d v="2031-06-30T00:00:00"/>
    <n v="2840"/>
    <s v="O-"/>
    <s v="BE-1995"/>
    <s v="09.00"/>
    <s v="18.10"/>
    <s v="27.10"/>
    <s v="70266350"/>
    <s v="Zinc, Elect, Instrumentation, Automation"/>
    <s v="70258442"/>
    <s v="Section Head – Pro E I &amp;A and Zinc"/>
    <s v="Hazira"/>
    <s v="0031950048"/>
    <s v="HZ-Procurment Depart"/>
    <s v="2000HWO"/>
    <s v="20000201"/>
    <s v="Manish Bakriwala"/>
    <s v="No"/>
    <s v="deep.pyne@amns.in"/>
    <s v="9879100819"/>
    <s v="23601"/>
    <s v="Dhruv Vyas"/>
    <s v="Anil Matoo"/>
    <s v="Praveen Kuruvalli"/>
    <s v="Dhruv Vyas"/>
    <n v="0"/>
  </r>
  <r>
    <n v="440"/>
    <n v="20002894"/>
    <s v="Soni Majji"/>
    <s v="AM/NS India"/>
    <s v="Onroll"/>
    <s v="M-8"/>
    <n v="8"/>
    <m/>
    <s v="JM"/>
    <s v="F"/>
    <s v="Vizag"/>
    <n v="3"/>
    <s v="2043"/>
    <x v="3"/>
    <s v="31.01"/>
    <s v="Hrishikesh Kamat"/>
    <s v="Hrishikesh Kamat"/>
    <n v="7"/>
    <s v="Procurement"/>
    <s v="Procurement"/>
    <s v="31"/>
    <s v="Engineers -  Procurement (BP &amp; Common)"/>
    <m/>
    <s v="Procurement"/>
    <s v="Procurement"/>
    <s v="Purchase"/>
    <s v="Non Technical Support"/>
    <s v="Operations"/>
    <s v="Plant Operations"/>
    <s v="72103003"/>
    <s v="Plant Operations"/>
    <s v="Vizag"/>
    <d v="1985-12-30T00:00:00"/>
    <s v="37.08"/>
    <d v="2004-12-20T00:00:00"/>
    <d v="2043-12-31T00:00:00"/>
    <m/>
    <d v="2043-12-31T00:00:00"/>
    <n v="7407"/>
    <s v="AB-"/>
    <s v="Diploma-2004"/>
    <s v=""/>
    <s v="18.09"/>
    <s v="18.09"/>
    <s v="70301353"/>
    <s v="Procurement - Vizag &amp; Chitrakonda"/>
    <s v="70372801"/>
    <s v="Engineers -  Procurement (BP &amp; Common)"/>
    <s v="Vizag"/>
    <s v="0028030019"/>
    <s v="VIZ-Personnel &amp; Admi"/>
    <s v="2000VIZOPS"/>
    <s v="20000200"/>
    <s v="A Venkateswara Rao"/>
    <s v="No"/>
    <s v="soni.majji@amns.in"/>
    <s v="9966333321"/>
    <s v="22495"/>
    <s v="DS Varma"/>
    <s v="Anil Matoo"/>
    <s v="Praveen Kuruvalli"/>
    <s v="Dhruv Vyas"/>
    <n v="0"/>
  </r>
  <r>
    <n v="445"/>
    <n v="20002920"/>
    <s v="Sudhir Sharm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Head Sales - North Zone"/>
    <m/>
    <s v="North"/>
    <s v="North"/>
    <s v=""/>
    <s v="Non Technical Support"/>
    <s v="Sales &amp; Marketing"/>
    <s v="Sales"/>
    <s v="73104004"/>
    <s v="OEM Sales"/>
    <s v="Noida"/>
    <d v="1966-09-03T00:00:00"/>
    <s v="57.00"/>
    <d v="2004-12-23T00:00:00"/>
    <d v="2024-09-30T00:00:00"/>
    <m/>
    <d v="2024-09-30T00:00:00"/>
    <n v="376"/>
    <s v="B-"/>
    <s v="Diploma-1994 , AMIE-1994 , BSc-1990"/>
    <s v="14.03"/>
    <s v="18.08"/>
    <s v="32.11"/>
    <s v="72150181"/>
    <s v="Sales North Zone"/>
    <s v="70334358"/>
    <s v="Regional Head Sales - North Zone"/>
    <s v="Hazira"/>
    <s v="0031950057"/>
    <s v="HZ-HRC - Marketing"/>
    <s v="2000HWO"/>
    <s v="20007104"/>
    <s v="Ranjan Dhar"/>
    <s v="No"/>
    <s v="sudhir.sharma@amns.in"/>
    <s v="9811226008"/>
    <s v="24121"/>
    <s v="Dhruv Vyas"/>
    <s v="Anil Matoo"/>
    <s v="Praveen Kuruvalli"/>
    <s v="Dhruv Vyas"/>
    <n v="0"/>
  </r>
  <r>
    <n v="461"/>
    <n v="20003094"/>
    <s v="Vikaskumar Bhavsar"/>
    <s v="AM/NS India"/>
    <s v="Onroll"/>
    <s v="M-8"/>
    <n v="8"/>
    <m/>
    <s v="J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Land Acquisition"/>
    <s v="Receipt &amp; Unbound"/>
    <s v="Non Technical Support"/>
    <s v="Commercial"/>
    <s v="Stores &amp; Warehouse"/>
    <s v="73806001"/>
    <s v="Stores &amp; Warehouse"/>
    <s v="AM/NS Hazira"/>
    <d v="1967-03-18T00:00:00"/>
    <s v="56.06"/>
    <d v="2005-02-10T00:00:00"/>
    <d v="2025-03-31T00:00:00"/>
    <m/>
    <d v="2025-03-31T00:00:00"/>
    <n v="558"/>
    <s v="A-"/>
    <s v="BCom-1989"/>
    <s v="15.06"/>
    <s v="18.07"/>
    <s v="34.00"/>
    <s v="70495436"/>
    <s v="Land Property"/>
    <s v="70259109"/>
    <s v="Manager"/>
    <s v="Hazira"/>
    <s v="0031950038"/>
    <s v="HZ-Hazira Land Acqui"/>
    <s v="2000HWO"/>
    <s v="20059561"/>
    <s v="Bhavdip Jathal"/>
    <s v="No"/>
    <s v="vikaskumar.bhavsar@amns.in"/>
    <s v="9879101470"/>
    <s v="21263"/>
    <s v="Dhruv Vyas"/>
    <s v="Anil Matoo"/>
    <s v="Praveen Kuruvalli"/>
    <s v="Dhruv Vyas"/>
    <n v="0"/>
  </r>
  <r>
    <n v="469"/>
    <n v="20003178"/>
    <s v="Leena Agarwal"/>
    <s v="AM/NS India"/>
    <s v="Onroll"/>
    <s v="M-7"/>
    <n v="7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Compliance &amp; Trade Finance"/>
    <m/>
    <s v="Treasury &amp; Banking"/>
    <s v="Treasury &amp; Banking"/>
    <s v="Corporate Finance"/>
    <s v="Non Technical Support"/>
    <s v="Finance &amp; Accounts"/>
    <s v="Treasury"/>
    <s v="73903001"/>
    <s v="Treasury"/>
    <s v="Mumbai"/>
    <d v="1981-03-11T00:00:00"/>
    <s v="42.06"/>
    <d v="2005-03-14T00:00:00"/>
    <d v="2039-03-31T00:00:00"/>
    <m/>
    <d v="2039-03-31T00:00:00"/>
    <n v="5671"/>
    <s v="O-"/>
    <s v="MBA-2007 , MBA-2007"/>
    <s v="03.03"/>
    <s v="18.06"/>
    <s v="21.09"/>
    <s v="70101920"/>
    <s v="Treasury - Mumbai"/>
    <s v="70258947"/>
    <s v="Lead - Compliance &amp; Trade Finance"/>
    <s v="Corporate"/>
    <s v="0090000028"/>
    <s v="Corporate Steel - Wo"/>
    <s v="2000CS"/>
    <s v="20000057"/>
    <s v="Vivek Sanil"/>
    <s v="No"/>
    <s v="leena.agarwal@amns.in"/>
    <s v="9819731888"/>
    <s v="21025"/>
    <s v="Dhruv Vyas"/>
    <s v="Anil Matoo"/>
    <s v="Praveen Kuruvalli"/>
    <s v="Dhruv Vyas"/>
    <n v="0"/>
  </r>
  <r>
    <n v="470"/>
    <n v="20003180"/>
    <s v="Bhikhubhai Ahir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 &amp; Unloading"/>
    <m/>
    <s v="Stores &amp; Warehouse"/>
    <s v="Stores &amp; Warehouse"/>
    <s v="Receipt &amp; Unloading"/>
    <s v="Non Technical Support"/>
    <s v="Commercial"/>
    <s v="Stores &amp; Warehouse"/>
    <s v="73806001"/>
    <s v="Stores &amp; Warehouse"/>
    <s v="Hazira"/>
    <d v="1967-04-01T00:00:00"/>
    <s v="56.05"/>
    <d v="2005-03-14T00:00:00"/>
    <d v="2025-03-31T00:00:00"/>
    <m/>
    <d v="2025-03-31T00:00:00"/>
    <n v="558"/>
    <s v="A-"/>
    <s v="BA-1988"/>
    <s v="08.01"/>
    <s v="18.06"/>
    <s v="26.07"/>
    <s v="00053277"/>
    <s v="Receipts &amp; Unloading - Plant B"/>
    <s v="70319566"/>
    <s v="Section Officer - Receipt &amp; Unloading"/>
    <s v="Hazira"/>
    <s v="0031950049"/>
    <s v="HZ-Central Stores"/>
    <s v="2000HWO"/>
    <s v="20000948"/>
    <s v="Hitesh Raval"/>
    <s v="No"/>
    <s v="bhikhubhai.ahir@amns.in"/>
    <s v="9879101995"/>
    <s v="21042"/>
    <s v="Dhruv Vyas"/>
    <s v="Anil Matoo"/>
    <s v="Praveen Kuruvalli"/>
    <s v="Dhruv Vyas"/>
    <n v="0"/>
  </r>
  <r>
    <n v="474"/>
    <n v="20003222"/>
    <s v="Sanket Vakhariy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Ahmedabad"/>
    <d v="1981-12-04T00:00:00"/>
    <s v="41.09"/>
    <d v="2005-03-21T00:00:00"/>
    <d v="2039-12-31T00:00:00"/>
    <m/>
    <d v="2039-12-31T00:00:00"/>
    <n v="5946"/>
    <s v="O-"/>
    <s v="BE-2005 , MBA-2005"/>
    <s v=""/>
    <s v="18.06"/>
    <s v="18.06"/>
    <s v="70394840"/>
    <s v="OEM Sales - Gujarat"/>
    <s v="70258921"/>
    <s v="Sales Manager - Hypermart"/>
    <s v="Hypermart"/>
    <s v="0060110200"/>
    <s v="HMART-Gujarat Div"/>
    <s v="2000SRET"/>
    <s v="20001736"/>
    <s v="Manoranjan Jagdhari"/>
    <s v="No"/>
    <s v="sanket.vakhariya@amns.in"/>
    <s v="9825523407"/>
    <s v="24627"/>
    <s v="Dhruv Vyas"/>
    <s v="Anil Matoo"/>
    <s v="Praveen Kuruvalli"/>
    <s v="Dhruv Vyas"/>
    <n v="0"/>
  </r>
  <r>
    <n v="476"/>
    <n v="20003239"/>
    <s v="Mitesh Motka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Manager"/>
    <m/>
    <s v="West"/>
    <s v="OEM"/>
    <s v="Gujarat Sales"/>
    <s v="Non Technical Support"/>
    <s v="Services"/>
    <s v="Material Handling services"/>
    <s v="72103020"/>
    <s v="Packaging &amp; Warehousing"/>
    <s v="Ahmedabad"/>
    <d v="1985-08-17T00:00:00"/>
    <s v="38.01"/>
    <d v="2005-03-21T00:00:00"/>
    <d v="2043-08-31T00:00:00"/>
    <m/>
    <d v="2043-08-31T00:00:00"/>
    <n v="7285"/>
    <s v="O-"/>
    <s v="Diploma-2004"/>
    <s v="00.04"/>
    <s v="18.06"/>
    <s v="18.09"/>
    <s v="00052660"/>
    <s v="Plate Sales"/>
    <s v="70411831"/>
    <s v="Sales Manager"/>
    <s v="Hypermart"/>
    <s v="0031950057"/>
    <s v="HZ-HRC - Marketing"/>
    <s v="2000SRET"/>
    <s v="20046414"/>
    <s v="Vinod Ninawe"/>
    <s v="No"/>
    <s v="mitesh.motka@amns.in"/>
    <s v="9879102540"/>
    <s v="22716"/>
    <s v="Dhruv Vyas"/>
    <s v="Anil Matoo"/>
    <s v="Praveen Kuruvalli"/>
    <s v="Dhruv Vyas"/>
    <n v="0"/>
  </r>
  <r>
    <n v="477"/>
    <n v="20003280"/>
    <s v="Chetan Jansari"/>
    <s v="AM/NS India"/>
    <s v="Onroll"/>
    <s v="M-3"/>
    <n v="3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- Performance Management"/>
    <m/>
    <s v="Performance Management"/>
    <s v="Performance Management"/>
    <s v="Performance Management"/>
    <s v="Non Technical Support"/>
    <s v="Finance &amp; Accounts"/>
    <s v="Costing"/>
    <s v="73906001"/>
    <s v="Costing"/>
    <s v="AM/NS Hazira"/>
    <d v="1971-10-04T00:00:00"/>
    <s v="51.11"/>
    <d v="2005-04-01T00:00:00"/>
    <d v="2029-10-31T00:00:00"/>
    <m/>
    <d v="2029-10-31T00:00:00"/>
    <n v="2233"/>
    <s v="B-"/>
    <s v="BE-2004 , MBA-2004 , ICWA Inter-1993"/>
    <s v="08.10"/>
    <s v="18.05"/>
    <s v="27.04"/>
    <s v="70494729"/>
    <s v="Performance Management"/>
    <s v="70386195"/>
    <s v="Head - Performance Management"/>
    <s v="Confidential Payroll"/>
    <s v="0031950043"/>
    <s v="HZ-Performance Manag"/>
    <s v="2000HWO"/>
    <s v="20057933"/>
    <s v="Akiyo Omori"/>
    <s v="No"/>
    <s v="chetan.jansari@amns.in"/>
    <s v="9879100523"/>
    <s v="21992"/>
    <s v="Dhruv Vyas"/>
    <s v="Anil Matoo"/>
    <s v="Praveen Kuruvalli"/>
    <s v="Dhruv Vyas"/>
    <n v="0"/>
  </r>
  <r>
    <n v="478"/>
    <n v="20003359"/>
    <s v="Nilesh Jetani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- Proc Corex &amp; Utility"/>
    <m/>
    <s v="Procurement MRO Hazira"/>
    <s v="Procurement"/>
    <s v="APD &amp; OEM for SMP, Utility equipment's (Pumps, Compressors, HVAC)"/>
    <s v="Non Technical Support"/>
    <s v="Commercial"/>
    <s v="Procurement"/>
    <s v="73803001"/>
    <s v="Procurement"/>
    <s v="AM/NS Hazira"/>
    <d v="1983-11-07T00:00:00"/>
    <s v="39.10"/>
    <d v="2005-04-18T00:00:00"/>
    <d v="2041-11-30T00:00:00"/>
    <m/>
    <d v="2041-11-30T00:00:00"/>
    <n v="6646"/>
    <s v="A-"/>
    <s v="BE-2004"/>
    <s v="00.10"/>
    <s v="18.05"/>
    <s v="19.02"/>
    <s v="70072411"/>
    <s v="Iron &amp; Steel Making"/>
    <s v="70227554"/>
    <s v="Lead - Proc Corex &amp; Utility"/>
    <s v="Hazira"/>
    <s v="0031950048"/>
    <s v="HZ-Procurment Depart"/>
    <s v="2000HWO"/>
    <s v="20000926"/>
    <s v="Manishkumar Seksaria"/>
    <s v="No"/>
    <s v="nilesh.jetani@amns.in"/>
    <s v="9879102550"/>
    <s v="22843"/>
    <s v="Dhruv Vyas"/>
    <s v="Anil Matoo"/>
    <s v="Praveen Kuruvalli"/>
    <s v="Dhruv Vyas"/>
    <n v="0"/>
  </r>
  <r>
    <n v="479"/>
    <n v="20003360"/>
    <s v="Abhijit Kal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"/>
    <s v="Non Technical Support"/>
    <s v="R&amp; D and QA/QC"/>
    <s v="QA &amp; QC"/>
    <s v="72103034"/>
    <s v="QA &amp; QC"/>
    <s v="Pune"/>
    <d v="1981-11-26T00:00:00"/>
    <s v="41.09"/>
    <d v="2005-04-18T00:00:00"/>
    <d v="2039-11-30T00:00:00"/>
    <m/>
    <d v="2039-11-30T00:00:00"/>
    <n v="5915"/>
    <s v="B-"/>
    <s v="MTech-2004 , BE-2004"/>
    <s v="00.09"/>
    <s v="18.05"/>
    <s v="19.02"/>
    <s v="00052460"/>
    <s v="Auto &amp; YG"/>
    <s v="70319382"/>
    <s v="Sr. Lead - Application Engineering"/>
    <s v="Hazira"/>
    <s v="0031950057"/>
    <s v="HZ-HRC - Marketing"/>
    <s v="2000HWO"/>
    <s v="20056155"/>
    <s v="Kondapalli Venkateswarlu"/>
    <s v="No"/>
    <s v="abhijit.kale@amns.in"/>
    <s v="9923200093"/>
    <s v="22108"/>
    <s v="Dhruv Vyas"/>
    <s v="Anil Matoo"/>
    <s v="Praveen Kuruvalli"/>
    <s v="Dhruv Vyas"/>
    <n v="0"/>
  </r>
  <r>
    <n v="499"/>
    <n v="20003603"/>
    <s v="Madhur Kohli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Sales Head – East"/>
    <m/>
    <s v="East"/>
    <s v="East"/>
    <s v=""/>
    <s v="Non Technical Support"/>
    <s v="Sales &amp; Marketing"/>
    <s v="Sales"/>
    <s v="73104004"/>
    <s v="OEM Sales"/>
    <s v="Chennai"/>
    <d v="1967-09-13T00:00:00"/>
    <s v="56.00"/>
    <d v="2005-06-06T00:00:00"/>
    <d v="2025-09-30T00:00:00"/>
    <m/>
    <d v="2025-09-30T00:00:00"/>
    <n v="741"/>
    <s v="O-"/>
    <s v="BE-1989"/>
    <s v="15.05"/>
    <s v="18.03"/>
    <s v="33.08"/>
    <s v="00045321"/>
    <s v="Sales East Zone"/>
    <s v="70386196"/>
    <s v="Regional Sales Head – East"/>
    <s v="Hazira"/>
    <s v="0031581982"/>
    <s v="PLM-Marketing"/>
    <s v="2000HWO"/>
    <s v="20007104"/>
    <s v="Ranjan Dhar"/>
    <s v="No"/>
    <s v="madhur.kohli@amns.in"/>
    <s v="9874746461"/>
    <s v="22257"/>
    <s v="Dhruv Vyas"/>
    <s v="Anil Matoo"/>
    <s v="Praveen Kuruvalli"/>
    <s v="Dhruv Vyas"/>
    <n v="0"/>
  </r>
  <r>
    <n v="500"/>
    <n v="20003619"/>
    <s v="Abhishek Bhattacharyya"/>
    <s v="AM/NS India"/>
    <s v="Onroll"/>
    <s v="M-5"/>
    <n v="5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Head - Exports, Pune"/>
    <m/>
    <s v="Sales &amp; Marketing"/>
    <s v="Downstream Construction"/>
    <s v="International Sales"/>
    <s v="Non Technical Support"/>
    <s v="Operations"/>
    <s v="Operations"/>
    <s v="72103001"/>
    <s v="Operations"/>
    <s v="Pune AMNS"/>
    <d v="1980-02-28T00:00:00"/>
    <s v="43.06"/>
    <d v="2005-06-06T00:00:00"/>
    <d v="2038-02-28T00:00:00"/>
    <m/>
    <d v="2038-02-28T00:00:00"/>
    <n v="5275"/>
    <s v="B-"/>
    <s v="Certificate-2005 , MBA-2005 , BE-2002 ,"/>
    <s v=""/>
    <s v="18.03"/>
    <s v="18.03"/>
    <s v="70491980"/>
    <s v="Export Sales"/>
    <s v="70434505"/>
    <s v="Head- Project Downstream Const. Solution"/>
    <s v="Pune Facility"/>
    <s v="0035950073"/>
    <s v="Pune - S&amp;D Export"/>
    <s v="2000ESPF"/>
    <s v="20055084"/>
    <s v="Alain Legrix De La Salle"/>
    <s v="No"/>
    <s v="abhishek.bhattacharyya@amns.in"/>
    <s v="9158895051"/>
    <s v="21249"/>
    <s v="Dhruv Vyas"/>
    <s v="Anil Matoo"/>
    <s v="Praveen Kuruvalli"/>
    <s v="Dhruv Vyas"/>
    <n v="0"/>
  </r>
  <r>
    <n v="501"/>
    <n v="20003623"/>
    <s v="Soumyadeep Datt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– Plate Sales"/>
    <m/>
    <s v="Plate"/>
    <s v="Plate"/>
    <s v=""/>
    <s v="Non Technical Support"/>
    <s v="Sales &amp; Marketing"/>
    <s v="Sales"/>
    <s v="73104004"/>
    <s v="OEM Sales"/>
    <s v="Ahmedabad"/>
    <d v="1982-10-20T00:00:00"/>
    <s v="40.11"/>
    <d v="2005-06-06T00:00:00"/>
    <d v="2040-10-31T00:00:00"/>
    <m/>
    <d v="2040-10-31T00:00:00"/>
    <n v="6251"/>
    <s v="O-"/>
    <s v="MBA-2005"/>
    <s v=""/>
    <s v="18.03"/>
    <s v="18.03"/>
    <s v="70410953"/>
    <s v="Plate Sales - Gujarat"/>
    <s v="70386198"/>
    <s v="Head – Plate Sales"/>
    <s v="Hazira"/>
    <s v="0031581982"/>
    <s v="PLM-Marketing"/>
    <s v="2000HWO"/>
    <s v="20007104"/>
    <s v="Ranjan Dhar"/>
    <s v="No"/>
    <s v="soumyadeep.datta@amns.in"/>
    <s v="9925016964"/>
    <s v="21537"/>
    <s v="Dhruv Vyas"/>
    <s v="Anil Matoo"/>
    <s v="Praveen Kuruvalli"/>
    <s v="Dhruv Vyas"/>
    <n v="0"/>
  </r>
  <r>
    <n v="502"/>
    <n v="20003630"/>
    <s v="Mukul Manchand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of Sales - Iron Ore"/>
    <m/>
    <s v="Iron Ore &amp; Infra"/>
    <s v="Iron Ore &amp; Infra"/>
    <s v="Power &amp; Gas"/>
    <s v="Non Technical Support"/>
    <s v="Commercial"/>
    <s v="Procurement"/>
    <s v="73803001"/>
    <s v="Procurement"/>
    <s v="Mumbai"/>
    <d v="1981-02-15T00:00:00"/>
    <s v="42.07"/>
    <d v="2005-06-06T00:00:00"/>
    <d v="2039-02-28T00:00:00"/>
    <m/>
    <d v="2039-02-28T00:00:00"/>
    <n v="5640"/>
    <s v="B-"/>
    <s v="PG Diploma in Management-2005"/>
    <s v=""/>
    <s v="18.03"/>
    <s v="18.03"/>
    <s v="00044347"/>
    <s v="Sales - Iron Ore"/>
    <s v="70320364"/>
    <s v="Head of Sales - Iron Ore"/>
    <s v="Hazira"/>
    <s v="0031950048"/>
    <s v="HZ-Procurment Depart"/>
    <s v="2000HWO"/>
    <s v="20007104"/>
    <s v="Ranjan Dhar"/>
    <s v="No"/>
    <s v="mukul.manchanda@amns.in"/>
    <s v="9819730748"/>
    <s v="22515"/>
    <s v="Dhruv Vyas"/>
    <s v="Anil Matoo"/>
    <s v="Praveen Kuruvalli"/>
    <s v="Dhruv Vyas"/>
    <n v="0"/>
  </r>
  <r>
    <n v="510"/>
    <n v="20003847"/>
    <s v="Mahesh Mehar"/>
    <s v="AM/NS India"/>
    <s v="Onroll"/>
    <s v="M-5"/>
    <n v="5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Sr. Lead - Domestic Sales, Pune"/>
    <m/>
    <s v="West"/>
    <s v="OEM"/>
    <s v="National Sales"/>
    <s v="Non Technical Support"/>
    <s v="Operations"/>
    <s v="Operations"/>
    <s v="72103001"/>
    <s v="Operations"/>
    <s v="Mumbai"/>
    <d v="1974-12-10T00:00:00"/>
    <s v="48.09"/>
    <d v="2005-07-18T00:00:00"/>
    <d v="2032-12-31T00:00:00"/>
    <m/>
    <d v="2032-12-31T00:00:00"/>
    <n v="3390"/>
    <s v="O-"/>
    <s v="BE-1996"/>
    <s v="07.02"/>
    <s v="18.02"/>
    <s v="25.04"/>
    <s v="70140931"/>
    <s v="Sales Gujarat &amp; Mumbai Zone"/>
    <s v="70435076"/>
    <s v="Sr. KAM - OEM Sales"/>
    <s v="Pune Facility"/>
    <s v="0031950057"/>
    <s v="HZ-HRC - Marketing"/>
    <s v="2000ESPF"/>
    <s v="20000812"/>
    <s v="Sitaram Rege"/>
    <s v="No"/>
    <s v="mahesh.mehar@amns.in"/>
    <s v="9819730744"/>
    <s v="22475"/>
    <s v="Dhruv Vyas"/>
    <s v="Anil Matoo"/>
    <s v="Praveen Kuruvalli"/>
    <s v="Dhruv Vyas"/>
    <n v="0"/>
  </r>
  <r>
    <n v="534"/>
    <n v="20004058"/>
    <s v="Mayank Shah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Pro HBI Sinter BF"/>
    <m/>
    <s v="Procurement MRO Hazira"/>
    <s v="Procurement"/>
    <s v="APD &amp; OEM for Sinter, HBI Modules, Water Treatment Chemicals, High value hyd"/>
    <s v="Non Technical Support"/>
    <s v="Commercial"/>
    <s v="Procurement"/>
    <s v="73803001"/>
    <s v="Procurement"/>
    <s v="AM/NS Hazira"/>
    <d v="1980-11-30T00:00:00"/>
    <s v="42.09"/>
    <d v="2004-08-01T00:00:00"/>
    <d v="2038-11-30T00:00:00"/>
    <m/>
    <d v="2038-11-30T00:00:00"/>
    <n v="5550"/>
    <s v="B-"/>
    <s v="BE-2003"/>
    <s v=""/>
    <s v="19.01"/>
    <s v="19.01"/>
    <s v="00048362"/>
    <s v="Procurement HBI Sinter BF"/>
    <s v="70319391"/>
    <s v="Lead –Pro HBI Sinter BF"/>
    <s v="Hazira"/>
    <s v="0031950048"/>
    <s v="HZ-Procurment Depart"/>
    <s v="2000HWO"/>
    <s v="20000201"/>
    <s v="Manish Bakriwala"/>
    <s v="No"/>
    <s v="mayank.shah@amns.in"/>
    <s v="9879103926"/>
    <s v="24021"/>
    <s v="Dhruv Vyas"/>
    <s v="Anil Matoo"/>
    <s v="Praveen Kuruvalli"/>
    <s v="Dhruv Vyas"/>
    <n v="0"/>
  </r>
  <r>
    <n v="543"/>
    <n v="20004197"/>
    <s v="Nitin Dhimmer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r. Lead – Proc Pipe Pipe fittings Mech"/>
    <m/>
    <s v="Procurement MRO Hazira"/>
    <s v="Procurement"/>
    <s v="Pipe, Pipe fittings, Cooling Towers, Mech. Valves"/>
    <s v="Non Technical Support"/>
    <s v="Commercial"/>
    <s v="Contracts &amp; Tenders and E-bid"/>
    <s v="73805001"/>
    <s v="Contracts &amp; Tenders and E"/>
    <s v="AM/NS Hazira"/>
    <d v="1977-07-26T00:00:00"/>
    <s v="46.01"/>
    <d v="2005-11-01T00:00:00"/>
    <d v="2035-07-31T00:00:00"/>
    <m/>
    <d v="2035-07-31T00:00:00"/>
    <n v="4332"/>
    <s v="A-"/>
    <s v="High School-1997 , Diploma-1997 , High S"/>
    <s v="07.09"/>
    <s v="17.10"/>
    <s v="25.07"/>
    <s v="72150383"/>
    <s v="Procurement (MRO/IP &amp; Consumable)"/>
    <s v="70386201"/>
    <s v="Sr. Lead – Proc Pipe Pipe fittings Mech"/>
    <s v="Hazira"/>
    <s v="0031950048"/>
    <s v="HZ-Procurment Depart"/>
    <s v="2000HWO"/>
    <s v="20000201"/>
    <s v="Manish Bakriwala"/>
    <s v="No"/>
    <s v="nitin.dhimmer@amns.in"/>
    <s v="9879108329"/>
    <s v="21662"/>
    <s v="Dhruv Vyas"/>
    <s v="Anil Matoo"/>
    <s v="Praveen Kuruvalli"/>
    <s v="Dhruv Vyas"/>
    <n v="0"/>
  </r>
  <r>
    <n v="550"/>
    <n v="20004339"/>
    <s v="Alok Dalwadi"/>
    <s v="AM/NS India"/>
    <s v="Onroll"/>
    <s v="M-8"/>
    <n v="8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Lead - Secondary Sales"/>
    <m/>
    <s v="Secondary Sales, Non Steel"/>
    <s v="Secondary Sales"/>
    <s v="Secondary Sales (Non Steel)"/>
    <s v="Non Technical Support"/>
    <s v="Sales &amp; Marketing"/>
    <s v="Sales"/>
    <s v="73104001"/>
    <s v="Sales"/>
    <s v="Hazira"/>
    <d v="1986-12-12T00:00:00"/>
    <s v="36.09"/>
    <d v="2005-12-05T00:00:00"/>
    <d v="2044-12-31T00:00:00"/>
    <m/>
    <d v="2044-12-31T00:00:00"/>
    <n v="7773"/>
    <s v="AB-"/>
    <s v="Diploma-2005"/>
    <s v="00.05"/>
    <s v="17.09"/>
    <s v="18.02"/>
    <s v="00044541"/>
    <s v="HRC Store - Receipt"/>
    <s v="70372535"/>
    <s v="Lead - Secondary Sales"/>
    <s v="Hazira"/>
    <s v="0080000006"/>
    <s v="Secondary Sales - In"/>
    <s v="2000HWO"/>
    <s v="20005047"/>
    <s v="Rajeev Jha"/>
    <s v="No"/>
    <s v="alok.dalwadi@amns.in"/>
    <s v="9879102104"/>
    <s v="21469"/>
    <s v="Dhruv Vyas"/>
    <s v="Anil Matoo"/>
    <s v="Praveen Kuruvalli"/>
    <s v="Dhruv Vyas"/>
    <n v="0"/>
  </r>
  <r>
    <n v="567"/>
    <n v="20004519"/>
    <s v="Sarjan Mahid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 - Inventory Plant B"/>
    <m/>
    <s v="Stores &amp; Warehouse"/>
    <s v="Stores &amp; Warehouse"/>
    <s v="Inventory Plant B"/>
    <s v="Non Technical Support"/>
    <s v="Commercial"/>
    <s v="Stores &amp; Warehouse"/>
    <s v="73806001"/>
    <s v="Stores &amp; Warehouse"/>
    <s v="Hazira"/>
    <d v="1984-03-29T00:00:00"/>
    <s v="39.05"/>
    <d v="2006-01-09T00:00:00"/>
    <d v="2042-03-31T00:00:00"/>
    <m/>
    <d v="2042-03-31T00:00:00"/>
    <n v="6767"/>
    <s v="B-"/>
    <s v="Diploma-2005 , BTech-2005"/>
    <s v=""/>
    <s v="17.08"/>
    <s v="17.08"/>
    <s v="70232287"/>
    <s v="HRC Store &amp; Inventory  &amp; Cataloging Mgt."/>
    <s v="70319772"/>
    <s v="Section Office - Inventory Plant B"/>
    <s v="Hazira"/>
    <s v="0031950049"/>
    <s v="HZ-Central Stores"/>
    <s v="2000HWO"/>
    <s v="20000948"/>
    <s v="Hitesh Raval"/>
    <s v="No"/>
    <s v="sarjan.mahida@amns.in"/>
    <s v="9879103403"/>
    <s v="22482"/>
    <s v="Dhruv Vyas"/>
    <s v="Anil Matoo"/>
    <s v="Praveen Kuruvalli"/>
    <s v="Dhruv Vyas"/>
    <n v="0"/>
  </r>
  <r>
    <n v="575"/>
    <n v="20004612"/>
    <s v="Ramesh Chabhadiya"/>
    <s v="AM/NS India"/>
    <s v="Onroll"/>
    <s v="M-5"/>
    <n v="5"/>
    <m/>
    <s v="MM"/>
    <s v="M"/>
    <s v="Hazira"/>
    <n v="1"/>
    <s v="2096"/>
    <x v="14"/>
    <s v="36.02"/>
    <s v="Deepak Sindkar"/>
    <s v="Hrishikesh Kamat"/>
    <n v="7"/>
    <s v="Procurement"/>
    <s v="Raw Materials"/>
    <s v="36"/>
    <s v="Section Head – Gas &amp; Power"/>
    <m/>
    <s v="Power &amp; Gas"/>
    <s v="Power &amp; Gas"/>
    <s v="Power &amp; Gas"/>
    <s v="Tech. Support Services"/>
    <s v="Commercial"/>
    <s v="Procurement"/>
    <s v="73803001"/>
    <s v="Procurement"/>
    <s v="AM/NS Hazira"/>
    <d v="1980-10-15T00:00:00"/>
    <s v="42.11"/>
    <d v="2006-01-23T00:00:00"/>
    <d v="2038-10-31T00:00:00"/>
    <m/>
    <d v="2038-10-31T00:00:00"/>
    <n v="5520"/>
    <s v="B-"/>
    <s v="BE-2010 , PG Diploma in Management-2010"/>
    <s v="01.02"/>
    <s v="17.07"/>
    <s v="18.10"/>
    <s v="00049516"/>
    <s v="Power &amp; Gas"/>
    <s v="70319458"/>
    <s v="Section Head – Gas &amp; Power"/>
    <s v="Hazira"/>
    <s v="0031950048"/>
    <s v="HZ-Procurment Depart"/>
    <s v="2000HWO"/>
    <s v="20055090"/>
    <s v="Hrishikesh Kamat"/>
    <s v="No"/>
    <s v="ramesh.chabhadiya@amns.in"/>
    <s v="9879102342"/>
    <s v="21328"/>
    <s v="Dhruv Vyas"/>
    <s v="Anil Matoo"/>
    <s v="Praveen Kuruvalli"/>
    <s v="Dhruv Vyas"/>
    <n v="0"/>
  </r>
  <r>
    <n v="590"/>
    <n v="20004925"/>
    <s v="Tufail Ahmad"/>
    <s v="AM/NS India"/>
    <s v="Onroll"/>
    <s v="M-8"/>
    <n v="8"/>
    <m/>
    <s v="JM"/>
    <s v="M"/>
    <s v="Service Centers"/>
    <n v="6"/>
    <s v="2043"/>
    <x v="3"/>
    <s v="31.01"/>
    <s v="Hrishikesh Kamat"/>
    <s v="Hrishikesh Kamat"/>
    <n v="7"/>
    <s v="Procurement"/>
    <s v="Procurement"/>
    <s v="31"/>
    <s v="Lead - Procurement - Service Center"/>
    <m/>
    <s v="Procurement Service Centre"/>
    <s v="Procurement"/>
    <s v="Procurement"/>
    <s v="Non Technical Support"/>
    <s v="Operations"/>
    <s v="Plant Maintenance"/>
    <s v="72103008"/>
    <s v="Mechanical Maintenance"/>
    <s v="Bahadurgarh"/>
    <d v="1985-02-15T00:00:00"/>
    <s v="38.07"/>
    <d v="2006-03-07T00:00:00"/>
    <d v="2043-02-28T00:00:00"/>
    <m/>
    <d v="2043-02-28T00:00:00"/>
    <n v="7101"/>
    <s v="O-"/>
    <s v="Diploma-2004"/>
    <s v=""/>
    <s v="17.06"/>
    <s v="17.06"/>
    <s v="70413444"/>
    <s v="Purchase &amp; Contracts"/>
    <s v="70371387"/>
    <s v="Lead - Procurement - Service Center"/>
    <s v="Service Center"/>
    <s v="0040050019"/>
    <s v="SC-Bahadurgarh-Op1-C"/>
    <s v="2000SPRJ"/>
    <s v="20052588"/>
    <s v="Govindraju Sampathirao"/>
    <s v="No"/>
    <s v="tufail.ahmad@amns.in"/>
    <s v="9836631818"/>
    <s v="21050"/>
    <s v="Dhruv Vyas"/>
    <s v="Anil Matoo"/>
    <s v="Praveen Kuruvalli"/>
    <s v="Dhruv Vyas"/>
    <n v="0"/>
  </r>
  <r>
    <n v="596"/>
    <n v="20005047"/>
    <s v="Rajeev Jha"/>
    <s v="AM/NS India"/>
    <s v="Onroll"/>
    <s v="M-7"/>
    <n v="7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 Charge - Receipt"/>
    <m/>
    <s v="Stores &amp; Warehouse"/>
    <s v="Stores &amp; Warehouse"/>
    <s v="Receipt, Unloading &amp; Unbound"/>
    <s v="Non Technical Support"/>
    <s v="Commercial"/>
    <s v="Stores &amp; Warehouse"/>
    <s v="73806001"/>
    <s v="Stores &amp; Warehouse"/>
    <s v="Hazira"/>
    <d v="1971-01-15T00:00:00"/>
    <s v="52.08"/>
    <d v="2003-05-01T00:00:00"/>
    <d v="2029-01-31T00:00:00"/>
    <m/>
    <d v="2029-01-31T00:00:00"/>
    <n v="1960"/>
    <s v="A+"/>
    <s v="BA-2000 , Diploma-2000"/>
    <s v="04.11"/>
    <s v="20.04"/>
    <s v="25.03"/>
    <s v="00044541"/>
    <s v="HRC Store - Receipt"/>
    <s v="70319402"/>
    <s v="Section In Charge - Receipt"/>
    <s v="Hazira"/>
    <s v="0031950049"/>
    <s v="HZ-Central Stores"/>
    <s v="2000HWO"/>
    <s v="20001240"/>
    <s v="Ambrish Chaturvedi"/>
    <s v="No"/>
    <s v="rajeev.jha@amns.in"/>
    <s v="9879103256"/>
    <s v="22033"/>
    <s v="Dhruv Vyas"/>
    <s v="Anil Matoo"/>
    <s v="Praveen Kuruvalli"/>
    <s v="Dhruv Vyas"/>
    <n v="0"/>
  </r>
  <r>
    <n v="618"/>
    <n v="20005165"/>
    <s v="Parthiv Desai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 HBI &amp; BF"/>
    <m/>
    <s v="Stores &amp; Warehouse"/>
    <s v="Stores &amp; Warehouse"/>
    <s v="Receipt  HBI &amp; BF"/>
    <s v="Non Technical Support"/>
    <s v="Commercial"/>
    <s v="Contracts &amp; Tenders and E-bid"/>
    <s v="73805001"/>
    <s v="Contracts &amp; Tenders and E"/>
    <s v="Hazira"/>
    <d v="1982-05-08T00:00:00"/>
    <s v="41.04"/>
    <d v="2004-03-02T00:00:00"/>
    <d v="2040-05-31T00:00:00"/>
    <m/>
    <d v="2040-05-31T00:00:00"/>
    <n v="6098"/>
    <s v="B-"/>
    <s v="Diploma-2001"/>
    <s v="02.01"/>
    <s v="19.06"/>
    <s v="21.07"/>
    <s v="00048783"/>
    <s v="HBI, BF, Plant B &amp; Plate Mill"/>
    <s v="70319611"/>
    <s v="Section Officer - Receipt HBI &amp; BF"/>
    <s v="Hazira"/>
    <s v="0031950049"/>
    <s v="HZ-Central Stores"/>
    <s v="2000HWO"/>
    <s v="20001905"/>
    <s v="Nirav Bhagat"/>
    <s v="No"/>
    <s v="parthiv.desai@amns.in"/>
    <s v="9879103486"/>
    <s v="21601"/>
    <s v="Dhruv Vyas"/>
    <s v="Anil Matoo"/>
    <s v="Praveen Kuruvalli"/>
    <s v="Dhruv Vyas"/>
    <n v="0"/>
  </r>
  <r>
    <n v="655"/>
    <n v="20005286"/>
    <s v="Sanjay Jain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Instrumentation &amp; Automatio"/>
    <m/>
    <s v="Procurement MRO Hazira"/>
    <s v="Procurement"/>
    <s v="Instrumentation &amp; Automation spares - Hazira Complex"/>
    <s v="Non Technical Support"/>
    <s v="Commercial"/>
    <s v="Procurement"/>
    <s v="73803001"/>
    <s v="Procurement"/>
    <s v="AM/NS Hazira"/>
    <d v="1980-12-21T00:00:00"/>
    <s v="42.09"/>
    <d v="2004-10-06T00:00:00"/>
    <d v="2038-12-31T00:00:00"/>
    <m/>
    <d v="2038-12-31T00:00:00"/>
    <n v="5581"/>
    <s v="B-"/>
    <s v="BE-2004"/>
    <s v=""/>
    <s v="18.11"/>
    <s v="18.11"/>
    <s v="70072411"/>
    <s v="Iron &amp; Steel Making"/>
    <s v="70258882"/>
    <s v="Lead – Proc Instrumentation &amp; Automatio"/>
    <s v="Hazira"/>
    <s v="0031950048"/>
    <s v="HZ-Procurment Depart"/>
    <s v="2000HWO"/>
    <s v="20000926"/>
    <s v="Manishkumar Seksaria"/>
    <s v="No"/>
    <s v="sanjay.jain@amns.in"/>
    <s v="9879103413"/>
    <s v="21971"/>
    <s v="Dhruv Vyas"/>
    <s v="Anil Matoo"/>
    <s v="Praveen Kuruvalli"/>
    <s v="Dhruv Vyas"/>
    <n v="0"/>
  </r>
  <r>
    <n v="671"/>
    <n v="20005328"/>
    <s v="Abhay Dorley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Plate Yard &amp; Dispatch"/>
    <s v="Non Technical Support"/>
    <s v="Sales &amp; Marketing"/>
    <s v="Sales"/>
    <s v="73104004"/>
    <s v="OEM Sales"/>
    <s v="Hazira"/>
    <d v="1985-06-05T00:00:00"/>
    <s v="38.03"/>
    <d v="2005-02-09T00:00:00"/>
    <d v="2043-06-30T00:00:00"/>
    <m/>
    <d v="2043-06-30T00:00:00"/>
    <n v="7223"/>
    <s v="A-"/>
    <s v="Diploma-2017 , BBA-2017 , MBA-2004"/>
    <s v=""/>
    <s v="18.07"/>
    <s v="18.07"/>
    <s v="00052660"/>
    <s v="Plate Sales"/>
    <s v="70259132"/>
    <s v="Sales Manager"/>
    <s v="Hazira"/>
    <s v="0031581982"/>
    <s v="PLM-Marketing"/>
    <s v="2000HWO"/>
    <s v="20046414"/>
    <s v="Vinod Ninawe"/>
    <s v="No"/>
    <s v="abhay.dorley@amns.in"/>
    <s v="9879103507"/>
    <s v="21696"/>
    <s v="Dhruv Vyas"/>
    <s v="Anil Matoo"/>
    <s v="Praveen Kuruvalli"/>
    <s v="Dhruv Vyas"/>
    <n v="0"/>
  </r>
  <r>
    <n v="676"/>
    <n v="20005375"/>
    <s v="Hrushikesh Deoghar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"/>
    <s v="Non Technical Support"/>
    <s v="Sales &amp; Marketing"/>
    <s v="Sales"/>
    <s v="73104004"/>
    <s v="OEM Sales"/>
    <s v="Mumbai"/>
    <d v="1979-03-20T00:00:00"/>
    <s v="44.06"/>
    <d v="2006-04-10T00:00:00"/>
    <d v="2037-03-31T00:00:00"/>
    <m/>
    <d v="2037-03-31T00:00:00"/>
    <n v="4941"/>
    <s v="O-"/>
    <s v="BSc-2003 , MBA-2003"/>
    <s v="05.07"/>
    <s v="17.05"/>
    <s v="23.00"/>
    <s v="70140931"/>
    <s v="Sales Gujarat &amp; Mumbai Zone"/>
    <s v="70336302"/>
    <s v="KAM - OEM Sales"/>
    <s v="Hazira"/>
    <s v="0031581982"/>
    <s v="PLM-Marketing"/>
    <s v="2000HWO"/>
    <s v="20000812"/>
    <s v="Sitaram Rege"/>
    <s v="No"/>
    <s v="hrushikesh.deoghare@amns.in"/>
    <s v="9930134040"/>
    <s v="21560"/>
    <s v="Dhruv Vyas"/>
    <s v="Anil Matoo"/>
    <s v="Praveen Kuruvalli"/>
    <s v="Dhruv Vyas"/>
    <n v="0"/>
  </r>
  <r>
    <n v="696"/>
    <n v="20005676"/>
    <s v="Bhavyesh Adhavaryu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Banking"/>
    <m/>
    <s v="Treasury &amp; Banking"/>
    <s v="Treasury"/>
    <s v="Export, Domestic &amp; Banking"/>
    <s v="Non Technical Support"/>
    <s v="Finance &amp; Accounts"/>
    <s v="Corporate Finance"/>
    <s v="73902004"/>
    <s v="Banking Relations"/>
    <s v="AM/NS Hazira"/>
    <d v="1981-10-06T00:00:00"/>
    <s v="41.11"/>
    <d v="2006-05-15T00:00:00"/>
    <d v="2039-10-31T00:00:00"/>
    <m/>
    <d v="2039-10-31T00:00:00"/>
    <n v="5885"/>
    <s v="B-"/>
    <s v="MMS-2005"/>
    <s v="00.06"/>
    <s v="17.04"/>
    <s v="17.10"/>
    <s v="72150420"/>
    <s v="Treasury - Hazira"/>
    <s v="70258858"/>
    <s v="Lead - Banking"/>
    <s v="Hazira"/>
    <s v="0031950045"/>
    <s v="HZ-Works Accounts-Ha"/>
    <s v="2000HWO"/>
    <s v="20001854"/>
    <s v="Arasappan Thirumaran"/>
    <s v="No"/>
    <s v="bhavyesh.adhavaryu@amns.in"/>
    <s v="9909901654"/>
    <s v="21019"/>
    <s v="Dhruv Vyas"/>
    <s v="Anil Matoo"/>
    <s v="Praveen Kuruvalli"/>
    <s v="Dhruv Vyas"/>
    <n v="0"/>
  </r>
  <r>
    <n v="708"/>
    <n v="20005759"/>
    <s v="Santosh G Kannoujia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Accounting"/>
    <m/>
    <s v="Working Capital"/>
    <s v="Accounts Payable"/>
    <s v="Central Accounting"/>
    <s v="Non Technical Support"/>
    <s v="Human Resources Management"/>
    <s v="Human Resources Management"/>
    <s v="73501002"/>
    <s v="Human Resources Operation"/>
    <s v="AM/NS Hazira"/>
    <d v="1978-04-05T00:00:00"/>
    <s v="45.05"/>
    <d v="2006-05-01T00:00:00"/>
    <d v="2036-04-30T00:00:00"/>
    <m/>
    <d v="2036-04-30T00:00:00"/>
    <n v="4606"/>
    <s v="A-"/>
    <s v="BA-2009 , MBA-2009"/>
    <s v=""/>
    <s v="17.04"/>
    <s v="17.04"/>
    <s v="00043794"/>
    <s v="Accounts Payable - 1"/>
    <s v="70226885"/>
    <s v="Officer - Accounting"/>
    <s v="Hazira"/>
    <s v="0031950045"/>
    <s v="HZ-Works Accounts-Ha"/>
    <s v="2000HWO"/>
    <s v="20016107"/>
    <s v="Kalpesh Thathagar"/>
    <s v="No"/>
    <s v="santoshg.kannoujia@amns.in"/>
    <s v="9879102378"/>
    <s v="22135"/>
    <s v="Dhruv Vyas"/>
    <s v="Anil Matoo"/>
    <s v="Praveen Kuruvalli"/>
    <s v="Dhruv Vyas"/>
    <n v="0"/>
  </r>
  <r>
    <n v="709"/>
    <n v="20005829"/>
    <s v="Subrata Banerjee"/>
    <s v="AM/NS India"/>
    <s v="Onroll"/>
    <s v="M-7"/>
    <n v="7"/>
    <m/>
    <s v="MM"/>
    <s v="M"/>
    <s v="Odisha"/>
    <n v="2"/>
    <s v="2012"/>
    <x v="7"/>
    <s v="34.01"/>
    <s v="Ambrish Chaturvedi"/>
    <s v="Hrishikesh Kamat"/>
    <n v="7"/>
    <s v="Procurement"/>
    <s v="Stores &amp; Warehouse"/>
    <s v="34"/>
    <s v="Department Head - Stores"/>
    <m/>
    <s v="Stores &amp; Warehouse"/>
    <s v="Stores"/>
    <s v="Stores"/>
    <s v="Non Technical Support"/>
    <s v="Commercial"/>
    <s v="Stores &amp; Warehouse"/>
    <s v="73806001"/>
    <s v="Stores &amp; Warehouse"/>
    <s v="Dabuna"/>
    <d v="1972-09-25T00:00:00"/>
    <s v="50.11"/>
    <d v="2006-05-01T00:00:00"/>
    <d v="2030-09-30T00:00:00"/>
    <m/>
    <d v="2030-09-30T00:00:00"/>
    <n v="2567"/>
    <s v="O-"/>
    <s v="BSc Engg-2008 , PG Diploma-2008 , Interm"/>
    <s v="12.00"/>
    <s v="17.04"/>
    <s v="29.04"/>
    <s v="70493265"/>
    <s v="Production"/>
    <s v="70395941"/>
    <s v="Department Head - Stores"/>
    <s v="Odisha"/>
    <s v="0022010019"/>
    <s v="DBN-Benf-HR/Admin"/>
    <s v="2000STORIS"/>
    <s v="20053014"/>
    <s v="Bhawesh Jha"/>
    <s v="No"/>
    <s v="subrata.banerjee@amns.in"/>
    <s v="9437573779"/>
    <s v="21159"/>
    <s v="Sunila Das"/>
    <s v="Anil Matoo"/>
    <s v="Praveen Kuruvalli"/>
    <s v="Sunila Das"/>
    <n v="0"/>
  </r>
  <r>
    <n v="727"/>
    <n v="20006023"/>
    <s v="Kavishwar Goral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enior Manager"/>
    <m/>
    <s v="Technical Marketing &amp; Application Engineering"/>
    <s v="Technical Marketing &amp; Application Engineering"/>
    <s v="Plate Finishing"/>
    <s v="Non Technical Support"/>
    <s v="Operations"/>
    <s v="Plant Operations"/>
    <s v="72103003"/>
    <s v="Plant Operations"/>
    <s v="Hazira"/>
    <d v="1981-12-08T00:00:00"/>
    <s v="41.09"/>
    <d v="2006-05-22T00:00:00"/>
    <d v="2039-12-31T00:00:00"/>
    <m/>
    <d v="2039-12-31T00:00:00"/>
    <n v="5946"/>
    <s v="AB-"/>
    <s v="BE-2005"/>
    <s v="00.09"/>
    <s v="17.03"/>
    <s v="18.00"/>
    <s v="00052467"/>
    <s v="Plate"/>
    <s v="70258876"/>
    <s v="Sr. Lead – Plate Products"/>
    <s v="Hazira"/>
    <s v="0031950057"/>
    <s v="HZ-HRC - Marketing"/>
    <s v="2000HWO"/>
    <s v="20055985"/>
    <s v="Dilip Chandra Gelli"/>
    <s v="No"/>
    <s v="kavishwar.gorale@amns.in"/>
    <s v="9909901510"/>
    <s v="21834"/>
    <s v="Dhruv Vyas"/>
    <s v="Anil Matoo"/>
    <s v="Praveen Kuruvalli"/>
    <s v="Dhruv Vyas"/>
    <n v="0"/>
  </r>
  <r>
    <n v="733"/>
    <n v="20006188"/>
    <s v="Sachin Toshniwal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- Treasury &amp; Investments"/>
    <m/>
    <s v="Taxation"/>
    <s v="In Direct - Taxation"/>
    <s v="Indirect Taxation"/>
    <s v="Non Technical Support"/>
    <s v="Finance &amp; Accounts"/>
    <s v="Treasury"/>
    <s v="73903001"/>
    <s v="Treasury"/>
    <s v="Mumbai"/>
    <d v="1977-10-23T00:00:00"/>
    <s v="45.10"/>
    <d v="2006-06-07T00:00:00"/>
    <d v="2035-10-31T00:00:00"/>
    <m/>
    <d v="2035-10-31T00:00:00"/>
    <n v="4424"/>
    <s v="O-"/>
    <s v="MBA-1999 , BCom-1999"/>
    <s v="06.08"/>
    <s v="17.03"/>
    <s v="23.11"/>
    <s v="70447071"/>
    <s v="Insurance &amp; Financial Risk"/>
    <s v="70258948"/>
    <s v="Lead - Treasury &amp; Investments"/>
    <s v="Corporate"/>
    <s v="0090000028"/>
    <s v="Corporate Steel - Wo"/>
    <s v="2000CS"/>
    <s v="20017504"/>
    <s v="Appi Reddy Guttikonda"/>
    <s v="No"/>
    <s v="sachin.toshniwal@amns.in"/>
    <s v="9819731528"/>
    <s v="24557"/>
    <s v="Dhruv Vyas"/>
    <s v="Anil Matoo"/>
    <s v="Praveen Kuruvalli"/>
    <s v="Dhruv Vyas"/>
    <n v="0"/>
  </r>
  <r>
    <n v="734"/>
    <n v="20006196"/>
    <s v="Tejashree Sathe"/>
    <s v="AM/NS India"/>
    <s v="Onroll"/>
    <s v="M-7"/>
    <n v="7"/>
    <m/>
    <s v="M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Other West"/>
    <s v="OEM"/>
    <s v=""/>
    <s v="Non Technical Support"/>
    <s v="Sales &amp; Marketing"/>
    <s v="Sales"/>
    <s v="73104004"/>
    <s v="OEM Sales"/>
    <s v="Pune"/>
    <d v="1981-05-23T00:00:00"/>
    <s v="42.03"/>
    <d v="2006-06-19T00:00:00"/>
    <d v="2039-05-31T00:00:00"/>
    <m/>
    <d v="2039-05-31T00:00:00"/>
    <n v="5732"/>
    <s v="A-"/>
    <s v="BTech-2007 , MBA-2007"/>
    <s v="02.04"/>
    <s v="17.03"/>
    <s v="19.07"/>
    <s v="70495309"/>
    <s v="Sales West Zone"/>
    <s v="70334311"/>
    <s v="KAM - OEM Sales"/>
    <s v="Hazira"/>
    <s v="0031950057"/>
    <s v="HZ-HRC - Marketing"/>
    <s v="2000HWO"/>
    <s v="20047683"/>
    <s v="Virat Vij"/>
    <s v="No"/>
    <s v="tejashree.sathe@amns.in"/>
    <s v="9923201806"/>
    <s v="23952"/>
    <s v="Dhruv Vyas"/>
    <s v="Anil Matoo"/>
    <s v="Praveen Kuruvalli"/>
    <s v="Dhruv Vyas"/>
    <n v="0"/>
  </r>
  <r>
    <n v="736"/>
    <n v="20006236"/>
    <s v="Sanjay Vaid"/>
    <s v="AM/NS India"/>
    <s v="Onroll"/>
    <s v="M-4"/>
    <n v="4"/>
    <m/>
    <s v="S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Head - HyperMart"/>
    <m/>
    <s v="Hypermart"/>
    <s v="Hypermart"/>
    <s v=""/>
    <s v="Non Technical Support"/>
    <s v="Sales &amp; Marketing"/>
    <s v="Sales"/>
    <s v="73104004"/>
    <s v="OEM Sales"/>
    <s v="Pune"/>
    <d v="1970-05-06T00:00:00"/>
    <s v="53.04"/>
    <d v="2006-07-03T00:00:00"/>
    <d v="2028-05-31T00:00:00"/>
    <m/>
    <d v="2028-05-31T00:00:00"/>
    <n v="1715"/>
    <s v="B-"/>
    <s v="BE-1997 , MBA-1997"/>
    <s v="09.00"/>
    <s v="17.02"/>
    <s v="26.02"/>
    <s v="72150154"/>
    <s v="HyperMart"/>
    <s v="70334316"/>
    <s v="Head - Hypermart"/>
    <s v="Hypermart"/>
    <s v="0060100004"/>
    <s v="HMART-HR/Admin Expen"/>
    <s v="2000SRET"/>
    <s v="20007104"/>
    <s v="Ranjan Dhar"/>
    <s v="No"/>
    <s v="sanjay.vaid@amns.in"/>
    <s v="9923200840"/>
    <s v="24623"/>
    <s v="Dhruv Vyas"/>
    <s v="Anil Matoo"/>
    <s v="Praveen Kuruvalli"/>
    <s v="Dhruv Vyas"/>
    <n v="0"/>
  </r>
  <r>
    <n v="738"/>
    <n v="20006246"/>
    <s v="Deven Sadadiwal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75-01-18T00:00:00"/>
    <s v="48.08"/>
    <d v="2006-07-01T00:00:00"/>
    <d v="2033-01-31T00:00:00"/>
    <m/>
    <d v="2033-01-31T00:00:00"/>
    <n v="3421"/>
    <s v="AB-"/>
    <s v="MBA-1999"/>
    <s v="06.10"/>
    <s v="17.02"/>
    <s v="24.01"/>
    <s v="70491113"/>
    <s v="Indirect Taxation - 1"/>
    <s v="70320434"/>
    <s v="Sr. lead - Customs"/>
    <s v="Hazira"/>
    <s v="0031950044"/>
    <s v="HZ-Commercial Taxati"/>
    <s v="2000HWO"/>
    <s v="20047664"/>
    <s v="Devang Desai"/>
    <s v="No"/>
    <s v="deven.sadadiwala@amns.in"/>
    <s v="9909901638"/>
    <s v="23827"/>
    <s v="Dhruv Vyas"/>
    <s v="Anil Matoo"/>
    <s v="Praveen Kuruvalli"/>
    <s v="Dhruv Vyas"/>
    <n v="0"/>
  </r>
  <r>
    <n v="756"/>
    <n v="20006499"/>
    <s v="Jaikishan Sharma"/>
    <s v="AM/NS India"/>
    <s v="Onroll"/>
    <s v="M-4"/>
    <n v="4"/>
    <m/>
    <s v="SM"/>
    <s v="M"/>
    <s v="Odisha"/>
    <n v="2"/>
    <s v="2095"/>
    <x v="4"/>
    <n v="36.01"/>
    <s v="Deepak Sindkar"/>
    <s v="Hrishikesh Kamat"/>
    <n v="7"/>
    <s v="Procurement"/>
    <s v="Raw Materials"/>
    <s v="36"/>
    <s v="Dep. Head - Logistics &amp; Tailing Mgmt."/>
    <m/>
    <s v="Bulk Raw Materials"/>
    <s v="Logistics &amp; Tailing Management"/>
    <s v="Logistics"/>
    <s v="Non Technical Support"/>
    <s v="Commercial"/>
    <s v="Procurement"/>
    <s v="73803001"/>
    <s v="Procurement"/>
    <s v="Dabuna"/>
    <d v="1962-04-10T00:00:00"/>
    <s v="61.05"/>
    <d v="2006-07-15T00:00:00"/>
    <d v="2020-04-30T00:00:00"/>
    <d v="2024-03-31T00:00:00"/>
    <d v="2024-03-31T00:00:00"/>
    <n v="193"/>
    <s v="A-"/>
    <s v="BA-1994 , PG Diploma in Management-1994"/>
    <s v="21.02"/>
    <s v="17.02"/>
    <s v="38.04"/>
    <s v="70318846"/>
    <s v="Logistics &amp; Tailing Management"/>
    <s v="70308224"/>
    <s v="Dep. Head - Logistics &amp; Tailing Mgmt."/>
    <s v="Odisha"/>
    <s v="0022010019"/>
    <s v="DBN-Benf-HR/Admin"/>
    <s v="2000STORIS"/>
    <s v="20055574"/>
    <s v="Suresha G"/>
    <s v="No"/>
    <s v="jaikishan.sharma@amns.in"/>
    <s v="9437481206"/>
    <s v="24100"/>
    <s v="Sunila Das"/>
    <s v="Anil Matoo"/>
    <s v="Praveen Kuruvalli"/>
    <s v="Sunila Das"/>
    <n v="0"/>
  </r>
  <r>
    <n v="760"/>
    <n v="20006536"/>
    <s v="Mahesh Salunke"/>
    <s v="AM/NS India"/>
    <s v="Onroll"/>
    <s v="M-4"/>
    <n v="4"/>
    <m/>
    <s v="SM"/>
    <s v="M"/>
    <s v="Pune Facility"/>
    <n v="4"/>
    <s v="2043"/>
    <x v="3"/>
    <s v="31.01"/>
    <s v="Hrishikesh Kamat"/>
    <s v="Hrishikesh Kamat"/>
    <n v="7"/>
    <s v="Procurement"/>
    <s v="Procurement"/>
    <s v="31"/>
    <s v="Head – Procurement Pune"/>
    <m/>
    <s v="Procurement"/>
    <s v="Procurement"/>
    <s v="Procurement"/>
    <s v="Non Technical Support"/>
    <s v="Commercial"/>
    <s v="Procurement"/>
    <s v="73803001"/>
    <s v="Procurement"/>
    <s v="Pune AMNS"/>
    <d v="1971-11-08T00:00:00"/>
    <s v="51.10"/>
    <d v="2006-07-10T00:00:00"/>
    <d v="2029-11-30T00:00:00"/>
    <m/>
    <d v="2029-11-30T00:00:00"/>
    <n v="2263"/>
    <s v="B-"/>
    <s v="BE-1993"/>
    <s v="12.10"/>
    <s v="17.02"/>
    <s v="30.00"/>
    <s v="73800002"/>
    <s v="Procurement - Pune Asset"/>
    <s v="70386091"/>
    <s v="Head – Procurement Pune"/>
    <s v="Pune Facility"/>
    <s v="0035950041"/>
    <s v="Pune-Procurement"/>
    <s v="2000ESPF"/>
    <s v="20055090"/>
    <s v="Hrishikesh Kamat"/>
    <s v="No"/>
    <s v="mahesh.salunke@amns.in"/>
    <s v="9158895146"/>
    <s v="23891"/>
    <s v="Dhruv Vyas"/>
    <s v="Anil Matoo"/>
    <s v="Praveen Kuruvalli"/>
    <s v="Dhruv Vyas"/>
    <n v="0"/>
  </r>
  <r>
    <n v="777"/>
    <n v="20006785"/>
    <s v="Sunil Patil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ales Manager Defence"/>
    <m/>
    <s v="Plate"/>
    <s v="Plate"/>
    <s v="Strategic Sales &amp; Branding"/>
    <s v="Non Technical Support"/>
    <s v="Assurance &amp; Cost Control"/>
    <s v="Assurance &amp; Cost Control"/>
    <s v="73401001"/>
    <s v="Assurance &amp; Cost Control"/>
    <s v="Mumbai"/>
    <d v="1983-09-20T00:00:00"/>
    <s v="40.00"/>
    <d v="2006-07-10T00:00:00"/>
    <d v="2041-09-30T00:00:00"/>
    <m/>
    <d v="2041-09-30T00:00:00"/>
    <n v="6585"/>
    <s v="B-"/>
    <s v="BE-2015 , Master's Equivalent-2006 , MTe"/>
    <s v=""/>
    <s v="17.02"/>
    <s v="17.02"/>
    <s v="70410953"/>
    <s v="Plate Sales - Gujarat"/>
    <s v="70289843"/>
    <s v="Sales Manager Defence"/>
    <s v="Corporate"/>
    <s v="0080000005"/>
    <s v="Global Markets Team"/>
    <s v="2000CS"/>
    <s v="20003623"/>
    <s v="Soumyadeep Datta"/>
    <s v="No"/>
    <s v="sunil.patil@amns.in"/>
    <s v="9930135384"/>
    <s v="23457"/>
    <s v="Dhruv Vyas"/>
    <s v="Anil Matoo"/>
    <s v="Praveen Kuruvalli"/>
    <s v="Dhruv Vyas"/>
    <n v="0"/>
  </r>
  <r>
    <n v="778"/>
    <n v="20006819"/>
    <s v="Prafulla Kumar Mohanty"/>
    <s v="AM/NS India"/>
    <s v="Onroll"/>
    <s v="M-4"/>
    <n v="4"/>
    <m/>
    <s v="SM"/>
    <s v="M"/>
    <s v="Odisha"/>
    <n v="2"/>
    <s v="2039"/>
    <x v="12"/>
    <s v="43.01"/>
    <s v="Sangeeta Munjal"/>
    <s v="Manu Kapoor"/>
    <n v="10"/>
    <s v="Corporate Affairs"/>
    <s v="Corporate Affairs"/>
    <s v="43"/>
    <s v="Head - Land Paradeep"/>
    <m/>
    <s v="Land Acquisition"/>
    <s v="Corporate Affairs"/>
    <s v="Corporate Affairs"/>
    <s v="Non Technical Support"/>
    <s v="Human Resources Management"/>
    <s v="Human Resources Management"/>
    <s v="73501002"/>
    <s v="Human Resources Operation"/>
    <s v="Paradeep"/>
    <d v="1971-11-22T00:00:00"/>
    <s v="51.09"/>
    <d v="2006-08-01T00:00:00"/>
    <d v="2029-11-30T00:00:00"/>
    <m/>
    <d v="2029-11-30T00:00:00"/>
    <n v="2263"/>
    <s v="O-"/>
    <s v="Master's Equivalent-1998 , LLB-1998 , MA"/>
    <s v="11.10"/>
    <s v="17.01"/>
    <s v="29.00"/>
    <s v="00052871"/>
    <s v="Land Acquisition and R&amp;R"/>
    <s v="70257475"/>
    <s v="Head – Land Acquisition and R&amp;R"/>
    <s v="Odisha"/>
    <s v="0022030019"/>
    <s v="PDP-HR &amp; Admn"/>
    <s v="2000STORIS"/>
    <s v="20033424"/>
    <s v="Rajiv Bhatnagar"/>
    <s v="No"/>
    <s v="prafullakumar.mohanty@amns.in"/>
    <s v="7381007005"/>
    <s v="22687"/>
    <s v="Sunila Das"/>
    <s v="Anil Matoo"/>
    <s v="Praveen Kuruvalli"/>
    <s v="Sunila Das"/>
    <n v="0"/>
  </r>
  <r>
    <n v="779"/>
    <n v="20006833"/>
    <s v="Hardik Vasavada"/>
    <s v="AM/NS India"/>
    <s v="Onroll"/>
    <s v="M-5"/>
    <n v="5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- Internal Control"/>
    <m/>
    <s v="Internal Control &amp; SOX"/>
    <s v="Internal Control &amp; SOX"/>
    <s v="Finance &amp; Accounts"/>
    <s v="Non Technical Support"/>
    <s v="Finance &amp; Accounts"/>
    <s v="Costing"/>
    <s v="73906001"/>
    <s v="Costing"/>
    <s v="AM/NS Hazira"/>
    <d v="1980-02-29T00:00:00"/>
    <s v="43.06"/>
    <d v="2006-08-04T00:00:00"/>
    <d v="2038-02-28T00:00:00"/>
    <m/>
    <d v="2038-02-28T00:00:00"/>
    <n v="5275"/>
    <s v="O-"/>
    <s v="CA Final-2005"/>
    <s v="01.01"/>
    <s v="17.01"/>
    <s v="18.02"/>
    <s v="00049304"/>
    <s v="PM - Internal Control"/>
    <s v="70258329"/>
    <s v="Lead - Internal Control"/>
    <s v="Corporate"/>
    <s v="0031950043"/>
    <s v="HZ-Performance Manag"/>
    <s v="2000CS"/>
    <s v="20003280"/>
    <s v="Chetan Jansari"/>
    <s v="No"/>
    <s v="hardik.vasavada@amns.in"/>
    <s v="9879102207"/>
    <s v="24649"/>
    <s v="Dhruv Vyas"/>
    <s v="Anil Matoo"/>
    <s v="Praveen Kuruvalli"/>
    <s v="Dhruv Vyas"/>
    <n v="0"/>
  </r>
  <r>
    <n v="780"/>
    <n v="20006862"/>
    <s v="D Niranjan Patro"/>
    <s v="AM/NS India"/>
    <s v="Onroll"/>
    <s v="M-5"/>
    <n v="5"/>
    <m/>
    <s v="MM"/>
    <s v="M"/>
    <s v="Vizag"/>
    <n v="3"/>
    <s v="2013"/>
    <x v="0"/>
    <s v="20.01"/>
    <s v="Akiyo Omori"/>
    <s v="Amit Harlalka"/>
    <n v="5"/>
    <s v="Finance &amp; Accounts"/>
    <s v="Finance &amp; Accounts"/>
    <s v="20"/>
    <s v="Section Head-Costing, Budgeting &amp; IDT"/>
    <m/>
    <s v="Finance &amp; Accounts - Vizag"/>
    <s v="Finance &amp; Accounts"/>
    <s v="Costing, Budgeting, IDT &amp; Insurance"/>
    <s v="Non Technical Support"/>
    <s v="Finance &amp; Accounts"/>
    <s v="Finance &amp; Accounts"/>
    <s v="73901001"/>
    <s v="Finance &amp; Accounts"/>
    <s v="Vizag"/>
    <d v="1968-03-24T00:00:00"/>
    <s v="55.05"/>
    <d v="2006-08-18T00:00:00"/>
    <d v="2026-03-31T00:00:00"/>
    <m/>
    <d v="2026-03-31T00:00:00"/>
    <n v="923"/>
    <s v="O-"/>
    <s v="MBA-2012 , Certificate-2012"/>
    <s v="14.07"/>
    <s v="17.01"/>
    <s v="31.08"/>
    <s v="70413458"/>
    <s v="Costing, Budgeting &amp; IDT"/>
    <s v="70402768"/>
    <s v="Section Head-Costing, Budgeting &amp; IDT"/>
    <s v="Vizag"/>
    <s v="0028030019"/>
    <s v="VIZ-Personnel &amp; Admi"/>
    <s v="2000VIZOPS"/>
    <s v="20001003"/>
    <s v="Patnana Muralidhara Rao"/>
    <s v="No"/>
    <s v="niranjan.patro@amns.in"/>
    <s v="9885108061"/>
    <s v="23476"/>
    <s v="DS Varma"/>
    <s v="Anil Matoo"/>
    <s v="Praveen Kuruvalli"/>
    <s v="Dhruv Vyas"/>
    <n v="0"/>
  </r>
  <r>
    <n v="781"/>
    <n v="20006916"/>
    <s v="Mir Ali Martaj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s &amp; Unloading"/>
    <m/>
    <s v="Stores &amp; Warehouse"/>
    <s v="Stores &amp; Warehouse"/>
    <s v="Receipt &amp; Unloading"/>
    <s v="Non Technical Support"/>
    <s v="Commercial"/>
    <s v="Stores &amp; Warehouse"/>
    <s v="73806001"/>
    <s v="Stores &amp; Warehouse"/>
    <s v="Hazira"/>
    <d v="1967-02-08T00:00:00"/>
    <s v="56.07"/>
    <d v="2006-08-01T00:00:00"/>
    <d v="2025-02-28T00:00:00"/>
    <m/>
    <d v="2025-02-28T00:00:00"/>
    <n v="527"/>
    <s v="O+"/>
    <s v="BA-1992"/>
    <s v="21.04"/>
    <s v="17.01"/>
    <s v="38.05"/>
    <s v="00053279"/>
    <s v="Receipts &amp; Unloading - Plant A"/>
    <s v="70259110"/>
    <s v="Section Officer - Receipts &amp; Unloading"/>
    <s v="Hazira"/>
    <s v="0031950049"/>
    <s v="HZ-Central Stores"/>
    <s v="2000HWO"/>
    <s v="20001164"/>
    <s v="Snehal Anjaria"/>
    <s v="No"/>
    <s v="mir.ali@amns.in"/>
    <s v="9909901791"/>
    <s v="21064"/>
    <s v="Dhruv Vyas"/>
    <s v="Anil Matoo"/>
    <s v="Praveen Kuruvalli"/>
    <s v="Dhruv Vyas"/>
    <n v="0"/>
  </r>
  <r>
    <n v="785"/>
    <n v="20007008"/>
    <s v="Pradeep Kumar Sharm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– STC Plate Mill"/>
    <m/>
    <s v="Working Capital"/>
    <s v="Accounts Receivable"/>
    <s v="STC Platemill"/>
    <s v="Non Technical Support"/>
    <s v="Finance &amp; Accounts"/>
    <s v="Finance &amp; Accounts"/>
    <s v="73901001"/>
    <s v="Finance &amp; Accounts"/>
    <s v="Hazira"/>
    <d v="1968-03-03T00:00:00"/>
    <s v="55.06"/>
    <d v="2006-08-25T00:00:00"/>
    <d v="2026-03-31T00:00:00"/>
    <m/>
    <d v="2026-03-31T00:00:00"/>
    <n v="923"/>
    <s v="O-"/>
    <s v="MBA-2012 , BCom-2012 , BCom-1988"/>
    <s v="17.03"/>
    <s v="17.00"/>
    <s v="34.03"/>
    <s v="72150286"/>
    <s v="Accounts Receivables &amp; Export Banking"/>
    <s v="70258462"/>
    <s v="DGM – Finance &amp; Account"/>
    <s v="Hazira"/>
    <s v="0031950045"/>
    <s v="HZ-Works Accounts-Ha"/>
    <s v="2000HWO"/>
    <s v="20007731"/>
    <s v="Ashish Mehta"/>
    <s v="No"/>
    <s v="pradeep.sharma@amns.in"/>
    <s v="9643897060"/>
    <s v="24107"/>
    <s v="Dhruv Vyas"/>
    <s v="Anil Matoo"/>
    <s v="Praveen Kuruvalli"/>
    <s v="Dhruv Vyas"/>
    <n v="0"/>
  </r>
  <r>
    <n v="788"/>
    <n v="20007067"/>
    <s v="Gaurav Bhandari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Section Head-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77-08-28T00:00:00"/>
    <s v="46.00"/>
    <d v="2006-08-31T00:00:00"/>
    <d v="2035-08-31T00:00:00"/>
    <m/>
    <d v="2035-08-31T00:00:00"/>
    <n v="4363"/>
    <s v="O-"/>
    <s v="CS-2002 , CA Final-2002"/>
    <s v="03.04"/>
    <s v="17.00"/>
    <s v="20.04"/>
    <s v="70074192"/>
    <s v="Corporate Accounts"/>
    <s v="70386071"/>
    <s v="Section Head-Corporate Accounts &amp; Audit"/>
    <s v="Hazira"/>
    <s v="0090000027"/>
    <s v="Corporate Steel - Ac"/>
    <s v="2000HWO"/>
    <s v="20000679"/>
    <s v="Dinesh Mangal"/>
    <s v="No"/>
    <s v="gaurav.bhandari@amns.in"/>
    <s v="9879100810"/>
    <s v="21218"/>
    <s v="Dhruv Vyas"/>
    <s v="Anil Matoo"/>
    <s v="Praveen Kuruvalli"/>
    <s v="Dhruv Vyas"/>
    <n v="0"/>
  </r>
  <r>
    <n v="790"/>
    <n v="20007104"/>
    <s v="Ranjan Dhar"/>
    <s v="AM/NS India"/>
    <s v="Onroll"/>
    <s v="M-2"/>
    <n v="2"/>
    <m/>
    <s v="TM"/>
    <s v="M"/>
    <s v="Hazira"/>
    <n v="1"/>
    <s v="2031"/>
    <x v="10"/>
    <s v="14.01"/>
    <s v="Alain Legrix De La Salle"/>
    <s v="Alain Legrix De La Salle"/>
    <n v="3"/>
    <s v="Sales &amp; Marketing"/>
    <s v="Sales &amp; Marketing"/>
    <s v="14"/>
    <s v="Chief Marketing Officer"/>
    <m/>
    <s v="Sales &amp; Marketing"/>
    <s v="CMO Office"/>
    <s v=""/>
    <s v="Non Technical Support"/>
    <s v="Sales &amp; Marketing"/>
    <s v="Sales &amp; Marketing"/>
    <s v="73101001"/>
    <s v="Sales &amp; Marketing"/>
    <s v="Mumbai"/>
    <d v="1973-10-03T00:00:00"/>
    <s v="49.11"/>
    <d v="2006-09-05T00:00:00"/>
    <d v="2033-10-31T00:00:00"/>
    <m/>
    <d v="2033-10-31T00:00:00"/>
    <n v="3694"/>
    <s v="B-"/>
    <s v="Certificate-2004 , BTech-2004 , Certific"/>
    <s v="06.03"/>
    <s v="17.00"/>
    <s v="23.03"/>
    <s v="70139950"/>
    <s v="Sales &amp; Marketing"/>
    <s v="70413461"/>
    <s v="Chief Marketing Officer"/>
    <s v="Confidential Payroll"/>
    <s v="0080000001"/>
    <s v="Head-Marketing"/>
    <s v="2000HWO"/>
    <s v="20055084"/>
    <s v="Alain Legrix De La Salle"/>
    <s v="No"/>
    <s v="ranjan.dhar@amns.in"/>
    <s v="9819731543"/>
    <s v="21649"/>
    <s v="Dhruv Vyas"/>
    <s v="Anil Matoo"/>
    <s v="Praveen Kuruvalli"/>
    <s v="Dhruv Vyas"/>
    <n v="0"/>
  </r>
  <r>
    <n v="815"/>
    <n v="20007322"/>
    <s v="Sanjay Bohr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Automotive Sales"/>
    <m/>
    <s v="North"/>
    <s v="Hypermart"/>
    <s v=""/>
    <s v="Non Technical Support"/>
    <s v="Sales &amp; Marketing"/>
    <s v="Marketing"/>
    <s v="73102001"/>
    <s v="Marketing"/>
    <s v="Faridabad"/>
    <d v="1973-03-15T00:00:00"/>
    <s v="50.06"/>
    <d v="2006-09-18T00:00:00"/>
    <d v="2031-03-31T00:00:00"/>
    <m/>
    <d v="2031-03-31T00:00:00"/>
    <n v="2749"/>
    <s v="B-"/>
    <s v="Diploma-1990 , Diploma-1990"/>
    <s v="15.09"/>
    <s v="17.00"/>
    <s v="32.08"/>
    <s v="00052526"/>
    <s v="Sales - North"/>
    <s v="70258465"/>
    <s v="KAM - Automotive Sales"/>
    <s v="Hazira"/>
    <s v="0060120100"/>
    <s v="HMART-North Zone"/>
    <s v="2000HWO"/>
    <s v="20002920"/>
    <s v="Sudhir Sharma"/>
    <s v="No"/>
    <s v="sanjay.bohra@amns.in"/>
    <s v="9899257110"/>
    <s v="21308"/>
    <s v="Dhruv Vyas"/>
    <s v="Anil Matoo"/>
    <s v="Praveen Kuruvalli"/>
    <s v="Dhruv Vyas"/>
    <n v="0"/>
  </r>
  <r>
    <n v="830"/>
    <n v="20007414"/>
    <s v="Gaurav Sharm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Sales – Pipe Products"/>
    <m/>
    <s v="Pipe"/>
    <s v="Pipe"/>
    <s v=""/>
    <s v="Non Technical Support"/>
    <s v="Sales &amp; Marketing"/>
    <s v="Sales &amp; Marketing"/>
    <s v="73101001"/>
    <s v="Sales &amp; Marketing"/>
    <s v="Noida"/>
    <d v="1979-08-14T00:00:00"/>
    <s v="44.01"/>
    <d v="2006-09-11T00:00:00"/>
    <d v="2037-08-31T00:00:00"/>
    <m/>
    <d v="2037-08-31T00:00:00"/>
    <n v="5094"/>
    <s v="B-"/>
    <s v="BE-2010 , PG Diploma in Management-2010"/>
    <s v="03.09"/>
    <s v="17.00"/>
    <s v="20.09"/>
    <s v="70387159"/>
    <s v="Pipe Sales"/>
    <s v="70258291"/>
    <s v="Head Sales – Pipe Products"/>
    <s v="Hazira"/>
    <s v="0031591982"/>
    <s v="PM-Marketing"/>
    <s v="2000HWO"/>
    <s v="20007104"/>
    <s v="Ranjan Dhar"/>
    <s v="No"/>
    <s v="gaurav.sharma1@amns.in"/>
    <s v="9654099920"/>
    <s v="24096"/>
    <s v="Dhruv Vyas"/>
    <s v="Anil Matoo"/>
    <s v="Praveen Kuruvalli"/>
    <s v="Dhruv Vyas"/>
    <n v="0"/>
  </r>
  <r>
    <n v="834"/>
    <n v="20007499"/>
    <s v="Sunil Mangoli"/>
    <s v="AM/NS India"/>
    <s v="Onroll"/>
    <s v="M-7"/>
    <n v="7"/>
    <m/>
    <s v="MM"/>
    <s v="M"/>
    <s v="Service Centers"/>
    <n v="6"/>
    <s v="2043"/>
    <x v="3"/>
    <s v="31.01"/>
    <s v="Hrishikesh Kamat"/>
    <s v="Hrishikesh Kamat"/>
    <n v="7"/>
    <s v="Procurement"/>
    <s v="Procurement"/>
    <s v="31"/>
    <s v="Lead - Procurement - Service Center"/>
    <m/>
    <s v="Procurement Service Centre"/>
    <s v="Procurement"/>
    <s v="Procurement"/>
    <s v="Non Technical Support"/>
    <s v="Commercial"/>
    <s v="Procurement"/>
    <s v="73803001"/>
    <s v="Procurement"/>
    <s v="Hazira"/>
    <d v="1976-06-08T00:00:00"/>
    <s v="47.03"/>
    <d v="2006-09-27T00:00:00"/>
    <d v="2034-06-30T00:00:00"/>
    <m/>
    <d v="2034-06-30T00:00:00"/>
    <n v="3936"/>
    <s v="B-"/>
    <s v="Diploma-1996"/>
    <s v="14.04"/>
    <s v="16.11"/>
    <s v="31.03"/>
    <s v="70413444"/>
    <s v="Purchase &amp; Contracts"/>
    <s v="72150636"/>
    <s v="Lead - Procurement - Service Center"/>
    <s v="Service Center"/>
    <s v="0040010019"/>
    <s v="SC-DSC-Common Cost"/>
    <s v="2000SPRJ"/>
    <s v="20052588"/>
    <s v="Govindraju Sampathirao"/>
    <s v="No"/>
    <s v="sunil.mangoli@amns.in"/>
    <s v="9923205755"/>
    <s v="22535"/>
    <s v="Dhruv Vyas"/>
    <s v="Anil Matoo"/>
    <s v="Praveen Kuruvalli"/>
    <s v="Dhruv Vyas"/>
    <n v="0"/>
  </r>
  <r>
    <n v="847"/>
    <n v="20007731"/>
    <s v="Ashish Mehta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-Accounts Receivables Export Banking"/>
    <m/>
    <s v="Working Capital"/>
    <s v="Accounts Receivable"/>
    <s v="Credit Control"/>
    <s v="Non Technical Support"/>
    <s v="Finance &amp; Accounts"/>
    <s v="Finance &amp; Accounts"/>
    <s v="73901004"/>
    <s v="Accounts Receivables"/>
    <s v="AM/NS Hazira"/>
    <d v="1977-07-30T00:00:00"/>
    <s v="46.01"/>
    <d v="2006-10-16T00:00:00"/>
    <d v="2035-07-31T00:00:00"/>
    <m/>
    <d v="2035-07-31T00:00:00"/>
    <n v="4332"/>
    <s v="B-"/>
    <s v="CA Final-2004"/>
    <s v="04.09"/>
    <s v="16.11"/>
    <s v="21.08"/>
    <s v="72150286"/>
    <s v="Accounts Receivables &amp; Export Banking"/>
    <s v="70227020"/>
    <s v="Head-Accounts Receivables Export Banking"/>
    <s v="Hazira"/>
    <s v="0031950045"/>
    <s v="HZ-Works Accounts-Ha"/>
    <s v="2000HWO"/>
    <s v="20055188"/>
    <s v="Rohit Sharma"/>
    <s v="No"/>
    <s v="ashish.mehta@amns.in"/>
    <s v="9879100614"/>
    <s v="22583"/>
    <s v="Dhruv Vyas"/>
    <s v="Anil Matoo"/>
    <s v="Praveen Kuruvalli"/>
    <s v="Dhruv Vyas"/>
    <n v="0"/>
  </r>
  <r>
    <n v="863"/>
    <n v="20008040"/>
    <s v="Rajesh Gupt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Gen.Mgr-Finance &amp; Acco"/>
    <m/>
    <s v="Sales Steering &amp; BD"/>
    <s v="Sales Audit"/>
    <s v=""/>
    <s v="Non Technical Support"/>
    <s v="Finance &amp; Accounts"/>
    <s v="Treasury"/>
    <s v="73903001"/>
    <s v="Treasury"/>
    <s v="Noida"/>
    <d v="1968-11-24T00:00:00"/>
    <s v="54.09"/>
    <d v="2006-11-06T00:00:00"/>
    <d v="2026-11-30T00:00:00"/>
    <m/>
    <d v="2026-11-30T00:00:00"/>
    <n v="1167"/>
    <s v="O-"/>
    <s v="PG Diploma in Management-1999 , MBA-1999"/>
    <s v="16.05"/>
    <s v="16.10"/>
    <s v="33.03"/>
    <s v="70277912"/>
    <s v="Plate Sales"/>
    <s v="70226691"/>
    <s v="Head Sales Audit &amp; Compliances"/>
    <s v="Hazira"/>
    <s v="0060100004"/>
    <s v="HMART-HR/Admin Expen"/>
    <s v="2000HWO"/>
    <s v="20010531"/>
    <s v="Saptarshi Saha"/>
    <s v="No"/>
    <s v="rajesh.gupta@amns.in"/>
    <s v="9811421542"/>
    <s v="21872"/>
    <s v="Dhruv Vyas"/>
    <s v="Anil Matoo"/>
    <s v="Praveen Kuruvalli"/>
    <s v="Dhruv Vyas"/>
    <n v="0"/>
  </r>
  <r>
    <n v="873"/>
    <n v="20008508"/>
    <s v="Satyajit Mohapatra"/>
    <s v="AM/NS India"/>
    <s v="Onroll"/>
    <s v="M-4"/>
    <n v="4"/>
    <m/>
    <s v="S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Head-Technical Mktg. &amp; Application Engg.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70-07-03T00:00:00"/>
    <s v="53.02"/>
    <d v="2006-12-18T00:00:00"/>
    <d v="2028-07-31T00:00:00"/>
    <m/>
    <d v="2028-07-31T00:00:00"/>
    <n v="1776"/>
    <s v="B-"/>
    <s v="Master's Equivalent-2006"/>
    <s v="12.00"/>
    <s v="16.09"/>
    <s v="28.08"/>
    <s v="70343197"/>
    <s v="Technical Mktg &amp; Application Engineering"/>
    <s v="70336265"/>
    <s v="Head-Technical Mktg. &amp; Application Engg."/>
    <s v="Hazira"/>
    <s v="0031950057"/>
    <s v="HZ-HRC - Marketing"/>
    <s v="2000HWO"/>
    <s v="20007104"/>
    <s v="Ranjan Dhar"/>
    <s v="No"/>
    <s v="satyajit.mohapatra@amns.in"/>
    <s v="9930134371"/>
    <s v="22699"/>
    <s v="Dhruv Vyas"/>
    <s v="Anil Matoo"/>
    <s v="Praveen Kuruvalli"/>
    <s v="Dhruv Vyas"/>
    <n v="0"/>
  </r>
  <r>
    <n v="880"/>
    <n v="20008647"/>
    <s v="Alpesh Hirpara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- Pro Refractory"/>
    <m/>
    <s v="Procurement MRO Hazira"/>
    <s v="Procurement"/>
    <s v="Consumables"/>
    <s v="Non Technical Support"/>
    <s v="Commercial"/>
    <s v="Procurement"/>
    <s v="73803001"/>
    <s v="Procurement"/>
    <s v="AM/NS Hazira"/>
    <d v="1983-09-25T00:00:00"/>
    <s v="39.11"/>
    <d v="2006-12-18T00:00:00"/>
    <d v="2041-09-30T00:00:00"/>
    <m/>
    <d v="2041-09-30T00:00:00"/>
    <n v="6585"/>
    <s v="O-"/>
    <s v="BE-2006"/>
    <s v=""/>
    <s v="16.09"/>
    <s v="16.09"/>
    <s v="00044543"/>
    <s v="Procurement -Refractory"/>
    <s v="70372367"/>
    <s v="Lead - Pro Refractory"/>
    <s v="Hazira"/>
    <s v="0031950048"/>
    <s v="HZ-Procurment Depart"/>
    <s v="2000HWO"/>
    <s v="20000201"/>
    <s v="Manish Bakriwala"/>
    <s v="No"/>
    <s v="alpesh.hirpara@amns.in"/>
    <s v="9925241335"/>
    <s v="21912"/>
    <s v="Dhruv Vyas"/>
    <s v="Anil Matoo"/>
    <s v="Praveen Kuruvalli"/>
    <s v="Dhruv Vyas"/>
    <n v="0"/>
  </r>
  <r>
    <n v="890"/>
    <n v="20008774"/>
    <s v="Ajay Somasundaran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r. Lead - Market Intelligence"/>
    <m/>
    <s v="Sales Steering &amp; BD"/>
    <s v="Market Intelligence"/>
    <s v="Pricing &amp; Strategy"/>
    <s v="Non Technical Support"/>
    <s v="Sales &amp; Marketing"/>
    <s v="Marketing"/>
    <s v="73102007"/>
    <s v="Pricing"/>
    <s v="Mumbai"/>
    <d v="1976-04-08T00:00:00"/>
    <s v="47.05"/>
    <d v="2007-01-15T00:00:00"/>
    <d v="2034-04-30T00:00:00"/>
    <m/>
    <d v="2034-04-30T00:00:00"/>
    <n v="3875"/>
    <s v="A-"/>
    <s v="MBA-2005"/>
    <s v="05.07"/>
    <s v="16.08"/>
    <s v="22.03"/>
    <s v="72150188"/>
    <s v="Market Intelligence &amp; Pricing"/>
    <s v="72150163"/>
    <s v="Head - Market Intelligence &amp; Pricing"/>
    <s v="Corporate"/>
    <s v="0080000001"/>
    <s v="Head-Marketing"/>
    <s v="2000CS"/>
    <s v="20010531"/>
    <s v="Saptarshi Saha"/>
    <s v="No"/>
    <s v="ajay.somasundaran@amns.in"/>
    <s v="9819731553"/>
    <s v="24323"/>
    <s v="Dhruv Vyas"/>
    <s v="Anil Matoo"/>
    <s v="Praveen Kuruvalli"/>
    <s v="Dhruv Vyas"/>
    <n v="0"/>
  </r>
  <r>
    <n v="896"/>
    <n v="20008966"/>
    <s v="Rajesh Katoch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Process Manager"/>
    <m/>
    <s v="Sales Steering &amp; BD"/>
    <s v="Digital Initiatives"/>
    <s v="West Zone"/>
    <s v="Non Technical Support"/>
    <s v="IT"/>
    <s v="IT"/>
    <s v="74901001"/>
    <s v="IT"/>
    <s v="Mumbai"/>
    <d v="1972-04-08T00:00:00"/>
    <s v="51.05"/>
    <d v="2007-01-22T00:00:00"/>
    <d v="2030-04-30T00:00:00"/>
    <m/>
    <d v="2030-04-30T00:00:00"/>
    <n v="2414"/>
    <s v="A-"/>
    <s v="BCom-1996"/>
    <s v="13.08"/>
    <s v="16.07"/>
    <s v="30.03"/>
    <s v="70462100"/>
    <s v="Digital Initiatives"/>
    <s v="70386465"/>
    <s v="Process Manager - Digitalization"/>
    <s v="Corporate"/>
    <s v="0060100003"/>
    <s v="HMART-IT/JDS Support"/>
    <s v="2000CS"/>
    <s v="20043383"/>
    <s v="Maneesh Moti"/>
    <s v="No"/>
    <s v="rajesh.katoch@amns.in"/>
    <s v="9819730698"/>
    <s v="22175"/>
    <s v="Dhruv Vyas"/>
    <s v="Anil Matoo"/>
    <s v="Praveen Kuruvalli"/>
    <s v="Dhruv Vyas"/>
    <n v="0"/>
  </r>
  <r>
    <n v="906"/>
    <n v="20009067"/>
    <s v="Neelesh Mishr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Business Leader Hypermart (West)"/>
    <m/>
    <s v="Hypermart"/>
    <s v="Hypermart"/>
    <s v=""/>
    <s v="Non Technical Support"/>
    <s v="Sales &amp; Marketing"/>
    <s v="Sales"/>
    <s v="73104003"/>
    <s v="Retail Sales"/>
    <s v="Mumbai"/>
    <d v="1975-12-23T00:00:00"/>
    <s v="47.08"/>
    <d v="2007-01-25T00:00:00"/>
    <d v="2033-12-31T00:00:00"/>
    <m/>
    <d v="2033-12-31T00:00:00"/>
    <n v="3755"/>
    <s v="B-"/>
    <s v="BCom-1996"/>
    <s v="06.06"/>
    <s v="16.07"/>
    <s v="23.01"/>
    <s v="70164330"/>
    <s v="HyperMart - West"/>
    <s v="70226631"/>
    <s v="Distribution Incharge - G'dham"/>
    <s v="Hazira"/>
    <s v="0031950057"/>
    <s v="HZ-HRC - Marketing"/>
    <s v="2000HWO"/>
    <s v="20006236"/>
    <s v="Sanjay Vaid"/>
    <s v="No"/>
    <s v="neelesh.mishra@amns.in"/>
    <s v="9819731556"/>
    <s v="22630"/>
    <s v="Dhruv Vyas"/>
    <s v="Anil Matoo"/>
    <s v="Praveen Kuruvalli"/>
    <s v="Dhruv Vyas"/>
    <n v="0"/>
  </r>
  <r>
    <n v="907"/>
    <n v="20009073"/>
    <s v="Hiral Bhatt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Rajkot"/>
    <d v="1982-09-14T00:00:00"/>
    <s v="41.00"/>
    <d v="2007-01-22T00:00:00"/>
    <d v="2040-09-30T00:00:00"/>
    <m/>
    <d v="2040-09-30T00:00:00"/>
    <n v="6220"/>
    <s v="A-"/>
    <s v="BBA-2004 , Certificate-2004"/>
    <s v="02.03"/>
    <s v="16.07"/>
    <s v="18.10"/>
    <s v="70394840"/>
    <s v="OEM Sales - Gujarat"/>
    <s v="70372455"/>
    <s v="Sales Manager - Hypermart"/>
    <s v="Hypermart"/>
    <s v="0060110300"/>
    <s v="HMART-Guj-Ahemedabad"/>
    <s v="2000SRET"/>
    <s v="20001736"/>
    <s v="Manoranjan Jagdhari"/>
    <s v="No"/>
    <s v="hiral.bhatt@amns.in"/>
    <s v="9909043001"/>
    <s v="21238"/>
    <s v="Dhruv Vyas"/>
    <s v="Anil Matoo"/>
    <s v="Praveen Kuruvalli"/>
    <s v="Dhruv Vyas"/>
    <n v="0"/>
  </r>
  <r>
    <n v="908"/>
    <n v="20009082"/>
    <s v="Ashutosh Misr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North"/>
    <s v="Hypermart"/>
    <s v="Nort Zone"/>
    <s v="Non Technical Support"/>
    <s v="Sales &amp; Marketing"/>
    <s v="Sales"/>
    <s v="73104003"/>
    <s v="Retail Sales"/>
    <s v="Jaipur"/>
    <d v="1977-09-28T00:00:00"/>
    <s v="45.11"/>
    <d v="2007-01-15T00:00:00"/>
    <d v="2035-09-30T00:00:00"/>
    <m/>
    <d v="2035-09-30T00:00:00"/>
    <n v="4393"/>
    <s v="A-"/>
    <s v="BA-1999 , Master's Equivalent-1999"/>
    <s v="03.03"/>
    <s v="16.08"/>
    <s v="19.11"/>
    <s v="00052526"/>
    <s v="Sales - North"/>
    <s v="70258923"/>
    <s v="Sales Manager - Hypermart"/>
    <s v="Hypermart"/>
    <s v="0060120300"/>
    <s v="HMART-Raj-Jaipur"/>
    <s v="2000SRET"/>
    <s v="20007322"/>
    <s v="Sanjay Bohra"/>
    <s v="No"/>
    <s v="ashutosh.misra@amns.in"/>
    <s v=""/>
    <s v="22639"/>
    <s v="Dhruv Vyas"/>
    <s v="Anil Matoo"/>
    <s v="Praveen Kuruvalli"/>
    <s v="Dhruv Vyas"/>
    <n v="0"/>
  </r>
  <r>
    <n v="923"/>
    <n v="20009190"/>
    <s v="Pradeep Gandikot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Hypermart"/>
    <s v="South Zone"/>
    <s v="Non Technical Support"/>
    <s v="Sales &amp; Marketing"/>
    <s v="Sales"/>
    <s v="73104003"/>
    <s v="Retail Sales"/>
    <s v="Hyderabad"/>
    <d v="1981-05-06T00:00:00"/>
    <s v="42.04"/>
    <d v="2007-02-19T00:00:00"/>
    <d v="2039-05-31T00:00:00"/>
    <m/>
    <d v="2039-05-31T00:00:00"/>
    <n v="5732"/>
    <s v="O-"/>
    <s v="MBA-2008"/>
    <s v="04.06"/>
    <s v="16.06"/>
    <s v="21.01"/>
    <s v="00048814"/>
    <s v="Sales South Zone – Hypermart"/>
    <s v="70403504"/>
    <s v="Sales Manager - Hypermart"/>
    <s v="Hypermart"/>
    <s v="0060140600"/>
    <s v="HMART-Tela-Secundrab"/>
    <s v="2000SRET"/>
    <s v="20056279"/>
    <s v="Arun G"/>
    <s v="No"/>
    <s v="pradeep.gandikota@amns.in"/>
    <s v="9866101615"/>
    <s v="21756"/>
    <s v="Dhruv Vyas"/>
    <s v="Anil Matoo"/>
    <s v="Praveen Kuruvalli"/>
    <s v="Dhruv Vyas"/>
    <n v="0"/>
  </r>
  <r>
    <n v="925"/>
    <n v="20009250"/>
    <s v="Bhagwati Gupt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Hypermart"/>
    <s v="Nort Zone"/>
    <s v="Non Technical Support"/>
    <s v="Sales &amp; Marketing"/>
    <s v="Sales"/>
    <s v="73104003"/>
    <s v="Retail Sales"/>
    <s v="Delhi"/>
    <d v="1974-01-01T00:00:00"/>
    <s v="49.08"/>
    <d v="2007-02-12T00:00:00"/>
    <d v="2031-12-31T00:00:00"/>
    <m/>
    <d v="2031-12-31T00:00:00"/>
    <n v="3024"/>
    <s v="B-"/>
    <s v="Certificate-2000 , MBA-2000 , BSc-1996"/>
    <s v="01.04"/>
    <s v="16.07"/>
    <s v="17.10"/>
    <s v="00052526"/>
    <s v="Sales - North"/>
    <s v="70320454"/>
    <s v="Sales Manager - Hypermart"/>
    <s v="Hypermart"/>
    <s v="0060120900"/>
    <s v="HMART-NCR-Faridabad"/>
    <s v="2000SRET"/>
    <s v="20007322"/>
    <s v="Sanjay Bohra"/>
    <s v="No"/>
    <s v="bhagwati.gupta@amns.in"/>
    <s v="9999015435"/>
    <s v="21860"/>
    <s v="Dhruv Vyas"/>
    <s v="Anil Matoo"/>
    <s v="Praveen Kuruvalli"/>
    <s v="Dhruv Vyas"/>
    <n v="0"/>
  </r>
  <r>
    <n v="933"/>
    <n v="20009438"/>
    <s v="Vidyadhar Bhise"/>
    <s v="AM/NS India"/>
    <s v="Onroll"/>
    <s v="M-8"/>
    <n v="8"/>
    <m/>
    <s v="JM"/>
    <s v="M"/>
    <s v="Hypermart"/>
    <n v="5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Human Resources"/>
    <s v="Human Resources"/>
    <s v="Non Technical Support"/>
    <s v="Human Resources Management"/>
    <s v="Human Resources Management"/>
    <s v="73501002"/>
    <s v="Human Resources Operation"/>
    <s v="Mumbai"/>
    <d v="1976-07-23T00:00:00"/>
    <s v="47.01"/>
    <d v="2007-03-01T00:00:00"/>
    <d v="2034-07-31T00:00:00"/>
    <m/>
    <d v="2034-07-31T00:00:00"/>
    <n v="3967"/>
    <s v="A-"/>
    <s v="BCom-2011 , PG Diploma in Management-201"/>
    <s v="06.09"/>
    <s v="16.06"/>
    <s v="23.03"/>
    <s v="00049721"/>
    <s v="Regional &amp; Corporate offices"/>
    <s v="70258919"/>
    <s v="Lead - Administration"/>
    <s v="Hypermart"/>
    <s v="0090000018"/>
    <s v="CORP Group - HR"/>
    <s v="2000SRET"/>
    <s v="20057888"/>
    <s v="Narinder Lamba"/>
    <s v="No"/>
    <s v="vidyadhar.bhise@amns.in"/>
    <s v="9819730498"/>
    <s v="21270"/>
    <s v="Dhruv Vyas"/>
    <s v="Anil Matoo"/>
    <s v="Praveen Kuruvalli"/>
    <s v="Dhruv Vyas"/>
    <n v="0"/>
  </r>
  <r>
    <n v="940"/>
    <n v="20009743"/>
    <s v="Rakesh Kuma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4"/>
    <s v="OEM Sales"/>
    <s v="Noida"/>
    <d v="1979-04-25T00:00:00"/>
    <s v="44.04"/>
    <d v="2007-03-30T00:00:00"/>
    <d v="2037-04-30T00:00:00"/>
    <m/>
    <d v="2037-04-30T00:00:00"/>
    <n v="4971"/>
    <s v="O-"/>
    <s v="BCom-2003"/>
    <s v="04.08"/>
    <s v="16.05"/>
    <s v="21.01"/>
    <s v="72150181"/>
    <s v="Sales North Zone"/>
    <s v="70334319"/>
    <s v="Sales Manager"/>
    <s v="Hazira"/>
    <s v="0031950057"/>
    <s v="HZ-HRC - Marketing"/>
    <s v="2000HWO"/>
    <s v="20002920"/>
    <s v="Sudhir Sharma"/>
    <s v="No"/>
    <s v="rakesh.kumar5@amns.in"/>
    <s v="9899789317"/>
    <s v="22355"/>
    <s v="Dhruv Vyas"/>
    <s v="Anil Matoo"/>
    <s v="Praveen Kuruvalli"/>
    <s v="Dhruv Vyas"/>
    <n v="0"/>
  </r>
  <r>
    <n v="941"/>
    <n v="20009749"/>
    <s v="Daksha Bhalodia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Lead - Accounts Payable"/>
    <m/>
    <s v="Working Capital"/>
    <s v="Hypermart"/>
    <s v="Hypermart"/>
    <s v="Non Technical Support"/>
    <s v="Finance &amp; Accounts"/>
    <s v="Finance &amp; Accounts"/>
    <s v="73901002"/>
    <s v="Corporate Accounts &amp; Audi"/>
    <s v="AM/NS Hazira"/>
    <d v="1971-07-23T00:00:00"/>
    <s v="52.01"/>
    <d v="2007-04-05T00:00:00"/>
    <d v="2029-07-31T00:00:00"/>
    <m/>
    <d v="2029-07-31T00:00:00"/>
    <n v="2141"/>
    <s v="B-"/>
    <s v="BCom-1992"/>
    <s v="03.08"/>
    <s v="16.05"/>
    <s v="20.01"/>
    <s v="00043794"/>
    <s v="Accounts Payable - 1"/>
    <s v="70259111"/>
    <s v="Lead - Accounts Payable"/>
    <s v="Hazira"/>
    <s v="0060100001"/>
    <s v="HMART-Finance &amp; Acco"/>
    <s v="2000SRET"/>
    <s v="20016107"/>
    <s v="Kalpesh Thathagar"/>
    <s v="No"/>
    <s v="daksha.bhalodia@amns.in"/>
    <s v="9879102011"/>
    <s v="21827"/>
    <s v="Dhruv Vyas"/>
    <s v="Anil Matoo"/>
    <s v="Praveen Kuruvalli"/>
    <s v="Dhruv Vyas"/>
    <n v="0"/>
  </r>
  <r>
    <n v="942"/>
    <n v="20009786"/>
    <s v="Rahul Deshpande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West Zone"/>
    <s v="Non Technical Support"/>
    <s v="Sales &amp; Marketing"/>
    <s v="Sales"/>
    <s v="73104003"/>
    <s v="Retail Sales"/>
    <s v="Pune"/>
    <d v="1977-11-22T00:00:00"/>
    <s v="45.09"/>
    <d v="2007-04-04T00:00:00"/>
    <d v="2035-11-30T00:00:00"/>
    <m/>
    <d v="2035-11-30T00:00:00"/>
    <n v="4454"/>
    <s v="B-"/>
    <s v="BCom-2002"/>
    <s v="13.01"/>
    <s v="16.05"/>
    <s v="29.06"/>
    <s v="00048138"/>
    <s v="Hypermart west"/>
    <s v="70258929"/>
    <s v="Sales Manager - Hypermart"/>
    <s v="Hypermart"/>
    <s v="0060110600"/>
    <s v="HMART-Mah-Taloja"/>
    <s v="2000SRET"/>
    <s v="20056847"/>
    <s v="Vikas Chotia"/>
    <s v="No"/>
    <s v="rahul.deshpande@amns.in"/>
    <s v="9819730702"/>
    <s v="21623"/>
    <s v="Dhruv Vyas"/>
    <s v="Anil Matoo"/>
    <s v="Praveen Kuruvalli"/>
    <s v="Dhruv Vyas"/>
    <n v="0"/>
  </r>
  <r>
    <n v="943"/>
    <n v="20009950"/>
    <s v="Bhavin Parekh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Ahmedabad"/>
    <d v="1980-01-15T00:00:00"/>
    <s v="43.08"/>
    <d v="2007-04-23T00:00:00"/>
    <d v="2038-01-31T00:00:00"/>
    <m/>
    <d v="2038-01-31T00:00:00"/>
    <n v="5247"/>
    <s v="O-"/>
    <s v="Diploma-2008 , BE-2008"/>
    <s v="02.09"/>
    <s v="16.04"/>
    <s v="19.02"/>
    <s v="70394840"/>
    <s v="OEM Sales - Gujarat"/>
    <s v="70319462"/>
    <s v="Sales Manager - Hypermart"/>
    <s v="Hypermart"/>
    <s v="0060110200"/>
    <s v="HMART-Gujarat Div"/>
    <s v="2000SRET"/>
    <s v="20001736"/>
    <s v="Manoranjan Jagdhari"/>
    <s v="No"/>
    <s v="bhavin.parekh@amns.in"/>
    <s v="9879109060"/>
    <s v="22983"/>
    <s v="Dhruv Vyas"/>
    <s v="Anil Matoo"/>
    <s v="Praveen Kuruvalli"/>
    <s v="Dhruv Vyas"/>
    <n v="0"/>
  </r>
  <r>
    <n v="944"/>
    <n v="20009970"/>
    <s v="Vijyendra Srivastava"/>
    <s v="AM/NS India"/>
    <s v="Onroll"/>
    <s v="M-5"/>
    <n v="5"/>
    <m/>
    <s v="MM"/>
    <s v="M"/>
    <s v="Hazira"/>
    <n v="1"/>
    <s v="2095"/>
    <x v="4"/>
    <n v="36.01"/>
    <s v="Deepak Sindkar"/>
    <s v="Hrishikesh Kamat"/>
    <n v="7"/>
    <s v="Procurement"/>
    <s v="Raw Materials"/>
    <s v="36"/>
    <s v="Senior Lead - Blacks"/>
    <m/>
    <s v="Bulk Raw Materials"/>
    <s v="Raw Material"/>
    <s v="Coal &amp; Coke"/>
    <s v="Non Technical Support"/>
    <s v="Commercial"/>
    <s v="Procurement"/>
    <s v="73803001"/>
    <s v="Procurement"/>
    <s v="Mumbai"/>
    <d v="1974-09-01T00:00:00"/>
    <s v="49.00"/>
    <d v="2007-04-25T00:00:00"/>
    <d v="2032-08-31T00:00:00"/>
    <m/>
    <d v="2032-08-31T00:00:00"/>
    <n v="3268"/>
    <s v="A-"/>
    <s v="PG Diploma in Management-1998"/>
    <s v="08.07"/>
    <s v="16.04"/>
    <s v="24.11"/>
    <s v="00045894"/>
    <s v="Blacks"/>
    <s v="70275841"/>
    <s v="Senior Lead - Blacks"/>
    <s v="Hazira"/>
    <s v="0031950048"/>
    <s v="HZ-Procurment Depart"/>
    <s v="2000HWO"/>
    <s v="20001577"/>
    <s v="Prakash Thakur"/>
    <s v="No"/>
    <s v="vijyendra.srivastava@amns.in"/>
    <s v="9930134238"/>
    <s v="24362"/>
    <s v="Dhruv Vyas"/>
    <s v="Anil Matoo"/>
    <s v="Praveen Kuruvalli"/>
    <s v="Dhruv Vyas"/>
    <n v="0"/>
  </r>
  <r>
    <n v="946"/>
    <n v="20010065"/>
    <s v="Ashish Mali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Central Zone"/>
    <s v="Non Technical Support"/>
    <s v="Sales &amp; Marketing"/>
    <s v="Sales"/>
    <s v="73104003"/>
    <s v="Retail Sales"/>
    <s v="Indore"/>
    <d v="1979-02-14T00:00:00"/>
    <s v="44.07"/>
    <d v="2007-04-16T00:00:00"/>
    <d v="2037-02-28T00:00:00"/>
    <m/>
    <d v="2037-02-28T00:00:00"/>
    <n v="4910"/>
    <s v="O-"/>
    <s v="PG Diploma in Management-2008"/>
    <s v="04.08"/>
    <s v="16.05"/>
    <s v="21.00"/>
    <s v="00048138"/>
    <s v="Hypermart west"/>
    <s v="70258932"/>
    <s v="Sales Manager - Hypermart"/>
    <s v="Hypermart"/>
    <s v="0060110700"/>
    <s v="HMART-MP-Pithampur"/>
    <s v="2000SRET"/>
    <s v="20056847"/>
    <s v="Vikas Chotia"/>
    <s v="No"/>
    <s v="ashish.mali@amns.in"/>
    <s v="9713300779"/>
    <s v="22509"/>
    <s v="Dhruv Vyas"/>
    <s v="Anil Matoo"/>
    <s v="Praveen Kuruvalli"/>
    <s v="Dhruv Vyas"/>
    <n v="0"/>
  </r>
  <r>
    <n v="965"/>
    <n v="20010531"/>
    <s v="Saptarshi Sah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Plate Sales"/>
    <m/>
    <s v="Sales Steering &amp; BD"/>
    <s v="Sales Steering &amp; BD"/>
    <s v=""/>
    <s v="Non Technical Support"/>
    <s v="Sales &amp; Marketing"/>
    <s v="Sales"/>
    <s v="73104004"/>
    <s v="OEM Sales"/>
    <s v="Mumbai"/>
    <d v="1979-11-02T00:00:00"/>
    <s v="43.10"/>
    <d v="2007-06-11T00:00:00"/>
    <d v="2037-11-30T00:00:00"/>
    <m/>
    <d v="2037-11-30T00:00:00"/>
    <n v="5185"/>
    <s v="A-"/>
    <s v="BTech-2007 , MBA-2007"/>
    <s v="00.05"/>
    <s v="16.03"/>
    <s v="16.08"/>
    <s v="70277912"/>
    <s v="Plate Sales"/>
    <s v="70386090"/>
    <s v="Head Sales Steering, Distribution &amp; BD"/>
    <s v="Hazira"/>
    <s v="0080000001"/>
    <s v="Head-Marketing"/>
    <s v="2000HWO"/>
    <s v="20055084"/>
    <s v="Alain Legrix De La Salle"/>
    <s v="No"/>
    <s v="saptarshi.saha@amns.in"/>
    <s v="9833946115"/>
    <s v="23838"/>
    <s v="Dhruv Vyas"/>
    <s v="Anil Matoo"/>
    <s v="Praveen Kuruvalli"/>
    <s v="Dhruv Vyas"/>
    <n v="0"/>
  </r>
  <r>
    <n v="971"/>
    <n v="20010602"/>
    <s v="Sanjeev Kumar Jha"/>
    <s v="AM/NS India"/>
    <s v="Onroll"/>
    <s v="M-8"/>
    <n v="8"/>
    <m/>
    <s v="JM"/>
    <s v="M"/>
    <s v="Odisha"/>
    <n v="2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Human Resources"/>
    <s v="Human Resources"/>
    <s v="Non Technical Support"/>
    <s v="Human Resources Management"/>
    <s v="Human Resources Management"/>
    <s v="73501002"/>
    <s v="Human Resources Operation"/>
    <s v="Paradeep"/>
    <d v="1974-10-04T00:00:00"/>
    <s v="48.11"/>
    <d v="2007-06-01T00:00:00"/>
    <d v="2032-10-31T00:00:00"/>
    <m/>
    <d v="2032-10-31T00:00:00"/>
    <n v="3329"/>
    <s v="O-"/>
    <s v="BSc-2001 , Bachelor Equivalent-2001"/>
    <s v="09.07"/>
    <s v="16.03"/>
    <s v="25.10"/>
    <s v="70495430"/>
    <s v="Odisha HR Operations"/>
    <s v="70226867"/>
    <s v="Lead - Human Resources"/>
    <s v="Odisha"/>
    <s v="0022030019"/>
    <s v="PDP-HR &amp; Admn"/>
    <s v="2000STORIS"/>
    <s v="20055611"/>
    <s v="Sunila Kumar Das"/>
    <s v="No"/>
    <s v="sanjeev.jha@amns.in"/>
    <s v="7566111174"/>
    <s v="22035"/>
    <s v="Sunila Das"/>
    <s v="Anil Matoo"/>
    <s v="Praveen Kuruvalli"/>
    <s v="Sunila Das"/>
    <n v="0"/>
  </r>
  <r>
    <n v="974"/>
    <n v="20010608"/>
    <s v="Tejas Patel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nventory Plant A"/>
    <m/>
    <s v="Stores &amp; Warehouse"/>
    <s v="Stores &amp; Warehouse"/>
    <s v="Inventory Plant A"/>
    <s v="Non Technical Support"/>
    <s v="Commercial"/>
    <s v="Stores &amp; Warehouse"/>
    <s v="73806001"/>
    <s v="Stores &amp; Warehouse"/>
    <s v="Hazira"/>
    <d v="1987-01-22T00:00:00"/>
    <s v="36.07"/>
    <d v="2007-06-04T00:00:00"/>
    <d v="2045-01-31T00:00:00"/>
    <m/>
    <d v="2045-01-31T00:00:00"/>
    <n v="7804"/>
    <s v="A-"/>
    <s v="Diploma-2006"/>
    <s v=""/>
    <s v="16.03"/>
    <s v="16.03"/>
    <s v="70232287"/>
    <s v="HRC Store &amp; Inventory  &amp; Cataloging Mgt."/>
    <s v="70245137"/>
    <s v="Section Officer - Inventory Plant A"/>
    <s v="Hazira"/>
    <s v="0031950049"/>
    <s v="HZ-Central Stores"/>
    <s v="2000HWO"/>
    <s v="20000948"/>
    <s v="Hitesh Raval"/>
    <s v="No"/>
    <s v="tejas.patel5@amns.in"/>
    <s v="9879102541"/>
    <s v="23390"/>
    <s v="Dhruv Vyas"/>
    <s v="Anil Matoo"/>
    <s v="Praveen Kuruvalli"/>
    <s v="Dhruv Vyas"/>
    <n v="0"/>
  </r>
  <r>
    <n v="978"/>
    <n v="20010626"/>
    <s v="Barot Sachinkumar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fractory Plant- A"/>
    <m/>
    <s v="Stores &amp; Warehouse"/>
    <s v="Stores &amp; Warehouse"/>
    <s v="Refractory A, Receipt -Issue"/>
    <s v="Non Technical Support"/>
    <s v="Commercial"/>
    <s v="Stores &amp; Warehouse"/>
    <s v="73806001"/>
    <s v="Stores &amp; Warehouse"/>
    <s v="Hazira"/>
    <d v="1986-05-31T00:00:00"/>
    <s v="37.03"/>
    <d v="2007-06-01T00:00:00"/>
    <d v="2044-05-31T00:00:00"/>
    <m/>
    <d v="2044-05-31T00:00:00"/>
    <n v="7559"/>
    <s v="B-"/>
    <s v="Diploma-2007"/>
    <s v=""/>
    <s v="16.03"/>
    <s v="16.03"/>
    <s v="00044539"/>
    <s v="Ferroalloy &amp; Refractory Stores"/>
    <s v="70372635"/>
    <s v="Section Officer - Refractory Plant- A"/>
    <s v="Hazira"/>
    <s v="0031950049"/>
    <s v="HZ-Central Stores"/>
    <s v="2000HWO"/>
    <s v="20001240"/>
    <s v="Ambrish Chaturvedi"/>
    <s v="No"/>
    <s v="sachin.barot@amns.in"/>
    <s v="9879102495"/>
    <s v="21177"/>
    <s v="Dhruv Vyas"/>
    <s v="Anil Matoo"/>
    <s v="Praveen Kuruvalli"/>
    <s v="Dhruv Vyas"/>
    <n v="0"/>
  </r>
  <r>
    <n v="1004"/>
    <n v="20010980"/>
    <s v="Kirit Upadhyay"/>
    <s v="AM/NS India"/>
    <s v="Onroll"/>
    <s v="M-8"/>
    <n v="8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HBI Mod 1-6, MH, RHMS, HMM"/>
    <s v="Non Technical Support"/>
    <s v="Operations"/>
    <s v="Operations"/>
    <s v="72103002"/>
    <s v="Operations Planning &amp; Str"/>
    <s v="AM/NS Hazira"/>
    <d v="1985-11-30T00:00:00"/>
    <s v="37.09"/>
    <d v="2007-06-16T00:00:00"/>
    <d v="2043-11-30T00:00:00"/>
    <m/>
    <d v="2043-11-30T00:00:00"/>
    <n v="7376"/>
    <s v="A-"/>
    <s v="Diploma-2014 , BTech-2014"/>
    <s v=""/>
    <s v="16.03"/>
    <s v="16.03"/>
    <s v="00053411"/>
    <s v="Contracts"/>
    <s v="70245082"/>
    <s v="Lead - Contracts"/>
    <s v="Hazira"/>
    <s v="0031950047"/>
    <s v="HZ-Contracts"/>
    <s v="2000HWO"/>
    <s v="20000795"/>
    <s v="Pankaj Chaturvedi"/>
    <s v="No"/>
    <s v="kirit.upadhyay@amns.in"/>
    <s v="9879105693"/>
    <s v="24590"/>
    <s v="Dhruv Vyas"/>
    <s v="Anil Matoo"/>
    <s v="Praveen Kuruvalli"/>
    <s v="Dhruv Vyas"/>
    <n v="0"/>
  </r>
  <r>
    <n v="1010"/>
    <n v="20010998"/>
    <s v="Venkata Raman  Lagadapati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Section Inchrge - Contracts"/>
    <m/>
    <s v="Procurement"/>
    <s v="Procurement"/>
    <s v="Purchase"/>
    <s v="Non Technical Support"/>
    <s v="Operations"/>
    <s v="Plant Operations"/>
    <s v="72103005"/>
    <s v="Shift Operations"/>
    <s v="Vizag"/>
    <d v="1986-08-01T00:00:00"/>
    <s v="37.01"/>
    <d v="2007-06-18T00:00:00"/>
    <d v="2044-07-31T00:00:00"/>
    <m/>
    <d v="2044-07-31T00:00:00"/>
    <n v="7620"/>
    <s v="O-"/>
    <s v="BTech-2007"/>
    <s v=""/>
    <s v="16.03"/>
    <s v="16.03"/>
    <s v="00046540"/>
    <s v="Contracts &amp; Production consumables"/>
    <s v="70487857"/>
    <s v="Section Inchrge - Contracts"/>
    <s v="Vizag"/>
    <s v="0028030019"/>
    <s v="VIZ-Personnel &amp; Admi"/>
    <s v="2000VIZOPS"/>
    <s v="20000200"/>
    <s v="A Venkateswara Rao"/>
    <s v="No"/>
    <s v="venkataraman.lagadapati@amns.in"/>
    <s v="9160881188"/>
    <s v="24661"/>
    <s v="DS Varma"/>
    <s v="Anil Matoo"/>
    <s v="Praveen Kuruvalli"/>
    <s v="Dhruv Vyas"/>
    <n v="0"/>
  </r>
  <r>
    <n v="1058"/>
    <n v="20011898"/>
    <s v="Mohit Meht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Treasury &amp; Systems"/>
    <m/>
    <s v="Treasury &amp; Banking"/>
    <s v="Treasury"/>
    <s v="Treasury"/>
    <s v="Non Technical Support"/>
    <s v="Finance &amp; Accounts"/>
    <s v="Treasury"/>
    <s v="73903001"/>
    <s v="Treasury"/>
    <s v="AM/NS Hazira"/>
    <d v="1984-06-22T00:00:00"/>
    <s v="39.03"/>
    <d v="2007-07-26T00:00:00"/>
    <d v="2042-06-30T00:00:00"/>
    <m/>
    <d v="2042-06-30T00:00:00"/>
    <n v="6858"/>
    <s v="B-"/>
    <s v="PG Diploma in Management-2007"/>
    <s v=""/>
    <s v="16.01"/>
    <s v="16.01"/>
    <s v="72150420"/>
    <s v="Treasury - Hazira"/>
    <s v="70259112"/>
    <s v="Lead - Treasury &amp; Systems"/>
    <s v="Hazira"/>
    <s v="0031950045"/>
    <s v="HZ-Works Accounts-Ha"/>
    <s v="2000HWO"/>
    <s v="20001854"/>
    <s v="Arasappan Thirumaran"/>
    <s v="No"/>
    <s v="mohit.mehta@amns.in"/>
    <s v="9879102245"/>
    <s v="22595"/>
    <s v="Dhruv Vyas"/>
    <s v="Anil Matoo"/>
    <s v="Praveen Kuruvalli"/>
    <s v="Dhruv Vyas"/>
    <n v="0"/>
  </r>
  <r>
    <n v="1059"/>
    <n v="20011904"/>
    <s v="Bhalchandra Vast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– Transaction Banking"/>
    <m/>
    <s v="Treasury &amp; Banking"/>
    <s v="Banking"/>
    <s v="Finance &amp; Accounts"/>
    <s v="Non Technical Support"/>
    <s v="Finance &amp; Accounts"/>
    <s v="Finance &amp; Accounts"/>
    <s v="73901001"/>
    <s v="Finance &amp; Accounts"/>
    <s v="Mumbai"/>
    <d v="1973-02-17T00:00:00"/>
    <s v="50.07"/>
    <d v="2007-07-24T00:00:00"/>
    <d v="2031-02-28T00:00:00"/>
    <m/>
    <d v="2031-02-28T00:00:00"/>
    <n v="2718"/>
    <s v="O-"/>
    <s v="BCom-1993"/>
    <s v="13.04"/>
    <s v="16.01"/>
    <s v="29.06"/>
    <s v="70101920"/>
    <s v="Treasury - Mumbai"/>
    <s v="70258424"/>
    <s v="Sr. Lead – Transaction Banking"/>
    <s v="Hazira"/>
    <s v="0090000028"/>
    <s v="Corporate Steel - Wo"/>
    <s v="2000HWO"/>
    <s v="20000057"/>
    <s v="Vivek Sanil"/>
    <s v="No"/>
    <s v="bhalchandra.vast@amns.in"/>
    <s v="9819731550"/>
    <s v="24652"/>
    <s v="Dhruv Vyas"/>
    <s v="Anil Matoo"/>
    <s v="Praveen Kuruvalli"/>
    <s v="Dhruv Vyas"/>
    <n v="0"/>
  </r>
  <r>
    <n v="1062"/>
    <n v="20011945"/>
    <s v="Raghavendra Rao Yerramsetty"/>
    <s v="AM/NS India"/>
    <s v="Onroll"/>
    <s v="M-5"/>
    <n v="5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Lead – Procurement, Contracts, Stores"/>
    <m/>
    <s v="Procurement"/>
    <s v="New Projects &amp; Process Modification"/>
    <s v="New Projects &amp; Process Modification"/>
    <s v="Non Technical Support"/>
    <s v="Projects"/>
    <s v="Projects"/>
    <s v="72103036"/>
    <s v="Projects"/>
    <s v="Vizag"/>
    <d v="1986-03-03T00:00:00"/>
    <s v="37.06"/>
    <d v="2007-07-16T00:00:00"/>
    <d v="2044-03-31T00:00:00"/>
    <m/>
    <d v="2044-03-31T00:00:00"/>
    <n v="7498"/>
    <s v="O-"/>
    <s v="BTech-2007"/>
    <s v=""/>
    <s v="16.02"/>
    <s v="16.02"/>
    <s v="72150139"/>
    <s v="Procurement, Contract &amp; Stores - Vizag"/>
    <s v="70259001"/>
    <s v="Lead – Procurement, Contracts, Stores"/>
    <s v="Vizag"/>
    <s v="0028030019"/>
    <s v="VIZ-Personnel &amp; Admi"/>
    <s v="2000VIZOPS"/>
    <s v="20055090"/>
    <s v="Hrishikesh Kamat"/>
    <s v="No"/>
    <s v="raghavendra.rao@amns.in"/>
    <s v="9966028577"/>
    <s v="23716"/>
    <s v="DS Varma"/>
    <s v="Anil Matoo"/>
    <s v="Praveen Kuruvalli"/>
    <s v="Dhruv Vyas"/>
    <n v="0"/>
  </r>
  <r>
    <n v="1065"/>
    <n v="20011972"/>
    <s v="Rajita Bagkar"/>
    <s v="AM/NS India"/>
    <s v="Onroll"/>
    <s v="M-5"/>
    <n v="5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Section Head - Banking &amp; Treasury"/>
    <m/>
    <s v="Treasury &amp; Banking"/>
    <s v="Risk &amp; Insurance"/>
    <s v="Long Term Finance &amp; Forex"/>
    <s v="Non Technical Support"/>
    <s v="Finance &amp; Accounts"/>
    <s v="Treasury"/>
    <s v="73903001"/>
    <s v="Treasury"/>
    <s v="Mumbai"/>
    <d v="1978-04-27T00:00:00"/>
    <s v="45.04"/>
    <d v="2007-08-01T00:00:00"/>
    <d v="2036-04-30T00:00:00"/>
    <m/>
    <d v="2036-04-30T00:00:00"/>
    <n v="4606"/>
    <s v="A-"/>
    <s v="BCom-2003 , MMS-2003"/>
    <s v="03.09"/>
    <s v="16.01"/>
    <s v="19.10"/>
    <s v="00050553"/>
    <s v="Banking &amp; Treasury"/>
    <s v="70386092"/>
    <s v="Section Head - Banking &amp; Treasury"/>
    <s v="Corporate"/>
    <s v="0090000028"/>
    <s v="Corporate Steel - Wo"/>
    <s v="2000CS"/>
    <s v="20000870"/>
    <s v="Balajee M"/>
    <s v="No"/>
    <s v="rajita.bagkar@amns.in"/>
    <s v="9819730767"/>
    <s v="21133"/>
    <s v="Dhruv Vyas"/>
    <s v="Anil Matoo"/>
    <s v="Praveen Kuruvalli"/>
    <s v="Dhruv Vyas"/>
    <n v="0"/>
  </r>
  <r>
    <n v="1074"/>
    <n v="20012203"/>
    <s v="Dhirendra Singh Rajawat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Procurement"/>
    <m/>
    <s v="Capex Procurement"/>
    <s v="Capex Procurement"/>
    <s v=""/>
    <s v="Non Technical Support"/>
    <s v="Projects"/>
    <s v="Projects Coordination"/>
    <s v="72103038"/>
    <s v="Projects Coordination"/>
    <s v="Hazira"/>
    <d v="1987-11-03T00:00:00"/>
    <s v="35.10"/>
    <d v="2007-06-28T00:00:00"/>
    <d v="2045-11-30T00:00:00"/>
    <m/>
    <d v="2045-11-30T00:00:00"/>
    <n v="8107"/>
    <s v="O-"/>
    <s v="Diploma-2013 , BTech-2013"/>
    <s v=""/>
    <s v="16.02"/>
    <s v="16.02"/>
    <s v="00049344"/>
    <s v="Capex Procurement"/>
    <s v="70372646"/>
    <s v="Lead – Capex Procurement"/>
    <s v="Hazira"/>
    <s v="0031950059"/>
    <s v="HZ-Hazira Project"/>
    <s v="2000HWO"/>
    <s v="20055728"/>
    <s v="Mahebub Vahora"/>
    <s v="No"/>
    <s v="dhirendra.rajawat@amns.in"/>
    <s v="9909902354"/>
    <s v="23635"/>
    <s v="Dhruv Vyas"/>
    <s v="Anil Matoo"/>
    <s v="Praveen Kuruvalli"/>
    <s v="Dhruv Vyas"/>
    <n v="0"/>
  </r>
  <r>
    <n v="1077"/>
    <n v="20012229"/>
    <s v="Bhaumikkumar Shah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r. Analyst - Market Intelligence"/>
    <m/>
    <s v="Sales Steering &amp; BD"/>
    <s v="Market Intelligence"/>
    <s v="Internal Audit"/>
    <s v="Non Technical Support"/>
    <s v="Assurance &amp; Cost Control"/>
    <s v="Assurance &amp; Cost Control"/>
    <s v="73401001"/>
    <s v="Assurance &amp; Cost Control"/>
    <s v="Mumbai"/>
    <d v="1986-02-06T00:00:00"/>
    <s v="37.07"/>
    <d v="2007-06-29T00:00:00"/>
    <d v="2044-02-29T00:00:00"/>
    <m/>
    <d v="2044-02-29T00:00:00"/>
    <n v="7467"/>
    <s v="A-"/>
    <s v="BE-2007"/>
    <s v=""/>
    <s v="16.02"/>
    <s v="16.02"/>
    <s v="72150188"/>
    <s v="Market Intelligence &amp; Pricing"/>
    <s v="70372405"/>
    <s v="Sr. Analyst - Market Intelligence"/>
    <s v="Corporate"/>
    <s v="0080000001"/>
    <s v="Head-Marketing"/>
    <s v="2000CS"/>
    <s v="20008774"/>
    <s v="Ajay Somasundaran"/>
    <s v="No"/>
    <s v="bhaumik.shah@amns.in"/>
    <s v="9909902379"/>
    <s v="24000"/>
    <s v="Dhruv Vyas"/>
    <s v="Anil Matoo"/>
    <s v="Praveen Kuruvalli"/>
    <s v="Dhruv Vyas"/>
    <n v="0"/>
  </r>
  <r>
    <n v="1084"/>
    <n v="20012267"/>
    <s v="Pooja Sharma"/>
    <s v="AM/NS India"/>
    <s v="Onroll"/>
    <s v="M-7"/>
    <n v="7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Banking &amp; MIS"/>
    <m/>
    <s v="Treasury &amp; Banking"/>
    <s v="Forex &amp; Risk Management"/>
    <s v="RBI Matters"/>
    <s v="Non Technical Support"/>
    <s v="Finance &amp; Accounts"/>
    <s v="Treasury"/>
    <s v="73903001"/>
    <s v="Treasury"/>
    <s v="Mumbai"/>
    <d v="1984-09-25T00:00:00"/>
    <s v="38.11"/>
    <d v="2007-08-13T00:00:00"/>
    <d v="2042-09-30T00:00:00"/>
    <m/>
    <d v="2042-09-30T00:00:00"/>
    <n v="6950"/>
    <s v="B-"/>
    <s v="BCom-2007 , MBA-2007"/>
    <s v=""/>
    <s v="16.01"/>
    <s v="16.01"/>
    <s v="70447071"/>
    <s v="Insurance &amp; Financial Risk"/>
    <s v="70226817"/>
    <s v="Lead - Banking &amp; MIS"/>
    <s v="Corporate"/>
    <s v="0090000028"/>
    <s v="Corporate Steel - Wo"/>
    <s v="2000CS"/>
    <s v="20017504"/>
    <s v="Appi Reddy Guttikonda"/>
    <s v="No"/>
    <s v="pooja.sharma@amns.in"/>
    <s v="9819731599"/>
    <s v="24106"/>
    <s v="Dhruv Vyas"/>
    <s v="Anil Matoo"/>
    <s v="Praveen Kuruvalli"/>
    <s v="Dhruv Vyas"/>
    <n v="0"/>
  </r>
  <r>
    <n v="1110"/>
    <n v="20012680"/>
    <s v="Dhiraj Bachani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Ahmedabad"/>
    <d v="1985-08-26T00:00:00"/>
    <s v="38.00"/>
    <d v="2007-08-27T00:00:00"/>
    <d v="2043-08-31T00:00:00"/>
    <m/>
    <d v="2043-08-31T00:00:00"/>
    <n v="7285"/>
    <s v="B-"/>
    <s v="BTech-2007"/>
    <s v=""/>
    <s v="16.00"/>
    <s v="16.00"/>
    <s v="70394840"/>
    <s v="OEM Sales - Gujarat"/>
    <s v="70319504"/>
    <s v="Sales Manager - Hypermart"/>
    <s v="Hypermart"/>
    <s v="0060110200"/>
    <s v="HMART-Gujarat Div"/>
    <s v="2000SRET"/>
    <s v="20001736"/>
    <s v="Manoranjan Jagdhari"/>
    <s v="No"/>
    <s v="dhiraj.bachani@amns.in"/>
    <s v="9879597549"/>
    <s v="21122"/>
    <s v="Dhruv Vyas"/>
    <s v="Anil Matoo"/>
    <s v="Praveen Kuruvalli"/>
    <s v="Dhruv Vyas"/>
    <n v="0"/>
  </r>
  <r>
    <n v="1131"/>
    <n v="20013199"/>
    <s v="Vivek Vishwakarm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Automotive Sales"/>
    <m/>
    <s v="Other West"/>
    <s v="Auto"/>
    <s v=""/>
    <s v="Non Technical Support"/>
    <s v="Sales &amp; Marketing"/>
    <s v="Sales"/>
    <s v="73104004"/>
    <s v="OEM Sales"/>
    <s v="Indore"/>
    <d v="1978-03-12T00:00:00"/>
    <s v="45.06"/>
    <d v="2007-09-29T00:00:00"/>
    <d v="2036-03-31T00:00:00"/>
    <m/>
    <d v="2036-03-31T00:00:00"/>
    <n v="4576"/>
    <s v="A-"/>
    <s v="BE-2005 , MBA-2005"/>
    <s v="03.03"/>
    <s v="15.11"/>
    <s v="19.02"/>
    <s v="70495309"/>
    <s v="Sales West Zone"/>
    <s v="70398868"/>
    <s v="KAM - Automotive Sales"/>
    <s v="Hazira"/>
    <s v="0031950057"/>
    <s v="HZ-HRC - Marketing"/>
    <s v="2000HWO"/>
    <s v="20047683"/>
    <s v="Virat Vij"/>
    <s v="No"/>
    <s v="vivek.vishwakarma@amns.in"/>
    <s v="9819731565"/>
    <s v="24705"/>
    <s v="Dhruv Vyas"/>
    <s v="Anil Matoo"/>
    <s v="Praveen Kuruvalli"/>
    <s v="Dhruv Vyas"/>
    <n v="0"/>
  </r>
  <r>
    <n v="1149"/>
    <n v="20014487"/>
    <s v="Chandra Sekhar Senevada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Engineer  - Procurement"/>
    <m/>
    <s v="Procurement"/>
    <s v="Purchase"/>
    <s v="Purchase"/>
    <s v="Non Technical Support"/>
    <s v="Commercial"/>
    <s v="Purchase"/>
    <s v="73804001"/>
    <s v="Purchase"/>
    <s v="Vizag"/>
    <d v="1983-10-21T00:00:00"/>
    <s v="39.10"/>
    <d v="2007-12-20T00:00:00"/>
    <d v="2041-10-31T00:00:00"/>
    <m/>
    <d v="2041-10-31T00:00:00"/>
    <n v="6616"/>
    <s v="B-"/>
    <s v="BE-2005"/>
    <s v="00.10"/>
    <s v="15.09"/>
    <s v="16.07"/>
    <s v="70301353"/>
    <s v="Procurement - Vizag &amp; Chitrakonda"/>
    <s v="70259004"/>
    <s v="Engineer  - Procurement"/>
    <s v="Vizag"/>
    <s v="0028030019"/>
    <s v="VIZ-Personnel &amp; Admi"/>
    <s v="2000VIZOPS"/>
    <s v="20000200"/>
    <s v="A Venkateswara Rao"/>
    <s v="No"/>
    <s v="chandra.sekhar@amns.in"/>
    <s v="9581663366"/>
    <s v="21342"/>
    <s v="DS Varma"/>
    <s v="Anil Matoo"/>
    <s v="Praveen Kuruvalli"/>
    <s v="Dhruv Vyas"/>
    <n v="0"/>
  </r>
  <r>
    <n v="1151"/>
    <n v="20015183"/>
    <s v="Raggavendran Subbarathnam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fractory Plant-A"/>
    <m/>
    <s v="Stores &amp; Warehouse"/>
    <s v="Stores &amp; Warehouse"/>
    <s v="Refractory B, Receipt -Issue"/>
    <s v="Non Technical Support"/>
    <s v="Commercial"/>
    <s v="Stores &amp; Warehouse"/>
    <s v="73806001"/>
    <s v="Stores &amp; Warehouse"/>
    <s v="Hazira"/>
    <d v="1978-03-01T00:00:00"/>
    <s v="45.06"/>
    <d v="2007-11-12T00:00:00"/>
    <d v="2036-02-29T00:00:00"/>
    <m/>
    <d v="2036-02-29T00:00:00"/>
    <n v="4545"/>
    <s v="AB-"/>
    <s v="BCom-1998"/>
    <s v="05.05"/>
    <s v="15.10"/>
    <s v="21.03"/>
    <s v="00044539"/>
    <s v="Ferroalloy &amp; Refractory Stores"/>
    <s v="70319802"/>
    <s v="Section Officer - Refractory Plant-A"/>
    <s v="Hazira"/>
    <s v="0031950049"/>
    <s v="HZ-Central Stores"/>
    <s v="2000HWO"/>
    <s v="20010626"/>
    <s v="Barot Sachinkumar"/>
    <s v="No"/>
    <s v="raggavendran.subbarathnam@amns.in"/>
    <s v="9909901663"/>
    <s v="24363"/>
    <s v="Dhruv Vyas"/>
    <s v="Anil Matoo"/>
    <s v="Praveen Kuruvalli"/>
    <s v="Dhruv Vyas"/>
    <n v="0"/>
  </r>
  <r>
    <n v="1156"/>
    <n v="20015864"/>
    <s v="Mayank Desai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GST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74-07-13T00:00:00"/>
    <s v="49.02"/>
    <d v="2008-01-24T00:00:00"/>
    <d v="2032-07-31T00:00:00"/>
    <m/>
    <d v="2032-07-31T00:00:00"/>
    <n v="3237"/>
    <s v="O-"/>
    <s v="PG Diploma-2009 , MCom-2009 , Diploma-19"/>
    <s v="11.09"/>
    <s v="15.07"/>
    <s v="27.04"/>
    <s v="00044379"/>
    <s v="GST - Hazira Assets"/>
    <s v="70259113"/>
    <s v="Sr. lead - GST"/>
    <s v="Hazira"/>
    <s v="0031950044"/>
    <s v="HZ-Commercial Taxati"/>
    <s v="2000HWO"/>
    <s v="20055962"/>
    <s v="Navin Kewalramani"/>
    <s v="No"/>
    <s v="mayank.desai@amns.in"/>
    <s v="9909902062"/>
    <s v="21592"/>
    <s v="Dhruv Vyas"/>
    <s v="Anil Matoo"/>
    <s v="Praveen Kuruvalli"/>
    <s v="Dhruv Vyas"/>
    <n v="0"/>
  </r>
  <r>
    <n v="1158"/>
    <n v="20016058"/>
    <s v="Ambreen Qadir"/>
    <s v="AM/NS India"/>
    <s v="Onroll"/>
    <s v="M-5"/>
    <n v="5"/>
    <m/>
    <s v="M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"/>
    <m/>
    <s v="North"/>
    <s v="OEM"/>
    <s v=""/>
    <s v="Non Technical Support"/>
    <s v="Sales &amp; Marketing"/>
    <s v="Sales"/>
    <s v="73104004"/>
    <s v="OEM Sales"/>
    <s v="Noida"/>
    <d v="1978-06-09T00:00:00"/>
    <s v="45.03"/>
    <d v="2008-02-04T00:00:00"/>
    <d v="2036-06-30T00:00:00"/>
    <m/>
    <d v="2036-06-30T00:00:00"/>
    <n v="4667"/>
    <s v=""/>
    <s v="BE-2004 , MBA-2004"/>
    <s v="02.01"/>
    <s v="15.07"/>
    <s v="17.08"/>
    <s v="72150181"/>
    <s v="Sales North Zone"/>
    <s v="70334351"/>
    <s v="Sr. KAM - OEM Sales"/>
    <s v="Hazira"/>
    <s v="0031950057"/>
    <s v="HZ-HRC - Marketing"/>
    <s v="2000HWO"/>
    <s v="20002920"/>
    <s v="Sudhir Sharma"/>
    <s v="No"/>
    <s v="ambreen.qadir@amns.in"/>
    <s v="9703215456"/>
    <s v="23602"/>
    <s v="Dhruv Vyas"/>
    <s v="Anil Matoo"/>
    <s v="Praveen Kuruvalli"/>
    <s v="Dhruv Vyas"/>
    <n v="0"/>
  </r>
  <r>
    <n v="1159"/>
    <n v="20016107"/>
    <s v="Kalpesh Thathagar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Payable"/>
    <m/>
    <s v="Working Capital"/>
    <s v="Accounts Payable"/>
    <s v="Bills Payable"/>
    <s v="Non Technical Support"/>
    <s v="Finance &amp; Accounts"/>
    <s v="Finance &amp; Accounts"/>
    <s v="73901002"/>
    <s v="Corporate Accounts &amp; Audi"/>
    <s v="AM/NS Hazira"/>
    <d v="1977-10-05T00:00:00"/>
    <s v="45.11"/>
    <d v="2008-02-01T00:00:00"/>
    <d v="2035-10-31T00:00:00"/>
    <m/>
    <d v="2035-10-31T00:00:00"/>
    <n v="4424"/>
    <s v="A-"/>
    <s v="CA Inter-2003"/>
    <s v="04.06"/>
    <s v="15.07"/>
    <s v="20.01"/>
    <s v="00043794"/>
    <s v="Accounts Payable - 1"/>
    <s v="70258859"/>
    <s v="Sr. Lead - Accounts Payable"/>
    <s v="Hazira"/>
    <s v="0031950045"/>
    <s v="HZ-Works Accounts-Ha"/>
    <s v="2000HWO"/>
    <s v="20001076"/>
    <s v="Bhavesh Modi"/>
    <s v="No"/>
    <s v="kalpesh.thathagar@amns.in"/>
    <s v="9909902066"/>
    <s v="24514"/>
    <s v="Dhruv Vyas"/>
    <s v="Anil Matoo"/>
    <s v="Praveen Kuruvalli"/>
    <s v="Dhruv Vyas"/>
    <n v="0"/>
  </r>
  <r>
    <n v="1161"/>
    <n v="20016382"/>
    <s v="Kunal Bhardwaj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Value Recovery"/>
    <m/>
    <s v="Sales Steering &amp; BD"/>
    <s v="NCO"/>
    <s v=""/>
    <s v="Non Technical Support"/>
    <s v="Sales &amp; Marketing"/>
    <s v="Sales"/>
    <s v="73104003"/>
    <s v="Retail Sales"/>
    <s v="Ahmedabad"/>
    <d v="1973-05-12T00:00:00"/>
    <s v="50.04"/>
    <d v="2008-02-25T00:00:00"/>
    <d v="2031-05-31T00:00:00"/>
    <m/>
    <d v="2031-05-31T00:00:00"/>
    <n v="2810"/>
    <s v="O-"/>
    <s v="MBA-2005"/>
    <s v="10.07"/>
    <s v="15.06"/>
    <s v="26.02"/>
    <s v="70265035"/>
    <s v="Value Recovery"/>
    <s v="70258498"/>
    <s v="Head - Value Recovery"/>
    <s v="Hazira"/>
    <s v="0060110300"/>
    <s v="HMART-Guj-Ahemedabad"/>
    <s v="2000HWO"/>
    <s v="20010531"/>
    <s v="Saptarshi Saha"/>
    <s v="No"/>
    <s v="kunal.bhardwaj@amns.in"/>
    <s v="9874810107"/>
    <s v="21230"/>
    <s v="Dhruv Vyas"/>
    <s v="Anil Matoo"/>
    <s v="Praveen Kuruvalli"/>
    <s v="Dhruv Vyas"/>
    <n v="0"/>
  </r>
  <r>
    <n v="1162"/>
    <n v="20016406"/>
    <s v="Manjit Shah"/>
    <s v="AM/NS India"/>
    <s v="Onroll"/>
    <s v="M-6"/>
    <n v="6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Cluster Head – Human Resources"/>
    <m/>
    <s v="Human Resources"/>
    <s v="Human Resources"/>
    <s v="Human Resources"/>
    <s v="Non Technical Support"/>
    <s v="Human Resources Management"/>
    <s v="Compensation &amp; Benefits"/>
    <s v="73504001"/>
    <s v="Compensation &amp; Benefits"/>
    <s v="AM/NS Hazira"/>
    <d v="1985-05-15T00:00:00"/>
    <s v="38.04"/>
    <d v="2008-02-26T00:00:00"/>
    <d v="2043-05-31T00:00:00"/>
    <m/>
    <d v="2043-05-31T00:00:00"/>
    <n v="7193"/>
    <s v="B-"/>
    <s v="BCom-2010 , PG Diploma in Management-201"/>
    <s v="02.04"/>
    <s v="15.06"/>
    <s v="17.11"/>
    <s v="70376383"/>
    <s v="Hazira HR Operations - 3"/>
    <s v="70490221"/>
    <s v="Cluster Head – Human Resources"/>
    <s v="Hazira"/>
    <s v="0031950061"/>
    <s v="HZ-Human Resource"/>
    <s v="2000HWO"/>
    <s v="20000083"/>
    <s v="Anil Matoo"/>
    <s v="No"/>
    <s v="manjit.shah@amns.in"/>
    <s v="9930136990"/>
    <s v="24020"/>
    <s v="Dhruv Vyas"/>
    <s v="Anil Matoo"/>
    <s v="Praveen Kuruvalli"/>
    <s v="Dhruv Vyas"/>
    <n v="0"/>
  </r>
  <r>
    <n v="1163"/>
    <n v="20016604"/>
    <s v="Punit Verm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Plate Mill issue Elec-Mech, Paints-Yard development &amp; Mgt"/>
    <s v="Non Technical Support"/>
    <s v="Commercial"/>
    <s v="Stores &amp; Warehouse"/>
    <s v="73806001"/>
    <s v="Stores &amp; Warehouse"/>
    <s v="Hazira"/>
    <d v="1968-10-05T00:00:00"/>
    <s v="54.11"/>
    <d v="2008-03-17T00:00:00"/>
    <d v="2026-10-31T00:00:00"/>
    <m/>
    <d v="2026-10-31T00:00:00"/>
    <n v="1137"/>
    <s v="AB-"/>
    <s v="Diploma-2009 , MBA-2009 , BA-2000"/>
    <s v="10.11"/>
    <s v="15.06"/>
    <s v="26.05"/>
    <s v="00053276"/>
    <s v="Issue/Shifting - Plant B"/>
    <s v="72152898"/>
    <s v="Section Officer - Issue/Shifting"/>
    <s v="Hazira"/>
    <s v="0031950049"/>
    <s v="HZ-Central Stores"/>
    <s v="2000HWO"/>
    <s v="20000948"/>
    <s v="Hitesh Raval"/>
    <s v="No"/>
    <s v="punit.verma@amns.in"/>
    <s v="9909902191"/>
    <s v="24682"/>
    <s v="Dhruv Vyas"/>
    <s v="Anil Matoo"/>
    <s v="Praveen Kuruvalli"/>
    <s v="Dhruv Vyas"/>
    <n v="0"/>
  </r>
  <r>
    <n v="1165"/>
    <n v="20016749"/>
    <s v="Heena Patel"/>
    <s v="AM/NS India"/>
    <s v="Onroll"/>
    <s v="M-9"/>
    <n v="9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Officer - Proc Electrical"/>
    <m/>
    <s v="Procurement MRO Hazira"/>
    <s v="Procurement"/>
    <s v="Electrical Switch Gears and power systems - Hazira Complex"/>
    <s v="Non Technical Support"/>
    <s v="Sales &amp; Marketing"/>
    <s v="CRM"/>
    <s v="73105003"/>
    <s v="Customer Service"/>
    <s v="AM/NS Hazira"/>
    <d v="1985-09-10T00:00:00"/>
    <s v="38.00"/>
    <d v="2008-03-07T00:00:00"/>
    <d v="2043-09-30T00:00:00"/>
    <m/>
    <d v="2043-09-30T00:00:00"/>
    <n v="7315"/>
    <s v="A-"/>
    <s v="Diploma-2006"/>
    <s v=""/>
    <s v="15.06"/>
    <s v="15.06"/>
    <s v="00044546"/>
    <s v="Procurement Electrical"/>
    <s v="70339996"/>
    <s v="Officer - Proc Electrical"/>
    <s v="Hazira"/>
    <s v="0031950048"/>
    <s v="HZ-Procurment Depart"/>
    <s v="2000HWO"/>
    <s v="20000637"/>
    <s v="Kedar Rajwade"/>
    <s v="No"/>
    <s v="heena.patel@amns.in"/>
    <s v="9879102361"/>
    <s v="23168"/>
    <s v="Dhruv Vyas"/>
    <s v="Anil Matoo"/>
    <s v="Praveen Kuruvalli"/>
    <s v="Dhruv Vyas"/>
    <n v="0"/>
  </r>
  <r>
    <n v="1168"/>
    <n v="20016767"/>
    <s v="Raghavan Venkatachalam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- Automotive Sales &amp; Service Centes"/>
    <m/>
    <s v="Auto"/>
    <s v="Auto"/>
    <s v=""/>
    <s v="Non Technical Support"/>
    <s v="Sales &amp; Marketing"/>
    <s v="Sales"/>
    <s v="73104004"/>
    <s v="OEM Sales"/>
    <s v="Mumbai"/>
    <d v="1971-12-01T00:00:00"/>
    <s v="51.09"/>
    <d v="2008-03-27T00:00:00"/>
    <d v="2029-11-30T00:00:00"/>
    <m/>
    <d v="2029-11-30T00:00:00"/>
    <n v="2263"/>
    <s v="A+"/>
    <s v="BE-1997 , MBA-1997"/>
    <s v="10.01"/>
    <s v="15.05"/>
    <s v="25.06"/>
    <s v="70343195"/>
    <s v="Automotive Sales &amp; Service Centers"/>
    <s v="70336269"/>
    <s v="Head- Automotive Sales &amp; Service Centes"/>
    <s v="Hazira"/>
    <s v="0031950057"/>
    <s v="HZ-HRC - Marketing"/>
    <s v="2000HWO"/>
    <s v="20007104"/>
    <s v="Ranjan Dhar"/>
    <s v="No"/>
    <s v="raghavan.venkat@amns.in"/>
    <s v="9819730760"/>
    <s v="24601"/>
    <s v="Dhruv Vyas"/>
    <s v="Anil Matoo"/>
    <s v="Praveen Kuruvalli"/>
    <s v="Dhruv Vyas"/>
    <n v="0"/>
  </r>
  <r>
    <n v="1183"/>
    <n v="20017504"/>
    <s v="Appi Reddy Guttikonda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Chief Risk Officer"/>
    <m/>
    <s v="Risk &amp; Insurance"/>
    <s v="Risk &amp; Insurance"/>
    <s v="Corporate Finance &amp; Risk &amp; Insurance"/>
    <s v="Non Technical Support"/>
    <s v="Finance &amp; Accounts"/>
    <s v="Finance &amp; Accounts"/>
    <s v="73901001"/>
    <s v="Finance &amp; Accounts"/>
    <s v="Mumbai"/>
    <d v="1966-04-24T00:00:00"/>
    <s v="57.04"/>
    <d v="2008-04-02T00:00:00"/>
    <d v="2024-04-30T00:00:00"/>
    <m/>
    <d v="2024-04-30T00:00:00"/>
    <n v="223"/>
    <s v="B-"/>
    <s v="Certificate-2000 , MBA-2000 , PG Diploma"/>
    <s v="17.06"/>
    <s v="15.05"/>
    <s v="32.11"/>
    <s v="70447071"/>
    <s v="Insurance &amp; Financial Risk"/>
    <s v="70375801"/>
    <s v="Chief Risk Officer"/>
    <s v="Corporate"/>
    <s v="0090000028"/>
    <s v="Corporate Steel - Wo"/>
    <s v="2000CS"/>
    <s v="20057933"/>
    <s v="Akiyo Omori"/>
    <s v="No"/>
    <s v="appireddy.guttikonda@amns.in"/>
    <s v="9833946401"/>
    <s v="21886"/>
    <s v="Dhruv Vyas"/>
    <s v="Anil Matoo"/>
    <s v="Praveen Kuruvalli"/>
    <s v="Dhruv Vyas"/>
    <n v="0"/>
  </r>
  <r>
    <n v="1184"/>
    <n v="20017569"/>
    <s v="Girija Das"/>
    <s v="AM/NS India"/>
    <s v="Onroll"/>
    <s v="M-6"/>
    <n v="6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Buyer - Dabuna"/>
    <m/>
    <s v="Procurement"/>
    <s v="Procurement"/>
    <s v="Procurement"/>
    <s v="Non Technical Support"/>
    <s v="Operations"/>
    <s v="Plant Operations"/>
    <s v="72103005"/>
    <s v="Shift Operations"/>
    <s v="Dabuna"/>
    <d v="1980-05-17T00:00:00"/>
    <s v="43.04"/>
    <d v="2008-04-11T00:00:00"/>
    <d v="2038-05-31T00:00:00"/>
    <m/>
    <d v="2038-05-31T00:00:00"/>
    <n v="5367"/>
    <s v=""/>
    <s v="BTech-2008 , BTech-2008"/>
    <s v="09.03"/>
    <s v="15.05"/>
    <s v="24.08"/>
    <s v="70494404"/>
    <s v="Procurement - Dabuna"/>
    <s v="70326782"/>
    <s v="Buyer - Dabuna"/>
    <s v="Odisha"/>
    <s v="0022010019"/>
    <s v="DBN-Benf-HR/Admin"/>
    <s v="2000STORIS"/>
    <s v="20055692"/>
    <s v="Rajiv Ranjan"/>
    <s v="No"/>
    <s v="girija.das@amns.in"/>
    <s v="9437058486"/>
    <s v="21518"/>
    <s v="Sunila Das"/>
    <s v="Anil Matoo"/>
    <s v="Praveen Kuruvalli"/>
    <s v="Sunila Das"/>
    <n v="0"/>
  </r>
  <r>
    <n v="1188"/>
    <n v="20018249"/>
    <s v="Mahendra Naxan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Other West"/>
    <s v="OEM"/>
    <s v=""/>
    <s v="Non Technical Support"/>
    <s v="Sales &amp; Marketing"/>
    <s v="Sales"/>
    <s v="73104004"/>
    <s v="OEM Sales"/>
    <s v="Pune"/>
    <d v="1970-04-29T00:00:00"/>
    <s v="53.04"/>
    <d v="2008-05-06T00:00:00"/>
    <d v="2028-04-30T00:00:00"/>
    <m/>
    <d v="2028-04-30T00:00:00"/>
    <n v="1684"/>
    <s v="A-"/>
    <s v="BE-2008 , MBA-2008"/>
    <s v="16.08"/>
    <s v="15.04"/>
    <s v="32.00"/>
    <s v="70495309"/>
    <s v="Sales West Zone"/>
    <s v="70334290"/>
    <s v="KAM - OEM Sales"/>
    <s v="Hazira"/>
    <s v="0031581982"/>
    <s v="PLM-Marketing"/>
    <s v="2000HWO"/>
    <s v="20047683"/>
    <s v="Virat Vij"/>
    <s v="No"/>
    <s v="mahendra.naxane@amns.in"/>
    <s v="9923200850"/>
    <s v="22818"/>
    <s v="Dhruv Vyas"/>
    <s v="Anil Matoo"/>
    <s v="Praveen Kuruvalli"/>
    <s v="Dhruv Vyas"/>
    <n v="0"/>
  </r>
  <r>
    <n v="1193"/>
    <n v="20018700"/>
    <s v="Srinivasan Kamalakannan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Compliance S&amp;M"/>
    <m/>
    <s v="South"/>
    <s v="Auto"/>
    <s v="South Zone"/>
    <s v="Non Technical Support"/>
    <s v="Sales &amp; Marketing"/>
    <s v="Sales"/>
    <s v="73104003"/>
    <s v="Retail Sales"/>
    <s v="Chennai"/>
    <d v="1980-02-22T00:00:00"/>
    <s v="43.06"/>
    <d v="2008-06-06T00:00:00"/>
    <d v="2038-02-28T00:00:00"/>
    <m/>
    <d v="2038-02-28T00:00:00"/>
    <n v="5275"/>
    <s v="O-"/>
    <s v="BE-2006 , MBA-2006"/>
    <s v="04.02"/>
    <s v="15.03"/>
    <s v="19.05"/>
    <s v="00052474"/>
    <s v="KAM Automotive Sales - South"/>
    <s v="70320470"/>
    <s v="Sr. KAM – Automotive Sales"/>
    <s v="Hypermart"/>
    <s v="0060140300"/>
    <s v="HMART-Kar-Bangolre"/>
    <s v="2000SRET"/>
    <s v="20000909"/>
    <s v="Murali Krishna Chunduru"/>
    <s v="No"/>
    <s v="kamal.kannan@amns.in"/>
    <s v="9884069563"/>
    <s v="22117"/>
    <s v="Dhruv Vyas"/>
    <s v="Anil Matoo"/>
    <s v="Praveen Kuruvalli"/>
    <s v="Dhruv Vyas"/>
    <n v="0"/>
  </r>
  <r>
    <n v="1194"/>
    <n v="20018855"/>
    <s v="Ravikanth Reddy Yarkareddy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Section Engineer - Procurement"/>
    <m/>
    <s v="Procurement"/>
    <s v="Procurement"/>
    <s v="Procurement"/>
    <s v="Non Technical Support"/>
    <s v="Operations"/>
    <s v="Plant Operations"/>
    <s v="72103005"/>
    <s v="Shift Operations"/>
    <s v="Vizag"/>
    <d v="1985-09-03T00:00:00"/>
    <s v="38.00"/>
    <d v="2008-06-02T00:00:00"/>
    <d v="2043-09-30T00:00:00"/>
    <m/>
    <d v="2043-09-30T00:00:00"/>
    <n v="7315"/>
    <s v="AB-"/>
    <s v="BE-2014 , Diploma-2014 , BSc-2006"/>
    <s v="01.09"/>
    <s v="15.03"/>
    <s v="17.00"/>
    <s v="00046540"/>
    <s v="Contracts &amp; Production consumables"/>
    <s v="70487841"/>
    <s v="Section Engineer - Procurement"/>
    <s v="Vizag"/>
    <s v="0028030019"/>
    <s v="VIZ-Personnel &amp; Admi"/>
    <s v="2000VIZOPS"/>
    <s v="20010998"/>
    <s v="Venkata Raman  Lagadapati"/>
    <s v="No"/>
    <s v="ravikanth.reddy@amns.in"/>
    <s v="9885017475"/>
    <s v="23766"/>
    <s v="DS Varma"/>
    <s v="Anil Matoo"/>
    <s v="Praveen Kuruvalli"/>
    <s v="Dhruv Vyas"/>
    <n v="0"/>
  </r>
  <r>
    <n v="1197"/>
    <n v="20019125"/>
    <s v="Robinkumar Patel"/>
    <s v="AM/NS India"/>
    <s v="Onroll"/>
    <s v="M-7"/>
    <n v="7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Lead  Human Resources"/>
    <m/>
    <s v="Human Resources"/>
    <s v=""/>
    <s v=""/>
    <s v="Non Technical Support"/>
    <s v="Human Resources Management"/>
    <s v="Essar Learning- Academy"/>
    <s v="73503001"/>
    <s v="Faculty"/>
    <s v="Hazira"/>
    <d v="1986-02-11T00:00:00"/>
    <s v="37.07"/>
    <d v="2008-03-07T00:00:00"/>
    <d v="2044-02-29T00:00:00"/>
    <m/>
    <d v="2044-02-29T00:00:00"/>
    <n v="7467"/>
    <s v="B-"/>
    <s v="BE-2013 , PG Diploma in Management-2013"/>
    <s v=""/>
    <s v="15.06"/>
    <s v="15.06"/>
    <s v="70472771"/>
    <s v="Hazira HR Operations - 2"/>
    <s v="70257420"/>
    <s v="Lead  Human Resources"/>
    <s v="Hazira"/>
    <s v="0031950061"/>
    <s v="HZ-Human Resource"/>
    <s v="2000HWO"/>
    <s v="20054512"/>
    <s v="Surinder Kumar Choudhary"/>
    <s v="No"/>
    <s v="robinkumar.patel@amns.in"/>
    <s v="9925241199"/>
    <s v="23348"/>
    <s v="Dhruv Vyas"/>
    <s v="Anil Matoo"/>
    <s v="Praveen Kuruvalli"/>
    <s v="Dhruv Vyas"/>
    <n v="0"/>
  </r>
  <r>
    <n v="1198"/>
    <n v="20019430"/>
    <s v="Goundla Prasad Goud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Plate"/>
    <s v=""/>
    <s v="Non Technical Support"/>
    <s v="Sales &amp; Marketing"/>
    <s v="Sales"/>
    <s v="73104004"/>
    <s v="OEM Sales"/>
    <s v="Hyderabad"/>
    <d v="1986-10-13T00:00:00"/>
    <s v="36.11"/>
    <d v="2008-06-10T00:00:00"/>
    <d v="2044-10-31T00:00:00"/>
    <m/>
    <d v="2044-10-31T00:00:00"/>
    <n v="7712"/>
    <s v=""/>
    <s v="BE-2008"/>
    <s v=""/>
    <s v="15.03"/>
    <s v="15.03"/>
    <s v="00052472"/>
    <s v="KAM - Plate Sales"/>
    <s v="70334286"/>
    <s v="KAM - Plate Sales"/>
    <s v="Hazira"/>
    <s v="0031581982"/>
    <s v="PLM-Marketing"/>
    <s v="2000HWO"/>
    <s v="20000909"/>
    <s v="Murali Krishna Chunduru"/>
    <s v="No"/>
    <s v="prasad.goundla@amns.in"/>
    <s v="8886445567"/>
    <s v="21842"/>
    <s v="Dhruv Vyas"/>
    <s v="Anil Matoo"/>
    <s v="Praveen Kuruvalli"/>
    <s v="Dhruv Vyas"/>
    <n v="0"/>
  </r>
  <r>
    <n v="1200"/>
    <n v="20019604"/>
    <s v="Rajan Shah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/Issue"/>
    <m/>
    <s v="Stores &amp; Warehouse"/>
    <s v="Stores &amp; Warehouse"/>
    <s v="Receipt-Issue - Pipemill"/>
    <s v="Non Technical Support"/>
    <s v="Commercial"/>
    <s v="Stores &amp; Warehouse"/>
    <s v="73806001"/>
    <s v="Stores &amp; Warehouse"/>
    <s v="Hazira"/>
    <d v="1977-01-15T00:00:00"/>
    <s v="46.08"/>
    <d v="2008-06-27T00:00:00"/>
    <d v="2035-01-31T00:00:00"/>
    <m/>
    <d v="2035-01-31T00:00:00"/>
    <n v="4151"/>
    <s v="O-"/>
    <s v="BCom-1999 , LLB-1999"/>
    <s v="03.02"/>
    <s v="15.02"/>
    <s v="18.04"/>
    <s v="70495598"/>
    <s v="Pipe Mill Store"/>
    <s v="70319646"/>
    <s v="Section Officer - Receipt/Issue"/>
    <s v="Hazira"/>
    <s v="0031950049"/>
    <s v="HZ-Central Stores"/>
    <s v="2000HWO"/>
    <s v="20019745"/>
    <s v="Devendra Kaushik"/>
    <s v="No"/>
    <s v="rajan.shah@amns.in"/>
    <s v="9925241493"/>
    <s v="24032"/>
    <s v="Dhruv Vyas"/>
    <s v="Anil Matoo"/>
    <s v="Praveen Kuruvalli"/>
    <s v="Dhruv Vyas"/>
    <n v="0"/>
  </r>
  <r>
    <n v="1205"/>
    <n v="20019682"/>
    <s v="Manish Patel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Domestic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9-05-05T00:00:00"/>
    <s v="44.04"/>
    <d v="2008-04-01T00:00:00"/>
    <d v="2037-05-31T00:00:00"/>
    <m/>
    <d v="2037-05-31T00:00:00"/>
    <n v="5002"/>
    <s v="O-"/>
    <s v="BCom-2000"/>
    <s v="07.09"/>
    <s v="15.05"/>
    <s v="23.02"/>
    <s v="70495314"/>
    <s v="Export, Domestic &amp; Banking"/>
    <s v="70237694"/>
    <s v="Officer - Domestic Banking"/>
    <s v="Hazira"/>
    <s v="0031950045"/>
    <s v="HZ-Works Accounts-Ha"/>
    <s v="2000HWO"/>
    <s v="20001077"/>
    <s v="Pradeep Parte"/>
    <s v="No"/>
    <s v="manish.patel5@amns.in"/>
    <s v="9925246222"/>
    <s v="23249"/>
    <s v="Dhruv Vyas"/>
    <s v="Anil Matoo"/>
    <s v="Praveen Kuruvalli"/>
    <s v="Dhruv Vyas"/>
    <n v="0"/>
  </r>
  <r>
    <n v="1206"/>
    <n v="20019686"/>
    <s v="Pareshkumar Ramanlal Parekh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Domestic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9-04-11T00:00:00"/>
    <s v="44.05"/>
    <d v="2008-04-01T00:00:00"/>
    <d v="2037-04-30T00:00:00"/>
    <m/>
    <d v="2037-04-30T00:00:00"/>
    <n v="4971"/>
    <s v="B-"/>
    <s v="PG Diploma in Management-1998 , MCom-199"/>
    <s v="16.00"/>
    <s v="15.05"/>
    <s v="31.05"/>
    <s v="70495314"/>
    <s v="Export, Domestic &amp; Banking"/>
    <s v="70446069"/>
    <s v="Officer - Domestic Banking"/>
    <s v="Hazira"/>
    <s v="0031950045"/>
    <s v="HZ-Works Accounts-Ha"/>
    <s v="2000HWO"/>
    <s v="20001077"/>
    <s v="Pradeep Parte"/>
    <s v="No"/>
    <s v="paresh.parekh@amns.in"/>
    <s v="9879203058"/>
    <s v="22992"/>
    <s v="Dhruv Vyas"/>
    <s v="Anil Matoo"/>
    <s v="Praveen Kuruvalli"/>
    <s v="Dhruv Vyas"/>
    <n v="0"/>
  </r>
  <r>
    <n v="1213"/>
    <n v="20019745"/>
    <s v="Devendra Kaushik"/>
    <s v="AM/NS India"/>
    <s v="Onroll"/>
    <s v="M-6"/>
    <n v="6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 Charge - Pipe Mill Store"/>
    <m/>
    <s v="Stores &amp; Warehouse"/>
    <s v="Stores &amp; Warehouse"/>
    <s v="Pipe Mill Store"/>
    <s v="Non Technical Support"/>
    <s v="Commercial"/>
    <s v="Stores &amp; Warehouse"/>
    <s v="73806001"/>
    <s v="Stores &amp; Warehouse"/>
    <s v="Hazira"/>
    <d v="1970-08-19T00:00:00"/>
    <s v="53.01"/>
    <d v="2008-07-01T00:00:00"/>
    <d v="2028-08-31T00:00:00"/>
    <m/>
    <d v="2028-08-31T00:00:00"/>
    <n v="1807"/>
    <s v="O-"/>
    <s v="Diploma-2012 , MBA-2012 , Diploma-2005 ,"/>
    <s v="16.03"/>
    <s v="15.02"/>
    <s v="31.05"/>
    <s v="70495598"/>
    <s v="Pipe Mill Store"/>
    <s v="70320354"/>
    <s v="&quot; Section In Charge - Pipe Mill Store"/>
    <s v="Hazira"/>
    <s v="0031950049"/>
    <s v="HZ-Central Stores"/>
    <s v="2000HWO"/>
    <s v="20001240"/>
    <s v="Ambrish Chaturvedi"/>
    <s v="No"/>
    <s v="devendra.kaushik@amns.in"/>
    <s v="9879100555"/>
    <s v="22181"/>
    <s v="Dhruv Vyas"/>
    <s v="Anil Matoo"/>
    <s v="Praveen Kuruvalli"/>
    <s v="Dhruv Vyas"/>
    <n v="0"/>
  </r>
  <r>
    <n v="1217"/>
    <n v="20021039"/>
    <s v="Rajesh Patel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– Export Documentation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81-12-22T00:00:00"/>
    <s v="41.08"/>
    <d v="2008-07-18T00:00:00"/>
    <d v="2039-12-31T00:00:00"/>
    <m/>
    <d v="2039-12-31T00:00:00"/>
    <n v="5946"/>
    <s v="O-"/>
    <s v="MBA-2008 , MCom-2008 , Diploma-2004"/>
    <s v="06.03"/>
    <s v="15.02"/>
    <s v="21.04"/>
    <s v="00044362"/>
    <s v="Export Documentation"/>
    <s v="70259114"/>
    <s v="Sr. Lead – Export Documentation"/>
    <s v="Hazira"/>
    <s v="0031950045"/>
    <s v="HZ-Works Accounts-Ha"/>
    <s v="2000HWO"/>
    <s v="20007731"/>
    <s v="Ashish Mehta"/>
    <s v="No"/>
    <s v="rajesh.patel@amns.in"/>
    <s v="9925241112"/>
    <s v="23336"/>
    <s v="Dhruv Vyas"/>
    <s v="Anil Matoo"/>
    <s v="Praveen Kuruvalli"/>
    <s v="Dhruv Vyas"/>
    <n v="0"/>
  </r>
  <r>
    <n v="1218"/>
    <n v="20021191"/>
    <s v="Priya Kalantri"/>
    <s v="AM/NS India"/>
    <s v="Onroll"/>
    <s v="M-6"/>
    <n v="6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EA to Deputy CFO"/>
    <m/>
    <s v="CFO Office"/>
    <s v="CFO Office"/>
    <s v="CFO Office"/>
    <s v="Non Technical Support"/>
    <s v="Finance &amp; Accounts"/>
    <s v="Treasury"/>
    <s v="73903001"/>
    <s v="Treasury"/>
    <s v="Mumbai"/>
    <d v="1984-01-10T00:00:00"/>
    <s v="39.08"/>
    <d v="2008-07-19T00:00:00"/>
    <d v="2042-01-31T00:00:00"/>
    <m/>
    <d v="2042-01-31T00:00:00"/>
    <n v="6708"/>
    <s v="B-"/>
    <s v="MBA-2008 , BCom-2008"/>
    <s v="01.01"/>
    <s v="15.02"/>
    <s v="16.03"/>
    <s v="70494654"/>
    <s v="Finance"/>
    <s v="70258416"/>
    <s v="EA to Deputy CFO"/>
    <s v="Corporate"/>
    <s v="0090000028"/>
    <s v="Corporate Steel - Wo"/>
    <s v="2000CS"/>
    <s v="20057933"/>
    <s v="Akiyo Omori"/>
    <s v="No"/>
    <s v="priya.kalantri@amns.in"/>
    <s v="9930135381"/>
    <s v="22102"/>
    <s v="Dhruv Vyas"/>
    <s v="Anil Matoo"/>
    <s v="Praveen Kuruvalli"/>
    <s v="Dhruv Vyas"/>
    <n v="0"/>
  </r>
  <r>
    <n v="1219"/>
    <n v="20021262"/>
    <s v="Abhishek Srivastav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– Automotive Sales"/>
    <m/>
    <s v="Auto"/>
    <s v="Auto"/>
    <s v=""/>
    <s v="Non Technical Support"/>
    <s v="Sales &amp; Marketing"/>
    <s v="Sales"/>
    <s v="73104004"/>
    <s v="OEM Sales"/>
    <s v="Mumbai"/>
    <d v="1983-08-05T00:00:00"/>
    <s v="40.01"/>
    <d v="2008-06-23T00:00:00"/>
    <d v="2041-08-31T00:00:00"/>
    <m/>
    <d v="2041-08-31T00:00:00"/>
    <n v="6555"/>
    <s v="B-"/>
    <s v="MBA-2008 , BTech-2008"/>
    <s v=""/>
    <s v="15.02"/>
    <s v="15.02"/>
    <s v="70343195"/>
    <s v="Automotive Sales &amp; Service Centers"/>
    <s v="70385921"/>
    <s v="Sr. KAM – Automotive Sales"/>
    <s v="Hazira"/>
    <s v="0031950057"/>
    <s v="HZ-HRC - Marketing"/>
    <s v="2000HWO"/>
    <s v="20016767"/>
    <s v="Raghavan Venkatachalam"/>
    <s v="No"/>
    <s v="abhishek.srivastava@amns.in"/>
    <s v="9930135163"/>
    <s v="24358"/>
    <s v="Dhruv Vyas"/>
    <s v="Anil Matoo"/>
    <s v="Praveen Kuruvalli"/>
    <s v="Dhruv Vyas"/>
    <n v="0"/>
  </r>
  <r>
    <n v="1246"/>
    <n v="20022866"/>
    <s v="Surya Avinash Akondi"/>
    <s v="AM/NS India"/>
    <s v="Onroll"/>
    <s v="M-7"/>
    <n v="7"/>
    <m/>
    <s v="MM"/>
    <s v="M"/>
    <s v="Vizag"/>
    <n v="3"/>
    <s v="2012"/>
    <x v="7"/>
    <s v="34.01"/>
    <s v="Ambrish Chaturvedi"/>
    <s v="Hrishikesh Kamat"/>
    <n v="7"/>
    <s v="Procurement"/>
    <s v="Stores &amp; Warehouse"/>
    <s v="34"/>
    <s v="Engineer - Procurement"/>
    <m/>
    <s v="Procurement"/>
    <s v="Mechanical"/>
    <s v="Mechanical"/>
    <s v="Non Technical Support"/>
    <s v="Operations"/>
    <s v="Plant Operations"/>
    <s v="72103005"/>
    <s v="Shift Operations"/>
    <s v="Vizag"/>
    <d v="1989-11-26T00:00:00"/>
    <s v="33.09"/>
    <d v="2008-09-05T00:00:00"/>
    <d v="2047-11-30T00:00:00"/>
    <m/>
    <d v="2047-11-30T00:00:00"/>
    <n v="8837"/>
    <s v=""/>
    <s v="Diploma-2008"/>
    <s v=""/>
    <s v="15.00"/>
    <s v="15.00"/>
    <s v="70301353"/>
    <s v="Procurement - Vizag &amp; Chitrakonda"/>
    <s v="70372812"/>
    <s v="Engineer - Procurement"/>
    <s v="Vizag"/>
    <s v="0028030019"/>
    <s v="VIZ-Personnel &amp; Admi"/>
    <s v="2000VIZOPS"/>
    <s v="20000200"/>
    <s v="A Venkateswara Rao"/>
    <s v="No"/>
    <s v="akondi.surya@amns.in"/>
    <s v="8886385679"/>
    <s v="24398"/>
    <s v="DS Varma"/>
    <s v="Anil Matoo"/>
    <s v="Praveen Kuruvalli"/>
    <s v="Dhruv Vyas"/>
    <n v="0"/>
  </r>
  <r>
    <n v="1274"/>
    <n v="20023325"/>
    <s v="Prashant Gadhethri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s Unloading"/>
    <m/>
    <s v="Stores &amp; Warehouse"/>
    <s v="Stores &amp; Warehouse"/>
    <s v="Receipt, Unloading &amp; Insurance"/>
    <s v="Non Technical Support"/>
    <s v="Commercial"/>
    <s v="Stores &amp; Warehouse"/>
    <s v="73806001"/>
    <s v="Stores &amp; Warehouse"/>
    <s v="Hazira"/>
    <d v="1989-01-26T00:00:00"/>
    <s v="34.07"/>
    <d v="2008-09-09T00:00:00"/>
    <d v="2047-01-31T00:00:00"/>
    <m/>
    <d v="2047-01-31T00:00:00"/>
    <n v="8534"/>
    <s v=""/>
    <s v="Diploma-2008 , Diploma-2008"/>
    <s v=""/>
    <s v="15.00"/>
    <s v="15.00"/>
    <s v="00053276"/>
    <s v="Issue/Shifting - Plant B"/>
    <s v="70259397"/>
    <s v="Section Officer - Receipts Unloading"/>
    <s v="Hazira"/>
    <s v="0031950049"/>
    <s v="HZ-Central Stores"/>
    <s v="2000HWO"/>
    <s v="20016604"/>
    <s v="Punit Verma"/>
    <s v="No"/>
    <s v="prashant.gadhetharia@amns.in"/>
    <s v="9909901893"/>
    <s v="21724"/>
    <s v="Dhruv Vyas"/>
    <s v="Anil Matoo"/>
    <s v="Praveen Kuruvalli"/>
    <s v="Dhruv Vyas"/>
    <n v="0"/>
  </r>
  <r>
    <n v="1304"/>
    <n v="20023490"/>
    <s v="Pankaj Suklech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"/>
    <m/>
    <s v="North"/>
    <s v="Hypermart"/>
    <s v=""/>
    <s v="Non Technical Support"/>
    <s v="Finance &amp; Accounts"/>
    <s v="Insurance &amp; Risk Management"/>
    <s v="73905001"/>
    <s v="Insurance &amp; Risk Managmen"/>
    <s v="Jaipur"/>
    <d v="1984-02-18T00:00:00"/>
    <s v="39.07"/>
    <d v="2008-09-24T00:00:00"/>
    <d v="2042-02-28T00:00:00"/>
    <m/>
    <d v="2042-02-28T00:00:00"/>
    <n v="6736"/>
    <s v="O+"/>
    <s v="MBA-2005 , BCom-2005"/>
    <s v="01.01"/>
    <s v="14.11"/>
    <s v="16.00"/>
    <s v="00052526"/>
    <s v="Sales - North"/>
    <s v="70324106"/>
    <s v="Sales Manager - Hypermart"/>
    <s v="Hazira"/>
    <s v="0060120300"/>
    <s v="HMART-Raj-Jaipur"/>
    <s v="2000HWO"/>
    <s v="20007322"/>
    <s v="Sanjay Bohra"/>
    <s v="No"/>
    <s v="pankaj.suklecha@amns.in"/>
    <s v="9879103251"/>
    <s v="24382"/>
    <s v="Dhruv Vyas"/>
    <s v="Anil Matoo"/>
    <s v="Praveen Kuruvalli"/>
    <s v="Dhruv Vyas"/>
    <n v="0"/>
  </r>
  <r>
    <n v="1310"/>
    <n v="20024714"/>
    <s v="Alok Mittal"/>
    <s v="AM/NS India"/>
    <s v="Onroll"/>
    <s v="M-5"/>
    <n v="5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Senior Lead - Contracts"/>
    <m/>
    <s v="Contracts"/>
    <s v="Contracts"/>
    <s v="CRM, Admin, Oxy,Plant, Documentation"/>
    <s v="Non Technical Support"/>
    <s v="Commercial"/>
    <s v="Contracts &amp; Tenders and E-bid"/>
    <s v="73805001"/>
    <s v="Contracts &amp; Tenders and E"/>
    <s v="AM/NS Hazira"/>
    <d v="1981-05-15T00:00:00"/>
    <s v="42.04"/>
    <d v="2008-12-15T00:00:00"/>
    <d v="2039-05-31T00:00:00"/>
    <m/>
    <d v="2039-05-31T00:00:00"/>
    <n v="5732"/>
    <s v="B+"/>
    <s v="MBA-2008 , BE-2008"/>
    <s v="02.05"/>
    <s v="14.09"/>
    <s v="17.02"/>
    <s v="70495670"/>
    <s v="Contracts"/>
    <s v="70320439"/>
    <s v="Senior Lead - Contracts"/>
    <s v="Hazira"/>
    <s v="0031950047"/>
    <s v="HZ-Contracts"/>
    <s v="2000HWO"/>
    <s v="20000795"/>
    <s v="Pankaj Chaturvedi"/>
    <s v="No"/>
    <s v="alok.mittal@amns.in"/>
    <s v="9879100726"/>
    <s v="22651"/>
    <s v="Dhruv Vyas"/>
    <s v="Anil Matoo"/>
    <s v="Praveen Kuruvalli"/>
    <s v="Dhruv Vyas"/>
    <n v="0"/>
  </r>
  <r>
    <n v="1334"/>
    <n v="20026469"/>
    <s v="Soumya Ranjan Rout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Engineers - Procurement (PP SP &amp; CPP)"/>
    <m/>
    <s v="Procurement"/>
    <s v="Procurement"/>
    <s v="Purchase"/>
    <s v="Non Technical Support"/>
    <s v="Commercial"/>
    <s v="Purchase"/>
    <s v="73804001"/>
    <s v="Purchase"/>
    <s v="Vizag"/>
    <d v="1986-07-06T00:00:00"/>
    <s v="37.02"/>
    <d v="2009-07-23T00:00:00"/>
    <d v="2044-07-31T00:00:00"/>
    <m/>
    <d v="2044-07-31T00:00:00"/>
    <n v="7620"/>
    <s v="A-"/>
    <s v="Intermediate-2015 , PG Diploma in Manage"/>
    <s v=""/>
    <s v="14.01"/>
    <s v="14.01"/>
    <s v="70301353"/>
    <s v="Procurement - Vizag &amp; Chitrakonda"/>
    <s v="70369061"/>
    <s v="Engineers - Procurement (PP SP &amp; CPP)"/>
    <s v="Vizag"/>
    <s v="0028030019"/>
    <s v="VIZ-Personnel &amp; Admi"/>
    <s v="2000VIZOPS"/>
    <s v="20000200"/>
    <s v="A Venkateswara Rao"/>
    <s v="No"/>
    <s v="soumya.rout@amns.in"/>
    <s v="8297092555"/>
    <s v="23802"/>
    <s v="DS Varma"/>
    <s v="Anil Matoo"/>
    <s v="Praveen Kuruvalli"/>
    <s v="Dhruv Vyas"/>
    <n v="0"/>
  </r>
  <r>
    <n v="1381"/>
    <n v="20026951"/>
    <s v="Bhavesh Rathod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SMP, RHTOB, UTY,HMM, Lime Plant-Mech"/>
    <s v="Non Technical Support"/>
    <s v="Commercial"/>
    <s v="Stores &amp; Warehouse"/>
    <s v="73806001"/>
    <s v="Stores &amp; Warehouse"/>
    <s v="Hazira"/>
    <d v="1991-02-08T00:00:00"/>
    <s v="32.07"/>
    <d v="2009-08-19T00:00:00"/>
    <d v="2049-02-28T00:00:00"/>
    <m/>
    <d v="2049-02-28T00:00:00"/>
    <n v="9293"/>
    <s v="O+"/>
    <s v="Diploma-2009"/>
    <s v=""/>
    <s v="14.01"/>
    <s v="14.01"/>
    <s v="00053276"/>
    <s v="Issue/Shifting - Plant B"/>
    <s v="70319972"/>
    <s v="Section Officer - Issue/Shifting"/>
    <s v="Hazira"/>
    <s v="0031950049"/>
    <s v="HZ-Central Stores"/>
    <s v="2000HWO"/>
    <s v="20016604"/>
    <s v="Punit Verma"/>
    <s v="No"/>
    <s v="bhaveshkumar.rathod@amns.in"/>
    <s v="9909901085"/>
    <s v="23734"/>
    <s v="Dhruv Vyas"/>
    <s v="Anil Matoo"/>
    <s v="Praveen Kuruvalli"/>
    <s v="Dhruv Vyas"/>
    <n v="0"/>
  </r>
  <r>
    <n v="1394"/>
    <n v="20027199"/>
    <s v="Sharan Mahagoan"/>
    <s v="AM/NS India"/>
    <s v="Onroll"/>
    <s v="M-8"/>
    <n v="8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Lead - Procurement"/>
    <m/>
    <s v="Procurement"/>
    <s v="Procurement"/>
    <s v="Procurement"/>
    <s v="Non Technical Support"/>
    <s v="Operations"/>
    <s v="Plant Maintenance"/>
    <s v="72103008"/>
    <s v="Mechanical Maintenance"/>
    <s v="Dabuna"/>
    <d v="1987-11-30T00:00:00"/>
    <s v="35.09"/>
    <d v="2009-08-29T00:00:00"/>
    <d v="2045-11-30T00:00:00"/>
    <m/>
    <d v="2045-11-30T00:00:00"/>
    <n v="8107"/>
    <s v=""/>
    <s v="BE-2009"/>
    <s v=""/>
    <s v="14.00"/>
    <s v="14.00"/>
    <s v="70494404"/>
    <s v="Procurement - Dabuna"/>
    <s v="70326779"/>
    <s v="Lead - Procurement"/>
    <s v="Odisha"/>
    <s v="0022010019"/>
    <s v="DBN-Benf-HR/Admin"/>
    <s v="2000STORIS"/>
    <s v="20017569"/>
    <s v="Girija Das"/>
    <s v="No"/>
    <s v="sharan.mahagoan@amns.in"/>
    <s v="9437058214"/>
    <s v="22463"/>
    <s v="Sunila Das"/>
    <s v="Anil Matoo"/>
    <s v="Praveen Kuruvalli"/>
    <s v="Sunila Das"/>
    <n v="0"/>
  </r>
  <r>
    <n v="1403"/>
    <n v="20027374"/>
    <s v="Ravi Borra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Section Engineer -  Procurement"/>
    <m/>
    <s v="Vizag Operations"/>
    <s v="Production"/>
    <s v="Production"/>
    <s v="Non Technical Support"/>
    <s v="Operations"/>
    <s v="Operations"/>
    <s v="72103001"/>
    <s v="Operations"/>
    <s v="Vizag"/>
    <d v="1982-08-18T00:00:00"/>
    <s v="41.01"/>
    <d v="2009-09-14T00:00:00"/>
    <d v="2040-08-31T00:00:00"/>
    <m/>
    <d v="2040-08-31T00:00:00"/>
    <n v="6190"/>
    <s v="O-"/>
    <s v="BTech-2010"/>
    <s v="07.10"/>
    <s v="14.00"/>
    <s v="21.10"/>
    <s v="70301353"/>
    <s v="Procurement - Vizag &amp; Chitrakonda"/>
    <s v="70449380"/>
    <s v="Section Engineer -  Procurement"/>
    <s v="Vizag"/>
    <s v="0028030019"/>
    <s v="VIZ-Personnel &amp; Admi"/>
    <s v="2000VIZOPS"/>
    <s v="20000200"/>
    <s v="A Venkateswara Rao"/>
    <s v="No"/>
    <s v="ravikishore.borra@amns.in"/>
    <s v="8886154111"/>
    <s v="21314"/>
    <s v="DS Varma"/>
    <s v="Anil Matoo"/>
    <s v="Praveen Kuruvalli"/>
    <s v="Dhruv Vyas"/>
    <n v="0"/>
  </r>
  <r>
    <n v="1407"/>
    <n v="20027573"/>
    <s v="Rajesh Malu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GST"/>
    <m/>
    <s v="Taxation"/>
    <s v="In Direct - Taxation"/>
    <s v="Indirect Taxation"/>
    <s v="Non Technical Support"/>
    <s v="Finance &amp; Accounts"/>
    <s v="Finance &amp; Accounts"/>
    <s v="73901002"/>
    <s v="Corporate Accounts &amp; Audi"/>
    <s v="AM/NS Hazira"/>
    <d v="1987-06-23T00:00:00"/>
    <s v="36.02"/>
    <d v="2009-10-01T00:00:00"/>
    <d v="2045-06-30T00:00:00"/>
    <m/>
    <d v="2045-06-30T00:00:00"/>
    <n v="7954"/>
    <s v="A+"/>
    <s v="CS-2009 , CA Final-2009 , BCom-2007"/>
    <s v=""/>
    <s v="13.11"/>
    <s v="13.11"/>
    <s v="00044380"/>
    <s v="GST - Hazira Assets - 2"/>
    <s v="70320447"/>
    <s v="Sr. lead - GST"/>
    <s v="Hazira"/>
    <s v="0031950044"/>
    <s v="HZ-Commercial Taxati"/>
    <s v="2000HWO"/>
    <s v="20055962"/>
    <s v="Navin Kewalramani"/>
    <s v="No"/>
    <s v="rajesh.malu@amns.in"/>
    <s v="9879100796"/>
    <s v="22512"/>
    <s v="Dhruv Vyas"/>
    <s v="Anil Matoo"/>
    <s v="Praveen Kuruvalli"/>
    <s v="Dhruv Vyas"/>
    <n v="0"/>
  </r>
  <r>
    <n v="1441"/>
    <n v="20028099"/>
    <s v="Nimisha Patel"/>
    <s v="AM/NS India"/>
    <s v="Onroll"/>
    <s v="M-8"/>
    <n v="8"/>
    <m/>
    <s v="JM"/>
    <s v="F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&quot;&quot;&quot;Issue &amp; Receipt - HSM, SMP, Caster-MEC, UTY"/>
    <s v="Non Technical Support"/>
    <s v="Commercial"/>
    <s v="Stores &amp; Warehouse"/>
    <s v="73806001"/>
    <s v="Stores &amp; Warehouse"/>
    <s v="Hazira"/>
    <d v="1988-04-08T00:00:00"/>
    <s v="35.05"/>
    <d v="2009-10-26T00:00:00"/>
    <d v="2046-04-30T00:00:00"/>
    <m/>
    <d v="2046-04-30T00:00:00"/>
    <n v="8258"/>
    <s v=""/>
    <s v="Diploma-2008"/>
    <s v=""/>
    <s v="13.10"/>
    <s v="13.10"/>
    <s v="00053276"/>
    <s v="Issue/Shifting - Plant B"/>
    <s v="70320031"/>
    <s v="Section Officer - Issue/Shifting"/>
    <s v="Hazira"/>
    <s v="0031950049"/>
    <s v="HZ-Central Stores"/>
    <s v="2000HWO"/>
    <s v="20016604"/>
    <s v="Punit Verma"/>
    <s v="No"/>
    <s v="nimisha.patel@amns.in"/>
    <s v="9909901301"/>
    <s v="23298"/>
    <s v="Dhruv Vyas"/>
    <s v="Anil Matoo"/>
    <s v="Praveen Kuruvalli"/>
    <s v="Dhruv Vyas"/>
    <n v="0"/>
  </r>
  <r>
    <n v="1453"/>
    <n v="20028777"/>
    <s v="Narendra Dugar"/>
    <s v="AM/NS India"/>
    <s v="Onroll"/>
    <s v="M-5"/>
    <n v="5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Internal Audit Hazira"/>
    <m/>
    <s v="Internal Audit"/>
    <s v="Internal Audit"/>
    <s v="Internal Audit"/>
    <s v="Non Technical Support"/>
    <s v="Finance &amp; Accounts"/>
    <s v="Insurance &amp; Risk Management"/>
    <s v="73905001"/>
    <s v="Insurance &amp; Risk Managmen"/>
    <s v="AM/NS Hazira"/>
    <d v="1982-10-21T00:00:00"/>
    <s v="40.10"/>
    <d v="2009-12-10T00:00:00"/>
    <d v="2040-10-31T00:00:00"/>
    <m/>
    <d v="2040-10-31T00:00:00"/>
    <n v="6251"/>
    <s v="O-"/>
    <s v="MCom-2005 , BCom-2005 , CA Final-2003"/>
    <s v="02.01"/>
    <s v="13.09"/>
    <s v="15.10"/>
    <s v="00044330"/>
    <s v="Internal Audit - Hazira"/>
    <s v="70386056"/>
    <s v="Sr. Lead Internal Audit Hazira"/>
    <s v="Hazira"/>
    <s v="0090000035"/>
    <s v="Internal Audit"/>
    <s v="2000HWO"/>
    <s v="20055486"/>
    <s v="Nilesh Likhite"/>
    <s v="No"/>
    <s v="narendra.dugar@amns.in"/>
    <s v="9879100706"/>
    <s v="21706"/>
    <s v="Dhruv Vyas"/>
    <s v="Anil Matoo"/>
    <s v="Praveen Kuruvalli"/>
    <s v="Dhruv Vyas"/>
    <n v="0"/>
  </r>
  <r>
    <n v="1454"/>
    <n v="20028863"/>
    <s v="Keshav Dehariya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Central Zone"/>
    <s v="Non Technical Support"/>
    <s v="Operations"/>
    <s v="Plant Maintenance"/>
    <s v="72103009"/>
    <s v="Electrical Maintenance"/>
    <s v="Indore"/>
    <d v="1986-08-13T00:00:00"/>
    <s v="37.01"/>
    <d v="2009-11-23T00:00:00"/>
    <d v="2044-08-31T00:00:00"/>
    <m/>
    <d v="2044-08-31T00:00:00"/>
    <n v="7651"/>
    <s v="O-"/>
    <s v="BE-2009 , High School-2009 , High School"/>
    <s v=""/>
    <s v="13.09"/>
    <s v="13.09"/>
    <s v="00048138"/>
    <s v="Hypermart west"/>
    <s v="70450022"/>
    <s v="Sales Manager - Hypermart"/>
    <s v="Hypermart"/>
    <s v="0060110700"/>
    <s v="HMART-MP-Pithampur"/>
    <s v="2000SRET"/>
    <s v="20056847"/>
    <s v="Vikas Chotia"/>
    <s v="No"/>
    <s v="keshav.dehariya@amns.in"/>
    <s v="9522198100"/>
    <s v="21558"/>
    <s v="Dhruv Vyas"/>
    <s v="Anil Matoo"/>
    <s v="Praveen Kuruvalli"/>
    <s v="Dhruv Vyas"/>
    <n v="0"/>
  </r>
  <r>
    <n v="1455"/>
    <n v="20028961"/>
    <s v="Anshuman Majhi"/>
    <s v="AM/NS India"/>
    <s v="Onroll"/>
    <s v="M-5"/>
    <n v="5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Sr. Lead  - Costing &amp; MIS"/>
    <m/>
    <s v="Finance &amp; Accounts - Odisha"/>
    <s v="Finance &amp; Accounts"/>
    <s v="Costing &amp; MIS"/>
    <s v="Non Technical Support"/>
    <s v="Finance &amp; Accounts"/>
    <s v="Finance &amp; Accounts"/>
    <s v="73901001"/>
    <s v="Finance &amp; Accounts"/>
    <s v="Dabuna"/>
    <d v="1965-07-08T00:00:00"/>
    <s v="58.02"/>
    <d v="2009-12-11T00:00:00"/>
    <d v="2023-07-31T00:00:00"/>
    <d v="2024-07-31T00:00:00"/>
    <d v="2024-07-31T00:00:00"/>
    <n v="315"/>
    <s v="B-"/>
    <s v="ICWA Final-2011 , PG Diploma in Manageme"/>
    <s v="22.05"/>
    <s v="13.09"/>
    <s v="36.02"/>
    <s v="70234933"/>
    <s v="Finance &amp; Accounts - Odisha"/>
    <s v="70375779"/>
    <s v="Sr. Lead  - Costing &amp; MIS"/>
    <s v="Odisha"/>
    <s v="0022030019"/>
    <s v="PDP-HR &amp; Admn"/>
    <s v="2000STORIS"/>
    <s v="20055801"/>
    <s v="Sanjive Kumar Singh"/>
    <s v="No"/>
    <s v="anshuman.majhi@amns.in"/>
    <s v="9437481167"/>
    <s v="22490"/>
    <s v="Sunila Das"/>
    <s v="Anil Matoo"/>
    <s v="Praveen Kuruvalli"/>
    <s v="Sunila Das"/>
    <n v="0"/>
  </r>
  <r>
    <n v="1474"/>
    <n v="20029041"/>
    <s v="Siddharth Patel"/>
    <s v="AM/NS India"/>
    <s v="Onroll"/>
    <s v="M-7"/>
    <n v="7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Contracts"/>
    <s v="Non Technical Support"/>
    <s v="Services"/>
    <s v="Maintenance Services"/>
    <s v="72103012"/>
    <s v="Maintenance Services"/>
    <s v="AM/NS Hazira"/>
    <d v="1987-12-27T00:00:00"/>
    <s v="35.08"/>
    <d v="2009-11-26T00:00:00"/>
    <d v="2045-12-31T00:00:00"/>
    <m/>
    <d v="2045-12-31T00:00:00"/>
    <n v="8138"/>
    <s v="B+"/>
    <s v="BE-2009"/>
    <s v=""/>
    <s v="13.09"/>
    <s v="13.09"/>
    <s v="70495670"/>
    <s v="Contracts"/>
    <s v="70259203"/>
    <s v="Lead - Contracts"/>
    <s v="Hazira"/>
    <s v="0031950047"/>
    <s v="HZ-Contracts"/>
    <s v="2000HWO"/>
    <s v="20000795"/>
    <s v="Pankaj Chaturvedi"/>
    <s v="No"/>
    <s v="siddharth.patel@amns.in"/>
    <s v="9879101862"/>
    <s v="23382"/>
    <s v="Dhruv Vyas"/>
    <s v="Anil Matoo"/>
    <s v="Praveen Kuruvalli"/>
    <s v="Dhruv Vyas"/>
    <n v="0"/>
  </r>
  <r>
    <n v="1691"/>
    <n v="20029683"/>
    <s v="Pallav Vadgama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"/>
    <s v="Non Technical Support"/>
    <s v="Sales &amp; Marketing"/>
    <s v="Sales"/>
    <s v="73104004"/>
    <s v="OEM Sales"/>
    <s v="Ahmedabad"/>
    <d v="1987-01-21T00:00:00"/>
    <s v="36.07"/>
    <d v="2009-11-20T00:00:00"/>
    <d v="2045-01-31T00:00:00"/>
    <m/>
    <d v="2045-01-31T00:00:00"/>
    <n v="7804"/>
    <s v="O-"/>
    <s v="BE-2009"/>
    <s v=""/>
    <s v="13.09"/>
    <s v="13.09"/>
    <s v="70265035"/>
    <s v="Value Recovery"/>
    <s v="70336309"/>
    <s v="Sales Manager"/>
    <s v="Hazira"/>
    <s v="0031950057"/>
    <s v="HZ-HRC - Marketing"/>
    <s v="2000HWO"/>
    <s v="20016382"/>
    <s v="Kunal Bhardwaj"/>
    <s v="No"/>
    <s v="pallav.vadgama@amns.in"/>
    <s v="9099934874"/>
    <s v="24606"/>
    <s v="Dhruv Vyas"/>
    <s v="Anil Matoo"/>
    <s v="Praveen Kuruvalli"/>
    <s v="Dhruv Vyas"/>
    <n v="0"/>
  </r>
  <r>
    <n v="1733"/>
    <n v="20030332"/>
    <s v="Darshan Desai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Project Administration"/>
    <m/>
    <s v="Hazira Operations"/>
    <s v="SMS"/>
    <s v="Secondary Metallurgy"/>
    <s v="Non Technical Support"/>
    <s v="Operations"/>
    <s v="Plant Operations"/>
    <s v="72103005"/>
    <s v="Shift Operations"/>
    <s v="Hazira"/>
    <d v="1976-10-07T00:00:00"/>
    <s v="46.11"/>
    <d v="2010-02-20T00:00:00"/>
    <d v="2034-10-31T00:00:00"/>
    <m/>
    <d v="2034-10-31T00:00:00"/>
    <n v="4059"/>
    <s v="A-"/>
    <s v="Diploma-1999"/>
    <s v="09.04"/>
    <s v="13.06"/>
    <s v="22.10"/>
    <s v="00049719"/>
    <s v="Administration Hazira"/>
    <s v="70202819"/>
    <s v="Lead - Project Administration"/>
    <s v="Hazira"/>
    <s v="0031323111"/>
    <s v="CONARC - Plant B - O"/>
    <s v="2000HWO"/>
    <s v="20057886"/>
    <s v="Shakir Bandwala"/>
    <s v="No"/>
    <s v="darshan.desai@amns.in"/>
    <s v="9909902497"/>
    <s v="21575"/>
    <s v="Surinder Choudhary"/>
    <s v="Anil Matoo"/>
    <n v="0"/>
    <s v="Surinder Choudhary"/>
    <s v="Robin Patel"/>
  </r>
  <r>
    <n v="1794"/>
    <n v="20031922"/>
    <s v="Nalla Shyamala"/>
    <s v="AM/NS India"/>
    <s v="Onroll"/>
    <s v="M-6"/>
    <n v="6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Sr. Lead - EXIM"/>
    <m/>
    <s v="Taxation"/>
    <s v="EXIM"/>
    <s v="EXIM"/>
    <s v="Non Technical Support"/>
    <s v="Finance &amp; Accounts"/>
    <s v="Corporate Finance"/>
    <s v="73902001"/>
    <s v="Corporate Finance"/>
    <s v="Mumbai"/>
    <d v="1971-02-13T00:00:00"/>
    <s v="52.07"/>
    <d v="2010-05-27T00:00:00"/>
    <d v="2029-02-28T00:00:00"/>
    <m/>
    <d v="2029-02-28T00:00:00"/>
    <n v="1988"/>
    <s v="A-"/>
    <s v="Certificate-1999 , Diploma-1999 , BCom-1"/>
    <s v="19.04"/>
    <s v="13.03"/>
    <s v="32.07"/>
    <s v="70072408"/>
    <s v="Customs / DGFT / EXIM"/>
    <s v="70224406"/>
    <s v="Sr. Lead - EXIM"/>
    <s v="Hazira"/>
    <s v="0090000033"/>
    <s v="Corporate Taxation"/>
    <s v="2000HWO"/>
    <s v="20047664"/>
    <s v="Devang Desai"/>
    <s v="No"/>
    <s v="shyamala.nalla@amns.in"/>
    <s v="9930136459"/>
    <s v="22783"/>
    <s v="Dhruv Vyas"/>
    <s v="Anil Matoo"/>
    <s v="Praveen Kuruvalli"/>
    <s v="Dhruv Vyas"/>
    <n v="0"/>
  </r>
  <r>
    <n v="1832"/>
    <n v="20033268"/>
    <s v="Rathish R"/>
    <s v="AM/NS India"/>
    <s v="Onroll"/>
    <s v="M-7"/>
    <n v="7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South"/>
    <s v="Auto"/>
    <s v="Domestic"/>
    <s v="Non Technical Support"/>
    <s v="Sales &amp; Marketing"/>
    <s v="Sales"/>
    <s v="73104004"/>
    <s v="OEM Sales"/>
    <s v="Pune AMNS"/>
    <d v="1984-06-23T00:00:00"/>
    <s v="39.02"/>
    <d v="2010-08-07T00:00:00"/>
    <d v="2042-06-30T00:00:00"/>
    <m/>
    <d v="2042-06-30T00:00:00"/>
    <n v="6858"/>
    <s v="O-"/>
    <s v="BCom-2009 , MBA-2009"/>
    <s v="01.02"/>
    <s v="13.01"/>
    <s v="14.03"/>
    <s v="00052468"/>
    <s v="Automotive Sales - Chennai"/>
    <s v="70228566"/>
    <s v="KAM – Automotive Sales"/>
    <s v="Pune Facility"/>
    <s v="0035950073"/>
    <s v="Pune - S&amp;D Export"/>
    <s v="2000ESPF"/>
    <s v="20047658"/>
    <s v="Balamurugan Gurusamy"/>
    <s v="No"/>
    <s v="rathish.r@amns.in"/>
    <s v="8939900882"/>
    <s v="23604"/>
    <s v="Dhruv Vyas"/>
    <s v="Anil Matoo"/>
    <s v="Praveen Kuruvalli"/>
    <s v="Dhruv Vyas"/>
    <n v="0"/>
  </r>
  <r>
    <n v="1892"/>
    <n v="20034319"/>
    <s v="Ashokkumar Mehe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r - Sales &amp; Mkt"/>
    <m/>
    <s v="Pipe"/>
    <s v="Pipe"/>
    <s v=""/>
    <s v="Non Technical Support"/>
    <s v="Sales &amp; Marketing"/>
    <s v="Sales &amp; Marketing"/>
    <s v="73101001"/>
    <s v="Sales &amp; Marketing"/>
    <s v="Noida"/>
    <d v="1986-05-02T00:00:00"/>
    <s v="37.04"/>
    <d v="2010-09-23T00:00:00"/>
    <d v="2044-05-31T00:00:00"/>
    <m/>
    <d v="2044-05-31T00:00:00"/>
    <n v="7559"/>
    <s v="A-"/>
    <s v="BTech-2007"/>
    <s v="03.03"/>
    <s v="12.11"/>
    <s v="16.03"/>
    <s v="70387159"/>
    <s v="Pipe Sales"/>
    <s v="70230900"/>
    <s v="Sales Manager - Domestics Pipe Sales"/>
    <s v="Hazira"/>
    <s v="0031591982"/>
    <s v="PM-Marketing"/>
    <s v="2000HWO"/>
    <s v="20007414"/>
    <s v="Gaurav Sharma"/>
    <s v="No"/>
    <s v="ashok.meher@amns.in"/>
    <s v="8376904700"/>
    <s v="22576"/>
    <s v="Dhruv Vyas"/>
    <s v="Anil Matoo"/>
    <s v="Praveen Kuruvalli"/>
    <s v="Dhruv Vyas"/>
    <n v="0"/>
  </r>
  <r>
    <n v="1898"/>
    <n v="20034616"/>
    <s v="Bimal Parida"/>
    <s v="AM/NS India"/>
    <s v="Onroll"/>
    <s v="M-8"/>
    <n v="8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Lead - Procurement"/>
    <m/>
    <s v="Procurement"/>
    <s v="Procurement"/>
    <s v="Procurement"/>
    <s v="Non Technical Support"/>
    <s v="Operations"/>
    <s v="Plant Maintenance"/>
    <s v="72103009"/>
    <s v="Electrical Maintenance"/>
    <s v="Dabuna"/>
    <d v="1988-04-23T00:00:00"/>
    <s v="35.04"/>
    <d v="2010-08-23T00:00:00"/>
    <d v="2046-04-30T00:00:00"/>
    <m/>
    <d v="2046-04-30T00:00:00"/>
    <n v="8258"/>
    <s v="A-"/>
    <s v="BTech-2010"/>
    <s v=""/>
    <s v="13.00"/>
    <s v="13.00"/>
    <s v="70494404"/>
    <s v="Procurement - Dabuna"/>
    <s v="70319754"/>
    <s v="Lead - Procurement"/>
    <s v="Odisha"/>
    <s v="0022010019"/>
    <s v="DBN-Benf-HR/Admin"/>
    <s v="2000STORIS"/>
    <s v="20017569"/>
    <s v="Girija Das"/>
    <s v="No"/>
    <s v="bimal.parida@amns.in"/>
    <s v="9437061139"/>
    <s v="22995"/>
    <s v="Sunila Das"/>
    <s v="Anil Matoo"/>
    <s v="Praveen Kuruvalli"/>
    <s v="Sunila Das"/>
    <n v="0"/>
  </r>
  <r>
    <n v="1943"/>
    <n v="20035527"/>
    <s v="Anil Patro"/>
    <s v="AM/NS India"/>
    <s v="Onroll"/>
    <s v="M-4"/>
    <n v="4"/>
    <m/>
    <s v="SM"/>
    <s v="M"/>
    <s v="Hazira"/>
    <n v="1"/>
    <s v="2095"/>
    <x v="4"/>
    <n v="36.01"/>
    <s v="Deepak Sindkar"/>
    <s v="Hrishikesh Kamat"/>
    <n v="7"/>
    <s v="Procurement"/>
    <s v="Raw Materials"/>
    <s v="36"/>
    <s v="Head – Iron Bearing Materials"/>
    <m/>
    <s v="Bulk Raw Materials"/>
    <s v="Raw Material"/>
    <s v="Iron Ore"/>
    <s v="Non Technical Support"/>
    <s v="Sales &amp; Marketing"/>
    <s v="Business Development"/>
    <s v="73103001"/>
    <s v="Business Development"/>
    <s v="Mumbai"/>
    <d v="1970-03-01T00:00:00"/>
    <s v="53.06"/>
    <d v="2010-12-10T00:00:00"/>
    <d v="2028-02-29T00:00:00"/>
    <m/>
    <d v="2028-02-29T00:00:00"/>
    <n v="1623"/>
    <s v="A-"/>
    <s v="BSc-1992 , MSc-1992"/>
    <s v="17.10"/>
    <s v="12.09"/>
    <s v="30.07"/>
    <s v="00045893"/>
    <s v="Red Odisha Mill Scale"/>
    <s v="70258515"/>
    <s v="Head – Iron Bearing Materials"/>
    <s v="Hazira"/>
    <s v="0031950048"/>
    <s v="HZ-Procurment Depart"/>
    <s v="2000HWO"/>
    <s v="20000253"/>
    <s v="Deepak Sindkar"/>
    <s v="No"/>
    <s v="anil.patro@amns.in"/>
    <s v="9930136253"/>
    <s v="23475"/>
    <s v="Dhruv Vyas"/>
    <s v="Anil Matoo"/>
    <s v="Praveen Kuruvalli"/>
    <s v="Dhruv Vyas"/>
    <n v="0"/>
  </r>
  <r>
    <n v="1964"/>
    <n v="20035714"/>
    <s v="Emani Sitarami Reddy"/>
    <s v="AM/NS India"/>
    <s v="Onroll"/>
    <s v="M-8"/>
    <n v="8"/>
    <m/>
    <s v="JM"/>
    <s v="M"/>
    <s v="Vizag"/>
    <n v="3"/>
    <s v="2015"/>
    <x v="1"/>
    <s v="22.06"/>
    <s v="Anil Matoo"/>
    <s v="Ashutosh Telang"/>
    <n v="6"/>
    <s v="HR &amp; Administration"/>
    <s v="Human Resources"/>
    <s v="22"/>
    <s v="Lead Human Resources"/>
    <m/>
    <s v="Human Resources"/>
    <s v="HR &amp; Admin"/>
    <s v="HR &amp; Admin"/>
    <s v="Non Technical Support"/>
    <s v="Human Resources Management"/>
    <s v="Human Resources Management"/>
    <s v="73501001"/>
    <s v="Human Resources"/>
    <s v="Vizag"/>
    <d v="1964-04-05T00:00:00"/>
    <s v="59.05"/>
    <d v="2011-01-01T00:00:00"/>
    <d v="2022-04-30T00:00:00"/>
    <d v="2023-12-31T00:00:00"/>
    <d v="2023-12-31T00:00:00"/>
    <n v="102"/>
    <s v=""/>
    <s v="Diploma-1986"/>
    <s v="24.11"/>
    <s v="12.08"/>
    <s v="37.07"/>
    <s v="72150111"/>
    <s v="Vizag HR Operations &amp; Administration"/>
    <s v="70372501"/>
    <s v="Lead Human Resources"/>
    <s v="Vizag"/>
    <s v="0028030019"/>
    <s v="VIZ-Personnel &amp; Admi"/>
    <s v="2000VIZOPS"/>
    <s v="20000519"/>
    <s v="Dandu Srinivas Varma"/>
    <s v="No"/>
    <s v="emani.reddy@amns.in"/>
    <s v="9642054999"/>
    <s v="24298"/>
    <s v="DS Varma"/>
    <s v="Anil Matoo"/>
    <s v="Praveen Kuruvalli"/>
    <s v="Dhruv Vyas"/>
    <n v="0"/>
  </r>
  <r>
    <n v="1965"/>
    <n v="20035716"/>
    <s v="Satesh Datla"/>
    <s v="AM/NS India"/>
    <s v="Onroll"/>
    <s v="M-8"/>
    <n v="8"/>
    <m/>
    <s v="JM"/>
    <s v="M"/>
    <s v="Vizag"/>
    <n v="3"/>
    <s v="2023"/>
    <x v="6"/>
    <s v="24.08"/>
    <s v="Anil Matoo"/>
    <s v="Ashutosh Telang"/>
    <n v="6"/>
    <s v="HR &amp; Administration"/>
    <s v="Administration"/>
    <s v="24"/>
    <s v="Plant Node Officer - BP"/>
    <m/>
    <s v="Administration"/>
    <s v="Administration"/>
    <s v="Administration"/>
    <s v="Non Technical Support"/>
    <s v="Human Resources Management"/>
    <s v="Human Resources Management"/>
    <s v="73501001"/>
    <s v="Human Resources"/>
    <s v="Kirandul"/>
    <d v="1969-04-17T00:00:00"/>
    <s v="54.05"/>
    <d v="2011-01-01T00:00:00"/>
    <d v="2027-04-30T00:00:00"/>
    <m/>
    <d v="2027-04-30T00:00:00"/>
    <n v="1318"/>
    <s v=""/>
    <s v="MBA-1996 , BCom-1989"/>
    <s v="16.08"/>
    <s v="12.08"/>
    <s v="29.04"/>
    <s v="72150111"/>
    <s v="Vizag HR Operations &amp; Administration"/>
    <s v="70237920"/>
    <s v="Plant Node Officer - BP"/>
    <s v="Vizag"/>
    <s v="0028010019"/>
    <s v="KRD-Admin &amp; General"/>
    <s v="2000VIZOPS"/>
    <s v="20000519"/>
    <s v="Dandu Srinivas Varma"/>
    <s v="No"/>
    <s v="satish.datla@amns.in"/>
    <s v="9425591760"/>
    <s v="23957"/>
    <s v="DS Varma"/>
    <s v="Anil Matoo"/>
    <s v="Praveen Kuruvalli"/>
    <s v="Dhruv Vyas"/>
    <n v="0"/>
  </r>
  <r>
    <n v="1993"/>
    <n v="20036343"/>
    <s v="Pinal Patel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Gen Cons., Spares, &amp; Fitings Pipes, Valves Fasteners"/>
    <s v="Non Technical Support"/>
    <s v="Commercial"/>
    <s v="Stores &amp; Warehouse"/>
    <s v="73806001"/>
    <s v="Stores &amp; Warehouse"/>
    <s v="Hazira"/>
    <d v="1979-02-20T00:00:00"/>
    <s v="44.06"/>
    <d v="2011-02-16T00:00:00"/>
    <d v="2037-02-28T00:00:00"/>
    <m/>
    <d v="2037-02-28T00:00:00"/>
    <n v="4910"/>
    <s v=""/>
    <s v="Diploma-2003"/>
    <s v="11.07"/>
    <s v="12.07"/>
    <s v="24.02"/>
    <s v="00053276"/>
    <s v="Issue/Shifting - Plant B"/>
    <s v="70239744"/>
    <s v="Section Officer - Issue/Shifting"/>
    <s v="Hazira"/>
    <s v="0031950049"/>
    <s v="HZ-Central Stores"/>
    <s v="2000HWO"/>
    <s v="20016604"/>
    <s v="Punit Verma"/>
    <s v="No"/>
    <s v="pinal.patel@amns.in"/>
    <s v="9879101362"/>
    <s v="23314"/>
    <s v="Dhruv Vyas"/>
    <s v="Anil Matoo"/>
    <s v="Praveen Kuruvalli"/>
    <s v="Dhruv Vyas"/>
    <n v="0"/>
  </r>
  <r>
    <n v="1997"/>
    <n v="20036363"/>
    <s v="Gopalrao Bodke"/>
    <s v="AM/NS India"/>
    <s v="Onroll"/>
    <s v="L-01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WEIGH BRIDGE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70-06-02T00:00:00"/>
    <s v="53.03"/>
    <d v="1995-01-01T00:00:00"/>
    <d v="2028-06-30T00:00:00"/>
    <m/>
    <d v="2028-06-30T00:00:00"/>
    <n v="1745"/>
    <s v="O-"/>
    <s v="SSLC-1988 , SSLC-1988 , SSLC-1988"/>
    <s v=""/>
    <s v="28.08"/>
    <s v="28.08"/>
    <s v="73800024"/>
    <s v="General Consumables"/>
    <s v="73800061"/>
    <s v="WEIGH BRIDGE"/>
    <s v="Pune Facility"/>
    <s v="0035950030"/>
    <s v="Pune - Stores"/>
    <s v="2000ESPF"/>
    <s v="20036403"/>
    <s v="Sanjay Kumbhar"/>
    <s v="No"/>
    <s v="gopalrao.bodke@amns.in"/>
    <s v="9673996785"/>
    <s v="21306"/>
    <s v="Dhruv Vyas"/>
    <s v="Anil Matoo"/>
    <s v="Praveen Kuruvalli"/>
    <s v="Dhruv Vyas"/>
    <n v="0"/>
  </r>
  <r>
    <n v="2006"/>
    <n v="20036385"/>
    <s v="Ganesh Adhikari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3"/>
    <s v="Accounts Payable"/>
    <s v="Pune AMNS"/>
    <d v="1969-11-14T00:00:00"/>
    <s v="53.10"/>
    <d v="1995-01-01T00:00:00"/>
    <d v="2027-11-30T00:00:00"/>
    <m/>
    <d v="2027-11-30T00:00:00"/>
    <n v="1532"/>
    <s v="B-"/>
    <s v="SSLC-1984"/>
    <s v="01.00"/>
    <s v="28.08"/>
    <s v="29.08"/>
    <s v="73800027"/>
    <s v="Account Receivables"/>
    <s v="70319250"/>
    <s v="Lead"/>
    <s v="Pune Facility"/>
    <s v="0035950020"/>
    <s v="Pune-F&amp;A"/>
    <s v="2000ESPF"/>
    <s v="20037239"/>
    <s v="Prashant Shah"/>
    <s v="No"/>
    <s v="ganesh.adhikari@amns.in"/>
    <s v="9890756491"/>
    <s v="21020"/>
    <s v="Dhruv Vyas"/>
    <s v="Anil Matoo"/>
    <s v="Praveen Kuruvalli"/>
    <s v="Dhruv Vyas"/>
    <n v="0"/>
  </r>
  <r>
    <n v="2013"/>
    <n v="20036398"/>
    <s v="Yogini Jadhav"/>
    <s v="AM/NS India"/>
    <s v="Onroll"/>
    <s v="M-8"/>
    <n v="8"/>
    <m/>
    <s v="JM"/>
    <s v="F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1"/>
    <s v="Finance &amp; Accounts"/>
    <s v="Pune AMNS"/>
    <d v="1970-11-03T00:00:00"/>
    <s v="52.10"/>
    <d v="1995-01-01T00:00:00"/>
    <d v="2028-11-30T00:00:00"/>
    <m/>
    <d v="2028-11-30T00:00:00"/>
    <n v="1898"/>
    <s v="A-"/>
    <s v="Intermediate-1992 , BCom-1992"/>
    <s v="02.04"/>
    <s v="28.08"/>
    <s v="31.00"/>
    <s v="73800027"/>
    <s v="Account Receivables"/>
    <s v="73800085"/>
    <s v="Lead"/>
    <s v="Pune Facility"/>
    <s v="0035950020"/>
    <s v="Pune-F&amp;A"/>
    <s v="2000ESPF"/>
    <s v="20037239"/>
    <s v="Prashant Shah"/>
    <s v="No"/>
    <s v="yogini.jadhav@amns.in"/>
    <s v="9158895077"/>
    <s v="21952"/>
    <s v="Dhruv Vyas"/>
    <s v="Anil Matoo"/>
    <s v="Praveen Kuruvalli"/>
    <s v="Dhruv Vyas"/>
    <n v="0"/>
  </r>
  <r>
    <n v="2017"/>
    <n v="20036403"/>
    <s v="Sanjay Kumbhar"/>
    <s v="AM/NS India"/>
    <s v="Onroll"/>
    <s v="M-8"/>
    <n v="8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DY. SECTION MANAG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68-04-01T00:00:00"/>
    <s v="55.05"/>
    <d v="1995-01-01T00:00:00"/>
    <d v="2026-03-31T00:00:00"/>
    <m/>
    <d v="2026-03-31T00:00:00"/>
    <n v="923"/>
    <s v="A-"/>
    <s v="BCom-2009 , Diploma Equivalent-2009 , In"/>
    <s v="01.03"/>
    <s v="28.08"/>
    <s v="29.11"/>
    <s v="73800024"/>
    <s v="General Consumables"/>
    <s v="73800046"/>
    <s v="DY. SECTION MANAGER"/>
    <s v="Pune Facility"/>
    <s v="0035950030"/>
    <s v="Pune - Stores"/>
    <s v="2000ESPF"/>
    <s v="20036934"/>
    <s v="Atul Patwardhan"/>
    <s v="No"/>
    <s v="sanjay.kumbhar@amns.in"/>
    <s v="9158895929"/>
    <s v="22385"/>
    <s v="Dhruv Vyas"/>
    <s v="Anil Matoo"/>
    <s v="Praveen Kuruvalli"/>
    <s v="Dhruv Vyas"/>
    <n v="0"/>
  </r>
  <r>
    <n v="2019"/>
    <n v="20036407"/>
    <s v="Ravindra Bhorde"/>
    <s v="AM/NS India"/>
    <s v="Onroll"/>
    <s v="M-8"/>
    <n v="8"/>
    <m/>
    <s v="JM"/>
    <s v="M"/>
    <s v="Pune Facility"/>
    <n v="4"/>
    <s v="2084"/>
    <x v="17"/>
    <s v="23.09"/>
    <s v="Anil Matoo"/>
    <s v="Ashutosh Telang"/>
    <n v="6"/>
    <s v="HR &amp; Administration"/>
    <s v="Industrial Relations"/>
    <s v="23"/>
    <s v="SECTION MANAGER"/>
    <m/>
    <s v="Pune Operations"/>
    <s v="Administration"/>
    <s v="Time office"/>
    <s v="Non Technical Support"/>
    <s v="Human Resources Management"/>
    <s v="Payroll Shared Services"/>
    <s v="73509002"/>
    <s v="Payroll Administration"/>
    <s v="Pune AMNS"/>
    <d v="1971-06-14T00:00:00"/>
    <s v="52.03"/>
    <d v="1993-10-05T00:00:00"/>
    <d v="2029-06-30T00:00:00"/>
    <m/>
    <d v="2029-06-30T00:00:00"/>
    <n v="2110"/>
    <s v="O-"/>
    <s v="Intermediate-1991"/>
    <s v="01.03"/>
    <s v="29.11"/>
    <s v="31.02"/>
    <s v="73800068"/>
    <s v="Pune HR Operations &amp; Administration"/>
    <s v="70273858"/>
    <s v="SECTION MANAGER"/>
    <s v="Pune Facility"/>
    <s v="0035950019"/>
    <s v="Pune-Admin"/>
    <s v="2000ESPF"/>
    <s v="20037245"/>
    <s v="Mukund Jagirdar"/>
    <s v="No"/>
    <s v="ravindra.bhorde@amns.in"/>
    <s v="9890113037"/>
    <s v="21277"/>
    <s v="Dhruv Vyas"/>
    <s v="Anil Matoo"/>
    <s v="Praveen Kuruvalli"/>
    <s v="Dhruv Vyas"/>
    <n v="0"/>
  </r>
  <r>
    <n v="2021"/>
    <n v="20036409"/>
    <s v="Ranjith Nambiar"/>
    <s v="AM/NS India"/>
    <s v="Onroll"/>
    <s v="M-5"/>
    <n v="5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Head - Domestic Sales, Pune"/>
    <m/>
    <s v="Sales Steering &amp; BD"/>
    <s v="Coated Marketing"/>
    <s v="National Sales"/>
    <s v="Non Technical Support"/>
    <s v="Operations"/>
    <s v="Operations"/>
    <s v="72103001"/>
    <s v="Operations"/>
    <s v="Pune AMNS"/>
    <d v="1973-04-20T00:00:00"/>
    <s v="50.05"/>
    <d v="1995-01-01T00:00:00"/>
    <d v="2031-04-30T00:00:00"/>
    <m/>
    <d v="2031-04-30T00:00:00"/>
    <n v="2779"/>
    <s v="O-"/>
    <s v="Diploma-1991"/>
    <s v="01.04"/>
    <s v="28.08"/>
    <s v="30.00"/>
    <s v="70492562"/>
    <s v="Domestic Sales"/>
    <s v="70435075"/>
    <s v="Head - Marketing Coated Products"/>
    <s v="Pune Facility"/>
    <s v="0031950057"/>
    <s v="HZ-HRC - Marketing"/>
    <s v="2000ESPF"/>
    <s v="20010531"/>
    <s v="Saptarshi Saha"/>
    <s v="No"/>
    <s v="ranjith.nambiar@amns.in"/>
    <s v="9158895828"/>
    <s v="22784"/>
    <s v="Dhruv Vyas"/>
    <s v="Anil Matoo"/>
    <s v="Praveen Kuruvalli"/>
    <s v="Dhruv Vyas"/>
    <n v="0"/>
  </r>
  <r>
    <n v="2031"/>
    <n v="20036425"/>
    <s v="Ashok Raikar"/>
    <s v="AM/NS India"/>
    <s v="Onroll"/>
    <s v="L-02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Jr.Stores Assistant"/>
    <m/>
    <s v="Procurement"/>
    <s v="Stores &amp; Warehouse"/>
    <s v="Stores"/>
    <s v="Non Technical Support"/>
    <s v="Administration"/>
    <s v="Administration"/>
    <s v="74101001"/>
    <s v="Administration"/>
    <s v="Pune Facility"/>
    <d v="1967-06-01T00:00:00"/>
    <s v="56.03"/>
    <d v="1996-01-01T00:00:00"/>
    <d v="2025-05-31T00:00:00"/>
    <m/>
    <d v="2025-05-31T00:00:00"/>
    <n v="619"/>
    <s v="AB-"/>
    <s v="Non Matric-1987"/>
    <s v=""/>
    <s v="27.08"/>
    <s v="27.08"/>
    <s v="73800024"/>
    <s v="General Consumables"/>
    <s v="73800273"/>
    <s v="Jr.Stores Assistant"/>
    <s v="Pune Facility"/>
    <s v="0035950030"/>
    <s v="Pune - Stores"/>
    <s v="2000ESPF"/>
    <s v="20036403"/>
    <s v="Sanjay Kumbhar"/>
    <s v="No"/>
    <s v="ashok.raikar@amns.in"/>
    <s v="9158895814"/>
    <s v="23620"/>
    <s v="Dhruv Vyas"/>
    <s v="Anil Matoo"/>
    <s v="Praveen Kuruvalli"/>
    <s v="Dhruv Vyas"/>
    <n v="0"/>
  </r>
  <r>
    <n v="2039"/>
    <n v="20036435"/>
    <s v="Shankar Sure"/>
    <s v="AM/NS India"/>
    <s v="Onroll"/>
    <s v="M-8"/>
    <n v="8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Dy. Section Manag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65-08-13T00:00:00"/>
    <s v="58.01"/>
    <d v="1996-02-01T00:00:00"/>
    <d v="2023-08-31T00:00:00"/>
    <m/>
    <d v="2023-08-31T00:00:00"/>
    <n v="-20"/>
    <s v="A-"/>
    <s v="MCom-1990"/>
    <s v="04.05"/>
    <s v="27.07"/>
    <s v="32.00"/>
    <s v="73800024"/>
    <s v="General Consumables"/>
    <s v="70319258"/>
    <s v="Dy. Section Manager"/>
    <s v="Pune Facility"/>
    <s v="0035950030"/>
    <s v="Pune - Stores"/>
    <s v="2000ESPF"/>
    <s v="20036403"/>
    <s v="Sanjay Kumbhar"/>
    <s v="No"/>
    <s v="shankar.sure@amns.in"/>
    <s v="9271898041"/>
    <s v="24390"/>
    <s v="Dhruv Vyas"/>
    <s v="Anil Matoo"/>
    <s v="Praveen Kuruvalli"/>
    <s v="Dhruv Vyas"/>
    <n v="0"/>
  </r>
  <r>
    <n v="2040"/>
    <n v="20036436"/>
    <s v="Megha Chaure"/>
    <s v="AM/NS India"/>
    <s v="Onroll"/>
    <s v="L-01"/>
    <n v="15"/>
    <m/>
    <s v="Blue Collar"/>
    <s v="F"/>
    <s v="Pune Facility"/>
    <n v="4"/>
    <s v="2023"/>
    <x v="6"/>
    <s v="24.08"/>
    <s v="Anil Matoo"/>
    <s v="Ashutosh Telang"/>
    <n v="6"/>
    <s v="HR &amp; Administration"/>
    <s v="Administration"/>
    <s v="24"/>
    <s v="ASST.PERS.CUM STENO - Hum"/>
    <m/>
    <s v="Pune Operations"/>
    <s v="Administration"/>
    <s v="Reception"/>
    <s v="Non Technical Support"/>
    <s v="Human Resources Management"/>
    <s v="Learning &amp; Development"/>
    <s v="73502001"/>
    <s v="Learning &amp; Development"/>
    <s v="Pune Facility"/>
    <d v="1967-06-17T00:00:00"/>
    <s v="56.03"/>
    <d v="1996-02-01T00:00:00"/>
    <d v="2025-06-30T00:00:00"/>
    <m/>
    <d v="2025-06-30T00:00:00"/>
    <n v="649"/>
    <s v="O-"/>
    <s v="Certificate-1989 , Intermediate-1989 , N"/>
    <s v="01.00"/>
    <s v="27.07"/>
    <s v="28.07"/>
    <s v="73800072"/>
    <s v="Administration"/>
    <s v="73800265"/>
    <s v="ASST.PERS.CUM STENO - Hum"/>
    <s v="Pune Facility"/>
    <s v="0035950019"/>
    <s v="Pune-Admin"/>
    <s v="2000ESPF"/>
    <s v="20036748"/>
    <s v="Suresh Kadam"/>
    <s v="No"/>
    <s v="megha.chaure@amns.in"/>
    <s v="9422314583"/>
    <s v="21385"/>
    <s v="Dhruv Vyas"/>
    <s v="Anil Matoo"/>
    <s v="Praveen Kuruvalli"/>
    <s v="Dhruv Vyas"/>
    <n v="0"/>
  </r>
  <r>
    <n v="2047"/>
    <n v="20036451"/>
    <s v="Sunil Shewale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GST"/>
    <s v="Non Technical Support"/>
    <s v="Finance &amp; Accounts"/>
    <s v="Taxation"/>
    <s v="73904002"/>
    <s v="Indirect Taxation"/>
    <s v="Pune AMNS"/>
    <d v="1966-06-24T00:00:00"/>
    <s v="57.02"/>
    <d v="1997-05-02T00:00:00"/>
    <d v="2024-06-30T00:00:00"/>
    <m/>
    <d v="2024-06-30T00:00:00"/>
    <n v="284"/>
    <s v="B-"/>
    <s v="BCom-1987"/>
    <s v="01.10"/>
    <s v="26.04"/>
    <s v="28.02"/>
    <s v="73800021"/>
    <s v="Excise"/>
    <s v="70273866"/>
    <s v="Lead"/>
    <s v="Pune Facility"/>
    <s v="0035950020"/>
    <s v="Pune-F&amp;A"/>
    <s v="2000ESPF"/>
    <s v="20037274"/>
    <s v="Imtiyazkhan Pathan"/>
    <s v="No"/>
    <s v="sunil.shewale@amns.in"/>
    <s v="9423581266"/>
    <s v="24155"/>
    <s v="Dhruv Vyas"/>
    <s v="Anil Matoo"/>
    <s v="Praveen Kuruvalli"/>
    <s v="Dhruv Vyas"/>
    <n v="0"/>
  </r>
  <r>
    <n v="2051"/>
    <n v="20036456"/>
    <s v="Rajesh Dadiya"/>
    <s v="AM/NS India"/>
    <s v="Onroll"/>
    <s v="L-02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ASST.OPERATOR - Productio"/>
    <m/>
    <s v="Procurement"/>
    <s v="Stores &amp; Warehouse"/>
    <s v="Stores"/>
    <s v="Non Technical Support"/>
    <s v="Operations"/>
    <s v="Plant Operations"/>
    <s v="72103005"/>
    <s v="Shift Operations"/>
    <s v="Pune Facility"/>
    <d v="1974-01-09T00:00:00"/>
    <s v="49.08"/>
    <d v="1997-06-07T00:00:00"/>
    <d v="2032-01-31T00:00:00"/>
    <m/>
    <d v="2032-01-31T00:00:00"/>
    <n v="3055"/>
    <s v="O-"/>
    <s v="SSLC-1989"/>
    <s v=""/>
    <s v="26.03"/>
    <s v="26.03"/>
    <s v="73800197"/>
    <s v="Logistics"/>
    <s v="73800794"/>
    <s v="ASST.OPERATOR - Productio"/>
    <s v="Pune Facility"/>
    <s v="0035950030"/>
    <s v="Pune - Stores"/>
    <s v="2000ESPF"/>
    <s v="20036920"/>
    <s v="Pankaj Patil"/>
    <s v="No"/>
    <s v="rajesh.dadiya@amns.in"/>
    <s v="8551099224"/>
    <s v="21452"/>
    <s v="Dhruv Vyas"/>
    <s v="Anil Matoo"/>
    <s v="Praveen Kuruvalli"/>
    <s v="Dhruv Vyas"/>
    <n v="0"/>
  </r>
  <r>
    <n v="2094"/>
    <n v="20036519"/>
    <s v="Kamal Tamboli"/>
    <s v="AM/NS India"/>
    <s v="Onroll"/>
    <s v="L-02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Office Attendant"/>
    <m/>
    <s v="Pune Operations"/>
    <s v="Administration"/>
    <s v="Administration"/>
    <s v="Non Technical Support"/>
    <s v="Administration"/>
    <s v="Housekeeping"/>
    <s v="74103001"/>
    <s v="Housekeeping"/>
    <s v="Pune Facility"/>
    <d v="1969-10-04T00:00:00"/>
    <s v="53.11"/>
    <d v="1998-04-01T00:00:00"/>
    <d v="2027-10-31T00:00:00"/>
    <m/>
    <d v="2027-10-31T00:00:00"/>
    <n v="1502"/>
    <s v="AB-"/>
    <s v="Non Matric-1983"/>
    <s v=""/>
    <s v="25.05"/>
    <s v="25.05"/>
    <s v="73800072"/>
    <s v="Administration"/>
    <s v="73800282"/>
    <s v="Office Attendant"/>
    <s v="Pune Facility"/>
    <s v="0035950019"/>
    <s v="Pune-Admin"/>
    <s v="2000ESPF"/>
    <s v="20036748"/>
    <s v="Suresh Kadam"/>
    <s v="No"/>
    <s v="kamal.tamboli@amns.in"/>
    <s v="9970244526"/>
    <s v="24455"/>
    <s v="Dhruv Vyas"/>
    <s v="Anil Matoo"/>
    <s v="Praveen Kuruvalli"/>
    <s v="Dhruv Vyas"/>
    <n v="0"/>
  </r>
  <r>
    <n v="2101"/>
    <n v="20036535"/>
    <s v="Johnson Noronha"/>
    <s v="AM/NS India"/>
    <s v="Onroll"/>
    <s v="L-01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Office Attendant"/>
    <m/>
    <s v="Finance &amp; Accounts - Pune"/>
    <s v="Finance &amp; Accounts"/>
    <s v="Documentation"/>
    <s v="Non Technical Support"/>
    <s v="Finance &amp; Accounts"/>
    <s v="Taxation"/>
    <s v="73904002"/>
    <s v="Indirect Taxation"/>
    <s v="Pune Facility"/>
    <d v="1975-06-03T00:00:00"/>
    <s v="48.03"/>
    <d v="1998-04-01T00:00:00"/>
    <d v="2033-06-30T00:00:00"/>
    <m/>
    <d v="2033-06-30T00:00:00"/>
    <n v="3571"/>
    <s v="B-"/>
    <s v="Non Matric-1989"/>
    <s v=""/>
    <s v="25.05"/>
    <s v="25.05"/>
    <s v="73800015"/>
    <s v="Export Documentation"/>
    <s v="73800037"/>
    <s v="Office Attendant"/>
    <s v="Pune Facility"/>
    <s v="0035950020"/>
    <s v="Pune-F&amp;A"/>
    <s v="2000ESPF"/>
    <s v="20036642"/>
    <s v="Narayan Joshi"/>
    <s v="No"/>
    <s v="johnson.norohna@amns.in"/>
    <s v="9158895819"/>
    <s v="22854"/>
    <s v="Dhruv Vyas"/>
    <s v="Anil Matoo"/>
    <s v="Praveen Kuruvalli"/>
    <s v="Dhruv Vyas"/>
    <n v="0"/>
  </r>
  <r>
    <n v="2103"/>
    <n v="20036537"/>
    <s v="Ramdas Ghogare"/>
    <s v="AM/NS India"/>
    <s v="Onroll"/>
    <s v="L-01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Sr.Driver"/>
    <m/>
    <s v="Pune Operations"/>
    <s v="Transport"/>
    <s v="Transport"/>
    <s v="Non Technical Support"/>
    <s v="Administration"/>
    <s v="Travel Services"/>
    <s v="74106002"/>
    <s v="Transport Operations"/>
    <s v="Pune Facility"/>
    <d v="1969-06-01T00:00:00"/>
    <s v="54.03"/>
    <d v="1998-04-01T00:00:00"/>
    <d v="2027-05-31T00:00:00"/>
    <m/>
    <d v="2027-05-31T00:00:00"/>
    <n v="1349"/>
    <s v="A-"/>
    <s v="Non Matric-1984"/>
    <s v="23.00"/>
    <s v="25.05"/>
    <s v="48.05"/>
    <s v="73800072"/>
    <s v="Administration"/>
    <s v="73800311"/>
    <s v="Sr.Driver"/>
    <s v="Pune Facility"/>
    <s v="0035950019"/>
    <s v="Pune-Admin"/>
    <s v="2000ESPF"/>
    <s v="20036748"/>
    <s v="Suresh Kadam"/>
    <s v="No"/>
    <s v="ramdas.ghogare@amns.in"/>
    <s v="9960178572"/>
    <s v="21796"/>
    <s v="Dhruv Vyas"/>
    <s v="Anil Matoo"/>
    <s v="Praveen Kuruvalli"/>
    <s v="Dhruv Vyas"/>
    <n v="0"/>
  </r>
  <r>
    <n v="2111"/>
    <n v="20036549"/>
    <s v="Dattatraya Birajdar"/>
    <s v="AM/NS India"/>
    <s v="Onroll"/>
    <s v="L-01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r.Weigh Bridge Opt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69-07-08T00:00:00"/>
    <s v="54.02"/>
    <d v="1999-03-01T00:00:00"/>
    <d v="2027-07-31T00:00:00"/>
    <m/>
    <d v="2027-07-31T00:00:00"/>
    <n v="1410"/>
    <s v="A-"/>
    <s v="Intermediate-1987"/>
    <s v="08.00"/>
    <s v="24.06"/>
    <s v="32.06"/>
    <s v="73800024"/>
    <s v="General Consumables"/>
    <s v="73800062"/>
    <s v="Sr.Weigh Bridge Optr"/>
    <s v="Pune Facility"/>
    <s v="0035950030"/>
    <s v="Pune - Stores"/>
    <s v="2000ESPF"/>
    <s v="20036403"/>
    <s v="Sanjay Kumbhar"/>
    <s v="No"/>
    <s v="dattatraya.birajdar@amns.in"/>
    <s v="9766275118"/>
    <s v="21293"/>
    <s v="Dhruv Vyas"/>
    <s v="Anil Matoo"/>
    <s v="Praveen Kuruvalli"/>
    <s v="Dhruv Vyas"/>
    <n v="0"/>
  </r>
  <r>
    <n v="2113"/>
    <n v="20036553"/>
    <s v="Manaji Awhale"/>
    <s v="AM/NS India"/>
    <s v="Onroll"/>
    <s v="L-01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Asst.Admin"/>
    <m/>
    <s v="Pune Operations"/>
    <s v="Administration"/>
    <s v="Admin and Housekeeping"/>
    <s v="Non Technical Support"/>
    <s v="Administration"/>
    <s v="Housekeeping"/>
    <s v="74103001"/>
    <s v="Housekeeping"/>
    <s v="Pune Facility"/>
    <d v="1968-10-10T00:00:00"/>
    <s v="54.11"/>
    <d v="1999-03-01T00:00:00"/>
    <d v="2026-10-31T00:00:00"/>
    <m/>
    <d v="2026-10-31T00:00:00"/>
    <n v="1137"/>
    <s v="A-"/>
    <s v="Non Matric-1986"/>
    <s v="06.05"/>
    <s v="24.06"/>
    <s v="30.11"/>
    <s v="73800072"/>
    <s v="Administration"/>
    <s v="73800279"/>
    <s v="Jr.Asst.Admin"/>
    <s v="Pune Facility"/>
    <s v="0035950019"/>
    <s v="Pune-Admin"/>
    <s v="2000ESPF"/>
    <s v="20036748"/>
    <s v="Suresh Kadam"/>
    <s v="No"/>
    <s v="manaji.awhale@amns.in"/>
    <s v="9158895885"/>
    <s v="21105"/>
    <s v="Dhruv Vyas"/>
    <s v="Anil Matoo"/>
    <s v="Praveen Kuruvalli"/>
    <s v="Dhruv Vyas"/>
    <n v="0"/>
  </r>
  <r>
    <n v="2115"/>
    <n v="20036557"/>
    <s v="Suresh Gadade"/>
    <s v="AM/NS India"/>
    <s v="Onroll"/>
    <s v="L-01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Asst.Admin."/>
    <m/>
    <s v="Pune Operations"/>
    <s v="Administration"/>
    <s v="Admin and Canteen"/>
    <s v="Non Technical Support"/>
    <s v="Administration"/>
    <s v="Administration"/>
    <s v="74101001"/>
    <s v="Administration"/>
    <s v="Pune Facility"/>
    <d v="1973-07-10T00:00:00"/>
    <s v="50.02"/>
    <d v="1999-04-01T00:00:00"/>
    <d v="2031-07-31T00:00:00"/>
    <m/>
    <d v="2031-07-31T00:00:00"/>
    <n v="2871"/>
    <s v="O-"/>
    <s v="Non Matric-1989"/>
    <s v=""/>
    <s v="24.05"/>
    <s v="24.05"/>
    <s v="73800072"/>
    <s v="Administration"/>
    <s v="73800274"/>
    <s v="Jr.Asst.Admin."/>
    <s v="Pune Facility"/>
    <s v="0035950019"/>
    <s v="Pune-Admin"/>
    <s v="2000ESPF"/>
    <s v="20036748"/>
    <s v="Suresh Kadam"/>
    <s v="No"/>
    <s v="suresh.gadade@amns.in"/>
    <s v="9158895994"/>
    <s v="21721"/>
    <s v="Dhruv Vyas"/>
    <s v="Anil Matoo"/>
    <s v="Praveen Kuruvalli"/>
    <s v="Dhruv Vyas"/>
    <n v="0"/>
  </r>
  <r>
    <n v="2137"/>
    <n v="20036591"/>
    <s v="Deepak Nikumbh"/>
    <s v="AM/NS India"/>
    <s v="Onroll"/>
    <s v="M-7"/>
    <n v="7"/>
    <m/>
    <s v="MM"/>
    <s v="M"/>
    <s v="Pune Facility"/>
    <n v="4"/>
    <s v="2084"/>
    <x v="17"/>
    <s v="23.09"/>
    <s v="Anil Matoo"/>
    <s v="Ashutosh Telang"/>
    <n v="6"/>
    <s v="HR &amp; Administration"/>
    <s v="Industrial Relations"/>
    <s v="23"/>
    <s v="Lead - Industrial Relations"/>
    <m/>
    <s v="Industrial Relations"/>
    <s v="Industrial Relation ER"/>
    <s v="Industrial Relation"/>
    <s v="Non Technical Support"/>
    <s v="Human Resources Management"/>
    <s v="Industrial Relations &amp; Labour Law"/>
    <s v="73510000"/>
    <s v="Industrial Relations &amp; La"/>
    <s v="Pune AMNS"/>
    <d v="1974-03-20T00:00:00"/>
    <s v="49.06"/>
    <d v="2000-08-01T00:00:00"/>
    <d v="2032-03-31T00:00:00"/>
    <m/>
    <d v="2032-03-31T00:00:00"/>
    <n v="3115"/>
    <s v="B-"/>
    <s v="BA-1997 , MPM-1997"/>
    <s v="04.08"/>
    <s v="23.01"/>
    <s v="27.09"/>
    <s v="73800070"/>
    <s v="Industrial Relations &amp; Pa"/>
    <s v="70319505"/>
    <s v="Lead - Industrial Relations"/>
    <s v="Pune Facility"/>
    <s v="0035950019"/>
    <s v="Pune-Admin"/>
    <s v="2000ESPF"/>
    <s v="20037245"/>
    <s v="Mukund Jagirdar"/>
    <s v="No"/>
    <s v="deepak.nikumbh@amns.in"/>
    <s v="9158895897"/>
    <s v="22839"/>
    <s v="Dhruv Vyas"/>
    <s v="Anil Matoo"/>
    <s v="Praveen Kuruvalli"/>
    <s v="Dhruv Vyas"/>
    <n v="0"/>
  </r>
  <r>
    <n v="2167"/>
    <n v="20036638"/>
    <s v="Kiran Chaudhari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ection Officer"/>
    <m/>
    <s v="Procurement"/>
    <s v="Row materail and Consumables"/>
    <s v="Purchase"/>
    <s v="Non Technical Support"/>
    <s v="Operations"/>
    <s v="Plant Maintenance"/>
    <s v="72103008"/>
    <s v="Mechanical Maintenance"/>
    <s v="Pune AMNS"/>
    <d v="1976-01-06T00:00:00"/>
    <s v="47.08"/>
    <d v="2003-02-21T00:00:00"/>
    <d v="2034-01-31T00:00:00"/>
    <m/>
    <d v="2034-01-31T00:00:00"/>
    <n v="3786"/>
    <s v="A-"/>
    <s v="Diploma-1994 , Diploma Equivalent-1994 ,"/>
    <s v="04.05"/>
    <s v="20.06"/>
    <s v="24.11"/>
    <s v="73800002"/>
    <s v="Procurement - Pune Asset"/>
    <s v="70376904"/>
    <s v="Section Officer"/>
    <s v="Pune Facility"/>
    <s v="0035950041"/>
    <s v="Pune-Procurement"/>
    <s v="2000ESPF"/>
    <s v="20006536"/>
    <s v="Mahesh Salunke"/>
    <s v="No"/>
    <s v="kiran.chaudhari@amns.in"/>
    <s v="9158895323"/>
    <s v="21360"/>
    <s v="Dhruv Vyas"/>
    <s v="Anil Matoo"/>
    <s v="Praveen Kuruvalli"/>
    <s v="Dhruv Vyas"/>
    <n v="0"/>
  </r>
  <r>
    <n v="2171"/>
    <n v="20036642"/>
    <s v="Narayan Joshi"/>
    <s v="AM/NS India"/>
    <s v="Onroll"/>
    <s v="M-7"/>
    <n v="7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nior Lead"/>
    <m/>
    <s v="Finance &amp; Accounts - Pune"/>
    <s v="Finance &amp; Accounts"/>
    <s v="Export Documentation"/>
    <s v="Non Technical Support"/>
    <s v="Finance &amp; Accounts"/>
    <s v="Taxation"/>
    <s v="73904002"/>
    <s v="Indirect Taxation"/>
    <s v="Pune AMNS"/>
    <d v="1971-12-09T00:00:00"/>
    <s v="51.09"/>
    <d v="2003-04-24T00:00:00"/>
    <d v="2029-12-31T00:00:00"/>
    <m/>
    <d v="2029-12-31T00:00:00"/>
    <n v="2294"/>
    <s v="O-"/>
    <s v="BE-1999 , Diploma Equivalent-1999"/>
    <s v="08.04"/>
    <s v="20.04"/>
    <s v="28.08"/>
    <s v="73800015"/>
    <s v="Export Documentation"/>
    <s v="70271103"/>
    <s v="Senior Lead"/>
    <s v="Pune Facility"/>
    <s v="0035950020"/>
    <s v="Pune-F&amp;A"/>
    <s v="2000ESPF"/>
    <s v="0"/>
    <s v=""/>
    <s v="No"/>
    <s v="narayan.joshi@amns.in"/>
    <s v="9158895818"/>
    <s v="22065"/>
    <s v="Dhruv Vyas"/>
    <s v="Anil Matoo"/>
    <s v="Praveen Kuruvalli"/>
    <s v="Dhruv Vyas"/>
    <n v="0"/>
  </r>
  <r>
    <n v="2178"/>
    <n v="20036652"/>
    <s v="Sachin Shimpi"/>
    <s v="AM/NS India"/>
    <s v="Onroll"/>
    <s v="M-10"/>
    <n v="10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3"/>
    <s v="Accounts Payable"/>
    <s v="Pune AMNS"/>
    <d v="1977-07-12T00:00:00"/>
    <s v="46.02"/>
    <d v="2003-08-03T00:00:00"/>
    <d v="2035-07-31T00:00:00"/>
    <m/>
    <d v="2035-07-31T00:00:00"/>
    <n v="4332"/>
    <s v="A-"/>
    <s v="BCom-1999"/>
    <s v="00.07"/>
    <s v="20.01"/>
    <s v="20.08"/>
    <s v="73800027"/>
    <s v="Account Receivables"/>
    <s v="70319308"/>
    <s v="Lead"/>
    <s v="Pune Facility"/>
    <s v="0035950020"/>
    <s v="Pune-F&amp;A"/>
    <s v="2000ESPF"/>
    <s v="20037239"/>
    <s v="Prashant Shah"/>
    <s v="No"/>
    <s v="sachin.shimpi@amns.in"/>
    <s v="9850192331"/>
    <s v="24159"/>
    <s v="Dhruv Vyas"/>
    <s v="Anil Matoo"/>
    <s v="Praveen Kuruvalli"/>
    <s v="Dhruv Vyas"/>
    <n v="0"/>
  </r>
  <r>
    <n v="2179"/>
    <n v="20036653"/>
    <s v="Suryakant Mandalekar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Finance &amp; Accounts"/>
    <s v="Non Technical Support"/>
    <s v="Finance &amp; Accounts"/>
    <s v="Finance &amp; Accounts"/>
    <s v="73901003"/>
    <s v="Accounts Payable"/>
    <s v="Pune AMNS"/>
    <d v="1973-03-04T00:00:00"/>
    <s v="50.06"/>
    <d v="2003-09-23T00:00:00"/>
    <d v="2031-03-31T00:00:00"/>
    <m/>
    <d v="2031-03-31T00:00:00"/>
    <n v="2749"/>
    <s v="AB-"/>
    <s v="Diploma-2011 , MMS-2011 , Diploma Equiva"/>
    <s v="11.01"/>
    <s v="19.11"/>
    <s v="31.00"/>
    <s v="70418543"/>
    <s v="Finance Controller"/>
    <s v="70376888"/>
    <s v="Lead"/>
    <s v="Pune Facility"/>
    <s v="0035950020"/>
    <s v="Pune-F&amp;A"/>
    <s v="2000ESPF"/>
    <s v="0"/>
    <s v=""/>
    <s v="No"/>
    <s v="suryakant.mandalekar@amns.in"/>
    <s v="9420166909"/>
    <s v="22520"/>
    <s v="Dhruv Vyas"/>
    <s v="Anil Matoo"/>
    <s v="Praveen Kuruvalli"/>
    <s v="Dhruv Vyas"/>
    <n v="0"/>
  </r>
  <r>
    <n v="2194"/>
    <n v="20036674"/>
    <s v="Rahul Khule"/>
    <s v="AM/NS India"/>
    <s v="Onroll"/>
    <s v="M-11"/>
    <n v="11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Asst. 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78-08-22T00:00:00"/>
    <s v="45.00"/>
    <d v="2004-02-04T00:00:00"/>
    <d v="2036-08-31T00:00:00"/>
    <m/>
    <d v="2036-08-31T00:00:00"/>
    <n v="4729"/>
    <s v="B-"/>
    <s v="SSLC-1995"/>
    <s v="02.00"/>
    <s v="19.07"/>
    <s v="21.07"/>
    <s v="73800024"/>
    <s v="General Consumables"/>
    <s v="70319306"/>
    <s v="Asst. Section Officer"/>
    <s v="Pune Facility"/>
    <s v="0035950030"/>
    <s v="Pune - Stores"/>
    <s v="2000ESPF"/>
    <s v="20036403"/>
    <s v="Sanjay Kumbhar"/>
    <s v="Yes"/>
    <s v=""/>
    <s v="9822056554"/>
    <s v="827578"/>
    <s v="Dhruv Vyas"/>
    <s v="Anil Matoo"/>
    <s v="Praveen Kuruvalli"/>
    <s v="Dhruv Vyas"/>
    <n v="0"/>
  </r>
  <r>
    <n v="2242"/>
    <n v="20036748"/>
    <s v="Suresh Kadam"/>
    <s v="AM/NS India"/>
    <s v="Onroll"/>
    <s v="M-6"/>
    <n v="6"/>
    <m/>
    <s v="MM"/>
    <s v="M"/>
    <s v="Pune Facility"/>
    <n v="4"/>
    <s v="2023"/>
    <x v="6"/>
    <s v="24.08"/>
    <s v="Anil Matoo"/>
    <s v="Ashutosh Telang"/>
    <n v="6"/>
    <s v="HR &amp; Administration"/>
    <s v="Administration"/>
    <s v="24"/>
    <s v="Sr. Lead - Administration"/>
    <m/>
    <s v="Administration"/>
    <s v="Administration"/>
    <s v="Administration"/>
    <s v="Non Technical Support"/>
    <s v="Administration"/>
    <s v="Administration"/>
    <s v="74101001"/>
    <s v="Administration"/>
    <s v="Pune AMNS"/>
    <d v="1970-06-01T00:00:00"/>
    <s v="53.03"/>
    <d v="2005-04-11T00:00:00"/>
    <d v="2028-05-31T00:00:00"/>
    <m/>
    <d v="2028-05-31T00:00:00"/>
    <n v="1715"/>
    <s v="A-"/>
    <s v="BE-1993"/>
    <s v="09.01"/>
    <s v="18.05"/>
    <s v="27.06"/>
    <s v="73800072"/>
    <s v="Administration"/>
    <s v="70271104"/>
    <s v="Sr. Lead - Administration"/>
    <s v="Pune Facility"/>
    <s v="0035950019"/>
    <s v="Pune-Admin"/>
    <s v="2000ESPF"/>
    <s v="20037245"/>
    <s v="Mukund Jagirdar"/>
    <s v="No"/>
    <s v="suresh.kadam@amns.in"/>
    <s v="9158895880"/>
    <s v="22097"/>
    <s v="Dhruv Vyas"/>
    <s v="Anil Matoo"/>
    <s v="Praveen Kuruvalli"/>
    <s v="Dhruv Vyas"/>
    <n v="0"/>
  </r>
  <r>
    <n v="2243"/>
    <n v="20036749"/>
    <s v="Uday Dhamale"/>
    <s v="AM/NS India"/>
    <s v="Onroll"/>
    <s v="L-04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Asst.Store Keep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80-12-21T00:00:00"/>
    <s v="42.09"/>
    <d v="2005-04-12T00:00:00"/>
    <d v="2038-12-31T00:00:00"/>
    <m/>
    <d v="2038-12-31T00:00:00"/>
    <n v="5581"/>
    <s v="O-"/>
    <s v="BCom-2010 , MBA-2010"/>
    <s v="02.11"/>
    <s v="18.05"/>
    <s v="21.04"/>
    <s v="73800023"/>
    <s v="Raw Materials"/>
    <s v="73800048"/>
    <s v="Asst.Store Keeper"/>
    <s v="Pune Facility"/>
    <s v="0035950030"/>
    <s v="Pune - Stores"/>
    <s v="2000ESPF"/>
    <s v="20036934"/>
    <s v="Atul Patwardhan"/>
    <s v="No"/>
    <s v="uday.dhamale@amns.in"/>
    <s v="9604373261"/>
    <s v="21642"/>
    <s v="Dhruv Vyas"/>
    <s v="Anil Matoo"/>
    <s v="Praveen Kuruvalli"/>
    <s v="Dhruv Vyas"/>
    <n v="0"/>
  </r>
  <r>
    <n v="2250"/>
    <n v="20036757"/>
    <s v="Milind Chavan"/>
    <s v="AM/NS India"/>
    <s v="Onroll"/>
    <s v="M-7"/>
    <n v="7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GST"/>
    <s v="Non Technical Support"/>
    <s v="Finance &amp; Accounts"/>
    <s v="Taxation"/>
    <s v="73904002"/>
    <s v="Indirect Taxation"/>
    <s v="Pune AMNS"/>
    <d v="1970-05-15T00:00:00"/>
    <s v="53.04"/>
    <d v="2005-06-13T00:00:00"/>
    <d v="2028-05-31T00:00:00"/>
    <m/>
    <d v="2028-05-31T00:00:00"/>
    <n v="1715"/>
    <s v="B-"/>
    <s v="Diploma Equivalent-2015 , MBA-2015 , Cer"/>
    <s v="05.11"/>
    <s v="18.03"/>
    <s v="24.02"/>
    <s v="73800067"/>
    <s v="Excise"/>
    <s v="70318872"/>
    <s v="Lead"/>
    <s v="Pune Facility"/>
    <s v="0035950020"/>
    <s v="Pune-F&amp;A"/>
    <s v="2000ESPF"/>
    <s v="20037274"/>
    <s v="Imtiyazkhan Pathan"/>
    <s v="No"/>
    <s v="milind.chavan@amns.in"/>
    <s v="9158895849"/>
    <s v="21392"/>
    <s v="Dhruv Vyas"/>
    <s v="Anil Matoo"/>
    <s v="Praveen Kuruvalli"/>
    <s v="Dhruv Vyas"/>
    <n v="0"/>
  </r>
  <r>
    <n v="2282"/>
    <n v="20036803"/>
    <s v="Vilas Walunj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ection Manager"/>
    <m/>
    <s v="Procurement"/>
    <s v="Service and Contract"/>
    <s v="Purchase"/>
    <s v="Non Technical Support"/>
    <s v="Commercial"/>
    <s v="Purchase"/>
    <s v="73804001"/>
    <s v="Purchase"/>
    <s v="Pune AMNS"/>
    <d v="1979-11-26T00:00:00"/>
    <s v="43.09"/>
    <d v="2006-01-06T00:00:00"/>
    <d v="2037-11-30T00:00:00"/>
    <m/>
    <d v="2037-11-30T00:00:00"/>
    <n v="5185"/>
    <s v="O-"/>
    <s v="BSc-2009 , Diploma-2009"/>
    <s v="01.09"/>
    <s v="17.08"/>
    <s v="19.05"/>
    <s v="73800002"/>
    <s v="Procurement - Pune Asset"/>
    <s v="70319260"/>
    <s v="Section Manager"/>
    <s v="Pune Facility"/>
    <s v="0035950041"/>
    <s v="Pune-Procurement"/>
    <s v="2000ESPF"/>
    <s v="20006536"/>
    <s v="Mahesh Salunke"/>
    <s v="No"/>
    <s v="vilas.walunj@amns.in"/>
    <s v="9158895843"/>
    <s v="24748"/>
    <s v="Dhruv Vyas"/>
    <s v="Anil Matoo"/>
    <s v="Praveen Kuruvalli"/>
    <s v="Dhruv Vyas"/>
    <n v="0"/>
  </r>
  <r>
    <n v="2300"/>
    <n v="20036827"/>
    <s v="Pritam Jagtap"/>
    <s v="AM/NS India"/>
    <s v="Onroll"/>
    <s v="L-05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ASST. SECTION OFFICER"/>
    <m/>
    <s v="Finance &amp; Accounts - Pune"/>
    <s v="Finance &amp; Accounts"/>
    <s v="GST"/>
    <s v="Non Technical Support"/>
    <s v="Projects"/>
    <s v="Projects"/>
    <s v="72103036"/>
    <s v="Projects"/>
    <s v="Pune Facility"/>
    <d v="1984-06-24T00:00:00"/>
    <s v="39.02"/>
    <d v="2006-04-04T00:00:00"/>
    <d v="2042-06-30T00:00:00"/>
    <m/>
    <d v="2042-06-30T00:00:00"/>
    <n v="6858"/>
    <s v="AB-"/>
    <s v="Post Diploma Course-2005 , MBA-2005 , MA"/>
    <s v="02.09"/>
    <s v="17.05"/>
    <s v="20.02"/>
    <s v="73800021"/>
    <s v="Excise"/>
    <s v="73800256"/>
    <s v="ASST. SECTION OFFICER"/>
    <s v="Pune Facility"/>
    <s v="0035950020"/>
    <s v="Pune-F&amp;A"/>
    <s v="2000ESPF"/>
    <s v="20037274"/>
    <s v="Imtiyazkhan Pathan"/>
    <s v="No"/>
    <s v="pritam.jagtap@amns.in"/>
    <s v="9960406661"/>
    <s v="21960"/>
    <s v="Dhruv Vyas"/>
    <s v="Anil Matoo"/>
    <s v="Praveen Kuruvalli"/>
    <s v="Dhruv Vyas"/>
    <n v="0"/>
  </r>
  <r>
    <n v="2302"/>
    <n v="20036829"/>
    <s v="Sunil Hawaldar"/>
    <s v="AM/NS India"/>
    <s v="Onroll"/>
    <s v="M-6"/>
    <n v="6"/>
    <m/>
    <s v="MM"/>
    <s v="M"/>
    <s v="Pune Facility"/>
    <n v="4"/>
    <s v="2043"/>
    <x v="3"/>
    <s v="31.01"/>
    <s v="Hrishikesh Kamat"/>
    <s v="Hrishikesh Kamat"/>
    <n v="7"/>
    <s v="Procurement"/>
    <s v="Procurement"/>
    <s v="31"/>
    <s v="Section In charge - Purchase"/>
    <m/>
    <s v="Procurement"/>
    <s v="Mechanical Spares"/>
    <s v="Mechanical Spares"/>
    <s v="Non Technical Support"/>
    <s v="Commercial"/>
    <s v="Purchase"/>
    <s v="73804001"/>
    <s v="Purchase"/>
    <s v="Pune AMNS"/>
    <d v="1973-09-23T00:00:00"/>
    <s v="49.11"/>
    <d v="2006-04-10T00:00:00"/>
    <d v="2031-09-30T00:00:00"/>
    <m/>
    <d v="2031-09-30T00:00:00"/>
    <n v="2932"/>
    <s v="A-"/>
    <s v="Diploma-2009 , Certificate-2009 , SSLC-1"/>
    <s v="10.06"/>
    <s v="17.05"/>
    <s v="27.11"/>
    <s v="73800002"/>
    <s v="Procurement - Pune Asset"/>
    <s v="70271117"/>
    <s v="Section In charge - Purchase"/>
    <s v="Pune Facility"/>
    <s v="0035950041"/>
    <s v="Pune-Procurement"/>
    <s v="2000ESPF"/>
    <s v="20006536"/>
    <s v="Mahesh Salunke"/>
    <s v="No"/>
    <s v="sunil.hawaldar@amns.in"/>
    <s v="9158895840"/>
    <s v="21906"/>
    <s v="Dhruv Vyas"/>
    <s v="Anil Matoo"/>
    <s v="Praveen Kuruvalli"/>
    <s v="Dhruv Vyas"/>
    <n v="0"/>
  </r>
  <r>
    <n v="2315"/>
    <n v="20036844"/>
    <s v="Santosh Kumar Pandey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ASST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80-01-30T00:00:00"/>
    <s v="43.07"/>
    <d v="2006-06-01T00:00:00"/>
    <d v="2038-01-31T00:00:00"/>
    <m/>
    <d v="2038-01-31T00:00:00"/>
    <n v="5247"/>
    <s v="B-"/>
    <s v="SSLC-1995"/>
    <s v=""/>
    <s v="17.03"/>
    <s v="17.03"/>
    <s v="73800072"/>
    <s v="Administration"/>
    <s v="73800315"/>
    <s v="ASST. SECTION OFFICER"/>
    <s v="Pune Facility"/>
    <s v="0035950019"/>
    <s v="Pune-Admin"/>
    <s v="2000ESPF"/>
    <s v="20036748"/>
    <s v="Suresh Kadam"/>
    <s v="No"/>
    <s v="santoshkumar.pandey@amns.in"/>
    <s v="9960770196"/>
    <s v="22935"/>
    <s v="Dhruv Vyas"/>
    <s v="Anil Matoo"/>
    <s v="Praveen Kuruvalli"/>
    <s v="Dhruv Vyas"/>
    <n v="0"/>
  </r>
  <r>
    <n v="2316"/>
    <n v="20036845"/>
    <s v="Rupchand Yadav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 Section Officer - Tra"/>
    <m/>
    <s v="Pune Operations"/>
    <s v="Transport"/>
    <s v="Transport"/>
    <s v="Non Technical Support"/>
    <s v="Administration"/>
    <s v="Travel Services"/>
    <s v="74106002"/>
    <s v="Transport Operations"/>
    <s v="Pune Facility"/>
    <d v="1975-05-05T00:00:00"/>
    <s v="48.04"/>
    <d v="2006-06-01T00:00:00"/>
    <d v="2033-05-31T00:00:00"/>
    <m/>
    <d v="2033-05-31T00:00:00"/>
    <n v="3541"/>
    <s v="O-"/>
    <s v="Intermediate-1993"/>
    <s v=""/>
    <s v="17.03"/>
    <s v="17.03"/>
    <s v="73800072"/>
    <s v="Administration"/>
    <s v="73800316"/>
    <s v="Jr. Section Officer - Tra"/>
    <s v="Pune Facility"/>
    <s v="0035950019"/>
    <s v="Pune-Admin"/>
    <s v="2000ESPF"/>
    <s v="20036748"/>
    <s v="Suresh Kadam"/>
    <s v="No"/>
    <s v="rupchand.yadav@amns.in"/>
    <s v="9421015349"/>
    <s v="24783"/>
    <s v="Dhruv Vyas"/>
    <s v="Anil Matoo"/>
    <s v="Praveen Kuruvalli"/>
    <s v="Dhruv Vyas"/>
    <n v="0"/>
  </r>
  <r>
    <n v="2329"/>
    <n v="20036863"/>
    <s v="Pradeep Kamble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Lead - Procurement"/>
    <m/>
    <s v="Procurement"/>
    <s v="Electrical Spares"/>
    <s v="Purchase"/>
    <s v="Non Technical Support"/>
    <s v="Commercial"/>
    <s v="Purchase"/>
    <s v="73804001"/>
    <s v="Purchase"/>
    <s v="Pune AMNS"/>
    <d v="1981-11-27T00:00:00"/>
    <s v="41.09"/>
    <d v="2006-07-03T00:00:00"/>
    <d v="2039-11-30T00:00:00"/>
    <m/>
    <d v="2039-11-30T00:00:00"/>
    <n v="5915"/>
    <s v="A-"/>
    <s v="Intermediate-2002 , BCom-2002"/>
    <s v="02.02"/>
    <s v="17.02"/>
    <s v="19.04"/>
    <s v="73800002"/>
    <s v="Procurement - Pune Asset"/>
    <s v="70273872"/>
    <s v="ASST. SECTION MANAGER"/>
    <s v="Pune Facility"/>
    <s v="0035950041"/>
    <s v="Pune-Procurement"/>
    <s v="2000ESPF"/>
    <s v="20006536"/>
    <s v="Mahesh Salunke"/>
    <s v="No"/>
    <s v="pradeep.kamble@amns.in"/>
    <s v="9158895846"/>
    <s v="22119"/>
    <s v="Dhruv Vyas"/>
    <s v="Anil Matoo"/>
    <s v="Praveen Kuruvalli"/>
    <s v="Dhruv Vyas"/>
    <n v="0"/>
  </r>
  <r>
    <n v="2333"/>
    <n v="20036873"/>
    <s v="Vrushali Nagare"/>
    <s v="AM/NS India"/>
    <s v="Onroll"/>
    <s v="M-8"/>
    <n v="8"/>
    <m/>
    <s v="JM"/>
    <s v="F"/>
    <s v="Pune Facility"/>
    <n v="4"/>
    <s v="2031"/>
    <x v="10"/>
    <s v="14.01"/>
    <s v="Ranjan Dhar"/>
    <s v="Alain Legrix De La Salle"/>
    <n v="3"/>
    <s v="Sales &amp; Marketing"/>
    <s v="Sales &amp; Marketing"/>
    <s v="14"/>
    <s v="Sr. Section Officer"/>
    <m/>
    <s v="Export"/>
    <s v="Export"/>
    <s v="Export"/>
    <s v="Non Technical Support"/>
    <s v="R&amp; D and QA/QC"/>
    <s v="QA &amp; QC"/>
    <s v="72103034"/>
    <s v="QA &amp; QC"/>
    <s v="Pune AMNS"/>
    <d v="1983-09-23T00:00:00"/>
    <s v="39.11"/>
    <d v="2006-08-01T00:00:00"/>
    <d v="2041-09-30T00:00:00"/>
    <m/>
    <d v="2041-09-30T00:00:00"/>
    <n v="6585"/>
    <s v="B-"/>
    <s v="BSc-2010 , PG Diploma in Management-2010"/>
    <s v="03.02"/>
    <s v="17.01"/>
    <s v="20.03"/>
    <s v="70495379"/>
    <s v="Chief Marketing Officer - AMNS ME FZE"/>
    <s v="73800161"/>
    <s v="KAM - Export Sales"/>
    <s v="Pune Facility"/>
    <s v="0035950028"/>
    <s v="Pune- QA/QC"/>
    <s v="2000ESPF"/>
    <s v="20055663"/>
    <s v="Karamath Syed"/>
    <s v="No"/>
    <s v="vrushali.nagare@amns.in"/>
    <s v="9158892124"/>
    <s v="22755"/>
    <s v="Dhruv Vyas"/>
    <s v="Anil Matoo"/>
    <s v="Praveen Kuruvalli"/>
    <s v="Dhruv Vyas"/>
    <n v="0"/>
  </r>
  <r>
    <n v="2348"/>
    <n v="20036894"/>
    <s v="Nand Kumar Jha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ection Engineer - Purchase"/>
    <m/>
    <s v="Procurement"/>
    <s v="Service and Contract"/>
    <s v="Purchase"/>
    <s v="Non Technical Support"/>
    <s v="Administration"/>
    <s v="Travel Services"/>
    <s v="74106002"/>
    <s v="Transport Operations"/>
    <s v="Pune AMNS"/>
    <d v="1968-10-02T00:00:00"/>
    <s v="54.11"/>
    <d v="2006-10-24T00:00:00"/>
    <d v="2026-10-31T00:00:00"/>
    <m/>
    <d v="2026-10-31T00:00:00"/>
    <n v="1137"/>
    <s v="B-"/>
    <s v="Certificate-2004 , Certificate-2004 , BT"/>
    <s v="30.00"/>
    <s v="16.10"/>
    <s v="46.11"/>
    <s v="73800002"/>
    <s v="Procurement - Pune Asset"/>
    <s v="70319669"/>
    <s v="Section Engineer - Purchase"/>
    <s v="Pune Facility"/>
    <s v="0035950041"/>
    <s v="Pune-Procurement"/>
    <s v="2000ESPF"/>
    <s v="20006536"/>
    <s v="Mahesh Salunke"/>
    <s v="No"/>
    <s v="nandkumar.jha@amns.in"/>
    <s v="9158895882"/>
    <s v="22032"/>
    <s v="Dhruv Vyas"/>
    <s v="Anil Matoo"/>
    <s v="Praveen Kuruvalli"/>
    <s v="Dhruv Vyas"/>
    <n v="0"/>
  </r>
  <r>
    <n v="2356"/>
    <n v="20036904"/>
    <s v="Prakash Gavhane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GST"/>
    <s v="Non Technical Support"/>
    <s v="Finance &amp; Accounts"/>
    <s v="Taxation"/>
    <s v="73904002"/>
    <s v="Indirect Taxation"/>
    <s v="Pune AMNS"/>
    <d v="1978-08-26T00:00:00"/>
    <s v="45.00"/>
    <d v="2006-12-01T00:00:00"/>
    <d v="2036-08-31T00:00:00"/>
    <m/>
    <d v="2036-08-31T00:00:00"/>
    <n v="4729"/>
    <s v="B-"/>
    <s v="BCom-2002"/>
    <s v="00.08"/>
    <s v="16.09"/>
    <s v="17.05"/>
    <s v="73800067"/>
    <s v="Excise"/>
    <s v="70376865"/>
    <s v="Lead"/>
    <s v="Pune Facility"/>
    <s v="0035950020"/>
    <s v="Pune-F&amp;A"/>
    <s v="2000ESPF"/>
    <s v="20036757"/>
    <s v="Milind Chavan"/>
    <s v="No"/>
    <s v="prakash.gavhane@amns.in"/>
    <s v="7798986819"/>
    <s v="21777"/>
    <s v="Dhruv Vyas"/>
    <s v="Anil Matoo"/>
    <s v="Praveen Kuruvalli"/>
    <s v="Dhruv Vyas"/>
    <n v="0"/>
  </r>
  <r>
    <n v="2358"/>
    <n v="20036908"/>
    <s v="Sachin Chavan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r. Section Officer"/>
    <m/>
    <s v="Procurement"/>
    <s v="Row materail and Consumables"/>
    <s v="Purchase"/>
    <s v="Non Technical Support"/>
    <s v="Commercial"/>
    <s v="Purchase"/>
    <s v="73804001"/>
    <s v="Purchase"/>
    <s v="Pune AMNS"/>
    <d v="1983-06-01T00:00:00"/>
    <s v="40.03"/>
    <d v="2006-12-25T00:00:00"/>
    <d v="2041-05-31T00:00:00"/>
    <m/>
    <d v="2041-05-31T00:00:00"/>
    <n v="6463"/>
    <s v="O-"/>
    <s v="BCom-2006 , MCom-2006"/>
    <s v=""/>
    <s v="16.08"/>
    <s v="16.08"/>
    <s v="73800002"/>
    <s v="Procurement - Pune Asset"/>
    <s v="70319270"/>
    <s v="Sr. Section Officer"/>
    <s v="Pune Facility"/>
    <s v="0035950041"/>
    <s v="Pune-Procurement"/>
    <s v="2000ESPF"/>
    <s v="20006536"/>
    <s v="Mahesh Salunke"/>
    <s v="No"/>
    <s v="sachin.chavan@amns.in"/>
    <s v="7798986811"/>
    <s v="21394"/>
    <s v="Dhruv Vyas"/>
    <s v="Anil Matoo"/>
    <s v="Praveen Kuruvalli"/>
    <s v="Dhruv Vyas"/>
    <n v="0"/>
  </r>
  <r>
    <n v="2371"/>
    <n v="20036929"/>
    <s v="Shiv Kumar Bharadwaj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West"/>
    <s v="Hypermart"/>
    <s v="Domestic"/>
    <s v="Non Technical Support"/>
    <s v="Sales &amp; Marketing"/>
    <s v="Sales"/>
    <s v="73104004"/>
    <s v="OEM Sales"/>
    <s v="Pune AMNS"/>
    <d v="1971-07-15T00:00:00"/>
    <s v="52.02"/>
    <d v="2007-02-12T00:00:00"/>
    <d v="2029-07-31T00:00:00"/>
    <m/>
    <d v="2029-07-31T00:00:00"/>
    <n v="2141"/>
    <s v="B-"/>
    <s v="BA-1994 , Diploma-1994"/>
    <s v="11.08"/>
    <s v="16.07"/>
    <s v="28.02"/>
    <s v="00048138"/>
    <s v="Hypermart west"/>
    <s v="70277711"/>
    <s v="Sales Manager - Hypermart"/>
    <s v="Pune Facility"/>
    <s v="0035950073"/>
    <s v="Pune - S&amp;D Export"/>
    <s v="2000ESPF"/>
    <s v="20056847"/>
    <s v="Vikas Chotia"/>
    <s v="No"/>
    <s v="shiv.bhardwaj@amns.in"/>
    <s v="9930136640"/>
    <s v="21232"/>
    <s v="Dhruv Vyas"/>
    <s v="Anil Matoo"/>
    <s v="Praveen Kuruvalli"/>
    <s v="Dhruv Vyas"/>
    <n v="0"/>
  </r>
  <r>
    <n v="2374"/>
    <n v="20036934"/>
    <s v="Atul Patwardhan"/>
    <s v="AM/NS India"/>
    <s v="Onroll"/>
    <s v="M-8"/>
    <n v="8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MANAG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70-02-23T00:00:00"/>
    <s v="53.06"/>
    <d v="2007-02-20T00:00:00"/>
    <d v="2028-02-29T00:00:00"/>
    <m/>
    <d v="2028-02-29T00:00:00"/>
    <n v="1623"/>
    <s v="A-"/>
    <s v="MCom-1992"/>
    <s v="12.02"/>
    <s v="16.06"/>
    <s v="28.08"/>
    <s v="73800023"/>
    <s v="Raw Materials"/>
    <s v="73800045"/>
    <s v="SECTION MANAGER"/>
    <s v="Pune Facility"/>
    <s v="0035950030"/>
    <s v="Pune - Stores"/>
    <s v="2000ESPF"/>
    <s v="20006536"/>
    <s v="Mahesh Salunke"/>
    <s v="No"/>
    <s v="atul.patwardhan@amns.in"/>
    <s v="9158895928"/>
    <s v="23479"/>
    <s v="Dhruv Vyas"/>
    <s v="Anil Matoo"/>
    <s v="Praveen Kuruvalli"/>
    <s v="Dhruv Vyas"/>
    <n v="0"/>
  </r>
  <r>
    <n v="2378"/>
    <n v="20036940"/>
    <s v="Jyoti Phadtale"/>
    <s v="AM/NS India"/>
    <s v="Onroll"/>
    <s v="M-10"/>
    <n v="10"/>
    <m/>
    <s v="JM"/>
    <s v="F"/>
    <s v="Pune Facility"/>
    <n v="4"/>
    <s v="2043"/>
    <x v="3"/>
    <s v="31.01"/>
    <s v="Hrishikesh Kamat"/>
    <s v="Hrishikesh Kamat"/>
    <n v="7"/>
    <s v="Procurement"/>
    <s v="Procurement"/>
    <s v="31"/>
    <s v="Section Officer"/>
    <m/>
    <s v="Procurement"/>
    <s v="Service and Contract"/>
    <s v="Purchase"/>
    <s v="Non Technical Support"/>
    <s v="Finance &amp; Accounts"/>
    <s v="Finance &amp; Accounts"/>
    <s v="73901003"/>
    <s v="Accounts Payable"/>
    <s v="Pune AMNS"/>
    <d v="1981-02-24T00:00:00"/>
    <s v="42.06"/>
    <d v="2007-03-01T00:00:00"/>
    <d v="2039-02-28T00:00:00"/>
    <m/>
    <d v="2039-02-28T00:00:00"/>
    <n v="5640"/>
    <s v="O-"/>
    <s v="MCom-2005 , Certificate-2005 , BCom-2001"/>
    <s v="04.11"/>
    <s v="16.06"/>
    <s v="21.05"/>
    <s v="73800002"/>
    <s v="Procurement - Pune Asset"/>
    <s v="73800082"/>
    <s v="Section Officer"/>
    <s v="Pune Facility"/>
    <s v="0035950041"/>
    <s v="Pune-Procurement"/>
    <s v="2000ESPF"/>
    <s v="20006536"/>
    <s v="Mahesh Salunke"/>
    <s v="No"/>
    <s v="jyoti.gaware@amns.in"/>
    <s v="9158229060"/>
    <s v="21780"/>
    <s v="Dhruv Vyas"/>
    <s v="Anil Matoo"/>
    <s v="Praveen Kuruvalli"/>
    <s v="Dhruv Vyas"/>
    <n v="0"/>
  </r>
  <r>
    <n v="2379"/>
    <n v="20036941"/>
    <s v="Sagar Timbadia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r. Section Officer"/>
    <m/>
    <s v="Procurement"/>
    <s v="Mechanical Spares"/>
    <s v="Purchase"/>
    <s v="Non Technical Support"/>
    <s v="Commercial"/>
    <s v="Purchase"/>
    <s v="73804001"/>
    <s v="Purchase"/>
    <s v="Pune AMNS"/>
    <d v="1986-04-07T00:00:00"/>
    <s v="37.05"/>
    <d v="2007-03-01T00:00:00"/>
    <d v="2044-04-30T00:00:00"/>
    <m/>
    <d v="2044-04-30T00:00:00"/>
    <n v="7528"/>
    <s v="B-"/>
    <s v="BSc-2011 , Certificate-2011"/>
    <s v=""/>
    <s v="16.06"/>
    <s v="16.06"/>
    <s v="73800002"/>
    <s v="Procurement - Pune Asset"/>
    <s v="70273911"/>
    <s v="Sr. Section Officer"/>
    <s v="Pune Facility"/>
    <s v="0035950041"/>
    <s v="Pune-Procurement"/>
    <s v="2000ESPF"/>
    <s v="20006536"/>
    <s v="Mahesh Salunke"/>
    <s v="No"/>
    <s v="sagar.timbadia@amns.in"/>
    <s v="7798986812"/>
    <s v="24525"/>
    <s v="Dhruv Vyas"/>
    <s v="Anil Matoo"/>
    <s v="Praveen Kuruvalli"/>
    <s v="Dhruv Vyas"/>
    <n v="0"/>
  </r>
  <r>
    <n v="2402"/>
    <n v="20036977"/>
    <s v="Anisha Bansode"/>
    <s v="AM/NS India"/>
    <s v="Onroll"/>
    <s v="M-10"/>
    <n v="10"/>
    <m/>
    <s v="JM"/>
    <s v="F"/>
    <s v="Pune Facility"/>
    <n v="4"/>
    <s v="2023"/>
    <x v="6"/>
    <s v="24.08"/>
    <s v="Anil Matoo"/>
    <s v="Ashutosh Telang"/>
    <n v="6"/>
    <s v="HR &amp; Administration"/>
    <s v="Administration"/>
    <s v="24"/>
    <s v="Section Officer"/>
    <m/>
    <s v="Pune Operations"/>
    <s v="Administration"/>
    <s v="Front Office Services"/>
    <s v="Non Technical Support"/>
    <s v="Administration"/>
    <s v="Customer Operations"/>
    <s v="74102004"/>
    <s v="Front Office Services"/>
    <s v="Pune AMNS"/>
    <d v="1983-06-02T00:00:00"/>
    <s v="40.03"/>
    <d v="2007-06-25T00:00:00"/>
    <d v="2041-06-30T00:00:00"/>
    <m/>
    <d v="2041-06-30T00:00:00"/>
    <n v="6493"/>
    <s v="A-"/>
    <s v="BCom-2006"/>
    <s v="00.05"/>
    <s v="16.02"/>
    <s v="16.07"/>
    <s v="73800072"/>
    <s v="Administration"/>
    <s v="73800275"/>
    <s v="Section Officer"/>
    <s v="Pune Facility"/>
    <s v="0035950019"/>
    <s v="Pune-Admin"/>
    <s v="2000ESPF"/>
    <s v="20036748"/>
    <s v="Suresh Kadam"/>
    <s v="No"/>
    <s v="anisha.bansode@amns.in"/>
    <s v="9881397441"/>
    <s v="21162"/>
    <s v="Dhruv Vyas"/>
    <s v="Anil Matoo"/>
    <s v="Praveen Kuruvalli"/>
    <s v="Dhruv Vyas"/>
    <n v="0"/>
  </r>
  <r>
    <n v="2404"/>
    <n v="20036980"/>
    <s v="Vijay Nebapure"/>
    <s v="AM/NS India"/>
    <s v="Onroll"/>
    <s v="M-9"/>
    <n v="9"/>
    <m/>
    <s v="JM"/>
    <s v="M"/>
    <s v="Pune Facility"/>
    <n v="4"/>
    <s v="2084"/>
    <x v="17"/>
    <s v="23.09"/>
    <s v="Anil Matoo"/>
    <s v="Ashutosh Telang"/>
    <n v="6"/>
    <s v="HR &amp; Administration"/>
    <s v="Industrial Relations"/>
    <s v="23"/>
    <s v="Section Officer"/>
    <m/>
    <s v="Pune Operations"/>
    <s v="Administration"/>
    <s v="Welfer Officer"/>
    <s v="Non Technical Support"/>
    <s v="Human Resources Management"/>
    <s v="Payroll Shared Services"/>
    <s v="73509002"/>
    <s v="Payroll Administration"/>
    <s v="Pune AMNS"/>
    <d v="1982-06-12T00:00:00"/>
    <s v="41.03"/>
    <d v="2007-07-02T00:00:00"/>
    <d v="2040-06-30T00:00:00"/>
    <m/>
    <d v="2040-06-30T00:00:00"/>
    <n v="6128"/>
    <s v="AB-"/>
    <s v="MA-2013 , MPM-2013"/>
    <s v="03.00"/>
    <s v="16.02"/>
    <s v="19.02"/>
    <s v="73800070"/>
    <s v="Industrial Relations &amp; Pa"/>
    <s v="70376876"/>
    <s v="Section Officer"/>
    <s v="Pune Facility"/>
    <s v="0035950019"/>
    <s v="Pune-Admin"/>
    <s v="2000ESPF"/>
    <s v="20036591"/>
    <s v="Deepak Nikumbh"/>
    <s v="No"/>
    <s v="vijay.nebapure@amns.in"/>
    <s v="9158895144"/>
    <s v="22827"/>
    <s v="Dhruv Vyas"/>
    <s v="Anil Matoo"/>
    <s v="Praveen Kuruvalli"/>
    <s v="Dhruv Vyas"/>
    <n v="0"/>
  </r>
  <r>
    <n v="2418"/>
    <n v="20037003"/>
    <s v="Sandip Deshmukh"/>
    <s v="AM/NS India"/>
    <s v="Onroll"/>
    <s v="L-05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82-06-01T00:00:00"/>
    <s v="41.03"/>
    <d v="2007-08-11T00:00:00"/>
    <d v="2040-05-31T00:00:00"/>
    <m/>
    <d v="2040-05-31T00:00:00"/>
    <n v="6098"/>
    <s v="A-"/>
    <s v="BA-2008 , Certificate-2008 , Certificate"/>
    <s v="03.01"/>
    <s v="16.01"/>
    <s v="19.02"/>
    <s v="73800023"/>
    <s v="Raw Materials"/>
    <s v="70273912"/>
    <s v="SECTION OFFICER"/>
    <s v="Pune Facility"/>
    <s v="0035950030"/>
    <s v="Pune - Stores"/>
    <s v="2000ESPF"/>
    <s v="20036934"/>
    <s v="Atul Patwardhan"/>
    <s v="No"/>
    <s v="sandip.deshmukh@amns.in"/>
    <s v="8108098084"/>
    <s v="21618"/>
    <s v="Dhruv Vyas"/>
    <s v="Anil Matoo"/>
    <s v="Praveen Kuruvalli"/>
    <s v="Dhruv Vyas"/>
    <n v="0"/>
  </r>
  <r>
    <n v="2425"/>
    <n v="20037017"/>
    <s v="Manisha Raut"/>
    <s v="AM/NS India"/>
    <s v="Onroll"/>
    <s v="M-10"/>
    <n v="10"/>
    <m/>
    <s v="JM"/>
    <s v="F"/>
    <s v="Pune Facility"/>
    <n v="4"/>
    <s v="2023"/>
    <x v="6"/>
    <s v="24.08"/>
    <s v="Anil Matoo"/>
    <s v="Ashutosh Telang"/>
    <n v="6"/>
    <s v="HR &amp; Administration"/>
    <s v="Administration"/>
    <s v="24"/>
    <s v="Section Officer"/>
    <m/>
    <s v="Pune Operations"/>
    <s v="Administration"/>
    <s v="Admin &amp; Front Office Services"/>
    <s v="Non Technical Support"/>
    <s v="Administration"/>
    <s v="Customer Operations"/>
    <s v="74102004"/>
    <s v="Front Office Services"/>
    <s v="Pune AMNS"/>
    <d v="1974-09-26T00:00:00"/>
    <s v="48.11"/>
    <d v="2007-09-04T00:00:00"/>
    <d v="2032-09-30T00:00:00"/>
    <m/>
    <d v="2032-09-30T00:00:00"/>
    <n v="3298"/>
    <s v="B-"/>
    <s v="Intermediate-1993"/>
    <s v="02.09"/>
    <s v="16.00"/>
    <s v="18.09"/>
    <s v="73800072"/>
    <s v="Administration"/>
    <s v="70376861"/>
    <s v="Section Officer"/>
    <s v="Pune Facility"/>
    <s v="0035950019"/>
    <s v="Pune-Admin"/>
    <s v="2000ESPF"/>
    <s v="20036748"/>
    <s v="Suresh Kadam"/>
    <s v="No"/>
    <s v="manisha.raut@amns.in"/>
    <s v="9158895754"/>
    <s v="23755"/>
    <s v="Dhruv Vyas"/>
    <s v="Anil Matoo"/>
    <s v="Praveen Kuruvalli"/>
    <s v="Dhruv Vyas"/>
    <n v="0"/>
  </r>
  <r>
    <n v="2426"/>
    <n v="20037020"/>
    <s v="Shripad Sudame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Lead"/>
    <m/>
    <s v="Stores &amp; Warehouse"/>
    <s v="Stores &amp; Warehouse"/>
    <s v="Documentation"/>
    <s v="Non Technical Support"/>
    <s v="Finance &amp; Accounts"/>
    <s v="Finance &amp; Accounts"/>
    <s v="73901003"/>
    <s v="Accounts Payable"/>
    <s v="Pune AMNS"/>
    <d v="1968-12-23T00:00:00"/>
    <s v="54.08"/>
    <d v="2007-09-19T00:00:00"/>
    <d v="2026-12-31T00:00:00"/>
    <m/>
    <d v="2026-12-31T00:00:00"/>
    <n v="1198"/>
    <s v="A-"/>
    <s v="BCom-1991"/>
    <s v="15.11"/>
    <s v="16.00"/>
    <s v="31.10"/>
    <s v="73800023"/>
    <s v="Raw Materials"/>
    <s v="70376866"/>
    <s v="Lead"/>
    <s v="Pune Facility"/>
    <s v="0035950020"/>
    <s v="Pune-F&amp;A"/>
    <s v="2000ESPF"/>
    <s v="20036934"/>
    <s v="Atul Patwardhan"/>
    <s v="No"/>
    <s v="shripad.sudame@amns.in"/>
    <s v="9922913610"/>
    <s v="24377"/>
    <s v="Dhruv Vyas"/>
    <s v="Anil Matoo"/>
    <s v="Praveen Kuruvalli"/>
    <s v="Dhruv Vyas"/>
    <n v="0"/>
  </r>
  <r>
    <n v="2439"/>
    <n v="20037044"/>
    <s v="Vikas Ahankari"/>
    <s v="AM/NS India"/>
    <s v="Onroll"/>
    <s v="M-6"/>
    <n v="6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West"/>
    <s v="Hypermart"/>
    <s v="National Sales"/>
    <s v="Non Technical Support"/>
    <s v="Sales &amp; Marketing"/>
    <s v="Sales"/>
    <s v="73104004"/>
    <s v="OEM Sales"/>
    <s v="Pune AMNS"/>
    <d v="1978-05-20T00:00:00"/>
    <s v="45.04"/>
    <d v="2008-01-21T00:00:00"/>
    <d v="2036-05-31T00:00:00"/>
    <m/>
    <d v="2036-05-31T00:00:00"/>
    <n v="4637"/>
    <s v="A-"/>
    <s v="BE-1999"/>
    <s v="05.10"/>
    <s v="15.07"/>
    <s v="21.05"/>
    <s v="00048138"/>
    <s v="Hypermart west"/>
    <s v="70271023"/>
    <s v="Sales Manager - Hypermart"/>
    <s v="Pune Facility"/>
    <s v="0035950073"/>
    <s v="Pune - S&amp;D Export"/>
    <s v="2000ESPF"/>
    <s v="20056847"/>
    <s v="Vikas Chotia"/>
    <s v="No"/>
    <s v="vikas.ahankari@amns.in"/>
    <s v="9930136637"/>
    <s v="21041"/>
    <s v="Dhruv Vyas"/>
    <s v="Anil Matoo"/>
    <s v="Praveen Kuruvalli"/>
    <s v="Dhruv Vyas"/>
    <n v="0"/>
  </r>
  <r>
    <n v="2447"/>
    <n v="20037068"/>
    <s v="Ishwar Pingale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78-06-06T00:00:00"/>
    <s v="45.03"/>
    <d v="2008-03-20T00:00:00"/>
    <d v="2036-06-30T00:00:00"/>
    <m/>
    <d v="2036-06-30T00:00:00"/>
    <n v="4667"/>
    <s v="B-"/>
    <s v="MBA-2010 , BA-2010"/>
    <s v="02.05"/>
    <s v="15.06"/>
    <s v="17.10"/>
    <s v="73800024"/>
    <s v="General Consumables"/>
    <s v="70273914"/>
    <s v="Section Officer"/>
    <s v="Pune Facility"/>
    <s v="0035950030"/>
    <s v="Pune - Stores"/>
    <s v="2000ESPF"/>
    <s v="20036403"/>
    <s v="Sanjay Kumbhar"/>
    <s v="No"/>
    <s v="ishwar.pingale@amns.in"/>
    <s v="9604378396"/>
    <s v="23502"/>
    <s v="Dhruv Vyas"/>
    <s v="Anil Matoo"/>
    <s v="Praveen Kuruvalli"/>
    <s v="Dhruv Vyas"/>
    <n v="0"/>
  </r>
  <r>
    <n v="2449"/>
    <n v="20037070"/>
    <s v="Juber Shaikh"/>
    <s v="AM/NS India"/>
    <s v="Onroll"/>
    <s v="L-05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Asst.Indirect Tax"/>
    <m/>
    <s v="Finance &amp; Accounts - Pune"/>
    <s v="Finance &amp; Accounts"/>
    <s v="GST"/>
    <s v="Non Technical Support"/>
    <s v="Finance &amp; Accounts"/>
    <s v="Taxation"/>
    <s v="73904002"/>
    <s v="Indirect Taxation"/>
    <s v="Pune Facility"/>
    <d v="1986-01-20T00:00:00"/>
    <s v="37.07"/>
    <d v="2008-04-01T00:00:00"/>
    <d v="2044-01-31T00:00:00"/>
    <m/>
    <d v="2044-01-31T00:00:00"/>
    <n v="7438"/>
    <s v="O-"/>
    <s v="BCom-2006"/>
    <s v="00.03"/>
    <s v="15.05"/>
    <s v="15.08"/>
    <s v="73800021"/>
    <s v="Excise"/>
    <s v="70273915"/>
    <s v="Asst.Indirect Tax"/>
    <s v="Pune Facility"/>
    <s v="0035950020"/>
    <s v="Pune-F&amp;A"/>
    <s v="2000ESPF"/>
    <s v="20037274"/>
    <s v="Imtiyazkhan Pathan"/>
    <s v="No"/>
    <s v="juber.shaikh@amns.in"/>
    <s v="8552938899"/>
    <s v="24063"/>
    <s v="Dhruv Vyas"/>
    <s v="Anil Matoo"/>
    <s v="Praveen Kuruvalli"/>
    <s v="Dhruv Vyas"/>
    <n v="0"/>
  </r>
  <r>
    <n v="2450"/>
    <n v="20037071"/>
    <s v="Amit Chandaliy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Export Sales"/>
    <m/>
    <s v="Coated Sales"/>
    <s v="Coated Sales"/>
    <s v=""/>
    <s v="Non Technical Support"/>
    <s v="Sales &amp; Marketing"/>
    <s v="Sales"/>
    <s v="73104004"/>
    <s v="OEM Sales"/>
    <s v="Mumbai"/>
    <d v="1984-05-14T00:00:00"/>
    <s v="39.04"/>
    <d v="2008-04-01T00:00:00"/>
    <d v="2042-05-31T00:00:00"/>
    <m/>
    <d v="2042-05-31T00:00:00"/>
    <n v="6828"/>
    <s v="A-"/>
    <s v="B Pharma-2008 , PG Diploma-2008"/>
    <s v=""/>
    <s v="15.05"/>
    <s v="15.05"/>
    <s v="00043882"/>
    <s v="International Sales"/>
    <s v="70372450"/>
    <s v="Head Coated Sales"/>
    <s v="Hazira"/>
    <s v="0031950057"/>
    <s v="HZ-HRC - Marketing"/>
    <s v="2000HWO"/>
    <s v="20007104"/>
    <s v="Ranjan Dhar"/>
    <s v="No"/>
    <s v="amit.chandaliya@amns.in"/>
    <s v="9930136644"/>
    <s v="21339"/>
    <s v="Dhruv Vyas"/>
    <s v="Anil Matoo"/>
    <s v="Praveen Kuruvalli"/>
    <s v="Dhruv Vyas"/>
    <n v="0"/>
  </r>
  <r>
    <n v="2452"/>
    <n v="20037074"/>
    <s v="Balasaheb Mahale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69-06-06T00:00:00"/>
    <s v="54.03"/>
    <d v="2008-04-02T00:00:00"/>
    <d v="2027-06-30T00:00:00"/>
    <m/>
    <d v="2027-06-30T00:00:00"/>
    <n v="1379"/>
    <s v="O-"/>
    <s v="BCom-1991"/>
    <s v="15.02"/>
    <s v="15.05"/>
    <s v="30.07"/>
    <s v="73800024"/>
    <s v="General Consumables"/>
    <s v="70319307"/>
    <s v="Section Officer"/>
    <s v="Pune Facility"/>
    <s v="0035950030"/>
    <s v="Pune - Stores"/>
    <s v="2000ESPF"/>
    <s v="20036403"/>
    <s v="Sanjay Kumbhar"/>
    <s v="No"/>
    <s v="balasaheb.mahale@amns.in"/>
    <s v="9766654569"/>
    <s v="22466"/>
    <s v="Dhruv Vyas"/>
    <s v="Anil Matoo"/>
    <s v="Praveen Kuruvalli"/>
    <s v="Dhruv Vyas"/>
    <n v="0"/>
  </r>
  <r>
    <n v="2455"/>
    <n v="20037079"/>
    <s v="Prashant Zalke"/>
    <s v="AM/NS India"/>
    <s v="Onroll"/>
    <s v="M-9"/>
    <n v="9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Sr. Section Officer"/>
    <m/>
    <s v="West"/>
    <s v="Hypermart"/>
    <s v="Domestic"/>
    <s v="Non Technical Support"/>
    <s v="Sales &amp; Marketing"/>
    <s v="Sales &amp; Marketing"/>
    <s v="73101001"/>
    <s v="Sales &amp; Marketing"/>
    <s v="Pune AMNS"/>
    <d v="1981-07-23T00:00:00"/>
    <s v="42.01"/>
    <d v="2008-04-12T00:00:00"/>
    <d v="2039-07-31T00:00:00"/>
    <m/>
    <d v="2039-07-31T00:00:00"/>
    <n v="5793"/>
    <s v="B-"/>
    <s v="Intermediate-1999"/>
    <s v="01.04"/>
    <s v="15.05"/>
    <s v="16.09"/>
    <s v="00048138"/>
    <s v="Hypermart west"/>
    <s v="70277713"/>
    <s v="Sales Manager - Hypermart"/>
    <s v="Pune Facility"/>
    <s v="0035950073"/>
    <s v="Pune - S&amp;D Export"/>
    <s v="2000ESPF"/>
    <s v="20056847"/>
    <s v="Vikas Chotia"/>
    <s v="No"/>
    <s v="prashant.zalke@amns.in"/>
    <s v="9158895817"/>
    <s v="24808"/>
    <s v="Dhruv Vyas"/>
    <s v="Anil Matoo"/>
    <s v="Praveen Kuruvalli"/>
    <s v="Dhruv Vyas"/>
    <n v="0"/>
  </r>
  <r>
    <n v="2456"/>
    <n v="20037081"/>
    <s v="Savio Lainez"/>
    <s v="AM/NS India"/>
    <s v="Onroll"/>
    <s v="M-4"/>
    <n v="4"/>
    <m/>
    <s v="S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Head - Sales &amp; Marketing, Pune"/>
    <m/>
    <s v="Coated Sales"/>
    <s v="National Sales"/>
    <s v="National Sales"/>
    <s v="Non Technical Support"/>
    <s v="Human Resources Management"/>
    <s v="Human Resources Management"/>
    <s v="73501001"/>
    <s v="Human Resources"/>
    <s v="Mumbai"/>
    <d v="1966-07-14T00:00:00"/>
    <s v="57.02"/>
    <d v="2008-04-24T00:00:00"/>
    <d v="2024-07-31T00:00:00"/>
    <m/>
    <d v="2024-07-31T00:00:00"/>
    <n v="315"/>
    <s v="A-"/>
    <s v="BSc-1993 , Diploma Equivalent-1993"/>
    <s v="20.07"/>
    <s v="15.04"/>
    <s v="35.11"/>
    <s v="70265784"/>
    <s v="Sales &amp; Marketing - Pune Asset"/>
    <s v="73800222"/>
    <s v="Head - Sales &amp; Marketing, Pune"/>
    <s v="Pune Facility"/>
    <s v="0035950073"/>
    <s v="Pune - S&amp;D Export"/>
    <s v="2000ESPF"/>
    <s v="20055091"/>
    <s v="Akshaya Gujral"/>
    <s v="No"/>
    <s v="savio.lainez@amns.in"/>
    <s v="9930136635"/>
    <s v="22414"/>
    <s v="Dhruv Vyas"/>
    <s v="Anil Matoo"/>
    <s v="Praveen Kuruvalli"/>
    <s v="Dhruv Vyas"/>
    <n v="0"/>
  </r>
  <r>
    <n v="2457"/>
    <n v="20037086"/>
    <s v="Ganesh Gaikwad"/>
    <s v="AM/NS India"/>
    <s v="Onroll"/>
    <s v="L-05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Asst.Indirect Tax"/>
    <m/>
    <s v="Finance &amp; Accounts - Pune"/>
    <s v="Finance &amp; Accounts"/>
    <s v="EXIM &amp; Custom"/>
    <s v="Non Technical Support"/>
    <s v="Finance &amp; Accounts"/>
    <s v="Taxation"/>
    <s v="73904002"/>
    <s v="Indirect Taxation"/>
    <s v="Pune Facility"/>
    <d v="1987-06-26T00:00:00"/>
    <s v="36.02"/>
    <d v="2008-05-12T00:00:00"/>
    <d v="2045-06-30T00:00:00"/>
    <m/>
    <d v="2045-06-30T00:00:00"/>
    <n v="7954"/>
    <s v="A-"/>
    <s v="Intermediate-2005"/>
    <s v=""/>
    <s v="15.04"/>
    <s v="15.04"/>
    <s v="73800021"/>
    <s v="Excise"/>
    <s v="73800029"/>
    <s v="Asst.Indirect Tax"/>
    <s v="Pune Facility"/>
    <s v="0035950020"/>
    <s v="Pune-F&amp;A"/>
    <s v="2000ESPF"/>
    <s v="20037274"/>
    <s v="Imtiyazkhan Pathan"/>
    <s v="No"/>
    <s v="ganesh.gaikwad@amns.in"/>
    <s v="9823919399"/>
    <s v="21729"/>
    <s v="Dhruv Vyas"/>
    <s v="Anil Matoo"/>
    <s v="Praveen Kuruvalli"/>
    <s v="Dhruv Vyas"/>
    <n v="0"/>
  </r>
  <r>
    <n v="2458"/>
    <n v="20037087"/>
    <s v="Midhilesh Kumar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SECTION OFFICER"/>
    <m/>
    <s v="Export"/>
    <s v="Export"/>
    <s v="Export"/>
    <s v="Non Technical Support"/>
    <s v="Finance &amp; Accounts"/>
    <s v="Taxation"/>
    <s v="73904002"/>
    <s v="Indirect Taxation"/>
    <s v="Pune AMNS"/>
    <d v="1987-06-16T00:00:00"/>
    <s v="36.03"/>
    <d v="2008-05-12T00:00:00"/>
    <d v="2045-06-30T00:00:00"/>
    <m/>
    <d v="2045-06-30T00:00:00"/>
    <n v="7954"/>
    <s v="A-"/>
    <s v="Intermediate-2008 , Bachelor Equivalent-"/>
    <s v=""/>
    <s v="15.04"/>
    <s v="15.04"/>
    <s v="70495379"/>
    <s v="Chief Marketing Officer - AMNS ME FZE"/>
    <s v="70273916"/>
    <s v="KAM - Export Sales"/>
    <s v="Pune Facility"/>
    <s v="0035950073"/>
    <s v="Pune - S&amp;D Export"/>
    <s v="2000ESPF"/>
    <s v="20055663"/>
    <s v="Karamath Syed"/>
    <s v="No"/>
    <s v="midhilesh.kumar@amns.in"/>
    <s v="9158895082"/>
    <s v="22331"/>
    <s v="Dhruv Vyas"/>
    <s v="Anil Matoo"/>
    <s v="Praveen Kuruvalli"/>
    <s v="Dhruv Vyas"/>
    <n v="0"/>
  </r>
  <r>
    <n v="2466"/>
    <n v="20037100"/>
    <s v="Devendra Rathod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Finance &amp; Accounts"/>
    <s v="Non Technical Support"/>
    <s v="Finance &amp; Accounts"/>
    <s v="Treasury"/>
    <s v="73903001"/>
    <s v="Treasury"/>
    <s v="Mumbai"/>
    <d v="1974-10-02T00:00:00"/>
    <s v="48.11"/>
    <d v="2008-06-10T00:00:00"/>
    <d v="2032-10-31T00:00:00"/>
    <m/>
    <d v="2032-10-31T00:00:00"/>
    <n v="3329"/>
    <s v="AB-"/>
    <s v="Certificate-1998 , BCom-1998"/>
    <s v="11.02"/>
    <s v="15.03"/>
    <s v="26.05"/>
    <s v="70494410"/>
    <s v="Finance Controller 1"/>
    <s v="70376862"/>
    <s v="Lead"/>
    <s v="Pune Facility"/>
    <s v="0035950020"/>
    <s v="Pune-F&amp;A"/>
    <s v="2000ESPF"/>
    <s v="20007731"/>
    <s v="Ashish Mehta"/>
    <s v="No"/>
    <s v="devendra.rathod@amns.in"/>
    <s v="9769621236"/>
    <s v="23736"/>
    <s v="Dhruv Vyas"/>
    <s v="Anil Matoo"/>
    <s v="Praveen Kuruvalli"/>
    <s v="Dhruv Vyas"/>
    <n v="0"/>
  </r>
  <r>
    <n v="2491"/>
    <n v="20037138"/>
    <s v="Sanjay Chunekar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DY. SECTION MANAGER"/>
    <m/>
    <s v="Coated Sales"/>
    <s v="Coated Sales"/>
    <s v="Domestic"/>
    <s v="Non Technical Support"/>
    <s v="Sales &amp; Marketing"/>
    <s v="Sales"/>
    <s v="73104004"/>
    <s v="OEM Sales"/>
    <s v="Mumbai"/>
    <d v="1975-12-19T00:00:00"/>
    <s v="47.09"/>
    <d v="2008-07-14T00:00:00"/>
    <d v="2033-12-31T00:00:00"/>
    <m/>
    <d v="2033-12-31T00:00:00"/>
    <n v="3755"/>
    <s v="O-"/>
    <s v="BCom-1998"/>
    <s v="08.07"/>
    <s v="15.02"/>
    <s v="23.09"/>
    <s v="00043882"/>
    <s v="International Sales"/>
    <s v="70277712"/>
    <s v="KAM - Coated Sales"/>
    <s v="Pune Facility"/>
    <s v="0035950074"/>
    <s v="Pune - S&amp;d Domestic"/>
    <s v="2000ESPF"/>
    <s v="20037071"/>
    <s v="Amit Chandaliya"/>
    <s v="No"/>
    <s v="sanjay.chunekar@amns.in"/>
    <s v="9930134718"/>
    <s v="21443"/>
    <s v="Dhruv Vyas"/>
    <s v="Anil Matoo"/>
    <s v="Praveen Kuruvalli"/>
    <s v="Dhruv Vyas"/>
    <n v="0"/>
  </r>
  <r>
    <n v="2494"/>
    <n v="20037146"/>
    <s v="Neeta Satav"/>
    <s v="AM/NS India"/>
    <s v="Onroll"/>
    <s v="M-10"/>
    <n v="10"/>
    <m/>
    <s v="JM"/>
    <s v="F"/>
    <s v="Pune Facility"/>
    <n v="4"/>
    <s v="2015"/>
    <x v="1"/>
    <s v="22.06"/>
    <s v="Anil Matoo"/>
    <s v="Ashutosh Telang"/>
    <n v="6"/>
    <s v="HR &amp; Administration"/>
    <s v="Human Resources"/>
    <s v="22"/>
    <s v="Section Officer"/>
    <m/>
    <s v="Pune Operations"/>
    <s v="Administration"/>
    <s v="Recuritment"/>
    <s v="Non Technical Support"/>
    <s v="Human Resources Management"/>
    <s v="Compensation &amp; Benefits"/>
    <s v="73504001"/>
    <s v="Compensation &amp; Benefits"/>
    <s v="Pune AMNS"/>
    <d v="1986-08-06T00:00:00"/>
    <s v="37.01"/>
    <d v="2008-07-16T00:00:00"/>
    <d v="2044-08-31T00:00:00"/>
    <m/>
    <d v="2044-08-31T00:00:00"/>
    <n v="7651"/>
    <s v="AB-"/>
    <s v="Diploma-2008"/>
    <s v=""/>
    <s v="15.02"/>
    <s v="15.02"/>
    <s v="73800068"/>
    <s v="Pune HR Operations &amp; Administration"/>
    <s v="70415282"/>
    <s v="Section Officer"/>
    <s v="Pune Facility"/>
    <s v="0035950019"/>
    <s v="Pune-Admin"/>
    <s v="2000ESPF"/>
    <s v="20037245"/>
    <s v="Mukund Jagirdar"/>
    <s v="No"/>
    <s v="neeta.satav@amns.in"/>
    <s v="7875649364"/>
    <s v="23943"/>
    <s v="Dhruv Vyas"/>
    <s v="Anil Matoo"/>
    <s v="Praveen Kuruvalli"/>
    <s v="Dhruv Vyas"/>
    <n v="0"/>
  </r>
  <r>
    <n v="2509"/>
    <n v="20037177"/>
    <s v="Pradip Biswas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- Export Sales"/>
    <m/>
    <s v="Export"/>
    <s v="Export"/>
    <s v=""/>
    <s v="Non Technical Support"/>
    <s v="Sales &amp; Marketing"/>
    <s v="Sales"/>
    <s v="73104004"/>
    <s v="OEM Sales"/>
    <s v="Mumbai"/>
    <d v="1969-01-19T00:00:00"/>
    <s v="54.08"/>
    <d v="2008-08-11T00:00:00"/>
    <d v="2027-01-31T00:00:00"/>
    <m/>
    <d v="2027-01-31T00:00:00"/>
    <n v="1229"/>
    <s v="B-"/>
    <s v="Intermediate-1992 , BA-1992"/>
    <s v="16.02"/>
    <s v="15.01"/>
    <s v="31.03"/>
    <s v="70495379"/>
    <s v="Chief Marketing Officer - AMNS ME FZE"/>
    <s v="70336259"/>
    <s v="Sr. KAM - Export Sales"/>
    <s v="Hazira"/>
    <s v="0031950057"/>
    <s v="HZ-HRC - Marketing"/>
    <s v="2000HWO"/>
    <s v="20055663"/>
    <s v="Karamath Syed"/>
    <s v="No"/>
    <s v="pradip.biswas@amns.in"/>
    <s v="9930136642"/>
    <s v="21300"/>
    <s v="Dhruv Vyas"/>
    <s v="Anil Matoo"/>
    <s v="Praveen Kuruvalli"/>
    <s v="Dhruv Vyas"/>
    <n v="0"/>
  </r>
  <r>
    <n v="2511"/>
    <n v="20037180"/>
    <s v="Santosh Sathe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ASST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85-08-03T00:00:00"/>
    <s v="38.01"/>
    <d v="2008-08-18T00:00:00"/>
    <d v="2043-08-31T00:00:00"/>
    <m/>
    <d v="2043-08-31T00:00:00"/>
    <n v="7285"/>
    <s v="O-"/>
    <s v="Intermediate-2006 , Certificate-2006"/>
    <s v=""/>
    <s v="15.01"/>
    <s v="15.01"/>
    <s v="73800072"/>
    <s v="Administration"/>
    <s v="70376872"/>
    <s v="ASST. SECTION OFFICER"/>
    <s v="Pune Facility"/>
    <s v="0035950019"/>
    <s v="Pune-Admin"/>
    <s v="2000ESPF"/>
    <s v="20036748"/>
    <s v="Suresh Kadam"/>
    <s v="No"/>
    <s v="santosh.sathe@amns.in"/>
    <s v="9637040461"/>
    <s v="23950"/>
    <s v="Dhruv Vyas"/>
    <s v="Anil Matoo"/>
    <s v="Praveen Kuruvalli"/>
    <s v="Dhruv Vyas"/>
    <n v="0"/>
  </r>
  <r>
    <n v="2515"/>
    <n v="20037185"/>
    <s v="Shilpa Darekar"/>
    <s v="AM/NS India"/>
    <s v="Onroll"/>
    <s v="M-10"/>
    <n v="10"/>
    <m/>
    <s v="JM"/>
    <s v="F"/>
    <s v="Pune Facility"/>
    <n v="4"/>
    <s v="2023"/>
    <x v="6"/>
    <s v="24.08"/>
    <s v="Anil Matoo"/>
    <s v="Ashutosh Telang"/>
    <n v="6"/>
    <s v="HR &amp; Administration"/>
    <s v="Administration"/>
    <s v="24"/>
    <s v="Section Officer"/>
    <m/>
    <s v="Pune Operations"/>
    <s v="Administration"/>
    <s v="Admin. And Billing"/>
    <s v="Non Technical Support"/>
    <s v="Administration"/>
    <s v="Administration"/>
    <s v="74101001"/>
    <s v="Administration"/>
    <s v="Pune AMNS"/>
    <d v="1977-02-14T00:00:00"/>
    <s v="46.07"/>
    <d v="2008-08-25T00:00:00"/>
    <d v="2035-02-28T00:00:00"/>
    <m/>
    <d v="2035-02-28T00:00:00"/>
    <n v="4179"/>
    <s v="O-"/>
    <s v="BA-2002 , MA-2002 , Intermediate-1999"/>
    <s v=""/>
    <s v="15.00"/>
    <s v="15.00"/>
    <s v="73800072"/>
    <s v="Administration"/>
    <s v="73800272"/>
    <s v="Section Officer"/>
    <s v="Pune Facility"/>
    <s v="0035950019"/>
    <s v="Pune-Admin"/>
    <s v="2000ESPF"/>
    <s v="20036748"/>
    <s v="Suresh Kadam"/>
    <s v="No"/>
    <s v="shilpa.darekar@amns.in"/>
    <s v="8552987333"/>
    <s v="21497"/>
    <s v="Dhruv Vyas"/>
    <s v="Anil Matoo"/>
    <s v="Praveen Kuruvalli"/>
    <s v="Dhruv Vyas"/>
    <n v="0"/>
  </r>
  <r>
    <n v="2517"/>
    <n v="20037187"/>
    <s v="Ramhari Darekar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 Section Officer - Tra"/>
    <m/>
    <s v="Pune Operations"/>
    <s v="Transport"/>
    <s v="Transport"/>
    <s v="Non Technical Support"/>
    <s v="Administration"/>
    <s v="Travel Services"/>
    <s v="74106002"/>
    <s v="Transport Operations"/>
    <s v="Pune Facility"/>
    <d v="1985-08-11T00:00:00"/>
    <s v="38.01"/>
    <d v="2008-08-25T00:00:00"/>
    <d v="2043-08-31T00:00:00"/>
    <m/>
    <d v="2043-08-31T00:00:00"/>
    <n v="7285"/>
    <s v="O-"/>
    <s v="Non Matric-2000"/>
    <s v="02.01"/>
    <s v="15.00"/>
    <s v="17.01"/>
    <s v="73800072"/>
    <s v="Administration"/>
    <s v="73800314"/>
    <s v="Jr. Section Officer - Tra"/>
    <s v="Pune Facility"/>
    <s v="0035950019"/>
    <s v="Pune-Admin"/>
    <s v="2000ESPF"/>
    <s v="20036748"/>
    <s v="Suresh Kadam"/>
    <s v="No"/>
    <s v="ramhari.darekar@amns.in"/>
    <s v="9767784141"/>
    <s v="21492"/>
    <s v="Dhruv Vyas"/>
    <s v="Anil Matoo"/>
    <s v="Praveen Kuruvalli"/>
    <s v="Dhruv Vyas"/>
    <n v="0"/>
  </r>
  <r>
    <n v="2523"/>
    <n v="20037193"/>
    <s v="Pravin Darekar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ASST. 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85-06-22T00:00:00"/>
    <s v="38.03"/>
    <d v="2008-09-03T00:00:00"/>
    <d v="2043-06-30T00:00:00"/>
    <m/>
    <d v="2043-06-30T00:00:00"/>
    <n v="7223"/>
    <s v="B-"/>
    <s v="NAC/NCVT/ITI-2002"/>
    <s v=""/>
    <s v="15.00"/>
    <s v="15.00"/>
    <s v="73800023"/>
    <s v="Raw Materials"/>
    <s v="70376868"/>
    <s v="ASST. SECTION OFFICER"/>
    <s v="Pune Facility"/>
    <s v="0035950030"/>
    <s v="Pune - Stores"/>
    <s v="2000ESPF"/>
    <s v="20036934"/>
    <s v="Atul Patwardhan"/>
    <s v="No"/>
    <s v="pravin.darekar@amns.in"/>
    <s v="9764616877"/>
    <s v="21488"/>
    <s v="Dhruv Vyas"/>
    <s v="Anil Matoo"/>
    <s v="Praveen Kuruvalli"/>
    <s v="Dhruv Vyas"/>
    <n v="0"/>
  </r>
  <r>
    <n v="2524"/>
    <n v="20037194"/>
    <s v="Subhash Bhandare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 Section Officer - Tra"/>
    <m/>
    <s v="Pune Operations"/>
    <s v="Transport"/>
    <s v="Transport"/>
    <s v="Non Technical Support"/>
    <s v="Administration"/>
    <s v="Travel Services"/>
    <s v="74106002"/>
    <s v="Transport Operations"/>
    <s v="Pune Facility"/>
    <d v="1979-01-23T00:00:00"/>
    <s v="44.07"/>
    <d v="2008-09-03T00:00:00"/>
    <d v="2037-01-31T00:00:00"/>
    <m/>
    <d v="2037-01-31T00:00:00"/>
    <n v="4882"/>
    <s v="O-"/>
    <s v="Non Matric-1996"/>
    <s v="01.00"/>
    <s v="15.00"/>
    <s v="16.00"/>
    <s v="73800072"/>
    <s v="Administration"/>
    <s v="73800313"/>
    <s v="Jr. Section Officer - Tra"/>
    <s v="Pune Facility"/>
    <s v="0035950019"/>
    <s v="Pune-Admin"/>
    <s v="2000ESPF"/>
    <s v="20036748"/>
    <s v="Suresh Kadam"/>
    <s v="Yes"/>
    <s v="subhash.bhandare@amns.in"/>
    <s v="9623137854"/>
    <s v="21217"/>
    <s v="Dhruv Vyas"/>
    <s v="Anil Matoo"/>
    <s v="Praveen Kuruvalli"/>
    <s v="Dhruv Vyas"/>
    <n v="0"/>
  </r>
  <r>
    <n v="2525"/>
    <n v="20037195"/>
    <s v="Rahul Shamarav Darekar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Jr. Section Officer - Mec"/>
    <m/>
    <s v="Procurement"/>
    <s v="Stores &amp; Warehouse"/>
    <s v="Stores"/>
    <s v="Non Technical Support"/>
    <s v="Operations"/>
    <s v="Plant Maintenance"/>
    <s v="72103008"/>
    <s v="Mechanical Maintenance"/>
    <s v="Pune Facility"/>
    <d v="1990-08-23T00:00:00"/>
    <s v="33.00"/>
    <d v="2008-09-03T00:00:00"/>
    <d v="2048-08-31T00:00:00"/>
    <m/>
    <d v="2048-08-31T00:00:00"/>
    <n v="9112"/>
    <s v="B-"/>
    <s v="SSLC-2007 , Certificate-2007"/>
    <s v=""/>
    <s v="15.00"/>
    <s v="15.00"/>
    <s v="73800023"/>
    <s v="Raw Materials"/>
    <s v="73800550"/>
    <s v="Jr. Section Officer - Mec"/>
    <s v="Pune Facility"/>
    <s v="0035950030"/>
    <s v="Pune - Stores"/>
    <s v="2000ESPF"/>
    <s v="20036934"/>
    <s v="Atul Patwardhan"/>
    <s v="No"/>
    <s v="rahul.darekar@amns.in"/>
    <s v="9860638400"/>
    <s v="21489"/>
    <s v="Dhruv Vyas"/>
    <s v="Anil Matoo"/>
    <s v="Praveen Kuruvalli"/>
    <s v="Dhruv Vyas"/>
    <n v="0"/>
  </r>
  <r>
    <n v="2527"/>
    <n v="20037199"/>
    <s v="Jaydeep Satpute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4"/>
    <s v="Accounts Receivables"/>
    <s v="Pune AMNS"/>
    <d v="1980-09-04T00:00:00"/>
    <s v="43.00"/>
    <d v="2008-09-01T00:00:00"/>
    <d v="2038-09-30T00:00:00"/>
    <m/>
    <d v="2038-09-30T00:00:00"/>
    <n v="5489"/>
    <s v="A-"/>
    <s v="Certificate-2011 , MBA-2011 , Post Diplo"/>
    <s v="06.08"/>
    <s v="15.00"/>
    <s v="21.08"/>
    <s v="70418544"/>
    <s v="Costing"/>
    <s v="73800076"/>
    <s v="Lead"/>
    <s v="Pune Facility"/>
    <s v="0035950020"/>
    <s v="Pune-F&amp;A"/>
    <s v="2000ESPF"/>
    <s v="20048971"/>
    <s v="Arindam Ganguly"/>
    <s v="No"/>
    <s v="jaydeep.satpute@amns.in"/>
    <s v="7588075421"/>
    <s v="23961"/>
    <s v="Dhruv Vyas"/>
    <s v="Anil Matoo"/>
    <s v="Praveen Kuruvalli"/>
    <s v="Dhruv Vyas"/>
    <n v="0"/>
  </r>
  <r>
    <n v="2531"/>
    <n v="20037204"/>
    <s v="Vinay Verenkar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Lead"/>
    <m/>
    <s v="Procurement"/>
    <s v="Procurement"/>
    <s v="Procurement"/>
    <s v="Non Technical Support"/>
    <s v="Finance &amp; Accounts"/>
    <s v="Finance &amp; Accounts"/>
    <s v="73901003"/>
    <s v="Accounts Payable"/>
    <s v="Pune AMNS"/>
    <d v="1972-09-02T00:00:00"/>
    <s v="51.00"/>
    <d v="2008-09-15T00:00:00"/>
    <d v="2030-09-30T00:00:00"/>
    <m/>
    <d v="2030-09-30T00:00:00"/>
    <n v="2567"/>
    <s v="B-"/>
    <s v="Intermediate-1993 , BCom-1993"/>
    <s v="13.09"/>
    <s v="15.00"/>
    <s v="28.09"/>
    <s v="73800002"/>
    <s v="Procurement - Pune Asset"/>
    <s v="70319259"/>
    <s v="Lead"/>
    <s v="Pune Facility"/>
    <s v="0035950020"/>
    <s v="Pune-F&amp;A"/>
    <s v="2000ESPF"/>
    <s v="20006536"/>
    <s v="Mahesh Salunke"/>
    <s v="No"/>
    <s v="vinay.verenkar@amns.in"/>
    <s v="9923036976"/>
    <s v="24670"/>
    <s v="Dhruv Vyas"/>
    <s v="Anil Matoo"/>
    <s v="Praveen Kuruvalli"/>
    <s v="Dhruv Vyas"/>
    <n v="0"/>
  </r>
  <r>
    <n v="2532"/>
    <n v="20037206"/>
    <s v="Salim Shaikh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SR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71-07-01T00:00:00"/>
    <s v="52.02"/>
    <d v="2008-10-01T00:00:00"/>
    <d v="2029-06-30T00:00:00"/>
    <m/>
    <d v="2029-06-30T00:00:00"/>
    <n v="2110"/>
    <s v="B-"/>
    <s v="Non Matric-1980"/>
    <s v="17.00"/>
    <s v="14.11"/>
    <s v="31.11"/>
    <s v="73800072"/>
    <s v="Administration"/>
    <s v="73800302"/>
    <s v="SR. SECTION OFFICER"/>
    <s v="Pune Facility"/>
    <s v="0035950019"/>
    <s v="Pune-Admin"/>
    <s v="2000ESPF"/>
    <s v="20036748"/>
    <s v="Suresh Kadam"/>
    <s v="No"/>
    <s v="salim.shaikh1@amns.in"/>
    <s v="9763810633"/>
    <s v="24068"/>
    <s v="Dhruv Vyas"/>
    <s v="Anil Matoo"/>
    <s v="Praveen Kuruvalli"/>
    <s v="Dhruv Vyas"/>
    <n v="0"/>
  </r>
  <r>
    <n v="2537"/>
    <n v="20037219"/>
    <s v="Japani Ansari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ASST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76-02-20T00:00:00"/>
    <s v="47.06"/>
    <d v="2008-12-01T00:00:00"/>
    <d v="2034-02-28T00:00:00"/>
    <m/>
    <d v="2034-02-28T00:00:00"/>
    <n v="3814"/>
    <s v="B-"/>
    <s v="Non Matric-1993"/>
    <s v="08.09"/>
    <s v="14.09"/>
    <s v="23.06"/>
    <s v="73800072"/>
    <s v="Administration"/>
    <s v="73800305"/>
    <s v="ASST. SECTION OFFICER"/>
    <s v="Pune Facility"/>
    <s v="0035950019"/>
    <s v="Pune-Admin"/>
    <s v="2000ESPF"/>
    <s v="20036748"/>
    <s v="Suresh Kadam"/>
    <s v="No"/>
    <s v="japani.ansari@amns.in"/>
    <s v="9730509425"/>
    <s v="21088"/>
    <s v="Dhruv Vyas"/>
    <s v="Anil Matoo"/>
    <s v="Praveen Kuruvalli"/>
    <s v="Dhruv Vyas"/>
    <n v="0"/>
  </r>
  <r>
    <n v="2541"/>
    <n v="20037239"/>
    <s v="Prashant Shah"/>
    <s v="AM/NS India"/>
    <s v="Onroll"/>
    <s v="M-6"/>
    <n v="6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nior Lead"/>
    <m/>
    <s v="Finance &amp; Accounts - Pune"/>
    <s v="Finance &amp; Accounts"/>
    <s v="Accounts Payable"/>
    <s v="Non Technical Support"/>
    <s v="Finance &amp; Accounts"/>
    <s v="Finance &amp; Accounts"/>
    <s v="73901004"/>
    <s v="Accounts Receivables"/>
    <s v="Pune AMNS"/>
    <d v="1975-05-10T00:00:00"/>
    <s v="48.04"/>
    <d v="2010-05-05T00:00:00"/>
    <d v="2033-05-31T00:00:00"/>
    <m/>
    <d v="2033-05-31T00:00:00"/>
    <n v="3541"/>
    <s v="A-"/>
    <s v="BSc-2003 , CA Final-2003"/>
    <s v="06.06"/>
    <s v="13.04"/>
    <s v="19.10"/>
    <s v="73800027"/>
    <s v="Account Receivables"/>
    <s v="70386110"/>
    <s v="Senior Lead"/>
    <s v="Pune Facility"/>
    <s v="0035950020"/>
    <s v="Pune-F&amp;A"/>
    <s v="2000ESPF"/>
    <s v="0"/>
    <s v=""/>
    <s v="No"/>
    <s v="prashant.shah@amns.in"/>
    <s v="7798986828"/>
    <s v="24029"/>
    <s v="Dhruv Vyas"/>
    <s v="Anil Matoo"/>
    <s v="Praveen Kuruvalli"/>
    <s v="Dhruv Vyas"/>
    <n v="0"/>
  </r>
  <r>
    <n v="2542"/>
    <n v="20037245"/>
    <s v="Mukund Jagirdar"/>
    <s v="AM/NS India"/>
    <s v="Onroll"/>
    <s v="M-3"/>
    <n v="3"/>
    <m/>
    <s v="SM"/>
    <s v="M"/>
    <s v="Pune Facility"/>
    <n v="4"/>
    <s v="2015"/>
    <x v="1"/>
    <s v="22.06"/>
    <s v="Anil Matoo"/>
    <s v="Ashutosh Telang"/>
    <n v="6"/>
    <s v="HR &amp; Administration"/>
    <s v="Human Resources"/>
    <s v="22"/>
    <s v="Head HR IR &amp; Admin - Pune Asset"/>
    <m/>
    <s v="Human Resources"/>
    <s v="HR,Admin &amp; IR"/>
    <s v="HR,Admin &amp; IR"/>
    <s v="Non Technical Support"/>
    <s v="Human Resources Management"/>
    <s v="Human Resources Management"/>
    <s v="73501001"/>
    <s v="Human Resources"/>
    <s v="Pune AMNS"/>
    <d v="1964-09-06T00:00:00"/>
    <s v="59.00"/>
    <d v="2010-10-18T00:00:00"/>
    <d v="2022-09-30T00:00:00"/>
    <d v="2024-09-30T00:00:00"/>
    <d v="2024-09-30T00:00:00"/>
    <n v="376"/>
    <s v="O-"/>
    <s v="Master's Equivalent-1999 , Diploma Equiv"/>
    <s v="21.02"/>
    <s v="12.11"/>
    <s v="34.00"/>
    <s v="73800068"/>
    <s v="Pune HR Operations &amp; Administration"/>
    <s v="70320203"/>
    <s v="Head HR IR &amp; Admin - Pune Asset"/>
    <s v="Pune Facility"/>
    <s v="0035950019"/>
    <s v="Pune-Admin"/>
    <s v="2000ESPF"/>
    <s v="20000083"/>
    <s v="Anil Matoo"/>
    <s v="No"/>
    <s v="mukund.jagirdar@amns.in"/>
    <s v="7875440661"/>
    <s v="21959"/>
    <s v="Dhruv Vyas"/>
    <s v="Anil Matoo"/>
    <s v="Praveen Kuruvalli"/>
    <s v="Dhruv Vyas"/>
    <n v="0"/>
  </r>
  <r>
    <n v="2545"/>
    <n v="20037274"/>
    <s v="Imtiyazkhan Pathan"/>
    <s v="AM/NS India"/>
    <s v="Onroll"/>
    <s v="M-7"/>
    <n v="7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ction Head– Indirect Taxation"/>
    <m/>
    <s v="Finance &amp; Accounts - Pune"/>
    <s v="Finance &amp; Accounts"/>
    <s v="Indirect Taxation"/>
    <s v="Non Technical Support"/>
    <s v="Finance &amp; Accounts"/>
    <s v="Taxation"/>
    <s v="73904002"/>
    <s v="Indirect Taxation"/>
    <s v="Pune AMNS"/>
    <d v="1964-06-01T00:00:00"/>
    <s v="59.03"/>
    <d v="1994-04-02T00:00:00"/>
    <d v="2022-05-31T00:00:00"/>
    <d v="2025-05-31T00:00:00"/>
    <d v="2025-05-31T00:00:00"/>
    <n v="619"/>
    <s v="B-"/>
    <s v="BCom-1988 , MCom-1988"/>
    <s v="01.06"/>
    <s v="29.05"/>
    <s v="30.11"/>
    <s v="73800021"/>
    <s v="Excise"/>
    <s v="70386113"/>
    <s v="Section Head– Indirect Taxation"/>
    <s v="Pune Facility"/>
    <s v="0035950020"/>
    <s v="Pune-F&amp;A"/>
    <s v="2000ESPF"/>
    <s v="20055188"/>
    <s v="Rohit Sharma"/>
    <s v="No"/>
    <s v="imtiyazkhan.pathan@amns.in"/>
    <s v="9158895848"/>
    <s v="23430"/>
    <s v="Dhruv Vyas"/>
    <s v="Anil Matoo"/>
    <s v="Praveen Kuruvalli"/>
    <s v="Dhruv Vyas"/>
    <n v="0"/>
  </r>
  <r>
    <n v="2546"/>
    <n v="20037277"/>
    <s v="Sripada Sailendra"/>
    <s v="AM/NS India"/>
    <s v="Onroll"/>
    <s v="M-6"/>
    <n v="6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South"/>
    <s v="OEM"/>
    <s v="Domestic"/>
    <s v="Non Technical Support"/>
    <s v="Sales &amp; Marketing"/>
    <s v="Sales"/>
    <s v="73104004"/>
    <s v="OEM Sales"/>
    <s v="Pune AMNS"/>
    <d v="1976-05-15T00:00:00"/>
    <s v="47.04"/>
    <d v="2007-05-26T00:00:00"/>
    <d v="2034-05-31T00:00:00"/>
    <m/>
    <d v="2034-05-31T00:00:00"/>
    <n v="3906"/>
    <s v="B-"/>
    <s v="MBA-2004 , PG Diploma-2004 , BSc-2000"/>
    <s v="06.04"/>
    <s v="16.03"/>
    <s v="22.07"/>
    <s v="00048814"/>
    <s v="Sales South Zone – Hypermart"/>
    <s v="70271027"/>
    <s v="Sales Manager - Hypermart"/>
    <s v="Pune Facility"/>
    <s v="0035950073"/>
    <s v="Pune - S&amp;D Export"/>
    <s v="2000ESPF"/>
    <s v="20056279"/>
    <s v="Arun G"/>
    <s v="No"/>
    <s v="sripada.sailendra@amns.in"/>
    <s v="9160887755"/>
    <s v="23873"/>
    <s v="Dhruv Vyas"/>
    <s v="Anil Matoo"/>
    <s v="Praveen Kuruvalli"/>
    <s v="Dhruv Vyas"/>
    <n v="0"/>
  </r>
  <r>
    <n v="2551"/>
    <n v="20037479"/>
    <s v="Suranjan Dasgupta"/>
    <s v="AM/NS India"/>
    <s v="Onroll"/>
    <s v="M-4"/>
    <n v="4"/>
    <m/>
    <s v="SM"/>
    <s v="M"/>
    <s v="Corporate"/>
    <n v="7"/>
    <s v="2039"/>
    <x v="2"/>
    <s v="43.01"/>
    <s v="Sangeeta Munjal"/>
    <s v="Manu Kapoor"/>
    <n v="10"/>
    <s v="Corporate Affairs"/>
    <s v="Corporate Affairs"/>
    <s v="43"/>
    <s v="Sr. Lead - Corporate Affairs"/>
    <m/>
    <s v="Corporate Affairs"/>
    <s v="Corporate Relations Group"/>
    <s v="Corporate Relations Group"/>
    <s v="Non Technical Support"/>
    <s v="Corporate Relations"/>
    <s v="Corporate Affairs"/>
    <s v="74501001"/>
    <s v="Corporate Affairs"/>
    <s v="Delhi"/>
    <d v="1971-05-21T00:00:00"/>
    <s v="52.03"/>
    <d v="2011-03-15T00:00:00"/>
    <d v="2029-05-31T00:00:00"/>
    <m/>
    <d v="2029-05-31T00:00:00"/>
    <n v="2080"/>
    <s v="O-"/>
    <s v="PG Diploma in Management-1993 , BCom-199"/>
    <s v="20.00"/>
    <s v="12.06"/>
    <s v="32.06"/>
    <s v="70494938"/>
    <s v="Corporate Affairs"/>
    <s v="70323867"/>
    <s v="JGM - Corporate Affairs"/>
    <s v="Corporate"/>
    <s v="0090000016"/>
    <s v="Corporate Steel - Co"/>
    <s v="2000CS"/>
    <s v="20057928"/>
    <s v="Manu Kapoor"/>
    <s v="No"/>
    <s v="suranjan.dasgupta@amns.in"/>
    <s v="8860641464"/>
    <s v="21529"/>
    <s v="Dhruv Vyas"/>
    <s v="Anil Matoo"/>
    <s v="Praveen Kuruvalli"/>
    <s v="Dhruv Vyas"/>
    <n v="0"/>
  </r>
  <r>
    <n v="2561"/>
    <n v="20037898"/>
    <s v="Sanjib Sinha"/>
    <s v="AM/NS India"/>
    <s v="Onroll"/>
    <s v="M-6"/>
    <n v="6"/>
    <m/>
    <s v="MM"/>
    <s v="M"/>
    <s v="Odisha"/>
    <n v="2"/>
    <s v="2095"/>
    <x v="4"/>
    <n v="36.01"/>
    <s v="Deepak Sindkar"/>
    <s v="Hrishikesh Kamat"/>
    <n v="7"/>
    <s v="Procurement"/>
    <s v="Raw Materials"/>
    <s v="36"/>
    <s v="Section Head - Raw Material Dabuna"/>
    <m/>
    <s v="Bulk Raw Materials"/>
    <s v="Bulck Raw Material"/>
    <s v="Bulck Raw Material"/>
    <s v="Non Technical Support"/>
    <s v="Sales &amp; Marketing"/>
    <s v="Business Development"/>
    <s v="73103001"/>
    <s v="Business Development"/>
    <s v="Dabuna"/>
    <d v="1960-12-25T00:00:00"/>
    <s v="62.08"/>
    <d v="2011-05-02T00:00:00"/>
    <d v="2018-12-31T00:00:00"/>
    <d v="2024-03-31T00:00:00"/>
    <d v="2024-03-31T00:00:00"/>
    <n v="193"/>
    <s v="A-"/>
    <s v="BSc-1989 , MSc-1989"/>
    <s v="21.11"/>
    <s v="12.04"/>
    <s v="34.03"/>
    <s v="70258505"/>
    <s v="Bulk Raw Material"/>
    <s v="70258514"/>
    <s v="Section Head - Raw Material Dabuna"/>
    <s v="Odisha"/>
    <s v="0022010019"/>
    <s v="DBN-Benf-HR/Admin"/>
    <s v="2000STORIS"/>
    <s v="20035527"/>
    <s v="Anil Patro"/>
    <s v="No"/>
    <s v="sanjib.sinha@amns.in"/>
    <s v="8599008447"/>
    <s v="24294"/>
    <s v="Sunila Das"/>
    <s v="Anil Matoo"/>
    <s v="Praveen Kuruvalli"/>
    <s v="Sunila Das"/>
    <n v="0"/>
  </r>
  <r>
    <n v="2563"/>
    <n v="20037995"/>
    <s v="Hitesh Shah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82-08-18T00:00:00"/>
    <s v="41.01"/>
    <d v="2011-05-09T00:00:00"/>
    <d v="2040-08-31T00:00:00"/>
    <m/>
    <d v="2040-08-31T00:00:00"/>
    <n v="6190"/>
    <s v="O+"/>
    <s v="CA Final-2005"/>
    <s v="04.08"/>
    <s v="12.04"/>
    <s v="17.00"/>
    <s v="70074192"/>
    <s v="Corporate Accounts"/>
    <s v="70386084"/>
    <s v="Sr. Lead - Corporate Accounts &amp; Audit"/>
    <s v="Hazira"/>
    <s v="0090000027"/>
    <s v="Corporate Steel - Ac"/>
    <s v="2000HWO"/>
    <s v="20007067"/>
    <s v="Gaurav Bhandari"/>
    <s v="No"/>
    <s v="hitesh.shah@amns.in"/>
    <s v="9879100888"/>
    <s v="24012"/>
    <s v="Dhruv Vyas"/>
    <s v="Anil Matoo"/>
    <s v="Praveen Kuruvalli"/>
    <s v="Dhruv Vyas"/>
    <n v="0"/>
  </r>
  <r>
    <n v="2566"/>
    <n v="20038232"/>
    <s v="Mukesh Maheshwari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-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71-07-08T00:00:00"/>
    <s v="52.02"/>
    <d v="2011-06-06T00:00:00"/>
    <d v="2029-07-31T00:00:00"/>
    <m/>
    <d v="2029-07-31T00:00:00"/>
    <n v="2141"/>
    <s v="O-"/>
    <s v="BCom-1991"/>
    <s v="17.02"/>
    <s v="12.03"/>
    <s v="29.05"/>
    <s v="70074192"/>
    <s v="Corporate Accounts"/>
    <s v="70226680"/>
    <s v="Lead-Corporate Accounts &amp; Audit"/>
    <s v="Hazira"/>
    <s v="0090000027"/>
    <s v="Corporate Steel - Ac"/>
    <s v="2000HWO"/>
    <s v="20007067"/>
    <s v="Gaurav Bhandari"/>
    <s v="No"/>
    <s v="mukesh.maheshwari@amns.in"/>
    <s v="9879102522"/>
    <s v="22476"/>
    <s v="Dhruv Vyas"/>
    <s v="Anil Matoo"/>
    <s v="Praveen Kuruvalli"/>
    <s v="Dhruv Vyas"/>
    <n v="0"/>
  </r>
  <r>
    <n v="2572"/>
    <n v="20038382"/>
    <s v="Natasha Fernandes"/>
    <s v="AM/NS India"/>
    <s v="Onroll"/>
    <s v="M-6"/>
    <n v="6"/>
    <m/>
    <s v="MM"/>
    <s v="F"/>
    <s v="Hazira"/>
    <n v="1"/>
    <s v="2015"/>
    <x v="1"/>
    <s v="22.06"/>
    <s v="Praveen Kuruvalli"/>
    <s v="Ashutosh Telang"/>
    <n v="6"/>
    <s v="HR &amp; Administration"/>
    <s v="Human Resources"/>
    <s v="22"/>
    <s v="Lead - Talent Acquisition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8-07-27T00:00:00"/>
    <s v="35.01"/>
    <d v="2011-06-13T00:00:00"/>
    <d v="2046-07-31T00:00:00"/>
    <m/>
    <d v="2046-07-31T00:00:00"/>
    <n v="8350"/>
    <s v="O-"/>
    <s v="BBA-2011 , MHRM-2011"/>
    <s v=""/>
    <s v="12.03"/>
    <s v="12.03"/>
    <s v="00051785"/>
    <s v="Hazira Project - Human Resources"/>
    <s v="70453202"/>
    <s v="Sr. Lead - Human Resources"/>
    <s v="Hazira"/>
    <s v="0031950061"/>
    <s v="HZ-Human Resource"/>
    <s v="2000HWO"/>
    <s v="20001265"/>
    <s v="Lakshman Iyer"/>
    <s v="No"/>
    <s v="natasha.fernandes@amns.in"/>
    <s v="9909993483"/>
    <s v="21716"/>
    <s v="Dhruv Vyas"/>
    <s v="Anil Matoo"/>
    <s v="Praveen Kuruvalli"/>
    <s v="Dhruv Vyas"/>
    <n v="0"/>
  </r>
  <r>
    <n v="2580"/>
    <n v="20038817"/>
    <s v="Chandra Sekhar Panda"/>
    <s v="AM/NS India"/>
    <s v="Onroll"/>
    <s v="M-9"/>
    <n v="9"/>
    <m/>
    <s v="JM"/>
    <s v="M"/>
    <s v="Odisha"/>
    <n v="2"/>
    <s v="2162"/>
    <x v="18"/>
    <s v="33.01"/>
    <s v="Hrishikesh Kamat"/>
    <s v="Hrishikesh Kamat"/>
    <n v="7"/>
    <s v="Procurement"/>
    <s v="Shipping &amp; Chartering"/>
    <s v="33"/>
    <s v="Lead - Logistics"/>
    <m/>
    <s v="Shipping &amp; Chartering"/>
    <s v="Logistics"/>
    <s v="Logistics"/>
    <s v="Non Technical Support"/>
    <s v="Operations"/>
    <s v="Operations"/>
    <s v="72103001"/>
    <s v="Operations"/>
    <s v="Paradeep"/>
    <d v="1976-10-18T00:00:00"/>
    <s v="46.11"/>
    <d v="2011-06-27T00:00:00"/>
    <d v="2034-10-31T00:00:00"/>
    <m/>
    <d v="2034-10-31T00:00:00"/>
    <n v="4059"/>
    <s v=""/>
    <s v="Certificate-2014 , BTech-2014 , Diploma-"/>
    <s v=""/>
    <s v="12.02"/>
    <s v="12.02"/>
    <s v="70238106"/>
    <s v="Ports &amp; Logistics"/>
    <s v="70307053"/>
    <s v="Lead - Logistics"/>
    <s v="Odisha"/>
    <s v="0022030019"/>
    <s v="PDP-HR &amp; Admn"/>
    <s v="2000STORIS"/>
    <s v="20055165"/>
    <s v="Subhakant Dash"/>
    <s v="No"/>
    <s v="chandrasekhar.panda@amns.in"/>
    <s v="7381007149"/>
    <s v="22919"/>
    <s v="Sunila Das"/>
    <s v="Anil Matoo"/>
    <s v="Praveen Kuruvalli"/>
    <s v="Sunila Das"/>
    <n v="0"/>
  </r>
  <r>
    <n v="2601"/>
    <n v="20038926"/>
    <s v="Shashi Kant Beura"/>
    <s v="AM/NS India"/>
    <s v="Onroll"/>
    <s v="M-8"/>
    <n v="8"/>
    <m/>
    <s v="JM"/>
    <s v="M"/>
    <s v="Odisha"/>
    <n v="2"/>
    <s v="2162"/>
    <x v="18"/>
    <s v="33.01"/>
    <s v="Hrishikesh Kamat"/>
    <s v="Hrishikesh Kamat"/>
    <n v="7"/>
    <s v="Procurement"/>
    <s v="Shipping &amp; Chartering"/>
    <s v="33"/>
    <s v="Lead - Logistics"/>
    <m/>
    <s v="Shipping &amp; Chartering"/>
    <s v="Logistics"/>
    <s v="Logistics"/>
    <s v="Operations"/>
    <s v="Operations"/>
    <s v="Operations"/>
    <s v="72103001"/>
    <s v="Operations"/>
    <s v="Paradeep"/>
    <d v="1987-06-22T00:00:00"/>
    <s v="36.03"/>
    <d v="2011-06-27T00:00:00"/>
    <d v="2045-06-30T00:00:00"/>
    <m/>
    <d v="2045-06-30T00:00:00"/>
    <n v="7954"/>
    <s v=""/>
    <s v="BTech-2014"/>
    <s v="00.07"/>
    <s v="12.02"/>
    <s v="12.09"/>
    <s v="70238106"/>
    <s v="Ports &amp; Logistics"/>
    <s v="70307050"/>
    <s v="Lead - Logistics"/>
    <s v="Odisha"/>
    <s v="0022030019"/>
    <s v="PDP-HR &amp; Admn"/>
    <s v="2000STORIS"/>
    <s v="20055165"/>
    <s v="Subhakant Dash"/>
    <s v="No"/>
    <s v="shashikant.beura@amns.in"/>
    <s v="7381007152"/>
    <s v="21200"/>
    <s v="Sunila Das"/>
    <s v="Anil Matoo"/>
    <s v="Praveen Kuruvalli"/>
    <s v="Sunila Das"/>
    <n v="0"/>
  </r>
  <r>
    <n v="2634"/>
    <n v="20039051"/>
    <s v="Rashmirekha Swain"/>
    <s v="AM/NS India"/>
    <s v="Onroll"/>
    <s v="M-9"/>
    <n v="9"/>
    <m/>
    <s v="JM"/>
    <s v="F"/>
    <s v="Odisha"/>
    <n v="2"/>
    <s v="2043"/>
    <x v="3"/>
    <s v="31.01"/>
    <s v="Hrishikesh Kamat"/>
    <s v="Hrishikesh Kamat"/>
    <n v="7"/>
    <s v="Procurement"/>
    <s v="Procurement"/>
    <s v="31"/>
    <s v="Lead - Vendor Registration &amp; Document."/>
    <m/>
    <s v="Procurement"/>
    <s v="Procurement"/>
    <s v="Procurement"/>
    <s v="Non Technical Support"/>
    <s v="Operations"/>
    <s v="Operations"/>
    <s v="72103001"/>
    <s v="Operations"/>
    <s v="Paradeep"/>
    <d v="1967-05-25T00:00:00"/>
    <s v="56.03"/>
    <d v="2011-06-27T00:00:00"/>
    <d v="2025-05-31T00:00:00"/>
    <m/>
    <d v="2025-05-31T00:00:00"/>
    <n v="619"/>
    <s v=""/>
    <s v="SSLC-1988 , Diploma-1988"/>
    <s v=""/>
    <s v="12.02"/>
    <s v="12.02"/>
    <s v="70407583"/>
    <s v="Procurement - Odisha Asset"/>
    <s v="70307062"/>
    <s v="Lead - Vendor Registration &amp; Document."/>
    <s v="Odisha"/>
    <s v="0022030019"/>
    <s v="PDP-HR &amp; Admn"/>
    <s v="2000STORIS"/>
    <s v="20055692"/>
    <s v="Rajiv Ranjan"/>
    <s v="No"/>
    <s v="rashmirekha.swain@amns.in"/>
    <s v="7381007114"/>
    <s v="24424"/>
    <s v="Sunila Das"/>
    <s v="Anil Matoo"/>
    <s v="Praveen Kuruvalli"/>
    <s v="Sunila Das"/>
    <n v="0"/>
  </r>
  <r>
    <n v="2658"/>
    <n v="20039780"/>
    <s v="Srikanya Thakur"/>
    <s v="AM/NS India"/>
    <s v="Onroll"/>
    <s v="M-6"/>
    <n v="6"/>
    <m/>
    <s v="MM"/>
    <s v="F"/>
    <s v="Hazira"/>
    <n v="1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8-04-21T00:00:00"/>
    <s v="35.05"/>
    <d v="2011-08-10T00:00:00"/>
    <d v="2046-04-30T00:00:00"/>
    <m/>
    <d v="2046-04-30T00:00:00"/>
    <n v="8258"/>
    <s v="B-"/>
    <s v="High School-2010 , BTech-2010 , SSLC-200"/>
    <s v=""/>
    <s v="12.01"/>
    <s v="12.01"/>
    <s v="00050209"/>
    <s v="Human Resources"/>
    <s v="70372722"/>
    <s v="Sr. Lead - Human Resources"/>
    <s v="Hazira"/>
    <s v="0031950061"/>
    <s v="HZ-Human Resource"/>
    <s v="2000HWO"/>
    <s v="20001265"/>
    <s v="Lakshman Iyer"/>
    <s v="No"/>
    <s v="srikanya.das@amns.in"/>
    <s v="9879101068"/>
    <s v="21525"/>
    <s v="Dhruv Vyas"/>
    <s v="Anil Matoo"/>
    <s v="Praveen Kuruvalli"/>
    <s v="Dhruv Vyas"/>
    <n v="0"/>
  </r>
  <r>
    <n v="2724"/>
    <n v="20040700"/>
    <s v="Sidharth Mohanty"/>
    <s v="AM/NS India"/>
    <s v="Onroll"/>
    <s v="M-8"/>
    <n v="8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Administration"/>
    <s v="Administration"/>
    <s v="Non Technical Support"/>
    <s v="Sales &amp; Marketing"/>
    <s v="Sales"/>
    <s v="73104004"/>
    <s v="OEM Sales"/>
    <s v="Paradeep"/>
    <d v="1984-04-27T00:00:00"/>
    <s v="39.04"/>
    <d v="2011-09-30T00:00:00"/>
    <d v="2042-04-30T00:00:00"/>
    <m/>
    <d v="2042-04-30T00:00:00"/>
    <n v="6797"/>
    <s v="AB-"/>
    <s v="MBA-2006 , Bachelor Equivalent-2003 , Hi"/>
    <s v="04.00"/>
    <s v="11.11"/>
    <s v="15.11"/>
    <s v="70238103"/>
    <s v="Odisha - Admin &amp; Industrial Relations"/>
    <s v="70265112"/>
    <s v="Lead - Administration"/>
    <s v="Odisha"/>
    <s v="0022030019"/>
    <s v="PDP-HR &amp; Admn"/>
    <s v="2000STORIS"/>
    <s v="20057297"/>
    <s v="Bibhash Mohanty"/>
    <s v="No"/>
    <s v="sidharth.mohanty@amns.in"/>
    <s v="7381007021"/>
    <s v="22692"/>
    <s v="Sunila Das"/>
    <s v="Anil Matoo"/>
    <s v="Praveen Kuruvalli"/>
    <s v="Sunila Das"/>
    <n v="0"/>
  </r>
  <r>
    <n v="2739"/>
    <n v="20041786"/>
    <s v="Pradeep Bhandari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Manager - SCM"/>
    <m/>
    <s v="Hypermart"/>
    <s v="Hypermart"/>
    <s v="West Zone"/>
    <s v="Non Technical Support"/>
    <s v="Supply Chain Management"/>
    <s v="Supply Chain Management"/>
    <s v="73701001"/>
    <s v="Supply Chain Management"/>
    <s v="Mumbai"/>
    <d v="1985-02-09T00:00:00"/>
    <s v="38.07"/>
    <d v="2012-01-16T00:00:00"/>
    <d v="2043-02-28T00:00:00"/>
    <m/>
    <d v="2043-02-28T00:00:00"/>
    <n v="7101"/>
    <s v="A-"/>
    <s v="High School-2006 , BCom-2006 , SSLC-2003"/>
    <s v="07.02"/>
    <s v="11.08"/>
    <s v="18.09"/>
    <s v="72150154"/>
    <s v="HyperMart"/>
    <s v="70277120"/>
    <s v="Lead - SCM Hypermart"/>
    <s v="Hypermart"/>
    <s v="0060100004"/>
    <s v="HMART-HR/Admin Expen"/>
    <s v="2000SRET"/>
    <s v="20006236"/>
    <s v="Sanjay Vaid"/>
    <s v="No"/>
    <s v="pradeep.bhandari@amns.in"/>
    <s v="9930134258"/>
    <s v="21221"/>
    <s v="Dhruv Vyas"/>
    <s v="Anil Matoo"/>
    <s v="Praveen Kuruvalli"/>
    <s v="Dhruv Vyas"/>
    <n v="0"/>
  </r>
  <r>
    <n v="2754"/>
    <n v="20042978"/>
    <s v="Kalingakeshari Ray"/>
    <s v="AM/NS India"/>
    <s v="Onroll"/>
    <s v="M-9"/>
    <n v="9"/>
    <m/>
    <s v="JM"/>
    <s v="M"/>
    <s v="Odisha"/>
    <n v="2"/>
    <s v="2095"/>
    <x v="4"/>
    <n v="36.01"/>
    <s v="Deepak Sindkar"/>
    <s v="Hrishikesh Kamat"/>
    <n v="7"/>
    <s v="Procurement"/>
    <s v="Raw Materials"/>
    <s v="36"/>
    <s v="Officer - Raw Material"/>
    <m/>
    <s v="Bulk Raw Materials"/>
    <s v="Bulck Raw Material"/>
    <s v="Bulck Raw Material"/>
    <s v="Non Technical Support"/>
    <s v="Administration"/>
    <s v="Administration"/>
    <s v="74101001"/>
    <s v="Administration"/>
    <s v="Dabuna"/>
    <d v="1974-04-01T00:00:00"/>
    <s v="49.05"/>
    <d v="2012-06-01T00:00:00"/>
    <d v="2032-03-31T00:00:00"/>
    <m/>
    <d v="2032-03-31T00:00:00"/>
    <n v="3115"/>
    <s v="AB-"/>
    <s v="Intermediate-1994 , BA-1994 , SSLC-1991"/>
    <s v=""/>
    <s v="11.03"/>
    <s v="11.03"/>
    <s v="70258505"/>
    <s v="Bulk Raw Material"/>
    <s v="70293785"/>
    <s v="Officer - Raw Material"/>
    <s v="Odisha"/>
    <s v="0022010019"/>
    <s v="DBN-Benf-HR/Admin"/>
    <s v="2000STORIS"/>
    <s v="20037898"/>
    <s v="Sanjib Sinha"/>
    <s v="No"/>
    <s v="kalinga.ray@amns.in"/>
    <s v="9437487790"/>
    <s v="23774"/>
    <s v="Sunila Das"/>
    <s v="Anil Matoo"/>
    <s v="Praveen Kuruvalli"/>
    <s v="Sunila Das"/>
    <n v="0"/>
  </r>
  <r>
    <n v="2763"/>
    <n v="20043383"/>
    <s v="Maneesh Moti"/>
    <s v="AM/NS India"/>
    <s v="Onroll"/>
    <s v="M-4"/>
    <n v="4"/>
    <m/>
    <s v="S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Head-Digital Initiatives (CRM &amp; E-Com.)"/>
    <m/>
    <s v="Sales Steering &amp; BD"/>
    <s v="Digital Initiatives"/>
    <s v="Strategic Sales &amp; Branding"/>
    <s v="Non Technical Support"/>
    <s v="Sales &amp; Marketing"/>
    <s v="Marketing"/>
    <s v="73102001"/>
    <s v="Marketing"/>
    <s v="Mumbai"/>
    <d v="1965-12-14T00:00:00"/>
    <s v="57.09"/>
    <d v="2012-07-01T00:00:00"/>
    <d v="2023-12-31T00:00:00"/>
    <m/>
    <d v="2023-12-31T00:00:00"/>
    <n v="102"/>
    <s v="O-"/>
    <s v="MBA-1988 , BSc-1988 , MSc-1986"/>
    <s v="16.04"/>
    <s v="11.02"/>
    <s v="27.06"/>
    <s v="70462100"/>
    <s v="Digital Initiatives"/>
    <s v="70336305"/>
    <s v="Head-Digital Initiatives (CRM &amp; E-Com.)"/>
    <s v="Corporate"/>
    <s v="0080000005"/>
    <s v="Global Markets Team"/>
    <s v="2000CS"/>
    <s v="20010531"/>
    <s v="Saptarshi Saha"/>
    <s v="No"/>
    <s v="maneesh.moti@amns.in"/>
    <s v="9819730706"/>
    <s v="22712"/>
    <s v="Dhruv Vyas"/>
    <s v="Anil Matoo"/>
    <s v="Praveen Kuruvalli"/>
    <s v="Dhruv Vyas"/>
    <n v="0"/>
  </r>
  <r>
    <n v="2823"/>
    <n v="20043911"/>
    <s v="Sudhanshu Sharm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F &amp; A &amp; Hypermart"/>
    <m/>
    <s v="Working Capital"/>
    <s v="Hypermart"/>
    <s v="Hypermart"/>
    <s v="Non Technical Support"/>
    <s v="Commercial"/>
    <s v="Commercial"/>
    <s v="73801001"/>
    <s v="Commercial"/>
    <s v="AM/NS Hazira"/>
    <d v="1974-11-10T00:00:00"/>
    <s v="48.10"/>
    <d v="2012-09-10T00:00:00"/>
    <d v="2032-11-30T00:00:00"/>
    <m/>
    <d v="2032-11-30T00:00:00"/>
    <n v="3359"/>
    <s v="B-"/>
    <s v="BCom-2012 , MBA-2012 , Intermediate-1996"/>
    <s v="11.03"/>
    <s v="11.00"/>
    <s v="22.03"/>
    <s v="70495565"/>
    <s v="F&amp;A Hypermart &amp; Service Centre"/>
    <s v="70308841"/>
    <s v="Lead - F &amp; A &amp; Hypermart"/>
    <s v="Hypermart"/>
    <s v="0060100001"/>
    <s v="HMART-Finance &amp; Acco"/>
    <s v="2000SRET"/>
    <s v="20055504"/>
    <s v="Vivek Choudhary"/>
    <s v="No"/>
    <s v="sudhanshu.sharma@amns.in"/>
    <s v="9930134585"/>
    <s v="24120"/>
    <s v="Dhruv Vyas"/>
    <s v="Anil Matoo"/>
    <s v="Praveen Kuruvalli"/>
    <s v="Dhruv Vyas"/>
    <n v="0"/>
  </r>
  <r>
    <n v="2830"/>
    <n v="20044846"/>
    <s v="Prasanna Malagi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Lead - MIS"/>
    <m/>
    <s v="Hypermart"/>
    <s v="Hypermart"/>
    <s v="West Zone"/>
    <s v="Non Technical Support"/>
    <s v="Supply Chain Management"/>
    <s v="Supply Chain Management"/>
    <s v="73701001"/>
    <s v="Supply Chain Management"/>
    <s v="Mumbai"/>
    <d v="1985-08-30T00:00:00"/>
    <s v="38.00"/>
    <d v="2013-01-28T00:00:00"/>
    <d v="2043-08-31T00:00:00"/>
    <m/>
    <d v="2043-08-31T00:00:00"/>
    <n v="7285"/>
    <s v="O-"/>
    <s v="High School-2012 , PG Diploma in Managem"/>
    <s v=""/>
    <s v="10.07"/>
    <s v="10.07"/>
    <s v="72150154"/>
    <s v="HyperMart"/>
    <s v="70325244"/>
    <s v="Lead - MIS"/>
    <s v="Hypermart"/>
    <s v="0060100004"/>
    <s v="HMART-HR/Admin Expen"/>
    <s v="2000SRET"/>
    <s v="20006236"/>
    <s v="Sanjay Vaid"/>
    <s v="No"/>
    <s v="prasanna.malagi@amns.in"/>
    <s v="9930134713"/>
    <s v="22507"/>
    <s v="Dhruv Vyas"/>
    <s v="Anil Matoo"/>
    <s v="Praveen Kuruvalli"/>
    <s v="Dhruv Vyas"/>
    <n v="0"/>
  </r>
  <r>
    <n v="2845"/>
    <n v="20045323"/>
    <s v="Aditya Chandra Lenka"/>
    <s v="AM/NS India"/>
    <s v="Onroll"/>
    <s v="M-11"/>
    <n v="11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Administration"/>
    <s v="Administration"/>
    <s v="Non Technical Support"/>
    <s v="Administration"/>
    <s v="Administration"/>
    <s v="74101001"/>
    <s v="Administration"/>
    <s v="Paradeep"/>
    <d v="1988-03-31T00:00:00"/>
    <s v="35.05"/>
    <d v="2013-04-05T00:00:00"/>
    <d v="2046-03-31T00:00:00"/>
    <m/>
    <d v="2046-03-31T00:00:00"/>
    <n v="8228"/>
    <s v=""/>
    <s v="BBA-2011 , MA-2011"/>
    <s v=""/>
    <s v="10.05"/>
    <s v="10.05"/>
    <s v="70238103"/>
    <s v="Odisha - Admin &amp; Industrial Relations"/>
    <s v="70333604"/>
    <s v="Lead - Administration"/>
    <s v="Odisha"/>
    <s v="0022030019"/>
    <s v="PDP-HR &amp; Admn"/>
    <s v="2000STORIS"/>
    <s v="20057297"/>
    <s v="Bibhash Mohanty"/>
    <s v="No"/>
    <s v="aditya.lenka@amns.in"/>
    <s v="9437037968"/>
    <s v="21022"/>
    <s v="Sunila Das"/>
    <s v="Anil Matoo"/>
    <s v="Praveen Kuruvalli"/>
    <s v="Sunila Das"/>
    <n v="0"/>
  </r>
  <r>
    <n v="2846"/>
    <n v="20045324"/>
    <s v="Basavaraj Ramappa Gulalkai"/>
    <s v="AM/NS India"/>
    <s v="Onroll"/>
    <s v="M-8"/>
    <n v="8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Administration"/>
    <s v="Administration"/>
    <s v="Non Technical Support"/>
    <s v="Administration"/>
    <s v="Administration"/>
    <s v="74101001"/>
    <s v="Administration"/>
    <s v="Paradeep"/>
    <d v="1965-07-15T00:00:00"/>
    <s v="58.02"/>
    <d v="2013-04-05T00:00:00"/>
    <d v="2023-07-31T00:00:00"/>
    <m/>
    <d v="2023-07-31T00:00:00"/>
    <n v="-51"/>
    <s v="O-"/>
    <s v="BSc-1993"/>
    <s v="19.11"/>
    <s v="10.05"/>
    <s v="30.04"/>
    <s v="70238103"/>
    <s v="Odisha - Admin &amp; Industrial Relations"/>
    <s v="70333606"/>
    <s v="Lead - Administration"/>
    <s v="Odisha"/>
    <s v="0022030019"/>
    <s v="PDP-HR &amp; Admn"/>
    <s v="2000STORIS"/>
    <s v="20057297"/>
    <s v="Bibhash Mohanty"/>
    <s v="Yes"/>
    <s v="basavaraj.gulalkai@amns.in"/>
    <s v="7381007047"/>
    <s v="21850"/>
    <s v="Sunila Das"/>
    <s v="Anil Matoo"/>
    <s v="Praveen Kuruvalli"/>
    <s v="Sunila Das"/>
    <n v="0"/>
  </r>
  <r>
    <n v="2850"/>
    <n v="20045482"/>
    <s v="Sandeep Soni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Corporate Asset Management"/>
    <m/>
    <s v="Corporate Accounts"/>
    <s v="Corporate Accounts &amp; Audit"/>
    <s v="Corporate Accounts &amp; Audit"/>
    <s v="Non Technical Support"/>
    <s v="Finance &amp; Accounts"/>
    <s v="Finance &amp; Accounts"/>
    <s v="73901001"/>
    <s v="Finance &amp; Accounts"/>
    <s v="AM/NS Hazira"/>
    <d v="1978-09-16T00:00:00"/>
    <s v="45.00"/>
    <d v="2013-05-01T00:00:00"/>
    <d v="2036-09-30T00:00:00"/>
    <m/>
    <d v="2036-09-30T00:00:00"/>
    <n v="4759"/>
    <s v="B-"/>
    <s v="BCom-2004 , CA Final-2004"/>
    <s v="06.09"/>
    <s v="10.04"/>
    <s v="17.01"/>
    <s v="70495666"/>
    <s v="Corporate Asset Management"/>
    <s v="70336612"/>
    <s v="Sr. Lead - Corporate Asset Management"/>
    <s v="Hazira"/>
    <s v="0090000027"/>
    <s v="Corporate Steel - Ac"/>
    <s v="2000HWO"/>
    <s v="20000679"/>
    <s v="Dinesh Mangal"/>
    <s v="No"/>
    <s v="sandeep.soni@amns.in"/>
    <s v="9879103501"/>
    <s v="24344"/>
    <s v="Dhruv Vyas"/>
    <s v="Anil Matoo"/>
    <s v="Praveen Kuruvalli"/>
    <s v="Dhruv Vyas"/>
    <n v="0"/>
  </r>
  <r>
    <n v="2860"/>
    <n v="20045946"/>
    <s v="Yatin Madhukar Thakur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 Gen. Mgr - Sales &amp; Mk"/>
    <m/>
    <s v="Pipe"/>
    <s v="Pipe"/>
    <s v=""/>
    <s v="Non Technical Support"/>
    <s v="Sales &amp; Marketing"/>
    <s v="Sales &amp; Marketing"/>
    <s v="73101001"/>
    <s v="Sales &amp; Marketing"/>
    <s v="Mumbai"/>
    <d v="1972-08-05T00:00:00"/>
    <s v="51.01"/>
    <d v="2013-08-01T00:00:00"/>
    <d v="2030-08-31T00:00:00"/>
    <m/>
    <d v="2030-08-31T00:00:00"/>
    <n v="2537"/>
    <s v=""/>
    <s v="PG Diploma in Management-1993 , BCom-199"/>
    <s v="10.06"/>
    <s v="10.01"/>
    <s v="20.07"/>
    <s v="70387159"/>
    <s v="Pipe Sales"/>
    <s v="70346075"/>
    <s v="Sr. KAM - Domestics Pipe Sales"/>
    <s v="Hazira"/>
    <s v="0031591982"/>
    <s v="PM-Marketing"/>
    <s v="2000HWO"/>
    <s v="20007414"/>
    <s v="Gaurav Sharma"/>
    <s v="No"/>
    <s v="yatin.thakur@amns.in"/>
    <s v="9930132103"/>
    <s v="24506"/>
    <s v="Dhruv Vyas"/>
    <s v="Anil Matoo"/>
    <s v="Praveen Kuruvalli"/>
    <s v="Dhruv Vyas"/>
    <n v="0"/>
  </r>
  <r>
    <n v="2862"/>
    <n v="20046027"/>
    <s v="Sapan Manoj Roy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West Zone"/>
    <s v="Non Technical Support"/>
    <s v="Sales &amp; Marketing"/>
    <s v="Sales"/>
    <s v="73104003"/>
    <s v="Retail Sales"/>
    <s v="Taloja"/>
    <d v="1983-05-21T00:00:00"/>
    <s v="40.03"/>
    <d v="2013-08-16T00:00:00"/>
    <d v="2041-05-31T00:00:00"/>
    <m/>
    <d v="2041-05-31T00:00:00"/>
    <n v="6463"/>
    <s v="A-"/>
    <s v="High School-2005 , BCom-2005"/>
    <s v="01.09"/>
    <s v="10.01"/>
    <s v="11.10"/>
    <s v="00048138"/>
    <s v="Hypermart west"/>
    <s v="70346813"/>
    <s v="Sales Manager - Hypermart"/>
    <s v="Hypermart"/>
    <s v="0060110500"/>
    <s v="HMART-Mah-Pune"/>
    <s v="2000SRET"/>
    <s v="20056847"/>
    <s v="Vikas Chotia"/>
    <s v="No"/>
    <s v="sapan.roy@amns.in"/>
    <s v="9819730777"/>
    <s v="23810"/>
    <s v="Dhruv Vyas"/>
    <s v="Anil Matoo"/>
    <s v="Praveen Kuruvalli"/>
    <s v="Dhruv Vyas"/>
    <n v="0"/>
  </r>
  <r>
    <n v="2863"/>
    <n v="20046072"/>
    <s v="Mandar Sitaram Ambr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 Gen. Mgr - Sales &amp; Mk"/>
    <m/>
    <s v="Pipe"/>
    <s v="Pipe"/>
    <s v=""/>
    <s v="Non Technical Support"/>
    <s v="Sales &amp; Marketing"/>
    <s v="Sales &amp; Marketing"/>
    <s v="73101001"/>
    <s v="Sales &amp; Marketing"/>
    <s v="Mumbai"/>
    <d v="1980-05-13T00:00:00"/>
    <s v="43.04"/>
    <d v="2013-08-19T00:00:00"/>
    <d v="2038-05-31T00:00:00"/>
    <m/>
    <d v="2038-05-31T00:00:00"/>
    <n v="5367"/>
    <s v="B-"/>
    <s v="BE-2005 , Diploma-2005"/>
    <s v="11.05"/>
    <s v="10.01"/>
    <s v="21.06"/>
    <s v="70387159"/>
    <s v="Pipe Sales"/>
    <s v="70347387"/>
    <s v="KAM - International Pipe Sales"/>
    <s v="Hazira"/>
    <s v="0031591982"/>
    <s v="PM-Marketing"/>
    <s v="2000HWO"/>
    <s v="20007414"/>
    <s v="Gaurav Sharma"/>
    <s v="No"/>
    <s v="mandar.ambre@amns.in"/>
    <s v="9819730229"/>
    <s v="22521"/>
    <s v="Dhruv Vyas"/>
    <s v="Anil Matoo"/>
    <s v="Praveen Kuruvalli"/>
    <s v="Dhruv Vyas"/>
    <n v="0"/>
  </r>
  <r>
    <n v="2864"/>
    <n v="20046194"/>
    <s v="Shivashankar Rajapur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Hypermart"/>
    <s v=""/>
    <s v="Non Technical Support"/>
    <s v="Sales &amp; Marketing"/>
    <s v="Sales"/>
    <s v="73104004"/>
    <s v="OEM Sales"/>
    <s v="Bangalore"/>
    <d v="1978-08-10T00:00:00"/>
    <s v="45.01"/>
    <d v="2013-09-10T00:00:00"/>
    <d v="2036-08-31T00:00:00"/>
    <m/>
    <d v="2036-08-31T00:00:00"/>
    <n v="4729"/>
    <s v="A-"/>
    <s v="SSLC-1996 , Diploma-1996"/>
    <s v="09.03"/>
    <s v="10.00"/>
    <s v="19.03"/>
    <s v="00048814"/>
    <s v="Sales South Zone – Hypermart"/>
    <s v="70349522"/>
    <s v="Sales Manager - Hypermart"/>
    <s v="Hazira"/>
    <s v="0060140300"/>
    <s v="HMART-Kar-Bangolre"/>
    <s v="2000HWO"/>
    <s v="20056279"/>
    <s v="Arun G"/>
    <s v="No"/>
    <s v="shivashankar.rajapur@amns.in"/>
    <s v="9845895458"/>
    <s v="23632"/>
    <s v="Dhruv Vyas"/>
    <s v="Anil Matoo"/>
    <s v="Praveen Kuruvalli"/>
    <s v="Dhruv Vyas"/>
    <n v="0"/>
  </r>
  <r>
    <n v="2866"/>
    <n v="20046362"/>
    <s v="Sandeep Shah"/>
    <s v="AM/NS India"/>
    <s v="Onroll"/>
    <s v="M-8"/>
    <n v="8"/>
    <m/>
    <s v="JM"/>
    <s v="M"/>
    <s v="Hazira"/>
    <n v="1"/>
    <s v="2096"/>
    <x v="14"/>
    <s v="36.02"/>
    <s v="Hrishikesh Kamat"/>
    <s v="Hrishikesh Kamat"/>
    <n v="7"/>
    <s v="Procurement"/>
    <s v="Raw Materials"/>
    <s v="36"/>
    <s v="Lead - Power Management"/>
    <m/>
    <s v="Power &amp; Gas"/>
    <s v="Power &amp; Gas"/>
    <s v="Power &amp; Gas"/>
    <s v="Non Technical Support"/>
    <s v="Commercial"/>
    <s v="Procurement"/>
    <s v="73803001"/>
    <s v="Procurement"/>
    <s v="Hazira"/>
    <d v="1984-11-05T00:00:00"/>
    <s v="38.10"/>
    <d v="2013-10-14T00:00:00"/>
    <d v="2042-11-30T00:00:00"/>
    <m/>
    <d v="2042-11-30T00:00:00"/>
    <n v="7011"/>
    <s v="O-"/>
    <s v="BCom-2009 , MBA-2009"/>
    <s v="05.08"/>
    <s v="09.11"/>
    <s v="15.06"/>
    <s v="00049516"/>
    <s v="Power &amp; Gas"/>
    <s v="70352941"/>
    <s v="Lead - Power Management"/>
    <s v="Hazira"/>
    <s v="0031950048"/>
    <s v="HZ-Procurment Depart"/>
    <s v="2000HWO"/>
    <s v="20004612"/>
    <s v="Ramesh Chabhadiya"/>
    <s v="No"/>
    <s v="sandeep.shah1@amns.in"/>
    <s v="9925241531"/>
    <s v="24038"/>
    <s v="Dhruv Vyas"/>
    <s v="Anil Matoo"/>
    <s v="Praveen Kuruvalli"/>
    <s v="Dhruv Vyas"/>
    <n v="0"/>
  </r>
  <r>
    <n v="2869"/>
    <n v="20046414"/>
    <s v="Vinod Ninaw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"/>
    <s v="Non Technical Support"/>
    <s v="Sales &amp; Marketing"/>
    <s v="Sales"/>
    <s v="73104004"/>
    <s v="OEM Sales"/>
    <s v="Vadodara"/>
    <d v="1975-12-10T00:00:00"/>
    <s v="47.09"/>
    <d v="2013-10-22T00:00:00"/>
    <d v="2033-12-31T00:00:00"/>
    <m/>
    <d v="2033-12-31T00:00:00"/>
    <n v="3755"/>
    <s v="O-"/>
    <s v="Diploma-2012 , BBA-2012"/>
    <s v="16.10"/>
    <s v="09.10"/>
    <s v="26.08"/>
    <s v="00052660"/>
    <s v="Plate Sales"/>
    <s v="70356053"/>
    <s v="KAM - OEM Sales"/>
    <s v="Hazira"/>
    <s v="0031581982"/>
    <s v="PLM-Marketing"/>
    <s v="2000HWO"/>
    <s v="20003623"/>
    <s v="Soumyadeep Datta"/>
    <s v="No"/>
    <s v="vinod.ninawe@amns.in"/>
    <s v="9879103692"/>
    <s v="22847"/>
    <s v="Dhruv Vyas"/>
    <s v="Anil Matoo"/>
    <s v="Praveen Kuruvalli"/>
    <s v="Dhruv Vyas"/>
    <n v="0"/>
  </r>
  <r>
    <n v="2871"/>
    <n v="20046597"/>
    <s v="Satyabrata Ray"/>
    <s v="AM/NS India"/>
    <s v="Onroll"/>
    <s v="M-7"/>
    <n v="7"/>
    <m/>
    <s v="MM"/>
    <s v="M"/>
    <s v="Odisha"/>
    <n v="2"/>
    <s v="2162"/>
    <x v="18"/>
    <s v="33.01"/>
    <s v="Hrishikesh Kamat"/>
    <s v="Hrishikesh Kamat"/>
    <n v="7"/>
    <s v="Procurement"/>
    <s v="Shipping &amp; Chartering"/>
    <s v="33"/>
    <s v="Lead - Logistics &amp; Marketing"/>
    <m/>
    <s v="Shipping &amp; Chartering"/>
    <s v="Logistics"/>
    <s v="Logistics"/>
    <s v="Non Technical Support"/>
    <s v="Sales &amp; Marketing"/>
    <s v="Sales &amp; Marketing"/>
    <s v="73101001"/>
    <s v="Sales &amp; Marketing"/>
    <s v="Paradeep"/>
    <d v="1980-09-28T00:00:00"/>
    <s v="42.11"/>
    <d v="2013-11-09T00:00:00"/>
    <d v="2038-09-30T00:00:00"/>
    <m/>
    <d v="2038-09-30T00:00:00"/>
    <n v="5489"/>
    <s v="B-"/>
    <s v="High School-2004 , PG Diploma in Managem"/>
    <s v="09.07"/>
    <s v="09.10"/>
    <s v="19.05"/>
    <s v="70238106"/>
    <s v="Ports &amp; Logistics"/>
    <s v="70360680"/>
    <s v="Lead - Logistics &amp; Marketing"/>
    <s v="Odisha"/>
    <s v="0022030019"/>
    <s v="PDP-HR &amp; Admn"/>
    <s v="2000STORIS"/>
    <s v="20055165"/>
    <s v="Subhakant Dash"/>
    <s v="No"/>
    <s v="satyabrata.ray@amns.in"/>
    <s v="7381007276"/>
    <s v="23775"/>
    <s v="Sunila Das"/>
    <s v="Anil Matoo"/>
    <s v="Praveen Kuruvalli"/>
    <s v="Sunila Das"/>
    <n v="0"/>
  </r>
  <r>
    <n v="2873"/>
    <n v="20046623"/>
    <s v="Anil Kumar Sahoo"/>
    <s v="AM/NS India"/>
    <s v="Onroll"/>
    <s v="M-7"/>
    <n v="7"/>
    <m/>
    <s v="MM"/>
    <s v="M"/>
    <s v="Odisha"/>
    <n v="2"/>
    <s v="2095"/>
    <x v="4"/>
    <n v="36.01"/>
    <s v="Deepak Sindkar"/>
    <s v="Hrishikesh Kamat"/>
    <n v="7"/>
    <s v="Procurement"/>
    <s v="Raw Materials"/>
    <s v="36"/>
    <s v="Lead - Raw Material"/>
    <m/>
    <s v="Bulk Raw Materials"/>
    <s v="Bulck Raw Material"/>
    <s v="Bulck Raw Material"/>
    <s v="Non Technical Support"/>
    <s v="Services"/>
    <s v="Material Handling services"/>
    <s v="72103019"/>
    <s v="Logistics Operations"/>
    <s v="Dabuna"/>
    <d v="1976-01-08T00:00:00"/>
    <s v="47.08"/>
    <d v="2013-12-10T00:00:00"/>
    <d v="2034-01-31T00:00:00"/>
    <m/>
    <d v="2034-01-31T00:00:00"/>
    <n v="3786"/>
    <s v="B-"/>
    <s v="BA-2005 , PG Diploma in Management-2005"/>
    <s v="04.00"/>
    <s v="09.09"/>
    <s v="13.09"/>
    <s v="70258505"/>
    <s v="Bulk Raw Material"/>
    <s v="70361391"/>
    <s v="Lead - Raw Material"/>
    <s v="Odisha"/>
    <s v="0022010019"/>
    <s v="DBN-Benf-HR/Admin"/>
    <s v="2000STORIS"/>
    <s v="20037898"/>
    <s v="Sanjib Sinha"/>
    <s v="No"/>
    <s v="anil.sahoo@amns.in"/>
    <s v="7381007292"/>
    <s v="23845"/>
    <s v="Sunila Das"/>
    <s v="Anil Matoo"/>
    <s v="Praveen Kuruvalli"/>
    <s v="Sunila Das"/>
    <n v="0"/>
  </r>
  <r>
    <n v="2962"/>
    <n v="20047249"/>
    <s v="Anantha Nataraja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Hypermart"/>
    <s v="South Zone"/>
    <s v="Non Technical Support"/>
    <s v="Sales &amp; Marketing"/>
    <s v="Sales"/>
    <s v="73104003"/>
    <s v="Retail Sales"/>
    <s v="Coimbatore"/>
    <d v="1987-07-14T00:00:00"/>
    <s v="36.02"/>
    <d v="2014-02-24T00:00:00"/>
    <d v="2045-07-31T00:00:00"/>
    <m/>
    <d v="2045-07-31T00:00:00"/>
    <n v="7985"/>
    <s v="B-"/>
    <s v="MBA-2014 , BE-2008 , Intermediate-2004"/>
    <s v="05.00"/>
    <s v="09.06"/>
    <s v="14.06"/>
    <s v="00048814"/>
    <s v="Sales South Zone – Hypermart"/>
    <s v="70373206"/>
    <s v="Sales Manager - Hypermart"/>
    <s v="Hypermart"/>
    <s v="0060140900"/>
    <s v="HMART-TN-Coimbatore"/>
    <s v="2000SRET"/>
    <s v="20056279"/>
    <s v="Arun G"/>
    <s v="No"/>
    <s v="anantha.ganapathy@amns.in"/>
    <s v="8870171005"/>
    <s v="21745"/>
    <s v="Dhruv Vyas"/>
    <s v="Anil Matoo"/>
    <s v="Praveen Kuruvalli"/>
    <s v="Dhruv Vyas"/>
    <n v="0"/>
  </r>
  <r>
    <n v="2969"/>
    <n v="20047579"/>
    <s v="Mahadev Kumar"/>
    <s v="AM/NS India"/>
    <s v="Onroll"/>
    <s v="M-7"/>
    <n v="7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Sr. Lead - F &amp; A and Stores"/>
    <m/>
    <s v="Working Capital"/>
    <s v="Service Centers"/>
    <s v="Service Centre"/>
    <s v="Non Technical Support"/>
    <s v="Commercial"/>
    <s v="Commercial"/>
    <s v="73801001"/>
    <s v="Commercial"/>
    <s v="Paradeep"/>
    <d v="1967-05-27T00:00:00"/>
    <s v="56.03"/>
    <d v="2014-04-14T00:00:00"/>
    <d v="2025-05-31T00:00:00"/>
    <m/>
    <d v="2025-05-31T00:00:00"/>
    <n v="619"/>
    <s v="AB+"/>
    <s v="BCom-1991"/>
    <s v="23.09"/>
    <s v="09.05"/>
    <s v="33.02"/>
    <s v="72150243"/>
    <s v="Accounts Payable"/>
    <s v="70380446"/>
    <s v="Sr. Lead - F &amp; A and Stores"/>
    <s v="Odisha"/>
    <s v="0040040019"/>
    <s v="SC-Howrah-HR - Admn"/>
    <s v="2000STORIS"/>
    <s v="20001076"/>
    <s v="Bhavesh Modi"/>
    <s v="No"/>
    <s v="mahadev.kumar@amns.in"/>
    <s v="8335820020"/>
    <s v="22327"/>
    <s v="Sunila Das"/>
    <s v="Anil Matoo"/>
    <s v="Praveen Kuruvalli"/>
    <s v="Sunila Das"/>
    <n v="0"/>
  </r>
  <r>
    <n v="2970"/>
    <n v="20047658"/>
    <s v="Balamurugan Gurusamy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Automotive Sales"/>
    <m/>
    <s v="South"/>
    <s v="Auto"/>
    <s v=""/>
    <s v="Non Technical Support"/>
    <s v="Sales &amp; Marketing"/>
    <s v="Sales"/>
    <s v="73104004"/>
    <s v="OEM Sales"/>
    <s v="Chennai"/>
    <d v="1983-03-20T00:00:00"/>
    <s v="40.06"/>
    <d v="2014-05-05T00:00:00"/>
    <d v="2041-03-31T00:00:00"/>
    <m/>
    <d v="2041-03-31T00:00:00"/>
    <n v="6402"/>
    <s v="O-"/>
    <s v="BTech-2006 , Intermediate-2006 , MBA-199"/>
    <s v="07.10"/>
    <s v="09.04"/>
    <s v="17.02"/>
    <s v="00052468"/>
    <s v="Automotive Sales - Chennai"/>
    <s v="70381670"/>
    <s v="Sr. KAM Automotive Sales"/>
    <s v="Hazira"/>
    <s v="0031950057"/>
    <s v="HZ-HRC - Marketing"/>
    <s v="2000HWO"/>
    <s v="20000909"/>
    <s v="Murali Krishna Chunduru"/>
    <s v="No"/>
    <s v="balamurugan.gurusamy@amns.in"/>
    <s v="9884039030"/>
    <s v="21883"/>
    <s v="Dhruv Vyas"/>
    <s v="Anil Matoo"/>
    <s v="Praveen Kuruvalli"/>
    <s v="Dhruv Vyas"/>
    <n v="0"/>
  </r>
  <r>
    <n v="2971"/>
    <n v="20047664"/>
    <s v="Devang Desai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- Customs EXIM &amp; FTP"/>
    <m/>
    <s v="Taxation"/>
    <s v="In Direct - Taxation"/>
    <s v="Indirect Taxation"/>
    <s v="Non Technical Support"/>
    <s v="Finance &amp; Accounts"/>
    <s v="Taxation"/>
    <s v="73904001"/>
    <s v="Direct Taxation"/>
    <s v="AM/NS Hazira"/>
    <d v="1970-10-14T00:00:00"/>
    <s v="52.11"/>
    <d v="2014-05-12T00:00:00"/>
    <d v="2028-10-31T00:00:00"/>
    <m/>
    <d v="2028-10-31T00:00:00"/>
    <n v="1868"/>
    <s v="A-"/>
    <s v="MBA-1994 , BE-1994"/>
    <s v="19.10"/>
    <s v="09.04"/>
    <s v="29.02"/>
    <s v="70072408"/>
    <s v="Customs / DGFT / EXIM"/>
    <s v="70382561"/>
    <s v="Head - Customs EXIM &amp; FTP"/>
    <s v="Hazira"/>
    <s v="0031950044"/>
    <s v="HZ-Commercial Taxati"/>
    <s v="2000HWO"/>
    <s v="20055193"/>
    <s v="Anuprita Kaushik Mehta"/>
    <s v="No"/>
    <s v="devang.desai@amns.in"/>
    <s v="9879100585"/>
    <s v="21577"/>
    <s v="Dhruv Vyas"/>
    <s v="Anil Matoo"/>
    <s v="Praveen Kuruvalli"/>
    <s v="Dhruv Vyas"/>
    <n v="0"/>
  </r>
  <r>
    <n v="2972"/>
    <n v="20047683"/>
    <s v="Virat Vij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Sales Head – Other West"/>
    <m/>
    <s v="Other West"/>
    <s v="Other West"/>
    <s v=""/>
    <s v="Non Technical Support"/>
    <s v="R&amp; D and QA/QC"/>
    <s v="R&amp;D"/>
    <s v="72103029"/>
    <s v="R&amp;D"/>
    <s v="Pune"/>
    <d v="1980-10-04T00:00:00"/>
    <s v="42.11"/>
    <d v="2014-05-12T00:00:00"/>
    <d v="2038-10-31T00:00:00"/>
    <m/>
    <d v="2038-10-31T00:00:00"/>
    <n v="5520"/>
    <s v="B-"/>
    <s v="BE-1998 , Intermediate-1998"/>
    <s v="08.01"/>
    <s v="09.04"/>
    <s v="17.05"/>
    <s v="70495309"/>
    <s v="Sales West Zone"/>
    <s v="70383968"/>
    <s v="Regional Sales Head – Other West"/>
    <s v="Hazira"/>
    <s v="0031950057"/>
    <s v="HZ-HRC - Marketing"/>
    <s v="2000HWO"/>
    <s v="20007104"/>
    <s v="Ranjan Dhar"/>
    <s v="No"/>
    <s v="virat.vij@amns.in"/>
    <s v="9923205269"/>
    <s v="24691"/>
    <s v="Dhruv Vyas"/>
    <s v="Anil Matoo"/>
    <s v="Praveen Kuruvalli"/>
    <s v="Dhruv Vyas"/>
    <n v="0"/>
  </r>
  <r>
    <n v="2981"/>
    <n v="20048487"/>
    <s v="Devendra Ra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Receivable"/>
    <m/>
    <s v="Working Capital"/>
    <s v="Accounts Receivable"/>
    <s v="Credit Control"/>
    <s v="Non Technical Support"/>
    <s v="Finance &amp; Accounts"/>
    <s v="Finance &amp; Accounts"/>
    <s v="73901001"/>
    <s v="Finance &amp; Accounts"/>
    <s v="AM/NS Hazira"/>
    <d v="1981-03-12T00:00:00"/>
    <s v="42.06"/>
    <d v="2014-08-29T00:00:00"/>
    <d v="2039-03-31T00:00:00"/>
    <m/>
    <d v="2039-03-31T00:00:00"/>
    <n v="5671"/>
    <s v="O-"/>
    <s v="LLB-2007 , CA Final-2007 , BCom-2006"/>
    <s v="06.06"/>
    <s v="09.00"/>
    <s v="15.06"/>
    <s v="00045312"/>
    <s v="Accounts Receivable"/>
    <s v="72150931"/>
    <s v="Sr. Lead - Accounts Receivable"/>
    <s v="Hazira"/>
    <s v="0031950045"/>
    <s v="HZ-Works Accounts-Ha"/>
    <s v="2000HWO"/>
    <s v="20007731"/>
    <s v="Ashish Mehta"/>
    <s v="No"/>
    <s v="devendra.rai@amns.in"/>
    <s v="9879106751"/>
    <s v="23612"/>
    <s v="Dhruv Vyas"/>
    <s v="Anil Matoo"/>
    <s v="Praveen Kuruvalli"/>
    <s v="Dhruv Vyas"/>
    <n v="0"/>
  </r>
  <r>
    <n v="2983"/>
    <n v="20048693"/>
    <s v="Krishnendu Banerjee"/>
    <s v="AM/NS India"/>
    <s v="Onroll"/>
    <s v="M-8"/>
    <n v="8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Lead - Corporate Accounts"/>
    <m/>
    <s v="Finance &amp; Accounts - Odisha"/>
    <s v="Finance &amp; Accounts"/>
    <s v="Corporate Accounts"/>
    <s v="Non Technical Support"/>
    <s v="Finance &amp; Accounts"/>
    <s v="Finance &amp; Accounts"/>
    <s v="73901001"/>
    <s v="Finance &amp; Accounts"/>
    <s v="Paradeep"/>
    <d v="1965-01-11T00:00:00"/>
    <s v="58.08"/>
    <d v="2014-10-08T00:00:00"/>
    <d v="2023-01-31T00:00:00"/>
    <d v="2024-01-31T00:00:00"/>
    <d v="2024-01-31T00:00:00"/>
    <n v="133"/>
    <s v="B-"/>
    <s v="Diploma-1986 , PG Diploma-1986 , BSc-198"/>
    <s v="20.00"/>
    <s v="08.11"/>
    <s v="28.11"/>
    <s v="70234933"/>
    <s v="Finance &amp; Accounts - Odisha"/>
    <s v="70410529"/>
    <s v="Lead - Corporate Accounts"/>
    <s v="Odisha"/>
    <s v="0022030019"/>
    <s v="PDP-HR &amp; Admn"/>
    <s v="2000STORIS"/>
    <s v="20055801"/>
    <s v="Sanjive Kumar Singh"/>
    <s v="No"/>
    <s v="krishnendu.banerjee@amns.in"/>
    <s v="7381007151"/>
    <s v="21158"/>
    <s v="Sunila Das"/>
    <s v="Anil Matoo"/>
    <s v="Praveen Kuruvalli"/>
    <s v="Sunila Das"/>
    <n v="0"/>
  </r>
  <r>
    <n v="2991"/>
    <n v="20048958"/>
    <s v="Tirthanka Roy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r. Manager - Sales &amp; Mkt"/>
    <m/>
    <s v="Plate"/>
    <s v="Plate"/>
    <s v=""/>
    <s v="Non Technical Support"/>
    <s v="Sales &amp; Marketing"/>
    <s v="Sales &amp; Marketing"/>
    <s v="73101001"/>
    <s v="Sales &amp; Marketing"/>
    <s v="Mumbai"/>
    <d v="1984-02-04T00:00:00"/>
    <s v="39.07"/>
    <d v="2014-11-17T00:00:00"/>
    <d v="2042-02-28T00:00:00"/>
    <m/>
    <d v="2042-02-28T00:00:00"/>
    <n v="6736"/>
    <s v="O-"/>
    <s v="BE-2007 , High School-2003"/>
    <s v="04.06"/>
    <s v="08.10"/>
    <s v="13.04"/>
    <s v="70387158"/>
    <s v="S&amp;M – e_Sales"/>
    <s v="70414442"/>
    <s v="Sales Manager - E Sales"/>
    <s v="Hazira"/>
    <s v="0031591982"/>
    <s v="PM-Marketing"/>
    <s v="2000HWO"/>
    <s v="20003623"/>
    <s v="Soumyadeep Datta"/>
    <s v="No"/>
    <s v="tirthanka.roy@amns.in"/>
    <s v="9819730149"/>
    <s v="23811"/>
    <s v="Dhruv Vyas"/>
    <s v="Anil Matoo"/>
    <s v="Praveen Kuruvalli"/>
    <s v="Dhruv Vyas"/>
    <n v="0"/>
  </r>
  <r>
    <n v="2992"/>
    <n v="20048962"/>
    <s v="Saurabh Mutt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-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89-10-01T00:00:00"/>
    <s v="33.11"/>
    <d v="2014-11-18T00:00:00"/>
    <d v="2047-09-30T00:00:00"/>
    <m/>
    <d v="2047-09-30T00:00:00"/>
    <n v="8776"/>
    <s v="O-"/>
    <s v="Chartered Financial Analyst (CFA)-2013 ,"/>
    <s v="02.08"/>
    <s v="08.10"/>
    <s v="11.06"/>
    <s v="70074192"/>
    <s v="Corporate Accounts"/>
    <s v="70414443"/>
    <s v="Lead-Corporate Accounts &amp; Audit"/>
    <s v="Hazira"/>
    <s v="0090000027"/>
    <s v="Corporate Steel - Ac"/>
    <s v="2000HWO"/>
    <s v="20007067"/>
    <s v="Gaurav Bhandari"/>
    <s v="No"/>
    <s v="saurabh.mutta@amns.in"/>
    <s v="9879102504"/>
    <s v="22743"/>
    <s v="Dhruv Vyas"/>
    <s v="Anil Matoo"/>
    <s v="Praveen Kuruvalli"/>
    <s v="Dhruv Vyas"/>
    <n v="0"/>
  </r>
  <r>
    <n v="2993"/>
    <n v="20048971"/>
    <s v="Arindam Ganguly"/>
    <s v="AM/NS India"/>
    <s v="Onroll"/>
    <s v="M-6"/>
    <n v="6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nior Lead"/>
    <m/>
    <s v="Finance &amp; Accounts - Pune"/>
    <s v="Finance &amp; Accounts"/>
    <s v="Costing"/>
    <s v="Non Technical Support"/>
    <s v="Finance &amp; Accounts"/>
    <s v="Costing"/>
    <s v="73906001"/>
    <s v="Costing"/>
    <s v="Pune AMNS"/>
    <d v="1968-06-01T00:00:00"/>
    <s v="55.03"/>
    <d v="2014-11-17T00:00:00"/>
    <d v="2026-05-31T00:00:00"/>
    <m/>
    <d v="2026-05-31T00:00:00"/>
    <n v="984"/>
    <s v="A-"/>
    <s v="ICWA Final-1996 , BCom-1989"/>
    <s v="21.11"/>
    <s v="08.10"/>
    <s v="30.09"/>
    <s v="70418544"/>
    <s v="Costing"/>
    <s v="70416525"/>
    <s v="Senior Lead"/>
    <s v="Pune Facility"/>
    <s v="0035950020"/>
    <s v="Pune-F&amp;A"/>
    <s v="2000ESPF"/>
    <s v="0"/>
    <s v=""/>
    <s v="No"/>
    <s v="arindam.ganguly@amns.in"/>
    <s v="9158820666"/>
    <s v="21763"/>
    <s v="Dhruv Vyas"/>
    <s v="Anil Matoo"/>
    <s v="Praveen Kuruvalli"/>
    <s v="Dhruv Vyas"/>
    <n v="0"/>
  </r>
  <r>
    <n v="2999"/>
    <n v="20049105"/>
    <s v="Vikas Bohra"/>
    <s v="AM/NS India"/>
    <s v="Onroll"/>
    <s v="M-5"/>
    <n v="5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– Structured Transactions"/>
    <m/>
    <s v="Treasury &amp; Banking"/>
    <s v="Treasury &amp; Banking"/>
    <s v="Corporate Finance"/>
    <s v="Non Technical Support"/>
    <s v="Finance &amp; Accounts"/>
    <s v="Corporate Finance"/>
    <s v="73902002"/>
    <s v="Project Finance"/>
    <s v="Mumbai"/>
    <d v="1979-03-28T00:00:00"/>
    <s v="44.05"/>
    <d v="2014-12-22T00:00:00"/>
    <d v="2037-03-31T00:00:00"/>
    <m/>
    <d v="2037-03-31T00:00:00"/>
    <n v="4941"/>
    <s v="B-"/>
    <s v="Intermediate-2000 , BCom-1995 , CA Final"/>
    <s v="05.03"/>
    <s v="08.08"/>
    <s v="13.11"/>
    <s v="70280332"/>
    <s v="Finance &amp; Treasury"/>
    <s v="70418547"/>
    <s v="Sr. Lead – Structured Transactions"/>
    <s v="Corporate"/>
    <s v="0090000028"/>
    <s v="Corporate Steel - Wo"/>
    <s v="2000CS"/>
    <s v="20000870"/>
    <s v="Balajee M"/>
    <s v="No"/>
    <s v="vikas.bohra@amns.in"/>
    <s v="9930137061"/>
    <s v="21309"/>
    <s v="Dhruv Vyas"/>
    <s v="Anil Matoo"/>
    <s v="Praveen Kuruvalli"/>
    <s v="Dhruv Vyas"/>
    <n v="0"/>
  </r>
  <r>
    <n v="3004"/>
    <n v="20049277"/>
    <s v="Rishabh  Bhandar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Capex Finance"/>
    <m/>
    <s v="Internal Control &amp; SOX"/>
    <s v="Internal Control &amp; SOX"/>
    <s v="Finance &amp; Accounts"/>
    <s v="Non Technical Support"/>
    <s v="Commercial"/>
    <s v="Commercial"/>
    <s v="73801001"/>
    <s v="Commercial"/>
    <s v="AM/NS Hazira"/>
    <d v="1989-10-07T00:00:00"/>
    <s v="33.11"/>
    <d v="2015-01-27T00:00:00"/>
    <d v="2047-10-31T00:00:00"/>
    <m/>
    <d v="2047-10-31T00:00:00"/>
    <n v="8807"/>
    <s v="A-"/>
    <s v="CS-2014 , CA Final-2014 , SSLC-2013 , BC"/>
    <s v="04.02"/>
    <s v="08.07"/>
    <s v="12.09"/>
    <s v="00050876"/>
    <s v="Capex Finance, Hazira"/>
    <s v="70433937"/>
    <s v="Officer - Internal Control &amp; SOX"/>
    <s v="Hazira"/>
    <s v="0090000038"/>
    <s v="CAPEX FINANCE"/>
    <s v="2000HWO"/>
    <s v="20056029"/>
    <s v="Ananya Maitra"/>
    <s v="No"/>
    <s v="rishabh.bhandari@amns.in"/>
    <s v="9930134938"/>
    <s v="21222"/>
    <s v="Dhruv Vyas"/>
    <s v="Anil Matoo"/>
    <s v="Praveen Kuruvalli"/>
    <s v="Dhruv Vyas"/>
    <n v="0"/>
  </r>
  <r>
    <n v="3005"/>
    <n v="20049281"/>
    <s v="Raveena Dhoot"/>
    <s v="AM/NS India"/>
    <s v="Onroll"/>
    <s v="M-6"/>
    <n v="6"/>
    <m/>
    <s v="MM"/>
    <s v="F"/>
    <s v="Corporate"/>
    <n v="7"/>
    <s v="2099"/>
    <x v="19"/>
    <s v="02.01"/>
    <s v="Raghavan Aravamudhan"/>
    <s v="Dilip Oommen"/>
    <n v="1"/>
    <s v="CEO Office"/>
    <s v="Business Strategy"/>
    <s v="02"/>
    <s v="Sr. Lead - PMO"/>
    <m/>
    <s v="Business Strategy"/>
    <s v="Business Strategy"/>
    <s v=""/>
    <s v="Non Technical Support"/>
    <s v="Operations"/>
    <s v="Operations"/>
    <s v="72103001"/>
    <s v="Operations"/>
    <s v="Mumbai"/>
    <d v="1993-01-10T00:00:00"/>
    <s v="30.08"/>
    <d v="2015-01-27T00:00:00"/>
    <d v="2051-01-31T00:00:00"/>
    <m/>
    <d v="2051-01-31T00:00:00"/>
    <n v="9995"/>
    <s v="B-"/>
    <s v="High School-2014 , CA Final-2014 , BCom-"/>
    <s v="04.00"/>
    <s v="08.07"/>
    <s v="12.07"/>
    <s v="00046538"/>
    <s v="Project Monitoring"/>
    <s v="70433936"/>
    <s v="Executive Assistant to CEO"/>
    <s v="Corporate"/>
    <s v="0090000022"/>
    <s v="Business Strategy"/>
    <s v="2000CS"/>
    <s v="20055068"/>
    <s v="Dilip Oommen"/>
    <s v="No"/>
    <s v="raveena.dhoot@amns.in"/>
    <s v="9930137063"/>
    <s v="21671"/>
    <s v="Dhruv Vyas"/>
    <s v="Anil Matoo"/>
    <s v="Praveen Kuruvalli"/>
    <s v="Dhruv Vyas"/>
    <n v="0"/>
  </r>
  <r>
    <n v="3009"/>
    <n v="20049474"/>
    <s v="Ashish Sawant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r. Manager - Sales &amp; Mkt"/>
    <m/>
    <s v="Pipe"/>
    <s v="Pipe"/>
    <s v=""/>
    <s v="Non Technical Support"/>
    <s v="Sales &amp; Marketing"/>
    <s v="Sales &amp; Marketing"/>
    <s v="73101001"/>
    <s v="Sales &amp; Marketing"/>
    <s v="Mumbai"/>
    <d v="1980-01-01T00:00:00"/>
    <s v="43.08"/>
    <d v="2015-02-23T00:00:00"/>
    <d v="2037-12-31T00:00:00"/>
    <m/>
    <d v="2037-12-31T00:00:00"/>
    <n v="5216"/>
    <s v="A-"/>
    <s v="MMS-2004 , BCom-2001 , High School-1998"/>
    <s v="11.01"/>
    <s v="08.06"/>
    <s v="19.08"/>
    <s v="70387159"/>
    <s v="Pipe Sales"/>
    <s v="70431062"/>
    <s v="KAM - Domestics Pipe Sales"/>
    <s v="Hazira"/>
    <s v="0031591982"/>
    <s v="PM-Marketing"/>
    <s v="2000HWO"/>
    <s v="20007414"/>
    <s v="Gaurav Sharma"/>
    <s v="No"/>
    <s v="ashish.sawant@amns.in"/>
    <s v="9930132225"/>
    <s v="23972"/>
    <s v="Dhruv Vyas"/>
    <s v="Anil Matoo"/>
    <s v="Praveen Kuruvalli"/>
    <s v="Dhruv Vyas"/>
    <n v="0"/>
  </r>
  <r>
    <n v="3012"/>
    <n v="20049542"/>
    <s v="Saumen Das"/>
    <s v="AM/NS India"/>
    <s v="Onroll"/>
    <s v="M-10"/>
    <n v="10"/>
    <m/>
    <s v="JM"/>
    <s v="M"/>
    <s v="Odisha"/>
    <n v="2"/>
    <s v="2095"/>
    <x v="4"/>
    <n v="36.01"/>
    <s v="Deepak Sindkar"/>
    <s v="Hrishikesh Kamat"/>
    <n v="7"/>
    <s v="Procurement"/>
    <s v="Raw Materials"/>
    <s v="36"/>
    <s v="Officer - Raw Material"/>
    <m/>
    <s v="Bulk Raw Materials"/>
    <s v="Bulck Raw Material"/>
    <s v="Bulck Raw Material"/>
    <s v="Non Technical Support"/>
    <s v="Commercial"/>
    <s v="Procurement"/>
    <s v="73803001"/>
    <s v="Procurement"/>
    <s v="Dabuna"/>
    <d v="1979-01-29T00:00:00"/>
    <s v="44.07"/>
    <d v="2015-02-10T00:00:00"/>
    <d v="2037-01-31T00:00:00"/>
    <m/>
    <d v="2037-01-31T00:00:00"/>
    <n v="4882"/>
    <s v="O-"/>
    <s v="High School-2002 , BCom-2002 , SSLC-1999"/>
    <s v="10.00"/>
    <s v="08.07"/>
    <s v="18.07"/>
    <s v="70258505"/>
    <s v="Bulk Raw Material"/>
    <s v="70433359"/>
    <s v="Officer - Raw Material"/>
    <s v="Odisha"/>
    <s v="0022010019"/>
    <s v="DBN-Benf-HR/Admin"/>
    <s v="2000STORIS"/>
    <s v="20037898"/>
    <s v="Sanjib Sinha"/>
    <s v="No"/>
    <s v="saumen.das@amns.in"/>
    <s v="8599008406"/>
    <s v="21524"/>
    <s v="Sunila Das"/>
    <s v="Anil Matoo"/>
    <s v="Praveen Kuruvalli"/>
    <s v="Sunila Das"/>
    <n v="0"/>
  </r>
  <r>
    <n v="3013"/>
    <n v="20049554"/>
    <s v="Uttam Kumar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Sales Planning &amp; Admin"/>
    <m/>
    <s v="Sales Planning"/>
    <s v="Sales Planning"/>
    <s v=""/>
    <s v="Non Technical Support"/>
    <s v="Sales &amp; Marketing"/>
    <s v="Sales &amp; Marketing"/>
    <s v="73101001"/>
    <s v="Sales &amp; Marketing"/>
    <s v="AM/NS Hazira"/>
    <d v="1980-01-18T00:00:00"/>
    <s v="43.08"/>
    <d v="2015-03-27T00:00:00"/>
    <d v="2038-01-31T00:00:00"/>
    <m/>
    <d v="2038-01-31T00:00:00"/>
    <n v="5247"/>
    <s v="B-"/>
    <s v="High School-2005 , MBA-2005 , BBA-2002 ,"/>
    <s v="09.09"/>
    <s v="08.05"/>
    <s v="18.02"/>
    <s v="70385322"/>
    <s v="Sales Planning &amp; Administration"/>
    <s v="70433844"/>
    <s v="Head - Sales Planning &amp; Admin"/>
    <s v="Hazira"/>
    <s v="0080000001"/>
    <s v="Head-Marketing"/>
    <s v="2000HWO"/>
    <s v="20007104"/>
    <s v="Ranjan Dhar"/>
    <s v="No"/>
    <s v="uttam.kumar@amns.in"/>
    <s v="9909901008"/>
    <s v="22374"/>
    <s v="Dhruv Vyas"/>
    <s v="Anil Matoo"/>
    <s v="Praveen Kuruvalli"/>
    <s v="Dhruv Vyas"/>
    <n v="0"/>
  </r>
  <r>
    <n v="3018"/>
    <n v="20049610"/>
    <s v="Anshuman Chowdhary"/>
    <s v="AM/NS India"/>
    <s v="Onroll"/>
    <s v="M-7"/>
    <n v="7"/>
    <m/>
    <s v="MM"/>
    <s v="M"/>
    <s v="Hazira"/>
    <n v="1"/>
    <s v="2095"/>
    <x v="4"/>
    <n v="36.01"/>
    <s v="Deepak Sindkar"/>
    <s v="Hrishikesh Kamat"/>
    <n v="7"/>
    <s v="Procurement"/>
    <s v="Raw Materials"/>
    <s v="36"/>
    <s v="Lead - BRM"/>
    <m/>
    <s v="Bulk Raw Materials"/>
    <s v="Raw Material"/>
    <s v="Bulk Raw Material"/>
    <s v="Non Technical Support"/>
    <s v="Commercial"/>
    <s v="Procurement"/>
    <s v="73803001"/>
    <s v="Procurement"/>
    <s v="AM/NS Hazira"/>
    <d v="1978-09-15T00:00:00"/>
    <s v="45.00"/>
    <d v="2015-04-01T00:00:00"/>
    <d v="2036-09-30T00:00:00"/>
    <m/>
    <d v="2036-09-30T00:00:00"/>
    <n v="4759"/>
    <s v="B-"/>
    <s v="MBA-2012 , BE-2001"/>
    <s v="10.05"/>
    <s v="08.05"/>
    <s v="18.10"/>
    <s v="00045894"/>
    <s v="Blacks"/>
    <s v="72150916"/>
    <s v="Lead - BRM"/>
    <s v="Hazira"/>
    <s v="0031950048"/>
    <s v="HZ-Procurment Depart"/>
    <s v="2000HWO"/>
    <s v="20001577"/>
    <s v="Prakash Thakur"/>
    <s v="No"/>
    <s v="anshuman.chowdhary@amns.in"/>
    <s v="9879103800"/>
    <s v="21436"/>
    <s v="Dhruv Vyas"/>
    <s v="Anil Matoo"/>
    <s v="Praveen Kuruvalli"/>
    <s v="Dhruv Vyas"/>
    <n v="0"/>
  </r>
  <r>
    <n v="3021"/>
    <n v="20049748"/>
    <s v="Vivek Shenvi"/>
    <s v="AM/NS India"/>
    <s v="Onroll"/>
    <s v="M-7"/>
    <n v="7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– Structured Transactions"/>
    <m/>
    <s v="Treasury &amp; Banking"/>
    <s v="Treasury &amp; Banking"/>
    <s v="Corporate Finance"/>
    <s v="Non Technical Support"/>
    <s v="Finance &amp; Accounts"/>
    <s v="Corporate Finance"/>
    <s v="73902001"/>
    <s v="Corporate Finance"/>
    <s v="Mumbai"/>
    <d v="1974-08-03T00:00:00"/>
    <s v="49.01"/>
    <d v="2015-02-16T00:00:00"/>
    <d v="2032-08-31T00:00:00"/>
    <m/>
    <d v="2032-08-31T00:00:00"/>
    <n v="3268"/>
    <s v="O-"/>
    <s v="MBA-2019 , LLB-2019 , BCom-2009"/>
    <s v="17.08"/>
    <s v="08.07"/>
    <s v="26.02"/>
    <s v="00050553"/>
    <s v="Banking &amp; Treasury"/>
    <s v="70438047"/>
    <s v="Lead – Structured Transactions"/>
    <s v="Corporate"/>
    <s v="0090000028"/>
    <s v="Corporate Steel - Wo"/>
    <s v="2000CS"/>
    <s v="20011972"/>
    <s v="Rajita Bagkar"/>
    <s v="No"/>
    <s v="shenvi.vivek@amns.in"/>
    <s v="9930137062"/>
    <s v="24709"/>
    <s v="Dhruv Vyas"/>
    <s v="Anil Matoo"/>
    <s v="Praveen Kuruvalli"/>
    <s v="Dhruv Vyas"/>
    <n v="0"/>
  </r>
  <r>
    <n v="3024"/>
    <n v="20050108"/>
    <s v="Ayyalasomayajula Koundinya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Engineer - Procurement (BP &amp; Common)"/>
    <m/>
    <s v="Procurement"/>
    <s v="New Projects &amp; Process Modification"/>
    <s v="New Projects &amp; Process Modification"/>
    <s v="Non Technical Support"/>
    <s v="Services"/>
    <s v="Maintenance Services"/>
    <s v="72103013"/>
    <s v="Mechanical Maintenance"/>
    <s v="Vizag"/>
    <d v="1992-06-11T00:00:00"/>
    <s v="31.03"/>
    <d v="2015-06-12T00:00:00"/>
    <d v="2050-06-30T00:00:00"/>
    <m/>
    <d v="2050-06-30T00:00:00"/>
    <n v="9780"/>
    <s v="B-"/>
    <s v="PG Diploma in Management-2015 , BTech-20"/>
    <s v=""/>
    <s v="08.03"/>
    <s v="08.03"/>
    <s v="00048432"/>
    <s v="Procurement - Plant Operations"/>
    <s v="70449383"/>
    <s v="Engineer - Procurement (BP &amp; Common)"/>
    <s v="Vizag"/>
    <s v="0028030019"/>
    <s v="VIZ-Personnel &amp; Admi"/>
    <s v="2000VIZOPS"/>
    <s v="20037594"/>
    <s v="M G S R D Prasad"/>
    <s v="No"/>
    <s v="koundinya.ayyalasomayajula@amns.in"/>
    <s v="9160963339"/>
    <s v="21109"/>
    <s v="DS Varma"/>
    <s v="Anil Matoo"/>
    <s v="Praveen Kuruvalli"/>
    <s v="Dhruv Vyas"/>
    <n v="0"/>
  </r>
  <r>
    <n v="3031"/>
    <n v="20050785"/>
    <s v="Pankaj Chourasia"/>
    <s v="AM/NS India"/>
    <s v="Onroll"/>
    <s v="M-4"/>
    <n v="4"/>
    <m/>
    <s v="SM"/>
    <s v="M"/>
    <s v="Corporate"/>
    <n v="7"/>
    <s v="2100"/>
    <x v="11"/>
    <s v="42.01"/>
    <s v="P Ashok Kumar"/>
    <s v="P Ashok Kumar"/>
    <n v="9"/>
    <s v="Legal"/>
    <s v="Company Secretary"/>
    <s v="42"/>
    <s v="Company Secretary"/>
    <m/>
    <s v="Company Secretary"/>
    <s v="Company Secretary"/>
    <s v="Company Secretary"/>
    <s v="Non Technical Support"/>
    <s v="Secretarial"/>
    <s v="Company Secretary"/>
    <s v="73301001"/>
    <s v="Company Secretary"/>
    <s v="Mumbai"/>
    <d v="1975-07-15T00:00:00"/>
    <s v="48.02"/>
    <d v="2015-10-27T00:00:00"/>
    <d v="2033-07-31T00:00:00"/>
    <m/>
    <d v="2033-07-31T00:00:00"/>
    <n v="3602"/>
    <s v="A-"/>
    <s v="LLB-2004 , MCom-1997 , CS-1999 , BCom-19"/>
    <s v="17.01"/>
    <s v="07.10"/>
    <s v="25.00"/>
    <s v="70273573"/>
    <s v="Company Secretarial"/>
    <s v="70463327"/>
    <s v="Company Secretary"/>
    <s v="Corporate"/>
    <s v="0090000020"/>
    <s v="Company Secretary"/>
    <s v="2000CS"/>
    <s v="20055235"/>
    <s v="P Ashok Kumar"/>
    <s v="No"/>
    <s v="pankaj.chourasia@amns.in"/>
    <s v="9819730722"/>
    <s v="21434"/>
    <s v="Dhruv Vyas"/>
    <s v="Anil Matoo"/>
    <s v="Praveen Kuruvalli"/>
    <s v="Dhruv Vyas"/>
    <n v="0"/>
  </r>
  <r>
    <n v="3057"/>
    <n v="20052026"/>
    <s v="Jigneshkumar Patel"/>
    <s v="AM/NS India"/>
    <s v="Onroll"/>
    <s v="M-5"/>
    <n v="5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r. Lead – Proc Rolls Lubes  System Dev"/>
    <m/>
    <s v="Procurement MRO Hazira"/>
    <s v="Procurement"/>
    <s v="APD &amp; OEM for HSM, Hose, System development and MIS"/>
    <s v="Non Technical Support"/>
    <s v="Commercial"/>
    <s v="Procurement"/>
    <s v="73803001"/>
    <s v="Procurement"/>
    <s v="AM/NS Hazira"/>
    <d v="1977-03-16T00:00:00"/>
    <s v="46.06"/>
    <d v="2016-06-06T00:00:00"/>
    <d v="2035-03-31T00:00:00"/>
    <m/>
    <d v="2035-03-31T00:00:00"/>
    <n v="4210"/>
    <s v="B-"/>
    <s v="BE-2004 , Diploma-1997 , Diploma-1994"/>
    <s v="17.05"/>
    <s v="07.03"/>
    <s v="24.08"/>
    <s v="00044544"/>
    <s v="Rolls Lubes  System Development"/>
    <s v="70486746"/>
    <s v="Sr. Lead – Proc Rolls Lubes  System Dev"/>
    <s v="Hazira"/>
    <s v="0031950048"/>
    <s v="HZ-Procurment Depart"/>
    <s v="2000HWO"/>
    <s v="20002323"/>
    <s v="Balaji Somvanshi"/>
    <s v="No"/>
    <s v="jigneshkumar01.patel@amns.in"/>
    <s v="9879103302"/>
    <s v="23209"/>
    <s v="Dhruv Vyas"/>
    <s v="Anil Matoo"/>
    <s v="Praveen Kuruvalli"/>
    <s v="Dhruv Vyas"/>
    <n v="0"/>
  </r>
  <r>
    <n v="3110"/>
    <n v="20052253"/>
    <s v="Niraj Thaku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– Sales Planning and Admin"/>
    <m/>
    <s v="Sales Planning"/>
    <s v="Sales Planning"/>
    <s v=""/>
    <s v="Non Technical Support"/>
    <s v="Operations"/>
    <s v="Operations"/>
    <s v="72103002"/>
    <s v="Operations Planning &amp; Str"/>
    <s v="Mumbai"/>
    <d v="1987-08-12T00:00:00"/>
    <s v="36.01"/>
    <d v="2016-07-18T00:00:00"/>
    <d v="2045-08-31T00:00:00"/>
    <m/>
    <d v="2045-08-31T00:00:00"/>
    <n v="8016"/>
    <s v="A+"/>
    <s v="PG Diploma in Management-2012 , BTech-20"/>
    <s v="08.01"/>
    <s v="07.02"/>
    <s v="15.03"/>
    <s v="72150188"/>
    <s v="Market Intelligence &amp; Pricing"/>
    <s v="70487112"/>
    <s v="Lead – Sales Planning and Admin"/>
    <s v="Hazira"/>
    <s v="0060110300"/>
    <s v="HMART-Guj-Ahemedabad"/>
    <s v="2000HWO"/>
    <s v="20008774"/>
    <s v="Ajay Somasundaran"/>
    <s v="No"/>
    <s v="niraj.thakur@amns.in"/>
    <s v="9909901283"/>
    <s v="24498"/>
    <s v="Dhruv Vyas"/>
    <s v="Anil Matoo"/>
    <s v="Praveen Kuruvalli"/>
    <s v="Dhruv Vyas"/>
    <n v="0"/>
  </r>
  <r>
    <n v="3111"/>
    <n v="20052261"/>
    <s v="Aruni Mishra"/>
    <s v="AM/NS India"/>
    <s v="Onroll"/>
    <s v="M-3"/>
    <n v="3"/>
    <m/>
    <s v="SM"/>
    <s v="M"/>
    <s v="Hazira"/>
    <n v="1"/>
    <s v="2161"/>
    <x v="15"/>
    <s v="31.02"/>
    <s v="Hrishikesh Kamat"/>
    <s v="Hrishikesh Kamat"/>
    <n v="7"/>
    <s v="Procurement"/>
    <s v="Procurement"/>
    <s v="31"/>
    <s v="Head-Capex Procurement &amp; Secondary Sale"/>
    <m/>
    <s v="Capex Procurement"/>
    <s v="Capex Procurement"/>
    <s v=""/>
    <s v="Non Technical Support"/>
    <s v="Operations"/>
    <s v="Operations"/>
    <s v="72103001"/>
    <s v="Operations"/>
    <s v="Hazira"/>
    <d v="1969-03-28T00:00:00"/>
    <s v="54.05"/>
    <d v="2016-07-11T00:00:00"/>
    <d v="2027-03-31T00:00:00"/>
    <m/>
    <d v="2027-03-31T00:00:00"/>
    <n v="1288"/>
    <s v="B+"/>
    <s v="MBA-1991 , MBA-1991 , MBA-1991 , MBA-199"/>
    <s v="22.11"/>
    <s v="07.02"/>
    <s v="30.01"/>
    <s v="70282830"/>
    <s v="Capex Procurement &amp; Secondary Sales"/>
    <s v="70487056"/>
    <s v="Head-Capex Procurement &amp; Secondary Sale"/>
    <s v="Confidential Payroll"/>
    <s v="0031950059"/>
    <s v="HZ-Hazira Project"/>
    <s v="2000HWO"/>
    <s v="20055090"/>
    <s v="Hrishikesh Kamat"/>
    <s v="No"/>
    <s v="aruni.mishra@amns.in"/>
    <s v="9879100155"/>
    <s v="22620"/>
    <s v="Dhruv Vyas"/>
    <s v="Anil Matoo"/>
    <s v="Praveen Kuruvalli"/>
    <s v="Dhruv Vyas"/>
    <n v="0"/>
  </r>
  <r>
    <n v="3125"/>
    <n v="20052385"/>
    <s v="Anupam Tiwari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In-Charge Quality (Fabric"/>
    <m/>
    <s v="North"/>
    <s v="Hypermart"/>
    <s v="Fabrication"/>
    <s v="Non Technical Support"/>
    <s v="Sales &amp; Marketing"/>
    <s v="Sales"/>
    <s v="73104003"/>
    <s v="Retail Sales"/>
    <s v="Ghaziabad"/>
    <d v="1990-07-05T00:00:00"/>
    <s v="33.02"/>
    <d v="2016-08-01T00:00:00"/>
    <d v="2048-07-31T00:00:00"/>
    <m/>
    <d v="2048-07-31T00:00:00"/>
    <n v="9081"/>
    <s v="O-"/>
    <s v="Certificate-2014 , BTech-2010 , Intermed"/>
    <s v="06.00"/>
    <s v="07.01"/>
    <s v="13.01"/>
    <s v="00052526"/>
    <s v="Sales - North"/>
    <s v="70487430"/>
    <s v="Sales Manager - Hypermart"/>
    <s v="Hazira"/>
    <s v="0060120600"/>
    <s v="HMART-UP-Ghaziabad"/>
    <s v="2000SPRJ"/>
    <s v="20007322"/>
    <s v="Sanjay Bohra"/>
    <s v="No"/>
    <s v="anupam.tiwari@amns.in"/>
    <s v="8053119822"/>
    <s v="24529"/>
    <s v="Dhruv Vyas"/>
    <s v="Anil Matoo"/>
    <s v="Praveen Kuruvalli"/>
    <s v="Dhruv Vyas"/>
    <n v="0"/>
  </r>
  <r>
    <n v="3133"/>
    <n v="20052581"/>
    <s v="Dipak Sayaji"/>
    <s v="AM/NS India"/>
    <s v="Onroll"/>
    <s v="M-7"/>
    <n v="7"/>
    <m/>
    <s v="MM"/>
    <s v="M"/>
    <s v="Service Centers"/>
    <n v="6"/>
    <s v="2043"/>
    <x v="3"/>
    <s v="31.01"/>
    <s v="Hrishikesh Kamat"/>
    <s v="Hrishikesh Kamat"/>
    <n v="7"/>
    <s v="Procurement"/>
    <s v="Procurement"/>
    <s v="31"/>
    <s v="Lead - Procurement - Service Center"/>
    <m/>
    <s v="Procurement Service Centre"/>
    <s v="Procurement"/>
    <s v="Procurement"/>
    <s v="Non Technical Support"/>
    <s v="Finance &amp; Accounts"/>
    <s v="Finance &amp; Accounts"/>
    <s v="73901001"/>
    <s v="Finance &amp; Accounts"/>
    <s v="Hazira"/>
    <d v="1988-11-19T00:00:00"/>
    <s v="34.09"/>
    <d v="2016-09-07T00:00:00"/>
    <d v="2046-11-30T00:00:00"/>
    <m/>
    <d v="2046-11-30T00:00:00"/>
    <n v="8472"/>
    <s v="A+"/>
    <s v="Diploma-2004"/>
    <s v="09.03"/>
    <s v="07.00"/>
    <s v="16.03"/>
    <s v="70413444"/>
    <s v="Purchase &amp; Contracts"/>
    <s v="70487684"/>
    <s v="Lead - Procurement - Service Center"/>
    <s v="Service Center"/>
    <s v="0040010019"/>
    <s v="SC-DSC-Common Cost"/>
    <s v="2000SPRJ"/>
    <s v="20052588"/>
    <s v="Govindraju Sampathirao"/>
    <s v="No"/>
    <s v="dipak.sayaji@amns.in"/>
    <s v="9176949966"/>
    <s v="23979"/>
    <s v="Dhruv Vyas"/>
    <s v="Anil Matoo"/>
    <s v="Praveen Kuruvalli"/>
    <s v="Dhruv Vyas"/>
    <n v="0"/>
  </r>
  <r>
    <n v="3134"/>
    <n v="20052588"/>
    <s v="Govindraju Sampathirao"/>
    <s v="AM/NS India"/>
    <s v="Onroll"/>
    <s v="M-6"/>
    <n v="6"/>
    <m/>
    <s v="MM"/>
    <s v="M"/>
    <s v="Service Centers"/>
    <n v="6"/>
    <s v="2043"/>
    <x v="3"/>
    <s v="31.01"/>
    <s v="Hrishikesh Kamat"/>
    <s v="Hrishikesh Kamat"/>
    <n v="7"/>
    <s v="Procurement"/>
    <s v="Procurement"/>
    <s v="31"/>
    <s v="Head – Procurement Service Center"/>
    <m/>
    <s v="Procurement Service Centre"/>
    <s v="Procurement"/>
    <s v="Procurement"/>
    <s v="Non Technical Support"/>
    <s v="Operations"/>
    <s v="Plant Operations"/>
    <s v="72103003"/>
    <s v="Plant Operations"/>
    <s v="Hazira"/>
    <d v="1975-11-12T00:00:00"/>
    <s v="47.10"/>
    <d v="2016-09-14T00:00:00"/>
    <d v="2033-11-30T00:00:00"/>
    <m/>
    <d v="2033-11-30T00:00:00"/>
    <n v="3724"/>
    <s v="A-"/>
    <s v="MBA-2003 , BSc-1997"/>
    <s v="17.10"/>
    <s v="07.00"/>
    <s v="24.09"/>
    <s v="70413444"/>
    <s v="Purchase &amp; Contracts"/>
    <s v="70487702"/>
    <s v="Head – Procurement Service Center"/>
    <s v="Service Center"/>
    <s v="0040000000"/>
    <s v="SC - Common"/>
    <s v="2000SPRJ"/>
    <s v="20055090"/>
    <s v="Hrishikesh Kamat"/>
    <s v="No"/>
    <s v="sampathirao.govindraju@amns.in"/>
    <s v="8053119824"/>
    <s v="23907"/>
    <s v="Dhruv Vyas"/>
    <s v="Anil Matoo"/>
    <s v="Praveen Kuruvalli"/>
    <s v="Dhruv Vyas"/>
    <n v="0"/>
  </r>
  <r>
    <n v="3136"/>
    <n v="20052653"/>
    <s v="Anup Agarwala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– Proc Steel Making &amp; Lifting Equi"/>
    <m/>
    <s v="Procurement MRO Hazira"/>
    <s v="Procurement"/>
    <s v="SMP I &amp; II Fabrication, Wire ropes, slings , hoists."/>
    <s v="Non Technical Support"/>
    <s v="Commercial"/>
    <s v="Procurement"/>
    <s v="73803001"/>
    <s v="Procurement"/>
    <s v="AM/NS Hazira"/>
    <d v="1993-01-04T00:00:00"/>
    <s v="30.08"/>
    <d v="2016-10-13T00:00:00"/>
    <d v="2051-01-31T00:00:00"/>
    <m/>
    <d v="2051-01-31T00:00:00"/>
    <n v="9995"/>
    <s v="B-"/>
    <s v="CA Final-2016 , CS-2014 , BCom-2014"/>
    <s v="00.05"/>
    <s v="06.11"/>
    <s v="07.04"/>
    <s v="70072411"/>
    <s v="Iron &amp; Steel Making"/>
    <s v="70487717"/>
    <s v="Lead – Proc Steel Making &amp; Lifting Equi"/>
    <s v="Hazira"/>
    <s v="0031950048"/>
    <s v="HZ-Procurment Depart"/>
    <s v="2000HWO"/>
    <s v="20000926"/>
    <s v="Manishkumar Seksaria"/>
    <s v="No"/>
    <s v="anup.agarwala@amns.in"/>
    <s v="9879102291"/>
    <s v="21030"/>
    <s v="Dhruv Vyas"/>
    <s v="Anil Matoo"/>
    <s v="Praveen Kuruvalli"/>
    <s v="Dhruv Vyas"/>
    <n v="0"/>
  </r>
  <r>
    <n v="3178"/>
    <n v="20053326"/>
    <s v="Banaj Khatua"/>
    <s v="AM/NS India"/>
    <s v="Onroll"/>
    <s v="M-7"/>
    <n v="7"/>
    <m/>
    <s v="MM"/>
    <s v="M"/>
    <s v="Odisha"/>
    <n v="2"/>
    <s v="2084"/>
    <x v="17"/>
    <s v="23.09"/>
    <s v="Anil Matoo"/>
    <s v="Ashutosh Telang"/>
    <n v="6"/>
    <s v="HR &amp; Administration"/>
    <s v="Industrial Relations"/>
    <s v="23"/>
    <s v="Lead - Industrial Relations"/>
    <m/>
    <s v="Industrial Relations"/>
    <s v="Administration"/>
    <s v="Administration"/>
    <s v="Non Technical Support"/>
    <s v="Human Resources Management"/>
    <s v="Industrial Relations &amp; Labour Law"/>
    <s v="73510000"/>
    <s v="Industrial Relations &amp; La"/>
    <s v="Dabuna"/>
    <d v="1973-05-16T00:00:00"/>
    <s v="50.04"/>
    <d v="2017-05-15T00:00:00"/>
    <d v="2031-05-31T00:00:00"/>
    <m/>
    <d v="2031-05-31T00:00:00"/>
    <n v="2810"/>
    <s v=""/>
    <s v="MBA-1995"/>
    <s v="10.11"/>
    <s v="06.04"/>
    <s v="17.03"/>
    <s v="00047828"/>
    <s v="Odisha HR Operations"/>
    <s v="70489660"/>
    <s v="Lead - Industrial Relations"/>
    <s v="Odisha"/>
    <s v="0022010019"/>
    <s v="DBN-Benf-HR/Admin"/>
    <s v="2000STORIS"/>
    <s v="20055611"/>
    <s v="Sunila Kumar Das"/>
    <s v="No"/>
    <s v="banaj.khatua@amns.in"/>
    <s v="8599008448"/>
    <s v="22231"/>
    <s v="Sunila Das"/>
    <s v="Anil Matoo"/>
    <s v="Praveen Kuruvalli"/>
    <s v="Sunila Das"/>
    <n v="0"/>
  </r>
  <r>
    <n v="3183"/>
    <n v="20053558"/>
    <s v="Tushar Kanti Panda"/>
    <s v="AM/NS India"/>
    <s v="Onroll"/>
    <s v="M-6"/>
    <n v="6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- Indirect Taxation"/>
    <m/>
    <s v="Finance &amp; Accounts - Odisha"/>
    <s v="Finance &amp; Accounts"/>
    <s v="Indirect Taxation"/>
    <s v="Non Technical Support"/>
    <s v="Finance &amp; Accounts"/>
    <s v="Taxation"/>
    <s v="73904002"/>
    <s v="Indirect Taxation"/>
    <s v="Paradeep"/>
    <d v="1967-01-15T00:00:00"/>
    <s v="56.08"/>
    <d v="2017-06-27T00:00:00"/>
    <d v="2025-01-31T00:00:00"/>
    <m/>
    <d v="2025-01-31T00:00:00"/>
    <n v="499"/>
    <s v=""/>
    <s v="LLB-1996 , ICWA Inter-1991 , MCom-1991"/>
    <s v="22.01"/>
    <s v="06.02"/>
    <s v="28.03"/>
    <s v="70234933"/>
    <s v="Finance &amp; Accounts - Odisha"/>
    <s v="70490163"/>
    <s v="Lead - Indirect Taxation"/>
    <s v="Odisha"/>
    <s v="0022030019"/>
    <s v="PDP-HR &amp; Admn"/>
    <s v="2000STORIS"/>
    <s v="20055801"/>
    <s v="Sanjive Kumar Singh"/>
    <s v="No"/>
    <s v="tushar.panda@amns.in"/>
    <s v="7381007259"/>
    <s v="22920"/>
    <s v="Sunila Das"/>
    <s v="Anil Matoo"/>
    <s v="Praveen Kuruvalli"/>
    <s v="Sunila Das"/>
    <n v="0"/>
  </r>
  <r>
    <n v="3184"/>
    <n v="20053562"/>
    <s v="Shankar Murugan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Auto"/>
    <s v=""/>
    <s v="Non Technical Support"/>
    <s v="Sales &amp; Marketing"/>
    <s v="Sales"/>
    <s v="73104004"/>
    <s v="OEM Sales"/>
    <s v="Chennai"/>
    <d v="1989-12-17T00:00:00"/>
    <s v="33.09"/>
    <d v="2017-07-03T00:00:00"/>
    <d v="2047-12-31T00:00:00"/>
    <m/>
    <d v="2047-12-31T00:00:00"/>
    <n v="8868"/>
    <s v="B-"/>
    <s v="MBA-2014 , BE-2011 , High School-2007 ,"/>
    <s v="03.05"/>
    <s v="06.02"/>
    <s v="09.07"/>
    <s v="00052470"/>
    <s v="Automotive Sales - Chennai"/>
    <s v="70490181"/>
    <s v="KAM – Automotive Sales"/>
    <s v="Hazira"/>
    <s v="0031950057"/>
    <s v="HZ-HRC - Marketing"/>
    <s v="2000HWO"/>
    <s v="20000909"/>
    <s v="Murali Krishna Chunduru"/>
    <s v="No"/>
    <s v="shankar.murugan@amns.in"/>
    <s v="9840070626"/>
    <s v="22739"/>
    <s v="Dhruv Vyas"/>
    <s v="Anil Matoo"/>
    <s v="Praveen Kuruvalli"/>
    <s v="Dhruv Vyas"/>
    <n v="0"/>
  </r>
  <r>
    <n v="3187"/>
    <n v="20053636"/>
    <s v="Reddy Bhanu Kishore"/>
    <s v="AM/NS India"/>
    <s v="Onroll"/>
    <s v="M-8"/>
    <n v="8"/>
    <m/>
    <s v="JM"/>
    <s v="M"/>
    <s v="Vizag"/>
    <n v="3"/>
    <s v="2013"/>
    <x v="0"/>
    <s v="20.01"/>
    <s v="Akiyo Omori"/>
    <s v="Amit Harlalka"/>
    <n v="5"/>
    <s v="Finance &amp; Accounts"/>
    <s v="Finance &amp; Accounts"/>
    <s v="20"/>
    <s v="Officer-IDT"/>
    <m/>
    <s v="Finance &amp; Accounts - Vizag"/>
    <s v="Finance &amp; Accounts"/>
    <s v="Indirect Taxation"/>
    <s v="Non Technical Support"/>
    <s v="Finance &amp; Accounts"/>
    <s v="Taxation"/>
    <s v="73904002"/>
    <s v="Indirect Taxation"/>
    <s v="Vizag"/>
    <d v="1983-08-03T00:00:00"/>
    <s v="40.01"/>
    <d v="2017-07-24T00:00:00"/>
    <d v="2041-08-31T00:00:00"/>
    <m/>
    <d v="2041-08-31T00:00:00"/>
    <n v="6555"/>
    <s v=""/>
    <s v="MBA-2006 , MCom-2003 , BCom-2001"/>
    <s v="07.00"/>
    <s v="06.01"/>
    <s v="13.01"/>
    <s v="70413458"/>
    <s v="Costing, Budgeting &amp; IDT"/>
    <s v="70490408"/>
    <s v="Officer-IDT"/>
    <s v="Vizag"/>
    <s v="0028030019"/>
    <s v="VIZ-Personnel &amp; Admi"/>
    <s v="2000VIZOPS"/>
    <s v="20006862"/>
    <s v="D Niranjan Patro"/>
    <s v="No"/>
    <s v="reddy.kishore@amns.in"/>
    <s v="7799064333"/>
    <s v="22254"/>
    <s v="DS Varma"/>
    <s v="Anil Matoo"/>
    <s v="Praveen Kuruvalli"/>
    <s v="Dhruv Vyas"/>
    <n v="0"/>
  </r>
  <r>
    <n v="3188"/>
    <n v="20053644"/>
    <s v="Vinit Jain"/>
    <s v="AM/NS India"/>
    <s v="Onroll"/>
    <s v="M-5"/>
    <n v="5"/>
    <m/>
    <s v="MM"/>
    <s v="M"/>
    <s v="Hazira"/>
    <n v="1"/>
    <s v="2095"/>
    <x v="4"/>
    <n v="36.01"/>
    <s v="Deepak Sindkar"/>
    <s v="Hrishikesh Kamat"/>
    <n v="7"/>
    <s v="Procurement"/>
    <s v="Raw Materials"/>
    <s v="36"/>
    <s v="Section Head – Anthracite coal &amp; Scrap"/>
    <m/>
    <s v="Bulk Raw Materials"/>
    <s v="Raw Material"/>
    <s v="Bulk Raw Material"/>
    <s v="Non Technical Support"/>
    <s v="Commercial"/>
    <s v="Procurement"/>
    <s v="73803001"/>
    <s v="Procurement"/>
    <s v="AM/NS Hazira"/>
    <d v="1967-02-21T00:00:00"/>
    <s v="56.06"/>
    <d v="2017-07-10T00:00:00"/>
    <d v="2025-02-28T00:00:00"/>
    <m/>
    <d v="2025-02-28T00:00:00"/>
    <n v="527"/>
    <s v="O-"/>
    <s v="BE-1989"/>
    <s v="25.06"/>
    <s v="06.02"/>
    <s v="31.08"/>
    <s v="70072409"/>
    <s v="Bulk Raw Materials"/>
    <s v="70490417"/>
    <s v="Section Head – Anthracite coal &amp; Scrap"/>
    <s v="Hazira"/>
    <s v="0031950048"/>
    <s v="HZ-Procurment Depart"/>
    <s v="2000HWO"/>
    <s v="20000253"/>
    <s v="Deepak Sindkar"/>
    <s v="No"/>
    <s v="vinit.jain@amns.in"/>
    <s v="9879103850"/>
    <s v="21974"/>
    <s v="Dhruv Vyas"/>
    <s v="Anil Matoo"/>
    <s v="Praveen Kuruvalli"/>
    <s v="Dhruv Vyas"/>
    <n v="0"/>
  </r>
  <r>
    <n v="3193"/>
    <n v="20053754"/>
    <s v="Jitendra Agrawal"/>
    <s v="AM/NS India"/>
    <s v="Onroll"/>
    <s v="M-7"/>
    <n v="7"/>
    <m/>
    <s v="M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Sr. Lead - F &amp; A and Stores"/>
    <m/>
    <s v="Working Capital"/>
    <s v="Service Centers"/>
    <s v="Service Centre"/>
    <s v="Non Technical Support"/>
    <s v="Finance &amp; Accounts"/>
    <s v="Finance &amp; Accounts"/>
    <s v="73901001"/>
    <s v="Finance &amp; Accounts"/>
    <s v="Bahadurgarh"/>
    <d v="1982-01-15T00:00:00"/>
    <s v="41.08"/>
    <d v="2017-08-21T00:00:00"/>
    <d v="2040-01-31T00:00:00"/>
    <m/>
    <d v="2040-01-31T00:00:00"/>
    <n v="5977"/>
    <s v=""/>
    <s v="ICWA Inter-2008 , MCom-2003"/>
    <s v="10.09"/>
    <s v="06.00"/>
    <s v="16.10"/>
    <s v="00043795"/>
    <s v="F&amp;A Hypermart &amp; Service Centre - 1"/>
    <s v="70490650"/>
    <s v="Sr. Lead - F &amp; A and Stores"/>
    <s v="Service Center"/>
    <s v="0040050019"/>
    <s v="SC-Bahadurgarh-Op1-C"/>
    <s v="2000SPRJ"/>
    <s v="20055201"/>
    <s v="Deepak Sahu"/>
    <s v="No"/>
    <s v="jitendra.agrawal@amns.in"/>
    <s v="8053119826"/>
    <s v="21036"/>
    <s v="Dhruv Vyas"/>
    <s v="Anil Matoo"/>
    <s v="Praveen Kuruvalli"/>
    <s v="Dhruv Vyas"/>
    <n v="0"/>
  </r>
  <r>
    <n v="3195"/>
    <n v="20053791"/>
    <s v="Rakesh Joshi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Other West"/>
    <s v="Auto"/>
    <s v=""/>
    <s v="Non Technical Support"/>
    <s v="Sales &amp; Marketing"/>
    <s v="Sales"/>
    <s v="73104004"/>
    <s v="OEM Sales"/>
    <s v="Pune"/>
    <d v="1991-01-09T00:00:00"/>
    <s v="32.08"/>
    <d v="2017-09-04T00:00:00"/>
    <d v="2049-01-31T00:00:00"/>
    <m/>
    <d v="2049-01-31T00:00:00"/>
    <n v="9265"/>
    <s v=""/>
    <s v="MBA-2017 , BBA-2012"/>
    <s v="02.11"/>
    <s v="06.00"/>
    <s v="08.11"/>
    <s v="70495309"/>
    <s v="Sales West Zone"/>
    <s v="70491371"/>
    <s v="KAM - Automotive Sales"/>
    <s v="Hazira"/>
    <s v="0031950057"/>
    <s v="HZ-HRC - Marketing"/>
    <s v="2000HWO"/>
    <s v="20047683"/>
    <s v="Virat Vij"/>
    <s v="No"/>
    <s v="rakesh.joshibhat@amns.in"/>
    <s v="9870074805"/>
    <s v="22075"/>
    <s v="Dhruv Vyas"/>
    <s v="Anil Matoo"/>
    <s v="Praveen Kuruvalli"/>
    <s v="Dhruv Vyas"/>
    <n v="0"/>
  </r>
  <r>
    <n v="3210"/>
    <n v="20053904"/>
    <s v="Abhishek Jain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GST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82-11-19T00:00:00"/>
    <s v="40.09"/>
    <d v="2017-12-01T00:00:00"/>
    <d v="2040-11-30T00:00:00"/>
    <m/>
    <d v="2040-11-30T00:00:00"/>
    <n v="6281"/>
    <s v="A-"/>
    <s v="BCom-2004"/>
    <s v=""/>
    <s v="05.09"/>
    <s v="05.09"/>
    <s v="00044379"/>
    <s v="GST - Hazira Assets"/>
    <s v="70491199"/>
    <s v="Lead - GST"/>
    <s v="Hazira"/>
    <s v="0031950044"/>
    <s v="HZ-Commercial Taxati"/>
    <s v="2000HWO"/>
    <s v="20015864"/>
    <s v="Mayank Desai"/>
    <s v="No"/>
    <s v="abhishek.jain@amns.in"/>
    <s v="9879101619"/>
    <s v="21964"/>
    <s v="Dhruv Vyas"/>
    <s v="Anil Matoo"/>
    <s v="Praveen Kuruvalli"/>
    <s v="Dhruv Vyas"/>
    <n v="0"/>
  </r>
  <r>
    <n v="3217"/>
    <n v="20053921"/>
    <s v="S V N S Ganesh"/>
    <s v="AM/NS India"/>
    <s v="Onroll"/>
    <s v="M-7"/>
    <n v="7"/>
    <m/>
    <s v="MM"/>
    <s v="M"/>
    <s v="Vizag"/>
    <n v="3"/>
    <s v="2013"/>
    <x v="0"/>
    <s v="20.01"/>
    <s v="Akiyo Omori"/>
    <s v="Amit Harlalka"/>
    <n v="5"/>
    <s v="Finance &amp; Accounts"/>
    <s v="Finance &amp; Accounts"/>
    <s v="20"/>
    <s v="Offeicer-IDT"/>
    <m/>
    <s v="Finance &amp; Accounts - Vizag"/>
    <s v="Finance &amp; Accounts"/>
    <s v="Indirect Taxation"/>
    <s v="Non Technical Support"/>
    <s v="Finance &amp; Accounts"/>
    <s v="Taxation"/>
    <s v="73904002"/>
    <s v="Indirect Taxation"/>
    <s v="Vizag"/>
    <d v="1979-08-09T00:00:00"/>
    <s v="44.01"/>
    <d v="2017-12-20T00:00:00"/>
    <d v="2037-08-31T00:00:00"/>
    <m/>
    <d v="2037-08-31T00:00:00"/>
    <n v="5094"/>
    <s v=""/>
    <s v="MBA-2003 , BCom-2000"/>
    <s v="15.03"/>
    <s v="05.09"/>
    <s v="20.11"/>
    <s v="70413458"/>
    <s v="Costing, Budgeting &amp; IDT"/>
    <s v="70491271"/>
    <s v="Offeicer-IDT"/>
    <s v="Vizag"/>
    <s v="0028030019"/>
    <s v="VIZ-Personnel &amp; Admi"/>
    <s v="2000VIZOPS"/>
    <s v="20006862"/>
    <s v="D Niranjan Patro"/>
    <s v="No"/>
    <s v="srikakolapu.ganesh@amns.in"/>
    <s v="8142125999"/>
    <s v="21759"/>
    <s v="DS Varma"/>
    <s v="Anil Matoo"/>
    <s v="Praveen Kuruvalli"/>
    <s v="Dhruv Vyas"/>
    <n v="0"/>
  </r>
  <r>
    <n v="3229"/>
    <n v="20053956"/>
    <s v="Motka Dharmendrabhai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c Instrumentation &amp; Automatio"/>
    <m/>
    <s v="Procurement MRO Hazira"/>
    <s v="Procurement"/>
    <s v="Instrumentation &amp; Automation spares - Hazira Complex"/>
    <s v="Non Technical Support"/>
    <s v="Commercial"/>
    <s v="Procurement"/>
    <s v="73803001"/>
    <s v="Procurement"/>
    <s v="AM/NS Hazira"/>
    <d v="1975-01-12T00:00:00"/>
    <s v="48.08"/>
    <d v="2018-02-09T00:00:00"/>
    <d v="2033-01-31T00:00:00"/>
    <m/>
    <d v="2033-01-31T00:00:00"/>
    <n v="3421"/>
    <s v="A-"/>
    <s v="BE-2001 , Diploma-1998"/>
    <s v="03.11"/>
    <s v="05.07"/>
    <s v="09.06"/>
    <s v="70266350"/>
    <s v="Zinc, Elect, Instrumentation, Automation"/>
    <s v="70491422"/>
    <s v="Lead - Proc Instrumentation &amp; Automatio"/>
    <s v="Hazira"/>
    <s v="0031950048"/>
    <s v="HZ-Procurment Depart"/>
    <s v="2000HWO"/>
    <s v="20002746"/>
    <s v="Deep Pyne"/>
    <s v="No"/>
    <s v="dharmendra.motka@amns.in"/>
    <s v="9909996271"/>
    <s v="22715"/>
    <s v="Dhruv Vyas"/>
    <s v="Anil Matoo"/>
    <s v="Praveen Kuruvalli"/>
    <s v="Dhruv Vyas"/>
    <n v="0"/>
  </r>
  <r>
    <n v="3274"/>
    <n v="20054232"/>
    <s v="Imran Mohammad"/>
    <s v="AM/NS India"/>
    <s v="Onroll"/>
    <s v="M-5"/>
    <n v="5"/>
    <m/>
    <s v="MM"/>
    <s v="M"/>
    <s v="Hazira"/>
    <n v="1"/>
    <s v="2015"/>
    <x v="1"/>
    <s v="22.06"/>
    <s v="Praveen Kuruvalli"/>
    <s v="Ashutosh Telang"/>
    <n v="6"/>
    <s v="HR &amp; Administration"/>
    <s v="Human Resources"/>
    <s v="22"/>
    <s v="Head-Talent Management &amp; OD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5-06-04T00:00:00"/>
    <s v="38.03"/>
    <d v="2018-07-25T00:00:00"/>
    <d v="2043-06-30T00:00:00"/>
    <m/>
    <d v="2043-06-30T00:00:00"/>
    <n v="7223"/>
    <s v=""/>
    <s v="MBA-2009 , BCom-2007 , High School-2004"/>
    <s v="11.06"/>
    <s v="05.01"/>
    <s v="16.08"/>
    <s v="70492872"/>
    <s v="Talent Management &amp; OD"/>
    <s v="70492364"/>
    <s v="Head-Talent Management &amp; OD"/>
    <s v="Hazira"/>
    <s v="0031950061"/>
    <s v="HZ-Human Resource"/>
    <s v="2000HWO"/>
    <s v="20055483"/>
    <s v="Praveen Kuruvalli"/>
    <s v="No"/>
    <s v="imran.mohammad@amns.in"/>
    <s v="9879103612"/>
    <s v="22682"/>
    <s v="Dhruv Vyas"/>
    <s v="Anil Matoo"/>
    <s v="Praveen Kuruvalli"/>
    <s v="Dhruv Vyas"/>
    <n v="0"/>
  </r>
  <r>
    <n v="3284"/>
    <n v="20054296"/>
    <s v="Ashish Rajak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Inventory Plant B"/>
    <s v="Non Technical Support"/>
    <s v="Commercial"/>
    <s v="Stores &amp; Warehouse"/>
    <s v="73806001"/>
    <s v="Stores &amp; Warehouse"/>
    <s v="Hazira"/>
    <d v="1990-09-12T00:00:00"/>
    <s v="33.00"/>
    <d v="2018-08-21T00:00:00"/>
    <d v="2048-09-30T00:00:00"/>
    <m/>
    <d v="2048-09-30T00:00:00"/>
    <n v="9142"/>
    <s v="O-"/>
    <s v="Diploma-2006"/>
    <s v="09.00"/>
    <s v="05.00"/>
    <s v="14.01"/>
    <s v="00053279"/>
    <s v="Receipts &amp; Unloading - Plant A"/>
    <s v="70492419"/>
    <s v="Section Officer - Issue/Shifting"/>
    <s v="Hazira"/>
    <s v="0031950049"/>
    <s v="HZ-Central Stores"/>
    <s v="2000HWO"/>
    <s v="20006916"/>
    <s v="Mir Ali Martaja"/>
    <s v="No"/>
    <s v="ashish.rajak@amns.in"/>
    <s v="9879102455"/>
    <s v="23630"/>
    <s v="Dhruv Vyas"/>
    <s v="Anil Matoo"/>
    <s v="Praveen Kuruvalli"/>
    <s v="Dhruv Vyas"/>
    <n v="0"/>
  </r>
  <r>
    <n v="3291"/>
    <n v="20054320"/>
    <s v="Sanjaykumar Kanani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– Capex Procurement"/>
    <m/>
    <s v="Capex Procurement"/>
    <s v="Capex Procurement"/>
    <s v=""/>
    <s v="Non Technical Support"/>
    <s v="Operations"/>
    <s v="Operations"/>
    <s v="72103001"/>
    <s v="Operations"/>
    <s v="Hazira"/>
    <d v="1994-12-09T00:00:00"/>
    <s v="28.09"/>
    <d v="2018-09-01T00:00:00"/>
    <d v="2052-12-31T00:00:00"/>
    <m/>
    <d v="2052-12-31T00:00:00"/>
    <n v="10695"/>
    <s v="B-"/>
    <s v="BE-2015 , Diploma-2012"/>
    <s v="03.03"/>
    <s v="05.00"/>
    <s v="08.03"/>
    <s v="00049515"/>
    <s v="Capex Procurement"/>
    <s v="70492467"/>
    <s v="Lead – Capex Procurement"/>
    <s v="Hazira"/>
    <s v="0031950059"/>
    <s v="HZ-Hazira Project"/>
    <s v="2000HWO"/>
    <s v="20055706"/>
    <s v="HimalKumar Madhusudan Sheth"/>
    <s v="No"/>
    <s v="sanjaykumar.kanani@amns.in"/>
    <s v="9879102090"/>
    <s v="22125"/>
    <s v="Dhruv Vyas"/>
    <s v="Anil Matoo"/>
    <s v="Praveen Kuruvalli"/>
    <s v="Dhruv Vyas"/>
    <n v="0"/>
  </r>
  <r>
    <n v="3292"/>
    <n v="20054321"/>
    <s v="Hitesh Suratwal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Profit Management"/>
    <m/>
    <s v="Performance Management"/>
    <s v="Performance Management"/>
    <s v="Profit Management"/>
    <s v="Non Technical Support"/>
    <s v="Finance &amp; Accounts"/>
    <s v="Costing"/>
    <s v="73906001"/>
    <s v="Costing"/>
    <s v="AM/NS Hazira"/>
    <d v="1995-11-13T00:00:00"/>
    <s v="27.10"/>
    <d v="2018-09-03T00:00:00"/>
    <d v="2053-11-30T00:00:00"/>
    <m/>
    <d v="2053-11-30T00:00:00"/>
    <n v="11029"/>
    <s v="B-"/>
    <s v="CA Final-2017 , BCom-2016"/>
    <s v=""/>
    <s v="05.00"/>
    <s v="05.00"/>
    <s v="00045310"/>
    <s v="Performance Management"/>
    <s v="70492468"/>
    <s v="Lead – Profit Management"/>
    <s v="Hazira"/>
    <s v="0031950043"/>
    <s v="HZ-Performance Manag"/>
    <s v="2000HWO"/>
    <s v="20059076"/>
    <s v="Ravish Doshi"/>
    <s v="No"/>
    <s v="hitesh.suratwala@amns.in"/>
    <s v="9879103154"/>
    <s v="24389"/>
    <s v="Dhruv Vyas"/>
    <s v="Anil Matoo"/>
    <s v="Praveen Kuruvalli"/>
    <s v="Dhruv Vyas"/>
    <n v="0"/>
  </r>
  <r>
    <n v="3308"/>
    <n v="20054383"/>
    <s v="Santosh Kumar Sahoo"/>
    <s v="AM/NS India"/>
    <s v="Onroll"/>
    <s v="M-9"/>
    <n v="9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Lead - Indirect Taxation"/>
    <m/>
    <s v="Finance &amp; Accounts - Odisha"/>
    <s v="Finance &amp; Accounts"/>
    <s v="Indirect Taxation"/>
    <s v="Non Technical Support"/>
    <s v="Finance &amp; Accounts"/>
    <s v="Taxation"/>
    <s v="73904002"/>
    <s v="Indirect Taxation"/>
    <s v="Paradeep"/>
    <d v="1985-05-19T00:00:00"/>
    <s v="38.04"/>
    <d v="2018-09-26T00:00:00"/>
    <d v="2043-05-31T00:00:00"/>
    <m/>
    <d v="2043-05-31T00:00:00"/>
    <n v="7193"/>
    <s v="O+"/>
    <s v="MBA-2006"/>
    <s v="02.06"/>
    <s v="04.11"/>
    <s v="07.05"/>
    <s v="70234933"/>
    <s v="Finance &amp; Accounts - Odisha"/>
    <s v="70492582"/>
    <s v="Lead - Indirect Taxation"/>
    <s v="Odisha"/>
    <s v="0022010019"/>
    <s v="DBN-Benf-HR/Admin"/>
    <s v="2000STORIS"/>
    <s v="20055801"/>
    <s v="Sanjive Kumar Singh"/>
    <s v="No"/>
    <s v="santosh.sahoo@amns.in"/>
    <s v="7381007062"/>
    <s v="23855"/>
    <s v="Sunila Das"/>
    <s v="Anil Matoo"/>
    <s v="Praveen Kuruvalli"/>
    <s v="Sunila Das"/>
    <n v="0"/>
  </r>
  <r>
    <n v="3355"/>
    <n v="20054448"/>
    <s v="Sejalben Pradipbhai Patel"/>
    <s v="AM/NS India"/>
    <s v="Onroll"/>
    <s v="M-10"/>
    <n v="10"/>
    <m/>
    <s v="JM"/>
    <s v="F"/>
    <s v="Hazira"/>
    <n v="1"/>
    <s v="2054"/>
    <x v="9"/>
    <s v="32.01"/>
    <s v="Pankaj Chaturvedi"/>
    <s v="Hrishikesh Kamat"/>
    <n v="7"/>
    <s v="Procurement"/>
    <s v="Contracts"/>
    <s v="32"/>
    <s v="Officer - Contracts"/>
    <m/>
    <s v="Contracts"/>
    <s v="Contracts"/>
    <s v="Power Infra, HK"/>
    <s v="Non Technical Support"/>
    <s v="Commercial"/>
    <s v="Contracts &amp; Tenders and E-bid"/>
    <s v="73805001"/>
    <s v="Contracts &amp; Tenders and E"/>
    <s v="AM/NS Hazira"/>
    <d v="1985-12-18T00:00:00"/>
    <s v="37.09"/>
    <d v="2018-10-01T00:00:00"/>
    <d v="2043-12-31T00:00:00"/>
    <m/>
    <d v="2043-12-31T00:00:00"/>
    <n v="7407"/>
    <s v="O+"/>
    <s v="Diploma-2014"/>
    <s v=""/>
    <s v="04.11"/>
    <s v="04.11"/>
    <s v="70495670"/>
    <s v="Contracts"/>
    <s v="70492612"/>
    <s v="Officer - Contracts"/>
    <s v="Hazira"/>
    <s v="0031950047"/>
    <s v="HZ-Contracts"/>
    <s v="2000HWO"/>
    <s v="20000795"/>
    <s v="Pankaj Chaturvedi"/>
    <s v="No"/>
    <s v="sejal.patel@amns.in"/>
    <s v="9925241140"/>
    <s v="23373"/>
    <s v="Dhruv Vyas"/>
    <s v="Anil Matoo"/>
    <s v="Praveen Kuruvalli"/>
    <s v="Dhruv Vyas"/>
    <n v="0"/>
  </r>
  <r>
    <n v="3408"/>
    <n v="20054512"/>
    <s v="Surinder Kumar Choudhary"/>
    <s v="AM/NS India"/>
    <s v="Onroll"/>
    <s v="M-6"/>
    <n v="6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Cluster Head - Human Resources"/>
    <m/>
    <s v="Human Resources"/>
    <s v=""/>
    <s v=""/>
    <s v="Non Technical Support"/>
    <s v="Human Resources Management"/>
    <s v="Human Resources Management"/>
    <s v="73501001"/>
    <s v="Human Resources"/>
    <s v="Hazira"/>
    <d v="1979-08-21T00:00:00"/>
    <s v="44.00"/>
    <d v="2018-10-12T00:00:00"/>
    <d v="2037-08-31T00:00:00"/>
    <m/>
    <d v="2037-08-31T00:00:00"/>
    <n v="5094"/>
    <s v="B+"/>
    <s v="PG Diploma in Management-2007 , BTech-20"/>
    <s v="12.10"/>
    <s v="04.11"/>
    <s v="17.09"/>
    <s v="70472771"/>
    <s v="Hazira HR Operations - 2"/>
    <s v="70319421"/>
    <s v="Cluster Head - Human Resources"/>
    <s v="Hazira"/>
    <s v="0031950061"/>
    <s v="HZ-Human Resource"/>
    <s v="2000HWO"/>
    <s v="20000083"/>
    <s v="Anil Matoo"/>
    <s v="No"/>
    <s v="surinder.choudhary@amns.in"/>
    <s v="9879100536"/>
    <s v="21427"/>
    <s v="Dhruv Vyas"/>
    <s v="Anil Matoo"/>
    <s v="Praveen Kuruvalli"/>
    <s v="Dhruv Vyas"/>
    <n v="0"/>
  </r>
  <r>
    <n v="3409"/>
    <n v="20054514"/>
    <s v="Sarvesh Jayesh Gangar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c OEM"/>
    <m/>
    <s v="Procurement MRO Hazira"/>
    <s v="Procurement"/>
    <s v="OEM across plant &amp; special inserts"/>
    <s v="Non Technical Support"/>
    <s v="Commercial"/>
    <s v="Procurement"/>
    <s v="73803001"/>
    <s v="Procurement"/>
    <s v="AM/NS Hazira"/>
    <d v="1990-06-15T00:00:00"/>
    <s v="33.03"/>
    <d v="2018-10-01T00:00:00"/>
    <d v="2048-06-30T00:00:00"/>
    <m/>
    <d v="2048-06-30T00:00:00"/>
    <n v="9050"/>
    <s v="O+"/>
    <s v="BE-2013"/>
    <s v="05.05"/>
    <s v="04.11"/>
    <s v="10.04"/>
    <s v="70072410"/>
    <s v="Rolling &amp; Finishing including CRM, Plate"/>
    <s v="70492725"/>
    <s v="Lead - Proc OEM"/>
    <s v="Hazira"/>
    <s v="0031950048"/>
    <s v="HZ-Procurment Depart"/>
    <s v="2000HWO"/>
    <s v="20002323"/>
    <s v="Balaji Somvanshi"/>
    <s v="No"/>
    <s v="sarvesh.gangar@amns.in"/>
    <s v="9909902759"/>
    <s v="21760"/>
    <s v="Dhruv Vyas"/>
    <s v="Anil Matoo"/>
    <s v="Praveen Kuruvalli"/>
    <s v="Dhruv Vyas"/>
    <n v="0"/>
  </r>
  <r>
    <n v="3412"/>
    <n v="20054520"/>
    <s v="Trupti Yagnesh Patel"/>
    <s v="AM/NS India"/>
    <s v="Onroll"/>
    <s v="M-8"/>
    <n v="8"/>
    <m/>
    <s v="JM"/>
    <s v="F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HSM, CSP Mill"/>
    <s v="Non Technical Support"/>
    <s v="Commercial"/>
    <s v="Contracts &amp; Tenders and E-bid"/>
    <s v="73805001"/>
    <s v="Contracts &amp; Tenders and E"/>
    <s v="AM/NS Hazira"/>
    <d v="1984-04-17T00:00:00"/>
    <s v="39.05"/>
    <d v="2018-10-10T00:00:00"/>
    <d v="2042-04-30T00:00:00"/>
    <m/>
    <d v="2042-04-30T00:00:00"/>
    <n v="6797"/>
    <s v="O+"/>
    <s v="Diploma-2005"/>
    <s v="11.08"/>
    <s v="04.11"/>
    <s v="16.07"/>
    <s v="70495670"/>
    <s v="Contracts"/>
    <s v="70492721"/>
    <s v="Lead - Contracts"/>
    <s v="Hazira"/>
    <s v="0031950047"/>
    <s v="HZ-Contracts"/>
    <s v="2000HWO"/>
    <s v="20000795"/>
    <s v="Pankaj Chaturvedi"/>
    <s v="No"/>
    <s v="trupti.patel@amns.in"/>
    <s v="9879106768"/>
    <s v="23392"/>
    <s v="Dhruv Vyas"/>
    <s v="Anil Matoo"/>
    <s v="Praveen Kuruvalli"/>
    <s v="Dhruv Vyas"/>
    <n v="0"/>
  </r>
  <r>
    <n v="3420"/>
    <n v="20054535"/>
    <s v="Mahendran V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 /Issue Plant"/>
    <m/>
    <s v="Stores &amp; Warehouse"/>
    <s v="Stores &amp; Warehouse"/>
    <s v="Refractory A, Receipt -Issue"/>
    <s v="Non Technical Support"/>
    <s v="Commercial"/>
    <s v="Stores &amp; Warehouse"/>
    <s v="73806001"/>
    <s v="Stores &amp; Warehouse"/>
    <s v="Hazira"/>
    <d v="1985-09-13T00:00:00"/>
    <s v="38.00"/>
    <d v="2018-10-20T00:00:00"/>
    <d v="2043-09-30T00:00:00"/>
    <m/>
    <d v="2043-09-30T00:00:00"/>
    <n v="7315"/>
    <s v="A+"/>
    <s v="Diploma-2006"/>
    <s v="12.00"/>
    <s v="04.11"/>
    <s v="16.11"/>
    <s v="00044539"/>
    <s v="Ferroalloy &amp; Refractory Stores"/>
    <s v="70492821"/>
    <s v="Section Officer - Receipt /Issue Plant"/>
    <s v="Hazira"/>
    <s v="0031950049"/>
    <s v="HZ-Central Stores"/>
    <s v="2000HWO"/>
    <s v="20010626"/>
    <s v="Barot Sachinkumar"/>
    <s v="No"/>
    <s v="mahendran.v@amns.in"/>
    <s v="9879104934"/>
    <s v="24599"/>
    <s v="Dhruv Vyas"/>
    <s v="Anil Matoo"/>
    <s v="Praveen Kuruvalli"/>
    <s v="Dhruv Vyas"/>
    <n v="0"/>
  </r>
  <r>
    <n v="3421"/>
    <n v="20054536"/>
    <s v="Parag Dilipkumar Joshi"/>
    <s v="AM/NS India"/>
    <s v="Onroll"/>
    <s v="M-10"/>
    <n v="10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fractory &amp; Plant B"/>
    <m/>
    <s v="Stores &amp; Warehouse"/>
    <s v="Stores &amp; Warehouse"/>
    <s v="Refractory B, Receipt -Issue"/>
    <s v="Non Technical Support"/>
    <s v="Commercial"/>
    <s v="Stores &amp; Warehouse"/>
    <s v="73806001"/>
    <s v="Stores &amp; Warehouse"/>
    <s v="Hazira"/>
    <d v="1987-03-17T00:00:00"/>
    <s v="36.06"/>
    <d v="2018-10-20T00:00:00"/>
    <d v="2045-03-31T00:00:00"/>
    <m/>
    <d v="2045-03-31T00:00:00"/>
    <n v="7863"/>
    <s v="A+"/>
    <s v="MCom-2006"/>
    <s v="08.09"/>
    <s v="04.11"/>
    <s v="13.07"/>
    <s v="00044539"/>
    <s v="Ferroalloy &amp; Refractory Stores"/>
    <s v="70492822"/>
    <s v="Section Officer - Refractory &amp; Plant B"/>
    <s v="Hazira"/>
    <s v="0031950049"/>
    <s v="HZ-Central Stores"/>
    <s v="2000HWO"/>
    <s v="20010626"/>
    <s v="Barot Sachinkumar"/>
    <s v="No"/>
    <s v="parag.joshi2@amns.in"/>
    <s v="9925245354"/>
    <s v="22067"/>
    <s v="Dhruv Vyas"/>
    <s v="Anil Matoo"/>
    <s v="Praveen Kuruvalli"/>
    <s v="Dhruv Vyas"/>
    <n v="0"/>
  </r>
  <r>
    <n v="3423"/>
    <n v="20054538"/>
    <s v="Niraj Pradeep Khopkar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– EXIM"/>
    <m/>
    <s v="Taxation"/>
    <s v="Indirect Taxation"/>
    <s v="EXIM"/>
    <s v="Non Technical Support"/>
    <s v="Finance &amp; Accounts"/>
    <s v="Taxation"/>
    <s v="73904002"/>
    <s v="Indirect Taxation"/>
    <s v="Mumbai"/>
    <d v="1982-06-05T00:00:00"/>
    <s v="41.03"/>
    <d v="2018-10-22T00:00:00"/>
    <d v="2040-06-30T00:00:00"/>
    <m/>
    <d v="2040-06-30T00:00:00"/>
    <n v="6128"/>
    <s v="A+"/>
    <s v="Certificate-2017 , Diploma-2007 , BCom-2"/>
    <s v="14.06"/>
    <s v="04.10"/>
    <s v="19.05"/>
    <s v="70072408"/>
    <s v="Customs / DGFT / EXIM"/>
    <s v="70492823"/>
    <s v="Sr. Lead– EXIM"/>
    <s v="Corporate"/>
    <s v="0090000033"/>
    <s v="Corporate Taxation"/>
    <s v="2000CS"/>
    <s v="20047664"/>
    <s v="Devang Desai"/>
    <s v="No"/>
    <s v="niraj.khopkar@amns.in"/>
    <s v="9819731545"/>
    <s v="22238"/>
    <s v="Dhruv Vyas"/>
    <s v="Anil Matoo"/>
    <s v="Praveen Kuruvalli"/>
    <s v="Dhruv Vyas"/>
    <n v="0"/>
  </r>
  <r>
    <n v="3429"/>
    <n v="20054565"/>
    <s v="Dhruv Vyas"/>
    <s v="AM/NS India"/>
    <s v="Onroll"/>
    <s v="M-7"/>
    <n v="7"/>
    <m/>
    <s v="MM"/>
    <s v="M"/>
    <s v="Hazira"/>
    <n v="1"/>
    <s v="2015"/>
    <x v="1"/>
    <s v="22.06"/>
    <s v="Praveen Kuruvalli"/>
    <s v="Ashutosh Telang"/>
    <n v="6"/>
    <s v="HR &amp; Administration"/>
    <s v="Human Resources"/>
    <s v="22"/>
    <s v="Lead  Human Resources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8-08-06T00:00:00"/>
    <s v="35.01"/>
    <d v="2018-11-01T00:00:00"/>
    <d v="2046-08-31T00:00:00"/>
    <m/>
    <d v="2046-08-31T00:00:00"/>
    <n v="8381"/>
    <s v="A+"/>
    <s v="MCA-2015 , MBA-2014 , Bachelor of Comput"/>
    <s v="04.06"/>
    <s v="04.10"/>
    <s v="09.04"/>
    <s v="00053055"/>
    <s v="Human Resources"/>
    <s v="70492873"/>
    <s v="Lead  Human Resources"/>
    <s v="Hazira"/>
    <s v="0031950061"/>
    <s v="HZ-Human Resource"/>
    <s v="2000HWO"/>
    <s v="20055672"/>
    <s v="Shailja Tripathi"/>
    <s v="No"/>
    <s v="dhruv.vyas@amns.in"/>
    <s v="9879101603"/>
    <s v="24719"/>
    <s v="Dhruv Vyas"/>
    <s v="Anil Matoo"/>
    <s v="Praveen Kuruvalli"/>
    <s v="Dhruv Vyas"/>
    <n v="0"/>
  </r>
  <r>
    <n v="3460"/>
    <n v="20054681"/>
    <s v="Roshan Farkunde"/>
    <s v="AM/NS India"/>
    <s v="Onroll"/>
    <s v="M-7"/>
    <n v="7"/>
    <m/>
    <s v="MM"/>
    <s v="M"/>
    <s v="Pune Facility"/>
    <n v="4"/>
    <s v="2015"/>
    <x v="1"/>
    <s v="22.06"/>
    <s v="Anil Matoo"/>
    <s v="Ashutosh Telang"/>
    <n v="6"/>
    <s v="HR &amp; Administration"/>
    <s v="Human Resources"/>
    <s v="22"/>
    <s v="Lead - Human Resource"/>
    <m/>
    <s v="Human Resources"/>
    <s v="Training"/>
    <s v="Human Resources"/>
    <s v="Non Technical Support"/>
    <s v="Human Resources Management"/>
    <s v="Human Resources Management"/>
    <s v="73501001"/>
    <s v="Human Resources"/>
    <s v="Pune AMNS"/>
    <d v="1984-09-11T00:00:00"/>
    <s v="39.00"/>
    <d v="2018-12-26T00:00:00"/>
    <d v="2042-09-30T00:00:00"/>
    <m/>
    <d v="2042-09-30T00:00:00"/>
    <n v="6950"/>
    <s v="B+"/>
    <s v="MBA-2009 , BSc-2005"/>
    <s v="09.07"/>
    <s v="04.08"/>
    <s v="14.03"/>
    <s v="73800068"/>
    <s v="Pune HR Operations &amp; Administration"/>
    <s v="70493321"/>
    <s v="Lead - Human Resource"/>
    <s v="Pune Facility"/>
    <s v="0035950019"/>
    <s v="Pune-Admin"/>
    <s v="2000ESPF"/>
    <s v="20037245"/>
    <s v="Mukund Jagirdar"/>
    <s v="No"/>
    <s v="roshan.farkunde@amns.in"/>
    <s v="9158045252"/>
    <s v="21714"/>
    <s v="Dhruv Vyas"/>
    <s v="Anil Matoo"/>
    <s v="Praveen Kuruvalli"/>
    <s v="Dhruv Vyas"/>
    <n v="0"/>
  </r>
  <r>
    <n v="3475"/>
    <n v="20054875"/>
    <s v="Sandeep Koul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4"/>
    <s v="OEM Sales"/>
    <s v="Noida"/>
    <d v="1985-06-29T00:00:00"/>
    <s v="38.02"/>
    <d v="2019-03-01T00:00:00"/>
    <d v="2043-06-30T00:00:00"/>
    <m/>
    <d v="2043-06-30T00:00:00"/>
    <n v="7223"/>
    <s v="A+"/>
    <s v="MBA-2011 , Bachelor of Computer Applicat"/>
    <s v="02.10"/>
    <s v="04.06"/>
    <s v="07.04"/>
    <s v="72150181"/>
    <s v="Sales North Zone"/>
    <s v="70493939"/>
    <s v="Sales Manager"/>
    <s v="Hazira"/>
    <s v="0031950057"/>
    <s v="HZ-HRC - Marketing"/>
    <s v="2000HWO"/>
    <s v="20002920"/>
    <s v="Sudhir Sharma"/>
    <s v="No"/>
    <s v="sandeep.koul@amns.in"/>
    <s v="9999949891"/>
    <s v="22277"/>
    <s v="Dhruv Vyas"/>
    <s v="Anil Matoo"/>
    <s v="Praveen Kuruvalli"/>
    <s v="Dhruv Vyas"/>
    <n v="0"/>
  </r>
  <r>
    <n v="3482"/>
    <n v="20054907"/>
    <s v="Shreyas Agarwal"/>
    <s v="AM/NS India"/>
    <s v="Onroll"/>
    <s v="M-9"/>
    <n v="9"/>
    <m/>
    <s v="JM"/>
    <s v="M"/>
    <s v="Hazira"/>
    <n v="1"/>
    <s v="2096"/>
    <x v="14"/>
    <s v="36.02"/>
    <s v="Deepak Sindkar"/>
    <s v="Hrishikesh Kamat"/>
    <n v="7"/>
    <s v="Procurement"/>
    <s v="Raw Materials"/>
    <s v="36"/>
    <s v="Lead - Gas Management"/>
    <m/>
    <s v="Power &amp; Gas"/>
    <s v="Power &amp; Gas"/>
    <s v="Power &amp; Gas"/>
    <s v="Non Technical Support"/>
    <s v="Commercial"/>
    <s v="Procurement"/>
    <s v="73803001"/>
    <s v="Procurement"/>
    <s v="AM/NS Hazira"/>
    <d v="1997-02-02T00:00:00"/>
    <s v="26.07"/>
    <d v="2019-04-15T00:00:00"/>
    <d v="2055-02-28T00:00:00"/>
    <m/>
    <d v="2055-02-28T00:00:00"/>
    <n v="11484"/>
    <s v="O+"/>
    <s v="MBA-2019 , BBA-2017 , Intermediate-2014"/>
    <s v=""/>
    <s v="04.05"/>
    <s v="04.05"/>
    <s v="00049516"/>
    <s v="Power &amp; Gas"/>
    <s v="70494001"/>
    <s v="Lead - Gas Management"/>
    <s v="Hazira"/>
    <s v="0031950048"/>
    <s v="HZ-Procurment Depart"/>
    <s v="2000HWO"/>
    <s v="20004612"/>
    <s v="Ramesh Chabhadiya"/>
    <s v="No"/>
    <s v="shreyas.agarwal@amns.in"/>
    <s v="9879101479"/>
    <s v="24862"/>
    <s v="Dhruv Vyas"/>
    <s v="Anil Matoo"/>
    <s v="Praveen Kuruvalli"/>
    <s v="Dhruv Vyas"/>
    <n v="0"/>
  </r>
  <r>
    <n v="3502"/>
    <n v="20054937"/>
    <s v="Hitesh Kumar Yadav"/>
    <s v="AM/NS India"/>
    <s v="Onroll"/>
    <s v="M-6"/>
    <n v="6"/>
    <m/>
    <s v="MM"/>
    <s v="M"/>
    <s v="Hazira"/>
    <n v="1"/>
    <s v="2722"/>
    <x v="20"/>
    <s v="28.02"/>
    <s v="Anil Matoo"/>
    <s v="Ashutosh Telang"/>
    <n v="6"/>
    <s v="HR &amp; Administration"/>
    <s v="Academy for Skill Development"/>
    <n v="28"/>
    <s v="Head - Academy"/>
    <m/>
    <s v="Academy for Skill Development"/>
    <s v=""/>
    <s v=""/>
    <s v="Non Technical Support"/>
    <s v="Human Resources Management"/>
    <s v="Human Resources Management"/>
    <s v="73501002"/>
    <s v="Human Resources Operation"/>
    <s v="Hazira"/>
    <d v="1977-03-30T00:00:00"/>
    <s v="46.05"/>
    <d v="2019-06-10T00:00:00"/>
    <d v="2035-03-31T00:00:00"/>
    <m/>
    <d v="2035-03-31T00:00:00"/>
    <n v="4210"/>
    <s v="O+"/>
    <s v="MHRM-2005 , BTech-2000 , Intermediate-19"/>
    <s v="02.03"/>
    <s v="04.03"/>
    <s v="06.06"/>
    <s v="70495652"/>
    <s v="Academy for Skill Development"/>
    <s v="70494107"/>
    <s v="Head - Academy"/>
    <s v="Hazira"/>
    <s v="0031950061"/>
    <s v="HZ-Human Resource"/>
    <s v="2000HWO"/>
    <s v="20000083"/>
    <s v="Anil Matoo"/>
    <s v="No"/>
    <s v="hitesh.yadav@amns.in"/>
    <s v="9879100546"/>
    <s v="24965"/>
    <s v="Dhruv Vyas"/>
    <s v="Anil Matoo"/>
    <s v="Praveen Kuruvalli"/>
    <s v="Dhruv Vyas"/>
    <n v="0"/>
  </r>
  <r>
    <n v="3509"/>
    <n v="20054954"/>
    <s v="Arnav Mishra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"/>
    <s v="Non Technical Support"/>
    <s v="Operations"/>
    <s v="Plant Operations"/>
    <s v="72103005"/>
    <s v="Shift Operations"/>
    <s v="Chennai"/>
    <d v="1988-11-21T00:00:00"/>
    <s v="34.09"/>
    <d v="2019-06-18T00:00:00"/>
    <d v="2046-11-30T00:00:00"/>
    <m/>
    <d v="2046-11-30T00:00:00"/>
    <n v="8472"/>
    <s v="B+"/>
    <s v="MTech-2019 , BTech-2010 , SSLC-2005 , Hi"/>
    <s v=""/>
    <s v="04.03"/>
    <s v="04.03"/>
    <s v="00052460"/>
    <s v="Auto &amp; YG"/>
    <s v="70494154"/>
    <s v="Lead – Application Engineer"/>
    <s v="Hazira"/>
    <s v="0031950057"/>
    <s v="HZ-HRC - Marketing"/>
    <s v="2000HWO"/>
    <s v="20056155"/>
    <s v="Kondapalli Venkateswarlu"/>
    <s v="No"/>
    <s v="arnav.mishra@amns.in"/>
    <s v="9925241696"/>
    <s v="24913"/>
    <s v="Dhruv Vyas"/>
    <s v="Anil Matoo"/>
    <s v="Praveen Kuruvalli"/>
    <s v="Dhruv Vyas"/>
    <n v="0"/>
  </r>
  <r>
    <n v="3510"/>
    <n v="20054955"/>
    <s v="Gaurav Sharma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"/>
    <s v="Non Technical Support"/>
    <s v="Operations"/>
    <s v="Plant Operations"/>
    <s v="72103005"/>
    <s v="Shift Operations"/>
    <s v="Noida"/>
    <d v="1991-09-28T00:00:00"/>
    <s v="31.11"/>
    <d v="2019-06-18T00:00:00"/>
    <d v="2049-09-30T00:00:00"/>
    <m/>
    <d v="2049-09-30T00:00:00"/>
    <n v="9507"/>
    <s v="B+"/>
    <s v="MTech-2019 , BTech-2014 , SSLC-2009 , Hi"/>
    <s v=""/>
    <s v="04.03"/>
    <s v="04.03"/>
    <s v="00052460"/>
    <s v="Auto &amp; YG"/>
    <s v="70494155"/>
    <s v="Lead – Application Engineer"/>
    <s v="Hazira"/>
    <s v="0031950057"/>
    <s v="HZ-HRC - Marketing"/>
    <s v="2000HWO"/>
    <s v="20056155"/>
    <s v="Kondapalli Venkateswarlu"/>
    <s v="No"/>
    <s v="gaurav.sharma@amns.in"/>
    <s v="9925241040"/>
    <s v="24097"/>
    <s v="Dhruv Vyas"/>
    <s v="Anil Matoo"/>
    <s v="Praveen Kuruvalli"/>
    <s v="Dhruv Vyas"/>
    <n v="0"/>
  </r>
  <r>
    <n v="3521"/>
    <n v="20054976"/>
    <s v="Golakiya Krushil Ishvarbhai"/>
    <s v="AM/NS India"/>
    <s v="Onroll"/>
    <s v="M-10"/>
    <n v="10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Section Engineer - Projects Coordination"/>
    <m/>
    <s v="Capex Planning &amp; Projects"/>
    <s v="AWESOME Projects, CRM Projects, Coal Conveyor to 300 MW PP"/>
    <s v="&quot;ARP-2 Project,"/>
    <s v="Non Technical Support"/>
    <s v="Projects"/>
    <s v="Projects Coordination"/>
    <s v="72103038"/>
    <s v="Projects Coordination"/>
    <s v="Hazira"/>
    <d v="1998-04-02T00:00:00"/>
    <s v="25.05"/>
    <d v="2019-06-18T00:00:00"/>
    <d v="2056-04-30T00:00:00"/>
    <m/>
    <d v="2056-04-30T00:00:00"/>
    <n v="11911"/>
    <s v="O+"/>
    <s v="BTech-2019 , SSLC-2015 , High School-201"/>
    <s v=""/>
    <s v="04.03"/>
    <s v="04.03"/>
    <s v="00049344"/>
    <s v="Capex Procurement"/>
    <s v="70494179"/>
    <s v="Section Engineer - Projects Coordination"/>
    <s v="Hazira"/>
    <s v="0031950059"/>
    <s v="HZ-Hazira Project"/>
    <s v="2000HWO"/>
    <s v="20055728"/>
    <s v="Mahebub Vahora"/>
    <s v="No"/>
    <s v="krushil.golakiya@amns.in"/>
    <s v="9909902475"/>
    <s v="24892"/>
    <s v="Dhruv Vyas"/>
    <s v="Anil Matoo"/>
    <s v="Praveen Kuruvalli"/>
    <s v="Dhruv Vyas"/>
    <n v="0"/>
  </r>
  <r>
    <n v="3526"/>
    <n v="20054987"/>
    <s v="Shaik Saajid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RM ÃƒÆ’Ã‚Â¢ÃƒÂ¢Ã¢â‚¬Å¡Ã‚Â¬ÃƒÂ¢Ã¢â€šÂ¬Ã…â€œ FM ÃƒÆ’Ã‚Â¢ÃƒÂ¢Ã¢â‚¬Å¡Ã‚Â¬ÃƒÂ¢Ã¢â€šÂ¬Ã…â€œ CS ÃƒÆ’Ã‚Â¢ÃƒÂ¢Ã¢â‚¬Å¡Ã‚Â¬ÃƒÂ¢Ã¢â€šÂ¬Ã…â€œ DC"/>
    <s v="Non Technical Support"/>
    <s v="Operations"/>
    <s v="Plant Maintenance"/>
    <s v="72103008"/>
    <s v="Mechanical Maintenance"/>
    <s v="Mumbai"/>
    <d v="1998-01-10T00:00:00"/>
    <s v="25.08"/>
    <d v="2019-06-18T00:00:00"/>
    <d v="2056-01-31T00:00:00"/>
    <m/>
    <d v="2056-01-31T00:00:00"/>
    <n v="11821"/>
    <s v="B+"/>
    <s v="BTech-2019 , SSLC-2015 , High School-201"/>
    <s v=""/>
    <s v="04.03"/>
    <s v="04.03"/>
    <s v="00052460"/>
    <s v="Auto &amp; YG"/>
    <s v="70494190"/>
    <s v="Lead – Application Engineer"/>
    <s v="Hazira"/>
    <s v="0031950057"/>
    <s v="HZ-HRC - Marketing"/>
    <s v="2000HWO"/>
    <s v="20056155"/>
    <s v="Kondapalli Venkateswarlu"/>
    <s v="No"/>
    <s v="shaik.sajid@amns.in"/>
    <s v="9909902292"/>
    <s v="24935"/>
    <s v="Dhruv Vyas"/>
    <s v="Anil Matoo"/>
    <s v="Praveen Kuruvalli"/>
    <s v="Dhruv Vyas"/>
    <n v="0"/>
  </r>
  <r>
    <n v="3538"/>
    <n v="20055011"/>
    <s v="Sambit Kumar Panda"/>
    <s v="AM/NS India"/>
    <s v="Onroll"/>
    <s v="M-10"/>
    <n v="10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Lead - Mechanical Buying"/>
    <m/>
    <s v="Procurement"/>
    <s v="Procurement"/>
    <s v="Procurement"/>
    <s v="Non Technical Support"/>
    <s v="Operations"/>
    <s v="Plant Maintenance"/>
    <s v="72103008"/>
    <s v="Mechanical Maintenance"/>
    <s v="Paradeep"/>
    <d v="1997-07-16T00:00:00"/>
    <s v="26.02"/>
    <d v="2019-06-18T00:00:00"/>
    <d v="2055-07-31T00:00:00"/>
    <m/>
    <d v="2055-07-31T00:00:00"/>
    <n v="11637"/>
    <s v="B+"/>
    <s v="BTech-2019 , SSLC-2015 , High School-201"/>
    <s v=""/>
    <s v="04.03"/>
    <s v="04.03"/>
    <s v="70407583"/>
    <s v="Procurement - Odisha Asset"/>
    <s v="70494163"/>
    <s v="Lead - Mechanical Buying"/>
    <s v="Odisha"/>
    <s v="0022030019"/>
    <s v="PDP-HR &amp; Admn"/>
    <s v="2000STORIS"/>
    <s v="20055692"/>
    <s v="Rajiv Ranjan"/>
    <s v="Yes"/>
    <s v="spanda1996@gmail.com"/>
    <s v="7381007063"/>
    <s v="24922"/>
    <s v="Sunila Das"/>
    <s v="Anil Matoo"/>
    <s v="Praveen Kuruvalli"/>
    <s v="Sunila Das"/>
    <n v="0"/>
  </r>
  <r>
    <n v="3544"/>
    <n v="20055018"/>
    <s v="Uzair Gulammohamad Vahora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"/>
    <s v="Non Technical Support"/>
    <s v="Sales &amp; Marketing"/>
    <s v="Sales"/>
    <s v="73104004"/>
    <s v="OEM Sales"/>
    <s v="Hazira"/>
    <d v="1995-05-28T00:00:00"/>
    <s v="28.03"/>
    <d v="2019-06-24T00:00:00"/>
    <d v="2053-05-31T00:00:00"/>
    <m/>
    <d v="2053-05-31T00:00:00"/>
    <n v="10846"/>
    <s v="O+"/>
    <s v="MBA-2019 , BBA-2016 , Intermediate-2013"/>
    <s v=""/>
    <s v="04.02"/>
    <s v="04.02"/>
    <s v="70394840"/>
    <s v="OEM Sales - Gujarat"/>
    <s v="70494225"/>
    <s v="Sales Manager - Hypermart"/>
    <s v="Hazira"/>
    <s v="0060110200"/>
    <s v="HMART-Gujarat Div"/>
    <s v="2000HWO"/>
    <s v="20001736"/>
    <s v="Manoranjan Jagdhari"/>
    <s v="No"/>
    <s v="uzair.vahora@amns.in"/>
    <s v="8657537920"/>
    <s v="24622"/>
    <s v="Dhruv Vyas"/>
    <s v="Anil Matoo"/>
    <s v="Praveen Kuruvalli"/>
    <s v="Dhruv Vyas"/>
    <n v="0"/>
  </r>
  <r>
    <n v="3557"/>
    <n v="20055033"/>
    <s v="Vikas Chandra Yadvendu"/>
    <s v="AM/NS India"/>
    <s v="Onroll"/>
    <s v="M-5"/>
    <n v="5"/>
    <m/>
    <s v="MM"/>
    <s v="M"/>
    <s v="Corporate"/>
    <n v="7"/>
    <s v="2094"/>
    <x v="21"/>
    <s v="27.10"/>
    <s v="Ashutosh Telang"/>
    <s v="Ashutosh Telang"/>
    <n v="6"/>
    <s v="HR &amp; Administration"/>
    <s v="Corporate SocialResponsibility"/>
    <s v="27"/>
    <s v="Head - Corporate Social Responsibility"/>
    <m/>
    <s v="Corporate Social Responsibility"/>
    <s v="CSR"/>
    <s v="CSR"/>
    <s v="Non Technical Support"/>
    <s v="Corporate Social Responsibility"/>
    <s v="Corporate Social Responsibility"/>
    <s v="75001001"/>
    <s v="Corporate Social Responsi"/>
    <s v="Paradeep"/>
    <d v="1983-08-03T00:00:00"/>
    <s v="40.01"/>
    <d v="2019-08-01T00:00:00"/>
    <d v="2041-08-31T00:00:00"/>
    <m/>
    <d v="2041-08-31T00:00:00"/>
    <n v="6555"/>
    <s v="O+"/>
    <s v="Phd-2016 , Master's Equivalent-2007 , BS"/>
    <s v="12.01"/>
    <s v="04.01"/>
    <s v="16.02"/>
    <s v="70495661"/>
    <s v="Corporate Social Responsibility"/>
    <s v="70494325"/>
    <s v="Head - Corporate Social Responsibility"/>
    <s v="Corporate"/>
    <s v="0022030019"/>
    <s v="PDP-HR &amp; Admn"/>
    <s v="2000CS"/>
    <s v="20059024"/>
    <s v="Keiji Kubota"/>
    <s v="No"/>
    <s v="vikas.yadvendu@amns.in"/>
    <s v="7381007260"/>
    <s v="24966"/>
    <s v="Dhruv Vyas"/>
    <s v="Anil Matoo"/>
    <s v="Praveen Kuruvalli"/>
    <s v="Dhruv Vyas"/>
    <n v="0"/>
  </r>
  <r>
    <n v="3558"/>
    <n v="20055034"/>
    <s v="Rabi Narayana Prusty"/>
    <s v="AM/NS India"/>
    <s v="Onroll"/>
    <s v="M-9"/>
    <n v="9"/>
    <m/>
    <s v="JM"/>
    <s v="M"/>
    <s v="Odisha"/>
    <n v="2"/>
    <s v="2069"/>
    <x v="8"/>
    <s v="25.01"/>
    <s v="Bibek Chattopadhyay"/>
    <s v="Ashutosh Telang"/>
    <n v="6"/>
    <s v="HR &amp; Administration"/>
    <s v="Corporate Communications"/>
    <s v="25"/>
    <s v="Lead-Corporate Communication"/>
    <m/>
    <s v="Corporate Communications"/>
    <s v="Coporate Communication"/>
    <s v="Coporate Communication"/>
    <s v="Non Technical Support"/>
    <s v="Corporate Communication"/>
    <s v="Corporate Communication"/>
    <s v="74001001"/>
    <s v="Corporate Communication"/>
    <s v="Bhubaneswar"/>
    <d v="1976-06-10T00:00:00"/>
    <s v="47.03"/>
    <d v="2019-08-01T00:00:00"/>
    <d v="2034-06-30T00:00:00"/>
    <m/>
    <d v="2034-06-30T00:00:00"/>
    <n v="3936"/>
    <s v="B+"/>
    <s v="Master's Equivalent-2018 , BEd-1996 , BA"/>
    <s v="16.07"/>
    <s v="04.01"/>
    <s v="20.08"/>
    <s v="00046762"/>
    <s v="Communiation &amp; Media Relations Odisha"/>
    <s v="70494354"/>
    <s v="Lead-Corporate Communication"/>
    <s v="Odisha"/>
    <s v="0022030019"/>
    <s v="PDP-HR &amp; Admn"/>
    <s v="2000STORIS"/>
    <s v="20056246"/>
    <s v="Soumitra Patnaik"/>
    <s v="No"/>
    <s v="rabi.prusty@amns.in"/>
    <s v="7381007154"/>
    <s v="23589"/>
    <s v="Sunila Das"/>
    <s v="Anil Matoo"/>
    <s v="Praveen Kuruvalli"/>
    <s v="Sunila Das"/>
    <n v="0"/>
  </r>
  <r>
    <n v="3565"/>
    <n v="20055048"/>
    <s v="Vyas Jaiminkumar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– Proc Instrumentation &amp; Automatio"/>
    <m/>
    <s v="Procurement MRO Hazira"/>
    <s v="Procurement"/>
    <s v="Instrumentation &amp; Automation spares, Cables - Hazira Complex"/>
    <s v="Non Technical Support"/>
    <s v="Commercial"/>
    <s v="Procurement"/>
    <s v="73803001"/>
    <s v="Procurement"/>
    <s v="AM/NS Hazira"/>
    <d v="1982-03-22T00:00:00"/>
    <s v="41.06"/>
    <d v="2019-09-21T00:00:00"/>
    <d v="2040-03-31T00:00:00"/>
    <m/>
    <d v="2040-03-31T00:00:00"/>
    <n v="6037"/>
    <s v="O+"/>
    <s v="Diploma-2003 , Diploma-2003 , High Schoo"/>
    <s v=""/>
    <s v="04.00"/>
    <s v="04.00"/>
    <s v="70266350"/>
    <s v="Zinc, Elect, Instrumentation, Automation"/>
    <s v="70494450"/>
    <s v="Lead – Proc Instrumentation &amp; Automatio"/>
    <s v="Hazira"/>
    <s v="0031950048"/>
    <s v="HZ-Procurment Depart"/>
    <s v="2000HWO"/>
    <s v="20002746"/>
    <s v="Deep Pyne"/>
    <s v="No"/>
    <s v="jaimin.vyas@amns.in"/>
    <s v="9879101941"/>
    <s v="24963"/>
    <s v="Dhruv Vyas"/>
    <s v="Anil Matoo"/>
    <s v="Praveen Kuruvalli"/>
    <s v="Dhruv Vyas"/>
    <n v="0"/>
  </r>
  <r>
    <n v="3566"/>
    <n v="20055049"/>
    <s v="Rajesh Prabhakar Raktate"/>
    <s v="AM/NS India"/>
    <s v="Onroll"/>
    <s v="M-6"/>
    <n v="6"/>
    <m/>
    <s v="MM"/>
    <s v="M"/>
    <s v="Corporate"/>
    <n v="7"/>
    <s v="2071"/>
    <x v="22"/>
    <s v="41.01"/>
    <s v="P Ashok Kumar"/>
    <s v="P Ashok Kumar"/>
    <n v="9"/>
    <s v="Legal"/>
    <s v="Legal"/>
    <s v="41"/>
    <s v="Legal Speclialist"/>
    <m/>
    <s v="Legal"/>
    <s v="Legal"/>
    <s v="Legal"/>
    <s v="Non Technical Support"/>
    <s v="Legal"/>
    <s v="Legal"/>
    <s v="73201001"/>
    <s v="Legal"/>
    <s v="Mumbai"/>
    <d v="1975-11-14T00:00:00"/>
    <s v="47.10"/>
    <d v="2019-10-01T00:00:00"/>
    <d v="2033-11-30T00:00:00"/>
    <m/>
    <d v="2033-11-30T00:00:00"/>
    <n v="3724"/>
    <s v="O+"/>
    <s v="LLB-2001 , Diploma-1998 , BCom-1996"/>
    <s v="15.02"/>
    <s v="03.11"/>
    <s v="19.01"/>
    <s v="70494754"/>
    <s v="Legal"/>
    <s v="70494454"/>
    <s v="Legal Speclialist"/>
    <s v="Corporate"/>
    <s v="0090000019"/>
    <s v="Corporate Steel - Le"/>
    <s v="2000CS"/>
    <s v="20055235"/>
    <s v="P Ashok Kumar"/>
    <s v="No"/>
    <s v="rajesh.raktate@amns.in"/>
    <s v="8657537942"/>
    <s v="24931"/>
    <s v="Dhruv Vyas"/>
    <s v="Anil Matoo"/>
    <s v="Praveen Kuruvalli"/>
    <s v="Dhruv Vyas"/>
    <n v="0"/>
  </r>
  <r>
    <n v="3575"/>
    <n v="20055067"/>
    <s v="Nikhil Kumar Mall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4"/>
    <s v="OEM Sales"/>
    <s v="Noida"/>
    <d v="1993-02-17T00:00:00"/>
    <s v="30.07"/>
    <d v="2019-12-16T00:00:00"/>
    <d v="2051-02-28T00:00:00"/>
    <m/>
    <d v="2051-02-28T00:00:00"/>
    <n v="10023"/>
    <s v="O+"/>
    <s v="MTech-2019 , BTech-2015 , Intermediate-2"/>
    <s v=""/>
    <s v="03.09"/>
    <s v="03.09"/>
    <s v="72150181"/>
    <s v="Sales North Zone"/>
    <s v="70494601"/>
    <s v="Sales Manager"/>
    <s v="Hazira"/>
    <s v="0031950057"/>
    <s v="HZ-HRC - Marketing"/>
    <s v="2000HWO"/>
    <s v="20002920"/>
    <s v="Sudhir Sharma"/>
    <s v="No"/>
    <s v="nikhil.mall@amns.in"/>
    <s v="6377820254"/>
    <s v="25087"/>
    <s v="Dhruv Vyas"/>
    <s v="Anil Matoo"/>
    <s v="Praveen Kuruvalli"/>
    <s v="Dhruv Vyas"/>
    <n v="0"/>
  </r>
  <r>
    <n v="3576"/>
    <n v="20055068"/>
    <s v="Dilip Oommen"/>
    <s v="AM/NS India"/>
    <s v="PDA"/>
    <s v="M-1"/>
    <n v="1"/>
    <m/>
    <s v="TM"/>
    <s v="M"/>
    <s v="Corporate"/>
    <n v="7"/>
    <s v="2260"/>
    <x v="5"/>
    <s v="01.01"/>
    <s v="Dilip Oommen"/>
    <s v="Dilip Oommen"/>
    <n v="1"/>
    <s v="CEO Office"/>
    <s v="CEO Office"/>
    <s v="01"/>
    <s v="Chief Executive Officer"/>
    <m/>
    <s v="CEO Office"/>
    <s v="CEO Office"/>
    <s v="CEO Office"/>
    <s v="Non Technical Support"/>
    <s v="Operations"/>
    <s v="Operations"/>
    <s v="72103001"/>
    <s v="Operations"/>
    <s v="Mumbai"/>
    <d v="1958-03-28T00:00:00"/>
    <s v="65.05"/>
    <d v="2019-12-16T00:00:00"/>
    <d v="2018-03-31T00:00:00"/>
    <d v="2025-03-31T00:00:00"/>
    <d v="2025-03-31T00:00:00"/>
    <n v="558"/>
    <s v="A-"/>
    <s v="BTech-1981"/>
    <s v="17.02"/>
    <s v="03.09"/>
    <s v="20.11"/>
    <s v="70176006"/>
    <s v="CEO Office"/>
    <s v="72150532"/>
    <s v="Chief Executive Officer"/>
    <s v="Non-payroll-relevant"/>
    <s v=""/>
    <s v=""/>
    <s v="2000CS"/>
    <s v="0"/>
    <s v=""/>
    <s v="No"/>
    <s v="dilip.oommen@amns.in"/>
    <s v="9909901994"/>
    <s v="22571"/>
    <s v="Dhruv Vyas"/>
    <s v="Anil Matoo"/>
    <s v="Praveen Kuruvalli"/>
    <s v="Dhruv Vyas"/>
    <n v="0"/>
  </r>
  <r>
    <n v="3578"/>
    <n v="20055071"/>
    <s v="Anirudha Bisoyi"/>
    <s v="AM/NS India"/>
    <s v="Onroll"/>
    <s v="M-8"/>
    <n v="8"/>
    <m/>
    <s v="JM"/>
    <s v="M"/>
    <s v="Hazira"/>
    <n v="1"/>
    <s v="2133"/>
    <x v="23"/>
    <s v="26.11"/>
    <s v="Anil Matoo"/>
    <s v="Ashutosh Telang"/>
    <n v="6"/>
    <s v="HR &amp; Administration"/>
    <s v="Payroll Administration"/>
    <s v="26"/>
    <s v="Lead - Payroll"/>
    <m/>
    <s v="Payroll Administration"/>
    <s v=""/>
    <s v=""/>
    <s v="Non Technical Support"/>
    <s v="Human Resources Management"/>
    <s v="Human Resources Management"/>
    <s v="73501002"/>
    <s v="Human Resources Operation"/>
    <s v="Hazira"/>
    <d v="1985-07-18T00:00:00"/>
    <s v="38.02"/>
    <d v="2020-01-15T00:00:00"/>
    <d v="2043-07-31T00:00:00"/>
    <m/>
    <d v="2043-07-31T00:00:00"/>
    <n v="7254"/>
    <s v="A+"/>
    <s v="MPM-2008 , BA-2006 , Intermediate-2003 ,"/>
    <s v="11.02"/>
    <s v="03.08"/>
    <s v="14.10"/>
    <s v="00051767"/>
    <s v="Payroll"/>
    <s v="70494627"/>
    <s v="Lead - Payroll"/>
    <s v="Hazira"/>
    <s v="0031950061"/>
    <s v="HZ-Human Resource"/>
    <s v="2000HWO"/>
    <s v="20016406"/>
    <s v="Manjit Shah"/>
    <s v="No"/>
    <s v="anirudha.bisoyi@amns.in"/>
    <s v="9825214160"/>
    <s v="25092"/>
    <s v="Dhruv Vyas"/>
    <s v="Anil Matoo"/>
    <s v="Praveen Kuruvalli"/>
    <s v="Dhruv Vyas"/>
    <n v="0"/>
  </r>
  <r>
    <n v="3580"/>
    <n v="20055075"/>
    <s v="Ashutosh Mathur"/>
    <s v="AM/NS India"/>
    <s v="Onroll"/>
    <s v="M-4"/>
    <n v="4"/>
    <m/>
    <s v="SM"/>
    <s v="M"/>
    <s v="Hazira"/>
    <n v="1"/>
    <s v="2162"/>
    <x v="18"/>
    <s v="33.01"/>
    <s v="Hrishikesh Kamat"/>
    <s v="Hrishikesh Kamat"/>
    <n v="7"/>
    <s v="Procurement"/>
    <s v="Shipping &amp; Chartering"/>
    <s v="33"/>
    <s v="Head – Shipping and Chartering"/>
    <m/>
    <s v="Shipping &amp; Chartering"/>
    <s v="Shipping &amp; Chartering"/>
    <s v="Ports &amp; Chartering"/>
    <s v="Non Technical Support"/>
    <s v="Commercial"/>
    <s v="Procurement"/>
    <s v="73803001"/>
    <s v="Procurement"/>
    <s v="AM/NS Hazira"/>
    <d v="1979-04-10T00:00:00"/>
    <s v="44.05"/>
    <d v="2020-02-03T00:00:00"/>
    <d v="2037-04-30T00:00:00"/>
    <m/>
    <d v="2037-04-30T00:00:00"/>
    <n v="4971"/>
    <s v="AB+"/>
    <s v="MBA-2008 , BE-2002 , Intermediate-1996 ,"/>
    <s v="15.01"/>
    <s v="03.07"/>
    <s v="18.08"/>
    <s v="70494731"/>
    <s v="Ports &amp; Chartering"/>
    <s v="70494631"/>
    <s v="Head – Shipping and Chartering"/>
    <s v="Hazira"/>
    <s v="0031950062"/>
    <s v="Hz-Ports"/>
    <s v="2000HWO"/>
    <s v="20055090"/>
    <s v="Hrishikesh Kamat"/>
    <s v="No"/>
    <s v="ashutosh.mathur@amns.in"/>
    <s v="9879104703"/>
    <s v="790275"/>
    <s v="Dhruv Vyas"/>
    <s v="Anil Matoo"/>
    <s v="Praveen Kuruvalli"/>
    <s v="Dhruv Vyas"/>
    <n v="0"/>
  </r>
  <r>
    <n v="3581"/>
    <n v="20055084"/>
    <s v="Alain Legrix De La Salle"/>
    <s v="AM/NS India"/>
    <s v="PDA"/>
    <s v="M-2"/>
    <n v="2"/>
    <m/>
    <s v="T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Director &amp; VP - Sales &amp; Marketing"/>
    <m/>
    <s v="Sales &amp; Marketing"/>
    <s v="Sales &amp; Marketing"/>
    <s v=""/>
    <s v="Non Technical Support"/>
    <s v=""/>
    <s v=""/>
    <s v="70494638"/>
    <s v="Director and Vice President"/>
    <s v="Mumbai"/>
    <d v="1961-03-11T00:00:00"/>
    <s v="62.06"/>
    <d v="2019-12-16T00:00:00"/>
    <d v="2021-03-31T00:00:00"/>
    <d v="2025-03-31T00:00:00"/>
    <d v="2025-03-31T00:00:00"/>
    <n v="558"/>
    <s v=""/>
    <s v=""/>
    <s v=""/>
    <s v="03.09"/>
    <s v="03.09"/>
    <s v="70494632"/>
    <s v="Sales &amp; Marketing"/>
    <s v="70494643"/>
    <s v="Director &amp; VP - Sales &amp; Marketing"/>
    <s v="Non-payroll-relevant"/>
    <s v=""/>
    <s v=""/>
    <s v="2000CS"/>
    <s v="20055068"/>
    <s v="Dilip Oommen"/>
    <s v="No"/>
    <s v="alain.legrix@amns.in"/>
    <s v="9727741283"/>
    <s v="2510"/>
    <s v="Dhruv Vyas"/>
    <s v="Anil Matoo"/>
    <s v="Praveen Kuruvalli"/>
    <s v="Dhruv Vyas"/>
    <n v="0"/>
  </r>
  <r>
    <n v="3583"/>
    <n v="20055088"/>
    <s v="Amit Harlalka"/>
    <s v="AM/NS India"/>
    <s v="PDA"/>
    <s v="PDA"/>
    <n v="2"/>
    <m/>
    <s v="TM"/>
    <s v="M"/>
    <s v="Corporate"/>
    <n v="7"/>
    <s v="2013"/>
    <x v="0"/>
    <s v="20.01"/>
    <s v="Amit Harlalka"/>
    <s v="Amit Harlalka"/>
    <n v="5"/>
    <s v="Finance &amp; Accounts"/>
    <s v="Finance &amp; Accounts"/>
    <s v="20"/>
    <s v="Director &amp; VP, Finance"/>
    <m/>
    <s v="CFO Office"/>
    <s v="CFO Office"/>
    <s v=""/>
    <s v="Non Technical Support"/>
    <s v=""/>
    <s v=""/>
    <s v="70494638"/>
    <s v="Director and Vice President"/>
    <s v="Mumbai"/>
    <d v="1977-12-04T00:00:00"/>
    <s v="45.09"/>
    <d v="2019-12-16T00:00:00"/>
    <d v="2035-12-31T00:00:00"/>
    <m/>
    <d v="2035-12-31T00:00:00"/>
    <n v="4485"/>
    <s v=""/>
    <s v=""/>
    <s v=""/>
    <s v="03.09"/>
    <s v="03.09"/>
    <s v="70494633"/>
    <s v="Finance &amp; Accounts"/>
    <s v="70494647"/>
    <s v="Director &amp; VP, Finance"/>
    <s v="Non-payroll-relevant"/>
    <s v="0090000013"/>
    <s v="Director-Fin-India"/>
    <s v="2000CS"/>
    <s v="20055068"/>
    <s v="Dilip Oommen"/>
    <s v="No"/>
    <s v="amit.harlalka@amns.in"/>
    <s v="9971999511"/>
    <s v="101628"/>
    <s v="Dhruv Vyas"/>
    <s v="Anil Matoo"/>
    <s v="Praveen Kuruvalli"/>
    <s v="Dhruv Vyas"/>
    <n v="0"/>
  </r>
  <r>
    <n v="3584"/>
    <n v="20055090"/>
    <s v="Hrishikesh Kamat"/>
    <s v="AM/NS India"/>
    <s v="PDA"/>
    <s v="PDA"/>
    <n v="3"/>
    <m/>
    <s v="SM"/>
    <s v="M"/>
    <s v="Corporate"/>
    <n v="7"/>
    <s v="2043"/>
    <x v="3"/>
    <s v="31.01"/>
    <s v="Hrishikesh Kamat"/>
    <s v="Hrishikesh Kamat"/>
    <n v="7"/>
    <s v="Procurement"/>
    <s v="Procurement"/>
    <s v="31"/>
    <s v="Chief Procurement Officer"/>
    <m/>
    <s v="Procurement"/>
    <s v="Procurement"/>
    <s v=""/>
    <s v="Non Technical Support"/>
    <s v=""/>
    <s v=""/>
    <s v="70494644"/>
    <s v="Chief Procurement Officer"/>
    <s v="Mumbai"/>
    <d v="1960-02-11T00:00:00"/>
    <s v="63.07"/>
    <d v="2019-12-16T00:00:00"/>
    <d v="2018-02-28T00:00:00"/>
    <d v="2025-03-31T00:00:00"/>
    <d v="2025-03-31T00:00:00"/>
    <n v="558"/>
    <s v=""/>
    <s v=""/>
    <s v=""/>
    <s v="03.09"/>
    <s v="03.09"/>
    <s v="70494637"/>
    <s v="Procurement"/>
    <s v="70494652"/>
    <s v="Chief Procurement Officer"/>
    <s v="Non-payroll-relevant"/>
    <s v="0031950048"/>
    <s v="HZ-Procurment Depart"/>
    <s v="2000CS"/>
    <s v="20055086"/>
    <s v="Wim Van Gerven"/>
    <s v="No"/>
    <s v="hrishikesh.kamat@amns.in"/>
    <s v="8980042458"/>
    <s v="3103"/>
    <s v="Dhruv Vyas"/>
    <s v="Anil Matoo"/>
    <s v="Praveen Kuruvalli"/>
    <s v="Dhruv Vyas"/>
    <n v="0"/>
  </r>
  <r>
    <n v="3616"/>
    <n v="20055134"/>
    <s v="Arvind Kumar"/>
    <s v="AM/NS India"/>
    <s v="Onroll"/>
    <s v="M-8"/>
    <n v="8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Buyer - Mechanical Spare"/>
    <m/>
    <s v="Procurement"/>
    <s v="Procurement"/>
    <s v="Procurement"/>
    <s v="Non Technical Support"/>
    <s v="Commercial"/>
    <s v="Purchase"/>
    <s v="73804001"/>
    <s v="Purchase"/>
    <s v="Paradeep"/>
    <d v="1988-01-16T00:00:00"/>
    <s v="35.08"/>
    <d v="2020-03-02T00:00:00"/>
    <d v="2046-01-31T00:00:00"/>
    <m/>
    <d v="2046-01-31T00:00:00"/>
    <n v="8169"/>
    <s v="B+"/>
    <s v="BTech-2010 , Intermediate-2006 , Interme"/>
    <s v=""/>
    <s v="03.06"/>
    <s v="03.06"/>
    <s v="70407583"/>
    <s v="Procurement - Odisha Asset"/>
    <s v="70493007"/>
    <s v="Buyer - Mechanical Spare"/>
    <s v="Odisha"/>
    <s v="0022030019"/>
    <s v="PDP-HR &amp; Admn"/>
    <s v="2000STORIS"/>
    <s v="20055692"/>
    <s v="Rajiv Ranjan"/>
    <s v="No"/>
    <s v="arvind.kumar@amns.in"/>
    <s v="8084831688"/>
    <s v="789377"/>
    <s v="Sunila Das"/>
    <s v="Anil Matoo"/>
    <s v="Praveen Kuruvalli"/>
    <s v="Sunila Das"/>
    <n v="0"/>
  </r>
  <r>
    <n v="3617"/>
    <n v="20055135"/>
    <s v="Raghavan Aravamudhan"/>
    <s v="AM/NS India"/>
    <s v="Onroll"/>
    <s v="M-3"/>
    <n v="3"/>
    <m/>
    <s v="SM"/>
    <s v="M"/>
    <s v="Corporate"/>
    <n v="7"/>
    <s v="2099"/>
    <x v="19"/>
    <s v="02.01"/>
    <s v="Dilip Oommen"/>
    <s v="Dilip Oommen"/>
    <n v="1"/>
    <s v="CEO Office"/>
    <s v="Business Strategy"/>
    <s v="02"/>
    <s v="Head Buisness Strategy"/>
    <m/>
    <s v="Business Strategy"/>
    <s v="Business Strategy"/>
    <s v="Business Strategy"/>
    <s v="Non Technical Support"/>
    <s v="Sales &amp; Marketing"/>
    <s v="Business Development"/>
    <s v="73103001"/>
    <s v="Business Development"/>
    <s v="Mumbai"/>
    <d v="1982-12-23T00:00:00"/>
    <s v="40.08"/>
    <d v="2020-03-02T00:00:00"/>
    <d v="2040-12-31T00:00:00"/>
    <m/>
    <d v="2040-12-31T00:00:00"/>
    <n v="6312"/>
    <s v="A+"/>
    <s v="MBA-2010 , BE-2005 , High School-2000 ,"/>
    <s v="13.07"/>
    <s v="03.06"/>
    <s v="17.01"/>
    <s v="70494715"/>
    <s v="Business Strategy"/>
    <s v="70494714"/>
    <s v="Head Buisness Strategy"/>
    <s v="Confidential Payroll"/>
    <s v="0090000022"/>
    <s v="Business Strategy"/>
    <s v="2000CS"/>
    <s v="20055068"/>
    <s v="Dilip Oommen"/>
    <s v="No"/>
    <s v="raghavan.aravamudhan@amns.in"/>
    <s v="9619627665"/>
    <s v="788788"/>
    <s v="Dhruv Vyas"/>
    <s v="Anil Matoo"/>
    <s v="Praveen Kuruvalli"/>
    <s v="Dhruv Vyas"/>
    <n v="0"/>
  </r>
  <r>
    <n v="3623"/>
    <n v="20055143"/>
    <s v="Naoki Shimazaki"/>
    <s v="AM/NS India"/>
    <s v="PDA"/>
    <s v="PDA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– Strategic Finance"/>
    <m/>
    <s v="Capex Finance"/>
    <s v="Capex Finance"/>
    <s v=""/>
    <s v="Non Technical Support"/>
    <s v=""/>
    <s v=""/>
    <s v="70286758"/>
    <s v="General Manager"/>
    <s v="AM/NS Hazira"/>
    <d v="1975-09-08T00:00:00"/>
    <s v="48.00"/>
    <d v="2020-01-01T00:00:00"/>
    <d v="2033-09-30T00:00:00"/>
    <m/>
    <d v="2033-09-30T00:00:00"/>
    <n v="3663"/>
    <s v="O+"/>
    <s v=""/>
    <s v=""/>
    <s v="03.08"/>
    <s v="03.08"/>
    <s v="00044378"/>
    <s v="Strategic Finance"/>
    <s v="70494730"/>
    <s v="Head – Strategic Finance"/>
    <s v="Non-payroll-relevant"/>
    <s v="0090000038"/>
    <s v="CAPEX FINANCE"/>
    <s v="2000CS"/>
    <s v="20056029"/>
    <s v="Ananya Maitra"/>
    <s v="No"/>
    <s v="naoki.shimazaki@amns.in"/>
    <s v="9925003689"/>
    <s v="788808"/>
    <s v="Dhruv Vyas"/>
    <s v="Anil Matoo"/>
    <s v="Praveen Kuruvalli"/>
    <s v="Dhruv Vyas"/>
    <n v="0"/>
  </r>
  <r>
    <n v="3634"/>
    <n v="20055156"/>
    <s v="Bharatbhai C Patel"/>
    <s v="AM/NS India"/>
    <s v="Onroll"/>
    <s v="M-8"/>
    <n v="8"/>
    <m/>
    <s v="JM"/>
    <s v="M"/>
    <s v="Hazira"/>
    <n v="1"/>
    <s v="2084"/>
    <x v="17"/>
    <s v="23.09"/>
    <s v="Anil Matoo"/>
    <s v="Ashutosh Telang"/>
    <n v="6"/>
    <s v="HR &amp; Administration"/>
    <s v="Industrial Relations"/>
    <s v="23"/>
    <s v="Lead - Industrial Relations"/>
    <m/>
    <s v="Hazira Operations"/>
    <s v="Operation &amp; Maintenance  and Control &amp; Instrumentation"/>
    <s v="Operation &amp; Maintenance  and Control &amp; Instrumentation"/>
    <s v="Non Technical Support"/>
    <s v="Operations"/>
    <s v="Plant Maintenance"/>
    <s v="72103009"/>
    <s v="Electrical Maintenance"/>
    <s v="Hazira"/>
    <d v="1973-03-29T00:00:00"/>
    <s v="50.05"/>
    <d v="2020-03-18T00:00:00"/>
    <d v="2031-03-31T00:00:00"/>
    <m/>
    <d v="2031-03-31T00:00:00"/>
    <n v="2749"/>
    <s v="AB-"/>
    <s v="Diploma-2012 , BA-1997 , Diploma-1996 ,"/>
    <s v="19.00"/>
    <s v="03.06"/>
    <s v="22.05"/>
    <s v="70309501"/>
    <s v="IR &amp; legal Compliance"/>
    <s v="70494747"/>
    <s v="Lead - Industrial Relations"/>
    <s v="Hazira"/>
    <s v="0031750300"/>
    <s v="HAZ-CPP 500 MW"/>
    <s v="2000HWO"/>
    <s v="20056503"/>
    <s v="Bhavin Pandya"/>
    <s v="No"/>
    <s v="bharat.patel2@amns.in"/>
    <s v="9879102899"/>
    <s v="791809"/>
    <s v="Dhruv Vyas"/>
    <s v="Anil Matoo"/>
    <s v="Praveen Kuruvalli"/>
    <s v="Dhruv Vyas"/>
    <n v="0"/>
  </r>
  <r>
    <n v="3636"/>
    <n v="20055158"/>
    <s v="Rajeev Kumar Singh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Automotive Sales"/>
    <m/>
    <s v="North"/>
    <s v="OEM"/>
    <s v=""/>
    <s v="Non Technical Support"/>
    <s v="Sales &amp; Marketing"/>
    <s v="Sales"/>
    <s v="73104004"/>
    <s v="OEM Sales"/>
    <s v="Noida"/>
    <d v="1979-08-10T00:00:00"/>
    <s v="44.01"/>
    <d v="2020-03-01T00:00:00"/>
    <d v="2037-08-31T00:00:00"/>
    <m/>
    <d v="2037-08-31T00:00:00"/>
    <n v="5094"/>
    <s v="O+"/>
    <s v="BE-2002 , Intermediate-1996 , High Schoo"/>
    <s v="17.04"/>
    <s v="03.06"/>
    <s v="20.10"/>
    <s v="72150181"/>
    <s v="Sales North Zone"/>
    <s v="70490284"/>
    <s v="KAM - OEM Sales"/>
    <s v="Hazira"/>
    <s v="0031950057"/>
    <s v="HZ-HRC - Marketing"/>
    <s v="2000HWO"/>
    <s v="20002920"/>
    <s v="Sudhir Sharma"/>
    <s v="No"/>
    <s v="rajeev.singh@amns.in"/>
    <s v="9810443694"/>
    <s v="793072"/>
    <s v="Dhruv Vyas"/>
    <s v="Anil Matoo"/>
    <s v="Praveen Kuruvalli"/>
    <s v="Dhruv Vyas"/>
    <n v="0"/>
  </r>
  <r>
    <n v="3637"/>
    <n v="20055160"/>
    <s v="Mrida Lakhmani"/>
    <s v="AM/NS India"/>
    <s v="Onroll"/>
    <s v="M-4"/>
    <n v="4"/>
    <m/>
    <s v="SM"/>
    <s v="F"/>
    <s v="Corporate"/>
    <n v="7"/>
    <s v="2071"/>
    <x v="22"/>
    <s v="41.01"/>
    <s v="P Ashok Kumar"/>
    <s v="P Ashok Kumar"/>
    <n v="9"/>
    <s v="Legal"/>
    <s v="Legal"/>
    <s v="41"/>
    <s v="Senior Legal Counsel"/>
    <m/>
    <s v="Legal"/>
    <s v=""/>
    <s v=""/>
    <s v="Non Technical Support"/>
    <s v="Legal"/>
    <s v="Legal"/>
    <s v="73201001"/>
    <s v="Legal"/>
    <s v="Mumbai"/>
    <d v="1992-11-19T00:00:00"/>
    <s v="30.09"/>
    <d v="2020-04-01T00:00:00"/>
    <d v="2050-11-30T00:00:00"/>
    <m/>
    <d v="2050-11-30T00:00:00"/>
    <n v="9933"/>
    <s v="A+"/>
    <s v="LLB-2012 , Intermediate-2009 , High Scho"/>
    <s v="04.09"/>
    <s v="03.05"/>
    <s v="08.02"/>
    <s v="00048996"/>
    <s v="Legal"/>
    <s v="70494755"/>
    <s v="Senior Legal Counsel"/>
    <s v="Corporate"/>
    <s v="0090000019"/>
    <s v="Corporate Steel - Le"/>
    <s v="2000CS"/>
    <s v="20055235"/>
    <s v="P Ashok Kumar"/>
    <s v="No"/>
    <s v="mrida.lakhmani@amns.in"/>
    <s v="7045589822"/>
    <s v="791880"/>
    <s v="Dhruv Vyas"/>
    <s v="Anil Matoo"/>
    <s v="Praveen Kuruvalli"/>
    <s v="Dhruv Vyas"/>
    <n v="0"/>
  </r>
  <r>
    <n v="3638"/>
    <n v="20055161"/>
    <s v="Shivani Sen"/>
    <s v="AM/NS India"/>
    <s v="Onroll"/>
    <s v="M-5"/>
    <n v="5"/>
    <m/>
    <s v="MM"/>
    <s v="F"/>
    <s v="Corporate"/>
    <n v="7"/>
    <s v="2069"/>
    <x v="8"/>
    <s v="25.01"/>
    <s v="Bibek Chattopadhyay"/>
    <s v="Ashutosh Telang"/>
    <n v="6"/>
    <s v="HR &amp; Administration"/>
    <s v="Corporate Communications"/>
    <s v="25"/>
    <s v="Senior Lead - Corporate Communication"/>
    <m/>
    <s v="Corporate Communications"/>
    <s v=""/>
    <s v=""/>
    <s v="Non Technical Support"/>
    <s v="Corporate Relations"/>
    <s v="Corporate Affairs"/>
    <s v="74501001"/>
    <s v="Corporate Affairs"/>
    <s v="Mumbai"/>
    <d v="1978-09-18T00:00:00"/>
    <s v="45.00"/>
    <d v="2020-04-01T00:00:00"/>
    <d v="2036-09-30T00:00:00"/>
    <m/>
    <d v="2036-09-30T00:00:00"/>
    <n v="4759"/>
    <s v="B+"/>
    <s v="MA-1999 , BA-1999 , High School-1995 , S"/>
    <s v="01.00"/>
    <s v="03.05"/>
    <s v="04.05"/>
    <s v="70318583"/>
    <s v="Communications &amp; Media Relations"/>
    <s v="70494761"/>
    <s v="Senior Lead - Corporate Communication"/>
    <s v="Corporate"/>
    <s v="0090000016"/>
    <s v="Corporate Steel - Co"/>
    <s v="2000CS"/>
    <s v="20055187"/>
    <s v="Bibek Chattopadhyay"/>
    <s v="No"/>
    <s v="shivani.sen@amns.in"/>
    <s v="9971800165"/>
    <s v="791881"/>
    <s v="Dhruv Vyas"/>
    <s v="Anil Matoo"/>
    <s v="Praveen Kuruvalli"/>
    <s v="Dhruv Vyas"/>
    <n v="0"/>
  </r>
  <r>
    <n v="3639"/>
    <n v="20055162"/>
    <s v="Dolly Kartik Shah"/>
    <s v="AM/NS India"/>
    <s v="Onroll"/>
    <s v="M-8"/>
    <n v="8"/>
    <m/>
    <s v="JM"/>
    <s v="F"/>
    <s v="Corporate"/>
    <n v="7"/>
    <s v="2071"/>
    <x v="22"/>
    <s v="41.01"/>
    <s v="P Ashok Kumar"/>
    <s v="P Ashok Kumar"/>
    <n v="9"/>
    <s v="Legal"/>
    <s v="Legal"/>
    <s v="41"/>
    <s v="EA to General Counsel &amp; Compliance Associate"/>
    <m/>
    <s v="Legal"/>
    <s v="Legal"/>
    <s v="Legal"/>
    <s v="Non Technical Support"/>
    <s v="Legal"/>
    <s v="Legal"/>
    <s v="73201001"/>
    <s v="Legal"/>
    <s v="Mumbai"/>
    <d v="1985-11-25T00:00:00"/>
    <s v="37.09"/>
    <d v="2020-04-01T00:00:00"/>
    <d v="2043-11-30T00:00:00"/>
    <m/>
    <d v="2043-11-30T00:00:00"/>
    <n v="7376"/>
    <s v="B+"/>
    <s v="BA-2012 , Certificate-2007 , High School"/>
    <s v="03.04"/>
    <s v="03.05"/>
    <s v="06.09"/>
    <s v="70494754"/>
    <s v="Legal"/>
    <s v="70494756"/>
    <s v="PA to General Counsel"/>
    <s v="Corporate"/>
    <s v="0090000019"/>
    <s v="Corporate Steel - Le"/>
    <s v="2000CS"/>
    <s v="20055235"/>
    <s v="P Ashok Kumar"/>
    <s v="No"/>
    <s v="dolly.shah@amns.in"/>
    <s v="9820251185"/>
    <s v="791878"/>
    <s v="Dhruv Vyas"/>
    <s v="Anil Matoo"/>
    <s v="Praveen Kuruvalli"/>
    <s v="Dhruv Vyas"/>
    <n v="0"/>
  </r>
  <r>
    <n v="3640"/>
    <n v="20055165"/>
    <s v="Subhakant Dash"/>
    <s v="AM/NS India"/>
    <s v="Onroll"/>
    <s v="M-5"/>
    <n v="5"/>
    <m/>
    <s v="MM"/>
    <s v="M"/>
    <s v="Odisha"/>
    <n v="2"/>
    <s v="2162"/>
    <x v="18"/>
    <s v="33.01"/>
    <s v="Hrishikesh Kamat"/>
    <s v="Hrishikesh Kamat"/>
    <n v="7"/>
    <s v="Procurement"/>
    <s v="Shipping &amp; Chartering"/>
    <s v="33"/>
    <s v="Section Head–Shipping &amp; Chartering,Odish"/>
    <m/>
    <s v="Shipping &amp; Chartering"/>
    <s v=""/>
    <s v=""/>
    <s v="Non Technical Support"/>
    <s v="Commercial"/>
    <s v="Procurement"/>
    <s v="73803001"/>
    <s v="Procurement"/>
    <s v="Paradeep"/>
    <d v="1975-07-15T00:00:00"/>
    <s v="48.02"/>
    <d v="2020-04-01T00:00:00"/>
    <d v="2033-07-31T00:00:00"/>
    <m/>
    <d v="2033-07-31T00:00:00"/>
    <n v="3602"/>
    <s v="B+"/>
    <s v="MBA-1997 , BCom-1995 , Intermediate-1992"/>
    <s v="21.00"/>
    <s v="03.05"/>
    <s v="24.05"/>
    <s v="70238106"/>
    <s v="Ports &amp; Logistics"/>
    <s v="70494759"/>
    <s v="Section Head–Shipping &amp; Chartering,Odish"/>
    <s v="Odisha"/>
    <s v="0022030019"/>
    <s v="PDP-HR &amp; Admn"/>
    <s v="2000STORIS"/>
    <s v="20055075"/>
    <s v="Ashutosh Mathur"/>
    <s v="No"/>
    <s v="subhakant.dash@amns.in"/>
    <s v="7381000432"/>
    <s v="791879"/>
    <s v="Sunila Das"/>
    <s v="Anil Matoo"/>
    <s v="Praveen Kuruvalli"/>
    <s v="Sunila Das"/>
    <n v="0"/>
  </r>
  <r>
    <n v="3643"/>
    <n v="20055181"/>
    <s v="Sanjay Sharma"/>
    <s v="AM/NS India"/>
    <s v="Onroll"/>
    <s v="M-2"/>
    <n v="2"/>
    <m/>
    <s v="TM"/>
    <s v="M"/>
    <s v="Corporate"/>
    <n v="7"/>
    <s v="2060"/>
    <x v="24"/>
    <s v="39.01"/>
    <s v="Sanjay Sharma"/>
    <s v="Sanjay Sharma"/>
    <n v="8"/>
    <s v="Business Development"/>
    <s v="Business Development"/>
    <s v="39"/>
    <s v="Head - Business Development"/>
    <m/>
    <s v="Business Development"/>
    <s v=""/>
    <s v=""/>
    <s v="Non Technical Support"/>
    <s v="Sales &amp; Marketing"/>
    <s v="Business Development"/>
    <s v="73103001"/>
    <s v="Business Development"/>
    <s v="Mumbai"/>
    <d v="1972-03-07T00:00:00"/>
    <s v="51.06"/>
    <d v="2019-12-16T00:00:00"/>
    <d v="2032-03-31T00:00:00"/>
    <m/>
    <d v="2032-03-31T00:00:00"/>
    <n v="3115"/>
    <s v=""/>
    <s v=""/>
    <s v=""/>
    <s v="03.09"/>
    <s v="03.09"/>
    <s v="70494900"/>
    <s v="Business Development"/>
    <s v="70494901"/>
    <s v="Head - Business Development"/>
    <s v="Non-payroll-relevant"/>
    <s v="0090000032"/>
    <s v="Business Devpelopmen"/>
    <s v="2000CS"/>
    <s v="20055068"/>
    <s v="Dilip Oommen"/>
    <s v="No"/>
    <s v="sanjay.sharma@amns.in"/>
    <s v="9599206733"/>
    <s v="102316"/>
    <s v="Dhruv Vyas"/>
    <s v="Anil Matoo"/>
    <s v="Praveen Kuruvalli"/>
    <s v="Dhruv Vyas"/>
    <n v="0"/>
  </r>
  <r>
    <n v="3644"/>
    <n v="20055182"/>
    <s v="Neha Soni"/>
    <s v="AM/NS India"/>
    <s v="Onroll"/>
    <s v="M-5"/>
    <n v="5"/>
    <m/>
    <s v="MM"/>
    <s v="F"/>
    <s v="Corporate"/>
    <n v="7"/>
    <s v="2060"/>
    <x v="24"/>
    <s v="39.01"/>
    <s v="Sanjay Sharma"/>
    <s v="Sanjay Sharma"/>
    <n v="8"/>
    <s v="Business Development"/>
    <s v="Business Development"/>
    <s v="39"/>
    <s v="Senior Lead - Business Development"/>
    <m/>
    <s v="Business Development"/>
    <s v=""/>
    <s v=""/>
    <s v="Non Technical Support"/>
    <s v="Sales &amp; Marketing"/>
    <s v="Business Development"/>
    <s v="73103001"/>
    <s v="Business Development"/>
    <s v="Mumbai"/>
    <d v="1986-04-18T00:00:00"/>
    <s v="37.05"/>
    <d v="2020-06-22T00:00:00"/>
    <d v="2044-04-30T00:00:00"/>
    <m/>
    <d v="2044-04-30T00:00:00"/>
    <n v="7528"/>
    <s v="O+"/>
    <s v="PG Diploma-2009 , BCom-2007 , Intermedia"/>
    <s v="11.03"/>
    <s v="03.03"/>
    <s v="14.05"/>
    <s v="00049729"/>
    <s v="Business Development - M&amp;A"/>
    <s v="70494902"/>
    <s v="Senior Lead - Business Development"/>
    <s v="Corporate"/>
    <s v="0090000032"/>
    <s v="Business Devpelopmen"/>
    <s v="2000CS"/>
    <s v="20055181"/>
    <s v="Sanjay Sharma"/>
    <s v="No"/>
    <s v="neha.soni@amns.in"/>
    <s v="8860614207"/>
    <s v="794449"/>
    <s v="Dhruv Vyas"/>
    <s v="Anil Matoo"/>
    <s v="Praveen Kuruvalli"/>
    <s v="Dhruv Vyas"/>
    <n v="0"/>
  </r>
  <r>
    <n v="3647"/>
    <n v="20055187"/>
    <s v="Bibek Chattopadhyay"/>
    <s v="AM/NS India"/>
    <s v="Onroll"/>
    <s v="M-3"/>
    <n v="3"/>
    <m/>
    <s v="SM"/>
    <s v="M"/>
    <s v="Corporate"/>
    <n v="7"/>
    <s v="2069"/>
    <x v="8"/>
    <s v="25.01"/>
    <s v="Ashutosh Telang"/>
    <s v="Ashutosh Telang"/>
    <n v="6"/>
    <s v="HR &amp; Administration"/>
    <s v="Corporate Communications"/>
    <s v="25"/>
    <s v="Head – Corporate Communication"/>
    <m/>
    <s v="Corporate Communications"/>
    <s v=""/>
    <s v=""/>
    <s v="Non Technical Support"/>
    <s v="Corporate Communication"/>
    <s v="Corporate Communication"/>
    <s v="74001001"/>
    <s v="Corporate Communication"/>
    <s v="Mumbai"/>
    <d v="1965-09-28T00:00:00"/>
    <s v="57.11"/>
    <d v="2020-07-01T00:00:00"/>
    <d v="2023-09-30T00:00:00"/>
    <m/>
    <d v="2023-09-30T00:00:00"/>
    <n v="10"/>
    <s v="B+"/>
    <s v="PG Diploma-1989 , PG Diploma-1987 , BA-1"/>
    <s v="23.02"/>
    <s v="03.02"/>
    <s v="26.04"/>
    <s v="70318583"/>
    <s v="Communications &amp; Media Relations"/>
    <s v="70494909"/>
    <s v="Head – Corporate Communication"/>
    <s v="Confidential Payroll"/>
    <s v="0090000016"/>
    <s v="Corporate Steel - Co"/>
    <s v="2000CS"/>
    <s v="20059024"/>
    <s v="Keiji Kubota"/>
    <s v="No"/>
    <s v="bibek.chattopadhyay@amns.in"/>
    <s v="9820150538"/>
    <s v="797464"/>
    <s v="Dhruv Vyas"/>
    <s v="Anil Matoo"/>
    <s v="Praveen Kuruvalli"/>
    <s v="Dhruv Vyas"/>
    <n v="0"/>
  </r>
  <r>
    <n v="3648"/>
    <n v="20055188"/>
    <s v="Rohit Sharma"/>
    <s v="AM/NS India"/>
    <s v="Onroll"/>
    <s v="M-3"/>
    <n v="3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– Working Capital"/>
    <m/>
    <s v="Working Capital"/>
    <s v="Working Capital"/>
    <s v=""/>
    <s v="Non Technical Support"/>
    <s v="Projects"/>
    <s v="Projects Coordination"/>
    <s v="72103038"/>
    <s v="Projects Coordination"/>
    <s v="Mumbai"/>
    <d v="1983-10-15T00:00:00"/>
    <s v="39.11"/>
    <d v="2020-07-02T00:00:00"/>
    <d v="2041-10-31T00:00:00"/>
    <m/>
    <d v="2041-10-31T00:00:00"/>
    <n v="6616"/>
    <s v="O+"/>
    <s v="CA Final-2002"/>
    <s v="12.07"/>
    <s v="03.02"/>
    <s v="15.09"/>
    <s v="70494931"/>
    <s v="Working Capital"/>
    <s v="70494912"/>
    <s v="Head – Working Capital"/>
    <s v="Corporate"/>
    <s v="0090000028"/>
    <s v="Corporate Steel - Wo"/>
    <s v="2000CS"/>
    <s v="20057933"/>
    <s v="Akiyo Omori"/>
    <s v="No"/>
    <s v="rohit.sharma1@amns.in"/>
    <s v="9818428034"/>
    <s v="797319"/>
    <s v="Dhruv Vyas"/>
    <s v="Anil Matoo"/>
    <s v="Praveen Kuruvalli"/>
    <s v="Dhruv Vyas"/>
    <n v="0"/>
  </r>
  <r>
    <n v="3649"/>
    <n v="20055189"/>
    <s v="Nivedita Saxena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"/>
    <m/>
    <s v="Legal"/>
    <s v=""/>
    <s v=""/>
    <s v="Non Technical Support"/>
    <s v="Legal"/>
    <s v="Legal"/>
    <s v="73201001"/>
    <s v="Legal"/>
    <s v="Mumbai"/>
    <d v="1993-10-03T00:00:00"/>
    <s v="29.11"/>
    <d v="2020-06-29T00:00:00"/>
    <d v="2051-10-31T00:00:00"/>
    <m/>
    <d v="2051-10-31T00:00:00"/>
    <n v="10268"/>
    <s v="B+"/>
    <s v="BA-2016 , Intermediate-2011 , High Schoo"/>
    <s v="04.01"/>
    <s v="03.02"/>
    <s v="07.03"/>
    <s v="70494754"/>
    <s v="Legal"/>
    <s v="70494910"/>
    <s v="Sr. Manager"/>
    <s v="Corporate"/>
    <s v="0090000019"/>
    <s v="Corporate Steel - Le"/>
    <s v="2000CS"/>
    <s v="20055235"/>
    <s v="P Ashok Kumar"/>
    <s v="No"/>
    <s v="nivedita.saxena@amns.in"/>
    <s v="8989504005"/>
    <s v="794446"/>
    <s v="Dhruv Vyas"/>
    <s v="Anil Matoo"/>
    <s v="Praveen Kuruvalli"/>
    <s v="Dhruv Vyas"/>
    <n v="0"/>
  </r>
  <r>
    <n v="3651"/>
    <n v="20055193"/>
    <s v="Anuprita Kaushik Mehta"/>
    <s v="AM/NS India"/>
    <s v="Onroll"/>
    <s v="M-3"/>
    <n v="3"/>
    <m/>
    <s v="SM"/>
    <s v="F"/>
    <s v="Corporate"/>
    <n v="7"/>
    <s v="2013"/>
    <x v="0"/>
    <s v="20.01"/>
    <s v="Akiyo Omori"/>
    <s v="Amit Harlalka"/>
    <n v="5"/>
    <s v="Finance &amp; Accounts"/>
    <s v="Finance &amp; Accounts"/>
    <s v="20"/>
    <s v="Head -Taxation"/>
    <m/>
    <s v="Taxation"/>
    <s v="Taxation"/>
    <s v=""/>
    <s v="Non Technical Support"/>
    <s v="Finance &amp; Accounts"/>
    <s v="Taxation"/>
    <s v="73904002"/>
    <s v="Indirect Taxation"/>
    <s v="Mumbai"/>
    <d v="1972-05-11T00:00:00"/>
    <s v="51.04"/>
    <d v="2020-07-16T00:00:00"/>
    <d v="2030-05-31T00:00:00"/>
    <m/>
    <d v="2030-05-31T00:00:00"/>
    <n v="2445"/>
    <s v="O+"/>
    <s v="CA Final-1995 , BCom-1992 , High School-"/>
    <s v="18.10"/>
    <s v="03.02"/>
    <s v="21.11"/>
    <s v="70490499"/>
    <s v="Taxation"/>
    <s v="70490525"/>
    <s v="Head -Taxation"/>
    <s v="Confidential Payroll"/>
    <s v="0090000033"/>
    <s v="Corporate Taxation"/>
    <s v="2000CS"/>
    <s v="20057933"/>
    <s v="Akiyo Omori"/>
    <s v="No"/>
    <s v="anuprita.mehta@amns.in"/>
    <s v="9867290005"/>
    <s v="794445"/>
    <s v="Dhruv Vyas"/>
    <s v="Anil Matoo"/>
    <s v="Praveen Kuruvalli"/>
    <s v="Dhruv Vyas"/>
    <n v="0"/>
  </r>
  <r>
    <n v="3653"/>
    <n v="20055195"/>
    <s v="Sanjay Champalal Gandhi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r. Manager – Marketing &amp; Sales"/>
    <m/>
    <s v="Sales Steering &amp; BD"/>
    <s v="Digital Initiatives"/>
    <s v=""/>
    <s v="Non Technical Support"/>
    <s v=""/>
    <s v=""/>
    <s v="70494645"/>
    <s v="Head of Sales BD"/>
    <s v="Mumbai"/>
    <d v="1976-03-17T00:00:00"/>
    <s v="47.06"/>
    <d v="2020-08-24T00:00:00"/>
    <d v="2034-03-31T00:00:00"/>
    <m/>
    <d v="2034-03-31T00:00:00"/>
    <n v="3845"/>
    <s v="O+"/>
    <s v="MBA-2002 , MCom-2000 , BCom-1996 , Inter"/>
    <s v="12.11"/>
    <s v="03.00"/>
    <s v="16.00"/>
    <s v="70462100"/>
    <s v="Digital Initiatives"/>
    <s v="70494930"/>
    <s v="Process Manager - Digitalization"/>
    <s v="Corporate"/>
    <s v="0031950057"/>
    <s v="HZ-HRC - Marketing"/>
    <s v="2000CS"/>
    <s v="20043383"/>
    <s v="Maneesh Moti"/>
    <s v="No"/>
    <s v="sanjay.gandhi@amns.in"/>
    <s v="9930508239"/>
    <s v="797318"/>
    <s v="Dhruv Vyas"/>
    <s v="Anil Matoo"/>
    <s v="Praveen Kuruvalli"/>
    <s v="Dhruv Vyas"/>
    <n v="0"/>
  </r>
  <r>
    <n v="3654"/>
    <n v="20055196"/>
    <s v="Abhimanyu Kharb"/>
    <s v="AM/NS India"/>
    <s v="Onroll"/>
    <s v="M-5"/>
    <n v="5"/>
    <m/>
    <s v="MM"/>
    <s v="M"/>
    <s v="Hazira"/>
    <n v="1"/>
    <s v="2071"/>
    <x v="22"/>
    <s v="41.01"/>
    <s v="P Ashok Kumar"/>
    <s v="P Ashok Kumar"/>
    <n v="9"/>
    <s v="Legal"/>
    <s v="Legal"/>
    <s v="41"/>
    <s v="Legal Counsel – Compliance"/>
    <m/>
    <s v="Legal"/>
    <s v=""/>
    <s v=""/>
    <s v="Non Technical Support"/>
    <s v="Legal"/>
    <s v="Legal"/>
    <s v="73201001"/>
    <s v="Legal"/>
    <s v="Mumbai"/>
    <d v="1989-02-14T00:00:00"/>
    <s v="34.07"/>
    <d v="2020-07-27T00:00:00"/>
    <d v="2047-02-28T00:00:00"/>
    <m/>
    <d v="2047-02-28T00:00:00"/>
    <n v="8562"/>
    <s v="O-"/>
    <s v="LLB-2011 , Intermediate-2006 , High Scho"/>
    <s v="08.08"/>
    <s v="03.01"/>
    <s v="11.09"/>
    <s v="70494754"/>
    <s v="Legal"/>
    <s v="70494937"/>
    <s v="Legal Counsel – Compliance"/>
    <s v="Hazira"/>
    <s v="0090000019"/>
    <s v="Corporate Steel - Le"/>
    <s v="2000HWO"/>
    <s v="20055235"/>
    <s v="P Ashok Kumar"/>
    <s v="No"/>
    <s v="abhimanyu.kharb@amns.in"/>
    <s v="9108915606"/>
    <s v="798080"/>
    <s v="Dhruv Vyas"/>
    <s v="Anil Matoo"/>
    <s v="Praveen Kuruvalli"/>
    <s v="Dhruv Vyas"/>
    <n v="0"/>
  </r>
  <r>
    <n v="3655"/>
    <n v="20055197"/>
    <s v="Sangeeta Munjal"/>
    <s v="AM/NS India"/>
    <s v="Onroll"/>
    <s v="M-3"/>
    <n v="3"/>
    <m/>
    <s v="SM"/>
    <s v="F"/>
    <s v="Corporate"/>
    <n v="7"/>
    <s v="2039"/>
    <x v="2"/>
    <s v="43.01"/>
    <s v="Manu Kapoor"/>
    <s v="Manu Kapoor"/>
    <n v="10"/>
    <s v="Corporate Affairs"/>
    <s v="Corporate Affairs"/>
    <s v="43"/>
    <s v="Head – Corporate Affairs Delhi"/>
    <m/>
    <s v="Corporate Affairs"/>
    <s v=""/>
    <s v=""/>
    <s v="Non Technical Support"/>
    <s v="Corporate Relations"/>
    <s v="Corporate Affairs"/>
    <s v="74501001"/>
    <s v="Corporate Affairs"/>
    <s v="Delhi"/>
    <d v="1960-05-11T00:00:00"/>
    <s v="63.04"/>
    <d v="2020-08-01T00:00:00"/>
    <d v="2018-05-31T00:00:00"/>
    <d v="2025-03-31T00:00:00"/>
    <d v="2025-03-31T00:00:00"/>
    <n v="558"/>
    <s v="B+"/>
    <s v="MA-1985 , PG Diploma-1982 , BA-1980 , In"/>
    <s v="33.10"/>
    <s v="03.01"/>
    <s v="36.11"/>
    <s v="00050150"/>
    <s v="Corporate Affairs - Delhi"/>
    <s v="70494939"/>
    <s v="Head – Corporate Affairs Delhi"/>
    <s v="Confidential Payroll"/>
    <s v="0090000021"/>
    <s v="Corporate Affairs"/>
    <s v="2000CS"/>
    <s v="20057928"/>
    <s v="Manu Kapoor"/>
    <s v="No"/>
    <s v="sangeeta.munjal@amns.in"/>
    <s v="9811305002"/>
    <s v="799214"/>
    <s v="Dhruv Vyas"/>
    <s v="Anil Matoo"/>
    <s v="Praveen Kuruvalli"/>
    <s v="Dhruv Vyas"/>
    <n v="0"/>
  </r>
  <r>
    <n v="3656"/>
    <n v="20055200"/>
    <s v="Umesh Nayak"/>
    <s v="AM/NS India"/>
    <s v="Onroll"/>
    <s v="M-3"/>
    <n v="3"/>
    <m/>
    <s v="SM"/>
    <s v="M"/>
    <s v="Corporate"/>
    <n v="7"/>
    <s v="2039"/>
    <x v="2"/>
    <s v="43.01"/>
    <s v="Sangeeta Munjal"/>
    <s v="Manu Kapoor"/>
    <n v="10"/>
    <s v="Corporate Affairs"/>
    <s v="Corporate Affairs"/>
    <s v="43"/>
    <s v="Head – Corporate Affairs, Gujarat"/>
    <m/>
    <s v="Corporate Affairs"/>
    <s v=""/>
    <s v=""/>
    <s v="Non Technical Support"/>
    <s v="Corporate Relations"/>
    <s v="Corporate Affairs"/>
    <s v="74501001"/>
    <s v="Corporate Affairs"/>
    <s v="Ahmedabad"/>
    <d v="1966-02-28T00:00:00"/>
    <s v="57.06"/>
    <d v="2020-08-14T00:00:00"/>
    <d v="2024-02-29T00:00:00"/>
    <m/>
    <d v="2024-02-29T00:00:00"/>
    <n v="162"/>
    <s v="O+"/>
    <s v="MBA-1996 , BE-1988 , Intermediate-1983 ,"/>
    <s v="31.01"/>
    <s v="03.01"/>
    <s v="34.02"/>
    <s v="70492729"/>
    <s v="Corporate Affairs - Gujarat"/>
    <s v="70494943"/>
    <s v="Head – Corporate Affairs, Gujarat"/>
    <s v="Confidential Payroll"/>
    <s v="0090000021"/>
    <s v="Corporate Affairs"/>
    <s v="2000CS"/>
    <s v="20057928"/>
    <s v="Manu Kapoor"/>
    <s v="No"/>
    <s v="umesh.nayak@amns.in"/>
    <s v="9099005111"/>
    <s v="798900"/>
    <s v="Dhruv Vyas"/>
    <s v="Anil Matoo"/>
    <s v="Praveen Kuruvalli"/>
    <s v="Dhruv Vyas"/>
    <n v="0"/>
  </r>
  <r>
    <n v="3657"/>
    <n v="20055201"/>
    <s v="Deepak Sahu"/>
    <s v="AM/NS India"/>
    <s v="Onroll"/>
    <s v="M-6"/>
    <n v="6"/>
    <m/>
    <s v="M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Sr. Lead – F &amp; A Service Centre"/>
    <m/>
    <s v="Working Capital"/>
    <s v="Service Centers"/>
    <s v=""/>
    <s v="Non Technical Support"/>
    <s v="Finance &amp; Accounts"/>
    <s v="Finance &amp; Accounts"/>
    <s v="73901001"/>
    <s v="Finance &amp; Accounts"/>
    <s v="Hazira"/>
    <d v="1977-09-20T00:00:00"/>
    <s v="46.00"/>
    <d v="2020-08-01T00:00:00"/>
    <d v="2035-09-30T00:00:00"/>
    <m/>
    <d v="2035-09-30T00:00:00"/>
    <n v="4393"/>
    <s v="A+"/>
    <s v="MBA-2009"/>
    <s v="13.07"/>
    <s v="03.01"/>
    <s v="16.08"/>
    <s v="00043795"/>
    <s v="F&amp;A Hypermart &amp; Service Centre - 1"/>
    <s v="70494951"/>
    <s v="Sr. Lead – F &amp; A Service Centre"/>
    <s v="Service Center"/>
    <s v="0040000000"/>
    <s v="SC - Common"/>
    <s v="2000SPRJ"/>
    <s v="20055504"/>
    <s v="Vivek Choudhary"/>
    <s v="No"/>
    <s v="deepak.sahu@amns.in"/>
    <s v="9971104084"/>
    <s v="135523"/>
    <s v="Dhruv Vyas"/>
    <s v="Anil Matoo"/>
    <s v="Praveen Kuruvalli"/>
    <s v="Dhruv Vyas"/>
    <n v="0"/>
  </r>
  <r>
    <n v="3659"/>
    <n v="20055204"/>
    <s v="Lakshmi Charan Mahapatra"/>
    <s v="AM/NS India"/>
    <s v="Onroll"/>
    <s v="M-4"/>
    <n v="4"/>
    <m/>
    <s v="SM"/>
    <s v="M"/>
    <s v="Odisha"/>
    <n v="2"/>
    <s v="2137"/>
    <x v="12"/>
    <s v="35.01"/>
    <s v="Hrishikesh Kamat"/>
    <s v="Hrishikesh Kamat"/>
    <n v="7"/>
    <s v="Procurement"/>
    <s v="Land Acquisition"/>
    <s v="35"/>
    <s v="Head - Land Kendrapada"/>
    <m/>
    <s v="Land Acquisition"/>
    <m/>
    <m/>
    <s v="Projects"/>
    <s v="Corporate Relations"/>
    <s v="Corporate Affairs"/>
    <s v="74501001"/>
    <s v="Corporate Affairs"/>
    <s v="Bhubaneswar"/>
    <d v="1959-01-30T00:00:00"/>
    <s v="64.07"/>
    <d v="2020-08-01T00:00:00"/>
    <d v="2017-01-31T00:00:00"/>
    <d v="2025-03-31T00:00:00"/>
    <d v="2025-03-31T00:00:00"/>
    <n v="558"/>
    <s v="O+"/>
    <s v="Master's Equivalent-1996 , Diploma-1983"/>
    <s v="12.06"/>
    <s v="03.01"/>
    <s v="15.07"/>
    <s v="00048076"/>
    <s v="Greenfield Project"/>
    <s v="70494954"/>
    <s v="Chief Coordinator - Greenfield Project"/>
    <s v="Odisha"/>
    <s v="0022030019"/>
    <s v="PDP-HR &amp; Admn"/>
    <s v="2000STORIS"/>
    <s v="20053139"/>
    <s v="Subrahmanya Shanbhogue Tantradi"/>
    <s v="No"/>
    <s v="lakshmi.mahapatra@amns.in"/>
    <s v="9937291506"/>
    <s v="101489"/>
    <s v="Sunila Das"/>
    <s v="Anil Matoo"/>
    <s v="Praveen Kuruvalli"/>
    <s v="Sunila Das"/>
    <n v="0"/>
  </r>
  <r>
    <n v="3663"/>
    <n v="20055216"/>
    <s v="Abhishek Shrivastav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 Manager – Sales &amp; Marketing"/>
    <m/>
    <s v="North"/>
    <s v="OEM"/>
    <s v=""/>
    <s v="Non Technical Support"/>
    <s v="Human Resources Management"/>
    <s v="Human Resources Management"/>
    <s v="73501002"/>
    <s v="Human Resources Operation"/>
    <s v="Noida"/>
    <d v="1994-06-13T00:00:00"/>
    <s v="29.03"/>
    <d v="2020-09-01T00:00:00"/>
    <d v="2052-06-30T00:00:00"/>
    <m/>
    <d v="2052-06-30T00:00:00"/>
    <n v="10511"/>
    <s v="O+"/>
    <s v="MTech-2020 , BTech-2016 , Intermediate-2"/>
    <s v=""/>
    <s v="03.00"/>
    <s v="03.00"/>
    <s v="72150181"/>
    <s v="Sales North Zone"/>
    <s v="70494965"/>
    <s v="Sales Manager"/>
    <s v="Hazira"/>
    <s v="0031950057"/>
    <s v="HZ-HRC - Marketing"/>
    <s v="2000HWO"/>
    <s v="20002920"/>
    <s v="Sudhir Sharma"/>
    <s v="No"/>
    <s v="abhishek.shrivastav@amns.in"/>
    <s v="9879102216"/>
    <s v="802315"/>
    <s v="Dhruv Vyas"/>
    <s v="Anil Matoo"/>
    <s v="Praveen Kuruvalli"/>
    <s v="Dhruv Vyas"/>
    <n v="0"/>
  </r>
  <r>
    <n v="3671"/>
    <n v="20055235"/>
    <s v="P Ashok Kumar"/>
    <s v="AM/NS India"/>
    <s v="Onroll"/>
    <s v="M-3"/>
    <n v="3"/>
    <m/>
    <s v="SM"/>
    <s v="M"/>
    <s v="Corporate"/>
    <n v="7"/>
    <s v="2071"/>
    <x v="22"/>
    <s v="41.01"/>
    <s v="P Ashok Kumar"/>
    <s v="P Ashok Kumar"/>
    <n v="9"/>
    <s v="Legal"/>
    <s v="Legal"/>
    <s v="41"/>
    <s v="Associate General Counsel"/>
    <m/>
    <s v="Legal"/>
    <s v=""/>
    <s v=""/>
    <s v="Non Technical Support"/>
    <s v="Legal"/>
    <s v="Legal"/>
    <s v="73201001"/>
    <s v="Legal"/>
    <s v="Mumbai"/>
    <d v="1982-07-17T00:00:00"/>
    <s v="41.02"/>
    <d v="2020-09-01T00:00:00"/>
    <d v="2040-07-31T00:00:00"/>
    <m/>
    <d v="2040-07-31T00:00:00"/>
    <n v="6159"/>
    <s v="O+"/>
    <s v="LLB-2004 , Intermediate-1999 , High Scho"/>
    <s v="06.05"/>
    <s v="03.00"/>
    <s v="09.05"/>
    <s v="70494754"/>
    <s v="Legal"/>
    <s v="70494985"/>
    <s v="Associate General Counsel"/>
    <s v="Confidential Payroll"/>
    <s v="0090000019"/>
    <s v="Corporate Steel - Le"/>
    <s v="2000CS"/>
    <s v="20055068"/>
    <s v="Dilip Oommen"/>
    <s v="No"/>
    <s v="ashok.kumar1@amns.in"/>
    <s v="9686811664"/>
    <s v="798211"/>
    <s v="Dhruv Vyas"/>
    <s v="Anil Matoo"/>
    <s v="Praveen Kuruvalli"/>
    <s v="Dhruv Vyas"/>
    <n v="0"/>
  </r>
  <r>
    <n v="3672"/>
    <n v="20055236"/>
    <s v="Vineet Kamlesh Ojha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Process Manager – Digitalization"/>
    <m/>
    <s v="Sales Steering &amp; BD"/>
    <s v="Digital Initiatives"/>
    <s v=""/>
    <s v="Non Technical Support"/>
    <s v="Sales &amp; Marketing"/>
    <s v="Marketing"/>
    <s v="73102001"/>
    <s v="Marketing"/>
    <s v="Mumbai"/>
    <d v="1988-07-09T00:00:00"/>
    <s v="35.02"/>
    <d v="2020-08-28T00:00:00"/>
    <d v="2046-07-31T00:00:00"/>
    <m/>
    <d v="2046-07-31T00:00:00"/>
    <n v="8350"/>
    <s v="A+"/>
    <s v="PG Diploma in Management-2011 , BCom-200"/>
    <s v="12.01"/>
    <s v="03.00"/>
    <s v="15.01"/>
    <s v="70462100"/>
    <s v="Digital Initiatives"/>
    <s v="70494984"/>
    <s v="Process Manager – CRM"/>
    <s v="Corporate"/>
    <s v="0080000005"/>
    <s v="Global Markets Team"/>
    <s v="2000CS"/>
    <s v="20043383"/>
    <s v="Maneesh Moti"/>
    <s v="No"/>
    <s v="vineet.ojha@amns.in"/>
    <s v="9920379079"/>
    <s v="802102"/>
    <s v="Dhruv Vyas"/>
    <s v="Anil Matoo"/>
    <s v="Praveen Kuruvalli"/>
    <s v="Dhruv Vyas"/>
    <n v="0"/>
  </r>
  <r>
    <n v="3689"/>
    <n v="20055312"/>
    <s v="Swapnil Srivastava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Lead Market Intelligence &amp; Pricing"/>
    <m/>
    <s v="Projects Long Products"/>
    <s v="Projects Long Products"/>
    <s v=""/>
    <s v="Non Technical Support"/>
    <s v="Human Resources Management"/>
    <s v="Human Resources Management"/>
    <s v="73501002"/>
    <s v="Human Resources Operation"/>
    <s v="Mumbai"/>
    <d v="1996-09-08T00:00:00"/>
    <s v="27.00"/>
    <d v="2020-09-16T00:00:00"/>
    <d v="2054-09-30T00:00:00"/>
    <m/>
    <d v="2054-09-30T00:00:00"/>
    <n v="11333"/>
    <s v=""/>
    <s v="MBA-2020 , BTech-2018 , Intermediate-201"/>
    <s v=""/>
    <s v="03.00"/>
    <s v="03.00"/>
    <s v="70494655"/>
    <s v="Sales Steering, Distribution and BD"/>
    <s v="70495035"/>
    <s v="Lead Market Intelligence &amp; Pricing"/>
    <s v="Corporate"/>
    <s v="0080000001"/>
    <s v="Head-Marketing"/>
    <s v="2000CS"/>
    <s v="20055091"/>
    <s v="Akshaya Gujral"/>
    <s v="No"/>
    <s v="swapnil.srivastava@amns.in"/>
    <s v="7764981301"/>
    <s v="804093"/>
    <s v="Dhruv Vyas"/>
    <s v="Anil Matoo"/>
    <s v="Praveen Kuruvalli"/>
    <s v="Dhruv Vyas"/>
    <n v="0"/>
  </r>
  <r>
    <n v="3693"/>
    <n v="20055320"/>
    <s v="Rohit Yadav"/>
    <s v="AM/NS India"/>
    <s v="Onroll"/>
    <s v="M-10"/>
    <n v="10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Sales &amp; Marketing"/>
    <m/>
    <s v="Sales Planning"/>
    <s v="Sales Planning"/>
    <s v=""/>
    <s v="Non Technical Support"/>
    <s v="Human Resources Management"/>
    <s v="Human Resources Management"/>
    <s v="73501002"/>
    <s v="Human Resources Operation"/>
    <s v="Delhi"/>
    <d v="1995-05-19T00:00:00"/>
    <s v="28.04"/>
    <d v="2020-10-03T00:00:00"/>
    <d v="2053-05-31T00:00:00"/>
    <m/>
    <d v="2053-05-31T00:00:00"/>
    <n v="10846"/>
    <s v="O+"/>
    <s v="MTech-2020 , BTech-2017 , Intermediate-2"/>
    <s v=""/>
    <s v="02.11"/>
    <s v="02.11"/>
    <s v="70385322"/>
    <s v="Sales Planning &amp; Administration"/>
    <s v="70495062"/>
    <s v="Officer - Sales Planning"/>
    <s v="Pune Facility"/>
    <s v="0035950073"/>
    <s v="Pune - S&amp;D Export"/>
    <s v="2000ESPF"/>
    <s v="20049554"/>
    <s v="Uttam Kumar"/>
    <s v="No"/>
    <s v="rohit.yadav@amns.in"/>
    <s v="6359610214"/>
    <s v="806648"/>
    <s v="Dhruv Vyas"/>
    <s v="Anil Matoo"/>
    <s v="Praveen Kuruvalli"/>
    <s v="Dhruv Vyas"/>
    <n v="0"/>
  </r>
  <r>
    <n v="3700"/>
    <n v="20055333"/>
    <s v="Shah Ronil"/>
    <s v="AM/NS India"/>
    <s v="Onroll"/>
    <s v="M-10"/>
    <n v="10"/>
    <m/>
    <s v="JM"/>
    <s v="M"/>
    <s v="Hazira"/>
    <n v="1"/>
    <s v="2015"/>
    <x v="1"/>
    <s v="22.06"/>
    <s v="Praveen Kuruvalli"/>
    <s v="Ashutosh Telang"/>
    <n v="6"/>
    <s v="HR &amp; Administration"/>
    <s v="Human Resources"/>
    <s v="22"/>
    <s v="Shift Engineer - Mechanical Maintenance"/>
    <m/>
    <s v="Hazira Operations"/>
    <s v="Mechanical"/>
    <s v="SH, Conveyors &amp; PCI"/>
    <s v="Mechanical Maintenance"/>
    <s v="Operations"/>
    <s v="Plant Operations"/>
    <s v="72103003"/>
    <s v="Plant Operations"/>
    <s v="Hazira"/>
    <d v="1998-10-21T00:00:00"/>
    <s v="24.10"/>
    <d v="2020-10-03T00:00:00"/>
    <d v="2056-10-31T00:00:00"/>
    <m/>
    <d v="2056-10-31T00:00:00"/>
    <n v="12095"/>
    <s v="B+"/>
    <s v="BTech-2020 , Intermediate-2016 , High Sc"/>
    <s v=""/>
    <s v="02.11"/>
    <s v="02.11"/>
    <s v="00051785"/>
    <s v="Hazira Project - Human Resources"/>
    <s v="70495075"/>
    <s v="Lead - Human Resources"/>
    <s v="Hazira"/>
    <s v="0031220011"/>
    <s v="Plant B - Blast Furn"/>
    <s v="2000HWO"/>
    <s v="20038382"/>
    <s v="Natasha Fernandes"/>
    <s v="No"/>
    <s v="ronil.shah@amns.in"/>
    <s v="9512047176"/>
    <s v="806659"/>
    <s v="Dhruv Vyas"/>
    <s v="Anil Matoo"/>
    <s v="Praveen Kuruvalli"/>
    <s v="Dhruv Vyas"/>
    <n v="0"/>
  </r>
  <r>
    <n v="3707"/>
    <n v="20055359"/>
    <s v="Pritish Ranjan Behera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"/>
    <m/>
    <s v="Coated Sales"/>
    <s v="Coated Sales"/>
    <s v=""/>
    <s v="Non Technical Support"/>
    <s v="Human Resources Management"/>
    <s v="Human Resources Management"/>
    <s v="73501002"/>
    <s v="Human Resources Operation"/>
    <s v="Pune"/>
    <d v="1991-09-01T00:00:00"/>
    <s v="32.00"/>
    <d v="2020-10-03T00:00:00"/>
    <d v="2049-08-31T00:00:00"/>
    <m/>
    <d v="2049-08-31T00:00:00"/>
    <n v="9477"/>
    <s v="B+"/>
    <s v="MBA-2020 , BTech-2013 , Intermediate-200"/>
    <s v=""/>
    <s v="02.11"/>
    <s v="02.11"/>
    <s v="00043882"/>
    <s v="International Sales"/>
    <s v="70495101"/>
    <s v="KAM - Coated Sales"/>
    <s v="Hazira"/>
    <s v="0031950057"/>
    <s v="HZ-HRC - Marketing"/>
    <s v="2000HWO"/>
    <s v="20037071"/>
    <s v="Amit Chandaliya"/>
    <s v="No"/>
    <s v="pritish.behera@amns.in"/>
    <s v="9923200102"/>
    <s v="806680"/>
    <s v="Dhruv Vyas"/>
    <s v="Anil Matoo"/>
    <s v="Praveen Kuruvalli"/>
    <s v="Dhruv Vyas"/>
    <n v="0"/>
  </r>
  <r>
    <n v="3708"/>
    <n v="20055360"/>
    <s v="Neha Bang"/>
    <s v="AM/NS India"/>
    <s v="Onroll"/>
    <s v="M-8"/>
    <n v="8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"/>
    <m/>
    <s v="Sales Steering &amp; BD"/>
    <s v="Product Branding"/>
    <s v=""/>
    <s v="Non Technical Support"/>
    <s v="Human Resources Management"/>
    <s v="Human Resources Management"/>
    <s v="73501002"/>
    <s v="Human Resources Operation"/>
    <s v="Mumbai"/>
    <d v="1995-02-22T00:00:00"/>
    <s v="28.06"/>
    <d v="2020-10-03T00:00:00"/>
    <d v="2053-02-28T00:00:00"/>
    <m/>
    <d v="2053-02-28T00:00:00"/>
    <n v="10754"/>
    <s v="B-"/>
    <s v="MBA-2020 , BA-2016 , Intermediate-2014 ,"/>
    <s v=""/>
    <s v="02.11"/>
    <s v="02.11"/>
    <s v="00044762"/>
    <s v="Branding"/>
    <s v="70495102"/>
    <s v="Brand Manager"/>
    <s v="Corporate"/>
    <s v="0080000001"/>
    <s v="Head-Marketing"/>
    <s v="2000CS"/>
    <s v="20056091"/>
    <s v="Pooja Rawal"/>
    <s v="No"/>
    <s v="neha.bang@amns.in"/>
    <s v="9879101215"/>
    <s v="806681"/>
    <s v="Dhruv Vyas"/>
    <s v="Anil Matoo"/>
    <s v="Praveen Kuruvalli"/>
    <s v="Dhruv Vyas"/>
    <n v="0"/>
  </r>
  <r>
    <n v="3709"/>
    <n v="20055361"/>
    <s v="Kuldeep Trivedi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Management Trainee"/>
    <m/>
    <s v="Performance Management"/>
    <s v="Performance Management"/>
    <s v=""/>
    <s v="Non Technical Support"/>
    <s v="Human Resources Management"/>
    <s v="Human Resources Management"/>
    <s v="73501002"/>
    <s v="Human Resources Operation"/>
    <s v="AM/NS Hazira"/>
    <d v="1994-04-17T00:00:00"/>
    <s v="29.05"/>
    <d v="2020-10-07T00:00:00"/>
    <d v="2052-04-30T00:00:00"/>
    <m/>
    <d v="2052-04-30T00:00:00"/>
    <n v="10450"/>
    <s v="O+"/>
    <s v="MBA-2020 , BTech-2016 , Intermediate-201"/>
    <s v=""/>
    <s v="02.11"/>
    <s v="02.11"/>
    <s v="00045310"/>
    <s v="Performance Management"/>
    <s v="70495103"/>
    <s v="Management Trainee"/>
    <s v="Hazira"/>
    <s v="0031950043"/>
    <s v="HZ-Performance Manag"/>
    <s v="2000HWO"/>
    <s v="20059076"/>
    <s v="Ravish Doshi"/>
    <s v="No"/>
    <s v="kuldeep.trivedi@amns.in"/>
    <s v="9727741053"/>
    <s v="806682"/>
    <s v="Dhruv Vyas"/>
    <s v="Anil Matoo"/>
    <s v="Praveen Kuruvalli"/>
    <s v="Dhruv Vyas"/>
    <n v="0"/>
  </r>
  <r>
    <n v="3760"/>
    <n v="20055424"/>
    <s v="Prasath Radhakrishnan"/>
    <s v="AM/NS India"/>
    <s v="Onroll"/>
    <s v="M-8"/>
    <n v="8"/>
    <m/>
    <s v="JM"/>
    <s v="M"/>
    <s v="Service Centers"/>
    <n v="6"/>
    <s v="2043"/>
    <x v="3"/>
    <s v="31.01"/>
    <s v="Hrishikesh Kamat"/>
    <s v="Hrishikesh Kamat"/>
    <n v="7"/>
    <s v="Procurement"/>
    <s v="Procurement"/>
    <s v="31"/>
    <s v="Incharge  Purchase"/>
    <m/>
    <s v="Procurement Service Centre"/>
    <s v="Procurement Service Centre"/>
    <s v=""/>
    <s v="Non Technical Support"/>
    <s v="Operations"/>
    <s v="Plant Operations"/>
    <s v="72103003"/>
    <s v="Plant Operations"/>
    <s v="Chennai"/>
    <d v="1979-11-09T00:00:00"/>
    <s v="43.10"/>
    <d v="2020-10-01T00:00:00"/>
    <d v="2037-11-30T00:00:00"/>
    <m/>
    <d v="2037-11-30T00:00:00"/>
    <n v="5185"/>
    <s v="O+"/>
    <s v="MBA-2009 , BE-2001 , High School-1997 ,"/>
    <s v="14.00"/>
    <s v="02.11"/>
    <s v="16.11"/>
    <s v="70413444"/>
    <s v="Purchase &amp; Contracts"/>
    <s v="70495186"/>
    <s v="Incharge  Purchase"/>
    <s v="Service Center"/>
    <s v="0040030019"/>
    <s v="SC-Chennai-Op1-HR-Ad"/>
    <s v="2000SPRJ"/>
    <s v="20052588"/>
    <s v="Govindraju Sampathirao"/>
    <s v="No"/>
    <s v="prasath.r@amns.in"/>
    <s v="9952966638"/>
    <s v="25533"/>
    <s v="Dhruv Vyas"/>
    <s v="Anil Matoo"/>
    <s v="Praveen Kuruvalli"/>
    <s v="Dhruv Vyas"/>
    <n v="0"/>
  </r>
  <r>
    <n v="3767"/>
    <n v="20055437"/>
    <s v="Sameer Vengurlekar"/>
    <s v="AM/NS India"/>
    <s v="Onroll"/>
    <s v="M-10"/>
    <n v="10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Sales &amp; Marketing"/>
    <m/>
    <s v="Coated Sales"/>
    <s v="Coated Sales"/>
    <s v=""/>
    <s v="Non Technical Support"/>
    <s v="Sales &amp; Marketing"/>
    <s v="Sales &amp; Marketing"/>
    <s v="73101001"/>
    <s v="Sales &amp; Marketing"/>
    <s v="Pune AMNS"/>
    <d v="1984-03-26T00:00:00"/>
    <s v="39.05"/>
    <d v="2020-10-27T00:00:00"/>
    <d v="2042-03-31T00:00:00"/>
    <m/>
    <d v="2042-03-31T00:00:00"/>
    <n v="6767"/>
    <s v=""/>
    <s v="PG Diploma in Management-2013 , BCom-200"/>
    <s v="14.08"/>
    <s v="02.10"/>
    <s v="17.06"/>
    <s v="00048138"/>
    <s v="Hypermart west"/>
    <s v="70495275"/>
    <s v="Sales Manger - Coated Sales"/>
    <s v="Pune Facility"/>
    <s v="0035950073"/>
    <s v="Pune - S&amp;D Export"/>
    <s v="2000ESPF"/>
    <s v="20056847"/>
    <s v="Vikas Chotia"/>
    <s v="No"/>
    <s v="sameer.vengurlekar@amns.in"/>
    <s v="9158895815"/>
    <s v="812346"/>
    <s v="Dhruv Vyas"/>
    <s v="Anil Matoo"/>
    <s v="Praveen Kuruvalli"/>
    <s v="Dhruv Vyas"/>
    <n v="0"/>
  </r>
  <r>
    <n v="3770"/>
    <n v="20055441"/>
    <s v="Bhushan Bhondwe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Sales &amp; Marketing"/>
    <m/>
    <s v="Export"/>
    <s v="Export"/>
    <s v=""/>
    <s v="Non Technical Support"/>
    <s v="Sales &amp; Marketing"/>
    <s v="Sales &amp; Marketing"/>
    <s v="73101001"/>
    <s v="Sales &amp; Marketing"/>
    <s v="Pune"/>
    <d v="1976-03-23T00:00:00"/>
    <s v="47.05"/>
    <d v="2020-11-17T00:00:00"/>
    <d v="2034-03-31T00:00:00"/>
    <m/>
    <d v="2034-03-31T00:00:00"/>
    <n v="3845"/>
    <s v=""/>
    <s v="Master's Equivalent-2000 , Diploma-1997"/>
    <s v="08.05"/>
    <s v="02.10"/>
    <s v="11.03"/>
    <s v="00043882"/>
    <s v="International Sales"/>
    <s v="70495280"/>
    <s v="KAM - Export Sales"/>
    <s v="Pune Facility"/>
    <s v="0035950073"/>
    <s v="Pune - S&amp;D Export"/>
    <s v="2000ESPF"/>
    <s v="20055663"/>
    <s v="Karamath Syed"/>
    <s v="No"/>
    <s v="bhushan.bhondwe@amns.in"/>
    <s v="9158895824"/>
    <s v="812345"/>
    <s v="Dhruv Vyas"/>
    <s v="Anil Matoo"/>
    <s v="Praveen Kuruvalli"/>
    <s v="Dhruv Vyas"/>
    <n v="0"/>
  </r>
  <r>
    <n v="3774"/>
    <n v="20055446"/>
    <s v="Chitrang Rana"/>
    <s v="AM/NS India"/>
    <s v="Onroll"/>
    <s v="M-5"/>
    <n v="5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Services"/>
    <m/>
    <s v="Capex Procurement"/>
    <s v="Capex Procurement"/>
    <s v=""/>
    <s v="Non Technical Support"/>
    <s v="Operations"/>
    <s v="Operations"/>
    <s v="72103001"/>
    <s v="Operations"/>
    <s v="Hazira"/>
    <d v="1974-02-14T00:00:00"/>
    <s v="49.07"/>
    <d v="2020-12-01T00:00:00"/>
    <d v="2032-02-29T00:00:00"/>
    <m/>
    <d v="2032-02-29T00:00:00"/>
    <n v="3084"/>
    <s v="B+"/>
    <s v="BE-1996 , Diploma-1992 , High School-198"/>
    <s v="23.11"/>
    <s v="02.09"/>
    <s v="26.09"/>
    <s v="00049359"/>
    <s v="Capex Services"/>
    <s v="70495292"/>
    <s v="Lead – Capex Services"/>
    <s v="Hazira"/>
    <s v="0031950059"/>
    <s v="HZ-Hazira Project"/>
    <s v="2000HWO"/>
    <s v="20052261"/>
    <s v="Aruni Mishra"/>
    <s v="No"/>
    <s v="chitrang.rana@amns.in"/>
    <s v="9879101778"/>
    <s v="806642"/>
    <s v="Dhruv Vyas"/>
    <s v="Anil Matoo"/>
    <s v="Praveen Kuruvalli"/>
    <s v="Dhruv Vyas"/>
    <n v="0"/>
  </r>
  <r>
    <n v="3775"/>
    <n v="20055447"/>
    <s v="Nirav Pachchigar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Buyer"/>
    <m/>
    <s v="Capex Procurement"/>
    <s v="Capex Procurement"/>
    <s v=""/>
    <s v="Non Technical Support"/>
    <s v="Operations"/>
    <s v="Operations"/>
    <s v="72103001"/>
    <s v="Operations"/>
    <s v="Hazira"/>
    <d v="1980-02-11T00:00:00"/>
    <s v="43.07"/>
    <d v="2020-11-25T00:00:00"/>
    <d v="2038-02-28T00:00:00"/>
    <m/>
    <d v="2038-02-28T00:00:00"/>
    <n v="5275"/>
    <s v="B+"/>
    <s v="PG Diploma-2013 , BE-2001 , High School-"/>
    <s v="19.02"/>
    <s v="02.09"/>
    <s v="21.11"/>
    <s v="70495711"/>
    <s v="Capex Buyer"/>
    <s v="70495286"/>
    <s v="Lead – Capex Buyer"/>
    <s v="Hazira"/>
    <s v="0031950059"/>
    <s v="HZ-Hazira Project"/>
    <s v="2000HWO"/>
    <s v="20055706"/>
    <s v="HimalKumar Madhusudan Sheth"/>
    <s v="No"/>
    <s v="nirav.pachchigar@amns.in"/>
    <s v="6357192763"/>
    <s v="812341"/>
    <s v="Dhruv Vyas"/>
    <s v="Anil Matoo"/>
    <s v="Praveen Kuruvalli"/>
    <s v="Dhruv Vyas"/>
    <n v="0"/>
  </r>
  <r>
    <n v="3778"/>
    <n v="20055451"/>
    <s v="Dhruvang Patel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– Capex Services"/>
    <m/>
    <s v="Capex Procurement"/>
    <s v="Capex Procurement"/>
    <s v=""/>
    <s v="Non Technical Support"/>
    <s v="Operations"/>
    <s v="Operations"/>
    <s v="72103001"/>
    <s v="Operations"/>
    <s v="Hazira"/>
    <d v="1993-05-09T00:00:00"/>
    <s v="30.04"/>
    <d v="2020-11-23T00:00:00"/>
    <d v="2051-05-31T00:00:00"/>
    <m/>
    <d v="2051-05-31T00:00:00"/>
    <n v="10115"/>
    <s v="B+"/>
    <s v="Diploma-2011 , SSLC-2008"/>
    <s v="09.03"/>
    <s v="02.09"/>
    <s v="12.00"/>
    <s v="00049360"/>
    <s v="Capex Services"/>
    <s v="70495293"/>
    <s v="Officer – Capex Services"/>
    <s v="Hazira"/>
    <s v="0031950059"/>
    <s v="HZ-Hazira Project"/>
    <s v="2000HWO"/>
    <s v="20055727"/>
    <s v="Javed Akhtar"/>
    <s v="No"/>
    <s v="dhruvang.patel@amns.in"/>
    <s v="6357192770"/>
    <s v="812340"/>
    <s v="Dhruv Vyas"/>
    <s v="Anil Matoo"/>
    <s v="Praveen Kuruvalli"/>
    <s v="Dhruv Vyas"/>
    <n v="0"/>
  </r>
  <r>
    <n v="3781"/>
    <n v="20055456"/>
    <s v="Vijay Malepu"/>
    <s v="AM/NS India"/>
    <s v="Onroll"/>
    <s v="M-7"/>
    <n v="7"/>
    <m/>
    <s v="MM"/>
    <s v="M"/>
    <s v="Corporate"/>
    <n v="7"/>
    <s v="2069"/>
    <x v="8"/>
    <s v="25.01"/>
    <s v="Bibek Chattopadhyay"/>
    <s v="Ashutosh Telang"/>
    <n v="6"/>
    <s v="HR &amp; Administration"/>
    <s v="Corporate Communications"/>
    <s v="25"/>
    <s v="Sr. Lead - Corporate Communication"/>
    <m/>
    <s v="Corporate Communications"/>
    <s v=""/>
    <s v=""/>
    <s v="Non Technical Support"/>
    <s v="Corporate Communication"/>
    <s v="Corporate Communication"/>
    <s v="74001001"/>
    <s v="Corporate Communication"/>
    <s v="Mumbai"/>
    <d v="1982-03-01T00:00:00"/>
    <s v="41.06"/>
    <d v="2020-12-02T00:00:00"/>
    <d v="2040-02-29T00:00:00"/>
    <m/>
    <d v="2040-02-29T00:00:00"/>
    <n v="6006"/>
    <s v="AB+"/>
    <s v="Master's Equivalent-2016 , Post Diploma"/>
    <s v="13.03"/>
    <s v="02.09"/>
    <s v="16.00"/>
    <s v="70318583"/>
    <s v="Communications &amp; Media Relations"/>
    <s v="70495298"/>
    <s v="Sr. Lead - Corporate Communication"/>
    <s v="Corporate"/>
    <s v="0090000016"/>
    <s v="Corporate Steel - Co"/>
    <s v="2000CS"/>
    <s v="20055187"/>
    <s v="Bibek Chattopadhyay"/>
    <s v="No"/>
    <s v="vijay.malepu@amns.in"/>
    <s v="9833403636"/>
    <s v="814930"/>
    <s v="Dhruv Vyas"/>
    <s v="Anil Matoo"/>
    <s v="Praveen Kuruvalli"/>
    <s v="Dhruv Vyas"/>
    <n v="0"/>
  </r>
  <r>
    <n v="3790"/>
    <n v="20055465"/>
    <s v="Mayank Zora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98-04-08T00:00:00"/>
    <s v="25.05"/>
    <d v="2020-12-28T00:00:00"/>
    <d v="2056-04-30T00:00:00"/>
    <m/>
    <d v="2056-04-30T00:00:00"/>
    <n v="11911"/>
    <s v="AB+"/>
    <s v="Diploma-2016 , SSLC-2013"/>
    <s v=""/>
    <s v="02.08"/>
    <s v="02.08"/>
    <s v="00053277"/>
    <s v="Receipts &amp; Unloading - Plant B"/>
    <s v="70495333"/>
    <s v="Section Officer - Issue/Shifting"/>
    <s v="Hazira"/>
    <s v="0031950049"/>
    <s v="HZ-Central Stores"/>
    <s v="2000HWO"/>
    <s v="20003180"/>
    <s v="Bhikhubhai Ahir"/>
    <s v="No"/>
    <s v="mayank.zora@amns.in"/>
    <s v="9925241193"/>
    <s v="25892"/>
    <s v="Dhruv Vyas"/>
    <s v="Anil Matoo"/>
    <s v="Praveen Kuruvalli"/>
    <s v="Dhruv Vyas"/>
    <n v="0"/>
  </r>
  <r>
    <n v="3806"/>
    <n v="20055483"/>
    <s v="Praveen Kuruvalli"/>
    <s v="AM/NS India"/>
    <s v="Onroll"/>
    <s v="M-2"/>
    <n v="2"/>
    <m/>
    <s v="TM"/>
    <s v="M"/>
    <s v="Corporate"/>
    <n v="7"/>
    <s v="2015"/>
    <x v="1"/>
    <s v="22.06"/>
    <s v="Ashutosh Telang"/>
    <s v="Ashutosh Telang"/>
    <n v="6"/>
    <s v="HR &amp; Administration"/>
    <s v="Human Resources"/>
    <s v="22"/>
    <s v="Head People Strategy &amp; HR COE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Mumbai"/>
    <d v="1980-06-04T00:00:00"/>
    <s v="43.03"/>
    <d v="2021-01-01T00:00:00"/>
    <d v="2040-06-30T00:00:00"/>
    <m/>
    <d v="2040-06-30T00:00:00"/>
    <n v="6128"/>
    <s v="A+"/>
    <s v="MBA-2007 , BTech-2002 , High School-1997"/>
    <s v="16.05"/>
    <s v="02.08"/>
    <s v="19.01"/>
    <s v="70242278"/>
    <s v="People Strategy &amp; HR Center Excellence"/>
    <s v="70495349"/>
    <s v="Head People Strategy &amp; HR COE"/>
    <s v="Confidential Payroll"/>
    <s v="0031950061"/>
    <s v="HZ-Human Resource"/>
    <s v="2000CS"/>
    <s v="20059024"/>
    <s v="Keiji Kubota"/>
    <s v="No"/>
    <s v="praveen.kuruvalli@amns.in"/>
    <s v="9619917060"/>
    <s v="103288"/>
    <s v="Dhruv Vyas"/>
    <s v="Anil Matoo"/>
    <s v="Praveen Kuruvalli"/>
    <s v="Dhruv Vyas"/>
    <n v="0"/>
  </r>
  <r>
    <n v="3809"/>
    <n v="20055486"/>
    <s v="Nilesh Likhite"/>
    <s v="AM/NS India"/>
    <s v="Onroll"/>
    <s v="M-3"/>
    <n v="3"/>
    <m/>
    <s v="SM"/>
    <s v="M"/>
    <s v="Corporate"/>
    <n v="7"/>
    <s v="2014"/>
    <x v="16"/>
    <s v="03.01"/>
    <s v="Dilip Oommen"/>
    <s v="Dilip Oommen"/>
    <n v="1"/>
    <s v="CEO Office"/>
    <s v="Internal Audit"/>
    <s v="03"/>
    <s v="Chief Internal Auditor"/>
    <m/>
    <s v="Internal Audit"/>
    <s v=""/>
    <s v=""/>
    <s v="Non Technical Support"/>
    <s v="Chairman's Secretariat"/>
    <s v="Chairman's Secretariat"/>
    <s v="74701000"/>
    <s v="Chairman's Secretariat"/>
    <s v="Mumbai"/>
    <d v="1970-04-29T00:00:00"/>
    <s v="53.04"/>
    <d v="2021-01-04T00:00:00"/>
    <d v="2028-04-30T00:00:00"/>
    <m/>
    <d v="2028-04-30T00:00:00"/>
    <n v="1684"/>
    <s v="O+"/>
    <s v="Certificate-2010 , Certificate-2007 , Ce"/>
    <s v="26.01"/>
    <s v="02.08"/>
    <s v="28.09"/>
    <s v="70310796"/>
    <s v="Internal Audit"/>
    <s v="70495350"/>
    <s v="Chief Internal Auditor"/>
    <s v="Confidential Payroll"/>
    <s v="0090000035"/>
    <s v="Internal Audit"/>
    <s v="2000CS"/>
    <s v="20055068"/>
    <s v="Dilip Oommen"/>
    <s v="No"/>
    <s v="nilesh.likhite@amns.in"/>
    <s v="9820049811"/>
    <s v="816692"/>
    <s v="Dhruv Vyas"/>
    <s v="Anil Matoo"/>
    <s v="Praveen Kuruvalli"/>
    <s v="Dhruv Vyas"/>
    <n v="0"/>
  </r>
  <r>
    <n v="3814"/>
    <n v="20055493"/>
    <s v="Ramanathan Rajagopalan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EM Sales"/>
    <m/>
    <s v="South"/>
    <s v="Auto"/>
    <s v=""/>
    <s v="Non Technical Support"/>
    <s v="Sales &amp; Marketing"/>
    <s v="Sales"/>
    <s v="73104004"/>
    <s v="OEM Sales"/>
    <s v="Chennai"/>
    <d v="1996-05-24T00:00:00"/>
    <s v="27.03"/>
    <d v="2021-01-01T00:00:00"/>
    <d v="2054-05-31T00:00:00"/>
    <m/>
    <d v="2054-05-31T00:00:00"/>
    <n v="11211"/>
    <s v="A+"/>
    <s v="BE-2017 , Intermediate-2013 , High Schoo"/>
    <s v="03.04"/>
    <s v="02.08"/>
    <s v="06.00"/>
    <s v="00052470"/>
    <s v="Automotive Sales - Chennai"/>
    <s v="70495378"/>
    <s v="Sales Manager"/>
    <s v="Hazira"/>
    <s v="0031950057"/>
    <s v="HZ-HRC - Marketing"/>
    <s v="2000HWO"/>
    <s v="20053562"/>
    <s v="Shankar Murugan"/>
    <s v="No"/>
    <s v="ramanathan.r@amns.in"/>
    <s v="9884923782"/>
    <s v="25496"/>
    <s v="Dhruv Vyas"/>
    <s v="Anil Matoo"/>
    <s v="Praveen Kuruvalli"/>
    <s v="Dhruv Vyas"/>
    <n v="0"/>
  </r>
  <r>
    <n v="3815"/>
    <n v="20055494"/>
    <s v="Vikas Soni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– Direct Taxation"/>
    <m/>
    <s v="Taxation"/>
    <s v="Direct - Taxation"/>
    <s v=""/>
    <s v="Non Technical Support"/>
    <s v="Finance &amp; Accounts"/>
    <s v="Taxation"/>
    <s v="73904001"/>
    <s v="Direct Taxation"/>
    <s v="Mumbai"/>
    <d v="1982-08-03T00:00:00"/>
    <s v="41.01"/>
    <d v="2021-01-08T00:00:00"/>
    <d v="2040-08-31T00:00:00"/>
    <m/>
    <d v="2040-08-31T00:00:00"/>
    <n v="6190"/>
    <s v="O+"/>
    <s v="BCom-2002 , CA Final-2005 , High School-"/>
    <s v="16.06"/>
    <s v="02.08"/>
    <s v="19.01"/>
    <s v="70495368"/>
    <s v="Direct Taxation"/>
    <s v="70495369"/>
    <s v="Head – Direct Taxation"/>
    <s v="Corporate"/>
    <s v="0090000033"/>
    <s v="Corporate Taxation"/>
    <s v="2000CS"/>
    <s v="20055193"/>
    <s v="Anuprita Kaushik Mehta"/>
    <s v="No"/>
    <s v="vikas.soni@amns.in"/>
    <s v="9892668935"/>
    <s v="818985"/>
    <s v="Dhruv Vyas"/>
    <s v="Anil Matoo"/>
    <s v="Praveen Kuruvalli"/>
    <s v="Dhruv Vyas"/>
    <n v="0"/>
  </r>
  <r>
    <n v="3818"/>
    <n v="20055503"/>
    <s v="Gajendra Parihar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– HRC Store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89-12-10T00:00:00"/>
    <s v="33.09"/>
    <d v="2021-01-15T00:00:00"/>
    <d v="2047-12-31T00:00:00"/>
    <m/>
    <d v="2047-12-31T00:00:00"/>
    <n v="8868"/>
    <s v="O+"/>
    <s v="BTech-2013 , Diploma-2009 , SSLC-2006"/>
    <s v="08.08"/>
    <s v="02.08"/>
    <s v="11.03"/>
    <s v="00053278"/>
    <s v="GRN/Documentation/Issue - Plant A"/>
    <s v="70495401"/>
    <s v="Section Officer – HRC Store"/>
    <s v="Hazira"/>
    <s v="0031950049"/>
    <s v="HZ-Central Stores"/>
    <s v="2000HWO"/>
    <s v="20002587"/>
    <s v="Seema Mehta"/>
    <s v="No"/>
    <s v="gajendra.parihar@amns.in"/>
    <s v="7486019908"/>
    <s v="818988"/>
    <s v="Dhruv Vyas"/>
    <s v="Anil Matoo"/>
    <s v="Praveen Kuruvalli"/>
    <s v="Dhruv Vyas"/>
    <n v="0"/>
  </r>
  <r>
    <n v="3819"/>
    <n v="20055504"/>
    <s v="Vivek Choudhary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 – F&amp;A Hypermart &amp; Service Centre"/>
    <m/>
    <s v="Working Capital"/>
    <s v="Service Centers"/>
    <s v=""/>
    <s v="Non Technical Support"/>
    <s v="Finance &amp; Accounts"/>
    <s v="Finance &amp; Accounts"/>
    <s v="73901001"/>
    <s v="Finance &amp; Accounts"/>
    <s v="AM/NS Hazira"/>
    <d v="1991-09-21T00:00:00"/>
    <s v="32.00"/>
    <d v="2021-01-18T00:00:00"/>
    <d v="2049-09-30T00:00:00"/>
    <m/>
    <d v="2049-09-30T00:00:00"/>
    <n v="9507"/>
    <s v="O+"/>
    <s v="MBA-2019 , CA Final-2014 , High School-2"/>
    <s v="06.05"/>
    <s v="02.08"/>
    <s v="09.00"/>
    <s v="70495565"/>
    <s v="F&amp;A Hypermart &amp; Service Centre"/>
    <s v="70495413"/>
    <s v="Head – F&amp;A Hypermart &amp; Service Centre"/>
    <s v="Hazira"/>
    <s v="0040000000"/>
    <s v="SC - Common"/>
    <s v="2000HWO"/>
    <s v="20055188"/>
    <s v="Rohit Sharma"/>
    <s v="No"/>
    <s v="vivek.choudhary@amns.in"/>
    <s v="7486019909"/>
    <s v="818990"/>
    <s v="Dhruv Vyas"/>
    <s v="Anil Matoo"/>
    <s v="Praveen Kuruvalli"/>
    <s v="Dhruv Vyas"/>
    <n v="0"/>
  </r>
  <r>
    <n v="3827"/>
    <n v="20055515"/>
    <s v="Manoj Raut"/>
    <s v="AM/NS India"/>
    <s v="Onroll"/>
    <s v="M-5"/>
    <n v="5"/>
    <m/>
    <s v="MM"/>
    <s v="M"/>
    <s v="Odisha"/>
    <n v="2"/>
    <s v="2039"/>
    <x v="2"/>
    <s v="43.01"/>
    <s v="Sangeeta Munjal"/>
    <s v="Manu Kapoor"/>
    <n v="10"/>
    <s v="Corporate Affairs"/>
    <s v="Corporate Affairs"/>
    <s v="43"/>
    <s v="Sr. Lead - Corporate Affairs"/>
    <m/>
    <s v="Corporate Affairs"/>
    <s v="Corporate Affairs"/>
    <s v="Corporate Affairs"/>
    <s v="Non Technical Support"/>
    <s v="Corporate Relations"/>
    <s v="Corporate Affairs"/>
    <s v="74501001"/>
    <s v="Corporate Affairs"/>
    <s v="Bhubaneswar"/>
    <d v="1974-07-13T00:00:00"/>
    <s v="49.02"/>
    <d v="2021-01-30T00:00:00"/>
    <d v="2032-07-31T00:00:00"/>
    <m/>
    <d v="2032-07-31T00:00:00"/>
    <n v="3237"/>
    <s v="O-"/>
    <s v="BE-2005 , Diploma-1997 , High School-198"/>
    <s v=""/>
    <s v="02.07"/>
    <s v="02.07"/>
    <s v="70495564"/>
    <s v="Corporate Affairs - Odisha"/>
    <s v="70495454"/>
    <s v="Sr. Lead Corporate Affairs"/>
    <s v="Odisha"/>
    <s v="0022030019"/>
    <s v="PDP-HR &amp; Admn"/>
    <s v="2000STORIS"/>
    <s v="20056422"/>
    <s v="Suparna Nanda"/>
    <s v="No"/>
    <s v="manoj.raut@amns.in"/>
    <s v="7682814750"/>
    <s v="819629"/>
    <s v="Sunila Das"/>
    <s v="Anil Matoo"/>
    <s v="Praveen Kuruvalli"/>
    <s v="Sunila Das"/>
    <n v="0"/>
  </r>
  <r>
    <n v="3829"/>
    <n v="20055517"/>
    <s v="Diptakshya Banerjee"/>
    <s v="AM/NS India"/>
    <s v="Onroll"/>
    <s v="M-7"/>
    <n v="7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Lead - Procurement &amp; Stores"/>
    <m/>
    <s v="Procurement"/>
    <s v="Procurement"/>
    <s v=""/>
    <s v="Non Technical Support"/>
    <s v="Commercial"/>
    <s v="Purchase"/>
    <s v="73804001"/>
    <s v="Purchase"/>
    <s v="Paradeep"/>
    <d v="1984-10-17T00:00:00"/>
    <s v="38.11"/>
    <d v="2021-01-30T00:00:00"/>
    <d v="2042-10-31T00:00:00"/>
    <m/>
    <d v="2042-10-31T00:00:00"/>
    <n v="6981"/>
    <s v="A+"/>
    <s v="MBA-2010 , BCom-2007 , Intermediate-2004"/>
    <s v=""/>
    <s v="02.07"/>
    <s v="02.07"/>
    <s v="70407583"/>
    <s v="Procurement - Odisha Asset"/>
    <s v="70495456"/>
    <s v="Lead - Procurement &amp; Stores"/>
    <s v="Odisha"/>
    <s v="0022030019"/>
    <s v="PDP-HR &amp; Admn"/>
    <s v="2000STORIS"/>
    <s v="20055692"/>
    <s v="Rajiv Ranjan"/>
    <s v="No"/>
    <s v="diptakshya.banerjee@amns.in"/>
    <s v="8718809224"/>
    <s v="819631"/>
    <s v="Sunila Das"/>
    <s v="Anil Matoo"/>
    <s v="Praveen Kuruvalli"/>
    <s v="Sunila Das"/>
    <n v="0"/>
  </r>
  <r>
    <n v="3836"/>
    <n v="20055527"/>
    <s v="Agnikant Mishra"/>
    <s v="AM/NS India"/>
    <s v="Onroll"/>
    <s v="M-7"/>
    <n v="7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Finance &amp; Accounts"/>
    <m/>
    <s v="Odisha Operations"/>
    <s v=""/>
    <s v=""/>
    <s v="Non Technical Support"/>
    <s v="Finance &amp; Accounts"/>
    <s v="Finance &amp; Accounts"/>
    <s v="73901001"/>
    <s v="Finance &amp; Accounts"/>
    <s v="Dabuna"/>
    <d v="1967-12-18T00:00:00"/>
    <s v="55.09"/>
    <d v="2021-01-30T00:00:00"/>
    <d v="2025-12-31T00:00:00"/>
    <m/>
    <d v="2025-12-31T00:00:00"/>
    <n v="833"/>
    <s v="B+"/>
    <s v="ICWA Final-1998 , High School-1984"/>
    <s v=""/>
    <s v="02.07"/>
    <s v="02.07"/>
    <s v="72150243"/>
    <s v="Accounts Payable"/>
    <s v="70495466"/>
    <s v="Lead Finance &amp; Accounts"/>
    <s v="Odisha"/>
    <s v="0022030019"/>
    <s v="PDP-HR &amp; Admn"/>
    <s v="2000STORIS"/>
    <s v="20001076"/>
    <s v="Bhavesh Modi"/>
    <s v="No"/>
    <s v="agnikant.mishra@amns.in"/>
    <s v="7077718332"/>
    <s v="819641"/>
    <s v="Sunila Das"/>
    <s v="Anil Matoo"/>
    <s v="Praveen Kuruvalli"/>
    <s v="Sunila Das"/>
    <n v="0"/>
  </r>
  <r>
    <n v="3863"/>
    <n v="20055561"/>
    <s v="Rahul Sahu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 Refractory"/>
    <m/>
    <s v="Procurement MRO Hazira"/>
    <s v="Procurement"/>
    <s v=""/>
    <s v="Non Technical Support"/>
    <s v="Commercial"/>
    <s v="Procurement"/>
    <s v="73803001"/>
    <s v="Procurement"/>
    <s v="AM/NS Hazira"/>
    <d v="1985-04-07T00:00:00"/>
    <s v="38.05"/>
    <d v="2021-01-29T00:00:00"/>
    <d v="2043-04-30T00:00:00"/>
    <m/>
    <d v="2043-04-30T00:00:00"/>
    <n v="7162"/>
    <s v="A+"/>
    <s v="PG Diploma-2019 , PG Diploma-2011 , BE-2"/>
    <s v="13.00"/>
    <s v="02.07"/>
    <s v="15.08"/>
    <s v="00044543"/>
    <s v="Procurement -Refractory"/>
    <s v="70495552"/>
    <s v="Lead - Pro Refractory"/>
    <s v="Hazira"/>
    <s v="0031950048"/>
    <s v="HZ-Procurment Depart"/>
    <s v="2000HWO"/>
    <s v="20008647"/>
    <s v="Alpesh Hirpara"/>
    <s v="No"/>
    <s v="rahul.sahu@amns.in"/>
    <s v="7486019925"/>
    <s v="819619"/>
    <s v="Dhruv Vyas"/>
    <s v="Anil Matoo"/>
    <s v="Praveen Kuruvalli"/>
    <s v="Dhruv Vyas"/>
    <n v="0"/>
  </r>
  <r>
    <n v="3881"/>
    <n v="20055590"/>
    <s v="Mehul Thakkar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Performance Management"/>
    <m/>
    <s v="Capex Finance"/>
    <s v="Capex Finance"/>
    <s v=""/>
    <s v="Non Technical Support"/>
    <s v="Finance &amp; Accounts"/>
    <s v="Costing"/>
    <s v="73906001"/>
    <s v="Costing"/>
    <s v="AM/NS Hazira"/>
    <d v="1993-08-19T00:00:00"/>
    <s v="30.01"/>
    <d v="2021-03-16T00:00:00"/>
    <d v="2051-08-31T00:00:00"/>
    <m/>
    <d v="2051-08-31T00:00:00"/>
    <n v="10207"/>
    <s v="B+"/>
    <s v="CA Final-2015 , BCom-2013 , Intermediate"/>
    <s v="05.10"/>
    <s v="02.06"/>
    <s v="08.04"/>
    <s v="00045912"/>
    <s v="Capex - Finance"/>
    <s v="70495618"/>
    <s v="Lead – Performance Management"/>
    <s v="Hazira"/>
    <s v="0090000038"/>
    <s v="CAPEX FINANCE"/>
    <s v="2000HWO"/>
    <s v="20055143"/>
    <s v="Naoki Shimazaki"/>
    <s v="No"/>
    <s v="mehul.thakkar@amns.in"/>
    <s v="7486036179"/>
    <s v="826411"/>
    <s v="Dhruv Vyas"/>
    <s v="Anil Matoo"/>
    <s v="Praveen Kuruvalli"/>
    <s v="Dhruv Vyas"/>
    <n v="0"/>
  </r>
  <r>
    <n v="3882"/>
    <n v="20055591"/>
    <s v="Amol Gaurkar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HSM &amp; CSP MIS"/>
    <m/>
    <s v="Procurement MRO Hazira"/>
    <s v="Procurement"/>
    <s v=""/>
    <s v="Non Technical Support"/>
    <s v="Commercial"/>
    <s v="Procurement"/>
    <s v="73803001"/>
    <s v="Procurement"/>
    <s v="AM/NS Hazira"/>
    <d v="1985-05-27T00:00:00"/>
    <s v="38.03"/>
    <d v="2021-03-22T00:00:00"/>
    <d v="2043-05-31T00:00:00"/>
    <m/>
    <d v="2043-05-31T00:00:00"/>
    <n v="7193"/>
    <s v="B+"/>
    <s v="Certificate-2013 , Post Diploma Course-2"/>
    <s v="12.11"/>
    <s v="02.06"/>
    <s v="15.04"/>
    <s v="70072410"/>
    <s v="Rolling &amp; Finishing including CRM, Plate"/>
    <s v="70495621"/>
    <s v="Lead – Proc HSM &amp; CSP MIS"/>
    <s v="Hazira"/>
    <s v="0031950048"/>
    <s v="HZ-Procurment Depart"/>
    <s v="2000HWO"/>
    <s v="20002323"/>
    <s v="Balaji Somvanshi"/>
    <s v="No"/>
    <s v="amol.gaurkar@amns.in"/>
    <s v="7486036183"/>
    <s v="827588"/>
    <s v="Dhruv Vyas"/>
    <s v="Anil Matoo"/>
    <s v="Praveen Kuruvalli"/>
    <s v="Dhruv Vyas"/>
    <n v="0"/>
  </r>
  <r>
    <n v="3883"/>
    <n v="20055592"/>
    <s v="Nisha Jotwani"/>
    <s v="AM/NS India"/>
    <s v="Onroll"/>
    <s v="M-6"/>
    <n v="6"/>
    <m/>
    <s v="MM"/>
    <s v="F"/>
    <s v="Hazira"/>
    <n v="1"/>
    <s v="2270"/>
    <x v="25"/>
    <s v="38.01"/>
    <s v="Hrishikesh Kamat"/>
    <s v="Hrishikesh Kamat"/>
    <n v="7"/>
    <s v="Procurement"/>
    <s v="Logistics"/>
    <s v="38"/>
    <s v="Sr. Lead – Container Business"/>
    <m/>
    <s v="Logistics"/>
    <s v="Logistics"/>
    <s v=""/>
    <s v="Non Technical Support"/>
    <s v="Commercial"/>
    <s v="Procurement"/>
    <s v="73803001"/>
    <s v="Procurement"/>
    <s v="AM/NS Hazira"/>
    <d v="1971-09-08T00:00:00"/>
    <s v="52.00"/>
    <d v="2021-03-21T00:00:00"/>
    <d v="2029-09-30T00:00:00"/>
    <m/>
    <d v="2029-09-30T00:00:00"/>
    <n v="2202"/>
    <s v="B+"/>
    <s v="PG Diploma-1999 , BCom-1992 , Intermedia"/>
    <s v="10.06"/>
    <s v="02.06"/>
    <s v="13.00"/>
    <s v="70495712"/>
    <s v="Logistics"/>
    <s v="70495622"/>
    <s v="Sr. Lead – Container Business"/>
    <s v="Hazira"/>
    <s v="0031950053"/>
    <s v="HZ-Logistics"/>
    <s v="2000HWO"/>
    <s v="20055688"/>
    <s v="Vibhavana Jaiswal"/>
    <s v="No"/>
    <s v="nisha.jotwani@amns.in"/>
    <s v="9879103138"/>
    <s v="827587"/>
    <s v="Dhruv Vyas"/>
    <s v="Anil Matoo"/>
    <s v="Praveen Kuruvalli"/>
    <s v="Dhruv Vyas"/>
    <n v="0"/>
  </r>
  <r>
    <n v="3889"/>
    <n v="20055601"/>
    <s v="Dipankar Pati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r. Lead  - Proc Ferro Alloys"/>
    <m/>
    <s v="Procurement MRO Hazira"/>
    <s v="Procurement"/>
    <s v=""/>
    <s v="Non Technical Support"/>
    <s v="Operations"/>
    <s v="Plant Maintenance"/>
    <s v="72103008"/>
    <s v="Mechanical Maintenance"/>
    <s v="AM/NS Hazira"/>
    <d v="1984-05-02T00:00:00"/>
    <s v="39.04"/>
    <d v="2021-03-30T00:00:00"/>
    <d v="2042-05-31T00:00:00"/>
    <m/>
    <d v="2042-05-31T00:00:00"/>
    <n v="6828"/>
    <s v="O+"/>
    <s v="BE-2006 , Intermediate-2001 , SSLC-1999"/>
    <s v="14.08"/>
    <s v="02.05"/>
    <s v="17.02"/>
    <s v="00044542"/>
    <s v="Procurement -Ferroalloys"/>
    <s v="70495663"/>
    <s v="Sr. Lead  - Proc Ferro Alloys"/>
    <s v="Hazira"/>
    <s v="0031950048"/>
    <s v="HZ-Procurment Depart"/>
    <s v="2000HWO"/>
    <s v="20001370"/>
    <s v="Tejas Desai"/>
    <s v="No"/>
    <s v="dipankar.pati@amns.in"/>
    <s v="9938250251"/>
    <s v="828737"/>
    <s v="Dhruv Vyas"/>
    <s v="Anil Matoo"/>
    <s v="Praveen Kuruvalli"/>
    <s v="Dhruv Vyas"/>
    <n v="0"/>
  </r>
  <r>
    <n v="3892"/>
    <n v="20055609"/>
    <s v="Santosh Shankar Tandale"/>
    <s v="AM/NS India"/>
    <s v="Onroll"/>
    <s v="M-7"/>
    <n v="7"/>
    <m/>
    <s v="MM"/>
    <s v="M"/>
    <s v="Hazira"/>
    <n v="1"/>
    <s v="2715"/>
    <x v="13"/>
    <s v="37.01"/>
    <s v="Aruni Mishra"/>
    <s v="Hrishikesh Kamat"/>
    <n v="7"/>
    <s v="Procurement"/>
    <s v="Secondary Sales"/>
    <s v="37"/>
    <s v="Lead - by Product Sales"/>
    <m/>
    <s v="Secondary Sales, Non Steel"/>
    <s v="Secondary Sales, Non Steel"/>
    <s v=""/>
    <s v="Non Technical Support"/>
    <s v="Operations"/>
    <s v="Operations"/>
    <s v="72103001"/>
    <s v="Operations"/>
    <s v="Hazira"/>
    <d v="1986-12-25T00:00:00"/>
    <s v="36.08"/>
    <d v="2021-04-14T00:00:00"/>
    <d v="2044-12-31T00:00:00"/>
    <m/>
    <d v="2044-12-31T00:00:00"/>
    <n v="7773"/>
    <s v="O+"/>
    <s v="MBA-2015 , BCom-2007 , Intermediate-2004"/>
    <s v="14.00"/>
    <s v="02.05"/>
    <s v="16.05"/>
    <s v="00049357"/>
    <s v="Secondary Sales"/>
    <s v="70495667"/>
    <s v="Lead - by Product Sales"/>
    <s v="Hazira"/>
    <s v="0080000006"/>
    <s v="Secondary Sales - In"/>
    <s v="2000HWO"/>
    <s v="20055763"/>
    <s v="Debashis Mohapatra"/>
    <s v="No"/>
    <s v="santosh.tandale@amns.in"/>
    <s v="9881009973"/>
    <s v="831583"/>
    <s v="Dhruv Vyas"/>
    <s v="Anil Matoo"/>
    <s v="Praveen Kuruvalli"/>
    <s v="Dhruv Vyas"/>
    <n v="0"/>
  </r>
  <r>
    <n v="3894"/>
    <n v="20055611"/>
    <s v="Sunila Kumar Das"/>
    <s v="AM/NS India"/>
    <s v="Onroll"/>
    <s v="M-6"/>
    <n v="6"/>
    <m/>
    <s v="MM"/>
    <s v="M"/>
    <s v="Odisha"/>
    <n v="2"/>
    <s v="2015"/>
    <x v="1"/>
    <s v="22.06"/>
    <s v="Anil Matoo"/>
    <s v="Ashutosh Telang"/>
    <n v="6"/>
    <s v="HR &amp; Administration"/>
    <s v="Human Resources"/>
    <s v="22"/>
    <s v="Head Human Resources"/>
    <m/>
    <s v="Human Resources"/>
    <s v=""/>
    <s v=""/>
    <s v="Non Technical Support"/>
    <s v="Human Resources Management"/>
    <s v="Human Resources Management"/>
    <s v="73501001"/>
    <s v="Human Resources"/>
    <s v="Paradeep"/>
    <d v="1978-06-22T00:00:00"/>
    <s v="45.03"/>
    <d v="2021-04-15T00:00:00"/>
    <d v="2036-06-30T00:00:00"/>
    <m/>
    <d v="2036-06-30T00:00:00"/>
    <n v="4667"/>
    <s v="O+"/>
    <s v="MA-2004 , BA-2002 , Intermediate-1995 ,"/>
    <s v="06.03"/>
    <s v="02.05"/>
    <s v="08.08"/>
    <s v="70495430"/>
    <s v="Odisha HR Operations"/>
    <s v="70495669"/>
    <s v="Head Human Resources"/>
    <s v="Odisha"/>
    <s v="0022030019"/>
    <s v="PDP-HR &amp; Admn"/>
    <s v="2000STORIS"/>
    <s v="20000083"/>
    <s v="Anil Matoo"/>
    <s v="No"/>
    <s v="sunila.das@amns.in"/>
    <s v="9040066834"/>
    <s v="831585"/>
    <s v="Sunila Das"/>
    <s v="Anil Matoo"/>
    <s v="Praveen Kuruvalli"/>
    <s v="Sunila Das"/>
    <n v="0"/>
  </r>
  <r>
    <n v="3937"/>
    <n v="20055659"/>
    <s v="Quazi Shahzad"/>
    <s v="AM/NS Middle East FZE"/>
    <s v="Onroll"/>
    <s v="M-6"/>
    <n v="6"/>
    <m/>
    <s v="MM"/>
    <s v="M"/>
    <s v="Dubai"/>
    <n v="10"/>
    <s v="2502"/>
    <x v="10"/>
    <s v="14.01"/>
    <s v="Ranjan Dhar"/>
    <s v="Alain Legrix De La Salle"/>
    <n v="3"/>
    <s v="Sales &amp; Marketing"/>
    <s v="Sales &amp; Marketing"/>
    <s v="14"/>
    <s v="Dy. General Manager - Sales &amp; Marketing"/>
    <m/>
    <s v="Sales ME"/>
    <s v="Sales ME"/>
    <s v=""/>
    <s v=""/>
    <s v="Sales &amp; Marketing"/>
    <s v="Sales &amp; Marketing"/>
    <s v="73101001"/>
    <s v="Sales &amp; Marketing"/>
    <s v="Dubai"/>
    <d v="1972-11-10T00:00:00"/>
    <s v="50.10"/>
    <d v="2011-01-18T00:00:00"/>
    <d v="2030-11-30T00:00:00"/>
    <m/>
    <d v="2030-11-30T00:00:00"/>
    <n v="2628"/>
    <s v="AB+"/>
    <s v="MBA-1998 , BE-1996"/>
    <s v="13.01"/>
    <s v="12.08"/>
    <s v="25.09"/>
    <s v="70495379"/>
    <s v="Chief Marketing Officer - AMNS ME FZE"/>
    <s v="70495719"/>
    <s v="Sr. Lead Sales ME"/>
    <s v="AMNS Middle East FZE"/>
    <s v="0093720082"/>
    <s v="SC-Dubai-Marketing"/>
    <s v="DUBA2081"/>
    <s v="20055663"/>
    <s v="Karamath Syed"/>
    <s v="No"/>
    <s v="shahzad.quazi@amns.in"/>
    <s v="971566556275"/>
    <s v="25045"/>
    <s v="Dhruv Vyas"/>
    <s v="Anil Matoo"/>
    <s v="Praveen Kuruvalli"/>
    <n v="0"/>
    <n v="0"/>
  </r>
  <r>
    <n v="3938"/>
    <n v="20055660"/>
    <s v="Mohammed Rasheed"/>
    <s v="AM/NS Middle East FZE"/>
    <s v="Onroll"/>
    <s v="M-9"/>
    <n v="9"/>
    <m/>
    <s v="JM"/>
    <s v="M"/>
    <s v="Dubai"/>
    <n v="10"/>
    <m/>
    <x v="10"/>
    <s v="25.01"/>
    <s v="Bibek Chattopadhyay"/>
    <s v="Ashutosh Telang"/>
    <n v="6"/>
    <s v="HR &amp; Administration"/>
    <s v="Corporate Communications"/>
    <s v="25"/>
    <s v="Sales Planning"/>
    <m/>
    <m/>
    <m/>
    <m/>
    <s v="Non Technical Support"/>
    <s v="Sales &amp; Marketing"/>
    <s v="Sales &amp; Marketing"/>
    <s v="73101001"/>
    <s v="Sales &amp; Marketing"/>
    <s v="Dubai"/>
    <d v="1979-12-26T00:00:00"/>
    <s v="43.08"/>
    <d v="2010-03-06T00:00:00"/>
    <d v="2037-12-31T00:00:00"/>
    <m/>
    <d v="2037-12-31T00:00:00"/>
    <n v="5216"/>
    <s v="O+"/>
    <s v="Bachelor Equivalent-2016"/>
    <s v="03.00"/>
    <s v="13.06"/>
    <s v="16.06"/>
    <s v="70495379"/>
    <s v="Chief Marketing Officer - AMNS ME FZE"/>
    <s v="70495720"/>
    <s v="Lead - Sales Planning ME"/>
    <s v="AMNS Middle East FZE"/>
    <s v="0093720082"/>
    <s v="SC-Dubai-Marketing"/>
    <s v="DUBA2081"/>
    <s v="20055663"/>
    <s v="Karamath Syed"/>
    <s v="No"/>
    <s v="rasheed.mohamed@amns.in"/>
    <s v="971507422862"/>
    <s v="25044"/>
    <s v="Dhruv Vyas"/>
    <s v="Anil Matoo"/>
    <s v="Praveen Kuruvalli"/>
    <s v="Dhruv Vyas"/>
    <n v="0"/>
  </r>
  <r>
    <n v="3939"/>
    <n v="20055661"/>
    <s v="Vijay Upadhyay"/>
    <s v="AM/NS Middle East FZE"/>
    <s v="Onroll"/>
    <s v="M-7"/>
    <n v="7"/>
    <m/>
    <s v="MM"/>
    <s v="M"/>
    <s v="Dubai"/>
    <n v="10"/>
    <s v="2504"/>
    <x v="0"/>
    <s v="20.01"/>
    <s v="Akiyo Omori"/>
    <s v="Amit Harlalka"/>
    <n v="5"/>
    <s v="Finance &amp; Accounts"/>
    <s v="Finance &amp; Accounts"/>
    <s v="20"/>
    <s v="Sr. Lead - Finance &amp; Accounts"/>
    <m/>
    <s v=""/>
    <s v=""/>
    <s v=""/>
    <s v="Non Technical Support"/>
    <s v="Sales &amp; Marketing"/>
    <s v="Sales &amp; Marketing"/>
    <s v="73101001"/>
    <s v="Sales &amp; Marketing"/>
    <s v="Dubai"/>
    <d v="1974-09-20T00:00:00"/>
    <s v="49.00"/>
    <d v="2014-08-11T00:00:00"/>
    <d v="2032-09-30T00:00:00"/>
    <m/>
    <d v="2032-09-30T00:00:00"/>
    <n v="3298"/>
    <s v="B+"/>
    <s v="CA Final-1998 , BCom-1994"/>
    <s v="11.11"/>
    <s v="09.01"/>
    <s v="21.00"/>
    <s v="70495379"/>
    <s v="Chief Marketing Officer - AMNS ME FZE"/>
    <s v="70495721"/>
    <s v="Sr. Lead - Finance &amp; Accounts"/>
    <s v="AMNS Middle East FZE"/>
    <s v="0093720082"/>
    <s v="SC-Dubai-Marketing"/>
    <s v="DUBA2081"/>
    <s v="20055663"/>
    <s v="Karamath Syed"/>
    <s v="No"/>
    <s v="vijay.upadhyay@amns.in"/>
    <s v="+971 506581757"/>
    <s v="25047"/>
    <s v="Dhruv Vyas"/>
    <s v="Anil Matoo"/>
    <s v="Praveen Kuruvalli"/>
    <s v="Dhruv Vyas"/>
    <n v="0"/>
  </r>
  <r>
    <n v="3947"/>
    <n v="20055672"/>
    <s v="Shailja Tripathi"/>
    <s v="AM/NS India"/>
    <s v="Onroll"/>
    <s v="M-5"/>
    <n v="5"/>
    <m/>
    <s v="MM"/>
    <s v="F"/>
    <s v="Corporate"/>
    <n v="7"/>
    <s v="2015"/>
    <x v="1"/>
    <s v="22.06"/>
    <s v="Praveen Kuruvalli"/>
    <s v="Ashutosh Telang"/>
    <n v="6"/>
    <s v="HR &amp; Administration"/>
    <s v="Human Resources"/>
    <s v="22"/>
    <s v="Sr. Lead - Compensation &amp; Benefits"/>
    <m/>
    <s v="Human Resources"/>
    <s v=""/>
    <s v=""/>
    <s v="Non Technical Support"/>
    <s v="Human Resources Management"/>
    <s v="Human Resources Management"/>
    <s v="73501001"/>
    <s v="Human Resources"/>
    <s v="Mumbai"/>
    <d v="1983-12-25T00:00:00"/>
    <s v="39.08"/>
    <d v="2021-05-04T00:00:00"/>
    <d v="2041-12-31T00:00:00"/>
    <m/>
    <d v="2041-12-31T00:00:00"/>
    <n v="6677"/>
    <s v="B+"/>
    <s v="PG Diploma in Management-2007 , BE-2005"/>
    <s v="11.00"/>
    <s v="02.04"/>
    <s v="13.04"/>
    <s v="00044377"/>
    <s v="Compensation &amp; Benefits"/>
    <s v="70495735"/>
    <s v="Sr. Lead - Compensation &amp; Benefits"/>
    <s v="Corporate"/>
    <s v="0031950061"/>
    <s v="HZ-Human Resource"/>
    <s v="2000CS"/>
    <s v="20055483"/>
    <s v="Praveen Kuruvalli"/>
    <s v="No"/>
    <s v="shailja.tripathi@amns.in"/>
    <s v="9650975511"/>
    <s v="834807"/>
    <s v="Dhruv Vyas"/>
    <s v="Anil Matoo"/>
    <s v="Praveen Kuruvalli"/>
    <s v="Dhruv Vyas"/>
    <n v="0"/>
  </r>
  <r>
    <n v="3951"/>
    <n v="20055678"/>
    <s v="Ashish Kaushik"/>
    <s v="AM/NS India"/>
    <s v="Onroll"/>
    <s v="M-7"/>
    <n v="7"/>
    <m/>
    <s v="MM"/>
    <s v="M"/>
    <s v="Corporate"/>
    <n v="7"/>
    <s v="2069"/>
    <x v="8"/>
    <s v="25.01"/>
    <s v="Bibek Chattopadhyay"/>
    <s v="Ashutosh Telang"/>
    <n v="6"/>
    <s v="HR &amp; Administration"/>
    <s v="Corporate Communications"/>
    <s v="25"/>
    <s v="Lead - Corporate Communication"/>
    <m/>
    <s v="Corporate Communications"/>
    <s v=""/>
    <s v=""/>
    <s v="Non Technical Support"/>
    <s v="Corporate Communication"/>
    <s v="Corporate Communication"/>
    <s v="74001001"/>
    <s v="Corporate Communication"/>
    <s v="Mumbai"/>
    <d v="1992-03-20T00:00:00"/>
    <s v="31.06"/>
    <d v="2021-05-03T00:00:00"/>
    <d v="2050-03-31T00:00:00"/>
    <m/>
    <d v="2050-03-31T00:00:00"/>
    <n v="9689"/>
    <s v="O+"/>
    <s v="MBA-2016 , BE-2014 , Intermediate-2009 ,"/>
    <s v="04.11"/>
    <s v="02.04"/>
    <s v="07.03"/>
    <s v="70318583"/>
    <s v="Communications &amp; Media Relations"/>
    <s v="70494528"/>
    <s v="Lead - Corporate Communications"/>
    <s v="Corporate"/>
    <s v="0090000016"/>
    <s v="Corporate Steel - Co"/>
    <s v="2000CS"/>
    <s v="20055187"/>
    <s v="Bibek Chattopadhyay"/>
    <s v="No"/>
    <s v="ashish.kaushik@amns.in"/>
    <s v="8800781166"/>
    <s v="832731"/>
    <s v="Dhruv Vyas"/>
    <s v="Anil Matoo"/>
    <s v="Praveen Kuruvalli"/>
    <s v="Dhruv Vyas"/>
    <n v="0"/>
  </r>
  <r>
    <n v="3954"/>
    <n v="20055682"/>
    <s v="Umashankar Rao"/>
    <s v="AM/NS India"/>
    <s v="Onroll"/>
    <s v="M-7"/>
    <n v="7"/>
    <m/>
    <s v="MM"/>
    <s v="M"/>
    <s v="Corporate"/>
    <n v="7"/>
    <s v="2043"/>
    <x v="3"/>
    <s v="31.01"/>
    <s v="Hrishikesh Kamat"/>
    <s v="Hrishikesh Kamat"/>
    <n v="7"/>
    <s v="Procurement"/>
    <s v="Procurement"/>
    <s v="31"/>
    <s v="Program Manager – Procurement"/>
    <m/>
    <s v="Procurement"/>
    <s v="Procurement"/>
    <s v=""/>
    <s v="Non Technical Support"/>
    <s v="Commercial"/>
    <s v="Procurement"/>
    <s v="73803001"/>
    <s v="Procurement"/>
    <s v="Mumbai"/>
    <d v="1986-10-10T00:00:00"/>
    <s v="36.11"/>
    <d v="2021-05-05T00:00:00"/>
    <d v="2044-10-31T00:00:00"/>
    <m/>
    <d v="2044-10-31T00:00:00"/>
    <n v="7712"/>
    <s v="A+"/>
    <s v="BTech-2008 , Intermediate-2003 , SSLC-20"/>
    <s v="16.03"/>
    <s v="02.04"/>
    <s v="18.07"/>
    <s v="00045894"/>
    <s v="Blacks"/>
    <s v="70495741"/>
    <s v="Program Manager – Procurement"/>
    <s v="Corporate"/>
    <s v="0031950059"/>
    <s v="HZ-Hazira Project"/>
    <s v="2000CS"/>
    <s v="20001577"/>
    <s v="Prakash Thakur"/>
    <s v="No"/>
    <s v="umashankar.rao@amns.in"/>
    <s v="7898336863"/>
    <s v="834844"/>
    <s v="Dhruv Vyas"/>
    <s v="Anil Matoo"/>
    <s v="Praveen Kuruvalli"/>
    <s v="Dhruv Vyas"/>
    <n v="0"/>
  </r>
  <r>
    <n v="3955"/>
    <n v="20055683"/>
    <s v="Ch.M.V.S.N. Durga Prasad"/>
    <s v="AM/NS India"/>
    <s v="Onroll"/>
    <s v="M-9"/>
    <n v="9"/>
    <m/>
    <s v="JM"/>
    <s v="M"/>
    <s v="Vizag"/>
    <n v="3"/>
    <s v="2013"/>
    <x v="0"/>
    <s v="20.01"/>
    <s v="Akiyo Omori"/>
    <s v="Amit Harlalka"/>
    <n v="5"/>
    <s v="Finance &amp; Accounts"/>
    <s v="Finance &amp; Accounts"/>
    <s v="20"/>
    <s v="Officer Costing, Budgeting &amp; MIS"/>
    <m/>
    <s v="Finance &amp; Accounts - Vizag"/>
    <s v="Finance &amp; Accounts"/>
    <s v=""/>
    <s v="Non Technical Support"/>
    <s v="Finance &amp; Accounts"/>
    <s v="Costing"/>
    <s v="73906001"/>
    <s v="Costing"/>
    <s v="Vizag"/>
    <d v="1989-07-07T00:00:00"/>
    <s v="34.02"/>
    <d v="2021-05-07T00:00:00"/>
    <d v="2047-07-31T00:00:00"/>
    <m/>
    <d v="2047-07-31T00:00:00"/>
    <n v="8715"/>
    <s v="O+"/>
    <s v="BCom-2013 , CA Final-2013 , CA Inter-201"/>
    <s v="09.01"/>
    <s v="02.04"/>
    <s v="11.05"/>
    <s v="70413458"/>
    <s v="Costing, Budgeting &amp; IDT"/>
    <s v="70495742"/>
    <s v="Officer Costing, Budgeting &amp; MIS"/>
    <s v="Vizag"/>
    <s v="0028030019"/>
    <s v="VIZ-Personnel &amp; Admi"/>
    <s v="2000VIZOPS"/>
    <s v="20006862"/>
    <s v="D Niranjan Patro"/>
    <s v="No"/>
    <s v="mvsn.durgaprasad@amns.in"/>
    <s v="9154869119"/>
    <s v="834827"/>
    <s v="DS Varma"/>
    <s v="Anil Matoo"/>
    <s v="Praveen Kuruvalli"/>
    <s v="Dhruv Vyas"/>
    <n v="0"/>
  </r>
  <r>
    <n v="3958"/>
    <n v="20055687"/>
    <s v="Prateek Singh"/>
    <s v="AM/NS India"/>
    <s v="Onroll"/>
    <s v="M-8"/>
    <n v="8"/>
    <m/>
    <s v="JM"/>
    <s v="M"/>
    <s v="Vizag"/>
    <n v="3"/>
    <s v="2039"/>
    <x v="2"/>
    <s v="43.01"/>
    <s v="Sangeeta Munjal"/>
    <s v="Manu Kapoor"/>
    <n v="10"/>
    <s v="Corporate Affairs"/>
    <s v="Corporate Affairs"/>
    <s v="43"/>
    <s v="Lead – Corporate Affairs"/>
    <m/>
    <s v="Corporate Affairs"/>
    <s v=""/>
    <s v=""/>
    <s v="Non Technical Support"/>
    <s v="Corporate Relations"/>
    <s v="Corporate Affairs"/>
    <s v="74501001"/>
    <s v="Corporate Affairs"/>
    <s v="Raipur"/>
    <d v="1988-02-20T00:00:00"/>
    <s v="35.06"/>
    <d v="2021-05-06T00:00:00"/>
    <d v="2046-02-28T00:00:00"/>
    <m/>
    <d v="2046-02-28T00:00:00"/>
    <n v="8197"/>
    <s v="B+"/>
    <s v="Bachelor Equivalent-2010 , Intermediate-"/>
    <s v="04.08"/>
    <s v="02.04"/>
    <s v="07.00"/>
    <s v="70494938"/>
    <s v="Corporate Affairs"/>
    <s v="70495746"/>
    <s v="Lead – Corporate Affairs"/>
    <s v="Vizag"/>
    <s v="0028030019"/>
    <s v="VIZ-Personnel &amp; Admi"/>
    <s v="2000VIZOPS"/>
    <s v="20057928"/>
    <s v="Manu Kapoor"/>
    <s v="No"/>
    <s v="prateek.singh@amns.in"/>
    <s v="8447748668"/>
    <s v="832732"/>
    <s v="DS Varma"/>
    <s v="Anil Matoo"/>
    <s v="Praveen Kuruvalli"/>
    <s v="Dhruv Vyas"/>
    <n v="0"/>
  </r>
  <r>
    <n v="3959"/>
    <n v="20055688"/>
    <s v="Vibhavana Jaiswal"/>
    <s v="AM/NS India"/>
    <s v="Onroll"/>
    <s v="M-5"/>
    <n v="5"/>
    <m/>
    <s v="MM"/>
    <s v="F"/>
    <s v="Hazira"/>
    <n v="1"/>
    <s v="2270"/>
    <x v="25"/>
    <s v="38.01"/>
    <s v="Hrishikesh Kamat"/>
    <s v="Hrishikesh Kamat"/>
    <n v="7"/>
    <s v="Procurement"/>
    <s v="Logistics"/>
    <s v="38"/>
    <s v="Head - Logistics"/>
    <m/>
    <s v="Logistics"/>
    <s v="Logistics"/>
    <s v=""/>
    <s v="Non Technical Support"/>
    <s v=""/>
    <s v=""/>
    <s v="70494644"/>
    <s v="Chief Procurement Officer"/>
    <s v="AM/NS Hazira"/>
    <d v="1983-05-18T00:00:00"/>
    <s v="40.04"/>
    <d v="2021-05-15T00:00:00"/>
    <d v="2041-05-31T00:00:00"/>
    <m/>
    <d v="2041-05-31T00:00:00"/>
    <n v="6463"/>
    <s v="B+"/>
    <s v="MBA-2010 , MSc-2007 , BSc-2005 , Interme"/>
    <s v="10.05"/>
    <s v="02.04"/>
    <s v="12.09"/>
    <s v="70495712"/>
    <s v="Logistics"/>
    <s v="70495744"/>
    <s v="Head - Logistics"/>
    <s v="Hazira"/>
    <s v="0031950053"/>
    <s v="HZ-Logistics"/>
    <s v="2000HWO"/>
    <s v="20055090"/>
    <s v="Hrishikesh Kamat"/>
    <s v="No"/>
    <s v="vibhavana.jaiswal@amns.in"/>
    <s v="7486036255"/>
    <s v="834817"/>
    <s v="Dhruv Vyas"/>
    <s v="Anil Matoo"/>
    <s v="Praveen Kuruvalli"/>
    <s v="Dhruv Vyas"/>
    <n v="0"/>
  </r>
  <r>
    <n v="3962"/>
    <n v="20055691"/>
    <s v="Dipesh Sudamrao Rathod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c HED"/>
    <m/>
    <s v="Procurement MRO Hazira"/>
    <s v="Procurement"/>
    <s v=""/>
    <s v="Non Technical Support"/>
    <s v="Commercial"/>
    <s v="Procurement"/>
    <s v="73803001"/>
    <s v="Procurement"/>
    <s v="AM/NS Hazira"/>
    <d v="1987-04-25T00:00:00"/>
    <s v="36.04"/>
    <d v="2021-05-17T00:00:00"/>
    <d v="2045-04-30T00:00:00"/>
    <m/>
    <d v="2045-04-30T00:00:00"/>
    <n v="7893"/>
    <s v="B-"/>
    <s v="BE-2009 , Diploma-2005 , SSLC-2002"/>
    <s v="12.06"/>
    <s v="02.04"/>
    <s v="14.09"/>
    <s v="70072410"/>
    <s v="Rolling &amp; Finishing including CRM, Plate"/>
    <s v="70495749"/>
    <s v="Lead - Proc HED"/>
    <s v="Hazira"/>
    <s v="0031950048"/>
    <s v="HZ-Procurment Depart"/>
    <s v="2000HWO"/>
    <s v="20002323"/>
    <s v="Balaji Somvanshi"/>
    <s v="No"/>
    <s v="dipesh.rathod@amns.in"/>
    <s v="7486036256"/>
    <s v="834805"/>
    <s v="Dhruv Vyas"/>
    <s v="Anil Matoo"/>
    <s v="Praveen Kuruvalli"/>
    <s v="Dhruv Vyas"/>
    <n v="0"/>
  </r>
  <r>
    <n v="3963"/>
    <n v="20055692"/>
    <s v="Rajiv Ranjan"/>
    <s v="AM/NS India"/>
    <s v="Onroll"/>
    <s v="M-5"/>
    <n v="5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Head – Procurement Odisha"/>
    <m/>
    <s v="Procurement"/>
    <s v="Procurement"/>
    <s v=""/>
    <s v="Non Technical Support"/>
    <s v=""/>
    <s v=""/>
    <s v="70494644"/>
    <s v="Chief Procurement Officer"/>
    <s v="Paradeep"/>
    <d v="1971-10-05T00:00:00"/>
    <s v="51.11"/>
    <d v="2021-05-17T00:00:00"/>
    <d v="2029-10-31T00:00:00"/>
    <m/>
    <d v="2029-10-31T00:00:00"/>
    <n v="2233"/>
    <s v="B+"/>
    <s v="PG Diploma-1996 , BSc-1990 , Intermediat"/>
    <s v="29.00"/>
    <s v="02.04"/>
    <s v="31.03"/>
    <s v="70407583"/>
    <s v="Procurement - Odisha Asset"/>
    <s v="70495750"/>
    <s v="Head – Procurement Odisha"/>
    <s v="Odisha"/>
    <s v="0022030019"/>
    <s v="PDP-HR &amp; Admn"/>
    <s v="2000STORIS"/>
    <s v="20055090"/>
    <s v="Hrishikesh Kamat"/>
    <s v="No"/>
    <s v="rajiv.ranjan2@amns.in"/>
    <s v="7381362860"/>
    <s v="834845"/>
    <s v="Sunila Das"/>
    <s v="Anil Matoo"/>
    <s v="Praveen Kuruvalli"/>
    <s v="Sunila Das"/>
    <n v="0"/>
  </r>
  <r>
    <n v="3966"/>
    <n v="20055696"/>
    <s v="Rupesh Shivaji Pol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Coated Products"/>
    <m/>
    <s v="Technical Marketing &amp; Application Engineering"/>
    <s v="Technical Marketing &amp; Application Engineering"/>
    <s v=""/>
    <s v="Non Technical Support"/>
    <s v="Sales &amp; Marketing"/>
    <s v="Sales"/>
    <s v="73104004"/>
    <s v="OEM Sales"/>
    <s v="Pune"/>
    <d v="1980-05-29T00:00:00"/>
    <s v="43.03"/>
    <d v="2021-05-24T00:00:00"/>
    <d v="2038-05-31T00:00:00"/>
    <m/>
    <d v="2038-05-31T00:00:00"/>
    <n v="5367"/>
    <s v="AB+"/>
    <s v="MTech-2009 , BE-2007 , Intermediate-2000"/>
    <s v="11.07"/>
    <s v="02.03"/>
    <s v="13.10"/>
    <s v="00052471"/>
    <s v="Coated &amp; OC"/>
    <s v="70495788"/>
    <s v="Sr. Lead - Coated Products"/>
    <s v="Hazira"/>
    <s v="0031950057"/>
    <s v="HZ-HRC - Marketing"/>
    <s v="2000HWO"/>
    <s v="20056431"/>
    <s v="Prajakta Wagholikar"/>
    <s v="No"/>
    <s v="rupesh.pol@amns.in"/>
    <s v="9175471411"/>
    <s v="834815"/>
    <s v="Dhruv Vyas"/>
    <s v="Anil Matoo"/>
    <s v="Praveen Kuruvalli"/>
    <s v="Dhruv Vyas"/>
    <n v="0"/>
  </r>
  <r>
    <n v="3968"/>
    <n v="20055698"/>
    <s v="Turiska Vinod Chhajer"/>
    <s v="AM/NS India"/>
    <s v="Onroll"/>
    <s v="M-9"/>
    <n v="9"/>
    <m/>
    <s v="JM"/>
    <s v="F"/>
    <s v="Corporate"/>
    <n v="7"/>
    <s v="2014"/>
    <x v="16"/>
    <s v="03.01"/>
    <s v="Nilesh Likhite"/>
    <s v="Dilip Oommen"/>
    <n v="1"/>
    <s v="CEO Office"/>
    <s v="Internal Audit"/>
    <s v="03"/>
    <s v="Lead Internal Audit"/>
    <m/>
    <s v="Internal Audit"/>
    <s v=""/>
    <s v=""/>
    <s v="Non Technical Support"/>
    <s v="Assurance &amp; Cost Control"/>
    <s v="Assurance &amp; Cost Control"/>
    <s v="73401001"/>
    <s v="Assurance &amp; Cost Control"/>
    <s v="AM/NS Hazira"/>
    <d v="1994-12-24T00:00:00"/>
    <s v="28.08"/>
    <d v="2021-06-01T00:00:00"/>
    <d v="2052-12-31T00:00:00"/>
    <m/>
    <d v="2052-12-31T00:00:00"/>
    <n v="10695"/>
    <s v="AB+"/>
    <s v="CA Final-2016 , BCom-2016 , Intermediate"/>
    <s v="03.09"/>
    <s v="02.03"/>
    <s v="06.00"/>
    <s v="00044330"/>
    <s v="Internal Audit - Hazira"/>
    <s v="250621"/>
    <s v="Lead Internal Audit"/>
    <s v="Hazira"/>
    <s v="0090000035"/>
    <s v="Internal Audit"/>
    <s v="2000HWO"/>
    <s v="20028777"/>
    <s v="Narendra Dugar"/>
    <s v="No"/>
    <s v="turiska.chhajer@amns.in"/>
    <s v="9586625308"/>
    <s v="838204"/>
    <s v="Dhruv Vyas"/>
    <s v="Anil Matoo"/>
    <s v="Praveen Kuruvalli"/>
    <s v="Dhruv Vyas"/>
    <n v="0"/>
  </r>
  <r>
    <n v="3973"/>
    <n v="20055706"/>
    <s v="Himalkumar Madhusudan Sheth"/>
    <s v="AM/NS India"/>
    <s v="Onroll"/>
    <s v="M-5"/>
    <n v="5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– Capex Procurement"/>
    <m/>
    <s v="Capex Procurement"/>
    <s v="Capex Procurement"/>
    <s v=""/>
    <s v="Non Technical Support"/>
    <s v="Operations"/>
    <s v="Operations"/>
    <s v="72103001"/>
    <s v="Operations"/>
    <s v="Hazira"/>
    <d v="1977-05-09T00:00:00"/>
    <s v="46.04"/>
    <d v="2021-06-01T00:00:00"/>
    <d v="2035-05-31T00:00:00"/>
    <m/>
    <d v="2035-05-31T00:00:00"/>
    <n v="4271"/>
    <s v="A+"/>
    <s v="BE-2005 , Diploma-1995 , SSLC-1992"/>
    <s v="24.10"/>
    <s v="02.03"/>
    <s v="27.01"/>
    <s v="00049337"/>
    <s v="Capex Procurement"/>
    <s v="251052"/>
    <s v="Sr. Lead – Capex Procurement"/>
    <s v="Hazira"/>
    <s v="0031950059"/>
    <s v="HZ-Hazira Project"/>
    <s v="2000HWO"/>
    <s v="20052261"/>
    <s v="Aruni Mishra"/>
    <s v="No"/>
    <s v="himal.sheth@amns.in"/>
    <s v="9879101404"/>
    <s v="840693"/>
    <s v="Dhruv Vyas"/>
    <s v="Anil Matoo"/>
    <s v="Praveen Kuruvalli"/>
    <s v="Dhruv Vyas"/>
    <n v="0"/>
  </r>
  <r>
    <n v="3974"/>
    <n v="20055709"/>
    <s v="S Mohan"/>
    <s v="AM/NS India"/>
    <s v="Onroll"/>
    <s v="M-9"/>
    <n v="9"/>
    <m/>
    <s v="J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Lead - Finance &amp; Accounts"/>
    <m/>
    <s v="Working Capital"/>
    <s v="Service Centers"/>
    <s v=""/>
    <s v="Non Technical Support"/>
    <s v="Finance &amp; Accounts"/>
    <s v="Finance &amp; Accounts"/>
    <s v="73901001"/>
    <s v="Finance &amp; Accounts"/>
    <s v="Chennai"/>
    <d v="1988-12-01T00:00:00"/>
    <s v="34.09"/>
    <d v="2021-06-04T00:00:00"/>
    <d v="2046-11-30T00:00:00"/>
    <m/>
    <d v="2046-11-30T00:00:00"/>
    <n v="8472"/>
    <s v="O+"/>
    <s v="MCom-2010 , BCom-2008 , Intermediate-200"/>
    <s v="11.09"/>
    <s v="02.03"/>
    <s v="14.00"/>
    <s v="00043795"/>
    <s v="F&amp;A Hypermart &amp; Service Centre - 1"/>
    <s v="251059"/>
    <s v="Lead - Finance &amp; Accounts"/>
    <s v="Service Center"/>
    <s v="0040030019"/>
    <s v="SC-Chennai-Op1-HR-Ad"/>
    <s v="2000SPRJ"/>
    <s v="20055201"/>
    <s v="Deepak Sahu"/>
    <s v="No"/>
    <s v="mohankumar.s@amns.in"/>
    <s v="9176147832"/>
    <s v="840828"/>
    <s v="Dhruv Vyas"/>
    <s v="Anil Matoo"/>
    <s v="Praveen Kuruvalli"/>
    <s v="Dhruv Vyas"/>
    <n v="0"/>
  </r>
  <r>
    <n v="3977"/>
    <n v="20055712"/>
    <s v="Ravi Goyal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Officer – Capex Procurement"/>
    <m/>
    <s v="Capex Procurement"/>
    <s v="Capex Procurement"/>
    <s v=""/>
    <s v="Non Technical Support"/>
    <s v="Operations"/>
    <s v="Operations"/>
    <s v="72103001"/>
    <s v="Operations"/>
    <s v="Hazira"/>
    <d v="1989-08-09T00:00:00"/>
    <s v="34.01"/>
    <d v="2021-06-21T00:00:00"/>
    <d v="2047-08-31T00:00:00"/>
    <m/>
    <d v="2047-08-31T00:00:00"/>
    <n v="8746"/>
    <s v="O+"/>
    <s v="BTech-2010 , Intermediate-2006 , SSLC-20"/>
    <s v="10.08"/>
    <s v="02.03"/>
    <s v="12.11"/>
    <s v="00049342"/>
    <s v="Capex Procurement"/>
    <s v="251746"/>
    <s v="Officer – Capex Procurement"/>
    <s v="Hazira"/>
    <s v="0031950059"/>
    <s v="HZ-Hazira Project"/>
    <s v="2000HWO"/>
    <s v="20055706"/>
    <s v="HimalKumar Madhusudan Sheth"/>
    <s v="No"/>
    <s v="ravi.goyal@amns.in"/>
    <s v="9040094622"/>
    <s v="841084"/>
    <s v="Dhruv Vyas"/>
    <s v="Anil Matoo"/>
    <s v="Praveen Kuruvalli"/>
    <s v="Dhruv Vyas"/>
    <n v="0"/>
  </r>
  <r>
    <n v="3979"/>
    <n v="20055714"/>
    <s v="Dipakkumar Shah"/>
    <s v="AM/NS India"/>
    <s v="Onroll"/>
    <s v="M-3"/>
    <n v="3"/>
    <m/>
    <s v="SM"/>
    <s v="M"/>
    <s v="Hazira"/>
    <n v="1"/>
    <s v="2039"/>
    <x v="2"/>
    <s v="43.01"/>
    <s v="Sangeeta Munjal"/>
    <s v="Manu Kapoor"/>
    <n v="10"/>
    <s v="Corporate Affairs"/>
    <s v="Corporate Affairs"/>
    <s v="43"/>
    <s v="Senior Advisor - Corporate Affairs"/>
    <m/>
    <s v="Corporate Affairs"/>
    <s v=""/>
    <s v=""/>
    <s v="Non Technical Support"/>
    <s v="Corporate Relations"/>
    <s v="Corporate Affairs"/>
    <s v="74501001"/>
    <s v="Corporate Affairs"/>
    <s v="Ahmedabad"/>
    <d v="1961-11-30T00:00:00"/>
    <s v="61.09"/>
    <d v="2021-06-14T00:00:00"/>
    <d v="2019-11-30T00:00:00"/>
    <d v="2023-12-02T00:00:00"/>
    <d v="2023-12-02T00:00:00"/>
    <n v="73"/>
    <s v="A+"/>
    <s v="MTech-1986 , BE-1982 , Intermediate-1978"/>
    <s v="35.00"/>
    <s v="02.03"/>
    <s v="37.02"/>
    <s v="00047082"/>
    <s v="Corporate Affairs, Gujarat"/>
    <s v="251745"/>
    <s v="Senior Advisor - Corporate Affairs"/>
    <s v="Confidential Payroll"/>
    <s v="0090000021"/>
    <s v="Corporate Affairs"/>
    <s v="2000HWO"/>
    <s v="20057928"/>
    <s v="Manu Kapoor"/>
    <s v="No"/>
    <s v="dipak.shah@amns.in"/>
    <s v="9099002828"/>
    <s v="841143"/>
    <s v="Dhruv Vyas"/>
    <s v="Anil Matoo"/>
    <s v="Praveen Kuruvalli"/>
    <s v="Dhruv Vyas"/>
    <n v="0"/>
  </r>
  <r>
    <n v="3983"/>
    <n v="20055720"/>
    <s v="Sambit Kumar Mohapatra"/>
    <s v="AM/NS India"/>
    <s v="PDA"/>
    <s v="PDA"/>
    <n v="7"/>
    <m/>
    <s v="MM"/>
    <s v="M"/>
    <s v="Mining"/>
    <n v="8"/>
    <s v="2013"/>
    <x v="0"/>
    <s v="20.01"/>
    <s v="Akiyo Omori"/>
    <s v="Amit Harlalka"/>
    <n v="5"/>
    <s v="Finance &amp; Accounts"/>
    <s v="Finance &amp; Accounts"/>
    <s v="20"/>
    <s v="Lead - Finance"/>
    <m/>
    <s v="Finance &amp; Account"/>
    <s v=""/>
    <s v=""/>
    <s v="Non Technical Support"/>
    <s v="Commercial"/>
    <s v="Commercial"/>
    <s v="73801001"/>
    <s v="Commercial"/>
    <s v="Barbil"/>
    <d v="1981-07-01T00:00:00"/>
    <s v="42.02"/>
    <d v="2021-06-25T00:00:00"/>
    <d v="2039-06-30T00:00:00"/>
    <m/>
    <d v="2039-06-30T00:00:00"/>
    <n v="5762"/>
    <s v=""/>
    <s v="CA Final-2008 , CA Inter-2004 , BCom-200"/>
    <s v="10.11"/>
    <s v="02.02"/>
    <s v="13.01"/>
    <s v="00048985"/>
    <s v="Finance &amp; Accounting"/>
    <s v="252530"/>
    <s v="Lead - Finance"/>
    <s v="Non-payroll-relevant"/>
    <s v="0011000018"/>
    <s v="Sagasahi Mine HR"/>
    <s v="2066BARB"/>
    <s v="20055801"/>
    <s v="Sanjive Kumar Singh"/>
    <s v="No"/>
    <s v="sambitkumar.mohapatra@amns.in"/>
    <s v="9439433302"/>
    <s v="842041"/>
    <s v="Pramod Sinha"/>
    <s v="Anil Matoo"/>
    <s v="Praveen Kuruvalli"/>
    <s v="Pramod Sinha"/>
    <n v="0"/>
  </r>
  <r>
    <n v="3988"/>
    <n v="20055727"/>
    <s v="Javed Akhtar"/>
    <s v="AM/NS India"/>
    <s v="Onroll"/>
    <s v="M-6"/>
    <n v="6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Services"/>
    <m/>
    <s v="Capex Procurement"/>
    <s v="Capex Procurement"/>
    <s v=""/>
    <s v="Non Technical Support"/>
    <s v="Operations"/>
    <s v="Operations"/>
    <s v="72103001"/>
    <s v="Operations"/>
    <s v="Hazira"/>
    <d v="1987-04-13T00:00:00"/>
    <s v="36.05"/>
    <d v="2021-07-05T00:00:00"/>
    <d v="2045-04-30T00:00:00"/>
    <m/>
    <d v="2045-04-30T00:00:00"/>
    <n v="7893"/>
    <s v="A+"/>
    <s v="BE-2009 , Intermediate-2005 , SSLC-2003"/>
    <s v="12.01"/>
    <s v="02.02"/>
    <s v="14.03"/>
    <s v="00049360"/>
    <s v="Capex Services"/>
    <s v="252800"/>
    <s v="Lead – Capex Services"/>
    <s v="Hazira"/>
    <s v="0031950059"/>
    <s v="HZ-Hazira Project"/>
    <s v="2000HWO"/>
    <s v="20052261"/>
    <s v="Aruni Mishra"/>
    <s v="No"/>
    <s v="javed.akhtar@amns.in"/>
    <s v="7486036280"/>
    <s v="843624"/>
    <s v="Dhruv Vyas"/>
    <s v="Anil Matoo"/>
    <s v="Praveen Kuruvalli"/>
    <s v="Dhruv Vyas"/>
    <n v="0"/>
  </r>
  <r>
    <n v="3989"/>
    <n v="20055728"/>
    <s v="Mahebub Vahora"/>
    <s v="AM/NS India"/>
    <s v="Onroll"/>
    <s v="M-5"/>
    <n v="5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- Capex Procurement"/>
    <m/>
    <s v="Capex Procurement"/>
    <s v="Capex Procurement"/>
    <s v=""/>
    <s v="Non Technical Support"/>
    <s v="Operations"/>
    <s v="Operations"/>
    <s v="72103001"/>
    <s v="Operations"/>
    <s v="Hazira"/>
    <d v="1979-04-03T00:00:00"/>
    <s v="44.05"/>
    <d v="2021-07-05T00:00:00"/>
    <d v="2037-04-30T00:00:00"/>
    <m/>
    <d v="2037-04-30T00:00:00"/>
    <n v="4971"/>
    <s v="A+"/>
    <s v="ICWA Final-2018 , MBA-2003 , BE-2000 , I"/>
    <s v="12.05"/>
    <s v="02.02"/>
    <s v="14.07"/>
    <s v="00049344"/>
    <s v="Capex Procurement"/>
    <s v="252799"/>
    <s v="Sr. Lead - Capex Procurement"/>
    <s v="Hazira"/>
    <s v="0031950059"/>
    <s v="HZ-Hazira Project"/>
    <s v="2000HWO"/>
    <s v="20052261"/>
    <s v="Aruni Mishra"/>
    <s v="No"/>
    <s v="mahebub.vahora@amns.in"/>
    <s v="7486036318"/>
    <s v="843630"/>
    <s v="Dhruv Vyas"/>
    <s v="Anil Matoo"/>
    <s v="Praveen Kuruvalli"/>
    <s v="Dhruv Vyas"/>
    <n v="0"/>
  </r>
  <r>
    <n v="3998"/>
    <n v="20055739"/>
    <s v="Dayaram Meghwal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– Inbound/Receipts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89-02-12T00:00:00"/>
    <s v="34.07"/>
    <d v="2021-07-12T00:00:00"/>
    <d v="2047-02-28T00:00:00"/>
    <m/>
    <d v="2047-02-28T00:00:00"/>
    <n v="8562"/>
    <s v="O+"/>
    <s v="Diploma-2010 , Intermediate-2007 , SSLC-"/>
    <s v="10.10"/>
    <s v="02.02"/>
    <s v="13.00"/>
    <s v="00053278"/>
    <s v="GRN/Documentation/Issue - Plant A"/>
    <s v="253466"/>
    <s v="Section Officer – Inbound/Receipts"/>
    <s v="Hazira"/>
    <s v="0031950049"/>
    <s v="HZ-Central Stores"/>
    <s v="2000HW0"/>
    <s v="20002587"/>
    <s v="Seema Mehta"/>
    <s v="No"/>
    <s v="dayaram.meghwal@amns.in"/>
    <s v="7486036326"/>
    <s v="844769"/>
    <s v="Dhruv Vyas"/>
    <s v="Anil Matoo"/>
    <s v="Praveen Kuruvalli"/>
    <s v="Dhruv Vyas"/>
    <n v="0"/>
  </r>
  <r>
    <n v="4000"/>
    <n v="20055742"/>
    <s v="Naresh Yadav"/>
    <s v="AM/NS India"/>
    <s v="Onroll"/>
    <s v="M-6"/>
    <n v="6"/>
    <m/>
    <s v="MM"/>
    <s v="M"/>
    <s v="Hazira"/>
    <n v="1"/>
    <s v="2096"/>
    <x v="14"/>
    <s v="36.02"/>
    <s v="Deepak Sindkar"/>
    <s v="Hrishikesh Kamat"/>
    <n v="7"/>
    <s v="Procurement"/>
    <s v="Raw Materials"/>
    <s v="36"/>
    <s v="Sr. Lead - Power Management"/>
    <m/>
    <s v="Power &amp; Gas"/>
    <s v="Power &amp; Gas"/>
    <s v=""/>
    <s v="Non Technical Support"/>
    <s v="Commercial"/>
    <s v="Procurement"/>
    <s v="73803001"/>
    <s v="Procurement"/>
    <s v="AM/NS Hazira"/>
    <d v="1985-08-24T00:00:00"/>
    <s v="38.00"/>
    <d v="2021-08-02T00:00:00"/>
    <d v="2043-08-31T00:00:00"/>
    <m/>
    <d v="2043-08-31T00:00:00"/>
    <n v="7285"/>
    <s v="B+"/>
    <s v="MTech-2015 , PG Diploma-2012 , BE-2007 ,"/>
    <s v="14.01"/>
    <s v="02.01"/>
    <s v="16.02"/>
    <s v="00049516"/>
    <s v="Power &amp; Gas"/>
    <s v="253472"/>
    <s v="Sr. Lead - Power Management"/>
    <s v="Hazira"/>
    <s v="0031950048"/>
    <s v="HZ-Procurment Depart"/>
    <s v="2000HW0"/>
    <s v="20004612"/>
    <s v="Ramesh Chabhadiya"/>
    <s v="No"/>
    <s v="naresh.yadav@amns.in"/>
    <s v="7486036332"/>
    <s v="844773"/>
    <s v="Dhruv Vyas"/>
    <s v="Anil Matoo"/>
    <s v="Praveen Kuruvalli"/>
    <s v="Dhruv Vyas"/>
    <n v="0"/>
  </r>
  <r>
    <n v="4001"/>
    <n v="20055743"/>
    <s v="Suyojit Gaikwad"/>
    <s v="AM/NS India"/>
    <s v="Onroll"/>
    <s v="M-8"/>
    <n v="8"/>
    <m/>
    <s v="JM"/>
    <s v="M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Chairman's Secretariat"/>
    <s v="Chairman's Secretariat"/>
    <s v="74701000"/>
    <s v="Chairman's Secretariat"/>
    <s v="AM/NS Hazira"/>
    <d v="1987-09-27T00:00:00"/>
    <s v="35.11"/>
    <d v="2021-07-12T00:00:00"/>
    <d v="2045-09-30T00:00:00"/>
    <m/>
    <d v="2045-09-30T00:00:00"/>
    <n v="8046"/>
    <s v="B+"/>
    <s v="MBA-2014 , BE-2011 , Intermediate-2005 ,"/>
    <s v="08.00"/>
    <s v="02.02"/>
    <s v="10.01"/>
    <s v="00044330"/>
    <s v="Internal Audit - Hazira"/>
    <s v="253473"/>
    <s v="Lead - Internal Audit"/>
    <s v="Hazira"/>
    <s v="0090000035"/>
    <s v="Internal Audit"/>
    <s v="2000HW0"/>
    <s v="20028777"/>
    <s v="Narendra Dugar"/>
    <s v="No"/>
    <s v="suyojit.gaikwad@amns.in"/>
    <s v="7486036324"/>
    <s v="844776"/>
    <s v="Dhruv Vyas"/>
    <s v="Anil Matoo"/>
    <s v="Praveen Kuruvalli"/>
    <s v="Dhruv Vyas"/>
    <n v="0"/>
  </r>
  <r>
    <n v="4003"/>
    <n v="20055745"/>
    <s v="Ajay Kumar Sharma"/>
    <s v="AM/NS India"/>
    <s v="Onroll"/>
    <s v="M-6"/>
    <n v="6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Internal Auditor Odisha"/>
    <m/>
    <s v="Internal Audit"/>
    <s v=""/>
    <s v=""/>
    <s v="Non Technical Support"/>
    <s v="Chairman's Secretariat"/>
    <s v="Chairman's Secretariat"/>
    <s v="74701000"/>
    <s v="Chairman's Secretariat"/>
    <s v="Paradeep"/>
    <d v="1974-12-13T00:00:00"/>
    <s v="48.09"/>
    <d v="2021-07-01T00:00:00"/>
    <d v="2032-12-31T00:00:00"/>
    <m/>
    <d v="2032-12-31T00:00:00"/>
    <n v="3390"/>
    <s v="A+"/>
    <s v="CA Final-2008 , LLB-1999 , BCom-1995 , I"/>
    <s v="09.06"/>
    <s v="02.02"/>
    <s v="11.08"/>
    <s v="00044333"/>
    <s v="Internal Audit -Odisha"/>
    <s v="253558"/>
    <s v="Sr. Lead Internal Auditor Odisha"/>
    <s v="Odisha"/>
    <s v="0090000035"/>
    <s v="Internal Audit"/>
    <s v="2000STORIS"/>
    <s v="20055486"/>
    <s v="Nilesh Likhite"/>
    <s v="No"/>
    <s v="ajay.sharma1@amns.in"/>
    <s v="8093061480"/>
    <s v="844910"/>
    <s v="Sunila Das"/>
    <s v="Anil Matoo"/>
    <s v="Praveen Kuruvalli"/>
    <s v="Sunila Das"/>
    <n v="0"/>
  </r>
  <r>
    <n v="4017"/>
    <n v="20055763"/>
    <s v="Debashis Mohapatra"/>
    <s v="AM/NS India"/>
    <s v="Onroll"/>
    <s v="M-6"/>
    <n v="6"/>
    <m/>
    <s v="MM"/>
    <s v="M"/>
    <s v="Hazira"/>
    <n v="1"/>
    <s v="2715"/>
    <x v="13"/>
    <s v="37.01"/>
    <s v="Aruni Mishra"/>
    <s v="Hrishikesh Kamat"/>
    <n v="7"/>
    <s v="Procurement"/>
    <s v="Secondary Sales"/>
    <s v="37"/>
    <s v="Sr. Lead - Secondary Sales"/>
    <m/>
    <s v="Procurement"/>
    <s v=""/>
    <s v=""/>
    <s v="Non Technical Support"/>
    <s v=""/>
    <s v=""/>
    <s v=""/>
    <s v=""/>
    <s v="Hazira"/>
    <d v="1984-06-26T00:00:00"/>
    <s v="39.02"/>
    <d v="2021-07-21T00:00:00"/>
    <d v="2042-06-30T00:00:00"/>
    <m/>
    <d v="2042-06-30T00:00:00"/>
    <n v="6858"/>
    <s v="B+"/>
    <s v="MBA-2008 , BE-2006 , Intermediate-2001 ,"/>
    <s v="13.01"/>
    <s v="02.02"/>
    <s v="15.03"/>
    <s v="00049357"/>
    <s v="Secondary Sales"/>
    <s v="253852"/>
    <s v="Sr. Lead - Secondary Sales"/>
    <s v="Hazira"/>
    <s v="0080000006"/>
    <s v="Secondary Sales - In"/>
    <s v="2000HWO"/>
    <s v="20052261"/>
    <s v="Aruni Mishra"/>
    <s v="No"/>
    <s v="debashis.mohapatra@amns.in"/>
    <s v="9328882489"/>
    <s v="845534"/>
    <s v="Dhruv Vyas"/>
    <s v="Anil Matoo"/>
    <s v="Praveen Kuruvalli"/>
    <s v="Dhruv Vyas"/>
    <n v="0"/>
  </r>
  <r>
    <n v="4042"/>
    <n v="20055799"/>
    <s v="Swasti Panchal"/>
    <s v="AM/NS India"/>
    <s v="Onroll"/>
    <s v="M-10"/>
    <n v="10"/>
    <m/>
    <s v="JM"/>
    <s v="F"/>
    <s v="Hazira"/>
    <n v="1"/>
    <s v="2722"/>
    <x v="20"/>
    <s v="28.02"/>
    <s v="Anil Matoo"/>
    <s v="Ashutosh Telang"/>
    <n v="6"/>
    <s v="HR &amp; Administration"/>
    <s v="Academy for Skill Development"/>
    <n v="28"/>
    <s v="Graduate Engineer Trainee 2021"/>
    <m/>
    <s v="Human Resources"/>
    <s v=""/>
    <s v=""/>
    <s v="Non Technical Support"/>
    <s v="Human Resources Management"/>
    <s v="Human Resources Management"/>
    <s v="73501002"/>
    <s v="Human Resources Operation"/>
    <s v="Hazira"/>
    <d v="2000-08-15T00:00:00"/>
    <s v="23.01"/>
    <d v="2021-08-02T00:00:00"/>
    <d v="2058-08-31T00:00:00"/>
    <m/>
    <d v="2058-08-31T00:00:00"/>
    <n v="12764"/>
    <s v="B-"/>
    <s v="BTech-2017 , BTech-2017 , Intermediate-2"/>
    <s v=""/>
    <s v="02.01"/>
    <s v="02.01"/>
    <s v="70495652"/>
    <s v="Academy for Skill Development"/>
    <s v="255035"/>
    <s v="Graduate Engineer Trainee 2021"/>
    <s v="Hazira"/>
    <s v="0031950061"/>
    <s v="HZ-Human Resource"/>
    <s v="2000HWO"/>
    <s v="20054937"/>
    <s v="Hitesh Kumar Yadav"/>
    <s v="No"/>
    <s v="swasti.panchal@amns.in"/>
    <s v="9328894660"/>
    <s v="846830"/>
    <s v="Dhruv Vyas"/>
    <s v="Anil Matoo"/>
    <s v="Praveen Kuruvalli"/>
    <s v="Dhruv Vyas"/>
    <n v="0"/>
  </r>
  <r>
    <n v="4043"/>
    <n v="20055801"/>
    <s v="Sanjive Kumar Singh"/>
    <s v="AM/NS India"/>
    <s v="Onroll"/>
    <s v="M-4"/>
    <n v="4"/>
    <m/>
    <s v="SM"/>
    <s v="M"/>
    <s v="Odisha"/>
    <n v="2"/>
    <s v="2013"/>
    <x v="0"/>
    <s v="20.01"/>
    <s v="Akiyo Omori"/>
    <s v="Amit Harlalka"/>
    <n v="5"/>
    <s v="Finance &amp; Accounts"/>
    <s v="Finance &amp; Accounts"/>
    <s v="20"/>
    <s v="Head - Finance &amp; Accounts Odisha"/>
    <m/>
    <s v="Finance &amp; Accounts - Odisha"/>
    <s v="Finance &amp; Accounts"/>
    <s v=""/>
    <s v="Non Technical Support"/>
    <s v="Finance &amp; Accounts"/>
    <s v="Finance &amp; Accounts"/>
    <s v="73901001"/>
    <s v="Finance &amp; Accounts"/>
    <s v="Paradeep"/>
    <d v="1974-03-15T00:00:00"/>
    <s v="49.06"/>
    <d v="2021-07-22T00:00:00"/>
    <d v="2032-03-31T00:00:00"/>
    <m/>
    <d v="2032-03-31T00:00:00"/>
    <n v="3115"/>
    <s v="O+"/>
    <s v="CA Final-1997 , ICWA Inter-1996 , BCom-1"/>
    <s v="23.08"/>
    <s v="02.01"/>
    <s v="25.09"/>
    <s v="70234933"/>
    <s v="Finance &amp; Accounts - Odisha"/>
    <s v="255232"/>
    <s v="Head - Finance &amp; Accounts Odisha"/>
    <s v="Odisha"/>
    <s v="0022030019"/>
    <s v="PDP-HR &amp; Admn"/>
    <s v="2000STORIS"/>
    <s v="20057933"/>
    <s v="Akiyo Omori"/>
    <s v="No"/>
    <s v="sanjive.singh@amns.in"/>
    <s v="8093061471"/>
    <s v="847478"/>
    <s v="Sunila Das"/>
    <s v="Anil Matoo"/>
    <s v="Praveen Kuruvalli"/>
    <s v="Sunila Das"/>
    <n v="0"/>
  </r>
  <r>
    <n v="4044"/>
    <n v="20055802"/>
    <s v="Pawan Kumar Baid"/>
    <s v="AM/NS India"/>
    <s v="Onroll"/>
    <s v="M-6"/>
    <n v="6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Internal Audit Corporate"/>
    <m/>
    <s v="Internal Audit"/>
    <s v=""/>
    <s v=""/>
    <s v="Non Technical Support"/>
    <s v="Chairman's Secretariat"/>
    <s v="Chairman's Secretariat"/>
    <s v="74701000"/>
    <s v="Chairman's Secretariat"/>
    <s v="Mumbai"/>
    <d v="1986-12-23T00:00:00"/>
    <s v="36.08"/>
    <d v="2021-08-02T00:00:00"/>
    <d v="2044-12-31T00:00:00"/>
    <m/>
    <d v="2044-12-31T00:00:00"/>
    <n v="7773"/>
    <s v="B+"/>
    <s v="CA Final-2011 , BCom-2008 , Intermediate"/>
    <s v="09.02"/>
    <s v="02.01"/>
    <s v="11.03"/>
    <s v="00044335"/>
    <s v="Internal Audit Corporate"/>
    <s v="255223"/>
    <s v="Sr. Lead Internal Audit Corporate"/>
    <s v="Corporate"/>
    <s v="0090000035"/>
    <s v="Internal Audit"/>
    <s v="2000CS"/>
    <s v="20055486"/>
    <s v="Nilesh Likhite"/>
    <s v="No"/>
    <s v="pawan.baid@amns.in"/>
    <s v="9000240429"/>
    <s v="847480"/>
    <s v="Dhruv Vyas"/>
    <s v="Anil Matoo"/>
    <s v="Praveen Kuruvalli"/>
    <s v="Dhruv Vyas"/>
    <n v="0"/>
  </r>
  <r>
    <n v="4045"/>
    <n v="20055803"/>
    <s v="Jay Harshad Patrawala"/>
    <s v="AM/NS India"/>
    <s v="Onroll"/>
    <s v="M-6"/>
    <n v="6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- Investigation Audit"/>
    <m/>
    <s v="Internal Audit"/>
    <s v=""/>
    <s v=""/>
    <s v="Non Technical Support"/>
    <s v="Chairman's Secretariat"/>
    <s v="Chairman's Secretariat"/>
    <s v="74701000"/>
    <s v="Chairman's Secretariat"/>
    <s v="Mumbai"/>
    <d v="1988-05-09T00:00:00"/>
    <s v="35.04"/>
    <d v="2021-08-02T00:00:00"/>
    <d v="2046-05-31T00:00:00"/>
    <m/>
    <d v="2046-05-31T00:00:00"/>
    <n v="8289"/>
    <s v="B+"/>
    <s v="CA Final-2012 , MCom-2010 , BCom-2009 ,"/>
    <s v="08.09"/>
    <s v="02.01"/>
    <s v="10.10"/>
    <s v="00044336"/>
    <s v="Investigation Audit"/>
    <s v="255222"/>
    <s v="Sr. Lead - Investigation Audit"/>
    <s v="Corporate"/>
    <s v="0090000035"/>
    <s v="Internal Audit"/>
    <s v="2000CS"/>
    <s v="20055486"/>
    <s v="Nilesh Likhite"/>
    <s v="No"/>
    <s v="jay.patrawala@amns.in"/>
    <s v="7021681923"/>
    <s v="847484"/>
    <s v="Dhruv Vyas"/>
    <s v="Anil Matoo"/>
    <s v="Praveen Kuruvalli"/>
    <s v="Dhruv Vyas"/>
    <n v="0"/>
  </r>
  <r>
    <n v="4046"/>
    <n v="20055804"/>
    <s v="Ankushkumar Shah"/>
    <s v="AM/NS India"/>
    <s v="Onroll"/>
    <s v="M-5"/>
    <n v="5"/>
    <m/>
    <s v="MM"/>
    <s v="M"/>
    <s v="Corporate"/>
    <n v="7"/>
    <s v="2060"/>
    <x v="24"/>
    <s v="39.01"/>
    <s v="Sanjay Sharma"/>
    <s v="Sanjay Sharma"/>
    <n v="8"/>
    <s v="Business Development"/>
    <s v="Business Development"/>
    <s v="39"/>
    <s v="Senior Lead - Business Development"/>
    <m/>
    <s v="Business Development"/>
    <s v=""/>
    <s v=""/>
    <s v="Non Technical Support"/>
    <s v="Sales &amp; Marketing"/>
    <s v="Business Development"/>
    <s v="73103001"/>
    <s v="Business Development"/>
    <s v="Mumbai"/>
    <d v="1990-06-19T00:00:00"/>
    <s v="33.03"/>
    <d v="2021-08-02T00:00:00"/>
    <d v="2048-06-30T00:00:00"/>
    <m/>
    <d v="2048-06-30T00:00:00"/>
    <n v="9050"/>
    <s v="B+"/>
    <s v="CA Final-2014 , BCom-2011 , Intermediate"/>
    <s v="07.05"/>
    <s v="02.01"/>
    <s v="09.06"/>
    <s v="00050003"/>
    <s v="Business Development - M&amp;A"/>
    <s v="255228"/>
    <s v="Senior Lead - Business Development"/>
    <s v="Corporate"/>
    <s v="0090000032"/>
    <s v="Business Devpelopmen"/>
    <s v="2000CS"/>
    <s v="20055181"/>
    <s v="Sanjay Sharma"/>
    <s v="No"/>
    <s v="ankush.shah@amns.in"/>
    <s v="9773559406"/>
    <s v="847499"/>
    <s v="Dhruv Vyas"/>
    <s v="Anil Matoo"/>
    <s v="Praveen Kuruvalli"/>
    <s v="Dhruv Vyas"/>
    <n v="0"/>
  </r>
  <r>
    <n v="4047"/>
    <n v="20055806"/>
    <s v="Rahul Mulik"/>
    <s v="AM/NS India"/>
    <s v="Onroll"/>
    <s v="M-8"/>
    <n v="8"/>
    <m/>
    <s v="JM"/>
    <s v="M"/>
    <s v="Hazira"/>
    <n v="1"/>
    <s v="2084"/>
    <x v="17"/>
    <s v="23.09"/>
    <s v="Anil Matoo"/>
    <s v="Ashutosh Telang"/>
    <n v="6"/>
    <s v="HR &amp; Administration"/>
    <s v="Industrial Relations"/>
    <s v="23"/>
    <s v="Lead – Industrial Relations"/>
    <m/>
    <s v="Industrial Relations"/>
    <s v=""/>
    <s v=""/>
    <s v="Non Technical Support"/>
    <s v="Human Resources Management"/>
    <s v="Human Resources Management"/>
    <s v="73501002"/>
    <s v="Human Resources Operation"/>
    <s v="Hazira"/>
    <d v="1976-06-10T00:00:00"/>
    <s v="47.03"/>
    <d v="2021-07-29T00:00:00"/>
    <d v="2034-06-30T00:00:00"/>
    <m/>
    <d v="2034-06-30T00:00:00"/>
    <n v="3936"/>
    <s v="A+"/>
    <s v="MBA-2008 , Diploma-2003 , BCom-1998 , In"/>
    <s v="16.05"/>
    <s v="02.01"/>
    <s v="18.06"/>
    <s v="70309501"/>
    <s v="IR &amp; legal Compliance"/>
    <s v="255231"/>
    <s v="Lead – Industrial Relations"/>
    <s v="Hazira"/>
    <s v="0031950061"/>
    <s v="HZ-Human Resource"/>
    <s v="2000HWO"/>
    <s v="20056503"/>
    <s v="Bhavin Pandya"/>
    <s v="No"/>
    <s v="rahul.mulik@amns.in"/>
    <s v="9328896544"/>
    <s v="847561"/>
    <s v="Dhruv Vyas"/>
    <s v="Anil Matoo"/>
    <s v="Praveen Kuruvalli"/>
    <s v="Dhruv Vyas"/>
    <n v="0"/>
  </r>
  <r>
    <n v="4055"/>
    <n v="20055816"/>
    <s v="Khilan Keyur Shah"/>
    <s v="AM/NS India"/>
    <s v="Onroll"/>
    <s v="M-7"/>
    <n v="7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Lead - Investigation Audit"/>
    <m/>
    <s v="Internal Audit"/>
    <s v=""/>
    <s v=""/>
    <s v="Non Technical Support"/>
    <s v="Assurance &amp; Cost Control"/>
    <s v="Assurance &amp; Cost Control"/>
    <s v="73401001"/>
    <s v="Assurance &amp; Cost Control"/>
    <s v="Mumbai"/>
    <d v="1991-08-22T00:00:00"/>
    <s v="32.00"/>
    <d v="2021-08-09T00:00:00"/>
    <d v="2049-08-31T00:00:00"/>
    <m/>
    <d v="2049-08-31T00:00:00"/>
    <n v="9477"/>
    <s v="B+"/>
    <s v="CA Final-2014 , BCom-2012 , Intermediate"/>
    <s v="06.05"/>
    <s v="02.01"/>
    <s v="08.05"/>
    <s v="00044336"/>
    <s v="Investigation Audit"/>
    <s v="255646"/>
    <s v="Lead - Investigation Audit"/>
    <s v="Corporate"/>
    <s v="0090000035"/>
    <s v="Internal Audit"/>
    <s v="2000CS"/>
    <s v="20055803"/>
    <s v="Jay Harshad Patrawala"/>
    <s v="No"/>
    <s v="khilan.shah@amns.in"/>
    <s v="8976785833"/>
    <s v="848456"/>
    <s v="Dhruv Vyas"/>
    <s v="Anil Matoo"/>
    <s v="Praveen Kuruvalli"/>
    <s v="Dhruv Vyas"/>
    <n v="0"/>
  </r>
  <r>
    <n v="4057"/>
    <n v="20055819"/>
    <s v="Sachin Kumar Yadav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Procurement"/>
    <m/>
    <s v="Capex Procurement"/>
    <s v="Capex Procurement"/>
    <s v=""/>
    <s v="Non Technical Support"/>
    <s v="Operations"/>
    <s v="Operations"/>
    <s v="72103001"/>
    <s v="Operations"/>
    <s v="Hazira"/>
    <d v="1989-10-16T00:00:00"/>
    <s v="33.11"/>
    <d v="2021-08-09T00:00:00"/>
    <d v="2047-10-31T00:00:00"/>
    <m/>
    <d v="2047-10-31T00:00:00"/>
    <n v="8807"/>
    <s v="B+"/>
    <s v="BTech-2010 , Intermediate-2005 , SSLC-20"/>
    <s v="11.00"/>
    <s v="02.01"/>
    <s v="13.01"/>
    <s v="00053248"/>
    <s v="Capex Procurement"/>
    <s v="255649"/>
    <s v="Lead – Capex Procurement"/>
    <s v="Hazira"/>
    <s v="0031950059"/>
    <s v="HZ-Hazira Project"/>
    <s v="2000HWO"/>
    <s v="20055728"/>
    <s v="Mahebub Vahora"/>
    <s v="No"/>
    <s v="sachin.yadav1@amns.in"/>
    <s v="9510872052"/>
    <s v="848545"/>
    <s v="Dhruv Vyas"/>
    <s v="Anil Matoo"/>
    <s v="Praveen Kuruvalli"/>
    <s v="Dhruv Vyas"/>
    <n v="0"/>
  </r>
  <r>
    <n v="4064"/>
    <n v="20055833"/>
    <s v="Animesh Mishra"/>
    <s v="AM/NS India"/>
    <s v="Onroll"/>
    <s v="M-10"/>
    <n v="10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Graduate Engineer Trainee 2021"/>
    <m/>
    <s v="Capex Procurement"/>
    <s v="Capex Procurement"/>
    <s v=""/>
    <s v="Non Technical Support"/>
    <s v="Operations"/>
    <s v="Operations"/>
    <s v="72103001"/>
    <s v="Operations"/>
    <s v="Hazira"/>
    <d v="1999-03-01T00:00:00"/>
    <s v="24.06"/>
    <d v="2021-08-17T00:00:00"/>
    <d v="2057-02-28T00:00:00"/>
    <m/>
    <d v="2057-02-28T00:00:00"/>
    <n v="12215"/>
    <s v="AB+"/>
    <s v="BTech-2021 , Intermediate-2016 , SSLC-20"/>
    <s v=""/>
    <s v="02.01"/>
    <s v="02.01"/>
    <s v="00049360"/>
    <s v="Capex Services"/>
    <s v="256014"/>
    <s v="Graduate Engineer Trainee 2021"/>
    <s v="Hazira"/>
    <s v="0031950059"/>
    <s v="HZ-Hazira Project"/>
    <s v="2000HWO"/>
    <s v="20055727"/>
    <s v="Javed Akhtar"/>
    <s v="No"/>
    <s v="animesh.mishra@amns.in"/>
    <s v="9510882498"/>
    <s v="849368"/>
    <s v="Dhruv Vyas"/>
    <s v="Anil Matoo"/>
    <s v="Praveen Kuruvalli"/>
    <s v="Dhruv Vyas"/>
    <n v="0"/>
  </r>
  <r>
    <n v="4066"/>
    <n v="20055835"/>
    <s v="Anshima Pandey"/>
    <s v="AM/NS India"/>
    <s v="Onroll"/>
    <s v="M-10"/>
    <n v="10"/>
    <m/>
    <s v="JM"/>
    <s v="F"/>
    <s v="Hazira"/>
    <n v="1"/>
    <s v="2015"/>
    <x v="1"/>
    <s v="22.06"/>
    <s v="Anil Matoo"/>
    <s v="Ashutosh Telang"/>
    <n v="6"/>
    <s v="HR &amp; Administration"/>
    <s v="Human Resources"/>
    <s v="22"/>
    <s v="Graduate Engineer Trainee 2021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2000-05-06T00:00:00"/>
    <s v="23.04"/>
    <d v="2021-08-17T00:00:00"/>
    <d v="2058-05-31T00:00:00"/>
    <m/>
    <d v="2058-05-31T00:00:00"/>
    <n v="12672"/>
    <s v="B+"/>
    <s v="BTech-2021 , Intermediate-2017 , SSLC-20"/>
    <s v=""/>
    <s v="02.01"/>
    <s v="02.01"/>
    <s v="70472770"/>
    <s v="Hazira HR Operations - 1"/>
    <s v="256016"/>
    <s v="Lead - Human Resources"/>
    <s v="Hazira"/>
    <s v="0031950061"/>
    <s v="HZ-Human Resource"/>
    <s v="2000HWO"/>
    <s v="20001265"/>
    <s v="Lakshman Iyer"/>
    <s v="No"/>
    <s v="anshima.pandey@amns.in"/>
    <s v="9510885212"/>
    <s v="849369"/>
    <s v="Dhruv Vyas"/>
    <s v="Anil Matoo"/>
    <s v="Praveen Kuruvalli"/>
    <s v="Dhruv Vyas"/>
    <n v="0"/>
  </r>
  <r>
    <n v="4071"/>
    <n v="20055843"/>
    <s v="Harshita Ghildiyal"/>
    <s v="AM/NS India"/>
    <s v="Onroll"/>
    <s v="M-10"/>
    <n v="10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Graduate Engineer Trainee 2021"/>
    <m/>
    <s v="Capex Procurement"/>
    <s v="Capex Procurement"/>
    <s v=""/>
    <s v="Non Technical Support"/>
    <s v="Operations"/>
    <s v="Operations"/>
    <s v="72103001"/>
    <s v="Operations"/>
    <s v="Hazira"/>
    <d v="1999-10-31T00:00:00"/>
    <s v="23.10"/>
    <d v="2021-08-17T00:00:00"/>
    <d v="2057-10-31T00:00:00"/>
    <m/>
    <d v="2057-10-31T00:00:00"/>
    <n v="12460"/>
    <s v="B+"/>
    <s v="BTech-2021 , Intermediate-2017 , SSLC-20"/>
    <s v=""/>
    <s v="02.01"/>
    <s v="02.01"/>
    <s v="00049342"/>
    <s v="Capex Procurement"/>
    <s v="256024"/>
    <s v="Graduate Engineer Trainee 2021"/>
    <s v="Hazira"/>
    <s v="0031950059"/>
    <s v="HZ-Hazira Project"/>
    <s v="2000HWO"/>
    <s v="20055712"/>
    <s v="Ravi Goyal"/>
    <s v="Yes"/>
    <s v="harshita.ghildiyal@amns.in"/>
    <s v="9510892400"/>
    <s v="849375"/>
    <s v="Dhruv Vyas"/>
    <s v="Anil Matoo"/>
    <s v="Praveen Kuruvalli"/>
    <s v="Dhruv Vyas"/>
    <n v="0"/>
  </r>
  <r>
    <n v="4084"/>
    <n v="20055867"/>
    <s v="Tatikonda Manoj Sai Kumar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Management Trainee 2021"/>
    <m/>
    <s v="West"/>
    <s v="Hypermart"/>
    <s v=""/>
    <s v="Non Technical Support"/>
    <s v="Human Resources Management"/>
    <s v="Human Resources Management"/>
    <s v="73501001"/>
    <s v="Human Resources"/>
    <s v="Pune"/>
    <d v="1997-08-05T00:00:00"/>
    <s v="26.01"/>
    <d v="2021-08-17T00:00:00"/>
    <d v="2055-08-31T00:00:00"/>
    <m/>
    <d v="2055-08-31T00:00:00"/>
    <n v="11668"/>
    <s v="O+"/>
    <s v="MBA-2021 , BTech-2018 , Intermediate-201"/>
    <s v=""/>
    <s v="02.01"/>
    <s v="02.01"/>
    <s v="00048138"/>
    <s v="Hypermart west"/>
    <s v="256049"/>
    <s v="Sales Manager - Hypermart"/>
    <s v="Pune Facility"/>
    <s v="0035950073"/>
    <s v="Pune - S&amp;D Export"/>
    <s v="2000ESPF"/>
    <s v="20056847"/>
    <s v="Vikas Chotia"/>
    <s v="No"/>
    <s v="manoj.tatikonda@amns.in"/>
    <s v="7016458879"/>
    <s v="849391"/>
    <s v="Dhruv Vyas"/>
    <s v="Anil Matoo"/>
    <s v="Praveen Kuruvalli"/>
    <s v="Dhruv Vyas"/>
    <n v="0"/>
  </r>
  <r>
    <n v="4085"/>
    <n v="20055868"/>
    <s v="Sanidhya Singh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 2021"/>
    <m/>
    <s v="North"/>
    <s v="OEM"/>
    <s v=""/>
    <s v="Non Technical Support"/>
    <s v="Sales &amp; Marketing"/>
    <s v="Sales"/>
    <s v="73104004"/>
    <s v="OEM Sales"/>
    <s v="Noida"/>
    <d v="1996-07-24T00:00:00"/>
    <s v="27.01"/>
    <d v="2021-08-17T00:00:00"/>
    <d v="2054-07-31T00:00:00"/>
    <m/>
    <d v="2054-07-31T00:00:00"/>
    <n v="11272"/>
    <s v="AB-"/>
    <s v="MBA-2021 , BTech-2018 , Intermediate-201"/>
    <s v=""/>
    <s v="02.01"/>
    <s v="02.01"/>
    <s v="72150181"/>
    <s v="Sales North Zone"/>
    <s v="256050"/>
    <s v="Sales Manager"/>
    <s v="Hypermart"/>
    <s v="0031950057"/>
    <s v="HZ-HRC - Marketing"/>
    <s v="2000SRET"/>
    <s v="20002920"/>
    <s v="Sudhir Sharma"/>
    <s v="No"/>
    <s v="sanidhya.singh@amns.in"/>
    <s v="7016457342"/>
    <s v="849392"/>
    <s v="Dhruv Vyas"/>
    <s v="Anil Matoo"/>
    <s v="Praveen Kuruvalli"/>
    <s v="Dhruv Vyas"/>
    <n v="0"/>
  </r>
  <r>
    <n v="4086"/>
    <n v="20055870"/>
    <s v="Singireddy Sindhuja Reddy"/>
    <s v="AM/NS India"/>
    <s v="Onroll"/>
    <s v="M-8"/>
    <n v="8"/>
    <m/>
    <s v="JM"/>
    <s v="F"/>
    <s v="Pune Facility"/>
    <n v="4"/>
    <s v="2031"/>
    <x v="10"/>
    <s v="14.01"/>
    <s v="Ranjan Dhar"/>
    <s v="Alain Legrix De La Salle"/>
    <n v="3"/>
    <s v="Sales &amp; Marketing"/>
    <s v="Sales &amp; Marketing"/>
    <s v="14"/>
    <s v="Management Trainee 2021"/>
    <m/>
    <s v="South"/>
    <s v="OEM"/>
    <s v=""/>
    <s v="Non Technical Support"/>
    <s v="Human Resources Management"/>
    <s v="Human Resources Management"/>
    <s v="73501001"/>
    <s v="Human Resources"/>
    <s v="Pune"/>
    <d v="1994-12-07T00:00:00"/>
    <s v="28.09"/>
    <d v="2021-08-17T00:00:00"/>
    <d v="2052-12-31T00:00:00"/>
    <m/>
    <d v="2052-12-31T00:00:00"/>
    <n v="10695"/>
    <s v="O+"/>
    <s v="MBA-2021 , BTech-2016 , Intermediate-201"/>
    <s v=""/>
    <s v="02.01"/>
    <s v="02.01"/>
    <s v="00043882"/>
    <s v="International Sales"/>
    <s v="256052"/>
    <s v="Sales Manager"/>
    <s v="Pune Facility"/>
    <s v="0035950073"/>
    <s v="Pune - S&amp;D Export"/>
    <s v="2000ESPF"/>
    <s v="20037071"/>
    <s v="Amit Chandaliya"/>
    <s v="No"/>
    <s v="sindhuja.reddy@amns.in"/>
    <s v="9177997249"/>
    <s v="849394"/>
    <s v="Dhruv Vyas"/>
    <s v="Anil Matoo"/>
    <s v="Praveen Kuruvalli"/>
    <s v="Dhruv Vyas"/>
    <n v="0"/>
  </r>
  <r>
    <n v="4087"/>
    <n v="20055873"/>
    <s v="Ameesha Khandelwal"/>
    <s v="AM/NS India"/>
    <s v="Onroll"/>
    <s v="M-8"/>
    <n v="8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1"/>
    <m/>
    <s v="Sales Steering &amp; BD"/>
    <s v="Product Branding"/>
    <s v=""/>
    <s v="Non Technical Support"/>
    <s v="Sales &amp; Marketing"/>
    <s v="Sales &amp; Marketing"/>
    <s v="73101001"/>
    <s v="Sales &amp; Marketing"/>
    <s v="Mumbai"/>
    <d v="1997-06-19T00:00:00"/>
    <s v="26.03"/>
    <d v="2021-08-17T00:00:00"/>
    <d v="2055-06-30T00:00:00"/>
    <m/>
    <d v="2055-06-30T00:00:00"/>
    <n v="11606"/>
    <s v="B+"/>
    <s v="MBA-2021 , BCom-2018 , Intermediate-2015"/>
    <s v=""/>
    <s v="02.01"/>
    <s v="02.01"/>
    <s v="00044762"/>
    <s v="Branding"/>
    <s v="256055"/>
    <s v="Brand Manager"/>
    <s v="Corporate"/>
    <s v="0080000001"/>
    <s v="Head-Marketing"/>
    <s v="2000CS"/>
    <s v="20056091"/>
    <s v="Pooja Rawal"/>
    <s v="No"/>
    <s v="ameesha.khandelwal@amns.in"/>
    <s v="7016451049"/>
    <s v="849397"/>
    <s v="Dhruv Vyas"/>
    <s v="Anil Matoo"/>
    <s v="Praveen Kuruvalli"/>
    <s v="Dhruv Vyas"/>
    <n v="0"/>
  </r>
  <r>
    <n v="4088"/>
    <n v="20055874"/>
    <s v="Meet Pandit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1"/>
    <m/>
    <s v="Sales Steering &amp; BD"/>
    <s v="Product Branding"/>
    <s v=""/>
    <s v="Non Technical Support"/>
    <s v="Sales &amp; Marketing"/>
    <s v="Sales &amp; Marketing"/>
    <s v="73101001"/>
    <s v="Sales &amp; Marketing"/>
    <s v="Mumbai"/>
    <d v="1997-08-06T00:00:00"/>
    <s v="26.01"/>
    <d v="2021-08-17T00:00:00"/>
    <d v="2055-08-31T00:00:00"/>
    <m/>
    <d v="2055-08-31T00:00:00"/>
    <n v="11668"/>
    <s v="AB+"/>
    <s v="MBA-2021 , BTech-2019 , Intermediate-201"/>
    <s v=""/>
    <s v="02.01"/>
    <s v="02.01"/>
    <s v="00044762"/>
    <s v="Branding"/>
    <s v="256056"/>
    <s v="Brand Manager"/>
    <s v="Corporate"/>
    <s v="0080000001"/>
    <s v="Head-Marketing"/>
    <s v="2000CS"/>
    <s v="20056091"/>
    <s v="Pooja Rawal"/>
    <s v="No"/>
    <s v="meet.pandit@amns.in"/>
    <s v="7016455896"/>
    <s v="849398"/>
    <s v="Dhruv Vyas"/>
    <s v="Anil Matoo"/>
    <s v="Praveen Kuruvalli"/>
    <s v="Dhruv Vyas"/>
    <n v="0"/>
  </r>
  <r>
    <n v="4089"/>
    <n v="20055879"/>
    <s v="Mahima Champaneria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Management Trainee 2021"/>
    <m/>
    <s v="Performance Management"/>
    <s v="Performance Management"/>
    <s v=""/>
    <s v="Non Technical Support"/>
    <s v="Human Resources Management"/>
    <s v="Human Resources Management"/>
    <s v="73501002"/>
    <s v="Human Resources Operation"/>
    <s v="AM/NS Hazira"/>
    <d v="1998-11-13T00:00:00"/>
    <s v="24.10"/>
    <d v="2021-08-17T00:00:00"/>
    <d v="2056-11-30T00:00:00"/>
    <m/>
    <d v="2056-11-30T00:00:00"/>
    <n v="12125"/>
    <s v="A+"/>
    <s v="MBA-2021 , Bachelor Equivalent-2017 , In"/>
    <s v=""/>
    <s v="02.01"/>
    <s v="02.01"/>
    <s v="00049304"/>
    <s v="PM - Internal Control"/>
    <s v="70495104"/>
    <s v="Management Trainee 2021"/>
    <s v="Hazira"/>
    <s v="0031950043"/>
    <s v="HZ-Performance Manag"/>
    <s v="2000HWO"/>
    <s v="20006833"/>
    <s v="Hardik Vasavada"/>
    <s v="No"/>
    <s v="mahima.champaneria@amns.in"/>
    <s v="7016455608"/>
    <s v="821406"/>
    <s v="Dhruv Vyas"/>
    <s v="Anil Matoo"/>
    <s v="Praveen Kuruvalli"/>
    <s v="Dhruv Vyas"/>
    <n v="0"/>
  </r>
  <r>
    <n v="4095"/>
    <n v="20055886"/>
    <s v="Parth Kathiriya"/>
    <s v="AM/NS India"/>
    <s v="Onroll"/>
    <s v="M-11"/>
    <n v="11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Engineer - Contracts"/>
    <m/>
    <s v="Contracts"/>
    <s v="Contracts"/>
    <s v=""/>
    <s v="Non Technical Support"/>
    <s v="Commercial"/>
    <s v="Contracts &amp; Tenders and E-bid"/>
    <s v="73805001"/>
    <s v="Contracts &amp; Tenders and E"/>
    <s v="Hazira"/>
    <d v="1998-07-01T00:00:00"/>
    <s v="25.02"/>
    <d v="2021-07-15T00:00:00"/>
    <d v="2056-06-30T00:00:00"/>
    <m/>
    <d v="2056-06-30T00:00:00"/>
    <n v="11972"/>
    <s v="A+"/>
    <s v="Diploma-2017 , SSLC-2014"/>
    <s v=""/>
    <s v="02.02"/>
    <s v="02.02"/>
    <s v="70495670"/>
    <s v="Contracts"/>
    <s v="256409"/>
    <s v="Engineer - Contracts"/>
    <s v="Hazira"/>
    <s v="0031950047"/>
    <s v="HZ-Contracts"/>
    <s v="2000HWO"/>
    <s v="20000795"/>
    <s v="Pankaj Chaturvedi"/>
    <s v="No"/>
    <s v="parth.kathiriya@amns.in"/>
    <s v="9727740427"/>
    <s v="26010"/>
    <s v="Dhruv Vyas"/>
    <s v="Anil Matoo"/>
    <s v="Praveen Kuruvalli"/>
    <s v="Dhruv Vyas"/>
    <n v="0"/>
  </r>
  <r>
    <n v="4164"/>
    <n v="20055959"/>
    <s v="Rajesh Kumar Pradhan"/>
    <s v="AM/NS India"/>
    <s v="Onroll"/>
    <s v="M-7"/>
    <n v="7"/>
    <m/>
    <s v="MM"/>
    <s v="M"/>
    <s v="Odisha"/>
    <n v="2"/>
    <s v="2031"/>
    <x v="10"/>
    <s v="14.01"/>
    <s v="Ranjan Dhar"/>
    <s v="Alain Legrix De La Salle"/>
    <n v="3"/>
    <s v="Sales &amp; Marketing"/>
    <s v="Sales &amp; Marketing"/>
    <s v="14"/>
    <s v="Lead – Iron Ore Sales (Domestic)"/>
    <m/>
    <s v="Iron Ore &amp; Infra"/>
    <s v="Iron Ore &amp; Infra"/>
    <s v=""/>
    <s v="Non Technical Support"/>
    <s v="Commercial"/>
    <s v="Procurement"/>
    <s v="73803001"/>
    <s v="Procurement"/>
    <s v="Bhubaneswar"/>
    <d v="1986-07-11T00:00:00"/>
    <s v="37.02"/>
    <d v="2021-08-17T00:00:00"/>
    <d v="2044-07-31T00:00:00"/>
    <m/>
    <d v="2044-07-31T00:00:00"/>
    <n v="7620"/>
    <s v="B+"/>
    <s v="PG Diploma-2009 , BTech-2007 , Intermedi"/>
    <s v="10.10"/>
    <s v="02.01"/>
    <s v="12.10"/>
    <s v="00044347"/>
    <s v="Sales - Iron Ore"/>
    <s v="256857"/>
    <s v="Lead – Iron Ore Sales (Domestic)"/>
    <s v="Odisha"/>
    <s v="0031950048"/>
    <s v="HZ-Procurment Depart"/>
    <s v="2000STORIS"/>
    <s v="20003630"/>
    <s v="Mukul Manchanda"/>
    <s v="No"/>
    <s v="rajesh.pradhan@amns.in"/>
    <s v="9937017593"/>
    <s v="850355"/>
    <s v="Sunila Das"/>
    <s v="Anil Matoo"/>
    <s v="Praveen Kuruvalli"/>
    <s v="Sunila Das"/>
    <n v="0"/>
  </r>
  <r>
    <n v="4165"/>
    <n v="20055961"/>
    <s v="Ayesha Gaglani"/>
    <s v="AM/NS India"/>
    <s v="Onroll"/>
    <s v="M-7"/>
    <n v="7"/>
    <m/>
    <s v="M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Sr. Lead - Iron Ore Sales Exports"/>
    <m/>
    <s v="Iron Ore &amp; Infra"/>
    <s v="Iron Ore &amp; Infra"/>
    <s v=""/>
    <s v="Non Technical Support"/>
    <s v="Commercial"/>
    <s v="Procurement"/>
    <s v="73803001"/>
    <s v="Procurement"/>
    <s v="Mumbai"/>
    <d v="1985-09-12T00:00:00"/>
    <s v="38.00"/>
    <d v="2021-08-18T00:00:00"/>
    <d v="2043-09-30T00:00:00"/>
    <m/>
    <d v="2043-09-30T00:00:00"/>
    <n v="7315"/>
    <s v="O+"/>
    <s v="PG Diploma-2014 , BE-2008 , Intermediate"/>
    <s v="10.04"/>
    <s v="02.01"/>
    <s v="12.05"/>
    <s v="00044347"/>
    <s v="Sales - Iron Ore"/>
    <s v="256859"/>
    <s v="Sr. Lead - Iron Ore Sales Exports"/>
    <s v="Corporate"/>
    <s v="0031950048"/>
    <s v="HZ-Procurment Depart"/>
    <s v="2000CS"/>
    <s v="20003630"/>
    <s v="Mukul Manchanda"/>
    <s v="No"/>
    <s v="ayesha.gaglani@amns.in"/>
    <s v="7894414970"/>
    <s v="850365"/>
    <s v="Dhruv Vyas"/>
    <s v="Anil Matoo"/>
    <s v="Praveen Kuruvalli"/>
    <s v="Dhruv Vyas"/>
    <n v="0"/>
  </r>
  <r>
    <n v="4166"/>
    <n v="20055962"/>
    <s v="Navin Kewalramani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– GST"/>
    <m/>
    <s v="Taxation"/>
    <s v="In Direct - Taxation"/>
    <s v=""/>
    <s v="Non Technical Support"/>
    <s v="Finance &amp; Accounts"/>
    <s v="Taxation"/>
    <s v="73904002"/>
    <s v="Indirect Taxation"/>
    <s v="AM/NS Hazira"/>
    <d v="1972-12-05T00:00:00"/>
    <s v="50.09"/>
    <d v="2021-08-19T00:00:00"/>
    <d v="2030-12-31T00:00:00"/>
    <m/>
    <d v="2030-12-31T00:00:00"/>
    <n v="2659"/>
    <s v="O+"/>
    <s v="CA Final-2004 , BCom-1995 , Intermediate"/>
    <s v="16.00"/>
    <s v="02.01"/>
    <s v="18.00"/>
    <s v="70282653"/>
    <s v="GST"/>
    <s v="256860"/>
    <s v="Head – GST"/>
    <s v="Hazira"/>
    <s v="0090000033"/>
    <s v="Corporate Taxation"/>
    <s v="2000HWO"/>
    <s v="20055193"/>
    <s v="Anuprita Kaushik Mehta"/>
    <s v="No"/>
    <s v="navin.kewalramani@amns.in"/>
    <s v="9510858997"/>
    <s v="850385"/>
    <s v="Dhruv Vyas"/>
    <s v="Anil Matoo"/>
    <s v="Praveen Kuruvalli"/>
    <s v="Dhruv Vyas"/>
    <n v="0"/>
  </r>
  <r>
    <n v="4172"/>
    <n v="20055971"/>
    <s v="Mohit Rank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Accounts Receivable"/>
    <m/>
    <s v="Working Capital"/>
    <s v="Accounts Receivable"/>
    <s v=""/>
    <s v="Non Technical Support"/>
    <s v=""/>
    <s v=""/>
    <s v=""/>
    <s v=""/>
    <s v="Khopoli"/>
    <d v="1991-07-15T00:00:00"/>
    <s v="32.02"/>
    <d v="2021-08-23T00:00:00"/>
    <d v="2049-07-31T00:00:00"/>
    <m/>
    <d v="2049-07-31T00:00:00"/>
    <n v="9446"/>
    <s v="AB+"/>
    <s v="BCom-2012 , CA Inter-2011 , Intermediate"/>
    <s v="04.05"/>
    <s v="02.00"/>
    <s v="06.05"/>
    <s v="70495565"/>
    <s v="F&amp;A Hypermart &amp; Service Centre"/>
    <s v="256995"/>
    <s v="Lead – Accounts Receivable"/>
    <s v="Hazira"/>
    <s v="0031950045"/>
    <s v="HZ-Works Accounts-Ha"/>
    <s v="2000HWO"/>
    <s v="20055504"/>
    <s v="Vivek Choudhary"/>
    <s v="No"/>
    <s v="mohit.ranka@amns.in"/>
    <s v="9510864658"/>
    <s v="850577"/>
    <s v="Dhruv Vyas"/>
    <s v="Anil Matoo"/>
    <s v="Praveen Kuruvalli"/>
    <s v="Dhruv Vyas"/>
    <n v="0"/>
  </r>
  <r>
    <n v="4179"/>
    <n v="20055985"/>
    <s v="Dilip Chandra Gelli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– Plate Sales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86-08-13T00:00:00"/>
    <s v="37.01"/>
    <d v="2021-09-02T00:00:00"/>
    <d v="2044-08-31T00:00:00"/>
    <m/>
    <d v="2044-08-31T00:00:00"/>
    <n v="7651"/>
    <s v="B+"/>
    <s v="MTech-2015 , AMIE-2010 , Intermediate-20"/>
    <s v="16.08"/>
    <s v="02.00"/>
    <s v="18.08"/>
    <s v="00052467"/>
    <s v="Plate"/>
    <s v="257876"/>
    <s v="Section Head – Plate Products"/>
    <s v="Corporate"/>
    <s v="0031950057"/>
    <s v="HZ-HRC - Marketing"/>
    <s v="2000CS"/>
    <s v="20008508"/>
    <s v="Satyajit Mohapatra"/>
    <s v="No"/>
    <s v="dilip.chandra@amns.in"/>
    <s v="9867776419"/>
    <s v="851934"/>
    <s v="Dhruv Vyas"/>
    <s v="Anil Matoo"/>
    <s v="Praveen Kuruvalli"/>
    <s v="Dhruv Vyas"/>
    <n v="0"/>
  </r>
  <r>
    <n v="4187"/>
    <n v="20056010"/>
    <s v="Maheswar Gupta"/>
    <s v="AM/NS India"/>
    <s v="Onroll"/>
    <s v="M-8"/>
    <n v="8"/>
    <m/>
    <s v="JM"/>
    <s v="M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Assurance &amp; Cost Control"/>
    <s v="Assurance &amp; Cost Control"/>
    <s v="73401001"/>
    <s v="Assurance &amp; Cost Control"/>
    <s v="Paradeep"/>
    <d v="1993-05-22T00:00:00"/>
    <s v="30.03"/>
    <d v="2021-09-06T00:00:00"/>
    <d v="2051-05-31T00:00:00"/>
    <m/>
    <d v="2051-05-31T00:00:00"/>
    <n v="10115"/>
    <s v="O+"/>
    <s v="MCom-2020 , BCom-2017 , CA Final-2016 ,"/>
    <s v="05.03"/>
    <s v="02.00"/>
    <s v="07.03"/>
    <s v="00044333"/>
    <s v="Internal Audit -Odisha"/>
    <s v="70310796"/>
    <s v="Lead - Internal Audit"/>
    <s v="Odisha"/>
    <s v="0090000035"/>
    <s v="Internal Audit"/>
    <s v="2000STORIS"/>
    <s v="20055745"/>
    <s v="Ajay Kumar Sharma"/>
    <s v="No"/>
    <s v="maheshwar.gupta@amns.in"/>
    <s v="9040394484"/>
    <s v="853925"/>
    <s v="Dhruv Vyas"/>
    <s v="Anil Matoo"/>
    <s v="Praveen Kuruvalli"/>
    <s v="Dhruv Vyas"/>
    <n v="0"/>
  </r>
  <r>
    <n v="4189"/>
    <n v="20056012"/>
    <s v="Ujwal Punia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Incharge Administration"/>
    <m/>
    <s v="Security, Vigilance &amp; Fire Services"/>
    <s v=""/>
    <s v=""/>
    <s v="Non Technical Support"/>
    <s v="Administration"/>
    <s v="Administration"/>
    <s v="74101001"/>
    <s v="Administration"/>
    <s v="Hazira"/>
    <d v="1984-09-10T00:00:00"/>
    <s v="39.00"/>
    <d v="2021-09-09T00:00:00"/>
    <d v="2042-09-30T00:00:00"/>
    <m/>
    <d v="2042-09-30T00:00:00"/>
    <n v="6950"/>
    <s v="B+"/>
    <s v="PG Diploma-2012 , LLB-2007 , BA-2004 , I"/>
    <s v="13.06"/>
    <s v="02.00"/>
    <s v="15.06"/>
    <s v="00049721"/>
    <s v="Regional &amp; Corporate offices"/>
    <s v="258976"/>
    <s v="Lead-Administration"/>
    <s v="Hazira"/>
    <s v="0031950030"/>
    <s v="HZ-Admin"/>
    <s v="2000HWO"/>
    <s v="20057888"/>
    <s v="Narinder Lamba"/>
    <s v="No"/>
    <s v="ujwal.punia@amns.in"/>
    <s v="7016462730"/>
    <s v="854007"/>
    <s v="Manjit Shah"/>
    <s v="Anil Matoo"/>
    <s v="Praveen Kuruvalli"/>
    <s v="Lakshman Iyer"/>
    <n v="0"/>
  </r>
  <r>
    <n v="4197"/>
    <n v="20056020"/>
    <s v="Samarjeet Ghosh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– Capex Services"/>
    <m/>
    <s v="Capex Procurement"/>
    <s v="Capex Procurement"/>
    <s v=""/>
    <s v="Non Technical Support"/>
    <s v="Operations"/>
    <s v="Operations"/>
    <s v="72103001"/>
    <s v="Operations"/>
    <s v="Hazira"/>
    <d v="1996-01-02T00:00:00"/>
    <s v="27.08"/>
    <d v="2021-09-18T00:00:00"/>
    <d v="2054-01-31T00:00:00"/>
    <m/>
    <d v="2054-01-31T00:00:00"/>
    <n v="11091"/>
    <s v="AB+"/>
    <s v="BTech-2018 , Intermediate-2013 , SSLC-20"/>
    <s v="03.03"/>
    <s v="02.00"/>
    <s v="05.02"/>
    <s v="00049359"/>
    <s v="Capex Services"/>
    <s v="259465"/>
    <s v="Officer– Capex Services"/>
    <s v="Hazira"/>
    <s v="0031950059"/>
    <s v="HZ-Hazira Project"/>
    <s v="2000HWO"/>
    <s v="20055446"/>
    <s v="Chitrang Rana"/>
    <s v="No"/>
    <s v="samarjeet.ghosh@amns.in"/>
    <s v="8160929757"/>
    <s v="855758"/>
    <s v="Dhruv Vyas"/>
    <s v="Anil Matoo"/>
    <s v="Praveen Kuruvalli"/>
    <s v="Dhruv Vyas"/>
    <n v="0"/>
  </r>
  <r>
    <n v="4204"/>
    <n v="20056028"/>
    <s v="Ashish Vitthalrao Raut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– Technical Marketing &amp; Application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Ahmedabad"/>
    <d v="1990-12-03T00:00:00"/>
    <s v="32.09"/>
    <d v="2021-09-27T00:00:00"/>
    <d v="2048-12-31T00:00:00"/>
    <m/>
    <d v="2048-12-31T00:00:00"/>
    <n v="9234"/>
    <s v="B+"/>
    <s v="BE-2012 , Intermediate-2008 , SSLC-2006"/>
    <s v="08.03"/>
    <s v="01.11"/>
    <s v="10.02"/>
    <s v="00052460"/>
    <s v="Auto &amp; YG"/>
    <s v="260497"/>
    <s v="Lead – Application Engineer"/>
    <s v="Hazira"/>
    <s v="0031950057"/>
    <s v="HZ-HRC - Marketing"/>
    <s v="2000HWO"/>
    <s v="20056155"/>
    <s v="Kondapalli Venkateswarlu"/>
    <s v="No"/>
    <s v="ashish.raut@amns.in"/>
    <s v="7775833791"/>
    <s v="857813"/>
    <s v="Dhruv Vyas"/>
    <s v="Anil Matoo"/>
    <s v="Praveen Kuruvalli"/>
    <s v="Dhruv Vyas"/>
    <n v="0"/>
  </r>
  <r>
    <n v="4205"/>
    <n v="20056029"/>
    <s v="Ananya Maitra"/>
    <s v="AM/NS India"/>
    <s v="Onroll"/>
    <s v="M-4"/>
    <n v="4"/>
    <m/>
    <s v="SM"/>
    <s v="F"/>
    <s v="Hazira"/>
    <n v="1"/>
    <s v="2013"/>
    <x v="0"/>
    <s v="20.01"/>
    <s v="Akiyo Omori"/>
    <s v="Amit Harlalka"/>
    <n v="5"/>
    <s v="Finance &amp; Accounts"/>
    <s v="Finance &amp; Accounts"/>
    <s v="20"/>
    <s v="Head of Capex – Finance &amp; Controlling"/>
    <m/>
    <s v="Capex Finance"/>
    <s v="Capex Finance"/>
    <s v=""/>
    <s v="Non Technical Support"/>
    <s v="Finance &amp; Accounts"/>
    <s v="Costing"/>
    <s v="73906001"/>
    <s v="Costing"/>
    <s v="AM/NS Hazira"/>
    <d v="1974-06-05T00:00:00"/>
    <s v="49.03"/>
    <d v="2021-09-30T00:00:00"/>
    <d v="2032-06-30T00:00:00"/>
    <m/>
    <d v="2032-06-30T00:00:00"/>
    <n v="3206"/>
    <s v="A+"/>
    <s v="Master's Equivalent-1998 , BSc-1996 , In"/>
    <s v="33.00"/>
    <s v="01.11"/>
    <s v="35.00"/>
    <s v="00045705"/>
    <s v="Capex – Finance &amp; Controlling"/>
    <s v="260496"/>
    <s v="Head of Capex – Finance &amp; Controlling"/>
    <s v="Hazira"/>
    <s v="0090000038"/>
    <s v="CAPEX FINANCE"/>
    <s v="2000HWO"/>
    <s v="20057933"/>
    <s v="Akiyo Omori"/>
    <s v="No"/>
    <s v="ananya.maitra@amns.in"/>
    <s v="9820409423"/>
    <s v="857829"/>
    <s v="Dhruv Vyas"/>
    <s v="Anil Matoo"/>
    <s v="Praveen Kuruvalli"/>
    <s v="Dhruv Vyas"/>
    <n v="0"/>
  </r>
  <r>
    <n v="4209"/>
    <n v="20056033"/>
    <s v="Afreen Hanif Shaikh"/>
    <s v="AM/NS India"/>
    <s v="Onroll"/>
    <s v="M-9"/>
    <n v="9"/>
    <m/>
    <s v="JM"/>
    <s v="F"/>
    <s v="Corporate"/>
    <n v="7"/>
    <s v="2014"/>
    <x v="16"/>
    <s v="03.01"/>
    <s v="Nilesh Likhite"/>
    <s v="Dilip Oommen"/>
    <n v="1"/>
    <s v="CEO Office"/>
    <s v="Internal Audit"/>
    <s v="03"/>
    <s v="Officer - Internal Audit"/>
    <m/>
    <s v="Internal Audit"/>
    <s v=""/>
    <s v=""/>
    <s v="Non Technical Support"/>
    <s v="Chairman's Secretariat"/>
    <s v="Chairman's Secretariat"/>
    <s v="74701000"/>
    <s v="Chairman's Secretariat"/>
    <s v="Mumbai"/>
    <d v="1992-02-29T00:00:00"/>
    <s v="31.06"/>
    <d v="2021-10-04T00:00:00"/>
    <d v="2050-02-28T00:00:00"/>
    <m/>
    <d v="2050-02-28T00:00:00"/>
    <n v="9658"/>
    <s v="B+"/>
    <s v="BCom-2012 , High School-2009 , SSLC-2007"/>
    <s v="09.01"/>
    <s v="01.11"/>
    <s v="11.00"/>
    <s v="00044335"/>
    <s v="Internal Audit Corporate"/>
    <s v="261002"/>
    <s v="Officer - Internal Audit Corporate Asset"/>
    <s v="Corporate"/>
    <s v="0090000035"/>
    <s v="Internal Audit"/>
    <s v="2000CS"/>
    <s v="20055802"/>
    <s v="Pawan Kumar Baid"/>
    <s v="No"/>
    <s v="afreen.shaikh@amns.in"/>
    <s v="9867181893"/>
    <s v="858640"/>
    <s v="Dhruv Vyas"/>
    <s v="Anil Matoo"/>
    <s v="Praveen Kuruvalli"/>
    <s v="Dhruv Vyas"/>
    <n v="0"/>
  </r>
  <r>
    <n v="4211"/>
    <n v="20056035"/>
    <s v="Arjun Ranjan Ogale"/>
    <s v="AM/NS India"/>
    <s v="Onroll"/>
    <s v="M-6"/>
    <n v="6"/>
    <m/>
    <s v="MM"/>
    <s v="M"/>
    <s v="Hazira"/>
    <n v="1"/>
    <s v="2270"/>
    <x v="25"/>
    <s v="38.01"/>
    <s v="Hrishikesh Kamat"/>
    <s v="Hrishikesh Kamat"/>
    <n v="7"/>
    <s v="Procurement"/>
    <s v="Logistics"/>
    <s v="38"/>
    <s v="Lead – Logistics"/>
    <m/>
    <s v="Logistics"/>
    <s v="Logistics"/>
    <s v=""/>
    <s v="Non Technical Support"/>
    <s v=""/>
    <s v=""/>
    <s v="70494644"/>
    <s v="Chief Procurement Officer"/>
    <s v="AM/NS Hazira"/>
    <d v="1984-01-14T00:00:00"/>
    <s v="39.08"/>
    <d v="2021-10-01T00:00:00"/>
    <d v="2042-01-31T00:00:00"/>
    <m/>
    <d v="2042-01-31T00:00:00"/>
    <n v="6708"/>
    <s v="B+"/>
    <s v="MBA-2009 , BE-2005 , Intermediate-2001 ,"/>
    <s v="14.11"/>
    <s v="01.11"/>
    <s v="16.10"/>
    <s v="70495712"/>
    <s v="Logistics"/>
    <s v="261001"/>
    <s v="Lead – Logistics"/>
    <s v="Hazira"/>
    <s v="0031950053"/>
    <s v="HZ-Logistics"/>
    <s v="2000HWO"/>
    <s v="20055688"/>
    <s v="Vibhavana Jaiswal"/>
    <s v="No"/>
    <s v="arjun.ogale@amns.in"/>
    <s v="9925246242"/>
    <s v="795217"/>
    <s v="Dhruv Vyas"/>
    <s v="Anil Matoo"/>
    <s v="Praveen Kuruvalli"/>
    <s v="Dhruv Vyas"/>
    <n v="0"/>
  </r>
  <r>
    <n v="4213"/>
    <n v="20056037"/>
    <s v="Ashish Hasmukhrai Sutaria"/>
    <s v="AM/NS India"/>
    <s v="Onroll"/>
    <s v="M-5"/>
    <n v="5"/>
    <m/>
    <s v="MM"/>
    <s v="M"/>
    <s v="Hazira"/>
    <n v="1"/>
    <s v="2270"/>
    <x v="25"/>
    <s v="38.01"/>
    <s v="Hrishikesh Kamat"/>
    <s v="Hrishikesh Kamat"/>
    <n v="7"/>
    <s v="Procurement"/>
    <s v="Logistics"/>
    <s v="38"/>
    <s v="Sr. Lead – Logistics"/>
    <m/>
    <s v="Logistics"/>
    <s v="Logistics"/>
    <s v=""/>
    <s v="Non Technical Support"/>
    <s v=""/>
    <s v=""/>
    <s v="70494644"/>
    <s v="Chief Procurement Officer"/>
    <s v="AM/NS Hazira"/>
    <d v="1976-09-12T00:00:00"/>
    <s v="47.00"/>
    <d v="2021-10-01T00:00:00"/>
    <d v="2034-09-30T00:00:00"/>
    <m/>
    <d v="2034-09-30T00:00:00"/>
    <n v="4028"/>
    <s v="B+"/>
    <s v="MBA-2007 , BCom-1996 , Intermediate-1993"/>
    <s v="25.00"/>
    <s v="01.11"/>
    <s v="27.00"/>
    <s v="70495712"/>
    <s v="Logistics"/>
    <s v="261000"/>
    <s v="Sr. Lead – Logistics"/>
    <s v="Hazira"/>
    <s v="0031950053"/>
    <s v="HZ-Logistics"/>
    <s v="2000HWO"/>
    <s v="20055688"/>
    <s v="Vibhavana Jaiswal"/>
    <s v="No"/>
    <s v="ashish.sutaria@amns.in"/>
    <s v="9879203054"/>
    <s v="795213"/>
    <s v="Dhruv Vyas"/>
    <s v="Anil Matoo"/>
    <s v="Praveen Kuruvalli"/>
    <s v="Dhruv Vyas"/>
    <n v="0"/>
  </r>
  <r>
    <n v="4218"/>
    <n v="20056045"/>
    <s v="Patel Vikas Amitbhai"/>
    <s v="AM/NS India"/>
    <s v="Onroll"/>
    <s v="M-8"/>
    <n v="8"/>
    <m/>
    <s v="J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"/>
    <s v=""/>
    <s v="Non Technical Support"/>
    <s v="Commercial"/>
    <s v="Contracts &amp; Tenders and E-bid"/>
    <s v="73805001"/>
    <s v="Contracts &amp; Tenders and E"/>
    <s v="AM/NS Hazira"/>
    <d v="1988-07-11T00:00:00"/>
    <s v="35.02"/>
    <d v="2021-10-18T00:00:00"/>
    <d v="2046-07-31T00:00:00"/>
    <m/>
    <d v="2046-07-31T00:00:00"/>
    <n v="8350"/>
    <s v="O+"/>
    <s v="MBA-2010 , Bachelor Equivalent-2008 , In"/>
    <s v="11.07"/>
    <s v="01.11"/>
    <s v="13.05"/>
    <s v="70495436"/>
    <s v="Land Property"/>
    <s v="261995"/>
    <s v="Lead - Land Matters"/>
    <s v="Hazira"/>
    <s v="0031950038"/>
    <s v="HZ-Hazira Land Acqui"/>
    <s v="2000HWO"/>
    <s v="20055714"/>
    <s v="Dipakkumar Shah"/>
    <s v="No"/>
    <s v="vikas.patel1@amns.in"/>
    <s v="9824163653"/>
    <s v="859864"/>
    <s v="Dhruv Vyas"/>
    <s v="Anil Matoo"/>
    <s v="Praveen Kuruvalli"/>
    <s v="Dhruv Vyas"/>
    <n v="0"/>
  </r>
  <r>
    <n v="4220"/>
    <n v="20056052"/>
    <s v="Kishan Patel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Procurement MRO Hazira"/>
    <s v="Procurement"/>
    <s v=""/>
    <s v="Non Technical Support"/>
    <s v=""/>
    <s v=""/>
    <s v=""/>
    <s v=""/>
    <s v="AM/NS Hazira"/>
    <d v="1996-11-28T00:00:00"/>
    <s v="26.09"/>
    <d v="2021-10-25T00:00:00"/>
    <d v="2054-11-30T00:00:00"/>
    <m/>
    <d v="2054-11-30T00:00:00"/>
    <n v="11394"/>
    <s v=""/>
    <s v="Diploma-2018 , Intermediate-2014 , SSLC-"/>
    <s v=""/>
    <s v="01.10"/>
    <s v="01.10"/>
    <s v="00044542"/>
    <s v="Procurement -Ferroalloys"/>
    <s v="262547"/>
    <s v="Engineer"/>
    <s v="Hazira"/>
    <s v="0031950048"/>
    <s v="HZ-Procurment Depart"/>
    <s v="2000HWO"/>
    <s v="20001370"/>
    <s v="Tejas Desai"/>
    <s v="No"/>
    <s v="kishan.patel@amns.in"/>
    <s v="9879100716"/>
    <s v="792097"/>
    <s v="Dhruv Vyas"/>
    <s v="Anil Matoo"/>
    <s v="Praveen Kuruvalli"/>
    <s v="Dhruv Vyas"/>
    <n v="0"/>
  </r>
  <r>
    <n v="4231"/>
    <n v="20056067"/>
    <s v="Deep Patel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Procurement MRO Hazira"/>
    <s v="Procurement"/>
    <s v=""/>
    <s v="Non Technical Support"/>
    <s v=""/>
    <s v=""/>
    <s v=""/>
    <s v=""/>
    <s v="AM/NS Hazira"/>
    <d v="1994-03-23T00:00:00"/>
    <s v="29.05"/>
    <d v="2021-10-25T00:00:00"/>
    <d v="2052-03-31T00:00:00"/>
    <m/>
    <d v="2052-03-31T00:00:00"/>
    <n v="10420"/>
    <s v=""/>
    <s v="Diploma-2014 , High School-2011 , SSLC-2"/>
    <s v=""/>
    <s v="01.10"/>
    <s v="01.10"/>
    <s v="70266350"/>
    <s v="Zinc, Elect, Instrumentation, Automation"/>
    <s v="262540"/>
    <s v="Engineer"/>
    <s v="Hazira"/>
    <s v="0031950048"/>
    <s v="HZ-Procurment Depart"/>
    <s v="2000HWO"/>
    <s v="20002746"/>
    <s v="Deep Pyne"/>
    <s v="No"/>
    <s v="deepkumar.patel@amns.in"/>
    <s v="9879102307"/>
    <s v="26031"/>
    <s v="Dhruv Vyas"/>
    <s v="Anil Matoo"/>
    <s v="Praveen Kuruvalli"/>
    <s v="Dhruv Vyas"/>
    <n v="0"/>
  </r>
  <r>
    <n v="4243"/>
    <n v="20056083"/>
    <s v="Neeraj Sharma"/>
    <s v="AM/NS India"/>
    <s v="Onroll"/>
    <s v="M-5"/>
    <n v="5"/>
    <m/>
    <s v="MM"/>
    <s v="M"/>
    <s v="Hazira"/>
    <n v="1"/>
    <s v="2069"/>
    <x v="8"/>
    <s v="25.01"/>
    <s v="Bibek Chattopadhyay"/>
    <s v="Ashutosh Telang"/>
    <n v="6"/>
    <s v="HR &amp; Administration"/>
    <s v="Corporate Communications"/>
    <s v="25"/>
    <s v="Head – Corporate Communication, Gujarat"/>
    <m/>
    <s v="Corporate Communications"/>
    <s v=""/>
    <s v=""/>
    <s v="Non Technical Support"/>
    <s v="Corporate Communication"/>
    <s v="Corporate Communication"/>
    <s v="74001001"/>
    <s v="Corporate Communication"/>
    <s v="Hazira"/>
    <d v="1981-03-10T00:00:00"/>
    <s v="42.06"/>
    <d v="2021-11-01T00:00:00"/>
    <d v="2039-03-31T00:00:00"/>
    <m/>
    <d v="2039-03-31T00:00:00"/>
    <n v="5671"/>
    <s v="O+"/>
    <s v="PG Diploma-2008 , BE-2005 , Intermediate"/>
    <s v="09.01"/>
    <s v="01.10"/>
    <s v="11.00"/>
    <s v="00047290"/>
    <s v="Communication Gujrat"/>
    <s v="263146"/>
    <s v="Head – Corporate Communication, Gujarat"/>
    <s v="Hazira"/>
    <s v="0090000016"/>
    <s v="Corporate Steel - Co"/>
    <s v="2000HWO"/>
    <s v="20055187"/>
    <s v="Bibek Chattopadhyay"/>
    <s v="No"/>
    <s v="neeraj.sharma@amns.in"/>
    <s v="9099933725"/>
    <s v="862084"/>
    <s v="Dhruv Vyas"/>
    <s v="Anil Matoo"/>
    <s v="Praveen Kuruvalli"/>
    <s v="Dhruv Vyas"/>
    <n v="0"/>
  </r>
  <r>
    <n v="4249"/>
    <n v="20056091"/>
    <s v="Pooja Rawal"/>
    <s v="AM/NS India"/>
    <s v="Onroll"/>
    <s v="M-6"/>
    <n v="6"/>
    <m/>
    <s v="M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Branding Manager"/>
    <m/>
    <s v="Sales Steering &amp; BD"/>
    <s v="Product Branding"/>
    <s v=""/>
    <s v="Non Technical Support"/>
    <s v=""/>
    <s v=""/>
    <s v="70494645"/>
    <s v="Head of Sales BD"/>
    <s v="Mumbai"/>
    <d v="1982-06-27T00:00:00"/>
    <s v="41.02"/>
    <d v="2021-11-01T00:00:00"/>
    <d v="2040-06-30T00:00:00"/>
    <m/>
    <d v="2040-06-30T00:00:00"/>
    <n v="6128"/>
    <s v="B+"/>
    <s v="PG Diploma-2007 , BE-2005 , Intermediate"/>
    <s v="14.09"/>
    <s v="01.10"/>
    <s v="16.07"/>
    <s v="00044762"/>
    <s v="Branding"/>
    <s v="263147"/>
    <s v="Head - Product Branding"/>
    <s v="Corporate"/>
    <s v="0080000001"/>
    <s v="Head-Marketing"/>
    <s v="2000CS"/>
    <s v="20010531"/>
    <s v="Saptarshi Saha"/>
    <s v="No"/>
    <s v="pooja.rawal@amns.in"/>
    <s v="9920613525"/>
    <s v="862850"/>
    <s v="Dhruv Vyas"/>
    <s v="Anil Matoo"/>
    <s v="Praveen Kuruvalli"/>
    <s v="Dhruv Vyas"/>
    <n v="0"/>
  </r>
  <r>
    <n v="4250"/>
    <n v="20056092"/>
    <s v="Sidra Shireen Kabir"/>
    <s v="AM/NS Middle East FZE"/>
    <s v="Onroll"/>
    <s v="M-9"/>
    <n v="9"/>
    <m/>
    <s v="JM"/>
    <s v="F"/>
    <s v="Dubai"/>
    <n v="10"/>
    <s v="2502"/>
    <x v="10"/>
    <s v="14.01"/>
    <s v="Ranjan Dhar"/>
    <s v="Alain Legrix De La Salle"/>
    <n v="3"/>
    <s v="Sales &amp; Marketing"/>
    <s v="Sales &amp; Marketing"/>
    <s v="14"/>
    <s v="Lead Sales"/>
    <m/>
    <s v="Sales ME"/>
    <s v="Sales ME"/>
    <s v=""/>
    <s v=""/>
    <s v="Sales &amp; Marketing"/>
    <s v="Sales &amp; Marketing"/>
    <s v="73101001"/>
    <s v="Sales &amp; Marketing"/>
    <s v="Dubai"/>
    <d v="1991-11-19T00:00:00"/>
    <s v="31.09"/>
    <d v="2021-11-07T00:00:00"/>
    <d v="2049-11-30T00:00:00"/>
    <m/>
    <d v="2049-11-30T00:00:00"/>
    <n v="9568"/>
    <s v="B+"/>
    <s v="MBA-2016 , Intermediate-2009 , SSLC-2007"/>
    <s v="01.06"/>
    <s v="01.10"/>
    <s v="03.04"/>
    <s v="70495379"/>
    <s v="Chief Marketing Officer - AMNS ME FZE"/>
    <s v="263577"/>
    <s v="Sales Manager ME"/>
    <s v="AMNS Middle East FZE"/>
    <s v="0093720082"/>
    <s v="SC-Dubai-Marketing"/>
    <s v="DUBA2081"/>
    <s v="20055663"/>
    <s v="Karamath Syed"/>
    <s v="No"/>
    <s v="sidra.shireen@amns.in"/>
    <s v="971522086070"/>
    <s v="863293"/>
    <s v="Dhruv Vyas"/>
    <s v="Anil Matoo"/>
    <s v="Praveen Kuruvalli"/>
    <n v="0"/>
    <n v="0"/>
  </r>
  <r>
    <n v="4260"/>
    <n v="20056103"/>
    <s v="Megha Modi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Lead – Accounts Payable"/>
    <m/>
    <s v="Working Capital"/>
    <s v="Accounts Payable"/>
    <s v=""/>
    <s v="Non Technical Support"/>
    <s v=""/>
    <s v=""/>
    <s v=""/>
    <s v=""/>
    <s v="AM/NS Hazira"/>
    <d v="1990-03-10T00:00:00"/>
    <s v="33.06"/>
    <d v="2021-11-10T00:00:00"/>
    <d v="2048-03-31T00:00:00"/>
    <m/>
    <d v="2048-03-31T00:00:00"/>
    <n v="8959"/>
    <s v="AB+"/>
    <s v="CA Final-2015 , CS-2012 , CA Inter-2011"/>
    <s v="05.04"/>
    <s v="01.10"/>
    <s v="07.02"/>
    <s v="72150243"/>
    <s v="Accounts Payable"/>
    <s v="263869"/>
    <s v="Lead – Accounts Payable"/>
    <s v="Hazira"/>
    <s v="0031950045"/>
    <s v="HZ-Works Accounts-Ha"/>
    <s v="2000HWO"/>
    <s v="20001076"/>
    <s v="Bhavesh Modi"/>
    <s v="No"/>
    <s v="megha.modi@amns.in"/>
    <s v="9167041164"/>
    <s v="864739"/>
    <s v="Dhruv Vyas"/>
    <s v="Anil Matoo"/>
    <s v="Praveen Kuruvalli"/>
    <s v="Dhruv Vyas"/>
    <n v="0"/>
  </r>
  <r>
    <n v="4264"/>
    <n v="20056108"/>
    <s v="Farhan Mehboob Virani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Direct Tax"/>
    <m/>
    <s v="Taxation"/>
    <s v="Direct - Taxation"/>
    <s v=""/>
    <s v="Non Technical Support"/>
    <s v="Finance &amp; Accounts"/>
    <s v="Taxation"/>
    <s v="73904001"/>
    <s v="Direct Taxation"/>
    <s v="Mumbai"/>
    <d v="1990-01-04T00:00:00"/>
    <s v="33.08"/>
    <d v="2021-11-16T00:00:00"/>
    <d v="2048-01-31T00:00:00"/>
    <m/>
    <d v="2048-01-31T00:00:00"/>
    <n v="8899"/>
    <s v="B+"/>
    <s v="CA Final-2012 , BCom-2010 , Intermediate"/>
    <s v="09.06"/>
    <s v="01.10"/>
    <s v="11.03"/>
    <s v="00047291"/>
    <s v="Taxation"/>
    <s v="264178"/>
    <s v="Sr. Lead Direct Tax"/>
    <s v="Corporate"/>
    <s v="0090000033"/>
    <s v="Corporate Taxation"/>
    <s v="2000CS"/>
    <s v="20055494"/>
    <s v="Vikas Soni"/>
    <s v="No"/>
    <s v="farhan.virani@amns.in"/>
    <s v="9833688214"/>
    <s v="865028"/>
    <s v="Dhruv Vyas"/>
    <s v="Anil Matoo"/>
    <s v="Praveen Kuruvalli"/>
    <s v="Dhruv Vyas"/>
    <n v="0"/>
  </r>
  <r>
    <n v="4267"/>
    <n v="20056112"/>
    <s v="Arpit Patel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Stores &amp; Warehouse"/>
    <s v="Stores &amp; Warehouse"/>
    <s v=""/>
    <s v="Non Technical Support"/>
    <s v=""/>
    <s v=""/>
    <s v=""/>
    <s v=""/>
    <s v="Hazira"/>
    <d v="1990-11-02T00:00:00"/>
    <s v="32.10"/>
    <d v="2021-11-01T00:00:00"/>
    <d v="2048-11-30T00:00:00"/>
    <m/>
    <d v="2048-11-30T00:00:00"/>
    <n v="9203"/>
    <s v=""/>
    <s v="Diploma-2011 , SSLC-2006"/>
    <s v=""/>
    <s v="01.10"/>
    <s v="01.10"/>
    <s v="00053278"/>
    <s v="GRN/Documentation/Issue - Plant A"/>
    <s v="264667"/>
    <s v="Engineer"/>
    <s v="Hazira"/>
    <s v="0031950049"/>
    <s v="HZ-Central Stores"/>
    <s v="2000HWO"/>
    <s v="20002587"/>
    <s v="Seema Mehta"/>
    <s v="No"/>
    <s v="arpit.patel2@amns.in"/>
    <s v="9909901723"/>
    <s v="792038"/>
    <s v="Dhruv Vyas"/>
    <s v="Anil Matoo"/>
    <s v="Praveen Kuruvalli"/>
    <s v="Dhruv Vyas"/>
    <n v="0"/>
  </r>
  <r>
    <n v="4285"/>
    <n v="20056133"/>
    <s v="Mukesh Kumar Agrawal"/>
    <s v="AM/NS India"/>
    <s v="Onroll"/>
    <s v="M-6"/>
    <n v="6"/>
    <m/>
    <s v="MM"/>
    <s v="M"/>
    <s v="Hazira"/>
    <n v="1"/>
    <s v="2162"/>
    <x v="18"/>
    <s v="33.01"/>
    <s v="Hrishikesh Kamat"/>
    <s v="Hrishikesh Kamat"/>
    <n v="7"/>
    <s v="Procurement"/>
    <s v="Shipping &amp; Chartering"/>
    <s v="33"/>
    <s v="Sr. Lead – Chartering"/>
    <m/>
    <s v="Shipping &amp; Chartering"/>
    <s v=""/>
    <s v=""/>
    <s v="Tech. Support Services"/>
    <s v="Commercial"/>
    <s v="Procurement"/>
    <s v="73803001"/>
    <s v="Procurement"/>
    <s v="AM/NS Hazira"/>
    <d v="1983-04-08T00:00:00"/>
    <s v="40.05"/>
    <d v="2021-11-18T00:00:00"/>
    <d v="2041-04-30T00:00:00"/>
    <m/>
    <d v="2041-04-30T00:00:00"/>
    <n v="6432"/>
    <s v="B+"/>
    <s v="PG Diploma-2012 , BSc-2010 , Diploma-200"/>
    <s v="13.09"/>
    <s v="01.10"/>
    <s v="15.06"/>
    <s v="70494731"/>
    <s v="Ports &amp; Chartering"/>
    <s v="264778"/>
    <s v="Sr. Lead – Chartering"/>
    <s v="Hazira"/>
    <s v="0031950062"/>
    <s v="Hz-Ports"/>
    <s v="2000HWO"/>
    <s v="20055075"/>
    <s v="Ashutosh Mathur"/>
    <s v="No"/>
    <s v="mukesh.agrawal@amns.in"/>
    <s v="9470152393"/>
    <s v="865525"/>
    <s v="Dhruv Vyas"/>
    <s v="Anil Matoo"/>
    <s v="Praveen Kuruvalli"/>
    <s v="Dhruv Vyas"/>
    <n v="0"/>
  </r>
  <r>
    <n v="4289"/>
    <n v="20056138"/>
    <s v="Vishal Gautam"/>
    <s v="AM/NS India"/>
    <s v="Onroll"/>
    <s v="M-9"/>
    <n v="9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Hypermart"/>
    <s v=""/>
    <s v="Non Technical Support"/>
    <s v="Sales &amp; Marketing"/>
    <s v="Sales"/>
    <s v="73104001"/>
    <s v="Sales"/>
    <s v="Jammu"/>
    <d v="1988-09-10T00:00:00"/>
    <s v="35.00"/>
    <d v="2021-11-18T00:00:00"/>
    <d v="2046-09-30T00:00:00"/>
    <m/>
    <d v="2046-09-30T00:00:00"/>
    <n v="8411"/>
    <s v="B+"/>
    <s v="MBA-2013 , BTech-2010 , Intermediate-200"/>
    <s v="08.04"/>
    <s v="01.10"/>
    <s v="10.02"/>
    <s v="00052526"/>
    <s v="Sales - North"/>
    <s v="266028"/>
    <s v="Sales Manager - Hypermart"/>
    <s v="Hypermart"/>
    <s v="0060121100"/>
    <s v="HMART-Jammu"/>
    <s v="2000SPRJ"/>
    <s v="20007322"/>
    <s v="Sanjay Bohra"/>
    <s v="No"/>
    <s v="vishal.gautam@amns.in"/>
    <s v="7341100804"/>
    <s v="867110"/>
    <s v="Dhruv Vyas"/>
    <s v="Anil Matoo"/>
    <s v="Praveen Kuruvalli"/>
    <s v="Dhruv Vyas"/>
    <n v="0"/>
  </r>
  <r>
    <n v="4297"/>
    <n v="20056146"/>
    <s v="Asvinbhai Sutarsandhiya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– Costing &amp; Budgeting"/>
    <m/>
    <s v="Performance Management"/>
    <s v="Performance Management"/>
    <s v=""/>
    <s v="Non Technical Support"/>
    <s v="Finance &amp; Accounts"/>
    <s v="Costing"/>
    <s v="73906001"/>
    <s v="Costing"/>
    <s v="AM/NS Hazira"/>
    <d v="1983-01-21T00:00:00"/>
    <s v="40.07"/>
    <d v="2021-12-06T00:00:00"/>
    <d v="2041-01-31T00:00:00"/>
    <m/>
    <d v="2041-01-31T00:00:00"/>
    <n v="6343"/>
    <s v="O+"/>
    <s v="Bachelor Equivalent-2006 , BCom-2003 , I"/>
    <s v="15.00"/>
    <s v="01.09"/>
    <s v="16.09"/>
    <s v="00045632"/>
    <s v="Costing &amp; Budgeting"/>
    <s v="266442"/>
    <s v="Sr. Lead – Costing &amp; Budgeting"/>
    <s v="Hazira"/>
    <s v="0031950043"/>
    <s v="HZ-Performance Manag"/>
    <s v="2000HWO"/>
    <s v="20003280"/>
    <s v="Chetan Jansari"/>
    <s v="No"/>
    <s v="asvin.sutarsandhiya@amns.in"/>
    <s v="9978808233"/>
    <s v="868218"/>
    <s v="Dhruv Vyas"/>
    <s v="Anil Matoo"/>
    <s v="Praveen Kuruvalli"/>
    <s v="Dhruv Vyas"/>
    <n v="0"/>
  </r>
  <r>
    <n v="4302"/>
    <n v="20056151"/>
    <s v="Sweta Jain"/>
    <s v="AM/NS India"/>
    <s v="Onroll"/>
    <s v="M-9"/>
    <n v="9"/>
    <m/>
    <s v="JM"/>
    <s v="F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Finance &amp; Accounts"/>
    <s v="Insurance &amp; Risk Management"/>
    <s v="73905001"/>
    <s v="Insurance &amp; Risk Managmen"/>
    <s v="AM/NS Hazira"/>
    <d v="1987-12-18T00:00:00"/>
    <s v="35.09"/>
    <d v="2021-12-01T00:00:00"/>
    <d v="2045-12-31T00:00:00"/>
    <m/>
    <d v="2045-12-31T00:00:00"/>
    <n v="8138"/>
    <s v="B+"/>
    <s v="CA Final-2012 , CS-2010 , BCom-2009 , In"/>
    <s v="06.10"/>
    <s v="01.09"/>
    <s v="08.07"/>
    <s v="00044330"/>
    <s v="Internal Audit - Hazira"/>
    <s v="266447"/>
    <s v="Lead - Internal Audit"/>
    <s v="Hazira"/>
    <s v="0090000035"/>
    <s v="Internal Audit"/>
    <s v="2000HWO"/>
    <s v="20028777"/>
    <s v="Narendra Dugar"/>
    <s v="No"/>
    <s v="sweta.jain@amns.in"/>
    <s v="8469584418"/>
    <s v="25135"/>
    <s v="Dhruv Vyas"/>
    <s v="Anil Matoo"/>
    <s v="Praveen Kuruvalli"/>
    <s v="Dhruv Vyas"/>
    <n v="0"/>
  </r>
  <r>
    <n v="4304"/>
    <n v="20056155"/>
    <s v="Kondapalli Venkateswarlu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– Technical Marketing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Noida"/>
    <d v="1972-06-16T00:00:00"/>
    <s v="51.03"/>
    <d v="2021-12-07T00:00:00"/>
    <d v="2030-06-30T00:00:00"/>
    <m/>
    <d v="2030-06-30T00:00:00"/>
    <n v="2475"/>
    <s v="B+"/>
    <s v="MTech-1999 , BTech-1996 , Diploma-1995 ,"/>
    <s v="23.06"/>
    <s v="01.09"/>
    <s v="25.03"/>
    <s v="00052460"/>
    <s v="Auto &amp; YG"/>
    <s v="266697"/>
    <s v="Section Head – Auto and YG"/>
    <s v="Corporate"/>
    <s v="0080000005"/>
    <s v="Global Markets Team"/>
    <s v="2000CS"/>
    <s v="20008508"/>
    <s v="Satyajit Mohapatra"/>
    <s v="No"/>
    <s v="venkat.kondapalli@amns.in"/>
    <s v="9560982229"/>
    <s v="2505"/>
    <s v="Dhruv Vyas"/>
    <s v="Anil Matoo"/>
    <s v="Praveen Kuruvalli"/>
    <s v="Dhruv Vyas"/>
    <n v="0"/>
  </r>
  <r>
    <n v="4305"/>
    <n v="20056156"/>
    <s v="Gayatri Patel"/>
    <s v="AM/NS India"/>
    <s v="Onroll"/>
    <s v="M-9"/>
    <n v="9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Lead - Post PO"/>
    <m/>
    <s v="Procurement MRO Hazira"/>
    <s v="Procurement"/>
    <s v=""/>
    <s v="Non Technical Support"/>
    <s v="Commercial"/>
    <s v="Procurement"/>
    <s v="73803001"/>
    <s v="Procurement"/>
    <s v="AM/NS Hazira"/>
    <d v="1975-05-05T00:00:00"/>
    <s v="48.04"/>
    <d v="2021-12-13T00:00:00"/>
    <d v="2033-05-31T00:00:00"/>
    <m/>
    <d v="2033-05-31T00:00:00"/>
    <n v="3541"/>
    <s v="B+"/>
    <s v="BCom-1996 , Intermediate-1992 , SSLC-199"/>
    <s v="10.01"/>
    <s v="01.09"/>
    <s v="11.09"/>
    <s v="72150383"/>
    <s v="Procurement (MRO/IP &amp; Consumable)"/>
    <s v="266695"/>
    <s v="Lead - Post PO"/>
    <s v="Hazira"/>
    <s v="0031950048"/>
    <s v="HZ-Procurment Depart"/>
    <s v="2000HWO"/>
    <s v="20000201"/>
    <s v="Manish Bakriwala"/>
    <s v="No"/>
    <s v="gayatri.patel@amns.in"/>
    <s v="8160962096"/>
    <s v="869494"/>
    <s v="Dhruv Vyas"/>
    <s v="Anil Matoo"/>
    <s v="Praveen Kuruvalli"/>
    <s v="Dhruv Vyas"/>
    <n v="0"/>
  </r>
  <r>
    <n v="4306"/>
    <n v="20056157"/>
    <s v="Sujit Kumar Mohanty"/>
    <s v="AM/NS India"/>
    <s v="Onroll"/>
    <s v="M-9"/>
    <n v="9"/>
    <m/>
    <s v="JM"/>
    <s v="M"/>
    <s v="Odisha"/>
    <n v="2"/>
    <s v="2095"/>
    <x v="4"/>
    <n v="36.01"/>
    <s v="Deepak Sindkar"/>
    <s v="Hrishikesh Kamat"/>
    <n v="7"/>
    <s v="Procurement"/>
    <s v="Raw Materials"/>
    <s v="36"/>
    <s v="Lead - Logistics, Beneficiation"/>
    <m/>
    <s v="Bulk Raw Materials"/>
    <s v="Raw Material"/>
    <s v=""/>
    <s v="Non Technical Support"/>
    <s v="Commercial"/>
    <s v="Procurement"/>
    <s v="73803001"/>
    <s v="Procurement"/>
    <s v="Dabuna"/>
    <d v="1982-07-07T00:00:00"/>
    <s v="41.02"/>
    <d v="2021-12-01T00:00:00"/>
    <d v="2040-07-31T00:00:00"/>
    <m/>
    <d v="2040-07-31T00:00:00"/>
    <n v="6159"/>
    <s v="O+"/>
    <s v="MBA-2017 , BA-2002 , Intermediate-1999 ,"/>
    <s v="17.02"/>
    <s v="01.09"/>
    <s v="18.11"/>
    <s v="70318846"/>
    <s v="Logistics &amp; Tailing Management"/>
    <s v="267037"/>
    <s v="Lead - Logistics, Beneficiation"/>
    <s v="Odisha"/>
    <s v="0022010019"/>
    <s v="DBN-Benf-HR/Admin"/>
    <s v="2000STORIS"/>
    <s v="20006499"/>
    <s v="Jaikishan Sharma"/>
    <s v="No"/>
    <s v="sujitkumar.mohanty@amns.in"/>
    <s v="8599008702"/>
    <s v="869498"/>
    <s v="Sunila Das"/>
    <s v="Anil Matoo"/>
    <s v="Praveen Kuruvalli"/>
    <s v="Sunila Das"/>
    <n v="0"/>
  </r>
  <r>
    <n v="4308"/>
    <n v="20056160"/>
    <s v="Sindha Kiransinh"/>
    <s v="AM/NS India"/>
    <s v="Onroll"/>
    <s v="M-9"/>
    <n v="9"/>
    <m/>
    <s v="JM"/>
    <s v="M"/>
    <s v="Hazira"/>
    <n v="1"/>
    <s v="2094"/>
    <x v="21"/>
    <s v="27.10"/>
    <s v="Vikas Chandra Yadvendu"/>
    <s v="Ashutosh Telang"/>
    <n v="6"/>
    <s v="HR &amp; Administration"/>
    <s v="Corporate SocialResponsibility"/>
    <s v="27"/>
    <s v="Lead - CSR Hazira"/>
    <m/>
    <s v=""/>
    <s v=""/>
    <s v=""/>
    <s v="Non Technical Support"/>
    <s v="Corporate Social Responsibility"/>
    <s v="Corporate Social Responsibility"/>
    <s v="75001001"/>
    <s v="Corporate Social Responsi"/>
    <s v="Hazira"/>
    <d v="1988-07-28T00:00:00"/>
    <s v="35.01"/>
    <d v="2021-12-16T00:00:00"/>
    <d v="2046-07-31T00:00:00"/>
    <m/>
    <d v="2046-07-31T00:00:00"/>
    <n v="8350"/>
    <s v="O+"/>
    <s v="LLM-2019 , LLB-2017 , MSW-2010 , BA-2008"/>
    <s v="09.01"/>
    <s v="01.09"/>
    <s v="10.09"/>
    <s v="70495661"/>
    <s v="Corporate Social Responsibility"/>
    <s v="267040"/>
    <s v="Lead - CSR Hazira"/>
    <s v="Hazira"/>
    <s v="0022030019"/>
    <s v="PDP-HR &amp; Admn"/>
    <s v="2000HWO"/>
    <s v="20055033"/>
    <s v="Vikas Chandra Yadvendu"/>
    <s v="No"/>
    <s v="kiransinh.sindha@amns.in"/>
    <s v="9998993472"/>
    <s v="869501"/>
    <s v="Dhruv Vyas"/>
    <s v="Anil Matoo"/>
    <s v="Praveen Kuruvalli"/>
    <s v="Dhruv Vyas"/>
    <n v="0"/>
  </r>
  <r>
    <n v="4311"/>
    <n v="20056164"/>
    <s v="Sukesh Kumar Jena"/>
    <s v="AM/NS India"/>
    <s v="Onroll"/>
    <s v="M-8"/>
    <n v="8"/>
    <m/>
    <s v="JM"/>
    <s v="M"/>
    <s v="Mining"/>
    <n v="8"/>
    <s v="2043"/>
    <x v="3"/>
    <s v="31.01"/>
    <s v="Hrishikesh Kamat"/>
    <s v="Hrishikesh Kamat"/>
    <n v="7"/>
    <s v="Procurement"/>
    <s v="Procurement"/>
    <s v="31"/>
    <s v="Sr. Lead - Procurement &amp; Contracts"/>
    <m/>
    <s v="Procurement &amp; Account"/>
    <s v="Procurement"/>
    <s v=""/>
    <s v="Non Technical Support"/>
    <s v="Operations"/>
    <s v="Operations"/>
    <s v="72103001"/>
    <s v="Operations"/>
    <s v="Barbil"/>
    <d v="1985-06-03T00:00:00"/>
    <s v="38.03"/>
    <d v="2021-12-09T00:00:00"/>
    <d v="2043-06-30T00:00:00"/>
    <m/>
    <d v="2043-06-30T00:00:00"/>
    <n v="7223"/>
    <s v="O+"/>
    <s v="PG Diploma-2019 , AMIE-2015 , Diploma-20"/>
    <s v="13.08"/>
    <s v="01.09"/>
    <s v="15.05"/>
    <s v="70407583"/>
    <s v="Procurement - Odisha Asset"/>
    <s v="267301"/>
    <s v="Sr. Lead - Procurement &amp; Contracts"/>
    <s v="Odisha"/>
    <s v="0011000018"/>
    <s v="Sagasahi Mine HR"/>
    <s v="2000STORIS"/>
    <s v="20055692"/>
    <s v="Rajiv Ranjan"/>
    <s v="No"/>
    <s v="sukesh.jena@amns.in"/>
    <s v="7978754748"/>
    <s v="869940"/>
    <s v="Pramod Sinha"/>
    <s v="Anil Matoo"/>
    <s v="Praveen Kuruvalli"/>
    <s v="Dhruv Vyas"/>
    <n v="0"/>
  </r>
  <r>
    <n v="4313"/>
    <n v="20056166"/>
    <s v="Sachin Dubal"/>
    <s v="AM/NS India"/>
    <s v="Onroll"/>
    <s v="M-9"/>
    <n v="9"/>
    <m/>
    <s v="J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Lead - Human Resource "/>
    <m/>
    <s v="Human Resources"/>
    <s v="Human Resources"/>
    <s v="Human Resources"/>
    <s v="Non Technical Support"/>
    <s v="Human Resources Management"/>
    <s v="Human Resources Management"/>
    <s v="73501001"/>
    <s v="Human Resources"/>
    <s v="Pune"/>
    <d v="1984-05-28T00:00:00"/>
    <s v="39.03"/>
    <d v="2021-12-24T00:00:00"/>
    <d v="2042-05-31T00:00:00"/>
    <m/>
    <d v="2042-05-31T00:00:00"/>
    <n v="6828"/>
    <s v="AB+"/>
    <s v="MSW-2010 , BCom-2005 , Intermediate-2002"/>
    <s v="10.03"/>
    <s v="01.08"/>
    <s v="12.00"/>
    <s v="00044376"/>
    <s v="Service Center &amp; Hypermart HR"/>
    <s v="267740"/>
    <s v="Lead - Human Resource"/>
    <s v="Service Center"/>
    <s v="0040020019"/>
    <s v="SC-Pune-Op1-HR-Admin"/>
    <s v="2000SPRJ"/>
    <s v="20057135"/>
    <s v="RAHUL RAJ"/>
    <s v="No"/>
    <s v="sachin.dubal@amns.in"/>
    <s v="09823559800"/>
    <s v="25463"/>
    <s v="Dhruv Vyas"/>
    <s v="Anil Matoo"/>
    <s v="Praveen Kuruvalli"/>
    <s v="Dhruv Vyas"/>
    <n v="0"/>
  </r>
  <r>
    <n v="4314"/>
    <n v="20056168"/>
    <s v="Debasis Swain"/>
    <s v="AM/NS India"/>
    <s v="Onroll"/>
    <s v="M-9"/>
    <n v="9"/>
    <m/>
    <s v="JM"/>
    <s v="M"/>
    <s v="Odisha"/>
    <n v="2"/>
    <s v="2094"/>
    <x v="21"/>
    <s v="27.10"/>
    <s v="Vikas Chandra Yadvendu"/>
    <s v="Ashutosh Telang"/>
    <n v="6"/>
    <s v="HR &amp; Administration"/>
    <s v="Corporate SocialResponsibility"/>
    <s v="27"/>
    <s v="Lead - CSR"/>
    <m/>
    <s v="Odisha Operations"/>
    <s v=""/>
    <s v=""/>
    <s v="Non Technical Support"/>
    <s v="Corporate Social Responsibility"/>
    <s v="Corporate Social Responsibility"/>
    <s v="75001001"/>
    <s v="Corporate Social Responsi"/>
    <s v="Paradeep"/>
    <d v="1980-03-23T00:00:00"/>
    <s v="43.05"/>
    <d v="2021-12-27T00:00:00"/>
    <d v="2038-03-31T00:00:00"/>
    <m/>
    <d v="2038-03-31T00:00:00"/>
    <n v="5306"/>
    <s v="AB+"/>
    <s v="MA-2005 , BA-2002 , Diploma-1999 , Inter"/>
    <s v="14.07"/>
    <s v="01.08"/>
    <s v="16.03"/>
    <s v="70495661"/>
    <s v="Corporate Social Responsibility"/>
    <s v="267748"/>
    <s v="Lead - CSR"/>
    <s v="Odisha"/>
    <s v="0022030019"/>
    <s v="PDP-HR &amp; Admn"/>
    <s v="2000STORIS"/>
    <s v="20055033"/>
    <s v="Vikas Chandra Yadvendu"/>
    <s v="No"/>
    <s v="debasis.swain@amns.in"/>
    <s v="9937332988"/>
    <s v="870752"/>
    <s v="Sunila Das"/>
    <s v="Anil Matoo"/>
    <s v="Praveen Kuruvalli"/>
    <s v="Sunila Das"/>
    <n v="0"/>
  </r>
  <r>
    <n v="4322"/>
    <n v="20056177"/>
    <s v="Manoj Kumar Nayak"/>
    <s v="AM/NS India"/>
    <s v="Onroll"/>
    <s v="M-9"/>
    <n v="9"/>
    <m/>
    <s v="JM"/>
    <s v="M"/>
    <s v="Mining"/>
    <n v="8"/>
    <s v="2013"/>
    <x v="0"/>
    <s v="20.01"/>
    <s v="Akiyo Omori"/>
    <s v="Amit Harlalka"/>
    <n v="5"/>
    <s v="Finance &amp; Accounts"/>
    <s v="Finance &amp; Accounts"/>
    <s v="20"/>
    <s v="Lead - Finance &amp; Accounts"/>
    <m/>
    <s v="Finance &amp; Accounts"/>
    <s v="Finance &amp; Accounts"/>
    <s v=""/>
    <s v="Non Technical Support"/>
    <s v="Commercial"/>
    <s v="Commercial"/>
    <s v="73801001"/>
    <s v="Commercial"/>
    <s v="Barbil"/>
    <d v="1988-04-20T00:00:00"/>
    <s v="35.05"/>
    <d v="2021-12-27T00:00:00"/>
    <d v="2046-04-30T00:00:00"/>
    <m/>
    <d v="2046-04-30T00:00:00"/>
    <n v="8258"/>
    <s v="O+"/>
    <s v="PG Diploma-2011 , BCom-2008 , Intermedia"/>
    <s v="09.05"/>
    <s v="01.08"/>
    <s v="11.02"/>
    <s v="00048985"/>
    <s v="Finance &amp; Accounting"/>
    <s v="268031"/>
    <s v="Lead - Finance &amp; Accounts"/>
    <s v="Odisha"/>
    <s v="0011000018"/>
    <s v="Sagasahi Mine HR"/>
    <s v="2000STORIS"/>
    <s v="20055720"/>
    <s v="Sambit Kumar Mohapatra"/>
    <s v="No"/>
    <s v="manoj.nayak@amns.in"/>
    <s v="9776062551"/>
    <s v="871258"/>
    <s v="Pramod Sinha"/>
    <s v="Anil Matoo"/>
    <s v="Praveen Kuruvalli"/>
    <s v="Pramod Sinha"/>
    <n v="0"/>
  </r>
  <r>
    <n v="4323"/>
    <n v="20056178"/>
    <s v="Aakansha Sinha"/>
    <s v="AM/NS India"/>
    <s v="Onroll"/>
    <s v="M-8"/>
    <n v="8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MT – HR"/>
    <m/>
    <s v="Human Resources"/>
    <s v=""/>
    <s v=""/>
    <s v="Non Technical Support"/>
    <s v="Human Resources Management"/>
    <s v="Human Resources Management"/>
    <s v="73501001"/>
    <s v="Human Resources"/>
    <s v="Hazira"/>
    <d v="1993-05-14T00:00:00"/>
    <s v="30.04"/>
    <d v="2022-01-04T00:00:00"/>
    <d v="2051-05-31T00:00:00"/>
    <m/>
    <d v="2051-05-31T00:00:00"/>
    <n v="10115"/>
    <s v="B+"/>
    <s v="MBA-2021 , BTech-2016 , Intermediate-201"/>
    <s v="03.00"/>
    <s v="01.08"/>
    <s v="04.09"/>
    <s v="70492872"/>
    <s v="Talent Management &amp; OD"/>
    <s v="268023"/>
    <s v="MT – HR"/>
    <s v="Corporate"/>
    <s v="0031950061"/>
    <s v="HZ-Human Resource"/>
    <s v="2000CS"/>
    <s v="20054232"/>
    <s v="Imran Mohammad"/>
    <s v="No"/>
    <s v="aakansha.sinha@amns.in"/>
    <s v="8976785837"/>
    <s v="871302"/>
    <s v="Dhruv Vyas"/>
    <s v="Anil Matoo"/>
    <s v="Praveen Kuruvalli"/>
    <s v="Dhruv Vyas"/>
    <n v="0"/>
  </r>
  <r>
    <n v="4327"/>
    <n v="20056185"/>
    <s v="Satish Kumar Charchi"/>
    <s v="AM/NS India"/>
    <s v="Onroll"/>
    <s v="M-8"/>
    <n v="8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Lead Costing &amp; Budgeting"/>
    <m/>
    <s v="Finance &amp; Accounts - Odisha"/>
    <s v="Finance &amp; Accounts"/>
    <s v=""/>
    <s v="Non Technical Support"/>
    <s v="Finance &amp; Accounts"/>
    <s v="Finance &amp; Accounts"/>
    <s v="73901001"/>
    <s v="Finance &amp; Accounts"/>
    <s v="Dabuna"/>
    <d v="1983-06-08T00:00:00"/>
    <s v="40.03"/>
    <d v="2022-01-03T00:00:00"/>
    <d v="2041-06-30T00:00:00"/>
    <m/>
    <d v="2041-06-30T00:00:00"/>
    <n v="6493"/>
    <s v="B+"/>
    <s v="MCom-2014 , BCom-2003 , Intermediate-200"/>
    <s v="17.02"/>
    <s v="01.08"/>
    <s v="18.10"/>
    <s v="70234933"/>
    <s v="Finance &amp; Accounts - Odisha"/>
    <s v="268035"/>
    <s v="Lead Costing &amp; Budgeting"/>
    <s v="Odisha"/>
    <s v="0022030019"/>
    <s v="PDP-HR &amp; Admn"/>
    <s v="2000STORIS"/>
    <s v="20055801"/>
    <s v="Sanjive Kumar Singh"/>
    <s v="No"/>
    <s v="satishkumar.charchi@amns.in"/>
    <s v="8340510261"/>
    <s v="871591"/>
    <s v="Sunila Das"/>
    <s v="Anil Matoo"/>
    <s v="Praveen Kuruvalli"/>
    <s v="Sunila Das"/>
    <n v="0"/>
  </r>
  <r>
    <n v="4332"/>
    <n v="20056191"/>
    <s v="Deepti Mahakud"/>
    <s v="AM/NS India"/>
    <s v="Onroll"/>
    <s v="M-10"/>
    <n v="10"/>
    <m/>
    <s v="JM"/>
    <s v="F"/>
    <s v="Pune Facility"/>
    <n v="4"/>
    <s v="2043"/>
    <x v="3"/>
    <s v="31.01"/>
    <s v="Hrishikesh Kamat"/>
    <s v="Hrishikesh Kamat"/>
    <n v="7"/>
    <s v="Procurement"/>
    <s v="Procurement"/>
    <s v="31"/>
    <s v="Lead - Procurement"/>
    <m/>
    <s v="Pune Operations"/>
    <s v=""/>
    <s v=""/>
    <s v="Non Technical Support"/>
    <s v="Commercial"/>
    <s v="Procurement"/>
    <s v="73803001"/>
    <s v="Procurement"/>
    <s v="Pune"/>
    <d v="1994-01-04T00:00:00"/>
    <s v="29.08"/>
    <d v="2022-01-05T00:00:00"/>
    <d v="2052-01-31T00:00:00"/>
    <m/>
    <d v="2052-01-31T00:00:00"/>
    <n v="10360"/>
    <s v="A+"/>
    <s v="BTech-2017 , Diploma-2013 , SSLC-2009"/>
    <s v="03.11"/>
    <s v="01.08"/>
    <s v="05.07"/>
    <s v="73800002"/>
    <s v="Procurement - Pune Asset"/>
    <s v="268668"/>
    <s v="Lead - Procurement"/>
    <s v="Pune Facility"/>
    <s v="0035950041"/>
    <s v="Pune-Procurement"/>
    <s v="2000ESPF"/>
    <s v="20006536"/>
    <s v="Mahesh Salunke"/>
    <s v="No"/>
    <s v="deepti.mahakud@amns.in"/>
    <s v="7894458192"/>
    <s v="872213"/>
    <s v="Roshan Farkunde"/>
    <s v="Anil Matoo"/>
    <n v="0"/>
    <s v="Surinder Choudhary"/>
    <s v="Robin Patel"/>
  </r>
  <r>
    <n v="4374"/>
    <n v="20056246"/>
    <s v="Soumitra Patnaik"/>
    <s v="AM/NS India"/>
    <s v="Onroll"/>
    <s v="M-4"/>
    <n v="4"/>
    <m/>
    <s v="SM"/>
    <s v="M"/>
    <s v="Odisha"/>
    <n v="2"/>
    <s v="2069"/>
    <x v="8"/>
    <s v="25.01"/>
    <s v="Bibek Chattopadhyay"/>
    <s v="Ashutosh Telang"/>
    <n v="6"/>
    <s v="HR &amp; Administration"/>
    <s v="Corporate Communications"/>
    <s v="25"/>
    <s v="Head  Corporate Communication, Odisha"/>
    <m/>
    <s v="Corporate Communication"/>
    <s v="Corporate Communication"/>
    <s v="Corporate Communication"/>
    <s v="Non Technical Support"/>
    <s v="Corporate Communication"/>
    <s v="Corporate Communication"/>
    <s v="74001001"/>
    <s v="Corporate Communication"/>
    <s v="Bhubaneswar"/>
    <d v="1969-01-14T00:00:00"/>
    <s v="54.08"/>
    <d v="2022-01-17T00:00:00"/>
    <d v="2027-01-31T00:00:00"/>
    <m/>
    <d v="2027-01-31T00:00:00"/>
    <n v="1229"/>
    <s v="O+"/>
    <s v="PG Diploma-1999 , MBA-1990 , BA-1987 , I"/>
    <s v="26.07"/>
    <s v="01.08"/>
    <s v="28.03"/>
    <s v="00046762"/>
    <s v="Communiation &amp; Media Relations Odisha"/>
    <s v="271590"/>
    <s v="Head  Corporate Communication"/>
    <s v="Odisha"/>
    <s v="0090000016"/>
    <s v="Corporate Steel - Co"/>
    <s v="2000STORIS"/>
    <s v="20055187"/>
    <s v="Bibek Chattopadhyay"/>
    <s v="No"/>
    <s v="soumitra.patnaik@amns.in"/>
    <s v="9937012643"/>
    <s v="876159"/>
    <s v="Sunila Das"/>
    <s v="Anil Matoo"/>
    <s v="Praveen Kuruvalli"/>
    <s v="Sunila Das"/>
    <n v="0"/>
  </r>
  <r>
    <n v="4375"/>
    <n v="20056247"/>
    <s v="Asit Samantaray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 Insurance"/>
    <m/>
    <s v="Risk &amp; Insurance"/>
    <s v="Risk &amp; Insurance"/>
    <s v=""/>
    <s v="Non Technical Support"/>
    <s v="Finance &amp; Accounts"/>
    <s v="Finance &amp; Accounts"/>
    <s v="73901001"/>
    <s v="Finance &amp; Accounts"/>
    <s v="AM/NS Hazira"/>
    <d v="1984-06-05T00:00:00"/>
    <s v="39.03"/>
    <d v="2022-01-17T00:00:00"/>
    <d v="2042-06-30T00:00:00"/>
    <m/>
    <d v="2042-06-30T00:00:00"/>
    <n v="6858"/>
    <s v="B+"/>
    <s v="PG Diploma-2011 , BE-2006 , Intermediate"/>
    <s v="12.06"/>
    <s v="01.08"/>
    <s v="14.02"/>
    <s v="70447071"/>
    <s v="Insurance &amp; Financial Risk"/>
    <s v="271587"/>
    <s v="Sr. Lead  Insurance"/>
    <s v="Hazira"/>
    <s v="0090000028"/>
    <s v="Corporate Steel - Wo"/>
    <s v="2000HWO"/>
    <s v="20017504"/>
    <s v="Appi Reddy Guttikonda"/>
    <s v="No"/>
    <s v="asit.samantaray@amns.in"/>
    <s v="8885299752"/>
    <s v="876251"/>
    <s v="Dhruv Vyas"/>
    <s v="Anil Matoo"/>
    <s v="Praveen Kuruvalli"/>
    <s v="Dhruv Vyas"/>
    <n v="0"/>
  </r>
  <r>
    <n v="4377"/>
    <n v="20056250"/>
    <s v="Nirmal Patel"/>
    <s v="AM/NS India"/>
    <s v="Onroll"/>
    <s v="M-9"/>
    <n v="9"/>
    <m/>
    <s v="JM"/>
    <s v="M"/>
    <s v="Hazira"/>
    <n v="1"/>
    <s v="2095"/>
    <x v="4"/>
    <n v="36.01"/>
    <s v="Deepak Sindkar"/>
    <s v="Hrishikesh Kamat"/>
    <n v="7"/>
    <s v="Procurement"/>
    <s v="Raw Materials"/>
    <s v="36"/>
    <s v="Lead Bulk Rawmaterial"/>
    <m/>
    <s v="Bulk Raw Materials"/>
    <s v="Power &amp; Gas"/>
    <s v=""/>
    <s v="Non Technical Support"/>
    <s v="Commercial"/>
    <s v="Procurement"/>
    <s v="73803001"/>
    <s v="Procurement"/>
    <s v="AM/NS Hazira"/>
    <d v="1993-05-08T00:00:00"/>
    <s v="30.04"/>
    <d v="2022-01-24T00:00:00"/>
    <d v="2051-05-31T00:00:00"/>
    <m/>
    <d v="2051-05-31T00:00:00"/>
    <n v="10115"/>
    <s v="B+"/>
    <s v="PG Diploma in Management-2020 , BE-2016"/>
    <s v="02.07"/>
    <s v="01.07"/>
    <s v="04.02"/>
    <s v="00045894"/>
    <s v="Blacks"/>
    <s v="271588"/>
    <s v="Lead Bulk Rawmaterial"/>
    <s v="Hazira"/>
    <s v="0031950048"/>
    <s v="HZ-Procurment Depart"/>
    <s v="2000HWO"/>
    <s v="20001577"/>
    <s v="Prakash Thakur"/>
    <s v="No"/>
    <s v="nirmal.patel@amns.in"/>
    <s v="9067007922"/>
    <s v="876287"/>
    <s v="Dhruv Vyas"/>
    <s v="Anil Matoo"/>
    <s v="Praveen Kuruvalli"/>
    <s v="Dhruv Vyas"/>
    <n v="0"/>
  </r>
  <r>
    <n v="4383"/>
    <n v="20056258"/>
    <s v="Dhwanil Dave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 Capex Procurement"/>
    <m/>
    <s v="Procurement MRO Hazira"/>
    <s v="Procurement"/>
    <s v=""/>
    <s v="Non Technical Support"/>
    <s v="Operations"/>
    <s v="Operations"/>
    <s v="72103001"/>
    <s v="Operations"/>
    <s v="Hazira"/>
    <d v="1996-10-18T00:00:00"/>
    <s v="26.11"/>
    <d v="2022-01-31T00:00:00"/>
    <d v="2054-10-31T00:00:00"/>
    <m/>
    <d v="2054-10-31T00:00:00"/>
    <n v="11364"/>
    <s v="B+"/>
    <s v="MSc-2019 , BE-2018 , Diploma-2015 , SSLC"/>
    <s v="01.11"/>
    <s v="01.07"/>
    <s v="03.06"/>
    <s v="00049359"/>
    <s v="Capex Services"/>
    <s v="271599"/>
    <s v="Officer  Capex Procurement"/>
    <s v="Hazira"/>
    <s v="0031950059"/>
    <s v="HZ-Hazira Project"/>
    <s v="2000HWO"/>
    <s v="20055446"/>
    <s v="Chitrang Rana"/>
    <s v="No"/>
    <s v="dhwanil.dave@amns.in"/>
    <s v="9429486865"/>
    <s v="876961"/>
    <s v="Dhruv Vyas"/>
    <s v="Anil Matoo"/>
    <s v="Praveen Kuruvalli"/>
    <s v="Dhruv Vyas"/>
    <n v="0"/>
  </r>
  <r>
    <n v="4389"/>
    <n v="20056268"/>
    <s v="Bhavsar Shalini Ishan"/>
    <s v="AM/NS India"/>
    <s v="Onroll"/>
    <s v="M-11"/>
    <n v="11"/>
    <m/>
    <s v="JM"/>
    <s v="F"/>
    <s v="Hazira"/>
    <n v="1"/>
    <s v="2023"/>
    <x v="6"/>
    <s v="24.08"/>
    <s v="Anil Matoo"/>
    <s v="Ashutosh Telang"/>
    <n v="6"/>
    <s v="HR &amp; Administration"/>
    <s v="Administration"/>
    <s v="24"/>
    <s v="Executive  Admin"/>
    <m/>
    <s v=""/>
    <s v=""/>
    <s v=""/>
    <s v="Non Technical Support"/>
    <s v="Corporate Relations"/>
    <s v="Corporate Affairs"/>
    <s v="74501001"/>
    <s v="Corporate Affairs"/>
    <s v="Ahmedabad"/>
    <d v="1996-01-15T00:00:00"/>
    <s v="27.08"/>
    <d v="2022-02-03T00:00:00"/>
    <d v="2054-01-31T00:00:00"/>
    <m/>
    <d v="2054-01-31T00:00:00"/>
    <n v="11091"/>
    <s v="O+"/>
    <s v="BSc-2018 , Intermediate-2015 , SSLC-2013"/>
    <s v="01.06"/>
    <s v="01.07"/>
    <s v="03.01"/>
    <s v="00049721"/>
    <s v="Regional &amp; Corporate offices"/>
    <s v="271604"/>
    <s v="Executive  Admin"/>
    <s v="Hazira"/>
    <s v="0090000016"/>
    <s v="Corporate Steel - Co"/>
    <s v="2000HWO"/>
    <s v="20057888"/>
    <s v="Narinder Lamba"/>
    <s v="No"/>
    <s v="shalini.bhavsar@amns.in"/>
    <s v="6358942196"/>
    <s v="877136"/>
    <s v="Dhruv Vyas"/>
    <s v="Anil Matoo"/>
    <s v="Praveen Kuruvalli"/>
    <s v="Dhruv Vyas"/>
    <n v="0"/>
  </r>
  <r>
    <n v="4391"/>
    <n v="20056270"/>
    <s v="Shubham Bhartiya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 Capex Finance"/>
    <m/>
    <s v="Capex Finance"/>
    <s v="Capex Finance"/>
    <s v=""/>
    <s v="Non Technical Support"/>
    <s v="Finance &amp; Accounts"/>
    <s v="Costing"/>
    <s v="73906001"/>
    <s v="Costing"/>
    <s v="AM/NS Hazira"/>
    <d v="1994-04-04T00:00:00"/>
    <s v="29.05"/>
    <d v="2022-01-28T00:00:00"/>
    <d v="2052-04-30T00:00:00"/>
    <m/>
    <d v="2052-04-30T00:00:00"/>
    <n v="10450"/>
    <s v="O+"/>
    <s v="CA Final-2019 , BCom-2015 , Intermediate"/>
    <s v="02.07"/>
    <s v="01.07"/>
    <s v="04.02"/>
    <s v="00045912"/>
    <s v="Capex - Finance"/>
    <s v="271589"/>
    <s v="Lead  Capex Finance"/>
    <s v="Hazira"/>
    <s v="0090000038"/>
    <s v="CAPEX FINANCE"/>
    <s v="2000HWO"/>
    <s v="20055590"/>
    <s v="Mehul Thakkar"/>
    <s v="No"/>
    <s v="shubham.bhartiya@amns.in"/>
    <s v="9038874943"/>
    <s v="877306"/>
    <s v="Dhruv Vyas"/>
    <s v="Anil Matoo"/>
    <s v="Praveen Kuruvalli"/>
    <s v="Dhruv Vyas"/>
    <n v="0"/>
  </r>
  <r>
    <n v="4395"/>
    <n v="20056274"/>
    <s v="Priya Jha"/>
    <s v="AM/NS India"/>
    <s v="Onroll"/>
    <s v="M-9"/>
    <n v="9"/>
    <m/>
    <s v="JM"/>
    <s v="F"/>
    <s v="Odisha"/>
    <n v="2"/>
    <s v="2015"/>
    <x v="1"/>
    <s v="22.06"/>
    <s v="Praveen Kuruvalli"/>
    <s v="Ashutosh Telang"/>
    <n v="6"/>
    <s v="HR &amp; Administration"/>
    <s v="Human Resources"/>
    <s v="22"/>
    <s v="Lead  Human Resources"/>
    <m/>
    <s v="Human Resources"/>
    <s v=""/>
    <s v=""/>
    <s v="Non Technical Support"/>
    <s v="Human Resources Management"/>
    <s v="Human Resources Management"/>
    <s v="73501002"/>
    <s v="Human Resources Operation"/>
    <s v="Bhubaneswar"/>
    <d v="1994-10-10T00:00:00"/>
    <s v="28.11"/>
    <d v="2022-02-15T00:00:00"/>
    <d v="2052-10-31T00:00:00"/>
    <m/>
    <d v="2052-10-31T00:00:00"/>
    <n v="10634"/>
    <s v="A+"/>
    <s v="PG Diploma-2019 , BCom-2017 , Intermedia"/>
    <s v="02.11"/>
    <s v="01.07"/>
    <s v="04.06"/>
    <s v="70495430"/>
    <s v="Odisha HR Operations"/>
    <s v="272214"/>
    <s v="Lead  Human Resources"/>
    <s v="Odisha"/>
    <s v="0022030019"/>
    <s v="PDP-HR &amp; Admn"/>
    <s v="2000STORIS"/>
    <s v="20055611"/>
    <s v="Sunila Kumar Das"/>
    <s v="No"/>
    <s v="priya.jha@amns.in"/>
    <s v="6287877667"/>
    <s v="877691"/>
    <s v="Sunila Das"/>
    <s v="Anil Matoo"/>
    <s v="Praveen Kuruvalli"/>
    <s v="Sunila Das"/>
    <n v="0"/>
  </r>
  <r>
    <n v="4398"/>
    <n v="20056279"/>
    <s v="Arun G"/>
    <s v="AM/NS India"/>
    <s v="Onroll"/>
    <s v="M-6"/>
    <n v="6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Leader KAM Hypermart"/>
    <m/>
    <s v="South"/>
    <s v="Hypermart"/>
    <s v=""/>
    <s v="Non Technical Support"/>
    <s v="Sales &amp; Marketing"/>
    <s v="Sales"/>
    <s v="73104003"/>
    <s v="Retail Sales"/>
    <s v="Chennai"/>
    <d v="1983-05-04T00:00:00"/>
    <s v="40.04"/>
    <d v="2022-02-21T00:00:00"/>
    <d v="2041-05-31T00:00:00"/>
    <m/>
    <d v="2041-05-31T00:00:00"/>
    <n v="6463"/>
    <s v="O+"/>
    <s v="BE-2006 , Intermediate-2001 , SSLC-1999"/>
    <s v="15.11"/>
    <s v="01.06"/>
    <s v="17.06"/>
    <s v="00048814"/>
    <s v="Sales South Zone – Hypermart"/>
    <s v="272207"/>
    <s v="Business Leader - Hypermart"/>
    <s v="Hypermart"/>
    <s v="0060140100"/>
    <s v="HMART-South Zone"/>
    <s v="2000SRET"/>
    <s v="20000909"/>
    <s v="Murali Krishna Chunduru"/>
    <s v="No"/>
    <s v="arun.g@amns.in"/>
    <s v="9686320755"/>
    <s v="877776"/>
    <s v="Dhruv Vyas"/>
    <s v="Anil Matoo"/>
    <s v="Praveen Kuruvalli"/>
    <s v="Dhruv Vyas"/>
    <n v="0"/>
  </r>
  <r>
    <n v="4399"/>
    <n v="20056280"/>
    <s v="Varun Sharma"/>
    <s v="AM/NS India"/>
    <s v="Onroll"/>
    <s v="M-9"/>
    <n v="9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 Manager"/>
    <m/>
    <s v="North"/>
    <s v="Hypermart"/>
    <s v=""/>
    <s v="Non Technical Support"/>
    <s v="Sales &amp; Marketing"/>
    <s v="Marketing"/>
    <s v="73102001"/>
    <s v="Marketing"/>
    <s v="Ludhiana"/>
    <d v="1998-05-26T00:00:00"/>
    <s v="25.03"/>
    <d v="2022-02-10T00:00:00"/>
    <d v="2056-05-31T00:00:00"/>
    <m/>
    <d v="2056-05-31T00:00:00"/>
    <n v="11942"/>
    <s v="AB+"/>
    <s v="MBA-2020 , BCom-2018 , Intermediate-2015"/>
    <s v="00.06"/>
    <s v="01.07"/>
    <s v="02.01"/>
    <s v="00052526"/>
    <s v="Sales - North"/>
    <s v="272211"/>
    <s v="Sales Manager - Hypermart"/>
    <s v="Hypermart"/>
    <s v="0080000006"/>
    <s v="Secondary Sales - In"/>
    <s v="2000SRET"/>
    <s v="20007322"/>
    <s v="Sanjay Bohra"/>
    <s v="No"/>
    <s v="varun.sharma@amns.in"/>
    <s v="8847638042"/>
    <s v="877777"/>
    <s v="Dhruv Vyas"/>
    <s v="Anil Matoo"/>
    <s v="Praveen Kuruvalli"/>
    <s v="Dhruv Vyas"/>
    <n v="0"/>
  </r>
  <r>
    <n v="4404"/>
    <n v="20056287"/>
    <s v="Annapurna Kolluru"/>
    <s v="AM/NS India"/>
    <s v="Onroll"/>
    <s v="M-10"/>
    <n v="10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Officer - Capex Services"/>
    <m/>
    <s v="Capex Procurement"/>
    <s v="Procurement"/>
    <s v=""/>
    <s v="Non Technical Support"/>
    <s v="Operations"/>
    <s v="Operations"/>
    <s v="72103001"/>
    <s v="Operations"/>
    <s v="Hazira"/>
    <d v="1980-05-25T00:00:00"/>
    <s v="43.03"/>
    <d v="2022-02-15T00:00:00"/>
    <d v="2038-05-31T00:00:00"/>
    <m/>
    <d v="2038-05-31T00:00:00"/>
    <n v="5367"/>
    <s v="O-"/>
    <s v="BTech-2001 , Intermediate-1997 , SSLC-19"/>
    <s v="11.08"/>
    <s v="01.07"/>
    <s v="13.02"/>
    <s v="00049359"/>
    <s v="Capex Services"/>
    <s v="272363"/>
    <s v="Officer - Capex Services"/>
    <s v="Hazira"/>
    <s v="0031950059"/>
    <s v="HZ-Hazira Project"/>
    <s v="2000HWO"/>
    <s v="20055446"/>
    <s v="Chitrang Rana"/>
    <s v="No"/>
    <s v="annapurna.kolluru@amns.in"/>
    <s v="9879103433"/>
    <s v="810272"/>
    <s v="Dhruv Vyas"/>
    <s v="Anil Matoo"/>
    <s v="Praveen Kuruvalli"/>
    <s v="Dhruv Vyas"/>
    <n v="0"/>
  </r>
  <r>
    <n v="4405"/>
    <n v="20056289"/>
    <s v="Harshneelsinh Jadeja"/>
    <s v="AM/NS India"/>
    <s v="Onroll"/>
    <s v="M-8"/>
    <n v="8"/>
    <m/>
    <s v="JM"/>
    <s v="M"/>
    <s v="Hazira"/>
    <n v="1"/>
    <s v="2015"/>
    <x v="1"/>
    <s v="22.06"/>
    <s v="Praveen Kuruvalli"/>
    <s v="Ashutosh Telang"/>
    <n v="6"/>
    <s v="HR &amp; Administration"/>
    <s v="Human Resources"/>
    <s v="22"/>
    <s v="Lead - Talent Management &amp; OD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91-11-27T00:00:00"/>
    <s v="31.09"/>
    <d v="2022-02-16T00:00:00"/>
    <d v="2049-11-30T00:00:00"/>
    <m/>
    <d v="2049-11-30T00:00:00"/>
    <n v="9568"/>
    <s v="B+"/>
    <s v="MBA-2018 , BTech-2013 , Intermediate-200"/>
    <s v="05.09"/>
    <s v="01.07"/>
    <s v="07.03"/>
    <s v="70492872"/>
    <s v="Talent Management &amp; OD"/>
    <s v="272365"/>
    <s v="Lead - Talent Management &amp; OD"/>
    <s v="Hazira"/>
    <s v="0031950061"/>
    <s v="HZ-Human Resource"/>
    <s v="2000HWO"/>
    <s v="20054232"/>
    <s v="Imran Mohammad"/>
    <s v="No"/>
    <s v="harshneel.jadeja@amns.in"/>
    <s v="9638302705"/>
    <s v="878002"/>
    <s v="Dhruv Vyas"/>
    <s v="Anil Matoo"/>
    <s v="Praveen Kuruvalli"/>
    <s v="Dhruv Vyas"/>
    <n v="0"/>
  </r>
  <r>
    <n v="4406"/>
    <n v="20056292"/>
    <s v="Amit Basak"/>
    <s v="AM/NS India"/>
    <s v="Onroll"/>
    <s v="M-7"/>
    <n v="7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Lead Procurement"/>
    <m/>
    <s v="Procurement"/>
    <s v="Procurement"/>
    <s v=""/>
    <s v="Non Technical Support"/>
    <s v="Commercial"/>
    <s v="Purchase"/>
    <s v="73804001"/>
    <s v="Purchase"/>
    <s v="Paradeep"/>
    <d v="1986-12-28T00:00:00"/>
    <s v="36.08"/>
    <d v="2022-02-21T00:00:00"/>
    <d v="2044-12-31T00:00:00"/>
    <m/>
    <d v="2044-12-31T00:00:00"/>
    <n v="7773"/>
    <s v="O+"/>
    <s v="BTech-2008 , Intermediate-2004 , SSLC-20"/>
    <s v="13.07"/>
    <s v="01.06"/>
    <s v="15.02"/>
    <s v="70407583"/>
    <s v="Procurement - Odisha Asset"/>
    <s v="272445"/>
    <s v="Lead Procurement"/>
    <s v="Odisha"/>
    <s v="0022030019"/>
    <s v="PDP-HR &amp; Admn"/>
    <s v="2000STORIS"/>
    <s v="20055692"/>
    <s v="Rajiv Ranjan"/>
    <s v="No"/>
    <s v="amit.basak@amns.in"/>
    <s v="9162725067"/>
    <s v="878329"/>
    <s v="Sunila Das"/>
    <s v="Anil Matoo"/>
    <s v="Praveen Kuruvalli"/>
    <s v="Sunila Das"/>
    <n v="0"/>
  </r>
  <r>
    <n v="4409"/>
    <n v="20056295"/>
    <s v="Ravibhai Vinubhai Lathiya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92-09-28T00:00:00"/>
    <s v="30.11"/>
    <d v="2022-02-21T00:00:00"/>
    <d v="2050-09-30T00:00:00"/>
    <m/>
    <d v="2050-09-30T00:00:00"/>
    <n v="9872"/>
    <s v="AB+"/>
    <s v="BE-2014 , Intermediate-2010 , SSLC-2008"/>
    <s v="06.01"/>
    <s v="01.06"/>
    <s v="07.07"/>
    <s v="00044541"/>
    <s v="HRC Store - Receipt"/>
    <s v="272448"/>
    <s v="Section Officer"/>
    <s v="Hazira"/>
    <s v="0031950049"/>
    <s v="HZ-Central Stores"/>
    <s v="2000HWO"/>
    <s v="20005047"/>
    <s v="Rajeev Jha"/>
    <s v="No"/>
    <s v="ravi.lathiya@amns.in"/>
    <s v="6358913620"/>
    <s v="878338"/>
    <s v="Dhruv Vyas"/>
    <s v="Anil Matoo"/>
    <s v="Praveen Kuruvalli"/>
    <s v="Dhruv Vyas"/>
    <n v="0"/>
  </r>
  <r>
    <n v="4413"/>
    <n v="20056300"/>
    <s v="Sumit Khamgaonkar"/>
    <s v="AM/NS India"/>
    <s v="Onroll"/>
    <s v="M-9"/>
    <n v="9"/>
    <m/>
    <s v="JM"/>
    <s v="M"/>
    <s v="Service Centers"/>
    <n v="6"/>
    <s v="2043"/>
    <x v="3"/>
    <s v="31.01"/>
    <s v="Hrishikesh Kamat"/>
    <s v="Hrishikesh Kamat"/>
    <n v="7"/>
    <s v="Procurement"/>
    <s v="Procurement"/>
    <s v="31"/>
    <s v="Lead Procurement"/>
    <m/>
    <s v="Procurement Service Centre"/>
    <s v="Procurement Service Centre"/>
    <s v="Procurement Service Centre"/>
    <s v="Non Technical Support"/>
    <s v="Operations"/>
    <s v="Plant Operations"/>
    <s v="72103003"/>
    <s v="Plant Operations"/>
    <s v="Pune"/>
    <d v="1995-11-19T00:00:00"/>
    <s v="27.09"/>
    <d v="2022-02-16T00:00:00"/>
    <d v="2053-11-30T00:00:00"/>
    <m/>
    <d v="2053-11-30T00:00:00"/>
    <n v="11029"/>
    <s v="B+"/>
    <s v="BE-2017 , Diploma-2014 , SSLC-2011"/>
    <s v="04.07"/>
    <s v="01.07"/>
    <s v="06.02"/>
    <s v="70413444"/>
    <s v="Purchase &amp; Contracts"/>
    <s v="272452"/>
    <s v="Lead Procurement"/>
    <s v="Service Center"/>
    <s v="0040020019"/>
    <s v="SC-Pune-Op1-HR-Admin"/>
    <s v="2000SPRJ"/>
    <s v="20052588"/>
    <s v="Govindraju Sampathirao"/>
    <s v="No"/>
    <s v="sumeet.khamgaonkar@amns.in"/>
    <s v="8482937013"/>
    <s v="878521"/>
    <s v="Dhruv Vyas"/>
    <s v="Anil Matoo"/>
    <s v="Praveen Kuruvalli"/>
    <s v="Dhruv Vyas"/>
    <n v="0"/>
  </r>
  <r>
    <n v="4415"/>
    <n v="20056302"/>
    <s v="Chintan Sangani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Expediting"/>
    <m/>
    <s v="Procurement MRO Hazira"/>
    <s v="Procurement"/>
    <s v=""/>
    <s v="Non Technical Support"/>
    <s v="Operations"/>
    <s v="Operations"/>
    <s v="72103001"/>
    <s v="Operations"/>
    <s v="Hazira"/>
    <d v="1981-03-08T00:00:00"/>
    <s v="42.06"/>
    <d v="2022-02-21T00:00:00"/>
    <d v="2039-03-31T00:00:00"/>
    <m/>
    <d v="2039-03-31T00:00:00"/>
    <n v="5671"/>
    <s v="O+"/>
    <s v="BE-2002 , Intermediate-1998 , SSLC-1996"/>
    <s v="14.09"/>
    <s v="01.06"/>
    <s v="16.04"/>
    <s v="00049335"/>
    <s v="Capex Procurement - Expediting"/>
    <s v="272454"/>
    <s v="Sr. Lead Expediting"/>
    <s v="Hazira"/>
    <s v="0031950059"/>
    <s v="HZ-Hazira Project"/>
    <s v="2000HWO"/>
    <s v="20057413"/>
    <s v="Vipin Toshniwal"/>
    <s v="No"/>
    <s v="chintan.sangani@amns.in"/>
    <s v="8799382299"/>
    <s v="878488"/>
    <s v="Dhruv Vyas"/>
    <s v="Anil Matoo"/>
    <s v="Praveen Kuruvalli"/>
    <s v="Dhruv Vyas"/>
    <n v="0"/>
  </r>
  <r>
    <n v="4425"/>
    <n v="20056313"/>
    <s v="Gaurav Chudasam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Performance Management"/>
    <m/>
    <s v="Performance Management"/>
    <s v="Performance Management"/>
    <s v=""/>
    <s v="Non Technical Support"/>
    <s v="Finance &amp; Accounts"/>
    <s v="Costing"/>
    <s v="73906001"/>
    <s v="Costing"/>
    <s v="AM/NS Hazira"/>
    <d v="1990-09-04T00:00:00"/>
    <s v="33.00"/>
    <d v="2022-02-25T00:00:00"/>
    <d v="2048-09-30T00:00:00"/>
    <m/>
    <d v="2048-09-30T00:00:00"/>
    <n v="9142"/>
    <s v="B+"/>
    <s v="BE-2012 , Intermediate-2008 , SSLC-2006"/>
    <s v="09.08"/>
    <s v="01.06"/>
    <s v="11.02"/>
    <s v="00045632"/>
    <s v="Costing &amp; Budgeting"/>
    <s v="272885"/>
    <s v="Lead - Performance Management"/>
    <s v="Hazira"/>
    <s v="0031950043"/>
    <s v="HZ-Performance Manag"/>
    <s v="2000HWO"/>
    <s v="20056146"/>
    <s v="Asvinbhai Sutarsandhiya"/>
    <s v="No"/>
    <s v="gaurav.chudasama@amns.in"/>
    <s v="9662793836"/>
    <s v="880578"/>
    <s v="Dhruv Vyas"/>
    <s v="Anil Matoo"/>
    <s v="Praveen Kuruvalli"/>
    <s v="Dhruv Vyas"/>
    <n v="0"/>
  </r>
  <r>
    <n v="4435"/>
    <n v="20056324"/>
    <s v="Meet Smart"/>
    <s v="AM/NS India"/>
    <s v="Onroll"/>
    <s v="M-10"/>
    <n v="10"/>
    <m/>
    <s v="JM"/>
    <s v="M"/>
    <s v="Hazira"/>
    <n v="1"/>
    <s v="2069"/>
    <x v="8"/>
    <s v="25.01"/>
    <s v="Bibek Chattopadhyay"/>
    <s v="Ashutosh Telang"/>
    <n v="6"/>
    <s v="HR &amp; Administration"/>
    <s v="Corporate Communications"/>
    <s v="25"/>
    <s v="Public Relation Officer"/>
    <m/>
    <s v="Corporate Communication"/>
    <s v=""/>
    <s v=""/>
    <s v="Non Technical Support"/>
    <s v="Corporate Communication"/>
    <s v="Corporate Communication"/>
    <s v="74001001"/>
    <s v="Corporate Communication"/>
    <s v="AM/NS Hazira"/>
    <d v="1994-01-01T00:00:00"/>
    <s v="29.08"/>
    <d v="2022-03-07T00:00:00"/>
    <d v="2051-12-31T00:00:00"/>
    <m/>
    <d v="2051-12-31T00:00:00"/>
    <n v="10329"/>
    <s v="B+"/>
    <s v="MA-2016 , BCom-2014 , Intermediate-2011"/>
    <s v="05.10"/>
    <s v="01.06"/>
    <s v="07.04"/>
    <s v="00047290"/>
    <s v="Communication Gujrat"/>
    <s v="273386"/>
    <s v="Public Relation Officer"/>
    <s v="Hazira"/>
    <s v="0090000016"/>
    <s v="Corporate Steel - Co"/>
    <s v="2000HWO"/>
    <s v="20056083"/>
    <s v="Neeraj Sharma"/>
    <s v="No"/>
    <s v="meet.smart@amns.in"/>
    <s v="6358913654"/>
    <s v="881632"/>
    <s v="Dhruv Vyas"/>
    <s v="Anil Matoo"/>
    <s v="Praveen Kuruvalli"/>
    <s v="Dhruv Vyas"/>
    <n v="0"/>
  </r>
  <r>
    <n v="4437"/>
    <n v="20056327"/>
    <s v="Aishwarya Singhi"/>
    <s v="AM/NS India"/>
    <s v="Onroll"/>
    <s v="M-7"/>
    <n v="7"/>
    <m/>
    <s v="MM"/>
    <s v="F"/>
    <s v="Hazira"/>
    <n v="1"/>
    <s v="2013"/>
    <x v="0"/>
    <s v="20.01"/>
    <s v="Akiyo Omori"/>
    <s v="Amit Harlalka"/>
    <n v="5"/>
    <s v="Finance &amp; Accounts"/>
    <s v="Finance &amp; Accounts"/>
    <s v="20"/>
    <s v="Lead Indirect Tax"/>
    <m/>
    <s v="Taxation"/>
    <s v="In Direct - Taxation"/>
    <s v=""/>
    <s v="Non Technical Support"/>
    <s v="Finance &amp; Accounts"/>
    <s v="Taxation"/>
    <s v="73904002"/>
    <s v="Indirect Taxation"/>
    <s v="AM/NS Hazira"/>
    <d v="1995-10-12T00:00:00"/>
    <s v="27.11"/>
    <d v="2022-03-07T00:00:00"/>
    <d v="2053-10-31T00:00:00"/>
    <m/>
    <d v="2053-10-31T00:00:00"/>
    <n v="10999"/>
    <s v="B+"/>
    <s v="CA Final-2018 , BCom-2016 , Intermediate"/>
    <s v="03.00"/>
    <s v="01.06"/>
    <s v="04.06"/>
    <s v="70282653"/>
    <s v="GST"/>
    <s v="70258426"/>
    <s v="Lead Indirect Tax"/>
    <s v="Hazira"/>
    <s v="0090000033"/>
    <s v="Corporate Taxation"/>
    <s v="2000HWO"/>
    <s v="20055962"/>
    <s v="Navin Kewalramani"/>
    <s v="No"/>
    <s v="aishwarya.singhi@amns.in"/>
    <s v="9903582010"/>
    <s v="882357"/>
    <s v="Dhruv Vyas"/>
    <s v="Anil Matoo"/>
    <s v="Praveen Kuruvalli"/>
    <s v="Dhruv Vyas"/>
    <n v="0"/>
  </r>
  <r>
    <n v="4442"/>
    <n v="20056333"/>
    <s v="Gonnakuti Shashank Naidu"/>
    <s v="AM/NS Middle East FZE"/>
    <s v="Onroll"/>
    <s v="M-9"/>
    <n v="9"/>
    <m/>
    <s v="JM"/>
    <s v="M"/>
    <s v="Dubai"/>
    <n v="10"/>
    <s v="2502"/>
    <x v="10"/>
    <s v="14.01"/>
    <s v="Ranjan Dhar"/>
    <s v="Alain Legrix De La Salle"/>
    <n v="3"/>
    <s v="Sales &amp; Marketing"/>
    <s v="Sales &amp; Marketing"/>
    <s v="14"/>
    <s v="Lead Sales"/>
    <m/>
    <s v="Sales ME"/>
    <s v="Sales ME"/>
    <s v=""/>
    <s v=""/>
    <s v="Sales &amp; Marketing"/>
    <s v="Sales &amp; Marketing"/>
    <s v="73101001"/>
    <s v="Sales &amp; Marketing"/>
    <s v="Dubai"/>
    <d v="1990-10-01T00:00:00"/>
    <s v="32.11"/>
    <d v="2022-03-14T00:00:00"/>
    <d v="2048-09-30T00:00:00"/>
    <m/>
    <d v="2048-09-30T00:00:00"/>
    <n v="9142"/>
    <s v="B+"/>
    <s v="MBA-2015 , BCom-2012"/>
    <s v="06.08"/>
    <s v="01.06"/>
    <s v="08.02"/>
    <s v="70495379"/>
    <s v="Chief Marketing Officer - AMNS ME FZE"/>
    <s v="274488"/>
    <s v="Sales Manager ME"/>
    <s v="AMNS Middle East FZE"/>
    <s v="0093720082"/>
    <s v="SC-Dubai-Marketing"/>
    <s v="DUBA2081"/>
    <s v="20055663"/>
    <s v="Karamath Syed"/>
    <s v="No"/>
    <s v="shashank.naidu@amns.in"/>
    <s v="+971564084646"/>
    <s v="24132"/>
    <s v="Dhruv Vyas"/>
    <s v="Anil Matoo"/>
    <s v="Praveen Kuruvalli"/>
    <n v="0"/>
    <n v="0"/>
  </r>
  <r>
    <n v="4456"/>
    <n v="20056350"/>
    <s v="Sanjay Kumar Jha"/>
    <s v="AM/NS India"/>
    <s v="Onroll"/>
    <s v="M-7"/>
    <n v="7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- Finance &amp; Accounts"/>
    <m/>
    <s v="Finance &amp; Accounts - Odisha"/>
    <s v="Finance &amp; Accounts"/>
    <s v=""/>
    <s v="Non Technical Support"/>
    <s v="Finance &amp; Accounts"/>
    <s v="Finance &amp; Accounts"/>
    <s v="73901001"/>
    <s v="Finance &amp; Accounts"/>
    <s v="Paradeep"/>
    <d v="1985-11-10T00:00:00"/>
    <s v="37.10"/>
    <d v="2022-03-07T00:00:00"/>
    <d v="2043-11-30T00:00:00"/>
    <m/>
    <d v="2043-11-30T00:00:00"/>
    <n v="7376"/>
    <s v="B+"/>
    <s v="BCom-2007 , CA Final-2010 , Intermediate"/>
    <s v="11.01"/>
    <s v="01.06"/>
    <s v="12.07"/>
    <s v="70234933"/>
    <s v="Finance &amp; Accounts - Odisha"/>
    <s v="273341"/>
    <s v="Lead - Finance &amp; Accounts"/>
    <s v="Odisha"/>
    <s v="0022030019"/>
    <s v="PDP-HR &amp; Admn"/>
    <s v="2000STORIS"/>
    <s v="20055801"/>
    <s v="Sanjive Kumar Singh"/>
    <s v="No"/>
    <s v="sanjay.jha@amns.in"/>
    <s v="9868413352"/>
    <s v="882952"/>
    <s v="Sunila Das"/>
    <s v="Anil Matoo"/>
    <s v="Praveen Kuruvalli"/>
    <s v="Sunila Das"/>
    <n v="0"/>
  </r>
  <r>
    <n v="4457"/>
    <n v="20056351"/>
    <s v="Abhiram Mahanty"/>
    <s v="AM/NS India"/>
    <s v="Onroll"/>
    <s v="M-8"/>
    <n v="8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Admin"/>
    <m/>
    <s v="Administration"/>
    <s v=""/>
    <s v=""/>
    <s v="Non Technical Support"/>
    <s v="Human Resources Management"/>
    <s v="Human Resources Management"/>
    <s v="73501002"/>
    <s v="Human Resources Operation"/>
    <s v="Dabuna"/>
    <d v="1983-08-02T00:00:00"/>
    <s v="40.01"/>
    <d v="2022-03-07T00:00:00"/>
    <d v="2041-08-31T00:00:00"/>
    <m/>
    <d v="2041-08-31T00:00:00"/>
    <n v="6555"/>
    <s v="B-"/>
    <s v="MBA-2010 , MSc-2005 , BSc-2003 , Interme"/>
    <s v="13.11"/>
    <s v="01.06"/>
    <s v="15.05"/>
    <s v="70238103"/>
    <s v="Odisha - Admin &amp; Industrial Relations"/>
    <s v="273313"/>
    <s v="Lead Admin"/>
    <s v="Odisha"/>
    <s v="0022010019"/>
    <s v="DBN-Benf-HR/Admin"/>
    <s v="2000STORIS"/>
    <s v="20057297"/>
    <s v="Bibhash Mohanty"/>
    <s v="No"/>
    <s v="abhiram.mahanty@amns.in"/>
    <s v="8599008836"/>
    <s v="882969"/>
    <s v="Sunila Das"/>
    <s v="Anil Matoo"/>
    <s v="Praveen Kuruvalli"/>
    <s v="Sunila Das"/>
    <n v="0"/>
  </r>
  <r>
    <n v="4468"/>
    <n v="20056362"/>
    <s v="Prashant Pandey"/>
    <s v="AM/NS India"/>
    <s v="Onroll"/>
    <s v="M-8"/>
    <n v="8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Lead – Secondary Sales"/>
    <m/>
    <s v=""/>
    <s v=""/>
    <s v=""/>
    <s v="Non Technical Support"/>
    <s v="Operations"/>
    <s v="Operations"/>
    <s v="72103001"/>
    <s v="Operations"/>
    <s v="Hazira"/>
    <d v="1992-01-16T00:00:00"/>
    <s v="31.08"/>
    <d v="2022-03-07T00:00:00"/>
    <d v="2050-01-31T00:00:00"/>
    <m/>
    <d v="2050-01-31T00:00:00"/>
    <n v="9630"/>
    <s v="B+"/>
    <s v="MBA-2021 , BTech-2014 , Intermediate-201"/>
    <s v="06.06"/>
    <s v="01.06"/>
    <s v="08.00"/>
    <s v="00049357"/>
    <s v="Secondary Sales"/>
    <s v="274960"/>
    <s v="Lead – Secondary Sales"/>
    <s v="Hazira"/>
    <s v="0031950059"/>
    <s v="HZ-Hazira Project"/>
    <s v="2000HWO"/>
    <s v="20055763"/>
    <s v="Debashis Mohapatra"/>
    <s v="No"/>
    <s v="prashant.pandey@amns.in"/>
    <s v="9879102273"/>
    <s v="22932"/>
    <s v="Dhruv Vyas"/>
    <s v="Anil Matoo"/>
    <s v="Praveen Kuruvalli"/>
    <s v="Dhruv Vyas"/>
    <n v="0"/>
  </r>
  <r>
    <n v="4471"/>
    <n v="20056368"/>
    <s v="Sanjay Mahawar"/>
    <s v="AM/NS India"/>
    <s v="Onroll"/>
    <s v="M-7"/>
    <n v="7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s v=""/>
    <s v=""/>
    <s v="Non Technical Support"/>
    <s v="Corporate Relations"/>
    <s v="Corporate Affairs"/>
    <s v="74501001"/>
    <s v="Corporate Affairs"/>
    <s v="Delhi"/>
    <d v="1975-12-23T00:00:00"/>
    <s v="47.08"/>
    <d v="2022-03-15T00:00:00"/>
    <d v="2033-12-31T00:00:00"/>
    <m/>
    <d v="2033-12-31T00:00:00"/>
    <n v="3755"/>
    <s v="AB+"/>
    <s v="Diploma-2007 , Diploma-2005 , BA-1998 ,"/>
    <s v="21.03"/>
    <s v="01.06"/>
    <s v="22.09"/>
    <s v="70494938"/>
    <s v="Corporate Affairs"/>
    <s v="273385"/>
    <s v="Lead - Corporate Affairs"/>
    <s v="Corporate"/>
    <s v="0090000021"/>
    <s v="Corporate Affairs"/>
    <s v="2000CS"/>
    <s v="20057928"/>
    <s v="Manu Kapoor"/>
    <s v="No"/>
    <s v="sanjay.mahawar@amns.in"/>
    <s v="9911225547"/>
    <s v="883537"/>
    <s v="Dhruv Vyas"/>
    <s v="Anil Matoo"/>
    <s v="Praveen Kuruvalli"/>
    <s v="Dhruv Vyas"/>
    <n v="0"/>
  </r>
  <r>
    <n v="4474"/>
    <n v="20056372"/>
    <s v="Varun Puri"/>
    <s v="AM/NS Middle East FZE"/>
    <s v="Onroll"/>
    <s v="M-8"/>
    <n v="8"/>
    <m/>
    <s v="JM"/>
    <s v="M"/>
    <s v="Dubai"/>
    <n v="10"/>
    <s v="2504"/>
    <x v="0"/>
    <s v="20.01"/>
    <s v="Akiyo Omori"/>
    <s v="Amit Harlalka"/>
    <n v="5"/>
    <s v="Finance &amp; Accounts"/>
    <s v="Finance &amp; Accounts"/>
    <s v="20"/>
    <s v="Lead - Finance &amp; Accounts"/>
    <m/>
    <s v=""/>
    <s v=""/>
    <s v=""/>
    <s v="Non Technical Support"/>
    <s v="Finance &amp; Accounts"/>
    <s v="Finance &amp; Accounts"/>
    <s v="73901001"/>
    <s v="Finance &amp; Accounts"/>
    <s v="Dubai"/>
    <d v="1988-04-05T00:00:00"/>
    <s v="35.05"/>
    <d v="2022-03-15T00:00:00"/>
    <d v="2046-04-30T00:00:00"/>
    <m/>
    <d v="2046-04-30T00:00:00"/>
    <n v="8258"/>
    <s v=""/>
    <s v=""/>
    <s v=""/>
    <s v="01.06"/>
    <s v="01.06"/>
    <s v="70495379"/>
    <s v="Chief Marketing Officer - AMNS ME FZE"/>
    <s v="70258779"/>
    <s v="Lead - Finance &amp; Accounts"/>
    <s v="AMNS Middle East FZE"/>
    <s v="0093720019"/>
    <s v="SC-Dubai-Hr-Admin"/>
    <s v="DUBA2081"/>
    <s v="20055663"/>
    <s v="Karamath Syed"/>
    <s v="No"/>
    <s v="varun.puri@amns.in"/>
    <s v="971564084480"/>
    <s v="23596"/>
    <s v="Dhruv Vyas"/>
    <s v="Anil Matoo"/>
    <s v="Praveen Kuruvalli"/>
    <s v="Dhruv Vyas"/>
    <n v="0"/>
  </r>
  <r>
    <n v="4477"/>
    <n v="20056375"/>
    <s v="Satyanarayan Routray"/>
    <s v="AM/NS India"/>
    <s v="Onroll"/>
    <s v="M-6"/>
    <n v="6"/>
    <m/>
    <s v="MM"/>
    <s v="M"/>
    <s v="Odisha"/>
    <n v="2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"/>
    <s v=""/>
    <s v="Projects"/>
    <s v="Corporate Relations"/>
    <s v="Corporate Affairs"/>
    <s v="74501001"/>
    <s v="Corporate Affairs"/>
    <s v="Bhubaneswar"/>
    <d v="1981-06-18T00:00:00"/>
    <s v="42.03"/>
    <d v="2022-03-21T00:00:00"/>
    <d v="2039-06-30T00:00:00"/>
    <m/>
    <d v="2039-06-30T00:00:00"/>
    <n v="5762"/>
    <s v="A+"/>
    <s v="BSc-2004 , Intermediate-2000 , SSLC-1996"/>
    <s v="16.00"/>
    <s v="01.06"/>
    <s v="17.06"/>
    <s v="00048076"/>
    <s v="Greenfield Project"/>
    <s v="273334"/>
    <s v="Lead Corporate Affairs"/>
    <s v="Odisha"/>
    <s v="0022030048"/>
    <s v="PDP-Projects"/>
    <s v="2000STORIS"/>
    <s v="20055204"/>
    <s v="Lakshmi Charan Mahapatra"/>
    <s v="No"/>
    <s v="satyanarayan.routray@amns.in"/>
    <s v="9438013247"/>
    <s v="883654"/>
    <s v="Sunila Das"/>
    <s v="Anil Matoo"/>
    <s v="Praveen Kuruvalli"/>
    <s v="Sunila Das"/>
    <n v="0"/>
  </r>
  <r>
    <n v="4488"/>
    <n v="20056387"/>
    <s v="Vikal Goyal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Internal Control &amp; SOX"/>
    <m/>
    <s v="Internal Control &amp; SOX"/>
    <s v="Internal Control &amp; SOX"/>
    <s v=""/>
    <s v="Non Technical Support"/>
    <s v="Chairman's Secretariat"/>
    <s v="Chairman's Secretariat"/>
    <s v="74701000"/>
    <s v="Chairman's Secretariat"/>
    <s v="AM/NS Hazira"/>
    <d v="1991-10-26T00:00:00"/>
    <s v="31.10"/>
    <d v="2022-03-21T00:00:00"/>
    <d v="2049-10-31T00:00:00"/>
    <m/>
    <d v="2049-10-31T00:00:00"/>
    <n v="9538"/>
    <s v="B+"/>
    <s v="BCom-2012 , CA Final-2014 , Intermediate"/>
    <s v="07.01"/>
    <s v="01.06"/>
    <s v="08.06"/>
    <s v="00051504"/>
    <s v="Internal Control &amp; SOX"/>
    <s v="275134"/>
    <s v="Lead – Internal Control &amp; SOX"/>
    <s v="Hazira"/>
    <s v="0031950043"/>
    <s v="HZ-Performance Manag"/>
    <s v="2000HWO"/>
    <s v="20000138"/>
    <s v="Suresh Iyer"/>
    <s v="No"/>
    <s v="vikal.goyal@amns.in"/>
    <s v="6358913683"/>
    <s v="884014"/>
    <s v="Dhruv Vyas"/>
    <s v="Anil Matoo"/>
    <s v="Praveen Kuruvalli"/>
    <s v="Dhruv Vyas"/>
    <n v="0"/>
  </r>
  <r>
    <n v="4494"/>
    <n v="20056394"/>
    <s v="Nikisha Desai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Performance Management"/>
    <m/>
    <s v="Performance Management"/>
    <s v="Performance Management"/>
    <s v=""/>
    <s v="Non Technical Support"/>
    <s v="Finance &amp; Accounts"/>
    <s v="Treasury"/>
    <s v="73903001"/>
    <s v="Treasury"/>
    <s v="AM/NS Hazira"/>
    <d v="1983-09-12T00:00:00"/>
    <s v="40.00"/>
    <d v="2022-03-16T00:00:00"/>
    <d v="2041-09-30T00:00:00"/>
    <m/>
    <d v="2041-09-30T00:00:00"/>
    <n v="6585"/>
    <s v="O+"/>
    <s v="PG Diploma in Management-2010 , MCom-200"/>
    <s v="11.03"/>
    <s v="01.06"/>
    <s v="12.09"/>
    <s v="00045632"/>
    <s v="Costing &amp; Budgeting"/>
    <s v="70360709"/>
    <s v="Officer - Performance Management"/>
    <s v="Hazira"/>
    <s v="0031950043"/>
    <s v="HZ-Performance Manag"/>
    <s v="2000HWO"/>
    <s v="20056146"/>
    <s v="Asvinbhai Sutarsandhiya"/>
    <s v="No"/>
    <s v="nikisha.desai@amns.in"/>
    <s v="9727255991"/>
    <s v="25213"/>
    <s v="Dhruv Vyas"/>
    <s v="Anil Matoo"/>
    <s v="Praveen Kuruvalli"/>
    <s v="Dhruv Vyas"/>
    <n v="0"/>
  </r>
  <r>
    <n v="4496"/>
    <n v="20056396"/>
    <s v="Ritesh Shrivastava"/>
    <s v="AM/NS India"/>
    <s v="Onroll"/>
    <s v="M-6"/>
    <n v="6"/>
    <m/>
    <s v="MM"/>
    <s v="M"/>
    <s v="Corporate"/>
    <n v="7"/>
    <s v="2095"/>
    <x v="4"/>
    <n v="36.01"/>
    <s v="Deepak Sindkar"/>
    <s v="Hrishikesh Kamat"/>
    <n v="7"/>
    <s v="Procurement"/>
    <s v="Raw Materials"/>
    <s v="36"/>
    <s v="Section Head – BRM"/>
    <m/>
    <s v="Bulk Raw Materials"/>
    <s v="Bulk Raw Materials"/>
    <s v=""/>
    <s v="Non Technical Support"/>
    <s v="Commercial"/>
    <s v="Procurement"/>
    <s v="73803001"/>
    <s v="Procurement"/>
    <s v="Mumbai"/>
    <d v="1984-12-08T00:00:00"/>
    <s v="38.09"/>
    <d v="2022-03-14T00:00:00"/>
    <d v="2042-12-31T00:00:00"/>
    <m/>
    <d v="2042-12-31T00:00:00"/>
    <n v="7042"/>
    <s v="O+"/>
    <s v="BE-2007 , Intermediate-2002 , SSLC-2000"/>
    <s v="14.07"/>
    <s v="01.06"/>
    <s v="16.01"/>
    <s v="00045893"/>
    <s v="Red Odisha Mill Scale"/>
    <s v="70258488"/>
    <s v="Section Head – BRM"/>
    <s v="Corporate"/>
    <s v="0031950048"/>
    <s v="HZ-Procurment Depart"/>
    <s v="2002MUMB"/>
    <s v="20035527"/>
    <s v="Anil Patro"/>
    <s v="No"/>
    <s v="ritesh.shrivastava@amns.in"/>
    <s v="9820508867"/>
    <s v="884173"/>
    <s v="Dhruv Vyas"/>
    <s v="Anil Matoo"/>
    <s v="Praveen Kuruvalli"/>
    <s v="Dhruv Vyas"/>
    <n v="0"/>
  </r>
  <r>
    <n v="4512"/>
    <n v="20056418"/>
    <s v="Vihar Vaghela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Operations"/>
    <s v="Operations"/>
    <s v="72103001"/>
    <s v="Operations"/>
    <s v="Hazira"/>
    <d v="1990-09-11T00:00:00"/>
    <s v="33.00"/>
    <d v="2022-04-04T00:00:00"/>
    <d v="2048-09-30T00:00:00"/>
    <m/>
    <d v="2048-09-30T00:00:00"/>
    <n v="9142"/>
    <s v="B+"/>
    <s v="BE-2011 , Intermediate-2007 , SSLC-2005"/>
    <s v="10.02"/>
    <s v="01.05"/>
    <s v="11.07"/>
    <s v="00049335"/>
    <s v="Capex Procurement - Expediting"/>
    <s v="273324"/>
    <s v="Lead – Expeditor Capex"/>
    <s v="Hazira"/>
    <s v="0031950059"/>
    <s v="HZ-Hazira Project"/>
    <s v="2000HWO"/>
    <s v="20057413"/>
    <s v="Vipin Toshniwal"/>
    <s v="No"/>
    <s v="vihar.vaghela@amns.in"/>
    <s v="9033182129"/>
    <s v="886077"/>
    <s v="Dhruv Vyas"/>
    <s v="Anil Matoo"/>
    <s v="Praveen Kuruvalli"/>
    <s v="Dhruv Vyas"/>
    <n v="0"/>
  </r>
  <r>
    <n v="4513"/>
    <n v="20056419"/>
    <s v="Avinash Tickoo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Operations"/>
    <s v="Operations"/>
    <s v="72103001"/>
    <s v="Operations"/>
    <s v="Hazira"/>
    <d v="1986-10-04T00:00:00"/>
    <s v="36.11"/>
    <d v="2022-04-01T00:00:00"/>
    <d v="2044-10-31T00:00:00"/>
    <m/>
    <d v="2044-10-31T00:00:00"/>
    <n v="7712"/>
    <s v="A+"/>
    <s v="BE-2010 , Intermediate-2006 , SSLC-2003"/>
    <s v="09.02"/>
    <s v="01.05"/>
    <s v="10.07"/>
    <s v="00049335"/>
    <s v="Capex Procurement - Expediting"/>
    <s v="273321"/>
    <s v="Lead – Expeditor Capex"/>
    <s v="Hazira"/>
    <s v="0031950059"/>
    <s v="HZ-Hazira Project"/>
    <s v="2000HWO"/>
    <s v="20057413"/>
    <s v="Vipin Toshniwal"/>
    <s v="No"/>
    <s v="avinash.tickoo@amns.in"/>
    <s v="7990300919"/>
    <s v="886338"/>
    <s v="Dhruv Vyas"/>
    <s v="Anil Matoo"/>
    <s v="Praveen Kuruvalli"/>
    <s v="Dhruv Vyas"/>
    <n v="0"/>
  </r>
  <r>
    <n v="4515"/>
    <n v="20056422"/>
    <s v="Suparna Nanda"/>
    <s v="AM/NS India"/>
    <s v="Onroll"/>
    <s v="M-4"/>
    <n v="4"/>
    <m/>
    <s v="SM"/>
    <s v="F"/>
    <s v="Odisha"/>
    <n v="2"/>
    <s v="2039"/>
    <x v="2"/>
    <s v="43.01"/>
    <s v="Sangeeta Munjal"/>
    <s v="Manu Kapoor"/>
    <n v="10"/>
    <s v="Corporate Affairs"/>
    <s v="Corporate Affairs"/>
    <s v="43"/>
    <s v="Head - Corporate Affairs, Odisha"/>
    <m/>
    <s v="Corporate Affairs"/>
    <s v="Corporate Affairs"/>
    <s v="Corporate Affairs"/>
    <s v="Non Technical Support"/>
    <s v="Corporate Relations"/>
    <s v="Corporate Affairs"/>
    <s v="74501001"/>
    <s v="Corporate Affairs"/>
    <s v="Bhubaneswar"/>
    <d v="1975-08-23T00:00:00"/>
    <s v="48.00"/>
    <d v="2022-04-02T00:00:00"/>
    <d v="2033-08-31T00:00:00"/>
    <m/>
    <d v="2033-08-31T00:00:00"/>
    <n v="3633"/>
    <s v="B-"/>
    <s v="PG Diploma-1998 , PG Diploma-1996 , Inte"/>
    <s v="21.06"/>
    <s v="01.05"/>
    <s v="22.11"/>
    <s v="70495564"/>
    <s v="Corporate Affairs - Odisha"/>
    <s v="276336"/>
    <s v="Head - Corporate Affairs, Odisha"/>
    <s v="Odisha"/>
    <s v="0090000021"/>
    <s v="Corporate Affairs"/>
    <s v="2000STORIS"/>
    <s v="20057928"/>
    <s v="Manu Kapoor"/>
    <s v="No"/>
    <s v="suparna.nanda@amns.in"/>
    <s v="9937154773"/>
    <s v="886522"/>
    <s v="Sunila Das"/>
    <s v="Anil Matoo"/>
    <s v="Praveen Kuruvalli"/>
    <s v="Sunila Das"/>
    <n v="0"/>
  </r>
  <r>
    <n v="4517"/>
    <n v="20056424"/>
    <s v="Ramesh Patel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- Capex Procurement"/>
    <m/>
    <s v=""/>
    <s v=""/>
    <s v=""/>
    <s v="Non Technical Support"/>
    <s v="Operations"/>
    <s v="Operations"/>
    <s v="72103001"/>
    <s v="Operations"/>
    <s v="Hazira"/>
    <d v="1983-01-31T00:00:00"/>
    <s v="40.07"/>
    <d v="2022-03-29T00:00:00"/>
    <d v="2041-01-31T00:00:00"/>
    <m/>
    <d v="2041-01-31T00:00:00"/>
    <n v="6343"/>
    <s v="A+"/>
    <s v="MBA-2007 , BE-2005 , Intermediate-2000 ,"/>
    <s v="17.03"/>
    <s v="01.05"/>
    <s v="18.08"/>
    <s v="00053251"/>
    <s v="Capex Procurement"/>
    <s v="273320"/>
    <s v="Sr. Lead - Capex Procurement"/>
    <s v="Hazira"/>
    <s v="0031950059"/>
    <s v="HZ-Hazira Project"/>
    <s v="2000HWO"/>
    <s v="20055706"/>
    <s v="HimalKumar Madhusudan Sheth"/>
    <s v="No"/>
    <s v="ramesh.patel1@amns.in"/>
    <s v="6358942015"/>
    <s v="886653"/>
    <s v="Dhruv Vyas"/>
    <s v="Anil Matoo"/>
    <s v="Praveen Kuruvalli"/>
    <s v="Dhruv Vyas"/>
    <n v="0"/>
  </r>
  <r>
    <n v="4521"/>
    <n v="20056429"/>
    <s v="Sonali Jain"/>
    <s v="AM/NS India"/>
    <s v="Onroll"/>
    <s v="M-10"/>
    <n v="10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Accounts Payable"/>
    <m/>
    <s v=""/>
    <s v=""/>
    <s v=""/>
    <s v="Non Technical Support"/>
    <s v="Finance &amp; Accounts"/>
    <s v="Finance &amp; Accounts"/>
    <s v="73901001"/>
    <s v="Finance &amp; Accounts"/>
    <s v="AM/NS Hazira"/>
    <d v="1993-03-06T00:00:00"/>
    <s v="30.06"/>
    <d v="2022-04-06T00:00:00"/>
    <d v="2051-03-31T00:00:00"/>
    <m/>
    <d v="2051-03-31T00:00:00"/>
    <n v="10054"/>
    <s v="B+"/>
    <s v="CS-2014 , CA Inter-2011 , BCom-2013 , In"/>
    <s v="03.00"/>
    <s v="01.05"/>
    <s v="04.05"/>
    <s v="72150243"/>
    <s v="Accounts Payable"/>
    <s v="70298654"/>
    <s v="Officer Accounts Payable"/>
    <s v="Hazira"/>
    <s v="0031950045"/>
    <s v="HZ-Works Accounts-Ha"/>
    <s v="2000HWO"/>
    <s v="20001076"/>
    <s v="Bhavesh Modi"/>
    <s v="No"/>
    <s v="sonali.jain@amns.in"/>
    <s v="9664527109"/>
    <s v="887052"/>
    <s v="Dhruv Vyas"/>
    <s v="Anil Matoo"/>
    <s v="Praveen Kuruvalli"/>
    <s v="Dhruv Vyas"/>
    <n v="0"/>
  </r>
  <r>
    <n v="4523"/>
    <n v="20056431"/>
    <s v="Prajakta Wagholikar"/>
    <s v="AM/NS India"/>
    <s v="Onroll"/>
    <s v="M-5"/>
    <n v="5"/>
    <m/>
    <s v="M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- Coated Products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75-03-28T00:00:00"/>
    <s v="48.05"/>
    <d v="2022-04-06T00:00:00"/>
    <d v="2033-03-31T00:00:00"/>
    <m/>
    <d v="2033-03-31T00:00:00"/>
    <n v="3480"/>
    <s v="O+"/>
    <s v="BE-1997 , Intermediate-1993 , SSLC-1991"/>
    <s v="24.09"/>
    <s v="01.05"/>
    <s v="26.02"/>
    <s v="00052471"/>
    <s v="Coated &amp; OC"/>
    <s v="273353"/>
    <s v="Section Head - Coated &amp; OC Products"/>
    <s v="Corporate"/>
    <s v="0031950057"/>
    <s v="HZ-HRC - Marketing"/>
    <s v="2002MUMB"/>
    <s v="20008508"/>
    <s v="Satyajit Mohapatra"/>
    <s v="No"/>
    <s v="prajakta.wagholikar@amns.in"/>
    <s v="9860998710"/>
    <s v="887153"/>
    <s v="Dhruv Vyas"/>
    <s v="Anil Matoo"/>
    <s v="Praveen Kuruvalli"/>
    <s v="Dhruv Vyas"/>
    <n v="0"/>
  </r>
  <r>
    <n v="4536"/>
    <n v="20056445"/>
    <s v="Monoswita Rez"/>
    <s v="AM/NS India"/>
    <s v="Onroll"/>
    <s v="M-9"/>
    <n v="9"/>
    <m/>
    <s v="JM"/>
    <s v="F"/>
    <s v="Odisha"/>
    <n v="2"/>
    <s v="2013"/>
    <x v="0"/>
    <s v="20.01"/>
    <s v="Akiyo Omori"/>
    <s v="Amit Harlalka"/>
    <n v="5"/>
    <s v="Finance &amp; Accounts"/>
    <s v="Finance &amp; Accounts"/>
    <s v="20"/>
    <s v="Officer- F&amp;A"/>
    <m/>
    <s v="Projects"/>
    <s v=""/>
    <s v=""/>
    <s v="Non Technical Support"/>
    <s v=""/>
    <s v=""/>
    <s v=""/>
    <s v=""/>
    <s v="Bhubaneswar"/>
    <d v="1997-05-04T00:00:00"/>
    <s v="26.04"/>
    <d v="2022-04-04T00:00:00"/>
    <d v="2055-05-31T00:00:00"/>
    <m/>
    <d v="2055-05-31T00:00:00"/>
    <n v="11576"/>
    <s v="B+"/>
    <s v="CA Final-2021 , BCom-2018 , SSLC-2015"/>
    <s v="00.03"/>
    <s v="01.05"/>
    <s v="01.08"/>
    <s v="70234933"/>
    <s v="Finance &amp; Accounts - Odisha"/>
    <s v="277056"/>
    <s v="Officer- F&amp;A"/>
    <s v="Odisha"/>
    <s v="0022030019"/>
    <s v="PDP-HR &amp; Admn"/>
    <s v="2000STORIS"/>
    <s v="20055801"/>
    <s v="Sanjive Kumar Singh"/>
    <s v="No"/>
    <s v="monoswita.rez@amns.in"/>
    <s v="8598027449"/>
    <s v="887972"/>
    <s v="Sunila Das"/>
    <s v="Anil Matoo"/>
    <s v="Praveen Kuruvalli"/>
    <s v="Sunila Das"/>
    <n v="0"/>
  </r>
  <r>
    <n v="4547"/>
    <n v="20056456"/>
    <s v="Prashant Bajpai"/>
    <s v="AM/NS India"/>
    <s v="Onroll"/>
    <s v="M-7"/>
    <n v="7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Lead- HR Operations"/>
    <m/>
    <s v="Human Resources"/>
    <s v=""/>
    <s v=""/>
    <s v="Non Technical Support"/>
    <s v="Human Resources Management"/>
    <s v="Human Resources Management"/>
    <s v="73501001"/>
    <s v="Human Resources"/>
    <s v="Hazira"/>
    <d v="1990-05-10T00:00:00"/>
    <s v="33.04"/>
    <d v="2022-04-07T00:00:00"/>
    <d v="2048-05-31T00:00:00"/>
    <m/>
    <d v="2048-05-31T00:00:00"/>
    <n v="9020"/>
    <s v="O+"/>
    <s v="MBA-2012 , BCom-2010"/>
    <s v="09.10"/>
    <s v="01.05"/>
    <s v="11.03"/>
    <s v="70472770"/>
    <s v="Hazira HR Operations - 1"/>
    <s v="273307"/>
    <s v="Lead- HR Operations"/>
    <s v="Hazira"/>
    <s v="0031950061"/>
    <s v="HZ-Human Resource"/>
    <s v="2000HWO"/>
    <s v="20001265"/>
    <s v="Lakshman Iyer"/>
    <s v="No"/>
    <s v="prashant.bajpai@amns.in"/>
    <s v="9558610703"/>
    <s v="888411"/>
    <s v="Dhruv Vyas"/>
    <s v="Anil Matoo"/>
    <s v="Praveen Kuruvalli"/>
    <s v="Dhruv Vyas"/>
    <n v="0"/>
  </r>
  <r>
    <n v="4574"/>
    <n v="20056488"/>
    <s v="Supriya Swain"/>
    <s v="AM/NS India"/>
    <s v="Onroll"/>
    <s v="M-7"/>
    <n v="7"/>
    <m/>
    <s v="MM"/>
    <s v="F"/>
    <s v="Odisha"/>
    <n v="2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1"/>
    <s v="Human Resources"/>
    <s v="Paradeep"/>
    <d v="1983-06-30T00:00:00"/>
    <s v="40.02"/>
    <d v="2022-05-02T00:00:00"/>
    <d v="2041-06-30T00:00:00"/>
    <m/>
    <d v="2041-06-30T00:00:00"/>
    <n v="6493"/>
    <s v="A+"/>
    <s v="MBA-2008 , PG Diploma-2005 , BSc-2004 ,"/>
    <s v="12.00"/>
    <s v="01.04"/>
    <s v="13.04"/>
    <s v="70495430"/>
    <s v="Odisha HR Operations"/>
    <s v="273311"/>
    <s v="Lead - Human Resources"/>
    <s v="Odisha"/>
    <s v="0022030019"/>
    <s v="PDP-HR &amp; Admn"/>
    <s v="2000STORIS"/>
    <s v="20055611"/>
    <s v="Sunila Kumar Das"/>
    <s v="No"/>
    <s v="supriya.swain@amns.in"/>
    <s v="7894450331"/>
    <s v="890454"/>
    <s v="Sunila Das"/>
    <s v="Anil Matoo"/>
    <s v="Praveen Kuruvalli"/>
    <s v="Sunila Das"/>
    <n v="0"/>
  </r>
  <r>
    <n v="4578"/>
    <n v="20056492"/>
    <s v="Parthajeet Mazumdar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Capex Procurement"/>
    <s v=""/>
    <s v=""/>
    <s v="Non Technical Support"/>
    <s v=""/>
    <s v=""/>
    <s v=""/>
    <s v=""/>
    <s v="Hazira"/>
    <d v="1990-08-28T00:00:00"/>
    <s v="33.00"/>
    <d v="2022-04-28T00:00:00"/>
    <d v="2048-08-31T00:00:00"/>
    <m/>
    <d v="2048-08-31T00:00:00"/>
    <n v="9112"/>
    <s v="O+"/>
    <s v="Bachelor of Computer Applications-2012 ,"/>
    <s v="09.09"/>
    <s v="01.04"/>
    <s v="11.01"/>
    <s v="00049335"/>
    <s v="Capex Procurement - Expediting"/>
    <s v="278454"/>
    <s v="Lead – Expeditor Capex"/>
    <s v="Hazira"/>
    <s v="0031950059"/>
    <s v="HZ-Hazira Project"/>
    <s v="2000HWO"/>
    <s v="20057413"/>
    <s v="Vipin Toshniwal"/>
    <s v="No"/>
    <s v="parthajeet.mazumdar@amns.in"/>
    <s v="6358942094"/>
    <s v="891002"/>
    <s v="Dhruv Vyas"/>
    <s v="Anil Matoo"/>
    <s v="Praveen Kuruvalli"/>
    <s v="Dhruv Vyas"/>
    <n v="0"/>
  </r>
  <r>
    <n v="4585"/>
    <n v="20056499"/>
    <s v="Bharti Chundawat"/>
    <s v="AM/NS India"/>
    <s v="Onroll"/>
    <s v="M-7"/>
    <n v="7"/>
    <m/>
    <s v="MM"/>
    <s v="F"/>
    <s v="Hazira"/>
    <n v="1"/>
    <s v="2161"/>
    <x v="15"/>
    <s v="31.02"/>
    <s v="Hrishikesh Kamat"/>
    <s v="Hrishikesh Kamat"/>
    <n v="7"/>
    <s v="Procurement"/>
    <s v="Procurement"/>
    <s v="31"/>
    <s v="Sr. Lead - Capex Services"/>
    <m/>
    <s v=""/>
    <s v=""/>
    <s v=""/>
    <s v="Non Technical Support"/>
    <s v="Operations"/>
    <s v="Operations"/>
    <s v="72103001"/>
    <s v="Operations"/>
    <s v="Hazira"/>
    <d v="1987-11-23T00:00:00"/>
    <s v="35.09"/>
    <d v="2022-05-09T00:00:00"/>
    <d v="2045-11-30T00:00:00"/>
    <m/>
    <d v="2045-11-30T00:00:00"/>
    <n v="8107"/>
    <s v="O+"/>
    <s v="Bachelor Equivalent-2009 , Intermediate-"/>
    <s v="12.04"/>
    <s v="01.04"/>
    <s v="13.08"/>
    <s v="00049344"/>
    <s v="Capex Procurement"/>
    <s v="273318"/>
    <s v="Sr. Lead - Capex Services"/>
    <s v="Hazira"/>
    <s v="0031950059"/>
    <s v="HZ-Hazira Project"/>
    <s v="2000HWO"/>
    <s v="20055728"/>
    <s v="Mahebub Vahora"/>
    <s v="No"/>
    <s v="bharti.chundawat@amns.in"/>
    <s v="9879105140"/>
    <s v="892294"/>
    <s v="Dhruv Vyas"/>
    <s v="Anil Matoo"/>
    <s v="Praveen Kuruvalli"/>
    <s v="Dhruv Vyas"/>
    <n v="0"/>
  </r>
  <r>
    <n v="4588"/>
    <n v="20056503"/>
    <s v="Bhavin Pandya"/>
    <s v="AM/NS India"/>
    <s v="Onroll"/>
    <s v="M-6"/>
    <n v="6"/>
    <m/>
    <s v="MM"/>
    <s v="M"/>
    <s v="Hazira"/>
    <n v="1"/>
    <s v="2084"/>
    <x v="17"/>
    <s v="23.09"/>
    <s v="Anil Matoo"/>
    <s v="Ashutosh Telang"/>
    <n v="6"/>
    <s v="HR &amp; Administration"/>
    <s v="Industrial Relations"/>
    <s v="23"/>
    <s v="Head IR &amp; Legal Compliance"/>
    <m/>
    <s v=""/>
    <s v=""/>
    <s v=""/>
    <s v="Non Technical Support"/>
    <s v="Human Resources Management"/>
    <s v="Human Resources Management"/>
    <s v="73501002"/>
    <s v="Human Resources Operation"/>
    <s v="Hazira"/>
    <d v="1976-01-02T00:00:00"/>
    <s v="47.08"/>
    <d v="2022-05-09T00:00:00"/>
    <d v="2034-01-31T00:00:00"/>
    <m/>
    <d v="2034-01-31T00:00:00"/>
    <n v="3786"/>
    <s v="AB-"/>
    <s v="Master's Equivalent-2001 , BSc-1999 , In"/>
    <s v="11.00"/>
    <s v="01.04"/>
    <s v="12.04"/>
    <s v="70309501"/>
    <s v="IR &amp; legal Compliance"/>
    <s v="70320438"/>
    <s v="Head IR &amp; Legal Compliance"/>
    <s v="Hazira"/>
    <s v="0090000018"/>
    <s v="CORP Group - HR"/>
    <s v="2000HWO"/>
    <s v="20000083"/>
    <s v="Anil Matoo"/>
    <s v="No"/>
    <s v="bhavin.pandya@amns.in"/>
    <s v="6358942110"/>
    <s v="892872"/>
    <s v="Dhruv Vyas"/>
    <s v="Anil Matoo"/>
    <s v="Praveen Kuruvalli"/>
    <s v="Dhruv Vyas"/>
    <n v="0"/>
  </r>
  <r>
    <n v="4590"/>
    <n v="20056505"/>
    <s v="Tanvee Vasudevan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, Delhi"/>
    <m/>
    <s v="Legal"/>
    <s v=""/>
    <s v=""/>
    <s v="Non Technical Support"/>
    <s v="Legal"/>
    <s v="Legal"/>
    <s v="73201001"/>
    <s v="Legal"/>
    <s v="Delhi"/>
    <d v="1991-12-27T00:00:00"/>
    <s v="31.08"/>
    <d v="2022-05-16T00:00:00"/>
    <d v="2049-12-31T00:00:00"/>
    <m/>
    <d v="2049-12-31T00:00:00"/>
    <n v="9599"/>
    <s v="O+"/>
    <s v="LLB-2014 , SSLC-2007 , Intermediate-2008"/>
    <s v="04.00"/>
    <s v="01.04"/>
    <s v="05.04"/>
    <s v="00048996"/>
    <s v="Legal"/>
    <s v="273390"/>
    <s v="Sr. Lead - Legal"/>
    <s v="Corporate"/>
    <s v="0090000019"/>
    <s v="Corporate Steel - Le"/>
    <s v="2000CS"/>
    <s v="20055160"/>
    <s v="Mrida Lakhmani"/>
    <s v="No"/>
    <s v="tanvee.vasudevan@amns.in"/>
    <s v="9867864462"/>
    <s v="893029"/>
    <s v="Dhruv Vyas"/>
    <s v="Anil Matoo"/>
    <s v="Praveen Kuruvalli"/>
    <s v="Dhruv Vyas"/>
    <n v="0"/>
  </r>
  <r>
    <n v="4592"/>
    <n v="20056507"/>
    <s v="Jojo Thalanany"/>
    <s v="AM/NS India"/>
    <s v="Onroll"/>
    <s v="M-9"/>
    <n v="9"/>
    <m/>
    <s v="JM"/>
    <s v="M"/>
    <s v="Corporate"/>
    <n v="7"/>
    <s v="2096"/>
    <x v="14"/>
    <s v="36.02"/>
    <s v="Deepak Sindkar"/>
    <s v="Hrishikesh Kamat"/>
    <n v="7"/>
    <s v="Procurement"/>
    <s v="Raw Materials"/>
    <s v="36"/>
    <s v="Officer Analyst – Power &amp; Gas"/>
    <m/>
    <s v=""/>
    <s v=""/>
    <s v=""/>
    <s v="Tech. Support Services"/>
    <s v=""/>
    <s v=""/>
    <s v=""/>
    <s v=""/>
    <s v="Mumbai"/>
    <d v="1990-05-03T00:00:00"/>
    <s v="33.04"/>
    <d v="2022-05-09T00:00:00"/>
    <d v="2048-05-31T00:00:00"/>
    <m/>
    <d v="2048-05-31T00:00:00"/>
    <n v="9020"/>
    <s v="A+"/>
    <s v="Master's Equivalent-2018 , PG Diploma-20"/>
    <s v="07.02"/>
    <s v="01.04"/>
    <s v="08.06"/>
    <s v="00049516"/>
    <s v="Power &amp; Gas"/>
    <s v="279676"/>
    <s v="Officer Analyst – Power &amp; Gas"/>
    <s v="Corporate"/>
    <s v="0031950048"/>
    <s v="HZ-Procurment Depart"/>
    <s v="2000CS"/>
    <s v="20004612"/>
    <s v="Ramesh Chabhadiya"/>
    <s v="No"/>
    <s v="jojo.thalanany@amns.in"/>
    <s v="9821721703"/>
    <s v="25647"/>
    <s v="Dhruv Vyas"/>
    <s v="Anil Matoo"/>
    <s v="Praveen Kuruvalli"/>
    <s v="Dhruv Vyas"/>
    <n v="0"/>
  </r>
  <r>
    <n v="4604"/>
    <n v="20056520"/>
    <s v="Ankit Panchal"/>
    <s v="AM/NS India"/>
    <s v="Onroll"/>
    <s v="M-6"/>
    <n v="6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- Capex Procurement"/>
    <m/>
    <s v=""/>
    <s v=""/>
    <s v=""/>
    <s v="Non Technical Support"/>
    <s v=""/>
    <s v=""/>
    <s v=""/>
    <s v=""/>
    <s v="Hazira"/>
    <d v="1984-10-13T00:00:00"/>
    <s v="38.11"/>
    <d v="2022-05-19T00:00:00"/>
    <d v="2042-10-31T00:00:00"/>
    <m/>
    <d v="2042-10-31T00:00:00"/>
    <n v="6981"/>
    <s v="B+"/>
    <s v="PG Diploma-2010 , Bachelor Equivalent-20"/>
    <s v="16.09"/>
    <s v="01.04"/>
    <s v="18.00"/>
    <s v="00049358"/>
    <s v="Capex Procurement"/>
    <s v="279775"/>
    <s v="Sr. Lead - Capex Procurement"/>
    <s v="Hazira"/>
    <s v="0031950059"/>
    <s v="HZ-Hazira Project"/>
    <s v="2000HWO"/>
    <s v="20052261"/>
    <s v="Aruni Mishra"/>
    <s v="No"/>
    <s v="ankit.panchal@amns.in"/>
    <s v="6354766167"/>
    <s v="893771"/>
    <s v="Dhruv Vyas"/>
    <s v="Anil Matoo"/>
    <s v="Praveen Kuruvalli"/>
    <s v="Dhruv Vyas"/>
    <n v="0"/>
  </r>
  <r>
    <n v="4617"/>
    <n v="20056538"/>
    <s v="Dinesh Chandra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Sales &amp; Marketing"/>
    <m/>
    <s v="North"/>
    <s v="OEM"/>
    <s v=""/>
    <s v="Non Technical Support"/>
    <s v=""/>
    <s v=""/>
    <s v=""/>
    <s v=""/>
    <s v="Noida"/>
    <d v="1979-07-11T00:00:00"/>
    <s v="44.02"/>
    <d v="2022-06-01T00:00:00"/>
    <d v="2037-07-31T00:00:00"/>
    <m/>
    <d v="2037-07-31T00:00:00"/>
    <n v="5063"/>
    <s v="B+"/>
    <s v="MBA-2007 , Diploma-2002 , BA-2001 , Inte"/>
    <s v="16.07"/>
    <s v="01.03"/>
    <s v="17.10"/>
    <s v="72150181"/>
    <s v="Sales North Zone"/>
    <s v="280472"/>
    <s v="KAM - OEM Sales"/>
    <s v="Hazira"/>
    <s v="0031950057"/>
    <s v="HZ-HRC - Marketing"/>
    <s v="2000HWO"/>
    <s v="20002920"/>
    <s v="Sudhir Sharma"/>
    <s v="No"/>
    <s v="dinesh.chauhan@amns.in"/>
    <s v="8826229382"/>
    <s v="895031"/>
    <s v="Dhruv Vyas"/>
    <s v="Anil Matoo"/>
    <s v="Praveen Kuruvalli"/>
    <s v="Dhruv Vyas"/>
    <n v="0"/>
  </r>
  <r>
    <n v="4618"/>
    <n v="20056539"/>
    <s v="Baruah Akshay"/>
    <s v="AM/NS India"/>
    <s v="Onroll"/>
    <s v="M-7"/>
    <n v="7"/>
    <m/>
    <s v="MM"/>
    <s v="M"/>
    <s v="Hazira"/>
    <n v="1"/>
    <s v="2099"/>
    <x v="19"/>
    <s v="02.01"/>
    <s v="Raghavan Aravamudhan"/>
    <s v="Dilip Oommen"/>
    <n v="1"/>
    <s v="CEO Office"/>
    <s v="Business Strategy"/>
    <s v="02"/>
    <s v="Lead - PMO (Analyst)"/>
    <m/>
    <s v="Business Strategy"/>
    <s v="Business Strategy"/>
    <s v=""/>
    <s v="Non Technical Support"/>
    <s v=""/>
    <s v=""/>
    <s v=""/>
    <s v=""/>
    <s v="Hazira"/>
    <d v="1987-11-30T00:00:00"/>
    <s v="35.09"/>
    <d v="2022-05-23T00:00:00"/>
    <d v="2045-11-30T00:00:00"/>
    <m/>
    <d v="2045-11-30T00:00:00"/>
    <n v="8107"/>
    <s v="A+"/>
    <s v="BE-2009 , Intermediate-2005 , SSLC-2003"/>
    <s v="12.02"/>
    <s v="01.03"/>
    <s v="13.06"/>
    <s v="00046538"/>
    <s v="Project Monitoring"/>
    <s v="280507"/>
    <s v="Lead - PMO (Analyst)"/>
    <s v="Hazira"/>
    <s v="0090000022"/>
    <s v="Business Strategy"/>
    <s v="2000HWO"/>
    <s v="20049281"/>
    <s v="Raveena Dhoot"/>
    <s v="No"/>
    <s v="akshay.baruah@amns.in"/>
    <s v="7763807221"/>
    <s v="895230"/>
    <s v="Dhruv Vyas"/>
    <s v="Anil Matoo"/>
    <s v="Praveen Kuruvalli"/>
    <s v="Dhruv Vyas"/>
    <n v="0"/>
  </r>
  <r>
    <n v="4624"/>
    <n v="20056545"/>
    <s v="Atul Shukla"/>
    <s v="AM/NS India"/>
    <s v="Onroll"/>
    <s v="M-9"/>
    <n v="9"/>
    <m/>
    <s v="J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Officer – Finance &amp; Accounts SC"/>
    <m/>
    <s v="Finance &amp; Accounts"/>
    <s v="Finance &amp; Accounts"/>
    <s v="Finance &amp; Accounts"/>
    <s v="Non Technical Support"/>
    <s v=""/>
    <s v=""/>
    <s v=""/>
    <s v=""/>
    <s v="Pune"/>
    <d v="1979-03-27T00:00:00"/>
    <s v="44.05"/>
    <d v="2022-06-10T00:00:00"/>
    <d v="2037-03-31T00:00:00"/>
    <m/>
    <d v="2037-03-31T00:00:00"/>
    <n v="4941"/>
    <s v="O-"/>
    <s v="MBA-2017 , BCom-2000 , Intermediate-1997"/>
    <s v="11.00"/>
    <s v="01.03"/>
    <s v="12.03"/>
    <s v="00043795"/>
    <s v="F&amp;A Hypermart &amp; Service Centre - 1"/>
    <s v="281143"/>
    <s v="Officer – Finance &amp; Accounts SC"/>
    <s v="Service Center"/>
    <s v="0040020019"/>
    <s v="SC-Pune-Op1-HR-Admin"/>
    <s v="2000SPRJ"/>
    <s v="20055201"/>
    <s v="Deepak Sahu"/>
    <s v="No"/>
    <s v="atul.shukla@amns.in"/>
    <s v="7600026392"/>
    <s v="896685"/>
    <s v="Dhruv Vyas"/>
    <s v="Anil Matoo"/>
    <s v="Praveen Kuruvalli"/>
    <s v="Dhruv Vyas"/>
    <n v="0"/>
  </r>
  <r>
    <n v="4664"/>
    <n v="20056666"/>
    <s v="Vishnu Jariwala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"/>
    <s v=""/>
    <s v=""/>
    <s v="Non Technical Support"/>
    <s v="Commercial"/>
    <s v="Procurement"/>
    <s v="73803001"/>
    <s v="Procurement"/>
    <s v="Hazira"/>
    <d v="1999-09-29T00:00:00"/>
    <s v="23.11"/>
    <d v="2022-06-10T00:00:00"/>
    <d v="2057-09-30T00:00:00"/>
    <m/>
    <d v="2057-09-30T00:00:00"/>
    <n v="12429"/>
    <s v="O+"/>
    <s v="Diploma-2018"/>
    <s v=""/>
    <s v="01.03"/>
    <s v="01.03"/>
    <s v="70072411"/>
    <s v="Iron &amp; Steel Making"/>
    <s v="281526"/>
    <s v="Engineer"/>
    <s v="Hazira"/>
    <s v="0031950048"/>
    <s v="HZ-Procurment Depart"/>
    <s v="2000HWO"/>
    <s v="20000926"/>
    <s v="Manishkumar Seksaria"/>
    <s v="No"/>
    <s v="vishnu.jariwala@amns.in"/>
    <s v="9727740223"/>
    <s v="26146"/>
    <s v="Dhruv Vyas"/>
    <s v="Anil Matoo"/>
    <s v="Praveen Kuruvalli"/>
    <s v="Dhruv Vyas"/>
    <n v="0"/>
  </r>
  <r>
    <n v="4665"/>
    <n v="20056668"/>
    <s v="Jaykumar Patel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"/>
    <s v=""/>
    <s v=""/>
    <s v="Non Technical Support"/>
    <s v="Commercial"/>
    <s v="Procurement"/>
    <s v="73803001"/>
    <s v="Procurement"/>
    <s v="Hazira"/>
    <d v="1998-06-13T00:00:00"/>
    <s v="25.03"/>
    <d v="2022-06-10T00:00:00"/>
    <d v="2056-06-30T00:00:00"/>
    <m/>
    <d v="2056-06-30T00:00:00"/>
    <n v="11972"/>
    <s v="O+"/>
    <s v="BTech-2022"/>
    <s v=""/>
    <s v="01.03"/>
    <s v="01.03"/>
    <s v="00044543"/>
    <s v="Procurement -Refractory"/>
    <s v="281528"/>
    <s v="Engineer"/>
    <s v="Hazira"/>
    <s v="0031950048"/>
    <s v="HZ-Procurment Depart"/>
    <s v="2000VIZOPS"/>
    <s v="20008647"/>
    <s v="Alpesh Hirpara"/>
    <s v="No"/>
    <s v="jaykumar.patel5@amns.in"/>
    <s v="9909902640"/>
    <s v="26270"/>
    <s v="Dhruv Vyas"/>
    <s v="Anil Matoo"/>
    <s v="Praveen Kuruvalli"/>
    <s v="Dhruv Vyas"/>
    <n v="0"/>
  </r>
  <r>
    <n v="4716"/>
    <n v="20056721"/>
    <s v="Amit Mosamkar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West"/>
    <s v="Hypermart"/>
    <s v=""/>
    <s v="Non Technical Support"/>
    <s v=""/>
    <s v=""/>
    <s v=""/>
    <s v=""/>
    <s v="Nashik"/>
    <d v="1989-12-29T00:00:00"/>
    <s v="33.08"/>
    <d v="2022-06-20T00:00:00"/>
    <d v="2047-12-31T00:00:00"/>
    <m/>
    <d v="2047-12-31T00:00:00"/>
    <n v="8868"/>
    <s v="AB+"/>
    <s v="MBA-2013 , BSc-2010 , Intermediate-2007"/>
    <s v="08.07"/>
    <s v="01.03"/>
    <s v="09.09"/>
    <s v="00048138"/>
    <s v="Hypermart west"/>
    <s v="281984"/>
    <s v="Sales Manager - Hypermart"/>
    <s v="Hazira"/>
    <s v="0060110600"/>
    <s v="HMART-Mah-Taloja"/>
    <s v="2000HWO"/>
    <s v="20056847"/>
    <s v="Vikas Chotia"/>
    <s v="No"/>
    <s v="amit.mosamkar@amns.in"/>
    <s v="9167716296"/>
    <s v="898091"/>
    <s v="Dhruv Vyas"/>
    <s v="Anil Matoo"/>
    <s v="Praveen Kuruvalli"/>
    <s v="Dhruv Vyas"/>
    <n v="0"/>
  </r>
  <r>
    <n v="4725"/>
    <n v="20056733"/>
    <s v="Satish Bhusale"/>
    <s v="AM/NS India"/>
    <s v="Onroll"/>
    <s v="M-9"/>
    <n v="9"/>
    <m/>
    <s v="JM"/>
    <s v="M"/>
    <s v="Pune Facility"/>
    <n v="4"/>
    <s v="2094"/>
    <x v="21"/>
    <s v="27.10"/>
    <s v="Vikas Chandra Yadvendu"/>
    <s v="Ashutosh Telang"/>
    <n v="6"/>
    <s v="HR &amp; Administration"/>
    <s v="Corporate SocialResponsibility"/>
    <s v="27"/>
    <s v="Dy Manager - CSR"/>
    <m/>
    <s v=""/>
    <s v=""/>
    <s v=""/>
    <s v="Non Technical Support"/>
    <s v=""/>
    <s v=""/>
    <s v=""/>
    <s v=""/>
    <s v="Pune AMNS"/>
    <d v="1986-04-13T00:00:00"/>
    <s v="37.05"/>
    <d v="2022-06-13T00:00:00"/>
    <d v="2044-04-30T00:00:00"/>
    <m/>
    <d v="2044-04-30T00:00:00"/>
    <n v="7528"/>
    <s v="O+"/>
    <s v="MSW-2009 , Intermediate-2004 , SSLC-2003"/>
    <s v="11.10"/>
    <s v="01.03"/>
    <s v="13.01"/>
    <s v="70495661"/>
    <s v="Corporate Social Responsibility"/>
    <s v="282389"/>
    <s v="Dy Manager - CSR"/>
    <s v="Pune Facility"/>
    <s v="0022030019"/>
    <s v="PDP-HR &amp; Admn"/>
    <s v="2000ESPF"/>
    <s v="20055033"/>
    <s v="Vikas Chandra Yadvendu"/>
    <s v="No"/>
    <s v="satish.bhusale@amns.in"/>
    <s v="7058612912"/>
    <s v="898737"/>
    <s v="Dhruv Vyas"/>
    <s v="Anil Matoo"/>
    <s v="Praveen Kuruvalli"/>
    <s v="Dhruv Vyas"/>
    <n v="0"/>
  </r>
  <r>
    <n v="4726"/>
    <n v="20056734"/>
    <s v="Sambit Das"/>
    <s v="AM/NS India"/>
    <s v="Onroll"/>
    <s v="M-8"/>
    <n v="8"/>
    <m/>
    <s v="JM"/>
    <s v="M"/>
    <s v="Corporate"/>
    <n v="7"/>
    <s v="2015"/>
    <x v="1"/>
    <s v="22.06"/>
    <s v="Praveen Kuruvalli"/>
    <s v="Ashutosh Telang"/>
    <n v="6"/>
    <s v="HR &amp; Administration"/>
    <s v="Human Resources"/>
    <s v="22"/>
    <s v="Talent Acquisition Specialist"/>
    <m/>
    <s v="Human Resources"/>
    <s v=""/>
    <s v=""/>
    <s v="Non Technical Support"/>
    <s v=""/>
    <s v=""/>
    <s v=""/>
    <s v=""/>
    <s v="Mumbai"/>
    <d v="1986-12-09T00:00:00"/>
    <s v="36.09"/>
    <d v="2022-06-01T00:00:00"/>
    <d v="2044-12-31T00:00:00"/>
    <m/>
    <d v="2044-12-31T00:00:00"/>
    <n v="7773"/>
    <s v="B+"/>
    <s v="MBA-2011 , BCom-2009 , Intermediate-2004"/>
    <s v="10.06"/>
    <s v="01.03"/>
    <s v="11.09"/>
    <s v="70242278"/>
    <s v="People Strategy &amp; HR Center Excellence"/>
    <s v="282396"/>
    <s v="Talent Acquisition Specialist"/>
    <s v="Corporate"/>
    <s v="0031950061"/>
    <s v="HZ-Human Resource"/>
    <s v="2000CS"/>
    <s v="20055483"/>
    <s v="Praveen Kuruvalli"/>
    <s v="No"/>
    <s v="sambit.das@amns.in"/>
    <s v="8981081994"/>
    <s v="898766"/>
    <s v="Dhruv Vyas"/>
    <s v="Anil Matoo"/>
    <s v="Praveen Kuruvalli"/>
    <s v="Dhruv Vyas"/>
    <n v="0"/>
  </r>
  <r>
    <n v="4783"/>
    <n v="20056809"/>
    <s v="Divyakumar Patel"/>
    <s v="AM/NS India"/>
    <s v="Onroll"/>
    <s v="T-1 (GET)"/>
    <n v="12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Commercial"/>
    <s v="Procurement"/>
    <s v="73803001"/>
    <s v="Procurement"/>
    <s v="Hazira"/>
    <d v="2001-02-27T00:00:00"/>
    <s v="22.06"/>
    <d v="2022-06-27T00:00:00"/>
    <d v="2059-02-28T00:00:00"/>
    <m/>
    <d v="2059-02-28T00:00:00"/>
    <n v="12945"/>
    <s v=""/>
    <s v="BE-2022"/>
    <s v=""/>
    <s v="01.02"/>
    <s v="01.02"/>
    <s v="70495711"/>
    <s v="Capex Buyer"/>
    <s v="273542"/>
    <s v="Graduate Engineer Trainee 2022"/>
    <s v="Hazira"/>
    <s v="0031950061"/>
    <s v="HZ-Human Resource"/>
    <s v="2161HAZI"/>
    <s v="20055447"/>
    <s v="Nirav Pachchigar"/>
    <s v="No"/>
    <s v="divyakumar.patel@amns.in"/>
    <s v="9662041625"/>
    <s v="899856"/>
    <s v="Dhruv Vyas"/>
    <s v="Anil Matoo"/>
    <s v="Praveen Kuruvalli"/>
    <s v="Dhruv Vyas"/>
    <n v="0"/>
  </r>
  <r>
    <n v="4807"/>
    <n v="20056841"/>
    <s v="Rishi Bhartia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Officer – Business Analysis"/>
    <m/>
    <s v="Sales Steering &amp; BD"/>
    <s v="Market Intelligence"/>
    <s v=""/>
    <s v="Non Technical Support"/>
    <s v=""/>
    <s v=""/>
    <s v=""/>
    <s v=""/>
    <s v="Mumbai"/>
    <d v="1992-07-15T00:00:00"/>
    <s v="31.02"/>
    <d v="2022-06-28T00:00:00"/>
    <d v="2050-07-31T00:00:00"/>
    <m/>
    <d v="2050-07-31T00:00:00"/>
    <n v="9811"/>
    <s v="B+"/>
    <s v="MBA-2018 , BTech-2015 , Intermediate-201"/>
    <s v="02.06"/>
    <s v="01.02"/>
    <s v="03.09"/>
    <s v="72150188"/>
    <s v="Market Intelligence &amp; Pricing"/>
    <s v="283093"/>
    <s v="Lead – Business Analysis"/>
    <s v="Corporate"/>
    <s v="0080000001"/>
    <s v="Head-Marketing"/>
    <s v="2000CS"/>
    <s v="20008774"/>
    <s v="Ajay Somasundaran"/>
    <s v="No"/>
    <s v="rishi.bhartia@amns.in"/>
    <s v="8097446244"/>
    <s v="1000612"/>
    <s v="Dhruv Vyas"/>
    <s v="Anil Matoo"/>
    <s v="Praveen Kuruvalli"/>
    <s v="Dhruv Vyas"/>
    <n v="0"/>
  </r>
  <r>
    <n v="4810"/>
    <n v="20056844"/>
    <s v="Kundan Rai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Lead Scrap Projects"/>
    <m/>
    <s v="Projects Long Products"/>
    <s v="Scrap"/>
    <s v=""/>
    <s v="Non Technical Support"/>
    <s v=""/>
    <s v=""/>
    <s v=""/>
    <s v=""/>
    <s v="Mumbai"/>
    <d v="1989-02-16T00:00:00"/>
    <s v="34.07"/>
    <d v="2022-06-20T00:00:00"/>
    <d v="2047-02-28T00:00:00"/>
    <m/>
    <d v="2047-02-28T00:00:00"/>
    <n v="8562"/>
    <s v="B+"/>
    <s v="BE-2010 , Intermediate-2006 , SSLC-2004"/>
    <s v="11.10"/>
    <s v="01.03"/>
    <s v="13.00"/>
    <s v="00053119"/>
    <s v="Recycling Strategy"/>
    <s v="283217"/>
    <s v="Lead Scrap Projects"/>
    <s v="Corporate"/>
    <s v="0080000005"/>
    <s v="Global Markets Team"/>
    <s v="2000CRG"/>
    <s v="20055091"/>
    <s v="Akshaya Gujral"/>
    <s v="No"/>
    <s v="kundan.rai@amns.in"/>
    <s v="9096422775"/>
    <s v="1000961"/>
    <s v="Dhruv Vyas"/>
    <s v="Anil Matoo"/>
    <s v="Praveen Kuruvalli"/>
    <s v="Dhruv Vyas"/>
    <n v="0"/>
  </r>
  <r>
    <n v="4811"/>
    <n v="20056845"/>
    <s v="Manoj Kumar"/>
    <s v="AM/NS Shipping &amp; Logistics"/>
    <s v="Onroll"/>
    <s v="M-6"/>
    <n v="6"/>
    <m/>
    <s v="MM"/>
    <s v="M"/>
    <s v="Hazira"/>
    <n v="1"/>
    <s v="7209"/>
    <x v="18"/>
    <s v="33.01"/>
    <s v="Hrishikesh Kamat"/>
    <s v="Hrishikesh Kamat"/>
    <n v="7"/>
    <s v="Procurement"/>
    <s v="Shipping &amp; Chartering"/>
    <s v="33"/>
    <s v="Sr. Lead - Shipping and Chartering"/>
    <m/>
    <s v=""/>
    <s v=""/>
    <s v=""/>
    <s v="Tech. Support Services"/>
    <s v="Operations"/>
    <s v="Operations"/>
    <s v="72103001"/>
    <s v="Operations"/>
    <s v="Hazira"/>
    <d v="1978-05-17T00:00:00"/>
    <s v="45.04"/>
    <d v="2022-07-01T00:00:00"/>
    <d v="2036-05-31T00:00:00"/>
    <m/>
    <d v="2036-05-31T00:00:00"/>
    <n v="4637"/>
    <s v="B+"/>
    <s v="MBA-2014 , BSc-2000 , Intermediate-1996"/>
    <s v="06.00"/>
    <s v="01.02"/>
    <s v="07.02"/>
    <s v="00000000"/>
    <s v=""/>
    <s v="303933"/>
    <s v="Sr. Lead - Shipping and Chartering"/>
    <s v="AMNSSL"/>
    <s v="0000700001"/>
    <s v="SHIP-COMMON"/>
    <s v="2000HWO"/>
    <s v="20055075"/>
    <s v="Ashutosh Mathur"/>
    <s v="No"/>
    <s v="manoj.kumar@amns.in"/>
    <s v="9819906271"/>
    <s v="1001270"/>
    <s v="Dhruv Vyas"/>
    <s v="Anil Matoo"/>
    <s v="Praveen Kuruvalli"/>
    <s v="Dhruv Vyas"/>
    <n v="0"/>
  </r>
  <r>
    <n v="4813"/>
    <n v="20056847"/>
    <s v="Vikas Chotia"/>
    <s v="AM/NS India"/>
    <s v="Onroll"/>
    <s v="M-6"/>
    <n v="6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Manager - West"/>
    <m/>
    <s v="West"/>
    <s v="Hypermart"/>
    <s v=""/>
    <s v="Non Technical Support"/>
    <s v=""/>
    <s v=""/>
    <s v=""/>
    <s v=""/>
    <s v="Mumbai"/>
    <d v="1981-03-21T00:00:00"/>
    <s v="42.06"/>
    <d v="2022-07-01T00:00:00"/>
    <d v="2039-03-31T00:00:00"/>
    <m/>
    <d v="2039-03-31T00:00:00"/>
    <n v="5671"/>
    <s v="A+"/>
    <s v="MBA-2005 , BSc-2003 , Intermediate-2001"/>
    <s v="16.01"/>
    <s v="01.02"/>
    <s v="17.03"/>
    <s v="00048138"/>
    <s v="Hypermart west"/>
    <s v="283359"/>
    <s v="Business Manager - West"/>
    <s v="Hypermart"/>
    <s v="0060110400"/>
    <s v="HMART-Maharastra Div"/>
    <s v="2000SRET"/>
    <s v="20000812"/>
    <s v="Sitaram Rege"/>
    <s v="No"/>
    <s v="vikas.chotia@amns.in"/>
    <s v="9826985600"/>
    <s v="1001419"/>
    <s v="Dhruv Vyas"/>
    <s v="Anil Matoo"/>
    <s v="Praveen Kuruvalli"/>
    <s v="Dhruv Vyas"/>
    <n v="0"/>
  </r>
  <r>
    <n v="4815"/>
    <n v="20056849"/>
    <s v="Pramod Kumar Sinha"/>
    <s v="AM/NS India"/>
    <s v="Onroll"/>
    <s v="M-9"/>
    <n v="9"/>
    <m/>
    <s v="JM"/>
    <s v="M"/>
    <s v="Mining"/>
    <n v="8"/>
    <s v="2015"/>
    <x v="1"/>
    <s v="22.06"/>
    <s v="Praveen Kuruvalli"/>
    <s v="Ashutosh Telang"/>
    <n v="6"/>
    <s v="HR &amp; Administration"/>
    <s v="Human Resources"/>
    <s v="22"/>
    <s v="Officer HR and Admin"/>
    <m/>
    <s v="HR &amp; Admin"/>
    <s v=""/>
    <s v=""/>
    <s v="Non Technical Support"/>
    <s v=""/>
    <s v=""/>
    <s v=""/>
    <s v=""/>
    <s v="Barbil"/>
    <d v="1978-07-07T00:00:00"/>
    <s v="45.02"/>
    <d v="2022-06-13T00:00:00"/>
    <d v="2036-07-31T00:00:00"/>
    <m/>
    <d v="2036-07-31T00:00:00"/>
    <n v="4698"/>
    <s v="B+"/>
    <s v="PG Diploma in Management-2013 , BA-2002"/>
    <s v="15.06"/>
    <s v="01.03"/>
    <s v="16.08"/>
    <s v="00051987"/>
    <s v="HR - Mining"/>
    <s v="283477"/>
    <s v="Officer HR and Admin"/>
    <s v="Odisha"/>
    <s v="0031950061"/>
    <s v="HZ-Human Resource"/>
    <s v="2000STORIS"/>
    <s v="20059042"/>
    <s v="Murali Sahoo"/>
    <s v="No"/>
    <s v="pramod.sinha@amns.in"/>
    <s v="8660290497"/>
    <s v="1001531"/>
    <s v="Pramod Sinha"/>
    <s v="Anil Matoo"/>
    <s v="Praveen Kuruvalli"/>
    <s v="Dhruv Vyas"/>
    <n v="0"/>
  </r>
  <r>
    <n v="4820"/>
    <n v="20056854"/>
    <s v="Ritesh Agarwal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"/>
    <s v=""/>
    <s v=""/>
    <s v=""/>
    <s v="Hazira"/>
    <d v="1988-11-19T00:00:00"/>
    <s v="34.09"/>
    <d v="2022-06-27T00:00:00"/>
    <d v="2046-11-30T00:00:00"/>
    <m/>
    <d v="2046-11-30T00:00:00"/>
    <n v="8472"/>
    <s v="O+"/>
    <s v="BE-2012 , Intermediate-2007 , SSLC-2005"/>
    <s v="09.11"/>
    <s v="01.02"/>
    <s v="11.01"/>
    <s v="00049335"/>
    <s v="Capex Procurement - Expediting"/>
    <s v="283472"/>
    <s v="Lead – Expeditor Capex"/>
    <s v="Hazira"/>
    <s v="0031950059"/>
    <s v="HZ-Hazira Project"/>
    <s v="2000HWO"/>
    <s v="20057413"/>
    <s v="Vipin Toshniwal"/>
    <s v="No"/>
    <s v="ritesh.agarwal@amns.in"/>
    <s v="9040078266"/>
    <s v="1001739"/>
    <s v="Dhruv Vyas"/>
    <s v="Anil Matoo"/>
    <s v="Praveen Kuruvalli"/>
    <s v="Dhruv Vyas"/>
    <n v="0"/>
  </r>
  <r>
    <n v="4825"/>
    <n v="20056859"/>
    <s v="Mohammed Shafi A K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South"/>
    <s v="Hypermart"/>
    <s v=""/>
    <s v="Non Technical Support"/>
    <s v=""/>
    <s v=""/>
    <s v=""/>
    <s v=""/>
    <s v="Cochin"/>
    <d v="1988-12-20T00:00:00"/>
    <s v="34.09"/>
    <d v="2022-07-05T00:00:00"/>
    <d v="2046-12-31T00:00:00"/>
    <m/>
    <d v="2046-12-31T00:00:00"/>
    <n v="8503"/>
    <s v="A+"/>
    <s v="MBA-2013 , BCom-2003"/>
    <s v="08.02"/>
    <s v="01.02"/>
    <s v="09.04"/>
    <s v="00048814"/>
    <s v="Sales South Zone – Hypermart"/>
    <s v="283475"/>
    <s v="Sales Manager - Hypermart"/>
    <s v="Hypermart"/>
    <s v="0060140100"/>
    <s v="HMART-South Zone"/>
    <s v="2000SRET"/>
    <s v="20056279"/>
    <s v="Arun G"/>
    <s v="No"/>
    <s v="mohammed.shafi@amns.in"/>
    <s v="9946649414"/>
    <s v="1001881"/>
    <s v="Dhruv Vyas"/>
    <s v="Anil Matoo"/>
    <s v="Praveen Kuruvalli"/>
    <s v="Dhruv Vyas"/>
    <n v="0"/>
  </r>
  <r>
    <n v="4827"/>
    <n v="20056862"/>
    <s v="Rudresh Priya Ranjan"/>
    <s v="AM/NS India"/>
    <s v="Onroll"/>
    <s v="M-7"/>
    <n v="7"/>
    <m/>
    <s v="MM"/>
    <s v="M"/>
    <s v="Corporate"/>
    <n v="7"/>
    <s v="2060"/>
    <x v="24"/>
    <s v="39.01"/>
    <s v="Sanjay Sharma"/>
    <s v="Sanjay Sharma"/>
    <n v="8"/>
    <s v="Business Development"/>
    <s v="Business Development"/>
    <s v="39"/>
    <s v="Lead - Business Development"/>
    <m/>
    <s v="Business Development"/>
    <s v=""/>
    <s v=""/>
    <s v="Non Technical Support"/>
    <s v=""/>
    <s v=""/>
    <s v=""/>
    <s v=""/>
    <s v="Mumbai"/>
    <d v="1991-11-05T00:00:00"/>
    <s v="31.10"/>
    <d v="2022-06-20T00:00:00"/>
    <d v="2049-11-30T00:00:00"/>
    <m/>
    <d v="2049-11-30T00:00:00"/>
    <n v="9568"/>
    <s v="A+"/>
    <s v="PG Diploma in Management-2022 , BTech-20"/>
    <s v="05.10"/>
    <s v="01.03"/>
    <s v="07.00"/>
    <s v="70494900"/>
    <s v="Business Development"/>
    <s v="283994"/>
    <s v="Lead Business Development"/>
    <s v="Corporate"/>
    <s v="0090000032"/>
    <s v="Business Devpelopmen"/>
    <s v="2000CS"/>
    <s v="20055181"/>
    <s v="Sanjay Sharma"/>
    <s v="No"/>
    <s v="rudresh.ranjan@amns.in"/>
    <s v="7010922485"/>
    <s v="1002593"/>
    <s v="Dhruv Vyas"/>
    <s v="Anil Matoo"/>
    <s v="Praveen Kuruvalli"/>
    <s v="Dhruv Vyas"/>
    <n v="0"/>
  </r>
  <r>
    <n v="4829"/>
    <n v="20056865"/>
    <s v="Rahul Aditya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Process Manager Digitalization"/>
    <m/>
    <s v="Sales Steering &amp; BD"/>
    <s v="Digital Initiatives"/>
    <s v=""/>
    <s v="Non Technical Support"/>
    <s v=""/>
    <s v=""/>
    <s v=""/>
    <s v=""/>
    <s v="Mumbai"/>
    <d v="1983-10-20T00:00:00"/>
    <s v="39.11"/>
    <d v="2022-07-11T00:00:00"/>
    <d v="2041-10-31T00:00:00"/>
    <m/>
    <d v="2041-10-31T00:00:00"/>
    <n v="6616"/>
    <s v="AB+"/>
    <s v="PG Diploma in Management-2013 , BTech-20"/>
    <s v="07.11"/>
    <s v="01.02"/>
    <s v="09.01"/>
    <s v="70462100"/>
    <s v="Digital Initiatives"/>
    <s v="283619"/>
    <s v="Process Manager - Digitalization"/>
    <s v="Corporate"/>
    <s v="0080000005"/>
    <s v="Global Markets Team"/>
    <s v="2000CS"/>
    <s v="20043383"/>
    <s v="Maneesh Moti"/>
    <s v="No"/>
    <s v="rahul.aditya@amns.in"/>
    <s v="7763807623"/>
    <s v="1003225"/>
    <s v="Dhruv Vyas"/>
    <s v="Anil Matoo"/>
    <s v="Praveen Kuruvalli"/>
    <s v="Dhruv Vyas"/>
    <n v="0"/>
  </r>
  <r>
    <n v="4830"/>
    <n v="20056866"/>
    <s v="Amit Gaurav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"/>
    <s v=""/>
    <s v=""/>
    <s v=""/>
    <s v="Hazira"/>
    <d v="1993-08-11T00:00:00"/>
    <s v="30.01"/>
    <d v="2022-07-04T00:00:00"/>
    <d v="2051-08-31T00:00:00"/>
    <m/>
    <d v="2051-08-31T00:00:00"/>
    <n v="10207"/>
    <s v="O+"/>
    <s v="BTech-2014 , Intermediate-2010 , SSLC-20"/>
    <s v="08.00"/>
    <s v="01.02"/>
    <s v="09.02"/>
    <s v="00049335"/>
    <s v="Capex Procurement - Expediting"/>
    <s v="284175"/>
    <s v="Lead – Expeditor Capex"/>
    <s v="Hazira"/>
    <s v="0031950059"/>
    <s v="HZ-Hazira Project"/>
    <s v="2000HWO"/>
    <s v="20057413"/>
    <s v="Vipin Toshniwal"/>
    <s v="No"/>
    <s v="amit.gaurav@amns.in"/>
    <s v="9564997810"/>
    <s v="1003422"/>
    <s v="Dhruv Vyas"/>
    <s v="Anil Matoo"/>
    <s v="Praveen Kuruvalli"/>
    <s v="Dhruv Vyas"/>
    <n v="0"/>
  </r>
  <r>
    <n v="4834"/>
    <n v="20056870"/>
    <s v="Aditya Shrimal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Internal Control &amp; SOX"/>
    <m/>
    <s v="Finance &amp; Accounts"/>
    <s v=""/>
    <s v=""/>
    <s v="Non Technical Support"/>
    <s v="Chairman's Secretariat"/>
    <s v="Chairman's Secretariat"/>
    <s v="74701000"/>
    <s v="Chairman's Secretariat"/>
    <s v="Hazira"/>
    <d v="1992-08-19T00:00:00"/>
    <s v="31.01"/>
    <d v="2022-07-11T00:00:00"/>
    <d v="2050-08-31T00:00:00"/>
    <m/>
    <d v="2050-08-31T00:00:00"/>
    <n v="9842"/>
    <s v="B+"/>
    <s v="BCom-2013 , CA Final-2014 , Intermediate"/>
    <s v="07.07"/>
    <s v="01.02"/>
    <s v="08.09"/>
    <s v="72150219"/>
    <s v="Internal Control &amp; SOX -1"/>
    <s v="284176"/>
    <s v="Lead - Internal Control &amp; SOX"/>
    <s v="Hazira"/>
    <s v="0031950043"/>
    <s v="HZ-Performance Manag"/>
    <s v="2000HWO"/>
    <s v="20000138"/>
    <s v="Suresh Iyer"/>
    <s v="No"/>
    <s v="aditya.shrimal@amns.in"/>
    <s v="9636684027"/>
    <s v="1003506"/>
    <s v="Dhruv Vyas"/>
    <s v="Anil Matoo"/>
    <s v="Praveen Kuruvalli"/>
    <s v="Dhruv Vyas"/>
    <n v="0"/>
  </r>
  <r>
    <n v="4836"/>
    <n v="20056872"/>
    <s v="Rahul Khaitan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- Direct Tax"/>
    <m/>
    <s v="Finance &amp; Accounts"/>
    <s v=""/>
    <s v=""/>
    <s v="Non Technical Support"/>
    <s v=""/>
    <s v=""/>
    <s v=""/>
    <s v=""/>
    <s v="Mumbai"/>
    <d v="1987-12-09T00:00:00"/>
    <s v="35.09"/>
    <d v="2022-07-12T00:00:00"/>
    <d v="2045-12-31T00:00:00"/>
    <m/>
    <d v="2045-12-31T00:00:00"/>
    <n v="8138"/>
    <s v="A+"/>
    <s v="BCom-2009 , Intermediate-2006"/>
    <s v="11.08"/>
    <s v="01.02"/>
    <s v="12.09"/>
    <s v="70495368"/>
    <s v="Direct Taxation"/>
    <s v="284177"/>
    <s v="Sr. Lead - Direct Tax"/>
    <s v="Corporate"/>
    <s v="0090000033"/>
    <s v="Corporate Taxation"/>
    <s v="2000CS"/>
    <s v="20055494"/>
    <s v="Vikas Soni"/>
    <s v="No"/>
    <s v="rahul.khaitan@amns.in"/>
    <s v="9930040621"/>
    <s v="1003538"/>
    <s v="Dhruv Vyas"/>
    <s v="Anil Matoo"/>
    <s v="Praveen Kuruvalli"/>
    <s v="Dhruv Vyas"/>
    <n v="0"/>
  </r>
  <r>
    <n v="4874"/>
    <n v="20056918"/>
    <s v="Rohit Kumar"/>
    <s v="AM/NS India"/>
    <s v="Onroll"/>
    <s v="T-1 (GET)"/>
    <n v="12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Operations"/>
    <s v="Plant Operations"/>
    <s v="72103003"/>
    <s v="Plant Operations"/>
    <s v="Hazira"/>
    <d v="1997-08-21T00:00:00"/>
    <s v="26.00"/>
    <d v="2022-07-18T00:00:00"/>
    <d v="2055-08-31T00:00:00"/>
    <m/>
    <d v="2055-08-31T00:00:00"/>
    <n v="11668"/>
    <s v=""/>
    <s v="BTech-2022 , BTech-2022"/>
    <s v=""/>
    <s v="01.02"/>
    <s v="01.02"/>
    <s v="00044542"/>
    <s v="Procurement -Ferroalloys"/>
    <s v="273595"/>
    <s v="Graduate Engineer Trainee 2022"/>
    <s v="Hazira"/>
    <s v="0031950061"/>
    <s v="HZ-Human Resource"/>
    <s v="2161HAZI"/>
    <s v="20001370"/>
    <s v="Tejas Desai"/>
    <s v="No"/>
    <s v="rohit.kumar1@amns.in"/>
    <s v="9471306425"/>
    <s v="1003876"/>
    <s v="Dhruv Vyas"/>
    <s v="Anil Matoo"/>
    <s v="Praveen Kuruvalli"/>
    <s v="Dhruv Vyas"/>
    <n v="0"/>
  </r>
  <r>
    <n v="4887"/>
    <n v="20056940"/>
    <s v="Yash Trivedi"/>
    <s v="AM/NS India"/>
    <s v="Onroll"/>
    <s v="T-1 (GET)"/>
    <n v="12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Graduate Engineer Trainee 2022"/>
    <m/>
    <s v="West"/>
    <s v="Plate"/>
    <s v=""/>
    <s v="Non Technical Support"/>
    <s v="Operations"/>
    <s v="Plant Operations"/>
    <s v="72103003"/>
    <s v="Plant Operations"/>
    <s v="Ahmedabad"/>
    <d v="1998-01-25T00:00:00"/>
    <s v="25.07"/>
    <d v="2022-07-18T00:00:00"/>
    <d v="2056-01-31T00:00:00"/>
    <m/>
    <d v="2056-01-31T00:00:00"/>
    <n v="11821"/>
    <s v=""/>
    <s v="Diploma-2013"/>
    <s v=""/>
    <s v="01.02"/>
    <s v="01.02"/>
    <s v="00052660"/>
    <s v="Plate Sales"/>
    <s v="273617"/>
    <s v="Graduate Engineer Trainee 2022"/>
    <s v="Hazira"/>
    <s v="0031950061"/>
    <s v="HZ-Human Resource"/>
    <s v="2031MUMB"/>
    <s v="20046414"/>
    <s v="Vinod Ninawe"/>
    <s v="No"/>
    <s v="yash.trivedi@amns.in"/>
    <s v="6358869424"/>
    <s v="874066"/>
    <s v="Dhruv Vyas"/>
    <s v="Anil Matoo"/>
    <s v="Praveen Kuruvalli"/>
    <s v="Dhruv Vyas"/>
    <n v="0"/>
  </r>
  <r>
    <n v="4934"/>
    <n v="20056993"/>
    <s v="Priscilla Mohanty"/>
    <s v="AM/NS India"/>
    <s v="Onroll"/>
    <s v="T-1 (GET)"/>
    <n v="12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Operations"/>
    <s v="Plant Operations"/>
    <s v="72103003"/>
    <s v="Plant Operations"/>
    <s v="AM/NS Hazira"/>
    <d v="1996-04-08T00:00:00"/>
    <s v="27.05"/>
    <d v="2022-07-18T00:00:00"/>
    <d v="2054-04-30T00:00:00"/>
    <m/>
    <d v="2054-04-30T00:00:00"/>
    <n v="11180"/>
    <s v=""/>
    <s v="BTech-2022"/>
    <s v=""/>
    <s v="01.02"/>
    <s v="01.02"/>
    <s v="00052258"/>
    <s v="Proc HSM &amp; CSP MIS"/>
    <s v="273670"/>
    <s v="Graduate Engineer Trainee 2022"/>
    <s v="Hazira"/>
    <s v="0031950061"/>
    <s v="HZ-Human Resource"/>
    <s v="2161HAZI"/>
    <s v="20055591"/>
    <s v="Amol Gaurkar"/>
    <s v="No"/>
    <s v="priscilla.mohanty@amns.in"/>
    <s v="6358869360"/>
    <s v="1003952"/>
    <s v="Dhruv Vyas"/>
    <s v="Anil Matoo"/>
    <s v="Praveen Kuruvalli"/>
    <s v="Dhruv Vyas"/>
    <n v="0"/>
  </r>
  <r>
    <n v="4936"/>
    <n v="20056996"/>
    <s v="Namrata Chowdhari"/>
    <s v="AM/NS India"/>
    <s v="Onroll"/>
    <s v="M-8"/>
    <n v="8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2"/>
    <m/>
    <s v="CMO Office"/>
    <s v="CMO Office"/>
    <s v=""/>
    <s v="Non Technical Support"/>
    <s v=""/>
    <s v=""/>
    <s v="70494642"/>
    <s v="Deputy Director"/>
    <s v="Mumbai"/>
    <d v="1999-10-14T00:00:00"/>
    <s v="23.11"/>
    <d v="2022-07-12T00:00:00"/>
    <d v="2057-10-31T00:00:00"/>
    <m/>
    <d v="2057-10-31T00:00:00"/>
    <n v="12460"/>
    <s v=""/>
    <s v="MBA-2022"/>
    <s v=""/>
    <s v="01.02"/>
    <s v="01.02"/>
    <s v="70139950"/>
    <s v="Sales &amp; Marketing"/>
    <s v="273462"/>
    <s v="EA to CMO"/>
    <s v="Corporate"/>
    <s v="0080000001"/>
    <s v="Head-Marketing"/>
    <s v="2134ESHZ"/>
    <s v="20007104"/>
    <s v="Ranjan Dhar"/>
    <s v="No"/>
    <s v="namrata.chowdhari@amns.in"/>
    <s v="6358869340"/>
    <s v="1003955"/>
    <s v="Dhruv Vyas"/>
    <s v="Anil Matoo"/>
    <s v="Praveen Kuruvalli"/>
    <s v="Dhruv Vyas"/>
    <n v="0"/>
  </r>
  <r>
    <n v="4937"/>
    <n v="20056997"/>
    <s v="Abhishek Pahadi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2"/>
    <m/>
    <s v="CMO Office"/>
    <s v="CMO Office"/>
    <s v=""/>
    <s v="Non Technical Support"/>
    <s v=""/>
    <s v=""/>
    <s v="70494642"/>
    <s v="Deputy Director"/>
    <s v="Mumbai"/>
    <d v="1996-12-20T00:00:00"/>
    <s v="26.09"/>
    <d v="2022-07-12T00:00:00"/>
    <d v="2054-12-31T00:00:00"/>
    <m/>
    <d v="2054-12-31T00:00:00"/>
    <n v="11425"/>
    <s v=""/>
    <s v="MBA-2022"/>
    <s v=""/>
    <s v="01.02"/>
    <s v="01.02"/>
    <s v="70139950"/>
    <s v="Sales &amp; Marketing"/>
    <s v="273463"/>
    <s v="Sales Manager- Hypermart"/>
    <s v="Corporate"/>
    <s v="0060100004"/>
    <s v="HMART-HR/Admin Expen"/>
    <s v="2134ESHZ"/>
    <s v="20007104"/>
    <s v="Ranjan Dhar"/>
    <s v="No"/>
    <s v="abhishek.pahadi@amns.in"/>
    <s v="6358869332"/>
    <s v="1003956"/>
    <s v="Dhruv Vyas"/>
    <s v="Anil Matoo"/>
    <s v="Praveen Kuruvalli"/>
    <s v="Dhruv Vyas"/>
    <n v="0"/>
  </r>
  <r>
    <n v="4938"/>
    <n v="20056998"/>
    <s v="Jatin Sati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2"/>
    <m/>
    <s v="Auto"/>
    <s v="Auto"/>
    <s v=""/>
    <s v="Non Technical Support"/>
    <s v="Human Resources Management"/>
    <s v="Human Resources Management"/>
    <s v="73501001"/>
    <s v="Human Resources"/>
    <s v="Mumbai"/>
    <d v="1998-06-14T00:00:00"/>
    <s v="25.03"/>
    <d v="2022-07-12T00:00:00"/>
    <d v="2056-06-30T00:00:00"/>
    <m/>
    <d v="2056-06-30T00:00:00"/>
    <n v="11972"/>
    <s v=""/>
    <s v="MBA-2022"/>
    <s v=""/>
    <s v="01.02"/>
    <s v="01.02"/>
    <s v="70343195"/>
    <s v="Automotive Sales &amp; Service Centers"/>
    <s v="273464"/>
    <s v="Jr Key Account Manager- Auto"/>
    <s v="Corporate"/>
    <s v="0090000028"/>
    <s v="Corporate Steel - Wo"/>
    <s v="2134ESHZ"/>
    <s v="20016767"/>
    <s v="Raghavan Venkatachalam"/>
    <s v="No"/>
    <s v="jatin.sati@amns.in"/>
    <s v="6358869335"/>
    <s v="1003957"/>
    <s v="Dhruv Vyas"/>
    <s v="Anil Matoo"/>
    <s v="Praveen Kuruvalli"/>
    <s v="Dhruv Vyas"/>
    <n v="0"/>
  </r>
  <r>
    <n v="4939"/>
    <n v="20056999"/>
    <s v="Manish Kumhar"/>
    <s v="AM/NS India"/>
    <s v="Onroll"/>
    <s v="M-8"/>
    <n v="8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Management Trainee 2022"/>
    <m/>
    <s v=""/>
    <s v=""/>
    <s v=""/>
    <s v="Non Technical Support"/>
    <s v="Human Resources Management"/>
    <s v="Human Resources Management"/>
    <s v="73501001"/>
    <s v="Human Resources"/>
    <s v="Mumbai"/>
    <d v="1998-02-13T00:00:00"/>
    <s v="25.07"/>
    <d v="2022-07-12T00:00:00"/>
    <d v="2056-02-29T00:00:00"/>
    <m/>
    <d v="2056-02-29T00:00:00"/>
    <n v="11850"/>
    <s v=""/>
    <s v="MBA-2022"/>
    <s v=""/>
    <s v="01.02"/>
    <s v="01.02"/>
    <s v="70494717"/>
    <s v="Treasury &amp; Finance"/>
    <s v="273465"/>
    <s v="Lead- Strategic Finance Auto"/>
    <s v="Corporate"/>
    <s v="0031950061"/>
    <s v="HZ-Human Resource"/>
    <s v="2134ESHZ"/>
    <s v="20000870"/>
    <s v="Balajee M"/>
    <s v="No"/>
    <s v="manish.kumhar@amns.in"/>
    <s v="6358869334"/>
    <s v="1003958"/>
    <s v="Dhruv Vyas"/>
    <s v="Anil Matoo"/>
    <s v="Praveen Kuruvalli"/>
    <s v="Dhruv Vyas"/>
    <n v="0"/>
  </r>
  <r>
    <n v="4940"/>
    <n v="20057000"/>
    <s v="Ravina Kumari"/>
    <s v="AM/NS India"/>
    <s v="Onroll"/>
    <s v="M-8"/>
    <n v="8"/>
    <m/>
    <s v="JM"/>
    <s v="F"/>
    <s v="Corporate"/>
    <n v="7"/>
    <s v="2043"/>
    <x v="3"/>
    <s v="31.01"/>
    <s v="Hrishikesh Kamat"/>
    <s v="Hrishikesh Kamat"/>
    <n v="7"/>
    <s v="Procurement"/>
    <s v="Procurement"/>
    <s v="31"/>
    <s v="Management Trainee 2022"/>
    <m/>
    <s v=""/>
    <s v=""/>
    <s v=""/>
    <s v="Non Technical Support"/>
    <s v="Human Resources Management"/>
    <s v="Human Resources Management"/>
    <s v="73501001"/>
    <s v="Human Resources"/>
    <s v="Mumbai"/>
    <d v="1997-03-30T00:00:00"/>
    <s v="26.05"/>
    <d v="2022-07-12T00:00:00"/>
    <d v="2055-03-31T00:00:00"/>
    <m/>
    <d v="2055-03-31T00:00:00"/>
    <n v="11515"/>
    <s v=""/>
    <s v="MBA-2022"/>
    <s v=""/>
    <s v="01.02"/>
    <s v="01.02"/>
    <s v="00045894"/>
    <s v="Blacks"/>
    <s v="273466"/>
    <s v="Asst Buyer- Bulk Raw Material"/>
    <s v="Corporate"/>
    <s v="0031950048"/>
    <s v="HZ-Procurment Depart"/>
    <s v="2134ESHZ"/>
    <s v="20001577"/>
    <s v="Prakash Thakur"/>
    <s v="No"/>
    <s v="ravina.kumari@amns.in"/>
    <s v="6358869336"/>
    <s v="1003959"/>
    <s v="Dhruv Vyas"/>
    <s v="Anil Matoo"/>
    <s v="Praveen Kuruvalli"/>
    <s v="Dhruv Vyas"/>
    <n v="0"/>
  </r>
  <r>
    <n v="4941"/>
    <n v="20057001"/>
    <s v="Urveshkumar Patel"/>
    <s v="AM/NS India"/>
    <s v="Onroll"/>
    <s v="M-8"/>
    <n v="8"/>
    <m/>
    <s v="JM"/>
    <s v="M"/>
    <s v="Corporate"/>
    <n v="7"/>
    <s v="2043"/>
    <x v="3"/>
    <s v="31.01"/>
    <s v="Hrishikesh Kamat"/>
    <s v="Hrishikesh Kamat"/>
    <n v="7"/>
    <s v="Procurement"/>
    <s v="Procurement"/>
    <s v="31"/>
    <s v="Management Trainee 2022"/>
    <m/>
    <s v=""/>
    <s v=""/>
    <s v=""/>
    <s v="Non Technical Support"/>
    <s v="Human Resources Management"/>
    <s v="Human Resources Management"/>
    <s v="73501001"/>
    <s v="Human Resources"/>
    <s v="Hazira"/>
    <d v="1998-03-31T00:00:00"/>
    <s v="25.05"/>
    <d v="2022-07-12T00:00:00"/>
    <d v="2056-03-31T00:00:00"/>
    <m/>
    <d v="2056-03-31T00:00:00"/>
    <n v="11881"/>
    <s v=""/>
    <s v="MBA-2022"/>
    <s v=""/>
    <s v="01.02"/>
    <s v="01.02"/>
    <s v="70495670"/>
    <s v="Contracts"/>
    <s v="273467"/>
    <s v="Lead Contracts"/>
    <s v="Corporate"/>
    <s v="0031950061"/>
    <s v="HZ-Human Resource"/>
    <s v="2134ESHZ"/>
    <s v="20000795"/>
    <s v="Pankaj Chaturvedi"/>
    <s v="No"/>
    <s v="urveshkumar.patel@amns.in"/>
    <s v="6358869337"/>
    <s v="1003960"/>
    <s v="Dhruv Vyas"/>
    <s v="Anil Matoo"/>
    <s v="Praveen Kuruvalli"/>
    <s v="Dhruv Vyas"/>
    <n v="0"/>
  </r>
  <r>
    <n v="4942"/>
    <n v="20057002"/>
    <s v="Chirashree Pal"/>
    <s v="AM/NS India"/>
    <s v="Onroll"/>
    <s v="M-9"/>
    <n v="9"/>
    <m/>
    <s v="JM"/>
    <s v="F"/>
    <s v="Hazira"/>
    <n v="1"/>
    <s v="2015"/>
    <x v="1"/>
    <s v="22.06"/>
    <s v="Anil Matoo"/>
    <s v="Ashutosh Telang"/>
    <n v="6"/>
    <s v="HR &amp; Administration"/>
    <s v="Human Resources"/>
    <s v="22"/>
    <s v="Management Trainee 2022"/>
    <m/>
    <s v="Human Resources"/>
    <s v=""/>
    <s v=""/>
    <s v="Non Technical Support"/>
    <s v=""/>
    <s v=""/>
    <s v="70494644"/>
    <s v="Chief Procurement Officer"/>
    <s v="AM/NS Hazira"/>
    <d v="1995-02-10T00:00:00"/>
    <s v="28.07"/>
    <d v="2022-07-12T00:00:00"/>
    <d v="2053-02-28T00:00:00"/>
    <m/>
    <d v="2053-02-28T00:00:00"/>
    <n v="10754"/>
    <s v=""/>
    <s v="MBA-2022"/>
    <s v=""/>
    <s v="01.02"/>
    <s v="01.02"/>
    <s v="70472770"/>
    <s v="Hazira HR Operations - 1"/>
    <s v="273469"/>
    <s v="HR Business Partner"/>
    <s v="Hazira"/>
    <s v="0031950061"/>
    <s v="HZ-Human Resource"/>
    <s v="2134ESHZ"/>
    <s v="20001265"/>
    <s v="Lakshman Iyer"/>
    <s v="No"/>
    <s v="chirashree.pal@amns.in"/>
    <s v="6358869338"/>
    <s v="1003961"/>
    <s v="Dhruv Vyas"/>
    <s v="Anil Matoo"/>
    <s v="Praveen Kuruvalli"/>
    <s v="Dhruv Vyas"/>
    <n v="0"/>
  </r>
  <r>
    <n v="4943"/>
    <n v="20057003"/>
    <s v="Kaustav Chowdhury"/>
    <s v="AM/NS India"/>
    <s v="Onroll"/>
    <s v="M-9"/>
    <n v="9"/>
    <m/>
    <s v="JM"/>
    <s v="M"/>
    <s v="Corporate"/>
    <n v="7"/>
    <s v="2015"/>
    <x v="1"/>
    <s v="22.06"/>
    <s v="Praveen Kuruvalli"/>
    <s v="Ashutosh Telang"/>
    <n v="6"/>
    <s v="HR &amp; Administration"/>
    <s v="Human Resources"/>
    <s v="22"/>
    <s v="Management Trainee - Human Resources"/>
    <m/>
    <s v="Human Resources"/>
    <s v=""/>
    <s v=""/>
    <s v="Non Technical Support"/>
    <s v="Projects"/>
    <s v="Projects Coordination"/>
    <s v="72103038"/>
    <s v="Projects Coordination"/>
    <s v="Mumbai"/>
    <d v="1998-06-22T00:00:00"/>
    <s v="25.03"/>
    <d v="2022-07-12T00:00:00"/>
    <d v="2056-06-30T00:00:00"/>
    <m/>
    <d v="2056-06-30T00:00:00"/>
    <n v="11972"/>
    <s v=""/>
    <s v="MBA-2022"/>
    <s v=""/>
    <s v="01.02"/>
    <s v="01.02"/>
    <s v="70242278"/>
    <s v="People Strategy &amp; HR Center Excellence"/>
    <s v="273680"/>
    <s v="HR Business Partner"/>
    <s v="Hazira"/>
    <s v="0031950061"/>
    <s v="HZ-Human Resource"/>
    <s v="2134ESHZ"/>
    <s v="20055483"/>
    <s v="Praveen Kuruvalli"/>
    <s v="No"/>
    <s v="kaustav.chowdhury@amns.in"/>
    <s v="6358869339"/>
    <s v="1003962"/>
    <s v="Dhruv Vyas"/>
    <s v="Anil Matoo"/>
    <s v="Praveen Kuruvalli"/>
    <s v="Dhruv Vyas"/>
    <n v="0"/>
  </r>
  <r>
    <n v="4944"/>
    <n v="20057005"/>
    <s v="Saureen Bhatt"/>
    <s v="AM/NS India"/>
    <s v="Onroll"/>
    <s v="M-6"/>
    <n v="6"/>
    <m/>
    <s v="MM"/>
    <s v="M"/>
    <s v="Corporate"/>
    <n v="7"/>
    <s v="2096"/>
    <x v="14"/>
    <s v="36.02"/>
    <s v="Deepak Sindkar"/>
    <s v="Hrishikesh Kamat"/>
    <n v="7"/>
    <s v="Procurement"/>
    <s v="Raw Materials"/>
    <s v="36"/>
    <s v="Sr. Lead – Power &amp; Gas"/>
    <m/>
    <s v="Raw Material"/>
    <s v=""/>
    <s v=""/>
    <s v="Tech. Support Services"/>
    <s v="Commercial"/>
    <s v="Procurement"/>
    <s v="73803001"/>
    <s v="Procurement"/>
    <s v="Mumbai"/>
    <d v="1985-08-03T00:00:00"/>
    <s v="38.01"/>
    <d v="2022-07-19T00:00:00"/>
    <d v="2043-08-31T00:00:00"/>
    <m/>
    <d v="2043-08-31T00:00:00"/>
    <n v="7285"/>
    <s v="A+"/>
    <s v="MBA-2010 , BE-2006 , Intermediate-2002 ,"/>
    <s v="14.01"/>
    <s v="01.02"/>
    <s v="15.02"/>
    <s v="00049516"/>
    <s v="Power &amp; Gas"/>
    <s v="252801"/>
    <s v="Sr. Lead – Power &amp; Gas"/>
    <s v="Corporate"/>
    <s v="0031950048"/>
    <s v="HZ-Procurment Depart"/>
    <s v="2000CS"/>
    <s v="20004612"/>
    <s v="Ramesh Chabhadiya"/>
    <s v="No"/>
    <s v="saureen.bhatt@amns.in"/>
    <s v="9998790823"/>
    <s v="1003816"/>
    <s v="Dhruv Vyas"/>
    <s v="Anil Matoo"/>
    <s v="Praveen Kuruvalli"/>
    <s v="Dhruv Vyas"/>
    <n v="0"/>
  </r>
  <r>
    <n v="4997"/>
    <n v="20057063"/>
    <s v="Ravi Shankar"/>
    <s v="AM/NS India"/>
    <s v="Onroll"/>
    <s v="M-7"/>
    <n v="7"/>
    <m/>
    <s v="MM"/>
    <s v="M"/>
    <s v="Hazira"/>
    <n v="1"/>
    <s v="2071"/>
    <x v="22"/>
    <s v="41.01"/>
    <s v="P Ashok Kumar"/>
    <s v="P Ashok Kumar"/>
    <n v="9"/>
    <s v="Legal"/>
    <s v="Legal"/>
    <s v="41"/>
    <s v="Legal Counsel, Hazira"/>
    <m/>
    <s v="Legal"/>
    <s v=""/>
    <s v=""/>
    <s v="Non Technical Support"/>
    <s v="Legal"/>
    <s v="Legal"/>
    <s v="73201001"/>
    <s v="Legal"/>
    <s v="Hazira"/>
    <d v="1985-03-25T00:00:00"/>
    <s v="38.05"/>
    <d v="2022-07-18T00:00:00"/>
    <d v="2043-03-31T00:00:00"/>
    <m/>
    <d v="2043-03-31T00:00:00"/>
    <n v="7132"/>
    <s v="A+"/>
    <s v="LLB-2009 , Intermediate-2004 , Intermedi"/>
    <s v="11.11"/>
    <s v="01.02"/>
    <s v="13.01"/>
    <s v="70494754"/>
    <s v="Legal"/>
    <s v="273394"/>
    <s v="Head - Legal Hazira"/>
    <s v="Hazira"/>
    <s v="0090000019"/>
    <s v="Corporate Steel - Le"/>
    <s v="2000HWO"/>
    <s v="20055235"/>
    <s v="P Ashok Kumar"/>
    <s v="No"/>
    <s v="ravi.shankar@amns.in"/>
    <s v="7486014006"/>
    <s v="1004223"/>
    <s v="Dhruv Vyas"/>
    <s v="Anil Matoo"/>
    <s v="Praveen Kuruvalli"/>
    <s v="Dhruv Vyas"/>
    <n v="0"/>
  </r>
  <r>
    <n v="5031"/>
    <n v="20057098"/>
    <s v="Brijesh Kedia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- Capex Procurement"/>
    <m/>
    <s v=""/>
    <s v=""/>
    <s v=""/>
    <s v="Non Technical Support"/>
    <s v="Execution"/>
    <s v="Electrical"/>
    <s v="72303027"/>
    <s v="Electrical"/>
    <s v="Hazira"/>
    <d v="1994-09-22T00:00:00"/>
    <s v="28.11"/>
    <d v="2022-07-22T00:00:00"/>
    <d v="2052-09-30T00:00:00"/>
    <m/>
    <d v="2052-09-30T00:00:00"/>
    <n v="10603"/>
    <s v="A+"/>
    <s v="BTech-2017 , Intermediate-2013 , Interme"/>
    <s v="04.11"/>
    <s v="01.01"/>
    <s v="06.01"/>
    <s v="00049342"/>
    <s v="Capex Procurement"/>
    <s v="70494197"/>
    <s v="Officer - Capex Procurement"/>
    <s v="Hazira"/>
    <s v="0031950059"/>
    <s v="HZ-Hazira Project"/>
    <s v="2000HWO"/>
    <s v="20055712"/>
    <s v="Ravi Goyal"/>
    <s v="No"/>
    <s v="brijesh.kedia@amns.in"/>
    <s v="7486014008"/>
    <s v="1004228"/>
    <s v="Dhruv Vyas"/>
    <s v="Anil Matoo"/>
    <s v="Praveen Kuruvalli"/>
    <s v="Dhruv Vyas"/>
    <n v="0"/>
  </r>
  <r>
    <n v="5033"/>
    <n v="20057100"/>
    <s v="Vijay Bhochiya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Commercial"/>
    <s v="Stores &amp; Warehouse"/>
    <s v="73806001"/>
    <s v="Stores &amp; Warehouse"/>
    <s v="Hazira"/>
    <d v="2000-01-17T00:00:00"/>
    <s v="23.08"/>
    <d v="2022-07-10T00:00:00"/>
    <d v="2058-01-31T00:00:00"/>
    <m/>
    <d v="2058-01-31T00:00:00"/>
    <n v="12552"/>
    <s v=""/>
    <s v="Diploma-2018"/>
    <s v=""/>
    <s v="01.02"/>
    <s v="01.02"/>
    <s v="00053279"/>
    <s v="Receipts &amp; Unloading - Plant A"/>
    <s v="284722"/>
    <s v="Engineer"/>
    <s v="Hazira"/>
    <s v="0031313111"/>
    <s v="SMS - EAF Operations"/>
    <s v="2012HAZI"/>
    <s v="20006916"/>
    <s v="Mir Ali Martaja"/>
    <s v="No"/>
    <s v="vijay.bhochiya@amns.in"/>
    <s v="9879103534"/>
    <s v="26179"/>
    <s v="Dhruv Vyas"/>
    <s v="Anil Matoo"/>
    <s v="Praveen Kuruvalli"/>
    <s v="Dhruv Vyas"/>
    <n v="0"/>
  </r>
  <r>
    <n v="5061"/>
    <n v="20057132"/>
    <s v="Amarnadh Kadiri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Section Engineer-BRM"/>
    <m/>
    <s v="Procurement"/>
    <s v="Procurement"/>
    <s v="Procurement"/>
    <s v="Non Technical Support"/>
    <s v=""/>
    <s v=""/>
    <s v=""/>
    <s v=""/>
    <s v="Vizag"/>
    <d v="1988-08-22T00:00:00"/>
    <s v="35.00"/>
    <d v="2022-08-01T00:00:00"/>
    <d v="2046-08-31T00:00:00"/>
    <m/>
    <d v="2046-08-31T00:00:00"/>
    <n v="8381"/>
    <s v="B+"/>
    <s v="BTech-2010 , Intermediate-2006 , SSLC-20"/>
    <s v="12.07"/>
    <s v="01.01"/>
    <s v="13.08"/>
    <s v="70301353"/>
    <s v="Procurement - Vizag &amp; Chitrakonda"/>
    <s v="285388"/>
    <s v="Section Engineer-BRM"/>
    <s v="Vizag"/>
    <s v="0028030019"/>
    <s v="VIZ-Personnel &amp; Admi"/>
    <s v="2000VIZOPS"/>
    <s v="20000200"/>
    <s v="A Venkateswara Rao"/>
    <s v="No"/>
    <s v="kadiri.amarnadh@amns.in"/>
    <s v="8985095945"/>
    <s v="1005775"/>
    <s v="DS Varma"/>
    <s v="Anil Matoo"/>
    <n v="0"/>
    <s v="DS Varma"/>
    <n v="0"/>
  </r>
  <r>
    <n v="5063"/>
    <n v="20057134"/>
    <s v="Sandeep Mohanty"/>
    <s v="AM/NS India"/>
    <s v="Onroll"/>
    <s v="M-8"/>
    <n v="8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Lead - Secondary Sales"/>
    <m/>
    <s v="Secondary Sales"/>
    <s v=""/>
    <s v=""/>
    <s v="Non Technical Support"/>
    <s v=""/>
    <s v=""/>
    <s v=""/>
    <s v=""/>
    <s v="Hazira"/>
    <d v="1992-05-15T00:00:00"/>
    <s v="31.04"/>
    <d v="2022-07-29T00:00:00"/>
    <d v="2050-05-31T00:00:00"/>
    <m/>
    <d v="2050-05-31T00:00:00"/>
    <n v="9750"/>
    <s v="O+"/>
    <s v="BTech-2013 , Intermediate-2009 , Interme"/>
    <s v="06.10"/>
    <s v="01.01"/>
    <s v="07.11"/>
    <s v="00049357"/>
    <s v="Secondary Sales"/>
    <s v="285452"/>
    <s v="Lead - Secondary Sales"/>
    <s v="Hazira"/>
    <s v="0031950059"/>
    <s v="HZ-Hazira Project"/>
    <s v="2000HWO"/>
    <s v="20055763"/>
    <s v="Debashis Mohapatra"/>
    <s v="No"/>
    <s v="sandeep.mohanty@amns.in"/>
    <s v="7486014018"/>
    <s v="1005874"/>
    <s v="Dhruv Vyas"/>
    <s v="Anil Matoo"/>
    <s v="Praveen Kuruvalli"/>
    <s v="Dhruv Vyas"/>
    <n v="0"/>
  </r>
  <r>
    <n v="5064"/>
    <n v="20057135"/>
    <s v="Rahul Raj"/>
    <s v="AM/NS India"/>
    <s v="Onroll"/>
    <s v="M-7"/>
    <n v="7"/>
    <m/>
    <s v="M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HRBP - Service Centre &amp; Hypermart"/>
    <m/>
    <s v="Human Resources"/>
    <s v="Human Resources"/>
    <s v="Human Resources"/>
    <s v="Non Technical Support"/>
    <s v="Human Resources Management"/>
    <s v="Human Resources Management"/>
    <s v="73501001"/>
    <s v="Human Resources"/>
    <s v="Pune"/>
    <d v="1986-11-26T00:00:00"/>
    <s v="36.09"/>
    <d v="2022-07-27T00:00:00"/>
    <d v="2044-11-30T00:00:00"/>
    <m/>
    <d v="2044-11-30T00:00:00"/>
    <n v="7742"/>
    <s v="B+"/>
    <s v="PG Diploma in Management-2015 , BE-2010"/>
    <s v="07.02"/>
    <s v="01.01"/>
    <s v="08.03"/>
    <s v="00044376"/>
    <s v="Service Center &amp; Hypermart HR"/>
    <s v="70495656"/>
    <s v="HRBP - Service Centre &amp; Hypermart"/>
    <s v="Service Center"/>
    <s v="0040000000"/>
    <s v="SC - Common"/>
    <s v="2000CS"/>
    <s v="20055483"/>
    <s v="Praveen Kuruvalli"/>
    <s v="No"/>
    <s v="rahul.raj@amns.in"/>
    <s v="8334847074"/>
    <s v="1006065"/>
    <s v="Dhruv Vyas"/>
    <s v="Anil Matoo"/>
    <s v="Praveen Kuruvalli"/>
    <s v="Dhruv Vyas"/>
    <n v="0"/>
  </r>
  <r>
    <n v="5067"/>
    <n v="20057138"/>
    <s v="Anil Sanjava"/>
    <s v="AM/NS India"/>
    <s v="Onroll"/>
    <s v="M-9"/>
    <n v="9"/>
    <m/>
    <s v="J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"/>
    <s v=""/>
    <s v="Non Technical Support"/>
    <s v=""/>
    <s v=""/>
    <s v=""/>
    <s v=""/>
    <s v="AM/NS Hazira"/>
    <d v="1985-02-24T00:00:00"/>
    <s v="38.06"/>
    <d v="2022-08-03T00:00:00"/>
    <d v="2043-02-28T00:00:00"/>
    <m/>
    <d v="2043-02-28T00:00:00"/>
    <n v="7101"/>
    <s v="B+"/>
    <s v="Master's Equivalent-2010 , BA-2005 , Int"/>
    <s v="06.01"/>
    <s v="01.01"/>
    <s v="07.02"/>
    <s v="70495436"/>
    <s v="Land Property"/>
    <s v="285613"/>
    <s v="Lead - Land Matters"/>
    <s v="Hazira"/>
    <s v="0090000021"/>
    <s v="Corporate Affairs"/>
    <s v="2000HWO"/>
    <s v="20059561"/>
    <s v="Bhavdip Jathal"/>
    <s v="No"/>
    <s v="anil.sanjava@amns.in"/>
    <s v="7486014218"/>
    <s v="1006172"/>
    <s v="Dhruv Vyas"/>
    <s v="Anil Matoo"/>
    <s v="Praveen Kuruvalli"/>
    <s v="Dhruv Vyas"/>
    <n v="0"/>
  </r>
  <r>
    <n v="5069"/>
    <n v="20057140"/>
    <s v="Simran Pitliya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– Corporate Accounts"/>
    <m/>
    <s v="Finance &amp; Accounts"/>
    <s v=""/>
    <s v=""/>
    <s v="Non Technical Support"/>
    <s v="Projects"/>
    <s v="Projects Coordination"/>
    <s v="72103038"/>
    <s v="Projects Coordination"/>
    <s v="AM/NS Hazira"/>
    <d v="1997-02-07T00:00:00"/>
    <s v="26.07"/>
    <d v="2022-07-25T00:00:00"/>
    <d v="2055-02-28T00:00:00"/>
    <m/>
    <d v="2055-02-28T00:00:00"/>
    <n v="11484"/>
    <s v="B+"/>
    <s v="MCom-2019 , CA Final-2019 , BCom-2017 ,"/>
    <s v="02.02"/>
    <s v="01.01"/>
    <s v="03.03"/>
    <s v="70495666"/>
    <s v="Corporate Asset Management"/>
    <s v="273338"/>
    <s v="Officer – Corporate Accounts"/>
    <s v="Hazira"/>
    <s v="0090000027"/>
    <s v="Corporate Steel - Ac"/>
    <s v="2000HWO"/>
    <s v="20045482"/>
    <s v="Sandeep Soni"/>
    <s v="No"/>
    <s v="simran.pitliya@amns.in"/>
    <s v="9820032018"/>
    <s v="1006201"/>
    <s v="Dhruv Vyas"/>
    <s v="Anil Matoo"/>
    <s v="Praveen Kuruvalli"/>
    <s v="Dhruv Vyas"/>
    <n v="0"/>
  </r>
  <r>
    <n v="5071"/>
    <n v="20057142"/>
    <s v="Yagnik Vala"/>
    <s v="AM/NS India"/>
    <s v="Onroll"/>
    <s v="M-9"/>
    <n v="9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Officer - MRO Procurement"/>
    <m/>
    <s v="Procurement"/>
    <s v=""/>
    <s v=""/>
    <s v="Non Technical Support"/>
    <s v=""/>
    <s v=""/>
    <s v=""/>
    <s v=""/>
    <s v="Hazira"/>
    <d v="1996-01-28T00:00:00"/>
    <s v="27.07"/>
    <d v="2022-08-01T00:00:00"/>
    <d v="2054-01-31T00:00:00"/>
    <m/>
    <d v="2054-01-31T00:00:00"/>
    <n v="11091"/>
    <s v="A+"/>
    <s v="BE-2017 , Intermediate-2013 , Intermedia"/>
    <s v="03.11"/>
    <s v="01.01"/>
    <s v="05.00"/>
    <s v="00044544"/>
    <s v="Rolls Lubes  System Development"/>
    <s v="285548"/>
    <s v="Officer - MRO Procurement"/>
    <s v="Hazira"/>
    <s v="0031950048"/>
    <s v="HZ-Procurment Depart"/>
    <s v="2000HWO"/>
    <s v="20052026"/>
    <s v="Jigneshkumar Patel"/>
    <s v="No"/>
    <s v="yagnik.vala@amns.in"/>
    <s v="9023866253"/>
    <s v="1006267"/>
    <s v="Dhruv Vyas"/>
    <s v="Anil Matoo"/>
    <s v="Praveen Kuruvalli"/>
    <s v="Dhruv Vyas"/>
    <n v="0"/>
  </r>
  <r>
    <n v="5080"/>
    <n v="20057151"/>
    <s v="Chaitali Panchal"/>
    <s v="AM/NS India"/>
    <s v="Onroll"/>
    <s v="M-10"/>
    <n v="10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Officer – Capex Procurement"/>
    <m/>
    <s v=""/>
    <s v=""/>
    <s v=""/>
    <s v="Non Technical Support"/>
    <s v=""/>
    <s v=""/>
    <s v=""/>
    <s v=""/>
    <s v="Hazira"/>
    <d v="1996-09-27T00:00:00"/>
    <s v="26.11"/>
    <d v="2022-08-08T00:00:00"/>
    <d v="2054-09-30T00:00:00"/>
    <m/>
    <d v="2054-09-30T00:00:00"/>
    <n v="11333"/>
    <s v="O-"/>
    <s v="BE-2018 , Diploma-2015 , Intermediate-20"/>
    <s v="03.01"/>
    <s v="01.01"/>
    <s v="04.02"/>
    <s v="00049515"/>
    <s v="Capex Procurement"/>
    <s v="285915"/>
    <s v="Officer – Capex Procurement"/>
    <s v="Hazira"/>
    <s v="0031950059"/>
    <s v="HZ-Hazira Project"/>
    <s v="2000HWO"/>
    <s v="20054320"/>
    <s v="Sanjaykumar Kanani"/>
    <s v="No"/>
    <s v="chaitali.panchal@amns.in"/>
    <s v="6359799279"/>
    <s v="25298"/>
    <s v="Dhruv Vyas"/>
    <s v="Anil Matoo"/>
    <s v="Praveen Kuruvalli"/>
    <s v="Dhruv Vyas"/>
    <n v="0"/>
  </r>
  <r>
    <n v="5082"/>
    <n v="20057154"/>
    <s v="Navin Kumar Amang"/>
    <s v="AM/NS India"/>
    <s v="Onroll"/>
    <s v="M-9"/>
    <n v="9"/>
    <m/>
    <s v="JM"/>
    <s v="M"/>
    <s v="Vizag"/>
    <n v="3"/>
    <s v="2094"/>
    <x v="21"/>
    <s v="27.10"/>
    <s v="Vikas Chandra Yadvendu"/>
    <s v="Ashutosh Telang"/>
    <n v="6"/>
    <s v="HR &amp; Administration"/>
    <s v="Corporate SocialResponsibility"/>
    <s v="27"/>
    <s v="Lead-CSR"/>
    <m/>
    <s v="Corporate Social Responsibility"/>
    <s v="CSR"/>
    <s v="CSR"/>
    <s v="Non Technical Support"/>
    <s v="Human Resources Management"/>
    <s v="Human Resources Management"/>
    <s v="73501001"/>
    <s v="Human Resources"/>
    <s v="Chitrakonda"/>
    <d v="1991-01-03T00:00:00"/>
    <s v="32.08"/>
    <d v="2022-08-10T00:00:00"/>
    <d v="2049-01-31T00:00:00"/>
    <m/>
    <d v="2049-01-31T00:00:00"/>
    <n v="9265"/>
    <s v="B+"/>
    <s v="MSc Engg-2016 , Intermediate-2014 , Inte"/>
    <s v="06.03"/>
    <s v="01.01"/>
    <s v="07.04"/>
    <s v="70495661"/>
    <s v="Corporate Social Responsibility"/>
    <s v="285722"/>
    <s v="Lead-CSR"/>
    <s v="Vizag"/>
    <s v="0028030019"/>
    <s v="VIZ-Personnel &amp; Admi"/>
    <s v="2000VIZOPS"/>
    <s v="20055033"/>
    <s v="Vikas Chandra Yadvendu"/>
    <s v="No"/>
    <s v="navin.amang@amns.in"/>
    <s v="9867267442"/>
    <s v="1007059"/>
    <s v="DS Varma"/>
    <s v="Anil Matoo"/>
    <n v="0"/>
    <s v="DS Varma"/>
    <n v="0"/>
  </r>
  <r>
    <n v="5084"/>
    <n v="20057157"/>
    <s v="Lopamudra Mohanty"/>
    <s v="AM/NS India"/>
    <s v="Onroll"/>
    <s v="T-1 (GET)"/>
    <n v="12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Commercial"/>
    <s v="Procurement"/>
    <s v="73803001"/>
    <s v="Procurement"/>
    <s v="Hazira"/>
    <d v="1996-09-30T00:00:00"/>
    <s v="26.11"/>
    <d v="2022-08-08T00:00:00"/>
    <d v="2054-09-30T00:00:00"/>
    <m/>
    <d v="2054-09-30T00:00:00"/>
    <n v="11333"/>
    <s v=""/>
    <s v="MTech-2022 , Diploma-2019 , BTech-2019 ,"/>
    <s v=""/>
    <s v="01.01"/>
    <s v="01.01"/>
    <s v="00049358"/>
    <s v="Capex Procurement"/>
    <s v="273471"/>
    <s v="Graduate Engineer Trainee 2022"/>
    <s v="Hazira"/>
    <s v="0031950061"/>
    <s v="HZ-Human Resource"/>
    <s v="2020HAZI"/>
    <s v="20056520"/>
    <s v="Ankit Panchal"/>
    <s v="No"/>
    <s v="lopamudra.mohanty@amns.in"/>
    <s v="7486014121"/>
    <s v="1007241"/>
    <s v="Dhruv Vyas"/>
    <s v="Anil Matoo"/>
    <s v="Praveen Kuruvalli"/>
    <s v="Dhruv Vyas"/>
    <n v="0"/>
  </r>
  <r>
    <n v="5095"/>
    <n v="20057175"/>
    <s v="Anjali Prasad"/>
    <s v="AM/NS India"/>
    <s v="Onroll"/>
    <s v="T-1 (GET)"/>
    <n v="12"/>
    <m/>
    <s v="JM"/>
    <s v="F"/>
    <s v="Hazira"/>
    <n v="1"/>
    <s v="2054"/>
    <x v="9"/>
    <s v="32.01"/>
    <s v="Pankaj Chaturvedi"/>
    <s v="Hrishikesh Kamat"/>
    <n v="7"/>
    <s v="Procurement"/>
    <s v="Contracts"/>
    <s v="32"/>
    <s v="Graduate Engineer Trainee 2022"/>
    <m/>
    <s v=""/>
    <s v=""/>
    <s v=""/>
    <s v="Non Technical Support"/>
    <s v="Services"/>
    <s v="Power Distribution services"/>
    <s v="72103027"/>
    <s v="Power Distribution Operat"/>
    <s v="AM/NS Hazira"/>
    <d v="1996-02-22T00:00:00"/>
    <s v="27.06"/>
    <d v="2022-08-08T00:00:00"/>
    <d v="2054-02-28T00:00:00"/>
    <m/>
    <d v="2054-02-28T00:00:00"/>
    <n v="11119"/>
    <s v=""/>
    <s v="MTech-2021"/>
    <s v=""/>
    <s v="01.01"/>
    <s v="01.01"/>
    <s v="70495670"/>
    <s v="Contracts"/>
    <s v="273683"/>
    <s v="Graduate Engineer Trainee 2022"/>
    <s v="Hazira"/>
    <s v="0031950061"/>
    <s v="HZ-Human Resource"/>
    <s v="2054HAZI"/>
    <s v="20000795"/>
    <s v="Pankaj Chaturvedi"/>
    <s v="No"/>
    <s v="anjali.prasad@amns.in"/>
    <s v="7024642785"/>
    <s v="1007255"/>
    <s v="Dhruv Vyas"/>
    <s v="Anil Matoo"/>
    <s v="Praveen Kuruvalli"/>
    <s v="Dhruv Vyas"/>
    <n v="0"/>
  </r>
  <r>
    <n v="5100"/>
    <n v="20057181"/>
    <s v="Rajat Raj"/>
    <s v="AM/NS India"/>
    <s v="Onroll"/>
    <s v="M-9"/>
    <n v="9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Services"/>
    <s v="Maintenance Services"/>
    <s v="72103012"/>
    <s v="Maintenance Services"/>
    <s v="AM/NS Hazira"/>
    <d v="1992-09-11T00:00:00"/>
    <s v="31.00"/>
    <d v="2022-08-08T00:00:00"/>
    <d v="2050-09-30T00:00:00"/>
    <m/>
    <d v="2050-09-30T00:00:00"/>
    <n v="9872"/>
    <s v=""/>
    <s v="BTech-2008"/>
    <s v=""/>
    <s v="01.01"/>
    <s v="01.01"/>
    <s v="00051524"/>
    <s v="Pro HED"/>
    <s v="273689"/>
    <s v="Graduate Engineer Trainee 2022"/>
    <s v="Hazira"/>
    <s v="0031950061"/>
    <s v="HZ-Human Resource"/>
    <s v="2043ESHZ"/>
    <s v="20055691"/>
    <s v="Dipesh Sudamrao Rathod"/>
    <s v="No"/>
    <s v="rajat.raj@amns.in"/>
    <s v="7486014100"/>
    <s v="1007262"/>
    <s v="Dhruv Vyas"/>
    <s v="Anil Matoo"/>
    <s v="Praveen Kuruvalli"/>
    <s v="Dhruv Vyas"/>
    <n v="0"/>
  </r>
  <r>
    <n v="5103"/>
    <n v="20057186"/>
    <s v="Suriya Prakash S"/>
    <s v="AM/NS India"/>
    <s v="Onroll"/>
    <s v="T-1 (GET)"/>
    <n v="12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Graduate Engineer Trainee 2022"/>
    <m/>
    <s v="South"/>
    <s v="Plate"/>
    <s v=""/>
    <s v="Non Technical Support"/>
    <s v="Services"/>
    <s v="Maintenance Services"/>
    <s v="72103012"/>
    <s v="Maintenance Services"/>
    <s v="Chennai"/>
    <d v="1998-06-02T00:00:00"/>
    <s v="25.03"/>
    <d v="2022-08-08T00:00:00"/>
    <d v="2056-06-30T00:00:00"/>
    <m/>
    <d v="2056-06-30T00:00:00"/>
    <n v="11972"/>
    <s v=""/>
    <s v="BTech-2013"/>
    <s v=""/>
    <s v="01.01"/>
    <s v="01.01"/>
    <s v="00052473"/>
    <s v="KAM - Plate Sales"/>
    <s v="273694"/>
    <s v="Graduate Engineer Trainee 2022"/>
    <s v="Hazira"/>
    <s v="0031950061"/>
    <s v="HZ-Human Resource"/>
    <s v="2031MUMB"/>
    <s v="20002639"/>
    <s v="Kathiresan K"/>
    <s v="No"/>
    <s v="suriyaprakash.s@amns.in"/>
    <s v="8754726530"/>
    <s v="1007267"/>
    <s v="Dhruv Vyas"/>
    <s v="Anil Matoo"/>
    <s v="Praveen Kuruvalli"/>
    <s v="Dhruv Vyas"/>
    <n v="0"/>
  </r>
  <r>
    <n v="5117"/>
    <n v="20057206"/>
    <s v="Swati Joshi"/>
    <s v="AM/NS India"/>
    <s v="Onroll"/>
    <s v="T-1 (GET)"/>
    <n v="12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Services"/>
    <s v="Maintenance Services"/>
    <s v="72103015"/>
    <s v="Instrumentation &amp; Automat"/>
    <s v="Hazira"/>
    <d v="1994-10-25T00:00:00"/>
    <s v="28.10"/>
    <d v="2022-08-08T00:00:00"/>
    <d v="2052-10-31T00:00:00"/>
    <m/>
    <d v="2052-10-31T00:00:00"/>
    <n v="10634"/>
    <s v=""/>
    <s v="MTech-2021"/>
    <s v=""/>
    <s v="01.01"/>
    <s v="01.01"/>
    <s v="00049359"/>
    <s v="Capex Services"/>
    <s v="273714"/>
    <s v="Graduate Engineer Trainee 2022"/>
    <s v="Hazira"/>
    <s v="0031950061"/>
    <s v="HZ-Human Resource"/>
    <s v="2020HAZI"/>
    <s v="20055446"/>
    <s v="Chitrang Rana"/>
    <s v="No"/>
    <s v="swati.joshi@amns.in"/>
    <s v="8650846722"/>
    <s v="1007285"/>
    <s v="Dhruv Vyas"/>
    <s v="Anil Matoo"/>
    <s v="Praveen Kuruvalli"/>
    <s v="Dhruv Vyas"/>
    <n v="0"/>
  </r>
  <r>
    <n v="5141"/>
    <n v="20057238"/>
    <s v="Shatrughna Sethy"/>
    <s v="AM/NS India"/>
    <s v="Onroll"/>
    <s v="T-1 (GET)"/>
    <n v="12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Graduate Engineer Trainee 2022"/>
    <m/>
    <s v="Other West"/>
    <s v="Plate"/>
    <s v=""/>
    <s v="Non Technical Support"/>
    <s v="Operations"/>
    <s v="Operations"/>
    <s v="72103001"/>
    <s v="Operations"/>
    <s v="Mumbai"/>
    <d v="1995-06-05T00:00:00"/>
    <s v="28.03"/>
    <d v="2022-08-08T00:00:00"/>
    <d v="2053-06-30T00:00:00"/>
    <m/>
    <d v="2053-06-30T00:00:00"/>
    <n v="10876"/>
    <s v=""/>
    <s v="BTech-2011"/>
    <s v=""/>
    <s v="01.01"/>
    <s v="01.01"/>
    <s v="70495309"/>
    <s v="Sales West Zone"/>
    <s v="273746"/>
    <s v="Graduate Engineer Trainee 2022"/>
    <s v="Hazira"/>
    <s v="0031950061"/>
    <s v="HZ-Human Resource"/>
    <s v="2031MUMB"/>
    <s v="20047683"/>
    <s v="Virat Vij"/>
    <s v="No"/>
    <s v="shatrughna.sethy@amns.in"/>
    <s v="7605950983"/>
    <s v="1007310"/>
    <s v="Dhruv Vyas"/>
    <s v="Anil Matoo"/>
    <s v="Praveen Kuruvalli"/>
    <s v="Dhruv Vyas"/>
    <n v="0"/>
  </r>
  <r>
    <n v="5145"/>
    <n v="20057242"/>
    <s v="Dhageti Sandhya"/>
    <s v="AM/NS India"/>
    <s v="Onroll"/>
    <s v="T-1 (GET)"/>
    <n v="12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Operations"/>
    <s v="Operations"/>
    <s v="72103001"/>
    <s v="Operations"/>
    <s v="AM/NS Hazira"/>
    <d v="2001-06-18T00:00:00"/>
    <s v="22.03"/>
    <d v="2022-08-08T00:00:00"/>
    <d v="2059-06-30T00:00:00"/>
    <m/>
    <d v="2059-06-30T00:00:00"/>
    <n v="13067"/>
    <s v=""/>
    <s v="BTech-2022"/>
    <s v=""/>
    <s v="01.01"/>
    <s v="01.01"/>
    <s v="72150383"/>
    <s v="Procurement (MRO/IP &amp; Consumable)"/>
    <s v="273750"/>
    <s v="Graduate Engineer Trainee 2022"/>
    <s v="Hazira"/>
    <s v="0031950061"/>
    <s v="HZ-Human Resource"/>
    <s v="2134ESHZ"/>
    <s v="20000201"/>
    <s v="Manish Bakriwala"/>
    <s v="No"/>
    <s v="dhageti.sandhya@amns.in"/>
    <s v="7486014120"/>
    <s v="1007314"/>
    <s v="Dhruv Vyas"/>
    <s v="Anil Matoo"/>
    <s v="Praveen Kuruvalli"/>
    <s v="Dhruv Vyas"/>
    <n v="0"/>
  </r>
  <r>
    <n v="5152"/>
    <n v="20057251"/>
    <s v="Toshit Kumar"/>
    <s v="AM/NS India"/>
    <s v="Onroll"/>
    <s v="T-1 (GET)"/>
    <n v="12"/>
    <m/>
    <s v="JM"/>
    <s v="M"/>
    <s v="Hazira"/>
    <n v="1"/>
    <s v="2096"/>
    <x v="14"/>
    <s v="36.02"/>
    <s v="Hrishikesh Kamat"/>
    <s v="Hrishikesh Kamat"/>
    <n v="7"/>
    <s v="Procurement"/>
    <s v="Raw Materials"/>
    <s v="36"/>
    <s v="Graduate Engineer Trainee 2022"/>
    <m/>
    <s v=""/>
    <s v=""/>
    <s v=""/>
    <s v="Operations"/>
    <s v="R&amp; D and QA/QC"/>
    <s v="QA &amp; QC"/>
    <s v="72103034"/>
    <s v="QA &amp; QC"/>
    <s v="Mumbai"/>
    <d v="1995-09-01T00:00:00"/>
    <s v="28.00"/>
    <d v="2022-08-08T00:00:00"/>
    <d v="2053-08-31T00:00:00"/>
    <m/>
    <d v="2053-08-31T00:00:00"/>
    <n v="10938"/>
    <s v=""/>
    <s v="MS-2022"/>
    <s v=""/>
    <s v="01.01"/>
    <s v="01.01"/>
    <s v="70494654"/>
    <s v="Finance"/>
    <s v="273759"/>
    <s v="Graduate Engineer Trainee 2022"/>
    <s v="Hazira"/>
    <s v="0031950061"/>
    <s v="HZ-Human Resource"/>
    <s v="2134ESHZ"/>
    <s v="20057933"/>
    <s v="Akiyo Omori"/>
    <s v="No"/>
    <s v="toshit.kumar@amns.in"/>
    <s v="6377436574"/>
    <s v="1007322"/>
    <s v="Lakshman Iyer"/>
    <s v="Anil Matoo"/>
    <n v="0"/>
    <s v="Lakshman Iyer"/>
    <n v="0"/>
  </r>
  <r>
    <n v="5154"/>
    <n v="20057253"/>
    <s v="Dandaveni Shashi Kumar"/>
    <s v="AM/NS India"/>
    <s v="Onroll"/>
    <s v="T-1 (GET)"/>
    <n v="12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Graduate Engineer Trainee 2022"/>
    <m/>
    <s v=""/>
    <s v=""/>
    <s v=""/>
    <s v="Non Technical Support"/>
    <s v="R&amp; D and QA/QC"/>
    <s v="QA &amp; QC"/>
    <s v="72103034"/>
    <s v="QA &amp; QC"/>
    <s v="AM/NS Hazira"/>
    <d v="1999-06-10T00:00:00"/>
    <s v="24.03"/>
    <d v="2022-08-08T00:00:00"/>
    <d v="2057-06-30T00:00:00"/>
    <m/>
    <d v="2057-06-30T00:00:00"/>
    <n v="12337"/>
    <s v=""/>
    <s v="BTech-2013"/>
    <s v=""/>
    <s v="01.01"/>
    <s v="01.01"/>
    <s v="70495670"/>
    <s v="Contracts"/>
    <s v="273761"/>
    <s v="Graduate Engineer Trainee 2022"/>
    <s v="Hazira"/>
    <s v="0031950061"/>
    <s v="HZ-Human Resource"/>
    <s v="2054HAZI"/>
    <s v="20000795"/>
    <s v="Pankaj Chaturvedi"/>
    <s v="No"/>
    <s v="dandaveni.shashikumar@amns.in"/>
    <s v="8790138222"/>
    <s v="1007324"/>
    <s v="Dhruv Vyas"/>
    <s v="Anil Matoo"/>
    <s v="Praveen Kuruvalli"/>
    <s v="Dhruv Vyas"/>
    <n v="0"/>
  </r>
  <r>
    <n v="5163"/>
    <n v="20057268"/>
    <s v="Ayyalasomayajula Naresh"/>
    <s v="AM/NS India"/>
    <s v="Onroll"/>
    <s v="M-9"/>
    <n v="9"/>
    <m/>
    <s v="JM"/>
    <s v="M"/>
    <s v="Vizag"/>
    <n v="3"/>
    <s v="2015"/>
    <x v="1"/>
    <s v="22.06"/>
    <s v="Anil Matoo"/>
    <s v="Ashutosh Telang"/>
    <n v="6"/>
    <s v="HR &amp; Administration"/>
    <s v="Human Resources"/>
    <s v="22"/>
    <s v="Lead-HR"/>
    <m/>
    <s v="Human Resources"/>
    <s v=""/>
    <s v=""/>
    <s v="Non Technical Support"/>
    <s v=""/>
    <s v=""/>
    <s v=""/>
    <s v=""/>
    <s v="Vizag"/>
    <d v="1987-12-08T00:00:00"/>
    <s v="35.09"/>
    <d v="2022-08-11T00:00:00"/>
    <d v="2045-12-31T00:00:00"/>
    <m/>
    <d v="2045-12-31T00:00:00"/>
    <n v="8138"/>
    <s v="A+"/>
    <s v="MBA-2010 , BSc Engg-2005 , Intermediate-"/>
    <s v="05.05"/>
    <s v="01.01"/>
    <s v="06.06"/>
    <s v="72150111"/>
    <s v="Vizag HR Operations &amp; Administration"/>
    <s v="286250"/>
    <s v="Lead-HR"/>
    <s v="Vizag"/>
    <s v="0028030019"/>
    <s v="VIZ-Personnel &amp; Admi"/>
    <s v="2000VIZOPS"/>
    <s v="20000519"/>
    <s v="Dandu Srinivas Varma"/>
    <s v="No"/>
    <s v="ayyalasomayajula.naresh@amns.in"/>
    <s v="9177509312"/>
    <s v="1007397"/>
    <s v="DS Varma"/>
    <s v="Anil Matoo"/>
    <s v="Praveen Kuruvalli"/>
    <s v="Dhruv Vyas"/>
    <n v="0"/>
  </r>
  <r>
    <n v="5165"/>
    <n v="20057271"/>
    <s v="Deepak Gupta"/>
    <s v="AM/NS India"/>
    <s v="Onroll"/>
    <s v="M-9"/>
    <n v="9"/>
    <m/>
    <s v="JM"/>
    <s v="M"/>
    <s v="Vizag"/>
    <n v="3"/>
    <s v="2013"/>
    <x v="0"/>
    <s v="20.01"/>
    <s v="Akiyo Omori"/>
    <s v="Amit Harlalka"/>
    <n v="5"/>
    <s v="Finance &amp; Accounts"/>
    <s v="Finance &amp; Accounts"/>
    <s v="20"/>
    <s v="Lead-F&amp;A"/>
    <m/>
    <s v=""/>
    <s v=""/>
    <s v=""/>
    <s v="Non Technical Support"/>
    <s v="Project Management"/>
    <s v="Planning"/>
    <s v="72303122"/>
    <s v="MIS"/>
    <s v="Kirandul"/>
    <d v="1990-10-26T00:00:00"/>
    <s v="32.10"/>
    <d v="2022-08-16T00:00:00"/>
    <d v="2048-10-31T00:00:00"/>
    <m/>
    <d v="2048-10-31T00:00:00"/>
    <n v="9173"/>
    <s v="O+"/>
    <s v="CA Inter-2014 , BCom-2010 , Intermediate"/>
    <s v="06.03"/>
    <s v="01.01"/>
    <s v="07.04"/>
    <s v="72150110"/>
    <s v="Finance &amp; Accounts - Vizag"/>
    <s v="286535"/>
    <s v="Lead-F&amp;A"/>
    <s v="Vizag"/>
    <s v="0028030019"/>
    <s v="VIZ-Personnel &amp; Admi"/>
    <s v="2000VIZOPS"/>
    <s v="20001003"/>
    <s v="Patnana Muralidhara Rao"/>
    <s v="No"/>
    <s v="deepak.gupta2@amns.in"/>
    <s v="8210156530"/>
    <s v="1007886"/>
    <s v="DS Varma"/>
    <s v="Anil Matoo"/>
    <s v="Praveen Kuruvalli"/>
    <s v="Dhruv Vyas"/>
    <n v="0"/>
  </r>
  <r>
    <n v="5168"/>
    <n v="20057274"/>
    <s v="Arup Gouda"/>
    <s v="AM/NS India"/>
    <s v="Onroll"/>
    <s v="M-8"/>
    <n v="8"/>
    <m/>
    <s v="JM"/>
    <s v="M"/>
    <s v="Odisha"/>
    <n v="2"/>
    <s v="2084"/>
    <x v="17"/>
    <s v="23.09"/>
    <s v="Anil Matoo"/>
    <s v="Ashutosh Telang"/>
    <n v="6"/>
    <s v="HR &amp; Administration"/>
    <s v="Industrial Relations"/>
    <s v="23"/>
    <s v="Lead – IR"/>
    <m/>
    <s v="Industrial Relations"/>
    <s v=""/>
    <s v=""/>
    <s v="Non Technical Support"/>
    <s v="Human Resources Management"/>
    <s v="Human Resources Management"/>
    <s v="73501002"/>
    <s v="Human Resources Operation"/>
    <s v="Paradeep"/>
    <d v="1986-02-13T00:00:00"/>
    <s v="37.07"/>
    <d v="2022-08-16T00:00:00"/>
    <d v="2044-02-29T00:00:00"/>
    <m/>
    <d v="2044-02-29T00:00:00"/>
    <n v="7467"/>
    <s v="A+"/>
    <s v="LLB-2011 , MA-2008 , BA-2006 , Intermedi"/>
    <s v="10.11"/>
    <s v="01.01"/>
    <s v="11.11"/>
    <s v="70495430"/>
    <s v="Odisha HR Operations"/>
    <s v="286663"/>
    <s v="Lead – IR"/>
    <s v="Odisha"/>
    <s v="0022030019"/>
    <s v="PDP-HR &amp; Admn"/>
    <s v="2000STORIS"/>
    <s v="20055611"/>
    <s v="Sunila Kumar Das"/>
    <s v="No"/>
    <s v="arup.gouda@amns.in"/>
    <s v="9337121771"/>
    <s v="1008027"/>
    <s v="Sunila Das"/>
    <s v="Anil Matoo"/>
    <s v="Praveen Kuruvalli"/>
    <s v="Sunila Das"/>
    <n v="0"/>
  </r>
  <r>
    <n v="5183"/>
    <n v="20057297"/>
    <s v="Bibhash Mohanty"/>
    <s v="AM/NS India"/>
    <s v="Onroll"/>
    <s v="M-6"/>
    <n v="6"/>
    <m/>
    <s v="MM"/>
    <s v="M"/>
    <s v="Odisha"/>
    <n v="2"/>
    <s v="2023"/>
    <x v="6"/>
    <s v="24.08"/>
    <s v="Anil Matoo"/>
    <s v="Ashutosh Telang"/>
    <n v="6"/>
    <s v="HR &amp; Administration"/>
    <s v="Administration"/>
    <s v="24"/>
    <s v="Head-Administration"/>
    <m/>
    <s v="Administration"/>
    <s v=""/>
    <s v=""/>
    <s v="Non Technical Support"/>
    <s v="Human Resources Management"/>
    <s v="Human Resources Management"/>
    <s v="73501001"/>
    <s v="Human Resources"/>
    <s v="Bhubaneswar"/>
    <d v="1982-10-21T00:00:00"/>
    <s v="40.10"/>
    <d v="2022-08-16T00:00:00"/>
    <d v="2040-10-31T00:00:00"/>
    <m/>
    <d v="2040-10-31T00:00:00"/>
    <n v="6251"/>
    <s v="A+"/>
    <s v="MBA-2013 , MSc-2005 , BSc-2003 , Interme"/>
    <s v="16.08"/>
    <s v="01.01"/>
    <s v="17.08"/>
    <s v="70238103"/>
    <s v="Odisha - Admin &amp; Industrial Relations"/>
    <s v="286859"/>
    <s v="Head-Administration"/>
    <s v="Odisha"/>
    <s v="0090000018"/>
    <s v="CORP Group - HR"/>
    <s v="2000STORIS"/>
    <s v="20000083"/>
    <s v="Anil Matoo"/>
    <s v="No"/>
    <s v="bibhash.mohanty@amns.in"/>
    <s v="9988881680"/>
    <s v="1008371"/>
    <s v="Sunila Das"/>
    <s v="Anil Matoo"/>
    <s v="Praveen Kuruvalli"/>
    <s v="Sunila Das"/>
    <n v="0"/>
  </r>
  <r>
    <n v="5217"/>
    <n v="20057334"/>
    <s v="Ranvir Hude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Commercial"/>
    <s v="Stores &amp; Warehouse"/>
    <s v="73806001"/>
    <s v="Stores &amp; Warehouse"/>
    <s v="Hazira"/>
    <d v="1999-07-25T00:00:00"/>
    <s v="24.01"/>
    <d v="2022-08-17T00:00:00"/>
    <d v="2057-07-31T00:00:00"/>
    <m/>
    <d v="2057-07-31T00:00:00"/>
    <n v="12368"/>
    <s v=""/>
    <s v="Diploma-2018"/>
    <s v=""/>
    <s v="01.01"/>
    <s v="01.01"/>
    <s v="00053277"/>
    <s v="Receipts &amp; Unloading - Plant B"/>
    <s v="286918"/>
    <s v="Engineer"/>
    <s v="Hazira"/>
    <s v="0031950049"/>
    <s v="HZ-Central Stores"/>
    <s v="2012HAZI"/>
    <s v="20003180"/>
    <s v="Bhikhubhai Ahir"/>
    <s v="No"/>
    <s v="ranvir.hude@amns.in"/>
    <s v="9879101355"/>
    <s v="26209"/>
    <s v="Dhruv Vyas"/>
    <s v="Anil Matoo"/>
    <s v="Praveen Kuruvalli"/>
    <s v="Dhruv Vyas"/>
    <n v="0"/>
  </r>
  <r>
    <n v="5246"/>
    <n v="20057366"/>
    <s v="Ashirbad Parida"/>
    <s v="AM/NS India"/>
    <s v="Onroll"/>
    <s v="M-7"/>
    <n v="7"/>
    <m/>
    <s v="MM"/>
    <s v="M"/>
    <s v="Hazira"/>
    <n v="1"/>
    <s v="2137"/>
    <x v="12"/>
    <s v="35.01"/>
    <s v="Hrishikesh Kamat"/>
    <s v="Hrishikesh Kamat"/>
    <n v="7"/>
    <s v="Procurement"/>
    <s v="Land Acquisition"/>
    <s v="35"/>
    <s v="Sr. Lead - Land Acquisition"/>
    <m/>
    <s v="Land Acquisition"/>
    <s v=""/>
    <s v=""/>
    <s v="Non Technical Support"/>
    <s v="Corporate Relations"/>
    <s v="Corporate Affairs"/>
    <s v="74501001"/>
    <s v="Corporate Affairs"/>
    <s v="AM/NS Hazira"/>
    <d v="1980-11-10T00:00:00"/>
    <s v="42.10"/>
    <d v="2022-08-16T00:00:00"/>
    <d v="2038-11-30T00:00:00"/>
    <m/>
    <d v="2038-11-30T00:00:00"/>
    <n v="5550"/>
    <s v="O+"/>
    <s v="MBA-2021 , MTech-2007 , BE-2003 , Interm"/>
    <s v="12.10"/>
    <s v="01.01"/>
    <s v="13.11"/>
    <s v="70494938"/>
    <s v="Corporate Affairs"/>
    <s v="287129"/>
    <s v="Sr. Lead - Land Matters"/>
    <s v="Hazira"/>
    <s v="0090000021"/>
    <s v="Corporate Affairs"/>
    <s v="2000HWO"/>
    <s v="20057928"/>
    <s v="Manu Kapoor"/>
    <s v="No"/>
    <s v="ashirbad.parida@amns.in"/>
    <s v="7486014232"/>
    <s v="1008459"/>
    <s v="Dhruv Vyas"/>
    <s v="Anil Matoo"/>
    <s v="Praveen Kuruvalli"/>
    <s v="Dhruv Vyas"/>
    <n v="0"/>
  </r>
  <r>
    <n v="5247"/>
    <n v="20057367"/>
    <s v="Abhishek Verma"/>
    <s v="AM/NS India"/>
    <s v="Onroll"/>
    <s v="M-7"/>
    <n v="7"/>
    <m/>
    <s v="MM"/>
    <s v="M"/>
    <s v="Corporate"/>
    <n v="7"/>
    <s v="2260"/>
    <x v="5"/>
    <s v="01.01"/>
    <s v="Dilip Oommen"/>
    <s v="Dilip Oommen"/>
    <n v="1"/>
    <s v="CEO Office"/>
    <s v="CEO Office"/>
    <s v="01"/>
    <s v="Executive Assistant to CEO"/>
    <m/>
    <s v="CEO Office"/>
    <s v="CEO Office"/>
    <s v=""/>
    <s v="Non Technical Support"/>
    <s v="Operations"/>
    <s v="Operations"/>
    <s v="72103001"/>
    <s v="Operations"/>
    <s v="Mumbai"/>
    <d v="1987-04-04T00:00:00"/>
    <s v="36.05"/>
    <d v="2022-08-22T00:00:00"/>
    <d v="2045-04-30T00:00:00"/>
    <m/>
    <d v="2045-04-30T00:00:00"/>
    <n v="7893"/>
    <s v="B+"/>
    <s v="Post Diploma Course-2019 , Intermediate-"/>
    <s v="03.08"/>
    <s v="01.00"/>
    <s v="04.09"/>
    <s v="00046538"/>
    <s v="Project Monitoring"/>
    <s v="287169"/>
    <s v="Executive Assistant to CEO"/>
    <s v="Corporate"/>
    <s v="0090000022"/>
    <s v="Business Strategy"/>
    <s v="2000CS"/>
    <s v="20049281"/>
    <s v="Raveena Dhoot"/>
    <s v="No"/>
    <s v="abhishek.verma@amns.in"/>
    <s v="7992309055"/>
    <s v="1008565"/>
    <s v="Dhruv Vyas"/>
    <s v="Anil Matoo"/>
    <s v="Praveen Kuruvalli"/>
    <s v="Dhruv Vyas"/>
    <n v="0"/>
  </r>
  <r>
    <n v="5248"/>
    <n v="20057368"/>
    <s v="Ajay Sahan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Accounts Payable Capex"/>
    <m/>
    <s v=""/>
    <s v=""/>
    <s v=""/>
    <s v="Non Technical Support"/>
    <s v=""/>
    <s v=""/>
    <s v=""/>
    <s v=""/>
    <s v="AM/NS Hazira"/>
    <d v="1988-05-19T00:00:00"/>
    <s v="35.04"/>
    <d v="2022-08-22T00:00:00"/>
    <d v="2046-05-31T00:00:00"/>
    <m/>
    <d v="2046-05-31T00:00:00"/>
    <n v="8289"/>
    <s v="O-"/>
    <s v="CA Final-2012 , BCom-2008 , Intermediate"/>
    <s v="45.02"/>
    <s v="01.00"/>
    <s v="46.02"/>
    <s v="00048363"/>
    <s v="AP Capex, F&amp;A"/>
    <s v="287303"/>
    <s v="Lead Accounts Payable Capex"/>
    <s v="Hazira"/>
    <s v="0031950045"/>
    <s v="HZ-Works Accounts-Ha"/>
    <s v="2000HWO"/>
    <s v="20057378"/>
    <s v="Ravi Seth"/>
    <s v="No"/>
    <s v="ajay.sahani@amns.in"/>
    <s v="6358915428"/>
    <s v="1009101"/>
    <s v="Dhruv Vyas"/>
    <s v="Anil Matoo"/>
    <s v="Praveen Kuruvalli"/>
    <s v="Dhruv Vyas"/>
    <n v="0"/>
  </r>
  <r>
    <n v="5255"/>
    <n v="20057376"/>
    <s v="Abhishek Das"/>
    <s v="AM/NS India"/>
    <s v="Onroll"/>
    <s v="M-7"/>
    <n v="7"/>
    <m/>
    <s v="MM"/>
    <s v="M"/>
    <s v="Odisha"/>
    <n v="2"/>
    <s v="2069"/>
    <x v="8"/>
    <s v="25.01"/>
    <s v="Bibek Chattopadhyay"/>
    <s v="Ashutosh Telang"/>
    <n v="6"/>
    <s v="HR &amp; Administration"/>
    <s v="Corporate Communications"/>
    <s v="25"/>
    <s v="Lead - Corporate Communication"/>
    <m/>
    <s v="Corporate Communication"/>
    <s v="Corporate Communication"/>
    <s v="Corporate Communication"/>
    <s v="Non Technical Support"/>
    <s v="Corporate Communication"/>
    <s v="Corporate Communication"/>
    <s v="74001001"/>
    <s v="Corporate Communication"/>
    <s v="Bhubaneswar"/>
    <d v="1988-11-04T00:00:00"/>
    <s v="34.10"/>
    <d v="2022-08-16T00:00:00"/>
    <d v="2046-11-30T00:00:00"/>
    <m/>
    <d v="2046-11-30T00:00:00"/>
    <n v="8472"/>
    <s v="O+"/>
    <s v="PG Diploma in Management-2021 , PG Diplo"/>
    <s v="08.11"/>
    <s v="01.01"/>
    <s v="10.00"/>
    <s v="00046762"/>
    <s v="Communiation &amp; Media Relations Odisha"/>
    <s v="287392"/>
    <s v="Lead – Corporate"/>
    <s v="Odisha"/>
    <s v="0090000016"/>
    <s v="Corporate Steel - Co"/>
    <s v="2000STORIS"/>
    <s v="20056246"/>
    <s v="Soumitra Patnaik"/>
    <s v="No"/>
    <s v="abhishek.das1@amns.in"/>
    <s v="9040094965"/>
    <s v="1009463"/>
    <s v="Sunila Das"/>
    <s v="Anil Matoo"/>
    <s v="Praveen Kuruvalli"/>
    <s v="Sunila Das"/>
    <n v="0"/>
  </r>
  <r>
    <n v="5257"/>
    <n v="20057378"/>
    <s v="Ravi Seth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 - Accounts Payable (Capex Projects)"/>
    <m/>
    <s v="Finance &amp; Accounts"/>
    <s v=""/>
    <s v=""/>
    <s v="Non Technical Support"/>
    <s v="Projects"/>
    <s v="Projects Coordination"/>
    <s v="72103038"/>
    <s v="Projects Coordination"/>
    <s v="AM/NS Hazira"/>
    <d v="1971-08-15T00:00:00"/>
    <s v="52.01"/>
    <d v="2022-09-01T00:00:00"/>
    <d v="2029-08-31T00:00:00"/>
    <m/>
    <d v="2029-08-31T00:00:00"/>
    <n v="2172"/>
    <s v="B-"/>
    <s v="MBA-2004 , MCom-1997 , BCom-1992 , Inter"/>
    <s v="24.07"/>
    <s v="01.00"/>
    <s v="25.07"/>
    <s v="00048363"/>
    <s v="AP Capex, F&amp;A"/>
    <s v="273300"/>
    <s v="Head - Accounts Payable (Capex Projects)"/>
    <s v="Hazira"/>
    <s v="0090000028"/>
    <s v="Corporate Steel - Wo"/>
    <s v="2000HWO"/>
    <s v="20055188"/>
    <s v="Rohit Sharma"/>
    <s v="No"/>
    <s v="ravi.seth@amns.in"/>
    <s v="9819597117"/>
    <s v="1010691"/>
    <s v="Dhruv Vyas"/>
    <s v="Anil Matoo"/>
    <s v="Praveen Kuruvalli"/>
    <s v="Dhruv Vyas"/>
    <n v="0"/>
  </r>
  <r>
    <n v="5258"/>
    <n v="20057379"/>
    <s v="Rahul Gupta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- Capex Procurement"/>
    <m/>
    <s v="Capex Procurement"/>
    <s v=""/>
    <s v=""/>
    <s v="Non Technical Support"/>
    <s v="Operations"/>
    <s v="Operations"/>
    <s v="72103001"/>
    <s v="Operations"/>
    <s v="Hazira"/>
    <d v="1994-03-26T00:00:00"/>
    <s v="29.05"/>
    <d v="2022-09-01T00:00:00"/>
    <d v="2052-03-31T00:00:00"/>
    <m/>
    <d v="2052-03-31T00:00:00"/>
    <n v="10420"/>
    <s v="B+"/>
    <s v="BTech-2017 , Intermediate-2012 , Interme"/>
    <s v="02.08"/>
    <s v="01.00"/>
    <s v="03.08"/>
    <s v="00049344"/>
    <s v="Capex Procurement"/>
    <s v="256012"/>
    <s v="Officer - Capex Procurement"/>
    <s v="Hazira"/>
    <s v="0031950059"/>
    <s v="HZ-Hazira Project"/>
    <s v="2000HWO"/>
    <s v="20055728"/>
    <s v="Mahebub Vahora"/>
    <s v="No"/>
    <s v="rahul.gupta1@amns.in"/>
    <s v="7209804673"/>
    <s v="1010692"/>
    <s v="Dhruv Vyas"/>
    <s v="Anil Matoo"/>
    <s v="Praveen Kuruvalli"/>
    <s v="Dhruv Vyas"/>
    <n v="0"/>
  </r>
  <r>
    <n v="5259"/>
    <n v="20057380"/>
    <s v="Vivek Gupta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ales Manager - Export Sales"/>
    <m/>
    <s v="Export"/>
    <s v="Export"/>
    <s v=""/>
    <s v="Non Technical Support"/>
    <s v="Sales &amp; Marketing"/>
    <s v="Sales &amp; Marketing"/>
    <s v="73101001"/>
    <s v="Sales &amp; Marketing"/>
    <s v="Mumbai"/>
    <d v="1988-09-14T00:00:00"/>
    <s v="35.00"/>
    <d v="2022-09-01T00:00:00"/>
    <d v="2046-09-30T00:00:00"/>
    <m/>
    <d v="2046-09-30T00:00:00"/>
    <n v="8411"/>
    <s v="A+"/>
    <s v="MS-2013 , BSc-2011 , Intermediate-2007 ,"/>
    <s v="04.04"/>
    <s v="01.00"/>
    <s v="05.04"/>
    <s v="70495379"/>
    <s v="Chief Marketing Officer - AMNS ME FZE"/>
    <s v="70495032"/>
    <s v="KAM - Export Sales"/>
    <s v="Corporate"/>
    <s v="0031950057"/>
    <s v="HZ-HRC - Marketing"/>
    <s v="2000CS"/>
    <s v="20055663"/>
    <s v="Karamath Syed"/>
    <s v="No"/>
    <s v="vivek.gupta@amns.in"/>
    <s v="9987607600"/>
    <s v="1010693"/>
    <s v="Dhruv Vyas"/>
    <s v="Anil Matoo"/>
    <s v="Praveen Kuruvalli"/>
    <s v="Dhruv Vyas"/>
    <n v="0"/>
  </r>
  <r>
    <n v="5260"/>
    <n v="20057381"/>
    <s v="Nitin Lokhande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West"/>
    <s v="Hypermart"/>
    <s v=""/>
    <s v="Non Technical Support"/>
    <s v="Sales &amp; Marketing"/>
    <s v="Sales"/>
    <s v="73104004"/>
    <s v="OEM Sales"/>
    <s v="Ahmedabad"/>
    <d v="1977-04-05T00:00:00"/>
    <s v="46.05"/>
    <d v="2022-09-01T00:00:00"/>
    <d v="2035-04-30T00:00:00"/>
    <m/>
    <d v="2035-04-30T00:00:00"/>
    <n v="4240"/>
    <s v="B+"/>
    <s v="PG Diploma in Management-2009 , Diploma-"/>
    <s v="23.01"/>
    <s v="01.00"/>
    <s v="24.01"/>
    <s v="70394840"/>
    <s v="OEM Sales - Gujarat"/>
    <s v="273362"/>
    <s v="Sales Manager - Hypermart"/>
    <s v="Hazira"/>
    <s v="0060110300"/>
    <s v="HMART-Guj-Ahemedabad"/>
    <s v="2000HWO"/>
    <s v="20001736"/>
    <s v="Manoranjan Jagdhari"/>
    <s v="No"/>
    <s v="nitin.lokhande@amns.in"/>
    <s v="9998815775"/>
    <s v="25564"/>
    <s v="Dhruv Vyas"/>
    <s v="Anil Matoo"/>
    <s v="Praveen Kuruvalli"/>
    <s v="Dhruv Vyas"/>
    <n v="0"/>
  </r>
  <r>
    <n v="5261"/>
    <n v="20057382"/>
    <s v="Naga Sunil Kumar Reddy Kodidala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South"/>
    <s v="Hypermart"/>
    <s v=""/>
    <s v="Non Technical Support"/>
    <s v="Sales &amp; Marketing"/>
    <s v="Sales"/>
    <s v="73104004"/>
    <s v="OEM Sales"/>
    <s v="Hyderabad"/>
    <d v="1980-06-23T00:00:00"/>
    <s v="43.02"/>
    <d v="2022-09-01T00:00:00"/>
    <d v="2038-06-30T00:00:00"/>
    <m/>
    <d v="2038-06-30T00:00:00"/>
    <n v="5397"/>
    <s v="O+"/>
    <s v="MBA-2006 , BSc-2001 , Intermediate-1997"/>
    <s v="11.05"/>
    <s v="01.00"/>
    <s v="12.05"/>
    <s v="00048814"/>
    <s v="Sales South Zone – Hypermart"/>
    <s v="273363"/>
    <s v="Sales Manager - Hypermart"/>
    <s v="Hazira"/>
    <s v="0060140600"/>
    <s v="HMART-Tela-Secundrab"/>
    <s v="2000HWO"/>
    <s v="20056279"/>
    <s v="Arun G"/>
    <s v="No"/>
    <s v="kn.reddy@amns.in"/>
    <s v="9885057067"/>
    <s v="1010810"/>
    <s v="Dhruv Vyas"/>
    <s v="Anil Matoo"/>
    <s v="Praveen Kuruvalli"/>
    <s v="Dhruv Vyas"/>
    <n v="0"/>
  </r>
  <r>
    <n v="5262"/>
    <n v="20057383"/>
    <s v="Nikhil Kumar"/>
    <s v="AM/NS India"/>
    <s v="Onroll"/>
    <s v="M-10"/>
    <n v="10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Officer - Secondary Sales"/>
    <m/>
    <s v="Secondary Sales"/>
    <s v=""/>
    <s v=""/>
    <s v="Non Technical Support"/>
    <s v="Operations"/>
    <s v="Operations"/>
    <s v="72103001"/>
    <s v="Operations"/>
    <s v="Hazira"/>
    <d v="1995-12-06T00:00:00"/>
    <s v="27.09"/>
    <d v="2022-09-05T00:00:00"/>
    <d v="2053-12-31T00:00:00"/>
    <m/>
    <d v="2053-12-31T00:00:00"/>
    <n v="11060"/>
    <s v="B+"/>
    <s v="BCom-2021 , Intermediate-2018 , Diploma-"/>
    <s v="07.00"/>
    <s v="01.00"/>
    <s v="08.00"/>
    <s v="00049357"/>
    <s v="Secondary Sales"/>
    <s v="288088"/>
    <s v="Officer - Secondary Sales"/>
    <s v="Hazira"/>
    <s v="0031950059"/>
    <s v="HZ-Hazira Project"/>
    <s v="2000HWO"/>
    <s v="20055763"/>
    <s v="Debashis Mohapatra"/>
    <s v="No"/>
    <s v="nikhil.kumar@amns.in"/>
    <s v="7970878773"/>
    <s v="1011053"/>
    <s v="Dhruv Vyas"/>
    <s v="Anil Matoo"/>
    <s v="Praveen Kuruvalli"/>
    <s v="Dhruv Vyas"/>
    <n v="0"/>
  </r>
  <r>
    <n v="5263"/>
    <n v="20057384"/>
    <s v="Sunil Beniwal"/>
    <s v="AM/NS India"/>
    <s v="Onroll"/>
    <s v="M-6"/>
    <n v="6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RO Development Manager – Hypermart"/>
    <m/>
    <s v="Hypermart"/>
    <s v="Hypermart"/>
    <s v=""/>
    <s v="Non Technical Support"/>
    <s v="Sales &amp; Marketing"/>
    <s v="Sales"/>
    <s v="73104004"/>
    <s v="OEM Sales"/>
    <s v="Pune"/>
    <d v="1983-08-02T00:00:00"/>
    <s v="40.01"/>
    <d v="2022-09-06T00:00:00"/>
    <d v="2041-08-31T00:00:00"/>
    <m/>
    <d v="2041-08-31T00:00:00"/>
    <n v="6555"/>
    <s v="B+"/>
    <s v="MBA-2019 , PG Diploma in Management-2012"/>
    <s v="06.02"/>
    <s v="01.00"/>
    <s v="07.02"/>
    <s v="72150154"/>
    <s v="HyperMart"/>
    <s v="288093"/>
    <s v="RO Development Manager – Hypermart"/>
    <s v="Hypermart"/>
    <s v="0060100004"/>
    <s v="HMART-HR/Admin Expen"/>
    <s v="2000SRET"/>
    <s v="20006236"/>
    <s v="Sanjay Vaid"/>
    <s v="No"/>
    <s v="sunil.beniwal@amns.in"/>
    <s v="9987267072"/>
    <s v="1011062"/>
    <s v="Dhruv Vyas"/>
    <s v="Anil Matoo"/>
    <s v="Praveen Kuruvalli"/>
    <s v="Dhruv Vyas"/>
    <n v="0"/>
  </r>
  <r>
    <n v="5289"/>
    <n v="20057412"/>
    <s v="Manish Kumar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- Capex Procurement"/>
    <m/>
    <s v="Capex Procurement"/>
    <s v=""/>
    <s v=""/>
    <s v="Non Technical Support"/>
    <s v="Operations"/>
    <s v="Operations"/>
    <s v="72103001"/>
    <s v="Operations"/>
    <s v="Hazira"/>
    <d v="1986-03-05T00:00:00"/>
    <s v="37.06"/>
    <d v="2022-09-12T00:00:00"/>
    <d v="2044-03-31T00:00:00"/>
    <m/>
    <d v="2044-03-31T00:00:00"/>
    <n v="7498"/>
    <s v="B+"/>
    <s v="PG Diploma in Management-2022 , BTech-20"/>
    <s v="11.01"/>
    <s v="01.00"/>
    <s v="12.01"/>
    <s v="00049360"/>
    <s v="Capex Services"/>
    <s v="288525"/>
    <s v="Lead - Capex Procurement"/>
    <s v="Hazira"/>
    <s v="0031950059"/>
    <s v="HZ-Hazira Project"/>
    <s v="2000HWO"/>
    <s v="20055727"/>
    <s v="Javed Akhtar"/>
    <s v="No"/>
    <s v="manish.kumar3@amns.in"/>
    <s v="6358915526"/>
    <s v="1012067"/>
    <s v="Dhruv Vyas"/>
    <s v="Anil Matoo"/>
    <s v="Praveen Kuruvalli"/>
    <s v="Dhruv Vyas"/>
    <n v="0"/>
  </r>
  <r>
    <n v="5290"/>
    <n v="20057413"/>
    <s v="Vipin Toshniwal"/>
    <s v="AM/NS India"/>
    <s v="Onroll"/>
    <s v="M-6"/>
    <n v="6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Head  Expediting"/>
    <m/>
    <s v="Capex Procurement"/>
    <s v=""/>
    <s v=""/>
    <s v="Non Technical Support"/>
    <s v="Operations"/>
    <s v="Operations"/>
    <s v="72103001"/>
    <s v="Operations"/>
    <s v="Hazira"/>
    <d v="1978-02-16T00:00:00"/>
    <s v="45.07"/>
    <d v="2022-09-06T00:00:00"/>
    <d v="2036-02-29T00:00:00"/>
    <m/>
    <d v="2036-02-29T00:00:00"/>
    <n v="4545"/>
    <s v="AB+"/>
    <s v="MBA-2007 , BE-2001 , Intermediate-1996 ,"/>
    <s v="07.07"/>
    <s v="01.00"/>
    <s v="08.07"/>
    <s v="00049335"/>
    <s v="Capex Procurement - Expediting"/>
    <s v="288520"/>
    <s v="Head  Expediting"/>
    <s v="Hazira"/>
    <s v="0031950059"/>
    <s v="HZ-Hazira Project"/>
    <s v="2000HWO"/>
    <s v="20052261"/>
    <s v="Aruni Mishra"/>
    <s v="No"/>
    <s v="vipin.toshniwal@amns.in"/>
    <s v="7224058362"/>
    <s v="1012075"/>
    <s v="Dhruv Vyas"/>
    <s v="Anil Matoo"/>
    <s v="Praveen Kuruvalli"/>
    <s v="Dhruv Vyas"/>
    <n v="0"/>
  </r>
  <r>
    <n v="5302"/>
    <n v="20057425"/>
    <s v="Vikram ."/>
    <s v="AM/NS India"/>
    <s v="Onroll"/>
    <s v="M-9"/>
    <n v="9"/>
    <m/>
    <s v="J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1"/>
    <s v="Human Resources"/>
    <s v="Bahadurgarh"/>
    <d v="1989-12-20T00:00:00"/>
    <s v="33.09"/>
    <d v="2022-09-15T00:00:00"/>
    <d v="2047-12-31T00:00:00"/>
    <m/>
    <d v="2047-12-31T00:00:00"/>
    <n v="8868"/>
    <s v="A+"/>
    <s v="MBA-2011 , Intermediate-2006 , Intermedi"/>
    <s v="04.04"/>
    <s v="01.00"/>
    <s v="05.03"/>
    <s v="00044376"/>
    <s v="Service Center &amp; Hypermart HR"/>
    <s v="256952"/>
    <s v="Lead - Human Resources"/>
    <s v="Service Center"/>
    <s v="0040050019"/>
    <s v="SC-Bahadurgarh-Op1-C"/>
    <s v="2000SPRJ"/>
    <s v="20057135"/>
    <s v="RAHUL RAJ"/>
    <s v="No"/>
    <s v="vikram.singh@amns.in"/>
    <s v="9813016565"/>
    <s v="1013048"/>
    <s v="Dhruv Vyas"/>
    <s v="Anil Matoo"/>
    <s v="Praveen Kuruvalli"/>
    <s v="Dhruv Vyas"/>
    <n v="0"/>
  </r>
  <r>
    <n v="5303"/>
    <n v="20057427"/>
    <s v="Sherryl John"/>
    <s v="AM/NS India"/>
    <s v="Onroll"/>
    <s v="M-9"/>
    <n v="9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Compensation and Benefits Analyst"/>
    <m/>
    <s v="Human Resources"/>
    <s v=""/>
    <s v=""/>
    <s v="Non Technical Support"/>
    <s v="Human Resources Management"/>
    <s v="Human Resources Management"/>
    <s v="73501001"/>
    <s v="Human Resources"/>
    <s v="Mumbai"/>
    <d v="1990-01-18T00:00:00"/>
    <s v="33.08"/>
    <d v="2022-09-19T00:00:00"/>
    <d v="2048-01-31T00:00:00"/>
    <m/>
    <d v="2048-01-31T00:00:00"/>
    <n v="8899"/>
    <s v="O+"/>
    <s v="MBA-2016 , Intermediate-2006 , Intermedi"/>
    <s v="05.06"/>
    <s v="01.00"/>
    <s v="06.06"/>
    <s v="00044377"/>
    <s v="Compensation &amp; Benefits"/>
    <s v="289171"/>
    <s v="Compensation and Benefits Analyst"/>
    <s v="Corporate"/>
    <s v="0031950061"/>
    <s v="HZ-Human Resource"/>
    <s v="2000CS"/>
    <s v="20055672"/>
    <s v="Shailja Tripathi"/>
    <s v="No"/>
    <s v="sherryl.john@amns.in"/>
    <s v="9892191061"/>
    <s v="1013179"/>
    <s v="Dhruv Vyas"/>
    <s v="Anil Matoo"/>
    <s v="Praveen Kuruvalli"/>
    <s v="Dhruv Vyas"/>
    <n v="0"/>
  </r>
  <r>
    <n v="5331"/>
    <n v="20057461"/>
    <s v="Adelbert Fernandes"/>
    <s v="AM/NS India"/>
    <s v="Onroll"/>
    <s v="M-7"/>
    <n v="7"/>
    <m/>
    <s v="MM"/>
    <s v="M"/>
    <s v="Corporate"/>
    <n v="7"/>
    <s v="2015"/>
    <x v="1"/>
    <s v="22.06"/>
    <s v="Praveen Kuruvalli"/>
    <s v="Ashutosh Telang"/>
    <n v="6"/>
    <s v="HR &amp; Administration"/>
    <s v="Human Resources"/>
    <s v="22"/>
    <s v="Lead HRIS &amp; HR Project Coordination"/>
    <m/>
    <s v="Human Resources"/>
    <s v=""/>
    <s v=""/>
    <s v="Non Technical Support"/>
    <s v="Human Resources Management"/>
    <s v="Human Resources Management"/>
    <s v="73501001"/>
    <s v="Human Resources"/>
    <s v="Mumbai"/>
    <d v="1985-02-02T00:00:00"/>
    <s v="38.07"/>
    <d v="2022-09-26T00:00:00"/>
    <d v="2043-02-28T00:00:00"/>
    <m/>
    <d v="2043-02-28T00:00:00"/>
    <n v="7101"/>
    <s v="O+"/>
    <s v="MBA-2008 , Diploma-2007 , BSc-2005 , Int"/>
    <s v="04.04"/>
    <s v="00.11"/>
    <s v="05.04"/>
    <s v="70242278"/>
    <s v="People Strategy &amp; HR Center Excellence"/>
    <s v="289629"/>
    <s v="Lead HRIS &amp; HR Project Coordination"/>
    <s v="Corporate"/>
    <s v="0031950061"/>
    <s v="HZ-Human Resource"/>
    <s v="2000CS"/>
    <s v="20055483"/>
    <s v="Praveen Kuruvalli"/>
    <s v="No"/>
    <s v="adelbert.fernandes@amns.in"/>
    <s v="9833012184"/>
    <s v="1014477"/>
    <s v="Dhruv Vyas"/>
    <s v="Anil Matoo"/>
    <s v="Praveen Kuruvalli"/>
    <s v="Dhruv Vyas"/>
    <n v="0"/>
  </r>
  <r>
    <n v="5334"/>
    <n v="20057464"/>
    <s v="Bidhan Barik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Indirect Tax"/>
    <m/>
    <s v="Finance &amp; Accounts"/>
    <s v=""/>
    <s v=""/>
    <s v="Non Technical Support"/>
    <s v="Finance &amp; Accounts"/>
    <s v="Taxation"/>
    <s v="73904002"/>
    <s v="Indirect Taxation"/>
    <s v="AM/NS Hazira"/>
    <d v="1985-01-03T00:00:00"/>
    <s v="38.08"/>
    <d v="2022-09-29T00:00:00"/>
    <d v="2043-01-31T00:00:00"/>
    <m/>
    <d v="2043-01-31T00:00:00"/>
    <n v="7073"/>
    <s v="A+"/>
    <s v="CA Final-2011 , ICWA Inter-2009 , BCom-2"/>
    <s v="09.03"/>
    <s v="00.11"/>
    <s v="10.02"/>
    <s v="70282653"/>
    <s v="GST"/>
    <s v="70386152"/>
    <s v="Officer - Indirect Tax"/>
    <s v="Hazira"/>
    <s v="0090000033"/>
    <s v="Corporate Taxation"/>
    <s v="2000HWO"/>
    <s v="20055962"/>
    <s v="Navin Kewalramani"/>
    <s v="No"/>
    <s v="bidhan.barik@amns.in"/>
    <s v="8652674108"/>
    <s v="1014916"/>
    <s v="Dhruv Vyas"/>
    <s v="Anil Matoo"/>
    <s v="Praveen Kuruvalli"/>
    <s v="Dhruv Vyas"/>
    <n v="0"/>
  </r>
  <r>
    <n v="5335"/>
    <n v="20057465"/>
    <s v="Nikhitha John"/>
    <s v="AM/NS India"/>
    <s v="Onroll"/>
    <s v="M-11"/>
    <n v="11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Performance Management"/>
    <m/>
    <s v="Finance &amp; Accounts"/>
    <s v=""/>
    <s v=""/>
    <s v="Non Technical Support"/>
    <s v="Finance &amp; Accounts"/>
    <s v="Costing"/>
    <s v="73906001"/>
    <s v="Costing"/>
    <s v="AM/NS Hazira"/>
    <d v="1998-10-06T00:00:00"/>
    <s v="24.11"/>
    <d v="2022-09-22T00:00:00"/>
    <d v="2056-10-31T00:00:00"/>
    <m/>
    <d v="2056-10-31T00:00:00"/>
    <n v="12095"/>
    <s v="A+"/>
    <s v="MCom-2021 , BCom-2019 , Intermediate-201"/>
    <s v="00.06"/>
    <s v="00.11"/>
    <s v="01.06"/>
    <s v="00045632"/>
    <s v="Costing &amp; Budgeting"/>
    <s v="273302"/>
    <s v="Officer - Performance Management"/>
    <s v="Hazira"/>
    <s v="0031950043"/>
    <s v="HZ-Performance Manag"/>
    <s v="2000HWO"/>
    <s v="20056146"/>
    <s v="Asvinbhai Sutarsandhiya"/>
    <s v="No"/>
    <s v="nikhitha.john2@amns.in"/>
    <s v="7977531146"/>
    <s v="884555"/>
    <s v="Dhruv Vyas"/>
    <s v="Anil Matoo"/>
    <s v="Praveen Kuruvalli"/>
    <s v="Dhruv Vyas"/>
    <n v="0"/>
  </r>
  <r>
    <n v="5336"/>
    <n v="20057466"/>
    <s v="Ravi Baswa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Indirect Tax"/>
    <m/>
    <s v="inance &amp; Accounts"/>
    <s v=""/>
    <s v=""/>
    <s v="Non Technical Support"/>
    <s v="Finance &amp; Accounts"/>
    <s v="Costing"/>
    <s v="73906001"/>
    <s v="Costing"/>
    <s v="AM/NS Hazira"/>
    <d v="1985-10-27T00:00:00"/>
    <s v="37.10"/>
    <d v="2022-09-26T00:00:00"/>
    <d v="2043-10-31T00:00:00"/>
    <m/>
    <d v="2043-10-31T00:00:00"/>
    <n v="7346"/>
    <s v="O+"/>
    <s v="MCom-2009 , BCom-2006 , Intermediate-200"/>
    <s v="07.09"/>
    <s v="00.11"/>
    <s v="08.08"/>
    <s v="70282653"/>
    <s v="GST"/>
    <s v="273303"/>
    <s v="Officer - Indirect Tax"/>
    <s v="Hazira"/>
    <s v="0090000033"/>
    <s v="Corporate Taxation"/>
    <s v="2000HWO"/>
    <s v="20015864"/>
    <s v="Mayank Desai"/>
    <s v="No"/>
    <s v="ravi.baswa@amns.in"/>
    <s v="9913131111"/>
    <s v="1014963"/>
    <s v="Dhruv Vyas"/>
    <s v="Anil Matoo"/>
    <s v="Praveen Kuruvalli"/>
    <s v="Dhruv Vyas"/>
    <n v="0"/>
  </r>
  <r>
    <n v="5342"/>
    <n v="20057472"/>
    <s v="Nicky Rajan"/>
    <s v="AM/NS India"/>
    <s v="Onroll"/>
    <s v="M-9"/>
    <n v="9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Officer - Direct Taxation"/>
    <m/>
    <s v=""/>
    <s v=""/>
    <s v=""/>
    <s v="Non Technical Support"/>
    <s v=""/>
    <s v=""/>
    <s v="70494642"/>
    <s v="Deputy Director"/>
    <s v="Mumbai"/>
    <d v="1997-05-10T00:00:00"/>
    <s v="26.04"/>
    <d v="2022-09-27T00:00:00"/>
    <d v="2055-05-31T00:00:00"/>
    <m/>
    <d v="2055-05-31T00:00:00"/>
    <n v="11576"/>
    <s v="A+"/>
    <s v="BCom-2018 , CA Final-2022"/>
    <s v=""/>
    <s v="00.11"/>
    <s v="00.11"/>
    <s v="00052148"/>
    <s v="Direct Tax"/>
    <s v="273459"/>
    <s v="Officer - Direct Taxation"/>
    <s v="Corporate"/>
    <s v="0090000033"/>
    <s v="Corporate Taxation"/>
    <s v="2000CS"/>
    <s v="20057473"/>
    <s v="Tarun Seksaria"/>
    <s v="No"/>
    <s v="nicky.rajan@amns.in"/>
    <s v="9930669224"/>
    <s v="1015471"/>
    <s v="Dhruv Vyas"/>
    <s v="Anil Matoo"/>
    <s v="Praveen Kuruvalli"/>
    <s v="Dhruv Vyas"/>
    <n v="0"/>
  </r>
  <r>
    <n v="5343"/>
    <n v="20057473"/>
    <s v="Tarun Seksaria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- Direct Tax"/>
    <m/>
    <s v=""/>
    <s v=""/>
    <s v=""/>
    <s v="Non Technical Support"/>
    <s v="Projects"/>
    <s v="Projects Coordination"/>
    <s v="72103038"/>
    <s v="Projects Coordination"/>
    <s v="Mumbai"/>
    <d v="1991-02-06T00:00:00"/>
    <s v="32.07"/>
    <d v="2022-09-28T00:00:00"/>
    <d v="2049-02-28T00:00:00"/>
    <m/>
    <d v="2049-02-28T00:00:00"/>
    <n v="9293"/>
    <s v="B+"/>
    <s v="BCom-2011 , CA Final-2011 , Intermediate"/>
    <s v="10.05"/>
    <s v="00.11"/>
    <s v="11.04"/>
    <s v="00052148"/>
    <s v="Direct Tax"/>
    <s v="273337"/>
    <s v="Sr. Lead - Direct Tax"/>
    <s v="Corporate"/>
    <s v="0090000033"/>
    <s v="Corporate Taxation"/>
    <s v="2000CS"/>
    <s v="20055494"/>
    <s v="Vikas Soni"/>
    <s v="No"/>
    <s v="tarun.seksaria@amns.in"/>
    <s v="9987299294"/>
    <s v="1015509"/>
    <s v="Dhruv Vyas"/>
    <s v="Anil Matoo"/>
    <s v="Praveen Kuruvalli"/>
    <s v="Dhruv Vyas"/>
    <n v="0"/>
  </r>
  <r>
    <n v="5356"/>
    <n v="20057488"/>
    <s v="Dhaval Patel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Treasury"/>
    <m/>
    <s v=""/>
    <s v=""/>
    <s v=""/>
    <s v="Non Technical Support"/>
    <s v="Finance &amp; Accounts"/>
    <s v="Treasury"/>
    <s v="73903001"/>
    <s v="Treasury"/>
    <s v="Hazira"/>
    <d v="1988-06-29T00:00:00"/>
    <s v="35.02"/>
    <d v="2022-09-30T00:00:00"/>
    <d v="2046-06-30T00:00:00"/>
    <m/>
    <d v="2046-06-30T00:00:00"/>
    <n v="8319"/>
    <s v="O+"/>
    <s v="MBA-2013 , BCom-2011 , Intermediate-2007"/>
    <s v="10.08"/>
    <s v="00.11"/>
    <s v="11.07"/>
    <s v="72150420"/>
    <s v="Treasury - Hazira"/>
    <s v="70386184"/>
    <s v="Lead - Treasury"/>
    <s v="Hazira"/>
    <s v="0031950045"/>
    <s v="HZ-Works Accounts-Ha"/>
    <s v="2000HWO"/>
    <s v="20001854"/>
    <s v="Arasappan Thirumaran"/>
    <s v="No"/>
    <s v="dhaval.patel30@amns.in"/>
    <s v="9879102154"/>
    <s v="1016451"/>
    <s v="Dhruv Vyas"/>
    <s v="Anil Matoo"/>
    <s v="Praveen Kuruvalli"/>
    <s v="Dhruv Vyas"/>
    <n v="0"/>
  </r>
  <r>
    <n v="5359"/>
    <n v="20057491"/>
    <s v="Miralkumar Patel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Officer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92-08-27T00:00:00"/>
    <s v="31.00"/>
    <d v="2022-09-30T00:00:00"/>
    <d v="2050-08-31T00:00:00"/>
    <m/>
    <d v="2050-08-31T00:00:00"/>
    <n v="9842"/>
    <s v="B+"/>
    <s v="MBA-2016 , BBA-2012 , Intermediate-2009"/>
    <s v="05.08"/>
    <s v="00.11"/>
    <s v="06.07"/>
    <s v="70385322"/>
    <s v="Sales Planning &amp; Administration"/>
    <s v="273377"/>
    <s v="Officer - Order Entry"/>
    <s v="Hazira"/>
    <s v="0080000001"/>
    <s v="Head-Marketing"/>
    <s v="2000HWO"/>
    <s v="20049554"/>
    <s v="Uttam Kumar"/>
    <s v="No"/>
    <s v="miral.patel2@amns.in"/>
    <s v="7383459549"/>
    <s v="25588"/>
    <s v="Dhruv Vyas"/>
    <s v="Anil Matoo"/>
    <s v="Praveen Kuruvalli"/>
    <s v="Dhruv Vyas"/>
    <n v="0"/>
  </r>
  <r>
    <n v="5360"/>
    <n v="20057492"/>
    <s v="Ankush Mane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78-05-01T00:00:00"/>
    <s v="45.04"/>
    <d v="2022-09-30T00:00:00"/>
    <d v="2036-04-30T00:00:00"/>
    <m/>
    <d v="2036-04-30T00:00:00"/>
    <n v="4606"/>
    <s v="B+"/>
    <s v="PG Diploma in Management-2009 , BCom-200"/>
    <s v="15.01"/>
    <s v="00.11"/>
    <s v="16.00"/>
    <s v="70385322"/>
    <s v="Sales Planning &amp; Administration"/>
    <s v="273379"/>
    <s v="Lead - Order Entry"/>
    <s v="Hazira"/>
    <s v="0080000001"/>
    <s v="Head-Marketing"/>
    <s v="2000HWO"/>
    <s v="20049554"/>
    <s v="Uttam Kumar"/>
    <s v="No"/>
    <s v="ankush.mane@amns.in"/>
    <s v="9167077780"/>
    <s v="1016548"/>
    <s v="Dhruv Vyas"/>
    <s v="Anil Matoo"/>
    <s v="Praveen Kuruvalli"/>
    <s v="Dhruv Vyas"/>
    <n v="0"/>
  </r>
  <r>
    <n v="5361"/>
    <n v="20057493"/>
    <s v="Hiteshkumar Patel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Officer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78-03-19T00:00:00"/>
    <s v="45.06"/>
    <d v="2022-09-30T00:00:00"/>
    <d v="2036-03-31T00:00:00"/>
    <m/>
    <d v="2036-03-31T00:00:00"/>
    <n v="4576"/>
    <s v="O+"/>
    <s v="BCom-1999 , Intermediate-1995 , Intermed"/>
    <s v="14.07"/>
    <s v="00.11"/>
    <s v="15.06"/>
    <s v="70385322"/>
    <s v="Sales Planning &amp; Administration"/>
    <s v="273376"/>
    <s v="Officer - Order Entry"/>
    <s v="Hazira"/>
    <s v="0080000001"/>
    <s v="Head-Marketing"/>
    <s v="2000HWO"/>
    <s v="20049554"/>
    <s v="Uttam Kumar"/>
    <s v="No"/>
    <s v="hitesh.patel31@amns.in"/>
    <s v="9925241175"/>
    <s v="25659"/>
    <s v="Dhruv Vyas"/>
    <s v="Anil Matoo"/>
    <s v="Praveen Kuruvalli"/>
    <s v="Dhruv Vyas"/>
    <n v="0"/>
  </r>
  <r>
    <n v="5362"/>
    <n v="20057494"/>
    <s v="Victor Manikindi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77-10-17T00:00:00"/>
    <s v="45.11"/>
    <d v="2022-09-30T00:00:00"/>
    <d v="2035-10-31T00:00:00"/>
    <m/>
    <d v="2035-10-31T00:00:00"/>
    <n v="4424"/>
    <s v="B+"/>
    <s v="Intermediate-1999 , Intermediate-1999"/>
    <s v="13.01"/>
    <s v="00.11"/>
    <s v="14.00"/>
    <s v="70385322"/>
    <s v="Sales Planning &amp; Administration"/>
    <s v="273380"/>
    <s v="Lead - Order Entry"/>
    <s v="Hazira"/>
    <s v="0080000001"/>
    <s v="Head-Marketing"/>
    <s v="2000HWO"/>
    <s v="20049554"/>
    <s v="Uttam Kumar"/>
    <s v="No"/>
    <s v="victor.manikindi@amns.in"/>
    <s v="9920092630"/>
    <s v="25376"/>
    <s v="Dhruv Vyas"/>
    <s v="Anil Matoo"/>
    <s v="Praveen Kuruvalli"/>
    <s v="Dhruv Vyas"/>
    <n v="0"/>
  </r>
  <r>
    <n v="5366"/>
    <n v="20057498"/>
    <s v="Hiteshbhai Patel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84-03-18T00:00:00"/>
    <s v="39.06"/>
    <d v="2022-09-30T00:00:00"/>
    <d v="2042-03-31T00:00:00"/>
    <m/>
    <d v="2042-03-31T00:00:00"/>
    <n v="6767"/>
    <s v="AB+"/>
    <s v="BCom-2004 , Intermediate-2001 , Intermed"/>
    <s v="12.01"/>
    <s v="00.11"/>
    <s v="13.00"/>
    <s v="70385322"/>
    <s v="Sales Planning &amp; Administration"/>
    <s v="273381"/>
    <s v="Lead - Order Entry"/>
    <s v="Hazira"/>
    <s v="0022010041"/>
    <s v="DBN-Benf-Purchases"/>
    <s v="2000HWO"/>
    <s v="20049554"/>
    <s v="Uttam Kumar"/>
    <s v="No"/>
    <s v="hitesh.patel15@amns.in"/>
    <s v="9879507129"/>
    <s v="25660"/>
    <s v="Dhruv Vyas"/>
    <s v="Anil Matoo"/>
    <s v="Praveen Kuruvalli"/>
    <s v="Dhruv Vyas"/>
    <n v="0"/>
  </r>
  <r>
    <n v="5367"/>
    <n v="20057499"/>
    <s v="Kushal Gandhi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Officer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90-10-09T00:00:00"/>
    <s v="32.11"/>
    <d v="2022-09-30T00:00:00"/>
    <d v="2048-10-31T00:00:00"/>
    <m/>
    <d v="2048-10-31T00:00:00"/>
    <n v="9173"/>
    <s v="A+"/>
    <s v="BE-2014 , Intermediate-2006 , Intermedia"/>
    <s v="05.03"/>
    <s v="00.11"/>
    <s v="06.02"/>
    <s v="70385322"/>
    <s v="Sales Planning &amp; Administration"/>
    <s v="273378"/>
    <s v="Officer - Order Entry"/>
    <s v="Hazira"/>
    <s v="0080000001"/>
    <s v="Head-Marketing"/>
    <s v="2000HWO"/>
    <s v="20049554"/>
    <s v="Uttam Kumar"/>
    <s v="No"/>
    <s v="kushal.gandhi@amns.in"/>
    <s v="7096286636"/>
    <s v="25616"/>
    <s v="Dhruv Vyas"/>
    <s v="Anil Matoo"/>
    <s v="Praveen Kuruvalli"/>
    <s v="Dhruv Vyas"/>
    <n v="0"/>
  </r>
  <r>
    <n v="5371"/>
    <n v="20057503"/>
    <s v="Prithviraj Singh"/>
    <s v="AM/NS India"/>
    <s v="Onroll"/>
    <s v="M-9"/>
    <n v="9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Officer - Procurement, Paradeep"/>
    <m/>
    <s v="Procurement"/>
    <s v=""/>
    <s v=""/>
    <s v="Non Technical Support"/>
    <s v="Commercial"/>
    <s v="Purchase"/>
    <s v="73804001"/>
    <s v="Purchase"/>
    <s v="Paradeep"/>
    <d v="1988-06-21T00:00:00"/>
    <s v="35.03"/>
    <d v="2022-10-10T00:00:00"/>
    <d v="2046-06-30T00:00:00"/>
    <m/>
    <d v="2046-06-30T00:00:00"/>
    <n v="8319"/>
    <s v="AB+"/>
    <s v="Intermediate-2005 , Intermediate-2004"/>
    <s v="16.03"/>
    <s v="00.11"/>
    <s v="17.02"/>
    <s v="70407583"/>
    <s v="Procurement - Odisha Asset"/>
    <s v="291468"/>
    <s v="Officer - Procurement, Paradeep"/>
    <s v="Odisha"/>
    <s v="0022030019"/>
    <s v="PDP-HR &amp; Admn"/>
    <s v="2000STORIS"/>
    <s v="20055692"/>
    <s v="Rajiv Ranjan"/>
    <s v="No"/>
    <s v="prithviraj.singh@amns.in"/>
    <s v="7077770050"/>
    <s v="1017147"/>
    <s v="Sunila Das"/>
    <s v="Anil Matoo"/>
    <s v="Praveen Kuruvalli"/>
    <s v="Sunila Das"/>
    <n v="0"/>
  </r>
  <r>
    <n v="5373"/>
    <n v="20057505"/>
    <s v="Tejas Vor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Indirect Tax"/>
    <m/>
    <s v=""/>
    <s v=""/>
    <s v=""/>
    <s v="Non Technical Support"/>
    <s v="Finance &amp; Accounts"/>
    <s v="Taxation"/>
    <s v="73904002"/>
    <s v="Indirect Taxation"/>
    <s v="AM/NS Hazira"/>
    <d v="1992-07-15T00:00:00"/>
    <s v="31.02"/>
    <d v="2022-10-13T00:00:00"/>
    <d v="2050-07-31T00:00:00"/>
    <m/>
    <d v="2050-07-31T00:00:00"/>
    <n v="9811"/>
    <s v="O+"/>
    <s v="CA Final-2017 , LLB-2014 , BCom-2011"/>
    <s v="05.02"/>
    <s v="00.11"/>
    <s v="06.01"/>
    <s v="70282653"/>
    <s v="GST"/>
    <s v="70372307"/>
    <s v="Lead - Indirect Tax"/>
    <s v="Hazira"/>
    <s v="0090000033"/>
    <s v="Corporate Taxation"/>
    <s v="2000HWO"/>
    <s v="20056327"/>
    <s v="Aishwarya Singhi"/>
    <s v="No"/>
    <s v="tejas.vora@amns.in"/>
    <s v="8140295402"/>
    <s v="1017358"/>
    <s v="Dhruv Vyas"/>
    <s v="Anil Matoo"/>
    <s v="Praveen Kuruvalli"/>
    <s v="Dhruv Vyas"/>
    <n v="0"/>
  </r>
  <r>
    <n v="5385"/>
    <n v="20057518"/>
    <s v="Eashank Yash Gautam"/>
    <s v="AM/NS India"/>
    <s v="Onroll"/>
    <s v="M-9"/>
    <n v="9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Officer - Stores"/>
    <m/>
    <s v="Procurement"/>
    <s v=""/>
    <s v=""/>
    <s v="Non Technical Support"/>
    <s v="Commercial"/>
    <s v="Stores &amp; Warehouse"/>
    <s v="73806001"/>
    <s v="Stores &amp; Warehouse"/>
    <s v="Kirandul"/>
    <d v="1994-03-15T00:00:00"/>
    <s v="29.06"/>
    <d v="2022-10-17T00:00:00"/>
    <d v="2052-03-31T00:00:00"/>
    <m/>
    <d v="2052-03-31T00:00:00"/>
    <n v="10420"/>
    <s v="B+"/>
    <s v="BE-2012 , Intermediate-2010"/>
    <s v="01.11"/>
    <s v="00.11"/>
    <s v="02.09"/>
    <s v="70301353"/>
    <s v="Procurement - Vizag &amp; Chitrakonda"/>
    <s v="291709"/>
    <s v="Officer - Stores"/>
    <s v="Vizag"/>
    <s v="0028030019"/>
    <s v="VIZ-Personnel &amp; Admi"/>
    <s v="2000VIZOPS"/>
    <s v="20000200"/>
    <s v="A Venkateswara Rao"/>
    <s v="No"/>
    <s v="eashank.gautam@amns.in"/>
    <s v="7725070639"/>
    <s v="1017630"/>
    <s v="DS Varma"/>
    <s v="Anil Matoo"/>
    <s v="Praveen Kuruvalli"/>
    <s v="Dhruv Vyas"/>
    <n v="0"/>
  </r>
  <r>
    <n v="5389"/>
    <n v="20057523"/>
    <s v="Tapas Kumar Panda"/>
    <s v="AM/NS India"/>
    <s v="Onroll"/>
    <s v="M-9"/>
    <n v="9"/>
    <m/>
    <s v="JM"/>
    <s v="M"/>
    <s v="Mining"/>
    <n v="8"/>
    <s v="2094"/>
    <x v="21"/>
    <s v="27.10"/>
    <s v="Vikas Chandra Yadvendu"/>
    <s v="Ashutosh Telang"/>
    <n v="6"/>
    <s v="HR &amp; Administration"/>
    <s v="Corporate SocialResponsibility"/>
    <s v="27"/>
    <s v="Officer - CSR Mines"/>
    <m/>
    <s v="Corporate Social Responsibility"/>
    <s v=""/>
    <s v=""/>
    <s v="Non Technical Support"/>
    <s v="Corporate Social Responsibility"/>
    <s v="Corporate Social Responsibility"/>
    <s v="75001001"/>
    <s v="Corporate Social Responsi"/>
    <s v="Barbil"/>
    <d v="1986-06-06T00:00:00"/>
    <s v="37.03"/>
    <d v="2022-10-01T00:00:00"/>
    <d v="2044-06-30T00:00:00"/>
    <m/>
    <d v="2044-06-30T00:00:00"/>
    <n v="7589"/>
    <s v="B+"/>
    <s v="Master's Equivalent-2011 , BA-2007 , Int"/>
    <s v="08.03"/>
    <s v="00.11"/>
    <s v="09.02"/>
    <s v="70495661"/>
    <s v="Corporate Social Responsibility"/>
    <s v="292117"/>
    <s v="Officer - CSR Mines"/>
    <s v="Odisha"/>
    <s v="0011000018"/>
    <s v="Sagasahi Mine HR"/>
    <s v="2000STORIS"/>
    <s v="20055033"/>
    <s v="Vikas Chandra Yadvendu"/>
    <s v="No"/>
    <s v="tapas.panda@amns.in"/>
    <s v="9238561546"/>
    <s v="1017978"/>
    <s v="Pramod Sinha"/>
    <s v="Anil Matoo"/>
    <s v="Praveen Kuruvalli"/>
    <s v="Dhruv Vyas"/>
    <n v="0"/>
  </r>
  <r>
    <n v="5391"/>
    <n v="20057525"/>
    <s v="Preeti Rawat"/>
    <s v="AM/NS India"/>
    <s v="Onroll"/>
    <s v="M-8"/>
    <n v="8"/>
    <m/>
    <s v="JM"/>
    <s v="F"/>
    <s v="Odisha"/>
    <n v="2"/>
    <s v="2094"/>
    <x v="21"/>
    <s v="27.10"/>
    <s v="Vikas Chandra Yadvendu"/>
    <s v="Ashutosh Telang"/>
    <n v="6"/>
    <s v="HR &amp; Administration"/>
    <s v="Corporate SocialResponsibility"/>
    <s v="27"/>
    <s v="Lead - CSR"/>
    <m/>
    <s v="Projects"/>
    <s v=""/>
    <s v=""/>
    <s v="Non Technical Support"/>
    <s v="Corporate Social Responsibility"/>
    <s v="Corporate Social Responsibility"/>
    <s v="75001001"/>
    <s v="Corporate Social Responsi"/>
    <s v="Bhubaneswar"/>
    <d v="1988-09-23T00:00:00"/>
    <s v="34.11"/>
    <d v="2022-10-15T00:00:00"/>
    <d v="2046-09-30T00:00:00"/>
    <m/>
    <d v="2046-09-30T00:00:00"/>
    <n v="8411"/>
    <s v="A+"/>
    <s v="Post Diploma Course-2013 , MSW-2012 , In"/>
    <s v="10.01"/>
    <s v="00.11"/>
    <s v="10.11"/>
    <s v="70495661"/>
    <s v="Corporate Social Responsibility"/>
    <s v="292163"/>
    <s v="Lead - CSR"/>
    <s v="Odisha"/>
    <s v="0022030019"/>
    <s v="PDP-HR &amp; Admn"/>
    <s v="2000STORIS"/>
    <s v="20055033"/>
    <s v="Vikas Chandra Yadvendu"/>
    <s v="No"/>
    <s v="preeti.rawat@amns.in"/>
    <s v="8146628232"/>
    <s v="1018293"/>
    <s v="Sunila Das"/>
    <s v="Anil Matoo"/>
    <s v="Praveen Kuruvalli"/>
    <s v="Sunila Das"/>
    <n v="0"/>
  </r>
  <r>
    <n v="5425"/>
    <n v="20057599"/>
    <s v="Om Prakash Giri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Commercial"/>
    <s v="Contracts &amp; Tenders and E-bid"/>
    <s v="73805001"/>
    <s v="Contracts &amp; Tenders and E"/>
    <s v="Hazira"/>
    <d v="1997-06-10T00:00:00"/>
    <s v="26.03"/>
    <d v="2022-11-14T00:00:00"/>
    <d v="2055-06-30T00:00:00"/>
    <m/>
    <d v="2055-06-30T00:00:00"/>
    <n v="11606"/>
    <s v="B+"/>
    <s v="Diploma-2018"/>
    <s v=""/>
    <s v="00.10"/>
    <s v="00.10"/>
    <s v="00053276"/>
    <s v="Issue/Shifting - Plant B"/>
    <s v="292312"/>
    <s v="Engineer"/>
    <s v="Hazira"/>
    <s v="0031950049"/>
    <s v="HZ-Central Stores"/>
    <s v="2012HAZI"/>
    <s v="20016604"/>
    <s v="Punit Verma"/>
    <s v="No"/>
    <s v="omprakash.giri2@amns.in"/>
    <s v="9879101240"/>
    <s v="26224"/>
    <s v="Dhruv Vyas"/>
    <s v="Anil Matoo"/>
    <s v="Praveen Kuruvalli"/>
    <s v="Dhruv Vyas"/>
    <n v="0"/>
  </r>
  <r>
    <n v="5427"/>
    <n v="20057601"/>
    <s v="Sistu Visweswara Rao"/>
    <s v="AM/NS India"/>
    <s v="Onroll"/>
    <s v="M-7"/>
    <n v="7"/>
    <m/>
    <s v="MM"/>
    <s v="M"/>
    <s v="Vizag"/>
    <n v="3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Human Resources"/>
    <s v=""/>
    <s v="Non Technical Support"/>
    <s v="Human Resources Management"/>
    <s v="Human Resources Management"/>
    <s v="73501002"/>
    <s v="Human Resources Operation"/>
    <s v="Vizag"/>
    <d v="1976-03-08T00:00:00"/>
    <s v="47.06"/>
    <d v="2022-10-26T00:00:00"/>
    <d v="2034-03-31T00:00:00"/>
    <m/>
    <d v="2034-03-31T00:00:00"/>
    <n v="3845"/>
    <s v="O+"/>
    <s v="MBA-2009 , BSc-1999"/>
    <s v="12.04"/>
    <s v="00.10"/>
    <s v="13.02"/>
    <s v="72150111"/>
    <s v="Vizag HR Operations &amp; Administration"/>
    <s v="72150367"/>
    <s v="Lead - Human Resources"/>
    <s v="Vizag"/>
    <s v="0028030019"/>
    <s v="VIZ-Personnel &amp; Admi"/>
    <s v="2000VIZOPS"/>
    <s v="20000519"/>
    <s v="Dandu Srinivas Varma"/>
    <s v="No"/>
    <s v="s.visweswararao@amns.in"/>
    <s v="9618325208"/>
    <s v="1018398"/>
    <s v="DS Varma"/>
    <s v="Anil Matoo"/>
    <s v="Praveen Kuruvalli"/>
    <s v="Dhruv Vyas"/>
    <n v="0"/>
  </r>
  <r>
    <n v="5429"/>
    <n v="20057603"/>
    <s v="Sanal Nair"/>
    <s v="AM/NS India"/>
    <s v="Onroll"/>
    <s v="M-9"/>
    <n v="9"/>
    <m/>
    <s v="JM"/>
    <s v="M"/>
    <s v="Hazira"/>
    <n v="1"/>
    <s v="2084"/>
    <x v="17"/>
    <s v="23.09"/>
    <s v="Anil Matoo"/>
    <s v="Ashutosh Telang"/>
    <n v="6"/>
    <s v="HR &amp; Administration"/>
    <s v="Industrial Relations"/>
    <s v="23"/>
    <s v="Lead - Industrial Relations"/>
    <m/>
    <s v="Human Resources"/>
    <s v="Industrial Relations"/>
    <s v=""/>
    <s v="Non Technical Support"/>
    <s v="Human Resources Management"/>
    <s v="Human Resources Management"/>
    <s v="73501002"/>
    <s v="Human Resources Operation"/>
    <s v="Hazira"/>
    <d v="1993-05-08T00:00:00"/>
    <s v="30.04"/>
    <d v="2022-10-27T00:00:00"/>
    <d v="2051-05-31T00:00:00"/>
    <m/>
    <d v="2051-05-31T00:00:00"/>
    <n v="10115"/>
    <s v="AB+"/>
    <s v="MSW-2017 , Diploma-2015 , BCom-2015 , In"/>
    <s v="04.09"/>
    <s v="00.10"/>
    <s v="05.07"/>
    <s v="70309501"/>
    <s v="IR &amp; legal Compliance"/>
    <s v="292411"/>
    <s v="Lead - Industrial Relations"/>
    <s v="Hazira"/>
    <s v="0090000018"/>
    <s v="CORP Group - HR"/>
    <s v="2000HWO"/>
    <s v="20056503"/>
    <s v="Bhavin Pandya"/>
    <s v="No"/>
    <s v="sanal.nair@amns.in"/>
    <s v="6351891819"/>
    <s v="1018595"/>
    <s v="Dhruv Vyas"/>
    <s v="Anil Matoo"/>
    <s v="Praveen Kuruvalli"/>
    <s v="Dhruv Vyas"/>
    <n v="0"/>
  </r>
  <r>
    <n v="5432"/>
    <n v="20057606"/>
    <s v="Vashu Singh Kachhavah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Delhi"/>
    <d v="1989-09-28T00:00:00"/>
    <s v="33.11"/>
    <d v="2022-10-20T00:00:00"/>
    <d v="2047-09-30T00:00:00"/>
    <m/>
    <d v="2047-09-30T00:00:00"/>
    <n v="8776"/>
    <s v="O+"/>
    <s v="MTech-2015 , BE-2012 , Intermediate-2007"/>
    <s v="07.02"/>
    <s v="00.11"/>
    <s v="08.01"/>
    <s v="00052460"/>
    <s v="Auto &amp; YG"/>
    <s v="292414"/>
    <s v="Resident Engineer"/>
    <s v="Corporate"/>
    <s v="0031950057"/>
    <s v="HZ-HRC - Marketing"/>
    <s v="2000CS"/>
    <s v="20056155"/>
    <s v="Kondapalli Venkateswarlu"/>
    <s v="No"/>
    <s v="vashu.singh@amns.in"/>
    <s v="8861449712"/>
    <s v="1018748"/>
    <s v="Dhruv Vyas"/>
    <s v="Anil Matoo"/>
    <s v="Praveen Kuruvalli"/>
    <s v="Dhruv Vyas"/>
    <n v="0"/>
  </r>
  <r>
    <n v="5446"/>
    <n v="20057621"/>
    <s v="Nachiket Sonalkar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KAM - Auto Sales"/>
    <m/>
    <s v="Auto"/>
    <s v="Auto"/>
    <s v=""/>
    <s v="Non Technical Support"/>
    <s v="Sales &amp; Marketing"/>
    <s v="Sales"/>
    <s v="73104004"/>
    <s v="OEM Sales"/>
    <s v="Mumbai"/>
    <d v="1992-05-05T00:00:00"/>
    <s v="31.04"/>
    <d v="2022-11-01T00:00:00"/>
    <d v="2050-05-31T00:00:00"/>
    <m/>
    <d v="2050-05-31T00:00:00"/>
    <n v="9750"/>
    <s v="A+"/>
    <s v="BE-2015 , Intermediate-2009 , High Schoo"/>
    <s v="05.07"/>
    <s v="00.10"/>
    <s v="06.05"/>
    <s v="70343195"/>
    <s v="Automotive Sales &amp; Service Centers"/>
    <s v="256054"/>
    <s v="KAM – Automotive Sales"/>
    <s v="Corporate"/>
    <s v="0031950057"/>
    <s v="HZ-HRC - Marketing"/>
    <s v="2000CS"/>
    <s v="20016767"/>
    <s v="Raghavan Venkatachalam"/>
    <s v="No"/>
    <s v="nachiket.sonalkar@amns.in"/>
    <s v="9819133573"/>
    <s v="1019481"/>
    <s v="Dhruv Vyas"/>
    <s v="Anil Matoo"/>
    <s v="Praveen Kuruvalli"/>
    <s v="Dhruv Vyas"/>
    <n v="0"/>
  </r>
  <r>
    <n v="5449"/>
    <n v="20057624"/>
    <s v="Sanika Gokhale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, Mumbai"/>
    <m/>
    <s v="Legal"/>
    <s v=""/>
    <s v=""/>
    <s v="Non Technical Support"/>
    <s v="Legal"/>
    <s v="Legal"/>
    <s v="73201001"/>
    <s v="Legal"/>
    <s v="Mumbai"/>
    <d v="1992-06-02T00:00:00"/>
    <s v="31.03"/>
    <d v="2022-11-01T00:00:00"/>
    <d v="2050-06-30T00:00:00"/>
    <m/>
    <d v="2050-06-30T00:00:00"/>
    <n v="9780"/>
    <s v="B+"/>
    <s v="LLB-2016 , Intermediate-2009 , Intermedi"/>
    <s v="05.01"/>
    <s v="00.10"/>
    <s v="05.11"/>
    <s v="00048996"/>
    <s v="Legal"/>
    <s v="292892"/>
    <s v="Legal Counsel"/>
    <s v="Corporate"/>
    <s v="0090000019"/>
    <s v="Corporate Steel - Le"/>
    <s v="2000CS"/>
    <s v="20055160"/>
    <s v="Mrida Lakhmani"/>
    <s v="No"/>
    <s v="sanika.gokhale@amns.in"/>
    <s v="9088940288"/>
    <s v="1019659"/>
    <s v="Dhruv Vyas"/>
    <s v="Anil Matoo"/>
    <s v="Praveen Kuruvalli"/>
    <s v="Dhruv Vyas"/>
    <n v="0"/>
  </r>
  <r>
    <n v="5459"/>
    <n v="20057635"/>
    <s v="Akshay Bhosale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OEM - Other West"/>
    <m/>
    <s v="Other West"/>
    <s v="Auto"/>
    <s v=""/>
    <s v="Non Technical Support"/>
    <s v="R&amp; D and QA/QC"/>
    <s v="R&amp;D"/>
    <s v="72103029"/>
    <s v="R&amp;D"/>
    <s v="Pune"/>
    <d v="1986-07-29T00:00:00"/>
    <s v="37.01"/>
    <d v="2022-11-07T00:00:00"/>
    <d v="2044-07-31T00:00:00"/>
    <m/>
    <d v="2044-07-31T00:00:00"/>
    <n v="7620"/>
    <s v="O+"/>
    <s v="MBA-2012 , BE-2008 , Intermediate-2004 ,"/>
    <s v="06.11"/>
    <s v="00.10"/>
    <s v="07.09"/>
    <s v="70495309"/>
    <s v="Sales West Zone"/>
    <s v="256057"/>
    <s v="KAM - Automotive Sales"/>
    <s v="Hazira"/>
    <s v="0031950057"/>
    <s v="HZ-HRC - Marketing"/>
    <s v="2000HWO"/>
    <s v="20047683"/>
    <s v="Virat Vij"/>
    <s v="No"/>
    <s v="akshay.bhosale@amns.in"/>
    <s v="9423238086"/>
    <s v="1019969"/>
    <s v="Dhruv Vyas"/>
    <s v="Anil Matoo"/>
    <s v="Praveen Kuruvalli"/>
    <s v="Dhruv Vyas"/>
    <n v="0"/>
  </r>
  <r>
    <n v="5461"/>
    <n v="20057637"/>
    <s v="Ashutosh Telang"/>
    <s v="AM/NS India"/>
    <s v="PDA"/>
    <s v="PDA"/>
    <n v="2"/>
    <m/>
    <s v="TM"/>
    <s v="M"/>
    <s v="Corporate"/>
    <n v="7"/>
    <s v="2015"/>
    <x v="1"/>
    <s v="22.06"/>
    <s v="Ashutosh Telang"/>
    <s v="Ashutosh Telang"/>
    <n v="6"/>
    <s v="HR &amp; Administration"/>
    <s v="Human Resources"/>
    <s v="22"/>
    <s v="Director &amp; VP - HR &amp; Admin"/>
    <m/>
    <s v=""/>
    <s v=""/>
    <s v=""/>
    <s v="Non Technical Support"/>
    <s v=""/>
    <s v=""/>
    <s v="70494638"/>
    <s v="Director and Vice President"/>
    <s v="Mumbai"/>
    <d v="1972-03-21T00:00:00"/>
    <s v="51.06"/>
    <d v="2022-11-10T00:00:00"/>
    <d v="2030-03-31T00:00:00"/>
    <m/>
    <d v="2030-03-31T00:00:00"/>
    <n v="2384"/>
    <s v="O-"/>
    <s v=""/>
    <s v=""/>
    <s v="00.10"/>
    <s v="00.10"/>
    <s v="00049042"/>
    <s v="HR &amp; Administration"/>
    <s v="293092"/>
    <s v="Director &amp; VP - HR &amp; Admin"/>
    <s v="Non-payroll-relevant"/>
    <s v="0090000018"/>
    <s v="CORP Group - HR"/>
    <s v="2003MUMB"/>
    <s v="20055068"/>
    <s v="Dilip Oommen"/>
    <s v="No"/>
    <s v="ashutosh.telang@amns.in"/>
    <s v="9820506713"/>
    <s v="1020214"/>
    <s v="Dhruv Vyas"/>
    <s v="Anil Matoo"/>
    <s v="Praveen Kuruvalli"/>
    <s v="Dhruv Vyas"/>
    <n v="0"/>
  </r>
  <r>
    <n v="5468"/>
    <n v="20057644"/>
    <s v="Kashyap Dave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Stores &amp; Warehouse"/>
    <s v=""/>
    <s v=""/>
    <s v="Non Technical Support"/>
    <s v="Commercial"/>
    <s v="Stores &amp; Warehouse"/>
    <s v="73806001"/>
    <s v="Stores &amp; Warehouse"/>
    <s v="Hazira"/>
    <d v="1999-10-01T00:00:00"/>
    <s v="23.11"/>
    <d v="2022-10-10T00:00:00"/>
    <d v="2057-09-30T00:00:00"/>
    <m/>
    <d v="2057-09-30T00:00:00"/>
    <n v="12429"/>
    <s v="B+"/>
    <s v="Diploma-2018 , Intermediate-2015"/>
    <s v="04.00"/>
    <s v="00.11"/>
    <s v="04.11"/>
    <s v="00048783"/>
    <s v="HBI, BF, Plant B &amp; Plate Mill"/>
    <s v="293127"/>
    <s v="Engineer"/>
    <s v="Hazira"/>
    <s v="0031950049"/>
    <s v="HZ-Central Stores"/>
    <s v="2000HWO"/>
    <s v="20005165"/>
    <s v="Parthiv Desai"/>
    <s v="No"/>
    <s v="kashyap.dave4@amns.in"/>
    <s v="6359610210"/>
    <s v="26212"/>
    <s v="Dhruv Vyas"/>
    <s v="Anil Matoo"/>
    <s v="Praveen Kuruvalli"/>
    <s v="Dhruv Vyas"/>
    <n v="0"/>
  </r>
  <r>
    <n v="5478"/>
    <n v="20057656"/>
    <s v="Ramesh Kumar Tiwari"/>
    <s v="AM/NS India"/>
    <s v="Onroll"/>
    <s v="M-9"/>
    <n v="9"/>
    <m/>
    <s v="J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Lead – HR, Indore"/>
    <m/>
    <s v="Human Resources"/>
    <s v=""/>
    <s v=""/>
    <s v="Non Technical Support"/>
    <s v="Human Resources Management"/>
    <s v="Human Resources Management"/>
    <s v="73501001"/>
    <s v="Human Resources"/>
    <s v="Indore"/>
    <d v="1985-08-08T00:00:00"/>
    <s v="38.01"/>
    <d v="2022-11-11T00:00:00"/>
    <d v="2043-08-31T00:00:00"/>
    <m/>
    <d v="2043-08-31T00:00:00"/>
    <n v="7285"/>
    <s v="A+"/>
    <s v="MBA-2010 , BA-2005 , Intermediate-2002 ,"/>
    <s v="09.02"/>
    <s v="00.10"/>
    <s v="10.00"/>
    <s v="00044376"/>
    <s v="Service Center &amp; Hypermart HR"/>
    <s v="293587"/>
    <s v="Lead – HR, Indore"/>
    <s v="Service Center"/>
    <s v="0040060019"/>
    <s v="SC-Indore-Op1-HR-Adm"/>
    <s v="2000SPRJ"/>
    <s v="20057135"/>
    <s v="RAHUL RAJ"/>
    <s v="No"/>
    <s v="ramesh.tiwari@amns.in"/>
    <s v="9575266444"/>
    <s v="1021217"/>
    <s v="Dhruv Vyas"/>
    <s v="Anil Matoo"/>
    <s v="Praveen Kuruvalli"/>
    <s v="Dhruv Vyas"/>
    <n v="0"/>
  </r>
  <r>
    <n v="5531"/>
    <n v="20057782"/>
    <s v="Raja Sahu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"/>
    <s v=""/>
    <s v=""/>
    <s v=""/>
    <s v="Hazira"/>
    <d v="1998-04-20T00:00:00"/>
    <s v="25.05"/>
    <d v="2022-11-14T00:00:00"/>
    <d v="2056-04-30T00:00:00"/>
    <m/>
    <d v="2056-04-30T00:00:00"/>
    <n v="11911"/>
    <s v="B+"/>
    <s v="BTech-2021 , Diploma-2018"/>
    <s v="04.00"/>
    <s v="00.10"/>
    <s v="04.10"/>
    <s v="00053278"/>
    <s v="GRN/Documentation/Issue - Plant A"/>
    <s v="293847"/>
    <s v="Engineer"/>
    <s v="Hazira"/>
    <s v="0031950049"/>
    <s v="HZ-Central Stores"/>
    <s v="2012HAZI"/>
    <s v="20002587"/>
    <s v="Seema Mehta"/>
    <s v="No"/>
    <s v="raja.sahu5@amns.in"/>
    <s v="9909902345"/>
    <s v="26226"/>
    <s v="Dhruv Vyas"/>
    <s v="Anil Matoo"/>
    <s v="Praveen Kuruvalli"/>
    <s v="Dhruv Vyas"/>
    <n v="0"/>
  </r>
  <r>
    <n v="5570"/>
    <n v="20057824"/>
    <s v="Agniva Ray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Accounts Payable"/>
    <m/>
    <s v="Finance &amp; Accounts"/>
    <s v=""/>
    <s v=""/>
    <s v="Non Technical Support"/>
    <s v="Finance &amp; Accounts"/>
    <s v="Corporate Finance"/>
    <s v="73902004"/>
    <s v="Banking Relations"/>
    <s v="Hazira"/>
    <d v="1990-01-18T00:00:00"/>
    <s v="33.08"/>
    <d v="2022-11-25T00:00:00"/>
    <d v="2048-01-31T00:00:00"/>
    <m/>
    <d v="2048-01-31T00:00:00"/>
    <n v="8899"/>
    <s v="A+"/>
    <s v="ICWA Final-2018 , BCom-2008 , Intermedia"/>
    <s v="04.00"/>
    <s v="00.09"/>
    <s v="04.09"/>
    <s v="72150243"/>
    <s v="Accounts Payable"/>
    <s v="294296"/>
    <s v="Officer - Accounts Payable"/>
    <s v="Hazira"/>
    <s v="0031950045"/>
    <s v="HZ-Works Accounts-Ha"/>
    <s v="2000HWO"/>
    <s v="20001076"/>
    <s v="Bhavesh Modi"/>
    <s v="No"/>
    <s v="agniva.ray@amns.in"/>
    <s v="9679035551"/>
    <s v="1024138"/>
    <s v="Dhruv Vyas"/>
    <s v="Anil Matoo"/>
    <s v="Praveen Kuruvalli"/>
    <s v="Dhruv Vyas"/>
    <n v="0"/>
  </r>
  <r>
    <n v="5573"/>
    <n v="20057827"/>
    <s v="Vivek Kumar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– Capex Services"/>
    <m/>
    <s v="Capex Procurement"/>
    <s v=""/>
    <s v=""/>
    <s v="Non Technical Support"/>
    <s v="Operations"/>
    <s v="Operations"/>
    <s v="72103001"/>
    <s v="Operations"/>
    <s v="Hazira"/>
    <d v="1996-12-25T00:00:00"/>
    <s v="26.08"/>
    <d v="2022-11-30T00:00:00"/>
    <d v="2054-12-31T00:00:00"/>
    <m/>
    <d v="2054-12-31T00:00:00"/>
    <n v="11425"/>
    <s v="O+"/>
    <s v="BTech-2018 , Intermediate-2012 , Interme"/>
    <s v="04.05"/>
    <s v="00.09"/>
    <s v="05.02"/>
    <s v="00049342"/>
    <s v="Capex Procurement"/>
    <s v="294609"/>
    <s v="Officer – Capex Services"/>
    <s v="Hazira"/>
    <s v="0031950059"/>
    <s v="HZ-Hazira Project"/>
    <s v="2000HWO"/>
    <s v="20055712"/>
    <s v="Ravi Goyal"/>
    <s v="No"/>
    <s v="vivek.kumar17@amns.in"/>
    <s v="6358926939"/>
    <s v="1024659"/>
    <s v="Dhruv Vyas"/>
    <s v="Anil Matoo"/>
    <s v="Praveen Kuruvalli"/>
    <s v="Dhruv Vyas"/>
    <n v="0"/>
  </r>
  <r>
    <n v="5574"/>
    <n v="20057828"/>
    <s v="Shailesh Rajori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Payable"/>
    <m/>
    <s v="Finance &amp; Accounts"/>
    <s v=""/>
    <s v=""/>
    <s v="Non Technical Support"/>
    <s v="Finance &amp; Accounts"/>
    <s v="Corporate Finance"/>
    <s v="73902004"/>
    <s v="Banking Relations"/>
    <s v="Hazira"/>
    <d v="1977-06-13T00:00:00"/>
    <s v="46.03"/>
    <d v="2022-12-01T00:00:00"/>
    <d v="2035-06-30T00:00:00"/>
    <m/>
    <d v="2035-06-30T00:00:00"/>
    <n v="4301"/>
    <s v="B+"/>
    <s v="CA Final-2006 , BCom-1999 , Intermediate"/>
    <s v="06.04"/>
    <s v="00.09"/>
    <s v="07.01"/>
    <s v="72150243"/>
    <s v="Accounts Payable"/>
    <s v="294611"/>
    <s v="Sr. Lead - Accounts Payable"/>
    <s v="Hazira"/>
    <s v="0031950045"/>
    <s v="HZ-Works Accounts-Ha"/>
    <s v="2000HWO"/>
    <s v="20001076"/>
    <s v="Bhavesh Modi"/>
    <s v="No"/>
    <s v="shailesh.rajoria@amns.in"/>
    <s v="6358926940"/>
    <s v="1024676"/>
    <s v="Dhruv Vyas"/>
    <s v="Anil Matoo"/>
    <s v="Praveen Kuruvalli"/>
    <s v="Dhruv Vyas"/>
    <n v="0"/>
  </r>
  <r>
    <n v="5582"/>
    <n v="20057836"/>
    <s v="George Skaria"/>
    <s v="AM/NS India"/>
    <s v="Onroll"/>
    <s v="M-8"/>
    <n v="8"/>
    <m/>
    <s v="JM"/>
    <s v="M"/>
    <s v="Pune Facility"/>
    <n v="7"/>
    <s v="2069"/>
    <x v="8"/>
    <s v="25.01"/>
    <s v="Bibek Chattopadhyay"/>
    <s v="Ashutosh Telang"/>
    <n v="6"/>
    <s v="HR &amp; Administration"/>
    <s v="Corporate Communications"/>
    <s v="25"/>
    <s v="Lead - Corporate Communication"/>
    <m/>
    <s v="Corporate Communicatiton"/>
    <s v=""/>
    <s v=""/>
    <s v="Non Technical Support"/>
    <s v="Corporate Communication"/>
    <s v="Corporate Communication"/>
    <s v="74001001"/>
    <s v="Corporate Communication"/>
    <s v="Pune"/>
    <d v="1980-06-06T00:00:00"/>
    <s v="43.03"/>
    <d v="2022-12-01T00:00:00"/>
    <d v="2038-06-30T00:00:00"/>
    <m/>
    <d v="2038-06-30T00:00:00"/>
    <n v="5397"/>
    <s v="B+"/>
    <s v="PG Diploma in Management-2004 , BCom-200"/>
    <s v="05.07"/>
    <s v="00.09"/>
    <s v="06.04"/>
    <s v="70318583"/>
    <s v="Communications &amp; Media Relations"/>
    <s v="295108"/>
    <s v="Lead – Corporate Communications"/>
    <s v="Service Center"/>
    <s v="0090000016"/>
    <s v="Corporate Steel - Co"/>
    <s v="2000CS"/>
    <s v="20055187"/>
    <s v="Bibek Chattopadhyay"/>
    <s v="No"/>
    <s v="george.skaria@amns.in"/>
    <s v="9881233076"/>
    <s v="1025408"/>
    <s v="Dhruv Vyas"/>
    <s v="Anil Matoo"/>
    <s v="Praveen Kuruvalli"/>
    <s v="Dhruv Vyas"/>
    <n v="0"/>
  </r>
  <r>
    <n v="5589"/>
    <n v="20057843"/>
    <s v="Ritesh Kumar Singh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3"/>
    <s v="Retail Sales"/>
    <s v="Gurgaon"/>
    <d v="1984-10-09T00:00:00"/>
    <s v="38.11"/>
    <d v="2022-12-12T00:00:00"/>
    <d v="2042-10-31T00:00:00"/>
    <m/>
    <d v="2042-10-31T00:00:00"/>
    <n v="6981"/>
    <s v="B+"/>
    <s v="MBA-2010 , BBA-2006 , Intermediate-2002"/>
    <s v="07.09"/>
    <s v="00.09"/>
    <s v="08.05"/>
    <s v="72150181"/>
    <s v="Sales North Zone"/>
    <s v="70319464"/>
    <s v="Sales Manager"/>
    <s v="Hazira"/>
    <s v="0031950057"/>
    <s v="HZ-HRC - Marketing"/>
    <s v="2000HWO"/>
    <s v="20002920"/>
    <s v="Sudhir Sharma"/>
    <s v="No"/>
    <s v="ritesh.singh5@amns.in"/>
    <s v="9654234238"/>
    <s v="1025980"/>
    <s v="Dhruv Vyas"/>
    <s v="Anil Matoo"/>
    <s v="Praveen Kuruvalli"/>
    <s v="Dhruv Vyas"/>
    <n v="0"/>
  </r>
  <r>
    <n v="5601"/>
    <n v="20057855"/>
    <s v="M Ganesh Charan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 2021"/>
    <m/>
    <s v="South"/>
    <s v="OEM"/>
    <s v=""/>
    <s v="Non Technical Support"/>
    <s v="Sales &amp; Marketing"/>
    <s v="Sales"/>
    <s v="73104004"/>
    <s v="OEM Sales"/>
    <s v="Chennai"/>
    <d v="1992-09-01T00:00:00"/>
    <s v="31.00"/>
    <d v="2022-12-14T00:00:00"/>
    <d v="2050-08-31T00:00:00"/>
    <m/>
    <d v="2050-08-31T00:00:00"/>
    <n v="9842"/>
    <s v="O+"/>
    <s v="MBA-2017 , BE-2013 , Intermediate-2009"/>
    <s v="05.10"/>
    <s v="00.09"/>
    <s v="06.07"/>
    <s v="00052474"/>
    <s v="KAM Automotive Sales - South"/>
    <s v="256051"/>
    <s v="KAM - OEM Sales"/>
    <s v="Hazira"/>
    <s v="0031950057"/>
    <s v="HZ-HRC - Marketing"/>
    <s v="2000HWO"/>
    <s v="20018700"/>
    <s v="Srinivasan Kamalakannan"/>
    <s v="No"/>
    <s v="ganesh.charan@amns.in"/>
    <s v="9626456337"/>
    <s v="1026538"/>
    <s v="Dhruv Vyas"/>
    <s v="Anil Matoo"/>
    <s v="Praveen Kuruvalli"/>
    <s v="Dhruv Vyas"/>
    <n v="0"/>
  </r>
  <r>
    <n v="5620"/>
    <n v="20057875"/>
    <s v="Sanat Kumar Vijay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Plate Sales"/>
    <m/>
    <s v="Plate"/>
    <s v="Plate"/>
    <s v=""/>
    <s v="Non Technical Support"/>
    <s v="Sales &amp; Marketing"/>
    <s v="Sales"/>
    <s v="73104004"/>
    <s v="OEM Sales"/>
    <s v="Mumbai"/>
    <d v="1987-08-22T00:00:00"/>
    <s v="36.00"/>
    <d v="2022-12-22T00:00:00"/>
    <d v="2045-08-31T00:00:00"/>
    <m/>
    <d v="2045-08-31T00:00:00"/>
    <n v="8016"/>
    <s v="B+"/>
    <s v="BE-2010 , Intermediate-2006 , High Schoo"/>
    <s v="11.05"/>
    <s v="00.08"/>
    <s v="12.01"/>
    <s v="70410953"/>
    <s v="Plate Sales - Gujarat"/>
    <s v="70336303"/>
    <s v="Sales Manager - Plate Sales"/>
    <s v="Hazira"/>
    <s v="0080000001"/>
    <s v="Head-Marketing"/>
    <s v="2000HWO"/>
    <s v="20003623"/>
    <s v="Soumyadeep Datta"/>
    <s v="No"/>
    <s v="sanat.vijay@amns.in"/>
    <s v="9770470005"/>
    <s v="1027165"/>
    <s v="Dhruv Vyas"/>
    <s v="Anil Matoo"/>
    <s v="Praveen Kuruvalli"/>
    <s v="Dhruv Vyas"/>
    <n v="0"/>
  </r>
  <r>
    <n v="5628"/>
    <n v="20057885"/>
    <s v="Rupali Waghmare"/>
    <s v="AM/NS India"/>
    <s v="Onroll"/>
    <s v="M-9"/>
    <n v="9"/>
    <m/>
    <s v="JM"/>
    <s v="F"/>
    <s v="Corporate"/>
    <n v="7"/>
    <s v="2060"/>
    <x v="24"/>
    <s v="39.01"/>
    <s v="Sanjay Sharma"/>
    <s v="Sanjay Sharma"/>
    <n v="8"/>
    <s v="Business Development"/>
    <s v="Business Development"/>
    <s v="39"/>
    <s v="Lead Business Development – M&amp;A"/>
    <m/>
    <s v="Business Development"/>
    <s v=""/>
    <s v=""/>
    <s v="Non Technical Support"/>
    <s v="Sales &amp; Marketing"/>
    <s v="Business Development"/>
    <s v="73103001"/>
    <s v="Business Development"/>
    <s v="Mumbai"/>
    <d v="1998-04-21T00:00:00"/>
    <s v="25.05"/>
    <d v="2022-12-26T00:00:00"/>
    <d v="2056-04-30T00:00:00"/>
    <m/>
    <d v="2056-04-30T00:00:00"/>
    <n v="11911"/>
    <s v="O+"/>
    <s v="CA Final-2020"/>
    <s v="01.07"/>
    <s v="00.08"/>
    <s v="02.03"/>
    <s v="00049729"/>
    <s v="Business Development - M&amp;A"/>
    <s v="296496"/>
    <s v="Lead Business Development – M&amp;A"/>
    <s v="Corporate"/>
    <s v="0090000032"/>
    <s v="Business Devpelopmen"/>
    <s v="2000CS"/>
    <s v="20055182"/>
    <s v="Neha Soni"/>
    <s v="No"/>
    <s v="rupali.waghmare@amns.in"/>
    <s v="8421262673"/>
    <s v="1027431"/>
    <s v="Dhruv Vyas"/>
    <s v="Anil Matoo"/>
    <s v="Praveen Kuruvalli"/>
    <s v="Dhruv Vyas"/>
    <n v="0"/>
  </r>
  <r>
    <n v="5629"/>
    <n v="20057886"/>
    <s v="Shakir Bandwala"/>
    <s v="AM/NS India"/>
    <s v="Onroll"/>
    <s v="M-5"/>
    <n v="5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Administration"/>
    <m/>
    <s v="Administration"/>
    <s v=""/>
    <s v=""/>
    <s v="Non Technical Support"/>
    <s v="Administration"/>
    <s v="Administration"/>
    <s v="74101001"/>
    <s v="Administration"/>
    <s v="Hazira"/>
    <d v="1966-08-18T00:00:00"/>
    <s v="57.01"/>
    <d v="2017-09-12T00:00:00"/>
    <d v="2024-08-31T00:00:00"/>
    <m/>
    <d v="2024-08-31T00:00:00"/>
    <n v="346"/>
    <s v="B+"/>
    <s v="Diploma-1986 , Intermediate-1983 , Inter"/>
    <s v="12.00"/>
    <s v="06.00"/>
    <s v="18.00"/>
    <s v="00049719"/>
    <s v="Administration Hazira"/>
    <s v="296420"/>
    <s v="Head-Administration,Hazira"/>
    <s v="Hazira"/>
    <s v="0031950030"/>
    <s v="HZ-Admin"/>
    <s v="2000HWO"/>
    <s v="20000083"/>
    <s v="Anil Matoo"/>
    <s v="No"/>
    <s v="shakir.bandwala@amns.in"/>
    <s v="9879100355"/>
    <s v="26747"/>
    <s v="Manjit Shah"/>
    <s v="Anil Matoo"/>
    <s v="Praveen Kuruvalli"/>
    <s v="Lakshman Iyer"/>
    <n v="0"/>
  </r>
  <r>
    <n v="5630"/>
    <n v="20057887"/>
    <s v="Kiran Vaidya"/>
    <s v="AM/NS India"/>
    <s v="Onroll"/>
    <s v="M-6"/>
    <n v="6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– Admin, Khopoli"/>
    <m/>
    <s v="Administration"/>
    <s v="Administration"/>
    <s v="Hazira"/>
    <s v="Non Technical Support"/>
    <s v="Administration"/>
    <s v="Administration"/>
    <s v="74101001"/>
    <s v="Administration"/>
    <s v="Khopoli"/>
    <d v="1975-03-07T00:00:00"/>
    <s v="48.06"/>
    <d v="2020-08-10T00:00:00"/>
    <d v="2033-03-31T00:00:00"/>
    <m/>
    <d v="2033-03-31T00:00:00"/>
    <n v="3480"/>
    <s v="A+"/>
    <s v="PG Diploma in Management-2007 , BBA-2002"/>
    <s v="12.06"/>
    <s v="03.01"/>
    <s v="15.07"/>
    <s v="73800068"/>
    <s v="Pune HR Operations &amp; Administration"/>
    <s v="296421"/>
    <s v="Head – Admin, Khopoli"/>
    <s v="Hazira"/>
    <s v="0031950030"/>
    <s v="HZ-Admin"/>
    <s v="2000HWO"/>
    <s v="20037245"/>
    <s v="Mukund Jagirdar"/>
    <s v="No"/>
    <s v="kiran.vaidya@amns.in"/>
    <s v="9921180482"/>
    <s v="802093"/>
    <s v="Manjit Shah"/>
    <s v="Anil Matoo"/>
    <s v="Praveen Kuruvalli"/>
    <s v="Lakshman Iyer"/>
    <n v="0"/>
  </r>
  <r>
    <n v="5631"/>
    <n v="20057888"/>
    <s v="Narinder Lamba"/>
    <s v="AM/NS India"/>
    <s v="Onroll"/>
    <s v="M-6"/>
    <n v="6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– Admin, Regional &amp; Corporate"/>
    <m/>
    <s v="Administration"/>
    <s v="Administration"/>
    <s v="Hazira"/>
    <s v="Non Technical Support"/>
    <s v="Administration"/>
    <s v="Administration"/>
    <s v="74101001"/>
    <s v="Administration"/>
    <s v="Hazira"/>
    <d v="1984-07-09T00:00:00"/>
    <s v="39.02"/>
    <d v="2019-11-25T00:00:00"/>
    <d v="2042-07-31T00:00:00"/>
    <m/>
    <d v="2042-07-31T00:00:00"/>
    <n v="6889"/>
    <s v="O+"/>
    <s v="BHMS-2007"/>
    <s v="05.01"/>
    <s v="03.09"/>
    <s v="08.11"/>
    <s v="00049721"/>
    <s v="Regional &amp; Corporate offices"/>
    <s v="296423"/>
    <s v="Sec. Head – Admin, Regional &amp; Corporate"/>
    <s v="Hazira"/>
    <s v="0031950030"/>
    <s v="HZ-Admin"/>
    <s v="2000HWO"/>
    <s v="20057886"/>
    <s v="Shakir Bandwala"/>
    <s v="No"/>
    <s v="narinder.lamba@amns.in"/>
    <s v="9909901133"/>
    <s v="793071"/>
    <s v="Manjit Shah"/>
    <s v="Anil Matoo"/>
    <s v="Praveen Kuruvalli"/>
    <s v="Lakshman Iyer"/>
    <n v="0"/>
  </r>
  <r>
    <n v="5632"/>
    <n v="20057891"/>
    <s v="Bhavik Mehta"/>
    <s v="AM/NS India"/>
    <s v="Onroll"/>
    <s v="M-7"/>
    <n v="7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Senior Lead - Administration"/>
    <m/>
    <s v="Administration"/>
    <s v="Administration"/>
    <s v="Hazira"/>
    <s v="Non Technical Support"/>
    <s v="Administration"/>
    <s v="Administration"/>
    <s v="74101001"/>
    <s v="Administration"/>
    <s v="Hazira"/>
    <d v="1986-10-09T00:00:00"/>
    <s v="36.11"/>
    <d v="2022-10-21T00:00:00"/>
    <d v="2044-10-31T00:00:00"/>
    <m/>
    <d v="2044-10-31T00:00:00"/>
    <n v="7712"/>
    <s v="B+"/>
    <s v="MBA-2016 , PG Diploma-2012 , BBA-2008 ,"/>
    <s v="09.09"/>
    <s v="00.10"/>
    <s v="10.08"/>
    <s v="00049721"/>
    <s v="Regional &amp; Corporate offices"/>
    <s v="296426"/>
    <s v="Senior Lead - Administration"/>
    <s v="Hazira"/>
    <s v="0031950030"/>
    <s v="HZ-Admin"/>
    <s v="2000HWO"/>
    <s v="20057888"/>
    <s v="Narinder Lamba"/>
    <s v="No"/>
    <s v="bhavik.mehta@amns.in"/>
    <s v="6358983766"/>
    <s v="1021717"/>
    <s v="Manjit Shah"/>
    <s v="Anil Matoo"/>
    <s v="Praveen Kuruvalli"/>
    <s v="Lakshman Iyer"/>
    <n v="0"/>
  </r>
  <r>
    <n v="5633"/>
    <n v="20057892"/>
    <s v="Taj Baby"/>
    <s v="AM/NS India"/>
    <s v="Onroll"/>
    <s v="M-7"/>
    <n v="7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Sr. Lead – Admin"/>
    <m/>
    <s v="Administration"/>
    <s v="Administration"/>
    <s v="Hazira"/>
    <s v="Non Technical Support"/>
    <s v="Administration"/>
    <s v="Administration"/>
    <s v="74101001"/>
    <s v="Administration"/>
    <s v="Hazira"/>
    <d v="1985-02-07T00:00:00"/>
    <s v="38.07"/>
    <d v="2022-07-12T00:00:00"/>
    <d v="2043-02-28T00:00:00"/>
    <m/>
    <d v="2043-02-28T00:00:00"/>
    <n v="7101"/>
    <s v="O+"/>
    <s v="BSc-2006 , Intermediate-2002 , Intermedi"/>
    <s v="03.01"/>
    <s v="01.02"/>
    <s v="04.03"/>
    <s v="00049777"/>
    <s v="Plant Administration"/>
    <s v="296424"/>
    <s v="Sr. Lead – Admin"/>
    <s v="Hazira"/>
    <s v="0031950030"/>
    <s v="HZ-Admin"/>
    <s v="2000HWO"/>
    <s v="20057886"/>
    <s v="Shakir Bandwala"/>
    <s v="No"/>
    <s v="taj.baby@amns.in"/>
    <s v="6358869319"/>
    <s v="1009163"/>
    <s v="Manjit Shah"/>
    <s v="Anil Matoo"/>
    <s v="Praveen Kuruvalli"/>
    <s v="Lakshman Iyer"/>
    <n v="0"/>
  </r>
  <r>
    <n v="5636"/>
    <n v="20057895"/>
    <s v="Bhagubhai Patel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ommercials"/>
    <m/>
    <s v="Administration"/>
    <s v="Administration"/>
    <s v="Hazira"/>
    <s v="Non Technical Support"/>
    <s v="Administration"/>
    <s v="Administration"/>
    <s v="74101001"/>
    <s v="Administration"/>
    <s v="Hazira"/>
    <d v="1965-06-01T00:00:00"/>
    <s v="58.03"/>
    <d v="2016-02-01T00:00:00"/>
    <d v="2023-05-31T00:00:00"/>
    <d v="2023-11-30T00:00:00"/>
    <d v="2023-11-30T00:00:00"/>
    <n v="71"/>
    <s v="B+"/>
    <s v="BCom-1988 , Intermediate-1981"/>
    <s v="26.09"/>
    <s v="07.07"/>
    <s v="34.04"/>
    <s v="00049721"/>
    <s v="Regional &amp; Corporate offices"/>
    <s v="296427"/>
    <s v="Lead - Commercials"/>
    <s v="Hazira"/>
    <s v="0031950030"/>
    <s v="HZ-Admin"/>
    <s v="2000HWO"/>
    <s v="20057888"/>
    <s v="Narinder Lamba"/>
    <s v="No"/>
    <s v="bhagubhai.patel@amns.in"/>
    <s v="9879102388"/>
    <s v="26754"/>
    <s v="Manjit Shah"/>
    <s v="Anil Matoo"/>
    <s v="Praveen Kuruvalli"/>
    <s v="Lakshman Iyer"/>
    <n v="0"/>
  </r>
  <r>
    <n v="5637"/>
    <n v="20057896"/>
    <s v="Chandravadan Patel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Transportation"/>
    <m/>
    <s v="Administration"/>
    <s v="Administration"/>
    <s v="Hazira"/>
    <s v="Non Technical Support"/>
    <s v="Administration"/>
    <s v="Administration"/>
    <s v="74101001"/>
    <s v="Administration"/>
    <s v="Hazira"/>
    <d v="1982-02-25T00:00:00"/>
    <s v="41.06"/>
    <d v="2016-02-01T00:00:00"/>
    <d v="2040-02-29T00:00:00"/>
    <m/>
    <d v="2040-02-29T00:00:00"/>
    <n v="6006"/>
    <s v="B+"/>
    <s v="MBA-2002 , Intermediate-1997 , Intermedi"/>
    <s v=""/>
    <s v="07.07"/>
    <s v="07.07"/>
    <s v="00049757"/>
    <s v="Facility Management"/>
    <s v="296428"/>
    <s v="Lead – Transportation"/>
    <s v="Hazira"/>
    <s v="0031950030"/>
    <s v="HZ-Admin"/>
    <s v="2000HWO"/>
    <s v="20059018"/>
    <s v="Sandeep Ray"/>
    <s v="No"/>
    <s v="chandravadan.patel@amns.in"/>
    <s v="9879101949"/>
    <s v="26755"/>
    <s v="Manjit Shah"/>
    <s v="Anil Matoo"/>
    <s v="Praveen Kuruvalli"/>
    <s v="Lakshman Iyer"/>
    <n v="0"/>
  </r>
  <r>
    <n v="5638"/>
    <n v="20057897"/>
    <s v="Mahipal Singh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Plant Admin"/>
    <m/>
    <s v="Administration"/>
    <s v="Administration"/>
    <s v="Hazira"/>
    <s v="Non Technical Support"/>
    <s v="Administration"/>
    <s v="Administration"/>
    <s v="74101001"/>
    <s v="Administration"/>
    <s v="Hazira"/>
    <d v="1969-07-01T00:00:00"/>
    <s v="54.02"/>
    <d v="2016-02-01T00:00:00"/>
    <d v="2027-06-30T00:00:00"/>
    <m/>
    <d v="2027-06-30T00:00:00"/>
    <n v="1379"/>
    <s v="B+"/>
    <s v="MSc-1992 , BSc-1990 , Intermediate-1987"/>
    <s v="06.11"/>
    <s v="07.07"/>
    <s v="14.06"/>
    <s v="00049777"/>
    <s v="Plant Administration"/>
    <s v="296429"/>
    <s v="Lead – Plant Admin"/>
    <s v="Hazira"/>
    <s v="0031950030"/>
    <s v="HZ-Admin"/>
    <s v="2000HWO"/>
    <s v="20057892"/>
    <s v="Taj Baby"/>
    <s v="No"/>
    <s v="mahipal.singh@amns.in"/>
    <s v="9879100736"/>
    <s v="26756"/>
    <s v="Manjit Shah"/>
    <s v="Anil Matoo"/>
    <s v="Praveen Kuruvalli"/>
    <s v="Lakshman Iyer"/>
    <n v="0"/>
  </r>
  <r>
    <n v="5639"/>
    <n v="20057898"/>
    <s v="Prakash Jha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Township"/>
    <m/>
    <s v="Administration"/>
    <s v="Administration"/>
    <s v="Hazira"/>
    <s v="Non Technical Support"/>
    <s v="Administration"/>
    <s v="Administration"/>
    <s v="74101001"/>
    <s v="Administration"/>
    <s v="Hazira"/>
    <d v="1969-10-09T00:00:00"/>
    <s v="53.11"/>
    <d v="2016-02-01T00:00:00"/>
    <d v="2027-10-31T00:00:00"/>
    <m/>
    <d v="2027-10-31T00:00:00"/>
    <n v="1502"/>
    <s v="O+"/>
    <s v="BA-1989"/>
    <s v="07.00"/>
    <s v="07.07"/>
    <s v="14.07"/>
    <s v="00049757"/>
    <s v="Facility Management"/>
    <s v="296430"/>
    <s v="Lead – Township"/>
    <s v="Hazira"/>
    <s v="0031950030"/>
    <s v="HZ-Admin"/>
    <s v="2000HWO"/>
    <s v="20059018"/>
    <s v="Sandeep Ray"/>
    <s v="No"/>
    <s v="prakash.jha@amns.in"/>
    <s v="9879102444"/>
    <s v="26751"/>
    <s v="Manjit Shah"/>
    <s v="Anil Matoo"/>
    <s v="Praveen Kuruvalli"/>
    <s v="Lakshman Iyer"/>
    <n v="0"/>
  </r>
  <r>
    <n v="5640"/>
    <n v="20057899"/>
    <s v="Dharmendrasinh Rathod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Plant Admin"/>
    <m/>
    <s v="Administration"/>
    <s v="Administration"/>
    <s v="Hazira"/>
    <s v="Non Technical Support"/>
    <s v="Administration"/>
    <s v="Administration"/>
    <s v="74101001"/>
    <s v="Administration"/>
    <s v="Hazira"/>
    <d v="1981-05-22T00:00:00"/>
    <s v="42.03"/>
    <d v="2016-02-01T00:00:00"/>
    <d v="2039-05-31T00:00:00"/>
    <m/>
    <d v="2039-05-31T00:00:00"/>
    <n v="5732"/>
    <s v="B+"/>
    <s v="MCom-2006 , BCom-2004 , Intermediate-200"/>
    <s v="15.06"/>
    <s v="07.07"/>
    <s v="23.01"/>
    <s v="00049777"/>
    <s v="Plant Administration"/>
    <s v="296431"/>
    <s v="Lead – Plant Admin"/>
    <s v="Hazira"/>
    <s v="0031950030"/>
    <s v="HZ-Admin"/>
    <s v="2000HWO"/>
    <s v="20057892"/>
    <s v="Taj Baby"/>
    <s v="No"/>
    <s v="dharmendrasinh.rathod@amns.in"/>
    <s v="9879103363"/>
    <s v="26759"/>
    <s v="Manjit Shah"/>
    <s v="Anil Matoo"/>
    <s v="Praveen Kuruvalli"/>
    <s v="Lakshman Iyer"/>
    <n v="0"/>
  </r>
  <r>
    <n v="5641"/>
    <n v="20057900"/>
    <s v="Ananda Reddy Mallireddygari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Plant Admin"/>
    <m/>
    <s v="Administration"/>
    <s v="Administration"/>
    <s v="Hazira"/>
    <s v="Non Technical Support"/>
    <s v="Administration"/>
    <s v="Administration"/>
    <s v="74101001"/>
    <s v="Administration"/>
    <s v="Hazira"/>
    <d v="1987-05-09T00:00:00"/>
    <s v="36.04"/>
    <d v="2021-11-18T00:00:00"/>
    <d v="2045-05-31T00:00:00"/>
    <m/>
    <d v="2045-05-31T00:00:00"/>
    <n v="7924"/>
    <s v="O+"/>
    <s v="BA-2006 , Intermediate-2004 , Intermedia"/>
    <s v="02.05"/>
    <s v="01.10"/>
    <s v="04.03"/>
    <s v="00049777"/>
    <s v="Plant Administration"/>
    <s v="296432"/>
    <s v="Lead – Plant Admin"/>
    <s v="Hazira"/>
    <s v="0031950030"/>
    <s v="HZ-Admin"/>
    <s v="2000HWO"/>
    <s v="20057892"/>
    <s v="Taj Baby"/>
    <s v="No"/>
    <s v="ananda.reddy@amns.in"/>
    <s v="7990166042"/>
    <s v="868382"/>
    <s v="Manjit Shah"/>
    <s v="Anil Matoo"/>
    <s v="Praveen Kuruvalli"/>
    <s v="Lakshman Iyer"/>
    <n v="0"/>
  </r>
  <r>
    <n v="5642"/>
    <n v="20057901"/>
    <s v="Amit Pandit"/>
    <s v="AM/NS India"/>
    <s v="Onroll"/>
    <s v="M-9"/>
    <n v="9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Hospitality"/>
    <m/>
    <s v="Administration"/>
    <s v="Administration"/>
    <s v="Hazira"/>
    <s v="Non Technical Support"/>
    <s v="Administration"/>
    <s v="Administration"/>
    <s v="74101001"/>
    <s v="Administration"/>
    <s v="Hazira"/>
    <d v="1991-03-15T00:00:00"/>
    <s v="32.06"/>
    <d v="2021-11-19T00:00:00"/>
    <d v="2049-03-31T00:00:00"/>
    <m/>
    <d v="2049-03-31T00:00:00"/>
    <n v="9324"/>
    <s v="O+"/>
    <s v="BSc-2015 , Intermediate-2009"/>
    <s v="03.07"/>
    <s v="01.09"/>
    <s v="05.04"/>
    <s v="00049757"/>
    <s v="Facility Management"/>
    <s v="296433"/>
    <s v="Lead – Hospitality"/>
    <s v="Hazira"/>
    <s v="0031950030"/>
    <s v="HZ-Admin"/>
    <s v="2000HWO"/>
    <s v="20059018"/>
    <s v="Sandeep Ray"/>
    <s v="No"/>
    <s v="amit.pandit@amns.in"/>
    <s v="8800981974"/>
    <s v="868383"/>
    <s v="Manjit Shah"/>
    <s v="Anil Matoo"/>
    <s v="Praveen Kuruvalli"/>
    <s v="Lakshman Iyer"/>
    <n v="0"/>
  </r>
  <r>
    <n v="5643"/>
    <n v="20057902"/>
    <s v="Umeshkumar Sharma"/>
    <s v="AM/NS India"/>
    <s v="Onroll"/>
    <s v="M-9"/>
    <n v="9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Horticulture"/>
    <m/>
    <s v="Administration"/>
    <s v="Administration"/>
    <s v="Hazira"/>
    <s v="Non Technical Support"/>
    <s v="Administration"/>
    <s v="Administration"/>
    <s v="74101001"/>
    <s v="Administration"/>
    <s v="Hazira"/>
    <d v="1986-11-18T00:00:00"/>
    <s v="36.10"/>
    <d v="2022-07-25T00:00:00"/>
    <d v="2044-11-30T00:00:00"/>
    <m/>
    <d v="2044-11-30T00:00:00"/>
    <n v="7742"/>
    <s v="O+"/>
    <s v="PG Diploma in Management-2011 , BSc-2008"/>
    <s v="10.07"/>
    <s v="01.01"/>
    <s v="11.09"/>
    <s v="00049757"/>
    <s v="Facility Management"/>
    <s v="296434"/>
    <s v="Lead - Horticulture"/>
    <s v="Hazira"/>
    <s v="0031950030"/>
    <s v="HZ-Admin"/>
    <s v="2000HWO"/>
    <s v="20059018"/>
    <s v="Sandeep Ray"/>
    <s v="No"/>
    <s v="umeshkumar.sharma@amns.in"/>
    <s v="9265998762"/>
    <s v="1009164"/>
    <s v="Manjit Shah"/>
    <s v="Anil Matoo"/>
    <s v="Praveen Kuruvalli"/>
    <s v="Lakshman Iyer"/>
    <n v="0"/>
  </r>
  <r>
    <n v="5644"/>
    <n v="20057903"/>
    <s v="Biswajit Saha"/>
    <s v="AM/NS India"/>
    <s v="Onroll"/>
    <s v="M-10"/>
    <n v="10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ommunications"/>
    <m/>
    <s v="Administration"/>
    <s v="Administration"/>
    <s v="Hazira"/>
    <s v="Non Technical Support"/>
    <s v="Administration"/>
    <s v="Administration"/>
    <s v="74101001"/>
    <s v="Administration"/>
    <s v="Hazira"/>
    <d v="1996-11-17T00:00:00"/>
    <s v="26.10"/>
    <d v="2022-04-16T00:00:00"/>
    <d v="2054-11-30T00:00:00"/>
    <m/>
    <d v="2054-11-30T00:00:00"/>
    <n v="11394"/>
    <s v="A+"/>
    <s v="BSc-2018 , Intermediate-2015 , Intermedi"/>
    <s v="00.11"/>
    <s v="01.05"/>
    <s v="02.04"/>
    <s v="00049757"/>
    <s v="Facility Management"/>
    <s v="296435"/>
    <s v="Lead - Communications"/>
    <s v="Hazira"/>
    <s v="0031950030"/>
    <s v="HZ-Admin"/>
    <s v="2000HWO"/>
    <s v="20059018"/>
    <s v="Sandeep Ray"/>
    <s v="No"/>
    <s v="biswajit.saha@amns.in"/>
    <s v="9903484279"/>
    <s v="891591"/>
    <s v="Manjit Shah"/>
    <s v="Anil Matoo"/>
    <s v="Praveen Kuruvalli"/>
    <s v="Lakshman Iyer"/>
    <n v="0"/>
  </r>
  <r>
    <n v="5658"/>
    <n v="20057920"/>
    <s v="Ghanshyam Gajera"/>
    <s v="AM/NS India"/>
    <s v="Onroll"/>
    <s v="M-8"/>
    <n v="8"/>
    <m/>
    <s v="JM"/>
    <s v="M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Finance &amp; Accounts"/>
    <s v="Insurance &amp; Risk Management"/>
    <s v="73905001"/>
    <s v="Insurance &amp; Risk Managmen"/>
    <s v="Hazira"/>
    <d v="1991-11-25T00:00:00"/>
    <s v="31.09"/>
    <d v="2023-01-02T00:00:00"/>
    <d v="2049-11-30T00:00:00"/>
    <m/>
    <d v="2049-11-30T00:00:00"/>
    <n v="9568"/>
    <s v="B+"/>
    <s v="BCom-2012 , Intermediate-2007"/>
    <s v="04.03"/>
    <s v="00.08"/>
    <s v="05.00"/>
    <s v="00044330"/>
    <s v="Internal Audit - Hazira"/>
    <s v="70432761"/>
    <s v="Lead - Internal Audit"/>
    <s v="Hazira"/>
    <s v="0090000035"/>
    <s v="Internal Audit"/>
    <s v="2000HWO"/>
    <s v="20028777"/>
    <s v="Narendra Dugar"/>
    <s v="No"/>
    <s v="ghanshyam.gajera@amns.in"/>
    <s v="8866214535"/>
    <s v="1027737"/>
    <s v="Dhruv Vyas"/>
    <s v="Anil Matoo"/>
    <s v="Praveen Kuruvalli"/>
    <s v="Dhruv Vyas"/>
    <n v="0"/>
  </r>
  <r>
    <n v="5659"/>
    <n v="20057921"/>
    <s v="Suresh Kumar Murugan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, Chennai"/>
    <m/>
    <s v="South"/>
    <s v="Auto"/>
    <s v=""/>
    <s v="Non Technical Support"/>
    <s v="Sales &amp; Marketing"/>
    <s v="Sales"/>
    <s v="73104004"/>
    <s v="OEM Sales"/>
    <s v="Chennai"/>
    <d v="1995-04-03T00:00:00"/>
    <s v="28.05"/>
    <d v="2023-01-02T00:00:00"/>
    <d v="2053-04-30T00:00:00"/>
    <m/>
    <d v="2053-04-30T00:00:00"/>
    <n v="10815"/>
    <s v="O+"/>
    <s v="BE-2017 , Diploma-2013 , Intermediate-20"/>
    <s v="03.06"/>
    <s v="00.08"/>
    <s v="04.02"/>
    <s v="00052470"/>
    <s v="Automotive Sales - Chennai"/>
    <s v="70495037"/>
    <s v="KAM – Automotive Sales"/>
    <s v="Hazira"/>
    <s v="0031950057"/>
    <s v="HZ-HRC - Marketing"/>
    <s v="2000HWO"/>
    <s v="20053562"/>
    <s v="Shankar Murugan"/>
    <s v="No"/>
    <s v="suresh.kumar35@amns.in"/>
    <s v="8807105635"/>
    <s v="1027742"/>
    <s v="Dhruv Vyas"/>
    <s v="Anil Matoo"/>
    <s v="Praveen Kuruvalli"/>
    <s v="Dhruv Vyas"/>
    <n v="0"/>
  </r>
  <r>
    <n v="5660"/>
    <n v="20057922"/>
    <s v="Venkatraman Balasubramanian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, Chennai"/>
    <m/>
    <s v="South"/>
    <s v="Hypermart"/>
    <s v="Material Planning &amp; Repairs"/>
    <s v="Non Technical Support"/>
    <s v="Sales &amp; Marketing"/>
    <s v="Sales"/>
    <s v="73104004"/>
    <s v="OEM Sales"/>
    <s v="Chennai"/>
    <d v="1993-02-26T00:00:00"/>
    <s v="30.06"/>
    <d v="2023-01-02T00:00:00"/>
    <d v="2051-02-28T00:00:00"/>
    <m/>
    <d v="2051-02-28T00:00:00"/>
    <n v="10023"/>
    <s v="O+"/>
    <s v="BE-2015 , Diploma-2012"/>
    <s v="04.08"/>
    <s v="00.08"/>
    <s v="05.04"/>
    <s v="00048814"/>
    <s v="Sales South Zone – Hypermart"/>
    <s v="70372403"/>
    <s v="Sales Manager - Hypermart"/>
    <s v="Hazira"/>
    <s v="0031950057"/>
    <s v="HZ-HRC - Marketing"/>
    <s v="2000HWO"/>
    <s v="20056279"/>
    <s v="Arun G"/>
    <s v="No"/>
    <s v="venkatraman.b@amns.in"/>
    <s v="9600595027"/>
    <s v="1027812"/>
    <s v="Dhruv Vyas"/>
    <s v="Anil Matoo"/>
    <s v="Praveen Kuruvalli"/>
    <s v="Dhruv Vyas"/>
    <n v="0"/>
  </r>
  <r>
    <n v="5662"/>
    <n v="20057924"/>
    <s v="Jigneshkumar Patel"/>
    <s v="AM/NS India"/>
    <s v="Onroll"/>
    <s v="M-9"/>
    <n v="9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ommercials"/>
    <m/>
    <s v="Administration"/>
    <s v="Administration"/>
    <s v="Hazira"/>
    <s v="Non Technical Support"/>
    <s v="Administration"/>
    <s v="Administration"/>
    <s v="74101001"/>
    <s v="Administration"/>
    <s v="Hazira"/>
    <d v="1985-07-04T00:00:00"/>
    <s v="38.02"/>
    <d v="2022-11-15T00:00:00"/>
    <d v="2043-07-31T00:00:00"/>
    <m/>
    <d v="2043-07-31T00:00:00"/>
    <n v="7254"/>
    <s v="B+"/>
    <s v="MBA-2010 , BCom-2006 , Intermediate-2003"/>
    <s v="10.09"/>
    <s v="00.10"/>
    <s v="11.06"/>
    <s v="00049721"/>
    <s v="Regional &amp; Corporate offices"/>
    <s v="296436"/>
    <s v="Lead - Commercials"/>
    <s v="Hazira"/>
    <s v="0031950030"/>
    <s v="HZ-Admin"/>
    <s v="2000HWO"/>
    <s v="20057888"/>
    <s v="Narinder Lamba"/>
    <s v="No"/>
    <s v="jignesh.patel37@amns.in"/>
    <s v="8238007629"/>
    <s v="1025501"/>
    <s v="Manjit Shah"/>
    <s v="Anil Matoo"/>
    <s v="Praveen Kuruvalli"/>
    <s v="Lakshman Iyer"/>
    <n v="0"/>
  </r>
  <r>
    <n v="5663"/>
    <n v="20057925"/>
    <s v="Stuti Agrawal"/>
    <s v="AM/NS India"/>
    <s v="Onroll"/>
    <s v="M-8"/>
    <n v="8"/>
    <m/>
    <s v="JM"/>
    <s v="F"/>
    <s v="Corporate"/>
    <n v="7"/>
    <s v="2099"/>
    <x v="19"/>
    <s v="02.01"/>
    <s v="Raghavan Aravamudhan"/>
    <s v="Dilip Oommen"/>
    <n v="1"/>
    <s v="CEO Office"/>
    <s v="Business Strategy"/>
    <s v="02"/>
    <s v="Analyst - Business Strategy"/>
    <m/>
    <s v="Business Strategy"/>
    <s v="Business Strategy"/>
    <s v=""/>
    <s v="Non Technical Support"/>
    <s v="Sales &amp; Marketing"/>
    <s v="Business Development"/>
    <s v="73103001"/>
    <s v="Business Development"/>
    <s v="Mumbai"/>
    <d v="1998-11-04T00:00:00"/>
    <s v="24.10"/>
    <d v="2023-01-03T00:00:00"/>
    <d v="2056-11-30T00:00:00"/>
    <m/>
    <d v="2056-11-30T00:00:00"/>
    <n v="12125"/>
    <s v="B+"/>
    <s v="BCom-2019 , CA Final-2020 , Intermediate"/>
    <s v="01.06"/>
    <s v="00.08"/>
    <s v="02.03"/>
    <s v="70494715"/>
    <s v="Business Strategy"/>
    <s v="272449"/>
    <s v="Analyst - Business Strategy"/>
    <s v="Corporate"/>
    <s v="0090000022"/>
    <s v="Business Strategy"/>
    <s v="2000CS"/>
    <s v="20055135"/>
    <s v="Raghavan Aravamudhan"/>
    <s v="No"/>
    <s v="stuti.agrawal@amns.in"/>
    <s v="8770315026"/>
    <s v="1027935"/>
    <s v="Dhruv Vyas"/>
    <s v="Anil Matoo"/>
    <s v="Praveen Kuruvalli"/>
    <s v="Dhruv Vyas"/>
    <n v="0"/>
  </r>
  <r>
    <n v="5665"/>
    <n v="20057927"/>
    <s v="Surbhi Kothari"/>
    <s v="AM/NS India"/>
    <s v="Onroll"/>
    <s v="M-7"/>
    <n v="7"/>
    <m/>
    <s v="MM"/>
    <s v="F"/>
    <s v="Hazira"/>
    <n v="1"/>
    <s v="2013"/>
    <x v="0"/>
    <s v="20.01"/>
    <s v="Akiyo Omori"/>
    <s v="Amit Harlalka"/>
    <n v="5"/>
    <s v="Finance &amp; Accounts"/>
    <s v="Finance &amp; Accounts"/>
    <s v="20"/>
    <s v="Lead – Indirect Tax, Litigation"/>
    <m/>
    <s v="Finance &amp; Accounts"/>
    <s v="In Direct - Taxation"/>
    <s v=""/>
    <s v="Non Technical Support"/>
    <s v=""/>
    <s v=""/>
    <s v=""/>
    <s v=""/>
    <s v="Hazira"/>
    <d v="1993-02-18T00:00:00"/>
    <s v="30.07"/>
    <d v="2023-01-05T00:00:00"/>
    <d v="2051-02-28T00:00:00"/>
    <m/>
    <d v="2051-02-28T00:00:00"/>
    <n v="10023"/>
    <s v="AB+"/>
    <s v="CA Final-2016 , BCom-2014 , Intermediate"/>
    <s v="04.09"/>
    <s v="00.08"/>
    <s v="05.06"/>
    <s v="70282653"/>
    <s v="GST"/>
    <s v="283969"/>
    <s v="Lead – Indirect Tax, Litigation"/>
    <s v="Hazira"/>
    <s v="0090000033"/>
    <s v="Corporate Taxation"/>
    <s v="2000HWO"/>
    <s v="20055962"/>
    <s v="Navin Kewalramani"/>
    <s v="No"/>
    <s v="surbhi.kothari@amns.in"/>
    <s v="9414161312"/>
    <s v="1028055"/>
    <s v="Dhruv Vyas"/>
    <s v="Anil Matoo"/>
    <s v="Praveen Kuruvalli"/>
    <s v="Dhruv Vyas"/>
    <n v="0"/>
  </r>
  <r>
    <n v="5666"/>
    <n v="20057928"/>
    <s v="Manu Kapoor"/>
    <s v="AM/NS India"/>
    <s v="Onroll"/>
    <s v="M-2"/>
    <n v="2"/>
    <m/>
    <s v="TM"/>
    <s v="M"/>
    <s v="Corporate"/>
    <n v="7"/>
    <s v="2039"/>
    <x v="2"/>
    <s v="43.01"/>
    <s v="Manu Kapoor"/>
    <s v="Manu Kapoor"/>
    <n v="10"/>
    <s v="Corporate Affairs"/>
    <s v="Corporate Affairs"/>
    <s v="43"/>
    <s v="Head - Corporate Affairs"/>
    <m/>
    <s v="Corporate Affairs"/>
    <s v=""/>
    <s v=""/>
    <s v="Non Technical Support"/>
    <s v="Corporate Relations"/>
    <s v="Corporate Affairs"/>
    <s v="74501001"/>
    <s v="Corporate Affairs"/>
    <s v="Delhi"/>
    <d v="1963-12-29T00:00:00"/>
    <s v="59.08"/>
    <d v="2023-01-05T00:00:00"/>
    <d v="2023-12-31T00:00:00"/>
    <m/>
    <d v="2023-12-31T00:00:00"/>
    <n v="102"/>
    <s v="B+"/>
    <s v="MPhil-1987"/>
    <s v="10.08"/>
    <s v="00.08"/>
    <s v="11.04"/>
    <s v="70494938"/>
    <s v="Corporate Affairs"/>
    <s v="296988"/>
    <s v="Head Corporate Affairs"/>
    <s v="Confidential Payroll"/>
    <s v="0090000021"/>
    <s v="Corporate Affairs"/>
    <s v="2000CS"/>
    <s v="20055068"/>
    <s v="Dilip Oommen"/>
    <s v="No"/>
    <s v="manu.kapoor@amns.in"/>
    <s v="8826244477"/>
    <s v="1028171"/>
    <s v="Dhruv Vyas"/>
    <s v="Anil Matoo"/>
    <s v="Praveen Kuruvalli"/>
    <s v="Dhruv Vyas"/>
    <n v="0"/>
  </r>
  <r>
    <n v="5670"/>
    <n v="20057933"/>
    <s v="Akiyo Omori"/>
    <s v="AM/NS India"/>
    <s v="PDA"/>
    <s v="PDA"/>
    <n v="2"/>
    <m/>
    <s v="TM"/>
    <s v="F"/>
    <s v="Corporate"/>
    <n v="7"/>
    <s v="2013"/>
    <x v="0"/>
    <s v="20.01"/>
    <s v="Amit Harlalka"/>
    <s v="Amit Harlalka"/>
    <n v="5"/>
    <s v="Finance &amp; Accounts"/>
    <s v="Finance &amp; Accounts"/>
    <s v="20"/>
    <s v="Deputy Director Finance"/>
    <m/>
    <s v=""/>
    <s v=""/>
    <s v=""/>
    <s v="Non Technical Support"/>
    <s v=""/>
    <s v=""/>
    <s v="70494642"/>
    <s v="Deputy Director"/>
    <s v="Mumbai"/>
    <d v="1981-12-03T00:00:00"/>
    <s v="41.09"/>
    <d v="2023-01-01T00:00:00"/>
    <d v="2039-12-31T00:00:00"/>
    <m/>
    <d v="2039-12-31T00:00:00"/>
    <n v="5946"/>
    <s v=""/>
    <s v=""/>
    <s v=""/>
    <s v="00.08"/>
    <s v="00.08"/>
    <s v="70494654"/>
    <s v="Finance"/>
    <s v="70494648"/>
    <s v="Deputy Director Finance"/>
    <s v="Non-payroll-relevant"/>
    <s v="0090000013"/>
    <s v="Director-Fin-India"/>
    <s v="2000CS"/>
    <s v="20055088"/>
    <s v="Amit Harlalka"/>
    <s v="No"/>
    <s v="akiyo.omori@amns.in"/>
    <s v="8433957551"/>
    <s v="1028248"/>
    <s v="Dhruv Vyas"/>
    <s v="Anil Matoo"/>
    <s v="Praveen Kuruvalli"/>
    <s v="Dhruv Vyas"/>
    <n v="0"/>
  </r>
  <r>
    <n v="5677"/>
    <n v="20057941"/>
    <s v="Kruti Shah"/>
    <s v="AM/NS India"/>
    <s v="Onroll"/>
    <s v="M-9"/>
    <n v="9"/>
    <m/>
    <s v="JM"/>
    <s v="F"/>
    <s v="Hazira"/>
    <n v="1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2"/>
    <s v="Human Resources Operation"/>
    <s v="Hazira"/>
    <d v="1992-08-24T00:00:00"/>
    <s v="31.00"/>
    <d v="2023-01-09T00:00:00"/>
    <d v="2050-08-31T00:00:00"/>
    <m/>
    <d v="2050-08-31T00:00:00"/>
    <n v="9842"/>
    <s v="B+"/>
    <s v="MHRM-2016 , BBA-2014 , Intermediate-2010"/>
    <s v="06.07"/>
    <s v="00.08"/>
    <s v="07.03"/>
    <s v="00050209"/>
    <s v="Human Resources"/>
    <s v="297052"/>
    <s v="Lead - Human Resources"/>
    <s v="Hazira"/>
    <s v="0031950061"/>
    <s v="HZ-Human Resource"/>
    <s v="2000HWO"/>
    <s v="20039780"/>
    <s v="Srikanya Thakur"/>
    <s v="No"/>
    <s v="kruti.shah@amns.in"/>
    <s v="7486035466"/>
    <s v="1028345"/>
    <s v="Dhruv Vyas"/>
    <s v="Anil Matoo"/>
    <s v="Praveen Kuruvalli"/>
    <s v="Dhruv Vyas"/>
    <n v="0"/>
  </r>
  <r>
    <n v="5681"/>
    <n v="20057945"/>
    <s v="Ramakrishnan Govinthasamy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s v="Head-Technical Mktg. &amp; Application Engg."/>
    <s v="Non Technical Support"/>
    <s v="Sales &amp; Marketing"/>
    <s v="Marketing"/>
    <s v="73102001"/>
    <s v="Marketing"/>
    <s v="Hazira"/>
    <d v="1992-05-27T00:00:00"/>
    <s v="31.03"/>
    <d v="2023-01-09T00:00:00"/>
    <d v="2050-05-31T00:00:00"/>
    <m/>
    <d v="2050-05-31T00:00:00"/>
    <n v="9750"/>
    <s v="B+"/>
    <s v="Intermediate-2009"/>
    <s v="04.05"/>
    <s v="00.08"/>
    <s v="05.01"/>
    <s v="00052460"/>
    <s v="Auto &amp; YG"/>
    <s v="297165"/>
    <s v="Resident Engineer"/>
    <s v="Hazira"/>
    <s v="0031950057"/>
    <s v="HZ-HRC - Marketing"/>
    <s v="2000HWO"/>
    <s v="20056155"/>
    <s v="Kondapalli Venkateswarlu"/>
    <s v="No"/>
    <s v="ramakrishnan.m@amns.in"/>
    <s v="9901352718"/>
    <s v="1028485"/>
    <s v="Dhruv Vyas"/>
    <s v="Anil Matoo"/>
    <s v="Praveen Kuruvalli"/>
    <s v="Dhruv Vyas"/>
    <n v="0"/>
  </r>
  <r>
    <n v="5682"/>
    <n v="20057946"/>
    <s v="Suraj Pachorkar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OEM - Other West"/>
    <m/>
    <s v="Other West"/>
    <s v="OEM"/>
    <s v=""/>
    <s v="Non Technical Support"/>
    <s v="R&amp; D and QA/QC"/>
    <s v="R&amp;D"/>
    <s v="72103029"/>
    <s v="R&amp;D"/>
    <s v="Hazira"/>
    <d v="1994-07-01T00:00:00"/>
    <s v="29.02"/>
    <d v="2023-01-09T00:00:00"/>
    <d v="2052-06-30T00:00:00"/>
    <m/>
    <d v="2052-06-30T00:00:00"/>
    <n v="10511"/>
    <s v="O+"/>
    <s v="MBA-2019"/>
    <s v="03.06"/>
    <s v="00.08"/>
    <s v="04.01"/>
    <s v="70495309"/>
    <s v="Sales West Zone"/>
    <s v="256057"/>
    <s v="KAM - Automotive Sales"/>
    <s v="Hazira"/>
    <s v="0031950057"/>
    <s v="HZ-HRC - Marketing"/>
    <s v="2000HWO"/>
    <s v="20047683"/>
    <s v="Virat Vij"/>
    <s v="No"/>
    <s v="suraj.pachorkar@amns.in"/>
    <s v="9637307294"/>
    <s v="1028498"/>
    <s v="Dhruv Vyas"/>
    <s v="Anil Matoo"/>
    <s v="Praveen Kuruvalli"/>
    <s v="Dhruv Vyas"/>
    <n v="0"/>
  </r>
  <r>
    <n v="5684"/>
    <n v="20057948"/>
    <s v="Akshit Oswal"/>
    <s v="AM/NS India"/>
    <s v="Onroll"/>
    <s v="M-9"/>
    <n v="9"/>
    <m/>
    <s v="JM"/>
    <s v="M"/>
    <s v="Corporate"/>
    <n v="7"/>
    <s v="2060"/>
    <x v="24"/>
    <s v="39.01"/>
    <s v="Sanjay Sharma"/>
    <s v="Sanjay Sharma"/>
    <n v="8"/>
    <s v="Business Development"/>
    <s v="Business Development"/>
    <s v="39"/>
    <s v="Lead Business Development – M&amp;A"/>
    <m/>
    <s v="Business Development"/>
    <s v=""/>
    <s v=""/>
    <s v="Non Technical Support"/>
    <s v="Sales &amp; Marketing"/>
    <s v="Business Development"/>
    <s v="73103001"/>
    <s v="Business Development"/>
    <s v="Mumbai"/>
    <d v="1999-09-27T00:00:00"/>
    <s v="23.11"/>
    <d v="2023-01-11T00:00:00"/>
    <d v="2057-09-30T00:00:00"/>
    <m/>
    <d v="2057-09-30T00:00:00"/>
    <n v="12429"/>
    <s v="B+"/>
    <s v="CA Final-2021 , Intermediate-2017"/>
    <s v="01.02"/>
    <s v="00.08"/>
    <s v="01.10"/>
    <s v="00050003"/>
    <s v="Business Development - M&amp;A"/>
    <s v="297438"/>
    <s v="Lead Business Development – M&amp;A"/>
    <s v="Corporate"/>
    <s v="0090000032"/>
    <s v="Business Devpelopmen"/>
    <s v="2000CS"/>
    <s v="20055804"/>
    <s v="Ankushkumar Shah"/>
    <s v="No"/>
    <s v="akshit.oswal@amns.in"/>
    <s v="9689043909"/>
    <s v="1028835"/>
    <s v="Dhruv Vyas"/>
    <s v="Anil Matoo"/>
    <s v="Praveen Kuruvalli"/>
    <s v="Dhruv Vyas"/>
    <n v="0"/>
  </r>
  <r>
    <n v="5696"/>
    <n v="20057961"/>
    <s v="Udaibir Singh"/>
    <s v="AM/NS India"/>
    <s v="Onroll"/>
    <s v="M-6"/>
    <n v="6"/>
    <m/>
    <s v="MM"/>
    <s v="M"/>
    <s v="Corporate"/>
    <n v="7"/>
    <s v="2096"/>
    <x v="14"/>
    <s v="36.02"/>
    <s v="Hrishikesh Kamat"/>
    <s v="Hrishikesh Kamat"/>
    <n v="7"/>
    <s v="Procurement"/>
    <s v="Raw Materials"/>
    <s v="36"/>
    <s v="Lead – Power Procurement"/>
    <m/>
    <s v="Procurement"/>
    <s v="Power &amp; Gas"/>
    <s v="Power &amp; Gas"/>
    <s v="Tech. Support Services"/>
    <s v="Commercial"/>
    <s v="Procurement"/>
    <s v="73803001"/>
    <s v="Procurement"/>
    <s v="Mumbai"/>
    <d v="1987-01-15T00:00:00"/>
    <s v="36.08"/>
    <d v="2023-01-16T00:00:00"/>
    <d v="2045-01-31T00:00:00"/>
    <m/>
    <d v="2045-01-31T00:00:00"/>
    <n v="7804"/>
    <s v="AB+"/>
    <s v="MSc-2014 , BTech-2009 , Intermediate-200"/>
    <s v="13.06"/>
    <s v="00.08"/>
    <s v="14.02"/>
    <s v="00049516"/>
    <s v="Power &amp; Gas"/>
    <s v="298089"/>
    <s v="Lead – Power Procurement"/>
    <s v="Corporate"/>
    <s v="0031950048"/>
    <s v=""/>
    <s v="2000CS"/>
    <s v="20004612"/>
    <s v="Ramesh Chabhadiya"/>
    <s v="No"/>
    <s v="udaibir.singh@amns.in"/>
    <s v="9987513900"/>
    <s v="1029952"/>
    <s v="Dhruv Vyas"/>
    <s v="Anil Matoo"/>
    <s v="Praveen Kuruvalli"/>
    <s v="Dhruv Vyas"/>
    <n v="0"/>
  </r>
  <r>
    <n v="5700"/>
    <n v="20057965"/>
    <s v="Devarshi Naik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anteen Administration"/>
    <m/>
    <s v="Administration"/>
    <s v=""/>
    <s v=""/>
    <s v="Non Technical Support"/>
    <s v="Administration"/>
    <s v="Administration"/>
    <s v="74101001"/>
    <s v="Administration"/>
    <s v="Hazira"/>
    <d v="1989-03-08T00:00:00"/>
    <s v="34.06"/>
    <d v="2023-01-23T00:00:00"/>
    <d v="2047-03-31T00:00:00"/>
    <m/>
    <d v="2047-03-31T00:00:00"/>
    <n v="8593"/>
    <s v="A+"/>
    <s v="BBA-2010 , Intermediate-2006 , Intermedi"/>
    <s v="02.00"/>
    <s v="00.07"/>
    <s v="02.07"/>
    <s v="00049777"/>
    <s v="Plant Administration"/>
    <s v="298229"/>
    <s v="Lead - Canteen Administration"/>
    <s v="Hazira"/>
    <s v="0090000018"/>
    <s v=""/>
    <s v="2000HWO"/>
    <s v="20057892"/>
    <s v="Taj Baby"/>
    <s v="No"/>
    <s v="devarshi.naik@amns.in"/>
    <s v="8469791912"/>
    <s v="1030194"/>
    <s v="Manjit Shah"/>
    <s v="Anil Matoo"/>
    <s v="Praveen Kuruvalli"/>
    <s v="Lakshman Iyer"/>
    <n v="0"/>
  </r>
  <r>
    <n v="5702"/>
    <n v="20057967"/>
    <s v="Anoop Cherian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– OEM Sales"/>
    <m/>
    <s v="South"/>
    <s v="Auto"/>
    <s v="RHTOB &amp; Ladle Managementc"/>
    <s v="Non Technical Support"/>
    <s v="Sales &amp; Marketing"/>
    <s v="Sales"/>
    <s v="73104004"/>
    <s v="OEM Sales"/>
    <s v="Chennai"/>
    <d v="1984-09-05T00:00:00"/>
    <s v="39.00"/>
    <d v="2023-01-23T00:00:00"/>
    <d v="2042-09-30T00:00:00"/>
    <m/>
    <d v="2042-09-30T00:00:00"/>
    <n v="6950"/>
    <s v="AB+"/>
    <s v="BTech-2006 , Intermediate-2000"/>
    <s v="13.05"/>
    <s v="00.07"/>
    <s v="14.01"/>
    <s v="00052468"/>
    <s v="Automotive Sales - Chennai"/>
    <s v="298232"/>
    <s v="KAM – Automotive Sales"/>
    <s v="Service Center"/>
    <s v="0031950057"/>
    <s v=""/>
    <s v="2000CS"/>
    <s v="20047658"/>
    <s v="Balamurugan Gurusamy"/>
    <s v="No"/>
    <s v="anoop.cherian@amns.in"/>
    <s v="9790861571"/>
    <s v="1030230"/>
    <s v="Dhruv Vyas"/>
    <s v="Anil Matoo"/>
    <s v="Praveen Kuruvalli"/>
    <s v="Dhruv Vyas"/>
    <n v="0"/>
  </r>
  <r>
    <n v="5711"/>
    <n v="20057977"/>
    <s v="Utkarsh Garhwal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– Coated Products"/>
    <m/>
    <s v="Sales Steering &amp; BD"/>
    <s v="Coated Marketing"/>
    <s v="National Sales"/>
    <s v="Non Technical Support"/>
    <s v="Sales &amp; Marketing"/>
    <s v="Sales &amp; Marketing"/>
    <s v="73101001"/>
    <s v="Sales &amp; Marketing"/>
    <s v="Pune"/>
    <d v="1992-12-24T00:00:00"/>
    <s v="30.08"/>
    <d v="2023-01-30T00:00:00"/>
    <d v="2050-12-31T00:00:00"/>
    <m/>
    <d v="2050-12-31T00:00:00"/>
    <n v="9964"/>
    <s v="O+"/>
    <s v="Intermediate-2015 , Intermediate-2010 ,"/>
    <s v="01.02"/>
    <s v="00.07"/>
    <s v="01.09"/>
    <s v="70492562"/>
    <s v="Domestic Sales"/>
    <s v="273359"/>
    <s v="Lead – Coated Marketing"/>
    <s v="Hazira"/>
    <s v="0080000001"/>
    <s v=""/>
    <s v="2000HWO"/>
    <s v="20036409"/>
    <s v="Ranjith Nambiar"/>
    <s v="No"/>
    <s v="utkarsh.garhwal@amns.in"/>
    <s v="8999703677"/>
    <s v="1032433"/>
    <s v="Dhruv Vyas"/>
    <s v="Anil Matoo"/>
    <s v="Praveen Kuruvalli"/>
    <s v="Dhruv Vyas"/>
    <n v="0"/>
  </r>
  <r>
    <n v="5720"/>
    <n v="20057987"/>
    <s v="Ravi Kumar Gupta"/>
    <s v="AM/NS India"/>
    <s v="Onroll"/>
    <s v="M-8"/>
    <n v="8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Officer – Accounts Payable"/>
    <m/>
    <s v="Finance &amp; Accounts"/>
    <s v="Accounts Payable"/>
    <s v="Export, Domestic &amp; Banking"/>
    <s v="Non Technical Support"/>
    <s v=""/>
    <s v=""/>
    <s v=""/>
    <s v=""/>
    <s v="Paradeep"/>
    <d v="1984-03-19T00:00:00"/>
    <s v="39.06"/>
    <d v="2023-02-13T00:00:00"/>
    <d v="2042-03-31T00:00:00"/>
    <m/>
    <d v="2042-03-31T00:00:00"/>
    <n v="6767"/>
    <s v="B+"/>
    <s v="MBA-2008 , BCom-2006 , Intermediate-2001"/>
    <s v="14.05"/>
    <s v="00.07"/>
    <s v="15.00"/>
    <s v="72150243"/>
    <s v="Accounts Payable"/>
    <s v="70494028"/>
    <s v="Officer – Accounts Payable"/>
    <s v="Odisha"/>
    <s v="0031950045"/>
    <s v=""/>
    <s v="2000STORIS"/>
    <s v="20001076"/>
    <s v="Bhavesh Modi"/>
    <s v="No"/>
    <s v="ravi.gupta@amns.in"/>
    <s v="7077770046"/>
    <s v="1033376"/>
    <s v="Sunila Das"/>
    <s v="Anil Matoo"/>
    <s v="Praveen Kuruvalli"/>
    <s v="Sunila Das"/>
    <n v="0"/>
  </r>
  <r>
    <n v="5723"/>
    <n v="20057990"/>
    <s v="Pankajakshi Harinaidu"/>
    <s v="AM/NS India"/>
    <s v="Onroll"/>
    <s v="M-8"/>
    <n v="8"/>
    <m/>
    <s v="JM"/>
    <s v="F"/>
    <s v="Service Centers"/>
    <n v="6"/>
    <s v="2015"/>
    <x v="1"/>
    <s v="22.06"/>
    <s v="Praveen Kuruvalli"/>
    <s v="Ashutosh Telang"/>
    <n v="6"/>
    <s v="HR &amp; Administration"/>
    <s v="Human Resources"/>
    <s v="22"/>
    <s v="Lead - Human Resources"/>
    <m/>
    <s v="Human Resources"/>
    <s v=""/>
    <s v=""/>
    <s v="Non Technical Support"/>
    <s v=""/>
    <s v=""/>
    <s v=""/>
    <s v=""/>
    <s v="Chennai"/>
    <d v="1974-03-27T00:00:00"/>
    <s v="49.05"/>
    <d v="2023-02-03T00:00:00"/>
    <d v="2032-03-31T00:00:00"/>
    <m/>
    <d v="2032-03-31T00:00:00"/>
    <n v="3115"/>
    <s v="B+"/>
    <s v="MBA-1996"/>
    <s v="01.06"/>
    <s v="00.07"/>
    <s v="02.01"/>
    <s v="00044376"/>
    <s v="Service Center &amp; Hypermart HR"/>
    <s v="259468"/>
    <s v="Lead - Human Resources"/>
    <s v="Service Center"/>
    <s v="0040030019"/>
    <s v="SC-Chennai-Op1-HR-Ad"/>
    <s v="2000SPRJ"/>
    <s v="20057135"/>
    <s v="RAHUL RAJ"/>
    <s v="No"/>
    <s v="pankajakshi.h@amns.in"/>
    <s v="8925821529"/>
    <s v="1033636"/>
    <s v="Dhruv Vyas"/>
    <s v="Anil Matoo"/>
    <s v="Praveen Kuruvalli"/>
    <s v="Dhruv Vyas"/>
    <n v="0"/>
  </r>
  <r>
    <n v="5725"/>
    <n v="20057992"/>
    <s v="Tanmay Deshpande"/>
    <s v="AM/NS India"/>
    <s v="Onroll"/>
    <s v="M-7"/>
    <n v="7"/>
    <m/>
    <s v="MM"/>
    <s v="M"/>
    <s v="Corporate"/>
    <n v="7"/>
    <s v="2060"/>
    <x v="24"/>
    <s v="39.01"/>
    <s v="Sanjay Sharma"/>
    <s v="Sanjay Sharma"/>
    <n v="8"/>
    <s v="Business Development"/>
    <s v="Business Development"/>
    <s v="39"/>
    <s v="Lead Business Development – M&amp;A"/>
    <m/>
    <s v="Business Development"/>
    <s v=""/>
    <s v=""/>
    <s v="Non Technical Support"/>
    <s v="Sales &amp; Marketing"/>
    <s v="Business Development"/>
    <s v="73103001"/>
    <s v="Business Development"/>
    <s v="Mumbai"/>
    <d v="1992-04-14T00:00:00"/>
    <s v="31.05"/>
    <d v="2023-02-15T00:00:00"/>
    <d v="2050-04-30T00:00:00"/>
    <m/>
    <d v="2050-04-30T00:00:00"/>
    <n v="9719"/>
    <s v="O+"/>
    <s v="PG Diploma-2018 , BTech-2015"/>
    <s v="04.08"/>
    <s v="00.07"/>
    <s v="05.03"/>
    <s v="00049729"/>
    <s v="Business Development - M&amp;A"/>
    <s v="300479"/>
    <s v="Lead Business Development – M&amp;A"/>
    <s v="Corporate"/>
    <s v="0090000032"/>
    <s v=""/>
    <s v="2000CS"/>
    <s v="20055182"/>
    <s v="Neha Soni"/>
    <s v="No"/>
    <s v="tanmay.deshpande@amns.in"/>
    <s v="8097520307"/>
    <s v="1033967"/>
    <s v="Dhruv Vyas"/>
    <s v="Anil Matoo"/>
    <s v="Praveen Kuruvalli"/>
    <s v="Dhruv Vyas"/>
    <n v="0"/>
  </r>
  <r>
    <n v="5731"/>
    <n v="20057999"/>
    <s v="Aarti Tejnani"/>
    <s v="AM/NS India"/>
    <s v="Onroll"/>
    <s v="M-9"/>
    <n v="9"/>
    <m/>
    <s v="JM"/>
    <s v="F"/>
    <s v="Corporate"/>
    <n v="7"/>
    <s v="2015"/>
    <x v="1"/>
    <s v="22.06"/>
    <s v="Anil Matoo"/>
    <s v="Ashutosh Telang"/>
    <n v="6"/>
    <s v="HR &amp; Administration"/>
    <s v="Human Resources"/>
    <s v="22"/>
    <s v="Executive Assistant"/>
    <m/>
    <s v="Human Resources"/>
    <s v=""/>
    <s v=""/>
    <s v="Non Technical Support"/>
    <s v="Human Resources Management"/>
    <s v="Human Resources Management"/>
    <s v="73501001"/>
    <s v="Human Resources"/>
    <s v="Mumbai"/>
    <d v="1988-11-22T00:00:00"/>
    <s v="34.09"/>
    <d v="2023-02-20T00:00:00"/>
    <d v="2046-11-30T00:00:00"/>
    <m/>
    <d v="2046-11-30T00:00:00"/>
    <n v="8472"/>
    <s v="O-"/>
    <s v="MBA-2019"/>
    <s v="01.04"/>
    <s v="00.06"/>
    <s v="01.11"/>
    <s v="00049042"/>
    <s v="HR &amp; Administration"/>
    <s v="300715"/>
    <s v="Executive Assistant"/>
    <s v="Corporate"/>
    <s v="0090000018"/>
    <s v=""/>
    <s v="2000CS"/>
    <s v="20057637"/>
    <s v="Ashutosh Telang"/>
    <s v="No"/>
    <s v="aarti.tejnani@amns.in"/>
    <s v="9004659639"/>
    <s v="1034349"/>
    <s v="Dhruv Vyas"/>
    <s v="Anil Matoo"/>
    <s v="Praveen Kuruvalli"/>
    <s v="Dhruv Vyas"/>
    <n v="0"/>
  </r>
  <r>
    <n v="5735"/>
    <n v="20058004"/>
    <s v="Kiran Kumar Athri Dattu Akondi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Sec Incharge - Procurement- Pellet Plant"/>
    <m/>
    <s v="Procurement"/>
    <s v="Purchase"/>
    <s v="Purchase"/>
    <s v="Non Technical Support"/>
    <s v=""/>
    <s v=""/>
    <s v=""/>
    <s v=""/>
    <s v="Vizag"/>
    <d v="1992-11-19T00:00:00"/>
    <s v="30.09"/>
    <d v="2023-03-04T00:00:00"/>
    <d v="2050-11-30T00:00:00"/>
    <m/>
    <d v="2050-11-30T00:00:00"/>
    <n v="9933"/>
    <s v="B+"/>
    <s v="Diploma-2011 , Intermediate-2008"/>
    <s v="11.07"/>
    <s v="00.06"/>
    <s v="12.01"/>
    <s v="70301353"/>
    <s v="Procurement - Vizag &amp; Chitrakonda"/>
    <s v="302201"/>
    <s v="Sec Incharge - Procurement- Pellet Plant"/>
    <s v="Vizag"/>
    <s v="0028020011"/>
    <s v=""/>
    <s v="2000VIZOPS"/>
    <s v="20000200"/>
    <s v="A Venkateswara Rao"/>
    <s v="No"/>
    <s v="kiran.akondi@amns.in"/>
    <s v="7207778393"/>
    <s v="1035963"/>
    <s v="DS Varma"/>
    <s v="Anil Matoo"/>
    <s v="Praveen Kuruvalli"/>
    <s v="Dhruv Vyas"/>
    <n v="0"/>
  </r>
  <r>
    <n v="5746"/>
    <n v="20058016"/>
    <s v="Krutikkumar Patel"/>
    <s v="AM/NS India"/>
    <s v="Onroll"/>
    <s v="M-7"/>
    <n v="7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SMP 1 &amp; 2, HSM, CSP, HBI, MH"/>
    <s v="Non Technical Support"/>
    <s v=""/>
    <s v=""/>
    <s v=""/>
    <s v=""/>
    <s v="Hazira"/>
    <d v="1991-09-04T00:00:00"/>
    <s v="32.00"/>
    <d v="2023-03-10T00:00:00"/>
    <d v="2049-09-30T00:00:00"/>
    <m/>
    <d v="2049-09-30T00:00:00"/>
    <n v="9507"/>
    <s v="O-"/>
    <s v="BE-2013 , Intermediate-2009 , Intermedia"/>
    <s v="09.08"/>
    <s v="00.06"/>
    <s v="10.01"/>
    <s v="70495670"/>
    <s v="Contracts"/>
    <s v="70259236"/>
    <s v="Lead - Contracts"/>
    <s v="Hazira"/>
    <s v="0031950047"/>
    <s v="HZ-Contracts"/>
    <s v="2000HWO"/>
    <s v="20000795"/>
    <s v="Pankaj Chaturvedi"/>
    <s v="No"/>
    <s v="krutik.patel@amns.in"/>
    <s v="7043217731"/>
    <s v="1036992"/>
    <s v="Dhruv Vyas"/>
    <s v="Anil Matoo"/>
    <s v="Praveen Kuruvalli"/>
    <s v="Dhruv Vyas"/>
    <n v="0"/>
  </r>
  <r>
    <n v="5747"/>
    <n v="20058017"/>
    <s v="Ajaykumar Mishra"/>
    <s v="AM/NS India"/>
    <s v="Onroll"/>
    <s v="M-9"/>
    <n v="9"/>
    <m/>
    <s v="JM"/>
    <s v="M"/>
    <s v="Odisha"/>
    <n v="2"/>
    <s v="2031"/>
    <x v="10"/>
    <s v="14.01"/>
    <s v="Ranjan Dhar"/>
    <s v="Alain Legrix De La Salle"/>
    <n v="3"/>
    <s v="Sales &amp; Marketing"/>
    <s v="Sales &amp; Marketing"/>
    <s v="14"/>
    <s v="Lead - Iron Ore Sales, Barbil"/>
    <m/>
    <s v="Iron Ore &amp; Infra"/>
    <s v="Iron Ore &amp; Infra"/>
    <s v="Power &amp; Gas"/>
    <s v="Non Technical Support"/>
    <s v="Commercial"/>
    <s v="Procurement"/>
    <s v="73803001"/>
    <s v="Procurement"/>
    <s v="Bhubaneswar"/>
    <d v="1995-07-03T00:00:00"/>
    <s v="28.02"/>
    <d v="2023-03-13T00:00:00"/>
    <d v="2053-07-31T00:00:00"/>
    <m/>
    <d v="2053-07-31T00:00:00"/>
    <n v="10907"/>
    <s v="B+"/>
    <s v="BCom-2019 , Intermediate-2014 , Intermed"/>
    <s v="05.05"/>
    <s v="00.06"/>
    <s v="05.11"/>
    <s v="00044347"/>
    <s v="Sales - Iron Ore"/>
    <s v="300889"/>
    <s v="Lead - Iron Ore Sales, Barbil"/>
    <s v="Odisha"/>
    <s v="0031950048"/>
    <s v=""/>
    <s v="2000STORIS"/>
    <s v="20003630"/>
    <s v="Mukul Manchanda"/>
    <s v="No"/>
    <s v="ajay.mishra1@amns.in"/>
    <s v="8329157473"/>
    <s v="1037018"/>
    <s v="Sunila Das"/>
    <s v="Anil Matoo"/>
    <s v="Praveen Kuruvalli"/>
    <s v="Sunila Das"/>
    <n v="0"/>
  </r>
  <r>
    <n v="5749"/>
    <n v="20058019"/>
    <s v="Tanmaya Mishra"/>
    <s v="AM/NS India"/>
    <s v="Onroll"/>
    <s v="M-7"/>
    <n v="7"/>
    <m/>
    <s v="MM"/>
    <s v="M"/>
    <s v="Odisha"/>
    <n v="2"/>
    <s v="2031"/>
    <x v="10"/>
    <s v="14.01"/>
    <s v="Ranjan Dhar"/>
    <s v="Alain Legrix De La Salle"/>
    <n v="3"/>
    <s v="Sales &amp; Marketing"/>
    <s v="Sales &amp; Marketing"/>
    <s v="14"/>
    <s v="Lead - Iron Ore Sales"/>
    <m/>
    <s v="Iron Ore &amp; Infra"/>
    <s v="Iron Ore &amp; Infra"/>
    <s v="Power &amp; Gas"/>
    <s v="Non Technical Support"/>
    <s v="Commercial"/>
    <s v="Procurement"/>
    <s v="73803001"/>
    <s v="Procurement"/>
    <s v="Bhubaneswar"/>
    <d v="1985-06-06T00:00:00"/>
    <s v="38.03"/>
    <d v="2023-03-15T00:00:00"/>
    <d v="2043-06-30T00:00:00"/>
    <m/>
    <d v="2043-06-30T00:00:00"/>
    <n v="7223"/>
    <s v="B+"/>
    <s v="MBA-2016 , PG Diploma-2008 , BSc-2006 ,"/>
    <s v="14.07"/>
    <s v="00.06"/>
    <s v="15.01"/>
    <s v="00044347"/>
    <s v="Sales - Iron Ore"/>
    <s v="300890"/>
    <s v="Lead - Iron Ore Sales"/>
    <s v="Odisha"/>
    <s v="0031950048"/>
    <s v=""/>
    <s v="2000STORIS"/>
    <s v="20003630"/>
    <s v="Mukul Manchanda"/>
    <s v="No"/>
    <s v="tanmaya.mishra@amns.in"/>
    <s v="7077770059"/>
    <s v="1040275"/>
    <s v="Sunila Das"/>
    <s v="Anil Matoo"/>
    <s v="Praveen Kuruvalli"/>
    <s v="Sunila Das"/>
    <n v="0"/>
  </r>
  <r>
    <n v="5750"/>
    <n v="20058020"/>
    <s v="Chapa Srinivasa Rao"/>
    <s v="AM/NS India"/>
    <s v="Onroll"/>
    <s v="M-8"/>
    <n v="8"/>
    <m/>
    <s v="JM"/>
    <s v="M"/>
    <s v="Vizag"/>
    <n v="3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1"/>
    <s v="Human Resources"/>
    <s v="Kirandul"/>
    <d v="1973-06-01T00:00:00"/>
    <s v="50.03"/>
    <d v="2023-03-17T00:00:00"/>
    <d v="2031-05-31T00:00:00"/>
    <m/>
    <d v="2031-05-31T00:00:00"/>
    <n v="2810"/>
    <s v="A+"/>
    <s v="Intermediate-1999"/>
    <s v="26.02"/>
    <s v="00.06"/>
    <s v="26.08"/>
    <s v="72150111"/>
    <s v="Vizag HR Operations &amp; Administration"/>
    <s v="301679"/>
    <s v="OJT Confirmation"/>
    <s v="Vizag"/>
    <s v="0028030019"/>
    <s v="VIZ-Personnel &amp; Admi"/>
    <s v="2000VIZOPS"/>
    <s v="20000519"/>
    <s v="Dandu Srinivas Varma"/>
    <s v="No"/>
    <s v="chapa.rao@amns.in"/>
    <s v="07901367624"/>
    <s v="1000532"/>
    <s v="Dhruv Vyas"/>
    <s v="Anil Matoo"/>
    <s v="Praveen Kuruvalli"/>
    <s v="Dhruv Vyas"/>
    <n v="0"/>
  </r>
  <r>
    <n v="5756"/>
    <n v="20058027"/>
    <s v="Rishi Mishra"/>
    <s v="AM/NS India"/>
    <s v="Onroll"/>
    <s v="M-7"/>
    <n v="7"/>
    <m/>
    <s v="MM"/>
    <s v="M"/>
    <s v="Hazira"/>
    <n v="1"/>
    <s v="2099"/>
    <x v="19"/>
    <s v="02.01"/>
    <s v="Raghavan Aravamudhan"/>
    <s v="Dilip Oommen"/>
    <n v="1"/>
    <s v="CEO Office"/>
    <s v="Business Strategy"/>
    <s v="02"/>
    <s v="Lead - PMO (Analyst)"/>
    <m/>
    <s v="Business Strategy"/>
    <s v="Business Strategy"/>
    <s v=""/>
    <s v="Non Technical Support"/>
    <s v="Operations"/>
    <s v="Operations"/>
    <s v="72103001"/>
    <s v="Operations"/>
    <s v="Hazira"/>
    <d v="1989-07-02T00:00:00"/>
    <s v="34.02"/>
    <d v="2023-03-20T00:00:00"/>
    <d v="2047-07-31T00:00:00"/>
    <m/>
    <d v="2047-07-31T00:00:00"/>
    <n v="8715"/>
    <s v="A+"/>
    <s v="BTech-2011"/>
    <s v="09.02"/>
    <s v="00.06"/>
    <s v="09.08"/>
    <s v="00046538"/>
    <s v="Project Monitoring"/>
    <s v="303698"/>
    <s v="Lead - PMO (Analyst)"/>
    <s v="Hazira"/>
    <s v="0090000022"/>
    <s v=""/>
    <s v="2000HWO"/>
    <s v="20049281"/>
    <s v="Raveena Dhoot"/>
    <s v="No"/>
    <s v="rishi.mishra@amns.in"/>
    <s v="7033095125"/>
    <s v="1040561"/>
    <s v="Dhruv Vyas"/>
    <s v="Anil Matoo"/>
    <s v="Praveen Kuruvalli"/>
    <s v="Dhruv Vyas"/>
    <n v="0"/>
  </r>
  <r>
    <n v="5757"/>
    <n v="20058028"/>
    <s v="Charu Misra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, Mumbai"/>
    <m/>
    <s v="Legal"/>
    <s v=""/>
    <s v=""/>
    <s v="Non Technical Support"/>
    <s v="Legal"/>
    <s v="Legal"/>
    <s v="73201001"/>
    <s v="Legal"/>
    <s v="Mumbai"/>
    <d v="1990-03-11T00:00:00"/>
    <s v="33.06"/>
    <d v="2023-03-20T00:00:00"/>
    <d v="2048-03-31T00:00:00"/>
    <m/>
    <d v="2048-03-31T00:00:00"/>
    <n v="8959"/>
    <s v="O+"/>
    <s v="LLB-2014"/>
    <s v="05.02"/>
    <s v="00.06"/>
    <s v="05.07"/>
    <s v="00050735"/>
    <s v="Legal"/>
    <s v="70494780"/>
    <s v="Legal Counsel"/>
    <s v="Corporate"/>
    <s v="0090000019"/>
    <s v=""/>
    <s v="2000CS"/>
    <s v="20055235"/>
    <s v="P Ashok Kumar"/>
    <s v="No"/>
    <s v="charu.misra@amns.in"/>
    <s v="7718807779"/>
    <s v="1040797"/>
    <s v="Dhruv Vyas"/>
    <s v="Anil Matoo"/>
    <s v="Praveen Kuruvalli"/>
    <s v="Dhruv Vyas"/>
    <n v="0"/>
  </r>
  <r>
    <n v="5759"/>
    <n v="20058031"/>
    <s v="Ananta Subudhi Ray"/>
    <s v="AM/NS Ports Paradip"/>
    <s v="Onroll"/>
    <s v="M-6"/>
    <n v="6"/>
    <m/>
    <s v="MM"/>
    <s v="M"/>
    <s v="Odisha"/>
    <n v="2"/>
    <s v="77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Paradeep"/>
    <d v="1970-05-20T00:00:00"/>
    <s v="53.04"/>
    <d v="2010-08-23T00:00:00"/>
    <d v="2028-05-31T00:00:00"/>
    <m/>
    <d v="2028-05-31T00:00:00"/>
    <n v="1715"/>
    <s v=""/>
    <s v=""/>
    <s v=""/>
    <s v="13.00"/>
    <s v="13.00"/>
    <s v="00051206"/>
    <s v="Commercial"/>
    <s v="304337"/>
    <s v="New Acquisition"/>
    <s v="AMNS PORTS"/>
    <s v="0004315000"/>
    <s v="EBTPL- COMMON"/>
    <s v="7700PARA"/>
    <s v="20055692"/>
    <s v="Rajiv Ranjan"/>
    <s v="No"/>
    <s v="ananta.subudhiray@amns.in"/>
    <s v="7381097586"/>
    <s v="1026657"/>
    <s v="Manjit Shah"/>
    <s v="Anil Matoo"/>
    <n v="0"/>
    <s v="Manjit Shah"/>
    <n v="0"/>
  </r>
  <r>
    <n v="5763"/>
    <n v="20058035"/>
    <s v="Prasanta Kumar Behera"/>
    <s v="AM/NS Ports Paradip"/>
    <s v="Onroll"/>
    <s v="M-6"/>
    <n v="6"/>
    <m/>
    <s v="MM"/>
    <s v="M"/>
    <s v="Odisha"/>
    <n v="2"/>
    <s v="77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Paradeep"/>
    <d v="1982-06-07T00:00:00"/>
    <s v="41.03"/>
    <d v="2012-01-02T00:00:00"/>
    <d v="2040-06-30T00:00:00"/>
    <m/>
    <d v="2040-06-30T00:00:00"/>
    <n v="6128"/>
    <s v=""/>
    <s v=""/>
    <s v=""/>
    <s v="11.08"/>
    <s v="11.08"/>
    <s v="00051207"/>
    <s v="Finance &amp; Accounts - Ports Paradip"/>
    <s v="304341"/>
    <s v="New Acquisition"/>
    <s v="AMNS PORTS"/>
    <s v="0004315000"/>
    <s v="EBTPL- COMMON"/>
    <s v="7704PARA"/>
    <s v="20055088"/>
    <s v="Amit Harlalka"/>
    <s v="No"/>
    <s v="prasanta.behera@amns.in"/>
    <s v="7381097608"/>
    <s v="1025168"/>
    <s v="Manjit Shah"/>
    <s v="Anil Matoo"/>
    <n v="0"/>
    <s v="Manjit Shah"/>
    <n v="0"/>
  </r>
  <r>
    <n v="5778"/>
    <n v="20058050"/>
    <s v="Niranjan Malu"/>
    <s v="AM/NS Ports Paradip"/>
    <s v="Onroll"/>
    <s v="M-10"/>
    <n v="10"/>
    <m/>
    <s v="JM"/>
    <s v="M"/>
    <s v="Odisha"/>
    <n v="2"/>
    <s v="77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Paradeep"/>
    <d v="1983-02-18T00:00:00"/>
    <s v="40.07"/>
    <d v="2018-07-02T00:00:00"/>
    <d v="2041-02-28T00:00:00"/>
    <m/>
    <d v="2041-02-28T00:00:00"/>
    <n v="6371"/>
    <s v=""/>
    <s v=""/>
    <s v=""/>
    <s v="05.02"/>
    <s v="05.02"/>
    <s v="00051207"/>
    <s v="Finance &amp; Accounts - Ports Paradip"/>
    <s v="304356"/>
    <s v="New Acquisition"/>
    <s v="AMNS PORTS"/>
    <s v="0004315000"/>
    <s v="EBTPL- COMMON"/>
    <s v="7704PARA"/>
    <s v="20058035"/>
    <s v="Prasanta Kumar Behera"/>
    <s v="No"/>
    <s v="niranjan.malu@amns.in"/>
    <s v="7381008677"/>
    <s v="1026678"/>
    <s v="Manjit Shah"/>
    <s v="Anil Matoo"/>
    <n v="0"/>
    <s v="Manjit Shah"/>
    <n v="0"/>
  </r>
  <r>
    <n v="5781"/>
    <n v="20058053"/>
    <s v="Krushna Barik"/>
    <s v="AM/NS Ports Paradip"/>
    <s v="Onroll"/>
    <s v="M-10"/>
    <n v="10"/>
    <m/>
    <s v="JM"/>
    <s v="M"/>
    <s v="Odisha"/>
    <n v="2"/>
    <s v="77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Paradeep"/>
    <d v="1991-05-16T00:00:00"/>
    <s v="32.04"/>
    <d v="2022-04-01T00:00:00"/>
    <d v="2049-05-31T00:00:00"/>
    <m/>
    <d v="2049-05-31T00:00:00"/>
    <n v="9385"/>
    <s v=""/>
    <s v=""/>
    <s v=""/>
    <s v="01.05"/>
    <s v="01.05"/>
    <s v="00051206"/>
    <s v="Commercial"/>
    <s v="304359"/>
    <s v="New Acquisition"/>
    <s v="AMNS PORTS"/>
    <s v="0004315000"/>
    <s v="EBTPL- COMMON"/>
    <s v="7700PARA"/>
    <s v="20058031"/>
    <s v="Ananta Subudhi Ray"/>
    <s v="No"/>
    <s v="krushna.barik@amns.in"/>
    <s v="7381008028"/>
    <s v="1026681"/>
    <s v="Manjit Shah"/>
    <s v="Anil Matoo"/>
    <n v="0"/>
    <s v="Manjit Shah"/>
    <n v="0"/>
  </r>
  <r>
    <n v="5788"/>
    <n v="20058060"/>
    <s v="Alok Nayak"/>
    <s v="AM/NS Ports Paradip"/>
    <s v="Onroll"/>
    <s v="M-10"/>
    <n v="10"/>
    <m/>
    <s v="JM"/>
    <s v="M"/>
    <s v="Odisha"/>
    <n v="2"/>
    <s v="77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Paradeep"/>
    <d v="1984-06-11T00:00:00"/>
    <s v="39.03"/>
    <d v="2022-04-01T00:00:00"/>
    <d v="2042-06-30T00:00:00"/>
    <m/>
    <d v="2042-06-30T00:00:00"/>
    <n v="6858"/>
    <s v=""/>
    <s v=""/>
    <s v=""/>
    <s v="01.05"/>
    <s v="01.05"/>
    <s v="00051207"/>
    <s v="Finance &amp; Accounts - Ports Paradip"/>
    <s v="304366"/>
    <s v="New Acquisition"/>
    <s v="AMNS PORTS"/>
    <s v="0004315000"/>
    <s v="EBTPL- COMMON"/>
    <s v="7704PARA"/>
    <s v="20058035"/>
    <s v="Prasanta Kumar Behera"/>
    <s v="No"/>
    <s v="alok.nayak@amns.in"/>
    <s v="9937138362"/>
    <s v="1026690"/>
    <s v="Manjit Shah"/>
    <s v="Anil Matoo"/>
    <n v="0"/>
    <s v="Manjit Shah"/>
    <n v="0"/>
  </r>
  <r>
    <n v="5796"/>
    <n v="20058068"/>
    <s v="Srinivas Munukuti"/>
    <s v="AM/NS Power Hazira"/>
    <s v="Onroll"/>
    <s v="M-10"/>
    <n v="10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1-05-27T00:00:00"/>
    <s v="52.03"/>
    <d v="1994-03-31T00:00:00"/>
    <d v="2029-05-31T00:00:00"/>
    <m/>
    <d v="2029-05-31T00:00:00"/>
    <n v="2080"/>
    <s v=""/>
    <s v=""/>
    <s v=""/>
    <s v="29.05"/>
    <s v="29.05"/>
    <s v="00051183"/>
    <s v="Contract &amp; Procurement"/>
    <s v="304022"/>
    <s v="New Acquisition"/>
    <s v="AMNS Power Hazira Ld"/>
    <s v="0309018065"/>
    <s v="EPOL 270MW"/>
    <s v="3509HAZI"/>
    <s v="20058072"/>
    <s v="Siddhartha Sutradhar"/>
    <s v="No"/>
    <s v="srinivas.munukuti@amns.in"/>
    <s v="9879102804"/>
    <s v="1019543"/>
    <s v="Manjit Shah"/>
    <s v="Anil Matoo"/>
    <n v="0"/>
    <s v="Manjit Shah"/>
    <n v="0"/>
  </r>
  <r>
    <n v="5800"/>
    <n v="20058072"/>
    <s v="Siddhartha Sutradhar"/>
    <s v="AM/NS Power Hazira"/>
    <s v="Onroll"/>
    <s v="M-6"/>
    <n v="6"/>
    <m/>
    <s v="M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0-01-01T00:00:00"/>
    <s v="53.08"/>
    <d v="1997-06-23T00:00:00"/>
    <d v="2027-12-31T00:00:00"/>
    <m/>
    <d v="2027-12-31T00:00:00"/>
    <n v="1563"/>
    <s v=""/>
    <s v=""/>
    <s v=""/>
    <s v="26.02"/>
    <s v="26.02"/>
    <s v="00051183"/>
    <s v="Contract &amp; Procurement"/>
    <s v="304026"/>
    <s v="New Acquisition"/>
    <s v="AMNS Power Hazira Ld"/>
    <s v="0309018065"/>
    <s v="EPOL 270MW"/>
    <s v="3509HAZI"/>
    <s v="20000201"/>
    <s v="Manish Bakriwala"/>
    <s v="No"/>
    <s v="siddhartha.sutradhar@amns.in"/>
    <s v="7903123553"/>
    <s v="1019726"/>
    <s v="Manjit Shah"/>
    <s v="Anil Matoo"/>
    <n v="0"/>
    <s v="Manjit Shah"/>
    <n v="0"/>
  </r>
  <r>
    <n v="5805"/>
    <n v="20058078"/>
    <s v="Bhupendra Patel"/>
    <s v="AM/NS Power Hazira"/>
    <s v="Onroll"/>
    <s v="M-8"/>
    <n v="8"/>
    <m/>
    <s v="J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67-06-22T00:00:00"/>
    <s v="56.03"/>
    <d v="2005-01-01T00:00:00"/>
    <d v="2025-06-30T00:00:00"/>
    <m/>
    <d v="2025-06-30T00:00:00"/>
    <n v="649"/>
    <s v=""/>
    <s v=""/>
    <s v=""/>
    <s v="18.08"/>
    <s v="18.08"/>
    <s v="00051184"/>
    <s v="Finance &amp; Accounts"/>
    <s v="304032"/>
    <s v="New Acquisition"/>
    <s v="AMNS Power Hazira Ld"/>
    <s v="0309018065"/>
    <s v="EPOL 270MW"/>
    <s v="3501HAZI"/>
    <s v="20058113"/>
    <s v="Gadhibantu Koteswar Rao"/>
    <s v="No"/>
    <s v="bhupendra.patel1@amns.in"/>
    <s v="9879102884"/>
    <s v="1018994"/>
    <s v="Manjit Shah"/>
    <s v="Anil Matoo"/>
    <n v="0"/>
    <s v="Manjit Shah"/>
    <n v="0"/>
  </r>
  <r>
    <n v="5806"/>
    <n v="20058079"/>
    <s v="Amit Patel"/>
    <s v="AM/NS Power Hazira"/>
    <s v="Onroll"/>
    <s v="M-8"/>
    <n v="8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6-04-30T00:00:00"/>
    <s v="47.04"/>
    <d v="2005-01-01T00:00:00"/>
    <d v="2034-04-30T00:00:00"/>
    <m/>
    <d v="2034-04-30T00:00:00"/>
    <n v="3875"/>
    <s v=""/>
    <s v=""/>
    <s v=""/>
    <s v="18.08"/>
    <s v="18.08"/>
    <s v="00051183"/>
    <s v="Contract &amp; Procurement"/>
    <s v="304033"/>
    <s v="New Acquisition"/>
    <s v="AMNS Power Hazira Ld"/>
    <s v="0309018065"/>
    <s v="EPOL 270MW"/>
    <s v="3509HAZI"/>
    <s v="20000948"/>
    <s v="Hitesh Raval"/>
    <s v="No"/>
    <s v="amit.patel10@amns.in"/>
    <s v="9879102885"/>
    <s v="1019733"/>
    <s v="Manjit Shah"/>
    <s v="Anil Matoo"/>
    <n v="0"/>
    <s v="Manjit Shah"/>
    <n v="0"/>
  </r>
  <r>
    <n v="5809"/>
    <n v="20058082"/>
    <s v="Anupmeya Anand"/>
    <s v="AM/NS Power Hazira"/>
    <s v="Onroll"/>
    <s v="M-8"/>
    <n v="8"/>
    <m/>
    <s v="JM"/>
    <s v="M"/>
    <s v="Hazira"/>
    <n v="1"/>
    <s v="3507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1-03-15T00:00:00"/>
    <s v="42.06"/>
    <d v="2006-12-20T00:00:00"/>
    <d v="2039-03-31T00:00:00"/>
    <m/>
    <d v="2039-03-31T00:00:00"/>
    <n v="5671"/>
    <s v=""/>
    <s v=""/>
    <s v=""/>
    <s v="16.09"/>
    <s v="16.09"/>
    <s v="00051183"/>
    <s v="Contract &amp; Procurement"/>
    <s v="304036"/>
    <s v="New Acquisition"/>
    <s v="AMNS Power Hazira Ld"/>
    <s v="0309018065"/>
    <s v="EPOL 270MW"/>
    <s v="3507HAZI"/>
    <s v="20058072"/>
    <s v="Siddhartha Sutradhar"/>
    <s v="No"/>
    <s v="anupmeya.anand@amns.in"/>
    <s v="9925227060"/>
    <s v="1019801"/>
    <s v="Manjit Shah"/>
    <s v="Anil Matoo"/>
    <n v="0"/>
    <s v="Manjit Shah"/>
    <n v="0"/>
  </r>
  <r>
    <n v="5815"/>
    <n v="20058088"/>
    <s v="Narendra Yadav"/>
    <s v="AM/NS Power Hazira"/>
    <s v="Onroll"/>
    <s v="M-7"/>
    <n v="7"/>
    <m/>
    <s v="M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67-03-02T00:00:00"/>
    <s v="56.06"/>
    <d v="2008-05-20T00:00:00"/>
    <d v="2025-03-31T00:00:00"/>
    <m/>
    <d v="2025-03-31T00:00:00"/>
    <n v="558"/>
    <s v=""/>
    <s v=""/>
    <s v=""/>
    <s v="15.04"/>
    <s v="15.04"/>
    <s v="00051184"/>
    <s v="Finance &amp; Accounts"/>
    <s v="304042"/>
    <s v="New Acquisition"/>
    <s v="AMNS Power Hazira Ld"/>
    <s v="0309018065"/>
    <s v="EPOL 270MW"/>
    <s v="3501HAZI"/>
    <s v="20001854"/>
    <s v="Arasappan Thirumaran"/>
    <s v="No"/>
    <s v="narendra.yadav@amns.in"/>
    <s v="9909993532"/>
    <s v="1019743"/>
    <s v="Manjit Shah"/>
    <s v="Anil Matoo"/>
    <n v="0"/>
    <s v="Manjit Shah"/>
    <n v="0"/>
  </r>
  <r>
    <n v="5816"/>
    <n v="20058089"/>
    <s v="Yudhishthir Trivedi"/>
    <s v="AM/NS Power Hazira"/>
    <s v="Onroll"/>
    <s v="M-8"/>
    <n v="8"/>
    <m/>
    <s v="JM"/>
    <s v="M"/>
    <s v="Corporate"/>
    <n v="1"/>
    <s v="3505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Operations"/>
    <s v="Operations"/>
    <s v="72103001"/>
    <s v="Operations"/>
    <s v="Hazira"/>
    <d v="1985-06-02T00:00:00"/>
    <s v="38.03"/>
    <d v="2008-06-09T00:00:00"/>
    <d v="2043-06-30T00:00:00"/>
    <m/>
    <d v="2043-06-30T00:00:00"/>
    <n v="7223"/>
    <s v=""/>
    <s v=""/>
    <s v=""/>
    <s v="15.03"/>
    <s v="15.03"/>
    <s v="00051172"/>
    <s v="Power Hazira"/>
    <s v="304043"/>
    <s v="New Acquisition"/>
    <s v="AMNS Power Hazira Ld"/>
    <s v="0309018065"/>
    <s v="EPOL 270MW"/>
    <s v="3505HAZI"/>
    <s v="20028777"/>
    <s v="Narendra Dugar"/>
    <s v="No"/>
    <s v="yudhishthir.trivedi@amns.in"/>
    <s v="9879102436"/>
    <s v="1019744"/>
    <s v="Manjit Shah"/>
    <s v="Anil Matoo"/>
    <n v="0"/>
    <s v="Manjit Shah"/>
    <n v="0"/>
  </r>
  <r>
    <n v="5823"/>
    <n v="20058096"/>
    <s v="Shailesh Kapadia"/>
    <s v="AM/NS Power Hazira"/>
    <s v="Onroll"/>
    <s v="M-8"/>
    <n v="8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8-02-01T00:00:00"/>
    <s v="45.07"/>
    <d v="2010-03-02T00:00:00"/>
    <d v="2036-01-31T00:00:00"/>
    <m/>
    <d v="2036-01-31T00:00:00"/>
    <n v="4516"/>
    <s v=""/>
    <s v=""/>
    <s v=""/>
    <s v="13.06"/>
    <s v="13.06"/>
    <s v="00051183"/>
    <s v="Contract &amp; Procurement"/>
    <s v="304050"/>
    <s v="New Acquisition"/>
    <s v="AMNS Power Hazira Ld"/>
    <s v="0309018065"/>
    <s v="EPOL 270MW"/>
    <s v="3509HAZI"/>
    <s v="20058072"/>
    <s v="Siddhartha Sutradhar"/>
    <s v="No"/>
    <s v="shailesh.kapadia@amns.in"/>
    <s v="9909993530"/>
    <s v="1019751"/>
    <s v="Manjit Shah"/>
    <s v="Anil Matoo"/>
    <n v="0"/>
    <s v="Manjit Shah"/>
    <n v="0"/>
  </r>
  <r>
    <n v="5839"/>
    <n v="20058113"/>
    <s v="Gadhibantu Koteswar Rao"/>
    <s v="AM/NS Power Hazira"/>
    <s v="Onroll"/>
    <s v="M-6"/>
    <n v="6"/>
    <m/>
    <s v="M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69-11-22T00:00:00"/>
    <s v="53.09"/>
    <d v="2012-02-17T00:00:00"/>
    <d v="2027-11-30T00:00:00"/>
    <m/>
    <d v="2027-11-30T00:00:00"/>
    <n v="1532"/>
    <s v=""/>
    <s v=""/>
    <s v=""/>
    <s v="11.07"/>
    <s v="11.07"/>
    <s v="00051184"/>
    <s v="Finance &amp; Accounts"/>
    <s v="304067"/>
    <s v="New Acquisition"/>
    <s v="AMNS Power Hazira Ld"/>
    <s v="0309018065"/>
    <s v="EPOL 270MW"/>
    <s v="3501HAZI"/>
    <s v="20000679"/>
    <s v="Dinesh Mangal"/>
    <s v="No"/>
    <s v="gadhibantu.koteswarrao@amns.in"/>
    <s v="9909993553"/>
    <s v="1018997"/>
    <s v="Manjit Shah"/>
    <s v="Anil Matoo"/>
    <n v="0"/>
    <s v="Manjit Shah"/>
    <n v="0"/>
  </r>
  <r>
    <n v="5856"/>
    <n v="20058134"/>
    <s v="Piyush Jain"/>
    <s v="AM/NS Power Hazira"/>
    <s v="Onroll"/>
    <s v="M-8"/>
    <n v="8"/>
    <m/>
    <s v="J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9-10-27T00:00:00"/>
    <s v="33.10"/>
    <d v="2019-06-17T00:00:00"/>
    <d v="2047-10-31T00:00:00"/>
    <m/>
    <d v="2047-10-31T00:00:00"/>
    <n v="8807"/>
    <s v=""/>
    <s v=""/>
    <s v=""/>
    <s v="04.03"/>
    <s v="04.03"/>
    <s v="00051197"/>
    <s v="Finance &amp; Accounts - Ports Hazira"/>
    <s v="304088"/>
    <s v="New Acquisition"/>
    <s v="AMNS Power Hazira Ld"/>
    <s v="0309018065"/>
    <s v="EPOL 270MW"/>
    <s v="3501HAZI"/>
    <s v="20058184"/>
    <s v="Rama Barik"/>
    <s v="No"/>
    <s v="piyush.jain@amns.in"/>
    <s v="9879102878"/>
    <s v="1018996"/>
    <s v="Manjit Shah"/>
    <s v="Anil Matoo"/>
    <n v="0"/>
    <s v="Manjit Shah"/>
    <n v="0"/>
  </r>
  <r>
    <n v="5858"/>
    <n v="20058136"/>
    <s v="Prateek Kumar"/>
    <s v="AM/NS Power Hazira"/>
    <s v="Onroll"/>
    <s v="M-9"/>
    <n v="9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81-08-26T00:00:00"/>
    <s v="42.00"/>
    <d v="2021-12-13T00:00:00"/>
    <d v="2039-08-31T00:00:00"/>
    <m/>
    <d v="2039-08-31T00:00:00"/>
    <n v="5824"/>
    <s v=""/>
    <s v=""/>
    <s v=""/>
    <s v="01.09"/>
    <s v="01.09"/>
    <s v="00051183"/>
    <s v="Contract &amp; Procurement"/>
    <s v="304090"/>
    <s v="New Acquisition"/>
    <s v="AMNS Power Hazira Ld"/>
    <s v="0309018065"/>
    <s v="EPOL 270MW"/>
    <s v="3509HAZI"/>
    <s v="20058072"/>
    <s v="Siddhartha Sutradhar"/>
    <s v="No"/>
    <s v="prateek.kumar@amns.in"/>
    <s v="9925203885"/>
    <s v="1019790"/>
    <s v="Manjit Shah"/>
    <s v="Anil Matoo"/>
    <n v="0"/>
    <s v="Manjit Shah"/>
    <n v="0"/>
  </r>
  <r>
    <n v="5861"/>
    <n v="20058139"/>
    <s v="Sunil Tiwari"/>
    <s v="AM/NS Power Hazira"/>
    <s v="Onroll"/>
    <s v="M-6"/>
    <n v="6"/>
    <m/>
    <s v="MM"/>
    <s v="M"/>
    <s v="Hazira"/>
    <n v="1"/>
    <s v="3503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81-01-01T00:00:00"/>
    <s v="42.08"/>
    <d v="2022-04-01T00:00:00"/>
    <d v="2038-12-31T00:00:00"/>
    <m/>
    <d v="2038-12-31T00:00:00"/>
    <n v="5581"/>
    <s v=""/>
    <s v=""/>
    <s v=""/>
    <s v="01.05"/>
    <s v="01.05"/>
    <s v="00051185"/>
    <s v="Human Resources"/>
    <s v="304093"/>
    <s v="New Acquisition"/>
    <s v="AMNS Power Hazira Ld"/>
    <s v="0309018065"/>
    <s v="EPOL 270MW"/>
    <s v="3503HAZI"/>
    <s v="20016406"/>
    <s v="Manjit Shah"/>
    <s v="No"/>
    <s v="sunil.tiwari@amns.in"/>
    <s v="9819730527"/>
    <s v="1019793"/>
    <s v="Manjit Shah"/>
    <s v="Anil Matoo"/>
    <n v="0"/>
    <s v="Manjit Shah"/>
    <n v="0"/>
  </r>
  <r>
    <n v="5869"/>
    <n v="20058149"/>
    <s v="Anjali ."/>
    <s v="AM/NS Power Hazira"/>
    <s v="Onroll"/>
    <s v="M-8"/>
    <n v="8"/>
    <m/>
    <s v="JM"/>
    <s v="F"/>
    <s v="Hazira"/>
    <n v="1"/>
    <s v="3503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94-08-14T00:00:00"/>
    <s v="29.01"/>
    <d v="2022-10-07T00:00:00"/>
    <d v="2052-08-31T00:00:00"/>
    <m/>
    <d v="2052-08-31T00:00:00"/>
    <n v="10573"/>
    <s v=""/>
    <s v=""/>
    <s v=""/>
    <s v="00.11"/>
    <s v="00.11"/>
    <s v="00051185"/>
    <s v="Human Resources"/>
    <s v="304103"/>
    <s v="New Acquisition"/>
    <s v="AMNS Power Hazira Ld"/>
    <s v="0309018065"/>
    <s v="EPOL 270MW"/>
    <s v="3503HAZI"/>
    <s v="20054937"/>
    <s v="Hitesh Kumar Yadav"/>
    <s v="No"/>
    <s v="anjali.anil@amns.in"/>
    <s v="9925240506"/>
    <s v="1019805"/>
    <s v="Manjit Shah"/>
    <s v="Anil Matoo"/>
    <n v="0"/>
    <s v="Manjit Shah"/>
    <n v="0"/>
  </r>
  <r>
    <n v="5870"/>
    <n v="20058150"/>
    <s v="Neeraj Murarka"/>
    <s v="AM/NS Power Hazira"/>
    <s v="Onroll"/>
    <s v="M-6"/>
    <n v="6"/>
    <m/>
    <s v="M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Mumbai"/>
    <d v="1981-04-16T00:00:00"/>
    <s v="42.05"/>
    <d v="2022-12-10T00:00:00"/>
    <d v="2039-04-30T00:00:00"/>
    <m/>
    <d v="2039-04-30T00:00:00"/>
    <n v="5701"/>
    <s v=""/>
    <s v=""/>
    <s v=""/>
    <s v="00.09"/>
    <s v="00.09"/>
    <s v="70494931"/>
    <s v="Working Capital"/>
    <s v="304104"/>
    <s v="New Acquisition"/>
    <s v="AMNS Power Hazira Ld"/>
    <s v="0309018065"/>
    <s v="EPOL 270MW"/>
    <s v="3501MUMB"/>
    <s v="20055188"/>
    <s v="Rohit Sharma"/>
    <s v="No"/>
    <s v="neeraj.murarka@amns.in"/>
    <s v="9167999769"/>
    <s v="1029647"/>
    <s v="Manjit Shah"/>
    <s v="Anil Matoo"/>
    <n v="0"/>
    <s v="Manjit Shah"/>
    <n v="0"/>
  </r>
  <r>
    <n v="5871"/>
    <n v="20058151"/>
    <s v="Laxmi Joshi"/>
    <s v="AM/NS Power Hazira"/>
    <s v="Onroll"/>
    <s v="M-7"/>
    <n v="7"/>
    <m/>
    <s v="MM"/>
    <s v="F"/>
    <s v="Hazira"/>
    <n v="1"/>
    <s v="3500"/>
    <x v="11"/>
    <s v="42.01"/>
    <s v="Pankaj Chourasia"/>
    <s v="P Ashok Kumar"/>
    <n v="9"/>
    <s v="Legal"/>
    <s v="Company Secretary"/>
    <s v="42"/>
    <s v="Lead Company Secretary"/>
    <m/>
    <s v="Company Secretary"/>
    <s v=""/>
    <s v=""/>
    <s v="Non Technical Support"/>
    <s v="Operations"/>
    <s v="Operations"/>
    <s v="72103001"/>
    <s v="Operations"/>
    <s v="Mumbai"/>
    <d v="1989-07-26T00:00:00"/>
    <s v="34.01"/>
    <d v="2022-12-03T00:00:00"/>
    <d v="2047-07-31T00:00:00"/>
    <m/>
    <d v="2047-07-31T00:00:00"/>
    <n v="8715"/>
    <s v=""/>
    <s v=""/>
    <s v=""/>
    <s v="00.09"/>
    <s v="00.09"/>
    <s v="70273573"/>
    <s v="Company Secretarial"/>
    <s v="304105"/>
    <s v="New Acquisition"/>
    <s v="AMNS Power Hazira Ld"/>
    <s v="0309018065"/>
    <s v="EPOL 270MW"/>
    <s v="3500MUMB"/>
    <s v="20050785"/>
    <s v="Pankaj Chourasia"/>
    <s v="No"/>
    <s v="laxmi.joshi@amns.in"/>
    <s v="9925240508"/>
    <s v="1041012"/>
    <s v="Manjit Shah"/>
    <s v="Anil Matoo"/>
    <n v="0"/>
    <s v="Manjit Shah"/>
    <n v="0"/>
  </r>
  <r>
    <n v="5872"/>
    <n v="20058152"/>
    <s v="Shabbir Juzerbhai Bengali"/>
    <s v="AM/NS Power Hazira"/>
    <s v="Onroll"/>
    <s v="M-8"/>
    <n v="8"/>
    <m/>
    <s v="J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1-07-25T00:00:00"/>
    <s v="42.01"/>
    <d v="2010-11-08T00:00:00"/>
    <d v="2039-07-31T00:00:00"/>
    <m/>
    <d v="2039-07-31T00:00:00"/>
    <n v="5793"/>
    <s v=""/>
    <s v=""/>
    <s v=""/>
    <s v="12.10"/>
    <s v="12.10"/>
    <s v="00051184"/>
    <s v="Finance &amp; Accounts"/>
    <s v="304106"/>
    <s v="New Acquisition"/>
    <s v="AMNS Power Hazira Ld"/>
    <s v="0309018065"/>
    <s v="EPOL 270MW"/>
    <s v="3501HAZI"/>
    <s v="20016107"/>
    <s v="Kalpesh Thathagar"/>
    <s v="No"/>
    <s v="shabbir.bengali@amns.in"/>
    <s v="9879107352"/>
    <s v="1019794"/>
    <s v="Manjit Shah"/>
    <s v="Anil Matoo"/>
    <n v="0"/>
    <s v="Manjit Shah"/>
    <n v="0"/>
  </r>
  <r>
    <n v="5888"/>
    <n v="20058169"/>
    <s v="Chirag Desai"/>
    <s v="AM/NS Ports Hazira"/>
    <s v="Onroll"/>
    <s v="M-7"/>
    <n v="7"/>
    <m/>
    <s v="MM"/>
    <s v="M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1-06-26T00:00:00"/>
    <s v="42.02"/>
    <d v="2006-06-19T00:00:00"/>
    <d v="2039-06-30T00:00:00"/>
    <m/>
    <d v="2039-06-30T00:00:00"/>
    <n v="5762"/>
    <s v=""/>
    <s v=""/>
    <s v=""/>
    <s v="17.03"/>
    <s v="17.03"/>
    <s v="00051196"/>
    <s v="Procurement - Ports Hazira"/>
    <s v="304237"/>
    <s v="New Acquisition"/>
    <s v="AMNS PARADIP PORT"/>
    <s v=""/>
    <s v=""/>
    <s v="7414HAZI"/>
    <s v="20058183"/>
    <s v="Pranabendra Barman"/>
    <s v="No"/>
    <s v="chirag.desai@amns.in"/>
    <s v="9925246149"/>
    <s v="1026743"/>
    <s v="Manjit Shah"/>
    <s v="Anil Matoo"/>
    <n v="0"/>
    <s v="Manjit Shah"/>
    <n v="0"/>
  </r>
  <r>
    <n v="5894"/>
    <n v="20058175"/>
    <s v="Neelam Thanvi"/>
    <s v="AM/NS Ports Hazira"/>
    <s v="Onroll"/>
    <s v="M-6"/>
    <n v="6"/>
    <m/>
    <s v="MM"/>
    <s v="F"/>
    <s v="Hazira"/>
    <n v="1"/>
    <s v="7401"/>
    <x v="11"/>
    <s v="42.01"/>
    <s v="Pankaj Chourasia"/>
    <s v="P Ashok Kumar"/>
    <n v="9"/>
    <s v="Legal"/>
    <s v="Company Secretary"/>
    <s v="42"/>
    <s v="Sr. Lead Company Secretary"/>
    <m/>
    <s v="Company Secretary"/>
    <s v=""/>
    <s v=""/>
    <s v="Non Technical Support"/>
    <s v="Operations"/>
    <s v="Operations"/>
    <s v="72103001"/>
    <s v="Operations"/>
    <s v="Mumbai"/>
    <d v="1983-10-24T00:00:00"/>
    <s v="39.10"/>
    <d v="2007-06-25T00:00:00"/>
    <d v="2041-10-31T00:00:00"/>
    <m/>
    <d v="2041-10-31T00:00:00"/>
    <n v="6616"/>
    <s v=""/>
    <s v=""/>
    <s v=""/>
    <s v="16.02"/>
    <s v="16.02"/>
    <s v="70273573"/>
    <s v="Company Secretarial"/>
    <s v="304243"/>
    <s v="New Acquisition"/>
    <s v="AMNS PARADIP PORT"/>
    <s v=""/>
    <s v=""/>
    <s v="7401MUMB"/>
    <s v="20050785"/>
    <s v="Pankaj Chourasia"/>
    <s v="No"/>
    <s v="neelam.thanvi@amns.in"/>
    <s v="9930136083"/>
    <s v="1026752"/>
    <s v="Manjit Shah"/>
    <s v="Anil Matoo"/>
    <n v="0"/>
    <s v="Manjit Shah"/>
    <n v="0"/>
  </r>
  <r>
    <n v="5899"/>
    <n v="20058180"/>
    <s v="Piyush Patel"/>
    <s v="AM/NS Ports Hazira"/>
    <s v="Onroll"/>
    <s v="M-9"/>
    <n v="9"/>
    <m/>
    <s v="JM"/>
    <s v="M"/>
    <s v="Hazira"/>
    <n v="1"/>
    <s v="7418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2-05-30T00:00:00"/>
    <s v="51.03"/>
    <d v="2008-03-15T00:00:00"/>
    <d v="2030-05-31T00:00:00"/>
    <m/>
    <d v="2030-05-31T00:00:00"/>
    <n v="2445"/>
    <s v=""/>
    <s v=""/>
    <s v=""/>
    <s v="15.06"/>
    <s v="15.06"/>
    <s v="00051196"/>
    <s v="Procurement - Ports Hazira"/>
    <s v="304249"/>
    <s v="New Acquisition"/>
    <s v="AMNS PARADIP PORT"/>
    <s v=""/>
    <s v=""/>
    <s v="7418HAZI"/>
    <s v="20001905"/>
    <s v="Nirav Bhagat"/>
    <s v="No"/>
    <s v="piyush.patel3@amns.in"/>
    <s v="9879102854"/>
    <s v="1026767"/>
    <s v="Manjit Shah"/>
    <s v="Anil Matoo"/>
    <n v="0"/>
    <s v="Manjit Shah"/>
    <n v="0"/>
  </r>
  <r>
    <n v="5902"/>
    <n v="20058183"/>
    <s v="Pranabendra Barman"/>
    <s v="AM/NS Ports Hazira"/>
    <s v="Onroll"/>
    <s v="M-5"/>
    <n v="5"/>
    <m/>
    <s v="MM"/>
    <s v="M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69-08-27T00:00:00"/>
    <s v="54.00"/>
    <d v="2008-07-16T00:00:00"/>
    <d v="2027-08-31T00:00:00"/>
    <m/>
    <d v="2027-08-31T00:00:00"/>
    <n v="1441"/>
    <s v=""/>
    <s v=""/>
    <s v=""/>
    <s v="15.02"/>
    <s v="15.02"/>
    <s v="00051196"/>
    <s v="Procurement - Ports Hazira"/>
    <s v="304252"/>
    <s v="New Acquisition"/>
    <s v="AMNS PARADIP PORT"/>
    <s v=""/>
    <s v=""/>
    <s v="7414HAZI"/>
    <s v="20000201"/>
    <s v="Manish Bakriwala"/>
    <s v="No"/>
    <s v="pranabendra.barman@amns.in"/>
    <s v="9727764050"/>
    <s v="1026772"/>
    <s v="Manjit Shah"/>
    <s v="Anil Matoo"/>
    <n v="0"/>
    <s v="Manjit Shah"/>
    <n v="0"/>
  </r>
  <r>
    <n v="5903"/>
    <n v="20058184"/>
    <s v="Rama Barik"/>
    <s v="AM/NS Ports Hazira"/>
    <s v="Onroll"/>
    <s v="M-5"/>
    <n v="5"/>
    <m/>
    <s v="M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78-03-04T00:00:00"/>
    <s v="45.06"/>
    <d v="2008-07-28T00:00:00"/>
    <d v="2036-03-31T00:00:00"/>
    <m/>
    <d v="2036-03-31T00:00:00"/>
    <n v="4576"/>
    <s v=""/>
    <s v=""/>
    <s v=""/>
    <s v="15.01"/>
    <s v="15.01"/>
    <s v="00051197"/>
    <s v="Finance &amp; Accounts - Ports Hazira"/>
    <s v="304253"/>
    <s v="New Acquisition"/>
    <s v="AMNS PARADIP PORT"/>
    <s v=""/>
    <s v=""/>
    <s v="7404HAZI"/>
    <s v="20055088"/>
    <s v="Amit Harlalka"/>
    <s v="No"/>
    <s v="rama.barik@amns.in"/>
    <s v="9727764049"/>
    <s v="1025165"/>
    <s v="Manjit Shah"/>
    <s v="Anil Matoo"/>
    <n v="0"/>
    <s v="Manjit Shah"/>
    <n v="0"/>
  </r>
  <r>
    <n v="5917"/>
    <n v="20058198"/>
    <s v="Chaitanya Chavan"/>
    <s v="AM/NS Ports Hazira"/>
    <s v="Onroll"/>
    <s v="M-7"/>
    <n v="7"/>
    <m/>
    <s v="M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Mumbai"/>
    <d v="1980-01-31T00:00:00"/>
    <s v="43.07"/>
    <d v="2011-11-14T00:00:00"/>
    <d v="2038-01-31T00:00:00"/>
    <m/>
    <d v="2038-01-31T00:00:00"/>
    <n v="5247"/>
    <s v=""/>
    <s v=""/>
    <s v=""/>
    <s v="11.10"/>
    <s v="11.10"/>
    <s v="70494633"/>
    <s v="Finance &amp; Accounts"/>
    <s v="304267"/>
    <s v="New Acquisition"/>
    <s v="AMNS PARADIP PORT"/>
    <s v=""/>
    <s v=""/>
    <s v="7404MUMB"/>
    <s v="20000870"/>
    <s v="Balajee M"/>
    <s v="No"/>
    <s v="chaitanya.chavan@amns.in"/>
    <s v="9930134105"/>
    <s v="1026797"/>
    <s v="Manjit Shah"/>
    <s v="Anil Matoo"/>
    <n v="0"/>
    <s v="Manjit Shah"/>
    <n v="0"/>
  </r>
  <r>
    <n v="5918"/>
    <n v="20058199"/>
    <s v="Rabindra Samal"/>
    <s v="AM/NS Ports Hazira"/>
    <s v="Onroll"/>
    <s v="M-5"/>
    <n v="5"/>
    <m/>
    <s v="MM"/>
    <s v="M"/>
    <s v="Corporate"/>
    <n v="1"/>
    <s v="7409"/>
    <x v="16"/>
    <s v="03.01"/>
    <s v="Nilesh Likhite"/>
    <s v="Dilip Oommen"/>
    <n v="1"/>
    <s v="CEO Office"/>
    <s v="Internal Audit"/>
    <s v="03"/>
    <s v="Sr. Lead Internal Audit "/>
    <m/>
    <s v="Internal Audit"/>
    <s v=""/>
    <s v=""/>
    <s v="Non Technical Support"/>
    <s v="Operations"/>
    <s v="Operations"/>
    <s v="72103001"/>
    <s v="Operations"/>
    <s v="Mumbai"/>
    <d v="1973-03-12T00:00:00"/>
    <s v="50.06"/>
    <d v="2015-01-27T00:00:00"/>
    <d v="2031-03-31T00:00:00"/>
    <m/>
    <d v="2031-03-31T00:00:00"/>
    <n v="2749"/>
    <s v=""/>
    <s v=""/>
    <s v=""/>
    <s v="08.07"/>
    <s v="08.07"/>
    <s v="00051199"/>
    <s v="Internal Audit"/>
    <s v="304268"/>
    <s v="New Acquisition"/>
    <s v="AMNS PARADIP PORT"/>
    <s v=""/>
    <s v=""/>
    <s v="7409MUMB"/>
    <s v="20055486"/>
    <s v="Nilesh Likhite"/>
    <s v="No"/>
    <s v="rabindra.samal@amns.in"/>
    <s v="9930136590"/>
    <s v="1026798"/>
    <s v="Manjit Shah"/>
    <s v="Anil Matoo"/>
    <n v="0"/>
    <s v="Manjit Shah"/>
    <n v="0"/>
  </r>
  <r>
    <n v="5922"/>
    <n v="20058203"/>
    <s v="Sejalkumar Patel"/>
    <s v="AM/NS Ports Hazira"/>
    <s v="Onroll"/>
    <s v="M-9"/>
    <n v="9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6-02-11T00:00:00"/>
    <s v="37.07"/>
    <d v="2016-06-01T00:00:00"/>
    <d v="2044-02-29T00:00:00"/>
    <m/>
    <d v="2044-02-29T00:00:00"/>
    <n v="7467"/>
    <s v=""/>
    <s v=""/>
    <s v=""/>
    <s v="07.03"/>
    <s v="07.03"/>
    <s v="00051197"/>
    <s v="Finance &amp; Accounts - Ports Hazira"/>
    <s v="304272"/>
    <s v="New Acquisition"/>
    <s v="AMNS PARADIP PORT"/>
    <s v=""/>
    <s v=""/>
    <s v="7404HAZI"/>
    <s v="20058184"/>
    <s v="Rama Barik"/>
    <s v="No"/>
    <s v="sejalkumar.patel@amns.in"/>
    <s v="9879102874"/>
    <s v="1026804"/>
    <s v="Manjit Shah"/>
    <s v="Anil Matoo"/>
    <n v="0"/>
    <s v="Manjit Shah"/>
    <n v="0"/>
  </r>
  <r>
    <n v="5933"/>
    <n v="20058214"/>
    <s v="Parameswar Biswal"/>
    <s v="AM/NS Ports Hazira"/>
    <s v="Onroll"/>
    <s v="M-9"/>
    <n v="9"/>
    <m/>
    <s v="JM"/>
    <s v="M"/>
    <s v="Hazira"/>
    <n v="1"/>
    <s v="74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Hazira"/>
    <d v="1976-05-12T00:00:00"/>
    <s v="47.04"/>
    <d v="2018-07-02T00:00:00"/>
    <d v="2034-05-31T00:00:00"/>
    <m/>
    <d v="2034-05-31T00:00:00"/>
    <n v="3906"/>
    <s v=""/>
    <s v=""/>
    <s v=""/>
    <s v="05.02"/>
    <s v="05.02"/>
    <s v="00051197"/>
    <s v="Finance &amp; Accounts - Ports Hazira"/>
    <s v="304283"/>
    <s v="New Acquisition"/>
    <s v="AMNS PARADIP PORT"/>
    <s v=""/>
    <s v=""/>
    <s v="7400HAZI"/>
    <s v="20058184"/>
    <s v="Rama Barik"/>
    <s v="No"/>
    <s v="parameswar.biswal@amns.in"/>
    <s v="9925246124"/>
    <s v="1026836"/>
    <s v="Manjit Shah"/>
    <s v="Anil Matoo"/>
    <n v="0"/>
    <s v="Manjit Shah"/>
    <n v="0"/>
  </r>
  <r>
    <n v="5944"/>
    <n v="20058225"/>
    <s v="Amita Rajubhai Patel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6-07-28T00:00:00"/>
    <s v="37.01"/>
    <d v="2019-09-02T00:00:00"/>
    <d v="2044-07-31T00:00:00"/>
    <m/>
    <d v="2044-07-31T00:00:00"/>
    <n v="7620"/>
    <s v=""/>
    <s v=""/>
    <s v=""/>
    <s v="04.00"/>
    <s v="04.00"/>
    <s v="00051197"/>
    <s v="Finance &amp; Accounts - Ports Hazira"/>
    <s v="304294"/>
    <s v="New Acquisition"/>
    <s v="AMNS PARADIP PORT"/>
    <s v=""/>
    <s v=""/>
    <s v="7404HAZI"/>
    <s v="20016107"/>
    <s v="Kalpesh Thathagar"/>
    <s v="No"/>
    <s v="amita.patel@amns.in"/>
    <s v="9879203848"/>
    <s v="1026856"/>
    <s v="Manjit Shah"/>
    <s v="Anil Matoo"/>
    <n v="0"/>
    <s v="Manjit Shah"/>
    <n v="0"/>
  </r>
  <r>
    <n v="5945"/>
    <n v="20058226"/>
    <s v="Kalpana Dinesh Patel"/>
    <s v="AM/NS Ports Hazira"/>
    <s v="Onroll"/>
    <s v="M-9"/>
    <n v="9"/>
    <m/>
    <s v="J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1-05-09T00:00:00"/>
    <s v="42.04"/>
    <d v="2019-09-02T00:00:00"/>
    <d v="2039-05-31T00:00:00"/>
    <m/>
    <d v="2039-05-31T00:00:00"/>
    <n v="5732"/>
    <s v=""/>
    <s v=""/>
    <s v=""/>
    <s v="04.00"/>
    <s v="04.00"/>
    <s v="00051196"/>
    <s v="Procurement - Ports Hazira"/>
    <s v="304295"/>
    <s v="New Acquisition"/>
    <s v="AMNS PARADIP PORT"/>
    <s v=""/>
    <s v=""/>
    <s v="7414HAZI"/>
    <s v="20058183"/>
    <s v="Pranabendra Barman"/>
    <s v="No"/>
    <s v="kalpana.patel1@amns.in"/>
    <s v="9925245362"/>
    <s v="1026858"/>
    <s v="Manjit Shah"/>
    <s v="Anil Matoo"/>
    <n v="0"/>
    <s v="Manjit Shah"/>
    <n v="0"/>
  </r>
  <r>
    <n v="5946"/>
    <n v="20058227"/>
    <s v="Rucha Shukla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1-02-26T00:00:00"/>
    <s v="42.06"/>
    <d v="2019-09-02T00:00:00"/>
    <d v="2039-02-28T00:00:00"/>
    <m/>
    <d v="2039-02-28T00:00:00"/>
    <n v="5640"/>
    <s v=""/>
    <s v=""/>
    <s v=""/>
    <s v="04.00"/>
    <s v="04.00"/>
    <s v="00051809"/>
    <s v="Stack Yard"/>
    <s v="304296"/>
    <s v="New Acquisition"/>
    <s v="AMNS PARADIP PORT"/>
    <s v=""/>
    <s v=""/>
    <s v="7404HAZI"/>
    <s v="20058182"/>
    <s v="Santosh Bhatt"/>
    <s v="No"/>
    <s v="rucha.shukla@amns.in"/>
    <s v="9909902377"/>
    <s v="1026860"/>
    <s v="Manjit Shah"/>
    <s v="Anil Matoo"/>
    <n v="0"/>
    <s v="Manjit Shah"/>
    <n v="0"/>
  </r>
  <r>
    <n v="5947"/>
    <n v="20058228"/>
    <s v="Hetal Pareshbhai Lad"/>
    <s v="AM/NS Ports Hazira"/>
    <s v="Onroll"/>
    <s v="M-10"/>
    <n v="10"/>
    <m/>
    <s v="J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5-12-31T00:00:00"/>
    <s v="37.08"/>
    <d v="2019-09-02T00:00:00"/>
    <d v="2043-12-31T00:00:00"/>
    <m/>
    <d v="2043-12-31T00:00:00"/>
    <n v="7407"/>
    <s v=""/>
    <s v=""/>
    <s v=""/>
    <s v="04.00"/>
    <s v="04.00"/>
    <s v="00051196"/>
    <s v="Procurement - Ports Hazira"/>
    <s v="304297"/>
    <s v="New Acquisition"/>
    <s v="AMNS PARADIP PORT"/>
    <s v=""/>
    <s v=""/>
    <s v="7414HAZI"/>
    <s v="20058183"/>
    <s v="Pranabendra Barman"/>
    <s v="No"/>
    <s v="hetal.lad@amns.in"/>
    <s v="9925240156"/>
    <s v="1026861"/>
    <s v="Manjit Shah"/>
    <s v="Anil Matoo"/>
    <n v="0"/>
    <s v="Manjit Shah"/>
    <n v="0"/>
  </r>
  <r>
    <n v="5948"/>
    <n v="20058229"/>
    <s v="Madhvi Gangani"/>
    <s v="AM/NS Ports Hazira"/>
    <s v="Onroll"/>
    <s v="M-10"/>
    <n v="10"/>
    <m/>
    <s v="JM"/>
    <s v="F"/>
    <s v="Hazira"/>
    <n v="1"/>
    <s v="74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Hazira"/>
    <d v="1991-11-08T00:00:00"/>
    <s v="31.10"/>
    <d v="2019-09-02T00:00:00"/>
    <d v="2049-11-30T00:00:00"/>
    <m/>
    <d v="2049-11-30T00:00:00"/>
    <n v="9568"/>
    <s v=""/>
    <s v=""/>
    <s v=""/>
    <s v="04.00"/>
    <s v="04.00"/>
    <s v="00051197"/>
    <s v="Finance &amp; Accounts - Ports Hazira"/>
    <s v="304298"/>
    <s v="New Acquisition"/>
    <s v="AMNS PARADIP PORT"/>
    <s v=""/>
    <s v=""/>
    <s v="7400HAZI"/>
    <s v="20058184"/>
    <s v="Rama Barik"/>
    <s v="No"/>
    <s v="madhvi.gangani@amns.in"/>
    <s v="9925240307"/>
    <s v="1026862"/>
    <s v="Manjit Shah"/>
    <s v="Anil Matoo"/>
    <n v="0"/>
    <s v="Manjit Shah"/>
    <n v="0"/>
  </r>
  <r>
    <n v="5949"/>
    <n v="20058230"/>
    <s v="Preeti Ray"/>
    <s v="AM/NS Ports Hazira"/>
    <s v="Onroll"/>
    <s v="M-10"/>
    <n v="10"/>
    <m/>
    <s v="J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92-05-26T00:00:00"/>
    <s v="31.03"/>
    <d v="2019-09-02T00:00:00"/>
    <d v="2050-05-31T00:00:00"/>
    <m/>
    <d v="2050-05-31T00:00:00"/>
    <n v="9750"/>
    <s v=""/>
    <s v=""/>
    <s v=""/>
    <s v="04.00"/>
    <s v="04.00"/>
    <s v="00051196"/>
    <s v="Procurement - Ports Hazira"/>
    <s v="304299"/>
    <s v="New Acquisition"/>
    <s v="AMNS PARADIP PORT"/>
    <s v=""/>
    <s v=""/>
    <s v="7414HAZI"/>
    <s v="20058183"/>
    <s v="Pranabendra Barman"/>
    <s v="No"/>
    <s v="preeti.ray@amns.in"/>
    <s v="9687634295"/>
    <s v="1026863"/>
    <s v="Manjit Shah"/>
    <s v="Anil Matoo"/>
    <n v="0"/>
    <s v="Manjit Shah"/>
    <n v="0"/>
  </r>
  <r>
    <n v="5950"/>
    <n v="20058231"/>
    <s v="Bhumika Patel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91-05-29T00:00:00"/>
    <s v="32.03"/>
    <d v="2019-09-02T00:00:00"/>
    <d v="2049-05-31T00:00:00"/>
    <m/>
    <d v="2049-05-31T00:00:00"/>
    <n v="9385"/>
    <s v=""/>
    <s v=""/>
    <s v=""/>
    <s v="04.00"/>
    <s v="04.00"/>
    <s v="00051197"/>
    <s v="Finance &amp; Accounts - Ports Hazira"/>
    <s v="304300"/>
    <s v="New Acquisition"/>
    <s v="AMNS PARADIP PORT"/>
    <s v=""/>
    <s v=""/>
    <s v="7404HAZI"/>
    <s v="20016107"/>
    <s v="Kalpesh Thathagar"/>
    <s v="No"/>
    <s v="bhumika.patel1@amns.in"/>
    <s v="9879109021"/>
    <s v="1026864"/>
    <s v="Manjit Shah"/>
    <s v="Anil Matoo"/>
    <n v="0"/>
    <s v="Manjit Shah"/>
    <n v="0"/>
  </r>
  <r>
    <n v="5955"/>
    <n v="20058237"/>
    <s v="Jaykumar Patel"/>
    <s v="AM/NS Ports Hazira"/>
    <s v="Onroll"/>
    <s v="M-10"/>
    <n v="10"/>
    <m/>
    <s v="JM"/>
    <s v="M"/>
    <s v="Hazira"/>
    <n v="1"/>
    <s v="74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Hazira"/>
    <d v="1990-11-24T00:00:00"/>
    <s v="32.09"/>
    <d v="2020-01-02T00:00:00"/>
    <d v="2048-11-30T00:00:00"/>
    <m/>
    <d v="2048-11-30T00:00:00"/>
    <n v="9203"/>
    <s v=""/>
    <s v=""/>
    <s v=""/>
    <s v="03.08"/>
    <s v="03.08"/>
    <s v="00051197"/>
    <s v="Finance &amp; Accounts - Ports Hazira"/>
    <s v="304306"/>
    <s v="New Acquisition"/>
    <s v="AMNS PARADIP PORT"/>
    <s v=""/>
    <s v=""/>
    <s v="7400HAZI"/>
    <s v="20058184"/>
    <s v="Rama Barik"/>
    <s v="No"/>
    <s v="jaykumar.patel3@amns.in"/>
    <s v="9925240972"/>
    <s v="1026870"/>
    <s v="Manjit Shah"/>
    <s v="Anil Matoo"/>
    <n v="0"/>
    <s v="Manjit Shah"/>
    <n v="0"/>
  </r>
  <r>
    <n v="5956"/>
    <n v="20058238"/>
    <s v="Prashant Naresh Gandhi"/>
    <s v="AM/NS Ports Hazira"/>
    <s v="Onroll"/>
    <s v="M-10"/>
    <n v="10"/>
    <m/>
    <s v="JM"/>
    <s v="M"/>
    <s v="Hazira"/>
    <n v="1"/>
    <s v="7407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85-07-20T00:00:00"/>
    <s v="38.02"/>
    <d v="2020-01-02T00:00:00"/>
    <d v="2043-07-31T00:00:00"/>
    <m/>
    <d v="2043-07-31T00:00:00"/>
    <n v="7254"/>
    <s v=""/>
    <s v=""/>
    <s v=""/>
    <s v="03.08"/>
    <s v="03.08"/>
    <s v="00051198"/>
    <s v="Human Resources"/>
    <s v="304307"/>
    <s v="New Acquisition"/>
    <s v="AMNS PARADIP PORT"/>
    <s v=""/>
    <s v=""/>
    <s v="7407HAZI"/>
    <s v="20058248"/>
    <s v="Mehulkumar Jariwala"/>
    <s v="No"/>
    <s v="prashant.gandhi@amns.in"/>
    <s v="9925249676"/>
    <s v="1026871"/>
    <s v="Manjit Shah"/>
    <s v="Anil Matoo"/>
    <n v="0"/>
    <s v="Manjit Shah"/>
    <n v="0"/>
  </r>
  <r>
    <n v="5957"/>
    <n v="20058239"/>
    <s v="Pratikkumar Patel"/>
    <s v="AM/NS Ports Hazira"/>
    <s v="Onroll"/>
    <s v="M-10"/>
    <n v="10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7-01-20T00:00:00"/>
    <s v="36.07"/>
    <d v="2020-01-02T00:00:00"/>
    <d v="2045-01-31T00:00:00"/>
    <m/>
    <d v="2045-01-31T00:00:00"/>
    <n v="7804"/>
    <s v=""/>
    <s v=""/>
    <s v=""/>
    <s v="03.08"/>
    <s v="03.08"/>
    <s v="00051197"/>
    <s v="Finance &amp; Accounts - Ports Hazira"/>
    <s v="304308"/>
    <s v="New Acquisition"/>
    <s v="AMNS PARADIP PORT"/>
    <s v=""/>
    <s v=""/>
    <s v="7404HAZI"/>
    <s v="20058184"/>
    <s v="Rama Barik"/>
    <s v="No"/>
    <s v="pratikkumar.patel@amns.in"/>
    <s v="9925249895"/>
    <s v="1042658"/>
    <s v="Manjit Shah"/>
    <s v="Anil Matoo"/>
    <n v="0"/>
    <s v="Manjit Shah"/>
    <n v="0"/>
  </r>
  <r>
    <n v="5961"/>
    <n v="20058243"/>
    <s v="Kitty Mohit Mehta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6-11-18T00:00:00"/>
    <s v="36.10"/>
    <d v="2020-10-05T00:00:00"/>
    <d v="2044-11-30T00:00:00"/>
    <m/>
    <d v="2044-11-30T00:00:00"/>
    <n v="7742"/>
    <s v=""/>
    <s v=""/>
    <s v=""/>
    <s v="02.11"/>
    <s v="02.11"/>
    <s v="00051197"/>
    <s v="Finance &amp; Accounts - Ports Hazira"/>
    <s v="304312"/>
    <s v="New Acquisition"/>
    <s v="AMNS PARADIP PORT"/>
    <s v=""/>
    <s v=""/>
    <s v="7404HAZI"/>
    <s v="20058184"/>
    <s v="Rama Barik"/>
    <s v="No"/>
    <s v="kitty.mehta@amns.in"/>
    <s v="9879108791"/>
    <s v="1026876"/>
    <s v="Manjit Shah"/>
    <s v="Anil Matoo"/>
    <n v="0"/>
    <s v="Manjit Shah"/>
    <n v="0"/>
  </r>
  <r>
    <n v="5963"/>
    <n v="20058245"/>
    <s v="Suvarna Wakhare"/>
    <s v="AM/NS Ports Hazira"/>
    <s v="Onroll"/>
    <s v="M-7"/>
    <n v="7"/>
    <m/>
    <s v="M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79-12-27T00:00:00"/>
    <s v="43.08"/>
    <d v="2021-01-02T00:00:00"/>
    <d v="2037-12-31T00:00:00"/>
    <m/>
    <d v="2037-12-31T00:00:00"/>
    <n v="5216"/>
    <s v=""/>
    <s v=""/>
    <s v=""/>
    <s v="02.08"/>
    <s v="02.08"/>
    <s v="00051196"/>
    <s v="Procurement - Ports Hazira"/>
    <s v="304314"/>
    <s v="New Acquisition"/>
    <s v="AMNS PARADIP PORT"/>
    <s v=""/>
    <s v=""/>
    <s v="7414HAZI"/>
    <s v="20000201"/>
    <s v="Manish Bakriwala"/>
    <s v="No"/>
    <s v="suvarna.wakhare@amns.in"/>
    <s v="9879202829"/>
    <s v="1026879"/>
    <s v="Manjit Shah"/>
    <s v="Anil Matoo"/>
    <n v="0"/>
    <s v="Manjit Shah"/>
    <n v="0"/>
  </r>
  <r>
    <n v="5964"/>
    <n v="20058246"/>
    <s v="Murugesan Konar"/>
    <s v="AM/NS Ports Hazira"/>
    <s v="Onroll"/>
    <s v="M-9"/>
    <n v="9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0-02-11T00:00:00"/>
    <s v="43.07"/>
    <d v="2020-12-28T00:00:00"/>
    <d v="2038-02-28T00:00:00"/>
    <m/>
    <d v="2038-02-28T00:00:00"/>
    <n v="5275"/>
    <s v=""/>
    <s v=""/>
    <s v=""/>
    <s v="02.08"/>
    <s v="02.08"/>
    <s v="00051197"/>
    <s v="Finance &amp; Accounts - Ports Hazira"/>
    <s v="304315"/>
    <s v="New Acquisition"/>
    <s v="AMNS PARADIP PORT"/>
    <s v=""/>
    <s v=""/>
    <s v="7404HAZI"/>
    <s v="20058184"/>
    <s v="Rama Barik"/>
    <s v="No"/>
    <s v="murugesan.konar@amns.in"/>
    <s v="7069756355"/>
    <s v="1026881"/>
    <s v="Manjit Shah"/>
    <s v="Anil Matoo"/>
    <n v="0"/>
    <s v="Manjit Shah"/>
    <n v="0"/>
  </r>
  <r>
    <n v="5965"/>
    <n v="20058247"/>
    <s v="Hemant Bhutra"/>
    <s v="AM/NS Ports Hazira"/>
    <s v="Onroll"/>
    <s v="M-8"/>
    <n v="8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95-04-09T00:00:00"/>
    <s v="28.05"/>
    <d v="2021-07-05T00:00:00"/>
    <d v="2053-04-30T00:00:00"/>
    <m/>
    <d v="2053-04-30T00:00:00"/>
    <n v="10815"/>
    <s v=""/>
    <s v=""/>
    <s v=""/>
    <s v="02.02"/>
    <s v="02.02"/>
    <s v="00051197"/>
    <s v="Finance &amp; Accounts - Ports Hazira"/>
    <s v="304316"/>
    <s v="New Acquisition"/>
    <s v="AMNS PARADIP PORT"/>
    <s v=""/>
    <s v=""/>
    <s v="7404HAZI"/>
    <s v="20058184"/>
    <s v="Rama Barik"/>
    <s v="No"/>
    <s v="hemant.bhutra@amns.in"/>
    <s v="9879106558"/>
    <s v="1025167"/>
    <s v="Manjit Shah"/>
    <s v="Anil Matoo"/>
    <n v="0"/>
    <s v="Manjit Shah"/>
    <n v="0"/>
  </r>
  <r>
    <n v="5966"/>
    <n v="20058248"/>
    <s v="Mehulkumar Jariwala"/>
    <s v="AM/NS Ports Hazira"/>
    <s v="Onroll"/>
    <s v="M-7"/>
    <n v="7"/>
    <m/>
    <s v="MM"/>
    <s v="M"/>
    <s v="Hazira"/>
    <n v="1"/>
    <s v="7407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81-11-19T00:00:00"/>
    <s v="41.09"/>
    <d v="2021-09-01T00:00:00"/>
    <d v="2039-11-30T00:00:00"/>
    <m/>
    <d v="2039-11-30T00:00:00"/>
    <n v="5915"/>
    <s v=""/>
    <s v=""/>
    <s v=""/>
    <s v="02.00"/>
    <s v="02.00"/>
    <s v="00051198"/>
    <s v="Human Resources"/>
    <s v="304317"/>
    <s v="New Acquisition"/>
    <s v="AMNS PARADIP PORT"/>
    <s v=""/>
    <s v=""/>
    <s v="7407HAZI"/>
    <s v="20058139"/>
    <s v="Sunil Tiwari"/>
    <s v="No"/>
    <s v="mehulkumar.jariwala@amns.in"/>
    <s v="9913146802"/>
    <s v="1026885"/>
    <s v="Manjit Shah"/>
    <s v="Anil Matoo"/>
    <n v="0"/>
    <s v="Manjit Shah"/>
    <n v="0"/>
  </r>
  <r>
    <n v="5969"/>
    <n v="20058251"/>
    <s v="Abhishek Bajpai"/>
    <s v="AM/NS Ports Hazira"/>
    <s v="Onroll"/>
    <s v="M-9"/>
    <n v="9"/>
    <m/>
    <s v="JM"/>
    <s v="M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99-02-12T00:00:00"/>
    <s v="24.07"/>
    <d v="2022-05-16T00:00:00"/>
    <d v="2057-02-28T00:00:00"/>
    <m/>
    <d v="2057-02-28T00:00:00"/>
    <n v="12215"/>
    <s v=""/>
    <s v=""/>
    <s v=""/>
    <s v="01.04"/>
    <s v="01.04"/>
    <s v="00051196"/>
    <s v="Procurement - Ports Hazira"/>
    <s v="304320"/>
    <s v="New Acquisition"/>
    <s v="AMNS PARADIP PORT"/>
    <s v=""/>
    <s v=""/>
    <s v="7414HAZI"/>
    <s v="20058183"/>
    <s v="Pranabendra Barman"/>
    <s v="No"/>
    <s v="abhishek.bajpai@amns.in"/>
    <s v="9925246112"/>
    <s v="1026888"/>
    <s v="Manjit Shah"/>
    <s v="Anil Matoo"/>
    <n v="0"/>
    <s v="Manjit Shah"/>
    <n v="0"/>
  </r>
  <r>
    <n v="5985"/>
    <n v="20058270"/>
    <s v="Anant Ghag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5-06-01T00:00:00"/>
    <s v="58.03"/>
    <d v="1988-05-10T00:00:00"/>
    <d v="2025-05-31T00:00:00"/>
    <m/>
    <d v="2025-05-31T00:00:00"/>
    <n v="619"/>
    <s v=""/>
    <s v=""/>
    <s v=""/>
    <s v="35.04"/>
    <s v="35.04"/>
    <s v="00051220"/>
    <s v="Administration &amp; Security"/>
    <s v="304478"/>
    <s v="New Acquisition"/>
    <s v="Khopoli staff"/>
    <s v="0000290006"/>
    <s v="FAC-MIS_DEPT"/>
    <s v="1111KHOP"/>
    <s v="20057887"/>
    <s v="Kiran Vaidya"/>
    <s v="No"/>
    <s v="anant.ghag@amns.in"/>
    <s v="9272434256"/>
    <s v="1042606"/>
    <s v="Pritam Debbarma"/>
    <s v="Anil Matoo"/>
    <s v="-"/>
    <s v="Manjit Shah"/>
    <s v="-"/>
  </r>
  <r>
    <n v="5987"/>
    <n v="20058272"/>
    <s v="Nisha Choudhari"/>
    <s v="AMNS Khopoli"/>
    <s v="Onroll"/>
    <s v="New Acquisition"/>
    <n v="17"/>
    <m/>
    <s v="NA"/>
    <s v="F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3-08-20T00:00:00"/>
    <s v="60.00"/>
    <d v="1990-07-01T00:00:00"/>
    <d v="2023-08-31T00:00:00"/>
    <m/>
    <d v="2023-08-31T00:00:00"/>
    <n v="-20"/>
    <s v=""/>
    <s v=""/>
    <s v=""/>
    <s v="33.02"/>
    <s v="33.02"/>
    <s v="00051220"/>
    <s v="Administration &amp; Security"/>
    <s v="304480"/>
    <s v="New Acquisition"/>
    <s v="Khopoli staff"/>
    <s v="0000290002"/>
    <s v="FAC-PERSONAL &amp; ADM"/>
    <s v="1111KHOP"/>
    <s v="20057887"/>
    <s v="Kiran Vaidya"/>
    <s v="No"/>
    <s v="nisha.chowdhary@amns.in"/>
    <s v="8411970485"/>
    <s v="1021938"/>
    <s v="Pritam Debbarma"/>
    <s v="Anil Matoo"/>
    <s v="-"/>
    <s v="Manjit Shah"/>
    <s v="-"/>
  </r>
  <r>
    <n v="5988"/>
    <n v="20058273"/>
    <s v="Arun Deshmukh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5-02-28T00:00:00"/>
    <s v="58.06"/>
    <d v="1992-11-01T00:00:00"/>
    <d v="2025-02-28T00:00:00"/>
    <m/>
    <d v="2025-02-28T00:00:00"/>
    <n v="527"/>
    <s v=""/>
    <s v=""/>
    <s v=""/>
    <s v="30.10"/>
    <s v="30.10"/>
    <s v="00051389"/>
    <s v="Stores - PRC"/>
    <s v="304481"/>
    <s v="New Acquisition"/>
    <s v="Khopoli staff"/>
    <s v="0000409007"/>
    <s v="PRC-STORES_DEPT"/>
    <s v="1111KHOP"/>
    <s v="20058695"/>
    <s v="Shrigopal Bhati"/>
    <s v="No"/>
    <s v="arun.deshmukh@amns.in"/>
    <s v="8411970066"/>
    <s v="1021942"/>
    <s v="Pritam Debbarma"/>
    <s v="Anil Matoo"/>
    <s v="-"/>
    <s v="Manjit Shah"/>
    <s v="-"/>
  </r>
  <r>
    <n v="5990"/>
    <n v="20058275"/>
    <s v="Vinayak Lot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7-11-18T00:00:00"/>
    <s v="55.10"/>
    <d v="1992-12-28T00:00:00"/>
    <d v="2027-11-30T00:00:00"/>
    <m/>
    <d v="2027-11-30T00:00:00"/>
    <n v="1532"/>
    <s v=""/>
    <s v=""/>
    <s v=""/>
    <s v="30.08"/>
    <s v="30.08"/>
    <s v="00051339"/>
    <s v="Excise"/>
    <s v="304483"/>
    <s v="New Acquisition"/>
    <s v="Khopoli staff"/>
    <s v="0000290001"/>
    <s v="FAC-EXCISE_DEPT"/>
    <s v="1111KHOP"/>
    <s v="40002639"/>
    <s v="Balveer Bhandari"/>
    <s v="No"/>
    <s v="vinayak.lote@amns.in"/>
    <s v="9271446989"/>
    <s v="1021948"/>
    <s v="Pritam Debbarma"/>
    <s v="Anil Matoo"/>
    <s v="-"/>
    <s v="Manjit Shah"/>
    <s v="-"/>
  </r>
  <r>
    <n v="5992"/>
    <n v="20058277"/>
    <s v="Victor Pushparaj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7-10-18T00:00:00"/>
    <s v="55.11"/>
    <d v="1993-08-28T00:00:00"/>
    <d v="2027-10-31T00:00:00"/>
    <m/>
    <d v="2027-10-31T00:00:00"/>
    <n v="1502"/>
    <s v=""/>
    <s v=""/>
    <s v=""/>
    <s v="30.00"/>
    <s v="30.00"/>
    <s v="00051278"/>
    <s v="Stores &amp; Warehouse"/>
    <s v="304485"/>
    <s v="New Acquisition"/>
    <s v="Khopoli staff"/>
    <s v="0000309007"/>
    <s v="CGL-STORES_DEPT"/>
    <s v="1111KHOP"/>
    <s v="20058695"/>
    <s v="Shrigopal Bhati"/>
    <s v="No"/>
    <s v="pvictor.syril@amns.in"/>
    <s v="8411970681"/>
    <s v="1021956"/>
    <s v="Pritam Debbarma"/>
    <s v="Anil Matoo"/>
    <s v="-"/>
    <s v="Manjit Shah"/>
    <s v="-"/>
  </r>
  <r>
    <n v="5994"/>
    <n v="20058279"/>
    <s v="Satish Nair"/>
    <s v="AMNS Khopoli"/>
    <s v="Onroll"/>
    <s v="New Acquisition"/>
    <n v="17"/>
    <m/>
    <s v="NA"/>
    <s v="M"/>
    <s v="Khopoli"/>
    <n v="9"/>
    <n v="1126"/>
    <x v="7"/>
    <s v="34.01"/>
    <s v="Hrishikesh Kamat"/>
    <s v="Hrishikesh Kamat"/>
    <n v="7"/>
    <s v="Procurement"/>
    <s v="Stores &amp; Warehouse"/>
    <s v="34"/>
    <m/>
    <m/>
    <s v="Stores &amp; Warehouse"/>
    <m/>
    <m/>
    <s v="Non Technical Support"/>
    <s v="Operations"/>
    <s v="Operations"/>
    <s v="72103001"/>
    <s v="Operations"/>
    <s v="Khopoli"/>
    <d v="1971-02-09T00:00:00"/>
    <s v="52.07"/>
    <d v="1994-05-04T00:00:00"/>
    <d v="2031-02-28T00:00:00"/>
    <m/>
    <d v="2031-02-28T00:00:00"/>
    <n v="2718"/>
    <s v=""/>
    <s v=""/>
    <s v=""/>
    <s v="29.04"/>
    <s v="29.04"/>
    <s v="00051351"/>
    <s v="Logistics &amp; Stores"/>
    <s v="304487"/>
    <s v="New Acquisition"/>
    <s v="Khopoli staff"/>
    <s v="0000309007"/>
    <s v="CGL-STORES_DEPT"/>
    <s v="1111KHOP"/>
    <s v="20058515"/>
    <s v="Madhusudan Murdhankar"/>
    <s v="No"/>
    <s v="satish.nair@amns.in"/>
    <s v="8411970406"/>
    <s v="1021965"/>
    <s v="Pritam Debbarma"/>
    <s v="Anil Matoo"/>
    <s v="-"/>
    <s v="Manjit Shah"/>
    <s v="-"/>
  </r>
  <r>
    <n v="5997"/>
    <n v="20058283"/>
    <s v="Dattatraya Shiralkar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2-04-20T00:00:00"/>
    <s v="51.05"/>
    <d v="1995-05-15T00:00:00"/>
    <d v="2032-04-30T00:00:00"/>
    <m/>
    <d v="2032-04-30T00:00:00"/>
    <n v="3145"/>
    <s v=""/>
    <s v=""/>
    <s v=""/>
    <s v="28.04"/>
    <s v="28.04"/>
    <s v="00051329"/>
    <s v="Finance &amp; Accounts"/>
    <s v="304491"/>
    <s v="New Acquisition"/>
    <s v="Khopoli staff"/>
    <s v="0000290004"/>
    <s v="FAC-ACCOUTS_DEPT"/>
    <s v="1111KHOP"/>
    <s v="20058805"/>
    <s v="Sunil Sharma"/>
    <s v="No"/>
    <s v="dattatray.shiralkar@amns.in"/>
    <s v="9421161008"/>
    <s v="1021988"/>
    <s v="Pritam Debbarma"/>
    <s v="Anil Matoo"/>
    <s v="-"/>
    <s v="Manjit Shah"/>
    <s v="-"/>
  </r>
  <r>
    <n v="5999"/>
    <n v="20058286"/>
    <s v="Sanjay Sawant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4-10-04T00:00:00"/>
    <s v="58.11"/>
    <d v="1996-04-01T00:00:00"/>
    <d v="2024-10-31T00:00:00"/>
    <m/>
    <d v="2024-10-31T00:00:00"/>
    <n v="407"/>
    <s v=""/>
    <s v=""/>
    <s v=""/>
    <s v="27.05"/>
    <s v="27.05"/>
    <s v="00051329"/>
    <s v="Finance &amp; Accounts"/>
    <s v="304494"/>
    <s v="New Acquisition"/>
    <s v="Khopoli staff"/>
    <s v="0000290004"/>
    <s v="FAC-ACCOUTS_DEPT"/>
    <s v="1111KHOP"/>
    <s v="20058805"/>
    <s v="Sunil Sharma"/>
    <s v="No"/>
    <s v="sanjay.sawant@amns.in"/>
    <s v="8411970624"/>
    <s v="1022005"/>
    <s v="Pritam Debbarma"/>
    <s v="Anil Matoo"/>
    <s v="-"/>
    <s v="Manjit Shah"/>
    <s v="-"/>
  </r>
  <r>
    <n v="6000"/>
    <n v="20058287"/>
    <s v="Madhura Sawant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4-06-01T00:00:00"/>
    <s v="49.03"/>
    <d v="1996-06-19T00:00:00"/>
    <d v="2034-05-31T00:00:00"/>
    <m/>
    <d v="2034-05-31T00:00:00"/>
    <n v="3906"/>
    <s v=""/>
    <s v=""/>
    <s v=""/>
    <s v="27.03"/>
    <s v="27.03"/>
    <s v="00051339"/>
    <s v="Excise"/>
    <s v="304495"/>
    <s v="New Acquisition"/>
    <s v="Khopoli staff"/>
    <s v="0000290001"/>
    <s v="FAC-EXCISE_DEPT"/>
    <s v="1111KHOP"/>
    <s v="40002639"/>
    <s v="Balveer Bhandari"/>
    <s v="No"/>
    <s v="madhura.sawant@amns.in"/>
    <s v="9768355274"/>
    <s v="1022010"/>
    <s v="Pritam Debbarma"/>
    <s v="Anil Matoo"/>
    <s v="-"/>
    <s v="Manjit Shah"/>
    <s v="-"/>
  </r>
  <r>
    <n v="6001"/>
    <n v="20058288"/>
    <s v="Manisha Desai"/>
    <s v="AMNS Khopoli"/>
    <s v="Onroll"/>
    <s v="New Acquisition"/>
    <n v="17"/>
    <m/>
    <s v="NA"/>
    <s v="F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74-04-13T00:00:00"/>
    <s v="49.05"/>
    <d v="1996-07-24T00:00:00"/>
    <d v="2034-04-30T00:00:00"/>
    <m/>
    <d v="2034-04-30T00:00:00"/>
    <n v="3875"/>
    <s v=""/>
    <s v=""/>
    <s v=""/>
    <s v="27.01"/>
    <s v="27.01"/>
    <s v="00051336"/>
    <s v="Industrial Relations"/>
    <s v="304496"/>
    <s v="New Acquisition"/>
    <s v="Khopoli staff"/>
    <s v="0000290002"/>
    <s v="FAC-PERSONAL &amp; ADM"/>
    <s v="1111KHOP"/>
    <s v="20058935"/>
    <s v="Satish Mulay"/>
    <s v="No"/>
    <s v="manisha.desai@amns.in"/>
    <s v="9869363458"/>
    <s v="1022020"/>
    <s v="Pritam Debbarma"/>
    <s v="Anil Matoo"/>
    <n v="0"/>
    <s v="Manjit Shah"/>
    <n v="0"/>
  </r>
  <r>
    <n v="6002"/>
    <n v="20058289"/>
    <s v="Shama Pisat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1-07-20T00:00:00"/>
    <s v="52.02"/>
    <d v="1996-08-28T00:00:00"/>
    <d v="2031-07-31T00:00:00"/>
    <m/>
    <d v="2031-07-31T00:00:00"/>
    <n v="2871"/>
    <s v=""/>
    <s v=""/>
    <s v=""/>
    <s v="27.00"/>
    <s v="27.00"/>
    <s v="00051329"/>
    <s v="Finance &amp; Accounts"/>
    <s v="304497"/>
    <s v="New Acquisition"/>
    <s v="Khopoli staff"/>
    <s v="0000290004"/>
    <s v="FAC-ACCOUTS_DEPT"/>
    <s v="1111KHOP"/>
    <s v="20058805"/>
    <s v="Sunil Sharma"/>
    <s v="No"/>
    <s v="shama.pisat@amns.in"/>
    <s v="9324788359"/>
    <s v="1022028"/>
    <s v="Pritam Debbarma"/>
    <s v="Anil Matoo"/>
    <s v="-"/>
    <s v="Manjit Shah"/>
    <s v="-"/>
  </r>
  <r>
    <n v="6003"/>
    <n v="20058290"/>
    <s v="Abhijit Pinga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3-05-01T00:00:00"/>
    <s v="50.04"/>
    <d v="1997-06-21T00:00:00"/>
    <d v="2033-04-30T00:00:00"/>
    <m/>
    <d v="2033-04-30T00:00:00"/>
    <n v="3510"/>
    <s v=""/>
    <s v=""/>
    <s v=""/>
    <s v="26.03"/>
    <s v="26.03"/>
    <s v="00051278"/>
    <s v="Stores &amp; Warehouse"/>
    <s v="304498"/>
    <s v="New Acquisition"/>
    <s v="Khopoli staff"/>
    <s v="0000309007"/>
    <s v="CGL-STORES_DEPT"/>
    <s v="1111KHOP"/>
    <s v="20058695"/>
    <s v="Shrigopal Bhati"/>
    <s v="No"/>
    <s v="abhijit.pingale@amns.in"/>
    <s v="9423378547"/>
    <s v="1022034"/>
    <s v="Pritam Debbarma"/>
    <s v="Anil Matoo"/>
    <s v="-"/>
    <s v="Manjit Shah"/>
    <s v="-"/>
  </r>
  <r>
    <n v="6005"/>
    <n v="20058292"/>
    <s v="Rajendra Kanase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2-06-02T00:00:00"/>
    <s v="51.03"/>
    <d v="2002-10-12T00:00:00"/>
    <d v="2032-06-30T00:00:00"/>
    <m/>
    <d v="2032-06-30T00:00:00"/>
    <n v="3206"/>
    <s v=""/>
    <s v=""/>
    <s v=""/>
    <s v="20.11"/>
    <s v="20.11"/>
    <s v="00051220"/>
    <s v="Administration &amp; Security"/>
    <s v="304500"/>
    <s v="New Acquisition"/>
    <s v="Khopoli staff"/>
    <s v="0000290006"/>
    <s v="FAC-MIS_DEPT"/>
    <s v="1111KHOP"/>
    <s v="20057887"/>
    <s v="Kiran Vaidya"/>
    <s v="No"/>
    <s v="rajendra.kanase@amns.in"/>
    <s v="8007253791"/>
    <s v="1042608"/>
    <s v="Pritam Debbarma"/>
    <s v="Anil Matoo"/>
    <s v="-"/>
    <s v="Manjit Shah"/>
    <s v="-"/>
  </r>
  <r>
    <n v="6010"/>
    <n v="20058297"/>
    <s v="Susanta Rath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1-01-02T00:00:00"/>
    <s v="52.08"/>
    <d v="2002-08-14T00:00:00"/>
    <d v="2031-01-31T00:00:00"/>
    <m/>
    <d v="2031-01-31T00:00:00"/>
    <n v="2690"/>
    <s v=""/>
    <s v=""/>
    <s v=""/>
    <s v="21.01"/>
    <s v="21.01"/>
    <s v="00051330"/>
    <s v="Accounts - Costing"/>
    <s v="304505"/>
    <s v="New Acquisition"/>
    <s v="Khopoli staff"/>
    <s v="0000290005"/>
    <s v="FAC-COSTING_DEPT"/>
    <s v="1111KHOP"/>
    <s v="0"/>
    <s v=""/>
    <s v="No"/>
    <s v="susanta.rath@amns.in"/>
    <s v="8411970453"/>
    <s v="1022058"/>
    <s v="Pritam Debbarma"/>
    <s v="Anil Matoo"/>
    <s v="-"/>
    <s v="Manjit Shah"/>
    <s v="-"/>
  </r>
  <r>
    <n v="6012"/>
    <n v="20058300"/>
    <s v="Sunita Manurkar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9-09-13T00:00:00"/>
    <s v="44.00"/>
    <d v="2005-04-15T00:00:00"/>
    <d v="2039-09-30T00:00:00"/>
    <m/>
    <d v="2039-09-30T00:00:00"/>
    <n v="5854"/>
    <s v=""/>
    <s v=""/>
    <s v=""/>
    <s v="18.05"/>
    <s v="18.05"/>
    <s v="00051339"/>
    <s v="Excise"/>
    <s v="304508"/>
    <s v="New Acquisition"/>
    <s v="Khopoli staff"/>
    <s v="0000290001"/>
    <s v="FAC-EXCISE_DEPT"/>
    <s v="1111KHOP"/>
    <s v="40002639"/>
    <s v="Balveer Bhandari"/>
    <s v="No"/>
    <s v="sunita.manurkar@amns.in"/>
    <s v="9552698460"/>
    <s v="1042453"/>
    <s v="Pritam Debbarma"/>
    <s v="Anil Matoo"/>
    <s v="-"/>
    <s v="Manjit Shah"/>
    <s v="-"/>
  </r>
  <r>
    <n v="6014"/>
    <n v="20058302"/>
    <s v="Sanjay Thaku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5-07-01T00:00:00"/>
    <s v="48.02"/>
    <d v="2005-11-14T00:00:00"/>
    <d v="2035-06-30T00:00:00"/>
    <m/>
    <d v="2035-06-30T00:00:00"/>
    <n v="4301"/>
    <s v=""/>
    <s v=""/>
    <s v=""/>
    <s v="17.10"/>
    <s v="17.10"/>
    <s v="00051220"/>
    <s v="Administration &amp; Security"/>
    <s v="304510"/>
    <s v="New Acquisition"/>
    <s v="Khopoli staff"/>
    <s v="0000290002"/>
    <s v="FAC-PERSONAL &amp; ADM"/>
    <s v="1111KHOP"/>
    <s v="20057887"/>
    <s v="Kiran Vaidya"/>
    <s v="No"/>
    <s v="sanjay.thakur@amns.in"/>
    <s v="8411970440"/>
    <s v="1022077"/>
    <s v="Pritam Debbarma"/>
    <s v="Anil Matoo"/>
    <s v="-"/>
    <s v="Manjit Shah"/>
    <s v="-"/>
  </r>
  <r>
    <n v="6016"/>
    <n v="20058304"/>
    <s v="Rajesh Kaps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4-03-14T00:00:00"/>
    <s v="49.06"/>
    <d v="2006-02-09T00:00:00"/>
    <d v="2034-03-31T00:00:00"/>
    <m/>
    <d v="2034-03-31T00:00:00"/>
    <n v="3845"/>
    <s v=""/>
    <s v=""/>
    <s v=""/>
    <s v="17.07"/>
    <s v="17.07"/>
    <s v="00051278"/>
    <s v="Stores &amp; Warehouse"/>
    <s v="304512"/>
    <s v="New Acquisition"/>
    <s v="Khopoli staff"/>
    <s v="0000509007"/>
    <s v="CCL-STORES_DEPT"/>
    <s v="1111KHOP"/>
    <s v="20058695"/>
    <s v="Shrigopal Bhati"/>
    <s v="No"/>
    <s v="rajesh.kapse@amns.in"/>
    <s v="9049828180"/>
    <s v="1021920"/>
    <s v="Pritam Debbarma"/>
    <s v="Anil Matoo"/>
    <s v="-"/>
    <s v="Manjit Shah"/>
    <s v="-"/>
  </r>
  <r>
    <n v="6018"/>
    <n v="20058306"/>
    <s v="Shashikumar Panike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7-02-26T00:00:00"/>
    <s v="56.06"/>
    <d v="2007-01-24T00:00:00"/>
    <d v="2027-02-28T00:00:00"/>
    <m/>
    <d v="2027-02-28T00:00:00"/>
    <n v="1257"/>
    <s v=""/>
    <s v=""/>
    <s v=""/>
    <s v="16.07"/>
    <s v="16.07"/>
    <s v="00051220"/>
    <s v="Administration &amp; Security"/>
    <s v="304514"/>
    <s v="New Acquisition"/>
    <s v="Khopoli staff"/>
    <s v="0000290002"/>
    <s v="FAC-PERSONAL &amp; ADM"/>
    <s v="1111KHOP"/>
    <s v="20057887"/>
    <s v="Kiran Vaidya"/>
    <s v="No"/>
    <s v="shashi.m@amns.in"/>
    <s v="8411970677"/>
    <s v="1021931"/>
    <s v="Pritam Debbarma"/>
    <s v="Anil Matoo"/>
    <s v="-"/>
    <s v="Manjit Shah"/>
    <s v="-"/>
  </r>
  <r>
    <n v="6019"/>
    <n v="20058307"/>
    <s v="Jyoti Kajale"/>
    <s v="AMNS Khopoli"/>
    <s v="Onroll"/>
    <s v="New Acquisition"/>
    <n v="17"/>
    <m/>
    <s v="NA"/>
    <s v="F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84-07-07T00:00:00"/>
    <s v="39.02"/>
    <d v="2007-03-05T00:00:00"/>
    <d v="2044-07-31T00:00:00"/>
    <m/>
    <d v="2044-07-31T00:00:00"/>
    <n v="7620"/>
    <s v=""/>
    <s v=""/>
    <s v=""/>
    <s v="16.06"/>
    <s v="16.06"/>
    <s v="00051336"/>
    <s v="Industrial Relations"/>
    <s v="304515"/>
    <s v="New Acquisition"/>
    <s v="Khopoli staff"/>
    <s v="0000290002"/>
    <s v="FAC-PERSONAL &amp; ADM"/>
    <s v="1111KHOP"/>
    <s v="20058935"/>
    <s v="Satish Mulay"/>
    <s v="No"/>
    <s v="jyoti.kajale@amns.in"/>
    <s v="9595361138"/>
    <s v="1021934"/>
    <s v="Pritam Debbarma"/>
    <s v="Anil Matoo"/>
    <n v="0"/>
    <s v="Manjit Shah"/>
    <n v="0"/>
  </r>
  <r>
    <n v="6020"/>
    <n v="20058308"/>
    <s v="Sudhir Thaku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4-06-01T00:00:00"/>
    <s v="49.03"/>
    <d v="2007-04-16T00:00:00"/>
    <d v="2034-05-31T00:00:00"/>
    <m/>
    <d v="2034-05-31T00:00:00"/>
    <n v="3906"/>
    <s v=""/>
    <s v=""/>
    <s v=""/>
    <s v="16.05"/>
    <s v="16.05"/>
    <s v="00051220"/>
    <s v="Administration &amp; Security"/>
    <s v="304516"/>
    <s v="New Acquisition"/>
    <s v="Khopoli staff"/>
    <s v="0000290002"/>
    <s v="FAC-PERSONAL &amp; ADM"/>
    <s v="1111KHOP"/>
    <s v="20057887"/>
    <s v="Kiran Vaidya"/>
    <s v="No"/>
    <s v="sudhir.thakur@amns.in"/>
    <s v="8411970439"/>
    <s v="1021937"/>
    <s v="Pritam Debbarma"/>
    <s v="Anil Matoo"/>
    <s v="-"/>
    <s v="Manjit Shah"/>
    <s v="-"/>
  </r>
  <r>
    <n v="6021"/>
    <n v="20058309"/>
    <s v="Santosh Salvi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63-12-24T00:00:00"/>
    <s v="59.08"/>
    <d v="2007-05-24T00:00:00"/>
    <d v="2023-12-31T00:00:00"/>
    <m/>
    <d v="2023-12-31T00:00:00"/>
    <n v="102"/>
    <s v=""/>
    <s v=""/>
    <s v=""/>
    <s v="16.03"/>
    <s v="16.03"/>
    <s v="00051336"/>
    <s v="Industrial Relations"/>
    <s v="304517"/>
    <s v="New Acquisition"/>
    <s v="Khopoli staff"/>
    <s v="0000290002"/>
    <s v="FAC-PERSONAL &amp; ADM"/>
    <s v="1111KHOP"/>
    <s v="20058935"/>
    <s v="Satish Mulay"/>
    <s v="No"/>
    <s v="santosh.salvi@amns.in"/>
    <s v="8411970840"/>
    <s v="1021941"/>
    <s v="Pritam Debbarma"/>
    <s v="Anil Matoo"/>
    <n v="0"/>
    <s v="Manjit Shah"/>
    <n v="0"/>
  </r>
  <r>
    <n v="6022"/>
    <n v="20058310"/>
    <s v="Amod Parange"/>
    <s v="AMNS Khopoli"/>
    <s v="Onroll"/>
    <s v="New Acquisition"/>
    <n v="17"/>
    <m/>
    <s v="NA"/>
    <s v="M"/>
    <s v="Khopoli"/>
    <n v="9"/>
    <s v="1123"/>
    <x v="12"/>
    <n v="35.02"/>
    <s v="Hrishikesh Kamat"/>
    <s v="Hrishikesh Kamat"/>
    <n v="7"/>
    <s v="Procurement"/>
    <s v="Land Acquisition"/>
    <s v="35"/>
    <m/>
    <m/>
    <s v="Legal / Land"/>
    <s v=""/>
    <s v=""/>
    <s v="Non Technical Support"/>
    <s v="Operations"/>
    <s v="Operations"/>
    <s v="72103001"/>
    <s v="Operations"/>
    <s v="Khopoli"/>
    <d v="1977-03-04T00:00:00"/>
    <s v="46.06"/>
    <d v="2007-06-01T00:00:00"/>
    <d v="2037-03-31T00:00:00"/>
    <m/>
    <d v="2037-03-31T00:00:00"/>
    <n v="4941"/>
    <s v=""/>
    <s v=""/>
    <s v=""/>
    <s v="16.03"/>
    <s v="16.03"/>
    <s v="00051268"/>
    <s v="Land Acquisition"/>
    <s v="304518"/>
    <s v="New Acquisition"/>
    <s v="Khopoli staff"/>
    <s v="0000290002"/>
    <s v="FAC-PERSONAL &amp; ADM"/>
    <s v="1111KHOP"/>
    <s v="0"/>
    <s v=""/>
    <s v="No"/>
    <s v="amod.parange@amns.in"/>
    <s v="8411970561"/>
    <s v="1021953"/>
    <s v="Pritam Debbarma"/>
    <s v="Anil Matoo"/>
    <s v="-"/>
    <s v="Manjit Shah"/>
    <s v="-"/>
  </r>
  <r>
    <n v="6025"/>
    <n v="20058313"/>
    <s v="Sanjivani Patil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1-06-21T00:00:00"/>
    <s v="42.03"/>
    <d v="2007-09-03T00:00:00"/>
    <d v="2041-06-30T00:00:00"/>
    <m/>
    <d v="2041-06-30T00:00:00"/>
    <n v="6493"/>
    <s v=""/>
    <s v=""/>
    <s v=""/>
    <s v="16.00"/>
    <s v="16.00"/>
    <s v="00051329"/>
    <s v="Finance &amp; Accounts"/>
    <s v="304521"/>
    <s v="New Acquisition"/>
    <s v="Khopoli staff"/>
    <s v="0000290004"/>
    <s v="FAC-ACCOUTS_DEPT"/>
    <s v="1111KHOP"/>
    <s v="20058805"/>
    <s v="Sunil Sharma"/>
    <s v="No"/>
    <s v="sanjivani.patil@amns.in"/>
    <s v="9049827523"/>
    <s v="1021962"/>
    <s v="Pritam Debbarma"/>
    <s v="Anil Matoo"/>
    <s v="-"/>
    <s v="Manjit Shah"/>
    <s v="-"/>
  </r>
  <r>
    <n v="6032"/>
    <n v="20058320"/>
    <s v="Bashir Shaikh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5-01-12T00:00:00"/>
    <s v="58.08"/>
    <d v="2010-03-10T00:00:00"/>
    <d v="2025-01-31T00:00:00"/>
    <m/>
    <d v="2025-01-31T00:00:00"/>
    <n v="499"/>
    <s v=""/>
    <s v=""/>
    <s v=""/>
    <s v="13.06"/>
    <s v="13.06"/>
    <s v="00051329"/>
    <s v="Finance &amp; Accounts"/>
    <s v="304528"/>
    <s v="New Acquisition"/>
    <s v="Khopoli staff"/>
    <s v="0000290004"/>
    <s v="FAC-ACCOUTS_DEPT"/>
    <s v="1111KHOP"/>
    <s v="20058805"/>
    <s v="Sunil Sharma"/>
    <s v="No"/>
    <s v="bashir.shaikh@amns.in"/>
    <s v="9421161095"/>
    <s v="1021987"/>
    <s v="Pritam Debbarma"/>
    <s v="Anil Matoo"/>
    <s v="-"/>
    <s v="Manjit Shah"/>
    <s v="-"/>
  </r>
  <r>
    <n v="6036"/>
    <n v="20058324"/>
    <s v="Ashwini Sakpal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90-04-11T00:00:00"/>
    <s v="33.05"/>
    <d v="2011-05-09T00:00:00"/>
    <d v="2050-04-30T00:00:00"/>
    <m/>
    <d v="2050-04-30T00:00:00"/>
    <n v="9719"/>
    <s v=""/>
    <s v=""/>
    <s v=""/>
    <s v="12.04"/>
    <s v="12.04"/>
    <s v="00051378"/>
    <s v="Exports - Marketing"/>
    <s v="304532"/>
    <s v="New Acquisition"/>
    <s v="Khopoli staff"/>
    <s v="0000100014"/>
    <s v="HOM-SALE&amp;MKTG-EXPORT"/>
    <s v="1111KHOP"/>
    <s v="20058801"/>
    <s v="Shubhangi Patil"/>
    <s v="No"/>
    <s v="ashwini.chalke@amns.in"/>
    <s v="9881307522"/>
    <s v="1022033"/>
    <s v="Pritam Debbarma"/>
    <s v="Anil Matoo"/>
    <s v="-"/>
    <s v="Manjit Shah"/>
    <s v="-"/>
  </r>
  <r>
    <n v="6054"/>
    <n v="20058342"/>
    <s v="Sandip Patil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3-02-10T00:00:00"/>
    <s v="50.07"/>
    <d v="1994-11-21T00:00:00"/>
    <d v="2033-02-28T00:00:00"/>
    <m/>
    <d v="2033-02-28T00:00:00"/>
    <n v="3449"/>
    <s v=""/>
    <s v=""/>
    <s v=""/>
    <s v="28.09"/>
    <s v="28.09"/>
    <s v="00051278"/>
    <s v="Stores &amp; Warehouse"/>
    <s v="304550"/>
    <s v="New Acquisition"/>
    <s v="Khopoli staff"/>
    <s v="0000209007"/>
    <s v="CRM-STORES_DEPT"/>
    <s v="1111KHOP"/>
    <s v="20058695"/>
    <s v="Shrigopal Bhati"/>
    <s v="No"/>
    <s v="sandip.patil@amns.in"/>
    <s v="8411970609"/>
    <s v="1022094"/>
    <s v="Pritam Debbarma"/>
    <s v="Anil Matoo"/>
    <s v="-"/>
    <s v="Manjit Shah"/>
    <s v="-"/>
  </r>
  <r>
    <n v="6069"/>
    <n v="20058357"/>
    <s v="Samadhan Sakhar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9-09-16T00:00:00"/>
    <s v="54.00"/>
    <d v="1995-12-20T00:00:00"/>
    <d v="2029-09-30T00:00:00"/>
    <m/>
    <d v="2029-09-30T00:00:00"/>
    <n v="2202"/>
    <s v=""/>
    <s v=""/>
    <s v=""/>
    <s v="27.09"/>
    <s v="27.09"/>
    <s v="00051278"/>
    <s v="Stores &amp; Warehouse"/>
    <s v="304565"/>
    <s v="New Acquisition"/>
    <s v="Khopoli staff"/>
    <s v="0000209007"/>
    <s v="CRM-STORES_DEPT"/>
    <s v="1111KHOP"/>
    <s v="20058695"/>
    <s v="Shrigopal Bhati"/>
    <s v="No"/>
    <s v="samadhan.sakhare@amns.in"/>
    <s v="7767808350"/>
    <s v="1022049"/>
    <s v="Pritam Debbarma"/>
    <s v="Anil Matoo"/>
    <s v="-"/>
    <s v="Manjit Shah"/>
    <s v="-"/>
  </r>
  <r>
    <n v="6073"/>
    <n v="20058362"/>
    <s v="Pravin Waghu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8-04-12T00:00:00"/>
    <s v="55.05"/>
    <d v="1996-04-04T00:00:00"/>
    <d v="2028-04-30T00:00:00"/>
    <m/>
    <d v="2028-04-30T00:00:00"/>
    <n v="1684"/>
    <s v=""/>
    <s v=""/>
    <s v=""/>
    <s v="27.05"/>
    <s v="27.05"/>
    <s v="00051278"/>
    <s v="Stores &amp; Warehouse"/>
    <s v="304570"/>
    <s v="New Acquisition"/>
    <s v="Khopoli staff"/>
    <s v="0000249007"/>
    <s v="SSC-STORES_DEPT"/>
    <s v="1111KHOP"/>
    <s v="20058695"/>
    <s v="Shrigopal Bhati"/>
    <s v="No"/>
    <s v="pravin.waghule@amns.in"/>
    <s v="7769881682"/>
    <s v="1042625"/>
    <s v="Pritam Debbarma"/>
    <s v="Anil Matoo"/>
    <s v="-"/>
    <s v="Manjit Shah"/>
    <s v="-"/>
  </r>
  <r>
    <n v="6075"/>
    <n v="20058364"/>
    <s v="Suresh Malusar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8-02-28T00:00:00"/>
    <s v="55.06"/>
    <d v="1996-04-13T00:00:00"/>
    <d v="2028-02-29T00:00:00"/>
    <m/>
    <d v="2028-02-29T00:00:00"/>
    <n v="1623"/>
    <s v=""/>
    <s v=""/>
    <s v=""/>
    <s v="27.05"/>
    <s v="27.05"/>
    <s v="00051278"/>
    <s v="Stores &amp; Warehouse"/>
    <s v="304572"/>
    <s v="New Acquisition"/>
    <s v="Khopoli staff"/>
    <s v="0000249007"/>
    <s v="SSC-STORES_DEPT"/>
    <s v="1111KHOP"/>
    <s v="20058695"/>
    <s v="Shrigopal Bhati"/>
    <s v="No"/>
    <s v="suresh.malusare@amns.in"/>
    <s v="8411970024"/>
    <s v="1022081"/>
    <s v="Pritam Debbarma"/>
    <s v="Anil Matoo"/>
    <s v="-"/>
    <s v="Manjit Shah"/>
    <s v="-"/>
  </r>
  <r>
    <n v="6102"/>
    <n v="20058392"/>
    <s v="Pratiksha Khare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74-03-20T00:00:00"/>
    <s v="49.06"/>
    <d v="1999-04-28T00:00:00"/>
    <d v="2034-03-31T00:00:00"/>
    <m/>
    <d v="2034-03-31T00:00:00"/>
    <n v="3845"/>
    <s v=""/>
    <s v=""/>
    <s v=""/>
    <s v="24.04"/>
    <s v="24.04"/>
    <s v="00051378"/>
    <s v="Exports - Marketing"/>
    <s v="304600"/>
    <s v="New Acquisition"/>
    <s v="Khopoli staff"/>
    <s v="0000100014"/>
    <s v="HOM-SALE&amp;MKTG-EXPORT"/>
    <s v="1111KHOP"/>
    <s v="20058801"/>
    <s v="Shubhangi Patil"/>
    <s v="No"/>
    <s v="pratiksha.khare@amns.in"/>
    <s v="8411970586"/>
    <s v="1022180"/>
    <s v="Pritam Debbarma"/>
    <s v="Anil Matoo"/>
    <s v="-"/>
    <s v="Manjit Shah"/>
    <s v="-"/>
  </r>
  <r>
    <n v="6116"/>
    <n v="20058406"/>
    <s v="Sameer Paland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6-12T00:00:00"/>
    <s v="47.03"/>
    <d v="1999-04-05T00:00:00"/>
    <d v="2036-06-30T00:00:00"/>
    <m/>
    <d v="2036-06-30T00:00:00"/>
    <n v="4667"/>
    <s v=""/>
    <s v=""/>
    <s v=""/>
    <s v="24.05"/>
    <s v="24.05"/>
    <s v="00051330"/>
    <s v="Accounts - Costing"/>
    <s v="304614"/>
    <s v="New Acquisition"/>
    <s v="Khopoli staff"/>
    <s v="0000290005"/>
    <s v="FAC-COSTING_DEPT"/>
    <s v="1111KHOP"/>
    <s v="20058297"/>
    <s v="Susanta Rath"/>
    <s v="No"/>
    <s v="sameer.palande@amns.in"/>
    <s v="8411970600"/>
    <s v="1022030"/>
    <s v="Pritam Debbarma"/>
    <s v="Anil Matoo"/>
    <s v="-"/>
    <s v="Manjit Shah"/>
    <s v="-"/>
  </r>
  <r>
    <n v="6133"/>
    <n v="20058423"/>
    <s v="Lalit Dhiman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06-19T00:00:00"/>
    <s v="57.03"/>
    <d v="2003-11-18T00:00:00"/>
    <d v="2026-06-30T00:00:00"/>
    <m/>
    <d v="2026-06-30T00:00:00"/>
    <n v="1014"/>
    <s v=""/>
    <s v=""/>
    <s v=""/>
    <s v="19.10"/>
    <s v="19.10"/>
    <s v="00051339"/>
    <s v="Excise"/>
    <s v="304631"/>
    <s v="New Acquisition"/>
    <s v="Khopoli staff"/>
    <s v="0000290001"/>
    <s v="FAC-EXCISE_DEPT"/>
    <s v="1111KHOP"/>
    <s v="40002639"/>
    <s v="Balveer Bhandari"/>
    <s v="No"/>
    <s v="lalit.dhiman@amns.in"/>
    <s v="9769837007"/>
    <s v="1022075"/>
    <s v="Pritam Debbarma"/>
    <s v="Anil Matoo"/>
    <s v="-"/>
    <s v="Manjit Shah"/>
    <s v="-"/>
  </r>
  <r>
    <n v="6167"/>
    <n v="20058460"/>
    <s v="Nazir Danwad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9-03-07T00:00:00"/>
    <s v="44.06"/>
    <d v="2003-12-16T00:00:00"/>
    <d v="2039-03-31T00:00:00"/>
    <m/>
    <d v="2039-03-31T00:00:00"/>
    <n v="5671"/>
    <s v=""/>
    <s v=""/>
    <s v=""/>
    <s v="19.09"/>
    <s v="19.09"/>
    <s v="00051330"/>
    <s v="Accounts - Costing"/>
    <s v="304668"/>
    <s v="New Acquisition"/>
    <s v="Khopoli staff"/>
    <s v="0000290005"/>
    <s v="FAC-COSTING_DEPT"/>
    <s v="1111KHOP"/>
    <s v="20058297"/>
    <s v="Susanta Rath"/>
    <s v="No"/>
    <s v="nazir.danawade@amns.in"/>
    <s v="8411970647"/>
    <s v="1022119"/>
    <s v="Pritam Debbarma"/>
    <s v="Anil Matoo"/>
    <s v="-"/>
    <s v="Manjit Shah"/>
    <s v="-"/>
  </r>
  <r>
    <n v="6169"/>
    <n v="20058462"/>
    <s v="Shailesh Gambhi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3-07-04T00:00:00"/>
    <s v="40.02"/>
    <d v="2005-08-17T00:00:00"/>
    <d v="2043-07-31T00:00:00"/>
    <m/>
    <d v="2043-07-31T00:00:00"/>
    <n v="7254"/>
    <s v=""/>
    <s v=""/>
    <s v=""/>
    <s v="18.01"/>
    <s v="18.01"/>
    <s v="00051278"/>
    <s v="Stores &amp; Warehouse"/>
    <s v="304670"/>
    <s v="New Acquisition"/>
    <s v="Khopoli staff"/>
    <s v="0000219007"/>
    <s v="TRM-STORES_DEPT"/>
    <s v="1111KHOP"/>
    <s v="20058695"/>
    <s v="Shrigopal Bhati"/>
    <s v="No"/>
    <s v="shailesh.gambhir@amns.in"/>
    <s v="9673126976"/>
    <s v="1022123"/>
    <s v="Pritam Debbarma"/>
    <s v="Anil Matoo"/>
    <s v="-"/>
    <s v="Manjit Shah"/>
    <s v="-"/>
  </r>
  <r>
    <n v="6173"/>
    <n v="20058466"/>
    <s v="Rakesh Patil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2-12-05T00:00:00"/>
    <s v="40.09"/>
    <d v="2006-01-09T00:00:00"/>
    <d v="2042-12-31T00:00:00"/>
    <m/>
    <d v="2042-12-31T00:00:00"/>
    <n v="7042"/>
    <s v=""/>
    <s v=""/>
    <s v=""/>
    <s v="17.08"/>
    <s v="17.08"/>
    <s v="00051278"/>
    <s v="Stores &amp; Warehouse"/>
    <s v="304674"/>
    <s v="New Acquisition"/>
    <s v="Khopoli staff"/>
    <s v="0000209007"/>
    <s v="CRM-STORES_DEPT"/>
    <s v="1111KHOP"/>
    <s v="20058695"/>
    <s v="Shrigopal Bhati"/>
    <s v="No"/>
    <s v="rakesh.patil2@amns.in"/>
    <s v="9823930232"/>
    <s v="1042685"/>
    <s v="Pritam Debbarma"/>
    <s v="Anil Matoo"/>
    <s v="-"/>
    <s v="Manjit Shah"/>
    <s v="-"/>
  </r>
  <r>
    <n v="6205"/>
    <n v="20058500"/>
    <s v="Bhushan Ghosalka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4-05-19T00:00:00"/>
    <s v="39.04"/>
    <d v="2007-08-09T00:00:00"/>
    <d v="2044-05-31T00:00:00"/>
    <m/>
    <d v="2044-05-31T00:00:00"/>
    <n v="7559"/>
    <s v=""/>
    <s v=""/>
    <s v=""/>
    <s v="16.01"/>
    <s v="16.01"/>
    <s v="00051278"/>
    <s v="Stores &amp; Warehouse"/>
    <s v="304708"/>
    <s v="New Acquisition"/>
    <s v="Khopoli staff"/>
    <s v="0000209007"/>
    <s v="CRM-STORES_DEPT"/>
    <s v="1111KHOP"/>
    <s v="20058695"/>
    <s v="Shrigopal Bhati"/>
    <s v="No"/>
    <s v="bhushan.ghosalkar@amns.in"/>
    <s v="8087771694"/>
    <s v="1042697"/>
    <s v="Pritam Debbarma"/>
    <s v="Anil Matoo"/>
    <s v="-"/>
    <s v="Manjit Shah"/>
    <s v="-"/>
  </r>
  <r>
    <n v="6207"/>
    <n v="20058502"/>
    <s v="Wilson Ratnam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8-04-15T00:00:00"/>
    <s v="45.05"/>
    <d v="2007-09-07T00:00:00"/>
    <d v="2038-04-30T00:00:00"/>
    <m/>
    <d v="2038-04-30T00:00:00"/>
    <n v="5336"/>
    <s v=""/>
    <s v=""/>
    <s v=""/>
    <s v="16.00"/>
    <s v="16.00"/>
    <s v="00051351"/>
    <s v="Logistics &amp; Stores"/>
    <s v="304710"/>
    <s v="New Acquisition"/>
    <s v="Khopoli staff"/>
    <s v="0000909007"/>
    <s v="NPP - STORES_DEPT"/>
    <s v="1111KHOP"/>
    <s v="20058515"/>
    <s v="Madhusudan Murdhankar"/>
    <s v="No"/>
    <s v="wilson.ratnam@amns.in"/>
    <s v="9823722478"/>
    <s v="1042698"/>
    <s v="Pritam Debbarma"/>
    <s v="Anil Matoo"/>
    <s v="-"/>
    <s v="Manjit Shah"/>
    <s v="-"/>
  </r>
  <r>
    <n v="6219"/>
    <n v="20058515"/>
    <s v="Madhusudan Murdhanka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6-05-24T00:00:00"/>
    <s v="57.03"/>
    <d v="2007-12-18T00:00:00"/>
    <d v="2026-05-31T00:00:00"/>
    <m/>
    <d v="2026-05-31T00:00:00"/>
    <n v="984"/>
    <s v=""/>
    <s v=""/>
    <s v=""/>
    <s v="15.09"/>
    <s v="15.09"/>
    <s v="00051351"/>
    <s v="Logistics &amp; Stores"/>
    <s v="304723"/>
    <s v="New Acquisition"/>
    <s v="Khopoli staff"/>
    <s v="0000909007"/>
    <s v="NPP - STORES_DEPT"/>
    <s v="1111KHOP"/>
    <s v="20058616"/>
    <s v="Vineet Jain"/>
    <s v="No"/>
    <s v="madhusudan.murdhankar@amns.in"/>
    <s v="8411970540"/>
    <s v=""/>
    <s v="Pritam Debbarma"/>
    <s v="Anil Matoo"/>
    <s v="-"/>
    <s v="Manjit Shah"/>
    <s v="-"/>
  </r>
  <r>
    <n v="6252"/>
    <n v="20058549"/>
    <s v="Debendra Sahoo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0-11-27T00:00:00"/>
    <s v="52.09"/>
    <d v="2008-08-19T00:00:00"/>
    <d v="2030-11-30T00:00:00"/>
    <m/>
    <d v="2030-11-30T00:00:00"/>
    <n v="2628"/>
    <s v=""/>
    <s v=""/>
    <s v=""/>
    <s v="15.01"/>
    <s v="15.01"/>
    <s v="00051278"/>
    <s v="Stores &amp; Warehouse"/>
    <s v="304757"/>
    <s v="New Acquisition"/>
    <s v="Khopoli staff"/>
    <s v="0000309007"/>
    <s v="CGL-STORES_DEPT"/>
    <s v="1111KHOP"/>
    <s v="20058695"/>
    <s v="Shrigopal Bhati"/>
    <s v="No"/>
    <s v="debendra.sahoo@amns.in"/>
    <s v="9545603945"/>
    <s v="1042476"/>
    <s v="Pritam Debbarma"/>
    <s v="Anil Matoo"/>
    <s v="-"/>
    <s v="Manjit Shah"/>
    <s v="-"/>
  </r>
  <r>
    <n v="6264"/>
    <n v="20058561"/>
    <s v="Dinesh Agiva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5-07-24T00:00:00"/>
    <s v="38.01"/>
    <d v="2009-02-16T00:00:00"/>
    <d v="2045-07-31T00:00:00"/>
    <m/>
    <d v="2045-07-31T00:00:00"/>
    <n v="7985"/>
    <s v=""/>
    <s v=""/>
    <s v=""/>
    <s v="14.07"/>
    <s v="14.07"/>
    <s v="00051351"/>
    <s v="Logistics &amp; Stores"/>
    <s v="304769"/>
    <s v="New Acquisition"/>
    <s v="Khopoli staff"/>
    <s v="0000909007"/>
    <s v="NPP - STORES_DEPT"/>
    <s v="1111KHOP"/>
    <s v="20058515"/>
    <s v="Madhusudan Murdhankar"/>
    <s v="No"/>
    <s v="dinesh.agivale@amns.in"/>
    <s v="8554910546"/>
    <s v="1042731"/>
    <s v="Pritam Debbarma"/>
    <s v="Anil Matoo"/>
    <s v="-"/>
    <s v="Manjit Shah"/>
    <s v="-"/>
  </r>
  <r>
    <n v="6286"/>
    <n v="20058584"/>
    <s v="Santhosh Raghava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outh"/>
    <s v="Hypermart"/>
    <s v=""/>
    <s v="Non Technical Support"/>
    <s v="Operations"/>
    <s v="Operations"/>
    <s v="72103001"/>
    <s v="Operations"/>
    <s v="Chennai"/>
    <d v="1966-05-04T00:00:00"/>
    <s v="57.04"/>
    <d v="2008-01-21T00:00:00"/>
    <d v="2026-05-31T00:00:00"/>
    <m/>
    <d v="2026-05-31T00:00:00"/>
    <n v="984"/>
    <s v=""/>
    <s v=""/>
    <s v=""/>
    <s v="15.07"/>
    <s v="15.07"/>
    <s v="00051380"/>
    <s v="Sales &amp; Marketing"/>
    <s v="304792"/>
    <s v="New Acquisition"/>
    <s v="Khopoli staff"/>
    <s v="0000290012"/>
    <s v="FAC-MARKETING CO-ORD"/>
    <s v="1111KHOP"/>
    <s v="20058920"/>
    <s v="Atul Singh"/>
    <s v="No"/>
    <s v="santosh.raghavan@amns.in"/>
    <s v="8411970402"/>
    <s v="1022150"/>
    <s v="Pritam Debbarma"/>
    <s v="Anil Matoo"/>
    <s v="-"/>
    <s v="Manjit Shah"/>
    <s v="-"/>
  </r>
  <r>
    <n v="6296"/>
    <n v="20058594"/>
    <s v="Praveen Singh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1-02-02T00:00:00"/>
    <s v="42.07"/>
    <d v="2010-03-08T00:00:00"/>
    <d v="2041-02-28T00:00:00"/>
    <m/>
    <d v="2041-02-28T00:00:00"/>
    <n v="6371"/>
    <s v=""/>
    <s v=""/>
    <s v=""/>
    <s v="13.06"/>
    <s v="13.06"/>
    <s v="00051278"/>
    <s v="Stores &amp; Warehouse"/>
    <s v="304802"/>
    <s v="New Acquisition"/>
    <s v="Khopoli staff"/>
    <s v="0000209007"/>
    <s v="CRM-STORES_DEPT"/>
    <s v="1111KHOP"/>
    <s v="20058695"/>
    <s v="Shrigopal Bhati"/>
    <s v="No"/>
    <s v="praveen.singh@amns.in"/>
    <s v="8237740145"/>
    <s v="1022211"/>
    <s v="Pritam Debbarma"/>
    <s v="Anil Matoo"/>
    <s v="-"/>
    <s v="Manjit Shah"/>
    <s v="-"/>
  </r>
  <r>
    <n v="6299"/>
    <n v="20058597"/>
    <s v="Shashi Rai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9-07-01T00:00:00"/>
    <s v="44.02"/>
    <d v="2010-04-19T00:00:00"/>
    <d v="2039-06-30T00:00:00"/>
    <m/>
    <d v="2039-06-30T00:00:00"/>
    <n v="5762"/>
    <s v=""/>
    <s v=""/>
    <s v=""/>
    <s v="13.05"/>
    <s v="13.05"/>
    <s v="73800002"/>
    <s v="Procurement - Pune Asset"/>
    <s v="304805"/>
    <s v="New Acquisition"/>
    <s v="Khopoli staff"/>
    <s v="0000100010"/>
    <s v="HOM-COMM. &amp; PROCTS"/>
    <s v="1111KHOP"/>
    <s v="20006536"/>
    <s v="Mahesh Salunke"/>
    <s v="No"/>
    <s v="shashi.rai@amns.in"/>
    <s v="8149908545"/>
    <s v="1042479"/>
    <s v="Pritam Debbarma"/>
    <s v="Anil Matoo"/>
    <s v="-"/>
    <s v="Manjit Shah"/>
    <s v="-"/>
  </r>
  <r>
    <n v="6305"/>
    <n v="20058603"/>
    <s v="Anil Lad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1-02-17T00:00:00"/>
    <s v="42.07"/>
    <d v="2010-06-07T00:00:00"/>
    <d v="2041-02-28T00:00:00"/>
    <m/>
    <d v="2041-02-28T00:00:00"/>
    <n v="6371"/>
    <s v=""/>
    <s v=""/>
    <s v=""/>
    <s v="13.03"/>
    <s v="13.03"/>
    <s v="00051278"/>
    <s v="Stores &amp; Warehouse"/>
    <s v="304811"/>
    <s v="New Acquisition"/>
    <s v="Khopoli staff"/>
    <s v="0000209007"/>
    <s v="CRM-STORES_DEPT"/>
    <s v="1111KHOP"/>
    <s v="20058695"/>
    <s v="Shrigopal Bhati"/>
    <s v="No"/>
    <s v="anil.lad@amns.in"/>
    <s v="9922321932"/>
    <s v="1021933"/>
    <s v="Pritam Debbarma"/>
    <s v="Anil Matoo"/>
    <s v="-"/>
    <s v="Manjit Shah"/>
    <s v="-"/>
  </r>
  <r>
    <n v="6308"/>
    <n v="20058606"/>
    <s v="Swapnil Dalv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84-05-03T00:00:00"/>
    <s v="39.04"/>
    <d v="2010-06-11T00:00:00"/>
    <d v="2044-05-31T00:00:00"/>
    <m/>
    <d v="2044-05-31T00:00:00"/>
    <n v="7559"/>
    <s v=""/>
    <s v=""/>
    <s v=""/>
    <s v="13.03"/>
    <s v="13.03"/>
    <s v="00051380"/>
    <s v="Sales &amp; Marketing"/>
    <s v="304814"/>
    <s v="New Acquisition"/>
    <s v="Khopoli staff"/>
    <s v="0000290012"/>
    <s v="FAC-MARKETING CO-ORD"/>
    <s v="1111KHOP"/>
    <s v="20058920"/>
    <s v="Atul Singh"/>
    <s v="No"/>
    <s v="swapnil.dalvi@amns.in"/>
    <s v="8411970487"/>
    <s v="1021969"/>
    <s v="Pritam Debbarma"/>
    <s v="Anil Matoo"/>
    <s v="-"/>
    <s v="Manjit Shah"/>
    <s v="-"/>
  </r>
  <r>
    <n v="6330"/>
    <n v="20058628"/>
    <s v="Netra Deore"/>
    <s v="AMNS Khopoli"/>
    <s v="Onroll"/>
    <s v="New Acquisition"/>
    <n v="17"/>
    <m/>
    <s v="NA"/>
    <s v="F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2-12-01T00:00:00"/>
    <s v="40.09"/>
    <d v="2011-04-01T00:00:00"/>
    <d v="2042-11-30T00:00:00"/>
    <m/>
    <d v="2042-11-30T00:00:00"/>
    <n v="7011"/>
    <s v=""/>
    <s v=""/>
    <s v=""/>
    <s v="12.05"/>
    <s v="12.05"/>
    <s v="73800002"/>
    <s v="Procurement - Pune Asset"/>
    <s v="304836"/>
    <s v="New Acquisition"/>
    <s v="Khopoli staff"/>
    <s v="0000100010"/>
    <s v="HOM-COMM. &amp; PROCTS"/>
    <s v="1111KHOP"/>
    <s v="20006536"/>
    <s v="Mahesh Salunke"/>
    <s v="No"/>
    <s v="netra.deore@amns.in"/>
    <s v="8692966622"/>
    <s v="1022105"/>
    <s v="Pritam Debbarma"/>
    <s v="Anil Matoo"/>
    <s v="-"/>
    <s v="Manjit Shah"/>
    <s v="-"/>
  </r>
  <r>
    <n v="6351"/>
    <n v="20058650"/>
    <s v="Anup Karn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87-09-05T00:00:00"/>
    <s v="36.00"/>
    <d v="2011-10-14T00:00:00"/>
    <d v="2047-09-30T00:00:00"/>
    <m/>
    <d v="2047-09-30T00:00:00"/>
    <n v="8776"/>
    <s v=""/>
    <s v=""/>
    <s v=""/>
    <s v="11.11"/>
    <s v="11.11"/>
    <s v="00051336"/>
    <s v="Industrial Relations"/>
    <s v="304858"/>
    <s v="New Acquisition"/>
    <s v="Khopoli staff"/>
    <s v="0000290002"/>
    <s v="FAC-PERSONAL &amp; ADM"/>
    <s v="1111KHOP"/>
    <s v="20058935"/>
    <s v="Satish Mulay"/>
    <s v="No"/>
    <s v="anup.karn@amns.in"/>
    <s v="8411970685"/>
    <s v="1022137"/>
    <s v="Pritam Debbarma"/>
    <s v="Anil Matoo"/>
    <n v="0"/>
    <s v="Manjit Shah"/>
    <n v="0"/>
  </r>
  <r>
    <n v="6369"/>
    <n v="20058668"/>
    <s v="Eknath Pawa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4-06-04T00:00:00"/>
    <s v="49.03"/>
    <d v="1998-02-03T00:00:00"/>
    <d v="2034-06-30T00:00:00"/>
    <m/>
    <d v="2034-06-30T00:00:00"/>
    <n v="3936"/>
    <s v=""/>
    <s v=""/>
    <s v=""/>
    <s v="25.07"/>
    <s v="25.07"/>
    <s v="00051220"/>
    <s v="Administration &amp; Security"/>
    <s v="304876"/>
    <s v="New Acquisition"/>
    <s v="Khopoli staff"/>
    <s v="0000400000"/>
    <s v="PRC-GENERAL"/>
    <s v="1111KHOP"/>
    <s v="20057887"/>
    <s v="Kiran Vaidya"/>
    <s v="No"/>
    <s v="eknath.pawar@amns.in"/>
    <s v="9923884325"/>
    <s v="1042533"/>
    <s v="Pritam Debbarma"/>
    <s v="Anil Matoo"/>
    <s v="-"/>
    <s v="Manjit Shah"/>
    <s v="-"/>
  </r>
  <r>
    <n v="6377"/>
    <n v="20058676"/>
    <s v="Prakash Bhoi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7-12-12T00:00:00"/>
    <s v="55.09"/>
    <d v="1998-06-25T00:00:00"/>
    <d v="2027-12-31T00:00:00"/>
    <m/>
    <d v="2027-12-31T00:00:00"/>
    <n v="1563"/>
    <s v=""/>
    <s v=""/>
    <s v=""/>
    <s v="25.02"/>
    <s v="25.02"/>
    <s v="00051389"/>
    <s v="Stores - PRC"/>
    <s v="304884"/>
    <s v="New Acquisition"/>
    <s v="Khopoli staff"/>
    <s v="0000409007"/>
    <s v="PRC-STORES_DEPT"/>
    <s v="1111KHOP"/>
    <s v="20058273"/>
    <s v="Arun Deshmukh"/>
    <s v="No"/>
    <s v="prakash.bhoir@amns.in"/>
    <s v="9673537067"/>
    <s v="1022009"/>
    <s v="Pritam Debbarma"/>
    <s v="Anil Matoo"/>
    <s v="-"/>
    <s v="Manjit Shah"/>
    <s v="-"/>
  </r>
  <r>
    <n v="6381"/>
    <n v="20058680"/>
    <s v="Vasant Sanas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0-11-11T00:00:00"/>
    <s v="52.10"/>
    <d v="1998-09-21T00:00:00"/>
    <d v="2030-11-30T00:00:00"/>
    <m/>
    <d v="2030-11-30T00:00:00"/>
    <n v="2628"/>
    <s v=""/>
    <s v=""/>
    <s v=""/>
    <s v="25.00"/>
    <s v="25.00"/>
    <s v="00051339"/>
    <s v="Excise"/>
    <s v="304888"/>
    <s v="New Acquisition"/>
    <s v="Khopoli staff"/>
    <s v="0000290001"/>
    <s v="FAC-EXCISE_DEPT"/>
    <s v="1111KHOP"/>
    <s v="40002639"/>
    <s v="Balveer Bhandari"/>
    <s v="No"/>
    <s v="vasant.sanas@amns.in"/>
    <s v="8411970995"/>
    <s v="1022113"/>
    <s v="Pritam Debbarma"/>
    <s v="Anil Matoo"/>
    <s v="-"/>
    <s v="Manjit Shah"/>
    <s v="-"/>
  </r>
  <r>
    <n v="6396"/>
    <n v="20058695"/>
    <s v="Shrigopal Bhati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5-06-12T00:00:00"/>
    <s v="58.03"/>
    <d v="1999-05-14T00:00:00"/>
    <d v="2025-06-30T00:00:00"/>
    <m/>
    <d v="2025-06-30T00:00:00"/>
    <n v="649"/>
    <s v=""/>
    <s v=""/>
    <s v=""/>
    <s v="24.04"/>
    <s v="24.04"/>
    <s v="00051278"/>
    <s v="Stores &amp; Warehouse"/>
    <s v="304903"/>
    <s v="New Acquisition"/>
    <s v="Khopoli staff"/>
    <s v="0000309007"/>
    <s v="CGL-STORES_DEPT"/>
    <s v="1111KHOP"/>
    <s v="40002638"/>
    <s v="K.V.G Raju"/>
    <s v="No"/>
    <s v="s.bhati@amns.in"/>
    <s v="8411970590"/>
    <s v="1022270"/>
    <s v="Pritam Debbarma"/>
    <s v="Anil Matoo"/>
    <s v="-"/>
    <s v="Manjit Shah"/>
    <s v="-"/>
  </r>
  <r>
    <n v="6424"/>
    <n v="20058724"/>
    <s v="Shankar Patil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7-07-13T00:00:00"/>
    <s v="36.02"/>
    <d v="2010-10-21T00:00:00"/>
    <d v="2047-07-31T00:00:00"/>
    <m/>
    <d v="2047-07-31T00:00:00"/>
    <n v="8715"/>
    <s v=""/>
    <s v=""/>
    <s v=""/>
    <s v="12.10"/>
    <s v="12.10"/>
    <s v="00051278"/>
    <s v="Stores &amp; Warehouse"/>
    <s v="304932"/>
    <s v="New Acquisition"/>
    <s v="Khopoli staff"/>
    <s v="0000509007"/>
    <s v="CCL-STORES_DEPT"/>
    <s v="1111KHOP"/>
    <s v="20058695"/>
    <s v="Shrigopal Bhati"/>
    <s v="No"/>
    <s v="shankar.patil@amns.in"/>
    <s v="9673239477"/>
    <s v="1042792"/>
    <s v="Pritam Debbarma"/>
    <s v="Anil Matoo"/>
    <s v="-"/>
    <s v="Manjit Shah"/>
    <s v="-"/>
  </r>
  <r>
    <n v="6425"/>
    <n v="20058725"/>
    <s v="Sachin Patil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9-11-12T00:00:00"/>
    <s v="43.10"/>
    <d v="2011-05-12T00:00:00"/>
    <d v="2039-11-30T00:00:00"/>
    <m/>
    <d v="2039-11-30T00:00:00"/>
    <n v="5915"/>
    <s v=""/>
    <s v=""/>
    <s v=""/>
    <s v="12.04"/>
    <s v="12.04"/>
    <s v="00051220"/>
    <s v="Administration &amp; Security"/>
    <s v="304933"/>
    <s v="New Acquisition"/>
    <s v="Khopoli staff"/>
    <s v="0000290002"/>
    <s v="FAC-PERSONAL &amp; ADM"/>
    <s v="1111KHOP"/>
    <s v="20057887"/>
    <s v="Kiran Vaidya"/>
    <s v="No"/>
    <s v="sachin.patil24@amns.in"/>
    <s v="7030825777"/>
    <s v="1042793"/>
    <s v="Pritam Debbarma"/>
    <s v="Anil Matoo"/>
    <s v="-"/>
    <s v="Manjit Shah"/>
    <s v="-"/>
  </r>
  <r>
    <n v="6450"/>
    <n v="20058751"/>
    <s v="Mandar Khadilk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67-10-18T00:00:00"/>
    <s v="55.11"/>
    <d v="2005-12-10T00:00:00"/>
    <d v="2027-10-31T00:00:00"/>
    <m/>
    <d v="2027-10-31T00:00:00"/>
    <n v="1502"/>
    <s v=""/>
    <s v=""/>
    <s v=""/>
    <s v="17.09"/>
    <s v="17.09"/>
    <s v="00051378"/>
    <s v="Exports - Marketing"/>
    <s v="304959"/>
    <s v="New Acquisition"/>
    <s v="Khopoli staff"/>
    <s v="0000290012"/>
    <s v="FAC-MARKETING CO-ORD"/>
    <s v="1111KHOP"/>
    <s v="20058801"/>
    <s v="Shubhangi Patil"/>
    <s v="No"/>
    <s v="mandar.khadilkar@amns.in"/>
    <s v="8411970653"/>
    <s v="1022163"/>
    <s v="Pritam Debbarma"/>
    <s v="Anil Matoo"/>
    <s v="-"/>
    <s v="Manjit Shah"/>
    <s v="-"/>
  </r>
  <r>
    <n v="6471"/>
    <n v="20058772"/>
    <s v="Bipinchandra Parekh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Khopoli"/>
    <d v="1971-12-03T00:00:00"/>
    <s v="51.09"/>
    <d v="2007-08-14T00:00:00"/>
    <d v="2031-12-31T00:00:00"/>
    <m/>
    <d v="2031-12-31T00:00:00"/>
    <n v="3024"/>
    <s v=""/>
    <s v=""/>
    <s v=""/>
    <s v="16.01"/>
    <s v="16.01"/>
    <s v="00051356"/>
    <s v="Logistics - MIS / Planning"/>
    <s v="304980"/>
    <s v="New Acquisition"/>
    <s v="Khopoli staff"/>
    <s v="0000319006"/>
    <s v="SGL-LOGISTIC_DEPT"/>
    <s v="1111KHOP"/>
    <s v="40002642"/>
    <s v="Vasant Pandit"/>
    <s v="No"/>
    <s v="bipinchandra.parekh@amns.in"/>
    <s v="9420651432"/>
    <s v="1022247"/>
    <s v="Pritam Debbarma"/>
    <s v="Anil Matoo"/>
    <s v="-"/>
    <s v="Manjit Shah"/>
    <s v="-"/>
  </r>
  <r>
    <n v="6475"/>
    <n v="20058777"/>
    <s v="Shailesh Mang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8-10-30T00:00:00"/>
    <s v="54.10"/>
    <d v="2007-12-01T00:00:00"/>
    <d v="2028-10-31T00:00:00"/>
    <m/>
    <d v="2028-10-31T00:00:00"/>
    <n v="1868"/>
    <s v=""/>
    <s v=""/>
    <s v=""/>
    <s v="15.09"/>
    <s v="15.09"/>
    <s v="00051389"/>
    <s v="Stores - PRC"/>
    <s v="304985"/>
    <s v="New Acquisition"/>
    <s v="Khopoli staff"/>
    <s v="0000409007"/>
    <s v="PRC-STORES_DEPT"/>
    <s v="1111KHOP"/>
    <s v="20058273"/>
    <s v="Arun Deshmukh"/>
    <s v="No"/>
    <s v="shailesh.mangle@amns.in"/>
    <s v="9923734424"/>
    <s v="1022265"/>
    <s v="Pritam Debbarma"/>
    <s v="Anil Matoo"/>
    <s v="-"/>
    <s v="Manjit Shah"/>
    <s v="-"/>
  </r>
  <r>
    <n v="6491"/>
    <n v="20058796"/>
    <s v="Rajany Nair"/>
    <s v="AMNS Khopoli"/>
    <s v="Onroll"/>
    <s v="New Acquisition"/>
    <n v="17"/>
    <m/>
    <s v="NA"/>
    <s v="F"/>
    <s v="Khopoli"/>
    <n v="9"/>
    <s v="1123"/>
    <x v="12"/>
    <n v="35.02"/>
    <s v="Hrishikesh Kamat"/>
    <s v="Hrishikesh Kamat"/>
    <n v="7"/>
    <s v="Procurement"/>
    <s v="Land Acquisition"/>
    <s v="35"/>
    <m/>
    <m/>
    <s v="Legal / Land"/>
    <s v=""/>
    <s v=""/>
    <s v="Non Technical Support"/>
    <s v="Operations"/>
    <s v="Operations"/>
    <s v="72103001"/>
    <s v="Operations"/>
    <s v="Khopoli"/>
    <d v="1972-04-16T00:00:00"/>
    <s v="51.05"/>
    <d v="2008-06-26T00:00:00"/>
    <d v="2032-04-30T00:00:00"/>
    <m/>
    <d v="2032-04-30T00:00:00"/>
    <n v="3145"/>
    <s v=""/>
    <s v=""/>
    <s v=""/>
    <s v="15.02"/>
    <s v="15.02"/>
    <s v="00051268"/>
    <s v="Land Acquisition"/>
    <s v="305004"/>
    <s v="New Acquisition"/>
    <s v="Khopoli staff"/>
    <s v="0000290002"/>
    <s v="FAC-PERSONAL &amp; ADM"/>
    <s v="1111KHOP"/>
    <s v="0"/>
    <s v=""/>
    <s v="No"/>
    <s v="rajany.nair@amns.in"/>
    <s v="8879994201"/>
    <s v="1022095"/>
    <s v="Pritam Debbarma"/>
    <s v="Anil Matoo"/>
    <s v="-"/>
    <s v="Manjit Shah"/>
    <s v="-"/>
  </r>
  <r>
    <n v="6492"/>
    <n v="20058798"/>
    <s v="Abhijeet Kulkarni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7-06-08T00:00:00"/>
    <s v="46.03"/>
    <d v="2007-05-23T00:00:00"/>
    <d v="2037-06-30T00:00:00"/>
    <m/>
    <d v="2037-06-30T00:00:00"/>
    <n v="5032"/>
    <s v=""/>
    <s v=""/>
    <s v=""/>
    <s v="16.03"/>
    <s v="16.03"/>
    <s v="00051338"/>
    <s v="Commercial &amp; Licenses"/>
    <s v="305006"/>
    <s v="New Acquisition"/>
    <s v="Khopoli staff"/>
    <s v="0000100019"/>
    <s v="HOM-COMMERCIAL"/>
    <s v="1111KHOP"/>
    <s v="20054538"/>
    <s v="Niraj Pradeep Khopkar"/>
    <s v="No"/>
    <s v="abhijeet.kulkarni@amns.in"/>
    <s v="8879994148"/>
    <s v=""/>
    <s v="Pritam Debbarma"/>
    <s v="Anil Matoo"/>
    <s v="-"/>
    <s v="Manjit Shah"/>
    <s v="-"/>
  </r>
  <r>
    <n v="6493"/>
    <n v="20058799"/>
    <s v="Rohit Kamat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2-04-22T00:00:00"/>
    <s v="41.04"/>
    <d v="2004-07-01T00:00:00"/>
    <d v="2042-04-30T00:00:00"/>
    <m/>
    <d v="2042-04-30T00:00:00"/>
    <n v="6797"/>
    <s v=""/>
    <s v=""/>
    <s v=""/>
    <s v="19.02"/>
    <s v="19.02"/>
    <s v="00051338"/>
    <s v="Commercial &amp; Licenses"/>
    <s v="305007"/>
    <s v="New Acquisition"/>
    <s v="Khopoli staff"/>
    <s v="0000100019"/>
    <s v="HOM-COMMERCIAL"/>
    <s v="1111KHOP"/>
    <s v="20054538"/>
    <s v="Niraj Pradeep Khopkar"/>
    <s v="No"/>
    <s v="rohit.kamat@amns.in"/>
    <s v="8879994193"/>
    <s v="1022117"/>
    <s v="Pritam Debbarma"/>
    <s v="Anil Matoo"/>
    <s v="-"/>
    <s v="Manjit Shah"/>
    <s v="-"/>
  </r>
  <r>
    <n v="6494"/>
    <n v="20058801"/>
    <s v="Shubhangi Patil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Sales Planning"/>
    <s v=""/>
    <s v="Non Technical Support"/>
    <s v="Operations"/>
    <s v="Operations"/>
    <s v="72103001"/>
    <s v="Operations"/>
    <s v="Khopoli"/>
    <d v="1974-05-25T00:00:00"/>
    <s v="49.03"/>
    <d v="2001-09-07T00:00:00"/>
    <d v="2034-05-31T00:00:00"/>
    <m/>
    <d v="2034-05-31T00:00:00"/>
    <n v="3906"/>
    <s v=""/>
    <s v=""/>
    <s v=""/>
    <s v="22.00"/>
    <s v="22.00"/>
    <s v="00051378"/>
    <s v="Exports - Marketing"/>
    <s v="305009"/>
    <s v="New Acquisition"/>
    <s v="Khopoli staff"/>
    <s v="0000100014"/>
    <s v="HOM-SALE&amp;MKTG-EXPORT"/>
    <s v="1111KHOP"/>
    <s v="20058920"/>
    <s v="Atul Singh"/>
    <s v="No"/>
    <s v="shubhangi.patil@amns.in"/>
    <s v="8879994108"/>
    <s v="1022448"/>
    <s v="Pritam Debbarma"/>
    <s v="Anil Matoo"/>
    <s v="-"/>
    <s v="Manjit Shah"/>
    <s v="-"/>
  </r>
  <r>
    <n v="6495"/>
    <n v="20058804"/>
    <s v="Roy Jos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5-12-03T00:00:00"/>
    <s v="47.09"/>
    <d v="2000-09-11T00:00:00"/>
    <d v="2035-12-31T00:00:00"/>
    <m/>
    <d v="2035-12-31T00:00:00"/>
    <n v="4485"/>
    <s v=""/>
    <s v=""/>
    <s v=""/>
    <s v="23.00"/>
    <s v="23.00"/>
    <s v="00051333"/>
    <s v="Corporate Accounts &amp; Global Reporting"/>
    <s v="305012"/>
    <s v="New Acquisition"/>
    <s v="Khopoli staff"/>
    <s v="0000100006"/>
    <s v="HOM-ACCOUNTS &amp; FIN"/>
    <s v="1111KHOP"/>
    <s v="20055188"/>
    <s v="Rohit Sharma"/>
    <s v="No"/>
    <s v="roy.jose@amns.in"/>
    <s v="8879994164"/>
    <s v="1022182"/>
    <s v="Pritam Debbarma"/>
    <s v="Anil Matoo"/>
    <s v="-"/>
    <s v="Manjit Shah"/>
    <s v="-"/>
  </r>
  <r>
    <n v="6496"/>
    <n v="20058805"/>
    <s v="Sunil Sharma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4-01-01T00:00:00"/>
    <s v="39.08"/>
    <d v="2011-06-15T00:00:00"/>
    <d v="2043-12-31T00:00:00"/>
    <m/>
    <d v="2043-12-31T00:00:00"/>
    <n v="7407"/>
    <s v=""/>
    <s v=""/>
    <s v=""/>
    <s v="12.03"/>
    <s v="12.03"/>
    <s v="00051329"/>
    <s v="Finance &amp; Accounts"/>
    <s v="305013"/>
    <s v="New Acquisition"/>
    <s v="Khopoli staff"/>
    <s v="0000100022"/>
    <s v="HOM-CORPORATE FINANC"/>
    <s v="1111KHOP"/>
    <s v="20055188"/>
    <s v="Rohit Sharma"/>
    <s v="No"/>
    <s v="sunil.sharma1@amns.in"/>
    <s v="8879994167"/>
    <s v="1022195"/>
    <s v="Pritam Debbarma"/>
    <s v="Anil Matoo"/>
    <s v="-"/>
    <s v="Manjit Shah"/>
    <s v="-"/>
  </r>
  <r>
    <n v="6497"/>
    <n v="20058806"/>
    <s v="Clara Dalmeida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7-08-07T00:00:00"/>
    <s v="56.01"/>
    <d v="1994-02-01T00:00:00"/>
    <d v="2027-08-31T00:00:00"/>
    <m/>
    <d v="2027-08-31T00:00:00"/>
    <n v="1441"/>
    <s v=""/>
    <s v=""/>
    <s v=""/>
    <s v="29.07"/>
    <s v="29.07"/>
    <s v="00051329"/>
    <s v="Finance &amp; Accounts"/>
    <s v="305014"/>
    <s v="New Acquisition"/>
    <s v="Khopoli staff"/>
    <s v="0000100006"/>
    <s v="HOM-ACCOUNTS &amp; FIN"/>
    <s v="1111KHOP"/>
    <s v="20058805"/>
    <s v="Sunil Sharma"/>
    <s v="No"/>
    <s v="clara.almeida@amns.in"/>
    <s v="8879994190"/>
    <s v=""/>
    <s v="Pritam Debbarma"/>
    <s v="Anil Matoo"/>
    <s v="-"/>
    <s v="Manjit Shah"/>
    <s v="-"/>
  </r>
  <r>
    <n v="6498"/>
    <n v="20058807"/>
    <s v="Santosh Jairaman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7-07-14T00:00:00"/>
    <s v="46.02"/>
    <d v="2000-08-28T00:00:00"/>
    <d v="2037-07-31T00:00:00"/>
    <m/>
    <d v="2037-07-31T00:00:00"/>
    <n v="5063"/>
    <s v=""/>
    <s v=""/>
    <s v=""/>
    <s v="23.00"/>
    <s v="23.00"/>
    <s v="00051329"/>
    <s v="Finance &amp; Accounts"/>
    <s v="305015"/>
    <s v="New Acquisition"/>
    <s v="Khopoli staff"/>
    <s v="0000100006"/>
    <s v="HOM-ACCOUNTS &amp; FIN"/>
    <s v="1111KHOP"/>
    <s v="20058805"/>
    <s v="Sunil Sharma"/>
    <s v="No"/>
    <s v="santosh.jairaman@amns.in"/>
    <s v="8879994169"/>
    <s v="1022216"/>
    <s v="Pritam Debbarma"/>
    <s v="Anil Matoo"/>
    <s v="-"/>
    <s v="Manjit Shah"/>
    <s v="-"/>
  </r>
  <r>
    <n v="6499"/>
    <n v="20058808"/>
    <s v="Bimal Dutta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01-07T00:00:00"/>
    <s v="57.08"/>
    <d v="2010-03-25T00:00:00"/>
    <d v="2026-01-31T00:00:00"/>
    <m/>
    <d v="2026-01-31T00:00:00"/>
    <n v="864"/>
    <s v=""/>
    <s v=""/>
    <s v=""/>
    <s v="13.05"/>
    <s v="13.05"/>
    <s v="00051329"/>
    <s v="Finance &amp; Accounts"/>
    <s v="305016"/>
    <s v="New Acquisition"/>
    <s v="Khopoli staff"/>
    <s v="0000100006"/>
    <s v="HOM-ACCOUNTS &amp; FIN"/>
    <s v="1111KHOP"/>
    <s v="20058805"/>
    <s v="Sunil Sharma"/>
    <s v="No"/>
    <s v="bimal.dutta@amns.in"/>
    <s v="9702133743"/>
    <s v="1022224"/>
    <s v="Pritam Debbarma"/>
    <s v="Anil Matoo"/>
    <s v="-"/>
    <s v="Manjit Shah"/>
    <s v="-"/>
  </r>
  <r>
    <n v="6500"/>
    <n v="20058809"/>
    <s v="Satyavan Mahapadi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5-11-08T00:00:00"/>
    <s v="47.10"/>
    <d v="2007-05-14T00:00:00"/>
    <d v="2035-11-30T00:00:00"/>
    <m/>
    <d v="2035-11-30T00:00:00"/>
    <n v="4454"/>
    <s v=""/>
    <s v=""/>
    <s v=""/>
    <s v="16.04"/>
    <s v="16.04"/>
    <s v="00051329"/>
    <s v="Finance &amp; Accounts"/>
    <s v="305017"/>
    <s v="New Acquisition"/>
    <s v="Khopoli staff"/>
    <s v="0000100006"/>
    <s v="HOM-ACCOUNTS &amp; FIN"/>
    <s v="1111KHOP"/>
    <s v="20058805"/>
    <s v="Sunil Sharma"/>
    <s v="No"/>
    <s v="satyavan.mahapadi@amns.in"/>
    <s v="8879994176"/>
    <s v="1022231"/>
    <s v="Pritam Debbarma"/>
    <s v="Anil Matoo"/>
    <s v="-"/>
    <s v="Manjit Shah"/>
    <s v="-"/>
  </r>
  <r>
    <n v="6501"/>
    <n v="20058810"/>
    <s v="Umesh Palshikar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5-07-12T00:00:00"/>
    <s v="58.02"/>
    <d v="2007-09-24T00:00:00"/>
    <d v="2025-07-31T00:00:00"/>
    <m/>
    <d v="2025-07-31T00:00:00"/>
    <n v="680"/>
    <s v=""/>
    <s v=""/>
    <s v=""/>
    <s v="15.11"/>
    <s v="15.11"/>
    <s v="00051329"/>
    <s v="Finance &amp; Accounts"/>
    <s v="305018"/>
    <s v="New Acquisition"/>
    <s v="Khopoli staff"/>
    <s v="0000100006"/>
    <s v="HOM-ACCOUNTS &amp; FIN"/>
    <s v="1111KHOP"/>
    <s v="20058805"/>
    <s v="Sunil Sharma"/>
    <s v="No"/>
    <s v="umesh.palshikar@amns.in"/>
    <s v="9820874012"/>
    <s v="1022238"/>
    <s v="Pritam Debbarma"/>
    <s v="Anil Matoo"/>
    <s v="-"/>
    <s v="Manjit Shah"/>
    <s v="-"/>
  </r>
  <r>
    <n v="6502"/>
    <n v="20058811"/>
    <s v="Vijay Vichar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8-09-11T00:00:00"/>
    <s v="45.00"/>
    <d v="2006-04-01T00:00:00"/>
    <d v="2038-09-30T00:00:00"/>
    <m/>
    <d v="2038-09-30T00:00:00"/>
    <n v="5489"/>
    <s v=""/>
    <s v=""/>
    <s v=""/>
    <s v="17.05"/>
    <s v="17.05"/>
    <s v="00051266"/>
    <s v="Internal Audit"/>
    <s v="305019"/>
    <s v="New Acquisition"/>
    <s v="Khopoli staff"/>
    <s v="0000100006"/>
    <s v="HOM-ACCOUNTS &amp; FIN"/>
    <s v="1111KHOP"/>
    <s v="20055486"/>
    <s v="Nilesh Likhite"/>
    <s v="No"/>
    <s v="vijay.vichare@amns.in"/>
    <s v="8879994174"/>
    <s v="1022263"/>
    <s v="Pritam Debbarma"/>
    <s v="Anil Matoo"/>
    <s v="-"/>
    <s v="Manjit Shah"/>
    <s v="-"/>
  </r>
  <r>
    <n v="6503"/>
    <n v="20058812"/>
    <s v="Shailesh Weling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7-04-13T00:00:00"/>
    <s v="46.05"/>
    <d v="2007-03-01T00:00:00"/>
    <d v="2037-04-30T00:00:00"/>
    <m/>
    <d v="2037-04-30T00:00:00"/>
    <n v="4971"/>
    <s v=""/>
    <s v=""/>
    <s v=""/>
    <s v="16.06"/>
    <s v="16.06"/>
    <s v="00051329"/>
    <s v="Finance &amp; Accounts"/>
    <s v="305020"/>
    <s v="New Acquisition"/>
    <s v="Khopoli staff"/>
    <s v="0000100006"/>
    <s v="HOM-ACCOUNTS &amp; FIN"/>
    <s v="1111KHOP"/>
    <s v="20016107"/>
    <s v="Kalpesh Thathagar"/>
    <s v="No"/>
    <s v="shailesh.weling@amns.in"/>
    <s v="9892518215"/>
    <s v="1022268"/>
    <s v="Pritam Debbarma"/>
    <s v="Anil Matoo"/>
    <s v="-"/>
    <s v="Manjit Shah"/>
    <s v="-"/>
  </r>
  <r>
    <n v="6504"/>
    <n v="20058814"/>
    <s v="Philip Abraham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5-28T00:00:00"/>
    <s v="47.03"/>
    <d v="2010-12-15T00:00:00"/>
    <d v="2036-05-31T00:00:00"/>
    <m/>
    <d v="2036-05-31T00:00:00"/>
    <n v="4637"/>
    <s v=""/>
    <s v=""/>
    <s v=""/>
    <s v="12.09"/>
    <s v="12.09"/>
    <s v="00051329"/>
    <s v="Finance &amp; Accounts"/>
    <s v="305022"/>
    <s v="New Acquisition"/>
    <s v="Khopoli staff"/>
    <s v="0000100006"/>
    <s v="HOM-ACCOUNTS &amp; FIN"/>
    <s v="1111KHOP"/>
    <s v="20058805"/>
    <s v="Sunil Sharma"/>
    <s v="No"/>
    <s v="philip.abraham@amns.in"/>
    <s v="9619928587"/>
    <s v="1022281"/>
    <s v="Pritam Debbarma"/>
    <s v="Anil Matoo"/>
    <s v="-"/>
    <s v="Manjit Shah"/>
    <s v="-"/>
  </r>
  <r>
    <n v="6505"/>
    <n v="20058815"/>
    <s v="Sagar Sawant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3-29T00:00:00"/>
    <s v="47.05"/>
    <d v="2007-03-01T00:00:00"/>
    <d v="2036-03-31T00:00:00"/>
    <m/>
    <d v="2036-03-31T00:00:00"/>
    <n v="4576"/>
    <s v=""/>
    <s v=""/>
    <s v=""/>
    <s v="16.06"/>
    <s v="16.06"/>
    <s v="00051329"/>
    <s v="Finance &amp; Accounts"/>
    <s v="305023"/>
    <s v="New Acquisition"/>
    <s v="Khopoli staff"/>
    <s v="0000100006"/>
    <s v="HOM-ACCOUNTS &amp; FIN"/>
    <s v="1111KHOP"/>
    <s v="20058805"/>
    <s v="Sunil Sharma"/>
    <s v="No"/>
    <s v="sagar.sawant@amns.in"/>
    <s v="9870354891"/>
    <s v="1022287"/>
    <s v="Pritam Debbarma"/>
    <s v="Anil Matoo"/>
    <s v="-"/>
    <s v="Manjit Shah"/>
    <s v="-"/>
  </r>
  <r>
    <n v="6506"/>
    <n v="20058819"/>
    <s v="Charusheela Santosh"/>
    <s v="AMNS Khopoli"/>
    <s v="Onroll"/>
    <s v="New Acquisition"/>
    <n v="17"/>
    <m/>
    <s v="NA"/>
    <s v="F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9-07-17T00:00:00"/>
    <s v="44.02"/>
    <d v="2005-11-21T00:00:00"/>
    <d v="2039-07-31T00:00:00"/>
    <m/>
    <d v="2039-07-31T00:00:00"/>
    <n v="5793"/>
    <s v=""/>
    <s v=""/>
    <s v=""/>
    <s v="17.09"/>
    <s v="17.09"/>
    <s v="73800002"/>
    <s v="Procurement - Pune Asset"/>
    <s v="305027"/>
    <s v="New Acquisition"/>
    <s v="Khopoli staff"/>
    <s v="0000100010"/>
    <s v="HOM-COMM. &amp; PROCTS"/>
    <s v="1111KHOP"/>
    <s v="20006536"/>
    <s v="Mahesh Salunke"/>
    <s v="No"/>
    <s v="charusheela.ware@amns.in"/>
    <s v="8879994213"/>
    <s v="1022199"/>
    <s v="Pritam Debbarma"/>
    <s v="Anil Matoo"/>
    <s v="-"/>
    <s v="Manjit Shah"/>
    <s v="-"/>
  </r>
  <r>
    <n v="6507"/>
    <n v="20058820"/>
    <s v="Rajesh Mistry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Other West"/>
    <s v="OEM"/>
    <s v=""/>
    <s v="Non Technical Support"/>
    <s v="Operations"/>
    <s v="Operations"/>
    <s v="72103001"/>
    <s v="Operations"/>
    <s v="Pune"/>
    <d v="1969-04-04T00:00:00"/>
    <s v="54.05"/>
    <d v="2007-05-14T00:00:00"/>
    <d v="2029-04-30T00:00:00"/>
    <m/>
    <d v="2029-04-30T00:00:00"/>
    <n v="2049"/>
    <s v=""/>
    <s v=""/>
    <s v=""/>
    <s v="16.04"/>
    <s v="16.04"/>
    <s v="00051380"/>
    <s v="Sales &amp; Marketing"/>
    <s v="305028"/>
    <s v="New Acquisition"/>
    <s v="Khopoli staff"/>
    <s v="0000120001"/>
    <s v="PUNE BRANCH"/>
    <s v="1111KHOP"/>
    <s v="20058920"/>
    <s v="Atul Singh"/>
    <s v="No"/>
    <s v="rajesh.mistry@amns.in"/>
    <s v="9923004854"/>
    <s v="1022204"/>
    <s v="Pritam Debbarma"/>
    <s v="Anil Matoo"/>
    <s v="-"/>
    <s v="Manjit Shah"/>
    <s v="-"/>
  </r>
  <r>
    <n v="6508"/>
    <n v="20058821"/>
    <s v="Mansi Shelar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OEM"/>
    <s v=""/>
    <s v="Non Technical Support"/>
    <s v="Operations"/>
    <s v="Operations"/>
    <s v="72103001"/>
    <s v="Operations"/>
    <s v="Khopoli"/>
    <d v="1968-03-03T00:00:00"/>
    <s v="55.06"/>
    <d v="1996-09-10T00:00:00"/>
    <d v="2028-03-31T00:00:00"/>
    <m/>
    <d v="2028-03-31T00:00:00"/>
    <n v="1654"/>
    <s v=""/>
    <s v=""/>
    <s v=""/>
    <s v="27.00"/>
    <s v="27.00"/>
    <s v="00051380"/>
    <s v="Sales &amp; Marketing"/>
    <s v="305029"/>
    <s v="New Acquisition"/>
    <s v="Khopoli staff"/>
    <s v="0000100013"/>
    <s v="HOM-SALE&amp;MKTG-OEM"/>
    <s v="1111KHOP"/>
    <s v="20058920"/>
    <s v="Atul Singh"/>
    <s v="No"/>
    <s v="mansi.shelar@amns.in"/>
    <s v="8879994069"/>
    <s v="1022212"/>
    <s v="Pritam Debbarma"/>
    <s v="Anil Matoo"/>
    <s v="-"/>
    <s v="Manjit Shah"/>
    <s v="-"/>
  </r>
  <r>
    <n v="6509"/>
    <n v="20058822"/>
    <s v="Manas Sahu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Pune"/>
    <d v="1976-07-01T00:00:00"/>
    <s v="47.02"/>
    <d v="2008-01-05T00:00:00"/>
    <d v="2034-06-30T00:00:00"/>
    <m/>
    <d v="2034-06-30T00:00:00"/>
    <n v="3936"/>
    <s v=""/>
    <s v=""/>
    <s v=""/>
    <s v="15.08"/>
    <s v="15.08"/>
    <s v="00043882"/>
    <s v="International Sales"/>
    <s v="305030"/>
    <s v="KAM - Coated Sales"/>
    <s v="Hypermart"/>
    <s v="0031950057"/>
    <s v="HZ-HRC - Marketing"/>
    <s v="2000HWO"/>
    <s v="20037071"/>
    <s v="Amit Chandaliya"/>
    <s v="No"/>
    <s v="manas.sahu@amns.in"/>
    <s v="9823682121"/>
    <s v="1022239"/>
    <s v="Dhruv Vyas"/>
    <s v="Anil Matoo"/>
    <s v="Praveen Kuruvalli"/>
    <s v="Dhruv Vyas"/>
    <n v="0"/>
  </r>
  <r>
    <n v="6510"/>
    <n v="20058823"/>
    <s v="Yash Sacha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Delhi"/>
    <d v="1978-12-04T00:00:00"/>
    <s v="44.09"/>
    <d v="2008-09-15T00:00:00"/>
    <d v="2038-12-31T00:00:00"/>
    <m/>
    <d v="2038-12-31T00:00:00"/>
    <n v="5581"/>
    <s v=""/>
    <s v=""/>
    <s v=""/>
    <s v="15.00"/>
    <s v="15.00"/>
    <s v="00051380"/>
    <s v="Sales &amp; Marketing"/>
    <s v="305031"/>
    <s v="New Acquisition"/>
    <s v="Khopoli staff"/>
    <s v="0000120004"/>
    <s v="DELHI BRANCH"/>
    <s v="1111KHOP"/>
    <s v="20058920"/>
    <s v="Atul Singh"/>
    <s v="No"/>
    <s v="yash.sachan@amns.in"/>
    <s v="9717733044"/>
    <s v="1022245"/>
    <s v="Pritam Debbarma"/>
    <s v="Anil Matoo"/>
    <s v="-"/>
    <s v="Manjit Shah"/>
    <s v="-"/>
  </r>
  <r>
    <n v="6511"/>
    <n v="20058824"/>
    <s v="Yogendra Ahe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Pune"/>
    <d v="1979-05-14T00:00:00"/>
    <s v="44.04"/>
    <d v="2007-08-06T00:00:00"/>
    <d v="2039-05-31T00:00:00"/>
    <m/>
    <d v="2039-05-31T00:00:00"/>
    <n v="5732"/>
    <s v=""/>
    <s v=""/>
    <s v=""/>
    <s v="16.01"/>
    <s v="16.01"/>
    <s v="00051380"/>
    <s v="Sales &amp; Marketing"/>
    <s v="305032"/>
    <s v="New Acquisition"/>
    <s v="Khopoli staff"/>
    <s v="0000120001"/>
    <s v="PUNE BRANCH"/>
    <s v="1111KHOP"/>
    <s v="20058920"/>
    <s v="Atul Singh"/>
    <s v="No"/>
    <s v="yogendra.aher@amns.in"/>
    <s v="9923004857"/>
    <s v="1022248"/>
    <s v="Pritam Debbarma"/>
    <s v="Anil Matoo"/>
    <s v="-"/>
    <s v="Manjit Shah"/>
    <s v="-"/>
  </r>
  <r>
    <n v="6512"/>
    <n v="20058825"/>
    <s v="Dattatrey Mahaja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Khopoli"/>
    <d v="1982-05-24T00:00:00"/>
    <s v="41.03"/>
    <d v="2007-07-06T00:00:00"/>
    <d v="2042-05-31T00:00:00"/>
    <m/>
    <d v="2042-05-31T00:00:00"/>
    <n v="6828"/>
    <s v=""/>
    <s v=""/>
    <s v=""/>
    <s v="16.02"/>
    <s v="16.02"/>
    <s v="00051380"/>
    <s v="Sales &amp; Marketing"/>
    <s v="305033"/>
    <s v="New Acquisition"/>
    <s v="Khopoli staff"/>
    <s v="0000100013"/>
    <s v="HOM-SALE&amp;MKTG-OEM"/>
    <s v="1111KHOP"/>
    <s v="20016382"/>
    <s v="Kunal Bhardwaj"/>
    <s v="No"/>
    <s v="dattatrey.mahajan@amns.in"/>
    <s v="8879994071"/>
    <s v="1022253"/>
    <s v="Pritam Debbarma"/>
    <s v="Anil Matoo"/>
    <s v="-"/>
    <s v="Manjit Shah"/>
    <s v="-"/>
  </r>
  <r>
    <n v="6513"/>
    <n v="20058826"/>
    <s v="Sudhir Shel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Khopoli"/>
    <d v="1974-08-06T00:00:00"/>
    <s v="49.01"/>
    <d v="1997-05-02T00:00:00"/>
    <d v="2034-08-31T00:00:00"/>
    <m/>
    <d v="2034-08-31T00:00:00"/>
    <n v="3998"/>
    <s v=""/>
    <s v=""/>
    <s v=""/>
    <s v="26.04"/>
    <s v="26.04"/>
    <s v="00051380"/>
    <s v="Sales &amp; Marketing"/>
    <s v="305034"/>
    <s v="New Acquisition"/>
    <s v="Khopoli staff"/>
    <s v="0000120001"/>
    <s v="PUNE BRANCH"/>
    <s v="1111KHOP"/>
    <s v="20058920"/>
    <s v="Atul Singh"/>
    <s v="No"/>
    <s v="sudhir.shelar@amns.in"/>
    <s v="9923004853"/>
    <s v="1022257"/>
    <s v="Pritam Debbarma"/>
    <s v="Anil Matoo"/>
    <s v="-"/>
    <s v="Manjit Shah"/>
    <s v="-"/>
  </r>
  <r>
    <n v="6514"/>
    <n v="20058827"/>
    <s v="Shailesh Tiwar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Khopoli"/>
    <d v="1974-09-07T00:00:00"/>
    <s v="49.00"/>
    <d v="2012-01-16T00:00:00"/>
    <d v="2034-09-30T00:00:00"/>
    <m/>
    <d v="2034-09-30T00:00:00"/>
    <n v="4028"/>
    <s v=""/>
    <s v=""/>
    <s v=""/>
    <s v="11.08"/>
    <s v="11.08"/>
    <s v="00051380"/>
    <s v="Sales &amp; Marketing"/>
    <s v="305035"/>
    <s v="New Acquisition"/>
    <s v="Khopoli staff"/>
    <s v="0000100004"/>
    <s v="HOM-DIRECTOR &amp; CEO"/>
    <s v="1111KHOP"/>
    <s v="20058920"/>
    <s v="Atul Singh"/>
    <s v="Yes"/>
    <s v="shailesh.tiwari@amns.in"/>
    <s v="8879994074"/>
    <s v="1022262"/>
    <s v="Pritam Debbarma"/>
    <s v="Anil Matoo"/>
    <s v="-"/>
    <s v="Manjit Shah"/>
    <s v="-"/>
  </r>
  <r>
    <n v="6515"/>
    <n v="20058830"/>
    <s v="Harsh Mathu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5-06-23T00:00:00"/>
    <s v="48.02"/>
    <d v="2009-09-24T00:00:00"/>
    <d v="2035-06-30T00:00:00"/>
    <m/>
    <d v="2035-06-30T00:00:00"/>
    <n v="4301"/>
    <s v=""/>
    <s v=""/>
    <s v=""/>
    <s v="13.11"/>
    <s v="13.11"/>
    <s v="00051278"/>
    <s v="Stores &amp; Warehouse"/>
    <s v="305038"/>
    <s v="New Acquisition"/>
    <s v="Khopoli staff"/>
    <s v="0000309007"/>
    <s v="CGL-STORES_DEPT"/>
    <s v="1111KHOP"/>
    <s v="20058695"/>
    <s v="Shrigopal Bhati"/>
    <s v="No"/>
    <s v="harsh.mathur@amns.in"/>
    <s v="8879994085"/>
    <s v="1022360"/>
    <s v="Pritam Debbarma"/>
    <s v="Anil Matoo"/>
    <s v="-"/>
    <s v="Manjit Shah"/>
    <s v="-"/>
  </r>
  <r>
    <n v="6516"/>
    <n v="20058831"/>
    <s v="Manoj Salian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4-12-05T00:00:00"/>
    <s v="48.09"/>
    <d v="2010-12-13T00:00:00"/>
    <d v="2034-12-31T00:00:00"/>
    <m/>
    <d v="2034-12-31T00:00:00"/>
    <n v="4120"/>
    <s v=""/>
    <s v=""/>
    <s v=""/>
    <s v="12.09"/>
    <s v="12.09"/>
    <s v="00051364"/>
    <s v="Purchase"/>
    <s v="305039"/>
    <s v="New Acquisition"/>
    <s v="Khopoli staff"/>
    <s v="0000100010"/>
    <s v="HOM-COMM. &amp; PROCTS"/>
    <s v="1111KHOP"/>
    <s v="20006536"/>
    <s v="Mahesh Salunke"/>
    <s v="Yes"/>
    <s v="manoj.salian@amns.in"/>
    <s v="8879994136"/>
    <s v="1022361"/>
    <s v="Pritam Debbarma"/>
    <s v="Anil Matoo"/>
    <s v="-"/>
    <s v="Manjit Shah"/>
    <s v="-"/>
  </r>
  <r>
    <n v="6517"/>
    <n v="20058832"/>
    <s v="Amit Rane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0-02-12T00:00:00"/>
    <s v="43.07"/>
    <d v="2006-04-15T00:00:00"/>
    <d v="2040-02-29T00:00:00"/>
    <m/>
    <d v="2040-02-29T00:00:00"/>
    <n v="6006"/>
    <s v=""/>
    <s v=""/>
    <s v=""/>
    <s v="17.05"/>
    <s v="17.05"/>
    <s v="73800002"/>
    <s v="Procurement - Pune Asset"/>
    <s v="305040"/>
    <s v="New Acquisition"/>
    <s v="Khopoli staff"/>
    <s v="0000100010"/>
    <s v="HOM-COMM. &amp; PROCTS"/>
    <s v="1111KHOP"/>
    <s v="20006536"/>
    <s v="Mahesh Salunke"/>
    <s v="No"/>
    <s v="amit.rane@amns.in"/>
    <s v="8879994139"/>
    <s v="1022362"/>
    <s v="Pritam Debbarma"/>
    <s v="Anil Matoo"/>
    <s v="-"/>
    <s v="Manjit Shah"/>
    <s v="-"/>
  </r>
  <r>
    <n v="6519"/>
    <n v="20058837"/>
    <s v="Ravindra Yadav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11-21T00:00:00"/>
    <s v="46.09"/>
    <d v="2011-05-05T00:00:00"/>
    <d v="2036-11-30T00:00:00"/>
    <m/>
    <d v="2036-11-30T00:00:00"/>
    <n v="4820"/>
    <s v=""/>
    <s v=""/>
    <s v=""/>
    <s v="12.04"/>
    <s v="12.04"/>
    <s v="70418543"/>
    <s v="Finance Controller"/>
    <s v="305045"/>
    <s v="New Acquisition"/>
    <s v="Khopoli staff"/>
    <s v="0000100006"/>
    <s v="HOM-ACCOUNTS &amp; FIN"/>
    <s v="1111KHOP"/>
    <s v="0"/>
    <s v=""/>
    <s v="No"/>
    <s v="ravindra.yadav@amns.in"/>
    <s v="8879994177"/>
    <s v="1022369"/>
    <s v="Pritam Debbarma"/>
    <s v="Anil Matoo"/>
    <s v="-"/>
    <s v="Manjit Shah"/>
    <s v="-"/>
  </r>
  <r>
    <n v="6520"/>
    <n v="20058839"/>
    <s v="Vithal Phadake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Hypermart"/>
    <s v="Hypermart "/>
    <s v=""/>
    <s v="Non Technical Support"/>
    <s v="Operations"/>
    <s v="Operations"/>
    <s v="72103001"/>
    <s v="Operations"/>
    <s v="Khopoli"/>
    <d v="1964-10-23T00:00:00"/>
    <s v="58.10"/>
    <d v="2000-12-01T00:00:00"/>
    <d v="2024-10-31T00:00:00"/>
    <m/>
    <d v="2024-10-31T00:00:00"/>
    <n v="407"/>
    <s v=""/>
    <s v=""/>
    <s v=""/>
    <s v="22.09"/>
    <s v="22.09"/>
    <s v="00051064"/>
    <s v="AMNS Khopoli Limited"/>
    <s v="305047"/>
    <s v="New Acquisition"/>
    <s v="Khopoli staff"/>
    <s v="0000120001"/>
    <s v="PUNE BRANCH"/>
    <s v="1111KHOP"/>
    <s v="20058920"/>
    <s v="Atul Singh"/>
    <s v="No"/>
    <s v="vitthal.phadke@amns.in"/>
    <s v="9923004851"/>
    <s v=""/>
    <s v="Pritam Debbarma"/>
    <s v="Anil Matoo"/>
    <s v="-"/>
    <s v="Manjit Shah"/>
    <s v="-"/>
  </r>
  <r>
    <n v="6521"/>
    <n v="20058840"/>
    <s v="Sumeer Raina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Coated Sales"/>
    <s v="Coated Sales"/>
    <s v=""/>
    <s v="Non Technical Support"/>
    <s v="Operations"/>
    <s v="Operations"/>
    <s v="72103001"/>
    <s v="Operations"/>
    <s v="Pune"/>
    <d v="1972-02-29T00:00:00"/>
    <s v="51.06"/>
    <d v="2006-07-03T00:00:00"/>
    <d v="2032-02-29T00:00:00"/>
    <m/>
    <d v="2032-02-29T00:00:00"/>
    <n v="3084"/>
    <s v=""/>
    <s v=""/>
    <s v=""/>
    <s v="17.02"/>
    <s v="17.02"/>
    <s v="00043882"/>
    <s v="International Sales"/>
    <s v="305048"/>
    <s v="New Acquisition"/>
    <s v="Khopoli staff"/>
    <s v="0000120001"/>
    <s v="PUNE BRANCH"/>
    <s v="1111KHOP"/>
    <s v="20037071"/>
    <s v="Amit Chandaliya"/>
    <s v="No"/>
    <s v="sumeer.raina@amns.in"/>
    <s v="9923004856"/>
    <s v="1022374"/>
    <s v="Pritam Debbarma"/>
    <s v="Anil Matoo"/>
    <s v="-"/>
    <s v="Manjit Shah"/>
    <s v="-"/>
  </r>
  <r>
    <n v="6522"/>
    <n v="20058843"/>
    <s v="Shivprasad Shetty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12-19T00:00:00"/>
    <s v="56.09"/>
    <d v="1996-04-08T00:00:00"/>
    <d v="2026-12-31T00:00:00"/>
    <m/>
    <d v="2026-12-31T00:00:00"/>
    <n v="1198"/>
    <s v=""/>
    <s v=""/>
    <s v=""/>
    <s v="27.05"/>
    <s v="27.05"/>
    <s v="00051329"/>
    <s v="Finance &amp; Accounts"/>
    <s v="305051"/>
    <s v="New Acquisition"/>
    <s v="Khopoli staff"/>
    <s v="0000100006"/>
    <s v="HOM-ACCOUNTS &amp; FIN"/>
    <s v="1111KHOP"/>
    <s v="20058805"/>
    <s v="Sunil Sharma"/>
    <s v="No"/>
    <s v="k.prasad@amns.in"/>
    <s v="9892850559"/>
    <s v="1022379"/>
    <s v="Pritam Debbarma"/>
    <s v="Anil Matoo"/>
    <s v="-"/>
    <s v="Manjit Shah"/>
    <s v="-"/>
  </r>
  <r>
    <n v="6523"/>
    <n v="20058846"/>
    <s v="Mitra Sharma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North"/>
    <s v="OEM"/>
    <s v=""/>
    <s v="Non Technical Support"/>
    <s v="Operations"/>
    <s v="Operations"/>
    <s v="72103001"/>
    <s v="Operations"/>
    <s v="Delhi"/>
    <d v="1965-04-12T00:00:00"/>
    <s v="58.05"/>
    <d v="2009-06-02T00:00:00"/>
    <d v="2025-04-30T00:00:00"/>
    <m/>
    <d v="2025-04-30T00:00:00"/>
    <n v="588"/>
    <s v=""/>
    <s v=""/>
    <s v=""/>
    <s v="14.03"/>
    <s v="14.03"/>
    <s v="00051380"/>
    <s v="Sales &amp; Marketing"/>
    <s v="305054"/>
    <s v="New Acquisition"/>
    <s v="Khopoli staff"/>
    <s v="0000120004"/>
    <s v="DELHI BRANCH"/>
    <s v="1111KHOP"/>
    <s v="20058920"/>
    <s v="Atul Singh"/>
    <s v="No"/>
    <s v="mitra.bandhu@amns.in"/>
    <s v="9810939550"/>
    <s v="1022382"/>
    <s v="Pritam Debbarma"/>
    <s v="Anil Matoo"/>
    <s v="-"/>
    <s v="Manjit Shah"/>
    <s v="-"/>
  </r>
  <r>
    <n v="6524"/>
    <n v="20058847"/>
    <s v="Mahesh Malhotra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Coated Sales"/>
    <s v="Coated Sales"/>
    <s v=""/>
    <s v="Non Technical Support"/>
    <s v="Operations"/>
    <s v="Operations"/>
    <s v="72103001"/>
    <s v="Operations"/>
    <s v="Delhi"/>
    <d v="1970-06-10T00:00:00"/>
    <s v="53.03"/>
    <d v="2007-11-17T00:00:00"/>
    <d v="2030-06-30T00:00:00"/>
    <m/>
    <d v="2030-06-30T00:00:00"/>
    <n v="2475"/>
    <s v=""/>
    <s v=""/>
    <s v=""/>
    <s v="15.10"/>
    <s v="15.10"/>
    <s v="00043882"/>
    <s v="International Sales"/>
    <s v="305055"/>
    <s v="New Acquisition"/>
    <s v="Khopoli staff"/>
    <s v="0000120004"/>
    <s v="DELHI BRANCH"/>
    <s v="1111KHOP"/>
    <s v="20037071"/>
    <s v="Amit Chandaliya"/>
    <s v="No"/>
    <s v="mahesh.malhothra@amns.in"/>
    <s v="9818806509"/>
    <s v="1022153"/>
    <s v="Pritam Debbarma"/>
    <s v="Anil Matoo"/>
    <s v="-"/>
    <s v="Manjit Shah"/>
    <s v="-"/>
  </r>
  <r>
    <n v="6525"/>
    <n v="20058849"/>
    <s v="Sunil Kum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Pune"/>
    <d v="1983-02-04T00:00:00"/>
    <s v="40.07"/>
    <d v="2012-06-01T00:00:00"/>
    <d v="2043-02-28T00:00:00"/>
    <m/>
    <d v="2043-02-28T00:00:00"/>
    <n v="7101"/>
    <s v=""/>
    <s v=""/>
    <s v=""/>
    <s v="11.03"/>
    <s v="11.03"/>
    <s v="00051380"/>
    <s v="Sales &amp; Marketing"/>
    <s v="305057"/>
    <s v="New Acquisition"/>
    <s v="Khopoli staff"/>
    <s v="0000120001"/>
    <s v="PUNE BRANCH"/>
    <s v="1111KHOP"/>
    <s v="20058920"/>
    <s v="Atul Singh"/>
    <s v="No"/>
    <s v="sunil.kumar@amns.in"/>
    <s v="9923004855"/>
    <s v="1022161"/>
    <s v="Pritam Debbarma"/>
    <s v="Anil Matoo"/>
    <s v="-"/>
    <s v="Manjit Shah"/>
    <s v="-"/>
  </r>
  <r>
    <n v="6526"/>
    <n v="20058850"/>
    <s v="Arvind Poras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North"/>
    <s v="Order Entry"/>
    <s v=""/>
    <s v="Non Technical Support"/>
    <s v="Operations"/>
    <s v="Operations"/>
    <s v="72103001"/>
    <s v="Operations"/>
    <s v="Delhi"/>
    <d v="1990-01-11T00:00:00"/>
    <s v="33.08"/>
    <d v="2011-12-27T00:00:00"/>
    <d v="2050-01-31T00:00:00"/>
    <m/>
    <d v="2050-01-31T00:00:00"/>
    <n v="9630"/>
    <s v=""/>
    <s v=""/>
    <s v=""/>
    <s v="11.08"/>
    <s v="11.08"/>
    <s v="00051380"/>
    <s v="Sales &amp; Marketing"/>
    <s v="305058"/>
    <s v="New Acquisition"/>
    <s v="Khopoli staff"/>
    <s v="0000120004"/>
    <s v="DELHI BRANCH"/>
    <s v="1111KHOP"/>
    <s v="20058920"/>
    <s v="Atul Singh"/>
    <s v="No"/>
    <s v="arvind.poras@amns.in"/>
    <s v="9818656644"/>
    <s v="1022166"/>
    <s v="Pritam Debbarma"/>
    <s v="Anil Matoo"/>
    <s v="-"/>
    <s v="Manjit Shah"/>
    <s v="-"/>
  </r>
  <r>
    <n v="6527"/>
    <n v="20058851"/>
    <s v="Abhishek Garg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3-12-15T00:00:00"/>
    <s v="39.09"/>
    <d v="2012-05-02T00:00:00"/>
    <d v="2043-12-31T00:00:00"/>
    <m/>
    <d v="2043-12-31T00:00:00"/>
    <n v="7407"/>
    <s v=""/>
    <s v=""/>
    <s v=""/>
    <s v="11.04"/>
    <s v="11.04"/>
    <s v="73800002"/>
    <s v="Procurement - Pune Asset"/>
    <s v="305059"/>
    <s v="New Acquisition"/>
    <s v="Khopoli staff"/>
    <s v="0000100010"/>
    <s v="HOM-COMM. &amp; PROCTS"/>
    <s v="1111KHOP"/>
    <s v="20006536"/>
    <s v="Mahesh Salunke"/>
    <s v="No"/>
    <s v="abhishek.garg1@amns.in"/>
    <s v="8411970578"/>
    <s v="1022174"/>
    <s v="Pritam Debbarma"/>
    <s v="Anil Matoo"/>
    <s v="-"/>
    <s v="Manjit Shah"/>
    <s v="-"/>
  </r>
  <r>
    <n v="6528"/>
    <n v="20058852"/>
    <s v="Sunil Padalka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9-09-05T00:00:00"/>
    <s v="54.00"/>
    <d v="2009-01-01T00:00:00"/>
    <d v="2029-09-30T00:00:00"/>
    <m/>
    <d v="2029-09-30T00:00:00"/>
    <n v="2202"/>
    <s v=""/>
    <s v=""/>
    <s v=""/>
    <s v="14.08"/>
    <s v="14.08"/>
    <s v="00051220"/>
    <s v="Administration &amp; Security"/>
    <s v="305060"/>
    <s v="New Acquisition"/>
    <s v="Khopoli staff"/>
    <s v="0000290002"/>
    <s v="FAC-PERSONAL &amp; ADM"/>
    <s v="1111KHOP"/>
    <s v="20057887"/>
    <s v="Kiran Vaidya"/>
    <s v="No"/>
    <s v="sunil.padalkar@amns.in"/>
    <s v="9619472111"/>
    <s v="1042812"/>
    <s v="Pritam Debbarma"/>
    <s v="Anil Matoo"/>
    <s v="-"/>
    <s v="Manjit Shah"/>
    <s v="-"/>
  </r>
  <r>
    <n v="6530"/>
    <n v="20058854"/>
    <s v="Satishkumar .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outh"/>
    <s v="OEM"/>
    <s v=""/>
    <s v="Non Technical Support"/>
    <s v="Operations"/>
    <s v="Operations"/>
    <s v="72103001"/>
    <s v="Operations"/>
    <s v="Bangalore"/>
    <d v="1984-06-01T00:00:00"/>
    <s v="39.03"/>
    <d v="2012-10-03T00:00:00"/>
    <d v="2044-05-31T00:00:00"/>
    <m/>
    <d v="2044-05-31T00:00:00"/>
    <n v="7559"/>
    <s v=""/>
    <s v=""/>
    <s v=""/>
    <s v="10.11"/>
    <s v="10.11"/>
    <s v="00051380"/>
    <s v="Sales &amp; Marketing"/>
    <s v="305062"/>
    <s v="New Acquisition"/>
    <s v="Khopoli staff"/>
    <s v="0000120005"/>
    <s v="BANGALORE BRANCH"/>
    <s v="1111KHOP"/>
    <s v="20058920"/>
    <s v="Atul Singh"/>
    <s v="No"/>
    <s v="satish.kumar@amns.in"/>
    <s v="9008450123"/>
    <s v="1022188"/>
    <s v="Pritam Debbarma"/>
    <s v="Anil Matoo"/>
    <s v="-"/>
    <s v="Manjit Shah"/>
    <s v="-"/>
  </r>
  <r>
    <n v="6545"/>
    <n v="20058869"/>
    <s v="Ganesh More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9-07-26T00:00:00"/>
    <s v="44.01"/>
    <d v="2013-05-14T00:00:00"/>
    <d v="2039-07-31T00:00:00"/>
    <m/>
    <d v="2039-07-31T00:00:00"/>
    <n v="5793"/>
    <s v=""/>
    <s v=""/>
    <s v=""/>
    <s v="10.04"/>
    <s v="10.04"/>
    <s v="73800002"/>
    <s v="Procurement - Pune Asset"/>
    <s v="305077"/>
    <s v="New Acquisition"/>
    <s v="Khopoli staff"/>
    <s v="0000100010"/>
    <s v="HOM-COMM. &amp; PROCTS"/>
    <s v="1111KHOP"/>
    <s v="20006536"/>
    <s v="Mahesh Salunke"/>
    <s v="No"/>
    <s v="ganesh.more@amns.in"/>
    <s v="8879994492"/>
    <s v="1022214"/>
    <s v="Pritam Debbarma"/>
    <s v="Anil Matoo"/>
    <s v="-"/>
    <s v="Manjit Shah"/>
    <s v="-"/>
  </r>
  <r>
    <n v="6555"/>
    <n v="20058879"/>
    <s v="Suraj Jaronde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0-08-11T00:00:00"/>
    <s v="43.01"/>
    <d v="2013-06-01T00:00:00"/>
    <d v="2040-08-31T00:00:00"/>
    <m/>
    <d v="2040-08-31T00:00:00"/>
    <n v="6190"/>
    <s v=""/>
    <s v=""/>
    <s v=""/>
    <s v="10.03"/>
    <s v="10.03"/>
    <s v="73800002"/>
    <s v="Procurement - Pune Asset"/>
    <s v="305087"/>
    <s v="New Acquisition"/>
    <s v="Khopoli staff"/>
    <s v="0000100010"/>
    <s v="HOM-COMM. &amp; PROCTS"/>
    <s v="1111KHOP"/>
    <s v="20006536"/>
    <s v="Mahesh Salunke"/>
    <s v="No"/>
    <s v="suraj.jaronde@amns.in"/>
    <s v="8411970843"/>
    <s v="1022223"/>
    <s v="Pritam Debbarma"/>
    <s v="Anil Matoo"/>
    <s v="-"/>
    <s v="Manjit Shah"/>
    <s v="-"/>
  </r>
  <r>
    <n v="6568"/>
    <n v="20058892"/>
    <s v="Nishant Deelwal"/>
    <s v="AM/NS India"/>
    <s v="Onroll"/>
    <s v="M-9"/>
    <n v="9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South"/>
    <s v="Hypermart"/>
    <s v=""/>
    <s v="Non Technical Support"/>
    <s v="Operations"/>
    <s v="Operations"/>
    <s v="72103001"/>
    <s v="Operations"/>
    <s v="Pune"/>
    <d v="1981-05-12T00:00:00"/>
    <s v="42.04"/>
    <d v="2014-01-01T00:00:00"/>
    <d v="2039-05-31T00:00:00"/>
    <m/>
    <d v="2039-05-31T00:00:00"/>
    <n v="5732"/>
    <s v=""/>
    <s v=""/>
    <s v=""/>
    <s v="09.08"/>
    <s v="09.08"/>
    <s v="00048814"/>
    <s v="Sales South Zone – Hypermart"/>
    <s v="305100"/>
    <s v="Sales Manager - Hypermart"/>
    <s v="Hypermart"/>
    <s v="0031950057"/>
    <s v="HZ-HRC - Marketing"/>
    <s v="2000SRET"/>
    <s v="20056279"/>
    <s v="Arun G"/>
    <s v="No"/>
    <s v="nishant.deelwal@amns.in"/>
    <s v="8879994091"/>
    <s v="1022249"/>
    <s v="Dhruv Vyas"/>
    <s v="Anil Matoo"/>
    <s v="Praveen Kuruvalli"/>
    <s v="Dhruv Vyas"/>
    <n v="0"/>
  </r>
  <r>
    <n v="6573"/>
    <n v="20058897"/>
    <s v="Dhananjay Pawa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90-07-08T00:00:00"/>
    <s v="33.02"/>
    <d v="2014-05-02T00:00:00"/>
    <d v="2050-07-31T00:00:00"/>
    <m/>
    <d v="2050-07-31T00:00:00"/>
    <n v="9811"/>
    <s v=""/>
    <s v=""/>
    <s v=""/>
    <s v="09.04"/>
    <s v="09.04"/>
    <s v="00051278"/>
    <s v="Stores &amp; Warehouse"/>
    <s v="305105"/>
    <s v="New Acquisition"/>
    <s v="Khopoli staff"/>
    <s v="0000509007"/>
    <s v="CCL-STORES_DEPT"/>
    <s v="1111KHOP"/>
    <s v="20058695"/>
    <s v="Shrigopal Bhati"/>
    <s v="No"/>
    <s v="dhananjay.pawar@amns.in"/>
    <s v="9821952033"/>
    <s v="1042814"/>
    <s v="Pritam Debbarma"/>
    <s v="Anil Matoo"/>
    <s v="-"/>
    <s v="Manjit Shah"/>
    <s v="-"/>
  </r>
  <r>
    <n v="6577"/>
    <n v="20058901"/>
    <s v="Mahesh Mohit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2-10-11T00:00:00"/>
    <s v="40.11"/>
    <d v="2014-06-09T00:00:00"/>
    <d v="2042-10-31T00:00:00"/>
    <m/>
    <d v="2042-10-31T00:00:00"/>
    <n v="6981"/>
    <s v=""/>
    <s v=""/>
    <s v=""/>
    <s v="09.03"/>
    <s v="09.03"/>
    <s v="00051278"/>
    <s v="Stores &amp; Warehouse"/>
    <s v="305109"/>
    <s v="New Acquisition"/>
    <s v="Khopoli staff"/>
    <s v="0000249007"/>
    <s v="SSC-STORES_DEPT"/>
    <s v="1111KHOP"/>
    <s v="20058695"/>
    <s v="Shrigopal Bhati"/>
    <s v="No"/>
    <s v="mahesh.mohite@amns.in"/>
    <s v="9823796143"/>
    <s v="1022226"/>
    <s v="Pritam Debbarma"/>
    <s v="Anil Matoo"/>
    <s v="-"/>
    <s v="Manjit Shah"/>
    <s v="-"/>
  </r>
  <r>
    <n v="6582"/>
    <n v="20058909"/>
    <s v="Ajay Wadek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Nanded"/>
    <d v="1976-06-08T00:00:00"/>
    <s v="47.03"/>
    <d v="2015-05-29T00:00:00"/>
    <d v="2036-06-30T00:00:00"/>
    <m/>
    <d v="2036-06-30T00:00:00"/>
    <n v="4667"/>
    <s v=""/>
    <s v=""/>
    <s v=""/>
    <s v="08.03"/>
    <s v="08.03"/>
    <s v="00051380"/>
    <s v="Sales &amp; Marketing"/>
    <s v="305117"/>
    <s v="New Acquisition"/>
    <s v="Khopoli staff"/>
    <s v="0000100015"/>
    <s v="HOM-SALE&amp;MKTG-TRADE"/>
    <s v="1111KHOP"/>
    <s v="20058920"/>
    <s v="Atul Singh"/>
    <s v="No"/>
    <s v="ajay.wadekar@amns.in"/>
    <s v="9850967680"/>
    <s v="1022274"/>
    <s v="Pritam Debbarma"/>
    <s v="Anil Matoo"/>
    <s v="-"/>
    <s v="Manjit Shah"/>
    <s v="-"/>
  </r>
  <r>
    <n v="6584"/>
    <n v="20058911"/>
    <s v="Sumitra Das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Technical Marketing &amp; Application Engineering"/>
    <s v="Technical Marketing &amp; Application Engineering"/>
    <s v=""/>
    <s v="Non Technical Support"/>
    <s v="Operations"/>
    <s v="Operations"/>
    <s v="72103001"/>
    <s v="Operations"/>
    <s v="Delhi"/>
    <d v="1982-08-07T00:00:00"/>
    <s v="41.01"/>
    <d v="2015-08-10T00:00:00"/>
    <d v="2042-08-31T00:00:00"/>
    <m/>
    <d v="2042-08-31T00:00:00"/>
    <n v="6920"/>
    <s v=""/>
    <s v=""/>
    <s v=""/>
    <s v="08.01"/>
    <s v="08.01"/>
    <s v="00051380"/>
    <s v="Sales &amp; Marketing"/>
    <s v="305119"/>
    <s v="New Acquisition"/>
    <s v="Khopoli staff"/>
    <s v="0000100015"/>
    <s v="HOM-SALE&amp;MKTG-TRADE"/>
    <s v="1111KHOP"/>
    <s v="20058920"/>
    <s v="Atul Singh"/>
    <s v="No"/>
    <s v="sumitra.das@amns.in"/>
    <s v="9599916356"/>
    <s v="1022277"/>
    <s v="Pritam Debbarma"/>
    <s v="Anil Matoo"/>
    <s v="-"/>
    <s v="Manjit Shah"/>
    <s v="-"/>
  </r>
  <r>
    <n v="6586"/>
    <n v="20058913"/>
    <s v="Sachin Kulkarn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Coated Sales"/>
    <s v="Coated Sales"/>
    <s v=""/>
    <s v="Non Technical Support"/>
    <s v="Operations"/>
    <s v="Operations"/>
    <s v="72103001"/>
    <s v="Operations"/>
    <s v="Pune"/>
    <d v="1971-07-11T00:00:00"/>
    <s v="52.02"/>
    <d v="2015-09-21T00:00:00"/>
    <d v="2031-07-31T00:00:00"/>
    <m/>
    <d v="2031-07-31T00:00:00"/>
    <n v="2871"/>
    <s v=""/>
    <s v=""/>
    <s v=""/>
    <s v="08.00"/>
    <s v="08.00"/>
    <s v="00051380"/>
    <s v="Sales &amp; Marketing"/>
    <s v="305121"/>
    <s v="New Acquisition"/>
    <s v="Khopoli staff"/>
    <s v="0000100013"/>
    <s v="HOM-SALE&amp;MKTG-OEM"/>
    <s v="1111KHOP"/>
    <s v="20058920"/>
    <s v="Atul Singh"/>
    <s v="No"/>
    <s v="sachin.kulkarni@amns.in"/>
    <s v="9923002584"/>
    <s v="1022283"/>
    <s v="Pritam Debbarma"/>
    <s v="Anil Matoo"/>
    <s v="-"/>
    <s v="Manjit Shah"/>
    <s v="-"/>
  </r>
  <r>
    <n v="6589"/>
    <n v="20058916"/>
    <s v="Rakesh Patel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Ahmedabad"/>
    <d v="1987-06-25T00:00:00"/>
    <s v="36.02"/>
    <d v="2015-11-02T00:00:00"/>
    <d v="2047-06-30T00:00:00"/>
    <m/>
    <d v="2047-06-30T00:00:00"/>
    <n v="8684"/>
    <s v=""/>
    <s v=""/>
    <s v=""/>
    <s v="07.10"/>
    <s v="07.10"/>
    <s v="00051380"/>
    <s v="Sales &amp; Marketing"/>
    <s v="305124"/>
    <s v="New Acquisition"/>
    <s v="Khopoli staff"/>
    <s v="0000100014"/>
    <s v="HOM-SALE&amp;MKTG-EXPORT"/>
    <s v="1111KHOP"/>
    <s v="20058920"/>
    <s v="Atul Singh"/>
    <s v="No"/>
    <s v="rakesh.patel@amns.in"/>
    <s v="7226090600"/>
    <s v="1022296"/>
    <s v="Pritam Debbarma"/>
    <s v="Anil Matoo"/>
    <s v="-"/>
    <s v="Manjit Shah"/>
    <s v="-"/>
  </r>
  <r>
    <n v="6590"/>
    <n v="20058917"/>
    <s v="Aditya Kaushik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North"/>
    <s v="Hypermart"/>
    <s v=""/>
    <s v="Non Technical Support"/>
    <s v="Operations"/>
    <s v="Operations"/>
    <s v="72103001"/>
    <s v="Operations"/>
    <s v="Delhi"/>
    <d v="1982-09-08T00:00:00"/>
    <s v="41.00"/>
    <d v="2015-12-07T00:00:00"/>
    <d v="2042-09-30T00:00:00"/>
    <m/>
    <d v="2042-09-30T00:00:00"/>
    <n v="6950"/>
    <s v=""/>
    <s v=""/>
    <s v=""/>
    <s v="07.09"/>
    <s v="07.09"/>
    <s v="00051380"/>
    <s v="Sales &amp; Marketing"/>
    <s v="305125"/>
    <s v="New Acquisition"/>
    <s v="Khopoli staff"/>
    <s v="0060120600"/>
    <s v="HMART-UP-Ghaziabad"/>
    <s v="1111KHOP"/>
    <s v="20058920"/>
    <s v="Atul Singh"/>
    <s v="No"/>
    <s v="aditya.kaushik@amns.in"/>
    <s v="9871119801"/>
    <s v="1022300"/>
    <s v="Pritam Debbarma"/>
    <s v="Anil Matoo"/>
    <s v="-"/>
    <s v="Manjit Shah"/>
    <s v="-"/>
  </r>
  <r>
    <n v="6591"/>
    <n v="20058920"/>
    <s v="Atul Singh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Sales &amp; Marketing, Khopoli"/>
    <s v=""/>
    <s v="Non Technical Support"/>
    <s v="Operations"/>
    <s v="Operations"/>
    <s v="72103001"/>
    <s v="Operations"/>
    <s v="Khopoli"/>
    <d v="1980-03-25T00:00:00"/>
    <s v="43.05"/>
    <d v="2016-04-04T00:00:00"/>
    <d v="2040-03-31T00:00:00"/>
    <m/>
    <d v="2040-03-31T00:00:00"/>
    <n v="6037"/>
    <s v=""/>
    <s v=""/>
    <s v=""/>
    <s v="07.05"/>
    <s v="07.05"/>
    <s v="00051380"/>
    <s v="Sales &amp; Marketing"/>
    <s v="305128"/>
    <s v="New Acquisition"/>
    <s v="Khopoli staff"/>
    <s v="0000100013"/>
    <s v="HOM-SALE&amp;MKTG-OEM"/>
    <s v="1111KHOP"/>
    <s v="20007104"/>
    <s v="Ranjan Dhar"/>
    <s v="No"/>
    <s v="atul.singh1@amns.in"/>
    <s v="8879994416"/>
    <s v="1022227"/>
    <s v="Pritam Debbarma"/>
    <s v="Anil Matoo"/>
    <s v="-"/>
    <s v="Manjit Shah"/>
    <s v="-"/>
  </r>
  <r>
    <n v="6592"/>
    <n v="20058923"/>
    <s v="Srikanth Santhanam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10-18T00:00:00"/>
    <s v="56.11"/>
    <d v="2017-03-06T00:00:00"/>
    <d v="2026-10-31T00:00:00"/>
    <d v="2029-10-31T00:00:00"/>
    <d v="2029-10-31T00:00:00"/>
    <n v="2233"/>
    <s v=""/>
    <s v=""/>
    <s v=""/>
    <s v="06.06"/>
    <s v="06.06"/>
    <s v="70494931"/>
    <s v="Working Capital"/>
    <s v="305131"/>
    <s v="New Acquisition"/>
    <s v="Khopoli staff"/>
    <s v="0000100022"/>
    <s v="HOM-CORPORATE FINANC"/>
    <s v="1111KHOP"/>
    <s v="20000870"/>
    <s v="Balajee M"/>
    <s v="No"/>
    <s v="srikanth.santhanam@amns.in"/>
    <s v="8879994423"/>
    <s v="1022252"/>
    <s v="Pritam Debbarma"/>
    <s v="Anil Matoo"/>
    <s v="-"/>
    <s v="Manjit Shah"/>
    <s v="-"/>
  </r>
  <r>
    <n v="6594"/>
    <n v="20058925"/>
    <s v="Balkrishna Bandr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6-01T00:00:00"/>
    <s v="47.03"/>
    <d v="2017-04-01T00:00:00"/>
    <d v="2036-05-31T00:00:00"/>
    <m/>
    <d v="2036-05-31T00:00:00"/>
    <n v="4637"/>
    <s v=""/>
    <s v=""/>
    <s v=""/>
    <s v="06.05"/>
    <s v="06.05"/>
    <s v="00051064"/>
    <s v="AMNS Khopoli Limited"/>
    <s v="305133"/>
    <s v="New Acquisition"/>
    <s v="Khopoli staff"/>
    <s v="0000100006"/>
    <s v="HOM-ACCOUNTS &amp; FIN"/>
    <s v="1111KHOP"/>
    <s v="20059045"/>
    <s v="Navneet Kumar Jain"/>
    <s v="No"/>
    <s v="balkrishna.bandre@amns.in"/>
    <s v="8655794396"/>
    <s v="1022261"/>
    <s v="Pritam Debbarma"/>
    <s v="Anil Matoo"/>
    <s v="-"/>
    <s v="Manjit Shah"/>
    <s v="-"/>
  </r>
  <r>
    <n v="6595"/>
    <n v="20058927"/>
    <s v="Aarti Sherla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91-11-20T00:00:00"/>
    <s v="31.09"/>
    <d v="2017-04-18T00:00:00"/>
    <d v="2051-11-30T00:00:00"/>
    <m/>
    <d v="2051-11-30T00:00:00"/>
    <n v="10298"/>
    <s v=""/>
    <s v=""/>
    <s v=""/>
    <s v="06.05"/>
    <s v="06.05"/>
    <s v="00051329"/>
    <s v="Finance &amp; Accounts"/>
    <s v="305135"/>
    <s v="New Acquisition"/>
    <s v="Khopoli staff"/>
    <s v="0000100006"/>
    <s v="HOM-ACCOUNTS &amp; FIN"/>
    <s v="1111KHOP"/>
    <s v="20058805"/>
    <s v="Sunil Sharma"/>
    <s v="No"/>
    <s v="aarti.sherla@amns.in"/>
    <s v="9702159322"/>
    <s v="1022272"/>
    <s v="Pritam Debbarma"/>
    <s v="Anil Matoo"/>
    <s v="-"/>
    <s v="Manjit Shah"/>
    <s v="-"/>
  </r>
  <r>
    <n v="6596"/>
    <n v="20058928"/>
    <s v="Shrikant Pusdek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Khopoli"/>
    <d v="1977-04-20T00:00:00"/>
    <s v="46.05"/>
    <d v="2017-08-03T00:00:00"/>
    <d v="2037-04-30T00:00:00"/>
    <m/>
    <d v="2037-04-30T00:00:00"/>
    <n v="4971"/>
    <s v=""/>
    <s v=""/>
    <s v=""/>
    <s v="06.01"/>
    <s v="06.01"/>
    <s v="00051378"/>
    <s v="Exports - Marketing"/>
    <s v="305136"/>
    <s v="New Acquisition"/>
    <s v="Khopoli staff"/>
    <s v="0000100014"/>
    <s v="HOM-SALE&amp;MKTG-EXPORT"/>
    <s v="1111KHOP"/>
    <s v="20058801"/>
    <s v="Shubhangi Patil"/>
    <s v="No"/>
    <s v="shrikant.pusdekar@amns.in"/>
    <s v="8805087800"/>
    <s v="1022286"/>
    <s v="Pritam Debbarma"/>
    <s v="Anil Matoo"/>
    <s v="-"/>
    <s v="Manjit Shah"/>
    <s v="-"/>
  </r>
  <r>
    <n v="6597"/>
    <n v="20058929"/>
    <s v="Shrinivas Matcha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81-07-02T00:00:00"/>
    <s v="42.02"/>
    <d v="2017-07-07T00:00:00"/>
    <d v="2041-07-31T00:00:00"/>
    <m/>
    <d v="2041-07-31T00:00:00"/>
    <n v="6524"/>
    <s v=""/>
    <s v=""/>
    <s v=""/>
    <s v="06.02"/>
    <s v="06.02"/>
    <s v="00051220"/>
    <s v="Administration &amp; Security"/>
    <s v="305137"/>
    <s v="New Acquisition"/>
    <s v="Khopoli staff"/>
    <s v="0000100009"/>
    <s v="HOM-PERSONNEL / HRD"/>
    <s v="1111KHOP"/>
    <s v="20057887"/>
    <s v="Kiran Vaidya"/>
    <s v="No"/>
    <s v="shrinivas.matcha@amns.in"/>
    <s v="8879994016"/>
    <s v="1022290"/>
    <s v="Pritam Debbarma"/>
    <s v="Anil Matoo"/>
    <s v="-"/>
    <s v="Manjit Shah"/>
    <s v="-"/>
  </r>
  <r>
    <n v="6598"/>
    <n v="20058930"/>
    <s v="Robin Kurie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Export"/>
    <s v="Export"/>
    <s v=""/>
    <s v="Non Technical Support"/>
    <s v="Operations"/>
    <s v="Operations"/>
    <s v="72103001"/>
    <s v="Operations"/>
    <s v="Khopoli"/>
    <d v="1980-09-22T00:00:00"/>
    <s v="42.11"/>
    <d v="2017-08-16T00:00:00"/>
    <d v="2040-09-30T00:00:00"/>
    <m/>
    <d v="2040-09-30T00:00:00"/>
    <n v="6220"/>
    <s v=""/>
    <s v=""/>
    <s v=""/>
    <s v="06.01"/>
    <s v="06.01"/>
    <s v="00052527"/>
    <s v="Sales &amp; Marketing"/>
    <s v="305138"/>
    <s v="New Acquisition"/>
    <s v="Khopoli staff"/>
    <s v="0000100013"/>
    <s v="HOM-SALE&amp;MKTG-OEM"/>
    <s v="1111KHOP"/>
    <s v="20055663"/>
    <s v="Karamath Syed"/>
    <s v="No"/>
    <s v="robin.kurien@amns.in"/>
    <s v="8879994605"/>
    <s v="1022297"/>
    <s v="Pritam Debbarma"/>
    <s v="Anil Matoo"/>
    <s v="-"/>
    <s v="Manjit Shah"/>
    <s v="-"/>
  </r>
  <r>
    <n v="6599"/>
    <n v="20058931"/>
    <s v="Dharmendra Tiwar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Other West"/>
    <s v="OEM"/>
    <s v=""/>
    <s v="Non Technical Support"/>
    <s v="Operations"/>
    <s v="Operations"/>
    <s v="72103001"/>
    <s v="Operations"/>
    <s v="Aurangabad"/>
    <d v="1980-10-05T00:00:00"/>
    <s v="42.11"/>
    <d v="2017-10-27T00:00:00"/>
    <d v="2040-10-31T00:00:00"/>
    <m/>
    <d v="2040-10-31T00:00:00"/>
    <n v="6251"/>
    <s v=""/>
    <s v=""/>
    <s v=""/>
    <s v="05.10"/>
    <s v="05.10"/>
    <s v="00051380"/>
    <s v="Sales &amp; Marketing"/>
    <s v="305139"/>
    <s v="New Acquisition"/>
    <s v="Khopoli staff"/>
    <s v="0000100013"/>
    <s v="HOM-SALE&amp;MKTG-OEM"/>
    <s v="1111KHOP"/>
    <s v="20058920"/>
    <s v="Atul Singh"/>
    <s v="No"/>
    <s v="dharmendra.tiwari@amns.in"/>
    <s v="7263016882"/>
    <s v="1022302"/>
    <s v="Pritam Debbarma"/>
    <s v="Anil Matoo"/>
    <s v="-"/>
    <s v="Manjit Shah"/>
    <s v="-"/>
  </r>
  <r>
    <n v="6600"/>
    <n v="20058932"/>
    <s v="Swapnil Mahajan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8-12-31T00:00:00"/>
    <s v="34.08"/>
    <d v="2018-01-19T00:00:00"/>
    <d v="2048-12-31T00:00:00"/>
    <m/>
    <d v="2048-12-31T00:00:00"/>
    <n v="9234"/>
    <s v=""/>
    <s v=""/>
    <s v=""/>
    <s v="05.08"/>
    <s v="05.08"/>
    <s v="73800002"/>
    <s v="Procurement - Pune Asset"/>
    <s v="305140"/>
    <s v="New Acquisition"/>
    <s v="Khopoli staff"/>
    <s v="0000100010"/>
    <s v="HOM-COMM. &amp; PROCTS"/>
    <s v="1111KHOP"/>
    <s v="20006536"/>
    <s v="Mahesh Salunke"/>
    <s v="No"/>
    <s v="swapnil.mahajan@amns.in"/>
    <s v="8411970668"/>
    <s v="1022310"/>
    <s v="Pritam Debbarma"/>
    <s v="Anil Matoo"/>
    <s v="-"/>
    <s v="Manjit Shah"/>
    <s v="-"/>
  </r>
  <r>
    <n v="6601"/>
    <n v="20058933"/>
    <s v="Pushpendra Mishra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4-02-03T00:00:00"/>
    <s v="39.07"/>
    <d v="2018-07-07T00:00:00"/>
    <d v="2044-02-29T00:00:00"/>
    <m/>
    <d v="2044-02-29T00:00:00"/>
    <n v="7467"/>
    <s v=""/>
    <s v=""/>
    <s v=""/>
    <s v="05.02"/>
    <s v="05.02"/>
    <s v="00051339"/>
    <s v="Excise"/>
    <s v="305143"/>
    <s v="New Acquisition"/>
    <s v="Khopoli staff"/>
    <s v="0000290001"/>
    <s v="FAC-EXCISE_DEPT"/>
    <s v="1111KHOP"/>
    <s v="40002639"/>
    <s v="Balveer Bhandari"/>
    <s v="No"/>
    <s v="pushpendrakumar.mishra@amns.in"/>
    <s v="9039001011"/>
    <s v="1022315"/>
    <s v="Pritam Debbarma"/>
    <s v="Anil Matoo"/>
    <s v="-"/>
    <s v="Manjit Shah"/>
    <s v="-"/>
  </r>
  <r>
    <n v="6603"/>
    <n v="20058935"/>
    <s v="Satish Mulay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71-06-02T00:00:00"/>
    <s v="52.03"/>
    <d v="2018-08-29T00:00:00"/>
    <d v="2031-06-30T00:00:00"/>
    <m/>
    <d v="2031-06-30T00:00:00"/>
    <n v="2840"/>
    <s v=""/>
    <s v=""/>
    <s v=""/>
    <s v="05.00"/>
    <s v="05.00"/>
    <s v="00051336"/>
    <s v="Industrial Relations"/>
    <s v="305145"/>
    <s v="New Acquisition"/>
    <s v="Khopoli staff"/>
    <s v="0000100009"/>
    <s v="HOM-PERSONNEL / HRD"/>
    <s v="1111KHOP"/>
    <s v="20037245"/>
    <s v="Mukund Jagirdar"/>
    <s v="No"/>
    <s v="satish.mulay@amns.in"/>
    <s v="8411970545"/>
    <s v="1022321"/>
    <s v="Pritam Debbarma"/>
    <s v="Anil Matoo"/>
    <n v="0"/>
    <s v="Manjit Shah"/>
    <n v="0"/>
  </r>
  <r>
    <n v="6607"/>
    <n v="20058941"/>
    <s v="Satish Pednekar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6-02-06T00:00:00"/>
    <s v="37.07"/>
    <d v="2019-05-02T00:00:00"/>
    <d v="2046-02-28T00:00:00"/>
    <m/>
    <d v="2046-02-28T00:00:00"/>
    <n v="8197"/>
    <s v=""/>
    <s v=""/>
    <s v=""/>
    <s v="04.04"/>
    <s v="04.04"/>
    <s v="00051333"/>
    <s v="Corporate Accounts &amp; Global Reporting"/>
    <s v="305151"/>
    <s v="New Acquisition"/>
    <s v="Khopoli staff"/>
    <s v="0000290004"/>
    <s v="FAC-ACCOUTS_DEPT"/>
    <s v="1111KHOP"/>
    <s v="20058804"/>
    <s v="Roy Jose"/>
    <s v="No"/>
    <s v="satuppa.pednekar@amns.in"/>
    <s v="9405257883"/>
    <s v="1022293"/>
    <s v="Pritam Debbarma"/>
    <s v="Anil Matoo"/>
    <s v="-"/>
    <s v="Manjit Shah"/>
    <s v="-"/>
  </r>
  <r>
    <n v="6608"/>
    <n v="20058942"/>
    <s v="Dattaram Kadam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Hazira"/>
    <d v="1982-03-21T00:00:00"/>
    <s v="41.06"/>
    <d v="2019-06-10T00:00:00"/>
    <d v="2042-03-31T00:00:00"/>
    <m/>
    <d v="2042-03-31T00:00:00"/>
    <n v="6767"/>
    <s v=""/>
    <s v="MA-2004 , BA-2002 , High School-1999"/>
    <s v="04.00"/>
    <s v="04.03"/>
    <s v="08.03"/>
    <s v="00051335"/>
    <s v="HR &amp; Administration - Khopoli"/>
    <s v="305152"/>
    <s v="New Acquisition"/>
    <s v="Khopoli staff"/>
    <s v="0000100009"/>
    <s v="HOM-PERSONNEL / HRD"/>
    <s v="1111KHOP"/>
    <s v="20055071"/>
    <s v="Anirudha Bisoyi"/>
    <s v="No"/>
    <s v="dattaram.kadam@amns.in"/>
    <s v="9423823696"/>
    <s v="1022303"/>
    <s v="Pritam Debbarma"/>
    <s v="Anil Matoo"/>
    <n v="0"/>
    <s v="Manjit Shah"/>
    <n v="0"/>
  </r>
  <r>
    <n v="6616"/>
    <n v="20058953"/>
    <s v="Aman Khalkho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94-12-21T00:00:00"/>
    <s v="28.09"/>
    <d v="2021-09-01T00:00:00"/>
    <d v="2054-12-31T00:00:00"/>
    <m/>
    <d v="2054-12-31T00:00:00"/>
    <n v="11425"/>
    <s v=""/>
    <s v=""/>
    <s v=""/>
    <s v="02.00"/>
    <s v="02.00"/>
    <s v="00051336"/>
    <s v="Industrial Relations"/>
    <s v="305164"/>
    <s v="New Acquisition"/>
    <s v="Khopoli staff"/>
    <s v="0000100009"/>
    <s v="HOM-PERSONNEL / HRD"/>
    <s v="1111KHOP"/>
    <s v="20058961"/>
    <s v="Pritam Debbarma"/>
    <s v="No"/>
    <s v="aman.khalkho@amns.in"/>
    <s v="8411970427"/>
    <s v="1022346"/>
    <s v="Pritam Debbarma"/>
    <s v="Anil Matoo"/>
    <n v="0"/>
    <s v="Manjit Shah"/>
    <n v="0"/>
  </r>
  <r>
    <n v="6623"/>
    <n v="20058960"/>
    <s v="Sandeep Kuma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82-10-06T00:00:00"/>
    <s v="40.11"/>
    <d v="2022-02-21T00:00:00"/>
    <d v="2042-10-31T00:00:00"/>
    <m/>
    <d v="2042-10-31T00:00:00"/>
    <n v="6981"/>
    <s v=""/>
    <s v=""/>
    <s v=""/>
    <s v="01.06"/>
    <s v="01.06"/>
    <s v="00051335"/>
    <s v="HR &amp; Administration - Khopoli"/>
    <s v="305171"/>
    <s v="New Acquisition"/>
    <s v="Khopoli staff"/>
    <s v="0000290002"/>
    <s v="FAC-PERSONAL &amp; ADM"/>
    <s v="1111KHOP"/>
    <s v="20057887"/>
    <s v="Kiran Vaidya"/>
    <s v="No"/>
    <s v="sandeep.kumar@amns.in"/>
    <s v="9992148185"/>
    <s v="1022176"/>
    <s v="Pritam Debbarma"/>
    <s v="Anil Matoo"/>
    <s v="-"/>
    <s v="Manjit Shah"/>
    <s v="-"/>
  </r>
  <r>
    <n v="6624"/>
    <n v="20058961"/>
    <s v="Pritam Debbarma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88-05-25T00:00:00"/>
    <s v="35.03"/>
    <d v="2022-02-28T00:00:00"/>
    <d v="2048-05-31T00:00:00"/>
    <m/>
    <d v="2048-05-31T00:00:00"/>
    <n v="9020"/>
    <s v=""/>
    <s v=""/>
    <s v=""/>
    <s v="01.06"/>
    <s v="01.06"/>
    <s v="00051335"/>
    <s v="HR &amp; Administration - Khopoli"/>
    <s v="305172"/>
    <s v="New Acquisition"/>
    <s v="Khopoli staff"/>
    <s v="0000100009"/>
    <s v="HOM-PERSONNEL / HRD"/>
    <s v="1111KHOP"/>
    <s v="20037245"/>
    <s v="Mukund Jagirdar"/>
    <s v="No"/>
    <s v="pritam.debbarma@amns.in"/>
    <s v="8411970848"/>
    <s v="1022191"/>
    <s v="Pritam Debbarma"/>
    <s v="Anil Matoo"/>
    <n v="0"/>
    <s v="Manjit Shah"/>
    <n v="0"/>
  </r>
  <r>
    <n v="6668"/>
    <n v="20059006"/>
    <s v="Ranjit Kumar Sahu"/>
    <s v="AM/NS India"/>
    <s v="Onroll"/>
    <s v="M-8"/>
    <n v="8"/>
    <m/>
    <s v="JM"/>
    <s v="M"/>
    <s v="Corporate"/>
    <n v="2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Chairman's Secretariat"/>
    <s v="Chairman's Secretariat"/>
    <s v="74701000"/>
    <s v="Chairman's Secretariat"/>
    <s v="Paradeep"/>
    <d v="1985-03-05T00:00:00"/>
    <s v="38.06"/>
    <d v="2023-03-27T00:00:00"/>
    <d v="2043-03-31T00:00:00"/>
    <m/>
    <d v="2043-03-31T00:00:00"/>
    <n v="7132"/>
    <s v="O+"/>
    <s v="CA Inter-2012 , BCom-2005 , Intermediate"/>
    <s v="03.00"/>
    <s v="00.05"/>
    <s v="03.06"/>
    <s v="00044333"/>
    <s v="Internal Audit -Odisha"/>
    <s v="301000"/>
    <s v="Lead - Internal Audit"/>
    <s v="Odisha"/>
    <s v="0090000035"/>
    <s v=""/>
    <s v="2000STORIS"/>
    <s v="20055745"/>
    <s v="Ajay Kumar Sharma"/>
    <s v="No"/>
    <s v="ranjit.sahu@amns.in"/>
    <s v="9940613119"/>
    <s v="1042000"/>
    <s v="Sunila Das"/>
    <s v="Anil Matoo"/>
    <s v="Praveen Kuruvalli"/>
    <s v="Sunila Das"/>
    <n v="0"/>
  </r>
  <r>
    <n v="6670"/>
    <n v="20059008"/>
    <s v="Kotaro Sato"/>
    <s v="AM/NS India"/>
    <s v="PDA"/>
    <s v="PDA"/>
    <m/>
    <m/>
    <s v="TM"/>
    <s v="M"/>
    <s v="Hazira"/>
    <n v="1"/>
    <s v="2161"/>
    <x v="15"/>
    <s v="31.02"/>
    <s v="Hrishikesh Kamat"/>
    <s v="Hrishikesh Kamat"/>
    <n v="7"/>
    <s v="Procurement"/>
    <s v="Procurement"/>
    <s v="31"/>
    <s v="Section Incharge - Capex Planning"/>
    <m/>
    <s v="Capex Procurement"/>
    <s v=""/>
    <s v=""/>
    <s v="Non Technical Support"/>
    <s v=""/>
    <s v=""/>
    <s v=""/>
    <s v=""/>
    <s v="Hazira"/>
    <d v="1980-12-26T00:00:00"/>
    <s v="42.08"/>
    <d v="2023-04-01T00:00:00"/>
    <d v="2038-12-31T00:00:00"/>
    <m/>
    <d v="2038-12-31T00:00:00"/>
    <n v="5581"/>
    <s v=""/>
    <s v=""/>
    <s v=""/>
    <s v="00.05"/>
    <s v="00.05"/>
    <s v="00046902"/>
    <s v="Capex Plannig"/>
    <s v="306049"/>
    <s v="Section Incharge - Capex Planning"/>
    <s v="Non-payroll-relevant"/>
    <s v="0031920100"/>
    <s v="HAZIRA UPSTREAM PROJ"/>
    <s v="2000HWO"/>
    <s v="20055485"/>
    <s v="Majima Toshio"/>
    <s v="No"/>
    <s v="kotaro.sato@amns.in"/>
    <s v="7227043117"/>
    <s v="1015814"/>
    <s v="Dhruv Vyas"/>
    <s v="Anil Matoo"/>
    <s v="Praveen Kuruvalli"/>
    <s v="Dhruv Vyas"/>
    <n v="0"/>
  </r>
  <r>
    <n v="6671"/>
    <n v="20059009"/>
    <s v="Michiro Urabe"/>
    <s v="AM/NS India"/>
    <s v="PDA"/>
    <s v="PDA"/>
    <m/>
    <m/>
    <s v="TM"/>
    <s v="M"/>
    <s v="Hazira"/>
    <n v="1"/>
    <s v="2161"/>
    <x v="15"/>
    <s v="31.02"/>
    <s v="Hrishikesh Kamat"/>
    <s v="Hrishikesh Kamat"/>
    <n v="7"/>
    <s v="Procurement"/>
    <s v="Procurement"/>
    <s v="31"/>
    <s v="Section Incharge - Capex Planning"/>
    <m/>
    <s v="Capex Procurement"/>
    <s v=""/>
    <s v=""/>
    <s v="Non Technical Support"/>
    <s v=""/>
    <s v=""/>
    <s v=""/>
    <s v=""/>
    <s v="Hazira"/>
    <d v="1978-11-01T00:00:00"/>
    <s v="44.10"/>
    <d v="2023-04-01T00:00:00"/>
    <d v="2036-10-31T00:00:00"/>
    <m/>
    <d v="2036-10-31T00:00:00"/>
    <n v="4790"/>
    <s v=""/>
    <s v=""/>
    <s v=""/>
    <s v="00.05"/>
    <s v="00.05"/>
    <s v="00052664"/>
    <s v="Capex Planning"/>
    <s v="306050"/>
    <s v="Section Incharge - Capex Planning"/>
    <s v="Non-payroll-relevant"/>
    <s v="0031920100"/>
    <s v="HAZIRA UPSTREAM PROJ"/>
    <s v="2000HWO"/>
    <s v="20055485"/>
    <s v="Majima Toshio"/>
    <s v="No"/>
    <s v="michiro.urabe@amns.in"/>
    <s v="7227043115"/>
    <s v="1042652"/>
    <s v="Dhruv Vyas"/>
    <s v="Anil Matoo"/>
    <s v="Praveen Kuruvalli"/>
    <s v="Dhruv Vyas"/>
    <n v="0"/>
  </r>
  <r>
    <n v="6675"/>
    <n v="20059013"/>
    <s v="Richa Gandhi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Internal Control and SOX"/>
    <m/>
    <s v="Finance &amp; Accounts"/>
    <s v="Internal Control &amp; SOX"/>
    <s v=""/>
    <s v="Non Technical Support"/>
    <s v="Chairman's Secretariat"/>
    <s v="Chairman's Secretariat"/>
    <s v="74701000"/>
    <s v="Chairman's Secretariat"/>
    <s v="Hazira"/>
    <d v="1996-07-25T00:00:00"/>
    <s v="27.01"/>
    <d v="2023-03-31T00:00:00"/>
    <d v="2054-07-31T00:00:00"/>
    <m/>
    <d v="2054-07-31T00:00:00"/>
    <n v="11272"/>
    <s v="AB+"/>
    <s v="BCom-2018 , CA Final-2019 , Intermediate"/>
    <s v="03.04"/>
    <s v="00.05"/>
    <s v="03.09"/>
    <s v="00051504"/>
    <s v="Internal Control &amp; SOX"/>
    <s v="300858"/>
    <s v="Officer - Internal Control and SOX"/>
    <s v="Hazira"/>
    <s v="0031950043"/>
    <s v=""/>
    <s v="2000HWO"/>
    <s v="20056387"/>
    <s v="Vikal Goyal"/>
    <s v="No"/>
    <s v="richa.gandhi@amns.in"/>
    <s v="8866433297"/>
    <s v="1042942"/>
    <s v="Dhruv Vyas"/>
    <s v="Anil Matoo"/>
    <s v="Praveen Kuruvalli"/>
    <s v="Dhruv Vyas"/>
    <n v="0"/>
  </r>
  <r>
    <n v="6676"/>
    <n v="20059014"/>
    <s v="Saikrishna Darni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charge - Stores &amp; Warehouse"/>
    <m/>
    <s v="Stores &amp; Warehouse"/>
    <s v="Stores &amp; Warehouse"/>
    <s v="Receipt, Unloading &amp; Unbound"/>
    <s v="Non Technical Support"/>
    <s v=""/>
    <s v=""/>
    <s v=""/>
    <s v=""/>
    <s v="Hazira"/>
    <d v="1993-06-26T00:00:00"/>
    <s v="30.02"/>
    <d v="2023-03-31T00:00:00"/>
    <d v="2051-06-30T00:00:00"/>
    <m/>
    <d v="2051-06-30T00:00:00"/>
    <n v="10145"/>
    <s v="O+"/>
    <s v="Diploma-2016 , Intermediate-2008"/>
    <s v="11.06"/>
    <s v="00.05"/>
    <s v="11.11"/>
    <s v="00044541"/>
    <s v="HRC Store - Receipt"/>
    <s v="272362"/>
    <s v="Section Incharge - Stores &amp; Warehouse"/>
    <s v="Hazira"/>
    <s v="0031950049"/>
    <s v=""/>
    <s v="2000HWO"/>
    <s v="20005047"/>
    <s v="Rajeev Jha"/>
    <s v="No"/>
    <s v="saikrishna.darni@amns.in"/>
    <s v="7227043145"/>
    <s v="1042964"/>
    <s v="Dhruv Vyas"/>
    <s v="Anil Matoo"/>
    <s v="Praveen Kuruvalli"/>
    <s v="Dhruv Vyas"/>
    <n v="0"/>
  </r>
  <r>
    <n v="6680"/>
    <n v="20059018"/>
    <s v="Sandeep Ray"/>
    <s v="AM/NS India"/>
    <s v="Onroll"/>
    <s v="M-6"/>
    <n v="6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Section Head – Facility Management"/>
    <m/>
    <s v="Administration"/>
    <s v=""/>
    <s v=""/>
    <s v="Non Technical Support"/>
    <s v="Administration"/>
    <s v="Administration"/>
    <s v="74101001"/>
    <s v="Administration"/>
    <s v="Hazira"/>
    <d v="1983-04-02T00:00:00"/>
    <s v="40.05"/>
    <d v="2023-04-03T00:00:00"/>
    <d v="2041-04-30T00:00:00"/>
    <m/>
    <d v="2041-04-30T00:00:00"/>
    <n v="6432"/>
    <s v="B+"/>
    <s v="PG Diploma in Management-2011"/>
    <s v="00.02"/>
    <s v="00.05"/>
    <s v="00.07"/>
    <s v="00049757"/>
    <s v="Facility Management"/>
    <s v="296422"/>
    <s v="Section Head – Facility Management"/>
    <s v="Hazira"/>
    <s v="0090000018"/>
    <s v=""/>
    <s v="2000HWO"/>
    <s v="20057886"/>
    <s v="Shakir Bandwala"/>
    <s v="No"/>
    <s v="sandeep.ray@amns.in"/>
    <s v="8238366222"/>
    <s v="1043070"/>
    <s v="Manjit Shah"/>
    <s v="Anil Matoo"/>
    <s v="Praveen Kuruvalli"/>
    <s v="Lakshman Iyer"/>
    <n v="0"/>
  </r>
  <r>
    <n v="6683"/>
    <n v="20059021"/>
    <s v="Nilesh Kumbhani"/>
    <s v="AM/NS India"/>
    <s v="Onroll"/>
    <s v="M-9"/>
    <n v="9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Officer - Contracts"/>
    <m/>
    <s v="Contracts"/>
    <s v=""/>
    <s v=""/>
    <s v="Non Technical Support"/>
    <s v="Commercial"/>
    <s v="Contracts &amp; Tenders and E-bid"/>
    <s v="73805001"/>
    <s v="Contracts &amp; Tenders and E"/>
    <s v="Hazira"/>
    <d v="1987-03-15T00:00:00"/>
    <s v="36.06"/>
    <d v="2023-04-01T00:00:00"/>
    <d v="2045-03-31T00:00:00"/>
    <m/>
    <d v="2045-03-31T00:00:00"/>
    <n v="7863"/>
    <s v="O+"/>
    <s v="MBA-2011 , BCom-2009 , Intermediate-2006"/>
    <s v="03.09"/>
    <s v="00.05"/>
    <s v="04.02"/>
    <s v="70495670"/>
    <s v="Contracts"/>
    <s v="300995"/>
    <s v="Officer - Contracts"/>
    <s v="Hazira"/>
    <s v="0031950047"/>
    <s v=""/>
    <s v="2000HWO"/>
    <s v="20000795"/>
    <s v="Pankaj Chaturvedi"/>
    <s v="No"/>
    <s v="nilesh.kumbhani@amns.in"/>
    <s v="9879101729"/>
    <s v="25211"/>
    <s v="Dhruv Vyas"/>
    <s v="Anil Matoo"/>
    <s v="Praveen Kuruvalli"/>
    <s v="Dhruv Vyas"/>
    <n v="0"/>
  </r>
  <r>
    <n v="6684"/>
    <n v="20059022"/>
    <s v="Mital Gohil"/>
    <s v="AM/NS India"/>
    <s v="Onroll"/>
    <s v="M-10"/>
    <n v="10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Finance &amp; Accounts"/>
    <m/>
    <s v="Finance &amp; Accounts"/>
    <s v="Service Centers"/>
    <s v=""/>
    <s v="Non Technical Support"/>
    <s v=""/>
    <s v=""/>
    <s v=""/>
    <s v=""/>
    <s v="Hazira"/>
    <d v="1991-08-12T00:00:00"/>
    <s v="32.01"/>
    <d v="2023-03-16T00:00:00"/>
    <d v="2049-08-31T00:00:00"/>
    <m/>
    <d v="2049-08-31T00:00:00"/>
    <n v="9477"/>
    <s v="AB+"/>
    <s v="MBA-2014 , BBA-2012 , Intermediate-2009"/>
    <s v="02.02"/>
    <s v="00.06"/>
    <s v="02.08"/>
    <s v="70495565"/>
    <s v="F&amp;A Hypermart &amp; Service Centre"/>
    <s v="305317"/>
    <s v="Officer Accounts Payable"/>
    <s v="Hazira"/>
    <s v="0031950045"/>
    <s v="HZ-Works Accounts-Ha"/>
    <s v="2000HWO"/>
    <s v="20055504"/>
    <s v="Vivek Choudhary"/>
    <s v="No"/>
    <s v="mital.gohil@amns.in"/>
    <s v="9978832962"/>
    <s v="794645"/>
    <s v="Dhruv Vyas"/>
    <s v="Anil Matoo"/>
    <s v="Praveen Kuruvalli"/>
    <s v="Dhruv Vyas"/>
    <n v="0"/>
  </r>
  <r>
    <n v="6685"/>
    <n v="20059023"/>
    <s v="Vishalkumar Panchawala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 Accounts Payable"/>
    <m/>
    <s v="Finance &amp; Accounts"/>
    <s v="Accounts Payable"/>
    <s v="Bills Payable"/>
    <s v="Non Technical Support"/>
    <s v="Finance &amp; Accounts"/>
    <s v="Corporate Finance"/>
    <s v="73902004"/>
    <s v="Banking Relations"/>
    <s v="Hazira"/>
    <d v="1980-07-14T00:00:00"/>
    <s v="43.02"/>
    <d v="2023-03-16T00:00:00"/>
    <d v="2038-07-31T00:00:00"/>
    <m/>
    <d v="2038-07-31T00:00:00"/>
    <n v="5428"/>
    <s v="B+"/>
    <s v="BCom-2004"/>
    <s v=""/>
    <s v="00.06"/>
    <s v="00.06"/>
    <s v="00043794"/>
    <s v="Accounts Payable - 1"/>
    <s v="300857"/>
    <s v="MT"/>
    <s v="Hazira"/>
    <s v="0031950045"/>
    <s v=""/>
    <s v="2000HWO"/>
    <s v="20016107"/>
    <s v="Kalpesh Thathagar"/>
    <s v="No"/>
    <s v="vishal.panchawala@amns.in"/>
    <s v="9879101096"/>
    <s v="25120"/>
    <s v="Dhruv Vyas"/>
    <s v="Anil Matoo"/>
    <s v="Praveen Kuruvalli"/>
    <s v="Dhruv Vyas"/>
    <n v="0"/>
  </r>
  <r>
    <n v="6686"/>
    <n v="20059024"/>
    <s v="Keiji Kubota"/>
    <s v="AM/NS India"/>
    <s v="PDA"/>
    <s v="PDA"/>
    <n v="2"/>
    <m/>
    <s v="TM"/>
    <s v="M"/>
    <s v="Hazira"/>
    <n v="1"/>
    <s v="2015"/>
    <x v="1"/>
    <s v="22.06"/>
    <s v="Ashutosh Telang"/>
    <s v="Ashutosh Telang"/>
    <n v="6"/>
    <s v="HR &amp; Administration"/>
    <s v="Human Resources"/>
    <s v="22"/>
    <s v="Dy Director - HR &amp; Admin"/>
    <m/>
    <s v="Human Resources"/>
    <s v=""/>
    <s v=""/>
    <s v="Non Technical Support"/>
    <s v=""/>
    <s v=""/>
    <s v="70494642"/>
    <s v="Deputy Director"/>
    <s v="Hazira"/>
    <d v="1969-07-11T00:00:00"/>
    <s v="54.02"/>
    <d v="2023-04-01T00:00:00"/>
    <d v="2027-07-31T00:00:00"/>
    <m/>
    <d v="2027-07-31T00:00:00"/>
    <n v="1410"/>
    <s v=""/>
    <s v=""/>
    <s v=""/>
    <s v="00.05"/>
    <s v="00.05"/>
    <s v="70494636"/>
    <s v="HR and Administration"/>
    <s v="306661"/>
    <s v="Deputy Directory HR &amp;Admin"/>
    <s v="Non-payroll-relevant"/>
    <s v="0090000018"/>
    <s v=""/>
    <s v="2000HWO"/>
    <s v="20057637"/>
    <s v="Ashutosh Telang"/>
    <s v="No"/>
    <s v="keiji.kubota@amns.in"/>
    <s v=""/>
    <s v="1043230"/>
    <s v="Dhruv Vyas"/>
    <s v="Anil Matoo"/>
    <s v="Praveen Kuruvalli"/>
    <s v="Dhruv Vyas"/>
    <n v="0"/>
  </r>
  <r>
    <n v="6689"/>
    <n v="20059027"/>
    <s v="Nikhil Kaura"/>
    <s v="AM/NS India"/>
    <s v="Onroll"/>
    <s v="M-6"/>
    <n v="6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s v=""/>
    <s v=""/>
    <s v="Non Technical Support"/>
    <s v="Corporate Relations"/>
    <s v="Corporate Affairs"/>
    <s v="74501001"/>
    <s v="Corporate Affairs"/>
    <s v="Delhi"/>
    <d v="1988-01-15T00:00:00"/>
    <s v="35.08"/>
    <d v="2023-04-07T00:00:00"/>
    <d v="2046-01-31T00:00:00"/>
    <m/>
    <d v="2046-01-31T00:00:00"/>
    <n v="8169"/>
    <s v="B+"/>
    <s v="PG Diploma in Management-2010 , BA-2010"/>
    <s v="05.06"/>
    <s v="00.05"/>
    <s v="05.10"/>
    <s v="70494938"/>
    <s v="Corporate Affairs"/>
    <s v="306590"/>
    <s v="Lead Corporate Affair"/>
    <s v="Corporate"/>
    <s v="0090000021"/>
    <s v=""/>
    <s v="2000CS"/>
    <s v="20057928"/>
    <s v="Manu Kapoor"/>
    <s v="No"/>
    <s v="nikhil.kaura@amns.in"/>
    <s v="9811038669"/>
    <s v="1044083"/>
    <s v="Dhruv Vyas"/>
    <s v="Anil Matoo"/>
    <s v="Praveen Kuruvalli"/>
    <s v="Dhruv Vyas"/>
    <n v="0"/>
  </r>
  <r>
    <n v="6704"/>
    <n v="20059042"/>
    <s v="Murali Sahoo"/>
    <s v="AM/NS India"/>
    <s v="Onroll"/>
    <s v="M-6"/>
    <n v="6"/>
    <m/>
    <s v="MM"/>
    <s v="M"/>
    <s v="Mining"/>
    <n v="8"/>
    <s v="2015"/>
    <x v="1"/>
    <s v="22.06"/>
    <s v="Praveen Kuruvalli"/>
    <s v="Ashutosh Telang"/>
    <n v="6"/>
    <s v="HR &amp; Administration"/>
    <s v="Human Resources"/>
    <s v="22"/>
    <s v="Head HR – Mines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Barbil"/>
    <d v="1981-05-12T00:00:00"/>
    <s v="42.04"/>
    <d v="2023-04-10T00:00:00"/>
    <d v="2039-05-31T00:00:00"/>
    <m/>
    <d v="2039-05-31T00:00:00"/>
    <n v="5732"/>
    <s v="AB+"/>
    <s v="MSW-2006 , BA-2003 , Intermediate-2000 ,"/>
    <s v="01.11"/>
    <s v="00.05"/>
    <s v="02.04"/>
    <s v="00051987"/>
    <s v="HR - Mining"/>
    <s v="301567"/>
    <s v="Head HR Mining"/>
    <s v="Odisha"/>
    <s v="0031950061"/>
    <s v=""/>
    <s v="2000STORIS"/>
    <s v="20055483"/>
    <s v="Praveen Kuruvalli"/>
    <s v="No"/>
    <s v="murali.sahoo@amns.in"/>
    <s v="9437717622"/>
    <s v="1044304"/>
    <s v="Murali Sahoo"/>
    <s v="Anil Matoo"/>
    <s v="Praveen Kuruvalli"/>
    <s v="Murali Sahoo"/>
    <n v="0"/>
  </r>
  <r>
    <n v="6705"/>
    <n v="20059043"/>
    <s v="Priyanka Patidar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Corporate Accounts"/>
    <m/>
    <s v="Finance &amp;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Hazira"/>
    <d v="2000-01-11T00:00:00"/>
    <s v="23.08"/>
    <d v="2023-04-10T00:00:00"/>
    <d v="2058-01-31T00:00:00"/>
    <m/>
    <d v="2058-01-31T00:00:00"/>
    <n v="12552"/>
    <s v="O+"/>
    <s v="CA Inter-2022 , Intermediate-2017 , Inte"/>
    <s v=""/>
    <s v="00.05"/>
    <s v="00.05"/>
    <s v="70074192"/>
    <s v="Corporate Accounts"/>
    <s v="70493872"/>
    <s v="Officer - Corporate Accounts"/>
    <s v="Hazira"/>
    <s v="0090000027"/>
    <s v=""/>
    <s v="2000HWO"/>
    <s v="20007067"/>
    <s v="Gaurav Bhandari"/>
    <s v="No"/>
    <s v="priyanka.patidar@amns.in"/>
    <s v="6378596477"/>
    <s v="1044311"/>
    <s v="Dhruv Vyas"/>
    <s v="Anil Matoo"/>
    <s v="Praveen Kuruvalli"/>
    <s v="Dhruv Vyas"/>
    <n v="0"/>
  </r>
  <r>
    <n v="6707"/>
    <n v="20059045"/>
    <s v="Navneet Kumar Jain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 Direct Tax"/>
    <m/>
    <s v="Finance &amp; Accounts"/>
    <s v="Direct - Taxation"/>
    <s v=""/>
    <s v="Non Technical Support"/>
    <s v="Finance &amp; Accounts"/>
    <s v="Taxation"/>
    <s v="73904001"/>
    <s v="Direct Taxation"/>
    <s v="Hazira"/>
    <d v="1993-09-20T00:00:00"/>
    <s v="30.00"/>
    <d v="2023-04-17T00:00:00"/>
    <d v="2051-09-30T00:00:00"/>
    <m/>
    <d v="2051-09-30T00:00:00"/>
    <n v="10237"/>
    <s v="AB+"/>
    <s v="BCom-2013 , CA Final-2015 , Diploma-2010"/>
    <s v="03.04"/>
    <s v="00.05"/>
    <s v="03.09"/>
    <s v="00052147"/>
    <s v="Direct Tax"/>
    <s v="300851"/>
    <s v="Lead  Direct Tax"/>
    <s v="Hazira"/>
    <s v="0090000033"/>
    <s v=""/>
    <s v="2000HWO"/>
    <s v="20055494"/>
    <s v="Vikas Soni"/>
    <s v="No"/>
    <s v="navneet.jain7@amns.in"/>
    <s v="7737397279"/>
    <s v="1044986"/>
    <s v="Dhruv Vyas"/>
    <s v="Anil Matoo"/>
    <s v="Praveen Kuruvalli"/>
    <s v="Dhruv Vyas"/>
    <n v="0"/>
  </r>
  <r>
    <n v="6716"/>
    <n v="20059054"/>
    <s v="Rohan Sarin"/>
    <s v="AM/NS India"/>
    <s v="Onroll"/>
    <s v="M-6"/>
    <n v="6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s v=""/>
    <s v=""/>
    <s v="Non Technical Support"/>
    <s v="Corporate Relations"/>
    <s v="Corporate Affairs"/>
    <s v="74501001"/>
    <s v="Corporate Affairs"/>
    <s v="Delhi"/>
    <d v="1985-11-16T00:00:00"/>
    <s v="37.10"/>
    <d v="2023-04-17T00:00:00"/>
    <d v="2043-11-30T00:00:00"/>
    <m/>
    <d v="2043-11-30T00:00:00"/>
    <n v="7376"/>
    <s v="B+"/>
    <s v="MBA-2008 , BA-2006 , Intermediate-2003 ,"/>
    <s v="11.08"/>
    <s v="00.05"/>
    <s v="12.01"/>
    <s v="70494938"/>
    <s v="Corporate Affairs"/>
    <s v="307007"/>
    <s v="Lead Corporate Affairs"/>
    <s v="Corporate"/>
    <s v="0090000021"/>
    <s v=""/>
    <s v="2000CRG"/>
    <s v="20057928"/>
    <s v="Manu Kapoor"/>
    <s v="No"/>
    <s v="rohan.sarin@amns.in"/>
    <s v="9999293221"/>
    <s v="1045153"/>
    <s v="Dhruv Vyas"/>
    <s v="Anil Matoo"/>
    <s v="Praveen Kuruvalli"/>
    <s v="Dhruv Vyas"/>
    <n v="0"/>
  </r>
  <r>
    <n v="6717"/>
    <n v="20059055"/>
    <s v="Shailaja Rai"/>
    <s v="AM/NS India"/>
    <s v="Onroll"/>
    <s v="M-8"/>
    <n v="8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Lead Talent Acquisition Campus Relations"/>
    <m/>
    <s v="Human Resources"/>
    <s v=""/>
    <s v=""/>
    <s v="Non Technical Support"/>
    <s v="Human Resources Management"/>
    <s v="Human Resources Management"/>
    <s v="73501001"/>
    <s v="Human Resources"/>
    <s v="Mumbai"/>
    <d v="1994-06-23T00:00:00"/>
    <s v="29.02"/>
    <d v="2023-04-17T00:00:00"/>
    <d v="2052-06-30T00:00:00"/>
    <m/>
    <d v="2052-06-30T00:00:00"/>
    <n v="10511"/>
    <s v="O+"/>
    <s v="MBA-2021 , BTech-2016"/>
    <s v="02.01"/>
    <s v="00.05"/>
    <s v="02.06"/>
    <s v="70242278"/>
    <s v="People Strategy &amp; HR Center Excellence"/>
    <s v="301566"/>
    <s v="Sr Lead Campus Relations"/>
    <s v="Hazira"/>
    <s v="0031950061"/>
    <s v=""/>
    <s v="2000CRG"/>
    <s v="20055483"/>
    <s v="Praveen Kuruvalli"/>
    <s v="No"/>
    <s v="shailaja.rai@amns.in"/>
    <s v="7043693058"/>
    <s v="1045163"/>
    <s v="Dhruv Vyas"/>
    <s v="Anil Matoo"/>
    <s v="Praveen Kuruvalli"/>
    <s v="Dhruv Vyas"/>
    <n v="0"/>
  </r>
  <r>
    <n v="6721"/>
    <n v="20059059"/>
    <s v="Rajendra Mukhekar"/>
    <s v="AM/NS Shipping &amp; Logistics"/>
    <s v="Onroll"/>
    <s v="M-8"/>
    <n v="8"/>
    <m/>
    <s v="JM"/>
    <s v="M"/>
    <s v="Hazira"/>
    <n v="1"/>
    <s v="7209"/>
    <x v="18"/>
    <s v="33.01"/>
    <s v="Hrishikesh Kamat"/>
    <s v="Hrishikesh Kamat"/>
    <n v="7"/>
    <s v="Procurement"/>
    <s v="Shipping &amp; Chartering"/>
    <s v="33"/>
    <s v="Lead Shipping &amp; Chartering"/>
    <m/>
    <s v="Shipping &amp; Charterin"/>
    <s v=""/>
    <s v=""/>
    <s v="Tech. Support Services"/>
    <s v="Operations"/>
    <s v="Operations"/>
    <s v="72103001"/>
    <s v="Operations"/>
    <s v="Hazira"/>
    <d v="1985-07-13T00:00:00"/>
    <s v="38.02"/>
    <d v="2023-04-01T00:00:00"/>
    <d v="2043-07-31T00:00:00"/>
    <m/>
    <d v="2043-07-31T00:00:00"/>
    <n v="7254"/>
    <s v="O+"/>
    <s v="BCom-2007 , Intermediate-2003 , Intermed"/>
    <s v="04.06"/>
    <s v="00.05"/>
    <s v="04.11"/>
    <s v="00051618"/>
    <s v="Shipping and Chartering"/>
    <s v="307281"/>
    <s v="Lead Shipping &amp; Chartering"/>
    <s v="AMNSSL"/>
    <s v="0000700001"/>
    <s v="SHIP-COMMON"/>
    <s v="2000HWO"/>
    <s v="20056845"/>
    <s v="Manoj Kumar"/>
    <s v="No"/>
    <s v="rajendra.mukherkar@amns.in"/>
    <s v="9909902661"/>
    <s v="798210"/>
    <s v="Dhruv Vyas"/>
    <s v="Anil Matoo"/>
    <s v="Praveen Kuruvalli"/>
    <s v="Dhruv Vyas"/>
    <n v="0"/>
  </r>
  <r>
    <n v="6724"/>
    <n v="20059062"/>
    <s v="Ankita Vyas"/>
    <s v="AM/NS India"/>
    <s v="Onroll"/>
    <s v="M-10"/>
    <n v="10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Analyst - Financial Concurrence"/>
    <m/>
    <s v="Finance &amp; Accounts"/>
    <s v="Internal Control &amp; SOX"/>
    <s v="Finance &amp; Accounts"/>
    <s v="Non Technical Support"/>
    <s v=""/>
    <s v=""/>
    <s v=""/>
    <s v=""/>
    <s v="Hazira"/>
    <d v="1989-11-04T00:00:00"/>
    <s v="33.10"/>
    <d v="2023-04-01T00:00:00"/>
    <d v="2047-11-30T00:00:00"/>
    <m/>
    <d v="2047-11-30T00:00:00"/>
    <n v="8837"/>
    <s v="A+"/>
    <s v="Diploma-2019 , BSc-2010 , Intermediate-2"/>
    <s v="04.01"/>
    <s v="00.05"/>
    <s v="04.06"/>
    <s v="00049304"/>
    <s v="PM - Internal Control"/>
    <s v="70486549"/>
    <s v="Analyst - Financial Concurrence"/>
    <s v="Hazira"/>
    <s v="0031950043"/>
    <s v="HZ-Performance Manag"/>
    <s v="2000HWO"/>
    <s v="20006833"/>
    <s v="Hardik Vasavada"/>
    <s v="No"/>
    <s v="ankita.vyas@amns.in"/>
    <s v="9462527772"/>
    <s v="25351"/>
    <s v="Dhruv Vyas"/>
    <s v="Anil Matoo"/>
    <s v="Praveen Kuruvalli"/>
    <s v="Dhruv Vyas"/>
    <n v="0"/>
  </r>
  <r>
    <n v="6725"/>
    <n v="20059063"/>
    <s v="Macarious M Joachim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87-03-10T00:00:00"/>
    <s v="36.06"/>
    <d v="2023-04-19T00:00:00"/>
    <d v="2045-03-31T00:00:00"/>
    <m/>
    <d v="2045-03-31T00:00:00"/>
    <n v="7863"/>
    <s v="A+"/>
    <s v="MTech-2014 , BTech-2008 , Intermediate-2"/>
    <s v="13.03"/>
    <s v="00.05"/>
    <s v="13.08"/>
    <s v="00052460"/>
    <s v="Auto &amp; YG"/>
    <s v="305326"/>
    <s v="Resident Engineer"/>
    <s v="Corporate"/>
    <s v="0031950057"/>
    <s v=""/>
    <s v="2000HWO"/>
    <s v="20056155"/>
    <s v="Kondapalli Venkateswarlu"/>
    <s v="No"/>
    <s v="macarious.joachim@amns.in"/>
    <s v="8095402625"/>
    <s v="1045842"/>
    <s v="Dhruv Vyas"/>
    <s v="Anil Matoo"/>
    <s v="Praveen Kuruvalli"/>
    <s v="Dhruv Vyas"/>
    <n v="0"/>
  </r>
  <r>
    <n v="6728"/>
    <n v="20059066"/>
    <s v="Pankaj Kaushik"/>
    <s v="AM/NS India"/>
    <s v="Onroll"/>
    <s v="M-6"/>
    <n v="6"/>
    <m/>
    <s v="MM"/>
    <s v="M"/>
    <s v="Corporate"/>
    <n v="7"/>
    <s v="2015"/>
    <x v="1"/>
    <s v="22.06"/>
    <s v="Praveen Kuruvalli"/>
    <s v="Ashutosh Telang"/>
    <n v="6"/>
    <s v="HR &amp; Administration"/>
    <s v="Human Resources"/>
    <s v="22"/>
    <s v="Sr. Lead HRIS &amp; Digitization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Mumbai"/>
    <d v="1977-08-04T00:00:00"/>
    <s v="46.01"/>
    <d v="2023-04-27T00:00:00"/>
    <d v="2035-08-31T00:00:00"/>
    <m/>
    <d v="2035-08-31T00:00:00"/>
    <n v="4363"/>
    <s v=""/>
    <s v="MBA-2014 , MCA-2008"/>
    <s v="22.05"/>
    <s v="00.04"/>
    <s v="22.10"/>
    <s v="00052538"/>
    <s v="HR Technology"/>
    <s v="308081"/>
    <s v="Sr. Lead HRIS &amp; Digitization"/>
    <s v="Corporate"/>
    <s v="0031950061"/>
    <s v=""/>
    <s v="2000CRG"/>
    <s v="20055483"/>
    <s v="Praveen Kuruvalli"/>
    <s v="No"/>
    <s v="pankaj.kaushik3@amns.in"/>
    <s v="9004476301"/>
    <s v="1047088"/>
    <s v="Dhruv Vyas"/>
    <s v="Anil Matoo"/>
    <s v="Praveen Kuruvalli"/>
    <s v="Dhruv Vyas"/>
    <n v="0"/>
  </r>
  <r>
    <n v="6737"/>
    <n v="20059075"/>
    <s v="Hardikkumar Patel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– Internal Control &amp; SOX"/>
    <m/>
    <m/>
    <m/>
    <m/>
    <s v="Non Technical Support"/>
    <s v=""/>
    <s v=""/>
    <s v=""/>
    <s v=""/>
    <s v="Hazira"/>
    <d v="1996-06-08T00:00:00"/>
    <s v="27.03"/>
    <d v="2023-05-01T00:00:00"/>
    <d v="2054-06-30T00:00:00"/>
    <m/>
    <d v="2054-06-30T00:00:00"/>
    <n v="11241"/>
    <s v="O+"/>
    <s v="MBA-2020 , BE-2017 , Intermediate-2011"/>
    <s v="03.03"/>
    <s v="00.04"/>
    <s v="03.08"/>
    <s v="00051504"/>
    <s v="Internal Control &amp; SOX"/>
    <s v="70495285"/>
    <s v="Officer – Internal Control &amp; SOX"/>
    <s v="Hazira"/>
    <s v="0031950043"/>
    <s v=""/>
    <s v="2000HWO"/>
    <s v="20056387"/>
    <s v="Vikal Goyal"/>
    <s v="No"/>
    <s v="hardik.patel3@amns.in"/>
    <s v="9427184518"/>
    <s v="1047187"/>
    <s v="Dhruv Vyas"/>
    <s v="Anil Matoo"/>
    <s v="Praveen Kuruvalli"/>
    <s v="Dhruv Vyas"/>
    <n v="0"/>
  </r>
  <r>
    <n v="6738"/>
    <n v="20059076"/>
    <s v="Ravish Doshi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Performance Management"/>
    <m/>
    <m/>
    <m/>
    <m/>
    <s v="Non Technical Support"/>
    <s v=""/>
    <s v=""/>
    <s v=""/>
    <s v=""/>
    <s v="Hazira"/>
    <d v="1982-08-24T00:00:00"/>
    <s v="41.00"/>
    <d v="2023-05-01T00:00:00"/>
    <d v="2040-08-31T00:00:00"/>
    <m/>
    <d v="2040-08-31T00:00:00"/>
    <n v="6190"/>
    <s v="B+"/>
    <s v="PG Diploma in Management-2018 , ICWA Fin"/>
    <s v="04.02"/>
    <s v="00.04"/>
    <s v="04.07"/>
    <s v="00045310"/>
    <s v="Performance Management"/>
    <s v="264181"/>
    <s v="Sr. Lead - Performance Management"/>
    <s v="Hazira"/>
    <s v="0031950043"/>
    <s v="HZ-Performance Manag"/>
    <s v="2000HWO"/>
    <s v="20003280"/>
    <s v="Chetan Jansari"/>
    <s v="No"/>
    <s v="ravish.doshi@amns.in"/>
    <s v="9687639785"/>
    <s v="1047188"/>
    <s v="Dhruv Vyas"/>
    <s v="Anil Matoo"/>
    <s v="Praveen Kuruvalli"/>
    <s v="Dhruv Vyas"/>
    <n v="0"/>
  </r>
  <r>
    <n v="6756"/>
    <n v="20059097"/>
    <s v="Gowtham D"/>
    <s v="AM/NS India"/>
    <s v="Onroll"/>
    <s v="M-8"/>
    <n v="8"/>
    <m/>
    <s v="JM"/>
    <s v="M"/>
    <s v="Corporate"/>
    <n v="7"/>
    <s v="2039"/>
    <x v="2"/>
    <s v="43.01"/>
    <s v="Sangeeta Munjal"/>
    <s v="Manu Kapoor"/>
    <n v="10"/>
    <s v="Corporate Affairs"/>
    <s v="Corporate Affairs"/>
    <s v="43"/>
    <s v="Executive Assistant"/>
    <m/>
    <s v="Corporate Affairs"/>
    <m/>
    <m/>
    <s v="Non Technical Support"/>
    <s v="Corporate Relations"/>
    <s v="Corporate Affairs"/>
    <s v="74501001"/>
    <s v="Corporate Affairs"/>
    <s v="Delhi"/>
    <d v="1993-08-20T00:00:00"/>
    <s v="30.00"/>
    <d v="2023-05-08T00:00:00"/>
    <d v="2051-08-31T00:00:00"/>
    <m/>
    <d v="2051-08-31T00:00:00"/>
    <n v="10207"/>
    <s v="A+"/>
    <s v="BE-2015"/>
    <s v="03.03"/>
    <s v="00.04"/>
    <s v="03.07"/>
    <s v="70494938"/>
    <s v="Corporate Affairs"/>
    <s v="308627"/>
    <s v="Executive Assistant"/>
    <s v="Corporate"/>
    <s v="0090000021"/>
    <s v="Corporate Affairs"/>
    <s v="2000CS"/>
    <s v="20057928"/>
    <s v="Manu Kapoor"/>
    <s v="No"/>
    <s v="gawtham.md@amns.in"/>
    <s v="8296587095"/>
    <s v="1048648"/>
    <s v="Dhruv Vyas"/>
    <s v="Anil Matoo"/>
    <s v="Praveen Kuruvalli"/>
    <s v="Dhruv Vyas"/>
    <n v="0"/>
  </r>
  <r>
    <n v="6757"/>
    <n v="20059098"/>
    <s v="Utsav Soni"/>
    <s v="AM/NS India"/>
    <s v="Onroll"/>
    <s v="M-7"/>
    <n v="7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– Direct Taxation"/>
    <m/>
    <m/>
    <m/>
    <m/>
    <s v="Non Technical Support"/>
    <s v=""/>
    <s v=""/>
    <s v=""/>
    <s v=""/>
    <s v="Mumbai"/>
    <d v="1994-02-20T00:00:00"/>
    <s v="29.06"/>
    <d v="2023-05-10T00:00:00"/>
    <d v="2052-02-29T00:00:00"/>
    <m/>
    <d v="2052-02-29T00:00:00"/>
    <n v="10389"/>
    <s v="B+"/>
    <s v="BCom-2016"/>
    <s v="04.07"/>
    <s v="00.04"/>
    <s v="04.11"/>
    <s v="00047291"/>
    <s v="Taxation"/>
    <s v="70494600"/>
    <s v="Lead– Direct Taxation"/>
    <s v="Corporate"/>
    <s v="0090000033"/>
    <s v="Corporate Taxation"/>
    <s v="2000CS"/>
    <s v="20056108"/>
    <s v="Farhan Mehboob Virani"/>
    <s v="No"/>
    <s v="utsav.soni1@amns.in"/>
    <s v="7709599965"/>
    <s v="1048832"/>
    <s v="Dhruv Vyas"/>
    <s v="Anil Matoo"/>
    <s v="Praveen Kuruvalli"/>
    <s v="Dhruv Vyas"/>
    <n v="0"/>
  </r>
  <r>
    <n v="6758"/>
    <n v="20059099"/>
    <s v="Ashutosh Barve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m/>
    <s v="Non Technical Support"/>
    <s v=""/>
    <s v=""/>
    <s v=""/>
    <s v=""/>
    <s v="Pune"/>
    <d v="1985-02-17T00:00:00"/>
    <s v="38.07"/>
    <d v="2023-05-10T00:00:00"/>
    <d v="2043-02-28T00:00:00"/>
    <m/>
    <d v="2043-02-28T00:00:00"/>
    <n v="7101"/>
    <s v="AB+"/>
    <s v="MTech-2012 , BE-2008 , Intermediate-2003"/>
    <s v="12.05"/>
    <s v="00.04"/>
    <s v="12.09"/>
    <s v="00052460"/>
    <s v="Auto &amp; YG"/>
    <s v="305324"/>
    <s v="Resident Engineer"/>
    <s v="Hazira"/>
    <s v="0031950057"/>
    <s v="HZ-HRC - Marketing"/>
    <s v="2000HWO"/>
    <s v="20056155"/>
    <s v="Kondapalli Venkateswarlu"/>
    <s v="No"/>
    <s v="ashutosh.barve1@amns.in"/>
    <s v="8160941350"/>
    <s v="1048842"/>
    <s v="Dhruv Vyas"/>
    <s v="Anil Matoo"/>
    <s v="Praveen Kuruvalli"/>
    <s v="Dhruv Vyas"/>
    <n v="0"/>
  </r>
  <r>
    <n v="6773"/>
    <n v="20059114"/>
    <s v="Akshat Gogia"/>
    <s v="AM/NS India"/>
    <s v="Onroll"/>
    <s v="M-7"/>
    <n v="7"/>
    <m/>
    <s v="MM"/>
    <s v="M"/>
    <s v="Corporate"/>
    <n v="1"/>
    <s v="2060"/>
    <x v="24"/>
    <s v="39.01"/>
    <s v="Sanjay Sharma"/>
    <s v="Sanjay Sharma"/>
    <n v="8"/>
    <s v="Business Development"/>
    <s v="Business Development"/>
    <s v="39"/>
    <s v="Ananlyst - Business Development"/>
    <m/>
    <s v="Business Development"/>
    <m/>
    <m/>
    <s v="Non Technical Support"/>
    <s v="Sales &amp; Marketing"/>
    <s v="Business Development"/>
    <s v="73103001"/>
    <s v="Business Development"/>
    <s v="Mumbai"/>
    <d v="1994-02-19T00:00:00"/>
    <s v="29.06"/>
    <d v="2023-05-15T00:00:00"/>
    <d v="2052-02-29T00:00:00"/>
    <m/>
    <d v="2052-02-29T00:00:00"/>
    <n v="10389"/>
    <s v="B-"/>
    <s v="PG Diploma in Management-2023 , BTech-20"/>
    <s v="05.09"/>
    <s v="00.04"/>
    <s v="06.00"/>
    <s v="00049729"/>
    <s v="Business Development - M&amp;A"/>
    <s v="300834"/>
    <s v="Lead Business Development"/>
    <s v="Corporate"/>
    <s v="0090000032"/>
    <s v="Business Devpelopmen"/>
    <s v="2000HWO"/>
    <s v="20055182"/>
    <s v="Neha Soni"/>
    <s v="No"/>
    <s v="akshat.gogia@amns.in"/>
    <s v="9534071376"/>
    <s v="1049769"/>
    <s v="Dhruv Vyas"/>
    <s v="Anil Matoo"/>
    <s v="Praveen Kuruvalli"/>
    <s v="Dhruv Vyas"/>
    <n v="0"/>
  </r>
  <r>
    <n v="6774"/>
    <n v="20059115"/>
    <s v="Navneet Kothari"/>
    <s v="AM/NS India"/>
    <s v="Onroll"/>
    <s v="M-7"/>
    <n v="7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Strategic Finance"/>
    <m/>
    <m/>
    <m/>
    <m/>
    <s v="Non Technical Support"/>
    <s v="Finance &amp; Accounts"/>
    <s v="Corporate Finance"/>
    <s v="73902001"/>
    <s v="Corporate Finance"/>
    <s v="Mumbai"/>
    <d v="1997-10-06T00:00:00"/>
    <s v="25.11"/>
    <d v="2023-05-15T00:00:00"/>
    <d v="2055-10-31T00:00:00"/>
    <m/>
    <d v="2055-10-31T00:00:00"/>
    <n v="11729"/>
    <s v="B+"/>
    <s v="PG Diploma in Management-2023"/>
    <s v="01.00"/>
    <s v="00.04"/>
    <s v="01.04"/>
    <s v="70494717"/>
    <s v="Treasury &amp; Finance"/>
    <s v="309190"/>
    <s v="Lead Strategic Finance"/>
    <s v="Corporate"/>
    <s v="0090000028"/>
    <s v="Corporate Steel - Wo"/>
    <s v="2000CRG"/>
    <s v="20000870"/>
    <s v="Balajee M"/>
    <s v="No"/>
    <s v="navneet.kothari@amns.in"/>
    <s v="9609823342"/>
    <s v="1049782"/>
    <s v="Dhruv Vyas"/>
    <s v="Anil Matoo"/>
    <s v="Praveen Kuruvalli"/>
    <s v="Dhruv Vyas"/>
    <n v="0"/>
  </r>
  <r>
    <n v="6800"/>
    <n v="20059143"/>
    <s v="Abhishek Shrivastava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0-08-16T00:00:00"/>
    <s v="43.01"/>
    <d v="2019-07-23T00:00:00"/>
    <d v="2038-08-31T00:00:00"/>
    <m/>
    <d v="2038-08-31T00:00:00"/>
    <n v="5459"/>
    <s v=""/>
    <s v=""/>
    <s v=""/>
    <s v="04.01"/>
    <s v="04.01"/>
    <s v="00052038"/>
    <s v="Gandhidham Operations"/>
    <s v="309853"/>
    <s v="New Acquisiiton"/>
    <s v="AMNS Gandhidham"/>
    <s v=""/>
    <s v=""/>
    <s v="2313BHIM"/>
    <s v="20059392"/>
    <s v="Rajendra Gupta"/>
    <s v="No"/>
    <s v="abhishek.shrivastava@amns.in"/>
    <s v=""/>
    <s v="1053901"/>
    <s v="Manjit Shah"/>
    <s v="Anil Matoo"/>
    <s v="-"/>
    <s v="Manjit Shah"/>
    <s v="-"/>
  </r>
  <r>
    <n v="6801"/>
    <n v="20059144"/>
    <s v="Kamlesh Khoche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69-07-22T00:00:00"/>
    <s v="54.01"/>
    <d v="2014-04-01T00:00:00"/>
    <d v="2027-07-31T00:00:00"/>
    <m/>
    <d v="2027-07-31T00:00:00"/>
    <n v="1410"/>
    <s v=""/>
    <s v=""/>
    <s v=""/>
    <s v="09.05"/>
    <s v="09.05"/>
    <s v="00052038"/>
    <s v="Gandhidham Operations"/>
    <s v="309928"/>
    <s v="New Acquisiiton"/>
    <s v="AMNS Gandhidham"/>
    <s v=""/>
    <s v=""/>
    <s v="2313BHIM"/>
    <s v="20059392"/>
    <s v="Rajendra Gupta"/>
    <s v="No"/>
    <s v="kamlesh.khoche@amns.in"/>
    <s v=""/>
    <s v="1053903"/>
    <s v="Manjit Shah"/>
    <s v="Anil Matoo"/>
    <s v="-"/>
    <s v="Manjit Shah"/>
    <s v="-"/>
  </r>
  <r>
    <n v="6802"/>
    <n v="20059145"/>
    <s v="Shiv Soni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8-11-12T00:00:00"/>
    <s v="34.10"/>
    <d v="2017-08-01T00:00:00"/>
    <d v="2046-11-30T00:00:00"/>
    <m/>
    <d v="2046-11-30T00:00:00"/>
    <n v="8472"/>
    <s v=""/>
    <s v=""/>
    <s v=""/>
    <s v="06.01"/>
    <s v="06.01"/>
    <s v="00052038"/>
    <s v="Gandhidham Operations"/>
    <s v="309951"/>
    <s v="New Acquisiiton"/>
    <s v="AMNS Gandhidham"/>
    <s v=""/>
    <s v=""/>
    <s v="2313BHIM"/>
    <s v="20059392"/>
    <s v="Rajendra Gupta"/>
    <s v="No"/>
    <s v="shiv.soni4@amns.in"/>
    <s v=""/>
    <s v="1053906"/>
    <s v="Manjit Shah"/>
    <s v="Anil Matoo"/>
    <s v="-"/>
    <s v="Manjit Shah"/>
    <s v="-"/>
  </r>
  <r>
    <n v="6803"/>
    <n v="20059146"/>
    <s v="Ramesh Yadav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3-01-10T00:00:00"/>
    <s v="40.08"/>
    <d v="2021-04-01T00:00:00"/>
    <d v="2041-01-31T00:00:00"/>
    <m/>
    <d v="2041-01-31T00:00:00"/>
    <n v="6343"/>
    <s v=""/>
    <s v=""/>
    <s v=""/>
    <s v="02.05"/>
    <s v="02.05"/>
    <s v="00052038"/>
    <s v="Gandhidham Operations"/>
    <s v="310099"/>
    <s v="New Acquisiiton"/>
    <s v="AMNS Gandhidham"/>
    <s v=""/>
    <s v=""/>
    <s v="2313BHIM"/>
    <s v="20059392"/>
    <s v="Rajendra Gupta"/>
    <s v="No"/>
    <s v="ramesh.yadav@amns.in"/>
    <s v=""/>
    <s v="1053907"/>
    <s v="Manjit Shah"/>
    <s v="Anil Matoo"/>
    <s v="-"/>
    <s v="Manjit Shah"/>
    <s v="-"/>
  </r>
  <r>
    <n v="6804"/>
    <n v="20059147"/>
    <s v="Vikas Lata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9-09-01T00:00:00"/>
    <s v="34.00"/>
    <d v="2021-04-01T00:00:00"/>
    <d v="2047-08-31T00:00:00"/>
    <m/>
    <d v="2047-08-31T00:00:00"/>
    <n v="8746"/>
    <s v=""/>
    <s v=""/>
    <s v=""/>
    <s v="02.05"/>
    <s v="02.05"/>
    <s v="00052038"/>
    <s v="Gandhidham Operations"/>
    <s v="310108"/>
    <s v="New Acquisiiton"/>
    <s v="AMNS Gandhidham"/>
    <s v=""/>
    <s v=""/>
    <s v="2313BHIM"/>
    <s v="20059392"/>
    <s v="Rajendra Gupta"/>
    <s v="No"/>
    <s v="vikas.lata@amns.in"/>
    <s v=""/>
    <s v="1053947"/>
    <s v="Manjit Shah"/>
    <s v="Anil Matoo"/>
    <s v="-"/>
    <s v="Manjit Shah"/>
    <s v="-"/>
  </r>
  <r>
    <n v="6805"/>
    <n v="20059148"/>
    <s v="Deepak Bakshi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Indore"/>
    <d v="1981-10-14T00:00:00"/>
    <s v="41.11"/>
    <d v="2012-01-11T00:00:00"/>
    <d v="2039-10-31T00:00:00"/>
    <m/>
    <d v="2039-10-31T00:00:00"/>
    <n v="5885"/>
    <s v=""/>
    <s v=""/>
    <s v=""/>
    <s v="11.08"/>
    <s v="11.08"/>
    <s v="00052038"/>
    <s v="Gandhidham Operations"/>
    <s v="310109"/>
    <s v="New Acquisiiton"/>
    <s v="AMNS Gandhidham"/>
    <s v=""/>
    <s v=""/>
    <s v="2313INDO"/>
    <s v="20059392"/>
    <s v="Rajendra Gupta"/>
    <s v="No"/>
    <s v="deepak.bakshi1@amns.in"/>
    <s v=""/>
    <s v="1053948"/>
    <s v="Manjit Shah"/>
    <s v="Anil Matoo"/>
    <s v="-"/>
    <s v="Manjit Shah"/>
    <s v="-"/>
  </r>
  <r>
    <n v="6991"/>
    <n v="20059334"/>
    <s v="Ashish Khandelw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80-11-14T00:00:00"/>
    <s v="42.10"/>
    <d v="2020-08-17T00:00:00"/>
    <d v="2038-11-30T00:00:00"/>
    <m/>
    <d v="2038-11-30T00:00:00"/>
    <n v="5550"/>
    <s v=""/>
    <s v=""/>
    <s v=""/>
    <s v="03.01"/>
    <s v="03.01"/>
    <s v="00052420"/>
    <s v="Finance &amp; Accounts"/>
    <s v="309826"/>
    <s v="New Acquisiiton"/>
    <s v="AMNS Gandhidham"/>
    <s v=""/>
    <s v=""/>
    <s v="2309INDO"/>
    <s v="20059338"/>
    <s v="Manish Patidar"/>
    <s v="No"/>
    <s v="ashish.khandelwal1@amns.in"/>
    <s v=""/>
    <s v="1054463"/>
    <s v="Manjit Shah"/>
    <s v="Anil Matoo"/>
    <s v="-"/>
    <s v="Manjit Shah"/>
    <s v="-"/>
  </r>
  <r>
    <n v="6992"/>
    <n v="20059335"/>
    <s v="Manoj Choudhary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8-12-20T00:00:00"/>
    <s v="44.09"/>
    <d v="2017-06-20T00:00:00"/>
    <d v="2036-12-31T00:00:00"/>
    <m/>
    <d v="2036-12-31T00:00:00"/>
    <n v="4851"/>
    <s v=""/>
    <s v=""/>
    <s v=""/>
    <s v="06.03"/>
    <s v="06.03"/>
    <s v="00052420"/>
    <s v="Finance &amp; Accounts"/>
    <s v="309828"/>
    <s v="New Acquisiiton"/>
    <s v="AMNS Gandhidham"/>
    <s v=""/>
    <s v=""/>
    <s v="2309INDO"/>
    <s v="20059338"/>
    <s v="Manish Patidar"/>
    <s v="No"/>
    <s v="manoj.choudhary2@amns.in"/>
    <s v=""/>
    <s v="1054465"/>
    <s v="Manjit Shah"/>
    <s v="Anil Matoo"/>
    <s v="-"/>
    <s v="Manjit Shah"/>
    <s v="-"/>
  </r>
  <r>
    <n v="6993"/>
    <n v="20059336"/>
    <s v="Jitendra Tiwar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1-02-05T00:00:00"/>
    <s v="52.07"/>
    <d v="2008-02-01T00:00:00"/>
    <d v="2029-02-28T00:00:00"/>
    <m/>
    <d v="2029-02-28T00:00:00"/>
    <n v="1988"/>
    <s v=""/>
    <s v=""/>
    <s v=""/>
    <s v="15.07"/>
    <s v="15.07"/>
    <s v="00052420"/>
    <s v="Finance &amp; Accounts"/>
    <s v="309832"/>
    <s v="New Acquisiiton"/>
    <s v="AMNS Gandhidham"/>
    <s v=""/>
    <s v=""/>
    <s v="2309BHIM"/>
    <s v="20059338"/>
    <s v="Manish Patidar"/>
    <s v="No"/>
    <s v="jitendrakumar.tiwari@amns.in"/>
    <s v=""/>
    <s v="1054631"/>
    <s v="Manjit Shah"/>
    <s v="Anil Matoo"/>
    <s v="-"/>
    <s v="Manjit Shah"/>
    <s v="-"/>
  </r>
  <r>
    <n v="6994"/>
    <n v="20059337"/>
    <s v="Manish Parik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Mumbai"/>
    <d v="1974-07-07T00:00:00"/>
    <s v="49.02"/>
    <d v="2018-01-07T00:00:00"/>
    <d v="2032-07-31T00:00:00"/>
    <m/>
    <d v="2032-07-31T00:00:00"/>
    <n v="3237"/>
    <s v=""/>
    <s v=""/>
    <s v=""/>
    <s v="05.08"/>
    <s v="05.08"/>
    <s v="00052038"/>
    <s v="Gandhidham Operations"/>
    <s v="309838"/>
    <s v="New Acquisiiton"/>
    <s v="AMNS Gandhidham"/>
    <s v=""/>
    <s v=""/>
    <s v="2309MUMB"/>
    <s v="20059392"/>
    <s v="Rajendra Gupta"/>
    <s v="No"/>
    <s v="manish.parikh1@amns.in"/>
    <s v=""/>
    <s v="1054467"/>
    <s v="Manjit Shah"/>
    <s v="Anil Matoo"/>
    <s v="-"/>
    <s v="Manjit Shah"/>
    <s v="-"/>
  </r>
  <r>
    <n v="6995"/>
    <n v="20059338"/>
    <s v="Manish Patidar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84-12-08T00:00:00"/>
    <s v="38.09"/>
    <d v="2010-06-28T00:00:00"/>
    <d v="2042-12-31T00:00:00"/>
    <m/>
    <d v="2042-12-31T00:00:00"/>
    <n v="7042"/>
    <s v=""/>
    <s v=""/>
    <s v=""/>
    <s v="13.02"/>
    <s v="13.02"/>
    <s v="00052420"/>
    <s v="Finance &amp; Accounts"/>
    <s v="309839"/>
    <s v="New Acquisiiton"/>
    <s v="AMNS Gandhidham"/>
    <s v=""/>
    <s v=""/>
    <s v="2309INDO"/>
    <s v="20055188"/>
    <s v="Rohit Sharma"/>
    <s v="No"/>
    <s v="manish.patidar1@amns.in"/>
    <s v=""/>
    <s v="1054468"/>
    <s v="Manjit Shah"/>
    <s v="Anil Matoo"/>
    <s v="-"/>
    <s v="Manjit Shah"/>
    <s v="-"/>
  </r>
  <r>
    <n v="6996"/>
    <n v="20059339"/>
    <s v="Rajeev Sing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6-03-30T00:00:00"/>
    <s v="47.05"/>
    <d v="2019-01-22T00:00:00"/>
    <d v="2034-03-31T00:00:00"/>
    <m/>
    <d v="2034-03-31T00:00:00"/>
    <n v="3845"/>
    <s v=""/>
    <s v=""/>
    <s v=""/>
    <s v="04.07"/>
    <s v="04.07"/>
    <s v="00052038"/>
    <s v="Gandhidham Operations"/>
    <s v="309867"/>
    <s v="New Acquisiiton"/>
    <s v="AMNS Gandhidham"/>
    <s v=""/>
    <s v=""/>
    <s v="2309INDO"/>
    <s v="20059338"/>
    <s v="Manish Patidar"/>
    <s v="No"/>
    <s v="rajeev.singh27@amns.in"/>
    <s v=""/>
    <s v="1054471"/>
    <s v="Manjit Shah"/>
    <s v="Anil Matoo"/>
    <s v="-"/>
    <s v="Manjit Shah"/>
    <s v="-"/>
  </r>
  <r>
    <n v="6997"/>
    <n v="20059340"/>
    <s v="Prasant Singh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90-07-19T00:00:00"/>
    <s v="33.02"/>
    <d v="2023-01-11T00:00:00"/>
    <d v="2048-07-31T00:00:00"/>
    <m/>
    <d v="2048-07-31T00:00:00"/>
    <n v="9081"/>
    <s v=""/>
    <s v=""/>
    <s v=""/>
    <s v="00.08"/>
    <s v="00.08"/>
    <s v="00052038"/>
    <s v="Gandhidham Operations"/>
    <s v="309877"/>
    <s v="New Acquisiiton"/>
    <s v="AMNS Gandhidham"/>
    <s v=""/>
    <s v=""/>
    <s v="2309BHIM"/>
    <s v="20059392"/>
    <s v="Rajendra Gupta"/>
    <s v="No"/>
    <s v="prasant.singhal@amns.in"/>
    <s v=""/>
    <s v="1054632"/>
    <s v="Manjit Shah"/>
    <s v="Anil Matoo"/>
    <s v="-"/>
    <s v="Manjit Shah"/>
    <s v="-"/>
  </r>
  <r>
    <n v="6998"/>
    <n v="20059341"/>
    <s v="Shailesh Pagare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1-07-01T00:00:00"/>
    <s v="52.02"/>
    <d v="2008-09-22T00:00:00"/>
    <d v="2029-06-30T00:00:00"/>
    <m/>
    <d v="2029-06-30T00:00:00"/>
    <n v="2110"/>
    <s v=""/>
    <s v=""/>
    <s v=""/>
    <s v="14.11"/>
    <s v="14.11"/>
    <s v="00052038"/>
    <s v="Gandhidham Operations"/>
    <s v="309882"/>
    <s v="New Acquisiiton"/>
    <s v="AMNS Gandhidham"/>
    <s v=""/>
    <s v=""/>
    <s v="2309BHIM"/>
    <s v="20059392"/>
    <s v="Rajendra Gupta"/>
    <s v="No"/>
    <s v="shailesh.pagare@amns.in"/>
    <s v=""/>
    <s v="1054634"/>
    <s v="Manjit Shah"/>
    <s v="Anil Matoo"/>
    <s v="-"/>
    <s v="Manjit Shah"/>
    <s v="-"/>
  </r>
  <r>
    <n v="6999"/>
    <n v="20059342"/>
    <s v="Prem Medatw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4-08-27T00:00:00"/>
    <s v="49.00"/>
    <d v="2019-12-06T00:00:00"/>
    <d v="2032-08-31T00:00:00"/>
    <m/>
    <d v="2032-08-31T00:00:00"/>
    <n v="3268"/>
    <s v=""/>
    <s v=""/>
    <s v=""/>
    <s v="03.09"/>
    <s v="03.09"/>
    <s v="00052038"/>
    <s v="Gandhidham Operations"/>
    <s v="309889"/>
    <s v="New Acquisiiton"/>
    <s v="AMNS Gandhidham"/>
    <s v=""/>
    <s v=""/>
    <s v="2309INDO"/>
    <s v="20059392"/>
    <s v="Rajendra Gupta"/>
    <s v="No"/>
    <s v="prem.medatwal@amns.in"/>
    <s v=""/>
    <s v="1054473"/>
    <s v="Manjit Shah"/>
    <s v="Anil Matoo"/>
    <s v="-"/>
    <s v="Manjit Shah"/>
    <s v="-"/>
  </r>
  <r>
    <n v="7000"/>
    <n v="20059343"/>
    <s v="Ganesh Ja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Mumbai"/>
    <d v="1973-04-27T00:00:00"/>
    <s v="50.04"/>
    <d v="2019-01-09T00:00:00"/>
    <d v="2031-04-30T00:00:00"/>
    <m/>
    <d v="2031-04-30T00:00:00"/>
    <n v="2779"/>
    <s v=""/>
    <s v=""/>
    <s v=""/>
    <s v="04.08"/>
    <s v="04.08"/>
    <s v="00052038"/>
    <s v="Gandhidham Operations"/>
    <s v="309910"/>
    <s v="New Acquisiiton"/>
    <s v="AMNS Gandhidham"/>
    <s v=""/>
    <s v=""/>
    <s v="2309MUMB"/>
    <s v="20059392"/>
    <s v="Rajendra Gupta"/>
    <s v="No"/>
    <s v="ganesh.jain1@amns.in"/>
    <s v=""/>
    <s v="1054474"/>
    <s v="Manjit Shah"/>
    <s v="Anil Matoo"/>
    <s v="-"/>
    <s v="Manjit Shah"/>
    <s v="-"/>
  </r>
  <r>
    <n v="7001"/>
    <n v="20059344"/>
    <s v="Somesh Ja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7-07-06T00:00:00"/>
    <s v="46.02"/>
    <d v="2007-09-17T00:00:00"/>
    <d v="2035-07-31T00:00:00"/>
    <m/>
    <d v="2035-07-31T00:00:00"/>
    <n v="4332"/>
    <s v=""/>
    <s v=""/>
    <s v=""/>
    <s v="16.00"/>
    <s v="16.00"/>
    <s v="00052038"/>
    <s v="Gandhidham Operations"/>
    <s v="309912"/>
    <s v="New Acquisiiton"/>
    <s v="AMNS Gandhidham"/>
    <s v=""/>
    <s v=""/>
    <s v="2309INDO"/>
    <s v="20059392"/>
    <s v="Rajendra Gupta"/>
    <s v="No"/>
    <s v="somesh.jain14@amns.in"/>
    <s v=""/>
    <s v="1054477"/>
    <s v="Manjit Shah"/>
    <s v="Anil Matoo"/>
    <s v="-"/>
    <s v="Manjit Shah"/>
    <s v="-"/>
  </r>
  <r>
    <n v="7002"/>
    <n v="20059345"/>
    <s v="Bhaskarbhai Josh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67-12-30T00:00:00"/>
    <s v="55.08"/>
    <d v="2018-04-30T00:00:00"/>
    <d v="2025-12-31T00:00:00"/>
    <m/>
    <d v="2025-12-31T00:00:00"/>
    <n v="833"/>
    <s v=""/>
    <s v=""/>
    <s v=""/>
    <s v="05.04"/>
    <s v="05.04"/>
    <s v="00052038"/>
    <s v="Gandhidham Operations"/>
    <s v="309919"/>
    <s v="New Acquisiiton"/>
    <s v="AMNS Gandhidham"/>
    <s v=""/>
    <s v=""/>
    <s v="2309BHIM"/>
    <s v="20059392"/>
    <s v="Rajendra Gupta"/>
    <s v="No"/>
    <s v="bhaskarbhai.joshi@amns.in"/>
    <s v=""/>
    <s v="1054479"/>
    <s v="Manjit Shah"/>
    <s v="Anil Matoo"/>
    <s v="-"/>
    <s v="Manjit Shah"/>
    <s v="-"/>
  </r>
  <r>
    <n v="7003"/>
    <n v="20059346"/>
    <s v="Dinesh Pareek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9-07-15T00:00:00"/>
    <s v="44.02"/>
    <d v="2007-08-01T00:00:00"/>
    <d v="2037-07-31T00:00:00"/>
    <m/>
    <d v="2037-07-31T00:00:00"/>
    <n v="5063"/>
    <s v=""/>
    <s v=""/>
    <s v=""/>
    <s v="16.01"/>
    <s v="16.01"/>
    <s v="00052038"/>
    <s v="Gandhidham Operations"/>
    <s v="309923"/>
    <s v="New Acquisiiton"/>
    <s v="AMNS Gandhidham"/>
    <s v=""/>
    <s v=""/>
    <s v="2309BHIM"/>
    <s v="20059392"/>
    <s v="Rajendra Gupta"/>
    <s v="No"/>
    <s v="dinesh.pareek1@amns.in"/>
    <s v=""/>
    <s v="1054635"/>
    <s v="Manjit Shah"/>
    <s v="Anil Matoo"/>
    <s v="-"/>
    <s v="Manjit Shah"/>
    <s v="-"/>
  </r>
  <r>
    <n v="7004"/>
    <n v="20059347"/>
    <s v="Gaurav Bhas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8-02-08T00:00:00"/>
    <s v="45.07"/>
    <d v="2012-10-08T00:00:00"/>
    <d v="2036-02-29T00:00:00"/>
    <m/>
    <d v="2036-02-29T00:00:00"/>
    <n v="4545"/>
    <s v=""/>
    <s v=""/>
    <s v=""/>
    <s v="10.11"/>
    <s v="10.11"/>
    <s v="00052038"/>
    <s v="Gandhidham Operations"/>
    <s v="309924"/>
    <s v="New Acquisiiton"/>
    <s v="AMNS Gandhidham"/>
    <s v=""/>
    <s v=""/>
    <s v="2309BHIM"/>
    <s v="20059392"/>
    <s v="Rajendra Gupta"/>
    <s v="No"/>
    <s v="gaurav.bhasin@amns.in"/>
    <s v=""/>
    <s v="1054636"/>
    <s v="Manjit Shah"/>
    <s v="Anil Matoo"/>
    <s v="-"/>
    <s v="Manjit Shah"/>
    <s v="-"/>
  </r>
  <r>
    <n v="7005"/>
    <n v="20059348"/>
    <s v="V. Sridhar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0-05-10T00:00:00"/>
    <s v="53.04"/>
    <d v="2011-05-20T00:00:00"/>
    <d v="2028-05-31T00:00:00"/>
    <m/>
    <d v="2028-05-31T00:00:00"/>
    <n v="1715"/>
    <s v=""/>
    <s v=""/>
    <s v=""/>
    <s v="12.04"/>
    <s v="12.04"/>
    <s v="00052038"/>
    <s v="Gandhidham Operations"/>
    <s v="309958"/>
    <s v="New Acquisiiton"/>
    <s v="AMNS Gandhidham"/>
    <s v=""/>
    <s v=""/>
    <s v="2309BHIM"/>
    <s v="20059392"/>
    <s v="Rajendra Gupta"/>
    <s v="No"/>
    <s v="v.shridhar@amns.in"/>
    <s v=""/>
    <s v="1054637"/>
    <s v="Manjit Shah"/>
    <s v="Anil Matoo"/>
    <s v="-"/>
    <s v="Manjit Shah"/>
    <s v="-"/>
  </r>
  <r>
    <n v="7006"/>
    <n v="20059349"/>
    <s v="Mukesh Ja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0-05-07T00:00:00"/>
    <s v="53.04"/>
    <d v="2019-01-09T00:00:00"/>
    <d v="2028-05-31T00:00:00"/>
    <m/>
    <d v="2028-05-31T00:00:00"/>
    <n v="1715"/>
    <s v=""/>
    <s v=""/>
    <s v=""/>
    <s v="04.08"/>
    <s v="04.08"/>
    <s v="00052038"/>
    <s v="Gandhidham Operations"/>
    <s v="309964"/>
    <s v="New Acquisiiton"/>
    <s v="AMNS Gandhidham"/>
    <s v=""/>
    <s v=""/>
    <s v="2309DELH"/>
    <s v="20059392"/>
    <s v="Rajendra Gupta"/>
    <s v="No"/>
    <s v="mukesh.jain7@amns.in"/>
    <s v=""/>
    <s v="1054481"/>
    <s v="Manjit Shah"/>
    <s v="Anil Matoo"/>
    <s v="-"/>
    <s v="Manjit Shah"/>
    <s v="-"/>
  </r>
  <r>
    <n v="7007"/>
    <n v="20059350"/>
    <s v="Anil Gawde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67-05-01T00:00:00"/>
    <s v="56.04"/>
    <d v="2018-07-01T00:00:00"/>
    <d v="2025-04-30T00:00:00"/>
    <m/>
    <d v="2025-04-30T00:00:00"/>
    <n v="588"/>
    <s v=""/>
    <s v=""/>
    <s v=""/>
    <s v="05.02"/>
    <s v="05.02"/>
    <s v="00052038"/>
    <s v="Gandhidham Operations"/>
    <s v="309970"/>
    <s v="New Acquisiiton"/>
    <s v="AMNS Gandhidham"/>
    <s v=""/>
    <s v=""/>
    <s v="2309BHIM"/>
    <s v="20059392"/>
    <s v="Rajendra Gupta"/>
    <s v="No"/>
    <s v="anil.gawde@amns.in"/>
    <s v=""/>
    <s v="1054638"/>
    <s v="Manjit Shah"/>
    <s v="Anil Matoo"/>
    <s v="-"/>
    <s v="Manjit Shah"/>
    <s v="-"/>
  </r>
  <r>
    <n v="7008"/>
    <n v="20059351"/>
    <s v="Rakesh Kushwaha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9-07-01T00:00:00"/>
    <s v="44.02"/>
    <d v="2010-12-06T00:00:00"/>
    <d v="2037-06-30T00:00:00"/>
    <m/>
    <d v="2037-06-30T00:00:00"/>
    <n v="5032"/>
    <s v=""/>
    <s v=""/>
    <s v=""/>
    <s v="12.09"/>
    <s v="12.09"/>
    <s v="00052038"/>
    <s v="Gandhidham Operations"/>
    <s v="309986"/>
    <s v="New Acquisiiton"/>
    <s v="AMNS Gandhidham"/>
    <s v=""/>
    <s v=""/>
    <s v="2309BHIM"/>
    <s v="20059392"/>
    <s v="Rajendra Gupta"/>
    <s v="No"/>
    <s v="rakesh.kushwaha@amns.in"/>
    <s v=""/>
    <s v="1054482"/>
    <s v="Manjit Shah"/>
    <s v="Anil Matoo"/>
    <s v="-"/>
    <s v="Manjit Shah"/>
    <s v="-"/>
  </r>
  <r>
    <n v="7009"/>
    <n v="20059352"/>
    <s v="Ramnivas Lowansh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3-06-22T00:00:00"/>
    <s v="40.03"/>
    <d v="2019-05-01T00:00:00"/>
    <d v="2041-06-30T00:00:00"/>
    <m/>
    <d v="2041-06-30T00:00:00"/>
    <n v="6493"/>
    <s v=""/>
    <s v=""/>
    <s v=""/>
    <s v="04.04"/>
    <s v="04.04"/>
    <s v="00052038"/>
    <s v="Gandhidham Operations"/>
    <s v="310048"/>
    <s v="New Acquisiiton"/>
    <s v="AMNS Gandhidham"/>
    <s v=""/>
    <s v=""/>
    <s v="2309BHIM"/>
    <s v="20059392"/>
    <s v="Rajendra Gupta"/>
    <s v="No"/>
    <s v="ramnivas.lowanshi1@amns.in"/>
    <s v=""/>
    <s v="1054491"/>
    <s v="Manjit Shah"/>
    <s v="Anil Matoo"/>
    <s v="-"/>
    <s v="Manjit Shah"/>
    <s v="-"/>
  </r>
  <r>
    <n v="7010"/>
    <n v="20059353"/>
    <s v="Pramod Shukla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1-04-21T00:00:00"/>
    <s v="52.05"/>
    <d v="2011-12-06T00:00:00"/>
    <d v="2029-04-30T00:00:00"/>
    <m/>
    <d v="2029-04-30T00:00:00"/>
    <n v="2049"/>
    <s v=""/>
    <s v=""/>
    <s v=""/>
    <s v="11.09"/>
    <s v="11.09"/>
    <s v="00052038"/>
    <s v="Gandhidham Operations"/>
    <s v="310080"/>
    <s v="New Acquisiiton"/>
    <s v="AMNS Gandhidham"/>
    <s v=""/>
    <s v=""/>
    <s v="2309BHIM"/>
    <s v="20059392"/>
    <s v="Rajendra Gupta"/>
    <s v="No"/>
    <s v="pramod.shukla@amns.in"/>
    <s v=""/>
    <s v="1054639"/>
    <s v="Manjit Shah"/>
    <s v="Anil Matoo"/>
    <s v="-"/>
    <s v="Manjit Shah"/>
    <s v="-"/>
  </r>
  <r>
    <n v="7011"/>
    <n v="20059354"/>
    <s v="Sandeep Thakur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1-07-21T00:00:00"/>
    <s v="42.02"/>
    <d v="2008-01-23T00:00:00"/>
    <d v="2039-07-31T00:00:00"/>
    <m/>
    <d v="2039-07-31T00:00:00"/>
    <n v="5793"/>
    <s v=""/>
    <s v=""/>
    <s v=""/>
    <s v="15.07"/>
    <s v="15.07"/>
    <s v="00052420"/>
    <s v="Finance &amp; Accounts"/>
    <s v="310082"/>
    <s v="New Acquisiiton"/>
    <s v="AMNS Gandhidham"/>
    <s v=""/>
    <s v=""/>
    <s v="2309BHIM"/>
    <s v="20059338"/>
    <s v="Manish Patidar"/>
    <s v="No"/>
    <s v="sandeep.thakur@amns.in"/>
    <s v=""/>
    <s v="1054641"/>
    <s v="Manjit Shah"/>
    <s v="Anil Matoo"/>
    <s v="-"/>
    <s v="Manjit Shah"/>
    <s v="-"/>
  </r>
  <r>
    <n v="7012"/>
    <n v="20059355"/>
    <s v="Sachin Wag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9-01-02T00:00:00"/>
    <s v="44.08"/>
    <d v="2012-06-26T00:00:00"/>
    <d v="2037-01-31T00:00:00"/>
    <m/>
    <d v="2037-01-31T00:00:00"/>
    <n v="4882"/>
    <s v=""/>
    <s v=""/>
    <s v=""/>
    <s v="11.02"/>
    <s v="11.02"/>
    <s v="00052420"/>
    <s v="Finance &amp; Accounts"/>
    <s v="310089"/>
    <s v="New Acquisiiton"/>
    <s v="AMNS Gandhidham"/>
    <s v=""/>
    <s v=""/>
    <s v="2309INDO"/>
    <s v="20059338"/>
    <s v="Manish Patidar"/>
    <s v="No"/>
    <s v="sachin.wagh1@amns.in"/>
    <s v=""/>
    <s v="1054495"/>
    <s v="Manjit Shah"/>
    <s v="Anil Matoo"/>
    <s v="-"/>
    <s v="Manjit Shah"/>
    <s v="-"/>
  </r>
  <r>
    <n v="7013"/>
    <n v="20059356"/>
    <s v="Rahul Parik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5-10-14T00:00:00"/>
    <s v="37.11"/>
    <d v="2020-11-01T00:00:00"/>
    <d v="2043-10-31T00:00:00"/>
    <m/>
    <d v="2043-10-31T00:00:00"/>
    <n v="7346"/>
    <s v=""/>
    <s v=""/>
    <s v=""/>
    <s v="02.10"/>
    <s v="02.10"/>
    <s v="00052038"/>
    <s v="Gandhidham Operations"/>
    <s v="310094"/>
    <s v="New Acquisiiton"/>
    <s v="AMNS Gandhidham"/>
    <s v=""/>
    <s v=""/>
    <s v="2309BHIM"/>
    <s v="20059392"/>
    <s v="Rajendra Gupta"/>
    <s v="No"/>
    <s v="rahul.parikh@amns.in"/>
    <s v=""/>
    <s v="1054497"/>
    <s v="Manjit Shah"/>
    <s v="Anil Matoo"/>
    <s v="-"/>
    <s v="Manjit Shah"/>
    <s v="-"/>
  </r>
  <r>
    <n v="7014"/>
    <n v="20059357"/>
    <s v="Rakesh Bans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4-01-08T00:00:00"/>
    <s v="49.08"/>
    <d v="2007-01-24T00:00:00"/>
    <d v="2032-01-31T00:00:00"/>
    <m/>
    <d v="2032-01-31T00:00:00"/>
    <n v="3055"/>
    <s v=""/>
    <s v=""/>
    <s v=""/>
    <s v="16.07"/>
    <s v="16.07"/>
    <s v="00052420"/>
    <s v="Finance &amp; Accounts"/>
    <s v="310097"/>
    <s v="New Acquisiiton"/>
    <s v="AMNS Gandhidham"/>
    <s v=""/>
    <s v=""/>
    <s v="2309BHIM"/>
    <s v="20059338"/>
    <s v="Manish Patidar"/>
    <s v="No"/>
    <s v="rakesh.bansal@amns.in"/>
    <s v=""/>
    <s v="1054643"/>
    <s v="Manjit Shah"/>
    <s v="Anil Matoo"/>
    <s v="-"/>
    <s v="Manjit Shah"/>
    <s v="-"/>
  </r>
  <r>
    <n v="7015"/>
    <n v="20059358"/>
    <s v="Sunil Swam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8-11-10T00:00:00"/>
    <s v="34.10"/>
    <d v="2023-02-06T00:00:00"/>
    <d v="2046-11-30T00:00:00"/>
    <m/>
    <d v="2046-11-30T00:00:00"/>
    <n v="8472"/>
    <s v=""/>
    <s v=""/>
    <s v=""/>
    <s v="00.07"/>
    <s v="00.07"/>
    <s v="00052038"/>
    <s v="Gandhidham Operations"/>
    <s v="310107"/>
    <s v="New Acquisiiton"/>
    <s v="AMNS Gandhidham"/>
    <s v=""/>
    <s v=""/>
    <s v="2309BHIM"/>
    <s v="20059392"/>
    <s v="Rajendra Gupta"/>
    <s v="No"/>
    <s v="sunilkumar.swami@amns.in"/>
    <s v=""/>
    <s v="1054645"/>
    <s v="Manjit Shah"/>
    <s v="Anil Matoo"/>
    <s v="-"/>
    <s v="Manjit Shah"/>
    <s v="-"/>
  </r>
  <r>
    <n v="7016"/>
    <n v="20059359"/>
    <s v="Prahladbhai U.Prajapat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3-06-01T00:00:00"/>
    <s v="40.03"/>
    <d v="2008-01-01T00:00:00"/>
    <d v="2041-05-31T00:00:00"/>
    <m/>
    <d v="2041-05-31T00:00:00"/>
    <n v="6463"/>
    <s v=""/>
    <s v=""/>
    <s v=""/>
    <s v="15.08"/>
    <s v="15.08"/>
    <s v="00052038"/>
    <s v="Gandhidham Operations"/>
    <s v="310114"/>
    <s v="New Acquisiiton"/>
    <s v="AMNS Gandhidham"/>
    <s v=""/>
    <s v=""/>
    <s v="2309BHIM"/>
    <s v="20059392"/>
    <s v="Rajendra Gupta"/>
    <s v="No"/>
    <s v="prahladbhai.prajapati@amns.in"/>
    <s v=""/>
    <s v="1054022"/>
    <s v="Manjit Shah"/>
    <s v="Anil Matoo"/>
    <s v="-"/>
    <s v="Manjit Shah"/>
    <s v="-"/>
  </r>
  <r>
    <n v="7017"/>
    <n v="20059360"/>
    <s v="Gulab Chand"/>
    <s v="AM/NS Gandhidham"/>
    <s v="Onroll"/>
    <s v="New Acquisition"/>
    <n v="17"/>
    <m/>
    <s v="NA"/>
    <s v="M"/>
    <s v="Gandhidham"/>
    <n v="12"/>
    <s v="2310"/>
    <x v="1"/>
    <s v="22.06"/>
    <s v="Anil Matoo"/>
    <s v="Ashutosh Telang"/>
    <n v="6"/>
    <s v="HR &amp; Administration"/>
    <s v="Human Resources"/>
    <s v="22"/>
    <m/>
    <m/>
    <s v=""/>
    <s v=""/>
    <s v=""/>
    <s v="Non Technical Support"/>
    <s v="Operations"/>
    <s v="Operations"/>
    <s v="72103001"/>
    <s v="Operations"/>
    <s v="Bhimasar"/>
    <d v="1972-02-10T00:00:00"/>
    <s v="51.07"/>
    <d v="2005-02-15T00:00:00"/>
    <d v="2030-02-28T00:00:00"/>
    <m/>
    <d v="2030-02-28T00:00:00"/>
    <n v="2353"/>
    <s v=""/>
    <s v=""/>
    <s v=""/>
    <s v="18.07"/>
    <s v="18.07"/>
    <s v="00052038"/>
    <s v="Gandhidham Operations"/>
    <s v="309831"/>
    <s v="New Acquisiiton"/>
    <s v="AMNS Gandhidham"/>
    <s v=""/>
    <s v=""/>
    <s v="2310BHIM"/>
    <s v="20059392"/>
    <s v="Rajendra Gupta"/>
    <s v="No"/>
    <s v="gulab.chand@amns.in"/>
    <s v=""/>
    <s v="1054646"/>
    <s v="Manjit Shah"/>
    <s v="Anil Matoo"/>
    <s v="-"/>
    <s v="Manjit Shah"/>
    <s v="-"/>
  </r>
  <r>
    <n v="7018"/>
    <n v="20059361"/>
    <s v="Dinesh Barala"/>
    <s v="AM/NS Gandhidham"/>
    <s v="Onroll"/>
    <s v="New Acquisition"/>
    <n v="17"/>
    <m/>
    <s v="NA"/>
    <s v="M"/>
    <s v="Gandhidham"/>
    <n v="12"/>
    <s v="2310"/>
    <x v="1"/>
    <s v="22.06"/>
    <s v="Anil Matoo"/>
    <s v="Ashutosh Telang"/>
    <n v="6"/>
    <s v="HR &amp; Administration"/>
    <s v="Human Resources"/>
    <s v="22"/>
    <m/>
    <m/>
    <s v=""/>
    <s v=""/>
    <s v=""/>
    <s v="Non Technical Support"/>
    <s v="Operations"/>
    <s v="Operations"/>
    <s v="72103001"/>
    <s v="Operations"/>
    <s v="Bhimasar"/>
    <d v="1986-08-21T00:00:00"/>
    <s v="37.00"/>
    <d v="2019-01-01T00:00:00"/>
    <d v="2044-08-31T00:00:00"/>
    <m/>
    <d v="2044-08-31T00:00:00"/>
    <n v="7651"/>
    <s v=""/>
    <s v=""/>
    <s v=""/>
    <s v="04.08"/>
    <s v="04.08"/>
    <s v="00052038"/>
    <s v="Gandhidham Operations"/>
    <s v="310073"/>
    <s v="New Acquisiiton"/>
    <s v="AMNS Gandhidham"/>
    <s v=""/>
    <s v=""/>
    <s v="2310BHIM"/>
    <s v="20059392"/>
    <s v="Rajendra Gupta"/>
    <s v="No"/>
    <s v="dinesh.barala@amns.in"/>
    <s v=""/>
    <s v="1054498"/>
    <s v="Manjit Shah"/>
    <s v="Anil Matoo"/>
    <s v="-"/>
    <s v="Manjit Shah"/>
    <s v="-"/>
  </r>
  <r>
    <n v="7019"/>
    <n v="20059362"/>
    <s v="Rajendra Singh"/>
    <s v="AM/NS Gandhidham"/>
    <s v="Onroll"/>
    <s v="New Acquisition"/>
    <n v="17"/>
    <m/>
    <s v="NA"/>
    <s v="M"/>
    <s v="Gandhidham"/>
    <n v="12"/>
    <s v="2310"/>
    <x v="1"/>
    <s v="22.06"/>
    <s v="Anil Matoo"/>
    <s v="Ashutosh Telang"/>
    <n v="6"/>
    <s v="HR &amp; Administration"/>
    <s v="Human Resources"/>
    <s v="22"/>
    <m/>
    <m/>
    <s v=""/>
    <s v=""/>
    <s v=""/>
    <s v="Non Technical Support"/>
    <s v="Operations"/>
    <s v="Operations"/>
    <s v="72103001"/>
    <s v="Operations"/>
    <s v="Bhimasar"/>
    <d v="1976-07-05T00:00:00"/>
    <s v="47.02"/>
    <d v="2015-09-01T00:00:00"/>
    <d v="2034-07-31T00:00:00"/>
    <m/>
    <d v="2034-07-31T00:00:00"/>
    <n v="3967"/>
    <s v=""/>
    <s v=""/>
    <s v=""/>
    <s v="08.00"/>
    <s v="08.00"/>
    <s v="00052038"/>
    <s v="Gandhidham Operations"/>
    <s v="310095"/>
    <s v="New Acquisiiton"/>
    <s v="AMNS Gandhidham"/>
    <s v=""/>
    <s v=""/>
    <s v="2310BHIM"/>
    <s v="20059392"/>
    <s v="Rajendra Gupta"/>
    <s v="No"/>
    <s v="rajendra.singh@amns.in"/>
    <s v=""/>
    <s v="1054649"/>
    <s v="Manjit Shah"/>
    <s v="Anil Matoo"/>
    <s v="-"/>
    <s v="Manjit Shah"/>
    <s v="-"/>
  </r>
  <r>
    <n v="7026"/>
    <n v="20059369"/>
    <s v="Arvind Singh"/>
    <s v="AM/NS Gandhidham"/>
    <s v="Onroll"/>
    <s v="M-7"/>
    <n v="17"/>
    <m/>
    <s v="NA"/>
    <s v="M"/>
    <s v="Gandhidham"/>
    <n v="12"/>
    <s v="2311"/>
    <x v="22"/>
    <s v="41.01"/>
    <s v="P Ashok Kumar"/>
    <s v="P Ashok Kumar"/>
    <n v="9"/>
    <s v="Legal"/>
    <s v="Legal"/>
    <s v="41"/>
    <s v="Legal Counsel, Gandhidham"/>
    <m/>
    <s v="legal"/>
    <s v=""/>
    <s v=""/>
    <s v="Non Technical Support"/>
    <s v="Operations"/>
    <s v="Operations"/>
    <s v="72103001"/>
    <s v="Operations"/>
    <s v="Indore"/>
    <d v="1967-01-11T00:00:00"/>
    <s v="56.08"/>
    <d v="2014-01-14T00:00:00"/>
    <d v="2025-01-31T00:00:00"/>
    <m/>
    <d v="2025-01-31T00:00:00"/>
    <n v="499"/>
    <s v=""/>
    <s v=""/>
    <s v=""/>
    <s v="09.08"/>
    <s v="09.08"/>
    <s v="00052038"/>
    <s v="Gandhidham Operations"/>
    <s v="309851"/>
    <s v="New Acquisiiton"/>
    <s v="AMNS Gandhidham"/>
    <s v=""/>
    <s v=""/>
    <s v="2311INDO"/>
    <s v="20059392"/>
    <s v="Rajendra Gupta"/>
    <s v="No"/>
    <s v="arvindkumar.singh5@amns.in"/>
    <s v=""/>
    <s v="1054511"/>
    <s v="Manjit Shah"/>
    <s v="Anil Matoo"/>
    <s v="-"/>
    <s v="Manjit Shah"/>
    <s v="-"/>
  </r>
  <r>
    <n v="7027"/>
    <n v="20059370"/>
    <s v="Vinod Kashyap"/>
    <s v="AM/NS Gandhidham"/>
    <s v="Onroll"/>
    <s v="M-8"/>
    <n v="17"/>
    <m/>
    <s v="NA"/>
    <s v="M"/>
    <s v="Gandhidham"/>
    <n v="12"/>
    <s v="2311"/>
    <x v="22"/>
    <s v="41.01"/>
    <s v="P Ashok Kumar"/>
    <s v="P Ashok Kumar"/>
    <n v="9"/>
    <s v="Legal"/>
    <s v="Legal"/>
    <s v="41"/>
    <s v="Legal Counsel, Gandhidham"/>
    <m/>
    <s v="legal"/>
    <s v=""/>
    <s v=""/>
    <s v="Non Technical Support"/>
    <s v="Operations"/>
    <s v="Operations"/>
    <s v="72103001"/>
    <s v="Operations"/>
    <s v="Bhimasar"/>
    <d v="1976-09-22T00:00:00"/>
    <s v="46.11"/>
    <d v="2020-10-27T00:00:00"/>
    <d v="2034-09-30T00:00:00"/>
    <m/>
    <d v="2034-09-30T00:00:00"/>
    <n v="4028"/>
    <s v=""/>
    <s v=""/>
    <s v=""/>
    <s v="02.10"/>
    <s v="02.10"/>
    <s v="00052038"/>
    <s v="Gandhidham Operations"/>
    <s v="309863"/>
    <s v="New Acquisiiton"/>
    <s v="AMNS Gandhidham"/>
    <s v=""/>
    <s v=""/>
    <s v="2311BHIM"/>
    <s v="20059392"/>
    <s v="Rajendra Gupta"/>
    <s v="No"/>
    <s v="vinod.kashyap@amns.in"/>
    <s v=""/>
    <s v="1054517"/>
    <s v="Manjit Shah"/>
    <s v="Anil Matoo"/>
    <s v="-"/>
    <s v="Manjit Shah"/>
    <s v="-"/>
  </r>
  <r>
    <n v="7052"/>
    <n v="20059395"/>
    <s v="Manoj Choudhary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Indore"/>
    <d v="1971-11-03T00:00:00"/>
    <s v="51.10"/>
    <d v="2006-11-03T00:00:00"/>
    <d v="2029-11-30T00:00:00"/>
    <m/>
    <d v="2029-11-30T00:00:00"/>
    <n v="2263"/>
    <s v=""/>
    <s v=""/>
    <s v=""/>
    <s v="16.10"/>
    <s v="16.10"/>
    <s v="00052038"/>
    <s v="Gandhidham Operations"/>
    <s v="309865"/>
    <s v="New Acquisiiton"/>
    <s v="AMNS Gandhidham"/>
    <s v=""/>
    <s v=""/>
    <s v="2316INDO"/>
    <s v="20059392"/>
    <s v="Rajendra Gupta"/>
    <s v="No"/>
    <s v="manoj.choudhary3@amns.in"/>
    <s v=""/>
    <s v="1054603"/>
    <s v="Manjit Shah"/>
    <s v="Anil Matoo"/>
    <s v="-"/>
    <s v="Manjit Shah"/>
    <s v="-"/>
  </r>
  <r>
    <n v="7053"/>
    <n v="20059396"/>
    <s v="Vipin Kumar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4-05-16T00:00:00"/>
    <s v="39.04"/>
    <d v="2022-03-07T00:00:00"/>
    <d v="2042-05-31T00:00:00"/>
    <m/>
    <d v="2042-05-31T00:00:00"/>
    <n v="6828"/>
    <s v=""/>
    <s v=""/>
    <s v=""/>
    <s v="01.06"/>
    <s v="01.06"/>
    <s v="00052332"/>
    <s v="Mechanical Maintenance"/>
    <s v="309884"/>
    <s v="New Acquisiiton"/>
    <s v="AMNS Gandhidham"/>
    <s v=""/>
    <s v=""/>
    <s v="2316BHIM"/>
    <s v="20059381"/>
    <s v="Govind Dhanuka"/>
    <s v="No"/>
    <s v="vipin.kumar@amns.in"/>
    <s v=""/>
    <s v="1054605"/>
    <s v="Manjit Shah"/>
    <s v="Anil Matoo"/>
    <s v="-"/>
    <s v="Manjit Shah"/>
    <s v="-"/>
  </r>
  <r>
    <n v="7054"/>
    <n v="20059397"/>
    <s v="Manish Namdeo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Indore"/>
    <d v="1975-07-22T00:00:00"/>
    <s v="48.01"/>
    <d v="2019-11-02T00:00:00"/>
    <d v="2033-07-31T00:00:00"/>
    <m/>
    <d v="2033-07-31T00:00:00"/>
    <n v="3602"/>
    <s v=""/>
    <s v=""/>
    <s v=""/>
    <s v="03.10"/>
    <s v="03.10"/>
    <s v="00052038"/>
    <s v="Gandhidham Operations"/>
    <s v="309888"/>
    <s v="New Acquisiiton"/>
    <s v="AMNS Gandhidham"/>
    <s v=""/>
    <s v=""/>
    <s v="2316INDO"/>
    <s v="20059392"/>
    <s v="Rajendra Gupta"/>
    <s v="No"/>
    <s v="manish.namdeo@amns.in"/>
    <s v=""/>
    <s v="1054612"/>
    <s v="Manjit Shah"/>
    <s v="Anil Matoo"/>
    <s v="-"/>
    <s v="Manjit Shah"/>
    <s v="-"/>
  </r>
  <r>
    <n v="7055"/>
    <n v="20059398"/>
    <s v="Devendra Lakshkar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5-06-09T00:00:00"/>
    <s v="38.03"/>
    <d v="2023-03-20T00:00:00"/>
    <d v="2043-06-30T00:00:00"/>
    <m/>
    <d v="2043-06-30T00:00:00"/>
    <n v="7223"/>
    <s v=""/>
    <s v=""/>
    <s v=""/>
    <s v="00.06"/>
    <s v="00.06"/>
    <s v="00052038"/>
    <s v="Gandhidham Operations"/>
    <s v="309921"/>
    <s v="New Acquisiiton"/>
    <s v="AMNS Gandhidham"/>
    <s v=""/>
    <s v=""/>
    <s v="2316BHIM"/>
    <s v="20059392"/>
    <s v="Rajendra Gupta"/>
    <s v="No"/>
    <s v="devendra.lakshkar@amns.in"/>
    <s v=""/>
    <s v="1054657"/>
    <s v="Manjit Shah"/>
    <s v="Anil Matoo"/>
    <s v="-"/>
    <s v="Manjit Shah"/>
    <s v="-"/>
  </r>
  <r>
    <n v="7056"/>
    <n v="20059399"/>
    <s v="Nityanand Sharma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1-06-01T00:00:00"/>
    <s v="42.03"/>
    <d v="2014-04-01T00:00:00"/>
    <d v="2039-05-31T00:00:00"/>
    <m/>
    <d v="2039-05-31T00:00:00"/>
    <n v="5732"/>
    <s v=""/>
    <s v=""/>
    <s v=""/>
    <s v="09.05"/>
    <s v="09.05"/>
    <s v="00052038"/>
    <s v="Gandhidham Operations"/>
    <s v="309936"/>
    <s v="New Acquisiiton"/>
    <s v="AMNS Gandhidham"/>
    <s v=""/>
    <s v=""/>
    <s v="2316BHIM"/>
    <s v="20059392"/>
    <s v="Rajendra Gupta"/>
    <s v="No"/>
    <s v="nityanand.sharma@amns.in"/>
    <s v=""/>
    <s v="1054660"/>
    <s v="Manjit Shah"/>
    <s v="Anil Matoo"/>
    <s v="-"/>
    <s v="Manjit Shah"/>
    <s v="-"/>
  </r>
  <r>
    <n v="7057"/>
    <n v="20059400"/>
    <s v="Somsinh Puvar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79-08-09T00:00:00"/>
    <s v="44.01"/>
    <d v="2008-09-29T00:00:00"/>
    <d v="2037-08-31T00:00:00"/>
    <m/>
    <d v="2037-08-31T00:00:00"/>
    <n v="5094"/>
    <s v=""/>
    <s v=""/>
    <s v=""/>
    <s v="14.11"/>
    <s v="14.11"/>
    <s v="00052038"/>
    <s v="Gandhidham Operations"/>
    <s v="310060"/>
    <s v="New Acquisiiton"/>
    <s v="AMNS Gandhidham"/>
    <s v=""/>
    <s v=""/>
    <s v="2316BHIM"/>
    <s v="20059392"/>
    <s v="Rajendra Gupta"/>
    <s v="No"/>
    <s v="somsinh.puvar@amns.in"/>
    <s v=""/>
    <s v="1054661"/>
    <s v="Manjit Shah"/>
    <s v="Anil Matoo"/>
    <s v="-"/>
    <s v="Manjit Shah"/>
    <s v="-"/>
  </r>
  <r>
    <n v="7058"/>
    <n v="20059401"/>
    <s v="Prajapati Jayantibhai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8-02-05T00:00:00"/>
    <s v="35.07"/>
    <d v="2023-03-01T00:00:00"/>
    <d v="2046-02-28T00:00:00"/>
    <m/>
    <d v="2046-02-28T00:00:00"/>
    <n v="8197"/>
    <s v=""/>
    <s v=""/>
    <s v=""/>
    <s v="00.06"/>
    <s v="00.06"/>
    <s v="00052038"/>
    <s v="Gandhidham Operations"/>
    <s v="310079"/>
    <s v="New Acquisiiton"/>
    <s v="AMNS Gandhidham"/>
    <s v=""/>
    <s v=""/>
    <s v="2316BHIM"/>
    <s v="20059392"/>
    <s v="Rajendra Gupta"/>
    <s v="No"/>
    <s v="prajapati.jayantibhai@amns.in"/>
    <s v=""/>
    <s v="1054710"/>
    <s v="Manjit Shah"/>
    <s v="Anil Matoo"/>
    <s v="-"/>
    <s v="Manjit Shah"/>
    <s v="-"/>
  </r>
  <r>
    <n v="7059"/>
    <n v="20059402"/>
    <s v="Sajjan Sharma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5-06-16T00:00:00"/>
    <s v="38.03"/>
    <d v="2018-05-01T00:00:00"/>
    <d v="2043-06-30T00:00:00"/>
    <m/>
    <d v="2043-06-30T00:00:00"/>
    <n v="7223"/>
    <s v=""/>
    <s v=""/>
    <s v=""/>
    <s v="05.04"/>
    <s v="05.04"/>
    <s v="00052038"/>
    <s v="Gandhidham Operations"/>
    <s v="310115"/>
    <s v="New Acquisiiton"/>
    <s v="AMNS Gandhidham"/>
    <s v=""/>
    <s v=""/>
    <s v="2316BHIM"/>
    <s v="20059392"/>
    <s v="Rajendra Gupta"/>
    <s v="No"/>
    <s v="sajjan.sharma@amns.in"/>
    <s v=""/>
    <s v="1054662"/>
    <s v="Manjit Shah"/>
    <s v="Anil Matoo"/>
    <s v="-"/>
    <s v="Manjit Shah"/>
    <s v="-"/>
  </r>
  <r>
    <n v="7064"/>
    <n v="20059407"/>
    <s v="Abhay Vishwakarm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7-01-18T00:00:00"/>
    <s v="56.08"/>
    <d v="2020-04-08T00:00:00"/>
    <d v="2025-01-31T00:00:00"/>
    <m/>
    <d v="2025-01-31T00:00:00"/>
    <n v="499"/>
    <s v=""/>
    <s v=""/>
    <s v=""/>
    <s v="03.05"/>
    <s v="03.05"/>
    <s v="00052038"/>
    <s v="Gandhidham Operations"/>
    <s v="309823"/>
    <s v="New Acquisiiton"/>
    <s v="AMNS Gandhidham"/>
    <s v=""/>
    <s v=""/>
    <s v="2306INDO"/>
    <s v="20059392"/>
    <s v="Rajendra Gupta"/>
    <s v="No"/>
    <s v="abhay.vishwakarma@amns.in"/>
    <s v=""/>
    <s v="1054663"/>
    <s v="Manjit Shah"/>
    <s v="Anil Matoo"/>
    <s v="-"/>
    <s v="Manjit Shah"/>
    <s v="-"/>
  </r>
  <r>
    <n v="7065"/>
    <n v="20059408"/>
    <s v="C. Ramesh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anglore"/>
    <d v="1966-01-27T00:00:00"/>
    <s v="57.07"/>
    <d v="2015-08-06T00:00:00"/>
    <d v="2024-01-31T00:00:00"/>
    <m/>
    <d v="2024-01-31T00:00:00"/>
    <n v="133"/>
    <s v=""/>
    <s v=""/>
    <s v=""/>
    <s v="08.01"/>
    <s v="08.01"/>
    <s v="00052038"/>
    <s v="Gandhidham Operations"/>
    <s v="309827"/>
    <s v="New Acquisiiton"/>
    <s v="AMNS Gandhidham"/>
    <s v=""/>
    <s v=""/>
    <s v="2306BANG"/>
    <s v="20059392"/>
    <s v="Rajendra Gupta"/>
    <s v="No"/>
    <s v="c.ramesh1@amns.in"/>
    <s v=""/>
    <s v="1054665"/>
    <s v="Manjit Shah"/>
    <s v="Anil Matoo"/>
    <s v="-"/>
    <s v="Manjit Shah"/>
    <s v="-"/>
  </r>
  <r>
    <n v="7066"/>
    <n v="20059409"/>
    <s v="Toliram Rahangdale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7-05-12T00:00:00"/>
    <s v="56.04"/>
    <d v="2019-11-15T00:00:00"/>
    <d v="2025-05-31T00:00:00"/>
    <m/>
    <d v="2025-05-31T00:00:00"/>
    <n v="619"/>
    <s v=""/>
    <s v=""/>
    <s v=""/>
    <s v="03.10"/>
    <s v="03.10"/>
    <s v="00052038"/>
    <s v="Gandhidham Operations"/>
    <s v="309829"/>
    <s v="New Acquisiiton"/>
    <s v="AMNS Gandhidham"/>
    <s v=""/>
    <s v=""/>
    <s v="2306INDO"/>
    <s v="20059392"/>
    <s v="Rajendra Gupta"/>
    <s v="No"/>
    <s v="toliram.rahangdale@amns.in"/>
    <s v=""/>
    <s v="1054666"/>
    <s v="Manjit Shah"/>
    <s v="Anil Matoo"/>
    <s v="-"/>
    <s v="Manjit Shah"/>
    <s v="-"/>
  </r>
  <r>
    <n v="7067"/>
    <n v="20059410"/>
    <s v="Umesh Vashisth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Delhi"/>
    <d v="1973-07-07T00:00:00"/>
    <s v="50.02"/>
    <d v="2013-10-06T00:00:00"/>
    <d v="2031-07-31T00:00:00"/>
    <m/>
    <d v="2031-07-31T00:00:00"/>
    <n v="2871"/>
    <s v=""/>
    <s v=""/>
    <s v=""/>
    <s v="09.11"/>
    <s v="09.11"/>
    <s v="00052038"/>
    <s v="Gandhidham Operations"/>
    <s v="309830"/>
    <s v="New Acquisiiton"/>
    <s v="AMNS Gandhidham"/>
    <s v=""/>
    <s v=""/>
    <s v="2306DELH"/>
    <s v="20059392"/>
    <s v="Rajendra Gupta"/>
    <s v="No"/>
    <s v="umesh.vashistha@amns.in"/>
    <s v=""/>
    <s v="1054669"/>
    <s v="Manjit Shah"/>
    <s v="Anil Matoo"/>
    <s v="-"/>
    <s v="Manjit Shah"/>
    <s v="-"/>
  </r>
  <r>
    <n v="7068"/>
    <n v="20059411"/>
    <s v="Shiv Tawar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8-10-01T00:00:00"/>
    <s v="54.11"/>
    <d v="2010-07-01T00:00:00"/>
    <d v="2026-09-30T00:00:00"/>
    <m/>
    <d v="2026-09-30T00:00:00"/>
    <n v="1106"/>
    <s v=""/>
    <s v=""/>
    <s v=""/>
    <s v="13.02"/>
    <s v="13.02"/>
    <s v="00052038"/>
    <s v="Gandhidham Operations"/>
    <s v="309852"/>
    <s v="New Acquisiiton"/>
    <s v="AMNS Gandhidham"/>
    <s v=""/>
    <s v=""/>
    <s v="2306INDO"/>
    <s v="20059392"/>
    <s v="Rajendra Gupta"/>
    <s v="No"/>
    <s v="shiv.tawar1@amns.in"/>
    <s v=""/>
    <s v="1054671"/>
    <s v="Manjit Shah"/>
    <s v="Anil Matoo"/>
    <s v="-"/>
    <s v="Manjit Shah"/>
    <s v="-"/>
  </r>
  <r>
    <n v="7069"/>
    <n v="20059412"/>
    <s v="Chandra Ojh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Patna"/>
    <d v="1969-05-01T00:00:00"/>
    <s v="54.04"/>
    <d v="2019-05-08T00:00:00"/>
    <d v="2027-04-30T00:00:00"/>
    <m/>
    <d v="2027-04-30T00:00:00"/>
    <n v="1318"/>
    <s v=""/>
    <s v=""/>
    <s v=""/>
    <s v="04.04"/>
    <s v="04.04"/>
    <s v="00052038"/>
    <s v="Gandhidham Operations"/>
    <s v="309864"/>
    <s v="New Acquisiiton"/>
    <s v="AMNS Gandhidham"/>
    <s v=""/>
    <s v=""/>
    <s v="2306PATN"/>
    <s v="20059392"/>
    <s v="Rajendra Gupta"/>
    <s v="No"/>
    <s v="chandra.ojha1@amns.in"/>
    <s v=""/>
    <s v="1054674"/>
    <s v="Manjit Shah"/>
    <s v="Anil Matoo"/>
    <s v="-"/>
    <s v="Manjit Shah"/>
    <s v="-"/>
  </r>
  <r>
    <n v="7070"/>
    <n v="20059413"/>
    <s v="Ramesh Babu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76-03-17T00:00:00"/>
    <s v="47.06"/>
    <d v="2015-11-09T00:00:00"/>
    <d v="2034-03-31T00:00:00"/>
    <m/>
    <d v="2034-03-31T00:00:00"/>
    <n v="3845"/>
    <s v=""/>
    <s v=""/>
    <s v=""/>
    <s v="07.10"/>
    <s v="07.10"/>
    <s v="00052038"/>
    <s v="Gandhidham Operations"/>
    <s v="309868"/>
    <s v="New Acquisiiton"/>
    <s v="AMNS Gandhidham"/>
    <s v=""/>
    <s v=""/>
    <s v="2306BHIM"/>
    <s v="20059392"/>
    <s v="Rajendra Gupta"/>
    <s v="No"/>
    <s v="ramesh.babu2@amns.in"/>
    <s v=""/>
    <s v="1054684"/>
    <s v="Manjit Shah"/>
    <s v="Anil Matoo"/>
    <s v="-"/>
    <s v="Manjit Shah"/>
    <s v="-"/>
  </r>
  <r>
    <n v="7071"/>
    <n v="20059414"/>
    <s v="Chandra Kandari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Delhi"/>
    <d v="1978-05-07T00:00:00"/>
    <s v="45.04"/>
    <d v="2007-06-08T00:00:00"/>
    <d v="2036-05-31T00:00:00"/>
    <m/>
    <d v="2036-05-31T00:00:00"/>
    <n v="4637"/>
    <s v=""/>
    <s v=""/>
    <s v=""/>
    <s v="16.03"/>
    <s v="16.03"/>
    <s v="00052038"/>
    <s v="Gandhidham Operations"/>
    <s v="309885"/>
    <s v="New Acquisiiton"/>
    <s v="AMNS Gandhidham"/>
    <s v=""/>
    <s v=""/>
    <s v="2306DELH"/>
    <s v="20059392"/>
    <s v="Rajendra Gupta"/>
    <s v="No"/>
    <s v="chandra.kandari@amns.in"/>
    <s v=""/>
    <s v="1054686"/>
    <s v="Manjit Shah"/>
    <s v="Anil Matoo"/>
    <s v="-"/>
    <s v="Manjit Shah"/>
    <s v="-"/>
  </r>
  <r>
    <n v="7072"/>
    <n v="20059415"/>
    <s v="Deepak Patidar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Ahmedabad"/>
    <d v="1988-07-30T00:00:00"/>
    <s v="35.01"/>
    <d v="2020-01-23T00:00:00"/>
    <d v="2046-07-31T00:00:00"/>
    <m/>
    <d v="2046-07-31T00:00:00"/>
    <n v="8350"/>
    <s v=""/>
    <s v=""/>
    <s v=""/>
    <s v="03.07"/>
    <s v="03.07"/>
    <s v="00052038"/>
    <s v="Gandhidham Operations"/>
    <s v="309886"/>
    <s v="New Acquisiiton"/>
    <s v="AMNS Gandhidham"/>
    <s v=""/>
    <s v=""/>
    <s v="2306AHME"/>
    <s v="20037071"/>
    <s v="Amit Chandaliya"/>
    <s v="No"/>
    <s v="deepak.patidar@amns.in"/>
    <s v=""/>
    <s v="1054688"/>
    <s v="Manjit Shah"/>
    <s v="Anil Matoo"/>
    <s v="-"/>
    <s v="Manjit Shah"/>
    <s v="-"/>
  </r>
  <r>
    <n v="7073"/>
    <n v="20059416"/>
    <s v="Digvijay Khunte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Pune"/>
    <d v="1983-07-16T00:00:00"/>
    <s v="40.02"/>
    <d v="2012-02-07T00:00:00"/>
    <d v="2041-07-31T00:00:00"/>
    <m/>
    <d v="2041-07-31T00:00:00"/>
    <n v="6524"/>
    <s v=""/>
    <s v=""/>
    <s v=""/>
    <s v="11.07"/>
    <s v="11.07"/>
    <s v="00052038"/>
    <s v="Gandhidham Operations"/>
    <s v="309887"/>
    <s v="New Acquisiiton"/>
    <s v="AMNS Gandhidham"/>
    <s v=""/>
    <s v=""/>
    <s v="2306PUNE"/>
    <s v="20059392"/>
    <s v="Rajendra Gupta"/>
    <s v="No"/>
    <s v="digvijay.khunte@amns.in"/>
    <s v=""/>
    <s v="1054689"/>
    <s v="Manjit Shah"/>
    <s v="Anil Matoo"/>
    <s v="-"/>
    <s v="Manjit Shah"/>
    <s v="-"/>
  </r>
  <r>
    <n v="7074"/>
    <n v="20059417"/>
    <s v="Hari Singh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75-09-23T00:00:00"/>
    <s v="47.11"/>
    <d v="2018-01-04T00:00:00"/>
    <d v="2033-09-30T00:00:00"/>
    <m/>
    <d v="2033-09-30T00:00:00"/>
    <n v="3663"/>
    <s v=""/>
    <s v=""/>
    <s v=""/>
    <s v="05.08"/>
    <s v="05.08"/>
    <s v="00052038"/>
    <s v="Gandhidham Operations"/>
    <s v="309911"/>
    <s v="New Acquisiiton"/>
    <s v="AMNS Gandhidham"/>
    <s v=""/>
    <s v=""/>
    <s v="2306INDO"/>
    <s v="20059392"/>
    <s v="Rajendra Gupta"/>
    <s v="No"/>
    <s v="hari.singh7@amns.in"/>
    <s v=""/>
    <s v="1054693"/>
    <s v="Manjit Shah"/>
    <s v="Anil Matoo"/>
    <s v="-"/>
    <s v="Manjit Shah"/>
    <s v="-"/>
  </r>
  <r>
    <n v="7075"/>
    <n v="20059418"/>
    <s v="Pardeep Kumar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8-07-10T00:00:00"/>
    <s v="35.02"/>
    <d v="2014-04-01T00:00:00"/>
    <d v="2046-07-31T00:00:00"/>
    <m/>
    <d v="2046-07-31T00:00:00"/>
    <n v="8350"/>
    <s v=""/>
    <s v=""/>
    <s v=""/>
    <s v="09.05"/>
    <s v="09.05"/>
    <s v="00052038"/>
    <s v="Gandhidham Operations"/>
    <s v="309938"/>
    <s v="New Acquisiiton"/>
    <s v="AMNS Gandhidham"/>
    <s v=""/>
    <s v=""/>
    <s v="2306BHIM"/>
    <s v="20059392"/>
    <s v="Rajendra Gupta"/>
    <s v="No"/>
    <s v="pardeep.kumar36@amns.in"/>
    <s v=""/>
    <s v="1054696"/>
    <s v="Manjit Shah"/>
    <s v="Anil Matoo"/>
    <s v="-"/>
    <s v="Manjit Shah"/>
    <s v="-"/>
  </r>
  <r>
    <n v="7076"/>
    <n v="20059419"/>
    <s v="Joseph Antony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9-05-20T00:00:00"/>
    <s v="54.04"/>
    <d v="2019-01-04T00:00:00"/>
    <d v="2027-05-31T00:00:00"/>
    <m/>
    <d v="2027-05-31T00:00:00"/>
    <n v="1349"/>
    <s v=""/>
    <s v=""/>
    <s v=""/>
    <s v="04.08"/>
    <s v="04.08"/>
    <s v="00052038"/>
    <s v="Gandhidham Operations"/>
    <s v="309962"/>
    <s v="New Acquisiiton"/>
    <s v="AMNS Gandhidham"/>
    <s v=""/>
    <s v=""/>
    <s v="2306INDO"/>
    <s v="20059392"/>
    <s v="Rajendra Gupta"/>
    <s v="No"/>
    <s v="joseph.antony1@amns.in"/>
    <s v=""/>
    <s v="1054697"/>
    <s v="Manjit Shah"/>
    <s v="Anil Matoo"/>
    <s v="-"/>
    <s v="Manjit Shah"/>
    <s v="-"/>
  </r>
  <r>
    <n v="7077"/>
    <n v="20059420"/>
    <s v="Mahesh Saini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Jammu"/>
    <d v="1984-01-02T00:00:00"/>
    <s v="39.08"/>
    <d v="2006-07-07T00:00:00"/>
    <d v="2042-01-31T00:00:00"/>
    <m/>
    <d v="2042-01-31T00:00:00"/>
    <n v="6708"/>
    <s v=""/>
    <s v=""/>
    <s v=""/>
    <s v="17.02"/>
    <s v="17.02"/>
    <s v="00052038"/>
    <s v="Gandhidham Operations"/>
    <s v="309963"/>
    <s v="New Acquisiiton"/>
    <s v="AMNS Gandhidham"/>
    <s v=""/>
    <s v=""/>
    <s v="2306JAMM"/>
    <s v="20059392"/>
    <s v="Rajendra Gupta"/>
    <s v="No"/>
    <s v="mahesh.saini1@amns.in"/>
    <s v=""/>
    <s v="1054699"/>
    <s v="Manjit Shah"/>
    <s v="Anil Matoo"/>
    <s v="-"/>
    <s v="Manjit Shah"/>
    <s v="-"/>
  </r>
  <r>
    <n v="7078"/>
    <n v="20059421"/>
    <s v="Sanjay Sharm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Jaipur"/>
    <d v="1977-11-22T00:00:00"/>
    <s v="45.09"/>
    <d v="2006-06-12T00:00:00"/>
    <d v="2035-11-30T00:00:00"/>
    <m/>
    <d v="2035-11-30T00:00:00"/>
    <n v="4454"/>
    <s v=""/>
    <s v=""/>
    <s v=""/>
    <s v="17.03"/>
    <s v="17.03"/>
    <s v="00052038"/>
    <s v="Gandhidham Operations"/>
    <s v="309965"/>
    <s v="New Acquisiiton"/>
    <s v="AMNS Gandhidham"/>
    <s v=""/>
    <s v=""/>
    <s v="2306JAIP"/>
    <s v="20059392"/>
    <s v="Rajendra Gupta"/>
    <s v="No"/>
    <s v="sanjay.sharma26@amns.in"/>
    <s v=""/>
    <s v="1054701"/>
    <s v="Manjit Shah"/>
    <s v="Anil Matoo"/>
    <s v="-"/>
    <s v="Manjit Shah"/>
    <s v="-"/>
  </r>
  <r>
    <n v="7079"/>
    <n v="20059422"/>
    <s v="Deepak Sharm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1-03-25T00:00:00"/>
    <s v="42.05"/>
    <d v="2005-12-27T00:00:00"/>
    <d v="2039-03-31T00:00:00"/>
    <m/>
    <d v="2039-03-31T00:00:00"/>
    <n v="5671"/>
    <s v=""/>
    <s v=""/>
    <s v=""/>
    <s v="17.08"/>
    <s v="17.08"/>
    <s v="00052038"/>
    <s v="Gandhidham Operations"/>
    <s v="310072"/>
    <s v="New Acquisiiton"/>
    <s v="AMNS Gandhidham"/>
    <s v=""/>
    <s v=""/>
    <s v="2306BHIM"/>
    <s v="20059392"/>
    <s v="Rajendra Gupta"/>
    <s v="No"/>
    <s v="deepak.sharma@amns.in"/>
    <s v=""/>
    <s v="1054702"/>
    <s v="Manjit Shah"/>
    <s v="Anil Matoo"/>
    <s v="-"/>
    <s v="Manjit Shah"/>
    <s v="-"/>
  </r>
  <r>
    <n v="7080"/>
    <n v="20059423"/>
    <s v="Nitin Soniy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8-06-17T00:00:00"/>
    <s v="35.03"/>
    <d v="2016-09-21T00:00:00"/>
    <d v="2046-06-30T00:00:00"/>
    <m/>
    <d v="2046-06-30T00:00:00"/>
    <n v="8319"/>
    <s v=""/>
    <s v=""/>
    <s v=""/>
    <s v="07.00"/>
    <s v="07.00"/>
    <s v="00052038"/>
    <s v="Gandhidham Operations"/>
    <s v="310078"/>
    <s v="New Acquisiiton"/>
    <s v="AMNS Gandhidham"/>
    <s v=""/>
    <s v=""/>
    <s v="2306BHIM"/>
    <s v="20059392"/>
    <s v="Rajendra Gupta"/>
    <s v="No"/>
    <s v="nitinsingh.soniya@amns.in"/>
    <s v=""/>
    <s v="1054740"/>
    <s v="Manjit Shah"/>
    <s v="Anil Matoo"/>
    <s v="-"/>
    <s v="Manjit Shah"/>
    <s v="-"/>
  </r>
  <r>
    <n v="7081"/>
    <n v="20059424"/>
    <s v="Abhishek Khandelwal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Delhi"/>
    <d v="1980-06-08T00:00:00"/>
    <s v="43.03"/>
    <d v="2015-09-17T00:00:00"/>
    <d v="2038-06-30T00:00:00"/>
    <m/>
    <d v="2038-06-30T00:00:00"/>
    <n v="5397"/>
    <s v=""/>
    <s v=""/>
    <s v=""/>
    <s v="08.00"/>
    <s v="08.00"/>
    <s v="00043882"/>
    <s v="International Sales"/>
    <s v="310088"/>
    <s v="New Acquisiiton"/>
    <s v="AMNS Gandhidham"/>
    <s v=""/>
    <s v=""/>
    <s v="2306DELH"/>
    <s v="20037071"/>
    <s v="Amit Chandaliya"/>
    <s v="No"/>
    <s v="abhishek.khandelwal1@amns.in"/>
    <s v=""/>
    <s v="1054706"/>
    <s v="Manjit Shah"/>
    <s v="Anil Matoo"/>
    <s v="-"/>
    <s v="Manjit Shah"/>
    <s v="-"/>
  </r>
  <r>
    <n v="7082"/>
    <n v="20059425"/>
    <s v="Girish Ary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2-04-15T00:00:00"/>
    <s v="41.05"/>
    <d v="2010-11-01T00:00:00"/>
    <d v="2040-04-30T00:00:00"/>
    <m/>
    <d v="2040-04-30T00:00:00"/>
    <n v="6067"/>
    <s v=""/>
    <s v=""/>
    <s v=""/>
    <s v="12.10"/>
    <s v="12.10"/>
    <s v="00052038"/>
    <s v="Gandhidham Operations"/>
    <s v="310092"/>
    <s v="New Acquisiiton"/>
    <s v="AMNS Gandhidham"/>
    <s v=""/>
    <s v=""/>
    <s v="2306BHIM"/>
    <s v="20059392"/>
    <s v="Rajendra Gupta"/>
    <s v="No"/>
    <s v="girish.arya1@amns.in"/>
    <s v=""/>
    <s v="1054709"/>
    <s v="Manjit Shah"/>
    <s v="Anil Matoo"/>
    <s v="-"/>
    <s v="Manjit Shah"/>
    <s v="-"/>
  </r>
  <r>
    <n v="7083"/>
    <n v="20059426"/>
    <s v="Satyendra Singh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5-07-10T00:00:00"/>
    <s v="38.02"/>
    <d v="2010-02-22T00:00:00"/>
    <d v="2043-07-31T00:00:00"/>
    <m/>
    <d v="2043-07-31T00:00:00"/>
    <n v="7254"/>
    <s v=""/>
    <s v=""/>
    <s v=""/>
    <s v="13.06"/>
    <s v="13.06"/>
    <s v="00052038"/>
    <s v="Gandhidham Operations"/>
    <s v="310106"/>
    <s v="New Acquisiiton"/>
    <s v="AMNS Gandhidham"/>
    <s v=""/>
    <s v=""/>
    <s v="2306BHIM"/>
    <s v="20059392"/>
    <s v="Rajendra Gupta"/>
    <s v="No"/>
    <s v="satyendra.singh41@amns.in"/>
    <s v=""/>
    <s v="1054711"/>
    <s v="Manjit Shah"/>
    <s v="Anil Matoo"/>
    <s v="-"/>
    <s v="Manjit Shah"/>
    <s v="-"/>
  </r>
  <r>
    <n v="7085"/>
    <n v="20059428"/>
    <s v="Hasmukh R.Gadhavi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5-10-22T00:00:00"/>
    <s v="47.10"/>
    <d v="2005-06-01T00:00:00"/>
    <d v="2033-10-31T00:00:00"/>
    <m/>
    <d v="2033-10-31T00:00:00"/>
    <n v="3694"/>
    <s v=""/>
    <s v=""/>
    <s v=""/>
    <s v="18.03"/>
    <s v="18.03"/>
    <s v="00052332"/>
    <s v="Mechanical Maintenance"/>
    <s v="309893"/>
    <s v="New Acquisiiton"/>
    <s v="AMNS Gandhidham"/>
    <s v=""/>
    <s v=""/>
    <s v="2318BHIM"/>
    <s v="20059381"/>
    <s v="Govind Dhanuka"/>
    <s v="No"/>
    <s v="hasmukh.rgadhavi@amns.in"/>
    <s v=""/>
    <s v="1054720"/>
    <s v="Manjit Shah"/>
    <s v="Anil Matoo"/>
    <s v="-"/>
    <s v="Manjit Shah"/>
    <s v="-"/>
  </r>
  <r>
    <n v="7086"/>
    <n v="20059429"/>
    <s v="Jagdish Yadav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69-07-03T00:00:00"/>
    <s v="54.02"/>
    <d v="2021-08-01T00:00:00"/>
    <d v="2027-07-31T00:00:00"/>
    <m/>
    <d v="2027-07-31T00:00:00"/>
    <n v="1410"/>
    <s v=""/>
    <s v=""/>
    <s v=""/>
    <s v="02.01"/>
    <s v="02.01"/>
    <s v="00052332"/>
    <s v="Mechanical Maintenance"/>
    <s v="309894"/>
    <s v="New Acquisiiton"/>
    <s v="AMNS Gandhidham"/>
    <s v=""/>
    <s v=""/>
    <s v="2318BHIM"/>
    <s v="20059381"/>
    <s v="Govind Dhanuka"/>
    <s v="No"/>
    <s v="jagdish.yadav3@amns.in"/>
    <s v=""/>
    <s v="1054722"/>
    <s v="Manjit Shah"/>
    <s v="Anil Matoo"/>
    <s v="-"/>
    <s v="Manjit Shah"/>
    <s v="-"/>
  </r>
  <r>
    <n v="7087"/>
    <n v="20059430"/>
    <s v="Jayeshbhai Dave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0-11-06T00:00:00"/>
    <s v="52.10"/>
    <d v="2019-08-08T00:00:00"/>
    <d v="2028-11-30T00:00:00"/>
    <m/>
    <d v="2028-11-30T00:00:00"/>
    <n v="1898"/>
    <s v=""/>
    <s v=""/>
    <s v=""/>
    <s v="04.01"/>
    <s v="04.01"/>
    <s v="00052038"/>
    <s v="Gandhidham Operations"/>
    <s v="309895"/>
    <s v="New Acquisiiton"/>
    <s v="AMNS Gandhidham"/>
    <s v=""/>
    <s v=""/>
    <s v="2318BHIM"/>
    <s v="20059392"/>
    <s v="Rajendra Gupta"/>
    <s v="No"/>
    <s v="jagdish.yadav3@amns.in"/>
    <s v=""/>
    <s v="1054742"/>
    <s v="Manjit Shah"/>
    <s v="Anil Matoo"/>
    <s v="-"/>
    <s v="Manjit Shah"/>
    <s v="-"/>
  </r>
  <r>
    <n v="7088"/>
    <n v="20059431"/>
    <s v="Nand Kumhar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3-01-01T00:00:00"/>
    <s v="50.08"/>
    <d v="2018-09-01T00:00:00"/>
    <d v="2030-12-31T00:00:00"/>
    <m/>
    <d v="2030-12-31T00:00:00"/>
    <n v="2659"/>
    <s v=""/>
    <s v=""/>
    <s v=""/>
    <s v="05.00"/>
    <s v="05.00"/>
    <s v="00052038"/>
    <s v="Gandhidham Operations"/>
    <s v="310076"/>
    <s v="New Acquisiiton"/>
    <s v="AMNS Gandhidham"/>
    <s v=""/>
    <s v=""/>
    <s v="2318BHIM"/>
    <s v="20059392"/>
    <s v="Rajendra Gupta"/>
    <s v="No"/>
    <s v="nand.kumhar@amns.in"/>
    <s v=""/>
    <s v="1054724"/>
    <s v="Manjit Shah"/>
    <s v="Anil Matoo"/>
    <s v="-"/>
    <s v="Manjit Shah"/>
    <s v="-"/>
  </r>
  <r>
    <n v="7089"/>
    <n v="20059432"/>
    <s v="Satish Warhokar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81-05-17T00:00:00"/>
    <s v="42.04"/>
    <d v="2017-12-25T00:00:00"/>
    <d v="2039-05-31T00:00:00"/>
    <m/>
    <d v="2039-05-31T00:00:00"/>
    <n v="5732"/>
    <s v=""/>
    <s v=""/>
    <s v=""/>
    <s v="05.08"/>
    <s v="05.08"/>
    <s v="00052038"/>
    <s v="Gandhidham Operations"/>
    <s v="310084"/>
    <s v="New Acquisiiton"/>
    <s v="AMNS Gandhidham"/>
    <s v=""/>
    <s v=""/>
    <s v="2318BHIM"/>
    <s v="20059392"/>
    <s v="Rajendra Gupta"/>
    <s v="No"/>
    <s v="satish.warhokar@amns.in"/>
    <s v=""/>
    <s v="1054743"/>
    <s v="Manjit Shah"/>
    <s v="Anil Matoo"/>
    <s v="-"/>
    <s v="Manjit Shah"/>
    <s v="-"/>
  </r>
  <r>
    <n v="7090"/>
    <n v="20059433"/>
    <s v="Santosh Sahoo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83-07-05T00:00:00"/>
    <s v="40.02"/>
    <d v="2021-04-01T00:00:00"/>
    <d v="2041-07-31T00:00:00"/>
    <m/>
    <d v="2041-07-31T00:00:00"/>
    <n v="6524"/>
    <s v=""/>
    <s v=""/>
    <s v=""/>
    <s v="02.05"/>
    <s v="02.05"/>
    <s v="00052038"/>
    <s v="Gandhidham Operations"/>
    <s v="310104"/>
    <s v="New Acquisiiton"/>
    <s v="AMNS Gandhidham"/>
    <s v=""/>
    <s v=""/>
    <s v="2318BHIM"/>
    <s v="20059392"/>
    <s v="Rajendra Gupta"/>
    <s v="No"/>
    <s v="santosh.sahoo31@amns.in"/>
    <s v=""/>
    <s v="1054731"/>
    <s v="Manjit Shah"/>
    <s v="Anil Matoo"/>
    <s v="-"/>
    <s v="Manjit Shah"/>
    <s v="-"/>
  </r>
  <r>
    <n v="7091"/>
    <n v="20059434"/>
    <s v="Arun Singh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5-12-20T00:00:00"/>
    <s v="47.09"/>
    <d v="2020-01-01T00:00:00"/>
    <d v="2033-12-31T00:00:00"/>
    <m/>
    <d v="2033-12-31T00:00:00"/>
    <n v="3755"/>
    <s v=""/>
    <s v=""/>
    <s v=""/>
    <s v="03.08"/>
    <s v="03.08"/>
    <s v="00052038"/>
    <s v="Gandhidham Operations"/>
    <s v="310110"/>
    <s v="New Acquisiiton"/>
    <s v="AMNS Gandhidham"/>
    <s v=""/>
    <s v=""/>
    <s v="2318BHIM"/>
    <s v="20059392"/>
    <s v="Rajendra Gupta"/>
    <s v="No"/>
    <s v="arun.singh55@amns.in"/>
    <s v="09627210043"/>
    <s v="1054744"/>
    <s v="Manjit Shah"/>
    <s v="Anil Matoo"/>
    <s v="-"/>
    <s v="Manjit Shah"/>
    <s v="-"/>
  </r>
  <r>
    <n v="7092"/>
    <n v="20059435"/>
    <s v="Vishnu Mishra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84-09-03T00:00:00"/>
    <s v="39.00"/>
    <d v="2010-07-03T00:00:00"/>
    <d v="2042-09-30T00:00:00"/>
    <m/>
    <d v="2042-09-30T00:00:00"/>
    <n v="6950"/>
    <s v=""/>
    <s v=""/>
    <s v=""/>
    <s v="13.02"/>
    <s v="13.02"/>
    <s v="00052038"/>
    <s v="Gandhidham Operations"/>
    <s v="310117"/>
    <s v="New Acquisiiton"/>
    <s v="AMNS Gandhidham"/>
    <s v=""/>
    <s v=""/>
    <s v="2318BHIM"/>
    <s v="20059392"/>
    <s v="Rajendra Gupta"/>
    <s v="No"/>
    <s v="vishnu.mishra3@amns.in"/>
    <s v=""/>
    <s v="1054745"/>
    <s v="Manjit Shah"/>
    <s v="Anil Matoo"/>
    <s v="-"/>
    <s v="Manjit Shah"/>
    <s v="-"/>
  </r>
  <r>
    <n v="7111"/>
    <n v="20059454"/>
    <s v="Saikat Dhar"/>
    <s v="AM/NS India"/>
    <s v="Onroll"/>
    <s v="M-5"/>
    <n v="5"/>
    <m/>
    <s v="MM"/>
    <s v="M"/>
    <s v="Odisha"/>
    <n v="2"/>
    <s v="2071"/>
    <x v="22"/>
    <s v="41.01"/>
    <s v="P Ashok Kumar"/>
    <s v="P Ashok Kumar"/>
    <n v="9"/>
    <s v="Legal"/>
    <s v="Legal"/>
    <s v="41"/>
    <s v="Legal Counsel, Odisha"/>
    <m/>
    <s v="Legal"/>
    <s v="Legal"/>
    <s v="Legal"/>
    <s v="Non Technical Support"/>
    <s v="Legal"/>
    <s v="Legal"/>
    <s v="73201001"/>
    <s v="Legal"/>
    <s v="Bhubaneswar"/>
    <d v="1976-08-03T00:00:00"/>
    <s v="47.01"/>
    <d v="2023-06-05T00:00:00"/>
    <d v="2034-08-31T00:00:00"/>
    <m/>
    <d v="2034-08-31T00:00:00"/>
    <n v="3998"/>
    <s v="B+"/>
    <s v="Diploma-2011 , LLB-1999"/>
    <s v="05.07"/>
    <s v="00.03"/>
    <s v="05.10"/>
    <s v="70494754"/>
    <s v="Legal"/>
    <s v="301041"/>
    <s v="Legal Counsel"/>
    <s v="Odisha"/>
    <s v="0090000019"/>
    <s v="Corporate Steel - Le"/>
    <s v="2000STORIS"/>
    <s v="20055235"/>
    <s v="P Ashok Kumar"/>
    <s v="No"/>
    <s v="saikat.dhar@amns.in"/>
    <s v="7077773398"/>
    <s v="1052604"/>
    <s v="Sunila Das"/>
    <s v="Anil Matoo"/>
    <s v="Praveen Kuruvalli"/>
    <s v="Sunila Das"/>
    <n v="0"/>
  </r>
  <r>
    <n v="7116"/>
    <n v="20059459"/>
    <s v="Ankush Gupta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Lead Sales &amp; Mark strategy-Long Products"/>
    <m/>
    <s v="Lead Sales and Marketing Strategy - Specialty"/>
    <s v=""/>
    <s v=""/>
    <s v="Non Technical Support"/>
    <s v=""/>
    <s v=""/>
    <s v=""/>
    <s v=""/>
    <s v="Mumbai"/>
    <d v="1981-06-21T00:00:00"/>
    <s v="42.03"/>
    <d v="2023-05-25T00:00:00"/>
    <d v="2039-06-30T00:00:00"/>
    <m/>
    <d v="2039-06-30T00:00:00"/>
    <n v="5762"/>
    <s v="A+"/>
    <s v="MBA-2009 , BTech-2004 , Intermediate-199"/>
    <s v="13.09"/>
    <s v="00.03"/>
    <s v="14.01"/>
    <s v="70494655"/>
    <s v="Sales Steering, Distribution and BD"/>
    <s v="311294"/>
    <s v="Lead Sales &amp; Mark strategy-Long Products"/>
    <s v="Corporate"/>
    <s v="0080000005"/>
    <s v="Global Markets Team"/>
    <s v="2000CRG"/>
    <s v="20055091"/>
    <s v="Akshaya Gujral"/>
    <s v="No"/>
    <s v="ankush.gupta@amns.in"/>
    <s v="9727751391"/>
    <s v="1053400"/>
    <s v="Dhruv Vyas"/>
    <s v="Anil Matoo"/>
    <s v="Praveen Kuruvalli"/>
    <s v="Dhruv Vyas"/>
    <n v="0"/>
  </r>
  <r>
    <n v="7117"/>
    <n v="20059460"/>
    <s v="Anshika Kayasth"/>
    <s v="AM/NS India"/>
    <s v="Onroll"/>
    <s v="T-2 (MT)"/>
    <n v="13"/>
    <m/>
    <s v="JM"/>
    <s v="F"/>
    <s v="Hazira"/>
    <n v="1"/>
    <s v="2015"/>
    <x v="1"/>
    <s v="22.06"/>
    <s v="Praveen Kuruvalli"/>
    <s v="Ashutosh Telang"/>
    <n v="6"/>
    <s v="HR &amp; Administration"/>
    <s v="Human Resources"/>
    <s v="22"/>
    <s v="Management Trainee- Human Resouces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Hazira"/>
    <d v="1999-03-22T00:00:00"/>
    <s v="24.06"/>
    <d v="2023-05-29T00:00:00"/>
    <d v="2057-03-31T00:00:00"/>
    <m/>
    <d v="2057-03-31T00:00:00"/>
    <n v="12246"/>
    <s v="B+"/>
    <s v="MBA-2023 , Intermediate-2016"/>
    <s v=""/>
    <s v="00.03"/>
    <s v="00.03"/>
    <s v="70242278"/>
    <s v="People Strategy &amp; HR Center Excellence"/>
    <s v="301580"/>
    <s v="Management Trainee- Human Resouces"/>
    <s v="Hazira"/>
    <s v="0031950061"/>
    <s v="HZ-Human Resource"/>
    <s v="2000HWO"/>
    <s v="20055483"/>
    <s v="Praveen Kuruvalli"/>
    <s v="No"/>
    <s v="anshika.kayasth@amns.in"/>
    <s v="7310709459"/>
    <s v="892334"/>
    <s v="Dhruv Vyas"/>
    <s v="Anil Matoo"/>
    <s v="Praveen Kuruvalli"/>
    <s v="Dhruv Vyas"/>
    <n v="0"/>
  </r>
  <r>
    <n v="7118"/>
    <n v="20059461"/>
    <s v="Mudit Jain"/>
    <s v="AM/NS India"/>
    <s v="Onroll"/>
    <s v="T-2 (MT)"/>
    <n v="13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Management Trainee - Finance"/>
    <m/>
    <s v="Finance &amp; Accounts"/>
    <s v="Performance Management"/>
    <s v="Performance Management"/>
    <s v="Non Technical Support"/>
    <s v=""/>
    <s v=""/>
    <s v="70494642"/>
    <s v="Deputy Director"/>
    <s v="Hazira"/>
    <d v="2000-11-20T00:00:00"/>
    <s v="22.09"/>
    <d v="2023-05-29T00:00:00"/>
    <d v="2058-11-30T00:00:00"/>
    <m/>
    <d v="2058-11-30T00:00:00"/>
    <n v="12855"/>
    <s v="AB+"/>
    <s v="MBA-2023 , Intermediate-2018 , MBA-2016"/>
    <s v=""/>
    <s v="00.03"/>
    <s v="00.03"/>
    <s v="00049304"/>
    <s v="PM - Internal Control"/>
    <s v="301582"/>
    <s v="Management Trainee - Finance"/>
    <s v="Hazira"/>
    <s v="0031950043"/>
    <s v="HZ-Performance Manag"/>
    <s v="2000HWO"/>
    <s v="20006833"/>
    <s v="Hardik Vasavada"/>
    <s v="No"/>
    <s v="mudit.jain@amns.in"/>
    <s v="9315802581"/>
    <s v="892322"/>
    <s v="Dhruv Vyas"/>
    <s v="Anil Matoo"/>
    <s v="Praveen Kuruvalli"/>
    <s v="Dhruv Vyas"/>
    <n v="0"/>
  </r>
  <r>
    <n v="7119"/>
    <n v="20059462"/>
    <s v="Nikhil Bhad"/>
    <s v="AM/NS India"/>
    <s v="Onroll"/>
    <s v="T-2 (MT)"/>
    <n v="13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Management Trainee - Procurement"/>
    <m/>
    <s v="Procurement"/>
    <s v="Procurement"/>
    <s v=""/>
    <s v="Non Technical Support"/>
    <s v=""/>
    <s v=""/>
    <s v=""/>
    <s v=""/>
    <s v="Hazira"/>
    <d v="1999-02-06T00:00:00"/>
    <s v="24.07"/>
    <d v="2023-05-29T00:00:00"/>
    <d v="2057-02-28T00:00:00"/>
    <m/>
    <d v="2057-02-28T00:00:00"/>
    <n v="12215"/>
    <s v="B+"/>
    <s v="MBA-2023 , BE-2021 , Intermediate-2017 ,"/>
    <s v=""/>
    <s v="00.03"/>
    <s v="00.03"/>
    <s v="70495712"/>
    <s v="Logistics"/>
    <s v="302237"/>
    <s v="Management Trainee - Procurement"/>
    <s v="Hazira"/>
    <s v="0031950048"/>
    <s v="HZ-Procurment Depart"/>
    <s v="2000HWO"/>
    <s v="20055688"/>
    <s v="Vibhavana Jaiswal"/>
    <s v="No"/>
    <s v="nikhil.bhad@amns.in"/>
    <s v="7757936535"/>
    <s v="892318"/>
    <s v="Dhruv Vyas"/>
    <s v="Anil Matoo"/>
    <s v="Praveen Kuruvalli"/>
    <s v="Dhruv Vyas"/>
    <n v="0"/>
  </r>
  <r>
    <n v="7120"/>
    <n v="20059463"/>
    <s v="Srijan Negi"/>
    <s v="AM/NS India"/>
    <s v="Onroll"/>
    <s v="T-2 (MT)"/>
    <n v="13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Management Trainee - Finance"/>
    <m/>
    <s v="Finance &amp; Accounts"/>
    <s v="Working Capital"/>
    <s v=""/>
    <s v="Non Technical Support"/>
    <s v=""/>
    <s v=""/>
    <s v=""/>
    <s v=""/>
    <s v="Mumbai"/>
    <d v="2000-09-19T00:00:00"/>
    <s v="23.00"/>
    <d v="2023-05-29T00:00:00"/>
    <d v="2058-09-30T00:00:00"/>
    <m/>
    <d v="2058-09-30T00:00:00"/>
    <n v="12794"/>
    <s v="AB-"/>
    <s v="MBA-2023 , BCom-2021 , Intermediate-2019"/>
    <s v=""/>
    <s v="00.03"/>
    <s v="00.03"/>
    <s v="70494931"/>
    <s v="Working Capital"/>
    <s v="302223"/>
    <s v="Management Trainee - Finance"/>
    <s v="Corporate"/>
    <s v="0090000028"/>
    <s v="Corporate Steel - Wo"/>
    <s v="2000CS"/>
    <s v="20055188"/>
    <s v="Rohit Sharma"/>
    <s v="No"/>
    <s v="srijan.negi@amns.in"/>
    <s v="7007797619"/>
    <s v="892328"/>
    <s v="Dhruv Vyas"/>
    <s v="Anil Matoo"/>
    <s v="Praveen Kuruvalli"/>
    <s v="Dhruv Vyas"/>
    <n v="0"/>
  </r>
  <r>
    <n v="7121"/>
    <n v="20059464"/>
    <s v="Saurabh Ingavale"/>
    <s v="AM/NS India"/>
    <s v="Onroll"/>
    <s v="T-2 (MT)"/>
    <n v="13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Management Trainee - Procurement"/>
    <m/>
    <s v="Capex Procurement"/>
    <s v=""/>
    <s v=""/>
    <s v="Non Technical Support"/>
    <s v=""/>
    <s v=""/>
    <s v=""/>
    <s v=""/>
    <s v="Hazira"/>
    <d v="1996-03-12T00:00:00"/>
    <s v="27.06"/>
    <d v="2023-05-29T00:00:00"/>
    <d v="2054-03-31T00:00:00"/>
    <m/>
    <d v="2054-03-31T00:00:00"/>
    <n v="11150"/>
    <s v="B+"/>
    <s v="MBA-2023 , BE-2017 , Intermediate-2013"/>
    <s v="02.03"/>
    <s v="00.03"/>
    <s v="02.06"/>
    <s v="70282830"/>
    <s v="Capex Procurement &amp; Secondary Sales"/>
    <s v="302236"/>
    <s v="Management Trainee - Procurement"/>
    <s v="Hazira"/>
    <s v="0031950059"/>
    <s v="HZ-Hazira Project"/>
    <s v="2000HWO"/>
    <s v="20052261"/>
    <s v="Aruni Mishra"/>
    <s v="No"/>
    <s v="saurabh.ingavale@amns.in"/>
    <s v="6358079760"/>
    <s v="892333"/>
    <s v="Dhruv Vyas"/>
    <s v="Anil Matoo"/>
    <s v="Praveen Kuruvalli"/>
    <s v="Dhruv Vyas"/>
    <n v="0"/>
  </r>
  <r>
    <n v="7122"/>
    <n v="20059465"/>
    <s v="Parvathy B"/>
    <s v="AM/NS India"/>
    <s v="Onroll"/>
    <s v="T-2 (MT)"/>
    <n v="13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Operations"/>
    <s v="Operations"/>
    <s v="72103001"/>
    <s v="Operations"/>
    <s v="Mumbai"/>
    <d v="1998-01-14T00:00:00"/>
    <s v="25.08"/>
    <d v="2023-05-29T00:00:00"/>
    <d v="2056-01-31T00:00:00"/>
    <m/>
    <d v="2056-01-31T00:00:00"/>
    <n v="11821"/>
    <s v="O+"/>
    <s v=""/>
    <s v=""/>
    <s v="00.03"/>
    <s v="00.03"/>
    <s v="70343195"/>
    <s v="Automotive Sales &amp; Service Centers"/>
    <s v="300900"/>
    <s v="Management Trainee - Sales &amp; Marketing"/>
    <s v="Corporate"/>
    <s v="0031950057"/>
    <s v="HZ-HRC - Marketing"/>
    <s v="2000CS"/>
    <s v="20016767"/>
    <s v="Raghavan Venkatachalam"/>
    <s v="No"/>
    <s v="parvarthy.b@amns.in"/>
    <s v="8289972238"/>
    <s v="1053567"/>
    <s v="Dhruv Vyas"/>
    <s v="Anil Matoo"/>
    <s v="Praveen Kuruvalli"/>
    <s v="Dhruv Vyas"/>
    <n v="0"/>
  </r>
  <r>
    <n v="7123"/>
    <n v="20059466"/>
    <s v="Sridharan S"/>
    <s v="AM/NS India"/>
    <s v="Onroll"/>
    <s v="T-2 (MT)"/>
    <n v="13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Sales &amp; Marketing"/>
    <s v="Sales &amp; Marketing"/>
    <s v="73101001"/>
    <s v="Sales &amp; Marketing"/>
    <s v="Chennai"/>
    <d v="2001-03-29T00:00:00"/>
    <s v="22.05"/>
    <d v="2023-05-29T00:00:00"/>
    <d v="2059-03-31T00:00:00"/>
    <m/>
    <d v="2059-03-31T00:00:00"/>
    <n v="12976"/>
    <s v="A+"/>
    <s v=""/>
    <s v=""/>
    <s v="00.03"/>
    <s v="00.03"/>
    <s v="72150150"/>
    <s v="Sales South Zone"/>
    <s v="301589"/>
    <s v="Management Trainee - Sales &amp; Marketing"/>
    <s v="Service Center"/>
    <s v="0031950057"/>
    <s v="HZ-HRC - Marketing"/>
    <s v="2000CS"/>
    <s v="20000909"/>
    <s v="Murali Krishna Chunduru"/>
    <s v="No"/>
    <s v="sridharan.s@amns.in"/>
    <s v="7092675620"/>
    <s v="1053580"/>
    <s v="Dhruv Vyas"/>
    <s v="Anil Matoo"/>
    <s v="Praveen Kuruvalli"/>
    <s v="Dhruv Vyas"/>
    <n v="0"/>
  </r>
  <r>
    <n v="7124"/>
    <n v="20059467"/>
    <s v="Akshay Kumar P D"/>
    <s v="AM/NS India"/>
    <s v="Onroll"/>
    <s v="T-2 (MT)"/>
    <n v="13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"/>
    <s v=""/>
    <s v=""/>
    <s v=""/>
    <s v="Mumbai"/>
    <d v="1996-05-24T00:00:00"/>
    <s v="27.03"/>
    <d v="2023-05-29T00:00:00"/>
    <d v="2054-05-31T00:00:00"/>
    <m/>
    <d v="2054-05-31T00:00:00"/>
    <n v="11211"/>
    <s v="B+"/>
    <s v=""/>
    <s v=""/>
    <s v="00.03"/>
    <s v="00.03"/>
    <s v="70494655"/>
    <s v="Sales Steering, Distribution and BD"/>
    <s v="302221"/>
    <s v="Management Trainee - Sales &amp; Marketing"/>
    <s v="Corporate"/>
    <s v="0080000005"/>
    <s v="Global Markets Team"/>
    <s v="2000CS"/>
    <s v="20055091"/>
    <s v="Akshaya Gujral"/>
    <s v="No"/>
    <s v="akshay.kumar1@amns.in"/>
    <s v="7710001719"/>
    <s v="1053610"/>
    <s v="Dhruv Vyas"/>
    <s v="Anil Matoo"/>
    <s v="Praveen Kuruvalli"/>
    <s v="Dhruv Vyas"/>
    <n v="0"/>
  </r>
  <r>
    <n v="7125"/>
    <n v="20059468"/>
    <s v="Abhay Hoshing"/>
    <s v="AM/NS India"/>
    <s v="Onroll"/>
    <s v="T-2 (MT)"/>
    <n v="13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Management Trainee - Finance"/>
    <m/>
    <s v="Finance &amp; Accounts"/>
    <s v="Working Capital"/>
    <s v=""/>
    <s v="Non Technical Support"/>
    <s v="Sales &amp; Marketing"/>
    <s v="Business Development"/>
    <s v="73103001"/>
    <s v="Business Development"/>
    <s v="Mumbai"/>
    <d v="1994-06-29T00:00:00"/>
    <s v="29.02"/>
    <d v="2023-05-29T00:00:00"/>
    <d v="2052-06-30T00:00:00"/>
    <m/>
    <d v="2052-06-30T00:00:00"/>
    <n v="10511"/>
    <s v="B+"/>
    <s v=""/>
    <s v=""/>
    <s v="00.03"/>
    <s v="00.03"/>
    <s v="70494931"/>
    <s v="Working Capital"/>
    <s v="301672"/>
    <s v="Management Trainee - Finance"/>
    <s v="Corporate"/>
    <s v="0090000028"/>
    <s v="Corporate Steel - Wo"/>
    <s v="2000HWO"/>
    <s v="20055188"/>
    <s v="Rohit Sharma"/>
    <s v="No"/>
    <s v="abhay.hoshing@amns.in"/>
    <s v="7708262619"/>
    <s v="1053612"/>
    <s v="Dhruv Vyas"/>
    <s v="Anil Matoo"/>
    <s v="Praveen Kuruvalli"/>
    <s v="Dhruv Vyas"/>
    <n v="0"/>
  </r>
  <r>
    <n v="7126"/>
    <n v="20059469"/>
    <s v="Jayant Dev Goel"/>
    <s v="AM/NS India"/>
    <s v="Onroll"/>
    <s v="T-2 (MT)"/>
    <n v="13"/>
    <m/>
    <s v="JM"/>
    <s v="M"/>
    <s v="Corporate"/>
    <n v="7"/>
    <s v="2069"/>
    <x v="8"/>
    <s v="25.01"/>
    <s v="Bibek Chattopadhyay"/>
    <s v="Ashutosh Telang"/>
    <n v="6"/>
    <s v="HR &amp; Administration"/>
    <s v="Corporate Communications"/>
    <s v="25"/>
    <s v="MT - Corporate Communication"/>
    <m/>
    <s v="Corporate Communicat"/>
    <s v=""/>
    <s v=""/>
    <s v="Non Technical Support"/>
    <s v="Corporate Communication"/>
    <s v="Corporate Communication"/>
    <s v="74001001"/>
    <s v="Corporate Communication"/>
    <s v="Mumbai"/>
    <d v="1999-08-24T00:00:00"/>
    <s v="24.00"/>
    <d v="2023-05-29T00:00:00"/>
    <d v="2057-08-31T00:00:00"/>
    <m/>
    <d v="2057-08-31T00:00:00"/>
    <n v="12399"/>
    <s v="O+"/>
    <s v=""/>
    <s v=""/>
    <s v="00.03"/>
    <s v="00.03"/>
    <s v="70318583"/>
    <s v="Communications &amp; Media Relations"/>
    <s v="301670"/>
    <s v="Management Trainee-Corpo. Communication"/>
    <s v="Corporate"/>
    <s v="0090000016"/>
    <s v="Corporate Steel - Co"/>
    <s v="2000CS"/>
    <s v="20055187"/>
    <s v="Bibek Chattopadhyay"/>
    <s v="No"/>
    <s v="jayant.goel@amns.in"/>
    <s v="9501020285"/>
    <s v="1053615"/>
    <s v="Dhruv Vyas"/>
    <s v="Anil Matoo"/>
    <s v="Praveen Kuruvalli"/>
    <s v="Dhruv Vyas"/>
    <n v="0"/>
  </r>
  <r>
    <n v="7127"/>
    <n v="20059470"/>
    <s v="Akhil Sharma"/>
    <s v="AM/NS India"/>
    <s v="Onroll"/>
    <s v="T-2 (MT)"/>
    <n v="13"/>
    <m/>
    <s v="JM"/>
    <s v="M"/>
    <s v="Corporate"/>
    <n v="7"/>
    <s v="2043"/>
    <x v="3"/>
    <s v="31.01"/>
    <s v="Hrishikesh Kamat"/>
    <s v="Hrishikesh Kamat"/>
    <n v="7"/>
    <s v="Procurement"/>
    <s v="Procurement"/>
    <s v="31"/>
    <s v="Management Trainee - Procurement"/>
    <m/>
    <s v="Procurement"/>
    <s v=""/>
    <s v=""/>
    <s v="Non Technical Support"/>
    <s v="Sales &amp; Marketing"/>
    <s v="Business Development"/>
    <s v="73103001"/>
    <s v="Business Development"/>
    <s v="Mumbai"/>
    <d v="1997-10-11T00:00:00"/>
    <s v="25.11"/>
    <d v="2023-05-29T00:00:00"/>
    <d v="2055-10-31T00:00:00"/>
    <m/>
    <d v="2055-10-31T00:00:00"/>
    <n v="11729"/>
    <s v="A-"/>
    <s v=""/>
    <s v=""/>
    <s v="00.03"/>
    <s v="00.03"/>
    <s v="70494637"/>
    <s v="Procurement"/>
    <s v="301671"/>
    <s v="Management Trainee - Procurement"/>
    <s v="Corporate"/>
    <s v="0031950048"/>
    <s v="HZ-Procurment Depart"/>
    <s v="2000CRG"/>
    <s v="20055090"/>
    <s v="Hrishikesh Kamat"/>
    <s v="No"/>
    <s v="akhil.sharma@amns.in"/>
    <s v="9040861106"/>
    <s v="1053617"/>
    <s v="Dhruv Vyas"/>
    <s v="Anil Matoo"/>
    <s v="Praveen Kuruvalli"/>
    <s v="Dhruv Vyas"/>
    <n v="0"/>
  </r>
  <r>
    <n v="7128"/>
    <n v="20059471"/>
    <s v="Srinadhu Bhimesh Kumar"/>
    <s v="AM/NS India"/>
    <s v="Onroll"/>
    <s v="T-2 (MT)"/>
    <n v="13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"/>
    <s v=""/>
    <s v=""/>
    <s v=""/>
    <s v="Mumbai"/>
    <d v="1995-12-29T00:00:00"/>
    <s v="27.08"/>
    <d v="2023-05-29T00:00:00"/>
    <d v="2053-12-31T00:00:00"/>
    <m/>
    <d v="2053-12-31T00:00:00"/>
    <n v="11060"/>
    <s v="O+"/>
    <s v=""/>
    <s v=""/>
    <s v="00.03"/>
    <s v="00.03"/>
    <s v="00052527"/>
    <s v="Sales &amp; Marketing"/>
    <s v="302222"/>
    <s v="Management Trainee - Sales &amp; Marketing"/>
    <s v="Corporate"/>
    <s v="0031950048"/>
    <s v="HZ-Procurment Depart"/>
    <s v="2000CRG"/>
    <s v="20058930"/>
    <s v="Robin Kurien"/>
    <s v="No"/>
    <s v="srinadhu.kumar@amns.in"/>
    <s v="9701686749"/>
    <s v="1053619"/>
    <s v="Dhruv Vyas"/>
    <s v="Anil Matoo"/>
    <s v="Praveen Kuruvalli"/>
    <s v="Dhruv Vyas"/>
    <n v="0"/>
  </r>
  <r>
    <n v="7129"/>
    <n v="20059472"/>
    <s v="Muskaan Garg"/>
    <s v="AM/NS India"/>
    <s v="Onroll"/>
    <s v="T-2 (MT)"/>
    <n v="13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Mechanical"/>
    <s v="LSAW"/>
    <s v="Non Technical Support"/>
    <s v=""/>
    <s v=""/>
    <s v=""/>
    <s v=""/>
    <s v="Mumbai"/>
    <d v="2000-04-10T00:00:00"/>
    <s v="23.05"/>
    <d v="2023-05-29T00:00:00"/>
    <d v="2058-04-30T00:00:00"/>
    <m/>
    <d v="2058-04-30T00:00:00"/>
    <n v="12641"/>
    <s v="A+"/>
    <s v="MBA-2023 , BSc-2021 , BSc-2021 , Interme"/>
    <s v=""/>
    <s v="00.03"/>
    <s v="00.03"/>
    <s v="00051380"/>
    <s v="Sales &amp; Marketing"/>
    <s v="311297"/>
    <s v="Management Trainee - Sales &amp; Marketing"/>
    <s v="Corporate"/>
    <s v="0031591619"/>
    <s v="PM-Common Cost"/>
    <s v="2000CS"/>
    <s v="20058920"/>
    <s v="Atul Singh"/>
    <s v="No"/>
    <s v="muskaan.garg@amns.in"/>
    <s v="8826488454"/>
    <s v="892309"/>
    <s v="Dhruv Vyas"/>
    <s v="Anil Matoo"/>
    <s v="Praveen Kuruvalli"/>
    <s v="Dhruv Vyas"/>
    <n v="0"/>
  </r>
  <r>
    <n v="7130"/>
    <n v="20059473"/>
    <s v="S Srinivash Patro"/>
    <s v="AM/NS India"/>
    <s v="Onroll"/>
    <s v="M-7"/>
    <n v="7"/>
    <m/>
    <s v="MM"/>
    <s v="M"/>
    <s v="Odisha"/>
    <n v="2"/>
    <s v="2099"/>
    <x v="19"/>
    <s v="02.01"/>
    <s v="Raghavan Aravamudhan"/>
    <s v="Dilip Oommen"/>
    <n v="1"/>
    <s v="CEO Office"/>
    <s v="Business Strategy"/>
    <s v="02"/>
    <s v="Lead PMO Analyst"/>
    <m/>
    <s v="Business Strategy"/>
    <s v="Business Strategy"/>
    <s v="Business Strategy"/>
    <s v="Non Technical Support"/>
    <s v="Operations"/>
    <s v="Operations"/>
    <s v="72103001"/>
    <s v="Operations"/>
    <s v="Bhubaneswar"/>
    <d v="1989-01-26T00:00:00"/>
    <s v="34.07"/>
    <d v="2023-05-29T00:00:00"/>
    <d v="2047-01-31T00:00:00"/>
    <m/>
    <d v="2047-01-31T00:00:00"/>
    <n v="8534"/>
    <s v="O+"/>
    <s v="PG Diploma-2016 , BTech-2011 , Intermedi"/>
    <s v="01.04"/>
    <s v="00.03"/>
    <s v="01.07"/>
    <s v="00046538"/>
    <s v="Project Monitoring"/>
    <s v="311446"/>
    <s v="Lead PMO Analyst"/>
    <s v="Odisha"/>
    <s v="0090000022"/>
    <s v="Business Strategy"/>
    <s v="2000STORIS"/>
    <s v="20049281"/>
    <s v="Raveena Dhoot"/>
    <s v="No"/>
    <s v="srinivash.patro@amns.in"/>
    <s v="9019236907"/>
    <s v="1053956"/>
    <s v="Sunila Das"/>
    <s v="Anil Matoo"/>
    <s v="Praveen Kuruvalli"/>
    <s v="Sunila Das"/>
    <n v="0"/>
  </r>
  <r>
    <n v="7133"/>
    <n v="20059476"/>
    <s v="Jayesh Jhawar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Corporate Accounts"/>
    <m/>
    <s v="Finance &amp; Accounts"/>
    <s v=""/>
    <s v=""/>
    <s v="Non Technical Support"/>
    <s v=""/>
    <s v=""/>
    <s v=""/>
    <s v=""/>
    <s v="Hazira"/>
    <d v="2000-03-29T00:00:00"/>
    <s v="23.05"/>
    <d v="2023-06-12T00:00:00"/>
    <d v="2058-03-31T00:00:00"/>
    <m/>
    <d v="2058-03-31T00:00:00"/>
    <n v="12611"/>
    <s v="A+"/>
    <s v="BCom-2021 , Intermediate-2016"/>
    <s v="00.08"/>
    <s v="00.03"/>
    <s v="00.11"/>
    <s v="70495666"/>
    <s v="Corporate Asset Management"/>
    <s v="70495599"/>
    <s v="Officer - Corporate Accounts"/>
    <s v="Hazira"/>
    <s v="0090000027"/>
    <s v="Corporate Steel - Ac"/>
    <s v="2000HWO"/>
    <s v="20045482"/>
    <s v="Sandeep Soni"/>
    <s v="No"/>
    <s v="jayesh.jhawar@amns.in"/>
    <s v="8320434531"/>
    <s v="1054010"/>
    <s v="Dhruv Vyas"/>
    <s v="Anil Matoo"/>
    <s v="Praveen Kuruvalli"/>
    <s v="Dhruv Vyas"/>
    <n v="0"/>
  </r>
  <r>
    <n v="7134"/>
    <n v="20059477"/>
    <s v="Jasmin Karena"/>
    <s v="AM/NS India"/>
    <s v="Onroll"/>
    <s v="M-8"/>
    <n v="8"/>
    <m/>
    <s v="JM"/>
    <s v="M"/>
    <s v="Hazira"/>
    <n v="1"/>
    <s v="2270"/>
    <x v="25"/>
    <s v="38.01"/>
    <s v="Hrishikesh Kamat"/>
    <s v="Hrishikesh Kamat"/>
    <n v="7"/>
    <s v="Procurement"/>
    <s v="Logistics"/>
    <s v="38"/>
    <s v="Lead – Logistics (Air Shipment)"/>
    <m/>
    <s v="Logistics – Commercial"/>
    <s v=""/>
    <s v=""/>
    <s v="Non Technical Support"/>
    <s v=""/>
    <s v=""/>
    <s v=""/>
    <s v=""/>
    <s v="Hazira"/>
    <d v="1989-02-05T00:00:00"/>
    <s v="34.07"/>
    <d v="2023-06-15T00:00:00"/>
    <d v="2047-02-28T00:00:00"/>
    <m/>
    <d v="2047-02-28T00:00:00"/>
    <n v="8562"/>
    <s v="O+"/>
    <s v="MBA-2013 , Intermediate-2007"/>
    <s v="07.03"/>
    <s v="00.03"/>
    <s v="07.06"/>
    <s v="70495712"/>
    <s v="Logistics"/>
    <s v="305370"/>
    <s v="Lead – Logistics (Air Shipment)"/>
    <s v="Hazira"/>
    <s v="0031950053"/>
    <s v="HZ-Logistics"/>
    <s v="2000HWO"/>
    <s v="20055688"/>
    <s v="Vibhavana Jaiswal"/>
    <s v="No"/>
    <s v="jasmin.karena@amns.in"/>
    <s v="9428894746"/>
    <s v="1054768"/>
    <s v="Dhruv Vyas"/>
    <s v="Anil Matoo"/>
    <s v="Praveen Kuruvalli"/>
    <s v="Dhruv Vyas"/>
    <n v="0"/>
  </r>
  <r>
    <n v="7135"/>
    <n v="20059478"/>
    <s v="Medha Kumari"/>
    <s v="AM/NS India"/>
    <s v="Onroll"/>
    <s v="M-9"/>
    <n v="9"/>
    <m/>
    <s v="JM"/>
    <s v="F"/>
    <s v="Corporate"/>
    <n v="7"/>
    <s v="2069"/>
    <x v="8"/>
    <s v="25.01"/>
    <s v="Bibek Chattopadhyay"/>
    <s v="Ashutosh Telang"/>
    <n v="6"/>
    <s v="HR &amp; Administration"/>
    <s v="Corporate Communications"/>
    <s v="25"/>
    <s v="Officer - Corporate Communication"/>
    <m/>
    <s v="Corporate Communicat"/>
    <s v=""/>
    <s v=""/>
    <s v="Non Technical Support"/>
    <s v="Corporate Communication"/>
    <s v="Corporate Communication"/>
    <s v="74001001"/>
    <s v="Corporate Communication"/>
    <s v="Mumbai"/>
    <d v="1999-10-02T00:00:00"/>
    <s v="23.11"/>
    <d v="2023-06-12T00:00:00"/>
    <d v="2057-10-31T00:00:00"/>
    <m/>
    <d v="2057-10-31T00:00:00"/>
    <n v="12460"/>
    <s v="O+"/>
    <s v="BCom-2019"/>
    <s v=""/>
    <s v="00.03"/>
    <s v="00.03"/>
    <s v="70318583"/>
    <s v="Communications &amp; Media Relations"/>
    <s v="272985"/>
    <s v="Officer - Corporate Communication"/>
    <s v="Corporate"/>
    <s v="0090000016"/>
    <s v="Corporate Steel - Co"/>
    <s v="2000CRG"/>
    <s v="20055187"/>
    <s v="Bibek Chattopadhyay"/>
    <s v="No"/>
    <s v="medha.kumari@amns.in"/>
    <s v="9523705964"/>
    <s v="1054913"/>
    <s v="Dhruv Vyas"/>
    <s v="Anil Matoo"/>
    <s v="Praveen Kuruvalli"/>
    <s v="Dhruv Vyas"/>
    <n v="0"/>
  </r>
  <r>
    <n v="7146"/>
    <n v="20059489"/>
    <s v="Aayushi Jain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Finance &amp; Accounts"/>
    <m/>
    <s v="Finance &amp; Accounts"/>
    <s v="Service Centers"/>
    <s v=""/>
    <s v="Non Technical Support"/>
    <s v="Projects"/>
    <s v="Projects Coordination"/>
    <s v="72103038"/>
    <s v="Projects Coordination"/>
    <s v="Hazira"/>
    <d v="1999-01-27T00:00:00"/>
    <s v="24.07"/>
    <d v="2023-06-19T00:00:00"/>
    <d v="2057-01-31T00:00:00"/>
    <m/>
    <d v="2057-01-31T00:00:00"/>
    <n v="12187"/>
    <s v="A+"/>
    <s v="BCom-2020 , CA Final-2023 , Intermediate"/>
    <s v=""/>
    <s v="00.03"/>
    <s v="00.03"/>
    <s v="70495565"/>
    <s v="F&amp;A Hypermart &amp; Service Centre"/>
    <s v="272364"/>
    <s v="Officer - Finance &amp; Accounts"/>
    <s v="Hazira"/>
    <s v="0040000000"/>
    <s v="SC - Common"/>
    <s v="2000HWO"/>
    <s v="20055504"/>
    <s v="Vivek Choudhary"/>
    <s v="No"/>
    <s v="aayushi.jain@amns.in"/>
    <s v="8302957922"/>
    <s v="1055538"/>
    <s v="Dhruv Vyas"/>
    <s v="Anil Matoo"/>
    <s v="Praveen Kuruvalli"/>
    <s v="Dhruv Vyas"/>
    <n v="0"/>
  </r>
  <r>
    <n v="7147"/>
    <n v="20059490"/>
    <s v="Saurabh Nalway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Pipe Sales"/>
    <m/>
    <s v="Sales &amp; Marketing"/>
    <s v=""/>
    <s v=""/>
    <s v="Non Technical Support"/>
    <s v="Sales &amp; Marketing"/>
    <s v="Sales &amp; Marketing"/>
    <s v="73101001"/>
    <s v="Sales &amp; Marketing"/>
    <s v="Delhi"/>
    <d v="1982-08-04T00:00:00"/>
    <s v="41.01"/>
    <d v="2023-06-19T00:00:00"/>
    <d v="2040-08-31T00:00:00"/>
    <m/>
    <d v="2040-08-31T00:00:00"/>
    <n v="6190"/>
    <s v=""/>
    <s v="BTech-2005 , Intermediate-2000"/>
    <s v="15.00"/>
    <s v="00.03"/>
    <s v="15.02"/>
    <s v="70387159"/>
    <s v="Pipe Sales"/>
    <s v="312029"/>
    <s v="KAM - Pipe Sales"/>
    <s v="Hazira"/>
    <s v="0031591982"/>
    <s v="PM-Marketing"/>
    <s v="2000HWO"/>
    <s v="20007414"/>
    <s v="Gaurav Sharma"/>
    <s v="No"/>
    <s v="saurabh.nalwaya@amns.in"/>
    <s v="9999914262"/>
    <s v="889972"/>
    <s v="Dhruv Vyas"/>
    <s v="Anil Matoo"/>
    <s v="Praveen Kuruvalli"/>
    <s v="Dhruv Vyas"/>
    <n v="0"/>
  </r>
  <r>
    <n v="7150"/>
    <n v="20059493"/>
    <s v="Jaiyamin Vaghasiya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"/>
    <s v=""/>
    <s v=""/>
    <s v="Non Technical Support"/>
    <s v="Sales &amp; Marketing"/>
    <s v="Sales &amp; Marketing"/>
    <s v="73101001"/>
    <s v="Sales &amp; Marketing"/>
    <s v="Hazira"/>
    <d v="2001-07-07T00:00:00"/>
    <s v="22.02"/>
    <d v="2023-06-14T00:00:00"/>
    <d v="2059-07-31T00:00:00"/>
    <m/>
    <d v="2059-07-31T00:00:00"/>
    <n v="13098"/>
    <s v=""/>
    <s v=""/>
    <s v=""/>
    <s v="00.03"/>
    <s v="00.03"/>
    <s v="00049515"/>
    <s v="Capex Procurement"/>
    <s v="301541"/>
    <s v="Engineer"/>
    <s v="Hazira"/>
    <s v="0031490019"/>
    <s v="CRM- ADMIN/HR/OTHER"/>
    <s v="2043HAZI"/>
    <s v="20054320"/>
    <s v="Sanjaykumar Kanani"/>
    <s v="No"/>
    <s v="jaiyamin.vaghasiya@amns.in"/>
    <s v="9909902199"/>
    <s v="26542"/>
    <s v="Dhruv Vyas"/>
    <s v="Anil Matoo"/>
    <s v="Praveen Kuruvalli"/>
    <s v="Dhruv Vyas"/>
    <n v="0"/>
  </r>
  <r>
    <n v="7205"/>
    <n v="20059548"/>
    <s v="Jayanti Chhajer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m/>
    <m/>
    <s v="Non Technical Support"/>
    <s v="Operations"/>
    <s v="Operations"/>
    <s v="72103001"/>
    <s v="Operations"/>
    <s v="Khopoli"/>
    <d v="1991-03-28T00:00:00"/>
    <s v="32.05"/>
    <d v="2023-06-23T00:00:00"/>
    <d v="2051-03-31T00:00:00"/>
    <m/>
    <d v="2051-03-31T00:00:00"/>
    <n v="10054"/>
    <s v="O+"/>
    <s v="CS-2014 , BCom-2012"/>
    <s v="02.05"/>
    <s v="00.02"/>
    <s v="02.07"/>
    <s v="00051333"/>
    <s v="Corporate Accounts &amp; Global Reporting"/>
    <s v="305127"/>
    <s v="New Acquisition"/>
    <s v="Khopoli staff"/>
    <s v="0031000019"/>
    <s v="HZ-MH-ADMN/HR/COM"/>
    <s v="1121KHOP"/>
    <s v="20058804"/>
    <s v="Roy Jose"/>
    <s v="No"/>
    <s v="jayanti.chhajer@amns.in"/>
    <s v="9829145666"/>
    <s v="1057138"/>
    <s v="Pritam Debbarma"/>
    <s v="Anil Matoo"/>
    <s v="-"/>
    <s v="Manjit Shah"/>
    <s v="-"/>
  </r>
  <r>
    <n v="7215"/>
    <n v="20059558"/>
    <s v="Soumya Nayak"/>
    <s v="AM/NS India"/>
    <s v="Onroll"/>
    <s v="M-8"/>
    <n v="8"/>
    <m/>
    <s v="JM"/>
    <s v="M"/>
    <s v="Odisha"/>
    <n v="2"/>
    <s v="2094"/>
    <x v="21"/>
    <s v="27.10"/>
    <s v="Vikas Chandra Yadvendu"/>
    <s v="Ashutosh Telang"/>
    <n v="6"/>
    <s v="HR &amp; Administration"/>
    <s v="Corporate SocialResponsibility"/>
    <s v="27"/>
    <s v="Lead CSR - Program"/>
    <m/>
    <s v="Corporate Social Responsibility"/>
    <s v="CSR"/>
    <s v="CSR"/>
    <s v="Non Technical Support"/>
    <s v="Corporate Social Responsibility"/>
    <s v="Corporate Social Responsibility"/>
    <s v="75001001"/>
    <s v="Corporate Social Responsi"/>
    <s v="Bhubaneswar"/>
    <d v="1988-03-26T00:00:00"/>
    <s v="35.05"/>
    <d v="2023-06-19T00:00:00"/>
    <d v="2046-03-31T00:00:00"/>
    <m/>
    <d v="2046-03-31T00:00:00"/>
    <n v="8228"/>
    <s v="B+"/>
    <s v="MBA-2017 , BTech-2010"/>
    <s v="04.02"/>
    <s v="00.03"/>
    <s v="04.04"/>
    <s v="70495661"/>
    <s v="Corporate Social Responsibility"/>
    <s v="285719"/>
    <s v="Lead CSR - Program"/>
    <s v="Odisha"/>
    <s v="0022030019"/>
    <s v="PDP-HR &amp; Admn"/>
    <s v="2000STORIS"/>
    <s v="20055033"/>
    <s v="Vikas Chandra Yadvendu"/>
    <s v="No"/>
    <s v="soumya.nayak@amns.in"/>
    <s v="7735891299"/>
    <s v="1057477"/>
    <s v="Sunila Das"/>
    <s v="Anil Matoo"/>
    <s v="Praveen Kuruvalli"/>
    <s v="Sunila Das"/>
    <n v="0"/>
  </r>
  <r>
    <n v="7218"/>
    <n v="20059561"/>
    <s v="Bhavdip Jathal"/>
    <s v="AM/NS India"/>
    <s v="Onroll"/>
    <s v="M-5"/>
    <n v="5"/>
    <m/>
    <s v="MM"/>
    <s v="M"/>
    <s v="Hazira"/>
    <n v="1"/>
    <s v="2039"/>
    <x v="12"/>
    <s v="43.01"/>
    <s v="Sangeeta Munjal"/>
    <s v="Manu Kapoor"/>
    <n v="10"/>
    <s v="Corporate Affairs"/>
    <s v="Corporate Affairs"/>
    <s v="43"/>
    <s v="Head - Land Acquisition"/>
    <m/>
    <s v="Land Acquisition"/>
    <m/>
    <m/>
    <s v="Non Technical Support"/>
    <s v="Commercial"/>
    <s v="Contracts &amp; Tenders and E-bid"/>
    <s v="73805001"/>
    <s v="Contracts &amp; Tenders and E"/>
    <s v="Hazira"/>
    <d v="1966-05-08T00:00:00"/>
    <s v="57.04"/>
    <d v="2023-06-29T00:00:00"/>
    <d v="2024-05-31T00:00:00"/>
    <m/>
    <d v="2024-05-31T00:00:00"/>
    <n v="254"/>
    <s v="B+"/>
    <s v="LLB-1993 , BCom-1987"/>
    <s v="14.11"/>
    <s v="00.02"/>
    <s v="15.01"/>
    <s v="70495436"/>
    <s v="Land Property"/>
    <s v="70411520"/>
    <s v="Head - Land Acquisition"/>
    <s v="Hazira"/>
    <s v="0090000021"/>
    <s v="Corporate Affairs"/>
    <s v="2000HWO"/>
    <s v="20057928"/>
    <s v="Manu Kapoor"/>
    <s v="No"/>
    <s v="bhavdip.jathal@amns.in"/>
    <s v="9898507111"/>
    <s v="1057909"/>
    <s v="Dhruv Vyas"/>
    <s v="Anil Matoo"/>
    <s v="Praveen Kuruvalli"/>
    <s v="Dhruv Vyas"/>
    <n v="0"/>
  </r>
  <r>
    <n v="7220"/>
    <n v="20059564"/>
    <s v="Dilipkumar Purohit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Indirect Tax"/>
    <m/>
    <s v="Finance &amp; Accounts"/>
    <m/>
    <m/>
    <s v="Non Technical Support"/>
    <s v="Finance &amp; Accounts"/>
    <s v="Taxation"/>
    <s v="73904002"/>
    <s v="Indirect Taxation"/>
    <s v="Hazira"/>
    <d v="1989-06-01T00:00:00"/>
    <s v="34.03"/>
    <d v="2023-07-03T00:00:00"/>
    <d v="2047-05-31T00:00:00"/>
    <m/>
    <d v="2047-05-31T00:00:00"/>
    <n v="8654"/>
    <s v="O-"/>
    <s v="MBA-2018"/>
    <s v="00.05"/>
    <s v="00.02"/>
    <s v="00.07"/>
    <s v="70282653"/>
    <s v="GST"/>
    <s v="300856"/>
    <s v="Lead - Indirect Tax"/>
    <s v="Hazira"/>
    <s v="0090000033"/>
    <s v="Corporate Taxation"/>
    <s v="2000HWO"/>
    <s v="20057927"/>
    <s v="Surbhi Kothari"/>
    <s v="No"/>
    <s v="dilip.purohit@amns.in"/>
    <s v="9909748243"/>
    <s v="1058014"/>
    <s v="Dhruv Vyas"/>
    <s v="Anil Matoo"/>
    <s v="Praveen Kuruvalli"/>
    <s v="Dhruv Vyas"/>
    <n v="0"/>
  </r>
  <r>
    <n v="7221"/>
    <n v="20059565"/>
    <s v="Hasan Bilal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Auto Sales, South Region"/>
    <m/>
    <s v="Sales &amp; Marketing"/>
    <m/>
    <m/>
    <s v="Non Technical Support"/>
    <s v="Sales &amp; Marketing"/>
    <s v="Sales"/>
    <s v="73104001"/>
    <s v="Sales"/>
    <s v="Hyderabad"/>
    <d v="1974-08-24T00:00:00"/>
    <s v="49.00"/>
    <d v="2023-07-03T00:00:00"/>
    <d v="2032-08-31T00:00:00"/>
    <m/>
    <d v="2032-08-31T00:00:00"/>
    <n v="3268"/>
    <s v="B+"/>
    <s v="MBA-2004 , BTech-1997"/>
    <s v="16.01"/>
    <s v="00.02"/>
    <s v="16.03"/>
    <s v="70343195"/>
    <s v="Automotive Sales &amp; Service Centers"/>
    <s v="70449086"/>
    <s v="KAM Auto Sales, South Region"/>
    <s v="Hazira"/>
    <s v="0031950057"/>
    <s v="HZ-HRC - Marketing"/>
    <s v="2000HWO"/>
    <s v="20016767"/>
    <s v="Raghavan Venkatachalam"/>
    <s v="No"/>
    <s v="hasan.bilal@amns.in"/>
    <s v="9884812740"/>
    <s v="468525"/>
    <s v="Dhruv Vyas"/>
    <s v="Anil Matoo"/>
    <s v="Praveen Kuruvalli"/>
    <s v="Dhruv Vyas"/>
    <n v="0"/>
  </r>
  <r>
    <n v="7222"/>
    <n v="20059566"/>
    <s v="Jigar Upadhyay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Officer - Stores &amp; Warehouse"/>
    <m/>
    <s v="Stores &amp; Warehouse"/>
    <s v="Stores &amp; Warehouse"/>
    <m/>
    <s v="Non Technical Support"/>
    <s v="Commercial"/>
    <s v="Stores &amp; Warehouse"/>
    <s v="73806001"/>
    <s v="Stores &amp; Warehouse"/>
    <s v="Hazira"/>
    <d v="1988-02-17T00:00:00"/>
    <s v="35.07"/>
    <d v="2023-07-03T00:00:00"/>
    <d v="2046-02-28T00:00:00"/>
    <m/>
    <d v="2046-02-28T00:00:00"/>
    <n v="8197"/>
    <s v="AB+"/>
    <s v="PG Diploma-2011 , MCom-2010"/>
    <s v="10.11"/>
    <s v="00.02"/>
    <s v="11.01"/>
    <s v="00044541"/>
    <s v="HRC Store - Receipt"/>
    <s v="70372617"/>
    <s v="Officer - Stores &amp; Warehouse"/>
    <s v="Hazira"/>
    <s v="0031950049"/>
    <s v="HZ-Central Stores"/>
    <s v="2000HWO"/>
    <s v="20005047"/>
    <s v="Rajeev Jha"/>
    <s v="No"/>
    <s v="jigar.upadhyay@amns.in"/>
    <s v="6358080831"/>
    <s v="1058190"/>
    <s v="Dhruv Vyas"/>
    <s v="Anil Matoo"/>
    <s v="Praveen Kuruvalli"/>
    <s v="Dhruv Vyas"/>
    <n v="0"/>
  </r>
  <r>
    <n v="7223"/>
    <n v="20059567"/>
    <s v="Khanjan Gajiwala"/>
    <s v="AM/NS India"/>
    <s v="Onroll"/>
    <s v="M-9"/>
    <n v="9"/>
    <m/>
    <s v="J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– Automotive Sales"/>
    <m/>
    <s v="Sales &amp; Marketing"/>
    <m/>
    <m/>
    <s v="Non Technical Support"/>
    <s v=""/>
    <s v=""/>
    <s v=""/>
    <s v=""/>
    <s v="Ahmedabad"/>
    <d v="1999-01-19T00:00:00"/>
    <s v="24.08"/>
    <d v="2023-07-06T00:00:00"/>
    <d v="2057-01-31T00:00:00"/>
    <m/>
    <d v="2057-01-31T00:00:00"/>
    <n v="12187"/>
    <s v="B+"/>
    <s v="MBA-2022 , BCom-2019"/>
    <s v="01.01"/>
    <s v="00.02"/>
    <s v="01.03"/>
    <s v="70265035"/>
    <s v="Value Recovery"/>
    <s v="305331"/>
    <s v="Sales Manager – Automotive Sales"/>
    <s v="Hazira"/>
    <s v="0060110300"/>
    <s v="HMART-Guj-Ahemedabad"/>
    <s v="2000HWO"/>
    <s v="20016382"/>
    <s v="Kunal Bhardwaj"/>
    <s v="No"/>
    <s v="khanjan.gajiwala@amns.in"/>
    <s v="7698432577"/>
    <s v="1058319"/>
    <s v="Dhruv Vyas"/>
    <s v="Anil Matoo"/>
    <s v="Praveen Kuruvalli"/>
    <s v="Dhruv Vyas"/>
    <n v="0"/>
  </r>
  <r>
    <n v="7224"/>
    <n v="20059568"/>
    <s v="Merubhai Odedara"/>
    <s v="AM/NS India"/>
    <s v="Onroll"/>
    <s v="M-8"/>
    <n v="8"/>
    <m/>
    <s v="JM"/>
    <s v="M"/>
    <s v="Hazira"/>
    <n v="1"/>
    <s v="2039"/>
    <x v="12"/>
    <s v="43.01"/>
    <s v="Sangeeta Munjal"/>
    <s v="Manu Kapoor"/>
    <n v="10"/>
    <s v="Corporate Affairs"/>
    <s v="Corporate Affairs"/>
    <s v="43"/>
    <s v="Land Records - Specialist"/>
    <m/>
    <s v="Land Acquisition"/>
    <m/>
    <m/>
    <s v="Non Technical Support"/>
    <s v="Corporate Relations"/>
    <s v="Corporate Affairs"/>
    <s v="74501001"/>
    <s v="Corporate Affairs"/>
    <s v="Hazira"/>
    <d v="1994-01-29T00:00:00"/>
    <s v="29.07"/>
    <d v="2023-07-05T00:00:00"/>
    <d v="2052-01-31T00:00:00"/>
    <m/>
    <d v="2052-01-31T00:00:00"/>
    <n v="10360"/>
    <s v="O+"/>
    <s v="Intermediate-2011 , Intermediate-2009"/>
    <s v="05.02"/>
    <s v="00.02"/>
    <s v="05.04"/>
    <s v="70494938"/>
    <s v="Corporate Affairs"/>
    <s v="313127"/>
    <s v="Land Records - Specialist"/>
    <s v="Hazira"/>
    <s v="0090000021"/>
    <s v="Corporate Affairs"/>
    <s v="2000HWO"/>
    <s v="20057928"/>
    <s v="Manu Kapoor"/>
    <s v="No"/>
    <s v="meru.odedara@amns.in"/>
    <s v="8511449696"/>
    <s v="1058326"/>
    <s v="Dhruv Vyas"/>
    <s v="Anil Matoo"/>
    <s v="Praveen Kuruvalli"/>
    <s v="Dhruv Vyas"/>
    <n v="0"/>
  </r>
  <r>
    <n v="7240"/>
    <n v="20059584"/>
    <s v="Kanupriya Jain"/>
    <s v="AM/NS India"/>
    <s v="Onroll"/>
    <s v="M-7"/>
    <n v="7"/>
    <m/>
    <s v="MM"/>
    <s v="F"/>
    <s v="Corporate"/>
    <n v="7"/>
    <s v="2015"/>
    <x v="1"/>
    <s v="22.06"/>
    <s v="Praveen Kuruvalli"/>
    <s v="Ashutosh Telang"/>
    <n v="6"/>
    <s v="HR &amp; Administration"/>
    <s v="Human Resources"/>
    <s v="22"/>
    <s v="Lead - Compensation &amp; Benefits"/>
    <m/>
    <s v="Human Resources"/>
    <m/>
    <m/>
    <s v="Non Technical Support"/>
    <s v="Human Resources Management"/>
    <s v="Human Resources Management"/>
    <s v="73501001"/>
    <s v="Human Resources"/>
    <s v="Mumbai"/>
    <d v="1990-09-05T00:00:00"/>
    <s v="33.00"/>
    <d v="2023-07-10T00:00:00"/>
    <d v="2048-09-30T00:00:00"/>
    <m/>
    <d v="2048-09-30T00:00:00"/>
    <n v="9142"/>
    <s v="B+"/>
    <s v="PG Diploma-2020 , MBA-2012 , Intermediat"/>
    <s v="02.10"/>
    <s v="00.02"/>
    <s v="03.00"/>
    <s v="70242278"/>
    <s v="People Strategy &amp; HR Center Excellence"/>
    <s v="301568"/>
    <s v="Lead - Compensation &amp; Benefits"/>
    <s v="Corporate"/>
    <s v="0031950061"/>
    <s v="HZ-Human Resource"/>
    <s v="2000CRG"/>
    <s v="20055483"/>
    <s v="Praveen Kuruvalli"/>
    <s v="No"/>
    <s v="kanupriya.jain@amns.in"/>
    <s v="7000760906"/>
    <s v="1059042"/>
    <s v="Dhruv Vyas"/>
    <s v="Anil Matoo"/>
    <s v="Praveen Kuruvalli"/>
    <s v="Dhruv Vyas"/>
    <n v="0"/>
  </r>
  <r>
    <n v="7357"/>
    <n v="20059702"/>
    <s v="Nikita Athalye"/>
    <s v="AM/NS India"/>
    <s v="Onroll"/>
    <s v="M-7"/>
    <n v="7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Direct Tax"/>
    <m/>
    <s v="Finance &amp; Accounts"/>
    <m/>
    <m/>
    <s v="Non Technical Support"/>
    <s v="Finance &amp; Accounts"/>
    <s v="Taxation"/>
    <s v="73904002"/>
    <s v="Indirect Taxation"/>
    <s v="Mumbai"/>
    <d v="1996-04-08T00:00:00"/>
    <s v="27.05"/>
    <d v="2023-07-04T00:00:00"/>
    <d v="2054-04-30T00:00:00"/>
    <m/>
    <d v="2054-04-30T00:00:00"/>
    <n v="11180"/>
    <s v="O+"/>
    <s v="LLB-2021 , CA Final-2017 , BCom-2016"/>
    <s v="05.03"/>
    <s v="00.02"/>
    <s v="05.05"/>
    <s v="00048994"/>
    <s v="Compliances"/>
    <s v="70258946"/>
    <s v="Lead - Direct Tax"/>
    <s v="Corporate"/>
    <s v="0090000033"/>
    <s v="Corporate Taxation"/>
    <s v="2000CRG"/>
    <s v="20057473"/>
    <s v="Tarun Seksaria"/>
    <s v="No"/>
    <s v="nikita.athalye@amns.in"/>
    <s v="9833657726"/>
    <s v="1059483"/>
    <s v="Dhruv Vyas"/>
    <s v="Anil Matoo"/>
    <s v="Praveen Kuruvalli"/>
    <s v="Dhruv Vyas"/>
    <n v="0"/>
  </r>
  <r>
    <n v="7359"/>
    <n v="20059704"/>
    <s v="Birendra Mohan"/>
    <s v="AM/NS Middle East FZE"/>
    <s v="Onroll"/>
    <s v="M-7"/>
    <n v="7"/>
    <m/>
    <s v="MM"/>
    <s v="M"/>
    <s v="Dubai"/>
    <n v="10"/>
    <s v="2502"/>
    <x v="10"/>
    <s v="14.01"/>
    <s v="Ranjan Dhar"/>
    <s v="Alain Legrix De La Salle"/>
    <n v="3"/>
    <s v="Sales &amp; Marketing"/>
    <s v="Sales &amp; Marketing"/>
    <s v="14"/>
    <s v="Sr. Manager - Sales &amp; Marketing"/>
    <m/>
    <s v="Sales ME"/>
    <s v="Sales ME"/>
    <s v=""/>
    <s v=""/>
    <s v="Sales &amp; Marketing"/>
    <s v="Sales &amp; Marketing"/>
    <s v="73101001"/>
    <s v="Sales &amp; Marketing"/>
    <s v="Dubai"/>
    <d v="1977-10-30T00:00:00"/>
    <s v="45.10"/>
    <d v="2023-07-07T00:00:00"/>
    <d v="2035-10-31T00:00:00"/>
    <m/>
    <d v="2035-10-31T00:00:00"/>
    <n v="4424"/>
    <s v="B+"/>
    <s v="PG Diploma-2009 , BBA-2000"/>
    <s v="05.05"/>
    <s v="00.02"/>
    <s v="05.06"/>
    <s v="70495379"/>
    <s v="Chief Marketing Officer - AMNS ME FZE"/>
    <s v="70495722"/>
    <s v="Sr. Manager - Sales &amp; Marketing"/>
    <s v="AMNS Middle East FZE"/>
    <s v="0093720082"/>
    <s v="SC-Dubai-Marketing"/>
    <s v="DUBA2081"/>
    <s v="20055663"/>
    <s v="Karamath Syed"/>
    <s v="No"/>
    <s v="birendra.rai@amns.in"/>
    <s v="02040042772"/>
    <s v="1022280"/>
    <s v="Dhruv Vyas"/>
    <s v="Anil Matoo"/>
    <s v="Praveen Kuruvalli"/>
    <n v="0"/>
    <n v="0"/>
  </r>
  <r>
    <n v="7368"/>
    <n v="20059713"/>
    <s v="Gaurav Lodh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Account Receivable"/>
    <m/>
    <s v="Finance &amp; Accounts"/>
    <m/>
    <m/>
    <s v="Non Technical Support"/>
    <s v="Finance &amp; Accounts"/>
    <s v="Finance &amp; Accounts"/>
    <s v="73901004"/>
    <s v="Accounts Receivables"/>
    <s v="Hazira"/>
    <d v="1983-12-28T00:00:00"/>
    <s v="39.08"/>
    <d v="2023-07-19T00:00:00"/>
    <d v="2041-12-31T00:00:00"/>
    <m/>
    <d v="2041-12-31T00:00:00"/>
    <n v="6677"/>
    <s v="O+"/>
    <s v="CA Final-2008 , Intermediate-2002 , Inte"/>
    <s v="06.07"/>
    <s v="00.02"/>
    <s v="06.08"/>
    <s v="72150286"/>
    <s v="Accounts Receivables &amp; Export Banking"/>
    <s v="272542"/>
    <s v="Lead - Account Receivable"/>
    <s v="Hazira"/>
    <s v="0031950045"/>
    <s v="HZ-Works Accounts-Ha"/>
    <s v="2000HWO"/>
    <s v="20007731"/>
    <s v="Ashish Mehta"/>
    <s v="No"/>
    <s v="gaurav.lodha@amns.in"/>
    <s v="7433944725"/>
    <s v="1060386"/>
    <s v="Dhruv Vyas"/>
    <s v="Anil Matoo"/>
    <s v="Praveen Kuruvalli"/>
    <s v="Dhruv Vyas"/>
    <n v="0"/>
  </r>
  <r>
    <n v="7384"/>
    <n v="20059729"/>
    <s v="Harsh Parmar"/>
    <s v="AM/NS India"/>
    <s v="Onroll"/>
    <s v="M-7"/>
    <n v="7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m/>
    <m/>
    <s v="Non Technical Support"/>
    <s v="Corporate Relations"/>
    <s v="Corporate Affairs"/>
    <s v="74501001"/>
    <s v="Corporate Affairs"/>
    <s v="Delhi"/>
    <d v="1993-12-03T00:00:00"/>
    <s v="29.09"/>
    <d v="2023-07-24T00:00:00"/>
    <d v="2051-12-31T00:00:00"/>
    <m/>
    <d v="2051-12-31T00:00:00"/>
    <n v="10329"/>
    <s v="O+"/>
    <s v="PG Diploma in Management-2017 , BTech-20"/>
    <s v="06.02"/>
    <s v="00.01"/>
    <s v="06.03"/>
    <s v="70494938"/>
    <s v="Corporate Affairs"/>
    <s v="314883"/>
    <s v="Lead Corporate Affairs"/>
    <s v="Corporate"/>
    <s v="0090000021"/>
    <s v="Corporate Affairs"/>
    <s v="2000CS"/>
    <s v="20057928"/>
    <s v="Manu Kapoor"/>
    <s v="No"/>
    <s v="harsh.parmar@amns.in"/>
    <s v="9589057109"/>
    <s v="1061183"/>
    <s v="Dhruv Vyas"/>
    <s v="Anil Matoo"/>
    <s v="Praveen Kuruvalli"/>
    <s v="Dhruv Vyas"/>
    <n v="0"/>
  </r>
  <r>
    <n v="7392"/>
    <n v="20059737"/>
    <s v="Mahendra Singh Chandrawat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Application Engineer"/>
    <m/>
    <s v="Sales &amp; Marketing"/>
    <m/>
    <m/>
    <s v="Non Technical Support"/>
    <s v=""/>
    <s v=""/>
    <s v=""/>
    <s v=""/>
    <s v="Khopoli"/>
    <d v="1989-04-17T00:00:00"/>
    <s v="34.05"/>
    <d v="2023-08-01T00:00:00"/>
    <d v="2047-04-30T00:00:00"/>
    <m/>
    <d v="2047-04-30T00:00:00"/>
    <n v="8623"/>
    <s v="O+"/>
    <s v="PG Diploma-2021 , BE-2011 , Intermediate"/>
    <s v="11.08"/>
    <s v="00.01"/>
    <s v="11.09"/>
    <s v="00052471"/>
    <s v="Coated &amp; OC"/>
    <s v="305332"/>
    <s v="Lead - Application Engineer"/>
    <s v="Hazira"/>
    <s v="0031950057"/>
    <s v="HZ-HRC - Marketing"/>
    <s v="2000HWO"/>
    <s v="20056431"/>
    <s v="Prajakta Wagholikar"/>
    <s v="No"/>
    <s v="mahendrasingh.chandrawat@amns.in"/>
    <s v="7700922268"/>
    <s v="1061821"/>
    <s v="Dhruv Vyas"/>
    <s v="Anil Matoo"/>
    <s v="Praveen Kuruvalli"/>
    <s v="Dhruv Vyas"/>
    <n v="0"/>
  </r>
  <r>
    <n v="7393"/>
    <n v="20059738"/>
    <s v="Ayush Dixit"/>
    <s v="AM/NS India"/>
    <s v="Onroll"/>
    <s v="M-8"/>
    <n v="8"/>
    <m/>
    <s v="JM"/>
    <s v="M"/>
    <s v="Vizag"/>
    <n v="3"/>
    <s v="2161"/>
    <x v="15"/>
    <s v="31.02"/>
    <s v="Hrishikesh Kamat"/>
    <s v="Hrishikesh Kamat"/>
    <n v="7"/>
    <s v="Procurement"/>
    <s v="Procurement"/>
    <s v="31"/>
    <m/>
    <m/>
    <s v="Capex Procurement"/>
    <s v=""/>
    <s v=""/>
    <s v="Non Technical Support"/>
    <s v=""/>
    <s v=""/>
    <s v=""/>
    <s v=""/>
    <s v="Vizag"/>
    <d v="1996-07-02T00:00:00"/>
    <s v="27.02"/>
    <d v="2023-08-02T00:00:00"/>
    <d v="2054-07-31T00:00:00"/>
    <m/>
    <d v="2054-07-31T00:00:00"/>
    <n v="11272"/>
    <s v="B+"/>
    <s v="BTech-2017 , Intermediate-2012 , Interme"/>
    <s v="06.00"/>
    <s v="00.01"/>
    <s v="06.02"/>
    <s v="70282830"/>
    <s v="Capex Procurement &amp; Secondary Sales"/>
    <s v="302508"/>
    <s v="Lead Capex Procurement"/>
    <s v="Vizag"/>
    <s v="0031950059"/>
    <s v="HZ-Hazira Project"/>
    <s v="2000VIZOPS"/>
    <s v="20052261"/>
    <s v="Aruni Mishra"/>
    <s v="No"/>
    <s v="ayush.dixit@amns.in"/>
    <s v="7692960254"/>
    <s v="1061936"/>
    <s v="Dhruv Vyas"/>
    <s v="Anil Matoo"/>
    <s v="Praveen Kuruvalli"/>
    <s v="Dhruv Vyas"/>
    <n v="0"/>
  </r>
  <r>
    <n v="7394"/>
    <n v="20059739"/>
    <s v="Jennifer Xavier"/>
    <s v="AM/NS India"/>
    <s v="Onroll"/>
    <s v="M-8"/>
    <n v="8"/>
    <m/>
    <s v="JM"/>
    <s v="F"/>
    <s v="Pune Facility"/>
    <n v="4"/>
    <s v="2071"/>
    <x v="22"/>
    <s v="41.01"/>
    <s v="P Ashok Kumar"/>
    <s v="P Ashok Kumar"/>
    <n v="9"/>
    <s v="Legal"/>
    <s v="Legal"/>
    <s v="41"/>
    <s v="Legal Counsel, Pune"/>
    <m/>
    <s v="Legal"/>
    <m/>
    <m/>
    <s v="Non Technical Support"/>
    <s v=""/>
    <s v=""/>
    <s v=""/>
    <s v=""/>
    <s v="Pune"/>
    <d v="1992-01-17T00:00:00"/>
    <s v="31.08"/>
    <d v="2023-08-01T00:00:00"/>
    <d v="2050-01-31T00:00:00"/>
    <m/>
    <d v="2050-01-31T00:00:00"/>
    <n v="9630"/>
    <s v="B-"/>
    <s v="LLB-2016"/>
    <s v="01.10"/>
    <s v="00.01"/>
    <s v="01.11"/>
    <s v="00050735"/>
    <s v="Legal"/>
    <s v="305369"/>
    <s v="Legal Counsel - Pune"/>
    <s v="Pune Facility"/>
    <s v="0090000019"/>
    <s v="Corporate Steel - Le"/>
    <s v="2000ESPF"/>
    <s v="20058028"/>
    <s v="Charu Misra"/>
    <s v="No"/>
    <s v="jennifer.xavier@amns.in"/>
    <s v="9873925605"/>
    <s v="1061960"/>
    <s v="Dhruv Vyas"/>
    <s v="Anil Matoo"/>
    <s v="Praveen Kuruvalli"/>
    <s v="Dhruv Vyas"/>
    <n v="0"/>
  </r>
  <r>
    <n v="7395"/>
    <n v="20059740"/>
    <s v="Chanchal Agarwal"/>
    <s v="AM/NS India"/>
    <s v="Onroll"/>
    <s v="M-8"/>
    <n v="8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HR Business Partner"/>
    <m/>
    <s v="Human Resources"/>
    <m/>
    <m/>
    <s v="Non Technical Support"/>
    <s v="Human Resources Management"/>
    <s v="Human Resources Management"/>
    <s v="73501001"/>
    <s v="Human Resources"/>
    <s v="Mumbai"/>
    <d v="1998-07-16T00:00:00"/>
    <s v="25.02"/>
    <d v="2023-08-02T00:00:00"/>
    <d v="2056-07-31T00:00:00"/>
    <m/>
    <d v="2056-07-31T00:00:00"/>
    <n v="12003"/>
    <s v="O+"/>
    <s v="MBA-2021 , Intermediate-2014"/>
    <s v="01.10"/>
    <s v="00.01"/>
    <s v="02.00"/>
    <s v="00053055"/>
    <s v="Human Resources"/>
    <s v="301565"/>
    <s v="HR Business Partner"/>
    <s v="Corporate"/>
    <s v="0031950061"/>
    <s v="HZ-Human Resource"/>
    <s v="2000CRG"/>
    <s v="20054565"/>
    <s v="Dhruv Vyas"/>
    <s v="No"/>
    <s v="chanchal.agarwal@amns.in"/>
    <s v="7700922269"/>
    <s v="1061964"/>
    <s v="Dhruv Vyas"/>
    <s v="Anil Matoo"/>
    <s v="Praveen Kuruvalli"/>
    <s v="Dhruv Vyas"/>
    <n v="0"/>
  </r>
  <r>
    <n v="7519"/>
    <n v="20059864"/>
    <s v="Bijal Khambhala"/>
    <s v="AM/NS India"/>
    <s v="Onroll"/>
    <s v="M-11"/>
    <n v="11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Engineer"/>
    <m/>
    <s v="Contracts"/>
    <m/>
    <m/>
    <s v="Non Technical Support"/>
    <s v="Operations"/>
    <s v="Operations"/>
    <s v="72103001"/>
    <s v="Operations"/>
    <s v="Hazira"/>
    <d v="2001-03-28T00:00:00"/>
    <s v="22.05"/>
    <d v="2023-08-01T00:00:00"/>
    <d v="2059-03-31T00:00:00"/>
    <m/>
    <d v="2059-03-31T00:00:00"/>
    <n v="12976"/>
    <s v=""/>
    <s v=""/>
    <s v=""/>
    <s v="00.01"/>
    <s v="00.01"/>
    <s v="00053411"/>
    <s v="Contracts"/>
    <s v="301007"/>
    <s v="Engineer"/>
    <s v="Hazira"/>
    <s v="0031961000"/>
    <s v="Waste Management"/>
    <s v="2054HAZI"/>
    <s v="20010980"/>
    <s v="Kirit Upadhyay"/>
    <s v="No"/>
    <s v="bijal.khambhala@amns.in"/>
    <s v="8238770455"/>
    <s v="26594"/>
    <s v="Dhruv Vyas"/>
    <s v="Anil Matoo"/>
    <s v="Praveen Kuruvalli"/>
    <s v="Dhruv Vyas"/>
    <n v="0"/>
  </r>
  <r>
    <n v="7551"/>
    <n v="20059896"/>
    <s v="Ujjwal Singh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m/>
    <m/>
    <m/>
    <s v="Non Technical Support"/>
    <s v="Projects"/>
    <s v="Projects"/>
    <s v="72103036"/>
    <s v="Projects"/>
    <s v="Hazira"/>
    <d v="2001-02-17T00:00:00"/>
    <s v="22.07"/>
    <d v="2023-08-01T00:00:00"/>
    <d v="2059-02-28T00:00:00"/>
    <m/>
    <d v="2059-02-28T00:00:00"/>
    <n v="12945"/>
    <s v=""/>
    <s v=""/>
    <s v=""/>
    <s v="00.01"/>
    <s v="00.01"/>
    <s v="00053409"/>
    <s v="Proc PowerTransmission"/>
    <s v="300822"/>
    <s v="Engineer"/>
    <s v="Hazira"/>
    <s v="0031961000"/>
    <s v="Waste Management"/>
    <s v="2043HAZI"/>
    <s v="20002629"/>
    <s v="Bhavesh Patel"/>
    <s v="No"/>
    <s v="ujjwal.singh@amns.in"/>
    <s v="9687429656"/>
    <s v="26580"/>
    <s v="Dhruv Vyas"/>
    <s v="Anil Matoo"/>
    <s v="Praveen Kuruvalli"/>
    <s v="Dhruv Vyas"/>
    <n v="0"/>
  </r>
  <r>
    <n v="7584"/>
    <n v="20059929"/>
    <s v="Rutvik Dudakiya"/>
    <s v="AM/NS India"/>
    <s v="Onroll"/>
    <s v="M-11"/>
    <n v="11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Engineer"/>
    <m/>
    <s v="Contracts"/>
    <m/>
    <m/>
    <s v="Non Technical Support"/>
    <s v="Operations"/>
    <s v="Operations"/>
    <s v="72103001"/>
    <s v="Operations"/>
    <s v="Hazira"/>
    <d v="2001-06-30T00:00:00"/>
    <s v="22.02"/>
    <d v="2023-08-01T00:00:00"/>
    <d v="2059-06-30T00:00:00"/>
    <m/>
    <d v="2059-06-30T00:00:00"/>
    <n v="13067"/>
    <s v=""/>
    <s v=""/>
    <s v=""/>
    <s v="00.01"/>
    <s v="00.01"/>
    <s v="00053416"/>
    <s v="Contracts"/>
    <s v="301008"/>
    <s v="Engineer"/>
    <s v="Hazira"/>
    <s v="0031961000"/>
    <s v="Waste Management"/>
    <s v="2054HAZI"/>
    <s v="20054520"/>
    <s v="Trupti Yagnesh Patel"/>
    <s v="No"/>
    <s v="rutvik.dudakiya@amns.in"/>
    <s v="9879101370"/>
    <s v="26617"/>
    <s v="Dhruv Vyas"/>
    <s v="Anil Matoo"/>
    <s v="Praveen Kuruvalli"/>
    <s v="Dhruv Vyas"/>
    <n v="0"/>
  </r>
  <r>
    <n v="7599"/>
    <n v="20059944"/>
    <s v="Dharanipathi Murugesan"/>
    <s v="AM/NS India"/>
    <s v="Onroll"/>
    <s v="M-4"/>
    <n v="4"/>
    <m/>
    <s v="SM"/>
    <s v="M"/>
    <s v="Corporate"/>
    <n v="7"/>
    <s v="2039"/>
    <x v="12"/>
    <s v="43.01"/>
    <s v="Sangeeta Munjal"/>
    <s v="Manu Kapoor"/>
    <n v="10"/>
    <s v="Corporate Affairs"/>
    <s v="Corporate Affairs"/>
    <s v="43"/>
    <s v="Head – Land Acquisition Excellence"/>
    <m/>
    <s v="Land Acquisition"/>
    <m/>
    <m/>
    <s v="Non Technical Support"/>
    <s v="Corporate Relations"/>
    <s v="Corporate Affairs"/>
    <s v="74501001"/>
    <s v="Corporate Affairs"/>
    <s v="Mumbai"/>
    <d v="1969-02-12T00:00:00"/>
    <s v="54.07"/>
    <d v="2023-08-09T00:00:00"/>
    <d v="2027-02-28T00:00:00"/>
    <m/>
    <d v="2027-02-28T00:00:00"/>
    <n v="1257"/>
    <s v="B+"/>
    <s v="Diploma-2023 , BTech-2000 , Diploma-1987"/>
    <s v="16.08"/>
    <s v="00.01"/>
    <s v="16.09"/>
    <s v="70494938"/>
    <s v="Corporate Affairs"/>
    <s v="313430"/>
    <s v="Head – Land Acquisition Excellence"/>
    <s v="Corporate"/>
    <s v="0090000021"/>
    <s v="Corporate Affairs"/>
    <s v="2000CRG"/>
    <s v="20057928"/>
    <s v="Manu Kapoor"/>
    <s v="No"/>
    <s v="m.dharanipathi@amns.in"/>
    <s v="8879994254"/>
    <s v="1022366"/>
    <s v="Dhruv Vyas"/>
    <s v="Anil Matoo"/>
    <s v="Praveen Kuruvalli"/>
    <s v="Dhruv Vyas"/>
    <n v="0"/>
  </r>
  <r>
    <n v="7608"/>
    <n v="20059953"/>
    <s v="Prashanth Kasyap Lank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Coated Sales"/>
    <m/>
    <s v="Sales &amp; Marketing"/>
    <m/>
    <m/>
    <s v="Non Technical Support"/>
    <s v="Sales &amp; Marketing"/>
    <s v="Sales &amp; Marketing"/>
    <s v="73101001"/>
    <s v="Sales &amp; Marketing"/>
    <s v="Chennai"/>
    <d v="1982-08-09T00:00:00"/>
    <s v="41.01"/>
    <d v="2023-08-07T00:00:00"/>
    <d v="2040-08-31T00:00:00"/>
    <m/>
    <d v="2040-08-31T00:00:00"/>
    <n v="6190"/>
    <s v="A+"/>
    <s v="MBA-2009 , BE-2005 , Intermediate-1999"/>
    <s v="00.05"/>
    <s v="00.01"/>
    <s v="00.06"/>
    <s v="70492562"/>
    <s v="Domestic Sales"/>
    <s v="305407"/>
    <s v="KAM - Coated Sales"/>
    <s v="Hazira"/>
    <s v="0031950057"/>
    <s v="HZ-HRC - Marketing"/>
    <s v="2000HWO"/>
    <s v="20036409"/>
    <s v="Ranjith Nambiar"/>
    <s v="No"/>
    <s v="prashanth.kasyap@amns.in"/>
    <s v="8088449167"/>
    <s v="1064152"/>
    <s v="Dhruv Vyas"/>
    <s v="Anil Matoo"/>
    <s v="Praveen Kuruvalli"/>
    <s v="Dhruv Vyas"/>
    <n v="0"/>
  </r>
  <r>
    <n v="7609"/>
    <n v="20059954"/>
    <s v="Abhinav Kumar"/>
    <s v="AM/NS India"/>
    <s v="Onroll"/>
    <s v="M-7"/>
    <n v="7"/>
    <m/>
    <s v="MM"/>
    <s v="M"/>
    <s v="Service Centers"/>
    <n v="6"/>
    <s v="2031"/>
    <x v="10"/>
    <s v="14.01"/>
    <s v="Ranjan Dhar"/>
    <s v="Alain Legrix De La Salle"/>
    <n v="3"/>
    <s v="Sales &amp; Marketing"/>
    <s v="Sales &amp; Marketing"/>
    <s v="14"/>
    <s v="Plant Head - Recycling Strategy"/>
    <m/>
    <s v="Sales &amp; Marketing"/>
    <s v=""/>
    <s v=""/>
    <s v="Non Technical Support"/>
    <s v="Sales &amp; Marketing"/>
    <s v="Sales &amp; Marketing"/>
    <s v="73101001"/>
    <s v="Sales &amp; Marketing"/>
    <s v="Ahmedabad"/>
    <d v="1985-12-12T00:00:00"/>
    <s v="37.09"/>
    <d v="2023-08-07T00:00:00"/>
    <d v="2043-12-31T00:00:00"/>
    <m/>
    <d v="2043-12-31T00:00:00"/>
    <n v="7407"/>
    <s v="O+"/>
    <s v="BE-2009"/>
    <s v="02.00"/>
    <s v="00.01"/>
    <s v="02.01"/>
    <s v="00053119"/>
    <s v="Recycling Strategy"/>
    <s v="313817"/>
    <s v="Plant Head - Recycling Strategy"/>
    <s v="Service Center"/>
    <s v="0080000005"/>
    <s v="Global Markets Team"/>
    <s v="2000CS"/>
    <s v="20056844"/>
    <s v="Kundan Rai"/>
    <s v="No"/>
    <s v="abhinav.kumar@amns.in"/>
    <s v="7837100109"/>
    <s v="1064204"/>
    <s v="Dhruv Vyas"/>
    <s v="Anil Matoo"/>
    <s v="Praveen Kuruvalli"/>
    <s v="Dhruv Vyas"/>
    <n v="0"/>
  </r>
  <r>
    <n v="7612"/>
    <n v="20059957"/>
    <s v="Samuel Katisa"/>
    <s v="AM/NS India"/>
    <s v="Onroll"/>
    <s v="M-7"/>
    <n v="7"/>
    <m/>
    <s v="MM"/>
    <s v="M"/>
    <s v="Service Centers"/>
    <n v="6"/>
    <s v="2031"/>
    <x v="10"/>
    <s v="14.01"/>
    <s v="Ranjan Dhar"/>
    <s v="Alain Legrix De La Salle"/>
    <n v="3"/>
    <s v="Sales &amp; Marketing"/>
    <s v="Sales &amp; Marketing"/>
    <s v="14"/>
    <s v="Lead - Sales &amp; Marketing, Hypermart"/>
    <m/>
    <s v="Sales &amp; Marketing"/>
    <s v=""/>
    <s v=""/>
    <s v="Non Technical Support"/>
    <s v=""/>
    <s v=""/>
    <s v=""/>
    <s v=""/>
    <s v="Chennai"/>
    <d v="1986-08-16T00:00:00"/>
    <s v="37.01"/>
    <d v="2023-08-14T00:00:00"/>
    <d v="2044-08-31T00:00:00"/>
    <m/>
    <d v="2044-08-31T00:00:00"/>
    <n v="7651"/>
    <s v="A+"/>
    <s v="MTech-2019 , MA-2010 , BTech-2007"/>
    <s v="16.01"/>
    <s v="00.01"/>
    <s v="16.02"/>
    <s v="72150150"/>
    <s v="Sales South Zone"/>
    <s v="305327"/>
    <s v="Lead - Sales &amp; Marketing, Hypermart"/>
    <s v="Service Center"/>
    <s v="0031950057"/>
    <s v="HZ-HRC - Marketing"/>
    <s v="2000CS"/>
    <s v="20000909"/>
    <s v="Murali Krishna Chunduru"/>
    <s v="No"/>
    <s v="samuel.morris@amns.in"/>
    <s v="9581700766"/>
    <s v="22711"/>
    <s v="Dhruv Vyas"/>
    <s v="Anil Matoo"/>
    <s v="Praveen Kuruvalli"/>
    <s v="Dhruv Vyas"/>
    <n v="0"/>
  </r>
  <r>
    <n v="7613"/>
    <n v="20059958"/>
    <s v="Bodhishotto Bhattacharjee"/>
    <s v="AM/NS India"/>
    <s v="Onroll"/>
    <s v="M-7"/>
    <n v="7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Public Advocacy"/>
    <m/>
    <s v="Corporate Affairs"/>
    <m/>
    <m/>
    <s v="Non Technical Support"/>
    <s v="Corporate Relations"/>
    <s v="Corporate Affairs"/>
    <s v="74501001"/>
    <s v="Corporate Affairs"/>
    <s v="Delhi"/>
    <d v="1991-04-19T00:00:00"/>
    <s v="32.05"/>
    <d v="2023-08-14T00:00:00"/>
    <d v="2049-04-30T00:00:00"/>
    <m/>
    <d v="2049-04-30T00:00:00"/>
    <n v="9354"/>
    <s v="O+"/>
    <s v="PG Diploma-2020 , MBA-2017 , BTech-2015"/>
    <s v="01.00"/>
    <s v="00.01"/>
    <s v="01.00"/>
    <s v="70494938"/>
    <s v="Corporate Affairs"/>
    <s v="316689"/>
    <s v="Lead Public Advocacy"/>
    <s v="Corporate"/>
    <s v="0090000021"/>
    <s v="Corporate Affairs"/>
    <s v="2000CRG"/>
    <s v="20057928"/>
    <s v="Manu Kapoor"/>
    <s v="No"/>
    <s v="bodhishotto.bhattacharjee@amns.in"/>
    <s v="7228016115"/>
    <s v="1064656"/>
    <s v="Dhruv Vyas"/>
    <s v="Anil Matoo"/>
    <s v="Praveen Kuruvalli"/>
    <s v="Dhruv Vyas"/>
    <n v="0"/>
  </r>
  <r>
    <n v="7614"/>
    <n v="20059959"/>
    <s v="Rajesh Kumar Meena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- Scrap Procurement"/>
    <m/>
    <s v="Sales &amp; Marketing"/>
    <m/>
    <m/>
    <s v="Non Technical Support"/>
    <s v=""/>
    <s v=""/>
    <s v="70494645"/>
    <s v="Head of Sales BD"/>
    <s v="Mumbai"/>
    <d v="1989-09-01T00:00:00"/>
    <s v="34.00"/>
    <d v="2023-08-16T00:00:00"/>
    <d v="2047-08-31T00:00:00"/>
    <m/>
    <d v="2047-08-31T00:00:00"/>
    <n v="8746"/>
    <s v="A+"/>
    <s v="PG Diploma-2016 , BE-2017"/>
    <s v="01.06"/>
    <s v="00.01"/>
    <s v="01.07"/>
    <s v="70494655"/>
    <s v="Sales Steering, Distribution and BD"/>
    <s v="284179"/>
    <s v="Section Head - Scrap Procurement"/>
    <s v="Corporate"/>
    <s v="0080000005"/>
    <s v="Global Markets Team"/>
    <s v="2000CRG"/>
    <s v="20055091"/>
    <s v="Akshaya Gujral"/>
    <s v="No"/>
    <s v="rajeshkumar.meena@amns.in"/>
    <s v="7542033074"/>
    <s v="1064745"/>
    <s v="Dhruv Vyas"/>
    <s v="Anil Matoo"/>
    <s v="Praveen Kuruvalli"/>
    <s v="Dhruv Vyas"/>
    <n v="0"/>
  </r>
  <r>
    <n v="7616"/>
    <n v="20059961"/>
    <s v="Pavan Patil"/>
    <s v="AM/NS India"/>
    <s v="Onroll"/>
    <s v="M-9"/>
    <n v="9"/>
    <m/>
    <s v="JM"/>
    <s v="M"/>
    <s v="Service Centers"/>
    <n v="6"/>
    <s v="2031"/>
    <x v="10"/>
    <s v="14.01"/>
    <s v="Ranjan Dhar"/>
    <s v="Alain Legrix De La Salle"/>
    <n v="3"/>
    <s v="Sales &amp; Marketing"/>
    <s v="Sales &amp; Marketing"/>
    <s v="14"/>
    <s v="Quality Inspector - Recycling Strategy"/>
    <m/>
    <s v="Sales &amp; Marketing"/>
    <s v=""/>
    <s v=""/>
    <s v="Non Technical Support"/>
    <s v="Sales &amp; Marketing"/>
    <s v="Sales &amp; Marketing"/>
    <s v="73101001"/>
    <s v="Sales &amp; Marketing"/>
    <s v="Khopoli"/>
    <d v="1995-05-23T00:00:00"/>
    <s v="28.03"/>
    <d v="2023-08-16T00:00:00"/>
    <d v="2053-05-31T00:00:00"/>
    <m/>
    <d v="2053-05-31T00:00:00"/>
    <n v="10846"/>
    <s v="A+"/>
    <s v="BE-2017 , Intermediate-2014 , Diploma-20"/>
    <s v="02.08"/>
    <s v="00.01"/>
    <s v="02.09"/>
    <s v="00053119"/>
    <s v="Recycling Strategy"/>
    <s v="313822"/>
    <s v="Quality Inspector - Recycling Strategy"/>
    <s v="Service Center"/>
    <s v="0080000005"/>
    <s v="Global Markets Team"/>
    <s v="2000CS"/>
    <s v="20056844"/>
    <s v="Kundan Rai"/>
    <s v="No"/>
    <s v="pavan.patil@amns.in"/>
    <s v="8600552071"/>
    <s v="1064761"/>
    <s v="Dhruv Vyas"/>
    <s v="Anil Matoo"/>
    <s v="Praveen Kuruvalli"/>
    <s v="Dhruv Vyas"/>
    <n v="0"/>
  </r>
  <r>
    <n v="7628"/>
    <n v="20059973"/>
    <s v="Akshay Patel"/>
    <s v="AM/NS India"/>
    <s v="Onroll"/>
    <s v="T-4 (Other Trainee)"/>
    <n v="1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1998-08-25T00:00:00"/>
    <s v="25.00"/>
    <d v="2023-08-14T00:00:00"/>
    <d v="2056-08-31T00:00:00"/>
    <m/>
    <d v="2056-08-31T00:00:00"/>
    <n v="12034"/>
    <s v="A+"/>
    <s v="Diploma-2019"/>
    <s v=""/>
    <s v="00.01"/>
    <s v="00.01"/>
    <s v="00049777"/>
    <s v="Plant Administration"/>
    <s v="315235"/>
    <s v="Trainee"/>
    <s v="Hazira"/>
    <s v="0031950030"/>
    <s v="HZ-Admin"/>
    <s v="2000HWO"/>
    <s v="20057892"/>
    <s v="Taj Baby"/>
    <s v="No"/>
    <s v=""/>
    <s v=""/>
    <s v="868976"/>
    <s v="Manjit Shah"/>
    <s v="Anil Matoo"/>
    <s v="-"/>
    <s v="Manjit Shah"/>
    <s v="-"/>
  </r>
  <r>
    <n v="7629"/>
    <n v="20059974"/>
    <s v="Kamakshi Patel"/>
    <s v="AM/NS India"/>
    <s v="Onroll"/>
    <s v="T-4 (Other Trainee)"/>
    <n v="18"/>
    <m/>
    <s v="JM"/>
    <s v="F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1997-10-21T00:00:00"/>
    <s v="25.10"/>
    <d v="2023-08-14T00:00:00"/>
    <d v="2055-10-31T00:00:00"/>
    <m/>
    <d v="2055-10-31T00:00:00"/>
    <n v="11729"/>
    <s v="A+"/>
    <s v="MCom-2023"/>
    <s v=""/>
    <s v="00.01"/>
    <s v="00.01"/>
    <s v="00049719"/>
    <s v="Administration Hazira"/>
    <s v="315236"/>
    <s v="Trainee"/>
    <s v="Hazira"/>
    <s v="0031950030"/>
    <s v="HZ-Admin"/>
    <s v="2000HWO"/>
    <s v="20057886"/>
    <s v="Shakir Bandwala"/>
    <s v="No"/>
    <s v=""/>
    <s v="9825073422"/>
    <s v="1065377"/>
    <s v="Manjit Shah"/>
    <s v="Anil Matoo"/>
    <s v="-"/>
    <s v="Manjit Shah"/>
    <s v="-"/>
  </r>
  <r>
    <n v="7630"/>
    <n v="20059975"/>
    <s v="Ruchi Patel"/>
    <s v="AM/NS India"/>
    <s v="Onroll"/>
    <s v="T-4 (Other Trainee)"/>
    <n v="18"/>
    <m/>
    <s v="JM"/>
    <s v="F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2000-02-23T00:00:00"/>
    <s v="23.06"/>
    <d v="2023-08-14T00:00:00"/>
    <d v="2058-02-28T00:00:00"/>
    <m/>
    <d v="2058-02-28T00:00:00"/>
    <n v="12580"/>
    <s v="B+"/>
    <s v="BCom-2022"/>
    <s v=""/>
    <s v="00.01"/>
    <s v="00.01"/>
    <s v="00049777"/>
    <s v="Plant Administration"/>
    <s v="315237"/>
    <s v="Trainee"/>
    <s v="Hazira"/>
    <s v="0031950030"/>
    <s v="HZ-Admin"/>
    <s v="2000HWO"/>
    <s v="20057892"/>
    <s v="Taj Baby"/>
    <s v="No"/>
    <s v=""/>
    <s v=""/>
    <s v="1065380"/>
    <s v="Manjit Shah"/>
    <s v="Anil Matoo"/>
    <s v="-"/>
    <s v="Manjit Shah"/>
    <s v="-"/>
  </r>
  <r>
    <n v="7631"/>
    <n v="20059976"/>
    <s v="Karan Patel"/>
    <s v="AM/NS India"/>
    <s v="Onroll"/>
    <s v="T-4 (Other Trainee)"/>
    <n v="1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1999-03-24T00:00:00"/>
    <s v="24.05"/>
    <d v="2023-08-14T00:00:00"/>
    <d v="2057-03-31T00:00:00"/>
    <m/>
    <d v="2057-03-31T00:00:00"/>
    <n v="12246"/>
    <s v="O+"/>
    <s v="PG Diploma in Management-2023 , PG Diplo"/>
    <s v=""/>
    <s v="00.01"/>
    <s v="00.01"/>
    <s v="00049719"/>
    <s v="Administration Hazira"/>
    <s v="315238"/>
    <s v="Trainee"/>
    <s v="Hazira"/>
    <s v="0031950030"/>
    <s v="HZ-Admin"/>
    <s v="2000HWO"/>
    <s v="20057886"/>
    <s v="Shakir Bandwala"/>
    <s v="No"/>
    <s v=""/>
    <s v=""/>
    <s v="1065420"/>
    <s v="Manjit Shah"/>
    <s v="Anil Matoo"/>
    <s v="-"/>
    <s v="Manjit Shah"/>
    <s v="-"/>
  </r>
  <r>
    <n v="7636"/>
    <n v="20059981"/>
    <s v="Ankit Singh"/>
    <s v="AM/NS India"/>
    <s v="Onroll"/>
    <s v="M-6"/>
    <n v="6"/>
    <m/>
    <s v="M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sition"/>
    <m/>
    <s v="Land Acquisition"/>
    <s v=""/>
    <s v=""/>
    <s v="Non Technical Support"/>
    <s v="Corporate Relations"/>
    <s v="Corporate Affairs"/>
    <s v="74501001"/>
    <s v="Corporate Affairs"/>
    <s v="Hazira"/>
    <d v="1987-03-15T00:00:00"/>
    <s v="36.06"/>
    <d v="2023-08-21T00:00:00"/>
    <d v="2045-03-31T00:00:00"/>
    <m/>
    <d v="2045-03-31T00:00:00"/>
    <n v="7863"/>
    <s v="O+"/>
    <s v="BTech-2009"/>
    <s v="12.11"/>
    <s v="00.00"/>
    <s v="13.00"/>
    <s v="70494938"/>
    <s v="Corporate Affairs"/>
    <s v="313342"/>
    <s v="Lead - Land Acqusition"/>
    <s v="Hazira"/>
    <s v="0090000021"/>
    <s v="Corporate Affairs"/>
    <s v="2000HWO"/>
    <s v="20057928"/>
    <s v="Manu Kapoor"/>
    <s v="No"/>
    <s v="ankit.singh@amns.in"/>
    <s v="9767811522"/>
    <s v="728538"/>
    <s v="Dhruv Vyas"/>
    <s v="Anil Matoo"/>
    <s v="Praveen Kuruvalli"/>
    <s v="Dhruv Vyas"/>
    <n v="0"/>
  </r>
  <r>
    <n v="7641"/>
    <n v="20059986"/>
    <s v="Rohit Sharma"/>
    <s v="AM/NS India"/>
    <s v="Onroll"/>
    <s v="M-8"/>
    <n v="8"/>
    <m/>
    <s v="JM"/>
    <s v="M"/>
    <s v="Corporate"/>
    <n v="7"/>
    <s v="2039"/>
    <x v="16"/>
    <s v="43.01"/>
    <s v="Sangeeta Munjal"/>
    <s v="Manu Kapoor"/>
    <n v="10"/>
    <s v="Corporate Affairs"/>
    <s v="Corporate Affairs"/>
    <s v="43"/>
    <s v="Lead – Internal Audit"/>
    <m/>
    <s v="Corporate Affairs"/>
    <m/>
    <m/>
    <s v="Non Technical Support"/>
    <s v="Chairman's Secretariat"/>
    <s v="Chairman's Secretariat"/>
    <s v="74701000"/>
    <s v="Chairman's Secretariat"/>
    <s v="Mumbai"/>
    <d v="1992-01-07T00:00:00"/>
    <s v="31.08"/>
    <d v="2023-08-21T00:00:00"/>
    <d v="2050-01-31T00:00:00"/>
    <m/>
    <d v="2050-01-31T00:00:00"/>
    <n v="9630"/>
    <s v="O+"/>
    <s v="CA Inter-2020"/>
    <s v="01.05"/>
    <s v="00.00"/>
    <s v="01.05"/>
    <s v="00044335"/>
    <s v="Internal Audit Corporate"/>
    <s v="317208"/>
    <s v="Lead – Internal Audit"/>
    <s v="Corporate"/>
    <s v="0090000035"/>
    <s v="Internal Audit"/>
    <s v="2000CS"/>
    <s v="20055802"/>
    <s v="Pawan Kumar Baid"/>
    <s v="No"/>
    <s v="rohit.sharma2@amns.in"/>
    <s v="7004584854"/>
    <s v="648539"/>
    <s v="Dhruv Vyas"/>
    <s v="Anil Matoo"/>
    <s v="Praveen Kuruvalli"/>
    <s v="Dhruv Vyas"/>
    <n v="0"/>
  </r>
  <r>
    <n v="7656"/>
    <n v="40001771"/>
    <s v="Canakapalli Hanumanth Rao"/>
    <s v="AM/NS India"/>
    <s v="Onroll"/>
    <s v="Advisor"/>
    <n v="4"/>
    <s v="M-4"/>
    <s v="Advisor"/>
    <s v="M"/>
    <s v="Vizag"/>
    <n v="3"/>
    <s v="2095"/>
    <x v="4"/>
    <n v="36.01"/>
    <s v="Deepak Sindkar"/>
    <s v="Hrishikesh Kamat"/>
    <n v="7"/>
    <s v="Procurement"/>
    <s v="Raw Materials"/>
    <s v="36"/>
    <s v="Advisor - NMDC &amp; Railways CO-Ordination"/>
    <m/>
    <s v="Bulk Raw Materials"/>
    <s v="Bulk Raw Materials"/>
    <m/>
    <s v="Non Technical Support"/>
    <s v="Commercial"/>
    <s v="Procurement"/>
    <s v="73803001"/>
    <s v="Procurement"/>
    <s v="Hyderabad"/>
    <d v="1951-09-26T00:00:00"/>
    <s v="71.11"/>
    <d v="2013-03-04T00:00:00"/>
    <d v="2009-09-30T00:00:00"/>
    <d v="2023-12-31T00:00:00"/>
    <d v="2023-12-31T00:00:00"/>
    <n v="102"/>
    <s v=""/>
    <s v="BE-1974"/>
    <s v="38.00"/>
    <s v="10.06"/>
    <s v="48.06"/>
    <s v="72150107"/>
    <s v="Vizag Operations"/>
    <s v="70328454"/>
    <s v="Advisor - NMDC &amp; Railways CO-Ordination"/>
    <s v="Non-payroll-relevant"/>
    <s v="0028030019"/>
    <s v="VIZ-Personnel &amp; Admi"/>
    <s v="2000VIZOPS"/>
    <s v="20000547"/>
    <s v="Ravindranath Modekurthi"/>
    <s v="No"/>
    <s v="hanumanth.rao@amns.in"/>
    <s v="9502701230"/>
    <s v="21893"/>
    <s v="Dhruv Vyas"/>
    <s v="Anil Matoo"/>
    <s v="Praveen Kuruvalli"/>
    <s v="Dhruv Vyas"/>
    <n v="0"/>
  </r>
  <r>
    <n v="7752"/>
    <n v="40002452"/>
    <s v="Shantilal Dhansukhbhai Patel"/>
    <s v="AM/NS India"/>
    <s v="Onroll"/>
    <s v="Advisor"/>
    <n v="8"/>
    <s v="M-8"/>
    <s v="Advisor"/>
    <s v="M"/>
    <s v="Hazira"/>
    <n v="1"/>
    <s v="2137"/>
    <x v="12"/>
    <s v="35.01"/>
    <s v="Hrishikesh Kamat"/>
    <s v="Hrishikesh Kamat"/>
    <n v="7"/>
    <s v="Procurement"/>
    <s v="Land Acquisition"/>
    <s v="35"/>
    <s v="Advisor - Land Acqusition"/>
    <m/>
    <s v="Land Acquisition"/>
    <s v="Land Acquisition"/>
    <s v=""/>
    <s v="Non Technical Support"/>
    <s v="Commercial"/>
    <s v="Contracts &amp; Tenders and E-bid"/>
    <s v="73805001"/>
    <s v="Contracts &amp; Tenders and E"/>
    <s v="AM/NS Hazira"/>
    <d v="1962-02-07T00:00:00"/>
    <s v="61.07"/>
    <d v="2021-05-17T00:00:00"/>
    <d v="2020-02-29T00:00:00"/>
    <d v="2023-05-16T00:00:00"/>
    <d v="2023-05-16T00:00:00"/>
    <n v="-127"/>
    <s v="B+"/>
    <s v="BCom-1984 , Intermediate-1980 , SSLC-197"/>
    <s v="38.03"/>
    <s v="02.04"/>
    <s v="40.07"/>
    <s v="70495436"/>
    <s v="Land Property"/>
    <s v="70495786"/>
    <s v="Advisor - Land Matters"/>
    <s v="Hazira"/>
    <s v="0031950038"/>
    <s v="HZ-Hazira Land Acqui"/>
    <s v="2000HWO"/>
    <s v="20059561"/>
    <s v="Bhavdip Jathal"/>
    <s v="No"/>
    <s v="shantilal.patel@amns.in"/>
    <s v="9825055371"/>
    <s v="838199"/>
    <s v="Dhruv Vyas"/>
    <s v="Anil Matoo"/>
    <s v="Praveen Kuruvalli"/>
    <s v="Dhruv Vyas"/>
    <n v="0"/>
  </r>
  <r>
    <n v="7763"/>
    <n v="40002494"/>
    <s v="Prabhatbhai Desai"/>
    <s v="AM/NS India"/>
    <s v="Onroll"/>
    <s v="Advisor"/>
    <n v="6"/>
    <s v="M-6"/>
    <s v="Advisor"/>
    <s v="M"/>
    <s v="Hazira"/>
    <n v="1"/>
    <s v="2039"/>
    <x v="12"/>
    <s v="43.01"/>
    <s v="Sangeeta Munjal"/>
    <s v="Manu Kapoor"/>
    <n v="10"/>
    <s v="Corporate Affairs"/>
    <s v="Corporate Affairs"/>
    <s v="43"/>
    <s v="Advisor - Land Acqusition"/>
    <m/>
    <s v="Land Acquisition"/>
    <s v=""/>
    <s v=""/>
    <s v="Non Technical Support"/>
    <s v="Corporate Relations"/>
    <s v="Corporate Affairs"/>
    <s v="74501001"/>
    <s v="Corporate Affairs"/>
    <s v="AM/NS Hazira"/>
    <d v="1959-05-31T00:00:00"/>
    <s v="64.03"/>
    <d v="2022-01-25T00:00:00"/>
    <d v="2017-05-31T00:00:00"/>
    <d v="2024-03-31T00:00:00"/>
    <d v="2024-03-31T00:00:00"/>
    <n v="193"/>
    <s v="O+"/>
    <s v="BA-1982 , Intermediate-1979 , SSLC-1977"/>
    <s v="34.05"/>
    <s v="01.07"/>
    <s v="36.00"/>
    <s v="70495436"/>
    <s v="Land Property"/>
    <s v="272202"/>
    <s v="Advisor Corporate Affairs"/>
    <s v="Hazira"/>
    <s v="0090000021"/>
    <s v="Corporate Affairs"/>
    <s v="2000HWO"/>
    <s v="20059561"/>
    <s v="Bhavdip Jathal"/>
    <s v="No"/>
    <s v="prabhatbhai.desai@amns.in"/>
    <s v="9825034045"/>
    <s v="878191"/>
    <s v="Dhruv Vyas"/>
    <s v="Anil Matoo"/>
    <s v="Praveen Kuruvalli"/>
    <s v="Dhruv Vyas"/>
    <n v="0"/>
  </r>
  <r>
    <n v="7769"/>
    <n v="40002500"/>
    <s v="Himanshu Parekh"/>
    <s v="AM/NS India"/>
    <s v="Onroll"/>
    <s v="Advisor"/>
    <n v="4"/>
    <s v="M-4"/>
    <s v="Advisor"/>
    <s v="M"/>
    <s v="Hazira"/>
    <n v="1"/>
    <s v="2137"/>
    <x v="12"/>
    <s v="35.01"/>
    <s v="Hrishikesh Kamat"/>
    <s v="Hrishikesh Kamat"/>
    <n v="7"/>
    <s v="Procurement"/>
    <s v="Land Acquisition"/>
    <s v="35"/>
    <s v="Advisor - Land Acqusition"/>
    <m/>
    <s v="Land Acquisition"/>
    <s v=""/>
    <s v=""/>
    <s v="Non Technical Support"/>
    <s v="Corporate Relations"/>
    <s v="Corporate Affairs"/>
    <s v="74501001"/>
    <s v="Corporate Affairs"/>
    <s v="AM/NS Hazira"/>
    <d v="1962-01-21T00:00:00"/>
    <s v="61.07"/>
    <d v="2022-03-01T00:00:00"/>
    <d v="2020-01-31T00:00:00"/>
    <d v="2024-02-29T00:00:00"/>
    <d v="2024-02-29T00:00:00"/>
    <n v="162"/>
    <s v="O+"/>
    <s v="SSLC-1977"/>
    <s v=""/>
    <s v="01.06"/>
    <s v="01.06"/>
    <s v="70494938"/>
    <s v="Corporate Affairs"/>
    <s v="275232"/>
    <s v="Advisor – Land Matters"/>
    <s v="Hazira"/>
    <s v="0090000021"/>
    <s v="Corporate Affairs"/>
    <s v="2000HWO"/>
    <s v="20057928"/>
    <s v="Manu Kapoor"/>
    <s v="No"/>
    <s v="himanshu.parekh@amns.in"/>
    <s v="9978405232"/>
    <s v="884276"/>
    <s v="Dhruv Vyas"/>
    <s v="Anil Matoo"/>
    <s v="Praveen Kuruvalli"/>
    <s v="Dhruv Vyas"/>
    <n v="0"/>
  </r>
  <r>
    <n v="7816"/>
    <n v="40002555"/>
    <s v="Alamsinh Chauhan"/>
    <s v="AM/NS India"/>
    <s v="Onroll"/>
    <s v="Advisor"/>
    <n v="7"/>
    <s v="M-7"/>
    <s v="Advisor"/>
    <s v="M"/>
    <s v="Hazira"/>
    <n v="1"/>
    <s v="2137"/>
    <x v="12"/>
    <s v="35.01"/>
    <s v="Hrishikesh Kamat"/>
    <s v="Hrishikesh Kamat"/>
    <n v="7"/>
    <s v="Procurement"/>
    <s v="Land Acquisition"/>
    <s v="35"/>
    <s v="Advisor - Land Acqusition"/>
    <m/>
    <s v="Land Acquisition"/>
    <s v=""/>
    <s v=""/>
    <s v="Non Technical Support"/>
    <s v="Corporate Relations"/>
    <s v="Corporate Affairs"/>
    <s v="74501001"/>
    <s v="Corporate Affairs"/>
    <s v="Hazira"/>
    <d v="1962-06-01T00:00:00"/>
    <s v="61.03"/>
    <d v="2022-11-28T00:00:00"/>
    <d v="2020-05-31T00:00:00"/>
    <d v="2023-11-28T00:00:00"/>
    <d v="2023-11-28T00:00:00"/>
    <n v="69"/>
    <s v="B+"/>
    <s v="Diploma-1984 , Intermediate-1976"/>
    <s v="37.09"/>
    <s v="00.09"/>
    <s v="38.06"/>
    <s v="70495436"/>
    <s v="Land Property"/>
    <s v="294610"/>
    <s v="Advisor – Land Surveyor"/>
    <s v="Hazira"/>
    <s v="0031950045"/>
    <s v="HZ-Works Accounts-Ha"/>
    <s v="2000HWO"/>
    <s v="20059561"/>
    <s v="Bhavdip Jathal"/>
    <s v="No"/>
    <s v="alamsinh.chauhan@amns.in"/>
    <s v="9825770580"/>
    <s v="1024779"/>
    <s v="Dhruv Vyas"/>
    <s v="Anil Matoo"/>
    <s v="Praveen Kuruvalli"/>
    <s v="Dhruv Vyas"/>
    <n v="0"/>
  </r>
  <r>
    <n v="7890"/>
    <n v="40002639"/>
    <s v="Balveer Bhandari"/>
    <s v="AMNS Khopoli"/>
    <s v="Onroll"/>
    <s v="Advisor"/>
    <m/>
    <m/>
    <s v="Advisor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2-06-22T00:00:00"/>
    <s v="61.03"/>
    <d v="2023-04-01T00:00:00"/>
    <d v="2022-06-30T00:00:00"/>
    <m/>
    <d v="2022-06-30T00:00:00"/>
    <n v="-447"/>
    <s v=""/>
    <s v=""/>
    <s v=""/>
    <s v="00.05"/>
    <s v="00.05"/>
    <s v="00051339"/>
    <s v="Excise"/>
    <s v="305212"/>
    <s v="New Acquisition"/>
    <s v="Non-payroll-relevant"/>
    <s v=""/>
    <s v=""/>
    <s v="1121KHOP"/>
    <s v="20055962"/>
    <s v="Navin Kewalramani"/>
    <s v="No"/>
    <s v="balveer.bhandari@amns.in"/>
    <s v="8879994156"/>
    <s v="1022220"/>
    <s v="Pritam Debbarma"/>
    <s v="Anil Matoo"/>
    <s v="-"/>
    <s v="Manjit Shah"/>
    <s v="-"/>
  </r>
  <r>
    <n v="7915"/>
    <n v="80127955"/>
    <s v="Kalpesh Raghunath Tawde"/>
    <s v="AM/NS India"/>
    <s v="Onroll"/>
    <s v="M-10"/>
    <n v="10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"/>
    <s v="Non Technical Support"/>
    <s v="Finance &amp; Accounts"/>
    <s v="Treasury"/>
    <s v="73903001"/>
    <s v="Treasury"/>
    <s v="Pune AMNS"/>
    <d v="1986-04-11T00:00:00"/>
    <s v="37.05"/>
    <d v="2007-08-16T00:00:00"/>
    <d v="2044-04-30T00:00:00"/>
    <m/>
    <d v="2044-04-30T00:00:00"/>
    <n v="7528"/>
    <s v=""/>
    <s v="Diploma-2007 , BCom-2006 , High School-2"/>
    <s v="09.01"/>
    <s v="16.01"/>
    <s v="25.02"/>
    <s v="70418544"/>
    <s v="Costing"/>
    <s v="70395939"/>
    <s v="Lead"/>
    <s v="Pune Facility"/>
    <s v="0035950020"/>
    <s v="Pune-F&amp;A"/>
    <s v="2000ESPF"/>
    <s v="20048971"/>
    <s v="Arindam Ganguly"/>
    <s v="No"/>
    <s v="kalpesh.tawde@amns.in"/>
    <s v="9930136551"/>
    <s v="24474"/>
    <s v="Dhruv Vyas"/>
    <s v="Anil Matoo"/>
    <s v="Praveen Kuruvalli"/>
    <s v="Dhruv Vyas"/>
    <n v="0"/>
  </r>
  <r>
    <n v="7916"/>
    <n v="80141906"/>
    <s v="Akhilesh Purohit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- Insurance"/>
    <m/>
    <s v="Risk &amp; Insurance"/>
    <s v="Risk &amp; Insurance"/>
    <s v=""/>
    <s v="Non Technical Support"/>
    <s v="International Supply &amp; Trading"/>
    <s v="Price Risk Management"/>
    <s v="72203047"/>
    <s v="Risk Management"/>
    <s v="Mumbai"/>
    <d v="1977-07-03T00:00:00"/>
    <s v="46.02"/>
    <d v="2011-03-14T00:00:00"/>
    <d v="2035-07-31T00:00:00"/>
    <m/>
    <d v="2035-07-31T00:00:00"/>
    <n v="4332"/>
    <s v="AB-"/>
    <s v="MBA-1999"/>
    <s v="07.05"/>
    <s v="12.06"/>
    <s v="19.11"/>
    <s v="70447071"/>
    <s v="Insurance &amp; Financial Risk"/>
    <s v="70490224"/>
    <s v="Lead - Insurance"/>
    <s v="Corporate"/>
    <s v="0090000028"/>
    <s v="Corporate Steel - Wo"/>
    <s v="2000CS"/>
    <s v="20017504"/>
    <s v="Appi Reddy Guttikonda"/>
    <s v="No"/>
    <s v="akhilesh.purohit@amns.in"/>
    <s v="9930134249"/>
    <s v="23598"/>
    <s v="Dhruv Vyas"/>
    <s v="Anil Matoo"/>
    <s v="Praveen Kuruvalli"/>
    <s v="Dhruv Vyas"/>
    <n v="0"/>
  </r>
  <r>
    <n v="7929"/>
    <n v="30072"/>
    <s v="David Rajkumar Ambrose"/>
    <s v="AM/NS SSL"/>
    <s v="Onroll"/>
    <s v="M-10"/>
    <n v="10"/>
    <m/>
    <s v="JM"/>
    <s v="M"/>
    <s v="Hazira"/>
    <n v="1"/>
    <m/>
    <x v="7"/>
    <s v="34.01"/>
    <s v="Ambrish Chaturvedi"/>
    <s v="Hrishikesh Kamat"/>
    <n v="7"/>
    <s v="Procurement"/>
    <s v="Stores &amp; Warehouse"/>
    <s v="34"/>
    <s v="Lead - Diesel supply"/>
    <m/>
    <s v="Stores &amp; Warehouse"/>
    <s v="Diesel supply"/>
    <m/>
    <m/>
    <m/>
    <s v="Lead - Diesel supply"/>
    <m/>
    <m/>
    <s v="Hazira"/>
    <d v="1981-09-06T00:00:00"/>
    <n v="42.02465753424657"/>
    <d v="2020-11-01T00:00:00"/>
    <d v="2039-09-30T00:00:00"/>
    <m/>
    <d v="2039-09-30T00:00:00"/>
    <n v="5854"/>
    <s v="B+ve"/>
    <s v="B.A'-2004"/>
    <n v="14.05"/>
    <n v="2.253251197809719"/>
    <n v="16.30325119780972"/>
    <m/>
    <m/>
    <m/>
    <s v="Lead - Diesel supply"/>
    <s v="SSL"/>
    <m/>
    <m/>
    <m/>
    <n v="20001164"/>
    <s v="Snehal Anjaria"/>
    <s v="No"/>
    <s v="David.rajkumar@ssl.AMNS.in"/>
    <n v="6357192754"/>
    <n v="810319"/>
    <s v="Manjit Shah"/>
    <s v="Anil Matoo"/>
    <n v="0"/>
    <s v="Manjit Shah"/>
    <n v="0"/>
  </r>
  <r>
    <n v="7933"/>
    <n v="30078"/>
    <s v="Virendra Singh"/>
    <s v="AM/NS SSL"/>
    <s v="Onroll"/>
    <s v="M-11"/>
    <n v="11"/>
    <m/>
    <s v="JM"/>
    <s v="M"/>
    <s v="Hazira"/>
    <n v="1"/>
    <m/>
    <x v="7"/>
    <s v="34.01"/>
    <s v="Ambrish Chaturvedi"/>
    <s v="Hrishikesh Kamat"/>
    <n v="7"/>
    <s v="Procurement"/>
    <s v="Stores &amp; Warehouse"/>
    <s v="34"/>
    <s v="Lead - Stores &amp; Warehouse"/>
    <m/>
    <s v="Stores &amp; Warehouse"/>
    <s v="Stores &amp; Warehouse"/>
    <m/>
    <m/>
    <m/>
    <s v="Lead - Stores &amp; Warehouse"/>
    <m/>
    <m/>
    <s v="Hazira"/>
    <d v="1987-05-14T00:00:00"/>
    <n v="36.33698630136986"/>
    <d v="2021-01-02T00:00:00"/>
    <d v="2045-05-31T00:00:00"/>
    <m/>
    <d v="2045-05-31T00:00:00"/>
    <n v="7924"/>
    <s v="O+ve"/>
    <s v="BA'2009, DBM'2011"/>
    <n v="8.050000000000001"/>
    <n v="2.083504449007529"/>
    <n v="10.13350444900753"/>
    <m/>
    <m/>
    <m/>
    <s v="Lead - Stores &amp; Warehouse"/>
    <s v="SSL"/>
    <m/>
    <m/>
    <m/>
    <n v="20001164"/>
    <s v="Snehal Anjaria"/>
    <s v="No"/>
    <s v="Virendra.Singh@ssl.AMNS.in"/>
    <n v="9925241063"/>
    <n v="818991"/>
    <s v="Manjit Shah"/>
    <s v="Anil Matoo"/>
    <n v="0"/>
    <s v="Manjit Shah"/>
    <n v="0"/>
  </r>
  <r>
    <n v="7998"/>
    <n v="30094"/>
    <s v="Prashant Vilas Mandavekar"/>
    <s v="AM/NS SSL"/>
    <s v="Onroll"/>
    <s v="M-9"/>
    <n v="9"/>
    <m/>
    <s v="JM"/>
    <s v="M"/>
    <s v="Hazira"/>
    <n v="1"/>
    <m/>
    <x v="23"/>
    <s v="26.11"/>
    <s v="Anil Matoo"/>
    <s v="Ashutosh Telang"/>
    <n v="6"/>
    <s v="HR &amp; Administration"/>
    <s v="Payroll Administration"/>
    <s v="26"/>
    <s v="Lead - HR, IR &amp; Admin"/>
    <m/>
    <s v="HR, IR &amp; Admin"/>
    <s v="HR, IR &amp; Admin"/>
    <m/>
    <m/>
    <m/>
    <s v="Lead - HR, IR &amp; Admin"/>
    <m/>
    <m/>
    <s v="Hazira"/>
    <d v="1988-02-25T00:00:00"/>
    <n v="35.55068493150685"/>
    <d v="2021-06-15T00:00:00"/>
    <d v="2046-02-28T00:00:00"/>
    <m/>
    <d v="2046-02-28T00:00:00"/>
    <n v="8197"/>
    <s v="O+ve"/>
    <s v="MBA- HR 2012, BHTMS 2008"/>
    <n v="8"/>
    <n v="1.634496919917864"/>
    <n v="9.634496919917865"/>
    <m/>
    <m/>
    <m/>
    <s v="Lead - HR, IR &amp; Admin"/>
    <s v="SSL"/>
    <m/>
    <m/>
    <m/>
    <n v="20055071"/>
    <s v="Anirudha Bisoyi"/>
    <s v="No"/>
    <s v="Prashant.Mandavekar@ssl.AMNS.in"/>
    <n v="7486036266"/>
    <n v="846926"/>
    <s v="Manjit Shah"/>
    <s v="Anil Matoo"/>
    <n v="0"/>
    <s v="Manjit Shah"/>
    <n v="0"/>
  </r>
  <r>
    <n v="7999"/>
    <n v="30106"/>
    <s v="Pinkesh Maheshkumar Bhutwala"/>
    <s v="AM/NS SSL"/>
    <s v="Onroll"/>
    <s v="M-9"/>
    <n v="9"/>
    <m/>
    <s v="JM"/>
    <s v="M"/>
    <s v="Hazira"/>
    <n v="1"/>
    <m/>
    <x v="23"/>
    <s v="26.11"/>
    <s v="Anil Matoo"/>
    <s v="Ashutosh Telang"/>
    <n v="6"/>
    <s v="HR &amp; Administration"/>
    <s v="Payroll Administration"/>
    <s v="26"/>
    <s v="Lead - HR, IR &amp; Admin"/>
    <m/>
    <s v="HR, IR &amp; Admin"/>
    <s v="HR, IR &amp; Admin"/>
    <m/>
    <m/>
    <m/>
    <s v="Lead - HR, IR &amp; Admin"/>
    <m/>
    <m/>
    <s v="Hazira"/>
    <d v="1992-10-23T00:00:00"/>
    <n v="30.88767123287671"/>
    <d v="2022-09-01T00:00:00"/>
    <d v="2050-10-31T00:00:00"/>
    <m/>
    <d v="2050-10-31T00:00:00"/>
    <n v="9903"/>
    <s v="B+ve"/>
    <s v="P.G.D. HRM-2016,MLW-2016,B. Com.-2014"/>
    <n v="7"/>
    <n v="0.4216290212183436"/>
    <n v="7.421629021218344"/>
    <m/>
    <m/>
    <m/>
    <s v="Lead - HR, IR &amp; Admin"/>
    <s v="SSL"/>
    <m/>
    <m/>
    <m/>
    <n v="20055071"/>
    <s v="Anirudha Bisoyi"/>
    <s v="No"/>
    <s v="pinkesh.bhutwala@ssl.amns.in"/>
    <n v="9624569689"/>
    <n v="1015823"/>
    <s v="Manjit Shah"/>
    <s v="Anil Matoo"/>
    <s v="-"/>
    <s v="Manjit Shah"/>
    <s v="-"/>
  </r>
  <r>
    <n v="8000"/>
    <n v="30132"/>
    <s v="Pareshbhai Nathubhai Patel"/>
    <s v="AM/NS SSL"/>
    <s v="Onroll"/>
    <s v="M-9"/>
    <n v="9"/>
    <m/>
    <s v="JM"/>
    <s v="M"/>
    <s v="Hazira"/>
    <n v="1"/>
    <m/>
    <x v="12"/>
    <s v="35.01"/>
    <s v="Hrishikesh Kamat"/>
    <s v="Hrishikesh Kamat"/>
    <n v="7"/>
    <s v="Procurement"/>
    <s v="Land Acquisition"/>
    <s v="35"/>
    <s v="Officer-Land Acqusition"/>
    <m/>
    <s v="Land Acquisition"/>
    <s v="Land Acquisition"/>
    <m/>
    <m/>
    <m/>
    <s v="Officer-Land Matters"/>
    <m/>
    <m/>
    <s v="Hazira"/>
    <d v="1982-05-16T00:00:00"/>
    <n v="41.33424657534247"/>
    <d v="2022-10-06T00:00:00"/>
    <d v="2040-05-31T00:00:00"/>
    <m/>
    <d v="2040-05-31T00:00:00"/>
    <n v="6098"/>
    <s v="AB+ve"/>
    <s v="B.A.-2016"/>
    <n v="5"/>
    <n v="0.3258042436687201"/>
    <n v="5.325804243668721"/>
    <m/>
    <m/>
    <m/>
    <s v="Officer-Land Matters"/>
    <s v="SSL"/>
    <m/>
    <m/>
    <m/>
    <n v="20057928"/>
    <s v="Manu Kapoor"/>
    <s v="No"/>
    <s v="paresh.patel@ssl.amns.in"/>
    <n v="7283833888"/>
    <m/>
    <s v="Manjit Shah"/>
    <s v="Anil Matoo"/>
    <s v="-"/>
    <s v="Manjit Shah"/>
    <s v="-"/>
  </r>
  <r>
    <n v="8001"/>
    <n v="30140"/>
    <s v="Shurtik Prasadbhai Patel"/>
    <s v="AM/NS SSL"/>
    <s v="Onroll"/>
    <s v="M-11"/>
    <n v="11"/>
    <m/>
    <s v="JM"/>
    <s v="M"/>
    <s v="Hazira"/>
    <n v="1"/>
    <m/>
    <x v="12"/>
    <s v="35.01"/>
    <s v="Hrishikesh Kamat"/>
    <s v="Hrishikesh Kamat"/>
    <n v="7"/>
    <s v="Procurement"/>
    <s v="Land Acquisition"/>
    <s v="35"/>
    <s v="Officer-Land Matters"/>
    <m/>
    <s v="Land Acquisition"/>
    <s v="Land Matters"/>
    <m/>
    <m/>
    <m/>
    <s v="Officer-Land Matters"/>
    <m/>
    <m/>
    <s v="Hazira"/>
    <d v="2001-01-01T00:00:00"/>
    <n v="22.69041095890411"/>
    <d v="2022-11-04T00:00:00"/>
    <d v="2058-12-31T00:00:00"/>
    <m/>
    <d v="2058-12-31T00:00:00"/>
    <n v="12886"/>
    <m/>
    <s v="H.S.C.-2018, S.S.C.-2016"/>
    <n v="3"/>
    <n v="0.2464065708418891"/>
    <n v="3.246406570841889"/>
    <m/>
    <m/>
    <m/>
    <s v="Officer-Land Matters"/>
    <s v="SSL"/>
    <m/>
    <m/>
    <m/>
    <n v="20057714"/>
    <s v="Anand Purohit"/>
    <s v="No"/>
    <s v="shurtik.patel@ssl.amns.in"/>
    <n v="9925094876"/>
    <n v="1025511"/>
    <s v="Manjit Shah"/>
    <s v="Anil Matoo"/>
    <s v="-"/>
    <s v="Manjit Shah"/>
    <s v="-"/>
  </r>
  <r>
    <n v="8040"/>
    <n v="30192"/>
    <s v="Vasantbhai Patel"/>
    <s v="AM/NS SSL"/>
    <s v="Onroll"/>
    <s v="M-11"/>
    <n v="11"/>
    <m/>
    <s v="JM"/>
    <s v="M"/>
    <s v="Hazira"/>
    <n v="1"/>
    <m/>
    <x v="6"/>
    <s v="24.08"/>
    <s v="Anil Matoo"/>
    <s v="Ashutosh Telang"/>
    <n v="6"/>
    <s v="HR &amp; Administration"/>
    <s v="Administration"/>
    <s v="24"/>
    <s v="Management Associate"/>
    <m/>
    <m/>
    <m/>
    <m/>
    <m/>
    <m/>
    <s v="Management Associate"/>
    <m/>
    <m/>
    <s v="Hazira"/>
    <d v="1987-05-28T00:00:00"/>
    <n v="36.2986301369863"/>
    <d v="2023-04-01T00:00:00"/>
    <d v="2045-05-31T00:00:00"/>
    <m/>
    <d v="2045-05-31T00:00:00"/>
    <n v="7924"/>
    <s v="O+ve"/>
    <s v="SSC-2002, ITI (MMCP) - 2004"/>
    <n v="16"/>
    <n v="0.4301369863013699"/>
    <n v="16.43013698630137"/>
    <m/>
    <m/>
    <m/>
    <s v="Management Associate"/>
    <s v="SSL"/>
    <m/>
    <m/>
    <m/>
    <n v="20056012"/>
    <s v="Ujwal Punia"/>
    <s v="No"/>
    <s v="vasant.patel@ssl.amns.in"/>
    <n v="7227043135"/>
    <m/>
    <s v="Manjit Shah"/>
    <s v="Anil Matoo"/>
    <s v="-"/>
    <s v="Manjit Shah"/>
    <s v="-"/>
  </r>
  <r>
    <n v="8051"/>
    <n v="30203"/>
    <s v="Yunas Ali"/>
    <s v="AM/NS SSL"/>
    <s v="Onroll"/>
    <s v="M-11"/>
    <n v="11"/>
    <m/>
    <s v="JM"/>
    <s v="M"/>
    <s v="Hazira"/>
    <n v="1"/>
    <m/>
    <x v="6"/>
    <s v="24.08"/>
    <s v="Anil Matoo"/>
    <s v="Ashutosh Telang"/>
    <n v="6"/>
    <s v="HR &amp; Administration"/>
    <s v="Administration"/>
    <s v="24"/>
    <s v="Associate"/>
    <m/>
    <m/>
    <m/>
    <m/>
    <m/>
    <m/>
    <s v="Associate"/>
    <m/>
    <m/>
    <s v="Hazira"/>
    <d v="1974-09-01T00:00:00"/>
    <n v="49.04383561643836"/>
    <d v="2023-04-13T00:00:00"/>
    <d v="2032-08-31T00:00:00"/>
    <d v="2025-04-13T00:00:00"/>
    <d v="2025-04-13T00:00:00"/>
    <n v="3268"/>
    <s v="B+ve"/>
    <s v="Army Graduate - 2012"/>
    <n v="23"/>
    <n v="0.3972602739726027"/>
    <n v="23.3972602739726"/>
    <m/>
    <m/>
    <m/>
    <s v="Associate"/>
    <s v="SSL"/>
    <m/>
    <m/>
    <m/>
    <n v="1770495"/>
    <s v="Remya P R"/>
    <s v="No"/>
    <s v="yunas.ali@ssl.amns.in"/>
    <n v="8094347207"/>
    <m/>
    <s v="Manjit Shah"/>
    <s v="Anil Matoo"/>
    <s v="-"/>
    <s v="Manjit Shah"/>
    <s v="-"/>
  </r>
  <r>
    <n v="8066"/>
    <n v="30218"/>
    <s v="Sowmiya Venkatramani"/>
    <s v="AM/NS SSL"/>
    <s v="Onroll"/>
    <s v="M-11"/>
    <n v="11"/>
    <m/>
    <s v="JM"/>
    <s v="F"/>
    <s v="Hazira"/>
    <n v="1"/>
    <m/>
    <x v="1"/>
    <s v="22.06"/>
    <s v="Anil Matoo"/>
    <s v="Ashutosh Telang"/>
    <n v="6"/>
    <s v="HR &amp; Administration"/>
    <s v="Human Resources"/>
    <s v="22"/>
    <s v="Management Associate"/>
    <m/>
    <m/>
    <m/>
    <m/>
    <m/>
    <m/>
    <s v="Management Associate"/>
    <m/>
    <m/>
    <s v="Hazira"/>
    <s v="17/06/1992"/>
    <n v="31.23835616438356"/>
    <s v="01/08/2023"/>
    <d v="2050-06-30T00:00:00"/>
    <d v="2025-08-01T00:00:00"/>
    <d v="2025-08-01T00:00:00"/>
    <n v="9780"/>
    <s v="A+ve"/>
    <s v="MSW - 2016"/>
    <n v="5.05"/>
    <n v="0.0958904109589041"/>
    <n v="5.145890410958904"/>
    <m/>
    <m/>
    <m/>
    <s v="Management Associate"/>
    <s v="SSL"/>
    <m/>
    <m/>
    <m/>
    <n v="20001265"/>
    <s v="Lakshman Iyer"/>
    <s v="No"/>
    <s v="sowmiya.venkatramani@ssl.amns.in"/>
    <n v="9662315712"/>
    <m/>
    <s v="Manjit Shah"/>
    <s v="Anil Matoo"/>
    <s v="-"/>
    <s v="Manjit Shah"/>
    <s v="-"/>
  </r>
  <r>
    <n v="8068"/>
    <n v="30220"/>
    <s v="Jennifer Varghese"/>
    <s v="AM/NS SSL"/>
    <s v="Onroll"/>
    <s v="M-11"/>
    <n v="11"/>
    <m/>
    <s v="JM"/>
    <s v="F"/>
    <s v="Hazira"/>
    <n v="1"/>
    <m/>
    <x v="6"/>
    <s v="24.08"/>
    <s v="Anil Matoo"/>
    <s v="Ashutosh Telang"/>
    <n v="6"/>
    <s v="HR &amp; Administration"/>
    <s v="Administration"/>
    <s v="24"/>
    <s v="Associate"/>
    <m/>
    <m/>
    <m/>
    <m/>
    <m/>
    <m/>
    <s v="Associate"/>
    <m/>
    <m/>
    <s v="Hazira"/>
    <s v="05/11/1990"/>
    <n v="32.85479452054795"/>
    <s v="07/08/2023"/>
    <d v="2048-11-30T00:00:00"/>
    <d v="2025-08-07T00:00:00"/>
    <d v="2025-08-07T00:00:00"/>
    <n v="9203"/>
    <s v="B +ve"/>
    <s v="B.Com. - 2012"/>
    <n v="10"/>
    <n v="0.07945205479452055"/>
    <n v="10.07945205479452"/>
    <m/>
    <m/>
    <m/>
    <s v="Associate"/>
    <s v="SSL"/>
    <m/>
    <m/>
    <m/>
    <n v="20057891"/>
    <s v="Bhavik Mehta"/>
    <s v="No"/>
    <s v="jennifer.varghese@ssl.amns.in"/>
    <n v="7045727810"/>
    <m/>
    <s v="Manjit Shah"/>
    <s v="Anil Matoo"/>
    <s v="-"/>
    <s v="Manjit Shah"/>
    <s v="-"/>
  </r>
  <r>
    <n v="8068"/>
    <n v="1111"/>
    <s v="Vidyasagar Kona"/>
    <s v="AM/NS India"/>
    <m/>
    <s v="M-6"/>
    <m/>
    <m/>
    <m/>
    <m/>
    <s v="Corporate"/>
    <m/>
    <m/>
    <x v="19"/>
    <m/>
    <s v="Raghavan Aravamudhan"/>
    <s v="Dilip Oommen"/>
    <m/>
    <s v="CEO Office"/>
    <s v="Business Strategy"/>
    <m/>
    <s v="Analyst - Business Strategy"/>
    <m/>
    <s v="Business Strategy"/>
    <s v="Business Strateg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count="1030">
  <r>
    <n v="1"/>
    <n v="20000057"/>
    <s v="Vivek Sanil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Section Head - Banking"/>
    <m/>
    <s v="Treasury &amp; Banking"/>
    <s v="Banking"/>
    <s v="Treasury &amp; Finance"/>
    <s v="Non Technical Support"/>
    <s v="Finance &amp; Accounts"/>
    <s v="Treasury"/>
    <s v="73903001"/>
    <s v="Treasury"/>
    <s v="Mumbai"/>
    <d v="1966-08-12T00:00:00"/>
    <s v="57.01"/>
    <d v="1987-01-01T00:00:00"/>
    <d v="2024-08-31T00:00:00"/>
    <m/>
    <d v="2024-08-31T00:00:00"/>
    <n v="346"/>
    <s v="O-"/>
    <s v="BCom-1989"/>
    <s v=""/>
    <s v="36.08"/>
    <s v="36.08"/>
    <s v="70101920"/>
    <s v="Treasury - Mumbai"/>
    <s v="72153381"/>
    <s v="Section Head - Banking"/>
    <s v="Hazira"/>
    <s v="0090000028"/>
    <s v="Corporate Steel - Wo"/>
    <s v="2000HWO"/>
    <s v="20000870"/>
    <s v="Balajee M"/>
    <s v="No"/>
    <s v="vivek.sanil@amns.in"/>
    <s v="9819730117"/>
    <s v="23918"/>
    <s v="Dhruv Vyas"/>
    <s v="Anil Matoo"/>
    <s v="Praveen Kuruvalli"/>
    <s v="Dhruv Vyas"/>
    <n v="0"/>
  </r>
  <r>
    <n v="2"/>
    <n v="20000083"/>
    <s v="Anil Matoo"/>
    <s v="AM/NS India"/>
    <s v="Onroll"/>
    <s v="M-2"/>
    <n v="2"/>
    <m/>
    <s v="TM"/>
    <s v="M"/>
    <s v="Corporate"/>
    <n v="7"/>
    <s v="2015"/>
    <x v="1"/>
    <s v="22.06"/>
    <s v="Ashutosh Telang"/>
    <s v="Ashutosh Telang"/>
    <n v="6"/>
    <s v="HR &amp; Administration"/>
    <s v="Human Resources"/>
    <s v="22"/>
    <s v="Head - HR IR &amp; Admin"/>
    <m/>
    <s v="Human Resources"/>
    <s v="HR &amp; Administration"/>
    <s v="HR &amp; Administration"/>
    <s v="Non Technical Support"/>
    <s v="Human Resources Management"/>
    <s v="Human Resources Management"/>
    <s v="73501001"/>
    <s v="Human Resources"/>
    <s v="AM/NS Hazira"/>
    <d v="1964-04-29T00:00:00"/>
    <s v="59.04"/>
    <d v="1988-08-29T00:00:00"/>
    <d v="2024-04-30T00:00:00"/>
    <m/>
    <d v="2024-04-30T00:00:00"/>
    <n v="223"/>
    <s v="O-"/>
    <s v="MBA-2011 , MSW-1988 , BSc-1988"/>
    <s v="01.00"/>
    <s v="35.00"/>
    <s v="36.00"/>
    <s v="70040651"/>
    <s v="HR Operations, IR &amp; Administration"/>
    <s v="70444350"/>
    <s v="Head - HR IR &amp; Admin"/>
    <s v="Confidential Payroll"/>
    <s v="0090000018"/>
    <s v="CORP Group - HR"/>
    <s v="2000CS"/>
    <s v="20059024"/>
    <s v="Keiji Kubota"/>
    <s v="No"/>
    <s v="anil.matoo@amns.in"/>
    <s v="9879102999"/>
    <s v="22563"/>
    <s v="Dhruv Vyas"/>
    <s v="Anil Matoo"/>
    <s v="Praveen Kuruvalli"/>
    <s v="Dhruv Vyas"/>
    <n v="0"/>
  </r>
  <r>
    <n v="3"/>
    <n v="20000103"/>
    <s v="M K Sachidanandan Panicker"/>
    <s v="AM/NS India"/>
    <s v="Onroll"/>
    <s v="M-5"/>
    <n v="5"/>
    <m/>
    <s v="MM"/>
    <s v="M"/>
    <s v="Hazira"/>
    <n v="1"/>
    <s v="2039"/>
    <x v="2"/>
    <s v="43.01"/>
    <s v="Sangeeta Munjal"/>
    <s v="Manu Kapoor"/>
    <n v="10"/>
    <s v="Corporate Affairs"/>
    <s v="Corporate Affairs"/>
    <s v="43"/>
    <s v="Sr. Lead - Corporate Affairs"/>
    <m/>
    <s v="Corporate Affairs"/>
    <s v="Corporate Relations Group"/>
    <s v="Corporate Relations Group"/>
    <s v="Non Technical Support"/>
    <s v="Corporate Relations"/>
    <s v="Corporate Affairs"/>
    <s v="74501001"/>
    <s v="Corporate Affairs"/>
    <s v="Ahmedabad"/>
    <d v="1962-05-15T00:00:00"/>
    <s v="61.04"/>
    <d v="1989-04-10T00:00:00"/>
    <d v="2020-05-31T00:00:00"/>
    <d v="2024-03-31T00:00:00"/>
    <d v="2024-03-31T00:00:00"/>
    <n v="193"/>
    <s v="A-"/>
    <s v="Intermediate-1998 , BA-1998"/>
    <s v="06.07"/>
    <s v="34.05"/>
    <s v="41.00"/>
    <s v="70492729"/>
    <s v="Corporate Affairs - Gujarat"/>
    <s v="70323864"/>
    <s v="JGM - Corporate Affairs"/>
    <s v="Hazira"/>
    <s v="0090000016"/>
    <s v="Corporate Steel - Co"/>
    <s v="2000HWO"/>
    <s v="20055200"/>
    <s v="Umesh Nayak"/>
    <s v="No"/>
    <s v="sachidanandan.panicker@amns.in"/>
    <s v="9979868801"/>
    <s v="22965"/>
    <s v="Dhruv Vyas"/>
    <s v="Anil Matoo"/>
    <s v="Praveen Kuruvalli"/>
    <s v="Dhruv Vyas"/>
    <n v="0"/>
  </r>
  <r>
    <n v="7"/>
    <n v="20000138"/>
    <s v="Suresh Iyer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- Internal Contro &amp; SOX"/>
    <m/>
    <s v="Internal Control &amp; SOX"/>
    <s v="Internal Control &amp; SOX"/>
    <s v="Internal Audit"/>
    <s v="Non Technical Support"/>
    <s v="Chairman's Secretariat"/>
    <s v="Chairman's Secretariat"/>
    <s v="74701000"/>
    <s v="Chairman's Secretariat"/>
    <s v="Mumbai"/>
    <d v="1965-08-25T00:00:00"/>
    <s v="58.00"/>
    <d v="1989-10-16T00:00:00"/>
    <d v="2023-08-31T00:00:00"/>
    <m/>
    <d v="2023-08-31T00:00:00"/>
    <n v="-20"/>
    <s v="O-"/>
    <s v="ICWA Final-1989 , CA Final-1989"/>
    <s v=""/>
    <s v="33.11"/>
    <s v="33.11"/>
    <s v="72150219"/>
    <s v="Internal Control &amp; SOX -1"/>
    <s v="70028340"/>
    <s v="Head - Internal Contro &amp; SOX"/>
    <s v="Corporate"/>
    <s v="0031950043"/>
    <s v="HZ-Performance Manag"/>
    <s v="2000CS"/>
    <s v="20055088"/>
    <s v="Amit Harlalka"/>
    <s v="No"/>
    <s v="suresh.iyer@amns.in"/>
    <s v="9819730194"/>
    <s v="21934"/>
    <s v="Dhruv Vyas"/>
    <s v="Anil Matoo"/>
    <s v="Praveen Kuruvalli"/>
    <s v="Dhruv Vyas"/>
    <n v="0"/>
  </r>
  <r>
    <n v="11"/>
    <n v="20000200"/>
    <s v="A Venkateswara Rao"/>
    <s v="AM/NS India"/>
    <s v="Onroll"/>
    <s v="M-6"/>
    <n v="6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Section In-Charge- Procurement"/>
    <m/>
    <s v="Procurement"/>
    <s v="Purchase"/>
    <s v="Purchase"/>
    <s v="Non Technical Support"/>
    <s v="Commercial"/>
    <s v="Purchase"/>
    <s v="73804001"/>
    <s v="Purchase"/>
    <s v="Vizag"/>
    <d v="1966-08-31T00:00:00"/>
    <s v="57.00"/>
    <d v="1990-08-08T00:00:00"/>
    <d v="2024-08-31T00:00:00"/>
    <m/>
    <d v="2024-08-31T00:00:00"/>
    <n v="346"/>
    <s v="B-"/>
    <s v="Diploma-2011 , MBA-2011 , BCom-1988"/>
    <s v="01.06"/>
    <s v="33.01"/>
    <s v="34.07"/>
    <s v="00048348"/>
    <s v="Procurement - Vizag"/>
    <s v="72150331"/>
    <s v="Section In-Charge- Procurement"/>
    <s v="Vizag"/>
    <s v="0028030019"/>
    <s v="VIZ-Personnel &amp; Admi"/>
    <s v="2000VIZOPS"/>
    <s v="20011945"/>
    <s v="Raghavendra Rao Yerramsetty"/>
    <s v="No"/>
    <s v="venkateshwara.rao@amns.in"/>
    <s v="9885310935"/>
    <s v="23719"/>
    <s v="DS Varma"/>
    <s v="Anil Matoo"/>
    <s v="Praveen Kuruvalli"/>
    <s v="Dhruv Vyas"/>
    <n v="0"/>
  </r>
  <r>
    <n v="12"/>
    <n v="20000201"/>
    <s v="Manish Bakriwala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Head -Procurement (MRO/IP &amp; Consumables"/>
    <m/>
    <s v="Procurement MRO Hazira"/>
    <s v="Procurement"/>
    <s v="Procurement"/>
    <s v="Non Technical Support"/>
    <s v="Commercial"/>
    <s v="Procurement"/>
    <s v="73803001"/>
    <s v="Procurement"/>
    <s v="AM/NS Hazira"/>
    <d v="1968-04-06T00:00:00"/>
    <s v="55.05"/>
    <d v="1990-08-20T00:00:00"/>
    <d v="2026-04-30T00:00:00"/>
    <m/>
    <d v="2026-04-30T00:00:00"/>
    <n v="953"/>
    <s v="AB-"/>
    <s v="BE-1985 , Intermediate-1985"/>
    <s v="00.08"/>
    <s v="33.00"/>
    <s v="33.08"/>
    <s v="72150383"/>
    <s v="Procurement (MRO/IP &amp; Consumable)"/>
    <s v="72152818"/>
    <s v="Head -Procurement (MRO/IP &amp; Consumables"/>
    <s v="Hazira"/>
    <s v="0031950048"/>
    <s v="HZ-Procurment Depart"/>
    <s v="2000HWO"/>
    <s v="20055090"/>
    <s v="Hrishikesh Kamat"/>
    <s v="No"/>
    <s v="manish.bakriwala@amns.in"/>
    <s v="9909901215"/>
    <s v="21143"/>
    <s v="Dhruv Vyas"/>
    <s v="Anil Matoo"/>
    <s v="Praveen Kuruvalli"/>
    <s v="Dhruv Vyas"/>
    <n v="0"/>
  </r>
  <r>
    <n v="19"/>
    <n v="20000253"/>
    <s v="Deepak Sindkar"/>
    <s v="AM/NS India"/>
    <s v="Onroll"/>
    <s v="M-3"/>
    <n v="3"/>
    <m/>
    <s v="SM"/>
    <s v="M"/>
    <s v="Hazira"/>
    <n v="1"/>
    <s v="2095"/>
    <x v="4"/>
    <n v="36.01"/>
    <s v="Hrishikesh Kamat"/>
    <s v="Hrishikesh Kamat"/>
    <n v="7"/>
    <s v="Procurement"/>
    <s v="Raw Materials"/>
    <s v="36"/>
    <s v="Head - Bulk Raw Material"/>
    <m/>
    <s v="Bulk Raw Materials"/>
    <s v="Raw Material"/>
    <s v="Bulk Raw Material"/>
    <s v="Non Technical Support"/>
    <s v="Commercial"/>
    <s v="Procurement"/>
    <s v="73803001"/>
    <s v="Procurement"/>
    <s v="AM/NS Hazira"/>
    <d v="1967-12-11T00:00:00"/>
    <s v="55.09"/>
    <d v="1991-04-22T00:00:00"/>
    <d v="2025-12-31T00:00:00"/>
    <m/>
    <d v="2025-12-31T00:00:00"/>
    <n v="833"/>
    <s v="B-"/>
    <s v="PG Diploma in Management-1991 , BE-1991"/>
    <s v=""/>
    <s v="32.04"/>
    <s v="32.04"/>
    <s v="70072409"/>
    <s v="Bulk Raw Materials"/>
    <s v="72150892"/>
    <s v="Head - Bulk Raw Material"/>
    <s v="Confidential Payroll"/>
    <s v="0031950048"/>
    <s v="HZ-Procurment Depart"/>
    <s v="2000HWO"/>
    <s v="20055090"/>
    <s v="Hrishikesh Kamat"/>
    <s v="No"/>
    <s v="deepak.sindkar@amns.in"/>
    <s v="9879100345"/>
    <s v="24214"/>
    <s v="Dhruv Vyas"/>
    <s v="Anil Matoo"/>
    <s v="Praveen Kuruvalli"/>
    <s v="Dhruv Vyas"/>
    <n v="0"/>
  </r>
  <r>
    <n v="25"/>
    <n v="20000273"/>
    <s v="Satyanarayan Iyer"/>
    <s v="AM/NS India"/>
    <s v="Onroll"/>
    <s v="M-8"/>
    <n v="8"/>
    <m/>
    <s v="JM"/>
    <s v="M"/>
    <s v="Corporate"/>
    <n v="7"/>
    <s v="2260"/>
    <x v="5"/>
    <s v="01.01"/>
    <s v="Dilip Oommen"/>
    <s v="Dilip Oommen"/>
    <n v="1"/>
    <s v="CEO Office"/>
    <s v="CEO Office"/>
    <s v="01"/>
    <s v="Secretary to CEO"/>
    <m/>
    <s v="CEO Office"/>
    <s v="CEO Office"/>
    <s v=""/>
    <s v="Non Technical Support"/>
    <s v="Secretary"/>
    <s v="Secretary"/>
    <s v="74601000"/>
    <s v="Secretary"/>
    <s v="AM/NS Hazira"/>
    <d v="1963-02-17T00:00:00"/>
    <s v="60.07"/>
    <d v="1991-09-01T00:00:00"/>
    <d v="2021-02-28T00:00:00"/>
    <d v="2023-08-31T00:00:00"/>
    <d v="2023-08-31T00:00:00"/>
    <n v="-20"/>
    <s v="O-"/>
    <s v="SSLC-1978"/>
    <s v="08.03"/>
    <s v="32.00"/>
    <s v="40.03"/>
    <s v="70176006"/>
    <s v="CEO Office"/>
    <s v="70226714"/>
    <s v="Secretary to CEO"/>
    <s v="Corporate"/>
    <s v="0090000010"/>
    <s v="CEO OFFICE"/>
    <s v="2000CS"/>
    <s v="20055068"/>
    <s v="Dilip Oommen"/>
    <s v="No"/>
    <s v="satyanarayan.iyer@amns.in"/>
    <s v="9879101739"/>
    <s v="21933"/>
    <s v="Dhruv Vyas"/>
    <s v="Anil Matoo"/>
    <s v="Praveen Kuruvalli"/>
    <s v="Dhruv Vyas"/>
    <n v="0"/>
  </r>
  <r>
    <n v="31"/>
    <n v="20000318"/>
    <s v="Gulammohamad Agahasham Vahora"/>
    <s v="AM/NS India"/>
    <s v="Onroll"/>
    <s v="M-7"/>
    <n v="7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- Travel Desk"/>
    <m/>
    <s v="Administration"/>
    <s v=""/>
    <s v=""/>
    <s v="Non Technical Support"/>
    <s v="Administration"/>
    <s v="Travel Services"/>
    <s v="74106002"/>
    <s v="Transport Operations"/>
    <s v="AM/NS Hazira"/>
    <d v="1965-06-07T00:00:00"/>
    <s v="58.03"/>
    <d v="1991-11-16T00:00:00"/>
    <d v="2023-06-30T00:00:00"/>
    <d v="2024-06-30T00:00:00"/>
    <d v="2024-06-30T00:00:00"/>
    <n v="284"/>
    <s v="O-"/>
    <s v="BA-1990"/>
    <s v="02.10"/>
    <s v="31.10"/>
    <s v="34.07"/>
    <s v="00046249"/>
    <s v="Travel Desk"/>
    <s v="70493534"/>
    <s v="Head - Travel Desk"/>
    <s v="Hazira"/>
    <s v="0031950061"/>
    <s v="HZ-Human Resource"/>
    <s v="2000HWO"/>
    <s v="20000083"/>
    <s v="Anil Matoo"/>
    <s v="No"/>
    <s v="gulammohamad.vahora@amns.in"/>
    <s v="9879101212"/>
    <s v="24620"/>
    <s v="Dhruv Vyas"/>
    <s v="Anil Matoo"/>
    <s v="Praveen Kuruvalli"/>
    <s v="Dhruv Vyas"/>
    <n v="0"/>
  </r>
  <r>
    <n v="34"/>
    <n v="20000329"/>
    <s v="Ashwinbhai Patel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67-06-30T00:00:00"/>
    <s v="56.02"/>
    <d v="1991-12-02T00:00:00"/>
    <d v="2025-06-30T00:00:00"/>
    <m/>
    <d v="2025-06-30T00:00:00"/>
    <n v="649"/>
    <s v="B-"/>
    <s v="High School-1991"/>
    <s v=""/>
    <s v="31.09"/>
    <s v="31.09"/>
    <s v="00044156"/>
    <s v="Indirect Taxation - 2"/>
    <s v="70259332"/>
    <s v="Lead - Customs"/>
    <s v="Hazira"/>
    <s v="0031950044"/>
    <s v="HZ-Commercial Taxati"/>
    <s v="2000HWO"/>
    <s v="20006246"/>
    <s v="Deven Sadadiwala"/>
    <s v="No"/>
    <s v="ashwinbhai.patel@amns.in"/>
    <s v="9879102338"/>
    <s v="23094"/>
    <s v="Dhruv Vyas"/>
    <s v="Anil Matoo"/>
    <s v="Praveen Kuruvalli"/>
    <s v="Dhruv Vyas"/>
    <n v="0"/>
  </r>
  <r>
    <n v="35"/>
    <n v="20000330"/>
    <s v="Arvindbhai Patel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Receipt"/>
    <m/>
    <s v="Stores &amp; Warehouse"/>
    <s v="Stores &amp; Warehouse"/>
    <s v="&quot;&quot;&quot;Issue &amp; Receipt - Oil &amp; Gas"/>
    <s v="Non Technical Support"/>
    <s v="Commercial"/>
    <s v="Stores &amp; Warehouse"/>
    <s v="73806001"/>
    <s v="Stores &amp; Warehouse"/>
    <s v="Hazira"/>
    <d v="1967-11-14T00:00:00"/>
    <s v="55.10"/>
    <d v="1991-12-02T00:00:00"/>
    <d v="2025-11-30T00:00:00"/>
    <m/>
    <d v="2025-11-30T00:00:00"/>
    <n v="802"/>
    <s v="B-"/>
    <s v="High School-1984"/>
    <s v=""/>
    <s v="31.09"/>
    <s v="31.09"/>
    <s v="00048783"/>
    <s v="HBI, BF, Plant B &amp; Plate Mill"/>
    <s v="70226659"/>
    <s v="Section Officer - Issue/Receipt"/>
    <s v="Hazira"/>
    <s v="0031950049"/>
    <s v="HZ-Central Stores"/>
    <s v="2000HWO"/>
    <s v="20005165"/>
    <s v="Parthiv Desai"/>
    <s v="No"/>
    <s v="arvind.patel@amns.in"/>
    <s v="9879102337"/>
    <s v="23088"/>
    <s v="Dhruv Vyas"/>
    <s v="Anil Matoo"/>
    <s v="Praveen Kuruvalli"/>
    <s v="Dhruv Vyas"/>
    <n v="0"/>
  </r>
  <r>
    <n v="53"/>
    <n v="20000519"/>
    <s v="Dandu Srinivas Varma"/>
    <s v="AM/NS India"/>
    <s v="Onroll"/>
    <s v="M-5"/>
    <n v="5"/>
    <m/>
    <s v="MM"/>
    <s v="M"/>
    <s v="Vizag"/>
    <n v="3"/>
    <s v="2015"/>
    <x v="1"/>
    <s v="22.06"/>
    <s v="Anil Matoo"/>
    <s v="Ashutosh Telang"/>
    <n v="6"/>
    <s v="HR &amp; Administration"/>
    <s v="Human Resources"/>
    <s v="22"/>
    <s v="Head HR IR &amp; Admin - Vizag Asset"/>
    <m/>
    <s v="Human Resources"/>
    <s v="HR &amp; Admin"/>
    <s v="HR &amp; Admin"/>
    <s v="Non Technical Support"/>
    <s v="Human Resources Management"/>
    <s v="Human Resources Management"/>
    <s v="73501001"/>
    <s v="Human Resources"/>
    <s v="Vizag"/>
    <d v="1967-10-29T00:00:00"/>
    <s v="55.10"/>
    <d v="1993-11-01T00:00:00"/>
    <d v="2025-10-31T00:00:00"/>
    <m/>
    <d v="2025-10-31T00:00:00"/>
    <n v="772"/>
    <s v="A-"/>
    <s v="BCom-1992 , PG Diploma in Management-199"/>
    <s v=""/>
    <s v="29.10"/>
    <s v="29.10"/>
    <s v="72150111"/>
    <s v="Vizag HR Operations &amp; Administration"/>
    <s v="72150364"/>
    <s v="Head HR IR &amp; Admin - Vizag Asset"/>
    <s v="Vizag"/>
    <s v="0028030019"/>
    <s v="VIZ-Personnel &amp; Admi"/>
    <s v="2000VIZOPS"/>
    <s v="20000083"/>
    <s v="Anil Matoo"/>
    <s v="No"/>
    <s v="dandu.varma@amns.in"/>
    <s v="9885310951"/>
    <s v="24643"/>
    <s v="DS Varma"/>
    <s v="Anil Matoo"/>
    <s v="Praveen Kuruvalli"/>
    <s v="Dhruv Vyas"/>
    <n v="0"/>
  </r>
  <r>
    <n v="87"/>
    <n v="20000637"/>
    <s v="Kedar Rajwade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Electrical"/>
    <m/>
    <s v="Procurement MRO Hazira"/>
    <s v="Procurement"/>
    <s v="Electrical Switch Gears and power systems - Hazira Complex"/>
    <s v="Non Technical Support"/>
    <s v="Commercial"/>
    <s v="Procurement"/>
    <s v="73803001"/>
    <s v="Procurement"/>
    <s v="AM/NS Hazira"/>
    <d v="1971-07-19T00:00:00"/>
    <s v="52.02"/>
    <d v="1994-09-12T00:00:00"/>
    <d v="2029-07-31T00:00:00"/>
    <m/>
    <d v="2029-07-31T00:00:00"/>
    <n v="2141"/>
    <s v="O-"/>
    <s v="Diploma-1990 , Diploma-1990"/>
    <s v="01.00"/>
    <s v="29.00"/>
    <s v="30.00"/>
    <s v="00044546"/>
    <s v="Procurement Electrical"/>
    <s v="70144107"/>
    <s v="Lead – Proc Electrical"/>
    <s v="Hazira"/>
    <s v="0031950048"/>
    <s v="HZ-Procurment Depart"/>
    <s v="2000HWO"/>
    <s v="20002746"/>
    <s v="Deep Pyne"/>
    <s v="No"/>
    <s v="kedar.rajwade@amns.in"/>
    <s v="9879101151"/>
    <s v="23654"/>
    <s v="Dhruv Vyas"/>
    <s v="Anil Matoo"/>
    <s v="Praveen Kuruvalli"/>
    <s v="Dhruv Vyas"/>
    <n v="0"/>
  </r>
  <r>
    <n v="91"/>
    <n v="20000678"/>
    <s v="Bella Fernandes"/>
    <s v="AM/NS India"/>
    <s v="Onroll"/>
    <s v="M-5"/>
    <n v="5"/>
    <m/>
    <s v="MM"/>
    <s v="F"/>
    <s v="Hazira"/>
    <n v="7"/>
    <s v="2069"/>
    <x v="8"/>
    <s v="25.01"/>
    <s v="Bibek Chattopadhyay"/>
    <s v="Ashutosh Telang"/>
    <n v="6"/>
    <s v="HR &amp; Administration"/>
    <s v="Corporate Communications"/>
    <s v="25"/>
    <s v="Public Relation Officer"/>
    <m/>
    <s v="Corporate Communications"/>
    <s v="Corporate Communications"/>
    <s v="Corporate Communications"/>
    <s v="Non Technical Support"/>
    <s v="Corporate Communication"/>
    <s v="Corporate Communication"/>
    <s v="74001001"/>
    <s v="Corporate Communication"/>
    <s v="AM/NS Hazira"/>
    <d v="1962-12-02T00:00:00"/>
    <s v="60.09"/>
    <d v="1994-11-14T00:00:00"/>
    <d v="2020-12-31T00:00:00"/>
    <d v="2024-03-31T00:00:00"/>
    <d v="2024-03-31T00:00:00"/>
    <n v="193"/>
    <s v="A-"/>
    <s v="BA-1984"/>
    <s v="10.10"/>
    <s v="28.10"/>
    <s v="39.08"/>
    <s v="70318583"/>
    <s v="Communications &amp; Media Relations"/>
    <s v="70320223"/>
    <s v="JGM - Public Relations"/>
    <s v="Corporate"/>
    <s v="0090000016"/>
    <s v="Corporate Steel - Co"/>
    <s v="2000CS"/>
    <s v="20055187"/>
    <s v="Bibek Chattopadhyay"/>
    <s v="No"/>
    <s v="bella.fernandes@amns.in"/>
    <s v="9879101222"/>
    <s v="21717"/>
    <s v="Dhruv Vyas"/>
    <s v="Anil Matoo"/>
    <s v="Praveen Kuruvalli"/>
    <s v="Dhruv Vyas"/>
    <n v="0"/>
  </r>
  <r>
    <n v="92"/>
    <n v="20000679"/>
    <s v="Dinesh Mangal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- Corporate Accounts &amp; Audit"/>
    <m/>
    <s v="Corporate Accounts"/>
    <s v="Corporate Accounts &amp; Audit"/>
    <s v="Procurement"/>
    <s v="Non Technical Support"/>
    <s v="Finance &amp; Accounts"/>
    <s v="Finance &amp; Accounts"/>
    <s v="73901002"/>
    <s v="Corporate Accounts &amp; Audi"/>
    <s v="AM/NS Hazira"/>
    <d v="1971-01-03T00:00:00"/>
    <s v="52.08"/>
    <d v="1994-11-16T00:00:00"/>
    <d v="2029-01-31T00:00:00"/>
    <m/>
    <d v="2029-01-31T00:00:00"/>
    <n v="1960"/>
    <s v="B-"/>
    <s v="BCom-1994 , CA Final-1994 , Intermediate"/>
    <s v=""/>
    <s v="28.10"/>
    <s v="28.10"/>
    <s v="72150475"/>
    <s v="Corporate Accounts &amp; Audit"/>
    <s v="72152588"/>
    <s v="Head - Corporate Accounts &amp; Audit"/>
    <s v="Hazira"/>
    <s v="0090000027"/>
    <s v="Corporate Steel - Ac"/>
    <s v="2000HWO"/>
    <s v="20057933"/>
    <s v="Akiyo Omori"/>
    <s v="No"/>
    <s v="dinesh.mangal@amns.in"/>
    <s v="9879100350"/>
    <s v="22531"/>
    <s v="Dhruv Vyas"/>
    <s v="Anil Matoo"/>
    <s v="Praveen Kuruvalli"/>
    <s v="Dhruv Vyas"/>
    <n v="0"/>
  </r>
  <r>
    <n v="116"/>
    <n v="20000746"/>
    <s v="Keyur Shah"/>
    <s v="AM/NS India"/>
    <s v="Onroll"/>
    <s v="M-6"/>
    <n v="6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Senior Lead - Contracts"/>
    <m/>
    <s v="Contracts"/>
    <s v="Contracts"/>
    <s v="Plate mill, Pipe Mill, CMD/CEID, Project, Utility"/>
    <s v="Non Technical Support"/>
    <s v="Commercial"/>
    <s v="Contracts &amp; Tenders and E-bid"/>
    <s v="73805001"/>
    <s v="Contracts &amp; Tenders and E"/>
    <s v="AM/NS Hazira"/>
    <d v="1971-03-07T00:00:00"/>
    <s v="52.06"/>
    <d v="1994-12-20T00:00:00"/>
    <d v="2029-03-31T00:00:00"/>
    <m/>
    <d v="2029-03-31T00:00:00"/>
    <n v="2019"/>
    <s v="B-"/>
    <s v="Diploma-1993 , Diploma-1993 , MBA-1990"/>
    <s v="01.10"/>
    <s v="28.09"/>
    <s v="30.07"/>
    <s v="00044538"/>
    <s v="Contracts - Steel Making Zone"/>
    <s v="72150871"/>
    <s v="Senior Lead - Contracts"/>
    <s v="Hazira"/>
    <s v="0031950047"/>
    <s v="HZ-Contracts"/>
    <s v="2000HWO"/>
    <s v="20000795"/>
    <s v="Pankaj Chaturvedi"/>
    <s v="No"/>
    <s v="keyur.shah@amns.in"/>
    <s v="9879101011"/>
    <s v="24018"/>
    <s v="Dhruv Vyas"/>
    <s v="Anil Matoo"/>
    <s v="Praveen Kuruvalli"/>
    <s v="Dhruv Vyas"/>
    <n v="0"/>
  </r>
  <r>
    <n v="132"/>
    <n v="20000795"/>
    <s v="Pankaj Chaturvedi"/>
    <s v="AM/NS India"/>
    <s v="Onroll"/>
    <s v="M-4"/>
    <n v="4"/>
    <m/>
    <s v="SM"/>
    <s v="M"/>
    <s v="Hazira"/>
    <n v="1"/>
    <s v="2054"/>
    <x v="9"/>
    <s v="32.01"/>
    <s v="Hrishikesh Kamat"/>
    <s v="Hrishikesh Kamat"/>
    <n v="7"/>
    <s v="Procurement"/>
    <s v="Contracts"/>
    <s v="32"/>
    <s v="Head –Contracts Cell"/>
    <m/>
    <s v="Contracts"/>
    <s v="Contracts"/>
    <s v="SMP 1 &amp; 2, HSM, CSP, HBI, MH"/>
    <s v="Non Technical Support"/>
    <s v="Commercial"/>
    <s v="Contracts &amp; Tenders and E-bid"/>
    <s v="73805001"/>
    <s v="Contracts &amp; Tenders and E"/>
    <s v="AM/NS Hazira"/>
    <d v="1975-12-15T00:00:00"/>
    <s v="47.09"/>
    <d v="1995-03-14T00:00:00"/>
    <d v="2033-12-31T00:00:00"/>
    <m/>
    <d v="2033-12-31T00:00:00"/>
    <n v="3755"/>
    <s v="AB-"/>
    <s v="PG Diploma in Management-2011 , Diploma-"/>
    <s v=""/>
    <s v="28.06"/>
    <s v="28.06"/>
    <s v="70495670"/>
    <s v="Contracts"/>
    <s v="72150922"/>
    <s v="Head –Contracts Cell"/>
    <s v="Hazira"/>
    <s v="0031950047"/>
    <s v="HZ-Contracts"/>
    <s v="2000HWO"/>
    <s v="20055090"/>
    <s v="Hrishikesh Kamat"/>
    <s v="No"/>
    <s v="pankaj.chaturvedi@amns.in"/>
    <s v="9879101171"/>
    <s v="21355"/>
    <s v="Dhruv Vyas"/>
    <s v="Anil Matoo"/>
    <s v="Praveen Kuruvalli"/>
    <s v="Dhruv Vyas"/>
    <n v="0"/>
  </r>
  <r>
    <n v="137"/>
    <n v="20000812"/>
    <s v="Sitaram Rege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Sales Head - Gujarat and Mumbai"/>
    <m/>
    <s v="West"/>
    <s v="West"/>
    <s v="West Zone"/>
    <s v="Non Technical Support"/>
    <s v="Sales &amp; Marketing"/>
    <s v="Sales"/>
    <s v="73104004"/>
    <s v="OEM Sales"/>
    <s v="Mumbai"/>
    <d v="1970-07-05T00:00:00"/>
    <s v="53.02"/>
    <d v="1995-04-10T00:00:00"/>
    <d v="2028-07-31T00:00:00"/>
    <m/>
    <d v="2028-07-31T00:00:00"/>
    <n v="1776"/>
    <s v="A-"/>
    <s v="PG Diploma in Management-1994"/>
    <s v="01.08"/>
    <s v="28.05"/>
    <s v="30.00"/>
    <s v="70140931"/>
    <s v="Sales Gujarat &amp; Mumbai Zone"/>
    <s v="70386150"/>
    <s v="Regional Sales Head - Gujarat and Mumbai"/>
    <s v="Hazira"/>
    <s v="0031950057"/>
    <s v="HZ-HRC - Marketing"/>
    <s v="2000HWO"/>
    <s v="20007104"/>
    <s v="Ranjan Dhar"/>
    <s v="No"/>
    <s v="sitaram.rege@amns.in"/>
    <s v="9819730641"/>
    <s v="23785"/>
    <s v="Dhruv Vyas"/>
    <s v="Anil Matoo"/>
    <s v="Praveen Kuruvalli"/>
    <s v="Dhruv Vyas"/>
    <n v="0"/>
  </r>
  <r>
    <n v="157"/>
    <n v="20000868"/>
    <s v="Chakravadhanula Venkataraman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r. Lead - Value added Product Strategy"/>
    <m/>
    <s v="Technical Marketing &amp; Application Engineering"/>
    <s v="Technical Marketing &amp; Application Engineering"/>
    <s v=""/>
    <s v="Non Technical Support"/>
    <s v="Sales &amp; Marketing"/>
    <s v="Sales"/>
    <s v="73104004"/>
    <s v="OEM Sales"/>
    <s v="Pune"/>
    <d v="1970-08-12T00:00:00"/>
    <s v="53.01"/>
    <d v="1995-06-15T00:00:00"/>
    <d v="2028-08-31T00:00:00"/>
    <m/>
    <d v="2028-08-31T00:00:00"/>
    <n v="1807"/>
    <s v="A-"/>
    <s v="MMS-1992 , BTech-1992"/>
    <s v="01.01"/>
    <s v="28.03"/>
    <s v="29.04"/>
    <s v="00052460"/>
    <s v="Auto &amp; YG"/>
    <s v="70389874"/>
    <s v="Sr. Lead - Value added Product Strategy"/>
    <s v="Hazira"/>
    <s v="0080000005"/>
    <s v="Global Markets Team"/>
    <s v="2000HWO"/>
    <s v="20056155"/>
    <s v="Kondapalli Venkateswarlu"/>
    <s v="No"/>
    <s v="srivenkataramana.chakravadhanula@amns.in"/>
    <s v="9930136471"/>
    <s v="24667"/>
    <s v="Dhruv Vyas"/>
    <s v="Anil Matoo"/>
    <s v="Praveen Kuruvalli"/>
    <s v="Dhruv Vyas"/>
    <n v="0"/>
  </r>
  <r>
    <n v="158"/>
    <n v="20000870"/>
    <s v="Balajee M"/>
    <s v="AM/NS India"/>
    <s v="Onroll"/>
    <s v="M-3"/>
    <n v="3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- Treasury &amp; Banking"/>
    <m/>
    <s v="Treasury &amp; Banking"/>
    <s v="Treasury &amp; Banking"/>
    <s v="Treasury &amp; Finance"/>
    <s v="Non Technical Support"/>
    <s v="Finance &amp; Accounts"/>
    <s v="Corporate Finance"/>
    <s v="73902001"/>
    <s v="Corporate Finance"/>
    <s v="Mumbai"/>
    <d v="1967-11-15T00:00:00"/>
    <s v="55.10"/>
    <d v="1995-06-15T00:00:00"/>
    <d v="2025-11-30T00:00:00"/>
    <m/>
    <d v="2025-11-30T00:00:00"/>
    <n v="802"/>
    <s v="AB+"/>
    <s v="PG Diploma in Management-1989 , BSc Engg"/>
    <s v="04.02"/>
    <s v="28.03"/>
    <s v="32.04"/>
    <s v="70494717"/>
    <s v="Treasury &amp; Finance"/>
    <s v="70176647"/>
    <s v="Head - Treasury &amp; Banking"/>
    <s v="Confidential Payroll"/>
    <s v="0090000028"/>
    <s v="Corporate Steel - Wo"/>
    <s v="2000HWO"/>
    <s v="20057933"/>
    <s v="Akiyo Omori"/>
    <s v="No"/>
    <s v="muthukrishnan.balajee@amns.in"/>
    <s v="9819730098"/>
    <s v="21145"/>
    <s v="Dhruv Vyas"/>
    <s v="Anil Matoo"/>
    <s v="Praveen Kuruvalli"/>
    <s v="Dhruv Vyas"/>
    <n v="0"/>
  </r>
  <r>
    <n v="175"/>
    <n v="20000909"/>
    <s v="Murali Krishna Chunduru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Head Sales, South Zone"/>
    <m/>
    <s v="South"/>
    <s v="South"/>
    <s v=""/>
    <s v="Non Technical Support"/>
    <s v="Sales &amp; Marketing"/>
    <s v="Sales"/>
    <s v="73104004"/>
    <s v="OEM Sales"/>
    <s v="Chennai"/>
    <d v="1973-11-19T00:00:00"/>
    <s v="49.09"/>
    <d v="1995-07-10T00:00:00"/>
    <d v="2031-11-30T00:00:00"/>
    <m/>
    <d v="2031-11-30T00:00:00"/>
    <n v="2993"/>
    <s v="O-"/>
    <s v="BTech-1995"/>
    <s v=""/>
    <s v="28.02"/>
    <s v="28.02"/>
    <s v="72150150"/>
    <s v="Sales South Zone"/>
    <s v="70386158"/>
    <s v="Regional Head Sales, South Zone"/>
    <s v="Hazira"/>
    <s v="0031950057"/>
    <s v="HZ-HRC - Marketing"/>
    <s v="2000HWO"/>
    <s v="20007104"/>
    <s v="Ranjan Dhar"/>
    <s v="No"/>
    <s v="muralikrishna.chunduru@amns.in"/>
    <s v="9884974923"/>
    <s v="22731"/>
    <s v="Dhruv Vyas"/>
    <s v="Anil Matoo"/>
    <s v="Praveen Kuruvalli"/>
    <s v="Dhruv Vyas"/>
    <n v="0"/>
  </r>
  <r>
    <n v="178"/>
    <n v="20000926"/>
    <s v="Manishkumar Seksaria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Section Head – Pro Iron &amp; Steel Making"/>
    <m/>
    <s v="Procurement MRO Hazira"/>
    <s v="Procurement"/>
    <s v="Iron &amp; Steel Making"/>
    <s v="Non Technical Support"/>
    <s v="Commercial"/>
    <s v="Procurement"/>
    <s v="73803001"/>
    <s v="Procurement"/>
    <s v="AM/NS Hazira"/>
    <d v="1969-11-03T00:00:00"/>
    <s v="53.10"/>
    <d v="1995-08-14T00:00:00"/>
    <d v="2027-11-30T00:00:00"/>
    <m/>
    <d v="2027-11-30T00:00:00"/>
    <n v="1532"/>
    <s v="O-"/>
    <s v="BE-1995 , MBA-1995"/>
    <s v="02.00"/>
    <s v="28.01"/>
    <s v="30.01"/>
    <s v="70072411"/>
    <s v="Iron &amp; Steel Making"/>
    <s v="72150870"/>
    <s v="Section Head – Pro Iron &amp; Steel Making"/>
    <s v="Hazira"/>
    <s v="0031950048"/>
    <s v="HZ-Procurment Depart"/>
    <s v="2000HWO"/>
    <s v="20000201"/>
    <s v="Manish Bakriwala"/>
    <s v="No"/>
    <s v="manish.seksaria@amns.in"/>
    <s v="9879100306"/>
    <s v="23981"/>
    <s v="Dhruv Vyas"/>
    <s v="Anil Matoo"/>
    <s v="Praveen Kuruvalli"/>
    <s v="Dhruv Vyas"/>
    <n v="0"/>
  </r>
  <r>
    <n v="184"/>
    <n v="20000948"/>
    <s v="Hitesh Raval"/>
    <s v="AM/NS India"/>
    <s v="Onroll"/>
    <s v="M-5"/>
    <n v="5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Head -  HRC Store &amp; Inventory"/>
    <m/>
    <s v="Stores &amp; Warehouse"/>
    <s v="Stores &amp; Warehouse"/>
    <s v="HRC Store &amp; Inventory  &amp; Cataloging Mgt."/>
    <s v="Non Technical Support"/>
    <s v="Commercial"/>
    <s v="Stores &amp; Warehouse"/>
    <s v="73806001"/>
    <s v="Stores &amp; Warehouse"/>
    <s v="Hazira"/>
    <d v="1974-01-10T00:00:00"/>
    <s v="49.08"/>
    <d v="1995-11-13T00:00:00"/>
    <d v="2032-01-31T00:00:00"/>
    <m/>
    <d v="2032-01-31T00:00:00"/>
    <n v="3055"/>
    <s v="O-"/>
    <s v="Diploma-2010 , BCom-2010 , MBA-1994"/>
    <s v="01.06"/>
    <s v="27.10"/>
    <s v="29.04"/>
    <s v="70232287"/>
    <s v="HRC Store &amp; Inventory  &amp; Cataloging Mgt."/>
    <s v="70258296"/>
    <s v="&quot; Section Head -  HRC Store &amp; Inventory"/>
    <s v="Hazira"/>
    <s v="0031950049"/>
    <s v="HZ-Central Stores"/>
    <s v="2000HWO"/>
    <s v="20001240"/>
    <s v="Ambrish Chaturvedi"/>
    <s v="No"/>
    <s v="hitesh.raval@amns.in"/>
    <s v="9879101687"/>
    <s v="23760"/>
    <s v="Dhruv Vyas"/>
    <s v="Anil Matoo"/>
    <s v="Praveen Kuruvalli"/>
    <s v="Dhruv Vyas"/>
    <n v="0"/>
  </r>
  <r>
    <n v="202"/>
    <n v="20000990"/>
    <s v="Jignesh Thaker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Baroda"/>
    <d v="1975-09-16T00:00:00"/>
    <s v="48.00"/>
    <d v="1995-12-18T00:00:00"/>
    <d v="2033-09-30T00:00:00"/>
    <m/>
    <d v="2033-09-30T00:00:00"/>
    <n v="3663"/>
    <s v="B-"/>
    <s v="BA-2005 , MBA-2005 , Diploma-2000"/>
    <s v=""/>
    <s v="27.09"/>
    <s v="27.09"/>
    <s v="70394840"/>
    <s v="OEM Sales - Gujarat"/>
    <s v="70448513"/>
    <s v="Sales Manager - Hypermart"/>
    <s v="Hypermart"/>
    <s v="0060110300"/>
    <s v="HMART-Guj-Ahemedabad"/>
    <s v="2000SRET"/>
    <s v="20001736"/>
    <s v="Manoranjan Jagdhari"/>
    <s v="No"/>
    <s v="jignesh.thaker@amns.in"/>
    <s v="9879104379"/>
    <s v="24488"/>
    <s v="Dhruv Vyas"/>
    <s v="Anil Matoo"/>
    <s v="Praveen Kuruvalli"/>
    <s v="Dhruv Vyas"/>
    <n v="0"/>
  </r>
  <r>
    <n v="205"/>
    <n v="20001003"/>
    <s v="Patnana Muralidhara Rao"/>
    <s v="AM/NS India"/>
    <s v="Onroll"/>
    <s v="M-4"/>
    <n v="4"/>
    <m/>
    <s v="SM"/>
    <s v="M"/>
    <s v="Vizag"/>
    <n v="3"/>
    <s v="2013"/>
    <x v="0"/>
    <s v="20.01"/>
    <s v="Akiyo Omori"/>
    <s v="Amit Harlalka"/>
    <n v="5"/>
    <s v="Finance &amp; Accounts"/>
    <s v="Finance &amp; Accounts"/>
    <s v="20"/>
    <s v="Head - Finance &amp; Accounts, Vizag"/>
    <m/>
    <s v="Finance &amp; Accounts - Vizag"/>
    <s v="Finance &amp; Accounts"/>
    <s v="Finance &amp; Accounts"/>
    <s v="Non Technical Support"/>
    <s v="Finance &amp; Accounts"/>
    <s v="Finance &amp; Accounts"/>
    <s v="73901001"/>
    <s v="Finance &amp; Accounts"/>
    <s v="Vizag"/>
    <d v="1960-06-01T00:00:00"/>
    <s v="63.03"/>
    <d v="1996-01-25T00:00:00"/>
    <d v="2018-05-31T00:00:00"/>
    <d v="2024-03-31T00:00:00"/>
    <d v="2024-03-31T00:00:00"/>
    <n v="193"/>
    <s v="O-"/>
    <s v="CA Final-1985 , BCom-1985 , Intermediate"/>
    <s v="10.06"/>
    <s v="27.07"/>
    <s v="38.01"/>
    <s v="72150110"/>
    <s v="Finance &amp; Accounts - Vizag"/>
    <s v="72150352"/>
    <s v="Head - Finance &amp; Accounts, Vizag"/>
    <s v="Vizag"/>
    <s v="0028030019"/>
    <s v="VIZ-Personnel &amp; Admi"/>
    <s v="2000VIZOPS"/>
    <s v="20057933"/>
    <s v="Akiyo Omori"/>
    <s v="No"/>
    <s v="muralidhararao.p@amns.in"/>
    <s v="9885310922"/>
    <s v="22728"/>
    <s v="DS Varma"/>
    <s v="Anil Matoo"/>
    <s v="Praveen Kuruvalli"/>
    <s v="Dhruv Vyas"/>
    <n v="0"/>
  </r>
  <r>
    <n v="227"/>
    <n v="20001076"/>
    <s v="Bhavesh Modi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 - Accounts Payable"/>
    <m/>
    <s v="Working Capital"/>
    <s v="Accounts Payable"/>
    <s v="Export, Domestic &amp; Banking"/>
    <s v="Non Technical Support"/>
    <s v="Finance &amp; Accounts"/>
    <s v="Corporate Finance"/>
    <s v="73902004"/>
    <s v="Banking Relations"/>
    <s v="AM/NS Hazira"/>
    <d v="1975-02-07T00:00:00"/>
    <s v="48.07"/>
    <d v="1996-05-05T00:00:00"/>
    <d v="2033-02-28T00:00:00"/>
    <m/>
    <d v="2033-02-28T00:00:00"/>
    <n v="3449"/>
    <s v="A-"/>
    <s v="LLB-2005 , MBA-2005 , BCom-1997"/>
    <s v=""/>
    <s v="27.04"/>
    <s v="27.04"/>
    <s v="72150243"/>
    <s v="Accounts Payable"/>
    <s v="70258433"/>
    <s v="Head - Accounts Payable"/>
    <s v="Hazira"/>
    <s v="0031950045"/>
    <s v="HZ-Works Accounts-Ha"/>
    <s v="2000HWO"/>
    <s v="20055188"/>
    <s v="Rohit Sharma"/>
    <s v="No"/>
    <s v="bhavesh.modi@amns.in"/>
    <s v="9879101765"/>
    <s v="22662"/>
    <s v="Dhruv Vyas"/>
    <s v="Anil Matoo"/>
    <s v="Praveen Kuruvalli"/>
    <s v="Dhruv Vyas"/>
    <n v="0"/>
  </r>
  <r>
    <n v="228"/>
    <n v="20001077"/>
    <s v="Pradeep Parte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ection Head - Export Domestic &amp;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0-04-15T00:00:00"/>
    <s v="53.05"/>
    <d v="1996-05-06T00:00:00"/>
    <d v="2028-04-30T00:00:00"/>
    <m/>
    <d v="2028-04-30T00:00:00"/>
    <n v="1684"/>
    <s v="B-"/>
    <s v="MBA-2003 , Diploma-2003"/>
    <s v="06.01"/>
    <s v="27.04"/>
    <s v="33.05"/>
    <s v="70495314"/>
    <s v="Export, Domestic &amp; Banking"/>
    <s v="72150854"/>
    <s v="Section Head - Export Domestic &amp; Banking"/>
    <s v="Hazira"/>
    <s v="0031950045"/>
    <s v="HZ-Works Accounts-Ha"/>
    <s v="2000HWO"/>
    <s v="20007731"/>
    <s v="Ashish Mehta"/>
    <s v="No"/>
    <s v="pradeep.parte@amns.in"/>
    <s v="9879101840"/>
    <s v="23038"/>
    <s v="Dhruv Vyas"/>
    <s v="Anil Matoo"/>
    <s v="Praveen Kuruvalli"/>
    <s v="Dhruv Vyas"/>
    <n v="0"/>
  </r>
  <r>
    <n v="233"/>
    <n v="20001090"/>
    <s v="Sheetal Navlia"/>
    <s v="AM/NS India"/>
    <s v="Onroll"/>
    <s v="M-5"/>
    <n v="5"/>
    <m/>
    <s v="M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"/>
    <m/>
    <s v="West"/>
    <s v="OEM"/>
    <s v=""/>
    <s v="Non Technical Support"/>
    <s v="Sales &amp; Marketing"/>
    <s v="Sales"/>
    <s v="73104004"/>
    <s v="OEM Sales"/>
    <s v="Ahmedabad"/>
    <d v="1975-04-13T00:00:00"/>
    <s v="48.05"/>
    <d v="1996-06-15T00:00:00"/>
    <d v="2033-04-30T00:00:00"/>
    <m/>
    <d v="2033-04-30T00:00:00"/>
    <n v="3510"/>
    <s v="O-"/>
    <s v="BE-1996 , BE-1996"/>
    <s v=""/>
    <s v="27.03"/>
    <s v="27.03"/>
    <s v="70140931"/>
    <s v="Sales Gujarat &amp; Mumbai Zone"/>
    <s v="70334315"/>
    <s v="Sr. KAM - OEM Sales"/>
    <s v="Hazira"/>
    <s v="0031950057"/>
    <s v="HZ-HRC - Marketing"/>
    <s v="2000HWO"/>
    <s v="20000812"/>
    <s v="Sitaram Rege"/>
    <s v="No"/>
    <s v="sheetal.navlia@amns.in"/>
    <s v="9879101272"/>
    <s v="22814"/>
    <s v="Dhruv Vyas"/>
    <s v="Anil Matoo"/>
    <s v="Praveen Kuruvalli"/>
    <s v="Dhruv Vyas"/>
    <n v="0"/>
  </r>
  <r>
    <n v="239"/>
    <n v="20001102"/>
    <s v="Anil Patel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 HBI &amp; BF"/>
    <m/>
    <s v="Stores &amp; Warehouse"/>
    <s v="Stores &amp; Warehouse"/>
    <s v="Issue HBI &amp; BF"/>
    <s v="Non Technical Support"/>
    <s v="Commercial"/>
    <s v="Stores &amp; Warehouse"/>
    <s v="73806001"/>
    <s v="Stores &amp; Warehouse"/>
    <s v="Hazira"/>
    <d v="1965-08-31T00:00:00"/>
    <s v="58.00"/>
    <d v="1996-07-01T00:00:00"/>
    <d v="2023-08-31T00:00:00"/>
    <m/>
    <d v="2023-08-31T00:00:00"/>
    <n v="-20"/>
    <s v="O-"/>
    <s v="BCom-1986"/>
    <s v="06.05"/>
    <s v="27.02"/>
    <s v="33.07"/>
    <s v="00053278"/>
    <s v="GRN/Documentation/Issue - Plant A"/>
    <s v="72152514"/>
    <s v="Section Officer - Issue HBI &amp; BF"/>
    <s v="Hazira"/>
    <s v="0031950049"/>
    <s v="HZ-Central Stores"/>
    <s v="2000HWO"/>
    <s v="20002587"/>
    <s v="Seema Mehta"/>
    <s v="No"/>
    <s v="anil.patel2@amns.in"/>
    <s v="9879101854"/>
    <s v="23079"/>
    <s v="Dhruv Vyas"/>
    <s v="Anil Matoo"/>
    <s v="Praveen Kuruvalli"/>
    <s v="Dhruv Vyas"/>
    <n v="0"/>
  </r>
  <r>
    <n v="247"/>
    <n v="20001137"/>
    <s v="Bayana Prasad"/>
    <s v="AM/NS India"/>
    <s v="Onroll"/>
    <s v="M-5"/>
    <n v="5"/>
    <m/>
    <s v="MM"/>
    <s v="M"/>
    <s v="Vizag"/>
    <n v="3"/>
    <s v="2013"/>
    <x v="0"/>
    <s v="20.01"/>
    <s v="Akiyo Omori"/>
    <s v="Amit Harlalka"/>
    <n v="5"/>
    <s v="Finance &amp; Accounts"/>
    <s v="Finance &amp; Accounts"/>
    <s v="20"/>
    <s v="Section Head-Accounts payable/Receivable"/>
    <m/>
    <s v="Finance &amp; Accounts - Vizag"/>
    <s v="Finance &amp; Accounts"/>
    <s v="Accounts Payble &amp; Receivable"/>
    <s v="Non Technical Support"/>
    <s v="Finance &amp; Accounts"/>
    <s v="Finance &amp; Accounts"/>
    <s v="73901003"/>
    <s v="Accounts Payable"/>
    <s v="Vizag"/>
    <d v="1966-05-04T00:00:00"/>
    <s v="57.04"/>
    <d v="1996-11-01T00:00:00"/>
    <d v="2024-05-31T00:00:00"/>
    <m/>
    <d v="2024-05-31T00:00:00"/>
    <n v="254"/>
    <s v="O-"/>
    <s v="CA Inter-2008 , MBA-2008 , ICWA Final-19"/>
    <s v="01.07"/>
    <s v="26.10"/>
    <s v="28.05"/>
    <s v="72150243"/>
    <s v="Accounts Payable"/>
    <s v="72150357"/>
    <s v="Section Head-Accounts payable/Receivable"/>
    <s v="Vizag"/>
    <s v="0028030019"/>
    <s v="VIZ-Personnel &amp; Admi"/>
    <s v="2000VIZOPS"/>
    <s v="20001076"/>
    <s v="Bhavesh Modi"/>
    <s v="No"/>
    <s v="bayana.prasad@amns.in"/>
    <s v="9885310925"/>
    <s v="23570"/>
    <s v="DS Varma"/>
    <s v="Anil Matoo"/>
    <s v="Praveen Kuruvalli"/>
    <s v="Dhruv Vyas"/>
    <n v="0"/>
  </r>
  <r>
    <n v="248"/>
    <n v="20001139"/>
    <s v="Chetan Pandy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66-08-06T00:00:00"/>
    <s v="57.01"/>
    <d v="1996-11-15T00:00:00"/>
    <d v="2024-08-31T00:00:00"/>
    <m/>
    <d v="2024-08-31T00:00:00"/>
    <n v="346"/>
    <s v="AB-"/>
    <s v="BCom-1992"/>
    <s v="04.00"/>
    <s v="26.10"/>
    <s v="30.10"/>
    <s v="70491113"/>
    <s v="Indirect Taxation - 1"/>
    <s v="70319509"/>
    <s v="Lead - Customs"/>
    <s v="Hazira"/>
    <s v="0031950044"/>
    <s v="HZ-Commercial Taxati"/>
    <s v="2000HWO"/>
    <s v="20006246"/>
    <s v="Deven Sadadiwala"/>
    <s v="No"/>
    <s v="chetan.pandya@amns.in"/>
    <s v="9879101841"/>
    <s v="22947"/>
    <s v="Dhruv Vyas"/>
    <s v="Anil Matoo"/>
    <s v="Praveen Kuruvalli"/>
    <s v="Dhruv Vyas"/>
    <n v="0"/>
  </r>
  <r>
    <n v="255"/>
    <n v="20001164"/>
    <s v="Snehal Anjaria"/>
    <s v="AM/NS India"/>
    <s v="Onroll"/>
    <s v="M-6"/>
    <n v="6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Head - HBI BF Sinter /Trans Mgt"/>
    <m/>
    <s v="Stores &amp; Warehouse"/>
    <s v="Stores &amp; Warehouse"/>
    <s v="&quot;&quot;&quot;HBI, BF, Plant B &amp; Plate Mill-Trans Mgt-Import Logistics"/>
    <s v="Non Technical Support"/>
    <s v="Commercial"/>
    <s v="Stores &amp; Warehouse"/>
    <s v="73806001"/>
    <s v="Stores &amp; Warehouse"/>
    <s v="Hazira"/>
    <d v="1976-11-29T00:00:00"/>
    <s v="46.09"/>
    <d v="1996-12-23T00:00:00"/>
    <d v="2034-11-30T00:00:00"/>
    <m/>
    <d v="2034-11-30T00:00:00"/>
    <n v="4089"/>
    <s v="B-"/>
    <s v="Diploma-1996"/>
    <s v=""/>
    <s v="26.08"/>
    <s v="26.08"/>
    <s v="70272820"/>
    <s v="HBI, BF, Plant B &amp; Plate Mill"/>
    <s v="70320421"/>
    <s v="Section Head - HBI BF Sinter /Trans Mgt"/>
    <s v="Hazira"/>
    <s v="0031950049"/>
    <s v="HZ-Central Stores"/>
    <s v="2000HWO"/>
    <s v="20001240"/>
    <s v="Ambrish Chaturvedi"/>
    <s v="No"/>
    <s v="snehal.anjaria@amns.in"/>
    <s v="9879101700"/>
    <s v="21086"/>
    <s v="Dhruv Vyas"/>
    <s v="Anil Matoo"/>
    <s v="Praveen Kuruvalli"/>
    <s v="Dhruv Vyas"/>
    <n v="0"/>
  </r>
  <r>
    <n v="274"/>
    <n v="20001234"/>
    <s v="Anwar Khan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Payable"/>
    <m/>
    <s v="Working Capital"/>
    <s v="Accounts Payable"/>
    <s v="Bills Payable"/>
    <s v="Non Technical Support"/>
    <s v="Finance &amp; Accounts"/>
    <s v="Finance &amp; Accounts"/>
    <s v="73901003"/>
    <s v="Accounts Payable"/>
    <s v="AM/NS Hazira"/>
    <d v="1967-04-22T00:00:00"/>
    <s v="56.04"/>
    <d v="1997-03-15T00:00:00"/>
    <d v="2025-04-30T00:00:00"/>
    <m/>
    <d v="2025-04-30T00:00:00"/>
    <n v="588"/>
    <s v="O-"/>
    <s v="BCom-2011 , Certificate-2011"/>
    <s v="06.07"/>
    <s v="26.06"/>
    <s v="33.01"/>
    <s v="72150243"/>
    <s v="Accounts Payable"/>
    <s v="70320423"/>
    <s v="Sr. Lead - Accounts Payable"/>
    <s v="Hazira"/>
    <s v="0031950045"/>
    <s v="HZ-Works Accounts-Ha"/>
    <s v="2000HWO"/>
    <s v="20001076"/>
    <s v="Bhavesh Modi"/>
    <s v="No"/>
    <s v="anwar.khan1@amns.in"/>
    <s v="9879101766"/>
    <s v="22208"/>
    <s v="Dhruv Vyas"/>
    <s v="Anil Matoo"/>
    <s v="Praveen Kuruvalli"/>
    <s v="Dhruv Vyas"/>
    <n v="0"/>
  </r>
  <r>
    <n v="275"/>
    <n v="20001236"/>
    <s v="Vipul Padhiar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ost Audit &amp; Budgetary Control"/>
    <m/>
    <s v="Performance Management"/>
    <s v="Performance Management"/>
    <s v="Budgetory Control &amp; Audit"/>
    <s v="Non Technical Support"/>
    <s v="Finance &amp; Accounts"/>
    <s v="Costing"/>
    <s v="73906001"/>
    <s v="Costing"/>
    <s v="AM/NS Hazira"/>
    <d v="1972-04-18T00:00:00"/>
    <s v="51.05"/>
    <d v="1997-03-15T00:00:00"/>
    <d v="2030-04-30T00:00:00"/>
    <m/>
    <d v="2030-04-30T00:00:00"/>
    <n v="2414"/>
    <s v="AB-"/>
    <s v="MBA-2012 , ICWA Inter-2012 , MCom-2009"/>
    <s v="03.00"/>
    <s v="26.06"/>
    <s v="29.06"/>
    <s v="00045632"/>
    <s v="Costing &amp; Budgeting"/>
    <s v="70372306"/>
    <s v="Lead - Cost Audit &amp; Budgetary Control"/>
    <s v="Hazira"/>
    <s v="0031950043"/>
    <s v="HZ-Performance Manag"/>
    <s v="2000HWO"/>
    <s v="20056146"/>
    <s v="Asvinbhai Sutarsandhiya"/>
    <s v="No"/>
    <s v="vipul.padhiar@amns.in"/>
    <s v="9879101767"/>
    <s v="22878"/>
    <s v="Dhruv Vyas"/>
    <s v="Anil Matoo"/>
    <s v="Praveen Kuruvalli"/>
    <s v="Dhruv Vyas"/>
    <n v="0"/>
  </r>
  <r>
    <n v="276"/>
    <n v="20001238"/>
    <s v="Pitambar Sahu"/>
    <s v="AM/NS India"/>
    <s v="Onroll"/>
    <s v="M-6"/>
    <n v="6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- Finance &amp; Business Control"/>
    <m/>
    <s v="Finance &amp; Accounts - Odisha"/>
    <s v="Finance &amp; Accounts"/>
    <s v="Finance &amp; Business Control"/>
    <s v="Non Technical Support"/>
    <s v="Finance &amp; Accounts"/>
    <s v="Finance &amp; Accounts"/>
    <s v="73901001"/>
    <s v="Finance &amp; Accounts"/>
    <s v="Paradeep"/>
    <d v="1971-04-07T00:00:00"/>
    <s v="52.05"/>
    <d v="1997-03-15T00:00:00"/>
    <d v="2029-04-30T00:00:00"/>
    <m/>
    <d v="2029-04-30T00:00:00"/>
    <n v="2049"/>
    <s v="AB-"/>
    <s v="BCom-2009 , MBA-2009"/>
    <s v="00.08"/>
    <s v="26.06"/>
    <s v="27.02"/>
    <s v="70234933"/>
    <s v="Finance &amp; Accounts - Odisha"/>
    <s v="70298164"/>
    <s v="Lead - Finance &amp; Business Control"/>
    <s v="Odisha"/>
    <s v="0022030019"/>
    <s v="PDP-HR &amp; Admn"/>
    <s v="2000STORIS"/>
    <s v="20055801"/>
    <s v="Sanjive Kumar Singh"/>
    <s v="No"/>
    <s v="pitambar.sahu@amns.in"/>
    <s v="9437188790"/>
    <s v="23863"/>
    <s v="Sunila Das"/>
    <s v="Anil Matoo"/>
    <s v="Praveen Kuruvalli"/>
    <s v="Sunila Das"/>
    <n v="0"/>
  </r>
  <r>
    <n v="277"/>
    <n v="20001240"/>
    <s v="Ambrish Chaturvedi"/>
    <s v="AM/NS India"/>
    <s v="Onroll"/>
    <s v="M-5"/>
    <n v="5"/>
    <m/>
    <s v="MM"/>
    <s v="M"/>
    <s v="Hazira"/>
    <n v="1"/>
    <s v="2012"/>
    <x v="7"/>
    <s v="34.01"/>
    <s v="Hrishikesh Kamat"/>
    <s v="Hrishikesh Kamat"/>
    <n v="7"/>
    <s v="Procurement"/>
    <s v="Stores &amp; Warehouse"/>
    <s v="34"/>
    <s v="Head - Stores &amp; Warehouse Hazira"/>
    <m/>
    <s v="Stores &amp; Warehouse"/>
    <s v="Stores &amp; Warehouse"/>
    <s v="Operations"/>
    <s v="Non Technical Support"/>
    <s v="Commercial"/>
    <s v="Stores &amp; Warehouse"/>
    <s v="73806001"/>
    <s v="Stores &amp; Warehouse"/>
    <s v="Hazira"/>
    <d v="1967-12-29T00:00:00"/>
    <s v="55.08"/>
    <d v="1997-03-18T00:00:00"/>
    <d v="2025-12-31T00:00:00"/>
    <m/>
    <d v="2025-12-31T00:00:00"/>
    <n v="833"/>
    <s v="O-"/>
    <s v="BSc-1989"/>
    <s v="06.05"/>
    <s v="26.06"/>
    <s v="32.11"/>
    <s v="70072413"/>
    <s v="Stores &amp; Warehouse - Hazira"/>
    <s v="70258469"/>
    <s v="Head - Stores &amp; Warehouse Hazira"/>
    <s v="Hazira"/>
    <s v="0031950049"/>
    <s v="HZ-Central Stores"/>
    <s v="2000HWO"/>
    <s v="20055090"/>
    <s v="Hrishikesh Kamat"/>
    <s v="No"/>
    <s v="ambrish.chaturvedi@amns.in"/>
    <s v="9879101611"/>
    <s v="21353"/>
    <s v="Dhruv Vyas"/>
    <s v="Anil Matoo"/>
    <s v="Praveen Kuruvalli"/>
    <s v="Dhruv Vyas"/>
    <n v="0"/>
  </r>
  <r>
    <n v="284"/>
    <n v="20001265"/>
    <s v="Lakshman Iyer"/>
    <s v="AM/NS India"/>
    <s v="Onroll"/>
    <s v="M-4"/>
    <n v="4"/>
    <m/>
    <s v="SM"/>
    <s v="M"/>
    <s v="Hazira"/>
    <n v="1"/>
    <s v="2015"/>
    <x v="1"/>
    <s v="22.06"/>
    <s v="Anil Matoo"/>
    <s v="Ashutosh Telang"/>
    <n v="6"/>
    <s v="HR &amp; Administration"/>
    <s v="Human Resources"/>
    <s v="22"/>
    <s v="Cluster Head - Human Resources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68-10-26T00:00:00"/>
    <s v="54.10"/>
    <d v="1997-05-26T00:00:00"/>
    <d v="2026-10-31T00:00:00"/>
    <m/>
    <d v="2026-10-31T00:00:00"/>
    <n v="1137"/>
    <s v="AB-"/>
    <s v="BCom-1993"/>
    <s v="00.10"/>
    <s v="26.03"/>
    <s v="27.02"/>
    <s v="70472770"/>
    <s v="Hazira HR Operations - 1"/>
    <s v="70415280"/>
    <s v="Cluster Head - Human Resources"/>
    <s v="Hazira"/>
    <s v="0031950061"/>
    <s v="HZ-Human Resource"/>
    <s v="2000HWO"/>
    <s v="20000083"/>
    <s v="Anil Matoo"/>
    <s v="No"/>
    <s v="lakshman.iyer@amns.in"/>
    <s v="9909901600"/>
    <s v="21932"/>
    <s v="Dhruv Vyas"/>
    <s v="Anil Matoo"/>
    <s v="Praveen Kuruvalli"/>
    <s v="Dhruv Vyas"/>
    <n v="0"/>
  </r>
  <r>
    <n v="287"/>
    <n v="20001274"/>
    <s v="Nilesh Solanki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– Export Account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69-11-11T00:00:00"/>
    <s v="53.10"/>
    <d v="1997-05-31T00:00:00"/>
    <d v="2027-11-30T00:00:00"/>
    <m/>
    <d v="2027-11-30T00:00:00"/>
    <n v="1532"/>
    <s v="O-"/>
    <s v="MBA-2008"/>
    <s v="06.01"/>
    <s v="26.03"/>
    <s v="32.04"/>
    <s v="00044362"/>
    <s v="Export Documentation"/>
    <s v="70227008"/>
    <s v="Officer – Export Accounting"/>
    <s v="Hazira"/>
    <s v="0031950045"/>
    <s v="HZ-Works Accounts-Ha"/>
    <s v="2000HWO"/>
    <s v="20021039"/>
    <s v="Rajesh Patel"/>
    <s v="No"/>
    <s v="nilesh.solanki1@amns.in"/>
    <s v="9879101769"/>
    <s v="22844"/>
    <s v="Dhruv Vyas"/>
    <s v="Anil Matoo"/>
    <s v="Praveen Kuruvalli"/>
    <s v="Dhruv Vyas"/>
    <n v="0"/>
  </r>
  <r>
    <n v="288"/>
    <n v="20001275"/>
    <s v="Sheo Shankar Upadhyay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Collections &amp; Receivables"/>
    <m/>
    <s v="Sales Planning"/>
    <s v="Sales Planning"/>
    <s v=""/>
    <s v="Non Technical Support"/>
    <s v="Sales &amp; Marketing"/>
    <s v="Sales &amp; Marketing"/>
    <s v="73101001"/>
    <s v="Sales &amp; Marketing"/>
    <s v="Mumbai"/>
    <d v="1966-10-20T00:00:00"/>
    <s v="56.11"/>
    <d v="1997-06-01T00:00:00"/>
    <d v="2024-10-31T00:00:00"/>
    <m/>
    <d v="2024-10-31T00:00:00"/>
    <n v="407"/>
    <s v="O-"/>
    <s v="BCom-1989"/>
    <s v="02.00"/>
    <s v="26.03"/>
    <s v="28.03"/>
    <s v="70385322"/>
    <s v="Sales Planning &amp; Administration"/>
    <s v="70334295"/>
    <s v="Lead - Collections &amp; Receivables"/>
    <s v="Hazira"/>
    <s v="0080000001"/>
    <s v="Head-Marketing"/>
    <s v="2000HWO"/>
    <s v="20049554"/>
    <s v="Uttam Kumar"/>
    <s v="No"/>
    <s v="sheoshankar.upadhyay@amns.in"/>
    <s v="9819730643"/>
    <s v="24592"/>
    <s v="Dhruv Vyas"/>
    <s v="Anil Matoo"/>
    <s v="Praveen Kuruvalli"/>
    <s v="Dhruv Vyas"/>
    <n v="0"/>
  </r>
  <r>
    <n v="291"/>
    <n v="20001284"/>
    <s v="Kalpesh Tamakuwal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Domestic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3-01-03T00:00:00"/>
    <s v="50.08"/>
    <d v="1997-06-09T00:00:00"/>
    <d v="2031-01-31T00:00:00"/>
    <m/>
    <d v="2031-01-31T00:00:00"/>
    <n v="2690"/>
    <s v="A-"/>
    <s v="BCom-1993"/>
    <s v="03.03"/>
    <s v="26.03"/>
    <s v="29.06"/>
    <s v="70495314"/>
    <s v="Export, Domestic &amp; Banking"/>
    <s v="70319245"/>
    <s v="Sr. Lead - Domestic Banking"/>
    <s v="Hazira"/>
    <s v="0031950045"/>
    <s v="HZ-Works Accounts-Ha"/>
    <s v="2000HWO"/>
    <s v="20001077"/>
    <s v="Pradeep Parte"/>
    <s v="No"/>
    <s v="kalpesh.tamakuwala@amns.in"/>
    <s v="9879101842"/>
    <s v="24449"/>
    <s v="Dhruv Vyas"/>
    <s v="Anil Matoo"/>
    <s v="Praveen Kuruvalli"/>
    <s v="Dhruv Vyas"/>
    <n v="0"/>
  </r>
  <r>
    <n v="292"/>
    <n v="20001286"/>
    <s v="Rajeev Trivedi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Accounts Receivable"/>
    <m/>
    <s v="Working Capital"/>
    <s v="Accounts Receivable"/>
    <s v="Credit Control"/>
    <s v="Non Technical Support"/>
    <s v="Finance &amp; Accounts"/>
    <s v="Finance &amp; Accounts"/>
    <s v="73901004"/>
    <s v="Accounts Receivables"/>
    <s v="AM/NS Hazira"/>
    <d v="1966-02-12T00:00:00"/>
    <s v="57.07"/>
    <d v="1997-06-10T00:00:00"/>
    <d v="2024-02-29T00:00:00"/>
    <m/>
    <d v="2024-02-29T00:00:00"/>
    <n v="162"/>
    <s v="B-"/>
    <s v="BCom-1990"/>
    <s v="04.06"/>
    <s v="26.03"/>
    <s v="30.09"/>
    <s v="00045312"/>
    <s v="Accounts Receivable"/>
    <s v="70259333"/>
    <s v="Lead - Accounts Receivable"/>
    <s v="Hazira"/>
    <s v="0031950045"/>
    <s v="HZ-Works Accounts-Ha"/>
    <s v="2000HWO"/>
    <s v="20048487"/>
    <s v="Devendra Rai"/>
    <s v="No"/>
    <s v="rajeev.trivedi@amns.in"/>
    <s v="9879101843"/>
    <s v="24568"/>
    <s v="Dhruv Vyas"/>
    <s v="Anil Matoo"/>
    <s v="Praveen Kuruvalli"/>
    <s v="Dhruv Vyas"/>
    <n v="0"/>
  </r>
  <r>
    <n v="294"/>
    <n v="20001289"/>
    <s v="Siddaraju N"/>
    <s v="AM/NS India"/>
    <s v="Onroll"/>
    <s v="M-6"/>
    <n v="6"/>
    <m/>
    <s v="MM"/>
    <s v="M"/>
    <s v="Pune Facility"/>
    <n v="4"/>
    <s v="2043"/>
    <x v="3"/>
    <s v="31.01"/>
    <s v="Hrishikesh Kamat"/>
    <s v="Hrishikesh Kamat"/>
    <n v="7"/>
    <s v="Procurement"/>
    <s v="Procurement"/>
    <s v="31"/>
    <s v="Section Incharge - Purchase"/>
    <m/>
    <s v="Procurement"/>
    <s v="Row materail and Consumables"/>
    <s v="Row materail and Consumables"/>
    <s v="Non Technical Support"/>
    <s v="Operations"/>
    <s v="Plant Operations"/>
    <s v="72103003"/>
    <s v="Plant Operations"/>
    <s v="Pune AMNS"/>
    <d v="1975-06-15T00:00:00"/>
    <s v="48.03"/>
    <d v="1997-06-14T00:00:00"/>
    <d v="2033-06-30T00:00:00"/>
    <m/>
    <d v="2033-06-30T00:00:00"/>
    <n v="3571"/>
    <s v="O-"/>
    <s v="Diploma-2009 , MBA-2009"/>
    <s v="00.11"/>
    <s v="26.03"/>
    <s v="27.02"/>
    <s v="73800002"/>
    <s v="Procurement - Pune Asset"/>
    <s v="70226729"/>
    <s v="Section Incharge - Purchase"/>
    <s v="Pune Facility"/>
    <s v="0035950041"/>
    <s v="Pune-Procurement"/>
    <s v="2000ESPF"/>
    <s v="20006536"/>
    <s v="Mahesh Salunke"/>
    <s v="No"/>
    <s v="siddaraju.narayanappa@amns.in"/>
    <s v="9158895019"/>
    <s v="24211"/>
    <s v="Dhruv Vyas"/>
    <s v="Anil Matoo"/>
    <s v="Praveen Kuruvalli"/>
    <s v="Dhruv Vyas"/>
    <n v="0"/>
  </r>
  <r>
    <n v="310"/>
    <n v="20001370"/>
    <s v="Tejas Desai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Section Head - Pro Ferro Alloys"/>
    <m/>
    <s v="Procurement MRO Hazira"/>
    <s v="Procurement"/>
    <s v="Ferro Alloys, Electrodes, DSR, Quartzite"/>
    <s v="Non Technical Support"/>
    <s v="Commercial"/>
    <s v="Procurement"/>
    <s v="73803001"/>
    <s v="Procurement"/>
    <s v="AM/NS Hazira"/>
    <d v="1977-01-13T00:00:00"/>
    <s v="46.08"/>
    <d v="1998-03-02T00:00:00"/>
    <d v="2035-01-31T00:00:00"/>
    <m/>
    <d v="2035-01-31T00:00:00"/>
    <n v="4151"/>
    <s v="B-"/>
    <s v="MBA-2004 , BE-2004"/>
    <s v="00.10"/>
    <s v="25.06"/>
    <s v="26.04"/>
    <s v="00044542"/>
    <s v="Procurement -Ferroalloys"/>
    <s v="70386219"/>
    <s v="Section Head - Pro Ferro Alloys"/>
    <s v="Hazira"/>
    <s v="0031950048"/>
    <s v="HZ-Procurment Depart"/>
    <s v="2000HWO"/>
    <s v="20000201"/>
    <s v="Manish Bakriwala"/>
    <s v="No"/>
    <s v="tejas.desai@amns.in"/>
    <s v="9879101626"/>
    <s v="21609"/>
    <s v="Dhruv Vyas"/>
    <s v="Anil Matoo"/>
    <s v="Praveen Kuruvalli"/>
    <s v="Dhruv Vyas"/>
    <n v="0"/>
  </r>
  <r>
    <n v="322"/>
    <n v="20001476"/>
    <s v="Vinod Khai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- Business Support"/>
    <m/>
    <s v="CMO Office"/>
    <s v="CMO Office"/>
    <s v=""/>
    <s v="Non Technical Support"/>
    <s v="Sales &amp; Marketing"/>
    <s v="Sales &amp; Marketing"/>
    <s v="73101001"/>
    <s v="Sales &amp; Marketing"/>
    <s v="Mumbai"/>
    <d v="1972-01-25T00:00:00"/>
    <s v="51.07"/>
    <d v="2000-10-16T00:00:00"/>
    <d v="2030-01-31T00:00:00"/>
    <m/>
    <d v="2030-01-31T00:00:00"/>
    <n v="2325"/>
    <s v="O-"/>
    <s v="BCom-1997"/>
    <s v=""/>
    <s v="22.11"/>
    <s v="22.11"/>
    <s v="70139950"/>
    <s v="Sales &amp; Marketing"/>
    <s v="70376875"/>
    <s v="Lead- Business Support"/>
    <s v="Hazira"/>
    <s v="0080000001"/>
    <s v="Head-Marketing"/>
    <s v="2000HWO"/>
    <s v="20007104"/>
    <s v="Ranjan Dhar"/>
    <s v="No"/>
    <s v="vinod.khair@amns.in"/>
    <s v="9819730190"/>
    <s v="22192"/>
    <s v="Dhruv Vyas"/>
    <s v="Anil Matoo"/>
    <s v="Praveen Kuruvalli"/>
    <s v="Dhruv Vyas"/>
    <n v="0"/>
  </r>
  <r>
    <n v="323"/>
    <n v="20001488"/>
    <s v="Rajkumar Bhatia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NCO"/>
    <m/>
    <s v="Sales Steering &amp; BD"/>
    <s v="NCO"/>
    <s v="Secondary Sales"/>
    <s v="Non Technical Support"/>
    <s v="Sales &amp; Marketing"/>
    <s v="Sales"/>
    <s v="73104001"/>
    <s v="Sales"/>
    <s v="Hazira"/>
    <d v="1968-05-04T00:00:00"/>
    <s v="55.04"/>
    <d v="2001-01-02T00:00:00"/>
    <d v="2026-05-31T00:00:00"/>
    <m/>
    <d v="2026-05-31T00:00:00"/>
    <n v="984"/>
    <s v="O-"/>
    <s v="BCom-1990"/>
    <s v="03.00"/>
    <s v="22.08"/>
    <s v="25.08"/>
    <s v="70265035"/>
    <s v="Value Recovery"/>
    <s v="70226997"/>
    <s v="Lead - NCO"/>
    <s v="Hazira"/>
    <s v="0080000006"/>
    <s v="Secondary Sales - In"/>
    <s v="2000HWO"/>
    <s v="20016382"/>
    <s v="Kunal Bhardwaj"/>
    <s v="No"/>
    <s v="rajkumar.bhatia@amns.in"/>
    <s v="9879101520"/>
    <s v="21233"/>
    <s v="Dhruv Vyas"/>
    <s v="Anil Matoo"/>
    <s v="Praveen Kuruvalli"/>
    <s v="Dhruv Vyas"/>
    <n v="0"/>
  </r>
  <r>
    <n v="324"/>
    <n v="20001495"/>
    <s v="Milind Nargolka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NCO"/>
    <m/>
    <s v="Sales Steering &amp; BD"/>
    <s v="NCO"/>
    <s v="Secondary Sales"/>
    <s v="Non Technical Support"/>
    <s v="Sales &amp; Marketing"/>
    <s v="Sales"/>
    <s v="73104001"/>
    <s v="Sales"/>
    <s v="Mumbai"/>
    <d v="1976-08-07T00:00:00"/>
    <s v="47.01"/>
    <d v="2001-04-01T00:00:00"/>
    <d v="2034-08-31T00:00:00"/>
    <m/>
    <d v="2034-08-31T00:00:00"/>
    <n v="3998"/>
    <s v="A-"/>
    <s v="BCom-1999 , Diploma Equivalent-1999"/>
    <s v="00.11"/>
    <s v="22.05"/>
    <s v="23.04"/>
    <s v="70265035"/>
    <s v="Value Recovery"/>
    <s v="70226998"/>
    <s v="Lead - NCO"/>
    <s v="Hazira"/>
    <s v="0080000006"/>
    <s v="Secondary Sales - In"/>
    <s v="2000HWO"/>
    <s v="20016382"/>
    <s v="Kunal Bhardwaj"/>
    <s v="No"/>
    <s v="milind.nargolkar@amns.in"/>
    <s v="9879101199"/>
    <s v="22800"/>
    <s v="Dhruv Vyas"/>
    <s v="Anil Matoo"/>
    <s v="Praveen Kuruvalli"/>
    <s v="Dhruv Vyas"/>
    <n v="0"/>
  </r>
  <r>
    <n v="325"/>
    <n v="20001506"/>
    <s v="Ajay Kulkarni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NCO"/>
    <m/>
    <s v="Sales Steering &amp; BD"/>
    <s v="NCO"/>
    <s v="Domestic"/>
    <s v="Non Technical Support"/>
    <s v="Supply Chain Management"/>
    <s v="Supply Chain Management"/>
    <s v="73701001"/>
    <s v="Supply Chain Management"/>
    <s v="Pune AMNS"/>
    <d v="1967-06-04T00:00:00"/>
    <s v="56.03"/>
    <d v="2001-07-17T00:00:00"/>
    <d v="2025-06-30T00:00:00"/>
    <m/>
    <d v="2025-06-30T00:00:00"/>
    <n v="649"/>
    <s v="A-"/>
    <s v="BCom-2018 , MBA-2018"/>
    <s v="04.03"/>
    <s v="22.02"/>
    <s v="26.05"/>
    <s v="00044934"/>
    <s v="Value Recovery - Pune Facility"/>
    <s v="70259167"/>
    <s v="Lead - NCO"/>
    <s v="Pune Facility"/>
    <s v="0035950020"/>
    <s v="Pune-F&amp;A"/>
    <s v="2000ESPF"/>
    <s v="20016382"/>
    <s v="Kunal Bhardwaj"/>
    <s v="No"/>
    <s v="ajay.kulkarni@amns.in"/>
    <s v="9158895775"/>
    <s v="22292"/>
    <s v="Dhruv Vyas"/>
    <s v="Anil Matoo"/>
    <s v="Praveen Kuruvalli"/>
    <s v="Dhruv Vyas"/>
    <n v="0"/>
  </r>
  <r>
    <n v="326"/>
    <n v="20001529"/>
    <s v="Velidi Chandra Sekhara Rao"/>
    <s v="AM/NS India"/>
    <s v="Onroll"/>
    <s v="M-8"/>
    <n v="8"/>
    <m/>
    <s v="JM"/>
    <s v="M"/>
    <s v="Vizag"/>
    <n v="3"/>
    <s v="2012"/>
    <x v="7"/>
    <s v="34.01"/>
    <s v="Ambrish Chaturvedi"/>
    <s v="Hrishikesh Kamat"/>
    <n v="7"/>
    <s v="Procurement"/>
    <s v="Stores &amp; Warehouse"/>
    <s v="34"/>
    <s v="Warehouse Officers Kirandul"/>
    <m/>
    <s v="Stores &amp; Warehouse"/>
    <s v="Stores &amp; Warehouse"/>
    <s v="Stores &amp; Warehouse"/>
    <s v="Non Technical Support"/>
    <s v="Commercial"/>
    <s v="Stores &amp; Warehouse"/>
    <s v="73806001"/>
    <s v="Stores &amp; Warehouse"/>
    <s v="Kirandul"/>
    <d v="1967-06-05T00:00:00"/>
    <s v="56.03"/>
    <d v="2002-02-15T00:00:00"/>
    <d v="2025-06-30T00:00:00"/>
    <m/>
    <d v="2025-06-30T00:00:00"/>
    <n v="649"/>
    <s v="A-"/>
    <s v="BCom-1987"/>
    <s v="07.04"/>
    <s v="21.07"/>
    <s v="28.11"/>
    <s v="70301353"/>
    <s v="Procurement - Vizag &amp; Chitrakonda"/>
    <s v="70258960"/>
    <s v="Warehouse Officers Kirandul"/>
    <s v="Vizag"/>
    <s v="0028030019"/>
    <s v="VIZ-Personnel &amp; Admi"/>
    <s v="2000VIZOPS"/>
    <s v="20000200"/>
    <s v="A Venkateswara Rao"/>
    <s v="No"/>
    <s v="velidi.chandrasekhararao@amns.in"/>
    <s v="9713766632"/>
    <s v="23707"/>
    <s v="DS Varma"/>
    <s v="Anil Matoo"/>
    <s v="Praveen Kuruvalli"/>
    <s v="Dhruv Vyas"/>
    <n v="0"/>
  </r>
  <r>
    <n v="330"/>
    <n v="20001577"/>
    <s v="Prakash Thakur"/>
    <s v="AM/NS India"/>
    <s v="Onroll"/>
    <s v="M-4"/>
    <n v="4"/>
    <m/>
    <s v="SM"/>
    <s v="M"/>
    <s v="Hazira"/>
    <n v="1"/>
    <s v="2095"/>
    <x v="4"/>
    <n v="36.01"/>
    <s v="Deepak Sindkar"/>
    <s v="Hrishikesh Kamat"/>
    <n v="7"/>
    <s v="Procurement"/>
    <s v="Raw Materials"/>
    <s v="36"/>
    <s v="Section Head - Blacks"/>
    <m/>
    <s v="Bulk Raw Materials"/>
    <s v="Raw Material"/>
    <s v="Coal &amp; Coke"/>
    <s v="Non Technical Support"/>
    <s v="Commercial"/>
    <s v="Procurement"/>
    <s v="73803001"/>
    <s v="Procurement"/>
    <s v="Mumbai"/>
    <d v="1981-02-16T00:00:00"/>
    <s v="42.07"/>
    <d v="2003-01-20T00:00:00"/>
    <d v="2039-02-28T00:00:00"/>
    <m/>
    <d v="2039-02-28T00:00:00"/>
    <n v="5640"/>
    <s v="B-"/>
    <s v="BTech-2003"/>
    <s v=""/>
    <s v="20.07"/>
    <s v="20.07"/>
    <s v="00045894"/>
    <s v="Blacks"/>
    <s v="70386222"/>
    <s v="Section Head - Blacks"/>
    <s v="Hazira"/>
    <s v="0031950048"/>
    <s v="HZ-Procurment Depart"/>
    <s v="2000HWO"/>
    <s v="20000253"/>
    <s v="Deepak Sindkar"/>
    <s v="No"/>
    <s v="prakash.thakur@amns.in"/>
    <s v="9833946423"/>
    <s v="24500"/>
    <s v="Dhruv Vyas"/>
    <s v="Anil Matoo"/>
    <s v="Praveen Kuruvalli"/>
    <s v="Dhruv Vyas"/>
    <n v="0"/>
  </r>
  <r>
    <n v="332"/>
    <n v="20001585"/>
    <s v="Y S V Satish Kumar"/>
    <s v="AM/NS India"/>
    <s v="Onroll"/>
    <s v="M-8"/>
    <n v="8"/>
    <m/>
    <s v="JM"/>
    <s v="M"/>
    <s v="Vizag"/>
    <n v="3"/>
    <s v="2023"/>
    <x v="6"/>
    <s v="24.08"/>
    <s v="Anil Matoo"/>
    <s v="Ashutosh Telang"/>
    <n v="6"/>
    <s v="HR &amp; Administration"/>
    <s v="Administration"/>
    <s v="24"/>
    <s v="Plant Node Officer - PP"/>
    <m/>
    <s v="Administration"/>
    <s v="Administration"/>
    <s v="Administration"/>
    <s v="Non Technical Support"/>
    <s v="Administration"/>
    <s v="Administration"/>
    <s v="74101001"/>
    <s v="Administration"/>
    <s v="Vizag"/>
    <d v="1979-02-03T00:00:00"/>
    <s v="44.07"/>
    <d v="2003-02-08T00:00:00"/>
    <d v="2037-02-28T00:00:00"/>
    <m/>
    <d v="2037-02-28T00:00:00"/>
    <n v="4910"/>
    <s v="A-"/>
    <s v="MBA-2002 , BCom-2002"/>
    <s v=""/>
    <s v="20.07"/>
    <s v="20.07"/>
    <s v="72150111"/>
    <s v="Vizag HR Operations &amp; Administration"/>
    <s v="70319475"/>
    <s v="Plant Node Officer - PP"/>
    <s v="Vizag"/>
    <s v="0028030019"/>
    <s v="VIZ-Personnel &amp; Admi"/>
    <s v="2000VIZOPS"/>
    <s v="20000519"/>
    <s v="Dandu Srinivas Varma"/>
    <s v="No"/>
    <s v="satish.kumar2@amns.in"/>
    <s v="9885310953"/>
    <s v="23956"/>
    <s v="DS Varma"/>
    <s v="Anil Matoo"/>
    <s v="Praveen Kuruvalli"/>
    <s v="Dhruv Vyas"/>
    <n v="0"/>
  </r>
  <r>
    <n v="341"/>
    <n v="20001664"/>
    <s v="Vivek Koul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CRM &amp; Pipe"/>
    <m/>
    <s v="Procurement MRO Hazira"/>
    <s v="Procurement"/>
    <s v="APD &amp; OEM for CRM Complex"/>
    <s v="Non Technical Support"/>
    <s v="Commercial"/>
    <s v="Procurement"/>
    <s v="73803001"/>
    <s v="Procurement"/>
    <s v="AM/NS Hazira"/>
    <d v="1981-03-05T00:00:00"/>
    <s v="42.06"/>
    <d v="2003-05-26T00:00:00"/>
    <d v="2039-03-31T00:00:00"/>
    <m/>
    <d v="2039-03-31T00:00:00"/>
    <n v="5671"/>
    <s v="O-"/>
    <s v="BTech-2003"/>
    <s v=""/>
    <s v="20.03"/>
    <s v="20.03"/>
    <s v="70072410"/>
    <s v="Rolling &amp; Finishing including CRM, Plate"/>
    <s v="70227024"/>
    <s v="Lead – Proc CRM &amp; Pipe"/>
    <s v="Hazira"/>
    <s v="0031950048"/>
    <s v="HZ-Procurment Depart"/>
    <s v="2000HWO"/>
    <s v="20002323"/>
    <s v="Balaji Somvanshi"/>
    <s v="No"/>
    <s v="vivek.koul@amns.in"/>
    <s v="9879101781"/>
    <s v="22278"/>
    <s v="Dhruv Vyas"/>
    <s v="Anil Matoo"/>
    <s v="Praveen Kuruvalli"/>
    <s v="Dhruv Vyas"/>
    <n v="0"/>
  </r>
  <r>
    <n v="345"/>
    <n v="20001736"/>
    <s v="Manoranjan Jagdhari"/>
    <s v="AM/NS India"/>
    <s v="Onroll"/>
    <s v="M-5"/>
    <n v="5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KAM - OEM Sales"/>
    <m/>
    <s v="West"/>
    <s v="Hypermart"/>
    <s v=""/>
    <s v="Non Technical Support"/>
    <s v="Sales &amp; Marketing"/>
    <s v="Sales"/>
    <s v="73104004"/>
    <s v="OEM Sales"/>
    <s v="Ahmedabad"/>
    <d v="1977-10-29T00:00:00"/>
    <s v="45.10"/>
    <d v="2003-07-28T00:00:00"/>
    <d v="2035-10-31T00:00:00"/>
    <m/>
    <d v="2035-10-31T00:00:00"/>
    <n v="4424"/>
    <s v="B-"/>
    <s v="BE-2002 , MBA-2002"/>
    <s v=""/>
    <s v="20.01"/>
    <s v="20.01"/>
    <s v="70394840"/>
    <s v="OEM Sales - Gujarat"/>
    <s v="70390042"/>
    <s v="Business Lead - Hypermart Gujarat"/>
    <s v="Hazira"/>
    <s v="0060110200"/>
    <s v="HMART-Gujarat Div"/>
    <s v="2000HWO"/>
    <s v="20000812"/>
    <s v="Sitaram Rege"/>
    <s v="No"/>
    <s v="manoranjan.jagdhari@amns.in"/>
    <s v="9978937895"/>
    <s v="21957"/>
    <s v="Dhruv Vyas"/>
    <s v="Anil Matoo"/>
    <s v="Praveen Kuruvalli"/>
    <s v="Dhruv Vyas"/>
    <n v="0"/>
  </r>
  <r>
    <n v="349"/>
    <n v="20001800"/>
    <s v="Sanjay Desa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76-04-23T00:00:00"/>
    <s v="47.04"/>
    <d v="2003-11-20T00:00:00"/>
    <d v="2034-04-30T00:00:00"/>
    <m/>
    <d v="2034-04-30T00:00:00"/>
    <n v="3875"/>
    <s v="O-"/>
    <s v="BCom-2001 , LLB-2001"/>
    <s v="11.06"/>
    <s v="19.09"/>
    <s v="31.03"/>
    <s v="00044156"/>
    <s v="Indirect Taxation - 2"/>
    <s v="70372310"/>
    <s v="Lead - Customs"/>
    <s v="Hazira"/>
    <s v="0031950044"/>
    <s v="HZ-Commercial Taxati"/>
    <s v="2000HWO"/>
    <s v="20006246"/>
    <s v="Deven Sadadiwala"/>
    <s v="No"/>
    <s v="sanjay.desai@amns.in"/>
    <s v="9909901504"/>
    <s v="21607"/>
    <s v="Dhruv Vyas"/>
    <s v="Anil Matoo"/>
    <s v="Praveen Kuruvalli"/>
    <s v="Dhruv Vyas"/>
    <n v="0"/>
  </r>
  <r>
    <n v="350"/>
    <n v="20001808"/>
    <s v="Alpesh Parikh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Hypermart"/>
    <s v="Hypermart"/>
    <s v=""/>
    <s v="Non Technical Support"/>
    <s v="Sales &amp; Marketing"/>
    <s v="Sales"/>
    <s v="73104004"/>
    <s v="OEM Sales"/>
    <s v="Ahmedabad"/>
    <d v="1972-08-22T00:00:00"/>
    <s v="51.00"/>
    <d v="2003-12-01T00:00:00"/>
    <d v="2030-08-31T00:00:00"/>
    <m/>
    <d v="2030-08-31T00:00:00"/>
    <n v="2537"/>
    <s v="A-"/>
    <s v="BSc-1994 , Diploma-1994"/>
    <s v=""/>
    <s v="19.09"/>
    <s v="19.09"/>
    <s v="72150154"/>
    <s v="HyperMart"/>
    <s v="70334352"/>
    <s v="KAM - Secondary Sales"/>
    <s v="Hazira"/>
    <s v="0031950057"/>
    <s v="HZ-HRC - Marketing"/>
    <s v="2000HWO"/>
    <s v="20006236"/>
    <s v="Sanjay Vaid"/>
    <s v="No"/>
    <s v="alpesh.parikh@amns.in"/>
    <s v="9879100901"/>
    <s v="23003"/>
    <s v="Dhruv Vyas"/>
    <s v="Anil Matoo"/>
    <s v="Praveen Kuruvalli"/>
    <s v="Dhruv Vyas"/>
    <n v="0"/>
  </r>
  <r>
    <n v="353"/>
    <n v="20001854"/>
    <s v="Arasappan Thirumaran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Section Head - Treasury"/>
    <m/>
    <s v="Treasury &amp; Banking"/>
    <s v="Treasury"/>
    <s v="Treasury"/>
    <s v="Non Technical Support"/>
    <s v="Finance &amp; Accounts"/>
    <s v="Treasury"/>
    <s v="73903001"/>
    <s v="Treasury"/>
    <s v="AM/NS Hazira"/>
    <d v="1968-06-13T00:00:00"/>
    <s v="55.03"/>
    <d v="2004-01-23T00:00:00"/>
    <d v="2026-06-30T00:00:00"/>
    <m/>
    <d v="2026-06-30T00:00:00"/>
    <n v="1014"/>
    <s v="O-"/>
    <s v="ICWA Final-2009 , BCom-2009 , CA Inter-1"/>
    <s v="09.00"/>
    <s v="19.07"/>
    <s v="28.07"/>
    <s v="72150420"/>
    <s v="Treasury - Hazira"/>
    <s v="72152884"/>
    <s v="Section Head - Treasury"/>
    <s v="Hazira"/>
    <s v="0031950045"/>
    <s v="HZ-Works Accounts-Ha"/>
    <s v="2000HWO"/>
    <s v="20000870"/>
    <s v="Balajee M"/>
    <s v="No"/>
    <s v="maran.thiru@amns.in"/>
    <s v="9909901125"/>
    <s v="24516"/>
    <s v="Dhruv Vyas"/>
    <s v="Anil Matoo"/>
    <s v="Praveen Kuruvalli"/>
    <s v="Dhruv Vyas"/>
    <n v="0"/>
  </r>
  <r>
    <n v="362"/>
    <n v="20001905"/>
    <s v="Nirav Bhagat"/>
    <s v="AM/NS India"/>
    <s v="Onroll"/>
    <s v="M-7"/>
    <n v="7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 Charge - Issue/Shifting"/>
    <m/>
    <s v="Stores &amp; Warehouse"/>
    <s v="Stores &amp; Warehouse"/>
    <s v="INI-CSP Caster, RMHS, F&amp;S, Admin, SMP Crane &amp; all bearing"/>
    <s v="Non Technical Support"/>
    <s v="Commercial"/>
    <s v="Stores &amp; Warehouse"/>
    <s v="73806001"/>
    <s v="Stores &amp; Warehouse"/>
    <s v="Hazira"/>
    <d v="1982-11-17T00:00:00"/>
    <s v="40.10"/>
    <d v="2003-07-08T00:00:00"/>
    <d v="2040-11-30T00:00:00"/>
    <m/>
    <d v="2040-11-30T00:00:00"/>
    <n v="6281"/>
    <s v="B-"/>
    <s v="Diploma-2003"/>
    <s v="00.08"/>
    <s v="20.02"/>
    <s v="20.10"/>
    <s v="00044540"/>
    <s v="Material Issue &amp; Shifting"/>
    <s v="70372311"/>
    <s v="Section In Charge - Issue/Shifting"/>
    <s v="Hazira"/>
    <s v="0031950049"/>
    <s v="HZ-Central Stores"/>
    <s v="2000HWO"/>
    <s v="20001164"/>
    <s v="Snehal Anjaria"/>
    <s v="No"/>
    <s v="nirav.bhagat@amns.in"/>
    <s v="9879102032"/>
    <s v="21207"/>
    <s v="Dhruv Vyas"/>
    <s v="Anil Matoo"/>
    <s v="Praveen Kuruvalli"/>
    <s v="Dhruv Vyas"/>
    <n v="0"/>
  </r>
  <r>
    <n v="383"/>
    <n v="20002323"/>
    <s v="Balaji Somvanshi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Section Head -  Pro Rolling &amp; Finishing"/>
    <m/>
    <s v="Procurement MRO Hazira"/>
    <s v="Procurement"/>
    <s v="Rolling &amp; Finishing"/>
    <s v="Non Technical Support"/>
    <s v="Commercial"/>
    <s v="Procurement"/>
    <s v="73803001"/>
    <s v="Procurement"/>
    <s v="AM/NS Hazira"/>
    <d v="1973-05-05T00:00:00"/>
    <s v="50.04"/>
    <d v="2004-08-11T00:00:00"/>
    <d v="2031-05-31T00:00:00"/>
    <m/>
    <d v="2031-05-31T00:00:00"/>
    <n v="2810"/>
    <s v="B-"/>
    <s v="BE-1994"/>
    <s v="09.08"/>
    <s v="19.01"/>
    <s v="28.09"/>
    <s v="70072410"/>
    <s v="Rolling &amp; Finishing including CRM, Plate"/>
    <s v="70320256"/>
    <s v="Section Head -  Pro Rolling &amp; Finishing"/>
    <s v="Hazira"/>
    <s v="0031950048"/>
    <s v="HZ-Procurment Depart"/>
    <s v="2000HWO"/>
    <s v="20000201"/>
    <s v="Manish Bakriwala"/>
    <s v="No"/>
    <s v="balaji.somvanshi@amns.in"/>
    <s v="9879100735"/>
    <s v="24325"/>
    <s v="Dhruv Vyas"/>
    <s v="Anil Matoo"/>
    <s v="Praveen Kuruvalli"/>
    <s v="Dhruv Vyas"/>
    <n v="0"/>
  </r>
  <r>
    <n v="385"/>
    <n v="20002379"/>
    <s v="Mateen Rizvi"/>
    <s v="AM/NS India"/>
    <s v="Onroll"/>
    <s v="M-6"/>
    <n v="6"/>
    <m/>
    <s v="MM"/>
    <s v="M"/>
    <s v="Vizag"/>
    <n v="3"/>
    <s v="2095"/>
    <x v="4"/>
    <n v="36.01"/>
    <s v="Deepak Sindkar"/>
    <s v="Hrishikesh Kamat"/>
    <n v="7"/>
    <s v="Procurement"/>
    <s v="Raw Materials"/>
    <s v="36"/>
    <s v="Section Head - Raw Material Liasioning"/>
    <m/>
    <s v="Bulk Raw Materials"/>
    <s v="Liaisoning"/>
    <s v="Liaisoning"/>
    <s v="Non Technical Support"/>
    <s v="Services"/>
    <s v="Maintenance Services"/>
    <s v="72103013"/>
    <s v="Mechanical Maintenance"/>
    <s v="Kirandul"/>
    <d v="1981-02-20T00:00:00"/>
    <s v="42.06"/>
    <d v="2004-08-16T00:00:00"/>
    <d v="2039-02-28T00:00:00"/>
    <m/>
    <d v="2039-02-28T00:00:00"/>
    <n v="5640"/>
    <s v="B-"/>
    <s v="BE-2004"/>
    <s v=""/>
    <s v="19.01"/>
    <s v="19.01"/>
    <s v="00045893"/>
    <s v="Red Odisha Mill Scale"/>
    <s v="70402767"/>
    <s v="Section Head - Raw Material Liasioning"/>
    <s v="Vizag"/>
    <s v="0028010019"/>
    <s v="KRD-Admin &amp; General"/>
    <s v="2000VIZOPS"/>
    <s v="20035527"/>
    <s v="Anil Patro"/>
    <s v="No"/>
    <s v="mateen.rizvi@amns.in"/>
    <s v="9425591778"/>
    <s v="23790"/>
    <s v="Dhruv Vyas"/>
    <s v="Anil Matoo"/>
    <s v="Praveen Kuruvalli"/>
    <s v="Dhruv Vyas"/>
    <n v="0"/>
  </r>
  <r>
    <n v="406"/>
    <n v="20002479"/>
    <s v="Anand Talabhatula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- Pro MH"/>
    <m/>
    <s v="Procurement MRO Hazira"/>
    <s v="Procurement"/>
    <s v="Quality System &amp; Customer Relation Manager"/>
    <s v="Non Technical Support"/>
    <s v="Operations"/>
    <s v="Operations"/>
    <s v="72103001"/>
    <s v="Operations"/>
    <s v="AM/NS Hazira"/>
    <d v="1982-01-23T00:00:00"/>
    <s v="41.07"/>
    <d v="2004-09-14T00:00:00"/>
    <d v="2040-01-31T00:00:00"/>
    <m/>
    <d v="2040-01-31T00:00:00"/>
    <n v="5977"/>
    <s v="B-"/>
    <s v="PG Diploma in Management-2012 , BTech-20"/>
    <s v=""/>
    <s v="19.00"/>
    <s v="19.00"/>
    <s v="72150383"/>
    <s v="Procurement (MRO/IP &amp; Consumable)"/>
    <s v="70226947"/>
    <s v="Lead - Pro MH"/>
    <s v="Hazira"/>
    <s v="0031950048"/>
    <s v="HZ-Procurment Depart"/>
    <s v="2000HWO"/>
    <s v="20000201"/>
    <s v="Manish Bakriwala"/>
    <s v="No"/>
    <s v="anand.talabhatula@amns.in"/>
    <s v="9909901508"/>
    <s v="24443"/>
    <s v="Dhruv Vyas"/>
    <s v="Anil Matoo"/>
    <s v="Praveen Kuruvalli"/>
    <s v="Dhruv Vyas"/>
    <n v="0"/>
  </r>
  <r>
    <n v="413"/>
    <n v="20002587"/>
    <s v="Seema Mehta"/>
    <s v="AM/NS India"/>
    <s v="Onroll"/>
    <s v="M-8"/>
    <n v="8"/>
    <m/>
    <s v="JM"/>
    <s v="F"/>
    <s v="Hazira"/>
    <n v="1"/>
    <s v="2012"/>
    <x v="7"/>
    <s v="34.01"/>
    <s v="Ambrish Chaturvedi"/>
    <s v="Hrishikesh Kamat"/>
    <n v="7"/>
    <s v="Procurement"/>
    <s v="Stores &amp; Warehouse"/>
    <s v="34"/>
    <s v="Section Officer - GRN &amp; Documentation"/>
    <m/>
    <s v="Stores &amp; Warehouse"/>
    <s v="Stores &amp; Warehouse"/>
    <s v="GRN &amp; Documentation"/>
    <s v="Non Technical Support"/>
    <s v="Commercial"/>
    <s v="Stores &amp; Warehouse"/>
    <s v="73806001"/>
    <s v="Stores &amp; Warehouse"/>
    <s v="Hazira"/>
    <d v="1968-07-13T00:00:00"/>
    <s v="55.02"/>
    <d v="2004-09-23T00:00:00"/>
    <d v="2026-07-31T00:00:00"/>
    <m/>
    <d v="2026-07-31T00:00:00"/>
    <n v="1045"/>
    <s v="AB-"/>
    <s v="BCom-1988"/>
    <s v=""/>
    <s v="18.11"/>
    <s v="18.11"/>
    <s v="00053278"/>
    <s v="GRN/Documentation/Issue - Plant A"/>
    <s v="70259108"/>
    <s v="Section Officer - GRN &amp; Documentation"/>
    <s v="Hazira"/>
    <s v="0031950049"/>
    <s v="HZ-Central Stores"/>
    <s v="2000HWO"/>
    <s v="20001164"/>
    <s v="Snehal Anjaria"/>
    <s v="No"/>
    <s v="seema.mehta@amns.in"/>
    <s v="9879101993"/>
    <s v="22601"/>
    <s v="Dhruv Vyas"/>
    <s v="Anil Matoo"/>
    <s v="Praveen Kuruvalli"/>
    <s v="Dhruv Vyas"/>
    <n v="0"/>
  </r>
  <r>
    <n v="414"/>
    <n v="20002607"/>
    <s v="Perpetina Corda"/>
    <s v="AM/NS India"/>
    <s v="Onroll"/>
    <s v="M-6"/>
    <n v="6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Trade Finance"/>
    <m/>
    <s v="Treasury &amp; Banking"/>
    <s v="Treasury &amp; Banking"/>
    <s v="Corporate Finance"/>
    <s v="Non Technical Support"/>
    <s v="Finance &amp; Accounts"/>
    <s v="Treasury"/>
    <s v="73903001"/>
    <s v="Treasury"/>
    <s v="Mumbai"/>
    <d v="1970-06-17T00:00:00"/>
    <s v="53.03"/>
    <d v="1994-03-21T00:00:00"/>
    <d v="2028-06-30T00:00:00"/>
    <m/>
    <d v="2028-06-30T00:00:00"/>
    <n v="1745"/>
    <s v="AB+"/>
    <s v="BA-2013 , Chartered Financial Analyst (C"/>
    <s v=""/>
    <s v="29.06"/>
    <s v="29.06"/>
    <s v="70447071"/>
    <s v="Insurance &amp; Financial Risk"/>
    <s v="70285612"/>
    <s v="Lead - Trade Finance"/>
    <s v="Hazira"/>
    <s v="0090000028"/>
    <s v="Corporate Steel - Wo"/>
    <s v="2000HWO"/>
    <s v="20017504"/>
    <s v="Appi Reddy Guttikonda"/>
    <s v="No"/>
    <s v="perpetina.corda@amns.in"/>
    <s v="9819731811"/>
    <s v="21446"/>
    <s v="Dhruv Vyas"/>
    <s v="Anil Matoo"/>
    <s v="Praveen Kuruvalli"/>
    <s v="Dhruv Vyas"/>
    <n v="0"/>
  </r>
  <r>
    <n v="416"/>
    <n v="20002629"/>
    <s v="Bhavesh Patel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Power Transmission  Hazira"/>
    <m/>
    <s v="Procurement MRO Hazira"/>
    <s v="Procurement"/>
    <s v="APD &amp; OEM Plate Mill &amp; Power Transmission for Hazira Complex"/>
    <s v="Non Technical Support"/>
    <s v="Commercial"/>
    <s v="Procurement"/>
    <s v="73803001"/>
    <s v="Procurement"/>
    <s v="AM/NS Hazira"/>
    <d v="1981-11-28T00:00:00"/>
    <s v="41.09"/>
    <d v="2004-10-06T00:00:00"/>
    <d v="2039-11-30T00:00:00"/>
    <m/>
    <d v="2039-11-30T00:00:00"/>
    <n v="5915"/>
    <s v="A-"/>
    <s v="BE-2003"/>
    <s v="01.00"/>
    <s v="18.11"/>
    <s v="19.11"/>
    <s v="00053409"/>
    <s v="Proc PowerTransmission"/>
    <s v="70227553"/>
    <s v="Lead – Proc Power Transmission  Hazira"/>
    <s v="Hazira"/>
    <s v="0031950048"/>
    <s v="HZ-Procurment Depart"/>
    <s v="2000HWO"/>
    <s v="20002323"/>
    <s v="Balaji Somvanshi"/>
    <s v="No"/>
    <s v="bhavesh.patel2@amns.in"/>
    <s v="9879102141"/>
    <s v="23104"/>
    <s v="Dhruv Vyas"/>
    <s v="Anil Matoo"/>
    <s v="Praveen Kuruvalli"/>
    <s v="Dhruv Vyas"/>
    <n v="0"/>
  </r>
  <r>
    <n v="418"/>
    <n v="20002639"/>
    <s v="Kathiresan K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Plate"/>
    <s v=""/>
    <s v="Non Technical Support"/>
    <s v="Sales &amp; Marketing"/>
    <s v="Sales"/>
    <s v="73104004"/>
    <s v="OEM Sales"/>
    <s v="Chennai"/>
    <d v="1985-06-22T00:00:00"/>
    <s v="38.03"/>
    <d v="2004-10-06T00:00:00"/>
    <d v="2043-06-30T00:00:00"/>
    <m/>
    <d v="2043-06-30T00:00:00"/>
    <n v="7223"/>
    <s v="B-"/>
    <s v="Diploma-2010 , AMIE-2010 , BSc-9999 , MB"/>
    <s v=""/>
    <s v="18.11"/>
    <s v="18.11"/>
    <s v="00052473"/>
    <s v="KAM - Plate Sales"/>
    <s v="70319532"/>
    <s v="KAM - Plate Sales"/>
    <s v="Hazira"/>
    <s v="0031581982"/>
    <s v="PLM-Marketing"/>
    <s v="2000HWO"/>
    <s v="20000909"/>
    <s v="Murali Krishna Chunduru"/>
    <s v="No"/>
    <s v="kathiresan.k@amns.in"/>
    <s v="9962828289"/>
    <s v="22083"/>
    <s v="Dhruv Vyas"/>
    <s v="Anil Matoo"/>
    <s v="Praveen Kuruvalli"/>
    <s v="Dhruv Vyas"/>
    <n v="0"/>
  </r>
  <r>
    <n v="430"/>
    <n v="20002744"/>
    <s v="Lalit Periwal"/>
    <s v="AM/NS India"/>
    <s v="Onroll"/>
    <s v="M-8"/>
    <n v="8"/>
    <m/>
    <s v="JM"/>
    <s v="M"/>
    <s v="Corporate"/>
    <n v="7"/>
    <s v="2100"/>
    <x v="11"/>
    <s v="42.01"/>
    <s v="Pankaj Chourasia"/>
    <s v="P Ashok Kumar"/>
    <n v="9"/>
    <s v="Legal"/>
    <s v="Company Secretary"/>
    <s v="42"/>
    <s v="Lead Company Secretary"/>
    <m/>
    <s v="Company Secretary"/>
    <s v="Company Secretary"/>
    <s v="Lead - Corporate Secretarial"/>
    <s v="Non Technical Support"/>
    <s v="Secretarial"/>
    <s v="Company Secretary"/>
    <s v="73301001"/>
    <s v="Company Secretary"/>
    <s v="Mumbai"/>
    <d v="1965-01-05T00:00:00"/>
    <s v="58.08"/>
    <d v="1987-01-01T00:00:00"/>
    <d v="2023-01-31T00:00:00"/>
    <d v="2024-01-31T00:00:00"/>
    <d v="2024-01-31T00:00:00"/>
    <n v="133"/>
    <s v="O-"/>
    <s v="BCom-1986"/>
    <s v=""/>
    <s v="36.08"/>
    <s v="36.08"/>
    <s v="70273573"/>
    <s v="Company Secretarial"/>
    <s v="72153643"/>
    <s v="Lead Company Secretary"/>
    <s v="Corporate"/>
    <s v="0090000020"/>
    <s v="Company Secretary"/>
    <s v="2000CS"/>
    <s v="20050785"/>
    <s v="Pankaj Chourasia"/>
    <s v="No"/>
    <s v="lalit.periwal@amns.in"/>
    <s v="9819730810"/>
    <s v="23496"/>
    <s v="Dhruv Vyas"/>
    <s v="Anil Matoo"/>
    <s v="Praveen Kuruvalli"/>
    <s v="Dhruv Vyas"/>
    <n v="0"/>
  </r>
  <r>
    <n v="431"/>
    <n v="20002746"/>
    <s v="Deep Pyne"/>
    <s v="AM/NS India"/>
    <s v="Onroll"/>
    <s v="M-5"/>
    <n v="5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ection Head – Pro E I &amp;A and Zinc"/>
    <m/>
    <s v="Procurement MRO Hazira"/>
    <s v="Procurement"/>
    <s v="Zinc, Electrical, Instrumentation, Automation spares"/>
    <s v="Non Technical Support"/>
    <s v="Commercial"/>
    <s v="Procurement"/>
    <s v="73803001"/>
    <s v="Procurement"/>
    <s v="AM/NS Hazira"/>
    <d v="1973-06-12T00:00:00"/>
    <s v="50.03"/>
    <d v="2004-11-01T00:00:00"/>
    <d v="2031-06-30T00:00:00"/>
    <m/>
    <d v="2031-06-30T00:00:00"/>
    <n v="2840"/>
    <s v="O-"/>
    <s v="BE-1995"/>
    <s v="09.00"/>
    <s v="18.10"/>
    <s v="27.10"/>
    <s v="70266350"/>
    <s v="Zinc, Elect, Instrumentation, Automation"/>
    <s v="70258442"/>
    <s v="Section Head – Pro E I &amp;A and Zinc"/>
    <s v="Hazira"/>
    <s v="0031950048"/>
    <s v="HZ-Procurment Depart"/>
    <s v="2000HWO"/>
    <s v="20000201"/>
    <s v="Manish Bakriwala"/>
    <s v="No"/>
    <s v="deep.pyne@amns.in"/>
    <s v="9879100819"/>
    <s v="23601"/>
    <s v="Dhruv Vyas"/>
    <s v="Anil Matoo"/>
    <s v="Praveen Kuruvalli"/>
    <s v="Dhruv Vyas"/>
    <n v="0"/>
  </r>
  <r>
    <n v="440"/>
    <n v="20002894"/>
    <s v="Soni Majji"/>
    <s v="AM/NS India"/>
    <s v="Onroll"/>
    <s v="M-8"/>
    <n v="8"/>
    <m/>
    <s v="JM"/>
    <s v="F"/>
    <s v="Vizag"/>
    <n v="3"/>
    <s v="2043"/>
    <x v="3"/>
    <s v="31.01"/>
    <s v="Hrishikesh Kamat"/>
    <s v="Hrishikesh Kamat"/>
    <n v="7"/>
    <s v="Procurement"/>
    <s v="Procurement"/>
    <s v="31"/>
    <s v="Engineers -  Procurement (BP &amp; Common)"/>
    <m/>
    <s v="Procurement"/>
    <s v="Procurement"/>
    <s v="Purchase"/>
    <s v="Non Technical Support"/>
    <s v="Operations"/>
    <s v="Plant Operations"/>
    <s v="72103003"/>
    <s v="Plant Operations"/>
    <s v="Vizag"/>
    <d v="1985-12-30T00:00:00"/>
    <s v="37.08"/>
    <d v="2004-12-20T00:00:00"/>
    <d v="2043-12-31T00:00:00"/>
    <m/>
    <d v="2043-12-31T00:00:00"/>
    <n v="7407"/>
    <s v="AB-"/>
    <s v="Diploma-2004"/>
    <s v=""/>
    <s v="18.09"/>
    <s v="18.09"/>
    <s v="70301353"/>
    <s v="Procurement - Vizag &amp; Chitrakonda"/>
    <s v="70372801"/>
    <s v="Engineers -  Procurement (BP &amp; Common)"/>
    <s v="Vizag"/>
    <s v="0028030019"/>
    <s v="VIZ-Personnel &amp; Admi"/>
    <s v="2000VIZOPS"/>
    <s v="20000200"/>
    <s v="A Venkateswara Rao"/>
    <s v="No"/>
    <s v="soni.majji@amns.in"/>
    <s v="9966333321"/>
    <s v="22495"/>
    <s v="DS Varma"/>
    <s v="Anil Matoo"/>
    <s v="Praveen Kuruvalli"/>
    <s v="Dhruv Vyas"/>
    <n v="0"/>
  </r>
  <r>
    <n v="445"/>
    <n v="20002920"/>
    <s v="Sudhir Sharm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Head Sales - North Zone"/>
    <m/>
    <s v="North"/>
    <s v="North"/>
    <s v=""/>
    <s v="Non Technical Support"/>
    <s v="Sales &amp; Marketing"/>
    <s v="Sales"/>
    <s v="73104004"/>
    <s v="OEM Sales"/>
    <s v="Noida"/>
    <d v="1966-09-03T00:00:00"/>
    <s v="57.00"/>
    <d v="2004-12-23T00:00:00"/>
    <d v="2024-09-30T00:00:00"/>
    <m/>
    <d v="2024-09-30T00:00:00"/>
    <n v="376"/>
    <s v="B-"/>
    <s v="Diploma-1994 , AMIE-1994 , BSc-1990"/>
    <s v="14.03"/>
    <s v="18.08"/>
    <s v="32.11"/>
    <s v="72150181"/>
    <s v="Sales North Zone"/>
    <s v="70334358"/>
    <s v="Regional Head Sales - North Zone"/>
    <s v="Hazira"/>
    <s v="0031950057"/>
    <s v="HZ-HRC - Marketing"/>
    <s v="2000HWO"/>
    <s v="20007104"/>
    <s v="Ranjan Dhar"/>
    <s v="No"/>
    <s v="sudhir.sharma@amns.in"/>
    <s v="9811226008"/>
    <s v="24121"/>
    <s v="Dhruv Vyas"/>
    <s v="Anil Matoo"/>
    <s v="Praveen Kuruvalli"/>
    <s v="Dhruv Vyas"/>
    <n v="0"/>
  </r>
  <r>
    <n v="461"/>
    <n v="20003094"/>
    <s v="Vikaskumar Bhavsar"/>
    <s v="AM/NS India"/>
    <s v="Onroll"/>
    <s v="M-8"/>
    <n v="8"/>
    <m/>
    <s v="J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Land Acquisition"/>
    <s v="Receipt &amp; Unbound"/>
    <s v="Non Technical Support"/>
    <s v="Commercial"/>
    <s v="Stores &amp; Warehouse"/>
    <s v="73806001"/>
    <s v="Stores &amp; Warehouse"/>
    <s v="AM/NS Hazira"/>
    <d v="1967-03-18T00:00:00"/>
    <s v="56.06"/>
    <d v="2005-02-10T00:00:00"/>
    <d v="2025-03-31T00:00:00"/>
    <m/>
    <d v="2025-03-31T00:00:00"/>
    <n v="558"/>
    <s v="A-"/>
    <s v="BCom-1989"/>
    <s v="15.06"/>
    <s v="18.07"/>
    <s v="34.00"/>
    <s v="70495436"/>
    <s v="Land Property"/>
    <s v="70259109"/>
    <s v="Manager"/>
    <s v="Hazira"/>
    <s v="0031950038"/>
    <s v="HZ-Hazira Land Acqui"/>
    <s v="2000HWO"/>
    <s v="20059561"/>
    <s v="Bhavdip Jathal"/>
    <s v="No"/>
    <s v="vikaskumar.bhavsar@amns.in"/>
    <s v="9879101470"/>
    <s v="21263"/>
    <s v="Dhruv Vyas"/>
    <s v="Anil Matoo"/>
    <s v="Praveen Kuruvalli"/>
    <s v="Dhruv Vyas"/>
    <n v="0"/>
  </r>
  <r>
    <n v="469"/>
    <n v="20003178"/>
    <s v="Leena Agarwal"/>
    <s v="AM/NS India"/>
    <s v="Onroll"/>
    <s v="M-7"/>
    <n v="7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Compliance &amp; Trade Finance"/>
    <m/>
    <s v="Treasury &amp; Banking"/>
    <s v="Treasury &amp; Banking"/>
    <s v="Corporate Finance"/>
    <s v="Non Technical Support"/>
    <s v="Finance &amp; Accounts"/>
    <s v="Treasury"/>
    <s v="73903001"/>
    <s v="Treasury"/>
    <s v="Mumbai"/>
    <d v="1981-03-11T00:00:00"/>
    <s v="42.06"/>
    <d v="2005-03-14T00:00:00"/>
    <d v="2039-03-31T00:00:00"/>
    <m/>
    <d v="2039-03-31T00:00:00"/>
    <n v="5671"/>
    <s v="O-"/>
    <s v="MBA-2007 , MBA-2007"/>
    <s v="03.03"/>
    <s v="18.06"/>
    <s v="21.09"/>
    <s v="70101920"/>
    <s v="Treasury - Mumbai"/>
    <s v="70258947"/>
    <s v="Lead - Compliance &amp; Trade Finance"/>
    <s v="Corporate"/>
    <s v="0090000028"/>
    <s v="Corporate Steel - Wo"/>
    <s v="2000CS"/>
    <s v="20000057"/>
    <s v="Vivek Sanil"/>
    <s v="No"/>
    <s v="leena.agarwal@amns.in"/>
    <s v="9819731888"/>
    <s v="21025"/>
    <s v="Dhruv Vyas"/>
    <s v="Anil Matoo"/>
    <s v="Praveen Kuruvalli"/>
    <s v="Dhruv Vyas"/>
    <n v="0"/>
  </r>
  <r>
    <n v="470"/>
    <n v="20003180"/>
    <s v="Bhikhubhai Ahir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 &amp; Unloading"/>
    <m/>
    <s v="Stores &amp; Warehouse"/>
    <s v="Stores &amp; Warehouse"/>
    <s v="Receipt &amp; Unloading"/>
    <s v="Non Technical Support"/>
    <s v="Commercial"/>
    <s v="Stores &amp; Warehouse"/>
    <s v="73806001"/>
    <s v="Stores &amp; Warehouse"/>
    <s v="Hazira"/>
    <d v="1967-04-01T00:00:00"/>
    <s v="56.05"/>
    <d v="2005-03-14T00:00:00"/>
    <d v="2025-03-31T00:00:00"/>
    <m/>
    <d v="2025-03-31T00:00:00"/>
    <n v="558"/>
    <s v="A-"/>
    <s v="BA-1988"/>
    <s v="08.01"/>
    <s v="18.06"/>
    <s v="26.07"/>
    <s v="00053277"/>
    <s v="Receipts &amp; Unloading - Plant B"/>
    <s v="70319566"/>
    <s v="Section Officer - Receipt &amp; Unloading"/>
    <s v="Hazira"/>
    <s v="0031950049"/>
    <s v="HZ-Central Stores"/>
    <s v="2000HWO"/>
    <s v="20000948"/>
    <s v="Hitesh Raval"/>
    <s v="No"/>
    <s v="bhikhubhai.ahir@amns.in"/>
    <s v="9879101995"/>
    <s v="21042"/>
    <s v="Dhruv Vyas"/>
    <s v="Anil Matoo"/>
    <s v="Praveen Kuruvalli"/>
    <s v="Dhruv Vyas"/>
    <n v="0"/>
  </r>
  <r>
    <n v="474"/>
    <n v="20003222"/>
    <s v="Sanket Vakhariy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Ahmedabad"/>
    <d v="1981-12-04T00:00:00"/>
    <s v="41.09"/>
    <d v="2005-03-21T00:00:00"/>
    <d v="2039-12-31T00:00:00"/>
    <m/>
    <d v="2039-12-31T00:00:00"/>
    <n v="5946"/>
    <s v="O-"/>
    <s v="BE-2005 , MBA-2005"/>
    <s v=""/>
    <s v="18.06"/>
    <s v="18.06"/>
    <s v="70394840"/>
    <s v="OEM Sales - Gujarat"/>
    <s v="70258921"/>
    <s v="Sales Manager - Hypermart"/>
    <s v="Hypermart"/>
    <s v="0060110200"/>
    <s v="HMART-Gujarat Div"/>
    <s v="2000SRET"/>
    <s v="20001736"/>
    <s v="Manoranjan Jagdhari"/>
    <s v="No"/>
    <s v="sanket.vakhariya@amns.in"/>
    <s v="9825523407"/>
    <s v="24627"/>
    <s v="Dhruv Vyas"/>
    <s v="Anil Matoo"/>
    <s v="Praveen Kuruvalli"/>
    <s v="Dhruv Vyas"/>
    <n v="0"/>
  </r>
  <r>
    <n v="476"/>
    <n v="20003239"/>
    <s v="Mitesh Motka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Manager"/>
    <m/>
    <s v="West"/>
    <s v="OEM"/>
    <s v="Gujarat Sales"/>
    <s v="Non Technical Support"/>
    <s v="Services"/>
    <s v="Material Handling services"/>
    <s v="72103020"/>
    <s v="Packaging &amp; Warehousing"/>
    <s v="Ahmedabad"/>
    <d v="1985-08-17T00:00:00"/>
    <s v="38.01"/>
    <d v="2005-03-21T00:00:00"/>
    <d v="2043-08-31T00:00:00"/>
    <m/>
    <d v="2043-08-31T00:00:00"/>
    <n v="7285"/>
    <s v="O-"/>
    <s v="Diploma-2004"/>
    <s v="00.04"/>
    <s v="18.06"/>
    <s v="18.09"/>
    <s v="00052660"/>
    <s v="Plate Sales"/>
    <s v="70411831"/>
    <s v="Sales Manager"/>
    <s v="Hypermart"/>
    <s v="0031950057"/>
    <s v="HZ-HRC - Marketing"/>
    <s v="2000SRET"/>
    <s v="20046414"/>
    <s v="Vinod Ninawe"/>
    <s v="No"/>
    <s v="mitesh.motka@amns.in"/>
    <s v="9879102540"/>
    <s v="22716"/>
    <s v="Dhruv Vyas"/>
    <s v="Anil Matoo"/>
    <s v="Praveen Kuruvalli"/>
    <s v="Dhruv Vyas"/>
    <n v="0"/>
  </r>
  <r>
    <n v="477"/>
    <n v="20003280"/>
    <s v="Chetan Jansari"/>
    <s v="AM/NS India"/>
    <s v="Onroll"/>
    <s v="M-3"/>
    <n v="3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- Performance Management"/>
    <m/>
    <s v="Performance Management"/>
    <s v="Performance Management"/>
    <s v="Performance Management"/>
    <s v="Non Technical Support"/>
    <s v="Finance &amp; Accounts"/>
    <s v="Costing"/>
    <s v="73906001"/>
    <s v="Costing"/>
    <s v="AM/NS Hazira"/>
    <d v="1971-10-04T00:00:00"/>
    <s v="51.11"/>
    <d v="2005-04-01T00:00:00"/>
    <d v="2029-10-31T00:00:00"/>
    <m/>
    <d v="2029-10-31T00:00:00"/>
    <n v="2233"/>
    <s v="B-"/>
    <s v="BE-2004 , MBA-2004 , ICWA Inter-1993"/>
    <s v="08.10"/>
    <s v="18.05"/>
    <s v="27.04"/>
    <s v="70494729"/>
    <s v="Performance Management"/>
    <s v="70386195"/>
    <s v="Head - Performance Management"/>
    <s v="Confidential Payroll"/>
    <s v="0031950043"/>
    <s v="HZ-Performance Manag"/>
    <s v="2000HWO"/>
    <s v="20057933"/>
    <s v="Akiyo Omori"/>
    <s v="No"/>
    <s v="chetan.jansari@amns.in"/>
    <s v="9879100523"/>
    <s v="21992"/>
    <s v="Dhruv Vyas"/>
    <s v="Anil Matoo"/>
    <s v="Praveen Kuruvalli"/>
    <s v="Dhruv Vyas"/>
    <n v="0"/>
  </r>
  <r>
    <n v="478"/>
    <n v="20003359"/>
    <s v="Nilesh Jetani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- Proc Corex &amp; Utility"/>
    <m/>
    <s v="Procurement MRO Hazira"/>
    <s v="Procurement"/>
    <s v="APD &amp; OEM for SMP, Utility equipment's (Pumps, Compressors, HVAC)"/>
    <s v="Non Technical Support"/>
    <s v="Commercial"/>
    <s v="Procurement"/>
    <s v="73803001"/>
    <s v="Procurement"/>
    <s v="AM/NS Hazira"/>
    <d v="1983-11-07T00:00:00"/>
    <s v="39.10"/>
    <d v="2005-04-18T00:00:00"/>
    <d v="2041-11-30T00:00:00"/>
    <m/>
    <d v="2041-11-30T00:00:00"/>
    <n v="6646"/>
    <s v="A-"/>
    <s v="BE-2004"/>
    <s v="00.10"/>
    <s v="18.05"/>
    <s v="19.02"/>
    <s v="70072411"/>
    <s v="Iron &amp; Steel Making"/>
    <s v="70227554"/>
    <s v="Lead - Proc Corex &amp; Utility"/>
    <s v="Hazira"/>
    <s v="0031950048"/>
    <s v="HZ-Procurment Depart"/>
    <s v="2000HWO"/>
    <s v="20000926"/>
    <s v="Manishkumar Seksaria"/>
    <s v="No"/>
    <s v="nilesh.jetani@amns.in"/>
    <s v="9879102550"/>
    <s v="22843"/>
    <s v="Dhruv Vyas"/>
    <s v="Anil Matoo"/>
    <s v="Praveen Kuruvalli"/>
    <s v="Dhruv Vyas"/>
    <n v="0"/>
  </r>
  <r>
    <n v="479"/>
    <n v="20003360"/>
    <s v="Abhijit Kal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"/>
    <s v="Non Technical Support"/>
    <s v="R&amp; D and QA/QC"/>
    <s v="QA &amp; QC"/>
    <s v="72103034"/>
    <s v="QA &amp; QC"/>
    <s v="Pune"/>
    <d v="1981-11-26T00:00:00"/>
    <s v="41.09"/>
    <d v="2005-04-18T00:00:00"/>
    <d v="2039-11-30T00:00:00"/>
    <m/>
    <d v="2039-11-30T00:00:00"/>
    <n v="5915"/>
    <s v="B-"/>
    <s v="MTech-2004 , BE-2004"/>
    <s v="00.09"/>
    <s v="18.05"/>
    <s v="19.02"/>
    <s v="00052460"/>
    <s v="Auto &amp; YG"/>
    <s v="70319382"/>
    <s v="Sr. Lead - Application Engineering"/>
    <s v="Hazira"/>
    <s v="0031950057"/>
    <s v="HZ-HRC - Marketing"/>
    <s v="2000HWO"/>
    <s v="20056155"/>
    <s v="Kondapalli Venkateswarlu"/>
    <s v="No"/>
    <s v="abhijit.kale@amns.in"/>
    <s v="9923200093"/>
    <s v="22108"/>
    <s v="Dhruv Vyas"/>
    <s v="Anil Matoo"/>
    <s v="Praveen Kuruvalli"/>
    <s v="Dhruv Vyas"/>
    <n v="0"/>
  </r>
  <r>
    <n v="499"/>
    <n v="20003603"/>
    <s v="Madhur Kohli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Sales Head – East"/>
    <m/>
    <s v="East"/>
    <s v="East"/>
    <s v=""/>
    <s v="Non Technical Support"/>
    <s v="Sales &amp; Marketing"/>
    <s v="Sales"/>
    <s v="73104004"/>
    <s v="OEM Sales"/>
    <s v="Chennai"/>
    <d v="1967-09-13T00:00:00"/>
    <s v="56.00"/>
    <d v="2005-06-06T00:00:00"/>
    <d v="2025-09-30T00:00:00"/>
    <m/>
    <d v="2025-09-30T00:00:00"/>
    <n v="741"/>
    <s v="O-"/>
    <s v="BE-1989"/>
    <s v="15.05"/>
    <s v="18.03"/>
    <s v="33.08"/>
    <s v="00045321"/>
    <s v="Sales East Zone"/>
    <s v="70386196"/>
    <s v="Regional Sales Head – East"/>
    <s v="Hazira"/>
    <s v="0031581982"/>
    <s v="PLM-Marketing"/>
    <s v="2000HWO"/>
    <s v="20007104"/>
    <s v="Ranjan Dhar"/>
    <s v="No"/>
    <s v="madhur.kohli@amns.in"/>
    <s v="9874746461"/>
    <s v="22257"/>
    <s v="Dhruv Vyas"/>
    <s v="Anil Matoo"/>
    <s v="Praveen Kuruvalli"/>
    <s v="Dhruv Vyas"/>
    <n v="0"/>
  </r>
  <r>
    <n v="500"/>
    <n v="20003619"/>
    <s v="Abhishek Bhattacharyya"/>
    <s v="AM/NS India"/>
    <s v="Onroll"/>
    <s v="M-5"/>
    <n v="5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Head - Exports, Pune"/>
    <m/>
    <s v="Sales &amp; Marketing"/>
    <s v="Downstream Construction"/>
    <s v="International Sales"/>
    <s v="Non Technical Support"/>
    <s v="Operations"/>
    <s v="Operations"/>
    <s v="72103001"/>
    <s v="Operations"/>
    <s v="Pune AMNS"/>
    <d v="1980-02-28T00:00:00"/>
    <s v="43.06"/>
    <d v="2005-06-06T00:00:00"/>
    <d v="2038-02-28T00:00:00"/>
    <m/>
    <d v="2038-02-28T00:00:00"/>
    <n v="5275"/>
    <s v="B-"/>
    <s v="Certificate-2005 , MBA-2005 , BE-2002 ,"/>
    <s v=""/>
    <s v="18.03"/>
    <s v="18.03"/>
    <s v="70491980"/>
    <s v="Export Sales"/>
    <s v="70434505"/>
    <s v="Head- Project Downstream Const. Solution"/>
    <s v="Pune Facility"/>
    <s v="0035950073"/>
    <s v="Pune - S&amp;D Export"/>
    <s v="2000ESPF"/>
    <s v="20055084"/>
    <s v="Alain Legrix De La Salle"/>
    <s v="No"/>
    <s v="abhishek.bhattacharyya@amns.in"/>
    <s v="9158895051"/>
    <s v="21249"/>
    <s v="Dhruv Vyas"/>
    <s v="Anil Matoo"/>
    <s v="Praveen Kuruvalli"/>
    <s v="Dhruv Vyas"/>
    <n v="0"/>
  </r>
  <r>
    <n v="501"/>
    <n v="20003623"/>
    <s v="Soumyadeep Datt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– Plate Sales"/>
    <m/>
    <s v="Plate"/>
    <s v="Plate"/>
    <s v=""/>
    <s v="Non Technical Support"/>
    <s v="Sales &amp; Marketing"/>
    <s v="Sales"/>
    <s v="73104004"/>
    <s v="OEM Sales"/>
    <s v="Ahmedabad"/>
    <d v="1982-10-20T00:00:00"/>
    <s v="40.11"/>
    <d v="2005-06-06T00:00:00"/>
    <d v="2040-10-31T00:00:00"/>
    <m/>
    <d v="2040-10-31T00:00:00"/>
    <n v="6251"/>
    <s v="O-"/>
    <s v="MBA-2005"/>
    <s v=""/>
    <s v="18.03"/>
    <s v="18.03"/>
    <s v="70410953"/>
    <s v="Plate Sales - Gujarat"/>
    <s v="70386198"/>
    <s v="Head – Plate Sales"/>
    <s v="Hazira"/>
    <s v="0031581982"/>
    <s v="PLM-Marketing"/>
    <s v="2000HWO"/>
    <s v="20007104"/>
    <s v="Ranjan Dhar"/>
    <s v="No"/>
    <s v="soumyadeep.datta@amns.in"/>
    <s v="9925016964"/>
    <s v="21537"/>
    <s v="Dhruv Vyas"/>
    <s v="Anil Matoo"/>
    <s v="Praveen Kuruvalli"/>
    <s v="Dhruv Vyas"/>
    <n v="0"/>
  </r>
  <r>
    <n v="502"/>
    <n v="20003630"/>
    <s v="Mukul Manchand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of Sales - Iron Ore"/>
    <m/>
    <s v="Iron Ore &amp; Infra"/>
    <s v="Iron Ore &amp; Infra"/>
    <s v="Power &amp; Gas"/>
    <s v="Non Technical Support"/>
    <s v="Commercial"/>
    <s v="Procurement"/>
    <s v="73803001"/>
    <s v="Procurement"/>
    <s v="Mumbai"/>
    <d v="1981-02-15T00:00:00"/>
    <s v="42.07"/>
    <d v="2005-06-06T00:00:00"/>
    <d v="2039-02-28T00:00:00"/>
    <m/>
    <d v="2039-02-28T00:00:00"/>
    <n v="5640"/>
    <s v="B-"/>
    <s v="PG Diploma in Management-2005"/>
    <s v=""/>
    <s v="18.03"/>
    <s v="18.03"/>
    <s v="00044347"/>
    <s v="Sales - Iron Ore"/>
    <s v="70320364"/>
    <s v="Head of Sales - Iron Ore"/>
    <s v="Hazira"/>
    <s v="0031950048"/>
    <s v="HZ-Procurment Depart"/>
    <s v="2000HWO"/>
    <s v="20007104"/>
    <s v="Ranjan Dhar"/>
    <s v="No"/>
    <s v="mukul.manchanda@amns.in"/>
    <s v="9819730748"/>
    <s v="22515"/>
    <s v="Dhruv Vyas"/>
    <s v="Anil Matoo"/>
    <s v="Praveen Kuruvalli"/>
    <s v="Dhruv Vyas"/>
    <n v="0"/>
  </r>
  <r>
    <n v="510"/>
    <n v="20003847"/>
    <s v="Mahesh Mehar"/>
    <s v="AM/NS India"/>
    <s v="Onroll"/>
    <s v="M-5"/>
    <n v="5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Sr. Lead - Domestic Sales, Pune"/>
    <m/>
    <s v="West"/>
    <s v="OEM"/>
    <s v="National Sales"/>
    <s v="Non Technical Support"/>
    <s v="Operations"/>
    <s v="Operations"/>
    <s v="72103001"/>
    <s v="Operations"/>
    <s v="Mumbai"/>
    <d v="1974-12-10T00:00:00"/>
    <s v="48.09"/>
    <d v="2005-07-18T00:00:00"/>
    <d v="2032-12-31T00:00:00"/>
    <m/>
    <d v="2032-12-31T00:00:00"/>
    <n v="3390"/>
    <s v="O-"/>
    <s v="BE-1996"/>
    <s v="07.02"/>
    <s v="18.02"/>
    <s v="25.04"/>
    <s v="70140931"/>
    <s v="Sales Gujarat &amp; Mumbai Zone"/>
    <s v="70435076"/>
    <s v="Sr. KAM - OEM Sales"/>
    <s v="Pune Facility"/>
    <s v="0031950057"/>
    <s v="HZ-HRC - Marketing"/>
    <s v="2000ESPF"/>
    <s v="20000812"/>
    <s v="Sitaram Rege"/>
    <s v="No"/>
    <s v="mahesh.mehar@amns.in"/>
    <s v="9819730744"/>
    <s v="22475"/>
    <s v="Dhruv Vyas"/>
    <s v="Anil Matoo"/>
    <s v="Praveen Kuruvalli"/>
    <s v="Dhruv Vyas"/>
    <n v="0"/>
  </r>
  <r>
    <n v="534"/>
    <n v="20004058"/>
    <s v="Mayank Shah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Pro HBI Sinter BF"/>
    <m/>
    <s v="Procurement MRO Hazira"/>
    <s v="Procurement"/>
    <s v="APD &amp; OEM for Sinter, HBI Modules, Water Treatment Chemicals, High value hyd"/>
    <s v="Non Technical Support"/>
    <s v="Commercial"/>
    <s v="Procurement"/>
    <s v="73803001"/>
    <s v="Procurement"/>
    <s v="AM/NS Hazira"/>
    <d v="1980-11-30T00:00:00"/>
    <s v="42.09"/>
    <d v="2004-08-01T00:00:00"/>
    <d v="2038-11-30T00:00:00"/>
    <m/>
    <d v="2038-11-30T00:00:00"/>
    <n v="5550"/>
    <s v="B-"/>
    <s v="BE-2003"/>
    <s v=""/>
    <s v="19.01"/>
    <s v="19.01"/>
    <s v="00048362"/>
    <s v="Procurement HBI Sinter BF"/>
    <s v="70319391"/>
    <s v="Lead –Pro HBI Sinter BF"/>
    <s v="Hazira"/>
    <s v="0031950048"/>
    <s v="HZ-Procurment Depart"/>
    <s v="2000HWO"/>
    <s v="20000201"/>
    <s v="Manish Bakriwala"/>
    <s v="No"/>
    <s v="mayank.shah@amns.in"/>
    <s v="9879103926"/>
    <s v="24021"/>
    <s v="Dhruv Vyas"/>
    <s v="Anil Matoo"/>
    <s v="Praveen Kuruvalli"/>
    <s v="Dhruv Vyas"/>
    <n v="0"/>
  </r>
  <r>
    <n v="543"/>
    <n v="20004197"/>
    <s v="Nitin Dhimmer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r. Lead – Proc Pipe Pipe fittings Mech"/>
    <m/>
    <s v="Procurement MRO Hazira"/>
    <s v="Procurement"/>
    <s v="Pipe, Pipe fittings, Cooling Towers, Mech. Valves"/>
    <s v="Non Technical Support"/>
    <s v="Commercial"/>
    <s v="Contracts &amp; Tenders and E-bid"/>
    <s v="73805001"/>
    <s v="Contracts &amp; Tenders and E"/>
    <s v="AM/NS Hazira"/>
    <d v="1977-07-26T00:00:00"/>
    <s v="46.01"/>
    <d v="2005-11-01T00:00:00"/>
    <d v="2035-07-31T00:00:00"/>
    <m/>
    <d v="2035-07-31T00:00:00"/>
    <n v="4332"/>
    <s v="A-"/>
    <s v="High School-1997 , Diploma-1997 , High S"/>
    <s v="07.09"/>
    <s v="17.10"/>
    <s v="25.07"/>
    <s v="72150383"/>
    <s v="Procurement (MRO/IP &amp; Consumable)"/>
    <s v="70386201"/>
    <s v="Sr. Lead – Proc Pipe Pipe fittings Mech"/>
    <s v="Hazira"/>
    <s v="0031950048"/>
    <s v="HZ-Procurment Depart"/>
    <s v="2000HWO"/>
    <s v="20000201"/>
    <s v="Manish Bakriwala"/>
    <s v="No"/>
    <s v="nitin.dhimmer@amns.in"/>
    <s v="9879108329"/>
    <s v="21662"/>
    <s v="Dhruv Vyas"/>
    <s v="Anil Matoo"/>
    <s v="Praveen Kuruvalli"/>
    <s v="Dhruv Vyas"/>
    <n v="0"/>
  </r>
  <r>
    <n v="550"/>
    <n v="20004339"/>
    <s v="Alok Dalwadi"/>
    <s v="AM/NS India"/>
    <s v="Onroll"/>
    <s v="M-8"/>
    <n v="8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Lead - Secondary Sales"/>
    <m/>
    <s v="Secondary Sales, Non Steel"/>
    <s v="Secondary Sales"/>
    <s v="Secondary Sales (Non Steel)"/>
    <s v="Non Technical Support"/>
    <s v="Sales &amp; Marketing"/>
    <s v="Sales"/>
    <s v="73104001"/>
    <s v="Sales"/>
    <s v="Hazira"/>
    <d v="1986-12-12T00:00:00"/>
    <s v="36.09"/>
    <d v="2005-12-05T00:00:00"/>
    <d v="2044-12-31T00:00:00"/>
    <m/>
    <d v="2044-12-31T00:00:00"/>
    <n v="7773"/>
    <s v="AB-"/>
    <s v="Diploma-2005"/>
    <s v="00.05"/>
    <s v="17.09"/>
    <s v="18.02"/>
    <s v="00044541"/>
    <s v="HRC Store - Receipt"/>
    <s v="70372535"/>
    <s v="Lead - Secondary Sales"/>
    <s v="Hazira"/>
    <s v="0080000006"/>
    <s v="Secondary Sales - In"/>
    <s v="2000HWO"/>
    <s v="20005047"/>
    <s v="Rajeev Jha"/>
    <s v="No"/>
    <s v="alok.dalwadi@amns.in"/>
    <s v="9879102104"/>
    <s v="21469"/>
    <s v="Dhruv Vyas"/>
    <s v="Anil Matoo"/>
    <s v="Praveen Kuruvalli"/>
    <s v="Dhruv Vyas"/>
    <n v="0"/>
  </r>
  <r>
    <n v="567"/>
    <n v="20004519"/>
    <s v="Sarjan Mahid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 - Inventory Plant B"/>
    <m/>
    <s v="Stores &amp; Warehouse"/>
    <s v="Stores &amp; Warehouse"/>
    <s v="Inventory Plant B"/>
    <s v="Non Technical Support"/>
    <s v="Commercial"/>
    <s v="Stores &amp; Warehouse"/>
    <s v="73806001"/>
    <s v="Stores &amp; Warehouse"/>
    <s v="Hazira"/>
    <d v="1984-03-29T00:00:00"/>
    <s v="39.05"/>
    <d v="2006-01-09T00:00:00"/>
    <d v="2042-03-31T00:00:00"/>
    <m/>
    <d v="2042-03-31T00:00:00"/>
    <n v="6767"/>
    <s v="B-"/>
    <s v="Diploma-2005 , BTech-2005"/>
    <s v=""/>
    <s v="17.08"/>
    <s v="17.08"/>
    <s v="70232287"/>
    <s v="HRC Store &amp; Inventory  &amp; Cataloging Mgt."/>
    <s v="70319772"/>
    <s v="Section Office - Inventory Plant B"/>
    <s v="Hazira"/>
    <s v="0031950049"/>
    <s v="HZ-Central Stores"/>
    <s v="2000HWO"/>
    <s v="20000948"/>
    <s v="Hitesh Raval"/>
    <s v="No"/>
    <s v="sarjan.mahida@amns.in"/>
    <s v="9879103403"/>
    <s v="22482"/>
    <s v="Dhruv Vyas"/>
    <s v="Anil Matoo"/>
    <s v="Praveen Kuruvalli"/>
    <s v="Dhruv Vyas"/>
    <n v="0"/>
  </r>
  <r>
    <n v="575"/>
    <n v="20004612"/>
    <s v="Ramesh Chabhadiya"/>
    <s v="AM/NS India"/>
    <s v="Onroll"/>
    <s v="M-5"/>
    <n v="5"/>
    <m/>
    <s v="MM"/>
    <s v="M"/>
    <s v="Hazira"/>
    <n v="1"/>
    <s v="2096"/>
    <x v="14"/>
    <s v="36.02"/>
    <s v="Deepak Sindkar"/>
    <s v="Hrishikesh Kamat"/>
    <n v="7"/>
    <s v="Procurement"/>
    <s v="Raw Materials"/>
    <s v="36"/>
    <s v="Section Head – Gas &amp; Power"/>
    <m/>
    <s v="Power &amp; Gas"/>
    <s v="Power &amp; Gas"/>
    <s v="Power &amp; Gas"/>
    <s v="Tech. Support Services"/>
    <s v="Commercial"/>
    <s v="Procurement"/>
    <s v="73803001"/>
    <s v="Procurement"/>
    <s v="AM/NS Hazira"/>
    <d v="1980-10-15T00:00:00"/>
    <s v="42.11"/>
    <d v="2006-01-23T00:00:00"/>
    <d v="2038-10-31T00:00:00"/>
    <m/>
    <d v="2038-10-31T00:00:00"/>
    <n v="5520"/>
    <s v="B-"/>
    <s v="BE-2010 , PG Diploma in Management-2010"/>
    <s v="01.02"/>
    <s v="17.07"/>
    <s v="18.10"/>
    <s v="00049516"/>
    <s v="Power &amp; Gas"/>
    <s v="70319458"/>
    <s v="Section Head – Gas &amp; Power"/>
    <s v="Hazira"/>
    <s v="0031950048"/>
    <s v="HZ-Procurment Depart"/>
    <s v="2000HWO"/>
    <s v="20055090"/>
    <s v="Hrishikesh Kamat"/>
    <s v="No"/>
    <s v="ramesh.chabhadiya@amns.in"/>
    <s v="9879102342"/>
    <s v="21328"/>
    <s v="Dhruv Vyas"/>
    <s v="Anil Matoo"/>
    <s v="Praveen Kuruvalli"/>
    <s v="Dhruv Vyas"/>
    <n v="0"/>
  </r>
  <r>
    <n v="590"/>
    <n v="20004925"/>
    <s v="Tufail Ahmad"/>
    <s v="AM/NS India"/>
    <s v="Onroll"/>
    <s v="M-8"/>
    <n v="8"/>
    <m/>
    <s v="JM"/>
    <s v="M"/>
    <s v="Service Centers"/>
    <n v="6"/>
    <s v="2043"/>
    <x v="3"/>
    <s v="31.01"/>
    <s v="Hrishikesh Kamat"/>
    <s v="Hrishikesh Kamat"/>
    <n v="7"/>
    <s v="Procurement"/>
    <s v="Procurement"/>
    <s v="31"/>
    <s v="Lead - Procurement - Service Center"/>
    <m/>
    <s v="Procurement Service Centre"/>
    <s v="Procurement"/>
    <s v="Procurement"/>
    <s v="Non Technical Support"/>
    <s v="Operations"/>
    <s v="Plant Maintenance"/>
    <s v="72103008"/>
    <s v="Mechanical Maintenance"/>
    <s v="Bahadurgarh"/>
    <d v="1985-02-15T00:00:00"/>
    <s v="38.07"/>
    <d v="2006-03-07T00:00:00"/>
    <d v="2043-02-28T00:00:00"/>
    <m/>
    <d v="2043-02-28T00:00:00"/>
    <n v="7101"/>
    <s v="O-"/>
    <s v="Diploma-2004"/>
    <s v=""/>
    <s v="17.06"/>
    <s v="17.06"/>
    <s v="70413444"/>
    <s v="Purchase &amp; Contracts"/>
    <s v="70371387"/>
    <s v="Lead - Procurement - Service Center"/>
    <s v="Service Center"/>
    <s v="0040050019"/>
    <s v="SC-Bahadurgarh-Op1-C"/>
    <s v="2000SPRJ"/>
    <s v="20052588"/>
    <s v="Govindraju Sampathirao"/>
    <s v="No"/>
    <s v="tufail.ahmad@amns.in"/>
    <s v="9836631818"/>
    <s v="21050"/>
    <s v="Dhruv Vyas"/>
    <s v="Anil Matoo"/>
    <s v="Praveen Kuruvalli"/>
    <s v="Dhruv Vyas"/>
    <n v="0"/>
  </r>
  <r>
    <n v="596"/>
    <n v="20005047"/>
    <s v="Rajeev Jha"/>
    <s v="AM/NS India"/>
    <s v="Onroll"/>
    <s v="M-7"/>
    <n v="7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 Charge - Receipt"/>
    <m/>
    <s v="Stores &amp; Warehouse"/>
    <s v="Stores &amp; Warehouse"/>
    <s v="Receipt, Unloading &amp; Unbound"/>
    <s v="Non Technical Support"/>
    <s v="Commercial"/>
    <s v="Stores &amp; Warehouse"/>
    <s v="73806001"/>
    <s v="Stores &amp; Warehouse"/>
    <s v="Hazira"/>
    <d v="1971-01-15T00:00:00"/>
    <s v="52.08"/>
    <d v="2003-05-01T00:00:00"/>
    <d v="2029-01-31T00:00:00"/>
    <m/>
    <d v="2029-01-31T00:00:00"/>
    <n v="1960"/>
    <s v="A+"/>
    <s v="BA-2000 , Diploma-2000"/>
    <s v="04.11"/>
    <s v="20.04"/>
    <s v="25.03"/>
    <s v="00044541"/>
    <s v="HRC Store - Receipt"/>
    <s v="70319402"/>
    <s v="Section In Charge - Receipt"/>
    <s v="Hazira"/>
    <s v="0031950049"/>
    <s v="HZ-Central Stores"/>
    <s v="2000HWO"/>
    <s v="20001240"/>
    <s v="Ambrish Chaturvedi"/>
    <s v="No"/>
    <s v="rajeev.jha@amns.in"/>
    <s v="9879103256"/>
    <s v="22033"/>
    <s v="Dhruv Vyas"/>
    <s v="Anil Matoo"/>
    <s v="Praveen Kuruvalli"/>
    <s v="Dhruv Vyas"/>
    <n v="0"/>
  </r>
  <r>
    <n v="618"/>
    <n v="20005165"/>
    <s v="Parthiv Desai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 HBI &amp; BF"/>
    <m/>
    <s v="Stores &amp; Warehouse"/>
    <s v="Stores &amp; Warehouse"/>
    <s v="Receipt  HBI &amp; BF"/>
    <s v="Non Technical Support"/>
    <s v="Commercial"/>
    <s v="Contracts &amp; Tenders and E-bid"/>
    <s v="73805001"/>
    <s v="Contracts &amp; Tenders and E"/>
    <s v="Hazira"/>
    <d v="1982-05-08T00:00:00"/>
    <s v="41.04"/>
    <d v="2004-03-02T00:00:00"/>
    <d v="2040-05-31T00:00:00"/>
    <m/>
    <d v="2040-05-31T00:00:00"/>
    <n v="6098"/>
    <s v="B-"/>
    <s v="Diploma-2001"/>
    <s v="02.01"/>
    <s v="19.06"/>
    <s v="21.07"/>
    <s v="00048783"/>
    <s v="HBI, BF, Plant B &amp; Plate Mill"/>
    <s v="70319611"/>
    <s v="Section Officer - Receipt HBI &amp; BF"/>
    <s v="Hazira"/>
    <s v="0031950049"/>
    <s v="HZ-Central Stores"/>
    <s v="2000HWO"/>
    <s v="20001905"/>
    <s v="Nirav Bhagat"/>
    <s v="No"/>
    <s v="parthiv.desai@amns.in"/>
    <s v="9879103486"/>
    <s v="21601"/>
    <s v="Dhruv Vyas"/>
    <s v="Anil Matoo"/>
    <s v="Praveen Kuruvalli"/>
    <s v="Dhruv Vyas"/>
    <n v="0"/>
  </r>
  <r>
    <n v="655"/>
    <n v="20005286"/>
    <s v="Sanjay Jain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Instrumentation &amp; Automatio"/>
    <m/>
    <s v="Procurement MRO Hazira"/>
    <s v="Procurement"/>
    <s v="Instrumentation &amp; Automation spares - Hazira Complex"/>
    <s v="Non Technical Support"/>
    <s v="Commercial"/>
    <s v="Procurement"/>
    <s v="73803001"/>
    <s v="Procurement"/>
    <s v="AM/NS Hazira"/>
    <d v="1980-12-21T00:00:00"/>
    <s v="42.09"/>
    <d v="2004-10-06T00:00:00"/>
    <d v="2038-12-31T00:00:00"/>
    <m/>
    <d v="2038-12-31T00:00:00"/>
    <n v="5581"/>
    <s v="B-"/>
    <s v="BE-2004"/>
    <s v=""/>
    <s v="18.11"/>
    <s v="18.11"/>
    <s v="70072411"/>
    <s v="Iron &amp; Steel Making"/>
    <s v="70258882"/>
    <s v="Lead – Proc Instrumentation &amp; Automatio"/>
    <s v="Hazira"/>
    <s v="0031950048"/>
    <s v="HZ-Procurment Depart"/>
    <s v="2000HWO"/>
    <s v="20000926"/>
    <s v="Manishkumar Seksaria"/>
    <s v="No"/>
    <s v="sanjay.jain@amns.in"/>
    <s v="9879103413"/>
    <s v="21971"/>
    <s v="Dhruv Vyas"/>
    <s v="Anil Matoo"/>
    <s v="Praveen Kuruvalli"/>
    <s v="Dhruv Vyas"/>
    <n v="0"/>
  </r>
  <r>
    <n v="671"/>
    <n v="20005328"/>
    <s v="Abhay Dorley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Plate Yard &amp; Dispatch"/>
    <s v="Non Technical Support"/>
    <s v="Sales &amp; Marketing"/>
    <s v="Sales"/>
    <s v="73104004"/>
    <s v="OEM Sales"/>
    <s v="Hazira"/>
    <d v="1985-06-05T00:00:00"/>
    <s v="38.03"/>
    <d v="2005-02-09T00:00:00"/>
    <d v="2043-06-30T00:00:00"/>
    <m/>
    <d v="2043-06-30T00:00:00"/>
    <n v="7223"/>
    <s v="A-"/>
    <s v="Diploma-2017 , BBA-2017 , MBA-2004"/>
    <s v=""/>
    <s v="18.07"/>
    <s v="18.07"/>
    <s v="00052660"/>
    <s v="Plate Sales"/>
    <s v="70259132"/>
    <s v="Sales Manager"/>
    <s v="Hazira"/>
    <s v="0031581982"/>
    <s v="PLM-Marketing"/>
    <s v="2000HWO"/>
    <s v="20046414"/>
    <s v="Vinod Ninawe"/>
    <s v="No"/>
    <s v="abhay.dorley@amns.in"/>
    <s v="9879103507"/>
    <s v="21696"/>
    <s v="Dhruv Vyas"/>
    <s v="Anil Matoo"/>
    <s v="Praveen Kuruvalli"/>
    <s v="Dhruv Vyas"/>
    <n v="0"/>
  </r>
  <r>
    <n v="676"/>
    <n v="20005375"/>
    <s v="Hrushikesh Deoghar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"/>
    <s v="Non Technical Support"/>
    <s v="Sales &amp; Marketing"/>
    <s v="Sales"/>
    <s v="73104004"/>
    <s v="OEM Sales"/>
    <s v="Mumbai"/>
    <d v="1979-03-20T00:00:00"/>
    <s v="44.06"/>
    <d v="2006-04-10T00:00:00"/>
    <d v="2037-03-31T00:00:00"/>
    <m/>
    <d v="2037-03-31T00:00:00"/>
    <n v="4941"/>
    <s v="O-"/>
    <s v="BSc-2003 , MBA-2003"/>
    <s v="05.07"/>
    <s v="17.05"/>
    <s v="23.00"/>
    <s v="70140931"/>
    <s v="Sales Gujarat &amp; Mumbai Zone"/>
    <s v="70336302"/>
    <s v="KAM - OEM Sales"/>
    <s v="Hazira"/>
    <s v="0031581982"/>
    <s v="PLM-Marketing"/>
    <s v="2000HWO"/>
    <s v="20000812"/>
    <s v="Sitaram Rege"/>
    <s v="No"/>
    <s v="hrushikesh.deoghare@amns.in"/>
    <s v="9930134040"/>
    <s v="21560"/>
    <s v="Dhruv Vyas"/>
    <s v="Anil Matoo"/>
    <s v="Praveen Kuruvalli"/>
    <s v="Dhruv Vyas"/>
    <n v="0"/>
  </r>
  <r>
    <n v="696"/>
    <n v="20005676"/>
    <s v="Bhavyesh Adhavaryu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Banking"/>
    <m/>
    <s v="Treasury &amp; Banking"/>
    <s v="Treasury"/>
    <s v="Export, Domestic &amp; Banking"/>
    <s v="Non Technical Support"/>
    <s v="Finance &amp; Accounts"/>
    <s v="Corporate Finance"/>
    <s v="73902004"/>
    <s v="Banking Relations"/>
    <s v="AM/NS Hazira"/>
    <d v="1981-10-06T00:00:00"/>
    <s v="41.11"/>
    <d v="2006-05-15T00:00:00"/>
    <d v="2039-10-31T00:00:00"/>
    <m/>
    <d v="2039-10-31T00:00:00"/>
    <n v="5885"/>
    <s v="B-"/>
    <s v="MMS-2005"/>
    <s v="00.06"/>
    <s v="17.04"/>
    <s v="17.10"/>
    <s v="72150420"/>
    <s v="Treasury - Hazira"/>
    <s v="70258858"/>
    <s v="Lead - Banking"/>
    <s v="Hazira"/>
    <s v="0031950045"/>
    <s v="HZ-Works Accounts-Ha"/>
    <s v="2000HWO"/>
    <s v="20001854"/>
    <s v="Arasappan Thirumaran"/>
    <s v="No"/>
    <s v="bhavyesh.adhavaryu@amns.in"/>
    <s v="9909901654"/>
    <s v="21019"/>
    <s v="Dhruv Vyas"/>
    <s v="Anil Matoo"/>
    <s v="Praveen Kuruvalli"/>
    <s v="Dhruv Vyas"/>
    <n v="0"/>
  </r>
  <r>
    <n v="708"/>
    <n v="20005759"/>
    <s v="Santosh G Kannoujia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Accounting"/>
    <m/>
    <s v="Working Capital"/>
    <s v="Accounts Payable"/>
    <s v="Central Accounting"/>
    <s v="Non Technical Support"/>
    <s v="Human Resources Management"/>
    <s v="Human Resources Management"/>
    <s v="73501002"/>
    <s v="Human Resources Operation"/>
    <s v="AM/NS Hazira"/>
    <d v="1978-04-05T00:00:00"/>
    <s v="45.05"/>
    <d v="2006-05-01T00:00:00"/>
    <d v="2036-04-30T00:00:00"/>
    <m/>
    <d v="2036-04-30T00:00:00"/>
    <n v="4606"/>
    <s v="A-"/>
    <s v="BA-2009 , MBA-2009"/>
    <s v=""/>
    <s v="17.04"/>
    <s v="17.04"/>
    <s v="00043794"/>
    <s v="Accounts Payable - 1"/>
    <s v="70226885"/>
    <s v="Officer - Accounting"/>
    <s v="Hazira"/>
    <s v="0031950045"/>
    <s v="HZ-Works Accounts-Ha"/>
    <s v="2000HWO"/>
    <s v="20016107"/>
    <s v="Kalpesh Thathagar"/>
    <s v="No"/>
    <s v="santoshg.kannoujia@amns.in"/>
    <s v="9879102378"/>
    <s v="22135"/>
    <s v="Dhruv Vyas"/>
    <s v="Anil Matoo"/>
    <s v="Praveen Kuruvalli"/>
    <s v="Dhruv Vyas"/>
    <n v="0"/>
  </r>
  <r>
    <n v="709"/>
    <n v="20005829"/>
    <s v="Subrata Banerjee"/>
    <s v="AM/NS India"/>
    <s v="Onroll"/>
    <s v="M-7"/>
    <n v="7"/>
    <m/>
    <s v="MM"/>
    <s v="M"/>
    <s v="Odisha"/>
    <n v="2"/>
    <s v="2012"/>
    <x v="7"/>
    <s v="34.01"/>
    <s v="Ambrish Chaturvedi"/>
    <s v="Hrishikesh Kamat"/>
    <n v="7"/>
    <s v="Procurement"/>
    <s v="Stores &amp; Warehouse"/>
    <s v="34"/>
    <s v="Department Head - Stores"/>
    <m/>
    <s v="Stores &amp; Warehouse"/>
    <s v="Stores"/>
    <s v="Stores"/>
    <s v="Non Technical Support"/>
    <s v="Commercial"/>
    <s v="Stores &amp; Warehouse"/>
    <s v="73806001"/>
    <s v="Stores &amp; Warehouse"/>
    <s v="Dabuna"/>
    <d v="1972-09-25T00:00:00"/>
    <s v="50.11"/>
    <d v="2006-05-01T00:00:00"/>
    <d v="2030-09-30T00:00:00"/>
    <m/>
    <d v="2030-09-30T00:00:00"/>
    <n v="2567"/>
    <s v="O-"/>
    <s v="BSc Engg-2008 , PG Diploma-2008 , Interm"/>
    <s v="12.00"/>
    <s v="17.04"/>
    <s v="29.04"/>
    <s v="70493265"/>
    <s v="Production"/>
    <s v="70395941"/>
    <s v="Department Head - Stores"/>
    <s v="Odisha"/>
    <s v="0022010019"/>
    <s v="DBN-Benf-HR/Admin"/>
    <s v="2000STORIS"/>
    <s v="20053014"/>
    <s v="Bhawesh Jha"/>
    <s v="No"/>
    <s v="subrata.banerjee@amns.in"/>
    <s v="9437573779"/>
    <s v="21159"/>
    <s v="Sunila Das"/>
    <s v="Anil Matoo"/>
    <s v="Praveen Kuruvalli"/>
    <s v="Sunila Das"/>
    <n v="0"/>
  </r>
  <r>
    <n v="727"/>
    <n v="20006023"/>
    <s v="Kavishwar Goral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enior Manager"/>
    <m/>
    <s v="Technical Marketing &amp; Application Engineering"/>
    <s v="Technical Marketing &amp; Application Engineering"/>
    <s v="Plate Finishing"/>
    <s v="Non Technical Support"/>
    <s v="Operations"/>
    <s v="Plant Operations"/>
    <s v="72103003"/>
    <s v="Plant Operations"/>
    <s v="Hazira"/>
    <d v="1981-12-08T00:00:00"/>
    <s v="41.09"/>
    <d v="2006-05-22T00:00:00"/>
    <d v="2039-12-31T00:00:00"/>
    <m/>
    <d v="2039-12-31T00:00:00"/>
    <n v="5946"/>
    <s v="AB-"/>
    <s v="BE-2005"/>
    <s v="00.09"/>
    <s v="17.03"/>
    <s v="18.00"/>
    <s v="00052467"/>
    <s v="Plate"/>
    <s v="70258876"/>
    <s v="Sr. Lead – Plate Products"/>
    <s v="Hazira"/>
    <s v="0031950057"/>
    <s v="HZ-HRC - Marketing"/>
    <s v="2000HWO"/>
    <s v="20055985"/>
    <s v="Dilip Chandra Gelli"/>
    <s v="No"/>
    <s v="kavishwar.gorale@amns.in"/>
    <s v="9909901510"/>
    <s v="21834"/>
    <s v="Dhruv Vyas"/>
    <s v="Anil Matoo"/>
    <s v="Praveen Kuruvalli"/>
    <s v="Dhruv Vyas"/>
    <n v="0"/>
  </r>
  <r>
    <n v="733"/>
    <n v="20006188"/>
    <s v="Sachin Toshniwal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- Treasury &amp; Investments"/>
    <m/>
    <s v="Taxation"/>
    <s v="In Direct - Taxation"/>
    <s v="Indirect Taxation"/>
    <s v="Non Technical Support"/>
    <s v="Finance &amp; Accounts"/>
    <s v="Treasury"/>
    <s v="73903001"/>
    <s v="Treasury"/>
    <s v="Mumbai"/>
    <d v="1977-10-23T00:00:00"/>
    <s v="45.10"/>
    <d v="2006-06-07T00:00:00"/>
    <d v="2035-10-31T00:00:00"/>
    <m/>
    <d v="2035-10-31T00:00:00"/>
    <n v="4424"/>
    <s v="O-"/>
    <s v="MBA-1999 , BCom-1999"/>
    <s v="06.08"/>
    <s v="17.03"/>
    <s v="23.11"/>
    <s v="70447071"/>
    <s v="Insurance &amp; Financial Risk"/>
    <s v="70258948"/>
    <s v="Lead - Treasury &amp; Investments"/>
    <s v="Corporate"/>
    <s v="0090000028"/>
    <s v="Corporate Steel - Wo"/>
    <s v="2000CS"/>
    <s v="20017504"/>
    <s v="Appi Reddy Guttikonda"/>
    <s v="No"/>
    <s v="sachin.toshniwal@amns.in"/>
    <s v="9819731528"/>
    <s v="24557"/>
    <s v="Dhruv Vyas"/>
    <s v="Anil Matoo"/>
    <s v="Praveen Kuruvalli"/>
    <s v="Dhruv Vyas"/>
    <n v="0"/>
  </r>
  <r>
    <n v="734"/>
    <n v="20006196"/>
    <s v="Tejashree Sathe"/>
    <s v="AM/NS India"/>
    <s v="Onroll"/>
    <s v="M-7"/>
    <n v="7"/>
    <m/>
    <s v="M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Other West"/>
    <s v="OEM"/>
    <s v=""/>
    <s v="Non Technical Support"/>
    <s v="Sales &amp; Marketing"/>
    <s v="Sales"/>
    <s v="73104004"/>
    <s v="OEM Sales"/>
    <s v="Pune"/>
    <d v="1981-05-23T00:00:00"/>
    <s v="42.03"/>
    <d v="2006-06-19T00:00:00"/>
    <d v="2039-05-31T00:00:00"/>
    <m/>
    <d v="2039-05-31T00:00:00"/>
    <n v="5732"/>
    <s v="A-"/>
    <s v="BTech-2007 , MBA-2007"/>
    <s v="02.04"/>
    <s v="17.03"/>
    <s v="19.07"/>
    <s v="70495309"/>
    <s v="Sales West Zone"/>
    <s v="70334311"/>
    <s v="KAM - OEM Sales"/>
    <s v="Hazira"/>
    <s v="0031950057"/>
    <s v="HZ-HRC - Marketing"/>
    <s v="2000HWO"/>
    <s v="20047683"/>
    <s v="Virat Vij"/>
    <s v="No"/>
    <s v="tejashree.sathe@amns.in"/>
    <s v="9923201806"/>
    <s v="23952"/>
    <s v="Dhruv Vyas"/>
    <s v="Anil Matoo"/>
    <s v="Praveen Kuruvalli"/>
    <s v="Dhruv Vyas"/>
    <n v="0"/>
  </r>
  <r>
    <n v="736"/>
    <n v="20006236"/>
    <s v="Sanjay Vaid"/>
    <s v="AM/NS India"/>
    <s v="Onroll"/>
    <s v="M-4"/>
    <n v="4"/>
    <m/>
    <s v="S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Head - HyperMart"/>
    <m/>
    <s v="Hypermart"/>
    <s v="Hypermart"/>
    <s v=""/>
    <s v="Non Technical Support"/>
    <s v="Sales &amp; Marketing"/>
    <s v="Sales"/>
    <s v="73104004"/>
    <s v="OEM Sales"/>
    <s v="Pune"/>
    <d v="1970-05-06T00:00:00"/>
    <s v="53.04"/>
    <d v="2006-07-03T00:00:00"/>
    <d v="2028-05-31T00:00:00"/>
    <m/>
    <d v="2028-05-31T00:00:00"/>
    <n v="1715"/>
    <s v="B-"/>
    <s v="BE-1997 , MBA-1997"/>
    <s v="09.00"/>
    <s v="17.02"/>
    <s v="26.02"/>
    <s v="72150154"/>
    <s v="HyperMart"/>
    <s v="70334316"/>
    <s v="Head - Hypermart"/>
    <s v="Hypermart"/>
    <s v="0060100004"/>
    <s v="HMART-HR/Admin Expen"/>
    <s v="2000SRET"/>
    <s v="20007104"/>
    <s v="Ranjan Dhar"/>
    <s v="No"/>
    <s v="sanjay.vaid@amns.in"/>
    <s v="9923200840"/>
    <s v="24623"/>
    <s v="Dhruv Vyas"/>
    <s v="Anil Matoo"/>
    <s v="Praveen Kuruvalli"/>
    <s v="Dhruv Vyas"/>
    <n v="0"/>
  </r>
  <r>
    <n v="738"/>
    <n v="20006246"/>
    <s v="Deven Sadadiwal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75-01-18T00:00:00"/>
    <s v="48.08"/>
    <d v="2006-07-01T00:00:00"/>
    <d v="2033-01-31T00:00:00"/>
    <m/>
    <d v="2033-01-31T00:00:00"/>
    <n v="3421"/>
    <s v="AB-"/>
    <s v="MBA-1999"/>
    <s v="06.10"/>
    <s v="17.02"/>
    <s v="24.01"/>
    <s v="70491113"/>
    <s v="Indirect Taxation - 1"/>
    <s v="70320434"/>
    <s v="Sr. lead - Customs"/>
    <s v="Hazira"/>
    <s v="0031950044"/>
    <s v="HZ-Commercial Taxati"/>
    <s v="2000HWO"/>
    <s v="20047664"/>
    <s v="Devang Desai"/>
    <s v="No"/>
    <s v="deven.sadadiwala@amns.in"/>
    <s v="9909901638"/>
    <s v="23827"/>
    <s v="Dhruv Vyas"/>
    <s v="Anil Matoo"/>
    <s v="Praveen Kuruvalli"/>
    <s v="Dhruv Vyas"/>
    <n v="0"/>
  </r>
  <r>
    <n v="756"/>
    <n v="20006499"/>
    <s v="Jaikishan Sharma"/>
    <s v="AM/NS India"/>
    <s v="Onroll"/>
    <s v="M-4"/>
    <n v="4"/>
    <m/>
    <s v="SM"/>
    <s v="M"/>
    <s v="Odisha"/>
    <n v="2"/>
    <s v="2095"/>
    <x v="4"/>
    <n v="36.01"/>
    <s v="Deepak Sindkar"/>
    <s v="Hrishikesh Kamat"/>
    <n v="7"/>
    <s v="Procurement"/>
    <s v="Raw Materials"/>
    <s v="36"/>
    <s v="Dep. Head - Logistics &amp; Tailing Mgmt."/>
    <m/>
    <s v="Bulk Raw Materials"/>
    <s v="Logistics &amp; Tailing Management"/>
    <s v="Logistics"/>
    <s v="Non Technical Support"/>
    <s v="Commercial"/>
    <s v="Procurement"/>
    <s v="73803001"/>
    <s v="Procurement"/>
    <s v="Dabuna"/>
    <d v="1962-04-10T00:00:00"/>
    <s v="61.05"/>
    <d v="2006-07-15T00:00:00"/>
    <d v="2020-04-30T00:00:00"/>
    <d v="2024-03-31T00:00:00"/>
    <d v="2024-03-31T00:00:00"/>
    <n v="193"/>
    <s v="A-"/>
    <s v="BA-1994 , PG Diploma in Management-1994"/>
    <s v="21.02"/>
    <s v="17.02"/>
    <s v="38.04"/>
    <s v="70318846"/>
    <s v="Logistics &amp; Tailing Management"/>
    <s v="70308224"/>
    <s v="Dep. Head - Logistics &amp; Tailing Mgmt."/>
    <s v="Odisha"/>
    <s v="0022010019"/>
    <s v="DBN-Benf-HR/Admin"/>
    <s v="2000STORIS"/>
    <s v="20055574"/>
    <s v="Suresha G"/>
    <s v="No"/>
    <s v="jaikishan.sharma@amns.in"/>
    <s v="9437481206"/>
    <s v="24100"/>
    <s v="Sunila Das"/>
    <s v="Anil Matoo"/>
    <s v="Praveen Kuruvalli"/>
    <s v="Sunila Das"/>
    <n v="0"/>
  </r>
  <r>
    <n v="760"/>
    <n v="20006536"/>
    <s v="Mahesh Salunke"/>
    <s v="AM/NS India"/>
    <s v="Onroll"/>
    <s v="M-4"/>
    <n v="4"/>
    <m/>
    <s v="SM"/>
    <s v="M"/>
    <s v="Pune Facility"/>
    <n v="4"/>
    <s v="2043"/>
    <x v="3"/>
    <s v="31.01"/>
    <s v="Hrishikesh Kamat"/>
    <s v="Hrishikesh Kamat"/>
    <n v="7"/>
    <s v="Procurement"/>
    <s v="Procurement"/>
    <s v="31"/>
    <s v="Head – Procurement Pune"/>
    <m/>
    <s v="Procurement"/>
    <s v="Procurement"/>
    <s v="Procurement"/>
    <s v="Non Technical Support"/>
    <s v="Commercial"/>
    <s v="Procurement"/>
    <s v="73803001"/>
    <s v="Procurement"/>
    <s v="Pune AMNS"/>
    <d v="1971-11-08T00:00:00"/>
    <s v="51.10"/>
    <d v="2006-07-10T00:00:00"/>
    <d v="2029-11-30T00:00:00"/>
    <m/>
    <d v="2029-11-30T00:00:00"/>
    <n v="2263"/>
    <s v="B-"/>
    <s v="BE-1993"/>
    <s v="12.10"/>
    <s v="17.02"/>
    <s v="30.00"/>
    <s v="73800002"/>
    <s v="Procurement - Pune Asset"/>
    <s v="70386091"/>
    <s v="Head – Procurement Pune"/>
    <s v="Pune Facility"/>
    <s v="0035950041"/>
    <s v="Pune-Procurement"/>
    <s v="2000ESPF"/>
    <s v="20055090"/>
    <s v="Hrishikesh Kamat"/>
    <s v="No"/>
    <s v="mahesh.salunke@amns.in"/>
    <s v="9158895146"/>
    <s v="23891"/>
    <s v="Dhruv Vyas"/>
    <s v="Anil Matoo"/>
    <s v="Praveen Kuruvalli"/>
    <s v="Dhruv Vyas"/>
    <n v="0"/>
  </r>
  <r>
    <n v="777"/>
    <n v="20006785"/>
    <s v="Sunil Patil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ales Manager Defence"/>
    <m/>
    <s v="Plate"/>
    <s v="Plate"/>
    <s v="Strategic Sales &amp; Branding"/>
    <s v="Non Technical Support"/>
    <s v="Assurance &amp; Cost Control"/>
    <s v="Assurance &amp; Cost Control"/>
    <s v="73401001"/>
    <s v="Assurance &amp; Cost Control"/>
    <s v="Mumbai"/>
    <d v="1983-09-20T00:00:00"/>
    <s v="40.00"/>
    <d v="2006-07-10T00:00:00"/>
    <d v="2041-09-30T00:00:00"/>
    <m/>
    <d v="2041-09-30T00:00:00"/>
    <n v="6585"/>
    <s v="B-"/>
    <s v="BE-2015 , Master's Equivalent-2006 , MTe"/>
    <s v=""/>
    <s v="17.02"/>
    <s v="17.02"/>
    <s v="70410953"/>
    <s v="Plate Sales - Gujarat"/>
    <s v="70289843"/>
    <s v="Sales Manager Defence"/>
    <s v="Corporate"/>
    <s v="0080000005"/>
    <s v="Global Markets Team"/>
    <s v="2000CS"/>
    <s v="20003623"/>
    <s v="Soumyadeep Datta"/>
    <s v="No"/>
    <s v="sunil.patil@amns.in"/>
    <s v="9930135384"/>
    <s v="23457"/>
    <s v="Dhruv Vyas"/>
    <s v="Anil Matoo"/>
    <s v="Praveen Kuruvalli"/>
    <s v="Dhruv Vyas"/>
    <n v="0"/>
  </r>
  <r>
    <n v="778"/>
    <n v="20006819"/>
    <s v="Prafulla Kumar Mohanty"/>
    <s v="AM/NS India"/>
    <s v="Onroll"/>
    <s v="M-4"/>
    <n v="4"/>
    <m/>
    <s v="SM"/>
    <s v="M"/>
    <s v="Odisha"/>
    <n v="2"/>
    <s v="2039"/>
    <x v="12"/>
    <s v="43.01"/>
    <s v="Sangeeta Munjal"/>
    <s v="Manu Kapoor"/>
    <n v="10"/>
    <s v="Corporate Affairs"/>
    <s v="Corporate Affairs"/>
    <s v="43"/>
    <s v="Head - Land Paradeep"/>
    <m/>
    <s v="Land Acquisition"/>
    <s v="Corporate Affairs"/>
    <s v="Corporate Affairs"/>
    <s v="Non Technical Support"/>
    <s v="Human Resources Management"/>
    <s v="Human Resources Management"/>
    <s v="73501002"/>
    <s v="Human Resources Operation"/>
    <s v="Paradeep"/>
    <d v="1971-11-22T00:00:00"/>
    <s v="51.09"/>
    <d v="2006-08-01T00:00:00"/>
    <d v="2029-11-30T00:00:00"/>
    <m/>
    <d v="2029-11-30T00:00:00"/>
    <n v="2263"/>
    <s v="O-"/>
    <s v="Master's Equivalent-1998 , LLB-1998 , MA"/>
    <s v="11.10"/>
    <s v="17.01"/>
    <s v="29.00"/>
    <s v="00052871"/>
    <s v="Land Acquisition and R&amp;R"/>
    <s v="70257475"/>
    <s v="Head – Land Acquisition and R&amp;R"/>
    <s v="Odisha"/>
    <s v="0022030019"/>
    <s v="PDP-HR &amp; Admn"/>
    <s v="2000STORIS"/>
    <s v="20033424"/>
    <s v="Rajiv Bhatnagar"/>
    <s v="No"/>
    <s v="prafullakumar.mohanty@amns.in"/>
    <s v="7381007005"/>
    <s v="22687"/>
    <s v="Sunila Das"/>
    <s v="Anil Matoo"/>
    <s v="Praveen Kuruvalli"/>
    <s v="Sunila Das"/>
    <n v="0"/>
  </r>
  <r>
    <n v="779"/>
    <n v="20006833"/>
    <s v="Hardik Vasavada"/>
    <s v="AM/NS India"/>
    <s v="Onroll"/>
    <s v="M-5"/>
    <n v="5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- Internal Control"/>
    <m/>
    <s v="Internal Control &amp; SOX"/>
    <s v="Internal Control &amp; SOX"/>
    <s v="Finance &amp; Accounts"/>
    <s v="Non Technical Support"/>
    <s v="Finance &amp; Accounts"/>
    <s v="Costing"/>
    <s v="73906001"/>
    <s v="Costing"/>
    <s v="AM/NS Hazira"/>
    <d v="1980-02-29T00:00:00"/>
    <s v="43.06"/>
    <d v="2006-08-04T00:00:00"/>
    <d v="2038-02-28T00:00:00"/>
    <m/>
    <d v="2038-02-28T00:00:00"/>
    <n v="5275"/>
    <s v="O-"/>
    <s v="CA Final-2005"/>
    <s v="01.01"/>
    <s v="17.01"/>
    <s v="18.02"/>
    <s v="00049304"/>
    <s v="PM - Internal Control"/>
    <s v="70258329"/>
    <s v="Lead - Internal Control"/>
    <s v="Corporate"/>
    <s v="0031950043"/>
    <s v="HZ-Performance Manag"/>
    <s v="2000CS"/>
    <s v="20003280"/>
    <s v="Chetan Jansari"/>
    <s v="No"/>
    <s v="hardik.vasavada@amns.in"/>
    <s v="9879102207"/>
    <s v="24649"/>
    <s v="Dhruv Vyas"/>
    <s v="Anil Matoo"/>
    <s v="Praveen Kuruvalli"/>
    <s v="Dhruv Vyas"/>
    <n v="0"/>
  </r>
  <r>
    <n v="780"/>
    <n v="20006862"/>
    <s v="D Niranjan Patro"/>
    <s v="AM/NS India"/>
    <s v="Onroll"/>
    <s v="M-5"/>
    <n v="5"/>
    <m/>
    <s v="MM"/>
    <s v="M"/>
    <s v="Vizag"/>
    <n v="3"/>
    <s v="2013"/>
    <x v="0"/>
    <s v="20.01"/>
    <s v="Akiyo Omori"/>
    <s v="Amit Harlalka"/>
    <n v="5"/>
    <s v="Finance &amp; Accounts"/>
    <s v="Finance &amp; Accounts"/>
    <s v="20"/>
    <s v="Section Head-Costing, Budgeting &amp; IDT"/>
    <m/>
    <s v="Finance &amp; Accounts - Vizag"/>
    <s v="Finance &amp; Accounts"/>
    <s v="Costing, Budgeting, IDT &amp; Insurance"/>
    <s v="Non Technical Support"/>
    <s v="Finance &amp; Accounts"/>
    <s v="Finance &amp; Accounts"/>
    <s v="73901001"/>
    <s v="Finance &amp; Accounts"/>
    <s v="Vizag"/>
    <d v="1968-03-24T00:00:00"/>
    <s v="55.05"/>
    <d v="2006-08-18T00:00:00"/>
    <d v="2026-03-31T00:00:00"/>
    <m/>
    <d v="2026-03-31T00:00:00"/>
    <n v="923"/>
    <s v="O-"/>
    <s v="MBA-2012 , Certificate-2012"/>
    <s v="14.07"/>
    <s v="17.01"/>
    <s v="31.08"/>
    <s v="70413458"/>
    <s v="Costing, Budgeting &amp; IDT"/>
    <s v="70402768"/>
    <s v="Section Head-Costing, Budgeting &amp; IDT"/>
    <s v="Vizag"/>
    <s v="0028030019"/>
    <s v="VIZ-Personnel &amp; Admi"/>
    <s v="2000VIZOPS"/>
    <s v="20001003"/>
    <s v="Patnana Muralidhara Rao"/>
    <s v="No"/>
    <s v="niranjan.patro@amns.in"/>
    <s v="9885108061"/>
    <s v="23476"/>
    <s v="DS Varma"/>
    <s v="Anil Matoo"/>
    <s v="Praveen Kuruvalli"/>
    <s v="Dhruv Vyas"/>
    <n v="0"/>
  </r>
  <r>
    <n v="781"/>
    <n v="20006916"/>
    <s v="Mir Ali Martaj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s &amp; Unloading"/>
    <m/>
    <s v="Stores &amp; Warehouse"/>
    <s v="Stores &amp; Warehouse"/>
    <s v="Receipt &amp; Unloading"/>
    <s v="Non Technical Support"/>
    <s v="Commercial"/>
    <s v="Stores &amp; Warehouse"/>
    <s v="73806001"/>
    <s v="Stores &amp; Warehouse"/>
    <s v="Hazira"/>
    <d v="1967-02-08T00:00:00"/>
    <s v="56.07"/>
    <d v="2006-08-01T00:00:00"/>
    <d v="2025-02-28T00:00:00"/>
    <m/>
    <d v="2025-02-28T00:00:00"/>
    <n v="527"/>
    <s v="O+"/>
    <s v="BA-1992"/>
    <s v="21.04"/>
    <s v="17.01"/>
    <s v="38.05"/>
    <s v="00053279"/>
    <s v="Receipts &amp; Unloading - Plant A"/>
    <s v="70259110"/>
    <s v="Section Officer - Receipts &amp; Unloading"/>
    <s v="Hazira"/>
    <s v="0031950049"/>
    <s v="HZ-Central Stores"/>
    <s v="2000HWO"/>
    <s v="20001164"/>
    <s v="Snehal Anjaria"/>
    <s v="No"/>
    <s v="mir.ali@amns.in"/>
    <s v="9909901791"/>
    <s v="21064"/>
    <s v="Dhruv Vyas"/>
    <s v="Anil Matoo"/>
    <s v="Praveen Kuruvalli"/>
    <s v="Dhruv Vyas"/>
    <n v="0"/>
  </r>
  <r>
    <n v="785"/>
    <n v="20007008"/>
    <s v="Pradeep Kumar Sharm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– STC Plate Mill"/>
    <m/>
    <s v="Working Capital"/>
    <s v="Accounts Receivable"/>
    <s v="STC Platemill"/>
    <s v="Non Technical Support"/>
    <s v="Finance &amp; Accounts"/>
    <s v="Finance &amp; Accounts"/>
    <s v="73901001"/>
    <s v="Finance &amp; Accounts"/>
    <s v="Hazira"/>
    <d v="1968-03-03T00:00:00"/>
    <s v="55.06"/>
    <d v="2006-08-25T00:00:00"/>
    <d v="2026-03-31T00:00:00"/>
    <m/>
    <d v="2026-03-31T00:00:00"/>
    <n v="923"/>
    <s v="O-"/>
    <s v="MBA-2012 , BCom-2012 , BCom-1988"/>
    <s v="17.03"/>
    <s v="17.00"/>
    <s v="34.03"/>
    <s v="72150286"/>
    <s v="Accounts Receivables &amp; Export Banking"/>
    <s v="70258462"/>
    <s v="DGM – Finance &amp; Account"/>
    <s v="Hazira"/>
    <s v="0031950045"/>
    <s v="HZ-Works Accounts-Ha"/>
    <s v="2000HWO"/>
    <s v="20007731"/>
    <s v="Ashish Mehta"/>
    <s v="No"/>
    <s v="pradeep.sharma@amns.in"/>
    <s v="9643897060"/>
    <s v="24107"/>
    <s v="Dhruv Vyas"/>
    <s v="Anil Matoo"/>
    <s v="Praveen Kuruvalli"/>
    <s v="Dhruv Vyas"/>
    <n v="0"/>
  </r>
  <r>
    <n v="788"/>
    <n v="20007067"/>
    <s v="Gaurav Bhandari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Section Head-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77-08-28T00:00:00"/>
    <s v="46.00"/>
    <d v="2006-08-31T00:00:00"/>
    <d v="2035-08-31T00:00:00"/>
    <m/>
    <d v="2035-08-31T00:00:00"/>
    <n v="4363"/>
    <s v="O-"/>
    <s v="CS-2002 , CA Final-2002"/>
    <s v="03.04"/>
    <s v="17.00"/>
    <s v="20.04"/>
    <s v="70074192"/>
    <s v="Corporate Accounts"/>
    <s v="70386071"/>
    <s v="Section Head-Corporate Accounts &amp; Audit"/>
    <s v="Hazira"/>
    <s v="0090000027"/>
    <s v="Corporate Steel - Ac"/>
    <s v="2000HWO"/>
    <s v="20000679"/>
    <s v="Dinesh Mangal"/>
    <s v="No"/>
    <s v="gaurav.bhandari@amns.in"/>
    <s v="9879100810"/>
    <s v="21218"/>
    <s v="Dhruv Vyas"/>
    <s v="Anil Matoo"/>
    <s v="Praveen Kuruvalli"/>
    <s v="Dhruv Vyas"/>
    <n v="0"/>
  </r>
  <r>
    <n v="790"/>
    <n v="20007104"/>
    <s v="Ranjan Dhar"/>
    <s v="AM/NS India"/>
    <s v="Onroll"/>
    <s v="M-2"/>
    <n v="2"/>
    <m/>
    <s v="TM"/>
    <s v="M"/>
    <s v="Hazira"/>
    <n v="1"/>
    <s v="2031"/>
    <x v="10"/>
    <s v="14.01"/>
    <s v="Alain Legrix De La Salle"/>
    <s v="Alain Legrix De La Salle"/>
    <n v="3"/>
    <s v="Sales &amp; Marketing"/>
    <s v="Sales &amp; Marketing"/>
    <s v="14"/>
    <s v="Chief Marketing Officer"/>
    <m/>
    <s v="Sales &amp; Marketing"/>
    <s v="CMO Office"/>
    <s v=""/>
    <s v="Non Technical Support"/>
    <s v="Sales &amp; Marketing"/>
    <s v="Sales &amp; Marketing"/>
    <s v="73101001"/>
    <s v="Sales &amp; Marketing"/>
    <s v="Mumbai"/>
    <d v="1973-10-03T00:00:00"/>
    <s v="49.11"/>
    <d v="2006-09-05T00:00:00"/>
    <d v="2033-10-31T00:00:00"/>
    <m/>
    <d v="2033-10-31T00:00:00"/>
    <n v="3694"/>
    <s v="B-"/>
    <s v="Certificate-2004 , BTech-2004 , Certific"/>
    <s v="06.03"/>
    <s v="17.00"/>
    <s v="23.03"/>
    <s v="70139950"/>
    <s v="Sales &amp; Marketing"/>
    <s v="70413461"/>
    <s v="Chief Marketing Officer"/>
    <s v="Confidential Payroll"/>
    <s v="0080000001"/>
    <s v="Head-Marketing"/>
    <s v="2000HWO"/>
    <s v="20055084"/>
    <s v="Alain Legrix De La Salle"/>
    <s v="No"/>
    <s v="ranjan.dhar@amns.in"/>
    <s v="9819731543"/>
    <s v="21649"/>
    <s v="Dhruv Vyas"/>
    <s v="Anil Matoo"/>
    <s v="Praveen Kuruvalli"/>
    <s v="Dhruv Vyas"/>
    <n v="0"/>
  </r>
  <r>
    <n v="815"/>
    <n v="20007322"/>
    <s v="Sanjay Bohr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Automotive Sales"/>
    <m/>
    <s v="North"/>
    <s v="Hypermart"/>
    <s v=""/>
    <s v="Non Technical Support"/>
    <s v="Sales &amp; Marketing"/>
    <s v="Marketing"/>
    <s v="73102001"/>
    <s v="Marketing"/>
    <s v="Faridabad"/>
    <d v="1973-03-15T00:00:00"/>
    <s v="50.06"/>
    <d v="2006-09-18T00:00:00"/>
    <d v="2031-03-31T00:00:00"/>
    <m/>
    <d v="2031-03-31T00:00:00"/>
    <n v="2749"/>
    <s v="B-"/>
    <s v="Diploma-1990 , Diploma-1990"/>
    <s v="15.09"/>
    <s v="17.00"/>
    <s v="32.08"/>
    <s v="00052526"/>
    <s v="Sales - North"/>
    <s v="70258465"/>
    <s v="KAM - Automotive Sales"/>
    <s v="Hazira"/>
    <s v="0060120100"/>
    <s v="HMART-North Zone"/>
    <s v="2000HWO"/>
    <s v="20002920"/>
    <s v="Sudhir Sharma"/>
    <s v="No"/>
    <s v="sanjay.bohra@amns.in"/>
    <s v="9899257110"/>
    <s v="21308"/>
    <s v="Dhruv Vyas"/>
    <s v="Anil Matoo"/>
    <s v="Praveen Kuruvalli"/>
    <s v="Dhruv Vyas"/>
    <n v="0"/>
  </r>
  <r>
    <n v="830"/>
    <n v="20007414"/>
    <s v="Gaurav Sharm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Sales – Pipe Products"/>
    <m/>
    <s v="Pipe"/>
    <s v="Pipe"/>
    <s v=""/>
    <s v="Non Technical Support"/>
    <s v="Sales &amp; Marketing"/>
    <s v="Sales &amp; Marketing"/>
    <s v="73101001"/>
    <s v="Sales &amp; Marketing"/>
    <s v="Noida"/>
    <d v="1979-08-14T00:00:00"/>
    <s v="44.01"/>
    <d v="2006-09-11T00:00:00"/>
    <d v="2037-08-31T00:00:00"/>
    <m/>
    <d v="2037-08-31T00:00:00"/>
    <n v="5094"/>
    <s v="B-"/>
    <s v="BE-2010 , PG Diploma in Management-2010"/>
    <s v="03.09"/>
    <s v="17.00"/>
    <s v="20.09"/>
    <s v="70387159"/>
    <s v="Pipe Sales"/>
    <s v="70258291"/>
    <s v="Head Sales – Pipe Products"/>
    <s v="Hazira"/>
    <s v="0031591982"/>
    <s v="PM-Marketing"/>
    <s v="2000HWO"/>
    <s v="20007104"/>
    <s v="Ranjan Dhar"/>
    <s v="No"/>
    <s v="gaurav.sharma1@amns.in"/>
    <s v="9654099920"/>
    <s v="24096"/>
    <s v="Dhruv Vyas"/>
    <s v="Anil Matoo"/>
    <s v="Praveen Kuruvalli"/>
    <s v="Dhruv Vyas"/>
    <n v="0"/>
  </r>
  <r>
    <n v="834"/>
    <n v="20007499"/>
    <s v="Sunil Mangoli"/>
    <s v="AM/NS India"/>
    <s v="Onroll"/>
    <s v="M-7"/>
    <n v="7"/>
    <m/>
    <s v="MM"/>
    <s v="M"/>
    <s v="Service Centers"/>
    <n v="6"/>
    <s v="2043"/>
    <x v="3"/>
    <s v="31.01"/>
    <s v="Hrishikesh Kamat"/>
    <s v="Hrishikesh Kamat"/>
    <n v="7"/>
    <s v="Procurement"/>
    <s v="Procurement"/>
    <s v="31"/>
    <s v="Lead - Procurement - Service Center"/>
    <m/>
    <s v="Procurement Service Centre"/>
    <s v="Procurement"/>
    <s v="Procurement"/>
    <s v="Non Technical Support"/>
    <s v="Commercial"/>
    <s v="Procurement"/>
    <s v="73803001"/>
    <s v="Procurement"/>
    <s v="Hazira"/>
    <d v="1976-06-08T00:00:00"/>
    <s v="47.03"/>
    <d v="2006-09-27T00:00:00"/>
    <d v="2034-06-30T00:00:00"/>
    <m/>
    <d v="2034-06-30T00:00:00"/>
    <n v="3936"/>
    <s v="B-"/>
    <s v="Diploma-1996"/>
    <s v="14.04"/>
    <s v="16.11"/>
    <s v="31.03"/>
    <s v="70413444"/>
    <s v="Purchase &amp; Contracts"/>
    <s v="72150636"/>
    <s v="Lead - Procurement - Service Center"/>
    <s v="Service Center"/>
    <s v="0040010019"/>
    <s v="SC-DSC-Common Cost"/>
    <s v="2000SPRJ"/>
    <s v="20052588"/>
    <s v="Govindraju Sampathirao"/>
    <s v="No"/>
    <s v="sunil.mangoli@amns.in"/>
    <s v="9923205755"/>
    <s v="22535"/>
    <s v="Dhruv Vyas"/>
    <s v="Anil Matoo"/>
    <s v="Praveen Kuruvalli"/>
    <s v="Dhruv Vyas"/>
    <n v="0"/>
  </r>
  <r>
    <n v="847"/>
    <n v="20007731"/>
    <s v="Ashish Mehta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-Accounts Receivables Export Banking"/>
    <m/>
    <s v="Working Capital"/>
    <s v="Accounts Receivable"/>
    <s v="Credit Control"/>
    <s v="Non Technical Support"/>
    <s v="Finance &amp; Accounts"/>
    <s v="Finance &amp; Accounts"/>
    <s v="73901004"/>
    <s v="Accounts Receivables"/>
    <s v="AM/NS Hazira"/>
    <d v="1977-07-30T00:00:00"/>
    <s v="46.01"/>
    <d v="2006-10-16T00:00:00"/>
    <d v="2035-07-31T00:00:00"/>
    <m/>
    <d v="2035-07-31T00:00:00"/>
    <n v="4332"/>
    <s v="B-"/>
    <s v="CA Final-2004"/>
    <s v="04.09"/>
    <s v="16.11"/>
    <s v="21.08"/>
    <s v="72150286"/>
    <s v="Accounts Receivables &amp; Export Banking"/>
    <s v="70227020"/>
    <s v="Head-Accounts Receivables Export Banking"/>
    <s v="Hazira"/>
    <s v="0031950045"/>
    <s v="HZ-Works Accounts-Ha"/>
    <s v="2000HWO"/>
    <s v="20055188"/>
    <s v="Rohit Sharma"/>
    <s v="No"/>
    <s v="ashish.mehta@amns.in"/>
    <s v="9879100614"/>
    <s v="22583"/>
    <s v="Dhruv Vyas"/>
    <s v="Anil Matoo"/>
    <s v="Praveen Kuruvalli"/>
    <s v="Dhruv Vyas"/>
    <n v="0"/>
  </r>
  <r>
    <n v="863"/>
    <n v="20008040"/>
    <s v="Rajesh Gupt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Gen.Mgr-Finance &amp; Acco"/>
    <m/>
    <s v="Sales Steering &amp; BD"/>
    <s v="Sales Audit"/>
    <s v=""/>
    <s v="Non Technical Support"/>
    <s v="Finance &amp; Accounts"/>
    <s v="Treasury"/>
    <s v="73903001"/>
    <s v="Treasury"/>
    <s v="Noida"/>
    <d v="1968-11-24T00:00:00"/>
    <s v="54.09"/>
    <d v="2006-11-06T00:00:00"/>
    <d v="2026-11-30T00:00:00"/>
    <m/>
    <d v="2026-11-30T00:00:00"/>
    <n v="1167"/>
    <s v="O-"/>
    <s v="PG Diploma in Management-1999 , MBA-1999"/>
    <s v="16.05"/>
    <s v="16.10"/>
    <s v="33.03"/>
    <s v="70277912"/>
    <s v="Plate Sales"/>
    <s v="70226691"/>
    <s v="Head Sales Audit &amp; Compliances"/>
    <s v="Hazira"/>
    <s v="0060100004"/>
    <s v="HMART-HR/Admin Expen"/>
    <s v="2000HWO"/>
    <s v="20010531"/>
    <s v="Saptarshi Saha"/>
    <s v="No"/>
    <s v="rajesh.gupta@amns.in"/>
    <s v="9811421542"/>
    <s v="21872"/>
    <s v="Dhruv Vyas"/>
    <s v="Anil Matoo"/>
    <s v="Praveen Kuruvalli"/>
    <s v="Dhruv Vyas"/>
    <n v="0"/>
  </r>
  <r>
    <n v="873"/>
    <n v="20008508"/>
    <s v="Satyajit Mohapatra"/>
    <s v="AM/NS India"/>
    <s v="Onroll"/>
    <s v="M-4"/>
    <n v="4"/>
    <m/>
    <s v="S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Head-Technical Mktg. &amp; Application Engg.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70-07-03T00:00:00"/>
    <s v="53.02"/>
    <d v="2006-12-18T00:00:00"/>
    <d v="2028-07-31T00:00:00"/>
    <m/>
    <d v="2028-07-31T00:00:00"/>
    <n v="1776"/>
    <s v="B-"/>
    <s v="Master's Equivalent-2006"/>
    <s v="12.00"/>
    <s v="16.09"/>
    <s v="28.08"/>
    <s v="70343197"/>
    <s v="Technical Mktg &amp; Application Engineering"/>
    <s v="70336265"/>
    <s v="Head-Technical Mktg. &amp; Application Engg."/>
    <s v="Hazira"/>
    <s v="0031950057"/>
    <s v="HZ-HRC - Marketing"/>
    <s v="2000HWO"/>
    <s v="20007104"/>
    <s v="Ranjan Dhar"/>
    <s v="No"/>
    <s v="satyajit.mohapatra@amns.in"/>
    <s v="9930134371"/>
    <s v="22699"/>
    <s v="Dhruv Vyas"/>
    <s v="Anil Matoo"/>
    <s v="Praveen Kuruvalli"/>
    <s v="Dhruv Vyas"/>
    <n v="0"/>
  </r>
  <r>
    <n v="880"/>
    <n v="20008647"/>
    <s v="Alpesh Hirpara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- Pro Refractory"/>
    <m/>
    <s v="Procurement MRO Hazira"/>
    <s v="Procurement"/>
    <s v="Consumables"/>
    <s v="Non Technical Support"/>
    <s v="Commercial"/>
    <s v="Procurement"/>
    <s v="73803001"/>
    <s v="Procurement"/>
    <s v="AM/NS Hazira"/>
    <d v="1983-09-25T00:00:00"/>
    <s v="39.11"/>
    <d v="2006-12-18T00:00:00"/>
    <d v="2041-09-30T00:00:00"/>
    <m/>
    <d v="2041-09-30T00:00:00"/>
    <n v="6585"/>
    <s v="O-"/>
    <s v="BE-2006"/>
    <s v=""/>
    <s v="16.09"/>
    <s v="16.09"/>
    <s v="00044543"/>
    <s v="Procurement -Refractory"/>
    <s v="70372367"/>
    <s v="Lead - Pro Refractory"/>
    <s v="Hazira"/>
    <s v="0031950048"/>
    <s v="HZ-Procurment Depart"/>
    <s v="2000HWO"/>
    <s v="20000201"/>
    <s v="Manish Bakriwala"/>
    <s v="No"/>
    <s v="alpesh.hirpara@amns.in"/>
    <s v="9925241335"/>
    <s v="21912"/>
    <s v="Dhruv Vyas"/>
    <s v="Anil Matoo"/>
    <s v="Praveen Kuruvalli"/>
    <s v="Dhruv Vyas"/>
    <n v="0"/>
  </r>
  <r>
    <n v="890"/>
    <n v="20008774"/>
    <s v="Ajay Somasundaran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r. Lead - Market Intelligence"/>
    <m/>
    <s v="Sales Steering &amp; BD"/>
    <s v="Market Intelligence"/>
    <s v="Pricing &amp; Strategy"/>
    <s v="Non Technical Support"/>
    <s v="Sales &amp; Marketing"/>
    <s v="Marketing"/>
    <s v="73102007"/>
    <s v="Pricing"/>
    <s v="Mumbai"/>
    <d v="1976-04-08T00:00:00"/>
    <s v="47.05"/>
    <d v="2007-01-15T00:00:00"/>
    <d v="2034-04-30T00:00:00"/>
    <m/>
    <d v="2034-04-30T00:00:00"/>
    <n v="3875"/>
    <s v="A-"/>
    <s v="MBA-2005"/>
    <s v="05.07"/>
    <s v="16.08"/>
    <s v="22.03"/>
    <s v="72150188"/>
    <s v="Market Intelligence &amp; Pricing"/>
    <s v="72150163"/>
    <s v="Head - Market Intelligence &amp; Pricing"/>
    <s v="Corporate"/>
    <s v="0080000001"/>
    <s v="Head-Marketing"/>
    <s v="2000CS"/>
    <s v="20010531"/>
    <s v="Saptarshi Saha"/>
    <s v="No"/>
    <s v="ajay.somasundaran@amns.in"/>
    <s v="9819731553"/>
    <s v="24323"/>
    <s v="Dhruv Vyas"/>
    <s v="Anil Matoo"/>
    <s v="Praveen Kuruvalli"/>
    <s v="Dhruv Vyas"/>
    <n v="0"/>
  </r>
  <r>
    <n v="896"/>
    <n v="20008966"/>
    <s v="Rajesh Katoch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Process Manager"/>
    <m/>
    <s v="Sales Steering &amp; BD"/>
    <s v="Digital Initiatives"/>
    <s v="West Zone"/>
    <s v="Non Technical Support"/>
    <s v="IT"/>
    <s v="IT"/>
    <s v="74901001"/>
    <s v="IT"/>
    <s v="Mumbai"/>
    <d v="1972-04-08T00:00:00"/>
    <s v="51.05"/>
    <d v="2007-01-22T00:00:00"/>
    <d v="2030-04-30T00:00:00"/>
    <m/>
    <d v="2030-04-30T00:00:00"/>
    <n v="2414"/>
    <s v="A-"/>
    <s v="BCom-1996"/>
    <s v="13.08"/>
    <s v="16.07"/>
    <s v="30.03"/>
    <s v="70462100"/>
    <s v="Digital Initiatives"/>
    <s v="70386465"/>
    <s v="Process Manager - Digitalization"/>
    <s v="Corporate"/>
    <s v="0060100003"/>
    <s v="HMART-IT/JDS Support"/>
    <s v="2000CS"/>
    <s v="20043383"/>
    <s v="Maneesh Moti"/>
    <s v="No"/>
    <s v="rajesh.katoch@amns.in"/>
    <s v="9819730698"/>
    <s v="22175"/>
    <s v="Dhruv Vyas"/>
    <s v="Anil Matoo"/>
    <s v="Praveen Kuruvalli"/>
    <s v="Dhruv Vyas"/>
    <n v="0"/>
  </r>
  <r>
    <n v="906"/>
    <n v="20009067"/>
    <s v="Neelesh Mishr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Business Leader Hypermart (West)"/>
    <m/>
    <s v="Hypermart"/>
    <s v="Hypermart"/>
    <s v=""/>
    <s v="Non Technical Support"/>
    <s v="Sales &amp; Marketing"/>
    <s v="Sales"/>
    <s v="73104003"/>
    <s v="Retail Sales"/>
    <s v="Mumbai"/>
    <d v="1975-12-23T00:00:00"/>
    <s v="47.08"/>
    <d v="2007-01-25T00:00:00"/>
    <d v="2033-12-31T00:00:00"/>
    <m/>
    <d v="2033-12-31T00:00:00"/>
    <n v="3755"/>
    <s v="B-"/>
    <s v="BCom-1996"/>
    <s v="06.06"/>
    <s v="16.07"/>
    <s v="23.01"/>
    <s v="70164330"/>
    <s v="HyperMart - West"/>
    <s v="70226631"/>
    <s v="Distribution Incharge - G'dham"/>
    <s v="Hazira"/>
    <s v="0031950057"/>
    <s v="HZ-HRC - Marketing"/>
    <s v="2000HWO"/>
    <s v="20006236"/>
    <s v="Sanjay Vaid"/>
    <s v="No"/>
    <s v="neelesh.mishra@amns.in"/>
    <s v="9819731556"/>
    <s v="22630"/>
    <s v="Dhruv Vyas"/>
    <s v="Anil Matoo"/>
    <s v="Praveen Kuruvalli"/>
    <s v="Dhruv Vyas"/>
    <n v="0"/>
  </r>
  <r>
    <n v="907"/>
    <n v="20009073"/>
    <s v="Hiral Bhatt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Rajkot"/>
    <d v="1982-09-14T00:00:00"/>
    <s v="41.00"/>
    <d v="2007-01-22T00:00:00"/>
    <d v="2040-09-30T00:00:00"/>
    <m/>
    <d v="2040-09-30T00:00:00"/>
    <n v="6220"/>
    <s v="A-"/>
    <s v="BBA-2004 , Certificate-2004"/>
    <s v="02.03"/>
    <s v="16.07"/>
    <s v="18.10"/>
    <s v="70394840"/>
    <s v="OEM Sales - Gujarat"/>
    <s v="70372455"/>
    <s v="Sales Manager - Hypermart"/>
    <s v="Hypermart"/>
    <s v="0060110300"/>
    <s v="HMART-Guj-Ahemedabad"/>
    <s v="2000SRET"/>
    <s v="20001736"/>
    <s v="Manoranjan Jagdhari"/>
    <s v="No"/>
    <s v="hiral.bhatt@amns.in"/>
    <s v="9909043001"/>
    <s v="21238"/>
    <s v="Dhruv Vyas"/>
    <s v="Anil Matoo"/>
    <s v="Praveen Kuruvalli"/>
    <s v="Dhruv Vyas"/>
    <n v="0"/>
  </r>
  <r>
    <n v="908"/>
    <n v="20009082"/>
    <s v="Ashutosh Misr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North"/>
    <s v="Hypermart"/>
    <s v="Nort Zone"/>
    <s v="Non Technical Support"/>
    <s v="Sales &amp; Marketing"/>
    <s v="Sales"/>
    <s v="73104003"/>
    <s v="Retail Sales"/>
    <s v="Jaipur"/>
    <d v="1977-09-28T00:00:00"/>
    <s v="45.11"/>
    <d v="2007-01-15T00:00:00"/>
    <d v="2035-09-30T00:00:00"/>
    <m/>
    <d v="2035-09-30T00:00:00"/>
    <n v="4393"/>
    <s v="A-"/>
    <s v="BA-1999 , Master's Equivalent-1999"/>
    <s v="03.03"/>
    <s v="16.08"/>
    <s v="19.11"/>
    <s v="00052526"/>
    <s v="Sales - North"/>
    <s v="70258923"/>
    <s v="Sales Manager - Hypermart"/>
    <s v="Hypermart"/>
    <s v="0060120300"/>
    <s v="HMART-Raj-Jaipur"/>
    <s v="2000SRET"/>
    <s v="20007322"/>
    <s v="Sanjay Bohra"/>
    <s v="No"/>
    <s v="ashutosh.misra@amns.in"/>
    <s v=""/>
    <s v="22639"/>
    <s v="Dhruv Vyas"/>
    <s v="Anil Matoo"/>
    <s v="Praveen Kuruvalli"/>
    <s v="Dhruv Vyas"/>
    <n v="0"/>
  </r>
  <r>
    <n v="923"/>
    <n v="20009190"/>
    <s v="Pradeep Gandikot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Hypermart"/>
    <s v="South Zone"/>
    <s v="Non Technical Support"/>
    <s v="Sales &amp; Marketing"/>
    <s v="Sales"/>
    <s v="73104003"/>
    <s v="Retail Sales"/>
    <s v="Hyderabad"/>
    <d v="1981-05-06T00:00:00"/>
    <s v="42.04"/>
    <d v="2007-02-19T00:00:00"/>
    <d v="2039-05-31T00:00:00"/>
    <m/>
    <d v="2039-05-31T00:00:00"/>
    <n v="5732"/>
    <s v="O-"/>
    <s v="MBA-2008"/>
    <s v="04.06"/>
    <s v="16.06"/>
    <s v="21.01"/>
    <s v="00048814"/>
    <s v="Sales South Zone – Hypermart"/>
    <s v="70403504"/>
    <s v="Sales Manager - Hypermart"/>
    <s v="Hypermart"/>
    <s v="0060140600"/>
    <s v="HMART-Tela-Secundrab"/>
    <s v="2000SRET"/>
    <s v="20056279"/>
    <s v="Arun G"/>
    <s v="No"/>
    <s v="pradeep.gandikota@amns.in"/>
    <s v="9866101615"/>
    <s v="21756"/>
    <s v="Dhruv Vyas"/>
    <s v="Anil Matoo"/>
    <s v="Praveen Kuruvalli"/>
    <s v="Dhruv Vyas"/>
    <n v="0"/>
  </r>
  <r>
    <n v="925"/>
    <n v="20009250"/>
    <s v="Bhagwati Gupt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Hypermart"/>
    <s v="Nort Zone"/>
    <s v="Non Technical Support"/>
    <s v="Sales &amp; Marketing"/>
    <s v="Sales"/>
    <s v="73104003"/>
    <s v="Retail Sales"/>
    <s v="Delhi"/>
    <d v="1974-01-01T00:00:00"/>
    <s v="49.08"/>
    <d v="2007-02-12T00:00:00"/>
    <d v="2031-12-31T00:00:00"/>
    <m/>
    <d v="2031-12-31T00:00:00"/>
    <n v="3024"/>
    <s v="B-"/>
    <s v="Certificate-2000 , MBA-2000 , BSc-1996"/>
    <s v="01.04"/>
    <s v="16.07"/>
    <s v="17.10"/>
    <s v="00052526"/>
    <s v="Sales - North"/>
    <s v="70320454"/>
    <s v="Sales Manager - Hypermart"/>
    <s v="Hypermart"/>
    <s v="0060120900"/>
    <s v="HMART-NCR-Faridabad"/>
    <s v="2000SRET"/>
    <s v="20007322"/>
    <s v="Sanjay Bohra"/>
    <s v="No"/>
    <s v="bhagwati.gupta@amns.in"/>
    <s v="9999015435"/>
    <s v="21860"/>
    <s v="Dhruv Vyas"/>
    <s v="Anil Matoo"/>
    <s v="Praveen Kuruvalli"/>
    <s v="Dhruv Vyas"/>
    <n v="0"/>
  </r>
  <r>
    <n v="933"/>
    <n v="20009438"/>
    <s v="Vidyadhar Bhise"/>
    <s v="AM/NS India"/>
    <s v="Onroll"/>
    <s v="M-8"/>
    <n v="8"/>
    <m/>
    <s v="JM"/>
    <s v="M"/>
    <s v="Hypermart"/>
    <n v="5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Human Resources"/>
    <s v="Human Resources"/>
    <s v="Non Technical Support"/>
    <s v="Human Resources Management"/>
    <s v="Human Resources Management"/>
    <s v="73501002"/>
    <s v="Human Resources Operation"/>
    <s v="Mumbai"/>
    <d v="1976-07-23T00:00:00"/>
    <s v="47.01"/>
    <d v="2007-03-01T00:00:00"/>
    <d v="2034-07-31T00:00:00"/>
    <m/>
    <d v="2034-07-31T00:00:00"/>
    <n v="3967"/>
    <s v="A-"/>
    <s v="BCom-2011 , PG Diploma in Management-201"/>
    <s v="06.09"/>
    <s v="16.06"/>
    <s v="23.03"/>
    <s v="00049721"/>
    <s v="Regional &amp; Corporate offices"/>
    <s v="70258919"/>
    <s v="Lead - Administration"/>
    <s v="Hypermart"/>
    <s v="0090000018"/>
    <s v="CORP Group - HR"/>
    <s v="2000SRET"/>
    <s v="20057888"/>
    <s v="Narinder Lamba"/>
    <s v="No"/>
    <s v="vidyadhar.bhise@amns.in"/>
    <s v="9819730498"/>
    <s v="21270"/>
    <s v="Dhruv Vyas"/>
    <s v="Anil Matoo"/>
    <s v="Praveen Kuruvalli"/>
    <s v="Dhruv Vyas"/>
    <n v="0"/>
  </r>
  <r>
    <n v="940"/>
    <n v="20009743"/>
    <s v="Rakesh Kuma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4"/>
    <s v="OEM Sales"/>
    <s v="Noida"/>
    <d v="1979-04-25T00:00:00"/>
    <s v="44.04"/>
    <d v="2007-03-30T00:00:00"/>
    <d v="2037-04-30T00:00:00"/>
    <m/>
    <d v="2037-04-30T00:00:00"/>
    <n v="4971"/>
    <s v="O-"/>
    <s v="BCom-2003"/>
    <s v="04.08"/>
    <s v="16.05"/>
    <s v="21.01"/>
    <s v="72150181"/>
    <s v="Sales North Zone"/>
    <s v="70334319"/>
    <s v="Sales Manager"/>
    <s v="Hazira"/>
    <s v="0031950057"/>
    <s v="HZ-HRC - Marketing"/>
    <s v="2000HWO"/>
    <s v="20002920"/>
    <s v="Sudhir Sharma"/>
    <s v="No"/>
    <s v="rakesh.kumar5@amns.in"/>
    <s v="9899789317"/>
    <s v="22355"/>
    <s v="Dhruv Vyas"/>
    <s v="Anil Matoo"/>
    <s v="Praveen Kuruvalli"/>
    <s v="Dhruv Vyas"/>
    <n v="0"/>
  </r>
  <r>
    <n v="941"/>
    <n v="20009749"/>
    <s v="Daksha Bhalodia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Lead - Accounts Payable"/>
    <m/>
    <s v="Working Capital"/>
    <s v="Hypermart"/>
    <s v="Hypermart"/>
    <s v="Non Technical Support"/>
    <s v="Finance &amp; Accounts"/>
    <s v="Finance &amp; Accounts"/>
    <s v="73901002"/>
    <s v="Corporate Accounts &amp; Audi"/>
    <s v="AM/NS Hazira"/>
    <d v="1971-07-23T00:00:00"/>
    <s v="52.01"/>
    <d v="2007-04-05T00:00:00"/>
    <d v="2029-07-31T00:00:00"/>
    <m/>
    <d v="2029-07-31T00:00:00"/>
    <n v="2141"/>
    <s v="B-"/>
    <s v="BCom-1992"/>
    <s v="03.08"/>
    <s v="16.05"/>
    <s v="20.01"/>
    <s v="00043794"/>
    <s v="Accounts Payable - 1"/>
    <s v="70259111"/>
    <s v="Lead - Accounts Payable"/>
    <s v="Hazira"/>
    <s v="0060100001"/>
    <s v="HMART-Finance &amp; Acco"/>
    <s v="2000SRET"/>
    <s v="20016107"/>
    <s v="Kalpesh Thathagar"/>
    <s v="No"/>
    <s v="daksha.bhalodia@amns.in"/>
    <s v="9879102011"/>
    <s v="21827"/>
    <s v="Dhruv Vyas"/>
    <s v="Anil Matoo"/>
    <s v="Praveen Kuruvalli"/>
    <s v="Dhruv Vyas"/>
    <n v="0"/>
  </r>
  <r>
    <n v="942"/>
    <n v="20009786"/>
    <s v="Rahul Deshpande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West Zone"/>
    <s v="Non Technical Support"/>
    <s v="Sales &amp; Marketing"/>
    <s v="Sales"/>
    <s v="73104003"/>
    <s v="Retail Sales"/>
    <s v="Pune"/>
    <d v="1977-11-22T00:00:00"/>
    <s v="45.09"/>
    <d v="2007-04-04T00:00:00"/>
    <d v="2035-11-30T00:00:00"/>
    <m/>
    <d v="2035-11-30T00:00:00"/>
    <n v="4454"/>
    <s v="B-"/>
    <s v="BCom-2002"/>
    <s v="13.01"/>
    <s v="16.05"/>
    <s v="29.06"/>
    <s v="00048138"/>
    <s v="Hypermart west"/>
    <s v="70258929"/>
    <s v="Sales Manager - Hypermart"/>
    <s v="Hypermart"/>
    <s v="0060110600"/>
    <s v="HMART-Mah-Taloja"/>
    <s v="2000SRET"/>
    <s v="20056847"/>
    <s v="Vikas Chotia"/>
    <s v="No"/>
    <s v="rahul.deshpande@amns.in"/>
    <s v="9819730702"/>
    <s v="21623"/>
    <s v="Dhruv Vyas"/>
    <s v="Anil Matoo"/>
    <s v="Praveen Kuruvalli"/>
    <s v="Dhruv Vyas"/>
    <n v="0"/>
  </r>
  <r>
    <n v="943"/>
    <n v="20009950"/>
    <s v="Bhavin Parekh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Ahmedabad"/>
    <d v="1980-01-15T00:00:00"/>
    <s v="43.08"/>
    <d v="2007-04-23T00:00:00"/>
    <d v="2038-01-31T00:00:00"/>
    <m/>
    <d v="2038-01-31T00:00:00"/>
    <n v="5247"/>
    <s v="O-"/>
    <s v="Diploma-2008 , BE-2008"/>
    <s v="02.09"/>
    <s v="16.04"/>
    <s v="19.02"/>
    <s v="70394840"/>
    <s v="OEM Sales - Gujarat"/>
    <s v="70319462"/>
    <s v="Sales Manager - Hypermart"/>
    <s v="Hypermart"/>
    <s v="0060110200"/>
    <s v="HMART-Gujarat Div"/>
    <s v="2000SRET"/>
    <s v="20001736"/>
    <s v="Manoranjan Jagdhari"/>
    <s v="No"/>
    <s v="bhavin.parekh@amns.in"/>
    <s v="9879109060"/>
    <s v="22983"/>
    <s v="Dhruv Vyas"/>
    <s v="Anil Matoo"/>
    <s v="Praveen Kuruvalli"/>
    <s v="Dhruv Vyas"/>
    <n v="0"/>
  </r>
  <r>
    <n v="944"/>
    <n v="20009970"/>
    <s v="Vijyendra Srivastava"/>
    <s v="AM/NS India"/>
    <s v="Onroll"/>
    <s v="M-5"/>
    <n v="5"/>
    <m/>
    <s v="MM"/>
    <s v="M"/>
    <s v="Hazira"/>
    <n v="1"/>
    <s v="2095"/>
    <x v="4"/>
    <n v="36.01"/>
    <s v="Deepak Sindkar"/>
    <s v="Hrishikesh Kamat"/>
    <n v="7"/>
    <s v="Procurement"/>
    <s v="Raw Materials"/>
    <s v="36"/>
    <s v="Senior Lead - Blacks"/>
    <m/>
    <s v="Bulk Raw Materials"/>
    <s v="Raw Material"/>
    <s v="Coal &amp; Coke"/>
    <s v="Non Technical Support"/>
    <s v="Commercial"/>
    <s v="Procurement"/>
    <s v="73803001"/>
    <s v="Procurement"/>
    <s v="Mumbai"/>
    <d v="1974-09-01T00:00:00"/>
    <s v="49.00"/>
    <d v="2007-04-25T00:00:00"/>
    <d v="2032-08-31T00:00:00"/>
    <m/>
    <d v="2032-08-31T00:00:00"/>
    <n v="3268"/>
    <s v="A-"/>
    <s v="PG Diploma in Management-1998"/>
    <s v="08.07"/>
    <s v="16.04"/>
    <s v="24.11"/>
    <s v="00045894"/>
    <s v="Blacks"/>
    <s v="70275841"/>
    <s v="Senior Lead - Blacks"/>
    <s v="Hazira"/>
    <s v="0031950048"/>
    <s v="HZ-Procurment Depart"/>
    <s v="2000HWO"/>
    <s v="20001577"/>
    <s v="Prakash Thakur"/>
    <s v="No"/>
    <s v="vijyendra.srivastava@amns.in"/>
    <s v="9930134238"/>
    <s v="24362"/>
    <s v="Dhruv Vyas"/>
    <s v="Anil Matoo"/>
    <s v="Praveen Kuruvalli"/>
    <s v="Dhruv Vyas"/>
    <n v="0"/>
  </r>
  <r>
    <n v="946"/>
    <n v="20010065"/>
    <s v="Ashish Mali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Central Zone"/>
    <s v="Non Technical Support"/>
    <s v="Sales &amp; Marketing"/>
    <s v="Sales"/>
    <s v="73104003"/>
    <s v="Retail Sales"/>
    <s v="Indore"/>
    <d v="1979-02-14T00:00:00"/>
    <s v="44.07"/>
    <d v="2007-04-16T00:00:00"/>
    <d v="2037-02-28T00:00:00"/>
    <m/>
    <d v="2037-02-28T00:00:00"/>
    <n v="4910"/>
    <s v="O-"/>
    <s v="PG Diploma in Management-2008"/>
    <s v="04.08"/>
    <s v="16.05"/>
    <s v="21.00"/>
    <s v="00048138"/>
    <s v="Hypermart west"/>
    <s v="70258932"/>
    <s v="Sales Manager - Hypermart"/>
    <s v="Hypermart"/>
    <s v="0060110700"/>
    <s v="HMART-MP-Pithampur"/>
    <s v="2000SRET"/>
    <s v="20056847"/>
    <s v="Vikas Chotia"/>
    <s v="No"/>
    <s v="ashish.mali@amns.in"/>
    <s v="9713300779"/>
    <s v="22509"/>
    <s v="Dhruv Vyas"/>
    <s v="Anil Matoo"/>
    <s v="Praveen Kuruvalli"/>
    <s v="Dhruv Vyas"/>
    <n v="0"/>
  </r>
  <r>
    <n v="965"/>
    <n v="20010531"/>
    <s v="Saptarshi Sah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Plate Sales"/>
    <m/>
    <s v="Sales Steering &amp; BD"/>
    <s v="Sales Steering &amp; BD"/>
    <s v=""/>
    <s v="Non Technical Support"/>
    <s v="Sales &amp; Marketing"/>
    <s v="Sales"/>
    <s v="73104004"/>
    <s v="OEM Sales"/>
    <s v="Mumbai"/>
    <d v="1979-11-02T00:00:00"/>
    <s v="43.10"/>
    <d v="2007-06-11T00:00:00"/>
    <d v="2037-11-30T00:00:00"/>
    <m/>
    <d v="2037-11-30T00:00:00"/>
    <n v="5185"/>
    <s v="A-"/>
    <s v="BTech-2007 , MBA-2007"/>
    <s v="00.05"/>
    <s v="16.03"/>
    <s v="16.08"/>
    <s v="70277912"/>
    <s v="Plate Sales"/>
    <s v="70386090"/>
    <s v="Head Sales Steering, Distribution &amp; BD"/>
    <s v="Hazira"/>
    <s v="0080000001"/>
    <s v="Head-Marketing"/>
    <s v="2000HWO"/>
    <s v="20055084"/>
    <s v="Alain Legrix De La Salle"/>
    <s v="No"/>
    <s v="saptarshi.saha@amns.in"/>
    <s v="9833946115"/>
    <s v="23838"/>
    <s v="Dhruv Vyas"/>
    <s v="Anil Matoo"/>
    <s v="Praveen Kuruvalli"/>
    <s v="Dhruv Vyas"/>
    <n v="0"/>
  </r>
  <r>
    <n v="971"/>
    <n v="20010602"/>
    <s v="Sanjeev Kumar Jha"/>
    <s v="AM/NS India"/>
    <s v="Onroll"/>
    <s v="M-8"/>
    <n v="8"/>
    <m/>
    <s v="JM"/>
    <s v="M"/>
    <s v="Odisha"/>
    <n v="2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Human Resources"/>
    <s v="Human Resources"/>
    <s v="Non Technical Support"/>
    <s v="Human Resources Management"/>
    <s v="Human Resources Management"/>
    <s v="73501002"/>
    <s v="Human Resources Operation"/>
    <s v="Paradeep"/>
    <d v="1974-10-04T00:00:00"/>
    <s v="48.11"/>
    <d v="2007-06-01T00:00:00"/>
    <d v="2032-10-31T00:00:00"/>
    <m/>
    <d v="2032-10-31T00:00:00"/>
    <n v="3329"/>
    <s v="O-"/>
    <s v="BSc-2001 , Bachelor Equivalent-2001"/>
    <s v="09.07"/>
    <s v="16.03"/>
    <s v="25.10"/>
    <s v="70495430"/>
    <s v="Odisha HR Operations"/>
    <s v="70226867"/>
    <s v="Lead - Human Resources"/>
    <s v="Odisha"/>
    <s v="0022030019"/>
    <s v="PDP-HR &amp; Admn"/>
    <s v="2000STORIS"/>
    <s v="20055611"/>
    <s v="Sunila Kumar Das"/>
    <s v="No"/>
    <s v="sanjeev.jha@amns.in"/>
    <s v="7566111174"/>
    <s v="22035"/>
    <s v="Sunila Das"/>
    <s v="Anil Matoo"/>
    <s v="Praveen Kuruvalli"/>
    <s v="Sunila Das"/>
    <n v="0"/>
  </r>
  <r>
    <n v="974"/>
    <n v="20010608"/>
    <s v="Tejas Patel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nventory Plant A"/>
    <m/>
    <s v="Stores &amp; Warehouse"/>
    <s v="Stores &amp; Warehouse"/>
    <s v="Inventory Plant A"/>
    <s v="Non Technical Support"/>
    <s v="Commercial"/>
    <s v="Stores &amp; Warehouse"/>
    <s v="73806001"/>
    <s v="Stores &amp; Warehouse"/>
    <s v="Hazira"/>
    <d v="1987-01-22T00:00:00"/>
    <s v="36.07"/>
    <d v="2007-06-04T00:00:00"/>
    <d v="2045-01-31T00:00:00"/>
    <m/>
    <d v="2045-01-31T00:00:00"/>
    <n v="7804"/>
    <s v="A-"/>
    <s v="Diploma-2006"/>
    <s v=""/>
    <s v="16.03"/>
    <s v="16.03"/>
    <s v="70232287"/>
    <s v="HRC Store &amp; Inventory  &amp; Cataloging Mgt."/>
    <s v="70245137"/>
    <s v="Section Officer - Inventory Plant A"/>
    <s v="Hazira"/>
    <s v="0031950049"/>
    <s v="HZ-Central Stores"/>
    <s v="2000HWO"/>
    <s v="20000948"/>
    <s v="Hitesh Raval"/>
    <s v="No"/>
    <s v="tejas.patel5@amns.in"/>
    <s v="9879102541"/>
    <s v="23390"/>
    <s v="Dhruv Vyas"/>
    <s v="Anil Matoo"/>
    <s v="Praveen Kuruvalli"/>
    <s v="Dhruv Vyas"/>
    <n v="0"/>
  </r>
  <r>
    <n v="978"/>
    <n v="20010626"/>
    <s v="Barot Sachinkumar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fractory Plant- A"/>
    <m/>
    <s v="Stores &amp; Warehouse"/>
    <s v="Stores &amp; Warehouse"/>
    <s v="Refractory A, Receipt -Issue"/>
    <s v="Non Technical Support"/>
    <s v="Commercial"/>
    <s v="Stores &amp; Warehouse"/>
    <s v="73806001"/>
    <s v="Stores &amp; Warehouse"/>
    <s v="Hazira"/>
    <d v="1986-05-31T00:00:00"/>
    <s v="37.03"/>
    <d v="2007-06-01T00:00:00"/>
    <d v="2044-05-31T00:00:00"/>
    <m/>
    <d v="2044-05-31T00:00:00"/>
    <n v="7559"/>
    <s v="B-"/>
    <s v="Diploma-2007"/>
    <s v=""/>
    <s v="16.03"/>
    <s v="16.03"/>
    <s v="00044539"/>
    <s v="Ferroalloy &amp; Refractory Stores"/>
    <s v="70372635"/>
    <s v="Section Officer - Refractory Plant- A"/>
    <s v="Hazira"/>
    <s v="0031950049"/>
    <s v="HZ-Central Stores"/>
    <s v="2000HWO"/>
    <s v="20001240"/>
    <s v="Ambrish Chaturvedi"/>
    <s v="No"/>
    <s v="sachin.barot@amns.in"/>
    <s v="9879102495"/>
    <s v="21177"/>
    <s v="Dhruv Vyas"/>
    <s v="Anil Matoo"/>
    <s v="Praveen Kuruvalli"/>
    <s v="Dhruv Vyas"/>
    <n v="0"/>
  </r>
  <r>
    <n v="1004"/>
    <n v="20010980"/>
    <s v="Kirit Upadhyay"/>
    <s v="AM/NS India"/>
    <s v="Onroll"/>
    <s v="M-8"/>
    <n v="8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HBI Mod 1-6, MH, RHMS, HMM"/>
    <s v="Non Technical Support"/>
    <s v="Operations"/>
    <s v="Operations"/>
    <s v="72103002"/>
    <s v="Operations Planning &amp; Str"/>
    <s v="AM/NS Hazira"/>
    <d v="1985-11-30T00:00:00"/>
    <s v="37.09"/>
    <d v="2007-06-16T00:00:00"/>
    <d v="2043-11-30T00:00:00"/>
    <m/>
    <d v="2043-11-30T00:00:00"/>
    <n v="7376"/>
    <s v="A-"/>
    <s v="Diploma-2014 , BTech-2014"/>
    <s v=""/>
    <s v="16.03"/>
    <s v="16.03"/>
    <s v="00053411"/>
    <s v="Contracts"/>
    <s v="70245082"/>
    <s v="Lead - Contracts"/>
    <s v="Hazira"/>
    <s v="0031950047"/>
    <s v="HZ-Contracts"/>
    <s v="2000HWO"/>
    <s v="20000795"/>
    <s v="Pankaj Chaturvedi"/>
    <s v="No"/>
    <s v="kirit.upadhyay@amns.in"/>
    <s v="9879105693"/>
    <s v="24590"/>
    <s v="Dhruv Vyas"/>
    <s v="Anil Matoo"/>
    <s v="Praveen Kuruvalli"/>
    <s v="Dhruv Vyas"/>
    <n v="0"/>
  </r>
  <r>
    <n v="1010"/>
    <n v="20010998"/>
    <s v="Venkata Raman  Lagadapati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Section Inchrge - Contracts"/>
    <m/>
    <s v="Procurement"/>
    <s v="Procurement"/>
    <s v="Purchase"/>
    <s v="Non Technical Support"/>
    <s v="Operations"/>
    <s v="Plant Operations"/>
    <s v="72103005"/>
    <s v="Shift Operations"/>
    <s v="Vizag"/>
    <d v="1986-08-01T00:00:00"/>
    <s v="37.01"/>
    <d v="2007-06-18T00:00:00"/>
    <d v="2044-07-31T00:00:00"/>
    <m/>
    <d v="2044-07-31T00:00:00"/>
    <n v="7620"/>
    <s v="O-"/>
    <s v="BTech-2007"/>
    <s v=""/>
    <s v="16.03"/>
    <s v="16.03"/>
    <s v="00046540"/>
    <s v="Contracts &amp; Production consumables"/>
    <s v="70487857"/>
    <s v="Section Inchrge - Contracts"/>
    <s v="Vizag"/>
    <s v="0028030019"/>
    <s v="VIZ-Personnel &amp; Admi"/>
    <s v="2000VIZOPS"/>
    <s v="20000200"/>
    <s v="A Venkateswara Rao"/>
    <s v="No"/>
    <s v="venkataraman.lagadapati@amns.in"/>
    <s v="9160881188"/>
    <s v="24661"/>
    <s v="DS Varma"/>
    <s v="Anil Matoo"/>
    <s v="Praveen Kuruvalli"/>
    <s v="Dhruv Vyas"/>
    <n v="0"/>
  </r>
  <r>
    <n v="1058"/>
    <n v="20011898"/>
    <s v="Mohit Meht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Treasury &amp; Systems"/>
    <m/>
    <s v="Treasury &amp; Banking"/>
    <s v="Treasury"/>
    <s v="Treasury"/>
    <s v="Non Technical Support"/>
    <s v="Finance &amp; Accounts"/>
    <s v="Treasury"/>
    <s v="73903001"/>
    <s v="Treasury"/>
    <s v="AM/NS Hazira"/>
    <d v="1984-06-22T00:00:00"/>
    <s v="39.03"/>
    <d v="2007-07-26T00:00:00"/>
    <d v="2042-06-30T00:00:00"/>
    <m/>
    <d v="2042-06-30T00:00:00"/>
    <n v="6858"/>
    <s v="B-"/>
    <s v="PG Diploma in Management-2007"/>
    <s v=""/>
    <s v="16.01"/>
    <s v="16.01"/>
    <s v="72150420"/>
    <s v="Treasury - Hazira"/>
    <s v="70259112"/>
    <s v="Lead - Treasury &amp; Systems"/>
    <s v="Hazira"/>
    <s v="0031950045"/>
    <s v="HZ-Works Accounts-Ha"/>
    <s v="2000HWO"/>
    <s v="20001854"/>
    <s v="Arasappan Thirumaran"/>
    <s v="No"/>
    <s v="mohit.mehta@amns.in"/>
    <s v="9879102245"/>
    <s v="22595"/>
    <s v="Dhruv Vyas"/>
    <s v="Anil Matoo"/>
    <s v="Praveen Kuruvalli"/>
    <s v="Dhruv Vyas"/>
    <n v="0"/>
  </r>
  <r>
    <n v="1059"/>
    <n v="20011904"/>
    <s v="Bhalchandra Vast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– Transaction Banking"/>
    <m/>
    <s v="Treasury &amp; Banking"/>
    <s v="Banking"/>
    <s v="Finance &amp; Accounts"/>
    <s v="Non Technical Support"/>
    <s v="Finance &amp; Accounts"/>
    <s v="Finance &amp; Accounts"/>
    <s v="73901001"/>
    <s v="Finance &amp; Accounts"/>
    <s v="Mumbai"/>
    <d v="1973-02-17T00:00:00"/>
    <s v="50.07"/>
    <d v="2007-07-24T00:00:00"/>
    <d v="2031-02-28T00:00:00"/>
    <m/>
    <d v="2031-02-28T00:00:00"/>
    <n v="2718"/>
    <s v="O-"/>
    <s v="BCom-1993"/>
    <s v="13.04"/>
    <s v="16.01"/>
    <s v="29.06"/>
    <s v="70101920"/>
    <s v="Treasury - Mumbai"/>
    <s v="70258424"/>
    <s v="Sr. Lead – Transaction Banking"/>
    <s v="Hazira"/>
    <s v="0090000028"/>
    <s v="Corporate Steel - Wo"/>
    <s v="2000HWO"/>
    <s v="20000057"/>
    <s v="Vivek Sanil"/>
    <s v="No"/>
    <s v="bhalchandra.vast@amns.in"/>
    <s v="9819731550"/>
    <s v="24652"/>
    <s v="Dhruv Vyas"/>
    <s v="Anil Matoo"/>
    <s v="Praveen Kuruvalli"/>
    <s v="Dhruv Vyas"/>
    <n v="0"/>
  </r>
  <r>
    <n v="1062"/>
    <n v="20011945"/>
    <s v="Raghavendra Rao Yerramsetty"/>
    <s v="AM/NS India"/>
    <s v="Onroll"/>
    <s v="M-5"/>
    <n v="5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Lead – Procurement, Contracts, Stores"/>
    <m/>
    <s v="Procurement"/>
    <s v="New Projects &amp; Process Modification"/>
    <s v="New Projects &amp; Process Modification"/>
    <s v="Non Technical Support"/>
    <s v="Projects"/>
    <s v="Projects"/>
    <s v="72103036"/>
    <s v="Projects"/>
    <s v="Vizag"/>
    <d v="1986-03-03T00:00:00"/>
    <s v="37.06"/>
    <d v="2007-07-16T00:00:00"/>
    <d v="2044-03-31T00:00:00"/>
    <m/>
    <d v="2044-03-31T00:00:00"/>
    <n v="7498"/>
    <s v="O-"/>
    <s v="BTech-2007"/>
    <s v=""/>
    <s v="16.02"/>
    <s v="16.02"/>
    <s v="72150139"/>
    <s v="Procurement, Contract &amp; Stores - Vizag"/>
    <s v="70259001"/>
    <s v="Lead – Procurement, Contracts, Stores"/>
    <s v="Vizag"/>
    <s v="0028030019"/>
    <s v="VIZ-Personnel &amp; Admi"/>
    <s v="2000VIZOPS"/>
    <s v="20055090"/>
    <s v="Hrishikesh Kamat"/>
    <s v="No"/>
    <s v="raghavendra.rao@amns.in"/>
    <s v="9966028577"/>
    <s v="23716"/>
    <s v="DS Varma"/>
    <s v="Anil Matoo"/>
    <s v="Praveen Kuruvalli"/>
    <s v="Dhruv Vyas"/>
    <n v="0"/>
  </r>
  <r>
    <n v="1065"/>
    <n v="20011972"/>
    <s v="Rajita Bagkar"/>
    <s v="AM/NS India"/>
    <s v="Onroll"/>
    <s v="M-5"/>
    <n v="5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Section Head - Banking &amp; Treasury"/>
    <m/>
    <s v="Treasury &amp; Banking"/>
    <s v="Risk &amp; Insurance"/>
    <s v="Long Term Finance &amp; Forex"/>
    <s v="Non Technical Support"/>
    <s v="Finance &amp; Accounts"/>
    <s v="Treasury"/>
    <s v="73903001"/>
    <s v="Treasury"/>
    <s v="Mumbai"/>
    <d v="1978-04-27T00:00:00"/>
    <s v="45.04"/>
    <d v="2007-08-01T00:00:00"/>
    <d v="2036-04-30T00:00:00"/>
    <m/>
    <d v="2036-04-30T00:00:00"/>
    <n v="4606"/>
    <s v="A-"/>
    <s v="BCom-2003 , MMS-2003"/>
    <s v="03.09"/>
    <s v="16.01"/>
    <s v="19.10"/>
    <s v="00050553"/>
    <s v="Banking &amp; Treasury"/>
    <s v="70386092"/>
    <s v="Section Head - Banking &amp; Treasury"/>
    <s v="Corporate"/>
    <s v="0090000028"/>
    <s v="Corporate Steel - Wo"/>
    <s v="2000CS"/>
    <s v="20000870"/>
    <s v="Balajee M"/>
    <s v="No"/>
    <s v="rajita.bagkar@amns.in"/>
    <s v="9819730767"/>
    <s v="21133"/>
    <s v="Dhruv Vyas"/>
    <s v="Anil Matoo"/>
    <s v="Praveen Kuruvalli"/>
    <s v="Dhruv Vyas"/>
    <n v="0"/>
  </r>
  <r>
    <n v="1074"/>
    <n v="20012203"/>
    <s v="Dhirendra Singh Rajawat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Procurement"/>
    <m/>
    <s v="Capex Procurement"/>
    <s v="Capex Procurement"/>
    <s v=""/>
    <s v="Non Technical Support"/>
    <s v="Projects"/>
    <s v="Projects Coordination"/>
    <s v="72103038"/>
    <s v="Projects Coordination"/>
    <s v="Hazira"/>
    <d v="1987-11-03T00:00:00"/>
    <s v="35.10"/>
    <d v="2007-06-28T00:00:00"/>
    <d v="2045-11-30T00:00:00"/>
    <m/>
    <d v="2045-11-30T00:00:00"/>
    <n v="8107"/>
    <s v="O-"/>
    <s v="Diploma-2013 , BTech-2013"/>
    <s v=""/>
    <s v="16.02"/>
    <s v="16.02"/>
    <s v="00049344"/>
    <s v="Capex Procurement"/>
    <s v="70372646"/>
    <s v="Lead – Capex Procurement"/>
    <s v="Hazira"/>
    <s v="0031950059"/>
    <s v="HZ-Hazira Project"/>
    <s v="2000HWO"/>
    <s v="20055728"/>
    <s v="Mahebub Vahora"/>
    <s v="No"/>
    <s v="dhirendra.rajawat@amns.in"/>
    <s v="9909902354"/>
    <s v="23635"/>
    <s v="Dhruv Vyas"/>
    <s v="Anil Matoo"/>
    <s v="Praveen Kuruvalli"/>
    <s v="Dhruv Vyas"/>
    <n v="0"/>
  </r>
  <r>
    <n v="1077"/>
    <n v="20012229"/>
    <s v="Bhaumikkumar Shah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r. Analyst - Market Intelligence"/>
    <m/>
    <s v="Sales Steering &amp; BD"/>
    <s v="Market Intelligence"/>
    <s v="Internal Audit"/>
    <s v="Non Technical Support"/>
    <s v="Assurance &amp; Cost Control"/>
    <s v="Assurance &amp; Cost Control"/>
    <s v="73401001"/>
    <s v="Assurance &amp; Cost Control"/>
    <s v="Mumbai"/>
    <d v="1986-02-06T00:00:00"/>
    <s v="37.07"/>
    <d v="2007-06-29T00:00:00"/>
    <d v="2044-02-29T00:00:00"/>
    <m/>
    <d v="2044-02-29T00:00:00"/>
    <n v="7467"/>
    <s v="A-"/>
    <s v="BE-2007"/>
    <s v=""/>
    <s v="16.02"/>
    <s v="16.02"/>
    <s v="72150188"/>
    <s v="Market Intelligence &amp; Pricing"/>
    <s v="70372405"/>
    <s v="Sr. Analyst - Market Intelligence"/>
    <s v="Corporate"/>
    <s v="0080000001"/>
    <s v="Head-Marketing"/>
    <s v="2000CS"/>
    <s v="20008774"/>
    <s v="Ajay Somasundaran"/>
    <s v="No"/>
    <s v="bhaumik.shah@amns.in"/>
    <s v="9909902379"/>
    <s v="24000"/>
    <s v="Dhruv Vyas"/>
    <s v="Anil Matoo"/>
    <s v="Praveen Kuruvalli"/>
    <s v="Dhruv Vyas"/>
    <n v="0"/>
  </r>
  <r>
    <n v="1084"/>
    <n v="20012267"/>
    <s v="Pooja Sharma"/>
    <s v="AM/NS India"/>
    <s v="Onroll"/>
    <s v="M-7"/>
    <n v="7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Banking &amp; MIS"/>
    <m/>
    <s v="Treasury &amp; Banking"/>
    <s v="Forex &amp; Risk Management"/>
    <s v="RBI Matters"/>
    <s v="Non Technical Support"/>
    <s v="Finance &amp; Accounts"/>
    <s v="Treasury"/>
    <s v="73903001"/>
    <s v="Treasury"/>
    <s v="Mumbai"/>
    <d v="1984-09-25T00:00:00"/>
    <s v="38.11"/>
    <d v="2007-08-13T00:00:00"/>
    <d v="2042-09-30T00:00:00"/>
    <m/>
    <d v="2042-09-30T00:00:00"/>
    <n v="6950"/>
    <s v="B-"/>
    <s v="BCom-2007 , MBA-2007"/>
    <s v=""/>
    <s v="16.01"/>
    <s v="16.01"/>
    <s v="70447071"/>
    <s v="Insurance &amp; Financial Risk"/>
    <s v="70226817"/>
    <s v="Lead - Banking &amp; MIS"/>
    <s v="Corporate"/>
    <s v="0090000028"/>
    <s v="Corporate Steel - Wo"/>
    <s v="2000CS"/>
    <s v="20017504"/>
    <s v="Appi Reddy Guttikonda"/>
    <s v="No"/>
    <s v="pooja.sharma@amns.in"/>
    <s v="9819731599"/>
    <s v="24106"/>
    <s v="Dhruv Vyas"/>
    <s v="Anil Matoo"/>
    <s v="Praveen Kuruvalli"/>
    <s v="Dhruv Vyas"/>
    <n v="0"/>
  </r>
  <r>
    <n v="1110"/>
    <n v="20012680"/>
    <s v="Dhiraj Bachani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Ahmedabad"/>
    <d v="1985-08-26T00:00:00"/>
    <s v="38.00"/>
    <d v="2007-08-27T00:00:00"/>
    <d v="2043-08-31T00:00:00"/>
    <m/>
    <d v="2043-08-31T00:00:00"/>
    <n v="7285"/>
    <s v="B-"/>
    <s v="BTech-2007"/>
    <s v=""/>
    <s v="16.00"/>
    <s v="16.00"/>
    <s v="70394840"/>
    <s v="OEM Sales - Gujarat"/>
    <s v="70319504"/>
    <s v="Sales Manager - Hypermart"/>
    <s v="Hypermart"/>
    <s v="0060110200"/>
    <s v="HMART-Gujarat Div"/>
    <s v="2000SRET"/>
    <s v="20001736"/>
    <s v="Manoranjan Jagdhari"/>
    <s v="No"/>
    <s v="dhiraj.bachani@amns.in"/>
    <s v="9879597549"/>
    <s v="21122"/>
    <s v="Dhruv Vyas"/>
    <s v="Anil Matoo"/>
    <s v="Praveen Kuruvalli"/>
    <s v="Dhruv Vyas"/>
    <n v="0"/>
  </r>
  <r>
    <n v="1131"/>
    <n v="20013199"/>
    <s v="Vivek Vishwakarm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Automotive Sales"/>
    <m/>
    <s v="Other West"/>
    <s v="Auto"/>
    <s v=""/>
    <s v="Non Technical Support"/>
    <s v="Sales &amp; Marketing"/>
    <s v="Sales"/>
    <s v="73104004"/>
    <s v="OEM Sales"/>
    <s v="Indore"/>
    <d v="1978-03-12T00:00:00"/>
    <s v="45.06"/>
    <d v="2007-09-29T00:00:00"/>
    <d v="2036-03-31T00:00:00"/>
    <m/>
    <d v="2036-03-31T00:00:00"/>
    <n v="4576"/>
    <s v="A-"/>
    <s v="BE-2005 , MBA-2005"/>
    <s v="03.03"/>
    <s v="15.11"/>
    <s v="19.02"/>
    <s v="70495309"/>
    <s v="Sales West Zone"/>
    <s v="70398868"/>
    <s v="KAM - Automotive Sales"/>
    <s v="Hazira"/>
    <s v="0031950057"/>
    <s v="HZ-HRC - Marketing"/>
    <s v="2000HWO"/>
    <s v="20047683"/>
    <s v="Virat Vij"/>
    <s v="No"/>
    <s v="vivek.vishwakarma@amns.in"/>
    <s v="9819731565"/>
    <s v="24705"/>
    <s v="Dhruv Vyas"/>
    <s v="Anil Matoo"/>
    <s v="Praveen Kuruvalli"/>
    <s v="Dhruv Vyas"/>
    <n v="0"/>
  </r>
  <r>
    <n v="1149"/>
    <n v="20014487"/>
    <s v="Chandra Sekhar Senevada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Engineer  - Procurement"/>
    <m/>
    <s v="Procurement"/>
    <s v="Purchase"/>
    <s v="Purchase"/>
    <s v="Non Technical Support"/>
    <s v="Commercial"/>
    <s v="Purchase"/>
    <s v="73804001"/>
    <s v="Purchase"/>
    <s v="Vizag"/>
    <d v="1983-10-21T00:00:00"/>
    <s v="39.10"/>
    <d v="2007-12-20T00:00:00"/>
    <d v="2041-10-31T00:00:00"/>
    <m/>
    <d v="2041-10-31T00:00:00"/>
    <n v="6616"/>
    <s v="B-"/>
    <s v="BE-2005"/>
    <s v="00.10"/>
    <s v="15.09"/>
    <s v="16.07"/>
    <s v="70301353"/>
    <s v="Procurement - Vizag &amp; Chitrakonda"/>
    <s v="70259004"/>
    <s v="Engineer  - Procurement"/>
    <s v="Vizag"/>
    <s v="0028030019"/>
    <s v="VIZ-Personnel &amp; Admi"/>
    <s v="2000VIZOPS"/>
    <s v="20000200"/>
    <s v="A Venkateswara Rao"/>
    <s v="No"/>
    <s v="chandra.sekhar@amns.in"/>
    <s v="9581663366"/>
    <s v="21342"/>
    <s v="DS Varma"/>
    <s v="Anil Matoo"/>
    <s v="Praveen Kuruvalli"/>
    <s v="Dhruv Vyas"/>
    <n v="0"/>
  </r>
  <r>
    <n v="1151"/>
    <n v="20015183"/>
    <s v="Raggavendran Subbarathnam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fractory Plant-A"/>
    <m/>
    <s v="Stores &amp; Warehouse"/>
    <s v="Stores &amp; Warehouse"/>
    <s v="Refractory B, Receipt -Issue"/>
    <s v="Non Technical Support"/>
    <s v="Commercial"/>
    <s v="Stores &amp; Warehouse"/>
    <s v="73806001"/>
    <s v="Stores &amp; Warehouse"/>
    <s v="Hazira"/>
    <d v="1978-03-01T00:00:00"/>
    <s v="45.06"/>
    <d v="2007-11-12T00:00:00"/>
    <d v="2036-02-29T00:00:00"/>
    <m/>
    <d v="2036-02-29T00:00:00"/>
    <n v="4545"/>
    <s v="AB-"/>
    <s v="BCom-1998"/>
    <s v="05.05"/>
    <s v="15.10"/>
    <s v="21.03"/>
    <s v="00044539"/>
    <s v="Ferroalloy &amp; Refractory Stores"/>
    <s v="70319802"/>
    <s v="Section Officer - Refractory Plant-A"/>
    <s v="Hazira"/>
    <s v="0031950049"/>
    <s v="HZ-Central Stores"/>
    <s v="2000HWO"/>
    <s v="20010626"/>
    <s v="Barot Sachinkumar"/>
    <s v="No"/>
    <s v="raggavendran.subbarathnam@amns.in"/>
    <s v="9909901663"/>
    <s v="24363"/>
    <s v="Dhruv Vyas"/>
    <s v="Anil Matoo"/>
    <s v="Praveen Kuruvalli"/>
    <s v="Dhruv Vyas"/>
    <n v="0"/>
  </r>
  <r>
    <n v="1156"/>
    <n v="20015864"/>
    <s v="Mayank Desai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GST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74-07-13T00:00:00"/>
    <s v="49.02"/>
    <d v="2008-01-24T00:00:00"/>
    <d v="2032-07-31T00:00:00"/>
    <m/>
    <d v="2032-07-31T00:00:00"/>
    <n v="3237"/>
    <s v="O-"/>
    <s v="PG Diploma-2009 , MCom-2009 , Diploma-19"/>
    <s v="11.09"/>
    <s v="15.07"/>
    <s v="27.04"/>
    <s v="00044379"/>
    <s v="GST - Hazira Assets"/>
    <s v="70259113"/>
    <s v="Sr. lead - GST"/>
    <s v="Hazira"/>
    <s v="0031950044"/>
    <s v="HZ-Commercial Taxati"/>
    <s v="2000HWO"/>
    <s v="20055962"/>
    <s v="Navin Kewalramani"/>
    <s v="No"/>
    <s v="mayank.desai@amns.in"/>
    <s v="9909902062"/>
    <s v="21592"/>
    <s v="Dhruv Vyas"/>
    <s v="Anil Matoo"/>
    <s v="Praveen Kuruvalli"/>
    <s v="Dhruv Vyas"/>
    <n v="0"/>
  </r>
  <r>
    <n v="1158"/>
    <n v="20016058"/>
    <s v="Ambreen Qadir"/>
    <s v="AM/NS India"/>
    <s v="Onroll"/>
    <s v="M-5"/>
    <n v="5"/>
    <m/>
    <s v="M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"/>
    <m/>
    <s v="North"/>
    <s v="OEM"/>
    <s v=""/>
    <s v="Non Technical Support"/>
    <s v="Sales &amp; Marketing"/>
    <s v="Sales"/>
    <s v="73104004"/>
    <s v="OEM Sales"/>
    <s v="Noida"/>
    <d v="1978-06-09T00:00:00"/>
    <s v="45.03"/>
    <d v="2008-02-04T00:00:00"/>
    <d v="2036-06-30T00:00:00"/>
    <m/>
    <d v="2036-06-30T00:00:00"/>
    <n v="4667"/>
    <s v=""/>
    <s v="BE-2004 , MBA-2004"/>
    <s v="02.01"/>
    <s v="15.07"/>
    <s v="17.08"/>
    <s v="72150181"/>
    <s v="Sales North Zone"/>
    <s v="70334351"/>
    <s v="Sr. KAM - OEM Sales"/>
    <s v="Hazira"/>
    <s v="0031950057"/>
    <s v="HZ-HRC - Marketing"/>
    <s v="2000HWO"/>
    <s v="20002920"/>
    <s v="Sudhir Sharma"/>
    <s v="No"/>
    <s v="ambreen.qadir@amns.in"/>
    <s v="9703215456"/>
    <s v="23602"/>
    <s v="Dhruv Vyas"/>
    <s v="Anil Matoo"/>
    <s v="Praveen Kuruvalli"/>
    <s v="Dhruv Vyas"/>
    <n v="0"/>
  </r>
  <r>
    <n v="1159"/>
    <n v="20016107"/>
    <s v="Kalpesh Thathagar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Payable"/>
    <m/>
    <s v="Working Capital"/>
    <s v="Accounts Payable"/>
    <s v="Bills Payable"/>
    <s v="Non Technical Support"/>
    <s v="Finance &amp; Accounts"/>
    <s v="Finance &amp; Accounts"/>
    <s v="73901002"/>
    <s v="Corporate Accounts &amp; Audi"/>
    <s v="AM/NS Hazira"/>
    <d v="1977-10-05T00:00:00"/>
    <s v="45.11"/>
    <d v="2008-02-01T00:00:00"/>
    <d v="2035-10-31T00:00:00"/>
    <m/>
    <d v="2035-10-31T00:00:00"/>
    <n v="4424"/>
    <s v="A-"/>
    <s v="CA Inter-2003"/>
    <s v="04.06"/>
    <s v="15.07"/>
    <s v="20.01"/>
    <s v="00043794"/>
    <s v="Accounts Payable - 1"/>
    <s v="70258859"/>
    <s v="Sr. Lead - Accounts Payable"/>
    <s v="Hazira"/>
    <s v="0031950045"/>
    <s v="HZ-Works Accounts-Ha"/>
    <s v="2000HWO"/>
    <s v="20001076"/>
    <s v="Bhavesh Modi"/>
    <s v="No"/>
    <s v="kalpesh.thathagar@amns.in"/>
    <s v="9909902066"/>
    <s v="24514"/>
    <s v="Dhruv Vyas"/>
    <s v="Anil Matoo"/>
    <s v="Praveen Kuruvalli"/>
    <s v="Dhruv Vyas"/>
    <n v="0"/>
  </r>
  <r>
    <n v="1161"/>
    <n v="20016382"/>
    <s v="Kunal Bhardwaj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Value Recovery"/>
    <m/>
    <s v="Sales Steering &amp; BD"/>
    <s v="NCO"/>
    <s v=""/>
    <s v="Non Technical Support"/>
    <s v="Sales &amp; Marketing"/>
    <s v="Sales"/>
    <s v="73104003"/>
    <s v="Retail Sales"/>
    <s v="Ahmedabad"/>
    <d v="1973-05-12T00:00:00"/>
    <s v="50.04"/>
    <d v="2008-02-25T00:00:00"/>
    <d v="2031-05-31T00:00:00"/>
    <m/>
    <d v="2031-05-31T00:00:00"/>
    <n v="2810"/>
    <s v="O-"/>
    <s v="MBA-2005"/>
    <s v="10.07"/>
    <s v="15.06"/>
    <s v="26.02"/>
    <s v="70265035"/>
    <s v="Value Recovery"/>
    <s v="70258498"/>
    <s v="Head - Value Recovery"/>
    <s v="Hazira"/>
    <s v="0060110300"/>
    <s v="HMART-Guj-Ahemedabad"/>
    <s v="2000HWO"/>
    <s v="20010531"/>
    <s v="Saptarshi Saha"/>
    <s v="No"/>
    <s v="kunal.bhardwaj@amns.in"/>
    <s v="9874810107"/>
    <s v="21230"/>
    <s v="Dhruv Vyas"/>
    <s v="Anil Matoo"/>
    <s v="Praveen Kuruvalli"/>
    <s v="Dhruv Vyas"/>
    <n v="0"/>
  </r>
  <r>
    <n v="1162"/>
    <n v="20016406"/>
    <s v="Manjit Shah"/>
    <s v="AM/NS India"/>
    <s v="Onroll"/>
    <s v="M-6"/>
    <n v="6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Cluster Head – Human Resources"/>
    <m/>
    <s v="Human Resources"/>
    <s v="Human Resources"/>
    <s v="Human Resources"/>
    <s v="Non Technical Support"/>
    <s v="Human Resources Management"/>
    <s v="Compensation &amp; Benefits"/>
    <s v="73504001"/>
    <s v="Compensation &amp; Benefits"/>
    <s v="AM/NS Hazira"/>
    <d v="1985-05-15T00:00:00"/>
    <s v="38.04"/>
    <d v="2008-02-26T00:00:00"/>
    <d v="2043-05-31T00:00:00"/>
    <m/>
    <d v="2043-05-31T00:00:00"/>
    <n v="7193"/>
    <s v="B-"/>
    <s v="BCom-2010 , PG Diploma in Management-201"/>
    <s v="02.04"/>
    <s v="15.06"/>
    <s v="17.11"/>
    <s v="70376383"/>
    <s v="Hazira HR Operations - 3"/>
    <s v="70490221"/>
    <s v="Cluster Head – Human Resources"/>
    <s v="Hazira"/>
    <s v="0031950061"/>
    <s v="HZ-Human Resource"/>
    <s v="2000HWO"/>
    <s v="20000083"/>
    <s v="Anil Matoo"/>
    <s v="No"/>
    <s v="manjit.shah@amns.in"/>
    <s v="9930136990"/>
    <s v="24020"/>
    <s v="Dhruv Vyas"/>
    <s v="Anil Matoo"/>
    <s v="Praveen Kuruvalli"/>
    <s v="Dhruv Vyas"/>
    <n v="0"/>
  </r>
  <r>
    <n v="1163"/>
    <n v="20016604"/>
    <s v="Punit Verm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Plate Mill issue Elec-Mech, Paints-Yard development &amp; Mgt"/>
    <s v="Non Technical Support"/>
    <s v="Commercial"/>
    <s v="Stores &amp; Warehouse"/>
    <s v="73806001"/>
    <s v="Stores &amp; Warehouse"/>
    <s v="Hazira"/>
    <d v="1968-10-05T00:00:00"/>
    <s v="54.11"/>
    <d v="2008-03-17T00:00:00"/>
    <d v="2026-10-31T00:00:00"/>
    <m/>
    <d v="2026-10-31T00:00:00"/>
    <n v="1137"/>
    <s v="AB-"/>
    <s v="Diploma-2009 , MBA-2009 , BA-2000"/>
    <s v="10.11"/>
    <s v="15.06"/>
    <s v="26.05"/>
    <s v="00053276"/>
    <s v="Issue/Shifting - Plant B"/>
    <s v="72152898"/>
    <s v="Section Officer - Issue/Shifting"/>
    <s v="Hazira"/>
    <s v="0031950049"/>
    <s v="HZ-Central Stores"/>
    <s v="2000HWO"/>
    <s v="20000948"/>
    <s v="Hitesh Raval"/>
    <s v="No"/>
    <s v="punit.verma@amns.in"/>
    <s v="9909902191"/>
    <s v="24682"/>
    <s v="Dhruv Vyas"/>
    <s v="Anil Matoo"/>
    <s v="Praveen Kuruvalli"/>
    <s v="Dhruv Vyas"/>
    <n v="0"/>
  </r>
  <r>
    <n v="1165"/>
    <n v="20016749"/>
    <s v="Heena Patel"/>
    <s v="AM/NS India"/>
    <s v="Onroll"/>
    <s v="M-9"/>
    <n v="9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Officer - Proc Electrical"/>
    <m/>
    <s v="Procurement MRO Hazira"/>
    <s v="Procurement"/>
    <s v="Electrical Switch Gears and power systems - Hazira Complex"/>
    <s v="Non Technical Support"/>
    <s v="Sales &amp; Marketing"/>
    <s v="CRM"/>
    <s v="73105003"/>
    <s v="Customer Service"/>
    <s v="AM/NS Hazira"/>
    <d v="1985-09-10T00:00:00"/>
    <s v="38.00"/>
    <d v="2008-03-07T00:00:00"/>
    <d v="2043-09-30T00:00:00"/>
    <m/>
    <d v="2043-09-30T00:00:00"/>
    <n v="7315"/>
    <s v="A-"/>
    <s v="Diploma-2006"/>
    <s v=""/>
    <s v="15.06"/>
    <s v="15.06"/>
    <s v="00044546"/>
    <s v="Procurement Electrical"/>
    <s v="70339996"/>
    <s v="Officer - Proc Electrical"/>
    <s v="Hazira"/>
    <s v="0031950048"/>
    <s v="HZ-Procurment Depart"/>
    <s v="2000HWO"/>
    <s v="20000637"/>
    <s v="Kedar Rajwade"/>
    <s v="No"/>
    <s v="heena.patel@amns.in"/>
    <s v="9879102361"/>
    <s v="23168"/>
    <s v="Dhruv Vyas"/>
    <s v="Anil Matoo"/>
    <s v="Praveen Kuruvalli"/>
    <s v="Dhruv Vyas"/>
    <n v="0"/>
  </r>
  <r>
    <n v="1168"/>
    <n v="20016767"/>
    <s v="Raghavan Venkatachalam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- Automotive Sales &amp; Service Centes"/>
    <m/>
    <s v="Auto"/>
    <s v="Auto"/>
    <s v=""/>
    <s v="Non Technical Support"/>
    <s v="Sales &amp; Marketing"/>
    <s v="Sales"/>
    <s v="73104004"/>
    <s v="OEM Sales"/>
    <s v="Mumbai"/>
    <d v="1971-12-01T00:00:00"/>
    <s v="51.09"/>
    <d v="2008-03-27T00:00:00"/>
    <d v="2029-11-30T00:00:00"/>
    <m/>
    <d v="2029-11-30T00:00:00"/>
    <n v="2263"/>
    <s v="A+"/>
    <s v="BE-1997 , MBA-1997"/>
    <s v="10.01"/>
    <s v="15.05"/>
    <s v="25.06"/>
    <s v="70343195"/>
    <s v="Automotive Sales &amp; Service Centers"/>
    <s v="70336269"/>
    <s v="Head- Automotive Sales &amp; Service Centes"/>
    <s v="Hazira"/>
    <s v="0031950057"/>
    <s v="HZ-HRC - Marketing"/>
    <s v="2000HWO"/>
    <s v="20007104"/>
    <s v="Ranjan Dhar"/>
    <s v="No"/>
    <s v="raghavan.venkat@amns.in"/>
    <s v="9819730760"/>
    <s v="24601"/>
    <s v="Dhruv Vyas"/>
    <s v="Anil Matoo"/>
    <s v="Praveen Kuruvalli"/>
    <s v="Dhruv Vyas"/>
    <n v="0"/>
  </r>
  <r>
    <n v="1183"/>
    <n v="20017504"/>
    <s v="Appi Reddy Guttikonda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Chief Risk Officer"/>
    <m/>
    <s v="Risk &amp; Insurance"/>
    <s v="Risk &amp; Insurance"/>
    <s v="Corporate Finance &amp; Risk &amp; Insurance"/>
    <s v="Non Technical Support"/>
    <s v="Finance &amp; Accounts"/>
    <s v="Finance &amp; Accounts"/>
    <s v="73901001"/>
    <s v="Finance &amp; Accounts"/>
    <s v="Mumbai"/>
    <d v="1966-04-24T00:00:00"/>
    <s v="57.04"/>
    <d v="2008-04-02T00:00:00"/>
    <d v="2024-04-30T00:00:00"/>
    <m/>
    <d v="2024-04-30T00:00:00"/>
    <n v="223"/>
    <s v="B-"/>
    <s v="Certificate-2000 , MBA-2000 , PG Diploma"/>
    <s v="17.06"/>
    <s v="15.05"/>
    <s v="32.11"/>
    <s v="70447071"/>
    <s v="Insurance &amp; Financial Risk"/>
    <s v="70375801"/>
    <s v="Chief Risk Officer"/>
    <s v="Corporate"/>
    <s v="0090000028"/>
    <s v="Corporate Steel - Wo"/>
    <s v="2000CS"/>
    <s v="20057933"/>
    <s v="Akiyo Omori"/>
    <s v="No"/>
    <s v="appireddy.guttikonda@amns.in"/>
    <s v="9833946401"/>
    <s v="21886"/>
    <s v="Dhruv Vyas"/>
    <s v="Anil Matoo"/>
    <s v="Praveen Kuruvalli"/>
    <s v="Dhruv Vyas"/>
    <n v="0"/>
  </r>
  <r>
    <n v="1184"/>
    <n v="20017569"/>
    <s v="Girija Das"/>
    <s v="AM/NS India"/>
    <s v="Onroll"/>
    <s v="M-6"/>
    <n v="6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Buyer - Dabuna"/>
    <m/>
    <s v="Procurement"/>
    <s v="Procurement"/>
    <s v="Procurement"/>
    <s v="Non Technical Support"/>
    <s v="Operations"/>
    <s v="Plant Operations"/>
    <s v="72103005"/>
    <s v="Shift Operations"/>
    <s v="Dabuna"/>
    <d v="1980-05-17T00:00:00"/>
    <s v="43.04"/>
    <d v="2008-04-11T00:00:00"/>
    <d v="2038-05-31T00:00:00"/>
    <m/>
    <d v="2038-05-31T00:00:00"/>
    <n v="5367"/>
    <s v=""/>
    <s v="BTech-2008 , BTech-2008"/>
    <s v="09.03"/>
    <s v="15.05"/>
    <s v="24.08"/>
    <s v="70494404"/>
    <s v="Procurement - Dabuna"/>
    <s v="70326782"/>
    <s v="Buyer - Dabuna"/>
    <s v="Odisha"/>
    <s v="0022010019"/>
    <s v="DBN-Benf-HR/Admin"/>
    <s v="2000STORIS"/>
    <s v="20055692"/>
    <s v="Rajiv Ranjan"/>
    <s v="No"/>
    <s v="girija.das@amns.in"/>
    <s v="9437058486"/>
    <s v="21518"/>
    <s v="Sunila Das"/>
    <s v="Anil Matoo"/>
    <s v="Praveen Kuruvalli"/>
    <s v="Sunila Das"/>
    <n v="0"/>
  </r>
  <r>
    <n v="1188"/>
    <n v="20018249"/>
    <s v="Mahendra Naxan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Other West"/>
    <s v="OEM"/>
    <s v=""/>
    <s v="Non Technical Support"/>
    <s v="Sales &amp; Marketing"/>
    <s v="Sales"/>
    <s v="73104004"/>
    <s v="OEM Sales"/>
    <s v="Pune"/>
    <d v="1970-04-29T00:00:00"/>
    <s v="53.04"/>
    <d v="2008-05-06T00:00:00"/>
    <d v="2028-04-30T00:00:00"/>
    <m/>
    <d v="2028-04-30T00:00:00"/>
    <n v="1684"/>
    <s v="A-"/>
    <s v="BE-2008 , MBA-2008"/>
    <s v="16.08"/>
    <s v="15.04"/>
    <s v="32.00"/>
    <s v="70495309"/>
    <s v="Sales West Zone"/>
    <s v="70334290"/>
    <s v="KAM - OEM Sales"/>
    <s v="Hazira"/>
    <s v="0031581982"/>
    <s v="PLM-Marketing"/>
    <s v="2000HWO"/>
    <s v="20047683"/>
    <s v="Virat Vij"/>
    <s v="No"/>
    <s v="mahendra.naxane@amns.in"/>
    <s v="9923200850"/>
    <s v="22818"/>
    <s v="Dhruv Vyas"/>
    <s v="Anil Matoo"/>
    <s v="Praveen Kuruvalli"/>
    <s v="Dhruv Vyas"/>
    <n v="0"/>
  </r>
  <r>
    <n v="1193"/>
    <n v="20018700"/>
    <s v="Srinivasan Kamalakannan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Compliance S&amp;M"/>
    <m/>
    <s v="South"/>
    <s v="Auto"/>
    <s v="South Zone"/>
    <s v="Non Technical Support"/>
    <s v="Sales &amp; Marketing"/>
    <s v="Sales"/>
    <s v="73104003"/>
    <s v="Retail Sales"/>
    <s v="Chennai"/>
    <d v="1980-02-22T00:00:00"/>
    <s v="43.06"/>
    <d v="2008-06-06T00:00:00"/>
    <d v="2038-02-28T00:00:00"/>
    <m/>
    <d v="2038-02-28T00:00:00"/>
    <n v="5275"/>
    <s v="O-"/>
    <s v="BE-2006 , MBA-2006"/>
    <s v="04.02"/>
    <s v="15.03"/>
    <s v="19.05"/>
    <s v="00052474"/>
    <s v="KAM Automotive Sales - South"/>
    <s v="70320470"/>
    <s v="Sr. KAM – Automotive Sales"/>
    <s v="Hypermart"/>
    <s v="0060140300"/>
    <s v="HMART-Kar-Bangolre"/>
    <s v="2000SRET"/>
    <s v="20000909"/>
    <s v="Murali Krishna Chunduru"/>
    <s v="No"/>
    <s v="kamal.kannan@amns.in"/>
    <s v="9884069563"/>
    <s v="22117"/>
    <s v="Dhruv Vyas"/>
    <s v="Anil Matoo"/>
    <s v="Praveen Kuruvalli"/>
    <s v="Dhruv Vyas"/>
    <n v="0"/>
  </r>
  <r>
    <n v="1194"/>
    <n v="20018855"/>
    <s v="Ravikanth Reddy Yarkareddy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Section Engineer - Procurement"/>
    <m/>
    <s v="Procurement"/>
    <s v="Procurement"/>
    <s v="Procurement"/>
    <s v="Non Technical Support"/>
    <s v="Operations"/>
    <s v="Plant Operations"/>
    <s v="72103005"/>
    <s v="Shift Operations"/>
    <s v="Vizag"/>
    <d v="1985-09-03T00:00:00"/>
    <s v="38.00"/>
    <d v="2008-06-02T00:00:00"/>
    <d v="2043-09-30T00:00:00"/>
    <m/>
    <d v="2043-09-30T00:00:00"/>
    <n v="7315"/>
    <s v="AB-"/>
    <s v="BE-2014 , Diploma-2014 , BSc-2006"/>
    <s v="01.09"/>
    <s v="15.03"/>
    <s v="17.00"/>
    <s v="00046540"/>
    <s v="Contracts &amp; Production consumables"/>
    <s v="70487841"/>
    <s v="Section Engineer - Procurement"/>
    <s v="Vizag"/>
    <s v="0028030019"/>
    <s v="VIZ-Personnel &amp; Admi"/>
    <s v="2000VIZOPS"/>
    <s v="20010998"/>
    <s v="Venkata Raman  Lagadapati"/>
    <s v="No"/>
    <s v="ravikanth.reddy@amns.in"/>
    <s v="9885017475"/>
    <s v="23766"/>
    <s v="DS Varma"/>
    <s v="Anil Matoo"/>
    <s v="Praveen Kuruvalli"/>
    <s v="Dhruv Vyas"/>
    <n v="0"/>
  </r>
  <r>
    <n v="1197"/>
    <n v="20019125"/>
    <s v="Robinkumar Patel"/>
    <s v="AM/NS India"/>
    <s v="Onroll"/>
    <s v="M-7"/>
    <n v="7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Lead  Human Resources"/>
    <m/>
    <s v="Human Resources"/>
    <s v=""/>
    <s v=""/>
    <s v="Non Technical Support"/>
    <s v="Human Resources Management"/>
    <s v="Essar Learning- Academy"/>
    <s v="73503001"/>
    <s v="Faculty"/>
    <s v="Hazira"/>
    <d v="1986-02-11T00:00:00"/>
    <s v="37.07"/>
    <d v="2008-03-07T00:00:00"/>
    <d v="2044-02-29T00:00:00"/>
    <m/>
    <d v="2044-02-29T00:00:00"/>
    <n v="7467"/>
    <s v="B-"/>
    <s v="BE-2013 , PG Diploma in Management-2013"/>
    <s v=""/>
    <s v="15.06"/>
    <s v="15.06"/>
    <s v="70472771"/>
    <s v="Hazira HR Operations - 2"/>
    <s v="70257420"/>
    <s v="Lead  Human Resources"/>
    <s v="Hazira"/>
    <s v="0031950061"/>
    <s v="HZ-Human Resource"/>
    <s v="2000HWO"/>
    <s v="20054512"/>
    <s v="Surinder Kumar Choudhary"/>
    <s v="No"/>
    <s v="robinkumar.patel@amns.in"/>
    <s v="9925241199"/>
    <s v="23348"/>
    <s v="Dhruv Vyas"/>
    <s v="Anil Matoo"/>
    <s v="Praveen Kuruvalli"/>
    <s v="Dhruv Vyas"/>
    <n v="0"/>
  </r>
  <r>
    <n v="1198"/>
    <n v="20019430"/>
    <s v="Goundla Prasad Goud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Plate"/>
    <s v=""/>
    <s v="Non Technical Support"/>
    <s v="Sales &amp; Marketing"/>
    <s v="Sales"/>
    <s v="73104004"/>
    <s v="OEM Sales"/>
    <s v="Hyderabad"/>
    <d v="1986-10-13T00:00:00"/>
    <s v="36.11"/>
    <d v="2008-06-10T00:00:00"/>
    <d v="2044-10-31T00:00:00"/>
    <m/>
    <d v="2044-10-31T00:00:00"/>
    <n v="7712"/>
    <s v=""/>
    <s v="BE-2008"/>
    <s v=""/>
    <s v="15.03"/>
    <s v="15.03"/>
    <s v="00052472"/>
    <s v="KAM - Plate Sales"/>
    <s v="70334286"/>
    <s v="KAM - Plate Sales"/>
    <s v="Hazira"/>
    <s v="0031581982"/>
    <s v="PLM-Marketing"/>
    <s v="2000HWO"/>
    <s v="20000909"/>
    <s v="Murali Krishna Chunduru"/>
    <s v="No"/>
    <s v="prasad.goundla@amns.in"/>
    <s v="8886445567"/>
    <s v="21842"/>
    <s v="Dhruv Vyas"/>
    <s v="Anil Matoo"/>
    <s v="Praveen Kuruvalli"/>
    <s v="Dhruv Vyas"/>
    <n v="0"/>
  </r>
  <r>
    <n v="1200"/>
    <n v="20019604"/>
    <s v="Rajan Shah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/Issue"/>
    <m/>
    <s v="Stores &amp; Warehouse"/>
    <s v="Stores &amp; Warehouse"/>
    <s v="Receipt-Issue - Pipemill"/>
    <s v="Non Technical Support"/>
    <s v="Commercial"/>
    <s v="Stores &amp; Warehouse"/>
    <s v="73806001"/>
    <s v="Stores &amp; Warehouse"/>
    <s v="Hazira"/>
    <d v="1977-01-15T00:00:00"/>
    <s v="46.08"/>
    <d v="2008-06-27T00:00:00"/>
    <d v="2035-01-31T00:00:00"/>
    <m/>
    <d v="2035-01-31T00:00:00"/>
    <n v="4151"/>
    <s v="O-"/>
    <s v="BCom-1999 , LLB-1999"/>
    <s v="03.02"/>
    <s v="15.02"/>
    <s v="18.04"/>
    <s v="70495598"/>
    <s v="Pipe Mill Store"/>
    <s v="70319646"/>
    <s v="Section Officer - Receipt/Issue"/>
    <s v="Hazira"/>
    <s v="0031950049"/>
    <s v="HZ-Central Stores"/>
    <s v="2000HWO"/>
    <s v="20019745"/>
    <s v="Devendra Kaushik"/>
    <s v="No"/>
    <s v="rajan.shah@amns.in"/>
    <s v="9925241493"/>
    <s v="24032"/>
    <s v="Dhruv Vyas"/>
    <s v="Anil Matoo"/>
    <s v="Praveen Kuruvalli"/>
    <s v="Dhruv Vyas"/>
    <n v="0"/>
  </r>
  <r>
    <n v="1205"/>
    <n v="20019682"/>
    <s v="Manish Patel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Domestic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9-05-05T00:00:00"/>
    <s v="44.04"/>
    <d v="2008-04-01T00:00:00"/>
    <d v="2037-05-31T00:00:00"/>
    <m/>
    <d v="2037-05-31T00:00:00"/>
    <n v="5002"/>
    <s v="O-"/>
    <s v="BCom-2000"/>
    <s v="07.09"/>
    <s v="15.05"/>
    <s v="23.02"/>
    <s v="70495314"/>
    <s v="Export, Domestic &amp; Banking"/>
    <s v="70237694"/>
    <s v="Officer - Domestic Banking"/>
    <s v="Hazira"/>
    <s v="0031950045"/>
    <s v="HZ-Works Accounts-Ha"/>
    <s v="2000HWO"/>
    <s v="20001077"/>
    <s v="Pradeep Parte"/>
    <s v="No"/>
    <s v="manish.patel5@amns.in"/>
    <s v="9925246222"/>
    <s v="23249"/>
    <s v="Dhruv Vyas"/>
    <s v="Anil Matoo"/>
    <s v="Praveen Kuruvalli"/>
    <s v="Dhruv Vyas"/>
    <n v="0"/>
  </r>
  <r>
    <n v="1206"/>
    <n v="20019686"/>
    <s v="Pareshkumar Ramanlal Parekh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Domestic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9-04-11T00:00:00"/>
    <s v="44.05"/>
    <d v="2008-04-01T00:00:00"/>
    <d v="2037-04-30T00:00:00"/>
    <m/>
    <d v="2037-04-30T00:00:00"/>
    <n v="4971"/>
    <s v="B-"/>
    <s v="PG Diploma in Management-1998 , MCom-199"/>
    <s v="16.00"/>
    <s v="15.05"/>
    <s v="31.05"/>
    <s v="70495314"/>
    <s v="Export, Domestic &amp; Banking"/>
    <s v="70446069"/>
    <s v="Officer - Domestic Banking"/>
    <s v="Hazira"/>
    <s v="0031950045"/>
    <s v="HZ-Works Accounts-Ha"/>
    <s v="2000HWO"/>
    <s v="20001077"/>
    <s v="Pradeep Parte"/>
    <s v="No"/>
    <s v="paresh.parekh@amns.in"/>
    <s v="9879203058"/>
    <s v="22992"/>
    <s v="Dhruv Vyas"/>
    <s v="Anil Matoo"/>
    <s v="Praveen Kuruvalli"/>
    <s v="Dhruv Vyas"/>
    <n v="0"/>
  </r>
  <r>
    <n v="1213"/>
    <n v="20019745"/>
    <s v="Devendra Kaushik"/>
    <s v="AM/NS India"/>
    <s v="Onroll"/>
    <s v="M-6"/>
    <n v="6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 Charge - Pipe Mill Store"/>
    <m/>
    <s v="Stores &amp; Warehouse"/>
    <s v="Stores &amp; Warehouse"/>
    <s v="Pipe Mill Store"/>
    <s v="Non Technical Support"/>
    <s v="Commercial"/>
    <s v="Stores &amp; Warehouse"/>
    <s v="73806001"/>
    <s v="Stores &amp; Warehouse"/>
    <s v="Hazira"/>
    <d v="1970-08-19T00:00:00"/>
    <s v="53.01"/>
    <d v="2008-07-01T00:00:00"/>
    <d v="2028-08-31T00:00:00"/>
    <m/>
    <d v="2028-08-31T00:00:00"/>
    <n v="1807"/>
    <s v="O-"/>
    <s v="Diploma-2012 , MBA-2012 , Diploma-2005 ,"/>
    <s v="16.03"/>
    <s v="15.02"/>
    <s v="31.05"/>
    <s v="70495598"/>
    <s v="Pipe Mill Store"/>
    <s v="70320354"/>
    <s v="&quot; Section In Charge - Pipe Mill Store"/>
    <s v="Hazira"/>
    <s v="0031950049"/>
    <s v="HZ-Central Stores"/>
    <s v="2000HWO"/>
    <s v="20001240"/>
    <s v="Ambrish Chaturvedi"/>
    <s v="No"/>
    <s v="devendra.kaushik@amns.in"/>
    <s v="9879100555"/>
    <s v="22181"/>
    <s v="Dhruv Vyas"/>
    <s v="Anil Matoo"/>
    <s v="Praveen Kuruvalli"/>
    <s v="Dhruv Vyas"/>
    <n v="0"/>
  </r>
  <r>
    <n v="1217"/>
    <n v="20021039"/>
    <s v="Rajesh Patel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– Export Documentation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81-12-22T00:00:00"/>
    <s v="41.08"/>
    <d v="2008-07-18T00:00:00"/>
    <d v="2039-12-31T00:00:00"/>
    <m/>
    <d v="2039-12-31T00:00:00"/>
    <n v="5946"/>
    <s v="O-"/>
    <s v="MBA-2008 , MCom-2008 , Diploma-2004"/>
    <s v="06.03"/>
    <s v="15.02"/>
    <s v="21.04"/>
    <s v="00044362"/>
    <s v="Export Documentation"/>
    <s v="70259114"/>
    <s v="Sr. Lead – Export Documentation"/>
    <s v="Hazira"/>
    <s v="0031950045"/>
    <s v="HZ-Works Accounts-Ha"/>
    <s v="2000HWO"/>
    <s v="20007731"/>
    <s v="Ashish Mehta"/>
    <s v="No"/>
    <s v="rajesh.patel@amns.in"/>
    <s v="9925241112"/>
    <s v="23336"/>
    <s v="Dhruv Vyas"/>
    <s v="Anil Matoo"/>
    <s v="Praveen Kuruvalli"/>
    <s v="Dhruv Vyas"/>
    <n v="0"/>
  </r>
  <r>
    <n v="1218"/>
    <n v="20021191"/>
    <s v="Priya Kalantri"/>
    <s v="AM/NS India"/>
    <s v="Onroll"/>
    <s v="M-6"/>
    <n v="6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EA to Deputy CFO"/>
    <m/>
    <s v="CFO Office"/>
    <s v="CFO Office"/>
    <s v="CFO Office"/>
    <s v="Non Technical Support"/>
    <s v="Finance &amp; Accounts"/>
    <s v="Treasury"/>
    <s v="73903001"/>
    <s v="Treasury"/>
    <s v="Mumbai"/>
    <d v="1984-01-10T00:00:00"/>
    <s v="39.08"/>
    <d v="2008-07-19T00:00:00"/>
    <d v="2042-01-31T00:00:00"/>
    <m/>
    <d v="2042-01-31T00:00:00"/>
    <n v="6708"/>
    <s v="B-"/>
    <s v="MBA-2008 , BCom-2008"/>
    <s v="01.01"/>
    <s v="15.02"/>
    <s v="16.03"/>
    <s v="70494654"/>
    <s v="Finance"/>
    <s v="70258416"/>
    <s v="EA to Deputy CFO"/>
    <s v="Corporate"/>
    <s v="0090000028"/>
    <s v="Corporate Steel - Wo"/>
    <s v="2000CS"/>
    <s v="20057933"/>
    <s v="Akiyo Omori"/>
    <s v="No"/>
    <s v="priya.kalantri@amns.in"/>
    <s v="9930135381"/>
    <s v="22102"/>
    <s v="Dhruv Vyas"/>
    <s v="Anil Matoo"/>
    <s v="Praveen Kuruvalli"/>
    <s v="Dhruv Vyas"/>
    <n v="0"/>
  </r>
  <r>
    <n v="1219"/>
    <n v="20021262"/>
    <s v="Abhishek Srivastav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– Automotive Sales"/>
    <m/>
    <s v="Auto"/>
    <s v="Auto"/>
    <s v=""/>
    <s v="Non Technical Support"/>
    <s v="Sales &amp; Marketing"/>
    <s v="Sales"/>
    <s v="73104004"/>
    <s v="OEM Sales"/>
    <s v="Mumbai"/>
    <d v="1983-08-05T00:00:00"/>
    <s v="40.01"/>
    <d v="2008-06-23T00:00:00"/>
    <d v="2041-08-31T00:00:00"/>
    <m/>
    <d v="2041-08-31T00:00:00"/>
    <n v="6555"/>
    <s v="B-"/>
    <s v="MBA-2008 , BTech-2008"/>
    <s v=""/>
    <s v="15.02"/>
    <s v="15.02"/>
    <s v="70343195"/>
    <s v="Automotive Sales &amp; Service Centers"/>
    <s v="70385921"/>
    <s v="Sr. KAM – Automotive Sales"/>
    <s v="Hazira"/>
    <s v="0031950057"/>
    <s v="HZ-HRC - Marketing"/>
    <s v="2000HWO"/>
    <s v="20016767"/>
    <s v="Raghavan Venkatachalam"/>
    <s v="No"/>
    <s v="abhishek.srivastava@amns.in"/>
    <s v="9930135163"/>
    <s v="24358"/>
    <s v="Dhruv Vyas"/>
    <s v="Anil Matoo"/>
    <s v="Praveen Kuruvalli"/>
    <s v="Dhruv Vyas"/>
    <n v="0"/>
  </r>
  <r>
    <n v="1246"/>
    <n v="20022866"/>
    <s v="Surya Avinash Akondi"/>
    <s v="AM/NS India"/>
    <s v="Onroll"/>
    <s v="M-7"/>
    <n v="7"/>
    <m/>
    <s v="MM"/>
    <s v="M"/>
    <s v="Vizag"/>
    <n v="3"/>
    <s v="2012"/>
    <x v="7"/>
    <s v="34.01"/>
    <s v="Ambrish Chaturvedi"/>
    <s v="Hrishikesh Kamat"/>
    <n v="7"/>
    <s v="Procurement"/>
    <s v="Stores &amp; Warehouse"/>
    <s v="34"/>
    <s v="Engineer - Procurement"/>
    <m/>
    <s v="Procurement"/>
    <s v="Mechanical"/>
    <s v="Mechanical"/>
    <s v="Non Technical Support"/>
    <s v="Operations"/>
    <s v="Plant Operations"/>
    <s v="72103005"/>
    <s v="Shift Operations"/>
    <s v="Vizag"/>
    <d v="1989-11-26T00:00:00"/>
    <s v="33.09"/>
    <d v="2008-09-05T00:00:00"/>
    <d v="2047-11-30T00:00:00"/>
    <m/>
    <d v="2047-11-30T00:00:00"/>
    <n v="8837"/>
    <s v=""/>
    <s v="Diploma-2008"/>
    <s v=""/>
    <s v="15.00"/>
    <s v="15.00"/>
    <s v="70301353"/>
    <s v="Procurement - Vizag &amp; Chitrakonda"/>
    <s v="70372812"/>
    <s v="Engineer - Procurement"/>
    <s v="Vizag"/>
    <s v="0028030019"/>
    <s v="VIZ-Personnel &amp; Admi"/>
    <s v="2000VIZOPS"/>
    <s v="20000200"/>
    <s v="A Venkateswara Rao"/>
    <s v="No"/>
    <s v="akondi.surya@amns.in"/>
    <s v="8886385679"/>
    <s v="24398"/>
    <s v="DS Varma"/>
    <s v="Anil Matoo"/>
    <s v="Praveen Kuruvalli"/>
    <s v="Dhruv Vyas"/>
    <n v="0"/>
  </r>
  <r>
    <n v="1274"/>
    <n v="20023325"/>
    <s v="Prashant Gadhethri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s Unloading"/>
    <m/>
    <s v="Stores &amp; Warehouse"/>
    <s v="Stores &amp; Warehouse"/>
    <s v="Receipt, Unloading &amp; Insurance"/>
    <s v="Non Technical Support"/>
    <s v="Commercial"/>
    <s v="Stores &amp; Warehouse"/>
    <s v="73806001"/>
    <s v="Stores &amp; Warehouse"/>
    <s v="Hazira"/>
    <d v="1989-01-26T00:00:00"/>
    <s v="34.07"/>
    <d v="2008-09-09T00:00:00"/>
    <d v="2047-01-31T00:00:00"/>
    <m/>
    <d v="2047-01-31T00:00:00"/>
    <n v="8534"/>
    <s v=""/>
    <s v="Diploma-2008 , Diploma-2008"/>
    <s v=""/>
    <s v="15.00"/>
    <s v="15.00"/>
    <s v="00053276"/>
    <s v="Issue/Shifting - Plant B"/>
    <s v="70259397"/>
    <s v="Section Officer - Receipts Unloading"/>
    <s v="Hazira"/>
    <s v="0031950049"/>
    <s v="HZ-Central Stores"/>
    <s v="2000HWO"/>
    <s v="20016604"/>
    <s v="Punit Verma"/>
    <s v="No"/>
    <s v="prashant.gadhetharia@amns.in"/>
    <s v="9909901893"/>
    <s v="21724"/>
    <s v="Dhruv Vyas"/>
    <s v="Anil Matoo"/>
    <s v="Praveen Kuruvalli"/>
    <s v="Dhruv Vyas"/>
    <n v="0"/>
  </r>
  <r>
    <n v="1304"/>
    <n v="20023490"/>
    <s v="Pankaj Suklech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"/>
    <m/>
    <s v="North"/>
    <s v="Hypermart"/>
    <s v=""/>
    <s v="Non Technical Support"/>
    <s v="Finance &amp; Accounts"/>
    <s v="Insurance &amp; Risk Management"/>
    <s v="73905001"/>
    <s v="Insurance &amp; Risk Managmen"/>
    <s v="Jaipur"/>
    <d v="1984-02-18T00:00:00"/>
    <s v="39.07"/>
    <d v="2008-09-24T00:00:00"/>
    <d v="2042-02-28T00:00:00"/>
    <m/>
    <d v="2042-02-28T00:00:00"/>
    <n v="6736"/>
    <s v="O+"/>
    <s v="MBA-2005 , BCom-2005"/>
    <s v="01.01"/>
    <s v="14.11"/>
    <s v="16.00"/>
    <s v="00052526"/>
    <s v="Sales - North"/>
    <s v="70324106"/>
    <s v="Sales Manager - Hypermart"/>
    <s v="Hazira"/>
    <s v="0060120300"/>
    <s v="HMART-Raj-Jaipur"/>
    <s v="2000HWO"/>
    <s v="20007322"/>
    <s v="Sanjay Bohra"/>
    <s v="No"/>
    <s v="pankaj.suklecha@amns.in"/>
    <s v="9879103251"/>
    <s v="24382"/>
    <s v="Dhruv Vyas"/>
    <s v="Anil Matoo"/>
    <s v="Praveen Kuruvalli"/>
    <s v="Dhruv Vyas"/>
    <n v="0"/>
  </r>
  <r>
    <n v="1310"/>
    <n v="20024714"/>
    <s v="Alok Mittal"/>
    <s v="AM/NS India"/>
    <s v="Onroll"/>
    <s v="M-5"/>
    <n v="5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Senior Lead - Contracts"/>
    <m/>
    <s v="Contracts"/>
    <s v="Contracts"/>
    <s v="CRM, Admin, Oxy,Plant, Documentation"/>
    <s v="Non Technical Support"/>
    <s v="Commercial"/>
    <s v="Contracts &amp; Tenders and E-bid"/>
    <s v="73805001"/>
    <s v="Contracts &amp; Tenders and E"/>
    <s v="AM/NS Hazira"/>
    <d v="1981-05-15T00:00:00"/>
    <s v="42.04"/>
    <d v="2008-12-15T00:00:00"/>
    <d v="2039-05-31T00:00:00"/>
    <m/>
    <d v="2039-05-31T00:00:00"/>
    <n v="5732"/>
    <s v="B+"/>
    <s v="MBA-2008 , BE-2008"/>
    <s v="02.05"/>
    <s v="14.09"/>
    <s v="17.02"/>
    <s v="70495670"/>
    <s v="Contracts"/>
    <s v="70320439"/>
    <s v="Senior Lead - Contracts"/>
    <s v="Hazira"/>
    <s v="0031950047"/>
    <s v="HZ-Contracts"/>
    <s v="2000HWO"/>
    <s v="20000795"/>
    <s v="Pankaj Chaturvedi"/>
    <s v="No"/>
    <s v="alok.mittal@amns.in"/>
    <s v="9879100726"/>
    <s v="22651"/>
    <s v="Dhruv Vyas"/>
    <s v="Anil Matoo"/>
    <s v="Praveen Kuruvalli"/>
    <s v="Dhruv Vyas"/>
    <n v="0"/>
  </r>
  <r>
    <n v="1334"/>
    <n v="20026469"/>
    <s v="Soumya Ranjan Rout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Engineers - Procurement (PP SP &amp; CPP)"/>
    <m/>
    <s v="Procurement"/>
    <s v="Procurement"/>
    <s v="Purchase"/>
    <s v="Non Technical Support"/>
    <s v="Commercial"/>
    <s v="Purchase"/>
    <s v="73804001"/>
    <s v="Purchase"/>
    <s v="Vizag"/>
    <d v="1986-07-06T00:00:00"/>
    <s v="37.02"/>
    <d v="2009-07-23T00:00:00"/>
    <d v="2044-07-31T00:00:00"/>
    <m/>
    <d v="2044-07-31T00:00:00"/>
    <n v="7620"/>
    <s v="A-"/>
    <s v="Intermediate-2015 , PG Diploma in Manage"/>
    <s v=""/>
    <s v="14.01"/>
    <s v="14.01"/>
    <s v="70301353"/>
    <s v="Procurement - Vizag &amp; Chitrakonda"/>
    <s v="70369061"/>
    <s v="Engineers - Procurement (PP SP &amp; CPP)"/>
    <s v="Vizag"/>
    <s v="0028030019"/>
    <s v="VIZ-Personnel &amp; Admi"/>
    <s v="2000VIZOPS"/>
    <s v="20000200"/>
    <s v="A Venkateswara Rao"/>
    <s v="No"/>
    <s v="soumya.rout@amns.in"/>
    <s v="8297092555"/>
    <s v="23802"/>
    <s v="DS Varma"/>
    <s v="Anil Matoo"/>
    <s v="Praveen Kuruvalli"/>
    <s v="Dhruv Vyas"/>
    <n v="0"/>
  </r>
  <r>
    <n v="1381"/>
    <n v="20026951"/>
    <s v="Bhavesh Rathod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SMP, RHTOB, UTY,HMM, Lime Plant-Mech"/>
    <s v="Non Technical Support"/>
    <s v="Commercial"/>
    <s v="Stores &amp; Warehouse"/>
    <s v="73806001"/>
    <s v="Stores &amp; Warehouse"/>
    <s v="Hazira"/>
    <d v="1991-02-08T00:00:00"/>
    <s v="32.07"/>
    <d v="2009-08-19T00:00:00"/>
    <d v="2049-02-28T00:00:00"/>
    <m/>
    <d v="2049-02-28T00:00:00"/>
    <n v="9293"/>
    <s v="O+"/>
    <s v="Diploma-2009"/>
    <s v=""/>
    <s v="14.01"/>
    <s v="14.01"/>
    <s v="00053276"/>
    <s v="Issue/Shifting - Plant B"/>
    <s v="70319972"/>
    <s v="Section Officer - Issue/Shifting"/>
    <s v="Hazira"/>
    <s v="0031950049"/>
    <s v="HZ-Central Stores"/>
    <s v="2000HWO"/>
    <s v="20016604"/>
    <s v="Punit Verma"/>
    <s v="No"/>
    <s v="bhaveshkumar.rathod@amns.in"/>
    <s v="9909901085"/>
    <s v="23734"/>
    <s v="Dhruv Vyas"/>
    <s v="Anil Matoo"/>
    <s v="Praveen Kuruvalli"/>
    <s v="Dhruv Vyas"/>
    <n v="0"/>
  </r>
  <r>
    <n v="1394"/>
    <n v="20027199"/>
    <s v="Sharan Mahagoan"/>
    <s v="AM/NS India"/>
    <s v="Onroll"/>
    <s v="M-8"/>
    <n v="8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Lead - Procurement"/>
    <m/>
    <s v="Procurement"/>
    <s v="Procurement"/>
    <s v="Procurement"/>
    <s v="Non Technical Support"/>
    <s v="Operations"/>
    <s v="Plant Maintenance"/>
    <s v="72103008"/>
    <s v="Mechanical Maintenance"/>
    <s v="Dabuna"/>
    <d v="1987-11-30T00:00:00"/>
    <s v="35.09"/>
    <d v="2009-08-29T00:00:00"/>
    <d v="2045-11-30T00:00:00"/>
    <m/>
    <d v="2045-11-30T00:00:00"/>
    <n v="8107"/>
    <s v=""/>
    <s v="BE-2009"/>
    <s v=""/>
    <s v="14.00"/>
    <s v="14.00"/>
    <s v="70494404"/>
    <s v="Procurement - Dabuna"/>
    <s v="70326779"/>
    <s v="Lead - Procurement"/>
    <s v="Odisha"/>
    <s v="0022010019"/>
    <s v="DBN-Benf-HR/Admin"/>
    <s v="2000STORIS"/>
    <s v="20017569"/>
    <s v="Girija Das"/>
    <s v="No"/>
    <s v="sharan.mahagoan@amns.in"/>
    <s v="9437058214"/>
    <s v="22463"/>
    <s v="Sunila Das"/>
    <s v="Anil Matoo"/>
    <s v="Praveen Kuruvalli"/>
    <s v="Sunila Das"/>
    <n v="0"/>
  </r>
  <r>
    <n v="1403"/>
    <n v="20027374"/>
    <s v="Ravi Borra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Section Engineer -  Procurement"/>
    <m/>
    <s v="Vizag Operations"/>
    <s v="Production"/>
    <s v="Production"/>
    <s v="Non Technical Support"/>
    <s v="Operations"/>
    <s v="Operations"/>
    <s v="72103001"/>
    <s v="Operations"/>
    <s v="Vizag"/>
    <d v="1982-08-18T00:00:00"/>
    <s v="41.01"/>
    <d v="2009-09-14T00:00:00"/>
    <d v="2040-08-31T00:00:00"/>
    <m/>
    <d v="2040-08-31T00:00:00"/>
    <n v="6190"/>
    <s v="O-"/>
    <s v="BTech-2010"/>
    <s v="07.10"/>
    <s v="14.00"/>
    <s v="21.10"/>
    <s v="70301353"/>
    <s v="Procurement - Vizag &amp; Chitrakonda"/>
    <s v="70449380"/>
    <s v="Section Engineer -  Procurement"/>
    <s v="Vizag"/>
    <s v="0028030019"/>
    <s v="VIZ-Personnel &amp; Admi"/>
    <s v="2000VIZOPS"/>
    <s v="20000200"/>
    <s v="A Venkateswara Rao"/>
    <s v="No"/>
    <s v="ravikishore.borra@amns.in"/>
    <s v="8886154111"/>
    <s v="21314"/>
    <s v="DS Varma"/>
    <s v="Anil Matoo"/>
    <s v="Praveen Kuruvalli"/>
    <s v="Dhruv Vyas"/>
    <n v="0"/>
  </r>
  <r>
    <n v="1407"/>
    <n v="20027573"/>
    <s v="Rajesh Malu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GST"/>
    <m/>
    <s v="Taxation"/>
    <s v="In Direct - Taxation"/>
    <s v="Indirect Taxation"/>
    <s v="Non Technical Support"/>
    <s v="Finance &amp; Accounts"/>
    <s v="Finance &amp; Accounts"/>
    <s v="73901002"/>
    <s v="Corporate Accounts &amp; Audi"/>
    <s v="AM/NS Hazira"/>
    <d v="1987-06-23T00:00:00"/>
    <s v="36.02"/>
    <d v="2009-10-01T00:00:00"/>
    <d v="2045-06-30T00:00:00"/>
    <m/>
    <d v="2045-06-30T00:00:00"/>
    <n v="7954"/>
    <s v="A+"/>
    <s v="CS-2009 , CA Final-2009 , BCom-2007"/>
    <s v=""/>
    <s v="13.11"/>
    <s v="13.11"/>
    <s v="00044380"/>
    <s v="GST - Hazira Assets - 2"/>
    <s v="70320447"/>
    <s v="Sr. lead - GST"/>
    <s v="Hazira"/>
    <s v="0031950044"/>
    <s v="HZ-Commercial Taxati"/>
    <s v="2000HWO"/>
    <s v="20055962"/>
    <s v="Navin Kewalramani"/>
    <s v="No"/>
    <s v="rajesh.malu@amns.in"/>
    <s v="9879100796"/>
    <s v="22512"/>
    <s v="Dhruv Vyas"/>
    <s v="Anil Matoo"/>
    <s v="Praveen Kuruvalli"/>
    <s v="Dhruv Vyas"/>
    <n v="0"/>
  </r>
  <r>
    <n v="1441"/>
    <n v="20028099"/>
    <s v="Nimisha Patel"/>
    <s v="AM/NS India"/>
    <s v="Onroll"/>
    <s v="M-8"/>
    <n v="8"/>
    <m/>
    <s v="JM"/>
    <s v="F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&quot;&quot;&quot;Issue &amp; Receipt - HSM, SMP, Caster-MEC, UTY"/>
    <s v="Non Technical Support"/>
    <s v="Commercial"/>
    <s v="Stores &amp; Warehouse"/>
    <s v="73806001"/>
    <s v="Stores &amp; Warehouse"/>
    <s v="Hazira"/>
    <d v="1988-04-08T00:00:00"/>
    <s v="35.05"/>
    <d v="2009-10-26T00:00:00"/>
    <d v="2046-04-30T00:00:00"/>
    <m/>
    <d v="2046-04-30T00:00:00"/>
    <n v="8258"/>
    <s v=""/>
    <s v="Diploma-2008"/>
    <s v=""/>
    <s v="13.10"/>
    <s v="13.10"/>
    <s v="00053276"/>
    <s v="Issue/Shifting - Plant B"/>
    <s v="70320031"/>
    <s v="Section Officer - Issue/Shifting"/>
    <s v="Hazira"/>
    <s v="0031950049"/>
    <s v="HZ-Central Stores"/>
    <s v="2000HWO"/>
    <s v="20016604"/>
    <s v="Punit Verma"/>
    <s v="No"/>
    <s v="nimisha.patel@amns.in"/>
    <s v="9909901301"/>
    <s v="23298"/>
    <s v="Dhruv Vyas"/>
    <s v="Anil Matoo"/>
    <s v="Praveen Kuruvalli"/>
    <s v="Dhruv Vyas"/>
    <n v="0"/>
  </r>
  <r>
    <n v="1453"/>
    <n v="20028777"/>
    <s v="Narendra Dugar"/>
    <s v="AM/NS India"/>
    <s v="Onroll"/>
    <s v="M-5"/>
    <n v="5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Internal Audit Hazira"/>
    <m/>
    <s v="Internal Audit"/>
    <s v="Internal Audit"/>
    <s v="Internal Audit"/>
    <s v="Non Technical Support"/>
    <s v="Finance &amp; Accounts"/>
    <s v="Insurance &amp; Risk Management"/>
    <s v="73905001"/>
    <s v="Insurance &amp; Risk Managmen"/>
    <s v="AM/NS Hazira"/>
    <d v="1982-10-21T00:00:00"/>
    <s v="40.10"/>
    <d v="2009-12-10T00:00:00"/>
    <d v="2040-10-31T00:00:00"/>
    <m/>
    <d v="2040-10-31T00:00:00"/>
    <n v="6251"/>
    <s v="O-"/>
    <s v="MCom-2005 , BCom-2005 , CA Final-2003"/>
    <s v="02.01"/>
    <s v="13.09"/>
    <s v="15.10"/>
    <s v="00044330"/>
    <s v="Internal Audit - Hazira"/>
    <s v="70386056"/>
    <s v="Sr. Lead Internal Audit Hazira"/>
    <s v="Hazira"/>
    <s v="0090000035"/>
    <s v="Internal Audit"/>
    <s v="2000HWO"/>
    <s v="20055486"/>
    <s v="Nilesh Likhite"/>
    <s v="No"/>
    <s v="narendra.dugar@amns.in"/>
    <s v="9879100706"/>
    <s v="21706"/>
    <s v="Dhruv Vyas"/>
    <s v="Anil Matoo"/>
    <s v="Praveen Kuruvalli"/>
    <s v="Dhruv Vyas"/>
    <n v="0"/>
  </r>
  <r>
    <n v="1454"/>
    <n v="20028863"/>
    <s v="Keshav Dehariya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Central Zone"/>
    <s v="Non Technical Support"/>
    <s v="Operations"/>
    <s v="Plant Maintenance"/>
    <s v="72103009"/>
    <s v="Electrical Maintenance"/>
    <s v="Indore"/>
    <d v="1986-08-13T00:00:00"/>
    <s v="37.01"/>
    <d v="2009-11-23T00:00:00"/>
    <d v="2044-08-31T00:00:00"/>
    <m/>
    <d v="2044-08-31T00:00:00"/>
    <n v="7651"/>
    <s v="O-"/>
    <s v="BE-2009 , High School-2009 , High School"/>
    <s v=""/>
    <s v="13.09"/>
    <s v="13.09"/>
    <s v="00048138"/>
    <s v="Hypermart west"/>
    <s v="70450022"/>
    <s v="Sales Manager - Hypermart"/>
    <s v="Hypermart"/>
    <s v="0060110700"/>
    <s v="HMART-MP-Pithampur"/>
    <s v="2000SRET"/>
    <s v="20056847"/>
    <s v="Vikas Chotia"/>
    <s v="No"/>
    <s v="keshav.dehariya@amns.in"/>
    <s v="9522198100"/>
    <s v="21558"/>
    <s v="Dhruv Vyas"/>
    <s v="Anil Matoo"/>
    <s v="Praveen Kuruvalli"/>
    <s v="Dhruv Vyas"/>
    <n v="0"/>
  </r>
  <r>
    <n v="1455"/>
    <n v="20028961"/>
    <s v="Anshuman Majhi"/>
    <s v="AM/NS India"/>
    <s v="Onroll"/>
    <s v="M-5"/>
    <n v="5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Sr. Lead  - Costing &amp; MIS"/>
    <m/>
    <s v="Finance &amp; Accounts - Odisha"/>
    <s v="Finance &amp; Accounts"/>
    <s v="Costing &amp; MIS"/>
    <s v="Non Technical Support"/>
    <s v="Finance &amp; Accounts"/>
    <s v="Finance &amp; Accounts"/>
    <s v="73901001"/>
    <s v="Finance &amp; Accounts"/>
    <s v="Dabuna"/>
    <d v="1965-07-08T00:00:00"/>
    <s v="58.02"/>
    <d v="2009-12-11T00:00:00"/>
    <d v="2023-07-31T00:00:00"/>
    <d v="2024-07-31T00:00:00"/>
    <d v="2024-07-31T00:00:00"/>
    <n v="315"/>
    <s v="B-"/>
    <s v="ICWA Final-2011 , PG Diploma in Manageme"/>
    <s v="22.05"/>
    <s v="13.09"/>
    <s v="36.02"/>
    <s v="70234933"/>
    <s v="Finance &amp; Accounts - Odisha"/>
    <s v="70375779"/>
    <s v="Sr. Lead  - Costing &amp; MIS"/>
    <s v="Odisha"/>
    <s v="0022030019"/>
    <s v="PDP-HR &amp; Admn"/>
    <s v="2000STORIS"/>
    <s v="20055801"/>
    <s v="Sanjive Kumar Singh"/>
    <s v="No"/>
    <s v="anshuman.majhi@amns.in"/>
    <s v="9437481167"/>
    <s v="22490"/>
    <s v="Sunila Das"/>
    <s v="Anil Matoo"/>
    <s v="Praveen Kuruvalli"/>
    <s v="Sunila Das"/>
    <n v="0"/>
  </r>
  <r>
    <n v="1474"/>
    <n v="20029041"/>
    <s v="Siddharth Patel"/>
    <s v="AM/NS India"/>
    <s v="Onroll"/>
    <s v="M-7"/>
    <n v="7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Contracts"/>
    <s v="Non Technical Support"/>
    <s v="Services"/>
    <s v="Maintenance Services"/>
    <s v="72103012"/>
    <s v="Maintenance Services"/>
    <s v="AM/NS Hazira"/>
    <d v="1987-12-27T00:00:00"/>
    <s v="35.08"/>
    <d v="2009-11-26T00:00:00"/>
    <d v="2045-12-31T00:00:00"/>
    <m/>
    <d v="2045-12-31T00:00:00"/>
    <n v="8138"/>
    <s v="B+"/>
    <s v="BE-2009"/>
    <s v=""/>
    <s v="13.09"/>
    <s v="13.09"/>
    <s v="70495670"/>
    <s v="Contracts"/>
    <s v="70259203"/>
    <s v="Lead - Contracts"/>
    <s v="Hazira"/>
    <s v="0031950047"/>
    <s v="HZ-Contracts"/>
    <s v="2000HWO"/>
    <s v="20000795"/>
    <s v="Pankaj Chaturvedi"/>
    <s v="No"/>
    <s v="siddharth.patel@amns.in"/>
    <s v="9879101862"/>
    <s v="23382"/>
    <s v="Dhruv Vyas"/>
    <s v="Anil Matoo"/>
    <s v="Praveen Kuruvalli"/>
    <s v="Dhruv Vyas"/>
    <n v="0"/>
  </r>
  <r>
    <n v="1691"/>
    <n v="20029683"/>
    <s v="Pallav Vadgama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"/>
    <s v="Non Technical Support"/>
    <s v="Sales &amp; Marketing"/>
    <s v="Sales"/>
    <s v="73104004"/>
    <s v="OEM Sales"/>
    <s v="Ahmedabad"/>
    <d v="1987-01-21T00:00:00"/>
    <s v="36.07"/>
    <d v="2009-11-20T00:00:00"/>
    <d v="2045-01-31T00:00:00"/>
    <m/>
    <d v="2045-01-31T00:00:00"/>
    <n v="7804"/>
    <s v="O-"/>
    <s v="BE-2009"/>
    <s v=""/>
    <s v="13.09"/>
    <s v="13.09"/>
    <s v="70265035"/>
    <s v="Value Recovery"/>
    <s v="70336309"/>
    <s v="Sales Manager"/>
    <s v="Hazira"/>
    <s v="0031950057"/>
    <s v="HZ-HRC - Marketing"/>
    <s v="2000HWO"/>
    <s v="20016382"/>
    <s v="Kunal Bhardwaj"/>
    <s v="No"/>
    <s v="pallav.vadgama@amns.in"/>
    <s v="9099934874"/>
    <s v="24606"/>
    <s v="Dhruv Vyas"/>
    <s v="Anil Matoo"/>
    <s v="Praveen Kuruvalli"/>
    <s v="Dhruv Vyas"/>
    <n v="0"/>
  </r>
  <r>
    <n v="1733"/>
    <n v="20030332"/>
    <s v="Darshan Desai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Project Administration"/>
    <m/>
    <s v="Hazira Operations"/>
    <s v="SMS"/>
    <s v="Secondary Metallurgy"/>
    <s v="Non Technical Support"/>
    <s v="Operations"/>
    <s v="Plant Operations"/>
    <s v="72103005"/>
    <s v="Shift Operations"/>
    <s v="Hazira"/>
    <d v="1976-10-07T00:00:00"/>
    <s v="46.11"/>
    <d v="2010-02-20T00:00:00"/>
    <d v="2034-10-31T00:00:00"/>
    <m/>
    <d v="2034-10-31T00:00:00"/>
    <n v="4059"/>
    <s v="A-"/>
    <s v="Diploma-1999"/>
    <s v="09.04"/>
    <s v="13.06"/>
    <s v="22.10"/>
    <s v="00049719"/>
    <s v="Administration Hazira"/>
    <s v="70202819"/>
    <s v="Lead - Project Administration"/>
    <s v="Hazira"/>
    <s v="0031323111"/>
    <s v="CONARC - Plant B - O"/>
    <s v="2000HWO"/>
    <s v="20057886"/>
    <s v="Shakir Bandwala"/>
    <s v="No"/>
    <s v="darshan.desai@amns.in"/>
    <s v="9909902497"/>
    <s v="21575"/>
    <s v="Surinder Choudhary"/>
    <s v="Anil Matoo"/>
    <n v="0"/>
    <s v="Surinder Choudhary"/>
    <s v="Robin Patel"/>
  </r>
  <r>
    <n v="1794"/>
    <n v="20031922"/>
    <s v="Nalla Shyamala"/>
    <s v="AM/NS India"/>
    <s v="Onroll"/>
    <s v="M-6"/>
    <n v="6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Sr. Lead - EXIM"/>
    <m/>
    <s v="Taxation"/>
    <s v="EXIM"/>
    <s v="EXIM"/>
    <s v="Non Technical Support"/>
    <s v="Finance &amp; Accounts"/>
    <s v="Corporate Finance"/>
    <s v="73902001"/>
    <s v="Corporate Finance"/>
    <s v="Mumbai"/>
    <d v="1971-02-13T00:00:00"/>
    <s v="52.07"/>
    <d v="2010-05-27T00:00:00"/>
    <d v="2029-02-28T00:00:00"/>
    <m/>
    <d v="2029-02-28T00:00:00"/>
    <n v="1988"/>
    <s v="A-"/>
    <s v="Certificate-1999 , Diploma-1999 , BCom-1"/>
    <s v="19.04"/>
    <s v="13.03"/>
    <s v="32.07"/>
    <s v="70072408"/>
    <s v="Customs / DGFT / EXIM"/>
    <s v="70224406"/>
    <s v="Sr. Lead - EXIM"/>
    <s v="Hazira"/>
    <s v="0090000033"/>
    <s v="Corporate Taxation"/>
    <s v="2000HWO"/>
    <s v="20047664"/>
    <s v="Devang Desai"/>
    <s v="No"/>
    <s v="shyamala.nalla@amns.in"/>
    <s v="9930136459"/>
    <s v="22783"/>
    <s v="Dhruv Vyas"/>
    <s v="Anil Matoo"/>
    <s v="Praveen Kuruvalli"/>
    <s v="Dhruv Vyas"/>
    <n v="0"/>
  </r>
  <r>
    <n v="1832"/>
    <n v="20033268"/>
    <s v="Rathish R"/>
    <s v="AM/NS India"/>
    <s v="Onroll"/>
    <s v="M-7"/>
    <n v="7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South"/>
    <s v="Auto"/>
    <s v="Domestic"/>
    <s v="Non Technical Support"/>
    <s v="Sales &amp; Marketing"/>
    <s v="Sales"/>
    <s v="73104004"/>
    <s v="OEM Sales"/>
    <s v="Pune AMNS"/>
    <d v="1984-06-23T00:00:00"/>
    <s v="39.02"/>
    <d v="2010-08-07T00:00:00"/>
    <d v="2042-06-30T00:00:00"/>
    <m/>
    <d v="2042-06-30T00:00:00"/>
    <n v="6858"/>
    <s v="O-"/>
    <s v="BCom-2009 , MBA-2009"/>
    <s v="01.02"/>
    <s v="13.01"/>
    <s v="14.03"/>
    <s v="00052468"/>
    <s v="Automotive Sales - Chennai"/>
    <s v="70228566"/>
    <s v="KAM – Automotive Sales"/>
    <s v="Pune Facility"/>
    <s v="0035950073"/>
    <s v="Pune - S&amp;D Export"/>
    <s v="2000ESPF"/>
    <s v="20047658"/>
    <s v="Balamurugan Gurusamy"/>
    <s v="No"/>
    <s v="rathish.r@amns.in"/>
    <s v="8939900882"/>
    <s v="23604"/>
    <s v="Dhruv Vyas"/>
    <s v="Anil Matoo"/>
    <s v="Praveen Kuruvalli"/>
    <s v="Dhruv Vyas"/>
    <n v="0"/>
  </r>
  <r>
    <n v="1892"/>
    <n v="20034319"/>
    <s v="Ashokkumar Mehe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r - Sales &amp; Mkt"/>
    <m/>
    <s v="Pipe"/>
    <s v="Pipe"/>
    <s v=""/>
    <s v="Non Technical Support"/>
    <s v="Sales &amp; Marketing"/>
    <s v="Sales &amp; Marketing"/>
    <s v="73101001"/>
    <s v="Sales &amp; Marketing"/>
    <s v="Noida"/>
    <d v="1986-05-02T00:00:00"/>
    <s v="37.04"/>
    <d v="2010-09-23T00:00:00"/>
    <d v="2044-05-31T00:00:00"/>
    <m/>
    <d v="2044-05-31T00:00:00"/>
    <n v="7559"/>
    <s v="A-"/>
    <s v="BTech-2007"/>
    <s v="03.03"/>
    <s v="12.11"/>
    <s v="16.03"/>
    <s v="70387159"/>
    <s v="Pipe Sales"/>
    <s v="70230900"/>
    <s v="Sales Manager - Domestics Pipe Sales"/>
    <s v="Hazira"/>
    <s v="0031591982"/>
    <s v="PM-Marketing"/>
    <s v="2000HWO"/>
    <s v="20007414"/>
    <s v="Gaurav Sharma"/>
    <s v="No"/>
    <s v="ashok.meher@amns.in"/>
    <s v="8376904700"/>
    <s v="22576"/>
    <s v="Dhruv Vyas"/>
    <s v="Anil Matoo"/>
    <s v="Praveen Kuruvalli"/>
    <s v="Dhruv Vyas"/>
    <n v="0"/>
  </r>
  <r>
    <n v="1898"/>
    <n v="20034616"/>
    <s v="Bimal Parida"/>
    <s v="AM/NS India"/>
    <s v="Onroll"/>
    <s v="M-8"/>
    <n v="8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Lead - Procurement"/>
    <m/>
    <s v="Procurement"/>
    <s v="Procurement"/>
    <s v="Procurement"/>
    <s v="Non Technical Support"/>
    <s v="Operations"/>
    <s v="Plant Maintenance"/>
    <s v="72103009"/>
    <s v="Electrical Maintenance"/>
    <s v="Dabuna"/>
    <d v="1988-04-23T00:00:00"/>
    <s v="35.04"/>
    <d v="2010-08-23T00:00:00"/>
    <d v="2046-04-30T00:00:00"/>
    <m/>
    <d v="2046-04-30T00:00:00"/>
    <n v="8258"/>
    <s v="A-"/>
    <s v="BTech-2010"/>
    <s v=""/>
    <s v="13.00"/>
    <s v="13.00"/>
    <s v="70494404"/>
    <s v="Procurement - Dabuna"/>
    <s v="70319754"/>
    <s v="Lead - Procurement"/>
    <s v="Odisha"/>
    <s v="0022010019"/>
    <s v="DBN-Benf-HR/Admin"/>
    <s v="2000STORIS"/>
    <s v="20017569"/>
    <s v="Girija Das"/>
    <s v="No"/>
    <s v="bimal.parida@amns.in"/>
    <s v="9437061139"/>
    <s v="22995"/>
    <s v="Sunila Das"/>
    <s v="Anil Matoo"/>
    <s v="Praveen Kuruvalli"/>
    <s v="Sunila Das"/>
    <n v="0"/>
  </r>
  <r>
    <n v="1943"/>
    <n v="20035527"/>
    <s v="Anil Patro"/>
    <s v="AM/NS India"/>
    <s v="Onroll"/>
    <s v="M-4"/>
    <n v="4"/>
    <m/>
    <s v="SM"/>
    <s v="M"/>
    <s v="Hazira"/>
    <n v="1"/>
    <s v="2095"/>
    <x v="4"/>
    <n v="36.01"/>
    <s v="Deepak Sindkar"/>
    <s v="Hrishikesh Kamat"/>
    <n v="7"/>
    <s v="Procurement"/>
    <s v="Raw Materials"/>
    <s v="36"/>
    <s v="Head – Iron Bearing Materials"/>
    <m/>
    <s v="Bulk Raw Materials"/>
    <s v="Raw Material"/>
    <s v="Iron Ore"/>
    <s v="Non Technical Support"/>
    <s v="Sales &amp; Marketing"/>
    <s v="Business Development"/>
    <s v="73103001"/>
    <s v="Business Development"/>
    <s v="Mumbai"/>
    <d v="1970-03-01T00:00:00"/>
    <s v="53.06"/>
    <d v="2010-12-10T00:00:00"/>
    <d v="2028-02-29T00:00:00"/>
    <m/>
    <d v="2028-02-29T00:00:00"/>
    <n v="1623"/>
    <s v="A-"/>
    <s v="BSc-1992 , MSc-1992"/>
    <s v="17.10"/>
    <s v="12.09"/>
    <s v="30.07"/>
    <s v="00045893"/>
    <s v="Red Odisha Mill Scale"/>
    <s v="70258515"/>
    <s v="Head – Iron Bearing Materials"/>
    <s v="Hazira"/>
    <s v="0031950048"/>
    <s v="HZ-Procurment Depart"/>
    <s v="2000HWO"/>
    <s v="20000253"/>
    <s v="Deepak Sindkar"/>
    <s v="No"/>
    <s v="anil.patro@amns.in"/>
    <s v="9930136253"/>
    <s v="23475"/>
    <s v="Dhruv Vyas"/>
    <s v="Anil Matoo"/>
    <s v="Praveen Kuruvalli"/>
    <s v="Dhruv Vyas"/>
    <n v="0"/>
  </r>
  <r>
    <n v="1964"/>
    <n v="20035714"/>
    <s v="Emani Sitarami Reddy"/>
    <s v="AM/NS India"/>
    <s v="Onroll"/>
    <s v="M-8"/>
    <n v="8"/>
    <m/>
    <s v="JM"/>
    <s v="M"/>
    <s v="Vizag"/>
    <n v="3"/>
    <s v="2015"/>
    <x v="1"/>
    <s v="22.06"/>
    <s v="Anil Matoo"/>
    <s v="Ashutosh Telang"/>
    <n v="6"/>
    <s v="HR &amp; Administration"/>
    <s v="Human Resources"/>
    <s v="22"/>
    <s v="Lead Human Resources"/>
    <m/>
    <s v="Human Resources"/>
    <s v="HR &amp; Admin"/>
    <s v="HR &amp; Admin"/>
    <s v="Non Technical Support"/>
    <s v="Human Resources Management"/>
    <s v="Human Resources Management"/>
    <s v="73501001"/>
    <s v="Human Resources"/>
    <s v="Vizag"/>
    <d v="1964-04-05T00:00:00"/>
    <s v="59.05"/>
    <d v="2011-01-01T00:00:00"/>
    <d v="2022-04-30T00:00:00"/>
    <d v="2023-12-31T00:00:00"/>
    <d v="2023-12-31T00:00:00"/>
    <n v="102"/>
    <s v=""/>
    <s v="Diploma-1986"/>
    <s v="24.11"/>
    <s v="12.08"/>
    <s v="37.07"/>
    <s v="72150111"/>
    <s v="Vizag HR Operations &amp; Administration"/>
    <s v="70372501"/>
    <s v="Lead Human Resources"/>
    <s v="Vizag"/>
    <s v="0028030019"/>
    <s v="VIZ-Personnel &amp; Admi"/>
    <s v="2000VIZOPS"/>
    <s v="20000519"/>
    <s v="Dandu Srinivas Varma"/>
    <s v="No"/>
    <s v="emani.reddy@amns.in"/>
    <s v="9642054999"/>
    <s v="24298"/>
    <s v="DS Varma"/>
    <s v="Anil Matoo"/>
    <s v="Praveen Kuruvalli"/>
    <s v="Dhruv Vyas"/>
    <n v="0"/>
  </r>
  <r>
    <n v="1965"/>
    <n v="20035716"/>
    <s v="Satesh Datla"/>
    <s v="AM/NS India"/>
    <s v="Onroll"/>
    <s v="M-8"/>
    <n v="8"/>
    <m/>
    <s v="JM"/>
    <s v="M"/>
    <s v="Vizag"/>
    <n v="3"/>
    <s v="2023"/>
    <x v="6"/>
    <s v="24.08"/>
    <s v="Anil Matoo"/>
    <s v="Ashutosh Telang"/>
    <n v="6"/>
    <s v="HR &amp; Administration"/>
    <s v="Administration"/>
    <s v="24"/>
    <s v="Plant Node Officer - BP"/>
    <m/>
    <s v="Administration"/>
    <s v="Administration"/>
    <s v="Administration"/>
    <s v="Non Technical Support"/>
    <s v="Human Resources Management"/>
    <s v="Human Resources Management"/>
    <s v="73501001"/>
    <s v="Human Resources"/>
    <s v="Kirandul"/>
    <d v="1969-04-17T00:00:00"/>
    <s v="54.05"/>
    <d v="2011-01-01T00:00:00"/>
    <d v="2027-04-30T00:00:00"/>
    <m/>
    <d v="2027-04-30T00:00:00"/>
    <n v="1318"/>
    <s v=""/>
    <s v="MBA-1996 , BCom-1989"/>
    <s v="16.08"/>
    <s v="12.08"/>
    <s v="29.04"/>
    <s v="72150111"/>
    <s v="Vizag HR Operations &amp; Administration"/>
    <s v="70237920"/>
    <s v="Plant Node Officer - BP"/>
    <s v="Vizag"/>
    <s v="0028010019"/>
    <s v="KRD-Admin &amp; General"/>
    <s v="2000VIZOPS"/>
    <s v="20000519"/>
    <s v="Dandu Srinivas Varma"/>
    <s v="No"/>
    <s v="satish.datla@amns.in"/>
    <s v="9425591760"/>
    <s v="23957"/>
    <s v="DS Varma"/>
    <s v="Anil Matoo"/>
    <s v="Praveen Kuruvalli"/>
    <s v="Dhruv Vyas"/>
    <n v="0"/>
  </r>
  <r>
    <n v="1993"/>
    <n v="20036343"/>
    <s v="Pinal Patel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Gen Cons., Spares, &amp; Fitings Pipes, Valves Fasteners"/>
    <s v="Non Technical Support"/>
    <s v="Commercial"/>
    <s v="Stores &amp; Warehouse"/>
    <s v="73806001"/>
    <s v="Stores &amp; Warehouse"/>
    <s v="Hazira"/>
    <d v="1979-02-20T00:00:00"/>
    <s v="44.06"/>
    <d v="2011-02-16T00:00:00"/>
    <d v="2037-02-28T00:00:00"/>
    <m/>
    <d v="2037-02-28T00:00:00"/>
    <n v="4910"/>
    <s v=""/>
    <s v="Diploma-2003"/>
    <s v="11.07"/>
    <s v="12.07"/>
    <s v="24.02"/>
    <s v="00053276"/>
    <s v="Issue/Shifting - Plant B"/>
    <s v="70239744"/>
    <s v="Section Officer - Issue/Shifting"/>
    <s v="Hazira"/>
    <s v="0031950049"/>
    <s v="HZ-Central Stores"/>
    <s v="2000HWO"/>
    <s v="20016604"/>
    <s v="Punit Verma"/>
    <s v="No"/>
    <s v="pinal.patel@amns.in"/>
    <s v="9879101362"/>
    <s v="23314"/>
    <s v="Dhruv Vyas"/>
    <s v="Anil Matoo"/>
    <s v="Praveen Kuruvalli"/>
    <s v="Dhruv Vyas"/>
    <n v="0"/>
  </r>
  <r>
    <n v="1997"/>
    <n v="20036363"/>
    <s v="Gopalrao Bodke"/>
    <s v="AM/NS India"/>
    <s v="Onroll"/>
    <s v="L-01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WEIGH BRIDGE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70-06-02T00:00:00"/>
    <s v="53.03"/>
    <d v="1995-01-01T00:00:00"/>
    <d v="2028-06-30T00:00:00"/>
    <m/>
    <d v="2028-06-30T00:00:00"/>
    <n v="1745"/>
    <s v="O-"/>
    <s v="SSLC-1988 , SSLC-1988 , SSLC-1988"/>
    <s v=""/>
    <s v="28.08"/>
    <s v="28.08"/>
    <s v="73800024"/>
    <s v="General Consumables"/>
    <s v="73800061"/>
    <s v="WEIGH BRIDGE"/>
    <s v="Pune Facility"/>
    <s v="0035950030"/>
    <s v="Pune - Stores"/>
    <s v="2000ESPF"/>
    <s v="20036403"/>
    <s v="Sanjay Kumbhar"/>
    <s v="No"/>
    <s v="gopalrao.bodke@amns.in"/>
    <s v="9673996785"/>
    <s v="21306"/>
    <s v="Dhruv Vyas"/>
    <s v="Anil Matoo"/>
    <s v="Praveen Kuruvalli"/>
    <s v="Dhruv Vyas"/>
    <n v="0"/>
  </r>
  <r>
    <n v="2006"/>
    <n v="20036385"/>
    <s v="Ganesh Adhikari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3"/>
    <s v="Accounts Payable"/>
    <s v="Pune AMNS"/>
    <d v="1969-11-14T00:00:00"/>
    <s v="53.10"/>
    <d v="1995-01-01T00:00:00"/>
    <d v="2027-11-30T00:00:00"/>
    <m/>
    <d v="2027-11-30T00:00:00"/>
    <n v="1532"/>
    <s v="B-"/>
    <s v="SSLC-1984"/>
    <s v="01.00"/>
    <s v="28.08"/>
    <s v="29.08"/>
    <s v="73800027"/>
    <s v="Account Receivables"/>
    <s v="70319250"/>
    <s v="Lead"/>
    <s v="Pune Facility"/>
    <s v="0035950020"/>
    <s v="Pune-F&amp;A"/>
    <s v="2000ESPF"/>
    <s v="20037239"/>
    <s v="Prashant Shah"/>
    <s v="No"/>
    <s v="ganesh.adhikari@amns.in"/>
    <s v="9890756491"/>
    <s v="21020"/>
    <s v="Dhruv Vyas"/>
    <s v="Anil Matoo"/>
    <s v="Praveen Kuruvalli"/>
    <s v="Dhruv Vyas"/>
    <n v="0"/>
  </r>
  <r>
    <n v="2013"/>
    <n v="20036398"/>
    <s v="Yogini Jadhav"/>
    <s v="AM/NS India"/>
    <s v="Onroll"/>
    <s v="M-8"/>
    <n v="8"/>
    <m/>
    <s v="JM"/>
    <s v="F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1"/>
    <s v="Finance &amp; Accounts"/>
    <s v="Pune AMNS"/>
    <d v="1970-11-03T00:00:00"/>
    <s v="52.10"/>
    <d v="1995-01-01T00:00:00"/>
    <d v="2028-11-30T00:00:00"/>
    <m/>
    <d v="2028-11-30T00:00:00"/>
    <n v="1898"/>
    <s v="A-"/>
    <s v="Intermediate-1992 , BCom-1992"/>
    <s v="02.04"/>
    <s v="28.08"/>
    <s v="31.00"/>
    <s v="73800027"/>
    <s v="Account Receivables"/>
    <s v="73800085"/>
    <s v="Lead"/>
    <s v="Pune Facility"/>
    <s v="0035950020"/>
    <s v="Pune-F&amp;A"/>
    <s v="2000ESPF"/>
    <s v="20037239"/>
    <s v="Prashant Shah"/>
    <s v="No"/>
    <s v="yogini.jadhav@amns.in"/>
    <s v="9158895077"/>
    <s v="21952"/>
    <s v="Dhruv Vyas"/>
    <s v="Anil Matoo"/>
    <s v="Praveen Kuruvalli"/>
    <s v="Dhruv Vyas"/>
    <n v="0"/>
  </r>
  <r>
    <n v="2017"/>
    <n v="20036403"/>
    <s v="Sanjay Kumbhar"/>
    <s v="AM/NS India"/>
    <s v="Onroll"/>
    <s v="M-8"/>
    <n v="8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DY. SECTION MANAG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68-04-01T00:00:00"/>
    <s v="55.05"/>
    <d v="1995-01-01T00:00:00"/>
    <d v="2026-03-31T00:00:00"/>
    <m/>
    <d v="2026-03-31T00:00:00"/>
    <n v="923"/>
    <s v="A-"/>
    <s v="BCom-2009 , Diploma Equivalent-2009 , In"/>
    <s v="01.03"/>
    <s v="28.08"/>
    <s v="29.11"/>
    <s v="73800024"/>
    <s v="General Consumables"/>
    <s v="73800046"/>
    <s v="DY. SECTION MANAGER"/>
    <s v="Pune Facility"/>
    <s v="0035950030"/>
    <s v="Pune - Stores"/>
    <s v="2000ESPF"/>
    <s v="20036934"/>
    <s v="Atul Patwardhan"/>
    <s v="No"/>
    <s v="sanjay.kumbhar@amns.in"/>
    <s v="9158895929"/>
    <s v="22385"/>
    <s v="Dhruv Vyas"/>
    <s v="Anil Matoo"/>
    <s v="Praveen Kuruvalli"/>
    <s v="Dhruv Vyas"/>
    <n v="0"/>
  </r>
  <r>
    <n v="2019"/>
    <n v="20036407"/>
    <s v="Ravindra Bhorde"/>
    <s v="AM/NS India"/>
    <s v="Onroll"/>
    <s v="M-8"/>
    <n v="8"/>
    <m/>
    <s v="JM"/>
    <s v="M"/>
    <s v="Pune Facility"/>
    <n v="4"/>
    <s v="2084"/>
    <x v="17"/>
    <s v="23.09"/>
    <s v="Anil Matoo"/>
    <s v="Ashutosh Telang"/>
    <n v="6"/>
    <s v="HR &amp; Administration"/>
    <s v="Industrial Relations"/>
    <s v="23"/>
    <s v="SECTION MANAGER"/>
    <m/>
    <s v="Pune Operations"/>
    <s v="Administration"/>
    <s v="Time office"/>
    <s v="Non Technical Support"/>
    <s v="Human Resources Management"/>
    <s v="Payroll Shared Services"/>
    <s v="73509002"/>
    <s v="Payroll Administration"/>
    <s v="Pune AMNS"/>
    <d v="1971-06-14T00:00:00"/>
    <s v="52.03"/>
    <d v="1993-10-05T00:00:00"/>
    <d v="2029-06-30T00:00:00"/>
    <m/>
    <d v="2029-06-30T00:00:00"/>
    <n v="2110"/>
    <s v="O-"/>
    <s v="Intermediate-1991"/>
    <s v="01.03"/>
    <s v="29.11"/>
    <s v="31.02"/>
    <s v="73800068"/>
    <s v="Pune HR Operations &amp; Administration"/>
    <s v="70273858"/>
    <s v="SECTION MANAGER"/>
    <s v="Pune Facility"/>
    <s v="0035950019"/>
    <s v="Pune-Admin"/>
    <s v="2000ESPF"/>
    <s v="20037245"/>
    <s v="Mukund Jagirdar"/>
    <s v="No"/>
    <s v="ravindra.bhorde@amns.in"/>
    <s v="9890113037"/>
    <s v="21277"/>
    <s v="Dhruv Vyas"/>
    <s v="Anil Matoo"/>
    <s v="Praveen Kuruvalli"/>
    <s v="Dhruv Vyas"/>
    <n v="0"/>
  </r>
  <r>
    <n v="2021"/>
    <n v="20036409"/>
    <s v="Ranjith Nambiar"/>
    <s v="AM/NS India"/>
    <s v="Onroll"/>
    <s v="M-5"/>
    <n v="5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Head - Domestic Sales, Pune"/>
    <m/>
    <s v="Sales Steering &amp; BD"/>
    <s v="Coated Marketing"/>
    <s v="National Sales"/>
    <s v="Non Technical Support"/>
    <s v="Operations"/>
    <s v="Operations"/>
    <s v="72103001"/>
    <s v="Operations"/>
    <s v="Pune AMNS"/>
    <d v="1973-04-20T00:00:00"/>
    <s v="50.05"/>
    <d v="1995-01-01T00:00:00"/>
    <d v="2031-04-30T00:00:00"/>
    <m/>
    <d v="2031-04-30T00:00:00"/>
    <n v="2779"/>
    <s v="O-"/>
    <s v="Diploma-1991"/>
    <s v="01.04"/>
    <s v="28.08"/>
    <s v="30.00"/>
    <s v="70492562"/>
    <s v="Domestic Sales"/>
    <s v="70435075"/>
    <s v="Head - Marketing Coated Products"/>
    <s v="Pune Facility"/>
    <s v="0031950057"/>
    <s v="HZ-HRC - Marketing"/>
    <s v="2000ESPF"/>
    <s v="20010531"/>
    <s v="Saptarshi Saha"/>
    <s v="No"/>
    <s v="ranjith.nambiar@amns.in"/>
    <s v="9158895828"/>
    <s v="22784"/>
    <s v="Dhruv Vyas"/>
    <s v="Anil Matoo"/>
    <s v="Praveen Kuruvalli"/>
    <s v="Dhruv Vyas"/>
    <n v="0"/>
  </r>
  <r>
    <n v="2031"/>
    <n v="20036425"/>
    <s v="Ashok Raikar"/>
    <s v="AM/NS India"/>
    <s v="Onroll"/>
    <s v="L-02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Jr.Stores Assistant"/>
    <m/>
    <s v="Procurement"/>
    <s v="Stores &amp; Warehouse"/>
    <s v="Stores"/>
    <s v="Non Technical Support"/>
    <s v="Administration"/>
    <s v="Administration"/>
    <s v="74101001"/>
    <s v="Administration"/>
    <s v="Pune Facility"/>
    <d v="1967-06-01T00:00:00"/>
    <s v="56.03"/>
    <d v="1996-01-01T00:00:00"/>
    <d v="2025-05-31T00:00:00"/>
    <m/>
    <d v="2025-05-31T00:00:00"/>
    <n v="619"/>
    <s v="AB-"/>
    <s v="Non Matric-1987"/>
    <s v=""/>
    <s v="27.08"/>
    <s v="27.08"/>
    <s v="73800024"/>
    <s v="General Consumables"/>
    <s v="73800273"/>
    <s v="Jr.Stores Assistant"/>
    <s v="Pune Facility"/>
    <s v="0035950030"/>
    <s v="Pune - Stores"/>
    <s v="2000ESPF"/>
    <s v="20036403"/>
    <s v="Sanjay Kumbhar"/>
    <s v="No"/>
    <s v="ashok.raikar@amns.in"/>
    <s v="9158895814"/>
    <s v="23620"/>
    <s v="Dhruv Vyas"/>
    <s v="Anil Matoo"/>
    <s v="Praveen Kuruvalli"/>
    <s v="Dhruv Vyas"/>
    <n v="0"/>
  </r>
  <r>
    <n v="2039"/>
    <n v="20036435"/>
    <s v="Shankar Sure"/>
    <s v="AM/NS India"/>
    <s v="Onroll"/>
    <s v="M-8"/>
    <n v="8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Dy. Section Manag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65-08-13T00:00:00"/>
    <s v="58.01"/>
    <d v="1996-02-01T00:00:00"/>
    <d v="2023-08-31T00:00:00"/>
    <m/>
    <d v="2023-08-31T00:00:00"/>
    <n v="-20"/>
    <s v="A-"/>
    <s v="MCom-1990"/>
    <s v="04.05"/>
    <s v="27.07"/>
    <s v="32.00"/>
    <s v="73800024"/>
    <s v="General Consumables"/>
    <s v="70319258"/>
    <s v="Dy. Section Manager"/>
    <s v="Pune Facility"/>
    <s v="0035950030"/>
    <s v="Pune - Stores"/>
    <s v="2000ESPF"/>
    <s v="20036403"/>
    <s v="Sanjay Kumbhar"/>
    <s v="No"/>
    <s v="shankar.sure@amns.in"/>
    <s v="9271898041"/>
    <s v="24390"/>
    <s v="Dhruv Vyas"/>
    <s v="Anil Matoo"/>
    <s v="Praveen Kuruvalli"/>
    <s v="Dhruv Vyas"/>
    <n v="0"/>
  </r>
  <r>
    <n v="2040"/>
    <n v="20036436"/>
    <s v="Megha Chaure"/>
    <s v="AM/NS India"/>
    <s v="Onroll"/>
    <s v="L-01"/>
    <n v="15"/>
    <m/>
    <s v="Blue Collar"/>
    <s v="F"/>
    <s v="Pune Facility"/>
    <n v="4"/>
    <s v="2023"/>
    <x v="6"/>
    <s v="24.08"/>
    <s v="Anil Matoo"/>
    <s v="Ashutosh Telang"/>
    <n v="6"/>
    <s v="HR &amp; Administration"/>
    <s v="Administration"/>
    <s v="24"/>
    <s v="ASST.PERS.CUM STENO - Hum"/>
    <m/>
    <s v="Pune Operations"/>
    <s v="Administration"/>
    <s v="Reception"/>
    <s v="Non Technical Support"/>
    <s v="Human Resources Management"/>
    <s v="Learning &amp; Development"/>
    <s v="73502001"/>
    <s v="Learning &amp; Development"/>
    <s v="Pune Facility"/>
    <d v="1967-06-17T00:00:00"/>
    <s v="56.03"/>
    <d v="1996-02-01T00:00:00"/>
    <d v="2025-06-30T00:00:00"/>
    <m/>
    <d v="2025-06-30T00:00:00"/>
    <n v="649"/>
    <s v="O-"/>
    <s v="Certificate-1989 , Intermediate-1989 , N"/>
    <s v="01.00"/>
    <s v="27.07"/>
    <s v="28.07"/>
    <s v="73800072"/>
    <s v="Administration"/>
    <s v="73800265"/>
    <s v="ASST.PERS.CUM STENO - Hum"/>
    <s v="Pune Facility"/>
    <s v="0035950019"/>
    <s v="Pune-Admin"/>
    <s v="2000ESPF"/>
    <s v="20036748"/>
    <s v="Suresh Kadam"/>
    <s v="No"/>
    <s v="megha.chaure@amns.in"/>
    <s v="9422314583"/>
    <s v="21385"/>
    <s v="Dhruv Vyas"/>
    <s v="Anil Matoo"/>
    <s v="Praveen Kuruvalli"/>
    <s v="Dhruv Vyas"/>
    <n v="0"/>
  </r>
  <r>
    <n v="2047"/>
    <n v="20036451"/>
    <s v="Sunil Shewale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GST"/>
    <s v="Non Technical Support"/>
    <s v="Finance &amp; Accounts"/>
    <s v="Taxation"/>
    <s v="73904002"/>
    <s v="Indirect Taxation"/>
    <s v="Pune AMNS"/>
    <d v="1966-06-24T00:00:00"/>
    <s v="57.02"/>
    <d v="1997-05-02T00:00:00"/>
    <d v="2024-06-30T00:00:00"/>
    <m/>
    <d v="2024-06-30T00:00:00"/>
    <n v="284"/>
    <s v="B-"/>
    <s v="BCom-1987"/>
    <s v="01.10"/>
    <s v="26.04"/>
    <s v="28.02"/>
    <s v="73800021"/>
    <s v="Excise"/>
    <s v="70273866"/>
    <s v="Lead"/>
    <s v="Pune Facility"/>
    <s v="0035950020"/>
    <s v="Pune-F&amp;A"/>
    <s v="2000ESPF"/>
    <s v="20037274"/>
    <s v="Imtiyazkhan Pathan"/>
    <s v="No"/>
    <s v="sunil.shewale@amns.in"/>
    <s v="9423581266"/>
    <s v="24155"/>
    <s v="Dhruv Vyas"/>
    <s v="Anil Matoo"/>
    <s v="Praveen Kuruvalli"/>
    <s v="Dhruv Vyas"/>
    <n v="0"/>
  </r>
  <r>
    <n v="2051"/>
    <n v="20036456"/>
    <s v="Rajesh Dadiya"/>
    <s v="AM/NS India"/>
    <s v="Onroll"/>
    <s v="L-02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ASST.OPERATOR - Productio"/>
    <m/>
    <s v="Procurement"/>
    <s v="Stores &amp; Warehouse"/>
    <s v="Stores"/>
    <s v="Non Technical Support"/>
    <s v="Operations"/>
    <s v="Plant Operations"/>
    <s v="72103005"/>
    <s v="Shift Operations"/>
    <s v="Pune Facility"/>
    <d v="1974-01-09T00:00:00"/>
    <s v="49.08"/>
    <d v="1997-06-07T00:00:00"/>
    <d v="2032-01-31T00:00:00"/>
    <m/>
    <d v="2032-01-31T00:00:00"/>
    <n v="3055"/>
    <s v="O-"/>
    <s v="SSLC-1989"/>
    <s v=""/>
    <s v="26.03"/>
    <s v="26.03"/>
    <s v="73800197"/>
    <s v="Logistics"/>
    <s v="73800794"/>
    <s v="ASST.OPERATOR - Productio"/>
    <s v="Pune Facility"/>
    <s v="0035950030"/>
    <s v="Pune - Stores"/>
    <s v="2000ESPF"/>
    <s v="20036920"/>
    <s v="Pankaj Patil"/>
    <s v="No"/>
    <s v="rajesh.dadiya@amns.in"/>
    <s v="8551099224"/>
    <s v="21452"/>
    <s v="Dhruv Vyas"/>
    <s v="Anil Matoo"/>
    <s v="Praveen Kuruvalli"/>
    <s v="Dhruv Vyas"/>
    <n v="0"/>
  </r>
  <r>
    <n v="2094"/>
    <n v="20036519"/>
    <s v="Kamal Tamboli"/>
    <s v="AM/NS India"/>
    <s v="Onroll"/>
    <s v="L-02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Office Attendant"/>
    <m/>
    <s v="Pune Operations"/>
    <s v="Administration"/>
    <s v="Administration"/>
    <s v="Non Technical Support"/>
    <s v="Administration"/>
    <s v="Housekeeping"/>
    <s v="74103001"/>
    <s v="Housekeeping"/>
    <s v="Pune Facility"/>
    <d v="1969-10-04T00:00:00"/>
    <s v="53.11"/>
    <d v="1998-04-01T00:00:00"/>
    <d v="2027-10-31T00:00:00"/>
    <m/>
    <d v="2027-10-31T00:00:00"/>
    <n v="1502"/>
    <s v="AB-"/>
    <s v="Non Matric-1983"/>
    <s v=""/>
    <s v="25.05"/>
    <s v="25.05"/>
    <s v="73800072"/>
    <s v="Administration"/>
    <s v="73800282"/>
    <s v="Office Attendant"/>
    <s v="Pune Facility"/>
    <s v="0035950019"/>
    <s v="Pune-Admin"/>
    <s v="2000ESPF"/>
    <s v="20036748"/>
    <s v="Suresh Kadam"/>
    <s v="No"/>
    <s v="kamal.tamboli@amns.in"/>
    <s v="9970244526"/>
    <s v="24455"/>
    <s v="Dhruv Vyas"/>
    <s v="Anil Matoo"/>
    <s v="Praveen Kuruvalli"/>
    <s v="Dhruv Vyas"/>
    <n v="0"/>
  </r>
  <r>
    <n v="2101"/>
    <n v="20036535"/>
    <s v="Johnson Noronha"/>
    <s v="AM/NS India"/>
    <s v="Onroll"/>
    <s v="L-01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Office Attendant"/>
    <m/>
    <s v="Finance &amp; Accounts - Pune"/>
    <s v="Finance &amp; Accounts"/>
    <s v="Documentation"/>
    <s v="Non Technical Support"/>
    <s v="Finance &amp; Accounts"/>
    <s v="Taxation"/>
    <s v="73904002"/>
    <s v="Indirect Taxation"/>
    <s v="Pune Facility"/>
    <d v="1975-06-03T00:00:00"/>
    <s v="48.03"/>
    <d v="1998-04-01T00:00:00"/>
    <d v="2033-06-30T00:00:00"/>
    <m/>
    <d v="2033-06-30T00:00:00"/>
    <n v="3571"/>
    <s v="B-"/>
    <s v="Non Matric-1989"/>
    <s v=""/>
    <s v="25.05"/>
    <s v="25.05"/>
    <s v="73800015"/>
    <s v="Export Documentation"/>
    <s v="73800037"/>
    <s v="Office Attendant"/>
    <s v="Pune Facility"/>
    <s v="0035950020"/>
    <s v="Pune-F&amp;A"/>
    <s v="2000ESPF"/>
    <s v="20036642"/>
    <s v="Narayan Joshi"/>
    <s v="No"/>
    <s v="johnson.norohna@amns.in"/>
    <s v="9158895819"/>
    <s v="22854"/>
    <s v="Dhruv Vyas"/>
    <s v="Anil Matoo"/>
    <s v="Praveen Kuruvalli"/>
    <s v="Dhruv Vyas"/>
    <n v="0"/>
  </r>
  <r>
    <n v="2103"/>
    <n v="20036537"/>
    <s v="Ramdas Ghogare"/>
    <s v="AM/NS India"/>
    <s v="Onroll"/>
    <s v="L-01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Sr.Driver"/>
    <m/>
    <s v="Pune Operations"/>
    <s v="Transport"/>
    <s v="Transport"/>
    <s v="Non Technical Support"/>
    <s v="Administration"/>
    <s v="Travel Services"/>
    <s v="74106002"/>
    <s v="Transport Operations"/>
    <s v="Pune Facility"/>
    <d v="1969-06-01T00:00:00"/>
    <s v="54.03"/>
    <d v="1998-04-01T00:00:00"/>
    <d v="2027-05-31T00:00:00"/>
    <m/>
    <d v="2027-05-31T00:00:00"/>
    <n v="1349"/>
    <s v="A-"/>
    <s v="Non Matric-1984"/>
    <s v="23.00"/>
    <s v="25.05"/>
    <s v="48.05"/>
    <s v="73800072"/>
    <s v="Administration"/>
    <s v="73800311"/>
    <s v="Sr.Driver"/>
    <s v="Pune Facility"/>
    <s v="0035950019"/>
    <s v="Pune-Admin"/>
    <s v="2000ESPF"/>
    <s v="20036748"/>
    <s v="Suresh Kadam"/>
    <s v="No"/>
    <s v="ramdas.ghogare@amns.in"/>
    <s v="9960178572"/>
    <s v="21796"/>
    <s v="Dhruv Vyas"/>
    <s v="Anil Matoo"/>
    <s v="Praveen Kuruvalli"/>
    <s v="Dhruv Vyas"/>
    <n v="0"/>
  </r>
  <r>
    <n v="2111"/>
    <n v="20036549"/>
    <s v="Dattatraya Birajdar"/>
    <s v="AM/NS India"/>
    <s v="Onroll"/>
    <s v="L-01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r.Weigh Bridge Opt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69-07-08T00:00:00"/>
    <s v="54.02"/>
    <d v="1999-03-01T00:00:00"/>
    <d v="2027-07-31T00:00:00"/>
    <m/>
    <d v="2027-07-31T00:00:00"/>
    <n v="1410"/>
    <s v="A-"/>
    <s v="Intermediate-1987"/>
    <s v="08.00"/>
    <s v="24.06"/>
    <s v="32.06"/>
    <s v="73800024"/>
    <s v="General Consumables"/>
    <s v="73800062"/>
    <s v="Sr.Weigh Bridge Optr"/>
    <s v="Pune Facility"/>
    <s v="0035950030"/>
    <s v="Pune - Stores"/>
    <s v="2000ESPF"/>
    <s v="20036403"/>
    <s v="Sanjay Kumbhar"/>
    <s v="No"/>
    <s v="dattatraya.birajdar@amns.in"/>
    <s v="9766275118"/>
    <s v="21293"/>
    <s v="Dhruv Vyas"/>
    <s v="Anil Matoo"/>
    <s v="Praveen Kuruvalli"/>
    <s v="Dhruv Vyas"/>
    <n v="0"/>
  </r>
  <r>
    <n v="2113"/>
    <n v="20036553"/>
    <s v="Manaji Awhale"/>
    <s v="AM/NS India"/>
    <s v="Onroll"/>
    <s v="L-01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Asst.Admin"/>
    <m/>
    <s v="Pune Operations"/>
    <s v="Administration"/>
    <s v="Admin and Housekeeping"/>
    <s v="Non Technical Support"/>
    <s v="Administration"/>
    <s v="Housekeeping"/>
    <s v="74103001"/>
    <s v="Housekeeping"/>
    <s v="Pune Facility"/>
    <d v="1968-10-10T00:00:00"/>
    <s v="54.11"/>
    <d v="1999-03-01T00:00:00"/>
    <d v="2026-10-31T00:00:00"/>
    <m/>
    <d v="2026-10-31T00:00:00"/>
    <n v="1137"/>
    <s v="A-"/>
    <s v="Non Matric-1986"/>
    <s v="06.05"/>
    <s v="24.06"/>
    <s v="30.11"/>
    <s v="73800072"/>
    <s v="Administration"/>
    <s v="73800279"/>
    <s v="Jr.Asst.Admin"/>
    <s v="Pune Facility"/>
    <s v="0035950019"/>
    <s v="Pune-Admin"/>
    <s v="2000ESPF"/>
    <s v="20036748"/>
    <s v="Suresh Kadam"/>
    <s v="No"/>
    <s v="manaji.awhale@amns.in"/>
    <s v="9158895885"/>
    <s v="21105"/>
    <s v="Dhruv Vyas"/>
    <s v="Anil Matoo"/>
    <s v="Praveen Kuruvalli"/>
    <s v="Dhruv Vyas"/>
    <n v="0"/>
  </r>
  <r>
    <n v="2115"/>
    <n v="20036557"/>
    <s v="Suresh Gadade"/>
    <s v="AM/NS India"/>
    <s v="Onroll"/>
    <s v="L-01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Asst.Admin."/>
    <m/>
    <s v="Pune Operations"/>
    <s v="Administration"/>
    <s v="Admin and Canteen"/>
    <s v="Non Technical Support"/>
    <s v="Administration"/>
    <s v="Administration"/>
    <s v="74101001"/>
    <s v="Administration"/>
    <s v="Pune Facility"/>
    <d v="1973-07-10T00:00:00"/>
    <s v="50.02"/>
    <d v="1999-04-01T00:00:00"/>
    <d v="2031-07-31T00:00:00"/>
    <m/>
    <d v="2031-07-31T00:00:00"/>
    <n v="2871"/>
    <s v="O-"/>
    <s v="Non Matric-1989"/>
    <s v=""/>
    <s v="24.05"/>
    <s v="24.05"/>
    <s v="73800072"/>
    <s v="Administration"/>
    <s v="73800274"/>
    <s v="Jr.Asst.Admin."/>
    <s v="Pune Facility"/>
    <s v="0035950019"/>
    <s v="Pune-Admin"/>
    <s v="2000ESPF"/>
    <s v="20036748"/>
    <s v="Suresh Kadam"/>
    <s v="No"/>
    <s v="suresh.gadade@amns.in"/>
    <s v="9158895994"/>
    <s v="21721"/>
    <s v="Dhruv Vyas"/>
    <s v="Anil Matoo"/>
    <s v="Praveen Kuruvalli"/>
    <s v="Dhruv Vyas"/>
    <n v="0"/>
  </r>
  <r>
    <n v="2137"/>
    <n v="20036591"/>
    <s v="Deepak Nikumbh"/>
    <s v="AM/NS India"/>
    <s v="Onroll"/>
    <s v="M-7"/>
    <n v="7"/>
    <m/>
    <s v="MM"/>
    <s v="M"/>
    <s v="Pune Facility"/>
    <n v="4"/>
    <s v="2084"/>
    <x v="17"/>
    <s v="23.09"/>
    <s v="Anil Matoo"/>
    <s v="Ashutosh Telang"/>
    <n v="6"/>
    <s v="HR &amp; Administration"/>
    <s v="Industrial Relations"/>
    <s v="23"/>
    <s v="Lead - Industrial Relations"/>
    <m/>
    <s v="Industrial Relations"/>
    <s v="Industrial Relation ER"/>
    <s v="Industrial Relation"/>
    <s v="Non Technical Support"/>
    <s v="Human Resources Management"/>
    <s v="Industrial Relations &amp; Labour Law"/>
    <s v="73510000"/>
    <s v="Industrial Relations &amp; La"/>
    <s v="Pune AMNS"/>
    <d v="1974-03-20T00:00:00"/>
    <s v="49.06"/>
    <d v="2000-08-01T00:00:00"/>
    <d v="2032-03-31T00:00:00"/>
    <m/>
    <d v="2032-03-31T00:00:00"/>
    <n v="3115"/>
    <s v="B-"/>
    <s v="BA-1997 , MPM-1997"/>
    <s v="04.08"/>
    <s v="23.01"/>
    <s v="27.09"/>
    <s v="73800070"/>
    <s v="Industrial Relations &amp; Pa"/>
    <s v="70319505"/>
    <s v="Lead - Industrial Relations"/>
    <s v="Pune Facility"/>
    <s v="0035950019"/>
    <s v="Pune-Admin"/>
    <s v="2000ESPF"/>
    <s v="20037245"/>
    <s v="Mukund Jagirdar"/>
    <s v="No"/>
    <s v="deepak.nikumbh@amns.in"/>
    <s v="9158895897"/>
    <s v="22839"/>
    <s v="Dhruv Vyas"/>
    <s v="Anil Matoo"/>
    <s v="Praveen Kuruvalli"/>
    <s v="Dhruv Vyas"/>
    <n v="0"/>
  </r>
  <r>
    <n v="2167"/>
    <n v="20036638"/>
    <s v="Kiran Chaudhari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ection Officer"/>
    <m/>
    <s v="Procurement"/>
    <s v="Row materail and Consumables"/>
    <s v="Purchase"/>
    <s v="Non Technical Support"/>
    <s v="Operations"/>
    <s v="Plant Maintenance"/>
    <s v="72103008"/>
    <s v="Mechanical Maintenance"/>
    <s v="Pune AMNS"/>
    <d v="1976-01-06T00:00:00"/>
    <s v="47.08"/>
    <d v="2003-02-21T00:00:00"/>
    <d v="2034-01-31T00:00:00"/>
    <m/>
    <d v="2034-01-31T00:00:00"/>
    <n v="3786"/>
    <s v="A-"/>
    <s v="Diploma-1994 , Diploma Equivalent-1994 ,"/>
    <s v="04.05"/>
    <s v="20.06"/>
    <s v="24.11"/>
    <s v="73800002"/>
    <s v="Procurement - Pune Asset"/>
    <s v="70376904"/>
    <s v="Section Officer"/>
    <s v="Pune Facility"/>
    <s v="0035950041"/>
    <s v="Pune-Procurement"/>
    <s v="2000ESPF"/>
    <s v="20006536"/>
    <s v="Mahesh Salunke"/>
    <s v="No"/>
    <s v="kiran.chaudhari@amns.in"/>
    <s v="9158895323"/>
    <s v="21360"/>
    <s v="Dhruv Vyas"/>
    <s v="Anil Matoo"/>
    <s v="Praveen Kuruvalli"/>
    <s v="Dhruv Vyas"/>
    <n v="0"/>
  </r>
  <r>
    <n v="2171"/>
    <n v="20036642"/>
    <s v="Narayan Joshi"/>
    <s v="AM/NS India"/>
    <s v="Onroll"/>
    <s v="M-7"/>
    <n v="7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nior Lead"/>
    <m/>
    <s v="Finance &amp; Accounts - Pune"/>
    <s v="Finance &amp; Accounts"/>
    <s v="Export Documentation"/>
    <s v="Non Technical Support"/>
    <s v="Finance &amp; Accounts"/>
    <s v="Taxation"/>
    <s v="73904002"/>
    <s v="Indirect Taxation"/>
    <s v="Pune AMNS"/>
    <d v="1971-12-09T00:00:00"/>
    <s v="51.09"/>
    <d v="2003-04-24T00:00:00"/>
    <d v="2029-12-31T00:00:00"/>
    <m/>
    <d v="2029-12-31T00:00:00"/>
    <n v="2294"/>
    <s v="O-"/>
    <s v="BE-1999 , Diploma Equivalent-1999"/>
    <s v="08.04"/>
    <s v="20.04"/>
    <s v="28.08"/>
    <s v="73800015"/>
    <s v="Export Documentation"/>
    <s v="70271103"/>
    <s v="Senior Lead"/>
    <s v="Pune Facility"/>
    <s v="0035950020"/>
    <s v="Pune-F&amp;A"/>
    <s v="2000ESPF"/>
    <s v="0"/>
    <s v=""/>
    <s v="No"/>
    <s v="narayan.joshi@amns.in"/>
    <s v="9158895818"/>
    <s v="22065"/>
    <s v="Dhruv Vyas"/>
    <s v="Anil Matoo"/>
    <s v="Praveen Kuruvalli"/>
    <s v="Dhruv Vyas"/>
    <n v="0"/>
  </r>
  <r>
    <n v="2178"/>
    <n v="20036652"/>
    <s v="Sachin Shimpi"/>
    <s v="AM/NS India"/>
    <s v="Onroll"/>
    <s v="M-10"/>
    <n v="10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3"/>
    <s v="Accounts Payable"/>
    <s v="Pune AMNS"/>
    <d v="1977-07-12T00:00:00"/>
    <s v="46.02"/>
    <d v="2003-08-03T00:00:00"/>
    <d v="2035-07-31T00:00:00"/>
    <m/>
    <d v="2035-07-31T00:00:00"/>
    <n v="4332"/>
    <s v="A-"/>
    <s v="BCom-1999"/>
    <s v="00.07"/>
    <s v="20.01"/>
    <s v="20.08"/>
    <s v="73800027"/>
    <s v="Account Receivables"/>
    <s v="70319308"/>
    <s v="Lead"/>
    <s v="Pune Facility"/>
    <s v="0035950020"/>
    <s v="Pune-F&amp;A"/>
    <s v="2000ESPF"/>
    <s v="20037239"/>
    <s v="Prashant Shah"/>
    <s v="No"/>
    <s v="sachin.shimpi@amns.in"/>
    <s v="9850192331"/>
    <s v="24159"/>
    <s v="Dhruv Vyas"/>
    <s v="Anil Matoo"/>
    <s v="Praveen Kuruvalli"/>
    <s v="Dhruv Vyas"/>
    <n v="0"/>
  </r>
  <r>
    <n v="2179"/>
    <n v="20036653"/>
    <s v="Suryakant Mandalekar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Finance &amp; Accounts"/>
    <s v="Non Technical Support"/>
    <s v="Finance &amp; Accounts"/>
    <s v="Finance &amp; Accounts"/>
    <s v="73901003"/>
    <s v="Accounts Payable"/>
    <s v="Pune AMNS"/>
    <d v="1973-03-04T00:00:00"/>
    <s v="50.06"/>
    <d v="2003-09-23T00:00:00"/>
    <d v="2031-03-31T00:00:00"/>
    <m/>
    <d v="2031-03-31T00:00:00"/>
    <n v="2749"/>
    <s v="AB-"/>
    <s v="Diploma-2011 , MMS-2011 , Diploma Equiva"/>
    <s v="11.01"/>
    <s v="19.11"/>
    <s v="31.00"/>
    <s v="70418543"/>
    <s v="Finance Controller"/>
    <s v="70376888"/>
    <s v="Lead"/>
    <s v="Pune Facility"/>
    <s v="0035950020"/>
    <s v="Pune-F&amp;A"/>
    <s v="2000ESPF"/>
    <s v="0"/>
    <s v=""/>
    <s v="No"/>
    <s v="suryakant.mandalekar@amns.in"/>
    <s v="9420166909"/>
    <s v="22520"/>
    <s v="Dhruv Vyas"/>
    <s v="Anil Matoo"/>
    <s v="Praveen Kuruvalli"/>
    <s v="Dhruv Vyas"/>
    <n v="0"/>
  </r>
  <r>
    <n v="2194"/>
    <n v="20036674"/>
    <s v="Rahul Khule"/>
    <s v="AM/NS India"/>
    <s v="Onroll"/>
    <s v="M-11"/>
    <n v="11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Asst. 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78-08-22T00:00:00"/>
    <s v="45.00"/>
    <d v="2004-02-04T00:00:00"/>
    <d v="2036-08-31T00:00:00"/>
    <m/>
    <d v="2036-08-31T00:00:00"/>
    <n v="4729"/>
    <s v="B-"/>
    <s v="SSLC-1995"/>
    <s v="02.00"/>
    <s v="19.07"/>
    <s v="21.07"/>
    <s v="73800024"/>
    <s v="General Consumables"/>
    <s v="70319306"/>
    <s v="Asst. Section Officer"/>
    <s v="Pune Facility"/>
    <s v="0035950030"/>
    <s v="Pune - Stores"/>
    <s v="2000ESPF"/>
    <s v="20036403"/>
    <s v="Sanjay Kumbhar"/>
    <s v="Yes"/>
    <s v=""/>
    <s v="9822056554"/>
    <s v="827578"/>
    <s v="Dhruv Vyas"/>
    <s v="Anil Matoo"/>
    <s v="Praveen Kuruvalli"/>
    <s v="Dhruv Vyas"/>
    <n v="0"/>
  </r>
  <r>
    <n v="2242"/>
    <n v="20036748"/>
    <s v="Suresh Kadam"/>
    <s v="AM/NS India"/>
    <s v="Onroll"/>
    <s v="M-6"/>
    <n v="6"/>
    <m/>
    <s v="MM"/>
    <s v="M"/>
    <s v="Pune Facility"/>
    <n v="4"/>
    <s v="2023"/>
    <x v="6"/>
    <s v="24.08"/>
    <s v="Anil Matoo"/>
    <s v="Ashutosh Telang"/>
    <n v="6"/>
    <s v="HR &amp; Administration"/>
    <s v="Administration"/>
    <s v="24"/>
    <s v="Sr. Lead - Administration"/>
    <m/>
    <s v="Administration"/>
    <s v="Administration"/>
    <s v="Administration"/>
    <s v="Non Technical Support"/>
    <s v="Administration"/>
    <s v="Administration"/>
    <s v="74101001"/>
    <s v="Administration"/>
    <s v="Pune AMNS"/>
    <d v="1970-06-01T00:00:00"/>
    <s v="53.03"/>
    <d v="2005-04-11T00:00:00"/>
    <d v="2028-05-31T00:00:00"/>
    <m/>
    <d v="2028-05-31T00:00:00"/>
    <n v="1715"/>
    <s v="A-"/>
    <s v="BE-1993"/>
    <s v="09.01"/>
    <s v="18.05"/>
    <s v="27.06"/>
    <s v="73800072"/>
    <s v="Administration"/>
    <s v="70271104"/>
    <s v="Sr. Lead - Administration"/>
    <s v="Pune Facility"/>
    <s v="0035950019"/>
    <s v="Pune-Admin"/>
    <s v="2000ESPF"/>
    <s v="20037245"/>
    <s v="Mukund Jagirdar"/>
    <s v="No"/>
    <s v="suresh.kadam@amns.in"/>
    <s v="9158895880"/>
    <s v="22097"/>
    <s v="Dhruv Vyas"/>
    <s v="Anil Matoo"/>
    <s v="Praveen Kuruvalli"/>
    <s v="Dhruv Vyas"/>
    <n v="0"/>
  </r>
  <r>
    <n v="2243"/>
    <n v="20036749"/>
    <s v="Uday Dhamale"/>
    <s v="AM/NS India"/>
    <s v="Onroll"/>
    <s v="L-04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Asst.Store Keep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80-12-21T00:00:00"/>
    <s v="42.09"/>
    <d v="2005-04-12T00:00:00"/>
    <d v="2038-12-31T00:00:00"/>
    <m/>
    <d v="2038-12-31T00:00:00"/>
    <n v="5581"/>
    <s v="O-"/>
    <s v="BCom-2010 , MBA-2010"/>
    <s v="02.11"/>
    <s v="18.05"/>
    <s v="21.04"/>
    <s v="73800023"/>
    <s v="Raw Materials"/>
    <s v="73800048"/>
    <s v="Asst.Store Keeper"/>
    <s v="Pune Facility"/>
    <s v="0035950030"/>
    <s v="Pune - Stores"/>
    <s v="2000ESPF"/>
    <s v="20036934"/>
    <s v="Atul Patwardhan"/>
    <s v="No"/>
    <s v="uday.dhamale@amns.in"/>
    <s v="9604373261"/>
    <s v="21642"/>
    <s v="Dhruv Vyas"/>
    <s v="Anil Matoo"/>
    <s v="Praveen Kuruvalli"/>
    <s v="Dhruv Vyas"/>
    <n v="0"/>
  </r>
  <r>
    <n v="2250"/>
    <n v="20036757"/>
    <s v="Milind Chavan"/>
    <s v="AM/NS India"/>
    <s v="Onroll"/>
    <s v="M-7"/>
    <n v="7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GST"/>
    <s v="Non Technical Support"/>
    <s v="Finance &amp; Accounts"/>
    <s v="Taxation"/>
    <s v="73904002"/>
    <s v="Indirect Taxation"/>
    <s v="Pune AMNS"/>
    <d v="1970-05-15T00:00:00"/>
    <s v="53.04"/>
    <d v="2005-06-13T00:00:00"/>
    <d v="2028-05-31T00:00:00"/>
    <m/>
    <d v="2028-05-31T00:00:00"/>
    <n v="1715"/>
    <s v="B-"/>
    <s v="Diploma Equivalent-2015 , MBA-2015 , Cer"/>
    <s v="05.11"/>
    <s v="18.03"/>
    <s v="24.02"/>
    <s v="73800067"/>
    <s v="Excise"/>
    <s v="70318872"/>
    <s v="Lead"/>
    <s v="Pune Facility"/>
    <s v="0035950020"/>
    <s v="Pune-F&amp;A"/>
    <s v="2000ESPF"/>
    <s v="20037274"/>
    <s v="Imtiyazkhan Pathan"/>
    <s v="No"/>
    <s v="milind.chavan@amns.in"/>
    <s v="9158895849"/>
    <s v="21392"/>
    <s v="Dhruv Vyas"/>
    <s v="Anil Matoo"/>
    <s v="Praveen Kuruvalli"/>
    <s v="Dhruv Vyas"/>
    <n v="0"/>
  </r>
  <r>
    <n v="2282"/>
    <n v="20036803"/>
    <s v="Vilas Walunj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ection Manager"/>
    <m/>
    <s v="Procurement"/>
    <s v="Service and Contract"/>
    <s v="Purchase"/>
    <s v="Non Technical Support"/>
    <s v="Commercial"/>
    <s v="Purchase"/>
    <s v="73804001"/>
    <s v="Purchase"/>
    <s v="Pune AMNS"/>
    <d v="1979-11-26T00:00:00"/>
    <s v="43.09"/>
    <d v="2006-01-06T00:00:00"/>
    <d v="2037-11-30T00:00:00"/>
    <m/>
    <d v="2037-11-30T00:00:00"/>
    <n v="5185"/>
    <s v="O-"/>
    <s v="BSc-2009 , Diploma-2009"/>
    <s v="01.09"/>
    <s v="17.08"/>
    <s v="19.05"/>
    <s v="73800002"/>
    <s v="Procurement - Pune Asset"/>
    <s v="70319260"/>
    <s v="Section Manager"/>
    <s v="Pune Facility"/>
    <s v="0035950041"/>
    <s v="Pune-Procurement"/>
    <s v="2000ESPF"/>
    <s v="20006536"/>
    <s v="Mahesh Salunke"/>
    <s v="No"/>
    <s v="vilas.walunj@amns.in"/>
    <s v="9158895843"/>
    <s v="24748"/>
    <s v="Dhruv Vyas"/>
    <s v="Anil Matoo"/>
    <s v="Praveen Kuruvalli"/>
    <s v="Dhruv Vyas"/>
    <n v="0"/>
  </r>
  <r>
    <n v="2300"/>
    <n v="20036827"/>
    <s v="Pritam Jagtap"/>
    <s v="AM/NS India"/>
    <s v="Onroll"/>
    <s v="L-05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ASST. SECTION OFFICER"/>
    <m/>
    <s v="Finance &amp; Accounts - Pune"/>
    <s v="Finance &amp; Accounts"/>
    <s v="GST"/>
    <s v="Non Technical Support"/>
    <s v="Projects"/>
    <s v="Projects"/>
    <s v="72103036"/>
    <s v="Projects"/>
    <s v="Pune Facility"/>
    <d v="1984-06-24T00:00:00"/>
    <s v="39.02"/>
    <d v="2006-04-04T00:00:00"/>
    <d v="2042-06-30T00:00:00"/>
    <m/>
    <d v="2042-06-30T00:00:00"/>
    <n v="6858"/>
    <s v="AB-"/>
    <s v="Post Diploma Course-2005 , MBA-2005 , MA"/>
    <s v="02.09"/>
    <s v="17.05"/>
    <s v="20.02"/>
    <s v="73800021"/>
    <s v="Excise"/>
    <s v="73800256"/>
    <s v="ASST. SECTION OFFICER"/>
    <s v="Pune Facility"/>
    <s v="0035950020"/>
    <s v="Pune-F&amp;A"/>
    <s v="2000ESPF"/>
    <s v="20037274"/>
    <s v="Imtiyazkhan Pathan"/>
    <s v="No"/>
    <s v="pritam.jagtap@amns.in"/>
    <s v="9960406661"/>
    <s v="21960"/>
    <s v="Dhruv Vyas"/>
    <s v="Anil Matoo"/>
    <s v="Praveen Kuruvalli"/>
    <s v="Dhruv Vyas"/>
    <n v="0"/>
  </r>
  <r>
    <n v="2302"/>
    <n v="20036829"/>
    <s v="Sunil Hawaldar"/>
    <s v="AM/NS India"/>
    <s v="Onroll"/>
    <s v="M-6"/>
    <n v="6"/>
    <m/>
    <s v="MM"/>
    <s v="M"/>
    <s v="Pune Facility"/>
    <n v="4"/>
    <s v="2043"/>
    <x v="3"/>
    <s v="31.01"/>
    <s v="Hrishikesh Kamat"/>
    <s v="Hrishikesh Kamat"/>
    <n v="7"/>
    <s v="Procurement"/>
    <s v="Procurement"/>
    <s v="31"/>
    <s v="Section In charge - Purchase"/>
    <m/>
    <s v="Procurement"/>
    <s v="Mechanical Spares"/>
    <s v="Mechanical Spares"/>
    <s v="Non Technical Support"/>
    <s v="Commercial"/>
    <s v="Purchase"/>
    <s v="73804001"/>
    <s v="Purchase"/>
    <s v="Pune AMNS"/>
    <d v="1973-09-23T00:00:00"/>
    <s v="49.11"/>
    <d v="2006-04-10T00:00:00"/>
    <d v="2031-09-30T00:00:00"/>
    <m/>
    <d v="2031-09-30T00:00:00"/>
    <n v="2932"/>
    <s v="A-"/>
    <s v="Diploma-2009 , Certificate-2009 , SSLC-1"/>
    <s v="10.06"/>
    <s v="17.05"/>
    <s v="27.11"/>
    <s v="73800002"/>
    <s v="Procurement - Pune Asset"/>
    <s v="70271117"/>
    <s v="Section In charge - Purchase"/>
    <s v="Pune Facility"/>
    <s v="0035950041"/>
    <s v="Pune-Procurement"/>
    <s v="2000ESPF"/>
    <s v="20006536"/>
    <s v="Mahesh Salunke"/>
    <s v="No"/>
    <s v="sunil.hawaldar@amns.in"/>
    <s v="9158895840"/>
    <s v="21906"/>
    <s v="Dhruv Vyas"/>
    <s v="Anil Matoo"/>
    <s v="Praveen Kuruvalli"/>
    <s v="Dhruv Vyas"/>
    <n v="0"/>
  </r>
  <r>
    <n v="2315"/>
    <n v="20036844"/>
    <s v="Santosh Kumar Pandey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ASST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80-01-30T00:00:00"/>
    <s v="43.07"/>
    <d v="2006-06-01T00:00:00"/>
    <d v="2038-01-31T00:00:00"/>
    <m/>
    <d v="2038-01-31T00:00:00"/>
    <n v="5247"/>
    <s v="B-"/>
    <s v="SSLC-1995"/>
    <s v=""/>
    <s v="17.03"/>
    <s v="17.03"/>
    <s v="73800072"/>
    <s v="Administration"/>
    <s v="73800315"/>
    <s v="ASST. SECTION OFFICER"/>
    <s v="Pune Facility"/>
    <s v="0035950019"/>
    <s v="Pune-Admin"/>
    <s v="2000ESPF"/>
    <s v="20036748"/>
    <s v="Suresh Kadam"/>
    <s v="No"/>
    <s v="santoshkumar.pandey@amns.in"/>
    <s v="9960770196"/>
    <s v="22935"/>
    <s v="Dhruv Vyas"/>
    <s v="Anil Matoo"/>
    <s v="Praveen Kuruvalli"/>
    <s v="Dhruv Vyas"/>
    <n v="0"/>
  </r>
  <r>
    <n v="2316"/>
    <n v="20036845"/>
    <s v="Rupchand Yadav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 Section Officer - Tra"/>
    <m/>
    <s v="Pune Operations"/>
    <s v="Transport"/>
    <s v="Transport"/>
    <s v="Non Technical Support"/>
    <s v="Administration"/>
    <s v="Travel Services"/>
    <s v="74106002"/>
    <s v="Transport Operations"/>
    <s v="Pune Facility"/>
    <d v="1975-05-05T00:00:00"/>
    <s v="48.04"/>
    <d v="2006-06-01T00:00:00"/>
    <d v="2033-05-31T00:00:00"/>
    <m/>
    <d v="2033-05-31T00:00:00"/>
    <n v="3541"/>
    <s v="O-"/>
    <s v="Intermediate-1993"/>
    <s v=""/>
    <s v="17.03"/>
    <s v="17.03"/>
    <s v="73800072"/>
    <s v="Administration"/>
    <s v="73800316"/>
    <s v="Jr. Section Officer - Tra"/>
    <s v="Pune Facility"/>
    <s v="0035950019"/>
    <s v="Pune-Admin"/>
    <s v="2000ESPF"/>
    <s v="20036748"/>
    <s v="Suresh Kadam"/>
    <s v="No"/>
    <s v="rupchand.yadav@amns.in"/>
    <s v="9421015349"/>
    <s v="24783"/>
    <s v="Dhruv Vyas"/>
    <s v="Anil Matoo"/>
    <s v="Praveen Kuruvalli"/>
    <s v="Dhruv Vyas"/>
    <n v="0"/>
  </r>
  <r>
    <n v="2329"/>
    <n v="20036863"/>
    <s v="Pradeep Kamble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Lead - Procurement"/>
    <m/>
    <s v="Procurement"/>
    <s v="Electrical Spares"/>
    <s v="Purchase"/>
    <s v="Non Technical Support"/>
    <s v="Commercial"/>
    <s v="Purchase"/>
    <s v="73804001"/>
    <s v="Purchase"/>
    <s v="Pune AMNS"/>
    <d v="1981-11-27T00:00:00"/>
    <s v="41.09"/>
    <d v="2006-07-03T00:00:00"/>
    <d v="2039-11-30T00:00:00"/>
    <m/>
    <d v="2039-11-30T00:00:00"/>
    <n v="5915"/>
    <s v="A-"/>
    <s v="Intermediate-2002 , BCom-2002"/>
    <s v="02.02"/>
    <s v="17.02"/>
    <s v="19.04"/>
    <s v="73800002"/>
    <s v="Procurement - Pune Asset"/>
    <s v="70273872"/>
    <s v="ASST. SECTION MANAGER"/>
    <s v="Pune Facility"/>
    <s v="0035950041"/>
    <s v="Pune-Procurement"/>
    <s v="2000ESPF"/>
    <s v="20006536"/>
    <s v="Mahesh Salunke"/>
    <s v="No"/>
    <s v="pradeep.kamble@amns.in"/>
    <s v="9158895846"/>
    <s v="22119"/>
    <s v="Dhruv Vyas"/>
    <s v="Anil Matoo"/>
    <s v="Praveen Kuruvalli"/>
    <s v="Dhruv Vyas"/>
    <n v="0"/>
  </r>
  <r>
    <n v="2333"/>
    <n v="20036873"/>
    <s v="Vrushali Nagare"/>
    <s v="AM/NS India"/>
    <s v="Onroll"/>
    <s v="M-8"/>
    <n v="8"/>
    <m/>
    <s v="JM"/>
    <s v="F"/>
    <s v="Pune Facility"/>
    <n v="4"/>
    <s v="2031"/>
    <x v="10"/>
    <s v="14.01"/>
    <s v="Ranjan Dhar"/>
    <s v="Alain Legrix De La Salle"/>
    <n v="3"/>
    <s v="Sales &amp; Marketing"/>
    <s v="Sales &amp; Marketing"/>
    <s v="14"/>
    <s v="Sr. Section Officer"/>
    <m/>
    <s v="Export"/>
    <s v="Export"/>
    <s v="Export"/>
    <s v="Non Technical Support"/>
    <s v="R&amp; D and QA/QC"/>
    <s v="QA &amp; QC"/>
    <s v="72103034"/>
    <s v="QA &amp; QC"/>
    <s v="Pune AMNS"/>
    <d v="1983-09-23T00:00:00"/>
    <s v="39.11"/>
    <d v="2006-08-01T00:00:00"/>
    <d v="2041-09-30T00:00:00"/>
    <m/>
    <d v="2041-09-30T00:00:00"/>
    <n v="6585"/>
    <s v="B-"/>
    <s v="BSc-2010 , PG Diploma in Management-2010"/>
    <s v="03.02"/>
    <s v="17.01"/>
    <s v="20.03"/>
    <s v="70495379"/>
    <s v="Chief Marketing Officer - AMNS ME FZE"/>
    <s v="73800161"/>
    <s v="KAM - Export Sales"/>
    <s v="Pune Facility"/>
    <s v="0035950028"/>
    <s v="Pune- QA/QC"/>
    <s v="2000ESPF"/>
    <s v="20055663"/>
    <s v="Karamath Syed"/>
    <s v="No"/>
    <s v="vrushali.nagare@amns.in"/>
    <s v="9158892124"/>
    <s v="22755"/>
    <s v="Dhruv Vyas"/>
    <s v="Anil Matoo"/>
    <s v="Praveen Kuruvalli"/>
    <s v="Dhruv Vyas"/>
    <n v="0"/>
  </r>
  <r>
    <n v="2348"/>
    <n v="20036894"/>
    <s v="Nand Kumar Jha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ection Engineer - Purchase"/>
    <m/>
    <s v="Procurement"/>
    <s v="Service and Contract"/>
    <s v="Purchase"/>
    <s v="Non Technical Support"/>
    <s v="Administration"/>
    <s v="Travel Services"/>
    <s v="74106002"/>
    <s v="Transport Operations"/>
    <s v="Pune AMNS"/>
    <d v="1968-10-02T00:00:00"/>
    <s v="54.11"/>
    <d v="2006-10-24T00:00:00"/>
    <d v="2026-10-31T00:00:00"/>
    <m/>
    <d v="2026-10-31T00:00:00"/>
    <n v="1137"/>
    <s v="B-"/>
    <s v="Certificate-2004 , Certificate-2004 , BT"/>
    <s v="30.00"/>
    <s v="16.10"/>
    <s v="46.11"/>
    <s v="73800002"/>
    <s v="Procurement - Pune Asset"/>
    <s v="70319669"/>
    <s v="Section Engineer - Purchase"/>
    <s v="Pune Facility"/>
    <s v="0035950041"/>
    <s v="Pune-Procurement"/>
    <s v="2000ESPF"/>
    <s v="20006536"/>
    <s v="Mahesh Salunke"/>
    <s v="No"/>
    <s v="nandkumar.jha@amns.in"/>
    <s v="9158895882"/>
    <s v="22032"/>
    <s v="Dhruv Vyas"/>
    <s v="Anil Matoo"/>
    <s v="Praveen Kuruvalli"/>
    <s v="Dhruv Vyas"/>
    <n v="0"/>
  </r>
  <r>
    <n v="2356"/>
    <n v="20036904"/>
    <s v="Prakash Gavhane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GST"/>
    <s v="Non Technical Support"/>
    <s v="Finance &amp; Accounts"/>
    <s v="Taxation"/>
    <s v="73904002"/>
    <s v="Indirect Taxation"/>
    <s v="Pune AMNS"/>
    <d v="1978-08-26T00:00:00"/>
    <s v="45.00"/>
    <d v="2006-12-01T00:00:00"/>
    <d v="2036-08-31T00:00:00"/>
    <m/>
    <d v="2036-08-31T00:00:00"/>
    <n v="4729"/>
    <s v="B-"/>
    <s v="BCom-2002"/>
    <s v="00.08"/>
    <s v="16.09"/>
    <s v="17.05"/>
    <s v="73800067"/>
    <s v="Excise"/>
    <s v="70376865"/>
    <s v="Lead"/>
    <s v="Pune Facility"/>
    <s v="0035950020"/>
    <s v="Pune-F&amp;A"/>
    <s v="2000ESPF"/>
    <s v="20036757"/>
    <s v="Milind Chavan"/>
    <s v="No"/>
    <s v="prakash.gavhane@amns.in"/>
    <s v="7798986819"/>
    <s v="21777"/>
    <s v="Dhruv Vyas"/>
    <s v="Anil Matoo"/>
    <s v="Praveen Kuruvalli"/>
    <s v="Dhruv Vyas"/>
    <n v="0"/>
  </r>
  <r>
    <n v="2358"/>
    <n v="20036908"/>
    <s v="Sachin Chavan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r. Section Officer"/>
    <m/>
    <s v="Procurement"/>
    <s v="Row materail and Consumables"/>
    <s v="Purchase"/>
    <s v="Non Technical Support"/>
    <s v="Commercial"/>
    <s v="Purchase"/>
    <s v="73804001"/>
    <s v="Purchase"/>
    <s v="Pune AMNS"/>
    <d v="1983-06-01T00:00:00"/>
    <s v="40.03"/>
    <d v="2006-12-25T00:00:00"/>
    <d v="2041-05-31T00:00:00"/>
    <m/>
    <d v="2041-05-31T00:00:00"/>
    <n v="6463"/>
    <s v="O-"/>
    <s v="BCom-2006 , MCom-2006"/>
    <s v=""/>
    <s v="16.08"/>
    <s v="16.08"/>
    <s v="73800002"/>
    <s v="Procurement - Pune Asset"/>
    <s v="70319270"/>
    <s v="Sr. Section Officer"/>
    <s v="Pune Facility"/>
    <s v="0035950041"/>
    <s v="Pune-Procurement"/>
    <s v="2000ESPF"/>
    <s v="20006536"/>
    <s v="Mahesh Salunke"/>
    <s v="No"/>
    <s v="sachin.chavan@amns.in"/>
    <s v="7798986811"/>
    <s v="21394"/>
    <s v="Dhruv Vyas"/>
    <s v="Anil Matoo"/>
    <s v="Praveen Kuruvalli"/>
    <s v="Dhruv Vyas"/>
    <n v="0"/>
  </r>
  <r>
    <n v="2371"/>
    <n v="20036929"/>
    <s v="Shiv Kumar Bharadwaj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West"/>
    <s v="Hypermart"/>
    <s v="Domestic"/>
    <s v="Non Technical Support"/>
    <s v="Sales &amp; Marketing"/>
    <s v="Sales"/>
    <s v="73104004"/>
    <s v="OEM Sales"/>
    <s v="Pune AMNS"/>
    <d v="1971-07-15T00:00:00"/>
    <s v="52.02"/>
    <d v="2007-02-12T00:00:00"/>
    <d v="2029-07-31T00:00:00"/>
    <m/>
    <d v="2029-07-31T00:00:00"/>
    <n v="2141"/>
    <s v="B-"/>
    <s v="BA-1994 , Diploma-1994"/>
    <s v="11.08"/>
    <s v="16.07"/>
    <s v="28.02"/>
    <s v="00048138"/>
    <s v="Hypermart west"/>
    <s v="70277711"/>
    <s v="Sales Manager - Hypermart"/>
    <s v="Pune Facility"/>
    <s v="0035950073"/>
    <s v="Pune - S&amp;D Export"/>
    <s v="2000ESPF"/>
    <s v="20056847"/>
    <s v="Vikas Chotia"/>
    <s v="No"/>
    <s v="shiv.bhardwaj@amns.in"/>
    <s v="9930136640"/>
    <s v="21232"/>
    <s v="Dhruv Vyas"/>
    <s v="Anil Matoo"/>
    <s v="Praveen Kuruvalli"/>
    <s v="Dhruv Vyas"/>
    <n v="0"/>
  </r>
  <r>
    <n v="2374"/>
    <n v="20036934"/>
    <s v="Atul Patwardhan"/>
    <s v="AM/NS India"/>
    <s v="Onroll"/>
    <s v="M-8"/>
    <n v="8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MANAG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70-02-23T00:00:00"/>
    <s v="53.06"/>
    <d v="2007-02-20T00:00:00"/>
    <d v="2028-02-29T00:00:00"/>
    <m/>
    <d v="2028-02-29T00:00:00"/>
    <n v="1623"/>
    <s v="A-"/>
    <s v="MCom-1992"/>
    <s v="12.02"/>
    <s v="16.06"/>
    <s v="28.08"/>
    <s v="73800023"/>
    <s v="Raw Materials"/>
    <s v="73800045"/>
    <s v="SECTION MANAGER"/>
    <s v="Pune Facility"/>
    <s v="0035950030"/>
    <s v="Pune - Stores"/>
    <s v="2000ESPF"/>
    <s v="20006536"/>
    <s v="Mahesh Salunke"/>
    <s v="No"/>
    <s v="atul.patwardhan@amns.in"/>
    <s v="9158895928"/>
    <s v="23479"/>
    <s v="Dhruv Vyas"/>
    <s v="Anil Matoo"/>
    <s v="Praveen Kuruvalli"/>
    <s v="Dhruv Vyas"/>
    <n v="0"/>
  </r>
  <r>
    <n v="2378"/>
    <n v="20036940"/>
    <s v="Jyoti Phadtale"/>
    <s v="AM/NS India"/>
    <s v="Onroll"/>
    <s v="M-10"/>
    <n v="10"/>
    <m/>
    <s v="JM"/>
    <s v="F"/>
    <s v="Pune Facility"/>
    <n v="4"/>
    <s v="2043"/>
    <x v="3"/>
    <s v="31.01"/>
    <s v="Hrishikesh Kamat"/>
    <s v="Hrishikesh Kamat"/>
    <n v="7"/>
    <s v="Procurement"/>
    <s v="Procurement"/>
    <s v="31"/>
    <s v="Section Officer"/>
    <m/>
    <s v="Procurement"/>
    <s v="Service and Contract"/>
    <s v="Purchase"/>
    <s v="Non Technical Support"/>
    <s v="Finance &amp; Accounts"/>
    <s v="Finance &amp; Accounts"/>
    <s v="73901003"/>
    <s v="Accounts Payable"/>
    <s v="Pune AMNS"/>
    <d v="1981-02-24T00:00:00"/>
    <s v="42.06"/>
    <d v="2007-03-01T00:00:00"/>
    <d v="2039-02-28T00:00:00"/>
    <m/>
    <d v="2039-02-28T00:00:00"/>
    <n v="5640"/>
    <s v="O-"/>
    <s v="MCom-2005 , Certificate-2005 , BCom-2001"/>
    <s v="04.11"/>
    <s v="16.06"/>
    <s v="21.05"/>
    <s v="73800002"/>
    <s v="Procurement - Pune Asset"/>
    <s v="73800082"/>
    <s v="Section Officer"/>
    <s v="Pune Facility"/>
    <s v="0035950041"/>
    <s v="Pune-Procurement"/>
    <s v="2000ESPF"/>
    <s v="20006536"/>
    <s v="Mahesh Salunke"/>
    <s v="No"/>
    <s v="jyoti.gaware@amns.in"/>
    <s v="9158229060"/>
    <s v="21780"/>
    <s v="Dhruv Vyas"/>
    <s v="Anil Matoo"/>
    <s v="Praveen Kuruvalli"/>
    <s v="Dhruv Vyas"/>
    <n v="0"/>
  </r>
  <r>
    <n v="2379"/>
    <n v="20036941"/>
    <s v="Sagar Timbadia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r. Section Officer"/>
    <m/>
    <s v="Procurement"/>
    <s v="Mechanical Spares"/>
    <s v="Purchase"/>
    <s v="Non Technical Support"/>
    <s v="Commercial"/>
    <s v="Purchase"/>
    <s v="73804001"/>
    <s v="Purchase"/>
    <s v="Pune AMNS"/>
    <d v="1986-04-07T00:00:00"/>
    <s v="37.05"/>
    <d v="2007-03-01T00:00:00"/>
    <d v="2044-04-30T00:00:00"/>
    <m/>
    <d v="2044-04-30T00:00:00"/>
    <n v="7528"/>
    <s v="B-"/>
    <s v="BSc-2011 , Certificate-2011"/>
    <s v=""/>
    <s v="16.06"/>
    <s v="16.06"/>
    <s v="73800002"/>
    <s v="Procurement - Pune Asset"/>
    <s v="70273911"/>
    <s v="Sr. Section Officer"/>
    <s v="Pune Facility"/>
    <s v="0035950041"/>
    <s v="Pune-Procurement"/>
    <s v="2000ESPF"/>
    <s v="20006536"/>
    <s v="Mahesh Salunke"/>
    <s v="No"/>
    <s v="sagar.timbadia@amns.in"/>
    <s v="7798986812"/>
    <s v="24525"/>
    <s v="Dhruv Vyas"/>
    <s v="Anil Matoo"/>
    <s v="Praveen Kuruvalli"/>
    <s v="Dhruv Vyas"/>
    <n v="0"/>
  </r>
  <r>
    <n v="2402"/>
    <n v="20036977"/>
    <s v="Anisha Bansode"/>
    <s v="AM/NS India"/>
    <s v="Onroll"/>
    <s v="M-10"/>
    <n v="10"/>
    <m/>
    <s v="JM"/>
    <s v="F"/>
    <s v="Pune Facility"/>
    <n v="4"/>
    <s v="2023"/>
    <x v="6"/>
    <s v="24.08"/>
    <s v="Anil Matoo"/>
    <s v="Ashutosh Telang"/>
    <n v="6"/>
    <s v="HR &amp; Administration"/>
    <s v="Administration"/>
    <s v="24"/>
    <s v="Section Officer"/>
    <m/>
    <s v="Pune Operations"/>
    <s v="Administration"/>
    <s v="Front Office Services"/>
    <s v="Non Technical Support"/>
    <s v="Administration"/>
    <s v="Customer Operations"/>
    <s v="74102004"/>
    <s v="Front Office Services"/>
    <s v="Pune AMNS"/>
    <d v="1983-06-02T00:00:00"/>
    <s v="40.03"/>
    <d v="2007-06-25T00:00:00"/>
    <d v="2041-06-30T00:00:00"/>
    <m/>
    <d v="2041-06-30T00:00:00"/>
    <n v="6493"/>
    <s v="A-"/>
    <s v="BCom-2006"/>
    <s v="00.05"/>
    <s v="16.02"/>
    <s v="16.07"/>
    <s v="73800072"/>
    <s v="Administration"/>
    <s v="73800275"/>
    <s v="Section Officer"/>
    <s v="Pune Facility"/>
    <s v="0035950019"/>
    <s v="Pune-Admin"/>
    <s v="2000ESPF"/>
    <s v="20036748"/>
    <s v="Suresh Kadam"/>
    <s v="No"/>
    <s v="anisha.bansode@amns.in"/>
    <s v="9881397441"/>
    <s v="21162"/>
    <s v="Dhruv Vyas"/>
    <s v="Anil Matoo"/>
    <s v="Praveen Kuruvalli"/>
    <s v="Dhruv Vyas"/>
    <n v="0"/>
  </r>
  <r>
    <n v="2404"/>
    <n v="20036980"/>
    <s v="Vijay Nebapure"/>
    <s v="AM/NS India"/>
    <s v="Onroll"/>
    <s v="M-9"/>
    <n v="9"/>
    <m/>
    <s v="JM"/>
    <s v="M"/>
    <s v="Pune Facility"/>
    <n v="4"/>
    <s v="2084"/>
    <x v="17"/>
    <s v="23.09"/>
    <s v="Anil Matoo"/>
    <s v="Ashutosh Telang"/>
    <n v="6"/>
    <s v="HR &amp; Administration"/>
    <s v="Industrial Relations"/>
    <s v="23"/>
    <s v="Section Officer"/>
    <m/>
    <s v="Pune Operations"/>
    <s v="Administration"/>
    <s v="Welfer Officer"/>
    <s v="Non Technical Support"/>
    <s v="Human Resources Management"/>
    <s v="Payroll Shared Services"/>
    <s v="73509002"/>
    <s v="Payroll Administration"/>
    <s v="Pune AMNS"/>
    <d v="1982-06-12T00:00:00"/>
    <s v="41.03"/>
    <d v="2007-07-02T00:00:00"/>
    <d v="2040-06-30T00:00:00"/>
    <m/>
    <d v="2040-06-30T00:00:00"/>
    <n v="6128"/>
    <s v="AB-"/>
    <s v="MA-2013 , MPM-2013"/>
    <s v="03.00"/>
    <s v="16.02"/>
    <s v="19.02"/>
    <s v="73800070"/>
    <s v="Industrial Relations &amp; Pa"/>
    <s v="70376876"/>
    <s v="Section Officer"/>
    <s v="Pune Facility"/>
    <s v="0035950019"/>
    <s v="Pune-Admin"/>
    <s v="2000ESPF"/>
    <s v="20036591"/>
    <s v="Deepak Nikumbh"/>
    <s v="No"/>
    <s v="vijay.nebapure@amns.in"/>
    <s v="9158895144"/>
    <s v="22827"/>
    <s v="Dhruv Vyas"/>
    <s v="Anil Matoo"/>
    <s v="Praveen Kuruvalli"/>
    <s v="Dhruv Vyas"/>
    <n v="0"/>
  </r>
  <r>
    <n v="2418"/>
    <n v="20037003"/>
    <s v="Sandip Deshmukh"/>
    <s v="AM/NS India"/>
    <s v="Onroll"/>
    <s v="L-05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82-06-01T00:00:00"/>
    <s v="41.03"/>
    <d v="2007-08-11T00:00:00"/>
    <d v="2040-05-31T00:00:00"/>
    <m/>
    <d v="2040-05-31T00:00:00"/>
    <n v="6098"/>
    <s v="A-"/>
    <s v="BA-2008 , Certificate-2008 , Certificate"/>
    <s v="03.01"/>
    <s v="16.01"/>
    <s v="19.02"/>
    <s v="73800023"/>
    <s v="Raw Materials"/>
    <s v="70273912"/>
    <s v="SECTION OFFICER"/>
    <s v="Pune Facility"/>
    <s v="0035950030"/>
    <s v="Pune - Stores"/>
    <s v="2000ESPF"/>
    <s v="20036934"/>
    <s v="Atul Patwardhan"/>
    <s v="No"/>
    <s v="sandip.deshmukh@amns.in"/>
    <s v="8108098084"/>
    <s v="21618"/>
    <s v="Dhruv Vyas"/>
    <s v="Anil Matoo"/>
    <s v="Praveen Kuruvalli"/>
    <s v="Dhruv Vyas"/>
    <n v="0"/>
  </r>
  <r>
    <n v="2425"/>
    <n v="20037017"/>
    <s v="Manisha Raut"/>
    <s v="AM/NS India"/>
    <s v="Onroll"/>
    <s v="M-10"/>
    <n v="10"/>
    <m/>
    <s v="JM"/>
    <s v="F"/>
    <s v="Pune Facility"/>
    <n v="4"/>
    <s v="2023"/>
    <x v="6"/>
    <s v="24.08"/>
    <s v="Anil Matoo"/>
    <s v="Ashutosh Telang"/>
    <n v="6"/>
    <s v="HR &amp; Administration"/>
    <s v="Administration"/>
    <s v="24"/>
    <s v="Section Officer"/>
    <m/>
    <s v="Pune Operations"/>
    <s v="Administration"/>
    <s v="Admin &amp; Front Office Services"/>
    <s v="Non Technical Support"/>
    <s v="Administration"/>
    <s v="Customer Operations"/>
    <s v="74102004"/>
    <s v="Front Office Services"/>
    <s v="Pune AMNS"/>
    <d v="1974-09-26T00:00:00"/>
    <s v="48.11"/>
    <d v="2007-09-04T00:00:00"/>
    <d v="2032-09-30T00:00:00"/>
    <m/>
    <d v="2032-09-30T00:00:00"/>
    <n v="3298"/>
    <s v="B-"/>
    <s v="Intermediate-1993"/>
    <s v="02.09"/>
    <s v="16.00"/>
    <s v="18.09"/>
    <s v="73800072"/>
    <s v="Administration"/>
    <s v="70376861"/>
    <s v="Section Officer"/>
    <s v="Pune Facility"/>
    <s v="0035950019"/>
    <s v="Pune-Admin"/>
    <s v="2000ESPF"/>
    <s v="20036748"/>
    <s v="Suresh Kadam"/>
    <s v="No"/>
    <s v="manisha.raut@amns.in"/>
    <s v="9158895754"/>
    <s v="23755"/>
    <s v="Dhruv Vyas"/>
    <s v="Anil Matoo"/>
    <s v="Praveen Kuruvalli"/>
    <s v="Dhruv Vyas"/>
    <n v="0"/>
  </r>
  <r>
    <n v="2426"/>
    <n v="20037020"/>
    <s v="Shripad Sudame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Lead"/>
    <m/>
    <s v="Stores &amp; Warehouse"/>
    <s v="Stores &amp; Warehouse"/>
    <s v="Documentation"/>
    <s v="Non Technical Support"/>
    <s v="Finance &amp; Accounts"/>
    <s v="Finance &amp; Accounts"/>
    <s v="73901003"/>
    <s v="Accounts Payable"/>
    <s v="Pune AMNS"/>
    <d v="1968-12-23T00:00:00"/>
    <s v="54.08"/>
    <d v="2007-09-19T00:00:00"/>
    <d v="2026-12-31T00:00:00"/>
    <m/>
    <d v="2026-12-31T00:00:00"/>
    <n v="1198"/>
    <s v="A-"/>
    <s v="BCom-1991"/>
    <s v="15.11"/>
    <s v="16.00"/>
    <s v="31.10"/>
    <s v="73800023"/>
    <s v="Raw Materials"/>
    <s v="70376866"/>
    <s v="Lead"/>
    <s v="Pune Facility"/>
    <s v="0035950020"/>
    <s v="Pune-F&amp;A"/>
    <s v="2000ESPF"/>
    <s v="20036934"/>
    <s v="Atul Patwardhan"/>
    <s v="No"/>
    <s v="shripad.sudame@amns.in"/>
    <s v="9922913610"/>
    <s v="24377"/>
    <s v="Dhruv Vyas"/>
    <s v="Anil Matoo"/>
    <s v="Praveen Kuruvalli"/>
    <s v="Dhruv Vyas"/>
    <n v="0"/>
  </r>
  <r>
    <n v="2439"/>
    <n v="20037044"/>
    <s v="Vikas Ahankari"/>
    <s v="AM/NS India"/>
    <s v="Onroll"/>
    <s v="M-6"/>
    <n v="6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West"/>
    <s v="Hypermart"/>
    <s v="National Sales"/>
    <s v="Non Technical Support"/>
    <s v="Sales &amp; Marketing"/>
    <s v="Sales"/>
    <s v="73104004"/>
    <s v="OEM Sales"/>
    <s v="Pune AMNS"/>
    <d v="1978-05-20T00:00:00"/>
    <s v="45.04"/>
    <d v="2008-01-21T00:00:00"/>
    <d v="2036-05-31T00:00:00"/>
    <m/>
    <d v="2036-05-31T00:00:00"/>
    <n v="4637"/>
    <s v="A-"/>
    <s v="BE-1999"/>
    <s v="05.10"/>
    <s v="15.07"/>
    <s v="21.05"/>
    <s v="00048138"/>
    <s v="Hypermart west"/>
    <s v="70271023"/>
    <s v="Sales Manager - Hypermart"/>
    <s v="Pune Facility"/>
    <s v="0035950073"/>
    <s v="Pune - S&amp;D Export"/>
    <s v="2000ESPF"/>
    <s v="20056847"/>
    <s v="Vikas Chotia"/>
    <s v="No"/>
    <s v="vikas.ahankari@amns.in"/>
    <s v="9930136637"/>
    <s v="21041"/>
    <s v="Dhruv Vyas"/>
    <s v="Anil Matoo"/>
    <s v="Praveen Kuruvalli"/>
    <s v="Dhruv Vyas"/>
    <n v="0"/>
  </r>
  <r>
    <n v="2447"/>
    <n v="20037068"/>
    <s v="Ishwar Pingale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78-06-06T00:00:00"/>
    <s v="45.03"/>
    <d v="2008-03-20T00:00:00"/>
    <d v="2036-06-30T00:00:00"/>
    <m/>
    <d v="2036-06-30T00:00:00"/>
    <n v="4667"/>
    <s v="B-"/>
    <s v="MBA-2010 , BA-2010"/>
    <s v="02.05"/>
    <s v="15.06"/>
    <s v="17.10"/>
    <s v="73800024"/>
    <s v="General Consumables"/>
    <s v="70273914"/>
    <s v="Section Officer"/>
    <s v="Pune Facility"/>
    <s v="0035950030"/>
    <s v="Pune - Stores"/>
    <s v="2000ESPF"/>
    <s v="20036403"/>
    <s v="Sanjay Kumbhar"/>
    <s v="No"/>
    <s v="ishwar.pingale@amns.in"/>
    <s v="9604378396"/>
    <s v="23502"/>
    <s v="Dhruv Vyas"/>
    <s v="Anil Matoo"/>
    <s v="Praveen Kuruvalli"/>
    <s v="Dhruv Vyas"/>
    <n v="0"/>
  </r>
  <r>
    <n v="2449"/>
    <n v="20037070"/>
    <s v="Juber Shaikh"/>
    <s v="AM/NS India"/>
    <s v="Onroll"/>
    <s v="L-05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Asst.Indirect Tax"/>
    <m/>
    <s v="Finance &amp; Accounts - Pune"/>
    <s v="Finance &amp; Accounts"/>
    <s v="GST"/>
    <s v="Non Technical Support"/>
    <s v="Finance &amp; Accounts"/>
    <s v="Taxation"/>
    <s v="73904002"/>
    <s v="Indirect Taxation"/>
    <s v="Pune Facility"/>
    <d v="1986-01-20T00:00:00"/>
    <s v="37.07"/>
    <d v="2008-04-01T00:00:00"/>
    <d v="2044-01-31T00:00:00"/>
    <m/>
    <d v="2044-01-31T00:00:00"/>
    <n v="7438"/>
    <s v="O-"/>
    <s v="BCom-2006"/>
    <s v="00.03"/>
    <s v="15.05"/>
    <s v="15.08"/>
    <s v="73800021"/>
    <s v="Excise"/>
    <s v="70273915"/>
    <s v="Asst.Indirect Tax"/>
    <s v="Pune Facility"/>
    <s v="0035950020"/>
    <s v="Pune-F&amp;A"/>
    <s v="2000ESPF"/>
    <s v="20037274"/>
    <s v="Imtiyazkhan Pathan"/>
    <s v="No"/>
    <s v="juber.shaikh@amns.in"/>
    <s v="8552938899"/>
    <s v="24063"/>
    <s v="Dhruv Vyas"/>
    <s v="Anil Matoo"/>
    <s v="Praveen Kuruvalli"/>
    <s v="Dhruv Vyas"/>
    <n v="0"/>
  </r>
  <r>
    <n v="2450"/>
    <n v="20037071"/>
    <s v="Amit Chandaliy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Export Sales"/>
    <m/>
    <s v="Coated Sales"/>
    <s v="Coated Sales"/>
    <s v=""/>
    <s v="Non Technical Support"/>
    <s v="Sales &amp; Marketing"/>
    <s v="Sales"/>
    <s v="73104004"/>
    <s v="OEM Sales"/>
    <s v="Mumbai"/>
    <d v="1984-05-14T00:00:00"/>
    <s v="39.04"/>
    <d v="2008-04-01T00:00:00"/>
    <d v="2042-05-31T00:00:00"/>
    <m/>
    <d v="2042-05-31T00:00:00"/>
    <n v="6828"/>
    <s v="A-"/>
    <s v="B Pharma-2008 , PG Diploma-2008"/>
    <s v=""/>
    <s v="15.05"/>
    <s v="15.05"/>
    <s v="00043882"/>
    <s v="International Sales"/>
    <s v="70372450"/>
    <s v="Head Coated Sales"/>
    <s v="Hazira"/>
    <s v="0031950057"/>
    <s v="HZ-HRC - Marketing"/>
    <s v="2000HWO"/>
    <s v="20007104"/>
    <s v="Ranjan Dhar"/>
    <s v="No"/>
    <s v="amit.chandaliya@amns.in"/>
    <s v="9930136644"/>
    <s v="21339"/>
    <s v="Dhruv Vyas"/>
    <s v="Anil Matoo"/>
    <s v="Praveen Kuruvalli"/>
    <s v="Dhruv Vyas"/>
    <n v="0"/>
  </r>
  <r>
    <n v="2452"/>
    <n v="20037074"/>
    <s v="Balasaheb Mahale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69-06-06T00:00:00"/>
    <s v="54.03"/>
    <d v="2008-04-02T00:00:00"/>
    <d v="2027-06-30T00:00:00"/>
    <m/>
    <d v="2027-06-30T00:00:00"/>
    <n v="1379"/>
    <s v="O-"/>
    <s v="BCom-1991"/>
    <s v="15.02"/>
    <s v="15.05"/>
    <s v="30.07"/>
    <s v="73800024"/>
    <s v="General Consumables"/>
    <s v="70319307"/>
    <s v="Section Officer"/>
    <s v="Pune Facility"/>
    <s v="0035950030"/>
    <s v="Pune - Stores"/>
    <s v="2000ESPF"/>
    <s v="20036403"/>
    <s v="Sanjay Kumbhar"/>
    <s v="No"/>
    <s v="balasaheb.mahale@amns.in"/>
    <s v="9766654569"/>
    <s v="22466"/>
    <s v="Dhruv Vyas"/>
    <s v="Anil Matoo"/>
    <s v="Praveen Kuruvalli"/>
    <s v="Dhruv Vyas"/>
    <n v="0"/>
  </r>
  <r>
    <n v="2455"/>
    <n v="20037079"/>
    <s v="Prashant Zalke"/>
    <s v="AM/NS India"/>
    <s v="Onroll"/>
    <s v="M-9"/>
    <n v="9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Sr. Section Officer"/>
    <m/>
    <s v="West"/>
    <s v="Hypermart"/>
    <s v="Domestic"/>
    <s v="Non Technical Support"/>
    <s v="Sales &amp; Marketing"/>
    <s v="Sales &amp; Marketing"/>
    <s v="73101001"/>
    <s v="Sales &amp; Marketing"/>
    <s v="Pune AMNS"/>
    <d v="1981-07-23T00:00:00"/>
    <s v="42.01"/>
    <d v="2008-04-12T00:00:00"/>
    <d v="2039-07-31T00:00:00"/>
    <m/>
    <d v="2039-07-31T00:00:00"/>
    <n v="5793"/>
    <s v="B-"/>
    <s v="Intermediate-1999"/>
    <s v="01.04"/>
    <s v="15.05"/>
    <s v="16.09"/>
    <s v="00048138"/>
    <s v="Hypermart west"/>
    <s v="70277713"/>
    <s v="Sales Manager - Hypermart"/>
    <s v="Pune Facility"/>
    <s v="0035950073"/>
    <s v="Pune - S&amp;D Export"/>
    <s v="2000ESPF"/>
    <s v="20056847"/>
    <s v="Vikas Chotia"/>
    <s v="No"/>
    <s v="prashant.zalke@amns.in"/>
    <s v="9158895817"/>
    <s v="24808"/>
    <s v="Dhruv Vyas"/>
    <s v="Anil Matoo"/>
    <s v="Praveen Kuruvalli"/>
    <s v="Dhruv Vyas"/>
    <n v="0"/>
  </r>
  <r>
    <n v="2456"/>
    <n v="20037081"/>
    <s v="Savio Lainez"/>
    <s v="AM/NS India"/>
    <s v="Onroll"/>
    <s v="M-4"/>
    <n v="4"/>
    <m/>
    <s v="S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Head - Sales &amp; Marketing, Pune"/>
    <m/>
    <s v="Coated Sales"/>
    <s v="National Sales"/>
    <s v="National Sales"/>
    <s v="Non Technical Support"/>
    <s v="Human Resources Management"/>
    <s v="Human Resources Management"/>
    <s v="73501001"/>
    <s v="Human Resources"/>
    <s v="Mumbai"/>
    <d v="1966-07-14T00:00:00"/>
    <s v="57.02"/>
    <d v="2008-04-24T00:00:00"/>
    <d v="2024-07-31T00:00:00"/>
    <m/>
    <d v="2024-07-31T00:00:00"/>
    <n v="315"/>
    <s v="A-"/>
    <s v="BSc-1993 , Diploma Equivalent-1993"/>
    <s v="20.07"/>
    <s v="15.04"/>
    <s v="35.11"/>
    <s v="70265784"/>
    <s v="Sales &amp; Marketing - Pune Asset"/>
    <s v="73800222"/>
    <s v="Head - Sales &amp; Marketing, Pune"/>
    <s v="Pune Facility"/>
    <s v="0035950073"/>
    <s v="Pune - S&amp;D Export"/>
    <s v="2000ESPF"/>
    <s v="20055091"/>
    <s v="Akshaya Gujral"/>
    <s v="No"/>
    <s v="savio.lainez@amns.in"/>
    <s v="9930136635"/>
    <s v="22414"/>
    <s v="Dhruv Vyas"/>
    <s v="Anil Matoo"/>
    <s v="Praveen Kuruvalli"/>
    <s v="Dhruv Vyas"/>
    <n v="0"/>
  </r>
  <r>
    <n v="2457"/>
    <n v="20037086"/>
    <s v="Ganesh Gaikwad"/>
    <s v="AM/NS India"/>
    <s v="Onroll"/>
    <s v="L-05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Asst.Indirect Tax"/>
    <m/>
    <s v="Finance &amp; Accounts - Pune"/>
    <s v="Finance &amp; Accounts"/>
    <s v="EXIM &amp; Custom"/>
    <s v="Non Technical Support"/>
    <s v="Finance &amp; Accounts"/>
    <s v="Taxation"/>
    <s v="73904002"/>
    <s v="Indirect Taxation"/>
    <s v="Pune Facility"/>
    <d v="1987-06-26T00:00:00"/>
    <s v="36.02"/>
    <d v="2008-05-12T00:00:00"/>
    <d v="2045-06-30T00:00:00"/>
    <m/>
    <d v="2045-06-30T00:00:00"/>
    <n v="7954"/>
    <s v="A-"/>
    <s v="Intermediate-2005"/>
    <s v=""/>
    <s v="15.04"/>
    <s v="15.04"/>
    <s v="73800021"/>
    <s v="Excise"/>
    <s v="73800029"/>
    <s v="Asst.Indirect Tax"/>
    <s v="Pune Facility"/>
    <s v="0035950020"/>
    <s v="Pune-F&amp;A"/>
    <s v="2000ESPF"/>
    <s v="20037274"/>
    <s v="Imtiyazkhan Pathan"/>
    <s v="No"/>
    <s v="ganesh.gaikwad@amns.in"/>
    <s v="9823919399"/>
    <s v="21729"/>
    <s v="Dhruv Vyas"/>
    <s v="Anil Matoo"/>
    <s v="Praveen Kuruvalli"/>
    <s v="Dhruv Vyas"/>
    <n v="0"/>
  </r>
  <r>
    <n v="2458"/>
    <n v="20037087"/>
    <s v="Midhilesh Kumar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SECTION OFFICER"/>
    <m/>
    <s v="Export"/>
    <s v="Export"/>
    <s v="Export"/>
    <s v="Non Technical Support"/>
    <s v="Finance &amp; Accounts"/>
    <s v="Taxation"/>
    <s v="73904002"/>
    <s v="Indirect Taxation"/>
    <s v="Pune AMNS"/>
    <d v="1987-06-16T00:00:00"/>
    <s v="36.03"/>
    <d v="2008-05-12T00:00:00"/>
    <d v="2045-06-30T00:00:00"/>
    <m/>
    <d v="2045-06-30T00:00:00"/>
    <n v="7954"/>
    <s v="A-"/>
    <s v="Intermediate-2008 , Bachelor Equivalent-"/>
    <s v=""/>
    <s v="15.04"/>
    <s v="15.04"/>
    <s v="70495379"/>
    <s v="Chief Marketing Officer - AMNS ME FZE"/>
    <s v="70273916"/>
    <s v="KAM - Export Sales"/>
    <s v="Pune Facility"/>
    <s v="0035950073"/>
    <s v="Pune - S&amp;D Export"/>
    <s v="2000ESPF"/>
    <s v="20055663"/>
    <s v="Karamath Syed"/>
    <s v="No"/>
    <s v="midhilesh.kumar@amns.in"/>
    <s v="9158895082"/>
    <s v="22331"/>
    <s v="Dhruv Vyas"/>
    <s v="Anil Matoo"/>
    <s v="Praveen Kuruvalli"/>
    <s v="Dhruv Vyas"/>
    <n v="0"/>
  </r>
  <r>
    <n v="2466"/>
    <n v="20037100"/>
    <s v="Devendra Rathod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Finance &amp; Accounts"/>
    <s v="Non Technical Support"/>
    <s v="Finance &amp; Accounts"/>
    <s v="Treasury"/>
    <s v="73903001"/>
    <s v="Treasury"/>
    <s v="Mumbai"/>
    <d v="1974-10-02T00:00:00"/>
    <s v="48.11"/>
    <d v="2008-06-10T00:00:00"/>
    <d v="2032-10-31T00:00:00"/>
    <m/>
    <d v="2032-10-31T00:00:00"/>
    <n v="3329"/>
    <s v="AB-"/>
    <s v="Certificate-1998 , BCom-1998"/>
    <s v="11.02"/>
    <s v="15.03"/>
    <s v="26.05"/>
    <s v="70494410"/>
    <s v="Finance Controller 1"/>
    <s v="70376862"/>
    <s v="Lead"/>
    <s v="Pune Facility"/>
    <s v="0035950020"/>
    <s v="Pune-F&amp;A"/>
    <s v="2000ESPF"/>
    <s v="20007731"/>
    <s v="Ashish Mehta"/>
    <s v="No"/>
    <s v="devendra.rathod@amns.in"/>
    <s v="9769621236"/>
    <s v="23736"/>
    <s v="Dhruv Vyas"/>
    <s v="Anil Matoo"/>
    <s v="Praveen Kuruvalli"/>
    <s v="Dhruv Vyas"/>
    <n v="0"/>
  </r>
  <r>
    <n v="2491"/>
    <n v="20037138"/>
    <s v="Sanjay Chunekar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DY. SECTION MANAGER"/>
    <m/>
    <s v="Coated Sales"/>
    <s v="Coated Sales"/>
    <s v="Domestic"/>
    <s v="Non Technical Support"/>
    <s v="Sales &amp; Marketing"/>
    <s v="Sales"/>
    <s v="73104004"/>
    <s v="OEM Sales"/>
    <s v="Mumbai"/>
    <d v="1975-12-19T00:00:00"/>
    <s v="47.09"/>
    <d v="2008-07-14T00:00:00"/>
    <d v="2033-12-31T00:00:00"/>
    <m/>
    <d v="2033-12-31T00:00:00"/>
    <n v="3755"/>
    <s v="O-"/>
    <s v="BCom-1998"/>
    <s v="08.07"/>
    <s v="15.02"/>
    <s v="23.09"/>
    <s v="00043882"/>
    <s v="International Sales"/>
    <s v="70277712"/>
    <s v="KAM - Coated Sales"/>
    <s v="Pune Facility"/>
    <s v="0035950074"/>
    <s v="Pune - S&amp;d Domestic"/>
    <s v="2000ESPF"/>
    <s v="20037071"/>
    <s v="Amit Chandaliya"/>
    <s v="No"/>
    <s v="sanjay.chunekar@amns.in"/>
    <s v="9930134718"/>
    <s v="21443"/>
    <s v="Dhruv Vyas"/>
    <s v="Anil Matoo"/>
    <s v="Praveen Kuruvalli"/>
    <s v="Dhruv Vyas"/>
    <n v="0"/>
  </r>
  <r>
    <n v="2494"/>
    <n v="20037146"/>
    <s v="Neeta Satav"/>
    <s v="AM/NS India"/>
    <s v="Onroll"/>
    <s v="M-10"/>
    <n v="10"/>
    <m/>
    <s v="JM"/>
    <s v="F"/>
    <s v="Pune Facility"/>
    <n v="4"/>
    <s v="2015"/>
    <x v="1"/>
    <s v="22.06"/>
    <s v="Anil Matoo"/>
    <s v="Ashutosh Telang"/>
    <n v="6"/>
    <s v="HR &amp; Administration"/>
    <s v="Human Resources"/>
    <s v="22"/>
    <s v="Section Officer"/>
    <m/>
    <s v="Pune Operations"/>
    <s v="Administration"/>
    <s v="Recuritment"/>
    <s v="Non Technical Support"/>
    <s v="Human Resources Management"/>
    <s v="Compensation &amp; Benefits"/>
    <s v="73504001"/>
    <s v="Compensation &amp; Benefits"/>
    <s v="Pune AMNS"/>
    <d v="1986-08-06T00:00:00"/>
    <s v="37.01"/>
    <d v="2008-07-16T00:00:00"/>
    <d v="2044-08-31T00:00:00"/>
    <m/>
    <d v="2044-08-31T00:00:00"/>
    <n v="7651"/>
    <s v="AB-"/>
    <s v="Diploma-2008"/>
    <s v=""/>
    <s v="15.02"/>
    <s v="15.02"/>
    <s v="73800068"/>
    <s v="Pune HR Operations &amp; Administration"/>
    <s v="70415282"/>
    <s v="Section Officer"/>
    <s v="Pune Facility"/>
    <s v="0035950019"/>
    <s v="Pune-Admin"/>
    <s v="2000ESPF"/>
    <s v="20037245"/>
    <s v="Mukund Jagirdar"/>
    <s v="No"/>
    <s v="neeta.satav@amns.in"/>
    <s v="7875649364"/>
    <s v="23943"/>
    <s v="Dhruv Vyas"/>
    <s v="Anil Matoo"/>
    <s v="Praveen Kuruvalli"/>
    <s v="Dhruv Vyas"/>
    <n v="0"/>
  </r>
  <r>
    <n v="2509"/>
    <n v="20037177"/>
    <s v="Pradip Biswas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- Export Sales"/>
    <m/>
    <s v="Export"/>
    <s v="Export"/>
    <s v=""/>
    <s v="Non Technical Support"/>
    <s v="Sales &amp; Marketing"/>
    <s v="Sales"/>
    <s v="73104004"/>
    <s v="OEM Sales"/>
    <s v="Mumbai"/>
    <d v="1969-01-19T00:00:00"/>
    <s v="54.08"/>
    <d v="2008-08-11T00:00:00"/>
    <d v="2027-01-31T00:00:00"/>
    <m/>
    <d v="2027-01-31T00:00:00"/>
    <n v="1229"/>
    <s v="B-"/>
    <s v="Intermediate-1992 , BA-1992"/>
    <s v="16.02"/>
    <s v="15.01"/>
    <s v="31.03"/>
    <s v="70495379"/>
    <s v="Chief Marketing Officer - AMNS ME FZE"/>
    <s v="70336259"/>
    <s v="Sr. KAM - Export Sales"/>
    <s v="Hazira"/>
    <s v="0031950057"/>
    <s v="HZ-HRC - Marketing"/>
    <s v="2000HWO"/>
    <s v="20055663"/>
    <s v="Karamath Syed"/>
    <s v="No"/>
    <s v="pradip.biswas@amns.in"/>
    <s v="9930136642"/>
    <s v="21300"/>
    <s v="Dhruv Vyas"/>
    <s v="Anil Matoo"/>
    <s v="Praveen Kuruvalli"/>
    <s v="Dhruv Vyas"/>
    <n v="0"/>
  </r>
  <r>
    <n v="2511"/>
    <n v="20037180"/>
    <s v="Santosh Sathe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ASST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85-08-03T00:00:00"/>
    <s v="38.01"/>
    <d v="2008-08-18T00:00:00"/>
    <d v="2043-08-31T00:00:00"/>
    <m/>
    <d v="2043-08-31T00:00:00"/>
    <n v="7285"/>
    <s v="O-"/>
    <s v="Intermediate-2006 , Certificate-2006"/>
    <s v=""/>
    <s v="15.01"/>
    <s v="15.01"/>
    <s v="73800072"/>
    <s v="Administration"/>
    <s v="70376872"/>
    <s v="ASST. SECTION OFFICER"/>
    <s v="Pune Facility"/>
    <s v="0035950019"/>
    <s v="Pune-Admin"/>
    <s v="2000ESPF"/>
    <s v="20036748"/>
    <s v="Suresh Kadam"/>
    <s v="No"/>
    <s v="santosh.sathe@amns.in"/>
    <s v="9637040461"/>
    <s v="23950"/>
    <s v="Dhruv Vyas"/>
    <s v="Anil Matoo"/>
    <s v="Praveen Kuruvalli"/>
    <s v="Dhruv Vyas"/>
    <n v="0"/>
  </r>
  <r>
    <n v="2515"/>
    <n v="20037185"/>
    <s v="Shilpa Darekar"/>
    <s v="AM/NS India"/>
    <s v="Onroll"/>
    <s v="M-10"/>
    <n v="10"/>
    <m/>
    <s v="JM"/>
    <s v="F"/>
    <s v="Pune Facility"/>
    <n v="4"/>
    <s v="2023"/>
    <x v="6"/>
    <s v="24.08"/>
    <s v="Anil Matoo"/>
    <s v="Ashutosh Telang"/>
    <n v="6"/>
    <s v="HR &amp; Administration"/>
    <s v="Administration"/>
    <s v="24"/>
    <s v="Section Officer"/>
    <m/>
    <s v="Pune Operations"/>
    <s v="Administration"/>
    <s v="Admin. And Billing"/>
    <s v="Non Technical Support"/>
    <s v="Administration"/>
    <s v="Administration"/>
    <s v="74101001"/>
    <s v="Administration"/>
    <s v="Pune AMNS"/>
    <d v="1977-02-14T00:00:00"/>
    <s v="46.07"/>
    <d v="2008-08-25T00:00:00"/>
    <d v="2035-02-28T00:00:00"/>
    <m/>
    <d v="2035-02-28T00:00:00"/>
    <n v="4179"/>
    <s v="O-"/>
    <s v="BA-2002 , MA-2002 , Intermediate-1999"/>
    <s v=""/>
    <s v="15.00"/>
    <s v="15.00"/>
    <s v="73800072"/>
    <s v="Administration"/>
    <s v="73800272"/>
    <s v="Section Officer"/>
    <s v="Pune Facility"/>
    <s v="0035950019"/>
    <s v="Pune-Admin"/>
    <s v="2000ESPF"/>
    <s v="20036748"/>
    <s v="Suresh Kadam"/>
    <s v="No"/>
    <s v="shilpa.darekar@amns.in"/>
    <s v="8552987333"/>
    <s v="21497"/>
    <s v="Dhruv Vyas"/>
    <s v="Anil Matoo"/>
    <s v="Praveen Kuruvalli"/>
    <s v="Dhruv Vyas"/>
    <n v="0"/>
  </r>
  <r>
    <n v="2517"/>
    <n v="20037187"/>
    <s v="Ramhari Darekar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 Section Officer - Tra"/>
    <m/>
    <s v="Pune Operations"/>
    <s v="Transport"/>
    <s v="Transport"/>
    <s v="Non Technical Support"/>
    <s v="Administration"/>
    <s v="Travel Services"/>
    <s v="74106002"/>
    <s v="Transport Operations"/>
    <s v="Pune Facility"/>
    <d v="1985-08-11T00:00:00"/>
    <s v="38.01"/>
    <d v="2008-08-25T00:00:00"/>
    <d v="2043-08-31T00:00:00"/>
    <m/>
    <d v="2043-08-31T00:00:00"/>
    <n v="7285"/>
    <s v="O-"/>
    <s v="Non Matric-2000"/>
    <s v="02.01"/>
    <s v="15.00"/>
    <s v="17.01"/>
    <s v="73800072"/>
    <s v="Administration"/>
    <s v="73800314"/>
    <s v="Jr. Section Officer - Tra"/>
    <s v="Pune Facility"/>
    <s v="0035950019"/>
    <s v="Pune-Admin"/>
    <s v="2000ESPF"/>
    <s v="20036748"/>
    <s v="Suresh Kadam"/>
    <s v="No"/>
    <s v="ramhari.darekar@amns.in"/>
    <s v="9767784141"/>
    <s v="21492"/>
    <s v="Dhruv Vyas"/>
    <s v="Anil Matoo"/>
    <s v="Praveen Kuruvalli"/>
    <s v="Dhruv Vyas"/>
    <n v="0"/>
  </r>
  <r>
    <n v="2523"/>
    <n v="20037193"/>
    <s v="Pravin Darekar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ASST. 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85-06-22T00:00:00"/>
    <s v="38.03"/>
    <d v="2008-09-03T00:00:00"/>
    <d v="2043-06-30T00:00:00"/>
    <m/>
    <d v="2043-06-30T00:00:00"/>
    <n v="7223"/>
    <s v="B-"/>
    <s v="NAC/NCVT/ITI-2002"/>
    <s v=""/>
    <s v="15.00"/>
    <s v="15.00"/>
    <s v="73800023"/>
    <s v="Raw Materials"/>
    <s v="70376868"/>
    <s v="ASST. SECTION OFFICER"/>
    <s v="Pune Facility"/>
    <s v="0035950030"/>
    <s v="Pune - Stores"/>
    <s v="2000ESPF"/>
    <s v="20036934"/>
    <s v="Atul Patwardhan"/>
    <s v="No"/>
    <s v="pravin.darekar@amns.in"/>
    <s v="9764616877"/>
    <s v="21488"/>
    <s v="Dhruv Vyas"/>
    <s v="Anil Matoo"/>
    <s v="Praveen Kuruvalli"/>
    <s v="Dhruv Vyas"/>
    <n v="0"/>
  </r>
  <r>
    <n v="2524"/>
    <n v="20037194"/>
    <s v="Subhash Bhandare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 Section Officer - Tra"/>
    <m/>
    <s v="Pune Operations"/>
    <s v="Transport"/>
    <s v="Transport"/>
    <s v="Non Technical Support"/>
    <s v="Administration"/>
    <s v="Travel Services"/>
    <s v="74106002"/>
    <s v="Transport Operations"/>
    <s v="Pune Facility"/>
    <d v="1979-01-23T00:00:00"/>
    <s v="44.07"/>
    <d v="2008-09-03T00:00:00"/>
    <d v="2037-01-31T00:00:00"/>
    <m/>
    <d v="2037-01-31T00:00:00"/>
    <n v="4882"/>
    <s v="O-"/>
    <s v="Non Matric-1996"/>
    <s v="01.00"/>
    <s v="15.00"/>
    <s v="16.00"/>
    <s v="73800072"/>
    <s v="Administration"/>
    <s v="73800313"/>
    <s v="Jr. Section Officer - Tra"/>
    <s v="Pune Facility"/>
    <s v="0035950019"/>
    <s v="Pune-Admin"/>
    <s v="2000ESPF"/>
    <s v="20036748"/>
    <s v="Suresh Kadam"/>
    <s v="Yes"/>
    <s v="subhash.bhandare@amns.in"/>
    <s v="9623137854"/>
    <s v="21217"/>
    <s v="Dhruv Vyas"/>
    <s v="Anil Matoo"/>
    <s v="Praveen Kuruvalli"/>
    <s v="Dhruv Vyas"/>
    <n v="0"/>
  </r>
  <r>
    <n v="2525"/>
    <n v="20037195"/>
    <s v="Rahul Shamarav Darekar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Jr. Section Officer - Mec"/>
    <m/>
    <s v="Procurement"/>
    <s v="Stores &amp; Warehouse"/>
    <s v="Stores"/>
    <s v="Non Technical Support"/>
    <s v="Operations"/>
    <s v="Plant Maintenance"/>
    <s v="72103008"/>
    <s v="Mechanical Maintenance"/>
    <s v="Pune Facility"/>
    <d v="1990-08-23T00:00:00"/>
    <s v="33.00"/>
    <d v="2008-09-03T00:00:00"/>
    <d v="2048-08-31T00:00:00"/>
    <m/>
    <d v="2048-08-31T00:00:00"/>
    <n v="9112"/>
    <s v="B-"/>
    <s v="SSLC-2007 , Certificate-2007"/>
    <s v=""/>
    <s v="15.00"/>
    <s v="15.00"/>
    <s v="73800023"/>
    <s v="Raw Materials"/>
    <s v="73800550"/>
    <s v="Jr. Section Officer - Mec"/>
    <s v="Pune Facility"/>
    <s v="0035950030"/>
    <s v="Pune - Stores"/>
    <s v="2000ESPF"/>
    <s v="20036934"/>
    <s v="Atul Patwardhan"/>
    <s v="No"/>
    <s v="rahul.darekar@amns.in"/>
    <s v="9860638400"/>
    <s v="21489"/>
    <s v="Dhruv Vyas"/>
    <s v="Anil Matoo"/>
    <s v="Praveen Kuruvalli"/>
    <s v="Dhruv Vyas"/>
    <n v="0"/>
  </r>
  <r>
    <n v="2527"/>
    <n v="20037199"/>
    <s v="Jaydeep Satpute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4"/>
    <s v="Accounts Receivables"/>
    <s v="Pune AMNS"/>
    <d v="1980-09-04T00:00:00"/>
    <s v="43.00"/>
    <d v="2008-09-01T00:00:00"/>
    <d v="2038-09-30T00:00:00"/>
    <m/>
    <d v="2038-09-30T00:00:00"/>
    <n v="5489"/>
    <s v="A-"/>
    <s v="Certificate-2011 , MBA-2011 , Post Diplo"/>
    <s v="06.08"/>
    <s v="15.00"/>
    <s v="21.08"/>
    <s v="70418544"/>
    <s v="Costing"/>
    <s v="73800076"/>
    <s v="Lead"/>
    <s v="Pune Facility"/>
    <s v="0035950020"/>
    <s v="Pune-F&amp;A"/>
    <s v="2000ESPF"/>
    <s v="20048971"/>
    <s v="Arindam Ganguly"/>
    <s v="No"/>
    <s v="jaydeep.satpute@amns.in"/>
    <s v="7588075421"/>
    <s v="23961"/>
    <s v="Dhruv Vyas"/>
    <s v="Anil Matoo"/>
    <s v="Praveen Kuruvalli"/>
    <s v="Dhruv Vyas"/>
    <n v="0"/>
  </r>
  <r>
    <n v="2531"/>
    <n v="20037204"/>
    <s v="Vinay Verenkar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Lead"/>
    <m/>
    <s v="Procurement"/>
    <s v="Procurement"/>
    <s v="Procurement"/>
    <s v="Non Technical Support"/>
    <s v="Finance &amp; Accounts"/>
    <s v="Finance &amp; Accounts"/>
    <s v="73901003"/>
    <s v="Accounts Payable"/>
    <s v="Pune AMNS"/>
    <d v="1972-09-02T00:00:00"/>
    <s v="51.00"/>
    <d v="2008-09-15T00:00:00"/>
    <d v="2030-09-30T00:00:00"/>
    <m/>
    <d v="2030-09-30T00:00:00"/>
    <n v="2567"/>
    <s v="B-"/>
    <s v="Intermediate-1993 , BCom-1993"/>
    <s v="13.09"/>
    <s v="15.00"/>
    <s v="28.09"/>
    <s v="73800002"/>
    <s v="Procurement - Pune Asset"/>
    <s v="70319259"/>
    <s v="Lead"/>
    <s v="Pune Facility"/>
    <s v="0035950020"/>
    <s v="Pune-F&amp;A"/>
    <s v="2000ESPF"/>
    <s v="20006536"/>
    <s v="Mahesh Salunke"/>
    <s v="No"/>
    <s v="vinay.verenkar@amns.in"/>
    <s v="9923036976"/>
    <s v="24670"/>
    <s v="Dhruv Vyas"/>
    <s v="Anil Matoo"/>
    <s v="Praveen Kuruvalli"/>
    <s v="Dhruv Vyas"/>
    <n v="0"/>
  </r>
  <r>
    <n v="2532"/>
    <n v="20037206"/>
    <s v="Salim Shaikh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SR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71-07-01T00:00:00"/>
    <s v="52.02"/>
    <d v="2008-10-01T00:00:00"/>
    <d v="2029-06-30T00:00:00"/>
    <m/>
    <d v="2029-06-30T00:00:00"/>
    <n v="2110"/>
    <s v="B-"/>
    <s v="Non Matric-1980"/>
    <s v="17.00"/>
    <s v="14.11"/>
    <s v="31.11"/>
    <s v="73800072"/>
    <s v="Administration"/>
    <s v="73800302"/>
    <s v="SR. SECTION OFFICER"/>
    <s v="Pune Facility"/>
    <s v="0035950019"/>
    <s v="Pune-Admin"/>
    <s v="2000ESPF"/>
    <s v="20036748"/>
    <s v="Suresh Kadam"/>
    <s v="No"/>
    <s v="salim.shaikh1@amns.in"/>
    <s v="9763810633"/>
    <s v="24068"/>
    <s v="Dhruv Vyas"/>
    <s v="Anil Matoo"/>
    <s v="Praveen Kuruvalli"/>
    <s v="Dhruv Vyas"/>
    <n v="0"/>
  </r>
  <r>
    <n v="2537"/>
    <n v="20037219"/>
    <s v="Japani Ansari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ASST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76-02-20T00:00:00"/>
    <s v="47.06"/>
    <d v="2008-12-01T00:00:00"/>
    <d v="2034-02-28T00:00:00"/>
    <m/>
    <d v="2034-02-28T00:00:00"/>
    <n v="3814"/>
    <s v="B-"/>
    <s v="Non Matric-1993"/>
    <s v="08.09"/>
    <s v="14.09"/>
    <s v="23.06"/>
    <s v="73800072"/>
    <s v="Administration"/>
    <s v="73800305"/>
    <s v="ASST. SECTION OFFICER"/>
    <s v="Pune Facility"/>
    <s v="0035950019"/>
    <s v="Pune-Admin"/>
    <s v="2000ESPF"/>
    <s v="20036748"/>
    <s v="Suresh Kadam"/>
    <s v="No"/>
    <s v="japani.ansari@amns.in"/>
    <s v="9730509425"/>
    <s v="21088"/>
    <s v="Dhruv Vyas"/>
    <s v="Anil Matoo"/>
    <s v="Praveen Kuruvalli"/>
    <s v="Dhruv Vyas"/>
    <n v="0"/>
  </r>
  <r>
    <n v="2541"/>
    <n v="20037239"/>
    <s v="Prashant Shah"/>
    <s v="AM/NS India"/>
    <s v="Onroll"/>
    <s v="M-6"/>
    <n v="6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nior Lead"/>
    <m/>
    <s v="Finance &amp; Accounts - Pune"/>
    <s v="Finance &amp; Accounts"/>
    <s v="Accounts Payable"/>
    <s v="Non Technical Support"/>
    <s v="Finance &amp; Accounts"/>
    <s v="Finance &amp; Accounts"/>
    <s v="73901004"/>
    <s v="Accounts Receivables"/>
    <s v="Pune AMNS"/>
    <d v="1975-05-10T00:00:00"/>
    <s v="48.04"/>
    <d v="2010-05-05T00:00:00"/>
    <d v="2033-05-31T00:00:00"/>
    <m/>
    <d v="2033-05-31T00:00:00"/>
    <n v="3541"/>
    <s v="A-"/>
    <s v="BSc-2003 , CA Final-2003"/>
    <s v="06.06"/>
    <s v="13.04"/>
    <s v="19.10"/>
    <s v="73800027"/>
    <s v="Account Receivables"/>
    <s v="70386110"/>
    <s v="Senior Lead"/>
    <s v="Pune Facility"/>
    <s v="0035950020"/>
    <s v="Pune-F&amp;A"/>
    <s v="2000ESPF"/>
    <s v="0"/>
    <s v=""/>
    <s v="No"/>
    <s v="prashant.shah@amns.in"/>
    <s v="7798986828"/>
    <s v="24029"/>
    <s v="Dhruv Vyas"/>
    <s v="Anil Matoo"/>
    <s v="Praveen Kuruvalli"/>
    <s v="Dhruv Vyas"/>
    <n v="0"/>
  </r>
  <r>
    <n v="2542"/>
    <n v="20037245"/>
    <s v="Mukund Jagirdar"/>
    <s v="AM/NS India"/>
    <s v="Onroll"/>
    <s v="M-3"/>
    <n v="3"/>
    <m/>
    <s v="SM"/>
    <s v="M"/>
    <s v="Pune Facility"/>
    <n v="4"/>
    <s v="2015"/>
    <x v="1"/>
    <s v="22.06"/>
    <s v="Anil Matoo"/>
    <s v="Ashutosh Telang"/>
    <n v="6"/>
    <s v="HR &amp; Administration"/>
    <s v="Human Resources"/>
    <s v="22"/>
    <s v="Head HR IR &amp; Admin - Pune Asset"/>
    <m/>
    <s v="Human Resources"/>
    <s v="HR,Admin &amp; IR"/>
    <s v="HR,Admin &amp; IR"/>
    <s v="Non Technical Support"/>
    <s v="Human Resources Management"/>
    <s v="Human Resources Management"/>
    <s v="73501001"/>
    <s v="Human Resources"/>
    <s v="Pune AMNS"/>
    <d v="1964-09-06T00:00:00"/>
    <s v="59.00"/>
    <d v="2010-10-18T00:00:00"/>
    <d v="2022-09-30T00:00:00"/>
    <d v="2024-09-30T00:00:00"/>
    <d v="2024-09-30T00:00:00"/>
    <n v="376"/>
    <s v="O-"/>
    <s v="Master's Equivalent-1999 , Diploma Equiv"/>
    <s v="21.02"/>
    <s v="12.11"/>
    <s v="34.00"/>
    <s v="73800068"/>
    <s v="Pune HR Operations &amp; Administration"/>
    <s v="70320203"/>
    <s v="Head HR IR &amp; Admin - Pune Asset"/>
    <s v="Pune Facility"/>
    <s v="0035950019"/>
    <s v="Pune-Admin"/>
    <s v="2000ESPF"/>
    <s v="20000083"/>
    <s v="Anil Matoo"/>
    <s v="No"/>
    <s v="mukund.jagirdar@amns.in"/>
    <s v="7875440661"/>
    <s v="21959"/>
    <s v="Dhruv Vyas"/>
    <s v="Anil Matoo"/>
    <s v="Praveen Kuruvalli"/>
    <s v="Dhruv Vyas"/>
    <n v="0"/>
  </r>
  <r>
    <n v="2545"/>
    <n v="20037274"/>
    <s v="Imtiyazkhan Pathan"/>
    <s v="AM/NS India"/>
    <s v="Onroll"/>
    <s v="M-7"/>
    <n v="7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ction Head– Indirect Taxation"/>
    <m/>
    <s v="Finance &amp; Accounts - Pune"/>
    <s v="Finance &amp; Accounts"/>
    <s v="Indirect Taxation"/>
    <s v="Non Technical Support"/>
    <s v="Finance &amp; Accounts"/>
    <s v="Taxation"/>
    <s v="73904002"/>
    <s v="Indirect Taxation"/>
    <s v="Pune AMNS"/>
    <d v="1964-06-01T00:00:00"/>
    <s v="59.03"/>
    <d v="1994-04-02T00:00:00"/>
    <d v="2022-05-31T00:00:00"/>
    <d v="2025-05-31T00:00:00"/>
    <d v="2025-05-31T00:00:00"/>
    <n v="619"/>
    <s v="B-"/>
    <s v="BCom-1988 , MCom-1988"/>
    <s v="01.06"/>
    <s v="29.05"/>
    <s v="30.11"/>
    <s v="73800021"/>
    <s v="Excise"/>
    <s v="70386113"/>
    <s v="Section Head– Indirect Taxation"/>
    <s v="Pune Facility"/>
    <s v="0035950020"/>
    <s v="Pune-F&amp;A"/>
    <s v="2000ESPF"/>
    <s v="20055188"/>
    <s v="Rohit Sharma"/>
    <s v="No"/>
    <s v="imtiyazkhan.pathan@amns.in"/>
    <s v="9158895848"/>
    <s v="23430"/>
    <s v="Dhruv Vyas"/>
    <s v="Anil Matoo"/>
    <s v="Praveen Kuruvalli"/>
    <s v="Dhruv Vyas"/>
    <n v="0"/>
  </r>
  <r>
    <n v="2546"/>
    <n v="20037277"/>
    <s v="Sripada Sailendra"/>
    <s v="AM/NS India"/>
    <s v="Onroll"/>
    <s v="M-6"/>
    <n v="6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South"/>
    <s v="OEM"/>
    <s v="Domestic"/>
    <s v="Non Technical Support"/>
    <s v="Sales &amp; Marketing"/>
    <s v="Sales"/>
    <s v="73104004"/>
    <s v="OEM Sales"/>
    <s v="Pune AMNS"/>
    <d v="1976-05-15T00:00:00"/>
    <s v="47.04"/>
    <d v="2007-05-26T00:00:00"/>
    <d v="2034-05-31T00:00:00"/>
    <m/>
    <d v="2034-05-31T00:00:00"/>
    <n v="3906"/>
    <s v="B-"/>
    <s v="MBA-2004 , PG Diploma-2004 , BSc-2000"/>
    <s v="06.04"/>
    <s v="16.03"/>
    <s v="22.07"/>
    <s v="00048814"/>
    <s v="Sales South Zone – Hypermart"/>
    <s v="70271027"/>
    <s v="Sales Manager - Hypermart"/>
    <s v="Pune Facility"/>
    <s v="0035950073"/>
    <s v="Pune - S&amp;D Export"/>
    <s v="2000ESPF"/>
    <s v="20056279"/>
    <s v="Arun G"/>
    <s v="No"/>
    <s v="sripada.sailendra@amns.in"/>
    <s v="9160887755"/>
    <s v="23873"/>
    <s v="Dhruv Vyas"/>
    <s v="Anil Matoo"/>
    <s v="Praveen Kuruvalli"/>
    <s v="Dhruv Vyas"/>
    <n v="0"/>
  </r>
  <r>
    <n v="2551"/>
    <n v="20037479"/>
    <s v="Suranjan Dasgupta"/>
    <s v="AM/NS India"/>
    <s v="Onroll"/>
    <s v="M-4"/>
    <n v="4"/>
    <m/>
    <s v="SM"/>
    <s v="M"/>
    <s v="Corporate"/>
    <n v="7"/>
    <s v="2039"/>
    <x v="2"/>
    <s v="43.01"/>
    <s v="Sangeeta Munjal"/>
    <s v="Manu Kapoor"/>
    <n v="10"/>
    <s v="Corporate Affairs"/>
    <s v="Corporate Affairs"/>
    <s v="43"/>
    <s v="Sr. Lead - Corporate Affairs"/>
    <m/>
    <s v="Corporate Affairs"/>
    <s v="Corporate Relations Group"/>
    <s v="Corporate Relations Group"/>
    <s v="Non Technical Support"/>
    <s v="Corporate Relations"/>
    <s v="Corporate Affairs"/>
    <s v="74501001"/>
    <s v="Corporate Affairs"/>
    <s v="Delhi"/>
    <d v="1971-05-21T00:00:00"/>
    <s v="52.03"/>
    <d v="2011-03-15T00:00:00"/>
    <d v="2029-05-31T00:00:00"/>
    <m/>
    <d v="2029-05-31T00:00:00"/>
    <n v="2080"/>
    <s v="O-"/>
    <s v="PG Diploma in Management-1993 , BCom-199"/>
    <s v="20.00"/>
    <s v="12.06"/>
    <s v="32.06"/>
    <s v="70494938"/>
    <s v="Corporate Affairs"/>
    <s v="70323867"/>
    <s v="JGM - Corporate Affairs"/>
    <s v="Corporate"/>
    <s v="0090000016"/>
    <s v="Corporate Steel - Co"/>
    <s v="2000CS"/>
    <s v="20057928"/>
    <s v="Manu Kapoor"/>
    <s v="No"/>
    <s v="suranjan.dasgupta@amns.in"/>
    <s v="8860641464"/>
    <s v="21529"/>
    <s v="Dhruv Vyas"/>
    <s v="Anil Matoo"/>
    <s v="Praveen Kuruvalli"/>
    <s v="Dhruv Vyas"/>
    <n v="0"/>
  </r>
  <r>
    <n v="2561"/>
    <n v="20037898"/>
    <s v="Sanjib Sinha"/>
    <s v="AM/NS India"/>
    <s v="Onroll"/>
    <s v="M-6"/>
    <n v="6"/>
    <m/>
    <s v="MM"/>
    <s v="M"/>
    <s v="Odisha"/>
    <n v="2"/>
    <s v="2095"/>
    <x v="4"/>
    <n v="36.01"/>
    <s v="Deepak Sindkar"/>
    <s v="Hrishikesh Kamat"/>
    <n v="7"/>
    <s v="Procurement"/>
    <s v="Raw Materials"/>
    <s v="36"/>
    <s v="Section Head - Raw Material Dabuna"/>
    <m/>
    <s v="Bulk Raw Materials"/>
    <s v="Bulck Raw Material"/>
    <s v="Bulck Raw Material"/>
    <s v="Non Technical Support"/>
    <s v="Sales &amp; Marketing"/>
    <s v="Business Development"/>
    <s v="73103001"/>
    <s v="Business Development"/>
    <s v="Dabuna"/>
    <d v="1960-12-25T00:00:00"/>
    <s v="62.08"/>
    <d v="2011-05-02T00:00:00"/>
    <d v="2018-12-31T00:00:00"/>
    <d v="2024-03-31T00:00:00"/>
    <d v="2024-03-31T00:00:00"/>
    <n v="193"/>
    <s v="A-"/>
    <s v="BSc-1989 , MSc-1989"/>
    <s v="21.11"/>
    <s v="12.04"/>
    <s v="34.03"/>
    <s v="70258505"/>
    <s v="Bulk Raw Material"/>
    <s v="70258514"/>
    <s v="Section Head - Raw Material Dabuna"/>
    <s v="Odisha"/>
    <s v="0022010019"/>
    <s v="DBN-Benf-HR/Admin"/>
    <s v="2000STORIS"/>
    <s v="20035527"/>
    <s v="Anil Patro"/>
    <s v="No"/>
    <s v="sanjib.sinha@amns.in"/>
    <s v="8599008447"/>
    <s v="24294"/>
    <s v="Sunila Das"/>
    <s v="Anil Matoo"/>
    <s v="Praveen Kuruvalli"/>
    <s v="Sunila Das"/>
    <n v="0"/>
  </r>
  <r>
    <n v="2563"/>
    <n v="20037995"/>
    <s v="Hitesh Shah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82-08-18T00:00:00"/>
    <s v="41.01"/>
    <d v="2011-05-09T00:00:00"/>
    <d v="2040-08-31T00:00:00"/>
    <m/>
    <d v="2040-08-31T00:00:00"/>
    <n v="6190"/>
    <s v="O+"/>
    <s v="CA Final-2005"/>
    <s v="04.08"/>
    <s v="12.04"/>
    <s v="17.00"/>
    <s v="70074192"/>
    <s v="Corporate Accounts"/>
    <s v="70386084"/>
    <s v="Sr. Lead - Corporate Accounts &amp; Audit"/>
    <s v="Hazira"/>
    <s v="0090000027"/>
    <s v="Corporate Steel - Ac"/>
    <s v="2000HWO"/>
    <s v="20007067"/>
    <s v="Gaurav Bhandari"/>
    <s v="No"/>
    <s v="hitesh.shah@amns.in"/>
    <s v="9879100888"/>
    <s v="24012"/>
    <s v="Dhruv Vyas"/>
    <s v="Anil Matoo"/>
    <s v="Praveen Kuruvalli"/>
    <s v="Dhruv Vyas"/>
    <n v="0"/>
  </r>
  <r>
    <n v="2566"/>
    <n v="20038232"/>
    <s v="Mukesh Maheshwari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-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71-07-08T00:00:00"/>
    <s v="52.02"/>
    <d v="2011-06-06T00:00:00"/>
    <d v="2029-07-31T00:00:00"/>
    <m/>
    <d v="2029-07-31T00:00:00"/>
    <n v="2141"/>
    <s v="O-"/>
    <s v="BCom-1991"/>
    <s v="17.02"/>
    <s v="12.03"/>
    <s v="29.05"/>
    <s v="70074192"/>
    <s v="Corporate Accounts"/>
    <s v="70226680"/>
    <s v="Lead-Corporate Accounts &amp; Audit"/>
    <s v="Hazira"/>
    <s v="0090000027"/>
    <s v="Corporate Steel - Ac"/>
    <s v="2000HWO"/>
    <s v="20007067"/>
    <s v="Gaurav Bhandari"/>
    <s v="No"/>
    <s v="mukesh.maheshwari@amns.in"/>
    <s v="9879102522"/>
    <s v="22476"/>
    <s v="Dhruv Vyas"/>
    <s v="Anil Matoo"/>
    <s v="Praveen Kuruvalli"/>
    <s v="Dhruv Vyas"/>
    <n v="0"/>
  </r>
  <r>
    <n v="2572"/>
    <n v="20038382"/>
    <s v="Natasha Fernandes"/>
    <s v="AM/NS India"/>
    <s v="Onroll"/>
    <s v="M-6"/>
    <n v="6"/>
    <m/>
    <s v="MM"/>
    <s v="F"/>
    <s v="Hazira"/>
    <n v="1"/>
    <s v="2015"/>
    <x v="1"/>
    <s v="22.06"/>
    <s v="Praveen Kuruvalli"/>
    <s v="Ashutosh Telang"/>
    <n v="6"/>
    <s v="HR &amp; Administration"/>
    <s v="Human Resources"/>
    <s v="22"/>
    <s v="Lead - Talent Acquisition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8-07-27T00:00:00"/>
    <s v="35.01"/>
    <d v="2011-06-13T00:00:00"/>
    <d v="2046-07-31T00:00:00"/>
    <m/>
    <d v="2046-07-31T00:00:00"/>
    <n v="8350"/>
    <s v="O-"/>
    <s v="BBA-2011 , MHRM-2011"/>
    <s v=""/>
    <s v="12.03"/>
    <s v="12.03"/>
    <s v="00051785"/>
    <s v="Hazira Project - Human Resources"/>
    <s v="70453202"/>
    <s v="Sr. Lead - Human Resources"/>
    <s v="Hazira"/>
    <s v="0031950061"/>
    <s v="HZ-Human Resource"/>
    <s v="2000HWO"/>
    <s v="20001265"/>
    <s v="Lakshman Iyer"/>
    <s v="No"/>
    <s v="natasha.fernandes@amns.in"/>
    <s v="9909993483"/>
    <s v="21716"/>
    <s v="Dhruv Vyas"/>
    <s v="Anil Matoo"/>
    <s v="Praveen Kuruvalli"/>
    <s v="Dhruv Vyas"/>
    <n v="0"/>
  </r>
  <r>
    <n v="2580"/>
    <n v="20038817"/>
    <s v="Chandra Sekhar Panda"/>
    <s v="AM/NS India"/>
    <s v="Onroll"/>
    <s v="M-9"/>
    <n v="9"/>
    <m/>
    <s v="JM"/>
    <s v="M"/>
    <s v="Odisha"/>
    <n v="2"/>
    <s v="2162"/>
    <x v="18"/>
    <s v="33.01"/>
    <s v="Hrishikesh Kamat"/>
    <s v="Hrishikesh Kamat"/>
    <n v="7"/>
    <s v="Procurement"/>
    <s v="Shipping &amp; Chartering"/>
    <s v="33"/>
    <s v="Lead - Logistics"/>
    <m/>
    <s v="Shipping &amp; Chartering"/>
    <s v="Logistics"/>
    <s v="Logistics"/>
    <s v="Non Technical Support"/>
    <s v="Operations"/>
    <s v="Operations"/>
    <s v="72103001"/>
    <s v="Operations"/>
    <s v="Paradeep"/>
    <d v="1976-10-18T00:00:00"/>
    <s v="46.11"/>
    <d v="2011-06-27T00:00:00"/>
    <d v="2034-10-31T00:00:00"/>
    <m/>
    <d v="2034-10-31T00:00:00"/>
    <n v="4059"/>
    <s v=""/>
    <s v="Certificate-2014 , BTech-2014 , Diploma-"/>
    <s v=""/>
    <s v="12.02"/>
    <s v="12.02"/>
    <s v="70238106"/>
    <s v="Ports &amp; Logistics"/>
    <s v="70307053"/>
    <s v="Lead - Logistics"/>
    <s v="Odisha"/>
    <s v="0022030019"/>
    <s v="PDP-HR &amp; Admn"/>
    <s v="2000STORIS"/>
    <s v="20055165"/>
    <s v="Subhakant Dash"/>
    <s v="No"/>
    <s v="chandrasekhar.panda@amns.in"/>
    <s v="7381007149"/>
    <s v="22919"/>
    <s v="Sunila Das"/>
    <s v="Anil Matoo"/>
    <s v="Praveen Kuruvalli"/>
    <s v="Sunila Das"/>
    <n v="0"/>
  </r>
  <r>
    <n v="2601"/>
    <n v="20038926"/>
    <s v="Shashi Kant Beura"/>
    <s v="AM/NS India"/>
    <s v="Onroll"/>
    <s v="M-8"/>
    <n v="8"/>
    <m/>
    <s v="JM"/>
    <s v="M"/>
    <s v="Odisha"/>
    <n v="2"/>
    <s v="2162"/>
    <x v="18"/>
    <s v="33.01"/>
    <s v="Hrishikesh Kamat"/>
    <s v="Hrishikesh Kamat"/>
    <n v="7"/>
    <s v="Procurement"/>
    <s v="Shipping &amp; Chartering"/>
    <s v="33"/>
    <s v="Lead - Logistics"/>
    <m/>
    <s v="Shipping &amp; Chartering"/>
    <s v="Logistics"/>
    <s v="Logistics"/>
    <s v="Operations"/>
    <s v="Operations"/>
    <s v="Operations"/>
    <s v="72103001"/>
    <s v="Operations"/>
    <s v="Paradeep"/>
    <d v="1987-06-22T00:00:00"/>
    <s v="36.03"/>
    <d v="2011-06-27T00:00:00"/>
    <d v="2045-06-30T00:00:00"/>
    <m/>
    <d v="2045-06-30T00:00:00"/>
    <n v="7954"/>
    <s v=""/>
    <s v="BTech-2014"/>
    <s v="00.07"/>
    <s v="12.02"/>
    <s v="12.09"/>
    <s v="70238106"/>
    <s v="Ports &amp; Logistics"/>
    <s v="70307050"/>
    <s v="Lead - Logistics"/>
    <s v="Odisha"/>
    <s v="0022030019"/>
    <s v="PDP-HR &amp; Admn"/>
    <s v="2000STORIS"/>
    <s v="20055165"/>
    <s v="Subhakant Dash"/>
    <s v="No"/>
    <s v="shashikant.beura@amns.in"/>
    <s v="7381007152"/>
    <s v="21200"/>
    <s v="Sunila Das"/>
    <s v="Anil Matoo"/>
    <s v="Praveen Kuruvalli"/>
    <s v="Sunila Das"/>
    <n v="0"/>
  </r>
  <r>
    <n v="2634"/>
    <n v="20039051"/>
    <s v="Rashmirekha Swain"/>
    <s v="AM/NS India"/>
    <s v="Onroll"/>
    <s v="M-9"/>
    <n v="9"/>
    <m/>
    <s v="JM"/>
    <s v="F"/>
    <s v="Odisha"/>
    <n v="2"/>
    <s v="2043"/>
    <x v="3"/>
    <s v="31.01"/>
    <s v="Hrishikesh Kamat"/>
    <s v="Hrishikesh Kamat"/>
    <n v="7"/>
    <s v="Procurement"/>
    <s v="Procurement"/>
    <s v="31"/>
    <s v="Lead - Vendor Registration &amp; Document."/>
    <m/>
    <s v="Procurement"/>
    <s v="Procurement"/>
    <s v="Procurement"/>
    <s v="Non Technical Support"/>
    <s v="Operations"/>
    <s v="Operations"/>
    <s v="72103001"/>
    <s v="Operations"/>
    <s v="Paradeep"/>
    <d v="1967-05-25T00:00:00"/>
    <s v="56.03"/>
    <d v="2011-06-27T00:00:00"/>
    <d v="2025-05-31T00:00:00"/>
    <m/>
    <d v="2025-05-31T00:00:00"/>
    <n v="619"/>
    <s v=""/>
    <s v="SSLC-1988 , Diploma-1988"/>
    <s v=""/>
    <s v="12.02"/>
    <s v="12.02"/>
    <s v="70407583"/>
    <s v="Procurement - Odisha Asset"/>
    <s v="70307062"/>
    <s v="Lead - Vendor Registration &amp; Document."/>
    <s v="Odisha"/>
    <s v="0022030019"/>
    <s v="PDP-HR &amp; Admn"/>
    <s v="2000STORIS"/>
    <s v="20055692"/>
    <s v="Rajiv Ranjan"/>
    <s v="No"/>
    <s v="rashmirekha.swain@amns.in"/>
    <s v="7381007114"/>
    <s v="24424"/>
    <s v="Sunila Das"/>
    <s v="Anil Matoo"/>
    <s v="Praveen Kuruvalli"/>
    <s v="Sunila Das"/>
    <n v="0"/>
  </r>
  <r>
    <n v="2658"/>
    <n v="20039780"/>
    <s v="Srikanya Thakur"/>
    <s v="AM/NS India"/>
    <s v="Onroll"/>
    <s v="M-6"/>
    <n v="6"/>
    <m/>
    <s v="MM"/>
    <s v="F"/>
    <s v="Hazira"/>
    <n v="1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8-04-21T00:00:00"/>
    <s v="35.05"/>
    <d v="2011-08-10T00:00:00"/>
    <d v="2046-04-30T00:00:00"/>
    <m/>
    <d v="2046-04-30T00:00:00"/>
    <n v="8258"/>
    <s v="B-"/>
    <s v="High School-2010 , BTech-2010 , SSLC-200"/>
    <s v=""/>
    <s v="12.01"/>
    <s v="12.01"/>
    <s v="00050209"/>
    <s v="Human Resources"/>
    <s v="70372722"/>
    <s v="Sr. Lead - Human Resources"/>
    <s v="Hazira"/>
    <s v="0031950061"/>
    <s v="HZ-Human Resource"/>
    <s v="2000HWO"/>
    <s v="20001265"/>
    <s v="Lakshman Iyer"/>
    <s v="No"/>
    <s v="srikanya.das@amns.in"/>
    <s v="9879101068"/>
    <s v="21525"/>
    <s v="Dhruv Vyas"/>
    <s v="Anil Matoo"/>
    <s v="Praveen Kuruvalli"/>
    <s v="Dhruv Vyas"/>
    <n v="0"/>
  </r>
  <r>
    <n v="2724"/>
    <n v="20040700"/>
    <s v="Sidharth Mohanty"/>
    <s v="AM/NS India"/>
    <s v="Onroll"/>
    <s v="M-8"/>
    <n v="8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Administration"/>
    <s v="Administration"/>
    <s v="Non Technical Support"/>
    <s v="Sales &amp; Marketing"/>
    <s v="Sales"/>
    <s v="73104004"/>
    <s v="OEM Sales"/>
    <s v="Paradeep"/>
    <d v="1984-04-27T00:00:00"/>
    <s v="39.04"/>
    <d v="2011-09-30T00:00:00"/>
    <d v="2042-04-30T00:00:00"/>
    <m/>
    <d v="2042-04-30T00:00:00"/>
    <n v="6797"/>
    <s v="AB-"/>
    <s v="MBA-2006 , Bachelor Equivalent-2003 , Hi"/>
    <s v="04.00"/>
    <s v="11.11"/>
    <s v="15.11"/>
    <s v="70238103"/>
    <s v="Odisha - Admin &amp; Industrial Relations"/>
    <s v="70265112"/>
    <s v="Lead - Administration"/>
    <s v="Odisha"/>
    <s v="0022030019"/>
    <s v="PDP-HR &amp; Admn"/>
    <s v="2000STORIS"/>
    <s v="20057297"/>
    <s v="Bibhash Mohanty"/>
    <s v="No"/>
    <s v="sidharth.mohanty@amns.in"/>
    <s v="7381007021"/>
    <s v="22692"/>
    <s v="Sunila Das"/>
    <s v="Anil Matoo"/>
    <s v="Praveen Kuruvalli"/>
    <s v="Sunila Das"/>
    <n v="0"/>
  </r>
  <r>
    <n v="2739"/>
    <n v="20041786"/>
    <s v="Pradeep Bhandari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Manager - SCM"/>
    <m/>
    <s v="Hypermart"/>
    <s v="Hypermart"/>
    <s v="West Zone"/>
    <s v="Non Technical Support"/>
    <s v="Supply Chain Management"/>
    <s v="Supply Chain Management"/>
    <s v="73701001"/>
    <s v="Supply Chain Management"/>
    <s v="Mumbai"/>
    <d v="1985-02-09T00:00:00"/>
    <s v="38.07"/>
    <d v="2012-01-16T00:00:00"/>
    <d v="2043-02-28T00:00:00"/>
    <m/>
    <d v="2043-02-28T00:00:00"/>
    <n v="7101"/>
    <s v="A-"/>
    <s v="High School-2006 , BCom-2006 , SSLC-2003"/>
    <s v="07.02"/>
    <s v="11.08"/>
    <s v="18.09"/>
    <s v="72150154"/>
    <s v="HyperMart"/>
    <s v="70277120"/>
    <s v="Lead - SCM Hypermart"/>
    <s v="Hypermart"/>
    <s v="0060100004"/>
    <s v="HMART-HR/Admin Expen"/>
    <s v="2000SRET"/>
    <s v="20006236"/>
    <s v="Sanjay Vaid"/>
    <s v="No"/>
    <s v="pradeep.bhandari@amns.in"/>
    <s v="9930134258"/>
    <s v="21221"/>
    <s v="Dhruv Vyas"/>
    <s v="Anil Matoo"/>
    <s v="Praveen Kuruvalli"/>
    <s v="Dhruv Vyas"/>
    <n v="0"/>
  </r>
  <r>
    <n v="2754"/>
    <n v="20042978"/>
    <s v="Kalingakeshari Ray"/>
    <s v="AM/NS India"/>
    <s v="Onroll"/>
    <s v="M-9"/>
    <n v="9"/>
    <m/>
    <s v="JM"/>
    <s v="M"/>
    <s v="Odisha"/>
    <n v="2"/>
    <s v="2095"/>
    <x v="4"/>
    <n v="36.01"/>
    <s v="Deepak Sindkar"/>
    <s v="Hrishikesh Kamat"/>
    <n v="7"/>
    <s v="Procurement"/>
    <s v="Raw Materials"/>
    <s v="36"/>
    <s v="Officer - Raw Material"/>
    <m/>
    <s v="Bulk Raw Materials"/>
    <s v="Bulck Raw Material"/>
    <s v="Bulck Raw Material"/>
    <s v="Non Technical Support"/>
    <s v="Administration"/>
    <s v="Administration"/>
    <s v="74101001"/>
    <s v="Administration"/>
    <s v="Dabuna"/>
    <d v="1974-04-01T00:00:00"/>
    <s v="49.05"/>
    <d v="2012-06-01T00:00:00"/>
    <d v="2032-03-31T00:00:00"/>
    <m/>
    <d v="2032-03-31T00:00:00"/>
    <n v="3115"/>
    <s v="AB-"/>
    <s v="Intermediate-1994 , BA-1994 , SSLC-1991"/>
    <s v=""/>
    <s v="11.03"/>
    <s v="11.03"/>
    <s v="70258505"/>
    <s v="Bulk Raw Material"/>
    <s v="70293785"/>
    <s v="Officer - Raw Material"/>
    <s v="Odisha"/>
    <s v="0022010019"/>
    <s v="DBN-Benf-HR/Admin"/>
    <s v="2000STORIS"/>
    <s v="20037898"/>
    <s v="Sanjib Sinha"/>
    <s v="No"/>
    <s v="kalinga.ray@amns.in"/>
    <s v="9437487790"/>
    <s v="23774"/>
    <s v="Sunila Das"/>
    <s v="Anil Matoo"/>
    <s v="Praveen Kuruvalli"/>
    <s v="Sunila Das"/>
    <n v="0"/>
  </r>
  <r>
    <n v="2763"/>
    <n v="20043383"/>
    <s v="Maneesh Moti"/>
    <s v="AM/NS India"/>
    <s v="Onroll"/>
    <s v="M-4"/>
    <n v="4"/>
    <m/>
    <s v="S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Head-Digital Initiatives (CRM &amp; E-Com.)"/>
    <m/>
    <s v="Sales Steering &amp; BD"/>
    <s v="Digital Initiatives"/>
    <s v="Strategic Sales &amp; Branding"/>
    <s v="Non Technical Support"/>
    <s v="Sales &amp; Marketing"/>
    <s v="Marketing"/>
    <s v="73102001"/>
    <s v="Marketing"/>
    <s v="Mumbai"/>
    <d v="1965-12-14T00:00:00"/>
    <s v="57.09"/>
    <d v="2012-07-01T00:00:00"/>
    <d v="2023-12-31T00:00:00"/>
    <m/>
    <d v="2023-12-31T00:00:00"/>
    <n v="102"/>
    <s v="O-"/>
    <s v="MBA-1988 , BSc-1988 , MSc-1986"/>
    <s v="16.04"/>
    <s v="11.02"/>
    <s v="27.06"/>
    <s v="70462100"/>
    <s v="Digital Initiatives"/>
    <s v="70336305"/>
    <s v="Head-Digital Initiatives (CRM &amp; E-Com.)"/>
    <s v="Corporate"/>
    <s v="0080000005"/>
    <s v="Global Markets Team"/>
    <s v="2000CS"/>
    <s v="20010531"/>
    <s v="Saptarshi Saha"/>
    <s v="No"/>
    <s v="maneesh.moti@amns.in"/>
    <s v="9819730706"/>
    <s v="22712"/>
    <s v="Dhruv Vyas"/>
    <s v="Anil Matoo"/>
    <s v="Praveen Kuruvalli"/>
    <s v="Dhruv Vyas"/>
    <n v="0"/>
  </r>
  <r>
    <n v="2823"/>
    <n v="20043911"/>
    <s v="Sudhanshu Sharm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F &amp; A &amp; Hypermart"/>
    <m/>
    <s v="Working Capital"/>
    <s v="Hypermart"/>
    <s v="Hypermart"/>
    <s v="Non Technical Support"/>
    <s v="Commercial"/>
    <s v="Commercial"/>
    <s v="73801001"/>
    <s v="Commercial"/>
    <s v="AM/NS Hazira"/>
    <d v="1974-11-10T00:00:00"/>
    <s v="48.10"/>
    <d v="2012-09-10T00:00:00"/>
    <d v="2032-11-30T00:00:00"/>
    <m/>
    <d v="2032-11-30T00:00:00"/>
    <n v="3359"/>
    <s v="B-"/>
    <s v="BCom-2012 , MBA-2012 , Intermediate-1996"/>
    <s v="11.03"/>
    <s v="11.00"/>
    <s v="22.03"/>
    <s v="70495565"/>
    <s v="F&amp;A Hypermart &amp; Service Centre"/>
    <s v="70308841"/>
    <s v="Lead - F &amp; A &amp; Hypermart"/>
    <s v="Hypermart"/>
    <s v="0060100001"/>
    <s v="HMART-Finance &amp; Acco"/>
    <s v="2000SRET"/>
    <s v="20055504"/>
    <s v="Vivek Choudhary"/>
    <s v="No"/>
    <s v="sudhanshu.sharma@amns.in"/>
    <s v="9930134585"/>
    <s v="24120"/>
    <s v="Dhruv Vyas"/>
    <s v="Anil Matoo"/>
    <s v="Praveen Kuruvalli"/>
    <s v="Dhruv Vyas"/>
    <n v="0"/>
  </r>
  <r>
    <n v="2830"/>
    <n v="20044846"/>
    <s v="Prasanna Malagi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Lead - MIS"/>
    <m/>
    <s v="Hypermart"/>
    <s v="Hypermart"/>
    <s v="West Zone"/>
    <s v="Non Technical Support"/>
    <s v="Supply Chain Management"/>
    <s v="Supply Chain Management"/>
    <s v="73701001"/>
    <s v="Supply Chain Management"/>
    <s v="Mumbai"/>
    <d v="1985-08-30T00:00:00"/>
    <s v="38.00"/>
    <d v="2013-01-28T00:00:00"/>
    <d v="2043-08-31T00:00:00"/>
    <m/>
    <d v="2043-08-31T00:00:00"/>
    <n v="7285"/>
    <s v="O-"/>
    <s v="High School-2012 , PG Diploma in Managem"/>
    <s v=""/>
    <s v="10.07"/>
    <s v="10.07"/>
    <s v="72150154"/>
    <s v="HyperMart"/>
    <s v="70325244"/>
    <s v="Lead - MIS"/>
    <s v="Hypermart"/>
    <s v="0060100004"/>
    <s v="HMART-HR/Admin Expen"/>
    <s v="2000SRET"/>
    <s v="20006236"/>
    <s v="Sanjay Vaid"/>
    <s v="No"/>
    <s v="prasanna.malagi@amns.in"/>
    <s v="9930134713"/>
    <s v="22507"/>
    <s v="Dhruv Vyas"/>
    <s v="Anil Matoo"/>
    <s v="Praveen Kuruvalli"/>
    <s v="Dhruv Vyas"/>
    <n v="0"/>
  </r>
  <r>
    <n v="2845"/>
    <n v="20045323"/>
    <s v="Aditya Chandra Lenka"/>
    <s v="AM/NS India"/>
    <s v="Onroll"/>
    <s v="M-11"/>
    <n v="11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Administration"/>
    <s v="Administration"/>
    <s v="Non Technical Support"/>
    <s v="Administration"/>
    <s v="Administration"/>
    <s v="74101001"/>
    <s v="Administration"/>
    <s v="Paradeep"/>
    <d v="1988-03-31T00:00:00"/>
    <s v="35.05"/>
    <d v="2013-04-05T00:00:00"/>
    <d v="2046-03-31T00:00:00"/>
    <m/>
    <d v="2046-03-31T00:00:00"/>
    <n v="8228"/>
    <s v=""/>
    <s v="BBA-2011 , MA-2011"/>
    <s v=""/>
    <s v="10.05"/>
    <s v="10.05"/>
    <s v="70238103"/>
    <s v="Odisha - Admin &amp; Industrial Relations"/>
    <s v="70333604"/>
    <s v="Lead - Administration"/>
    <s v="Odisha"/>
    <s v="0022030019"/>
    <s v="PDP-HR &amp; Admn"/>
    <s v="2000STORIS"/>
    <s v="20057297"/>
    <s v="Bibhash Mohanty"/>
    <s v="No"/>
    <s v="aditya.lenka@amns.in"/>
    <s v="9437037968"/>
    <s v="21022"/>
    <s v="Sunila Das"/>
    <s v="Anil Matoo"/>
    <s v="Praveen Kuruvalli"/>
    <s v="Sunila Das"/>
    <n v="0"/>
  </r>
  <r>
    <n v="2846"/>
    <n v="20045324"/>
    <s v="Basavaraj Ramappa Gulalkai"/>
    <s v="AM/NS India"/>
    <s v="Onroll"/>
    <s v="M-8"/>
    <n v="8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Administration"/>
    <s v="Administration"/>
    <s v="Non Technical Support"/>
    <s v="Administration"/>
    <s v="Administration"/>
    <s v="74101001"/>
    <s v="Administration"/>
    <s v="Paradeep"/>
    <d v="1965-07-15T00:00:00"/>
    <s v="58.02"/>
    <d v="2013-04-05T00:00:00"/>
    <d v="2023-07-31T00:00:00"/>
    <m/>
    <d v="2023-07-31T00:00:00"/>
    <n v="-51"/>
    <s v="O-"/>
    <s v="BSc-1993"/>
    <s v="19.11"/>
    <s v="10.05"/>
    <s v="30.04"/>
    <s v="70238103"/>
    <s v="Odisha - Admin &amp; Industrial Relations"/>
    <s v="70333606"/>
    <s v="Lead - Administration"/>
    <s v="Odisha"/>
    <s v="0022030019"/>
    <s v="PDP-HR &amp; Admn"/>
    <s v="2000STORIS"/>
    <s v="20057297"/>
    <s v="Bibhash Mohanty"/>
    <s v="Yes"/>
    <s v="basavaraj.gulalkai@amns.in"/>
    <s v="7381007047"/>
    <s v="21850"/>
    <s v="Sunila Das"/>
    <s v="Anil Matoo"/>
    <s v="Praveen Kuruvalli"/>
    <s v="Sunila Das"/>
    <n v="0"/>
  </r>
  <r>
    <n v="2850"/>
    <n v="20045482"/>
    <s v="Sandeep Soni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Corporate Asset Management"/>
    <m/>
    <s v="Corporate Accounts"/>
    <s v="Corporate Accounts &amp; Audit"/>
    <s v="Corporate Accounts &amp; Audit"/>
    <s v="Non Technical Support"/>
    <s v="Finance &amp; Accounts"/>
    <s v="Finance &amp; Accounts"/>
    <s v="73901001"/>
    <s v="Finance &amp; Accounts"/>
    <s v="AM/NS Hazira"/>
    <d v="1978-09-16T00:00:00"/>
    <s v="45.00"/>
    <d v="2013-05-01T00:00:00"/>
    <d v="2036-09-30T00:00:00"/>
    <m/>
    <d v="2036-09-30T00:00:00"/>
    <n v="4759"/>
    <s v="B-"/>
    <s v="BCom-2004 , CA Final-2004"/>
    <s v="06.09"/>
    <s v="10.04"/>
    <s v="17.01"/>
    <s v="70495666"/>
    <s v="Corporate Asset Management"/>
    <s v="70336612"/>
    <s v="Sr. Lead - Corporate Asset Management"/>
    <s v="Hazira"/>
    <s v="0090000027"/>
    <s v="Corporate Steel - Ac"/>
    <s v="2000HWO"/>
    <s v="20000679"/>
    <s v="Dinesh Mangal"/>
    <s v="No"/>
    <s v="sandeep.soni@amns.in"/>
    <s v="9879103501"/>
    <s v="24344"/>
    <s v="Dhruv Vyas"/>
    <s v="Anil Matoo"/>
    <s v="Praveen Kuruvalli"/>
    <s v="Dhruv Vyas"/>
    <n v="0"/>
  </r>
  <r>
    <n v="2860"/>
    <n v="20045946"/>
    <s v="Yatin Madhukar Thakur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 Gen. Mgr - Sales &amp; Mk"/>
    <m/>
    <s v="Pipe"/>
    <s v="Pipe"/>
    <s v=""/>
    <s v="Non Technical Support"/>
    <s v="Sales &amp; Marketing"/>
    <s v="Sales &amp; Marketing"/>
    <s v="73101001"/>
    <s v="Sales &amp; Marketing"/>
    <s v="Mumbai"/>
    <d v="1972-08-05T00:00:00"/>
    <s v="51.01"/>
    <d v="2013-08-01T00:00:00"/>
    <d v="2030-08-31T00:00:00"/>
    <m/>
    <d v="2030-08-31T00:00:00"/>
    <n v="2537"/>
    <s v=""/>
    <s v="PG Diploma in Management-1993 , BCom-199"/>
    <s v="10.06"/>
    <s v="10.01"/>
    <s v="20.07"/>
    <s v="70387159"/>
    <s v="Pipe Sales"/>
    <s v="70346075"/>
    <s v="Sr. KAM - Domestics Pipe Sales"/>
    <s v="Hazira"/>
    <s v="0031591982"/>
    <s v="PM-Marketing"/>
    <s v="2000HWO"/>
    <s v="20007414"/>
    <s v="Gaurav Sharma"/>
    <s v="No"/>
    <s v="yatin.thakur@amns.in"/>
    <s v="9930132103"/>
    <s v="24506"/>
    <s v="Dhruv Vyas"/>
    <s v="Anil Matoo"/>
    <s v="Praveen Kuruvalli"/>
    <s v="Dhruv Vyas"/>
    <n v="0"/>
  </r>
  <r>
    <n v="2862"/>
    <n v="20046027"/>
    <s v="Sapan Manoj Roy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West Zone"/>
    <s v="Non Technical Support"/>
    <s v="Sales &amp; Marketing"/>
    <s v="Sales"/>
    <s v="73104003"/>
    <s v="Retail Sales"/>
    <s v="Taloja"/>
    <d v="1983-05-21T00:00:00"/>
    <s v="40.03"/>
    <d v="2013-08-16T00:00:00"/>
    <d v="2041-05-31T00:00:00"/>
    <m/>
    <d v="2041-05-31T00:00:00"/>
    <n v="6463"/>
    <s v="A-"/>
    <s v="High School-2005 , BCom-2005"/>
    <s v="01.09"/>
    <s v="10.01"/>
    <s v="11.10"/>
    <s v="00048138"/>
    <s v="Hypermart west"/>
    <s v="70346813"/>
    <s v="Sales Manager - Hypermart"/>
    <s v="Hypermart"/>
    <s v="0060110500"/>
    <s v="HMART-Mah-Pune"/>
    <s v="2000SRET"/>
    <s v="20056847"/>
    <s v="Vikas Chotia"/>
    <s v="No"/>
    <s v="sapan.roy@amns.in"/>
    <s v="9819730777"/>
    <s v="23810"/>
    <s v="Dhruv Vyas"/>
    <s v="Anil Matoo"/>
    <s v="Praveen Kuruvalli"/>
    <s v="Dhruv Vyas"/>
    <n v="0"/>
  </r>
  <r>
    <n v="2863"/>
    <n v="20046072"/>
    <s v="Mandar Sitaram Ambr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 Gen. Mgr - Sales &amp; Mk"/>
    <m/>
    <s v="Pipe"/>
    <s v="Pipe"/>
    <s v=""/>
    <s v="Non Technical Support"/>
    <s v="Sales &amp; Marketing"/>
    <s v="Sales &amp; Marketing"/>
    <s v="73101001"/>
    <s v="Sales &amp; Marketing"/>
    <s v="Mumbai"/>
    <d v="1980-05-13T00:00:00"/>
    <s v="43.04"/>
    <d v="2013-08-19T00:00:00"/>
    <d v="2038-05-31T00:00:00"/>
    <m/>
    <d v="2038-05-31T00:00:00"/>
    <n v="5367"/>
    <s v="B-"/>
    <s v="BE-2005 , Diploma-2005"/>
    <s v="11.05"/>
    <s v="10.01"/>
    <s v="21.06"/>
    <s v="70387159"/>
    <s v="Pipe Sales"/>
    <s v="70347387"/>
    <s v="KAM - International Pipe Sales"/>
    <s v="Hazira"/>
    <s v="0031591982"/>
    <s v="PM-Marketing"/>
    <s v="2000HWO"/>
    <s v="20007414"/>
    <s v="Gaurav Sharma"/>
    <s v="No"/>
    <s v="mandar.ambre@amns.in"/>
    <s v="9819730229"/>
    <s v="22521"/>
    <s v="Dhruv Vyas"/>
    <s v="Anil Matoo"/>
    <s v="Praveen Kuruvalli"/>
    <s v="Dhruv Vyas"/>
    <n v="0"/>
  </r>
  <r>
    <n v="2864"/>
    <n v="20046194"/>
    <s v="Shivashankar Rajapur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Hypermart"/>
    <s v=""/>
    <s v="Non Technical Support"/>
    <s v="Sales &amp; Marketing"/>
    <s v="Sales"/>
    <s v="73104004"/>
    <s v="OEM Sales"/>
    <s v="Bangalore"/>
    <d v="1978-08-10T00:00:00"/>
    <s v="45.01"/>
    <d v="2013-09-10T00:00:00"/>
    <d v="2036-08-31T00:00:00"/>
    <m/>
    <d v="2036-08-31T00:00:00"/>
    <n v="4729"/>
    <s v="A-"/>
    <s v="SSLC-1996 , Diploma-1996"/>
    <s v="09.03"/>
    <s v="10.00"/>
    <s v="19.03"/>
    <s v="00048814"/>
    <s v="Sales South Zone – Hypermart"/>
    <s v="70349522"/>
    <s v="Sales Manager - Hypermart"/>
    <s v="Hazira"/>
    <s v="0060140300"/>
    <s v="HMART-Kar-Bangolre"/>
    <s v="2000HWO"/>
    <s v="20056279"/>
    <s v="Arun G"/>
    <s v="No"/>
    <s v="shivashankar.rajapur@amns.in"/>
    <s v="9845895458"/>
    <s v="23632"/>
    <s v="Dhruv Vyas"/>
    <s v="Anil Matoo"/>
    <s v="Praveen Kuruvalli"/>
    <s v="Dhruv Vyas"/>
    <n v="0"/>
  </r>
  <r>
    <n v="2866"/>
    <n v="20046362"/>
    <s v="Sandeep Shah"/>
    <s v="AM/NS India"/>
    <s v="Onroll"/>
    <s v="M-8"/>
    <n v="8"/>
    <m/>
    <s v="JM"/>
    <s v="M"/>
    <s v="Hazira"/>
    <n v="1"/>
    <s v="2096"/>
    <x v="14"/>
    <s v="36.02"/>
    <s v="Hrishikesh Kamat"/>
    <s v="Hrishikesh Kamat"/>
    <n v="7"/>
    <s v="Procurement"/>
    <s v="Raw Materials"/>
    <s v="36"/>
    <s v="Lead - Power Management"/>
    <m/>
    <s v="Power &amp; Gas"/>
    <s v="Power &amp; Gas"/>
    <s v="Power &amp; Gas"/>
    <s v="Non Technical Support"/>
    <s v="Commercial"/>
    <s v="Procurement"/>
    <s v="73803001"/>
    <s v="Procurement"/>
    <s v="Hazira"/>
    <d v="1984-11-05T00:00:00"/>
    <s v="38.10"/>
    <d v="2013-10-14T00:00:00"/>
    <d v="2042-11-30T00:00:00"/>
    <m/>
    <d v="2042-11-30T00:00:00"/>
    <n v="7011"/>
    <s v="O-"/>
    <s v="BCom-2009 , MBA-2009"/>
    <s v="05.08"/>
    <s v="09.11"/>
    <s v="15.06"/>
    <s v="00049516"/>
    <s v="Power &amp; Gas"/>
    <s v="70352941"/>
    <s v="Lead - Power Management"/>
    <s v="Hazira"/>
    <s v="0031950048"/>
    <s v="HZ-Procurment Depart"/>
    <s v="2000HWO"/>
    <s v="20004612"/>
    <s v="Ramesh Chabhadiya"/>
    <s v="No"/>
    <s v="sandeep.shah1@amns.in"/>
    <s v="9925241531"/>
    <s v="24038"/>
    <s v="Dhruv Vyas"/>
    <s v="Anil Matoo"/>
    <s v="Praveen Kuruvalli"/>
    <s v="Dhruv Vyas"/>
    <n v="0"/>
  </r>
  <r>
    <n v="2869"/>
    <n v="20046414"/>
    <s v="Vinod Ninaw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"/>
    <s v="Non Technical Support"/>
    <s v="Sales &amp; Marketing"/>
    <s v="Sales"/>
    <s v="73104004"/>
    <s v="OEM Sales"/>
    <s v="Vadodara"/>
    <d v="1975-12-10T00:00:00"/>
    <s v="47.09"/>
    <d v="2013-10-22T00:00:00"/>
    <d v="2033-12-31T00:00:00"/>
    <m/>
    <d v="2033-12-31T00:00:00"/>
    <n v="3755"/>
    <s v="O-"/>
    <s v="Diploma-2012 , BBA-2012"/>
    <s v="16.10"/>
    <s v="09.10"/>
    <s v="26.08"/>
    <s v="00052660"/>
    <s v="Plate Sales"/>
    <s v="70356053"/>
    <s v="KAM - OEM Sales"/>
    <s v="Hazira"/>
    <s v="0031581982"/>
    <s v="PLM-Marketing"/>
    <s v="2000HWO"/>
    <s v="20003623"/>
    <s v="Soumyadeep Datta"/>
    <s v="No"/>
    <s v="vinod.ninawe@amns.in"/>
    <s v="9879103692"/>
    <s v="22847"/>
    <s v="Dhruv Vyas"/>
    <s v="Anil Matoo"/>
    <s v="Praveen Kuruvalli"/>
    <s v="Dhruv Vyas"/>
    <n v="0"/>
  </r>
  <r>
    <n v="2871"/>
    <n v="20046597"/>
    <s v="Satyabrata Ray"/>
    <s v="AM/NS India"/>
    <s v="Onroll"/>
    <s v="M-7"/>
    <n v="7"/>
    <m/>
    <s v="MM"/>
    <s v="M"/>
    <s v="Odisha"/>
    <n v="2"/>
    <s v="2162"/>
    <x v="18"/>
    <s v="33.01"/>
    <s v="Hrishikesh Kamat"/>
    <s v="Hrishikesh Kamat"/>
    <n v="7"/>
    <s v="Procurement"/>
    <s v="Shipping &amp; Chartering"/>
    <s v="33"/>
    <s v="Lead - Logistics &amp; Marketing"/>
    <m/>
    <s v="Shipping &amp; Chartering"/>
    <s v="Logistics"/>
    <s v="Logistics"/>
    <s v="Non Technical Support"/>
    <s v="Sales &amp; Marketing"/>
    <s v="Sales &amp; Marketing"/>
    <s v="73101001"/>
    <s v="Sales &amp; Marketing"/>
    <s v="Paradeep"/>
    <d v="1980-09-28T00:00:00"/>
    <s v="42.11"/>
    <d v="2013-11-09T00:00:00"/>
    <d v="2038-09-30T00:00:00"/>
    <m/>
    <d v="2038-09-30T00:00:00"/>
    <n v="5489"/>
    <s v="B-"/>
    <s v="High School-2004 , PG Diploma in Managem"/>
    <s v="09.07"/>
    <s v="09.10"/>
    <s v="19.05"/>
    <s v="70238106"/>
    <s v="Ports &amp; Logistics"/>
    <s v="70360680"/>
    <s v="Lead - Logistics &amp; Marketing"/>
    <s v="Odisha"/>
    <s v="0022030019"/>
    <s v="PDP-HR &amp; Admn"/>
    <s v="2000STORIS"/>
    <s v="20055165"/>
    <s v="Subhakant Dash"/>
    <s v="No"/>
    <s v="satyabrata.ray@amns.in"/>
    <s v="7381007276"/>
    <s v="23775"/>
    <s v="Sunila Das"/>
    <s v="Anil Matoo"/>
    <s v="Praveen Kuruvalli"/>
    <s v="Sunila Das"/>
    <n v="0"/>
  </r>
  <r>
    <n v="2873"/>
    <n v="20046623"/>
    <s v="Anil Kumar Sahoo"/>
    <s v="AM/NS India"/>
    <s v="Onroll"/>
    <s v="M-7"/>
    <n v="7"/>
    <m/>
    <s v="MM"/>
    <s v="M"/>
    <s v="Odisha"/>
    <n v="2"/>
    <s v="2095"/>
    <x v="4"/>
    <n v="36.01"/>
    <s v="Deepak Sindkar"/>
    <s v="Hrishikesh Kamat"/>
    <n v="7"/>
    <s v="Procurement"/>
    <s v="Raw Materials"/>
    <s v="36"/>
    <s v="Lead - Raw Material"/>
    <m/>
    <s v="Bulk Raw Materials"/>
    <s v="Bulck Raw Material"/>
    <s v="Bulck Raw Material"/>
    <s v="Non Technical Support"/>
    <s v="Services"/>
    <s v="Material Handling services"/>
    <s v="72103019"/>
    <s v="Logistics Operations"/>
    <s v="Dabuna"/>
    <d v="1976-01-08T00:00:00"/>
    <s v="47.08"/>
    <d v="2013-12-10T00:00:00"/>
    <d v="2034-01-31T00:00:00"/>
    <m/>
    <d v="2034-01-31T00:00:00"/>
    <n v="3786"/>
    <s v="B-"/>
    <s v="BA-2005 , PG Diploma in Management-2005"/>
    <s v="04.00"/>
    <s v="09.09"/>
    <s v="13.09"/>
    <s v="70258505"/>
    <s v="Bulk Raw Material"/>
    <s v="70361391"/>
    <s v="Lead - Raw Material"/>
    <s v="Odisha"/>
    <s v="0022010019"/>
    <s v="DBN-Benf-HR/Admin"/>
    <s v="2000STORIS"/>
    <s v="20037898"/>
    <s v="Sanjib Sinha"/>
    <s v="No"/>
    <s v="anil.sahoo@amns.in"/>
    <s v="7381007292"/>
    <s v="23845"/>
    <s v="Sunila Das"/>
    <s v="Anil Matoo"/>
    <s v="Praveen Kuruvalli"/>
    <s v="Sunila Das"/>
    <n v="0"/>
  </r>
  <r>
    <n v="2962"/>
    <n v="20047249"/>
    <s v="Anantha Nataraja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Hypermart"/>
    <s v="South Zone"/>
    <s v="Non Technical Support"/>
    <s v="Sales &amp; Marketing"/>
    <s v="Sales"/>
    <s v="73104003"/>
    <s v="Retail Sales"/>
    <s v="Coimbatore"/>
    <d v="1987-07-14T00:00:00"/>
    <s v="36.02"/>
    <d v="2014-02-24T00:00:00"/>
    <d v="2045-07-31T00:00:00"/>
    <m/>
    <d v="2045-07-31T00:00:00"/>
    <n v="7985"/>
    <s v="B-"/>
    <s v="MBA-2014 , BE-2008 , Intermediate-2004"/>
    <s v="05.00"/>
    <s v="09.06"/>
    <s v="14.06"/>
    <s v="00048814"/>
    <s v="Sales South Zone – Hypermart"/>
    <s v="70373206"/>
    <s v="Sales Manager - Hypermart"/>
    <s v="Hypermart"/>
    <s v="0060140900"/>
    <s v="HMART-TN-Coimbatore"/>
    <s v="2000SRET"/>
    <s v="20056279"/>
    <s v="Arun G"/>
    <s v="No"/>
    <s v="anantha.ganapathy@amns.in"/>
    <s v="8870171005"/>
    <s v="21745"/>
    <s v="Dhruv Vyas"/>
    <s v="Anil Matoo"/>
    <s v="Praveen Kuruvalli"/>
    <s v="Dhruv Vyas"/>
    <n v="0"/>
  </r>
  <r>
    <n v="2969"/>
    <n v="20047579"/>
    <s v="Mahadev Kumar"/>
    <s v="AM/NS India"/>
    <s v="Onroll"/>
    <s v="M-7"/>
    <n v="7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Sr. Lead - F &amp; A and Stores"/>
    <m/>
    <s v="Working Capital"/>
    <s v="Service Centers"/>
    <s v="Service Centre"/>
    <s v="Non Technical Support"/>
    <s v="Commercial"/>
    <s v="Commercial"/>
    <s v="73801001"/>
    <s v="Commercial"/>
    <s v="Paradeep"/>
    <d v="1967-05-27T00:00:00"/>
    <s v="56.03"/>
    <d v="2014-04-14T00:00:00"/>
    <d v="2025-05-31T00:00:00"/>
    <m/>
    <d v="2025-05-31T00:00:00"/>
    <n v="619"/>
    <s v="AB+"/>
    <s v="BCom-1991"/>
    <s v="23.09"/>
    <s v="09.05"/>
    <s v="33.02"/>
    <s v="72150243"/>
    <s v="Accounts Payable"/>
    <s v="70380446"/>
    <s v="Sr. Lead - F &amp; A and Stores"/>
    <s v="Odisha"/>
    <s v="0040040019"/>
    <s v="SC-Howrah-HR - Admn"/>
    <s v="2000STORIS"/>
    <s v="20001076"/>
    <s v="Bhavesh Modi"/>
    <s v="No"/>
    <s v="mahadev.kumar@amns.in"/>
    <s v="8335820020"/>
    <s v="22327"/>
    <s v="Sunila Das"/>
    <s v="Anil Matoo"/>
    <s v="Praveen Kuruvalli"/>
    <s v="Sunila Das"/>
    <n v="0"/>
  </r>
  <r>
    <n v="2970"/>
    <n v="20047658"/>
    <s v="Balamurugan Gurusamy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Automotive Sales"/>
    <m/>
    <s v="South"/>
    <s v="Auto"/>
    <s v=""/>
    <s v="Non Technical Support"/>
    <s v="Sales &amp; Marketing"/>
    <s v="Sales"/>
    <s v="73104004"/>
    <s v="OEM Sales"/>
    <s v="Chennai"/>
    <d v="1983-03-20T00:00:00"/>
    <s v="40.06"/>
    <d v="2014-05-05T00:00:00"/>
    <d v="2041-03-31T00:00:00"/>
    <m/>
    <d v="2041-03-31T00:00:00"/>
    <n v="6402"/>
    <s v="O-"/>
    <s v="BTech-2006 , Intermediate-2006 , MBA-199"/>
    <s v="07.10"/>
    <s v="09.04"/>
    <s v="17.02"/>
    <s v="00052468"/>
    <s v="Automotive Sales - Chennai"/>
    <s v="70381670"/>
    <s v="Sr. KAM Automotive Sales"/>
    <s v="Hazira"/>
    <s v="0031950057"/>
    <s v="HZ-HRC - Marketing"/>
    <s v="2000HWO"/>
    <s v="20000909"/>
    <s v="Murali Krishna Chunduru"/>
    <s v="No"/>
    <s v="balamurugan.gurusamy@amns.in"/>
    <s v="9884039030"/>
    <s v="21883"/>
    <s v="Dhruv Vyas"/>
    <s v="Anil Matoo"/>
    <s v="Praveen Kuruvalli"/>
    <s v="Dhruv Vyas"/>
    <n v="0"/>
  </r>
  <r>
    <n v="2971"/>
    <n v="20047664"/>
    <s v="Devang Desai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- Customs EXIM &amp; FTP"/>
    <m/>
    <s v="Taxation"/>
    <s v="In Direct - Taxation"/>
    <s v="Indirect Taxation"/>
    <s v="Non Technical Support"/>
    <s v="Finance &amp; Accounts"/>
    <s v="Taxation"/>
    <s v="73904001"/>
    <s v="Direct Taxation"/>
    <s v="AM/NS Hazira"/>
    <d v="1970-10-14T00:00:00"/>
    <s v="52.11"/>
    <d v="2014-05-12T00:00:00"/>
    <d v="2028-10-31T00:00:00"/>
    <m/>
    <d v="2028-10-31T00:00:00"/>
    <n v="1868"/>
    <s v="A-"/>
    <s v="MBA-1994 , BE-1994"/>
    <s v="19.10"/>
    <s v="09.04"/>
    <s v="29.02"/>
    <s v="70072408"/>
    <s v="Customs / DGFT / EXIM"/>
    <s v="70382561"/>
    <s v="Head - Customs EXIM &amp; FTP"/>
    <s v="Hazira"/>
    <s v="0031950044"/>
    <s v="HZ-Commercial Taxati"/>
    <s v="2000HWO"/>
    <s v="20055193"/>
    <s v="Anuprita Kaushik Mehta"/>
    <s v="No"/>
    <s v="devang.desai@amns.in"/>
    <s v="9879100585"/>
    <s v="21577"/>
    <s v="Dhruv Vyas"/>
    <s v="Anil Matoo"/>
    <s v="Praveen Kuruvalli"/>
    <s v="Dhruv Vyas"/>
    <n v="0"/>
  </r>
  <r>
    <n v="2972"/>
    <n v="20047683"/>
    <s v="Virat Vij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Sales Head – Other West"/>
    <m/>
    <s v="Other West"/>
    <s v="Other West"/>
    <s v=""/>
    <s v="Non Technical Support"/>
    <s v="R&amp; D and QA/QC"/>
    <s v="R&amp;D"/>
    <s v="72103029"/>
    <s v="R&amp;D"/>
    <s v="Pune"/>
    <d v="1980-10-04T00:00:00"/>
    <s v="42.11"/>
    <d v="2014-05-12T00:00:00"/>
    <d v="2038-10-31T00:00:00"/>
    <m/>
    <d v="2038-10-31T00:00:00"/>
    <n v="5520"/>
    <s v="B-"/>
    <s v="BE-1998 , Intermediate-1998"/>
    <s v="08.01"/>
    <s v="09.04"/>
    <s v="17.05"/>
    <s v="70495309"/>
    <s v="Sales West Zone"/>
    <s v="70383968"/>
    <s v="Regional Sales Head – Other West"/>
    <s v="Hazira"/>
    <s v="0031950057"/>
    <s v="HZ-HRC - Marketing"/>
    <s v="2000HWO"/>
    <s v="20007104"/>
    <s v="Ranjan Dhar"/>
    <s v="No"/>
    <s v="virat.vij@amns.in"/>
    <s v="9923205269"/>
    <s v="24691"/>
    <s v="Dhruv Vyas"/>
    <s v="Anil Matoo"/>
    <s v="Praveen Kuruvalli"/>
    <s v="Dhruv Vyas"/>
    <n v="0"/>
  </r>
  <r>
    <n v="2981"/>
    <n v="20048487"/>
    <s v="Devendra Ra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Receivable"/>
    <m/>
    <s v="Working Capital"/>
    <s v="Accounts Receivable"/>
    <s v="Credit Control"/>
    <s v="Non Technical Support"/>
    <s v="Finance &amp; Accounts"/>
    <s v="Finance &amp; Accounts"/>
    <s v="73901001"/>
    <s v="Finance &amp; Accounts"/>
    <s v="AM/NS Hazira"/>
    <d v="1981-03-12T00:00:00"/>
    <s v="42.06"/>
    <d v="2014-08-29T00:00:00"/>
    <d v="2039-03-31T00:00:00"/>
    <m/>
    <d v="2039-03-31T00:00:00"/>
    <n v="5671"/>
    <s v="O-"/>
    <s v="LLB-2007 , CA Final-2007 , BCom-2006"/>
    <s v="06.06"/>
    <s v="09.00"/>
    <s v="15.06"/>
    <s v="00045312"/>
    <s v="Accounts Receivable"/>
    <s v="72150931"/>
    <s v="Sr. Lead - Accounts Receivable"/>
    <s v="Hazira"/>
    <s v="0031950045"/>
    <s v="HZ-Works Accounts-Ha"/>
    <s v="2000HWO"/>
    <s v="20007731"/>
    <s v="Ashish Mehta"/>
    <s v="No"/>
    <s v="devendra.rai@amns.in"/>
    <s v="9879106751"/>
    <s v="23612"/>
    <s v="Dhruv Vyas"/>
    <s v="Anil Matoo"/>
    <s v="Praveen Kuruvalli"/>
    <s v="Dhruv Vyas"/>
    <n v="0"/>
  </r>
  <r>
    <n v="2983"/>
    <n v="20048693"/>
    <s v="Krishnendu Banerjee"/>
    <s v="AM/NS India"/>
    <s v="Onroll"/>
    <s v="M-8"/>
    <n v="8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Lead - Corporate Accounts"/>
    <m/>
    <s v="Finance &amp; Accounts - Odisha"/>
    <s v="Finance &amp; Accounts"/>
    <s v="Corporate Accounts"/>
    <s v="Non Technical Support"/>
    <s v="Finance &amp; Accounts"/>
    <s v="Finance &amp; Accounts"/>
    <s v="73901001"/>
    <s v="Finance &amp; Accounts"/>
    <s v="Paradeep"/>
    <d v="1965-01-11T00:00:00"/>
    <s v="58.08"/>
    <d v="2014-10-08T00:00:00"/>
    <d v="2023-01-31T00:00:00"/>
    <d v="2024-01-31T00:00:00"/>
    <d v="2024-01-31T00:00:00"/>
    <n v="133"/>
    <s v="B-"/>
    <s v="Diploma-1986 , PG Diploma-1986 , BSc-198"/>
    <s v="20.00"/>
    <s v="08.11"/>
    <s v="28.11"/>
    <s v="70234933"/>
    <s v="Finance &amp; Accounts - Odisha"/>
    <s v="70410529"/>
    <s v="Lead - Corporate Accounts"/>
    <s v="Odisha"/>
    <s v="0022030019"/>
    <s v="PDP-HR &amp; Admn"/>
    <s v="2000STORIS"/>
    <s v="20055801"/>
    <s v="Sanjive Kumar Singh"/>
    <s v="No"/>
    <s v="krishnendu.banerjee@amns.in"/>
    <s v="7381007151"/>
    <s v="21158"/>
    <s v="Sunila Das"/>
    <s v="Anil Matoo"/>
    <s v="Praveen Kuruvalli"/>
    <s v="Sunila Das"/>
    <n v="0"/>
  </r>
  <r>
    <n v="2991"/>
    <n v="20048958"/>
    <s v="Tirthanka Roy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r. Manager - Sales &amp; Mkt"/>
    <m/>
    <s v="Plate"/>
    <s v="Plate"/>
    <s v=""/>
    <s v="Non Technical Support"/>
    <s v="Sales &amp; Marketing"/>
    <s v="Sales &amp; Marketing"/>
    <s v="73101001"/>
    <s v="Sales &amp; Marketing"/>
    <s v="Mumbai"/>
    <d v="1984-02-04T00:00:00"/>
    <s v="39.07"/>
    <d v="2014-11-17T00:00:00"/>
    <d v="2042-02-28T00:00:00"/>
    <m/>
    <d v="2042-02-28T00:00:00"/>
    <n v="6736"/>
    <s v="O-"/>
    <s v="BE-2007 , High School-2003"/>
    <s v="04.06"/>
    <s v="08.10"/>
    <s v="13.04"/>
    <s v="70387158"/>
    <s v="S&amp;M – e_Sales"/>
    <s v="70414442"/>
    <s v="Sales Manager - E Sales"/>
    <s v="Hazira"/>
    <s v="0031591982"/>
    <s v="PM-Marketing"/>
    <s v="2000HWO"/>
    <s v="20003623"/>
    <s v="Soumyadeep Datta"/>
    <s v="No"/>
    <s v="tirthanka.roy@amns.in"/>
    <s v="9819730149"/>
    <s v="23811"/>
    <s v="Dhruv Vyas"/>
    <s v="Anil Matoo"/>
    <s v="Praveen Kuruvalli"/>
    <s v="Dhruv Vyas"/>
    <n v="0"/>
  </r>
  <r>
    <n v="2992"/>
    <n v="20048962"/>
    <s v="Saurabh Mutt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-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89-10-01T00:00:00"/>
    <s v="33.11"/>
    <d v="2014-11-18T00:00:00"/>
    <d v="2047-09-30T00:00:00"/>
    <m/>
    <d v="2047-09-30T00:00:00"/>
    <n v="8776"/>
    <s v="O-"/>
    <s v="Chartered Financial Analyst (CFA)-2013 ,"/>
    <s v="02.08"/>
    <s v="08.10"/>
    <s v="11.06"/>
    <s v="70074192"/>
    <s v="Corporate Accounts"/>
    <s v="70414443"/>
    <s v="Lead-Corporate Accounts &amp; Audit"/>
    <s v="Hazira"/>
    <s v="0090000027"/>
    <s v="Corporate Steel - Ac"/>
    <s v="2000HWO"/>
    <s v="20007067"/>
    <s v="Gaurav Bhandari"/>
    <s v="No"/>
    <s v="saurabh.mutta@amns.in"/>
    <s v="9879102504"/>
    <s v="22743"/>
    <s v="Dhruv Vyas"/>
    <s v="Anil Matoo"/>
    <s v="Praveen Kuruvalli"/>
    <s v="Dhruv Vyas"/>
    <n v="0"/>
  </r>
  <r>
    <n v="2993"/>
    <n v="20048971"/>
    <s v="Arindam Ganguly"/>
    <s v="AM/NS India"/>
    <s v="Onroll"/>
    <s v="M-6"/>
    <n v="6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nior Lead"/>
    <m/>
    <s v="Finance &amp; Accounts - Pune"/>
    <s v="Finance &amp; Accounts"/>
    <s v="Costing"/>
    <s v="Non Technical Support"/>
    <s v="Finance &amp; Accounts"/>
    <s v="Costing"/>
    <s v="73906001"/>
    <s v="Costing"/>
    <s v="Pune AMNS"/>
    <d v="1968-06-01T00:00:00"/>
    <s v="55.03"/>
    <d v="2014-11-17T00:00:00"/>
    <d v="2026-05-31T00:00:00"/>
    <m/>
    <d v="2026-05-31T00:00:00"/>
    <n v="984"/>
    <s v="A-"/>
    <s v="ICWA Final-1996 , BCom-1989"/>
    <s v="21.11"/>
    <s v="08.10"/>
    <s v="30.09"/>
    <s v="70418544"/>
    <s v="Costing"/>
    <s v="70416525"/>
    <s v="Senior Lead"/>
    <s v="Pune Facility"/>
    <s v="0035950020"/>
    <s v="Pune-F&amp;A"/>
    <s v="2000ESPF"/>
    <s v="0"/>
    <s v=""/>
    <s v="No"/>
    <s v="arindam.ganguly@amns.in"/>
    <s v="9158820666"/>
    <s v="21763"/>
    <s v="Dhruv Vyas"/>
    <s v="Anil Matoo"/>
    <s v="Praveen Kuruvalli"/>
    <s v="Dhruv Vyas"/>
    <n v="0"/>
  </r>
  <r>
    <n v="2999"/>
    <n v="20049105"/>
    <s v="Vikas Bohra"/>
    <s v="AM/NS India"/>
    <s v="Onroll"/>
    <s v="M-5"/>
    <n v="5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– Structured Transactions"/>
    <m/>
    <s v="Treasury &amp; Banking"/>
    <s v="Treasury &amp; Banking"/>
    <s v="Corporate Finance"/>
    <s v="Non Technical Support"/>
    <s v="Finance &amp; Accounts"/>
    <s v="Corporate Finance"/>
    <s v="73902002"/>
    <s v="Project Finance"/>
    <s v="Mumbai"/>
    <d v="1979-03-28T00:00:00"/>
    <s v="44.05"/>
    <d v="2014-12-22T00:00:00"/>
    <d v="2037-03-31T00:00:00"/>
    <m/>
    <d v="2037-03-31T00:00:00"/>
    <n v="4941"/>
    <s v="B-"/>
    <s v="Intermediate-2000 , BCom-1995 , CA Final"/>
    <s v="05.03"/>
    <s v="08.08"/>
    <s v="13.11"/>
    <s v="70280332"/>
    <s v="Finance &amp; Treasury"/>
    <s v="70418547"/>
    <s v="Sr. Lead – Structured Transactions"/>
    <s v="Corporate"/>
    <s v="0090000028"/>
    <s v="Corporate Steel - Wo"/>
    <s v="2000CS"/>
    <s v="20000870"/>
    <s v="Balajee M"/>
    <s v="No"/>
    <s v="vikas.bohra@amns.in"/>
    <s v="9930137061"/>
    <s v="21309"/>
    <s v="Dhruv Vyas"/>
    <s v="Anil Matoo"/>
    <s v="Praveen Kuruvalli"/>
    <s v="Dhruv Vyas"/>
    <n v="0"/>
  </r>
  <r>
    <n v="3004"/>
    <n v="20049277"/>
    <s v="Rishabh  Bhandar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Capex Finance"/>
    <m/>
    <s v="Internal Control &amp; SOX"/>
    <s v="Internal Control &amp; SOX"/>
    <s v="Finance &amp; Accounts"/>
    <s v="Non Technical Support"/>
    <s v="Commercial"/>
    <s v="Commercial"/>
    <s v="73801001"/>
    <s v="Commercial"/>
    <s v="AM/NS Hazira"/>
    <d v="1989-10-07T00:00:00"/>
    <s v="33.11"/>
    <d v="2015-01-27T00:00:00"/>
    <d v="2047-10-31T00:00:00"/>
    <m/>
    <d v="2047-10-31T00:00:00"/>
    <n v="8807"/>
    <s v="A-"/>
    <s v="CS-2014 , CA Final-2014 , SSLC-2013 , BC"/>
    <s v="04.02"/>
    <s v="08.07"/>
    <s v="12.09"/>
    <s v="00050876"/>
    <s v="Capex Finance, Hazira"/>
    <s v="70433937"/>
    <s v="Officer - Internal Control &amp; SOX"/>
    <s v="Hazira"/>
    <s v="0090000038"/>
    <s v="CAPEX FINANCE"/>
    <s v="2000HWO"/>
    <s v="20056029"/>
    <s v="Ananya Maitra"/>
    <s v="No"/>
    <s v="rishabh.bhandari@amns.in"/>
    <s v="9930134938"/>
    <s v="21222"/>
    <s v="Dhruv Vyas"/>
    <s v="Anil Matoo"/>
    <s v="Praveen Kuruvalli"/>
    <s v="Dhruv Vyas"/>
    <n v="0"/>
  </r>
  <r>
    <n v="3005"/>
    <n v="20049281"/>
    <s v="Raveena Dhoot"/>
    <s v="AM/NS India"/>
    <s v="Onroll"/>
    <s v="M-6"/>
    <n v="6"/>
    <m/>
    <s v="MM"/>
    <s v="F"/>
    <s v="Corporate"/>
    <n v="7"/>
    <s v="2099"/>
    <x v="19"/>
    <s v="02.01"/>
    <s v="Raghavan Aravamudhan"/>
    <s v="Dilip Oommen"/>
    <n v="1"/>
    <s v="CEO Office"/>
    <s v="Business Strategy"/>
    <s v="02"/>
    <s v="Sr. Lead - PMO"/>
    <m/>
    <s v="Business Strategy"/>
    <s v="Business Strategy"/>
    <s v=""/>
    <s v="Non Technical Support"/>
    <s v="Operations"/>
    <s v="Operations"/>
    <s v="72103001"/>
    <s v="Operations"/>
    <s v="Mumbai"/>
    <d v="1993-01-10T00:00:00"/>
    <s v="30.08"/>
    <d v="2015-01-27T00:00:00"/>
    <d v="2051-01-31T00:00:00"/>
    <m/>
    <d v="2051-01-31T00:00:00"/>
    <n v="9995"/>
    <s v="B-"/>
    <s v="High School-2014 , CA Final-2014 , BCom-"/>
    <s v="04.00"/>
    <s v="08.07"/>
    <s v="12.07"/>
    <s v="00046538"/>
    <s v="Project Monitoring"/>
    <s v="70433936"/>
    <s v="Executive Assistant to CEO"/>
    <s v="Corporate"/>
    <s v="0090000022"/>
    <s v="Business Strategy"/>
    <s v="2000CS"/>
    <s v="20055068"/>
    <s v="Dilip Oommen"/>
    <s v="No"/>
    <s v="raveena.dhoot@amns.in"/>
    <s v="9930137063"/>
    <s v="21671"/>
    <s v="Dhruv Vyas"/>
    <s v="Anil Matoo"/>
    <s v="Praveen Kuruvalli"/>
    <s v="Dhruv Vyas"/>
    <n v="0"/>
  </r>
  <r>
    <n v="3009"/>
    <n v="20049474"/>
    <s v="Ashish Sawant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r. Manager - Sales &amp; Mkt"/>
    <m/>
    <s v="Pipe"/>
    <s v="Pipe"/>
    <s v=""/>
    <s v="Non Technical Support"/>
    <s v="Sales &amp; Marketing"/>
    <s v="Sales &amp; Marketing"/>
    <s v="73101001"/>
    <s v="Sales &amp; Marketing"/>
    <s v="Mumbai"/>
    <d v="1980-01-01T00:00:00"/>
    <s v="43.08"/>
    <d v="2015-02-23T00:00:00"/>
    <d v="2037-12-31T00:00:00"/>
    <m/>
    <d v="2037-12-31T00:00:00"/>
    <n v="5216"/>
    <s v="A-"/>
    <s v="MMS-2004 , BCom-2001 , High School-1998"/>
    <s v="11.01"/>
    <s v="08.06"/>
    <s v="19.08"/>
    <s v="70387159"/>
    <s v="Pipe Sales"/>
    <s v="70431062"/>
    <s v="KAM - Domestics Pipe Sales"/>
    <s v="Hazira"/>
    <s v="0031591982"/>
    <s v="PM-Marketing"/>
    <s v="2000HWO"/>
    <s v="20007414"/>
    <s v="Gaurav Sharma"/>
    <s v="No"/>
    <s v="ashish.sawant@amns.in"/>
    <s v="9930132225"/>
    <s v="23972"/>
    <s v="Dhruv Vyas"/>
    <s v="Anil Matoo"/>
    <s v="Praveen Kuruvalli"/>
    <s v="Dhruv Vyas"/>
    <n v="0"/>
  </r>
  <r>
    <n v="3012"/>
    <n v="20049542"/>
    <s v="Saumen Das"/>
    <s v="AM/NS India"/>
    <s v="Onroll"/>
    <s v="M-10"/>
    <n v="10"/>
    <m/>
    <s v="JM"/>
    <s v="M"/>
    <s v="Odisha"/>
    <n v="2"/>
    <s v="2095"/>
    <x v="4"/>
    <n v="36.01"/>
    <s v="Deepak Sindkar"/>
    <s v="Hrishikesh Kamat"/>
    <n v="7"/>
    <s v="Procurement"/>
    <s v="Raw Materials"/>
    <s v="36"/>
    <s v="Officer - Raw Material"/>
    <m/>
    <s v="Bulk Raw Materials"/>
    <s v="Bulck Raw Material"/>
    <s v="Bulck Raw Material"/>
    <s v="Non Technical Support"/>
    <s v="Commercial"/>
    <s v="Procurement"/>
    <s v="73803001"/>
    <s v="Procurement"/>
    <s v="Dabuna"/>
    <d v="1979-01-29T00:00:00"/>
    <s v="44.07"/>
    <d v="2015-02-10T00:00:00"/>
    <d v="2037-01-31T00:00:00"/>
    <m/>
    <d v="2037-01-31T00:00:00"/>
    <n v="4882"/>
    <s v="O-"/>
    <s v="High School-2002 , BCom-2002 , SSLC-1999"/>
    <s v="10.00"/>
    <s v="08.07"/>
    <s v="18.07"/>
    <s v="70258505"/>
    <s v="Bulk Raw Material"/>
    <s v="70433359"/>
    <s v="Officer - Raw Material"/>
    <s v="Odisha"/>
    <s v="0022010019"/>
    <s v="DBN-Benf-HR/Admin"/>
    <s v="2000STORIS"/>
    <s v="20037898"/>
    <s v="Sanjib Sinha"/>
    <s v="No"/>
    <s v="saumen.das@amns.in"/>
    <s v="8599008406"/>
    <s v="21524"/>
    <s v="Sunila Das"/>
    <s v="Anil Matoo"/>
    <s v="Praveen Kuruvalli"/>
    <s v="Sunila Das"/>
    <n v="0"/>
  </r>
  <r>
    <n v="3013"/>
    <n v="20049554"/>
    <s v="Uttam Kumar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Sales Planning &amp; Admin"/>
    <m/>
    <s v="Sales Planning"/>
    <s v="Sales Planning"/>
    <s v=""/>
    <s v="Non Technical Support"/>
    <s v="Sales &amp; Marketing"/>
    <s v="Sales &amp; Marketing"/>
    <s v="73101001"/>
    <s v="Sales &amp; Marketing"/>
    <s v="AM/NS Hazira"/>
    <d v="1980-01-18T00:00:00"/>
    <s v="43.08"/>
    <d v="2015-03-27T00:00:00"/>
    <d v="2038-01-31T00:00:00"/>
    <m/>
    <d v="2038-01-31T00:00:00"/>
    <n v="5247"/>
    <s v="B-"/>
    <s v="High School-2005 , MBA-2005 , BBA-2002 ,"/>
    <s v="09.09"/>
    <s v="08.05"/>
    <s v="18.02"/>
    <s v="70385322"/>
    <s v="Sales Planning &amp; Administration"/>
    <s v="70433844"/>
    <s v="Head - Sales Planning &amp; Admin"/>
    <s v="Hazira"/>
    <s v="0080000001"/>
    <s v="Head-Marketing"/>
    <s v="2000HWO"/>
    <s v="20007104"/>
    <s v="Ranjan Dhar"/>
    <s v="No"/>
    <s v="uttam.kumar@amns.in"/>
    <s v="9909901008"/>
    <s v="22374"/>
    <s v="Dhruv Vyas"/>
    <s v="Anil Matoo"/>
    <s v="Praveen Kuruvalli"/>
    <s v="Dhruv Vyas"/>
    <n v="0"/>
  </r>
  <r>
    <n v="3018"/>
    <n v="20049610"/>
    <s v="Anshuman Chowdhary"/>
    <s v="AM/NS India"/>
    <s v="Onroll"/>
    <s v="M-7"/>
    <n v="7"/>
    <m/>
    <s v="MM"/>
    <s v="M"/>
    <s v="Hazira"/>
    <n v="1"/>
    <s v="2095"/>
    <x v="4"/>
    <n v="36.01"/>
    <s v="Deepak Sindkar"/>
    <s v="Hrishikesh Kamat"/>
    <n v="7"/>
    <s v="Procurement"/>
    <s v="Raw Materials"/>
    <s v="36"/>
    <s v="Lead - BRM"/>
    <m/>
    <s v="Bulk Raw Materials"/>
    <s v="Raw Material"/>
    <s v="Bulk Raw Material"/>
    <s v="Non Technical Support"/>
    <s v="Commercial"/>
    <s v="Procurement"/>
    <s v="73803001"/>
    <s v="Procurement"/>
    <s v="AM/NS Hazira"/>
    <d v="1978-09-15T00:00:00"/>
    <s v="45.00"/>
    <d v="2015-04-01T00:00:00"/>
    <d v="2036-09-30T00:00:00"/>
    <m/>
    <d v="2036-09-30T00:00:00"/>
    <n v="4759"/>
    <s v="B-"/>
    <s v="MBA-2012 , BE-2001"/>
    <s v="10.05"/>
    <s v="08.05"/>
    <s v="18.10"/>
    <s v="00045894"/>
    <s v="Blacks"/>
    <s v="72150916"/>
    <s v="Lead - BRM"/>
    <s v="Hazira"/>
    <s v="0031950048"/>
    <s v="HZ-Procurment Depart"/>
    <s v="2000HWO"/>
    <s v="20001577"/>
    <s v="Prakash Thakur"/>
    <s v="No"/>
    <s v="anshuman.chowdhary@amns.in"/>
    <s v="9879103800"/>
    <s v="21436"/>
    <s v="Dhruv Vyas"/>
    <s v="Anil Matoo"/>
    <s v="Praveen Kuruvalli"/>
    <s v="Dhruv Vyas"/>
    <n v="0"/>
  </r>
  <r>
    <n v="3021"/>
    <n v="20049748"/>
    <s v="Vivek Shenvi"/>
    <s v="AM/NS India"/>
    <s v="Onroll"/>
    <s v="M-7"/>
    <n v="7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– Structured Transactions"/>
    <m/>
    <s v="Treasury &amp; Banking"/>
    <s v="Treasury &amp; Banking"/>
    <s v="Corporate Finance"/>
    <s v="Non Technical Support"/>
    <s v="Finance &amp; Accounts"/>
    <s v="Corporate Finance"/>
    <s v="73902001"/>
    <s v="Corporate Finance"/>
    <s v="Mumbai"/>
    <d v="1974-08-03T00:00:00"/>
    <s v="49.01"/>
    <d v="2015-02-16T00:00:00"/>
    <d v="2032-08-31T00:00:00"/>
    <m/>
    <d v="2032-08-31T00:00:00"/>
    <n v="3268"/>
    <s v="O-"/>
    <s v="MBA-2019 , LLB-2019 , BCom-2009"/>
    <s v="17.08"/>
    <s v="08.07"/>
    <s v="26.02"/>
    <s v="00050553"/>
    <s v="Banking &amp; Treasury"/>
    <s v="70438047"/>
    <s v="Lead – Structured Transactions"/>
    <s v="Corporate"/>
    <s v="0090000028"/>
    <s v="Corporate Steel - Wo"/>
    <s v="2000CS"/>
    <s v="20011972"/>
    <s v="Rajita Bagkar"/>
    <s v="No"/>
    <s v="shenvi.vivek@amns.in"/>
    <s v="9930137062"/>
    <s v="24709"/>
    <s v="Dhruv Vyas"/>
    <s v="Anil Matoo"/>
    <s v="Praveen Kuruvalli"/>
    <s v="Dhruv Vyas"/>
    <n v="0"/>
  </r>
  <r>
    <n v="3024"/>
    <n v="20050108"/>
    <s v="Ayyalasomayajula Koundinya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Engineer - Procurement (BP &amp; Common)"/>
    <m/>
    <s v="Procurement"/>
    <s v="New Projects &amp; Process Modification"/>
    <s v="New Projects &amp; Process Modification"/>
    <s v="Non Technical Support"/>
    <s v="Services"/>
    <s v="Maintenance Services"/>
    <s v="72103013"/>
    <s v="Mechanical Maintenance"/>
    <s v="Vizag"/>
    <d v="1992-06-11T00:00:00"/>
    <s v="31.03"/>
    <d v="2015-06-12T00:00:00"/>
    <d v="2050-06-30T00:00:00"/>
    <m/>
    <d v="2050-06-30T00:00:00"/>
    <n v="9780"/>
    <s v="B-"/>
    <s v="PG Diploma in Management-2015 , BTech-20"/>
    <s v=""/>
    <s v="08.03"/>
    <s v="08.03"/>
    <s v="00048432"/>
    <s v="Procurement - Plant Operations"/>
    <s v="70449383"/>
    <s v="Engineer - Procurement (BP &amp; Common)"/>
    <s v="Vizag"/>
    <s v="0028030019"/>
    <s v="VIZ-Personnel &amp; Admi"/>
    <s v="2000VIZOPS"/>
    <s v="20037594"/>
    <s v="M G S R D Prasad"/>
    <s v="No"/>
    <s v="koundinya.ayyalasomayajula@amns.in"/>
    <s v="9160963339"/>
    <s v="21109"/>
    <s v="DS Varma"/>
    <s v="Anil Matoo"/>
    <s v="Praveen Kuruvalli"/>
    <s v="Dhruv Vyas"/>
    <n v="0"/>
  </r>
  <r>
    <n v="3031"/>
    <n v="20050785"/>
    <s v="Pankaj Chourasia"/>
    <s v="AM/NS India"/>
    <s v="Onroll"/>
    <s v="M-4"/>
    <n v="4"/>
    <m/>
    <s v="SM"/>
    <s v="M"/>
    <s v="Corporate"/>
    <n v="7"/>
    <s v="2100"/>
    <x v="11"/>
    <s v="42.01"/>
    <s v="P Ashok Kumar"/>
    <s v="P Ashok Kumar"/>
    <n v="9"/>
    <s v="Legal"/>
    <s v="Company Secretary"/>
    <s v="42"/>
    <s v="Company Secretary"/>
    <m/>
    <s v="Company Secretary"/>
    <s v="Company Secretary"/>
    <s v="Company Secretary"/>
    <s v="Non Technical Support"/>
    <s v="Secretarial"/>
    <s v="Company Secretary"/>
    <s v="73301001"/>
    <s v="Company Secretary"/>
    <s v="Mumbai"/>
    <d v="1975-07-15T00:00:00"/>
    <s v="48.02"/>
    <d v="2015-10-27T00:00:00"/>
    <d v="2033-07-31T00:00:00"/>
    <m/>
    <d v="2033-07-31T00:00:00"/>
    <n v="3602"/>
    <s v="A-"/>
    <s v="LLB-2004 , MCom-1997 , CS-1999 , BCom-19"/>
    <s v="17.01"/>
    <s v="07.10"/>
    <s v="25.00"/>
    <s v="70273573"/>
    <s v="Company Secretarial"/>
    <s v="70463327"/>
    <s v="Company Secretary"/>
    <s v="Corporate"/>
    <s v="0090000020"/>
    <s v="Company Secretary"/>
    <s v="2000CS"/>
    <s v="20055235"/>
    <s v="P Ashok Kumar"/>
    <s v="No"/>
    <s v="pankaj.chourasia@amns.in"/>
    <s v="9819730722"/>
    <s v="21434"/>
    <s v="Dhruv Vyas"/>
    <s v="Anil Matoo"/>
    <s v="Praveen Kuruvalli"/>
    <s v="Dhruv Vyas"/>
    <n v="0"/>
  </r>
  <r>
    <n v="3057"/>
    <n v="20052026"/>
    <s v="Jigneshkumar Patel"/>
    <s v="AM/NS India"/>
    <s v="Onroll"/>
    <s v="M-5"/>
    <n v="5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r. Lead – Proc Rolls Lubes  System Dev"/>
    <m/>
    <s v="Procurement MRO Hazira"/>
    <s v="Procurement"/>
    <s v="APD &amp; OEM for HSM, Hose, System development and MIS"/>
    <s v="Non Technical Support"/>
    <s v="Commercial"/>
    <s v="Procurement"/>
    <s v="73803001"/>
    <s v="Procurement"/>
    <s v="AM/NS Hazira"/>
    <d v="1977-03-16T00:00:00"/>
    <s v="46.06"/>
    <d v="2016-06-06T00:00:00"/>
    <d v="2035-03-31T00:00:00"/>
    <m/>
    <d v="2035-03-31T00:00:00"/>
    <n v="4210"/>
    <s v="B-"/>
    <s v="BE-2004 , Diploma-1997 , Diploma-1994"/>
    <s v="17.05"/>
    <s v="07.03"/>
    <s v="24.08"/>
    <s v="00044544"/>
    <s v="Rolls Lubes  System Development"/>
    <s v="70486746"/>
    <s v="Sr. Lead – Proc Rolls Lubes  System Dev"/>
    <s v="Hazira"/>
    <s v="0031950048"/>
    <s v="HZ-Procurment Depart"/>
    <s v="2000HWO"/>
    <s v="20002323"/>
    <s v="Balaji Somvanshi"/>
    <s v="No"/>
    <s v="jigneshkumar01.patel@amns.in"/>
    <s v="9879103302"/>
    <s v="23209"/>
    <s v="Dhruv Vyas"/>
    <s v="Anil Matoo"/>
    <s v="Praveen Kuruvalli"/>
    <s v="Dhruv Vyas"/>
    <n v="0"/>
  </r>
  <r>
    <n v="3110"/>
    <n v="20052253"/>
    <s v="Niraj Thaku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– Sales Planning and Admin"/>
    <m/>
    <s v="Sales Planning"/>
    <s v="Sales Planning"/>
    <s v=""/>
    <s v="Non Technical Support"/>
    <s v="Operations"/>
    <s v="Operations"/>
    <s v="72103002"/>
    <s v="Operations Planning &amp; Str"/>
    <s v="Mumbai"/>
    <d v="1987-08-12T00:00:00"/>
    <s v="36.01"/>
    <d v="2016-07-18T00:00:00"/>
    <d v="2045-08-31T00:00:00"/>
    <m/>
    <d v="2045-08-31T00:00:00"/>
    <n v="8016"/>
    <s v="A+"/>
    <s v="PG Diploma in Management-2012 , BTech-20"/>
    <s v="08.01"/>
    <s v="07.02"/>
    <s v="15.03"/>
    <s v="72150188"/>
    <s v="Market Intelligence &amp; Pricing"/>
    <s v="70487112"/>
    <s v="Lead – Sales Planning and Admin"/>
    <s v="Hazira"/>
    <s v="0060110300"/>
    <s v="HMART-Guj-Ahemedabad"/>
    <s v="2000HWO"/>
    <s v="20008774"/>
    <s v="Ajay Somasundaran"/>
    <s v="No"/>
    <s v="niraj.thakur@amns.in"/>
    <s v="9909901283"/>
    <s v="24498"/>
    <s v="Dhruv Vyas"/>
    <s v="Anil Matoo"/>
    <s v="Praveen Kuruvalli"/>
    <s v="Dhruv Vyas"/>
    <n v="0"/>
  </r>
  <r>
    <n v="3111"/>
    <n v="20052261"/>
    <s v="Aruni Mishra"/>
    <s v="AM/NS India"/>
    <s v="Onroll"/>
    <s v="M-3"/>
    <n v="3"/>
    <m/>
    <s v="SM"/>
    <s v="M"/>
    <s v="Hazira"/>
    <n v="1"/>
    <s v="2161"/>
    <x v="15"/>
    <s v="31.02"/>
    <s v="Hrishikesh Kamat"/>
    <s v="Hrishikesh Kamat"/>
    <n v="7"/>
    <s v="Procurement"/>
    <s v="Procurement"/>
    <s v="31"/>
    <s v="Head-Capex Procurement &amp; Secondary Sale"/>
    <m/>
    <s v="Capex Procurement"/>
    <s v="Capex Procurement"/>
    <s v=""/>
    <s v="Non Technical Support"/>
    <s v="Operations"/>
    <s v="Operations"/>
    <s v="72103001"/>
    <s v="Operations"/>
    <s v="Hazira"/>
    <d v="1969-03-28T00:00:00"/>
    <s v="54.05"/>
    <d v="2016-07-11T00:00:00"/>
    <d v="2027-03-31T00:00:00"/>
    <m/>
    <d v="2027-03-31T00:00:00"/>
    <n v="1288"/>
    <s v="B+"/>
    <s v="MBA-1991 , MBA-1991 , MBA-1991 , MBA-199"/>
    <s v="22.11"/>
    <s v="07.02"/>
    <s v="30.01"/>
    <s v="70282830"/>
    <s v="Capex Procurement &amp; Secondary Sales"/>
    <s v="70487056"/>
    <s v="Head-Capex Procurement &amp; Secondary Sale"/>
    <s v="Confidential Payroll"/>
    <s v="0031950059"/>
    <s v="HZ-Hazira Project"/>
    <s v="2000HWO"/>
    <s v="20055090"/>
    <s v="Hrishikesh Kamat"/>
    <s v="No"/>
    <s v="aruni.mishra@amns.in"/>
    <s v="9879100155"/>
    <s v="22620"/>
    <s v="Dhruv Vyas"/>
    <s v="Anil Matoo"/>
    <s v="Praveen Kuruvalli"/>
    <s v="Dhruv Vyas"/>
    <n v="0"/>
  </r>
  <r>
    <n v="3125"/>
    <n v="20052385"/>
    <s v="Anupam Tiwari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In-Charge Quality (Fabric"/>
    <m/>
    <s v="North"/>
    <s v="Hypermart"/>
    <s v="Fabrication"/>
    <s v="Non Technical Support"/>
    <s v="Sales &amp; Marketing"/>
    <s v="Sales"/>
    <s v="73104003"/>
    <s v="Retail Sales"/>
    <s v="Ghaziabad"/>
    <d v="1990-07-05T00:00:00"/>
    <s v="33.02"/>
    <d v="2016-08-01T00:00:00"/>
    <d v="2048-07-31T00:00:00"/>
    <m/>
    <d v="2048-07-31T00:00:00"/>
    <n v="9081"/>
    <s v="O-"/>
    <s v="Certificate-2014 , BTech-2010 , Intermed"/>
    <s v="06.00"/>
    <s v="07.01"/>
    <s v="13.01"/>
    <s v="00052526"/>
    <s v="Sales - North"/>
    <s v="70487430"/>
    <s v="Sales Manager - Hypermart"/>
    <s v="Hazira"/>
    <s v="0060120600"/>
    <s v="HMART-UP-Ghaziabad"/>
    <s v="2000SPRJ"/>
    <s v="20007322"/>
    <s v="Sanjay Bohra"/>
    <s v="No"/>
    <s v="anupam.tiwari@amns.in"/>
    <s v="8053119822"/>
    <s v="24529"/>
    <s v="Dhruv Vyas"/>
    <s v="Anil Matoo"/>
    <s v="Praveen Kuruvalli"/>
    <s v="Dhruv Vyas"/>
    <n v="0"/>
  </r>
  <r>
    <n v="3133"/>
    <n v="20052581"/>
    <s v="Dipak Sayaji"/>
    <s v="AM/NS India"/>
    <s v="Onroll"/>
    <s v="M-7"/>
    <n v="7"/>
    <m/>
    <s v="MM"/>
    <s v="M"/>
    <s v="Service Centers"/>
    <n v="6"/>
    <s v="2043"/>
    <x v="3"/>
    <s v="31.01"/>
    <s v="Hrishikesh Kamat"/>
    <s v="Hrishikesh Kamat"/>
    <n v="7"/>
    <s v="Procurement"/>
    <s v="Procurement"/>
    <s v="31"/>
    <s v="Lead - Procurement - Service Center"/>
    <m/>
    <s v="Procurement Service Centre"/>
    <s v="Procurement"/>
    <s v="Procurement"/>
    <s v="Non Technical Support"/>
    <s v="Finance &amp; Accounts"/>
    <s v="Finance &amp; Accounts"/>
    <s v="73901001"/>
    <s v="Finance &amp; Accounts"/>
    <s v="Hazira"/>
    <d v="1988-11-19T00:00:00"/>
    <s v="34.09"/>
    <d v="2016-09-07T00:00:00"/>
    <d v="2046-11-30T00:00:00"/>
    <m/>
    <d v="2046-11-30T00:00:00"/>
    <n v="8472"/>
    <s v="A+"/>
    <s v="Diploma-2004"/>
    <s v="09.03"/>
    <s v="07.00"/>
    <s v="16.03"/>
    <s v="70413444"/>
    <s v="Purchase &amp; Contracts"/>
    <s v="70487684"/>
    <s v="Lead - Procurement - Service Center"/>
    <s v="Service Center"/>
    <s v="0040010019"/>
    <s v="SC-DSC-Common Cost"/>
    <s v="2000SPRJ"/>
    <s v="20052588"/>
    <s v="Govindraju Sampathirao"/>
    <s v="No"/>
    <s v="dipak.sayaji@amns.in"/>
    <s v="9176949966"/>
    <s v="23979"/>
    <s v="Dhruv Vyas"/>
    <s v="Anil Matoo"/>
    <s v="Praveen Kuruvalli"/>
    <s v="Dhruv Vyas"/>
    <n v="0"/>
  </r>
  <r>
    <n v="3134"/>
    <n v="20052588"/>
    <s v="Govindraju Sampathirao"/>
    <s v="AM/NS India"/>
    <s v="Onroll"/>
    <s v="M-6"/>
    <n v="6"/>
    <m/>
    <s v="MM"/>
    <s v="M"/>
    <s v="Service Centers"/>
    <n v="6"/>
    <s v="2043"/>
    <x v="3"/>
    <s v="31.01"/>
    <s v="Hrishikesh Kamat"/>
    <s v="Hrishikesh Kamat"/>
    <n v="7"/>
    <s v="Procurement"/>
    <s v="Procurement"/>
    <s v="31"/>
    <s v="Head – Procurement Service Center"/>
    <m/>
    <s v="Procurement Service Centre"/>
    <s v="Procurement"/>
    <s v="Procurement"/>
    <s v="Non Technical Support"/>
    <s v="Operations"/>
    <s v="Plant Operations"/>
    <s v="72103003"/>
    <s v="Plant Operations"/>
    <s v="Hazira"/>
    <d v="1975-11-12T00:00:00"/>
    <s v="47.10"/>
    <d v="2016-09-14T00:00:00"/>
    <d v="2033-11-30T00:00:00"/>
    <m/>
    <d v="2033-11-30T00:00:00"/>
    <n v="3724"/>
    <s v="A-"/>
    <s v="MBA-2003 , BSc-1997"/>
    <s v="17.10"/>
    <s v="07.00"/>
    <s v="24.09"/>
    <s v="70413444"/>
    <s v="Purchase &amp; Contracts"/>
    <s v="70487702"/>
    <s v="Head – Procurement Service Center"/>
    <s v="Service Center"/>
    <s v="0040000000"/>
    <s v="SC - Common"/>
    <s v="2000SPRJ"/>
    <s v="20055090"/>
    <s v="Hrishikesh Kamat"/>
    <s v="No"/>
    <s v="sampathirao.govindraju@amns.in"/>
    <s v="8053119824"/>
    <s v="23907"/>
    <s v="Dhruv Vyas"/>
    <s v="Anil Matoo"/>
    <s v="Praveen Kuruvalli"/>
    <s v="Dhruv Vyas"/>
    <n v="0"/>
  </r>
  <r>
    <n v="3136"/>
    <n v="20052653"/>
    <s v="Anup Agarwala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– Proc Steel Making &amp; Lifting Equi"/>
    <m/>
    <s v="Procurement MRO Hazira"/>
    <s v="Procurement"/>
    <s v="SMP I &amp; II Fabrication, Wire ropes, slings , hoists."/>
    <s v="Non Technical Support"/>
    <s v="Commercial"/>
    <s v="Procurement"/>
    <s v="73803001"/>
    <s v="Procurement"/>
    <s v="AM/NS Hazira"/>
    <d v="1993-01-04T00:00:00"/>
    <s v="30.08"/>
    <d v="2016-10-13T00:00:00"/>
    <d v="2051-01-31T00:00:00"/>
    <m/>
    <d v="2051-01-31T00:00:00"/>
    <n v="9995"/>
    <s v="B-"/>
    <s v="CA Final-2016 , CS-2014 , BCom-2014"/>
    <s v="00.05"/>
    <s v="06.11"/>
    <s v="07.04"/>
    <s v="70072411"/>
    <s v="Iron &amp; Steel Making"/>
    <s v="70487717"/>
    <s v="Lead – Proc Steel Making &amp; Lifting Equi"/>
    <s v="Hazira"/>
    <s v="0031950048"/>
    <s v="HZ-Procurment Depart"/>
    <s v="2000HWO"/>
    <s v="20000926"/>
    <s v="Manishkumar Seksaria"/>
    <s v="No"/>
    <s v="anup.agarwala@amns.in"/>
    <s v="9879102291"/>
    <s v="21030"/>
    <s v="Dhruv Vyas"/>
    <s v="Anil Matoo"/>
    <s v="Praveen Kuruvalli"/>
    <s v="Dhruv Vyas"/>
    <n v="0"/>
  </r>
  <r>
    <n v="3178"/>
    <n v="20053326"/>
    <s v="Banaj Khatua"/>
    <s v="AM/NS India"/>
    <s v="Onroll"/>
    <s v="M-7"/>
    <n v="7"/>
    <m/>
    <s v="MM"/>
    <s v="M"/>
    <s v="Odisha"/>
    <n v="2"/>
    <s v="2084"/>
    <x v="17"/>
    <s v="23.09"/>
    <s v="Anil Matoo"/>
    <s v="Ashutosh Telang"/>
    <n v="6"/>
    <s v="HR &amp; Administration"/>
    <s v="Industrial Relations"/>
    <s v="23"/>
    <s v="Lead - Industrial Relations"/>
    <m/>
    <s v="Industrial Relations"/>
    <s v="Administration"/>
    <s v="Administration"/>
    <s v="Non Technical Support"/>
    <s v="Human Resources Management"/>
    <s v="Industrial Relations &amp; Labour Law"/>
    <s v="73510000"/>
    <s v="Industrial Relations &amp; La"/>
    <s v="Dabuna"/>
    <d v="1973-05-16T00:00:00"/>
    <s v="50.04"/>
    <d v="2017-05-15T00:00:00"/>
    <d v="2031-05-31T00:00:00"/>
    <m/>
    <d v="2031-05-31T00:00:00"/>
    <n v="2810"/>
    <s v=""/>
    <s v="MBA-1995"/>
    <s v="10.11"/>
    <s v="06.04"/>
    <s v="17.03"/>
    <s v="00047828"/>
    <s v="Odisha HR Operations"/>
    <s v="70489660"/>
    <s v="Lead - Industrial Relations"/>
    <s v="Odisha"/>
    <s v="0022010019"/>
    <s v="DBN-Benf-HR/Admin"/>
    <s v="2000STORIS"/>
    <s v="20055611"/>
    <s v="Sunila Kumar Das"/>
    <s v="No"/>
    <s v="banaj.khatua@amns.in"/>
    <s v="8599008448"/>
    <s v="22231"/>
    <s v="Sunila Das"/>
    <s v="Anil Matoo"/>
    <s v="Praveen Kuruvalli"/>
    <s v="Sunila Das"/>
    <n v="0"/>
  </r>
  <r>
    <n v="3183"/>
    <n v="20053558"/>
    <s v="Tushar Kanti Panda"/>
    <s v="AM/NS India"/>
    <s v="Onroll"/>
    <s v="M-6"/>
    <n v="6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- Indirect Taxation"/>
    <m/>
    <s v="Finance &amp; Accounts - Odisha"/>
    <s v="Finance &amp; Accounts"/>
    <s v="Indirect Taxation"/>
    <s v="Non Technical Support"/>
    <s v="Finance &amp; Accounts"/>
    <s v="Taxation"/>
    <s v="73904002"/>
    <s v="Indirect Taxation"/>
    <s v="Paradeep"/>
    <d v="1967-01-15T00:00:00"/>
    <s v="56.08"/>
    <d v="2017-06-27T00:00:00"/>
    <d v="2025-01-31T00:00:00"/>
    <m/>
    <d v="2025-01-31T00:00:00"/>
    <n v="499"/>
    <s v=""/>
    <s v="LLB-1996 , ICWA Inter-1991 , MCom-1991"/>
    <s v="22.01"/>
    <s v="06.02"/>
    <s v="28.03"/>
    <s v="70234933"/>
    <s v="Finance &amp; Accounts - Odisha"/>
    <s v="70490163"/>
    <s v="Lead - Indirect Taxation"/>
    <s v="Odisha"/>
    <s v="0022030019"/>
    <s v="PDP-HR &amp; Admn"/>
    <s v="2000STORIS"/>
    <s v="20055801"/>
    <s v="Sanjive Kumar Singh"/>
    <s v="No"/>
    <s v="tushar.panda@amns.in"/>
    <s v="7381007259"/>
    <s v="22920"/>
    <s v="Sunila Das"/>
    <s v="Anil Matoo"/>
    <s v="Praveen Kuruvalli"/>
    <s v="Sunila Das"/>
    <n v="0"/>
  </r>
  <r>
    <n v="3184"/>
    <n v="20053562"/>
    <s v="Shankar Murugan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Auto"/>
    <s v=""/>
    <s v="Non Technical Support"/>
    <s v="Sales &amp; Marketing"/>
    <s v="Sales"/>
    <s v="73104004"/>
    <s v="OEM Sales"/>
    <s v="Chennai"/>
    <d v="1989-12-17T00:00:00"/>
    <s v="33.09"/>
    <d v="2017-07-03T00:00:00"/>
    <d v="2047-12-31T00:00:00"/>
    <m/>
    <d v="2047-12-31T00:00:00"/>
    <n v="8868"/>
    <s v="B-"/>
    <s v="MBA-2014 , BE-2011 , High School-2007 ,"/>
    <s v="03.05"/>
    <s v="06.02"/>
    <s v="09.07"/>
    <s v="00052470"/>
    <s v="Automotive Sales - Chennai"/>
    <s v="70490181"/>
    <s v="KAM – Automotive Sales"/>
    <s v="Hazira"/>
    <s v="0031950057"/>
    <s v="HZ-HRC - Marketing"/>
    <s v="2000HWO"/>
    <s v="20000909"/>
    <s v="Murali Krishna Chunduru"/>
    <s v="No"/>
    <s v="shankar.murugan@amns.in"/>
    <s v="9840070626"/>
    <s v="22739"/>
    <s v="Dhruv Vyas"/>
    <s v="Anil Matoo"/>
    <s v="Praveen Kuruvalli"/>
    <s v="Dhruv Vyas"/>
    <n v="0"/>
  </r>
  <r>
    <n v="3187"/>
    <n v="20053636"/>
    <s v="Reddy Bhanu Kishore"/>
    <s v="AM/NS India"/>
    <s v="Onroll"/>
    <s v="M-8"/>
    <n v="8"/>
    <m/>
    <s v="JM"/>
    <s v="M"/>
    <s v="Vizag"/>
    <n v="3"/>
    <s v="2013"/>
    <x v="0"/>
    <s v="20.01"/>
    <s v="Akiyo Omori"/>
    <s v="Amit Harlalka"/>
    <n v="5"/>
    <s v="Finance &amp; Accounts"/>
    <s v="Finance &amp; Accounts"/>
    <s v="20"/>
    <s v="Officer-IDT"/>
    <m/>
    <s v="Finance &amp; Accounts - Vizag"/>
    <s v="Finance &amp; Accounts"/>
    <s v="Indirect Taxation"/>
    <s v="Non Technical Support"/>
    <s v="Finance &amp; Accounts"/>
    <s v="Taxation"/>
    <s v="73904002"/>
    <s v="Indirect Taxation"/>
    <s v="Vizag"/>
    <d v="1983-08-03T00:00:00"/>
    <s v="40.01"/>
    <d v="2017-07-24T00:00:00"/>
    <d v="2041-08-31T00:00:00"/>
    <m/>
    <d v="2041-08-31T00:00:00"/>
    <n v="6555"/>
    <s v=""/>
    <s v="MBA-2006 , MCom-2003 , BCom-2001"/>
    <s v="07.00"/>
    <s v="06.01"/>
    <s v="13.01"/>
    <s v="70413458"/>
    <s v="Costing, Budgeting &amp; IDT"/>
    <s v="70490408"/>
    <s v="Officer-IDT"/>
    <s v="Vizag"/>
    <s v="0028030019"/>
    <s v="VIZ-Personnel &amp; Admi"/>
    <s v="2000VIZOPS"/>
    <s v="20006862"/>
    <s v="D Niranjan Patro"/>
    <s v="No"/>
    <s v="reddy.kishore@amns.in"/>
    <s v="7799064333"/>
    <s v="22254"/>
    <s v="DS Varma"/>
    <s v="Anil Matoo"/>
    <s v="Praveen Kuruvalli"/>
    <s v="Dhruv Vyas"/>
    <n v="0"/>
  </r>
  <r>
    <n v="3188"/>
    <n v="20053644"/>
    <s v="Vinit Jain"/>
    <s v="AM/NS India"/>
    <s v="Onroll"/>
    <s v="M-5"/>
    <n v="5"/>
    <m/>
    <s v="MM"/>
    <s v="M"/>
    <s v="Hazira"/>
    <n v="1"/>
    <s v="2095"/>
    <x v="4"/>
    <n v="36.01"/>
    <s v="Deepak Sindkar"/>
    <s v="Hrishikesh Kamat"/>
    <n v="7"/>
    <s v="Procurement"/>
    <s v="Raw Materials"/>
    <s v="36"/>
    <s v="Section Head – Anthracite coal &amp; Scrap"/>
    <m/>
    <s v="Bulk Raw Materials"/>
    <s v="Raw Material"/>
    <s v="Bulk Raw Material"/>
    <s v="Non Technical Support"/>
    <s v="Commercial"/>
    <s v="Procurement"/>
    <s v="73803001"/>
    <s v="Procurement"/>
    <s v="AM/NS Hazira"/>
    <d v="1967-02-21T00:00:00"/>
    <s v="56.06"/>
    <d v="2017-07-10T00:00:00"/>
    <d v="2025-02-28T00:00:00"/>
    <m/>
    <d v="2025-02-28T00:00:00"/>
    <n v="527"/>
    <s v="O-"/>
    <s v="BE-1989"/>
    <s v="25.06"/>
    <s v="06.02"/>
    <s v="31.08"/>
    <s v="70072409"/>
    <s v="Bulk Raw Materials"/>
    <s v="70490417"/>
    <s v="Section Head – Anthracite coal &amp; Scrap"/>
    <s v="Hazira"/>
    <s v="0031950048"/>
    <s v="HZ-Procurment Depart"/>
    <s v="2000HWO"/>
    <s v="20000253"/>
    <s v="Deepak Sindkar"/>
    <s v="No"/>
    <s v="vinit.jain@amns.in"/>
    <s v="9879103850"/>
    <s v="21974"/>
    <s v="Dhruv Vyas"/>
    <s v="Anil Matoo"/>
    <s v="Praveen Kuruvalli"/>
    <s v="Dhruv Vyas"/>
    <n v="0"/>
  </r>
  <r>
    <n v="3193"/>
    <n v="20053754"/>
    <s v="Jitendra Agrawal"/>
    <s v="AM/NS India"/>
    <s v="Onroll"/>
    <s v="M-7"/>
    <n v="7"/>
    <m/>
    <s v="M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Sr. Lead - F &amp; A and Stores"/>
    <m/>
    <s v="Working Capital"/>
    <s v="Service Centers"/>
    <s v="Service Centre"/>
    <s v="Non Technical Support"/>
    <s v="Finance &amp; Accounts"/>
    <s v="Finance &amp; Accounts"/>
    <s v="73901001"/>
    <s v="Finance &amp; Accounts"/>
    <s v="Bahadurgarh"/>
    <d v="1982-01-15T00:00:00"/>
    <s v="41.08"/>
    <d v="2017-08-21T00:00:00"/>
    <d v="2040-01-31T00:00:00"/>
    <m/>
    <d v="2040-01-31T00:00:00"/>
    <n v="5977"/>
    <s v=""/>
    <s v="ICWA Inter-2008 , MCom-2003"/>
    <s v="10.09"/>
    <s v="06.00"/>
    <s v="16.10"/>
    <s v="00043795"/>
    <s v="F&amp;A Hypermart &amp; Service Centre - 1"/>
    <s v="70490650"/>
    <s v="Sr. Lead - F &amp; A and Stores"/>
    <s v="Service Center"/>
    <s v="0040050019"/>
    <s v="SC-Bahadurgarh-Op1-C"/>
    <s v="2000SPRJ"/>
    <s v="20055201"/>
    <s v="Deepak Sahu"/>
    <s v="No"/>
    <s v="jitendra.agrawal@amns.in"/>
    <s v="8053119826"/>
    <s v="21036"/>
    <s v="Dhruv Vyas"/>
    <s v="Anil Matoo"/>
    <s v="Praveen Kuruvalli"/>
    <s v="Dhruv Vyas"/>
    <n v="0"/>
  </r>
  <r>
    <n v="3195"/>
    <n v="20053791"/>
    <s v="Rakesh Joshi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Other West"/>
    <s v="Auto"/>
    <s v=""/>
    <s v="Non Technical Support"/>
    <s v="Sales &amp; Marketing"/>
    <s v="Sales"/>
    <s v="73104004"/>
    <s v="OEM Sales"/>
    <s v="Pune"/>
    <d v="1991-01-09T00:00:00"/>
    <s v="32.08"/>
    <d v="2017-09-04T00:00:00"/>
    <d v="2049-01-31T00:00:00"/>
    <m/>
    <d v="2049-01-31T00:00:00"/>
    <n v="9265"/>
    <s v=""/>
    <s v="MBA-2017 , BBA-2012"/>
    <s v="02.11"/>
    <s v="06.00"/>
    <s v="08.11"/>
    <s v="70495309"/>
    <s v="Sales West Zone"/>
    <s v="70491371"/>
    <s v="KAM - Automotive Sales"/>
    <s v="Hazira"/>
    <s v="0031950057"/>
    <s v="HZ-HRC - Marketing"/>
    <s v="2000HWO"/>
    <s v="20047683"/>
    <s v="Virat Vij"/>
    <s v="No"/>
    <s v="rakesh.joshibhat@amns.in"/>
    <s v="9870074805"/>
    <s v="22075"/>
    <s v="Dhruv Vyas"/>
    <s v="Anil Matoo"/>
    <s v="Praveen Kuruvalli"/>
    <s v="Dhruv Vyas"/>
    <n v="0"/>
  </r>
  <r>
    <n v="3210"/>
    <n v="20053904"/>
    <s v="Abhishek Jain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GST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82-11-19T00:00:00"/>
    <s v="40.09"/>
    <d v="2017-12-01T00:00:00"/>
    <d v="2040-11-30T00:00:00"/>
    <m/>
    <d v="2040-11-30T00:00:00"/>
    <n v="6281"/>
    <s v="A-"/>
    <s v="BCom-2004"/>
    <s v=""/>
    <s v="05.09"/>
    <s v="05.09"/>
    <s v="00044379"/>
    <s v="GST - Hazira Assets"/>
    <s v="70491199"/>
    <s v="Lead - GST"/>
    <s v="Hazira"/>
    <s v="0031950044"/>
    <s v="HZ-Commercial Taxati"/>
    <s v="2000HWO"/>
    <s v="20015864"/>
    <s v="Mayank Desai"/>
    <s v="No"/>
    <s v="abhishek.jain@amns.in"/>
    <s v="9879101619"/>
    <s v="21964"/>
    <s v="Dhruv Vyas"/>
    <s v="Anil Matoo"/>
    <s v="Praveen Kuruvalli"/>
    <s v="Dhruv Vyas"/>
    <n v="0"/>
  </r>
  <r>
    <n v="3217"/>
    <n v="20053921"/>
    <s v="S V N S Ganesh"/>
    <s v="AM/NS India"/>
    <s v="Onroll"/>
    <s v="M-7"/>
    <n v="7"/>
    <m/>
    <s v="MM"/>
    <s v="M"/>
    <s v="Vizag"/>
    <n v="3"/>
    <s v="2013"/>
    <x v="0"/>
    <s v="20.01"/>
    <s v="Akiyo Omori"/>
    <s v="Amit Harlalka"/>
    <n v="5"/>
    <s v="Finance &amp; Accounts"/>
    <s v="Finance &amp; Accounts"/>
    <s v="20"/>
    <s v="Offeicer-IDT"/>
    <m/>
    <s v="Finance &amp; Accounts - Vizag"/>
    <s v="Finance &amp; Accounts"/>
    <s v="Indirect Taxation"/>
    <s v="Non Technical Support"/>
    <s v="Finance &amp; Accounts"/>
    <s v="Taxation"/>
    <s v="73904002"/>
    <s v="Indirect Taxation"/>
    <s v="Vizag"/>
    <d v="1979-08-09T00:00:00"/>
    <s v="44.01"/>
    <d v="2017-12-20T00:00:00"/>
    <d v="2037-08-31T00:00:00"/>
    <m/>
    <d v="2037-08-31T00:00:00"/>
    <n v="5094"/>
    <s v=""/>
    <s v="MBA-2003 , BCom-2000"/>
    <s v="15.03"/>
    <s v="05.09"/>
    <s v="20.11"/>
    <s v="70413458"/>
    <s v="Costing, Budgeting &amp; IDT"/>
    <s v="70491271"/>
    <s v="Offeicer-IDT"/>
    <s v="Vizag"/>
    <s v="0028030019"/>
    <s v="VIZ-Personnel &amp; Admi"/>
    <s v="2000VIZOPS"/>
    <s v="20006862"/>
    <s v="D Niranjan Patro"/>
    <s v="No"/>
    <s v="srikakolapu.ganesh@amns.in"/>
    <s v="8142125999"/>
    <s v="21759"/>
    <s v="DS Varma"/>
    <s v="Anil Matoo"/>
    <s v="Praveen Kuruvalli"/>
    <s v="Dhruv Vyas"/>
    <n v="0"/>
  </r>
  <r>
    <n v="3229"/>
    <n v="20053956"/>
    <s v="Motka Dharmendrabhai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c Instrumentation &amp; Automatio"/>
    <m/>
    <s v="Procurement MRO Hazira"/>
    <s v="Procurement"/>
    <s v="Instrumentation &amp; Automation spares - Hazira Complex"/>
    <s v="Non Technical Support"/>
    <s v="Commercial"/>
    <s v="Procurement"/>
    <s v="73803001"/>
    <s v="Procurement"/>
    <s v="AM/NS Hazira"/>
    <d v="1975-01-12T00:00:00"/>
    <s v="48.08"/>
    <d v="2018-02-09T00:00:00"/>
    <d v="2033-01-31T00:00:00"/>
    <m/>
    <d v="2033-01-31T00:00:00"/>
    <n v="3421"/>
    <s v="A-"/>
    <s v="BE-2001 , Diploma-1998"/>
    <s v="03.11"/>
    <s v="05.07"/>
    <s v="09.06"/>
    <s v="70266350"/>
    <s v="Zinc, Elect, Instrumentation, Automation"/>
    <s v="70491422"/>
    <s v="Lead - Proc Instrumentation &amp; Automatio"/>
    <s v="Hazira"/>
    <s v="0031950048"/>
    <s v="HZ-Procurment Depart"/>
    <s v="2000HWO"/>
    <s v="20002746"/>
    <s v="Deep Pyne"/>
    <s v="No"/>
    <s v="dharmendra.motka@amns.in"/>
    <s v="9909996271"/>
    <s v="22715"/>
    <s v="Dhruv Vyas"/>
    <s v="Anil Matoo"/>
    <s v="Praveen Kuruvalli"/>
    <s v="Dhruv Vyas"/>
    <n v="0"/>
  </r>
  <r>
    <n v="3274"/>
    <n v="20054232"/>
    <s v="Imran Mohammad"/>
    <s v="AM/NS India"/>
    <s v="Onroll"/>
    <s v="M-5"/>
    <n v="5"/>
    <m/>
    <s v="MM"/>
    <s v="M"/>
    <s v="Hazira"/>
    <n v="1"/>
    <s v="2015"/>
    <x v="1"/>
    <s v="22.06"/>
    <s v="Praveen Kuruvalli"/>
    <s v="Ashutosh Telang"/>
    <n v="6"/>
    <s v="HR &amp; Administration"/>
    <s v="Human Resources"/>
    <s v="22"/>
    <s v="Head-Talent Management &amp; OD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5-06-04T00:00:00"/>
    <s v="38.03"/>
    <d v="2018-07-25T00:00:00"/>
    <d v="2043-06-30T00:00:00"/>
    <m/>
    <d v="2043-06-30T00:00:00"/>
    <n v="7223"/>
    <s v=""/>
    <s v="MBA-2009 , BCom-2007 , High School-2004"/>
    <s v="11.06"/>
    <s v="05.01"/>
    <s v="16.08"/>
    <s v="70492872"/>
    <s v="Talent Management &amp; OD"/>
    <s v="70492364"/>
    <s v="Head-Talent Management &amp; OD"/>
    <s v="Hazira"/>
    <s v="0031950061"/>
    <s v="HZ-Human Resource"/>
    <s v="2000HWO"/>
    <s v="20055483"/>
    <s v="Praveen Kuruvalli"/>
    <s v="No"/>
    <s v="imran.mohammad@amns.in"/>
    <s v="9879103612"/>
    <s v="22682"/>
    <s v="Dhruv Vyas"/>
    <s v="Anil Matoo"/>
    <s v="Praveen Kuruvalli"/>
    <s v="Dhruv Vyas"/>
    <n v="0"/>
  </r>
  <r>
    <n v="3284"/>
    <n v="20054296"/>
    <s v="Ashish Rajak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Inventory Plant B"/>
    <s v="Non Technical Support"/>
    <s v="Commercial"/>
    <s v="Stores &amp; Warehouse"/>
    <s v="73806001"/>
    <s v="Stores &amp; Warehouse"/>
    <s v="Hazira"/>
    <d v="1990-09-12T00:00:00"/>
    <s v="33.00"/>
    <d v="2018-08-21T00:00:00"/>
    <d v="2048-09-30T00:00:00"/>
    <m/>
    <d v="2048-09-30T00:00:00"/>
    <n v="9142"/>
    <s v="O-"/>
    <s v="Diploma-2006"/>
    <s v="09.00"/>
    <s v="05.00"/>
    <s v="14.01"/>
    <s v="00053279"/>
    <s v="Receipts &amp; Unloading - Plant A"/>
    <s v="70492419"/>
    <s v="Section Officer - Issue/Shifting"/>
    <s v="Hazira"/>
    <s v="0031950049"/>
    <s v="HZ-Central Stores"/>
    <s v="2000HWO"/>
    <s v="20006916"/>
    <s v="Mir Ali Martaja"/>
    <s v="No"/>
    <s v="ashish.rajak@amns.in"/>
    <s v="9879102455"/>
    <s v="23630"/>
    <s v="Dhruv Vyas"/>
    <s v="Anil Matoo"/>
    <s v="Praveen Kuruvalli"/>
    <s v="Dhruv Vyas"/>
    <n v="0"/>
  </r>
  <r>
    <n v="3291"/>
    <n v="20054320"/>
    <s v="Sanjaykumar Kanani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– Capex Procurement"/>
    <m/>
    <s v="Capex Procurement"/>
    <s v="Capex Procurement"/>
    <s v=""/>
    <s v="Non Technical Support"/>
    <s v="Operations"/>
    <s v="Operations"/>
    <s v="72103001"/>
    <s v="Operations"/>
    <s v="Hazira"/>
    <d v="1994-12-09T00:00:00"/>
    <s v="28.09"/>
    <d v="2018-09-01T00:00:00"/>
    <d v="2052-12-31T00:00:00"/>
    <m/>
    <d v="2052-12-31T00:00:00"/>
    <n v="10695"/>
    <s v="B-"/>
    <s v="BE-2015 , Diploma-2012"/>
    <s v="03.03"/>
    <s v="05.00"/>
    <s v="08.03"/>
    <s v="00049515"/>
    <s v="Capex Procurement"/>
    <s v="70492467"/>
    <s v="Lead – Capex Procurement"/>
    <s v="Hazira"/>
    <s v="0031950059"/>
    <s v="HZ-Hazira Project"/>
    <s v="2000HWO"/>
    <s v="20055706"/>
    <s v="HimalKumar Madhusudan Sheth"/>
    <s v="No"/>
    <s v="sanjaykumar.kanani@amns.in"/>
    <s v="9879102090"/>
    <s v="22125"/>
    <s v="Dhruv Vyas"/>
    <s v="Anil Matoo"/>
    <s v="Praveen Kuruvalli"/>
    <s v="Dhruv Vyas"/>
    <n v="0"/>
  </r>
  <r>
    <n v="3292"/>
    <n v="20054321"/>
    <s v="Hitesh Suratwal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Profit Management"/>
    <m/>
    <s v="Performance Management"/>
    <s v="Performance Management"/>
    <s v="Profit Management"/>
    <s v="Non Technical Support"/>
    <s v="Finance &amp; Accounts"/>
    <s v="Costing"/>
    <s v="73906001"/>
    <s v="Costing"/>
    <s v="AM/NS Hazira"/>
    <d v="1995-11-13T00:00:00"/>
    <s v="27.10"/>
    <d v="2018-09-03T00:00:00"/>
    <d v="2053-11-30T00:00:00"/>
    <m/>
    <d v="2053-11-30T00:00:00"/>
    <n v="11029"/>
    <s v="B-"/>
    <s v="CA Final-2017 , BCom-2016"/>
    <s v=""/>
    <s v="05.00"/>
    <s v="05.00"/>
    <s v="00045310"/>
    <s v="Performance Management"/>
    <s v="70492468"/>
    <s v="Lead – Profit Management"/>
    <s v="Hazira"/>
    <s v="0031950043"/>
    <s v="HZ-Performance Manag"/>
    <s v="2000HWO"/>
    <s v="20059076"/>
    <s v="Ravish Doshi"/>
    <s v="No"/>
    <s v="hitesh.suratwala@amns.in"/>
    <s v="9879103154"/>
    <s v="24389"/>
    <s v="Dhruv Vyas"/>
    <s v="Anil Matoo"/>
    <s v="Praveen Kuruvalli"/>
    <s v="Dhruv Vyas"/>
    <n v="0"/>
  </r>
  <r>
    <n v="3308"/>
    <n v="20054383"/>
    <s v="Santosh Kumar Sahoo"/>
    <s v="AM/NS India"/>
    <s v="Onroll"/>
    <s v="M-9"/>
    <n v="9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Lead - Indirect Taxation"/>
    <m/>
    <s v="Finance &amp; Accounts - Odisha"/>
    <s v="Finance &amp; Accounts"/>
    <s v="Indirect Taxation"/>
    <s v="Non Technical Support"/>
    <s v="Finance &amp; Accounts"/>
    <s v="Taxation"/>
    <s v="73904002"/>
    <s v="Indirect Taxation"/>
    <s v="Paradeep"/>
    <d v="1985-05-19T00:00:00"/>
    <s v="38.04"/>
    <d v="2018-09-26T00:00:00"/>
    <d v="2043-05-31T00:00:00"/>
    <m/>
    <d v="2043-05-31T00:00:00"/>
    <n v="7193"/>
    <s v="O+"/>
    <s v="MBA-2006"/>
    <s v="02.06"/>
    <s v="04.11"/>
    <s v="07.05"/>
    <s v="70234933"/>
    <s v="Finance &amp; Accounts - Odisha"/>
    <s v="70492582"/>
    <s v="Lead - Indirect Taxation"/>
    <s v="Odisha"/>
    <s v="0022010019"/>
    <s v="DBN-Benf-HR/Admin"/>
    <s v="2000STORIS"/>
    <s v="20055801"/>
    <s v="Sanjive Kumar Singh"/>
    <s v="No"/>
    <s v="santosh.sahoo@amns.in"/>
    <s v="7381007062"/>
    <s v="23855"/>
    <s v="Sunila Das"/>
    <s v="Anil Matoo"/>
    <s v="Praveen Kuruvalli"/>
    <s v="Sunila Das"/>
    <n v="0"/>
  </r>
  <r>
    <n v="3355"/>
    <n v="20054448"/>
    <s v="Sejalben Pradipbhai Patel"/>
    <s v="AM/NS India"/>
    <s v="Onroll"/>
    <s v="M-10"/>
    <n v="10"/>
    <m/>
    <s v="JM"/>
    <s v="F"/>
    <s v="Hazira"/>
    <n v="1"/>
    <s v="2054"/>
    <x v="9"/>
    <s v="32.01"/>
    <s v="Pankaj Chaturvedi"/>
    <s v="Hrishikesh Kamat"/>
    <n v="7"/>
    <s v="Procurement"/>
    <s v="Contracts"/>
    <s v="32"/>
    <s v="Officer - Contracts"/>
    <m/>
    <s v="Contracts"/>
    <s v="Contracts"/>
    <s v="Power Infra, HK"/>
    <s v="Non Technical Support"/>
    <s v="Commercial"/>
    <s v="Contracts &amp; Tenders and E-bid"/>
    <s v="73805001"/>
    <s v="Contracts &amp; Tenders and E"/>
    <s v="AM/NS Hazira"/>
    <d v="1985-12-18T00:00:00"/>
    <s v="37.09"/>
    <d v="2018-10-01T00:00:00"/>
    <d v="2043-12-31T00:00:00"/>
    <m/>
    <d v="2043-12-31T00:00:00"/>
    <n v="7407"/>
    <s v="O+"/>
    <s v="Diploma-2014"/>
    <s v=""/>
    <s v="04.11"/>
    <s v="04.11"/>
    <s v="70495670"/>
    <s v="Contracts"/>
    <s v="70492612"/>
    <s v="Officer - Contracts"/>
    <s v="Hazira"/>
    <s v="0031950047"/>
    <s v="HZ-Contracts"/>
    <s v="2000HWO"/>
    <s v="20000795"/>
    <s v="Pankaj Chaturvedi"/>
    <s v="No"/>
    <s v="sejal.patel@amns.in"/>
    <s v="9925241140"/>
    <s v="23373"/>
    <s v="Dhruv Vyas"/>
    <s v="Anil Matoo"/>
    <s v="Praveen Kuruvalli"/>
    <s v="Dhruv Vyas"/>
    <n v="0"/>
  </r>
  <r>
    <n v="3408"/>
    <n v="20054512"/>
    <s v="Surinder Kumar Choudhary"/>
    <s v="AM/NS India"/>
    <s v="Onroll"/>
    <s v="M-6"/>
    <n v="6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Cluster Head - Human Resources"/>
    <m/>
    <s v="Human Resources"/>
    <s v=""/>
    <s v=""/>
    <s v="Non Technical Support"/>
    <s v="Human Resources Management"/>
    <s v="Human Resources Management"/>
    <s v="73501001"/>
    <s v="Human Resources"/>
    <s v="Hazira"/>
    <d v="1979-08-21T00:00:00"/>
    <s v="44.00"/>
    <d v="2018-10-12T00:00:00"/>
    <d v="2037-08-31T00:00:00"/>
    <m/>
    <d v="2037-08-31T00:00:00"/>
    <n v="5094"/>
    <s v="B+"/>
    <s v="PG Diploma in Management-2007 , BTech-20"/>
    <s v="12.10"/>
    <s v="04.11"/>
    <s v="17.09"/>
    <s v="70472771"/>
    <s v="Hazira HR Operations - 2"/>
    <s v="70319421"/>
    <s v="Cluster Head - Human Resources"/>
    <s v="Hazira"/>
    <s v="0031950061"/>
    <s v="HZ-Human Resource"/>
    <s v="2000HWO"/>
    <s v="20000083"/>
    <s v="Anil Matoo"/>
    <s v="No"/>
    <s v="surinder.choudhary@amns.in"/>
    <s v="9879100536"/>
    <s v="21427"/>
    <s v="Dhruv Vyas"/>
    <s v="Anil Matoo"/>
    <s v="Praveen Kuruvalli"/>
    <s v="Dhruv Vyas"/>
    <n v="0"/>
  </r>
  <r>
    <n v="3409"/>
    <n v="20054514"/>
    <s v="Sarvesh Jayesh Gangar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c OEM"/>
    <m/>
    <s v="Procurement MRO Hazira"/>
    <s v="Procurement"/>
    <s v="OEM across plant &amp; special inserts"/>
    <s v="Non Technical Support"/>
    <s v="Commercial"/>
    <s v="Procurement"/>
    <s v="73803001"/>
    <s v="Procurement"/>
    <s v="AM/NS Hazira"/>
    <d v="1990-06-15T00:00:00"/>
    <s v="33.03"/>
    <d v="2018-10-01T00:00:00"/>
    <d v="2048-06-30T00:00:00"/>
    <m/>
    <d v="2048-06-30T00:00:00"/>
    <n v="9050"/>
    <s v="O+"/>
    <s v="BE-2013"/>
    <s v="05.05"/>
    <s v="04.11"/>
    <s v="10.04"/>
    <s v="70072410"/>
    <s v="Rolling &amp; Finishing including CRM, Plate"/>
    <s v="70492725"/>
    <s v="Lead - Proc OEM"/>
    <s v="Hazira"/>
    <s v="0031950048"/>
    <s v="HZ-Procurment Depart"/>
    <s v="2000HWO"/>
    <s v="20002323"/>
    <s v="Balaji Somvanshi"/>
    <s v="No"/>
    <s v="sarvesh.gangar@amns.in"/>
    <s v="9909902759"/>
    <s v="21760"/>
    <s v="Dhruv Vyas"/>
    <s v="Anil Matoo"/>
    <s v="Praveen Kuruvalli"/>
    <s v="Dhruv Vyas"/>
    <n v="0"/>
  </r>
  <r>
    <n v="3412"/>
    <n v="20054520"/>
    <s v="Trupti Yagnesh Patel"/>
    <s v="AM/NS India"/>
    <s v="Onroll"/>
    <s v="M-8"/>
    <n v="8"/>
    <m/>
    <s v="JM"/>
    <s v="F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HSM, CSP Mill"/>
    <s v="Non Technical Support"/>
    <s v="Commercial"/>
    <s v="Contracts &amp; Tenders and E-bid"/>
    <s v="73805001"/>
    <s v="Contracts &amp; Tenders and E"/>
    <s v="AM/NS Hazira"/>
    <d v="1984-04-17T00:00:00"/>
    <s v="39.05"/>
    <d v="2018-10-10T00:00:00"/>
    <d v="2042-04-30T00:00:00"/>
    <m/>
    <d v="2042-04-30T00:00:00"/>
    <n v="6797"/>
    <s v="O+"/>
    <s v="Diploma-2005"/>
    <s v="11.08"/>
    <s v="04.11"/>
    <s v="16.07"/>
    <s v="70495670"/>
    <s v="Contracts"/>
    <s v="70492721"/>
    <s v="Lead - Contracts"/>
    <s v="Hazira"/>
    <s v="0031950047"/>
    <s v="HZ-Contracts"/>
    <s v="2000HWO"/>
    <s v="20000795"/>
    <s v="Pankaj Chaturvedi"/>
    <s v="No"/>
    <s v="trupti.patel@amns.in"/>
    <s v="9879106768"/>
    <s v="23392"/>
    <s v="Dhruv Vyas"/>
    <s v="Anil Matoo"/>
    <s v="Praveen Kuruvalli"/>
    <s v="Dhruv Vyas"/>
    <n v="0"/>
  </r>
  <r>
    <n v="3420"/>
    <n v="20054535"/>
    <s v="Mahendran V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 /Issue Plant"/>
    <m/>
    <s v="Stores &amp; Warehouse"/>
    <s v="Stores &amp; Warehouse"/>
    <s v="Refractory A, Receipt -Issue"/>
    <s v="Non Technical Support"/>
    <s v="Commercial"/>
    <s v="Stores &amp; Warehouse"/>
    <s v="73806001"/>
    <s v="Stores &amp; Warehouse"/>
    <s v="Hazira"/>
    <d v="1985-09-13T00:00:00"/>
    <s v="38.00"/>
    <d v="2018-10-20T00:00:00"/>
    <d v="2043-09-30T00:00:00"/>
    <m/>
    <d v="2043-09-30T00:00:00"/>
    <n v="7315"/>
    <s v="A+"/>
    <s v="Diploma-2006"/>
    <s v="12.00"/>
    <s v="04.11"/>
    <s v="16.11"/>
    <s v="00044539"/>
    <s v="Ferroalloy &amp; Refractory Stores"/>
    <s v="70492821"/>
    <s v="Section Officer - Receipt /Issue Plant"/>
    <s v="Hazira"/>
    <s v="0031950049"/>
    <s v="HZ-Central Stores"/>
    <s v="2000HWO"/>
    <s v="20010626"/>
    <s v="Barot Sachinkumar"/>
    <s v="No"/>
    <s v="mahendran.v@amns.in"/>
    <s v="9879104934"/>
    <s v="24599"/>
    <s v="Dhruv Vyas"/>
    <s v="Anil Matoo"/>
    <s v="Praveen Kuruvalli"/>
    <s v="Dhruv Vyas"/>
    <n v="0"/>
  </r>
  <r>
    <n v="3421"/>
    <n v="20054536"/>
    <s v="Parag Dilipkumar Joshi"/>
    <s v="AM/NS India"/>
    <s v="Onroll"/>
    <s v="M-10"/>
    <n v="10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fractory &amp; Plant B"/>
    <m/>
    <s v="Stores &amp; Warehouse"/>
    <s v="Stores &amp; Warehouse"/>
    <s v="Refractory B, Receipt -Issue"/>
    <s v="Non Technical Support"/>
    <s v="Commercial"/>
    <s v="Stores &amp; Warehouse"/>
    <s v="73806001"/>
    <s v="Stores &amp; Warehouse"/>
    <s v="Hazira"/>
    <d v="1987-03-17T00:00:00"/>
    <s v="36.06"/>
    <d v="2018-10-20T00:00:00"/>
    <d v="2045-03-31T00:00:00"/>
    <m/>
    <d v="2045-03-31T00:00:00"/>
    <n v="7863"/>
    <s v="A+"/>
    <s v="MCom-2006"/>
    <s v="08.09"/>
    <s v="04.11"/>
    <s v="13.07"/>
    <s v="00044539"/>
    <s v="Ferroalloy &amp; Refractory Stores"/>
    <s v="70492822"/>
    <s v="Section Officer - Refractory &amp; Plant B"/>
    <s v="Hazira"/>
    <s v="0031950049"/>
    <s v="HZ-Central Stores"/>
    <s v="2000HWO"/>
    <s v="20010626"/>
    <s v="Barot Sachinkumar"/>
    <s v="No"/>
    <s v="parag.joshi2@amns.in"/>
    <s v="9925245354"/>
    <s v="22067"/>
    <s v="Dhruv Vyas"/>
    <s v="Anil Matoo"/>
    <s v="Praveen Kuruvalli"/>
    <s v="Dhruv Vyas"/>
    <n v="0"/>
  </r>
  <r>
    <n v="3423"/>
    <n v="20054538"/>
    <s v="Niraj Pradeep Khopkar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– EXIM"/>
    <m/>
    <s v="Taxation"/>
    <s v="Indirect Taxation"/>
    <s v="EXIM"/>
    <s v="Non Technical Support"/>
    <s v="Finance &amp; Accounts"/>
    <s v="Taxation"/>
    <s v="73904002"/>
    <s v="Indirect Taxation"/>
    <s v="Mumbai"/>
    <d v="1982-06-05T00:00:00"/>
    <s v="41.03"/>
    <d v="2018-10-22T00:00:00"/>
    <d v="2040-06-30T00:00:00"/>
    <m/>
    <d v="2040-06-30T00:00:00"/>
    <n v="6128"/>
    <s v="A+"/>
    <s v="Certificate-2017 , Diploma-2007 , BCom-2"/>
    <s v="14.06"/>
    <s v="04.10"/>
    <s v="19.05"/>
    <s v="70072408"/>
    <s v="Customs / DGFT / EXIM"/>
    <s v="70492823"/>
    <s v="Sr. Lead– EXIM"/>
    <s v="Corporate"/>
    <s v="0090000033"/>
    <s v="Corporate Taxation"/>
    <s v="2000CS"/>
    <s v="20047664"/>
    <s v="Devang Desai"/>
    <s v="No"/>
    <s v="niraj.khopkar@amns.in"/>
    <s v="9819731545"/>
    <s v="22238"/>
    <s v="Dhruv Vyas"/>
    <s v="Anil Matoo"/>
    <s v="Praveen Kuruvalli"/>
    <s v="Dhruv Vyas"/>
    <n v="0"/>
  </r>
  <r>
    <n v="3429"/>
    <n v="20054565"/>
    <s v="Dhruv Vyas"/>
    <s v="AM/NS India"/>
    <s v="Onroll"/>
    <s v="M-7"/>
    <n v="7"/>
    <m/>
    <s v="MM"/>
    <s v="M"/>
    <s v="Hazira"/>
    <n v="1"/>
    <s v="2015"/>
    <x v="1"/>
    <s v="22.06"/>
    <s v="Praveen Kuruvalli"/>
    <s v="Ashutosh Telang"/>
    <n v="6"/>
    <s v="HR &amp; Administration"/>
    <s v="Human Resources"/>
    <s v="22"/>
    <s v="Lead  Human Resources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8-08-06T00:00:00"/>
    <s v="35.01"/>
    <d v="2018-11-01T00:00:00"/>
    <d v="2046-08-31T00:00:00"/>
    <m/>
    <d v="2046-08-31T00:00:00"/>
    <n v="8381"/>
    <s v="A+"/>
    <s v="MCA-2015 , MBA-2014 , Bachelor of Comput"/>
    <s v="04.06"/>
    <s v="04.10"/>
    <s v="09.04"/>
    <s v="00053055"/>
    <s v="Human Resources"/>
    <s v="70492873"/>
    <s v="Lead  Human Resources"/>
    <s v="Hazira"/>
    <s v="0031950061"/>
    <s v="HZ-Human Resource"/>
    <s v="2000HWO"/>
    <s v="20055672"/>
    <s v="Shailja Tripathi"/>
    <s v="No"/>
    <s v="dhruv.vyas@amns.in"/>
    <s v="9879101603"/>
    <s v="24719"/>
    <s v="Dhruv Vyas"/>
    <s v="Anil Matoo"/>
    <s v="Praveen Kuruvalli"/>
    <s v="Dhruv Vyas"/>
    <n v="0"/>
  </r>
  <r>
    <n v="3460"/>
    <n v="20054681"/>
    <s v="Roshan Farkunde"/>
    <s v="AM/NS India"/>
    <s v="Onroll"/>
    <s v="M-7"/>
    <n v="7"/>
    <m/>
    <s v="MM"/>
    <s v="M"/>
    <s v="Pune Facility"/>
    <n v="4"/>
    <s v="2015"/>
    <x v="1"/>
    <s v="22.06"/>
    <s v="Anil Matoo"/>
    <s v="Ashutosh Telang"/>
    <n v="6"/>
    <s v="HR &amp; Administration"/>
    <s v="Human Resources"/>
    <s v="22"/>
    <s v="Lead - Human Resource"/>
    <m/>
    <s v="Human Resources"/>
    <s v="Training"/>
    <s v="Human Resources"/>
    <s v="Non Technical Support"/>
    <s v="Human Resources Management"/>
    <s v="Human Resources Management"/>
    <s v="73501001"/>
    <s v="Human Resources"/>
    <s v="Pune AMNS"/>
    <d v="1984-09-11T00:00:00"/>
    <s v="39.00"/>
    <d v="2018-12-26T00:00:00"/>
    <d v="2042-09-30T00:00:00"/>
    <m/>
    <d v="2042-09-30T00:00:00"/>
    <n v="6950"/>
    <s v="B+"/>
    <s v="MBA-2009 , BSc-2005"/>
    <s v="09.07"/>
    <s v="04.08"/>
    <s v="14.03"/>
    <s v="73800068"/>
    <s v="Pune HR Operations &amp; Administration"/>
    <s v="70493321"/>
    <s v="Lead - Human Resource"/>
    <s v="Pune Facility"/>
    <s v="0035950019"/>
    <s v="Pune-Admin"/>
    <s v="2000ESPF"/>
    <s v="20037245"/>
    <s v="Mukund Jagirdar"/>
    <s v="No"/>
    <s v="roshan.farkunde@amns.in"/>
    <s v="9158045252"/>
    <s v="21714"/>
    <s v="Dhruv Vyas"/>
    <s v="Anil Matoo"/>
    <s v="Praveen Kuruvalli"/>
    <s v="Dhruv Vyas"/>
    <n v="0"/>
  </r>
  <r>
    <n v="3475"/>
    <n v="20054875"/>
    <s v="Sandeep Koul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4"/>
    <s v="OEM Sales"/>
    <s v="Noida"/>
    <d v="1985-06-29T00:00:00"/>
    <s v="38.02"/>
    <d v="2019-03-01T00:00:00"/>
    <d v="2043-06-30T00:00:00"/>
    <m/>
    <d v="2043-06-30T00:00:00"/>
    <n v="7223"/>
    <s v="A+"/>
    <s v="MBA-2011 , Bachelor of Computer Applicat"/>
    <s v="02.10"/>
    <s v="04.06"/>
    <s v="07.04"/>
    <s v="72150181"/>
    <s v="Sales North Zone"/>
    <s v="70493939"/>
    <s v="Sales Manager"/>
    <s v="Hazira"/>
    <s v="0031950057"/>
    <s v="HZ-HRC - Marketing"/>
    <s v="2000HWO"/>
    <s v="20002920"/>
    <s v="Sudhir Sharma"/>
    <s v="No"/>
    <s v="sandeep.koul@amns.in"/>
    <s v="9999949891"/>
    <s v="22277"/>
    <s v="Dhruv Vyas"/>
    <s v="Anil Matoo"/>
    <s v="Praveen Kuruvalli"/>
    <s v="Dhruv Vyas"/>
    <n v="0"/>
  </r>
  <r>
    <n v="3482"/>
    <n v="20054907"/>
    <s v="Shreyas Agarwal"/>
    <s v="AM/NS India"/>
    <s v="Onroll"/>
    <s v="M-9"/>
    <n v="9"/>
    <m/>
    <s v="JM"/>
    <s v="M"/>
    <s v="Hazira"/>
    <n v="1"/>
    <s v="2096"/>
    <x v="14"/>
    <s v="36.02"/>
    <s v="Deepak Sindkar"/>
    <s v="Hrishikesh Kamat"/>
    <n v="7"/>
    <s v="Procurement"/>
    <s v="Raw Materials"/>
    <s v="36"/>
    <s v="Lead - Gas Management"/>
    <m/>
    <s v="Power &amp; Gas"/>
    <s v="Power &amp; Gas"/>
    <s v="Power &amp; Gas"/>
    <s v="Non Technical Support"/>
    <s v="Commercial"/>
    <s v="Procurement"/>
    <s v="73803001"/>
    <s v="Procurement"/>
    <s v="AM/NS Hazira"/>
    <d v="1997-02-02T00:00:00"/>
    <s v="26.07"/>
    <d v="2019-04-15T00:00:00"/>
    <d v="2055-02-28T00:00:00"/>
    <m/>
    <d v="2055-02-28T00:00:00"/>
    <n v="11484"/>
    <s v="O+"/>
    <s v="MBA-2019 , BBA-2017 , Intermediate-2014"/>
    <s v=""/>
    <s v="04.05"/>
    <s v="04.05"/>
    <s v="00049516"/>
    <s v="Power &amp; Gas"/>
    <s v="70494001"/>
    <s v="Lead - Gas Management"/>
    <s v="Hazira"/>
    <s v="0031950048"/>
    <s v="HZ-Procurment Depart"/>
    <s v="2000HWO"/>
    <s v="20004612"/>
    <s v="Ramesh Chabhadiya"/>
    <s v="No"/>
    <s v="shreyas.agarwal@amns.in"/>
    <s v="9879101479"/>
    <s v="24862"/>
    <s v="Dhruv Vyas"/>
    <s v="Anil Matoo"/>
    <s v="Praveen Kuruvalli"/>
    <s v="Dhruv Vyas"/>
    <n v="0"/>
  </r>
  <r>
    <n v="3502"/>
    <n v="20054937"/>
    <s v="Hitesh Kumar Yadav"/>
    <s v="AM/NS India"/>
    <s v="Onroll"/>
    <s v="M-6"/>
    <n v="6"/>
    <m/>
    <s v="MM"/>
    <s v="M"/>
    <s v="Hazira"/>
    <n v="1"/>
    <s v="2722"/>
    <x v="20"/>
    <s v="28.02"/>
    <s v="Anil Matoo"/>
    <s v="Ashutosh Telang"/>
    <n v="6"/>
    <s v="HR &amp; Administration"/>
    <s v="Academy for Skill Development"/>
    <n v="28"/>
    <s v="Head - Academy"/>
    <m/>
    <s v="Academy for Skill Development"/>
    <s v=""/>
    <s v=""/>
    <s v="Non Technical Support"/>
    <s v="Human Resources Management"/>
    <s v="Human Resources Management"/>
    <s v="73501002"/>
    <s v="Human Resources Operation"/>
    <s v="Hazira"/>
    <d v="1977-03-30T00:00:00"/>
    <s v="46.05"/>
    <d v="2019-06-10T00:00:00"/>
    <d v="2035-03-31T00:00:00"/>
    <m/>
    <d v="2035-03-31T00:00:00"/>
    <n v="4210"/>
    <s v="O+"/>
    <s v="MHRM-2005 , BTech-2000 , Intermediate-19"/>
    <s v="02.03"/>
    <s v="04.03"/>
    <s v="06.06"/>
    <s v="70495652"/>
    <s v="Academy for Skill Development"/>
    <s v="70494107"/>
    <s v="Head - Academy"/>
    <s v="Hazira"/>
    <s v="0031950061"/>
    <s v="HZ-Human Resource"/>
    <s v="2000HWO"/>
    <s v="20000083"/>
    <s v="Anil Matoo"/>
    <s v="No"/>
    <s v="hitesh.yadav@amns.in"/>
    <s v="9879100546"/>
    <s v="24965"/>
    <s v="Dhruv Vyas"/>
    <s v="Anil Matoo"/>
    <s v="Praveen Kuruvalli"/>
    <s v="Dhruv Vyas"/>
    <n v="0"/>
  </r>
  <r>
    <n v="3509"/>
    <n v="20054954"/>
    <s v="Arnav Mishra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"/>
    <s v="Non Technical Support"/>
    <s v="Operations"/>
    <s v="Plant Operations"/>
    <s v="72103005"/>
    <s v="Shift Operations"/>
    <s v="Chennai"/>
    <d v="1988-11-21T00:00:00"/>
    <s v="34.09"/>
    <d v="2019-06-18T00:00:00"/>
    <d v="2046-11-30T00:00:00"/>
    <m/>
    <d v="2046-11-30T00:00:00"/>
    <n v="8472"/>
    <s v="B+"/>
    <s v="MTech-2019 , BTech-2010 , SSLC-2005 , Hi"/>
    <s v=""/>
    <s v="04.03"/>
    <s v="04.03"/>
    <s v="00052460"/>
    <s v="Auto &amp; YG"/>
    <s v="70494154"/>
    <s v="Lead – Application Engineer"/>
    <s v="Hazira"/>
    <s v="0031950057"/>
    <s v="HZ-HRC - Marketing"/>
    <s v="2000HWO"/>
    <s v="20056155"/>
    <s v="Kondapalli Venkateswarlu"/>
    <s v="No"/>
    <s v="arnav.mishra@amns.in"/>
    <s v="9925241696"/>
    <s v="24913"/>
    <s v="Dhruv Vyas"/>
    <s v="Anil Matoo"/>
    <s v="Praveen Kuruvalli"/>
    <s v="Dhruv Vyas"/>
    <n v="0"/>
  </r>
  <r>
    <n v="3510"/>
    <n v="20054955"/>
    <s v="Gaurav Sharma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"/>
    <s v="Non Technical Support"/>
    <s v="Operations"/>
    <s v="Plant Operations"/>
    <s v="72103005"/>
    <s v="Shift Operations"/>
    <s v="Noida"/>
    <d v="1991-09-28T00:00:00"/>
    <s v="31.11"/>
    <d v="2019-06-18T00:00:00"/>
    <d v="2049-09-30T00:00:00"/>
    <m/>
    <d v="2049-09-30T00:00:00"/>
    <n v="9507"/>
    <s v="B+"/>
    <s v="MTech-2019 , BTech-2014 , SSLC-2009 , Hi"/>
    <s v=""/>
    <s v="04.03"/>
    <s v="04.03"/>
    <s v="00052460"/>
    <s v="Auto &amp; YG"/>
    <s v="70494155"/>
    <s v="Lead – Application Engineer"/>
    <s v="Hazira"/>
    <s v="0031950057"/>
    <s v="HZ-HRC - Marketing"/>
    <s v="2000HWO"/>
    <s v="20056155"/>
    <s v="Kondapalli Venkateswarlu"/>
    <s v="No"/>
    <s v="gaurav.sharma@amns.in"/>
    <s v="9925241040"/>
    <s v="24097"/>
    <s v="Dhruv Vyas"/>
    <s v="Anil Matoo"/>
    <s v="Praveen Kuruvalli"/>
    <s v="Dhruv Vyas"/>
    <n v="0"/>
  </r>
  <r>
    <n v="3521"/>
    <n v="20054976"/>
    <s v="Golakiya Krushil Ishvarbhai"/>
    <s v="AM/NS India"/>
    <s v="Onroll"/>
    <s v="M-10"/>
    <n v="10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Section Engineer - Projects Coordination"/>
    <m/>
    <s v="Capex Planning &amp; Projects"/>
    <s v="AWESOME Projects, CRM Projects, Coal Conveyor to 300 MW PP"/>
    <s v="&quot;ARP-2 Project,"/>
    <s v="Non Technical Support"/>
    <s v="Projects"/>
    <s v="Projects Coordination"/>
    <s v="72103038"/>
    <s v="Projects Coordination"/>
    <s v="Hazira"/>
    <d v="1998-04-02T00:00:00"/>
    <s v="25.05"/>
    <d v="2019-06-18T00:00:00"/>
    <d v="2056-04-30T00:00:00"/>
    <m/>
    <d v="2056-04-30T00:00:00"/>
    <n v="11911"/>
    <s v="O+"/>
    <s v="BTech-2019 , SSLC-2015 , High School-201"/>
    <s v=""/>
    <s v="04.03"/>
    <s v="04.03"/>
    <s v="00049344"/>
    <s v="Capex Procurement"/>
    <s v="70494179"/>
    <s v="Section Engineer - Projects Coordination"/>
    <s v="Hazira"/>
    <s v="0031950059"/>
    <s v="HZ-Hazira Project"/>
    <s v="2000HWO"/>
    <s v="20055728"/>
    <s v="Mahebub Vahora"/>
    <s v="No"/>
    <s v="krushil.golakiya@amns.in"/>
    <s v="9909902475"/>
    <s v="24892"/>
    <s v="Dhruv Vyas"/>
    <s v="Anil Matoo"/>
    <s v="Praveen Kuruvalli"/>
    <s v="Dhruv Vyas"/>
    <n v="0"/>
  </r>
  <r>
    <n v="3526"/>
    <n v="20054987"/>
    <s v="Shaik Saajid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RM ÃƒÆ’Ã‚Â¢ÃƒÂ¢Ã¢â‚¬Å¡Ã‚Â¬ÃƒÂ¢Ã¢â€šÂ¬Ã…â€œ FM ÃƒÆ’Ã‚Â¢ÃƒÂ¢Ã¢â‚¬Å¡Ã‚Â¬ÃƒÂ¢Ã¢â€šÂ¬Ã…â€œ CS ÃƒÆ’Ã‚Â¢ÃƒÂ¢Ã¢â‚¬Å¡Ã‚Â¬ÃƒÂ¢Ã¢â€šÂ¬Ã…â€œ DC"/>
    <s v="Non Technical Support"/>
    <s v="Operations"/>
    <s v="Plant Maintenance"/>
    <s v="72103008"/>
    <s v="Mechanical Maintenance"/>
    <s v="Mumbai"/>
    <d v="1998-01-10T00:00:00"/>
    <s v="25.08"/>
    <d v="2019-06-18T00:00:00"/>
    <d v="2056-01-31T00:00:00"/>
    <m/>
    <d v="2056-01-31T00:00:00"/>
    <n v="11821"/>
    <s v="B+"/>
    <s v="BTech-2019 , SSLC-2015 , High School-201"/>
    <s v=""/>
    <s v="04.03"/>
    <s v="04.03"/>
    <s v="00052460"/>
    <s v="Auto &amp; YG"/>
    <s v="70494190"/>
    <s v="Lead – Application Engineer"/>
    <s v="Hazira"/>
    <s v="0031950057"/>
    <s v="HZ-HRC - Marketing"/>
    <s v="2000HWO"/>
    <s v="20056155"/>
    <s v="Kondapalli Venkateswarlu"/>
    <s v="No"/>
    <s v="shaik.sajid@amns.in"/>
    <s v="9909902292"/>
    <s v="24935"/>
    <s v="Dhruv Vyas"/>
    <s v="Anil Matoo"/>
    <s v="Praveen Kuruvalli"/>
    <s v="Dhruv Vyas"/>
    <n v="0"/>
  </r>
  <r>
    <n v="3538"/>
    <n v="20055011"/>
    <s v="Sambit Kumar Panda"/>
    <s v="AM/NS India"/>
    <s v="Onroll"/>
    <s v="M-10"/>
    <n v="10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Lead - Mechanical Buying"/>
    <m/>
    <s v="Procurement"/>
    <s v="Procurement"/>
    <s v="Procurement"/>
    <s v="Non Technical Support"/>
    <s v="Operations"/>
    <s v="Plant Maintenance"/>
    <s v="72103008"/>
    <s v="Mechanical Maintenance"/>
    <s v="Paradeep"/>
    <d v="1997-07-16T00:00:00"/>
    <s v="26.02"/>
    <d v="2019-06-18T00:00:00"/>
    <d v="2055-07-31T00:00:00"/>
    <m/>
    <d v="2055-07-31T00:00:00"/>
    <n v="11637"/>
    <s v="B+"/>
    <s v="BTech-2019 , SSLC-2015 , High School-201"/>
    <s v=""/>
    <s v="04.03"/>
    <s v="04.03"/>
    <s v="70407583"/>
    <s v="Procurement - Odisha Asset"/>
    <s v="70494163"/>
    <s v="Lead - Mechanical Buying"/>
    <s v="Odisha"/>
    <s v="0022030019"/>
    <s v="PDP-HR &amp; Admn"/>
    <s v="2000STORIS"/>
    <s v="20055692"/>
    <s v="Rajiv Ranjan"/>
    <s v="Yes"/>
    <s v="spanda1996@gmail.com"/>
    <s v="7381007063"/>
    <s v="24922"/>
    <s v="Sunila Das"/>
    <s v="Anil Matoo"/>
    <s v="Praveen Kuruvalli"/>
    <s v="Sunila Das"/>
    <n v="0"/>
  </r>
  <r>
    <n v="3544"/>
    <n v="20055018"/>
    <s v="Uzair Gulammohamad Vahora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"/>
    <s v="Non Technical Support"/>
    <s v="Sales &amp; Marketing"/>
    <s v="Sales"/>
    <s v="73104004"/>
    <s v="OEM Sales"/>
    <s v="Hazira"/>
    <d v="1995-05-28T00:00:00"/>
    <s v="28.03"/>
    <d v="2019-06-24T00:00:00"/>
    <d v="2053-05-31T00:00:00"/>
    <m/>
    <d v="2053-05-31T00:00:00"/>
    <n v="10846"/>
    <s v="O+"/>
    <s v="MBA-2019 , BBA-2016 , Intermediate-2013"/>
    <s v=""/>
    <s v="04.02"/>
    <s v="04.02"/>
    <s v="70394840"/>
    <s v="OEM Sales - Gujarat"/>
    <s v="70494225"/>
    <s v="Sales Manager - Hypermart"/>
    <s v="Hazira"/>
    <s v="0060110200"/>
    <s v="HMART-Gujarat Div"/>
    <s v="2000HWO"/>
    <s v="20001736"/>
    <s v="Manoranjan Jagdhari"/>
    <s v="No"/>
    <s v="uzair.vahora@amns.in"/>
    <s v="8657537920"/>
    <s v="24622"/>
    <s v="Dhruv Vyas"/>
    <s v="Anil Matoo"/>
    <s v="Praveen Kuruvalli"/>
    <s v="Dhruv Vyas"/>
    <n v="0"/>
  </r>
  <r>
    <n v="3557"/>
    <n v="20055033"/>
    <s v="Vikas Chandra Yadvendu"/>
    <s v="AM/NS India"/>
    <s v="Onroll"/>
    <s v="M-5"/>
    <n v="5"/>
    <m/>
    <s v="MM"/>
    <s v="M"/>
    <s v="Corporate"/>
    <n v="7"/>
    <s v="2094"/>
    <x v="21"/>
    <s v="27.10"/>
    <s v="Ashutosh Telang"/>
    <s v="Ashutosh Telang"/>
    <n v="6"/>
    <s v="HR &amp; Administration"/>
    <s v="Corporate SocialResponsibility"/>
    <s v="27"/>
    <s v="Head - Corporate Social Responsibility"/>
    <m/>
    <s v="Corporate Social Responsibility"/>
    <s v="CSR"/>
    <s v="CSR"/>
    <s v="Non Technical Support"/>
    <s v="Corporate Social Responsibility"/>
    <s v="Corporate Social Responsibility"/>
    <s v="75001001"/>
    <s v="Corporate Social Responsi"/>
    <s v="Paradeep"/>
    <d v="1983-08-03T00:00:00"/>
    <s v="40.01"/>
    <d v="2019-08-01T00:00:00"/>
    <d v="2041-08-31T00:00:00"/>
    <m/>
    <d v="2041-08-31T00:00:00"/>
    <n v="6555"/>
    <s v="O+"/>
    <s v="Phd-2016 , Master's Equivalent-2007 , BS"/>
    <s v="12.01"/>
    <s v="04.01"/>
    <s v="16.02"/>
    <s v="70495661"/>
    <s v="Corporate Social Responsibility"/>
    <s v="70494325"/>
    <s v="Head - Corporate Social Responsibility"/>
    <s v="Corporate"/>
    <s v="0022030019"/>
    <s v="PDP-HR &amp; Admn"/>
    <s v="2000CS"/>
    <s v="20059024"/>
    <s v="Keiji Kubota"/>
    <s v="No"/>
    <s v="vikas.yadvendu@amns.in"/>
    <s v="7381007260"/>
    <s v="24966"/>
    <s v="Dhruv Vyas"/>
    <s v="Anil Matoo"/>
    <s v="Praveen Kuruvalli"/>
    <s v="Dhruv Vyas"/>
    <n v="0"/>
  </r>
  <r>
    <n v="3558"/>
    <n v="20055034"/>
    <s v="Rabi Narayana Prusty"/>
    <s v="AM/NS India"/>
    <s v="Onroll"/>
    <s v="M-9"/>
    <n v="9"/>
    <m/>
    <s v="JM"/>
    <s v="M"/>
    <s v="Odisha"/>
    <n v="2"/>
    <s v="2069"/>
    <x v="8"/>
    <s v="25.01"/>
    <s v="Bibek Chattopadhyay"/>
    <s v="Ashutosh Telang"/>
    <n v="6"/>
    <s v="HR &amp; Administration"/>
    <s v="Corporate Communications"/>
    <s v="25"/>
    <s v="Lead-Corporate Communication"/>
    <m/>
    <s v="Corporate Communications"/>
    <s v="Coporate Communication"/>
    <s v="Coporate Communication"/>
    <s v="Non Technical Support"/>
    <s v="Corporate Communication"/>
    <s v="Corporate Communication"/>
    <s v="74001001"/>
    <s v="Corporate Communication"/>
    <s v="Bhubaneswar"/>
    <d v="1976-06-10T00:00:00"/>
    <s v="47.03"/>
    <d v="2019-08-01T00:00:00"/>
    <d v="2034-06-30T00:00:00"/>
    <m/>
    <d v="2034-06-30T00:00:00"/>
    <n v="3936"/>
    <s v="B+"/>
    <s v="Master's Equivalent-2018 , BEd-1996 , BA"/>
    <s v="16.07"/>
    <s v="04.01"/>
    <s v="20.08"/>
    <s v="00046762"/>
    <s v="Communiation &amp; Media Relations Odisha"/>
    <s v="70494354"/>
    <s v="Lead-Corporate Communication"/>
    <s v="Odisha"/>
    <s v="0022030019"/>
    <s v="PDP-HR &amp; Admn"/>
    <s v="2000STORIS"/>
    <s v="20056246"/>
    <s v="Soumitra Patnaik"/>
    <s v="No"/>
    <s v="rabi.prusty@amns.in"/>
    <s v="7381007154"/>
    <s v="23589"/>
    <s v="Sunila Das"/>
    <s v="Anil Matoo"/>
    <s v="Praveen Kuruvalli"/>
    <s v="Sunila Das"/>
    <n v="0"/>
  </r>
  <r>
    <n v="3565"/>
    <n v="20055048"/>
    <s v="Vyas Jaiminkumar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– Proc Instrumentation &amp; Automatio"/>
    <m/>
    <s v="Procurement MRO Hazira"/>
    <s v="Procurement"/>
    <s v="Instrumentation &amp; Automation spares, Cables - Hazira Complex"/>
    <s v="Non Technical Support"/>
    <s v="Commercial"/>
    <s v="Procurement"/>
    <s v="73803001"/>
    <s v="Procurement"/>
    <s v="AM/NS Hazira"/>
    <d v="1982-03-22T00:00:00"/>
    <s v="41.06"/>
    <d v="2019-09-21T00:00:00"/>
    <d v="2040-03-31T00:00:00"/>
    <m/>
    <d v="2040-03-31T00:00:00"/>
    <n v="6037"/>
    <s v="O+"/>
    <s v="Diploma-2003 , Diploma-2003 , High Schoo"/>
    <s v=""/>
    <s v="04.00"/>
    <s v="04.00"/>
    <s v="70266350"/>
    <s v="Zinc, Elect, Instrumentation, Automation"/>
    <s v="70494450"/>
    <s v="Lead – Proc Instrumentation &amp; Automatio"/>
    <s v="Hazira"/>
    <s v="0031950048"/>
    <s v="HZ-Procurment Depart"/>
    <s v="2000HWO"/>
    <s v="20002746"/>
    <s v="Deep Pyne"/>
    <s v="No"/>
    <s v="jaimin.vyas@amns.in"/>
    <s v="9879101941"/>
    <s v="24963"/>
    <s v="Dhruv Vyas"/>
    <s v="Anil Matoo"/>
    <s v="Praveen Kuruvalli"/>
    <s v="Dhruv Vyas"/>
    <n v="0"/>
  </r>
  <r>
    <n v="3566"/>
    <n v="20055049"/>
    <s v="Rajesh Prabhakar Raktate"/>
    <s v="AM/NS India"/>
    <s v="Onroll"/>
    <s v="M-6"/>
    <n v="6"/>
    <m/>
    <s v="MM"/>
    <s v="M"/>
    <s v="Corporate"/>
    <n v="7"/>
    <s v="2071"/>
    <x v="22"/>
    <s v="41.01"/>
    <s v="P Ashok Kumar"/>
    <s v="P Ashok Kumar"/>
    <n v="9"/>
    <s v="Legal"/>
    <s v="Legal"/>
    <s v="41"/>
    <s v="Legal Speclialist"/>
    <m/>
    <s v="Legal"/>
    <s v="Legal"/>
    <s v="Legal"/>
    <s v="Non Technical Support"/>
    <s v="Legal"/>
    <s v="Legal"/>
    <s v="73201001"/>
    <s v="Legal"/>
    <s v="Mumbai"/>
    <d v="1975-11-14T00:00:00"/>
    <s v="47.10"/>
    <d v="2019-10-01T00:00:00"/>
    <d v="2033-11-30T00:00:00"/>
    <m/>
    <d v="2033-11-30T00:00:00"/>
    <n v="3724"/>
    <s v="O+"/>
    <s v="LLB-2001 , Diploma-1998 , BCom-1996"/>
    <s v="15.02"/>
    <s v="03.11"/>
    <s v="19.01"/>
    <s v="70494754"/>
    <s v="Legal"/>
    <s v="70494454"/>
    <s v="Legal Speclialist"/>
    <s v="Corporate"/>
    <s v="0090000019"/>
    <s v="Corporate Steel - Le"/>
    <s v="2000CS"/>
    <s v="20055235"/>
    <s v="P Ashok Kumar"/>
    <s v="No"/>
    <s v="rajesh.raktate@amns.in"/>
    <s v="8657537942"/>
    <s v="24931"/>
    <s v="Dhruv Vyas"/>
    <s v="Anil Matoo"/>
    <s v="Praveen Kuruvalli"/>
    <s v="Dhruv Vyas"/>
    <n v="0"/>
  </r>
  <r>
    <n v="3575"/>
    <n v="20055067"/>
    <s v="Nikhil Kumar Mall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4"/>
    <s v="OEM Sales"/>
    <s v="Noida"/>
    <d v="1993-02-17T00:00:00"/>
    <s v="30.07"/>
    <d v="2019-12-16T00:00:00"/>
    <d v="2051-02-28T00:00:00"/>
    <m/>
    <d v="2051-02-28T00:00:00"/>
    <n v="10023"/>
    <s v="O+"/>
    <s v="MTech-2019 , BTech-2015 , Intermediate-2"/>
    <s v=""/>
    <s v="03.09"/>
    <s v="03.09"/>
    <s v="72150181"/>
    <s v="Sales North Zone"/>
    <s v="70494601"/>
    <s v="Sales Manager"/>
    <s v="Hazira"/>
    <s v="0031950057"/>
    <s v="HZ-HRC - Marketing"/>
    <s v="2000HWO"/>
    <s v="20002920"/>
    <s v="Sudhir Sharma"/>
    <s v="No"/>
    <s v="nikhil.mall@amns.in"/>
    <s v="6377820254"/>
    <s v="25087"/>
    <s v="Dhruv Vyas"/>
    <s v="Anil Matoo"/>
    <s v="Praveen Kuruvalli"/>
    <s v="Dhruv Vyas"/>
    <n v="0"/>
  </r>
  <r>
    <n v="3576"/>
    <n v="20055068"/>
    <s v="Dilip Oommen"/>
    <s v="AM/NS India"/>
    <s v="PDA"/>
    <s v="M-1"/>
    <n v="1"/>
    <m/>
    <s v="TM"/>
    <s v="M"/>
    <s v="Corporate"/>
    <n v="7"/>
    <s v="2260"/>
    <x v="5"/>
    <s v="01.01"/>
    <s v="Dilip Oommen"/>
    <s v="Dilip Oommen"/>
    <n v="1"/>
    <s v="CEO Office"/>
    <s v="CEO Office"/>
    <s v="01"/>
    <s v="Chief Executive Officer"/>
    <m/>
    <s v="CEO Office"/>
    <s v="CEO Office"/>
    <s v="CEO Office"/>
    <s v="Non Technical Support"/>
    <s v="Operations"/>
    <s v="Operations"/>
    <s v="72103001"/>
    <s v="Operations"/>
    <s v="Mumbai"/>
    <d v="1958-03-28T00:00:00"/>
    <s v="65.05"/>
    <d v="2019-12-16T00:00:00"/>
    <d v="2018-03-31T00:00:00"/>
    <d v="2025-03-31T00:00:00"/>
    <d v="2025-03-31T00:00:00"/>
    <n v="558"/>
    <s v="A-"/>
    <s v="BTech-1981"/>
    <s v="17.02"/>
    <s v="03.09"/>
    <s v="20.11"/>
    <s v="70176006"/>
    <s v="CEO Office"/>
    <s v="72150532"/>
    <s v="Chief Executive Officer"/>
    <s v="Non-payroll-relevant"/>
    <s v=""/>
    <s v=""/>
    <s v="2000CS"/>
    <s v="0"/>
    <s v=""/>
    <s v="No"/>
    <s v="dilip.oommen@amns.in"/>
    <s v="9909901994"/>
    <s v="22571"/>
    <s v="Dhruv Vyas"/>
    <s v="Anil Matoo"/>
    <s v="Praveen Kuruvalli"/>
    <s v="Dhruv Vyas"/>
    <n v="0"/>
  </r>
  <r>
    <n v="3578"/>
    <n v="20055071"/>
    <s v="Anirudha Bisoyi"/>
    <s v="AM/NS India"/>
    <s v="Onroll"/>
    <s v="M-8"/>
    <n v="8"/>
    <m/>
    <s v="JM"/>
    <s v="M"/>
    <s v="Hazira"/>
    <n v="1"/>
    <s v="2133"/>
    <x v="23"/>
    <s v="26.11"/>
    <s v="Anil Matoo"/>
    <s v="Ashutosh Telang"/>
    <n v="6"/>
    <s v="HR &amp; Administration"/>
    <s v="Payroll Administration"/>
    <s v="26"/>
    <s v="Lead - Payroll"/>
    <m/>
    <s v="Payroll Administration"/>
    <s v=""/>
    <s v=""/>
    <s v="Non Technical Support"/>
    <s v="Human Resources Management"/>
    <s v="Human Resources Management"/>
    <s v="73501002"/>
    <s v="Human Resources Operation"/>
    <s v="Hazira"/>
    <d v="1985-07-18T00:00:00"/>
    <s v="38.02"/>
    <d v="2020-01-15T00:00:00"/>
    <d v="2043-07-31T00:00:00"/>
    <m/>
    <d v="2043-07-31T00:00:00"/>
    <n v="7254"/>
    <s v="A+"/>
    <s v="MPM-2008 , BA-2006 , Intermediate-2003 ,"/>
    <s v="11.02"/>
    <s v="03.08"/>
    <s v="14.10"/>
    <s v="00051767"/>
    <s v="Payroll"/>
    <s v="70494627"/>
    <s v="Lead - Payroll"/>
    <s v="Hazira"/>
    <s v="0031950061"/>
    <s v="HZ-Human Resource"/>
    <s v="2000HWO"/>
    <s v="20016406"/>
    <s v="Manjit Shah"/>
    <s v="No"/>
    <s v="anirudha.bisoyi@amns.in"/>
    <s v="9825214160"/>
    <s v="25092"/>
    <s v="Dhruv Vyas"/>
    <s v="Anil Matoo"/>
    <s v="Praveen Kuruvalli"/>
    <s v="Dhruv Vyas"/>
    <n v="0"/>
  </r>
  <r>
    <n v="3580"/>
    <n v="20055075"/>
    <s v="Ashutosh Mathur"/>
    <s v="AM/NS India"/>
    <s v="Onroll"/>
    <s v="M-4"/>
    <n v="4"/>
    <m/>
    <s v="SM"/>
    <s v="M"/>
    <s v="Hazira"/>
    <n v="1"/>
    <s v="2162"/>
    <x v="18"/>
    <s v="33.01"/>
    <s v="Hrishikesh Kamat"/>
    <s v="Hrishikesh Kamat"/>
    <n v="7"/>
    <s v="Procurement"/>
    <s v="Shipping &amp; Chartering"/>
    <s v="33"/>
    <s v="Head – Shipping and Chartering"/>
    <m/>
    <s v="Shipping &amp; Chartering"/>
    <s v="Shipping &amp; Chartering"/>
    <s v="Ports &amp; Chartering"/>
    <s v="Non Technical Support"/>
    <s v="Commercial"/>
    <s v="Procurement"/>
    <s v="73803001"/>
    <s v="Procurement"/>
    <s v="AM/NS Hazira"/>
    <d v="1979-04-10T00:00:00"/>
    <s v="44.05"/>
    <d v="2020-02-03T00:00:00"/>
    <d v="2037-04-30T00:00:00"/>
    <m/>
    <d v="2037-04-30T00:00:00"/>
    <n v="4971"/>
    <s v="AB+"/>
    <s v="MBA-2008 , BE-2002 , Intermediate-1996 ,"/>
    <s v="15.01"/>
    <s v="03.07"/>
    <s v="18.08"/>
    <s v="70494731"/>
    <s v="Ports &amp; Chartering"/>
    <s v="70494631"/>
    <s v="Head – Shipping and Chartering"/>
    <s v="Hazira"/>
    <s v="0031950062"/>
    <s v="Hz-Ports"/>
    <s v="2000HWO"/>
    <s v="20055090"/>
    <s v="Hrishikesh Kamat"/>
    <s v="No"/>
    <s v="ashutosh.mathur@amns.in"/>
    <s v="9879104703"/>
    <s v="790275"/>
    <s v="Dhruv Vyas"/>
    <s v="Anil Matoo"/>
    <s v="Praveen Kuruvalli"/>
    <s v="Dhruv Vyas"/>
    <n v="0"/>
  </r>
  <r>
    <n v="3581"/>
    <n v="20055084"/>
    <s v="Alain Legrix De La Salle"/>
    <s v="AM/NS India"/>
    <s v="PDA"/>
    <s v="M-2"/>
    <n v="2"/>
    <m/>
    <s v="T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Director &amp; VP - Sales &amp; Marketing"/>
    <m/>
    <s v="Sales &amp; Marketing"/>
    <s v="Sales &amp; Marketing"/>
    <s v=""/>
    <s v="Non Technical Support"/>
    <s v=""/>
    <s v=""/>
    <s v="70494638"/>
    <s v="Director and Vice President"/>
    <s v="Mumbai"/>
    <d v="1961-03-11T00:00:00"/>
    <s v="62.06"/>
    <d v="2019-12-16T00:00:00"/>
    <d v="2021-03-31T00:00:00"/>
    <d v="2025-03-31T00:00:00"/>
    <d v="2025-03-31T00:00:00"/>
    <n v="558"/>
    <s v=""/>
    <s v=""/>
    <s v=""/>
    <s v="03.09"/>
    <s v="03.09"/>
    <s v="70494632"/>
    <s v="Sales &amp; Marketing"/>
    <s v="70494643"/>
    <s v="Director &amp; VP - Sales &amp; Marketing"/>
    <s v="Non-payroll-relevant"/>
    <s v=""/>
    <s v=""/>
    <s v="2000CS"/>
    <s v="20055068"/>
    <s v="Dilip Oommen"/>
    <s v="No"/>
    <s v="alain.legrix@amns.in"/>
    <s v="9727741283"/>
    <s v="2510"/>
    <s v="Dhruv Vyas"/>
    <s v="Anil Matoo"/>
    <s v="Praveen Kuruvalli"/>
    <s v="Dhruv Vyas"/>
    <n v="0"/>
  </r>
  <r>
    <n v="3583"/>
    <n v="20055088"/>
    <s v="Amit Harlalka"/>
    <s v="AM/NS India"/>
    <s v="PDA"/>
    <s v="PDA"/>
    <n v="2"/>
    <m/>
    <s v="TM"/>
    <s v="M"/>
    <s v="Corporate"/>
    <n v="7"/>
    <s v="2013"/>
    <x v="0"/>
    <s v="20.01"/>
    <s v="Amit Harlalka"/>
    <s v="Amit Harlalka"/>
    <n v="5"/>
    <s v="Finance &amp; Accounts"/>
    <s v="Finance &amp; Accounts"/>
    <s v="20"/>
    <s v="Director &amp; VP, Finance"/>
    <m/>
    <s v="CFO Office"/>
    <s v="CFO Office"/>
    <s v=""/>
    <s v="Non Technical Support"/>
    <s v=""/>
    <s v=""/>
    <s v="70494638"/>
    <s v="Director and Vice President"/>
    <s v="Mumbai"/>
    <d v="1977-12-04T00:00:00"/>
    <s v="45.09"/>
    <d v="2019-12-16T00:00:00"/>
    <d v="2035-12-31T00:00:00"/>
    <m/>
    <d v="2035-12-31T00:00:00"/>
    <n v="4485"/>
    <s v=""/>
    <s v=""/>
    <s v=""/>
    <s v="03.09"/>
    <s v="03.09"/>
    <s v="70494633"/>
    <s v="Finance &amp; Accounts"/>
    <s v="70494647"/>
    <s v="Director &amp; VP, Finance"/>
    <s v="Non-payroll-relevant"/>
    <s v="0090000013"/>
    <s v="Director-Fin-India"/>
    <s v="2000CS"/>
    <s v="20055068"/>
    <s v="Dilip Oommen"/>
    <s v="No"/>
    <s v="amit.harlalka@amns.in"/>
    <s v="9971999511"/>
    <s v="101628"/>
    <s v="Dhruv Vyas"/>
    <s v="Anil Matoo"/>
    <s v="Praveen Kuruvalli"/>
    <s v="Dhruv Vyas"/>
    <n v="0"/>
  </r>
  <r>
    <n v="3584"/>
    <n v="20055090"/>
    <s v="Hrishikesh Kamat"/>
    <s v="AM/NS India"/>
    <s v="PDA"/>
    <s v="PDA"/>
    <n v="3"/>
    <m/>
    <s v="SM"/>
    <s v="M"/>
    <s v="Corporate"/>
    <n v="7"/>
    <s v="2043"/>
    <x v="3"/>
    <s v="31.01"/>
    <s v="Hrishikesh Kamat"/>
    <s v="Hrishikesh Kamat"/>
    <n v="7"/>
    <s v="Procurement"/>
    <s v="Procurement"/>
    <s v="31"/>
    <s v="Chief Procurement Officer"/>
    <m/>
    <s v="Procurement"/>
    <s v="Procurement"/>
    <s v=""/>
    <s v="Non Technical Support"/>
    <s v=""/>
    <s v=""/>
    <s v="70494644"/>
    <s v="Chief Procurement Officer"/>
    <s v="Mumbai"/>
    <d v="1960-02-11T00:00:00"/>
    <s v="63.07"/>
    <d v="2019-12-16T00:00:00"/>
    <d v="2018-02-28T00:00:00"/>
    <d v="2025-03-31T00:00:00"/>
    <d v="2025-03-31T00:00:00"/>
    <n v="558"/>
    <s v=""/>
    <s v=""/>
    <s v=""/>
    <s v="03.09"/>
    <s v="03.09"/>
    <s v="70494637"/>
    <s v="Procurement"/>
    <s v="70494652"/>
    <s v="Chief Procurement Officer"/>
    <s v="Non-payroll-relevant"/>
    <s v="0031950048"/>
    <s v="HZ-Procurment Depart"/>
    <s v="2000CS"/>
    <s v="20055086"/>
    <s v="Wim Van Gerven"/>
    <s v="No"/>
    <s v="hrishikesh.kamat@amns.in"/>
    <s v="8980042458"/>
    <s v="3103"/>
    <s v="Dhruv Vyas"/>
    <s v="Anil Matoo"/>
    <s v="Praveen Kuruvalli"/>
    <s v="Dhruv Vyas"/>
    <n v="0"/>
  </r>
  <r>
    <n v="3616"/>
    <n v="20055134"/>
    <s v="Arvind Kumar"/>
    <s v="AM/NS India"/>
    <s v="Onroll"/>
    <s v="M-8"/>
    <n v="8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Buyer - Mechanical Spare"/>
    <m/>
    <s v="Procurement"/>
    <s v="Procurement"/>
    <s v="Procurement"/>
    <s v="Non Technical Support"/>
    <s v="Commercial"/>
    <s v="Purchase"/>
    <s v="73804001"/>
    <s v="Purchase"/>
    <s v="Paradeep"/>
    <d v="1988-01-16T00:00:00"/>
    <s v="35.08"/>
    <d v="2020-03-02T00:00:00"/>
    <d v="2046-01-31T00:00:00"/>
    <m/>
    <d v="2046-01-31T00:00:00"/>
    <n v="8169"/>
    <s v="B+"/>
    <s v="BTech-2010 , Intermediate-2006 , Interme"/>
    <s v=""/>
    <s v="03.06"/>
    <s v="03.06"/>
    <s v="70407583"/>
    <s v="Procurement - Odisha Asset"/>
    <s v="70493007"/>
    <s v="Buyer - Mechanical Spare"/>
    <s v="Odisha"/>
    <s v="0022030019"/>
    <s v="PDP-HR &amp; Admn"/>
    <s v="2000STORIS"/>
    <s v="20055692"/>
    <s v="Rajiv Ranjan"/>
    <s v="No"/>
    <s v="arvind.kumar@amns.in"/>
    <s v="8084831688"/>
    <s v="789377"/>
    <s v="Sunila Das"/>
    <s v="Anil Matoo"/>
    <s v="Praveen Kuruvalli"/>
    <s v="Sunila Das"/>
    <n v="0"/>
  </r>
  <r>
    <n v="3617"/>
    <n v="20055135"/>
    <s v="Raghavan Aravamudhan"/>
    <s v="AM/NS India"/>
    <s v="Onroll"/>
    <s v="M-3"/>
    <n v="3"/>
    <m/>
    <s v="SM"/>
    <s v="M"/>
    <s v="Corporate"/>
    <n v="7"/>
    <s v="2099"/>
    <x v="19"/>
    <s v="02.01"/>
    <s v="Dilip Oommen"/>
    <s v="Dilip Oommen"/>
    <n v="1"/>
    <s v="CEO Office"/>
    <s v="Business Strategy"/>
    <s v="02"/>
    <s v="Head Buisness Strategy"/>
    <m/>
    <s v="Business Strategy"/>
    <s v="Business Strategy"/>
    <s v="Business Strategy"/>
    <s v="Non Technical Support"/>
    <s v="Sales &amp; Marketing"/>
    <s v="Business Development"/>
    <s v="73103001"/>
    <s v="Business Development"/>
    <s v="Mumbai"/>
    <d v="1982-12-23T00:00:00"/>
    <s v="40.08"/>
    <d v="2020-03-02T00:00:00"/>
    <d v="2040-12-31T00:00:00"/>
    <m/>
    <d v="2040-12-31T00:00:00"/>
    <n v="6312"/>
    <s v="A+"/>
    <s v="MBA-2010 , BE-2005 , High School-2000 ,"/>
    <s v="13.07"/>
    <s v="03.06"/>
    <s v="17.01"/>
    <s v="70494715"/>
    <s v="Business Strategy"/>
    <s v="70494714"/>
    <s v="Head Buisness Strategy"/>
    <s v="Confidential Payroll"/>
    <s v="0090000022"/>
    <s v="Business Strategy"/>
    <s v="2000CS"/>
    <s v="20055068"/>
    <s v="Dilip Oommen"/>
    <s v="No"/>
    <s v="raghavan.aravamudhan@amns.in"/>
    <s v="9619627665"/>
    <s v="788788"/>
    <s v="Dhruv Vyas"/>
    <s v="Anil Matoo"/>
    <s v="Praveen Kuruvalli"/>
    <s v="Dhruv Vyas"/>
    <n v="0"/>
  </r>
  <r>
    <n v="3623"/>
    <n v="20055143"/>
    <s v="Naoki Shimazaki"/>
    <s v="AM/NS India"/>
    <s v="PDA"/>
    <s v="PDA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– Strategic Finance"/>
    <m/>
    <s v="Capex Finance"/>
    <s v="Capex Finance"/>
    <s v=""/>
    <s v="Non Technical Support"/>
    <s v=""/>
    <s v=""/>
    <s v="70286758"/>
    <s v="General Manager"/>
    <s v="AM/NS Hazira"/>
    <d v="1975-09-08T00:00:00"/>
    <s v="48.00"/>
    <d v="2020-01-01T00:00:00"/>
    <d v="2033-09-30T00:00:00"/>
    <m/>
    <d v="2033-09-30T00:00:00"/>
    <n v="3663"/>
    <s v="O+"/>
    <s v=""/>
    <s v=""/>
    <s v="03.08"/>
    <s v="03.08"/>
    <s v="00044378"/>
    <s v="Strategic Finance"/>
    <s v="70494730"/>
    <s v="Head – Strategic Finance"/>
    <s v="Non-payroll-relevant"/>
    <s v="0090000038"/>
    <s v="CAPEX FINANCE"/>
    <s v="2000CS"/>
    <s v="20056029"/>
    <s v="Ananya Maitra"/>
    <s v="No"/>
    <s v="naoki.shimazaki@amns.in"/>
    <s v="9925003689"/>
    <s v="788808"/>
    <s v="Dhruv Vyas"/>
    <s v="Anil Matoo"/>
    <s v="Praveen Kuruvalli"/>
    <s v="Dhruv Vyas"/>
    <n v="0"/>
  </r>
  <r>
    <n v="3634"/>
    <n v="20055156"/>
    <s v="Bharatbhai C Patel"/>
    <s v="AM/NS India"/>
    <s v="Onroll"/>
    <s v="M-8"/>
    <n v="8"/>
    <m/>
    <s v="JM"/>
    <s v="M"/>
    <s v="Hazira"/>
    <n v="1"/>
    <s v="2084"/>
    <x v="17"/>
    <s v="23.09"/>
    <s v="Anil Matoo"/>
    <s v="Ashutosh Telang"/>
    <n v="6"/>
    <s v="HR &amp; Administration"/>
    <s v="Industrial Relations"/>
    <s v="23"/>
    <s v="Lead - Industrial Relations"/>
    <m/>
    <s v="Hazira Operations"/>
    <s v="Operation &amp; Maintenance  and Control &amp; Instrumentation"/>
    <s v="Operation &amp; Maintenance  and Control &amp; Instrumentation"/>
    <s v="Non Technical Support"/>
    <s v="Operations"/>
    <s v="Plant Maintenance"/>
    <s v="72103009"/>
    <s v="Electrical Maintenance"/>
    <s v="Hazira"/>
    <d v="1973-03-29T00:00:00"/>
    <s v="50.05"/>
    <d v="2020-03-18T00:00:00"/>
    <d v="2031-03-31T00:00:00"/>
    <m/>
    <d v="2031-03-31T00:00:00"/>
    <n v="2749"/>
    <s v="AB-"/>
    <s v="Diploma-2012 , BA-1997 , Diploma-1996 ,"/>
    <s v="19.00"/>
    <s v="03.06"/>
    <s v="22.05"/>
    <s v="70309501"/>
    <s v="IR &amp; legal Compliance"/>
    <s v="70494747"/>
    <s v="Lead - Industrial Relations"/>
    <s v="Hazira"/>
    <s v="0031750300"/>
    <s v="HAZ-CPP 500 MW"/>
    <s v="2000HWO"/>
    <s v="20056503"/>
    <s v="Bhavin Pandya"/>
    <s v="No"/>
    <s v="bharat.patel2@amns.in"/>
    <s v="9879102899"/>
    <s v="791809"/>
    <s v="Dhruv Vyas"/>
    <s v="Anil Matoo"/>
    <s v="Praveen Kuruvalli"/>
    <s v="Dhruv Vyas"/>
    <n v="0"/>
  </r>
  <r>
    <n v="3636"/>
    <n v="20055158"/>
    <s v="Rajeev Kumar Singh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Automotive Sales"/>
    <m/>
    <s v="North"/>
    <s v="OEM"/>
    <s v=""/>
    <s v="Non Technical Support"/>
    <s v="Sales &amp; Marketing"/>
    <s v="Sales"/>
    <s v="73104004"/>
    <s v="OEM Sales"/>
    <s v="Noida"/>
    <d v="1979-08-10T00:00:00"/>
    <s v="44.01"/>
    <d v="2020-03-01T00:00:00"/>
    <d v="2037-08-31T00:00:00"/>
    <m/>
    <d v="2037-08-31T00:00:00"/>
    <n v="5094"/>
    <s v="O+"/>
    <s v="BE-2002 , Intermediate-1996 , High Schoo"/>
    <s v="17.04"/>
    <s v="03.06"/>
    <s v="20.10"/>
    <s v="72150181"/>
    <s v="Sales North Zone"/>
    <s v="70490284"/>
    <s v="KAM - OEM Sales"/>
    <s v="Hazira"/>
    <s v="0031950057"/>
    <s v="HZ-HRC - Marketing"/>
    <s v="2000HWO"/>
    <s v="20002920"/>
    <s v="Sudhir Sharma"/>
    <s v="No"/>
    <s v="rajeev.singh@amns.in"/>
    <s v="9810443694"/>
    <s v="793072"/>
    <s v="Dhruv Vyas"/>
    <s v="Anil Matoo"/>
    <s v="Praveen Kuruvalli"/>
    <s v="Dhruv Vyas"/>
    <n v="0"/>
  </r>
  <r>
    <n v="3637"/>
    <n v="20055160"/>
    <s v="Mrida Lakhmani"/>
    <s v="AM/NS India"/>
    <s v="Onroll"/>
    <s v="M-4"/>
    <n v="4"/>
    <m/>
    <s v="SM"/>
    <s v="F"/>
    <s v="Corporate"/>
    <n v="7"/>
    <s v="2071"/>
    <x v="22"/>
    <s v="41.01"/>
    <s v="P Ashok Kumar"/>
    <s v="P Ashok Kumar"/>
    <n v="9"/>
    <s v="Legal"/>
    <s v="Legal"/>
    <s v="41"/>
    <s v="Senior Legal Counsel"/>
    <m/>
    <s v="Legal"/>
    <s v=""/>
    <s v=""/>
    <s v="Non Technical Support"/>
    <s v="Legal"/>
    <s v="Legal"/>
    <s v="73201001"/>
    <s v="Legal"/>
    <s v="Mumbai"/>
    <d v="1992-11-19T00:00:00"/>
    <s v="30.09"/>
    <d v="2020-04-01T00:00:00"/>
    <d v="2050-11-30T00:00:00"/>
    <m/>
    <d v="2050-11-30T00:00:00"/>
    <n v="9933"/>
    <s v="A+"/>
    <s v="LLB-2012 , Intermediate-2009 , High Scho"/>
    <s v="04.09"/>
    <s v="03.05"/>
    <s v="08.02"/>
    <s v="00048996"/>
    <s v="Legal"/>
    <s v="70494755"/>
    <s v="Senior Legal Counsel"/>
    <s v="Corporate"/>
    <s v="0090000019"/>
    <s v="Corporate Steel - Le"/>
    <s v="2000CS"/>
    <s v="20055235"/>
    <s v="P Ashok Kumar"/>
    <s v="No"/>
    <s v="mrida.lakhmani@amns.in"/>
    <s v="7045589822"/>
    <s v="791880"/>
    <s v="Dhruv Vyas"/>
    <s v="Anil Matoo"/>
    <s v="Praveen Kuruvalli"/>
    <s v="Dhruv Vyas"/>
    <n v="0"/>
  </r>
  <r>
    <n v="3638"/>
    <n v="20055161"/>
    <s v="Shivani Sen"/>
    <s v="AM/NS India"/>
    <s v="Onroll"/>
    <s v="M-5"/>
    <n v="5"/>
    <m/>
    <s v="MM"/>
    <s v="F"/>
    <s v="Corporate"/>
    <n v="7"/>
    <s v="2069"/>
    <x v="8"/>
    <s v="25.01"/>
    <s v="Bibek Chattopadhyay"/>
    <s v="Ashutosh Telang"/>
    <n v="6"/>
    <s v="HR &amp; Administration"/>
    <s v="Corporate Communications"/>
    <s v="25"/>
    <s v="Senior Lead - Corporate Communication"/>
    <m/>
    <s v="Corporate Communications"/>
    <s v=""/>
    <s v=""/>
    <s v="Non Technical Support"/>
    <s v="Corporate Relations"/>
    <s v="Corporate Affairs"/>
    <s v="74501001"/>
    <s v="Corporate Affairs"/>
    <s v="Mumbai"/>
    <d v="1978-09-18T00:00:00"/>
    <s v="45.00"/>
    <d v="2020-04-01T00:00:00"/>
    <d v="2036-09-30T00:00:00"/>
    <m/>
    <d v="2036-09-30T00:00:00"/>
    <n v="4759"/>
    <s v="B+"/>
    <s v="MA-1999 , BA-1999 , High School-1995 , S"/>
    <s v="01.00"/>
    <s v="03.05"/>
    <s v="04.05"/>
    <s v="70318583"/>
    <s v="Communications &amp; Media Relations"/>
    <s v="70494761"/>
    <s v="Senior Lead - Corporate Communication"/>
    <s v="Corporate"/>
    <s v="0090000016"/>
    <s v="Corporate Steel - Co"/>
    <s v="2000CS"/>
    <s v="20055187"/>
    <s v="Bibek Chattopadhyay"/>
    <s v="No"/>
    <s v="shivani.sen@amns.in"/>
    <s v="9971800165"/>
    <s v="791881"/>
    <s v="Dhruv Vyas"/>
    <s v="Anil Matoo"/>
    <s v="Praveen Kuruvalli"/>
    <s v="Dhruv Vyas"/>
    <n v="0"/>
  </r>
  <r>
    <n v="3639"/>
    <n v="20055162"/>
    <s v="Dolly Kartik Shah"/>
    <s v="AM/NS India"/>
    <s v="Onroll"/>
    <s v="M-8"/>
    <n v="8"/>
    <m/>
    <s v="JM"/>
    <s v="F"/>
    <s v="Corporate"/>
    <n v="7"/>
    <s v="2071"/>
    <x v="22"/>
    <s v="41.01"/>
    <s v="P Ashok Kumar"/>
    <s v="P Ashok Kumar"/>
    <n v="9"/>
    <s v="Legal"/>
    <s v="Legal"/>
    <s v="41"/>
    <s v="EA to General Counsel &amp; Compliance Associate"/>
    <m/>
    <s v="Legal"/>
    <s v="Legal"/>
    <s v="Legal"/>
    <s v="Non Technical Support"/>
    <s v="Legal"/>
    <s v="Legal"/>
    <s v="73201001"/>
    <s v="Legal"/>
    <s v="Mumbai"/>
    <d v="1985-11-25T00:00:00"/>
    <s v="37.09"/>
    <d v="2020-04-01T00:00:00"/>
    <d v="2043-11-30T00:00:00"/>
    <m/>
    <d v="2043-11-30T00:00:00"/>
    <n v="7376"/>
    <s v="B+"/>
    <s v="BA-2012 , Certificate-2007 , High School"/>
    <s v="03.04"/>
    <s v="03.05"/>
    <s v="06.09"/>
    <s v="70494754"/>
    <s v="Legal"/>
    <s v="70494756"/>
    <s v="PA to General Counsel"/>
    <s v="Corporate"/>
    <s v="0090000019"/>
    <s v="Corporate Steel - Le"/>
    <s v="2000CS"/>
    <s v="20055235"/>
    <s v="P Ashok Kumar"/>
    <s v="No"/>
    <s v="dolly.shah@amns.in"/>
    <s v="9820251185"/>
    <s v="791878"/>
    <s v="Dhruv Vyas"/>
    <s v="Anil Matoo"/>
    <s v="Praveen Kuruvalli"/>
    <s v="Dhruv Vyas"/>
    <n v="0"/>
  </r>
  <r>
    <n v="3640"/>
    <n v="20055165"/>
    <s v="Subhakant Dash"/>
    <s v="AM/NS India"/>
    <s v="Onroll"/>
    <s v="M-5"/>
    <n v="5"/>
    <m/>
    <s v="MM"/>
    <s v="M"/>
    <s v="Odisha"/>
    <n v="2"/>
    <s v="2162"/>
    <x v="18"/>
    <s v="33.01"/>
    <s v="Hrishikesh Kamat"/>
    <s v="Hrishikesh Kamat"/>
    <n v="7"/>
    <s v="Procurement"/>
    <s v="Shipping &amp; Chartering"/>
    <s v="33"/>
    <s v="Section Head–Shipping &amp; Chartering,Odish"/>
    <m/>
    <s v="Shipping &amp; Chartering"/>
    <s v=""/>
    <s v=""/>
    <s v="Non Technical Support"/>
    <s v="Commercial"/>
    <s v="Procurement"/>
    <s v="73803001"/>
    <s v="Procurement"/>
    <s v="Paradeep"/>
    <d v="1975-07-15T00:00:00"/>
    <s v="48.02"/>
    <d v="2020-04-01T00:00:00"/>
    <d v="2033-07-31T00:00:00"/>
    <m/>
    <d v="2033-07-31T00:00:00"/>
    <n v="3602"/>
    <s v="B+"/>
    <s v="MBA-1997 , BCom-1995 , Intermediate-1992"/>
    <s v="21.00"/>
    <s v="03.05"/>
    <s v="24.05"/>
    <s v="70238106"/>
    <s v="Ports &amp; Logistics"/>
    <s v="70494759"/>
    <s v="Section Head–Shipping &amp; Chartering,Odish"/>
    <s v="Odisha"/>
    <s v="0022030019"/>
    <s v="PDP-HR &amp; Admn"/>
    <s v="2000STORIS"/>
    <s v="20055075"/>
    <s v="Ashutosh Mathur"/>
    <s v="No"/>
    <s v="subhakant.dash@amns.in"/>
    <s v="7381000432"/>
    <s v="791879"/>
    <s v="Sunila Das"/>
    <s v="Anil Matoo"/>
    <s v="Praveen Kuruvalli"/>
    <s v="Sunila Das"/>
    <n v="0"/>
  </r>
  <r>
    <n v="3643"/>
    <n v="20055181"/>
    <s v="Sanjay Sharma"/>
    <s v="AM/NS India"/>
    <s v="Onroll"/>
    <s v="M-2"/>
    <n v="2"/>
    <m/>
    <s v="TM"/>
    <s v="M"/>
    <s v="Corporate"/>
    <n v="7"/>
    <s v="2060"/>
    <x v="24"/>
    <s v="39.01"/>
    <s v="Sanjay Sharma"/>
    <s v="Sanjay Sharma"/>
    <n v="8"/>
    <s v="Business Development"/>
    <s v="Business Development"/>
    <s v="39"/>
    <s v="Head - Business Development"/>
    <m/>
    <s v="Business Development"/>
    <s v=""/>
    <s v=""/>
    <s v="Non Technical Support"/>
    <s v="Sales &amp; Marketing"/>
    <s v="Business Development"/>
    <s v="73103001"/>
    <s v="Business Development"/>
    <s v="Mumbai"/>
    <d v="1972-03-07T00:00:00"/>
    <s v="51.06"/>
    <d v="2019-12-16T00:00:00"/>
    <d v="2032-03-31T00:00:00"/>
    <m/>
    <d v="2032-03-31T00:00:00"/>
    <n v="3115"/>
    <s v=""/>
    <s v=""/>
    <s v=""/>
    <s v="03.09"/>
    <s v="03.09"/>
    <s v="70494900"/>
    <s v="Business Development"/>
    <s v="70494901"/>
    <s v="Head - Business Development"/>
    <s v="Non-payroll-relevant"/>
    <s v="0090000032"/>
    <s v="Business Devpelopmen"/>
    <s v="2000CS"/>
    <s v="20055068"/>
    <s v="Dilip Oommen"/>
    <s v="No"/>
    <s v="sanjay.sharma@amns.in"/>
    <s v="9599206733"/>
    <s v="102316"/>
    <s v="Dhruv Vyas"/>
    <s v="Anil Matoo"/>
    <s v="Praveen Kuruvalli"/>
    <s v="Dhruv Vyas"/>
    <n v="0"/>
  </r>
  <r>
    <n v="3644"/>
    <n v="20055182"/>
    <s v="Neha Soni"/>
    <s v="AM/NS India"/>
    <s v="Onroll"/>
    <s v="M-5"/>
    <n v="5"/>
    <m/>
    <s v="MM"/>
    <s v="F"/>
    <s v="Corporate"/>
    <n v="7"/>
    <s v="2060"/>
    <x v="24"/>
    <s v="39.01"/>
    <s v="Sanjay Sharma"/>
    <s v="Sanjay Sharma"/>
    <n v="8"/>
    <s v="Business Development"/>
    <s v="Business Development"/>
    <s v="39"/>
    <s v="Senior Lead - Business Development"/>
    <m/>
    <s v="Business Development"/>
    <s v=""/>
    <s v=""/>
    <s v="Non Technical Support"/>
    <s v="Sales &amp; Marketing"/>
    <s v="Business Development"/>
    <s v="73103001"/>
    <s v="Business Development"/>
    <s v="Mumbai"/>
    <d v="1986-04-18T00:00:00"/>
    <s v="37.05"/>
    <d v="2020-06-22T00:00:00"/>
    <d v="2044-04-30T00:00:00"/>
    <m/>
    <d v="2044-04-30T00:00:00"/>
    <n v="7528"/>
    <s v="O+"/>
    <s v="PG Diploma-2009 , BCom-2007 , Intermedia"/>
    <s v="11.03"/>
    <s v="03.03"/>
    <s v="14.05"/>
    <s v="00049729"/>
    <s v="Business Development - M&amp;A"/>
    <s v="70494902"/>
    <s v="Senior Lead - Business Development"/>
    <s v="Corporate"/>
    <s v="0090000032"/>
    <s v="Business Devpelopmen"/>
    <s v="2000CS"/>
    <s v="20055181"/>
    <s v="Sanjay Sharma"/>
    <s v="No"/>
    <s v="neha.soni@amns.in"/>
    <s v="8860614207"/>
    <s v="794449"/>
    <s v="Dhruv Vyas"/>
    <s v="Anil Matoo"/>
    <s v="Praveen Kuruvalli"/>
    <s v="Dhruv Vyas"/>
    <n v="0"/>
  </r>
  <r>
    <n v="3647"/>
    <n v="20055187"/>
    <s v="Bibek Chattopadhyay"/>
    <s v="AM/NS India"/>
    <s v="Onroll"/>
    <s v="M-3"/>
    <n v="3"/>
    <m/>
    <s v="SM"/>
    <s v="M"/>
    <s v="Corporate"/>
    <n v="7"/>
    <s v="2069"/>
    <x v="8"/>
    <s v="25.01"/>
    <s v="Ashutosh Telang"/>
    <s v="Ashutosh Telang"/>
    <n v="6"/>
    <s v="HR &amp; Administration"/>
    <s v="Corporate Communications"/>
    <s v="25"/>
    <s v="Head – Corporate Communication"/>
    <m/>
    <s v="Corporate Communications"/>
    <s v=""/>
    <s v=""/>
    <s v="Non Technical Support"/>
    <s v="Corporate Communication"/>
    <s v="Corporate Communication"/>
    <s v="74001001"/>
    <s v="Corporate Communication"/>
    <s v="Mumbai"/>
    <d v="1965-09-28T00:00:00"/>
    <s v="57.11"/>
    <d v="2020-07-01T00:00:00"/>
    <d v="2023-09-30T00:00:00"/>
    <m/>
    <d v="2023-09-30T00:00:00"/>
    <n v="10"/>
    <s v="B+"/>
    <s v="PG Diploma-1989 , PG Diploma-1987 , BA-1"/>
    <s v="23.02"/>
    <s v="03.02"/>
    <s v="26.04"/>
    <s v="70318583"/>
    <s v="Communications &amp; Media Relations"/>
    <s v="70494909"/>
    <s v="Head – Corporate Communication"/>
    <s v="Confidential Payroll"/>
    <s v="0090000016"/>
    <s v="Corporate Steel - Co"/>
    <s v="2000CS"/>
    <s v="20059024"/>
    <s v="Keiji Kubota"/>
    <s v="No"/>
    <s v="bibek.chattopadhyay@amns.in"/>
    <s v="9820150538"/>
    <s v="797464"/>
    <s v="Dhruv Vyas"/>
    <s v="Anil Matoo"/>
    <s v="Praveen Kuruvalli"/>
    <s v="Dhruv Vyas"/>
    <n v="0"/>
  </r>
  <r>
    <n v="3648"/>
    <n v="20055188"/>
    <s v="Rohit Sharma"/>
    <s v="AM/NS India"/>
    <s v="Onroll"/>
    <s v="M-3"/>
    <n v="3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– Working Capital"/>
    <m/>
    <s v="Working Capital"/>
    <s v="Working Capital"/>
    <s v=""/>
    <s v="Non Technical Support"/>
    <s v="Projects"/>
    <s v="Projects Coordination"/>
    <s v="72103038"/>
    <s v="Projects Coordination"/>
    <s v="Mumbai"/>
    <d v="1983-10-15T00:00:00"/>
    <s v="39.11"/>
    <d v="2020-07-02T00:00:00"/>
    <d v="2041-10-31T00:00:00"/>
    <m/>
    <d v="2041-10-31T00:00:00"/>
    <n v="6616"/>
    <s v="O+"/>
    <s v="CA Final-2002"/>
    <s v="12.07"/>
    <s v="03.02"/>
    <s v="15.09"/>
    <s v="70494931"/>
    <s v="Working Capital"/>
    <s v="70494912"/>
    <s v="Head – Working Capital"/>
    <s v="Corporate"/>
    <s v="0090000028"/>
    <s v="Corporate Steel - Wo"/>
    <s v="2000CS"/>
    <s v="20057933"/>
    <s v="Akiyo Omori"/>
    <s v="No"/>
    <s v="rohit.sharma1@amns.in"/>
    <s v="9818428034"/>
    <s v="797319"/>
    <s v="Dhruv Vyas"/>
    <s v="Anil Matoo"/>
    <s v="Praveen Kuruvalli"/>
    <s v="Dhruv Vyas"/>
    <n v="0"/>
  </r>
  <r>
    <n v="3649"/>
    <n v="20055189"/>
    <s v="Nivedita Saxena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"/>
    <m/>
    <s v="Legal"/>
    <s v=""/>
    <s v=""/>
    <s v="Non Technical Support"/>
    <s v="Legal"/>
    <s v="Legal"/>
    <s v="73201001"/>
    <s v="Legal"/>
    <s v="Mumbai"/>
    <d v="1993-10-03T00:00:00"/>
    <s v="29.11"/>
    <d v="2020-06-29T00:00:00"/>
    <d v="2051-10-31T00:00:00"/>
    <m/>
    <d v="2051-10-31T00:00:00"/>
    <n v="10268"/>
    <s v="B+"/>
    <s v="BA-2016 , Intermediate-2011 , High Schoo"/>
    <s v="04.01"/>
    <s v="03.02"/>
    <s v="07.03"/>
    <s v="70494754"/>
    <s v="Legal"/>
    <s v="70494910"/>
    <s v="Sr. Manager"/>
    <s v="Corporate"/>
    <s v="0090000019"/>
    <s v="Corporate Steel - Le"/>
    <s v="2000CS"/>
    <s v="20055235"/>
    <s v="P Ashok Kumar"/>
    <s v="No"/>
    <s v="nivedita.saxena@amns.in"/>
    <s v="8989504005"/>
    <s v="794446"/>
    <s v="Dhruv Vyas"/>
    <s v="Anil Matoo"/>
    <s v="Praveen Kuruvalli"/>
    <s v="Dhruv Vyas"/>
    <n v="0"/>
  </r>
  <r>
    <n v="3651"/>
    <n v="20055193"/>
    <s v="Anuprita Kaushik Mehta"/>
    <s v="AM/NS India"/>
    <s v="Onroll"/>
    <s v="M-3"/>
    <n v="3"/>
    <m/>
    <s v="SM"/>
    <s v="F"/>
    <s v="Corporate"/>
    <n v="7"/>
    <s v="2013"/>
    <x v="0"/>
    <s v="20.01"/>
    <s v="Akiyo Omori"/>
    <s v="Amit Harlalka"/>
    <n v="5"/>
    <s v="Finance &amp; Accounts"/>
    <s v="Finance &amp; Accounts"/>
    <s v="20"/>
    <s v="Head -Taxation"/>
    <m/>
    <s v="Taxation"/>
    <s v="Taxation"/>
    <s v=""/>
    <s v="Non Technical Support"/>
    <s v="Finance &amp; Accounts"/>
    <s v="Taxation"/>
    <s v="73904002"/>
    <s v="Indirect Taxation"/>
    <s v="Mumbai"/>
    <d v="1972-05-11T00:00:00"/>
    <s v="51.04"/>
    <d v="2020-07-16T00:00:00"/>
    <d v="2030-05-31T00:00:00"/>
    <m/>
    <d v="2030-05-31T00:00:00"/>
    <n v="2445"/>
    <s v="O+"/>
    <s v="CA Final-1995 , BCom-1992 , High School-"/>
    <s v="18.10"/>
    <s v="03.02"/>
    <s v="21.11"/>
    <s v="70490499"/>
    <s v="Taxation"/>
    <s v="70490525"/>
    <s v="Head -Taxation"/>
    <s v="Confidential Payroll"/>
    <s v="0090000033"/>
    <s v="Corporate Taxation"/>
    <s v="2000CS"/>
    <s v="20057933"/>
    <s v="Akiyo Omori"/>
    <s v="No"/>
    <s v="anuprita.mehta@amns.in"/>
    <s v="9867290005"/>
    <s v="794445"/>
    <s v="Dhruv Vyas"/>
    <s v="Anil Matoo"/>
    <s v="Praveen Kuruvalli"/>
    <s v="Dhruv Vyas"/>
    <n v="0"/>
  </r>
  <r>
    <n v="3653"/>
    <n v="20055195"/>
    <s v="Sanjay Champalal Gandhi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r. Manager – Marketing &amp; Sales"/>
    <m/>
    <s v="Sales Steering &amp; BD"/>
    <s v="Digital Initiatives"/>
    <s v=""/>
    <s v="Non Technical Support"/>
    <s v=""/>
    <s v=""/>
    <s v="70494645"/>
    <s v="Head of Sales BD"/>
    <s v="Mumbai"/>
    <d v="1976-03-17T00:00:00"/>
    <s v="47.06"/>
    <d v="2020-08-24T00:00:00"/>
    <d v="2034-03-31T00:00:00"/>
    <m/>
    <d v="2034-03-31T00:00:00"/>
    <n v="3845"/>
    <s v="O+"/>
    <s v="MBA-2002 , MCom-2000 , BCom-1996 , Inter"/>
    <s v="12.11"/>
    <s v="03.00"/>
    <s v="16.00"/>
    <s v="70462100"/>
    <s v="Digital Initiatives"/>
    <s v="70494930"/>
    <s v="Process Manager - Digitalization"/>
    <s v="Corporate"/>
    <s v="0031950057"/>
    <s v="HZ-HRC - Marketing"/>
    <s v="2000CS"/>
    <s v="20043383"/>
    <s v="Maneesh Moti"/>
    <s v="No"/>
    <s v="sanjay.gandhi@amns.in"/>
    <s v="9930508239"/>
    <s v="797318"/>
    <s v="Dhruv Vyas"/>
    <s v="Anil Matoo"/>
    <s v="Praveen Kuruvalli"/>
    <s v="Dhruv Vyas"/>
    <n v="0"/>
  </r>
  <r>
    <n v="3654"/>
    <n v="20055196"/>
    <s v="Abhimanyu Kharb"/>
    <s v="AM/NS India"/>
    <s v="Onroll"/>
    <s v="M-5"/>
    <n v="5"/>
    <m/>
    <s v="MM"/>
    <s v="M"/>
    <s v="Hazira"/>
    <n v="1"/>
    <s v="2071"/>
    <x v="22"/>
    <s v="41.01"/>
    <s v="P Ashok Kumar"/>
    <s v="P Ashok Kumar"/>
    <n v="9"/>
    <s v="Legal"/>
    <s v="Legal"/>
    <s v="41"/>
    <s v="Legal Counsel – Compliance"/>
    <m/>
    <s v="Legal"/>
    <s v=""/>
    <s v=""/>
    <s v="Non Technical Support"/>
    <s v="Legal"/>
    <s v="Legal"/>
    <s v="73201001"/>
    <s v="Legal"/>
    <s v="Mumbai"/>
    <d v="1989-02-14T00:00:00"/>
    <s v="34.07"/>
    <d v="2020-07-27T00:00:00"/>
    <d v="2047-02-28T00:00:00"/>
    <m/>
    <d v="2047-02-28T00:00:00"/>
    <n v="8562"/>
    <s v="O-"/>
    <s v="LLB-2011 , Intermediate-2006 , High Scho"/>
    <s v="08.08"/>
    <s v="03.01"/>
    <s v="11.09"/>
    <s v="70494754"/>
    <s v="Legal"/>
    <s v="70494937"/>
    <s v="Legal Counsel – Compliance"/>
    <s v="Hazira"/>
    <s v="0090000019"/>
    <s v="Corporate Steel - Le"/>
    <s v="2000HWO"/>
    <s v="20055235"/>
    <s v="P Ashok Kumar"/>
    <s v="No"/>
    <s v="abhimanyu.kharb@amns.in"/>
    <s v="9108915606"/>
    <s v="798080"/>
    <s v="Dhruv Vyas"/>
    <s v="Anil Matoo"/>
    <s v="Praveen Kuruvalli"/>
    <s v="Dhruv Vyas"/>
    <n v="0"/>
  </r>
  <r>
    <n v="3655"/>
    <n v="20055197"/>
    <s v="Sangeeta Munjal"/>
    <s v="AM/NS India"/>
    <s v="Onroll"/>
    <s v="M-3"/>
    <n v="3"/>
    <m/>
    <s v="SM"/>
    <s v="F"/>
    <s v="Corporate"/>
    <n v="7"/>
    <s v="2039"/>
    <x v="2"/>
    <s v="43.01"/>
    <s v="Manu Kapoor"/>
    <s v="Manu Kapoor"/>
    <n v="10"/>
    <s v="Corporate Affairs"/>
    <s v="Corporate Affairs"/>
    <s v="43"/>
    <s v="Head – Corporate Affairs Delhi"/>
    <m/>
    <s v="Corporate Affairs"/>
    <s v=""/>
    <s v=""/>
    <s v="Non Technical Support"/>
    <s v="Corporate Relations"/>
    <s v="Corporate Affairs"/>
    <s v="74501001"/>
    <s v="Corporate Affairs"/>
    <s v="Delhi"/>
    <d v="1960-05-11T00:00:00"/>
    <s v="63.04"/>
    <d v="2020-08-01T00:00:00"/>
    <d v="2018-05-31T00:00:00"/>
    <d v="2025-03-31T00:00:00"/>
    <d v="2025-03-31T00:00:00"/>
    <n v="558"/>
    <s v="B+"/>
    <s v="MA-1985 , PG Diploma-1982 , BA-1980 , In"/>
    <s v="33.10"/>
    <s v="03.01"/>
    <s v="36.11"/>
    <s v="00050150"/>
    <s v="Corporate Affairs - Delhi"/>
    <s v="70494939"/>
    <s v="Head – Corporate Affairs Delhi"/>
    <s v="Confidential Payroll"/>
    <s v="0090000021"/>
    <s v="Corporate Affairs"/>
    <s v="2000CS"/>
    <s v="20057928"/>
    <s v="Manu Kapoor"/>
    <s v="No"/>
    <s v="sangeeta.munjal@amns.in"/>
    <s v="9811305002"/>
    <s v="799214"/>
    <s v="Dhruv Vyas"/>
    <s v="Anil Matoo"/>
    <s v="Praveen Kuruvalli"/>
    <s v="Dhruv Vyas"/>
    <n v="0"/>
  </r>
  <r>
    <n v="3656"/>
    <n v="20055200"/>
    <s v="Umesh Nayak"/>
    <s v="AM/NS India"/>
    <s v="Onroll"/>
    <s v="M-3"/>
    <n v="3"/>
    <m/>
    <s v="SM"/>
    <s v="M"/>
    <s v="Corporate"/>
    <n v="7"/>
    <s v="2039"/>
    <x v="2"/>
    <s v="43.01"/>
    <s v="Sangeeta Munjal"/>
    <s v="Manu Kapoor"/>
    <n v="10"/>
    <s v="Corporate Affairs"/>
    <s v="Corporate Affairs"/>
    <s v="43"/>
    <s v="Head – Corporate Affairs, Gujarat"/>
    <m/>
    <s v="Corporate Affairs"/>
    <s v=""/>
    <s v=""/>
    <s v="Non Technical Support"/>
    <s v="Corporate Relations"/>
    <s v="Corporate Affairs"/>
    <s v="74501001"/>
    <s v="Corporate Affairs"/>
    <s v="Ahmedabad"/>
    <d v="1966-02-28T00:00:00"/>
    <s v="57.06"/>
    <d v="2020-08-14T00:00:00"/>
    <d v="2024-02-29T00:00:00"/>
    <m/>
    <d v="2024-02-29T00:00:00"/>
    <n v="162"/>
    <s v="O+"/>
    <s v="MBA-1996 , BE-1988 , Intermediate-1983 ,"/>
    <s v="31.01"/>
    <s v="03.01"/>
    <s v="34.02"/>
    <s v="70492729"/>
    <s v="Corporate Affairs - Gujarat"/>
    <s v="70494943"/>
    <s v="Head – Corporate Affairs, Gujarat"/>
    <s v="Confidential Payroll"/>
    <s v="0090000021"/>
    <s v="Corporate Affairs"/>
    <s v="2000CS"/>
    <s v="20057928"/>
    <s v="Manu Kapoor"/>
    <s v="No"/>
    <s v="umesh.nayak@amns.in"/>
    <s v="9099005111"/>
    <s v="798900"/>
    <s v="Dhruv Vyas"/>
    <s v="Anil Matoo"/>
    <s v="Praveen Kuruvalli"/>
    <s v="Dhruv Vyas"/>
    <n v="0"/>
  </r>
  <r>
    <n v="3657"/>
    <n v="20055201"/>
    <s v="Deepak Sahu"/>
    <s v="AM/NS India"/>
    <s v="Onroll"/>
    <s v="M-6"/>
    <n v="6"/>
    <m/>
    <s v="M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Sr. Lead – F &amp; A Service Centre"/>
    <m/>
    <s v="Working Capital"/>
    <s v="Service Centers"/>
    <s v=""/>
    <s v="Non Technical Support"/>
    <s v="Finance &amp; Accounts"/>
    <s v="Finance &amp; Accounts"/>
    <s v="73901001"/>
    <s v="Finance &amp; Accounts"/>
    <s v="Hazira"/>
    <d v="1977-09-20T00:00:00"/>
    <s v="46.00"/>
    <d v="2020-08-01T00:00:00"/>
    <d v="2035-09-30T00:00:00"/>
    <m/>
    <d v="2035-09-30T00:00:00"/>
    <n v="4393"/>
    <s v="A+"/>
    <s v="MBA-2009"/>
    <s v="13.07"/>
    <s v="03.01"/>
    <s v="16.08"/>
    <s v="00043795"/>
    <s v="F&amp;A Hypermart &amp; Service Centre - 1"/>
    <s v="70494951"/>
    <s v="Sr. Lead – F &amp; A Service Centre"/>
    <s v="Service Center"/>
    <s v="0040000000"/>
    <s v="SC - Common"/>
    <s v="2000SPRJ"/>
    <s v="20055504"/>
    <s v="Vivek Choudhary"/>
    <s v="No"/>
    <s v="deepak.sahu@amns.in"/>
    <s v="9971104084"/>
    <s v="135523"/>
    <s v="Dhruv Vyas"/>
    <s v="Anil Matoo"/>
    <s v="Praveen Kuruvalli"/>
    <s v="Dhruv Vyas"/>
    <n v="0"/>
  </r>
  <r>
    <n v="3659"/>
    <n v="20055204"/>
    <s v="Lakshmi Charan Mahapatra"/>
    <s v="AM/NS India"/>
    <s v="Onroll"/>
    <s v="M-4"/>
    <n v="4"/>
    <m/>
    <s v="SM"/>
    <s v="M"/>
    <s v="Odisha"/>
    <n v="2"/>
    <s v="2137"/>
    <x v="12"/>
    <s v="35.01"/>
    <s v="Hrishikesh Kamat"/>
    <s v="Hrishikesh Kamat"/>
    <n v="7"/>
    <s v="Procurement"/>
    <s v="Land Acquisition"/>
    <s v="35"/>
    <s v="Head - Land Kendrapada"/>
    <m/>
    <s v="Land Acquisition"/>
    <m/>
    <m/>
    <s v="Projects"/>
    <s v="Corporate Relations"/>
    <s v="Corporate Affairs"/>
    <s v="74501001"/>
    <s v="Corporate Affairs"/>
    <s v="Bhubaneswar"/>
    <d v="1959-01-30T00:00:00"/>
    <s v="64.07"/>
    <d v="2020-08-01T00:00:00"/>
    <d v="2017-01-31T00:00:00"/>
    <d v="2025-03-31T00:00:00"/>
    <d v="2025-03-31T00:00:00"/>
    <n v="558"/>
    <s v="O+"/>
    <s v="Master's Equivalent-1996 , Diploma-1983"/>
    <s v="12.06"/>
    <s v="03.01"/>
    <s v="15.07"/>
    <s v="00048076"/>
    <s v="Greenfield Project"/>
    <s v="70494954"/>
    <s v="Chief Coordinator - Greenfield Project"/>
    <s v="Odisha"/>
    <s v="0022030019"/>
    <s v="PDP-HR &amp; Admn"/>
    <s v="2000STORIS"/>
    <s v="20053139"/>
    <s v="Subrahmanya Shanbhogue Tantradi"/>
    <s v="No"/>
    <s v="lakshmi.mahapatra@amns.in"/>
    <s v="9937291506"/>
    <s v="101489"/>
    <s v="Sunila Das"/>
    <s v="Anil Matoo"/>
    <s v="Praveen Kuruvalli"/>
    <s v="Sunila Das"/>
    <n v="0"/>
  </r>
  <r>
    <n v="3663"/>
    <n v="20055216"/>
    <s v="Abhishek Shrivastav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 Manager – Sales &amp; Marketing"/>
    <m/>
    <s v="North"/>
    <s v="OEM"/>
    <s v=""/>
    <s v="Non Technical Support"/>
    <s v="Human Resources Management"/>
    <s v="Human Resources Management"/>
    <s v="73501002"/>
    <s v="Human Resources Operation"/>
    <s v="Noida"/>
    <d v="1994-06-13T00:00:00"/>
    <s v="29.03"/>
    <d v="2020-09-01T00:00:00"/>
    <d v="2052-06-30T00:00:00"/>
    <m/>
    <d v="2052-06-30T00:00:00"/>
    <n v="10511"/>
    <s v="O+"/>
    <s v="MTech-2020 , BTech-2016 , Intermediate-2"/>
    <s v=""/>
    <s v="03.00"/>
    <s v="03.00"/>
    <s v="72150181"/>
    <s v="Sales North Zone"/>
    <s v="70494965"/>
    <s v="Sales Manager"/>
    <s v="Hazira"/>
    <s v="0031950057"/>
    <s v="HZ-HRC - Marketing"/>
    <s v="2000HWO"/>
    <s v="20002920"/>
    <s v="Sudhir Sharma"/>
    <s v="No"/>
    <s v="abhishek.shrivastav@amns.in"/>
    <s v="9879102216"/>
    <s v="802315"/>
    <s v="Dhruv Vyas"/>
    <s v="Anil Matoo"/>
    <s v="Praveen Kuruvalli"/>
    <s v="Dhruv Vyas"/>
    <n v="0"/>
  </r>
  <r>
    <n v="3671"/>
    <n v="20055235"/>
    <s v="P Ashok Kumar"/>
    <s v="AM/NS India"/>
    <s v="Onroll"/>
    <s v="M-3"/>
    <n v="3"/>
    <m/>
    <s v="SM"/>
    <s v="M"/>
    <s v="Corporate"/>
    <n v="7"/>
    <s v="2071"/>
    <x v="22"/>
    <s v="41.01"/>
    <s v="P Ashok Kumar"/>
    <s v="P Ashok Kumar"/>
    <n v="9"/>
    <s v="Legal"/>
    <s v="Legal"/>
    <s v="41"/>
    <s v="Associate General Counsel"/>
    <m/>
    <s v="Legal"/>
    <s v=""/>
    <s v=""/>
    <s v="Non Technical Support"/>
    <s v="Legal"/>
    <s v="Legal"/>
    <s v="73201001"/>
    <s v="Legal"/>
    <s v="Mumbai"/>
    <d v="1982-07-17T00:00:00"/>
    <s v="41.02"/>
    <d v="2020-09-01T00:00:00"/>
    <d v="2040-07-31T00:00:00"/>
    <m/>
    <d v="2040-07-31T00:00:00"/>
    <n v="6159"/>
    <s v="O+"/>
    <s v="LLB-2004 , Intermediate-1999 , High Scho"/>
    <s v="06.05"/>
    <s v="03.00"/>
    <s v="09.05"/>
    <s v="70494754"/>
    <s v="Legal"/>
    <s v="70494985"/>
    <s v="Associate General Counsel"/>
    <s v="Confidential Payroll"/>
    <s v="0090000019"/>
    <s v="Corporate Steel - Le"/>
    <s v="2000CS"/>
    <s v="20055068"/>
    <s v="Dilip Oommen"/>
    <s v="No"/>
    <s v="ashok.kumar1@amns.in"/>
    <s v="9686811664"/>
    <s v="798211"/>
    <s v="Dhruv Vyas"/>
    <s v="Anil Matoo"/>
    <s v="Praveen Kuruvalli"/>
    <s v="Dhruv Vyas"/>
    <n v="0"/>
  </r>
  <r>
    <n v="3672"/>
    <n v="20055236"/>
    <s v="Vineet Kamlesh Ojha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Process Manager – Digitalization"/>
    <m/>
    <s v="Sales Steering &amp; BD"/>
    <s v="Digital Initiatives"/>
    <s v=""/>
    <s v="Non Technical Support"/>
    <s v="Sales &amp; Marketing"/>
    <s v="Marketing"/>
    <s v="73102001"/>
    <s v="Marketing"/>
    <s v="Mumbai"/>
    <d v="1988-07-09T00:00:00"/>
    <s v="35.02"/>
    <d v="2020-08-28T00:00:00"/>
    <d v="2046-07-31T00:00:00"/>
    <m/>
    <d v="2046-07-31T00:00:00"/>
    <n v="8350"/>
    <s v="A+"/>
    <s v="PG Diploma in Management-2011 , BCom-200"/>
    <s v="12.01"/>
    <s v="03.00"/>
    <s v="15.01"/>
    <s v="70462100"/>
    <s v="Digital Initiatives"/>
    <s v="70494984"/>
    <s v="Process Manager – CRM"/>
    <s v="Corporate"/>
    <s v="0080000005"/>
    <s v="Global Markets Team"/>
    <s v="2000CS"/>
    <s v="20043383"/>
    <s v="Maneesh Moti"/>
    <s v="No"/>
    <s v="vineet.ojha@amns.in"/>
    <s v="9920379079"/>
    <s v="802102"/>
    <s v="Dhruv Vyas"/>
    <s v="Anil Matoo"/>
    <s v="Praveen Kuruvalli"/>
    <s v="Dhruv Vyas"/>
    <n v="0"/>
  </r>
  <r>
    <n v="3689"/>
    <n v="20055312"/>
    <s v="Swapnil Srivastava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Lead Market Intelligence &amp; Pricing"/>
    <m/>
    <s v="Projects Long Products"/>
    <s v="Projects Long Products"/>
    <s v=""/>
    <s v="Non Technical Support"/>
    <s v="Human Resources Management"/>
    <s v="Human Resources Management"/>
    <s v="73501002"/>
    <s v="Human Resources Operation"/>
    <s v="Mumbai"/>
    <d v="1996-09-08T00:00:00"/>
    <s v="27.00"/>
    <d v="2020-09-16T00:00:00"/>
    <d v="2054-09-30T00:00:00"/>
    <m/>
    <d v="2054-09-30T00:00:00"/>
    <n v="11333"/>
    <s v=""/>
    <s v="MBA-2020 , BTech-2018 , Intermediate-201"/>
    <s v=""/>
    <s v="03.00"/>
    <s v="03.00"/>
    <s v="70494655"/>
    <s v="Sales Steering, Distribution and BD"/>
    <s v="70495035"/>
    <s v="Lead Market Intelligence &amp; Pricing"/>
    <s v="Corporate"/>
    <s v="0080000001"/>
    <s v="Head-Marketing"/>
    <s v="2000CS"/>
    <s v="20055091"/>
    <s v="Akshaya Gujral"/>
    <s v="No"/>
    <s v="swapnil.srivastava@amns.in"/>
    <s v="7764981301"/>
    <s v="804093"/>
    <s v="Dhruv Vyas"/>
    <s v="Anil Matoo"/>
    <s v="Praveen Kuruvalli"/>
    <s v="Dhruv Vyas"/>
    <n v="0"/>
  </r>
  <r>
    <n v="3693"/>
    <n v="20055320"/>
    <s v="Rohit Yadav"/>
    <s v="AM/NS India"/>
    <s v="Onroll"/>
    <s v="M-10"/>
    <n v="10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Sales &amp; Marketing"/>
    <m/>
    <s v="Sales Planning"/>
    <s v="Sales Planning"/>
    <s v=""/>
    <s v="Non Technical Support"/>
    <s v="Human Resources Management"/>
    <s v="Human Resources Management"/>
    <s v="73501002"/>
    <s v="Human Resources Operation"/>
    <s v="Delhi"/>
    <d v="1995-05-19T00:00:00"/>
    <s v="28.04"/>
    <d v="2020-10-03T00:00:00"/>
    <d v="2053-05-31T00:00:00"/>
    <m/>
    <d v="2053-05-31T00:00:00"/>
    <n v="10846"/>
    <s v="O+"/>
    <s v="MTech-2020 , BTech-2017 , Intermediate-2"/>
    <s v=""/>
    <s v="02.11"/>
    <s v="02.11"/>
    <s v="70385322"/>
    <s v="Sales Planning &amp; Administration"/>
    <s v="70495062"/>
    <s v="Officer - Sales Planning"/>
    <s v="Pune Facility"/>
    <s v="0035950073"/>
    <s v="Pune - S&amp;D Export"/>
    <s v="2000ESPF"/>
    <s v="20049554"/>
    <s v="Uttam Kumar"/>
    <s v="No"/>
    <s v="rohit.yadav@amns.in"/>
    <s v="6359610214"/>
    <s v="806648"/>
    <s v="Dhruv Vyas"/>
    <s v="Anil Matoo"/>
    <s v="Praveen Kuruvalli"/>
    <s v="Dhruv Vyas"/>
    <n v="0"/>
  </r>
  <r>
    <n v="3700"/>
    <n v="20055333"/>
    <s v="Shah Ronil"/>
    <s v="AM/NS India"/>
    <s v="Onroll"/>
    <s v="M-10"/>
    <n v="10"/>
    <m/>
    <s v="JM"/>
    <s v="M"/>
    <s v="Hazira"/>
    <n v="1"/>
    <s v="2015"/>
    <x v="1"/>
    <s v="22.06"/>
    <s v="Praveen Kuruvalli"/>
    <s v="Ashutosh Telang"/>
    <n v="6"/>
    <s v="HR &amp; Administration"/>
    <s v="Human Resources"/>
    <s v="22"/>
    <s v="Shift Engineer - Mechanical Maintenance"/>
    <m/>
    <s v="Hazira Operations"/>
    <s v="Mechanical"/>
    <s v="SH, Conveyors &amp; PCI"/>
    <s v="Mechanical Maintenance"/>
    <s v="Operations"/>
    <s v="Plant Operations"/>
    <s v="72103003"/>
    <s v="Plant Operations"/>
    <s v="Hazira"/>
    <d v="1998-10-21T00:00:00"/>
    <s v="24.10"/>
    <d v="2020-10-03T00:00:00"/>
    <d v="2056-10-31T00:00:00"/>
    <m/>
    <d v="2056-10-31T00:00:00"/>
    <n v="12095"/>
    <s v="B+"/>
    <s v="BTech-2020 , Intermediate-2016 , High Sc"/>
    <s v=""/>
    <s v="02.11"/>
    <s v="02.11"/>
    <s v="00051785"/>
    <s v="Hazira Project - Human Resources"/>
    <s v="70495075"/>
    <s v="Lead - Human Resources"/>
    <s v="Hazira"/>
    <s v="0031220011"/>
    <s v="Plant B - Blast Furn"/>
    <s v="2000HWO"/>
    <s v="20038382"/>
    <s v="Natasha Fernandes"/>
    <s v="No"/>
    <s v="ronil.shah@amns.in"/>
    <s v="9512047176"/>
    <s v="806659"/>
    <s v="Dhruv Vyas"/>
    <s v="Anil Matoo"/>
    <s v="Praveen Kuruvalli"/>
    <s v="Dhruv Vyas"/>
    <n v="0"/>
  </r>
  <r>
    <n v="3707"/>
    <n v="20055359"/>
    <s v="Pritish Ranjan Behera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"/>
    <m/>
    <s v="Coated Sales"/>
    <s v="Coated Sales"/>
    <s v=""/>
    <s v="Non Technical Support"/>
    <s v="Human Resources Management"/>
    <s v="Human Resources Management"/>
    <s v="73501002"/>
    <s v="Human Resources Operation"/>
    <s v="Pune"/>
    <d v="1991-09-01T00:00:00"/>
    <s v="32.00"/>
    <d v="2020-10-03T00:00:00"/>
    <d v="2049-08-31T00:00:00"/>
    <m/>
    <d v="2049-08-31T00:00:00"/>
    <n v="9477"/>
    <s v="B+"/>
    <s v="MBA-2020 , BTech-2013 , Intermediate-200"/>
    <s v=""/>
    <s v="02.11"/>
    <s v="02.11"/>
    <s v="00043882"/>
    <s v="International Sales"/>
    <s v="70495101"/>
    <s v="KAM - Coated Sales"/>
    <s v="Hazira"/>
    <s v="0031950057"/>
    <s v="HZ-HRC - Marketing"/>
    <s v="2000HWO"/>
    <s v="20037071"/>
    <s v="Amit Chandaliya"/>
    <s v="No"/>
    <s v="pritish.behera@amns.in"/>
    <s v="9923200102"/>
    <s v="806680"/>
    <s v="Dhruv Vyas"/>
    <s v="Anil Matoo"/>
    <s v="Praveen Kuruvalli"/>
    <s v="Dhruv Vyas"/>
    <n v="0"/>
  </r>
  <r>
    <n v="3708"/>
    <n v="20055360"/>
    <s v="Neha Bang"/>
    <s v="AM/NS India"/>
    <s v="Onroll"/>
    <s v="M-8"/>
    <n v="8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"/>
    <m/>
    <s v="Sales Steering &amp; BD"/>
    <s v="Product Branding"/>
    <s v=""/>
    <s v="Non Technical Support"/>
    <s v="Human Resources Management"/>
    <s v="Human Resources Management"/>
    <s v="73501002"/>
    <s v="Human Resources Operation"/>
    <s v="Mumbai"/>
    <d v="1995-02-22T00:00:00"/>
    <s v="28.06"/>
    <d v="2020-10-03T00:00:00"/>
    <d v="2053-02-28T00:00:00"/>
    <m/>
    <d v="2053-02-28T00:00:00"/>
    <n v="10754"/>
    <s v="B-"/>
    <s v="MBA-2020 , BA-2016 , Intermediate-2014 ,"/>
    <s v=""/>
    <s v="02.11"/>
    <s v="02.11"/>
    <s v="00044762"/>
    <s v="Branding"/>
    <s v="70495102"/>
    <s v="Brand Manager"/>
    <s v="Corporate"/>
    <s v="0080000001"/>
    <s v="Head-Marketing"/>
    <s v="2000CS"/>
    <s v="20056091"/>
    <s v="Pooja Rawal"/>
    <s v="No"/>
    <s v="neha.bang@amns.in"/>
    <s v="9879101215"/>
    <s v="806681"/>
    <s v="Dhruv Vyas"/>
    <s v="Anil Matoo"/>
    <s v="Praveen Kuruvalli"/>
    <s v="Dhruv Vyas"/>
    <n v="0"/>
  </r>
  <r>
    <n v="3709"/>
    <n v="20055361"/>
    <s v="Kuldeep Trivedi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Management Trainee"/>
    <m/>
    <s v="Performance Management"/>
    <s v="Performance Management"/>
    <s v=""/>
    <s v="Non Technical Support"/>
    <s v="Human Resources Management"/>
    <s v="Human Resources Management"/>
    <s v="73501002"/>
    <s v="Human Resources Operation"/>
    <s v="AM/NS Hazira"/>
    <d v="1994-04-17T00:00:00"/>
    <s v="29.05"/>
    <d v="2020-10-07T00:00:00"/>
    <d v="2052-04-30T00:00:00"/>
    <m/>
    <d v="2052-04-30T00:00:00"/>
    <n v="10450"/>
    <s v="O+"/>
    <s v="MBA-2020 , BTech-2016 , Intermediate-201"/>
    <s v=""/>
    <s v="02.11"/>
    <s v="02.11"/>
    <s v="00045310"/>
    <s v="Performance Management"/>
    <s v="70495103"/>
    <s v="Management Trainee"/>
    <s v="Hazira"/>
    <s v="0031950043"/>
    <s v="HZ-Performance Manag"/>
    <s v="2000HWO"/>
    <s v="20059076"/>
    <s v="Ravish Doshi"/>
    <s v="No"/>
    <s v="kuldeep.trivedi@amns.in"/>
    <s v="9727741053"/>
    <s v="806682"/>
    <s v="Dhruv Vyas"/>
    <s v="Anil Matoo"/>
    <s v="Praveen Kuruvalli"/>
    <s v="Dhruv Vyas"/>
    <n v="0"/>
  </r>
  <r>
    <n v="3760"/>
    <n v="20055424"/>
    <s v="Prasath Radhakrishnan"/>
    <s v="AM/NS India"/>
    <s v="Onroll"/>
    <s v="M-8"/>
    <n v="8"/>
    <m/>
    <s v="JM"/>
    <s v="M"/>
    <s v="Service Centers"/>
    <n v="6"/>
    <s v="2043"/>
    <x v="3"/>
    <s v="31.01"/>
    <s v="Hrishikesh Kamat"/>
    <s v="Hrishikesh Kamat"/>
    <n v="7"/>
    <s v="Procurement"/>
    <s v="Procurement"/>
    <s v="31"/>
    <s v="Incharge  Purchase"/>
    <m/>
    <s v="Procurement Service Centre"/>
    <s v="Procurement Service Centre"/>
    <s v=""/>
    <s v="Non Technical Support"/>
    <s v="Operations"/>
    <s v="Plant Operations"/>
    <s v="72103003"/>
    <s v="Plant Operations"/>
    <s v="Chennai"/>
    <d v="1979-11-09T00:00:00"/>
    <s v="43.10"/>
    <d v="2020-10-01T00:00:00"/>
    <d v="2037-11-30T00:00:00"/>
    <m/>
    <d v="2037-11-30T00:00:00"/>
    <n v="5185"/>
    <s v="O+"/>
    <s v="MBA-2009 , BE-2001 , High School-1997 ,"/>
    <s v="14.00"/>
    <s v="02.11"/>
    <s v="16.11"/>
    <s v="70413444"/>
    <s v="Purchase &amp; Contracts"/>
    <s v="70495186"/>
    <s v="Incharge  Purchase"/>
    <s v="Service Center"/>
    <s v="0040030019"/>
    <s v="SC-Chennai-Op1-HR-Ad"/>
    <s v="2000SPRJ"/>
    <s v="20052588"/>
    <s v="Govindraju Sampathirao"/>
    <s v="No"/>
    <s v="prasath.r@amns.in"/>
    <s v="9952966638"/>
    <s v="25533"/>
    <s v="Dhruv Vyas"/>
    <s v="Anil Matoo"/>
    <s v="Praveen Kuruvalli"/>
    <s v="Dhruv Vyas"/>
    <n v="0"/>
  </r>
  <r>
    <n v="3767"/>
    <n v="20055437"/>
    <s v="Sameer Vengurlekar"/>
    <s v="AM/NS India"/>
    <s v="Onroll"/>
    <s v="M-10"/>
    <n v="10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Sales &amp; Marketing"/>
    <m/>
    <s v="Coated Sales"/>
    <s v="Coated Sales"/>
    <s v=""/>
    <s v="Non Technical Support"/>
    <s v="Sales &amp; Marketing"/>
    <s v="Sales &amp; Marketing"/>
    <s v="73101001"/>
    <s v="Sales &amp; Marketing"/>
    <s v="Pune AMNS"/>
    <d v="1984-03-26T00:00:00"/>
    <s v="39.05"/>
    <d v="2020-10-27T00:00:00"/>
    <d v="2042-03-31T00:00:00"/>
    <m/>
    <d v="2042-03-31T00:00:00"/>
    <n v="6767"/>
    <s v=""/>
    <s v="PG Diploma in Management-2013 , BCom-200"/>
    <s v="14.08"/>
    <s v="02.10"/>
    <s v="17.06"/>
    <s v="00048138"/>
    <s v="Hypermart west"/>
    <s v="70495275"/>
    <s v="Sales Manger - Coated Sales"/>
    <s v="Pune Facility"/>
    <s v="0035950073"/>
    <s v="Pune - S&amp;D Export"/>
    <s v="2000ESPF"/>
    <s v="20056847"/>
    <s v="Vikas Chotia"/>
    <s v="No"/>
    <s v="sameer.vengurlekar@amns.in"/>
    <s v="9158895815"/>
    <s v="812346"/>
    <s v="Dhruv Vyas"/>
    <s v="Anil Matoo"/>
    <s v="Praveen Kuruvalli"/>
    <s v="Dhruv Vyas"/>
    <n v="0"/>
  </r>
  <r>
    <n v="3770"/>
    <n v="20055441"/>
    <s v="Bhushan Bhondwe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Sales &amp; Marketing"/>
    <m/>
    <s v="Export"/>
    <s v="Export"/>
    <s v=""/>
    <s v="Non Technical Support"/>
    <s v="Sales &amp; Marketing"/>
    <s v="Sales &amp; Marketing"/>
    <s v="73101001"/>
    <s v="Sales &amp; Marketing"/>
    <s v="Pune"/>
    <d v="1976-03-23T00:00:00"/>
    <s v="47.05"/>
    <d v="2020-11-17T00:00:00"/>
    <d v="2034-03-31T00:00:00"/>
    <m/>
    <d v="2034-03-31T00:00:00"/>
    <n v="3845"/>
    <s v=""/>
    <s v="Master's Equivalent-2000 , Diploma-1997"/>
    <s v="08.05"/>
    <s v="02.10"/>
    <s v="11.03"/>
    <s v="00043882"/>
    <s v="International Sales"/>
    <s v="70495280"/>
    <s v="KAM - Export Sales"/>
    <s v="Pune Facility"/>
    <s v="0035950073"/>
    <s v="Pune - S&amp;D Export"/>
    <s v="2000ESPF"/>
    <s v="20055663"/>
    <s v="Karamath Syed"/>
    <s v="No"/>
    <s v="bhushan.bhondwe@amns.in"/>
    <s v="9158895824"/>
    <s v="812345"/>
    <s v="Dhruv Vyas"/>
    <s v="Anil Matoo"/>
    <s v="Praveen Kuruvalli"/>
    <s v="Dhruv Vyas"/>
    <n v="0"/>
  </r>
  <r>
    <n v="3774"/>
    <n v="20055446"/>
    <s v="Chitrang Rana"/>
    <s v="AM/NS India"/>
    <s v="Onroll"/>
    <s v="M-5"/>
    <n v="5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Services"/>
    <m/>
    <s v="Capex Procurement"/>
    <s v="Capex Procurement"/>
    <s v=""/>
    <s v="Non Technical Support"/>
    <s v="Operations"/>
    <s v="Operations"/>
    <s v="72103001"/>
    <s v="Operations"/>
    <s v="Hazira"/>
    <d v="1974-02-14T00:00:00"/>
    <s v="49.07"/>
    <d v="2020-12-01T00:00:00"/>
    <d v="2032-02-29T00:00:00"/>
    <m/>
    <d v="2032-02-29T00:00:00"/>
    <n v="3084"/>
    <s v="B+"/>
    <s v="BE-1996 , Diploma-1992 , High School-198"/>
    <s v="23.11"/>
    <s v="02.09"/>
    <s v="26.09"/>
    <s v="00049359"/>
    <s v="Capex Services"/>
    <s v="70495292"/>
    <s v="Lead – Capex Services"/>
    <s v="Hazira"/>
    <s v="0031950059"/>
    <s v="HZ-Hazira Project"/>
    <s v="2000HWO"/>
    <s v="20052261"/>
    <s v="Aruni Mishra"/>
    <s v="No"/>
    <s v="chitrang.rana@amns.in"/>
    <s v="9879101778"/>
    <s v="806642"/>
    <s v="Dhruv Vyas"/>
    <s v="Anil Matoo"/>
    <s v="Praveen Kuruvalli"/>
    <s v="Dhruv Vyas"/>
    <n v="0"/>
  </r>
  <r>
    <n v="3775"/>
    <n v="20055447"/>
    <s v="Nirav Pachchigar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Buyer"/>
    <m/>
    <s v="Capex Procurement"/>
    <s v="Capex Procurement"/>
    <s v=""/>
    <s v="Non Technical Support"/>
    <s v="Operations"/>
    <s v="Operations"/>
    <s v="72103001"/>
    <s v="Operations"/>
    <s v="Hazira"/>
    <d v="1980-02-11T00:00:00"/>
    <s v="43.07"/>
    <d v="2020-11-25T00:00:00"/>
    <d v="2038-02-28T00:00:00"/>
    <m/>
    <d v="2038-02-28T00:00:00"/>
    <n v="5275"/>
    <s v="B+"/>
    <s v="PG Diploma-2013 , BE-2001 , High School-"/>
    <s v="19.02"/>
    <s v="02.09"/>
    <s v="21.11"/>
    <s v="70495711"/>
    <s v="Capex Buyer"/>
    <s v="70495286"/>
    <s v="Lead – Capex Buyer"/>
    <s v="Hazira"/>
    <s v="0031950059"/>
    <s v="HZ-Hazira Project"/>
    <s v="2000HWO"/>
    <s v="20055706"/>
    <s v="HimalKumar Madhusudan Sheth"/>
    <s v="No"/>
    <s v="nirav.pachchigar@amns.in"/>
    <s v="6357192763"/>
    <s v="812341"/>
    <s v="Dhruv Vyas"/>
    <s v="Anil Matoo"/>
    <s v="Praveen Kuruvalli"/>
    <s v="Dhruv Vyas"/>
    <n v="0"/>
  </r>
  <r>
    <n v="3778"/>
    <n v="20055451"/>
    <s v="Dhruvang Patel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– Capex Services"/>
    <m/>
    <s v="Capex Procurement"/>
    <s v="Capex Procurement"/>
    <s v=""/>
    <s v="Non Technical Support"/>
    <s v="Operations"/>
    <s v="Operations"/>
    <s v="72103001"/>
    <s v="Operations"/>
    <s v="Hazira"/>
    <d v="1993-05-09T00:00:00"/>
    <s v="30.04"/>
    <d v="2020-11-23T00:00:00"/>
    <d v="2051-05-31T00:00:00"/>
    <m/>
    <d v="2051-05-31T00:00:00"/>
    <n v="10115"/>
    <s v="B+"/>
    <s v="Diploma-2011 , SSLC-2008"/>
    <s v="09.03"/>
    <s v="02.09"/>
    <s v="12.00"/>
    <s v="00049360"/>
    <s v="Capex Services"/>
    <s v="70495293"/>
    <s v="Officer – Capex Services"/>
    <s v="Hazira"/>
    <s v="0031950059"/>
    <s v="HZ-Hazira Project"/>
    <s v="2000HWO"/>
    <s v="20055727"/>
    <s v="Javed Akhtar"/>
    <s v="No"/>
    <s v="dhruvang.patel@amns.in"/>
    <s v="6357192770"/>
    <s v="812340"/>
    <s v="Dhruv Vyas"/>
    <s v="Anil Matoo"/>
    <s v="Praveen Kuruvalli"/>
    <s v="Dhruv Vyas"/>
    <n v="0"/>
  </r>
  <r>
    <n v="3781"/>
    <n v="20055456"/>
    <s v="Vijay Malepu"/>
    <s v="AM/NS India"/>
    <s v="Onroll"/>
    <s v="M-7"/>
    <n v="7"/>
    <m/>
    <s v="MM"/>
    <s v="M"/>
    <s v="Corporate"/>
    <n v="7"/>
    <s v="2069"/>
    <x v="8"/>
    <s v="25.01"/>
    <s v="Bibek Chattopadhyay"/>
    <s v="Ashutosh Telang"/>
    <n v="6"/>
    <s v="HR &amp; Administration"/>
    <s v="Corporate Communications"/>
    <s v="25"/>
    <s v="Sr. Lead - Corporate Communication"/>
    <m/>
    <s v="Corporate Communications"/>
    <s v=""/>
    <s v=""/>
    <s v="Non Technical Support"/>
    <s v="Corporate Communication"/>
    <s v="Corporate Communication"/>
    <s v="74001001"/>
    <s v="Corporate Communication"/>
    <s v="Mumbai"/>
    <d v="1982-03-01T00:00:00"/>
    <s v="41.06"/>
    <d v="2020-12-02T00:00:00"/>
    <d v="2040-02-29T00:00:00"/>
    <m/>
    <d v="2040-02-29T00:00:00"/>
    <n v="6006"/>
    <s v="AB+"/>
    <s v="Master's Equivalent-2016 , Post Diploma"/>
    <s v="13.03"/>
    <s v="02.09"/>
    <s v="16.00"/>
    <s v="70318583"/>
    <s v="Communications &amp; Media Relations"/>
    <s v="70495298"/>
    <s v="Sr. Lead - Corporate Communication"/>
    <s v="Corporate"/>
    <s v="0090000016"/>
    <s v="Corporate Steel - Co"/>
    <s v="2000CS"/>
    <s v="20055187"/>
    <s v="Bibek Chattopadhyay"/>
    <s v="No"/>
    <s v="vijay.malepu@amns.in"/>
    <s v="9833403636"/>
    <s v="814930"/>
    <s v="Dhruv Vyas"/>
    <s v="Anil Matoo"/>
    <s v="Praveen Kuruvalli"/>
    <s v="Dhruv Vyas"/>
    <n v="0"/>
  </r>
  <r>
    <n v="3790"/>
    <n v="20055465"/>
    <s v="Mayank Zora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98-04-08T00:00:00"/>
    <s v="25.05"/>
    <d v="2020-12-28T00:00:00"/>
    <d v="2056-04-30T00:00:00"/>
    <m/>
    <d v="2056-04-30T00:00:00"/>
    <n v="11911"/>
    <s v="AB+"/>
    <s v="Diploma-2016 , SSLC-2013"/>
    <s v=""/>
    <s v="02.08"/>
    <s v="02.08"/>
    <s v="00053277"/>
    <s v="Receipts &amp; Unloading - Plant B"/>
    <s v="70495333"/>
    <s v="Section Officer - Issue/Shifting"/>
    <s v="Hazira"/>
    <s v="0031950049"/>
    <s v="HZ-Central Stores"/>
    <s v="2000HWO"/>
    <s v="20003180"/>
    <s v="Bhikhubhai Ahir"/>
    <s v="No"/>
    <s v="mayank.zora@amns.in"/>
    <s v="9925241193"/>
    <s v="25892"/>
    <s v="Dhruv Vyas"/>
    <s v="Anil Matoo"/>
    <s v="Praveen Kuruvalli"/>
    <s v="Dhruv Vyas"/>
    <n v="0"/>
  </r>
  <r>
    <n v="3806"/>
    <n v="20055483"/>
    <s v="Praveen Kuruvalli"/>
    <s v="AM/NS India"/>
    <s v="Onroll"/>
    <s v="M-2"/>
    <n v="2"/>
    <m/>
    <s v="TM"/>
    <s v="M"/>
    <s v="Corporate"/>
    <n v="7"/>
    <s v="2015"/>
    <x v="1"/>
    <s v="22.06"/>
    <s v="Ashutosh Telang"/>
    <s v="Ashutosh Telang"/>
    <n v="6"/>
    <s v="HR &amp; Administration"/>
    <s v="Human Resources"/>
    <s v="22"/>
    <s v="Head People Strategy &amp; HR COE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Mumbai"/>
    <d v="1980-06-04T00:00:00"/>
    <s v="43.03"/>
    <d v="2021-01-01T00:00:00"/>
    <d v="2040-06-30T00:00:00"/>
    <m/>
    <d v="2040-06-30T00:00:00"/>
    <n v="6128"/>
    <s v="A+"/>
    <s v="MBA-2007 , BTech-2002 , High School-1997"/>
    <s v="16.05"/>
    <s v="02.08"/>
    <s v="19.01"/>
    <s v="70242278"/>
    <s v="People Strategy &amp; HR Center Excellence"/>
    <s v="70495349"/>
    <s v="Head People Strategy &amp; HR COE"/>
    <s v="Confidential Payroll"/>
    <s v="0031950061"/>
    <s v="HZ-Human Resource"/>
    <s v="2000CS"/>
    <s v="20059024"/>
    <s v="Keiji Kubota"/>
    <s v="No"/>
    <s v="praveen.kuruvalli@amns.in"/>
    <s v="9619917060"/>
    <s v="103288"/>
    <s v="Dhruv Vyas"/>
    <s v="Anil Matoo"/>
    <s v="Praveen Kuruvalli"/>
    <s v="Dhruv Vyas"/>
    <n v="0"/>
  </r>
  <r>
    <n v="3809"/>
    <n v="20055486"/>
    <s v="Nilesh Likhite"/>
    <s v="AM/NS India"/>
    <s v="Onroll"/>
    <s v="M-3"/>
    <n v="3"/>
    <m/>
    <s v="SM"/>
    <s v="M"/>
    <s v="Corporate"/>
    <n v="7"/>
    <s v="2014"/>
    <x v="16"/>
    <s v="03.01"/>
    <s v="Dilip Oommen"/>
    <s v="Dilip Oommen"/>
    <n v="1"/>
    <s v="CEO Office"/>
    <s v="Internal Audit"/>
    <s v="03"/>
    <s v="Chief Internal Auditor"/>
    <m/>
    <s v="Internal Audit"/>
    <s v=""/>
    <s v=""/>
    <s v="Non Technical Support"/>
    <s v="Chairman's Secretariat"/>
    <s v="Chairman's Secretariat"/>
    <s v="74701000"/>
    <s v="Chairman's Secretariat"/>
    <s v="Mumbai"/>
    <d v="1970-04-29T00:00:00"/>
    <s v="53.04"/>
    <d v="2021-01-04T00:00:00"/>
    <d v="2028-04-30T00:00:00"/>
    <m/>
    <d v="2028-04-30T00:00:00"/>
    <n v="1684"/>
    <s v="O+"/>
    <s v="Certificate-2010 , Certificate-2007 , Ce"/>
    <s v="26.01"/>
    <s v="02.08"/>
    <s v="28.09"/>
    <s v="70310796"/>
    <s v="Internal Audit"/>
    <s v="70495350"/>
    <s v="Chief Internal Auditor"/>
    <s v="Confidential Payroll"/>
    <s v="0090000035"/>
    <s v="Internal Audit"/>
    <s v="2000CS"/>
    <s v="20055068"/>
    <s v="Dilip Oommen"/>
    <s v="No"/>
    <s v="nilesh.likhite@amns.in"/>
    <s v="9820049811"/>
    <s v="816692"/>
    <s v="Dhruv Vyas"/>
    <s v="Anil Matoo"/>
    <s v="Praveen Kuruvalli"/>
    <s v="Dhruv Vyas"/>
    <n v="0"/>
  </r>
  <r>
    <n v="3814"/>
    <n v="20055493"/>
    <s v="Ramanathan Rajagopalan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EM Sales"/>
    <m/>
    <s v="South"/>
    <s v="Auto"/>
    <s v=""/>
    <s v="Non Technical Support"/>
    <s v="Sales &amp; Marketing"/>
    <s v="Sales"/>
    <s v="73104004"/>
    <s v="OEM Sales"/>
    <s v="Chennai"/>
    <d v="1996-05-24T00:00:00"/>
    <s v="27.03"/>
    <d v="2021-01-01T00:00:00"/>
    <d v="2054-05-31T00:00:00"/>
    <m/>
    <d v="2054-05-31T00:00:00"/>
    <n v="11211"/>
    <s v="A+"/>
    <s v="BE-2017 , Intermediate-2013 , High Schoo"/>
    <s v="03.04"/>
    <s v="02.08"/>
    <s v="06.00"/>
    <s v="00052470"/>
    <s v="Automotive Sales - Chennai"/>
    <s v="70495378"/>
    <s v="Sales Manager"/>
    <s v="Hazira"/>
    <s v="0031950057"/>
    <s v="HZ-HRC - Marketing"/>
    <s v="2000HWO"/>
    <s v="20053562"/>
    <s v="Shankar Murugan"/>
    <s v="No"/>
    <s v="ramanathan.r@amns.in"/>
    <s v="9884923782"/>
    <s v="25496"/>
    <s v="Dhruv Vyas"/>
    <s v="Anil Matoo"/>
    <s v="Praveen Kuruvalli"/>
    <s v="Dhruv Vyas"/>
    <n v="0"/>
  </r>
  <r>
    <n v="3815"/>
    <n v="20055494"/>
    <s v="Vikas Soni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– Direct Taxation"/>
    <m/>
    <s v="Taxation"/>
    <s v="Direct - Taxation"/>
    <s v=""/>
    <s v="Non Technical Support"/>
    <s v="Finance &amp; Accounts"/>
    <s v="Taxation"/>
    <s v="73904001"/>
    <s v="Direct Taxation"/>
    <s v="Mumbai"/>
    <d v="1982-08-03T00:00:00"/>
    <s v="41.01"/>
    <d v="2021-01-08T00:00:00"/>
    <d v="2040-08-31T00:00:00"/>
    <m/>
    <d v="2040-08-31T00:00:00"/>
    <n v="6190"/>
    <s v="O+"/>
    <s v="BCom-2002 , CA Final-2005 , High School-"/>
    <s v="16.06"/>
    <s v="02.08"/>
    <s v="19.01"/>
    <s v="70495368"/>
    <s v="Direct Taxation"/>
    <s v="70495369"/>
    <s v="Head – Direct Taxation"/>
    <s v="Corporate"/>
    <s v="0090000033"/>
    <s v="Corporate Taxation"/>
    <s v="2000CS"/>
    <s v="20055193"/>
    <s v="Anuprita Kaushik Mehta"/>
    <s v="No"/>
    <s v="vikas.soni@amns.in"/>
    <s v="9892668935"/>
    <s v="818985"/>
    <s v="Dhruv Vyas"/>
    <s v="Anil Matoo"/>
    <s v="Praveen Kuruvalli"/>
    <s v="Dhruv Vyas"/>
    <n v="0"/>
  </r>
  <r>
    <n v="3818"/>
    <n v="20055503"/>
    <s v="Gajendra Parihar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– HRC Store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89-12-10T00:00:00"/>
    <s v="33.09"/>
    <d v="2021-01-15T00:00:00"/>
    <d v="2047-12-31T00:00:00"/>
    <m/>
    <d v="2047-12-31T00:00:00"/>
    <n v="8868"/>
    <s v="O+"/>
    <s v="BTech-2013 , Diploma-2009 , SSLC-2006"/>
    <s v="08.08"/>
    <s v="02.08"/>
    <s v="11.03"/>
    <s v="00053278"/>
    <s v="GRN/Documentation/Issue - Plant A"/>
    <s v="70495401"/>
    <s v="Section Officer – HRC Store"/>
    <s v="Hazira"/>
    <s v="0031950049"/>
    <s v="HZ-Central Stores"/>
    <s v="2000HWO"/>
    <s v="20002587"/>
    <s v="Seema Mehta"/>
    <s v="No"/>
    <s v="gajendra.parihar@amns.in"/>
    <s v="7486019908"/>
    <s v="818988"/>
    <s v="Dhruv Vyas"/>
    <s v="Anil Matoo"/>
    <s v="Praveen Kuruvalli"/>
    <s v="Dhruv Vyas"/>
    <n v="0"/>
  </r>
  <r>
    <n v="3819"/>
    <n v="20055504"/>
    <s v="Vivek Choudhary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 – F&amp;A Hypermart &amp; Service Centre"/>
    <m/>
    <s v="Working Capital"/>
    <s v="Service Centers"/>
    <s v=""/>
    <s v="Non Technical Support"/>
    <s v="Finance &amp; Accounts"/>
    <s v="Finance &amp; Accounts"/>
    <s v="73901001"/>
    <s v="Finance &amp; Accounts"/>
    <s v="AM/NS Hazira"/>
    <d v="1991-09-21T00:00:00"/>
    <s v="32.00"/>
    <d v="2021-01-18T00:00:00"/>
    <d v="2049-09-30T00:00:00"/>
    <m/>
    <d v="2049-09-30T00:00:00"/>
    <n v="9507"/>
    <s v="O+"/>
    <s v="MBA-2019 , CA Final-2014 , High School-2"/>
    <s v="06.05"/>
    <s v="02.08"/>
    <s v="09.00"/>
    <s v="70495565"/>
    <s v="F&amp;A Hypermart &amp; Service Centre"/>
    <s v="70495413"/>
    <s v="Head – F&amp;A Hypermart &amp; Service Centre"/>
    <s v="Hazira"/>
    <s v="0040000000"/>
    <s v="SC - Common"/>
    <s v="2000HWO"/>
    <s v="20055188"/>
    <s v="Rohit Sharma"/>
    <s v="No"/>
    <s v="vivek.choudhary@amns.in"/>
    <s v="7486019909"/>
    <s v="818990"/>
    <s v="Dhruv Vyas"/>
    <s v="Anil Matoo"/>
    <s v="Praveen Kuruvalli"/>
    <s v="Dhruv Vyas"/>
    <n v="0"/>
  </r>
  <r>
    <n v="3827"/>
    <n v="20055515"/>
    <s v="Manoj Raut"/>
    <s v="AM/NS India"/>
    <s v="Onroll"/>
    <s v="M-5"/>
    <n v="5"/>
    <m/>
    <s v="MM"/>
    <s v="M"/>
    <s v="Odisha"/>
    <n v="2"/>
    <s v="2039"/>
    <x v="2"/>
    <s v="43.01"/>
    <s v="Sangeeta Munjal"/>
    <s v="Manu Kapoor"/>
    <n v="10"/>
    <s v="Corporate Affairs"/>
    <s v="Corporate Affairs"/>
    <s v="43"/>
    <s v="Sr. Lead - Corporate Affairs"/>
    <m/>
    <s v="Corporate Affairs"/>
    <s v="Corporate Affairs"/>
    <s v="Corporate Affairs"/>
    <s v="Non Technical Support"/>
    <s v="Corporate Relations"/>
    <s v="Corporate Affairs"/>
    <s v="74501001"/>
    <s v="Corporate Affairs"/>
    <s v="Bhubaneswar"/>
    <d v="1974-07-13T00:00:00"/>
    <s v="49.02"/>
    <d v="2021-01-30T00:00:00"/>
    <d v="2032-07-31T00:00:00"/>
    <m/>
    <d v="2032-07-31T00:00:00"/>
    <n v="3237"/>
    <s v="O-"/>
    <s v="BE-2005 , Diploma-1997 , High School-198"/>
    <s v=""/>
    <s v="02.07"/>
    <s v="02.07"/>
    <s v="70495564"/>
    <s v="Corporate Affairs - Odisha"/>
    <s v="70495454"/>
    <s v="Sr. Lead Corporate Affairs"/>
    <s v="Odisha"/>
    <s v="0022030019"/>
    <s v="PDP-HR &amp; Admn"/>
    <s v="2000STORIS"/>
    <s v="20056422"/>
    <s v="Suparna Nanda"/>
    <s v="No"/>
    <s v="manoj.raut@amns.in"/>
    <s v="7682814750"/>
    <s v="819629"/>
    <s v="Sunila Das"/>
    <s v="Anil Matoo"/>
    <s v="Praveen Kuruvalli"/>
    <s v="Sunila Das"/>
    <n v="0"/>
  </r>
  <r>
    <n v="3829"/>
    <n v="20055517"/>
    <s v="Diptakshya Banerjee"/>
    <s v="AM/NS India"/>
    <s v="Onroll"/>
    <s v="M-7"/>
    <n v="7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Lead - Procurement &amp; Stores"/>
    <m/>
    <s v="Procurement"/>
    <s v="Procurement"/>
    <s v=""/>
    <s v="Non Technical Support"/>
    <s v="Commercial"/>
    <s v="Purchase"/>
    <s v="73804001"/>
    <s v="Purchase"/>
    <s v="Paradeep"/>
    <d v="1984-10-17T00:00:00"/>
    <s v="38.11"/>
    <d v="2021-01-30T00:00:00"/>
    <d v="2042-10-31T00:00:00"/>
    <m/>
    <d v="2042-10-31T00:00:00"/>
    <n v="6981"/>
    <s v="A+"/>
    <s v="MBA-2010 , BCom-2007 , Intermediate-2004"/>
    <s v=""/>
    <s v="02.07"/>
    <s v="02.07"/>
    <s v="70407583"/>
    <s v="Procurement - Odisha Asset"/>
    <s v="70495456"/>
    <s v="Lead - Procurement &amp; Stores"/>
    <s v="Odisha"/>
    <s v="0022030019"/>
    <s v="PDP-HR &amp; Admn"/>
    <s v="2000STORIS"/>
    <s v="20055692"/>
    <s v="Rajiv Ranjan"/>
    <s v="No"/>
    <s v="diptakshya.banerjee@amns.in"/>
    <s v="8718809224"/>
    <s v="819631"/>
    <s v="Sunila Das"/>
    <s v="Anil Matoo"/>
    <s v="Praveen Kuruvalli"/>
    <s v="Sunila Das"/>
    <n v="0"/>
  </r>
  <r>
    <n v="3836"/>
    <n v="20055527"/>
    <s v="Agnikant Mishra"/>
    <s v="AM/NS India"/>
    <s v="Onroll"/>
    <s v="M-7"/>
    <n v="7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Finance &amp; Accounts"/>
    <m/>
    <s v="Odisha Operations"/>
    <s v=""/>
    <s v=""/>
    <s v="Non Technical Support"/>
    <s v="Finance &amp; Accounts"/>
    <s v="Finance &amp; Accounts"/>
    <s v="73901001"/>
    <s v="Finance &amp; Accounts"/>
    <s v="Dabuna"/>
    <d v="1967-12-18T00:00:00"/>
    <s v="55.09"/>
    <d v="2021-01-30T00:00:00"/>
    <d v="2025-12-31T00:00:00"/>
    <m/>
    <d v="2025-12-31T00:00:00"/>
    <n v="833"/>
    <s v="B+"/>
    <s v="ICWA Final-1998 , High School-1984"/>
    <s v=""/>
    <s v="02.07"/>
    <s v="02.07"/>
    <s v="72150243"/>
    <s v="Accounts Payable"/>
    <s v="70495466"/>
    <s v="Lead Finance &amp; Accounts"/>
    <s v="Odisha"/>
    <s v="0022030019"/>
    <s v="PDP-HR &amp; Admn"/>
    <s v="2000STORIS"/>
    <s v="20001076"/>
    <s v="Bhavesh Modi"/>
    <s v="No"/>
    <s v="agnikant.mishra@amns.in"/>
    <s v="7077718332"/>
    <s v="819641"/>
    <s v="Sunila Das"/>
    <s v="Anil Matoo"/>
    <s v="Praveen Kuruvalli"/>
    <s v="Sunila Das"/>
    <n v="0"/>
  </r>
  <r>
    <n v="3863"/>
    <n v="20055561"/>
    <s v="Rahul Sahu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 Refractory"/>
    <m/>
    <s v="Procurement MRO Hazira"/>
    <s v="Procurement"/>
    <s v=""/>
    <s v="Non Technical Support"/>
    <s v="Commercial"/>
    <s v="Procurement"/>
    <s v="73803001"/>
    <s v="Procurement"/>
    <s v="AM/NS Hazira"/>
    <d v="1985-04-07T00:00:00"/>
    <s v="38.05"/>
    <d v="2021-01-29T00:00:00"/>
    <d v="2043-04-30T00:00:00"/>
    <m/>
    <d v="2043-04-30T00:00:00"/>
    <n v="7162"/>
    <s v="A+"/>
    <s v="PG Diploma-2019 , PG Diploma-2011 , BE-2"/>
    <s v="13.00"/>
    <s v="02.07"/>
    <s v="15.08"/>
    <s v="00044543"/>
    <s v="Procurement -Refractory"/>
    <s v="70495552"/>
    <s v="Lead - Pro Refractory"/>
    <s v="Hazira"/>
    <s v="0031950048"/>
    <s v="HZ-Procurment Depart"/>
    <s v="2000HWO"/>
    <s v="20008647"/>
    <s v="Alpesh Hirpara"/>
    <s v="No"/>
    <s v="rahul.sahu@amns.in"/>
    <s v="7486019925"/>
    <s v="819619"/>
    <s v="Dhruv Vyas"/>
    <s v="Anil Matoo"/>
    <s v="Praveen Kuruvalli"/>
    <s v="Dhruv Vyas"/>
    <n v="0"/>
  </r>
  <r>
    <n v="3881"/>
    <n v="20055590"/>
    <s v="Mehul Thakkar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Performance Management"/>
    <m/>
    <s v="Capex Finance"/>
    <s v="Capex Finance"/>
    <s v=""/>
    <s v="Non Technical Support"/>
    <s v="Finance &amp; Accounts"/>
    <s v="Costing"/>
    <s v="73906001"/>
    <s v="Costing"/>
    <s v="AM/NS Hazira"/>
    <d v="1993-08-19T00:00:00"/>
    <s v="30.01"/>
    <d v="2021-03-16T00:00:00"/>
    <d v="2051-08-31T00:00:00"/>
    <m/>
    <d v="2051-08-31T00:00:00"/>
    <n v="10207"/>
    <s v="B+"/>
    <s v="CA Final-2015 , BCom-2013 , Intermediate"/>
    <s v="05.10"/>
    <s v="02.06"/>
    <s v="08.04"/>
    <s v="00045912"/>
    <s v="Capex - Finance"/>
    <s v="70495618"/>
    <s v="Lead – Performance Management"/>
    <s v="Hazira"/>
    <s v="0090000038"/>
    <s v="CAPEX FINANCE"/>
    <s v="2000HWO"/>
    <s v="20055143"/>
    <s v="Naoki Shimazaki"/>
    <s v="No"/>
    <s v="mehul.thakkar@amns.in"/>
    <s v="7486036179"/>
    <s v="826411"/>
    <s v="Dhruv Vyas"/>
    <s v="Anil Matoo"/>
    <s v="Praveen Kuruvalli"/>
    <s v="Dhruv Vyas"/>
    <n v="0"/>
  </r>
  <r>
    <n v="3882"/>
    <n v="20055591"/>
    <s v="Amol Gaurkar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HSM &amp; CSP MIS"/>
    <m/>
    <s v="Procurement MRO Hazira"/>
    <s v="Procurement"/>
    <s v=""/>
    <s v="Non Technical Support"/>
    <s v="Commercial"/>
    <s v="Procurement"/>
    <s v="73803001"/>
    <s v="Procurement"/>
    <s v="AM/NS Hazira"/>
    <d v="1985-05-27T00:00:00"/>
    <s v="38.03"/>
    <d v="2021-03-22T00:00:00"/>
    <d v="2043-05-31T00:00:00"/>
    <m/>
    <d v="2043-05-31T00:00:00"/>
    <n v="7193"/>
    <s v="B+"/>
    <s v="Certificate-2013 , Post Diploma Course-2"/>
    <s v="12.11"/>
    <s v="02.06"/>
    <s v="15.04"/>
    <s v="70072410"/>
    <s v="Rolling &amp; Finishing including CRM, Plate"/>
    <s v="70495621"/>
    <s v="Lead – Proc HSM &amp; CSP MIS"/>
    <s v="Hazira"/>
    <s v="0031950048"/>
    <s v="HZ-Procurment Depart"/>
    <s v="2000HWO"/>
    <s v="20002323"/>
    <s v="Balaji Somvanshi"/>
    <s v="No"/>
    <s v="amol.gaurkar@amns.in"/>
    <s v="7486036183"/>
    <s v="827588"/>
    <s v="Dhruv Vyas"/>
    <s v="Anil Matoo"/>
    <s v="Praveen Kuruvalli"/>
    <s v="Dhruv Vyas"/>
    <n v="0"/>
  </r>
  <r>
    <n v="3883"/>
    <n v="20055592"/>
    <s v="Nisha Jotwani"/>
    <s v="AM/NS India"/>
    <s v="Onroll"/>
    <s v="M-6"/>
    <n v="6"/>
    <m/>
    <s v="MM"/>
    <s v="F"/>
    <s v="Hazira"/>
    <n v="1"/>
    <s v="2270"/>
    <x v="25"/>
    <s v="38.01"/>
    <s v="Hrishikesh Kamat"/>
    <s v="Hrishikesh Kamat"/>
    <n v="7"/>
    <s v="Procurement"/>
    <s v="Logistics"/>
    <s v="38"/>
    <s v="Sr. Lead – Container Business"/>
    <m/>
    <s v="Logistics"/>
    <s v="Logistics"/>
    <s v=""/>
    <s v="Non Technical Support"/>
    <s v="Commercial"/>
    <s v="Procurement"/>
    <s v="73803001"/>
    <s v="Procurement"/>
    <s v="AM/NS Hazira"/>
    <d v="1971-09-08T00:00:00"/>
    <s v="52.00"/>
    <d v="2021-03-21T00:00:00"/>
    <d v="2029-09-30T00:00:00"/>
    <m/>
    <d v="2029-09-30T00:00:00"/>
    <n v="2202"/>
    <s v="B+"/>
    <s v="PG Diploma-1999 , BCom-1992 , Intermedia"/>
    <s v="10.06"/>
    <s v="02.06"/>
    <s v="13.00"/>
    <s v="70495712"/>
    <s v="Logistics"/>
    <s v="70495622"/>
    <s v="Sr. Lead – Container Business"/>
    <s v="Hazira"/>
    <s v="0031950053"/>
    <s v="HZ-Logistics"/>
    <s v="2000HWO"/>
    <s v="20055688"/>
    <s v="Vibhavana Jaiswal"/>
    <s v="No"/>
    <s v="nisha.jotwani@amns.in"/>
    <s v="9879103138"/>
    <s v="827587"/>
    <s v="Dhruv Vyas"/>
    <s v="Anil Matoo"/>
    <s v="Praveen Kuruvalli"/>
    <s v="Dhruv Vyas"/>
    <n v="0"/>
  </r>
  <r>
    <n v="3889"/>
    <n v="20055601"/>
    <s v="Dipankar Pati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r. Lead  - Proc Ferro Alloys"/>
    <m/>
    <s v="Procurement MRO Hazira"/>
    <s v="Procurement"/>
    <s v=""/>
    <s v="Non Technical Support"/>
    <s v="Operations"/>
    <s v="Plant Maintenance"/>
    <s v="72103008"/>
    <s v="Mechanical Maintenance"/>
    <s v="AM/NS Hazira"/>
    <d v="1984-05-02T00:00:00"/>
    <s v="39.04"/>
    <d v="2021-03-30T00:00:00"/>
    <d v="2042-05-31T00:00:00"/>
    <m/>
    <d v="2042-05-31T00:00:00"/>
    <n v="6828"/>
    <s v="O+"/>
    <s v="BE-2006 , Intermediate-2001 , SSLC-1999"/>
    <s v="14.08"/>
    <s v="02.05"/>
    <s v="17.02"/>
    <s v="00044542"/>
    <s v="Procurement -Ferroalloys"/>
    <s v="70495663"/>
    <s v="Sr. Lead  - Proc Ferro Alloys"/>
    <s v="Hazira"/>
    <s v="0031950048"/>
    <s v="HZ-Procurment Depart"/>
    <s v="2000HWO"/>
    <s v="20001370"/>
    <s v="Tejas Desai"/>
    <s v="No"/>
    <s v="dipankar.pati@amns.in"/>
    <s v="9938250251"/>
    <s v="828737"/>
    <s v="Dhruv Vyas"/>
    <s v="Anil Matoo"/>
    <s v="Praveen Kuruvalli"/>
    <s v="Dhruv Vyas"/>
    <n v="0"/>
  </r>
  <r>
    <n v="3892"/>
    <n v="20055609"/>
    <s v="Santosh Shankar Tandale"/>
    <s v="AM/NS India"/>
    <s v="Onroll"/>
    <s v="M-7"/>
    <n v="7"/>
    <m/>
    <s v="MM"/>
    <s v="M"/>
    <s v="Hazira"/>
    <n v="1"/>
    <s v="2715"/>
    <x v="13"/>
    <s v="37.01"/>
    <s v="Aruni Mishra"/>
    <s v="Hrishikesh Kamat"/>
    <n v="7"/>
    <s v="Procurement"/>
    <s v="Secondary Sales"/>
    <s v="37"/>
    <s v="Lead - by Product Sales"/>
    <m/>
    <s v="Secondary Sales, Non Steel"/>
    <s v="Secondary Sales, Non Steel"/>
    <s v=""/>
    <s v="Non Technical Support"/>
    <s v="Operations"/>
    <s v="Operations"/>
    <s v="72103001"/>
    <s v="Operations"/>
    <s v="Hazira"/>
    <d v="1986-12-25T00:00:00"/>
    <s v="36.08"/>
    <d v="2021-04-14T00:00:00"/>
    <d v="2044-12-31T00:00:00"/>
    <m/>
    <d v="2044-12-31T00:00:00"/>
    <n v="7773"/>
    <s v="O+"/>
    <s v="MBA-2015 , BCom-2007 , Intermediate-2004"/>
    <s v="14.00"/>
    <s v="02.05"/>
    <s v="16.05"/>
    <s v="00049357"/>
    <s v="Secondary Sales"/>
    <s v="70495667"/>
    <s v="Lead - by Product Sales"/>
    <s v="Hazira"/>
    <s v="0080000006"/>
    <s v="Secondary Sales - In"/>
    <s v="2000HWO"/>
    <s v="20055763"/>
    <s v="Debashis Mohapatra"/>
    <s v="No"/>
    <s v="santosh.tandale@amns.in"/>
    <s v="9881009973"/>
    <s v="831583"/>
    <s v="Dhruv Vyas"/>
    <s v="Anil Matoo"/>
    <s v="Praveen Kuruvalli"/>
    <s v="Dhruv Vyas"/>
    <n v="0"/>
  </r>
  <r>
    <n v="3894"/>
    <n v="20055611"/>
    <s v="Sunila Kumar Das"/>
    <s v="AM/NS India"/>
    <s v="Onroll"/>
    <s v="M-6"/>
    <n v="6"/>
    <m/>
    <s v="MM"/>
    <s v="M"/>
    <s v="Odisha"/>
    <n v="2"/>
    <s v="2015"/>
    <x v="1"/>
    <s v="22.06"/>
    <s v="Anil Matoo"/>
    <s v="Ashutosh Telang"/>
    <n v="6"/>
    <s v="HR &amp; Administration"/>
    <s v="Human Resources"/>
    <s v="22"/>
    <s v="Head Human Resources"/>
    <m/>
    <s v="Human Resources"/>
    <s v=""/>
    <s v=""/>
    <s v="Non Technical Support"/>
    <s v="Human Resources Management"/>
    <s v="Human Resources Management"/>
    <s v="73501001"/>
    <s v="Human Resources"/>
    <s v="Paradeep"/>
    <d v="1978-06-22T00:00:00"/>
    <s v="45.03"/>
    <d v="2021-04-15T00:00:00"/>
    <d v="2036-06-30T00:00:00"/>
    <m/>
    <d v="2036-06-30T00:00:00"/>
    <n v="4667"/>
    <s v="O+"/>
    <s v="MA-2004 , BA-2002 , Intermediate-1995 ,"/>
    <s v="06.03"/>
    <s v="02.05"/>
    <s v="08.08"/>
    <s v="70495430"/>
    <s v="Odisha HR Operations"/>
    <s v="70495669"/>
    <s v="Head Human Resources"/>
    <s v="Odisha"/>
    <s v="0022030019"/>
    <s v="PDP-HR &amp; Admn"/>
    <s v="2000STORIS"/>
    <s v="20000083"/>
    <s v="Anil Matoo"/>
    <s v="No"/>
    <s v="sunila.das@amns.in"/>
    <s v="9040066834"/>
    <s v="831585"/>
    <s v="Sunila Das"/>
    <s v="Anil Matoo"/>
    <s v="Praveen Kuruvalli"/>
    <s v="Sunila Das"/>
    <n v="0"/>
  </r>
  <r>
    <n v="3937"/>
    <n v="20055659"/>
    <s v="Quazi Shahzad"/>
    <s v="AM/NS Middle East FZE"/>
    <s v="Onroll"/>
    <s v="M-6"/>
    <n v="6"/>
    <m/>
    <s v="MM"/>
    <s v="M"/>
    <s v="Dubai"/>
    <n v="10"/>
    <s v="2502"/>
    <x v="10"/>
    <s v="14.01"/>
    <s v="Ranjan Dhar"/>
    <s v="Alain Legrix De La Salle"/>
    <n v="3"/>
    <s v="Sales &amp; Marketing"/>
    <s v="Sales &amp; Marketing"/>
    <s v="14"/>
    <s v="Dy. General Manager - Sales &amp; Marketing"/>
    <m/>
    <s v="Sales ME"/>
    <s v="Sales ME"/>
    <s v=""/>
    <s v=""/>
    <s v="Sales &amp; Marketing"/>
    <s v="Sales &amp; Marketing"/>
    <s v="73101001"/>
    <s v="Sales &amp; Marketing"/>
    <s v="Dubai"/>
    <d v="1972-11-10T00:00:00"/>
    <s v="50.10"/>
    <d v="2011-01-18T00:00:00"/>
    <d v="2030-11-30T00:00:00"/>
    <m/>
    <d v="2030-11-30T00:00:00"/>
    <n v="2628"/>
    <s v="AB+"/>
    <s v="MBA-1998 , BE-1996"/>
    <s v="13.01"/>
    <s v="12.08"/>
    <s v="25.09"/>
    <s v="70495379"/>
    <s v="Chief Marketing Officer - AMNS ME FZE"/>
    <s v="70495719"/>
    <s v="Sr. Lead Sales ME"/>
    <s v="AMNS Middle East FZE"/>
    <s v="0093720082"/>
    <s v="SC-Dubai-Marketing"/>
    <s v="DUBA2081"/>
    <s v="20055663"/>
    <s v="Karamath Syed"/>
    <s v="No"/>
    <s v="shahzad.quazi@amns.in"/>
    <s v="971566556275"/>
    <s v="25045"/>
    <s v="Dhruv Vyas"/>
    <s v="Anil Matoo"/>
    <s v="Praveen Kuruvalli"/>
    <n v="0"/>
    <n v="0"/>
  </r>
  <r>
    <n v="3938"/>
    <n v="20055660"/>
    <s v="Mohammed Rasheed"/>
    <s v="AM/NS Middle East FZE"/>
    <s v="Onroll"/>
    <s v="M-9"/>
    <n v="9"/>
    <m/>
    <s v="JM"/>
    <s v="M"/>
    <s v="Dubai"/>
    <n v="10"/>
    <m/>
    <x v="10"/>
    <s v="25.01"/>
    <s v="Bibek Chattopadhyay"/>
    <s v="Ashutosh Telang"/>
    <n v="6"/>
    <s v="HR &amp; Administration"/>
    <s v="Corporate Communications"/>
    <s v="25"/>
    <s v="Sales Planning"/>
    <m/>
    <m/>
    <m/>
    <m/>
    <s v="Non Technical Support"/>
    <s v="Sales &amp; Marketing"/>
    <s v="Sales &amp; Marketing"/>
    <s v="73101001"/>
    <s v="Sales &amp; Marketing"/>
    <s v="Dubai"/>
    <d v="1979-12-26T00:00:00"/>
    <s v="43.08"/>
    <d v="2010-03-06T00:00:00"/>
    <d v="2037-12-31T00:00:00"/>
    <m/>
    <d v="2037-12-31T00:00:00"/>
    <n v="5216"/>
    <s v="O+"/>
    <s v="Bachelor Equivalent-2016"/>
    <s v="03.00"/>
    <s v="13.06"/>
    <s v="16.06"/>
    <s v="70495379"/>
    <s v="Chief Marketing Officer - AMNS ME FZE"/>
    <s v="70495720"/>
    <s v="Lead - Sales Planning ME"/>
    <s v="AMNS Middle East FZE"/>
    <s v="0093720082"/>
    <s v="SC-Dubai-Marketing"/>
    <s v="DUBA2081"/>
    <s v="20055663"/>
    <s v="Karamath Syed"/>
    <s v="No"/>
    <s v="rasheed.mohamed@amns.in"/>
    <s v="971507422862"/>
    <s v="25044"/>
    <s v="Dhruv Vyas"/>
    <s v="Anil Matoo"/>
    <s v="Praveen Kuruvalli"/>
    <s v="Dhruv Vyas"/>
    <n v="0"/>
  </r>
  <r>
    <n v="3939"/>
    <n v="20055661"/>
    <s v="Vijay Upadhyay"/>
    <s v="AM/NS Middle East FZE"/>
    <s v="Onroll"/>
    <s v="M-7"/>
    <n v="7"/>
    <m/>
    <s v="MM"/>
    <s v="M"/>
    <s v="Dubai"/>
    <n v="10"/>
    <s v="2504"/>
    <x v="0"/>
    <s v="20.01"/>
    <s v="Akiyo Omori"/>
    <s v="Amit Harlalka"/>
    <n v="5"/>
    <s v="Finance &amp; Accounts"/>
    <s v="Finance &amp; Accounts"/>
    <s v="20"/>
    <s v="Sr. Lead - Finance &amp; Accounts"/>
    <m/>
    <s v=""/>
    <s v=""/>
    <s v=""/>
    <s v="Non Technical Support"/>
    <s v="Sales &amp; Marketing"/>
    <s v="Sales &amp; Marketing"/>
    <s v="73101001"/>
    <s v="Sales &amp; Marketing"/>
    <s v="Dubai"/>
    <d v="1974-09-20T00:00:00"/>
    <s v="49.00"/>
    <d v="2014-08-11T00:00:00"/>
    <d v="2032-09-30T00:00:00"/>
    <m/>
    <d v="2032-09-30T00:00:00"/>
    <n v="3298"/>
    <s v="B+"/>
    <s v="CA Final-1998 , BCom-1994"/>
    <s v="11.11"/>
    <s v="09.01"/>
    <s v="21.00"/>
    <s v="70495379"/>
    <s v="Chief Marketing Officer - AMNS ME FZE"/>
    <s v="70495721"/>
    <s v="Sr. Lead - Finance &amp; Accounts"/>
    <s v="AMNS Middle East FZE"/>
    <s v="0093720082"/>
    <s v="SC-Dubai-Marketing"/>
    <s v="DUBA2081"/>
    <s v="20055663"/>
    <s v="Karamath Syed"/>
    <s v="No"/>
    <s v="vijay.upadhyay@amns.in"/>
    <s v="+971 506581757"/>
    <s v="25047"/>
    <s v="Dhruv Vyas"/>
    <s v="Anil Matoo"/>
    <s v="Praveen Kuruvalli"/>
    <s v="Dhruv Vyas"/>
    <n v="0"/>
  </r>
  <r>
    <n v="3947"/>
    <n v="20055672"/>
    <s v="Shailja Tripathi"/>
    <s v="AM/NS India"/>
    <s v="Onroll"/>
    <s v="M-5"/>
    <n v="5"/>
    <m/>
    <s v="MM"/>
    <s v="F"/>
    <s v="Corporate"/>
    <n v="7"/>
    <s v="2015"/>
    <x v="1"/>
    <s v="22.06"/>
    <s v="Praveen Kuruvalli"/>
    <s v="Ashutosh Telang"/>
    <n v="6"/>
    <s v="HR &amp; Administration"/>
    <s v="Human Resources"/>
    <s v="22"/>
    <s v="Sr. Lead - Compensation &amp; Benefits"/>
    <m/>
    <s v="Human Resources"/>
    <s v=""/>
    <s v=""/>
    <s v="Non Technical Support"/>
    <s v="Human Resources Management"/>
    <s v="Human Resources Management"/>
    <s v="73501001"/>
    <s v="Human Resources"/>
    <s v="Mumbai"/>
    <d v="1983-12-25T00:00:00"/>
    <s v="39.08"/>
    <d v="2021-05-04T00:00:00"/>
    <d v="2041-12-31T00:00:00"/>
    <m/>
    <d v="2041-12-31T00:00:00"/>
    <n v="6677"/>
    <s v="B+"/>
    <s v="PG Diploma in Management-2007 , BE-2005"/>
    <s v="11.00"/>
    <s v="02.04"/>
    <s v="13.04"/>
    <s v="00044377"/>
    <s v="Compensation &amp; Benefits"/>
    <s v="70495735"/>
    <s v="Sr. Lead - Compensation &amp; Benefits"/>
    <s v="Corporate"/>
    <s v="0031950061"/>
    <s v="HZ-Human Resource"/>
    <s v="2000CS"/>
    <s v="20055483"/>
    <s v="Praveen Kuruvalli"/>
    <s v="No"/>
    <s v="shailja.tripathi@amns.in"/>
    <s v="9650975511"/>
    <s v="834807"/>
    <s v="Dhruv Vyas"/>
    <s v="Anil Matoo"/>
    <s v="Praveen Kuruvalli"/>
    <s v="Dhruv Vyas"/>
    <n v="0"/>
  </r>
  <r>
    <n v="3951"/>
    <n v="20055678"/>
    <s v="Ashish Kaushik"/>
    <s v="AM/NS India"/>
    <s v="Onroll"/>
    <s v="M-7"/>
    <n v="7"/>
    <m/>
    <s v="MM"/>
    <s v="M"/>
    <s v="Corporate"/>
    <n v="7"/>
    <s v="2069"/>
    <x v="8"/>
    <s v="25.01"/>
    <s v="Bibek Chattopadhyay"/>
    <s v="Ashutosh Telang"/>
    <n v="6"/>
    <s v="HR &amp; Administration"/>
    <s v="Corporate Communications"/>
    <s v="25"/>
    <s v="Lead - Corporate Communication"/>
    <m/>
    <s v="Corporate Communications"/>
    <s v=""/>
    <s v=""/>
    <s v="Non Technical Support"/>
    <s v="Corporate Communication"/>
    <s v="Corporate Communication"/>
    <s v="74001001"/>
    <s v="Corporate Communication"/>
    <s v="Mumbai"/>
    <d v="1992-03-20T00:00:00"/>
    <s v="31.06"/>
    <d v="2021-05-03T00:00:00"/>
    <d v="2050-03-31T00:00:00"/>
    <m/>
    <d v="2050-03-31T00:00:00"/>
    <n v="9689"/>
    <s v="O+"/>
    <s v="MBA-2016 , BE-2014 , Intermediate-2009 ,"/>
    <s v="04.11"/>
    <s v="02.04"/>
    <s v="07.03"/>
    <s v="70318583"/>
    <s v="Communications &amp; Media Relations"/>
    <s v="70494528"/>
    <s v="Lead - Corporate Communications"/>
    <s v="Corporate"/>
    <s v="0090000016"/>
    <s v="Corporate Steel - Co"/>
    <s v="2000CS"/>
    <s v="20055187"/>
    <s v="Bibek Chattopadhyay"/>
    <s v="No"/>
    <s v="ashish.kaushik@amns.in"/>
    <s v="8800781166"/>
    <s v="832731"/>
    <s v="Dhruv Vyas"/>
    <s v="Anil Matoo"/>
    <s v="Praveen Kuruvalli"/>
    <s v="Dhruv Vyas"/>
    <n v="0"/>
  </r>
  <r>
    <n v="3954"/>
    <n v="20055682"/>
    <s v="Umashankar Rao"/>
    <s v="AM/NS India"/>
    <s v="Onroll"/>
    <s v="M-7"/>
    <n v="7"/>
    <m/>
    <s v="MM"/>
    <s v="M"/>
    <s v="Corporate"/>
    <n v="7"/>
    <s v="2043"/>
    <x v="3"/>
    <s v="31.01"/>
    <s v="Hrishikesh Kamat"/>
    <s v="Hrishikesh Kamat"/>
    <n v="7"/>
    <s v="Procurement"/>
    <s v="Procurement"/>
    <s v="31"/>
    <s v="Program Manager – Procurement"/>
    <m/>
    <s v="Procurement"/>
    <s v="Procurement"/>
    <s v=""/>
    <s v="Non Technical Support"/>
    <s v="Commercial"/>
    <s v="Procurement"/>
    <s v="73803001"/>
    <s v="Procurement"/>
    <s v="Mumbai"/>
    <d v="1986-10-10T00:00:00"/>
    <s v="36.11"/>
    <d v="2021-05-05T00:00:00"/>
    <d v="2044-10-31T00:00:00"/>
    <m/>
    <d v="2044-10-31T00:00:00"/>
    <n v="7712"/>
    <s v="A+"/>
    <s v="BTech-2008 , Intermediate-2003 , SSLC-20"/>
    <s v="16.03"/>
    <s v="02.04"/>
    <s v="18.07"/>
    <s v="00045894"/>
    <s v="Blacks"/>
    <s v="70495741"/>
    <s v="Program Manager – Procurement"/>
    <s v="Corporate"/>
    <s v="0031950059"/>
    <s v="HZ-Hazira Project"/>
    <s v="2000CS"/>
    <s v="20001577"/>
    <s v="Prakash Thakur"/>
    <s v="No"/>
    <s v="umashankar.rao@amns.in"/>
    <s v="7898336863"/>
    <s v="834844"/>
    <s v="Dhruv Vyas"/>
    <s v="Anil Matoo"/>
    <s v="Praveen Kuruvalli"/>
    <s v="Dhruv Vyas"/>
    <n v="0"/>
  </r>
  <r>
    <n v="3955"/>
    <n v="20055683"/>
    <s v="Ch.M.V.S.N. Durga Prasad"/>
    <s v="AM/NS India"/>
    <s v="Onroll"/>
    <s v="M-9"/>
    <n v="9"/>
    <m/>
    <s v="JM"/>
    <s v="M"/>
    <s v="Vizag"/>
    <n v="3"/>
    <s v="2013"/>
    <x v="0"/>
    <s v="20.01"/>
    <s v="Akiyo Omori"/>
    <s v="Amit Harlalka"/>
    <n v="5"/>
    <s v="Finance &amp; Accounts"/>
    <s v="Finance &amp; Accounts"/>
    <s v="20"/>
    <s v="Officer Costing, Budgeting &amp; MIS"/>
    <m/>
    <s v="Finance &amp; Accounts - Vizag"/>
    <s v="Finance &amp; Accounts"/>
    <s v=""/>
    <s v="Non Technical Support"/>
    <s v="Finance &amp; Accounts"/>
    <s v="Costing"/>
    <s v="73906001"/>
    <s v="Costing"/>
    <s v="Vizag"/>
    <d v="1989-07-07T00:00:00"/>
    <s v="34.02"/>
    <d v="2021-05-07T00:00:00"/>
    <d v="2047-07-31T00:00:00"/>
    <m/>
    <d v="2047-07-31T00:00:00"/>
    <n v="8715"/>
    <s v="O+"/>
    <s v="BCom-2013 , CA Final-2013 , CA Inter-201"/>
    <s v="09.01"/>
    <s v="02.04"/>
    <s v="11.05"/>
    <s v="70413458"/>
    <s v="Costing, Budgeting &amp; IDT"/>
    <s v="70495742"/>
    <s v="Officer Costing, Budgeting &amp; MIS"/>
    <s v="Vizag"/>
    <s v="0028030019"/>
    <s v="VIZ-Personnel &amp; Admi"/>
    <s v="2000VIZOPS"/>
    <s v="20006862"/>
    <s v="D Niranjan Patro"/>
    <s v="No"/>
    <s v="mvsn.durgaprasad@amns.in"/>
    <s v="9154869119"/>
    <s v="834827"/>
    <s v="DS Varma"/>
    <s v="Anil Matoo"/>
    <s v="Praveen Kuruvalli"/>
    <s v="Dhruv Vyas"/>
    <n v="0"/>
  </r>
  <r>
    <n v="3958"/>
    <n v="20055687"/>
    <s v="Prateek Singh"/>
    <s v="AM/NS India"/>
    <s v="Onroll"/>
    <s v="M-8"/>
    <n v="8"/>
    <m/>
    <s v="JM"/>
    <s v="M"/>
    <s v="Vizag"/>
    <n v="3"/>
    <s v="2039"/>
    <x v="2"/>
    <s v="43.01"/>
    <s v="Sangeeta Munjal"/>
    <s v="Manu Kapoor"/>
    <n v="10"/>
    <s v="Corporate Affairs"/>
    <s v="Corporate Affairs"/>
    <s v="43"/>
    <s v="Lead – Corporate Affairs"/>
    <m/>
    <s v="Corporate Affairs"/>
    <s v=""/>
    <s v=""/>
    <s v="Non Technical Support"/>
    <s v="Corporate Relations"/>
    <s v="Corporate Affairs"/>
    <s v="74501001"/>
    <s v="Corporate Affairs"/>
    <s v="Raipur"/>
    <d v="1988-02-20T00:00:00"/>
    <s v="35.06"/>
    <d v="2021-05-06T00:00:00"/>
    <d v="2046-02-28T00:00:00"/>
    <m/>
    <d v="2046-02-28T00:00:00"/>
    <n v="8197"/>
    <s v="B+"/>
    <s v="Bachelor Equivalent-2010 , Intermediate-"/>
    <s v="04.08"/>
    <s v="02.04"/>
    <s v="07.00"/>
    <s v="70494938"/>
    <s v="Corporate Affairs"/>
    <s v="70495746"/>
    <s v="Lead – Corporate Affairs"/>
    <s v="Vizag"/>
    <s v="0028030019"/>
    <s v="VIZ-Personnel &amp; Admi"/>
    <s v="2000VIZOPS"/>
    <s v="20057928"/>
    <s v="Manu Kapoor"/>
    <s v="No"/>
    <s v="prateek.singh@amns.in"/>
    <s v="8447748668"/>
    <s v="832732"/>
    <s v="DS Varma"/>
    <s v="Anil Matoo"/>
    <s v="Praveen Kuruvalli"/>
    <s v="Dhruv Vyas"/>
    <n v="0"/>
  </r>
  <r>
    <n v="3959"/>
    <n v="20055688"/>
    <s v="Vibhavana Jaiswal"/>
    <s v="AM/NS India"/>
    <s v="Onroll"/>
    <s v="M-5"/>
    <n v="5"/>
    <m/>
    <s v="MM"/>
    <s v="F"/>
    <s v="Hazira"/>
    <n v="1"/>
    <s v="2270"/>
    <x v="25"/>
    <s v="38.01"/>
    <s v="Hrishikesh Kamat"/>
    <s v="Hrishikesh Kamat"/>
    <n v="7"/>
    <s v="Procurement"/>
    <s v="Logistics"/>
    <s v="38"/>
    <s v="Head - Logistics"/>
    <m/>
    <s v="Logistics"/>
    <s v="Logistics"/>
    <s v=""/>
    <s v="Non Technical Support"/>
    <s v=""/>
    <s v=""/>
    <s v="70494644"/>
    <s v="Chief Procurement Officer"/>
    <s v="AM/NS Hazira"/>
    <d v="1983-05-18T00:00:00"/>
    <s v="40.04"/>
    <d v="2021-05-15T00:00:00"/>
    <d v="2041-05-31T00:00:00"/>
    <m/>
    <d v="2041-05-31T00:00:00"/>
    <n v="6463"/>
    <s v="B+"/>
    <s v="MBA-2010 , MSc-2007 , BSc-2005 , Interme"/>
    <s v="10.05"/>
    <s v="02.04"/>
    <s v="12.09"/>
    <s v="70495712"/>
    <s v="Logistics"/>
    <s v="70495744"/>
    <s v="Head - Logistics"/>
    <s v="Hazira"/>
    <s v="0031950053"/>
    <s v="HZ-Logistics"/>
    <s v="2000HWO"/>
    <s v="20055090"/>
    <s v="Hrishikesh Kamat"/>
    <s v="No"/>
    <s v="vibhavana.jaiswal@amns.in"/>
    <s v="7486036255"/>
    <s v="834817"/>
    <s v="Dhruv Vyas"/>
    <s v="Anil Matoo"/>
    <s v="Praveen Kuruvalli"/>
    <s v="Dhruv Vyas"/>
    <n v="0"/>
  </r>
  <r>
    <n v="3962"/>
    <n v="20055691"/>
    <s v="Dipesh Sudamrao Rathod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c HED"/>
    <m/>
    <s v="Procurement MRO Hazira"/>
    <s v="Procurement"/>
    <s v=""/>
    <s v="Non Technical Support"/>
    <s v="Commercial"/>
    <s v="Procurement"/>
    <s v="73803001"/>
    <s v="Procurement"/>
    <s v="AM/NS Hazira"/>
    <d v="1987-04-25T00:00:00"/>
    <s v="36.04"/>
    <d v="2021-05-17T00:00:00"/>
    <d v="2045-04-30T00:00:00"/>
    <m/>
    <d v="2045-04-30T00:00:00"/>
    <n v="7893"/>
    <s v="B-"/>
    <s v="BE-2009 , Diploma-2005 , SSLC-2002"/>
    <s v="12.06"/>
    <s v="02.04"/>
    <s v="14.09"/>
    <s v="70072410"/>
    <s v="Rolling &amp; Finishing including CRM, Plate"/>
    <s v="70495749"/>
    <s v="Lead - Proc HED"/>
    <s v="Hazira"/>
    <s v="0031950048"/>
    <s v="HZ-Procurment Depart"/>
    <s v="2000HWO"/>
    <s v="20002323"/>
    <s v="Balaji Somvanshi"/>
    <s v="No"/>
    <s v="dipesh.rathod@amns.in"/>
    <s v="7486036256"/>
    <s v="834805"/>
    <s v="Dhruv Vyas"/>
    <s v="Anil Matoo"/>
    <s v="Praveen Kuruvalli"/>
    <s v="Dhruv Vyas"/>
    <n v="0"/>
  </r>
  <r>
    <n v="3963"/>
    <n v="20055692"/>
    <s v="Rajiv Ranjan"/>
    <s v="AM/NS India"/>
    <s v="Onroll"/>
    <s v="M-5"/>
    <n v="5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Head – Procurement Odisha"/>
    <m/>
    <s v="Procurement"/>
    <s v="Procurement"/>
    <s v=""/>
    <s v="Non Technical Support"/>
    <s v=""/>
    <s v=""/>
    <s v="70494644"/>
    <s v="Chief Procurement Officer"/>
    <s v="Paradeep"/>
    <d v="1971-10-05T00:00:00"/>
    <s v="51.11"/>
    <d v="2021-05-17T00:00:00"/>
    <d v="2029-10-31T00:00:00"/>
    <m/>
    <d v="2029-10-31T00:00:00"/>
    <n v="2233"/>
    <s v="B+"/>
    <s v="PG Diploma-1996 , BSc-1990 , Intermediat"/>
    <s v="29.00"/>
    <s v="02.04"/>
    <s v="31.03"/>
    <s v="70407583"/>
    <s v="Procurement - Odisha Asset"/>
    <s v="70495750"/>
    <s v="Head – Procurement Odisha"/>
    <s v="Odisha"/>
    <s v="0022030019"/>
    <s v="PDP-HR &amp; Admn"/>
    <s v="2000STORIS"/>
    <s v="20055090"/>
    <s v="Hrishikesh Kamat"/>
    <s v="No"/>
    <s v="rajiv.ranjan2@amns.in"/>
    <s v="7381362860"/>
    <s v="834845"/>
    <s v="Sunila Das"/>
    <s v="Anil Matoo"/>
    <s v="Praveen Kuruvalli"/>
    <s v="Sunila Das"/>
    <n v="0"/>
  </r>
  <r>
    <n v="3966"/>
    <n v="20055696"/>
    <s v="Rupesh Shivaji Pol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Coated Products"/>
    <m/>
    <s v="Technical Marketing &amp; Application Engineering"/>
    <s v="Technical Marketing &amp; Application Engineering"/>
    <s v=""/>
    <s v="Non Technical Support"/>
    <s v="Sales &amp; Marketing"/>
    <s v="Sales"/>
    <s v="73104004"/>
    <s v="OEM Sales"/>
    <s v="Pune"/>
    <d v="1980-05-29T00:00:00"/>
    <s v="43.03"/>
    <d v="2021-05-24T00:00:00"/>
    <d v="2038-05-31T00:00:00"/>
    <m/>
    <d v="2038-05-31T00:00:00"/>
    <n v="5367"/>
    <s v="AB+"/>
    <s v="MTech-2009 , BE-2007 , Intermediate-2000"/>
    <s v="11.07"/>
    <s v="02.03"/>
    <s v="13.10"/>
    <s v="00052471"/>
    <s v="Coated &amp; OC"/>
    <s v="70495788"/>
    <s v="Sr. Lead - Coated Products"/>
    <s v="Hazira"/>
    <s v="0031950057"/>
    <s v="HZ-HRC - Marketing"/>
    <s v="2000HWO"/>
    <s v="20056431"/>
    <s v="Prajakta Wagholikar"/>
    <s v="No"/>
    <s v="rupesh.pol@amns.in"/>
    <s v="9175471411"/>
    <s v="834815"/>
    <s v="Dhruv Vyas"/>
    <s v="Anil Matoo"/>
    <s v="Praveen Kuruvalli"/>
    <s v="Dhruv Vyas"/>
    <n v="0"/>
  </r>
  <r>
    <n v="3968"/>
    <n v="20055698"/>
    <s v="Turiska Vinod Chhajer"/>
    <s v="AM/NS India"/>
    <s v="Onroll"/>
    <s v="M-9"/>
    <n v="9"/>
    <m/>
    <s v="JM"/>
    <s v="F"/>
    <s v="Corporate"/>
    <n v="7"/>
    <s v="2014"/>
    <x v="16"/>
    <s v="03.01"/>
    <s v="Nilesh Likhite"/>
    <s v="Dilip Oommen"/>
    <n v="1"/>
    <s v="CEO Office"/>
    <s v="Internal Audit"/>
    <s v="03"/>
    <s v="Lead Internal Audit"/>
    <m/>
    <s v="Internal Audit"/>
    <s v=""/>
    <s v=""/>
    <s v="Non Technical Support"/>
    <s v="Assurance &amp; Cost Control"/>
    <s v="Assurance &amp; Cost Control"/>
    <s v="73401001"/>
    <s v="Assurance &amp; Cost Control"/>
    <s v="AM/NS Hazira"/>
    <d v="1994-12-24T00:00:00"/>
    <s v="28.08"/>
    <d v="2021-06-01T00:00:00"/>
    <d v="2052-12-31T00:00:00"/>
    <m/>
    <d v="2052-12-31T00:00:00"/>
    <n v="10695"/>
    <s v="AB+"/>
    <s v="CA Final-2016 , BCom-2016 , Intermediate"/>
    <s v="03.09"/>
    <s v="02.03"/>
    <s v="06.00"/>
    <s v="00044330"/>
    <s v="Internal Audit - Hazira"/>
    <s v="250621"/>
    <s v="Lead Internal Audit"/>
    <s v="Hazira"/>
    <s v="0090000035"/>
    <s v="Internal Audit"/>
    <s v="2000HWO"/>
    <s v="20028777"/>
    <s v="Narendra Dugar"/>
    <s v="No"/>
    <s v="turiska.chhajer@amns.in"/>
    <s v="9586625308"/>
    <s v="838204"/>
    <s v="Dhruv Vyas"/>
    <s v="Anil Matoo"/>
    <s v="Praveen Kuruvalli"/>
    <s v="Dhruv Vyas"/>
    <n v="0"/>
  </r>
  <r>
    <n v="3973"/>
    <n v="20055706"/>
    <s v="Himalkumar Madhusudan Sheth"/>
    <s v="AM/NS India"/>
    <s v="Onroll"/>
    <s v="M-5"/>
    <n v="5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– Capex Procurement"/>
    <m/>
    <s v="Capex Procurement"/>
    <s v="Capex Procurement"/>
    <s v=""/>
    <s v="Non Technical Support"/>
    <s v="Operations"/>
    <s v="Operations"/>
    <s v="72103001"/>
    <s v="Operations"/>
    <s v="Hazira"/>
    <d v="1977-05-09T00:00:00"/>
    <s v="46.04"/>
    <d v="2021-06-01T00:00:00"/>
    <d v="2035-05-31T00:00:00"/>
    <m/>
    <d v="2035-05-31T00:00:00"/>
    <n v="4271"/>
    <s v="A+"/>
    <s v="BE-2005 , Diploma-1995 , SSLC-1992"/>
    <s v="24.10"/>
    <s v="02.03"/>
    <s v="27.01"/>
    <s v="00049337"/>
    <s v="Capex Procurement"/>
    <s v="251052"/>
    <s v="Sr. Lead – Capex Procurement"/>
    <s v="Hazira"/>
    <s v="0031950059"/>
    <s v="HZ-Hazira Project"/>
    <s v="2000HWO"/>
    <s v="20052261"/>
    <s v="Aruni Mishra"/>
    <s v="No"/>
    <s v="himal.sheth@amns.in"/>
    <s v="9879101404"/>
    <s v="840693"/>
    <s v="Dhruv Vyas"/>
    <s v="Anil Matoo"/>
    <s v="Praveen Kuruvalli"/>
    <s v="Dhruv Vyas"/>
    <n v="0"/>
  </r>
  <r>
    <n v="3974"/>
    <n v="20055709"/>
    <s v="S Mohan"/>
    <s v="AM/NS India"/>
    <s v="Onroll"/>
    <s v="M-9"/>
    <n v="9"/>
    <m/>
    <s v="J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Lead - Finance &amp; Accounts"/>
    <m/>
    <s v="Working Capital"/>
    <s v="Service Centers"/>
    <s v=""/>
    <s v="Non Technical Support"/>
    <s v="Finance &amp; Accounts"/>
    <s v="Finance &amp; Accounts"/>
    <s v="73901001"/>
    <s v="Finance &amp; Accounts"/>
    <s v="Chennai"/>
    <d v="1988-12-01T00:00:00"/>
    <s v="34.09"/>
    <d v="2021-06-04T00:00:00"/>
    <d v="2046-11-30T00:00:00"/>
    <m/>
    <d v="2046-11-30T00:00:00"/>
    <n v="8472"/>
    <s v="O+"/>
    <s v="MCom-2010 , BCom-2008 , Intermediate-200"/>
    <s v="11.09"/>
    <s v="02.03"/>
    <s v="14.00"/>
    <s v="00043795"/>
    <s v="F&amp;A Hypermart &amp; Service Centre - 1"/>
    <s v="251059"/>
    <s v="Lead - Finance &amp; Accounts"/>
    <s v="Service Center"/>
    <s v="0040030019"/>
    <s v="SC-Chennai-Op1-HR-Ad"/>
    <s v="2000SPRJ"/>
    <s v="20055201"/>
    <s v="Deepak Sahu"/>
    <s v="No"/>
    <s v="mohankumar.s@amns.in"/>
    <s v="9176147832"/>
    <s v="840828"/>
    <s v="Dhruv Vyas"/>
    <s v="Anil Matoo"/>
    <s v="Praveen Kuruvalli"/>
    <s v="Dhruv Vyas"/>
    <n v="0"/>
  </r>
  <r>
    <n v="3977"/>
    <n v="20055712"/>
    <s v="Ravi Goyal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Officer – Capex Procurement"/>
    <m/>
    <s v="Capex Procurement"/>
    <s v="Capex Procurement"/>
    <s v=""/>
    <s v="Non Technical Support"/>
    <s v="Operations"/>
    <s v="Operations"/>
    <s v="72103001"/>
    <s v="Operations"/>
    <s v="Hazira"/>
    <d v="1989-08-09T00:00:00"/>
    <s v="34.01"/>
    <d v="2021-06-21T00:00:00"/>
    <d v="2047-08-31T00:00:00"/>
    <m/>
    <d v="2047-08-31T00:00:00"/>
    <n v="8746"/>
    <s v="O+"/>
    <s v="BTech-2010 , Intermediate-2006 , SSLC-20"/>
    <s v="10.08"/>
    <s v="02.03"/>
    <s v="12.11"/>
    <s v="00049342"/>
    <s v="Capex Procurement"/>
    <s v="251746"/>
    <s v="Officer – Capex Procurement"/>
    <s v="Hazira"/>
    <s v="0031950059"/>
    <s v="HZ-Hazira Project"/>
    <s v="2000HWO"/>
    <s v="20055706"/>
    <s v="HimalKumar Madhusudan Sheth"/>
    <s v="No"/>
    <s v="ravi.goyal@amns.in"/>
    <s v="9040094622"/>
    <s v="841084"/>
    <s v="Dhruv Vyas"/>
    <s v="Anil Matoo"/>
    <s v="Praveen Kuruvalli"/>
    <s v="Dhruv Vyas"/>
    <n v="0"/>
  </r>
  <r>
    <n v="3979"/>
    <n v="20055714"/>
    <s v="Dipakkumar Shah"/>
    <s v="AM/NS India"/>
    <s v="Onroll"/>
    <s v="M-3"/>
    <n v="3"/>
    <m/>
    <s v="SM"/>
    <s v="M"/>
    <s v="Hazira"/>
    <n v="1"/>
    <s v="2039"/>
    <x v="2"/>
    <s v="43.01"/>
    <s v="Sangeeta Munjal"/>
    <s v="Manu Kapoor"/>
    <n v="10"/>
    <s v="Corporate Affairs"/>
    <s v="Corporate Affairs"/>
    <s v="43"/>
    <s v="Senior Advisor - Corporate Affairs"/>
    <m/>
    <s v="Corporate Affairs"/>
    <s v=""/>
    <s v=""/>
    <s v="Non Technical Support"/>
    <s v="Corporate Relations"/>
    <s v="Corporate Affairs"/>
    <s v="74501001"/>
    <s v="Corporate Affairs"/>
    <s v="Ahmedabad"/>
    <d v="1961-11-30T00:00:00"/>
    <s v="61.09"/>
    <d v="2021-06-14T00:00:00"/>
    <d v="2019-11-30T00:00:00"/>
    <d v="2023-12-02T00:00:00"/>
    <d v="2023-12-02T00:00:00"/>
    <n v="73"/>
    <s v="A+"/>
    <s v="MTech-1986 , BE-1982 , Intermediate-1978"/>
    <s v="35.00"/>
    <s v="02.03"/>
    <s v="37.02"/>
    <s v="00047082"/>
    <s v="Corporate Affairs, Gujarat"/>
    <s v="251745"/>
    <s v="Senior Advisor - Corporate Affairs"/>
    <s v="Confidential Payroll"/>
    <s v="0090000021"/>
    <s v="Corporate Affairs"/>
    <s v="2000HWO"/>
    <s v="20057928"/>
    <s v="Manu Kapoor"/>
    <s v="No"/>
    <s v="dipak.shah@amns.in"/>
    <s v="9099002828"/>
    <s v="841143"/>
    <s v="Dhruv Vyas"/>
    <s v="Anil Matoo"/>
    <s v="Praveen Kuruvalli"/>
    <s v="Dhruv Vyas"/>
    <n v="0"/>
  </r>
  <r>
    <n v="3983"/>
    <n v="20055720"/>
    <s v="Sambit Kumar Mohapatra"/>
    <s v="AM/NS India"/>
    <s v="PDA"/>
    <s v="PDA"/>
    <n v="7"/>
    <m/>
    <s v="MM"/>
    <s v="M"/>
    <s v="Mining"/>
    <n v="8"/>
    <s v="2013"/>
    <x v="0"/>
    <s v="20.01"/>
    <s v="Akiyo Omori"/>
    <s v="Amit Harlalka"/>
    <n v="5"/>
    <s v="Finance &amp; Accounts"/>
    <s v="Finance &amp; Accounts"/>
    <s v="20"/>
    <s v="Lead - Finance"/>
    <m/>
    <s v="Finance &amp; Account"/>
    <s v=""/>
    <s v=""/>
    <s v="Non Technical Support"/>
    <s v="Commercial"/>
    <s v="Commercial"/>
    <s v="73801001"/>
    <s v="Commercial"/>
    <s v="Barbil"/>
    <d v="1981-07-01T00:00:00"/>
    <s v="42.02"/>
    <d v="2021-06-25T00:00:00"/>
    <d v="2039-06-30T00:00:00"/>
    <m/>
    <d v="2039-06-30T00:00:00"/>
    <n v="5762"/>
    <s v=""/>
    <s v="CA Final-2008 , CA Inter-2004 , BCom-200"/>
    <s v="10.11"/>
    <s v="02.02"/>
    <s v="13.01"/>
    <s v="00048985"/>
    <s v="Finance &amp; Accounting"/>
    <s v="252530"/>
    <s v="Lead - Finance"/>
    <s v="Non-payroll-relevant"/>
    <s v="0011000018"/>
    <s v="Sagasahi Mine HR"/>
    <s v="2066BARB"/>
    <s v="20055801"/>
    <s v="Sanjive Kumar Singh"/>
    <s v="No"/>
    <s v="sambitkumar.mohapatra@amns.in"/>
    <s v="9439433302"/>
    <s v="842041"/>
    <s v="Pramod Sinha"/>
    <s v="Anil Matoo"/>
    <s v="Praveen Kuruvalli"/>
    <s v="Pramod Sinha"/>
    <n v="0"/>
  </r>
  <r>
    <n v="3988"/>
    <n v="20055727"/>
    <s v="Javed Akhtar"/>
    <s v="AM/NS India"/>
    <s v="Onroll"/>
    <s v="M-6"/>
    <n v="6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Services"/>
    <m/>
    <s v="Capex Procurement"/>
    <s v="Capex Procurement"/>
    <s v=""/>
    <s v="Non Technical Support"/>
    <s v="Operations"/>
    <s v="Operations"/>
    <s v="72103001"/>
    <s v="Operations"/>
    <s v="Hazira"/>
    <d v="1987-04-13T00:00:00"/>
    <s v="36.05"/>
    <d v="2021-07-05T00:00:00"/>
    <d v="2045-04-30T00:00:00"/>
    <m/>
    <d v="2045-04-30T00:00:00"/>
    <n v="7893"/>
    <s v="A+"/>
    <s v="BE-2009 , Intermediate-2005 , SSLC-2003"/>
    <s v="12.01"/>
    <s v="02.02"/>
    <s v="14.03"/>
    <s v="00049360"/>
    <s v="Capex Services"/>
    <s v="252800"/>
    <s v="Lead – Capex Services"/>
    <s v="Hazira"/>
    <s v="0031950059"/>
    <s v="HZ-Hazira Project"/>
    <s v="2000HWO"/>
    <s v="20052261"/>
    <s v="Aruni Mishra"/>
    <s v="No"/>
    <s v="javed.akhtar@amns.in"/>
    <s v="7486036280"/>
    <s v="843624"/>
    <s v="Dhruv Vyas"/>
    <s v="Anil Matoo"/>
    <s v="Praveen Kuruvalli"/>
    <s v="Dhruv Vyas"/>
    <n v="0"/>
  </r>
  <r>
    <n v="3989"/>
    <n v="20055728"/>
    <s v="Mahebub Vahora"/>
    <s v="AM/NS India"/>
    <s v="Onroll"/>
    <s v="M-5"/>
    <n v="5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- Capex Procurement"/>
    <m/>
    <s v="Capex Procurement"/>
    <s v="Capex Procurement"/>
    <s v=""/>
    <s v="Non Technical Support"/>
    <s v="Operations"/>
    <s v="Operations"/>
    <s v="72103001"/>
    <s v="Operations"/>
    <s v="Hazira"/>
    <d v="1979-04-03T00:00:00"/>
    <s v="44.05"/>
    <d v="2021-07-05T00:00:00"/>
    <d v="2037-04-30T00:00:00"/>
    <m/>
    <d v="2037-04-30T00:00:00"/>
    <n v="4971"/>
    <s v="A+"/>
    <s v="ICWA Final-2018 , MBA-2003 , BE-2000 , I"/>
    <s v="12.05"/>
    <s v="02.02"/>
    <s v="14.07"/>
    <s v="00049344"/>
    <s v="Capex Procurement"/>
    <s v="252799"/>
    <s v="Sr. Lead - Capex Procurement"/>
    <s v="Hazira"/>
    <s v="0031950059"/>
    <s v="HZ-Hazira Project"/>
    <s v="2000HWO"/>
    <s v="20052261"/>
    <s v="Aruni Mishra"/>
    <s v="No"/>
    <s v="mahebub.vahora@amns.in"/>
    <s v="7486036318"/>
    <s v="843630"/>
    <s v="Dhruv Vyas"/>
    <s v="Anil Matoo"/>
    <s v="Praveen Kuruvalli"/>
    <s v="Dhruv Vyas"/>
    <n v="0"/>
  </r>
  <r>
    <n v="3998"/>
    <n v="20055739"/>
    <s v="Dayaram Meghwal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– Inbound/Receipts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89-02-12T00:00:00"/>
    <s v="34.07"/>
    <d v="2021-07-12T00:00:00"/>
    <d v="2047-02-28T00:00:00"/>
    <m/>
    <d v="2047-02-28T00:00:00"/>
    <n v="8562"/>
    <s v="O+"/>
    <s v="Diploma-2010 , Intermediate-2007 , SSLC-"/>
    <s v="10.10"/>
    <s v="02.02"/>
    <s v="13.00"/>
    <s v="00053278"/>
    <s v="GRN/Documentation/Issue - Plant A"/>
    <s v="253466"/>
    <s v="Section Officer – Inbound/Receipts"/>
    <s v="Hazira"/>
    <s v="0031950049"/>
    <s v="HZ-Central Stores"/>
    <s v="2000HW0"/>
    <s v="20002587"/>
    <s v="Seema Mehta"/>
    <s v="No"/>
    <s v="dayaram.meghwal@amns.in"/>
    <s v="7486036326"/>
    <s v="844769"/>
    <s v="Dhruv Vyas"/>
    <s v="Anil Matoo"/>
    <s v="Praveen Kuruvalli"/>
    <s v="Dhruv Vyas"/>
    <n v="0"/>
  </r>
  <r>
    <n v="4000"/>
    <n v="20055742"/>
    <s v="Naresh Yadav"/>
    <s v="AM/NS India"/>
    <s v="Onroll"/>
    <s v="M-6"/>
    <n v="6"/>
    <m/>
    <s v="MM"/>
    <s v="M"/>
    <s v="Hazira"/>
    <n v="1"/>
    <s v="2096"/>
    <x v="14"/>
    <s v="36.02"/>
    <s v="Deepak Sindkar"/>
    <s v="Hrishikesh Kamat"/>
    <n v="7"/>
    <s v="Procurement"/>
    <s v="Raw Materials"/>
    <s v="36"/>
    <s v="Sr. Lead - Power Management"/>
    <m/>
    <s v="Power &amp; Gas"/>
    <s v="Power &amp; Gas"/>
    <s v=""/>
    <s v="Non Technical Support"/>
    <s v="Commercial"/>
    <s v="Procurement"/>
    <s v="73803001"/>
    <s v="Procurement"/>
    <s v="AM/NS Hazira"/>
    <d v="1985-08-24T00:00:00"/>
    <s v="38.00"/>
    <d v="2021-08-02T00:00:00"/>
    <d v="2043-08-31T00:00:00"/>
    <m/>
    <d v="2043-08-31T00:00:00"/>
    <n v="7285"/>
    <s v="B+"/>
    <s v="MTech-2015 , PG Diploma-2012 , BE-2007 ,"/>
    <s v="14.01"/>
    <s v="02.01"/>
    <s v="16.02"/>
    <s v="00049516"/>
    <s v="Power &amp; Gas"/>
    <s v="253472"/>
    <s v="Sr. Lead - Power Management"/>
    <s v="Hazira"/>
    <s v="0031950048"/>
    <s v="HZ-Procurment Depart"/>
    <s v="2000HW0"/>
    <s v="20004612"/>
    <s v="Ramesh Chabhadiya"/>
    <s v="No"/>
    <s v="naresh.yadav@amns.in"/>
    <s v="7486036332"/>
    <s v="844773"/>
    <s v="Dhruv Vyas"/>
    <s v="Anil Matoo"/>
    <s v="Praveen Kuruvalli"/>
    <s v="Dhruv Vyas"/>
    <n v="0"/>
  </r>
  <r>
    <n v="4001"/>
    <n v="20055743"/>
    <s v="Suyojit Gaikwad"/>
    <s v="AM/NS India"/>
    <s v="Onroll"/>
    <s v="M-8"/>
    <n v="8"/>
    <m/>
    <s v="JM"/>
    <s v="M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Chairman's Secretariat"/>
    <s v="Chairman's Secretariat"/>
    <s v="74701000"/>
    <s v="Chairman's Secretariat"/>
    <s v="AM/NS Hazira"/>
    <d v="1987-09-27T00:00:00"/>
    <s v="35.11"/>
    <d v="2021-07-12T00:00:00"/>
    <d v="2045-09-30T00:00:00"/>
    <m/>
    <d v="2045-09-30T00:00:00"/>
    <n v="8046"/>
    <s v="B+"/>
    <s v="MBA-2014 , BE-2011 , Intermediate-2005 ,"/>
    <s v="08.00"/>
    <s v="02.02"/>
    <s v="10.01"/>
    <s v="00044330"/>
    <s v="Internal Audit - Hazira"/>
    <s v="253473"/>
    <s v="Lead - Internal Audit"/>
    <s v="Hazira"/>
    <s v="0090000035"/>
    <s v="Internal Audit"/>
    <s v="2000HW0"/>
    <s v="20028777"/>
    <s v="Narendra Dugar"/>
    <s v="No"/>
    <s v="suyojit.gaikwad@amns.in"/>
    <s v="7486036324"/>
    <s v="844776"/>
    <s v="Dhruv Vyas"/>
    <s v="Anil Matoo"/>
    <s v="Praveen Kuruvalli"/>
    <s v="Dhruv Vyas"/>
    <n v="0"/>
  </r>
  <r>
    <n v="4003"/>
    <n v="20055745"/>
    <s v="Ajay Kumar Sharma"/>
    <s v="AM/NS India"/>
    <s v="Onroll"/>
    <s v="M-6"/>
    <n v="6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Internal Auditor Odisha"/>
    <m/>
    <s v="Internal Audit"/>
    <s v=""/>
    <s v=""/>
    <s v="Non Technical Support"/>
    <s v="Chairman's Secretariat"/>
    <s v="Chairman's Secretariat"/>
    <s v="74701000"/>
    <s v="Chairman's Secretariat"/>
    <s v="Paradeep"/>
    <d v="1974-12-13T00:00:00"/>
    <s v="48.09"/>
    <d v="2021-07-01T00:00:00"/>
    <d v="2032-12-31T00:00:00"/>
    <m/>
    <d v="2032-12-31T00:00:00"/>
    <n v="3390"/>
    <s v="A+"/>
    <s v="CA Final-2008 , LLB-1999 , BCom-1995 , I"/>
    <s v="09.06"/>
    <s v="02.02"/>
    <s v="11.08"/>
    <s v="00044333"/>
    <s v="Internal Audit -Odisha"/>
    <s v="253558"/>
    <s v="Sr. Lead Internal Auditor Odisha"/>
    <s v="Odisha"/>
    <s v="0090000035"/>
    <s v="Internal Audit"/>
    <s v="2000STORIS"/>
    <s v="20055486"/>
    <s v="Nilesh Likhite"/>
    <s v="No"/>
    <s v="ajay.sharma1@amns.in"/>
    <s v="8093061480"/>
    <s v="844910"/>
    <s v="Sunila Das"/>
    <s v="Anil Matoo"/>
    <s v="Praveen Kuruvalli"/>
    <s v="Sunila Das"/>
    <n v="0"/>
  </r>
  <r>
    <n v="4017"/>
    <n v="20055763"/>
    <s v="Debashis Mohapatra"/>
    <s v="AM/NS India"/>
    <s v="Onroll"/>
    <s v="M-6"/>
    <n v="6"/>
    <m/>
    <s v="MM"/>
    <s v="M"/>
    <s v="Hazira"/>
    <n v="1"/>
    <s v="2715"/>
    <x v="13"/>
    <s v="37.01"/>
    <s v="Aruni Mishra"/>
    <s v="Hrishikesh Kamat"/>
    <n v="7"/>
    <s v="Procurement"/>
    <s v="Secondary Sales"/>
    <s v="37"/>
    <s v="Sr. Lead - Secondary Sales"/>
    <m/>
    <s v="Procurement"/>
    <s v=""/>
    <s v=""/>
    <s v="Non Technical Support"/>
    <s v=""/>
    <s v=""/>
    <s v=""/>
    <s v=""/>
    <s v="Hazira"/>
    <d v="1984-06-26T00:00:00"/>
    <s v="39.02"/>
    <d v="2021-07-21T00:00:00"/>
    <d v="2042-06-30T00:00:00"/>
    <m/>
    <d v="2042-06-30T00:00:00"/>
    <n v="6858"/>
    <s v="B+"/>
    <s v="MBA-2008 , BE-2006 , Intermediate-2001 ,"/>
    <s v="13.01"/>
    <s v="02.02"/>
    <s v="15.03"/>
    <s v="00049357"/>
    <s v="Secondary Sales"/>
    <s v="253852"/>
    <s v="Sr. Lead - Secondary Sales"/>
    <s v="Hazira"/>
    <s v="0080000006"/>
    <s v="Secondary Sales - In"/>
    <s v="2000HWO"/>
    <s v="20052261"/>
    <s v="Aruni Mishra"/>
    <s v="No"/>
    <s v="debashis.mohapatra@amns.in"/>
    <s v="9328882489"/>
    <s v="845534"/>
    <s v="Dhruv Vyas"/>
    <s v="Anil Matoo"/>
    <s v="Praveen Kuruvalli"/>
    <s v="Dhruv Vyas"/>
    <n v="0"/>
  </r>
  <r>
    <n v="4042"/>
    <n v="20055799"/>
    <s v="Swasti Panchal"/>
    <s v="AM/NS India"/>
    <s v="Onroll"/>
    <s v="M-10"/>
    <n v="10"/>
    <m/>
    <s v="JM"/>
    <s v="F"/>
    <s v="Hazira"/>
    <n v="1"/>
    <s v="2722"/>
    <x v="20"/>
    <s v="28.02"/>
    <s v="Anil Matoo"/>
    <s v="Ashutosh Telang"/>
    <n v="6"/>
    <s v="HR &amp; Administration"/>
    <s v="Academy for Skill Development"/>
    <n v="28"/>
    <s v="Graduate Engineer Trainee 2021"/>
    <m/>
    <s v="Human Resources"/>
    <s v=""/>
    <s v=""/>
    <s v="Non Technical Support"/>
    <s v="Human Resources Management"/>
    <s v="Human Resources Management"/>
    <s v="73501002"/>
    <s v="Human Resources Operation"/>
    <s v="Hazira"/>
    <d v="2000-08-15T00:00:00"/>
    <s v="23.01"/>
    <d v="2021-08-02T00:00:00"/>
    <d v="2058-08-31T00:00:00"/>
    <m/>
    <d v="2058-08-31T00:00:00"/>
    <n v="12764"/>
    <s v="B-"/>
    <s v="BTech-2017 , BTech-2017 , Intermediate-2"/>
    <s v=""/>
    <s v="02.01"/>
    <s v="02.01"/>
    <s v="70495652"/>
    <s v="Academy for Skill Development"/>
    <s v="255035"/>
    <s v="Graduate Engineer Trainee 2021"/>
    <s v="Hazira"/>
    <s v="0031950061"/>
    <s v="HZ-Human Resource"/>
    <s v="2000HWO"/>
    <s v="20054937"/>
    <s v="Hitesh Kumar Yadav"/>
    <s v="No"/>
    <s v="swasti.panchal@amns.in"/>
    <s v="9328894660"/>
    <s v="846830"/>
    <s v="Dhruv Vyas"/>
    <s v="Anil Matoo"/>
    <s v="Praveen Kuruvalli"/>
    <s v="Dhruv Vyas"/>
    <n v="0"/>
  </r>
  <r>
    <n v="4043"/>
    <n v="20055801"/>
    <s v="Sanjive Kumar Singh"/>
    <s v="AM/NS India"/>
    <s v="Onroll"/>
    <s v="M-4"/>
    <n v="4"/>
    <m/>
    <s v="SM"/>
    <s v="M"/>
    <s v="Odisha"/>
    <n v="2"/>
    <s v="2013"/>
    <x v="0"/>
    <s v="20.01"/>
    <s v="Akiyo Omori"/>
    <s v="Amit Harlalka"/>
    <n v="5"/>
    <s v="Finance &amp; Accounts"/>
    <s v="Finance &amp; Accounts"/>
    <s v="20"/>
    <s v="Head - Finance &amp; Accounts Odisha"/>
    <m/>
    <s v="Finance &amp; Accounts - Odisha"/>
    <s v="Finance &amp; Accounts"/>
    <s v=""/>
    <s v="Non Technical Support"/>
    <s v="Finance &amp; Accounts"/>
    <s v="Finance &amp; Accounts"/>
    <s v="73901001"/>
    <s v="Finance &amp; Accounts"/>
    <s v="Paradeep"/>
    <d v="1974-03-15T00:00:00"/>
    <s v="49.06"/>
    <d v="2021-07-22T00:00:00"/>
    <d v="2032-03-31T00:00:00"/>
    <m/>
    <d v="2032-03-31T00:00:00"/>
    <n v="3115"/>
    <s v="O+"/>
    <s v="CA Final-1997 , ICWA Inter-1996 , BCom-1"/>
    <s v="23.08"/>
    <s v="02.01"/>
    <s v="25.09"/>
    <s v="70234933"/>
    <s v="Finance &amp; Accounts - Odisha"/>
    <s v="255232"/>
    <s v="Head - Finance &amp; Accounts Odisha"/>
    <s v="Odisha"/>
    <s v="0022030019"/>
    <s v="PDP-HR &amp; Admn"/>
    <s v="2000STORIS"/>
    <s v="20057933"/>
    <s v="Akiyo Omori"/>
    <s v="No"/>
    <s v="sanjive.singh@amns.in"/>
    <s v="8093061471"/>
    <s v="847478"/>
    <s v="Sunila Das"/>
    <s v="Anil Matoo"/>
    <s v="Praveen Kuruvalli"/>
    <s v="Sunila Das"/>
    <n v="0"/>
  </r>
  <r>
    <n v="4044"/>
    <n v="20055802"/>
    <s v="Pawan Kumar Baid"/>
    <s v="AM/NS India"/>
    <s v="Onroll"/>
    <s v="M-6"/>
    <n v="6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Internal Audit Corporate"/>
    <m/>
    <s v="Internal Audit"/>
    <s v=""/>
    <s v=""/>
    <s v="Non Technical Support"/>
    <s v="Chairman's Secretariat"/>
    <s v="Chairman's Secretariat"/>
    <s v="74701000"/>
    <s v="Chairman's Secretariat"/>
    <s v="Mumbai"/>
    <d v="1986-12-23T00:00:00"/>
    <s v="36.08"/>
    <d v="2021-08-02T00:00:00"/>
    <d v="2044-12-31T00:00:00"/>
    <m/>
    <d v="2044-12-31T00:00:00"/>
    <n v="7773"/>
    <s v="B+"/>
    <s v="CA Final-2011 , BCom-2008 , Intermediate"/>
    <s v="09.02"/>
    <s v="02.01"/>
    <s v="11.03"/>
    <s v="00044335"/>
    <s v="Internal Audit Corporate"/>
    <s v="255223"/>
    <s v="Sr. Lead Internal Audit Corporate"/>
    <s v="Corporate"/>
    <s v="0090000035"/>
    <s v="Internal Audit"/>
    <s v="2000CS"/>
    <s v="20055486"/>
    <s v="Nilesh Likhite"/>
    <s v="No"/>
    <s v="pawan.baid@amns.in"/>
    <s v="9000240429"/>
    <s v="847480"/>
    <s v="Dhruv Vyas"/>
    <s v="Anil Matoo"/>
    <s v="Praveen Kuruvalli"/>
    <s v="Dhruv Vyas"/>
    <n v="0"/>
  </r>
  <r>
    <n v="4045"/>
    <n v="20055803"/>
    <s v="Jay Harshad Patrawala"/>
    <s v="AM/NS India"/>
    <s v="Onroll"/>
    <s v="M-6"/>
    <n v="6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- Investigation Audit"/>
    <m/>
    <s v="Internal Audit"/>
    <s v=""/>
    <s v=""/>
    <s v="Non Technical Support"/>
    <s v="Chairman's Secretariat"/>
    <s v="Chairman's Secretariat"/>
    <s v="74701000"/>
    <s v="Chairman's Secretariat"/>
    <s v="Mumbai"/>
    <d v="1988-05-09T00:00:00"/>
    <s v="35.04"/>
    <d v="2021-08-02T00:00:00"/>
    <d v="2046-05-31T00:00:00"/>
    <m/>
    <d v="2046-05-31T00:00:00"/>
    <n v="8289"/>
    <s v="B+"/>
    <s v="CA Final-2012 , MCom-2010 , BCom-2009 ,"/>
    <s v="08.09"/>
    <s v="02.01"/>
    <s v="10.10"/>
    <s v="00044336"/>
    <s v="Investigation Audit"/>
    <s v="255222"/>
    <s v="Sr. Lead - Investigation Audit"/>
    <s v="Corporate"/>
    <s v="0090000035"/>
    <s v="Internal Audit"/>
    <s v="2000CS"/>
    <s v="20055486"/>
    <s v="Nilesh Likhite"/>
    <s v="No"/>
    <s v="jay.patrawala@amns.in"/>
    <s v="7021681923"/>
    <s v="847484"/>
    <s v="Dhruv Vyas"/>
    <s v="Anil Matoo"/>
    <s v="Praveen Kuruvalli"/>
    <s v="Dhruv Vyas"/>
    <n v="0"/>
  </r>
  <r>
    <n v="4046"/>
    <n v="20055804"/>
    <s v="Ankushkumar Shah"/>
    <s v="AM/NS India"/>
    <s v="Onroll"/>
    <s v="M-5"/>
    <n v="5"/>
    <m/>
    <s v="MM"/>
    <s v="M"/>
    <s v="Corporate"/>
    <n v="7"/>
    <s v="2060"/>
    <x v="24"/>
    <s v="39.01"/>
    <s v="Sanjay Sharma"/>
    <s v="Sanjay Sharma"/>
    <n v="8"/>
    <s v="Business Development"/>
    <s v="Business Development"/>
    <s v="39"/>
    <s v="Senior Lead - Business Development"/>
    <m/>
    <s v="Business Development"/>
    <s v=""/>
    <s v=""/>
    <s v="Non Technical Support"/>
    <s v="Sales &amp; Marketing"/>
    <s v="Business Development"/>
    <s v="73103001"/>
    <s v="Business Development"/>
    <s v="Mumbai"/>
    <d v="1990-06-19T00:00:00"/>
    <s v="33.03"/>
    <d v="2021-08-02T00:00:00"/>
    <d v="2048-06-30T00:00:00"/>
    <m/>
    <d v="2048-06-30T00:00:00"/>
    <n v="9050"/>
    <s v="B+"/>
    <s v="CA Final-2014 , BCom-2011 , Intermediate"/>
    <s v="07.05"/>
    <s v="02.01"/>
    <s v="09.06"/>
    <s v="00050003"/>
    <s v="Business Development - M&amp;A"/>
    <s v="255228"/>
    <s v="Senior Lead - Business Development"/>
    <s v="Corporate"/>
    <s v="0090000032"/>
    <s v="Business Devpelopmen"/>
    <s v="2000CS"/>
    <s v="20055181"/>
    <s v="Sanjay Sharma"/>
    <s v="No"/>
    <s v="ankush.shah@amns.in"/>
    <s v="9773559406"/>
    <s v="847499"/>
    <s v="Dhruv Vyas"/>
    <s v="Anil Matoo"/>
    <s v="Praveen Kuruvalli"/>
    <s v="Dhruv Vyas"/>
    <n v="0"/>
  </r>
  <r>
    <n v="4047"/>
    <n v="20055806"/>
    <s v="Rahul Mulik"/>
    <s v="AM/NS India"/>
    <s v="Onroll"/>
    <s v="M-8"/>
    <n v="8"/>
    <m/>
    <s v="JM"/>
    <s v="M"/>
    <s v="Hazira"/>
    <n v="1"/>
    <s v="2084"/>
    <x v="17"/>
    <s v="23.09"/>
    <s v="Anil Matoo"/>
    <s v="Ashutosh Telang"/>
    <n v="6"/>
    <s v="HR &amp; Administration"/>
    <s v="Industrial Relations"/>
    <s v="23"/>
    <s v="Lead – Industrial Relations"/>
    <m/>
    <s v="Industrial Relations"/>
    <s v=""/>
    <s v=""/>
    <s v="Non Technical Support"/>
    <s v="Human Resources Management"/>
    <s v="Human Resources Management"/>
    <s v="73501002"/>
    <s v="Human Resources Operation"/>
    <s v="Hazira"/>
    <d v="1976-06-10T00:00:00"/>
    <s v="47.03"/>
    <d v="2021-07-29T00:00:00"/>
    <d v="2034-06-30T00:00:00"/>
    <m/>
    <d v="2034-06-30T00:00:00"/>
    <n v="3936"/>
    <s v="A+"/>
    <s v="MBA-2008 , Diploma-2003 , BCom-1998 , In"/>
    <s v="16.05"/>
    <s v="02.01"/>
    <s v="18.06"/>
    <s v="70309501"/>
    <s v="IR &amp; legal Compliance"/>
    <s v="255231"/>
    <s v="Lead – Industrial Relations"/>
    <s v="Hazira"/>
    <s v="0031950061"/>
    <s v="HZ-Human Resource"/>
    <s v="2000HWO"/>
    <s v="20056503"/>
    <s v="Bhavin Pandya"/>
    <s v="No"/>
    <s v="rahul.mulik@amns.in"/>
    <s v="9328896544"/>
    <s v="847561"/>
    <s v="Dhruv Vyas"/>
    <s v="Anil Matoo"/>
    <s v="Praveen Kuruvalli"/>
    <s v="Dhruv Vyas"/>
    <n v="0"/>
  </r>
  <r>
    <n v="4055"/>
    <n v="20055816"/>
    <s v="Khilan Keyur Shah"/>
    <s v="AM/NS India"/>
    <s v="Onroll"/>
    <s v="M-7"/>
    <n v="7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Lead - Investigation Audit"/>
    <m/>
    <s v="Internal Audit"/>
    <s v=""/>
    <s v=""/>
    <s v="Non Technical Support"/>
    <s v="Assurance &amp; Cost Control"/>
    <s v="Assurance &amp; Cost Control"/>
    <s v="73401001"/>
    <s v="Assurance &amp; Cost Control"/>
    <s v="Mumbai"/>
    <d v="1991-08-22T00:00:00"/>
    <s v="32.00"/>
    <d v="2021-08-09T00:00:00"/>
    <d v="2049-08-31T00:00:00"/>
    <m/>
    <d v="2049-08-31T00:00:00"/>
    <n v="9477"/>
    <s v="B+"/>
    <s v="CA Final-2014 , BCom-2012 , Intermediate"/>
    <s v="06.05"/>
    <s v="02.01"/>
    <s v="08.05"/>
    <s v="00044336"/>
    <s v="Investigation Audit"/>
    <s v="255646"/>
    <s v="Lead - Investigation Audit"/>
    <s v="Corporate"/>
    <s v="0090000035"/>
    <s v="Internal Audit"/>
    <s v="2000CS"/>
    <s v="20055803"/>
    <s v="Jay Harshad Patrawala"/>
    <s v="No"/>
    <s v="khilan.shah@amns.in"/>
    <s v="8976785833"/>
    <s v="848456"/>
    <s v="Dhruv Vyas"/>
    <s v="Anil Matoo"/>
    <s v="Praveen Kuruvalli"/>
    <s v="Dhruv Vyas"/>
    <n v="0"/>
  </r>
  <r>
    <n v="4057"/>
    <n v="20055819"/>
    <s v="Sachin Kumar Yadav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Procurement"/>
    <m/>
    <s v="Capex Procurement"/>
    <s v="Capex Procurement"/>
    <s v=""/>
    <s v="Non Technical Support"/>
    <s v="Operations"/>
    <s v="Operations"/>
    <s v="72103001"/>
    <s v="Operations"/>
    <s v="Hazira"/>
    <d v="1989-10-16T00:00:00"/>
    <s v="33.11"/>
    <d v="2021-08-09T00:00:00"/>
    <d v="2047-10-31T00:00:00"/>
    <m/>
    <d v="2047-10-31T00:00:00"/>
    <n v="8807"/>
    <s v="B+"/>
    <s v="BTech-2010 , Intermediate-2005 , SSLC-20"/>
    <s v="11.00"/>
    <s v="02.01"/>
    <s v="13.01"/>
    <s v="00053248"/>
    <s v="Capex Procurement"/>
    <s v="255649"/>
    <s v="Lead – Capex Procurement"/>
    <s v="Hazira"/>
    <s v="0031950059"/>
    <s v="HZ-Hazira Project"/>
    <s v="2000HWO"/>
    <s v="20055728"/>
    <s v="Mahebub Vahora"/>
    <s v="No"/>
    <s v="sachin.yadav1@amns.in"/>
    <s v="9510872052"/>
    <s v="848545"/>
    <s v="Dhruv Vyas"/>
    <s v="Anil Matoo"/>
    <s v="Praveen Kuruvalli"/>
    <s v="Dhruv Vyas"/>
    <n v="0"/>
  </r>
  <r>
    <n v="4064"/>
    <n v="20055833"/>
    <s v="Animesh Mishra"/>
    <s v="AM/NS India"/>
    <s v="Onroll"/>
    <s v="M-10"/>
    <n v="10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Graduate Engineer Trainee 2021"/>
    <m/>
    <s v="Capex Procurement"/>
    <s v="Capex Procurement"/>
    <s v=""/>
    <s v="Non Technical Support"/>
    <s v="Operations"/>
    <s v="Operations"/>
    <s v="72103001"/>
    <s v="Operations"/>
    <s v="Hazira"/>
    <d v="1999-03-01T00:00:00"/>
    <s v="24.06"/>
    <d v="2021-08-17T00:00:00"/>
    <d v="2057-02-28T00:00:00"/>
    <m/>
    <d v="2057-02-28T00:00:00"/>
    <n v="12215"/>
    <s v="AB+"/>
    <s v="BTech-2021 , Intermediate-2016 , SSLC-20"/>
    <s v=""/>
    <s v="02.01"/>
    <s v="02.01"/>
    <s v="00049360"/>
    <s v="Capex Services"/>
    <s v="256014"/>
    <s v="Graduate Engineer Trainee 2021"/>
    <s v="Hazira"/>
    <s v="0031950059"/>
    <s v="HZ-Hazira Project"/>
    <s v="2000HWO"/>
    <s v="20055727"/>
    <s v="Javed Akhtar"/>
    <s v="No"/>
    <s v="animesh.mishra@amns.in"/>
    <s v="9510882498"/>
    <s v="849368"/>
    <s v="Dhruv Vyas"/>
    <s v="Anil Matoo"/>
    <s v="Praveen Kuruvalli"/>
    <s v="Dhruv Vyas"/>
    <n v="0"/>
  </r>
  <r>
    <n v="4066"/>
    <n v="20055835"/>
    <s v="Anshima Pandey"/>
    <s v="AM/NS India"/>
    <s v="Onroll"/>
    <s v="M-10"/>
    <n v="10"/>
    <m/>
    <s v="JM"/>
    <s v="F"/>
    <s v="Hazira"/>
    <n v="1"/>
    <s v="2015"/>
    <x v="1"/>
    <s v="22.06"/>
    <s v="Anil Matoo"/>
    <s v="Ashutosh Telang"/>
    <n v="6"/>
    <s v="HR &amp; Administration"/>
    <s v="Human Resources"/>
    <s v="22"/>
    <s v="Graduate Engineer Trainee 2021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2000-05-06T00:00:00"/>
    <s v="23.04"/>
    <d v="2021-08-17T00:00:00"/>
    <d v="2058-05-31T00:00:00"/>
    <m/>
    <d v="2058-05-31T00:00:00"/>
    <n v="12672"/>
    <s v="B+"/>
    <s v="BTech-2021 , Intermediate-2017 , SSLC-20"/>
    <s v=""/>
    <s v="02.01"/>
    <s v="02.01"/>
    <s v="70472770"/>
    <s v="Hazira HR Operations - 1"/>
    <s v="256016"/>
    <s v="Lead - Human Resources"/>
    <s v="Hazira"/>
    <s v="0031950061"/>
    <s v="HZ-Human Resource"/>
    <s v="2000HWO"/>
    <s v="20001265"/>
    <s v="Lakshman Iyer"/>
    <s v="No"/>
    <s v="anshima.pandey@amns.in"/>
    <s v="9510885212"/>
    <s v="849369"/>
    <s v="Dhruv Vyas"/>
    <s v="Anil Matoo"/>
    <s v="Praveen Kuruvalli"/>
    <s v="Dhruv Vyas"/>
    <n v="0"/>
  </r>
  <r>
    <n v="4071"/>
    <n v="20055843"/>
    <s v="Harshita Ghildiyal"/>
    <s v="AM/NS India"/>
    <s v="Onroll"/>
    <s v="M-10"/>
    <n v="10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Graduate Engineer Trainee 2021"/>
    <m/>
    <s v="Capex Procurement"/>
    <s v="Capex Procurement"/>
    <s v=""/>
    <s v="Non Technical Support"/>
    <s v="Operations"/>
    <s v="Operations"/>
    <s v="72103001"/>
    <s v="Operations"/>
    <s v="Hazira"/>
    <d v="1999-10-31T00:00:00"/>
    <s v="23.10"/>
    <d v="2021-08-17T00:00:00"/>
    <d v="2057-10-31T00:00:00"/>
    <m/>
    <d v="2057-10-31T00:00:00"/>
    <n v="12460"/>
    <s v="B+"/>
    <s v="BTech-2021 , Intermediate-2017 , SSLC-20"/>
    <s v=""/>
    <s v="02.01"/>
    <s v="02.01"/>
    <s v="00049342"/>
    <s v="Capex Procurement"/>
    <s v="256024"/>
    <s v="Graduate Engineer Trainee 2021"/>
    <s v="Hazira"/>
    <s v="0031950059"/>
    <s v="HZ-Hazira Project"/>
    <s v="2000HWO"/>
    <s v="20055712"/>
    <s v="Ravi Goyal"/>
    <s v="Yes"/>
    <s v="harshita.ghildiyal@amns.in"/>
    <s v="9510892400"/>
    <s v="849375"/>
    <s v="Dhruv Vyas"/>
    <s v="Anil Matoo"/>
    <s v="Praveen Kuruvalli"/>
    <s v="Dhruv Vyas"/>
    <n v="0"/>
  </r>
  <r>
    <n v="4084"/>
    <n v="20055867"/>
    <s v="Tatikonda Manoj Sai Kumar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Management Trainee 2021"/>
    <m/>
    <s v="West"/>
    <s v="Hypermart"/>
    <s v=""/>
    <s v="Non Technical Support"/>
    <s v="Human Resources Management"/>
    <s v="Human Resources Management"/>
    <s v="73501001"/>
    <s v="Human Resources"/>
    <s v="Pune"/>
    <d v="1997-08-05T00:00:00"/>
    <s v="26.01"/>
    <d v="2021-08-17T00:00:00"/>
    <d v="2055-08-31T00:00:00"/>
    <m/>
    <d v="2055-08-31T00:00:00"/>
    <n v="11668"/>
    <s v="O+"/>
    <s v="MBA-2021 , BTech-2018 , Intermediate-201"/>
    <s v=""/>
    <s v="02.01"/>
    <s v="02.01"/>
    <s v="00048138"/>
    <s v="Hypermart west"/>
    <s v="256049"/>
    <s v="Sales Manager - Hypermart"/>
    <s v="Pune Facility"/>
    <s v="0035950073"/>
    <s v="Pune - S&amp;D Export"/>
    <s v="2000ESPF"/>
    <s v="20056847"/>
    <s v="Vikas Chotia"/>
    <s v="No"/>
    <s v="manoj.tatikonda@amns.in"/>
    <s v="7016458879"/>
    <s v="849391"/>
    <s v="Dhruv Vyas"/>
    <s v="Anil Matoo"/>
    <s v="Praveen Kuruvalli"/>
    <s v="Dhruv Vyas"/>
    <n v="0"/>
  </r>
  <r>
    <n v="4085"/>
    <n v="20055868"/>
    <s v="Sanidhya Singh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 2021"/>
    <m/>
    <s v="North"/>
    <s v="OEM"/>
    <s v=""/>
    <s v="Non Technical Support"/>
    <s v="Sales &amp; Marketing"/>
    <s v="Sales"/>
    <s v="73104004"/>
    <s v="OEM Sales"/>
    <s v="Noida"/>
    <d v="1996-07-24T00:00:00"/>
    <s v="27.01"/>
    <d v="2021-08-17T00:00:00"/>
    <d v="2054-07-31T00:00:00"/>
    <m/>
    <d v="2054-07-31T00:00:00"/>
    <n v="11272"/>
    <s v="AB-"/>
    <s v="MBA-2021 , BTech-2018 , Intermediate-201"/>
    <s v=""/>
    <s v="02.01"/>
    <s v="02.01"/>
    <s v="72150181"/>
    <s v="Sales North Zone"/>
    <s v="256050"/>
    <s v="Sales Manager"/>
    <s v="Hypermart"/>
    <s v="0031950057"/>
    <s v="HZ-HRC - Marketing"/>
    <s v="2000SRET"/>
    <s v="20002920"/>
    <s v="Sudhir Sharma"/>
    <s v="No"/>
    <s v="sanidhya.singh@amns.in"/>
    <s v="7016457342"/>
    <s v="849392"/>
    <s v="Dhruv Vyas"/>
    <s v="Anil Matoo"/>
    <s v="Praveen Kuruvalli"/>
    <s v="Dhruv Vyas"/>
    <n v="0"/>
  </r>
  <r>
    <n v="4086"/>
    <n v="20055870"/>
    <s v="Singireddy Sindhuja Reddy"/>
    <s v="AM/NS India"/>
    <s v="Onroll"/>
    <s v="M-8"/>
    <n v="8"/>
    <m/>
    <s v="JM"/>
    <s v="F"/>
    <s v="Pune Facility"/>
    <n v="4"/>
    <s v="2031"/>
    <x v="10"/>
    <s v="14.01"/>
    <s v="Ranjan Dhar"/>
    <s v="Alain Legrix De La Salle"/>
    <n v="3"/>
    <s v="Sales &amp; Marketing"/>
    <s v="Sales &amp; Marketing"/>
    <s v="14"/>
    <s v="Management Trainee 2021"/>
    <m/>
    <s v="South"/>
    <s v="OEM"/>
    <s v=""/>
    <s v="Non Technical Support"/>
    <s v="Human Resources Management"/>
    <s v="Human Resources Management"/>
    <s v="73501001"/>
    <s v="Human Resources"/>
    <s v="Pune"/>
    <d v="1994-12-07T00:00:00"/>
    <s v="28.09"/>
    <d v="2021-08-17T00:00:00"/>
    <d v="2052-12-31T00:00:00"/>
    <m/>
    <d v="2052-12-31T00:00:00"/>
    <n v="10695"/>
    <s v="O+"/>
    <s v="MBA-2021 , BTech-2016 , Intermediate-201"/>
    <s v=""/>
    <s v="02.01"/>
    <s v="02.01"/>
    <s v="00043882"/>
    <s v="International Sales"/>
    <s v="256052"/>
    <s v="Sales Manager"/>
    <s v="Pune Facility"/>
    <s v="0035950073"/>
    <s v="Pune - S&amp;D Export"/>
    <s v="2000ESPF"/>
    <s v="20037071"/>
    <s v="Amit Chandaliya"/>
    <s v="No"/>
    <s v="sindhuja.reddy@amns.in"/>
    <s v="9177997249"/>
    <s v="849394"/>
    <s v="Dhruv Vyas"/>
    <s v="Anil Matoo"/>
    <s v="Praveen Kuruvalli"/>
    <s v="Dhruv Vyas"/>
    <n v="0"/>
  </r>
  <r>
    <n v="4087"/>
    <n v="20055873"/>
    <s v="Ameesha Khandelwal"/>
    <s v="AM/NS India"/>
    <s v="Onroll"/>
    <s v="M-8"/>
    <n v="8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1"/>
    <m/>
    <s v="Sales Steering &amp; BD"/>
    <s v="Product Branding"/>
    <s v=""/>
    <s v="Non Technical Support"/>
    <s v="Sales &amp; Marketing"/>
    <s v="Sales &amp; Marketing"/>
    <s v="73101001"/>
    <s v="Sales &amp; Marketing"/>
    <s v="Mumbai"/>
    <d v="1997-06-19T00:00:00"/>
    <s v="26.03"/>
    <d v="2021-08-17T00:00:00"/>
    <d v="2055-06-30T00:00:00"/>
    <m/>
    <d v="2055-06-30T00:00:00"/>
    <n v="11606"/>
    <s v="B+"/>
    <s v="MBA-2021 , BCom-2018 , Intermediate-2015"/>
    <s v=""/>
    <s v="02.01"/>
    <s v="02.01"/>
    <s v="00044762"/>
    <s v="Branding"/>
    <s v="256055"/>
    <s v="Brand Manager"/>
    <s v="Corporate"/>
    <s v="0080000001"/>
    <s v="Head-Marketing"/>
    <s v="2000CS"/>
    <s v="20056091"/>
    <s v="Pooja Rawal"/>
    <s v="No"/>
    <s v="ameesha.khandelwal@amns.in"/>
    <s v="7016451049"/>
    <s v="849397"/>
    <s v="Dhruv Vyas"/>
    <s v="Anil Matoo"/>
    <s v="Praveen Kuruvalli"/>
    <s v="Dhruv Vyas"/>
    <n v="0"/>
  </r>
  <r>
    <n v="4088"/>
    <n v="20055874"/>
    <s v="Meet Pandit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1"/>
    <m/>
    <s v="Sales Steering &amp; BD"/>
    <s v="Product Branding"/>
    <s v=""/>
    <s v="Non Technical Support"/>
    <s v="Sales &amp; Marketing"/>
    <s v="Sales &amp; Marketing"/>
    <s v="73101001"/>
    <s v="Sales &amp; Marketing"/>
    <s v="Mumbai"/>
    <d v="1997-08-06T00:00:00"/>
    <s v="26.01"/>
    <d v="2021-08-17T00:00:00"/>
    <d v="2055-08-31T00:00:00"/>
    <m/>
    <d v="2055-08-31T00:00:00"/>
    <n v="11668"/>
    <s v="AB+"/>
    <s v="MBA-2021 , BTech-2019 , Intermediate-201"/>
    <s v=""/>
    <s v="02.01"/>
    <s v="02.01"/>
    <s v="00044762"/>
    <s v="Branding"/>
    <s v="256056"/>
    <s v="Brand Manager"/>
    <s v="Corporate"/>
    <s v="0080000001"/>
    <s v="Head-Marketing"/>
    <s v="2000CS"/>
    <s v="20056091"/>
    <s v="Pooja Rawal"/>
    <s v="No"/>
    <s v="meet.pandit@amns.in"/>
    <s v="7016455896"/>
    <s v="849398"/>
    <s v="Dhruv Vyas"/>
    <s v="Anil Matoo"/>
    <s v="Praveen Kuruvalli"/>
    <s v="Dhruv Vyas"/>
    <n v="0"/>
  </r>
  <r>
    <n v="4089"/>
    <n v="20055879"/>
    <s v="Mahima Champaneria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Management Trainee 2021"/>
    <m/>
    <s v="Performance Management"/>
    <s v="Performance Management"/>
    <s v=""/>
    <s v="Non Technical Support"/>
    <s v="Human Resources Management"/>
    <s v="Human Resources Management"/>
    <s v="73501002"/>
    <s v="Human Resources Operation"/>
    <s v="AM/NS Hazira"/>
    <d v="1998-11-13T00:00:00"/>
    <s v="24.10"/>
    <d v="2021-08-17T00:00:00"/>
    <d v="2056-11-30T00:00:00"/>
    <m/>
    <d v="2056-11-30T00:00:00"/>
    <n v="12125"/>
    <s v="A+"/>
    <s v="MBA-2021 , Bachelor Equivalent-2017 , In"/>
    <s v=""/>
    <s v="02.01"/>
    <s v="02.01"/>
    <s v="00049304"/>
    <s v="PM - Internal Control"/>
    <s v="70495104"/>
    <s v="Management Trainee 2021"/>
    <s v="Hazira"/>
    <s v="0031950043"/>
    <s v="HZ-Performance Manag"/>
    <s v="2000HWO"/>
    <s v="20006833"/>
    <s v="Hardik Vasavada"/>
    <s v="No"/>
    <s v="mahima.champaneria@amns.in"/>
    <s v="7016455608"/>
    <s v="821406"/>
    <s v="Dhruv Vyas"/>
    <s v="Anil Matoo"/>
    <s v="Praveen Kuruvalli"/>
    <s v="Dhruv Vyas"/>
    <n v="0"/>
  </r>
  <r>
    <n v="4095"/>
    <n v="20055886"/>
    <s v="Parth Kathiriya"/>
    <s v="AM/NS India"/>
    <s v="Onroll"/>
    <s v="M-11"/>
    <n v="11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Engineer - Contracts"/>
    <m/>
    <s v="Contracts"/>
    <s v="Contracts"/>
    <s v=""/>
    <s v="Non Technical Support"/>
    <s v="Commercial"/>
    <s v="Contracts &amp; Tenders and E-bid"/>
    <s v="73805001"/>
    <s v="Contracts &amp; Tenders and E"/>
    <s v="Hazira"/>
    <d v="1998-07-01T00:00:00"/>
    <s v="25.02"/>
    <d v="2021-07-15T00:00:00"/>
    <d v="2056-06-30T00:00:00"/>
    <m/>
    <d v="2056-06-30T00:00:00"/>
    <n v="11972"/>
    <s v="A+"/>
    <s v="Diploma-2017 , SSLC-2014"/>
    <s v=""/>
    <s v="02.02"/>
    <s v="02.02"/>
    <s v="70495670"/>
    <s v="Contracts"/>
    <s v="256409"/>
    <s v="Engineer - Contracts"/>
    <s v="Hazira"/>
    <s v="0031950047"/>
    <s v="HZ-Contracts"/>
    <s v="2000HWO"/>
    <s v="20000795"/>
    <s v="Pankaj Chaturvedi"/>
    <s v="No"/>
    <s v="parth.kathiriya@amns.in"/>
    <s v="9727740427"/>
    <s v="26010"/>
    <s v="Dhruv Vyas"/>
    <s v="Anil Matoo"/>
    <s v="Praveen Kuruvalli"/>
    <s v="Dhruv Vyas"/>
    <n v="0"/>
  </r>
  <r>
    <n v="4164"/>
    <n v="20055959"/>
    <s v="Rajesh Kumar Pradhan"/>
    <s v="AM/NS India"/>
    <s v="Onroll"/>
    <s v="M-7"/>
    <n v="7"/>
    <m/>
    <s v="MM"/>
    <s v="M"/>
    <s v="Odisha"/>
    <n v="2"/>
    <s v="2031"/>
    <x v="10"/>
    <s v="14.01"/>
    <s v="Ranjan Dhar"/>
    <s v="Alain Legrix De La Salle"/>
    <n v="3"/>
    <s v="Sales &amp; Marketing"/>
    <s v="Sales &amp; Marketing"/>
    <s v="14"/>
    <s v="Lead – Iron Ore Sales (Domestic)"/>
    <m/>
    <s v="Iron Ore &amp; Infra"/>
    <s v="Iron Ore &amp; Infra"/>
    <s v=""/>
    <s v="Non Technical Support"/>
    <s v="Commercial"/>
    <s v="Procurement"/>
    <s v="73803001"/>
    <s v="Procurement"/>
    <s v="Bhubaneswar"/>
    <d v="1986-07-11T00:00:00"/>
    <s v="37.02"/>
    <d v="2021-08-17T00:00:00"/>
    <d v="2044-07-31T00:00:00"/>
    <m/>
    <d v="2044-07-31T00:00:00"/>
    <n v="7620"/>
    <s v="B+"/>
    <s v="PG Diploma-2009 , BTech-2007 , Intermedi"/>
    <s v="10.10"/>
    <s v="02.01"/>
    <s v="12.10"/>
    <s v="00044347"/>
    <s v="Sales - Iron Ore"/>
    <s v="256857"/>
    <s v="Lead – Iron Ore Sales (Domestic)"/>
    <s v="Odisha"/>
    <s v="0031950048"/>
    <s v="HZ-Procurment Depart"/>
    <s v="2000STORIS"/>
    <s v="20003630"/>
    <s v="Mukul Manchanda"/>
    <s v="No"/>
    <s v="rajesh.pradhan@amns.in"/>
    <s v="9937017593"/>
    <s v="850355"/>
    <s v="Sunila Das"/>
    <s v="Anil Matoo"/>
    <s v="Praveen Kuruvalli"/>
    <s v="Sunila Das"/>
    <n v="0"/>
  </r>
  <r>
    <n v="4165"/>
    <n v="20055961"/>
    <s v="Ayesha Gaglani"/>
    <s v="AM/NS India"/>
    <s v="Onroll"/>
    <s v="M-7"/>
    <n v="7"/>
    <m/>
    <s v="M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Sr. Lead - Iron Ore Sales Exports"/>
    <m/>
    <s v="Iron Ore &amp; Infra"/>
    <s v="Iron Ore &amp; Infra"/>
    <s v=""/>
    <s v="Non Technical Support"/>
    <s v="Commercial"/>
    <s v="Procurement"/>
    <s v="73803001"/>
    <s v="Procurement"/>
    <s v="Mumbai"/>
    <d v="1985-09-12T00:00:00"/>
    <s v="38.00"/>
    <d v="2021-08-18T00:00:00"/>
    <d v="2043-09-30T00:00:00"/>
    <m/>
    <d v="2043-09-30T00:00:00"/>
    <n v="7315"/>
    <s v="O+"/>
    <s v="PG Diploma-2014 , BE-2008 , Intermediate"/>
    <s v="10.04"/>
    <s v="02.01"/>
    <s v="12.05"/>
    <s v="00044347"/>
    <s v="Sales - Iron Ore"/>
    <s v="256859"/>
    <s v="Sr. Lead - Iron Ore Sales Exports"/>
    <s v="Corporate"/>
    <s v="0031950048"/>
    <s v="HZ-Procurment Depart"/>
    <s v="2000CS"/>
    <s v="20003630"/>
    <s v="Mukul Manchanda"/>
    <s v="No"/>
    <s v="ayesha.gaglani@amns.in"/>
    <s v="7894414970"/>
    <s v="850365"/>
    <s v="Dhruv Vyas"/>
    <s v="Anil Matoo"/>
    <s v="Praveen Kuruvalli"/>
    <s v="Dhruv Vyas"/>
    <n v="0"/>
  </r>
  <r>
    <n v="4166"/>
    <n v="20055962"/>
    <s v="Navin Kewalramani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– GST"/>
    <m/>
    <s v="Taxation"/>
    <s v="In Direct - Taxation"/>
    <s v=""/>
    <s v="Non Technical Support"/>
    <s v="Finance &amp; Accounts"/>
    <s v="Taxation"/>
    <s v="73904002"/>
    <s v="Indirect Taxation"/>
    <s v="AM/NS Hazira"/>
    <d v="1972-12-05T00:00:00"/>
    <s v="50.09"/>
    <d v="2021-08-19T00:00:00"/>
    <d v="2030-12-31T00:00:00"/>
    <m/>
    <d v="2030-12-31T00:00:00"/>
    <n v="2659"/>
    <s v="O+"/>
    <s v="CA Final-2004 , BCom-1995 , Intermediate"/>
    <s v="16.00"/>
    <s v="02.01"/>
    <s v="18.00"/>
    <s v="70282653"/>
    <s v="GST"/>
    <s v="256860"/>
    <s v="Head – GST"/>
    <s v="Hazira"/>
    <s v="0090000033"/>
    <s v="Corporate Taxation"/>
    <s v="2000HWO"/>
    <s v="20055193"/>
    <s v="Anuprita Kaushik Mehta"/>
    <s v="No"/>
    <s v="navin.kewalramani@amns.in"/>
    <s v="9510858997"/>
    <s v="850385"/>
    <s v="Dhruv Vyas"/>
    <s v="Anil Matoo"/>
    <s v="Praveen Kuruvalli"/>
    <s v="Dhruv Vyas"/>
    <n v="0"/>
  </r>
  <r>
    <n v="4172"/>
    <n v="20055971"/>
    <s v="Mohit Rank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Accounts Receivable"/>
    <m/>
    <s v="Working Capital"/>
    <s v="Accounts Receivable"/>
    <s v=""/>
    <s v="Non Technical Support"/>
    <s v=""/>
    <s v=""/>
    <s v=""/>
    <s v=""/>
    <s v="Khopoli"/>
    <d v="1991-07-15T00:00:00"/>
    <s v="32.02"/>
    <d v="2021-08-23T00:00:00"/>
    <d v="2049-07-31T00:00:00"/>
    <m/>
    <d v="2049-07-31T00:00:00"/>
    <n v="9446"/>
    <s v="AB+"/>
    <s v="BCom-2012 , CA Inter-2011 , Intermediate"/>
    <s v="04.05"/>
    <s v="02.00"/>
    <s v="06.05"/>
    <s v="70495565"/>
    <s v="F&amp;A Hypermart &amp; Service Centre"/>
    <s v="256995"/>
    <s v="Lead – Accounts Receivable"/>
    <s v="Hazira"/>
    <s v="0031950045"/>
    <s v="HZ-Works Accounts-Ha"/>
    <s v="2000HWO"/>
    <s v="20055504"/>
    <s v="Vivek Choudhary"/>
    <s v="No"/>
    <s v="mohit.ranka@amns.in"/>
    <s v="9510864658"/>
    <s v="850577"/>
    <s v="Dhruv Vyas"/>
    <s v="Anil Matoo"/>
    <s v="Praveen Kuruvalli"/>
    <s v="Dhruv Vyas"/>
    <n v="0"/>
  </r>
  <r>
    <n v="4179"/>
    <n v="20055985"/>
    <s v="Dilip Chandra Gelli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– Plate Sales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86-08-13T00:00:00"/>
    <s v="37.01"/>
    <d v="2021-09-02T00:00:00"/>
    <d v="2044-08-31T00:00:00"/>
    <m/>
    <d v="2044-08-31T00:00:00"/>
    <n v="7651"/>
    <s v="B+"/>
    <s v="MTech-2015 , AMIE-2010 , Intermediate-20"/>
    <s v="16.08"/>
    <s v="02.00"/>
    <s v="18.08"/>
    <s v="00052467"/>
    <s v="Plate"/>
    <s v="257876"/>
    <s v="Section Head – Plate Products"/>
    <s v="Corporate"/>
    <s v="0031950057"/>
    <s v="HZ-HRC - Marketing"/>
    <s v="2000CS"/>
    <s v="20008508"/>
    <s v="Satyajit Mohapatra"/>
    <s v="No"/>
    <s v="dilip.chandra@amns.in"/>
    <s v="9867776419"/>
    <s v="851934"/>
    <s v="Dhruv Vyas"/>
    <s v="Anil Matoo"/>
    <s v="Praveen Kuruvalli"/>
    <s v="Dhruv Vyas"/>
    <n v="0"/>
  </r>
  <r>
    <n v="4187"/>
    <n v="20056010"/>
    <s v="Maheswar Gupta"/>
    <s v="AM/NS India"/>
    <s v="Onroll"/>
    <s v="M-8"/>
    <n v="8"/>
    <m/>
    <s v="JM"/>
    <s v="M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Assurance &amp; Cost Control"/>
    <s v="Assurance &amp; Cost Control"/>
    <s v="73401001"/>
    <s v="Assurance &amp; Cost Control"/>
    <s v="Paradeep"/>
    <d v="1993-05-22T00:00:00"/>
    <s v="30.03"/>
    <d v="2021-09-06T00:00:00"/>
    <d v="2051-05-31T00:00:00"/>
    <m/>
    <d v="2051-05-31T00:00:00"/>
    <n v="10115"/>
    <s v="O+"/>
    <s v="MCom-2020 , BCom-2017 , CA Final-2016 ,"/>
    <s v="05.03"/>
    <s v="02.00"/>
    <s v="07.03"/>
    <s v="00044333"/>
    <s v="Internal Audit -Odisha"/>
    <s v="70310796"/>
    <s v="Lead - Internal Audit"/>
    <s v="Odisha"/>
    <s v="0090000035"/>
    <s v="Internal Audit"/>
    <s v="2000STORIS"/>
    <s v="20055745"/>
    <s v="Ajay Kumar Sharma"/>
    <s v="No"/>
    <s v="maheshwar.gupta@amns.in"/>
    <s v="9040394484"/>
    <s v="853925"/>
    <s v="Dhruv Vyas"/>
    <s v="Anil Matoo"/>
    <s v="Praveen Kuruvalli"/>
    <s v="Dhruv Vyas"/>
    <n v="0"/>
  </r>
  <r>
    <n v="4189"/>
    <n v="20056012"/>
    <s v="Ujwal Punia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Incharge Administration"/>
    <m/>
    <s v="Security, Vigilance &amp; Fire Services"/>
    <s v=""/>
    <s v=""/>
    <s v="Non Technical Support"/>
    <s v="Administration"/>
    <s v="Administration"/>
    <s v="74101001"/>
    <s v="Administration"/>
    <s v="Hazira"/>
    <d v="1984-09-10T00:00:00"/>
    <s v="39.00"/>
    <d v="2021-09-09T00:00:00"/>
    <d v="2042-09-30T00:00:00"/>
    <m/>
    <d v="2042-09-30T00:00:00"/>
    <n v="6950"/>
    <s v="B+"/>
    <s v="PG Diploma-2012 , LLB-2007 , BA-2004 , I"/>
    <s v="13.06"/>
    <s v="02.00"/>
    <s v="15.06"/>
    <s v="00049721"/>
    <s v="Regional &amp; Corporate offices"/>
    <s v="258976"/>
    <s v="Lead-Administration"/>
    <s v="Hazira"/>
    <s v="0031950030"/>
    <s v="HZ-Admin"/>
    <s v="2000HWO"/>
    <s v="20057888"/>
    <s v="Narinder Lamba"/>
    <s v="No"/>
    <s v="ujwal.punia@amns.in"/>
    <s v="7016462730"/>
    <s v="854007"/>
    <s v="Manjit Shah"/>
    <s v="Anil Matoo"/>
    <s v="Praveen Kuruvalli"/>
    <s v="Lakshman Iyer"/>
    <n v="0"/>
  </r>
  <r>
    <n v="4197"/>
    <n v="20056020"/>
    <s v="Samarjeet Ghosh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– Capex Services"/>
    <m/>
    <s v="Capex Procurement"/>
    <s v="Capex Procurement"/>
    <s v=""/>
    <s v="Non Technical Support"/>
    <s v="Operations"/>
    <s v="Operations"/>
    <s v="72103001"/>
    <s v="Operations"/>
    <s v="Hazira"/>
    <d v="1996-01-02T00:00:00"/>
    <s v="27.08"/>
    <d v="2021-09-18T00:00:00"/>
    <d v="2054-01-31T00:00:00"/>
    <m/>
    <d v="2054-01-31T00:00:00"/>
    <n v="11091"/>
    <s v="AB+"/>
    <s v="BTech-2018 , Intermediate-2013 , SSLC-20"/>
    <s v="03.03"/>
    <s v="02.00"/>
    <s v="05.02"/>
    <s v="00049359"/>
    <s v="Capex Services"/>
    <s v="259465"/>
    <s v="Officer– Capex Services"/>
    <s v="Hazira"/>
    <s v="0031950059"/>
    <s v="HZ-Hazira Project"/>
    <s v="2000HWO"/>
    <s v="20055446"/>
    <s v="Chitrang Rana"/>
    <s v="No"/>
    <s v="samarjeet.ghosh@amns.in"/>
    <s v="8160929757"/>
    <s v="855758"/>
    <s v="Dhruv Vyas"/>
    <s v="Anil Matoo"/>
    <s v="Praveen Kuruvalli"/>
    <s v="Dhruv Vyas"/>
    <n v="0"/>
  </r>
  <r>
    <n v="4204"/>
    <n v="20056028"/>
    <s v="Ashish Vitthalrao Raut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– Technical Marketing &amp; Application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Ahmedabad"/>
    <d v="1990-12-03T00:00:00"/>
    <s v="32.09"/>
    <d v="2021-09-27T00:00:00"/>
    <d v="2048-12-31T00:00:00"/>
    <m/>
    <d v="2048-12-31T00:00:00"/>
    <n v="9234"/>
    <s v="B+"/>
    <s v="BE-2012 , Intermediate-2008 , SSLC-2006"/>
    <s v="08.03"/>
    <s v="01.11"/>
    <s v="10.02"/>
    <s v="00052460"/>
    <s v="Auto &amp; YG"/>
    <s v="260497"/>
    <s v="Lead – Application Engineer"/>
    <s v="Hazira"/>
    <s v="0031950057"/>
    <s v="HZ-HRC - Marketing"/>
    <s v="2000HWO"/>
    <s v="20056155"/>
    <s v="Kondapalli Venkateswarlu"/>
    <s v="No"/>
    <s v="ashish.raut@amns.in"/>
    <s v="7775833791"/>
    <s v="857813"/>
    <s v="Dhruv Vyas"/>
    <s v="Anil Matoo"/>
    <s v="Praveen Kuruvalli"/>
    <s v="Dhruv Vyas"/>
    <n v="0"/>
  </r>
  <r>
    <n v="4205"/>
    <n v="20056029"/>
    <s v="Ananya Maitra"/>
    <s v="AM/NS India"/>
    <s v="Onroll"/>
    <s v="M-4"/>
    <n v="4"/>
    <m/>
    <s v="SM"/>
    <s v="F"/>
    <s v="Hazira"/>
    <n v="1"/>
    <s v="2013"/>
    <x v="0"/>
    <s v="20.01"/>
    <s v="Akiyo Omori"/>
    <s v="Amit Harlalka"/>
    <n v="5"/>
    <s v="Finance &amp; Accounts"/>
    <s v="Finance &amp; Accounts"/>
    <s v="20"/>
    <s v="Head of Capex – Finance &amp; Controlling"/>
    <m/>
    <s v="Capex Finance"/>
    <s v="Capex Finance"/>
    <s v=""/>
    <s v="Non Technical Support"/>
    <s v="Finance &amp; Accounts"/>
    <s v="Costing"/>
    <s v="73906001"/>
    <s v="Costing"/>
    <s v="AM/NS Hazira"/>
    <d v="1974-06-05T00:00:00"/>
    <s v="49.03"/>
    <d v="2021-09-30T00:00:00"/>
    <d v="2032-06-30T00:00:00"/>
    <m/>
    <d v="2032-06-30T00:00:00"/>
    <n v="3206"/>
    <s v="A+"/>
    <s v="Master's Equivalent-1998 , BSc-1996 , In"/>
    <s v="33.00"/>
    <s v="01.11"/>
    <s v="35.00"/>
    <s v="00045705"/>
    <s v="Capex – Finance &amp; Controlling"/>
    <s v="260496"/>
    <s v="Head of Capex – Finance &amp; Controlling"/>
    <s v="Hazira"/>
    <s v="0090000038"/>
    <s v="CAPEX FINANCE"/>
    <s v="2000HWO"/>
    <s v="20057933"/>
    <s v="Akiyo Omori"/>
    <s v="No"/>
    <s v="ananya.maitra@amns.in"/>
    <s v="9820409423"/>
    <s v="857829"/>
    <s v="Dhruv Vyas"/>
    <s v="Anil Matoo"/>
    <s v="Praveen Kuruvalli"/>
    <s v="Dhruv Vyas"/>
    <n v="0"/>
  </r>
  <r>
    <n v="4209"/>
    <n v="20056033"/>
    <s v="Afreen Hanif Shaikh"/>
    <s v="AM/NS India"/>
    <s v="Onroll"/>
    <s v="M-9"/>
    <n v="9"/>
    <m/>
    <s v="JM"/>
    <s v="F"/>
    <s v="Corporate"/>
    <n v="7"/>
    <s v="2014"/>
    <x v="16"/>
    <s v="03.01"/>
    <s v="Nilesh Likhite"/>
    <s v="Dilip Oommen"/>
    <n v="1"/>
    <s v="CEO Office"/>
    <s v="Internal Audit"/>
    <s v="03"/>
    <s v="Officer - Internal Audit"/>
    <m/>
    <s v="Internal Audit"/>
    <s v=""/>
    <s v=""/>
    <s v="Non Technical Support"/>
    <s v="Chairman's Secretariat"/>
    <s v="Chairman's Secretariat"/>
    <s v="74701000"/>
    <s v="Chairman's Secretariat"/>
    <s v="Mumbai"/>
    <d v="1992-02-29T00:00:00"/>
    <s v="31.06"/>
    <d v="2021-10-04T00:00:00"/>
    <d v="2050-02-28T00:00:00"/>
    <m/>
    <d v="2050-02-28T00:00:00"/>
    <n v="9658"/>
    <s v="B+"/>
    <s v="BCom-2012 , High School-2009 , SSLC-2007"/>
    <s v="09.01"/>
    <s v="01.11"/>
    <s v="11.00"/>
    <s v="00044335"/>
    <s v="Internal Audit Corporate"/>
    <s v="261002"/>
    <s v="Officer - Internal Audit Corporate Asset"/>
    <s v="Corporate"/>
    <s v="0090000035"/>
    <s v="Internal Audit"/>
    <s v="2000CS"/>
    <s v="20055802"/>
    <s v="Pawan Kumar Baid"/>
    <s v="No"/>
    <s v="afreen.shaikh@amns.in"/>
    <s v="9867181893"/>
    <s v="858640"/>
    <s v="Dhruv Vyas"/>
    <s v="Anil Matoo"/>
    <s v="Praveen Kuruvalli"/>
    <s v="Dhruv Vyas"/>
    <n v="0"/>
  </r>
  <r>
    <n v="4211"/>
    <n v="20056035"/>
    <s v="Arjun Ranjan Ogale"/>
    <s v="AM/NS India"/>
    <s v="Onroll"/>
    <s v="M-6"/>
    <n v="6"/>
    <m/>
    <s v="MM"/>
    <s v="M"/>
    <s v="Hazira"/>
    <n v="1"/>
    <s v="2270"/>
    <x v="25"/>
    <s v="38.01"/>
    <s v="Hrishikesh Kamat"/>
    <s v="Hrishikesh Kamat"/>
    <n v="7"/>
    <s v="Procurement"/>
    <s v="Logistics"/>
    <s v="38"/>
    <s v="Lead – Logistics"/>
    <m/>
    <s v="Logistics"/>
    <s v="Logistics"/>
    <s v=""/>
    <s v="Non Technical Support"/>
    <s v=""/>
    <s v=""/>
    <s v="70494644"/>
    <s v="Chief Procurement Officer"/>
    <s v="AM/NS Hazira"/>
    <d v="1984-01-14T00:00:00"/>
    <s v="39.08"/>
    <d v="2021-10-01T00:00:00"/>
    <d v="2042-01-31T00:00:00"/>
    <m/>
    <d v="2042-01-31T00:00:00"/>
    <n v="6708"/>
    <s v="B+"/>
    <s v="MBA-2009 , BE-2005 , Intermediate-2001 ,"/>
    <s v="14.11"/>
    <s v="01.11"/>
    <s v="16.10"/>
    <s v="70495712"/>
    <s v="Logistics"/>
    <s v="261001"/>
    <s v="Lead – Logistics"/>
    <s v="Hazira"/>
    <s v="0031950053"/>
    <s v="HZ-Logistics"/>
    <s v="2000HWO"/>
    <s v="20055688"/>
    <s v="Vibhavana Jaiswal"/>
    <s v="No"/>
    <s v="arjun.ogale@amns.in"/>
    <s v="9925246242"/>
    <s v="795217"/>
    <s v="Dhruv Vyas"/>
    <s v="Anil Matoo"/>
    <s v="Praveen Kuruvalli"/>
    <s v="Dhruv Vyas"/>
    <n v="0"/>
  </r>
  <r>
    <n v="4213"/>
    <n v="20056037"/>
    <s v="Ashish Hasmukhrai Sutaria"/>
    <s v="AM/NS India"/>
    <s v="Onroll"/>
    <s v="M-5"/>
    <n v="5"/>
    <m/>
    <s v="MM"/>
    <s v="M"/>
    <s v="Hazira"/>
    <n v="1"/>
    <s v="2270"/>
    <x v="25"/>
    <s v="38.01"/>
    <s v="Hrishikesh Kamat"/>
    <s v="Hrishikesh Kamat"/>
    <n v="7"/>
    <s v="Procurement"/>
    <s v="Logistics"/>
    <s v="38"/>
    <s v="Sr. Lead – Logistics"/>
    <m/>
    <s v="Logistics"/>
    <s v="Logistics"/>
    <s v=""/>
    <s v="Non Technical Support"/>
    <s v=""/>
    <s v=""/>
    <s v="70494644"/>
    <s v="Chief Procurement Officer"/>
    <s v="AM/NS Hazira"/>
    <d v="1976-09-12T00:00:00"/>
    <s v="47.00"/>
    <d v="2021-10-01T00:00:00"/>
    <d v="2034-09-30T00:00:00"/>
    <m/>
    <d v="2034-09-30T00:00:00"/>
    <n v="4028"/>
    <s v="B+"/>
    <s v="MBA-2007 , BCom-1996 , Intermediate-1993"/>
    <s v="25.00"/>
    <s v="01.11"/>
    <s v="27.00"/>
    <s v="70495712"/>
    <s v="Logistics"/>
    <s v="261000"/>
    <s v="Sr. Lead – Logistics"/>
    <s v="Hazira"/>
    <s v="0031950053"/>
    <s v="HZ-Logistics"/>
    <s v="2000HWO"/>
    <s v="20055688"/>
    <s v="Vibhavana Jaiswal"/>
    <s v="No"/>
    <s v="ashish.sutaria@amns.in"/>
    <s v="9879203054"/>
    <s v="795213"/>
    <s v="Dhruv Vyas"/>
    <s v="Anil Matoo"/>
    <s v="Praveen Kuruvalli"/>
    <s v="Dhruv Vyas"/>
    <n v="0"/>
  </r>
  <r>
    <n v="4218"/>
    <n v="20056045"/>
    <s v="Patel Vikas Amitbhai"/>
    <s v="AM/NS India"/>
    <s v="Onroll"/>
    <s v="M-8"/>
    <n v="8"/>
    <m/>
    <s v="J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"/>
    <s v=""/>
    <s v="Non Technical Support"/>
    <s v="Commercial"/>
    <s v="Contracts &amp; Tenders and E-bid"/>
    <s v="73805001"/>
    <s v="Contracts &amp; Tenders and E"/>
    <s v="AM/NS Hazira"/>
    <d v="1988-07-11T00:00:00"/>
    <s v="35.02"/>
    <d v="2021-10-18T00:00:00"/>
    <d v="2046-07-31T00:00:00"/>
    <m/>
    <d v="2046-07-31T00:00:00"/>
    <n v="8350"/>
    <s v="O+"/>
    <s v="MBA-2010 , Bachelor Equivalent-2008 , In"/>
    <s v="11.07"/>
    <s v="01.11"/>
    <s v="13.05"/>
    <s v="70495436"/>
    <s v="Land Property"/>
    <s v="261995"/>
    <s v="Lead - Land Matters"/>
    <s v="Hazira"/>
    <s v="0031950038"/>
    <s v="HZ-Hazira Land Acqui"/>
    <s v="2000HWO"/>
    <s v="20055714"/>
    <s v="Dipakkumar Shah"/>
    <s v="No"/>
    <s v="vikas.patel1@amns.in"/>
    <s v="9824163653"/>
    <s v="859864"/>
    <s v="Dhruv Vyas"/>
    <s v="Anil Matoo"/>
    <s v="Praveen Kuruvalli"/>
    <s v="Dhruv Vyas"/>
    <n v="0"/>
  </r>
  <r>
    <n v="4220"/>
    <n v="20056052"/>
    <s v="Kishan Patel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Procurement MRO Hazira"/>
    <s v="Procurement"/>
    <s v=""/>
    <s v="Non Technical Support"/>
    <s v=""/>
    <s v=""/>
    <s v=""/>
    <s v=""/>
    <s v="AM/NS Hazira"/>
    <d v="1996-11-28T00:00:00"/>
    <s v="26.09"/>
    <d v="2021-10-25T00:00:00"/>
    <d v="2054-11-30T00:00:00"/>
    <m/>
    <d v="2054-11-30T00:00:00"/>
    <n v="11394"/>
    <s v=""/>
    <s v="Diploma-2018 , Intermediate-2014 , SSLC-"/>
    <s v=""/>
    <s v="01.10"/>
    <s v="01.10"/>
    <s v="00044542"/>
    <s v="Procurement -Ferroalloys"/>
    <s v="262547"/>
    <s v="Engineer"/>
    <s v="Hazira"/>
    <s v="0031950048"/>
    <s v="HZ-Procurment Depart"/>
    <s v="2000HWO"/>
    <s v="20001370"/>
    <s v="Tejas Desai"/>
    <s v="No"/>
    <s v="kishan.patel@amns.in"/>
    <s v="9879100716"/>
    <s v="792097"/>
    <s v="Dhruv Vyas"/>
    <s v="Anil Matoo"/>
    <s v="Praveen Kuruvalli"/>
    <s v="Dhruv Vyas"/>
    <n v="0"/>
  </r>
  <r>
    <n v="4231"/>
    <n v="20056067"/>
    <s v="Deep Patel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Procurement MRO Hazira"/>
    <s v="Procurement"/>
    <s v=""/>
    <s v="Non Technical Support"/>
    <s v=""/>
    <s v=""/>
    <s v=""/>
    <s v=""/>
    <s v="AM/NS Hazira"/>
    <d v="1994-03-23T00:00:00"/>
    <s v="29.05"/>
    <d v="2021-10-25T00:00:00"/>
    <d v="2052-03-31T00:00:00"/>
    <m/>
    <d v="2052-03-31T00:00:00"/>
    <n v="10420"/>
    <s v=""/>
    <s v="Diploma-2014 , High School-2011 , SSLC-2"/>
    <s v=""/>
    <s v="01.10"/>
    <s v="01.10"/>
    <s v="70266350"/>
    <s v="Zinc, Elect, Instrumentation, Automation"/>
    <s v="262540"/>
    <s v="Engineer"/>
    <s v="Hazira"/>
    <s v="0031950048"/>
    <s v="HZ-Procurment Depart"/>
    <s v="2000HWO"/>
    <s v="20002746"/>
    <s v="Deep Pyne"/>
    <s v="No"/>
    <s v="deepkumar.patel@amns.in"/>
    <s v="9879102307"/>
    <s v="26031"/>
    <s v="Dhruv Vyas"/>
    <s v="Anil Matoo"/>
    <s v="Praveen Kuruvalli"/>
    <s v="Dhruv Vyas"/>
    <n v="0"/>
  </r>
  <r>
    <n v="4243"/>
    <n v="20056083"/>
    <s v="Neeraj Sharma"/>
    <s v="AM/NS India"/>
    <s v="Onroll"/>
    <s v="M-5"/>
    <n v="5"/>
    <m/>
    <s v="MM"/>
    <s v="M"/>
    <s v="Hazira"/>
    <n v="1"/>
    <s v="2069"/>
    <x v="8"/>
    <s v="25.01"/>
    <s v="Bibek Chattopadhyay"/>
    <s v="Ashutosh Telang"/>
    <n v="6"/>
    <s v="HR &amp; Administration"/>
    <s v="Corporate Communications"/>
    <s v="25"/>
    <s v="Head – Corporate Communication, Gujarat"/>
    <m/>
    <s v="Corporate Communications"/>
    <s v=""/>
    <s v=""/>
    <s v="Non Technical Support"/>
    <s v="Corporate Communication"/>
    <s v="Corporate Communication"/>
    <s v="74001001"/>
    <s v="Corporate Communication"/>
    <s v="Hazira"/>
    <d v="1981-03-10T00:00:00"/>
    <s v="42.06"/>
    <d v="2021-11-01T00:00:00"/>
    <d v="2039-03-31T00:00:00"/>
    <m/>
    <d v="2039-03-31T00:00:00"/>
    <n v="5671"/>
    <s v="O+"/>
    <s v="PG Diploma-2008 , BE-2005 , Intermediate"/>
    <s v="09.01"/>
    <s v="01.10"/>
    <s v="11.00"/>
    <s v="00047290"/>
    <s v="Communication Gujrat"/>
    <s v="263146"/>
    <s v="Head – Corporate Communication, Gujarat"/>
    <s v="Hazira"/>
    <s v="0090000016"/>
    <s v="Corporate Steel - Co"/>
    <s v="2000HWO"/>
    <s v="20055187"/>
    <s v="Bibek Chattopadhyay"/>
    <s v="No"/>
    <s v="neeraj.sharma@amns.in"/>
    <s v="9099933725"/>
    <s v="862084"/>
    <s v="Dhruv Vyas"/>
    <s v="Anil Matoo"/>
    <s v="Praveen Kuruvalli"/>
    <s v="Dhruv Vyas"/>
    <n v="0"/>
  </r>
  <r>
    <n v="4249"/>
    <n v="20056091"/>
    <s v="Pooja Rawal"/>
    <s v="AM/NS India"/>
    <s v="Onroll"/>
    <s v="M-6"/>
    <n v="6"/>
    <m/>
    <s v="M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Branding Manager"/>
    <m/>
    <s v="Sales Steering &amp; BD"/>
    <s v="Product Branding"/>
    <s v=""/>
    <s v="Non Technical Support"/>
    <s v=""/>
    <s v=""/>
    <s v="70494645"/>
    <s v="Head of Sales BD"/>
    <s v="Mumbai"/>
    <d v="1982-06-27T00:00:00"/>
    <s v="41.02"/>
    <d v="2021-11-01T00:00:00"/>
    <d v="2040-06-30T00:00:00"/>
    <m/>
    <d v="2040-06-30T00:00:00"/>
    <n v="6128"/>
    <s v="B+"/>
    <s v="PG Diploma-2007 , BE-2005 , Intermediate"/>
    <s v="14.09"/>
    <s v="01.10"/>
    <s v="16.07"/>
    <s v="00044762"/>
    <s v="Branding"/>
    <s v="263147"/>
    <s v="Head - Product Branding"/>
    <s v="Corporate"/>
    <s v="0080000001"/>
    <s v="Head-Marketing"/>
    <s v="2000CS"/>
    <s v="20010531"/>
    <s v="Saptarshi Saha"/>
    <s v="No"/>
    <s v="pooja.rawal@amns.in"/>
    <s v="9920613525"/>
    <s v="862850"/>
    <s v="Dhruv Vyas"/>
    <s v="Anil Matoo"/>
    <s v="Praveen Kuruvalli"/>
    <s v="Dhruv Vyas"/>
    <n v="0"/>
  </r>
  <r>
    <n v="4250"/>
    <n v="20056092"/>
    <s v="Sidra Shireen Kabir"/>
    <s v="AM/NS Middle East FZE"/>
    <s v="Onroll"/>
    <s v="M-9"/>
    <n v="9"/>
    <m/>
    <s v="JM"/>
    <s v="F"/>
    <s v="Dubai"/>
    <n v="10"/>
    <s v="2502"/>
    <x v="10"/>
    <s v="14.01"/>
    <s v="Ranjan Dhar"/>
    <s v="Alain Legrix De La Salle"/>
    <n v="3"/>
    <s v="Sales &amp; Marketing"/>
    <s v="Sales &amp; Marketing"/>
    <s v="14"/>
    <s v="Lead Sales"/>
    <m/>
    <s v="Sales ME"/>
    <s v="Sales ME"/>
    <s v=""/>
    <s v=""/>
    <s v="Sales &amp; Marketing"/>
    <s v="Sales &amp; Marketing"/>
    <s v="73101001"/>
    <s v="Sales &amp; Marketing"/>
    <s v="Dubai"/>
    <d v="1991-11-19T00:00:00"/>
    <s v="31.09"/>
    <d v="2021-11-07T00:00:00"/>
    <d v="2049-11-30T00:00:00"/>
    <m/>
    <d v="2049-11-30T00:00:00"/>
    <n v="9568"/>
    <s v="B+"/>
    <s v="MBA-2016 , Intermediate-2009 , SSLC-2007"/>
    <s v="01.06"/>
    <s v="01.10"/>
    <s v="03.04"/>
    <s v="70495379"/>
    <s v="Chief Marketing Officer - AMNS ME FZE"/>
    <s v="263577"/>
    <s v="Sales Manager ME"/>
    <s v="AMNS Middle East FZE"/>
    <s v="0093720082"/>
    <s v="SC-Dubai-Marketing"/>
    <s v="DUBA2081"/>
    <s v="20055663"/>
    <s v="Karamath Syed"/>
    <s v="No"/>
    <s v="sidra.shireen@amns.in"/>
    <s v="971522086070"/>
    <s v="863293"/>
    <s v="Dhruv Vyas"/>
    <s v="Anil Matoo"/>
    <s v="Praveen Kuruvalli"/>
    <n v="0"/>
    <n v="0"/>
  </r>
  <r>
    <n v="4260"/>
    <n v="20056103"/>
    <s v="Megha Modi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Lead – Accounts Payable"/>
    <m/>
    <s v="Working Capital"/>
    <s v="Accounts Payable"/>
    <s v=""/>
    <s v="Non Technical Support"/>
    <s v=""/>
    <s v=""/>
    <s v=""/>
    <s v=""/>
    <s v="AM/NS Hazira"/>
    <d v="1990-03-10T00:00:00"/>
    <s v="33.06"/>
    <d v="2021-11-10T00:00:00"/>
    <d v="2048-03-31T00:00:00"/>
    <m/>
    <d v="2048-03-31T00:00:00"/>
    <n v="8959"/>
    <s v="AB+"/>
    <s v="CA Final-2015 , CS-2012 , CA Inter-2011"/>
    <s v="05.04"/>
    <s v="01.10"/>
    <s v="07.02"/>
    <s v="72150243"/>
    <s v="Accounts Payable"/>
    <s v="263869"/>
    <s v="Lead – Accounts Payable"/>
    <s v="Hazira"/>
    <s v="0031950045"/>
    <s v="HZ-Works Accounts-Ha"/>
    <s v="2000HWO"/>
    <s v="20001076"/>
    <s v="Bhavesh Modi"/>
    <s v="No"/>
    <s v="megha.modi@amns.in"/>
    <s v="9167041164"/>
    <s v="864739"/>
    <s v="Dhruv Vyas"/>
    <s v="Anil Matoo"/>
    <s v="Praveen Kuruvalli"/>
    <s v="Dhruv Vyas"/>
    <n v="0"/>
  </r>
  <r>
    <n v="4264"/>
    <n v="20056108"/>
    <s v="Farhan Mehboob Virani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Direct Tax"/>
    <m/>
    <s v="Taxation"/>
    <s v="Direct - Taxation"/>
    <s v=""/>
    <s v="Non Technical Support"/>
    <s v="Finance &amp; Accounts"/>
    <s v="Taxation"/>
    <s v="73904001"/>
    <s v="Direct Taxation"/>
    <s v="Mumbai"/>
    <d v="1990-01-04T00:00:00"/>
    <s v="33.08"/>
    <d v="2021-11-16T00:00:00"/>
    <d v="2048-01-31T00:00:00"/>
    <m/>
    <d v="2048-01-31T00:00:00"/>
    <n v="8899"/>
    <s v="B+"/>
    <s v="CA Final-2012 , BCom-2010 , Intermediate"/>
    <s v="09.06"/>
    <s v="01.10"/>
    <s v="11.03"/>
    <s v="00047291"/>
    <s v="Taxation"/>
    <s v="264178"/>
    <s v="Sr. Lead Direct Tax"/>
    <s v="Corporate"/>
    <s v="0090000033"/>
    <s v="Corporate Taxation"/>
    <s v="2000CS"/>
    <s v="20055494"/>
    <s v="Vikas Soni"/>
    <s v="No"/>
    <s v="farhan.virani@amns.in"/>
    <s v="9833688214"/>
    <s v="865028"/>
    <s v="Dhruv Vyas"/>
    <s v="Anil Matoo"/>
    <s v="Praveen Kuruvalli"/>
    <s v="Dhruv Vyas"/>
    <n v="0"/>
  </r>
  <r>
    <n v="4267"/>
    <n v="20056112"/>
    <s v="Arpit Patel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Stores &amp; Warehouse"/>
    <s v="Stores &amp; Warehouse"/>
    <s v=""/>
    <s v="Non Technical Support"/>
    <s v=""/>
    <s v=""/>
    <s v=""/>
    <s v=""/>
    <s v="Hazira"/>
    <d v="1990-11-02T00:00:00"/>
    <s v="32.10"/>
    <d v="2021-11-01T00:00:00"/>
    <d v="2048-11-30T00:00:00"/>
    <m/>
    <d v="2048-11-30T00:00:00"/>
    <n v="9203"/>
    <s v=""/>
    <s v="Diploma-2011 , SSLC-2006"/>
    <s v=""/>
    <s v="01.10"/>
    <s v="01.10"/>
    <s v="00053278"/>
    <s v="GRN/Documentation/Issue - Plant A"/>
    <s v="264667"/>
    <s v="Engineer"/>
    <s v="Hazira"/>
    <s v="0031950049"/>
    <s v="HZ-Central Stores"/>
    <s v="2000HWO"/>
    <s v="20002587"/>
    <s v="Seema Mehta"/>
    <s v="No"/>
    <s v="arpit.patel2@amns.in"/>
    <s v="9909901723"/>
    <s v="792038"/>
    <s v="Dhruv Vyas"/>
    <s v="Anil Matoo"/>
    <s v="Praveen Kuruvalli"/>
    <s v="Dhruv Vyas"/>
    <n v="0"/>
  </r>
  <r>
    <n v="4285"/>
    <n v="20056133"/>
    <s v="Mukesh Kumar Agrawal"/>
    <s v="AM/NS India"/>
    <s v="Onroll"/>
    <s v="M-6"/>
    <n v="6"/>
    <m/>
    <s v="MM"/>
    <s v="M"/>
    <s v="Hazira"/>
    <n v="1"/>
    <s v="2162"/>
    <x v="18"/>
    <s v="33.01"/>
    <s v="Hrishikesh Kamat"/>
    <s v="Hrishikesh Kamat"/>
    <n v="7"/>
    <s v="Procurement"/>
    <s v="Shipping &amp; Chartering"/>
    <s v="33"/>
    <s v="Sr. Lead – Chartering"/>
    <m/>
    <s v="Shipping &amp; Chartering"/>
    <s v=""/>
    <s v=""/>
    <s v="Tech. Support Services"/>
    <s v="Commercial"/>
    <s v="Procurement"/>
    <s v="73803001"/>
    <s v="Procurement"/>
    <s v="AM/NS Hazira"/>
    <d v="1983-04-08T00:00:00"/>
    <s v="40.05"/>
    <d v="2021-11-18T00:00:00"/>
    <d v="2041-04-30T00:00:00"/>
    <m/>
    <d v="2041-04-30T00:00:00"/>
    <n v="6432"/>
    <s v="B+"/>
    <s v="PG Diploma-2012 , BSc-2010 , Diploma-200"/>
    <s v="13.09"/>
    <s v="01.10"/>
    <s v="15.06"/>
    <s v="70494731"/>
    <s v="Ports &amp; Chartering"/>
    <s v="264778"/>
    <s v="Sr. Lead – Chartering"/>
    <s v="Hazira"/>
    <s v="0031950062"/>
    <s v="Hz-Ports"/>
    <s v="2000HWO"/>
    <s v="20055075"/>
    <s v="Ashutosh Mathur"/>
    <s v="No"/>
    <s v="mukesh.agrawal@amns.in"/>
    <s v="9470152393"/>
    <s v="865525"/>
    <s v="Dhruv Vyas"/>
    <s v="Anil Matoo"/>
    <s v="Praveen Kuruvalli"/>
    <s v="Dhruv Vyas"/>
    <n v="0"/>
  </r>
  <r>
    <n v="4289"/>
    <n v="20056138"/>
    <s v="Vishal Gautam"/>
    <s v="AM/NS India"/>
    <s v="Onroll"/>
    <s v="M-9"/>
    <n v="9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Hypermart"/>
    <s v=""/>
    <s v="Non Technical Support"/>
    <s v="Sales &amp; Marketing"/>
    <s v="Sales"/>
    <s v="73104001"/>
    <s v="Sales"/>
    <s v="Jammu"/>
    <d v="1988-09-10T00:00:00"/>
    <s v="35.00"/>
    <d v="2021-11-18T00:00:00"/>
    <d v="2046-09-30T00:00:00"/>
    <m/>
    <d v="2046-09-30T00:00:00"/>
    <n v="8411"/>
    <s v="B+"/>
    <s v="MBA-2013 , BTech-2010 , Intermediate-200"/>
    <s v="08.04"/>
    <s v="01.10"/>
    <s v="10.02"/>
    <s v="00052526"/>
    <s v="Sales - North"/>
    <s v="266028"/>
    <s v="Sales Manager - Hypermart"/>
    <s v="Hypermart"/>
    <s v="0060121100"/>
    <s v="HMART-Jammu"/>
    <s v="2000SPRJ"/>
    <s v="20007322"/>
    <s v="Sanjay Bohra"/>
    <s v="No"/>
    <s v="vishal.gautam@amns.in"/>
    <s v="7341100804"/>
    <s v="867110"/>
    <s v="Dhruv Vyas"/>
    <s v="Anil Matoo"/>
    <s v="Praveen Kuruvalli"/>
    <s v="Dhruv Vyas"/>
    <n v="0"/>
  </r>
  <r>
    <n v="4297"/>
    <n v="20056146"/>
    <s v="Asvinbhai Sutarsandhiya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– Costing &amp; Budgeting"/>
    <m/>
    <s v="Performance Management"/>
    <s v="Performance Management"/>
    <s v=""/>
    <s v="Non Technical Support"/>
    <s v="Finance &amp; Accounts"/>
    <s v="Costing"/>
    <s v="73906001"/>
    <s v="Costing"/>
    <s v="AM/NS Hazira"/>
    <d v="1983-01-21T00:00:00"/>
    <s v="40.07"/>
    <d v="2021-12-06T00:00:00"/>
    <d v="2041-01-31T00:00:00"/>
    <m/>
    <d v="2041-01-31T00:00:00"/>
    <n v="6343"/>
    <s v="O+"/>
    <s v="Bachelor Equivalent-2006 , BCom-2003 , I"/>
    <s v="15.00"/>
    <s v="01.09"/>
    <s v="16.09"/>
    <s v="00045632"/>
    <s v="Costing &amp; Budgeting"/>
    <s v="266442"/>
    <s v="Sr. Lead – Costing &amp; Budgeting"/>
    <s v="Hazira"/>
    <s v="0031950043"/>
    <s v="HZ-Performance Manag"/>
    <s v="2000HWO"/>
    <s v="20003280"/>
    <s v="Chetan Jansari"/>
    <s v="No"/>
    <s v="asvin.sutarsandhiya@amns.in"/>
    <s v="9978808233"/>
    <s v="868218"/>
    <s v="Dhruv Vyas"/>
    <s v="Anil Matoo"/>
    <s v="Praveen Kuruvalli"/>
    <s v="Dhruv Vyas"/>
    <n v="0"/>
  </r>
  <r>
    <n v="4302"/>
    <n v="20056151"/>
    <s v="Sweta Jain"/>
    <s v="AM/NS India"/>
    <s v="Onroll"/>
    <s v="M-9"/>
    <n v="9"/>
    <m/>
    <s v="JM"/>
    <s v="F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Finance &amp; Accounts"/>
    <s v="Insurance &amp; Risk Management"/>
    <s v="73905001"/>
    <s v="Insurance &amp; Risk Managmen"/>
    <s v="AM/NS Hazira"/>
    <d v="1987-12-18T00:00:00"/>
    <s v="35.09"/>
    <d v="2021-12-01T00:00:00"/>
    <d v="2045-12-31T00:00:00"/>
    <m/>
    <d v="2045-12-31T00:00:00"/>
    <n v="8138"/>
    <s v="B+"/>
    <s v="CA Final-2012 , CS-2010 , BCom-2009 , In"/>
    <s v="06.10"/>
    <s v="01.09"/>
    <s v="08.07"/>
    <s v="00044330"/>
    <s v="Internal Audit - Hazira"/>
    <s v="266447"/>
    <s v="Lead - Internal Audit"/>
    <s v="Hazira"/>
    <s v="0090000035"/>
    <s v="Internal Audit"/>
    <s v="2000HWO"/>
    <s v="20028777"/>
    <s v="Narendra Dugar"/>
    <s v="No"/>
    <s v="sweta.jain@amns.in"/>
    <s v="8469584418"/>
    <s v="25135"/>
    <s v="Dhruv Vyas"/>
    <s v="Anil Matoo"/>
    <s v="Praveen Kuruvalli"/>
    <s v="Dhruv Vyas"/>
    <n v="0"/>
  </r>
  <r>
    <n v="4304"/>
    <n v="20056155"/>
    <s v="Kondapalli Venkateswarlu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– Technical Marketing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Noida"/>
    <d v="1972-06-16T00:00:00"/>
    <s v="51.03"/>
    <d v="2021-12-07T00:00:00"/>
    <d v="2030-06-30T00:00:00"/>
    <m/>
    <d v="2030-06-30T00:00:00"/>
    <n v="2475"/>
    <s v="B+"/>
    <s v="MTech-1999 , BTech-1996 , Diploma-1995 ,"/>
    <s v="23.06"/>
    <s v="01.09"/>
    <s v="25.03"/>
    <s v="00052460"/>
    <s v="Auto &amp; YG"/>
    <s v="266697"/>
    <s v="Section Head – Auto and YG"/>
    <s v="Corporate"/>
    <s v="0080000005"/>
    <s v="Global Markets Team"/>
    <s v="2000CS"/>
    <s v="20008508"/>
    <s v="Satyajit Mohapatra"/>
    <s v="No"/>
    <s v="venkat.kondapalli@amns.in"/>
    <s v="9560982229"/>
    <s v="2505"/>
    <s v="Dhruv Vyas"/>
    <s v="Anil Matoo"/>
    <s v="Praveen Kuruvalli"/>
    <s v="Dhruv Vyas"/>
    <n v="0"/>
  </r>
  <r>
    <n v="4305"/>
    <n v="20056156"/>
    <s v="Gayatri Patel"/>
    <s v="AM/NS India"/>
    <s v="Onroll"/>
    <s v="M-9"/>
    <n v="9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Lead - Post PO"/>
    <m/>
    <s v="Procurement MRO Hazira"/>
    <s v="Procurement"/>
    <s v=""/>
    <s v="Non Technical Support"/>
    <s v="Commercial"/>
    <s v="Procurement"/>
    <s v="73803001"/>
    <s v="Procurement"/>
    <s v="AM/NS Hazira"/>
    <d v="1975-05-05T00:00:00"/>
    <s v="48.04"/>
    <d v="2021-12-13T00:00:00"/>
    <d v="2033-05-31T00:00:00"/>
    <m/>
    <d v="2033-05-31T00:00:00"/>
    <n v="3541"/>
    <s v="B+"/>
    <s v="BCom-1996 , Intermediate-1992 , SSLC-199"/>
    <s v="10.01"/>
    <s v="01.09"/>
    <s v="11.09"/>
    <s v="72150383"/>
    <s v="Procurement (MRO/IP &amp; Consumable)"/>
    <s v="266695"/>
    <s v="Lead - Post PO"/>
    <s v="Hazira"/>
    <s v="0031950048"/>
    <s v="HZ-Procurment Depart"/>
    <s v="2000HWO"/>
    <s v="20000201"/>
    <s v="Manish Bakriwala"/>
    <s v="No"/>
    <s v="gayatri.patel@amns.in"/>
    <s v="8160962096"/>
    <s v="869494"/>
    <s v="Dhruv Vyas"/>
    <s v="Anil Matoo"/>
    <s v="Praveen Kuruvalli"/>
    <s v="Dhruv Vyas"/>
    <n v="0"/>
  </r>
  <r>
    <n v="4306"/>
    <n v="20056157"/>
    <s v="Sujit Kumar Mohanty"/>
    <s v="AM/NS India"/>
    <s v="Onroll"/>
    <s v="M-9"/>
    <n v="9"/>
    <m/>
    <s v="JM"/>
    <s v="M"/>
    <s v="Odisha"/>
    <n v="2"/>
    <s v="2095"/>
    <x v="4"/>
    <n v="36.01"/>
    <s v="Deepak Sindkar"/>
    <s v="Hrishikesh Kamat"/>
    <n v="7"/>
    <s v="Procurement"/>
    <s v="Raw Materials"/>
    <s v="36"/>
    <s v="Lead - Logistics, Beneficiation"/>
    <m/>
    <s v="Bulk Raw Materials"/>
    <s v="Raw Material"/>
    <s v=""/>
    <s v="Non Technical Support"/>
    <s v="Commercial"/>
    <s v="Procurement"/>
    <s v="73803001"/>
    <s v="Procurement"/>
    <s v="Dabuna"/>
    <d v="1982-07-07T00:00:00"/>
    <s v="41.02"/>
    <d v="2021-12-01T00:00:00"/>
    <d v="2040-07-31T00:00:00"/>
    <m/>
    <d v="2040-07-31T00:00:00"/>
    <n v="6159"/>
    <s v="O+"/>
    <s v="MBA-2017 , BA-2002 , Intermediate-1999 ,"/>
    <s v="17.02"/>
    <s v="01.09"/>
    <s v="18.11"/>
    <s v="70318846"/>
    <s v="Logistics &amp; Tailing Management"/>
    <s v="267037"/>
    <s v="Lead - Logistics, Beneficiation"/>
    <s v="Odisha"/>
    <s v="0022010019"/>
    <s v="DBN-Benf-HR/Admin"/>
    <s v="2000STORIS"/>
    <s v="20006499"/>
    <s v="Jaikishan Sharma"/>
    <s v="No"/>
    <s v="sujitkumar.mohanty@amns.in"/>
    <s v="8599008702"/>
    <s v="869498"/>
    <s v="Sunila Das"/>
    <s v="Anil Matoo"/>
    <s v="Praveen Kuruvalli"/>
    <s v="Sunila Das"/>
    <n v="0"/>
  </r>
  <r>
    <n v="4308"/>
    <n v="20056160"/>
    <s v="Sindha Kiransinh"/>
    <s v="AM/NS India"/>
    <s v="Onroll"/>
    <s v="M-9"/>
    <n v="9"/>
    <m/>
    <s v="JM"/>
    <s v="M"/>
    <s v="Hazira"/>
    <n v="1"/>
    <s v="2094"/>
    <x v="21"/>
    <s v="27.10"/>
    <s v="Vikas Chandra Yadvendu"/>
    <s v="Ashutosh Telang"/>
    <n v="6"/>
    <s v="HR &amp; Administration"/>
    <s v="Corporate SocialResponsibility"/>
    <s v="27"/>
    <s v="Lead - CSR Hazira"/>
    <m/>
    <s v=""/>
    <s v=""/>
    <s v=""/>
    <s v="Non Technical Support"/>
    <s v="Corporate Social Responsibility"/>
    <s v="Corporate Social Responsibility"/>
    <s v="75001001"/>
    <s v="Corporate Social Responsi"/>
    <s v="Hazira"/>
    <d v="1988-07-28T00:00:00"/>
    <s v="35.01"/>
    <d v="2021-12-16T00:00:00"/>
    <d v="2046-07-31T00:00:00"/>
    <m/>
    <d v="2046-07-31T00:00:00"/>
    <n v="8350"/>
    <s v="O+"/>
    <s v="LLM-2019 , LLB-2017 , MSW-2010 , BA-2008"/>
    <s v="09.01"/>
    <s v="01.09"/>
    <s v="10.09"/>
    <s v="70495661"/>
    <s v="Corporate Social Responsibility"/>
    <s v="267040"/>
    <s v="Lead - CSR Hazira"/>
    <s v="Hazira"/>
    <s v="0022030019"/>
    <s v="PDP-HR &amp; Admn"/>
    <s v="2000HWO"/>
    <s v="20055033"/>
    <s v="Vikas Chandra Yadvendu"/>
    <s v="No"/>
    <s v="kiransinh.sindha@amns.in"/>
    <s v="9998993472"/>
    <s v="869501"/>
    <s v="Dhruv Vyas"/>
    <s v="Anil Matoo"/>
    <s v="Praveen Kuruvalli"/>
    <s v="Dhruv Vyas"/>
    <n v="0"/>
  </r>
  <r>
    <n v="4311"/>
    <n v="20056164"/>
    <s v="Sukesh Kumar Jena"/>
    <s v="AM/NS India"/>
    <s v="Onroll"/>
    <s v="M-8"/>
    <n v="8"/>
    <m/>
    <s v="JM"/>
    <s v="M"/>
    <s v="Mining"/>
    <n v="8"/>
    <s v="2043"/>
    <x v="3"/>
    <s v="31.01"/>
    <s v="Hrishikesh Kamat"/>
    <s v="Hrishikesh Kamat"/>
    <n v="7"/>
    <s v="Procurement"/>
    <s v="Procurement"/>
    <s v="31"/>
    <s v="Sr. Lead - Procurement &amp; Contracts"/>
    <m/>
    <s v="Procurement &amp; Account"/>
    <s v="Procurement"/>
    <s v=""/>
    <s v="Non Technical Support"/>
    <s v="Operations"/>
    <s v="Operations"/>
    <s v="72103001"/>
    <s v="Operations"/>
    <s v="Barbil"/>
    <d v="1985-06-03T00:00:00"/>
    <s v="38.03"/>
    <d v="2021-12-09T00:00:00"/>
    <d v="2043-06-30T00:00:00"/>
    <m/>
    <d v="2043-06-30T00:00:00"/>
    <n v="7223"/>
    <s v="O+"/>
    <s v="PG Diploma-2019 , AMIE-2015 , Diploma-20"/>
    <s v="13.08"/>
    <s v="01.09"/>
    <s v="15.05"/>
    <s v="70407583"/>
    <s v="Procurement - Odisha Asset"/>
    <s v="267301"/>
    <s v="Sr. Lead - Procurement &amp; Contracts"/>
    <s v="Odisha"/>
    <s v="0011000018"/>
    <s v="Sagasahi Mine HR"/>
    <s v="2000STORIS"/>
    <s v="20055692"/>
    <s v="Rajiv Ranjan"/>
    <s v="No"/>
    <s v="sukesh.jena@amns.in"/>
    <s v="7978754748"/>
    <s v="869940"/>
    <s v="Pramod Sinha"/>
    <s v="Anil Matoo"/>
    <s v="Praveen Kuruvalli"/>
    <s v="Dhruv Vyas"/>
    <n v="0"/>
  </r>
  <r>
    <n v="4313"/>
    <n v="20056166"/>
    <s v="Sachin Dubal"/>
    <s v="AM/NS India"/>
    <s v="Onroll"/>
    <s v="M-9"/>
    <n v="9"/>
    <m/>
    <s v="J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Lead - Human Resource "/>
    <m/>
    <s v="Human Resources"/>
    <s v="Human Resources"/>
    <s v="Human Resources"/>
    <s v="Non Technical Support"/>
    <s v="Human Resources Management"/>
    <s v="Human Resources Management"/>
    <s v="73501001"/>
    <s v="Human Resources"/>
    <s v="Pune"/>
    <d v="1984-05-28T00:00:00"/>
    <s v="39.03"/>
    <d v="2021-12-24T00:00:00"/>
    <d v="2042-05-31T00:00:00"/>
    <m/>
    <d v="2042-05-31T00:00:00"/>
    <n v="6828"/>
    <s v="AB+"/>
    <s v="MSW-2010 , BCom-2005 , Intermediate-2002"/>
    <s v="10.03"/>
    <s v="01.08"/>
    <s v="12.00"/>
    <s v="00044376"/>
    <s v="Service Center &amp; Hypermart HR"/>
    <s v="267740"/>
    <s v="Lead - Human Resource"/>
    <s v="Service Center"/>
    <s v="0040020019"/>
    <s v="SC-Pune-Op1-HR-Admin"/>
    <s v="2000SPRJ"/>
    <s v="20057135"/>
    <s v="RAHUL RAJ"/>
    <s v="No"/>
    <s v="sachin.dubal@amns.in"/>
    <s v="09823559800"/>
    <s v="25463"/>
    <s v="Dhruv Vyas"/>
    <s v="Anil Matoo"/>
    <s v="Praveen Kuruvalli"/>
    <s v="Dhruv Vyas"/>
    <n v="0"/>
  </r>
  <r>
    <n v="4314"/>
    <n v="20056168"/>
    <s v="Debasis Swain"/>
    <s v="AM/NS India"/>
    <s v="Onroll"/>
    <s v="M-9"/>
    <n v="9"/>
    <m/>
    <s v="JM"/>
    <s v="M"/>
    <s v="Odisha"/>
    <n v="2"/>
    <s v="2094"/>
    <x v="21"/>
    <s v="27.10"/>
    <s v="Vikas Chandra Yadvendu"/>
    <s v="Ashutosh Telang"/>
    <n v="6"/>
    <s v="HR &amp; Administration"/>
    <s v="Corporate SocialResponsibility"/>
    <s v="27"/>
    <s v="Lead - CSR"/>
    <m/>
    <s v="Odisha Operations"/>
    <s v=""/>
    <s v=""/>
    <s v="Non Technical Support"/>
    <s v="Corporate Social Responsibility"/>
    <s v="Corporate Social Responsibility"/>
    <s v="75001001"/>
    <s v="Corporate Social Responsi"/>
    <s v="Paradeep"/>
    <d v="1980-03-23T00:00:00"/>
    <s v="43.05"/>
    <d v="2021-12-27T00:00:00"/>
    <d v="2038-03-31T00:00:00"/>
    <m/>
    <d v="2038-03-31T00:00:00"/>
    <n v="5306"/>
    <s v="AB+"/>
    <s v="MA-2005 , BA-2002 , Diploma-1999 , Inter"/>
    <s v="14.07"/>
    <s v="01.08"/>
    <s v="16.03"/>
    <s v="70495661"/>
    <s v="Corporate Social Responsibility"/>
    <s v="267748"/>
    <s v="Lead - CSR"/>
    <s v="Odisha"/>
    <s v="0022030019"/>
    <s v="PDP-HR &amp; Admn"/>
    <s v="2000STORIS"/>
    <s v="20055033"/>
    <s v="Vikas Chandra Yadvendu"/>
    <s v="No"/>
    <s v="debasis.swain@amns.in"/>
    <s v="9937332988"/>
    <s v="870752"/>
    <s v="Sunila Das"/>
    <s v="Anil Matoo"/>
    <s v="Praveen Kuruvalli"/>
    <s v="Sunila Das"/>
    <n v="0"/>
  </r>
  <r>
    <n v="4322"/>
    <n v="20056177"/>
    <s v="Manoj Kumar Nayak"/>
    <s v="AM/NS India"/>
    <s v="Onroll"/>
    <s v="M-9"/>
    <n v="9"/>
    <m/>
    <s v="JM"/>
    <s v="M"/>
    <s v="Mining"/>
    <n v="8"/>
    <s v="2013"/>
    <x v="0"/>
    <s v="20.01"/>
    <s v="Akiyo Omori"/>
    <s v="Amit Harlalka"/>
    <n v="5"/>
    <s v="Finance &amp; Accounts"/>
    <s v="Finance &amp; Accounts"/>
    <s v="20"/>
    <s v="Lead - Finance &amp; Accounts"/>
    <m/>
    <s v="Finance &amp; Accounts"/>
    <s v="Finance &amp; Accounts"/>
    <s v=""/>
    <s v="Non Technical Support"/>
    <s v="Commercial"/>
    <s v="Commercial"/>
    <s v="73801001"/>
    <s v="Commercial"/>
    <s v="Barbil"/>
    <d v="1988-04-20T00:00:00"/>
    <s v="35.05"/>
    <d v="2021-12-27T00:00:00"/>
    <d v="2046-04-30T00:00:00"/>
    <m/>
    <d v="2046-04-30T00:00:00"/>
    <n v="8258"/>
    <s v="O+"/>
    <s v="PG Diploma-2011 , BCom-2008 , Intermedia"/>
    <s v="09.05"/>
    <s v="01.08"/>
    <s v="11.02"/>
    <s v="00048985"/>
    <s v="Finance &amp; Accounting"/>
    <s v="268031"/>
    <s v="Lead - Finance &amp; Accounts"/>
    <s v="Odisha"/>
    <s v="0011000018"/>
    <s v="Sagasahi Mine HR"/>
    <s v="2000STORIS"/>
    <s v="20055720"/>
    <s v="Sambit Kumar Mohapatra"/>
    <s v="No"/>
    <s v="manoj.nayak@amns.in"/>
    <s v="9776062551"/>
    <s v="871258"/>
    <s v="Pramod Sinha"/>
    <s v="Anil Matoo"/>
    <s v="Praveen Kuruvalli"/>
    <s v="Pramod Sinha"/>
    <n v="0"/>
  </r>
  <r>
    <n v="4323"/>
    <n v="20056178"/>
    <s v="Aakansha Sinha"/>
    <s v="AM/NS India"/>
    <s v="Onroll"/>
    <s v="M-8"/>
    <n v="8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MT – HR"/>
    <m/>
    <s v="Human Resources"/>
    <s v=""/>
    <s v=""/>
    <s v="Non Technical Support"/>
    <s v="Human Resources Management"/>
    <s v="Human Resources Management"/>
    <s v="73501001"/>
    <s v="Human Resources"/>
    <s v="Hazira"/>
    <d v="1993-05-14T00:00:00"/>
    <s v="30.04"/>
    <d v="2022-01-04T00:00:00"/>
    <d v="2051-05-31T00:00:00"/>
    <m/>
    <d v="2051-05-31T00:00:00"/>
    <n v="10115"/>
    <s v="B+"/>
    <s v="MBA-2021 , BTech-2016 , Intermediate-201"/>
    <s v="03.00"/>
    <s v="01.08"/>
    <s v="04.09"/>
    <s v="70492872"/>
    <s v="Talent Management &amp; OD"/>
    <s v="268023"/>
    <s v="MT – HR"/>
    <s v="Corporate"/>
    <s v="0031950061"/>
    <s v="HZ-Human Resource"/>
    <s v="2000CS"/>
    <s v="20054232"/>
    <s v="Imran Mohammad"/>
    <s v="No"/>
    <s v="aakansha.sinha@amns.in"/>
    <s v="8976785837"/>
    <s v="871302"/>
    <s v="Dhruv Vyas"/>
    <s v="Anil Matoo"/>
    <s v="Praveen Kuruvalli"/>
    <s v="Dhruv Vyas"/>
    <n v="0"/>
  </r>
  <r>
    <n v="4327"/>
    <n v="20056185"/>
    <s v="Satish Kumar Charchi"/>
    <s v="AM/NS India"/>
    <s v="Onroll"/>
    <s v="M-8"/>
    <n v="8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Lead Costing &amp; Budgeting"/>
    <m/>
    <s v="Finance &amp; Accounts - Odisha"/>
    <s v="Finance &amp; Accounts"/>
    <s v=""/>
    <s v="Non Technical Support"/>
    <s v="Finance &amp; Accounts"/>
    <s v="Finance &amp; Accounts"/>
    <s v="73901001"/>
    <s v="Finance &amp; Accounts"/>
    <s v="Dabuna"/>
    <d v="1983-06-08T00:00:00"/>
    <s v="40.03"/>
    <d v="2022-01-03T00:00:00"/>
    <d v="2041-06-30T00:00:00"/>
    <m/>
    <d v="2041-06-30T00:00:00"/>
    <n v="6493"/>
    <s v="B+"/>
    <s v="MCom-2014 , BCom-2003 , Intermediate-200"/>
    <s v="17.02"/>
    <s v="01.08"/>
    <s v="18.10"/>
    <s v="70234933"/>
    <s v="Finance &amp; Accounts - Odisha"/>
    <s v="268035"/>
    <s v="Lead Costing &amp; Budgeting"/>
    <s v="Odisha"/>
    <s v="0022030019"/>
    <s v="PDP-HR &amp; Admn"/>
    <s v="2000STORIS"/>
    <s v="20055801"/>
    <s v="Sanjive Kumar Singh"/>
    <s v="No"/>
    <s v="satishkumar.charchi@amns.in"/>
    <s v="8340510261"/>
    <s v="871591"/>
    <s v="Sunila Das"/>
    <s v="Anil Matoo"/>
    <s v="Praveen Kuruvalli"/>
    <s v="Sunila Das"/>
    <n v="0"/>
  </r>
  <r>
    <n v="4332"/>
    <n v="20056191"/>
    <s v="Deepti Mahakud"/>
    <s v="AM/NS India"/>
    <s v="Onroll"/>
    <s v="M-10"/>
    <n v="10"/>
    <m/>
    <s v="JM"/>
    <s v="F"/>
    <s v="Pune Facility"/>
    <n v="4"/>
    <s v="2043"/>
    <x v="3"/>
    <s v="31.01"/>
    <s v="Hrishikesh Kamat"/>
    <s v="Hrishikesh Kamat"/>
    <n v="7"/>
    <s v="Procurement"/>
    <s v="Procurement"/>
    <s v="31"/>
    <s v="Lead - Procurement"/>
    <m/>
    <s v="Pune Operations"/>
    <s v=""/>
    <s v=""/>
    <s v="Non Technical Support"/>
    <s v="Commercial"/>
    <s v="Procurement"/>
    <s v="73803001"/>
    <s v="Procurement"/>
    <s v="Pune"/>
    <d v="1994-01-04T00:00:00"/>
    <s v="29.08"/>
    <d v="2022-01-05T00:00:00"/>
    <d v="2052-01-31T00:00:00"/>
    <m/>
    <d v="2052-01-31T00:00:00"/>
    <n v="10360"/>
    <s v="A+"/>
    <s v="BTech-2017 , Diploma-2013 , SSLC-2009"/>
    <s v="03.11"/>
    <s v="01.08"/>
    <s v="05.07"/>
    <s v="73800002"/>
    <s v="Procurement - Pune Asset"/>
    <s v="268668"/>
    <s v="Lead - Procurement"/>
    <s v="Pune Facility"/>
    <s v="0035950041"/>
    <s v="Pune-Procurement"/>
    <s v="2000ESPF"/>
    <s v="20006536"/>
    <s v="Mahesh Salunke"/>
    <s v="No"/>
    <s v="deepti.mahakud@amns.in"/>
    <s v="7894458192"/>
    <s v="872213"/>
    <s v="Roshan Farkunde"/>
    <s v="Anil Matoo"/>
    <n v="0"/>
    <s v="Surinder Choudhary"/>
    <s v="Robin Patel"/>
  </r>
  <r>
    <n v="4374"/>
    <n v="20056246"/>
    <s v="Soumitra Patnaik"/>
    <s v="AM/NS India"/>
    <s v="Onroll"/>
    <s v="M-4"/>
    <n v="4"/>
    <m/>
    <s v="SM"/>
    <s v="M"/>
    <s v="Odisha"/>
    <n v="2"/>
    <s v="2069"/>
    <x v="8"/>
    <s v="25.01"/>
    <s v="Bibek Chattopadhyay"/>
    <s v="Ashutosh Telang"/>
    <n v="6"/>
    <s v="HR &amp; Administration"/>
    <s v="Corporate Communications"/>
    <s v="25"/>
    <s v="Head  Corporate Communication, Odisha"/>
    <m/>
    <s v="Corporate Communication"/>
    <s v="Corporate Communication"/>
    <s v="Corporate Communication"/>
    <s v="Non Technical Support"/>
    <s v="Corporate Communication"/>
    <s v="Corporate Communication"/>
    <s v="74001001"/>
    <s v="Corporate Communication"/>
    <s v="Bhubaneswar"/>
    <d v="1969-01-14T00:00:00"/>
    <s v="54.08"/>
    <d v="2022-01-17T00:00:00"/>
    <d v="2027-01-31T00:00:00"/>
    <m/>
    <d v="2027-01-31T00:00:00"/>
    <n v="1229"/>
    <s v="O+"/>
    <s v="PG Diploma-1999 , MBA-1990 , BA-1987 , I"/>
    <s v="26.07"/>
    <s v="01.08"/>
    <s v="28.03"/>
    <s v="00046762"/>
    <s v="Communiation &amp; Media Relations Odisha"/>
    <s v="271590"/>
    <s v="Head  Corporate Communication"/>
    <s v="Odisha"/>
    <s v="0090000016"/>
    <s v="Corporate Steel - Co"/>
    <s v="2000STORIS"/>
    <s v="20055187"/>
    <s v="Bibek Chattopadhyay"/>
    <s v="No"/>
    <s v="soumitra.patnaik@amns.in"/>
    <s v="9937012643"/>
    <s v="876159"/>
    <s v="Sunila Das"/>
    <s v="Anil Matoo"/>
    <s v="Praveen Kuruvalli"/>
    <s v="Sunila Das"/>
    <n v="0"/>
  </r>
  <r>
    <n v="4375"/>
    <n v="20056247"/>
    <s v="Asit Samantaray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 Insurance"/>
    <m/>
    <s v="Risk &amp; Insurance"/>
    <s v="Risk &amp; Insurance"/>
    <s v=""/>
    <s v="Non Technical Support"/>
    <s v="Finance &amp; Accounts"/>
    <s v="Finance &amp; Accounts"/>
    <s v="73901001"/>
    <s v="Finance &amp; Accounts"/>
    <s v="AM/NS Hazira"/>
    <d v="1984-06-05T00:00:00"/>
    <s v="39.03"/>
    <d v="2022-01-17T00:00:00"/>
    <d v="2042-06-30T00:00:00"/>
    <m/>
    <d v="2042-06-30T00:00:00"/>
    <n v="6858"/>
    <s v="B+"/>
    <s v="PG Diploma-2011 , BE-2006 , Intermediate"/>
    <s v="12.06"/>
    <s v="01.08"/>
    <s v="14.02"/>
    <s v="70447071"/>
    <s v="Insurance &amp; Financial Risk"/>
    <s v="271587"/>
    <s v="Sr. Lead  Insurance"/>
    <s v="Hazira"/>
    <s v="0090000028"/>
    <s v="Corporate Steel - Wo"/>
    <s v="2000HWO"/>
    <s v="20017504"/>
    <s v="Appi Reddy Guttikonda"/>
    <s v="No"/>
    <s v="asit.samantaray@amns.in"/>
    <s v="8885299752"/>
    <s v="876251"/>
    <s v="Dhruv Vyas"/>
    <s v="Anil Matoo"/>
    <s v="Praveen Kuruvalli"/>
    <s v="Dhruv Vyas"/>
    <n v="0"/>
  </r>
  <r>
    <n v="4377"/>
    <n v="20056250"/>
    <s v="Nirmal Patel"/>
    <s v="AM/NS India"/>
    <s v="Onroll"/>
    <s v="M-9"/>
    <n v="9"/>
    <m/>
    <s v="JM"/>
    <s v="M"/>
    <s v="Hazira"/>
    <n v="1"/>
    <s v="2095"/>
    <x v="4"/>
    <n v="36.01"/>
    <s v="Deepak Sindkar"/>
    <s v="Hrishikesh Kamat"/>
    <n v="7"/>
    <s v="Procurement"/>
    <s v="Raw Materials"/>
    <s v="36"/>
    <s v="Lead Bulk Rawmaterial"/>
    <m/>
    <s v="Bulk Raw Materials"/>
    <s v="Power &amp; Gas"/>
    <s v=""/>
    <s v="Non Technical Support"/>
    <s v="Commercial"/>
    <s v="Procurement"/>
    <s v="73803001"/>
    <s v="Procurement"/>
    <s v="AM/NS Hazira"/>
    <d v="1993-05-08T00:00:00"/>
    <s v="30.04"/>
    <d v="2022-01-24T00:00:00"/>
    <d v="2051-05-31T00:00:00"/>
    <m/>
    <d v="2051-05-31T00:00:00"/>
    <n v="10115"/>
    <s v="B+"/>
    <s v="PG Diploma in Management-2020 , BE-2016"/>
    <s v="02.07"/>
    <s v="01.07"/>
    <s v="04.02"/>
    <s v="00045894"/>
    <s v="Blacks"/>
    <s v="271588"/>
    <s v="Lead Bulk Rawmaterial"/>
    <s v="Hazira"/>
    <s v="0031950048"/>
    <s v="HZ-Procurment Depart"/>
    <s v="2000HWO"/>
    <s v="20001577"/>
    <s v="Prakash Thakur"/>
    <s v="No"/>
    <s v="nirmal.patel@amns.in"/>
    <s v="9067007922"/>
    <s v="876287"/>
    <s v="Dhruv Vyas"/>
    <s v="Anil Matoo"/>
    <s v="Praveen Kuruvalli"/>
    <s v="Dhruv Vyas"/>
    <n v="0"/>
  </r>
  <r>
    <n v="4383"/>
    <n v="20056258"/>
    <s v="Dhwanil Dave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 Capex Procurement"/>
    <m/>
    <s v="Procurement MRO Hazira"/>
    <s v="Procurement"/>
    <s v=""/>
    <s v="Non Technical Support"/>
    <s v="Operations"/>
    <s v="Operations"/>
    <s v="72103001"/>
    <s v="Operations"/>
    <s v="Hazira"/>
    <d v="1996-10-18T00:00:00"/>
    <s v="26.11"/>
    <d v="2022-01-31T00:00:00"/>
    <d v="2054-10-31T00:00:00"/>
    <m/>
    <d v="2054-10-31T00:00:00"/>
    <n v="11364"/>
    <s v="B+"/>
    <s v="MSc-2019 , BE-2018 , Diploma-2015 , SSLC"/>
    <s v="01.11"/>
    <s v="01.07"/>
    <s v="03.06"/>
    <s v="00049359"/>
    <s v="Capex Services"/>
    <s v="271599"/>
    <s v="Officer  Capex Procurement"/>
    <s v="Hazira"/>
    <s v="0031950059"/>
    <s v="HZ-Hazira Project"/>
    <s v="2000HWO"/>
    <s v="20055446"/>
    <s v="Chitrang Rana"/>
    <s v="No"/>
    <s v="dhwanil.dave@amns.in"/>
    <s v="9429486865"/>
    <s v="876961"/>
    <s v="Dhruv Vyas"/>
    <s v="Anil Matoo"/>
    <s v="Praveen Kuruvalli"/>
    <s v="Dhruv Vyas"/>
    <n v="0"/>
  </r>
  <r>
    <n v="4389"/>
    <n v="20056268"/>
    <s v="Bhavsar Shalini Ishan"/>
    <s v="AM/NS India"/>
    <s v="Onroll"/>
    <s v="M-11"/>
    <n v="11"/>
    <m/>
    <s v="JM"/>
    <s v="F"/>
    <s v="Hazira"/>
    <n v="1"/>
    <s v="2023"/>
    <x v="6"/>
    <s v="24.08"/>
    <s v="Anil Matoo"/>
    <s v="Ashutosh Telang"/>
    <n v="6"/>
    <s v="HR &amp; Administration"/>
    <s v="Administration"/>
    <s v="24"/>
    <s v="Executive  Admin"/>
    <m/>
    <s v=""/>
    <s v=""/>
    <s v=""/>
    <s v="Non Technical Support"/>
    <s v="Corporate Relations"/>
    <s v="Corporate Affairs"/>
    <s v="74501001"/>
    <s v="Corporate Affairs"/>
    <s v="Ahmedabad"/>
    <d v="1996-01-15T00:00:00"/>
    <s v="27.08"/>
    <d v="2022-02-03T00:00:00"/>
    <d v="2054-01-31T00:00:00"/>
    <m/>
    <d v="2054-01-31T00:00:00"/>
    <n v="11091"/>
    <s v="O+"/>
    <s v="BSc-2018 , Intermediate-2015 , SSLC-2013"/>
    <s v="01.06"/>
    <s v="01.07"/>
    <s v="03.01"/>
    <s v="00049721"/>
    <s v="Regional &amp; Corporate offices"/>
    <s v="271604"/>
    <s v="Executive  Admin"/>
    <s v="Hazira"/>
    <s v="0090000016"/>
    <s v="Corporate Steel - Co"/>
    <s v="2000HWO"/>
    <s v="20057888"/>
    <s v="Narinder Lamba"/>
    <s v="No"/>
    <s v="shalini.bhavsar@amns.in"/>
    <s v="6358942196"/>
    <s v="877136"/>
    <s v="Dhruv Vyas"/>
    <s v="Anil Matoo"/>
    <s v="Praveen Kuruvalli"/>
    <s v="Dhruv Vyas"/>
    <n v="0"/>
  </r>
  <r>
    <n v="4391"/>
    <n v="20056270"/>
    <s v="Shubham Bhartiya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 Capex Finance"/>
    <m/>
    <s v="Capex Finance"/>
    <s v="Capex Finance"/>
    <s v=""/>
    <s v="Non Technical Support"/>
    <s v="Finance &amp; Accounts"/>
    <s v="Costing"/>
    <s v="73906001"/>
    <s v="Costing"/>
    <s v="AM/NS Hazira"/>
    <d v="1994-04-04T00:00:00"/>
    <s v="29.05"/>
    <d v="2022-01-28T00:00:00"/>
    <d v="2052-04-30T00:00:00"/>
    <m/>
    <d v="2052-04-30T00:00:00"/>
    <n v="10450"/>
    <s v="O+"/>
    <s v="CA Final-2019 , BCom-2015 , Intermediate"/>
    <s v="02.07"/>
    <s v="01.07"/>
    <s v="04.02"/>
    <s v="00045912"/>
    <s v="Capex - Finance"/>
    <s v="271589"/>
    <s v="Lead  Capex Finance"/>
    <s v="Hazira"/>
    <s v="0090000038"/>
    <s v="CAPEX FINANCE"/>
    <s v="2000HWO"/>
    <s v="20055590"/>
    <s v="Mehul Thakkar"/>
    <s v="No"/>
    <s v="shubham.bhartiya@amns.in"/>
    <s v="9038874943"/>
    <s v="877306"/>
    <s v="Dhruv Vyas"/>
    <s v="Anil Matoo"/>
    <s v="Praveen Kuruvalli"/>
    <s v="Dhruv Vyas"/>
    <n v="0"/>
  </r>
  <r>
    <n v="4395"/>
    <n v="20056274"/>
    <s v="Priya Jha"/>
    <s v="AM/NS India"/>
    <s v="Onroll"/>
    <s v="M-9"/>
    <n v="9"/>
    <m/>
    <s v="JM"/>
    <s v="F"/>
    <s v="Odisha"/>
    <n v="2"/>
    <s v="2015"/>
    <x v="1"/>
    <s v="22.06"/>
    <s v="Praveen Kuruvalli"/>
    <s v="Ashutosh Telang"/>
    <n v="6"/>
    <s v="HR &amp; Administration"/>
    <s v="Human Resources"/>
    <s v="22"/>
    <s v="Lead  Human Resources"/>
    <m/>
    <s v="Human Resources"/>
    <s v=""/>
    <s v=""/>
    <s v="Non Technical Support"/>
    <s v="Human Resources Management"/>
    <s v="Human Resources Management"/>
    <s v="73501002"/>
    <s v="Human Resources Operation"/>
    <s v="Bhubaneswar"/>
    <d v="1994-10-10T00:00:00"/>
    <s v="28.11"/>
    <d v="2022-02-15T00:00:00"/>
    <d v="2052-10-31T00:00:00"/>
    <m/>
    <d v="2052-10-31T00:00:00"/>
    <n v="10634"/>
    <s v="A+"/>
    <s v="PG Diploma-2019 , BCom-2017 , Intermedia"/>
    <s v="02.11"/>
    <s v="01.07"/>
    <s v="04.06"/>
    <s v="70495430"/>
    <s v="Odisha HR Operations"/>
    <s v="272214"/>
    <s v="Lead  Human Resources"/>
    <s v="Odisha"/>
    <s v="0022030019"/>
    <s v="PDP-HR &amp; Admn"/>
    <s v="2000STORIS"/>
    <s v="20055611"/>
    <s v="Sunila Kumar Das"/>
    <s v="No"/>
    <s v="priya.jha@amns.in"/>
    <s v="6287877667"/>
    <s v="877691"/>
    <s v="Sunila Das"/>
    <s v="Anil Matoo"/>
    <s v="Praveen Kuruvalli"/>
    <s v="Sunila Das"/>
    <n v="0"/>
  </r>
  <r>
    <n v="4398"/>
    <n v="20056279"/>
    <s v="Arun G"/>
    <s v="AM/NS India"/>
    <s v="Onroll"/>
    <s v="M-6"/>
    <n v="6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Leader KAM Hypermart"/>
    <m/>
    <s v="South"/>
    <s v="Hypermart"/>
    <s v=""/>
    <s v="Non Technical Support"/>
    <s v="Sales &amp; Marketing"/>
    <s v="Sales"/>
    <s v="73104003"/>
    <s v="Retail Sales"/>
    <s v="Chennai"/>
    <d v="1983-05-04T00:00:00"/>
    <s v="40.04"/>
    <d v="2022-02-21T00:00:00"/>
    <d v="2041-05-31T00:00:00"/>
    <m/>
    <d v="2041-05-31T00:00:00"/>
    <n v="6463"/>
    <s v="O+"/>
    <s v="BE-2006 , Intermediate-2001 , SSLC-1999"/>
    <s v="15.11"/>
    <s v="01.06"/>
    <s v="17.06"/>
    <s v="00048814"/>
    <s v="Sales South Zone – Hypermart"/>
    <s v="272207"/>
    <s v="Business Leader - Hypermart"/>
    <s v="Hypermart"/>
    <s v="0060140100"/>
    <s v="HMART-South Zone"/>
    <s v="2000SRET"/>
    <s v="20000909"/>
    <s v="Murali Krishna Chunduru"/>
    <s v="No"/>
    <s v="arun.g@amns.in"/>
    <s v="9686320755"/>
    <s v="877776"/>
    <s v="Dhruv Vyas"/>
    <s v="Anil Matoo"/>
    <s v="Praveen Kuruvalli"/>
    <s v="Dhruv Vyas"/>
    <n v="0"/>
  </r>
  <r>
    <n v="4399"/>
    <n v="20056280"/>
    <s v="Varun Sharma"/>
    <s v="AM/NS India"/>
    <s v="Onroll"/>
    <s v="M-9"/>
    <n v="9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 Manager"/>
    <m/>
    <s v="North"/>
    <s v="Hypermart"/>
    <s v=""/>
    <s v="Non Technical Support"/>
    <s v="Sales &amp; Marketing"/>
    <s v="Marketing"/>
    <s v="73102001"/>
    <s v="Marketing"/>
    <s v="Ludhiana"/>
    <d v="1998-05-26T00:00:00"/>
    <s v="25.03"/>
    <d v="2022-02-10T00:00:00"/>
    <d v="2056-05-31T00:00:00"/>
    <m/>
    <d v="2056-05-31T00:00:00"/>
    <n v="11942"/>
    <s v="AB+"/>
    <s v="MBA-2020 , BCom-2018 , Intermediate-2015"/>
    <s v="00.06"/>
    <s v="01.07"/>
    <s v="02.01"/>
    <s v="00052526"/>
    <s v="Sales - North"/>
    <s v="272211"/>
    <s v="Sales Manager - Hypermart"/>
    <s v="Hypermart"/>
    <s v="0080000006"/>
    <s v="Secondary Sales - In"/>
    <s v="2000SRET"/>
    <s v="20007322"/>
    <s v="Sanjay Bohra"/>
    <s v="No"/>
    <s v="varun.sharma@amns.in"/>
    <s v="8847638042"/>
    <s v="877777"/>
    <s v="Dhruv Vyas"/>
    <s v="Anil Matoo"/>
    <s v="Praveen Kuruvalli"/>
    <s v="Dhruv Vyas"/>
    <n v="0"/>
  </r>
  <r>
    <n v="4404"/>
    <n v="20056287"/>
    <s v="Annapurna Kolluru"/>
    <s v="AM/NS India"/>
    <s v="Onroll"/>
    <s v="M-10"/>
    <n v="10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Officer - Capex Services"/>
    <m/>
    <s v="Capex Procurement"/>
    <s v="Procurement"/>
    <s v=""/>
    <s v="Non Technical Support"/>
    <s v="Operations"/>
    <s v="Operations"/>
    <s v="72103001"/>
    <s v="Operations"/>
    <s v="Hazira"/>
    <d v="1980-05-25T00:00:00"/>
    <s v="43.03"/>
    <d v="2022-02-15T00:00:00"/>
    <d v="2038-05-31T00:00:00"/>
    <m/>
    <d v="2038-05-31T00:00:00"/>
    <n v="5367"/>
    <s v="O-"/>
    <s v="BTech-2001 , Intermediate-1997 , SSLC-19"/>
    <s v="11.08"/>
    <s v="01.07"/>
    <s v="13.02"/>
    <s v="00049359"/>
    <s v="Capex Services"/>
    <s v="272363"/>
    <s v="Officer - Capex Services"/>
    <s v="Hazira"/>
    <s v="0031950059"/>
    <s v="HZ-Hazira Project"/>
    <s v="2000HWO"/>
    <s v="20055446"/>
    <s v="Chitrang Rana"/>
    <s v="No"/>
    <s v="annapurna.kolluru@amns.in"/>
    <s v="9879103433"/>
    <s v="810272"/>
    <s v="Dhruv Vyas"/>
    <s v="Anil Matoo"/>
    <s v="Praveen Kuruvalli"/>
    <s v="Dhruv Vyas"/>
    <n v="0"/>
  </r>
  <r>
    <n v="4405"/>
    <n v="20056289"/>
    <s v="Harshneelsinh Jadeja"/>
    <s v="AM/NS India"/>
    <s v="Onroll"/>
    <s v="M-8"/>
    <n v="8"/>
    <m/>
    <s v="JM"/>
    <s v="M"/>
    <s v="Hazira"/>
    <n v="1"/>
    <s v="2015"/>
    <x v="1"/>
    <s v="22.06"/>
    <s v="Praveen Kuruvalli"/>
    <s v="Ashutosh Telang"/>
    <n v="6"/>
    <s v="HR &amp; Administration"/>
    <s v="Human Resources"/>
    <s v="22"/>
    <s v="Lead - Talent Management &amp; OD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91-11-27T00:00:00"/>
    <s v="31.09"/>
    <d v="2022-02-16T00:00:00"/>
    <d v="2049-11-30T00:00:00"/>
    <m/>
    <d v="2049-11-30T00:00:00"/>
    <n v="9568"/>
    <s v="B+"/>
    <s v="MBA-2018 , BTech-2013 , Intermediate-200"/>
    <s v="05.09"/>
    <s v="01.07"/>
    <s v="07.03"/>
    <s v="70492872"/>
    <s v="Talent Management &amp; OD"/>
    <s v="272365"/>
    <s v="Lead - Talent Management &amp; OD"/>
    <s v="Hazira"/>
    <s v="0031950061"/>
    <s v="HZ-Human Resource"/>
    <s v="2000HWO"/>
    <s v="20054232"/>
    <s v="Imran Mohammad"/>
    <s v="No"/>
    <s v="harshneel.jadeja@amns.in"/>
    <s v="9638302705"/>
    <s v="878002"/>
    <s v="Dhruv Vyas"/>
    <s v="Anil Matoo"/>
    <s v="Praveen Kuruvalli"/>
    <s v="Dhruv Vyas"/>
    <n v="0"/>
  </r>
  <r>
    <n v="4406"/>
    <n v="20056292"/>
    <s v="Amit Basak"/>
    <s v="AM/NS India"/>
    <s v="Onroll"/>
    <s v="M-7"/>
    <n v="7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Lead Procurement"/>
    <m/>
    <s v="Procurement"/>
    <s v="Procurement"/>
    <s v=""/>
    <s v="Non Technical Support"/>
    <s v="Commercial"/>
    <s v="Purchase"/>
    <s v="73804001"/>
    <s v="Purchase"/>
    <s v="Paradeep"/>
    <d v="1986-12-28T00:00:00"/>
    <s v="36.08"/>
    <d v="2022-02-21T00:00:00"/>
    <d v="2044-12-31T00:00:00"/>
    <m/>
    <d v="2044-12-31T00:00:00"/>
    <n v="7773"/>
    <s v="O+"/>
    <s v="BTech-2008 , Intermediate-2004 , SSLC-20"/>
    <s v="13.07"/>
    <s v="01.06"/>
    <s v="15.02"/>
    <s v="70407583"/>
    <s v="Procurement - Odisha Asset"/>
    <s v="272445"/>
    <s v="Lead Procurement"/>
    <s v="Odisha"/>
    <s v="0022030019"/>
    <s v="PDP-HR &amp; Admn"/>
    <s v="2000STORIS"/>
    <s v="20055692"/>
    <s v="Rajiv Ranjan"/>
    <s v="No"/>
    <s v="amit.basak@amns.in"/>
    <s v="9162725067"/>
    <s v="878329"/>
    <s v="Sunila Das"/>
    <s v="Anil Matoo"/>
    <s v="Praveen Kuruvalli"/>
    <s v="Sunila Das"/>
    <n v="0"/>
  </r>
  <r>
    <n v="4409"/>
    <n v="20056295"/>
    <s v="Ravibhai Vinubhai Lathiya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92-09-28T00:00:00"/>
    <s v="30.11"/>
    <d v="2022-02-21T00:00:00"/>
    <d v="2050-09-30T00:00:00"/>
    <m/>
    <d v="2050-09-30T00:00:00"/>
    <n v="9872"/>
    <s v="AB+"/>
    <s v="BE-2014 , Intermediate-2010 , SSLC-2008"/>
    <s v="06.01"/>
    <s v="01.06"/>
    <s v="07.07"/>
    <s v="00044541"/>
    <s v="HRC Store - Receipt"/>
    <s v="272448"/>
    <s v="Section Officer"/>
    <s v="Hazira"/>
    <s v="0031950049"/>
    <s v="HZ-Central Stores"/>
    <s v="2000HWO"/>
    <s v="20005047"/>
    <s v="Rajeev Jha"/>
    <s v="No"/>
    <s v="ravi.lathiya@amns.in"/>
    <s v="6358913620"/>
    <s v="878338"/>
    <s v="Dhruv Vyas"/>
    <s v="Anil Matoo"/>
    <s v="Praveen Kuruvalli"/>
    <s v="Dhruv Vyas"/>
    <n v="0"/>
  </r>
  <r>
    <n v="4413"/>
    <n v="20056300"/>
    <s v="Sumit Khamgaonkar"/>
    <s v="AM/NS India"/>
    <s v="Onroll"/>
    <s v="M-9"/>
    <n v="9"/>
    <m/>
    <s v="JM"/>
    <s v="M"/>
    <s v="Service Centers"/>
    <n v="6"/>
    <s v="2043"/>
    <x v="3"/>
    <s v="31.01"/>
    <s v="Hrishikesh Kamat"/>
    <s v="Hrishikesh Kamat"/>
    <n v="7"/>
    <s v="Procurement"/>
    <s v="Procurement"/>
    <s v="31"/>
    <s v="Lead Procurement"/>
    <m/>
    <s v="Procurement Service Centre"/>
    <s v="Procurement Service Centre"/>
    <s v="Procurement Service Centre"/>
    <s v="Non Technical Support"/>
    <s v="Operations"/>
    <s v="Plant Operations"/>
    <s v="72103003"/>
    <s v="Plant Operations"/>
    <s v="Pune"/>
    <d v="1995-11-19T00:00:00"/>
    <s v="27.09"/>
    <d v="2022-02-16T00:00:00"/>
    <d v="2053-11-30T00:00:00"/>
    <m/>
    <d v="2053-11-30T00:00:00"/>
    <n v="11029"/>
    <s v="B+"/>
    <s v="BE-2017 , Diploma-2014 , SSLC-2011"/>
    <s v="04.07"/>
    <s v="01.07"/>
    <s v="06.02"/>
    <s v="70413444"/>
    <s v="Purchase &amp; Contracts"/>
    <s v="272452"/>
    <s v="Lead Procurement"/>
    <s v="Service Center"/>
    <s v="0040020019"/>
    <s v="SC-Pune-Op1-HR-Admin"/>
    <s v="2000SPRJ"/>
    <s v="20052588"/>
    <s v="Govindraju Sampathirao"/>
    <s v="No"/>
    <s v="sumeet.khamgaonkar@amns.in"/>
    <s v="8482937013"/>
    <s v="878521"/>
    <s v="Dhruv Vyas"/>
    <s v="Anil Matoo"/>
    <s v="Praveen Kuruvalli"/>
    <s v="Dhruv Vyas"/>
    <n v="0"/>
  </r>
  <r>
    <n v="4415"/>
    <n v="20056302"/>
    <s v="Chintan Sangani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Expediting"/>
    <m/>
    <s v="Procurement MRO Hazira"/>
    <s v="Procurement"/>
    <s v=""/>
    <s v="Non Technical Support"/>
    <s v="Operations"/>
    <s v="Operations"/>
    <s v="72103001"/>
    <s v="Operations"/>
    <s v="Hazira"/>
    <d v="1981-03-08T00:00:00"/>
    <s v="42.06"/>
    <d v="2022-02-21T00:00:00"/>
    <d v="2039-03-31T00:00:00"/>
    <m/>
    <d v="2039-03-31T00:00:00"/>
    <n v="5671"/>
    <s v="O+"/>
    <s v="BE-2002 , Intermediate-1998 , SSLC-1996"/>
    <s v="14.09"/>
    <s v="01.06"/>
    <s v="16.04"/>
    <s v="00049335"/>
    <s v="Capex Procurement - Expediting"/>
    <s v="272454"/>
    <s v="Sr. Lead Expediting"/>
    <s v="Hazira"/>
    <s v="0031950059"/>
    <s v="HZ-Hazira Project"/>
    <s v="2000HWO"/>
    <s v="20057413"/>
    <s v="Vipin Toshniwal"/>
    <s v="No"/>
    <s v="chintan.sangani@amns.in"/>
    <s v="8799382299"/>
    <s v="878488"/>
    <s v="Dhruv Vyas"/>
    <s v="Anil Matoo"/>
    <s v="Praveen Kuruvalli"/>
    <s v="Dhruv Vyas"/>
    <n v="0"/>
  </r>
  <r>
    <n v="4425"/>
    <n v="20056313"/>
    <s v="Gaurav Chudasam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Performance Management"/>
    <m/>
    <s v="Performance Management"/>
    <s v="Performance Management"/>
    <s v=""/>
    <s v="Non Technical Support"/>
    <s v="Finance &amp; Accounts"/>
    <s v="Costing"/>
    <s v="73906001"/>
    <s v="Costing"/>
    <s v="AM/NS Hazira"/>
    <d v="1990-09-04T00:00:00"/>
    <s v="33.00"/>
    <d v="2022-02-25T00:00:00"/>
    <d v="2048-09-30T00:00:00"/>
    <m/>
    <d v="2048-09-30T00:00:00"/>
    <n v="9142"/>
    <s v="B+"/>
    <s v="BE-2012 , Intermediate-2008 , SSLC-2006"/>
    <s v="09.08"/>
    <s v="01.06"/>
    <s v="11.02"/>
    <s v="00045632"/>
    <s v="Costing &amp; Budgeting"/>
    <s v="272885"/>
    <s v="Lead - Performance Management"/>
    <s v="Hazira"/>
    <s v="0031950043"/>
    <s v="HZ-Performance Manag"/>
    <s v="2000HWO"/>
    <s v="20056146"/>
    <s v="Asvinbhai Sutarsandhiya"/>
    <s v="No"/>
    <s v="gaurav.chudasama@amns.in"/>
    <s v="9662793836"/>
    <s v="880578"/>
    <s v="Dhruv Vyas"/>
    <s v="Anil Matoo"/>
    <s v="Praveen Kuruvalli"/>
    <s v="Dhruv Vyas"/>
    <n v="0"/>
  </r>
  <r>
    <n v="4435"/>
    <n v="20056324"/>
    <s v="Meet Smart"/>
    <s v="AM/NS India"/>
    <s v="Onroll"/>
    <s v="M-10"/>
    <n v="10"/>
    <m/>
    <s v="JM"/>
    <s v="M"/>
    <s v="Hazira"/>
    <n v="1"/>
    <s v="2069"/>
    <x v="8"/>
    <s v="25.01"/>
    <s v="Bibek Chattopadhyay"/>
    <s v="Ashutosh Telang"/>
    <n v="6"/>
    <s v="HR &amp; Administration"/>
    <s v="Corporate Communications"/>
    <s v="25"/>
    <s v="Public Relation Officer"/>
    <m/>
    <s v="Corporate Communication"/>
    <s v=""/>
    <s v=""/>
    <s v="Non Technical Support"/>
    <s v="Corporate Communication"/>
    <s v="Corporate Communication"/>
    <s v="74001001"/>
    <s v="Corporate Communication"/>
    <s v="AM/NS Hazira"/>
    <d v="1994-01-01T00:00:00"/>
    <s v="29.08"/>
    <d v="2022-03-07T00:00:00"/>
    <d v="2051-12-31T00:00:00"/>
    <m/>
    <d v="2051-12-31T00:00:00"/>
    <n v="10329"/>
    <s v="B+"/>
    <s v="MA-2016 , BCom-2014 , Intermediate-2011"/>
    <s v="05.10"/>
    <s v="01.06"/>
    <s v="07.04"/>
    <s v="00047290"/>
    <s v="Communication Gujrat"/>
    <s v="273386"/>
    <s v="Public Relation Officer"/>
    <s v="Hazira"/>
    <s v="0090000016"/>
    <s v="Corporate Steel - Co"/>
    <s v="2000HWO"/>
    <s v="20056083"/>
    <s v="Neeraj Sharma"/>
    <s v="No"/>
    <s v="meet.smart@amns.in"/>
    <s v="6358913654"/>
    <s v="881632"/>
    <s v="Dhruv Vyas"/>
    <s v="Anil Matoo"/>
    <s v="Praveen Kuruvalli"/>
    <s v="Dhruv Vyas"/>
    <n v="0"/>
  </r>
  <r>
    <n v="4437"/>
    <n v="20056327"/>
    <s v="Aishwarya Singhi"/>
    <s v="AM/NS India"/>
    <s v="Onroll"/>
    <s v="M-7"/>
    <n v="7"/>
    <m/>
    <s v="MM"/>
    <s v="F"/>
    <s v="Hazira"/>
    <n v="1"/>
    <s v="2013"/>
    <x v="0"/>
    <s v="20.01"/>
    <s v="Akiyo Omori"/>
    <s v="Amit Harlalka"/>
    <n v="5"/>
    <s v="Finance &amp; Accounts"/>
    <s v="Finance &amp; Accounts"/>
    <s v="20"/>
    <s v="Lead Indirect Tax"/>
    <m/>
    <s v="Taxation"/>
    <s v="In Direct - Taxation"/>
    <s v=""/>
    <s v="Non Technical Support"/>
    <s v="Finance &amp; Accounts"/>
    <s v="Taxation"/>
    <s v="73904002"/>
    <s v="Indirect Taxation"/>
    <s v="AM/NS Hazira"/>
    <d v="1995-10-12T00:00:00"/>
    <s v="27.11"/>
    <d v="2022-03-07T00:00:00"/>
    <d v="2053-10-31T00:00:00"/>
    <m/>
    <d v="2053-10-31T00:00:00"/>
    <n v="10999"/>
    <s v="B+"/>
    <s v="CA Final-2018 , BCom-2016 , Intermediate"/>
    <s v="03.00"/>
    <s v="01.06"/>
    <s v="04.06"/>
    <s v="70282653"/>
    <s v="GST"/>
    <s v="70258426"/>
    <s v="Lead Indirect Tax"/>
    <s v="Hazira"/>
    <s v="0090000033"/>
    <s v="Corporate Taxation"/>
    <s v="2000HWO"/>
    <s v="20055962"/>
    <s v="Navin Kewalramani"/>
    <s v="No"/>
    <s v="aishwarya.singhi@amns.in"/>
    <s v="9903582010"/>
    <s v="882357"/>
    <s v="Dhruv Vyas"/>
    <s v="Anil Matoo"/>
    <s v="Praveen Kuruvalli"/>
    <s v="Dhruv Vyas"/>
    <n v="0"/>
  </r>
  <r>
    <n v="4442"/>
    <n v="20056333"/>
    <s v="Gonnakuti Shashank Naidu"/>
    <s v="AM/NS Middle East FZE"/>
    <s v="Onroll"/>
    <s v="M-9"/>
    <n v="9"/>
    <m/>
    <s v="JM"/>
    <s v="M"/>
    <s v="Dubai"/>
    <n v="10"/>
    <s v="2502"/>
    <x v="10"/>
    <s v="14.01"/>
    <s v="Ranjan Dhar"/>
    <s v="Alain Legrix De La Salle"/>
    <n v="3"/>
    <s v="Sales &amp; Marketing"/>
    <s v="Sales &amp; Marketing"/>
    <s v="14"/>
    <s v="Lead Sales"/>
    <m/>
    <s v="Sales ME"/>
    <s v="Sales ME"/>
    <s v=""/>
    <s v=""/>
    <s v="Sales &amp; Marketing"/>
    <s v="Sales &amp; Marketing"/>
    <s v="73101001"/>
    <s v="Sales &amp; Marketing"/>
    <s v="Dubai"/>
    <d v="1990-10-01T00:00:00"/>
    <s v="32.11"/>
    <d v="2022-03-14T00:00:00"/>
    <d v="2048-09-30T00:00:00"/>
    <m/>
    <d v="2048-09-30T00:00:00"/>
    <n v="9142"/>
    <s v="B+"/>
    <s v="MBA-2015 , BCom-2012"/>
    <s v="06.08"/>
    <s v="01.06"/>
    <s v="08.02"/>
    <s v="70495379"/>
    <s v="Chief Marketing Officer - AMNS ME FZE"/>
    <s v="274488"/>
    <s v="Sales Manager ME"/>
    <s v="AMNS Middle East FZE"/>
    <s v="0093720082"/>
    <s v="SC-Dubai-Marketing"/>
    <s v="DUBA2081"/>
    <s v="20055663"/>
    <s v="Karamath Syed"/>
    <s v="No"/>
    <s v="shashank.naidu@amns.in"/>
    <s v="+971564084646"/>
    <s v="24132"/>
    <s v="Dhruv Vyas"/>
    <s v="Anil Matoo"/>
    <s v="Praveen Kuruvalli"/>
    <n v="0"/>
    <n v="0"/>
  </r>
  <r>
    <n v="4456"/>
    <n v="20056350"/>
    <s v="Sanjay Kumar Jha"/>
    <s v="AM/NS India"/>
    <s v="Onroll"/>
    <s v="M-7"/>
    <n v="7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- Finance &amp; Accounts"/>
    <m/>
    <s v="Finance &amp; Accounts - Odisha"/>
    <s v="Finance &amp; Accounts"/>
    <s v=""/>
    <s v="Non Technical Support"/>
    <s v="Finance &amp; Accounts"/>
    <s v="Finance &amp; Accounts"/>
    <s v="73901001"/>
    <s v="Finance &amp; Accounts"/>
    <s v="Paradeep"/>
    <d v="1985-11-10T00:00:00"/>
    <s v="37.10"/>
    <d v="2022-03-07T00:00:00"/>
    <d v="2043-11-30T00:00:00"/>
    <m/>
    <d v="2043-11-30T00:00:00"/>
    <n v="7376"/>
    <s v="B+"/>
    <s v="BCom-2007 , CA Final-2010 , Intermediate"/>
    <s v="11.01"/>
    <s v="01.06"/>
    <s v="12.07"/>
    <s v="70234933"/>
    <s v="Finance &amp; Accounts - Odisha"/>
    <s v="273341"/>
    <s v="Lead - Finance &amp; Accounts"/>
    <s v="Odisha"/>
    <s v="0022030019"/>
    <s v="PDP-HR &amp; Admn"/>
    <s v="2000STORIS"/>
    <s v="20055801"/>
    <s v="Sanjive Kumar Singh"/>
    <s v="No"/>
    <s v="sanjay.jha@amns.in"/>
    <s v="9868413352"/>
    <s v="882952"/>
    <s v="Sunila Das"/>
    <s v="Anil Matoo"/>
    <s v="Praveen Kuruvalli"/>
    <s v="Sunila Das"/>
    <n v="0"/>
  </r>
  <r>
    <n v="4457"/>
    <n v="20056351"/>
    <s v="Abhiram Mahanty"/>
    <s v="AM/NS India"/>
    <s v="Onroll"/>
    <s v="M-8"/>
    <n v="8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Admin"/>
    <m/>
    <s v="Administration"/>
    <s v=""/>
    <s v=""/>
    <s v="Non Technical Support"/>
    <s v="Human Resources Management"/>
    <s v="Human Resources Management"/>
    <s v="73501002"/>
    <s v="Human Resources Operation"/>
    <s v="Dabuna"/>
    <d v="1983-08-02T00:00:00"/>
    <s v="40.01"/>
    <d v="2022-03-07T00:00:00"/>
    <d v="2041-08-31T00:00:00"/>
    <m/>
    <d v="2041-08-31T00:00:00"/>
    <n v="6555"/>
    <s v="B-"/>
    <s v="MBA-2010 , MSc-2005 , BSc-2003 , Interme"/>
    <s v="13.11"/>
    <s v="01.06"/>
    <s v="15.05"/>
    <s v="70238103"/>
    <s v="Odisha - Admin &amp; Industrial Relations"/>
    <s v="273313"/>
    <s v="Lead Admin"/>
    <s v="Odisha"/>
    <s v="0022010019"/>
    <s v="DBN-Benf-HR/Admin"/>
    <s v="2000STORIS"/>
    <s v="20057297"/>
    <s v="Bibhash Mohanty"/>
    <s v="No"/>
    <s v="abhiram.mahanty@amns.in"/>
    <s v="8599008836"/>
    <s v="882969"/>
    <s v="Sunila Das"/>
    <s v="Anil Matoo"/>
    <s v="Praveen Kuruvalli"/>
    <s v="Sunila Das"/>
    <n v="0"/>
  </r>
  <r>
    <n v="4468"/>
    <n v="20056362"/>
    <s v="Prashant Pandey"/>
    <s v="AM/NS India"/>
    <s v="Onroll"/>
    <s v="M-8"/>
    <n v="8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Lead – Secondary Sales"/>
    <m/>
    <s v=""/>
    <s v=""/>
    <s v=""/>
    <s v="Non Technical Support"/>
    <s v="Operations"/>
    <s v="Operations"/>
    <s v="72103001"/>
    <s v="Operations"/>
    <s v="Hazira"/>
    <d v="1992-01-16T00:00:00"/>
    <s v="31.08"/>
    <d v="2022-03-07T00:00:00"/>
    <d v="2050-01-31T00:00:00"/>
    <m/>
    <d v="2050-01-31T00:00:00"/>
    <n v="9630"/>
    <s v="B+"/>
    <s v="MBA-2021 , BTech-2014 , Intermediate-201"/>
    <s v="06.06"/>
    <s v="01.06"/>
    <s v="08.00"/>
    <s v="00049357"/>
    <s v="Secondary Sales"/>
    <s v="274960"/>
    <s v="Lead – Secondary Sales"/>
    <s v="Hazira"/>
    <s v="0031950059"/>
    <s v="HZ-Hazira Project"/>
    <s v="2000HWO"/>
    <s v="20055763"/>
    <s v="Debashis Mohapatra"/>
    <s v="No"/>
    <s v="prashant.pandey@amns.in"/>
    <s v="9879102273"/>
    <s v="22932"/>
    <s v="Dhruv Vyas"/>
    <s v="Anil Matoo"/>
    <s v="Praveen Kuruvalli"/>
    <s v="Dhruv Vyas"/>
    <n v="0"/>
  </r>
  <r>
    <n v="4471"/>
    <n v="20056368"/>
    <s v="Sanjay Mahawar"/>
    <s v="AM/NS India"/>
    <s v="Onroll"/>
    <s v="M-7"/>
    <n v="7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s v=""/>
    <s v=""/>
    <s v="Non Technical Support"/>
    <s v="Corporate Relations"/>
    <s v="Corporate Affairs"/>
    <s v="74501001"/>
    <s v="Corporate Affairs"/>
    <s v="Delhi"/>
    <d v="1975-12-23T00:00:00"/>
    <s v="47.08"/>
    <d v="2022-03-15T00:00:00"/>
    <d v="2033-12-31T00:00:00"/>
    <m/>
    <d v="2033-12-31T00:00:00"/>
    <n v="3755"/>
    <s v="AB+"/>
    <s v="Diploma-2007 , Diploma-2005 , BA-1998 ,"/>
    <s v="21.03"/>
    <s v="01.06"/>
    <s v="22.09"/>
    <s v="70494938"/>
    <s v="Corporate Affairs"/>
    <s v="273385"/>
    <s v="Lead - Corporate Affairs"/>
    <s v="Corporate"/>
    <s v="0090000021"/>
    <s v="Corporate Affairs"/>
    <s v="2000CS"/>
    <s v="20057928"/>
    <s v="Manu Kapoor"/>
    <s v="No"/>
    <s v="sanjay.mahawar@amns.in"/>
    <s v="9911225547"/>
    <s v="883537"/>
    <s v="Dhruv Vyas"/>
    <s v="Anil Matoo"/>
    <s v="Praveen Kuruvalli"/>
    <s v="Dhruv Vyas"/>
    <n v="0"/>
  </r>
  <r>
    <n v="4474"/>
    <n v="20056372"/>
    <s v="Varun Puri"/>
    <s v="AM/NS Middle East FZE"/>
    <s v="Onroll"/>
    <s v="M-8"/>
    <n v="8"/>
    <m/>
    <s v="JM"/>
    <s v="M"/>
    <s v="Dubai"/>
    <n v="10"/>
    <s v="2504"/>
    <x v="0"/>
    <s v="20.01"/>
    <s v="Akiyo Omori"/>
    <s v="Amit Harlalka"/>
    <n v="5"/>
    <s v="Finance &amp; Accounts"/>
    <s v="Finance &amp; Accounts"/>
    <s v="20"/>
    <s v="Lead - Finance &amp; Accounts"/>
    <m/>
    <s v=""/>
    <s v=""/>
    <s v=""/>
    <s v="Non Technical Support"/>
    <s v="Finance &amp; Accounts"/>
    <s v="Finance &amp; Accounts"/>
    <s v="73901001"/>
    <s v="Finance &amp; Accounts"/>
    <s v="Dubai"/>
    <d v="1988-04-05T00:00:00"/>
    <s v="35.05"/>
    <d v="2022-03-15T00:00:00"/>
    <d v="2046-04-30T00:00:00"/>
    <m/>
    <d v="2046-04-30T00:00:00"/>
    <n v="8258"/>
    <s v=""/>
    <s v=""/>
    <s v=""/>
    <s v="01.06"/>
    <s v="01.06"/>
    <s v="70495379"/>
    <s v="Chief Marketing Officer - AMNS ME FZE"/>
    <s v="70258779"/>
    <s v="Lead - Finance &amp; Accounts"/>
    <s v="AMNS Middle East FZE"/>
    <s v="0093720019"/>
    <s v="SC-Dubai-Hr-Admin"/>
    <s v="DUBA2081"/>
    <s v="20055663"/>
    <s v="Karamath Syed"/>
    <s v="No"/>
    <s v="varun.puri@amns.in"/>
    <s v="971564084480"/>
    <s v="23596"/>
    <s v="Dhruv Vyas"/>
    <s v="Anil Matoo"/>
    <s v="Praveen Kuruvalli"/>
    <s v="Dhruv Vyas"/>
    <n v="0"/>
  </r>
  <r>
    <n v="4477"/>
    <n v="20056375"/>
    <s v="Satyanarayan Routray"/>
    <s v="AM/NS India"/>
    <s v="Onroll"/>
    <s v="M-6"/>
    <n v="6"/>
    <m/>
    <s v="MM"/>
    <s v="M"/>
    <s v="Odisha"/>
    <n v="2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"/>
    <s v=""/>
    <s v="Projects"/>
    <s v="Corporate Relations"/>
    <s v="Corporate Affairs"/>
    <s v="74501001"/>
    <s v="Corporate Affairs"/>
    <s v="Bhubaneswar"/>
    <d v="1981-06-18T00:00:00"/>
    <s v="42.03"/>
    <d v="2022-03-21T00:00:00"/>
    <d v="2039-06-30T00:00:00"/>
    <m/>
    <d v="2039-06-30T00:00:00"/>
    <n v="5762"/>
    <s v="A+"/>
    <s v="BSc-2004 , Intermediate-2000 , SSLC-1996"/>
    <s v="16.00"/>
    <s v="01.06"/>
    <s v="17.06"/>
    <s v="00048076"/>
    <s v="Greenfield Project"/>
    <s v="273334"/>
    <s v="Lead Corporate Affairs"/>
    <s v="Odisha"/>
    <s v="0022030048"/>
    <s v="PDP-Projects"/>
    <s v="2000STORIS"/>
    <s v="20055204"/>
    <s v="Lakshmi Charan Mahapatra"/>
    <s v="No"/>
    <s v="satyanarayan.routray@amns.in"/>
    <s v="9438013247"/>
    <s v="883654"/>
    <s v="Sunila Das"/>
    <s v="Anil Matoo"/>
    <s v="Praveen Kuruvalli"/>
    <s v="Sunila Das"/>
    <n v="0"/>
  </r>
  <r>
    <n v="4488"/>
    <n v="20056387"/>
    <s v="Vikal Goyal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Internal Control &amp; SOX"/>
    <m/>
    <s v="Internal Control &amp; SOX"/>
    <s v="Internal Control &amp; SOX"/>
    <s v=""/>
    <s v="Non Technical Support"/>
    <s v="Chairman's Secretariat"/>
    <s v="Chairman's Secretariat"/>
    <s v="74701000"/>
    <s v="Chairman's Secretariat"/>
    <s v="AM/NS Hazira"/>
    <d v="1991-10-26T00:00:00"/>
    <s v="31.10"/>
    <d v="2022-03-21T00:00:00"/>
    <d v="2049-10-31T00:00:00"/>
    <m/>
    <d v="2049-10-31T00:00:00"/>
    <n v="9538"/>
    <s v="B+"/>
    <s v="BCom-2012 , CA Final-2014 , Intermediate"/>
    <s v="07.01"/>
    <s v="01.06"/>
    <s v="08.06"/>
    <s v="00051504"/>
    <s v="Internal Control &amp; SOX"/>
    <s v="275134"/>
    <s v="Lead – Internal Control &amp; SOX"/>
    <s v="Hazira"/>
    <s v="0031950043"/>
    <s v="HZ-Performance Manag"/>
    <s v="2000HWO"/>
    <s v="20000138"/>
    <s v="Suresh Iyer"/>
    <s v="No"/>
    <s v="vikal.goyal@amns.in"/>
    <s v="6358913683"/>
    <s v="884014"/>
    <s v="Dhruv Vyas"/>
    <s v="Anil Matoo"/>
    <s v="Praveen Kuruvalli"/>
    <s v="Dhruv Vyas"/>
    <n v="0"/>
  </r>
  <r>
    <n v="4494"/>
    <n v="20056394"/>
    <s v="Nikisha Desai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Performance Management"/>
    <m/>
    <s v="Performance Management"/>
    <s v="Performance Management"/>
    <s v=""/>
    <s v="Non Technical Support"/>
    <s v="Finance &amp; Accounts"/>
    <s v="Treasury"/>
    <s v="73903001"/>
    <s v="Treasury"/>
    <s v="AM/NS Hazira"/>
    <d v="1983-09-12T00:00:00"/>
    <s v="40.00"/>
    <d v="2022-03-16T00:00:00"/>
    <d v="2041-09-30T00:00:00"/>
    <m/>
    <d v="2041-09-30T00:00:00"/>
    <n v="6585"/>
    <s v="O+"/>
    <s v="PG Diploma in Management-2010 , MCom-200"/>
    <s v="11.03"/>
    <s v="01.06"/>
    <s v="12.09"/>
    <s v="00045632"/>
    <s v="Costing &amp; Budgeting"/>
    <s v="70360709"/>
    <s v="Officer - Performance Management"/>
    <s v="Hazira"/>
    <s v="0031950043"/>
    <s v="HZ-Performance Manag"/>
    <s v="2000HWO"/>
    <s v="20056146"/>
    <s v="Asvinbhai Sutarsandhiya"/>
    <s v="No"/>
    <s v="nikisha.desai@amns.in"/>
    <s v="9727255991"/>
    <s v="25213"/>
    <s v="Dhruv Vyas"/>
    <s v="Anil Matoo"/>
    <s v="Praveen Kuruvalli"/>
    <s v="Dhruv Vyas"/>
    <n v="0"/>
  </r>
  <r>
    <n v="4496"/>
    <n v="20056396"/>
    <s v="Ritesh Shrivastava"/>
    <s v="AM/NS India"/>
    <s v="Onroll"/>
    <s v="M-6"/>
    <n v="6"/>
    <m/>
    <s v="MM"/>
    <s v="M"/>
    <s v="Corporate"/>
    <n v="7"/>
    <s v="2095"/>
    <x v="4"/>
    <n v="36.01"/>
    <s v="Deepak Sindkar"/>
    <s v="Hrishikesh Kamat"/>
    <n v="7"/>
    <s v="Procurement"/>
    <s v="Raw Materials"/>
    <s v="36"/>
    <s v="Section Head – BRM"/>
    <m/>
    <s v="Bulk Raw Materials"/>
    <s v="Bulk Raw Materials"/>
    <s v=""/>
    <s v="Non Technical Support"/>
    <s v="Commercial"/>
    <s v="Procurement"/>
    <s v="73803001"/>
    <s v="Procurement"/>
    <s v="Mumbai"/>
    <d v="1984-12-08T00:00:00"/>
    <s v="38.09"/>
    <d v="2022-03-14T00:00:00"/>
    <d v="2042-12-31T00:00:00"/>
    <m/>
    <d v="2042-12-31T00:00:00"/>
    <n v="7042"/>
    <s v="O+"/>
    <s v="BE-2007 , Intermediate-2002 , SSLC-2000"/>
    <s v="14.07"/>
    <s v="01.06"/>
    <s v="16.01"/>
    <s v="00045893"/>
    <s v="Red Odisha Mill Scale"/>
    <s v="70258488"/>
    <s v="Section Head – BRM"/>
    <s v="Corporate"/>
    <s v="0031950048"/>
    <s v="HZ-Procurment Depart"/>
    <s v="2002MUMB"/>
    <s v="20035527"/>
    <s v="Anil Patro"/>
    <s v="No"/>
    <s v="ritesh.shrivastava@amns.in"/>
    <s v="9820508867"/>
    <s v="884173"/>
    <s v="Dhruv Vyas"/>
    <s v="Anil Matoo"/>
    <s v="Praveen Kuruvalli"/>
    <s v="Dhruv Vyas"/>
    <n v="0"/>
  </r>
  <r>
    <n v="4512"/>
    <n v="20056418"/>
    <s v="Vihar Vaghela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Operations"/>
    <s v="Operations"/>
    <s v="72103001"/>
    <s v="Operations"/>
    <s v="Hazira"/>
    <d v="1990-09-11T00:00:00"/>
    <s v="33.00"/>
    <d v="2022-04-04T00:00:00"/>
    <d v="2048-09-30T00:00:00"/>
    <m/>
    <d v="2048-09-30T00:00:00"/>
    <n v="9142"/>
    <s v="B+"/>
    <s v="BE-2011 , Intermediate-2007 , SSLC-2005"/>
    <s v="10.02"/>
    <s v="01.05"/>
    <s v="11.07"/>
    <s v="00049335"/>
    <s v="Capex Procurement - Expediting"/>
    <s v="273324"/>
    <s v="Lead – Expeditor Capex"/>
    <s v="Hazira"/>
    <s v="0031950059"/>
    <s v="HZ-Hazira Project"/>
    <s v="2000HWO"/>
    <s v="20057413"/>
    <s v="Vipin Toshniwal"/>
    <s v="No"/>
    <s v="vihar.vaghela@amns.in"/>
    <s v="9033182129"/>
    <s v="886077"/>
    <s v="Dhruv Vyas"/>
    <s v="Anil Matoo"/>
    <s v="Praveen Kuruvalli"/>
    <s v="Dhruv Vyas"/>
    <n v="0"/>
  </r>
  <r>
    <n v="4513"/>
    <n v="20056419"/>
    <s v="Avinash Tickoo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Operations"/>
    <s v="Operations"/>
    <s v="72103001"/>
    <s v="Operations"/>
    <s v="Hazira"/>
    <d v="1986-10-04T00:00:00"/>
    <s v="36.11"/>
    <d v="2022-04-01T00:00:00"/>
    <d v="2044-10-31T00:00:00"/>
    <m/>
    <d v="2044-10-31T00:00:00"/>
    <n v="7712"/>
    <s v="A+"/>
    <s v="BE-2010 , Intermediate-2006 , SSLC-2003"/>
    <s v="09.02"/>
    <s v="01.05"/>
    <s v="10.07"/>
    <s v="00049335"/>
    <s v="Capex Procurement - Expediting"/>
    <s v="273321"/>
    <s v="Lead – Expeditor Capex"/>
    <s v="Hazira"/>
    <s v="0031950059"/>
    <s v="HZ-Hazira Project"/>
    <s v="2000HWO"/>
    <s v="20057413"/>
    <s v="Vipin Toshniwal"/>
    <s v="No"/>
    <s v="avinash.tickoo@amns.in"/>
    <s v="7990300919"/>
    <s v="886338"/>
    <s v="Dhruv Vyas"/>
    <s v="Anil Matoo"/>
    <s v="Praveen Kuruvalli"/>
    <s v="Dhruv Vyas"/>
    <n v="0"/>
  </r>
  <r>
    <n v="4515"/>
    <n v="20056422"/>
    <s v="Suparna Nanda"/>
    <s v="AM/NS India"/>
    <s v="Onroll"/>
    <s v="M-4"/>
    <n v="4"/>
    <m/>
    <s v="SM"/>
    <s v="F"/>
    <s v="Odisha"/>
    <n v="2"/>
    <s v="2039"/>
    <x v="2"/>
    <s v="43.01"/>
    <s v="Sangeeta Munjal"/>
    <s v="Manu Kapoor"/>
    <n v="10"/>
    <s v="Corporate Affairs"/>
    <s v="Corporate Affairs"/>
    <s v="43"/>
    <s v="Head - Corporate Affairs, Odisha"/>
    <m/>
    <s v="Corporate Affairs"/>
    <s v="Corporate Affairs"/>
    <s v="Corporate Affairs"/>
    <s v="Non Technical Support"/>
    <s v="Corporate Relations"/>
    <s v="Corporate Affairs"/>
    <s v="74501001"/>
    <s v="Corporate Affairs"/>
    <s v="Bhubaneswar"/>
    <d v="1975-08-23T00:00:00"/>
    <s v="48.00"/>
    <d v="2022-04-02T00:00:00"/>
    <d v="2033-08-31T00:00:00"/>
    <m/>
    <d v="2033-08-31T00:00:00"/>
    <n v="3633"/>
    <s v="B-"/>
    <s v="PG Diploma-1998 , PG Diploma-1996 , Inte"/>
    <s v="21.06"/>
    <s v="01.05"/>
    <s v="22.11"/>
    <s v="70495564"/>
    <s v="Corporate Affairs - Odisha"/>
    <s v="276336"/>
    <s v="Head - Corporate Affairs, Odisha"/>
    <s v="Odisha"/>
    <s v="0090000021"/>
    <s v="Corporate Affairs"/>
    <s v="2000STORIS"/>
    <s v="20057928"/>
    <s v="Manu Kapoor"/>
    <s v="No"/>
    <s v="suparna.nanda@amns.in"/>
    <s v="9937154773"/>
    <s v="886522"/>
    <s v="Sunila Das"/>
    <s v="Anil Matoo"/>
    <s v="Praveen Kuruvalli"/>
    <s v="Sunila Das"/>
    <n v="0"/>
  </r>
  <r>
    <n v="4517"/>
    <n v="20056424"/>
    <s v="Ramesh Patel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- Capex Procurement"/>
    <m/>
    <s v=""/>
    <s v=""/>
    <s v=""/>
    <s v="Non Technical Support"/>
    <s v="Operations"/>
    <s v="Operations"/>
    <s v="72103001"/>
    <s v="Operations"/>
    <s v="Hazira"/>
    <d v="1983-01-31T00:00:00"/>
    <s v="40.07"/>
    <d v="2022-03-29T00:00:00"/>
    <d v="2041-01-31T00:00:00"/>
    <m/>
    <d v="2041-01-31T00:00:00"/>
    <n v="6343"/>
    <s v="A+"/>
    <s v="MBA-2007 , BE-2005 , Intermediate-2000 ,"/>
    <s v="17.03"/>
    <s v="01.05"/>
    <s v="18.08"/>
    <s v="00053251"/>
    <s v="Capex Procurement"/>
    <s v="273320"/>
    <s v="Sr. Lead - Capex Procurement"/>
    <s v="Hazira"/>
    <s v="0031950059"/>
    <s v="HZ-Hazira Project"/>
    <s v="2000HWO"/>
    <s v="20055706"/>
    <s v="HimalKumar Madhusudan Sheth"/>
    <s v="No"/>
    <s v="ramesh.patel1@amns.in"/>
    <s v="6358942015"/>
    <s v="886653"/>
    <s v="Dhruv Vyas"/>
    <s v="Anil Matoo"/>
    <s v="Praveen Kuruvalli"/>
    <s v="Dhruv Vyas"/>
    <n v="0"/>
  </r>
  <r>
    <n v="4521"/>
    <n v="20056429"/>
    <s v="Sonali Jain"/>
    <s v="AM/NS India"/>
    <s v="Onroll"/>
    <s v="M-10"/>
    <n v="10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Accounts Payable"/>
    <m/>
    <s v=""/>
    <s v=""/>
    <s v=""/>
    <s v="Non Technical Support"/>
    <s v="Finance &amp; Accounts"/>
    <s v="Finance &amp; Accounts"/>
    <s v="73901001"/>
    <s v="Finance &amp; Accounts"/>
    <s v="AM/NS Hazira"/>
    <d v="1993-03-06T00:00:00"/>
    <s v="30.06"/>
    <d v="2022-04-06T00:00:00"/>
    <d v="2051-03-31T00:00:00"/>
    <m/>
    <d v="2051-03-31T00:00:00"/>
    <n v="10054"/>
    <s v="B+"/>
    <s v="CS-2014 , CA Inter-2011 , BCom-2013 , In"/>
    <s v="03.00"/>
    <s v="01.05"/>
    <s v="04.05"/>
    <s v="72150243"/>
    <s v="Accounts Payable"/>
    <s v="70298654"/>
    <s v="Officer Accounts Payable"/>
    <s v="Hazira"/>
    <s v="0031950045"/>
    <s v="HZ-Works Accounts-Ha"/>
    <s v="2000HWO"/>
    <s v="20001076"/>
    <s v="Bhavesh Modi"/>
    <s v="No"/>
    <s v="sonali.jain@amns.in"/>
    <s v="9664527109"/>
    <s v="887052"/>
    <s v="Dhruv Vyas"/>
    <s v="Anil Matoo"/>
    <s v="Praveen Kuruvalli"/>
    <s v="Dhruv Vyas"/>
    <n v="0"/>
  </r>
  <r>
    <n v="4523"/>
    <n v="20056431"/>
    <s v="Prajakta Wagholikar"/>
    <s v="AM/NS India"/>
    <s v="Onroll"/>
    <s v="M-5"/>
    <n v="5"/>
    <m/>
    <s v="M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- Coated Products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75-03-28T00:00:00"/>
    <s v="48.05"/>
    <d v="2022-04-06T00:00:00"/>
    <d v="2033-03-31T00:00:00"/>
    <m/>
    <d v="2033-03-31T00:00:00"/>
    <n v="3480"/>
    <s v="O+"/>
    <s v="BE-1997 , Intermediate-1993 , SSLC-1991"/>
    <s v="24.09"/>
    <s v="01.05"/>
    <s v="26.02"/>
    <s v="00052471"/>
    <s v="Coated &amp; OC"/>
    <s v="273353"/>
    <s v="Section Head - Coated &amp; OC Products"/>
    <s v="Corporate"/>
    <s v="0031950057"/>
    <s v="HZ-HRC - Marketing"/>
    <s v="2002MUMB"/>
    <s v="20008508"/>
    <s v="Satyajit Mohapatra"/>
    <s v="No"/>
    <s v="prajakta.wagholikar@amns.in"/>
    <s v="9860998710"/>
    <s v="887153"/>
    <s v="Dhruv Vyas"/>
    <s v="Anil Matoo"/>
    <s v="Praveen Kuruvalli"/>
    <s v="Dhruv Vyas"/>
    <n v="0"/>
  </r>
  <r>
    <n v="4536"/>
    <n v="20056445"/>
    <s v="Monoswita Rez"/>
    <s v="AM/NS India"/>
    <s v="Onroll"/>
    <s v="M-9"/>
    <n v="9"/>
    <m/>
    <s v="JM"/>
    <s v="F"/>
    <s v="Odisha"/>
    <n v="2"/>
    <s v="2013"/>
    <x v="0"/>
    <s v="20.01"/>
    <s v="Akiyo Omori"/>
    <s v="Amit Harlalka"/>
    <n v="5"/>
    <s v="Finance &amp; Accounts"/>
    <s v="Finance &amp; Accounts"/>
    <s v="20"/>
    <s v="Officer- F&amp;A"/>
    <m/>
    <s v="Projects"/>
    <s v=""/>
    <s v=""/>
    <s v="Non Technical Support"/>
    <s v=""/>
    <s v=""/>
    <s v=""/>
    <s v=""/>
    <s v="Bhubaneswar"/>
    <d v="1997-05-04T00:00:00"/>
    <s v="26.04"/>
    <d v="2022-04-04T00:00:00"/>
    <d v="2055-05-31T00:00:00"/>
    <m/>
    <d v="2055-05-31T00:00:00"/>
    <n v="11576"/>
    <s v="B+"/>
    <s v="CA Final-2021 , BCom-2018 , SSLC-2015"/>
    <s v="00.03"/>
    <s v="01.05"/>
    <s v="01.08"/>
    <s v="70234933"/>
    <s v="Finance &amp; Accounts - Odisha"/>
    <s v="277056"/>
    <s v="Officer- F&amp;A"/>
    <s v="Odisha"/>
    <s v="0022030019"/>
    <s v="PDP-HR &amp; Admn"/>
    <s v="2000STORIS"/>
    <s v="20055801"/>
    <s v="Sanjive Kumar Singh"/>
    <s v="No"/>
    <s v="monoswita.rez@amns.in"/>
    <s v="8598027449"/>
    <s v="887972"/>
    <s v="Sunila Das"/>
    <s v="Anil Matoo"/>
    <s v="Praveen Kuruvalli"/>
    <s v="Sunila Das"/>
    <n v="0"/>
  </r>
  <r>
    <n v="4547"/>
    <n v="20056456"/>
    <s v="Prashant Bajpai"/>
    <s v="AM/NS India"/>
    <s v="Onroll"/>
    <s v="M-7"/>
    <n v="7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Lead- HR Operations"/>
    <m/>
    <s v="Human Resources"/>
    <s v=""/>
    <s v=""/>
    <s v="Non Technical Support"/>
    <s v="Human Resources Management"/>
    <s v="Human Resources Management"/>
    <s v="73501001"/>
    <s v="Human Resources"/>
    <s v="Hazira"/>
    <d v="1990-05-10T00:00:00"/>
    <s v="33.04"/>
    <d v="2022-04-07T00:00:00"/>
    <d v="2048-05-31T00:00:00"/>
    <m/>
    <d v="2048-05-31T00:00:00"/>
    <n v="9020"/>
    <s v="O+"/>
    <s v="MBA-2012 , BCom-2010"/>
    <s v="09.10"/>
    <s v="01.05"/>
    <s v="11.03"/>
    <s v="70472770"/>
    <s v="Hazira HR Operations - 1"/>
    <s v="273307"/>
    <s v="Lead- HR Operations"/>
    <s v="Hazira"/>
    <s v="0031950061"/>
    <s v="HZ-Human Resource"/>
    <s v="2000HWO"/>
    <s v="20001265"/>
    <s v="Lakshman Iyer"/>
    <s v="No"/>
    <s v="prashant.bajpai@amns.in"/>
    <s v="9558610703"/>
    <s v="888411"/>
    <s v="Dhruv Vyas"/>
    <s v="Anil Matoo"/>
    <s v="Praveen Kuruvalli"/>
    <s v="Dhruv Vyas"/>
    <n v="0"/>
  </r>
  <r>
    <n v="4574"/>
    <n v="20056488"/>
    <s v="Supriya Swain"/>
    <s v="AM/NS India"/>
    <s v="Onroll"/>
    <s v="M-7"/>
    <n v="7"/>
    <m/>
    <s v="MM"/>
    <s v="F"/>
    <s v="Odisha"/>
    <n v="2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1"/>
    <s v="Human Resources"/>
    <s v="Paradeep"/>
    <d v="1983-06-30T00:00:00"/>
    <s v="40.02"/>
    <d v="2022-05-02T00:00:00"/>
    <d v="2041-06-30T00:00:00"/>
    <m/>
    <d v="2041-06-30T00:00:00"/>
    <n v="6493"/>
    <s v="A+"/>
    <s v="MBA-2008 , PG Diploma-2005 , BSc-2004 ,"/>
    <s v="12.00"/>
    <s v="01.04"/>
    <s v="13.04"/>
    <s v="70495430"/>
    <s v="Odisha HR Operations"/>
    <s v="273311"/>
    <s v="Lead - Human Resources"/>
    <s v="Odisha"/>
    <s v="0022030019"/>
    <s v="PDP-HR &amp; Admn"/>
    <s v="2000STORIS"/>
    <s v="20055611"/>
    <s v="Sunila Kumar Das"/>
    <s v="No"/>
    <s v="supriya.swain@amns.in"/>
    <s v="7894450331"/>
    <s v="890454"/>
    <s v="Sunila Das"/>
    <s v="Anil Matoo"/>
    <s v="Praveen Kuruvalli"/>
    <s v="Sunila Das"/>
    <n v="0"/>
  </r>
  <r>
    <n v="4578"/>
    <n v="20056492"/>
    <s v="Parthajeet Mazumdar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Capex Procurement"/>
    <s v=""/>
    <s v=""/>
    <s v="Non Technical Support"/>
    <s v=""/>
    <s v=""/>
    <s v=""/>
    <s v=""/>
    <s v="Hazira"/>
    <d v="1990-08-28T00:00:00"/>
    <s v="33.00"/>
    <d v="2022-04-28T00:00:00"/>
    <d v="2048-08-31T00:00:00"/>
    <m/>
    <d v="2048-08-31T00:00:00"/>
    <n v="9112"/>
    <s v="O+"/>
    <s v="Bachelor of Computer Applications-2012 ,"/>
    <s v="09.09"/>
    <s v="01.04"/>
    <s v="11.01"/>
    <s v="00049335"/>
    <s v="Capex Procurement - Expediting"/>
    <s v="278454"/>
    <s v="Lead – Expeditor Capex"/>
    <s v="Hazira"/>
    <s v="0031950059"/>
    <s v="HZ-Hazira Project"/>
    <s v="2000HWO"/>
    <s v="20057413"/>
    <s v="Vipin Toshniwal"/>
    <s v="No"/>
    <s v="parthajeet.mazumdar@amns.in"/>
    <s v="6358942094"/>
    <s v="891002"/>
    <s v="Dhruv Vyas"/>
    <s v="Anil Matoo"/>
    <s v="Praveen Kuruvalli"/>
    <s v="Dhruv Vyas"/>
    <n v="0"/>
  </r>
  <r>
    <n v="4585"/>
    <n v="20056499"/>
    <s v="Bharti Chundawat"/>
    <s v="AM/NS India"/>
    <s v="Onroll"/>
    <s v="M-7"/>
    <n v="7"/>
    <m/>
    <s v="MM"/>
    <s v="F"/>
    <s v="Hazira"/>
    <n v="1"/>
    <s v="2161"/>
    <x v="15"/>
    <s v="31.02"/>
    <s v="Hrishikesh Kamat"/>
    <s v="Hrishikesh Kamat"/>
    <n v="7"/>
    <s v="Procurement"/>
    <s v="Procurement"/>
    <s v="31"/>
    <s v="Sr. Lead - Capex Services"/>
    <m/>
    <s v=""/>
    <s v=""/>
    <s v=""/>
    <s v="Non Technical Support"/>
    <s v="Operations"/>
    <s v="Operations"/>
    <s v="72103001"/>
    <s v="Operations"/>
    <s v="Hazira"/>
    <d v="1987-11-23T00:00:00"/>
    <s v="35.09"/>
    <d v="2022-05-09T00:00:00"/>
    <d v="2045-11-30T00:00:00"/>
    <m/>
    <d v="2045-11-30T00:00:00"/>
    <n v="8107"/>
    <s v="O+"/>
    <s v="Bachelor Equivalent-2009 , Intermediate-"/>
    <s v="12.04"/>
    <s v="01.04"/>
    <s v="13.08"/>
    <s v="00049344"/>
    <s v="Capex Procurement"/>
    <s v="273318"/>
    <s v="Sr. Lead - Capex Services"/>
    <s v="Hazira"/>
    <s v="0031950059"/>
    <s v="HZ-Hazira Project"/>
    <s v="2000HWO"/>
    <s v="20055728"/>
    <s v="Mahebub Vahora"/>
    <s v="No"/>
    <s v="bharti.chundawat@amns.in"/>
    <s v="9879105140"/>
    <s v="892294"/>
    <s v="Dhruv Vyas"/>
    <s v="Anil Matoo"/>
    <s v="Praveen Kuruvalli"/>
    <s v="Dhruv Vyas"/>
    <n v="0"/>
  </r>
  <r>
    <n v="4588"/>
    <n v="20056503"/>
    <s v="Bhavin Pandya"/>
    <s v="AM/NS India"/>
    <s v="Onroll"/>
    <s v="M-6"/>
    <n v="6"/>
    <m/>
    <s v="MM"/>
    <s v="M"/>
    <s v="Hazira"/>
    <n v="1"/>
    <s v="2084"/>
    <x v="17"/>
    <s v="23.09"/>
    <s v="Anil Matoo"/>
    <s v="Ashutosh Telang"/>
    <n v="6"/>
    <s v="HR &amp; Administration"/>
    <s v="Industrial Relations"/>
    <s v="23"/>
    <s v="Head IR &amp; Legal Compliance"/>
    <m/>
    <s v=""/>
    <s v=""/>
    <s v=""/>
    <s v="Non Technical Support"/>
    <s v="Human Resources Management"/>
    <s v="Human Resources Management"/>
    <s v="73501002"/>
    <s v="Human Resources Operation"/>
    <s v="Hazira"/>
    <d v="1976-01-02T00:00:00"/>
    <s v="47.08"/>
    <d v="2022-05-09T00:00:00"/>
    <d v="2034-01-31T00:00:00"/>
    <m/>
    <d v="2034-01-31T00:00:00"/>
    <n v="3786"/>
    <s v="AB-"/>
    <s v="Master's Equivalent-2001 , BSc-1999 , In"/>
    <s v="11.00"/>
    <s v="01.04"/>
    <s v="12.04"/>
    <s v="70309501"/>
    <s v="IR &amp; legal Compliance"/>
    <s v="70320438"/>
    <s v="Head IR &amp; Legal Compliance"/>
    <s v="Hazira"/>
    <s v="0090000018"/>
    <s v="CORP Group - HR"/>
    <s v="2000HWO"/>
    <s v="20000083"/>
    <s v="Anil Matoo"/>
    <s v="No"/>
    <s v="bhavin.pandya@amns.in"/>
    <s v="6358942110"/>
    <s v="892872"/>
    <s v="Dhruv Vyas"/>
    <s v="Anil Matoo"/>
    <s v="Praveen Kuruvalli"/>
    <s v="Dhruv Vyas"/>
    <n v="0"/>
  </r>
  <r>
    <n v="4590"/>
    <n v="20056505"/>
    <s v="Tanvee Vasudevan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, Delhi"/>
    <m/>
    <s v="Legal"/>
    <s v=""/>
    <s v=""/>
    <s v="Non Technical Support"/>
    <s v="Legal"/>
    <s v="Legal"/>
    <s v="73201001"/>
    <s v="Legal"/>
    <s v="Delhi"/>
    <d v="1991-12-27T00:00:00"/>
    <s v="31.08"/>
    <d v="2022-05-16T00:00:00"/>
    <d v="2049-12-31T00:00:00"/>
    <m/>
    <d v="2049-12-31T00:00:00"/>
    <n v="9599"/>
    <s v="O+"/>
    <s v="LLB-2014 , SSLC-2007 , Intermediate-2008"/>
    <s v="04.00"/>
    <s v="01.04"/>
    <s v="05.04"/>
    <s v="00048996"/>
    <s v="Legal"/>
    <s v="273390"/>
    <s v="Sr. Lead - Legal"/>
    <s v="Corporate"/>
    <s v="0090000019"/>
    <s v="Corporate Steel - Le"/>
    <s v="2000CS"/>
    <s v="20055160"/>
    <s v="Mrida Lakhmani"/>
    <s v="No"/>
    <s v="tanvee.vasudevan@amns.in"/>
    <s v="9867864462"/>
    <s v="893029"/>
    <s v="Dhruv Vyas"/>
    <s v="Anil Matoo"/>
    <s v="Praveen Kuruvalli"/>
    <s v="Dhruv Vyas"/>
    <n v="0"/>
  </r>
  <r>
    <n v="4592"/>
    <n v="20056507"/>
    <s v="Jojo Thalanany"/>
    <s v="AM/NS India"/>
    <s v="Onroll"/>
    <s v="M-9"/>
    <n v="9"/>
    <m/>
    <s v="JM"/>
    <s v="M"/>
    <s v="Corporate"/>
    <n v="7"/>
    <s v="2096"/>
    <x v="14"/>
    <s v="36.02"/>
    <s v="Deepak Sindkar"/>
    <s v="Hrishikesh Kamat"/>
    <n v="7"/>
    <s v="Procurement"/>
    <s v="Raw Materials"/>
    <s v="36"/>
    <s v="Officer Analyst – Power &amp; Gas"/>
    <m/>
    <s v=""/>
    <s v=""/>
    <s v=""/>
    <s v="Tech. Support Services"/>
    <s v=""/>
    <s v=""/>
    <s v=""/>
    <s v=""/>
    <s v="Mumbai"/>
    <d v="1990-05-03T00:00:00"/>
    <s v="33.04"/>
    <d v="2022-05-09T00:00:00"/>
    <d v="2048-05-31T00:00:00"/>
    <m/>
    <d v="2048-05-31T00:00:00"/>
    <n v="9020"/>
    <s v="A+"/>
    <s v="Master's Equivalent-2018 , PG Diploma-20"/>
    <s v="07.02"/>
    <s v="01.04"/>
    <s v="08.06"/>
    <s v="00049516"/>
    <s v="Power &amp; Gas"/>
    <s v="279676"/>
    <s v="Officer Analyst – Power &amp; Gas"/>
    <s v="Corporate"/>
    <s v="0031950048"/>
    <s v="HZ-Procurment Depart"/>
    <s v="2000CS"/>
    <s v="20004612"/>
    <s v="Ramesh Chabhadiya"/>
    <s v="No"/>
    <s v="jojo.thalanany@amns.in"/>
    <s v="9821721703"/>
    <s v="25647"/>
    <s v="Dhruv Vyas"/>
    <s v="Anil Matoo"/>
    <s v="Praveen Kuruvalli"/>
    <s v="Dhruv Vyas"/>
    <n v="0"/>
  </r>
  <r>
    <n v="4604"/>
    <n v="20056520"/>
    <s v="Ankit Panchal"/>
    <s v="AM/NS India"/>
    <s v="Onroll"/>
    <s v="M-6"/>
    <n v="6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- Capex Procurement"/>
    <m/>
    <s v=""/>
    <s v=""/>
    <s v=""/>
    <s v="Non Technical Support"/>
    <s v=""/>
    <s v=""/>
    <s v=""/>
    <s v=""/>
    <s v="Hazira"/>
    <d v="1984-10-13T00:00:00"/>
    <s v="38.11"/>
    <d v="2022-05-19T00:00:00"/>
    <d v="2042-10-31T00:00:00"/>
    <m/>
    <d v="2042-10-31T00:00:00"/>
    <n v="6981"/>
    <s v="B+"/>
    <s v="PG Diploma-2010 , Bachelor Equivalent-20"/>
    <s v="16.09"/>
    <s v="01.04"/>
    <s v="18.00"/>
    <s v="00049358"/>
    <s v="Capex Procurement"/>
    <s v="279775"/>
    <s v="Sr. Lead - Capex Procurement"/>
    <s v="Hazira"/>
    <s v="0031950059"/>
    <s v="HZ-Hazira Project"/>
    <s v="2000HWO"/>
    <s v="20052261"/>
    <s v="Aruni Mishra"/>
    <s v="No"/>
    <s v="ankit.panchal@amns.in"/>
    <s v="6354766167"/>
    <s v="893771"/>
    <s v="Dhruv Vyas"/>
    <s v="Anil Matoo"/>
    <s v="Praveen Kuruvalli"/>
    <s v="Dhruv Vyas"/>
    <n v="0"/>
  </r>
  <r>
    <n v="4617"/>
    <n v="20056538"/>
    <s v="Dinesh Chandra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Sales &amp; Marketing"/>
    <m/>
    <s v="North"/>
    <s v="OEM"/>
    <s v=""/>
    <s v="Non Technical Support"/>
    <s v=""/>
    <s v=""/>
    <s v=""/>
    <s v=""/>
    <s v="Noida"/>
    <d v="1979-07-11T00:00:00"/>
    <s v="44.02"/>
    <d v="2022-06-01T00:00:00"/>
    <d v="2037-07-31T00:00:00"/>
    <m/>
    <d v="2037-07-31T00:00:00"/>
    <n v="5063"/>
    <s v="B+"/>
    <s v="MBA-2007 , Diploma-2002 , BA-2001 , Inte"/>
    <s v="16.07"/>
    <s v="01.03"/>
    <s v="17.10"/>
    <s v="72150181"/>
    <s v="Sales North Zone"/>
    <s v="280472"/>
    <s v="KAM - OEM Sales"/>
    <s v="Hazira"/>
    <s v="0031950057"/>
    <s v="HZ-HRC - Marketing"/>
    <s v="2000HWO"/>
    <s v="20002920"/>
    <s v="Sudhir Sharma"/>
    <s v="No"/>
    <s v="dinesh.chauhan@amns.in"/>
    <s v="8826229382"/>
    <s v="895031"/>
    <s v="Dhruv Vyas"/>
    <s v="Anil Matoo"/>
    <s v="Praveen Kuruvalli"/>
    <s v="Dhruv Vyas"/>
    <n v="0"/>
  </r>
  <r>
    <n v="4618"/>
    <n v="20056539"/>
    <s v="Baruah Akshay"/>
    <s v="AM/NS India"/>
    <s v="Onroll"/>
    <s v="M-7"/>
    <n v="7"/>
    <m/>
    <s v="MM"/>
    <s v="M"/>
    <s v="Hazira"/>
    <n v="1"/>
    <s v="2099"/>
    <x v="19"/>
    <s v="02.01"/>
    <s v="Raghavan Aravamudhan"/>
    <s v="Dilip Oommen"/>
    <n v="1"/>
    <s v="CEO Office"/>
    <s v="Business Strategy"/>
    <s v="02"/>
    <s v="Lead - PMO (Analyst)"/>
    <m/>
    <s v="Business Strategy"/>
    <s v="Business Strategy"/>
    <s v=""/>
    <s v="Non Technical Support"/>
    <s v=""/>
    <s v=""/>
    <s v=""/>
    <s v=""/>
    <s v="Hazira"/>
    <d v="1987-11-30T00:00:00"/>
    <s v="35.09"/>
    <d v="2022-05-23T00:00:00"/>
    <d v="2045-11-30T00:00:00"/>
    <m/>
    <d v="2045-11-30T00:00:00"/>
    <n v="8107"/>
    <s v="A+"/>
    <s v="BE-2009 , Intermediate-2005 , SSLC-2003"/>
    <s v="12.02"/>
    <s v="01.03"/>
    <s v="13.06"/>
    <s v="00046538"/>
    <s v="Project Monitoring"/>
    <s v="280507"/>
    <s v="Lead - PMO (Analyst)"/>
    <s v="Hazira"/>
    <s v="0090000022"/>
    <s v="Business Strategy"/>
    <s v="2000HWO"/>
    <s v="20049281"/>
    <s v="Raveena Dhoot"/>
    <s v="No"/>
    <s v="akshay.baruah@amns.in"/>
    <s v="7763807221"/>
    <s v="895230"/>
    <s v="Dhruv Vyas"/>
    <s v="Anil Matoo"/>
    <s v="Praveen Kuruvalli"/>
    <s v="Dhruv Vyas"/>
    <n v="0"/>
  </r>
  <r>
    <n v="4624"/>
    <n v="20056545"/>
    <s v="Atul Shukla"/>
    <s v="AM/NS India"/>
    <s v="Onroll"/>
    <s v="M-9"/>
    <n v="9"/>
    <m/>
    <s v="J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Officer – Finance &amp; Accounts SC"/>
    <m/>
    <s v="Finance &amp; Accounts"/>
    <s v="Finance &amp; Accounts"/>
    <s v="Finance &amp; Accounts"/>
    <s v="Non Technical Support"/>
    <s v=""/>
    <s v=""/>
    <s v=""/>
    <s v=""/>
    <s v="Pune"/>
    <d v="1979-03-27T00:00:00"/>
    <s v="44.05"/>
    <d v="2022-06-10T00:00:00"/>
    <d v="2037-03-31T00:00:00"/>
    <m/>
    <d v="2037-03-31T00:00:00"/>
    <n v="4941"/>
    <s v="O-"/>
    <s v="MBA-2017 , BCom-2000 , Intermediate-1997"/>
    <s v="11.00"/>
    <s v="01.03"/>
    <s v="12.03"/>
    <s v="00043795"/>
    <s v="F&amp;A Hypermart &amp; Service Centre - 1"/>
    <s v="281143"/>
    <s v="Officer – Finance &amp; Accounts SC"/>
    <s v="Service Center"/>
    <s v="0040020019"/>
    <s v="SC-Pune-Op1-HR-Admin"/>
    <s v="2000SPRJ"/>
    <s v="20055201"/>
    <s v="Deepak Sahu"/>
    <s v="No"/>
    <s v="atul.shukla@amns.in"/>
    <s v="7600026392"/>
    <s v="896685"/>
    <s v="Dhruv Vyas"/>
    <s v="Anil Matoo"/>
    <s v="Praveen Kuruvalli"/>
    <s v="Dhruv Vyas"/>
    <n v="0"/>
  </r>
  <r>
    <n v="4664"/>
    <n v="20056666"/>
    <s v="Vishnu Jariwala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"/>
    <s v=""/>
    <s v=""/>
    <s v="Non Technical Support"/>
    <s v="Commercial"/>
    <s v="Procurement"/>
    <s v="73803001"/>
    <s v="Procurement"/>
    <s v="Hazira"/>
    <d v="1999-09-29T00:00:00"/>
    <s v="23.11"/>
    <d v="2022-06-10T00:00:00"/>
    <d v="2057-09-30T00:00:00"/>
    <m/>
    <d v="2057-09-30T00:00:00"/>
    <n v="12429"/>
    <s v="O+"/>
    <s v="Diploma-2018"/>
    <s v=""/>
    <s v="01.03"/>
    <s v="01.03"/>
    <s v="70072411"/>
    <s v="Iron &amp; Steel Making"/>
    <s v="281526"/>
    <s v="Engineer"/>
    <s v="Hazira"/>
    <s v="0031950048"/>
    <s v="HZ-Procurment Depart"/>
    <s v="2000HWO"/>
    <s v="20000926"/>
    <s v="Manishkumar Seksaria"/>
    <s v="No"/>
    <s v="vishnu.jariwala@amns.in"/>
    <s v="9727740223"/>
    <s v="26146"/>
    <s v="Dhruv Vyas"/>
    <s v="Anil Matoo"/>
    <s v="Praveen Kuruvalli"/>
    <s v="Dhruv Vyas"/>
    <n v="0"/>
  </r>
  <r>
    <n v="4665"/>
    <n v="20056668"/>
    <s v="Jaykumar Patel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"/>
    <s v=""/>
    <s v=""/>
    <s v="Non Technical Support"/>
    <s v="Commercial"/>
    <s v="Procurement"/>
    <s v="73803001"/>
    <s v="Procurement"/>
    <s v="Hazira"/>
    <d v="1998-06-13T00:00:00"/>
    <s v="25.03"/>
    <d v="2022-06-10T00:00:00"/>
    <d v="2056-06-30T00:00:00"/>
    <m/>
    <d v="2056-06-30T00:00:00"/>
    <n v="11972"/>
    <s v="O+"/>
    <s v="BTech-2022"/>
    <s v=""/>
    <s v="01.03"/>
    <s v="01.03"/>
    <s v="00044543"/>
    <s v="Procurement -Refractory"/>
    <s v="281528"/>
    <s v="Engineer"/>
    <s v="Hazira"/>
    <s v="0031950048"/>
    <s v="HZ-Procurment Depart"/>
    <s v="2000VIZOPS"/>
    <s v="20008647"/>
    <s v="Alpesh Hirpara"/>
    <s v="No"/>
    <s v="jaykumar.patel5@amns.in"/>
    <s v="9909902640"/>
    <s v="26270"/>
    <s v="Dhruv Vyas"/>
    <s v="Anil Matoo"/>
    <s v="Praveen Kuruvalli"/>
    <s v="Dhruv Vyas"/>
    <n v="0"/>
  </r>
  <r>
    <n v="4716"/>
    <n v="20056721"/>
    <s v="Amit Mosamkar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West"/>
    <s v="Hypermart"/>
    <s v=""/>
    <s v="Non Technical Support"/>
    <s v=""/>
    <s v=""/>
    <s v=""/>
    <s v=""/>
    <s v="Nashik"/>
    <d v="1989-12-29T00:00:00"/>
    <s v="33.08"/>
    <d v="2022-06-20T00:00:00"/>
    <d v="2047-12-31T00:00:00"/>
    <m/>
    <d v="2047-12-31T00:00:00"/>
    <n v="8868"/>
    <s v="AB+"/>
    <s v="MBA-2013 , BSc-2010 , Intermediate-2007"/>
    <s v="08.07"/>
    <s v="01.03"/>
    <s v="09.09"/>
    <s v="00048138"/>
    <s v="Hypermart west"/>
    <s v="281984"/>
    <s v="Sales Manager - Hypermart"/>
    <s v="Hazira"/>
    <s v="0060110600"/>
    <s v="HMART-Mah-Taloja"/>
    <s v="2000HWO"/>
    <s v="20056847"/>
    <s v="Vikas Chotia"/>
    <s v="No"/>
    <s v="amit.mosamkar@amns.in"/>
    <s v="9167716296"/>
    <s v="898091"/>
    <s v="Dhruv Vyas"/>
    <s v="Anil Matoo"/>
    <s v="Praveen Kuruvalli"/>
    <s v="Dhruv Vyas"/>
    <n v="0"/>
  </r>
  <r>
    <n v="4725"/>
    <n v="20056733"/>
    <s v="Satish Bhusale"/>
    <s v="AM/NS India"/>
    <s v="Onroll"/>
    <s v="M-9"/>
    <n v="9"/>
    <m/>
    <s v="JM"/>
    <s v="M"/>
    <s v="Pune Facility"/>
    <n v="4"/>
    <s v="2094"/>
    <x v="21"/>
    <s v="27.10"/>
    <s v="Vikas Chandra Yadvendu"/>
    <s v="Ashutosh Telang"/>
    <n v="6"/>
    <s v="HR &amp; Administration"/>
    <s v="Corporate SocialResponsibility"/>
    <s v="27"/>
    <s v="Dy Manager - CSR"/>
    <m/>
    <s v=""/>
    <s v=""/>
    <s v=""/>
    <s v="Non Technical Support"/>
    <s v=""/>
    <s v=""/>
    <s v=""/>
    <s v=""/>
    <s v="Pune AMNS"/>
    <d v="1986-04-13T00:00:00"/>
    <s v="37.05"/>
    <d v="2022-06-13T00:00:00"/>
    <d v="2044-04-30T00:00:00"/>
    <m/>
    <d v="2044-04-30T00:00:00"/>
    <n v="7528"/>
    <s v="O+"/>
    <s v="MSW-2009 , Intermediate-2004 , SSLC-2003"/>
    <s v="11.10"/>
    <s v="01.03"/>
    <s v="13.01"/>
    <s v="70495661"/>
    <s v="Corporate Social Responsibility"/>
    <s v="282389"/>
    <s v="Dy Manager - CSR"/>
    <s v="Pune Facility"/>
    <s v="0022030019"/>
    <s v="PDP-HR &amp; Admn"/>
    <s v="2000ESPF"/>
    <s v="20055033"/>
    <s v="Vikas Chandra Yadvendu"/>
    <s v="No"/>
    <s v="satish.bhusale@amns.in"/>
    <s v="7058612912"/>
    <s v="898737"/>
    <s v="Dhruv Vyas"/>
    <s v="Anil Matoo"/>
    <s v="Praveen Kuruvalli"/>
    <s v="Dhruv Vyas"/>
    <n v="0"/>
  </r>
  <r>
    <n v="4726"/>
    <n v="20056734"/>
    <s v="Sambit Das"/>
    <s v="AM/NS India"/>
    <s v="Onroll"/>
    <s v="M-8"/>
    <n v="8"/>
    <m/>
    <s v="JM"/>
    <s v="M"/>
    <s v="Corporate"/>
    <n v="7"/>
    <s v="2015"/>
    <x v="1"/>
    <s v="22.06"/>
    <s v="Praveen Kuruvalli"/>
    <s v="Ashutosh Telang"/>
    <n v="6"/>
    <s v="HR &amp; Administration"/>
    <s v="Human Resources"/>
    <s v="22"/>
    <s v="Talent Acquisition Specialist"/>
    <m/>
    <s v="Human Resources"/>
    <s v=""/>
    <s v=""/>
    <s v="Non Technical Support"/>
    <s v=""/>
    <s v=""/>
    <s v=""/>
    <s v=""/>
    <s v="Mumbai"/>
    <d v="1986-12-09T00:00:00"/>
    <s v="36.09"/>
    <d v="2022-06-01T00:00:00"/>
    <d v="2044-12-31T00:00:00"/>
    <m/>
    <d v="2044-12-31T00:00:00"/>
    <n v="7773"/>
    <s v="B+"/>
    <s v="MBA-2011 , BCom-2009 , Intermediate-2004"/>
    <s v="10.06"/>
    <s v="01.03"/>
    <s v="11.09"/>
    <s v="70242278"/>
    <s v="People Strategy &amp; HR Center Excellence"/>
    <s v="282396"/>
    <s v="Talent Acquisition Specialist"/>
    <s v="Corporate"/>
    <s v="0031950061"/>
    <s v="HZ-Human Resource"/>
    <s v="2000CS"/>
    <s v="20055483"/>
    <s v="Praveen Kuruvalli"/>
    <s v="No"/>
    <s v="sambit.das@amns.in"/>
    <s v="8981081994"/>
    <s v="898766"/>
    <s v="Dhruv Vyas"/>
    <s v="Anil Matoo"/>
    <s v="Praveen Kuruvalli"/>
    <s v="Dhruv Vyas"/>
    <n v="0"/>
  </r>
  <r>
    <n v="4783"/>
    <n v="20056809"/>
    <s v="Divyakumar Patel"/>
    <s v="AM/NS India"/>
    <s v="Onroll"/>
    <s v="T-1 (GET)"/>
    <n v="12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Commercial"/>
    <s v="Procurement"/>
    <s v="73803001"/>
    <s v="Procurement"/>
    <s v="Hazira"/>
    <d v="2001-02-27T00:00:00"/>
    <s v="22.06"/>
    <d v="2022-06-27T00:00:00"/>
    <d v="2059-02-28T00:00:00"/>
    <m/>
    <d v="2059-02-28T00:00:00"/>
    <n v="12945"/>
    <s v=""/>
    <s v="BE-2022"/>
    <s v=""/>
    <s v="01.02"/>
    <s v="01.02"/>
    <s v="70495711"/>
    <s v="Capex Buyer"/>
    <s v="273542"/>
    <s v="Graduate Engineer Trainee 2022"/>
    <s v="Hazira"/>
    <s v="0031950061"/>
    <s v="HZ-Human Resource"/>
    <s v="2161HAZI"/>
    <s v="20055447"/>
    <s v="Nirav Pachchigar"/>
    <s v="No"/>
    <s v="divyakumar.patel@amns.in"/>
    <s v="9662041625"/>
    <s v="899856"/>
    <s v="Dhruv Vyas"/>
    <s v="Anil Matoo"/>
    <s v="Praveen Kuruvalli"/>
    <s v="Dhruv Vyas"/>
    <n v="0"/>
  </r>
  <r>
    <n v="4807"/>
    <n v="20056841"/>
    <s v="Rishi Bhartia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Officer – Business Analysis"/>
    <m/>
    <s v="Sales Steering &amp; BD"/>
    <s v="Market Intelligence"/>
    <s v=""/>
    <s v="Non Technical Support"/>
    <s v=""/>
    <s v=""/>
    <s v=""/>
    <s v=""/>
    <s v="Mumbai"/>
    <d v="1992-07-15T00:00:00"/>
    <s v="31.02"/>
    <d v="2022-06-28T00:00:00"/>
    <d v="2050-07-31T00:00:00"/>
    <m/>
    <d v="2050-07-31T00:00:00"/>
    <n v="9811"/>
    <s v="B+"/>
    <s v="MBA-2018 , BTech-2015 , Intermediate-201"/>
    <s v="02.06"/>
    <s v="01.02"/>
    <s v="03.09"/>
    <s v="72150188"/>
    <s v="Market Intelligence &amp; Pricing"/>
    <s v="283093"/>
    <s v="Lead – Business Analysis"/>
    <s v="Corporate"/>
    <s v="0080000001"/>
    <s v="Head-Marketing"/>
    <s v="2000CS"/>
    <s v="20008774"/>
    <s v="Ajay Somasundaran"/>
    <s v="No"/>
    <s v="rishi.bhartia@amns.in"/>
    <s v="8097446244"/>
    <s v="1000612"/>
    <s v="Dhruv Vyas"/>
    <s v="Anil Matoo"/>
    <s v="Praveen Kuruvalli"/>
    <s v="Dhruv Vyas"/>
    <n v="0"/>
  </r>
  <r>
    <n v="4810"/>
    <n v="20056844"/>
    <s v="Kundan Rai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Lead Scrap Projects"/>
    <m/>
    <s v="Projects Long Products"/>
    <s v="Scrap"/>
    <s v=""/>
    <s v="Non Technical Support"/>
    <s v=""/>
    <s v=""/>
    <s v=""/>
    <s v=""/>
    <s v="Mumbai"/>
    <d v="1989-02-16T00:00:00"/>
    <s v="34.07"/>
    <d v="2022-06-20T00:00:00"/>
    <d v="2047-02-28T00:00:00"/>
    <m/>
    <d v="2047-02-28T00:00:00"/>
    <n v="8562"/>
    <s v="B+"/>
    <s v="BE-2010 , Intermediate-2006 , SSLC-2004"/>
    <s v="11.10"/>
    <s v="01.03"/>
    <s v="13.00"/>
    <s v="00053119"/>
    <s v="Recycling Strategy"/>
    <s v="283217"/>
    <s v="Lead Scrap Projects"/>
    <s v="Corporate"/>
    <s v="0080000005"/>
    <s v="Global Markets Team"/>
    <s v="2000CRG"/>
    <s v="20055091"/>
    <s v="Akshaya Gujral"/>
    <s v="No"/>
    <s v="kundan.rai@amns.in"/>
    <s v="9096422775"/>
    <s v="1000961"/>
    <s v="Dhruv Vyas"/>
    <s v="Anil Matoo"/>
    <s v="Praveen Kuruvalli"/>
    <s v="Dhruv Vyas"/>
    <n v="0"/>
  </r>
  <r>
    <n v="4811"/>
    <n v="20056845"/>
    <s v="Manoj Kumar"/>
    <s v="AM/NS Shipping &amp; Logistics"/>
    <s v="Onroll"/>
    <s v="M-6"/>
    <n v="6"/>
    <m/>
    <s v="MM"/>
    <s v="M"/>
    <s v="Hazira"/>
    <n v="1"/>
    <s v="7209"/>
    <x v="18"/>
    <s v="33.01"/>
    <s v="Hrishikesh Kamat"/>
    <s v="Hrishikesh Kamat"/>
    <n v="7"/>
    <s v="Procurement"/>
    <s v="Shipping &amp; Chartering"/>
    <s v="33"/>
    <s v="Sr. Lead - Shipping and Chartering"/>
    <m/>
    <s v=""/>
    <s v=""/>
    <s v=""/>
    <s v="Tech. Support Services"/>
    <s v="Operations"/>
    <s v="Operations"/>
    <s v="72103001"/>
    <s v="Operations"/>
    <s v="Hazira"/>
    <d v="1978-05-17T00:00:00"/>
    <s v="45.04"/>
    <d v="2022-07-01T00:00:00"/>
    <d v="2036-05-31T00:00:00"/>
    <m/>
    <d v="2036-05-31T00:00:00"/>
    <n v="4637"/>
    <s v="B+"/>
    <s v="MBA-2014 , BSc-2000 , Intermediate-1996"/>
    <s v="06.00"/>
    <s v="01.02"/>
    <s v="07.02"/>
    <s v="00000000"/>
    <s v=""/>
    <s v="303933"/>
    <s v="Sr. Lead - Shipping and Chartering"/>
    <s v="AMNSSL"/>
    <s v="0000700001"/>
    <s v="SHIP-COMMON"/>
    <s v="2000HWO"/>
    <s v="20055075"/>
    <s v="Ashutosh Mathur"/>
    <s v="No"/>
    <s v="manoj.kumar@amns.in"/>
    <s v="9819906271"/>
    <s v="1001270"/>
    <s v="Dhruv Vyas"/>
    <s v="Anil Matoo"/>
    <s v="Praveen Kuruvalli"/>
    <s v="Dhruv Vyas"/>
    <n v="0"/>
  </r>
  <r>
    <n v="4813"/>
    <n v="20056847"/>
    <s v="Vikas Chotia"/>
    <s v="AM/NS India"/>
    <s v="Onroll"/>
    <s v="M-6"/>
    <n v="6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Manager - West"/>
    <m/>
    <s v="West"/>
    <s v="Hypermart"/>
    <s v=""/>
    <s v="Non Technical Support"/>
    <s v=""/>
    <s v=""/>
    <s v=""/>
    <s v=""/>
    <s v="Mumbai"/>
    <d v="1981-03-21T00:00:00"/>
    <s v="42.06"/>
    <d v="2022-07-01T00:00:00"/>
    <d v="2039-03-31T00:00:00"/>
    <m/>
    <d v="2039-03-31T00:00:00"/>
    <n v="5671"/>
    <s v="A+"/>
    <s v="MBA-2005 , BSc-2003 , Intermediate-2001"/>
    <s v="16.01"/>
    <s v="01.02"/>
    <s v="17.03"/>
    <s v="00048138"/>
    <s v="Hypermart west"/>
    <s v="283359"/>
    <s v="Business Manager - West"/>
    <s v="Hypermart"/>
    <s v="0060110400"/>
    <s v="HMART-Maharastra Div"/>
    <s v="2000SRET"/>
    <s v="20000812"/>
    <s v="Sitaram Rege"/>
    <s v="No"/>
    <s v="vikas.chotia@amns.in"/>
    <s v="9826985600"/>
    <s v="1001419"/>
    <s v="Dhruv Vyas"/>
    <s v="Anil Matoo"/>
    <s v="Praveen Kuruvalli"/>
    <s v="Dhruv Vyas"/>
    <n v="0"/>
  </r>
  <r>
    <n v="4815"/>
    <n v="20056849"/>
    <s v="Pramod Kumar Sinha"/>
    <s v="AM/NS India"/>
    <s v="Onroll"/>
    <s v="M-9"/>
    <n v="9"/>
    <m/>
    <s v="JM"/>
    <s v="M"/>
    <s v="Mining"/>
    <n v="8"/>
    <s v="2015"/>
    <x v="1"/>
    <s v="22.06"/>
    <s v="Praveen Kuruvalli"/>
    <s v="Ashutosh Telang"/>
    <n v="6"/>
    <s v="HR &amp; Administration"/>
    <s v="Human Resources"/>
    <s v="22"/>
    <s v="Officer HR and Admin"/>
    <m/>
    <s v="HR &amp; Admin"/>
    <s v=""/>
    <s v=""/>
    <s v="Non Technical Support"/>
    <s v=""/>
    <s v=""/>
    <s v=""/>
    <s v=""/>
    <s v="Barbil"/>
    <d v="1978-07-07T00:00:00"/>
    <s v="45.02"/>
    <d v="2022-06-13T00:00:00"/>
    <d v="2036-07-31T00:00:00"/>
    <m/>
    <d v="2036-07-31T00:00:00"/>
    <n v="4698"/>
    <s v="B+"/>
    <s v="PG Diploma in Management-2013 , BA-2002"/>
    <s v="15.06"/>
    <s v="01.03"/>
    <s v="16.08"/>
    <s v="00051987"/>
    <s v="HR - Mining"/>
    <s v="283477"/>
    <s v="Officer HR and Admin"/>
    <s v="Odisha"/>
    <s v="0031950061"/>
    <s v="HZ-Human Resource"/>
    <s v="2000STORIS"/>
    <s v="20059042"/>
    <s v="Murali Sahoo"/>
    <s v="No"/>
    <s v="pramod.sinha@amns.in"/>
    <s v="8660290497"/>
    <s v="1001531"/>
    <s v="Pramod Sinha"/>
    <s v="Anil Matoo"/>
    <s v="Praveen Kuruvalli"/>
    <s v="Dhruv Vyas"/>
    <n v="0"/>
  </r>
  <r>
    <n v="4820"/>
    <n v="20056854"/>
    <s v="Ritesh Agarwal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"/>
    <s v=""/>
    <s v=""/>
    <s v=""/>
    <s v="Hazira"/>
    <d v="1988-11-19T00:00:00"/>
    <s v="34.09"/>
    <d v="2022-06-27T00:00:00"/>
    <d v="2046-11-30T00:00:00"/>
    <m/>
    <d v="2046-11-30T00:00:00"/>
    <n v="8472"/>
    <s v="O+"/>
    <s v="BE-2012 , Intermediate-2007 , SSLC-2005"/>
    <s v="09.11"/>
    <s v="01.02"/>
    <s v="11.01"/>
    <s v="00049335"/>
    <s v="Capex Procurement - Expediting"/>
    <s v="283472"/>
    <s v="Lead – Expeditor Capex"/>
    <s v="Hazira"/>
    <s v="0031950059"/>
    <s v="HZ-Hazira Project"/>
    <s v="2000HWO"/>
    <s v="20057413"/>
    <s v="Vipin Toshniwal"/>
    <s v="No"/>
    <s v="ritesh.agarwal@amns.in"/>
    <s v="9040078266"/>
    <s v="1001739"/>
    <s v="Dhruv Vyas"/>
    <s v="Anil Matoo"/>
    <s v="Praveen Kuruvalli"/>
    <s v="Dhruv Vyas"/>
    <n v="0"/>
  </r>
  <r>
    <n v="4825"/>
    <n v="20056859"/>
    <s v="Mohammed Shafi A K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South"/>
    <s v="Hypermart"/>
    <s v=""/>
    <s v="Non Technical Support"/>
    <s v=""/>
    <s v=""/>
    <s v=""/>
    <s v=""/>
    <s v="Cochin"/>
    <d v="1988-12-20T00:00:00"/>
    <s v="34.09"/>
    <d v="2022-07-05T00:00:00"/>
    <d v="2046-12-31T00:00:00"/>
    <m/>
    <d v="2046-12-31T00:00:00"/>
    <n v="8503"/>
    <s v="A+"/>
    <s v="MBA-2013 , BCom-2003"/>
    <s v="08.02"/>
    <s v="01.02"/>
    <s v="09.04"/>
    <s v="00048814"/>
    <s v="Sales South Zone – Hypermart"/>
    <s v="283475"/>
    <s v="Sales Manager - Hypermart"/>
    <s v="Hypermart"/>
    <s v="0060140100"/>
    <s v="HMART-South Zone"/>
    <s v="2000SRET"/>
    <s v="20056279"/>
    <s v="Arun G"/>
    <s v="No"/>
    <s v="mohammed.shafi@amns.in"/>
    <s v="9946649414"/>
    <s v="1001881"/>
    <s v="Dhruv Vyas"/>
    <s v="Anil Matoo"/>
    <s v="Praveen Kuruvalli"/>
    <s v="Dhruv Vyas"/>
    <n v="0"/>
  </r>
  <r>
    <n v="4827"/>
    <n v="20056862"/>
    <s v="Rudresh Priya Ranjan"/>
    <s v="AM/NS India"/>
    <s v="Onroll"/>
    <s v="M-7"/>
    <n v="7"/>
    <m/>
    <s v="MM"/>
    <s v="M"/>
    <s v="Corporate"/>
    <n v="7"/>
    <s v="2060"/>
    <x v="24"/>
    <s v="39.01"/>
    <s v="Sanjay Sharma"/>
    <s v="Sanjay Sharma"/>
    <n v="8"/>
    <s v="Business Development"/>
    <s v="Business Development"/>
    <s v="39"/>
    <s v="Lead - Business Development"/>
    <m/>
    <s v="Business Development"/>
    <s v=""/>
    <s v=""/>
    <s v="Non Technical Support"/>
    <s v=""/>
    <s v=""/>
    <s v=""/>
    <s v=""/>
    <s v="Mumbai"/>
    <d v="1991-11-05T00:00:00"/>
    <s v="31.10"/>
    <d v="2022-06-20T00:00:00"/>
    <d v="2049-11-30T00:00:00"/>
    <m/>
    <d v="2049-11-30T00:00:00"/>
    <n v="9568"/>
    <s v="A+"/>
    <s v="PG Diploma in Management-2022 , BTech-20"/>
    <s v="05.10"/>
    <s v="01.03"/>
    <s v="07.00"/>
    <s v="70494900"/>
    <s v="Business Development"/>
    <s v="283994"/>
    <s v="Lead Business Development"/>
    <s v="Corporate"/>
    <s v="0090000032"/>
    <s v="Business Devpelopmen"/>
    <s v="2000CS"/>
    <s v="20055181"/>
    <s v="Sanjay Sharma"/>
    <s v="No"/>
    <s v="rudresh.ranjan@amns.in"/>
    <s v="7010922485"/>
    <s v="1002593"/>
    <s v="Dhruv Vyas"/>
    <s v="Anil Matoo"/>
    <s v="Praveen Kuruvalli"/>
    <s v="Dhruv Vyas"/>
    <n v="0"/>
  </r>
  <r>
    <n v="4829"/>
    <n v="20056865"/>
    <s v="Rahul Aditya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Process Manager Digitalization"/>
    <m/>
    <s v="Sales Steering &amp; BD"/>
    <s v="Digital Initiatives"/>
    <s v=""/>
    <s v="Non Technical Support"/>
    <s v=""/>
    <s v=""/>
    <s v=""/>
    <s v=""/>
    <s v="Mumbai"/>
    <d v="1983-10-20T00:00:00"/>
    <s v="39.11"/>
    <d v="2022-07-11T00:00:00"/>
    <d v="2041-10-31T00:00:00"/>
    <m/>
    <d v="2041-10-31T00:00:00"/>
    <n v="6616"/>
    <s v="AB+"/>
    <s v="PG Diploma in Management-2013 , BTech-20"/>
    <s v="07.11"/>
    <s v="01.02"/>
    <s v="09.01"/>
    <s v="70462100"/>
    <s v="Digital Initiatives"/>
    <s v="283619"/>
    <s v="Process Manager - Digitalization"/>
    <s v="Corporate"/>
    <s v="0080000005"/>
    <s v="Global Markets Team"/>
    <s v="2000CS"/>
    <s v="20043383"/>
    <s v="Maneesh Moti"/>
    <s v="No"/>
    <s v="rahul.aditya@amns.in"/>
    <s v="7763807623"/>
    <s v="1003225"/>
    <s v="Dhruv Vyas"/>
    <s v="Anil Matoo"/>
    <s v="Praveen Kuruvalli"/>
    <s v="Dhruv Vyas"/>
    <n v="0"/>
  </r>
  <r>
    <n v="4830"/>
    <n v="20056866"/>
    <s v="Amit Gaurav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"/>
    <s v=""/>
    <s v=""/>
    <s v=""/>
    <s v="Hazira"/>
    <d v="1993-08-11T00:00:00"/>
    <s v="30.01"/>
    <d v="2022-07-04T00:00:00"/>
    <d v="2051-08-31T00:00:00"/>
    <m/>
    <d v="2051-08-31T00:00:00"/>
    <n v="10207"/>
    <s v="O+"/>
    <s v="BTech-2014 , Intermediate-2010 , SSLC-20"/>
    <s v="08.00"/>
    <s v="01.02"/>
    <s v="09.02"/>
    <s v="00049335"/>
    <s v="Capex Procurement - Expediting"/>
    <s v="284175"/>
    <s v="Lead – Expeditor Capex"/>
    <s v="Hazira"/>
    <s v="0031950059"/>
    <s v="HZ-Hazira Project"/>
    <s v="2000HWO"/>
    <s v="20057413"/>
    <s v="Vipin Toshniwal"/>
    <s v="No"/>
    <s v="amit.gaurav@amns.in"/>
    <s v="9564997810"/>
    <s v="1003422"/>
    <s v="Dhruv Vyas"/>
    <s v="Anil Matoo"/>
    <s v="Praveen Kuruvalli"/>
    <s v="Dhruv Vyas"/>
    <n v="0"/>
  </r>
  <r>
    <n v="4834"/>
    <n v="20056870"/>
    <s v="Aditya Shrimal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Internal Control &amp; SOX"/>
    <m/>
    <s v="Finance &amp; Accounts"/>
    <s v=""/>
    <s v=""/>
    <s v="Non Technical Support"/>
    <s v="Chairman's Secretariat"/>
    <s v="Chairman's Secretariat"/>
    <s v="74701000"/>
    <s v="Chairman's Secretariat"/>
    <s v="Hazira"/>
    <d v="1992-08-19T00:00:00"/>
    <s v="31.01"/>
    <d v="2022-07-11T00:00:00"/>
    <d v="2050-08-31T00:00:00"/>
    <m/>
    <d v="2050-08-31T00:00:00"/>
    <n v="9842"/>
    <s v="B+"/>
    <s v="BCom-2013 , CA Final-2014 , Intermediate"/>
    <s v="07.07"/>
    <s v="01.02"/>
    <s v="08.09"/>
    <s v="72150219"/>
    <s v="Internal Control &amp; SOX -1"/>
    <s v="284176"/>
    <s v="Lead - Internal Control &amp; SOX"/>
    <s v="Hazira"/>
    <s v="0031950043"/>
    <s v="HZ-Performance Manag"/>
    <s v="2000HWO"/>
    <s v="20000138"/>
    <s v="Suresh Iyer"/>
    <s v="No"/>
    <s v="aditya.shrimal@amns.in"/>
    <s v="9636684027"/>
    <s v="1003506"/>
    <s v="Dhruv Vyas"/>
    <s v="Anil Matoo"/>
    <s v="Praveen Kuruvalli"/>
    <s v="Dhruv Vyas"/>
    <n v="0"/>
  </r>
  <r>
    <n v="4836"/>
    <n v="20056872"/>
    <s v="Rahul Khaitan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- Direct Tax"/>
    <m/>
    <s v="Finance &amp; Accounts"/>
    <s v=""/>
    <s v=""/>
    <s v="Non Technical Support"/>
    <s v=""/>
    <s v=""/>
    <s v=""/>
    <s v=""/>
    <s v="Mumbai"/>
    <d v="1987-12-09T00:00:00"/>
    <s v="35.09"/>
    <d v="2022-07-12T00:00:00"/>
    <d v="2045-12-31T00:00:00"/>
    <m/>
    <d v="2045-12-31T00:00:00"/>
    <n v="8138"/>
    <s v="A+"/>
    <s v="BCom-2009 , Intermediate-2006"/>
    <s v="11.08"/>
    <s v="01.02"/>
    <s v="12.09"/>
    <s v="70495368"/>
    <s v="Direct Taxation"/>
    <s v="284177"/>
    <s v="Sr. Lead - Direct Tax"/>
    <s v="Corporate"/>
    <s v="0090000033"/>
    <s v="Corporate Taxation"/>
    <s v="2000CS"/>
    <s v="20055494"/>
    <s v="Vikas Soni"/>
    <s v="No"/>
    <s v="rahul.khaitan@amns.in"/>
    <s v="9930040621"/>
    <s v="1003538"/>
    <s v="Dhruv Vyas"/>
    <s v="Anil Matoo"/>
    <s v="Praveen Kuruvalli"/>
    <s v="Dhruv Vyas"/>
    <n v="0"/>
  </r>
  <r>
    <n v="4874"/>
    <n v="20056918"/>
    <s v="Rohit Kumar"/>
    <s v="AM/NS India"/>
    <s v="Onroll"/>
    <s v="T-1 (GET)"/>
    <n v="12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Operations"/>
    <s v="Plant Operations"/>
    <s v="72103003"/>
    <s v="Plant Operations"/>
    <s v="Hazira"/>
    <d v="1997-08-21T00:00:00"/>
    <s v="26.00"/>
    <d v="2022-07-18T00:00:00"/>
    <d v="2055-08-31T00:00:00"/>
    <m/>
    <d v="2055-08-31T00:00:00"/>
    <n v="11668"/>
    <s v=""/>
    <s v="BTech-2022 , BTech-2022"/>
    <s v=""/>
    <s v="01.02"/>
    <s v="01.02"/>
    <s v="00044542"/>
    <s v="Procurement -Ferroalloys"/>
    <s v="273595"/>
    <s v="Graduate Engineer Trainee 2022"/>
    <s v="Hazira"/>
    <s v="0031950061"/>
    <s v="HZ-Human Resource"/>
    <s v="2161HAZI"/>
    <s v="20001370"/>
    <s v="Tejas Desai"/>
    <s v="No"/>
    <s v="rohit.kumar1@amns.in"/>
    <s v="9471306425"/>
    <s v="1003876"/>
    <s v="Dhruv Vyas"/>
    <s v="Anil Matoo"/>
    <s v="Praveen Kuruvalli"/>
    <s v="Dhruv Vyas"/>
    <n v="0"/>
  </r>
  <r>
    <n v="4887"/>
    <n v="20056940"/>
    <s v="Yash Trivedi"/>
    <s v="AM/NS India"/>
    <s v="Onroll"/>
    <s v="T-1 (GET)"/>
    <n v="12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Graduate Engineer Trainee 2022"/>
    <m/>
    <s v="West"/>
    <s v="Plate"/>
    <s v=""/>
    <s v="Non Technical Support"/>
    <s v="Operations"/>
    <s v="Plant Operations"/>
    <s v="72103003"/>
    <s v="Plant Operations"/>
    <s v="Ahmedabad"/>
    <d v="1998-01-25T00:00:00"/>
    <s v="25.07"/>
    <d v="2022-07-18T00:00:00"/>
    <d v="2056-01-31T00:00:00"/>
    <m/>
    <d v="2056-01-31T00:00:00"/>
    <n v="11821"/>
    <s v=""/>
    <s v="Diploma-2013"/>
    <s v=""/>
    <s v="01.02"/>
    <s v="01.02"/>
    <s v="00052660"/>
    <s v="Plate Sales"/>
    <s v="273617"/>
    <s v="Graduate Engineer Trainee 2022"/>
    <s v="Hazira"/>
    <s v="0031950061"/>
    <s v="HZ-Human Resource"/>
    <s v="2031MUMB"/>
    <s v="20046414"/>
    <s v="Vinod Ninawe"/>
    <s v="No"/>
    <s v="yash.trivedi@amns.in"/>
    <s v="6358869424"/>
    <s v="874066"/>
    <s v="Dhruv Vyas"/>
    <s v="Anil Matoo"/>
    <s v="Praveen Kuruvalli"/>
    <s v="Dhruv Vyas"/>
    <n v="0"/>
  </r>
  <r>
    <n v="4934"/>
    <n v="20056993"/>
    <s v="Priscilla Mohanty"/>
    <s v="AM/NS India"/>
    <s v="Onroll"/>
    <s v="T-1 (GET)"/>
    <n v="12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Operations"/>
    <s v="Plant Operations"/>
    <s v="72103003"/>
    <s v="Plant Operations"/>
    <s v="AM/NS Hazira"/>
    <d v="1996-04-08T00:00:00"/>
    <s v="27.05"/>
    <d v="2022-07-18T00:00:00"/>
    <d v="2054-04-30T00:00:00"/>
    <m/>
    <d v="2054-04-30T00:00:00"/>
    <n v="11180"/>
    <s v=""/>
    <s v="BTech-2022"/>
    <s v=""/>
    <s v="01.02"/>
    <s v="01.02"/>
    <s v="00052258"/>
    <s v="Proc HSM &amp; CSP MIS"/>
    <s v="273670"/>
    <s v="Graduate Engineer Trainee 2022"/>
    <s v="Hazira"/>
    <s v="0031950061"/>
    <s v="HZ-Human Resource"/>
    <s v="2161HAZI"/>
    <s v="20055591"/>
    <s v="Amol Gaurkar"/>
    <s v="No"/>
    <s v="priscilla.mohanty@amns.in"/>
    <s v="6358869360"/>
    <s v="1003952"/>
    <s v="Dhruv Vyas"/>
    <s v="Anil Matoo"/>
    <s v="Praveen Kuruvalli"/>
    <s v="Dhruv Vyas"/>
    <n v="0"/>
  </r>
  <r>
    <n v="4936"/>
    <n v="20056996"/>
    <s v="Namrata Chowdhari"/>
    <s v="AM/NS India"/>
    <s v="Onroll"/>
    <s v="M-8"/>
    <n v="8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2"/>
    <m/>
    <s v="CMO Office"/>
    <s v="CMO Office"/>
    <s v=""/>
    <s v="Non Technical Support"/>
    <s v=""/>
    <s v=""/>
    <s v="70494642"/>
    <s v="Deputy Director"/>
    <s v="Mumbai"/>
    <d v="1999-10-14T00:00:00"/>
    <s v="23.11"/>
    <d v="2022-07-12T00:00:00"/>
    <d v="2057-10-31T00:00:00"/>
    <m/>
    <d v="2057-10-31T00:00:00"/>
    <n v="12460"/>
    <s v=""/>
    <s v="MBA-2022"/>
    <s v=""/>
    <s v="01.02"/>
    <s v="01.02"/>
    <s v="70139950"/>
    <s v="Sales &amp; Marketing"/>
    <s v="273462"/>
    <s v="EA to CMO"/>
    <s v="Corporate"/>
    <s v="0080000001"/>
    <s v="Head-Marketing"/>
    <s v="2134ESHZ"/>
    <s v="20007104"/>
    <s v="Ranjan Dhar"/>
    <s v="No"/>
    <s v="namrata.chowdhari@amns.in"/>
    <s v="6358869340"/>
    <s v="1003955"/>
    <s v="Dhruv Vyas"/>
    <s v="Anil Matoo"/>
    <s v="Praveen Kuruvalli"/>
    <s v="Dhruv Vyas"/>
    <n v="0"/>
  </r>
  <r>
    <n v="4937"/>
    <n v="20056997"/>
    <s v="Abhishek Pahadi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2"/>
    <m/>
    <s v="CMO Office"/>
    <s v="CMO Office"/>
    <s v=""/>
    <s v="Non Technical Support"/>
    <s v=""/>
    <s v=""/>
    <s v="70494642"/>
    <s v="Deputy Director"/>
    <s v="Mumbai"/>
    <d v="1996-12-20T00:00:00"/>
    <s v="26.09"/>
    <d v="2022-07-12T00:00:00"/>
    <d v="2054-12-31T00:00:00"/>
    <m/>
    <d v="2054-12-31T00:00:00"/>
    <n v="11425"/>
    <s v=""/>
    <s v="MBA-2022"/>
    <s v=""/>
    <s v="01.02"/>
    <s v="01.02"/>
    <s v="70139950"/>
    <s v="Sales &amp; Marketing"/>
    <s v="273463"/>
    <s v="Sales Manager- Hypermart"/>
    <s v="Corporate"/>
    <s v="0060100004"/>
    <s v="HMART-HR/Admin Expen"/>
    <s v="2134ESHZ"/>
    <s v="20007104"/>
    <s v="Ranjan Dhar"/>
    <s v="No"/>
    <s v="abhishek.pahadi@amns.in"/>
    <s v="6358869332"/>
    <s v="1003956"/>
    <s v="Dhruv Vyas"/>
    <s v="Anil Matoo"/>
    <s v="Praveen Kuruvalli"/>
    <s v="Dhruv Vyas"/>
    <n v="0"/>
  </r>
  <r>
    <n v="4938"/>
    <n v="20056998"/>
    <s v="Jatin Sati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2"/>
    <m/>
    <s v="Auto"/>
    <s v="Auto"/>
    <s v=""/>
    <s v="Non Technical Support"/>
    <s v="Human Resources Management"/>
    <s v="Human Resources Management"/>
    <s v="73501001"/>
    <s v="Human Resources"/>
    <s v="Mumbai"/>
    <d v="1998-06-14T00:00:00"/>
    <s v="25.03"/>
    <d v="2022-07-12T00:00:00"/>
    <d v="2056-06-30T00:00:00"/>
    <m/>
    <d v="2056-06-30T00:00:00"/>
    <n v="11972"/>
    <s v=""/>
    <s v="MBA-2022"/>
    <s v=""/>
    <s v="01.02"/>
    <s v="01.02"/>
    <s v="70343195"/>
    <s v="Automotive Sales &amp; Service Centers"/>
    <s v="273464"/>
    <s v="Jr Key Account Manager- Auto"/>
    <s v="Corporate"/>
    <s v="0090000028"/>
    <s v="Corporate Steel - Wo"/>
    <s v="2134ESHZ"/>
    <s v="20016767"/>
    <s v="Raghavan Venkatachalam"/>
    <s v="No"/>
    <s v="jatin.sati@amns.in"/>
    <s v="6358869335"/>
    <s v="1003957"/>
    <s v="Dhruv Vyas"/>
    <s v="Anil Matoo"/>
    <s v="Praveen Kuruvalli"/>
    <s v="Dhruv Vyas"/>
    <n v="0"/>
  </r>
  <r>
    <n v="4939"/>
    <n v="20056999"/>
    <s v="Manish Kumhar"/>
    <s v="AM/NS India"/>
    <s v="Onroll"/>
    <s v="M-8"/>
    <n v="8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Management Trainee 2022"/>
    <m/>
    <s v=""/>
    <s v=""/>
    <s v=""/>
    <s v="Non Technical Support"/>
    <s v="Human Resources Management"/>
    <s v="Human Resources Management"/>
    <s v="73501001"/>
    <s v="Human Resources"/>
    <s v="Mumbai"/>
    <d v="1998-02-13T00:00:00"/>
    <s v="25.07"/>
    <d v="2022-07-12T00:00:00"/>
    <d v="2056-02-29T00:00:00"/>
    <m/>
    <d v="2056-02-29T00:00:00"/>
    <n v="11850"/>
    <s v=""/>
    <s v="MBA-2022"/>
    <s v=""/>
    <s v="01.02"/>
    <s v="01.02"/>
    <s v="70494717"/>
    <s v="Treasury &amp; Finance"/>
    <s v="273465"/>
    <s v="Lead- Strategic Finance Auto"/>
    <s v="Corporate"/>
    <s v="0031950061"/>
    <s v="HZ-Human Resource"/>
    <s v="2134ESHZ"/>
    <s v="20000870"/>
    <s v="Balajee M"/>
    <s v="No"/>
    <s v="manish.kumhar@amns.in"/>
    <s v="6358869334"/>
    <s v="1003958"/>
    <s v="Dhruv Vyas"/>
    <s v="Anil Matoo"/>
    <s v="Praveen Kuruvalli"/>
    <s v="Dhruv Vyas"/>
    <n v="0"/>
  </r>
  <r>
    <n v="4940"/>
    <n v="20057000"/>
    <s v="Ravina Kumari"/>
    <s v="AM/NS India"/>
    <s v="Onroll"/>
    <s v="M-8"/>
    <n v="8"/>
    <m/>
    <s v="JM"/>
    <s v="F"/>
    <s v="Corporate"/>
    <n v="7"/>
    <s v="2043"/>
    <x v="3"/>
    <s v="31.01"/>
    <s v="Hrishikesh Kamat"/>
    <s v="Hrishikesh Kamat"/>
    <n v="7"/>
    <s v="Procurement"/>
    <s v="Procurement"/>
    <s v="31"/>
    <s v="Management Trainee 2022"/>
    <m/>
    <s v=""/>
    <s v=""/>
    <s v=""/>
    <s v="Non Technical Support"/>
    <s v="Human Resources Management"/>
    <s v="Human Resources Management"/>
    <s v="73501001"/>
    <s v="Human Resources"/>
    <s v="Mumbai"/>
    <d v="1997-03-30T00:00:00"/>
    <s v="26.05"/>
    <d v="2022-07-12T00:00:00"/>
    <d v="2055-03-31T00:00:00"/>
    <m/>
    <d v="2055-03-31T00:00:00"/>
    <n v="11515"/>
    <s v=""/>
    <s v="MBA-2022"/>
    <s v=""/>
    <s v="01.02"/>
    <s v="01.02"/>
    <s v="00045894"/>
    <s v="Blacks"/>
    <s v="273466"/>
    <s v="Asst Buyer- Bulk Raw Material"/>
    <s v="Corporate"/>
    <s v="0031950048"/>
    <s v="HZ-Procurment Depart"/>
    <s v="2134ESHZ"/>
    <s v="20001577"/>
    <s v="Prakash Thakur"/>
    <s v="No"/>
    <s v="ravina.kumari@amns.in"/>
    <s v="6358869336"/>
    <s v="1003959"/>
    <s v="Dhruv Vyas"/>
    <s v="Anil Matoo"/>
    <s v="Praveen Kuruvalli"/>
    <s v="Dhruv Vyas"/>
    <n v="0"/>
  </r>
  <r>
    <n v="4941"/>
    <n v="20057001"/>
    <s v="Urveshkumar Patel"/>
    <s v="AM/NS India"/>
    <s v="Onroll"/>
    <s v="M-8"/>
    <n v="8"/>
    <m/>
    <s v="JM"/>
    <s v="M"/>
    <s v="Corporate"/>
    <n v="7"/>
    <s v="2043"/>
    <x v="3"/>
    <s v="31.01"/>
    <s v="Hrishikesh Kamat"/>
    <s v="Hrishikesh Kamat"/>
    <n v="7"/>
    <s v="Procurement"/>
    <s v="Procurement"/>
    <s v="31"/>
    <s v="Management Trainee 2022"/>
    <m/>
    <s v=""/>
    <s v=""/>
    <s v=""/>
    <s v="Non Technical Support"/>
    <s v="Human Resources Management"/>
    <s v="Human Resources Management"/>
    <s v="73501001"/>
    <s v="Human Resources"/>
    <s v="Hazira"/>
    <d v="1998-03-31T00:00:00"/>
    <s v="25.05"/>
    <d v="2022-07-12T00:00:00"/>
    <d v="2056-03-31T00:00:00"/>
    <m/>
    <d v="2056-03-31T00:00:00"/>
    <n v="11881"/>
    <s v=""/>
    <s v="MBA-2022"/>
    <s v=""/>
    <s v="01.02"/>
    <s v="01.02"/>
    <s v="70495670"/>
    <s v="Contracts"/>
    <s v="273467"/>
    <s v="Lead Contracts"/>
    <s v="Corporate"/>
    <s v="0031950061"/>
    <s v="HZ-Human Resource"/>
    <s v="2134ESHZ"/>
    <s v="20000795"/>
    <s v="Pankaj Chaturvedi"/>
    <s v="No"/>
    <s v="urveshkumar.patel@amns.in"/>
    <s v="6358869337"/>
    <s v="1003960"/>
    <s v="Dhruv Vyas"/>
    <s v="Anil Matoo"/>
    <s v="Praveen Kuruvalli"/>
    <s v="Dhruv Vyas"/>
    <n v="0"/>
  </r>
  <r>
    <n v="4942"/>
    <n v="20057002"/>
    <s v="Chirashree Pal"/>
    <s v="AM/NS India"/>
    <s v="Onroll"/>
    <s v="M-9"/>
    <n v="9"/>
    <m/>
    <s v="JM"/>
    <s v="F"/>
    <s v="Hazira"/>
    <n v="1"/>
    <s v="2015"/>
    <x v="1"/>
    <s v="22.06"/>
    <s v="Anil Matoo"/>
    <s v="Ashutosh Telang"/>
    <n v="6"/>
    <s v="HR &amp; Administration"/>
    <s v="Human Resources"/>
    <s v="22"/>
    <s v="Management Trainee 2022"/>
    <m/>
    <s v="Human Resources"/>
    <s v=""/>
    <s v=""/>
    <s v="Non Technical Support"/>
    <s v=""/>
    <s v=""/>
    <s v="70494644"/>
    <s v="Chief Procurement Officer"/>
    <s v="AM/NS Hazira"/>
    <d v="1995-02-10T00:00:00"/>
    <s v="28.07"/>
    <d v="2022-07-12T00:00:00"/>
    <d v="2053-02-28T00:00:00"/>
    <m/>
    <d v="2053-02-28T00:00:00"/>
    <n v="10754"/>
    <s v=""/>
    <s v="MBA-2022"/>
    <s v=""/>
    <s v="01.02"/>
    <s v="01.02"/>
    <s v="70472770"/>
    <s v="Hazira HR Operations - 1"/>
    <s v="273469"/>
    <s v="HR Business Partner"/>
    <s v="Hazira"/>
    <s v="0031950061"/>
    <s v="HZ-Human Resource"/>
    <s v="2134ESHZ"/>
    <s v="20001265"/>
    <s v="Lakshman Iyer"/>
    <s v="No"/>
    <s v="chirashree.pal@amns.in"/>
    <s v="6358869338"/>
    <s v="1003961"/>
    <s v="Dhruv Vyas"/>
    <s v="Anil Matoo"/>
    <s v="Praveen Kuruvalli"/>
    <s v="Dhruv Vyas"/>
    <n v="0"/>
  </r>
  <r>
    <n v="4943"/>
    <n v="20057003"/>
    <s v="Kaustav Chowdhury"/>
    <s v="AM/NS India"/>
    <s v="Onroll"/>
    <s v="M-9"/>
    <n v="9"/>
    <m/>
    <s v="JM"/>
    <s v="M"/>
    <s v="Corporate"/>
    <n v="7"/>
    <s v="2015"/>
    <x v="1"/>
    <s v="22.06"/>
    <s v="Praveen Kuruvalli"/>
    <s v="Ashutosh Telang"/>
    <n v="6"/>
    <s v="HR &amp; Administration"/>
    <s v="Human Resources"/>
    <s v="22"/>
    <s v="Management Trainee - Human Resources"/>
    <m/>
    <s v="Human Resources"/>
    <s v=""/>
    <s v=""/>
    <s v="Non Technical Support"/>
    <s v="Projects"/>
    <s v="Projects Coordination"/>
    <s v="72103038"/>
    <s v="Projects Coordination"/>
    <s v="Mumbai"/>
    <d v="1998-06-22T00:00:00"/>
    <s v="25.03"/>
    <d v="2022-07-12T00:00:00"/>
    <d v="2056-06-30T00:00:00"/>
    <m/>
    <d v="2056-06-30T00:00:00"/>
    <n v="11972"/>
    <s v=""/>
    <s v="MBA-2022"/>
    <s v=""/>
    <s v="01.02"/>
    <s v="01.02"/>
    <s v="70242278"/>
    <s v="People Strategy &amp; HR Center Excellence"/>
    <s v="273680"/>
    <s v="HR Business Partner"/>
    <s v="Hazira"/>
    <s v="0031950061"/>
    <s v="HZ-Human Resource"/>
    <s v="2134ESHZ"/>
    <s v="20055483"/>
    <s v="Praveen Kuruvalli"/>
    <s v="No"/>
    <s v="kaustav.chowdhury@amns.in"/>
    <s v="6358869339"/>
    <s v="1003962"/>
    <s v="Dhruv Vyas"/>
    <s v="Anil Matoo"/>
    <s v="Praveen Kuruvalli"/>
    <s v="Dhruv Vyas"/>
    <n v="0"/>
  </r>
  <r>
    <n v="4944"/>
    <n v="20057005"/>
    <s v="Saureen Bhatt"/>
    <s v="AM/NS India"/>
    <s v="Onroll"/>
    <s v="M-6"/>
    <n v="6"/>
    <m/>
    <s v="MM"/>
    <s v="M"/>
    <s v="Corporate"/>
    <n v="7"/>
    <s v="2096"/>
    <x v="14"/>
    <s v="36.02"/>
    <s v="Deepak Sindkar"/>
    <s v="Hrishikesh Kamat"/>
    <n v="7"/>
    <s v="Procurement"/>
    <s v="Raw Materials"/>
    <s v="36"/>
    <s v="Sr. Lead – Power &amp; Gas"/>
    <m/>
    <s v="Raw Material"/>
    <s v=""/>
    <s v=""/>
    <s v="Tech. Support Services"/>
    <s v="Commercial"/>
    <s v="Procurement"/>
    <s v="73803001"/>
    <s v="Procurement"/>
    <s v="Mumbai"/>
    <d v="1985-08-03T00:00:00"/>
    <s v="38.01"/>
    <d v="2022-07-19T00:00:00"/>
    <d v="2043-08-31T00:00:00"/>
    <m/>
    <d v="2043-08-31T00:00:00"/>
    <n v="7285"/>
    <s v="A+"/>
    <s v="MBA-2010 , BE-2006 , Intermediate-2002 ,"/>
    <s v="14.01"/>
    <s v="01.02"/>
    <s v="15.02"/>
    <s v="00049516"/>
    <s v="Power &amp; Gas"/>
    <s v="252801"/>
    <s v="Sr. Lead – Power &amp; Gas"/>
    <s v="Corporate"/>
    <s v="0031950048"/>
    <s v="HZ-Procurment Depart"/>
    <s v="2000CS"/>
    <s v="20004612"/>
    <s v="Ramesh Chabhadiya"/>
    <s v="No"/>
    <s v="saureen.bhatt@amns.in"/>
    <s v="9998790823"/>
    <s v="1003816"/>
    <s v="Dhruv Vyas"/>
    <s v="Anil Matoo"/>
    <s v="Praveen Kuruvalli"/>
    <s v="Dhruv Vyas"/>
    <n v="0"/>
  </r>
  <r>
    <n v="4997"/>
    <n v="20057063"/>
    <s v="Ravi Shankar"/>
    <s v="AM/NS India"/>
    <s v="Onroll"/>
    <s v="M-7"/>
    <n v="7"/>
    <m/>
    <s v="MM"/>
    <s v="M"/>
    <s v="Hazira"/>
    <n v="1"/>
    <s v="2071"/>
    <x v="22"/>
    <s v="41.01"/>
    <s v="P Ashok Kumar"/>
    <s v="P Ashok Kumar"/>
    <n v="9"/>
    <s v="Legal"/>
    <s v="Legal"/>
    <s v="41"/>
    <s v="Legal Counsel, Hazira"/>
    <m/>
    <s v="Legal"/>
    <s v=""/>
    <s v=""/>
    <s v="Non Technical Support"/>
    <s v="Legal"/>
    <s v="Legal"/>
    <s v="73201001"/>
    <s v="Legal"/>
    <s v="Hazira"/>
    <d v="1985-03-25T00:00:00"/>
    <s v="38.05"/>
    <d v="2022-07-18T00:00:00"/>
    <d v="2043-03-31T00:00:00"/>
    <m/>
    <d v="2043-03-31T00:00:00"/>
    <n v="7132"/>
    <s v="A+"/>
    <s v="LLB-2009 , Intermediate-2004 , Intermedi"/>
    <s v="11.11"/>
    <s v="01.02"/>
    <s v="13.01"/>
    <s v="70494754"/>
    <s v="Legal"/>
    <s v="273394"/>
    <s v="Head - Legal Hazira"/>
    <s v="Hazira"/>
    <s v="0090000019"/>
    <s v="Corporate Steel - Le"/>
    <s v="2000HWO"/>
    <s v="20055235"/>
    <s v="P Ashok Kumar"/>
    <s v="No"/>
    <s v="ravi.shankar@amns.in"/>
    <s v="7486014006"/>
    <s v="1004223"/>
    <s v="Dhruv Vyas"/>
    <s v="Anil Matoo"/>
    <s v="Praveen Kuruvalli"/>
    <s v="Dhruv Vyas"/>
    <n v="0"/>
  </r>
  <r>
    <n v="5031"/>
    <n v="20057098"/>
    <s v="Brijesh Kedia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- Capex Procurement"/>
    <m/>
    <s v=""/>
    <s v=""/>
    <s v=""/>
    <s v="Non Technical Support"/>
    <s v="Execution"/>
    <s v="Electrical"/>
    <s v="72303027"/>
    <s v="Electrical"/>
    <s v="Hazira"/>
    <d v="1994-09-22T00:00:00"/>
    <s v="28.11"/>
    <d v="2022-07-22T00:00:00"/>
    <d v="2052-09-30T00:00:00"/>
    <m/>
    <d v="2052-09-30T00:00:00"/>
    <n v="10603"/>
    <s v="A+"/>
    <s v="BTech-2017 , Intermediate-2013 , Interme"/>
    <s v="04.11"/>
    <s v="01.01"/>
    <s v="06.01"/>
    <s v="00049342"/>
    <s v="Capex Procurement"/>
    <s v="70494197"/>
    <s v="Officer - Capex Procurement"/>
    <s v="Hazira"/>
    <s v="0031950059"/>
    <s v="HZ-Hazira Project"/>
    <s v="2000HWO"/>
    <s v="20055712"/>
    <s v="Ravi Goyal"/>
    <s v="No"/>
    <s v="brijesh.kedia@amns.in"/>
    <s v="7486014008"/>
    <s v="1004228"/>
    <s v="Dhruv Vyas"/>
    <s v="Anil Matoo"/>
    <s v="Praveen Kuruvalli"/>
    <s v="Dhruv Vyas"/>
    <n v="0"/>
  </r>
  <r>
    <n v="5033"/>
    <n v="20057100"/>
    <s v="Vijay Bhochiya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Commercial"/>
    <s v="Stores &amp; Warehouse"/>
    <s v="73806001"/>
    <s v="Stores &amp; Warehouse"/>
    <s v="Hazira"/>
    <d v="2000-01-17T00:00:00"/>
    <s v="23.08"/>
    <d v="2022-07-10T00:00:00"/>
    <d v="2058-01-31T00:00:00"/>
    <m/>
    <d v="2058-01-31T00:00:00"/>
    <n v="12552"/>
    <s v=""/>
    <s v="Diploma-2018"/>
    <s v=""/>
    <s v="01.02"/>
    <s v="01.02"/>
    <s v="00053279"/>
    <s v="Receipts &amp; Unloading - Plant A"/>
    <s v="284722"/>
    <s v="Engineer"/>
    <s v="Hazira"/>
    <s v="0031313111"/>
    <s v="SMS - EAF Operations"/>
    <s v="2012HAZI"/>
    <s v="20006916"/>
    <s v="Mir Ali Martaja"/>
    <s v="No"/>
    <s v="vijay.bhochiya@amns.in"/>
    <s v="9879103534"/>
    <s v="26179"/>
    <s v="Dhruv Vyas"/>
    <s v="Anil Matoo"/>
    <s v="Praveen Kuruvalli"/>
    <s v="Dhruv Vyas"/>
    <n v="0"/>
  </r>
  <r>
    <n v="5061"/>
    <n v="20057132"/>
    <s v="Amarnadh Kadiri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Section Engineer-BRM"/>
    <m/>
    <s v="Procurement"/>
    <s v="Procurement"/>
    <s v="Procurement"/>
    <s v="Non Technical Support"/>
    <s v=""/>
    <s v=""/>
    <s v=""/>
    <s v=""/>
    <s v="Vizag"/>
    <d v="1988-08-22T00:00:00"/>
    <s v="35.00"/>
    <d v="2022-08-01T00:00:00"/>
    <d v="2046-08-31T00:00:00"/>
    <m/>
    <d v="2046-08-31T00:00:00"/>
    <n v="8381"/>
    <s v="B+"/>
    <s v="BTech-2010 , Intermediate-2006 , SSLC-20"/>
    <s v="12.07"/>
    <s v="01.01"/>
    <s v="13.08"/>
    <s v="70301353"/>
    <s v="Procurement - Vizag &amp; Chitrakonda"/>
    <s v="285388"/>
    <s v="Section Engineer-BRM"/>
    <s v="Vizag"/>
    <s v="0028030019"/>
    <s v="VIZ-Personnel &amp; Admi"/>
    <s v="2000VIZOPS"/>
    <s v="20000200"/>
    <s v="A Venkateswara Rao"/>
    <s v="No"/>
    <s v="kadiri.amarnadh@amns.in"/>
    <s v="8985095945"/>
    <s v="1005775"/>
    <s v="DS Varma"/>
    <s v="Anil Matoo"/>
    <n v="0"/>
    <s v="DS Varma"/>
    <n v="0"/>
  </r>
  <r>
    <n v="5063"/>
    <n v="20057134"/>
    <s v="Sandeep Mohanty"/>
    <s v="AM/NS India"/>
    <s v="Onroll"/>
    <s v="M-8"/>
    <n v="8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Lead - Secondary Sales"/>
    <m/>
    <s v="Secondary Sales"/>
    <s v=""/>
    <s v=""/>
    <s v="Non Technical Support"/>
    <s v=""/>
    <s v=""/>
    <s v=""/>
    <s v=""/>
    <s v="Hazira"/>
    <d v="1992-05-15T00:00:00"/>
    <s v="31.04"/>
    <d v="2022-07-29T00:00:00"/>
    <d v="2050-05-31T00:00:00"/>
    <m/>
    <d v="2050-05-31T00:00:00"/>
    <n v="9750"/>
    <s v="O+"/>
    <s v="BTech-2013 , Intermediate-2009 , Interme"/>
    <s v="06.10"/>
    <s v="01.01"/>
    <s v="07.11"/>
    <s v="00049357"/>
    <s v="Secondary Sales"/>
    <s v="285452"/>
    <s v="Lead - Secondary Sales"/>
    <s v="Hazira"/>
    <s v="0031950059"/>
    <s v="HZ-Hazira Project"/>
    <s v="2000HWO"/>
    <s v="20055763"/>
    <s v="Debashis Mohapatra"/>
    <s v="No"/>
    <s v="sandeep.mohanty@amns.in"/>
    <s v="7486014018"/>
    <s v="1005874"/>
    <s v="Dhruv Vyas"/>
    <s v="Anil Matoo"/>
    <s v="Praveen Kuruvalli"/>
    <s v="Dhruv Vyas"/>
    <n v="0"/>
  </r>
  <r>
    <n v="5064"/>
    <n v="20057135"/>
    <s v="Rahul Raj"/>
    <s v="AM/NS India"/>
    <s v="Onroll"/>
    <s v="M-7"/>
    <n v="7"/>
    <m/>
    <s v="M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HRBP - Service Centre &amp; Hypermart"/>
    <m/>
    <s v="Human Resources"/>
    <s v="Human Resources"/>
    <s v="Human Resources"/>
    <s v="Non Technical Support"/>
    <s v="Human Resources Management"/>
    <s v="Human Resources Management"/>
    <s v="73501001"/>
    <s v="Human Resources"/>
    <s v="Pune"/>
    <d v="1986-11-26T00:00:00"/>
    <s v="36.09"/>
    <d v="2022-07-27T00:00:00"/>
    <d v="2044-11-30T00:00:00"/>
    <m/>
    <d v="2044-11-30T00:00:00"/>
    <n v="7742"/>
    <s v="B+"/>
    <s v="PG Diploma in Management-2015 , BE-2010"/>
    <s v="07.02"/>
    <s v="01.01"/>
    <s v="08.03"/>
    <s v="00044376"/>
    <s v="Service Center &amp; Hypermart HR"/>
    <s v="70495656"/>
    <s v="HRBP - Service Centre &amp; Hypermart"/>
    <s v="Service Center"/>
    <s v="0040000000"/>
    <s v="SC - Common"/>
    <s v="2000CS"/>
    <s v="20055483"/>
    <s v="Praveen Kuruvalli"/>
    <s v="No"/>
    <s v="rahul.raj@amns.in"/>
    <s v="8334847074"/>
    <s v="1006065"/>
    <s v="Dhruv Vyas"/>
    <s v="Anil Matoo"/>
    <s v="Praveen Kuruvalli"/>
    <s v="Dhruv Vyas"/>
    <n v="0"/>
  </r>
  <r>
    <n v="5067"/>
    <n v="20057138"/>
    <s v="Anil Sanjava"/>
    <s v="AM/NS India"/>
    <s v="Onroll"/>
    <s v="M-9"/>
    <n v="9"/>
    <m/>
    <s v="J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"/>
    <s v=""/>
    <s v="Non Technical Support"/>
    <s v=""/>
    <s v=""/>
    <s v=""/>
    <s v=""/>
    <s v="AM/NS Hazira"/>
    <d v="1985-02-24T00:00:00"/>
    <s v="38.06"/>
    <d v="2022-08-03T00:00:00"/>
    <d v="2043-02-28T00:00:00"/>
    <m/>
    <d v="2043-02-28T00:00:00"/>
    <n v="7101"/>
    <s v="B+"/>
    <s v="Master's Equivalent-2010 , BA-2005 , Int"/>
    <s v="06.01"/>
    <s v="01.01"/>
    <s v="07.02"/>
    <s v="70495436"/>
    <s v="Land Property"/>
    <s v="285613"/>
    <s v="Lead - Land Matters"/>
    <s v="Hazira"/>
    <s v="0090000021"/>
    <s v="Corporate Affairs"/>
    <s v="2000HWO"/>
    <s v="20059561"/>
    <s v="Bhavdip Jathal"/>
    <s v="No"/>
    <s v="anil.sanjava@amns.in"/>
    <s v="7486014218"/>
    <s v="1006172"/>
    <s v="Dhruv Vyas"/>
    <s v="Anil Matoo"/>
    <s v="Praveen Kuruvalli"/>
    <s v="Dhruv Vyas"/>
    <n v="0"/>
  </r>
  <r>
    <n v="5069"/>
    <n v="20057140"/>
    <s v="Simran Pitliya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– Corporate Accounts"/>
    <m/>
    <s v="Finance &amp; Accounts"/>
    <s v=""/>
    <s v=""/>
    <s v="Non Technical Support"/>
    <s v="Projects"/>
    <s v="Projects Coordination"/>
    <s v="72103038"/>
    <s v="Projects Coordination"/>
    <s v="AM/NS Hazira"/>
    <d v="1997-02-07T00:00:00"/>
    <s v="26.07"/>
    <d v="2022-07-25T00:00:00"/>
    <d v="2055-02-28T00:00:00"/>
    <m/>
    <d v="2055-02-28T00:00:00"/>
    <n v="11484"/>
    <s v="B+"/>
    <s v="MCom-2019 , CA Final-2019 , BCom-2017 ,"/>
    <s v="02.02"/>
    <s v="01.01"/>
    <s v="03.03"/>
    <s v="70495666"/>
    <s v="Corporate Asset Management"/>
    <s v="273338"/>
    <s v="Officer – Corporate Accounts"/>
    <s v="Hazira"/>
    <s v="0090000027"/>
    <s v="Corporate Steel - Ac"/>
    <s v="2000HWO"/>
    <s v="20045482"/>
    <s v="Sandeep Soni"/>
    <s v="No"/>
    <s v="simran.pitliya@amns.in"/>
    <s v="9820032018"/>
    <s v="1006201"/>
    <s v="Dhruv Vyas"/>
    <s v="Anil Matoo"/>
    <s v="Praveen Kuruvalli"/>
    <s v="Dhruv Vyas"/>
    <n v="0"/>
  </r>
  <r>
    <n v="5071"/>
    <n v="20057142"/>
    <s v="Yagnik Vala"/>
    <s v="AM/NS India"/>
    <s v="Onroll"/>
    <s v="M-9"/>
    <n v="9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Officer - MRO Procurement"/>
    <m/>
    <s v="Procurement"/>
    <s v=""/>
    <s v=""/>
    <s v="Non Technical Support"/>
    <s v=""/>
    <s v=""/>
    <s v=""/>
    <s v=""/>
    <s v="Hazira"/>
    <d v="1996-01-28T00:00:00"/>
    <s v="27.07"/>
    <d v="2022-08-01T00:00:00"/>
    <d v="2054-01-31T00:00:00"/>
    <m/>
    <d v="2054-01-31T00:00:00"/>
    <n v="11091"/>
    <s v="A+"/>
    <s v="BE-2017 , Intermediate-2013 , Intermedia"/>
    <s v="03.11"/>
    <s v="01.01"/>
    <s v="05.00"/>
    <s v="00044544"/>
    <s v="Rolls Lubes  System Development"/>
    <s v="285548"/>
    <s v="Officer - MRO Procurement"/>
    <s v="Hazira"/>
    <s v="0031950048"/>
    <s v="HZ-Procurment Depart"/>
    <s v="2000HWO"/>
    <s v="20052026"/>
    <s v="Jigneshkumar Patel"/>
    <s v="No"/>
    <s v="yagnik.vala@amns.in"/>
    <s v="9023866253"/>
    <s v="1006267"/>
    <s v="Dhruv Vyas"/>
    <s v="Anil Matoo"/>
    <s v="Praveen Kuruvalli"/>
    <s v="Dhruv Vyas"/>
    <n v="0"/>
  </r>
  <r>
    <n v="5080"/>
    <n v="20057151"/>
    <s v="Chaitali Panchal"/>
    <s v="AM/NS India"/>
    <s v="Onroll"/>
    <s v="M-10"/>
    <n v="10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Officer – Capex Procurement"/>
    <m/>
    <s v=""/>
    <s v=""/>
    <s v=""/>
    <s v="Non Technical Support"/>
    <s v=""/>
    <s v=""/>
    <s v=""/>
    <s v=""/>
    <s v="Hazira"/>
    <d v="1996-09-27T00:00:00"/>
    <s v="26.11"/>
    <d v="2022-08-08T00:00:00"/>
    <d v="2054-09-30T00:00:00"/>
    <m/>
    <d v="2054-09-30T00:00:00"/>
    <n v="11333"/>
    <s v="O-"/>
    <s v="BE-2018 , Diploma-2015 , Intermediate-20"/>
    <s v="03.01"/>
    <s v="01.01"/>
    <s v="04.02"/>
    <s v="00049515"/>
    <s v="Capex Procurement"/>
    <s v="285915"/>
    <s v="Officer – Capex Procurement"/>
    <s v="Hazira"/>
    <s v="0031950059"/>
    <s v="HZ-Hazira Project"/>
    <s v="2000HWO"/>
    <s v="20054320"/>
    <s v="Sanjaykumar Kanani"/>
    <s v="No"/>
    <s v="chaitali.panchal@amns.in"/>
    <s v="6359799279"/>
    <s v="25298"/>
    <s v="Dhruv Vyas"/>
    <s v="Anil Matoo"/>
    <s v="Praveen Kuruvalli"/>
    <s v="Dhruv Vyas"/>
    <n v="0"/>
  </r>
  <r>
    <n v="5082"/>
    <n v="20057154"/>
    <s v="Navin Kumar Amang"/>
    <s v="AM/NS India"/>
    <s v="Onroll"/>
    <s v="M-9"/>
    <n v="9"/>
    <m/>
    <s v="JM"/>
    <s v="M"/>
    <s v="Vizag"/>
    <n v="3"/>
    <s v="2094"/>
    <x v="21"/>
    <s v="27.10"/>
    <s v="Vikas Chandra Yadvendu"/>
    <s v="Ashutosh Telang"/>
    <n v="6"/>
    <s v="HR &amp; Administration"/>
    <s v="Corporate SocialResponsibility"/>
    <s v="27"/>
    <s v="Lead-CSR"/>
    <m/>
    <s v="Corporate Social Responsibility"/>
    <s v="CSR"/>
    <s v="CSR"/>
    <s v="Non Technical Support"/>
    <s v="Human Resources Management"/>
    <s v="Human Resources Management"/>
    <s v="73501001"/>
    <s v="Human Resources"/>
    <s v="Chitrakonda"/>
    <d v="1991-01-03T00:00:00"/>
    <s v="32.08"/>
    <d v="2022-08-10T00:00:00"/>
    <d v="2049-01-31T00:00:00"/>
    <m/>
    <d v="2049-01-31T00:00:00"/>
    <n v="9265"/>
    <s v="B+"/>
    <s v="MSc Engg-2016 , Intermediate-2014 , Inte"/>
    <s v="06.03"/>
    <s v="01.01"/>
    <s v="07.04"/>
    <s v="70495661"/>
    <s v="Corporate Social Responsibility"/>
    <s v="285722"/>
    <s v="Lead-CSR"/>
    <s v="Vizag"/>
    <s v="0028030019"/>
    <s v="VIZ-Personnel &amp; Admi"/>
    <s v="2000VIZOPS"/>
    <s v="20055033"/>
    <s v="Vikas Chandra Yadvendu"/>
    <s v="No"/>
    <s v="navin.amang@amns.in"/>
    <s v="9867267442"/>
    <s v="1007059"/>
    <s v="DS Varma"/>
    <s v="Anil Matoo"/>
    <n v="0"/>
    <s v="DS Varma"/>
    <n v="0"/>
  </r>
  <r>
    <n v="5084"/>
    <n v="20057157"/>
    <s v="Lopamudra Mohanty"/>
    <s v="AM/NS India"/>
    <s v="Onroll"/>
    <s v="T-1 (GET)"/>
    <n v="12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Commercial"/>
    <s v="Procurement"/>
    <s v="73803001"/>
    <s v="Procurement"/>
    <s v="Hazira"/>
    <d v="1996-09-30T00:00:00"/>
    <s v="26.11"/>
    <d v="2022-08-08T00:00:00"/>
    <d v="2054-09-30T00:00:00"/>
    <m/>
    <d v="2054-09-30T00:00:00"/>
    <n v="11333"/>
    <s v=""/>
    <s v="MTech-2022 , Diploma-2019 , BTech-2019 ,"/>
    <s v=""/>
    <s v="01.01"/>
    <s v="01.01"/>
    <s v="00049358"/>
    <s v="Capex Procurement"/>
    <s v="273471"/>
    <s v="Graduate Engineer Trainee 2022"/>
    <s v="Hazira"/>
    <s v="0031950061"/>
    <s v="HZ-Human Resource"/>
    <s v="2020HAZI"/>
    <s v="20056520"/>
    <s v="Ankit Panchal"/>
    <s v="No"/>
    <s v="lopamudra.mohanty@amns.in"/>
    <s v="7486014121"/>
    <s v="1007241"/>
    <s v="Dhruv Vyas"/>
    <s v="Anil Matoo"/>
    <s v="Praveen Kuruvalli"/>
    <s v="Dhruv Vyas"/>
    <n v="0"/>
  </r>
  <r>
    <n v="5095"/>
    <n v="20057175"/>
    <s v="Anjali Prasad"/>
    <s v="AM/NS India"/>
    <s v="Onroll"/>
    <s v="T-1 (GET)"/>
    <n v="12"/>
    <m/>
    <s v="JM"/>
    <s v="F"/>
    <s v="Hazira"/>
    <n v="1"/>
    <s v="2054"/>
    <x v="9"/>
    <s v="32.01"/>
    <s v="Pankaj Chaturvedi"/>
    <s v="Hrishikesh Kamat"/>
    <n v="7"/>
    <s v="Procurement"/>
    <s v="Contracts"/>
    <s v="32"/>
    <s v="Graduate Engineer Trainee 2022"/>
    <m/>
    <s v=""/>
    <s v=""/>
    <s v=""/>
    <s v="Non Technical Support"/>
    <s v="Services"/>
    <s v="Power Distribution services"/>
    <s v="72103027"/>
    <s v="Power Distribution Operat"/>
    <s v="AM/NS Hazira"/>
    <d v="1996-02-22T00:00:00"/>
    <s v="27.06"/>
    <d v="2022-08-08T00:00:00"/>
    <d v="2054-02-28T00:00:00"/>
    <m/>
    <d v="2054-02-28T00:00:00"/>
    <n v="11119"/>
    <s v=""/>
    <s v="MTech-2021"/>
    <s v=""/>
    <s v="01.01"/>
    <s v="01.01"/>
    <s v="70495670"/>
    <s v="Contracts"/>
    <s v="273683"/>
    <s v="Graduate Engineer Trainee 2022"/>
    <s v="Hazira"/>
    <s v="0031950061"/>
    <s v="HZ-Human Resource"/>
    <s v="2054HAZI"/>
    <s v="20000795"/>
    <s v="Pankaj Chaturvedi"/>
    <s v="No"/>
    <s v="anjali.prasad@amns.in"/>
    <s v="7024642785"/>
    <s v="1007255"/>
    <s v="Dhruv Vyas"/>
    <s v="Anil Matoo"/>
    <s v="Praveen Kuruvalli"/>
    <s v="Dhruv Vyas"/>
    <n v="0"/>
  </r>
  <r>
    <n v="5100"/>
    <n v="20057181"/>
    <s v="Rajat Raj"/>
    <s v="AM/NS India"/>
    <s v="Onroll"/>
    <s v="M-9"/>
    <n v="9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Services"/>
    <s v="Maintenance Services"/>
    <s v="72103012"/>
    <s v="Maintenance Services"/>
    <s v="AM/NS Hazira"/>
    <d v="1992-09-11T00:00:00"/>
    <s v="31.00"/>
    <d v="2022-08-08T00:00:00"/>
    <d v="2050-09-30T00:00:00"/>
    <m/>
    <d v="2050-09-30T00:00:00"/>
    <n v="9872"/>
    <s v=""/>
    <s v="BTech-2008"/>
    <s v=""/>
    <s v="01.01"/>
    <s v="01.01"/>
    <s v="00051524"/>
    <s v="Pro HED"/>
    <s v="273689"/>
    <s v="Graduate Engineer Trainee 2022"/>
    <s v="Hazira"/>
    <s v="0031950061"/>
    <s v="HZ-Human Resource"/>
    <s v="2043ESHZ"/>
    <s v="20055691"/>
    <s v="Dipesh Sudamrao Rathod"/>
    <s v="No"/>
    <s v="rajat.raj@amns.in"/>
    <s v="7486014100"/>
    <s v="1007262"/>
    <s v="Dhruv Vyas"/>
    <s v="Anil Matoo"/>
    <s v="Praveen Kuruvalli"/>
    <s v="Dhruv Vyas"/>
    <n v="0"/>
  </r>
  <r>
    <n v="5103"/>
    <n v="20057186"/>
    <s v="Suriya Prakash S"/>
    <s v="AM/NS India"/>
    <s v="Onroll"/>
    <s v="T-1 (GET)"/>
    <n v="12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Graduate Engineer Trainee 2022"/>
    <m/>
    <s v="South"/>
    <s v="Plate"/>
    <s v=""/>
    <s v="Non Technical Support"/>
    <s v="Services"/>
    <s v="Maintenance Services"/>
    <s v="72103012"/>
    <s v="Maintenance Services"/>
    <s v="Chennai"/>
    <d v="1998-06-02T00:00:00"/>
    <s v="25.03"/>
    <d v="2022-08-08T00:00:00"/>
    <d v="2056-06-30T00:00:00"/>
    <m/>
    <d v="2056-06-30T00:00:00"/>
    <n v="11972"/>
    <s v=""/>
    <s v="BTech-2013"/>
    <s v=""/>
    <s v="01.01"/>
    <s v="01.01"/>
    <s v="00052473"/>
    <s v="KAM - Plate Sales"/>
    <s v="273694"/>
    <s v="Graduate Engineer Trainee 2022"/>
    <s v="Hazira"/>
    <s v="0031950061"/>
    <s v="HZ-Human Resource"/>
    <s v="2031MUMB"/>
    <s v="20002639"/>
    <s v="Kathiresan K"/>
    <s v="No"/>
    <s v="suriyaprakash.s@amns.in"/>
    <s v="8754726530"/>
    <s v="1007267"/>
    <s v="Dhruv Vyas"/>
    <s v="Anil Matoo"/>
    <s v="Praveen Kuruvalli"/>
    <s v="Dhruv Vyas"/>
    <n v="0"/>
  </r>
  <r>
    <n v="5117"/>
    <n v="20057206"/>
    <s v="Swati Joshi"/>
    <s v="AM/NS India"/>
    <s v="Onroll"/>
    <s v="T-1 (GET)"/>
    <n v="12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Services"/>
    <s v="Maintenance Services"/>
    <s v="72103015"/>
    <s v="Instrumentation &amp; Automat"/>
    <s v="Hazira"/>
    <d v="1994-10-25T00:00:00"/>
    <s v="28.10"/>
    <d v="2022-08-08T00:00:00"/>
    <d v="2052-10-31T00:00:00"/>
    <m/>
    <d v="2052-10-31T00:00:00"/>
    <n v="10634"/>
    <s v=""/>
    <s v="MTech-2021"/>
    <s v=""/>
    <s v="01.01"/>
    <s v="01.01"/>
    <s v="00049359"/>
    <s v="Capex Services"/>
    <s v="273714"/>
    <s v="Graduate Engineer Trainee 2022"/>
    <s v="Hazira"/>
    <s v="0031950061"/>
    <s v="HZ-Human Resource"/>
    <s v="2020HAZI"/>
    <s v="20055446"/>
    <s v="Chitrang Rana"/>
    <s v="No"/>
    <s v="swati.joshi@amns.in"/>
    <s v="8650846722"/>
    <s v="1007285"/>
    <s v="Dhruv Vyas"/>
    <s v="Anil Matoo"/>
    <s v="Praveen Kuruvalli"/>
    <s v="Dhruv Vyas"/>
    <n v="0"/>
  </r>
  <r>
    <n v="5141"/>
    <n v="20057238"/>
    <s v="Shatrughna Sethy"/>
    <s v="AM/NS India"/>
    <s v="Onroll"/>
    <s v="T-1 (GET)"/>
    <n v="12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Graduate Engineer Trainee 2022"/>
    <m/>
    <s v="Other West"/>
    <s v="Plate"/>
    <s v=""/>
    <s v="Non Technical Support"/>
    <s v="Operations"/>
    <s v="Operations"/>
    <s v="72103001"/>
    <s v="Operations"/>
    <s v="Mumbai"/>
    <d v="1995-06-05T00:00:00"/>
    <s v="28.03"/>
    <d v="2022-08-08T00:00:00"/>
    <d v="2053-06-30T00:00:00"/>
    <m/>
    <d v="2053-06-30T00:00:00"/>
    <n v="10876"/>
    <s v=""/>
    <s v="BTech-2011"/>
    <s v=""/>
    <s v="01.01"/>
    <s v="01.01"/>
    <s v="70495309"/>
    <s v="Sales West Zone"/>
    <s v="273746"/>
    <s v="Graduate Engineer Trainee 2022"/>
    <s v="Hazira"/>
    <s v="0031950061"/>
    <s v="HZ-Human Resource"/>
    <s v="2031MUMB"/>
    <s v="20047683"/>
    <s v="Virat Vij"/>
    <s v="No"/>
    <s v="shatrughna.sethy@amns.in"/>
    <s v="7605950983"/>
    <s v="1007310"/>
    <s v="Dhruv Vyas"/>
    <s v="Anil Matoo"/>
    <s v="Praveen Kuruvalli"/>
    <s v="Dhruv Vyas"/>
    <n v="0"/>
  </r>
  <r>
    <n v="5145"/>
    <n v="20057242"/>
    <s v="Dhageti Sandhya"/>
    <s v="AM/NS India"/>
    <s v="Onroll"/>
    <s v="T-1 (GET)"/>
    <n v="12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Operations"/>
    <s v="Operations"/>
    <s v="72103001"/>
    <s v="Operations"/>
    <s v="AM/NS Hazira"/>
    <d v="2001-06-18T00:00:00"/>
    <s v="22.03"/>
    <d v="2022-08-08T00:00:00"/>
    <d v="2059-06-30T00:00:00"/>
    <m/>
    <d v="2059-06-30T00:00:00"/>
    <n v="13067"/>
    <s v=""/>
    <s v="BTech-2022"/>
    <s v=""/>
    <s v="01.01"/>
    <s v="01.01"/>
    <s v="72150383"/>
    <s v="Procurement (MRO/IP &amp; Consumable)"/>
    <s v="273750"/>
    <s v="Graduate Engineer Trainee 2022"/>
    <s v="Hazira"/>
    <s v="0031950061"/>
    <s v="HZ-Human Resource"/>
    <s v="2134ESHZ"/>
    <s v="20000201"/>
    <s v="Manish Bakriwala"/>
    <s v="No"/>
    <s v="dhageti.sandhya@amns.in"/>
    <s v="7486014120"/>
    <s v="1007314"/>
    <s v="Dhruv Vyas"/>
    <s v="Anil Matoo"/>
    <s v="Praveen Kuruvalli"/>
    <s v="Dhruv Vyas"/>
    <n v="0"/>
  </r>
  <r>
    <n v="5152"/>
    <n v="20057251"/>
    <s v="Toshit Kumar"/>
    <s v="AM/NS India"/>
    <s v="Onroll"/>
    <s v="T-1 (GET)"/>
    <n v="12"/>
    <m/>
    <s v="JM"/>
    <s v="M"/>
    <s v="Hazira"/>
    <n v="1"/>
    <s v="2096"/>
    <x v="14"/>
    <s v="36.02"/>
    <s v="Hrishikesh Kamat"/>
    <s v="Hrishikesh Kamat"/>
    <n v="7"/>
    <s v="Procurement"/>
    <s v="Raw Materials"/>
    <s v="36"/>
    <s v="Graduate Engineer Trainee 2022"/>
    <m/>
    <s v=""/>
    <s v=""/>
    <s v=""/>
    <s v="Operations"/>
    <s v="R&amp; D and QA/QC"/>
    <s v="QA &amp; QC"/>
    <s v="72103034"/>
    <s v="QA &amp; QC"/>
    <s v="Mumbai"/>
    <d v="1995-09-01T00:00:00"/>
    <s v="28.00"/>
    <d v="2022-08-08T00:00:00"/>
    <d v="2053-08-31T00:00:00"/>
    <m/>
    <d v="2053-08-31T00:00:00"/>
    <n v="10938"/>
    <s v=""/>
    <s v="MS-2022"/>
    <s v=""/>
    <s v="01.01"/>
    <s v="01.01"/>
    <s v="70494654"/>
    <s v="Finance"/>
    <s v="273759"/>
    <s v="Graduate Engineer Trainee 2022"/>
    <s v="Hazira"/>
    <s v="0031950061"/>
    <s v="HZ-Human Resource"/>
    <s v="2134ESHZ"/>
    <s v="20057933"/>
    <s v="Akiyo Omori"/>
    <s v="No"/>
    <s v="toshit.kumar@amns.in"/>
    <s v="6377436574"/>
    <s v="1007322"/>
    <s v="Lakshman Iyer"/>
    <s v="Anil Matoo"/>
    <n v="0"/>
    <s v="Lakshman Iyer"/>
    <n v="0"/>
  </r>
  <r>
    <n v="5154"/>
    <n v="20057253"/>
    <s v="Dandaveni Shashi Kumar"/>
    <s v="AM/NS India"/>
    <s v="Onroll"/>
    <s v="T-1 (GET)"/>
    <n v="12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Graduate Engineer Trainee 2022"/>
    <m/>
    <s v=""/>
    <s v=""/>
    <s v=""/>
    <s v="Non Technical Support"/>
    <s v="R&amp; D and QA/QC"/>
    <s v="QA &amp; QC"/>
    <s v="72103034"/>
    <s v="QA &amp; QC"/>
    <s v="AM/NS Hazira"/>
    <d v="1999-06-10T00:00:00"/>
    <s v="24.03"/>
    <d v="2022-08-08T00:00:00"/>
    <d v="2057-06-30T00:00:00"/>
    <m/>
    <d v="2057-06-30T00:00:00"/>
    <n v="12337"/>
    <s v=""/>
    <s v="BTech-2013"/>
    <s v=""/>
    <s v="01.01"/>
    <s v="01.01"/>
    <s v="70495670"/>
    <s v="Contracts"/>
    <s v="273761"/>
    <s v="Graduate Engineer Trainee 2022"/>
    <s v="Hazira"/>
    <s v="0031950061"/>
    <s v="HZ-Human Resource"/>
    <s v="2054HAZI"/>
    <s v="20000795"/>
    <s v="Pankaj Chaturvedi"/>
    <s v="No"/>
    <s v="dandaveni.shashikumar@amns.in"/>
    <s v="8790138222"/>
    <s v="1007324"/>
    <s v="Dhruv Vyas"/>
    <s v="Anil Matoo"/>
    <s v="Praveen Kuruvalli"/>
    <s v="Dhruv Vyas"/>
    <n v="0"/>
  </r>
  <r>
    <n v="5163"/>
    <n v="20057268"/>
    <s v="Ayyalasomayajula Naresh"/>
    <s v="AM/NS India"/>
    <s v="Onroll"/>
    <s v="M-9"/>
    <n v="9"/>
    <m/>
    <s v="JM"/>
    <s v="M"/>
    <s v="Vizag"/>
    <n v="3"/>
    <s v="2015"/>
    <x v="1"/>
    <s v="22.06"/>
    <s v="Anil Matoo"/>
    <s v="Ashutosh Telang"/>
    <n v="6"/>
    <s v="HR &amp; Administration"/>
    <s v="Human Resources"/>
    <s v="22"/>
    <s v="Lead-HR"/>
    <m/>
    <s v="Human Resources"/>
    <s v=""/>
    <s v=""/>
    <s v="Non Technical Support"/>
    <s v=""/>
    <s v=""/>
    <s v=""/>
    <s v=""/>
    <s v="Vizag"/>
    <d v="1987-12-08T00:00:00"/>
    <s v="35.09"/>
    <d v="2022-08-11T00:00:00"/>
    <d v="2045-12-31T00:00:00"/>
    <m/>
    <d v="2045-12-31T00:00:00"/>
    <n v="8138"/>
    <s v="A+"/>
    <s v="MBA-2010 , BSc Engg-2005 , Intermediate-"/>
    <s v="05.05"/>
    <s v="01.01"/>
    <s v="06.06"/>
    <s v="72150111"/>
    <s v="Vizag HR Operations &amp; Administration"/>
    <s v="286250"/>
    <s v="Lead-HR"/>
    <s v="Vizag"/>
    <s v="0028030019"/>
    <s v="VIZ-Personnel &amp; Admi"/>
    <s v="2000VIZOPS"/>
    <s v="20000519"/>
    <s v="Dandu Srinivas Varma"/>
    <s v="No"/>
    <s v="ayyalasomayajula.naresh@amns.in"/>
    <s v="9177509312"/>
    <s v="1007397"/>
    <s v="DS Varma"/>
    <s v="Anil Matoo"/>
    <s v="Praveen Kuruvalli"/>
    <s v="Dhruv Vyas"/>
    <n v="0"/>
  </r>
  <r>
    <n v="5165"/>
    <n v="20057271"/>
    <s v="Deepak Gupta"/>
    <s v="AM/NS India"/>
    <s v="Onroll"/>
    <s v="M-9"/>
    <n v="9"/>
    <m/>
    <s v="JM"/>
    <s v="M"/>
    <s v="Vizag"/>
    <n v="3"/>
    <s v="2013"/>
    <x v="0"/>
    <s v="20.01"/>
    <s v="Akiyo Omori"/>
    <s v="Amit Harlalka"/>
    <n v="5"/>
    <s v="Finance &amp; Accounts"/>
    <s v="Finance &amp; Accounts"/>
    <s v="20"/>
    <s v="Lead-F&amp;A"/>
    <m/>
    <s v=""/>
    <s v=""/>
    <s v=""/>
    <s v="Non Technical Support"/>
    <s v="Project Management"/>
    <s v="Planning"/>
    <s v="72303122"/>
    <s v="MIS"/>
    <s v="Kirandul"/>
    <d v="1990-10-26T00:00:00"/>
    <s v="32.10"/>
    <d v="2022-08-16T00:00:00"/>
    <d v="2048-10-31T00:00:00"/>
    <m/>
    <d v="2048-10-31T00:00:00"/>
    <n v="9173"/>
    <s v="O+"/>
    <s v="CA Inter-2014 , BCom-2010 , Intermediate"/>
    <s v="06.03"/>
    <s v="01.01"/>
    <s v="07.04"/>
    <s v="72150110"/>
    <s v="Finance &amp; Accounts - Vizag"/>
    <s v="286535"/>
    <s v="Lead-F&amp;A"/>
    <s v="Vizag"/>
    <s v="0028030019"/>
    <s v="VIZ-Personnel &amp; Admi"/>
    <s v="2000VIZOPS"/>
    <s v="20001003"/>
    <s v="Patnana Muralidhara Rao"/>
    <s v="No"/>
    <s v="deepak.gupta2@amns.in"/>
    <s v="8210156530"/>
    <s v="1007886"/>
    <s v="DS Varma"/>
    <s v="Anil Matoo"/>
    <s v="Praveen Kuruvalli"/>
    <s v="Dhruv Vyas"/>
    <n v="0"/>
  </r>
  <r>
    <n v="5168"/>
    <n v="20057274"/>
    <s v="Arup Gouda"/>
    <s v="AM/NS India"/>
    <s v="Onroll"/>
    <s v="M-8"/>
    <n v="8"/>
    <m/>
    <s v="JM"/>
    <s v="M"/>
    <s v="Odisha"/>
    <n v="2"/>
    <s v="2084"/>
    <x v="17"/>
    <s v="23.09"/>
    <s v="Anil Matoo"/>
    <s v="Ashutosh Telang"/>
    <n v="6"/>
    <s v="HR &amp; Administration"/>
    <s v="Industrial Relations"/>
    <s v="23"/>
    <s v="Lead – IR"/>
    <m/>
    <s v="Industrial Relations"/>
    <s v=""/>
    <s v=""/>
    <s v="Non Technical Support"/>
    <s v="Human Resources Management"/>
    <s v="Human Resources Management"/>
    <s v="73501002"/>
    <s v="Human Resources Operation"/>
    <s v="Paradeep"/>
    <d v="1986-02-13T00:00:00"/>
    <s v="37.07"/>
    <d v="2022-08-16T00:00:00"/>
    <d v="2044-02-29T00:00:00"/>
    <m/>
    <d v="2044-02-29T00:00:00"/>
    <n v="7467"/>
    <s v="A+"/>
    <s v="LLB-2011 , MA-2008 , BA-2006 , Intermedi"/>
    <s v="10.11"/>
    <s v="01.01"/>
    <s v="11.11"/>
    <s v="70495430"/>
    <s v="Odisha HR Operations"/>
    <s v="286663"/>
    <s v="Lead – IR"/>
    <s v="Odisha"/>
    <s v="0022030019"/>
    <s v="PDP-HR &amp; Admn"/>
    <s v="2000STORIS"/>
    <s v="20055611"/>
    <s v="Sunila Kumar Das"/>
    <s v="No"/>
    <s v="arup.gouda@amns.in"/>
    <s v="9337121771"/>
    <s v="1008027"/>
    <s v="Sunila Das"/>
    <s v="Anil Matoo"/>
    <s v="Praveen Kuruvalli"/>
    <s v="Sunila Das"/>
    <n v="0"/>
  </r>
  <r>
    <n v="5183"/>
    <n v="20057297"/>
    <s v="Bibhash Mohanty"/>
    <s v="AM/NS India"/>
    <s v="Onroll"/>
    <s v="M-6"/>
    <n v="6"/>
    <m/>
    <s v="MM"/>
    <s v="M"/>
    <s v="Odisha"/>
    <n v="2"/>
    <s v="2023"/>
    <x v="6"/>
    <s v="24.08"/>
    <s v="Anil Matoo"/>
    <s v="Ashutosh Telang"/>
    <n v="6"/>
    <s v="HR &amp; Administration"/>
    <s v="Administration"/>
    <s v="24"/>
    <s v="Head-Administration"/>
    <m/>
    <s v="Administration"/>
    <s v=""/>
    <s v=""/>
    <s v="Non Technical Support"/>
    <s v="Human Resources Management"/>
    <s v="Human Resources Management"/>
    <s v="73501001"/>
    <s v="Human Resources"/>
    <s v="Bhubaneswar"/>
    <d v="1982-10-21T00:00:00"/>
    <s v="40.10"/>
    <d v="2022-08-16T00:00:00"/>
    <d v="2040-10-31T00:00:00"/>
    <m/>
    <d v="2040-10-31T00:00:00"/>
    <n v="6251"/>
    <s v="A+"/>
    <s v="MBA-2013 , MSc-2005 , BSc-2003 , Interme"/>
    <s v="16.08"/>
    <s v="01.01"/>
    <s v="17.08"/>
    <s v="70238103"/>
    <s v="Odisha - Admin &amp; Industrial Relations"/>
    <s v="286859"/>
    <s v="Head-Administration"/>
    <s v="Odisha"/>
    <s v="0090000018"/>
    <s v="CORP Group - HR"/>
    <s v="2000STORIS"/>
    <s v="20000083"/>
    <s v="Anil Matoo"/>
    <s v="No"/>
    <s v="bibhash.mohanty@amns.in"/>
    <s v="9988881680"/>
    <s v="1008371"/>
    <s v="Sunila Das"/>
    <s v="Anil Matoo"/>
    <s v="Praveen Kuruvalli"/>
    <s v="Sunila Das"/>
    <n v="0"/>
  </r>
  <r>
    <n v="5217"/>
    <n v="20057334"/>
    <s v="Ranvir Hude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Commercial"/>
    <s v="Stores &amp; Warehouse"/>
    <s v="73806001"/>
    <s v="Stores &amp; Warehouse"/>
    <s v="Hazira"/>
    <d v="1999-07-25T00:00:00"/>
    <s v="24.01"/>
    <d v="2022-08-17T00:00:00"/>
    <d v="2057-07-31T00:00:00"/>
    <m/>
    <d v="2057-07-31T00:00:00"/>
    <n v="12368"/>
    <s v=""/>
    <s v="Diploma-2018"/>
    <s v=""/>
    <s v="01.01"/>
    <s v="01.01"/>
    <s v="00053277"/>
    <s v="Receipts &amp; Unloading - Plant B"/>
    <s v="286918"/>
    <s v="Engineer"/>
    <s v="Hazira"/>
    <s v="0031950049"/>
    <s v="HZ-Central Stores"/>
    <s v="2012HAZI"/>
    <s v="20003180"/>
    <s v="Bhikhubhai Ahir"/>
    <s v="No"/>
    <s v="ranvir.hude@amns.in"/>
    <s v="9879101355"/>
    <s v="26209"/>
    <s v="Dhruv Vyas"/>
    <s v="Anil Matoo"/>
    <s v="Praveen Kuruvalli"/>
    <s v="Dhruv Vyas"/>
    <n v="0"/>
  </r>
  <r>
    <n v="5246"/>
    <n v="20057366"/>
    <s v="Ashirbad Parida"/>
    <s v="AM/NS India"/>
    <s v="Onroll"/>
    <s v="M-7"/>
    <n v="7"/>
    <m/>
    <s v="MM"/>
    <s v="M"/>
    <s v="Hazira"/>
    <n v="1"/>
    <s v="2137"/>
    <x v="12"/>
    <s v="35.01"/>
    <s v="Hrishikesh Kamat"/>
    <s v="Hrishikesh Kamat"/>
    <n v="7"/>
    <s v="Procurement"/>
    <s v="Land Acquisition"/>
    <s v="35"/>
    <s v="Sr. Lead - Land Acquisition"/>
    <m/>
    <s v="Land Acquisition"/>
    <s v=""/>
    <s v=""/>
    <s v="Non Technical Support"/>
    <s v="Corporate Relations"/>
    <s v="Corporate Affairs"/>
    <s v="74501001"/>
    <s v="Corporate Affairs"/>
    <s v="AM/NS Hazira"/>
    <d v="1980-11-10T00:00:00"/>
    <s v="42.10"/>
    <d v="2022-08-16T00:00:00"/>
    <d v="2038-11-30T00:00:00"/>
    <m/>
    <d v="2038-11-30T00:00:00"/>
    <n v="5550"/>
    <s v="O+"/>
    <s v="MBA-2021 , MTech-2007 , BE-2003 , Interm"/>
    <s v="12.10"/>
    <s v="01.01"/>
    <s v="13.11"/>
    <s v="70494938"/>
    <s v="Corporate Affairs"/>
    <s v="287129"/>
    <s v="Sr. Lead - Land Matters"/>
    <s v="Hazira"/>
    <s v="0090000021"/>
    <s v="Corporate Affairs"/>
    <s v="2000HWO"/>
    <s v="20057928"/>
    <s v="Manu Kapoor"/>
    <s v="No"/>
    <s v="ashirbad.parida@amns.in"/>
    <s v="7486014232"/>
    <s v="1008459"/>
    <s v="Dhruv Vyas"/>
    <s v="Anil Matoo"/>
    <s v="Praveen Kuruvalli"/>
    <s v="Dhruv Vyas"/>
    <n v="0"/>
  </r>
  <r>
    <n v="5247"/>
    <n v="20057367"/>
    <s v="Abhishek Verma"/>
    <s v="AM/NS India"/>
    <s v="Onroll"/>
    <s v="M-7"/>
    <n v="7"/>
    <m/>
    <s v="MM"/>
    <s v="M"/>
    <s v="Corporate"/>
    <n v="7"/>
    <s v="2260"/>
    <x v="5"/>
    <s v="01.01"/>
    <s v="Dilip Oommen"/>
    <s v="Dilip Oommen"/>
    <n v="1"/>
    <s v="CEO Office"/>
    <s v="CEO Office"/>
    <s v="01"/>
    <s v="Executive Assistant to CEO"/>
    <m/>
    <s v="CEO Office"/>
    <s v="CEO Office"/>
    <s v=""/>
    <s v="Non Technical Support"/>
    <s v="Operations"/>
    <s v="Operations"/>
    <s v="72103001"/>
    <s v="Operations"/>
    <s v="Mumbai"/>
    <d v="1987-04-04T00:00:00"/>
    <s v="36.05"/>
    <d v="2022-08-22T00:00:00"/>
    <d v="2045-04-30T00:00:00"/>
    <m/>
    <d v="2045-04-30T00:00:00"/>
    <n v="7893"/>
    <s v="B+"/>
    <s v="Post Diploma Course-2019 , Intermediate-"/>
    <s v="03.08"/>
    <s v="01.00"/>
    <s v="04.09"/>
    <s v="00046538"/>
    <s v="Project Monitoring"/>
    <s v="287169"/>
    <s v="Executive Assistant to CEO"/>
    <s v="Corporate"/>
    <s v="0090000022"/>
    <s v="Business Strategy"/>
    <s v="2000CS"/>
    <s v="20049281"/>
    <s v="Raveena Dhoot"/>
    <s v="No"/>
    <s v="abhishek.verma@amns.in"/>
    <s v="7992309055"/>
    <s v="1008565"/>
    <s v="Dhruv Vyas"/>
    <s v="Anil Matoo"/>
    <s v="Praveen Kuruvalli"/>
    <s v="Dhruv Vyas"/>
    <n v="0"/>
  </r>
  <r>
    <n v="5248"/>
    <n v="20057368"/>
    <s v="Ajay Sahan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Accounts Payable Capex"/>
    <m/>
    <s v=""/>
    <s v=""/>
    <s v=""/>
    <s v="Non Technical Support"/>
    <s v=""/>
    <s v=""/>
    <s v=""/>
    <s v=""/>
    <s v="AM/NS Hazira"/>
    <d v="1988-05-19T00:00:00"/>
    <s v="35.04"/>
    <d v="2022-08-22T00:00:00"/>
    <d v="2046-05-31T00:00:00"/>
    <m/>
    <d v="2046-05-31T00:00:00"/>
    <n v="8289"/>
    <s v="O-"/>
    <s v="CA Final-2012 , BCom-2008 , Intermediate"/>
    <s v="45.02"/>
    <s v="01.00"/>
    <s v="46.02"/>
    <s v="00048363"/>
    <s v="AP Capex, F&amp;A"/>
    <s v="287303"/>
    <s v="Lead Accounts Payable Capex"/>
    <s v="Hazira"/>
    <s v="0031950045"/>
    <s v="HZ-Works Accounts-Ha"/>
    <s v="2000HWO"/>
    <s v="20057378"/>
    <s v="Ravi Seth"/>
    <s v="No"/>
    <s v="ajay.sahani@amns.in"/>
    <s v="6358915428"/>
    <s v="1009101"/>
    <s v="Dhruv Vyas"/>
    <s v="Anil Matoo"/>
    <s v="Praveen Kuruvalli"/>
    <s v="Dhruv Vyas"/>
    <n v="0"/>
  </r>
  <r>
    <n v="5255"/>
    <n v="20057376"/>
    <s v="Abhishek Das"/>
    <s v="AM/NS India"/>
    <s v="Onroll"/>
    <s v="M-7"/>
    <n v="7"/>
    <m/>
    <s v="MM"/>
    <s v="M"/>
    <s v="Odisha"/>
    <n v="2"/>
    <s v="2069"/>
    <x v="8"/>
    <s v="25.01"/>
    <s v="Bibek Chattopadhyay"/>
    <s v="Ashutosh Telang"/>
    <n v="6"/>
    <s v="HR &amp; Administration"/>
    <s v="Corporate Communications"/>
    <s v="25"/>
    <s v="Lead - Corporate Communication"/>
    <m/>
    <s v="Corporate Communication"/>
    <s v="Corporate Communication"/>
    <s v="Corporate Communication"/>
    <s v="Non Technical Support"/>
    <s v="Corporate Communication"/>
    <s v="Corporate Communication"/>
    <s v="74001001"/>
    <s v="Corporate Communication"/>
    <s v="Bhubaneswar"/>
    <d v="1988-11-04T00:00:00"/>
    <s v="34.10"/>
    <d v="2022-08-16T00:00:00"/>
    <d v="2046-11-30T00:00:00"/>
    <m/>
    <d v="2046-11-30T00:00:00"/>
    <n v="8472"/>
    <s v="O+"/>
    <s v="PG Diploma in Management-2021 , PG Diplo"/>
    <s v="08.11"/>
    <s v="01.01"/>
    <s v="10.00"/>
    <s v="00046762"/>
    <s v="Communiation &amp; Media Relations Odisha"/>
    <s v="287392"/>
    <s v="Lead – Corporate"/>
    <s v="Odisha"/>
    <s v="0090000016"/>
    <s v="Corporate Steel - Co"/>
    <s v="2000STORIS"/>
    <s v="20056246"/>
    <s v="Soumitra Patnaik"/>
    <s v="No"/>
    <s v="abhishek.das1@amns.in"/>
    <s v="9040094965"/>
    <s v="1009463"/>
    <s v="Sunila Das"/>
    <s v="Anil Matoo"/>
    <s v="Praveen Kuruvalli"/>
    <s v="Sunila Das"/>
    <n v="0"/>
  </r>
  <r>
    <n v="5257"/>
    <n v="20057378"/>
    <s v="Ravi Seth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 - Accounts Payable (Capex Projects)"/>
    <m/>
    <s v="Finance &amp; Accounts"/>
    <s v=""/>
    <s v=""/>
    <s v="Non Technical Support"/>
    <s v="Projects"/>
    <s v="Projects Coordination"/>
    <s v="72103038"/>
    <s v="Projects Coordination"/>
    <s v="AM/NS Hazira"/>
    <d v="1971-08-15T00:00:00"/>
    <s v="52.01"/>
    <d v="2022-09-01T00:00:00"/>
    <d v="2029-08-31T00:00:00"/>
    <m/>
    <d v="2029-08-31T00:00:00"/>
    <n v="2172"/>
    <s v="B-"/>
    <s v="MBA-2004 , MCom-1997 , BCom-1992 , Inter"/>
    <s v="24.07"/>
    <s v="01.00"/>
    <s v="25.07"/>
    <s v="00048363"/>
    <s v="AP Capex, F&amp;A"/>
    <s v="273300"/>
    <s v="Head - Accounts Payable (Capex Projects)"/>
    <s v="Hazira"/>
    <s v="0090000028"/>
    <s v="Corporate Steel - Wo"/>
    <s v="2000HWO"/>
    <s v="20055188"/>
    <s v="Rohit Sharma"/>
    <s v="No"/>
    <s v="ravi.seth@amns.in"/>
    <s v="9819597117"/>
    <s v="1010691"/>
    <s v="Dhruv Vyas"/>
    <s v="Anil Matoo"/>
    <s v="Praveen Kuruvalli"/>
    <s v="Dhruv Vyas"/>
    <n v="0"/>
  </r>
  <r>
    <n v="5258"/>
    <n v="20057379"/>
    <s v="Rahul Gupta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- Capex Procurement"/>
    <m/>
    <s v="Capex Procurement"/>
    <s v=""/>
    <s v=""/>
    <s v="Non Technical Support"/>
    <s v="Operations"/>
    <s v="Operations"/>
    <s v="72103001"/>
    <s v="Operations"/>
    <s v="Hazira"/>
    <d v="1994-03-26T00:00:00"/>
    <s v="29.05"/>
    <d v="2022-09-01T00:00:00"/>
    <d v="2052-03-31T00:00:00"/>
    <m/>
    <d v="2052-03-31T00:00:00"/>
    <n v="10420"/>
    <s v="B+"/>
    <s v="BTech-2017 , Intermediate-2012 , Interme"/>
    <s v="02.08"/>
    <s v="01.00"/>
    <s v="03.08"/>
    <s v="00049344"/>
    <s v="Capex Procurement"/>
    <s v="256012"/>
    <s v="Officer - Capex Procurement"/>
    <s v="Hazira"/>
    <s v="0031950059"/>
    <s v="HZ-Hazira Project"/>
    <s v="2000HWO"/>
    <s v="20055728"/>
    <s v="Mahebub Vahora"/>
    <s v="No"/>
    <s v="rahul.gupta1@amns.in"/>
    <s v="7209804673"/>
    <s v="1010692"/>
    <s v="Dhruv Vyas"/>
    <s v="Anil Matoo"/>
    <s v="Praveen Kuruvalli"/>
    <s v="Dhruv Vyas"/>
    <n v="0"/>
  </r>
  <r>
    <n v="5259"/>
    <n v="20057380"/>
    <s v="Vivek Gupta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ales Manager - Export Sales"/>
    <m/>
    <s v="Export"/>
    <s v="Export"/>
    <s v=""/>
    <s v="Non Technical Support"/>
    <s v="Sales &amp; Marketing"/>
    <s v="Sales &amp; Marketing"/>
    <s v="73101001"/>
    <s v="Sales &amp; Marketing"/>
    <s v="Mumbai"/>
    <d v="1988-09-14T00:00:00"/>
    <s v="35.00"/>
    <d v="2022-09-01T00:00:00"/>
    <d v="2046-09-30T00:00:00"/>
    <m/>
    <d v="2046-09-30T00:00:00"/>
    <n v="8411"/>
    <s v="A+"/>
    <s v="MS-2013 , BSc-2011 , Intermediate-2007 ,"/>
    <s v="04.04"/>
    <s v="01.00"/>
    <s v="05.04"/>
    <s v="70495379"/>
    <s v="Chief Marketing Officer - AMNS ME FZE"/>
    <s v="70495032"/>
    <s v="KAM - Export Sales"/>
    <s v="Corporate"/>
    <s v="0031950057"/>
    <s v="HZ-HRC - Marketing"/>
    <s v="2000CS"/>
    <s v="20055663"/>
    <s v="Karamath Syed"/>
    <s v="No"/>
    <s v="vivek.gupta@amns.in"/>
    <s v="9987607600"/>
    <s v="1010693"/>
    <s v="Dhruv Vyas"/>
    <s v="Anil Matoo"/>
    <s v="Praveen Kuruvalli"/>
    <s v="Dhruv Vyas"/>
    <n v="0"/>
  </r>
  <r>
    <n v="5260"/>
    <n v="20057381"/>
    <s v="Nitin Lokhande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West"/>
    <s v="Hypermart"/>
    <s v=""/>
    <s v="Non Technical Support"/>
    <s v="Sales &amp; Marketing"/>
    <s v="Sales"/>
    <s v="73104004"/>
    <s v="OEM Sales"/>
    <s v="Ahmedabad"/>
    <d v="1977-04-05T00:00:00"/>
    <s v="46.05"/>
    <d v="2022-09-01T00:00:00"/>
    <d v="2035-04-30T00:00:00"/>
    <m/>
    <d v="2035-04-30T00:00:00"/>
    <n v="4240"/>
    <s v="B+"/>
    <s v="PG Diploma in Management-2009 , Diploma-"/>
    <s v="23.01"/>
    <s v="01.00"/>
    <s v="24.01"/>
    <s v="70394840"/>
    <s v="OEM Sales - Gujarat"/>
    <s v="273362"/>
    <s v="Sales Manager - Hypermart"/>
    <s v="Hazira"/>
    <s v="0060110300"/>
    <s v="HMART-Guj-Ahemedabad"/>
    <s v="2000HWO"/>
    <s v="20001736"/>
    <s v="Manoranjan Jagdhari"/>
    <s v="No"/>
    <s v="nitin.lokhande@amns.in"/>
    <s v="9998815775"/>
    <s v="25564"/>
    <s v="Dhruv Vyas"/>
    <s v="Anil Matoo"/>
    <s v="Praveen Kuruvalli"/>
    <s v="Dhruv Vyas"/>
    <n v="0"/>
  </r>
  <r>
    <n v="5261"/>
    <n v="20057382"/>
    <s v="Naga Sunil Kumar Reddy Kodidala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South"/>
    <s v="Hypermart"/>
    <s v=""/>
    <s v="Non Technical Support"/>
    <s v="Sales &amp; Marketing"/>
    <s v="Sales"/>
    <s v="73104004"/>
    <s v="OEM Sales"/>
    <s v="Hyderabad"/>
    <d v="1980-06-23T00:00:00"/>
    <s v="43.02"/>
    <d v="2022-09-01T00:00:00"/>
    <d v="2038-06-30T00:00:00"/>
    <m/>
    <d v="2038-06-30T00:00:00"/>
    <n v="5397"/>
    <s v="O+"/>
    <s v="MBA-2006 , BSc-2001 , Intermediate-1997"/>
    <s v="11.05"/>
    <s v="01.00"/>
    <s v="12.05"/>
    <s v="00048814"/>
    <s v="Sales South Zone – Hypermart"/>
    <s v="273363"/>
    <s v="Sales Manager - Hypermart"/>
    <s v="Hazira"/>
    <s v="0060140600"/>
    <s v="HMART-Tela-Secundrab"/>
    <s v="2000HWO"/>
    <s v="20056279"/>
    <s v="Arun G"/>
    <s v="No"/>
    <s v="kn.reddy@amns.in"/>
    <s v="9885057067"/>
    <s v="1010810"/>
    <s v="Dhruv Vyas"/>
    <s v="Anil Matoo"/>
    <s v="Praveen Kuruvalli"/>
    <s v="Dhruv Vyas"/>
    <n v="0"/>
  </r>
  <r>
    <n v="5262"/>
    <n v="20057383"/>
    <s v="Nikhil Kumar"/>
    <s v="AM/NS India"/>
    <s v="Onroll"/>
    <s v="M-10"/>
    <n v="10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Officer - Secondary Sales"/>
    <m/>
    <s v="Secondary Sales"/>
    <s v=""/>
    <s v=""/>
    <s v="Non Technical Support"/>
    <s v="Operations"/>
    <s v="Operations"/>
    <s v="72103001"/>
    <s v="Operations"/>
    <s v="Hazira"/>
    <d v="1995-12-06T00:00:00"/>
    <s v="27.09"/>
    <d v="2022-09-05T00:00:00"/>
    <d v="2053-12-31T00:00:00"/>
    <m/>
    <d v="2053-12-31T00:00:00"/>
    <n v="11060"/>
    <s v="B+"/>
    <s v="BCom-2021 , Intermediate-2018 , Diploma-"/>
    <s v="07.00"/>
    <s v="01.00"/>
    <s v="08.00"/>
    <s v="00049357"/>
    <s v="Secondary Sales"/>
    <s v="288088"/>
    <s v="Officer - Secondary Sales"/>
    <s v="Hazira"/>
    <s v="0031950059"/>
    <s v="HZ-Hazira Project"/>
    <s v="2000HWO"/>
    <s v="20055763"/>
    <s v="Debashis Mohapatra"/>
    <s v="No"/>
    <s v="nikhil.kumar@amns.in"/>
    <s v="7970878773"/>
    <s v="1011053"/>
    <s v="Dhruv Vyas"/>
    <s v="Anil Matoo"/>
    <s v="Praveen Kuruvalli"/>
    <s v="Dhruv Vyas"/>
    <n v="0"/>
  </r>
  <r>
    <n v="5263"/>
    <n v="20057384"/>
    <s v="Sunil Beniwal"/>
    <s v="AM/NS India"/>
    <s v="Onroll"/>
    <s v="M-6"/>
    <n v="6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RO Development Manager – Hypermart"/>
    <m/>
    <s v="Hypermart"/>
    <s v="Hypermart"/>
    <s v=""/>
    <s v="Non Technical Support"/>
    <s v="Sales &amp; Marketing"/>
    <s v="Sales"/>
    <s v="73104004"/>
    <s v="OEM Sales"/>
    <s v="Pune"/>
    <d v="1983-08-02T00:00:00"/>
    <s v="40.01"/>
    <d v="2022-09-06T00:00:00"/>
    <d v="2041-08-31T00:00:00"/>
    <m/>
    <d v="2041-08-31T00:00:00"/>
    <n v="6555"/>
    <s v="B+"/>
    <s v="MBA-2019 , PG Diploma in Management-2012"/>
    <s v="06.02"/>
    <s v="01.00"/>
    <s v="07.02"/>
    <s v="72150154"/>
    <s v="HyperMart"/>
    <s v="288093"/>
    <s v="RO Development Manager – Hypermart"/>
    <s v="Hypermart"/>
    <s v="0060100004"/>
    <s v="HMART-HR/Admin Expen"/>
    <s v="2000SRET"/>
    <s v="20006236"/>
    <s v="Sanjay Vaid"/>
    <s v="No"/>
    <s v="sunil.beniwal@amns.in"/>
    <s v="9987267072"/>
    <s v="1011062"/>
    <s v="Dhruv Vyas"/>
    <s v="Anil Matoo"/>
    <s v="Praveen Kuruvalli"/>
    <s v="Dhruv Vyas"/>
    <n v="0"/>
  </r>
  <r>
    <n v="5289"/>
    <n v="20057412"/>
    <s v="Manish Kumar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- Capex Procurement"/>
    <m/>
    <s v="Capex Procurement"/>
    <s v=""/>
    <s v=""/>
    <s v="Non Technical Support"/>
    <s v="Operations"/>
    <s v="Operations"/>
    <s v="72103001"/>
    <s v="Operations"/>
    <s v="Hazira"/>
    <d v="1986-03-05T00:00:00"/>
    <s v="37.06"/>
    <d v="2022-09-12T00:00:00"/>
    <d v="2044-03-31T00:00:00"/>
    <m/>
    <d v="2044-03-31T00:00:00"/>
    <n v="7498"/>
    <s v="B+"/>
    <s v="PG Diploma in Management-2022 , BTech-20"/>
    <s v="11.01"/>
    <s v="01.00"/>
    <s v="12.01"/>
    <s v="00049360"/>
    <s v="Capex Services"/>
    <s v="288525"/>
    <s v="Lead - Capex Procurement"/>
    <s v="Hazira"/>
    <s v="0031950059"/>
    <s v="HZ-Hazira Project"/>
    <s v="2000HWO"/>
    <s v="20055727"/>
    <s v="Javed Akhtar"/>
    <s v="No"/>
    <s v="manish.kumar3@amns.in"/>
    <s v="6358915526"/>
    <s v="1012067"/>
    <s v="Dhruv Vyas"/>
    <s v="Anil Matoo"/>
    <s v="Praveen Kuruvalli"/>
    <s v="Dhruv Vyas"/>
    <n v="0"/>
  </r>
  <r>
    <n v="5290"/>
    <n v="20057413"/>
    <s v="Vipin Toshniwal"/>
    <s v="AM/NS India"/>
    <s v="Onroll"/>
    <s v="M-6"/>
    <n v="6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Head  Expediting"/>
    <m/>
    <s v="Capex Procurement"/>
    <s v=""/>
    <s v=""/>
    <s v="Non Technical Support"/>
    <s v="Operations"/>
    <s v="Operations"/>
    <s v="72103001"/>
    <s v="Operations"/>
    <s v="Hazira"/>
    <d v="1978-02-16T00:00:00"/>
    <s v="45.07"/>
    <d v="2022-09-06T00:00:00"/>
    <d v="2036-02-29T00:00:00"/>
    <m/>
    <d v="2036-02-29T00:00:00"/>
    <n v="4545"/>
    <s v="AB+"/>
    <s v="MBA-2007 , BE-2001 , Intermediate-1996 ,"/>
    <s v="07.07"/>
    <s v="01.00"/>
    <s v="08.07"/>
    <s v="00049335"/>
    <s v="Capex Procurement - Expediting"/>
    <s v="288520"/>
    <s v="Head  Expediting"/>
    <s v="Hazira"/>
    <s v="0031950059"/>
    <s v="HZ-Hazira Project"/>
    <s v="2000HWO"/>
    <s v="20052261"/>
    <s v="Aruni Mishra"/>
    <s v="No"/>
    <s v="vipin.toshniwal@amns.in"/>
    <s v="7224058362"/>
    <s v="1012075"/>
    <s v="Dhruv Vyas"/>
    <s v="Anil Matoo"/>
    <s v="Praveen Kuruvalli"/>
    <s v="Dhruv Vyas"/>
    <n v="0"/>
  </r>
  <r>
    <n v="5302"/>
    <n v="20057425"/>
    <s v="Vikram ."/>
    <s v="AM/NS India"/>
    <s v="Onroll"/>
    <s v="M-9"/>
    <n v="9"/>
    <m/>
    <s v="J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1"/>
    <s v="Human Resources"/>
    <s v="Bahadurgarh"/>
    <d v="1989-12-20T00:00:00"/>
    <s v="33.09"/>
    <d v="2022-09-15T00:00:00"/>
    <d v="2047-12-31T00:00:00"/>
    <m/>
    <d v="2047-12-31T00:00:00"/>
    <n v="8868"/>
    <s v="A+"/>
    <s v="MBA-2011 , Intermediate-2006 , Intermedi"/>
    <s v="04.04"/>
    <s v="01.00"/>
    <s v="05.03"/>
    <s v="00044376"/>
    <s v="Service Center &amp; Hypermart HR"/>
    <s v="256952"/>
    <s v="Lead - Human Resources"/>
    <s v="Service Center"/>
    <s v="0040050019"/>
    <s v="SC-Bahadurgarh-Op1-C"/>
    <s v="2000SPRJ"/>
    <s v="20057135"/>
    <s v="RAHUL RAJ"/>
    <s v="No"/>
    <s v="vikram.singh@amns.in"/>
    <s v="9813016565"/>
    <s v="1013048"/>
    <s v="Dhruv Vyas"/>
    <s v="Anil Matoo"/>
    <s v="Praveen Kuruvalli"/>
    <s v="Dhruv Vyas"/>
    <n v="0"/>
  </r>
  <r>
    <n v="5303"/>
    <n v="20057427"/>
    <s v="Sherryl John"/>
    <s v="AM/NS India"/>
    <s v="Onroll"/>
    <s v="M-9"/>
    <n v="9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Compensation and Benefits Analyst"/>
    <m/>
    <s v="Human Resources"/>
    <s v=""/>
    <s v=""/>
    <s v="Non Technical Support"/>
    <s v="Human Resources Management"/>
    <s v="Human Resources Management"/>
    <s v="73501001"/>
    <s v="Human Resources"/>
    <s v="Mumbai"/>
    <d v="1990-01-18T00:00:00"/>
    <s v="33.08"/>
    <d v="2022-09-19T00:00:00"/>
    <d v="2048-01-31T00:00:00"/>
    <m/>
    <d v="2048-01-31T00:00:00"/>
    <n v="8899"/>
    <s v="O+"/>
    <s v="MBA-2016 , Intermediate-2006 , Intermedi"/>
    <s v="05.06"/>
    <s v="01.00"/>
    <s v="06.06"/>
    <s v="00044377"/>
    <s v="Compensation &amp; Benefits"/>
    <s v="289171"/>
    <s v="Compensation and Benefits Analyst"/>
    <s v="Corporate"/>
    <s v="0031950061"/>
    <s v="HZ-Human Resource"/>
    <s v="2000CS"/>
    <s v="20055672"/>
    <s v="Shailja Tripathi"/>
    <s v="No"/>
    <s v="sherryl.john@amns.in"/>
    <s v="9892191061"/>
    <s v="1013179"/>
    <s v="Dhruv Vyas"/>
    <s v="Anil Matoo"/>
    <s v="Praveen Kuruvalli"/>
    <s v="Dhruv Vyas"/>
    <n v="0"/>
  </r>
  <r>
    <n v="5331"/>
    <n v="20057461"/>
    <s v="Adelbert Fernandes"/>
    <s v="AM/NS India"/>
    <s v="Onroll"/>
    <s v="M-7"/>
    <n v="7"/>
    <m/>
    <s v="MM"/>
    <s v="M"/>
    <s v="Corporate"/>
    <n v="7"/>
    <s v="2015"/>
    <x v="1"/>
    <s v="22.06"/>
    <s v="Praveen Kuruvalli"/>
    <s v="Ashutosh Telang"/>
    <n v="6"/>
    <s v="HR &amp; Administration"/>
    <s v="Human Resources"/>
    <s v="22"/>
    <s v="Lead HRIS &amp; HR Project Coordination"/>
    <m/>
    <s v="Human Resources"/>
    <s v=""/>
    <s v=""/>
    <s v="Non Technical Support"/>
    <s v="Human Resources Management"/>
    <s v="Human Resources Management"/>
    <s v="73501001"/>
    <s v="Human Resources"/>
    <s v="Mumbai"/>
    <d v="1985-02-02T00:00:00"/>
    <s v="38.07"/>
    <d v="2022-09-26T00:00:00"/>
    <d v="2043-02-28T00:00:00"/>
    <m/>
    <d v="2043-02-28T00:00:00"/>
    <n v="7101"/>
    <s v="O+"/>
    <s v="MBA-2008 , Diploma-2007 , BSc-2005 , Int"/>
    <s v="04.04"/>
    <s v="00.11"/>
    <s v="05.04"/>
    <s v="70242278"/>
    <s v="People Strategy &amp; HR Center Excellence"/>
    <s v="289629"/>
    <s v="Lead HRIS &amp; HR Project Coordination"/>
    <s v="Corporate"/>
    <s v="0031950061"/>
    <s v="HZ-Human Resource"/>
    <s v="2000CS"/>
    <s v="20055483"/>
    <s v="Praveen Kuruvalli"/>
    <s v="No"/>
    <s v="adelbert.fernandes@amns.in"/>
    <s v="9833012184"/>
    <s v="1014477"/>
    <s v="Dhruv Vyas"/>
    <s v="Anil Matoo"/>
    <s v="Praveen Kuruvalli"/>
    <s v="Dhruv Vyas"/>
    <n v="0"/>
  </r>
  <r>
    <n v="5334"/>
    <n v="20057464"/>
    <s v="Bidhan Barik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Indirect Tax"/>
    <m/>
    <s v="Finance &amp; Accounts"/>
    <s v=""/>
    <s v=""/>
    <s v="Non Technical Support"/>
    <s v="Finance &amp; Accounts"/>
    <s v="Taxation"/>
    <s v="73904002"/>
    <s v="Indirect Taxation"/>
    <s v="AM/NS Hazira"/>
    <d v="1985-01-03T00:00:00"/>
    <s v="38.08"/>
    <d v="2022-09-29T00:00:00"/>
    <d v="2043-01-31T00:00:00"/>
    <m/>
    <d v="2043-01-31T00:00:00"/>
    <n v="7073"/>
    <s v="A+"/>
    <s v="CA Final-2011 , ICWA Inter-2009 , BCom-2"/>
    <s v="09.03"/>
    <s v="00.11"/>
    <s v="10.02"/>
    <s v="70282653"/>
    <s v="GST"/>
    <s v="70386152"/>
    <s v="Officer - Indirect Tax"/>
    <s v="Hazira"/>
    <s v="0090000033"/>
    <s v="Corporate Taxation"/>
    <s v="2000HWO"/>
    <s v="20055962"/>
    <s v="Navin Kewalramani"/>
    <s v="No"/>
    <s v="bidhan.barik@amns.in"/>
    <s v="8652674108"/>
    <s v="1014916"/>
    <s v="Dhruv Vyas"/>
    <s v="Anil Matoo"/>
    <s v="Praveen Kuruvalli"/>
    <s v="Dhruv Vyas"/>
    <n v="0"/>
  </r>
  <r>
    <n v="5335"/>
    <n v="20057465"/>
    <s v="Nikhitha John"/>
    <s v="AM/NS India"/>
    <s v="Onroll"/>
    <s v="M-11"/>
    <n v="11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Performance Management"/>
    <m/>
    <s v="Finance &amp; Accounts"/>
    <s v=""/>
    <s v=""/>
    <s v="Non Technical Support"/>
    <s v="Finance &amp; Accounts"/>
    <s v="Costing"/>
    <s v="73906001"/>
    <s v="Costing"/>
    <s v="AM/NS Hazira"/>
    <d v="1998-10-06T00:00:00"/>
    <s v="24.11"/>
    <d v="2022-09-22T00:00:00"/>
    <d v="2056-10-31T00:00:00"/>
    <m/>
    <d v="2056-10-31T00:00:00"/>
    <n v="12095"/>
    <s v="A+"/>
    <s v="MCom-2021 , BCom-2019 , Intermediate-201"/>
    <s v="00.06"/>
    <s v="00.11"/>
    <s v="01.06"/>
    <s v="00045632"/>
    <s v="Costing &amp; Budgeting"/>
    <s v="273302"/>
    <s v="Officer - Performance Management"/>
    <s v="Hazira"/>
    <s v="0031950043"/>
    <s v="HZ-Performance Manag"/>
    <s v="2000HWO"/>
    <s v="20056146"/>
    <s v="Asvinbhai Sutarsandhiya"/>
    <s v="No"/>
    <s v="nikhitha.john2@amns.in"/>
    <s v="7977531146"/>
    <s v="884555"/>
    <s v="Dhruv Vyas"/>
    <s v="Anil Matoo"/>
    <s v="Praveen Kuruvalli"/>
    <s v="Dhruv Vyas"/>
    <n v="0"/>
  </r>
  <r>
    <n v="5336"/>
    <n v="20057466"/>
    <s v="Ravi Baswa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Indirect Tax"/>
    <m/>
    <s v="inance &amp; Accounts"/>
    <s v=""/>
    <s v=""/>
    <s v="Non Technical Support"/>
    <s v="Finance &amp; Accounts"/>
    <s v="Costing"/>
    <s v="73906001"/>
    <s v="Costing"/>
    <s v="AM/NS Hazira"/>
    <d v="1985-10-27T00:00:00"/>
    <s v="37.10"/>
    <d v="2022-09-26T00:00:00"/>
    <d v="2043-10-31T00:00:00"/>
    <m/>
    <d v="2043-10-31T00:00:00"/>
    <n v="7346"/>
    <s v="O+"/>
    <s v="MCom-2009 , BCom-2006 , Intermediate-200"/>
    <s v="07.09"/>
    <s v="00.11"/>
    <s v="08.08"/>
    <s v="70282653"/>
    <s v="GST"/>
    <s v="273303"/>
    <s v="Officer - Indirect Tax"/>
    <s v="Hazira"/>
    <s v="0090000033"/>
    <s v="Corporate Taxation"/>
    <s v="2000HWO"/>
    <s v="20015864"/>
    <s v="Mayank Desai"/>
    <s v="No"/>
    <s v="ravi.baswa@amns.in"/>
    <s v="9913131111"/>
    <s v="1014963"/>
    <s v="Dhruv Vyas"/>
    <s v="Anil Matoo"/>
    <s v="Praveen Kuruvalli"/>
    <s v="Dhruv Vyas"/>
    <n v="0"/>
  </r>
  <r>
    <n v="5342"/>
    <n v="20057472"/>
    <s v="Nicky Rajan"/>
    <s v="AM/NS India"/>
    <s v="Onroll"/>
    <s v="M-9"/>
    <n v="9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Officer - Direct Taxation"/>
    <m/>
    <s v=""/>
    <s v=""/>
    <s v=""/>
    <s v="Non Technical Support"/>
    <s v=""/>
    <s v=""/>
    <s v="70494642"/>
    <s v="Deputy Director"/>
    <s v="Mumbai"/>
    <d v="1997-05-10T00:00:00"/>
    <s v="26.04"/>
    <d v="2022-09-27T00:00:00"/>
    <d v="2055-05-31T00:00:00"/>
    <m/>
    <d v="2055-05-31T00:00:00"/>
    <n v="11576"/>
    <s v="A+"/>
    <s v="BCom-2018 , CA Final-2022"/>
    <s v=""/>
    <s v="00.11"/>
    <s v="00.11"/>
    <s v="00052148"/>
    <s v="Direct Tax"/>
    <s v="273459"/>
    <s v="Officer - Direct Taxation"/>
    <s v="Corporate"/>
    <s v="0090000033"/>
    <s v="Corporate Taxation"/>
    <s v="2000CS"/>
    <s v="20057473"/>
    <s v="Tarun Seksaria"/>
    <s v="No"/>
    <s v="nicky.rajan@amns.in"/>
    <s v="9930669224"/>
    <s v="1015471"/>
    <s v="Dhruv Vyas"/>
    <s v="Anil Matoo"/>
    <s v="Praveen Kuruvalli"/>
    <s v="Dhruv Vyas"/>
    <n v="0"/>
  </r>
  <r>
    <n v="5343"/>
    <n v="20057473"/>
    <s v="Tarun Seksaria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- Direct Tax"/>
    <m/>
    <s v=""/>
    <s v=""/>
    <s v=""/>
    <s v="Non Technical Support"/>
    <s v="Projects"/>
    <s v="Projects Coordination"/>
    <s v="72103038"/>
    <s v="Projects Coordination"/>
    <s v="Mumbai"/>
    <d v="1991-02-06T00:00:00"/>
    <s v="32.07"/>
    <d v="2022-09-28T00:00:00"/>
    <d v="2049-02-28T00:00:00"/>
    <m/>
    <d v="2049-02-28T00:00:00"/>
    <n v="9293"/>
    <s v="B+"/>
    <s v="BCom-2011 , CA Final-2011 , Intermediate"/>
    <s v="10.05"/>
    <s v="00.11"/>
    <s v="11.04"/>
    <s v="00052148"/>
    <s v="Direct Tax"/>
    <s v="273337"/>
    <s v="Sr. Lead - Direct Tax"/>
    <s v="Corporate"/>
    <s v="0090000033"/>
    <s v="Corporate Taxation"/>
    <s v="2000CS"/>
    <s v="20055494"/>
    <s v="Vikas Soni"/>
    <s v="No"/>
    <s v="tarun.seksaria@amns.in"/>
    <s v="9987299294"/>
    <s v="1015509"/>
    <s v="Dhruv Vyas"/>
    <s v="Anil Matoo"/>
    <s v="Praveen Kuruvalli"/>
    <s v="Dhruv Vyas"/>
    <n v="0"/>
  </r>
  <r>
    <n v="5356"/>
    <n v="20057488"/>
    <s v="Dhaval Patel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Treasury"/>
    <m/>
    <s v=""/>
    <s v=""/>
    <s v=""/>
    <s v="Non Technical Support"/>
    <s v="Finance &amp; Accounts"/>
    <s v="Treasury"/>
    <s v="73903001"/>
    <s v="Treasury"/>
    <s v="Hazira"/>
    <d v="1988-06-29T00:00:00"/>
    <s v="35.02"/>
    <d v="2022-09-30T00:00:00"/>
    <d v="2046-06-30T00:00:00"/>
    <m/>
    <d v="2046-06-30T00:00:00"/>
    <n v="8319"/>
    <s v="O+"/>
    <s v="MBA-2013 , BCom-2011 , Intermediate-2007"/>
    <s v="10.08"/>
    <s v="00.11"/>
    <s v="11.07"/>
    <s v="72150420"/>
    <s v="Treasury - Hazira"/>
    <s v="70386184"/>
    <s v="Lead - Treasury"/>
    <s v="Hazira"/>
    <s v="0031950045"/>
    <s v="HZ-Works Accounts-Ha"/>
    <s v="2000HWO"/>
    <s v="20001854"/>
    <s v="Arasappan Thirumaran"/>
    <s v="No"/>
    <s v="dhaval.patel30@amns.in"/>
    <s v="9879102154"/>
    <s v="1016451"/>
    <s v="Dhruv Vyas"/>
    <s v="Anil Matoo"/>
    <s v="Praveen Kuruvalli"/>
    <s v="Dhruv Vyas"/>
    <n v="0"/>
  </r>
  <r>
    <n v="5359"/>
    <n v="20057491"/>
    <s v="Miralkumar Patel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Officer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92-08-27T00:00:00"/>
    <s v="31.00"/>
    <d v="2022-09-30T00:00:00"/>
    <d v="2050-08-31T00:00:00"/>
    <m/>
    <d v="2050-08-31T00:00:00"/>
    <n v="9842"/>
    <s v="B+"/>
    <s v="MBA-2016 , BBA-2012 , Intermediate-2009"/>
    <s v="05.08"/>
    <s v="00.11"/>
    <s v="06.07"/>
    <s v="70385322"/>
    <s v="Sales Planning &amp; Administration"/>
    <s v="273377"/>
    <s v="Officer - Order Entry"/>
    <s v="Hazira"/>
    <s v="0080000001"/>
    <s v="Head-Marketing"/>
    <s v="2000HWO"/>
    <s v="20049554"/>
    <s v="Uttam Kumar"/>
    <s v="No"/>
    <s v="miral.patel2@amns.in"/>
    <s v="7383459549"/>
    <s v="25588"/>
    <s v="Dhruv Vyas"/>
    <s v="Anil Matoo"/>
    <s v="Praveen Kuruvalli"/>
    <s v="Dhruv Vyas"/>
    <n v="0"/>
  </r>
  <r>
    <n v="5360"/>
    <n v="20057492"/>
    <s v="Ankush Mane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78-05-01T00:00:00"/>
    <s v="45.04"/>
    <d v="2022-09-30T00:00:00"/>
    <d v="2036-04-30T00:00:00"/>
    <m/>
    <d v="2036-04-30T00:00:00"/>
    <n v="4606"/>
    <s v="B+"/>
    <s v="PG Diploma in Management-2009 , BCom-200"/>
    <s v="15.01"/>
    <s v="00.11"/>
    <s v="16.00"/>
    <s v="70385322"/>
    <s v="Sales Planning &amp; Administration"/>
    <s v="273379"/>
    <s v="Lead - Order Entry"/>
    <s v="Hazira"/>
    <s v="0080000001"/>
    <s v="Head-Marketing"/>
    <s v="2000HWO"/>
    <s v="20049554"/>
    <s v="Uttam Kumar"/>
    <s v="No"/>
    <s v="ankush.mane@amns.in"/>
    <s v="9167077780"/>
    <s v="1016548"/>
    <s v="Dhruv Vyas"/>
    <s v="Anil Matoo"/>
    <s v="Praveen Kuruvalli"/>
    <s v="Dhruv Vyas"/>
    <n v="0"/>
  </r>
  <r>
    <n v="5361"/>
    <n v="20057493"/>
    <s v="Hiteshkumar Patel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Officer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78-03-19T00:00:00"/>
    <s v="45.06"/>
    <d v="2022-09-30T00:00:00"/>
    <d v="2036-03-31T00:00:00"/>
    <m/>
    <d v="2036-03-31T00:00:00"/>
    <n v="4576"/>
    <s v="O+"/>
    <s v="BCom-1999 , Intermediate-1995 , Intermed"/>
    <s v="14.07"/>
    <s v="00.11"/>
    <s v="15.06"/>
    <s v="70385322"/>
    <s v="Sales Planning &amp; Administration"/>
    <s v="273376"/>
    <s v="Officer - Order Entry"/>
    <s v="Hazira"/>
    <s v="0080000001"/>
    <s v="Head-Marketing"/>
    <s v="2000HWO"/>
    <s v="20049554"/>
    <s v="Uttam Kumar"/>
    <s v="No"/>
    <s v="hitesh.patel31@amns.in"/>
    <s v="9925241175"/>
    <s v="25659"/>
    <s v="Dhruv Vyas"/>
    <s v="Anil Matoo"/>
    <s v="Praveen Kuruvalli"/>
    <s v="Dhruv Vyas"/>
    <n v="0"/>
  </r>
  <r>
    <n v="5362"/>
    <n v="20057494"/>
    <s v="Victor Manikindi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77-10-17T00:00:00"/>
    <s v="45.11"/>
    <d v="2022-09-30T00:00:00"/>
    <d v="2035-10-31T00:00:00"/>
    <m/>
    <d v="2035-10-31T00:00:00"/>
    <n v="4424"/>
    <s v="B+"/>
    <s v="Intermediate-1999 , Intermediate-1999"/>
    <s v="13.01"/>
    <s v="00.11"/>
    <s v="14.00"/>
    <s v="70385322"/>
    <s v="Sales Planning &amp; Administration"/>
    <s v="273380"/>
    <s v="Lead - Order Entry"/>
    <s v="Hazira"/>
    <s v="0080000001"/>
    <s v="Head-Marketing"/>
    <s v="2000HWO"/>
    <s v="20049554"/>
    <s v="Uttam Kumar"/>
    <s v="No"/>
    <s v="victor.manikindi@amns.in"/>
    <s v="9920092630"/>
    <s v="25376"/>
    <s v="Dhruv Vyas"/>
    <s v="Anil Matoo"/>
    <s v="Praveen Kuruvalli"/>
    <s v="Dhruv Vyas"/>
    <n v="0"/>
  </r>
  <r>
    <n v="5366"/>
    <n v="20057498"/>
    <s v="Hiteshbhai Patel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84-03-18T00:00:00"/>
    <s v="39.06"/>
    <d v="2022-09-30T00:00:00"/>
    <d v="2042-03-31T00:00:00"/>
    <m/>
    <d v="2042-03-31T00:00:00"/>
    <n v="6767"/>
    <s v="AB+"/>
    <s v="BCom-2004 , Intermediate-2001 , Intermed"/>
    <s v="12.01"/>
    <s v="00.11"/>
    <s v="13.00"/>
    <s v="70385322"/>
    <s v="Sales Planning &amp; Administration"/>
    <s v="273381"/>
    <s v="Lead - Order Entry"/>
    <s v="Hazira"/>
    <s v="0022010041"/>
    <s v="DBN-Benf-Purchases"/>
    <s v="2000HWO"/>
    <s v="20049554"/>
    <s v="Uttam Kumar"/>
    <s v="No"/>
    <s v="hitesh.patel15@amns.in"/>
    <s v="9879507129"/>
    <s v="25660"/>
    <s v="Dhruv Vyas"/>
    <s v="Anil Matoo"/>
    <s v="Praveen Kuruvalli"/>
    <s v="Dhruv Vyas"/>
    <n v="0"/>
  </r>
  <r>
    <n v="5367"/>
    <n v="20057499"/>
    <s v="Kushal Gandhi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Officer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90-10-09T00:00:00"/>
    <s v="32.11"/>
    <d v="2022-09-30T00:00:00"/>
    <d v="2048-10-31T00:00:00"/>
    <m/>
    <d v="2048-10-31T00:00:00"/>
    <n v="9173"/>
    <s v="A+"/>
    <s v="BE-2014 , Intermediate-2006 , Intermedia"/>
    <s v="05.03"/>
    <s v="00.11"/>
    <s v="06.02"/>
    <s v="70385322"/>
    <s v="Sales Planning &amp; Administration"/>
    <s v="273378"/>
    <s v="Officer - Order Entry"/>
    <s v="Hazira"/>
    <s v="0080000001"/>
    <s v="Head-Marketing"/>
    <s v="2000HWO"/>
    <s v="20049554"/>
    <s v="Uttam Kumar"/>
    <s v="No"/>
    <s v="kushal.gandhi@amns.in"/>
    <s v="7096286636"/>
    <s v="25616"/>
    <s v="Dhruv Vyas"/>
    <s v="Anil Matoo"/>
    <s v="Praveen Kuruvalli"/>
    <s v="Dhruv Vyas"/>
    <n v="0"/>
  </r>
  <r>
    <n v="5371"/>
    <n v="20057503"/>
    <s v="Prithviraj Singh"/>
    <s v="AM/NS India"/>
    <s v="Onroll"/>
    <s v="M-9"/>
    <n v="9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Officer - Procurement, Paradeep"/>
    <m/>
    <s v="Procurement"/>
    <s v=""/>
    <s v=""/>
    <s v="Non Technical Support"/>
    <s v="Commercial"/>
    <s v="Purchase"/>
    <s v="73804001"/>
    <s v="Purchase"/>
    <s v="Paradeep"/>
    <d v="1988-06-21T00:00:00"/>
    <s v="35.03"/>
    <d v="2022-10-10T00:00:00"/>
    <d v="2046-06-30T00:00:00"/>
    <m/>
    <d v="2046-06-30T00:00:00"/>
    <n v="8319"/>
    <s v="AB+"/>
    <s v="Intermediate-2005 , Intermediate-2004"/>
    <s v="16.03"/>
    <s v="00.11"/>
    <s v="17.02"/>
    <s v="70407583"/>
    <s v="Procurement - Odisha Asset"/>
    <s v="291468"/>
    <s v="Officer - Procurement, Paradeep"/>
    <s v="Odisha"/>
    <s v="0022030019"/>
    <s v="PDP-HR &amp; Admn"/>
    <s v="2000STORIS"/>
    <s v="20055692"/>
    <s v="Rajiv Ranjan"/>
    <s v="No"/>
    <s v="prithviraj.singh@amns.in"/>
    <s v="7077770050"/>
    <s v="1017147"/>
    <s v="Sunila Das"/>
    <s v="Anil Matoo"/>
    <s v="Praveen Kuruvalli"/>
    <s v="Sunila Das"/>
    <n v="0"/>
  </r>
  <r>
    <n v="5373"/>
    <n v="20057505"/>
    <s v="Tejas Vor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Indirect Tax"/>
    <m/>
    <s v=""/>
    <s v=""/>
    <s v=""/>
    <s v="Non Technical Support"/>
    <s v="Finance &amp; Accounts"/>
    <s v="Taxation"/>
    <s v="73904002"/>
    <s v="Indirect Taxation"/>
    <s v="AM/NS Hazira"/>
    <d v="1992-07-15T00:00:00"/>
    <s v="31.02"/>
    <d v="2022-10-13T00:00:00"/>
    <d v="2050-07-31T00:00:00"/>
    <m/>
    <d v="2050-07-31T00:00:00"/>
    <n v="9811"/>
    <s v="O+"/>
    <s v="CA Final-2017 , LLB-2014 , BCom-2011"/>
    <s v="05.02"/>
    <s v="00.11"/>
    <s v="06.01"/>
    <s v="70282653"/>
    <s v="GST"/>
    <s v="70372307"/>
    <s v="Lead - Indirect Tax"/>
    <s v="Hazira"/>
    <s v="0090000033"/>
    <s v="Corporate Taxation"/>
    <s v="2000HWO"/>
    <s v="20056327"/>
    <s v="Aishwarya Singhi"/>
    <s v="No"/>
    <s v="tejas.vora@amns.in"/>
    <s v="8140295402"/>
    <s v="1017358"/>
    <s v="Dhruv Vyas"/>
    <s v="Anil Matoo"/>
    <s v="Praveen Kuruvalli"/>
    <s v="Dhruv Vyas"/>
    <n v="0"/>
  </r>
  <r>
    <n v="5385"/>
    <n v="20057518"/>
    <s v="Eashank Yash Gautam"/>
    <s v="AM/NS India"/>
    <s v="Onroll"/>
    <s v="M-9"/>
    <n v="9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Officer - Stores"/>
    <m/>
    <s v="Procurement"/>
    <s v=""/>
    <s v=""/>
    <s v="Non Technical Support"/>
    <s v="Commercial"/>
    <s v="Stores &amp; Warehouse"/>
    <s v="73806001"/>
    <s v="Stores &amp; Warehouse"/>
    <s v="Kirandul"/>
    <d v="1994-03-15T00:00:00"/>
    <s v="29.06"/>
    <d v="2022-10-17T00:00:00"/>
    <d v="2052-03-31T00:00:00"/>
    <m/>
    <d v="2052-03-31T00:00:00"/>
    <n v="10420"/>
    <s v="B+"/>
    <s v="BE-2012 , Intermediate-2010"/>
    <s v="01.11"/>
    <s v="00.11"/>
    <s v="02.09"/>
    <s v="70301353"/>
    <s v="Procurement - Vizag &amp; Chitrakonda"/>
    <s v="291709"/>
    <s v="Officer - Stores"/>
    <s v="Vizag"/>
    <s v="0028030019"/>
    <s v="VIZ-Personnel &amp; Admi"/>
    <s v="2000VIZOPS"/>
    <s v="20000200"/>
    <s v="A Venkateswara Rao"/>
    <s v="No"/>
    <s v="eashank.gautam@amns.in"/>
    <s v="7725070639"/>
    <s v="1017630"/>
    <s v="DS Varma"/>
    <s v="Anil Matoo"/>
    <s v="Praveen Kuruvalli"/>
    <s v="Dhruv Vyas"/>
    <n v="0"/>
  </r>
  <r>
    <n v="5389"/>
    <n v="20057523"/>
    <s v="Tapas Kumar Panda"/>
    <s v="AM/NS India"/>
    <s v="Onroll"/>
    <s v="M-9"/>
    <n v="9"/>
    <m/>
    <s v="JM"/>
    <s v="M"/>
    <s v="Mining"/>
    <n v="8"/>
    <s v="2094"/>
    <x v="21"/>
    <s v="27.10"/>
    <s v="Vikas Chandra Yadvendu"/>
    <s v="Ashutosh Telang"/>
    <n v="6"/>
    <s v="HR &amp; Administration"/>
    <s v="Corporate SocialResponsibility"/>
    <s v="27"/>
    <s v="Officer - CSR Mines"/>
    <m/>
    <s v="Corporate Social Responsibility"/>
    <s v=""/>
    <s v=""/>
    <s v="Non Technical Support"/>
    <s v="Corporate Social Responsibility"/>
    <s v="Corporate Social Responsibility"/>
    <s v="75001001"/>
    <s v="Corporate Social Responsi"/>
    <s v="Barbil"/>
    <d v="1986-06-06T00:00:00"/>
    <s v="37.03"/>
    <d v="2022-10-01T00:00:00"/>
    <d v="2044-06-30T00:00:00"/>
    <m/>
    <d v="2044-06-30T00:00:00"/>
    <n v="7589"/>
    <s v="B+"/>
    <s v="Master's Equivalent-2011 , BA-2007 , Int"/>
    <s v="08.03"/>
    <s v="00.11"/>
    <s v="09.02"/>
    <s v="70495661"/>
    <s v="Corporate Social Responsibility"/>
    <s v="292117"/>
    <s v="Officer - CSR Mines"/>
    <s v="Odisha"/>
    <s v="0011000018"/>
    <s v="Sagasahi Mine HR"/>
    <s v="2000STORIS"/>
    <s v="20055033"/>
    <s v="Vikas Chandra Yadvendu"/>
    <s v="No"/>
    <s v="tapas.panda@amns.in"/>
    <s v="9238561546"/>
    <s v="1017978"/>
    <s v="Pramod Sinha"/>
    <s v="Anil Matoo"/>
    <s v="Praveen Kuruvalli"/>
    <s v="Dhruv Vyas"/>
    <n v="0"/>
  </r>
  <r>
    <n v="5391"/>
    <n v="20057525"/>
    <s v="Preeti Rawat"/>
    <s v="AM/NS India"/>
    <s v="Onroll"/>
    <s v="M-8"/>
    <n v="8"/>
    <m/>
    <s v="JM"/>
    <s v="F"/>
    <s v="Odisha"/>
    <n v="2"/>
    <s v="2094"/>
    <x v="21"/>
    <s v="27.10"/>
    <s v="Vikas Chandra Yadvendu"/>
    <s v="Ashutosh Telang"/>
    <n v="6"/>
    <s v="HR &amp; Administration"/>
    <s v="Corporate SocialResponsibility"/>
    <s v="27"/>
    <s v="Lead - CSR"/>
    <m/>
    <s v="Projects"/>
    <s v=""/>
    <s v=""/>
    <s v="Non Technical Support"/>
    <s v="Corporate Social Responsibility"/>
    <s v="Corporate Social Responsibility"/>
    <s v="75001001"/>
    <s v="Corporate Social Responsi"/>
    <s v="Bhubaneswar"/>
    <d v="1988-09-23T00:00:00"/>
    <s v="34.11"/>
    <d v="2022-10-15T00:00:00"/>
    <d v="2046-09-30T00:00:00"/>
    <m/>
    <d v="2046-09-30T00:00:00"/>
    <n v="8411"/>
    <s v="A+"/>
    <s v="Post Diploma Course-2013 , MSW-2012 , In"/>
    <s v="10.01"/>
    <s v="00.11"/>
    <s v="10.11"/>
    <s v="70495661"/>
    <s v="Corporate Social Responsibility"/>
    <s v="292163"/>
    <s v="Lead - CSR"/>
    <s v="Odisha"/>
    <s v="0022030019"/>
    <s v="PDP-HR &amp; Admn"/>
    <s v="2000STORIS"/>
    <s v="20055033"/>
    <s v="Vikas Chandra Yadvendu"/>
    <s v="No"/>
    <s v="preeti.rawat@amns.in"/>
    <s v="8146628232"/>
    <s v="1018293"/>
    <s v="Sunila Das"/>
    <s v="Anil Matoo"/>
    <s v="Praveen Kuruvalli"/>
    <s v="Sunila Das"/>
    <n v="0"/>
  </r>
  <r>
    <n v="5425"/>
    <n v="20057599"/>
    <s v="Om Prakash Giri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Commercial"/>
    <s v="Contracts &amp; Tenders and E-bid"/>
    <s v="73805001"/>
    <s v="Contracts &amp; Tenders and E"/>
    <s v="Hazira"/>
    <d v="1997-06-10T00:00:00"/>
    <s v="26.03"/>
    <d v="2022-11-14T00:00:00"/>
    <d v="2055-06-30T00:00:00"/>
    <m/>
    <d v="2055-06-30T00:00:00"/>
    <n v="11606"/>
    <s v="B+"/>
    <s v="Diploma-2018"/>
    <s v=""/>
    <s v="00.10"/>
    <s v="00.10"/>
    <s v="00053276"/>
    <s v="Issue/Shifting - Plant B"/>
    <s v="292312"/>
    <s v="Engineer"/>
    <s v="Hazira"/>
    <s v="0031950049"/>
    <s v="HZ-Central Stores"/>
    <s v="2012HAZI"/>
    <s v="20016604"/>
    <s v="Punit Verma"/>
    <s v="No"/>
    <s v="omprakash.giri2@amns.in"/>
    <s v="9879101240"/>
    <s v="26224"/>
    <s v="Dhruv Vyas"/>
    <s v="Anil Matoo"/>
    <s v="Praveen Kuruvalli"/>
    <s v="Dhruv Vyas"/>
    <n v="0"/>
  </r>
  <r>
    <n v="5427"/>
    <n v="20057601"/>
    <s v="Sistu Visweswara Rao"/>
    <s v="AM/NS India"/>
    <s v="Onroll"/>
    <s v="M-7"/>
    <n v="7"/>
    <m/>
    <s v="MM"/>
    <s v="M"/>
    <s v="Vizag"/>
    <n v="3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Human Resources"/>
    <s v=""/>
    <s v="Non Technical Support"/>
    <s v="Human Resources Management"/>
    <s v="Human Resources Management"/>
    <s v="73501002"/>
    <s v="Human Resources Operation"/>
    <s v="Vizag"/>
    <d v="1976-03-08T00:00:00"/>
    <s v="47.06"/>
    <d v="2022-10-26T00:00:00"/>
    <d v="2034-03-31T00:00:00"/>
    <m/>
    <d v="2034-03-31T00:00:00"/>
    <n v="3845"/>
    <s v="O+"/>
    <s v="MBA-2009 , BSc-1999"/>
    <s v="12.04"/>
    <s v="00.10"/>
    <s v="13.02"/>
    <s v="72150111"/>
    <s v="Vizag HR Operations &amp; Administration"/>
    <s v="72150367"/>
    <s v="Lead - Human Resources"/>
    <s v="Vizag"/>
    <s v="0028030019"/>
    <s v="VIZ-Personnel &amp; Admi"/>
    <s v="2000VIZOPS"/>
    <s v="20000519"/>
    <s v="Dandu Srinivas Varma"/>
    <s v="No"/>
    <s v="s.visweswararao@amns.in"/>
    <s v="9618325208"/>
    <s v="1018398"/>
    <s v="DS Varma"/>
    <s v="Anil Matoo"/>
    <s v="Praveen Kuruvalli"/>
    <s v="Dhruv Vyas"/>
    <n v="0"/>
  </r>
  <r>
    <n v="5429"/>
    <n v="20057603"/>
    <s v="Sanal Nair"/>
    <s v="AM/NS India"/>
    <s v="Onroll"/>
    <s v="M-9"/>
    <n v="9"/>
    <m/>
    <s v="JM"/>
    <s v="M"/>
    <s v="Hazira"/>
    <n v="1"/>
    <s v="2084"/>
    <x v="17"/>
    <s v="23.09"/>
    <s v="Anil Matoo"/>
    <s v="Ashutosh Telang"/>
    <n v="6"/>
    <s v="HR &amp; Administration"/>
    <s v="Industrial Relations"/>
    <s v="23"/>
    <s v="Lead - Industrial Relations"/>
    <m/>
    <s v="Human Resources"/>
    <s v="Industrial Relations"/>
    <s v=""/>
    <s v="Non Technical Support"/>
    <s v="Human Resources Management"/>
    <s v="Human Resources Management"/>
    <s v="73501002"/>
    <s v="Human Resources Operation"/>
    <s v="Hazira"/>
    <d v="1993-05-08T00:00:00"/>
    <s v="30.04"/>
    <d v="2022-10-27T00:00:00"/>
    <d v="2051-05-31T00:00:00"/>
    <m/>
    <d v="2051-05-31T00:00:00"/>
    <n v="10115"/>
    <s v="AB+"/>
    <s v="MSW-2017 , Diploma-2015 , BCom-2015 , In"/>
    <s v="04.09"/>
    <s v="00.10"/>
    <s v="05.07"/>
    <s v="70309501"/>
    <s v="IR &amp; legal Compliance"/>
    <s v="292411"/>
    <s v="Lead - Industrial Relations"/>
    <s v="Hazira"/>
    <s v="0090000018"/>
    <s v="CORP Group - HR"/>
    <s v="2000HWO"/>
    <s v="20056503"/>
    <s v="Bhavin Pandya"/>
    <s v="No"/>
    <s v="sanal.nair@amns.in"/>
    <s v="6351891819"/>
    <s v="1018595"/>
    <s v="Dhruv Vyas"/>
    <s v="Anil Matoo"/>
    <s v="Praveen Kuruvalli"/>
    <s v="Dhruv Vyas"/>
    <n v="0"/>
  </r>
  <r>
    <n v="5432"/>
    <n v="20057606"/>
    <s v="Vashu Singh Kachhavah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Delhi"/>
    <d v="1989-09-28T00:00:00"/>
    <s v="33.11"/>
    <d v="2022-10-20T00:00:00"/>
    <d v="2047-09-30T00:00:00"/>
    <m/>
    <d v="2047-09-30T00:00:00"/>
    <n v="8776"/>
    <s v="O+"/>
    <s v="MTech-2015 , BE-2012 , Intermediate-2007"/>
    <s v="07.02"/>
    <s v="00.11"/>
    <s v="08.01"/>
    <s v="00052460"/>
    <s v="Auto &amp; YG"/>
    <s v="292414"/>
    <s v="Resident Engineer"/>
    <s v="Corporate"/>
    <s v="0031950057"/>
    <s v="HZ-HRC - Marketing"/>
    <s v="2000CS"/>
    <s v="20056155"/>
    <s v="Kondapalli Venkateswarlu"/>
    <s v="No"/>
    <s v="vashu.singh@amns.in"/>
    <s v="8861449712"/>
    <s v="1018748"/>
    <s v="Dhruv Vyas"/>
    <s v="Anil Matoo"/>
    <s v="Praveen Kuruvalli"/>
    <s v="Dhruv Vyas"/>
    <n v="0"/>
  </r>
  <r>
    <n v="5446"/>
    <n v="20057621"/>
    <s v="Nachiket Sonalkar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KAM - Auto Sales"/>
    <m/>
    <s v="Auto"/>
    <s v="Auto"/>
    <s v=""/>
    <s v="Non Technical Support"/>
    <s v="Sales &amp; Marketing"/>
    <s v="Sales"/>
    <s v="73104004"/>
    <s v="OEM Sales"/>
    <s v="Mumbai"/>
    <d v="1992-05-05T00:00:00"/>
    <s v="31.04"/>
    <d v="2022-11-01T00:00:00"/>
    <d v="2050-05-31T00:00:00"/>
    <m/>
    <d v="2050-05-31T00:00:00"/>
    <n v="9750"/>
    <s v="A+"/>
    <s v="BE-2015 , Intermediate-2009 , High Schoo"/>
    <s v="05.07"/>
    <s v="00.10"/>
    <s v="06.05"/>
    <s v="70343195"/>
    <s v="Automotive Sales &amp; Service Centers"/>
    <s v="256054"/>
    <s v="KAM – Automotive Sales"/>
    <s v="Corporate"/>
    <s v="0031950057"/>
    <s v="HZ-HRC - Marketing"/>
    <s v="2000CS"/>
    <s v="20016767"/>
    <s v="Raghavan Venkatachalam"/>
    <s v="No"/>
    <s v="nachiket.sonalkar@amns.in"/>
    <s v="9819133573"/>
    <s v="1019481"/>
    <s v="Dhruv Vyas"/>
    <s v="Anil Matoo"/>
    <s v="Praveen Kuruvalli"/>
    <s v="Dhruv Vyas"/>
    <n v="0"/>
  </r>
  <r>
    <n v="5449"/>
    <n v="20057624"/>
    <s v="Sanika Gokhale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, Mumbai"/>
    <m/>
    <s v="Legal"/>
    <s v=""/>
    <s v=""/>
    <s v="Non Technical Support"/>
    <s v="Legal"/>
    <s v="Legal"/>
    <s v="73201001"/>
    <s v="Legal"/>
    <s v="Mumbai"/>
    <d v="1992-06-02T00:00:00"/>
    <s v="31.03"/>
    <d v="2022-11-01T00:00:00"/>
    <d v="2050-06-30T00:00:00"/>
    <m/>
    <d v="2050-06-30T00:00:00"/>
    <n v="9780"/>
    <s v="B+"/>
    <s v="LLB-2016 , Intermediate-2009 , Intermedi"/>
    <s v="05.01"/>
    <s v="00.10"/>
    <s v="05.11"/>
    <s v="00048996"/>
    <s v="Legal"/>
    <s v="292892"/>
    <s v="Legal Counsel"/>
    <s v="Corporate"/>
    <s v="0090000019"/>
    <s v="Corporate Steel - Le"/>
    <s v="2000CS"/>
    <s v="20055160"/>
    <s v="Mrida Lakhmani"/>
    <s v="No"/>
    <s v="sanika.gokhale@amns.in"/>
    <s v="9088940288"/>
    <s v="1019659"/>
    <s v="Dhruv Vyas"/>
    <s v="Anil Matoo"/>
    <s v="Praveen Kuruvalli"/>
    <s v="Dhruv Vyas"/>
    <n v="0"/>
  </r>
  <r>
    <n v="5459"/>
    <n v="20057635"/>
    <s v="Akshay Bhosale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OEM - Other West"/>
    <m/>
    <s v="Other West"/>
    <s v="Auto"/>
    <s v=""/>
    <s v="Non Technical Support"/>
    <s v="R&amp; D and QA/QC"/>
    <s v="R&amp;D"/>
    <s v="72103029"/>
    <s v="R&amp;D"/>
    <s v="Pune"/>
    <d v="1986-07-29T00:00:00"/>
    <s v="37.01"/>
    <d v="2022-11-07T00:00:00"/>
    <d v="2044-07-31T00:00:00"/>
    <m/>
    <d v="2044-07-31T00:00:00"/>
    <n v="7620"/>
    <s v="O+"/>
    <s v="MBA-2012 , BE-2008 , Intermediate-2004 ,"/>
    <s v="06.11"/>
    <s v="00.10"/>
    <s v="07.09"/>
    <s v="70495309"/>
    <s v="Sales West Zone"/>
    <s v="256057"/>
    <s v="KAM - Automotive Sales"/>
    <s v="Hazira"/>
    <s v="0031950057"/>
    <s v="HZ-HRC - Marketing"/>
    <s v="2000HWO"/>
    <s v="20047683"/>
    <s v="Virat Vij"/>
    <s v="No"/>
    <s v="akshay.bhosale@amns.in"/>
    <s v="9423238086"/>
    <s v="1019969"/>
    <s v="Dhruv Vyas"/>
    <s v="Anil Matoo"/>
    <s v="Praveen Kuruvalli"/>
    <s v="Dhruv Vyas"/>
    <n v="0"/>
  </r>
  <r>
    <n v="5461"/>
    <n v="20057637"/>
    <s v="Ashutosh Telang"/>
    <s v="AM/NS India"/>
    <s v="PDA"/>
    <s v="PDA"/>
    <n v="2"/>
    <m/>
    <s v="TM"/>
    <s v="M"/>
    <s v="Corporate"/>
    <n v="7"/>
    <s v="2015"/>
    <x v="1"/>
    <s v="22.06"/>
    <s v="Ashutosh Telang"/>
    <s v="Ashutosh Telang"/>
    <n v="6"/>
    <s v="HR &amp; Administration"/>
    <s v="Human Resources"/>
    <s v="22"/>
    <s v="Director &amp; VP - HR &amp; Admin"/>
    <m/>
    <s v=""/>
    <s v=""/>
    <s v=""/>
    <s v="Non Technical Support"/>
    <s v=""/>
    <s v=""/>
    <s v="70494638"/>
    <s v="Director and Vice President"/>
    <s v="Mumbai"/>
    <d v="1972-03-21T00:00:00"/>
    <s v="51.06"/>
    <d v="2022-11-10T00:00:00"/>
    <d v="2030-03-31T00:00:00"/>
    <m/>
    <d v="2030-03-31T00:00:00"/>
    <n v="2384"/>
    <s v="O-"/>
    <s v=""/>
    <s v=""/>
    <s v="00.10"/>
    <s v="00.10"/>
    <s v="00049042"/>
    <s v="HR &amp; Administration"/>
    <s v="293092"/>
    <s v="Director &amp; VP - HR &amp; Admin"/>
    <s v="Non-payroll-relevant"/>
    <s v="0090000018"/>
    <s v="CORP Group - HR"/>
    <s v="2003MUMB"/>
    <s v="20055068"/>
    <s v="Dilip Oommen"/>
    <s v="No"/>
    <s v="ashutosh.telang@amns.in"/>
    <s v="9820506713"/>
    <s v="1020214"/>
    <s v="Dhruv Vyas"/>
    <s v="Anil Matoo"/>
    <s v="Praveen Kuruvalli"/>
    <s v="Dhruv Vyas"/>
    <n v="0"/>
  </r>
  <r>
    <n v="5468"/>
    <n v="20057644"/>
    <s v="Kashyap Dave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Stores &amp; Warehouse"/>
    <s v=""/>
    <s v=""/>
    <s v="Non Technical Support"/>
    <s v="Commercial"/>
    <s v="Stores &amp; Warehouse"/>
    <s v="73806001"/>
    <s v="Stores &amp; Warehouse"/>
    <s v="Hazira"/>
    <d v="1999-10-01T00:00:00"/>
    <s v="23.11"/>
    <d v="2022-10-10T00:00:00"/>
    <d v="2057-09-30T00:00:00"/>
    <m/>
    <d v="2057-09-30T00:00:00"/>
    <n v="12429"/>
    <s v="B+"/>
    <s v="Diploma-2018 , Intermediate-2015"/>
    <s v="04.00"/>
    <s v="00.11"/>
    <s v="04.11"/>
    <s v="00048783"/>
    <s v="HBI, BF, Plant B &amp; Plate Mill"/>
    <s v="293127"/>
    <s v="Engineer"/>
    <s v="Hazira"/>
    <s v="0031950049"/>
    <s v="HZ-Central Stores"/>
    <s v="2000HWO"/>
    <s v="20005165"/>
    <s v="Parthiv Desai"/>
    <s v="No"/>
    <s v="kashyap.dave4@amns.in"/>
    <s v="6359610210"/>
    <s v="26212"/>
    <s v="Dhruv Vyas"/>
    <s v="Anil Matoo"/>
    <s v="Praveen Kuruvalli"/>
    <s v="Dhruv Vyas"/>
    <n v="0"/>
  </r>
  <r>
    <n v="5478"/>
    <n v="20057656"/>
    <s v="Ramesh Kumar Tiwari"/>
    <s v="AM/NS India"/>
    <s v="Onroll"/>
    <s v="M-9"/>
    <n v="9"/>
    <m/>
    <s v="J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Lead – HR, Indore"/>
    <m/>
    <s v="Human Resources"/>
    <s v=""/>
    <s v=""/>
    <s v="Non Technical Support"/>
    <s v="Human Resources Management"/>
    <s v="Human Resources Management"/>
    <s v="73501001"/>
    <s v="Human Resources"/>
    <s v="Indore"/>
    <d v="1985-08-08T00:00:00"/>
    <s v="38.01"/>
    <d v="2022-11-11T00:00:00"/>
    <d v="2043-08-31T00:00:00"/>
    <m/>
    <d v="2043-08-31T00:00:00"/>
    <n v="7285"/>
    <s v="A+"/>
    <s v="MBA-2010 , BA-2005 , Intermediate-2002 ,"/>
    <s v="09.02"/>
    <s v="00.10"/>
    <s v="10.00"/>
    <s v="00044376"/>
    <s v="Service Center &amp; Hypermart HR"/>
    <s v="293587"/>
    <s v="Lead – HR, Indore"/>
    <s v="Service Center"/>
    <s v="0040060019"/>
    <s v="SC-Indore-Op1-HR-Adm"/>
    <s v="2000SPRJ"/>
    <s v="20057135"/>
    <s v="RAHUL RAJ"/>
    <s v="No"/>
    <s v="ramesh.tiwari@amns.in"/>
    <s v="9575266444"/>
    <s v="1021217"/>
    <s v="Dhruv Vyas"/>
    <s v="Anil Matoo"/>
    <s v="Praveen Kuruvalli"/>
    <s v="Dhruv Vyas"/>
    <n v="0"/>
  </r>
  <r>
    <n v="5531"/>
    <n v="20057782"/>
    <s v="Raja Sahu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"/>
    <s v=""/>
    <s v=""/>
    <s v=""/>
    <s v="Hazira"/>
    <d v="1998-04-20T00:00:00"/>
    <s v="25.05"/>
    <d v="2022-11-14T00:00:00"/>
    <d v="2056-04-30T00:00:00"/>
    <m/>
    <d v="2056-04-30T00:00:00"/>
    <n v="11911"/>
    <s v="B+"/>
    <s v="BTech-2021 , Diploma-2018"/>
    <s v="04.00"/>
    <s v="00.10"/>
    <s v="04.10"/>
    <s v="00053278"/>
    <s v="GRN/Documentation/Issue - Plant A"/>
    <s v="293847"/>
    <s v="Engineer"/>
    <s v="Hazira"/>
    <s v="0031950049"/>
    <s v="HZ-Central Stores"/>
    <s v="2012HAZI"/>
    <s v="20002587"/>
    <s v="Seema Mehta"/>
    <s v="No"/>
    <s v="raja.sahu5@amns.in"/>
    <s v="9909902345"/>
    <s v="26226"/>
    <s v="Dhruv Vyas"/>
    <s v="Anil Matoo"/>
    <s v="Praveen Kuruvalli"/>
    <s v="Dhruv Vyas"/>
    <n v="0"/>
  </r>
  <r>
    <n v="5570"/>
    <n v="20057824"/>
    <s v="Agniva Ray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Accounts Payable"/>
    <m/>
    <s v="Finance &amp; Accounts"/>
    <s v=""/>
    <s v=""/>
    <s v="Non Technical Support"/>
    <s v="Finance &amp; Accounts"/>
    <s v="Corporate Finance"/>
    <s v="73902004"/>
    <s v="Banking Relations"/>
    <s v="Hazira"/>
    <d v="1990-01-18T00:00:00"/>
    <s v="33.08"/>
    <d v="2022-11-25T00:00:00"/>
    <d v="2048-01-31T00:00:00"/>
    <m/>
    <d v="2048-01-31T00:00:00"/>
    <n v="8899"/>
    <s v="A+"/>
    <s v="ICWA Final-2018 , BCom-2008 , Intermedia"/>
    <s v="04.00"/>
    <s v="00.09"/>
    <s v="04.09"/>
    <s v="72150243"/>
    <s v="Accounts Payable"/>
    <s v="294296"/>
    <s v="Officer - Accounts Payable"/>
    <s v="Hazira"/>
    <s v="0031950045"/>
    <s v="HZ-Works Accounts-Ha"/>
    <s v="2000HWO"/>
    <s v="20001076"/>
    <s v="Bhavesh Modi"/>
    <s v="No"/>
    <s v="agniva.ray@amns.in"/>
    <s v="9679035551"/>
    <s v="1024138"/>
    <s v="Dhruv Vyas"/>
    <s v="Anil Matoo"/>
    <s v="Praveen Kuruvalli"/>
    <s v="Dhruv Vyas"/>
    <n v="0"/>
  </r>
  <r>
    <n v="5573"/>
    <n v="20057827"/>
    <s v="Vivek Kumar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– Capex Services"/>
    <m/>
    <s v="Capex Procurement"/>
    <s v=""/>
    <s v=""/>
    <s v="Non Technical Support"/>
    <s v="Operations"/>
    <s v="Operations"/>
    <s v="72103001"/>
    <s v="Operations"/>
    <s v="Hazira"/>
    <d v="1996-12-25T00:00:00"/>
    <s v="26.08"/>
    <d v="2022-11-30T00:00:00"/>
    <d v="2054-12-31T00:00:00"/>
    <m/>
    <d v="2054-12-31T00:00:00"/>
    <n v="11425"/>
    <s v="O+"/>
    <s v="BTech-2018 , Intermediate-2012 , Interme"/>
    <s v="04.05"/>
    <s v="00.09"/>
    <s v="05.02"/>
    <s v="00049342"/>
    <s v="Capex Procurement"/>
    <s v="294609"/>
    <s v="Officer – Capex Services"/>
    <s v="Hazira"/>
    <s v="0031950059"/>
    <s v="HZ-Hazira Project"/>
    <s v="2000HWO"/>
    <s v="20055712"/>
    <s v="Ravi Goyal"/>
    <s v="No"/>
    <s v="vivek.kumar17@amns.in"/>
    <s v="6358926939"/>
    <s v="1024659"/>
    <s v="Dhruv Vyas"/>
    <s v="Anil Matoo"/>
    <s v="Praveen Kuruvalli"/>
    <s v="Dhruv Vyas"/>
    <n v="0"/>
  </r>
  <r>
    <n v="5574"/>
    <n v="20057828"/>
    <s v="Shailesh Rajori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Payable"/>
    <m/>
    <s v="Finance &amp; Accounts"/>
    <s v=""/>
    <s v=""/>
    <s v="Non Technical Support"/>
    <s v="Finance &amp; Accounts"/>
    <s v="Corporate Finance"/>
    <s v="73902004"/>
    <s v="Banking Relations"/>
    <s v="Hazira"/>
    <d v="1977-06-13T00:00:00"/>
    <s v="46.03"/>
    <d v="2022-12-01T00:00:00"/>
    <d v="2035-06-30T00:00:00"/>
    <m/>
    <d v="2035-06-30T00:00:00"/>
    <n v="4301"/>
    <s v="B+"/>
    <s v="CA Final-2006 , BCom-1999 , Intermediate"/>
    <s v="06.04"/>
    <s v="00.09"/>
    <s v="07.01"/>
    <s v="72150243"/>
    <s v="Accounts Payable"/>
    <s v="294611"/>
    <s v="Sr. Lead - Accounts Payable"/>
    <s v="Hazira"/>
    <s v="0031950045"/>
    <s v="HZ-Works Accounts-Ha"/>
    <s v="2000HWO"/>
    <s v="20001076"/>
    <s v="Bhavesh Modi"/>
    <s v="No"/>
    <s v="shailesh.rajoria@amns.in"/>
    <s v="6358926940"/>
    <s v="1024676"/>
    <s v="Dhruv Vyas"/>
    <s v="Anil Matoo"/>
    <s v="Praveen Kuruvalli"/>
    <s v="Dhruv Vyas"/>
    <n v="0"/>
  </r>
  <r>
    <n v="5582"/>
    <n v="20057836"/>
    <s v="George Skaria"/>
    <s v="AM/NS India"/>
    <s v="Onroll"/>
    <s v="M-8"/>
    <n v="8"/>
    <m/>
    <s v="JM"/>
    <s v="M"/>
    <s v="Pune Facility"/>
    <n v="7"/>
    <s v="2069"/>
    <x v="8"/>
    <s v="25.01"/>
    <s v="Bibek Chattopadhyay"/>
    <s v="Ashutosh Telang"/>
    <n v="6"/>
    <s v="HR &amp; Administration"/>
    <s v="Corporate Communications"/>
    <s v="25"/>
    <s v="Lead - Corporate Communication"/>
    <m/>
    <s v="Corporate Communicatiton"/>
    <s v=""/>
    <s v=""/>
    <s v="Non Technical Support"/>
    <s v="Corporate Communication"/>
    <s v="Corporate Communication"/>
    <s v="74001001"/>
    <s v="Corporate Communication"/>
    <s v="Pune"/>
    <d v="1980-06-06T00:00:00"/>
    <s v="43.03"/>
    <d v="2022-12-01T00:00:00"/>
    <d v="2038-06-30T00:00:00"/>
    <m/>
    <d v="2038-06-30T00:00:00"/>
    <n v="5397"/>
    <s v="B+"/>
    <s v="PG Diploma in Management-2004 , BCom-200"/>
    <s v="05.07"/>
    <s v="00.09"/>
    <s v="06.04"/>
    <s v="70318583"/>
    <s v="Communications &amp; Media Relations"/>
    <s v="295108"/>
    <s v="Lead – Corporate Communications"/>
    <s v="Service Center"/>
    <s v="0090000016"/>
    <s v="Corporate Steel - Co"/>
    <s v="2000CS"/>
    <s v="20055187"/>
    <s v="Bibek Chattopadhyay"/>
    <s v="No"/>
    <s v="george.skaria@amns.in"/>
    <s v="9881233076"/>
    <s v="1025408"/>
    <s v="Dhruv Vyas"/>
    <s v="Anil Matoo"/>
    <s v="Praveen Kuruvalli"/>
    <s v="Dhruv Vyas"/>
    <n v="0"/>
  </r>
  <r>
    <n v="5589"/>
    <n v="20057843"/>
    <s v="Ritesh Kumar Singh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3"/>
    <s v="Retail Sales"/>
    <s v="Gurgaon"/>
    <d v="1984-10-09T00:00:00"/>
    <s v="38.11"/>
    <d v="2022-12-12T00:00:00"/>
    <d v="2042-10-31T00:00:00"/>
    <m/>
    <d v="2042-10-31T00:00:00"/>
    <n v="6981"/>
    <s v="B+"/>
    <s v="MBA-2010 , BBA-2006 , Intermediate-2002"/>
    <s v="07.09"/>
    <s v="00.09"/>
    <s v="08.05"/>
    <s v="72150181"/>
    <s v="Sales North Zone"/>
    <s v="70319464"/>
    <s v="Sales Manager"/>
    <s v="Hazira"/>
    <s v="0031950057"/>
    <s v="HZ-HRC - Marketing"/>
    <s v="2000HWO"/>
    <s v="20002920"/>
    <s v="Sudhir Sharma"/>
    <s v="No"/>
    <s v="ritesh.singh5@amns.in"/>
    <s v="9654234238"/>
    <s v="1025980"/>
    <s v="Dhruv Vyas"/>
    <s v="Anil Matoo"/>
    <s v="Praveen Kuruvalli"/>
    <s v="Dhruv Vyas"/>
    <n v="0"/>
  </r>
  <r>
    <n v="5601"/>
    <n v="20057855"/>
    <s v="M Ganesh Charan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 2021"/>
    <m/>
    <s v="South"/>
    <s v="OEM"/>
    <s v=""/>
    <s v="Non Technical Support"/>
    <s v="Sales &amp; Marketing"/>
    <s v="Sales"/>
    <s v="73104004"/>
    <s v="OEM Sales"/>
    <s v="Chennai"/>
    <d v="1992-09-01T00:00:00"/>
    <s v="31.00"/>
    <d v="2022-12-14T00:00:00"/>
    <d v="2050-08-31T00:00:00"/>
    <m/>
    <d v="2050-08-31T00:00:00"/>
    <n v="9842"/>
    <s v="O+"/>
    <s v="MBA-2017 , BE-2013 , Intermediate-2009"/>
    <s v="05.10"/>
    <s v="00.09"/>
    <s v="06.07"/>
    <s v="00052474"/>
    <s v="KAM Automotive Sales - South"/>
    <s v="256051"/>
    <s v="KAM - OEM Sales"/>
    <s v="Hazira"/>
    <s v="0031950057"/>
    <s v="HZ-HRC - Marketing"/>
    <s v="2000HWO"/>
    <s v="20018700"/>
    <s v="Srinivasan Kamalakannan"/>
    <s v="No"/>
    <s v="ganesh.charan@amns.in"/>
    <s v="9626456337"/>
    <s v="1026538"/>
    <s v="Dhruv Vyas"/>
    <s v="Anil Matoo"/>
    <s v="Praveen Kuruvalli"/>
    <s v="Dhruv Vyas"/>
    <n v="0"/>
  </r>
  <r>
    <n v="5620"/>
    <n v="20057875"/>
    <s v="Sanat Kumar Vijay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Plate Sales"/>
    <m/>
    <s v="Plate"/>
    <s v="Plate"/>
    <s v=""/>
    <s v="Non Technical Support"/>
    <s v="Sales &amp; Marketing"/>
    <s v="Sales"/>
    <s v="73104004"/>
    <s v="OEM Sales"/>
    <s v="Mumbai"/>
    <d v="1987-08-22T00:00:00"/>
    <s v="36.00"/>
    <d v="2022-12-22T00:00:00"/>
    <d v="2045-08-31T00:00:00"/>
    <m/>
    <d v="2045-08-31T00:00:00"/>
    <n v="8016"/>
    <s v="B+"/>
    <s v="BE-2010 , Intermediate-2006 , High Schoo"/>
    <s v="11.05"/>
    <s v="00.08"/>
    <s v="12.01"/>
    <s v="70410953"/>
    <s v="Plate Sales - Gujarat"/>
    <s v="70336303"/>
    <s v="Sales Manager - Plate Sales"/>
    <s v="Hazira"/>
    <s v="0080000001"/>
    <s v="Head-Marketing"/>
    <s v="2000HWO"/>
    <s v="20003623"/>
    <s v="Soumyadeep Datta"/>
    <s v="No"/>
    <s v="sanat.vijay@amns.in"/>
    <s v="9770470005"/>
    <s v="1027165"/>
    <s v="Dhruv Vyas"/>
    <s v="Anil Matoo"/>
    <s v="Praveen Kuruvalli"/>
    <s v="Dhruv Vyas"/>
    <n v="0"/>
  </r>
  <r>
    <n v="5628"/>
    <n v="20057885"/>
    <s v="Rupali Waghmare"/>
    <s v="AM/NS India"/>
    <s v="Onroll"/>
    <s v="M-9"/>
    <n v="9"/>
    <m/>
    <s v="JM"/>
    <s v="F"/>
    <s v="Corporate"/>
    <n v="7"/>
    <s v="2060"/>
    <x v="24"/>
    <s v="39.01"/>
    <s v="Sanjay Sharma"/>
    <s v="Sanjay Sharma"/>
    <n v="8"/>
    <s v="Business Development"/>
    <s v="Business Development"/>
    <s v="39"/>
    <s v="Lead Business Development – M&amp;A"/>
    <m/>
    <s v="Business Development"/>
    <s v=""/>
    <s v=""/>
    <s v="Non Technical Support"/>
    <s v="Sales &amp; Marketing"/>
    <s v="Business Development"/>
    <s v="73103001"/>
    <s v="Business Development"/>
    <s v="Mumbai"/>
    <d v="1998-04-21T00:00:00"/>
    <s v="25.05"/>
    <d v="2022-12-26T00:00:00"/>
    <d v="2056-04-30T00:00:00"/>
    <m/>
    <d v="2056-04-30T00:00:00"/>
    <n v="11911"/>
    <s v="O+"/>
    <s v="CA Final-2020"/>
    <s v="01.07"/>
    <s v="00.08"/>
    <s v="02.03"/>
    <s v="00049729"/>
    <s v="Business Development - M&amp;A"/>
    <s v="296496"/>
    <s v="Lead Business Development – M&amp;A"/>
    <s v="Corporate"/>
    <s v="0090000032"/>
    <s v="Business Devpelopmen"/>
    <s v="2000CS"/>
    <s v="20055182"/>
    <s v="Neha Soni"/>
    <s v="No"/>
    <s v="rupali.waghmare@amns.in"/>
    <s v="8421262673"/>
    <s v="1027431"/>
    <s v="Dhruv Vyas"/>
    <s v="Anil Matoo"/>
    <s v="Praveen Kuruvalli"/>
    <s v="Dhruv Vyas"/>
    <n v="0"/>
  </r>
  <r>
    <n v="5629"/>
    <n v="20057886"/>
    <s v="Shakir Bandwala"/>
    <s v="AM/NS India"/>
    <s v="Onroll"/>
    <s v="M-5"/>
    <n v="5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Administration"/>
    <m/>
    <s v="Administration"/>
    <s v=""/>
    <s v=""/>
    <s v="Non Technical Support"/>
    <s v="Administration"/>
    <s v="Administration"/>
    <s v="74101001"/>
    <s v="Administration"/>
    <s v="Hazira"/>
    <d v="1966-08-18T00:00:00"/>
    <s v="57.01"/>
    <d v="2017-09-12T00:00:00"/>
    <d v="2024-08-31T00:00:00"/>
    <m/>
    <d v="2024-08-31T00:00:00"/>
    <n v="346"/>
    <s v="B+"/>
    <s v="Diploma-1986 , Intermediate-1983 , Inter"/>
    <s v="12.00"/>
    <s v="06.00"/>
    <s v="18.00"/>
    <s v="00049719"/>
    <s v="Administration Hazira"/>
    <s v="296420"/>
    <s v="Head-Administration,Hazira"/>
    <s v="Hazira"/>
    <s v="0031950030"/>
    <s v="HZ-Admin"/>
    <s v="2000HWO"/>
    <s v="20000083"/>
    <s v="Anil Matoo"/>
    <s v="No"/>
    <s v="shakir.bandwala@amns.in"/>
    <s v="9879100355"/>
    <s v="26747"/>
    <s v="Manjit Shah"/>
    <s v="Anil Matoo"/>
    <s v="Praveen Kuruvalli"/>
    <s v="Lakshman Iyer"/>
    <n v="0"/>
  </r>
  <r>
    <n v="5630"/>
    <n v="20057887"/>
    <s v="Kiran Vaidya"/>
    <s v="AM/NS India"/>
    <s v="Onroll"/>
    <s v="M-6"/>
    <n v="6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– Admin, Khopoli"/>
    <m/>
    <s v="Administration"/>
    <s v="Administration"/>
    <s v="Hazira"/>
    <s v="Non Technical Support"/>
    <s v="Administration"/>
    <s v="Administration"/>
    <s v="74101001"/>
    <s v="Administration"/>
    <s v="Khopoli"/>
    <d v="1975-03-07T00:00:00"/>
    <s v="48.06"/>
    <d v="2020-08-10T00:00:00"/>
    <d v="2033-03-31T00:00:00"/>
    <m/>
    <d v="2033-03-31T00:00:00"/>
    <n v="3480"/>
    <s v="A+"/>
    <s v="PG Diploma in Management-2007 , BBA-2002"/>
    <s v="12.06"/>
    <s v="03.01"/>
    <s v="15.07"/>
    <s v="73800068"/>
    <s v="Pune HR Operations &amp; Administration"/>
    <s v="296421"/>
    <s v="Head – Admin, Khopoli"/>
    <s v="Hazira"/>
    <s v="0031950030"/>
    <s v="HZ-Admin"/>
    <s v="2000HWO"/>
    <s v="20037245"/>
    <s v="Mukund Jagirdar"/>
    <s v="No"/>
    <s v="kiran.vaidya@amns.in"/>
    <s v="9921180482"/>
    <s v="802093"/>
    <s v="Manjit Shah"/>
    <s v="Anil Matoo"/>
    <s v="Praveen Kuruvalli"/>
    <s v="Lakshman Iyer"/>
    <n v="0"/>
  </r>
  <r>
    <n v="5631"/>
    <n v="20057888"/>
    <s v="Narinder Lamba"/>
    <s v="AM/NS India"/>
    <s v="Onroll"/>
    <s v="M-6"/>
    <n v="6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– Admin, Regional &amp; Corporate"/>
    <m/>
    <s v="Administration"/>
    <s v="Administration"/>
    <s v="Hazira"/>
    <s v="Non Technical Support"/>
    <s v="Administration"/>
    <s v="Administration"/>
    <s v="74101001"/>
    <s v="Administration"/>
    <s v="Hazira"/>
    <d v="1984-07-09T00:00:00"/>
    <s v="39.02"/>
    <d v="2019-11-25T00:00:00"/>
    <d v="2042-07-31T00:00:00"/>
    <m/>
    <d v="2042-07-31T00:00:00"/>
    <n v="6889"/>
    <s v="O+"/>
    <s v="BHMS-2007"/>
    <s v="05.01"/>
    <s v="03.09"/>
    <s v="08.11"/>
    <s v="00049721"/>
    <s v="Regional &amp; Corporate offices"/>
    <s v="296423"/>
    <s v="Sec. Head – Admin, Regional &amp; Corporate"/>
    <s v="Hazira"/>
    <s v="0031950030"/>
    <s v="HZ-Admin"/>
    <s v="2000HWO"/>
    <s v="20057886"/>
    <s v="Shakir Bandwala"/>
    <s v="No"/>
    <s v="narinder.lamba@amns.in"/>
    <s v="9909901133"/>
    <s v="793071"/>
    <s v="Manjit Shah"/>
    <s v="Anil Matoo"/>
    <s v="Praveen Kuruvalli"/>
    <s v="Lakshman Iyer"/>
    <n v="0"/>
  </r>
  <r>
    <n v="5632"/>
    <n v="20057891"/>
    <s v="Bhavik Mehta"/>
    <s v="AM/NS India"/>
    <s v="Onroll"/>
    <s v="M-7"/>
    <n v="7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Senior Lead - Administration"/>
    <m/>
    <s v="Administration"/>
    <s v="Administration"/>
    <s v="Hazira"/>
    <s v="Non Technical Support"/>
    <s v="Administration"/>
    <s v="Administration"/>
    <s v="74101001"/>
    <s v="Administration"/>
    <s v="Hazira"/>
    <d v="1986-10-09T00:00:00"/>
    <s v="36.11"/>
    <d v="2022-10-21T00:00:00"/>
    <d v="2044-10-31T00:00:00"/>
    <m/>
    <d v="2044-10-31T00:00:00"/>
    <n v="7712"/>
    <s v="B+"/>
    <s v="MBA-2016 , PG Diploma-2012 , BBA-2008 ,"/>
    <s v="09.09"/>
    <s v="00.10"/>
    <s v="10.08"/>
    <s v="00049721"/>
    <s v="Regional &amp; Corporate offices"/>
    <s v="296426"/>
    <s v="Senior Lead - Administration"/>
    <s v="Hazira"/>
    <s v="0031950030"/>
    <s v="HZ-Admin"/>
    <s v="2000HWO"/>
    <s v="20057888"/>
    <s v="Narinder Lamba"/>
    <s v="No"/>
    <s v="bhavik.mehta@amns.in"/>
    <s v="6358983766"/>
    <s v="1021717"/>
    <s v="Manjit Shah"/>
    <s v="Anil Matoo"/>
    <s v="Praveen Kuruvalli"/>
    <s v="Lakshman Iyer"/>
    <n v="0"/>
  </r>
  <r>
    <n v="5633"/>
    <n v="20057892"/>
    <s v="Taj Baby"/>
    <s v="AM/NS India"/>
    <s v="Onroll"/>
    <s v="M-7"/>
    <n v="7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Sr. Lead – Admin"/>
    <m/>
    <s v="Administration"/>
    <s v="Administration"/>
    <s v="Hazira"/>
    <s v="Non Technical Support"/>
    <s v="Administration"/>
    <s v="Administration"/>
    <s v="74101001"/>
    <s v="Administration"/>
    <s v="Hazira"/>
    <d v="1985-02-07T00:00:00"/>
    <s v="38.07"/>
    <d v="2022-07-12T00:00:00"/>
    <d v="2043-02-28T00:00:00"/>
    <m/>
    <d v="2043-02-28T00:00:00"/>
    <n v="7101"/>
    <s v="O+"/>
    <s v="BSc-2006 , Intermediate-2002 , Intermedi"/>
    <s v="03.01"/>
    <s v="01.02"/>
    <s v="04.03"/>
    <s v="00049777"/>
    <s v="Plant Administration"/>
    <s v="296424"/>
    <s v="Sr. Lead – Admin"/>
    <s v="Hazira"/>
    <s v="0031950030"/>
    <s v="HZ-Admin"/>
    <s v="2000HWO"/>
    <s v="20057886"/>
    <s v="Shakir Bandwala"/>
    <s v="No"/>
    <s v="taj.baby@amns.in"/>
    <s v="6358869319"/>
    <s v="1009163"/>
    <s v="Manjit Shah"/>
    <s v="Anil Matoo"/>
    <s v="Praveen Kuruvalli"/>
    <s v="Lakshman Iyer"/>
    <n v="0"/>
  </r>
  <r>
    <n v="5636"/>
    <n v="20057895"/>
    <s v="Bhagubhai Patel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ommercials"/>
    <m/>
    <s v="Administration"/>
    <s v="Administration"/>
    <s v="Hazira"/>
    <s v="Non Technical Support"/>
    <s v="Administration"/>
    <s v="Administration"/>
    <s v="74101001"/>
    <s v="Administration"/>
    <s v="Hazira"/>
    <d v="1965-06-01T00:00:00"/>
    <s v="58.03"/>
    <d v="2016-02-01T00:00:00"/>
    <d v="2023-05-31T00:00:00"/>
    <d v="2023-11-30T00:00:00"/>
    <d v="2023-11-30T00:00:00"/>
    <n v="71"/>
    <s v="B+"/>
    <s v="BCom-1988 , Intermediate-1981"/>
    <s v="26.09"/>
    <s v="07.07"/>
    <s v="34.04"/>
    <s v="00049721"/>
    <s v="Regional &amp; Corporate offices"/>
    <s v="296427"/>
    <s v="Lead - Commercials"/>
    <s v="Hazira"/>
    <s v="0031950030"/>
    <s v="HZ-Admin"/>
    <s v="2000HWO"/>
    <s v="20057888"/>
    <s v="Narinder Lamba"/>
    <s v="No"/>
    <s v="bhagubhai.patel@amns.in"/>
    <s v="9879102388"/>
    <s v="26754"/>
    <s v="Manjit Shah"/>
    <s v="Anil Matoo"/>
    <s v="Praveen Kuruvalli"/>
    <s v="Lakshman Iyer"/>
    <n v="0"/>
  </r>
  <r>
    <n v="5637"/>
    <n v="20057896"/>
    <s v="Chandravadan Patel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Transportation"/>
    <m/>
    <s v="Administration"/>
    <s v="Administration"/>
    <s v="Hazira"/>
    <s v="Non Technical Support"/>
    <s v="Administration"/>
    <s v="Administration"/>
    <s v="74101001"/>
    <s v="Administration"/>
    <s v="Hazira"/>
    <d v="1982-02-25T00:00:00"/>
    <s v="41.06"/>
    <d v="2016-02-01T00:00:00"/>
    <d v="2040-02-29T00:00:00"/>
    <m/>
    <d v="2040-02-29T00:00:00"/>
    <n v="6006"/>
    <s v="B+"/>
    <s v="MBA-2002 , Intermediate-1997 , Intermedi"/>
    <s v=""/>
    <s v="07.07"/>
    <s v="07.07"/>
    <s v="00049757"/>
    <s v="Facility Management"/>
    <s v="296428"/>
    <s v="Lead – Transportation"/>
    <s v="Hazira"/>
    <s v="0031950030"/>
    <s v="HZ-Admin"/>
    <s v="2000HWO"/>
    <s v="20059018"/>
    <s v="Sandeep Ray"/>
    <s v="No"/>
    <s v="chandravadan.patel@amns.in"/>
    <s v="9879101949"/>
    <s v="26755"/>
    <s v="Manjit Shah"/>
    <s v="Anil Matoo"/>
    <s v="Praveen Kuruvalli"/>
    <s v="Lakshman Iyer"/>
    <n v="0"/>
  </r>
  <r>
    <n v="5638"/>
    <n v="20057897"/>
    <s v="Mahipal Singh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Plant Admin"/>
    <m/>
    <s v="Administration"/>
    <s v="Administration"/>
    <s v="Hazira"/>
    <s v="Non Technical Support"/>
    <s v="Administration"/>
    <s v="Administration"/>
    <s v="74101001"/>
    <s v="Administration"/>
    <s v="Hazira"/>
    <d v="1969-07-01T00:00:00"/>
    <s v="54.02"/>
    <d v="2016-02-01T00:00:00"/>
    <d v="2027-06-30T00:00:00"/>
    <m/>
    <d v="2027-06-30T00:00:00"/>
    <n v="1379"/>
    <s v="B+"/>
    <s v="MSc-1992 , BSc-1990 , Intermediate-1987"/>
    <s v="06.11"/>
    <s v="07.07"/>
    <s v="14.06"/>
    <s v="00049777"/>
    <s v="Plant Administration"/>
    <s v="296429"/>
    <s v="Lead – Plant Admin"/>
    <s v="Hazira"/>
    <s v="0031950030"/>
    <s v="HZ-Admin"/>
    <s v="2000HWO"/>
    <s v="20057892"/>
    <s v="Taj Baby"/>
    <s v="No"/>
    <s v="mahipal.singh@amns.in"/>
    <s v="9879100736"/>
    <s v="26756"/>
    <s v="Manjit Shah"/>
    <s v="Anil Matoo"/>
    <s v="Praveen Kuruvalli"/>
    <s v="Lakshman Iyer"/>
    <n v="0"/>
  </r>
  <r>
    <n v="5639"/>
    <n v="20057898"/>
    <s v="Prakash Jha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Township"/>
    <m/>
    <s v="Administration"/>
    <s v="Administration"/>
    <s v="Hazira"/>
    <s v="Non Technical Support"/>
    <s v="Administration"/>
    <s v="Administration"/>
    <s v="74101001"/>
    <s v="Administration"/>
    <s v="Hazira"/>
    <d v="1969-10-09T00:00:00"/>
    <s v="53.11"/>
    <d v="2016-02-01T00:00:00"/>
    <d v="2027-10-31T00:00:00"/>
    <m/>
    <d v="2027-10-31T00:00:00"/>
    <n v="1502"/>
    <s v="O+"/>
    <s v="BA-1989"/>
    <s v="07.00"/>
    <s v="07.07"/>
    <s v="14.07"/>
    <s v="00049757"/>
    <s v="Facility Management"/>
    <s v="296430"/>
    <s v="Lead – Township"/>
    <s v="Hazira"/>
    <s v="0031950030"/>
    <s v="HZ-Admin"/>
    <s v="2000HWO"/>
    <s v="20059018"/>
    <s v="Sandeep Ray"/>
    <s v="No"/>
    <s v="prakash.jha@amns.in"/>
    <s v="9879102444"/>
    <s v="26751"/>
    <s v="Manjit Shah"/>
    <s v="Anil Matoo"/>
    <s v="Praveen Kuruvalli"/>
    <s v="Lakshman Iyer"/>
    <n v="0"/>
  </r>
  <r>
    <n v="5640"/>
    <n v="20057899"/>
    <s v="Dharmendrasinh Rathod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Plant Admin"/>
    <m/>
    <s v="Administration"/>
    <s v="Administration"/>
    <s v="Hazira"/>
    <s v="Non Technical Support"/>
    <s v="Administration"/>
    <s v="Administration"/>
    <s v="74101001"/>
    <s v="Administration"/>
    <s v="Hazira"/>
    <d v="1981-05-22T00:00:00"/>
    <s v="42.03"/>
    <d v="2016-02-01T00:00:00"/>
    <d v="2039-05-31T00:00:00"/>
    <m/>
    <d v="2039-05-31T00:00:00"/>
    <n v="5732"/>
    <s v="B+"/>
    <s v="MCom-2006 , BCom-2004 , Intermediate-200"/>
    <s v="15.06"/>
    <s v="07.07"/>
    <s v="23.01"/>
    <s v="00049777"/>
    <s v="Plant Administration"/>
    <s v="296431"/>
    <s v="Lead – Plant Admin"/>
    <s v="Hazira"/>
    <s v="0031950030"/>
    <s v="HZ-Admin"/>
    <s v="2000HWO"/>
    <s v="20057892"/>
    <s v="Taj Baby"/>
    <s v="No"/>
    <s v="dharmendrasinh.rathod@amns.in"/>
    <s v="9879103363"/>
    <s v="26759"/>
    <s v="Manjit Shah"/>
    <s v="Anil Matoo"/>
    <s v="Praveen Kuruvalli"/>
    <s v="Lakshman Iyer"/>
    <n v="0"/>
  </r>
  <r>
    <n v="5641"/>
    <n v="20057900"/>
    <s v="Ananda Reddy Mallireddygari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Plant Admin"/>
    <m/>
    <s v="Administration"/>
    <s v="Administration"/>
    <s v="Hazira"/>
    <s v="Non Technical Support"/>
    <s v="Administration"/>
    <s v="Administration"/>
    <s v="74101001"/>
    <s v="Administration"/>
    <s v="Hazira"/>
    <d v="1987-05-09T00:00:00"/>
    <s v="36.04"/>
    <d v="2021-11-18T00:00:00"/>
    <d v="2045-05-31T00:00:00"/>
    <m/>
    <d v="2045-05-31T00:00:00"/>
    <n v="7924"/>
    <s v="O+"/>
    <s v="BA-2006 , Intermediate-2004 , Intermedia"/>
    <s v="02.05"/>
    <s v="01.10"/>
    <s v="04.03"/>
    <s v="00049777"/>
    <s v="Plant Administration"/>
    <s v="296432"/>
    <s v="Lead – Plant Admin"/>
    <s v="Hazira"/>
    <s v="0031950030"/>
    <s v="HZ-Admin"/>
    <s v="2000HWO"/>
    <s v="20057892"/>
    <s v="Taj Baby"/>
    <s v="No"/>
    <s v="ananda.reddy@amns.in"/>
    <s v="7990166042"/>
    <s v="868382"/>
    <s v="Manjit Shah"/>
    <s v="Anil Matoo"/>
    <s v="Praveen Kuruvalli"/>
    <s v="Lakshman Iyer"/>
    <n v="0"/>
  </r>
  <r>
    <n v="5642"/>
    <n v="20057901"/>
    <s v="Amit Pandit"/>
    <s v="AM/NS India"/>
    <s v="Onroll"/>
    <s v="M-9"/>
    <n v="9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Hospitality"/>
    <m/>
    <s v="Administration"/>
    <s v="Administration"/>
    <s v="Hazira"/>
    <s v="Non Technical Support"/>
    <s v="Administration"/>
    <s v="Administration"/>
    <s v="74101001"/>
    <s v="Administration"/>
    <s v="Hazira"/>
    <d v="1991-03-15T00:00:00"/>
    <s v="32.06"/>
    <d v="2021-11-19T00:00:00"/>
    <d v="2049-03-31T00:00:00"/>
    <m/>
    <d v="2049-03-31T00:00:00"/>
    <n v="9324"/>
    <s v="O+"/>
    <s v="BSc-2015 , Intermediate-2009"/>
    <s v="03.07"/>
    <s v="01.09"/>
    <s v="05.04"/>
    <s v="00049757"/>
    <s v="Facility Management"/>
    <s v="296433"/>
    <s v="Lead – Hospitality"/>
    <s v="Hazira"/>
    <s v="0031950030"/>
    <s v="HZ-Admin"/>
    <s v="2000HWO"/>
    <s v="20059018"/>
    <s v="Sandeep Ray"/>
    <s v="No"/>
    <s v="amit.pandit@amns.in"/>
    <s v="8800981974"/>
    <s v="868383"/>
    <s v="Manjit Shah"/>
    <s v="Anil Matoo"/>
    <s v="Praveen Kuruvalli"/>
    <s v="Lakshman Iyer"/>
    <n v="0"/>
  </r>
  <r>
    <n v="5643"/>
    <n v="20057902"/>
    <s v="Umeshkumar Sharma"/>
    <s v="AM/NS India"/>
    <s v="Onroll"/>
    <s v="M-9"/>
    <n v="9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Horticulture"/>
    <m/>
    <s v="Administration"/>
    <s v="Administration"/>
    <s v="Hazira"/>
    <s v="Non Technical Support"/>
    <s v="Administration"/>
    <s v="Administration"/>
    <s v="74101001"/>
    <s v="Administration"/>
    <s v="Hazira"/>
    <d v="1986-11-18T00:00:00"/>
    <s v="36.10"/>
    <d v="2022-07-25T00:00:00"/>
    <d v="2044-11-30T00:00:00"/>
    <m/>
    <d v="2044-11-30T00:00:00"/>
    <n v="7742"/>
    <s v="O+"/>
    <s v="PG Diploma in Management-2011 , BSc-2008"/>
    <s v="10.07"/>
    <s v="01.01"/>
    <s v="11.09"/>
    <s v="00049757"/>
    <s v="Facility Management"/>
    <s v="296434"/>
    <s v="Lead - Horticulture"/>
    <s v="Hazira"/>
    <s v="0031950030"/>
    <s v="HZ-Admin"/>
    <s v="2000HWO"/>
    <s v="20059018"/>
    <s v="Sandeep Ray"/>
    <s v="No"/>
    <s v="umeshkumar.sharma@amns.in"/>
    <s v="9265998762"/>
    <s v="1009164"/>
    <s v="Manjit Shah"/>
    <s v="Anil Matoo"/>
    <s v="Praveen Kuruvalli"/>
    <s v="Lakshman Iyer"/>
    <n v="0"/>
  </r>
  <r>
    <n v="5644"/>
    <n v="20057903"/>
    <s v="Biswajit Saha"/>
    <s v="AM/NS India"/>
    <s v="Onroll"/>
    <s v="M-10"/>
    <n v="10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ommunications"/>
    <m/>
    <s v="Administration"/>
    <s v="Administration"/>
    <s v="Hazira"/>
    <s v="Non Technical Support"/>
    <s v="Administration"/>
    <s v="Administration"/>
    <s v="74101001"/>
    <s v="Administration"/>
    <s v="Hazira"/>
    <d v="1996-11-17T00:00:00"/>
    <s v="26.10"/>
    <d v="2022-04-16T00:00:00"/>
    <d v="2054-11-30T00:00:00"/>
    <m/>
    <d v="2054-11-30T00:00:00"/>
    <n v="11394"/>
    <s v="A+"/>
    <s v="BSc-2018 , Intermediate-2015 , Intermedi"/>
    <s v="00.11"/>
    <s v="01.05"/>
    <s v="02.04"/>
    <s v="00049757"/>
    <s v="Facility Management"/>
    <s v="296435"/>
    <s v="Lead - Communications"/>
    <s v="Hazira"/>
    <s v="0031950030"/>
    <s v="HZ-Admin"/>
    <s v="2000HWO"/>
    <s v="20059018"/>
    <s v="Sandeep Ray"/>
    <s v="No"/>
    <s v="biswajit.saha@amns.in"/>
    <s v="9903484279"/>
    <s v="891591"/>
    <s v="Manjit Shah"/>
    <s v="Anil Matoo"/>
    <s v="Praveen Kuruvalli"/>
    <s v="Lakshman Iyer"/>
    <n v="0"/>
  </r>
  <r>
    <n v="5658"/>
    <n v="20057920"/>
    <s v="Ghanshyam Gajera"/>
    <s v="AM/NS India"/>
    <s v="Onroll"/>
    <s v="M-8"/>
    <n v="8"/>
    <m/>
    <s v="JM"/>
    <s v="M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Finance &amp; Accounts"/>
    <s v="Insurance &amp; Risk Management"/>
    <s v="73905001"/>
    <s v="Insurance &amp; Risk Managmen"/>
    <s v="Hazira"/>
    <d v="1991-11-25T00:00:00"/>
    <s v="31.09"/>
    <d v="2023-01-02T00:00:00"/>
    <d v="2049-11-30T00:00:00"/>
    <m/>
    <d v="2049-11-30T00:00:00"/>
    <n v="9568"/>
    <s v="B+"/>
    <s v="BCom-2012 , Intermediate-2007"/>
    <s v="04.03"/>
    <s v="00.08"/>
    <s v="05.00"/>
    <s v="00044330"/>
    <s v="Internal Audit - Hazira"/>
    <s v="70432761"/>
    <s v="Lead - Internal Audit"/>
    <s v="Hazira"/>
    <s v="0090000035"/>
    <s v="Internal Audit"/>
    <s v="2000HWO"/>
    <s v="20028777"/>
    <s v="Narendra Dugar"/>
    <s v="No"/>
    <s v="ghanshyam.gajera@amns.in"/>
    <s v="8866214535"/>
    <s v="1027737"/>
    <s v="Dhruv Vyas"/>
    <s v="Anil Matoo"/>
    <s v="Praveen Kuruvalli"/>
    <s v="Dhruv Vyas"/>
    <n v="0"/>
  </r>
  <r>
    <n v="5659"/>
    <n v="20057921"/>
    <s v="Suresh Kumar Murugan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, Chennai"/>
    <m/>
    <s v="South"/>
    <s v="Auto"/>
    <s v=""/>
    <s v="Non Technical Support"/>
    <s v="Sales &amp; Marketing"/>
    <s v="Sales"/>
    <s v="73104004"/>
    <s v="OEM Sales"/>
    <s v="Chennai"/>
    <d v="1995-04-03T00:00:00"/>
    <s v="28.05"/>
    <d v="2023-01-02T00:00:00"/>
    <d v="2053-04-30T00:00:00"/>
    <m/>
    <d v="2053-04-30T00:00:00"/>
    <n v="10815"/>
    <s v="O+"/>
    <s v="BE-2017 , Diploma-2013 , Intermediate-20"/>
    <s v="03.06"/>
    <s v="00.08"/>
    <s v="04.02"/>
    <s v="00052470"/>
    <s v="Automotive Sales - Chennai"/>
    <s v="70495037"/>
    <s v="KAM – Automotive Sales"/>
    <s v="Hazira"/>
    <s v="0031950057"/>
    <s v="HZ-HRC - Marketing"/>
    <s v="2000HWO"/>
    <s v="20053562"/>
    <s v="Shankar Murugan"/>
    <s v="No"/>
    <s v="suresh.kumar35@amns.in"/>
    <s v="8807105635"/>
    <s v="1027742"/>
    <s v="Dhruv Vyas"/>
    <s v="Anil Matoo"/>
    <s v="Praveen Kuruvalli"/>
    <s v="Dhruv Vyas"/>
    <n v="0"/>
  </r>
  <r>
    <n v="5660"/>
    <n v="20057922"/>
    <s v="Venkatraman Balasubramanian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, Chennai"/>
    <m/>
    <s v="South"/>
    <s v="Hypermart"/>
    <s v="Material Planning &amp; Repairs"/>
    <s v="Non Technical Support"/>
    <s v="Sales &amp; Marketing"/>
    <s v="Sales"/>
    <s v="73104004"/>
    <s v="OEM Sales"/>
    <s v="Chennai"/>
    <d v="1993-02-26T00:00:00"/>
    <s v="30.06"/>
    <d v="2023-01-02T00:00:00"/>
    <d v="2051-02-28T00:00:00"/>
    <m/>
    <d v="2051-02-28T00:00:00"/>
    <n v="10023"/>
    <s v="O+"/>
    <s v="BE-2015 , Diploma-2012"/>
    <s v="04.08"/>
    <s v="00.08"/>
    <s v="05.04"/>
    <s v="00048814"/>
    <s v="Sales South Zone – Hypermart"/>
    <s v="70372403"/>
    <s v="Sales Manager - Hypermart"/>
    <s v="Hazira"/>
    <s v="0031950057"/>
    <s v="HZ-HRC - Marketing"/>
    <s v="2000HWO"/>
    <s v="20056279"/>
    <s v="Arun G"/>
    <s v="No"/>
    <s v="venkatraman.b@amns.in"/>
    <s v="9600595027"/>
    <s v="1027812"/>
    <s v="Dhruv Vyas"/>
    <s v="Anil Matoo"/>
    <s v="Praveen Kuruvalli"/>
    <s v="Dhruv Vyas"/>
    <n v="0"/>
  </r>
  <r>
    <n v="5662"/>
    <n v="20057924"/>
    <s v="Jigneshkumar Patel"/>
    <s v="AM/NS India"/>
    <s v="Onroll"/>
    <s v="M-9"/>
    <n v="9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ommercials"/>
    <m/>
    <s v="Administration"/>
    <s v="Administration"/>
    <s v="Hazira"/>
    <s v="Non Technical Support"/>
    <s v="Administration"/>
    <s v="Administration"/>
    <s v="74101001"/>
    <s v="Administration"/>
    <s v="Hazira"/>
    <d v="1985-07-04T00:00:00"/>
    <s v="38.02"/>
    <d v="2022-11-15T00:00:00"/>
    <d v="2043-07-31T00:00:00"/>
    <m/>
    <d v="2043-07-31T00:00:00"/>
    <n v="7254"/>
    <s v="B+"/>
    <s v="MBA-2010 , BCom-2006 , Intermediate-2003"/>
    <s v="10.09"/>
    <s v="00.10"/>
    <s v="11.06"/>
    <s v="00049721"/>
    <s v="Regional &amp; Corporate offices"/>
    <s v="296436"/>
    <s v="Lead - Commercials"/>
    <s v="Hazira"/>
    <s v="0031950030"/>
    <s v="HZ-Admin"/>
    <s v="2000HWO"/>
    <s v="20057888"/>
    <s v="Narinder Lamba"/>
    <s v="No"/>
    <s v="jignesh.patel37@amns.in"/>
    <s v="8238007629"/>
    <s v="1025501"/>
    <s v="Manjit Shah"/>
    <s v="Anil Matoo"/>
    <s v="Praveen Kuruvalli"/>
    <s v="Lakshman Iyer"/>
    <n v="0"/>
  </r>
  <r>
    <n v="5663"/>
    <n v="20057925"/>
    <s v="Stuti Agrawal"/>
    <s v="AM/NS India"/>
    <s v="Onroll"/>
    <s v="M-8"/>
    <n v="8"/>
    <m/>
    <s v="JM"/>
    <s v="F"/>
    <s v="Corporate"/>
    <n v="7"/>
    <s v="2099"/>
    <x v="19"/>
    <s v="02.01"/>
    <s v="Raghavan Aravamudhan"/>
    <s v="Dilip Oommen"/>
    <n v="1"/>
    <s v="CEO Office"/>
    <s v="Business Strategy"/>
    <s v="02"/>
    <s v="Analyst - Business Strategy"/>
    <m/>
    <s v="Business Strategy"/>
    <s v="Business Strategy"/>
    <s v=""/>
    <s v="Non Technical Support"/>
    <s v="Sales &amp; Marketing"/>
    <s v="Business Development"/>
    <s v="73103001"/>
    <s v="Business Development"/>
    <s v="Mumbai"/>
    <d v="1998-11-04T00:00:00"/>
    <s v="24.10"/>
    <d v="2023-01-03T00:00:00"/>
    <d v="2056-11-30T00:00:00"/>
    <m/>
    <d v="2056-11-30T00:00:00"/>
    <n v="12125"/>
    <s v="B+"/>
    <s v="BCom-2019 , CA Final-2020 , Intermediate"/>
    <s v="01.06"/>
    <s v="00.08"/>
    <s v="02.03"/>
    <s v="70494715"/>
    <s v="Business Strategy"/>
    <s v="272449"/>
    <s v="Analyst - Business Strategy"/>
    <s v="Corporate"/>
    <s v="0090000022"/>
    <s v="Business Strategy"/>
    <s v="2000CS"/>
    <s v="20055135"/>
    <s v="Raghavan Aravamudhan"/>
    <s v="No"/>
    <s v="stuti.agrawal@amns.in"/>
    <s v="8770315026"/>
    <s v="1027935"/>
    <s v="Dhruv Vyas"/>
    <s v="Anil Matoo"/>
    <s v="Praveen Kuruvalli"/>
    <s v="Dhruv Vyas"/>
    <n v="0"/>
  </r>
  <r>
    <n v="5665"/>
    <n v="20057927"/>
    <s v="Surbhi Kothari"/>
    <s v="AM/NS India"/>
    <s v="Onroll"/>
    <s v="M-7"/>
    <n v="7"/>
    <m/>
    <s v="MM"/>
    <s v="F"/>
    <s v="Hazira"/>
    <n v="1"/>
    <s v="2013"/>
    <x v="0"/>
    <s v="20.01"/>
    <s v="Akiyo Omori"/>
    <s v="Amit Harlalka"/>
    <n v="5"/>
    <s v="Finance &amp; Accounts"/>
    <s v="Finance &amp; Accounts"/>
    <s v="20"/>
    <s v="Lead – Indirect Tax, Litigation"/>
    <m/>
    <s v="Finance &amp; Accounts"/>
    <s v="In Direct - Taxation"/>
    <s v=""/>
    <s v="Non Technical Support"/>
    <s v=""/>
    <s v=""/>
    <s v=""/>
    <s v=""/>
    <s v="Hazira"/>
    <d v="1993-02-18T00:00:00"/>
    <s v="30.07"/>
    <d v="2023-01-05T00:00:00"/>
    <d v="2051-02-28T00:00:00"/>
    <m/>
    <d v="2051-02-28T00:00:00"/>
    <n v="10023"/>
    <s v="AB+"/>
    <s v="CA Final-2016 , BCom-2014 , Intermediate"/>
    <s v="04.09"/>
    <s v="00.08"/>
    <s v="05.06"/>
    <s v="70282653"/>
    <s v="GST"/>
    <s v="283969"/>
    <s v="Lead – Indirect Tax, Litigation"/>
    <s v="Hazira"/>
    <s v="0090000033"/>
    <s v="Corporate Taxation"/>
    <s v="2000HWO"/>
    <s v="20055962"/>
    <s v="Navin Kewalramani"/>
    <s v="No"/>
    <s v="surbhi.kothari@amns.in"/>
    <s v="9414161312"/>
    <s v="1028055"/>
    <s v="Dhruv Vyas"/>
    <s v="Anil Matoo"/>
    <s v="Praveen Kuruvalli"/>
    <s v="Dhruv Vyas"/>
    <n v="0"/>
  </r>
  <r>
    <n v="5666"/>
    <n v="20057928"/>
    <s v="Manu Kapoor"/>
    <s v="AM/NS India"/>
    <s v="Onroll"/>
    <s v="M-2"/>
    <n v="2"/>
    <m/>
    <s v="TM"/>
    <s v="M"/>
    <s v="Corporate"/>
    <n v="7"/>
    <s v="2039"/>
    <x v="2"/>
    <s v="43.01"/>
    <s v="Manu Kapoor"/>
    <s v="Manu Kapoor"/>
    <n v="10"/>
    <s v="Corporate Affairs"/>
    <s v="Corporate Affairs"/>
    <s v="43"/>
    <s v="Head - Corporate Affairs"/>
    <m/>
    <s v="Corporate Affairs"/>
    <s v=""/>
    <s v=""/>
    <s v="Non Technical Support"/>
    <s v="Corporate Relations"/>
    <s v="Corporate Affairs"/>
    <s v="74501001"/>
    <s v="Corporate Affairs"/>
    <s v="Delhi"/>
    <d v="1963-12-29T00:00:00"/>
    <s v="59.08"/>
    <d v="2023-01-05T00:00:00"/>
    <d v="2023-12-31T00:00:00"/>
    <m/>
    <d v="2023-12-31T00:00:00"/>
    <n v="102"/>
    <s v="B+"/>
    <s v="MPhil-1987"/>
    <s v="10.08"/>
    <s v="00.08"/>
    <s v="11.04"/>
    <s v="70494938"/>
    <s v="Corporate Affairs"/>
    <s v="296988"/>
    <s v="Head Corporate Affairs"/>
    <s v="Confidential Payroll"/>
    <s v="0090000021"/>
    <s v="Corporate Affairs"/>
    <s v="2000CS"/>
    <s v="20055068"/>
    <s v="Dilip Oommen"/>
    <s v="No"/>
    <s v="manu.kapoor@amns.in"/>
    <s v="8826244477"/>
    <s v="1028171"/>
    <s v="Dhruv Vyas"/>
    <s v="Anil Matoo"/>
    <s v="Praveen Kuruvalli"/>
    <s v="Dhruv Vyas"/>
    <n v="0"/>
  </r>
  <r>
    <n v="5670"/>
    <n v="20057933"/>
    <s v="Akiyo Omori"/>
    <s v="AM/NS India"/>
    <s v="PDA"/>
    <s v="PDA"/>
    <n v="2"/>
    <m/>
    <s v="TM"/>
    <s v="F"/>
    <s v="Corporate"/>
    <n v="7"/>
    <s v="2013"/>
    <x v="0"/>
    <s v="20.01"/>
    <s v="Amit Harlalka"/>
    <s v="Amit Harlalka"/>
    <n v="5"/>
    <s v="Finance &amp; Accounts"/>
    <s v="Finance &amp; Accounts"/>
    <s v="20"/>
    <s v="Deputy Director Finance"/>
    <m/>
    <s v=""/>
    <s v=""/>
    <s v=""/>
    <s v="Non Technical Support"/>
    <s v=""/>
    <s v=""/>
    <s v="70494642"/>
    <s v="Deputy Director"/>
    <s v="Mumbai"/>
    <d v="1981-12-03T00:00:00"/>
    <s v="41.09"/>
    <d v="2023-01-01T00:00:00"/>
    <d v="2039-12-31T00:00:00"/>
    <m/>
    <d v="2039-12-31T00:00:00"/>
    <n v="5946"/>
    <s v=""/>
    <s v=""/>
    <s v=""/>
    <s v="00.08"/>
    <s v="00.08"/>
    <s v="70494654"/>
    <s v="Finance"/>
    <s v="70494648"/>
    <s v="Deputy Director Finance"/>
    <s v="Non-payroll-relevant"/>
    <s v="0090000013"/>
    <s v="Director-Fin-India"/>
    <s v="2000CS"/>
    <s v="20055088"/>
    <s v="Amit Harlalka"/>
    <s v="No"/>
    <s v="akiyo.omori@amns.in"/>
    <s v="8433957551"/>
    <s v="1028248"/>
    <s v="Dhruv Vyas"/>
    <s v="Anil Matoo"/>
    <s v="Praveen Kuruvalli"/>
    <s v="Dhruv Vyas"/>
    <n v="0"/>
  </r>
  <r>
    <n v="5677"/>
    <n v="20057941"/>
    <s v="Kruti Shah"/>
    <s v="AM/NS India"/>
    <s v="Onroll"/>
    <s v="M-9"/>
    <n v="9"/>
    <m/>
    <s v="JM"/>
    <s v="F"/>
    <s v="Hazira"/>
    <n v="1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2"/>
    <s v="Human Resources Operation"/>
    <s v="Hazira"/>
    <d v="1992-08-24T00:00:00"/>
    <s v="31.00"/>
    <d v="2023-01-09T00:00:00"/>
    <d v="2050-08-31T00:00:00"/>
    <m/>
    <d v="2050-08-31T00:00:00"/>
    <n v="9842"/>
    <s v="B+"/>
    <s v="MHRM-2016 , BBA-2014 , Intermediate-2010"/>
    <s v="06.07"/>
    <s v="00.08"/>
    <s v="07.03"/>
    <s v="00050209"/>
    <s v="Human Resources"/>
    <s v="297052"/>
    <s v="Lead - Human Resources"/>
    <s v="Hazira"/>
    <s v="0031950061"/>
    <s v="HZ-Human Resource"/>
    <s v="2000HWO"/>
    <s v="20039780"/>
    <s v="Srikanya Thakur"/>
    <s v="No"/>
    <s v="kruti.shah@amns.in"/>
    <s v="7486035466"/>
    <s v="1028345"/>
    <s v="Dhruv Vyas"/>
    <s v="Anil Matoo"/>
    <s v="Praveen Kuruvalli"/>
    <s v="Dhruv Vyas"/>
    <n v="0"/>
  </r>
  <r>
    <n v="5681"/>
    <n v="20057945"/>
    <s v="Ramakrishnan Govinthasamy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s v="Head-Technical Mktg. &amp; Application Engg."/>
    <s v="Non Technical Support"/>
    <s v="Sales &amp; Marketing"/>
    <s v="Marketing"/>
    <s v="73102001"/>
    <s v="Marketing"/>
    <s v="Hazira"/>
    <d v="1992-05-27T00:00:00"/>
    <s v="31.03"/>
    <d v="2023-01-09T00:00:00"/>
    <d v="2050-05-31T00:00:00"/>
    <m/>
    <d v="2050-05-31T00:00:00"/>
    <n v="9750"/>
    <s v="B+"/>
    <s v="Intermediate-2009"/>
    <s v="04.05"/>
    <s v="00.08"/>
    <s v="05.01"/>
    <s v="00052460"/>
    <s v="Auto &amp; YG"/>
    <s v="297165"/>
    <s v="Resident Engineer"/>
    <s v="Hazira"/>
    <s v="0031950057"/>
    <s v="HZ-HRC - Marketing"/>
    <s v="2000HWO"/>
    <s v="20056155"/>
    <s v="Kondapalli Venkateswarlu"/>
    <s v="No"/>
    <s v="ramakrishnan.m@amns.in"/>
    <s v="9901352718"/>
    <s v="1028485"/>
    <s v="Dhruv Vyas"/>
    <s v="Anil Matoo"/>
    <s v="Praveen Kuruvalli"/>
    <s v="Dhruv Vyas"/>
    <n v="0"/>
  </r>
  <r>
    <n v="5682"/>
    <n v="20057946"/>
    <s v="Suraj Pachorkar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OEM - Other West"/>
    <m/>
    <s v="Other West"/>
    <s v="OEM"/>
    <s v=""/>
    <s v="Non Technical Support"/>
    <s v="R&amp; D and QA/QC"/>
    <s v="R&amp;D"/>
    <s v="72103029"/>
    <s v="R&amp;D"/>
    <s v="Hazira"/>
    <d v="1994-07-01T00:00:00"/>
    <s v="29.02"/>
    <d v="2023-01-09T00:00:00"/>
    <d v="2052-06-30T00:00:00"/>
    <m/>
    <d v="2052-06-30T00:00:00"/>
    <n v="10511"/>
    <s v="O+"/>
    <s v="MBA-2019"/>
    <s v="03.06"/>
    <s v="00.08"/>
    <s v="04.01"/>
    <s v="70495309"/>
    <s v="Sales West Zone"/>
    <s v="256057"/>
    <s v="KAM - Automotive Sales"/>
    <s v="Hazira"/>
    <s v="0031950057"/>
    <s v="HZ-HRC - Marketing"/>
    <s v="2000HWO"/>
    <s v="20047683"/>
    <s v="Virat Vij"/>
    <s v="No"/>
    <s v="suraj.pachorkar@amns.in"/>
    <s v="9637307294"/>
    <s v="1028498"/>
    <s v="Dhruv Vyas"/>
    <s v="Anil Matoo"/>
    <s v="Praveen Kuruvalli"/>
    <s v="Dhruv Vyas"/>
    <n v="0"/>
  </r>
  <r>
    <n v="5684"/>
    <n v="20057948"/>
    <s v="Akshit Oswal"/>
    <s v="AM/NS India"/>
    <s v="Onroll"/>
    <s v="M-9"/>
    <n v="9"/>
    <m/>
    <s v="JM"/>
    <s v="M"/>
    <s v="Corporate"/>
    <n v="7"/>
    <s v="2060"/>
    <x v="24"/>
    <s v="39.01"/>
    <s v="Sanjay Sharma"/>
    <s v="Sanjay Sharma"/>
    <n v="8"/>
    <s v="Business Development"/>
    <s v="Business Development"/>
    <s v="39"/>
    <s v="Lead Business Development – M&amp;A"/>
    <m/>
    <s v="Business Development"/>
    <s v=""/>
    <s v=""/>
    <s v="Non Technical Support"/>
    <s v="Sales &amp; Marketing"/>
    <s v="Business Development"/>
    <s v="73103001"/>
    <s v="Business Development"/>
    <s v="Mumbai"/>
    <d v="1999-09-27T00:00:00"/>
    <s v="23.11"/>
    <d v="2023-01-11T00:00:00"/>
    <d v="2057-09-30T00:00:00"/>
    <m/>
    <d v="2057-09-30T00:00:00"/>
    <n v="12429"/>
    <s v="B+"/>
    <s v="CA Final-2021 , Intermediate-2017"/>
    <s v="01.02"/>
    <s v="00.08"/>
    <s v="01.10"/>
    <s v="00050003"/>
    <s v="Business Development - M&amp;A"/>
    <s v="297438"/>
    <s v="Lead Business Development – M&amp;A"/>
    <s v="Corporate"/>
    <s v="0090000032"/>
    <s v="Business Devpelopmen"/>
    <s v="2000CS"/>
    <s v="20055804"/>
    <s v="Ankushkumar Shah"/>
    <s v="No"/>
    <s v="akshit.oswal@amns.in"/>
    <s v="9689043909"/>
    <s v="1028835"/>
    <s v="Dhruv Vyas"/>
    <s v="Anil Matoo"/>
    <s v="Praveen Kuruvalli"/>
    <s v="Dhruv Vyas"/>
    <n v="0"/>
  </r>
  <r>
    <n v="5696"/>
    <n v="20057961"/>
    <s v="Udaibir Singh"/>
    <s v="AM/NS India"/>
    <s v="Onroll"/>
    <s v="M-6"/>
    <n v="6"/>
    <m/>
    <s v="MM"/>
    <s v="M"/>
    <s v="Corporate"/>
    <n v="7"/>
    <s v="2096"/>
    <x v="14"/>
    <s v="36.02"/>
    <s v="Hrishikesh Kamat"/>
    <s v="Hrishikesh Kamat"/>
    <n v="7"/>
    <s v="Procurement"/>
    <s v="Raw Materials"/>
    <s v="36"/>
    <s v="Lead – Power Procurement"/>
    <m/>
    <s v="Procurement"/>
    <s v="Power &amp; Gas"/>
    <s v="Power &amp; Gas"/>
    <s v="Tech. Support Services"/>
    <s v="Commercial"/>
    <s v="Procurement"/>
    <s v="73803001"/>
    <s v="Procurement"/>
    <s v="Mumbai"/>
    <d v="1987-01-15T00:00:00"/>
    <s v="36.08"/>
    <d v="2023-01-16T00:00:00"/>
    <d v="2045-01-31T00:00:00"/>
    <m/>
    <d v="2045-01-31T00:00:00"/>
    <n v="7804"/>
    <s v="AB+"/>
    <s v="MSc-2014 , BTech-2009 , Intermediate-200"/>
    <s v="13.06"/>
    <s v="00.08"/>
    <s v="14.02"/>
    <s v="00049516"/>
    <s v="Power &amp; Gas"/>
    <s v="298089"/>
    <s v="Lead – Power Procurement"/>
    <s v="Corporate"/>
    <s v="0031950048"/>
    <s v=""/>
    <s v="2000CS"/>
    <s v="20004612"/>
    <s v="Ramesh Chabhadiya"/>
    <s v="No"/>
    <s v="udaibir.singh@amns.in"/>
    <s v="9987513900"/>
    <s v="1029952"/>
    <s v="Dhruv Vyas"/>
    <s v="Anil Matoo"/>
    <s v="Praveen Kuruvalli"/>
    <s v="Dhruv Vyas"/>
    <n v="0"/>
  </r>
  <r>
    <n v="5700"/>
    <n v="20057965"/>
    <s v="Devarshi Naik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anteen Administration"/>
    <m/>
    <s v="Administration"/>
    <s v=""/>
    <s v=""/>
    <s v="Non Technical Support"/>
    <s v="Administration"/>
    <s v="Administration"/>
    <s v="74101001"/>
    <s v="Administration"/>
    <s v="Hazira"/>
    <d v="1989-03-08T00:00:00"/>
    <s v="34.06"/>
    <d v="2023-01-23T00:00:00"/>
    <d v="2047-03-31T00:00:00"/>
    <m/>
    <d v="2047-03-31T00:00:00"/>
    <n v="8593"/>
    <s v="A+"/>
    <s v="BBA-2010 , Intermediate-2006 , Intermedi"/>
    <s v="02.00"/>
    <s v="00.07"/>
    <s v="02.07"/>
    <s v="00049777"/>
    <s v="Plant Administration"/>
    <s v="298229"/>
    <s v="Lead - Canteen Administration"/>
    <s v="Hazira"/>
    <s v="0090000018"/>
    <s v=""/>
    <s v="2000HWO"/>
    <s v="20057892"/>
    <s v="Taj Baby"/>
    <s v="No"/>
    <s v="devarshi.naik@amns.in"/>
    <s v="8469791912"/>
    <s v="1030194"/>
    <s v="Manjit Shah"/>
    <s v="Anil Matoo"/>
    <s v="Praveen Kuruvalli"/>
    <s v="Lakshman Iyer"/>
    <n v="0"/>
  </r>
  <r>
    <n v="5702"/>
    <n v="20057967"/>
    <s v="Anoop Cherian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– OEM Sales"/>
    <m/>
    <s v="South"/>
    <s v="Auto"/>
    <s v="RHTOB &amp; Ladle Managementc"/>
    <s v="Non Technical Support"/>
    <s v="Sales &amp; Marketing"/>
    <s v="Sales"/>
    <s v="73104004"/>
    <s v="OEM Sales"/>
    <s v="Chennai"/>
    <d v="1984-09-05T00:00:00"/>
    <s v="39.00"/>
    <d v="2023-01-23T00:00:00"/>
    <d v="2042-09-30T00:00:00"/>
    <m/>
    <d v="2042-09-30T00:00:00"/>
    <n v="6950"/>
    <s v="AB+"/>
    <s v="BTech-2006 , Intermediate-2000"/>
    <s v="13.05"/>
    <s v="00.07"/>
    <s v="14.01"/>
    <s v="00052468"/>
    <s v="Automotive Sales - Chennai"/>
    <s v="298232"/>
    <s v="KAM – Automotive Sales"/>
    <s v="Service Center"/>
    <s v="0031950057"/>
    <s v=""/>
    <s v="2000CS"/>
    <s v="20047658"/>
    <s v="Balamurugan Gurusamy"/>
    <s v="No"/>
    <s v="anoop.cherian@amns.in"/>
    <s v="9790861571"/>
    <s v="1030230"/>
    <s v="Dhruv Vyas"/>
    <s v="Anil Matoo"/>
    <s v="Praveen Kuruvalli"/>
    <s v="Dhruv Vyas"/>
    <n v="0"/>
  </r>
  <r>
    <n v="5711"/>
    <n v="20057977"/>
    <s v="Utkarsh Garhwal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– Coated Products"/>
    <m/>
    <s v="Sales Steering &amp; BD"/>
    <s v="Coated Marketing"/>
    <s v="National Sales"/>
    <s v="Non Technical Support"/>
    <s v="Sales &amp; Marketing"/>
    <s v="Sales &amp; Marketing"/>
    <s v="73101001"/>
    <s v="Sales &amp; Marketing"/>
    <s v="Pune"/>
    <d v="1992-12-24T00:00:00"/>
    <s v="30.08"/>
    <d v="2023-01-30T00:00:00"/>
    <d v="2050-12-31T00:00:00"/>
    <m/>
    <d v="2050-12-31T00:00:00"/>
    <n v="9964"/>
    <s v="O+"/>
    <s v="Intermediate-2015 , Intermediate-2010 ,"/>
    <s v="01.02"/>
    <s v="00.07"/>
    <s v="01.09"/>
    <s v="70492562"/>
    <s v="Domestic Sales"/>
    <s v="273359"/>
    <s v="Lead – Coated Marketing"/>
    <s v="Hazira"/>
    <s v="0080000001"/>
    <s v=""/>
    <s v="2000HWO"/>
    <s v="20036409"/>
    <s v="Ranjith Nambiar"/>
    <s v="No"/>
    <s v="utkarsh.garhwal@amns.in"/>
    <s v="8999703677"/>
    <s v="1032433"/>
    <s v="Dhruv Vyas"/>
    <s v="Anil Matoo"/>
    <s v="Praveen Kuruvalli"/>
    <s v="Dhruv Vyas"/>
    <n v="0"/>
  </r>
  <r>
    <n v="5720"/>
    <n v="20057987"/>
    <s v="Ravi Kumar Gupta"/>
    <s v="AM/NS India"/>
    <s v="Onroll"/>
    <s v="M-8"/>
    <n v="8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Officer – Accounts Payable"/>
    <m/>
    <s v="Finance &amp; Accounts"/>
    <s v="Accounts Payable"/>
    <s v="Export, Domestic &amp; Banking"/>
    <s v="Non Technical Support"/>
    <s v=""/>
    <s v=""/>
    <s v=""/>
    <s v=""/>
    <s v="Paradeep"/>
    <d v="1984-03-19T00:00:00"/>
    <s v="39.06"/>
    <d v="2023-02-13T00:00:00"/>
    <d v="2042-03-31T00:00:00"/>
    <m/>
    <d v="2042-03-31T00:00:00"/>
    <n v="6767"/>
    <s v="B+"/>
    <s v="MBA-2008 , BCom-2006 , Intermediate-2001"/>
    <s v="14.05"/>
    <s v="00.07"/>
    <s v="15.00"/>
    <s v="72150243"/>
    <s v="Accounts Payable"/>
    <s v="70494028"/>
    <s v="Officer – Accounts Payable"/>
    <s v="Odisha"/>
    <s v="0031950045"/>
    <s v=""/>
    <s v="2000STORIS"/>
    <s v="20001076"/>
    <s v="Bhavesh Modi"/>
    <s v="No"/>
    <s v="ravi.gupta@amns.in"/>
    <s v="7077770046"/>
    <s v="1033376"/>
    <s v="Sunila Das"/>
    <s v="Anil Matoo"/>
    <s v="Praveen Kuruvalli"/>
    <s v="Sunila Das"/>
    <n v="0"/>
  </r>
  <r>
    <n v="5723"/>
    <n v="20057990"/>
    <s v="Pankajakshi Harinaidu"/>
    <s v="AM/NS India"/>
    <s v="Onroll"/>
    <s v="M-8"/>
    <n v="8"/>
    <m/>
    <s v="JM"/>
    <s v="F"/>
    <s v="Service Centers"/>
    <n v="6"/>
    <s v="2015"/>
    <x v="1"/>
    <s v="22.06"/>
    <s v="Praveen Kuruvalli"/>
    <s v="Ashutosh Telang"/>
    <n v="6"/>
    <s v="HR &amp; Administration"/>
    <s v="Human Resources"/>
    <s v="22"/>
    <s v="Lead - Human Resources"/>
    <m/>
    <s v="Human Resources"/>
    <s v=""/>
    <s v=""/>
    <s v="Non Technical Support"/>
    <s v=""/>
    <s v=""/>
    <s v=""/>
    <s v=""/>
    <s v="Chennai"/>
    <d v="1974-03-27T00:00:00"/>
    <s v="49.05"/>
    <d v="2023-02-03T00:00:00"/>
    <d v="2032-03-31T00:00:00"/>
    <m/>
    <d v="2032-03-31T00:00:00"/>
    <n v="3115"/>
    <s v="B+"/>
    <s v="MBA-1996"/>
    <s v="01.06"/>
    <s v="00.07"/>
    <s v="02.01"/>
    <s v="00044376"/>
    <s v="Service Center &amp; Hypermart HR"/>
    <s v="259468"/>
    <s v="Lead - Human Resources"/>
    <s v="Service Center"/>
    <s v="0040030019"/>
    <s v="SC-Chennai-Op1-HR-Ad"/>
    <s v="2000SPRJ"/>
    <s v="20057135"/>
    <s v="RAHUL RAJ"/>
    <s v="No"/>
    <s v="pankajakshi.h@amns.in"/>
    <s v="8925821529"/>
    <s v="1033636"/>
    <s v="Dhruv Vyas"/>
    <s v="Anil Matoo"/>
    <s v="Praveen Kuruvalli"/>
    <s v="Dhruv Vyas"/>
    <n v="0"/>
  </r>
  <r>
    <n v="5725"/>
    <n v="20057992"/>
    <s v="Tanmay Deshpande"/>
    <s v="AM/NS India"/>
    <s v="Onroll"/>
    <s v="M-7"/>
    <n v="7"/>
    <m/>
    <s v="MM"/>
    <s v="M"/>
    <s v="Corporate"/>
    <n v="7"/>
    <s v="2060"/>
    <x v="24"/>
    <s v="39.01"/>
    <s v="Sanjay Sharma"/>
    <s v="Sanjay Sharma"/>
    <n v="8"/>
    <s v="Business Development"/>
    <s v="Business Development"/>
    <s v="39"/>
    <s v="Lead Business Development – M&amp;A"/>
    <m/>
    <s v="Business Development"/>
    <s v=""/>
    <s v=""/>
    <s v="Non Technical Support"/>
    <s v="Sales &amp; Marketing"/>
    <s v="Business Development"/>
    <s v="73103001"/>
    <s v="Business Development"/>
    <s v="Mumbai"/>
    <d v="1992-04-14T00:00:00"/>
    <s v="31.05"/>
    <d v="2023-02-15T00:00:00"/>
    <d v="2050-04-30T00:00:00"/>
    <m/>
    <d v="2050-04-30T00:00:00"/>
    <n v="9719"/>
    <s v="O+"/>
    <s v="PG Diploma-2018 , BTech-2015"/>
    <s v="04.08"/>
    <s v="00.07"/>
    <s v="05.03"/>
    <s v="00049729"/>
    <s v="Business Development - M&amp;A"/>
    <s v="300479"/>
    <s v="Lead Business Development – M&amp;A"/>
    <s v="Corporate"/>
    <s v="0090000032"/>
    <s v=""/>
    <s v="2000CS"/>
    <s v="20055182"/>
    <s v="Neha Soni"/>
    <s v="No"/>
    <s v="tanmay.deshpande@amns.in"/>
    <s v="8097520307"/>
    <s v="1033967"/>
    <s v="Dhruv Vyas"/>
    <s v="Anil Matoo"/>
    <s v="Praveen Kuruvalli"/>
    <s v="Dhruv Vyas"/>
    <n v="0"/>
  </r>
  <r>
    <n v="5731"/>
    <n v="20057999"/>
    <s v="Aarti Tejnani"/>
    <s v="AM/NS India"/>
    <s v="Onroll"/>
    <s v="M-9"/>
    <n v="9"/>
    <m/>
    <s v="JM"/>
    <s v="F"/>
    <s v="Corporate"/>
    <n v="7"/>
    <s v="2015"/>
    <x v="1"/>
    <s v="22.06"/>
    <s v="Anil Matoo"/>
    <s v="Ashutosh Telang"/>
    <n v="6"/>
    <s v="HR &amp; Administration"/>
    <s v="Human Resources"/>
    <s v="22"/>
    <s v="Executive Assistant"/>
    <m/>
    <s v="Human Resources"/>
    <s v=""/>
    <s v=""/>
    <s v="Non Technical Support"/>
    <s v="Human Resources Management"/>
    <s v="Human Resources Management"/>
    <s v="73501001"/>
    <s v="Human Resources"/>
    <s v="Mumbai"/>
    <d v="1988-11-22T00:00:00"/>
    <s v="34.09"/>
    <d v="2023-02-20T00:00:00"/>
    <d v="2046-11-30T00:00:00"/>
    <m/>
    <d v="2046-11-30T00:00:00"/>
    <n v="8472"/>
    <s v="O-"/>
    <s v="MBA-2019"/>
    <s v="01.04"/>
    <s v="00.06"/>
    <s v="01.11"/>
    <s v="00049042"/>
    <s v="HR &amp; Administration"/>
    <s v="300715"/>
    <s v="Executive Assistant"/>
    <s v="Corporate"/>
    <s v="0090000018"/>
    <s v=""/>
    <s v="2000CS"/>
    <s v="20057637"/>
    <s v="Ashutosh Telang"/>
    <s v="No"/>
    <s v="aarti.tejnani@amns.in"/>
    <s v="9004659639"/>
    <s v="1034349"/>
    <s v="Dhruv Vyas"/>
    <s v="Anil Matoo"/>
    <s v="Praveen Kuruvalli"/>
    <s v="Dhruv Vyas"/>
    <n v="0"/>
  </r>
  <r>
    <n v="5735"/>
    <n v="20058004"/>
    <s v="Kiran Kumar Athri Dattu Akondi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Sec Incharge - Procurement- Pellet Plant"/>
    <m/>
    <s v="Procurement"/>
    <s v="Purchase"/>
    <s v="Purchase"/>
    <s v="Non Technical Support"/>
    <s v=""/>
    <s v=""/>
    <s v=""/>
    <s v=""/>
    <s v="Vizag"/>
    <d v="1992-11-19T00:00:00"/>
    <s v="30.09"/>
    <d v="2023-03-04T00:00:00"/>
    <d v="2050-11-30T00:00:00"/>
    <m/>
    <d v="2050-11-30T00:00:00"/>
    <n v="9933"/>
    <s v="B+"/>
    <s v="Diploma-2011 , Intermediate-2008"/>
    <s v="11.07"/>
    <s v="00.06"/>
    <s v="12.01"/>
    <s v="70301353"/>
    <s v="Procurement - Vizag &amp; Chitrakonda"/>
    <s v="302201"/>
    <s v="Sec Incharge - Procurement- Pellet Plant"/>
    <s v="Vizag"/>
    <s v="0028020011"/>
    <s v=""/>
    <s v="2000VIZOPS"/>
    <s v="20000200"/>
    <s v="A Venkateswara Rao"/>
    <s v="No"/>
    <s v="kiran.akondi@amns.in"/>
    <s v="7207778393"/>
    <s v="1035963"/>
    <s v="DS Varma"/>
    <s v="Anil Matoo"/>
    <s v="Praveen Kuruvalli"/>
    <s v="Dhruv Vyas"/>
    <n v="0"/>
  </r>
  <r>
    <n v="5746"/>
    <n v="20058016"/>
    <s v="Krutikkumar Patel"/>
    <s v="AM/NS India"/>
    <s v="Onroll"/>
    <s v="M-7"/>
    <n v="7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SMP 1 &amp; 2, HSM, CSP, HBI, MH"/>
    <s v="Non Technical Support"/>
    <s v=""/>
    <s v=""/>
    <s v=""/>
    <s v=""/>
    <s v="Hazira"/>
    <d v="1991-09-04T00:00:00"/>
    <s v="32.00"/>
    <d v="2023-03-10T00:00:00"/>
    <d v="2049-09-30T00:00:00"/>
    <m/>
    <d v="2049-09-30T00:00:00"/>
    <n v="9507"/>
    <s v="O-"/>
    <s v="BE-2013 , Intermediate-2009 , Intermedia"/>
    <s v="09.08"/>
    <s v="00.06"/>
    <s v="10.01"/>
    <s v="70495670"/>
    <s v="Contracts"/>
    <s v="70259236"/>
    <s v="Lead - Contracts"/>
    <s v="Hazira"/>
    <s v="0031950047"/>
    <s v="HZ-Contracts"/>
    <s v="2000HWO"/>
    <s v="20000795"/>
    <s v="Pankaj Chaturvedi"/>
    <s v="No"/>
    <s v="krutik.patel@amns.in"/>
    <s v="7043217731"/>
    <s v="1036992"/>
    <s v="Dhruv Vyas"/>
    <s v="Anil Matoo"/>
    <s v="Praveen Kuruvalli"/>
    <s v="Dhruv Vyas"/>
    <n v="0"/>
  </r>
  <r>
    <n v="5747"/>
    <n v="20058017"/>
    <s v="Ajaykumar Mishra"/>
    <s v="AM/NS India"/>
    <s v="Onroll"/>
    <s v="M-9"/>
    <n v="9"/>
    <m/>
    <s v="JM"/>
    <s v="M"/>
    <s v="Odisha"/>
    <n v="2"/>
    <s v="2031"/>
    <x v="10"/>
    <s v="14.01"/>
    <s v="Ranjan Dhar"/>
    <s v="Alain Legrix De La Salle"/>
    <n v="3"/>
    <s v="Sales &amp; Marketing"/>
    <s v="Sales &amp; Marketing"/>
    <s v="14"/>
    <s v="Lead - Iron Ore Sales, Barbil"/>
    <m/>
    <s v="Iron Ore &amp; Infra"/>
    <s v="Iron Ore &amp; Infra"/>
    <s v="Power &amp; Gas"/>
    <s v="Non Technical Support"/>
    <s v="Commercial"/>
    <s v="Procurement"/>
    <s v="73803001"/>
    <s v="Procurement"/>
    <s v="Bhubaneswar"/>
    <d v="1995-07-03T00:00:00"/>
    <s v="28.02"/>
    <d v="2023-03-13T00:00:00"/>
    <d v="2053-07-31T00:00:00"/>
    <m/>
    <d v="2053-07-31T00:00:00"/>
    <n v="10907"/>
    <s v="B+"/>
    <s v="BCom-2019 , Intermediate-2014 , Intermed"/>
    <s v="05.05"/>
    <s v="00.06"/>
    <s v="05.11"/>
    <s v="00044347"/>
    <s v="Sales - Iron Ore"/>
    <s v="300889"/>
    <s v="Lead - Iron Ore Sales, Barbil"/>
    <s v="Odisha"/>
    <s v="0031950048"/>
    <s v=""/>
    <s v="2000STORIS"/>
    <s v="20003630"/>
    <s v="Mukul Manchanda"/>
    <s v="No"/>
    <s v="ajay.mishra1@amns.in"/>
    <s v="8329157473"/>
    <s v="1037018"/>
    <s v="Sunila Das"/>
    <s v="Anil Matoo"/>
    <s v="Praveen Kuruvalli"/>
    <s v="Sunila Das"/>
    <n v="0"/>
  </r>
  <r>
    <n v="5749"/>
    <n v="20058019"/>
    <s v="Tanmaya Mishra"/>
    <s v="AM/NS India"/>
    <s v="Onroll"/>
    <s v="M-7"/>
    <n v="7"/>
    <m/>
    <s v="MM"/>
    <s v="M"/>
    <s v="Odisha"/>
    <n v="2"/>
    <s v="2031"/>
    <x v="10"/>
    <s v="14.01"/>
    <s v="Ranjan Dhar"/>
    <s v="Alain Legrix De La Salle"/>
    <n v="3"/>
    <s v="Sales &amp; Marketing"/>
    <s v="Sales &amp; Marketing"/>
    <s v="14"/>
    <s v="Lead - Iron Ore Sales"/>
    <m/>
    <s v="Iron Ore &amp; Infra"/>
    <s v="Iron Ore &amp; Infra"/>
    <s v="Power &amp; Gas"/>
    <s v="Non Technical Support"/>
    <s v="Commercial"/>
    <s v="Procurement"/>
    <s v="73803001"/>
    <s v="Procurement"/>
    <s v="Bhubaneswar"/>
    <d v="1985-06-06T00:00:00"/>
    <s v="38.03"/>
    <d v="2023-03-15T00:00:00"/>
    <d v="2043-06-30T00:00:00"/>
    <m/>
    <d v="2043-06-30T00:00:00"/>
    <n v="7223"/>
    <s v="B+"/>
    <s v="MBA-2016 , PG Diploma-2008 , BSc-2006 ,"/>
    <s v="14.07"/>
    <s v="00.06"/>
    <s v="15.01"/>
    <s v="00044347"/>
    <s v="Sales - Iron Ore"/>
    <s v="300890"/>
    <s v="Lead - Iron Ore Sales"/>
    <s v="Odisha"/>
    <s v="0031950048"/>
    <s v=""/>
    <s v="2000STORIS"/>
    <s v="20003630"/>
    <s v="Mukul Manchanda"/>
    <s v="No"/>
    <s v="tanmaya.mishra@amns.in"/>
    <s v="7077770059"/>
    <s v="1040275"/>
    <s v="Sunila Das"/>
    <s v="Anil Matoo"/>
    <s v="Praveen Kuruvalli"/>
    <s v="Sunila Das"/>
    <n v="0"/>
  </r>
  <r>
    <n v="5750"/>
    <n v="20058020"/>
    <s v="Chapa Srinivasa Rao"/>
    <s v="AM/NS India"/>
    <s v="Onroll"/>
    <s v="M-8"/>
    <n v="8"/>
    <m/>
    <s v="JM"/>
    <s v="M"/>
    <s v="Vizag"/>
    <n v="3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1"/>
    <s v="Human Resources"/>
    <s v="Kirandul"/>
    <d v="1973-06-01T00:00:00"/>
    <s v="50.03"/>
    <d v="2023-03-17T00:00:00"/>
    <d v="2031-05-31T00:00:00"/>
    <m/>
    <d v="2031-05-31T00:00:00"/>
    <n v="2810"/>
    <s v="A+"/>
    <s v="Intermediate-1999"/>
    <s v="26.02"/>
    <s v="00.06"/>
    <s v="26.08"/>
    <s v="72150111"/>
    <s v="Vizag HR Operations &amp; Administration"/>
    <s v="301679"/>
    <s v="OJT Confirmation"/>
    <s v="Vizag"/>
    <s v="0028030019"/>
    <s v="VIZ-Personnel &amp; Admi"/>
    <s v="2000VIZOPS"/>
    <s v="20000519"/>
    <s v="Dandu Srinivas Varma"/>
    <s v="No"/>
    <s v="chapa.rao@amns.in"/>
    <s v="07901367624"/>
    <s v="1000532"/>
    <s v="Dhruv Vyas"/>
    <s v="Anil Matoo"/>
    <s v="Praveen Kuruvalli"/>
    <s v="Dhruv Vyas"/>
    <n v="0"/>
  </r>
  <r>
    <n v="5756"/>
    <n v="20058027"/>
    <s v="Rishi Mishra"/>
    <s v="AM/NS India"/>
    <s v="Onroll"/>
    <s v="M-7"/>
    <n v="7"/>
    <m/>
    <s v="MM"/>
    <s v="M"/>
    <s v="Hazira"/>
    <n v="1"/>
    <s v="2099"/>
    <x v="19"/>
    <s v="02.01"/>
    <s v="Raghavan Aravamudhan"/>
    <s v="Dilip Oommen"/>
    <n v="1"/>
    <s v="CEO Office"/>
    <s v="Business Strategy"/>
    <s v="02"/>
    <s v="Lead - PMO (Analyst)"/>
    <m/>
    <s v="Business Strategy"/>
    <s v="Business Strategy"/>
    <s v=""/>
    <s v="Non Technical Support"/>
    <s v="Operations"/>
    <s v="Operations"/>
    <s v="72103001"/>
    <s v="Operations"/>
    <s v="Hazira"/>
    <d v="1989-07-02T00:00:00"/>
    <s v="34.02"/>
    <d v="2023-03-20T00:00:00"/>
    <d v="2047-07-31T00:00:00"/>
    <m/>
    <d v="2047-07-31T00:00:00"/>
    <n v="8715"/>
    <s v="A+"/>
    <s v="BTech-2011"/>
    <s v="09.02"/>
    <s v="00.06"/>
    <s v="09.08"/>
    <s v="00046538"/>
    <s v="Project Monitoring"/>
    <s v="303698"/>
    <s v="Lead - PMO (Analyst)"/>
    <s v="Hazira"/>
    <s v="0090000022"/>
    <s v=""/>
    <s v="2000HWO"/>
    <s v="20049281"/>
    <s v="Raveena Dhoot"/>
    <s v="No"/>
    <s v="rishi.mishra@amns.in"/>
    <s v="7033095125"/>
    <s v="1040561"/>
    <s v="Dhruv Vyas"/>
    <s v="Anil Matoo"/>
    <s v="Praveen Kuruvalli"/>
    <s v="Dhruv Vyas"/>
    <n v="0"/>
  </r>
  <r>
    <n v="5757"/>
    <n v="20058028"/>
    <s v="Charu Misra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, Mumbai"/>
    <m/>
    <s v="Legal"/>
    <s v=""/>
    <s v=""/>
    <s v="Non Technical Support"/>
    <s v="Legal"/>
    <s v="Legal"/>
    <s v="73201001"/>
    <s v="Legal"/>
    <s v="Mumbai"/>
    <d v="1990-03-11T00:00:00"/>
    <s v="33.06"/>
    <d v="2023-03-20T00:00:00"/>
    <d v="2048-03-31T00:00:00"/>
    <m/>
    <d v="2048-03-31T00:00:00"/>
    <n v="8959"/>
    <s v="O+"/>
    <s v="LLB-2014"/>
    <s v="05.02"/>
    <s v="00.06"/>
    <s v="05.07"/>
    <s v="00050735"/>
    <s v="Legal"/>
    <s v="70494780"/>
    <s v="Legal Counsel"/>
    <s v="Corporate"/>
    <s v="0090000019"/>
    <s v=""/>
    <s v="2000CS"/>
    <s v="20055235"/>
    <s v="P Ashok Kumar"/>
    <s v="No"/>
    <s v="charu.misra@amns.in"/>
    <s v="7718807779"/>
    <s v="1040797"/>
    <s v="Dhruv Vyas"/>
    <s v="Anil Matoo"/>
    <s v="Praveen Kuruvalli"/>
    <s v="Dhruv Vyas"/>
    <n v="0"/>
  </r>
  <r>
    <n v="5759"/>
    <n v="20058031"/>
    <s v="Ananta Subudhi Ray"/>
    <s v="AM/NS Ports Paradip"/>
    <s v="Onroll"/>
    <s v="M-6"/>
    <n v="6"/>
    <m/>
    <s v="MM"/>
    <s v="M"/>
    <s v="Odisha"/>
    <n v="2"/>
    <s v="77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Paradeep"/>
    <d v="1970-05-20T00:00:00"/>
    <s v="53.04"/>
    <d v="2010-08-23T00:00:00"/>
    <d v="2028-05-31T00:00:00"/>
    <m/>
    <d v="2028-05-31T00:00:00"/>
    <n v="1715"/>
    <s v=""/>
    <s v=""/>
    <s v=""/>
    <s v="13.00"/>
    <s v="13.00"/>
    <s v="00051206"/>
    <s v="Commercial"/>
    <s v="304337"/>
    <s v="New Acquisition"/>
    <s v="AMNS PORTS"/>
    <s v="0004315000"/>
    <s v="EBTPL- COMMON"/>
    <s v="7700PARA"/>
    <s v="20055692"/>
    <s v="Rajiv Ranjan"/>
    <s v="No"/>
    <s v="ananta.subudhiray@amns.in"/>
    <s v="7381097586"/>
    <s v="1026657"/>
    <s v="Manjit Shah"/>
    <s v="Anil Matoo"/>
    <n v="0"/>
    <s v="Manjit Shah"/>
    <n v="0"/>
  </r>
  <r>
    <n v="5763"/>
    <n v="20058035"/>
    <s v="Prasanta Kumar Behera"/>
    <s v="AM/NS Ports Paradip"/>
    <s v="Onroll"/>
    <s v="M-6"/>
    <n v="6"/>
    <m/>
    <s v="MM"/>
    <s v="M"/>
    <s v="Odisha"/>
    <n v="2"/>
    <s v="77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Paradeep"/>
    <d v="1982-06-07T00:00:00"/>
    <s v="41.03"/>
    <d v="2012-01-02T00:00:00"/>
    <d v="2040-06-30T00:00:00"/>
    <m/>
    <d v="2040-06-30T00:00:00"/>
    <n v="6128"/>
    <s v=""/>
    <s v=""/>
    <s v=""/>
    <s v="11.08"/>
    <s v="11.08"/>
    <s v="00051207"/>
    <s v="Finance &amp; Accounts - Ports Paradip"/>
    <s v="304341"/>
    <s v="New Acquisition"/>
    <s v="AMNS PORTS"/>
    <s v="0004315000"/>
    <s v="EBTPL- COMMON"/>
    <s v="7704PARA"/>
    <s v="20055088"/>
    <s v="Amit Harlalka"/>
    <s v="No"/>
    <s v="prasanta.behera@amns.in"/>
    <s v="7381097608"/>
    <s v="1025168"/>
    <s v="Manjit Shah"/>
    <s v="Anil Matoo"/>
    <n v="0"/>
    <s v="Manjit Shah"/>
    <n v="0"/>
  </r>
  <r>
    <n v="5778"/>
    <n v="20058050"/>
    <s v="Niranjan Malu"/>
    <s v="AM/NS Ports Paradip"/>
    <s v="Onroll"/>
    <s v="M-10"/>
    <n v="10"/>
    <m/>
    <s v="JM"/>
    <s v="M"/>
    <s v="Odisha"/>
    <n v="2"/>
    <s v="77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Paradeep"/>
    <d v="1983-02-18T00:00:00"/>
    <s v="40.07"/>
    <d v="2018-07-02T00:00:00"/>
    <d v="2041-02-28T00:00:00"/>
    <m/>
    <d v="2041-02-28T00:00:00"/>
    <n v="6371"/>
    <s v=""/>
    <s v=""/>
    <s v=""/>
    <s v="05.02"/>
    <s v="05.02"/>
    <s v="00051207"/>
    <s v="Finance &amp; Accounts - Ports Paradip"/>
    <s v="304356"/>
    <s v="New Acquisition"/>
    <s v="AMNS PORTS"/>
    <s v="0004315000"/>
    <s v="EBTPL- COMMON"/>
    <s v="7704PARA"/>
    <s v="20058035"/>
    <s v="Prasanta Kumar Behera"/>
    <s v="No"/>
    <s v="niranjan.malu@amns.in"/>
    <s v="7381008677"/>
    <s v="1026678"/>
    <s v="Manjit Shah"/>
    <s v="Anil Matoo"/>
    <n v="0"/>
    <s v="Manjit Shah"/>
    <n v="0"/>
  </r>
  <r>
    <n v="5781"/>
    <n v="20058053"/>
    <s v="Krushna Barik"/>
    <s v="AM/NS Ports Paradip"/>
    <s v="Onroll"/>
    <s v="M-10"/>
    <n v="10"/>
    <m/>
    <s v="JM"/>
    <s v="M"/>
    <s v="Odisha"/>
    <n v="2"/>
    <s v="77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Paradeep"/>
    <d v="1991-05-16T00:00:00"/>
    <s v="32.04"/>
    <d v="2022-04-01T00:00:00"/>
    <d v="2049-05-31T00:00:00"/>
    <m/>
    <d v="2049-05-31T00:00:00"/>
    <n v="9385"/>
    <s v=""/>
    <s v=""/>
    <s v=""/>
    <s v="01.05"/>
    <s v="01.05"/>
    <s v="00051206"/>
    <s v="Commercial"/>
    <s v="304359"/>
    <s v="New Acquisition"/>
    <s v="AMNS PORTS"/>
    <s v="0004315000"/>
    <s v="EBTPL- COMMON"/>
    <s v="7700PARA"/>
    <s v="20058031"/>
    <s v="Ananta Subudhi Ray"/>
    <s v="No"/>
    <s v="krushna.barik@amns.in"/>
    <s v="7381008028"/>
    <s v="1026681"/>
    <s v="Manjit Shah"/>
    <s v="Anil Matoo"/>
    <n v="0"/>
    <s v="Manjit Shah"/>
    <n v="0"/>
  </r>
  <r>
    <n v="5788"/>
    <n v="20058060"/>
    <s v="Alok Nayak"/>
    <s v="AM/NS Ports Paradip"/>
    <s v="Onroll"/>
    <s v="M-10"/>
    <n v="10"/>
    <m/>
    <s v="JM"/>
    <s v="M"/>
    <s v="Odisha"/>
    <n v="2"/>
    <s v="77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Paradeep"/>
    <d v="1984-06-11T00:00:00"/>
    <s v="39.03"/>
    <d v="2022-04-01T00:00:00"/>
    <d v="2042-06-30T00:00:00"/>
    <m/>
    <d v="2042-06-30T00:00:00"/>
    <n v="6858"/>
    <s v=""/>
    <s v=""/>
    <s v=""/>
    <s v="01.05"/>
    <s v="01.05"/>
    <s v="00051207"/>
    <s v="Finance &amp; Accounts - Ports Paradip"/>
    <s v="304366"/>
    <s v="New Acquisition"/>
    <s v="AMNS PORTS"/>
    <s v="0004315000"/>
    <s v="EBTPL- COMMON"/>
    <s v="7704PARA"/>
    <s v="20058035"/>
    <s v="Prasanta Kumar Behera"/>
    <s v="No"/>
    <s v="alok.nayak@amns.in"/>
    <s v="9937138362"/>
    <s v="1026690"/>
    <s v="Manjit Shah"/>
    <s v="Anil Matoo"/>
    <n v="0"/>
    <s v="Manjit Shah"/>
    <n v="0"/>
  </r>
  <r>
    <n v="5796"/>
    <n v="20058068"/>
    <s v="Srinivas Munukuti"/>
    <s v="AM/NS Power Hazira"/>
    <s v="Onroll"/>
    <s v="M-10"/>
    <n v="10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1-05-27T00:00:00"/>
    <s v="52.03"/>
    <d v="1994-03-31T00:00:00"/>
    <d v="2029-05-31T00:00:00"/>
    <m/>
    <d v="2029-05-31T00:00:00"/>
    <n v="2080"/>
    <s v=""/>
    <s v=""/>
    <s v=""/>
    <s v="29.05"/>
    <s v="29.05"/>
    <s v="00051183"/>
    <s v="Contract &amp; Procurement"/>
    <s v="304022"/>
    <s v="New Acquisition"/>
    <s v="AMNS Power Hazira Ld"/>
    <s v="0309018065"/>
    <s v="EPOL 270MW"/>
    <s v="3509HAZI"/>
    <s v="20058072"/>
    <s v="Siddhartha Sutradhar"/>
    <s v="No"/>
    <s v="srinivas.munukuti@amns.in"/>
    <s v="9879102804"/>
    <s v="1019543"/>
    <s v="Manjit Shah"/>
    <s v="Anil Matoo"/>
    <n v="0"/>
    <s v="Manjit Shah"/>
    <n v="0"/>
  </r>
  <r>
    <n v="5800"/>
    <n v="20058072"/>
    <s v="Siddhartha Sutradhar"/>
    <s v="AM/NS Power Hazira"/>
    <s v="Onroll"/>
    <s v="M-6"/>
    <n v="6"/>
    <m/>
    <s v="M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0-01-01T00:00:00"/>
    <s v="53.08"/>
    <d v="1997-06-23T00:00:00"/>
    <d v="2027-12-31T00:00:00"/>
    <m/>
    <d v="2027-12-31T00:00:00"/>
    <n v="1563"/>
    <s v=""/>
    <s v=""/>
    <s v=""/>
    <s v="26.02"/>
    <s v="26.02"/>
    <s v="00051183"/>
    <s v="Contract &amp; Procurement"/>
    <s v="304026"/>
    <s v="New Acquisition"/>
    <s v="AMNS Power Hazira Ld"/>
    <s v="0309018065"/>
    <s v="EPOL 270MW"/>
    <s v="3509HAZI"/>
    <s v="20000201"/>
    <s v="Manish Bakriwala"/>
    <s v="No"/>
    <s v="siddhartha.sutradhar@amns.in"/>
    <s v="7903123553"/>
    <s v="1019726"/>
    <s v="Manjit Shah"/>
    <s v="Anil Matoo"/>
    <n v="0"/>
    <s v="Manjit Shah"/>
    <n v="0"/>
  </r>
  <r>
    <n v="5805"/>
    <n v="20058078"/>
    <s v="Bhupendra Patel"/>
    <s v="AM/NS Power Hazira"/>
    <s v="Onroll"/>
    <s v="M-8"/>
    <n v="8"/>
    <m/>
    <s v="J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67-06-22T00:00:00"/>
    <s v="56.03"/>
    <d v="2005-01-01T00:00:00"/>
    <d v="2025-06-30T00:00:00"/>
    <m/>
    <d v="2025-06-30T00:00:00"/>
    <n v="649"/>
    <s v=""/>
    <s v=""/>
    <s v=""/>
    <s v="18.08"/>
    <s v="18.08"/>
    <s v="00051184"/>
    <s v="Finance &amp; Accounts"/>
    <s v="304032"/>
    <s v="New Acquisition"/>
    <s v="AMNS Power Hazira Ld"/>
    <s v="0309018065"/>
    <s v="EPOL 270MW"/>
    <s v="3501HAZI"/>
    <s v="20058113"/>
    <s v="Gadhibantu Koteswar Rao"/>
    <s v="No"/>
    <s v="bhupendra.patel1@amns.in"/>
    <s v="9879102884"/>
    <s v="1018994"/>
    <s v="Manjit Shah"/>
    <s v="Anil Matoo"/>
    <n v="0"/>
    <s v="Manjit Shah"/>
    <n v="0"/>
  </r>
  <r>
    <n v="5806"/>
    <n v="20058079"/>
    <s v="Amit Patel"/>
    <s v="AM/NS Power Hazira"/>
    <s v="Onroll"/>
    <s v="M-8"/>
    <n v="8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6-04-30T00:00:00"/>
    <s v="47.04"/>
    <d v="2005-01-01T00:00:00"/>
    <d v="2034-04-30T00:00:00"/>
    <m/>
    <d v="2034-04-30T00:00:00"/>
    <n v="3875"/>
    <s v=""/>
    <s v=""/>
    <s v=""/>
    <s v="18.08"/>
    <s v="18.08"/>
    <s v="00051183"/>
    <s v="Contract &amp; Procurement"/>
    <s v="304033"/>
    <s v="New Acquisition"/>
    <s v="AMNS Power Hazira Ld"/>
    <s v="0309018065"/>
    <s v="EPOL 270MW"/>
    <s v="3509HAZI"/>
    <s v="20000948"/>
    <s v="Hitesh Raval"/>
    <s v="No"/>
    <s v="amit.patel10@amns.in"/>
    <s v="9879102885"/>
    <s v="1019733"/>
    <s v="Manjit Shah"/>
    <s v="Anil Matoo"/>
    <n v="0"/>
    <s v="Manjit Shah"/>
    <n v="0"/>
  </r>
  <r>
    <n v="5809"/>
    <n v="20058082"/>
    <s v="Anupmeya Anand"/>
    <s v="AM/NS Power Hazira"/>
    <s v="Onroll"/>
    <s v="M-8"/>
    <n v="8"/>
    <m/>
    <s v="JM"/>
    <s v="M"/>
    <s v="Hazira"/>
    <n v="1"/>
    <s v="3507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1-03-15T00:00:00"/>
    <s v="42.06"/>
    <d v="2006-12-20T00:00:00"/>
    <d v="2039-03-31T00:00:00"/>
    <m/>
    <d v="2039-03-31T00:00:00"/>
    <n v="5671"/>
    <s v=""/>
    <s v=""/>
    <s v=""/>
    <s v="16.09"/>
    <s v="16.09"/>
    <s v="00051183"/>
    <s v="Contract &amp; Procurement"/>
    <s v="304036"/>
    <s v="New Acquisition"/>
    <s v="AMNS Power Hazira Ld"/>
    <s v="0309018065"/>
    <s v="EPOL 270MW"/>
    <s v="3507HAZI"/>
    <s v="20058072"/>
    <s v="Siddhartha Sutradhar"/>
    <s v="No"/>
    <s v="anupmeya.anand@amns.in"/>
    <s v="9925227060"/>
    <s v="1019801"/>
    <s v="Manjit Shah"/>
    <s v="Anil Matoo"/>
    <n v="0"/>
    <s v="Manjit Shah"/>
    <n v="0"/>
  </r>
  <r>
    <n v="5815"/>
    <n v="20058088"/>
    <s v="Narendra Yadav"/>
    <s v="AM/NS Power Hazira"/>
    <s v="Onroll"/>
    <s v="M-7"/>
    <n v="7"/>
    <m/>
    <s v="M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67-03-02T00:00:00"/>
    <s v="56.06"/>
    <d v="2008-05-20T00:00:00"/>
    <d v="2025-03-31T00:00:00"/>
    <m/>
    <d v="2025-03-31T00:00:00"/>
    <n v="558"/>
    <s v=""/>
    <s v=""/>
    <s v=""/>
    <s v="15.04"/>
    <s v="15.04"/>
    <s v="00051184"/>
    <s v="Finance &amp; Accounts"/>
    <s v="304042"/>
    <s v="New Acquisition"/>
    <s v="AMNS Power Hazira Ld"/>
    <s v="0309018065"/>
    <s v="EPOL 270MW"/>
    <s v="3501HAZI"/>
    <s v="20001854"/>
    <s v="Arasappan Thirumaran"/>
    <s v="No"/>
    <s v="narendra.yadav@amns.in"/>
    <s v="9909993532"/>
    <s v="1019743"/>
    <s v="Manjit Shah"/>
    <s v="Anil Matoo"/>
    <n v="0"/>
    <s v="Manjit Shah"/>
    <n v="0"/>
  </r>
  <r>
    <n v="5816"/>
    <n v="20058089"/>
    <s v="Yudhishthir Trivedi"/>
    <s v="AM/NS Power Hazira"/>
    <s v="Onroll"/>
    <s v="M-8"/>
    <n v="8"/>
    <m/>
    <s v="JM"/>
    <s v="M"/>
    <s v="Corporate"/>
    <n v="1"/>
    <s v="3505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Operations"/>
    <s v="Operations"/>
    <s v="72103001"/>
    <s v="Operations"/>
    <s v="Hazira"/>
    <d v="1985-06-02T00:00:00"/>
    <s v="38.03"/>
    <d v="2008-06-09T00:00:00"/>
    <d v="2043-06-30T00:00:00"/>
    <m/>
    <d v="2043-06-30T00:00:00"/>
    <n v="7223"/>
    <s v=""/>
    <s v=""/>
    <s v=""/>
    <s v="15.03"/>
    <s v="15.03"/>
    <s v="00051172"/>
    <s v="Power Hazira"/>
    <s v="304043"/>
    <s v="New Acquisition"/>
    <s v="AMNS Power Hazira Ld"/>
    <s v="0309018065"/>
    <s v="EPOL 270MW"/>
    <s v="3505HAZI"/>
    <s v="20028777"/>
    <s v="Narendra Dugar"/>
    <s v="No"/>
    <s v="yudhishthir.trivedi@amns.in"/>
    <s v="9879102436"/>
    <s v="1019744"/>
    <s v="Manjit Shah"/>
    <s v="Anil Matoo"/>
    <n v="0"/>
    <s v="Manjit Shah"/>
    <n v="0"/>
  </r>
  <r>
    <n v="5823"/>
    <n v="20058096"/>
    <s v="Shailesh Kapadia"/>
    <s v="AM/NS Power Hazira"/>
    <s v="Onroll"/>
    <s v="M-8"/>
    <n v="8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8-02-01T00:00:00"/>
    <s v="45.07"/>
    <d v="2010-03-02T00:00:00"/>
    <d v="2036-01-31T00:00:00"/>
    <m/>
    <d v="2036-01-31T00:00:00"/>
    <n v="4516"/>
    <s v=""/>
    <s v=""/>
    <s v=""/>
    <s v="13.06"/>
    <s v="13.06"/>
    <s v="00051183"/>
    <s v="Contract &amp; Procurement"/>
    <s v="304050"/>
    <s v="New Acquisition"/>
    <s v="AMNS Power Hazira Ld"/>
    <s v="0309018065"/>
    <s v="EPOL 270MW"/>
    <s v="3509HAZI"/>
    <s v="20058072"/>
    <s v="Siddhartha Sutradhar"/>
    <s v="No"/>
    <s v="shailesh.kapadia@amns.in"/>
    <s v="9909993530"/>
    <s v="1019751"/>
    <s v="Manjit Shah"/>
    <s v="Anil Matoo"/>
    <n v="0"/>
    <s v="Manjit Shah"/>
    <n v="0"/>
  </r>
  <r>
    <n v="5839"/>
    <n v="20058113"/>
    <s v="Gadhibantu Koteswar Rao"/>
    <s v="AM/NS Power Hazira"/>
    <s v="Onroll"/>
    <s v="M-6"/>
    <n v="6"/>
    <m/>
    <s v="M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69-11-22T00:00:00"/>
    <s v="53.09"/>
    <d v="2012-02-17T00:00:00"/>
    <d v="2027-11-30T00:00:00"/>
    <m/>
    <d v="2027-11-30T00:00:00"/>
    <n v="1532"/>
    <s v=""/>
    <s v=""/>
    <s v=""/>
    <s v="11.07"/>
    <s v="11.07"/>
    <s v="00051184"/>
    <s v="Finance &amp; Accounts"/>
    <s v="304067"/>
    <s v="New Acquisition"/>
    <s v="AMNS Power Hazira Ld"/>
    <s v="0309018065"/>
    <s v="EPOL 270MW"/>
    <s v="3501HAZI"/>
    <s v="20000679"/>
    <s v="Dinesh Mangal"/>
    <s v="No"/>
    <s v="gadhibantu.koteswarrao@amns.in"/>
    <s v="9909993553"/>
    <s v="1018997"/>
    <s v="Manjit Shah"/>
    <s v="Anil Matoo"/>
    <n v="0"/>
    <s v="Manjit Shah"/>
    <n v="0"/>
  </r>
  <r>
    <n v="5856"/>
    <n v="20058134"/>
    <s v="Piyush Jain"/>
    <s v="AM/NS Power Hazira"/>
    <s v="Onroll"/>
    <s v="M-8"/>
    <n v="8"/>
    <m/>
    <s v="J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9-10-27T00:00:00"/>
    <s v="33.10"/>
    <d v="2019-06-17T00:00:00"/>
    <d v="2047-10-31T00:00:00"/>
    <m/>
    <d v="2047-10-31T00:00:00"/>
    <n v="8807"/>
    <s v=""/>
    <s v=""/>
    <s v=""/>
    <s v="04.03"/>
    <s v="04.03"/>
    <s v="00051197"/>
    <s v="Finance &amp; Accounts - Ports Hazira"/>
    <s v="304088"/>
    <s v="New Acquisition"/>
    <s v="AMNS Power Hazira Ld"/>
    <s v="0309018065"/>
    <s v="EPOL 270MW"/>
    <s v="3501HAZI"/>
    <s v="20058184"/>
    <s v="Rama Barik"/>
    <s v="No"/>
    <s v="piyush.jain@amns.in"/>
    <s v="9879102878"/>
    <s v="1018996"/>
    <s v="Manjit Shah"/>
    <s v="Anil Matoo"/>
    <n v="0"/>
    <s v="Manjit Shah"/>
    <n v="0"/>
  </r>
  <r>
    <n v="5858"/>
    <n v="20058136"/>
    <s v="Prateek Kumar"/>
    <s v="AM/NS Power Hazira"/>
    <s v="Onroll"/>
    <s v="M-9"/>
    <n v="9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81-08-26T00:00:00"/>
    <s v="42.00"/>
    <d v="2021-12-13T00:00:00"/>
    <d v="2039-08-31T00:00:00"/>
    <m/>
    <d v="2039-08-31T00:00:00"/>
    <n v="5824"/>
    <s v=""/>
    <s v=""/>
    <s v=""/>
    <s v="01.09"/>
    <s v="01.09"/>
    <s v="00051183"/>
    <s v="Contract &amp; Procurement"/>
    <s v="304090"/>
    <s v="New Acquisition"/>
    <s v="AMNS Power Hazira Ld"/>
    <s v="0309018065"/>
    <s v="EPOL 270MW"/>
    <s v="3509HAZI"/>
    <s v="20058072"/>
    <s v="Siddhartha Sutradhar"/>
    <s v="No"/>
    <s v="prateek.kumar@amns.in"/>
    <s v="9925203885"/>
    <s v="1019790"/>
    <s v="Manjit Shah"/>
    <s v="Anil Matoo"/>
    <n v="0"/>
    <s v="Manjit Shah"/>
    <n v="0"/>
  </r>
  <r>
    <n v="5861"/>
    <n v="20058139"/>
    <s v="Sunil Tiwari"/>
    <s v="AM/NS Power Hazira"/>
    <s v="Onroll"/>
    <s v="M-6"/>
    <n v="6"/>
    <m/>
    <s v="MM"/>
    <s v="M"/>
    <s v="Hazira"/>
    <n v="1"/>
    <s v="3503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81-01-01T00:00:00"/>
    <s v="42.08"/>
    <d v="2022-04-01T00:00:00"/>
    <d v="2038-12-31T00:00:00"/>
    <m/>
    <d v="2038-12-31T00:00:00"/>
    <n v="5581"/>
    <s v=""/>
    <s v=""/>
    <s v=""/>
    <s v="01.05"/>
    <s v="01.05"/>
    <s v="00051185"/>
    <s v="Human Resources"/>
    <s v="304093"/>
    <s v="New Acquisition"/>
    <s v="AMNS Power Hazira Ld"/>
    <s v="0309018065"/>
    <s v="EPOL 270MW"/>
    <s v="3503HAZI"/>
    <s v="20016406"/>
    <s v="Manjit Shah"/>
    <s v="No"/>
    <s v="sunil.tiwari@amns.in"/>
    <s v="9819730527"/>
    <s v="1019793"/>
    <s v="Manjit Shah"/>
    <s v="Anil Matoo"/>
    <n v="0"/>
    <s v="Manjit Shah"/>
    <n v="0"/>
  </r>
  <r>
    <n v="5869"/>
    <n v="20058149"/>
    <s v="Anjali ."/>
    <s v="AM/NS Power Hazira"/>
    <s v="Onroll"/>
    <s v="M-8"/>
    <n v="8"/>
    <m/>
    <s v="JM"/>
    <s v="F"/>
    <s v="Hazira"/>
    <n v="1"/>
    <s v="3503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94-08-14T00:00:00"/>
    <s v="29.01"/>
    <d v="2022-10-07T00:00:00"/>
    <d v="2052-08-31T00:00:00"/>
    <m/>
    <d v="2052-08-31T00:00:00"/>
    <n v="10573"/>
    <s v=""/>
    <s v=""/>
    <s v=""/>
    <s v="00.11"/>
    <s v="00.11"/>
    <s v="00051185"/>
    <s v="Human Resources"/>
    <s v="304103"/>
    <s v="New Acquisition"/>
    <s v="AMNS Power Hazira Ld"/>
    <s v="0309018065"/>
    <s v="EPOL 270MW"/>
    <s v="3503HAZI"/>
    <s v="20054937"/>
    <s v="Hitesh Kumar Yadav"/>
    <s v="No"/>
    <s v="anjali.anil@amns.in"/>
    <s v="9925240506"/>
    <s v="1019805"/>
    <s v="Manjit Shah"/>
    <s v="Anil Matoo"/>
    <n v="0"/>
    <s v="Manjit Shah"/>
    <n v="0"/>
  </r>
  <r>
    <n v="5870"/>
    <n v="20058150"/>
    <s v="Neeraj Murarka"/>
    <s v="AM/NS Power Hazira"/>
    <s v="Onroll"/>
    <s v="M-6"/>
    <n v="6"/>
    <m/>
    <s v="M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Mumbai"/>
    <d v="1981-04-16T00:00:00"/>
    <s v="42.05"/>
    <d v="2022-12-10T00:00:00"/>
    <d v="2039-04-30T00:00:00"/>
    <m/>
    <d v="2039-04-30T00:00:00"/>
    <n v="5701"/>
    <s v=""/>
    <s v=""/>
    <s v=""/>
    <s v="00.09"/>
    <s v="00.09"/>
    <s v="70494931"/>
    <s v="Working Capital"/>
    <s v="304104"/>
    <s v="New Acquisition"/>
    <s v="AMNS Power Hazira Ld"/>
    <s v="0309018065"/>
    <s v="EPOL 270MW"/>
    <s v="3501MUMB"/>
    <s v="20055188"/>
    <s v="Rohit Sharma"/>
    <s v="No"/>
    <s v="neeraj.murarka@amns.in"/>
    <s v="9167999769"/>
    <s v="1029647"/>
    <s v="Manjit Shah"/>
    <s v="Anil Matoo"/>
    <n v="0"/>
    <s v="Manjit Shah"/>
    <n v="0"/>
  </r>
  <r>
    <n v="5871"/>
    <n v="20058151"/>
    <s v="Laxmi Joshi"/>
    <s v="AM/NS Power Hazira"/>
    <s v="Onroll"/>
    <s v="M-7"/>
    <n v="7"/>
    <m/>
    <s v="MM"/>
    <s v="F"/>
    <s v="Hazira"/>
    <n v="1"/>
    <s v="3500"/>
    <x v="11"/>
    <s v="42.01"/>
    <s v="Pankaj Chourasia"/>
    <s v="P Ashok Kumar"/>
    <n v="9"/>
    <s v="Legal"/>
    <s v="Company Secretary"/>
    <s v="42"/>
    <s v="Lead Company Secretary"/>
    <m/>
    <s v="Company Secretary"/>
    <s v=""/>
    <s v=""/>
    <s v="Non Technical Support"/>
    <s v="Operations"/>
    <s v="Operations"/>
    <s v="72103001"/>
    <s v="Operations"/>
    <s v="Mumbai"/>
    <d v="1989-07-26T00:00:00"/>
    <s v="34.01"/>
    <d v="2022-12-03T00:00:00"/>
    <d v="2047-07-31T00:00:00"/>
    <m/>
    <d v="2047-07-31T00:00:00"/>
    <n v="8715"/>
    <s v=""/>
    <s v=""/>
    <s v=""/>
    <s v="00.09"/>
    <s v="00.09"/>
    <s v="70273573"/>
    <s v="Company Secretarial"/>
    <s v="304105"/>
    <s v="New Acquisition"/>
    <s v="AMNS Power Hazira Ld"/>
    <s v="0309018065"/>
    <s v="EPOL 270MW"/>
    <s v="3500MUMB"/>
    <s v="20050785"/>
    <s v="Pankaj Chourasia"/>
    <s v="No"/>
    <s v="laxmi.joshi@amns.in"/>
    <s v="9925240508"/>
    <s v="1041012"/>
    <s v="Manjit Shah"/>
    <s v="Anil Matoo"/>
    <n v="0"/>
    <s v="Manjit Shah"/>
    <n v="0"/>
  </r>
  <r>
    <n v="5872"/>
    <n v="20058152"/>
    <s v="Shabbir Juzerbhai Bengali"/>
    <s v="AM/NS Power Hazira"/>
    <s v="Onroll"/>
    <s v="M-8"/>
    <n v="8"/>
    <m/>
    <s v="J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1-07-25T00:00:00"/>
    <s v="42.01"/>
    <d v="2010-11-08T00:00:00"/>
    <d v="2039-07-31T00:00:00"/>
    <m/>
    <d v="2039-07-31T00:00:00"/>
    <n v="5793"/>
    <s v=""/>
    <s v=""/>
    <s v=""/>
    <s v="12.10"/>
    <s v="12.10"/>
    <s v="00051184"/>
    <s v="Finance &amp; Accounts"/>
    <s v="304106"/>
    <s v="New Acquisition"/>
    <s v="AMNS Power Hazira Ld"/>
    <s v="0309018065"/>
    <s v="EPOL 270MW"/>
    <s v="3501HAZI"/>
    <s v="20016107"/>
    <s v="Kalpesh Thathagar"/>
    <s v="No"/>
    <s v="shabbir.bengali@amns.in"/>
    <s v="9879107352"/>
    <s v="1019794"/>
    <s v="Manjit Shah"/>
    <s v="Anil Matoo"/>
    <n v="0"/>
    <s v="Manjit Shah"/>
    <n v="0"/>
  </r>
  <r>
    <n v="5888"/>
    <n v="20058169"/>
    <s v="Chirag Desai"/>
    <s v="AM/NS Ports Hazira"/>
    <s v="Onroll"/>
    <s v="M-7"/>
    <n v="7"/>
    <m/>
    <s v="MM"/>
    <s v="M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1-06-26T00:00:00"/>
    <s v="42.02"/>
    <d v="2006-06-19T00:00:00"/>
    <d v="2039-06-30T00:00:00"/>
    <m/>
    <d v="2039-06-30T00:00:00"/>
    <n v="5762"/>
    <s v=""/>
    <s v=""/>
    <s v=""/>
    <s v="17.03"/>
    <s v="17.03"/>
    <s v="00051196"/>
    <s v="Procurement - Ports Hazira"/>
    <s v="304237"/>
    <s v="New Acquisition"/>
    <s v="AMNS PARADIP PORT"/>
    <s v=""/>
    <s v=""/>
    <s v="7414HAZI"/>
    <s v="20058183"/>
    <s v="Pranabendra Barman"/>
    <s v="No"/>
    <s v="chirag.desai@amns.in"/>
    <s v="9925246149"/>
    <s v="1026743"/>
    <s v="Manjit Shah"/>
    <s v="Anil Matoo"/>
    <n v="0"/>
    <s v="Manjit Shah"/>
    <n v="0"/>
  </r>
  <r>
    <n v="5894"/>
    <n v="20058175"/>
    <s v="Neelam Thanvi"/>
    <s v="AM/NS Ports Hazira"/>
    <s v="Onroll"/>
    <s v="M-6"/>
    <n v="6"/>
    <m/>
    <s v="MM"/>
    <s v="F"/>
    <s v="Hazira"/>
    <n v="1"/>
    <s v="7401"/>
    <x v="11"/>
    <s v="42.01"/>
    <s v="Pankaj Chourasia"/>
    <s v="P Ashok Kumar"/>
    <n v="9"/>
    <s v="Legal"/>
    <s v="Company Secretary"/>
    <s v="42"/>
    <s v="Sr. Lead Company Secretary"/>
    <m/>
    <s v="Company Secretary"/>
    <s v=""/>
    <s v=""/>
    <s v="Non Technical Support"/>
    <s v="Operations"/>
    <s v="Operations"/>
    <s v="72103001"/>
    <s v="Operations"/>
    <s v="Mumbai"/>
    <d v="1983-10-24T00:00:00"/>
    <s v="39.10"/>
    <d v="2007-06-25T00:00:00"/>
    <d v="2041-10-31T00:00:00"/>
    <m/>
    <d v="2041-10-31T00:00:00"/>
    <n v="6616"/>
    <s v=""/>
    <s v=""/>
    <s v=""/>
    <s v="16.02"/>
    <s v="16.02"/>
    <s v="70273573"/>
    <s v="Company Secretarial"/>
    <s v="304243"/>
    <s v="New Acquisition"/>
    <s v="AMNS PARADIP PORT"/>
    <s v=""/>
    <s v=""/>
    <s v="7401MUMB"/>
    <s v="20050785"/>
    <s v="Pankaj Chourasia"/>
    <s v="No"/>
    <s v="neelam.thanvi@amns.in"/>
    <s v="9930136083"/>
    <s v="1026752"/>
    <s v="Manjit Shah"/>
    <s v="Anil Matoo"/>
    <n v="0"/>
    <s v="Manjit Shah"/>
    <n v="0"/>
  </r>
  <r>
    <n v="5899"/>
    <n v="20058180"/>
    <s v="Piyush Patel"/>
    <s v="AM/NS Ports Hazira"/>
    <s v="Onroll"/>
    <s v="M-9"/>
    <n v="9"/>
    <m/>
    <s v="JM"/>
    <s v="M"/>
    <s v="Hazira"/>
    <n v="1"/>
    <s v="7418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2-05-30T00:00:00"/>
    <s v="51.03"/>
    <d v="2008-03-15T00:00:00"/>
    <d v="2030-05-31T00:00:00"/>
    <m/>
    <d v="2030-05-31T00:00:00"/>
    <n v="2445"/>
    <s v=""/>
    <s v=""/>
    <s v=""/>
    <s v="15.06"/>
    <s v="15.06"/>
    <s v="00051196"/>
    <s v="Procurement - Ports Hazira"/>
    <s v="304249"/>
    <s v="New Acquisition"/>
    <s v="AMNS PARADIP PORT"/>
    <s v=""/>
    <s v=""/>
    <s v="7418HAZI"/>
    <s v="20001905"/>
    <s v="Nirav Bhagat"/>
    <s v="No"/>
    <s v="piyush.patel3@amns.in"/>
    <s v="9879102854"/>
    <s v="1026767"/>
    <s v="Manjit Shah"/>
    <s v="Anil Matoo"/>
    <n v="0"/>
    <s v="Manjit Shah"/>
    <n v="0"/>
  </r>
  <r>
    <n v="5902"/>
    <n v="20058183"/>
    <s v="Pranabendra Barman"/>
    <s v="AM/NS Ports Hazira"/>
    <s v="Onroll"/>
    <s v="M-5"/>
    <n v="5"/>
    <m/>
    <s v="MM"/>
    <s v="M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69-08-27T00:00:00"/>
    <s v="54.00"/>
    <d v="2008-07-16T00:00:00"/>
    <d v="2027-08-31T00:00:00"/>
    <m/>
    <d v="2027-08-31T00:00:00"/>
    <n v="1441"/>
    <s v=""/>
    <s v=""/>
    <s v=""/>
    <s v="15.02"/>
    <s v="15.02"/>
    <s v="00051196"/>
    <s v="Procurement - Ports Hazira"/>
    <s v="304252"/>
    <s v="New Acquisition"/>
    <s v="AMNS PARADIP PORT"/>
    <s v=""/>
    <s v=""/>
    <s v="7414HAZI"/>
    <s v="20000201"/>
    <s v="Manish Bakriwala"/>
    <s v="No"/>
    <s v="pranabendra.barman@amns.in"/>
    <s v="9727764050"/>
    <s v="1026772"/>
    <s v="Manjit Shah"/>
    <s v="Anil Matoo"/>
    <n v="0"/>
    <s v="Manjit Shah"/>
    <n v="0"/>
  </r>
  <r>
    <n v="5903"/>
    <n v="20058184"/>
    <s v="Rama Barik"/>
    <s v="AM/NS Ports Hazira"/>
    <s v="Onroll"/>
    <s v="M-5"/>
    <n v="5"/>
    <m/>
    <s v="M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78-03-04T00:00:00"/>
    <s v="45.06"/>
    <d v="2008-07-28T00:00:00"/>
    <d v="2036-03-31T00:00:00"/>
    <m/>
    <d v="2036-03-31T00:00:00"/>
    <n v="4576"/>
    <s v=""/>
    <s v=""/>
    <s v=""/>
    <s v="15.01"/>
    <s v="15.01"/>
    <s v="00051197"/>
    <s v="Finance &amp; Accounts - Ports Hazira"/>
    <s v="304253"/>
    <s v="New Acquisition"/>
    <s v="AMNS PARADIP PORT"/>
    <s v=""/>
    <s v=""/>
    <s v="7404HAZI"/>
    <s v="20055088"/>
    <s v="Amit Harlalka"/>
    <s v="No"/>
    <s v="rama.barik@amns.in"/>
    <s v="9727764049"/>
    <s v="1025165"/>
    <s v="Manjit Shah"/>
    <s v="Anil Matoo"/>
    <n v="0"/>
    <s v="Manjit Shah"/>
    <n v="0"/>
  </r>
  <r>
    <n v="5917"/>
    <n v="20058198"/>
    <s v="Chaitanya Chavan"/>
    <s v="AM/NS Ports Hazira"/>
    <s v="Onroll"/>
    <s v="M-7"/>
    <n v="7"/>
    <m/>
    <s v="M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Mumbai"/>
    <d v="1980-01-31T00:00:00"/>
    <s v="43.07"/>
    <d v="2011-11-14T00:00:00"/>
    <d v="2038-01-31T00:00:00"/>
    <m/>
    <d v="2038-01-31T00:00:00"/>
    <n v="5247"/>
    <s v=""/>
    <s v=""/>
    <s v=""/>
    <s v="11.10"/>
    <s v="11.10"/>
    <s v="70494633"/>
    <s v="Finance &amp; Accounts"/>
    <s v="304267"/>
    <s v="New Acquisition"/>
    <s v="AMNS PARADIP PORT"/>
    <s v=""/>
    <s v=""/>
    <s v="7404MUMB"/>
    <s v="20000870"/>
    <s v="Balajee M"/>
    <s v="No"/>
    <s v="chaitanya.chavan@amns.in"/>
    <s v="9930134105"/>
    <s v="1026797"/>
    <s v="Manjit Shah"/>
    <s v="Anil Matoo"/>
    <n v="0"/>
    <s v="Manjit Shah"/>
    <n v="0"/>
  </r>
  <r>
    <n v="5918"/>
    <n v="20058199"/>
    <s v="Rabindra Samal"/>
    <s v="AM/NS Ports Hazira"/>
    <s v="Onroll"/>
    <s v="M-5"/>
    <n v="5"/>
    <m/>
    <s v="MM"/>
    <s v="M"/>
    <s v="Corporate"/>
    <n v="1"/>
    <s v="7409"/>
    <x v="16"/>
    <s v="03.01"/>
    <s v="Nilesh Likhite"/>
    <s v="Dilip Oommen"/>
    <n v="1"/>
    <s v="CEO Office"/>
    <s v="Internal Audit"/>
    <s v="03"/>
    <s v="Sr. Lead Internal Audit "/>
    <m/>
    <s v="Internal Audit"/>
    <s v=""/>
    <s v=""/>
    <s v="Non Technical Support"/>
    <s v="Operations"/>
    <s v="Operations"/>
    <s v="72103001"/>
    <s v="Operations"/>
    <s v="Mumbai"/>
    <d v="1973-03-12T00:00:00"/>
    <s v="50.06"/>
    <d v="2015-01-27T00:00:00"/>
    <d v="2031-03-31T00:00:00"/>
    <m/>
    <d v="2031-03-31T00:00:00"/>
    <n v="2749"/>
    <s v=""/>
    <s v=""/>
    <s v=""/>
    <s v="08.07"/>
    <s v="08.07"/>
    <s v="00051199"/>
    <s v="Internal Audit"/>
    <s v="304268"/>
    <s v="New Acquisition"/>
    <s v="AMNS PARADIP PORT"/>
    <s v=""/>
    <s v=""/>
    <s v="7409MUMB"/>
    <s v="20055486"/>
    <s v="Nilesh Likhite"/>
    <s v="No"/>
    <s v="rabindra.samal@amns.in"/>
    <s v="9930136590"/>
    <s v="1026798"/>
    <s v="Manjit Shah"/>
    <s v="Anil Matoo"/>
    <n v="0"/>
    <s v="Manjit Shah"/>
    <n v="0"/>
  </r>
  <r>
    <n v="5922"/>
    <n v="20058203"/>
    <s v="Sejalkumar Patel"/>
    <s v="AM/NS Ports Hazira"/>
    <s v="Onroll"/>
    <s v="M-9"/>
    <n v="9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6-02-11T00:00:00"/>
    <s v="37.07"/>
    <d v="2016-06-01T00:00:00"/>
    <d v="2044-02-29T00:00:00"/>
    <m/>
    <d v="2044-02-29T00:00:00"/>
    <n v="7467"/>
    <s v=""/>
    <s v=""/>
    <s v=""/>
    <s v="07.03"/>
    <s v="07.03"/>
    <s v="00051197"/>
    <s v="Finance &amp; Accounts - Ports Hazira"/>
    <s v="304272"/>
    <s v="New Acquisition"/>
    <s v="AMNS PARADIP PORT"/>
    <s v=""/>
    <s v=""/>
    <s v="7404HAZI"/>
    <s v="20058184"/>
    <s v="Rama Barik"/>
    <s v="No"/>
    <s v="sejalkumar.patel@amns.in"/>
    <s v="9879102874"/>
    <s v="1026804"/>
    <s v="Manjit Shah"/>
    <s v="Anil Matoo"/>
    <n v="0"/>
    <s v="Manjit Shah"/>
    <n v="0"/>
  </r>
  <r>
    <n v="5933"/>
    <n v="20058214"/>
    <s v="Parameswar Biswal"/>
    <s v="AM/NS Ports Hazira"/>
    <s v="Onroll"/>
    <s v="M-9"/>
    <n v="9"/>
    <m/>
    <s v="JM"/>
    <s v="M"/>
    <s v="Hazira"/>
    <n v="1"/>
    <s v="74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Hazira"/>
    <d v="1976-05-12T00:00:00"/>
    <s v="47.04"/>
    <d v="2018-07-02T00:00:00"/>
    <d v="2034-05-31T00:00:00"/>
    <m/>
    <d v="2034-05-31T00:00:00"/>
    <n v="3906"/>
    <s v=""/>
    <s v=""/>
    <s v=""/>
    <s v="05.02"/>
    <s v="05.02"/>
    <s v="00051197"/>
    <s v="Finance &amp; Accounts - Ports Hazira"/>
    <s v="304283"/>
    <s v="New Acquisition"/>
    <s v="AMNS PARADIP PORT"/>
    <s v=""/>
    <s v=""/>
    <s v="7400HAZI"/>
    <s v="20058184"/>
    <s v="Rama Barik"/>
    <s v="No"/>
    <s v="parameswar.biswal@amns.in"/>
    <s v="9925246124"/>
    <s v="1026836"/>
    <s v="Manjit Shah"/>
    <s v="Anil Matoo"/>
    <n v="0"/>
    <s v="Manjit Shah"/>
    <n v="0"/>
  </r>
  <r>
    <n v="5944"/>
    <n v="20058225"/>
    <s v="Amita Rajubhai Patel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6-07-28T00:00:00"/>
    <s v="37.01"/>
    <d v="2019-09-02T00:00:00"/>
    <d v="2044-07-31T00:00:00"/>
    <m/>
    <d v="2044-07-31T00:00:00"/>
    <n v="7620"/>
    <s v=""/>
    <s v=""/>
    <s v=""/>
    <s v="04.00"/>
    <s v="04.00"/>
    <s v="00051197"/>
    <s v="Finance &amp; Accounts - Ports Hazira"/>
    <s v="304294"/>
    <s v="New Acquisition"/>
    <s v="AMNS PARADIP PORT"/>
    <s v=""/>
    <s v=""/>
    <s v="7404HAZI"/>
    <s v="20016107"/>
    <s v="Kalpesh Thathagar"/>
    <s v="No"/>
    <s v="amita.patel@amns.in"/>
    <s v="9879203848"/>
    <s v="1026856"/>
    <s v="Manjit Shah"/>
    <s v="Anil Matoo"/>
    <n v="0"/>
    <s v="Manjit Shah"/>
    <n v="0"/>
  </r>
  <r>
    <n v="5945"/>
    <n v="20058226"/>
    <s v="Kalpana Dinesh Patel"/>
    <s v="AM/NS Ports Hazira"/>
    <s v="Onroll"/>
    <s v="M-9"/>
    <n v="9"/>
    <m/>
    <s v="J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1-05-09T00:00:00"/>
    <s v="42.04"/>
    <d v="2019-09-02T00:00:00"/>
    <d v="2039-05-31T00:00:00"/>
    <m/>
    <d v="2039-05-31T00:00:00"/>
    <n v="5732"/>
    <s v=""/>
    <s v=""/>
    <s v=""/>
    <s v="04.00"/>
    <s v="04.00"/>
    <s v="00051196"/>
    <s v="Procurement - Ports Hazira"/>
    <s v="304295"/>
    <s v="New Acquisition"/>
    <s v="AMNS PARADIP PORT"/>
    <s v=""/>
    <s v=""/>
    <s v="7414HAZI"/>
    <s v="20058183"/>
    <s v="Pranabendra Barman"/>
    <s v="No"/>
    <s v="kalpana.patel1@amns.in"/>
    <s v="9925245362"/>
    <s v="1026858"/>
    <s v="Manjit Shah"/>
    <s v="Anil Matoo"/>
    <n v="0"/>
    <s v="Manjit Shah"/>
    <n v="0"/>
  </r>
  <r>
    <n v="5946"/>
    <n v="20058227"/>
    <s v="Rucha Shukla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1-02-26T00:00:00"/>
    <s v="42.06"/>
    <d v="2019-09-02T00:00:00"/>
    <d v="2039-02-28T00:00:00"/>
    <m/>
    <d v="2039-02-28T00:00:00"/>
    <n v="5640"/>
    <s v=""/>
    <s v=""/>
    <s v=""/>
    <s v="04.00"/>
    <s v="04.00"/>
    <s v="00051809"/>
    <s v="Stack Yard"/>
    <s v="304296"/>
    <s v="New Acquisition"/>
    <s v="AMNS PARADIP PORT"/>
    <s v=""/>
    <s v=""/>
    <s v="7404HAZI"/>
    <s v="20058182"/>
    <s v="Santosh Bhatt"/>
    <s v="No"/>
    <s v="rucha.shukla@amns.in"/>
    <s v="9909902377"/>
    <s v="1026860"/>
    <s v="Manjit Shah"/>
    <s v="Anil Matoo"/>
    <n v="0"/>
    <s v="Manjit Shah"/>
    <n v="0"/>
  </r>
  <r>
    <n v="5947"/>
    <n v="20058228"/>
    <s v="Hetal Pareshbhai Lad"/>
    <s v="AM/NS Ports Hazira"/>
    <s v="Onroll"/>
    <s v="M-10"/>
    <n v="10"/>
    <m/>
    <s v="J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5-12-31T00:00:00"/>
    <s v="37.08"/>
    <d v="2019-09-02T00:00:00"/>
    <d v="2043-12-31T00:00:00"/>
    <m/>
    <d v="2043-12-31T00:00:00"/>
    <n v="7407"/>
    <s v=""/>
    <s v=""/>
    <s v=""/>
    <s v="04.00"/>
    <s v="04.00"/>
    <s v="00051196"/>
    <s v="Procurement - Ports Hazira"/>
    <s v="304297"/>
    <s v="New Acquisition"/>
    <s v="AMNS PARADIP PORT"/>
    <s v=""/>
    <s v=""/>
    <s v="7414HAZI"/>
    <s v="20058183"/>
    <s v="Pranabendra Barman"/>
    <s v="No"/>
    <s v="hetal.lad@amns.in"/>
    <s v="9925240156"/>
    <s v="1026861"/>
    <s v="Manjit Shah"/>
    <s v="Anil Matoo"/>
    <n v="0"/>
    <s v="Manjit Shah"/>
    <n v="0"/>
  </r>
  <r>
    <n v="5948"/>
    <n v="20058229"/>
    <s v="Madhvi Gangani"/>
    <s v="AM/NS Ports Hazira"/>
    <s v="Onroll"/>
    <s v="M-10"/>
    <n v="10"/>
    <m/>
    <s v="JM"/>
    <s v="F"/>
    <s v="Hazira"/>
    <n v="1"/>
    <s v="74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Hazira"/>
    <d v="1991-11-08T00:00:00"/>
    <s v="31.10"/>
    <d v="2019-09-02T00:00:00"/>
    <d v="2049-11-30T00:00:00"/>
    <m/>
    <d v="2049-11-30T00:00:00"/>
    <n v="9568"/>
    <s v=""/>
    <s v=""/>
    <s v=""/>
    <s v="04.00"/>
    <s v="04.00"/>
    <s v="00051197"/>
    <s v="Finance &amp; Accounts - Ports Hazira"/>
    <s v="304298"/>
    <s v="New Acquisition"/>
    <s v="AMNS PARADIP PORT"/>
    <s v=""/>
    <s v=""/>
    <s v="7400HAZI"/>
    <s v="20058184"/>
    <s v="Rama Barik"/>
    <s v="No"/>
    <s v="madhvi.gangani@amns.in"/>
    <s v="9925240307"/>
    <s v="1026862"/>
    <s v="Manjit Shah"/>
    <s v="Anil Matoo"/>
    <n v="0"/>
    <s v="Manjit Shah"/>
    <n v="0"/>
  </r>
  <r>
    <n v="5949"/>
    <n v="20058230"/>
    <s v="Preeti Ray"/>
    <s v="AM/NS Ports Hazira"/>
    <s v="Onroll"/>
    <s v="M-10"/>
    <n v="10"/>
    <m/>
    <s v="J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92-05-26T00:00:00"/>
    <s v="31.03"/>
    <d v="2019-09-02T00:00:00"/>
    <d v="2050-05-31T00:00:00"/>
    <m/>
    <d v="2050-05-31T00:00:00"/>
    <n v="9750"/>
    <s v=""/>
    <s v=""/>
    <s v=""/>
    <s v="04.00"/>
    <s v="04.00"/>
    <s v="00051196"/>
    <s v="Procurement - Ports Hazira"/>
    <s v="304299"/>
    <s v="New Acquisition"/>
    <s v="AMNS PARADIP PORT"/>
    <s v=""/>
    <s v=""/>
    <s v="7414HAZI"/>
    <s v="20058183"/>
    <s v="Pranabendra Barman"/>
    <s v="No"/>
    <s v="preeti.ray@amns.in"/>
    <s v="9687634295"/>
    <s v="1026863"/>
    <s v="Manjit Shah"/>
    <s v="Anil Matoo"/>
    <n v="0"/>
    <s v="Manjit Shah"/>
    <n v="0"/>
  </r>
  <r>
    <n v="5950"/>
    <n v="20058231"/>
    <s v="Bhumika Patel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91-05-29T00:00:00"/>
    <s v="32.03"/>
    <d v="2019-09-02T00:00:00"/>
    <d v="2049-05-31T00:00:00"/>
    <m/>
    <d v="2049-05-31T00:00:00"/>
    <n v="9385"/>
    <s v=""/>
    <s v=""/>
    <s v=""/>
    <s v="04.00"/>
    <s v="04.00"/>
    <s v="00051197"/>
    <s v="Finance &amp; Accounts - Ports Hazira"/>
    <s v="304300"/>
    <s v="New Acquisition"/>
    <s v="AMNS PARADIP PORT"/>
    <s v=""/>
    <s v=""/>
    <s v="7404HAZI"/>
    <s v="20016107"/>
    <s v="Kalpesh Thathagar"/>
    <s v="No"/>
    <s v="bhumika.patel1@amns.in"/>
    <s v="9879109021"/>
    <s v="1026864"/>
    <s v="Manjit Shah"/>
    <s v="Anil Matoo"/>
    <n v="0"/>
    <s v="Manjit Shah"/>
    <n v="0"/>
  </r>
  <r>
    <n v="5955"/>
    <n v="20058237"/>
    <s v="Jaykumar Patel"/>
    <s v="AM/NS Ports Hazira"/>
    <s v="Onroll"/>
    <s v="M-10"/>
    <n v="10"/>
    <m/>
    <s v="JM"/>
    <s v="M"/>
    <s v="Hazira"/>
    <n v="1"/>
    <s v="74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Hazira"/>
    <d v="1990-11-24T00:00:00"/>
    <s v="32.09"/>
    <d v="2020-01-02T00:00:00"/>
    <d v="2048-11-30T00:00:00"/>
    <m/>
    <d v="2048-11-30T00:00:00"/>
    <n v="9203"/>
    <s v=""/>
    <s v=""/>
    <s v=""/>
    <s v="03.08"/>
    <s v="03.08"/>
    <s v="00051197"/>
    <s v="Finance &amp; Accounts - Ports Hazira"/>
    <s v="304306"/>
    <s v="New Acquisition"/>
    <s v="AMNS PARADIP PORT"/>
    <s v=""/>
    <s v=""/>
    <s v="7400HAZI"/>
    <s v="20058184"/>
    <s v="Rama Barik"/>
    <s v="No"/>
    <s v="jaykumar.patel3@amns.in"/>
    <s v="9925240972"/>
    <s v="1026870"/>
    <s v="Manjit Shah"/>
    <s v="Anil Matoo"/>
    <n v="0"/>
    <s v="Manjit Shah"/>
    <n v="0"/>
  </r>
  <r>
    <n v="5956"/>
    <n v="20058238"/>
    <s v="Prashant Naresh Gandhi"/>
    <s v="AM/NS Ports Hazira"/>
    <s v="Onroll"/>
    <s v="M-10"/>
    <n v="10"/>
    <m/>
    <s v="JM"/>
    <s v="M"/>
    <s v="Hazira"/>
    <n v="1"/>
    <s v="7407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85-07-20T00:00:00"/>
    <s v="38.02"/>
    <d v="2020-01-02T00:00:00"/>
    <d v="2043-07-31T00:00:00"/>
    <m/>
    <d v="2043-07-31T00:00:00"/>
    <n v="7254"/>
    <s v=""/>
    <s v=""/>
    <s v=""/>
    <s v="03.08"/>
    <s v="03.08"/>
    <s v="00051198"/>
    <s v="Human Resources"/>
    <s v="304307"/>
    <s v="New Acquisition"/>
    <s v="AMNS PARADIP PORT"/>
    <s v=""/>
    <s v=""/>
    <s v="7407HAZI"/>
    <s v="20058248"/>
    <s v="Mehulkumar Jariwala"/>
    <s v="No"/>
    <s v="prashant.gandhi@amns.in"/>
    <s v="9925249676"/>
    <s v="1026871"/>
    <s v="Manjit Shah"/>
    <s v="Anil Matoo"/>
    <n v="0"/>
    <s v="Manjit Shah"/>
    <n v="0"/>
  </r>
  <r>
    <n v="5957"/>
    <n v="20058239"/>
    <s v="Pratikkumar Patel"/>
    <s v="AM/NS Ports Hazira"/>
    <s v="Onroll"/>
    <s v="M-10"/>
    <n v="10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7-01-20T00:00:00"/>
    <s v="36.07"/>
    <d v="2020-01-02T00:00:00"/>
    <d v="2045-01-31T00:00:00"/>
    <m/>
    <d v="2045-01-31T00:00:00"/>
    <n v="7804"/>
    <s v=""/>
    <s v=""/>
    <s v=""/>
    <s v="03.08"/>
    <s v="03.08"/>
    <s v="00051197"/>
    <s v="Finance &amp; Accounts - Ports Hazira"/>
    <s v="304308"/>
    <s v="New Acquisition"/>
    <s v="AMNS PARADIP PORT"/>
    <s v=""/>
    <s v=""/>
    <s v="7404HAZI"/>
    <s v="20058184"/>
    <s v="Rama Barik"/>
    <s v="No"/>
    <s v="pratikkumar.patel@amns.in"/>
    <s v="9925249895"/>
    <s v="1042658"/>
    <s v="Manjit Shah"/>
    <s v="Anil Matoo"/>
    <n v="0"/>
    <s v="Manjit Shah"/>
    <n v="0"/>
  </r>
  <r>
    <n v="5961"/>
    <n v="20058243"/>
    <s v="Kitty Mohit Mehta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6-11-18T00:00:00"/>
    <s v="36.10"/>
    <d v="2020-10-05T00:00:00"/>
    <d v="2044-11-30T00:00:00"/>
    <m/>
    <d v="2044-11-30T00:00:00"/>
    <n v="7742"/>
    <s v=""/>
    <s v=""/>
    <s v=""/>
    <s v="02.11"/>
    <s v="02.11"/>
    <s v="00051197"/>
    <s v="Finance &amp; Accounts - Ports Hazira"/>
    <s v="304312"/>
    <s v="New Acquisition"/>
    <s v="AMNS PARADIP PORT"/>
    <s v=""/>
    <s v=""/>
    <s v="7404HAZI"/>
    <s v="20058184"/>
    <s v="Rama Barik"/>
    <s v="No"/>
    <s v="kitty.mehta@amns.in"/>
    <s v="9879108791"/>
    <s v="1026876"/>
    <s v="Manjit Shah"/>
    <s v="Anil Matoo"/>
    <n v="0"/>
    <s v="Manjit Shah"/>
    <n v="0"/>
  </r>
  <r>
    <n v="5963"/>
    <n v="20058245"/>
    <s v="Suvarna Wakhare"/>
    <s v="AM/NS Ports Hazira"/>
    <s v="Onroll"/>
    <s v="M-7"/>
    <n v="7"/>
    <m/>
    <s v="M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79-12-27T00:00:00"/>
    <s v="43.08"/>
    <d v="2021-01-02T00:00:00"/>
    <d v="2037-12-31T00:00:00"/>
    <m/>
    <d v="2037-12-31T00:00:00"/>
    <n v="5216"/>
    <s v=""/>
    <s v=""/>
    <s v=""/>
    <s v="02.08"/>
    <s v="02.08"/>
    <s v="00051196"/>
    <s v="Procurement - Ports Hazira"/>
    <s v="304314"/>
    <s v="New Acquisition"/>
    <s v="AMNS PARADIP PORT"/>
    <s v=""/>
    <s v=""/>
    <s v="7414HAZI"/>
    <s v="20000201"/>
    <s v="Manish Bakriwala"/>
    <s v="No"/>
    <s v="suvarna.wakhare@amns.in"/>
    <s v="9879202829"/>
    <s v="1026879"/>
    <s v="Manjit Shah"/>
    <s v="Anil Matoo"/>
    <n v="0"/>
    <s v="Manjit Shah"/>
    <n v="0"/>
  </r>
  <r>
    <n v="5964"/>
    <n v="20058246"/>
    <s v="Murugesan Konar"/>
    <s v="AM/NS Ports Hazira"/>
    <s v="Onroll"/>
    <s v="M-9"/>
    <n v="9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0-02-11T00:00:00"/>
    <s v="43.07"/>
    <d v="2020-12-28T00:00:00"/>
    <d v="2038-02-28T00:00:00"/>
    <m/>
    <d v="2038-02-28T00:00:00"/>
    <n v="5275"/>
    <s v=""/>
    <s v=""/>
    <s v=""/>
    <s v="02.08"/>
    <s v="02.08"/>
    <s v="00051197"/>
    <s v="Finance &amp; Accounts - Ports Hazira"/>
    <s v="304315"/>
    <s v="New Acquisition"/>
    <s v="AMNS PARADIP PORT"/>
    <s v=""/>
    <s v=""/>
    <s v="7404HAZI"/>
    <s v="20058184"/>
    <s v="Rama Barik"/>
    <s v="No"/>
    <s v="murugesan.konar@amns.in"/>
    <s v="7069756355"/>
    <s v="1026881"/>
    <s v="Manjit Shah"/>
    <s v="Anil Matoo"/>
    <n v="0"/>
    <s v="Manjit Shah"/>
    <n v="0"/>
  </r>
  <r>
    <n v="5965"/>
    <n v="20058247"/>
    <s v="Hemant Bhutra"/>
    <s v="AM/NS Ports Hazira"/>
    <s v="Onroll"/>
    <s v="M-8"/>
    <n v="8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95-04-09T00:00:00"/>
    <s v="28.05"/>
    <d v="2021-07-05T00:00:00"/>
    <d v="2053-04-30T00:00:00"/>
    <m/>
    <d v="2053-04-30T00:00:00"/>
    <n v="10815"/>
    <s v=""/>
    <s v=""/>
    <s v=""/>
    <s v="02.02"/>
    <s v="02.02"/>
    <s v="00051197"/>
    <s v="Finance &amp; Accounts - Ports Hazira"/>
    <s v="304316"/>
    <s v="New Acquisition"/>
    <s v="AMNS PARADIP PORT"/>
    <s v=""/>
    <s v=""/>
    <s v="7404HAZI"/>
    <s v="20058184"/>
    <s v="Rama Barik"/>
    <s v="No"/>
    <s v="hemant.bhutra@amns.in"/>
    <s v="9879106558"/>
    <s v="1025167"/>
    <s v="Manjit Shah"/>
    <s v="Anil Matoo"/>
    <n v="0"/>
    <s v="Manjit Shah"/>
    <n v="0"/>
  </r>
  <r>
    <n v="5966"/>
    <n v="20058248"/>
    <s v="Mehulkumar Jariwala"/>
    <s v="AM/NS Ports Hazira"/>
    <s v="Onroll"/>
    <s v="M-7"/>
    <n v="7"/>
    <m/>
    <s v="MM"/>
    <s v="M"/>
    <s v="Hazira"/>
    <n v="1"/>
    <s v="7407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81-11-19T00:00:00"/>
    <s v="41.09"/>
    <d v="2021-09-01T00:00:00"/>
    <d v="2039-11-30T00:00:00"/>
    <m/>
    <d v="2039-11-30T00:00:00"/>
    <n v="5915"/>
    <s v=""/>
    <s v=""/>
    <s v=""/>
    <s v="02.00"/>
    <s v="02.00"/>
    <s v="00051198"/>
    <s v="Human Resources"/>
    <s v="304317"/>
    <s v="New Acquisition"/>
    <s v="AMNS PARADIP PORT"/>
    <s v=""/>
    <s v=""/>
    <s v="7407HAZI"/>
    <s v="20058139"/>
    <s v="Sunil Tiwari"/>
    <s v="No"/>
    <s v="mehulkumar.jariwala@amns.in"/>
    <s v="9913146802"/>
    <s v="1026885"/>
    <s v="Manjit Shah"/>
    <s v="Anil Matoo"/>
    <n v="0"/>
    <s v="Manjit Shah"/>
    <n v="0"/>
  </r>
  <r>
    <n v="5969"/>
    <n v="20058251"/>
    <s v="Abhishek Bajpai"/>
    <s v="AM/NS Ports Hazira"/>
    <s v="Onroll"/>
    <s v="M-9"/>
    <n v="9"/>
    <m/>
    <s v="JM"/>
    <s v="M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99-02-12T00:00:00"/>
    <s v="24.07"/>
    <d v="2022-05-16T00:00:00"/>
    <d v="2057-02-28T00:00:00"/>
    <m/>
    <d v="2057-02-28T00:00:00"/>
    <n v="12215"/>
    <s v=""/>
    <s v=""/>
    <s v=""/>
    <s v="01.04"/>
    <s v="01.04"/>
    <s v="00051196"/>
    <s v="Procurement - Ports Hazira"/>
    <s v="304320"/>
    <s v="New Acquisition"/>
    <s v="AMNS PARADIP PORT"/>
    <s v=""/>
    <s v=""/>
    <s v="7414HAZI"/>
    <s v="20058183"/>
    <s v="Pranabendra Barman"/>
    <s v="No"/>
    <s v="abhishek.bajpai@amns.in"/>
    <s v="9925246112"/>
    <s v="1026888"/>
    <s v="Manjit Shah"/>
    <s v="Anil Matoo"/>
    <n v="0"/>
    <s v="Manjit Shah"/>
    <n v="0"/>
  </r>
  <r>
    <n v="5985"/>
    <n v="20058270"/>
    <s v="Anant Ghag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5-06-01T00:00:00"/>
    <s v="58.03"/>
    <d v="1988-05-10T00:00:00"/>
    <d v="2025-05-31T00:00:00"/>
    <m/>
    <d v="2025-05-31T00:00:00"/>
    <n v="619"/>
    <s v=""/>
    <s v=""/>
    <s v=""/>
    <s v="35.04"/>
    <s v="35.04"/>
    <s v="00051220"/>
    <s v="Administration &amp; Security"/>
    <s v="304478"/>
    <s v="New Acquisition"/>
    <s v="Khopoli staff"/>
    <s v="0000290006"/>
    <s v="FAC-MIS_DEPT"/>
    <s v="1111KHOP"/>
    <s v="20057887"/>
    <s v="Kiran Vaidya"/>
    <s v="No"/>
    <s v="anant.ghag@amns.in"/>
    <s v="9272434256"/>
    <s v="1042606"/>
    <s v="Pritam Debbarma"/>
    <s v="Anil Matoo"/>
    <s v="-"/>
    <s v="Manjit Shah"/>
    <s v="-"/>
  </r>
  <r>
    <n v="5987"/>
    <n v="20058272"/>
    <s v="Nisha Choudhari"/>
    <s v="AMNS Khopoli"/>
    <s v="Onroll"/>
    <s v="New Acquisition"/>
    <n v="17"/>
    <m/>
    <s v="NA"/>
    <s v="F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3-08-20T00:00:00"/>
    <s v="60.00"/>
    <d v="1990-07-01T00:00:00"/>
    <d v="2023-08-31T00:00:00"/>
    <m/>
    <d v="2023-08-31T00:00:00"/>
    <n v="-20"/>
    <s v=""/>
    <s v=""/>
    <s v=""/>
    <s v="33.02"/>
    <s v="33.02"/>
    <s v="00051220"/>
    <s v="Administration &amp; Security"/>
    <s v="304480"/>
    <s v="New Acquisition"/>
    <s v="Khopoli staff"/>
    <s v="0000290002"/>
    <s v="FAC-PERSONAL &amp; ADM"/>
    <s v="1111KHOP"/>
    <s v="20057887"/>
    <s v="Kiran Vaidya"/>
    <s v="No"/>
    <s v="nisha.chowdhary@amns.in"/>
    <s v="8411970485"/>
    <s v="1021938"/>
    <s v="Pritam Debbarma"/>
    <s v="Anil Matoo"/>
    <s v="-"/>
    <s v="Manjit Shah"/>
    <s v="-"/>
  </r>
  <r>
    <n v="5988"/>
    <n v="20058273"/>
    <s v="Arun Deshmukh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5-02-28T00:00:00"/>
    <s v="58.06"/>
    <d v="1992-11-01T00:00:00"/>
    <d v="2025-02-28T00:00:00"/>
    <m/>
    <d v="2025-02-28T00:00:00"/>
    <n v="527"/>
    <s v=""/>
    <s v=""/>
    <s v=""/>
    <s v="30.10"/>
    <s v="30.10"/>
    <s v="00051389"/>
    <s v="Stores - PRC"/>
    <s v="304481"/>
    <s v="New Acquisition"/>
    <s v="Khopoli staff"/>
    <s v="0000409007"/>
    <s v="PRC-STORES_DEPT"/>
    <s v="1111KHOP"/>
    <s v="20058695"/>
    <s v="Shrigopal Bhati"/>
    <s v="No"/>
    <s v="arun.deshmukh@amns.in"/>
    <s v="8411970066"/>
    <s v="1021942"/>
    <s v="Pritam Debbarma"/>
    <s v="Anil Matoo"/>
    <s v="-"/>
    <s v="Manjit Shah"/>
    <s v="-"/>
  </r>
  <r>
    <n v="5990"/>
    <n v="20058275"/>
    <s v="Vinayak Lot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7-11-18T00:00:00"/>
    <s v="55.10"/>
    <d v="1992-12-28T00:00:00"/>
    <d v="2027-11-30T00:00:00"/>
    <m/>
    <d v="2027-11-30T00:00:00"/>
    <n v="1532"/>
    <s v=""/>
    <s v=""/>
    <s v=""/>
    <s v="30.08"/>
    <s v="30.08"/>
    <s v="00051339"/>
    <s v="Excise"/>
    <s v="304483"/>
    <s v="New Acquisition"/>
    <s v="Khopoli staff"/>
    <s v="0000290001"/>
    <s v="FAC-EXCISE_DEPT"/>
    <s v="1111KHOP"/>
    <s v="40002639"/>
    <s v="Balveer Bhandari"/>
    <s v="No"/>
    <s v="vinayak.lote@amns.in"/>
    <s v="9271446989"/>
    <s v="1021948"/>
    <s v="Pritam Debbarma"/>
    <s v="Anil Matoo"/>
    <s v="-"/>
    <s v="Manjit Shah"/>
    <s v="-"/>
  </r>
  <r>
    <n v="5992"/>
    <n v="20058277"/>
    <s v="Victor Pushparaj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7-10-18T00:00:00"/>
    <s v="55.11"/>
    <d v="1993-08-28T00:00:00"/>
    <d v="2027-10-31T00:00:00"/>
    <m/>
    <d v="2027-10-31T00:00:00"/>
    <n v="1502"/>
    <s v=""/>
    <s v=""/>
    <s v=""/>
    <s v="30.00"/>
    <s v="30.00"/>
    <s v="00051278"/>
    <s v="Stores &amp; Warehouse"/>
    <s v="304485"/>
    <s v="New Acquisition"/>
    <s v="Khopoli staff"/>
    <s v="0000309007"/>
    <s v="CGL-STORES_DEPT"/>
    <s v="1111KHOP"/>
    <s v="20058695"/>
    <s v="Shrigopal Bhati"/>
    <s v="No"/>
    <s v="pvictor.syril@amns.in"/>
    <s v="8411970681"/>
    <s v="1021956"/>
    <s v="Pritam Debbarma"/>
    <s v="Anil Matoo"/>
    <s v="-"/>
    <s v="Manjit Shah"/>
    <s v="-"/>
  </r>
  <r>
    <n v="5994"/>
    <n v="20058279"/>
    <s v="Satish Nair"/>
    <s v="AMNS Khopoli"/>
    <s v="Onroll"/>
    <s v="New Acquisition"/>
    <n v="17"/>
    <m/>
    <s v="NA"/>
    <s v="M"/>
    <s v="Khopoli"/>
    <n v="9"/>
    <n v="1126"/>
    <x v="7"/>
    <s v="34.01"/>
    <s v="Hrishikesh Kamat"/>
    <s v="Hrishikesh Kamat"/>
    <n v="7"/>
    <s v="Procurement"/>
    <s v="Stores &amp; Warehouse"/>
    <s v="34"/>
    <m/>
    <m/>
    <s v="Stores &amp; Warehouse"/>
    <m/>
    <m/>
    <s v="Non Technical Support"/>
    <s v="Operations"/>
    <s v="Operations"/>
    <s v="72103001"/>
    <s v="Operations"/>
    <s v="Khopoli"/>
    <d v="1971-02-09T00:00:00"/>
    <s v="52.07"/>
    <d v="1994-05-04T00:00:00"/>
    <d v="2031-02-28T00:00:00"/>
    <m/>
    <d v="2031-02-28T00:00:00"/>
    <n v="2718"/>
    <s v=""/>
    <s v=""/>
    <s v=""/>
    <s v="29.04"/>
    <s v="29.04"/>
    <s v="00051351"/>
    <s v="Logistics &amp; Stores"/>
    <s v="304487"/>
    <s v="New Acquisition"/>
    <s v="Khopoli staff"/>
    <s v="0000309007"/>
    <s v="CGL-STORES_DEPT"/>
    <s v="1111KHOP"/>
    <s v="20058515"/>
    <s v="Madhusudan Murdhankar"/>
    <s v="No"/>
    <s v="satish.nair@amns.in"/>
    <s v="8411970406"/>
    <s v="1021965"/>
    <s v="Pritam Debbarma"/>
    <s v="Anil Matoo"/>
    <s v="-"/>
    <s v="Manjit Shah"/>
    <s v="-"/>
  </r>
  <r>
    <n v="5997"/>
    <n v="20058283"/>
    <s v="Dattatraya Shiralkar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2-04-20T00:00:00"/>
    <s v="51.05"/>
    <d v="1995-05-15T00:00:00"/>
    <d v="2032-04-30T00:00:00"/>
    <m/>
    <d v="2032-04-30T00:00:00"/>
    <n v="3145"/>
    <s v=""/>
    <s v=""/>
    <s v=""/>
    <s v="28.04"/>
    <s v="28.04"/>
    <s v="00051329"/>
    <s v="Finance &amp; Accounts"/>
    <s v="304491"/>
    <s v="New Acquisition"/>
    <s v="Khopoli staff"/>
    <s v="0000290004"/>
    <s v="FAC-ACCOUTS_DEPT"/>
    <s v="1111KHOP"/>
    <s v="20058805"/>
    <s v="Sunil Sharma"/>
    <s v="No"/>
    <s v="dattatray.shiralkar@amns.in"/>
    <s v="9421161008"/>
    <s v="1021988"/>
    <s v="Pritam Debbarma"/>
    <s v="Anil Matoo"/>
    <s v="-"/>
    <s v="Manjit Shah"/>
    <s v="-"/>
  </r>
  <r>
    <n v="5999"/>
    <n v="20058286"/>
    <s v="Sanjay Sawant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4-10-04T00:00:00"/>
    <s v="58.11"/>
    <d v="1996-04-01T00:00:00"/>
    <d v="2024-10-31T00:00:00"/>
    <m/>
    <d v="2024-10-31T00:00:00"/>
    <n v="407"/>
    <s v=""/>
    <s v=""/>
    <s v=""/>
    <s v="27.05"/>
    <s v="27.05"/>
    <s v="00051329"/>
    <s v="Finance &amp; Accounts"/>
    <s v="304494"/>
    <s v="New Acquisition"/>
    <s v="Khopoli staff"/>
    <s v="0000290004"/>
    <s v="FAC-ACCOUTS_DEPT"/>
    <s v="1111KHOP"/>
    <s v="20058805"/>
    <s v="Sunil Sharma"/>
    <s v="No"/>
    <s v="sanjay.sawant@amns.in"/>
    <s v="8411970624"/>
    <s v="1022005"/>
    <s v="Pritam Debbarma"/>
    <s v="Anil Matoo"/>
    <s v="-"/>
    <s v="Manjit Shah"/>
    <s v="-"/>
  </r>
  <r>
    <n v="6000"/>
    <n v="20058287"/>
    <s v="Madhura Sawant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4-06-01T00:00:00"/>
    <s v="49.03"/>
    <d v="1996-06-19T00:00:00"/>
    <d v="2034-05-31T00:00:00"/>
    <m/>
    <d v="2034-05-31T00:00:00"/>
    <n v="3906"/>
    <s v=""/>
    <s v=""/>
    <s v=""/>
    <s v="27.03"/>
    <s v="27.03"/>
    <s v="00051339"/>
    <s v="Excise"/>
    <s v="304495"/>
    <s v="New Acquisition"/>
    <s v="Khopoli staff"/>
    <s v="0000290001"/>
    <s v="FAC-EXCISE_DEPT"/>
    <s v="1111KHOP"/>
    <s v="40002639"/>
    <s v="Balveer Bhandari"/>
    <s v="No"/>
    <s v="madhura.sawant@amns.in"/>
    <s v="9768355274"/>
    <s v="1022010"/>
    <s v="Pritam Debbarma"/>
    <s v="Anil Matoo"/>
    <s v="-"/>
    <s v="Manjit Shah"/>
    <s v="-"/>
  </r>
  <r>
    <n v="6001"/>
    <n v="20058288"/>
    <s v="Manisha Desai"/>
    <s v="AMNS Khopoli"/>
    <s v="Onroll"/>
    <s v="New Acquisition"/>
    <n v="17"/>
    <m/>
    <s v="NA"/>
    <s v="F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74-04-13T00:00:00"/>
    <s v="49.05"/>
    <d v="1996-07-24T00:00:00"/>
    <d v="2034-04-30T00:00:00"/>
    <m/>
    <d v="2034-04-30T00:00:00"/>
    <n v="3875"/>
    <s v=""/>
    <s v=""/>
    <s v=""/>
    <s v="27.01"/>
    <s v="27.01"/>
    <s v="00051336"/>
    <s v="Industrial Relations"/>
    <s v="304496"/>
    <s v="New Acquisition"/>
    <s v="Khopoli staff"/>
    <s v="0000290002"/>
    <s v="FAC-PERSONAL &amp; ADM"/>
    <s v="1111KHOP"/>
    <s v="20058935"/>
    <s v="Satish Mulay"/>
    <s v="No"/>
    <s v="manisha.desai@amns.in"/>
    <s v="9869363458"/>
    <s v="1022020"/>
    <s v="Pritam Debbarma"/>
    <s v="Anil Matoo"/>
    <n v="0"/>
    <s v="Manjit Shah"/>
    <n v="0"/>
  </r>
  <r>
    <n v="6002"/>
    <n v="20058289"/>
    <s v="Shama Pisat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1-07-20T00:00:00"/>
    <s v="52.02"/>
    <d v="1996-08-28T00:00:00"/>
    <d v="2031-07-31T00:00:00"/>
    <m/>
    <d v="2031-07-31T00:00:00"/>
    <n v="2871"/>
    <s v=""/>
    <s v=""/>
    <s v=""/>
    <s v="27.00"/>
    <s v="27.00"/>
    <s v="00051329"/>
    <s v="Finance &amp; Accounts"/>
    <s v="304497"/>
    <s v="New Acquisition"/>
    <s v="Khopoli staff"/>
    <s v="0000290004"/>
    <s v="FAC-ACCOUTS_DEPT"/>
    <s v="1111KHOP"/>
    <s v="20058805"/>
    <s v="Sunil Sharma"/>
    <s v="No"/>
    <s v="shama.pisat@amns.in"/>
    <s v="9324788359"/>
    <s v="1022028"/>
    <s v="Pritam Debbarma"/>
    <s v="Anil Matoo"/>
    <s v="-"/>
    <s v="Manjit Shah"/>
    <s v="-"/>
  </r>
  <r>
    <n v="6003"/>
    <n v="20058290"/>
    <s v="Abhijit Pinga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3-05-01T00:00:00"/>
    <s v="50.04"/>
    <d v="1997-06-21T00:00:00"/>
    <d v="2033-04-30T00:00:00"/>
    <m/>
    <d v="2033-04-30T00:00:00"/>
    <n v="3510"/>
    <s v=""/>
    <s v=""/>
    <s v=""/>
    <s v="26.03"/>
    <s v="26.03"/>
    <s v="00051278"/>
    <s v="Stores &amp; Warehouse"/>
    <s v="304498"/>
    <s v="New Acquisition"/>
    <s v="Khopoli staff"/>
    <s v="0000309007"/>
    <s v="CGL-STORES_DEPT"/>
    <s v="1111KHOP"/>
    <s v="20058695"/>
    <s v="Shrigopal Bhati"/>
    <s v="No"/>
    <s v="abhijit.pingale@amns.in"/>
    <s v="9423378547"/>
    <s v="1022034"/>
    <s v="Pritam Debbarma"/>
    <s v="Anil Matoo"/>
    <s v="-"/>
    <s v="Manjit Shah"/>
    <s v="-"/>
  </r>
  <r>
    <n v="6005"/>
    <n v="20058292"/>
    <s v="Rajendra Kanase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2-06-02T00:00:00"/>
    <s v="51.03"/>
    <d v="2002-10-12T00:00:00"/>
    <d v="2032-06-30T00:00:00"/>
    <m/>
    <d v="2032-06-30T00:00:00"/>
    <n v="3206"/>
    <s v=""/>
    <s v=""/>
    <s v=""/>
    <s v="20.11"/>
    <s v="20.11"/>
    <s v="00051220"/>
    <s v="Administration &amp; Security"/>
    <s v="304500"/>
    <s v="New Acquisition"/>
    <s v="Khopoli staff"/>
    <s v="0000290006"/>
    <s v="FAC-MIS_DEPT"/>
    <s v="1111KHOP"/>
    <s v="20057887"/>
    <s v="Kiran Vaidya"/>
    <s v="No"/>
    <s v="rajendra.kanase@amns.in"/>
    <s v="8007253791"/>
    <s v="1042608"/>
    <s v="Pritam Debbarma"/>
    <s v="Anil Matoo"/>
    <s v="-"/>
    <s v="Manjit Shah"/>
    <s v="-"/>
  </r>
  <r>
    <n v="6010"/>
    <n v="20058297"/>
    <s v="Susanta Rath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1-01-02T00:00:00"/>
    <s v="52.08"/>
    <d v="2002-08-14T00:00:00"/>
    <d v="2031-01-31T00:00:00"/>
    <m/>
    <d v="2031-01-31T00:00:00"/>
    <n v="2690"/>
    <s v=""/>
    <s v=""/>
    <s v=""/>
    <s v="21.01"/>
    <s v="21.01"/>
    <s v="00051330"/>
    <s v="Accounts - Costing"/>
    <s v="304505"/>
    <s v="New Acquisition"/>
    <s v="Khopoli staff"/>
    <s v="0000290005"/>
    <s v="FAC-COSTING_DEPT"/>
    <s v="1111KHOP"/>
    <s v="0"/>
    <s v=""/>
    <s v="No"/>
    <s v="susanta.rath@amns.in"/>
    <s v="8411970453"/>
    <s v="1022058"/>
    <s v="Pritam Debbarma"/>
    <s v="Anil Matoo"/>
    <s v="-"/>
    <s v="Manjit Shah"/>
    <s v="-"/>
  </r>
  <r>
    <n v="6012"/>
    <n v="20058300"/>
    <s v="Sunita Manurkar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9-09-13T00:00:00"/>
    <s v="44.00"/>
    <d v="2005-04-15T00:00:00"/>
    <d v="2039-09-30T00:00:00"/>
    <m/>
    <d v="2039-09-30T00:00:00"/>
    <n v="5854"/>
    <s v=""/>
    <s v=""/>
    <s v=""/>
    <s v="18.05"/>
    <s v="18.05"/>
    <s v="00051339"/>
    <s v="Excise"/>
    <s v="304508"/>
    <s v="New Acquisition"/>
    <s v="Khopoli staff"/>
    <s v="0000290001"/>
    <s v="FAC-EXCISE_DEPT"/>
    <s v="1111KHOP"/>
    <s v="40002639"/>
    <s v="Balveer Bhandari"/>
    <s v="No"/>
    <s v="sunita.manurkar@amns.in"/>
    <s v="9552698460"/>
    <s v="1042453"/>
    <s v="Pritam Debbarma"/>
    <s v="Anil Matoo"/>
    <s v="-"/>
    <s v="Manjit Shah"/>
    <s v="-"/>
  </r>
  <r>
    <n v="6014"/>
    <n v="20058302"/>
    <s v="Sanjay Thaku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5-07-01T00:00:00"/>
    <s v="48.02"/>
    <d v="2005-11-14T00:00:00"/>
    <d v="2035-06-30T00:00:00"/>
    <m/>
    <d v="2035-06-30T00:00:00"/>
    <n v="4301"/>
    <s v=""/>
    <s v=""/>
    <s v=""/>
    <s v="17.10"/>
    <s v="17.10"/>
    <s v="00051220"/>
    <s v="Administration &amp; Security"/>
    <s v="304510"/>
    <s v="New Acquisition"/>
    <s v="Khopoli staff"/>
    <s v="0000290002"/>
    <s v="FAC-PERSONAL &amp; ADM"/>
    <s v="1111KHOP"/>
    <s v="20057887"/>
    <s v="Kiran Vaidya"/>
    <s v="No"/>
    <s v="sanjay.thakur@amns.in"/>
    <s v="8411970440"/>
    <s v="1022077"/>
    <s v="Pritam Debbarma"/>
    <s v="Anil Matoo"/>
    <s v="-"/>
    <s v="Manjit Shah"/>
    <s v="-"/>
  </r>
  <r>
    <n v="6016"/>
    <n v="20058304"/>
    <s v="Rajesh Kaps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4-03-14T00:00:00"/>
    <s v="49.06"/>
    <d v="2006-02-09T00:00:00"/>
    <d v="2034-03-31T00:00:00"/>
    <m/>
    <d v="2034-03-31T00:00:00"/>
    <n v="3845"/>
    <s v=""/>
    <s v=""/>
    <s v=""/>
    <s v="17.07"/>
    <s v="17.07"/>
    <s v="00051278"/>
    <s v="Stores &amp; Warehouse"/>
    <s v="304512"/>
    <s v="New Acquisition"/>
    <s v="Khopoli staff"/>
    <s v="0000509007"/>
    <s v="CCL-STORES_DEPT"/>
    <s v="1111KHOP"/>
    <s v="20058695"/>
    <s v="Shrigopal Bhati"/>
    <s v="No"/>
    <s v="rajesh.kapse@amns.in"/>
    <s v="9049828180"/>
    <s v="1021920"/>
    <s v="Pritam Debbarma"/>
    <s v="Anil Matoo"/>
    <s v="-"/>
    <s v="Manjit Shah"/>
    <s v="-"/>
  </r>
  <r>
    <n v="6018"/>
    <n v="20058306"/>
    <s v="Shashikumar Panike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7-02-26T00:00:00"/>
    <s v="56.06"/>
    <d v="2007-01-24T00:00:00"/>
    <d v="2027-02-28T00:00:00"/>
    <m/>
    <d v="2027-02-28T00:00:00"/>
    <n v="1257"/>
    <s v=""/>
    <s v=""/>
    <s v=""/>
    <s v="16.07"/>
    <s v="16.07"/>
    <s v="00051220"/>
    <s v="Administration &amp; Security"/>
    <s v="304514"/>
    <s v="New Acquisition"/>
    <s v="Khopoli staff"/>
    <s v="0000290002"/>
    <s v="FAC-PERSONAL &amp; ADM"/>
    <s v="1111KHOP"/>
    <s v="20057887"/>
    <s v="Kiran Vaidya"/>
    <s v="No"/>
    <s v="shashi.m@amns.in"/>
    <s v="8411970677"/>
    <s v="1021931"/>
    <s v="Pritam Debbarma"/>
    <s v="Anil Matoo"/>
    <s v="-"/>
    <s v="Manjit Shah"/>
    <s v="-"/>
  </r>
  <r>
    <n v="6019"/>
    <n v="20058307"/>
    <s v="Jyoti Kajale"/>
    <s v="AMNS Khopoli"/>
    <s v="Onroll"/>
    <s v="New Acquisition"/>
    <n v="17"/>
    <m/>
    <s v="NA"/>
    <s v="F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84-07-07T00:00:00"/>
    <s v="39.02"/>
    <d v="2007-03-05T00:00:00"/>
    <d v="2044-07-31T00:00:00"/>
    <m/>
    <d v="2044-07-31T00:00:00"/>
    <n v="7620"/>
    <s v=""/>
    <s v=""/>
    <s v=""/>
    <s v="16.06"/>
    <s v="16.06"/>
    <s v="00051336"/>
    <s v="Industrial Relations"/>
    <s v="304515"/>
    <s v="New Acquisition"/>
    <s v="Khopoli staff"/>
    <s v="0000290002"/>
    <s v="FAC-PERSONAL &amp; ADM"/>
    <s v="1111KHOP"/>
    <s v="20058935"/>
    <s v="Satish Mulay"/>
    <s v="No"/>
    <s v="jyoti.kajale@amns.in"/>
    <s v="9595361138"/>
    <s v="1021934"/>
    <s v="Pritam Debbarma"/>
    <s v="Anil Matoo"/>
    <n v="0"/>
    <s v="Manjit Shah"/>
    <n v="0"/>
  </r>
  <r>
    <n v="6020"/>
    <n v="20058308"/>
    <s v="Sudhir Thaku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4-06-01T00:00:00"/>
    <s v="49.03"/>
    <d v="2007-04-16T00:00:00"/>
    <d v="2034-05-31T00:00:00"/>
    <m/>
    <d v="2034-05-31T00:00:00"/>
    <n v="3906"/>
    <s v=""/>
    <s v=""/>
    <s v=""/>
    <s v="16.05"/>
    <s v="16.05"/>
    <s v="00051220"/>
    <s v="Administration &amp; Security"/>
    <s v="304516"/>
    <s v="New Acquisition"/>
    <s v="Khopoli staff"/>
    <s v="0000290002"/>
    <s v="FAC-PERSONAL &amp; ADM"/>
    <s v="1111KHOP"/>
    <s v="20057887"/>
    <s v="Kiran Vaidya"/>
    <s v="No"/>
    <s v="sudhir.thakur@amns.in"/>
    <s v="8411970439"/>
    <s v="1021937"/>
    <s v="Pritam Debbarma"/>
    <s v="Anil Matoo"/>
    <s v="-"/>
    <s v="Manjit Shah"/>
    <s v="-"/>
  </r>
  <r>
    <n v="6021"/>
    <n v="20058309"/>
    <s v="Santosh Salvi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63-12-24T00:00:00"/>
    <s v="59.08"/>
    <d v="2007-05-24T00:00:00"/>
    <d v="2023-12-31T00:00:00"/>
    <m/>
    <d v="2023-12-31T00:00:00"/>
    <n v="102"/>
    <s v=""/>
    <s v=""/>
    <s v=""/>
    <s v="16.03"/>
    <s v="16.03"/>
    <s v="00051336"/>
    <s v="Industrial Relations"/>
    <s v="304517"/>
    <s v="New Acquisition"/>
    <s v="Khopoli staff"/>
    <s v="0000290002"/>
    <s v="FAC-PERSONAL &amp; ADM"/>
    <s v="1111KHOP"/>
    <s v="20058935"/>
    <s v="Satish Mulay"/>
    <s v="No"/>
    <s v="santosh.salvi@amns.in"/>
    <s v="8411970840"/>
    <s v="1021941"/>
    <s v="Pritam Debbarma"/>
    <s v="Anil Matoo"/>
    <n v="0"/>
    <s v="Manjit Shah"/>
    <n v="0"/>
  </r>
  <r>
    <n v="6022"/>
    <n v="20058310"/>
    <s v="Amod Parange"/>
    <s v="AMNS Khopoli"/>
    <s v="Onroll"/>
    <s v="New Acquisition"/>
    <n v="17"/>
    <m/>
    <s v="NA"/>
    <s v="M"/>
    <s v="Khopoli"/>
    <n v="9"/>
    <s v="1123"/>
    <x v="12"/>
    <n v="35.02"/>
    <s v="Hrishikesh Kamat"/>
    <s v="Hrishikesh Kamat"/>
    <n v="7"/>
    <s v="Procurement"/>
    <s v="Land Acquisition"/>
    <s v="35"/>
    <m/>
    <m/>
    <s v="Legal / Land"/>
    <s v=""/>
    <s v=""/>
    <s v="Non Technical Support"/>
    <s v="Operations"/>
    <s v="Operations"/>
    <s v="72103001"/>
    <s v="Operations"/>
    <s v="Khopoli"/>
    <d v="1977-03-04T00:00:00"/>
    <s v="46.06"/>
    <d v="2007-06-01T00:00:00"/>
    <d v="2037-03-31T00:00:00"/>
    <m/>
    <d v="2037-03-31T00:00:00"/>
    <n v="4941"/>
    <s v=""/>
    <s v=""/>
    <s v=""/>
    <s v="16.03"/>
    <s v="16.03"/>
    <s v="00051268"/>
    <s v="Land Acquisition"/>
    <s v="304518"/>
    <s v="New Acquisition"/>
    <s v="Khopoli staff"/>
    <s v="0000290002"/>
    <s v="FAC-PERSONAL &amp; ADM"/>
    <s v="1111KHOP"/>
    <s v="0"/>
    <s v=""/>
    <s v="No"/>
    <s v="amod.parange@amns.in"/>
    <s v="8411970561"/>
    <s v="1021953"/>
    <s v="Pritam Debbarma"/>
    <s v="Anil Matoo"/>
    <s v="-"/>
    <s v="Manjit Shah"/>
    <s v="-"/>
  </r>
  <r>
    <n v="6025"/>
    <n v="20058313"/>
    <s v="Sanjivani Patil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1-06-21T00:00:00"/>
    <s v="42.03"/>
    <d v="2007-09-03T00:00:00"/>
    <d v="2041-06-30T00:00:00"/>
    <m/>
    <d v="2041-06-30T00:00:00"/>
    <n v="6493"/>
    <s v=""/>
    <s v=""/>
    <s v=""/>
    <s v="16.00"/>
    <s v="16.00"/>
    <s v="00051329"/>
    <s v="Finance &amp; Accounts"/>
    <s v="304521"/>
    <s v="New Acquisition"/>
    <s v="Khopoli staff"/>
    <s v="0000290004"/>
    <s v="FAC-ACCOUTS_DEPT"/>
    <s v="1111KHOP"/>
    <s v="20058805"/>
    <s v="Sunil Sharma"/>
    <s v="No"/>
    <s v="sanjivani.patil@amns.in"/>
    <s v="9049827523"/>
    <s v="1021962"/>
    <s v="Pritam Debbarma"/>
    <s v="Anil Matoo"/>
    <s v="-"/>
    <s v="Manjit Shah"/>
    <s v="-"/>
  </r>
  <r>
    <n v="6032"/>
    <n v="20058320"/>
    <s v="Bashir Shaikh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5-01-12T00:00:00"/>
    <s v="58.08"/>
    <d v="2010-03-10T00:00:00"/>
    <d v="2025-01-31T00:00:00"/>
    <m/>
    <d v="2025-01-31T00:00:00"/>
    <n v="499"/>
    <s v=""/>
    <s v=""/>
    <s v=""/>
    <s v="13.06"/>
    <s v="13.06"/>
    <s v="00051329"/>
    <s v="Finance &amp; Accounts"/>
    <s v="304528"/>
    <s v="New Acquisition"/>
    <s v="Khopoli staff"/>
    <s v="0000290004"/>
    <s v="FAC-ACCOUTS_DEPT"/>
    <s v="1111KHOP"/>
    <s v="20058805"/>
    <s v="Sunil Sharma"/>
    <s v="No"/>
    <s v="bashir.shaikh@amns.in"/>
    <s v="9421161095"/>
    <s v="1021987"/>
    <s v="Pritam Debbarma"/>
    <s v="Anil Matoo"/>
    <s v="-"/>
    <s v="Manjit Shah"/>
    <s v="-"/>
  </r>
  <r>
    <n v="6036"/>
    <n v="20058324"/>
    <s v="Ashwini Sakpal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90-04-11T00:00:00"/>
    <s v="33.05"/>
    <d v="2011-05-09T00:00:00"/>
    <d v="2050-04-30T00:00:00"/>
    <m/>
    <d v="2050-04-30T00:00:00"/>
    <n v="9719"/>
    <s v=""/>
    <s v=""/>
    <s v=""/>
    <s v="12.04"/>
    <s v="12.04"/>
    <s v="00051378"/>
    <s v="Exports - Marketing"/>
    <s v="304532"/>
    <s v="New Acquisition"/>
    <s v="Khopoli staff"/>
    <s v="0000100014"/>
    <s v="HOM-SALE&amp;MKTG-EXPORT"/>
    <s v="1111KHOP"/>
    <s v="20058801"/>
    <s v="Shubhangi Patil"/>
    <s v="No"/>
    <s v="ashwini.chalke@amns.in"/>
    <s v="9881307522"/>
    <s v="1022033"/>
    <s v="Pritam Debbarma"/>
    <s v="Anil Matoo"/>
    <s v="-"/>
    <s v="Manjit Shah"/>
    <s v="-"/>
  </r>
  <r>
    <n v="6054"/>
    <n v="20058342"/>
    <s v="Sandip Patil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3-02-10T00:00:00"/>
    <s v="50.07"/>
    <d v="1994-11-21T00:00:00"/>
    <d v="2033-02-28T00:00:00"/>
    <m/>
    <d v="2033-02-28T00:00:00"/>
    <n v="3449"/>
    <s v=""/>
    <s v=""/>
    <s v=""/>
    <s v="28.09"/>
    <s v="28.09"/>
    <s v="00051278"/>
    <s v="Stores &amp; Warehouse"/>
    <s v="304550"/>
    <s v="New Acquisition"/>
    <s v="Khopoli staff"/>
    <s v="0000209007"/>
    <s v="CRM-STORES_DEPT"/>
    <s v="1111KHOP"/>
    <s v="20058695"/>
    <s v="Shrigopal Bhati"/>
    <s v="No"/>
    <s v="sandip.patil@amns.in"/>
    <s v="8411970609"/>
    <s v="1022094"/>
    <s v="Pritam Debbarma"/>
    <s v="Anil Matoo"/>
    <s v="-"/>
    <s v="Manjit Shah"/>
    <s v="-"/>
  </r>
  <r>
    <n v="6069"/>
    <n v="20058357"/>
    <s v="Samadhan Sakhar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9-09-16T00:00:00"/>
    <s v="54.00"/>
    <d v="1995-12-20T00:00:00"/>
    <d v="2029-09-30T00:00:00"/>
    <m/>
    <d v="2029-09-30T00:00:00"/>
    <n v="2202"/>
    <s v=""/>
    <s v=""/>
    <s v=""/>
    <s v="27.09"/>
    <s v="27.09"/>
    <s v="00051278"/>
    <s v="Stores &amp; Warehouse"/>
    <s v="304565"/>
    <s v="New Acquisition"/>
    <s v="Khopoli staff"/>
    <s v="0000209007"/>
    <s v="CRM-STORES_DEPT"/>
    <s v="1111KHOP"/>
    <s v="20058695"/>
    <s v="Shrigopal Bhati"/>
    <s v="No"/>
    <s v="samadhan.sakhare@amns.in"/>
    <s v="7767808350"/>
    <s v="1022049"/>
    <s v="Pritam Debbarma"/>
    <s v="Anil Matoo"/>
    <s v="-"/>
    <s v="Manjit Shah"/>
    <s v="-"/>
  </r>
  <r>
    <n v="6073"/>
    <n v="20058362"/>
    <s v="Pravin Waghu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8-04-12T00:00:00"/>
    <s v="55.05"/>
    <d v="1996-04-04T00:00:00"/>
    <d v="2028-04-30T00:00:00"/>
    <m/>
    <d v="2028-04-30T00:00:00"/>
    <n v="1684"/>
    <s v=""/>
    <s v=""/>
    <s v=""/>
    <s v="27.05"/>
    <s v="27.05"/>
    <s v="00051278"/>
    <s v="Stores &amp; Warehouse"/>
    <s v="304570"/>
    <s v="New Acquisition"/>
    <s v="Khopoli staff"/>
    <s v="0000249007"/>
    <s v="SSC-STORES_DEPT"/>
    <s v="1111KHOP"/>
    <s v="20058695"/>
    <s v="Shrigopal Bhati"/>
    <s v="No"/>
    <s v="pravin.waghule@amns.in"/>
    <s v="7769881682"/>
    <s v="1042625"/>
    <s v="Pritam Debbarma"/>
    <s v="Anil Matoo"/>
    <s v="-"/>
    <s v="Manjit Shah"/>
    <s v="-"/>
  </r>
  <r>
    <n v="6075"/>
    <n v="20058364"/>
    <s v="Suresh Malusar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8-02-28T00:00:00"/>
    <s v="55.06"/>
    <d v="1996-04-13T00:00:00"/>
    <d v="2028-02-29T00:00:00"/>
    <m/>
    <d v="2028-02-29T00:00:00"/>
    <n v="1623"/>
    <s v=""/>
    <s v=""/>
    <s v=""/>
    <s v="27.05"/>
    <s v="27.05"/>
    <s v="00051278"/>
    <s v="Stores &amp; Warehouse"/>
    <s v="304572"/>
    <s v="New Acquisition"/>
    <s v="Khopoli staff"/>
    <s v="0000249007"/>
    <s v="SSC-STORES_DEPT"/>
    <s v="1111KHOP"/>
    <s v="20058695"/>
    <s v="Shrigopal Bhati"/>
    <s v="No"/>
    <s v="suresh.malusare@amns.in"/>
    <s v="8411970024"/>
    <s v="1022081"/>
    <s v="Pritam Debbarma"/>
    <s v="Anil Matoo"/>
    <s v="-"/>
    <s v="Manjit Shah"/>
    <s v="-"/>
  </r>
  <r>
    <n v="6102"/>
    <n v="20058392"/>
    <s v="Pratiksha Khare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74-03-20T00:00:00"/>
    <s v="49.06"/>
    <d v="1999-04-28T00:00:00"/>
    <d v="2034-03-31T00:00:00"/>
    <m/>
    <d v="2034-03-31T00:00:00"/>
    <n v="3845"/>
    <s v=""/>
    <s v=""/>
    <s v=""/>
    <s v="24.04"/>
    <s v="24.04"/>
    <s v="00051378"/>
    <s v="Exports - Marketing"/>
    <s v="304600"/>
    <s v="New Acquisition"/>
    <s v="Khopoli staff"/>
    <s v="0000100014"/>
    <s v="HOM-SALE&amp;MKTG-EXPORT"/>
    <s v="1111KHOP"/>
    <s v="20058801"/>
    <s v="Shubhangi Patil"/>
    <s v="No"/>
    <s v="pratiksha.khare@amns.in"/>
    <s v="8411970586"/>
    <s v="1022180"/>
    <s v="Pritam Debbarma"/>
    <s v="Anil Matoo"/>
    <s v="-"/>
    <s v="Manjit Shah"/>
    <s v="-"/>
  </r>
  <r>
    <n v="6116"/>
    <n v="20058406"/>
    <s v="Sameer Paland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6-12T00:00:00"/>
    <s v="47.03"/>
    <d v="1999-04-05T00:00:00"/>
    <d v="2036-06-30T00:00:00"/>
    <m/>
    <d v="2036-06-30T00:00:00"/>
    <n v="4667"/>
    <s v=""/>
    <s v=""/>
    <s v=""/>
    <s v="24.05"/>
    <s v="24.05"/>
    <s v="00051330"/>
    <s v="Accounts - Costing"/>
    <s v="304614"/>
    <s v="New Acquisition"/>
    <s v="Khopoli staff"/>
    <s v="0000290005"/>
    <s v="FAC-COSTING_DEPT"/>
    <s v="1111KHOP"/>
    <s v="20058297"/>
    <s v="Susanta Rath"/>
    <s v="No"/>
    <s v="sameer.palande@amns.in"/>
    <s v="8411970600"/>
    <s v="1022030"/>
    <s v="Pritam Debbarma"/>
    <s v="Anil Matoo"/>
    <s v="-"/>
    <s v="Manjit Shah"/>
    <s v="-"/>
  </r>
  <r>
    <n v="6133"/>
    <n v="20058423"/>
    <s v="Lalit Dhiman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06-19T00:00:00"/>
    <s v="57.03"/>
    <d v="2003-11-18T00:00:00"/>
    <d v="2026-06-30T00:00:00"/>
    <m/>
    <d v="2026-06-30T00:00:00"/>
    <n v="1014"/>
    <s v=""/>
    <s v=""/>
    <s v=""/>
    <s v="19.10"/>
    <s v="19.10"/>
    <s v="00051339"/>
    <s v="Excise"/>
    <s v="304631"/>
    <s v="New Acquisition"/>
    <s v="Khopoli staff"/>
    <s v="0000290001"/>
    <s v="FAC-EXCISE_DEPT"/>
    <s v="1111KHOP"/>
    <s v="40002639"/>
    <s v="Balveer Bhandari"/>
    <s v="No"/>
    <s v="lalit.dhiman@amns.in"/>
    <s v="9769837007"/>
    <s v="1022075"/>
    <s v="Pritam Debbarma"/>
    <s v="Anil Matoo"/>
    <s v="-"/>
    <s v="Manjit Shah"/>
    <s v="-"/>
  </r>
  <r>
    <n v="6167"/>
    <n v="20058460"/>
    <s v="Nazir Danwad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9-03-07T00:00:00"/>
    <s v="44.06"/>
    <d v="2003-12-16T00:00:00"/>
    <d v="2039-03-31T00:00:00"/>
    <m/>
    <d v="2039-03-31T00:00:00"/>
    <n v="5671"/>
    <s v=""/>
    <s v=""/>
    <s v=""/>
    <s v="19.09"/>
    <s v="19.09"/>
    <s v="00051330"/>
    <s v="Accounts - Costing"/>
    <s v="304668"/>
    <s v="New Acquisition"/>
    <s v="Khopoli staff"/>
    <s v="0000290005"/>
    <s v="FAC-COSTING_DEPT"/>
    <s v="1111KHOP"/>
    <s v="20058297"/>
    <s v="Susanta Rath"/>
    <s v="No"/>
    <s v="nazir.danawade@amns.in"/>
    <s v="8411970647"/>
    <s v="1022119"/>
    <s v="Pritam Debbarma"/>
    <s v="Anil Matoo"/>
    <s v="-"/>
    <s v="Manjit Shah"/>
    <s v="-"/>
  </r>
  <r>
    <n v="6169"/>
    <n v="20058462"/>
    <s v="Shailesh Gambhi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3-07-04T00:00:00"/>
    <s v="40.02"/>
    <d v="2005-08-17T00:00:00"/>
    <d v="2043-07-31T00:00:00"/>
    <m/>
    <d v="2043-07-31T00:00:00"/>
    <n v="7254"/>
    <s v=""/>
    <s v=""/>
    <s v=""/>
    <s v="18.01"/>
    <s v="18.01"/>
    <s v="00051278"/>
    <s v="Stores &amp; Warehouse"/>
    <s v="304670"/>
    <s v="New Acquisition"/>
    <s v="Khopoli staff"/>
    <s v="0000219007"/>
    <s v="TRM-STORES_DEPT"/>
    <s v="1111KHOP"/>
    <s v="20058695"/>
    <s v="Shrigopal Bhati"/>
    <s v="No"/>
    <s v="shailesh.gambhir@amns.in"/>
    <s v="9673126976"/>
    <s v="1022123"/>
    <s v="Pritam Debbarma"/>
    <s v="Anil Matoo"/>
    <s v="-"/>
    <s v="Manjit Shah"/>
    <s v="-"/>
  </r>
  <r>
    <n v="6173"/>
    <n v="20058466"/>
    <s v="Rakesh Patil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2-12-05T00:00:00"/>
    <s v="40.09"/>
    <d v="2006-01-09T00:00:00"/>
    <d v="2042-12-31T00:00:00"/>
    <m/>
    <d v="2042-12-31T00:00:00"/>
    <n v="7042"/>
    <s v=""/>
    <s v=""/>
    <s v=""/>
    <s v="17.08"/>
    <s v="17.08"/>
    <s v="00051278"/>
    <s v="Stores &amp; Warehouse"/>
    <s v="304674"/>
    <s v="New Acquisition"/>
    <s v="Khopoli staff"/>
    <s v="0000209007"/>
    <s v="CRM-STORES_DEPT"/>
    <s v="1111KHOP"/>
    <s v="20058695"/>
    <s v="Shrigopal Bhati"/>
    <s v="No"/>
    <s v="rakesh.patil2@amns.in"/>
    <s v="9823930232"/>
    <s v="1042685"/>
    <s v="Pritam Debbarma"/>
    <s v="Anil Matoo"/>
    <s v="-"/>
    <s v="Manjit Shah"/>
    <s v="-"/>
  </r>
  <r>
    <n v="6205"/>
    <n v="20058500"/>
    <s v="Bhushan Ghosalka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4-05-19T00:00:00"/>
    <s v="39.04"/>
    <d v="2007-08-09T00:00:00"/>
    <d v="2044-05-31T00:00:00"/>
    <m/>
    <d v="2044-05-31T00:00:00"/>
    <n v="7559"/>
    <s v=""/>
    <s v=""/>
    <s v=""/>
    <s v="16.01"/>
    <s v="16.01"/>
    <s v="00051278"/>
    <s v="Stores &amp; Warehouse"/>
    <s v="304708"/>
    <s v="New Acquisition"/>
    <s v="Khopoli staff"/>
    <s v="0000209007"/>
    <s v="CRM-STORES_DEPT"/>
    <s v="1111KHOP"/>
    <s v="20058695"/>
    <s v="Shrigopal Bhati"/>
    <s v="No"/>
    <s v="bhushan.ghosalkar@amns.in"/>
    <s v="8087771694"/>
    <s v="1042697"/>
    <s v="Pritam Debbarma"/>
    <s v="Anil Matoo"/>
    <s v="-"/>
    <s v="Manjit Shah"/>
    <s v="-"/>
  </r>
  <r>
    <n v="6207"/>
    <n v="20058502"/>
    <s v="Wilson Ratnam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8-04-15T00:00:00"/>
    <s v="45.05"/>
    <d v="2007-09-07T00:00:00"/>
    <d v="2038-04-30T00:00:00"/>
    <m/>
    <d v="2038-04-30T00:00:00"/>
    <n v="5336"/>
    <s v=""/>
    <s v=""/>
    <s v=""/>
    <s v="16.00"/>
    <s v="16.00"/>
    <s v="00051351"/>
    <s v="Logistics &amp; Stores"/>
    <s v="304710"/>
    <s v="New Acquisition"/>
    <s v="Khopoli staff"/>
    <s v="0000909007"/>
    <s v="NPP - STORES_DEPT"/>
    <s v="1111KHOP"/>
    <s v="20058515"/>
    <s v="Madhusudan Murdhankar"/>
    <s v="No"/>
    <s v="wilson.ratnam@amns.in"/>
    <s v="9823722478"/>
    <s v="1042698"/>
    <s v="Pritam Debbarma"/>
    <s v="Anil Matoo"/>
    <s v="-"/>
    <s v="Manjit Shah"/>
    <s v="-"/>
  </r>
  <r>
    <n v="6219"/>
    <n v="20058515"/>
    <s v="Madhusudan Murdhanka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6-05-24T00:00:00"/>
    <s v="57.03"/>
    <d v="2007-12-18T00:00:00"/>
    <d v="2026-05-31T00:00:00"/>
    <m/>
    <d v="2026-05-31T00:00:00"/>
    <n v="984"/>
    <s v=""/>
    <s v=""/>
    <s v=""/>
    <s v="15.09"/>
    <s v="15.09"/>
    <s v="00051351"/>
    <s v="Logistics &amp; Stores"/>
    <s v="304723"/>
    <s v="New Acquisition"/>
    <s v="Khopoli staff"/>
    <s v="0000909007"/>
    <s v="NPP - STORES_DEPT"/>
    <s v="1111KHOP"/>
    <s v="20058616"/>
    <s v="Vineet Jain"/>
    <s v="No"/>
    <s v="madhusudan.murdhankar@amns.in"/>
    <s v="8411970540"/>
    <s v=""/>
    <s v="Pritam Debbarma"/>
    <s v="Anil Matoo"/>
    <s v="-"/>
    <s v="Manjit Shah"/>
    <s v="-"/>
  </r>
  <r>
    <n v="6252"/>
    <n v="20058549"/>
    <s v="Debendra Sahoo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0-11-27T00:00:00"/>
    <s v="52.09"/>
    <d v="2008-08-19T00:00:00"/>
    <d v="2030-11-30T00:00:00"/>
    <m/>
    <d v="2030-11-30T00:00:00"/>
    <n v="2628"/>
    <s v=""/>
    <s v=""/>
    <s v=""/>
    <s v="15.01"/>
    <s v="15.01"/>
    <s v="00051278"/>
    <s v="Stores &amp; Warehouse"/>
    <s v="304757"/>
    <s v="New Acquisition"/>
    <s v="Khopoli staff"/>
    <s v="0000309007"/>
    <s v="CGL-STORES_DEPT"/>
    <s v="1111KHOP"/>
    <s v="20058695"/>
    <s v="Shrigopal Bhati"/>
    <s v="No"/>
    <s v="debendra.sahoo@amns.in"/>
    <s v="9545603945"/>
    <s v="1042476"/>
    <s v="Pritam Debbarma"/>
    <s v="Anil Matoo"/>
    <s v="-"/>
    <s v="Manjit Shah"/>
    <s v="-"/>
  </r>
  <r>
    <n v="6264"/>
    <n v="20058561"/>
    <s v="Dinesh Agiva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5-07-24T00:00:00"/>
    <s v="38.01"/>
    <d v="2009-02-16T00:00:00"/>
    <d v="2045-07-31T00:00:00"/>
    <m/>
    <d v="2045-07-31T00:00:00"/>
    <n v="7985"/>
    <s v=""/>
    <s v=""/>
    <s v=""/>
    <s v="14.07"/>
    <s v="14.07"/>
    <s v="00051351"/>
    <s v="Logistics &amp; Stores"/>
    <s v="304769"/>
    <s v="New Acquisition"/>
    <s v="Khopoli staff"/>
    <s v="0000909007"/>
    <s v="NPP - STORES_DEPT"/>
    <s v="1111KHOP"/>
    <s v="20058515"/>
    <s v="Madhusudan Murdhankar"/>
    <s v="No"/>
    <s v="dinesh.agivale@amns.in"/>
    <s v="8554910546"/>
    <s v="1042731"/>
    <s v="Pritam Debbarma"/>
    <s v="Anil Matoo"/>
    <s v="-"/>
    <s v="Manjit Shah"/>
    <s v="-"/>
  </r>
  <r>
    <n v="6286"/>
    <n v="20058584"/>
    <s v="Santhosh Raghava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outh"/>
    <s v="Hypermart"/>
    <s v=""/>
    <s v="Non Technical Support"/>
    <s v="Operations"/>
    <s v="Operations"/>
    <s v="72103001"/>
    <s v="Operations"/>
    <s v="Chennai"/>
    <d v="1966-05-04T00:00:00"/>
    <s v="57.04"/>
    <d v="2008-01-21T00:00:00"/>
    <d v="2026-05-31T00:00:00"/>
    <m/>
    <d v="2026-05-31T00:00:00"/>
    <n v="984"/>
    <s v=""/>
    <s v=""/>
    <s v=""/>
    <s v="15.07"/>
    <s v="15.07"/>
    <s v="00051380"/>
    <s v="Sales &amp; Marketing"/>
    <s v="304792"/>
    <s v="New Acquisition"/>
    <s v="Khopoli staff"/>
    <s v="0000290012"/>
    <s v="FAC-MARKETING CO-ORD"/>
    <s v="1111KHOP"/>
    <s v="20058920"/>
    <s v="Atul Singh"/>
    <s v="No"/>
    <s v="santosh.raghavan@amns.in"/>
    <s v="8411970402"/>
    <s v="1022150"/>
    <s v="Pritam Debbarma"/>
    <s v="Anil Matoo"/>
    <s v="-"/>
    <s v="Manjit Shah"/>
    <s v="-"/>
  </r>
  <r>
    <n v="6296"/>
    <n v="20058594"/>
    <s v="Praveen Singh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1-02-02T00:00:00"/>
    <s v="42.07"/>
    <d v="2010-03-08T00:00:00"/>
    <d v="2041-02-28T00:00:00"/>
    <m/>
    <d v="2041-02-28T00:00:00"/>
    <n v="6371"/>
    <s v=""/>
    <s v=""/>
    <s v=""/>
    <s v="13.06"/>
    <s v="13.06"/>
    <s v="00051278"/>
    <s v="Stores &amp; Warehouse"/>
    <s v="304802"/>
    <s v="New Acquisition"/>
    <s v="Khopoli staff"/>
    <s v="0000209007"/>
    <s v="CRM-STORES_DEPT"/>
    <s v="1111KHOP"/>
    <s v="20058695"/>
    <s v="Shrigopal Bhati"/>
    <s v="No"/>
    <s v="praveen.singh@amns.in"/>
    <s v="8237740145"/>
    <s v="1022211"/>
    <s v="Pritam Debbarma"/>
    <s v="Anil Matoo"/>
    <s v="-"/>
    <s v="Manjit Shah"/>
    <s v="-"/>
  </r>
  <r>
    <n v="6299"/>
    <n v="20058597"/>
    <s v="Shashi Rai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9-07-01T00:00:00"/>
    <s v="44.02"/>
    <d v="2010-04-19T00:00:00"/>
    <d v="2039-06-30T00:00:00"/>
    <m/>
    <d v="2039-06-30T00:00:00"/>
    <n v="5762"/>
    <s v=""/>
    <s v=""/>
    <s v=""/>
    <s v="13.05"/>
    <s v="13.05"/>
    <s v="73800002"/>
    <s v="Procurement - Pune Asset"/>
    <s v="304805"/>
    <s v="New Acquisition"/>
    <s v="Khopoli staff"/>
    <s v="0000100010"/>
    <s v="HOM-COMM. &amp; PROCTS"/>
    <s v="1111KHOP"/>
    <s v="20006536"/>
    <s v="Mahesh Salunke"/>
    <s v="No"/>
    <s v="shashi.rai@amns.in"/>
    <s v="8149908545"/>
    <s v="1042479"/>
    <s v="Pritam Debbarma"/>
    <s v="Anil Matoo"/>
    <s v="-"/>
    <s v="Manjit Shah"/>
    <s v="-"/>
  </r>
  <r>
    <n v="6305"/>
    <n v="20058603"/>
    <s v="Anil Lad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1-02-17T00:00:00"/>
    <s v="42.07"/>
    <d v="2010-06-07T00:00:00"/>
    <d v="2041-02-28T00:00:00"/>
    <m/>
    <d v="2041-02-28T00:00:00"/>
    <n v="6371"/>
    <s v=""/>
    <s v=""/>
    <s v=""/>
    <s v="13.03"/>
    <s v="13.03"/>
    <s v="00051278"/>
    <s v="Stores &amp; Warehouse"/>
    <s v="304811"/>
    <s v="New Acquisition"/>
    <s v="Khopoli staff"/>
    <s v="0000209007"/>
    <s v="CRM-STORES_DEPT"/>
    <s v="1111KHOP"/>
    <s v="20058695"/>
    <s v="Shrigopal Bhati"/>
    <s v="No"/>
    <s v="anil.lad@amns.in"/>
    <s v="9922321932"/>
    <s v="1021933"/>
    <s v="Pritam Debbarma"/>
    <s v="Anil Matoo"/>
    <s v="-"/>
    <s v="Manjit Shah"/>
    <s v="-"/>
  </r>
  <r>
    <n v="6308"/>
    <n v="20058606"/>
    <s v="Swapnil Dalv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84-05-03T00:00:00"/>
    <s v="39.04"/>
    <d v="2010-06-11T00:00:00"/>
    <d v="2044-05-31T00:00:00"/>
    <m/>
    <d v="2044-05-31T00:00:00"/>
    <n v="7559"/>
    <s v=""/>
    <s v=""/>
    <s v=""/>
    <s v="13.03"/>
    <s v="13.03"/>
    <s v="00051380"/>
    <s v="Sales &amp; Marketing"/>
    <s v="304814"/>
    <s v="New Acquisition"/>
    <s v="Khopoli staff"/>
    <s v="0000290012"/>
    <s v="FAC-MARKETING CO-ORD"/>
    <s v="1111KHOP"/>
    <s v="20058920"/>
    <s v="Atul Singh"/>
    <s v="No"/>
    <s v="swapnil.dalvi@amns.in"/>
    <s v="8411970487"/>
    <s v="1021969"/>
    <s v="Pritam Debbarma"/>
    <s v="Anil Matoo"/>
    <s v="-"/>
    <s v="Manjit Shah"/>
    <s v="-"/>
  </r>
  <r>
    <n v="6330"/>
    <n v="20058628"/>
    <s v="Netra Deore"/>
    <s v="AMNS Khopoli"/>
    <s v="Onroll"/>
    <s v="New Acquisition"/>
    <n v="17"/>
    <m/>
    <s v="NA"/>
    <s v="F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2-12-01T00:00:00"/>
    <s v="40.09"/>
    <d v="2011-04-01T00:00:00"/>
    <d v="2042-11-30T00:00:00"/>
    <m/>
    <d v="2042-11-30T00:00:00"/>
    <n v="7011"/>
    <s v=""/>
    <s v=""/>
    <s v=""/>
    <s v="12.05"/>
    <s v="12.05"/>
    <s v="73800002"/>
    <s v="Procurement - Pune Asset"/>
    <s v="304836"/>
    <s v="New Acquisition"/>
    <s v="Khopoli staff"/>
    <s v="0000100010"/>
    <s v="HOM-COMM. &amp; PROCTS"/>
    <s v="1111KHOP"/>
    <s v="20006536"/>
    <s v="Mahesh Salunke"/>
    <s v="No"/>
    <s v="netra.deore@amns.in"/>
    <s v="8692966622"/>
    <s v="1022105"/>
    <s v="Pritam Debbarma"/>
    <s v="Anil Matoo"/>
    <s v="-"/>
    <s v="Manjit Shah"/>
    <s v="-"/>
  </r>
  <r>
    <n v="6351"/>
    <n v="20058650"/>
    <s v="Anup Karn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87-09-05T00:00:00"/>
    <s v="36.00"/>
    <d v="2011-10-14T00:00:00"/>
    <d v="2047-09-30T00:00:00"/>
    <m/>
    <d v="2047-09-30T00:00:00"/>
    <n v="8776"/>
    <s v=""/>
    <s v=""/>
    <s v=""/>
    <s v="11.11"/>
    <s v="11.11"/>
    <s v="00051336"/>
    <s v="Industrial Relations"/>
    <s v="304858"/>
    <s v="New Acquisition"/>
    <s v="Khopoli staff"/>
    <s v="0000290002"/>
    <s v="FAC-PERSONAL &amp; ADM"/>
    <s v="1111KHOP"/>
    <s v="20058935"/>
    <s v="Satish Mulay"/>
    <s v="No"/>
    <s v="anup.karn@amns.in"/>
    <s v="8411970685"/>
    <s v="1022137"/>
    <s v="Pritam Debbarma"/>
    <s v="Anil Matoo"/>
    <n v="0"/>
    <s v="Manjit Shah"/>
    <n v="0"/>
  </r>
  <r>
    <n v="6369"/>
    <n v="20058668"/>
    <s v="Eknath Pawa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4-06-04T00:00:00"/>
    <s v="49.03"/>
    <d v="1998-02-03T00:00:00"/>
    <d v="2034-06-30T00:00:00"/>
    <m/>
    <d v="2034-06-30T00:00:00"/>
    <n v="3936"/>
    <s v=""/>
    <s v=""/>
    <s v=""/>
    <s v="25.07"/>
    <s v="25.07"/>
    <s v="00051220"/>
    <s v="Administration &amp; Security"/>
    <s v="304876"/>
    <s v="New Acquisition"/>
    <s v="Khopoli staff"/>
    <s v="0000400000"/>
    <s v="PRC-GENERAL"/>
    <s v="1111KHOP"/>
    <s v="20057887"/>
    <s v="Kiran Vaidya"/>
    <s v="No"/>
    <s v="eknath.pawar@amns.in"/>
    <s v="9923884325"/>
    <s v="1042533"/>
    <s v="Pritam Debbarma"/>
    <s v="Anil Matoo"/>
    <s v="-"/>
    <s v="Manjit Shah"/>
    <s v="-"/>
  </r>
  <r>
    <n v="6377"/>
    <n v="20058676"/>
    <s v="Prakash Bhoi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7-12-12T00:00:00"/>
    <s v="55.09"/>
    <d v="1998-06-25T00:00:00"/>
    <d v="2027-12-31T00:00:00"/>
    <m/>
    <d v="2027-12-31T00:00:00"/>
    <n v="1563"/>
    <s v=""/>
    <s v=""/>
    <s v=""/>
    <s v="25.02"/>
    <s v="25.02"/>
    <s v="00051389"/>
    <s v="Stores - PRC"/>
    <s v="304884"/>
    <s v="New Acquisition"/>
    <s v="Khopoli staff"/>
    <s v="0000409007"/>
    <s v="PRC-STORES_DEPT"/>
    <s v="1111KHOP"/>
    <s v="20058273"/>
    <s v="Arun Deshmukh"/>
    <s v="No"/>
    <s v="prakash.bhoir@amns.in"/>
    <s v="9673537067"/>
    <s v="1022009"/>
    <s v="Pritam Debbarma"/>
    <s v="Anil Matoo"/>
    <s v="-"/>
    <s v="Manjit Shah"/>
    <s v="-"/>
  </r>
  <r>
    <n v="6381"/>
    <n v="20058680"/>
    <s v="Vasant Sanas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0-11-11T00:00:00"/>
    <s v="52.10"/>
    <d v="1998-09-21T00:00:00"/>
    <d v="2030-11-30T00:00:00"/>
    <m/>
    <d v="2030-11-30T00:00:00"/>
    <n v="2628"/>
    <s v=""/>
    <s v=""/>
    <s v=""/>
    <s v="25.00"/>
    <s v="25.00"/>
    <s v="00051339"/>
    <s v="Excise"/>
    <s v="304888"/>
    <s v="New Acquisition"/>
    <s v="Khopoli staff"/>
    <s v="0000290001"/>
    <s v="FAC-EXCISE_DEPT"/>
    <s v="1111KHOP"/>
    <s v="40002639"/>
    <s v="Balveer Bhandari"/>
    <s v="No"/>
    <s v="vasant.sanas@amns.in"/>
    <s v="8411970995"/>
    <s v="1022113"/>
    <s v="Pritam Debbarma"/>
    <s v="Anil Matoo"/>
    <s v="-"/>
    <s v="Manjit Shah"/>
    <s v="-"/>
  </r>
  <r>
    <n v="6396"/>
    <n v="20058695"/>
    <s v="Shrigopal Bhati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5-06-12T00:00:00"/>
    <s v="58.03"/>
    <d v="1999-05-14T00:00:00"/>
    <d v="2025-06-30T00:00:00"/>
    <m/>
    <d v="2025-06-30T00:00:00"/>
    <n v="649"/>
    <s v=""/>
    <s v=""/>
    <s v=""/>
    <s v="24.04"/>
    <s v="24.04"/>
    <s v="00051278"/>
    <s v="Stores &amp; Warehouse"/>
    <s v="304903"/>
    <s v="New Acquisition"/>
    <s v="Khopoli staff"/>
    <s v="0000309007"/>
    <s v="CGL-STORES_DEPT"/>
    <s v="1111KHOP"/>
    <s v="40002638"/>
    <s v="K.V.G Raju"/>
    <s v="No"/>
    <s v="s.bhati@amns.in"/>
    <s v="8411970590"/>
    <s v="1022270"/>
    <s v="Pritam Debbarma"/>
    <s v="Anil Matoo"/>
    <s v="-"/>
    <s v="Manjit Shah"/>
    <s v="-"/>
  </r>
  <r>
    <n v="6424"/>
    <n v="20058724"/>
    <s v="Shankar Patil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7-07-13T00:00:00"/>
    <s v="36.02"/>
    <d v="2010-10-21T00:00:00"/>
    <d v="2047-07-31T00:00:00"/>
    <m/>
    <d v="2047-07-31T00:00:00"/>
    <n v="8715"/>
    <s v=""/>
    <s v=""/>
    <s v=""/>
    <s v="12.10"/>
    <s v="12.10"/>
    <s v="00051278"/>
    <s v="Stores &amp; Warehouse"/>
    <s v="304932"/>
    <s v="New Acquisition"/>
    <s v="Khopoli staff"/>
    <s v="0000509007"/>
    <s v="CCL-STORES_DEPT"/>
    <s v="1111KHOP"/>
    <s v="20058695"/>
    <s v="Shrigopal Bhati"/>
    <s v="No"/>
    <s v="shankar.patil@amns.in"/>
    <s v="9673239477"/>
    <s v="1042792"/>
    <s v="Pritam Debbarma"/>
    <s v="Anil Matoo"/>
    <s v="-"/>
    <s v="Manjit Shah"/>
    <s v="-"/>
  </r>
  <r>
    <n v="6425"/>
    <n v="20058725"/>
    <s v="Sachin Patil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9-11-12T00:00:00"/>
    <s v="43.10"/>
    <d v="2011-05-12T00:00:00"/>
    <d v="2039-11-30T00:00:00"/>
    <m/>
    <d v="2039-11-30T00:00:00"/>
    <n v="5915"/>
    <s v=""/>
    <s v=""/>
    <s v=""/>
    <s v="12.04"/>
    <s v="12.04"/>
    <s v="00051220"/>
    <s v="Administration &amp; Security"/>
    <s v="304933"/>
    <s v="New Acquisition"/>
    <s v="Khopoli staff"/>
    <s v="0000290002"/>
    <s v="FAC-PERSONAL &amp; ADM"/>
    <s v="1111KHOP"/>
    <s v="20057887"/>
    <s v="Kiran Vaidya"/>
    <s v="No"/>
    <s v="sachin.patil24@amns.in"/>
    <s v="7030825777"/>
    <s v="1042793"/>
    <s v="Pritam Debbarma"/>
    <s v="Anil Matoo"/>
    <s v="-"/>
    <s v="Manjit Shah"/>
    <s v="-"/>
  </r>
  <r>
    <n v="6450"/>
    <n v="20058751"/>
    <s v="Mandar Khadilk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67-10-18T00:00:00"/>
    <s v="55.11"/>
    <d v="2005-12-10T00:00:00"/>
    <d v="2027-10-31T00:00:00"/>
    <m/>
    <d v="2027-10-31T00:00:00"/>
    <n v="1502"/>
    <s v=""/>
    <s v=""/>
    <s v=""/>
    <s v="17.09"/>
    <s v="17.09"/>
    <s v="00051378"/>
    <s v="Exports - Marketing"/>
    <s v="304959"/>
    <s v="New Acquisition"/>
    <s v="Khopoli staff"/>
    <s v="0000290012"/>
    <s v="FAC-MARKETING CO-ORD"/>
    <s v="1111KHOP"/>
    <s v="20058801"/>
    <s v="Shubhangi Patil"/>
    <s v="No"/>
    <s v="mandar.khadilkar@amns.in"/>
    <s v="8411970653"/>
    <s v="1022163"/>
    <s v="Pritam Debbarma"/>
    <s v="Anil Matoo"/>
    <s v="-"/>
    <s v="Manjit Shah"/>
    <s v="-"/>
  </r>
  <r>
    <n v="6471"/>
    <n v="20058772"/>
    <s v="Bipinchandra Parekh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Khopoli"/>
    <d v="1971-12-03T00:00:00"/>
    <s v="51.09"/>
    <d v="2007-08-14T00:00:00"/>
    <d v="2031-12-31T00:00:00"/>
    <m/>
    <d v="2031-12-31T00:00:00"/>
    <n v="3024"/>
    <s v=""/>
    <s v=""/>
    <s v=""/>
    <s v="16.01"/>
    <s v="16.01"/>
    <s v="00051356"/>
    <s v="Logistics - MIS / Planning"/>
    <s v="304980"/>
    <s v="New Acquisition"/>
    <s v="Khopoli staff"/>
    <s v="0000319006"/>
    <s v="SGL-LOGISTIC_DEPT"/>
    <s v="1111KHOP"/>
    <s v="40002642"/>
    <s v="Vasant Pandit"/>
    <s v="No"/>
    <s v="bipinchandra.parekh@amns.in"/>
    <s v="9420651432"/>
    <s v="1022247"/>
    <s v="Pritam Debbarma"/>
    <s v="Anil Matoo"/>
    <s v="-"/>
    <s v="Manjit Shah"/>
    <s v="-"/>
  </r>
  <r>
    <n v="6475"/>
    <n v="20058777"/>
    <s v="Shailesh Mang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8-10-30T00:00:00"/>
    <s v="54.10"/>
    <d v="2007-12-01T00:00:00"/>
    <d v="2028-10-31T00:00:00"/>
    <m/>
    <d v="2028-10-31T00:00:00"/>
    <n v="1868"/>
    <s v=""/>
    <s v=""/>
    <s v=""/>
    <s v="15.09"/>
    <s v="15.09"/>
    <s v="00051389"/>
    <s v="Stores - PRC"/>
    <s v="304985"/>
    <s v="New Acquisition"/>
    <s v="Khopoli staff"/>
    <s v="0000409007"/>
    <s v="PRC-STORES_DEPT"/>
    <s v="1111KHOP"/>
    <s v="20058273"/>
    <s v="Arun Deshmukh"/>
    <s v="No"/>
    <s v="shailesh.mangle@amns.in"/>
    <s v="9923734424"/>
    <s v="1022265"/>
    <s v="Pritam Debbarma"/>
    <s v="Anil Matoo"/>
    <s v="-"/>
    <s v="Manjit Shah"/>
    <s v="-"/>
  </r>
  <r>
    <n v="6491"/>
    <n v="20058796"/>
    <s v="Rajany Nair"/>
    <s v="AMNS Khopoli"/>
    <s v="Onroll"/>
    <s v="New Acquisition"/>
    <n v="17"/>
    <m/>
    <s v="NA"/>
    <s v="F"/>
    <s v="Khopoli"/>
    <n v="9"/>
    <s v="1123"/>
    <x v="12"/>
    <n v="35.02"/>
    <s v="Hrishikesh Kamat"/>
    <s v="Hrishikesh Kamat"/>
    <n v="7"/>
    <s v="Procurement"/>
    <s v="Land Acquisition"/>
    <s v="35"/>
    <m/>
    <m/>
    <s v="Legal / Land"/>
    <s v=""/>
    <s v=""/>
    <s v="Non Technical Support"/>
    <s v="Operations"/>
    <s v="Operations"/>
    <s v="72103001"/>
    <s v="Operations"/>
    <s v="Khopoli"/>
    <d v="1972-04-16T00:00:00"/>
    <s v="51.05"/>
    <d v="2008-06-26T00:00:00"/>
    <d v="2032-04-30T00:00:00"/>
    <m/>
    <d v="2032-04-30T00:00:00"/>
    <n v="3145"/>
    <s v=""/>
    <s v=""/>
    <s v=""/>
    <s v="15.02"/>
    <s v="15.02"/>
    <s v="00051268"/>
    <s v="Land Acquisition"/>
    <s v="305004"/>
    <s v="New Acquisition"/>
    <s v="Khopoli staff"/>
    <s v="0000290002"/>
    <s v="FAC-PERSONAL &amp; ADM"/>
    <s v="1111KHOP"/>
    <s v="0"/>
    <s v=""/>
    <s v="No"/>
    <s v="rajany.nair@amns.in"/>
    <s v="8879994201"/>
    <s v="1022095"/>
    <s v="Pritam Debbarma"/>
    <s v="Anil Matoo"/>
    <s v="-"/>
    <s v="Manjit Shah"/>
    <s v="-"/>
  </r>
  <r>
    <n v="6492"/>
    <n v="20058798"/>
    <s v="Abhijeet Kulkarni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7-06-08T00:00:00"/>
    <s v="46.03"/>
    <d v="2007-05-23T00:00:00"/>
    <d v="2037-06-30T00:00:00"/>
    <m/>
    <d v="2037-06-30T00:00:00"/>
    <n v="5032"/>
    <s v=""/>
    <s v=""/>
    <s v=""/>
    <s v="16.03"/>
    <s v="16.03"/>
    <s v="00051338"/>
    <s v="Commercial &amp; Licenses"/>
    <s v="305006"/>
    <s v="New Acquisition"/>
    <s v="Khopoli staff"/>
    <s v="0000100019"/>
    <s v="HOM-COMMERCIAL"/>
    <s v="1111KHOP"/>
    <s v="20054538"/>
    <s v="Niraj Pradeep Khopkar"/>
    <s v="No"/>
    <s v="abhijeet.kulkarni@amns.in"/>
    <s v="8879994148"/>
    <s v=""/>
    <s v="Pritam Debbarma"/>
    <s v="Anil Matoo"/>
    <s v="-"/>
    <s v="Manjit Shah"/>
    <s v="-"/>
  </r>
  <r>
    <n v="6493"/>
    <n v="20058799"/>
    <s v="Rohit Kamat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2-04-22T00:00:00"/>
    <s v="41.04"/>
    <d v="2004-07-01T00:00:00"/>
    <d v="2042-04-30T00:00:00"/>
    <m/>
    <d v="2042-04-30T00:00:00"/>
    <n v="6797"/>
    <s v=""/>
    <s v=""/>
    <s v=""/>
    <s v="19.02"/>
    <s v="19.02"/>
    <s v="00051338"/>
    <s v="Commercial &amp; Licenses"/>
    <s v="305007"/>
    <s v="New Acquisition"/>
    <s v="Khopoli staff"/>
    <s v="0000100019"/>
    <s v="HOM-COMMERCIAL"/>
    <s v="1111KHOP"/>
    <s v="20054538"/>
    <s v="Niraj Pradeep Khopkar"/>
    <s v="No"/>
    <s v="rohit.kamat@amns.in"/>
    <s v="8879994193"/>
    <s v="1022117"/>
    <s v="Pritam Debbarma"/>
    <s v="Anil Matoo"/>
    <s v="-"/>
    <s v="Manjit Shah"/>
    <s v="-"/>
  </r>
  <r>
    <n v="6494"/>
    <n v="20058801"/>
    <s v="Shubhangi Patil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Sales Planning"/>
    <s v=""/>
    <s v="Non Technical Support"/>
    <s v="Operations"/>
    <s v="Operations"/>
    <s v="72103001"/>
    <s v="Operations"/>
    <s v="Khopoli"/>
    <d v="1974-05-25T00:00:00"/>
    <s v="49.03"/>
    <d v="2001-09-07T00:00:00"/>
    <d v="2034-05-31T00:00:00"/>
    <m/>
    <d v="2034-05-31T00:00:00"/>
    <n v="3906"/>
    <s v=""/>
    <s v=""/>
    <s v=""/>
    <s v="22.00"/>
    <s v="22.00"/>
    <s v="00051378"/>
    <s v="Exports - Marketing"/>
    <s v="305009"/>
    <s v="New Acquisition"/>
    <s v="Khopoli staff"/>
    <s v="0000100014"/>
    <s v="HOM-SALE&amp;MKTG-EXPORT"/>
    <s v="1111KHOP"/>
    <s v="20058920"/>
    <s v="Atul Singh"/>
    <s v="No"/>
    <s v="shubhangi.patil@amns.in"/>
    <s v="8879994108"/>
    <s v="1022448"/>
    <s v="Pritam Debbarma"/>
    <s v="Anil Matoo"/>
    <s v="-"/>
    <s v="Manjit Shah"/>
    <s v="-"/>
  </r>
  <r>
    <n v="6495"/>
    <n v="20058804"/>
    <s v="Roy Jos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5-12-03T00:00:00"/>
    <s v="47.09"/>
    <d v="2000-09-11T00:00:00"/>
    <d v="2035-12-31T00:00:00"/>
    <m/>
    <d v="2035-12-31T00:00:00"/>
    <n v="4485"/>
    <s v=""/>
    <s v=""/>
    <s v=""/>
    <s v="23.00"/>
    <s v="23.00"/>
    <s v="00051333"/>
    <s v="Corporate Accounts &amp; Global Reporting"/>
    <s v="305012"/>
    <s v="New Acquisition"/>
    <s v="Khopoli staff"/>
    <s v="0000100006"/>
    <s v="HOM-ACCOUNTS &amp; FIN"/>
    <s v="1111KHOP"/>
    <s v="20055188"/>
    <s v="Rohit Sharma"/>
    <s v="No"/>
    <s v="roy.jose@amns.in"/>
    <s v="8879994164"/>
    <s v="1022182"/>
    <s v="Pritam Debbarma"/>
    <s v="Anil Matoo"/>
    <s v="-"/>
    <s v="Manjit Shah"/>
    <s v="-"/>
  </r>
  <r>
    <n v="6496"/>
    <n v="20058805"/>
    <s v="Sunil Sharma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4-01-01T00:00:00"/>
    <s v="39.08"/>
    <d v="2011-06-15T00:00:00"/>
    <d v="2043-12-31T00:00:00"/>
    <m/>
    <d v="2043-12-31T00:00:00"/>
    <n v="7407"/>
    <s v=""/>
    <s v=""/>
    <s v=""/>
    <s v="12.03"/>
    <s v="12.03"/>
    <s v="00051329"/>
    <s v="Finance &amp; Accounts"/>
    <s v="305013"/>
    <s v="New Acquisition"/>
    <s v="Khopoli staff"/>
    <s v="0000100022"/>
    <s v="HOM-CORPORATE FINANC"/>
    <s v="1111KHOP"/>
    <s v="20055188"/>
    <s v="Rohit Sharma"/>
    <s v="No"/>
    <s v="sunil.sharma1@amns.in"/>
    <s v="8879994167"/>
    <s v="1022195"/>
    <s v="Pritam Debbarma"/>
    <s v="Anil Matoo"/>
    <s v="-"/>
    <s v="Manjit Shah"/>
    <s v="-"/>
  </r>
  <r>
    <n v="6497"/>
    <n v="20058806"/>
    <s v="Clara Dalmeida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7-08-07T00:00:00"/>
    <s v="56.01"/>
    <d v="1994-02-01T00:00:00"/>
    <d v="2027-08-31T00:00:00"/>
    <m/>
    <d v="2027-08-31T00:00:00"/>
    <n v="1441"/>
    <s v=""/>
    <s v=""/>
    <s v=""/>
    <s v="29.07"/>
    <s v="29.07"/>
    <s v="00051329"/>
    <s v="Finance &amp; Accounts"/>
    <s v="305014"/>
    <s v="New Acquisition"/>
    <s v="Khopoli staff"/>
    <s v="0000100006"/>
    <s v="HOM-ACCOUNTS &amp; FIN"/>
    <s v="1111KHOP"/>
    <s v="20058805"/>
    <s v="Sunil Sharma"/>
    <s v="No"/>
    <s v="clara.almeida@amns.in"/>
    <s v="8879994190"/>
    <s v=""/>
    <s v="Pritam Debbarma"/>
    <s v="Anil Matoo"/>
    <s v="-"/>
    <s v="Manjit Shah"/>
    <s v="-"/>
  </r>
  <r>
    <n v="6498"/>
    <n v="20058807"/>
    <s v="Santosh Jairaman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7-07-14T00:00:00"/>
    <s v="46.02"/>
    <d v="2000-08-28T00:00:00"/>
    <d v="2037-07-31T00:00:00"/>
    <m/>
    <d v="2037-07-31T00:00:00"/>
    <n v="5063"/>
    <s v=""/>
    <s v=""/>
    <s v=""/>
    <s v="23.00"/>
    <s v="23.00"/>
    <s v="00051329"/>
    <s v="Finance &amp; Accounts"/>
    <s v="305015"/>
    <s v="New Acquisition"/>
    <s v="Khopoli staff"/>
    <s v="0000100006"/>
    <s v="HOM-ACCOUNTS &amp; FIN"/>
    <s v="1111KHOP"/>
    <s v="20058805"/>
    <s v="Sunil Sharma"/>
    <s v="No"/>
    <s v="santosh.jairaman@amns.in"/>
    <s v="8879994169"/>
    <s v="1022216"/>
    <s v="Pritam Debbarma"/>
    <s v="Anil Matoo"/>
    <s v="-"/>
    <s v="Manjit Shah"/>
    <s v="-"/>
  </r>
  <r>
    <n v="6499"/>
    <n v="20058808"/>
    <s v="Bimal Dutta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01-07T00:00:00"/>
    <s v="57.08"/>
    <d v="2010-03-25T00:00:00"/>
    <d v="2026-01-31T00:00:00"/>
    <m/>
    <d v="2026-01-31T00:00:00"/>
    <n v="864"/>
    <s v=""/>
    <s v=""/>
    <s v=""/>
    <s v="13.05"/>
    <s v="13.05"/>
    <s v="00051329"/>
    <s v="Finance &amp; Accounts"/>
    <s v="305016"/>
    <s v="New Acquisition"/>
    <s v="Khopoli staff"/>
    <s v="0000100006"/>
    <s v="HOM-ACCOUNTS &amp; FIN"/>
    <s v="1111KHOP"/>
    <s v="20058805"/>
    <s v="Sunil Sharma"/>
    <s v="No"/>
    <s v="bimal.dutta@amns.in"/>
    <s v="9702133743"/>
    <s v="1022224"/>
    <s v="Pritam Debbarma"/>
    <s v="Anil Matoo"/>
    <s v="-"/>
    <s v="Manjit Shah"/>
    <s v="-"/>
  </r>
  <r>
    <n v="6500"/>
    <n v="20058809"/>
    <s v="Satyavan Mahapadi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5-11-08T00:00:00"/>
    <s v="47.10"/>
    <d v="2007-05-14T00:00:00"/>
    <d v="2035-11-30T00:00:00"/>
    <m/>
    <d v="2035-11-30T00:00:00"/>
    <n v="4454"/>
    <s v=""/>
    <s v=""/>
    <s v=""/>
    <s v="16.04"/>
    <s v="16.04"/>
    <s v="00051329"/>
    <s v="Finance &amp; Accounts"/>
    <s v="305017"/>
    <s v="New Acquisition"/>
    <s v="Khopoli staff"/>
    <s v="0000100006"/>
    <s v="HOM-ACCOUNTS &amp; FIN"/>
    <s v="1111KHOP"/>
    <s v="20058805"/>
    <s v="Sunil Sharma"/>
    <s v="No"/>
    <s v="satyavan.mahapadi@amns.in"/>
    <s v="8879994176"/>
    <s v="1022231"/>
    <s v="Pritam Debbarma"/>
    <s v="Anil Matoo"/>
    <s v="-"/>
    <s v="Manjit Shah"/>
    <s v="-"/>
  </r>
  <r>
    <n v="6501"/>
    <n v="20058810"/>
    <s v="Umesh Palshikar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5-07-12T00:00:00"/>
    <s v="58.02"/>
    <d v="2007-09-24T00:00:00"/>
    <d v="2025-07-31T00:00:00"/>
    <m/>
    <d v="2025-07-31T00:00:00"/>
    <n v="680"/>
    <s v=""/>
    <s v=""/>
    <s v=""/>
    <s v="15.11"/>
    <s v="15.11"/>
    <s v="00051329"/>
    <s v="Finance &amp; Accounts"/>
    <s v="305018"/>
    <s v="New Acquisition"/>
    <s v="Khopoli staff"/>
    <s v="0000100006"/>
    <s v="HOM-ACCOUNTS &amp; FIN"/>
    <s v="1111KHOP"/>
    <s v="20058805"/>
    <s v="Sunil Sharma"/>
    <s v="No"/>
    <s v="umesh.palshikar@amns.in"/>
    <s v="9820874012"/>
    <s v="1022238"/>
    <s v="Pritam Debbarma"/>
    <s v="Anil Matoo"/>
    <s v="-"/>
    <s v="Manjit Shah"/>
    <s v="-"/>
  </r>
  <r>
    <n v="6502"/>
    <n v="20058811"/>
    <s v="Vijay Vichar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8-09-11T00:00:00"/>
    <s v="45.00"/>
    <d v="2006-04-01T00:00:00"/>
    <d v="2038-09-30T00:00:00"/>
    <m/>
    <d v="2038-09-30T00:00:00"/>
    <n v="5489"/>
    <s v=""/>
    <s v=""/>
    <s v=""/>
    <s v="17.05"/>
    <s v="17.05"/>
    <s v="00051266"/>
    <s v="Internal Audit"/>
    <s v="305019"/>
    <s v="New Acquisition"/>
    <s v="Khopoli staff"/>
    <s v="0000100006"/>
    <s v="HOM-ACCOUNTS &amp; FIN"/>
    <s v="1111KHOP"/>
    <s v="20055486"/>
    <s v="Nilesh Likhite"/>
    <s v="No"/>
    <s v="vijay.vichare@amns.in"/>
    <s v="8879994174"/>
    <s v="1022263"/>
    <s v="Pritam Debbarma"/>
    <s v="Anil Matoo"/>
    <s v="-"/>
    <s v="Manjit Shah"/>
    <s v="-"/>
  </r>
  <r>
    <n v="6503"/>
    <n v="20058812"/>
    <s v="Shailesh Weling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7-04-13T00:00:00"/>
    <s v="46.05"/>
    <d v="2007-03-01T00:00:00"/>
    <d v="2037-04-30T00:00:00"/>
    <m/>
    <d v="2037-04-30T00:00:00"/>
    <n v="4971"/>
    <s v=""/>
    <s v=""/>
    <s v=""/>
    <s v="16.06"/>
    <s v="16.06"/>
    <s v="00051329"/>
    <s v="Finance &amp; Accounts"/>
    <s v="305020"/>
    <s v="New Acquisition"/>
    <s v="Khopoli staff"/>
    <s v="0000100006"/>
    <s v="HOM-ACCOUNTS &amp; FIN"/>
    <s v="1111KHOP"/>
    <s v="20016107"/>
    <s v="Kalpesh Thathagar"/>
    <s v="No"/>
    <s v="shailesh.weling@amns.in"/>
    <s v="9892518215"/>
    <s v="1022268"/>
    <s v="Pritam Debbarma"/>
    <s v="Anil Matoo"/>
    <s v="-"/>
    <s v="Manjit Shah"/>
    <s v="-"/>
  </r>
  <r>
    <n v="6504"/>
    <n v="20058814"/>
    <s v="Philip Abraham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5-28T00:00:00"/>
    <s v="47.03"/>
    <d v="2010-12-15T00:00:00"/>
    <d v="2036-05-31T00:00:00"/>
    <m/>
    <d v="2036-05-31T00:00:00"/>
    <n v="4637"/>
    <s v=""/>
    <s v=""/>
    <s v=""/>
    <s v="12.09"/>
    <s v="12.09"/>
    <s v="00051329"/>
    <s v="Finance &amp; Accounts"/>
    <s v="305022"/>
    <s v="New Acquisition"/>
    <s v="Khopoli staff"/>
    <s v="0000100006"/>
    <s v="HOM-ACCOUNTS &amp; FIN"/>
    <s v="1111KHOP"/>
    <s v="20058805"/>
    <s v="Sunil Sharma"/>
    <s v="No"/>
    <s v="philip.abraham@amns.in"/>
    <s v="9619928587"/>
    <s v="1022281"/>
    <s v="Pritam Debbarma"/>
    <s v="Anil Matoo"/>
    <s v="-"/>
    <s v="Manjit Shah"/>
    <s v="-"/>
  </r>
  <r>
    <n v="6505"/>
    <n v="20058815"/>
    <s v="Sagar Sawant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3-29T00:00:00"/>
    <s v="47.05"/>
    <d v="2007-03-01T00:00:00"/>
    <d v="2036-03-31T00:00:00"/>
    <m/>
    <d v="2036-03-31T00:00:00"/>
    <n v="4576"/>
    <s v=""/>
    <s v=""/>
    <s v=""/>
    <s v="16.06"/>
    <s v="16.06"/>
    <s v="00051329"/>
    <s v="Finance &amp; Accounts"/>
    <s v="305023"/>
    <s v="New Acquisition"/>
    <s v="Khopoli staff"/>
    <s v="0000100006"/>
    <s v="HOM-ACCOUNTS &amp; FIN"/>
    <s v="1111KHOP"/>
    <s v="20058805"/>
    <s v="Sunil Sharma"/>
    <s v="No"/>
    <s v="sagar.sawant@amns.in"/>
    <s v="9870354891"/>
    <s v="1022287"/>
    <s v="Pritam Debbarma"/>
    <s v="Anil Matoo"/>
    <s v="-"/>
    <s v="Manjit Shah"/>
    <s v="-"/>
  </r>
  <r>
    <n v="6506"/>
    <n v="20058819"/>
    <s v="Charusheela Santosh"/>
    <s v="AMNS Khopoli"/>
    <s v="Onroll"/>
    <s v="New Acquisition"/>
    <n v="17"/>
    <m/>
    <s v="NA"/>
    <s v="F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9-07-17T00:00:00"/>
    <s v="44.02"/>
    <d v="2005-11-21T00:00:00"/>
    <d v="2039-07-31T00:00:00"/>
    <m/>
    <d v="2039-07-31T00:00:00"/>
    <n v="5793"/>
    <s v=""/>
    <s v=""/>
    <s v=""/>
    <s v="17.09"/>
    <s v="17.09"/>
    <s v="73800002"/>
    <s v="Procurement - Pune Asset"/>
    <s v="305027"/>
    <s v="New Acquisition"/>
    <s v="Khopoli staff"/>
    <s v="0000100010"/>
    <s v="HOM-COMM. &amp; PROCTS"/>
    <s v="1111KHOP"/>
    <s v="20006536"/>
    <s v="Mahesh Salunke"/>
    <s v="No"/>
    <s v="charusheela.ware@amns.in"/>
    <s v="8879994213"/>
    <s v="1022199"/>
    <s v="Pritam Debbarma"/>
    <s v="Anil Matoo"/>
    <s v="-"/>
    <s v="Manjit Shah"/>
    <s v="-"/>
  </r>
  <r>
    <n v="6507"/>
    <n v="20058820"/>
    <s v="Rajesh Mistry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Other West"/>
    <s v="OEM"/>
    <s v=""/>
    <s v="Non Technical Support"/>
    <s v="Operations"/>
    <s v="Operations"/>
    <s v="72103001"/>
    <s v="Operations"/>
    <s v="Pune"/>
    <d v="1969-04-04T00:00:00"/>
    <s v="54.05"/>
    <d v="2007-05-14T00:00:00"/>
    <d v="2029-04-30T00:00:00"/>
    <m/>
    <d v="2029-04-30T00:00:00"/>
    <n v="2049"/>
    <s v=""/>
    <s v=""/>
    <s v=""/>
    <s v="16.04"/>
    <s v="16.04"/>
    <s v="00051380"/>
    <s v="Sales &amp; Marketing"/>
    <s v="305028"/>
    <s v="New Acquisition"/>
    <s v="Khopoli staff"/>
    <s v="0000120001"/>
    <s v="PUNE BRANCH"/>
    <s v="1111KHOP"/>
    <s v="20058920"/>
    <s v="Atul Singh"/>
    <s v="No"/>
    <s v="rajesh.mistry@amns.in"/>
    <s v="9923004854"/>
    <s v="1022204"/>
    <s v="Pritam Debbarma"/>
    <s v="Anil Matoo"/>
    <s v="-"/>
    <s v="Manjit Shah"/>
    <s v="-"/>
  </r>
  <r>
    <n v="6508"/>
    <n v="20058821"/>
    <s v="Mansi Shelar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OEM"/>
    <s v=""/>
    <s v="Non Technical Support"/>
    <s v="Operations"/>
    <s v="Operations"/>
    <s v="72103001"/>
    <s v="Operations"/>
    <s v="Khopoli"/>
    <d v="1968-03-03T00:00:00"/>
    <s v="55.06"/>
    <d v="1996-09-10T00:00:00"/>
    <d v="2028-03-31T00:00:00"/>
    <m/>
    <d v="2028-03-31T00:00:00"/>
    <n v="1654"/>
    <s v=""/>
    <s v=""/>
    <s v=""/>
    <s v="27.00"/>
    <s v="27.00"/>
    <s v="00051380"/>
    <s v="Sales &amp; Marketing"/>
    <s v="305029"/>
    <s v="New Acquisition"/>
    <s v="Khopoli staff"/>
    <s v="0000100013"/>
    <s v="HOM-SALE&amp;MKTG-OEM"/>
    <s v="1111KHOP"/>
    <s v="20058920"/>
    <s v="Atul Singh"/>
    <s v="No"/>
    <s v="mansi.shelar@amns.in"/>
    <s v="8879994069"/>
    <s v="1022212"/>
    <s v="Pritam Debbarma"/>
    <s v="Anil Matoo"/>
    <s v="-"/>
    <s v="Manjit Shah"/>
    <s v="-"/>
  </r>
  <r>
    <n v="6509"/>
    <n v="20058822"/>
    <s v="Manas Sahu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Pune"/>
    <d v="1976-07-01T00:00:00"/>
    <s v="47.02"/>
    <d v="2008-01-05T00:00:00"/>
    <d v="2034-06-30T00:00:00"/>
    <m/>
    <d v="2034-06-30T00:00:00"/>
    <n v="3936"/>
    <s v=""/>
    <s v=""/>
    <s v=""/>
    <s v="15.08"/>
    <s v="15.08"/>
    <s v="00043882"/>
    <s v="International Sales"/>
    <s v="305030"/>
    <s v="KAM - Coated Sales"/>
    <s v="Hypermart"/>
    <s v="0031950057"/>
    <s v="HZ-HRC - Marketing"/>
    <s v="2000HWO"/>
    <s v="20037071"/>
    <s v="Amit Chandaliya"/>
    <s v="No"/>
    <s v="manas.sahu@amns.in"/>
    <s v="9823682121"/>
    <s v="1022239"/>
    <s v="Dhruv Vyas"/>
    <s v="Anil Matoo"/>
    <s v="Praveen Kuruvalli"/>
    <s v="Dhruv Vyas"/>
    <n v="0"/>
  </r>
  <r>
    <n v="6510"/>
    <n v="20058823"/>
    <s v="Yash Sacha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Delhi"/>
    <d v="1978-12-04T00:00:00"/>
    <s v="44.09"/>
    <d v="2008-09-15T00:00:00"/>
    <d v="2038-12-31T00:00:00"/>
    <m/>
    <d v="2038-12-31T00:00:00"/>
    <n v="5581"/>
    <s v=""/>
    <s v=""/>
    <s v=""/>
    <s v="15.00"/>
    <s v="15.00"/>
    <s v="00051380"/>
    <s v="Sales &amp; Marketing"/>
    <s v="305031"/>
    <s v="New Acquisition"/>
    <s v="Khopoli staff"/>
    <s v="0000120004"/>
    <s v="DELHI BRANCH"/>
    <s v="1111KHOP"/>
    <s v="20058920"/>
    <s v="Atul Singh"/>
    <s v="No"/>
    <s v="yash.sachan@amns.in"/>
    <s v="9717733044"/>
    <s v="1022245"/>
    <s v="Pritam Debbarma"/>
    <s v="Anil Matoo"/>
    <s v="-"/>
    <s v="Manjit Shah"/>
    <s v="-"/>
  </r>
  <r>
    <n v="6511"/>
    <n v="20058824"/>
    <s v="Yogendra Ahe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Pune"/>
    <d v="1979-05-14T00:00:00"/>
    <s v="44.04"/>
    <d v="2007-08-06T00:00:00"/>
    <d v="2039-05-31T00:00:00"/>
    <m/>
    <d v="2039-05-31T00:00:00"/>
    <n v="5732"/>
    <s v=""/>
    <s v=""/>
    <s v=""/>
    <s v="16.01"/>
    <s v="16.01"/>
    <s v="00051380"/>
    <s v="Sales &amp; Marketing"/>
    <s v="305032"/>
    <s v="New Acquisition"/>
    <s v="Khopoli staff"/>
    <s v="0000120001"/>
    <s v="PUNE BRANCH"/>
    <s v="1111KHOP"/>
    <s v="20058920"/>
    <s v="Atul Singh"/>
    <s v="No"/>
    <s v="yogendra.aher@amns.in"/>
    <s v="9923004857"/>
    <s v="1022248"/>
    <s v="Pritam Debbarma"/>
    <s v="Anil Matoo"/>
    <s v="-"/>
    <s v="Manjit Shah"/>
    <s v="-"/>
  </r>
  <r>
    <n v="6512"/>
    <n v="20058825"/>
    <s v="Dattatrey Mahaja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Khopoli"/>
    <d v="1982-05-24T00:00:00"/>
    <s v="41.03"/>
    <d v="2007-07-06T00:00:00"/>
    <d v="2042-05-31T00:00:00"/>
    <m/>
    <d v="2042-05-31T00:00:00"/>
    <n v="6828"/>
    <s v=""/>
    <s v=""/>
    <s v=""/>
    <s v="16.02"/>
    <s v="16.02"/>
    <s v="00051380"/>
    <s v="Sales &amp; Marketing"/>
    <s v="305033"/>
    <s v="New Acquisition"/>
    <s v="Khopoli staff"/>
    <s v="0000100013"/>
    <s v="HOM-SALE&amp;MKTG-OEM"/>
    <s v="1111KHOP"/>
    <s v="20016382"/>
    <s v="Kunal Bhardwaj"/>
    <s v="No"/>
    <s v="dattatrey.mahajan@amns.in"/>
    <s v="8879994071"/>
    <s v="1022253"/>
    <s v="Pritam Debbarma"/>
    <s v="Anil Matoo"/>
    <s v="-"/>
    <s v="Manjit Shah"/>
    <s v="-"/>
  </r>
  <r>
    <n v="6513"/>
    <n v="20058826"/>
    <s v="Sudhir Shel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Khopoli"/>
    <d v="1974-08-06T00:00:00"/>
    <s v="49.01"/>
    <d v="1997-05-02T00:00:00"/>
    <d v="2034-08-31T00:00:00"/>
    <m/>
    <d v="2034-08-31T00:00:00"/>
    <n v="3998"/>
    <s v=""/>
    <s v=""/>
    <s v=""/>
    <s v="26.04"/>
    <s v="26.04"/>
    <s v="00051380"/>
    <s v="Sales &amp; Marketing"/>
    <s v="305034"/>
    <s v="New Acquisition"/>
    <s v="Khopoli staff"/>
    <s v="0000120001"/>
    <s v="PUNE BRANCH"/>
    <s v="1111KHOP"/>
    <s v="20058920"/>
    <s v="Atul Singh"/>
    <s v="No"/>
    <s v="sudhir.shelar@amns.in"/>
    <s v="9923004853"/>
    <s v="1022257"/>
    <s v="Pritam Debbarma"/>
    <s v="Anil Matoo"/>
    <s v="-"/>
    <s v="Manjit Shah"/>
    <s v="-"/>
  </r>
  <r>
    <n v="6514"/>
    <n v="20058827"/>
    <s v="Shailesh Tiwar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Khopoli"/>
    <d v="1974-09-07T00:00:00"/>
    <s v="49.00"/>
    <d v="2012-01-16T00:00:00"/>
    <d v="2034-09-30T00:00:00"/>
    <m/>
    <d v="2034-09-30T00:00:00"/>
    <n v="4028"/>
    <s v=""/>
    <s v=""/>
    <s v=""/>
    <s v="11.08"/>
    <s v="11.08"/>
    <s v="00051380"/>
    <s v="Sales &amp; Marketing"/>
    <s v="305035"/>
    <s v="New Acquisition"/>
    <s v="Khopoli staff"/>
    <s v="0000100004"/>
    <s v="HOM-DIRECTOR &amp; CEO"/>
    <s v="1111KHOP"/>
    <s v="20058920"/>
    <s v="Atul Singh"/>
    <s v="Yes"/>
    <s v="shailesh.tiwari@amns.in"/>
    <s v="8879994074"/>
    <s v="1022262"/>
    <s v="Pritam Debbarma"/>
    <s v="Anil Matoo"/>
    <s v="-"/>
    <s v="Manjit Shah"/>
    <s v="-"/>
  </r>
  <r>
    <n v="6515"/>
    <n v="20058830"/>
    <s v="Harsh Mathu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5-06-23T00:00:00"/>
    <s v="48.02"/>
    <d v="2009-09-24T00:00:00"/>
    <d v="2035-06-30T00:00:00"/>
    <m/>
    <d v="2035-06-30T00:00:00"/>
    <n v="4301"/>
    <s v=""/>
    <s v=""/>
    <s v=""/>
    <s v="13.11"/>
    <s v="13.11"/>
    <s v="00051278"/>
    <s v="Stores &amp; Warehouse"/>
    <s v="305038"/>
    <s v="New Acquisition"/>
    <s v="Khopoli staff"/>
    <s v="0000309007"/>
    <s v="CGL-STORES_DEPT"/>
    <s v="1111KHOP"/>
    <s v="20058695"/>
    <s v="Shrigopal Bhati"/>
    <s v="No"/>
    <s v="harsh.mathur@amns.in"/>
    <s v="8879994085"/>
    <s v="1022360"/>
    <s v="Pritam Debbarma"/>
    <s v="Anil Matoo"/>
    <s v="-"/>
    <s v="Manjit Shah"/>
    <s v="-"/>
  </r>
  <r>
    <n v="6516"/>
    <n v="20058831"/>
    <s v="Manoj Salian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4-12-05T00:00:00"/>
    <s v="48.09"/>
    <d v="2010-12-13T00:00:00"/>
    <d v="2034-12-31T00:00:00"/>
    <m/>
    <d v="2034-12-31T00:00:00"/>
    <n v="4120"/>
    <s v=""/>
    <s v=""/>
    <s v=""/>
    <s v="12.09"/>
    <s v="12.09"/>
    <s v="00051364"/>
    <s v="Purchase"/>
    <s v="305039"/>
    <s v="New Acquisition"/>
    <s v="Khopoli staff"/>
    <s v="0000100010"/>
    <s v="HOM-COMM. &amp; PROCTS"/>
    <s v="1111KHOP"/>
    <s v="20006536"/>
    <s v="Mahesh Salunke"/>
    <s v="Yes"/>
    <s v="manoj.salian@amns.in"/>
    <s v="8879994136"/>
    <s v="1022361"/>
    <s v="Pritam Debbarma"/>
    <s v="Anil Matoo"/>
    <s v="-"/>
    <s v="Manjit Shah"/>
    <s v="-"/>
  </r>
  <r>
    <n v="6517"/>
    <n v="20058832"/>
    <s v="Amit Rane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0-02-12T00:00:00"/>
    <s v="43.07"/>
    <d v="2006-04-15T00:00:00"/>
    <d v="2040-02-29T00:00:00"/>
    <m/>
    <d v="2040-02-29T00:00:00"/>
    <n v="6006"/>
    <s v=""/>
    <s v=""/>
    <s v=""/>
    <s v="17.05"/>
    <s v="17.05"/>
    <s v="73800002"/>
    <s v="Procurement - Pune Asset"/>
    <s v="305040"/>
    <s v="New Acquisition"/>
    <s v="Khopoli staff"/>
    <s v="0000100010"/>
    <s v="HOM-COMM. &amp; PROCTS"/>
    <s v="1111KHOP"/>
    <s v="20006536"/>
    <s v="Mahesh Salunke"/>
    <s v="No"/>
    <s v="amit.rane@amns.in"/>
    <s v="8879994139"/>
    <s v="1022362"/>
    <s v="Pritam Debbarma"/>
    <s v="Anil Matoo"/>
    <s v="-"/>
    <s v="Manjit Shah"/>
    <s v="-"/>
  </r>
  <r>
    <n v="6519"/>
    <n v="20058837"/>
    <s v="Ravindra Yadav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11-21T00:00:00"/>
    <s v="46.09"/>
    <d v="2011-05-05T00:00:00"/>
    <d v="2036-11-30T00:00:00"/>
    <m/>
    <d v="2036-11-30T00:00:00"/>
    <n v="4820"/>
    <s v=""/>
    <s v=""/>
    <s v=""/>
    <s v="12.04"/>
    <s v="12.04"/>
    <s v="70418543"/>
    <s v="Finance Controller"/>
    <s v="305045"/>
    <s v="New Acquisition"/>
    <s v="Khopoli staff"/>
    <s v="0000100006"/>
    <s v="HOM-ACCOUNTS &amp; FIN"/>
    <s v="1111KHOP"/>
    <s v="0"/>
    <s v=""/>
    <s v="No"/>
    <s v="ravindra.yadav@amns.in"/>
    <s v="8879994177"/>
    <s v="1022369"/>
    <s v="Pritam Debbarma"/>
    <s v="Anil Matoo"/>
    <s v="-"/>
    <s v="Manjit Shah"/>
    <s v="-"/>
  </r>
  <r>
    <n v="6520"/>
    <n v="20058839"/>
    <s v="Vithal Phadake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Hypermart"/>
    <s v="Hypermart "/>
    <s v=""/>
    <s v="Non Technical Support"/>
    <s v="Operations"/>
    <s v="Operations"/>
    <s v="72103001"/>
    <s v="Operations"/>
    <s v="Khopoli"/>
    <d v="1964-10-23T00:00:00"/>
    <s v="58.10"/>
    <d v="2000-12-01T00:00:00"/>
    <d v="2024-10-31T00:00:00"/>
    <m/>
    <d v="2024-10-31T00:00:00"/>
    <n v="407"/>
    <s v=""/>
    <s v=""/>
    <s v=""/>
    <s v="22.09"/>
    <s v="22.09"/>
    <s v="00051064"/>
    <s v="AMNS Khopoli Limited"/>
    <s v="305047"/>
    <s v="New Acquisition"/>
    <s v="Khopoli staff"/>
    <s v="0000120001"/>
    <s v="PUNE BRANCH"/>
    <s v="1111KHOP"/>
    <s v="20058920"/>
    <s v="Atul Singh"/>
    <s v="No"/>
    <s v="vitthal.phadke@amns.in"/>
    <s v="9923004851"/>
    <s v=""/>
    <s v="Pritam Debbarma"/>
    <s v="Anil Matoo"/>
    <s v="-"/>
    <s v="Manjit Shah"/>
    <s v="-"/>
  </r>
  <r>
    <n v="6521"/>
    <n v="20058840"/>
    <s v="Sumeer Raina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Coated Sales"/>
    <s v="Coated Sales"/>
    <s v=""/>
    <s v="Non Technical Support"/>
    <s v="Operations"/>
    <s v="Operations"/>
    <s v="72103001"/>
    <s v="Operations"/>
    <s v="Pune"/>
    <d v="1972-02-29T00:00:00"/>
    <s v="51.06"/>
    <d v="2006-07-03T00:00:00"/>
    <d v="2032-02-29T00:00:00"/>
    <m/>
    <d v="2032-02-29T00:00:00"/>
    <n v="3084"/>
    <s v=""/>
    <s v=""/>
    <s v=""/>
    <s v="17.02"/>
    <s v="17.02"/>
    <s v="00043882"/>
    <s v="International Sales"/>
    <s v="305048"/>
    <s v="New Acquisition"/>
    <s v="Khopoli staff"/>
    <s v="0000120001"/>
    <s v="PUNE BRANCH"/>
    <s v="1111KHOP"/>
    <s v="20037071"/>
    <s v="Amit Chandaliya"/>
    <s v="No"/>
    <s v="sumeer.raina@amns.in"/>
    <s v="9923004856"/>
    <s v="1022374"/>
    <s v="Pritam Debbarma"/>
    <s v="Anil Matoo"/>
    <s v="-"/>
    <s v="Manjit Shah"/>
    <s v="-"/>
  </r>
  <r>
    <n v="6522"/>
    <n v="20058843"/>
    <s v="Shivprasad Shetty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12-19T00:00:00"/>
    <s v="56.09"/>
    <d v="1996-04-08T00:00:00"/>
    <d v="2026-12-31T00:00:00"/>
    <m/>
    <d v="2026-12-31T00:00:00"/>
    <n v="1198"/>
    <s v=""/>
    <s v=""/>
    <s v=""/>
    <s v="27.05"/>
    <s v="27.05"/>
    <s v="00051329"/>
    <s v="Finance &amp; Accounts"/>
    <s v="305051"/>
    <s v="New Acquisition"/>
    <s v="Khopoli staff"/>
    <s v="0000100006"/>
    <s v="HOM-ACCOUNTS &amp; FIN"/>
    <s v="1111KHOP"/>
    <s v="20058805"/>
    <s v="Sunil Sharma"/>
    <s v="No"/>
    <s v="k.prasad@amns.in"/>
    <s v="9892850559"/>
    <s v="1022379"/>
    <s v="Pritam Debbarma"/>
    <s v="Anil Matoo"/>
    <s v="-"/>
    <s v="Manjit Shah"/>
    <s v="-"/>
  </r>
  <r>
    <n v="6523"/>
    <n v="20058846"/>
    <s v="Mitra Sharma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North"/>
    <s v="OEM"/>
    <s v=""/>
    <s v="Non Technical Support"/>
    <s v="Operations"/>
    <s v="Operations"/>
    <s v="72103001"/>
    <s v="Operations"/>
    <s v="Delhi"/>
    <d v="1965-04-12T00:00:00"/>
    <s v="58.05"/>
    <d v="2009-06-02T00:00:00"/>
    <d v="2025-04-30T00:00:00"/>
    <m/>
    <d v="2025-04-30T00:00:00"/>
    <n v="588"/>
    <s v=""/>
    <s v=""/>
    <s v=""/>
    <s v="14.03"/>
    <s v="14.03"/>
    <s v="00051380"/>
    <s v="Sales &amp; Marketing"/>
    <s v="305054"/>
    <s v="New Acquisition"/>
    <s v="Khopoli staff"/>
    <s v="0000120004"/>
    <s v="DELHI BRANCH"/>
    <s v="1111KHOP"/>
    <s v="20058920"/>
    <s v="Atul Singh"/>
    <s v="No"/>
    <s v="mitra.bandhu@amns.in"/>
    <s v="9810939550"/>
    <s v="1022382"/>
    <s v="Pritam Debbarma"/>
    <s v="Anil Matoo"/>
    <s v="-"/>
    <s v="Manjit Shah"/>
    <s v="-"/>
  </r>
  <r>
    <n v="6524"/>
    <n v="20058847"/>
    <s v="Mahesh Malhotra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Coated Sales"/>
    <s v="Coated Sales"/>
    <s v=""/>
    <s v="Non Technical Support"/>
    <s v="Operations"/>
    <s v="Operations"/>
    <s v="72103001"/>
    <s v="Operations"/>
    <s v="Delhi"/>
    <d v="1970-06-10T00:00:00"/>
    <s v="53.03"/>
    <d v="2007-11-17T00:00:00"/>
    <d v="2030-06-30T00:00:00"/>
    <m/>
    <d v="2030-06-30T00:00:00"/>
    <n v="2475"/>
    <s v=""/>
    <s v=""/>
    <s v=""/>
    <s v="15.10"/>
    <s v="15.10"/>
    <s v="00043882"/>
    <s v="International Sales"/>
    <s v="305055"/>
    <s v="New Acquisition"/>
    <s v="Khopoli staff"/>
    <s v="0000120004"/>
    <s v="DELHI BRANCH"/>
    <s v="1111KHOP"/>
    <s v="20037071"/>
    <s v="Amit Chandaliya"/>
    <s v="No"/>
    <s v="mahesh.malhothra@amns.in"/>
    <s v="9818806509"/>
    <s v="1022153"/>
    <s v="Pritam Debbarma"/>
    <s v="Anil Matoo"/>
    <s v="-"/>
    <s v="Manjit Shah"/>
    <s v="-"/>
  </r>
  <r>
    <n v="6525"/>
    <n v="20058849"/>
    <s v="Sunil Kum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Pune"/>
    <d v="1983-02-04T00:00:00"/>
    <s v="40.07"/>
    <d v="2012-06-01T00:00:00"/>
    <d v="2043-02-28T00:00:00"/>
    <m/>
    <d v="2043-02-28T00:00:00"/>
    <n v="7101"/>
    <s v=""/>
    <s v=""/>
    <s v=""/>
    <s v="11.03"/>
    <s v="11.03"/>
    <s v="00051380"/>
    <s v="Sales &amp; Marketing"/>
    <s v="305057"/>
    <s v="New Acquisition"/>
    <s v="Khopoli staff"/>
    <s v="0000120001"/>
    <s v="PUNE BRANCH"/>
    <s v="1111KHOP"/>
    <s v="20058920"/>
    <s v="Atul Singh"/>
    <s v="No"/>
    <s v="sunil.kumar@amns.in"/>
    <s v="9923004855"/>
    <s v="1022161"/>
    <s v="Pritam Debbarma"/>
    <s v="Anil Matoo"/>
    <s v="-"/>
    <s v="Manjit Shah"/>
    <s v="-"/>
  </r>
  <r>
    <n v="6526"/>
    <n v="20058850"/>
    <s v="Arvind Poras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North"/>
    <s v="Order Entry"/>
    <s v=""/>
    <s v="Non Technical Support"/>
    <s v="Operations"/>
    <s v="Operations"/>
    <s v="72103001"/>
    <s v="Operations"/>
    <s v="Delhi"/>
    <d v="1990-01-11T00:00:00"/>
    <s v="33.08"/>
    <d v="2011-12-27T00:00:00"/>
    <d v="2050-01-31T00:00:00"/>
    <m/>
    <d v="2050-01-31T00:00:00"/>
    <n v="9630"/>
    <s v=""/>
    <s v=""/>
    <s v=""/>
    <s v="11.08"/>
    <s v="11.08"/>
    <s v="00051380"/>
    <s v="Sales &amp; Marketing"/>
    <s v="305058"/>
    <s v="New Acquisition"/>
    <s v="Khopoli staff"/>
    <s v="0000120004"/>
    <s v="DELHI BRANCH"/>
    <s v="1111KHOP"/>
    <s v="20058920"/>
    <s v="Atul Singh"/>
    <s v="No"/>
    <s v="arvind.poras@amns.in"/>
    <s v="9818656644"/>
    <s v="1022166"/>
    <s v="Pritam Debbarma"/>
    <s v="Anil Matoo"/>
    <s v="-"/>
    <s v="Manjit Shah"/>
    <s v="-"/>
  </r>
  <r>
    <n v="6527"/>
    <n v="20058851"/>
    <s v="Abhishek Garg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3-12-15T00:00:00"/>
    <s v="39.09"/>
    <d v="2012-05-02T00:00:00"/>
    <d v="2043-12-31T00:00:00"/>
    <m/>
    <d v="2043-12-31T00:00:00"/>
    <n v="7407"/>
    <s v=""/>
    <s v=""/>
    <s v=""/>
    <s v="11.04"/>
    <s v="11.04"/>
    <s v="73800002"/>
    <s v="Procurement - Pune Asset"/>
    <s v="305059"/>
    <s v="New Acquisition"/>
    <s v="Khopoli staff"/>
    <s v="0000100010"/>
    <s v="HOM-COMM. &amp; PROCTS"/>
    <s v="1111KHOP"/>
    <s v="20006536"/>
    <s v="Mahesh Salunke"/>
    <s v="No"/>
    <s v="abhishek.garg1@amns.in"/>
    <s v="8411970578"/>
    <s v="1022174"/>
    <s v="Pritam Debbarma"/>
    <s v="Anil Matoo"/>
    <s v="-"/>
    <s v="Manjit Shah"/>
    <s v="-"/>
  </r>
  <r>
    <n v="6528"/>
    <n v="20058852"/>
    <s v="Sunil Padalka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9-09-05T00:00:00"/>
    <s v="54.00"/>
    <d v="2009-01-01T00:00:00"/>
    <d v="2029-09-30T00:00:00"/>
    <m/>
    <d v="2029-09-30T00:00:00"/>
    <n v="2202"/>
    <s v=""/>
    <s v=""/>
    <s v=""/>
    <s v="14.08"/>
    <s v="14.08"/>
    <s v="00051220"/>
    <s v="Administration &amp; Security"/>
    <s v="305060"/>
    <s v="New Acquisition"/>
    <s v="Khopoli staff"/>
    <s v="0000290002"/>
    <s v="FAC-PERSONAL &amp; ADM"/>
    <s v="1111KHOP"/>
    <s v="20057887"/>
    <s v="Kiran Vaidya"/>
    <s v="No"/>
    <s v="sunil.padalkar@amns.in"/>
    <s v="9619472111"/>
    <s v="1042812"/>
    <s v="Pritam Debbarma"/>
    <s v="Anil Matoo"/>
    <s v="-"/>
    <s v="Manjit Shah"/>
    <s v="-"/>
  </r>
  <r>
    <n v="6530"/>
    <n v="20058854"/>
    <s v="Satishkumar .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outh"/>
    <s v="OEM"/>
    <s v=""/>
    <s v="Non Technical Support"/>
    <s v="Operations"/>
    <s v="Operations"/>
    <s v="72103001"/>
    <s v="Operations"/>
    <s v="Bangalore"/>
    <d v="1984-06-01T00:00:00"/>
    <s v="39.03"/>
    <d v="2012-10-03T00:00:00"/>
    <d v="2044-05-31T00:00:00"/>
    <m/>
    <d v="2044-05-31T00:00:00"/>
    <n v="7559"/>
    <s v=""/>
    <s v=""/>
    <s v=""/>
    <s v="10.11"/>
    <s v="10.11"/>
    <s v="00051380"/>
    <s v="Sales &amp; Marketing"/>
    <s v="305062"/>
    <s v="New Acquisition"/>
    <s v="Khopoli staff"/>
    <s v="0000120005"/>
    <s v="BANGALORE BRANCH"/>
    <s v="1111KHOP"/>
    <s v="20058920"/>
    <s v="Atul Singh"/>
    <s v="No"/>
    <s v="satish.kumar@amns.in"/>
    <s v="9008450123"/>
    <s v="1022188"/>
    <s v="Pritam Debbarma"/>
    <s v="Anil Matoo"/>
    <s v="-"/>
    <s v="Manjit Shah"/>
    <s v="-"/>
  </r>
  <r>
    <n v="6545"/>
    <n v="20058869"/>
    <s v="Ganesh More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9-07-26T00:00:00"/>
    <s v="44.01"/>
    <d v="2013-05-14T00:00:00"/>
    <d v="2039-07-31T00:00:00"/>
    <m/>
    <d v="2039-07-31T00:00:00"/>
    <n v="5793"/>
    <s v=""/>
    <s v=""/>
    <s v=""/>
    <s v="10.04"/>
    <s v="10.04"/>
    <s v="73800002"/>
    <s v="Procurement - Pune Asset"/>
    <s v="305077"/>
    <s v="New Acquisition"/>
    <s v="Khopoli staff"/>
    <s v="0000100010"/>
    <s v="HOM-COMM. &amp; PROCTS"/>
    <s v="1111KHOP"/>
    <s v="20006536"/>
    <s v="Mahesh Salunke"/>
    <s v="No"/>
    <s v="ganesh.more@amns.in"/>
    <s v="8879994492"/>
    <s v="1022214"/>
    <s v="Pritam Debbarma"/>
    <s v="Anil Matoo"/>
    <s v="-"/>
    <s v="Manjit Shah"/>
    <s v="-"/>
  </r>
  <r>
    <n v="6555"/>
    <n v="20058879"/>
    <s v="Suraj Jaronde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0-08-11T00:00:00"/>
    <s v="43.01"/>
    <d v="2013-06-01T00:00:00"/>
    <d v="2040-08-31T00:00:00"/>
    <m/>
    <d v="2040-08-31T00:00:00"/>
    <n v="6190"/>
    <s v=""/>
    <s v=""/>
    <s v=""/>
    <s v="10.03"/>
    <s v="10.03"/>
    <s v="73800002"/>
    <s v="Procurement - Pune Asset"/>
    <s v="305087"/>
    <s v="New Acquisition"/>
    <s v="Khopoli staff"/>
    <s v="0000100010"/>
    <s v="HOM-COMM. &amp; PROCTS"/>
    <s v="1111KHOP"/>
    <s v="20006536"/>
    <s v="Mahesh Salunke"/>
    <s v="No"/>
    <s v="suraj.jaronde@amns.in"/>
    <s v="8411970843"/>
    <s v="1022223"/>
    <s v="Pritam Debbarma"/>
    <s v="Anil Matoo"/>
    <s v="-"/>
    <s v="Manjit Shah"/>
    <s v="-"/>
  </r>
  <r>
    <n v="6568"/>
    <n v="20058892"/>
    <s v="Nishant Deelwal"/>
    <s v="AM/NS India"/>
    <s v="Onroll"/>
    <s v="M-9"/>
    <n v="9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South"/>
    <s v="Hypermart"/>
    <s v=""/>
    <s v="Non Technical Support"/>
    <s v="Operations"/>
    <s v="Operations"/>
    <s v="72103001"/>
    <s v="Operations"/>
    <s v="Pune"/>
    <d v="1981-05-12T00:00:00"/>
    <s v="42.04"/>
    <d v="2014-01-01T00:00:00"/>
    <d v="2039-05-31T00:00:00"/>
    <m/>
    <d v="2039-05-31T00:00:00"/>
    <n v="5732"/>
    <s v=""/>
    <s v=""/>
    <s v=""/>
    <s v="09.08"/>
    <s v="09.08"/>
    <s v="00048814"/>
    <s v="Sales South Zone – Hypermart"/>
    <s v="305100"/>
    <s v="Sales Manager - Hypermart"/>
    <s v="Hypermart"/>
    <s v="0031950057"/>
    <s v="HZ-HRC - Marketing"/>
    <s v="2000SRET"/>
    <s v="20056279"/>
    <s v="Arun G"/>
    <s v="No"/>
    <s v="nishant.deelwal@amns.in"/>
    <s v="8879994091"/>
    <s v="1022249"/>
    <s v="Dhruv Vyas"/>
    <s v="Anil Matoo"/>
    <s v="Praveen Kuruvalli"/>
    <s v="Dhruv Vyas"/>
    <n v="0"/>
  </r>
  <r>
    <n v="6573"/>
    <n v="20058897"/>
    <s v="Dhananjay Pawa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90-07-08T00:00:00"/>
    <s v="33.02"/>
    <d v="2014-05-02T00:00:00"/>
    <d v="2050-07-31T00:00:00"/>
    <m/>
    <d v="2050-07-31T00:00:00"/>
    <n v="9811"/>
    <s v=""/>
    <s v=""/>
    <s v=""/>
    <s v="09.04"/>
    <s v="09.04"/>
    <s v="00051278"/>
    <s v="Stores &amp; Warehouse"/>
    <s v="305105"/>
    <s v="New Acquisition"/>
    <s v="Khopoli staff"/>
    <s v="0000509007"/>
    <s v="CCL-STORES_DEPT"/>
    <s v="1111KHOP"/>
    <s v="20058695"/>
    <s v="Shrigopal Bhati"/>
    <s v="No"/>
    <s v="dhananjay.pawar@amns.in"/>
    <s v="9821952033"/>
    <s v="1042814"/>
    <s v="Pritam Debbarma"/>
    <s v="Anil Matoo"/>
    <s v="-"/>
    <s v="Manjit Shah"/>
    <s v="-"/>
  </r>
  <r>
    <n v="6577"/>
    <n v="20058901"/>
    <s v="Mahesh Mohit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2-10-11T00:00:00"/>
    <s v="40.11"/>
    <d v="2014-06-09T00:00:00"/>
    <d v="2042-10-31T00:00:00"/>
    <m/>
    <d v="2042-10-31T00:00:00"/>
    <n v="6981"/>
    <s v=""/>
    <s v=""/>
    <s v=""/>
    <s v="09.03"/>
    <s v="09.03"/>
    <s v="00051278"/>
    <s v="Stores &amp; Warehouse"/>
    <s v="305109"/>
    <s v="New Acquisition"/>
    <s v="Khopoli staff"/>
    <s v="0000249007"/>
    <s v="SSC-STORES_DEPT"/>
    <s v="1111KHOP"/>
    <s v="20058695"/>
    <s v="Shrigopal Bhati"/>
    <s v="No"/>
    <s v="mahesh.mohite@amns.in"/>
    <s v="9823796143"/>
    <s v="1022226"/>
    <s v="Pritam Debbarma"/>
    <s v="Anil Matoo"/>
    <s v="-"/>
    <s v="Manjit Shah"/>
    <s v="-"/>
  </r>
  <r>
    <n v="6582"/>
    <n v="20058909"/>
    <s v="Ajay Wadek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Nanded"/>
    <d v="1976-06-08T00:00:00"/>
    <s v="47.03"/>
    <d v="2015-05-29T00:00:00"/>
    <d v="2036-06-30T00:00:00"/>
    <m/>
    <d v="2036-06-30T00:00:00"/>
    <n v="4667"/>
    <s v=""/>
    <s v=""/>
    <s v=""/>
    <s v="08.03"/>
    <s v="08.03"/>
    <s v="00051380"/>
    <s v="Sales &amp; Marketing"/>
    <s v="305117"/>
    <s v="New Acquisition"/>
    <s v="Khopoli staff"/>
    <s v="0000100015"/>
    <s v="HOM-SALE&amp;MKTG-TRADE"/>
    <s v="1111KHOP"/>
    <s v="20058920"/>
    <s v="Atul Singh"/>
    <s v="No"/>
    <s v="ajay.wadekar@amns.in"/>
    <s v="9850967680"/>
    <s v="1022274"/>
    <s v="Pritam Debbarma"/>
    <s v="Anil Matoo"/>
    <s v="-"/>
    <s v="Manjit Shah"/>
    <s v="-"/>
  </r>
  <r>
    <n v="6584"/>
    <n v="20058911"/>
    <s v="Sumitra Das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Technical Marketing &amp; Application Engineering"/>
    <s v="Technical Marketing &amp; Application Engineering"/>
    <s v=""/>
    <s v="Non Technical Support"/>
    <s v="Operations"/>
    <s v="Operations"/>
    <s v="72103001"/>
    <s v="Operations"/>
    <s v="Delhi"/>
    <d v="1982-08-07T00:00:00"/>
    <s v="41.01"/>
    <d v="2015-08-10T00:00:00"/>
    <d v="2042-08-31T00:00:00"/>
    <m/>
    <d v="2042-08-31T00:00:00"/>
    <n v="6920"/>
    <s v=""/>
    <s v=""/>
    <s v=""/>
    <s v="08.01"/>
    <s v="08.01"/>
    <s v="00051380"/>
    <s v="Sales &amp; Marketing"/>
    <s v="305119"/>
    <s v="New Acquisition"/>
    <s v="Khopoli staff"/>
    <s v="0000100015"/>
    <s v="HOM-SALE&amp;MKTG-TRADE"/>
    <s v="1111KHOP"/>
    <s v="20058920"/>
    <s v="Atul Singh"/>
    <s v="No"/>
    <s v="sumitra.das@amns.in"/>
    <s v="9599916356"/>
    <s v="1022277"/>
    <s v="Pritam Debbarma"/>
    <s v="Anil Matoo"/>
    <s v="-"/>
    <s v="Manjit Shah"/>
    <s v="-"/>
  </r>
  <r>
    <n v="6586"/>
    <n v="20058913"/>
    <s v="Sachin Kulkarn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Coated Sales"/>
    <s v="Coated Sales"/>
    <s v=""/>
    <s v="Non Technical Support"/>
    <s v="Operations"/>
    <s v="Operations"/>
    <s v="72103001"/>
    <s v="Operations"/>
    <s v="Pune"/>
    <d v="1971-07-11T00:00:00"/>
    <s v="52.02"/>
    <d v="2015-09-21T00:00:00"/>
    <d v="2031-07-31T00:00:00"/>
    <m/>
    <d v="2031-07-31T00:00:00"/>
    <n v="2871"/>
    <s v=""/>
    <s v=""/>
    <s v=""/>
    <s v="08.00"/>
    <s v="08.00"/>
    <s v="00051380"/>
    <s v="Sales &amp; Marketing"/>
    <s v="305121"/>
    <s v="New Acquisition"/>
    <s v="Khopoli staff"/>
    <s v="0000100013"/>
    <s v="HOM-SALE&amp;MKTG-OEM"/>
    <s v="1111KHOP"/>
    <s v="20058920"/>
    <s v="Atul Singh"/>
    <s v="No"/>
    <s v="sachin.kulkarni@amns.in"/>
    <s v="9923002584"/>
    <s v="1022283"/>
    <s v="Pritam Debbarma"/>
    <s v="Anil Matoo"/>
    <s v="-"/>
    <s v="Manjit Shah"/>
    <s v="-"/>
  </r>
  <r>
    <n v="6589"/>
    <n v="20058916"/>
    <s v="Rakesh Patel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Ahmedabad"/>
    <d v="1987-06-25T00:00:00"/>
    <s v="36.02"/>
    <d v="2015-11-02T00:00:00"/>
    <d v="2047-06-30T00:00:00"/>
    <m/>
    <d v="2047-06-30T00:00:00"/>
    <n v="8684"/>
    <s v=""/>
    <s v=""/>
    <s v=""/>
    <s v="07.10"/>
    <s v="07.10"/>
    <s v="00051380"/>
    <s v="Sales &amp; Marketing"/>
    <s v="305124"/>
    <s v="New Acquisition"/>
    <s v="Khopoli staff"/>
    <s v="0000100014"/>
    <s v="HOM-SALE&amp;MKTG-EXPORT"/>
    <s v="1111KHOP"/>
    <s v="20058920"/>
    <s v="Atul Singh"/>
    <s v="No"/>
    <s v="rakesh.patel@amns.in"/>
    <s v="7226090600"/>
    <s v="1022296"/>
    <s v="Pritam Debbarma"/>
    <s v="Anil Matoo"/>
    <s v="-"/>
    <s v="Manjit Shah"/>
    <s v="-"/>
  </r>
  <r>
    <n v="6590"/>
    <n v="20058917"/>
    <s v="Aditya Kaushik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North"/>
    <s v="Hypermart"/>
    <s v=""/>
    <s v="Non Technical Support"/>
    <s v="Operations"/>
    <s v="Operations"/>
    <s v="72103001"/>
    <s v="Operations"/>
    <s v="Delhi"/>
    <d v="1982-09-08T00:00:00"/>
    <s v="41.00"/>
    <d v="2015-12-07T00:00:00"/>
    <d v="2042-09-30T00:00:00"/>
    <m/>
    <d v="2042-09-30T00:00:00"/>
    <n v="6950"/>
    <s v=""/>
    <s v=""/>
    <s v=""/>
    <s v="07.09"/>
    <s v="07.09"/>
    <s v="00051380"/>
    <s v="Sales &amp; Marketing"/>
    <s v="305125"/>
    <s v="New Acquisition"/>
    <s v="Khopoli staff"/>
    <s v="0060120600"/>
    <s v="HMART-UP-Ghaziabad"/>
    <s v="1111KHOP"/>
    <s v="20058920"/>
    <s v="Atul Singh"/>
    <s v="No"/>
    <s v="aditya.kaushik@amns.in"/>
    <s v="9871119801"/>
    <s v="1022300"/>
    <s v="Pritam Debbarma"/>
    <s v="Anil Matoo"/>
    <s v="-"/>
    <s v="Manjit Shah"/>
    <s v="-"/>
  </r>
  <r>
    <n v="6591"/>
    <n v="20058920"/>
    <s v="Atul Singh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Sales &amp; Marketing, Khopoli"/>
    <s v=""/>
    <s v="Non Technical Support"/>
    <s v="Operations"/>
    <s v="Operations"/>
    <s v="72103001"/>
    <s v="Operations"/>
    <s v="Khopoli"/>
    <d v="1980-03-25T00:00:00"/>
    <s v="43.05"/>
    <d v="2016-04-04T00:00:00"/>
    <d v="2040-03-31T00:00:00"/>
    <m/>
    <d v="2040-03-31T00:00:00"/>
    <n v="6037"/>
    <s v=""/>
    <s v=""/>
    <s v=""/>
    <s v="07.05"/>
    <s v="07.05"/>
    <s v="00051380"/>
    <s v="Sales &amp; Marketing"/>
    <s v="305128"/>
    <s v="New Acquisition"/>
    <s v="Khopoli staff"/>
    <s v="0000100013"/>
    <s v="HOM-SALE&amp;MKTG-OEM"/>
    <s v="1111KHOP"/>
    <s v="20007104"/>
    <s v="Ranjan Dhar"/>
    <s v="No"/>
    <s v="atul.singh1@amns.in"/>
    <s v="8879994416"/>
    <s v="1022227"/>
    <s v="Pritam Debbarma"/>
    <s v="Anil Matoo"/>
    <s v="-"/>
    <s v="Manjit Shah"/>
    <s v="-"/>
  </r>
  <r>
    <n v="6592"/>
    <n v="20058923"/>
    <s v="Srikanth Santhanam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10-18T00:00:00"/>
    <s v="56.11"/>
    <d v="2017-03-06T00:00:00"/>
    <d v="2026-10-31T00:00:00"/>
    <d v="2029-10-31T00:00:00"/>
    <d v="2029-10-31T00:00:00"/>
    <n v="2233"/>
    <s v=""/>
    <s v=""/>
    <s v=""/>
    <s v="06.06"/>
    <s v="06.06"/>
    <s v="70494931"/>
    <s v="Working Capital"/>
    <s v="305131"/>
    <s v="New Acquisition"/>
    <s v="Khopoli staff"/>
    <s v="0000100022"/>
    <s v="HOM-CORPORATE FINANC"/>
    <s v="1111KHOP"/>
    <s v="20000870"/>
    <s v="Balajee M"/>
    <s v="No"/>
    <s v="srikanth.santhanam@amns.in"/>
    <s v="8879994423"/>
    <s v="1022252"/>
    <s v="Pritam Debbarma"/>
    <s v="Anil Matoo"/>
    <s v="-"/>
    <s v="Manjit Shah"/>
    <s v="-"/>
  </r>
  <r>
    <n v="6594"/>
    <n v="20058925"/>
    <s v="Balkrishna Bandr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6-01T00:00:00"/>
    <s v="47.03"/>
    <d v="2017-04-01T00:00:00"/>
    <d v="2036-05-31T00:00:00"/>
    <m/>
    <d v="2036-05-31T00:00:00"/>
    <n v="4637"/>
    <s v=""/>
    <s v=""/>
    <s v=""/>
    <s v="06.05"/>
    <s v="06.05"/>
    <s v="00051064"/>
    <s v="AMNS Khopoli Limited"/>
    <s v="305133"/>
    <s v="New Acquisition"/>
    <s v="Khopoli staff"/>
    <s v="0000100006"/>
    <s v="HOM-ACCOUNTS &amp; FIN"/>
    <s v="1111KHOP"/>
    <s v="20059045"/>
    <s v="Navneet Kumar Jain"/>
    <s v="No"/>
    <s v="balkrishna.bandre@amns.in"/>
    <s v="8655794396"/>
    <s v="1022261"/>
    <s v="Pritam Debbarma"/>
    <s v="Anil Matoo"/>
    <s v="-"/>
    <s v="Manjit Shah"/>
    <s v="-"/>
  </r>
  <r>
    <n v="6595"/>
    <n v="20058927"/>
    <s v="Aarti Sherla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91-11-20T00:00:00"/>
    <s v="31.09"/>
    <d v="2017-04-18T00:00:00"/>
    <d v="2051-11-30T00:00:00"/>
    <m/>
    <d v="2051-11-30T00:00:00"/>
    <n v="10298"/>
    <s v=""/>
    <s v=""/>
    <s v=""/>
    <s v="06.05"/>
    <s v="06.05"/>
    <s v="00051329"/>
    <s v="Finance &amp; Accounts"/>
    <s v="305135"/>
    <s v="New Acquisition"/>
    <s v="Khopoli staff"/>
    <s v="0000100006"/>
    <s v="HOM-ACCOUNTS &amp; FIN"/>
    <s v="1111KHOP"/>
    <s v="20058805"/>
    <s v="Sunil Sharma"/>
    <s v="No"/>
    <s v="aarti.sherla@amns.in"/>
    <s v="9702159322"/>
    <s v="1022272"/>
    <s v="Pritam Debbarma"/>
    <s v="Anil Matoo"/>
    <s v="-"/>
    <s v="Manjit Shah"/>
    <s v="-"/>
  </r>
  <r>
    <n v="6596"/>
    <n v="20058928"/>
    <s v="Shrikant Pusdek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Khopoli"/>
    <d v="1977-04-20T00:00:00"/>
    <s v="46.05"/>
    <d v="2017-08-03T00:00:00"/>
    <d v="2037-04-30T00:00:00"/>
    <m/>
    <d v="2037-04-30T00:00:00"/>
    <n v="4971"/>
    <s v=""/>
    <s v=""/>
    <s v=""/>
    <s v="06.01"/>
    <s v="06.01"/>
    <s v="00051378"/>
    <s v="Exports - Marketing"/>
    <s v="305136"/>
    <s v="New Acquisition"/>
    <s v="Khopoli staff"/>
    <s v="0000100014"/>
    <s v="HOM-SALE&amp;MKTG-EXPORT"/>
    <s v="1111KHOP"/>
    <s v="20058801"/>
    <s v="Shubhangi Patil"/>
    <s v="No"/>
    <s v="shrikant.pusdekar@amns.in"/>
    <s v="8805087800"/>
    <s v="1022286"/>
    <s v="Pritam Debbarma"/>
    <s v="Anil Matoo"/>
    <s v="-"/>
    <s v="Manjit Shah"/>
    <s v="-"/>
  </r>
  <r>
    <n v="6597"/>
    <n v="20058929"/>
    <s v="Shrinivas Matcha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81-07-02T00:00:00"/>
    <s v="42.02"/>
    <d v="2017-07-07T00:00:00"/>
    <d v="2041-07-31T00:00:00"/>
    <m/>
    <d v="2041-07-31T00:00:00"/>
    <n v="6524"/>
    <s v=""/>
    <s v=""/>
    <s v=""/>
    <s v="06.02"/>
    <s v="06.02"/>
    <s v="00051220"/>
    <s v="Administration &amp; Security"/>
    <s v="305137"/>
    <s v="New Acquisition"/>
    <s v="Khopoli staff"/>
    <s v="0000100009"/>
    <s v="HOM-PERSONNEL / HRD"/>
    <s v="1111KHOP"/>
    <s v="20057887"/>
    <s v="Kiran Vaidya"/>
    <s v="No"/>
    <s v="shrinivas.matcha@amns.in"/>
    <s v="8879994016"/>
    <s v="1022290"/>
    <s v="Pritam Debbarma"/>
    <s v="Anil Matoo"/>
    <s v="-"/>
    <s v="Manjit Shah"/>
    <s v="-"/>
  </r>
  <r>
    <n v="6598"/>
    <n v="20058930"/>
    <s v="Robin Kurie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Export"/>
    <s v="Export"/>
    <s v=""/>
    <s v="Non Technical Support"/>
    <s v="Operations"/>
    <s v="Operations"/>
    <s v="72103001"/>
    <s v="Operations"/>
    <s v="Khopoli"/>
    <d v="1980-09-22T00:00:00"/>
    <s v="42.11"/>
    <d v="2017-08-16T00:00:00"/>
    <d v="2040-09-30T00:00:00"/>
    <m/>
    <d v="2040-09-30T00:00:00"/>
    <n v="6220"/>
    <s v=""/>
    <s v=""/>
    <s v=""/>
    <s v="06.01"/>
    <s v="06.01"/>
    <s v="00052527"/>
    <s v="Sales &amp; Marketing"/>
    <s v="305138"/>
    <s v="New Acquisition"/>
    <s v="Khopoli staff"/>
    <s v="0000100013"/>
    <s v="HOM-SALE&amp;MKTG-OEM"/>
    <s v="1111KHOP"/>
    <s v="20055663"/>
    <s v="Karamath Syed"/>
    <s v="No"/>
    <s v="robin.kurien@amns.in"/>
    <s v="8879994605"/>
    <s v="1022297"/>
    <s v="Pritam Debbarma"/>
    <s v="Anil Matoo"/>
    <s v="-"/>
    <s v="Manjit Shah"/>
    <s v="-"/>
  </r>
  <r>
    <n v="6599"/>
    <n v="20058931"/>
    <s v="Dharmendra Tiwar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Other West"/>
    <s v="OEM"/>
    <s v=""/>
    <s v="Non Technical Support"/>
    <s v="Operations"/>
    <s v="Operations"/>
    <s v="72103001"/>
    <s v="Operations"/>
    <s v="Aurangabad"/>
    <d v="1980-10-05T00:00:00"/>
    <s v="42.11"/>
    <d v="2017-10-27T00:00:00"/>
    <d v="2040-10-31T00:00:00"/>
    <m/>
    <d v="2040-10-31T00:00:00"/>
    <n v="6251"/>
    <s v=""/>
    <s v=""/>
    <s v=""/>
    <s v="05.10"/>
    <s v="05.10"/>
    <s v="00051380"/>
    <s v="Sales &amp; Marketing"/>
    <s v="305139"/>
    <s v="New Acquisition"/>
    <s v="Khopoli staff"/>
    <s v="0000100013"/>
    <s v="HOM-SALE&amp;MKTG-OEM"/>
    <s v="1111KHOP"/>
    <s v="20058920"/>
    <s v="Atul Singh"/>
    <s v="No"/>
    <s v="dharmendra.tiwari@amns.in"/>
    <s v="7263016882"/>
    <s v="1022302"/>
    <s v="Pritam Debbarma"/>
    <s v="Anil Matoo"/>
    <s v="-"/>
    <s v="Manjit Shah"/>
    <s v="-"/>
  </r>
  <r>
    <n v="6600"/>
    <n v="20058932"/>
    <s v="Swapnil Mahajan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8-12-31T00:00:00"/>
    <s v="34.08"/>
    <d v="2018-01-19T00:00:00"/>
    <d v="2048-12-31T00:00:00"/>
    <m/>
    <d v="2048-12-31T00:00:00"/>
    <n v="9234"/>
    <s v=""/>
    <s v=""/>
    <s v=""/>
    <s v="05.08"/>
    <s v="05.08"/>
    <s v="73800002"/>
    <s v="Procurement - Pune Asset"/>
    <s v="305140"/>
    <s v="New Acquisition"/>
    <s v="Khopoli staff"/>
    <s v="0000100010"/>
    <s v="HOM-COMM. &amp; PROCTS"/>
    <s v="1111KHOP"/>
    <s v="20006536"/>
    <s v="Mahesh Salunke"/>
    <s v="No"/>
    <s v="swapnil.mahajan@amns.in"/>
    <s v="8411970668"/>
    <s v="1022310"/>
    <s v="Pritam Debbarma"/>
    <s v="Anil Matoo"/>
    <s v="-"/>
    <s v="Manjit Shah"/>
    <s v="-"/>
  </r>
  <r>
    <n v="6601"/>
    <n v="20058933"/>
    <s v="Pushpendra Mishra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4-02-03T00:00:00"/>
    <s v="39.07"/>
    <d v="2018-07-07T00:00:00"/>
    <d v="2044-02-29T00:00:00"/>
    <m/>
    <d v="2044-02-29T00:00:00"/>
    <n v="7467"/>
    <s v=""/>
    <s v=""/>
    <s v=""/>
    <s v="05.02"/>
    <s v="05.02"/>
    <s v="00051339"/>
    <s v="Excise"/>
    <s v="305143"/>
    <s v="New Acquisition"/>
    <s v="Khopoli staff"/>
    <s v="0000290001"/>
    <s v="FAC-EXCISE_DEPT"/>
    <s v="1111KHOP"/>
    <s v="40002639"/>
    <s v="Balveer Bhandari"/>
    <s v="No"/>
    <s v="pushpendrakumar.mishra@amns.in"/>
    <s v="9039001011"/>
    <s v="1022315"/>
    <s v="Pritam Debbarma"/>
    <s v="Anil Matoo"/>
    <s v="-"/>
    <s v="Manjit Shah"/>
    <s v="-"/>
  </r>
  <r>
    <n v="6603"/>
    <n v="20058935"/>
    <s v="Satish Mulay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71-06-02T00:00:00"/>
    <s v="52.03"/>
    <d v="2018-08-29T00:00:00"/>
    <d v="2031-06-30T00:00:00"/>
    <m/>
    <d v="2031-06-30T00:00:00"/>
    <n v="2840"/>
    <s v=""/>
    <s v=""/>
    <s v=""/>
    <s v="05.00"/>
    <s v="05.00"/>
    <s v="00051336"/>
    <s v="Industrial Relations"/>
    <s v="305145"/>
    <s v="New Acquisition"/>
    <s v="Khopoli staff"/>
    <s v="0000100009"/>
    <s v="HOM-PERSONNEL / HRD"/>
    <s v="1111KHOP"/>
    <s v="20037245"/>
    <s v="Mukund Jagirdar"/>
    <s v="No"/>
    <s v="satish.mulay@amns.in"/>
    <s v="8411970545"/>
    <s v="1022321"/>
    <s v="Pritam Debbarma"/>
    <s v="Anil Matoo"/>
    <n v="0"/>
    <s v="Manjit Shah"/>
    <n v="0"/>
  </r>
  <r>
    <n v="6607"/>
    <n v="20058941"/>
    <s v="Satish Pednekar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6-02-06T00:00:00"/>
    <s v="37.07"/>
    <d v="2019-05-02T00:00:00"/>
    <d v="2046-02-28T00:00:00"/>
    <m/>
    <d v="2046-02-28T00:00:00"/>
    <n v="8197"/>
    <s v=""/>
    <s v=""/>
    <s v=""/>
    <s v="04.04"/>
    <s v="04.04"/>
    <s v="00051333"/>
    <s v="Corporate Accounts &amp; Global Reporting"/>
    <s v="305151"/>
    <s v="New Acquisition"/>
    <s v="Khopoli staff"/>
    <s v="0000290004"/>
    <s v="FAC-ACCOUTS_DEPT"/>
    <s v="1111KHOP"/>
    <s v="20058804"/>
    <s v="Roy Jose"/>
    <s v="No"/>
    <s v="satuppa.pednekar@amns.in"/>
    <s v="9405257883"/>
    <s v="1022293"/>
    <s v="Pritam Debbarma"/>
    <s v="Anil Matoo"/>
    <s v="-"/>
    <s v="Manjit Shah"/>
    <s v="-"/>
  </r>
  <r>
    <n v="6608"/>
    <n v="20058942"/>
    <s v="Dattaram Kadam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Hazira"/>
    <d v="1982-03-21T00:00:00"/>
    <s v="41.06"/>
    <d v="2019-06-10T00:00:00"/>
    <d v="2042-03-31T00:00:00"/>
    <m/>
    <d v="2042-03-31T00:00:00"/>
    <n v="6767"/>
    <s v=""/>
    <s v="MA-2004 , BA-2002 , High School-1999"/>
    <s v="04.00"/>
    <s v="04.03"/>
    <s v="08.03"/>
    <s v="00051335"/>
    <s v="HR &amp; Administration - Khopoli"/>
    <s v="305152"/>
    <s v="New Acquisition"/>
    <s v="Khopoli staff"/>
    <s v="0000100009"/>
    <s v="HOM-PERSONNEL / HRD"/>
    <s v="1111KHOP"/>
    <s v="20055071"/>
    <s v="Anirudha Bisoyi"/>
    <s v="No"/>
    <s v="dattaram.kadam@amns.in"/>
    <s v="9423823696"/>
    <s v="1022303"/>
    <s v="Pritam Debbarma"/>
    <s v="Anil Matoo"/>
    <n v="0"/>
    <s v="Manjit Shah"/>
    <n v="0"/>
  </r>
  <r>
    <n v="6616"/>
    <n v="20058953"/>
    <s v="Aman Khalkho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94-12-21T00:00:00"/>
    <s v="28.09"/>
    <d v="2021-09-01T00:00:00"/>
    <d v="2054-12-31T00:00:00"/>
    <m/>
    <d v="2054-12-31T00:00:00"/>
    <n v="11425"/>
    <s v=""/>
    <s v=""/>
    <s v=""/>
    <s v="02.00"/>
    <s v="02.00"/>
    <s v="00051336"/>
    <s v="Industrial Relations"/>
    <s v="305164"/>
    <s v="New Acquisition"/>
    <s v="Khopoli staff"/>
    <s v="0000100009"/>
    <s v="HOM-PERSONNEL / HRD"/>
    <s v="1111KHOP"/>
    <s v="20058961"/>
    <s v="Pritam Debbarma"/>
    <s v="No"/>
    <s v="aman.khalkho@amns.in"/>
    <s v="8411970427"/>
    <s v="1022346"/>
    <s v="Pritam Debbarma"/>
    <s v="Anil Matoo"/>
    <n v="0"/>
    <s v="Manjit Shah"/>
    <n v="0"/>
  </r>
  <r>
    <n v="6623"/>
    <n v="20058960"/>
    <s v="Sandeep Kuma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82-10-06T00:00:00"/>
    <s v="40.11"/>
    <d v="2022-02-21T00:00:00"/>
    <d v="2042-10-31T00:00:00"/>
    <m/>
    <d v="2042-10-31T00:00:00"/>
    <n v="6981"/>
    <s v=""/>
    <s v=""/>
    <s v=""/>
    <s v="01.06"/>
    <s v="01.06"/>
    <s v="00051335"/>
    <s v="HR &amp; Administration - Khopoli"/>
    <s v="305171"/>
    <s v="New Acquisition"/>
    <s v="Khopoli staff"/>
    <s v="0000290002"/>
    <s v="FAC-PERSONAL &amp; ADM"/>
    <s v="1111KHOP"/>
    <s v="20057887"/>
    <s v="Kiran Vaidya"/>
    <s v="No"/>
    <s v="sandeep.kumar@amns.in"/>
    <s v="9992148185"/>
    <s v="1022176"/>
    <s v="Pritam Debbarma"/>
    <s v="Anil Matoo"/>
    <s v="-"/>
    <s v="Manjit Shah"/>
    <s v="-"/>
  </r>
  <r>
    <n v="6624"/>
    <n v="20058961"/>
    <s v="Pritam Debbarma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88-05-25T00:00:00"/>
    <s v="35.03"/>
    <d v="2022-02-28T00:00:00"/>
    <d v="2048-05-31T00:00:00"/>
    <m/>
    <d v="2048-05-31T00:00:00"/>
    <n v="9020"/>
    <s v=""/>
    <s v=""/>
    <s v=""/>
    <s v="01.06"/>
    <s v="01.06"/>
    <s v="00051335"/>
    <s v="HR &amp; Administration - Khopoli"/>
    <s v="305172"/>
    <s v="New Acquisition"/>
    <s v="Khopoli staff"/>
    <s v="0000100009"/>
    <s v="HOM-PERSONNEL / HRD"/>
    <s v="1111KHOP"/>
    <s v="20037245"/>
    <s v="Mukund Jagirdar"/>
    <s v="No"/>
    <s v="pritam.debbarma@amns.in"/>
    <s v="8411970848"/>
    <s v="1022191"/>
    <s v="Pritam Debbarma"/>
    <s v="Anil Matoo"/>
    <n v="0"/>
    <s v="Manjit Shah"/>
    <n v="0"/>
  </r>
  <r>
    <n v="6668"/>
    <n v="20059006"/>
    <s v="Ranjit Kumar Sahu"/>
    <s v="AM/NS India"/>
    <s v="Onroll"/>
    <s v="M-8"/>
    <n v="8"/>
    <m/>
    <s v="JM"/>
    <s v="M"/>
    <s v="Corporate"/>
    <n v="2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Chairman's Secretariat"/>
    <s v="Chairman's Secretariat"/>
    <s v="74701000"/>
    <s v="Chairman's Secretariat"/>
    <s v="Paradeep"/>
    <d v="1985-03-05T00:00:00"/>
    <s v="38.06"/>
    <d v="2023-03-27T00:00:00"/>
    <d v="2043-03-31T00:00:00"/>
    <m/>
    <d v="2043-03-31T00:00:00"/>
    <n v="7132"/>
    <s v="O+"/>
    <s v="CA Inter-2012 , BCom-2005 , Intermediate"/>
    <s v="03.00"/>
    <s v="00.05"/>
    <s v="03.06"/>
    <s v="00044333"/>
    <s v="Internal Audit -Odisha"/>
    <s v="301000"/>
    <s v="Lead - Internal Audit"/>
    <s v="Odisha"/>
    <s v="0090000035"/>
    <s v=""/>
    <s v="2000STORIS"/>
    <s v="20055745"/>
    <s v="Ajay Kumar Sharma"/>
    <s v="No"/>
    <s v="ranjit.sahu@amns.in"/>
    <s v="9940613119"/>
    <s v="1042000"/>
    <s v="Sunila Das"/>
    <s v="Anil Matoo"/>
    <s v="Praveen Kuruvalli"/>
    <s v="Sunila Das"/>
    <n v="0"/>
  </r>
  <r>
    <n v="6670"/>
    <n v="20059008"/>
    <s v="Kotaro Sato"/>
    <s v="AM/NS India"/>
    <s v="PDA"/>
    <s v="PDA"/>
    <m/>
    <m/>
    <s v="TM"/>
    <s v="M"/>
    <s v="Hazira"/>
    <n v="1"/>
    <s v="2161"/>
    <x v="15"/>
    <s v="31.02"/>
    <s v="Hrishikesh Kamat"/>
    <s v="Hrishikesh Kamat"/>
    <n v="7"/>
    <s v="Procurement"/>
    <s v="Procurement"/>
    <s v="31"/>
    <s v="Section Incharge - Capex Planning"/>
    <m/>
    <s v="Capex Procurement"/>
    <s v=""/>
    <s v=""/>
    <s v="Non Technical Support"/>
    <s v=""/>
    <s v=""/>
    <s v=""/>
    <s v=""/>
    <s v="Hazira"/>
    <d v="1980-12-26T00:00:00"/>
    <s v="42.08"/>
    <d v="2023-04-01T00:00:00"/>
    <d v="2038-12-31T00:00:00"/>
    <m/>
    <d v="2038-12-31T00:00:00"/>
    <n v="5581"/>
    <s v=""/>
    <s v=""/>
    <s v=""/>
    <s v="00.05"/>
    <s v="00.05"/>
    <s v="00046902"/>
    <s v="Capex Plannig"/>
    <s v="306049"/>
    <s v="Section Incharge - Capex Planning"/>
    <s v="Non-payroll-relevant"/>
    <s v="0031920100"/>
    <s v="HAZIRA UPSTREAM PROJ"/>
    <s v="2000HWO"/>
    <s v="20055485"/>
    <s v="Majima Toshio"/>
    <s v="No"/>
    <s v="kotaro.sato@amns.in"/>
    <s v="7227043117"/>
    <s v="1015814"/>
    <s v="Dhruv Vyas"/>
    <s v="Anil Matoo"/>
    <s v="Praveen Kuruvalli"/>
    <s v="Dhruv Vyas"/>
    <n v="0"/>
  </r>
  <r>
    <n v="6671"/>
    <n v="20059009"/>
    <s v="Michiro Urabe"/>
    <s v="AM/NS India"/>
    <s v="PDA"/>
    <s v="PDA"/>
    <m/>
    <m/>
    <s v="TM"/>
    <s v="M"/>
    <s v="Hazira"/>
    <n v="1"/>
    <s v="2161"/>
    <x v="15"/>
    <s v="31.02"/>
    <s v="Hrishikesh Kamat"/>
    <s v="Hrishikesh Kamat"/>
    <n v="7"/>
    <s v="Procurement"/>
    <s v="Procurement"/>
    <s v="31"/>
    <s v="Section Incharge - Capex Planning"/>
    <m/>
    <s v="Capex Procurement"/>
    <s v=""/>
    <s v=""/>
    <s v="Non Technical Support"/>
    <s v=""/>
    <s v=""/>
    <s v=""/>
    <s v=""/>
    <s v="Hazira"/>
    <d v="1978-11-01T00:00:00"/>
    <s v="44.10"/>
    <d v="2023-04-01T00:00:00"/>
    <d v="2036-10-31T00:00:00"/>
    <m/>
    <d v="2036-10-31T00:00:00"/>
    <n v="4790"/>
    <s v=""/>
    <s v=""/>
    <s v=""/>
    <s v="00.05"/>
    <s v="00.05"/>
    <s v="00052664"/>
    <s v="Capex Planning"/>
    <s v="306050"/>
    <s v="Section Incharge - Capex Planning"/>
    <s v="Non-payroll-relevant"/>
    <s v="0031920100"/>
    <s v="HAZIRA UPSTREAM PROJ"/>
    <s v="2000HWO"/>
    <s v="20055485"/>
    <s v="Majima Toshio"/>
    <s v="No"/>
    <s v="michiro.urabe@amns.in"/>
    <s v="7227043115"/>
    <s v="1042652"/>
    <s v="Dhruv Vyas"/>
    <s v="Anil Matoo"/>
    <s v="Praveen Kuruvalli"/>
    <s v="Dhruv Vyas"/>
    <n v="0"/>
  </r>
  <r>
    <n v="6675"/>
    <n v="20059013"/>
    <s v="Richa Gandhi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Internal Control and SOX"/>
    <m/>
    <s v="Finance &amp; Accounts"/>
    <s v="Internal Control &amp; SOX"/>
    <s v=""/>
    <s v="Non Technical Support"/>
    <s v="Chairman's Secretariat"/>
    <s v="Chairman's Secretariat"/>
    <s v="74701000"/>
    <s v="Chairman's Secretariat"/>
    <s v="Hazira"/>
    <d v="1996-07-25T00:00:00"/>
    <s v="27.01"/>
    <d v="2023-03-31T00:00:00"/>
    <d v="2054-07-31T00:00:00"/>
    <m/>
    <d v="2054-07-31T00:00:00"/>
    <n v="11272"/>
    <s v="AB+"/>
    <s v="BCom-2018 , CA Final-2019 , Intermediate"/>
    <s v="03.04"/>
    <s v="00.05"/>
    <s v="03.09"/>
    <s v="00051504"/>
    <s v="Internal Control &amp; SOX"/>
    <s v="300858"/>
    <s v="Officer - Internal Control and SOX"/>
    <s v="Hazira"/>
    <s v="0031950043"/>
    <s v=""/>
    <s v="2000HWO"/>
    <s v="20056387"/>
    <s v="Vikal Goyal"/>
    <s v="No"/>
    <s v="richa.gandhi@amns.in"/>
    <s v="8866433297"/>
    <s v="1042942"/>
    <s v="Dhruv Vyas"/>
    <s v="Anil Matoo"/>
    <s v="Praveen Kuruvalli"/>
    <s v="Dhruv Vyas"/>
    <n v="0"/>
  </r>
  <r>
    <n v="6676"/>
    <n v="20059014"/>
    <s v="Saikrishna Darni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charge - Stores &amp; Warehouse"/>
    <m/>
    <s v="Stores &amp; Warehouse"/>
    <s v="Stores &amp; Warehouse"/>
    <s v="Receipt, Unloading &amp; Unbound"/>
    <s v="Non Technical Support"/>
    <s v=""/>
    <s v=""/>
    <s v=""/>
    <s v=""/>
    <s v="Hazira"/>
    <d v="1993-06-26T00:00:00"/>
    <s v="30.02"/>
    <d v="2023-03-31T00:00:00"/>
    <d v="2051-06-30T00:00:00"/>
    <m/>
    <d v="2051-06-30T00:00:00"/>
    <n v="10145"/>
    <s v="O+"/>
    <s v="Diploma-2016 , Intermediate-2008"/>
    <s v="11.06"/>
    <s v="00.05"/>
    <s v="11.11"/>
    <s v="00044541"/>
    <s v="HRC Store - Receipt"/>
    <s v="272362"/>
    <s v="Section Incharge - Stores &amp; Warehouse"/>
    <s v="Hazira"/>
    <s v="0031950049"/>
    <s v=""/>
    <s v="2000HWO"/>
    <s v="20005047"/>
    <s v="Rajeev Jha"/>
    <s v="No"/>
    <s v="saikrishna.darni@amns.in"/>
    <s v="7227043145"/>
    <s v="1042964"/>
    <s v="Dhruv Vyas"/>
    <s v="Anil Matoo"/>
    <s v="Praveen Kuruvalli"/>
    <s v="Dhruv Vyas"/>
    <n v="0"/>
  </r>
  <r>
    <n v="6680"/>
    <n v="20059018"/>
    <s v="Sandeep Ray"/>
    <s v="AM/NS India"/>
    <s v="Onroll"/>
    <s v="M-6"/>
    <n v="6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Section Head – Facility Management"/>
    <m/>
    <s v="Administration"/>
    <s v=""/>
    <s v=""/>
    <s v="Non Technical Support"/>
    <s v="Administration"/>
    <s v="Administration"/>
    <s v="74101001"/>
    <s v="Administration"/>
    <s v="Hazira"/>
    <d v="1983-04-02T00:00:00"/>
    <s v="40.05"/>
    <d v="2023-04-03T00:00:00"/>
    <d v="2041-04-30T00:00:00"/>
    <m/>
    <d v="2041-04-30T00:00:00"/>
    <n v="6432"/>
    <s v="B+"/>
    <s v="PG Diploma in Management-2011"/>
    <s v="00.02"/>
    <s v="00.05"/>
    <s v="00.07"/>
    <s v="00049757"/>
    <s v="Facility Management"/>
    <s v="296422"/>
    <s v="Section Head – Facility Management"/>
    <s v="Hazira"/>
    <s v="0090000018"/>
    <s v=""/>
    <s v="2000HWO"/>
    <s v="20057886"/>
    <s v="Shakir Bandwala"/>
    <s v="No"/>
    <s v="sandeep.ray@amns.in"/>
    <s v="8238366222"/>
    <s v="1043070"/>
    <s v="Manjit Shah"/>
    <s v="Anil Matoo"/>
    <s v="Praveen Kuruvalli"/>
    <s v="Lakshman Iyer"/>
    <n v="0"/>
  </r>
  <r>
    <n v="6683"/>
    <n v="20059021"/>
    <s v="Nilesh Kumbhani"/>
    <s v="AM/NS India"/>
    <s v="Onroll"/>
    <s v="M-9"/>
    <n v="9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Officer - Contracts"/>
    <m/>
    <s v="Contracts"/>
    <s v=""/>
    <s v=""/>
    <s v="Non Technical Support"/>
    <s v="Commercial"/>
    <s v="Contracts &amp; Tenders and E-bid"/>
    <s v="73805001"/>
    <s v="Contracts &amp; Tenders and E"/>
    <s v="Hazira"/>
    <d v="1987-03-15T00:00:00"/>
    <s v="36.06"/>
    <d v="2023-04-01T00:00:00"/>
    <d v="2045-03-31T00:00:00"/>
    <m/>
    <d v="2045-03-31T00:00:00"/>
    <n v="7863"/>
    <s v="O+"/>
    <s v="MBA-2011 , BCom-2009 , Intermediate-2006"/>
    <s v="03.09"/>
    <s v="00.05"/>
    <s v="04.02"/>
    <s v="70495670"/>
    <s v="Contracts"/>
    <s v="300995"/>
    <s v="Officer - Contracts"/>
    <s v="Hazira"/>
    <s v="0031950047"/>
    <s v=""/>
    <s v="2000HWO"/>
    <s v="20000795"/>
    <s v="Pankaj Chaturvedi"/>
    <s v="No"/>
    <s v="nilesh.kumbhani@amns.in"/>
    <s v="9879101729"/>
    <s v="25211"/>
    <s v="Dhruv Vyas"/>
    <s v="Anil Matoo"/>
    <s v="Praveen Kuruvalli"/>
    <s v="Dhruv Vyas"/>
    <n v="0"/>
  </r>
  <r>
    <n v="6684"/>
    <n v="20059022"/>
    <s v="Mital Gohil"/>
    <s v="AM/NS India"/>
    <s v="Onroll"/>
    <s v="M-10"/>
    <n v="10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Finance &amp; Accounts"/>
    <m/>
    <s v="Finance &amp; Accounts"/>
    <s v="Service Centers"/>
    <s v=""/>
    <s v="Non Technical Support"/>
    <s v=""/>
    <s v=""/>
    <s v=""/>
    <s v=""/>
    <s v="Hazira"/>
    <d v="1991-08-12T00:00:00"/>
    <s v="32.01"/>
    <d v="2023-03-16T00:00:00"/>
    <d v="2049-08-31T00:00:00"/>
    <m/>
    <d v="2049-08-31T00:00:00"/>
    <n v="9477"/>
    <s v="AB+"/>
    <s v="MBA-2014 , BBA-2012 , Intermediate-2009"/>
    <s v="02.02"/>
    <s v="00.06"/>
    <s v="02.08"/>
    <s v="70495565"/>
    <s v="F&amp;A Hypermart &amp; Service Centre"/>
    <s v="305317"/>
    <s v="Officer Accounts Payable"/>
    <s v="Hazira"/>
    <s v="0031950045"/>
    <s v="HZ-Works Accounts-Ha"/>
    <s v="2000HWO"/>
    <s v="20055504"/>
    <s v="Vivek Choudhary"/>
    <s v="No"/>
    <s v="mital.gohil@amns.in"/>
    <s v="9978832962"/>
    <s v="794645"/>
    <s v="Dhruv Vyas"/>
    <s v="Anil Matoo"/>
    <s v="Praveen Kuruvalli"/>
    <s v="Dhruv Vyas"/>
    <n v="0"/>
  </r>
  <r>
    <n v="6685"/>
    <n v="20059023"/>
    <s v="Vishalkumar Panchawala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 Accounts Payable"/>
    <m/>
    <s v="Finance &amp; Accounts"/>
    <s v="Accounts Payable"/>
    <s v="Bills Payable"/>
    <s v="Non Technical Support"/>
    <s v="Finance &amp; Accounts"/>
    <s v="Corporate Finance"/>
    <s v="73902004"/>
    <s v="Banking Relations"/>
    <s v="Hazira"/>
    <d v="1980-07-14T00:00:00"/>
    <s v="43.02"/>
    <d v="2023-03-16T00:00:00"/>
    <d v="2038-07-31T00:00:00"/>
    <m/>
    <d v="2038-07-31T00:00:00"/>
    <n v="5428"/>
    <s v="B+"/>
    <s v="BCom-2004"/>
    <s v=""/>
    <s v="00.06"/>
    <s v="00.06"/>
    <s v="00043794"/>
    <s v="Accounts Payable - 1"/>
    <s v="300857"/>
    <s v="MT"/>
    <s v="Hazira"/>
    <s v="0031950045"/>
    <s v=""/>
    <s v="2000HWO"/>
    <s v="20016107"/>
    <s v="Kalpesh Thathagar"/>
    <s v="No"/>
    <s v="vishal.panchawala@amns.in"/>
    <s v="9879101096"/>
    <s v="25120"/>
    <s v="Dhruv Vyas"/>
    <s v="Anil Matoo"/>
    <s v="Praveen Kuruvalli"/>
    <s v="Dhruv Vyas"/>
    <n v="0"/>
  </r>
  <r>
    <n v="6686"/>
    <n v="20059024"/>
    <s v="Keiji Kubota"/>
    <s v="AM/NS India"/>
    <s v="PDA"/>
    <s v="PDA"/>
    <n v="2"/>
    <m/>
    <s v="TM"/>
    <s v="M"/>
    <s v="Hazira"/>
    <n v="1"/>
    <s v="2015"/>
    <x v="1"/>
    <s v="22.06"/>
    <s v="Ashutosh Telang"/>
    <s v="Ashutosh Telang"/>
    <n v="6"/>
    <s v="HR &amp; Administration"/>
    <s v="Human Resources"/>
    <s v="22"/>
    <s v="Dy Director - HR &amp; Admin"/>
    <m/>
    <s v="Human Resources"/>
    <s v=""/>
    <s v=""/>
    <s v="Non Technical Support"/>
    <s v=""/>
    <s v=""/>
    <s v="70494642"/>
    <s v="Deputy Director"/>
    <s v="Hazira"/>
    <d v="1969-07-11T00:00:00"/>
    <s v="54.02"/>
    <d v="2023-04-01T00:00:00"/>
    <d v="2027-07-31T00:00:00"/>
    <m/>
    <d v="2027-07-31T00:00:00"/>
    <n v="1410"/>
    <s v=""/>
    <s v=""/>
    <s v=""/>
    <s v="00.05"/>
    <s v="00.05"/>
    <s v="70494636"/>
    <s v="HR and Administration"/>
    <s v="306661"/>
    <s v="Deputy Directory HR &amp;Admin"/>
    <s v="Non-payroll-relevant"/>
    <s v="0090000018"/>
    <s v=""/>
    <s v="2000HWO"/>
    <s v="20057637"/>
    <s v="Ashutosh Telang"/>
    <s v="No"/>
    <s v="keiji.kubota@amns.in"/>
    <s v=""/>
    <s v="1043230"/>
    <s v="Dhruv Vyas"/>
    <s v="Anil Matoo"/>
    <s v="Praveen Kuruvalli"/>
    <s v="Dhruv Vyas"/>
    <n v="0"/>
  </r>
  <r>
    <n v="6689"/>
    <n v="20059027"/>
    <s v="Nikhil Kaura"/>
    <s v="AM/NS India"/>
    <s v="Onroll"/>
    <s v="M-6"/>
    <n v="6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s v=""/>
    <s v=""/>
    <s v="Non Technical Support"/>
    <s v="Corporate Relations"/>
    <s v="Corporate Affairs"/>
    <s v="74501001"/>
    <s v="Corporate Affairs"/>
    <s v="Delhi"/>
    <d v="1988-01-15T00:00:00"/>
    <s v="35.08"/>
    <d v="2023-04-07T00:00:00"/>
    <d v="2046-01-31T00:00:00"/>
    <m/>
    <d v="2046-01-31T00:00:00"/>
    <n v="8169"/>
    <s v="B+"/>
    <s v="PG Diploma in Management-2010 , BA-2010"/>
    <s v="05.06"/>
    <s v="00.05"/>
    <s v="05.10"/>
    <s v="70494938"/>
    <s v="Corporate Affairs"/>
    <s v="306590"/>
    <s v="Lead Corporate Affair"/>
    <s v="Corporate"/>
    <s v="0090000021"/>
    <s v=""/>
    <s v="2000CS"/>
    <s v="20057928"/>
    <s v="Manu Kapoor"/>
    <s v="No"/>
    <s v="nikhil.kaura@amns.in"/>
    <s v="9811038669"/>
    <s v="1044083"/>
    <s v="Dhruv Vyas"/>
    <s v="Anil Matoo"/>
    <s v="Praveen Kuruvalli"/>
    <s v="Dhruv Vyas"/>
    <n v="0"/>
  </r>
  <r>
    <n v="6704"/>
    <n v="20059042"/>
    <s v="Murali Sahoo"/>
    <s v="AM/NS India"/>
    <s v="Onroll"/>
    <s v="M-6"/>
    <n v="6"/>
    <m/>
    <s v="MM"/>
    <s v="M"/>
    <s v="Mining"/>
    <n v="8"/>
    <s v="2015"/>
    <x v="1"/>
    <s v="22.06"/>
    <s v="Praveen Kuruvalli"/>
    <s v="Ashutosh Telang"/>
    <n v="6"/>
    <s v="HR &amp; Administration"/>
    <s v="Human Resources"/>
    <s v="22"/>
    <s v="Head HR – Mines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Barbil"/>
    <d v="1981-05-12T00:00:00"/>
    <s v="42.04"/>
    <d v="2023-04-10T00:00:00"/>
    <d v="2039-05-31T00:00:00"/>
    <m/>
    <d v="2039-05-31T00:00:00"/>
    <n v="5732"/>
    <s v="AB+"/>
    <s v="MSW-2006 , BA-2003 , Intermediate-2000 ,"/>
    <s v="01.11"/>
    <s v="00.05"/>
    <s v="02.04"/>
    <s v="00051987"/>
    <s v="HR - Mining"/>
    <s v="301567"/>
    <s v="Head HR Mining"/>
    <s v="Odisha"/>
    <s v="0031950061"/>
    <s v=""/>
    <s v="2000STORIS"/>
    <s v="20055483"/>
    <s v="Praveen Kuruvalli"/>
    <s v="No"/>
    <s v="murali.sahoo@amns.in"/>
    <s v="9437717622"/>
    <s v="1044304"/>
    <s v="Murali Sahoo"/>
    <s v="Anil Matoo"/>
    <s v="Praveen Kuruvalli"/>
    <s v="Murali Sahoo"/>
    <n v="0"/>
  </r>
  <r>
    <n v="6705"/>
    <n v="20059043"/>
    <s v="Priyanka Patidar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Corporate Accounts"/>
    <m/>
    <s v="Finance &amp;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Hazira"/>
    <d v="2000-01-11T00:00:00"/>
    <s v="23.08"/>
    <d v="2023-04-10T00:00:00"/>
    <d v="2058-01-31T00:00:00"/>
    <m/>
    <d v="2058-01-31T00:00:00"/>
    <n v="12552"/>
    <s v="O+"/>
    <s v="CA Inter-2022 , Intermediate-2017 , Inte"/>
    <s v=""/>
    <s v="00.05"/>
    <s v="00.05"/>
    <s v="70074192"/>
    <s v="Corporate Accounts"/>
    <s v="70493872"/>
    <s v="Officer - Corporate Accounts"/>
    <s v="Hazira"/>
    <s v="0090000027"/>
    <s v=""/>
    <s v="2000HWO"/>
    <s v="20007067"/>
    <s v="Gaurav Bhandari"/>
    <s v="No"/>
    <s v="priyanka.patidar@amns.in"/>
    <s v="6378596477"/>
    <s v="1044311"/>
    <s v="Dhruv Vyas"/>
    <s v="Anil Matoo"/>
    <s v="Praveen Kuruvalli"/>
    <s v="Dhruv Vyas"/>
    <n v="0"/>
  </r>
  <r>
    <n v="6707"/>
    <n v="20059045"/>
    <s v="Navneet Kumar Jain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 Direct Tax"/>
    <m/>
    <s v="Finance &amp; Accounts"/>
    <s v="Direct - Taxation"/>
    <s v=""/>
    <s v="Non Technical Support"/>
    <s v="Finance &amp; Accounts"/>
    <s v="Taxation"/>
    <s v="73904001"/>
    <s v="Direct Taxation"/>
    <s v="Hazira"/>
    <d v="1993-09-20T00:00:00"/>
    <s v="30.00"/>
    <d v="2023-04-17T00:00:00"/>
    <d v="2051-09-30T00:00:00"/>
    <m/>
    <d v="2051-09-30T00:00:00"/>
    <n v="10237"/>
    <s v="AB+"/>
    <s v="BCom-2013 , CA Final-2015 , Diploma-2010"/>
    <s v="03.04"/>
    <s v="00.05"/>
    <s v="03.09"/>
    <s v="00052147"/>
    <s v="Direct Tax"/>
    <s v="300851"/>
    <s v="Lead  Direct Tax"/>
    <s v="Hazira"/>
    <s v="0090000033"/>
    <s v=""/>
    <s v="2000HWO"/>
    <s v="20055494"/>
    <s v="Vikas Soni"/>
    <s v="No"/>
    <s v="navneet.jain7@amns.in"/>
    <s v="7737397279"/>
    <s v="1044986"/>
    <s v="Dhruv Vyas"/>
    <s v="Anil Matoo"/>
    <s v="Praveen Kuruvalli"/>
    <s v="Dhruv Vyas"/>
    <n v="0"/>
  </r>
  <r>
    <n v="6716"/>
    <n v="20059054"/>
    <s v="Rohan Sarin"/>
    <s v="AM/NS India"/>
    <s v="Onroll"/>
    <s v="M-6"/>
    <n v="6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s v=""/>
    <s v=""/>
    <s v="Non Technical Support"/>
    <s v="Corporate Relations"/>
    <s v="Corporate Affairs"/>
    <s v="74501001"/>
    <s v="Corporate Affairs"/>
    <s v="Delhi"/>
    <d v="1985-11-16T00:00:00"/>
    <s v="37.10"/>
    <d v="2023-04-17T00:00:00"/>
    <d v="2043-11-30T00:00:00"/>
    <m/>
    <d v="2043-11-30T00:00:00"/>
    <n v="7376"/>
    <s v="B+"/>
    <s v="MBA-2008 , BA-2006 , Intermediate-2003 ,"/>
    <s v="11.08"/>
    <s v="00.05"/>
    <s v="12.01"/>
    <s v="70494938"/>
    <s v="Corporate Affairs"/>
    <s v="307007"/>
    <s v="Lead Corporate Affairs"/>
    <s v="Corporate"/>
    <s v="0090000021"/>
    <s v=""/>
    <s v="2000CRG"/>
    <s v="20057928"/>
    <s v="Manu Kapoor"/>
    <s v="No"/>
    <s v="rohan.sarin@amns.in"/>
    <s v="9999293221"/>
    <s v="1045153"/>
    <s v="Dhruv Vyas"/>
    <s v="Anil Matoo"/>
    <s v="Praveen Kuruvalli"/>
    <s v="Dhruv Vyas"/>
    <n v="0"/>
  </r>
  <r>
    <n v="6717"/>
    <n v="20059055"/>
    <s v="Shailaja Rai"/>
    <s v="AM/NS India"/>
    <s v="Onroll"/>
    <s v="M-8"/>
    <n v="8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Lead Talent Acquisition Campus Relations"/>
    <m/>
    <s v="Human Resources"/>
    <s v=""/>
    <s v=""/>
    <s v="Non Technical Support"/>
    <s v="Human Resources Management"/>
    <s v="Human Resources Management"/>
    <s v="73501001"/>
    <s v="Human Resources"/>
    <s v="Mumbai"/>
    <d v="1994-06-23T00:00:00"/>
    <s v="29.02"/>
    <d v="2023-04-17T00:00:00"/>
    <d v="2052-06-30T00:00:00"/>
    <m/>
    <d v="2052-06-30T00:00:00"/>
    <n v="10511"/>
    <s v="O+"/>
    <s v="MBA-2021 , BTech-2016"/>
    <s v="02.01"/>
    <s v="00.05"/>
    <s v="02.06"/>
    <s v="70242278"/>
    <s v="People Strategy &amp; HR Center Excellence"/>
    <s v="301566"/>
    <s v="Sr Lead Campus Relations"/>
    <s v="Hazira"/>
    <s v="0031950061"/>
    <s v=""/>
    <s v="2000CRG"/>
    <s v="20055483"/>
    <s v="Praveen Kuruvalli"/>
    <s v="No"/>
    <s v="shailaja.rai@amns.in"/>
    <s v="7043693058"/>
    <s v="1045163"/>
    <s v="Dhruv Vyas"/>
    <s v="Anil Matoo"/>
    <s v="Praveen Kuruvalli"/>
    <s v="Dhruv Vyas"/>
    <n v="0"/>
  </r>
  <r>
    <n v="6721"/>
    <n v="20059059"/>
    <s v="Rajendra Mukhekar"/>
    <s v="AM/NS Shipping &amp; Logistics"/>
    <s v="Onroll"/>
    <s v="M-8"/>
    <n v="8"/>
    <m/>
    <s v="JM"/>
    <s v="M"/>
    <s v="Hazira"/>
    <n v="1"/>
    <s v="7209"/>
    <x v="18"/>
    <s v="33.01"/>
    <s v="Hrishikesh Kamat"/>
    <s v="Hrishikesh Kamat"/>
    <n v="7"/>
    <s v="Procurement"/>
    <s v="Shipping &amp; Chartering"/>
    <s v="33"/>
    <s v="Lead Shipping &amp; Chartering"/>
    <m/>
    <s v="Shipping &amp; Charterin"/>
    <s v=""/>
    <s v=""/>
    <s v="Tech. Support Services"/>
    <s v="Operations"/>
    <s v="Operations"/>
    <s v="72103001"/>
    <s v="Operations"/>
    <s v="Hazira"/>
    <d v="1985-07-13T00:00:00"/>
    <s v="38.02"/>
    <d v="2023-04-01T00:00:00"/>
    <d v="2043-07-31T00:00:00"/>
    <m/>
    <d v="2043-07-31T00:00:00"/>
    <n v="7254"/>
    <s v="O+"/>
    <s v="BCom-2007 , Intermediate-2003 , Intermed"/>
    <s v="04.06"/>
    <s v="00.05"/>
    <s v="04.11"/>
    <s v="00051618"/>
    <s v="Shipping and Chartering"/>
    <s v="307281"/>
    <s v="Lead Shipping &amp; Chartering"/>
    <s v="AMNSSL"/>
    <s v="0000700001"/>
    <s v="SHIP-COMMON"/>
    <s v="2000HWO"/>
    <s v="20056845"/>
    <s v="Manoj Kumar"/>
    <s v="No"/>
    <s v="rajendra.mukherkar@amns.in"/>
    <s v="9909902661"/>
    <s v="798210"/>
    <s v="Dhruv Vyas"/>
    <s v="Anil Matoo"/>
    <s v="Praveen Kuruvalli"/>
    <s v="Dhruv Vyas"/>
    <n v="0"/>
  </r>
  <r>
    <n v="6724"/>
    <n v="20059062"/>
    <s v="Ankita Vyas"/>
    <s v="AM/NS India"/>
    <s v="Onroll"/>
    <s v="M-10"/>
    <n v="10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Analyst - Financial Concurrence"/>
    <m/>
    <s v="Finance &amp; Accounts"/>
    <s v="Internal Control &amp; SOX"/>
    <s v="Finance &amp; Accounts"/>
    <s v="Non Technical Support"/>
    <s v=""/>
    <s v=""/>
    <s v=""/>
    <s v=""/>
    <s v="Hazira"/>
    <d v="1989-11-04T00:00:00"/>
    <s v="33.10"/>
    <d v="2023-04-01T00:00:00"/>
    <d v="2047-11-30T00:00:00"/>
    <m/>
    <d v="2047-11-30T00:00:00"/>
    <n v="8837"/>
    <s v="A+"/>
    <s v="Diploma-2019 , BSc-2010 , Intermediate-2"/>
    <s v="04.01"/>
    <s v="00.05"/>
    <s v="04.06"/>
    <s v="00049304"/>
    <s v="PM - Internal Control"/>
    <s v="70486549"/>
    <s v="Analyst - Financial Concurrence"/>
    <s v="Hazira"/>
    <s v="0031950043"/>
    <s v="HZ-Performance Manag"/>
    <s v="2000HWO"/>
    <s v="20006833"/>
    <s v="Hardik Vasavada"/>
    <s v="No"/>
    <s v="ankita.vyas@amns.in"/>
    <s v="9462527772"/>
    <s v="25351"/>
    <s v="Dhruv Vyas"/>
    <s v="Anil Matoo"/>
    <s v="Praveen Kuruvalli"/>
    <s v="Dhruv Vyas"/>
    <n v="0"/>
  </r>
  <r>
    <n v="6725"/>
    <n v="20059063"/>
    <s v="Macarious M Joachim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87-03-10T00:00:00"/>
    <s v="36.06"/>
    <d v="2023-04-19T00:00:00"/>
    <d v="2045-03-31T00:00:00"/>
    <m/>
    <d v="2045-03-31T00:00:00"/>
    <n v="7863"/>
    <s v="A+"/>
    <s v="MTech-2014 , BTech-2008 , Intermediate-2"/>
    <s v="13.03"/>
    <s v="00.05"/>
    <s v="13.08"/>
    <s v="00052460"/>
    <s v="Auto &amp; YG"/>
    <s v="305326"/>
    <s v="Resident Engineer"/>
    <s v="Corporate"/>
    <s v="0031950057"/>
    <s v=""/>
    <s v="2000HWO"/>
    <s v="20056155"/>
    <s v="Kondapalli Venkateswarlu"/>
    <s v="No"/>
    <s v="macarious.joachim@amns.in"/>
    <s v="8095402625"/>
    <s v="1045842"/>
    <s v="Dhruv Vyas"/>
    <s v="Anil Matoo"/>
    <s v="Praveen Kuruvalli"/>
    <s v="Dhruv Vyas"/>
    <n v="0"/>
  </r>
  <r>
    <n v="6728"/>
    <n v="20059066"/>
    <s v="Pankaj Kaushik"/>
    <s v="AM/NS India"/>
    <s v="Onroll"/>
    <s v="M-6"/>
    <n v="6"/>
    <m/>
    <s v="MM"/>
    <s v="M"/>
    <s v="Corporate"/>
    <n v="7"/>
    <s v="2015"/>
    <x v="1"/>
    <s v="22.06"/>
    <s v="Praveen Kuruvalli"/>
    <s v="Ashutosh Telang"/>
    <n v="6"/>
    <s v="HR &amp; Administration"/>
    <s v="Human Resources"/>
    <s v="22"/>
    <s v="Sr. Lead HRIS &amp; Digitization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Mumbai"/>
    <d v="1977-08-04T00:00:00"/>
    <s v="46.01"/>
    <d v="2023-04-27T00:00:00"/>
    <d v="2035-08-31T00:00:00"/>
    <m/>
    <d v="2035-08-31T00:00:00"/>
    <n v="4363"/>
    <s v=""/>
    <s v="MBA-2014 , MCA-2008"/>
    <s v="22.05"/>
    <s v="00.04"/>
    <s v="22.10"/>
    <s v="00052538"/>
    <s v="HR Technology"/>
    <s v="308081"/>
    <s v="Sr. Lead HRIS &amp; Digitization"/>
    <s v="Corporate"/>
    <s v="0031950061"/>
    <s v=""/>
    <s v="2000CRG"/>
    <s v="20055483"/>
    <s v="Praveen Kuruvalli"/>
    <s v="No"/>
    <s v="pankaj.kaushik3@amns.in"/>
    <s v="9004476301"/>
    <s v="1047088"/>
    <s v="Dhruv Vyas"/>
    <s v="Anil Matoo"/>
    <s v="Praveen Kuruvalli"/>
    <s v="Dhruv Vyas"/>
    <n v="0"/>
  </r>
  <r>
    <n v="6737"/>
    <n v="20059075"/>
    <s v="Hardikkumar Patel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– Internal Control &amp; SOX"/>
    <m/>
    <m/>
    <m/>
    <m/>
    <s v="Non Technical Support"/>
    <s v=""/>
    <s v=""/>
    <s v=""/>
    <s v=""/>
    <s v="Hazira"/>
    <d v="1996-06-08T00:00:00"/>
    <s v="27.03"/>
    <d v="2023-05-01T00:00:00"/>
    <d v="2054-06-30T00:00:00"/>
    <m/>
    <d v="2054-06-30T00:00:00"/>
    <n v="11241"/>
    <s v="O+"/>
    <s v="MBA-2020 , BE-2017 , Intermediate-2011"/>
    <s v="03.03"/>
    <s v="00.04"/>
    <s v="03.08"/>
    <s v="00051504"/>
    <s v="Internal Control &amp; SOX"/>
    <s v="70495285"/>
    <s v="Officer – Internal Control &amp; SOX"/>
    <s v="Hazira"/>
    <s v="0031950043"/>
    <s v=""/>
    <s v="2000HWO"/>
    <s v="20056387"/>
    <s v="Vikal Goyal"/>
    <s v="No"/>
    <s v="hardik.patel3@amns.in"/>
    <s v="9427184518"/>
    <s v="1047187"/>
    <s v="Dhruv Vyas"/>
    <s v="Anil Matoo"/>
    <s v="Praveen Kuruvalli"/>
    <s v="Dhruv Vyas"/>
    <n v="0"/>
  </r>
  <r>
    <n v="6738"/>
    <n v="20059076"/>
    <s v="Ravish Doshi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Performance Management"/>
    <m/>
    <m/>
    <m/>
    <m/>
    <s v="Non Technical Support"/>
    <s v=""/>
    <s v=""/>
    <s v=""/>
    <s v=""/>
    <s v="Hazira"/>
    <d v="1982-08-24T00:00:00"/>
    <s v="41.00"/>
    <d v="2023-05-01T00:00:00"/>
    <d v="2040-08-31T00:00:00"/>
    <m/>
    <d v="2040-08-31T00:00:00"/>
    <n v="6190"/>
    <s v="B+"/>
    <s v="PG Diploma in Management-2018 , ICWA Fin"/>
    <s v="04.02"/>
    <s v="00.04"/>
    <s v="04.07"/>
    <s v="00045310"/>
    <s v="Performance Management"/>
    <s v="264181"/>
    <s v="Sr. Lead - Performance Management"/>
    <s v="Hazira"/>
    <s v="0031950043"/>
    <s v="HZ-Performance Manag"/>
    <s v="2000HWO"/>
    <s v="20003280"/>
    <s v="Chetan Jansari"/>
    <s v="No"/>
    <s v="ravish.doshi@amns.in"/>
    <s v="9687639785"/>
    <s v="1047188"/>
    <s v="Dhruv Vyas"/>
    <s v="Anil Matoo"/>
    <s v="Praveen Kuruvalli"/>
    <s v="Dhruv Vyas"/>
    <n v="0"/>
  </r>
  <r>
    <n v="6756"/>
    <n v="20059097"/>
    <s v="Gowtham D"/>
    <s v="AM/NS India"/>
    <s v="Onroll"/>
    <s v="M-8"/>
    <n v="8"/>
    <m/>
    <s v="JM"/>
    <s v="M"/>
    <s v="Corporate"/>
    <n v="7"/>
    <s v="2039"/>
    <x v="2"/>
    <s v="43.01"/>
    <s v="Sangeeta Munjal"/>
    <s v="Manu Kapoor"/>
    <n v="10"/>
    <s v="Corporate Affairs"/>
    <s v="Corporate Affairs"/>
    <s v="43"/>
    <s v="Executive Assistant"/>
    <m/>
    <s v="Corporate Affairs"/>
    <m/>
    <m/>
    <s v="Non Technical Support"/>
    <s v="Corporate Relations"/>
    <s v="Corporate Affairs"/>
    <s v="74501001"/>
    <s v="Corporate Affairs"/>
    <s v="Delhi"/>
    <d v="1993-08-20T00:00:00"/>
    <s v="30.00"/>
    <d v="2023-05-08T00:00:00"/>
    <d v="2051-08-31T00:00:00"/>
    <m/>
    <d v="2051-08-31T00:00:00"/>
    <n v="10207"/>
    <s v="A+"/>
    <s v="BE-2015"/>
    <s v="03.03"/>
    <s v="00.04"/>
    <s v="03.07"/>
    <s v="70494938"/>
    <s v="Corporate Affairs"/>
    <s v="308627"/>
    <s v="Executive Assistant"/>
    <s v="Corporate"/>
    <s v="0090000021"/>
    <s v="Corporate Affairs"/>
    <s v="2000CS"/>
    <s v="20057928"/>
    <s v="Manu Kapoor"/>
    <s v="No"/>
    <s v="gawtham.md@amns.in"/>
    <s v="8296587095"/>
    <s v="1048648"/>
    <s v="Dhruv Vyas"/>
    <s v="Anil Matoo"/>
    <s v="Praveen Kuruvalli"/>
    <s v="Dhruv Vyas"/>
    <n v="0"/>
  </r>
  <r>
    <n v="6757"/>
    <n v="20059098"/>
    <s v="Utsav Soni"/>
    <s v="AM/NS India"/>
    <s v="Onroll"/>
    <s v="M-7"/>
    <n v="7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– Direct Taxation"/>
    <m/>
    <m/>
    <m/>
    <m/>
    <s v="Non Technical Support"/>
    <s v=""/>
    <s v=""/>
    <s v=""/>
    <s v=""/>
    <s v="Mumbai"/>
    <d v="1994-02-20T00:00:00"/>
    <s v="29.06"/>
    <d v="2023-05-10T00:00:00"/>
    <d v="2052-02-29T00:00:00"/>
    <m/>
    <d v="2052-02-29T00:00:00"/>
    <n v="10389"/>
    <s v="B+"/>
    <s v="BCom-2016"/>
    <s v="04.07"/>
    <s v="00.04"/>
    <s v="04.11"/>
    <s v="00047291"/>
    <s v="Taxation"/>
    <s v="70494600"/>
    <s v="Lead– Direct Taxation"/>
    <s v="Corporate"/>
    <s v="0090000033"/>
    <s v="Corporate Taxation"/>
    <s v="2000CS"/>
    <s v="20056108"/>
    <s v="Farhan Mehboob Virani"/>
    <s v="No"/>
    <s v="utsav.soni1@amns.in"/>
    <s v="7709599965"/>
    <s v="1048832"/>
    <s v="Dhruv Vyas"/>
    <s v="Anil Matoo"/>
    <s v="Praveen Kuruvalli"/>
    <s v="Dhruv Vyas"/>
    <n v="0"/>
  </r>
  <r>
    <n v="6758"/>
    <n v="20059099"/>
    <s v="Ashutosh Barve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m/>
    <s v="Non Technical Support"/>
    <s v=""/>
    <s v=""/>
    <s v=""/>
    <s v=""/>
    <s v="Pune"/>
    <d v="1985-02-17T00:00:00"/>
    <s v="38.07"/>
    <d v="2023-05-10T00:00:00"/>
    <d v="2043-02-28T00:00:00"/>
    <m/>
    <d v="2043-02-28T00:00:00"/>
    <n v="7101"/>
    <s v="AB+"/>
    <s v="MTech-2012 , BE-2008 , Intermediate-2003"/>
    <s v="12.05"/>
    <s v="00.04"/>
    <s v="12.09"/>
    <s v="00052460"/>
    <s v="Auto &amp; YG"/>
    <s v="305324"/>
    <s v="Resident Engineer"/>
    <s v="Hazira"/>
    <s v="0031950057"/>
    <s v="HZ-HRC - Marketing"/>
    <s v="2000HWO"/>
    <s v="20056155"/>
    <s v="Kondapalli Venkateswarlu"/>
    <s v="No"/>
    <s v="ashutosh.barve1@amns.in"/>
    <s v="8160941350"/>
    <s v="1048842"/>
    <s v="Dhruv Vyas"/>
    <s v="Anil Matoo"/>
    <s v="Praveen Kuruvalli"/>
    <s v="Dhruv Vyas"/>
    <n v="0"/>
  </r>
  <r>
    <n v="6773"/>
    <n v="20059114"/>
    <s v="Akshat Gogia"/>
    <s v="AM/NS India"/>
    <s v="Onroll"/>
    <s v="M-7"/>
    <n v="7"/>
    <m/>
    <s v="MM"/>
    <s v="M"/>
    <s v="Corporate"/>
    <n v="1"/>
    <s v="2060"/>
    <x v="24"/>
    <s v="39.01"/>
    <s v="Sanjay Sharma"/>
    <s v="Sanjay Sharma"/>
    <n v="8"/>
    <s v="Business Development"/>
    <s v="Business Development"/>
    <s v="39"/>
    <s v="Ananlyst - Business Development"/>
    <m/>
    <s v="Business Development"/>
    <m/>
    <m/>
    <s v="Non Technical Support"/>
    <s v="Sales &amp; Marketing"/>
    <s v="Business Development"/>
    <s v="73103001"/>
    <s v="Business Development"/>
    <s v="Mumbai"/>
    <d v="1994-02-19T00:00:00"/>
    <s v="29.06"/>
    <d v="2023-05-15T00:00:00"/>
    <d v="2052-02-29T00:00:00"/>
    <m/>
    <d v="2052-02-29T00:00:00"/>
    <n v="10389"/>
    <s v="B-"/>
    <s v="PG Diploma in Management-2023 , BTech-20"/>
    <s v="05.09"/>
    <s v="00.04"/>
    <s v="06.00"/>
    <s v="00049729"/>
    <s v="Business Development - M&amp;A"/>
    <s v="300834"/>
    <s v="Lead Business Development"/>
    <s v="Corporate"/>
    <s v="0090000032"/>
    <s v="Business Devpelopmen"/>
    <s v="2000HWO"/>
    <s v="20055182"/>
    <s v="Neha Soni"/>
    <s v="No"/>
    <s v="akshat.gogia@amns.in"/>
    <s v="9534071376"/>
    <s v="1049769"/>
    <s v="Dhruv Vyas"/>
    <s v="Anil Matoo"/>
    <s v="Praveen Kuruvalli"/>
    <s v="Dhruv Vyas"/>
    <n v="0"/>
  </r>
  <r>
    <n v="6774"/>
    <n v="20059115"/>
    <s v="Navneet Kothari"/>
    <s v="AM/NS India"/>
    <s v="Onroll"/>
    <s v="M-7"/>
    <n v="7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Strategic Finance"/>
    <m/>
    <m/>
    <m/>
    <m/>
    <s v="Non Technical Support"/>
    <s v="Finance &amp; Accounts"/>
    <s v="Corporate Finance"/>
    <s v="73902001"/>
    <s v="Corporate Finance"/>
    <s v="Mumbai"/>
    <d v="1997-10-06T00:00:00"/>
    <s v="25.11"/>
    <d v="2023-05-15T00:00:00"/>
    <d v="2055-10-31T00:00:00"/>
    <m/>
    <d v="2055-10-31T00:00:00"/>
    <n v="11729"/>
    <s v="B+"/>
    <s v="PG Diploma in Management-2023"/>
    <s v="01.00"/>
    <s v="00.04"/>
    <s v="01.04"/>
    <s v="70494717"/>
    <s v="Treasury &amp; Finance"/>
    <s v="309190"/>
    <s v="Lead Strategic Finance"/>
    <s v="Corporate"/>
    <s v="0090000028"/>
    <s v="Corporate Steel - Wo"/>
    <s v="2000CRG"/>
    <s v="20000870"/>
    <s v="Balajee M"/>
    <s v="No"/>
    <s v="navneet.kothari@amns.in"/>
    <s v="9609823342"/>
    <s v="1049782"/>
    <s v="Dhruv Vyas"/>
    <s v="Anil Matoo"/>
    <s v="Praveen Kuruvalli"/>
    <s v="Dhruv Vyas"/>
    <n v="0"/>
  </r>
  <r>
    <n v="6800"/>
    <n v="20059143"/>
    <s v="Abhishek Shrivastava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0-08-16T00:00:00"/>
    <s v="43.01"/>
    <d v="2019-07-23T00:00:00"/>
    <d v="2038-08-31T00:00:00"/>
    <m/>
    <d v="2038-08-31T00:00:00"/>
    <n v="5459"/>
    <s v=""/>
    <s v=""/>
    <s v=""/>
    <s v="04.01"/>
    <s v="04.01"/>
    <s v="00052038"/>
    <s v="Gandhidham Operations"/>
    <s v="309853"/>
    <s v="New Acquisiiton"/>
    <s v="AMNS Gandhidham"/>
    <s v=""/>
    <s v=""/>
    <s v="2313BHIM"/>
    <s v="20059392"/>
    <s v="Rajendra Gupta"/>
    <s v="No"/>
    <s v="abhishek.shrivastava@amns.in"/>
    <s v=""/>
    <s v="1053901"/>
    <s v="Manjit Shah"/>
    <s v="Anil Matoo"/>
    <s v="-"/>
    <s v="Manjit Shah"/>
    <s v="-"/>
  </r>
  <r>
    <n v="6801"/>
    <n v="20059144"/>
    <s v="Kamlesh Khoche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69-07-22T00:00:00"/>
    <s v="54.01"/>
    <d v="2014-04-01T00:00:00"/>
    <d v="2027-07-31T00:00:00"/>
    <m/>
    <d v="2027-07-31T00:00:00"/>
    <n v="1410"/>
    <s v=""/>
    <s v=""/>
    <s v=""/>
    <s v="09.05"/>
    <s v="09.05"/>
    <s v="00052038"/>
    <s v="Gandhidham Operations"/>
    <s v="309928"/>
    <s v="New Acquisiiton"/>
    <s v="AMNS Gandhidham"/>
    <s v=""/>
    <s v=""/>
    <s v="2313BHIM"/>
    <s v="20059392"/>
    <s v="Rajendra Gupta"/>
    <s v="No"/>
    <s v="kamlesh.khoche@amns.in"/>
    <s v=""/>
    <s v="1053903"/>
    <s v="Manjit Shah"/>
    <s v="Anil Matoo"/>
    <s v="-"/>
    <s v="Manjit Shah"/>
    <s v="-"/>
  </r>
  <r>
    <n v="6802"/>
    <n v="20059145"/>
    <s v="Shiv Soni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8-11-12T00:00:00"/>
    <s v="34.10"/>
    <d v="2017-08-01T00:00:00"/>
    <d v="2046-11-30T00:00:00"/>
    <m/>
    <d v="2046-11-30T00:00:00"/>
    <n v="8472"/>
    <s v=""/>
    <s v=""/>
    <s v=""/>
    <s v="06.01"/>
    <s v="06.01"/>
    <s v="00052038"/>
    <s v="Gandhidham Operations"/>
    <s v="309951"/>
    <s v="New Acquisiiton"/>
    <s v="AMNS Gandhidham"/>
    <s v=""/>
    <s v=""/>
    <s v="2313BHIM"/>
    <s v="20059392"/>
    <s v="Rajendra Gupta"/>
    <s v="No"/>
    <s v="shiv.soni4@amns.in"/>
    <s v=""/>
    <s v="1053906"/>
    <s v="Manjit Shah"/>
    <s v="Anil Matoo"/>
    <s v="-"/>
    <s v="Manjit Shah"/>
    <s v="-"/>
  </r>
  <r>
    <n v="6803"/>
    <n v="20059146"/>
    <s v="Ramesh Yadav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3-01-10T00:00:00"/>
    <s v="40.08"/>
    <d v="2021-04-01T00:00:00"/>
    <d v="2041-01-31T00:00:00"/>
    <m/>
    <d v="2041-01-31T00:00:00"/>
    <n v="6343"/>
    <s v=""/>
    <s v=""/>
    <s v=""/>
    <s v="02.05"/>
    <s v="02.05"/>
    <s v="00052038"/>
    <s v="Gandhidham Operations"/>
    <s v="310099"/>
    <s v="New Acquisiiton"/>
    <s v="AMNS Gandhidham"/>
    <s v=""/>
    <s v=""/>
    <s v="2313BHIM"/>
    <s v="20059392"/>
    <s v="Rajendra Gupta"/>
    <s v="No"/>
    <s v="ramesh.yadav@amns.in"/>
    <s v=""/>
    <s v="1053907"/>
    <s v="Manjit Shah"/>
    <s v="Anil Matoo"/>
    <s v="-"/>
    <s v="Manjit Shah"/>
    <s v="-"/>
  </r>
  <r>
    <n v="6804"/>
    <n v="20059147"/>
    <s v="Vikas Lata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9-09-01T00:00:00"/>
    <s v="34.00"/>
    <d v="2021-04-01T00:00:00"/>
    <d v="2047-08-31T00:00:00"/>
    <m/>
    <d v="2047-08-31T00:00:00"/>
    <n v="8746"/>
    <s v=""/>
    <s v=""/>
    <s v=""/>
    <s v="02.05"/>
    <s v="02.05"/>
    <s v="00052038"/>
    <s v="Gandhidham Operations"/>
    <s v="310108"/>
    <s v="New Acquisiiton"/>
    <s v="AMNS Gandhidham"/>
    <s v=""/>
    <s v=""/>
    <s v="2313BHIM"/>
    <s v="20059392"/>
    <s v="Rajendra Gupta"/>
    <s v="No"/>
    <s v="vikas.lata@amns.in"/>
    <s v=""/>
    <s v="1053947"/>
    <s v="Manjit Shah"/>
    <s v="Anil Matoo"/>
    <s v="-"/>
    <s v="Manjit Shah"/>
    <s v="-"/>
  </r>
  <r>
    <n v="6805"/>
    <n v="20059148"/>
    <s v="Deepak Bakshi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Indore"/>
    <d v="1981-10-14T00:00:00"/>
    <s v="41.11"/>
    <d v="2012-01-11T00:00:00"/>
    <d v="2039-10-31T00:00:00"/>
    <m/>
    <d v="2039-10-31T00:00:00"/>
    <n v="5885"/>
    <s v=""/>
    <s v=""/>
    <s v=""/>
    <s v="11.08"/>
    <s v="11.08"/>
    <s v="00052038"/>
    <s v="Gandhidham Operations"/>
    <s v="310109"/>
    <s v="New Acquisiiton"/>
    <s v="AMNS Gandhidham"/>
    <s v=""/>
    <s v=""/>
    <s v="2313INDO"/>
    <s v="20059392"/>
    <s v="Rajendra Gupta"/>
    <s v="No"/>
    <s v="deepak.bakshi1@amns.in"/>
    <s v=""/>
    <s v="1053948"/>
    <s v="Manjit Shah"/>
    <s v="Anil Matoo"/>
    <s v="-"/>
    <s v="Manjit Shah"/>
    <s v="-"/>
  </r>
  <r>
    <n v="6991"/>
    <n v="20059334"/>
    <s v="Ashish Khandelw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80-11-14T00:00:00"/>
    <s v="42.10"/>
    <d v="2020-08-17T00:00:00"/>
    <d v="2038-11-30T00:00:00"/>
    <m/>
    <d v="2038-11-30T00:00:00"/>
    <n v="5550"/>
    <s v=""/>
    <s v=""/>
    <s v=""/>
    <s v="03.01"/>
    <s v="03.01"/>
    <s v="00052420"/>
    <s v="Finance &amp; Accounts"/>
    <s v="309826"/>
    <s v="New Acquisiiton"/>
    <s v="AMNS Gandhidham"/>
    <s v=""/>
    <s v=""/>
    <s v="2309INDO"/>
    <s v="20059338"/>
    <s v="Manish Patidar"/>
    <s v="No"/>
    <s v="ashish.khandelwal1@amns.in"/>
    <s v=""/>
    <s v="1054463"/>
    <s v="Manjit Shah"/>
    <s v="Anil Matoo"/>
    <s v="-"/>
    <s v="Manjit Shah"/>
    <s v="-"/>
  </r>
  <r>
    <n v="6992"/>
    <n v="20059335"/>
    <s v="Manoj Choudhary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8-12-20T00:00:00"/>
    <s v="44.09"/>
    <d v="2017-06-20T00:00:00"/>
    <d v="2036-12-31T00:00:00"/>
    <m/>
    <d v="2036-12-31T00:00:00"/>
    <n v="4851"/>
    <s v=""/>
    <s v=""/>
    <s v=""/>
    <s v="06.03"/>
    <s v="06.03"/>
    <s v="00052420"/>
    <s v="Finance &amp; Accounts"/>
    <s v="309828"/>
    <s v="New Acquisiiton"/>
    <s v="AMNS Gandhidham"/>
    <s v=""/>
    <s v=""/>
    <s v="2309INDO"/>
    <s v="20059338"/>
    <s v="Manish Patidar"/>
    <s v="No"/>
    <s v="manoj.choudhary2@amns.in"/>
    <s v=""/>
    <s v="1054465"/>
    <s v="Manjit Shah"/>
    <s v="Anil Matoo"/>
    <s v="-"/>
    <s v="Manjit Shah"/>
    <s v="-"/>
  </r>
  <r>
    <n v="6993"/>
    <n v="20059336"/>
    <s v="Jitendra Tiwar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1-02-05T00:00:00"/>
    <s v="52.07"/>
    <d v="2008-02-01T00:00:00"/>
    <d v="2029-02-28T00:00:00"/>
    <m/>
    <d v="2029-02-28T00:00:00"/>
    <n v="1988"/>
    <s v=""/>
    <s v=""/>
    <s v=""/>
    <s v="15.07"/>
    <s v="15.07"/>
    <s v="00052420"/>
    <s v="Finance &amp; Accounts"/>
    <s v="309832"/>
    <s v="New Acquisiiton"/>
    <s v="AMNS Gandhidham"/>
    <s v=""/>
    <s v=""/>
    <s v="2309BHIM"/>
    <s v="20059338"/>
    <s v="Manish Patidar"/>
    <s v="No"/>
    <s v="jitendrakumar.tiwari@amns.in"/>
    <s v=""/>
    <s v="1054631"/>
    <s v="Manjit Shah"/>
    <s v="Anil Matoo"/>
    <s v="-"/>
    <s v="Manjit Shah"/>
    <s v="-"/>
  </r>
  <r>
    <n v="6994"/>
    <n v="20059337"/>
    <s v="Manish Parik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Mumbai"/>
    <d v="1974-07-07T00:00:00"/>
    <s v="49.02"/>
    <d v="2018-01-07T00:00:00"/>
    <d v="2032-07-31T00:00:00"/>
    <m/>
    <d v="2032-07-31T00:00:00"/>
    <n v="3237"/>
    <s v=""/>
    <s v=""/>
    <s v=""/>
    <s v="05.08"/>
    <s v="05.08"/>
    <s v="00052038"/>
    <s v="Gandhidham Operations"/>
    <s v="309838"/>
    <s v="New Acquisiiton"/>
    <s v="AMNS Gandhidham"/>
    <s v=""/>
    <s v=""/>
    <s v="2309MUMB"/>
    <s v="20059392"/>
    <s v="Rajendra Gupta"/>
    <s v="No"/>
    <s v="manish.parikh1@amns.in"/>
    <s v=""/>
    <s v="1054467"/>
    <s v="Manjit Shah"/>
    <s v="Anil Matoo"/>
    <s v="-"/>
    <s v="Manjit Shah"/>
    <s v="-"/>
  </r>
  <r>
    <n v="6995"/>
    <n v="20059338"/>
    <s v="Manish Patidar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84-12-08T00:00:00"/>
    <s v="38.09"/>
    <d v="2010-06-28T00:00:00"/>
    <d v="2042-12-31T00:00:00"/>
    <m/>
    <d v="2042-12-31T00:00:00"/>
    <n v="7042"/>
    <s v=""/>
    <s v=""/>
    <s v=""/>
    <s v="13.02"/>
    <s v="13.02"/>
    <s v="00052420"/>
    <s v="Finance &amp; Accounts"/>
    <s v="309839"/>
    <s v="New Acquisiiton"/>
    <s v="AMNS Gandhidham"/>
    <s v=""/>
    <s v=""/>
    <s v="2309INDO"/>
    <s v="20055188"/>
    <s v="Rohit Sharma"/>
    <s v="No"/>
    <s v="manish.patidar1@amns.in"/>
    <s v=""/>
    <s v="1054468"/>
    <s v="Manjit Shah"/>
    <s v="Anil Matoo"/>
    <s v="-"/>
    <s v="Manjit Shah"/>
    <s v="-"/>
  </r>
  <r>
    <n v="6996"/>
    <n v="20059339"/>
    <s v="Rajeev Sing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6-03-30T00:00:00"/>
    <s v="47.05"/>
    <d v="2019-01-22T00:00:00"/>
    <d v="2034-03-31T00:00:00"/>
    <m/>
    <d v="2034-03-31T00:00:00"/>
    <n v="3845"/>
    <s v=""/>
    <s v=""/>
    <s v=""/>
    <s v="04.07"/>
    <s v="04.07"/>
    <s v="00052038"/>
    <s v="Gandhidham Operations"/>
    <s v="309867"/>
    <s v="New Acquisiiton"/>
    <s v="AMNS Gandhidham"/>
    <s v=""/>
    <s v=""/>
    <s v="2309INDO"/>
    <s v="20059338"/>
    <s v="Manish Patidar"/>
    <s v="No"/>
    <s v="rajeev.singh27@amns.in"/>
    <s v=""/>
    <s v="1054471"/>
    <s v="Manjit Shah"/>
    <s v="Anil Matoo"/>
    <s v="-"/>
    <s v="Manjit Shah"/>
    <s v="-"/>
  </r>
  <r>
    <n v="6997"/>
    <n v="20059340"/>
    <s v="Prasant Singh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90-07-19T00:00:00"/>
    <s v="33.02"/>
    <d v="2023-01-11T00:00:00"/>
    <d v="2048-07-31T00:00:00"/>
    <m/>
    <d v="2048-07-31T00:00:00"/>
    <n v="9081"/>
    <s v=""/>
    <s v=""/>
    <s v=""/>
    <s v="00.08"/>
    <s v="00.08"/>
    <s v="00052038"/>
    <s v="Gandhidham Operations"/>
    <s v="309877"/>
    <s v="New Acquisiiton"/>
    <s v="AMNS Gandhidham"/>
    <s v=""/>
    <s v=""/>
    <s v="2309BHIM"/>
    <s v="20059392"/>
    <s v="Rajendra Gupta"/>
    <s v="No"/>
    <s v="prasant.singhal@amns.in"/>
    <s v=""/>
    <s v="1054632"/>
    <s v="Manjit Shah"/>
    <s v="Anil Matoo"/>
    <s v="-"/>
    <s v="Manjit Shah"/>
    <s v="-"/>
  </r>
  <r>
    <n v="6998"/>
    <n v="20059341"/>
    <s v="Shailesh Pagare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1-07-01T00:00:00"/>
    <s v="52.02"/>
    <d v="2008-09-22T00:00:00"/>
    <d v="2029-06-30T00:00:00"/>
    <m/>
    <d v="2029-06-30T00:00:00"/>
    <n v="2110"/>
    <s v=""/>
    <s v=""/>
    <s v=""/>
    <s v="14.11"/>
    <s v="14.11"/>
    <s v="00052038"/>
    <s v="Gandhidham Operations"/>
    <s v="309882"/>
    <s v="New Acquisiiton"/>
    <s v="AMNS Gandhidham"/>
    <s v=""/>
    <s v=""/>
    <s v="2309BHIM"/>
    <s v="20059392"/>
    <s v="Rajendra Gupta"/>
    <s v="No"/>
    <s v="shailesh.pagare@amns.in"/>
    <s v=""/>
    <s v="1054634"/>
    <s v="Manjit Shah"/>
    <s v="Anil Matoo"/>
    <s v="-"/>
    <s v="Manjit Shah"/>
    <s v="-"/>
  </r>
  <r>
    <n v="6999"/>
    <n v="20059342"/>
    <s v="Prem Medatw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4-08-27T00:00:00"/>
    <s v="49.00"/>
    <d v="2019-12-06T00:00:00"/>
    <d v="2032-08-31T00:00:00"/>
    <m/>
    <d v="2032-08-31T00:00:00"/>
    <n v="3268"/>
    <s v=""/>
    <s v=""/>
    <s v=""/>
    <s v="03.09"/>
    <s v="03.09"/>
    <s v="00052038"/>
    <s v="Gandhidham Operations"/>
    <s v="309889"/>
    <s v="New Acquisiiton"/>
    <s v="AMNS Gandhidham"/>
    <s v=""/>
    <s v=""/>
    <s v="2309INDO"/>
    <s v="20059392"/>
    <s v="Rajendra Gupta"/>
    <s v="No"/>
    <s v="prem.medatwal@amns.in"/>
    <s v=""/>
    <s v="1054473"/>
    <s v="Manjit Shah"/>
    <s v="Anil Matoo"/>
    <s v="-"/>
    <s v="Manjit Shah"/>
    <s v="-"/>
  </r>
  <r>
    <n v="7000"/>
    <n v="20059343"/>
    <s v="Ganesh Ja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Mumbai"/>
    <d v="1973-04-27T00:00:00"/>
    <s v="50.04"/>
    <d v="2019-01-09T00:00:00"/>
    <d v="2031-04-30T00:00:00"/>
    <m/>
    <d v="2031-04-30T00:00:00"/>
    <n v="2779"/>
    <s v=""/>
    <s v=""/>
    <s v=""/>
    <s v="04.08"/>
    <s v="04.08"/>
    <s v="00052038"/>
    <s v="Gandhidham Operations"/>
    <s v="309910"/>
    <s v="New Acquisiiton"/>
    <s v="AMNS Gandhidham"/>
    <s v=""/>
    <s v=""/>
    <s v="2309MUMB"/>
    <s v="20059392"/>
    <s v="Rajendra Gupta"/>
    <s v="No"/>
    <s v="ganesh.jain1@amns.in"/>
    <s v=""/>
    <s v="1054474"/>
    <s v="Manjit Shah"/>
    <s v="Anil Matoo"/>
    <s v="-"/>
    <s v="Manjit Shah"/>
    <s v="-"/>
  </r>
  <r>
    <n v="7001"/>
    <n v="20059344"/>
    <s v="Somesh Ja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7-07-06T00:00:00"/>
    <s v="46.02"/>
    <d v="2007-09-17T00:00:00"/>
    <d v="2035-07-31T00:00:00"/>
    <m/>
    <d v="2035-07-31T00:00:00"/>
    <n v="4332"/>
    <s v=""/>
    <s v=""/>
    <s v=""/>
    <s v="16.00"/>
    <s v="16.00"/>
    <s v="00052038"/>
    <s v="Gandhidham Operations"/>
    <s v="309912"/>
    <s v="New Acquisiiton"/>
    <s v="AMNS Gandhidham"/>
    <s v=""/>
    <s v=""/>
    <s v="2309INDO"/>
    <s v="20059392"/>
    <s v="Rajendra Gupta"/>
    <s v="No"/>
    <s v="somesh.jain14@amns.in"/>
    <s v=""/>
    <s v="1054477"/>
    <s v="Manjit Shah"/>
    <s v="Anil Matoo"/>
    <s v="-"/>
    <s v="Manjit Shah"/>
    <s v="-"/>
  </r>
  <r>
    <n v="7002"/>
    <n v="20059345"/>
    <s v="Bhaskarbhai Josh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67-12-30T00:00:00"/>
    <s v="55.08"/>
    <d v="2018-04-30T00:00:00"/>
    <d v="2025-12-31T00:00:00"/>
    <m/>
    <d v="2025-12-31T00:00:00"/>
    <n v="833"/>
    <s v=""/>
    <s v=""/>
    <s v=""/>
    <s v="05.04"/>
    <s v="05.04"/>
    <s v="00052038"/>
    <s v="Gandhidham Operations"/>
    <s v="309919"/>
    <s v="New Acquisiiton"/>
    <s v="AMNS Gandhidham"/>
    <s v=""/>
    <s v=""/>
    <s v="2309BHIM"/>
    <s v="20059392"/>
    <s v="Rajendra Gupta"/>
    <s v="No"/>
    <s v="bhaskarbhai.joshi@amns.in"/>
    <s v=""/>
    <s v="1054479"/>
    <s v="Manjit Shah"/>
    <s v="Anil Matoo"/>
    <s v="-"/>
    <s v="Manjit Shah"/>
    <s v="-"/>
  </r>
  <r>
    <n v="7003"/>
    <n v="20059346"/>
    <s v="Dinesh Pareek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9-07-15T00:00:00"/>
    <s v="44.02"/>
    <d v="2007-08-01T00:00:00"/>
    <d v="2037-07-31T00:00:00"/>
    <m/>
    <d v="2037-07-31T00:00:00"/>
    <n v="5063"/>
    <s v=""/>
    <s v=""/>
    <s v=""/>
    <s v="16.01"/>
    <s v="16.01"/>
    <s v="00052038"/>
    <s v="Gandhidham Operations"/>
    <s v="309923"/>
    <s v="New Acquisiiton"/>
    <s v="AMNS Gandhidham"/>
    <s v=""/>
    <s v=""/>
    <s v="2309BHIM"/>
    <s v="20059392"/>
    <s v="Rajendra Gupta"/>
    <s v="No"/>
    <s v="dinesh.pareek1@amns.in"/>
    <s v=""/>
    <s v="1054635"/>
    <s v="Manjit Shah"/>
    <s v="Anil Matoo"/>
    <s v="-"/>
    <s v="Manjit Shah"/>
    <s v="-"/>
  </r>
  <r>
    <n v="7004"/>
    <n v="20059347"/>
    <s v="Gaurav Bhas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8-02-08T00:00:00"/>
    <s v="45.07"/>
    <d v="2012-10-08T00:00:00"/>
    <d v="2036-02-29T00:00:00"/>
    <m/>
    <d v="2036-02-29T00:00:00"/>
    <n v="4545"/>
    <s v=""/>
    <s v=""/>
    <s v=""/>
    <s v="10.11"/>
    <s v="10.11"/>
    <s v="00052038"/>
    <s v="Gandhidham Operations"/>
    <s v="309924"/>
    <s v="New Acquisiiton"/>
    <s v="AMNS Gandhidham"/>
    <s v=""/>
    <s v=""/>
    <s v="2309BHIM"/>
    <s v="20059392"/>
    <s v="Rajendra Gupta"/>
    <s v="No"/>
    <s v="gaurav.bhasin@amns.in"/>
    <s v=""/>
    <s v="1054636"/>
    <s v="Manjit Shah"/>
    <s v="Anil Matoo"/>
    <s v="-"/>
    <s v="Manjit Shah"/>
    <s v="-"/>
  </r>
  <r>
    <n v="7005"/>
    <n v="20059348"/>
    <s v="V. Sridhar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0-05-10T00:00:00"/>
    <s v="53.04"/>
    <d v="2011-05-20T00:00:00"/>
    <d v="2028-05-31T00:00:00"/>
    <m/>
    <d v="2028-05-31T00:00:00"/>
    <n v="1715"/>
    <s v=""/>
    <s v=""/>
    <s v=""/>
    <s v="12.04"/>
    <s v="12.04"/>
    <s v="00052038"/>
    <s v="Gandhidham Operations"/>
    <s v="309958"/>
    <s v="New Acquisiiton"/>
    <s v="AMNS Gandhidham"/>
    <s v=""/>
    <s v=""/>
    <s v="2309BHIM"/>
    <s v="20059392"/>
    <s v="Rajendra Gupta"/>
    <s v="No"/>
    <s v="v.shridhar@amns.in"/>
    <s v=""/>
    <s v="1054637"/>
    <s v="Manjit Shah"/>
    <s v="Anil Matoo"/>
    <s v="-"/>
    <s v="Manjit Shah"/>
    <s v="-"/>
  </r>
  <r>
    <n v="7006"/>
    <n v="20059349"/>
    <s v="Mukesh Ja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0-05-07T00:00:00"/>
    <s v="53.04"/>
    <d v="2019-01-09T00:00:00"/>
    <d v="2028-05-31T00:00:00"/>
    <m/>
    <d v="2028-05-31T00:00:00"/>
    <n v="1715"/>
    <s v=""/>
    <s v=""/>
    <s v=""/>
    <s v="04.08"/>
    <s v="04.08"/>
    <s v="00052038"/>
    <s v="Gandhidham Operations"/>
    <s v="309964"/>
    <s v="New Acquisiiton"/>
    <s v="AMNS Gandhidham"/>
    <s v=""/>
    <s v=""/>
    <s v="2309DELH"/>
    <s v="20059392"/>
    <s v="Rajendra Gupta"/>
    <s v="No"/>
    <s v="mukesh.jain7@amns.in"/>
    <s v=""/>
    <s v="1054481"/>
    <s v="Manjit Shah"/>
    <s v="Anil Matoo"/>
    <s v="-"/>
    <s v="Manjit Shah"/>
    <s v="-"/>
  </r>
  <r>
    <n v="7007"/>
    <n v="20059350"/>
    <s v="Anil Gawde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67-05-01T00:00:00"/>
    <s v="56.04"/>
    <d v="2018-07-01T00:00:00"/>
    <d v="2025-04-30T00:00:00"/>
    <m/>
    <d v="2025-04-30T00:00:00"/>
    <n v="588"/>
    <s v=""/>
    <s v=""/>
    <s v=""/>
    <s v="05.02"/>
    <s v="05.02"/>
    <s v="00052038"/>
    <s v="Gandhidham Operations"/>
    <s v="309970"/>
    <s v="New Acquisiiton"/>
    <s v="AMNS Gandhidham"/>
    <s v=""/>
    <s v=""/>
    <s v="2309BHIM"/>
    <s v="20059392"/>
    <s v="Rajendra Gupta"/>
    <s v="No"/>
    <s v="anil.gawde@amns.in"/>
    <s v=""/>
    <s v="1054638"/>
    <s v="Manjit Shah"/>
    <s v="Anil Matoo"/>
    <s v="-"/>
    <s v="Manjit Shah"/>
    <s v="-"/>
  </r>
  <r>
    <n v="7008"/>
    <n v="20059351"/>
    <s v="Rakesh Kushwaha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9-07-01T00:00:00"/>
    <s v="44.02"/>
    <d v="2010-12-06T00:00:00"/>
    <d v="2037-06-30T00:00:00"/>
    <m/>
    <d v="2037-06-30T00:00:00"/>
    <n v="5032"/>
    <s v=""/>
    <s v=""/>
    <s v=""/>
    <s v="12.09"/>
    <s v="12.09"/>
    <s v="00052038"/>
    <s v="Gandhidham Operations"/>
    <s v="309986"/>
    <s v="New Acquisiiton"/>
    <s v="AMNS Gandhidham"/>
    <s v=""/>
    <s v=""/>
    <s v="2309BHIM"/>
    <s v="20059392"/>
    <s v="Rajendra Gupta"/>
    <s v="No"/>
    <s v="rakesh.kushwaha@amns.in"/>
    <s v=""/>
    <s v="1054482"/>
    <s v="Manjit Shah"/>
    <s v="Anil Matoo"/>
    <s v="-"/>
    <s v="Manjit Shah"/>
    <s v="-"/>
  </r>
  <r>
    <n v="7009"/>
    <n v="20059352"/>
    <s v="Ramnivas Lowansh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3-06-22T00:00:00"/>
    <s v="40.03"/>
    <d v="2019-05-01T00:00:00"/>
    <d v="2041-06-30T00:00:00"/>
    <m/>
    <d v="2041-06-30T00:00:00"/>
    <n v="6493"/>
    <s v=""/>
    <s v=""/>
    <s v=""/>
    <s v="04.04"/>
    <s v="04.04"/>
    <s v="00052038"/>
    <s v="Gandhidham Operations"/>
    <s v="310048"/>
    <s v="New Acquisiiton"/>
    <s v="AMNS Gandhidham"/>
    <s v=""/>
    <s v=""/>
    <s v="2309BHIM"/>
    <s v="20059392"/>
    <s v="Rajendra Gupta"/>
    <s v="No"/>
    <s v="ramnivas.lowanshi1@amns.in"/>
    <s v=""/>
    <s v="1054491"/>
    <s v="Manjit Shah"/>
    <s v="Anil Matoo"/>
    <s v="-"/>
    <s v="Manjit Shah"/>
    <s v="-"/>
  </r>
  <r>
    <n v="7010"/>
    <n v="20059353"/>
    <s v="Pramod Shukla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1-04-21T00:00:00"/>
    <s v="52.05"/>
    <d v="2011-12-06T00:00:00"/>
    <d v="2029-04-30T00:00:00"/>
    <m/>
    <d v="2029-04-30T00:00:00"/>
    <n v="2049"/>
    <s v=""/>
    <s v=""/>
    <s v=""/>
    <s v="11.09"/>
    <s v="11.09"/>
    <s v="00052038"/>
    <s v="Gandhidham Operations"/>
    <s v="310080"/>
    <s v="New Acquisiiton"/>
    <s v="AMNS Gandhidham"/>
    <s v=""/>
    <s v=""/>
    <s v="2309BHIM"/>
    <s v="20059392"/>
    <s v="Rajendra Gupta"/>
    <s v="No"/>
    <s v="pramod.shukla@amns.in"/>
    <s v=""/>
    <s v="1054639"/>
    <s v="Manjit Shah"/>
    <s v="Anil Matoo"/>
    <s v="-"/>
    <s v="Manjit Shah"/>
    <s v="-"/>
  </r>
  <r>
    <n v="7011"/>
    <n v="20059354"/>
    <s v="Sandeep Thakur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1-07-21T00:00:00"/>
    <s v="42.02"/>
    <d v="2008-01-23T00:00:00"/>
    <d v="2039-07-31T00:00:00"/>
    <m/>
    <d v="2039-07-31T00:00:00"/>
    <n v="5793"/>
    <s v=""/>
    <s v=""/>
    <s v=""/>
    <s v="15.07"/>
    <s v="15.07"/>
    <s v="00052420"/>
    <s v="Finance &amp; Accounts"/>
    <s v="310082"/>
    <s v="New Acquisiiton"/>
    <s v="AMNS Gandhidham"/>
    <s v=""/>
    <s v=""/>
    <s v="2309BHIM"/>
    <s v="20059338"/>
    <s v="Manish Patidar"/>
    <s v="No"/>
    <s v="sandeep.thakur@amns.in"/>
    <s v=""/>
    <s v="1054641"/>
    <s v="Manjit Shah"/>
    <s v="Anil Matoo"/>
    <s v="-"/>
    <s v="Manjit Shah"/>
    <s v="-"/>
  </r>
  <r>
    <n v="7012"/>
    <n v="20059355"/>
    <s v="Sachin Wag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9-01-02T00:00:00"/>
    <s v="44.08"/>
    <d v="2012-06-26T00:00:00"/>
    <d v="2037-01-31T00:00:00"/>
    <m/>
    <d v="2037-01-31T00:00:00"/>
    <n v="4882"/>
    <s v=""/>
    <s v=""/>
    <s v=""/>
    <s v="11.02"/>
    <s v="11.02"/>
    <s v="00052420"/>
    <s v="Finance &amp; Accounts"/>
    <s v="310089"/>
    <s v="New Acquisiiton"/>
    <s v="AMNS Gandhidham"/>
    <s v=""/>
    <s v=""/>
    <s v="2309INDO"/>
    <s v="20059338"/>
    <s v="Manish Patidar"/>
    <s v="No"/>
    <s v="sachin.wagh1@amns.in"/>
    <s v=""/>
    <s v="1054495"/>
    <s v="Manjit Shah"/>
    <s v="Anil Matoo"/>
    <s v="-"/>
    <s v="Manjit Shah"/>
    <s v="-"/>
  </r>
  <r>
    <n v="7013"/>
    <n v="20059356"/>
    <s v="Rahul Parik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5-10-14T00:00:00"/>
    <s v="37.11"/>
    <d v="2020-11-01T00:00:00"/>
    <d v="2043-10-31T00:00:00"/>
    <m/>
    <d v="2043-10-31T00:00:00"/>
    <n v="7346"/>
    <s v=""/>
    <s v=""/>
    <s v=""/>
    <s v="02.10"/>
    <s v="02.10"/>
    <s v="00052038"/>
    <s v="Gandhidham Operations"/>
    <s v="310094"/>
    <s v="New Acquisiiton"/>
    <s v="AMNS Gandhidham"/>
    <s v=""/>
    <s v=""/>
    <s v="2309BHIM"/>
    <s v="20059392"/>
    <s v="Rajendra Gupta"/>
    <s v="No"/>
    <s v="rahul.parikh@amns.in"/>
    <s v=""/>
    <s v="1054497"/>
    <s v="Manjit Shah"/>
    <s v="Anil Matoo"/>
    <s v="-"/>
    <s v="Manjit Shah"/>
    <s v="-"/>
  </r>
  <r>
    <n v="7014"/>
    <n v="20059357"/>
    <s v="Rakesh Bans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4-01-08T00:00:00"/>
    <s v="49.08"/>
    <d v="2007-01-24T00:00:00"/>
    <d v="2032-01-31T00:00:00"/>
    <m/>
    <d v="2032-01-31T00:00:00"/>
    <n v="3055"/>
    <s v=""/>
    <s v=""/>
    <s v=""/>
    <s v="16.07"/>
    <s v="16.07"/>
    <s v="00052420"/>
    <s v="Finance &amp; Accounts"/>
    <s v="310097"/>
    <s v="New Acquisiiton"/>
    <s v="AMNS Gandhidham"/>
    <s v=""/>
    <s v=""/>
    <s v="2309BHIM"/>
    <s v="20059338"/>
    <s v="Manish Patidar"/>
    <s v="No"/>
    <s v="rakesh.bansal@amns.in"/>
    <s v=""/>
    <s v="1054643"/>
    <s v="Manjit Shah"/>
    <s v="Anil Matoo"/>
    <s v="-"/>
    <s v="Manjit Shah"/>
    <s v="-"/>
  </r>
  <r>
    <n v="7015"/>
    <n v="20059358"/>
    <s v="Sunil Swam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8-11-10T00:00:00"/>
    <s v="34.10"/>
    <d v="2023-02-06T00:00:00"/>
    <d v="2046-11-30T00:00:00"/>
    <m/>
    <d v="2046-11-30T00:00:00"/>
    <n v="8472"/>
    <s v=""/>
    <s v=""/>
    <s v=""/>
    <s v="00.07"/>
    <s v="00.07"/>
    <s v="00052038"/>
    <s v="Gandhidham Operations"/>
    <s v="310107"/>
    <s v="New Acquisiiton"/>
    <s v="AMNS Gandhidham"/>
    <s v=""/>
    <s v=""/>
    <s v="2309BHIM"/>
    <s v="20059392"/>
    <s v="Rajendra Gupta"/>
    <s v="No"/>
    <s v="sunilkumar.swami@amns.in"/>
    <s v=""/>
    <s v="1054645"/>
    <s v="Manjit Shah"/>
    <s v="Anil Matoo"/>
    <s v="-"/>
    <s v="Manjit Shah"/>
    <s v="-"/>
  </r>
  <r>
    <n v="7016"/>
    <n v="20059359"/>
    <s v="Prahladbhai U.Prajapat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3-06-01T00:00:00"/>
    <s v="40.03"/>
    <d v="2008-01-01T00:00:00"/>
    <d v="2041-05-31T00:00:00"/>
    <m/>
    <d v="2041-05-31T00:00:00"/>
    <n v="6463"/>
    <s v=""/>
    <s v=""/>
    <s v=""/>
    <s v="15.08"/>
    <s v="15.08"/>
    <s v="00052038"/>
    <s v="Gandhidham Operations"/>
    <s v="310114"/>
    <s v="New Acquisiiton"/>
    <s v="AMNS Gandhidham"/>
    <s v=""/>
    <s v=""/>
    <s v="2309BHIM"/>
    <s v="20059392"/>
    <s v="Rajendra Gupta"/>
    <s v="No"/>
    <s v="prahladbhai.prajapati@amns.in"/>
    <s v=""/>
    <s v="1054022"/>
    <s v="Manjit Shah"/>
    <s v="Anil Matoo"/>
    <s v="-"/>
    <s v="Manjit Shah"/>
    <s v="-"/>
  </r>
  <r>
    <n v="7017"/>
    <n v="20059360"/>
    <s v="Gulab Chand"/>
    <s v="AM/NS Gandhidham"/>
    <s v="Onroll"/>
    <s v="New Acquisition"/>
    <n v="17"/>
    <m/>
    <s v="NA"/>
    <s v="M"/>
    <s v="Gandhidham"/>
    <n v="12"/>
    <s v="2310"/>
    <x v="1"/>
    <s v="22.06"/>
    <s v="Anil Matoo"/>
    <s v="Ashutosh Telang"/>
    <n v="6"/>
    <s v="HR &amp; Administration"/>
    <s v="Human Resources"/>
    <s v="22"/>
    <m/>
    <m/>
    <s v=""/>
    <s v=""/>
    <s v=""/>
    <s v="Non Technical Support"/>
    <s v="Operations"/>
    <s v="Operations"/>
    <s v="72103001"/>
    <s v="Operations"/>
    <s v="Bhimasar"/>
    <d v="1972-02-10T00:00:00"/>
    <s v="51.07"/>
    <d v="2005-02-15T00:00:00"/>
    <d v="2030-02-28T00:00:00"/>
    <m/>
    <d v="2030-02-28T00:00:00"/>
    <n v="2353"/>
    <s v=""/>
    <s v=""/>
    <s v=""/>
    <s v="18.07"/>
    <s v="18.07"/>
    <s v="00052038"/>
    <s v="Gandhidham Operations"/>
    <s v="309831"/>
    <s v="New Acquisiiton"/>
    <s v="AMNS Gandhidham"/>
    <s v=""/>
    <s v=""/>
    <s v="2310BHIM"/>
    <s v="20059392"/>
    <s v="Rajendra Gupta"/>
    <s v="No"/>
    <s v="gulab.chand@amns.in"/>
    <s v=""/>
    <s v="1054646"/>
    <s v="Manjit Shah"/>
    <s v="Anil Matoo"/>
    <s v="-"/>
    <s v="Manjit Shah"/>
    <s v="-"/>
  </r>
  <r>
    <n v="7018"/>
    <n v="20059361"/>
    <s v="Dinesh Barala"/>
    <s v="AM/NS Gandhidham"/>
    <s v="Onroll"/>
    <s v="New Acquisition"/>
    <n v="17"/>
    <m/>
    <s v="NA"/>
    <s v="M"/>
    <s v="Gandhidham"/>
    <n v="12"/>
    <s v="2310"/>
    <x v="1"/>
    <s v="22.06"/>
    <s v="Anil Matoo"/>
    <s v="Ashutosh Telang"/>
    <n v="6"/>
    <s v="HR &amp; Administration"/>
    <s v="Human Resources"/>
    <s v="22"/>
    <m/>
    <m/>
    <s v=""/>
    <s v=""/>
    <s v=""/>
    <s v="Non Technical Support"/>
    <s v="Operations"/>
    <s v="Operations"/>
    <s v="72103001"/>
    <s v="Operations"/>
    <s v="Bhimasar"/>
    <d v="1986-08-21T00:00:00"/>
    <s v="37.00"/>
    <d v="2019-01-01T00:00:00"/>
    <d v="2044-08-31T00:00:00"/>
    <m/>
    <d v="2044-08-31T00:00:00"/>
    <n v="7651"/>
    <s v=""/>
    <s v=""/>
    <s v=""/>
    <s v="04.08"/>
    <s v="04.08"/>
    <s v="00052038"/>
    <s v="Gandhidham Operations"/>
    <s v="310073"/>
    <s v="New Acquisiiton"/>
    <s v="AMNS Gandhidham"/>
    <s v=""/>
    <s v=""/>
    <s v="2310BHIM"/>
    <s v="20059392"/>
    <s v="Rajendra Gupta"/>
    <s v="No"/>
    <s v="dinesh.barala@amns.in"/>
    <s v=""/>
    <s v="1054498"/>
    <s v="Manjit Shah"/>
    <s v="Anil Matoo"/>
    <s v="-"/>
    <s v="Manjit Shah"/>
    <s v="-"/>
  </r>
  <r>
    <n v="7019"/>
    <n v="20059362"/>
    <s v="Rajendra Singh"/>
    <s v="AM/NS Gandhidham"/>
    <s v="Onroll"/>
    <s v="New Acquisition"/>
    <n v="17"/>
    <m/>
    <s v="NA"/>
    <s v="M"/>
    <s v="Gandhidham"/>
    <n v="12"/>
    <s v="2310"/>
    <x v="1"/>
    <s v="22.06"/>
    <s v="Anil Matoo"/>
    <s v="Ashutosh Telang"/>
    <n v="6"/>
    <s v="HR &amp; Administration"/>
    <s v="Human Resources"/>
    <s v="22"/>
    <m/>
    <m/>
    <s v=""/>
    <s v=""/>
    <s v=""/>
    <s v="Non Technical Support"/>
    <s v="Operations"/>
    <s v="Operations"/>
    <s v="72103001"/>
    <s v="Operations"/>
    <s v="Bhimasar"/>
    <d v="1976-07-05T00:00:00"/>
    <s v="47.02"/>
    <d v="2015-09-01T00:00:00"/>
    <d v="2034-07-31T00:00:00"/>
    <m/>
    <d v="2034-07-31T00:00:00"/>
    <n v="3967"/>
    <s v=""/>
    <s v=""/>
    <s v=""/>
    <s v="08.00"/>
    <s v="08.00"/>
    <s v="00052038"/>
    <s v="Gandhidham Operations"/>
    <s v="310095"/>
    <s v="New Acquisiiton"/>
    <s v="AMNS Gandhidham"/>
    <s v=""/>
    <s v=""/>
    <s v="2310BHIM"/>
    <s v="20059392"/>
    <s v="Rajendra Gupta"/>
    <s v="No"/>
    <s v="rajendra.singh@amns.in"/>
    <s v=""/>
    <s v="1054649"/>
    <s v="Manjit Shah"/>
    <s v="Anil Matoo"/>
    <s v="-"/>
    <s v="Manjit Shah"/>
    <s v="-"/>
  </r>
  <r>
    <n v="7026"/>
    <n v="20059369"/>
    <s v="Arvind Singh"/>
    <s v="AM/NS Gandhidham"/>
    <s v="Onroll"/>
    <s v="M-7"/>
    <n v="17"/>
    <m/>
    <s v="NA"/>
    <s v="M"/>
    <s v="Gandhidham"/>
    <n v="12"/>
    <s v="2311"/>
    <x v="22"/>
    <s v="41.01"/>
    <s v="P Ashok Kumar"/>
    <s v="P Ashok Kumar"/>
    <n v="9"/>
    <s v="Legal"/>
    <s v="Legal"/>
    <s v="41"/>
    <s v="Legal Counsel, Gandhidham"/>
    <m/>
    <s v="legal"/>
    <s v=""/>
    <s v=""/>
    <s v="Non Technical Support"/>
    <s v="Operations"/>
    <s v="Operations"/>
    <s v="72103001"/>
    <s v="Operations"/>
    <s v="Indore"/>
    <d v="1967-01-11T00:00:00"/>
    <s v="56.08"/>
    <d v="2014-01-14T00:00:00"/>
    <d v="2025-01-31T00:00:00"/>
    <m/>
    <d v="2025-01-31T00:00:00"/>
    <n v="499"/>
    <s v=""/>
    <s v=""/>
    <s v=""/>
    <s v="09.08"/>
    <s v="09.08"/>
    <s v="00052038"/>
    <s v="Gandhidham Operations"/>
    <s v="309851"/>
    <s v="New Acquisiiton"/>
    <s v="AMNS Gandhidham"/>
    <s v=""/>
    <s v=""/>
    <s v="2311INDO"/>
    <s v="20059392"/>
    <s v="Rajendra Gupta"/>
    <s v="No"/>
    <s v="arvindkumar.singh5@amns.in"/>
    <s v=""/>
    <s v="1054511"/>
    <s v="Manjit Shah"/>
    <s v="Anil Matoo"/>
    <s v="-"/>
    <s v="Manjit Shah"/>
    <s v="-"/>
  </r>
  <r>
    <n v="7027"/>
    <n v="20059370"/>
    <s v="Vinod Kashyap"/>
    <s v="AM/NS Gandhidham"/>
    <s v="Onroll"/>
    <s v="M-8"/>
    <n v="17"/>
    <m/>
    <s v="NA"/>
    <s v="M"/>
    <s v="Gandhidham"/>
    <n v="12"/>
    <s v="2311"/>
    <x v="22"/>
    <s v="41.01"/>
    <s v="P Ashok Kumar"/>
    <s v="P Ashok Kumar"/>
    <n v="9"/>
    <s v="Legal"/>
    <s v="Legal"/>
    <s v="41"/>
    <s v="Legal Counsel, Gandhidham"/>
    <m/>
    <s v="legal"/>
    <s v=""/>
    <s v=""/>
    <s v="Non Technical Support"/>
    <s v="Operations"/>
    <s v="Operations"/>
    <s v="72103001"/>
    <s v="Operations"/>
    <s v="Bhimasar"/>
    <d v="1976-09-22T00:00:00"/>
    <s v="46.11"/>
    <d v="2020-10-27T00:00:00"/>
    <d v="2034-09-30T00:00:00"/>
    <m/>
    <d v="2034-09-30T00:00:00"/>
    <n v="4028"/>
    <s v=""/>
    <s v=""/>
    <s v=""/>
    <s v="02.10"/>
    <s v="02.10"/>
    <s v="00052038"/>
    <s v="Gandhidham Operations"/>
    <s v="309863"/>
    <s v="New Acquisiiton"/>
    <s v="AMNS Gandhidham"/>
    <s v=""/>
    <s v=""/>
    <s v="2311BHIM"/>
    <s v="20059392"/>
    <s v="Rajendra Gupta"/>
    <s v="No"/>
    <s v="vinod.kashyap@amns.in"/>
    <s v=""/>
    <s v="1054517"/>
    <s v="Manjit Shah"/>
    <s v="Anil Matoo"/>
    <s v="-"/>
    <s v="Manjit Shah"/>
    <s v="-"/>
  </r>
  <r>
    <n v="7052"/>
    <n v="20059395"/>
    <s v="Manoj Choudhary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Indore"/>
    <d v="1971-11-03T00:00:00"/>
    <s v="51.10"/>
    <d v="2006-11-03T00:00:00"/>
    <d v="2029-11-30T00:00:00"/>
    <m/>
    <d v="2029-11-30T00:00:00"/>
    <n v="2263"/>
    <s v=""/>
    <s v=""/>
    <s v=""/>
    <s v="16.10"/>
    <s v="16.10"/>
    <s v="00052038"/>
    <s v="Gandhidham Operations"/>
    <s v="309865"/>
    <s v="New Acquisiiton"/>
    <s v="AMNS Gandhidham"/>
    <s v=""/>
    <s v=""/>
    <s v="2316INDO"/>
    <s v="20059392"/>
    <s v="Rajendra Gupta"/>
    <s v="No"/>
    <s v="manoj.choudhary3@amns.in"/>
    <s v=""/>
    <s v="1054603"/>
    <s v="Manjit Shah"/>
    <s v="Anil Matoo"/>
    <s v="-"/>
    <s v="Manjit Shah"/>
    <s v="-"/>
  </r>
  <r>
    <n v="7053"/>
    <n v="20059396"/>
    <s v="Vipin Kumar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4-05-16T00:00:00"/>
    <s v="39.04"/>
    <d v="2022-03-07T00:00:00"/>
    <d v="2042-05-31T00:00:00"/>
    <m/>
    <d v="2042-05-31T00:00:00"/>
    <n v="6828"/>
    <s v=""/>
    <s v=""/>
    <s v=""/>
    <s v="01.06"/>
    <s v="01.06"/>
    <s v="00052332"/>
    <s v="Mechanical Maintenance"/>
    <s v="309884"/>
    <s v="New Acquisiiton"/>
    <s v="AMNS Gandhidham"/>
    <s v=""/>
    <s v=""/>
    <s v="2316BHIM"/>
    <s v="20059381"/>
    <s v="Govind Dhanuka"/>
    <s v="No"/>
    <s v="vipin.kumar@amns.in"/>
    <s v=""/>
    <s v="1054605"/>
    <s v="Manjit Shah"/>
    <s v="Anil Matoo"/>
    <s v="-"/>
    <s v="Manjit Shah"/>
    <s v="-"/>
  </r>
  <r>
    <n v="7054"/>
    <n v="20059397"/>
    <s v="Manish Namdeo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Indore"/>
    <d v="1975-07-22T00:00:00"/>
    <s v="48.01"/>
    <d v="2019-11-02T00:00:00"/>
    <d v="2033-07-31T00:00:00"/>
    <m/>
    <d v="2033-07-31T00:00:00"/>
    <n v="3602"/>
    <s v=""/>
    <s v=""/>
    <s v=""/>
    <s v="03.10"/>
    <s v="03.10"/>
    <s v="00052038"/>
    <s v="Gandhidham Operations"/>
    <s v="309888"/>
    <s v="New Acquisiiton"/>
    <s v="AMNS Gandhidham"/>
    <s v=""/>
    <s v=""/>
    <s v="2316INDO"/>
    <s v="20059392"/>
    <s v="Rajendra Gupta"/>
    <s v="No"/>
    <s v="manish.namdeo@amns.in"/>
    <s v=""/>
    <s v="1054612"/>
    <s v="Manjit Shah"/>
    <s v="Anil Matoo"/>
    <s v="-"/>
    <s v="Manjit Shah"/>
    <s v="-"/>
  </r>
  <r>
    <n v="7055"/>
    <n v="20059398"/>
    <s v="Devendra Lakshkar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5-06-09T00:00:00"/>
    <s v="38.03"/>
    <d v="2023-03-20T00:00:00"/>
    <d v="2043-06-30T00:00:00"/>
    <m/>
    <d v="2043-06-30T00:00:00"/>
    <n v="7223"/>
    <s v=""/>
    <s v=""/>
    <s v=""/>
    <s v="00.06"/>
    <s v="00.06"/>
    <s v="00052038"/>
    <s v="Gandhidham Operations"/>
    <s v="309921"/>
    <s v="New Acquisiiton"/>
    <s v="AMNS Gandhidham"/>
    <s v=""/>
    <s v=""/>
    <s v="2316BHIM"/>
    <s v="20059392"/>
    <s v="Rajendra Gupta"/>
    <s v="No"/>
    <s v="devendra.lakshkar@amns.in"/>
    <s v=""/>
    <s v="1054657"/>
    <s v="Manjit Shah"/>
    <s v="Anil Matoo"/>
    <s v="-"/>
    <s v="Manjit Shah"/>
    <s v="-"/>
  </r>
  <r>
    <n v="7056"/>
    <n v="20059399"/>
    <s v="Nityanand Sharma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1-06-01T00:00:00"/>
    <s v="42.03"/>
    <d v="2014-04-01T00:00:00"/>
    <d v="2039-05-31T00:00:00"/>
    <m/>
    <d v="2039-05-31T00:00:00"/>
    <n v="5732"/>
    <s v=""/>
    <s v=""/>
    <s v=""/>
    <s v="09.05"/>
    <s v="09.05"/>
    <s v="00052038"/>
    <s v="Gandhidham Operations"/>
    <s v="309936"/>
    <s v="New Acquisiiton"/>
    <s v="AMNS Gandhidham"/>
    <s v=""/>
    <s v=""/>
    <s v="2316BHIM"/>
    <s v="20059392"/>
    <s v="Rajendra Gupta"/>
    <s v="No"/>
    <s v="nityanand.sharma@amns.in"/>
    <s v=""/>
    <s v="1054660"/>
    <s v="Manjit Shah"/>
    <s v="Anil Matoo"/>
    <s v="-"/>
    <s v="Manjit Shah"/>
    <s v="-"/>
  </r>
  <r>
    <n v="7057"/>
    <n v="20059400"/>
    <s v="Somsinh Puvar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79-08-09T00:00:00"/>
    <s v="44.01"/>
    <d v="2008-09-29T00:00:00"/>
    <d v="2037-08-31T00:00:00"/>
    <m/>
    <d v="2037-08-31T00:00:00"/>
    <n v="5094"/>
    <s v=""/>
    <s v=""/>
    <s v=""/>
    <s v="14.11"/>
    <s v="14.11"/>
    <s v="00052038"/>
    <s v="Gandhidham Operations"/>
    <s v="310060"/>
    <s v="New Acquisiiton"/>
    <s v="AMNS Gandhidham"/>
    <s v=""/>
    <s v=""/>
    <s v="2316BHIM"/>
    <s v="20059392"/>
    <s v="Rajendra Gupta"/>
    <s v="No"/>
    <s v="somsinh.puvar@amns.in"/>
    <s v=""/>
    <s v="1054661"/>
    <s v="Manjit Shah"/>
    <s v="Anil Matoo"/>
    <s v="-"/>
    <s v="Manjit Shah"/>
    <s v="-"/>
  </r>
  <r>
    <n v="7058"/>
    <n v="20059401"/>
    <s v="Prajapati Jayantibhai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8-02-05T00:00:00"/>
    <s v="35.07"/>
    <d v="2023-03-01T00:00:00"/>
    <d v="2046-02-28T00:00:00"/>
    <m/>
    <d v="2046-02-28T00:00:00"/>
    <n v="8197"/>
    <s v=""/>
    <s v=""/>
    <s v=""/>
    <s v="00.06"/>
    <s v="00.06"/>
    <s v="00052038"/>
    <s v="Gandhidham Operations"/>
    <s v="310079"/>
    <s v="New Acquisiiton"/>
    <s v="AMNS Gandhidham"/>
    <s v=""/>
    <s v=""/>
    <s v="2316BHIM"/>
    <s v="20059392"/>
    <s v="Rajendra Gupta"/>
    <s v="No"/>
    <s v="prajapati.jayantibhai@amns.in"/>
    <s v=""/>
    <s v="1054710"/>
    <s v="Manjit Shah"/>
    <s v="Anil Matoo"/>
    <s v="-"/>
    <s v="Manjit Shah"/>
    <s v="-"/>
  </r>
  <r>
    <n v="7059"/>
    <n v="20059402"/>
    <s v="Sajjan Sharma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5-06-16T00:00:00"/>
    <s v="38.03"/>
    <d v="2018-05-01T00:00:00"/>
    <d v="2043-06-30T00:00:00"/>
    <m/>
    <d v="2043-06-30T00:00:00"/>
    <n v="7223"/>
    <s v=""/>
    <s v=""/>
    <s v=""/>
    <s v="05.04"/>
    <s v="05.04"/>
    <s v="00052038"/>
    <s v="Gandhidham Operations"/>
    <s v="310115"/>
    <s v="New Acquisiiton"/>
    <s v="AMNS Gandhidham"/>
    <s v=""/>
    <s v=""/>
    <s v="2316BHIM"/>
    <s v="20059392"/>
    <s v="Rajendra Gupta"/>
    <s v="No"/>
    <s v="sajjan.sharma@amns.in"/>
    <s v=""/>
    <s v="1054662"/>
    <s v="Manjit Shah"/>
    <s v="Anil Matoo"/>
    <s v="-"/>
    <s v="Manjit Shah"/>
    <s v="-"/>
  </r>
  <r>
    <n v="7064"/>
    <n v="20059407"/>
    <s v="Abhay Vishwakarm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7-01-18T00:00:00"/>
    <s v="56.08"/>
    <d v="2020-04-08T00:00:00"/>
    <d v="2025-01-31T00:00:00"/>
    <m/>
    <d v="2025-01-31T00:00:00"/>
    <n v="499"/>
    <s v=""/>
    <s v=""/>
    <s v=""/>
    <s v="03.05"/>
    <s v="03.05"/>
    <s v="00052038"/>
    <s v="Gandhidham Operations"/>
    <s v="309823"/>
    <s v="New Acquisiiton"/>
    <s v="AMNS Gandhidham"/>
    <s v=""/>
    <s v=""/>
    <s v="2306INDO"/>
    <s v="20059392"/>
    <s v="Rajendra Gupta"/>
    <s v="No"/>
    <s v="abhay.vishwakarma@amns.in"/>
    <s v=""/>
    <s v="1054663"/>
    <s v="Manjit Shah"/>
    <s v="Anil Matoo"/>
    <s v="-"/>
    <s v="Manjit Shah"/>
    <s v="-"/>
  </r>
  <r>
    <n v="7065"/>
    <n v="20059408"/>
    <s v="C. Ramesh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anglore"/>
    <d v="1966-01-27T00:00:00"/>
    <s v="57.07"/>
    <d v="2015-08-06T00:00:00"/>
    <d v="2024-01-31T00:00:00"/>
    <m/>
    <d v="2024-01-31T00:00:00"/>
    <n v="133"/>
    <s v=""/>
    <s v=""/>
    <s v=""/>
    <s v="08.01"/>
    <s v="08.01"/>
    <s v="00052038"/>
    <s v="Gandhidham Operations"/>
    <s v="309827"/>
    <s v="New Acquisiiton"/>
    <s v="AMNS Gandhidham"/>
    <s v=""/>
    <s v=""/>
    <s v="2306BANG"/>
    <s v="20059392"/>
    <s v="Rajendra Gupta"/>
    <s v="No"/>
    <s v="c.ramesh1@amns.in"/>
    <s v=""/>
    <s v="1054665"/>
    <s v="Manjit Shah"/>
    <s v="Anil Matoo"/>
    <s v="-"/>
    <s v="Manjit Shah"/>
    <s v="-"/>
  </r>
  <r>
    <n v="7066"/>
    <n v="20059409"/>
    <s v="Toliram Rahangdale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7-05-12T00:00:00"/>
    <s v="56.04"/>
    <d v="2019-11-15T00:00:00"/>
    <d v="2025-05-31T00:00:00"/>
    <m/>
    <d v="2025-05-31T00:00:00"/>
    <n v="619"/>
    <s v=""/>
    <s v=""/>
    <s v=""/>
    <s v="03.10"/>
    <s v="03.10"/>
    <s v="00052038"/>
    <s v="Gandhidham Operations"/>
    <s v="309829"/>
    <s v="New Acquisiiton"/>
    <s v="AMNS Gandhidham"/>
    <s v=""/>
    <s v=""/>
    <s v="2306INDO"/>
    <s v="20059392"/>
    <s v="Rajendra Gupta"/>
    <s v="No"/>
    <s v="toliram.rahangdale@amns.in"/>
    <s v=""/>
    <s v="1054666"/>
    <s v="Manjit Shah"/>
    <s v="Anil Matoo"/>
    <s v="-"/>
    <s v="Manjit Shah"/>
    <s v="-"/>
  </r>
  <r>
    <n v="7067"/>
    <n v="20059410"/>
    <s v="Umesh Vashisth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Delhi"/>
    <d v="1973-07-07T00:00:00"/>
    <s v="50.02"/>
    <d v="2013-10-06T00:00:00"/>
    <d v="2031-07-31T00:00:00"/>
    <m/>
    <d v="2031-07-31T00:00:00"/>
    <n v="2871"/>
    <s v=""/>
    <s v=""/>
    <s v=""/>
    <s v="09.11"/>
    <s v="09.11"/>
    <s v="00052038"/>
    <s v="Gandhidham Operations"/>
    <s v="309830"/>
    <s v="New Acquisiiton"/>
    <s v="AMNS Gandhidham"/>
    <s v=""/>
    <s v=""/>
    <s v="2306DELH"/>
    <s v="20059392"/>
    <s v="Rajendra Gupta"/>
    <s v="No"/>
    <s v="umesh.vashistha@amns.in"/>
    <s v=""/>
    <s v="1054669"/>
    <s v="Manjit Shah"/>
    <s v="Anil Matoo"/>
    <s v="-"/>
    <s v="Manjit Shah"/>
    <s v="-"/>
  </r>
  <r>
    <n v="7068"/>
    <n v="20059411"/>
    <s v="Shiv Tawar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8-10-01T00:00:00"/>
    <s v="54.11"/>
    <d v="2010-07-01T00:00:00"/>
    <d v="2026-09-30T00:00:00"/>
    <m/>
    <d v="2026-09-30T00:00:00"/>
    <n v="1106"/>
    <s v=""/>
    <s v=""/>
    <s v=""/>
    <s v="13.02"/>
    <s v="13.02"/>
    <s v="00052038"/>
    <s v="Gandhidham Operations"/>
    <s v="309852"/>
    <s v="New Acquisiiton"/>
    <s v="AMNS Gandhidham"/>
    <s v=""/>
    <s v=""/>
    <s v="2306INDO"/>
    <s v="20059392"/>
    <s v="Rajendra Gupta"/>
    <s v="No"/>
    <s v="shiv.tawar1@amns.in"/>
    <s v=""/>
    <s v="1054671"/>
    <s v="Manjit Shah"/>
    <s v="Anil Matoo"/>
    <s v="-"/>
    <s v="Manjit Shah"/>
    <s v="-"/>
  </r>
  <r>
    <n v="7069"/>
    <n v="20059412"/>
    <s v="Chandra Ojh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Patna"/>
    <d v="1969-05-01T00:00:00"/>
    <s v="54.04"/>
    <d v="2019-05-08T00:00:00"/>
    <d v="2027-04-30T00:00:00"/>
    <m/>
    <d v="2027-04-30T00:00:00"/>
    <n v="1318"/>
    <s v=""/>
    <s v=""/>
    <s v=""/>
    <s v="04.04"/>
    <s v="04.04"/>
    <s v="00052038"/>
    <s v="Gandhidham Operations"/>
    <s v="309864"/>
    <s v="New Acquisiiton"/>
    <s v="AMNS Gandhidham"/>
    <s v=""/>
    <s v=""/>
    <s v="2306PATN"/>
    <s v="20059392"/>
    <s v="Rajendra Gupta"/>
    <s v="No"/>
    <s v="chandra.ojha1@amns.in"/>
    <s v=""/>
    <s v="1054674"/>
    <s v="Manjit Shah"/>
    <s v="Anil Matoo"/>
    <s v="-"/>
    <s v="Manjit Shah"/>
    <s v="-"/>
  </r>
  <r>
    <n v="7070"/>
    <n v="20059413"/>
    <s v="Ramesh Babu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76-03-17T00:00:00"/>
    <s v="47.06"/>
    <d v="2015-11-09T00:00:00"/>
    <d v="2034-03-31T00:00:00"/>
    <m/>
    <d v="2034-03-31T00:00:00"/>
    <n v="3845"/>
    <s v=""/>
    <s v=""/>
    <s v=""/>
    <s v="07.10"/>
    <s v="07.10"/>
    <s v="00052038"/>
    <s v="Gandhidham Operations"/>
    <s v="309868"/>
    <s v="New Acquisiiton"/>
    <s v="AMNS Gandhidham"/>
    <s v=""/>
    <s v=""/>
    <s v="2306BHIM"/>
    <s v="20059392"/>
    <s v="Rajendra Gupta"/>
    <s v="No"/>
    <s v="ramesh.babu2@amns.in"/>
    <s v=""/>
    <s v="1054684"/>
    <s v="Manjit Shah"/>
    <s v="Anil Matoo"/>
    <s v="-"/>
    <s v="Manjit Shah"/>
    <s v="-"/>
  </r>
  <r>
    <n v="7071"/>
    <n v="20059414"/>
    <s v="Chandra Kandari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Delhi"/>
    <d v="1978-05-07T00:00:00"/>
    <s v="45.04"/>
    <d v="2007-06-08T00:00:00"/>
    <d v="2036-05-31T00:00:00"/>
    <m/>
    <d v="2036-05-31T00:00:00"/>
    <n v="4637"/>
    <s v=""/>
    <s v=""/>
    <s v=""/>
    <s v="16.03"/>
    <s v="16.03"/>
    <s v="00052038"/>
    <s v="Gandhidham Operations"/>
    <s v="309885"/>
    <s v="New Acquisiiton"/>
    <s v="AMNS Gandhidham"/>
    <s v=""/>
    <s v=""/>
    <s v="2306DELH"/>
    <s v="20059392"/>
    <s v="Rajendra Gupta"/>
    <s v="No"/>
    <s v="chandra.kandari@amns.in"/>
    <s v=""/>
    <s v="1054686"/>
    <s v="Manjit Shah"/>
    <s v="Anil Matoo"/>
    <s v="-"/>
    <s v="Manjit Shah"/>
    <s v="-"/>
  </r>
  <r>
    <n v="7072"/>
    <n v="20059415"/>
    <s v="Deepak Patidar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Ahmedabad"/>
    <d v="1988-07-30T00:00:00"/>
    <s v="35.01"/>
    <d v="2020-01-23T00:00:00"/>
    <d v="2046-07-31T00:00:00"/>
    <m/>
    <d v="2046-07-31T00:00:00"/>
    <n v="8350"/>
    <s v=""/>
    <s v=""/>
    <s v=""/>
    <s v="03.07"/>
    <s v="03.07"/>
    <s v="00052038"/>
    <s v="Gandhidham Operations"/>
    <s v="309886"/>
    <s v="New Acquisiiton"/>
    <s v="AMNS Gandhidham"/>
    <s v=""/>
    <s v=""/>
    <s v="2306AHME"/>
    <s v="20037071"/>
    <s v="Amit Chandaliya"/>
    <s v="No"/>
    <s v="deepak.patidar@amns.in"/>
    <s v=""/>
    <s v="1054688"/>
    <s v="Manjit Shah"/>
    <s v="Anil Matoo"/>
    <s v="-"/>
    <s v="Manjit Shah"/>
    <s v="-"/>
  </r>
  <r>
    <n v="7073"/>
    <n v="20059416"/>
    <s v="Digvijay Khunte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Pune"/>
    <d v="1983-07-16T00:00:00"/>
    <s v="40.02"/>
    <d v="2012-02-07T00:00:00"/>
    <d v="2041-07-31T00:00:00"/>
    <m/>
    <d v="2041-07-31T00:00:00"/>
    <n v="6524"/>
    <s v=""/>
    <s v=""/>
    <s v=""/>
    <s v="11.07"/>
    <s v="11.07"/>
    <s v="00052038"/>
    <s v="Gandhidham Operations"/>
    <s v="309887"/>
    <s v="New Acquisiiton"/>
    <s v="AMNS Gandhidham"/>
    <s v=""/>
    <s v=""/>
    <s v="2306PUNE"/>
    <s v="20059392"/>
    <s v="Rajendra Gupta"/>
    <s v="No"/>
    <s v="digvijay.khunte@amns.in"/>
    <s v=""/>
    <s v="1054689"/>
    <s v="Manjit Shah"/>
    <s v="Anil Matoo"/>
    <s v="-"/>
    <s v="Manjit Shah"/>
    <s v="-"/>
  </r>
  <r>
    <n v="7074"/>
    <n v="20059417"/>
    <s v="Hari Singh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75-09-23T00:00:00"/>
    <s v="47.11"/>
    <d v="2018-01-04T00:00:00"/>
    <d v="2033-09-30T00:00:00"/>
    <m/>
    <d v="2033-09-30T00:00:00"/>
    <n v="3663"/>
    <s v=""/>
    <s v=""/>
    <s v=""/>
    <s v="05.08"/>
    <s v="05.08"/>
    <s v="00052038"/>
    <s v="Gandhidham Operations"/>
    <s v="309911"/>
    <s v="New Acquisiiton"/>
    <s v="AMNS Gandhidham"/>
    <s v=""/>
    <s v=""/>
    <s v="2306INDO"/>
    <s v="20059392"/>
    <s v="Rajendra Gupta"/>
    <s v="No"/>
    <s v="hari.singh7@amns.in"/>
    <s v=""/>
    <s v="1054693"/>
    <s v="Manjit Shah"/>
    <s v="Anil Matoo"/>
    <s v="-"/>
    <s v="Manjit Shah"/>
    <s v="-"/>
  </r>
  <r>
    <n v="7075"/>
    <n v="20059418"/>
    <s v="Pardeep Kumar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8-07-10T00:00:00"/>
    <s v="35.02"/>
    <d v="2014-04-01T00:00:00"/>
    <d v="2046-07-31T00:00:00"/>
    <m/>
    <d v="2046-07-31T00:00:00"/>
    <n v="8350"/>
    <s v=""/>
    <s v=""/>
    <s v=""/>
    <s v="09.05"/>
    <s v="09.05"/>
    <s v="00052038"/>
    <s v="Gandhidham Operations"/>
    <s v="309938"/>
    <s v="New Acquisiiton"/>
    <s v="AMNS Gandhidham"/>
    <s v=""/>
    <s v=""/>
    <s v="2306BHIM"/>
    <s v="20059392"/>
    <s v="Rajendra Gupta"/>
    <s v="No"/>
    <s v="pardeep.kumar36@amns.in"/>
    <s v=""/>
    <s v="1054696"/>
    <s v="Manjit Shah"/>
    <s v="Anil Matoo"/>
    <s v="-"/>
    <s v="Manjit Shah"/>
    <s v="-"/>
  </r>
  <r>
    <n v="7076"/>
    <n v="20059419"/>
    <s v="Joseph Antony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9-05-20T00:00:00"/>
    <s v="54.04"/>
    <d v="2019-01-04T00:00:00"/>
    <d v="2027-05-31T00:00:00"/>
    <m/>
    <d v="2027-05-31T00:00:00"/>
    <n v="1349"/>
    <s v=""/>
    <s v=""/>
    <s v=""/>
    <s v="04.08"/>
    <s v="04.08"/>
    <s v="00052038"/>
    <s v="Gandhidham Operations"/>
    <s v="309962"/>
    <s v="New Acquisiiton"/>
    <s v="AMNS Gandhidham"/>
    <s v=""/>
    <s v=""/>
    <s v="2306INDO"/>
    <s v="20059392"/>
    <s v="Rajendra Gupta"/>
    <s v="No"/>
    <s v="joseph.antony1@amns.in"/>
    <s v=""/>
    <s v="1054697"/>
    <s v="Manjit Shah"/>
    <s v="Anil Matoo"/>
    <s v="-"/>
    <s v="Manjit Shah"/>
    <s v="-"/>
  </r>
  <r>
    <n v="7077"/>
    <n v="20059420"/>
    <s v="Mahesh Saini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Jammu"/>
    <d v="1984-01-02T00:00:00"/>
    <s v="39.08"/>
    <d v="2006-07-07T00:00:00"/>
    <d v="2042-01-31T00:00:00"/>
    <m/>
    <d v="2042-01-31T00:00:00"/>
    <n v="6708"/>
    <s v=""/>
    <s v=""/>
    <s v=""/>
    <s v="17.02"/>
    <s v="17.02"/>
    <s v="00052038"/>
    <s v="Gandhidham Operations"/>
    <s v="309963"/>
    <s v="New Acquisiiton"/>
    <s v="AMNS Gandhidham"/>
    <s v=""/>
    <s v=""/>
    <s v="2306JAMM"/>
    <s v="20059392"/>
    <s v="Rajendra Gupta"/>
    <s v="No"/>
    <s v="mahesh.saini1@amns.in"/>
    <s v=""/>
    <s v="1054699"/>
    <s v="Manjit Shah"/>
    <s v="Anil Matoo"/>
    <s v="-"/>
    <s v="Manjit Shah"/>
    <s v="-"/>
  </r>
  <r>
    <n v="7078"/>
    <n v="20059421"/>
    <s v="Sanjay Sharm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Jaipur"/>
    <d v="1977-11-22T00:00:00"/>
    <s v="45.09"/>
    <d v="2006-06-12T00:00:00"/>
    <d v="2035-11-30T00:00:00"/>
    <m/>
    <d v="2035-11-30T00:00:00"/>
    <n v="4454"/>
    <s v=""/>
    <s v=""/>
    <s v=""/>
    <s v="17.03"/>
    <s v="17.03"/>
    <s v="00052038"/>
    <s v="Gandhidham Operations"/>
    <s v="309965"/>
    <s v="New Acquisiiton"/>
    <s v="AMNS Gandhidham"/>
    <s v=""/>
    <s v=""/>
    <s v="2306JAIP"/>
    <s v="20059392"/>
    <s v="Rajendra Gupta"/>
    <s v="No"/>
    <s v="sanjay.sharma26@amns.in"/>
    <s v=""/>
    <s v="1054701"/>
    <s v="Manjit Shah"/>
    <s v="Anil Matoo"/>
    <s v="-"/>
    <s v="Manjit Shah"/>
    <s v="-"/>
  </r>
  <r>
    <n v="7079"/>
    <n v="20059422"/>
    <s v="Deepak Sharm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1-03-25T00:00:00"/>
    <s v="42.05"/>
    <d v="2005-12-27T00:00:00"/>
    <d v="2039-03-31T00:00:00"/>
    <m/>
    <d v="2039-03-31T00:00:00"/>
    <n v="5671"/>
    <s v=""/>
    <s v=""/>
    <s v=""/>
    <s v="17.08"/>
    <s v="17.08"/>
    <s v="00052038"/>
    <s v="Gandhidham Operations"/>
    <s v="310072"/>
    <s v="New Acquisiiton"/>
    <s v="AMNS Gandhidham"/>
    <s v=""/>
    <s v=""/>
    <s v="2306BHIM"/>
    <s v="20059392"/>
    <s v="Rajendra Gupta"/>
    <s v="No"/>
    <s v="deepak.sharma@amns.in"/>
    <s v=""/>
    <s v="1054702"/>
    <s v="Manjit Shah"/>
    <s v="Anil Matoo"/>
    <s v="-"/>
    <s v="Manjit Shah"/>
    <s v="-"/>
  </r>
  <r>
    <n v="7080"/>
    <n v="20059423"/>
    <s v="Nitin Soniy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8-06-17T00:00:00"/>
    <s v="35.03"/>
    <d v="2016-09-21T00:00:00"/>
    <d v="2046-06-30T00:00:00"/>
    <m/>
    <d v="2046-06-30T00:00:00"/>
    <n v="8319"/>
    <s v=""/>
    <s v=""/>
    <s v=""/>
    <s v="07.00"/>
    <s v="07.00"/>
    <s v="00052038"/>
    <s v="Gandhidham Operations"/>
    <s v="310078"/>
    <s v="New Acquisiiton"/>
    <s v="AMNS Gandhidham"/>
    <s v=""/>
    <s v=""/>
    <s v="2306BHIM"/>
    <s v="20059392"/>
    <s v="Rajendra Gupta"/>
    <s v="No"/>
    <s v="nitinsingh.soniya@amns.in"/>
    <s v=""/>
    <s v="1054740"/>
    <s v="Manjit Shah"/>
    <s v="Anil Matoo"/>
    <s v="-"/>
    <s v="Manjit Shah"/>
    <s v="-"/>
  </r>
  <r>
    <n v="7081"/>
    <n v="20059424"/>
    <s v="Abhishek Khandelwal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Delhi"/>
    <d v="1980-06-08T00:00:00"/>
    <s v="43.03"/>
    <d v="2015-09-17T00:00:00"/>
    <d v="2038-06-30T00:00:00"/>
    <m/>
    <d v="2038-06-30T00:00:00"/>
    <n v="5397"/>
    <s v=""/>
    <s v=""/>
    <s v=""/>
    <s v="08.00"/>
    <s v="08.00"/>
    <s v="00043882"/>
    <s v="International Sales"/>
    <s v="310088"/>
    <s v="New Acquisiiton"/>
    <s v="AMNS Gandhidham"/>
    <s v=""/>
    <s v=""/>
    <s v="2306DELH"/>
    <s v="20037071"/>
    <s v="Amit Chandaliya"/>
    <s v="No"/>
    <s v="abhishek.khandelwal1@amns.in"/>
    <s v=""/>
    <s v="1054706"/>
    <s v="Manjit Shah"/>
    <s v="Anil Matoo"/>
    <s v="-"/>
    <s v="Manjit Shah"/>
    <s v="-"/>
  </r>
  <r>
    <n v="7082"/>
    <n v="20059425"/>
    <s v="Girish Ary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2-04-15T00:00:00"/>
    <s v="41.05"/>
    <d v="2010-11-01T00:00:00"/>
    <d v="2040-04-30T00:00:00"/>
    <m/>
    <d v="2040-04-30T00:00:00"/>
    <n v="6067"/>
    <s v=""/>
    <s v=""/>
    <s v=""/>
    <s v="12.10"/>
    <s v="12.10"/>
    <s v="00052038"/>
    <s v="Gandhidham Operations"/>
    <s v="310092"/>
    <s v="New Acquisiiton"/>
    <s v="AMNS Gandhidham"/>
    <s v=""/>
    <s v=""/>
    <s v="2306BHIM"/>
    <s v="20059392"/>
    <s v="Rajendra Gupta"/>
    <s v="No"/>
    <s v="girish.arya1@amns.in"/>
    <s v=""/>
    <s v="1054709"/>
    <s v="Manjit Shah"/>
    <s v="Anil Matoo"/>
    <s v="-"/>
    <s v="Manjit Shah"/>
    <s v="-"/>
  </r>
  <r>
    <n v="7083"/>
    <n v="20059426"/>
    <s v="Satyendra Singh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5-07-10T00:00:00"/>
    <s v="38.02"/>
    <d v="2010-02-22T00:00:00"/>
    <d v="2043-07-31T00:00:00"/>
    <m/>
    <d v="2043-07-31T00:00:00"/>
    <n v="7254"/>
    <s v=""/>
    <s v=""/>
    <s v=""/>
    <s v="13.06"/>
    <s v="13.06"/>
    <s v="00052038"/>
    <s v="Gandhidham Operations"/>
    <s v="310106"/>
    <s v="New Acquisiiton"/>
    <s v="AMNS Gandhidham"/>
    <s v=""/>
    <s v=""/>
    <s v="2306BHIM"/>
    <s v="20059392"/>
    <s v="Rajendra Gupta"/>
    <s v="No"/>
    <s v="satyendra.singh41@amns.in"/>
    <s v=""/>
    <s v="1054711"/>
    <s v="Manjit Shah"/>
    <s v="Anil Matoo"/>
    <s v="-"/>
    <s v="Manjit Shah"/>
    <s v="-"/>
  </r>
  <r>
    <n v="7085"/>
    <n v="20059428"/>
    <s v="Hasmukh R.Gadhavi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5-10-22T00:00:00"/>
    <s v="47.10"/>
    <d v="2005-06-01T00:00:00"/>
    <d v="2033-10-31T00:00:00"/>
    <m/>
    <d v="2033-10-31T00:00:00"/>
    <n v="3694"/>
    <s v=""/>
    <s v=""/>
    <s v=""/>
    <s v="18.03"/>
    <s v="18.03"/>
    <s v="00052332"/>
    <s v="Mechanical Maintenance"/>
    <s v="309893"/>
    <s v="New Acquisiiton"/>
    <s v="AMNS Gandhidham"/>
    <s v=""/>
    <s v=""/>
    <s v="2318BHIM"/>
    <s v="20059381"/>
    <s v="Govind Dhanuka"/>
    <s v="No"/>
    <s v="hasmukh.rgadhavi@amns.in"/>
    <s v=""/>
    <s v="1054720"/>
    <s v="Manjit Shah"/>
    <s v="Anil Matoo"/>
    <s v="-"/>
    <s v="Manjit Shah"/>
    <s v="-"/>
  </r>
  <r>
    <n v="7086"/>
    <n v="20059429"/>
    <s v="Jagdish Yadav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69-07-03T00:00:00"/>
    <s v="54.02"/>
    <d v="2021-08-01T00:00:00"/>
    <d v="2027-07-31T00:00:00"/>
    <m/>
    <d v="2027-07-31T00:00:00"/>
    <n v="1410"/>
    <s v=""/>
    <s v=""/>
    <s v=""/>
    <s v="02.01"/>
    <s v="02.01"/>
    <s v="00052332"/>
    <s v="Mechanical Maintenance"/>
    <s v="309894"/>
    <s v="New Acquisiiton"/>
    <s v="AMNS Gandhidham"/>
    <s v=""/>
    <s v=""/>
    <s v="2318BHIM"/>
    <s v="20059381"/>
    <s v="Govind Dhanuka"/>
    <s v="No"/>
    <s v="jagdish.yadav3@amns.in"/>
    <s v=""/>
    <s v="1054722"/>
    <s v="Manjit Shah"/>
    <s v="Anil Matoo"/>
    <s v="-"/>
    <s v="Manjit Shah"/>
    <s v="-"/>
  </r>
  <r>
    <n v="7087"/>
    <n v="20059430"/>
    <s v="Jayeshbhai Dave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0-11-06T00:00:00"/>
    <s v="52.10"/>
    <d v="2019-08-08T00:00:00"/>
    <d v="2028-11-30T00:00:00"/>
    <m/>
    <d v="2028-11-30T00:00:00"/>
    <n v="1898"/>
    <s v=""/>
    <s v=""/>
    <s v=""/>
    <s v="04.01"/>
    <s v="04.01"/>
    <s v="00052038"/>
    <s v="Gandhidham Operations"/>
    <s v="309895"/>
    <s v="New Acquisiiton"/>
    <s v="AMNS Gandhidham"/>
    <s v=""/>
    <s v=""/>
    <s v="2318BHIM"/>
    <s v="20059392"/>
    <s v="Rajendra Gupta"/>
    <s v="No"/>
    <s v="jagdish.yadav3@amns.in"/>
    <s v=""/>
    <s v="1054742"/>
    <s v="Manjit Shah"/>
    <s v="Anil Matoo"/>
    <s v="-"/>
    <s v="Manjit Shah"/>
    <s v="-"/>
  </r>
  <r>
    <n v="7088"/>
    <n v="20059431"/>
    <s v="Nand Kumhar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3-01-01T00:00:00"/>
    <s v="50.08"/>
    <d v="2018-09-01T00:00:00"/>
    <d v="2030-12-31T00:00:00"/>
    <m/>
    <d v="2030-12-31T00:00:00"/>
    <n v="2659"/>
    <s v=""/>
    <s v=""/>
    <s v=""/>
    <s v="05.00"/>
    <s v="05.00"/>
    <s v="00052038"/>
    <s v="Gandhidham Operations"/>
    <s v="310076"/>
    <s v="New Acquisiiton"/>
    <s v="AMNS Gandhidham"/>
    <s v=""/>
    <s v=""/>
    <s v="2318BHIM"/>
    <s v="20059392"/>
    <s v="Rajendra Gupta"/>
    <s v="No"/>
    <s v="nand.kumhar@amns.in"/>
    <s v=""/>
    <s v="1054724"/>
    <s v="Manjit Shah"/>
    <s v="Anil Matoo"/>
    <s v="-"/>
    <s v="Manjit Shah"/>
    <s v="-"/>
  </r>
  <r>
    <n v="7089"/>
    <n v="20059432"/>
    <s v="Satish Warhokar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81-05-17T00:00:00"/>
    <s v="42.04"/>
    <d v="2017-12-25T00:00:00"/>
    <d v="2039-05-31T00:00:00"/>
    <m/>
    <d v="2039-05-31T00:00:00"/>
    <n v="5732"/>
    <s v=""/>
    <s v=""/>
    <s v=""/>
    <s v="05.08"/>
    <s v="05.08"/>
    <s v="00052038"/>
    <s v="Gandhidham Operations"/>
    <s v="310084"/>
    <s v="New Acquisiiton"/>
    <s v="AMNS Gandhidham"/>
    <s v=""/>
    <s v=""/>
    <s v="2318BHIM"/>
    <s v="20059392"/>
    <s v="Rajendra Gupta"/>
    <s v="No"/>
    <s v="satish.warhokar@amns.in"/>
    <s v=""/>
    <s v="1054743"/>
    <s v="Manjit Shah"/>
    <s v="Anil Matoo"/>
    <s v="-"/>
    <s v="Manjit Shah"/>
    <s v="-"/>
  </r>
  <r>
    <n v="7090"/>
    <n v="20059433"/>
    <s v="Santosh Sahoo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83-07-05T00:00:00"/>
    <s v="40.02"/>
    <d v="2021-04-01T00:00:00"/>
    <d v="2041-07-31T00:00:00"/>
    <m/>
    <d v="2041-07-31T00:00:00"/>
    <n v="6524"/>
    <s v=""/>
    <s v=""/>
    <s v=""/>
    <s v="02.05"/>
    <s v="02.05"/>
    <s v="00052038"/>
    <s v="Gandhidham Operations"/>
    <s v="310104"/>
    <s v="New Acquisiiton"/>
    <s v="AMNS Gandhidham"/>
    <s v=""/>
    <s v=""/>
    <s v="2318BHIM"/>
    <s v="20059392"/>
    <s v="Rajendra Gupta"/>
    <s v="No"/>
    <s v="santosh.sahoo31@amns.in"/>
    <s v=""/>
    <s v="1054731"/>
    <s v="Manjit Shah"/>
    <s v="Anil Matoo"/>
    <s v="-"/>
    <s v="Manjit Shah"/>
    <s v="-"/>
  </r>
  <r>
    <n v="7091"/>
    <n v="20059434"/>
    <s v="Arun Singh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5-12-20T00:00:00"/>
    <s v="47.09"/>
    <d v="2020-01-01T00:00:00"/>
    <d v="2033-12-31T00:00:00"/>
    <m/>
    <d v="2033-12-31T00:00:00"/>
    <n v="3755"/>
    <s v=""/>
    <s v=""/>
    <s v=""/>
    <s v="03.08"/>
    <s v="03.08"/>
    <s v="00052038"/>
    <s v="Gandhidham Operations"/>
    <s v="310110"/>
    <s v="New Acquisiiton"/>
    <s v="AMNS Gandhidham"/>
    <s v=""/>
    <s v=""/>
    <s v="2318BHIM"/>
    <s v="20059392"/>
    <s v="Rajendra Gupta"/>
    <s v="No"/>
    <s v="arun.singh55@amns.in"/>
    <s v="09627210043"/>
    <s v="1054744"/>
    <s v="Manjit Shah"/>
    <s v="Anil Matoo"/>
    <s v="-"/>
    <s v="Manjit Shah"/>
    <s v="-"/>
  </r>
  <r>
    <n v="7092"/>
    <n v="20059435"/>
    <s v="Vishnu Mishra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84-09-03T00:00:00"/>
    <s v="39.00"/>
    <d v="2010-07-03T00:00:00"/>
    <d v="2042-09-30T00:00:00"/>
    <m/>
    <d v="2042-09-30T00:00:00"/>
    <n v="6950"/>
    <s v=""/>
    <s v=""/>
    <s v=""/>
    <s v="13.02"/>
    <s v="13.02"/>
    <s v="00052038"/>
    <s v="Gandhidham Operations"/>
    <s v="310117"/>
    <s v="New Acquisiiton"/>
    <s v="AMNS Gandhidham"/>
    <s v=""/>
    <s v=""/>
    <s v="2318BHIM"/>
    <s v="20059392"/>
    <s v="Rajendra Gupta"/>
    <s v="No"/>
    <s v="vishnu.mishra3@amns.in"/>
    <s v=""/>
    <s v="1054745"/>
    <s v="Manjit Shah"/>
    <s v="Anil Matoo"/>
    <s v="-"/>
    <s v="Manjit Shah"/>
    <s v="-"/>
  </r>
  <r>
    <n v="7111"/>
    <n v="20059454"/>
    <s v="Saikat Dhar"/>
    <s v="AM/NS India"/>
    <s v="Onroll"/>
    <s v="M-5"/>
    <n v="5"/>
    <m/>
    <s v="MM"/>
    <s v="M"/>
    <s v="Odisha"/>
    <n v="2"/>
    <s v="2071"/>
    <x v="22"/>
    <s v="41.01"/>
    <s v="P Ashok Kumar"/>
    <s v="P Ashok Kumar"/>
    <n v="9"/>
    <s v="Legal"/>
    <s v="Legal"/>
    <s v="41"/>
    <s v="Legal Counsel, Odisha"/>
    <m/>
    <s v="Legal"/>
    <s v="Legal"/>
    <s v="Legal"/>
    <s v="Non Technical Support"/>
    <s v="Legal"/>
    <s v="Legal"/>
    <s v="73201001"/>
    <s v="Legal"/>
    <s v="Bhubaneswar"/>
    <d v="1976-08-03T00:00:00"/>
    <s v="47.01"/>
    <d v="2023-06-05T00:00:00"/>
    <d v="2034-08-31T00:00:00"/>
    <m/>
    <d v="2034-08-31T00:00:00"/>
    <n v="3998"/>
    <s v="B+"/>
    <s v="Diploma-2011 , LLB-1999"/>
    <s v="05.07"/>
    <s v="00.03"/>
    <s v="05.10"/>
    <s v="70494754"/>
    <s v="Legal"/>
    <s v="301041"/>
    <s v="Legal Counsel"/>
    <s v="Odisha"/>
    <s v="0090000019"/>
    <s v="Corporate Steel - Le"/>
    <s v="2000STORIS"/>
    <s v="20055235"/>
    <s v="P Ashok Kumar"/>
    <s v="No"/>
    <s v="saikat.dhar@amns.in"/>
    <s v="7077773398"/>
    <s v="1052604"/>
    <s v="Sunila Das"/>
    <s v="Anil Matoo"/>
    <s v="Praveen Kuruvalli"/>
    <s v="Sunila Das"/>
    <n v="0"/>
  </r>
  <r>
    <n v="7116"/>
    <n v="20059459"/>
    <s v="Ankush Gupta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Lead Sales &amp; Mark strategy-Long Products"/>
    <m/>
    <s v="Lead Sales and Marketing Strategy - Specialty"/>
    <s v=""/>
    <s v=""/>
    <s v="Non Technical Support"/>
    <s v=""/>
    <s v=""/>
    <s v=""/>
    <s v=""/>
    <s v="Mumbai"/>
    <d v="1981-06-21T00:00:00"/>
    <s v="42.03"/>
    <d v="2023-05-25T00:00:00"/>
    <d v="2039-06-30T00:00:00"/>
    <m/>
    <d v="2039-06-30T00:00:00"/>
    <n v="5762"/>
    <s v="A+"/>
    <s v="MBA-2009 , BTech-2004 , Intermediate-199"/>
    <s v="13.09"/>
    <s v="00.03"/>
    <s v="14.01"/>
    <s v="70494655"/>
    <s v="Sales Steering, Distribution and BD"/>
    <s v="311294"/>
    <s v="Lead Sales &amp; Mark strategy-Long Products"/>
    <s v="Corporate"/>
    <s v="0080000005"/>
    <s v="Global Markets Team"/>
    <s v="2000CRG"/>
    <s v="20055091"/>
    <s v="Akshaya Gujral"/>
    <s v="No"/>
    <s v="ankush.gupta@amns.in"/>
    <s v="9727751391"/>
    <s v="1053400"/>
    <s v="Dhruv Vyas"/>
    <s v="Anil Matoo"/>
    <s v="Praveen Kuruvalli"/>
    <s v="Dhruv Vyas"/>
    <n v="0"/>
  </r>
  <r>
    <n v="7117"/>
    <n v="20059460"/>
    <s v="Anshika Kayasth"/>
    <s v="AM/NS India"/>
    <s v="Onroll"/>
    <s v="T-2 (MT)"/>
    <n v="13"/>
    <m/>
    <s v="JM"/>
    <s v="F"/>
    <s v="Hazira"/>
    <n v="1"/>
    <s v="2015"/>
    <x v="1"/>
    <s v="22.06"/>
    <s v="Praveen Kuruvalli"/>
    <s v="Ashutosh Telang"/>
    <n v="6"/>
    <s v="HR &amp; Administration"/>
    <s v="Human Resources"/>
    <s v="22"/>
    <s v="Management Trainee- Human Resouces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Hazira"/>
    <d v="1999-03-22T00:00:00"/>
    <s v="24.06"/>
    <d v="2023-05-29T00:00:00"/>
    <d v="2057-03-31T00:00:00"/>
    <m/>
    <d v="2057-03-31T00:00:00"/>
    <n v="12246"/>
    <s v="B+"/>
    <s v="MBA-2023 , Intermediate-2016"/>
    <s v=""/>
    <s v="00.03"/>
    <s v="00.03"/>
    <s v="70242278"/>
    <s v="People Strategy &amp; HR Center Excellence"/>
    <s v="301580"/>
    <s v="Management Trainee- Human Resouces"/>
    <s v="Hazira"/>
    <s v="0031950061"/>
    <s v="HZ-Human Resource"/>
    <s v="2000HWO"/>
    <s v="20055483"/>
    <s v="Praveen Kuruvalli"/>
    <s v="No"/>
    <s v="anshika.kayasth@amns.in"/>
    <s v="7310709459"/>
    <s v="892334"/>
    <s v="Dhruv Vyas"/>
    <s v="Anil Matoo"/>
    <s v="Praveen Kuruvalli"/>
    <s v="Dhruv Vyas"/>
    <n v="0"/>
  </r>
  <r>
    <n v="7118"/>
    <n v="20059461"/>
    <s v="Mudit Jain"/>
    <s v="AM/NS India"/>
    <s v="Onroll"/>
    <s v="T-2 (MT)"/>
    <n v="13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Management Trainee - Finance"/>
    <m/>
    <s v="Finance &amp; Accounts"/>
    <s v="Performance Management"/>
    <s v="Performance Management"/>
    <s v="Non Technical Support"/>
    <s v=""/>
    <s v=""/>
    <s v="70494642"/>
    <s v="Deputy Director"/>
    <s v="Hazira"/>
    <d v="2000-11-20T00:00:00"/>
    <s v="22.09"/>
    <d v="2023-05-29T00:00:00"/>
    <d v="2058-11-30T00:00:00"/>
    <m/>
    <d v="2058-11-30T00:00:00"/>
    <n v="12855"/>
    <s v="AB+"/>
    <s v="MBA-2023 , Intermediate-2018 , MBA-2016"/>
    <s v=""/>
    <s v="00.03"/>
    <s v="00.03"/>
    <s v="00049304"/>
    <s v="PM - Internal Control"/>
    <s v="301582"/>
    <s v="Management Trainee - Finance"/>
    <s v="Hazira"/>
    <s v="0031950043"/>
    <s v="HZ-Performance Manag"/>
    <s v="2000HWO"/>
    <s v="20006833"/>
    <s v="Hardik Vasavada"/>
    <s v="No"/>
    <s v="mudit.jain@amns.in"/>
    <s v="9315802581"/>
    <s v="892322"/>
    <s v="Dhruv Vyas"/>
    <s v="Anil Matoo"/>
    <s v="Praveen Kuruvalli"/>
    <s v="Dhruv Vyas"/>
    <n v="0"/>
  </r>
  <r>
    <n v="7119"/>
    <n v="20059462"/>
    <s v="Nikhil Bhad"/>
    <s v="AM/NS India"/>
    <s v="Onroll"/>
    <s v="T-2 (MT)"/>
    <n v="13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Management Trainee - Procurement"/>
    <m/>
    <s v="Procurement"/>
    <s v="Procurement"/>
    <s v=""/>
    <s v="Non Technical Support"/>
    <s v=""/>
    <s v=""/>
    <s v=""/>
    <s v=""/>
    <s v="Hazira"/>
    <d v="1999-02-06T00:00:00"/>
    <s v="24.07"/>
    <d v="2023-05-29T00:00:00"/>
    <d v="2057-02-28T00:00:00"/>
    <m/>
    <d v="2057-02-28T00:00:00"/>
    <n v="12215"/>
    <s v="B+"/>
    <s v="MBA-2023 , BE-2021 , Intermediate-2017 ,"/>
    <s v=""/>
    <s v="00.03"/>
    <s v="00.03"/>
    <s v="70495712"/>
    <s v="Logistics"/>
    <s v="302237"/>
    <s v="Management Trainee - Procurement"/>
    <s v="Hazira"/>
    <s v="0031950048"/>
    <s v="HZ-Procurment Depart"/>
    <s v="2000HWO"/>
    <s v="20055688"/>
    <s v="Vibhavana Jaiswal"/>
    <s v="No"/>
    <s v="nikhil.bhad@amns.in"/>
    <s v="7757936535"/>
    <s v="892318"/>
    <s v="Dhruv Vyas"/>
    <s v="Anil Matoo"/>
    <s v="Praveen Kuruvalli"/>
    <s v="Dhruv Vyas"/>
    <n v="0"/>
  </r>
  <r>
    <n v="7120"/>
    <n v="20059463"/>
    <s v="Srijan Negi"/>
    <s v="AM/NS India"/>
    <s v="Onroll"/>
    <s v="T-2 (MT)"/>
    <n v="13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Management Trainee - Finance"/>
    <m/>
    <s v="Finance &amp; Accounts"/>
    <s v="Working Capital"/>
    <s v=""/>
    <s v="Non Technical Support"/>
    <s v=""/>
    <s v=""/>
    <s v=""/>
    <s v=""/>
    <s v="Mumbai"/>
    <d v="2000-09-19T00:00:00"/>
    <s v="23.00"/>
    <d v="2023-05-29T00:00:00"/>
    <d v="2058-09-30T00:00:00"/>
    <m/>
    <d v="2058-09-30T00:00:00"/>
    <n v="12794"/>
    <s v="AB-"/>
    <s v="MBA-2023 , BCom-2021 , Intermediate-2019"/>
    <s v=""/>
    <s v="00.03"/>
    <s v="00.03"/>
    <s v="70494931"/>
    <s v="Working Capital"/>
    <s v="302223"/>
    <s v="Management Trainee - Finance"/>
    <s v="Corporate"/>
    <s v="0090000028"/>
    <s v="Corporate Steel - Wo"/>
    <s v="2000CS"/>
    <s v="20055188"/>
    <s v="Rohit Sharma"/>
    <s v="No"/>
    <s v="srijan.negi@amns.in"/>
    <s v="7007797619"/>
    <s v="892328"/>
    <s v="Dhruv Vyas"/>
    <s v="Anil Matoo"/>
    <s v="Praveen Kuruvalli"/>
    <s v="Dhruv Vyas"/>
    <n v="0"/>
  </r>
  <r>
    <n v="7121"/>
    <n v="20059464"/>
    <s v="Saurabh Ingavale"/>
    <s v="AM/NS India"/>
    <s v="Onroll"/>
    <s v="T-2 (MT)"/>
    <n v="13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Management Trainee - Procurement"/>
    <m/>
    <s v="Capex Procurement"/>
    <s v=""/>
    <s v=""/>
    <s v="Non Technical Support"/>
    <s v=""/>
    <s v=""/>
    <s v=""/>
    <s v=""/>
    <s v="Hazira"/>
    <d v="1996-03-12T00:00:00"/>
    <s v="27.06"/>
    <d v="2023-05-29T00:00:00"/>
    <d v="2054-03-31T00:00:00"/>
    <m/>
    <d v="2054-03-31T00:00:00"/>
    <n v="11150"/>
    <s v="B+"/>
    <s v="MBA-2023 , BE-2017 , Intermediate-2013"/>
    <s v="02.03"/>
    <s v="00.03"/>
    <s v="02.06"/>
    <s v="70282830"/>
    <s v="Capex Procurement &amp; Secondary Sales"/>
    <s v="302236"/>
    <s v="Management Trainee - Procurement"/>
    <s v="Hazira"/>
    <s v="0031950059"/>
    <s v="HZ-Hazira Project"/>
    <s v="2000HWO"/>
    <s v="20052261"/>
    <s v="Aruni Mishra"/>
    <s v="No"/>
    <s v="saurabh.ingavale@amns.in"/>
    <s v="6358079760"/>
    <s v="892333"/>
    <s v="Dhruv Vyas"/>
    <s v="Anil Matoo"/>
    <s v="Praveen Kuruvalli"/>
    <s v="Dhruv Vyas"/>
    <n v="0"/>
  </r>
  <r>
    <n v="7122"/>
    <n v="20059465"/>
    <s v="Parvathy B"/>
    <s v="AM/NS India"/>
    <s v="Onroll"/>
    <s v="T-2 (MT)"/>
    <n v="13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Operations"/>
    <s v="Operations"/>
    <s v="72103001"/>
    <s v="Operations"/>
    <s v="Mumbai"/>
    <d v="1998-01-14T00:00:00"/>
    <s v="25.08"/>
    <d v="2023-05-29T00:00:00"/>
    <d v="2056-01-31T00:00:00"/>
    <m/>
    <d v="2056-01-31T00:00:00"/>
    <n v="11821"/>
    <s v="O+"/>
    <s v=""/>
    <s v=""/>
    <s v="00.03"/>
    <s v="00.03"/>
    <s v="70343195"/>
    <s v="Automotive Sales &amp; Service Centers"/>
    <s v="300900"/>
    <s v="Management Trainee - Sales &amp; Marketing"/>
    <s v="Corporate"/>
    <s v="0031950057"/>
    <s v="HZ-HRC - Marketing"/>
    <s v="2000CS"/>
    <s v="20016767"/>
    <s v="Raghavan Venkatachalam"/>
    <s v="No"/>
    <s v="parvarthy.b@amns.in"/>
    <s v="8289972238"/>
    <s v="1053567"/>
    <s v="Dhruv Vyas"/>
    <s v="Anil Matoo"/>
    <s v="Praveen Kuruvalli"/>
    <s v="Dhruv Vyas"/>
    <n v="0"/>
  </r>
  <r>
    <n v="7123"/>
    <n v="20059466"/>
    <s v="Sridharan S"/>
    <s v="AM/NS India"/>
    <s v="Onroll"/>
    <s v="T-2 (MT)"/>
    <n v="13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Sales &amp; Marketing"/>
    <s v="Sales &amp; Marketing"/>
    <s v="73101001"/>
    <s v="Sales &amp; Marketing"/>
    <s v="Chennai"/>
    <d v="2001-03-29T00:00:00"/>
    <s v="22.05"/>
    <d v="2023-05-29T00:00:00"/>
    <d v="2059-03-31T00:00:00"/>
    <m/>
    <d v="2059-03-31T00:00:00"/>
    <n v="12976"/>
    <s v="A+"/>
    <s v=""/>
    <s v=""/>
    <s v="00.03"/>
    <s v="00.03"/>
    <s v="72150150"/>
    <s v="Sales South Zone"/>
    <s v="301589"/>
    <s v="Management Trainee - Sales &amp; Marketing"/>
    <s v="Service Center"/>
    <s v="0031950057"/>
    <s v="HZ-HRC - Marketing"/>
    <s v="2000CS"/>
    <s v="20000909"/>
    <s v="Murali Krishna Chunduru"/>
    <s v="No"/>
    <s v="sridharan.s@amns.in"/>
    <s v="7092675620"/>
    <s v="1053580"/>
    <s v="Dhruv Vyas"/>
    <s v="Anil Matoo"/>
    <s v="Praveen Kuruvalli"/>
    <s v="Dhruv Vyas"/>
    <n v="0"/>
  </r>
  <r>
    <n v="7124"/>
    <n v="20059467"/>
    <s v="Akshay Kumar P D"/>
    <s v="AM/NS India"/>
    <s v="Onroll"/>
    <s v="T-2 (MT)"/>
    <n v="13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"/>
    <s v=""/>
    <s v=""/>
    <s v=""/>
    <s v="Mumbai"/>
    <d v="1996-05-24T00:00:00"/>
    <s v="27.03"/>
    <d v="2023-05-29T00:00:00"/>
    <d v="2054-05-31T00:00:00"/>
    <m/>
    <d v="2054-05-31T00:00:00"/>
    <n v="11211"/>
    <s v="B+"/>
    <s v=""/>
    <s v=""/>
    <s v="00.03"/>
    <s v="00.03"/>
    <s v="70494655"/>
    <s v="Sales Steering, Distribution and BD"/>
    <s v="302221"/>
    <s v="Management Trainee - Sales &amp; Marketing"/>
    <s v="Corporate"/>
    <s v="0080000005"/>
    <s v="Global Markets Team"/>
    <s v="2000CS"/>
    <s v="20055091"/>
    <s v="Akshaya Gujral"/>
    <s v="No"/>
    <s v="akshay.kumar1@amns.in"/>
    <s v="7710001719"/>
    <s v="1053610"/>
    <s v="Dhruv Vyas"/>
    <s v="Anil Matoo"/>
    <s v="Praveen Kuruvalli"/>
    <s v="Dhruv Vyas"/>
    <n v="0"/>
  </r>
  <r>
    <n v="7125"/>
    <n v="20059468"/>
    <s v="Abhay Hoshing"/>
    <s v="AM/NS India"/>
    <s v="Onroll"/>
    <s v="T-2 (MT)"/>
    <n v="13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Management Trainee - Finance"/>
    <m/>
    <s v="Finance &amp; Accounts"/>
    <s v="Working Capital"/>
    <s v=""/>
    <s v="Non Technical Support"/>
    <s v="Sales &amp; Marketing"/>
    <s v="Business Development"/>
    <s v="73103001"/>
    <s v="Business Development"/>
    <s v="Mumbai"/>
    <d v="1994-06-29T00:00:00"/>
    <s v="29.02"/>
    <d v="2023-05-29T00:00:00"/>
    <d v="2052-06-30T00:00:00"/>
    <m/>
    <d v="2052-06-30T00:00:00"/>
    <n v="10511"/>
    <s v="B+"/>
    <s v=""/>
    <s v=""/>
    <s v="00.03"/>
    <s v="00.03"/>
    <s v="70494931"/>
    <s v="Working Capital"/>
    <s v="301672"/>
    <s v="Management Trainee - Finance"/>
    <s v="Corporate"/>
    <s v="0090000028"/>
    <s v="Corporate Steel - Wo"/>
    <s v="2000HWO"/>
    <s v="20055188"/>
    <s v="Rohit Sharma"/>
    <s v="No"/>
    <s v="abhay.hoshing@amns.in"/>
    <s v="7708262619"/>
    <s v="1053612"/>
    <s v="Dhruv Vyas"/>
    <s v="Anil Matoo"/>
    <s v="Praveen Kuruvalli"/>
    <s v="Dhruv Vyas"/>
    <n v="0"/>
  </r>
  <r>
    <n v="7126"/>
    <n v="20059469"/>
    <s v="Jayant Dev Goel"/>
    <s v="AM/NS India"/>
    <s v="Onroll"/>
    <s v="T-2 (MT)"/>
    <n v="13"/>
    <m/>
    <s v="JM"/>
    <s v="M"/>
    <s v="Corporate"/>
    <n v="7"/>
    <s v="2069"/>
    <x v="8"/>
    <s v="25.01"/>
    <s v="Bibek Chattopadhyay"/>
    <s v="Ashutosh Telang"/>
    <n v="6"/>
    <s v="HR &amp; Administration"/>
    <s v="Corporate Communications"/>
    <s v="25"/>
    <s v="MT - Corporate Communication"/>
    <m/>
    <s v="Corporate Communicat"/>
    <s v=""/>
    <s v=""/>
    <s v="Non Technical Support"/>
    <s v="Corporate Communication"/>
    <s v="Corporate Communication"/>
    <s v="74001001"/>
    <s v="Corporate Communication"/>
    <s v="Mumbai"/>
    <d v="1999-08-24T00:00:00"/>
    <s v="24.00"/>
    <d v="2023-05-29T00:00:00"/>
    <d v="2057-08-31T00:00:00"/>
    <m/>
    <d v="2057-08-31T00:00:00"/>
    <n v="12399"/>
    <s v="O+"/>
    <s v=""/>
    <s v=""/>
    <s v="00.03"/>
    <s v="00.03"/>
    <s v="70318583"/>
    <s v="Communications &amp; Media Relations"/>
    <s v="301670"/>
    <s v="Management Trainee-Corpo. Communication"/>
    <s v="Corporate"/>
    <s v="0090000016"/>
    <s v="Corporate Steel - Co"/>
    <s v="2000CS"/>
    <s v="20055187"/>
    <s v="Bibek Chattopadhyay"/>
    <s v="No"/>
    <s v="jayant.goel@amns.in"/>
    <s v="9501020285"/>
    <s v="1053615"/>
    <s v="Dhruv Vyas"/>
    <s v="Anil Matoo"/>
    <s v="Praveen Kuruvalli"/>
    <s v="Dhruv Vyas"/>
    <n v="0"/>
  </r>
  <r>
    <n v="7127"/>
    <n v="20059470"/>
    <s v="Akhil Sharma"/>
    <s v="AM/NS India"/>
    <s v="Onroll"/>
    <s v="T-2 (MT)"/>
    <n v="13"/>
    <m/>
    <s v="JM"/>
    <s v="M"/>
    <s v="Corporate"/>
    <n v="7"/>
    <s v="2043"/>
    <x v="3"/>
    <s v="31.01"/>
    <s v="Hrishikesh Kamat"/>
    <s v="Hrishikesh Kamat"/>
    <n v="7"/>
    <s v="Procurement"/>
    <s v="Procurement"/>
    <s v="31"/>
    <s v="Management Trainee - Procurement"/>
    <m/>
    <s v="Procurement"/>
    <s v=""/>
    <s v=""/>
    <s v="Non Technical Support"/>
    <s v="Sales &amp; Marketing"/>
    <s v="Business Development"/>
    <s v="73103001"/>
    <s v="Business Development"/>
    <s v="Mumbai"/>
    <d v="1997-10-11T00:00:00"/>
    <s v="25.11"/>
    <d v="2023-05-29T00:00:00"/>
    <d v="2055-10-31T00:00:00"/>
    <m/>
    <d v="2055-10-31T00:00:00"/>
    <n v="11729"/>
    <s v="A-"/>
    <s v=""/>
    <s v=""/>
    <s v="00.03"/>
    <s v="00.03"/>
    <s v="70494637"/>
    <s v="Procurement"/>
    <s v="301671"/>
    <s v="Management Trainee - Procurement"/>
    <s v="Corporate"/>
    <s v="0031950048"/>
    <s v="HZ-Procurment Depart"/>
    <s v="2000CRG"/>
    <s v="20055090"/>
    <s v="Hrishikesh Kamat"/>
    <s v="No"/>
    <s v="akhil.sharma@amns.in"/>
    <s v="9040861106"/>
    <s v="1053617"/>
    <s v="Dhruv Vyas"/>
    <s v="Anil Matoo"/>
    <s v="Praveen Kuruvalli"/>
    <s v="Dhruv Vyas"/>
    <n v="0"/>
  </r>
  <r>
    <n v="7128"/>
    <n v="20059471"/>
    <s v="Srinadhu Bhimesh Kumar"/>
    <s v="AM/NS India"/>
    <s v="Onroll"/>
    <s v="T-2 (MT)"/>
    <n v="13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"/>
    <s v=""/>
    <s v=""/>
    <s v=""/>
    <s v="Mumbai"/>
    <d v="1995-12-29T00:00:00"/>
    <s v="27.08"/>
    <d v="2023-05-29T00:00:00"/>
    <d v="2053-12-31T00:00:00"/>
    <m/>
    <d v="2053-12-31T00:00:00"/>
    <n v="11060"/>
    <s v="O+"/>
    <s v=""/>
    <s v=""/>
    <s v="00.03"/>
    <s v="00.03"/>
    <s v="00052527"/>
    <s v="Sales &amp; Marketing"/>
    <s v="302222"/>
    <s v="Management Trainee - Sales &amp; Marketing"/>
    <s v="Corporate"/>
    <s v="0031950048"/>
    <s v="HZ-Procurment Depart"/>
    <s v="2000CRG"/>
    <s v="20058930"/>
    <s v="Robin Kurien"/>
    <s v="No"/>
    <s v="srinadhu.kumar@amns.in"/>
    <s v="9701686749"/>
    <s v="1053619"/>
    <s v="Dhruv Vyas"/>
    <s v="Anil Matoo"/>
    <s v="Praveen Kuruvalli"/>
    <s v="Dhruv Vyas"/>
    <n v="0"/>
  </r>
  <r>
    <n v="7129"/>
    <n v="20059472"/>
    <s v="Muskaan Garg"/>
    <s v="AM/NS India"/>
    <s v="Onroll"/>
    <s v="T-2 (MT)"/>
    <n v="13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Mechanical"/>
    <s v="LSAW"/>
    <s v="Non Technical Support"/>
    <s v=""/>
    <s v=""/>
    <s v=""/>
    <s v=""/>
    <s v="Mumbai"/>
    <d v="2000-04-10T00:00:00"/>
    <s v="23.05"/>
    <d v="2023-05-29T00:00:00"/>
    <d v="2058-04-30T00:00:00"/>
    <m/>
    <d v="2058-04-30T00:00:00"/>
    <n v="12641"/>
    <s v="A+"/>
    <s v="MBA-2023 , BSc-2021 , BSc-2021 , Interme"/>
    <s v=""/>
    <s v="00.03"/>
    <s v="00.03"/>
    <s v="00051380"/>
    <s v="Sales &amp; Marketing"/>
    <s v="311297"/>
    <s v="Management Trainee - Sales &amp; Marketing"/>
    <s v="Corporate"/>
    <s v="0031591619"/>
    <s v="PM-Common Cost"/>
    <s v="2000CS"/>
    <s v="20058920"/>
    <s v="Atul Singh"/>
    <s v="No"/>
    <s v="muskaan.garg@amns.in"/>
    <s v="8826488454"/>
    <s v="892309"/>
    <s v="Dhruv Vyas"/>
    <s v="Anil Matoo"/>
    <s v="Praveen Kuruvalli"/>
    <s v="Dhruv Vyas"/>
    <n v="0"/>
  </r>
  <r>
    <n v="7130"/>
    <n v="20059473"/>
    <s v="S Srinivash Patro"/>
    <s v="AM/NS India"/>
    <s v="Onroll"/>
    <s v="M-7"/>
    <n v="7"/>
    <m/>
    <s v="MM"/>
    <s v="M"/>
    <s v="Odisha"/>
    <n v="2"/>
    <s v="2099"/>
    <x v="19"/>
    <s v="02.01"/>
    <s v="Raghavan Aravamudhan"/>
    <s v="Dilip Oommen"/>
    <n v="1"/>
    <s v="CEO Office"/>
    <s v="Business Strategy"/>
    <s v="02"/>
    <s v="Lead PMO Analyst"/>
    <m/>
    <s v="Business Strategy"/>
    <s v="Business Strategy"/>
    <s v="Business Strategy"/>
    <s v="Non Technical Support"/>
    <s v="Operations"/>
    <s v="Operations"/>
    <s v="72103001"/>
    <s v="Operations"/>
    <s v="Bhubaneswar"/>
    <d v="1989-01-26T00:00:00"/>
    <s v="34.07"/>
    <d v="2023-05-29T00:00:00"/>
    <d v="2047-01-31T00:00:00"/>
    <m/>
    <d v="2047-01-31T00:00:00"/>
    <n v="8534"/>
    <s v="O+"/>
    <s v="PG Diploma-2016 , BTech-2011 , Intermedi"/>
    <s v="01.04"/>
    <s v="00.03"/>
    <s v="01.07"/>
    <s v="00046538"/>
    <s v="Project Monitoring"/>
    <s v="311446"/>
    <s v="Lead PMO Analyst"/>
    <s v="Odisha"/>
    <s v="0090000022"/>
    <s v="Business Strategy"/>
    <s v="2000STORIS"/>
    <s v="20049281"/>
    <s v="Raveena Dhoot"/>
    <s v="No"/>
    <s v="srinivash.patro@amns.in"/>
    <s v="9019236907"/>
    <s v="1053956"/>
    <s v="Sunila Das"/>
    <s v="Anil Matoo"/>
    <s v="Praveen Kuruvalli"/>
    <s v="Sunila Das"/>
    <n v="0"/>
  </r>
  <r>
    <n v="7133"/>
    <n v="20059476"/>
    <s v="Jayesh Jhawar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Corporate Accounts"/>
    <m/>
    <s v="Finance &amp; Accounts"/>
    <s v=""/>
    <s v=""/>
    <s v="Non Technical Support"/>
    <s v=""/>
    <s v=""/>
    <s v=""/>
    <s v=""/>
    <s v="Hazira"/>
    <d v="2000-03-29T00:00:00"/>
    <s v="23.05"/>
    <d v="2023-06-12T00:00:00"/>
    <d v="2058-03-31T00:00:00"/>
    <m/>
    <d v="2058-03-31T00:00:00"/>
    <n v="12611"/>
    <s v="A+"/>
    <s v="BCom-2021 , Intermediate-2016"/>
    <s v="00.08"/>
    <s v="00.03"/>
    <s v="00.11"/>
    <s v="70495666"/>
    <s v="Corporate Asset Management"/>
    <s v="70495599"/>
    <s v="Officer - Corporate Accounts"/>
    <s v="Hazira"/>
    <s v="0090000027"/>
    <s v="Corporate Steel - Ac"/>
    <s v="2000HWO"/>
    <s v="20045482"/>
    <s v="Sandeep Soni"/>
    <s v="No"/>
    <s v="jayesh.jhawar@amns.in"/>
    <s v="8320434531"/>
    <s v="1054010"/>
    <s v="Dhruv Vyas"/>
    <s v="Anil Matoo"/>
    <s v="Praveen Kuruvalli"/>
    <s v="Dhruv Vyas"/>
    <n v="0"/>
  </r>
  <r>
    <n v="7134"/>
    <n v="20059477"/>
    <s v="Jasmin Karena"/>
    <s v="AM/NS India"/>
    <s v="Onroll"/>
    <s v="M-8"/>
    <n v="8"/>
    <m/>
    <s v="JM"/>
    <s v="M"/>
    <s v="Hazira"/>
    <n v="1"/>
    <s v="2270"/>
    <x v="25"/>
    <s v="38.01"/>
    <s v="Hrishikesh Kamat"/>
    <s v="Hrishikesh Kamat"/>
    <n v="7"/>
    <s v="Procurement"/>
    <s v="Logistics"/>
    <s v="38"/>
    <s v="Lead – Logistics (Air Shipment)"/>
    <m/>
    <s v="Logistics – Commercial"/>
    <s v=""/>
    <s v=""/>
    <s v="Non Technical Support"/>
    <s v=""/>
    <s v=""/>
    <s v=""/>
    <s v=""/>
    <s v="Hazira"/>
    <d v="1989-02-05T00:00:00"/>
    <s v="34.07"/>
    <d v="2023-06-15T00:00:00"/>
    <d v="2047-02-28T00:00:00"/>
    <m/>
    <d v="2047-02-28T00:00:00"/>
    <n v="8562"/>
    <s v="O+"/>
    <s v="MBA-2013 , Intermediate-2007"/>
    <s v="07.03"/>
    <s v="00.03"/>
    <s v="07.06"/>
    <s v="70495712"/>
    <s v="Logistics"/>
    <s v="305370"/>
    <s v="Lead – Logistics (Air Shipment)"/>
    <s v="Hazira"/>
    <s v="0031950053"/>
    <s v="HZ-Logistics"/>
    <s v="2000HWO"/>
    <s v="20055688"/>
    <s v="Vibhavana Jaiswal"/>
    <s v="No"/>
    <s v="jasmin.karena@amns.in"/>
    <s v="9428894746"/>
    <s v="1054768"/>
    <s v="Dhruv Vyas"/>
    <s v="Anil Matoo"/>
    <s v="Praveen Kuruvalli"/>
    <s v="Dhruv Vyas"/>
    <n v="0"/>
  </r>
  <r>
    <n v="7135"/>
    <n v="20059478"/>
    <s v="Medha Kumari"/>
    <s v="AM/NS India"/>
    <s v="Onroll"/>
    <s v="M-9"/>
    <n v="9"/>
    <m/>
    <s v="JM"/>
    <s v="F"/>
    <s v="Corporate"/>
    <n v="7"/>
    <s v="2069"/>
    <x v="8"/>
    <s v="25.01"/>
    <s v="Bibek Chattopadhyay"/>
    <s v="Ashutosh Telang"/>
    <n v="6"/>
    <s v="HR &amp; Administration"/>
    <s v="Corporate Communications"/>
    <s v="25"/>
    <s v="Officer - Corporate Communication"/>
    <m/>
    <s v="Corporate Communicat"/>
    <s v=""/>
    <s v=""/>
    <s v="Non Technical Support"/>
    <s v="Corporate Communication"/>
    <s v="Corporate Communication"/>
    <s v="74001001"/>
    <s v="Corporate Communication"/>
    <s v="Mumbai"/>
    <d v="1999-10-02T00:00:00"/>
    <s v="23.11"/>
    <d v="2023-06-12T00:00:00"/>
    <d v="2057-10-31T00:00:00"/>
    <m/>
    <d v="2057-10-31T00:00:00"/>
    <n v="12460"/>
    <s v="O+"/>
    <s v="BCom-2019"/>
    <s v=""/>
    <s v="00.03"/>
    <s v="00.03"/>
    <s v="70318583"/>
    <s v="Communications &amp; Media Relations"/>
    <s v="272985"/>
    <s v="Officer - Corporate Communication"/>
    <s v="Corporate"/>
    <s v="0090000016"/>
    <s v="Corporate Steel - Co"/>
    <s v="2000CRG"/>
    <s v="20055187"/>
    <s v="Bibek Chattopadhyay"/>
    <s v="No"/>
    <s v="medha.kumari@amns.in"/>
    <s v="9523705964"/>
    <s v="1054913"/>
    <s v="Dhruv Vyas"/>
    <s v="Anil Matoo"/>
    <s v="Praveen Kuruvalli"/>
    <s v="Dhruv Vyas"/>
    <n v="0"/>
  </r>
  <r>
    <n v="7146"/>
    <n v="20059489"/>
    <s v="Aayushi Jain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Finance &amp; Accounts"/>
    <m/>
    <s v="Finance &amp; Accounts"/>
    <s v="Service Centers"/>
    <s v=""/>
    <s v="Non Technical Support"/>
    <s v="Projects"/>
    <s v="Projects Coordination"/>
    <s v="72103038"/>
    <s v="Projects Coordination"/>
    <s v="Hazira"/>
    <d v="1999-01-27T00:00:00"/>
    <s v="24.07"/>
    <d v="2023-06-19T00:00:00"/>
    <d v="2057-01-31T00:00:00"/>
    <m/>
    <d v="2057-01-31T00:00:00"/>
    <n v="12187"/>
    <s v="A+"/>
    <s v="BCom-2020 , CA Final-2023 , Intermediate"/>
    <s v=""/>
    <s v="00.03"/>
    <s v="00.03"/>
    <s v="70495565"/>
    <s v="F&amp;A Hypermart &amp; Service Centre"/>
    <s v="272364"/>
    <s v="Officer - Finance &amp; Accounts"/>
    <s v="Hazira"/>
    <s v="0040000000"/>
    <s v="SC - Common"/>
    <s v="2000HWO"/>
    <s v="20055504"/>
    <s v="Vivek Choudhary"/>
    <s v="No"/>
    <s v="aayushi.jain@amns.in"/>
    <s v="8302957922"/>
    <s v="1055538"/>
    <s v="Dhruv Vyas"/>
    <s v="Anil Matoo"/>
    <s v="Praveen Kuruvalli"/>
    <s v="Dhruv Vyas"/>
    <n v="0"/>
  </r>
  <r>
    <n v="7147"/>
    <n v="20059490"/>
    <s v="Saurabh Nalway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Pipe Sales"/>
    <m/>
    <s v="Sales &amp; Marketing"/>
    <s v=""/>
    <s v=""/>
    <s v="Non Technical Support"/>
    <s v="Sales &amp; Marketing"/>
    <s v="Sales &amp; Marketing"/>
    <s v="73101001"/>
    <s v="Sales &amp; Marketing"/>
    <s v="Delhi"/>
    <d v="1982-08-04T00:00:00"/>
    <s v="41.01"/>
    <d v="2023-06-19T00:00:00"/>
    <d v="2040-08-31T00:00:00"/>
    <m/>
    <d v="2040-08-31T00:00:00"/>
    <n v="6190"/>
    <s v=""/>
    <s v="BTech-2005 , Intermediate-2000"/>
    <s v="15.00"/>
    <s v="00.03"/>
    <s v="15.02"/>
    <s v="70387159"/>
    <s v="Pipe Sales"/>
    <s v="312029"/>
    <s v="KAM - Pipe Sales"/>
    <s v="Hazira"/>
    <s v="0031591982"/>
    <s v="PM-Marketing"/>
    <s v="2000HWO"/>
    <s v="20007414"/>
    <s v="Gaurav Sharma"/>
    <s v="No"/>
    <s v="saurabh.nalwaya@amns.in"/>
    <s v="9999914262"/>
    <s v="889972"/>
    <s v="Dhruv Vyas"/>
    <s v="Anil Matoo"/>
    <s v="Praveen Kuruvalli"/>
    <s v="Dhruv Vyas"/>
    <n v="0"/>
  </r>
  <r>
    <n v="7150"/>
    <n v="20059493"/>
    <s v="Jaiyamin Vaghasiya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"/>
    <s v=""/>
    <s v=""/>
    <s v="Non Technical Support"/>
    <s v="Sales &amp; Marketing"/>
    <s v="Sales &amp; Marketing"/>
    <s v="73101001"/>
    <s v="Sales &amp; Marketing"/>
    <s v="Hazira"/>
    <d v="2001-07-07T00:00:00"/>
    <s v="22.02"/>
    <d v="2023-06-14T00:00:00"/>
    <d v="2059-07-31T00:00:00"/>
    <m/>
    <d v="2059-07-31T00:00:00"/>
    <n v="13098"/>
    <s v=""/>
    <s v=""/>
    <s v=""/>
    <s v="00.03"/>
    <s v="00.03"/>
    <s v="00049515"/>
    <s v="Capex Procurement"/>
    <s v="301541"/>
    <s v="Engineer"/>
    <s v="Hazira"/>
    <s v="0031490019"/>
    <s v="CRM- ADMIN/HR/OTHER"/>
    <s v="2043HAZI"/>
    <s v="20054320"/>
    <s v="Sanjaykumar Kanani"/>
    <s v="No"/>
    <s v="jaiyamin.vaghasiya@amns.in"/>
    <s v="9909902199"/>
    <s v="26542"/>
    <s v="Dhruv Vyas"/>
    <s v="Anil Matoo"/>
    <s v="Praveen Kuruvalli"/>
    <s v="Dhruv Vyas"/>
    <n v="0"/>
  </r>
  <r>
    <n v="7205"/>
    <n v="20059548"/>
    <s v="Jayanti Chhajer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m/>
    <m/>
    <s v="Non Technical Support"/>
    <s v="Operations"/>
    <s v="Operations"/>
    <s v="72103001"/>
    <s v="Operations"/>
    <s v="Khopoli"/>
    <d v="1991-03-28T00:00:00"/>
    <s v="32.05"/>
    <d v="2023-06-23T00:00:00"/>
    <d v="2051-03-31T00:00:00"/>
    <m/>
    <d v="2051-03-31T00:00:00"/>
    <n v="10054"/>
    <s v="O+"/>
    <s v="CS-2014 , BCom-2012"/>
    <s v="02.05"/>
    <s v="00.02"/>
    <s v="02.07"/>
    <s v="00051333"/>
    <s v="Corporate Accounts &amp; Global Reporting"/>
    <s v="305127"/>
    <s v="New Acquisition"/>
    <s v="Khopoli staff"/>
    <s v="0031000019"/>
    <s v="HZ-MH-ADMN/HR/COM"/>
    <s v="1121KHOP"/>
    <s v="20058804"/>
    <s v="Roy Jose"/>
    <s v="No"/>
    <s v="jayanti.chhajer@amns.in"/>
    <s v="9829145666"/>
    <s v="1057138"/>
    <s v="Pritam Debbarma"/>
    <s v="Anil Matoo"/>
    <s v="-"/>
    <s v="Manjit Shah"/>
    <s v="-"/>
  </r>
  <r>
    <n v="7215"/>
    <n v="20059558"/>
    <s v="Soumya Nayak"/>
    <s v="AM/NS India"/>
    <s v="Onroll"/>
    <s v="M-8"/>
    <n v="8"/>
    <m/>
    <s v="JM"/>
    <s v="M"/>
    <s v="Odisha"/>
    <n v="2"/>
    <s v="2094"/>
    <x v="21"/>
    <s v="27.10"/>
    <s v="Vikas Chandra Yadvendu"/>
    <s v="Ashutosh Telang"/>
    <n v="6"/>
    <s v="HR &amp; Administration"/>
    <s v="Corporate SocialResponsibility"/>
    <s v="27"/>
    <s v="Lead CSR - Program"/>
    <m/>
    <s v="Corporate Social Responsibility"/>
    <s v="CSR"/>
    <s v="CSR"/>
    <s v="Non Technical Support"/>
    <s v="Corporate Social Responsibility"/>
    <s v="Corporate Social Responsibility"/>
    <s v="75001001"/>
    <s v="Corporate Social Responsi"/>
    <s v="Bhubaneswar"/>
    <d v="1988-03-26T00:00:00"/>
    <s v="35.05"/>
    <d v="2023-06-19T00:00:00"/>
    <d v="2046-03-31T00:00:00"/>
    <m/>
    <d v="2046-03-31T00:00:00"/>
    <n v="8228"/>
    <s v="B+"/>
    <s v="MBA-2017 , BTech-2010"/>
    <s v="04.02"/>
    <s v="00.03"/>
    <s v="04.04"/>
    <s v="70495661"/>
    <s v="Corporate Social Responsibility"/>
    <s v="285719"/>
    <s v="Lead CSR - Program"/>
    <s v="Odisha"/>
    <s v="0022030019"/>
    <s v="PDP-HR &amp; Admn"/>
    <s v="2000STORIS"/>
    <s v="20055033"/>
    <s v="Vikas Chandra Yadvendu"/>
    <s v="No"/>
    <s v="soumya.nayak@amns.in"/>
    <s v="7735891299"/>
    <s v="1057477"/>
    <s v="Sunila Das"/>
    <s v="Anil Matoo"/>
    <s v="Praveen Kuruvalli"/>
    <s v="Sunila Das"/>
    <n v="0"/>
  </r>
  <r>
    <n v="7218"/>
    <n v="20059561"/>
    <s v="Bhavdip Jathal"/>
    <s v="AM/NS India"/>
    <s v="Onroll"/>
    <s v="M-5"/>
    <n v="5"/>
    <m/>
    <s v="MM"/>
    <s v="M"/>
    <s v="Hazira"/>
    <n v="1"/>
    <s v="2039"/>
    <x v="12"/>
    <s v="43.01"/>
    <s v="Sangeeta Munjal"/>
    <s v="Manu Kapoor"/>
    <n v="10"/>
    <s v="Corporate Affairs"/>
    <s v="Corporate Affairs"/>
    <s v="43"/>
    <s v="Head - Land Acquisition"/>
    <m/>
    <s v="Land Acquisition"/>
    <m/>
    <m/>
    <s v="Non Technical Support"/>
    <s v="Commercial"/>
    <s v="Contracts &amp; Tenders and E-bid"/>
    <s v="73805001"/>
    <s v="Contracts &amp; Tenders and E"/>
    <s v="Hazira"/>
    <d v="1966-05-08T00:00:00"/>
    <s v="57.04"/>
    <d v="2023-06-29T00:00:00"/>
    <d v="2024-05-31T00:00:00"/>
    <m/>
    <d v="2024-05-31T00:00:00"/>
    <n v="254"/>
    <s v="B+"/>
    <s v="LLB-1993 , BCom-1987"/>
    <s v="14.11"/>
    <s v="00.02"/>
    <s v="15.01"/>
    <s v="70495436"/>
    <s v="Land Property"/>
    <s v="70411520"/>
    <s v="Head - Land Acquisition"/>
    <s v="Hazira"/>
    <s v="0090000021"/>
    <s v="Corporate Affairs"/>
    <s v="2000HWO"/>
    <s v="20057928"/>
    <s v="Manu Kapoor"/>
    <s v="No"/>
    <s v="bhavdip.jathal@amns.in"/>
    <s v="9898507111"/>
    <s v="1057909"/>
    <s v="Dhruv Vyas"/>
    <s v="Anil Matoo"/>
    <s v="Praveen Kuruvalli"/>
    <s v="Dhruv Vyas"/>
    <n v="0"/>
  </r>
  <r>
    <n v="7220"/>
    <n v="20059564"/>
    <s v="Dilipkumar Purohit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Indirect Tax"/>
    <m/>
    <s v="Finance &amp; Accounts"/>
    <m/>
    <m/>
    <s v="Non Technical Support"/>
    <s v="Finance &amp; Accounts"/>
    <s v="Taxation"/>
    <s v="73904002"/>
    <s v="Indirect Taxation"/>
    <s v="Hazira"/>
    <d v="1989-06-01T00:00:00"/>
    <s v="34.03"/>
    <d v="2023-07-03T00:00:00"/>
    <d v="2047-05-31T00:00:00"/>
    <m/>
    <d v="2047-05-31T00:00:00"/>
    <n v="8654"/>
    <s v="O-"/>
    <s v="MBA-2018"/>
    <s v="00.05"/>
    <s v="00.02"/>
    <s v="00.07"/>
    <s v="70282653"/>
    <s v="GST"/>
    <s v="300856"/>
    <s v="Lead - Indirect Tax"/>
    <s v="Hazira"/>
    <s v="0090000033"/>
    <s v="Corporate Taxation"/>
    <s v="2000HWO"/>
    <s v="20057927"/>
    <s v="Surbhi Kothari"/>
    <s v="No"/>
    <s v="dilip.purohit@amns.in"/>
    <s v="9909748243"/>
    <s v="1058014"/>
    <s v="Dhruv Vyas"/>
    <s v="Anil Matoo"/>
    <s v="Praveen Kuruvalli"/>
    <s v="Dhruv Vyas"/>
    <n v="0"/>
  </r>
  <r>
    <n v="7221"/>
    <n v="20059565"/>
    <s v="Hasan Bilal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Auto Sales, South Region"/>
    <m/>
    <s v="Sales &amp; Marketing"/>
    <m/>
    <m/>
    <s v="Non Technical Support"/>
    <s v="Sales &amp; Marketing"/>
    <s v="Sales"/>
    <s v="73104001"/>
    <s v="Sales"/>
    <s v="Hyderabad"/>
    <d v="1974-08-24T00:00:00"/>
    <s v="49.00"/>
    <d v="2023-07-03T00:00:00"/>
    <d v="2032-08-31T00:00:00"/>
    <m/>
    <d v="2032-08-31T00:00:00"/>
    <n v="3268"/>
    <s v="B+"/>
    <s v="MBA-2004 , BTech-1997"/>
    <s v="16.01"/>
    <s v="00.02"/>
    <s v="16.03"/>
    <s v="70343195"/>
    <s v="Automotive Sales &amp; Service Centers"/>
    <s v="70449086"/>
    <s v="KAM Auto Sales, South Region"/>
    <s v="Hazira"/>
    <s v="0031950057"/>
    <s v="HZ-HRC - Marketing"/>
    <s v="2000HWO"/>
    <s v="20016767"/>
    <s v="Raghavan Venkatachalam"/>
    <s v="No"/>
    <s v="hasan.bilal@amns.in"/>
    <s v="9884812740"/>
    <s v="468525"/>
    <s v="Dhruv Vyas"/>
    <s v="Anil Matoo"/>
    <s v="Praveen Kuruvalli"/>
    <s v="Dhruv Vyas"/>
    <n v="0"/>
  </r>
  <r>
    <n v="7222"/>
    <n v="20059566"/>
    <s v="Jigar Upadhyay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Officer - Stores &amp; Warehouse"/>
    <m/>
    <s v="Stores &amp; Warehouse"/>
    <s v="Stores &amp; Warehouse"/>
    <m/>
    <s v="Non Technical Support"/>
    <s v="Commercial"/>
    <s v="Stores &amp; Warehouse"/>
    <s v="73806001"/>
    <s v="Stores &amp; Warehouse"/>
    <s v="Hazira"/>
    <d v="1988-02-17T00:00:00"/>
    <s v="35.07"/>
    <d v="2023-07-03T00:00:00"/>
    <d v="2046-02-28T00:00:00"/>
    <m/>
    <d v="2046-02-28T00:00:00"/>
    <n v="8197"/>
    <s v="AB+"/>
    <s v="PG Diploma-2011 , MCom-2010"/>
    <s v="10.11"/>
    <s v="00.02"/>
    <s v="11.01"/>
    <s v="00044541"/>
    <s v="HRC Store - Receipt"/>
    <s v="70372617"/>
    <s v="Officer - Stores &amp; Warehouse"/>
    <s v="Hazira"/>
    <s v="0031950049"/>
    <s v="HZ-Central Stores"/>
    <s v="2000HWO"/>
    <s v="20005047"/>
    <s v="Rajeev Jha"/>
    <s v="No"/>
    <s v="jigar.upadhyay@amns.in"/>
    <s v="6358080831"/>
    <s v="1058190"/>
    <s v="Dhruv Vyas"/>
    <s v="Anil Matoo"/>
    <s v="Praveen Kuruvalli"/>
    <s v="Dhruv Vyas"/>
    <n v="0"/>
  </r>
  <r>
    <n v="7223"/>
    <n v="20059567"/>
    <s v="Khanjan Gajiwala"/>
    <s v="AM/NS India"/>
    <s v="Onroll"/>
    <s v="M-9"/>
    <n v="9"/>
    <m/>
    <s v="J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– Automotive Sales"/>
    <m/>
    <s v="Sales &amp; Marketing"/>
    <m/>
    <m/>
    <s v="Non Technical Support"/>
    <s v=""/>
    <s v=""/>
    <s v=""/>
    <s v=""/>
    <s v="Ahmedabad"/>
    <d v="1999-01-19T00:00:00"/>
    <s v="24.08"/>
    <d v="2023-07-06T00:00:00"/>
    <d v="2057-01-31T00:00:00"/>
    <m/>
    <d v="2057-01-31T00:00:00"/>
    <n v="12187"/>
    <s v="B+"/>
    <s v="MBA-2022 , BCom-2019"/>
    <s v="01.01"/>
    <s v="00.02"/>
    <s v="01.03"/>
    <s v="70265035"/>
    <s v="Value Recovery"/>
    <s v="305331"/>
    <s v="Sales Manager – Automotive Sales"/>
    <s v="Hazira"/>
    <s v="0060110300"/>
    <s v="HMART-Guj-Ahemedabad"/>
    <s v="2000HWO"/>
    <s v="20016382"/>
    <s v="Kunal Bhardwaj"/>
    <s v="No"/>
    <s v="khanjan.gajiwala@amns.in"/>
    <s v="7698432577"/>
    <s v="1058319"/>
    <s v="Dhruv Vyas"/>
    <s v="Anil Matoo"/>
    <s v="Praveen Kuruvalli"/>
    <s v="Dhruv Vyas"/>
    <n v="0"/>
  </r>
  <r>
    <n v="7224"/>
    <n v="20059568"/>
    <s v="Merubhai Odedara"/>
    <s v="AM/NS India"/>
    <s v="Onroll"/>
    <s v="M-8"/>
    <n v="8"/>
    <m/>
    <s v="JM"/>
    <s v="M"/>
    <s v="Hazira"/>
    <n v="1"/>
    <s v="2039"/>
    <x v="12"/>
    <s v="43.01"/>
    <s v="Sangeeta Munjal"/>
    <s v="Manu Kapoor"/>
    <n v="10"/>
    <s v="Corporate Affairs"/>
    <s v="Corporate Affairs"/>
    <s v="43"/>
    <s v="Land Records - Specialist"/>
    <m/>
    <s v="Land Acquisition"/>
    <m/>
    <m/>
    <s v="Non Technical Support"/>
    <s v="Corporate Relations"/>
    <s v="Corporate Affairs"/>
    <s v="74501001"/>
    <s v="Corporate Affairs"/>
    <s v="Hazira"/>
    <d v="1994-01-29T00:00:00"/>
    <s v="29.07"/>
    <d v="2023-07-05T00:00:00"/>
    <d v="2052-01-31T00:00:00"/>
    <m/>
    <d v="2052-01-31T00:00:00"/>
    <n v="10360"/>
    <s v="O+"/>
    <s v="Intermediate-2011 , Intermediate-2009"/>
    <s v="05.02"/>
    <s v="00.02"/>
    <s v="05.04"/>
    <s v="70494938"/>
    <s v="Corporate Affairs"/>
    <s v="313127"/>
    <s v="Land Records - Specialist"/>
    <s v="Hazira"/>
    <s v="0090000021"/>
    <s v="Corporate Affairs"/>
    <s v="2000HWO"/>
    <s v="20057928"/>
    <s v="Manu Kapoor"/>
    <s v="No"/>
    <s v="meru.odedara@amns.in"/>
    <s v="8511449696"/>
    <s v="1058326"/>
    <s v="Dhruv Vyas"/>
    <s v="Anil Matoo"/>
    <s v="Praveen Kuruvalli"/>
    <s v="Dhruv Vyas"/>
    <n v="0"/>
  </r>
  <r>
    <n v="7240"/>
    <n v="20059584"/>
    <s v="Kanupriya Jain"/>
    <s v="AM/NS India"/>
    <s v="Onroll"/>
    <s v="M-7"/>
    <n v="7"/>
    <m/>
    <s v="MM"/>
    <s v="F"/>
    <s v="Corporate"/>
    <n v="7"/>
    <s v="2015"/>
    <x v="1"/>
    <s v="22.06"/>
    <s v="Praveen Kuruvalli"/>
    <s v="Ashutosh Telang"/>
    <n v="6"/>
    <s v="HR &amp; Administration"/>
    <s v="Human Resources"/>
    <s v="22"/>
    <s v="Lead - Compensation &amp; Benefits"/>
    <m/>
    <s v="Human Resources"/>
    <m/>
    <m/>
    <s v="Non Technical Support"/>
    <s v="Human Resources Management"/>
    <s v="Human Resources Management"/>
    <s v="73501001"/>
    <s v="Human Resources"/>
    <s v="Mumbai"/>
    <d v="1990-09-05T00:00:00"/>
    <s v="33.00"/>
    <d v="2023-07-10T00:00:00"/>
    <d v="2048-09-30T00:00:00"/>
    <m/>
    <d v="2048-09-30T00:00:00"/>
    <n v="9142"/>
    <s v="B+"/>
    <s v="PG Diploma-2020 , MBA-2012 , Intermediat"/>
    <s v="02.10"/>
    <s v="00.02"/>
    <s v="03.00"/>
    <s v="70242278"/>
    <s v="People Strategy &amp; HR Center Excellence"/>
    <s v="301568"/>
    <s v="Lead - Compensation &amp; Benefits"/>
    <s v="Corporate"/>
    <s v="0031950061"/>
    <s v="HZ-Human Resource"/>
    <s v="2000CRG"/>
    <s v="20055483"/>
    <s v="Praveen Kuruvalli"/>
    <s v="No"/>
    <s v="kanupriya.jain@amns.in"/>
    <s v="7000760906"/>
    <s v="1059042"/>
    <s v="Dhruv Vyas"/>
    <s v="Anil Matoo"/>
    <s v="Praveen Kuruvalli"/>
    <s v="Dhruv Vyas"/>
    <n v="0"/>
  </r>
  <r>
    <n v="7357"/>
    <n v="20059702"/>
    <s v="Nikita Athalye"/>
    <s v="AM/NS India"/>
    <s v="Onroll"/>
    <s v="M-7"/>
    <n v="7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Direct Tax"/>
    <m/>
    <s v="Finance &amp; Accounts"/>
    <m/>
    <m/>
    <s v="Non Technical Support"/>
    <s v="Finance &amp; Accounts"/>
    <s v="Taxation"/>
    <s v="73904002"/>
    <s v="Indirect Taxation"/>
    <s v="Mumbai"/>
    <d v="1996-04-08T00:00:00"/>
    <s v="27.05"/>
    <d v="2023-07-04T00:00:00"/>
    <d v="2054-04-30T00:00:00"/>
    <m/>
    <d v="2054-04-30T00:00:00"/>
    <n v="11180"/>
    <s v="O+"/>
    <s v="LLB-2021 , CA Final-2017 , BCom-2016"/>
    <s v="05.03"/>
    <s v="00.02"/>
    <s v="05.05"/>
    <s v="00048994"/>
    <s v="Compliances"/>
    <s v="70258946"/>
    <s v="Lead - Direct Tax"/>
    <s v="Corporate"/>
    <s v="0090000033"/>
    <s v="Corporate Taxation"/>
    <s v="2000CRG"/>
    <s v="20057473"/>
    <s v="Tarun Seksaria"/>
    <s v="No"/>
    <s v="nikita.athalye@amns.in"/>
    <s v="9833657726"/>
    <s v="1059483"/>
    <s v="Dhruv Vyas"/>
    <s v="Anil Matoo"/>
    <s v="Praveen Kuruvalli"/>
    <s v="Dhruv Vyas"/>
    <n v="0"/>
  </r>
  <r>
    <n v="7359"/>
    <n v="20059704"/>
    <s v="Birendra Mohan"/>
    <s v="AM/NS Middle East FZE"/>
    <s v="Onroll"/>
    <s v="M-7"/>
    <n v="7"/>
    <m/>
    <s v="MM"/>
    <s v="M"/>
    <s v="Dubai"/>
    <n v="10"/>
    <s v="2502"/>
    <x v="10"/>
    <s v="14.01"/>
    <s v="Ranjan Dhar"/>
    <s v="Alain Legrix De La Salle"/>
    <n v="3"/>
    <s v="Sales &amp; Marketing"/>
    <s v="Sales &amp; Marketing"/>
    <s v="14"/>
    <s v="Sr. Manager - Sales &amp; Marketing"/>
    <m/>
    <s v="Sales ME"/>
    <s v="Sales ME"/>
    <s v=""/>
    <s v=""/>
    <s v="Sales &amp; Marketing"/>
    <s v="Sales &amp; Marketing"/>
    <s v="73101001"/>
    <s v="Sales &amp; Marketing"/>
    <s v="Dubai"/>
    <d v="1977-10-30T00:00:00"/>
    <s v="45.10"/>
    <d v="2023-07-07T00:00:00"/>
    <d v="2035-10-31T00:00:00"/>
    <m/>
    <d v="2035-10-31T00:00:00"/>
    <n v="4424"/>
    <s v="B+"/>
    <s v="PG Diploma-2009 , BBA-2000"/>
    <s v="05.05"/>
    <s v="00.02"/>
    <s v="05.06"/>
    <s v="70495379"/>
    <s v="Chief Marketing Officer - AMNS ME FZE"/>
    <s v="70495722"/>
    <s v="Sr. Manager - Sales &amp; Marketing"/>
    <s v="AMNS Middle East FZE"/>
    <s v="0093720082"/>
    <s v="SC-Dubai-Marketing"/>
    <s v="DUBA2081"/>
    <s v="20055663"/>
    <s v="Karamath Syed"/>
    <s v="No"/>
    <s v="birendra.rai@amns.in"/>
    <s v="02040042772"/>
    <s v="1022280"/>
    <s v="Dhruv Vyas"/>
    <s v="Anil Matoo"/>
    <s v="Praveen Kuruvalli"/>
    <n v="0"/>
    <n v="0"/>
  </r>
  <r>
    <n v="7368"/>
    <n v="20059713"/>
    <s v="Gaurav Lodh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Account Receivable"/>
    <m/>
    <s v="Finance &amp; Accounts"/>
    <m/>
    <m/>
    <s v="Non Technical Support"/>
    <s v="Finance &amp; Accounts"/>
    <s v="Finance &amp; Accounts"/>
    <s v="73901004"/>
    <s v="Accounts Receivables"/>
    <s v="Hazira"/>
    <d v="1983-12-28T00:00:00"/>
    <s v="39.08"/>
    <d v="2023-07-19T00:00:00"/>
    <d v="2041-12-31T00:00:00"/>
    <m/>
    <d v="2041-12-31T00:00:00"/>
    <n v="6677"/>
    <s v="O+"/>
    <s v="CA Final-2008 , Intermediate-2002 , Inte"/>
    <s v="06.07"/>
    <s v="00.02"/>
    <s v="06.08"/>
    <s v="72150286"/>
    <s v="Accounts Receivables &amp; Export Banking"/>
    <s v="272542"/>
    <s v="Lead - Account Receivable"/>
    <s v="Hazira"/>
    <s v="0031950045"/>
    <s v="HZ-Works Accounts-Ha"/>
    <s v="2000HWO"/>
    <s v="20007731"/>
    <s v="Ashish Mehta"/>
    <s v="No"/>
    <s v="gaurav.lodha@amns.in"/>
    <s v="7433944725"/>
    <s v="1060386"/>
    <s v="Dhruv Vyas"/>
    <s v="Anil Matoo"/>
    <s v="Praveen Kuruvalli"/>
    <s v="Dhruv Vyas"/>
    <n v="0"/>
  </r>
  <r>
    <n v="7384"/>
    <n v="20059729"/>
    <s v="Harsh Parmar"/>
    <s v="AM/NS India"/>
    <s v="Onroll"/>
    <s v="M-7"/>
    <n v="7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m/>
    <m/>
    <s v="Non Technical Support"/>
    <s v="Corporate Relations"/>
    <s v="Corporate Affairs"/>
    <s v="74501001"/>
    <s v="Corporate Affairs"/>
    <s v="Delhi"/>
    <d v="1993-12-03T00:00:00"/>
    <s v="29.09"/>
    <d v="2023-07-24T00:00:00"/>
    <d v="2051-12-31T00:00:00"/>
    <m/>
    <d v="2051-12-31T00:00:00"/>
    <n v="10329"/>
    <s v="O+"/>
    <s v="PG Diploma in Management-2017 , BTech-20"/>
    <s v="06.02"/>
    <s v="00.01"/>
    <s v="06.03"/>
    <s v="70494938"/>
    <s v="Corporate Affairs"/>
    <s v="314883"/>
    <s v="Lead Corporate Affairs"/>
    <s v="Corporate"/>
    <s v="0090000021"/>
    <s v="Corporate Affairs"/>
    <s v="2000CS"/>
    <s v="20057928"/>
    <s v="Manu Kapoor"/>
    <s v="No"/>
    <s v="harsh.parmar@amns.in"/>
    <s v="9589057109"/>
    <s v="1061183"/>
    <s v="Dhruv Vyas"/>
    <s v="Anil Matoo"/>
    <s v="Praveen Kuruvalli"/>
    <s v="Dhruv Vyas"/>
    <n v="0"/>
  </r>
  <r>
    <n v="7392"/>
    <n v="20059737"/>
    <s v="Mahendra Singh Chandrawat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Application Engineer"/>
    <m/>
    <s v="Sales &amp; Marketing"/>
    <m/>
    <m/>
    <s v="Non Technical Support"/>
    <s v=""/>
    <s v=""/>
    <s v=""/>
    <s v=""/>
    <s v="Khopoli"/>
    <d v="1989-04-17T00:00:00"/>
    <s v="34.05"/>
    <d v="2023-08-01T00:00:00"/>
    <d v="2047-04-30T00:00:00"/>
    <m/>
    <d v="2047-04-30T00:00:00"/>
    <n v="8623"/>
    <s v="O+"/>
    <s v="PG Diploma-2021 , BE-2011 , Intermediate"/>
    <s v="11.08"/>
    <s v="00.01"/>
    <s v="11.09"/>
    <s v="00052471"/>
    <s v="Coated &amp; OC"/>
    <s v="305332"/>
    <s v="Lead - Application Engineer"/>
    <s v="Hazira"/>
    <s v="0031950057"/>
    <s v="HZ-HRC - Marketing"/>
    <s v="2000HWO"/>
    <s v="20056431"/>
    <s v="Prajakta Wagholikar"/>
    <s v="No"/>
    <s v="mahendrasingh.chandrawat@amns.in"/>
    <s v="7700922268"/>
    <s v="1061821"/>
    <s v="Dhruv Vyas"/>
    <s v="Anil Matoo"/>
    <s v="Praveen Kuruvalli"/>
    <s v="Dhruv Vyas"/>
    <n v="0"/>
  </r>
  <r>
    <n v="7393"/>
    <n v="20059738"/>
    <s v="Ayush Dixit"/>
    <s v="AM/NS India"/>
    <s v="Onroll"/>
    <s v="M-8"/>
    <n v="8"/>
    <m/>
    <s v="JM"/>
    <s v="M"/>
    <s v="Vizag"/>
    <n v="3"/>
    <s v="2161"/>
    <x v="15"/>
    <s v="31.02"/>
    <s v="Hrishikesh Kamat"/>
    <s v="Hrishikesh Kamat"/>
    <n v="7"/>
    <s v="Procurement"/>
    <s v="Procurement"/>
    <s v="31"/>
    <m/>
    <m/>
    <s v="Capex Procurement"/>
    <s v=""/>
    <s v=""/>
    <s v="Non Technical Support"/>
    <s v=""/>
    <s v=""/>
    <s v=""/>
    <s v=""/>
    <s v="Vizag"/>
    <d v="1996-07-02T00:00:00"/>
    <s v="27.02"/>
    <d v="2023-08-02T00:00:00"/>
    <d v="2054-07-31T00:00:00"/>
    <m/>
    <d v="2054-07-31T00:00:00"/>
    <n v="11272"/>
    <s v="B+"/>
    <s v="BTech-2017 , Intermediate-2012 , Interme"/>
    <s v="06.00"/>
    <s v="00.01"/>
    <s v="06.02"/>
    <s v="70282830"/>
    <s v="Capex Procurement &amp; Secondary Sales"/>
    <s v="302508"/>
    <s v="Lead Capex Procurement"/>
    <s v="Vizag"/>
    <s v="0031950059"/>
    <s v="HZ-Hazira Project"/>
    <s v="2000VIZOPS"/>
    <s v="20052261"/>
    <s v="Aruni Mishra"/>
    <s v="No"/>
    <s v="ayush.dixit@amns.in"/>
    <s v="7692960254"/>
    <s v="1061936"/>
    <s v="Dhruv Vyas"/>
    <s v="Anil Matoo"/>
    <s v="Praveen Kuruvalli"/>
    <s v="Dhruv Vyas"/>
    <n v="0"/>
  </r>
  <r>
    <n v="7394"/>
    <n v="20059739"/>
    <s v="Jennifer Xavier"/>
    <s v="AM/NS India"/>
    <s v="Onroll"/>
    <s v="M-8"/>
    <n v="8"/>
    <m/>
    <s v="JM"/>
    <s v="F"/>
    <s v="Pune Facility"/>
    <n v="4"/>
    <s v="2071"/>
    <x v="22"/>
    <s v="41.01"/>
    <s v="P Ashok Kumar"/>
    <s v="P Ashok Kumar"/>
    <n v="9"/>
    <s v="Legal"/>
    <s v="Legal"/>
    <s v="41"/>
    <s v="Legal Counsel, Pune"/>
    <m/>
    <s v="Legal"/>
    <m/>
    <m/>
    <s v="Non Technical Support"/>
    <s v=""/>
    <s v=""/>
    <s v=""/>
    <s v=""/>
    <s v="Pune"/>
    <d v="1992-01-17T00:00:00"/>
    <s v="31.08"/>
    <d v="2023-08-01T00:00:00"/>
    <d v="2050-01-31T00:00:00"/>
    <m/>
    <d v="2050-01-31T00:00:00"/>
    <n v="9630"/>
    <s v="B-"/>
    <s v="LLB-2016"/>
    <s v="01.10"/>
    <s v="00.01"/>
    <s v="01.11"/>
    <s v="00050735"/>
    <s v="Legal"/>
    <s v="305369"/>
    <s v="Legal Counsel - Pune"/>
    <s v="Pune Facility"/>
    <s v="0090000019"/>
    <s v="Corporate Steel - Le"/>
    <s v="2000ESPF"/>
    <s v="20058028"/>
    <s v="Charu Misra"/>
    <s v="No"/>
    <s v="jennifer.xavier@amns.in"/>
    <s v="9873925605"/>
    <s v="1061960"/>
    <s v="Dhruv Vyas"/>
    <s v="Anil Matoo"/>
    <s v="Praveen Kuruvalli"/>
    <s v="Dhruv Vyas"/>
    <n v="0"/>
  </r>
  <r>
    <n v="7395"/>
    <n v="20059740"/>
    <s v="Chanchal Agarwal"/>
    <s v="AM/NS India"/>
    <s v="Onroll"/>
    <s v="M-8"/>
    <n v="8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HR Business Partner"/>
    <m/>
    <s v="Human Resources"/>
    <m/>
    <m/>
    <s v="Non Technical Support"/>
    <s v="Human Resources Management"/>
    <s v="Human Resources Management"/>
    <s v="73501001"/>
    <s v="Human Resources"/>
    <s v="Mumbai"/>
    <d v="1998-07-16T00:00:00"/>
    <s v="25.02"/>
    <d v="2023-08-02T00:00:00"/>
    <d v="2056-07-31T00:00:00"/>
    <m/>
    <d v="2056-07-31T00:00:00"/>
    <n v="12003"/>
    <s v="O+"/>
    <s v="MBA-2021 , Intermediate-2014"/>
    <s v="01.10"/>
    <s v="00.01"/>
    <s v="02.00"/>
    <s v="00053055"/>
    <s v="Human Resources"/>
    <s v="301565"/>
    <s v="HR Business Partner"/>
    <s v="Corporate"/>
    <s v="0031950061"/>
    <s v="HZ-Human Resource"/>
    <s v="2000CRG"/>
    <s v="20054565"/>
    <s v="Dhruv Vyas"/>
    <s v="No"/>
    <s v="chanchal.agarwal@amns.in"/>
    <s v="7700922269"/>
    <s v="1061964"/>
    <s v="Dhruv Vyas"/>
    <s v="Anil Matoo"/>
    <s v="Praveen Kuruvalli"/>
    <s v="Dhruv Vyas"/>
    <n v="0"/>
  </r>
  <r>
    <n v="7519"/>
    <n v="20059864"/>
    <s v="Bijal Khambhala"/>
    <s v="AM/NS India"/>
    <s v="Onroll"/>
    <s v="M-11"/>
    <n v="11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Engineer"/>
    <m/>
    <s v="Contracts"/>
    <m/>
    <m/>
    <s v="Non Technical Support"/>
    <s v="Operations"/>
    <s v="Operations"/>
    <s v="72103001"/>
    <s v="Operations"/>
    <s v="Hazira"/>
    <d v="2001-03-28T00:00:00"/>
    <s v="22.05"/>
    <d v="2023-08-01T00:00:00"/>
    <d v="2059-03-31T00:00:00"/>
    <m/>
    <d v="2059-03-31T00:00:00"/>
    <n v="12976"/>
    <s v=""/>
    <s v=""/>
    <s v=""/>
    <s v="00.01"/>
    <s v="00.01"/>
    <s v="00053411"/>
    <s v="Contracts"/>
    <s v="301007"/>
    <s v="Engineer"/>
    <s v="Hazira"/>
    <s v="0031961000"/>
    <s v="Waste Management"/>
    <s v="2054HAZI"/>
    <s v="20010980"/>
    <s v="Kirit Upadhyay"/>
    <s v="No"/>
    <s v="bijal.khambhala@amns.in"/>
    <s v="8238770455"/>
    <s v="26594"/>
    <s v="Dhruv Vyas"/>
    <s v="Anil Matoo"/>
    <s v="Praveen Kuruvalli"/>
    <s v="Dhruv Vyas"/>
    <n v="0"/>
  </r>
  <r>
    <n v="7551"/>
    <n v="20059896"/>
    <s v="Ujjwal Singh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m/>
    <m/>
    <m/>
    <s v="Non Technical Support"/>
    <s v="Projects"/>
    <s v="Projects"/>
    <s v="72103036"/>
    <s v="Projects"/>
    <s v="Hazira"/>
    <d v="2001-02-17T00:00:00"/>
    <s v="22.07"/>
    <d v="2023-08-01T00:00:00"/>
    <d v="2059-02-28T00:00:00"/>
    <m/>
    <d v="2059-02-28T00:00:00"/>
    <n v="12945"/>
    <s v=""/>
    <s v=""/>
    <s v=""/>
    <s v="00.01"/>
    <s v="00.01"/>
    <s v="00053409"/>
    <s v="Proc PowerTransmission"/>
    <s v="300822"/>
    <s v="Engineer"/>
    <s v="Hazira"/>
    <s v="0031961000"/>
    <s v="Waste Management"/>
    <s v="2043HAZI"/>
    <s v="20002629"/>
    <s v="Bhavesh Patel"/>
    <s v="No"/>
    <s v="ujjwal.singh@amns.in"/>
    <s v="9687429656"/>
    <s v="26580"/>
    <s v="Dhruv Vyas"/>
    <s v="Anil Matoo"/>
    <s v="Praveen Kuruvalli"/>
    <s v="Dhruv Vyas"/>
    <n v="0"/>
  </r>
  <r>
    <n v="7584"/>
    <n v="20059929"/>
    <s v="Rutvik Dudakiya"/>
    <s v="AM/NS India"/>
    <s v="Onroll"/>
    <s v="M-11"/>
    <n v="11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Engineer"/>
    <m/>
    <s v="Contracts"/>
    <m/>
    <m/>
    <s v="Non Technical Support"/>
    <s v="Operations"/>
    <s v="Operations"/>
    <s v="72103001"/>
    <s v="Operations"/>
    <s v="Hazira"/>
    <d v="2001-06-30T00:00:00"/>
    <s v="22.02"/>
    <d v="2023-08-01T00:00:00"/>
    <d v="2059-06-30T00:00:00"/>
    <m/>
    <d v="2059-06-30T00:00:00"/>
    <n v="13067"/>
    <s v=""/>
    <s v=""/>
    <s v=""/>
    <s v="00.01"/>
    <s v="00.01"/>
    <s v="00053416"/>
    <s v="Contracts"/>
    <s v="301008"/>
    <s v="Engineer"/>
    <s v="Hazira"/>
    <s v="0031961000"/>
    <s v="Waste Management"/>
    <s v="2054HAZI"/>
    <s v="20054520"/>
    <s v="Trupti Yagnesh Patel"/>
    <s v="No"/>
    <s v="rutvik.dudakiya@amns.in"/>
    <s v="9879101370"/>
    <s v="26617"/>
    <s v="Dhruv Vyas"/>
    <s v="Anil Matoo"/>
    <s v="Praveen Kuruvalli"/>
    <s v="Dhruv Vyas"/>
    <n v="0"/>
  </r>
  <r>
    <n v="7599"/>
    <n v="20059944"/>
    <s v="Dharanipathi Murugesan"/>
    <s v="AM/NS India"/>
    <s v="Onroll"/>
    <s v="M-4"/>
    <n v="4"/>
    <m/>
    <s v="SM"/>
    <s v="M"/>
    <s v="Corporate"/>
    <n v="7"/>
    <s v="2039"/>
    <x v="12"/>
    <s v="43.01"/>
    <s v="Sangeeta Munjal"/>
    <s v="Manu Kapoor"/>
    <n v="10"/>
    <s v="Corporate Affairs"/>
    <s v="Corporate Affairs"/>
    <s v="43"/>
    <s v="Head – Land Acquisition Excellence"/>
    <m/>
    <s v="Land Acquisition"/>
    <m/>
    <m/>
    <s v="Non Technical Support"/>
    <s v="Corporate Relations"/>
    <s v="Corporate Affairs"/>
    <s v="74501001"/>
    <s v="Corporate Affairs"/>
    <s v="Mumbai"/>
    <d v="1969-02-12T00:00:00"/>
    <s v="54.07"/>
    <d v="2023-08-09T00:00:00"/>
    <d v="2027-02-28T00:00:00"/>
    <m/>
    <d v="2027-02-28T00:00:00"/>
    <n v="1257"/>
    <s v="B+"/>
    <s v="Diploma-2023 , BTech-2000 , Diploma-1987"/>
    <s v="16.08"/>
    <s v="00.01"/>
    <s v="16.09"/>
    <s v="70494938"/>
    <s v="Corporate Affairs"/>
    <s v="313430"/>
    <s v="Head – Land Acquisition Excellence"/>
    <s v="Corporate"/>
    <s v="0090000021"/>
    <s v="Corporate Affairs"/>
    <s v="2000CRG"/>
    <s v="20057928"/>
    <s v="Manu Kapoor"/>
    <s v="No"/>
    <s v="m.dharanipathi@amns.in"/>
    <s v="8879994254"/>
    <s v="1022366"/>
    <s v="Dhruv Vyas"/>
    <s v="Anil Matoo"/>
    <s v="Praveen Kuruvalli"/>
    <s v="Dhruv Vyas"/>
    <n v="0"/>
  </r>
  <r>
    <n v="7608"/>
    <n v="20059953"/>
    <s v="Prashanth Kasyap Lank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Coated Sales"/>
    <m/>
    <s v="Sales &amp; Marketing"/>
    <m/>
    <m/>
    <s v="Non Technical Support"/>
    <s v="Sales &amp; Marketing"/>
    <s v="Sales &amp; Marketing"/>
    <s v="73101001"/>
    <s v="Sales &amp; Marketing"/>
    <s v="Chennai"/>
    <d v="1982-08-09T00:00:00"/>
    <s v="41.01"/>
    <d v="2023-08-07T00:00:00"/>
    <d v="2040-08-31T00:00:00"/>
    <m/>
    <d v="2040-08-31T00:00:00"/>
    <n v="6190"/>
    <s v="A+"/>
    <s v="MBA-2009 , BE-2005 , Intermediate-1999"/>
    <s v="00.05"/>
    <s v="00.01"/>
    <s v="00.06"/>
    <s v="70492562"/>
    <s v="Domestic Sales"/>
    <s v="305407"/>
    <s v="KAM - Coated Sales"/>
    <s v="Hazira"/>
    <s v="0031950057"/>
    <s v="HZ-HRC - Marketing"/>
    <s v="2000HWO"/>
    <s v="20036409"/>
    <s v="Ranjith Nambiar"/>
    <s v="No"/>
    <s v="prashanth.kasyap@amns.in"/>
    <s v="8088449167"/>
    <s v="1064152"/>
    <s v="Dhruv Vyas"/>
    <s v="Anil Matoo"/>
    <s v="Praveen Kuruvalli"/>
    <s v="Dhruv Vyas"/>
    <n v="0"/>
  </r>
  <r>
    <n v="7609"/>
    <n v="20059954"/>
    <s v="Abhinav Kumar"/>
    <s v="AM/NS India"/>
    <s v="Onroll"/>
    <s v="M-7"/>
    <n v="7"/>
    <m/>
    <s v="MM"/>
    <s v="M"/>
    <s v="Service Centers"/>
    <n v="6"/>
    <s v="2031"/>
    <x v="10"/>
    <s v="14.01"/>
    <s v="Ranjan Dhar"/>
    <s v="Alain Legrix De La Salle"/>
    <n v="3"/>
    <s v="Sales &amp; Marketing"/>
    <s v="Sales &amp; Marketing"/>
    <s v="14"/>
    <s v="Plant Head - Recycling Strategy"/>
    <m/>
    <s v="Sales &amp; Marketing"/>
    <s v=""/>
    <s v=""/>
    <s v="Non Technical Support"/>
    <s v="Sales &amp; Marketing"/>
    <s v="Sales &amp; Marketing"/>
    <s v="73101001"/>
    <s v="Sales &amp; Marketing"/>
    <s v="Ahmedabad"/>
    <d v="1985-12-12T00:00:00"/>
    <s v="37.09"/>
    <d v="2023-08-07T00:00:00"/>
    <d v="2043-12-31T00:00:00"/>
    <m/>
    <d v="2043-12-31T00:00:00"/>
    <n v="7407"/>
    <s v="O+"/>
    <s v="BE-2009"/>
    <s v="02.00"/>
    <s v="00.01"/>
    <s v="02.01"/>
    <s v="00053119"/>
    <s v="Recycling Strategy"/>
    <s v="313817"/>
    <s v="Plant Head - Recycling Strategy"/>
    <s v="Service Center"/>
    <s v="0080000005"/>
    <s v="Global Markets Team"/>
    <s v="2000CS"/>
    <s v="20056844"/>
    <s v="Kundan Rai"/>
    <s v="No"/>
    <s v="abhinav.kumar@amns.in"/>
    <s v="7837100109"/>
    <s v="1064204"/>
    <s v="Dhruv Vyas"/>
    <s v="Anil Matoo"/>
    <s v="Praveen Kuruvalli"/>
    <s v="Dhruv Vyas"/>
    <n v="0"/>
  </r>
  <r>
    <n v="7612"/>
    <n v="20059957"/>
    <s v="Samuel Katisa"/>
    <s v="AM/NS India"/>
    <s v="Onroll"/>
    <s v="M-7"/>
    <n v="7"/>
    <m/>
    <s v="MM"/>
    <s v="M"/>
    <s v="Service Centers"/>
    <n v="6"/>
    <s v="2031"/>
    <x v="10"/>
    <s v="14.01"/>
    <s v="Ranjan Dhar"/>
    <s v="Alain Legrix De La Salle"/>
    <n v="3"/>
    <s v="Sales &amp; Marketing"/>
    <s v="Sales &amp; Marketing"/>
    <s v="14"/>
    <s v="Lead - Sales &amp; Marketing, Hypermart"/>
    <m/>
    <s v="Sales &amp; Marketing"/>
    <s v=""/>
    <s v=""/>
    <s v="Non Technical Support"/>
    <s v=""/>
    <s v=""/>
    <s v=""/>
    <s v=""/>
    <s v="Chennai"/>
    <d v="1986-08-16T00:00:00"/>
    <s v="37.01"/>
    <d v="2023-08-14T00:00:00"/>
    <d v="2044-08-31T00:00:00"/>
    <m/>
    <d v="2044-08-31T00:00:00"/>
    <n v="7651"/>
    <s v="A+"/>
    <s v="MTech-2019 , MA-2010 , BTech-2007"/>
    <s v="16.01"/>
    <s v="00.01"/>
    <s v="16.02"/>
    <s v="72150150"/>
    <s v="Sales South Zone"/>
    <s v="305327"/>
    <s v="Lead - Sales &amp; Marketing, Hypermart"/>
    <s v="Service Center"/>
    <s v="0031950057"/>
    <s v="HZ-HRC - Marketing"/>
    <s v="2000CS"/>
    <s v="20000909"/>
    <s v="Murali Krishna Chunduru"/>
    <s v="No"/>
    <s v="samuel.morris@amns.in"/>
    <s v="9581700766"/>
    <s v="22711"/>
    <s v="Dhruv Vyas"/>
    <s v="Anil Matoo"/>
    <s v="Praveen Kuruvalli"/>
    <s v="Dhruv Vyas"/>
    <n v="0"/>
  </r>
  <r>
    <n v="7613"/>
    <n v="20059958"/>
    <s v="Bodhishotto Bhattacharjee"/>
    <s v="AM/NS India"/>
    <s v="Onroll"/>
    <s v="M-7"/>
    <n v="7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Public Advocacy"/>
    <m/>
    <s v="Corporate Affairs"/>
    <m/>
    <m/>
    <s v="Non Technical Support"/>
    <s v="Corporate Relations"/>
    <s v="Corporate Affairs"/>
    <s v="74501001"/>
    <s v="Corporate Affairs"/>
    <s v="Delhi"/>
    <d v="1991-04-19T00:00:00"/>
    <s v="32.05"/>
    <d v="2023-08-14T00:00:00"/>
    <d v="2049-04-30T00:00:00"/>
    <m/>
    <d v="2049-04-30T00:00:00"/>
    <n v="9354"/>
    <s v="O+"/>
    <s v="PG Diploma-2020 , MBA-2017 , BTech-2015"/>
    <s v="01.00"/>
    <s v="00.01"/>
    <s v="01.00"/>
    <s v="70494938"/>
    <s v="Corporate Affairs"/>
    <s v="316689"/>
    <s v="Lead Public Advocacy"/>
    <s v="Corporate"/>
    <s v="0090000021"/>
    <s v="Corporate Affairs"/>
    <s v="2000CRG"/>
    <s v="20057928"/>
    <s v="Manu Kapoor"/>
    <s v="No"/>
    <s v="bodhishotto.bhattacharjee@amns.in"/>
    <s v="7228016115"/>
    <s v="1064656"/>
    <s v="Dhruv Vyas"/>
    <s v="Anil Matoo"/>
    <s v="Praveen Kuruvalli"/>
    <s v="Dhruv Vyas"/>
    <n v="0"/>
  </r>
  <r>
    <n v="7614"/>
    <n v="20059959"/>
    <s v="Rajesh Kumar Meena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- Scrap Procurement"/>
    <m/>
    <s v="Sales &amp; Marketing"/>
    <m/>
    <m/>
    <s v="Non Technical Support"/>
    <s v=""/>
    <s v=""/>
    <s v="70494645"/>
    <s v="Head of Sales BD"/>
    <s v="Mumbai"/>
    <d v="1989-09-01T00:00:00"/>
    <s v="34.00"/>
    <d v="2023-08-16T00:00:00"/>
    <d v="2047-08-31T00:00:00"/>
    <m/>
    <d v="2047-08-31T00:00:00"/>
    <n v="8746"/>
    <s v="A+"/>
    <s v="PG Diploma-2016 , BE-2017"/>
    <s v="01.06"/>
    <s v="00.01"/>
    <s v="01.07"/>
    <s v="70494655"/>
    <s v="Sales Steering, Distribution and BD"/>
    <s v="284179"/>
    <s v="Section Head - Scrap Procurement"/>
    <s v="Corporate"/>
    <s v="0080000005"/>
    <s v="Global Markets Team"/>
    <s v="2000CRG"/>
    <s v="20055091"/>
    <s v="Akshaya Gujral"/>
    <s v="No"/>
    <s v="rajeshkumar.meena@amns.in"/>
    <s v="7542033074"/>
    <s v="1064745"/>
    <s v="Dhruv Vyas"/>
    <s v="Anil Matoo"/>
    <s v="Praveen Kuruvalli"/>
    <s v="Dhruv Vyas"/>
    <n v="0"/>
  </r>
  <r>
    <n v="7616"/>
    <n v="20059961"/>
    <s v="Pavan Patil"/>
    <s v="AM/NS India"/>
    <s v="Onroll"/>
    <s v="M-9"/>
    <n v="9"/>
    <m/>
    <s v="JM"/>
    <s v="M"/>
    <s v="Service Centers"/>
    <n v="6"/>
    <s v="2031"/>
    <x v="10"/>
    <s v="14.01"/>
    <s v="Ranjan Dhar"/>
    <s v="Alain Legrix De La Salle"/>
    <n v="3"/>
    <s v="Sales &amp; Marketing"/>
    <s v="Sales &amp; Marketing"/>
    <s v="14"/>
    <s v="Quality Inspector - Recycling Strategy"/>
    <m/>
    <s v="Sales &amp; Marketing"/>
    <s v=""/>
    <s v=""/>
    <s v="Non Technical Support"/>
    <s v="Sales &amp; Marketing"/>
    <s v="Sales &amp; Marketing"/>
    <s v="73101001"/>
    <s v="Sales &amp; Marketing"/>
    <s v="Khopoli"/>
    <d v="1995-05-23T00:00:00"/>
    <s v="28.03"/>
    <d v="2023-08-16T00:00:00"/>
    <d v="2053-05-31T00:00:00"/>
    <m/>
    <d v="2053-05-31T00:00:00"/>
    <n v="10846"/>
    <s v="A+"/>
    <s v="BE-2017 , Intermediate-2014 , Diploma-20"/>
    <s v="02.08"/>
    <s v="00.01"/>
    <s v="02.09"/>
    <s v="00053119"/>
    <s v="Recycling Strategy"/>
    <s v="313822"/>
    <s v="Quality Inspector - Recycling Strategy"/>
    <s v="Service Center"/>
    <s v="0080000005"/>
    <s v="Global Markets Team"/>
    <s v="2000CS"/>
    <s v="20056844"/>
    <s v="Kundan Rai"/>
    <s v="No"/>
    <s v="pavan.patil@amns.in"/>
    <s v="8600552071"/>
    <s v="1064761"/>
    <s v="Dhruv Vyas"/>
    <s v="Anil Matoo"/>
    <s v="Praveen Kuruvalli"/>
    <s v="Dhruv Vyas"/>
    <n v="0"/>
  </r>
  <r>
    <n v="7628"/>
    <n v="20059973"/>
    <s v="Akshay Patel"/>
    <s v="AM/NS India"/>
    <s v="Onroll"/>
    <s v="T-4 (Other Trainee)"/>
    <n v="1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1998-08-25T00:00:00"/>
    <s v="25.00"/>
    <d v="2023-08-14T00:00:00"/>
    <d v="2056-08-31T00:00:00"/>
    <m/>
    <d v="2056-08-31T00:00:00"/>
    <n v="12034"/>
    <s v="A+"/>
    <s v="Diploma-2019"/>
    <s v=""/>
    <s v="00.01"/>
    <s v="00.01"/>
    <s v="00049777"/>
    <s v="Plant Administration"/>
    <s v="315235"/>
    <s v="Trainee"/>
    <s v="Hazira"/>
    <s v="0031950030"/>
    <s v="HZ-Admin"/>
    <s v="2000HWO"/>
    <s v="20057892"/>
    <s v="Taj Baby"/>
    <s v="No"/>
    <s v=""/>
    <s v=""/>
    <s v="868976"/>
    <s v="Manjit Shah"/>
    <s v="Anil Matoo"/>
    <s v="-"/>
    <s v="Manjit Shah"/>
    <s v="-"/>
  </r>
  <r>
    <n v="7629"/>
    <n v="20059974"/>
    <s v="Kamakshi Patel"/>
    <s v="AM/NS India"/>
    <s v="Onroll"/>
    <s v="T-4 (Other Trainee)"/>
    <n v="18"/>
    <m/>
    <s v="JM"/>
    <s v="F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1997-10-21T00:00:00"/>
    <s v="25.10"/>
    <d v="2023-08-14T00:00:00"/>
    <d v="2055-10-31T00:00:00"/>
    <m/>
    <d v="2055-10-31T00:00:00"/>
    <n v="11729"/>
    <s v="A+"/>
    <s v="MCom-2023"/>
    <s v=""/>
    <s v="00.01"/>
    <s v="00.01"/>
    <s v="00049719"/>
    <s v="Administration Hazira"/>
    <s v="315236"/>
    <s v="Trainee"/>
    <s v="Hazira"/>
    <s v="0031950030"/>
    <s v="HZ-Admin"/>
    <s v="2000HWO"/>
    <s v="20057886"/>
    <s v="Shakir Bandwala"/>
    <s v="No"/>
    <s v=""/>
    <s v="9825073422"/>
    <s v="1065377"/>
    <s v="Manjit Shah"/>
    <s v="Anil Matoo"/>
    <s v="-"/>
    <s v="Manjit Shah"/>
    <s v="-"/>
  </r>
  <r>
    <n v="7630"/>
    <n v="20059975"/>
    <s v="Ruchi Patel"/>
    <s v="AM/NS India"/>
    <s v="Onroll"/>
    <s v="T-4 (Other Trainee)"/>
    <n v="18"/>
    <m/>
    <s v="JM"/>
    <s v="F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2000-02-23T00:00:00"/>
    <s v="23.06"/>
    <d v="2023-08-14T00:00:00"/>
    <d v="2058-02-28T00:00:00"/>
    <m/>
    <d v="2058-02-28T00:00:00"/>
    <n v="12580"/>
    <s v="B+"/>
    <s v="BCom-2022"/>
    <s v=""/>
    <s v="00.01"/>
    <s v="00.01"/>
    <s v="00049777"/>
    <s v="Plant Administration"/>
    <s v="315237"/>
    <s v="Trainee"/>
    <s v="Hazira"/>
    <s v="0031950030"/>
    <s v="HZ-Admin"/>
    <s v="2000HWO"/>
    <s v="20057892"/>
    <s v="Taj Baby"/>
    <s v="No"/>
    <s v=""/>
    <s v=""/>
    <s v="1065380"/>
    <s v="Manjit Shah"/>
    <s v="Anil Matoo"/>
    <s v="-"/>
    <s v="Manjit Shah"/>
    <s v="-"/>
  </r>
  <r>
    <n v="7631"/>
    <n v="20059976"/>
    <s v="Karan Patel"/>
    <s v="AM/NS India"/>
    <s v="Onroll"/>
    <s v="T-4 (Other Trainee)"/>
    <n v="1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1999-03-24T00:00:00"/>
    <s v="24.05"/>
    <d v="2023-08-14T00:00:00"/>
    <d v="2057-03-31T00:00:00"/>
    <m/>
    <d v="2057-03-31T00:00:00"/>
    <n v="12246"/>
    <s v="O+"/>
    <s v="PG Diploma in Management-2023 , PG Diplo"/>
    <s v=""/>
    <s v="00.01"/>
    <s v="00.01"/>
    <s v="00049719"/>
    <s v="Administration Hazira"/>
    <s v="315238"/>
    <s v="Trainee"/>
    <s v="Hazira"/>
    <s v="0031950030"/>
    <s v="HZ-Admin"/>
    <s v="2000HWO"/>
    <s v="20057886"/>
    <s v="Shakir Bandwala"/>
    <s v="No"/>
    <s v=""/>
    <s v=""/>
    <s v="1065420"/>
    <s v="Manjit Shah"/>
    <s v="Anil Matoo"/>
    <s v="-"/>
    <s v="Manjit Shah"/>
    <s v="-"/>
  </r>
  <r>
    <n v="7636"/>
    <n v="20059981"/>
    <s v="Ankit Singh"/>
    <s v="AM/NS India"/>
    <s v="Onroll"/>
    <s v="M-6"/>
    <n v="6"/>
    <m/>
    <s v="M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sition"/>
    <m/>
    <s v="Land Acquisition"/>
    <s v=""/>
    <s v=""/>
    <s v="Non Technical Support"/>
    <s v="Corporate Relations"/>
    <s v="Corporate Affairs"/>
    <s v="74501001"/>
    <s v="Corporate Affairs"/>
    <s v="Hazira"/>
    <d v="1987-03-15T00:00:00"/>
    <s v="36.06"/>
    <d v="2023-08-21T00:00:00"/>
    <d v="2045-03-31T00:00:00"/>
    <m/>
    <d v="2045-03-31T00:00:00"/>
    <n v="7863"/>
    <s v="O+"/>
    <s v="BTech-2009"/>
    <s v="12.11"/>
    <s v="00.00"/>
    <s v="13.00"/>
    <s v="70494938"/>
    <s v="Corporate Affairs"/>
    <s v="313342"/>
    <s v="Lead - Land Acqusition"/>
    <s v="Hazira"/>
    <s v="0090000021"/>
    <s v="Corporate Affairs"/>
    <s v="2000HWO"/>
    <s v="20057928"/>
    <s v="Manu Kapoor"/>
    <s v="No"/>
    <s v="ankit.singh@amns.in"/>
    <s v="9767811522"/>
    <s v="728538"/>
    <s v="Dhruv Vyas"/>
    <s v="Anil Matoo"/>
    <s v="Praveen Kuruvalli"/>
    <s v="Dhruv Vyas"/>
    <n v="0"/>
  </r>
  <r>
    <n v="7641"/>
    <n v="20059986"/>
    <s v="Rohit Sharma"/>
    <s v="AM/NS India"/>
    <s v="Onroll"/>
    <s v="M-8"/>
    <n v="8"/>
    <m/>
    <s v="JM"/>
    <s v="M"/>
    <s v="Corporate"/>
    <n v="7"/>
    <s v="2039"/>
    <x v="16"/>
    <s v="43.01"/>
    <s v="Sangeeta Munjal"/>
    <s v="Manu Kapoor"/>
    <n v="10"/>
    <s v="Corporate Affairs"/>
    <s v="Corporate Affairs"/>
    <s v="43"/>
    <s v="Lead – Internal Audit"/>
    <m/>
    <s v="Corporate Affairs"/>
    <m/>
    <m/>
    <s v="Non Technical Support"/>
    <s v="Chairman's Secretariat"/>
    <s v="Chairman's Secretariat"/>
    <s v="74701000"/>
    <s v="Chairman's Secretariat"/>
    <s v="Mumbai"/>
    <d v="1992-01-07T00:00:00"/>
    <s v="31.08"/>
    <d v="2023-08-21T00:00:00"/>
    <d v="2050-01-31T00:00:00"/>
    <m/>
    <d v="2050-01-31T00:00:00"/>
    <n v="9630"/>
    <s v="O+"/>
    <s v="CA Inter-2020"/>
    <s v="01.05"/>
    <s v="00.00"/>
    <s v="01.05"/>
    <s v="00044335"/>
    <s v="Internal Audit Corporate"/>
    <s v="317208"/>
    <s v="Lead – Internal Audit"/>
    <s v="Corporate"/>
    <s v="0090000035"/>
    <s v="Internal Audit"/>
    <s v="2000CS"/>
    <s v="20055802"/>
    <s v="Pawan Kumar Baid"/>
    <s v="No"/>
    <s v="rohit.sharma2@amns.in"/>
    <s v="7004584854"/>
    <s v="648539"/>
    <s v="Dhruv Vyas"/>
    <s v="Anil Matoo"/>
    <s v="Praveen Kuruvalli"/>
    <s v="Dhruv Vyas"/>
    <n v="0"/>
  </r>
  <r>
    <n v="7656"/>
    <n v="40001771"/>
    <s v="Canakapalli Hanumanth Rao"/>
    <s v="AM/NS India"/>
    <s v="Onroll"/>
    <s v="Advisor"/>
    <n v="4"/>
    <s v="M-4"/>
    <s v="Advisor"/>
    <s v="M"/>
    <s v="Vizag"/>
    <n v="3"/>
    <s v="2095"/>
    <x v="4"/>
    <n v="36.01"/>
    <s v="Deepak Sindkar"/>
    <s v="Hrishikesh Kamat"/>
    <n v="7"/>
    <s v="Procurement"/>
    <s v="Raw Materials"/>
    <s v="36"/>
    <s v="Advisor - NMDC &amp; Railways CO-Ordination"/>
    <m/>
    <s v="Bulk Raw Materials"/>
    <s v="Bulk Raw Materials"/>
    <m/>
    <s v="Non Technical Support"/>
    <s v="Commercial"/>
    <s v="Procurement"/>
    <s v="73803001"/>
    <s v="Procurement"/>
    <s v="Hyderabad"/>
    <d v="1951-09-26T00:00:00"/>
    <s v="71.11"/>
    <d v="2013-03-04T00:00:00"/>
    <d v="2009-09-30T00:00:00"/>
    <d v="2023-12-31T00:00:00"/>
    <d v="2023-12-31T00:00:00"/>
    <n v="102"/>
    <s v=""/>
    <s v="BE-1974"/>
    <s v="38.00"/>
    <s v="10.06"/>
    <s v="48.06"/>
    <s v="72150107"/>
    <s v="Vizag Operations"/>
    <s v="70328454"/>
    <s v="Advisor - NMDC &amp; Railways CO-Ordination"/>
    <s v="Non-payroll-relevant"/>
    <s v="0028030019"/>
    <s v="VIZ-Personnel &amp; Admi"/>
    <s v="2000VIZOPS"/>
    <s v="20000547"/>
    <s v="Ravindranath Modekurthi"/>
    <s v="No"/>
    <s v="hanumanth.rao@amns.in"/>
    <s v="9502701230"/>
    <s v="21893"/>
    <s v="Dhruv Vyas"/>
    <s v="Anil Matoo"/>
    <s v="Praveen Kuruvalli"/>
    <s v="Dhruv Vyas"/>
    <n v="0"/>
  </r>
  <r>
    <n v="7752"/>
    <n v="40002452"/>
    <s v="Shantilal Dhansukhbhai Patel"/>
    <s v="AM/NS India"/>
    <s v="Onroll"/>
    <s v="Advisor"/>
    <n v="8"/>
    <s v="M-8"/>
    <s v="Advisor"/>
    <s v="M"/>
    <s v="Hazira"/>
    <n v="1"/>
    <s v="2137"/>
    <x v="12"/>
    <s v="35.01"/>
    <s v="Hrishikesh Kamat"/>
    <s v="Hrishikesh Kamat"/>
    <n v="7"/>
    <s v="Procurement"/>
    <s v="Land Acquisition"/>
    <s v="35"/>
    <s v="Advisor - Land Acqusition"/>
    <m/>
    <s v="Land Acquisition"/>
    <s v="Land Acquisition"/>
    <s v=""/>
    <s v="Non Technical Support"/>
    <s v="Commercial"/>
    <s v="Contracts &amp; Tenders and E-bid"/>
    <s v="73805001"/>
    <s v="Contracts &amp; Tenders and E"/>
    <s v="AM/NS Hazira"/>
    <d v="1962-02-07T00:00:00"/>
    <s v="61.07"/>
    <d v="2021-05-17T00:00:00"/>
    <d v="2020-02-29T00:00:00"/>
    <d v="2023-05-16T00:00:00"/>
    <d v="2023-05-16T00:00:00"/>
    <n v="-127"/>
    <s v="B+"/>
    <s v="BCom-1984 , Intermediate-1980 , SSLC-197"/>
    <s v="38.03"/>
    <s v="02.04"/>
    <s v="40.07"/>
    <s v="70495436"/>
    <s v="Land Property"/>
    <s v="70495786"/>
    <s v="Advisor - Land Matters"/>
    <s v="Hazira"/>
    <s v="0031950038"/>
    <s v="HZ-Hazira Land Acqui"/>
    <s v="2000HWO"/>
    <s v="20059561"/>
    <s v="Bhavdip Jathal"/>
    <s v="No"/>
    <s v="shantilal.patel@amns.in"/>
    <s v="9825055371"/>
    <s v="838199"/>
    <s v="Dhruv Vyas"/>
    <s v="Anil Matoo"/>
    <s v="Praveen Kuruvalli"/>
    <s v="Dhruv Vyas"/>
    <n v="0"/>
  </r>
  <r>
    <n v="7763"/>
    <n v="40002494"/>
    <s v="Prabhatbhai Desai"/>
    <s v="AM/NS India"/>
    <s v="Onroll"/>
    <s v="Advisor"/>
    <n v="6"/>
    <s v="M-6"/>
    <s v="Advisor"/>
    <s v="M"/>
    <s v="Hazira"/>
    <n v="1"/>
    <s v="2039"/>
    <x v="12"/>
    <s v="43.01"/>
    <s v="Sangeeta Munjal"/>
    <s v="Manu Kapoor"/>
    <n v="10"/>
    <s v="Corporate Affairs"/>
    <s v="Corporate Affairs"/>
    <s v="43"/>
    <s v="Advisor - Land Acqusition"/>
    <m/>
    <s v="Land Acquisition"/>
    <s v=""/>
    <s v=""/>
    <s v="Non Technical Support"/>
    <s v="Corporate Relations"/>
    <s v="Corporate Affairs"/>
    <s v="74501001"/>
    <s v="Corporate Affairs"/>
    <s v="AM/NS Hazira"/>
    <d v="1959-05-31T00:00:00"/>
    <s v="64.03"/>
    <d v="2022-01-25T00:00:00"/>
    <d v="2017-05-31T00:00:00"/>
    <d v="2024-03-31T00:00:00"/>
    <d v="2024-03-31T00:00:00"/>
    <n v="193"/>
    <s v="O+"/>
    <s v="BA-1982 , Intermediate-1979 , SSLC-1977"/>
    <s v="34.05"/>
    <s v="01.07"/>
    <s v="36.00"/>
    <s v="70495436"/>
    <s v="Land Property"/>
    <s v="272202"/>
    <s v="Advisor Corporate Affairs"/>
    <s v="Hazira"/>
    <s v="0090000021"/>
    <s v="Corporate Affairs"/>
    <s v="2000HWO"/>
    <s v="20059561"/>
    <s v="Bhavdip Jathal"/>
    <s v="No"/>
    <s v="prabhatbhai.desai@amns.in"/>
    <s v="9825034045"/>
    <s v="878191"/>
    <s v="Dhruv Vyas"/>
    <s v="Anil Matoo"/>
    <s v="Praveen Kuruvalli"/>
    <s v="Dhruv Vyas"/>
    <n v="0"/>
  </r>
  <r>
    <n v="7769"/>
    <n v="40002500"/>
    <s v="Himanshu Parekh"/>
    <s v="AM/NS India"/>
    <s v="Onroll"/>
    <s v="Advisor"/>
    <n v="4"/>
    <s v="M-4"/>
    <s v="Advisor"/>
    <s v="M"/>
    <s v="Hazira"/>
    <n v="1"/>
    <s v="2137"/>
    <x v="12"/>
    <s v="35.01"/>
    <s v="Hrishikesh Kamat"/>
    <s v="Hrishikesh Kamat"/>
    <n v="7"/>
    <s v="Procurement"/>
    <s v="Land Acquisition"/>
    <s v="35"/>
    <s v="Advisor - Land Acqusition"/>
    <m/>
    <s v="Land Acquisition"/>
    <s v=""/>
    <s v=""/>
    <s v="Non Technical Support"/>
    <s v="Corporate Relations"/>
    <s v="Corporate Affairs"/>
    <s v="74501001"/>
    <s v="Corporate Affairs"/>
    <s v="AM/NS Hazira"/>
    <d v="1962-01-21T00:00:00"/>
    <s v="61.07"/>
    <d v="2022-03-01T00:00:00"/>
    <d v="2020-01-31T00:00:00"/>
    <d v="2024-02-29T00:00:00"/>
    <d v="2024-02-29T00:00:00"/>
    <n v="162"/>
    <s v="O+"/>
    <s v="SSLC-1977"/>
    <s v=""/>
    <s v="01.06"/>
    <s v="01.06"/>
    <s v="70494938"/>
    <s v="Corporate Affairs"/>
    <s v="275232"/>
    <s v="Advisor – Land Matters"/>
    <s v="Hazira"/>
    <s v="0090000021"/>
    <s v="Corporate Affairs"/>
    <s v="2000HWO"/>
    <s v="20057928"/>
    <s v="Manu Kapoor"/>
    <s v="No"/>
    <s v="himanshu.parekh@amns.in"/>
    <s v="9978405232"/>
    <s v="884276"/>
    <s v="Dhruv Vyas"/>
    <s v="Anil Matoo"/>
    <s v="Praveen Kuruvalli"/>
    <s v="Dhruv Vyas"/>
    <n v="0"/>
  </r>
  <r>
    <n v="7816"/>
    <n v="40002555"/>
    <s v="Alamsinh Chauhan"/>
    <s v="AM/NS India"/>
    <s v="Onroll"/>
    <s v="Advisor"/>
    <n v="7"/>
    <s v="M-7"/>
    <s v="Advisor"/>
    <s v="M"/>
    <s v="Hazira"/>
    <n v="1"/>
    <s v="2137"/>
    <x v="12"/>
    <s v="35.01"/>
    <s v="Hrishikesh Kamat"/>
    <s v="Hrishikesh Kamat"/>
    <n v="7"/>
    <s v="Procurement"/>
    <s v="Land Acquisition"/>
    <s v="35"/>
    <s v="Advisor - Land Acqusition"/>
    <m/>
    <s v="Land Acquisition"/>
    <s v=""/>
    <s v=""/>
    <s v="Non Technical Support"/>
    <s v="Corporate Relations"/>
    <s v="Corporate Affairs"/>
    <s v="74501001"/>
    <s v="Corporate Affairs"/>
    <s v="Hazira"/>
    <d v="1962-06-01T00:00:00"/>
    <s v="61.03"/>
    <d v="2022-11-28T00:00:00"/>
    <d v="2020-05-31T00:00:00"/>
    <d v="2023-11-28T00:00:00"/>
    <d v="2023-11-28T00:00:00"/>
    <n v="69"/>
    <s v="B+"/>
    <s v="Diploma-1984 , Intermediate-1976"/>
    <s v="37.09"/>
    <s v="00.09"/>
    <s v="38.06"/>
    <s v="70495436"/>
    <s v="Land Property"/>
    <s v="294610"/>
    <s v="Advisor – Land Surveyor"/>
    <s v="Hazira"/>
    <s v="0031950045"/>
    <s v="HZ-Works Accounts-Ha"/>
    <s v="2000HWO"/>
    <s v="20059561"/>
    <s v="Bhavdip Jathal"/>
    <s v="No"/>
    <s v="alamsinh.chauhan@amns.in"/>
    <s v="9825770580"/>
    <s v="1024779"/>
    <s v="Dhruv Vyas"/>
    <s v="Anil Matoo"/>
    <s v="Praveen Kuruvalli"/>
    <s v="Dhruv Vyas"/>
    <n v="0"/>
  </r>
  <r>
    <n v="7890"/>
    <n v="40002639"/>
    <s v="Balveer Bhandari"/>
    <s v="AMNS Khopoli"/>
    <s v="Onroll"/>
    <s v="Advisor"/>
    <m/>
    <m/>
    <s v="Advisor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2-06-22T00:00:00"/>
    <s v="61.03"/>
    <d v="2023-04-01T00:00:00"/>
    <d v="2022-06-30T00:00:00"/>
    <m/>
    <d v="2022-06-30T00:00:00"/>
    <n v="-447"/>
    <s v=""/>
    <s v=""/>
    <s v=""/>
    <s v="00.05"/>
    <s v="00.05"/>
    <s v="00051339"/>
    <s v="Excise"/>
    <s v="305212"/>
    <s v="New Acquisition"/>
    <s v="Non-payroll-relevant"/>
    <s v=""/>
    <s v=""/>
    <s v="1121KHOP"/>
    <s v="20055962"/>
    <s v="Navin Kewalramani"/>
    <s v="No"/>
    <s v="balveer.bhandari@amns.in"/>
    <s v="8879994156"/>
    <s v="1022220"/>
    <s v="Pritam Debbarma"/>
    <s v="Anil Matoo"/>
    <s v="-"/>
    <s v="Manjit Shah"/>
    <s v="-"/>
  </r>
  <r>
    <n v="7915"/>
    <n v="80127955"/>
    <s v="Kalpesh Raghunath Tawde"/>
    <s v="AM/NS India"/>
    <s v="Onroll"/>
    <s v="M-10"/>
    <n v="10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"/>
    <s v="Non Technical Support"/>
    <s v="Finance &amp; Accounts"/>
    <s v="Treasury"/>
    <s v="73903001"/>
    <s v="Treasury"/>
    <s v="Pune AMNS"/>
    <d v="1986-04-11T00:00:00"/>
    <s v="37.05"/>
    <d v="2007-08-16T00:00:00"/>
    <d v="2044-04-30T00:00:00"/>
    <m/>
    <d v="2044-04-30T00:00:00"/>
    <n v="7528"/>
    <s v=""/>
    <s v="Diploma-2007 , BCom-2006 , High School-2"/>
    <s v="09.01"/>
    <s v="16.01"/>
    <s v="25.02"/>
    <s v="70418544"/>
    <s v="Costing"/>
    <s v="70395939"/>
    <s v="Lead"/>
    <s v="Pune Facility"/>
    <s v="0035950020"/>
    <s v="Pune-F&amp;A"/>
    <s v="2000ESPF"/>
    <s v="20048971"/>
    <s v="Arindam Ganguly"/>
    <s v="No"/>
    <s v="kalpesh.tawde@amns.in"/>
    <s v="9930136551"/>
    <s v="24474"/>
    <s v="Dhruv Vyas"/>
    <s v="Anil Matoo"/>
    <s v="Praveen Kuruvalli"/>
    <s v="Dhruv Vyas"/>
    <n v="0"/>
  </r>
  <r>
    <n v="7916"/>
    <n v="80141906"/>
    <s v="Akhilesh Purohit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- Insurance"/>
    <m/>
    <s v="Risk &amp; Insurance"/>
    <s v="Risk &amp; Insurance"/>
    <s v=""/>
    <s v="Non Technical Support"/>
    <s v="International Supply &amp; Trading"/>
    <s v="Price Risk Management"/>
    <s v="72203047"/>
    <s v="Risk Management"/>
    <s v="Mumbai"/>
    <d v="1977-07-03T00:00:00"/>
    <s v="46.02"/>
    <d v="2011-03-14T00:00:00"/>
    <d v="2035-07-31T00:00:00"/>
    <m/>
    <d v="2035-07-31T00:00:00"/>
    <n v="4332"/>
    <s v="AB-"/>
    <s v="MBA-1999"/>
    <s v="07.05"/>
    <s v="12.06"/>
    <s v="19.11"/>
    <s v="70447071"/>
    <s v="Insurance &amp; Financial Risk"/>
    <s v="70490224"/>
    <s v="Lead - Insurance"/>
    <s v="Corporate"/>
    <s v="0090000028"/>
    <s v="Corporate Steel - Wo"/>
    <s v="2000CS"/>
    <s v="20017504"/>
    <s v="Appi Reddy Guttikonda"/>
    <s v="No"/>
    <s v="akhilesh.purohit@amns.in"/>
    <s v="9930134249"/>
    <s v="23598"/>
    <s v="Dhruv Vyas"/>
    <s v="Anil Matoo"/>
    <s v="Praveen Kuruvalli"/>
    <s v="Dhruv Vyas"/>
    <n v="0"/>
  </r>
  <r>
    <n v="7929"/>
    <n v="30072"/>
    <s v="David Rajkumar Ambrose"/>
    <s v="AM/NS SSL"/>
    <s v="Onroll"/>
    <s v="M-10"/>
    <n v="10"/>
    <m/>
    <s v="JM"/>
    <s v="M"/>
    <s v="Hazira"/>
    <n v="1"/>
    <m/>
    <x v="7"/>
    <s v="34.01"/>
    <s v="Ambrish Chaturvedi"/>
    <s v="Hrishikesh Kamat"/>
    <n v="7"/>
    <s v="Procurement"/>
    <s v="Stores &amp; Warehouse"/>
    <s v="34"/>
    <s v="Lead - Diesel supply"/>
    <m/>
    <s v="Stores &amp; Warehouse"/>
    <s v="Diesel supply"/>
    <m/>
    <m/>
    <m/>
    <s v="Lead - Diesel supply"/>
    <m/>
    <m/>
    <s v="Hazira"/>
    <d v="1981-09-06T00:00:00"/>
    <n v="42.02465753424657"/>
    <d v="2020-11-01T00:00:00"/>
    <d v="2039-09-30T00:00:00"/>
    <m/>
    <d v="2039-09-30T00:00:00"/>
    <n v="5854"/>
    <s v="B+ve"/>
    <s v="B.A'-2004"/>
    <n v="14.05"/>
    <n v="2.253251197809719"/>
    <n v="16.30325119780972"/>
    <m/>
    <m/>
    <m/>
    <s v="Lead - Diesel supply"/>
    <s v="SSL"/>
    <m/>
    <m/>
    <m/>
    <n v="20001164"/>
    <s v="Snehal Anjaria"/>
    <s v="No"/>
    <s v="David.rajkumar@ssl.AMNS.in"/>
    <n v="6357192754"/>
    <n v="810319"/>
    <s v="Manjit Shah"/>
    <s v="Anil Matoo"/>
    <n v="0"/>
    <s v="Manjit Shah"/>
    <n v="0"/>
  </r>
  <r>
    <n v="7933"/>
    <n v="30078"/>
    <s v="Virendra Singh"/>
    <s v="AM/NS SSL"/>
    <s v="Onroll"/>
    <s v="M-11"/>
    <n v="11"/>
    <m/>
    <s v="JM"/>
    <s v="M"/>
    <s v="Hazira"/>
    <n v="1"/>
    <m/>
    <x v="7"/>
    <s v="34.01"/>
    <s v="Ambrish Chaturvedi"/>
    <s v="Hrishikesh Kamat"/>
    <n v="7"/>
    <s v="Procurement"/>
    <s v="Stores &amp; Warehouse"/>
    <s v="34"/>
    <s v="Lead - Stores &amp; Warehouse"/>
    <m/>
    <s v="Stores &amp; Warehouse"/>
    <s v="Stores &amp; Warehouse"/>
    <m/>
    <m/>
    <m/>
    <s v="Lead - Stores &amp; Warehouse"/>
    <m/>
    <m/>
    <s v="Hazira"/>
    <d v="1987-05-14T00:00:00"/>
    <n v="36.33698630136986"/>
    <d v="2021-01-02T00:00:00"/>
    <d v="2045-05-31T00:00:00"/>
    <m/>
    <d v="2045-05-31T00:00:00"/>
    <n v="7924"/>
    <s v="O+ve"/>
    <s v="BA'2009, DBM'2011"/>
    <n v="8.050000000000001"/>
    <n v="2.083504449007529"/>
    <n v="10.13350444900753"/>
    <m/>
    <m/>
    <m/>
    <s v="Lead - Stores &amp; Warehouse"/>
    <s v="SSL"/>
    <m/>
    <m/>
    <m/>
    <n v="20001164"/>
    <s v="Snehal Anjaria"/>
    <s v="No"/>
    <s v="Virendra.Singh@ssl.AMNS.in"/>
    <n v="9925241063"/>
    <n v="818991"/>
    <s v="Manjit Shah"/>
    <s v="Anil Matoo"/>
    <n v="0"/>
    <s v="Manjit Shah"/>
    <n v="0"/>
  </r>
  <r>
    <n v="7998"/>
    <n v="30094"/>
    <s v="Prashant Vilas Mandavekar"/>
    <s v="AM/NS SSL"/>
    <s v="Onroll"/>
    <s v="M-9"/>
    <n v="9"/>
    <m/>
    <s v="JM"/>
    <s v="M"/>
    <s v="Hazira"/>
    <n v="1"/>
    <m/>
    <x v="23"/>
    <s v="26.11"/>
    <s v="Anil Matoo"/>
    <s v="Ashutosh Telang"/>
    <n v="6"/>
    <s v="HR &amp; Administration"/>
    <s v="Payroll Administration"/>
    <s v="26"/>
    <s v="Lead - HR, IR &amp; Admin"/>
    <m/>
    <s v="HR, IR &amp; Admin"/>
    <s v="HR, IR &amp; Admin"/>
    <m/>
    <m/>
    <m/>
    <s v="Lead - HR, IR &amp; Admin"/>
    <m/>
    <m/>
    <s v="Hazira"/>
    <d v="1988-02-25T00:00:00"/>
    <n v="35.55068493150685"/>
    <d v="2021-06-15T00:00:00"/>
    <d v="2046-02-28T00:00:00"/>
    <m/>
    <d v="2046-02-28T00:00:00"/>
    <n v="8197"/>
    <s v="O+ve"/>
    <s v="MBA- HR 2012, BHTMS 2008"/>
    <n v="8"/>
    <n v="1.634496919917864"/>
    <n v="9.634496919917865"/>
    <m/>
    <m/>
    <m/>
    <s v="Lead - HR, IR &amp; Admin"/>
    <s v="SSL"/>
    <m/>
    <m/>
    <m/>
    <n v="20055071"/>
    <s v="Anirudha Bisoyi"/>
    <s v="No"/>
    <s v="Prashant.Mandavekar@ssl.AMNS.in"/>
    <n v="7486036266"/>
    <n v="846926"/>
    <s v="Manjit Shah"/>
    <s v="Anil Matoo"/>
    <n v="0"/>
    <s v="Manjit Shah"/>
    <n v="0"/>
  </r>
  <r>
    <n v="7999"/>
    <n v="30106"/>
    <s v="Pinkesh Maheshkumar Bhutwala"/>
    <s v="AM/NS SSL"/>
    <s v="Onroll"/>
    <s v="M-9"/>
    <n v="9"/>
    <m/>
    <s v="JM"/>
    <s v="M"/>
    <s v="Hazira"/>
    <n v="1"/>
    <m/>
    <x v="23"/>
    <s v="26.11"/>
    <s v="Anil Matoo"/>
    <s v="Ashutosh Telang"/>
    <n v="6"/>
    <s v="HR &amp; Administration"/>
    <s v="Payroll Administration"/>
    <s v="26"/>
    <s v="Lead - HR, IR &amp; Admin"/>
    <m/>
    <s v="HR, IR &amp; Admin"/>
    <s v="HR, IR &amp; Admin"/>
    <m/>
    <m/>
    <m/>
    <s v="Lead - HR, IR &amp; Admin"/>
    <m/>
    <m/>
    <s v="Hazira"/>
    <d v="1992-10-23T00:00:00"/>
    <n v="30.88767123287671"/>
    <d v="2022-09-01T00:00:00"/>
    <d v="2050-10-31T00:00:00"/>
    <m/>
    <d v="2050-10-31T00:00:00"/>
    <n v="9903"/>
    <s v="B+ve"/>
    <s v="P.G.D. HRM-2016,MLW-2016,B. Com.-2014"/>
    <n v="7"/>
    <n v="0.4216290212183436"/>
    <n v="7.421629021218344"/>
    <m/>
    <m/>
    <m/>
    <s v="Lead - HR, IR &amp; Admin"/>
    <s v="SSL"/>
    <m/>
    <m/>
    <m/>
    <n v="20055071"/>
    <s v="Anirudha Bisoyi"/>
    <s v="No"/>
    <s v="pinkesh.bhutwala@ssl.amns.in"/>
    <n v="9624569689"/>
    <n v="1015823"/>
    <s v="Manjit Shah"/>
    <s v="Anil Matoo"/>
    <s v="-"/>
    <s v="Manjit Shah"/>
    <s v="-"/>
  </r>
  <r>
    <n v="8000"/>
    <n v="30132"/>
    <s v="Pareshbhai Nathubhai Patel"/>
    <s v="AM/NS SSL"/>
    <s v="Onroll"/>
    <s v="M-9"/>
    <n v="9"/>
    <m/>
    <s v="JM"/>
    <s v="M"/>
    <s v="Hazira"/>
    <n v="1"/>
    <m/>
    <x v="12"/>
    <s v="35.01"/>
    <s v="Hrishikesh Kamat"/>
    <s v="Hrishikesh Kamat"/>
    <n v="7"/>
    <s v="Procurement"/>
    <s v="Land Acquisition"/>
    <s v="35"/>
    <s v="Officer-Land Acqusition"/>
    <m/>
    <s v="Land Acquisition"/>
    <s v="Land Acquisition"/>
    <m/>
    <m/>
    <m/>
    <s v="Officer-Land Matters"/>
    <m/>
    <m/>
    <s v="Hazira"/>
    <d v="1982-05-16T00:00:00"/>
    <n v="41.33424657534247"/>
    <d v="2022-10-06T00:00:00"/>
    <d v="2040-05-31T00:00:00"/>
    <m/>
    <d v="2040-05-31T00:00:00"/>
    <n v="6098"/>
    <s v="AB+ve"/>
    <s v="B.A.-2016"/>
    <n v="5"/>
    <n v="0.3258042436687201"/>
    <n v="5.325804243668721"/>
    <m/>
    <m/>
    <m/>
    <s v="Officer-Land Matters"/>
    <s v="SSL"/>
    <m/>
    <m/>
    <m/>
    <n v="20057928"/>
    <s v="Manu Kapoor"/>
    <s v="No"/>
    <s v="paresh.patel@ssl.amns.in"/>
    <n v="7283833888"/>
    <m/>
    <s v="Manjit Shah"/>
    <s v="Anil Matoo"/>
    <s v="-"/>
    <s v="Manjit Shah"/>
    <s v="-"/>
  </r>
  <r>
    <n v="8001"/>
    <n v="30140"/>
    <s v="Shurtik Prasadbhai Patel"/>
    <s v="AM/NS SSL"/>
    <s v="Onroll"/>
    <s v="M-11"/>
    <n v="11"/>
    <m/>
    <s v="JM"/>
    <s v="M"/>
    <s v="Hazira"/>
    <n v="1"/>
    <m/>
    <x v="12"/>
    <s v="35.01"/>
    <s v="Hrishikesh Kamat"/>
    <s v="Hrishikesh Kamat"/>
    <n v="7"/>
    <s v="Procurement"/>
    <s v="Land Acquisition"/>
    <s v="35"/>
    <s v="Officer-Land Matters"/>
    <m/>
    <s v="Land Acquisition"/>
    <s v="Land Matters"/>
    <m/>
    <m/>
    <m/>
    <s v="Officer-Land Matters"/>
    <m/>
    <m/>
    <s v="Hazira"/>
    <d v="2001-01-01T00:00:00"/>
    <n v="22.69041095890411"/>
    <d v="2022-11-04T00:00:00"/>
    <d v="2058-12-31T00:00:00"/>
    <m/>
    <d v="2058-12-31T00:00:00"/>
    <n v="12886"/>
    <m/>
    <s v="H.S.C.-2018, S.S.C.-2016"/>
    <n v="3"/>
    <n v="0.2464065708418891"/>
    <n v="3.246406570841889"/>
    <m/>
    <m/>
    <m/>
    <s v="Officer-Land Matters"/>
    <s v="SSL"/>
    <m/>
    <m/>
    <m/>
    <n v="20057714"/>
    <s v="Anand Purohit"/>
    <s v="No"/>
    <s v="shurtik.patel@ssl.amns.in"/>
    <n v="9925094876"/>
    <n v="1025511"/>
    <s v="Manjit Shah"/>
    <s v="Anil Matoo"/>
    <s v="-"/>
    <s v="Manjit Shah"/>
    <s v="-"/>
  </r>
  <r>
    <n v="8040"/>
    <n v="30192"/>
    <s v="Vasantbhai Patel"/>
    <s v="AM/NS SSL"/>
    <s v="Onroll"/>
    <s v="M-11"/>
    <n v="11"/>
    <m/>
    <s v="JM"/>
    <s v="M"/>
    <s v="Hazira"/>
    <n v="1"/>
    <m/>
    <x v="6"/>
    <s v="24.08"/>
    <s v="Anil Matoo"/>
    <s v="Ashutosh Telang"/>
    <n v="6"/>
    <s v="HR &amp; Administration"/>
    <s v="Administration"/>
    <s v="24"/>
    <s v="Management Associate"/>
    <m/>
    <m/>
    <m/>
    <m/>
    <m/>
    <m/>
    <s v="Management Associate"/>
    <m/>
    <m/>
    <s v="Hazira"/>
    <d v="1987-05-28T00:00:00"/>
    <n v="36.2986301369863"/>
    <d v="2023-04-01T00:00:00"/>
    <d v="2045-05-31T00:00:00"/>
    <m/>
    <d v="2045-05-31T00:00:00"/>
    <n v="7924"/>
    <s v="O+ve"/>
    <s v="SSC-2002, ITI (MMCP) - 2004"/>
    <n v="16"/>
    <n v="0.4301369863013699"/>
    <n v="16.43013698630137"/>
    <m/>
    <m/>
    <m/>
    <s v="Management Associate"/>
    <s v="SSL"/>
    <m/>
    <m/>
    <m/>
    <n v="20056012"/>
    <s v="Ujwal Punia"/>
    <s v="No"/>
    <s v="vasant.patel@ssl.amns.in"/>
    <n v="7227043135"/>
    <m/>
    <s v="Manjit Shah"/>
    <s v="Anil Matoo"/>
    <s v="-"/>
    <s v="Manjit Shah"/>
    <s v="-"/>
  </r>
  <r>
    <n v="8051"/>
    <n v="30203"/>
    <s v="Yunas Ali"/>
    <s v="AM/NS SSL"/>
    <s v="Onroll"/>
    <s v="M-11"/>
    <n v="11"/>
    <m/>
    <s v="JM"/>
    <s v="M"/>
    <s v="Hazira"/>
    <n v="1"/>
    <m/>
    <x v="6"/>
    <s v="24.08"/>
    <s v="Anil Matoo"/>
    <s v="Ashutosh Telang"/>
    <n v="6"/>
    <s v="HR &amp; Administration"/>
    <s v="Administration"/>
    <s v="24"/>
    <s v="Associate"/>
    <m/>
    <m/>
    <m/>
    <m/>
    <m/>
    <m/>
    <s v="Associate"/>
    <m/>
    <m/>
    <s v="Hazira"/>
    <d v="1974-09-01T00:00:00"/>
    <n v="49.04383561643836"/>
    <d v="2023-04-13T00:00:00"/>
    <d v="2032-08-31T00:00:00"/>
    <d v="2025-04-13T00:00:00"/>
    <d v="2025-04-13T00:00:00"/>
    <n v="3268"/>
    <s v="B+ve"/>
    <s v="Army Graduate - 2012"/>
    <n v="23"/>
    <n v="0.3972602739726027"/>
    <n v="23.3972602739726"/>
    <m/>
    <m/>
    <m/>
    <s v="Associate"/>
    <s v="SSL"/>
    <m/>
    <m/>
    <m/>
    <n v="1770495"/>
    <s v="Remya P R"/>
    <s v="No"/>
    <s v="yunas.ali@ssl.amns.in"/>
    <n v="8094347207"/>
    <m/>
    <s v="Manjit Shah"/>
    <s v="Anil Matoo"/>
    <s v="-"/>
    <s v="Manjit Shah"/>
    <s v="-"/>
  </r>
  <r>
    <n v="8066"/>
    <n v="30218"/>
    <s v="Sowmiya Venkatramani"/>
    <s v="AM/NS SSL"/>
    <s v="Onroll"/>
    <s v="M-11"/>
    <n v="11"/>
    <m/>
    <s v="JM"/>
    <s v="F"/>
    <s v="Hazira"/>
    <n v="1"/>
    <m/>
    <x v="1"/>
    <s v="22.06"/>
    <s v="Anil Matoo"/>
    <s v="Ashutosh Telang"/>
    <n v="6"/>
    <s v="HR &amp; Administration"/>
    <s v="Human Resources"/>
    <s v="22"/>
    <s v="Management Associate"/>
    <m/>
    <m/>
    <m/>
    <m/>
    <m/>
    <m/>
    <s v="Management Associate"/>
    <m/>
    <m/>
    <s v="Hazira"/>
    <s v="17/06/1992"/>
    <n v="31.23835616438356"/>
    <s v="01/08/2023"/>
    <d v="2050-06-30T00:00:00"/>
    <d v="2025-08-01T00:00:00"/>
    <d v="2025-08-01T00:00:00"/>
    <n v="9780"/>
    <s v="A+ve"/>
    <s v="MSW - 2016"/>
    <n v="5.05"/>
    <n v="0.0958904109589041"/>
    <n v="5.145890410958904"/>
    <m/>
    <m/>
    <m/>
    <s v="Management Associate"/>
    <s v="SSL"/>
    <m/>
    <m/>
    <m/>
    <n v="20001265"/>
    <s v="Lakshman Iyer"/>
    <s v="No"/>
    <s v="sowmiya.venkatramani@ssl.amns.in"/>
    <n v="9662315712"/>
    <m/>
    <s v="Manjit Shah"/>
    <s v="Anil Matoo"/>
    <s v="-"/>
    <s v="Manjit Shah"/>
    <s v="-"/>
  </r>
  <r>
    <n v="8068"/>
    <n v="30220"/>
    <s v="Jennifer Varghese"/>
    <s v="AM/NS SSL"/>
    <s v="Onroll"/>
    <s v="M-11"/>
    <n v="11"/>
    <m/>
    <s v="JM"/>
    <s v="F"/>
    <s v="Hazira"/>
    <n v="1"/>
    <m/>
    <x v="6"/>
    <s v="24.08"/>
    <s v="Anil Matoo"/>
    <s v="Ashutosh Telang"/>
    <n v="6"/>
    <s v="HR &amp; Administration"/>
    <s v="Administration"/>
    <s v="24"/>
    <s v="Associate"/>
    <m/>
    <m/>
    <m/>
    <m/>
    <m/>
    <m/>
    <s v="Associate"/>
    <m/>
    <m/>
    <s v="Hazira"/>
    <s v="05/11/1990"/>
    <n v="32.85479452054795"/>
    <s v="07/08/2023"/>
    <d v="2048-11-30T00:00:00"/>
    <d v="2025-08-07T00:00:00"/>
    <d v="2025-08-07T00:00:00"/>
    <n v="9203"/>
    <s v="B +ve"/>
    <s v="B.Com. - 2012"/>
    <n v="10"/>
    <n v="0.07945205479452055"/>
    <n v="10.07945205479452"/>
    <m/>
    <m/>
    <m/>
    <s v="Associate"/>
    <s v="SSL"/>
    <m/>
    <m/>
    <m/>
    <n v="20057891"/>
    <s v="Bhavik Mehta"/>
    <s v="No"/>
    <s v="jennifer.varghese@ssl.amns.in"/>
    <n v="7045727810"/>
    <m/>
    <s v="Manjit Shah"/>
    <s v="Anil Matoo"/>
    <s v="-"/>
    <s v="Manjit Shah"/>
    <s v="-"/>
  </r>
  <r>
    <n v="8068"/>
    <n v="1111"/>
    <s v="Vidyasagar Kona"/>
    <s v="AM/NS India"/>
    <m/>
    <s v="M-6"/>
    <m/>
    <m/>
    <m/>
    <m/>
    <s v="Corporate"/>
    <m/>
    <m/>
    <x v="19"/>
    <m/>
    <s v="Raghavan Aravamudhan"/>
    <s v="Dilip Oommen"/>
    <m/>
    <s v="CEO Office"/>
    <s v="Business Strategy"/>
    <m/>
    <s v="Analyst - Business Strategy"/>
    <m/>
    <s v="Business Strategy"/>
    <s v="Business Strateg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count="1030">
  <r>
    <n v="1"/>
    <n v="20000057"/>
    <s v="Vivek Sanil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Section Head - Banking"/>
    <m/>
    <s v="Treasury &amp; Banking"/>
    <s v="Banking"/>
    <s v="Treasury &amp; Finance"/>
    <s v="Non Technical Support"/>
    <s v="Finance &amp; Accounts"/>
    <s v="Treasury"/>
    <s v="73903001"/>
    <s v="Treasury"/>
    <s v="Mumbai"/>
    <d v="1966-08-12T00:00:00"/>
    <s v="57.01"/>
    <d v="1987-01-01T00:00:00"/>
    <d v="2024-08-31T00:00:00"/>
    <m/>
    <d v="2024-08-31T00:00:00"/>
    <n v="346"/>
    <s v="O-"/>
    <s v="BCom-1989"/>
    <s v=""/>
    <s v="36.08"/>
    <s v="36.08"/>
    <s v="70101920"/>
    <s v="Treasury - Mumbai"/>
    <s v="72153381"/>
    <s v="Section Head - Banking"/>
    <s v="Hazira"/>
    <s v="0090000028"/>
    <s v="Corporate Steel - Wo"/>
    <s v="2000HWO"/>
    <s v="20000870"/>
    <s v="Balajee M"/>
    <s v="No"/>
    <s v="vivek.sanil@amns.in"/>
    <s v="9819730117"/>
    <s v="23918"/>
    <s v="Dhruv Vyas"/>
    <s v="Anil Matoo"/>
    <s v="Praveen Kuruvalli"/>
    <s v="Dhruv Vyas"/>
    <n v="0"/>
  </r>
  <r>
    <n v="2"/>
    <n v="20000083"/>
    <s v="Anil Matoo"/>
    <s v="AM/NS India"/>
    <s v="Onroll"/>
    <s v="M-2"/>
    <n v="2"/>
    <m/>
    <s v="TM"/>
    <s v="M"/>
    <s v="Corporate"/>
    <n v="7"/>
    <s v="2015"/>
    <x v="1"/>
    <s v="22.06"/>
    <s v="Ashutosh Telang"/>
    <s v="Ashutosh Telang"/>
    <n v="6"/>
    <s v="HR &amp; Administration"/>
    <s v="Human Resources"/>
    <s v="22"/>
    <s v="Head - HR IR &amp; Admin"/>
    <m/>
    <s v="Human Resources"/>
    <s v="HR &amp; Administration"/>
    <s v="HR &amp; Administration"/>
    <s v="Non Technical Support"/>
    <s v="Human Resources Management"/>
    <s v="Human Resources Management"/>
    <s v="73501001"/>
    <s v="Human Resources"/>
    <s v="AM/NS Hazira"/>
    <d v="1964-04-29T00:00:00"/>
    <s v="59.04"/>
    <d v="1988-08-29T00:00:00"/>
    <d v="2024-04-30T00:00:00"/>
    <m/>
    <d v="2024-04-30T00:00:00"/>
    <n v="223"/>
    <s v="O-"/>
    <s v="MBA-2011 , MSW-1988 , BSc-1988"/>
    <s v="01.00"/>
    <s v="35.00"/>
    <s v="36.00"/>
    <s v="70040651"/>
    <s v="HR Operations, IR &amp; Administration"/>
    <s v="70444350"/>
    <s v="Head - HR IR &amp; Admin"/>
    <s v="Confidential Payroll"/>
    <s v="0090000018"/>
    <s v="CORP Group - HR"/>
    <s v="2000CS"/>
    <s v="20059024"/>
    <s v="Keiji Kubota"/>
    <s v="No"/>
    <s v="anil.matoo@amns.in"/>
    <s v="9879102999"/>
    <s v="22563"/>
    <s v="Dhruv Vyas"/>
    <s v="Anil Matoo"/>
    <s v="Praveen Kuruvalli"/>
    <s v="Dhruv Vyas"/>
    <n v="0"/>
  </r>
  <r>
    <n v="3"/>
    <n v="20000103"/>
    <s v="M K Sachidanandan Panicker"/>
    <s v="AM/NS India"/>
    <s v="Onroll"/>
    <s v="M-5"/>
    <n v="5"/>
    <m/>
    <s v="MM"/>
    <s v="M"/>
    <s v="Hazira"/>
    <n v="1"/>
    <s v="2039"/>
    <x v="2"/>
    <s v="43.01"/>
    <s v="Sangeeta Munjal"/>
    <s v="Manu Kapoor"/>
    <n v="10"/>
    <s v="Corporate Affairs"/>
    <s v="Corporate Affairs"/>
    <s v="43"/>
    <s v="Sr. Lead - Corporate Affairs"/>
    <m/>
    <s v="Corporate Affairs"/>
    <s v="Corporate Relations Group"/>
    <s v="Corporate Relations Group"/>
    <s v="Non Technical Support"/>
    <s v="Corporate Relations"/>
    <s v="Corporate Affairs"/>
    <s v="74501001"/>
    <s v="Corporate Affairs"/>
    <s v="Ahmedabad"/>
    <d v="1962-05-15T00:00:00"/>
    <s v="61.04"/>
    <d v="1989-04-10T00:00:00"/>
    <d v="2020-05-31T00:00:00"/>
    <d v="2024-03-31T00:00:00"/>
    <d v="2024-03-31T00:00:00"/>
    <n v="193"/>
    <s v="A-"/>
    <s v="Intermediate-1998 , BA-1998"/>
    <s v="06.07"/>
    <s v="34.05"/>
    <s v="41.00"/>
    <s v="70492729"/>
    <s v="Corporate Affairs - Gujarat"/>
    <s v="70323864"/>
    <s v="JGM - Corporate Affairs"/>
    <s v="Hazira"/>
    <s v="0090000016"/>
    <s v="Corporate Steel - Co"/>
    <s v="2000HWO"/>
    <s v="20055200"/>
    <s v="Umesh Nayak"/>
    <s v="No"/>
    <s v="sachidanandan.panicker@amns.in"/>
    <s v="9979868801"/>
    <s v="22965"/>
    <s v="Dhruv Vyas"/>
    <s v="Anil Matoo"/>
    <s v="Praveen Kuruvalli"/>
    <s v="Dhruv Vyas"/>
    <n v="0"/>
  </r>
  <r>
    <n v="7"/>
    <n v="20000138"/>
    <s v="Suresh Iyer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- Internal Contro &amp; SOX"/>
    <m/>
    <s v="Internal Control &amp; SOX"/>
    <s v="Internal Control &amp; SOX"/>
    <s v="Internal Audit"/>
    <s v="Non Technical Support"/>
    <s v="Chairman's Secretariat"/>
    <s v="Chairman's Secretariat"/>
    <s v="74701000"/>
    <s v="Chairman's Secretariat"/>
    <s v="Mumbai"/>
    <d v="1965-08-25T00:00:00"/>
    <s v="58.00"/>
    <d v="1989-10-16T00:00:00"/>
    <d v="2023-08-31T00:00:00"/>
    <m/>
    <d v="2023-08-31T00:00:00"/>
    <n v="-20"/>
    <s v="O-"/>
    <s v="ICWA Final-1989 , CA Final-1989"/>
    <s v=""/>
    <s v="33.11"/>
    <s v="33.11"/>
    <s v="72150219"/>
    <s v="Internal Control &amp; SOX -1"/>
    <s v="70028340"/>
    <s v="Head - Internal Contro &amp; SOX"/>
    <s v="Corporate"/>
    <s v="0031950043"/>
    <s v="HZ-Performance Manag"/>
    <s v="2000CS"/>
    <s v="20055088"/>
    <s v="Amit Harlalka"/>
    <s v="No"/>
    <s v="suresh.iyer@amns.in"/>
    <s v="9819730194"/>
    <s v="21934"/>
    <s v="Dhruv Vyas"/>
    <s v="Anil Matoo"/>
    <s v="Praveen Kuruvalli"/>
    <s v="Dhruv Vyas"/>
    <n v="0"/>
  </r>
  <r>
    <n v="11"/>
    <n v="20000200"/>
    <s v="A Venkateswara Rao"/>
    <s v="AM/NS India"/>
    <s v="Onroll"/>
    <s v="M-6"/>
    <n v="6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Section In-Charge- Procurement"/>
    <m/>
    <s v="Procurement"/>
    <s v="Purchase"/>
    <s v="Purchase"/>
    <s v="Non Technical Support"/>
    <s v="Commercial"/>
    <s v="Purchase"/>
    <s v="73804001"/>
    <s v="Purchase"/>
    <s v="Vizag"/>
    <d v="1966-08-31T00:00:00"/>
    <s v="57.00"/>
    <d v="1990-08-08T00:00:00"/>
    <d v="2024-08-31T00:00:00"/>
    <m/>
    <d v="2024-08-31T00:00:00"/>
    <n v="346"/>
    <s v="B-"/>
    <s v="Diploma-2011 , MBA-2011 , BCom-1988"/>
    <s v="01.06"/>
    <s v="33.01"/>
    <s v="34.07"/>
    <s v="00048348"/>
    <s v="Procurement - Vizag"/>
    <s v="72150331"/>
    <s v="Section In-Charge- Procurement"/>
    <s v="Vizag"/>
    <s v="0028030019"/>
    <s v="VIZ-Personnel &amp; Admi"/>
    <s v="2000VIZOPS"/>
    <s v="20011945"/>
    <s v="Raghavendra Rao Yerramsetty"/>
    <s v="No"/>
    <s v="venkateshwara.rao@amns.in"/>
    <s v="9885310935"/>
    <s v="23719"/>
    <s v="DS Varma"/>
    <s v="Anil Matoo"/>
    <s v="Praveen Kuruvalli"/>
    <s v="Dhruv Vyas"/>
    <n v="0"/>
  </r>
  <r>
    <n v="12"/>
    <n v="20000201"/>
    <s v="Manish Bakriwala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Head -Procurement (MRO/IP &amp; Consumables"/>
    <m/>
    <s v="Procurement MRO Hazira"/>
    <s v="Procurement"/>
    <s v="Procurement"/>
    <s v="Non Technical Support"/>
    <s v="Commercial"/>
    <s v="Procurement"/>
    <s v="73803001"/>
    <s v="Procurement"/>
    <s v="AM/NS Hazira"/>
    <d v="1968-04-06T00:00:00"/>
    <s v="55.05"/>
    <d v="1990-08-20T00:00:00"/>
    <d v="2026-04-30T00:00:00"/>
    <m/>
    <d v="2026-04-30T00:00:00"/>
    <n v="953"/>
    <s v="AB-"/>
    <s v="BE-1985 , Intermediate-1985"/>
    <s v="00.08"/>
    <s v="33.00"/>
    <s v="33.08"/>
    <s v="72150383"/>
    <s v="Procurement (MRO/IP &amp; Consumable)"/>
    <s v="72152818"/>
    <s v="Head -Procurement (MRO/IP &amp; Consumables"/>
    <s v="Hazira"/>
    <s v="0031950048"/>
    <s v="HZ-Procurment Depart"/>
    <s v="2000HWO"/>
    <s v="20055090"/>
    <s v="Hrishikesh Kamat"/>
    <s v="No"/>
    <s v="manish.bakriwala@amns.in"/>
    <s v="9909901215"/>
    <s v="21143"/>
    <s v="Dhruv Vyas"/>
    <s v="Anil Matoo"/>
    <s v="Praveen Kuruvalli"/>
    <s v="Dhruv Vyas"/>
    <n v="0"/>
  </r>
  <r>
    <n v="19"/>
    <n v="20000253"/>
    <s v="Deepak Sindkar"/>
    <s v="AM/NS India"/>
    <s v="Onroll"/>
    <s v="M-3"/>
    <n v="3"/>
    <m/>
    <s v="SM"/>
    <s v="M"/>
    <s v="Hazira"/>
    <n v="1"/>
    <s v="2095"/>
    <x v="4"/>
    <n v="36.01"/>
    <s v="Hrishikesh Kamat"/>
    <s v="Hrishikesh Kamat"/>
    <n v="7"/>
    <s v="Procurement"/>
    <s v="Raw Materials"/>
    <s v="36"/>
    <s v="Head - Bulk Raw Material"/>
    <m/>
    <s v="Bulk Raw Materials"/>
    <s v="Raw Material"/>
    <s v="Bulk Raw Material"/>
    <s v="Non Technical Support"/>
    <s v="Commercial"/>
    <s v="Procurement"/>
    <s v="73803001"/>
    <s v="Procurement"/>
    <s v="AM/NS Hazira"/>
    <d v="1967-12-11T00:00:00"/>
    <s v="55.09"/>
    <d v="1991-04-22T00:00:00"/>
    <d v="2025-12-31T00:00:00"/>
    <m/>
    <d v="2025-12-31T00:00:00"/>
    <n v="833"/>
    <s v="B-"/>
    <s v="PG Diploma in Management-1991 , BE-1991"/>
    <s v=""/>
    <s v="32.04"/>
    <s v="32.04"/>
    <s v="70072409"/>
    <s v="Bulk Raw Materials"/>
    <s v="72150892"/>
    <s v="Head - Bulk Raw Material"/>
    <s v="Confidential Payroll"/>
    <s v="0031950048"/>
    <s v="HZ-Procurment Depart"/>
    <s v="2000HWO"/>
    <s v="20055090"/>
    <s v="Hrishikesh Kamat"/>
    <s v="No"/>
    <s v="deepak.sindkar@amns.in"/>
    <s v="9879100345"/>
    <s v="24214"/>
    <s v="Dhruv Vyas"/>
    <s v="Anil Matoo"/>
    <s v="Praveen Kuruvalli"/>
    <s v="Dhruv Vyas"/>
    <n v="0"/>
  </r>
  <r>
    <n v="25"/>
    <n v="20000273"/>
    <s v="Satyanarayan Iyer"/>
    <s v="AM/NS India"/>
    <s v="Onroll"/>
    <s v="M-8"/>
    <n v="8"/>
    <m/>
    <s v="JM"/>
    <s v="M"/>
    <s v="Corporate"/>
    <n v="7"/>
    <s v="2260"/>
    <x v="5"/>
    <s v="01.01"/>
    <s v="Dilip Oommen"/>
    <s v="Dilip Oommen"/>
    <n v="1"/>
    <s v="CEO Office"/>
    <s v="CEO Office"/>
    <s v="01"/>
    <s v="Secretary to CEO"/>
    <m/>
    <s v="CEO Office"/>
    <s v="CEO Office"/>
    <s v=""/>
    <s v="Non Technical Support"/>
    <s v="Secretary"/>
    <s v="Secretary"/>
    <s v="74601000"/>
    <s v="Secretary"/>
    <s v="AM/NS Hazira"/>
    <d v="1963-02-17T00:00:00"/>
    <s v="60.07"/>
    <d v="1991-09-01T00:00:00"/>
    <d v="2021-02-28T00:00:00"/>
    <d v="2023-08-31T00:00:00"/>
    <d v="2023-08-31T00:00:00"/>
    <n v="-20"/>
    <s v="O-"/>
    <s v="SSLC-1978"/>
    <s v="08.03"/>
    <s v="32.00"/>
    <s v="40.03"/>
    <s v="70176006"/>
    <s v="CEO Office"/>
    <s v="70226714"/>
    <s v="Secretary to CEO"/>
    <s v="Corporate"/>
    <s v="0090000010"/>
    <s v="CEO OFFICE"/>
    <s v="2000CS"/>
    <s v="20055068"/>
    <s v="Dilip Oommen"/>
    <s v="No"/>
    <s v="satyanarayan.iyer@amns.in"/>
    <s v="9879101739"/>
    <s v="21933"/>
    <s v="Dhruv Vyas"/>
    <s v="Anil Matoo"/>
    <s v="Praveen Kuruvalli"/>
    <s v="Dhruv Vyas"/>
    <n v="0"/>
  </r>
  <r>
    <n v="31"/>
    <n v="20000318"/>
    <s v="Gulammohamad Agahasham Vahora"/>
    <s v="AM/NS India"/>
    <s v="Onroll"/>
    <s v="M-7"/>
    <n v="7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- Travel Desk"/>
    <m/>
    <s v="Administration"/>
    <s v=""/>
    <s v=""/>
    <s v="Non Technical Support"/>
    <s v="Administration"/>
    <s v="Travel Services"/>
    <s v="74106002"/>
    <s v="Transport Operations"/>
    <s v="AM/NS Hazira"/>
    <d v="1965-06-07T00:00:00"/>
    <s v="58.03"/>
    <d v="1991-11-16T00:00:00"/>
    <d v="2023-06-30T00:00:00"/>
    <d v="2024-06-30T00:00:00"/>
    <d v="2024-06-30T00:00:00"/>
    <n v="284"/>
    <s v="O-"/>
    <s v="BA-1990"/>
    <s v="02.10"/>
    <s v="31.10"/>
    <s v="34.07"/>
    <s v="00046249"/>
    <s v="Travel Desk"/>
    <s v="70493534"/>
    <s v="Head - Travel Desk"/>
    <s v="Hazira"/>
    <s v="0031950061"/>
    <s v="HZ-Human Resource"/>
    <s v="2000HWO"/>
    <s v="20000083"/>
    <s v="Anil Matoo"/>
    <s v="No"/>
    <s v="gulammohamad.vahora@amns.in"/>
    <s v="9879101212"/>
    <s v="24620"/>
    <s v="Dhruv Vyas"/>
    <s v="Anil Matoo"/>
    <s v="Praveen Kuruvalli"/>
    <s v="Dhruv Vyas"/>
    <n v="0"/>
  </r>
  <r>
    <n v="34"/>
    <n v="20000329"/>
    <s v="Ashwinbhai Patel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67-06-30T00:00:00"/>
    <s v="56.02"/>
    <d v="1991-12-02T00:00:00"/>
    <d v="2025-06-30T00:00:00"/>
    <m/>
    <d v="2025-06-30T00:00:00"/>
    <n v="649"/>
    <s v="B-"/>
    <s v="High School-1991"/>
    <s v=""/>
    <s v="31.09"/>
    <s v="31.09"/>
    <s v="00044156"/>
    <s v="Indirect Taxation - 2"/>
    <s v="70259332"/>
    <s v="Lead - Customs"/>
    <s v="Hazira"/>
    <s v="0031950044"/>
    <s v="HZ-Commercial Taxati"/>
    <s v="2000HWO"/>
    <s v="20006246"/>
    <s v="Deven Sadadiwala"/>
    <s v="No"/>
    <s v="ashwinbhai.patel@amns.in"/>
    <s v="9879102338"/>
    <s v="23094"/>
    <s v="Dhruv Vyas"/>
    <s v="Anil Matoo"/>
    <s v="Praveen Kuruvalli"/>
    <s v="Dhruv Vyas"/>
    <n v="0"/>
  </r>
  <r>
    <n v="35"/>
    <n v="20000330"/>
    <s v="Arvindbhai Patel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Receipt"/>
    <m/>
    <s v="Stores &amp; Warehouse"/>
    <s v="Stores &amp; Warehouse"/>
    <s v="&quot;&quot;&quot;Issue &amp; Receipt - Oil &amp; Gas"/>
    <s v="Non Technical Support"/>
    <s v="Commercial"/>
    <s v="Stores &amp; Warehouse"/>
    <s v="73806001"/>
    <s v="Stores &amp; Warehouse"/>
    <s v="Hazira"/>
    <d v="1967-11-14T00:00:00"/>
    <s v="55.10"/>
    <d v="1991-12-02T00:00:00"/>
    <d v="2025-11-30T00:00:00"/>
    <m/>
    <d v="2025-11-30T00:00:00"/>
    <n v="802"/>
    <s v="B-"/>
    <s v="High School-1984"/>
    <s v=""/>
    <s v="31.09"/>
    <s v="31.09"/>
    <s v="00048783"/>
    <s v="HBI, BF, Plant B &amp; Plate Mill"/>
    <s v="70226659"/>
    <s v="Section Officer - Issue/Receipt"/>
    <s v="Hazira"/>
    <s v="0031950049"/>
    <s v="HZ-Central Stores"/>
    <s v="2000HWO"/>
    <s v="20005165"/>
    <s v="Parthiv Desai"/>
    <s v="No"/>
    <s v="arvind.patel@amns.in"/>
    <s v="9879102337"/>
    <s v="23088"/>
    <s v="Dhruv Vyas"/>
    <s v="Anil Matoo"/>
    <s v="Praveen Kuruvalli"/>
    <s v="Dhruv Vyas"/>
    <n v="0"/>
  </r>
  <r>
    <n v="53"/>
    <n v="20000519"/>
    <s v="Dandu Srinivas Varma"/>
    <s v="AM/NS India"/>
    <s v="Onroll"/>
    <s v="M-5"/>
    <n v="5"/>
    <m/>
    <s v="MM"/>
    <s v="M"/>
    <s v="Vizag"/>
    <n v="3"/>
    <s v="2015"/>
    <x v="1"/>
    <s v="22.06"/>
    <s v="Anil Matoo"/>
    <s v="Ashutosh Telang"/>
    <n v="6"/>
    <s v="HR &amp; Administration"/>
    <s v="Human Resources"/>
    <s v="22"/>
    <s v="Head HR IR &amp; Admin - Vizag Asset"/>
    <m/>
    <s v="Human Resources"/>
    <s v="HR &amp; Admin"/>
    <s v="HR &amp; Admin"/>
    <s v="Non Technical Support"/>
    <s v="Human Resources Management"/>
    <s v="Human Resources Management"/>
    <s v="73501001"/>
    <s v="Human Resources"/>
    <s v="Vizag"/>
    <d v="1967-10-29T00:00:00"/>
    <s v="55.10"/>
    <d v="1993-11-01T00:00:00"/>
    <d v="2025-10-31T00:00:00"/>
    <m/>
    <d v="2025-10-31T00:00:00"/>
    <n v="772"/>
    <s v="A-"/>
    <s v="BCom-1992 , PG Diploma in Management-199"/>
    <s v=""/>
    <s v="29.10"/>
    <s v="29.10"/>
    <s v="72150111"/>
    <s v="Vizag HR Operations &amp; Administration"/>
    <s v="72150364"/>
    <s v="Head HR IR &amp; Admin - Vizag Asset"/>
    <s v="Vizag"/>
    <s v="0028030019"/>
    <s v="VIZ-Personnel &amp; Admi"/>
    <s v="2000VIZOPS"/>
    <s v="20000083"/>
    <s v="Anil Matoo"/>
    <s v="No"/>
    <s v="dandu.varma@amns.in"/>
    <s v="9885310951"/>
    <s v="24643"/>
    <s v="DS Varma"/>
    <s v="Anil Matoo"/>
    <s v="Praveen Kuruvalli"/>
    <s v="Dhruv Vyas"/>
    <n v="0"/>
  </r>
  <r>
    <n v="87"/>
    <n v="20000637"/>
    <s v="Kedar Rajwade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Electrical"/>
    <m/>
    <s v="Procurement MRO Hazira"/>
    <s v="Procurement"/>
    <s v="Electrical Switch Gears and power systems - Hazira Complex"/>
    <s v="Non Technical Support"/>
    <s v="Commercial"/>
    <s v="Procurement"/>
    <s v="73803001"/>
    <s v="Procurement"/>
    <s v="AM/NS Hazira"/>
    <d v="1971-07-19T00:00:00"/>
    <s v="52.02"/>
    <d v="1994-09-12T00:00:00"/>
    <d v="2029-07-31T00:00:00"/>
    <m/>
    <d v="2029-07-31T00:00:00"/>
    <n v="2141"/>
    <s v="O-"/>
    <s v="Diploma-1990 , Diploma-1990"/>
    <s v="01.00"/>
    <s v="29.00"/>
    <s v="30.00"/>
    <s v="00044546"/>
    <s v="Procurement Electrical"/>
    <s v="70144107"/>
    <s v="Lead – Proc Electrical"/>
    <s v="Hazira"/>
    <s v="0031950048"/>
    <s v="HZ-Procurment Depart"/>
    <s v="2000HWO"/>
    <s v="20002746"/>
    <s v="Deep Pyne"/>
    <s v="No"/>
    <s v="kedar.rajwade@amns.in"/>
    <s v="9879101151"/>
    <s v="23654"/>
    <s v="Dhruv Vyas"/>
    <s v="Anil Matoo"/>
    <s v="Praveen Kuruvalli"/>
    <s v="Dhruv Vyas"/>
    <n v="0"/>
  </r>
  <r>
    <n v="91"/>
    <n v="20000678"/>
    <s v="Bella Fernandes"/>
    <s v="AM/NS India"/>
    <s v="Onroll"/>
    <s v="M-5"/>
    <n v="5"/>
    <m/>
    <s v="MM"/>
    <s v="F"/>
    <s v="Hazira"/>
    <n v="7"/>
    <s v="2069"/>
    <x v="8"/>
    <s v="25.01"/>
    <s v="Bibek Chattopadhyay"/>
    <s v="Ashutosh Telang"/>
    <n v="6"/>
    <s v="HR &amp; Administration"/>
    <s v="Corporate Communications"/>
    <s v="25"/>
    <s v="Public Relation Officer"/>
    <m/>
    <s v="Corporate Communications"/>
    <s v="Corporate Communications"/>
    <s v="Corporate Communications"/>
    <s v="Non Technical Support"/>
    <s v="Corporate Communication"/>
    <s v="Corporate Communication"/>
    <s v="74001001"/>
    <s v="Corporate Communication"/>
    <s v="AM/NS Hazira"/>
    <d v="1962-12-02T00:00:00"/>
    <s v="60.09"/>
    <d v="1994-11-14T00:00:00"/>
    <d v="2020-12-31T00:00:00"/>
    <d v="2024-03-31T00:00:00"/>
    <d v="2024-03-31T00:00:00"/>
    <n v="193"/>
    <s v="A-"/>
    <s v="BA-1984"/>
    <s v="10.10"/>
    <s v="28.10"/>
    <s v="39.08"/>
    <s v="70318583"/>
    <s v="Communications &amp; Media Relations"/>
    <s v="70320223"/>
    <s v="JGM - Public Relations"/>
    <s v="Corporate"/>
    <s v="0090000016"/>
    <s v="Corporate Steel - Co"/>
    <s v="2000CS"/>
    <s v="20055187"/>
    <s v="Bibek Chattopadhyay"/>
    <s v="No"/>
    <s v="bella.fernandes@amns.in"/>
    <s v="9879101222"/>
    <s v="21717"/>
    <s v="Dhruv Vyas"/>
    <s v="Anil Matoo"/>
    <s v="Praveen Kuruvalli"/>
    <s v="Dhruv Vyas"/>
    <n v="0"/>
  </r>
  <r>
    <n v="92"/>
    <n v="20000679"/>
    <s v="Dinesh Mangal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- Corporate Accounts &amp; Audit"/>
    <m/>
    <s v="Corporate Accounts"/>
    <s v="Corporate Accounts &amp; Audit"/>
    <s v="Procurement"/>
    <s v="Non Technical Support"/>
    <s v="Finance &amp; Accounts"/>
    <s v="Finance &amp; Accounts"/>
    <s v="73901002"/>
    <s v="Corporate Accounts &amp; Audi"/>
    <s v="AM/NS Hazira"/>
    <d v="1971-01-03T00:00:00"/>
    <s v="52.08"/>
    <d v="1994-11-16T00:00:00"/>
    <d v="2029-01-31T00:00:00"/>
    <m/>
    <d v="2029-01-31T00:00:00"/>
    <n v="1960"/>
    <s v="B-"/>
    <s v="BCom-1994 , CA Final-1994 , Intermediate"/>
    <s v=""/>
    <s v="28.10"/>
    <s v="28.10"/>
    <s v="72150475"/>
    <s v="Corporate Accounts &amp; Audit"/>
    <s v="72152588"/>
    <s v="Head - Corporate Accounts &amp; Audit"/>
    <s v="Hazira"/>
    <s v="0090000027"/>
    <s v="Corporate Steel - Ac"/>
    <s v="2000HWO"/>
    <s v="20057933"/>
    <s v="Akiyo Omori"/>
    <s v="No"/>
    <s v="dinesh.mangal@amns.in"/>
    <s v="9879100350"/>
    <s v="22531"/>
    <s v="Dhruv Vyas"/>
    <s v="Anil Matoo"/>
    <s v="Praveen Kuruvalli"/>
    <s v="Dhruv Vyas"/>
    <n v="0"/>
  </r>
  <r>
    <n v="116"/>
    <n v="20000746"/>
    <s v="Keyur Shah"/>
    <s v="AM/NS India"/>
    <s v="Onroll"/>
    <s v="M-6"/>
    <n v="6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Senior Lead - Contracts"/>
    <m/>
    <s v="Contracts"/>
    <s v="Contracts"/>
    <s v="Plate mill, Pipe Mill, CMD/CEID, Project, Utility"/>
    <s v="Non Technical Support"/>
    <s v="Commercial"/>
    <s v="Contracts &amp; Tenders and E-bid"/>
    <s v="73805001"/>
    <s v="Contracts &amp; Tenders and E"/>
    <s v="AM/NS Hazira"/>
    <d v="1971-03-07T00:00:00"/>
    <s v="52.06"/>
    <d v="1994-12-20T00:00:00"/>
    <d v="2029-03-31T00:00:00"/>
    <m/>
    <d v="2029-03-31T00:00:00"/>
    <n v="2019"/>
    <s v="B-"/>
    <s v="Diploma-1993 , Diploma-1993 , MBA-1990"/>
    <s v="01.10"/>
    <s v="28.09"/>
    <s v="30.07"/>
    <s v="00044538"/>
    <s v="Contracts - Steel Making Zone"/>
    <s v="72150871"/>
    <s v="Senior Lead - Contracts"/>
    <s v="Hazira"/>
    <s v="0031950047"/>
    <s v="HZ-Contracts"/>
    <s v="2000HWO"/>
    <s v="20000795"/>
    <s v="Pankaj Chaturvedi"/>
    <s v="No"/>
    <s v="keyur.shah@amns.in"/>
    <s v="9879101011"/>
    <s v="24018"/>
    <s v="Dhruv Vyas"/>
    <s v="Anil Matoo"/>
    <s v="Praveen Kuruvalli"/>
    <s v="Dhruv Vyas"/>
    <n v="0"/>
  </r>
  <r>
    <n v="132"/>
    <n v="20000795"/>
    <s v="Pankaj Chaturvedi"/>
    <s v="AM/NS India"/>
    <s v="Onroll"/>
    <s v="M-4"/>
    <n v="4"/>
    <m/>
    <s v="SM"/>
    <s v="M"/>
    <s v="Hazira"/>
    <n v="1"/>
    <s v="2054"/>
    <x v="9"/>
    <s v="32.01"/>
    <s v="Hrishikesh Kamat"/>
    <s v="Hrishikesh Kamat"/>
    <n v="7"/>
    <s v="Procurement"/>
    <s v="Contracts"/>
    <s v="32"/>
    <s v="Head –Contracts Cell"/>
    <m/>
    <s v="Contracts"/>
    <s v="Contracts"/>
    <s v="SMP 1 &amp; 2, HSM, CSP, HBI, MH"/>
    <s v="Non Technical Support"/>
    <s v="Commercial"/>
    <s v="Contracts &amp; Tenders and E-bid"/>
    <s v="73805001"/>
    <s v="Contracts &amp; Tenders and E"/>
    <s v="AM/NS Hazira"/>
    <d v="1975-12-15T00:00:00"/>
    <s v="47.09"/>
    <d v="1995-03-14T00:00:00"/>
    <d v="2033-12-31T00:00:00"/>
    <m/>
    <d v="2033-12-31T00:00:00"/>
    <n v="3755"/>
    <s v="AB-"/>
    <s v="PG Diploma in Management-2011 , Diploma-"/>
    <s v=""/>
    <s v="28.06"/>
    <s v="28.06"/>
    <s v="70495670"/>
    <s v="Contracts"/>
    <s v="72150922"/>
    <s v="Head –Contracts Cell"/>
    <s v="Hazira"/>
    <s v="0031950047"/>
    <s v="HZ-Contracts"/>
    <s v="2000HWO"/>
    <s v="20055090"/>
    <s v="Hrishikesh Kamat"/>
    <s v="No"/>
    <s v="pankaj.chaturvedi@amns.in"/>
    <s v="9879101171"/>
    <s v="21355"/>
    <s v="Dhruv Vyas"/>
    <s v="Anil Matoo"/>
    <s v="Praveen Kuruvalli"/>
    <s v="Dhruv Vyas"/>
    <n v="0"/>
  </r>
  <r>
    <n v="137"/>
    <n v="20000812"/>
    <s v="Sitaram Rege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Sales Head - Gujarat and Mumbai"/>
    <m/>
    <s v="West"/>
    <s v="West"/>
    <s v="West Zone"/>
    <s v="Non Technical Support"/>
    <s v="Sales &amp; Marketing"/>
    <s v="Sales"/>
    <s v="73104004"/>
    <s v="OEM Sales"/>
    <s v="Mumbai"/>
    <d v="1970-07-05T00:00:00"/>
    <s v="53.02"/>
    <d v="1995-04-10T00:00:00"/>
    <d v="2028-07-31T00:00:00"/>
    <m/>
    <d v="2028-07-31T00:00:00"/>
    <n v="1776"/>
    <s v="A-"/>
    <s v="PG Diploma in Management-1994"/>
    <s v="01.08"/>
    <s v="28.05"/>
    <s v="30.00"/>
    <s v="70140931"/>
    <s v="Sales Gujarat &amp; Mumbai Zone"/>
    <s v="70386150"/>
    <s v="Regional Sales Head - Gujarat and Mumbai"/>
    <s v="Hazira"/>
    <s v="0031950057"/>
    <s v="HZ-HRC - Marketing"/>
    <s v="2000HWO"/>
    <s v="20007104"/>
    <s v="Ranjan Dhar"/>
    <s v="No"/>
    <s v="sitaram.rege@amns.in"/>
    <s v="9819730641"/>
    <s v="23785"/>
    <s v="Dhruv Vyas"/>
    <s v="Anil Matoo"/>
    <s v="Praveen Kuruvalli"/>
    <s v="Dhruv Vyas"/>
    <n v="0"/>
  </r>
  <r>
    <n v="157"/>
    <n v="20000868"/>
    <s v="Chakravadhanula Venkataraman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r. Lead - Value added Product Strategy"/>
    <m/>
    <s v="Technical Marketing &amp; Application Engineering"/>
    <s v="Technical Marketing &amp; Application Engineering"/>
    <s v=""/>
    <s v="Non Technical Support"/>
    <s v="Sales &amp; Marketing"/>
    <s v="Sales"/>
    <s v="73104004"/>
    <s v="OEM Sales"/>
    <s v="Pune"/>
    <d v="1970-08-12T00:00:00"/>
    <s v="53.01"/>
    <d v="1995-06-15T00:00:00"/>
    <d v="2028-08-31T00:00:00"/>
    <m/>
    <d v="2028-08-31T00:00:00"/>
    <n v="1807"/>
    <s v="A-"/>
    <s v="MMS-1992 , BTech-1992"/>
    <s v="01.01"/>
    <s v="28.03"/>
    <s v="29.04"/>
    <s v="00052460"/>
    <s v="Auto &amp; YG"/>
    <s v="70389874"/>
    <s v="Sr. Lead - Value added Product Strategy"/>
    <s v="Hazira"/>
    <s v="0080000005"/>
    <s v="Global Markets Team"/>
    <s v="2000HWO"/>
    <s v="20056155"/>
    <s v="Kondapalli Venkateswarlu"/>
    <s v="No"/>
    <s v="srivenkataramana.chakravadhanula@amns.in"/>
    <s v="9930136471"/>
    <s v="24667"/>
    <s v="Dhruv Vyas"/>
    <s v="Anil Matoo"/>
    <s v="Praveen Kuruvalli"/>
    <s v="Dhruv Vyas"/>
    <n v="0"/>
  </r>
  <r>
    <n v="158"/>
    <n v="20000870"/>
    <s v="Balajee M"/>
    <s v="AM/NS India"/>
    <s v="Onroll"/>
    <s v="M-3"/>
    <n v="3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- Treasury &amp; Banking"/>
    <m/>
    <s v="Treasury &amp; Banking"/>
    <s v="Treasury &amp; Banking"/>
    <s v="Treasury &amp; Finance"/>
    <s v="Non Technical Support"/>
    <s v="Finance &amp; Accounts"/>
    <s v="Corporate Finance"/>
    <s v="73902001"/>
    <s v="Corporate Finance"/>
    <s v="Mumbai"/>
    <d v="1967-11-15T00:00:00"/>
    <s v="55.10"/>
    <d v="1995-06-15T00:00:00"/>
    <d v="2025-11-30T00:00:00"/>
    <m/>
    <d v="2025-11-30T00:00:00"/>
    <n v="802"/>
    <s v="AB+"/>
    <s v="PG Diploma in Management-1989 , BSc Engg"/>
    <s v="04.02"/>
    <s v="28.03"/>
    <s v="32.04"/>
    <s v="70494717"/>
    <s v="Treasury &amp; Finance"/>
    <s v="70176647"/>
    <s v="Head - Treasury &amp; Banking"/>
    <s v="Confidential Payroll"/>
    <s v="0090000028"/>
    <s v="Corporate Steel - Wo"/>
    <s v="2000HWO"/>
    <s v="20057933"/>
    <s v="Akiyo Omori"/>
    <s v="No"/>
    <s v="muthukrishnan.balajee@amns.in"/>
    <s v="9819730098"/>
    <s v="21145"/>
    <s v="Dhruv Vyas"/>
    <s v="Anil Matoo"/>
    <s v="Praveen Kuruvalli"/>
    <s v="Dhruv Vyas"/>
    <n v="0"/>
  </r>
  <r>
    <n v="175"/>
    <n v="20000909"/>
    <s v="Murali Krishna Chunduru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Head Sales, South Zone"/>
    <m/>
    <s v="South"/>
    <s v="South"/>
    <s v=""/>
    <s v="Non Technical Support"/>
    <s v="Sales &amp; Marketing"/>
    <s v="Sales"/>
    <s v="73104004"/>
    <s v="OEM Sales"/>
    <s v="Chennai"/>
    <d v="1973-11-19T00:00:00"/>
    <s v="49.09"/>
    <d v="1995-07-10T00:00:00"/>
    <d v="2031-11-30T00:00:00"/>
    <m/>
    <d v="2031-11-30T00:00:00"/>
    <n v="2993"/>
    <s v="O-"/>
    <s v="BTech-1995"/>
    <s v=""/>
    <s v="28.02"/>
    <s v="28.02"/>
    <s v="72150150"/>
    <s v="Sales South Zone"/>
    <s v="70386158"/>
    <s v="Regional Head Sales, South Zone"/>
    <s v="Hazira"/>
    <s v="0031950057"/>
    <s v="HZ-HRC - Marketing"/>
    <s v="2000HWO"/>
    <s v="20007104"/>
    <s v="Ranjan Dhar"/>
    <s v="No"/>
    <s v="muralikrishna.chunduru@amns.in"/>
    <s v="9884974923"/>
    <s v="22731"/>
    <s v="Dhruv Vyas"/>
    <s v="Anil Matoo"/>
    <s v="Praveen Kuruvalli"/>
    <s v="Dhruv Vyas"/>
    <n v="0"/>
  </r>
  <r>
    <n v="178"/>
    <n v="20000926"/>
    <s v="Manishkumar Seksaria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Section Head – Pro Iron &amp; Steel Making"/>
    <m/>
    <s v="Procurement MRO Hazira"/>
    <s v="Procurement"/>
    <s v="Iron &amp; Steel Making"/>
    <s v="Non Technical Support"/>
    <s v="Commercial"/>
    <s v="Procurement"/>
    <s v="73803001"/>
    <s v="Procurement"/>
    <s v="AM/NS Hazira"/>
    <d v="1969-11-03T00:00:00"/>
    <s v="53.10"/>
    <d v="1995-08-14T00:00:00"/>
    <d v="2027-11-30T00:00:00"/>
    <m/>
    <d v="2027-11-30T00:00:00"/>
    <n v="1532"/>
    <s v="O-"/>
    <s v="BE-1995 , MBA-1995"/>
    <s v="02.00"/>
    <s v="28.01"/>
    <s v="30.01"/>
    <s v="70072411"/>
    <s v="Iron &amp; Steel Making"/>
    <s v="72150870"/>
    <s v="Section Head – Pro Iron &amp; Steel Making"/>
    <s v="Hazira"/>
    <s v="0031950048"/>
    <s v="HZ-Procurment Depart"/>
    <s v="2000HWO"/>
    <s v="20000201"/>
    <s v="Manish Bakriwala"/>
    <s v="No"/>
    <s v="manish.seksaria@amns.in"/>
    <s v="9879100306"/>
    <s v="23981"/>
    <s v="Dhruv Vyas"/>
    <s v="Anil Matoo"/>
    <s v="Praveen Kuruvalli"/>
    <s v="Dhruv Vyas"/>
    <n v="0"/>
  </r>
  <r>
    <n v="184"/>
    <n v="20000948"/>
    <s v="Hitesh Raval"/>
    <s v="AM/NS India"/>
    <s v="Onroll"/>
    <s v="M-5"/>
    <n v="5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Head -  HRC Store &amp; Inventory"/>
    <m/>
    <s v="Stores &amp; Warehouse"/>
    <s v="Stores &amp; Warehouse"/>
    <s v="HRC Store &amp; Inventory  &amp; Cataloging Mgt."/>
    <s v="Non Technical Support"/>
    <s v="Commercial"/>
    <s v="Stores &amp; Warehouse"/>
    <s v="73806001"/>
    <s v="Stores &amp; Warehouse"/>
    <s v="Hazira"/>
    <d v="1974-01-10T00:00:00"/>
    <s v="49.08"/>
    <d v="1995-11-13T00:00:00"/>
    <d v="2032-01-31T00:00:00"/>
    <m/>
    <d v="2032-01-31T00:00:00"/>
    <n v="3055"/>
    <s v="O-"/>
    <s v="Diploma-2010 , BCom-2010 , MBA-1994"/>
    <s v="01.06"/>
    <s v="27.10"/>
    <s v="29.04"/>
    <s v="70232287"/>
    <s v="HRC Store &amp; Inventory  &amp; Cataloging Mgt."/>
    <s v="70258296"/>
    <s v="&quot; Section Head -  HRC Store &amp; Inventory"/>
    <s v="Hazira"/>
    <s v="0031950049"/>
    <s v="HZ-Central Stores"/>
    <s v="2000HWO"/>
    <s v="20001240"/>
    <s v="Ambrish Chaturvedi"/>
    <s v="No"/>
    <s v="hitesh.raval@amns.in"/>
    <s v="9879101687"/>
    <s v="23760"/>
    <s v="Dhruv Vyas"/>
    <s v="Anil Matoo"/>
    <s v="Praveen Kuruvalli"/>
    <s v="Dhruv Vyas"/>
    <n v="0"/>
  </r>
  <r>
    <n v="202"/>
    <n v="20000990"/>
    <s v="Jignesh Thaker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Baroda"/>
    <d v="1975-09-16T00:00:00"/>
    <s v="48.00"/>
    <d v="1995-12-18T00:00:00"/>
    <d v="2033-09-30T00:00:00"/>
    <m/>
    <d v="2033-09-30T00:00:00"/>
    <n v="3663"/>
    <s v="B-"/>
    <s v="BA-2005 , MBA-2005 , Diploma-2000"/>
    <s v=""/>
    <s v="27.09"/>
    <s v="27.09"/>
    <s v="70394840"/>
    <s v="OEM Sales - Gujarat"/>
    <s v="70448513"/>
    <s v="Sales Manager - Hypermart"/>
    <s v="Hypermart"/>
    <s v="0060110300"/>
    <s v="HMART-Guj-Ahemedabad"/>
    <s v="2000SRET"/>
    <s v="20001736"/>
    <s v="Manoranjan Jagdhari"/>
    <s v="No"/>
    <s v="jignesh.thaker@amns.in"/>
    <s v="9879104379"/>
    <s v="24488"/>
    <s v="Dhruv Vyas"/>
    <s v="Anil Matoo"/>
    <s v="Praveen Kuruvalli"/>
    <s v="Dhruv Vyas"/>
    <n v="0"/>
  </r>
  <r>
    <n v="205"/>
    <n v="20001003"/>
    <s v="Patnana Muralidhara Rao"/>
    <s v="AM/NS India"/>
    <s v="Onroll"/>
    <s v="M-4"/>
    <n v="4"/>
    <m/>
    <s v="SM"/>
    <s v="M"/>
    <s v="Vizag"/>
    <n v="3"/>
    <s v="2013"/>
    <x v="0"/>
    <s v="20.01"/>
    <s v="Akiyo Omori"/>
    <s v="Amit Harlalka"/>
    <n v="5"/>
    <s v="Finance &amp; Accounts"/>
    <s v="Finance &amp; Accounts"/>
    <s v="20"/>
    <s v="Head - Finance &amp; Accounts, Vizag"/>
    <m/>
    <s v="Finance &amp; Accounts - Vizag"/>
    <s v="Finance &amp; Accounts"/>
    <s v="Finance &amp; Accounts"/>
    <s v="Non Technical Support"/>
    <s v="Finance &amp; Accounts"/>
    <s v="Finance &amp; Accounts"/>
    <s v="73901001"/>
    <s v="Finance &amp; Accounts"/>
    <s v="Vizag"/>
    <d v="1960-06-01T00:00:00"/>
    <s v="63.03"/>
    <d v="1996-01-25T00:00:00"/>
    <d v="2018-05-31T00:00:00"/>
    <d v="2024-03-31T00:00:00"/>
    <d v="2024-03-31T00:00:00"/>
    <n v="193"/>
    <s v="O-"/>
    <s v="CA Final-1985 , BCom-1985 , Intermediate"/>
    <s v="10.06"/>
    <s v="27.07"/>
    <s v="38.01"/>
    <s v="72150110"/>
    <s v="Finance &amp; Accounts - Vizag"/>
    <s v="72150352"/>
    <s v="Head - Finance &amp; Accounts, Vizag"/>
    <s v="Vizag"/>
    <s v="0028030019"/>
    <s v="VIZ-Personnel &amp; Admi"/>
    <s v="2000VIZOPS"/>
    <s v="20057933"/>
    <s v="Akiyo Omori"/>
    <s v="No"/>
    <s v="muralidhararao.p@amns.in"/>
    <s v="9885310922"/>
    <s v="22728"/>
    <s v="DS Varma"/>
    <s v="Anil Matoo"/>
    <s v="Praveen Kuruvalli"/>
    <s v="Dhruv Vyas"/>
    <n v="0"/>
  </r>
  <r>
    <n v="227"/>
    <n v="20001076"/>
    <s v="Bhavesh Modi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 - Accounts Payable"/>
    <m/>
    <s v="Working Capital"/>
    <s v="Accounts Payable"/>
    <s v="Export, Domestic &amp; Banking"/>
    <s v="Non Technical Support"/>
    <s v="Finance &amp; Accounts"/>
    <s v="Corporate Finance"/>
    <s v="73902004"/>
    <s v="Banking Relations"/>
    <s v="AM/NS Hazira"/>
    <d v="1975-02-07T00:00:00"/>
    <s v="48.07"/>
    <d v="1996-05-05T00:00:00"/>
    <d v="2033-02-28T00:00:00"/>
    <m/>
    <d v="2033-02-28T00:00:00"/>
    <n v="3449"/>
    <s v="A-"/>
    <s v="LLB-2005 , MBA-2005 , BCom-1997"/>
    <s v=""/>
    <s v="27.04"/>
    <s v="27.04"/>
    <s v="72150243"/>
    <s v="Accounts Payable"/>
    <s v="70258433"/>
    <s v="Head - Accounts Payable"/>
    <s v="Hazira"/>
    <s v="0031950045"/>
    <s v="HZ-Works Accounts-Ha"/>
    <s v="2000HWO"/>
    <s v="20055188"/>
    <s v="Rohit Sharma"/>
    <s v="No"/>
    <s v="bhavesh.modi@amns.in"/>
    <s v="9879101765"/>
    <s v="22662"/>
    <s v="Dhruv Vyas"/>
    <s v="Anil Matoo"/>
    <s v="Praveen Kuruvalli"/>
    <s v="Dhruv Vyas"/>
    <n v="0"/>
  </r>
  <r>
    <n v="228"/>
    <n v="20001077"/>
    <s v="Pradeep Parte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ection Head - Export Domestic &amp;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0-04-15T00:00:00"/>
    <s v="53.05"/>
    <d v="1996-05-06T00:00:00"/>
    <d v="2028-04-30T00:00:00"/>
    <m/>
    <d v="2028-04-30T00:00:00"/>
    <n v="1684"/>
    <s v="B-"/>
    <s v="MBA-2003 , Diploma-2003"/>
    <s v="06.01"/>
    <s v="27.04"/>
    <s v="33.05"/>
    <s v="70495314"/>
    <s v="Export, Domestic &amp; Banking"/>
    <s v="72150854"/>
    <s v="Section Head - Export Domestic &amp; Banking"/>
    <s v="Hazira"/>
    <s v="0031950045"/>
    <s v="HZ-Works Accounts-Ha"/>
    <s v="2000HWO"/>
    <s v="20007731"/>
    <s v="Ashish Mehta"/>
    <s v="No"/>
    <s v="pradeep.parte@amns.in"/>
    <s v="9879101840"/>
    <s v="23038"/>
    <s v="Dhruv Vyas"/>
    <s v="Anil Matoo"/>
    <s v="Praveen Kuruvalli"/>
    <s v="Dhruv Vyas"/>
    <n v="0"/>
  </r>
  <r>
    <n v="233"/>
    <n v="20001090"/>
    <s v="Sheetal Navlia"/>
    <s v="AM/NS India"/>
    <s v="Onroll"/>
    <s v="M-5"/>
    <n v="5"/>
    <m/>
    <s v="M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"/>
    <m/>
    <s v="West"/>
    <s v="OEM"/>
    <s v=""/>
    <s v="Non Technical Support"/>
    <s v="Sales &amp; Marketing"/>
    <s v="Sales"/>
    <s v="73104004"/>
    <s v="OEM Sales"/>
    <s v="Ahmedabad"/>
    <d v="1975-04-13T00:00:00"/>
    <s v="48.05"/>
    <d v="1996-06-15T00:00:00"/>
    <d v="2033-04-30T00:00:00"/>
    <m/>
    <d v="2033-04-30T00:00:00"/>
    <n v="3510"/>
    <s v="O-"/>
    <s v="BE-1996 , BE-1996"/>
    <s v=""/>
    <s v="27.03"/>
    <s v="27.03"/>
    <s v="70140931"/>
    <s v="Sales Gujarat &amp; Mumbai Zone"/>
    <s v="70334315"/>
    <s v="Sr. KAM - OEM Sales"/>
    <s v="Hazira"/>
    <s v="0031950057"/>
    <s v="HZ-HRC - Marketing"/>
    <s v="2000HWO"/>
    <s v="20000812"/>
    <s v="Sitaram Rege"/>
    <s v="No"/>
    <s v="sheetal.navlia@amns.in"/>
    <s v="9879101272"/>
    <s v="22814"/>
    <s v="Dhruv Vyas"/>
    <s v="Anil Matoo"/>
    <s v="Praveen Kuruvalli"/>
    <s v="Dhruv Vyas"/>
    <n v="0"/>
  </r>
  <r>
    <n v="239"/>
    <n v="20001102"/>
    <s v="Anil Patel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 HBI &amp; BF"/>
    <m/>
    <s v="Stores &amp; Warehouse"/>
    <s v="Stores &amp; Warehouse"/>
    <s v="Issue HBI &amp; BF"/>
    <s v="Non Technical Support"/>
    <s v="Commercial"/>
    <s v="Stores &amp; Warehouse"/>
    <s v="73806001"/>
    <s v="Stores &amp; Warehouse"/>
    <s v="Hazira"/>
    <d v="1965-08-31T00:00:00"/>
    <s v="58.00"/>
    <d v="1996-07-01T00:00:00"/>
    <d v="2023-08-31T00:00:00"/>
    <m/>
    <d v="2023-08-31T00:00:00"/>
    <n v="-20"/>
    <s v="O-"/>
    <s v="BCom-1986"/>
    <s v="06.05"/>
    <s v="27.02"/>
    <s v="33.07"/>
    <s v="00053278"/>
    <s v="GRN/Documentation/Issue - Plant A"/>
    <s v="72152514"/>
    <s v="Section Officer - Issue HBI &amp; BF"/>
    <s v="Hazira"/>
    <s v="0031950049"/>
    <s v="HZ-Central Stores"/>
    <s v="2000HWO"/>
    <s v="20002587"/>
    <s v="Seema Mehta"/>
    <s v="No"/>
    <s v="anil.patel2@amns.in"/>
    <s v="9879101854"/>
    <s v="23079"/>
    <s v="Dhruv Vyas"/>
    <s v="Anil Matoo"/>
    <s v="Praveen Kuruvalli"/>
    <s v="Dhruv Vyas"/>
    <n v="0"/>
  </r>
  <r>
    <n v="247"/>
    <n v="20001137"/>
    <s v="Bayana Prasad"/>
    <s v="AM/NS India"/>
    <s v="Onroll"/>
    <s v="M-5"/>
    <n v="5"/>
    <m/>
    <s v="MM"/>
    <s v="M"/>
    <s v="Vizag"/>
    <n v="3"/>
    <s v="2013"/>
    <x v="0"/>
    <s v="20.01"/>
    <s v="Akiyo Omori"/>
    <s v="Amit Harlalka"/>
    <n v="5"/>
    <s v="Finance &amp; Accounts"/>
    <s v="Finance &amp; Accounts"/>
    <s v="20"/>
    <s v="Section Head-Accounts payable/Receivable"/>
    <m/>
    <s v="Finance &amp; Accounts - Vizag"/>
    <s v="Finance &amp; Accounts"/>
    <s v="Accounts Payble &amp; Receivable"/>
    <s v="Non Technical Support"/>
    <s v="Finance &amp; Accounts"/>
    <s v="Finance &amp; Accounts"/>
    <s v="73901003"/>
    <s v="Accounts Payable"/>
    <s v="Vizag"/>
    <d v="1966-05-04T00:00:00"/>
    <s v="57.04"/>
    <d v="1996-11-01T00:00:00"/>
    <d v="2024-05-31T00:00:00"/>
    <m/>
    <d v="2024-05-31T00:00:00"/>
    <n v="254"/>
    <s v="O-"/>
    <s v="CA Inter-2008 , MBA-2008 , ICWA Final-19"/>
    <s v="01.07"/>
    <s v="26.10"/>
    <s v="28.05"/>
    <s v="72150243"/>
    <s v="Accounts Payable"/>
    <s v="72150357"/>
    <s v="Section Head-Accounts payable/Receivable"/>
    <s v="Vizag"/>
    <s v="0028030019"/>
    <s v="VIZ-Personnel &amp; Admi"/>
    <s v="2000VIZOPS"/>
    <s v="20001076"/>
    <s v="Bhavesh Modi"/>
    <s v="No"/>
    <s v="bayana.prasad@amns.in"/>
    <s v="9885310925"/>
    <s v="23570"/>
    <s v="DS Varma"/>
    <s v="Anil Matoo"/>
    <s v="Praveen Kuruvalli"/>
    <s v="Dhruv Vyas"/>
    <n v="0"/>
  </r>
  <r>
    <n v="248"/>
    <n v="20001139"/>
    <s v="Chetan Pandy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66-08-06T00:00:00"/>
    <s v="57.01"/>
    <d v="1996-11-15T00:00:00"/>
    <d v="2024-08-31T00:00:00"/>
    <m/>
    <d v="2024-08-31T00:00:00"/>
    <n v="346"/>
    <s v="AB-"/>
    <s v="BCom-1992"/>
    <s v="04.00"/>
    <s v="26.10"/>
    <s v="30.10"/>
    <s v="70491113"/>
    <s v="Indirect Taxation - 1"/>
    <s v="70319509"/>
    <s v="Lead - Customs"/>
    <s v="Hazira"/>
    <s v="0031950044"/>
    <s v="HZ-Commercial Taxati"/>
    <s v="2000HWO"/>
    <s v="20006246"/>
    <s v="Deven Sadadiwala"/>
    <s v="No"/>
    <s v="chetan.pandya@amns.in"/>
    <s v="9879101841"/>
    <s v="22947"/>
    <s v="Dhruv Vyas"/>
    <s v="Anil Matoo"/>
    <s v="Praveen Kuruvalli"/>
    <s v="Dhruv Vyas"/>
    <n v="0"/>
  </r>
  <r>
    <n v="255"/>
    <n v="20001164"/>
    <s v="Snehal Anjaria"/>
    <s v="AM/NS India"/>
    <s v="Onroll"/>
    <s v="M-6"/>
    <n v="6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Head - HBI BF Sinter /Trans Mgt"/>
    <m/>
    <s v="Stores &amp; Warehouse"/>
    <s v="Stores &amp; Warehouse"/>
    <s v="&quot;&quot;&quot;HBI, BF, Plant B &amp; Plate Mill-Trans Mgt-Import Logistics"/>
    <s v="Non Technical Support"/>
    <s v="Commercial"/>
    <s v="Stores &amp; Warehouse"/>
    <s v="73806001"/>
    <s v="Stores &amp; Warehouse"/>
    <s v="Hazira"/>
    <d v="1976-11-29T00:00:00"/>
    <s v="46.09"/>
    <d v="1996-12-23T00:00:00"/>
    <d v="2034-11-30T00:00:00"/>
    <m/>
    <d v="2034-11-30T00:00:00"/>
    <n v="4089"/>
    <s v="B-"/>
    <s v="Diploma-1996"/>
    <s v=""/>
    <s v="26.08"/>
    <s v="26.08"/>
    <s v="70272820"/>
    <s v="HBI, BF, Plant B &amp; Plate Mill"/>
    <s v="70320421"/>
    <s v="Section Head - HBI BF Sinter /Trans Mgt"/>
    <s v="Hazira"/>
    <s v="0031950049"/>
    <s v="HZ-Central Stores"/>
    <s v="2000HWO"/>
    <s v="20001240"/>
    <s v="Ambrish Chaturvedi"/>
    <s v="No"/>
    <s v="snehal.anjaria@amns.in"/>
    <s v="9879101700"/>
    <s v="21086"/>
    <s v="Dhruv Vyas"/>
    <s v="Anil Matoo"/>
    <s v="Praveen Kuruvalli"/>
    <s v="Dhruv Vyas"/>
    <n v="0"/>
  </r>
  <r>
    <n v="274"/>
    <n v="20001234"/>
    <s v="Anwar Khan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Payable"/>
    <m/>
    <s v="Working Capital"/>
    <s v="Accounts Payable"/>
    <s v="Bills Payable"/>
    <s v="Non Technical Support"/>
    <s v="Finance &amp; Accounts"/>
    <s v="Finance &amp; Accounts"/>
    <s v="73901003"/>
    <s v="Accounts Payable"/>
    <s v="AM/NS Hazira"/>
    <d v="1967-04-22T00:00:00"/>
    <s v="56.04"/>
    <d v="1997-03-15T00:00:00"/>
    <d v="2025-04-30T00:00:00"/>
    <m/>
    <d v="2025-04-30T00:00:00"/>
    <n v="588"/>
    <s v="O-"/>
    <s v="BCom-2011 , Certificate-2011"/>
    <s v="06.07"/>
    <s v="26.06"/>
    <s v="33.01"/>
    <s v="72150243"/>
    <s v="Accounts Payable"/>
    <s v="70320423"/>
    <s v="Sr. Lead - Accounts Payable"/>
    <s v="Hazira"/>
    <s v="0031950045"/>
    <s v="HZ-Works Accounts-Ha"/>
    <s v="2000HWO"/>
    <s v="20001076"/>
    <s v="Bhavesh Modi"/>
    <s v="No"/>
    <s v="anwar.khan1@amns.in"/>
    <s v="9879101766"/>
    <s v="22208"/>
    <s v="Dhruv Vyas"/>
    <s v="Anil Matoo"/>
    <s v="Praveen Kuruvalli"/>
    <s v="Dhruv Vyas"/>
    <n v="0"/>
  </r>
  <r>
    <n v="275"/>
    <n v="20001236"/>
    <s v="Vipul Padhiar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ost Audit &amp; Budgetary Control"/>
    <m/>
    <s v="Performance Management"/>
    <s v="Performance Management"/>
    <s v="Budgetory Control &amp; Audit"/>
    <s v="Non Technical Support"/>
    <s v="Finance &amp; Accounts"/>
    <s v="Costing"/>
    <s v="73906001"/>
    <s v="Costing"/>
    <s v="AM/NS Hazira"/>
    <d v="1972-04-18T00:00:00"/>
    <s v="51.05"/>
    <d v="1997-03-15T00:00:00"/>
    <d v="2030-04-30T00:00:00"/>
    <m/>
    <d v="2030-04-30T00:00:00"/>
    <n v="2414"/>
    <s v="AB-"/>
    <s v="MBA-2012 , ICWA Inter-2012 , MCom-2009"/>
    <s v="03.00"/>
    <s v="26.06"/>
    <s v="29.06"/>
    <s v="00045632"/>
    <s v="Costing &amp; Budgeting"/>
    <s v="70372306"/>
    <s v="Lead - Cost Audit &amp; Budgetary Control"/>
    <s v="Hazira"/>
    <s v="0031950043"/>
    <s v="HZ-Performance Manag"/>
    <s v="2000HWO"/>
    <s v="20056146"/>
    <s v="Asvinbhai Sutarsandhiya"/>
    <s v="No"/>
    <s v="vipul.padhiar@amns.in"/>
    <s v="9879101767"/>
    <s v="22878"/>
    <s v="Dhruv Vyas"/>
    <s v="Anil Matoo"/>
    <s v="Praveen Kuruvalli"/>
    <s v="Dhruv Vyas"/>
    <n v="0"/>
  </r>
  <r>
    <n v="276"/>
    <n v="20001238"/>
    <s v="Pitambar Sahu"/>
    <s v="AM/NS India"/>
    <s v="Onroll"/>
    <s v="M-6"/>
    <n v="6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- Finance &amp; Business Control"/>
    <m/>
    <s v="Finance &amp; Accounts - Odisha"/>
    <s v="Finance &amp; Accounts"/>
    <s v="Finance &amp; Business Control"/>
    <s v="Non Technical Support"/>
    <s v="Finance &amp; Accounts"/>
    <s v="Finance &amp; Accounts"/>
    <s v="73901001"/>
    <s v="Finance &amp; Accounts"/>
    <s v="Paradeep"/>
    <d v="1971-04-07T00:00:00"/>
    <s v="52.05"/>
    <d v="1997-03-15T00:00:00"/>
    <d v="2029-04-30T00:00:00"/>
    <m/>
    <d v="2029-04-30T00:00:00"/>
    <n v="2049"/>
    <s v="AB-"/>
    <s v="BCom-2009 , MBA-2009"/>
    <s v="00.08"/>
    <s v="26.06"/>
    <s v="27.02"/>
    <s v="70234933"/>
    <s v="Finance &amp; Accounts - Odisha"/>
    <s v="70298164"/>
    <s v="Lead - Finance &amp; Business Control"/>
    <s v="Odisha"/>
    <s v="0022030019"/>
    <s v="PDP-HR &amp; Admn"/>
    <s v="2000STORIS"/>
    <s v="20055801"/>
    <s v="Sanjive Kumar Singh"/>
    <s v="No"/>
    <s v="pitambar.sahu@amns.in"/>
    <s v="9437188790"/>
    <s v="23863"/>
    <s v="Sunila Das"/>
    <s v="Anil Matoo"/>
    <s v="Praveen Kuruvalli"/>
    <s v="Sunila Das"/>
    <n v="0"/>
  </r>
  <r>
    <n v="277"/>
    <n v="20001240"/>
    <s v="Ambrish Chaturvedi"/>
    <s v="AM/NS India"/>
    <s v="Onroll"/>
    <s v="M-5"/>
    <n v="5"/>
    <m/>
    <s v="MM"/>
    <s v="M"/>
    <s v="Hazira"/>
    <n v="1"/>
    <s v="2012"/>
    <x v="7"/>
    <s v="34.01"/>
    <s v="Hrishikesh Kamat"/>
    <s v="Hrishikesh Kamat"/>
    <n v="7"/>
    <s v="Procurement"/>
    <s v="Stores &amp; Warehouse"/>
    <s v="34"/>
    <s v="Head - Stores &amp; Warehouse Hazira"/>
    <m/>
    <s v="Stores &amp; Warehouse"/>
    <s v="Stores &amp; Warehouse"/>
    <s v="Operations"/>
    <s v="Non Technical Support"/>
    <s v="Commercial"/>
    <s v="Stores &amp; Warehouse"/>
    <s v="73806001"/>
    <s v="Stores &amp; Warehouse"/>
    <s v="Hazira"/>
    <d v="1967-12-29T00:00:00"/>
    <s v="55.08"/>
    <d v="1997-03-18T00:00:00"/>
    <d v="2025-12-31T00:00:00"/>
    <m/>
    <d v="2025-12-31T00:00:00"/>
    <n v="833"/>
    <s v="O-"/>
    <s v="BSc-1989"/>
    <s v="06.05"/>
    <s v="26.06"/>
    <s v="32.11"/>
    <s v="70072413"/>
    <s v="Stores &amp; Warehouse - Hazira"/>
    <s v="70258469"/>
    <s v="Head - Stores &amp; Warehouse Hazira"/>
    <s v="Hazira"/>
    <s v="0031950049"/>
    <s v="HZ-Central Stores"/>
    <s v="2000HWO"/>
    <s v="20055090"/>
    <s v="Hrishikesh Kamat"/>
    <s v="No"/>
    <s v="ambrish.chaturvedi@amns.in"/>
    <s v="9879101611"/>
    <s v="21353"/>
    <s v="Dhruv Vyas"/>
    <s v="Anil Matoo"/>
    <s v="Praveen Kuruvalli"/>
    <s v="Dhruv Vyas"/>
    <n v="0"/>
  </r>
  <r>
    <n v="284"/>
    <n v="20001265"/>
    <s v="Lakshman Iyer"/>
    <s v="AM/NS India"/>
    <s v="Onroll"/>
    <s v="M-4"/>
    <n v="4"/>
    <m/>
    <s v="SM"/>
    <s v="M"/>
    <s v="Hazira"/>
    <n v="1"/>
    <s v="2015"/>
    <x v="1"/>
    <s v="22.06"/>
    <s v="Anil Matoo"/>
    <s v="Ashutosh Telang"/>
    <n v="6"/>
    <s v="HR &amp; Administration"/>
    <s v="Human Resources"/>
    <s v="22"/>
    <s v="Cluster Head - Human Resources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68-10-26T00:00:00"/>
    <s v="54.10"/>
    <d v="1997-05-26T00:00:00"/>
    <d v="2026-10-31T00:00:00"/>
    <m/>
    <d v="2026-10-31T00:00:00"/>
    <n v="1137"/>
    <s v="AB-"/>
    <s v="BCom-1993"/>
    <s v="00.10"/>
    <s v="26.03"/>
    <s v="27.02"/>
    <s v="70472770"/>
    <s v="Hazira HR Operations - 1"/>
    <s v="70415280"/>
    <s v="Cluster Head - Human Resources"/>
    <s v="Hazira"/>
    <s v="0031950061"/>
    <s v="HZ-Human Resource"/>
    <s v="2000HWO"/>
    <s v="20000083"/>
    <s v="Anil Matoo"/>
    <s v="No"/>
    <s v="lakshman.iyer@amns.in"/>
    <s v="9909901600"/>
    <s v="21932"/>
    <s v="Dhruv Vyas"/>
    <s v="Anil Matoo"/>
    <s v="Praveen Kuruvalli"/>
    <s v="Dhruv Vyas"/>
    <n v="0"/>
  </r>
  <r>
    <n v="287"/>
    <n v="20001274"/>
    <s v="Nilesh Solanki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– Export Account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69-11-11T00:00:00"/>
    <s v="53.10"/>
    <d v="1997-05-31T00:00:00"/>
    <d v="2027-11-30T00:00:00"/>
    <m/>
    <d v="2027-11-30T00:00:00"/>
    <n v="1532"/>
    <s v="O-"/>
    <s v="MBA-2008"/>
    <s v="06.01"/>
    <s v="26.03"/>
    <s v="32.04"/>
    <s v="00044362"/>
    <s v="Export Documentation"/>
    <s v="70227008"/>
    <s v="Officer – Export Accounting"/>
    <s v="Hazira"/>
    <s v="0031950045"/>
    <s v="HZ-Works Accounts-Ha"/>
    <s v="2000HWO"/>
    <s v="20021039"/>
    <s v="Rajesh Patel"/>
    <s v="No"/>
    <s v="nilesh.solanki1@amns.in"/>
    <s v="9879101769"/>
    <s v="22844"/>
    <s v="Dhruv Vyas"/>
    <s v="Anil Matoo"/>
    <s v="Praveen Kuruvalli"/>
    <s v="Dhruv Vyas"/>
    <n v="0"/>
  </r>
  <r>
    <n v="288"/>
    <n v="20001275"/>
    <s v="Sheo Shankar Upadhyay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Collections &amp; Receivables"/>
    <m/>
    <s v="Sales Planning"/>
    <s v="Sales Planning"/>
    <s v=""/>
    <s v="Non Technical Support"/>
    <s v="Sales &amp; Marketing"/>
    <s v="Sales &amp; Marketing"/>
    <s v="73101001"/>
    <s v="Sales &amp; Marketing"/>
    <s v="Mumbai"/>
    <d v="1966-10-20T00:00:00"/>
    <s v="56.11"/>
    <d v="1997-06-01T00:00:00"/>
    <d v="2024-10-31T00:00:00"/>
    <m/>
    <d v="2024-10-31T00:00:00"/>
    <n v="407"/>
    <s v="O-"/>
    <s v="BCom-1989"/>
    <s v="02.00"/>
    <s v="26.03"/>
    <s v="28.03"/>
    <s v="70385322"/>
    <s v="Sales Planning &amp; Administration"/>
    <s v="70334295"/>
    <s v="Lead - Collections &amp; Receivables"/>
    <s v="Hazira"/>
    <s v="0080000001"/>
    <s v="Head-Marketing"/>
    <s v="2000HWO"/>
    <s v="20049554"/>
    <s v="Uttam Kumar"/>
    <s v="No"/>
    <s v="sheoshankar.upadhyay@amns.in"/>
    <s v="9819730643"/>
    <s v="24592"/>
    <s v="Dhruv Vyas"/>
    <s v="Anil Matoo"/>
    <s v="Praveen Kuruvalli"/>
    <s v="Dhruv Vyas"/>
    <n v="0"/>
  </r>
  <r>
    <n v="291"/>
    <n v="20001284"/>
    <s v="Kalpesh Tamakuwal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Domestic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3-01-03T00:00:00"/>
    <s v="50.08"/>
    <d v="1997-06-09T00:00:00"/>
    <d v="2031-01-31T00:00:00"/>
    <m/>
    <d v="2031-01-31T00:00:00"/>
    <n v="2690"/>
    <s v="A-"/>
    <s v="BCom-1993"/>
    <s v="03.03"/>
    <s v="26.03"/>
    <s v="29.06"/>
    <s v="70495314"/>
    <s v="Export, Domestic &amp; Banking"/>
    <s v="70319245"/>
    <s v="Sr. Lead - Domestic Banking"/>
    <s v="Hazira"/>
    <s v="0031950045"/>
    <s v="HZ-Works Accounts-Ha"/>
    <s v="2000HWO"/>
    <s v="20001077"/>
    <s v="Pradeep Parte"/>
    <s v="No"/>
    <s v="kalpesh.tamakuwala@amns.in"/>
    <s v="9879101842"/>
    <s v="24449"/>
    <s v="Dhruv Vyas"/>
    <s v="Anil Matoo"/>
    <s v="Praveen Kuruvalli"/>
    <s v="Dhruv Vyas"/>
    <n v="0"/>
  </r>
  <r>
    <n v="292"/>
    <n v="20001286"/>
    <s v="Rajeev Trivedi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Accounts Receivable"/>
    <m/>
    <s v="Working Capital"/>
    <s v="Accounts Receivable"/>
    <s v="Credit Control"/>
    <s v="Non Technical Support"/>
    <s v="Finance &amp; Accounts"/>
    <s v="Finance &amp; Accounts"/>
    <s v="73901004"/>
    <s v="Accounts Receivables"/>
    <s v="AM/NS Hazira"/>
    <d v="1966-02-12T00:00:00"/>
    <s v="57.07"/>
    <d v="1997-06-10T00:00:00"/>
    <d v="2024-02-29T00:00:00"/>
    <m/>
    <d v="2024-02-29T00:00:00"/>
    <n v="162"/>
    <s v="B-"/>
    <s v="BCom-1990"/>
    <s v="04.06"/>
    <s v="26.03"/>
    <s v="30.09"/>
    <s v="00045312"/>
    <s v="Accounts Receivable"/>
    <s v="70259333"/>
    <s v="Lead - Accounts Receivable"/>
    <s v="Hazira"/>
    <s v="0031950045"/>
    <s v="HZ-Works Accounts-Ha"/>
    <s v="2000HWO"/>
    <s v="20048487"/>
    <s v="Devendra Rai"/>
    <s v="No"/>
    <s v="rajeev.trivedi@amns.in"/>
    <s v="9879101843"/>
    <s v="24568"/>
    <s v="Dhruv Vyas"/>
    <s v="Anil Matoo"/>
    <s v="Praveen Kuruvalli"/>
    <s v="Dhruv Vyas"/>
    <n v="0"/>
  </r>
  <r>
    <n v="294"/>
    <n v="20001289"/>
    <s v="Siddaraju N"/>
    <s v="AM/NS India"/>
    <s v="Onroll"/>
    <s v="M-6"/>
    <n v="6"/>
    <m/>
    <s v="MM"/>
    <s v="M"/>
    <s v="Pune Facility"/>
    <n v="4"/>
    <s v="2043"/>
    <x v="3"/>
    <s v="31.01"/>
    <s v="Hrishikesh Kamat"/>
    <s v="Hrishikesh Kamat"/>
    <n v="7"/>
    <s v="Procurement"/>
    <s v="Procurement"/>
    <s v="31"/>
    <s v="Section Incharge - Purchase"/>
    <m/>
    <s v="Procurement"/>
    <s v="Row materail and Consumables"/>
    <s v="Row materail and Consumables"/>
    <s v="Non Technical Support"/>
    <s v="Operations"/>
    <s v="Plant Operations"/>
    <s v="72103003"/>
    <s v="Plant Operations"/>
    <s v="Pune AMNS"/>
    <d v="1975-06-15T00:00:00"/>
    <s v="48.03"/>
    <d v="1997-06-14T00:00:00"/>
    <d v="2033-06-30T00:00:00"/>
    <m/>
    <d v="2033-06-30T00:00:00"/>
    <n v="3571"/>
    <s v="O-"/>
    <s v="Diploma-2009 , MBA-2009"/>
    <s v="00.11"/>
    <s v="26.03"/>
    <s v="27.02"/>
    <s v="73800002"/>
    <s v="Procurement - Pune Asset"/>
    <s v="70226729"/>
    <s v="Section Incharge - Purchase"/>
    <s v="Pune Facility"/>
    <s v="0035950041"/>
    <s v="Pune-Procurement"/>
    <s v="2000ESPF"/>
    <s v="20006536"/>
    <s v="Mahesh Salunke"/>
    <s v="No"/>
    <s v="siddaraju.narayanappa@amns.in"/>
    <s v="9158895019"/>
    <s v="24211"/>
    <s v="Dhruv Vyas"/>
    <s v="Anil Matoo"/>
    <s v="Praveen Kuruvalli"/>
    <s v="Dhruv Vyas"/>
    <n v="0"/>
  </r>
  <r>
    <n v="310"/>
    <n v="20001370"/>
    <s v="Tejas Desai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Section Head - Pro Ferro Alloys"/>
    <m/>
    <s v="Procurement MRO Hazira"/>
    <s v="Procurement"/>
    <s v="Ferro Alloys, Electrodes, DSR, Quartzite"/>
    <s v="Non Technical Support"/>
    <s v="Commercial"/>
    <s v="Procurement"/>
    <s v="73803001"/>
    <s v="Procurement"/>
    <s v="AM/NS Hazira"/>
    <d v="1977-01-13T00:00:00"/>
    <s v="46.08"/>
    <d v="1998-03-02T00:00:00"/>
    <d v="2035-01-31T00:00:00"/>
    <m/>
    <d v="2035-01-31T00:00:00"/>
    <n v="4151"/>
    <s v="B-"/>
    <s v="MBA-2004 , BE-2004"/>
    <s v="00.10"/>
    <s v="25.06"/>
    <s v="26.04"/>
    <s v="00044542"/>
    <s v="Procurement -Ferroalloys"/>
    <s v="70386219"/>
    <s v="Section Head - Pro Ferro Alloys"/>
    <s v="Hazira"/>
    <s v="0031950048"/>
    <s v="HZ-Procurment Depart"/>
    <s v="2000HWO"/>
    <s v="20000201"/>
    <s v="Manish Bakriwala"/>
    <s v="No"/>
    <s v="tejas.desai@amns.in"/>
    <s v="9879101626"/>
    <s v="21609"/>
    <s v="Dhruv Vyas"/>
    <s v="Anil Matoo"/>
    <s v="Praveen Kuruvalli"/>
    <s v="Dhruv Vyas"/>
    <n v="0"/>
  </r>
  <r>
    <n v="322"/>
    <n v="20001476"/>
    <s v="Vinod Khai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- Business Support"/>
    <m/>
    <s v="CMO Office"/>
    <s v="CMO Office"/>
    <s v=""/>
    <s v="Non Technical Support"/>
    <s v="Sales &amp; Marketing"/>
    <s v="Sales &amp; Marketing"/>
    <s v="73101001"/>
    <s v="Sales &amp; Marketing"/>
    <s v="Mumbai"/>
    <d v="1972-01-25T00:00:00"/>
    <s v="51.07"/>
    <d v="2000-10-16T00:00:00"/>
    <d v="2030-01-31T00:00:00"/>
    <m/>
    <d v="2030-01-31T00:00:00"/>
    <n v="2325"/>
    <s v="O-"/>
    <s v="BCom-1997"/>
    <s v=""/>
    <s v="22.11"/>
    <s v="22.11"/>
    <s v="70139950"/>
    <s v="Sales &amp; Marketing"/>
    <s v="70376875"/>
    <s v="Lead- Business Support"/>
    <s v="Hazira"/>
    <s v="0080000001"/>
    <s v="Head-Marketing"/>
    <s v="2000HWO"/>
    <s v="20007104"/>
    <s v="Ranjan Dhar"/>
    <s v="No"/>
    <s v="vinod.khair@amns.in"/>
    <s v="9819730190"/>
    <s v="22192"/>
    <s v="Dhruv Vyas"/>
    <s v="Anil Matoo"/>
    <s v="Praveen Kuruvalli"/>
    <s v="Dhruv Vyas"/>
    <n v="0"/>
  </r>
  <r>
    <n v="323"/>
    <n v="20001488"/>
    <s v="Rajkumar Bhatia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NCO"/>
    <m/>
    <s v="Sales Steering &amp; BD"/>
    <s v="NCO"/>
    <s v="Secondary Sales"/>
    <s v="Non Technical Support"/>
    <s v="Sales &amp; Marketing"/>
    <s v="Sales"/>
    <s v="73104001"/>
    <s v="Sales"/>
    <s v="Hazira"/>
    <d v="1968-05-04T00:00:00"/>
    <s v="55.04"/>
    <d v="2001-01-02T00:00:00"/>
    <d v="2026-05-31T00:00:00"/>
    <m/>
    <d v="2026-05-31T00:00:00"/>
    <n v="984"/>
    <s v="O-"/>
    <s v="BCom-1990"/>
    <s v="03.00"/>
    <s v="22.08"/>
    <s v="25.08"/>
    <s v="70265035"/>
    <s v="Value Recovery"/>
    <s v="70226997"/>
    <s v="Lead - NCO"/>
    <s v="Hazira"/>
    <s v="0080000006"/>
    <s v="Secondary Sales - In"/>
    <s v="2000HWO"/>
    <s v="20016382"/>
    <s v="Kunal Bhardwaj"/>
    <s v="No"/>
    <s v="rajkumar.bhatia@amns.in"/>
    <s v="9879101520"/>
    <s v="21233"/>
    <s v="Dhruv Vyas"/>
    <s v="Anil Matoo"/>
    <s v="Praveen Kuruvalli"/>
    <s v="Dhruv Vyas"/>
    <n v="0"/>
  </r>
  <r>
    <n v="324"/>
    <n v="20001495"/>
    <s v="Milind Nargolka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NCO"/>
    <m/>
    <s v="Sales Steering &amp; BD"/>
    <s v="NCO"/>
    <s v="Secondary Sales"/>
    <s v="Non Technical Support"/>
    <s v="Sales &amp; Marketing"/>
    <s v="Sales"/>
    <s v="73104001"/>
    <s v="Sales"/>
    <s v="Mumbai"/>
    <d v="1976-08-07T00:00:00"/>
    <s v="47.01"/>
    <d v="2001-04-01T00:00:00"/>
    <d v="2034-08-31T00:00:00"/>
    <m/>
    <d v="2034-08-31T00:00:00"/>
    <n v="3998"/>
    <s v="A-"/>
    <s v="BCom-1999 , Diploma Equivalent-1999"/>
    <s v="00.11"/>
    <s v="22.05"/>
    <s v="23.04"/>
    <s v="70265035"/>
    <s v="Value Recovery"/>
    <s v="70226998"/>
    <s v="Lead - NCO"/>
    <s v="Hazira"/>
    <s v="0080000006"/>
    <s v="Secondary Sales - In"/>
    <s v="2000HWO"/>
    <s v="20016382"/>
    <s v="Kunal Bhardwaj"/>
    <s v="No"/>
    <s v="milind.nargolkar@amns.in"/>
    <s v="9879101199"/>
    <s v="22800"/>
    <s v="Dhruv Vyas"/>
    <s v="Anil Matoo"/>
    <s v="Praveen Kuruvalli"/>
    <s v="Dhruv Vyas"/>
    <n v="0"/>
  </r>
  <r>
    <n v="325"/>
    <n v="20001506"/>
    <s v="Ajay Kulkarni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NCO"/>
    <m/>
    <s v="Sales Steering &amp; BD"/>
    <s v="NCO"/>
    <s v="Domestic"/>
    <s v="Non Technical Support"/>
    <s v="Supply Chain Management"/>
    <s v="Supply Chain Management"/>
    <s v="73701001"/>
    <s v="Supply Chain Management"/>
    <s v="Pune AMNS"/>
    <d v="1967-06-04T00:00:00"/>
    <s v="56.03"/>
    <d v="2001-07-17T00:00:00"/>
    <d v="2025-06-30T00:00:00"/>
    <m/>
    <d v="2025-06-30T00:00:00"/>
    <n v="649"/>
    <s v="A-"/>
    <s v="BCom-2018 , MBA-2018"/>
    <s v="04.03"/>
    <s v="22.02"/>
    <s v="26.05"/>
    <s v="00044934"/>
    <s v="Value Recovery - Pune Facility"/>
    <s v="70259167"/>
    <s v="Lead - NCO"/>
    <s v="Pune Facility"/>
    <s v="0035950020"/>
    <s v="Pune-F&amp;A"/>
    <s v="2000ESPF"/>
    <s v="20016382"/>
    <s v="Kunal Bhardwaj"/>
    <s v="No"/>
    <s v="ajay.kulkarni@amns.in"/>
    <s v="9158895775"/>
    <s v="22292"/>
    <s v="Dhruv Vyas"/>
    <s v="Anil Matoo"/>
    <s v="Praveen Kuruvalli"/>
    <s v="Dhruv Vyas"/>
    <n v="0"/>
  </r>
  <r>
    <n v="326"/>
    <n v="20001529"/>
    <s v="Velidi Chandra Sekhara Rao"/>
    <s v="AM/NS India"/>
    <s v="Onroll"/>
    <s v="M-8"/>
    <n v="8"/>
    <m/>
    <s v="JM"/>
    <s v="M"/>
    <s v="Vizag"/>
    <n v="3"/>
    <s v="2012"/>
    <x v="7"/>
    <s v="34.01"/>
    <s v="Ambrish Chaturvedi"/>
    <s v="Hrishikesh Kamat"/>
    <n v="7"/>
    <s v="Procurement"/>
    <s v="Stores &amp; Warehouse"/>
    <s v="34"/>
    <s v="Warehouse Officers Kirandul"/>
    <m/>
    <s v="Stores &amp; Warehouse"/>
    <s v="Stores &amp; Warehouse"/>
    <s v="Stores &amp; Warehouse"/>
    <s v="Non Technical Support"/>
    <s v="Commercial"/>
    <s v="Stores &amp; Warehouse"/>
    <s v="73806001"/>
    <s v="Stores &amp; Warehouse"/>
    <s v="Kirandul"/>
    <d v="1967-06-05T00:00:00"/>
    <s v="56.03"/>
    <d v="2002-02-15T00:00:00"/>
    <d v="2025-06-30T00:00:00"/>
    <m/>
    <d v="2025-06-30T00:00:00"/>
    <n v="649"/>
    <s v="A-"/>
    <s v="BCom-1987"/>
    <s v="07.04"/>
    <s v="21.07"/>
    <s v="28.11"/>
    <s v="70301353"/>
    <s v="Procurement - Vizag &amp; Chitrakonda"/>
    <s v="70258960"/>
    <s v="Warehouse Officers Kirandul"/>
    <s v="Vizag"/>
    <s v="0028030019"/>
    <s v="VIZ-Personnel &amp; Admi"/>
    <s v="2000VIZOPS"/>
    <s v="20000200"/>
    <s v="A Venkateswara Rao"/>
    <s v="No"/>
    <s v="velidi.chandrasekhararao@amns.in"/>
    <s v="9713766632"/>
    <s v="23707"/>
    <s v="DS Varma"/>
    <s v="Anil Matoo"/>
    <s v="Praveen Kuruvalli"/>
    <s v="Dhruv Vyas"/>
    <n v="0"/>
  </r>
  <r>
    <n v="330"/>
    <n v="20001577"/>
    <s v="Prakash Thakur"/>
    <s v="AM/NS India"/>
    <s v="Onroll"/>
    <s v="M-4"/>
    <n v="4"/>
    <m/>
    <s v="SM"/>
    <s v="M"/>
    <s v="Hazira"/>
    <n v="1"/>
    <s v="2095"/>
    <x v="4"/>
    <n v="36.01"/>
    <s v="Deepak Sindkar"/>
    <s v="Hrishikesh Kamat"/>
    <n v="7"/>
    <s v="Procurement"/>
    <s v="Raw Materials"/>
    <s v="36"/>
    <s v="Section Head - Blacks"/>
    <m/>
    <s v="Bulk Raw Materials"/>
    <s v="Raw Material"/>
    <s v="Coal &amp; Coke"/>
    <s v="Non Technical Support"/>
    <s v="Commercial"/>
    <s v="Procurement"/>
    <s v="73803001"/>
    <s v="Procurement"/>
    <s v="Mumbai"/>
    <d v="1981-02-16T00:00:00"/>
    <s v="42.07"/>
    <d v="2003-01-20T00:00:00"/>
    <d v="2039-02-28T00:00:00"/>
    <m/>
    <d v="2039-02-28T00:00:00"/>
    <n v="5640"/>
    <s v="B-"/>
    <s v="BTech-2003"/>
    <s v=""/>
    <s v="20.07"/>
    <s v="20.07"/>
    <s v="00045894"/>
    <s v="Blacks"/>
    <s v="70386222"/>
    <s v="Section Head - Blacks"/>
    <s v="Hazira"/>
    <s v="0031950048"/>
    <s v="HZ-Procurment Depart"/>
    <s v="2000HWO"/>
    <s v="20000253"/>
    <s v="Deepak Sindkar"/>
    <s v="No"/>
    <s v="prakash.thakur@amns.in"/>
    <s v="9833946423"/>
    <s v="24500"/>
    <s v="Dhruv Vyas"/>
    <s v="Anil Matoo"/>
    <s v="Praveen Kuruvalli"/>
    <s v="Dhruv Vyas"/>
    <n v="0"/>
  </r>
  <r>
    <n v="332"/>
    <n v="20001585"/>
    <s v="Y S V Satish Kumar"/>
    <s v="AM/NS India"/>
    <s v="Onroll"/>
    <s v="M-8"/>
    <n v="8"/>
    <m/>
    <s v="JM"/>
    <s v="M"/>
    <s v="Vizag"/>
    <n v="3"/>
    <s v="2023"/>
    <x v="6"/>
    <s v="24.08"/>
    <s v="Anil Matoo"/>
    <s v="Ashutosh Telang"/>
    <n v="6"/>
    <s v="HR &amp; Administration"/>
    <s v="Administration"/>
    <s v="24"/>
    <s v="Plant Node Officer - PP"/>
    <m/>
    <s v="Administration"/>
    <s v="Administration"/>
    <s v="Administration"/>
    <s v="Non Technical Support"/>
    <s v="Administration"/>
    <s v="Administration"/>
    <s v="74101001"/>
    <s v="Administration"/>
    <s v="Vizag"/>
    <d v="1979-02-03T00:00:00"/>
    <s v="44.07"/>
    <d v="2003-02-08T00:00:00"/>
    <d v="2037-02-28T00:00:00"/>
    <m/>
    <d v="2037-02-28T00:00:00"/>
    <n v="4910"/>
    <s v="A-"/>
    <s v="MBA-2002 , BCom-2002"/>
    <s v=""/>
    <s v="20.07"/>
    <s v="20.07"/>
    <s v="72150111"/>
    <s v="Vizag HR Operations &amp; Administration"/>
    <s v="70319475"/>
    <s v="Plant Node Officer - PP"/>
    <s v="Vizag"/>
    <s v="0028030019"/>
    <s v="VIZ-Personnel &amp; Admi"/>
    <s v="2000VIZOPS"/>
    <s v="20000519"/>
    <s v="Dandu Srinivas Varma"/>
    <s v="No"/>
    <s v="satish.kumar2@amns.in"/>
    <s v="9885310953"/>
    <s v="23956"/>
    <s v="DS Varma"/>
    <s v="Anil Matoo"/>
    <s v="Praveen Kuruvalli"/>
    <s v="Dhruv Vyas"/>
    <n v="0"/>
  </r>
  <r>
    <n v="341"/>
    <n v="20001664"/>
    <s v="Vivek Koul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CRM &amp; Pipe"/>
    <m/>
    <s v="Procurement MRO Hazira"/>
    <s v="Procurement"/>
    <s v="APD &amp; OEM for CRM Complex"/>
    <s v="Non Technical Support"/>
    <s v="Commercial"/>
    <s v="Procurement"/>
    <s v="73803001"/>
    <s v="Procurement"/>
    <s v="AM/NS Hazira"/>
    <d v="1981-03-05T00:00:00"/>
    <s v="42.06"/>
    <d v="2003-05-26T00:00:00"/>
    <d v="2039-03-31T00:00:00"/>
    <m/>
    <d v="2039-03-31T00:00:00"/>
    <n v="5671"/>
    <s v="O-"/>
    <s v="BTech-2003"/>
    <s v=""/>
    <s v="20.03"/>
    <s v="20.03"/>
    <s v="70072410"/>
    <s v="Rolling &amp; Finishing including CRM, Plate"/>
    <s v="70227024"/>
    <s v="Lead – Proc CRM &amp; Pipe"/>
    <s v="Hazira"/>
    <s v="0031950048"/>
    <s v="HZ-Procurment Depart"/>
    <s v="2000HWO"/>
    <s v="20002323"/>
    <s v="Balaji Somvanshi"/>
    <s v="No"/>
    <s v="vivek.koul@amns.in"/>
    <s v="9879101781"/>
    <s v="22278"/>
    <s v="Dhruv Vyas"/>
    <s v="Anil Matoo"/>
    <s v="Praveen Kuruvalli"/>
    <s v="Dhruv Vyas"/>
    <n v="0"/>
  </r>
  <r>
    <n v="345"/>
    <n v="20001736"/>
    <s v="Manoranjan Jagdhari"/>
    <s v="AM/NS India"/>
    <s v="Onroll"/>
    <s v="M-5"/>
    <n v="5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KAM - OEM Sales"/>
    <m/>
    <s v="West"/>
    <s v="Hypermart"/>
    <s v=""/>
    <s v="Non Technical Support"/>
    <s v="Sales &amp; Marketing"/>
    <s v="Sales"/>
    <s v="73104004"/>
    <s v="OEM Sales"/>
    <s v="Ahmedabad"/>
    <d v="1977-10-29T00:00:00"/>
    <s v="45.10"/>
    <d v="2003-07-28T00:00:00"/>
    <d v="2035-10-31T00:00:00"/>
    <m/>
    <d v="2035-10-31T00:00:00"/>
    <n v="4424"/>
    <s v="B-"/>
    <s v="BE-2002 , MBA-2002"/>
    <s v=""/>
    <s v="20.01"/>
    <s v="20.01"/>
    <s v="70394840"/>
    <s v="OEM Sales - Gujarat"/>
    <s v="70390042"/>
    <s v="Business Lead - Hypermart Gujarat"/>
    <s v="Hazira"/>
    <s v="0060110200"/>
    <s v="HMART-Gujarat Div"/>
    <s v="2000HWO"/>
    <s v="20000812"/>
    <s v="Sitaram Rege"/>
    <s v="No"/>
    <s v="manoranjan.jagdhari@amns.in"/>
    <s v="9978937895"/>
    <s v="21957"/>
    <s v="Dhruv Vyas"/>
    <s v="Anil Matoo"/>
    <s v="Praveen Kuruvalli"/>
    <s v="Dhruv Vyas"/>
    <n v="0"/>
  </r>
  <r>
    <n v="349"/>
    <n v="20001800"/>
    <s v="Sanjay Desa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76-04-23T00:00:00"/>
    <s v="47.04"/>
    <d v="2003-11-20T00:00:00"/>
    <d v="2034-04-30T00:00:00"/>
    <m/>
    <d v="2034-04-30T00:00:00"/>
    <n v="3875"/>
    <s v="O-"/>
    <s v="BCom-2001 , LLB-2001"/>
    <s v="11.06"/>
    <s v="19.09"/>
    <s v="31.03"/>
    <s v="00044156"/>
    <s v="Indirect Taxation - 2"/>
    <s v="70372310"/>
    <s v="Lead - Customs"/>
    <s v="Hazira"/>
    <s v="0031950044"/>
    <s v="HZ-Commercial Taxati"/>
    <s v="2000HWO"/>
    <s v="20006246"/>
    <s v="Deven Sadadiwala"/>
    <s v="No"/>
    <s v="sanjay.desai@amns.in"/>
    <s v="9909901504"/>
    <s v="21607"/>
    <s v="Dhruv Vyas"/>
    <s v="Anil Matoo"/>
    <s v="Praveen Kuruvalli"/>
    <s v="Dhruv Vyas"/>
    <n v="0"/>
  </r>
  <r>
    <n v="350"/>
    <n v="20001808"/>
    <s v="Alpesh Parikh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Hypermart"/>
    <s v="Hypermart"/>
    <s v=""/>
    <s v="Non Technical Support"/>
    <s v="Sales &amp; Marketing"/>
    <s v="Sales"/>
    <s v="73104004"/>
    <s v="OEM Sales"/>
    <s v="Ahmedabad"/>
    <d v="1972-08-22T00:00:00"/>
    <s v="51.00"/>
    <d v="2003-12-01T00:00:00"/>
    <d v="2030-08-31T00:00:00"/>
    <m/>
    <d v="2030-08-31T00:00:00"/>
    <n v="2537"/>
    <s v="A-"/>
    <s v="BSc-1994 , Diploma-1994"/>
    <s v=""/>
    <s v="19.09"/>
    <s v="19.09"/>
    <s v="72150154"/>
    <s v="HyperMart"/>
    <s v="70334352"/>
    <s v="KAM - Secondary Sales"/>
    <s v="Hazira"/>
    <s v="0031950057"/>
    <s v="HZ-HRC - Marketing"/>
    <s v="2000HWO"/>
    <s v="20006236"/>
    <s v="Sanjay Vaid"/>
    <s v="No"/>
    <s v="alpesh.parikh@amns.in"/>
    <s v="9879100901"/>
    <s v="23003"/>
    <s v="Dhruv Vyas"/>
    <s v="Anil Matoo"/>
    <s v="Praveen Kuruvalli"/>
    <s v="Dhruv Vyas"/>
    <n v="0"/>
  </r>
  <r>
    <n v="353"/>
    <n v="20001854"/>
    <s v="Arasappan Thirumaran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Section Head - Treasury"/>
    <m/>
    <s v="Treasury &amp; Banking"/>
    <s v="Treasury"/>
    <s v="Treasury"/>
    <s v="Non Technical Support"/>
    <s v="Finance &amp; Accounts"/>
    <s v="Treasury"/>
    <s v="73903001"/>
    <s v="Treasury"/>
    <s v="AM/NS Hazira"/>
    <d v="1968-06-13T00:00:00"/>
    <s v="55.03"/>
    <d v="2004-01-23T00:00:00"/>
    <d v="2026-06-30T00:00:00"/>
    <m/>
    <d v="2026-06-30T00:00:00"/>
    <n v="1014"/>
    <s v="O-"/>
    <s v="ICWA Final-2009 , BCom-2009 , CA Inter-1"/>
    <s v="09.00"/>
    <s v="19.07"/>
    <s v="28.07"/>
    <s v="72150420"/>
    <s v="Treasury - Hazira"/>
    <s v="72152884"/>
    <s v="Section Head - Treasury"/>
    <s v="Hazira"/>
    <s v="0031950045"/>
    <s v="HZ-Works Accounts-Ha"/>
    <s v="2000HWO"/>
    <s v="20000870"/>
    <s v="Balajee M"/>
    <s v="No"/>
    <s v="maran.thiru@amns.in"/>
    <s v="9909901125"/>
    <s v="24516"/>
    <s v="Dhruv Vyas"/>
    <s v="Anil Matoo"/>
    <s v="Praveen Kuruvalli"/>
    <s v="Dhruv Vyas"/>
    <n v="0"/>
  </r>
  <r>
    <n v="362"/>
    <n v="20001905"/>
    <s v="Nirav Bhagat"/>
    <s v="AM/NS India"/>
    <s v="Onroll"/>
    <s v="M-7"/>
    <n v="7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 Charge - Issue/Shifting"/>
    <m/>
    <s v="Stores &amp; Warehouse"/>
    <s v="Stores &amp; Warehouse"/>
    <s v="INI-CSP Caster, RMHS, F&amp;S, Admin, SMP Crane &amp; all bearing"/>
    <s v="Non Technical Support"/>
    <s v="Commercial"/>
    <s v="Stores &amp; Warehouse"/>
    <s v="73806001"/>
    <s v="Stores &amp; Warehouse"/>
    <s v="Hazira"/>
    <d v="1982-11-17T00:00:00"/>
    <s v="40.10"/>
    <d v="2003-07-08T00:00:00"/>
    <d v="2040-11-30T00:00:00"/>
    <m/>
    <d v="2040-11-30T00:00:00"/>
    <n v="6281"/>
    <s v="B-"/>
    <s v="Diploma-2003"/>
    <s v="00.08"/>
    <s v="20.02"/>
    <s v="20.10"/>
    <s v="00044540"/>
    <s v="Material Issue &amp; Shifting"/>
    <s v="70372311"/>
    <s v="Section In Charge - Issue/Shifting"/>
    <s v="Hazira"/>
    <s v="0031950049"/>
    <s v="HZ-Central Stores"/>
    <s v="2000HWO"/>
    <s v="20001164"/>
    <s v="Snehal Anjaria"/>
    <s v="No"/>
    <s v="nirav.bhagat@amns.in"/>
    <s v="9879102032"/>
    <s v="21207"/>
    <s v="Dhruv Vyas"/>
    <s v="Anil Matoo"/>
    <s v="Praveen Kuruvalli"/>
    <s v="Dhruv Vyas"/>
    <n v="0"/>
  </r>
  <r>
    <n v="383"/>
    <n v="20002323"/>
    <s v="Balaji Somvanshi"/>
    <s v="AM/NS India"/>
    <s v="Onroll"/>
    <s v="M-4"/>
    <n v="4"/>
    <m/>
    <s v="SM"/>
    <s v="M"/>
    <s v="Hazira"/>
    <n v="1"/>
    <s v="2043"/>
    <x v="3"/>
    <s v="31.01"/>
    <s v="Hrishikesh Kamat"/>
    <s v="Hrishikesh Kamat"/>
    <n v="7"/>
    <s v="Procurement"/>
    <s v="Procurement"/>
    <s v="31"/>
    <s v="Section Head -  Pro Rolling &amp; Finishing"/>
    <m/>
    <s v="Procurement MRO Hazira"/>
    <s v="Procurement"/>
    <s v="Rolling &amp; Finishing"/>
    <s v="Non Technical Support"/>
    <s v="Commercial"/>
    <s v="Procurement"/>
    <s v="73803001"/>
    <s v="Procurement"/>
    <s v="AM/NS Hazira"/>
    <d v="1973-05-05T00:00:00"/>
    <s v="50.04"/>
    <d v="2004-08-11T00:00:00"/>
    <d v="2031-05-31T00:00:00"/>
    <m/>
    <d v="2031-05-31T00:00:00"/>
    <n v="2810"/>
    <s v="B-"/>
    <s v="BE-1994"/>
    <s v="09.08"/>
    <s v="19.01"/>
    <s v="28.09"/>
    <s v="70072410"/>
    <s v="Rolling &amp; Finishing including CRM, Plate"/>
    <s v="70320256"/>
    <s v="Section Head -  Pro Rolling &amp; Finishing"/>
    <s v="Hazira"/>
    <s v="0031950048"/>
    <s v="HZ-Procurment Depart"/>
    <s v="2000HWO"/>
    <s v="20000201"/>
    <s v="Manish Bakriwala"/>
    <s v="No"/>
    <s v="balaji.somvanshi@amns.in"/>
    <s v="9879100735"/>
    <s v="24325"/>
    <s v="Dhruv Vyas"/>
    <s v="Anil Matoo"/>
    <s v="Praveen Kuruvalli"/>
    <s v="Dhruv Vyas"/>
    <n v="0"/>
  </r>
  <r>
    <n v="385"/>
    <n v="20002379"/>
    <s v="Mateen Rizvi"/>
    <s v="AM/NS India"/>
    <s v="Onroll"/>
    <s v="M-6"/>
    <n v="6"/>
    <m/>
    <s v="MM"/>
    <s v="M"/>
    <s v="Vizag"/>
    <n v="3"/>
    <s v="2095"/>
    <x v="4"/>
    <n v="36.01"/>
    <s v="Deepak Sindkar"/>
    <s v="Hrishikesh Kamat"/>
    <n v="7"/>
    <s v="Procurement"/>
    <s v="Raw Materials"/>
    <s v="36"/>
    <s v="Section Head - Raw Material Liasioning"/>
    <m/>
    <s v="Bulk Raw Materials"/>
    <s v="Liaisoning"/>
    <s v="Liaisoning"/>
    <s v="Non Technical Support"/>
    <s v="Services"/>
    <s v="Maintenance Services"/>
    <s v="72103013"/>
    <s v="Mechanical Maintenance"/>
    <s v="Kirandul"/>
    <d v="1981-02-20T00:00:00"/>
    <s v="42.06"/>
    <d v="2004-08-16T00:00:00"/>
    <d v="2039-02-28T00:00:00"/>
    <m/>
    <d v="2039-02-28T00:00:00"/>
    <n v="5640"/>
    <s v="B-"/>
    <s v="BE-2004"/>
    <s v=""/>
    <s v="19.01"/>
    <s v="19.01"/>
    <s v="00045893"/>
    <s v="Red Odisha Mill Scale"/>
    <s v="70402767"/>
    <s v="Section Head - Raw Material Liasioning"/>
    <s v="Vizag"/>
    <s v="0028010019"/>
    <s v="KRD-Admin &amp; General"/>
    <s v="2000VIZOPS"/>
    <s v="20035527"/>
    <s v="Anil Patro"/>
    <s v="No"/>
    <s v="mateen.rizvi@amns.in"/>
    <s v="9425591778"/>
    <s v="23790"/>
    <s v="Dhruv Vyas"/>
    <s v="Anil Matoo"/>
    <s v="Praveen Kuruvalli"/>
    <s v="Dhruv Vyas"/>
    <n v="0"/>
  </r>
  <r>
    <n v="406"/>
    <n v="20002479"/>
    <s v="Anand Talabhatula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- Pro MH"/>
    <m/>
    <s v="Procurement MRO Hazira"/>
    <s v="Procurement"/>
    <s v="Quality System &amp; Customer Relation Manager"/>
    <s v="Non Technical Support"/>
    <s v="Operations"/>
    <s v="Operations"/>
    <s v="72103001"/>
    <s v="Operations"/>
    <s v="AM/NS Hazira"/>
    <d v="1982-01-23T00:00:00"/>
    <s v="41.07"/>
    <d v="2004-09-14T00:00:00"/>
    <d v="2040-01-31T00:00:00"/>
    <m/>
    <d v="2040-01-31T00:00:00"/>
    <n v="5977"/>
    <s v="B-"/>
    <s v="PG Diploma in Management-2012 , BTech-20"/>
    <s v=""/>
    <s v="19.00"/>
    <s v="19.00"/>
    <s v="72150383"/>
    <s v="Procurement (MRO/IP &amp; Consumable)"/>
    <s v="70226947"/>
    <s v="Lead - Pro MH"/>
    <s v="Hazira"/>
    <s v="0031950048"/>
    <s v="HZ-Procurment Depart"/>
    <s v="2000HWO"/>
    <s v="20000201"/>
    <s v="Manish Bakriwala"/>
    <s v="No"/>
    <s v="anand.talabhatula@amns.in"/>
    <s v="9909901508"/>
    <s v="24443"/>
    <s v="Dhruv Vyas"/>
    <s v="Anil Matoo"/>
    <s v="Praveen Kuruvalli"/>
    <s v="Dhruv Vyas"/>
    <n v="0"/>
  </r>
  <r>
    <n v="413"/>
    <n v="20002587"/>
    <s v="Seema Mehta"/>
    <s v="AM/NS India"/>
    <s v="Onroll"/>
    <s v="M-8"/>
    <n v="8"/>
    <m/>
    <s v="JM"/>
    <s v="F"/>
    <s v="Hazira"/>
    <n v="1"/>
    <s v="2012"/>
    <x v="7"/>
    <s v="34.01"/>
    <s v="Ambrish Chaturvedi"/>
    <s v="Hrishikesh Kamat"/>
    <n v="7"/>
    <s v="Procurement"/>
    <s v="Stores &amp; Warehouse"/>
    <s v="34"/>
    <s v="Section Officer - GRN &amp; Documentation"/>
    <m/>
    <s v="Stores &amp; Warehouse"/>
    <s v="Stores &amp; Warehouse"/>
    <s v="GRN &amp; Documentation"/>
    <s v="Non Technical Support"/>
    <s v="Commercial"/>
    <s v="Stores &amp; Warehouse"/>
    <s v="73806001"/>
    <s v="Stores &amp; Warehouse"/>
    <s v="Hazira"/>
    <d v="1968-07-13T00:00:00"/>
    <s v="55.02"/>
    <d v="2004-09-23T00:00:00"/>
    <d v="2026-07-31T00:00:00"/>
    <m/>
    <d v="2026-07-31T00:00:00"/>
    <n v="1045"/>
    <s v="AB-"/>
    <s v="BCom-1988"/>
    <s v=""/>
    <s v="18.11"/>
    <s v="18.11"/>
    <s v="00053278"/>
    <s v="GRN/Documentation/Issue - Plant A"/>
    <s v="70259108"/>
    <s v="Section Officer - GRN &amp; Documentation"/>
    <s v="Hazira"/>
    <s v="0031950049"/>
    <s v="HZ-Central Stores"/>
    <s v="2000HWO"/>
    <s v="20001164"/>
    <s v="Snehal Anjaria"/>
    <s v="No"/>
    <s v="seema.mehta@amns.in"/>
    <s v="9879101993"/>
    <s v="22601"/>
    <s v="Dhruv Vyas"/>
    <s v="Anil Matoo"/>
    <s v="Praveen Kuruvalli"/>
    <s v="Dhruv Vyas"/>
    <n v="0"/>
  </r>
  <r>
    <n v="414"/>
    <n v="20002607"/>
    <s v="Perpetina Corda"/>
    <s v="AM/NS India"/>
    <s v="Onroll"/>
    <s v="M-6"/>
    <n v="6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Trade Finance"/>
    <m/>
    <s v="Treasury &amp; Banking"/>
    <s v="Treasury &amp; Banking"/>
    <s v="Corporate Finance"/>
    <s v="Non Technical Support"/>
    <s v="Finance &amp; Accounts"/>
    <s v="Treasury"/>
    <s v="73903001"/>
    <s v="Treasury"/>
    <s v="Mumbai"/>
    <d v="1970-06-17T00:00:00"/>
    <s v="53.03"/>
    <d v="1994-03-21T00:00:00"/>
    <d v="2028-06-30T00:00:00"/>
    <m/>
    <d v="2028-06-30T00:00:00"/>
    <n v="1745"/>
    <s v="AB+"/>
    <s v="BA-2013 , Chartered Financial Analyst (C"/>
    <s v=""/>
    <s v="29.06"/>
    <s v="29.06"/>
    <s v="70447071"/>
    <s v="Insurance &amp; Financial Risk"/>
    <s v="70285612"/>
    <s v="Lead - Trade Finance"/>
    <s v="Hazira"/>
    <s v="0090000028"/>
    <s v="Corporate Steel - Wo"/>
    <s v="2000HWO"/>
    <s v="20017504"/>
    <s v="Appi Reddy Guttikonda"/>
    <s v="No"/>
    <s v="perpetina.corda@amns.in"/>
    <s v="9819731811"/>
    <s v="21446"/>
    <s v="Dhruv Vyas"/>
    <s v="Anil Matoo"/>
    <s v="Praveen Kuruvalli"/>
    <s v="Dhruv Vyas"/>
    <n v="0"/>
  </r>
  <r>
    <n v="416"/>
    <n v="20002629"/>
    <s v="Bhavesh Patel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Power Transmission  Hazira"/>
    <m/>
    <s v="Procurement MRO Hazira"/>
    <s v="Procurement"/>
    <s v="APD &amp; OEM Plate Mill &amp; Power Transmission for Hazira Complex"/>
    <s v="Non Technical Support"/>
    <s v="Commercial"/>
    <s v="Procurement"/>
    <s v="73803001"/>
    <s v="Procurement"/>
    <s v="AM/NS Hazira"/>
    <d v="1981-11-28T00:00:00"/>
    <s v="41.09"/>
    <d v="2004-10-06T00:00:00"/>
    <d v="2039-11-30T00:00:00"/>
    <m/>
    <d v="2039-11-30T00:00:00"/>
    <n v="5915"/>
    <s v="A-"/>
    <s v="BE-2003"/>
    <s v="01.00"/>
    <s v="18.11"/>
    <s v="19.11"/>
    <s v="00053409"/>
    <s v="Proc PowerTransmission"/>
    <s v="70227553"/>
    <s v="Lead – Proc Power Transmission  Hazira"/>
    <s v="Hazira"/>
    <s v="0031950048"/>
    <s v="HZ-Procurment Depart"/>
    <s v="2000HWO"/>
    <s v="20002323"/>
    <s v="Balaji Somvanshi"/>
    <s v="No"/>
    <s v="bhavesh.patel2@amns.in"/>
    <s v="9879102141"/>
    <s v="23104"/>
    <s v="Dhruv Vyas"/>
    <s v="Anil Matoo"/>
    <s v="Praveen Kuruvalli"/>
    <s v="Dhruv Vyas"/>
    <n v="0"/>
  </r>
  <r>
    <n v="418"/>
    <n v="20002639"/>
    <s v="Kathiresan K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Plate"/>
    <s v=""/>
    <s v="Non Technical Support"/>
    <s v="Sales &amp; Marketing"/>
    <s v="Sales"/>
    <s v="73104004"/>
    <s v="OEM Sales"/>
    <s v="Chennai"/>
    <d v="1985-06-22T00:00:00"/>
    <s v="38.03"/>
    <d v="2004-10-06T00:00:00"/>
    <d v="2043-06-30T00:00:00"/>
    <m/>
    <d v="2043-06-30T00:00:00"/>
    <n v="7223"/>
    <s v="B-"/>
    <s v="Diploma-2010 , AMIE-2010 , BSc-9999 , MB"/>
    <s v=""/>
    <s v="18.11"/>
    <s v="18.11"/>
    <s v="00052473"/>
    <s v="KAM - Plate Sales"/>
    <s v="70319532"/>
    <s v="KAM - Plate Sales"/>
    <s v="Hazira"/>
    <s v="0031581982"/>
    <s v="PLM-Marketing"/>
    <s v="2000HWO"/>
    <s v="20000909"/>
    <s v="Murali Krishna Chunduru"/>
    <s v="No"/>
    <s v="kathiresan.k@amns.in"/>
    <s v="9962828289"/>
    <s v="22083"/>
    <s v="Dhruv Vyas"/>
    <s v="Anil Matoo"/>
    <s v="Praveen Kuruvalli"/>
    <s v="Dhruv Vyas"/>
    <n v="0"/>
  </r>
  <r>
    <n v="430"/>
    <n v="20002744"/>
    <s v="Lalit Periwal"/>
    <s v="AM/NS India"/>
    <s v="Onroll"/>
    <s v="M-8"/>
    <n v="8"/>
    <m/>
    <s v="JM"/>
    <s v="M"/>
    <s v="Corporate"/>
    <n v="7"/>
    <s v="2100"/>
    <x v="11"/>
    <s v="42.01"/>
    <s v="Pankaj Chourasia"/>
    <s v="P Ashok Kumar"/>
    <n v="9"/>
    <s v="Legal"/>
    <s v="Company Secretary"/>
    <s v="42"/>
    <s v="Lead Company Secretary"/>
    <m/>
    <s v="Company Secretary"/>
    <s v="Company Secretary"/>
    <s v="Lead - Corporate Secretarial"/>
    <s v="Non Technical Support"/>
    <s v="Secretarial"/>
    <s v="Company Secretary"/>
    <s v="73301001"/>
    <s v="Company Secretary"/>
    <s v="Mumbai"/>
    <d v="1965-01-05T00:00:00"/>
    <s v="58.08"/>
    <d v="1987-01-01T00:00:00"/>
    <d v="2023-01-31T00:00:00"/>
    <d v="2024-01-31T00:00:00"/>
    <d v="2024-01-31T00:00:00"/>
    <n v="133"/>
    <s v="O-"/>
    <s v="BCom-1986"/>
    <s v=""/>
    <s v="36.08"/>
    <s v="36.08"/>
    <s v="70273573"/>
    <s v="Company Secretarial"/>
    <s v="72153643"/>
    <s v="Lead Company Secretary"/>
    <s v="Corporate"/>
    <s v="0090000020"/>
    <s v="Company Secretary"/>
    <s v="2000CS"/>
    <s v="20050785"/>
    <s v="Pankaj Chourasia"/>
    <s v="No"/>
    <s v="lalit.periwal@amns.in"/>
    <s v="9819730810"/>
    <s v="23496"/>
    <s v="Dhruv Vyas"/>
    <s v="Anil Matoo"/>
    <s v="Praveen Kuruvalli"/>
    <s v="Dhruv Vyas"/>
    <n v="0"/>
  </r>
  <r>
    <n v="431"/>
    <n v="20002746"/>
    <s v="Deep Pyne"/>
    <s v="AM/NS India"/>
    <s v="Onroll"/>
    <s v="M-5"/>
    <n v="5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ection Head – Pro E I &amp;A and Zinc"/>
    <m/>
    <s v="Procurement MRO Hazira"/>
    <s v="Procurement"/>
    <s v="Zinc, Electrical, Instrumentation, Automation spares"/>
    <s v="Non Technical Support"/>
    <s v="Commercial"/>
    <s v="Procurement"/>
    <s v="73803001"/>
    <s v="Procurement"/>
    <s v="AM/NS Hazira"/>
    <d v="1973-06-12T00:00:00"/>
    <s v="50.03"/>
    <d v="2004-11-01T00:00:00"/>
    <d v="2031-06-30T00:00:00"/>
    <m/>
    <d v="2031-06-30T00:00:00"/>
    <n v="2840"/>
    <s v="O-"/>
    <s v="BE-1995"/>
    <s v="09.00"/>
    <s v="18.10"/>
    <s v="27.10"/>
    <s v="70266350"/>
    <s v="Zinc, Elect, Instrumentation, Automation"/>
    <s v="70258442"/>
    <s v="Section Head – Pro E I &amp;A and Zinc"/>
    <s v="Hazira"/>
    <s v="0031950048"/>
    <s v="HZ-Procurment Depart"/>
    <s v="2000HWO"/>
    <s v="20000201"/>
    <s v="Manish Bakriwala"/>
    <s v="No"/>
    <s v="deep.pyne@amns.in"/>
    <s v="9879100819"/>
    <s v="23601"/>
    <s v="Dhruv Vyas"/>
    <s v="Anil Matoo"/>
    <s v="Praveen Kuruvalli"/>
    <s v="Dhruv Vyas"/>
    <n v="0"/>
  </r>
  <r>
    <n v="440"/>
    <n v="20002894"/>
    <s v="Soni Majji"/>
    <s v="AM/NS India"/>
    <s v="Onroll"/>
    <s v="M-8"/>
    <n v="8"/>
    <m/>
    <s v="JM"/>
    <s v="F"/>
    <s v="Vizag"/>
    <n v="3"/>
    <s v="2043"/>
    <x v="3"/>
    <s v="31.01"/>
    <s v="Hrishikesh Kamat"/>
    <s v="Hrishikesh Kamat"/>
    <n v="7"/>
    <s v="Procurement"/>
    <s v="Procurement"/>
    <s v="31"/>
    <s v="Engineers -  Procurement (BP &amp; Common)"/>
    <m/>
    <s v="Procurement"/>
    <s v="Procurement"/>
    <s v="Purchase"/>
    <s v="Non Technical Support"/>
    <s v="Operations"/>
    <s v="Plant Operations"/>
    <s v="72103003"/>
    <s v="Plant Operations"/>
    <s v="Vizag"/>
    <d v="1985-12-30T00:00:00"/>
    <s v="37.08"/>
    <d v="2004-12-20T00:00:00"/>
    <d v="2043-12-31T00:00:00"/>
    <m/>
    <d v="2043-12-31T00:00:00"/>
    <n v="7407"/>
    <s v="AB-"/>
    <s v="Diploma-2004"/>
    <s v=""/>
    <s v="18.09"/>
    <s v="18.09"/>
    <s v="70301353"/>
    <s v="Procurement - Vizag &amp; Chitrakonda"/>
    <s v="70372801"/>
    <s v="Engineers -  Procurement (BP &amp; Common)"/>
    <s v="Vizag"/>
    <s v="0028030019"/>
    <s v="VIZ-Personnel &amp; Admi"/>
    <s v="2000VIZOPS"/>
    <s v="20000200"/>
    <s v="A Venkateswara Rao"/>
    <s v="No"/>
    <s v="soni.majji@amns.in"/>
    <s v="9966333321"/>
    <s v="22495"/>
    <s v="DS Varma"/>
    <s v="Anil Matoo"/>
    <s v="Praveen Kuruvalli"/>
    <s v="Dhruv Vyas"/>
    <n v="0"/>
  </r>
  <r>
    <n v="445"/>
    <n v="20002920"/>
    <s v="Sudhir Sharm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Head Sales - North Zone"/>
    <m/>
    <s v="North"/>
    <s v="North"/>
    <s v=""/>
    <s v="Non Technical Support"/>
    <s v="Sales &amp; Marketing"/>
    <s v="Sales"/>
    <s v="73104004"/>
    <s v="OEM Sales"/>
    <s v="Noida"/>
    <d v="1966-09-03T00:00:00"/>
    <s v="57.00"/>
    <d v="2004-12-23T00:00:00"/>
    <d v="2024-09-30T00:00:00"/>
    <m/>
    <d v="2024-09-30T00:00:00"/>
    <n v="376"/>
    <s v="B-"/>
    <s v="Diploma-1994 , AMIE-1994 , BSc-1990"/>
    <s v="14.03"/>
    <s v="18.08"/>
    <s v="32.11"/>
    <s v="72150181"/>
    <s v="Sales North Zone"/>
    <s v="70334358"/>
    <s v="Regional Head Sales - North Zone"/>
    <s v="Hazira"/>
    <s v="0031950057"/>
    <s v="HZ-HRC - Marketing"/>
    <s v="2000HWO"/>
    <s v="20007104"/>
    <s v="Ranjan Dhar"/>
    <s v="No"/>
    <s v="sudhir.sharma@amns.in"/>
    <s v="9811226008"/>
    <s v="24121"/>
    <s v="Dhruv Vyas"/>
    <s v="Anil Matoo"/>
    <s v="Praveen Kuruvalli"/>
    <s v="Dhruv Vyas"/>
    <n v="0"/>
  </r>
  <r>
    <n v="461"/>
    <n v="20003094"/>
    <s v="Vikaskumar Bhavsar"/>
    <s v="AM/NS India"/>
    <s v="Onroll"/>
    <s v="M-8"/>
    <n v="8"/>
    <m/>
    <s v="J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Land Acquisition"/>
    <s v="Receipt &amp; Unbound"/>
    <s v="Non Technical Support"/>
    <s v="Commercial"/>
    <s v="Stores &amp; Warehouse"/>
    <s v="73806001"/>
    <s v="Stores &amp; Warehouse"/>
    <s v="AM/NS Hazira"/>
    <d v="1967-03-18T00:00:00"/>
    <s v="56.06"/>
    <d v="2005-02-10T00:00:00"/>
    <d v="2025-03-31T00:00:00"/>
    <m/>
    <d v="2025-03-31T00:00:00"/>
    <n v="558"/>
    <s v="A-"/>
    <s v="BCom-1989"/>
    <s v="15.06"/>
    <s v="18.07"/>
    <s v="34.00"/>
    <s v="70495436"/>
    <s v="Land Property"/>
    <s v="70259109"/>
    <s v="Manager"/>
    <s v="Hazira"/>
    <s v="0031950038"/>
    <s v="HZ-Hazira Land Acqui"/>
    <s v="2000HWO"/>
    <s v="20059561"/>
    <s v="Bhavdip Jathal"/>
    <s v="No"/>
    <s v="vikaskumar.bhavsar@amns.in"/>
    <s v="9879101470"/>
    <s v="21263"/>
    <s v="Dhruv Vyas"/>
    <s v="Anil Matoo"/>
    <s v="Praveen Kuruvalli"/>
    <s v="Dhruv Vyas"/>
    <n v="0"/>
  </r>
  <r>
    <n v="469"/>
    <n v="20003178"/>
    <s v="Leena Agarwal"/>
    <s v="AM/NS India"/>
    <s v="Onroll"/>
    <s v="M-7"/>
    <n v="7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Compliance &amp; Trade Finance"/>
    <m/>
    <s v="Treasury &amp; Banking"/>
    <s v="Treasury &amp; Banking"/>
    <s v="Corporate Finance"/>
    <s v="Non Technical Support"/>
    <s v="Finance &amp; Accounts"/>
    <s v="Treasury"/>
    <s v="73903001"/>
    <s v="Treasury"/>
    <s v="Mumbai"/>
    <d v="1981-03-11T00:00:00"/>
    <s v="42.06"/>
    <d v="2005-03-14T00:00:00"/>
    <d v="2039-03-31T00:00:00"/>
    <m/>
    <d v="2039-03-31T00:00:00"/>
    <n v="5671"/>
    <s v="O-"/>
    <s v="MBA-2007 , MBA-2007"/>
    <s v="03.03"/>
    <s v="18.06"/>
    <s v="21.09"/>
    <s v="70101920"/>
    <s v="Treasury - Mumbai"/>
    <s v="70258947"/>
    <s v="Lead - Compliance &amp; Trade Finance"/>
    <s v="Corporate"/>
    <s v="0090000028"/>
    <s v="Corporate Steel - Wo"/>
    <s v="2000CS"/>
    <s v="20000057"/>
    <s v="Vivek Sanil"/>
    <s v="No"/>
    <s v="leena.agarwal@amns.in"/>
    <s v="9819731888"/>
    <s v="21025"/>
    <s v="Dhruv Vyas"/>
    <s v="Anil Matoo"/>
    <s v="Praveen Kuruvalli"/>
    <s v="Dhruv Vyas"/>
    <n v="0"/>
  </r>
  <r>
    <n v="470"/>
    <n v="20003180"/>
    <s v="Bhikhubhai Ahir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 &amp; Unloading"/>
    <m/>
    <s v="Stores &amp; Warehouse"/>
    <s v="Stores &amp; Warehouse"/>
    <s v="Receipt &amp; Unloading"/>
    <s v="Non Technical Support"/>
    <s v="Commercial"/>
    <s v="Stores &amp; Warehouse"/>
    <s v="73806001"/>
    <s v="Stores &amp; Warehouse"/>
    <s v="Hazira"/>
    <d v="1967-04-01T00:00:00"/>
    <s v="56.05"/>
    <d v="2005-03-14T00:00:00"/>
    <d v="2025-03-31T00:00:00"/>
    <m/>
    <d v="2025-03-31T00:00:00"/>
    <n v="558"/>
    <s v="A-"/>
    <s v="BA-1988"/>
    <s v="08.01"/>
    <s v="18.06"/>
    <s v="26.07"/>
    <s v="00053277"/>
    <s v="Receipts &amp; Unloading - Plant B"/>
    <s v="70319566"/>
    <s v="Section Officer - Receipt &amp; Unloading"/>
    <s v="Hazira"/>
    <s v="0031950049"/>
    <s v="HZ-Central Stores"/>
    <s v="2000HWO"/>
    <s v="20000948"/>
    <s v="Hitesh Raval"/>
    <s v="No"/>
    <s v="bhikhubhai.ahir@amns.in"/>
    <s v="9879101995"/>
    <s v="21042"/>
    <s v="Dhruv Vyas"/>
    <s v="Anil Matoo"/>
    <s v="Praveen Kuruvalli"/>
    <s v="Dhruv Vyas"/>
    <n v="0"/>
  </r>
  <r>
    <n v="474"/>
    <n v="20003222"/>
    <s v="Sanket Vakhariy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Ahmedabad"/>
    <d v="1981-12-04T00:00:00"/>
    <s v="41.09"/>
    <d v="2005-03-21T00:00:00"/>
    <d v="2039-12-31T00:00:00"/>
    <m/>
    <d v="2039-12-31T00:00:00"/>
    <n v="5946"/>
    <s v="O-"/>
    <s v="BE-2005 , MBA-2005"/>
    <s v=""/>
    <s v="18.06"/>
    <s v="18.06"/>
    <s v="70394840"/>
    <s v="OEM Sales - Gujarat"/>
    <s v="70258921"/>
    <s v="Sales Manager - Hypermart"/>
    <s v="Hypermart"/>
    <s v="0060110200"/>
    <s v="HMART-Gujarat Div"/>
    <s v="2000SRET"/>
    <s v="20001736"/>
    <s v="Manoranjan Jagdhari"/>
    <s v="No"/>
    <s v="sanket.vakhariya@amns.in"/>
    <s v="9825523407"/>
    <s v="24627"/>
    <s v="Dhruv Vyas"/>
    <s v="Anil Matoo"/>
    <s v="Praveen Kuruvalli"/>
    <s v="Dhruv Vyas"/>
    <n v="0"/>
  </r>
  <r>
    <n v="476"/>
    <n v="20003239"/>
    <s v="Mitesh Motka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Manager"/>
    <m/>
    <s v="West"/>
    <s v="OEM"/>
    <s v="Gujarat Sales"/>
    <s v="Non Technical Support"/>
    <s v="Services"/>
    <s v="Material Handling services"/>
    <s v="72103020"/>
    <s v="Packaging &amp; Warehousing"/>
    <s v="Ahmedabad"/>
    <d v="1985-08-17T00:00:00"/>
    <s v="38.01"/>
    <d v="2005-03-21T00:00:00"/>
    <d v="2043-08-31T00:00:00"/>
    <m/>
    <d v="2043-08-31T00:00:00"/>
    <n v="7285"/>
    <s v="O-"/>
    <s v="Diploma-2004"/>
    <s v="00.04"/>
    <s v="18.06"/>
    <s v="18.09"/>
    <s v="00052660"/>
    <s v="Plate Sales"/>
    <s v="70411831"/>
    <s v="Sales Manager"/>
    <s v="Hypermart"/>
    <s v="0031950057"/>
    <s v="HZ-HRC - Marketing"/>
    <s v="2000SRET"/>
    <s v="20046414"/>
    <s v="Vinod Ninawe"/>
    <s v="No"/>
    <s v="mitesh.motka@amns.in"/>
    <s v="9879102540"/>
    <s v="22716"/>
    <s v="Dhruv Vyas"/>
    <s v="Anil Matoo"/>
    <s v="Praveen Kuruvalli"/>
    <s v="Dhruv Vyas"/>
    <n v="0"/>
  </r>
  <r>
    <n v="477"/>
    <n v="20003280"/>
    <s v="Chetan Jansari"/>
    <s v="AM/NS India"/>
    <s v="Onroll"/>
    <s v="M-3"/>
    <n v="3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- Performance Management"/>
    <m/>
    <s v="Performance Management"/>
    <s v="Performance Management"/>
    <s v="Performance Management"/>
    <s v="Non Technical Support"/>
    <s v="Finance &amp; Accounts"/>
    <s v="Costing"/>
    <s v="73906001"/>
    <s v="Costing"/>
    <s v="AM/NS Hazira"/>
    <d v="1971-10-04T00:00:00"/>
    <s v="51.11"/>
    <d v="2005-04-01T00:00:00"/>
    <d v="2029-10-31T00:00:00"/>
    <m/>
    <d v="2029-10-31T00:00:00"/>
    <n v="2233"/>
    <s v="B-"/>
    <s v="BE-2004 , MBA-2004 , ICWA Inter-1993"/>
    <s v="08.10"/>
    <s v="18.05"/>
    <s v="27.04"/>
    <s v="70494729"/>
    <s v="Performance Management"/>
    <s v="70386195"/>
    <s v="Head - Performance Management"/>
    <s v="Confidential Payroll"/>
    <s v="0031950043"/>
    <s v="HZ-Performance Manag"/>
    <s v="2000HWO"/>
    <s v="20057933"/>
    <s v="Akiyo Omori"/>
    <s v="No"/>
    <s v="chetan.jansari@amns.in"/>
    <s v="9879100523"/>
    <s v="21992"/>
    <s v="Dhruv Vyas"/>
    <s v="Anil Matoo"/>
    <s v="Praveen Kuruvalli"/>
    <s v="Dhruv Vyas"/>
    <n v="0"/>
  </r>
  <r>
    <n v="478"/>
    <n v="20003359"/>
    <s v="Nilesh Jetani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- Proc Corex &amp; Utility"/>
    <m/>
    <s v="Procurement MRO Hazira"/>
    <s v="Procurement"/>
    <s v="APD &amp; OEM for SMP, Utility equipment's (Pumps, Compressors, HVAC)"/>
    <s v="Non Technical Support"/>
    <s v="Commercial"/>
    <s v="Procurement"/>
    <s v="73803001"/>
    <s v="Procurement"/>
    <s v="AM/NS Hazira"/>
    <d v="1983-11-07T00:00:00"/>
    <s v="39.10"/>
    <d v="2005-04-18T00:00:00"/>
    <d v="2041-11-30T00:00:00"/>
    <m/>
    <d v="2041-11-30T00:00:00"/>
    <n v="6646"/>
    <s v="A-"/>
    <s v="BE-2004"/>
    <s v="00.10"/>
    <s v="18.05"/>
    <s v="19.02"/>
    <s v="70072411"/>
    <s v="Iron &amp; Steel Making"/>
    <s v="70227554"/>
    <s v="Lead - Proc Corex &amp; Utility"/>
    <s v="Hazira"/>
    <s v="0031950048"/>
    <s v="HZ-Procurment Depart"/>
    <s v="2000HWO"/>
    <s v="20000926"/>
    <s v="Manishkumar Seksaria"/>
    <s v="No"/>
    <s v="nilesh.jetani@amns.in"/>
    <s v="9879102550"/>
    <s v="22843"/>
    <s v="Dhruv Vyas"/>
    <s v="Anil Matoo"/>
    <s v="Praveen Kuruvalli"/>
    <s v="Dhruv Vyas"/>
    <n v="0"/>
  </r>
  <r>
    <n v="479"/>
    <n v="20003360"/>
    <s v="Abhijit Kal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"/>
    <s v="Non Technical Support"/>
    <s v="R&amp; D and QA/QC"/>
    <s v="QA &amp; QC"/>
    <s v="72103034"/>
    <s v="QA &amp; QC"/>
    <s v="Pune"/>
    <d v="1981-11-26T00:00:00"/>
    <s v="41.09"/>
    <d v="2005-04-18T00:00:00"/>
    <d v="2039-11-30T00:00:00"/>
    <m/>
    <d v="2039-11-30T00:00:00"/>
    <n v="5915"/>
    <s v="B-"/>
    <s v="MTech-2004 , BE-2004"/>
    <s v="00.09"/>
    <s v="18.05"/>
    <s v="19.02"/>
    <s v="00052460"/>
    <s v="Auto &amp; YG"/>
    <s v="70319382"/>
    <s v="Sr. Lead - Application Engineering"/>
    <s v="Hazira"/>
    <s v="0031950057"/>
    <s v="HZ-HRC - Marketing"/>
    <s v="2000HWO"/>
    <s v="20056155"/>
    <s v="Kondapalli Venkateswarlu"/>
    <s v="No"/>
    <s v="abhijit.kale@amns.in"/>
    <s v="9923200093"/>
    <s v="22108"/>
    <s v="Dhruv Vyas"/>
    <s v="Anil Matoo"/>
    <s v="Praveen Kuruvalli"/>
    <s v="Dhruv Vyas"/>
    <n v="0"/>
  </r>
  <r>
    <n v="499"/>
    <n v="20003603"/>
    <s v="Madhur Kohli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Sales Head – East"/>
    <m/>
    <s v="East"/>
    <s v="East"/>
    <s v=""/>
    <s v="Non Technical Support"/>
    <s v="Sales &amp; Marketing"/>
    <s v="Sales"/>
    <s v="73104004"/>
    <s v="OEM Sales"/>
    <s v="Chennai"/>
    <d v="1967-09-13T00:00:00"/>
    <s v="56.00"/>
    <d v="2005-06-06T00:00:00"/>
    <d v="2025-09-30T00:00:00"/>
    <m/>
    <d v="2025-09-30T00:00:00"/>
    <n v="741"/>
    <s v="O-"/>
    <s v="BE-1989"/>
    <s v="15.05"/>
    <s v="18.03"/>
    <s v="33.08"/>
    <s v="00045321"/>
    <s v="Sales East Zone"/>
    <s v="70386196"/>
    <s v="Regional Sales Head – East"/>
    <s v="Hazira"/>
    <s v="0031581982"/>
    <s v="PLM-Marketing"/>
    <s v="2000HWO"/>
    <s v="20007104"/>
    <s v="Ranjan Dhar"/>
    <s v="No"/>
    <s v="madhur.kohli@amns.in"/>
    <s v="9874746461"/>
    <s v="22257"/>
    <s v="Dhruv Vyas"/>
    <s v="Anil Matoo"/>
    <s v="Praveen Kuruvalli"/>
    <s v="Dhruv Vyas"/>
    <n v="0"/>
  </r>
  <r>
    <n v="500"/>
    <n v="20003619"/>
    <s v="Abhishek Bhattacharyya"/>
    <s v="AM/NS India"/>
    <s v="Onroll"/>
    <s v="M-5"/>
    <n v="5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Head - Exports, Pune"/>
    <m/>
    <s v="Sales &amp; Marketing"/>
    <s v="Downstream Construction"/>
    <s v="International Sales"/>
    <s v="Non Technical Support"/>
    <s v="Operations"/>
    <s v="Operations"/>
    <s v="72103001"/>
    <s v="Operations"/>
    <s v="Pune AMNS"/>
    <d v="1980-02-28T00:00:00"/>
    <s v="43.06"/>
    <d v="2005-06-06T00:00:00"/>
    <d v="2038-02-28T00:00:00"/>
    <m/>
    <d v="2038-02-28T00:00:00"/>
    <n v="5275"/>
    <s v="B-"/>
    <s v="Certificate-2005 , MBA-2005 , BE-2002 ,"/>
    <s v=""/>
    <s v="18.03"/>
    <s v="18.03"/>
    <s v="70491980"/>
    <s v="Export Sales"/>
    <s v="70434505"/>
    <s v="Head- Project Downstream Const. Solution"/>
    <s v="Pune Facility"/>
    <s v="0035950073"/>
    <s v="Pune - S&amp;D Export"/>
    <s v="2000ESPF"/>
    <s v="20055084"/>
    <s v="Alain Legrix De La Salle"/>
    <s v="No"/>
    <s v="abhishek.bhattacharyya@amns.in"/>
    <s v="9158895051"/>
    <s v="21249"/>
    <s v="Dhruv Vyas"/>
    <s v="Anil Matoo"/>
    <s v="Praveen Kuruvalli"/>
    <s v="Dhruv Vyas"/>
    <n v="0"/>
  </r>
  <r>
    <n v="501"/>
    <n v="20003623"/>
    <s v="Soumyadeep Datt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– Plate Sales"/>
    <m/>
    <s v="Plate"/>
    <s v="Plate"/>
    <s v=""/>
    <s v="Non Technical Support"/>
    <s v="Sales &amp; Marketing"/>
    <s v="Sales"/>
    <s v="73104004"/>
    <s v="OEM Sales"/>
    <s v="Ahmedabad"/>
    <d v="1982-10-20T00:00:00"/>
    <s v="40.11"/>
    <d v="2005-06-06T00:00:00"/>
    <d v="2040-10-31T00:00:00"/>
    <m/>
    <d v="2040-10-31T00:00:00"/>
    <n v="6251"/>
    <s v="O-"/>
    <s v="MBA-2005"/>
    <s v=""/>
    <s v="18.03"/>
    <s v="18.03"/>
    <s v="70410953"/>
    <s v="Plate Sales - Gujarat"/>
    <s v="70386198"/>
    <s v="Head – Plate Sales"/>
    <s v="Hazira"/>
    <s v="0031581982"/>
    <s v="PLM-Marketing"/>
    <s v="2000HWO"/>
    <s v="20007104"/>
    <s v="Ranjan Dhar"/>
    <s v="No"/>
    <s v="soumyadeep.datta@amns.in"/>
    <s v="9925016964"/>
    <s v="21537"/>
    <s v="Dhruv Vyas"/>
    <s v="Anil Matoo"/>
    <s v="Praveen Kuruvalli"/>
    <s v="Dhruv Vyas"/>
    <n v="0"/>
  </r>
  <r>
    <n v="502"/>
    <n v="20003630"/>
    <s v="Mukul Manchand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of Sales - Iron Ore"/>
    <m/>
    <s v="Iron Ore &amp; Infra"/>
    <s v="Iron Ore &amp; Infra"/>
    <s v="Power &amp; Gas"/>
    <s v="Non Technical Support"/>
    <s v="Commercial"/>
    <s v="Procurement"/>
    <s v="73803001"/>
    <s v="Procurement"/>
    <s v="Mumbai"/>
    <d v="1981-02-15T00:00:00"/>
    <s v="42.07"/>
    <d v="2005-06-06T00:00:00"/>
    <d v="2039-02-28T00:00:00"/>
    <m/>
    <d v="2039-02-28T00:00:00"/>
    <n v="5640"/>
    <s v="B-"/>
    <s v="PG Diploma in Management-2005"/>
    <s v=""/>
    <s v="18.03"/>
    <s v="18.03"/>
    <s v="00044347"/>
    <s v="Sales - Iron Ore"/>
    <s v="70320364"/>
    <s v="Head of Sales - Iron Ore"/>
    <s v="Hazira"/>
    <s v="0031950048"/>
    <s v="HZ-Procurment Depart"/>
    <s v="2000HWO"/>
    <s v="20007104"/>
    <s v="Ranjan Dhar"/>
    <s v="No"/>
    <s v="mukul.manchanda@amns.in"/>
    <s v="9819730748"/>
    <s v="22515"/>
    <s v="Dhruv Vyas"/>
    <s v="Anil Matoo"/>
    <s v="Praveen Kuruvalli"/>
    <s v="Dhruv Vyas"/>
    <n v="0"/>
  </r>
  <r>
    <n v="510"/>
    <n v="20003847"/>
    <s v="Mahesh Mehar"/>
    <s v="AM/NS India"/>
    <s v="Onroll"/>
    <s v="M-5"/>
    <n v="5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Sr. Lead - Domestic Sales, Pune"/>
    <m/>
    <s v="West"/>
    <s v="OEM"/>
    <s v="National Sales"/>
    <s v="Non Technical Support"/>
    <s v="Operations"/>
    <s v="Operations"/>
    <s v="72103001"/>
    <s v="Operations"/>
    <s v="Mumbai"/>
    <d v="1974-12-10T00:00:00"/>
    <s v="48.09"/>
    <d v="2005-07-18T00:00:00"/>
    <d v="2032-12-31T00:00:00"/>
    <m/>
    <d v="2032-12-31T00:00:00"/>
    <n v="3390"/>
    <s v="O-"/>
    <s v="BE-1996"/>
    <s v="07.02"/>
    <s v="18.02"/>
    <s v="25.04"/>
    <s v="70140931"/>
    <s v="Sales Gujarat &amp; Mumbai Zone"/>
    <s v="70435076"/>
    <s v="Sr. KAM - OEM Sales"/>
    <s v="Pune Facility"/>
    <s v="0031950057"/>
    <s v="HZ-HRC - Marketing"/>
    <s v="2000ESPF"/>
    <s v="20000812"/>
    <s v="Sitaram Rege"/>
    <s v="No"/>
    <s v="mahesh.mehar@amns.in"/>
    <s v="9819730744"/>
    <s v="22475"/>
    <s v="Dhruv Vyas"/>
    <s v="Anil Matoo"/>
    <s v="Praveen Kuruvalli"/>
    <s v="Dhruv Vyas"/>
    <n v="0"/>
  </r>
  <r>
    <n v="534"/>
    <n v="20004058"/>
    <s v="Mayank Shah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Pro HBI Sinter BF"/>
    <m/>
    <s v="Procurement MRO Hazira"/>
    <s v="Procurement"/>
    <s v="APD &amp; OEM for Sinter, HBI Modules, Water Treatment Chemicals, High value hyd"/>
    <s v="Non Technical Support"/>
    <s v="Commercial"/>
    <s v="Procurement"/>
    <s v="73803001"/>
    <s v="Procurement"/>
    <s v="AM/NS Hazira"/>
    <d v="1980-11-30T00:00:00"/>
    <s v="42.09"/>
    <d v="2004-08-01T00:00:00"/>
    <d v="2038-11-30T00:00:00"/>
    <m/>
    <d v="2038-11-30T00:00:00"/>
    <n v="5550"/>
    <s v="B-"/>
    <s v="BE-2003"/>
    <s v=""/>
    <s v="19.01"/>
    <s v="19.01"/>
    <s v="00048362"/>
    <s v="Procurement HBI Sinter BF"/>
    <s v="70319391"/>
    <s v="Lead –Pro HBI Sinter BF"/>
    <s v="Hazira"/>
    <s v="0031950048"/>
    <s v="HZ-Procurment Depart"/>
    <s v="2000HWO"/>
    <s v="20000201"/>
    <s v="Manish Bakriwala"/>
    <s v="No"/>
    <s v="mayank.shah@amns.in"/>
    <s v="9879103926"/>
    <s v="24021"/>
    <s v="Dhruv Vyas"/>
    <s v="Anil Matoo"/>
    <s v="Praveen Kuruvalli"/>
    <s v="Dhruv Vyas"/>
    <n v="0"/>
  </r>
  <r>
    <n v="543"/>
    <n v="20004197"/>
    <s v="Nitin Dhimmer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r. Lead – Proc Pipe Pipe fittings Mech"/>
    <m/>
    <s v="Procurement MRO Hazira"/>
    <s v="Procurement"/>
    <s v="Pipe, Pipe fittings, Cooling Towers, Mech. Valves"/>
    <s v="Non Technical Support"/>
    <s v="Commercial"/>
    <s v="Contracts &amp; Tenders and E-bid"/>
    <s v="73805001"/>
    <s v="Contracts &amp; Tenders and E"/>
    <s v="AM/NS Hazira"/>
    <d v="1977-07-26T00:00:00"/>
    <s v="46.01"/>
    <d v="2005-11-01T00:00:00"/>
    <d v="2035-07-31T00:00:00"/>
    <m/>
    <d v="2035-07-31T00:00:00"/>
    <n v="4332"/>
    <s v="A-"/>
    <s v="High School-1997 , Diploma-1997 , High S"/>
    <s v="07.09"/>
    <s v="17.10"/>
    <s v="25.07"/>
    <s v="72150383"/>
    <s v="Procurement (MRO/IP &amp; Consumable)"/>
    <s v="70386201"/>
    <s v="Sr. Lead – Proc Pipe Pipe fittings Mech"/>
    <s v="Hazira"/>
    <s v="0031950048"/>
    <s v="HZ-Procurment Depart"/>
    <s v="2000HWO"/>
    <s v="20000201"/>
    <s v="Manish Bakriwala"/>
    <s v="No"/>
    <s v="nitin.dhimmer@amns.in"/>
    <s v="9879108329"/>
    <s v="21662"/>
    <s v="Dhruv Vyas"/>
    <s v="Anil Matoo"/>
    <s v="Praveen Kuruvalli"/>
    <s v="Dhruv Vyas"/>
    <n v="0"/>
  </r>
  <r>
    <n v="550"/>
    <n v="20004339"/>
    <s v="Alok Dalwadi"/>
    <s v="AM/NS India"/>
    <s v="Onroll"/>
    <s v="M-8"/>
    <n v="8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Lead - Secondary Sales"/>
    <m/>
    <s v="Secondary Sales, Non Steel"/>
    <s v="Secondary Sales"/>
    <s v="Secondary Sales (Non Steel)"/>
    <s v="Non Technical Support"/>
    <s v="Sales &amp; Marketing"/>
    <s v="Sales"/>
    <s v="73104001"/>
    <s v="Sales"/>
    <s v="Hazira"/>
    <d v="1986-12-12T00:00:00"/>
    <s v="36.09"/>
    <d v="2005-12-05T00:00:00"/>
    <d v="2044-12-31T00:00:00"/>
    <m/>
    <d v="2044-12-31T00:00:00"/>
    <n v="7773"/>
    <s v="AB-"/>
    <s v="Diploma-2005"/>
    <s v="00.05"/>
    <s v="17.09"/>
    <s v="18.02"/>
    <s v="00044541"/>
    <s v="HRC Store - Receipt"/>
    <s v="70372535"/>
    <s v="Lead - Secondary Sales"/>
    <s v="Hazira"/>
    <s v="0080000006"/>
    <s v="Secondary Sales - In"/>
    <s v="2000HWO"/>
    <s v="20005047"/>
    <s v="Rajeev Jha"/>
    <s v="No"/>
    <s v="alok.dalwadi@amns.in"/>
    <s v="9879102104"/>
    <s v="21469"/>
    <s v="Dhruv Vyas"/>
    <s v="Anil Matoo"/>
    <s v="Praveen Kuruvalli"/>
    <s v="Dhruv Vyas"/>
    <n v="0"/>
  </r>
  <r>
    <n v="567"/>
    <n v="20004519"/>
    <s v="Sarjan Mahid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 - Inventory Plant B"/>
    <m/>
    <s v="Stores &amp; Warehouse"/>
    <s v="Stores &amp; Warehouse"/>
    <s v="Inventory Plant B"/>
    <s v="Non Technical Support"/>
    <s v="Commercial"/>
    <s v="Stores &amp; Warehouse"/>
    <s v="73806001"/>
    <s v="Stores &amp; Warehouse"/>
    <s v="Hazira"/>
    <d v="1984-03-29T00:00:00"/>
    <s v="39.05"/>
    <d v="2006-01-09T00:00:00"/>
    <d v="2042-03-31T00:00:00"/>
    <m/>
    <d v="2042-03-31T00:00:00"/>
    <n v="6767"/>
    <s v="B-"/>
    <s v="Diploma-2005 , BTech-2005"/>
    <s v=""/>
    <s v="17.08"/>
    <s v="17.08"/>
    <s v="70232287"/>
    <s v="HRC Store &amp; Inventory  &amp; Cataloging Mgt."/>
    <s v="70319772"/>
    <s v="Section Office - Inventory Plant B"/>
    <s v="Hazira"/>
    <s v="0031950049"/>
    <s v="HZ-Central Stores"/>
    <s v="2000HWO"/>
    <s v="20000948"/>
    <s v="Hitesh Raval"/>
    <s v="No"/>
    <s v="sarjan.mahida@amns.in"/>
    <s v="9879103403"/>
    <s v="22482"/>
    <s v="Dhruv Vyas"/>
    <s v="Anil Matoo"/>
    <s v="Praveen Kuruvalli"/>
    <s v="Dhruv Vyas"/>
    <n v="0"/>
  </r>
  <r>
    <n v="575"/>
    <n v="20004612"/>
    <s v="Ramesh Chabhadiya"/>
    <s v="AM/NS India"/>
    <s v="Onroll"/>
    <s v="M-5"/>
    <n v="5"/>
    <m/>
    <s v="MM"/>
    <s v="M"/>
    <s v="Hazira"/>
    <n v="1"/>
    <s v="2096"/>
    <x v="14"/>
    <s v="36.02"/>
    <s v="Deepak Sindkar"/>
    <s v="Hrishikesh Kamat"/>
    <n v="7"/>
    <s v="Procurement"/>
    <s v="Raw Materials"/>
    <s v="36"/>
    <s v="Section Head – Gas &amp; Power"/>
    <m/>
    <s v="Power &amp; Gas"/>
    <s v="Power &amp; Gas"/>
    <s v="Power &amp; Gas"/>
    <s v="Tech. Support Services"/>
    <s v="Commercial"/>
    <s v="Procurement"/>
    <s v="73803001"/>
    <s v="Procurement"/>
    <s v="AM/NS Hazira"/>
    <d v="1980-10-15T00:00:00"/>
    <s v="42.11"/>
    <d v="2006-01-23T00:00:00"/>
    <d v="2038-10-31T00:00:00"/>
    <m/>
    <d v="2038-10-31T00:00:00"/>
    <n v="5520"/>
    <s v="B-"/>
    <s v="BE-2010 , PG Diploma in Management-2010"/>
    <s v="01.02"/>
    <s v="17.07"/>
    <s v="18.10"/>
    <s v="00049516"/>
    <s v="Power &amp; Gas"/>
    <s v="70319458"/>
    <s v="Section Head – Gas &amp; Power"/>
    <s v="Hazira"/>
    <s v="0031950048"/>
    <s v="HZ-Procurment Depart"/>
    <s v="2000HWO"/>
    <s v="20055090"/>
    <s v="Hrishikesh Kamat"/>
    <s v="No"/>
    <s v="ramesh.chabhadiya@amns.in"/>
    <s v="9879102342"/>
    <s v="21328"/>
    <s v="Dhruv Vyas"/>
    <s v="Anil Matoo"/>
    <s v="Praveen Kuruvalli"/>
    <s v="Dhruv Vyas"/>
    <n v="0"/>
  </r>
  <r>
    <n v="590"/>
    <n v="20004925"/>
    <s v="Tufail Ahmad"/>
    <s v="AM/NS India"/>
    <s v="Onroll"/>
    <s v="M-8"/>
    <n v="8"/>
    <m/>
    <s v="JM"/>
    <s v="M"/>
    <s v="Service Centers"/>
    <n v="6"/>
    <s v="2043"/>
    <x v="3"/>
    <s v="31.01"/>
    <s v="Hrishikesh Kamat"/>
    <s v="Hrishikesh Kamat"/>
    <n v="7"/>
    <s v="Procurement"/>
    <s v="Procurement"/>
    <s v="31"/>
    <s v="Lead - Procurement - Service Center"/>
    <m/>
    <s v="Procurement Service Centre"/>
    <s v="Procurement"/>
    <s v="Procurement"/>
    <s v="Non Technical Support"/>
    <s v="Operations"/>
    <s v="Plant Maintenance"/>
    <s v="72103008"/>
    <s v="Mechanical Maintenance"/>
    <s v="Bahadurgarh"/>
    <d v="1985-02-15T00:00:00"/>
    <s v="38.07"/>
    <d v="2006-03-07T00:00:00"/>
    <d v="2043-02-28T00:00:00"/>
    <m/>
    <d v="2043-02-28T00:00:00"/>
    <n v="7101"/>
    <s v="O-"/>
    <s v="Diploma-2004"/>
    <s v=""/>
    <s v="17.06"/>
    <s v="17.06"/>
    <s v="70413444"/>
    <s v="Purchase &amp; Contracts"/>
    <s v="70371387"/>
    <s v="Lead - Procurement - Service Center"/>
    <s v="Service Center"/>
    <s v="0040050019"/>
    <s v="SC-Bahadurgarh-Op1-C"/>
    <s v="2000SPRJ"/>
    <s v="20052588"/>
    <s v="Govindraju Sampathirao"/>
    <s v="No"/>
    <s v="tufail.ahmad@amns.in"/>
    <s v="9836631818"/>
    <s v="21050"/>
    <s v="Dhruv Vyas"/>
    <s v="Anil Matoo"/>
    <s v="Praveen Kuruvalli"/>
    <s v="Dhruv Vyas"/>
    <n v="0"/>
  </r>
  <r>
    <n v="596"/>
    <n v="20005047"/>
    <s v="Rajeev Jha"/>
    <s v="AM/NS India"/>
    <s v="Onroll"/>
    <s v="M-7"/>
    <n v="7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 Charge - Receipt"/>
    <m/>
    <s v="Stores &amp; Warehouse"/>
    <s v="Stores &amp; Warehouse"/>
    <s v="Receipt, Unloading &amp; Unbound"/>
    <s v="Non Technical Support"/>
    <s v="Commercial"/>
    <s v="Stores &amp; Warehouse"/>
    <s v="73806001"/>
    <s v="Stores &amp; Warehouse"/>
    <s v="Hazira"/>
    <d v="1971-01-15T00:00:00"/>
    <s v="52.08"/>
    <d v="2003-05-01T00:00:00"/>
    <d v="2029-01-31T00:00:00"/>
    <m/>
    <d v="2029-01-31T00:00:00"/>
    <n v="1960"/>
    <s v="A+"/>
    <s v="BA-2000 , Diploma-2000"/>
    <s v="04.11"/>
    <s v="20.04"/>
    <s v="25.03"/>
    <s v="00044541"/>
    <s v="HRC Store - Receipt"/>
    <s v="70319402"/>
    <s v="Section In Charge - Receipt"/>
    <s v="Hazira"/>
    <s v="0031950049"/>
    <s v="HZ-Central Stores"/>
    <s v="2000HWO"/>
    <s v="20001240"/>
    <s v="Ambrish Chaturvedi"/>
    <s v="No"/>
    <s v="rajeev.jha@amns.in"/>
    <s v="9879103256"/>
    <s v="22033"/>
    <s v="Dhruv Vyas"/>
    <s v="Anil Matoo"/>
    <s v="Praveen Kuruvalli"/>
    <s v="Dhruv Vyas"/>
    <n v="0"/>
  </r>
  <r>
    <n v="618"/>
    <n v="20005165"/>
    <s v="Parthiv Desai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 HBI &amp; BF"/>
    <m/>
    <s v="Stores &amp; Warehouse"/>
    <s v="Stores &amp; Warehouse"/>
    <s v="Receipt  HBI &amp; BF"/>
    <s v="Non Technical Support"/>
    <s v="Commercial"/>
    <s v="Contracts &amp; Tenders and E-bid"/>
    <s v="73805001"/>
    <s v="Contracts &amp; Tenders and E"/>
    <s v="Hazira"/>
    <d v="1982-05-08T00:00:00"/>
    <s v="41.04"/>
    <d v="2004-03-02T00:00:00"/>
    <d v="2040-05-31T00:00:00"/>
    <m/>
    <d v="2040-05-31T00:00:00"/>
    <n v="6098"/>
    <s v="B-"/>
    <s v="Diploma-2001"/>
    <s v="02.01"/>
    <s v="19.06"/>
    <s v="21.07"/>
    <s v="00048783"/>
    <s v="HBI, BF, Plant B &amp; Plate Mill"/>
    <s v="70319611"/>
    <s v="Section Officer - Receipt HBI &amp; BF"/>
    <s v="Hazira"/>
    <s v="0031950049"/>
    <s v="HZ-Central Stores"/>
    <s v="2000HWO"/>
    <s v="20001905"/>
    <s v="Nirav Bhagat"/>
    <s v="No"/>
    <s v="parthiv.desai@amns.in"/>
    <s v="9879103486"/>
    <s v="21601"/>
    <s v="Dhruv Vyas"/>
    <s v="Anil Matoo"/>
    <s v="Praveen Kuruvalli"/>
    <s v="Dhruv Vyas"/>
    <n v="0"/>
  </r>
  <r>
    <n v="655"/>
    <n v="20005286"/>
    <s v="Sanjay Jain"/>
    <s v="AM/NS India"/>
    <s v="Onroll"/>
    <s v="M-6"/>
    <n v="6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Instrumentation &amp; Automatio"/>
    <m/>
    <s v="Procurement MRO Hazira"/>
    <s v="Procurement"/>
    <s v="Instrumentation &amp; Automation spares - Hazira Complex"/>
    <s v="Non Technical Support"/>
    <s v="Commercial"/>
    <s v="Procurement"/>
    <s v="73803001"/>
    <s v="Procurement"/>
    <s v="AM/NS Hazira"/>
    <d v="1980-12-21T00:00:00"/>
    <s v="42.09"/>
    <d v="2004-10-06T00:00:00"/>
    <d v="2038-12-31T00:00:00"/>
    <m/>
    <d v="2038-12-31T00:00:00"/>
    <n v="5581"/>
    <s v="B-"/>
    <s v="BE-2004"/>
    <s v=""/>
    <s v="18.11"/>
    <s v="18.11"/>
    <s v="70072411"/>
    <s v="Iron &amp; Steel Making"/>
    <s v="70258882"/>
    <s v="Lead – Proc Instrumentation &amp; Automatio"/>
    <s v="Hazira"/>
    <s v="0031950048"/>
    <s v="HZ-Procurment Depart"/>
    <s v="2000HWO"/>
    <s v="20000926"/>
    <s v="Manishkumar Seksaria"/>
    <s v="No"/>
    <s v="sanjay.jain@amns.in"/>
    <s v="9879103413"/>
    <s v="21971"/>
    <s v="Dhruv Vyas"/>
    <s v="Anil Matoo"/>
    <s v="Praveen Kuruvalli"/>
    <s v="Dhruv Vyas"/>
    <n v="0"/>
  </r>
  <r>
    <n v="671"/>
    <n v="20005328"/>
    <s v="Abhay Dorley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Plate Yard &amp; Dispatch"/>
    <s v="Non Technical Support"/>
    <s v="Sales &amp; Marketing"/>
    <s v="Sales"/>
    <s v="73104004"/>
    <s v="OEM Sales"/>
    <s v="Hazira"/>
    <d v="1985-06-05T00:00:00"/>
    <s v="38.03"/>
    <d v="2005-02-09T00:00:00"/>
    <d v="2043-06-30T00:00:00"/>
    <m/>
    <d v="2043-06-30T00:00:00"/>
    <n v="7223"/>
    <s v="A-"/>
    <s v="Diploma-2017 , BBA-2017 , MBA-2004"/>
    <s v=""/>
    <s v="18.07"/>
    <s v="18.07"/>
    <s v="00052660"/>
    <s v="Plate Sales"/>
    <s v="70259132"/>
    <s v="Sales Manager"/>
    <s v="Hazira"/>
    <s v="0031581982"/>
    <s v="PLM-Marketing"/>
    <s v="2000HWO"/>
    <s v="20046414"/>
    <s v="Vinod Ninawe"/>
    <s v="No"/>
    <s v="abhay.dorley@amns.in"/>
    <s v="9879103507"/>
    <s v="21696"/>
    <s v="Dhruv Vyas"/>
    <s v="Anil Matoo"/>
    <s v="Praveen Kuruvalli"/>
    <s v="Dhruv Vyas"/>
    <n v="0"/>
  </r>
  <r>
    <n v="676"/>
    <n v="20005375"/>
    <s v="Hrushikesh Deoghar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"/>
    <s v="Non Technical Support"/>
    <s v="Sales &amp; Marketing"/>
    <s v="Sales"/>
    <s v="73104004"/>
    <s v="OEM Sales"/>
    <s v="Mumbai"/>
    <d v="1979-03-20T00:00:00"/>
    <s v="44.06"/>
    <d v="2006-04-10T00:00:00"/>
    <d v="2037-03-31T00:00:00"/>
    <m/>
    <d v="2037-03-31T00:00:00"/>
    <n v="4941"/>
    <s v="O-"/>
    <s v="BSc-2003 , MBA-2003"/>
    <s v="05.07"/>
    <s v="17.05"/>
    <s v="23.00"/>
    <s v="70140931"/>
    <s v="Sales Gujarat &amp; Mumbai Zone"/>
    <s v="70336302"/>
    <s v="KAM - OEM Sales"/>
    <s v="Hazira"/>
    <s v="0031581982"/>
    <s v="PLM-Marketing"/>
    <s v="2000HWO"/>
    <s v="20000812"/>
    <s v="Sitaram Rege"/>
    <s v="No"/>
    <s v="hrushikesh.deoghare@amns.in"/>
    <s v="9930134040"/>
    <s v="21560"/>
    <s v="Dhruv Vyas"/>
    <s v="Anil Matoo"/>
    <s v="Praveen Kuruvalli"/>
    <s v="Dhruv Vyas"/>
    <n v="0"/>
  </r>
  <r>
    <n v="696"/>
    <n v="20005676"/>
    <s v="Bhavyesh Adhavaryu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Banking"/>
    <m/>
    <s v="Treasury &amp; Banking"/>
    <s v="Treasury"/>
    <s v="Export, Domestic &amp; Banking"/>
    <s v="Non Technical Support"/>
    <s v="Finance &amp; Accounts"/>
    <s v="Corporate Finance"/>
    <s v="73902004"/>
    <s v="Banking Relations"/>
    <s v="AM/NS Hazira"/>
    <d v="1981-10-06T00:00:00"/>
    <s v="41.11"/>
    <d v="2006-05-15T00:00:00"/>
    <d v="2039-10-31T00:00:00"/>
    <m/>
    <d v="2039-10-31T00:00:00"/>
    <n v="5885"/>
    <s v="B-"/>
    <s v="MMS-2005"/>
    <s v="00.06"/>
    <s v="17.04"/>
    <s v="17.10"/>
    <s v="72150420"/>
    <s v="Treasury - Hazira"/>
    <s v="70258858"/>
    <s v="Lead - Banking"/>
    <s v="Hazira"/>
    <s v="0031950045"/>
    <s v="HZ-Works Accounts-Ha"/>
    <s v="2000HWO"/>
    <s v="20001854"/>
    <s v="Arasappan Thirumaran"/>
    <s v="No"/>
    <s v="bhavyesh.adhavaryu@amns.in"/>
    <s v="9909901654"/>
    <s v="21019"/>
    <s v="Dhruv Vyas"/>
    <s v="Anil Matoo"/>
    <s v="Praveen Kuruvalli"/>
    <s v="Dhruv Vyas"/>
    <n v="0"/>
  </r>
  <r>
    <n v="708"/>
    <n v="20005759"/>
    <s v="Santosh G Kannoujia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Accounting"/>
    <m/>
    <s v="Working Capital"/>
    <s v="Accounts Payable"/>
    <s v="Central Accounting"/>
    <s v="Non Technical Support"/>
    <s v="Human Resources Management"/>
    <s v="Human Resources Management"/>
    <s v="73501002"/>
    <s v="Human Resources Operation"/>
    <s v="AM/NS Hazira"/>
    <d v="1978-04-05T00:00:00"/>
    <s v="45.05"/>
    <d v="2006-05-01T00:00:00"/>
    <d v="2036-04-30T00:00:00"/>
    <m/>
    <d v="2036-04-30T00:00:00"/>
    <n v="4606"/>
    <s v="A-"/>
    <s v="BA-2009 , MBA-2009"/>
    <s v=""/>
    <s v="17.04"/>
    <s v="17.04"/>
    <s v="00043794"/>
    <s v="Accounts Payable - 1"/>
    <s v="70226885"/>
    <s v="Officer - Accounting"/>
    <s v="Hazira"/>
    <s v="0031950045"/>
    <s v="HZ-Works Accounts-Ha"/>
    <s v="2000HWO"/>
    <s v="20016107"/>
    <s v="Kalpesh Thathagar"/>
    <s v="No"/>
    <s v="santoshg.kannoujia@amns.in"/>
    <s v="9879102378"/>
    <s v="22135"/>
    <s v="Dhruv Vyas"/>
    <s v="Anil Matoo"/>
    <s v="Praveen Kuruvalli"/>
    <s v="Dhruv Vyas"/>
    <n v="0"/>
  </r>
  <r>
    <n v="709"/>
    <n v="20005829"/>
    <s v="Subrata Banerjee"/>
    <s v="AM/NS India"/>
    <s v="Onroll"/>
    <s v="M-7"/>
    <n v="7"/>
    <m/>
    <s v="MM"/>
    <s v="M"/>
    <s v="Odisha"/>
    <n v="2"/>
    <s v="2012"/>
    <x v="7"/>
    <s v="34.01"/>
    <s v="Ambrish Chaturvedi"/>
    <s v="Hrishikesh Kamat"/>
    <n v="7"/>
    <s v="Procurement"/>
    <s v="Stores &amp; Warehouse"/>
    <s v="34"/>
    <s v="Department Head - Stores"/>
    <m/>
    <s v="Stores &amp; Warehouse"/>
    <s v="Stores"/>
    <s v="Stores"/>
    <s v="Non Technical Support"/>
    <s v="Commercial"/>
    <s v="Stores &amp; Warehouse"/>
    <s v="73806001"/>
    <s v="Stores &amp; Warehouse"/>
    <s v="Dabuna"/>
    <d v="1972-09-25T00:00:00"/>
    <s v="50.11"/>
    <d v="2006-05-01T00:00:00"/>
    <d v="2030-09-30T00:00:00"/>
    <m/>
    <d v="2030-09-30T00:00:00"/>
    <n v="2567"/>
    <s v="O-"/>
    <s v="BSc Engg-2008 , PG Diploma-2008 , Interm"/>
    <s v="12.00"/>
    <s v="17.04"/>
    <s v="29.04"/>
    <s v="70493265"/>
    <s v="Production"/>
    <s v="70395941"/>
    <s v="Department Head - Stores"/>
    <s v="Odisha"/>
    <s v="0022010019"/>
    <s v="DBN-Benf-HR/Admin"/>
    <s v="2000STORIS"/>
    <s v="20053014"/>
    <s v="Bhawesh Jha"/>
    <s v="No"/>
    <s v="subrata.banerjee@amns.in"/>
    <s v="9437573779"/>
    <s v="21159"/>
    <s v="Sunila Das"/>
    <s v="Anil Matoo"/>
    <s v="Praveen Kuruvalli"/>
    <s v="Sunila Das"/>
    <n v="0"/>
  </r>
  <r>
    <n v="727"/>
    <n v="20006023"/>
    <s v="Kavishwar Goral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enior Manager"/>
    <m/>
    <s v="Technical Marketing &amp; Application Engineering"/>
    <s v="Technical Marketing &amp; Application Engineering"/>
    <s v="Plate Finishing"/>
    <s v="Non Technical Support"/>
    <s v="Operations"/>
    <s v="Plant Operations"/>
    <s v="72103003"/>
    <s v="Plant Operations"/>
    <s v="Hazira"/>
    <d v="1981-12-08T00:00:00"/>
    <s v="41.09"/>
    <d v="2006-05-22T00:00:00"/>
    <d v="2039-12-31T00:00:00"/>
    <m/>
    <d v="2039-12-31T00:00:00"/>
    <n v="5946"/>
    <s v="AB-"/>
    <s v="BE-2005"/>
    <s v="00.09"/>
    <s v="17.03"/>
    <s v="18.00"/>
    <s v="00052467"/>
    <s v="Plate"/>
    <s v="70258876"/>
    <s v="Sr. Lead – Plate Products"/>
    <s v="Hazira"/>
    <s v="0031950057"/>
    <s v="HZ-HRC - Marketing"/>
    <s v="2000HWO"/>
    <s v="20055985"/>
    <s v="Dilip Chandra Gelli"/>
    <s v="No"/>
    <s v="kavishwar.gorale@amns.in"/>
    <s v="9909901510"/>
    <s v="21834"/>
    <s v="Dhruv Vyas"/>
    <s v="Anil Matoo"/>
    <s v="Praveen Kuruvalli"/>
    <s v="Dhruv Vyas"/>
    <n v="0"/>
  </r>
  <r>
    <n v="733"/>
    <n v="20006188"/>
    <s v="Sachin Toshniwal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- Treasury &amp; Investments"/>
    <m/>
    <s v="Taxation"/>
    <s v="In Direct - Taxation"/>
    <s v="Indirect Taxation"/>
    <s v="Non Technical Support"/>
    <s v="Finance &amp; Accounts"/>
    <s v="Treasury"/>
    <s v="73903001"/>
    <s v="Treasury"/>
    <s v="Mumbai"/>
    <d v="1977-10-23T00:00:00"/>
    <s v="45.10"/>
    <d v="2006-06-07T00:00:00"/>
    <d v="2035-10-31T00:00:00"/>
    <m/>
    <d v="2035-10-31T00:00:00"/>
    <n v="4424"/>
    <s v="O-"/>
    <s v="MBA-1999 , BCom-1999"/>
    <s v="06.08"/>
    <s v="17.03"/>
    <s v="23.11"/>
    <s v="70447071"/>
    <s v="Insurance &amp; Financial Risk"/>
    <s v="70258948"/>
    <s v="Lead - Treasury &amp; Investments"/>
    <s v="Corporate"/>
    <s v="0090000028"/>
    <s v="Corporate Steel - Wo"/>
    <s v="2000CS"/>
    <s v="20017504"/>
    <s v="Appi Reddy Guttikonda"/>
    <s v="No"/>
    <s v="sachin.toshniwal@amns.in"/>
    <s v="9819731528"/>
    <s v="24557"/>
    <s v="Dhruv Vyas"/>
    <s v="Anil Matoo"/>
    <s v="Praveen Kuruvalli"/>
    <s v="Dhruv Vyas"/>
    <n v="0"/>
  </r>
  <r>
    <n v="734"/>
    <n v="20006196"/>
    <s v="Tejashree Sathe"/>
    <s v="AM/NS India"/>
    <s v="Onroll"/>
    <s v="M-7"/>
    <n v="7"/>
    <m/>
    <s v="M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Other West"/>
    <s v="OEM"/>
    <s v=""/>
    <s v="Non Technical Support"/>
    <s v="Sales &amp; Marketing"/>
    <s v="Sales"/>
    <s v="73104004"/>
    <s v="OEM Sales"/>
    <s v="Pune"/>
    <d v="1981-05-23T00:00:00"/>
    <s v="42.03"/>
    <d v="2006-06-19T00:00:00"/>
    <d v="2039-05-31T00:00:00"/>
    <m/>
    <d v="2039-05-31T00:00:00"/>
    <n v="5732"/>
    <s v="A-"/>
    <s v="BTech-2007 , MBA-2007"/>
    <s v="02.04"/>
    <s v="17.03"/>
    <s v="19.07"/>
    <s v="70495309"/>
    <s v="Sales West Zone"/>
    <s v="70334311"/>
    <s v="KAM - OEM Sales"/>
    <s v="Hazira"/>
    <s v="0031950057"/>
    <s v="HZ-HRC - Marketing"/>
    <s v="2000HWO"/>
    <s v="20047683"/>
    <s v="Virat Vij"/>
    <s v="No"/>
    <s v="tejashree.sathe@amns.in"/>
    <s v="9923201806"/>
    <s v="23952"/>
    <s v="Dhruv Vyas"/>
    <s v="Anil Matoo"/>
    <s v="Praveen Kuruvalli"/>
    <s v="Dhruv Vyas"/>
    <n v="0"/>
  </r>
  <r>
    <n v="736"/>
    <n v="20006236"/>
    <s v="Sanjay Vaid"/>
    <s v="AM/NS India"/>
    <s v="Onroll"/>
    <s v="M-4"/>
    <n v="4"/>
    <m/>
    <s v="S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Head - HyperMart"/>
    <m/>
    <s v="Hypermart"/>
    <s v="Hypermart"/>
    <s v=""/>
    <s v="Non Technical Support"/>
    <s v="Sales &amp; Marketing"/>
    <s v="Sales"/>
    <s v="73104004"/>
    <s v="OEM Sales"/>
    <s v="Pune"/>
    <d v="1970-05-06T00:00:00"/>
    <s v="53.04"/>
    <d v="2006-07-03T00:00:00"/>
    <d v="2028-05-31T00:00:00"/>
    <m/>
    <d v="2028-05-31T00:00:00"/>
    <n v="1715"/>
    <s v="B-"/>
    <s v="BE-1997 , MBA-1997"/>
    <s v="09.00"/>
    <s v="17.02"/>
    <s v="26.02"/>
    <s v="72150154"/>
    <s v="HyperMart"/>
    <s v="70334316"/>
    <s v="Head - Hypermart"/>
    <s v="Hypermart"/>
    <s v="0060100004"/>
    <s v="HMART-HR/Admin Expen"/>
    <s v="2000SRET"/>
    <s v="20007104"/>
    <s v="Ranjan Dhar"/>
    <s v="No"/>
    <s v="sanjay.vaid@amns.in"/>
    <s v="9923200840"/>
    <s v="24623"/>
    <s v="Dhruv Vyas"/>
    <s v="Anil Matoo"/>
    <s v="Praveen Kuruvalli"/>
    <s v="Dhruv Vyas"/>
    <n v="0"/>
  </r>
  <r>
    <n v="738"/>
    <n v="20006246"/>
    <s v="Deven Sadadiwal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Customs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75-01-18T00:00:00"/>
    <s v="48.08"/>
    <d v="2006-07-01T00:00:00"/>
    <d v="2033-01-31T00:00:00"/>
    <m/>
    <d v="2033-01-31T00:00:00"/>
    <n v="3421"/>
    <s v="AB-"/>
    <s v="MBA-1999"/>
    <s v="06.10"/>
    <s v="17.02"/>
    <s v="24.01"/>
    <s v="70491113"/>
    <s v="Indirect Taxation - 1"/>
    <s v="70320434"/>
    <s v="Sr. lead - Customs"/>
    <s v="Hazira"/>
    <s v="0031950044"/>
    <s v="HZ-Commercial Taxati"/>
    <s v="2000HWO"/>
    <s v="20047664"/>
    <s v="Devang Desai"/>
    <s v="No"/>
    <s v="deven.sadadiwala@amns.in"/>
    <s v="9909901638"/>
    <s v="23827"/>
    <s v="Dhruv Vyas"/>
    <s v="Anil Matoo"/>
    <s v="Praveen Kuruvalli"/>
    <s v="Dhruv Vyas"/>
    <n v="0"/>
  </r>
  <r>
    <n v="756"/>
    <n v="20006499"/>
    <s v="Jaikishan Sharma"/>
    <s v="AM/NS India"/>
    <s v="Onroll"/>
    <s v="M-4"/>
    <n v="4"/>
    <m/>
    <s v="SM"/>
    <s v="M"/>
    <s v="Odisha"/>
    <n v="2"/>
    <s v="2095"/>
    <x v="4"/>
    <n v="36.01"/>
    <s v="Deepak Sindkar"/>
    <s v="Hrishikesh Kamat"/>
    <n v="7"/>
    <s v="Procurement"/>
    <s v="Raw Materials"/>
    <s v="36"/>
    <s v="Dep. Head - Logistics &amp; Tailing Mgmt."/>
    <m/>
    <s v="Bulk Raw Materials"/>
    <s v="Logistics &amp; Tailing Management"/>
    <s v="Logistics"/>
    <s v="Non Technical Support"/>
    <s v="Commercial"/>
    <s v="Procurement"/>
    <s v="73803001"/>
    <s v="Procurement"/>
    <s v="Dabuna"/>
    <d v="1962-04-10T00:00:00"/>
    <s v="61.05"/>
    <d v="2006-07-15T00:00:00"/>
    <d v="2020-04-30T00:00:00"/>
    <d v="2024-03-31T00:00:00"/>
    <d v="2024-03-31T00:00:00"/>
    <n v="193"/>
    <s v="A-"/>
    <s v="BA-1994 , PG Diploma in Management-1994"/>
    <s v="21.02"/>
    <s v="17.02"/>
    <s v="38.04"/>
    <s v="70318846"/>
    <s v="Logistics &amp; Tailing Management"/>
    <s v="70308224"/>
    <s v="Dep. Head - Logistics &amp; Tailing Mgmt."/>
    <s v="Odisha"/>
    <s v="0022010019"/>
    <s v="DBN-Benf-HR/Admin"/>
    <s v="2000STORIS"/>
    <s v="20055574"/>
    <s v="Suresha G"/>
    <s v="No"/>
    <s v="jaikishan.sharma@amns.in"/>
    <s v="9437481206"/>
    <s v="24100"/>
    <s v="Sunila Das"/>
    <s v="Anil Matoo"/>
    <s v="Praveen Kuruvalli"/>
    <s v="Sunila Das"/>
    <n v="0"/>
  </r>
  <r>
    <n v="760"/>
    <n v="20006536"/>
    <s v="Mahesh Salunke"/>
    <s v="AM/NS India"/>
    <s v="Onroll"/>
    <s v="M-4"/>
    <n v="4"/>
    <m/>
    <s v="SM"/>
    <s v="M"/>
    <s v="Pune Facility"/>
    <n v="4"/>
    <s v="2043"/>
    <x v="3"/>
    <s v="31.01"/>
    <s v="Hrishikesh Kamat"/>
    <s v="Hrishikesh Kamat"/>
    <n v="7"/>
    <s v="Procurement"/>
    <s v="Procurement"/>
    <s v="31"/>
    <s v="Head – Procurement Pune"/>
    <m/>
    <s v="Procurement"/>
    <s v="Procurement"/>
    <s v="Procurement"/>
    <s v="Non Technical Support"/>
    <s v="Commercial"/>
    <s v="Procurement"/>
    <s v="73803001"/>
    <s v="Procurement"/>
    <s v="Pune AMNS"/>
    <d v="1971-11-08T00:00:00"/>
    <s v="51.10"/>
    <d v="2006-07-10T00:00:00"/>
    <d v="2029-11-30T00:00:00"/>
    <m/>
    <d v="2029-11-30T00:00:00"/>
    <n v="2263"/>
    <s v="B-"/>
    <s v="BE-1993"/>
    <s v="12.10"/>
    <s v="17.02"/>
    <s v="30.00"/>
    <s v="73800002"/>
    <s v="Procurement - Pune Asset"/>
    <s v="70386091"/>
    <s v="Head – Procurement Pune"/>
    <s v="Pune Facility"/>
    <s v="0035950041"/>
    <s v="Pune-Procurement"/>
    <s v="2000ESPF"/>
    <s v="20055090"/>
    <s v="Hrishikesh Kamat"/>
    <s v="No"/>
    <s v="mahesh.salunke@amns.in"/>
    <s v="9158895146"/>
    <s v="23891"/>
    <s v="Dhruv Vyas"/>
    <s v="Anil Matoo"/>
    <s v="Praveen Kuruvalli"/>
    <s v="Dhruv Vyas"/>
    <n v="0"/>
  </r>
  <r>
    <n v="777"/>
    <n v="20006785"/>
    <s v="Sunil Patil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ales Manager Defence"/>
    <m/>
    <s v="Plate"/>
    <s v="Plate"/>
    <s v="Strategic Sales &amp; Branding"/>
    <s v="Non Technical Support"/>
    <s v="Assurance &amp; Cost Control"/>
    <s v="Assurance &amp; Cost Control"/>
    <s v="73401001"/>
    <s v="Assurance &amp; Cost Control"/>
    <s v="Mumbai"/>
    <d v="1983-09-20T00:00:00"/>
    <s v="40.00"/>
    <d v="2006-07-10T00:00:00"/>
    <d v="2041-09-30T00:00:00"/>
    <m/>
    <d v="2041-09-30T00:00:00"/>
    <n v="6585"/>
    <s v="B-"/>
    <s v="BE-2015 , Master's Equivalent-2006 , MTe"/>
    <s v=""/>
    <s v="17.02"/>
    <s v="17.02"/>
    <s v="70410953"/>
    <s v="Plate Sales - Gujarat"/>
    <s v="70289843"/>
    <s v="Sales Manager Defence"/>
    <s v="Corporate"/>
    <s v="0080000005"/>
    <s v="Global Markets Team"/>
    <s v="2000CS"/>
    <s v="20003623"/>
    <s v="Soumyadeep Datta"/>
    <s v="No"/>
    <s v="sunil.patil@amns.in"/>
    <s v="9930135384"/>
    <s v="23457"/>
    <s v="Dhruv Vyas"/>
    <s v="Anil Matoo"/>
    <s v="Praveen Kuruvalli"/>
    <s v="Dhruv Vyas"/>
    <n v="0"/>
  </r>
  <r>
    <n v="778"/>
    <n v="20006819"/>
    <s v="Prafulla Kumar Mohanty"/>
    <s v="AM/NS India"/>
    <s v="Onroll"/>
    <s v="M-4"/>
    <n v="4"/>
    <m/>
    <s v="SM"/>
    <s v="M"/>
    <s v="Odisha"/>
    <n v="2"/>
    <s v="2039"/>
    <x v="12"/>
    <s v="43.01"/>
    <s v="Sangeeta Munjal"/>
    <s v="Manu Kapoor"/>
    <n v="10"/>
    <s v="Corporate Affairs"/>
    <s v="Corporate Affairs"/>
    <s v="43"/>
    <s v="Head - Land Paradeep"/>
    <m/>
    <s v="Land Acquisition"/>
    <s v="Corporate Affairs"/>
    <s v="Corporate Affairs"/>
    <s v="Non Technical Support"/>
    <s v="Human Resources Management"/>
    <s v="Human Resources Management"/>
    <s v="73501002"/>
    <s v="Human Resources Operation"/>
    <s v="Paradeep"/>
    <d v="1971-11-22T00:00:00"/>
    <s v="51.09"/>
    <d v="2006-08-01T00:00:00"/>
    <d v="2029-11-30T00:00:00"/>
    <m/>
    <d v="2029-11-30T00:00:00"/>
    <n v="2263"/>
    <s v="O-"/>
    <s v="Master's Equivalent-1998 , LLB-1998 , MA"/>
    <s v="11.10"/>
    <s v="17.01"/>
    <s v="29.00"/>
    <s v="00052871"/>
    <s v="Land Acquisition and R&amp;R"/>
    <s v="70257475"/>
    <s v="Head – Land Acquisition and R&amp;R"/>
    <s v="Odisha"/>
    <s v="0022030019"/>
    <s v="PDP-HR &amp; Admn"/>
    <s v="2000STORIS"/>
    <s v="20033424"/>
    <s v="Rajiv Bhatnagar"/>
    <s v="No"/>
    <s v="prafullakumar.mohanty@amns.in"/>
    <s v="7381007005"/>
    <s v="22687"/>
    <s v="Sunila Das"/>
    <s v="Anil Matoo"/>
    <s v="Praveen Kuruvalli"/>
    <s v="Sunila Das"/>
    <n v="0"/>
  </r>
  <r>
    <n v="779"/>
    <n v="20006833"/>
    <s v="Hardik Vasavada"/>
    <s v="AM/NS India"/>
    <s v="Onroll"/>
    <s v="M-5"/>
    <n v="5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- Internal Control"/>
    <m/>
    <s v="Internal Control &amp; SOX"/>
    <s v="Internal Control &amp; SOX"/>
    <s v="Finance &amp; Accounts"/>
    <s v="Non Technical Support"/>
    <s v="Finance &amp; Accounts"/>
    <s v="Costing"/>
    <s v="73906001"/>
    <s v="Costing"/>
    <s v="AM/NS Hazira"/>
    <d v="1980-02-29T00:00:00"/>
    <s v="43.06"/>
    <d v="2006-08-04T00:00:00"/>
    <d v="2038-02-28T00:00:00"/>
    <m/>
    <d v="2038-02-28T00:00:00"/>
    <n v="5275"/>
    <s v="O-"/>
    <s v="CA Final-2005"/>
    <s v="01.01"/>
    <s v="17.01"/>
    <s v="18.02"/>
    <s v="00049304"/>
    <s v="PM - Internal Control"/>
    <s v="70258329"/>
    <s v="Lead - Internal Control"/>
    <s v="Corporate"/>
    <s v="0031950043"/>
    <s v="HZ-Performance Manag"/>
    <s v="2000CS"/>
    <s v="20003280"/>
    <s v="Chetan Jansari"/>
    <s v="No"/>
    <s v="hardik.vasavada@amns.in"/>
    <s v="9879102207"/>
    <s v="24649"/>
    <s v="Dhruv Vyas"/>
    <s v="Anil Matoo"/>
    <s v="Praveen Kuruvalli"/>
    <s v="Dhruv Vyas"/>
    <n v="0"/>
  </r>
  <r>
    <n v="780"/>
    <n v="20006862"/>
    <s v="D Niranjan Patro"/>
    <s v="AM/NS India"/>
    <s v="Onroll"/>
    <s v="M-5"/>
    <n v="5"/>
    <m/>
    <s v="MM"/>
    <s v="M"/>
    <s v="Vizag"/>
    <n v="3"/>
    <s v="2013"/>
    <x v="0"/>
    <s v="20.01"/>
    <s v="Akiyo Omori"/>
    <s v="Amit Harlalka"/>
    <n v="5"/>
    <s v="Finance &amp; Accounts"/>
    <s v="Finance &amp; Accounts"/>
    <s v="20"/>
    <s v="Section Head-Costing, Budgeting &amp; IDT"/>
    <m/>
    <s v="Finance &amp; Accounts - Vizag"/>
    <s v="Finance &amp; Accounts"/>
    <s v="Costing, Budgeting, IDT &amp; Insurance"/>
    <s v="Non Technical Support"/>
    <s v="Finance &amp; Accounts"/>
    <s v="Finance &amp; Accounts"/>
    <s v="73901001"/>
    <s v="Finance &amp; Accounts"/>
    <s v="Vizag"/>
    <d v="1968-03-24T00:00:00"/>
    <s v="55.05"/>
    <d v="2006-08-18T00:00:00"/>
    <d v="2026-03-31T00:00:00"/>
    <m/>
    <d v="2026-03-31T00:00:00"/>
    <n v="923"/>
    <s v="O-"/>
    <s v="MBA-2012 , Certificate-2012"/>
    <s v="14.07"/>
    <s v="17.01"/>
    <s v="31.08"/>
    <s v="70413458"/>
    <s v="Costing, Budgeting &amp; IDT"/>
    <s v="70402768"/>
    <s v="Section Head-Costing, Budgeting &amp; IDT"/>
    <s v="Vizag"/>
    <s v="0028030019"/>
    <s v="VIZ-Personnel &amp; Admi"/>
    <s v="2000VIZOPS"/>
    <s v="20001003"/>
    <s v="Patnana Muralidhara Rao"/>
    <s v="No"/>
    <s v="niranjan.patro@amns.in"/>
    <s v="9885108061"/>
    <s v="23476"/>
    <s v="DS Varma"/>
    <s v="Anil Matoo"/>
    <s v="Praveen Kuruvalli"/>
    <s v="Dhruv Vyas"/>
    <n v="0"/>
  </r>
  <r>
    <n v="781"/>
    <n v="20006916"/>
    <s v="Mir Ali Martaj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s &amp; Unloading"/>
    <m/>
    <s v="Stores &amp; Warehouse"/>
    <s v="Stores &amp; Warehouse"/>
    <s v="Receipt &amp; Unloading"/>
    <s v="Non Technical Support"/>
    <s v="Commercial"/>
    <s v="Stores &amp; Warehouse"/>
    <s v="73806001"/>
    <s v="Stores &amp; Warehouse"/>
    <s v="Hazira"/>
    <d v="1967-02-08T00:00:00"/>
    <s v="56.07"/>
    <d v="2006-08-01T00:00:00"/>
    <d v="2025-02-28T00:00:00"/>
    <m/>
    <d v="2025-02-28T00:00:00"/>
    <n v="527"/>
    <s v="O+"/>
    <s v="BA-1992"/>
    <s v="21.04"/>
    <s v="17.01"/>
    <s v="38.05"/>
    <s v="00053279"/>
    <s v="Receipts &amp; Unloading - Plant A"/>
    <s v="70259110"/>
    <s v="Section Officer - Receipts &amp; Unloading"/>
    <s v="Hazira"/>
    <s v="0031950049"/>
    <s v="HZ-Central Stores"/>
    <s v="2000HWO"/>
    <s v="20001164"/>
    <s v="Snehal Anjaria"/>
    <s v="No"/>
    <s v="mir.ali@amns.in"/>
    <s v="9909901791"/>
    <s v="21064"/>
    <s v="Dhruv Vyas"/>
    <s v="Anil Matoo"/>
    <s v="Praveen Kuruvalli"/>
    <s v="Dhruv Vyas"/>
    <n v="0"/>
  </r>
  <r>
    <n v="785"/>
    <n v="20007008"/>
    <s v="Pradeep Kumar Sharm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– STC Plate Mill"/>
    <m/>
    <s v="Working Capital"/>
    <s v="Accounts Receivable"/>
    <s v="STC Platemill"/>
    <s v="Non Technical Support"/>
    <s v="Finance &amp; Accounts"/>
    <s v="Finance &amp; Accounts"/>
    <s v="73901001"/>
    <s v="Finance &amp; Accounts"/>
    <s v="Hazira"/>
    <d v="1968-03-03T00:00:00"/>
    <s v="55.06"/>
    <d v="2006-08-25T00:00:00"/>
    <d v="2026-03-31T00:00:00"/>
    <m/>
    <d v="2026-03-31T00:00:00"/>
    <n v="923"/>
    <s v="O-"/>
    <s v="MBA-2012 , BCom-2012 , BCom-1988"/>
    <s v="17.03"/>
    <s v="17.00"/>
    <s v="34.03"/>
    <s v="72150286"/>
    <s v="Accounts Receivables &amp; Export Banking"/>
    <s v="70258462"/>
    <s v="DGM – Finance &amp; Account"/>
    <s v="Hazira"/>
    <s v="0031950045"/>
    <s v="HZ-Works Accounts-Ha"/>
    <s v="2000HWO"/>
    <s v="20007731"/>
    <s v="Ashish Mehta"/>
    <s v="No"/>
    <s v="pradeep.sharma@amns.in"/>
    <s v="9643897060"/>
    <s v="24107"/>
    <s v="Dhruv Vyas"/>
    <s v="Anil Matoo"/>
    <s v="Praveen Kuruvalli"/>
    <s v="Dhruv Vyas"/>
    <n v="0"/>
  </r>
  <r>
    <n v="788"/>
    <n v="20007067"/>
    <s v="Gaurav Bhandari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Section Head-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77-08-28T00:00:00"/>
    <s v="46.00"/>
    <d v="2006-08-31T00:00:00"/>
    <d v="2035-08-31T00:00:00"/>
    <m/>
    <d v="2035-08-31T00:00:00"/>
    <n v="4363"/>
    <s v="O-"/>
    <s v="CS-2002 , CA Final-2002"/>
    <s v="03.04"/>
    <s v="17.00"/>
    <s v="20.04"/>
    <s v="70074192"/>
    <s v="Corporate Accounts"/>
    <s v="70386071"/>
    <s v="Section Head-Corporate Accounts &amp; Audit"/>
    <s v="Hazira"/>
    <s v="0090000027"/>
    <s v="Corporate Steel - Ac"/>
    <s v="2000HWO"/>
    <s v="20000679"/>
    <s v="Dinesh Mangal"/>
    <s v="No"/>
    <s v="gaurav.bhandari@amns.in"/>
    <s v="9879100810"/>
    <s v="21218"/>
    <s v="Dhruv Vyas"/>
    <s v="Anil Matoo"/>
    <s v="Praveen Kuruvalli"/>
    <s v="Dhruv Vyas"/>
    <n v="0"/>
  </r>
  <r>
    <n v="790"/>
    <n v="20007104"/>
    <s v="Ranjan Dhar"/>
    <s v="AM/NS India"/>
    <s v="Onroll"/>
    <s v="M-2"/>
    <n v="2"/>
    <m/>
    <s v="TM"/>
    <s v="M"/>
    <s v="Hazira"/>
    <n v="1"/>
    <s v="2031"/>
    <x v="10"/>
    <s v="14.01"/>
    <s v="Alain Legrix De La Salle"/>
    <s v="Alain Legrix De La Salle"/>
    <n v="3"/>
    <s v="Sales &amp; Marketing"/>
    <s v="Sales &amp; Marketing"/>
    <s v="14"/>
    <s v="Chief Marketing Officer"/>
    <m/>
    <s v="Sales &amp; Marketing"/>
    <s v="CMO Office"/>
    <s v=""/>
    <s v="Non Technical Support"/>
    <s v="Sales &amp; Marketing"/>
    <s v="Sales &amp; Marketing"/>
    <s v="73101001"/>
    <s v="Sales &amp; Marketing"/>
    <s v="Mumbai"/>
    <d v="1973-10-03T00:00:00"/>
    <s v="49.11"/>
    <d v="2006-09-05T00:00:00"/>
    <d v="2033-10-31T00:00:00"/>
    <m/>
    <d v="2033-10-31T00:00:00"/>
    <n v="3694"/>
    <s v="B-"/>
    <s v="Certificate-2004 , BTech-2004 , Certific"/>
    <s v="06.03"/>
    <s v="17.00"/>
    <s v="23.03"/>
    <s v="70139950"/>
    <s v="Sales &amp; Marketing"/>
    <s v="70413461"/>
    <s v="Chief Marketing Officer"/>
    <s v="Confidential Payroll"/>
    <s v="0080000001"/>
    <s v="Head-Marketing"/>
    <s v="2000HWO"/>
    <s v="20055084"/>
    <s v="Alain Legrix De La Salle"/>
    <s v="No"/>
    <s v="ranjan.dhar@amns.in"/>
    <s v="9819731543"/>
    <s v="21649"/>
    <s v="Dhruv Vyas"/>
    <s v="Anil Matoo"/>
    <s v="Praveen Kuruvalli"/>
    <s v="Dhruv Vyas"/>
    <n v="0"/>
  </r>
  <r>
    <n v="815"/>
    <n v="20007322"/>
    <s v="Sanjay Bohr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Automotive Sales"/>
    <m/>
    <s v="North"/>
    <s v="Hypermart"/>
    <s v=""/>
    <s v="Non Technical Support"/>
    <s v="Sales &amp; Marketing"/>
    <s v="Marketing"/>
    <s v="73102001"/>
    <s v="Marketing"/>
    <s v="Faridabad"/>
    <d v="1973-03-15T00:00:00"/>
    <s v="50.06"/>
    <d v="2006-09-18T00:00:00"/>
    <d v="2031-03-31T00:00:00"/>
    <m/>
    <d v="2031-03-31T00:00:00"/>
    <n v="2749"/>
    <s v="B-"/>
    <s v="Diploma-1990 , Diploma-1990"/>
    <s v="15.09"/>
    <s v="17.00"/>
    <s v="32.08"/>
    <s v="00052526"/>
    <s v="Sales - North"/>
    <s v="70258465"/>
    <s v="KAM - Automotive Sales"/>
    <s v="Hazira"/>
    <s v="0060120100"/>
    <s v="HMART-North Zone"/>
    <s v="2000HWO"/>
    <s v="20002920"/>
    <s v="Sudhir Sharma"/>
    <s v="No"/>
    <s v="sanjay.bohra@amns.in"/>
    <s v="9899257110"/>
    <s v="21308"/>
    <s v="Dhruv Vyas"/>
    <s v="Anil Matoo"/>
    <s v="Praveen Kuruvalli"/>
    <s v="Dhruv Vyas"/>
    <n v="0"/>
  </r>
  <r>
    <n v="830"/>
    <n v="20007414"/>
    <s v="Gaurav Sharm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Sales – Pipe Products"/>
    <m/>
    <s v="Pipe"/>
    <s v="Pipe"/>
    <s v=""/>
    <s v="Non Technical Support"/>
    <s v="Sales &amp; Marketing"/>
    <s v="Sales &amp; Marketing"/>
    <s v="73101001"/>
    <s v="Sales &amp; Marketing"/>
    <s v="Noida"/>
    <d v="1979-08-14T00:00:00"/>
    <s v="44.01"/>
    <d v="2006-09-11T00:00:00"/>
    <d v="2037-08-31T00:00:00"/>
    <m/>
    <d v="2037-08-31T00:00:00"/>
    <n v="5094"/>
    <s v="B-"/>
    <s v="BE-2010 , PG Diploma in Management-2010"/>
    <s v="03.09"/>
    <s v="17.00"/>
    <s v="20.09"/>
    <s v="70387159"/>
    <s v="Pipe Sales"/>
    <s v="70258291"/>
    <s v="Head Sales – Pipe Products"/>
    <s v="Hazira"/>
    <s v="0031591982"/>
    <s v="PM-Marketing"/>
    <s v="2000HWO"/>
    <s v="20007104"/>
    <s v="Ranjan Dhar"/>
    <s v="No"/>
    <s v="gaurav.sharma1@amns.in"/>
    <s v="9654099920"/>
    <s v="24096"/>
    <s v="Dhruv Vyas"/>
    <s v="Anil Matoo"/>
    <s v="Praveen Kuruvalli"/>
    <s v="Dhruv Vyas"/>
    <n v="0"/>
  </r>
  <r>
    <n v="834"/>
    <n v="20007499"/>
    <s v="Sunil Mangoli"/>
    <s v="AM/NS India"/>
    <s v="Onroll"/>
    <s v="M-7"/>
    <n v="7"/>
    <m/>
    <s v="MM"/>
    <s v="M"/>
    <s v="Service Centers"/>
    <n v="6"/>
    <s v="2043"/>
    <x v="3"/>
    <s v="31.01"/>
    <s v="Hrishikesh Kamat"/>
    <s v="Hrishikesh Kamat"/>
    <n v="7"/>
    <s v="Procurement"/>
    <s v="Procurement"/>
    <s v="31"/>
    <s v="Lead - Procurement - Service Center"/>
    <m/>
    <s v="Procurement Service Centre"/>
    <s v="Procurement"/>
    <s v="Procurement"/>
    <s v="Non Technical Support"/>
    <s v="Commercial"/>
    <s v="Procurement"/>
    <s v="73803001"/>
    <s v="Procurement"/>
    <s v="Hazira"/>
    <d v="1976-06-08T00:00:00"/>
    <s v="47.03"/>
    <d v="2006-09-27T00:00:00"/>
    <d v="2034-06-30T00:00:00"/>
    <m/>
    <d v="2034-06-30T00:00:00"/>
    <n v="3936"/>
    <s v="B-"/>
    <s v="Diploma-1996"/>
    <s v="14.04"/>
    <s v="16.11"/>
    <s v="31.03"/>
    <s v="70413444"/>
    <s v="Purchase &amp; Contracts"/>
    <s v="72150636"/>
    <s v="Lead - Procurement - Service Center"/>
    <s v="Service Center"/>
    <s v="0040010019"/>
    <s v="SC-DSC-Common Cost"/>
    <s v="2000SPRJ"/>
    <s v="20052588"/>
    <s v="Govindraju Sampathirao"/>
    <s v="No"/>
    <s v="sunil.mangoli@amns.in"/>
    <s v="9923205755"/>
    <s v="22535"/>
    <s v="Dhruv Vyas"/>
    <s v="Anil Matoo"/>
    <s v="Praveen Kuruvalli"/>
    <s v="Dhruv Vyas"/>
    <n v="0"/>
  </r>
  <r>
    <n v="847"/>
    <n v="20007731"/>
    <s v="Ashish Mehta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-Accounts Receivables Export Banking"/>
    <m/>
    <s v="Working Capital"/>
    <s v="Accounts Receivable"/>
    <s v="Credit Control"/>
    <s v="Non Technical Support"/>
    <s v="Finance &amp; Accounts"/>
    <s v="Finance &amp; Accounts"/>
    <s v="73901004"/>
    <s v="Accounts Receivables"/>
    <s v="AM/NS Hazira"/>
    <d v="1977-07-30T00:00:00"/>
    <s v="46.01"/>
    <d v="2006-10-16T00:00:00"/>
    <d v="2035-07-31T00:00:00"/>
    <m/>
    <d v="2035-07-31T00:00:00"/>
    <n v="4332"/>
    <s v="B-"/>
    <s v="CA Final-2004"/>
    <s v="04.09"/>
    <s v="16.11"/>
    <s v="21.08"/>
    <s v="72150286"/>
    <s v="Accounts Receivables &amp; Export Banking"/>
    <s v="70227020"/>
    <s v="Head-Accounts Receivables Export Banking"/>
    <s v="Hazira"/>
    <s v="0031950045"/>
    <s v="HZ-Works Accounts-Ha"/>
    <s v="2000HWO"/>
    <s v="20055188"/>
    <s v="Rohit Sharma"/>
    <s v="No"/>
    <s v="ashish.mehta@amns.in"/>
    <s v="9879100614"/>
    <s v="22583"/>
    <s v="Dhruv Vyas"/>
    <s v="Anil Matoo"/>
    <s v="Praveen Kuruvalli"/>
    <s v="Dhruv Vyas"/>
    <n v="0"/>
  </r>
  <r>
    <n v="863"/>
    <n v="20008040"/>
    <s v="Rajesh Gupt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Gen.Mgr-Finance &amp; Acco"/>
    <m/>
    <s v="Sales Steering &amp; BD"/>
    <s v="Sales Audit"/>
    <s v=""/>
    <s v="Non Technical Support"/>
    <s v="Finance &amp; Accounts"/>
    <s v="Treasury"/>
    <s v="73903001"/>
    <s v="Treasury"/>
    <s v="Noida"/>
    <d v="1968-11-24T00:00:00"/>
    <s v="54.09"/>
    <d v="2006-11-06T00:00:00"/>
    <d v="2026-11-30T00:00:00"/>
    <m/>
    <d v="2026-11-30T00:00:00"/>
    <n v="1167"/>
    <s v="O-"/>
    <s v="PG Diploma in Management-1999 , MBA-1999"/>
    <s v="16.05"/>
    <s v="16.10"/>
    <s v="33.03"/>
    <s v="70277912"/>
    <s v="Plate Sales"/>
    <s v="70226691"/>
    <s v="Head Sales Audit &amp; Compliances"/>
    <s v="Hazira"/>
    <s v="0060100004"/>
    <s v="HMART-HR/Admin Expen"/>
    <s v="2000HWO"/>
    <s v="20010531"/>
    <s v="Saptarshi Saha"/>
    <s v="No"/>
    <s v="rajesh.gupta@amns.in"/>
    <s v="9811421542"/>
    <s v="21872"/>
    <s v="Dhruv Vyas"/>
    <s v="Anil Matoo"/>
    <s v="Praveen Kuruvalli"/>
    <s v="Dhruv Vyas"/>
    <n v="0"/>
  </r>
  <r>
    <n v="873"/>
    <n v="20008508"/>
    <s v="Satyajit Mohapatra"/>
    <s v="AM/NS India"/>
    <s v="Onroll"/>
    <s v="M-4"/>
    <n v="4"/>
    <m/>
    <s v="S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Head-Technical Mktg. &amp; Application Engg.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70-07-03T00:00:00"/>
    <s v="53.02"/>
    <d v="2006-12-18T00:00:00"/>
    <d v="2028-07-31T00:00:00"/>
    <m/>
    <d v="2028-07-31T00:00:00"/>
    <n v="1776"/>
    <s v="B-"/>
    <s v="Master's Equivalent-2006"/>
    <s v="12.00"/>
    <s v="16.09"/>
    <s v="28.08"/>
    <s v="70343197"/>
    <s v="Technical Mktg &amp; Application Engineering"/>
    <s v="70336265"/>
    <s v="Head-Technical Mktg. &amp; Application Engg."/>
    <s v="Hazira"/>
    <s v="0031950057"/>
    <s v="HZ-HRC - Marketing"/>
    <s v="2000HWO"/>
    <s v="20007104"/>
    <s v="Ranjan Dhar"/>
    <s v="No"/>
    <s v="satyajit.mohapatra@amns.in"/>
    <s v="9930134371"/>
    <s v="22699"/>
    <s v="Dhruv Vyas"/>
    <s v="Anil Matoo"/>
    <s v="Praveen Kuruvalli"/>
    <s v="Dhruv Vyas"/>
    <n v="0"/>
  </r>
  <r>
    <n v="880"/>
    <n v="20008647"/>
    <s v="Alpesh Hirpara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- Pro Refractory"/>
    <m/>
    <s v="Procurement MRO Hazira"/>
    <s v="Procurement"/>
    <s v="Consumables"/>
    <s v="Non Technical Support"/>
    <s v="Commercial"/>
    <s v="Procurement"/>
    <s v="73803001"/>
    <s v="Procurement"/>
    <s v="AM/NS Hazira"/>
    <d v="1983-09-25T00:00:00"/>
    <s v="39.11"/>
    <d v="2006-12-18T00:00:00"/>
    <d v="2041-09-30T00:00:00"/>
    <m/>
    <d v="2041-09-30T00:00:00"/>
    <n v="6585"/>
    <s v="O-"/>
    <s v="BE-2006"/>
    <s v=""/>
    <s v="16.09"/>
    <s v="16.09"/>
    <s v="00044543"/>
    <s v="Procurement -Refractory"/>
    <s v="70372367"/>
    <s v="Lead - Pro Refractory"/>
    <s v="Hazira"/>
    <s v="0031950048"/>
    <s v="HZ-Procurment Depart"/>
    <s v="2000HWO"/>
    <s v="20000201"/>
    <s v="Manish Bakriwala"/>
    <s v="No"/>
    <s v="alpesh.hirpara@amns.in"/>
    <s v="9925241335"/>
    <s v="21912"/>
    <s v="Dhruv Vyas"/>
    <s v="Anil Matoo"/>
    <s v="Praveen Kuruvalli"/>
    <s v="Dhruv Vyas"/>
    <n v="0"/>
  </r>
  <r>
    <n v="890"/>
    <n v="20008774"/>
    <s v="Ajay Somasundaran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r. Lead - Market Intelligence"/>
    <m/>
    <s v="Sales Steering &amp; BD"/>
    <s v="Market Intelligence"/>
    <s v="Pricing &amp; Strategy"/>
    <s v="Non Technical Support"/>
    <s v="Sales &amp; Marketing"/>
    <s v="Marketing"/>
    <s v="73102007"/>
    <s v="Pricing"/>
    <s v="Mumbai"/>
    <d v="1976-04-08T00:00:00"/>
    <s v="47.05"/>
    <d v="2007-01-15T00:00:00"/>
    <d v="2034-04-30T00:00:00"/>
    <m/>
    <d v="2034-04-30T00:00:00"/>
    <n v="3875"/>
    <s v="A-"/>
    <s v="MBA-2005"/>
    <s v="05.07"/>
    <s v="16.08"/>
    <s v="22.03"/>
    <s v="72150188"/>
    <s v="Market Intelligence &amp; Pricing"/>
    <s v="72150163"/>
    <s v="Head - Market Intelligence &amp; Pricing"/>
    <s v="Corporate"/>
    <s v="0080000001"/>
    <s v="Head-Marketing"/>
    <s v="2000CS"/>
    <s v="20010531"/>
    <s v="Saptarshi Saha"/>
    <s v="No"/>
    <s v="ajay.somasundaran@amns.in"/>
    <s v="9819731553"/>
    <s v="24323"/>
    <s v="Dhruv Vyas"/>
    <s v="Anil Matoo"/>
    <s v="Praveen Kuruvalli"/>
    <s v="Dhruv Vyas"/>
    <n v="0"/>
  </r>
  <r>
    <n v="896"/>
    <n v="20008966"/>
    <s v="Rajesh Katoch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Process Manager"/>
    <m/>
    <s v="Sales Steering &amp; BD"/>
    <s v="Digital Initiatives"/>
    <s v="West Zone"/>
    <s v="Non Technical Support"/>
    <s v="IT"/>
    <s v="IT"/>
    <s v="74901001"/>
    <s v="IT"/>
    <s v="Mumbai"/>
    <d v="1972-04-08T00:00:00"/>
    <s v="51.05"/>
    <d v="2007-01-22T00:00:00"/>
    <d v="2030-04-30T00:00:00"/>
    <m/>
    <d v="2030-04-30T00:00:00"/>
    <n v="2414"/>
    <s v="A-"/>
    <s v="BCom-1996"/>
    <s v="13.08"/>
    <s v="16.07"/>
    <s v="30.03"/>
    <s v="70462100"/>
    <s v="Digital Initiatives"/>
    <s v="70386465"/>
    <s v="Process Manager - Digitalization"/>
    <s v="Corporate"/>
    <s v="0060100003"/>
    <s v="HMART-IT/JDS Support"/>
    <s v="2000CS"/>
    <s v="20043383"/>
    <s v="Maneesh Moti"/>
    <s v="No"/>
    <s v="rajesh.katoch@amns.in"/>
    <s v="9819730698"/>
    <s v="22175"/>
    <s v="Dhruv Vyas"/>
    <s v="Anil Matoo"/>
    <s v="Praveen Kuruvalli"/>
    <s v="Dhruv Vyas"/>
    <n v="0"/>
  </r>
  <r>
    <n v="906"/>
    <n v="20009067"/>
    <s v="Neelesh Mishr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Business Leader Hypermart (West)"/>
    <m/>
    <s v="Hypermart"/>
    <s v="Hypermart"/>
    <s v=""/>
    <s v="Non Technical Support"/>
    <s v="Sales &amp; Marketing"/>
    <s v="Sales"/>
    <s v="73104003"/>
    <s v="Retail Sales"/>
    <s v="Mumbai"/>
    <d v="1975-12-23T00:00:00"/>
    <s v="47.08"/>
    <d v="2007-01-25T00:00:00"/>
    <d v="2033-12-31T00:00:00"/>
    <m/>
    <d v="2033-12-31T00:00:00"/>
    <n v="3755"/>
    <s v="B-"/>
    <s v="BCom-1996"/>
    <s v="06.06"/>
    <s v="16.07"/>
    <s v="23.01"/>
    <s v="70164330"/>
    <s v="HyperMart - West"/>
    <s v="70226631"/>
    <s v="Distribution Incharge - G'dham"/>
    <s v="Hazira"/>
    <s v="0031950057"/>
    <s v="HZ-HRC - Marketing"/>
    <s v="2000HWO"/>
    <s v="20006236"/>
    <s v="Sanjay Vaid"/>
    <s v="No"/>
    <s v="neelesh.mishra@amns.in"/>
    <s v="9819731556"/>
    <s v="22630"/>
    <s v="Dhruv Vyas"/>
    <s v="Anil Matoo"/>
    <s v="Praveen Kuruvalli"/>
    <s v="Dhruv Vyas"/>
    <n v="0"/>
  </r>
  <r>
    <n v="907"/>
    <n v="20009073"/>
    <s v="Hiral Bhatt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Rajkot"/>
    <d v="1982-09-14T00:00:00"/>
    <s v="41.00"/>
    <d v="2007-01-22T00:00:00"/>
    <d v="2040-09-30T00:00:00"/>
    <m/>
    <d v="2040-09-30T00:00:00"/>
    <n v="6220"/>
    <s v="A-"/>
    <s v="BBA-2004 , Certificate-2004"/>
    <s v="02.03"/>
    <s v="16.07"/>
    <s v="18.10"/>
    <s v="70394840"/>
    <s v="OEM Sales - Gujarat"/>
    <s v="70372455"/>
    <s v="Sales Manager - Hypermart"/>
    <s v="Hypermart"/>
    <s v="0060110300"/>
    <s v="HMART-Guj-Ahemedabad"/>
    <s v="2000SRET"/>
    <s v="20001736"/>
    <s v="Manoranjan Jagdhari"/>
    <s v="No"/>
    <s v="hiral.bhatt@amns.in"/>
    <s v="9909043001"/>
    <s v="21238"/>
    <s v="Dhruv Vyas"/>
    <s v="Anil Matoo"/>
    <s v="Praveen Kuruvalli"/>
    <s v="Dhruv Vyas"/>
    <n v="0"/>
  </r>
  <r>
    <n v="908"/>
    <n v="20009082"/>
    <s v="Ashutosh Misr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North"/>
    <s v="Hypermart"/>
    <s v="Nort Zone"/>
    <s v="Non Technical Support"/>
    <s v="Sales &amp; Marketing"/>
    <s v="Sales"/>
    <s v="73104003"/>
    <s v="Retail Sales"/>
    <s v="Jaipur"/>
    <d v="1977-09-28T00:00:00"/>
    <s v="45.11"/>
    <d v="2007-01-15T00:00:00"/>
    <d v="2035-09-30T00:00:00"/>
    <m/>
    <d v="2035-09-30T00:00:00"/>
    <n v="4393"/>
    <s v="A-"/>
    <s v="BA-1999 , Master's Equivalent-1999"/>
    <s v="03.03"/>
    <s v="16.08"/>
    <s v="19.11"/>
    <s v="00052526"/>
    <s v="Sales - North"/>
    <s v="70258923"/>
    <s v="Sales Manager - Hypermart"/>
    <s v="Hypermart"/>
    <s v="0060120300"/>
    <s v="HMART-Raj-Jaipur"/>
    <s v="2000SRET"/>
    <s v="20007322"/>
    <s v="Sanjay Bohra"/>
    <s v="No"/>
    <s v="ashutosh.misra@amns.in"/>
    <s v=""/>
    <s v="22639"/>
    <s v="Dhruv Vyas"/>
    <s v="Anil Matoo"/>
    <s v="Praveen Kuruvalli"/>
    <s v="Dhruv Vyas"/>
    <n v="0"/>
  </r>
  <r>
    <n v="923"/>
    <n v="20009190"/>
    <s v="Pradeep Gandikot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Hypermart"/>
    <s v="South Zone"/>
    <s v="Non Technical Support"/>
    <s v="Sales &amp; Marketing"/>
    <s v="Sales"/>
    <s v="73104003"/>
    <s v="Retail Sales"/>
    <s v="Hyderabad"/>
    <d v="1981-05-06T00:00:00"/>
    <s v="42.04"/>
    <d v="2007-02-19T00:00:00"/>
    <d v="2039-05-31T00:00:00"/>
    <m/>
    <d v="2039-05-31T00:00:00"/>
    <n v="5732"/>
    <s v="O-"/>
    <s v="MBA-2008"/>
    <s v="04.06"/>
    <s v="16.06"/>
    <s v="21.01"/>
    <s v="00048814"/>
    <s v="Sales South Zone – Hypermart"/>
    <s v="70403504"/>
    <s v="Sales Manager - Hypermart"/>
    <s v="Hypermart"/>
    <s v="0060140600"/>
    <s v="HMART-Tela-Secundrab"/>
    <s v="2000SRET"/>
    <s v="20056279"/>
    <s v="Arun G"/>
    <s v="No"/>
    <s v="pradeep.gandikota@amns.in"/>
    <s v="9866101615"/>
    <s v="21756"/>
    <s v="Dhruv Vyas"/>
    <s v="Anil Matoo"/>
    <s v="Praveen Kuruvalli"/>
    <s v="Dhruv Vyas"/>
    <n v="0"/>
  </r>
  <r>
    <n v="925"/>
    <n v="20009250"/>
    <s v="Bhagwati Gupt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Hypermart"/>
    <s v="Nort Zone"/>
    <s v="Non Technical Support"/>
    <s v="Sales &amp; Marketing"/>
    <s v="Sales"/>
    <s v="73104003"/>
    <s v="Retail Sales"/>
    <s v="Delhi"/>
    <d v="1974-01-01T00:00:00"/>
    <s v="49.08"/>
    <d v="2007-02-12T00:00:00"/>
    <d v="2031-12-31T00:00:00"/>
    <m/>
    <d v="2031-12-31T00:00:00"/>
    <n v="3024"/>
    <s v="B-"/>
    <s v="Certificate-2000 , MBA-2000 , BSc-1996"/>
    <s v="01.04"/>
    <s v="16.07"/>
    <s v="17.10"/>
    <s v="00052526"/>
    <s v="Sales - North"/>
    <s v="70320454"/>
    <s v="Sales Manager - Hypermart"/>
    <s v="Hypermart"/>
    <s v="0060120900"/>
    <s v="HMART-NCR-Faridabad"/>
    <s v="2000SRET"/>
    <s v="20007322"/>
    <s v="Sanjay Bohra"/>
    <s v="No"/>
    <s v="bhagwati.gupta@amns.in"/>
    <s v="9999015435"/>
    <s v="21860"/>
    <s v="Dhruv Vyas"/>
    <s v="Anil Matoo"/>
    <s v="Praveen Kuruvalli"/>
    <s v="Dhruv Vyas"/>
    <n v="0"/>
  </r>
  <r>
    <n v="933"/>
    <n v="20009438"/>
    <s v="Vidyadhar Bhise"/>
    <s v="AM/NS India"/>
    <s v="Onroll"/>
    <s v="M-8"/>
    <n v="8"/>
    <m/>
    <s v="JM"/>
    <s v="M"/>
    <s v="Hypermart"/>
    <n v="5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Human Resources"/>
    <s v="Human Resources"/>
    <s v="Non Technical Support"/>
    <s v="Human Resources Management"/>
    <s v="Human Resources Management"/>
    <s v="73501002"/>
    <s v="Human Resources Operation"/>
    <s v="Mumbai"/>
    <d v="1976-07-23T00:00:00"/>
    <s v="47.01"/>
    <d v="2007-03-01T00:00:00"/>
    <d v="2034-07-31T00:00:00"/>
    <m/>
    <d v="2034-07-31T00:00:00"/>
    <n v="3967"/>
    <s v="A-"/>
    <s v="BCom-2011 , PG Diploma in Management-201"/>
    <s v="06.09"/>
    <s v="16.06"/>
    <s v="23.03"/>
    <s v="00049721"/>
    <s v="Regional &amp; Corporate offices"/>
    <s v="70258919"/>
    <s v="Lead - Administration"/>
    <s v="Hypermart"/>
    <s v="0090000018"/>
    <s v="CORP Group - HR"/>
    <s v="2000SRET"/>
    <s v="20057888"/>
    <s v="Narinder Lamba"/>
    <s v="No"/>
    <s v="vidyadhar.bhise@amns.in"/>
    <s v="9819730498"/>
    <s v="21270"/>
    <s v="Dhruv Vyas"/>
    <s v="Anil Matoo"/>
    <s v="Praveen Kuruvalli"/>
    <s v="Dhruv Vyas"/>
    <n v="0"/>
  </r>
  <r>
    <n v="940"/>
    <n v="20009743"/>
    <s v="Rakesh Kuma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4"/>
    <s v="OEM Sales"/>
    <s v="Noida"/>
    <d v="1979-04-25T00:00:00"/>
    <s v="44.04"/>
    <d v="2007-03-30T00:00:00"/>
    <d v="2037-04-30T00:00:00"/>
    <m/>
    <d v="2037-04-30T00:00:00"/>
    <n v="4971"/>
    <s v="O-"/>
    <s v="BCom-2003"/>
    <s v="04.08"/>
    <s v="16.05"/>
    <s v="21.01"/>
    <s v="72150181"/>
    <s v="Sales North Zone"/>
    <s v="70334319"/>
    <s v="Sales Manager"/>
    <s v="Hazira"/>
    <s v="0031950057"/>
    <s v="HZ-HRC - Marketing"/>
    <s v="2000HWO"/>
    <s v="20002920"/>
    <s v="Sudhir Sharma"/>
    <s v="No"/>
    <s v="rakesh.kumar5@amns.in"/>
    <s v="9899789317"/>
    <s v="22355"/>
    <s v="Dhruv Vyas"/>
    <s v="Anil Matoo"/>
    <s v="Praveen Kuruvalli"/>
    <s v="Dhruv Vyas"/>
    <n v="0"/>
  </r>
  <r>
    <n v="941"/>
    <n v="20009749"/>
    <s v="Daksha Bhalodia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Lead - Accounts Payable"/>
    <m/>
    <s v="Working Capital"/>
    <s v="Hypermart"/>
    <s v="Hypermart"/>
    <s v="Non Technical Support"/>
    <s v="Finance &amp; Accounts"/>
    <s v="Finance &amp; Accounts"/>
    <s v="73901002"/>
    <s v="Corporate Accounts &amp; Audi"/>
    <s v="AM/NS Hazira"/>
    <d v="1971-07-23T00:00:00"/>
    <s v="52.01"/>
    <d v="2007-04-05T00:00:00"/>
    <d v="2029-07-31T00:00:00"/>
    <m/>
    <d v="2029-07-31T00:00:00"/>
    <n v="2141"/>
    <s v="B-"/>
    <s v="BCom-1992"/>
    <s v="03.08"/>
    <s v="16.05"/>
    <s v="20.01"/>
    <s v="00043794"/>
    <s v="Accounts Payable - 1"/>
    <s v="70259111"/>
    <s v="Lead - Accounts Payable"/>
    <s v="Hazira"/>
    <s v="0060100001"/>
    <s v="HMART-Finance &amp; Acco"/>
    <s v="2000SRET"/>
    <s v="20016107"/>
    <s v="Kalpesh Thathagar"/>
    <s v="No"/>
    <s v="daksha.bhalodia@amns.in"/>
    <s v="9879102011"/>
    <s v="21827"/>
    <s v="Dhruv Vyas"/>
    <s v="Anil Matoo"/>
    <s v="Praveen Kuruvalli"/>
    <s v="Dhruv Vyas"/>
    <n v="0"/>
  </r>
  <r>
    <n v="942"/>
    <n v="20009786"/>
    <s v="Rahul Deshpande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West Zone"/>
    <s v="Non Technical Support"/>
    <s v="Sales &amp; Marketing"/>
    <s v="Sales"/>
    <s v="73104003"/>
    <s v="Retail Sales"/>
    <s v="Pune"/>
    <d v="1977-11-22T00:00:00"/>
    <s v="45.09"/>
    <d v="2007-04-04T00:00:00"/>
    <d v="2035-11-30T00:00:00"/>
    <m/>
    <d v="2035-11-30T00:00:00"/>
    <n v="4454"/>
    <s v="B-"/>
    <s v="BCom-2002"/>
    <s v="13.01"/>
    <s v="16.05"/>
    <s v="29.06"/>
    <s v="00048138"/>
    <s v="Hypermart west"/>
    <s v="70258929"/>
    <s v="Sales Manager - Hypermart"/>
    <s v="Hypermart"/>
    <s v="0060110600"/>
    <s v="HMART-Mah-Taloja"/>
    <s v="2000SRET"/>
    <s v="20056847"/>
    <s v="Vikas Chotia"/>
    <s v="No"/>
    <s v="rahul.deshpande@amns.in"/>
    <s v="9819730702"/>
    <s v="21623"/>
    <s v="Dhruv Vyas"/>
    <s v="Anil Matoo"/>
    <s v="Praveen Kuruvalli"/>
    <s v="Dhruv Vyas"/>
    <n v="0"/>
  </r>
  <r>
    <n v="943"/>
    <n v="20009950"/>
    <s v="Bhavin Parekh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Ahmedabad"/>
    <d v="1980-01-15T00:00:00"/>
    <s v="43.08"/>
    <d v="2007-04-23T00:00:00"/>
    <d v="2038-01-31T00:00:00"/>
    <m/>
    <d v="2038-01-31T00:00:00"/>
    <n v="5247"/>
    <s v="O-"/>
    <s v="Diploma-2008 , BE-2008"/>
    <s v="02.09"/>
    <s v="16.04"/>
    <s v="19.02"/>
    <s v="70394840"/>
    <s v="OEM Sales - Gujarat"/>
    <s v="70319462"/>
    <s v="Sales Manager - Hypermart"/>
    <s v="Hypermart"/>
    <s v="0060110200"/>
    <s v="HMART-Gujarat Div"/>
    <s v="2000SRET"/>
    <s v="20001736"/>
    <s v="Manoranjan Jagdhari"/>
    <s v="No"/>
    <s v="bhavin.parekh@amns.in"/>
    <s v="9879109060"/>
    <s v="22983"/>
    <s v="Dhruv Vyas"/>
    <s v="Anil Matoo"/>
    <s v="Praveen Kuruvalli"/>
    <s v="Dhruv Vyas"/>
    <n v="0"/>
  </r>
  <r>
    <n v="944"/>
    <n v="20009970"/>
    <s v="Vijyendra Srivastava"/>
    <s v="AM/NS India"/>
    <s v="Onroll"/>
    <s v="M-5"/>
    <n v="5"/>
    <m/>
    <s v="MM"/>
    <s v="M"/>
    <s v="Hazira"/>
    <n v="1"/>
    <s v="2095"/>
    <x v="4"/>
    <n v="36.01"/>
    <s v="Deepak Sindkar"/>
    <s v="Hrishikesh Kamat"/>
    <n v="7"/>
    <s v="Procurement"/>
    <s v="Raw Materials"/>
    <s v="36"/>
    <s v="Senior Lead - Blacks"/>
    <m/>
    <s v="Bulk Raw Materials"/>
    <s v="Raw Material"/>
    <s v="Coal &amp; Coke"/>
    <s v="Non Technical Support"/>
    <s v="Commercial"/>
    <s v="Procurement"/>
    <s v="73803001"/>
    <s v="Procurement"/>
    <s v="Mumbai"/>
    <d v="1974-09-01T00:00:00"/>
    <s v="49.00"/>
    <d v="2007-04-25T00:00:00"/>
    <d v="2032-08-31T00:00:00"/>
    <m/>
    <d v="2032-08-31T00:00:00"/>
    <n v="3268"/>
    <s v="A-"/>
    <s v="PG Diploma in Management-1998"/>
    <s v="08.07"/>
    <s v="16.04"/>
    <s v="24.11"/>
    <s v="00045894"/>
    <s v="Blacks"/>
    <s v="70275841"/>
    <s v="Senior Lead - Blacks"/>
    <s v="Hazira"/>
    <s v="0031950048"/>
    <s v="HZ-Procurment Depart"/>
    <s v="2000HWO"/>
    <s v="20001577"/>
    <s v="Prakash Thakur"/>
    <s v="No"/>
    <s v="vijyendra.srivastava@amns.in"/>
    <s v="9930134238"/>
    <s v="24362"/>
    <s v="Dhruv Vyas"/>
    <s v="Anil Matoo"/>
    <s v="Praveen Kuruvalli"/>
    <s v="Dhruv Vyas"/>
    <n v="0"/>
  </r>
  <r>
    <n v="946"/>
    <n v="20010065"/>
    <s v="Ashish Mali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Central Zone"/>
    <s v="Non Technical Support"/>
    <s v="Sales &amp; Marketing"/>
    <s v="Sales"/>
    <s v="73104003"/>
    <s v="Retail Sales"/>
    <s v="Indore"/>
    <d v="1979-02-14T00:00:00"/>
    <s v="44.07"/>
    <d v="2007-04-16T00:00:00"/>
    <d v="2037-02-28T00:00:00"/>
    <m/>
    <d v="2037-02-28T00:00:00"/>
    <n v="4910"/>
    <s v="O-"/>
    <s v="PG Diploma in Management-2008"/>
    <s v="04.08"/>
    <s v="16.05"/>
    <s v="21.00"/>
    <s v="00048138"/>
    <s v="Hypermart west"/>
    <s v="70258932"/>
    <s v="Sales Manager - Hypermart"/>
    <s v="Hypermart"/>
    <s v="0060110700"/>
    <s v="HMART-MP-Pithampur"/>
    <s v="2000SRET"/>
    <s v="20056847"/>
    <s v="Vikas Chotia"/>
    <s v="No"/>
    <s v="ashish.mali@amns.in"/>
    <s v="9713300779"/>
    <s v="22509"/>
    <s v="Dhruv Vyas"/>
    <s v="Anil Matoo"/>
    <s v="Praveen Kuruvalli"/>
    <s v="Dhruv Vyas"/>
    <n v="0"/>
  </r>
  <r>
    <n v="965"/>
    <n v="20010531"/>
    <s v="Saptarshi Sah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Plate Sales"/>
    <m/>
    <s v="Sales Steering &amp; BD"/>
    <s v="Sales Steering &amp; BD"/>
    <s v=""/>
    <s v="Non Technical Support"/>
    <s v="Sales &amp; Marketing"/>
    <s v="Sales"/>
    <s v="73104004"/>
    <s v="OEM Sales"/>
    <s v="Mumbai"/>
    <d v="1979-11-02T00:00:00"/>
    <s v="43.10"/>
    <d v="2007-06-11T00:00:00"/>
    <d v="2037-11-30T00:00:00"/>
    <m/>
    <d v="2037-11-30T00:00:00"/>
    <n v="5185"/>
    <s v="A-"/>
    <s v="BTech-2007 , MBA-2007"/>
    <s v="00.05"/>
    <s v="16.03"/>
    <s v="16.08"/>
    <s v="70277912"/>
    <s v="Plate Sales"/>
    <s v="70386090"/>
    <s v="Head Sales Steering, Distribution &amp; BD"/>
    <s v="Hazira"/>
    <s v="0080000001"/>
    <s v="Head-Marketing"/>
    <s v="2000HWO"/>
    <s v="20055084"/>
    <s v="Alain Legrix De La Salle"/>
    <s v="No"/>
    <s v="saptarshi.saha@amns.in"/>
    <s v="9833946115"/>
    <s v="23838"/>
    <s v="Dhruv Vyas"/>
    <s v="Anil Matoo"/>
    <s v="Praveen Kuruvalli"/>
    <s v="Dhruv Vyas"/>
    <n v="0"/>
  </r>
  <r>
    <n v="971"/>
    <n v="20010602"/>
    <s v="Sanjeev Kumar Jha"/>
    <s v="AM/NS India"/>
    <s v="Onroll"/>
    <s v="M-8"/>
    <n v="8"/>
    <m/>
    <s v="JM"/>
    <s v="M"/>
    <s v="Odisha"/>
    <n v="2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Human Resources"/>
    <s v="Human Resources"/>
    <s v="Non Technical Support"/>
    <s v="Human Resources Management"/>
    <s v="Human Resources Management"/>
    <s v="73501002"/>
    <s v="Human Resources Operation"/>
    <s v="Paradeep"/>
    <d v="1974-10-04T00:00:00"/>
    <s v="48.11"/>
    <d v="2007-06-01T00:00:00"/>
    <d v="2032-10-31T00:00:00"/>
    <m/>
    <d v="2032-10-31T00:00:00"/>
    <n v="3329"/>
    <s v="O-"/>
    <s v="BSc-2001 , Bachelor Equivalent-2001"/>
    <s v="09.07"/>
    <s v="16.03"/>
    <s v="25.10"/>
    <s v="70495430"/>
    <s v="Odisha HR Operations"/>
    <s v="70226867"/>
    <s v="Lead - Human Resources"/>
    <s v="Odisha"/>
    <s v="0022030019"/>
    <s v="PDP-HR &amp; Admn"/>
    <s v="2000STORIS"/>
    <s v="20055611"/>
    <s v="Sunila Kumar Das"/>
    <s v="No"/>
    <s v="sanjeev.jha@amns.in"/>
    <s v="7566111174"/>
    <s v="22035"/>
    <s v="Sunila Das"/>
    <s v="Anil Matoo"/>
    <s v="Praveen Kuruvalli"/>
    <s v="Sunila Das"/>
    <n v="0"/>
  </r>
  <r>
    <n v="974"/>
    <n v="20010608"/>
    <s v="Tejas Patel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nventory Plant A"/>
    <m/>
    <s v="Stores &amp; Warehouse"/>
    <s v="Stores &amp; Warehouse"/>
    <s v="Inventory Plant A"/>
    <s v="Non Technical Support"/>
    <s v="Commercial"/>
    <s v="Stores &amp; Warehouse"/>
    <s v="73806001"/>
    <s v="Stores &amp; Warehouse"/>
    <s v="Hazira"/>
    <d v="1987-01-22T00:00:00"/>
    <s v="36.07"/>
    <d v="2007-06-04T00:00:00"/>
    <d v="2045-01-31T00:00:00"/>
    <m/>
    <d v="2045-01-31T00:00:00"/>
    <n v="7804"/>
    <s v="A-"/>
    <s v="Diploma-2006"/>
    <s v=""/>
    <s v="16.03"/>
    <s v="16.03"/>
    <s v="70232287"/>
    <s v="HRC Store &amp; Inventory  &amp; Cataloging Mgt."/>
    <s v="70245137"/>
    <s v="Section Officer - Inventory Plant A"/>
    <s v="Hazira"/>
    <s v="0031950049"/>
    <s v="HZ-Central Stores"/>
    <s v="2000HWO"/>
    <s v="20000948"/>
    <s v="Hitesh Raval"/>
    <s v="No"/>
    <s v="tejas.patel5@amns.in"/>
    <s v="9879102541"/>
    <s v="23390"/>
    <s v="Dhruv Vyas"/>
    <s v="Anil Matoo"/>
    <s v="Praveen Kuruvalli"/>
    <s v="Dhruv Vyas"/>
    <n v="0"/>
  </r>
  <r>
    <n v="978"/>
    <n v="20010626"/>
    <s v="Barot Sachinkumar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fractory Plant- A"/>
    <m/>
    <s v="Stores &amp; Warehouse"/>
    <s v="Stores &amp; Warehouse"/>
    <s v="Refractory A, Receipt -Issue"/>
    <s v="Non Technical Support"/>
    <s v="Commercial"/>
    <s v="Stores &amp; Warehouse"/>
    <s v="73806001"/>
    <s v="Stores &amp; Warehouse"/>
    <s v="Hazira"/>
    <d v="1986-05-31T00:00:00"/>
    <s v="37.03"/>
    <d v="2007-06-01T00:00:00"/>
    <d v="2044-05-31T00:00:00"/>
    <m/>
    <d v="2044-05-31T00:00:00"/>
    <n v="7559"/>
    <s v="B-"/>
    <s v="Diploma-2007"/>
    <s v=""/>
    <s v="16.03"/>
    <s v="16.03"/>
    <s v="00044539"/>
    <s v="Ferroalloy &amp; Refractory Stores"/>
    <s v="70372635"/>
    <s v="Section Officer - Refractory Plant- A"/>
    <s v="Hazira"/>
    <s v="0031950049"/>
    <s v="HZ-Central Stores"/>
    <s v="2000HWO"/>
    <s v="20001240"/>
    <s v="Ambrish Chaturvedi"/>
    <s v="No"/>
    <s v="sachin.barot@amns.in"/>
    <s v="9879102495"/>
    <s v="21177"/>
    <s v="Dhruv Vyas"/>
    <s v="Anil Matoo"/>
    <s v="Praveen Kuruvalli"/>
    <s v="Dhruv Vyas"/>
    <n v="0"/>
  </r>
  <r>
    <n v="1004"/>
    <n v="20010980"/>
    <s v="Kirit Upadhyay"/>
    <s v="AM/NS India"/>
    <s v="Onroll"/>
    <s v="M-8"/>
    <n v="8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HBI Mod 1-6, MH, RHMS, HMM"/>
    <s v="Non Technical Support"/>
    <s v="Operations"/>
    <s v="Operations"/>
    <s v="72103002"/>
    <s v="Operations Planning &amp; Str"/>
    <s v="AM/NS Hazira"/>
    <d v="1985-11-30T00:00:00"/>
    <s v="37.09"/>
    <d v="2007-06-16T00:00:00"/>
    <d v="2043-11-30T00:00:00"/>
    <m/>
    <d v="2043-11-30T00:00:00"/>
    <n v="7376"/>
    <s v="A-"/>
    <s v="Diploma-2014 , BTech-2014"/>
    <s v=""/>
    <s v="16.03"/>
    <s v="16.03"/>
    <s v="00053411"/>
    <s v="Contracts"/>
    <s v="70245082"/>
    <s v="Lead - Contracts"/>
    <s v="Hazira"/>
    <s v="0031950047"/>
    <s v="HZ-Contracts"/>
    <s v="2000HWO"/>
    <s v="20000795"/>
    <s v="Pankaj Chaturvedi"/>
    <s v="No"/>
    <s v="kirit.upadhyay@amns.in"/>
    <s v="9879105693"/>
    <s v="24590"/>
    <s v="Dhruv Vyas"/>
    <s v="Anil Matoo"/>
    <s v="Praveen Kuruvalli"/>
    <s v="Dhruv Vyas"/>
    <n v="0"/>
  </r>
  <r>
    <n v="1010"/>
    <n v="20010998"/>
    <s v="Venkata Raman  Lagadapati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Section Inchrge - Contracts"/>
    <m/>
    <s v="Procurement"/>
    <s v="Procurement"/>
    <s v="Purchase"/>
    <s v="Non Technical Support"/>
    <s v="Operations"/>
    <s v="Plant Operations"/>
    <s v="72103005"/>
    <s v="Shift Operations"/>
    <s v="Vizag"/>
    <d v="1986-08-01T00:00:00"/>
    <s v="37.01"/>
    <d v="2007-06-18T00:00:00"/>
    <d v="2044-07-31T00:00:00"/>
    <m/>
    <d v="2044-07-31T00:00:00"/>
    <n v="7620"/>
    <s v="O-"/>
    <s v="BTech-2007"/>
    <s v=""/>
    <s v="16.03"/>
    <s v="16.03"/>
    <s v="00046540"/>
    <s v="Contracts &amp; Production consumables"/>
    <s v="70487857"/>
    <s v="Section Inchrge - Contracts"/>
    <s v="Vizag"/>
    <s v="0028030019"/>
    <s v="VIZ-Personnel &amp; Admi"/>
    <s v="2000VIZOPS"/>
    <s v="20000200"/>
    <s v="A Venkateswara Rao"/>
    <s v="No"/>
    <s v="venkataraman.lagadapati@amns.in"/>
    <s v="9160881188"/>
    <s v="24661"/>
    <s v="DS Varma"/>
    <s v="Anil Matoo"/>
    <s v="Praveen Kuruvalli"/>
    <s v="Dhruv Vyas"/>
    <n v="0"/>
  </r>
  <r>
    <n v="1058"/>
    <n v="20011898"/>
    <s v="Mohit Meht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Treasury &amp; Systems"/>
    <m/>
    <s v="Treasury &amp; Banking"/>
    <s v="Treasury"/>
    <s v="Treasury"/>
    <s v="Non Technical Support"/>
    <s v="Finance &amp; Accounts"/>
    <s v="Treasury"/>
    <s v="73903001"/>
    <s v="Treasury"/>
    <s v="AM/NS Hazira"/>
    <d v="1984-06-22T00:00:00"/>
    <s v="39.03"/>
    <d v="2007-07-26T00:00:00"/>
    <d v="2042-06-30T00:00:00"/>
    <m/>
    <d v="2042-06-30T00:00:00"/>
    <n v="6858"/>
    <s v="B-"/>
    <s v="PG Diploma in Management-2007"/>
    <s v=""/>
    <s v="16.01"/>
    <s v="16.01"/>
    <s v="72150420"/>
    <s v="Treasury - Hazira"/>
    <s v="70259112"/>
    <s v="Lead - Treasury &amp; Systems"/>
    <s v="Hazira"/>
    <s v="0031950045"/>
    <s v="HZ-Works Accounts-Ha"/>
    <s v="2000HWO"/>
    <s v="20001854"/>
    <s v="Arasappan Thirumaran"/>
    <s v="No"/>
    <s v="mohit.mehta@amns.in"/>
    <s v="9879102245"/>
    <s v="22595"/>
    <s v="Dhruv Vyas"/>
    <s v="Anil Matoo"/>
    <s v="Praveen Kuruvalli"/>
    <s v="Dhruv Vyas"/>
    <n v="0"/>
  </r>
  <r>
    <n v="1059"/>
    <n v="20011904"/>
    <s v="Bhalchandra Vast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– Transaction Banking"/>
    <m/>
    <s v="Treasury &amp; Banking"/>
    <s v="Banking"/>
    <s v="Finance &amp; Accounts"/>
    <s v="Non Technical Support"/>
    <s v="Finance &amp; Accounts"/>
    <s v="Finance &amp; Accounts"/>
    <s v="73901001"/>
    <s v="Finance &amp; Accounts"/>
    <s v="Mumbai"/>
    <d v="1973-02-17T00:00:00"/>
    <s v="50.07"/>
    <d v="2007-07-24T00:00:00"/>
    <d v="2031-02-28T00:00:00"/>
    <m/>
    <d v="2031-02-28T00:00:00"/>
    <n v="2718"/>
    <s v="O-"/>
    <s v="BCom-1993"/>
    <s v="13.04"/>
    <s v="16.01"/>
    <s v="29.06"/>
    <s v="70101920"/>
    <s v="Treasury - Mumbai"/>
    <s v="70258424"/>
    <s v="Sr. Lead – Transaction Banking"/>
    <s v="Hazira"/>
    <s v="0090000028"/>
    <s v="Corporate Steel - Wo"/>
    <s v="2000HWO"/>
    <s v="20000057"/>
    <s v="Vivek Sanil"/>
    <s v="No"/>
    <s v="bhalchandra.vast@amns.in"/>
    <s v="9819731550"/>
    <s v="24652"/>
    <s v="Dhruv Vyas"/>
    <s v="Anil Matoo"/>
    <s v="Praveen Kuruvalli"/>
    <s v="Dhruv Vyas"/>
    <n v="0"/>
  </r>
  <r>
    <n v="1062"/>
    <n v="20011945"/>
    <s v="Raghavendra Rao Yerramsetty"/>
    <s v="AM/NS India"/>
    <s v="Onroll"/>
    <s v="M-5"/>
    <n v="5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Lead – Procurement, Contracts, Stores"/>
    <m/>
    <s v="Procurement"/>
    <s v="New Projects &amp; Process Modification"/>
    <s v="New Projects &amp; Process Modification"/>
    <s v="Non Technical Support"/>
    <s v="Projects"/>
    <s v="Projects"/>
    <s v="72103036"/>
    <s v="Projects"/>
    <s v="Vizag"/>
    <d v="1986-03-03T00:00:00"/>
    <s v="37.06"/>
    <d v="2007-07-16T00:00:00"/>
    <d v="2044-03-31T00:00:00"/>
    <m/>
    <d v="2044-03-31T00:00:00"/>
    <n v="7498"/>
    <s v="O-"/>
    <s v="BTech-2007"/>
    <s v=""/>
    <s v="16.02"/>
    <s v="16.02"/>
    <s v="72150139"/>
    <s v="Procurement, Contract &amp; Stores - Vizag"/>
    <s v="70259001"/>
    <s v="Lead – Procurement, Contracts, Stores"/>
    <s v="Vizag"/>
    <s v="0028030019"/>
    <s v="VIZ-Personnel &amp; Admi"/>
    <s v="2000VIZOPS"/>
    <s v="20055090"/>
    <s v="Hrishikesh Kamat"/>
    <s v="No"/>
    <s v="raghavendra.rao@amns.in"/>
    <s v="9966028577"/>
    <s v="23716"/>
    <s v="DS Varma"/>
    <s v="Anil Matoo"/>
    <s v="Praveen Kuruvalli"/>
    <s v="Dhruv Vyas"/>
    <n v="0"/>
  </r>
  <r>
    <n v="1065"/>
    <n v="20011972"/>
    <s v="Rajita Bagkar"/>
    <s v="AM/NS India"/>
    <s v="Onroll"/>
    <s v="M-5"/>
    <n v="5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Section Head - Banking &amp; Treasury"/>
    <m/>
    <s v="Treasury &amp; Banking"/>
    <s v="Risk &amp; Insurance"/>
    <s v="Long Term Finance &amp; Forex"/>
    <s v="Non Technical Support"/>
    <s v="Finance &amp; Accounts"/>
    <s v="Treasury"/>
    <s v="73903001"/>
    <s v="Treasury"/>
    <s v="Mumbai"/>
    <d v="1978-04-27T00:00:00"/>
    <s v="45.04"/>
    <d v="2007-08-01T00:00:00"/>
    <d v="2036-04-30T00:00:00"/>
    <m/>
    <d v="2036-04-30T00:00:00"/>
    <n v="4606"/>
    <s v="A-"/>
    <s v="BCom-2003 , MMS-2003"/>
    <s v="03.09"/>
    <s v="16.01"/>
    <s v="19.10"/>
    <s v="00050553"/>
    <s v="Banking &amp; Treasury"/>
    <s v="70386092"/>
    <s v="Section Head - Banking &amp; Treasury"/>
    <s v="Corporate"/>
    <s v="0090000028"/>
    <s v="Corporate Steel - Wo"/>
    <s v="2000CS"/>
    <s v="20000870"/>
    <s v="Balajee M"/>
    <s v="No"/>
    <s v="rajita.bagkar@amns.in"/>
    <s v="9819730767"/>
    <s v="21133"/>
    <s v="Dhruv Vyas"/>
    <s v="Anil Matoo"/>
    <s v="Praveen Kuruvalli"/>
    <s v="Dhruv Vyas"/>
    <n v="0"/>
  </r>
  <r>
    <n v="1074"/>
    <n v="20012203"/>
    <s v="Dhirendra Singh Rajawat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Procurement"/>
    <m/>
    <s v="Capex Procurement"/>
    <s v="Capex Procurement"/>
    <s v=""/>
    <s v="Non Technical Support"/>
    <s v="Projects"/>
    <s v="Projects Coordination"/>
    <s v="72103038"/>
    <s v="Projects Coordination"/>
    <s v="Hazira"/>
    <d v="1987-11-03T00:00:00"/>
    <s v="35.10"/>
    <d v="2007-06-28T00:00:00"/>
    <d v="2045-11-30T00:00:00"/>
    <m/>
    <d v="2045-11-30T00:00:00"/>
    <n v="8107"/>
    <s v="O-"/>
    <s v="Diploma-2013 , BTech-2013"/>
    <s v=""/>
    <s v="16.02"/>
    <s v="16.02"/>
    <s v="00049344"/>
    <s v="Capex Procurement"/>
    <s v="70372646"/>
    <s v="Lead – Capex Procurement"/>
    <s v="Hazira"/>
    <s v="0031950059"/>
    <s v="HZ-Hazira Project"/>
    <s v="2000HWO"/>
    <s v="20055728"/>
    <s v="Mahebub Vahora"/>
    <s v="No"/>
    <s v="dhirendra.rajawat@amns.in"/>
    <s v="9909902354"/>
    <s v="23635"/>
    <s v="Dhruv Vyas"/>
    <s v="Anil Matoo"/>
    <s v="Praveen Kuruvalli"/>
    <s v="Dhruv Vyas"/>
    <n v="0"/>
  </r>
  <r>
    <n v="1077"/>
    <n v="20012229"/>
    <s v="Bhaumikkumar Shah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r. Analyst - Market Intelligence"/>
    <m/>
    <s v="Sales Steering &amp; BD"/>
    <s v="Market Intelligence"/>
    <s v="Internal Audit"/>
    <s v="Non Technical Support"/>
    <s v="Assurance &amp; Cost Control"/>
    <s v="Assurance &amp; Cost Control"/>
    <s v="73401001"/>
    <s v="Assurance &amp; Cost Control"/>
    <s v="Mumbai"/>
    <d v="1986-02-06T00:00:00"/>
    <s v="37.07"/>
    <d v="2007-06-29T00:00:00"/>
    <d v="2044-02-29T00:00:00"/>
    <m/>
    <d v="2044-02-29T00:00:00"/>
    <n v="7467"/>
    <s v="A-"/>
    <s v="BE-2007"/>
    <s v=""/>
    <s v="16.02"/>
    <s v="16.02"/>
    <s v="72150188"/>
    <s v="Market Intelligence &amp; Pricing"/>
    <s v="70372405"/>
    <s v="Sr. Analyst - Market Intelligence"/>
    <s v="Corporate"/>
    <s v="0080000001"/>
    <s v="Head-Marketing"/>
    <s v="2000CS"/>
    <s v="20008774"/>
    <s v="Ajay Somasundaran"/>
    <s v="No"/>
    <s v="bhaumik.shah@amns.in"/>
    <s v="9909902379"/>
    <s v="24000"/>
    <s v="Dhruv Vyas"/>
    <s v="Anil Matoo"/>
    <s v="Praveen Kuruvalli"/>
    <s v="Dhruv Vyas"/>
    <n v="0"/>
  </r>
  <r>
    <n v="1084"/>
    <n v="20012267"/>
    <s v="Pooja Sharma"/>
    <s v="AM/NS India"/>
    <s v="Onroll"/>
    <s v="M-7"/>
    <n v="7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Banking &amp; MIS"/>
    <m/>
    <s v="Treasury &amp; Banking"/>
    <s v="Forex &amp; Risk Management"/>
    <s v="RBI Matters"/>
    <s v="Non Technical Support"/>
    <s v="Finance &amp; Accounts"/>
    <s v="Treasury"/>
    <s v="73903001"/>
    <s v="Treasury"/>
    <s v="Mumbai"/>
    <d v="1984-09-25T00:00:00"/>
    <s v="38.11"/>
    <d v="2007-08-13T00:00:00"/>
    <d v="2042-09-30T00:00:00"/>
    <m/>
    <d v="2042-09-30T00:00:00"/>
    <n v="6950"/>
    <s v="B-"/>
    <s v="BCom-2007 , MBA-2007"/>
    <s v=""/>
    <s v="16.01"/>
    <s v="16.01"/>
    <s v="70447071"/>
    <s v="Insurance &amp; Financial Risk"/>
    <s v="70226817"/>
    <s v="Lead - Banking &amp; MIS"/>
    <s v="Corporate"/>
    <s v="0090000028"/>
    <s v="Corporate Steel - Wo"/>
    <s v="2000CS"/>
    <s v="20017504"/>
    <s v="Appi Reddy Guttikonda"/>
    <s v="No"/>
    <s v="pooja.sharma@amns.in"/>
    <s v="9819731599"/>
    <s v="24106"/>
    <s v="Dhruv Vyas"/>
    <s v="Anil Matoo"/>
    <s v="Praveen Kuruvalli"/>
    <s v="Dhruv Vyas"/>
    <n v="0"/>
  </r>
  <r>
    <n v="1110"/>
    <n v="20012680"/>
    <s v="Dhiraj Bachani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Gujarat Sales"/>
    <s v="Non Technical Support"/>
    <s v="Sales &amp; Marketing"/>
    <s v="Sales"/>
    <s v="73104003"/>
    <s v="Retail Sales"/>
    <s v="Ahmedabad"/>
    <d v="1985-08-26T00:00:00"/>
    <s v="38.00"/>
    <d v="2007-08-27T00:00:00"/>
    <d v="2043-08-31T00:00:00"/>
    <m/>
    <d v="2043-08-31T00:00:00"/>
    <n v="7285"/>
    <s v="B-"/>
    <s v="BTech-2007"/>
    <s v=""/>
    <s v="16.00"/>
    <s v="16.00"/>
    <s v="70394840"/>
    <s v="OEM Sales - Gujarat"/>
    <s v="70319504"/>
    <s v="Sales Manager - Hypermart"/>
    <s v="Hypermart"/>
    <s v="0060110200"/>
    <s v="HMART-Gujarat Div"/>
    <s v="2000SRET"/>
    <s v="20001736"/>
    <s v="Manoranjan Jagdhari"/>
    <s v="No"/>
    <s v="dhiraj.bachani@amns.in"/>
    <s v="9879597549"/>
    <s v="21122"/>
    <s v="Dhruv Vyas"/>
    <s v="Anil Matoo"/>
    <s v="Praveen Kuruvalli"/>
    <s v="Dhruv Vyas"/>
    <n v="0"/>
  </r>
  <r>
    <n v="1131"/>
    <n v="20013199"/>
    <s v="Vivek Vishwakarm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Automotive Sales"/>
    <m/>
    <s v="Other West"/>
    <s v="Auto"/>
    <s v=""/>
    <s v="Non Technical Support"/>
    <s v="Sales &amp; Marketing"/>
    <s v="Sales"/>
    <s v="73104004"/>
    <s v="OEM Sales"/>
    <s v="Indore"/>
    <d v="1978-03-12T00:00:00"/>
    <s v="45.06"/>
    <d v="2007-09-29T00:00:00"/>
    <d v="2036-03-31T00:00:00"/>
    <m/>
    <d v="2036-03-31T00:00:00"/>
    <n v="4576"/>
    <s v="A-"/>
    <s v="BE-2005 , MBA-2005"/>
    <s v="03.03"/>
    <s v="15.11"/>
    <s v="19.02"/>
    <s v="70495309"/>
    <s v="Sales West Zone"/>
    <s v="70398868"/>
    <s v="KAM - Automotive Sales"/>
    <s v="Hazira"/>
    <s v="0031950057"/>
    <s v="HZ-HRC - Marketing"/>
    <s v="2000HWO"/>
    <s v="20047683"/>
    <s v="Virat Vij"/>
    <s v="No"/>
    <s v="vivek.vishwakarma@amns.in"/>
    <s v="9819731565"/>
    <s v="24705"/>
    <s v="Dhruv Vyas"/>
    <s v="Anil Matoo"/>
    <s v="Praveen Kuruvalli"/>
    <s v="Dhruv Vyas"/>
    <n v="0"/>
  </r>
  <r>
    <n v="1149"/>
    <n v="20014487"/>
    <s v="Chandra Sekhar Senevada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Engineer  - Procurement"/>
    <m/>
    <s v="Procurement"/>
    <s v="Purchase"/>
    <s v="Purchase"/>
    <s v="Non Technical Support"/>
    <s v="Commercial"/>
    <s v="Purchase"/>
    <s v="73804001"/>
    <s v="Purchase"/>
    <s v="Vizag"/>
    <d v="1983-10-21T00:00:00"/>
    <s v="39.10"/>
    <d v="2007-12-20T00:00:00"/>
    <d v="2041-10-31T00:00:00"/>
    <m/>
    <d v="2041-10-31T00:00:00"/>
    <n v="6616"/>
    <s v="B-"/>
    <s v="BE-2005"/>
    <s v="00.10"/>
    <s v="15.09"/>
    <s v="16.07"/>
    <s v="70301353"/>
    <s v="Procurement - Vizag &amp; Chitrakonda"/>
    <s v="70259004"/>
    <s v="Engineer  - Procurement"/>
    <s v="Vizag"/>
    <s v="0028030019"/>
    <s v="VIZ-Personnel &amp; Admi"/>
    <s v="2000VIZOPS"/>
    <s v="20000200"/>
    <s v="A Venkateswara Rao"/>
    <s v="No"/>
    <s v="chandra.sekhar@amns.in"/>
    <s v="9581663366"/>
    <s v="21342"/>
    <s v="DS Varma"/>
    <s v="Anil Matoo"/>
    <s v="Praveen Kuruvalli"/>
    <s v="Dhruv Vyas"/>
    <n v="0"/>
  </r>
  <r>
    <n v="1151"/>
    <n v="20015183"/>
    <s v="Raggavendran Subbarathnam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fractory Plant-A"/>
    <m/>
    <s v="Stores &amp; Warehouse"/>
    <s v="Stores &amp; Warehouse"/>
    <s v="Refractory B, Receipt -Issue"/>
    <s v="Non Technical Support"/>
    <s v="Commercial"/>
    <s v="Stores &amp; Warehouse"/>
    <s v="73806001"/>
    <s v="Stores &amp; Warehouse"/>
    <s v="Hazira"/>
    <d v="1978-03-01T00:00:00"/>
    <s v="45.06"/>
    <d v="2007-11-12T00:00:00"/>
    <d v="2036-02-29T00:00:00"/>
    <m/>
    <d v="2036-02-29T00:00:00"/>
    <n v="4545"/>
    <s v="AB-"/>
    <s v="BCom-1998"/>
    <s v="05.05"/>
    <s v="15.10"/>
    <s v="21.03"/>
    <s v="00044539"/>
    <s v="Ferroalloy &amp; Refractory Stores"/>
    <s v="70319802"/>
    <s v="Section Officer - Refractory Plant-A"/>
    <s v="Hazira"/>
    <s v="0031950049"/>
    <s v="HZ-Central Stores"/>
    <s v="2000HWO"/>
    <s v="20010626"/>
    <s v="Barot Sachinkumar"/>
    <s v="No"/>
    <s v="raggavendran.subbarathnam@amns.in"/>
    <s v="9909901663"/>
    <s v="24363"/>
    <s v="Dhruv Vyas"/>
    <s v="Anil Matoo"/>
    <s v="Praveen Kuruvalli"/>
    <s v="Dhruv Vyas"/>
    <n v="0"/>
  </r>
  <r>
    <n v="1156"/>
    <n v="20015864"/>
    <s v="Mayank Desai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GST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74-07-13T00:00:00"/>
    <s v="49.02"/>
    <d v="2008-01-24T00:00:00"/>
    <d v="2032-07-31T00:00:00"/>
    <m/>
    <d v="2032-07-31T00:00:00"/>
    <n v="3237"/>
    <s v="O-"/>
    <s v="PG Diploma-2009 , MCom-2009 , Diploma-19"/>
    <s v="11.09"/>
    <s v="15.07"/>
    <s v="27.04"/>
    <s v="00044379"/>
    <s v="GST - Hazira Assets"/>
    <s v="70259113"/>
    <s v="Sr. lead - GST"/>
    <s v="Hazira"/>
    <s v="0031950044"/>
    <s v="HZ-Commercial Taxati"/>
    <s v="2000HWO"/>
    <s v="20055962"/>
    <s v="Navin Kewalramani"/>
    <s v="No"/>
    <s v="mayank.desai@amns.in"/>
    <s v="9909902062"/>
    <s v="21592"/>
    <s v="Dhruv Vyas"/>
    <s v="Anil Matoo"/>
    <s v="Praveen Kuruvalli"/>
    <s v="Dhruv Vyas"/>
    <n v="0"/>
  </r>
  <r>
    <n v="1158"/>
    <n v="20016058"/>
    <s v="Ambreen Qadir"/>
    <s v="AM/NS India"/>
    <s v="Onroll"/>
    <s v="M-5"/>
    <n v="5"/>
    <m/>
    <s v="M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"/>
    <m/>
    <s v="North"/>
    <s v="OEM"/>
    <s v=""/>
    <s v="Non Technical Support"/>
    <s v="Sales &amp; Marketing"/>
    <s v="Sales"/>
    <s v="73104004"/>
    <s v="OEM Sales"/>
    <s v="Noida"/>
    <d v="1978-06-09T00:00:00"/>
    <s v="45.03"/>
    <d v="2008-02-04T00:00:00"/>
    <d v="2036-06-30T00:00:00"/>
    <m/>
    <d v="2036-06-30T00:00:00"/>
    <n v="4667"/>
    <s v=""/>
    <s v="BE-2004 , MBA-2004"/>
    <s v="02.01"/>
    <s v="15.07"/>
    <s v="17.08"/>
    <s v="72150181"/>
    <s v="Sales North Zone"/>
    <s v="70334351"/>
    <s v="Sr. KAM - OEM Sales"/>
    <s v="Hazira"/>
    <s v="0031950057"/>
    <s v="HZ-HRC - Marketing"/>
    <s v="2000HWO"/>
    <s v="20002920"/>
    <s v="Sudhir Sharma"/>
    <s v="No"/>
    <s v="ambreen.qadir@amns.in"/>
    <s v="9703215456"/>
    <s v="23602"/>
    <s v="Dhruv Vyas"/>
    <s v="Anil Matoo"/>
    <s v="Praveen Kuruvalli"/>
    <s v="Dhruv Vyas"/>
    <n v="0"/>
  </r>
  <r>
    <n v="1159"/>
    <n v="20016107"/>
    <s v="Kalpesh Thathagar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Payable"/>
    <m/>
    <s v="Working Capital"/>
    <s v="Accounts Payable"/>
    <s v="Bills Payable"/>
    <s v="Non Technical Support"/>
    <s v="Finance &amp; Accounts"/>
    <s v="Finance &amp; Accounts"/>
    <s v="73901002"/>
    <s v="Corporate Accounts &amp; Audi"/>
    <s v="AM/NS Hazira"/>
    <d v="1977-10-05T00:00:00"/>
    <s v="45.11"/>
    <d v="2008-02-01T00:00:00"/>
    <d v="2035-10-31T00:00:00"/>
    <m/>
    <d v="2035-10-31T00:00:00"/>
    <n v="4424"/>
    <s v="A-"/>
    <s v="CA Inter-2003"/>
    <s v="04.06"/>
    <s v="15.07"/>
    <s v="20.01"/>
    <s v="00043794"/>
    <s v="Accounts Payable - 1"/>
    <s v="70258859"/>
    <s v="Sr. Lead - Accounts Payable"/>
    <s v="Hazira"/>
    <s v="0031950045"/>
    <s v="HZ-Works Accounts-Ha"/>
    <s v="2000HWO"/>
    <s v="20001076"/>
    <s v="Bhavesh Modi"/>
    <s v="No"/>
    <s v="kalpesh.thathagar@amns.in"/>
    <s v="9909902066"/>
    <s v="24514"/>
    <s v="Dhruv Vyas"/>
    <s v="Anil Matoo"/>
    <s v="Praveen Kuruvalli"/>
    <s v="Dhruv Vyas"/>
    <n v="0"/>
  </r>
  <r>
    <n v="1161"/>
    <n v="20016382"/>
    <s v="Kunal Bhardwaj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Value Recovery"/>
    <m/>
    <s v="Sales Steering &amp; BD"/>
    <s v="NCO"/>
    <s v=""/>
    <s v="Non Technical Support"/>
    <s v="Sales &amp; Marketing"/>
    <s v="Sales"/>
    <s v="73104003"/>
    <s v="Retail Sales"/>
    <s v="Ahmedabad"/>
    <d v="1973-05-12T00:00:00"/>
    <s v="50.04"/>
    <d v="2008-02-25T00:00:00"/>
    <d v="2031-05-31T00:00:00"/>
    <m/>
    <d v="2031-05-31T00:00:00"/>
    <n v="2810"/>
    <s v="O-"/>
    <s v="MBA-2005"/>
    <s v="10.07"/>
    <s v="15.06"/>
    <s v="26.02"/>
    <s v="70265035"/>
    <s v="Value Recovery"/>
    <s v="70258498"/>
    <s v="Head - Value Recovery"/>
    <s v="Hazira"/>
    <s v="0060110300"/>
    <s v="HMART-Guj-Ahemedabad"/>
    <s v="2000HWO"/>
    <s v="20010531"/>
    <s v="Saptarshi Saha"/>
    <s v="No"/>
    <s v="kunal.bhardwaj@amns.in"/>
    <s v="9874810107"/>
    <s v="21230"/>
    <s v="Dhruv Vyas"/>
    <s v="Anil Matoo"/>
    <s v="Praveen Kuruvalli"/>
    <s v="Dhruv Vyas"/>
    <n v="0"/>
  </r>
  <r>
    <n v="1162"/>
    <n v="20016406"/>
    <s v="Manjit Shah"/>
    <s v="AM/NS India"/>
    <s v="Onroll"/>
    <s v="M-6"/>
    <n v="6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Cluster Head – Human Resources"/>
    <m/>
    <s v="Human Resources"/>
    <s v="Human Resources"/>
    <s v="Human Resources"/>
    <s v="Non Technical Support"/>
    <s v="Human Resources Management"/>
    <s v="Compensation &amp; Benefits"/>
    <s v="73504001"/>
    <s v="Compensation &amp; Benefits"/>
    <s v="AM/NS Hazira"/>
    <d v="1985-05-15T00:00:00"/>
    <s v="38.04"/>
    <d v="2008-02-26T00:00:00"/>
    <d v="2043-05-31T00:00:00"/>
    <m/>
    <d v="2043-05-31T00:00:00"/>
    <n v="7193"/>
    <s v="B-"/>
    <s v="BCom-2010 , PG Diploma in Management-201"/>
    <s v="02.04"/>
    <s v="15.06"/>
    <s v="17.11"/>
    <s v="70376383"/>
    <s v="Hazira HR Operations - 3"/>
    <s v="70490221"/>
    <s v="Cluster Head – Human Resources"/>
    <s v="Hazira"/>
    <s v="0031950061"/>
    <s v="HZ-Human Resource"/>
    <s v="2000HWO"/>
    <s v="20000083"/>
    <s v="Anil Matoo"/>
    <s v="No"/>
    <s v="manjit.shah@amns.in"/>
    <s v="9930136990"/>
    <s v="24020"/>
    <s v="Dhruv Vyas"/>
    <s v="Anil Matoo"/>
    <s v="Praveen Kuruvalli"/>
    <s v="Dhruv Vyas"/>
    <n v="0"/>
  </r>
  <r>
    <n v="1163"/>
    <n v="20016604"/>
    <s v="Punit Verm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Plate Mill issue Elec-Mech, Paints-Yard development &amp; Mgt"/>
    <s v="Non Technical Support"/>
    <s v="Commercial"/>
    <s v="Stores &amp; Warehouse"/>
    <s v="73806001"/>
    <s v="Stores &amp; Warehouse"/>
    <s v="Hazira"/>
    <d v="1968-10-05T00:00:00"/>
    <s v="54.11"/>
    <d v="2008-03-17T00:00:00"/>
    <d v="2026-10-31T00:00:00"/>
    <m/>
    <d v="2026-10-31T00:00:00"/>
    <n v="1137"/>
    <s v="AB-"/>
    <s v="Diploma-2009 , MBA-2009 , BA-2000"/>
    <s v="10.11"/>
    <s v="15.06"/>
    <s v="26.05"/>
    <s v="00053276"/>
    <s v="Issue/Shifting - Plant B"/>
    <s v="72152898"/>
    <s v="Section Officer - Issue/Shifting"/>
    <s v="Hazira"/>
    <s v="0031950049"/>
    <s v="HZ-Central Stores"/>
    <s v="2000HWO"/>
    <s v="20000948"/>
    <s v="Hitesh Raval"/>
    <s v="No"/>
    <s v="punit.verma@amns.in"/>
    <s v="9909902191"/>
    <s v="24682"/>
    <s v="Dhruv Vyas"/>
    <s v="Anil Matoo"/>
    <s v="Praveen Kuruvalli"/>
    <s v="Dhruv Vyas"/>
    <n v="0"/>
  </r>
  <r>
    <n v="1165"/>
    <n v="20016749"/>
    <s v="Heena Patel"/>
    <s v="AM/NS India"/>
    <s v="Onroll"/>
    <s v="M-9"/>
    <n v="9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Officer - Proc Electrical"/>
    <m/>
    <s v="Procurement MRO Hazira"/>
    <s v="Procurement"/>
    <s v="Electrical Switch Gears and power systems - Hazira Complex"/>
    <s v="Non Technical Support"/>
    <s v="Sales &amp; Marketing"/>
    <s v="CRM"/>
    <s v="73105003"/>
    <s v="Customer Service"/>
    <s v="AM/NS Hazira"/>
    <d v="1985-09-10T00:00:00"/>
    <s v="38.00"/>
    <d v="2008-03-07T00:00:00"/>
    <d v="2043-09-30T00:00:00"/>
    <m/>
    <d v="2043-09-30T00:00:00"/>
    <n v="7315"/>
    <s v="A-"/>
    <s v="Diploma-2006"/>
    <s v=""/>
    <s v="15.06"/>
    <s v="15.06"/>
    <s v="00044546"/>
    <s v="Procurement Electrical"/>
    <s v="70339996"/>
    <s v="Officer - Proc Electrical"/>
    <s v="Hazira"/>
    <s v="0031950048"/>
    <s v="HZ-Procurment Depart"/>
    <s v="2000HWO"/>
    <s v="20000637"/>
    <s v="Kedar Rajwade"/>
    <s v="No"/>
    <s v="heena.patel@amns.in"/>
    <s v="9879102361"/>
    <s v="23168"/>
    <s v="Dhruv Vyas"/>
    <s v="Anil Matoo"/>
    <s v="Praveen Kuruvalli"/>
    <s v="Dhruv Vyas"/>
    <n v="0"/>
  </r>
  <r>
    <n v="1168"/>
    <n v="20016767"/>
    <s v="Raghavan Venkatachalam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- Automotive Sales &amp; Service Centes"/>
    <m/>
    <s v="Auto"/>
    <s v="Auto"/>
    <s v=""/>
    <s v="Non Technical Support"/>
    <s v="Sales &amp; Marketing"/>
    <s v="Sales"/>
    <s v="73104004"/>
    <s v="OEM Sales"/>
    <s v="Mumbai"/>
    <d v="1971-12-01T00:00:00"/>
    <s v="51.09"/>
    <d v="2008-03-27T00:00:00"/>
    <d v="2029-11-30T00:00:00"/>
    <m/>
    <d v="2029-11-30T00:00:00"/>
    <n v="2263"/>
    <s v="A+"/>
    <s v="BE-1997 , MBA-1997"/>
    <s v="10.01"/>
    <s v="15.05"/>
    <s v="25.06"/>
    <s v="70343195"/>
    <s v="Automotive Sales &amp; Service Centers"/>
    <s v="70336269"/>
    <s v="Head- Automotive Sales &amp; Service Centes"/>
    <s v="Hazira"/>
    <s v="0031950057"/>
    <s v="HZ-HRC - Marketing"/>
    <s v="2000HWO"/>
    <s v="20007104"/>
    <s v="Ranjan Dhar"/>
    <s v="No"/>
    <s v="raghavan.venkat@amns.in"/>
    <s v="9819730760"/>
    <s v="24601"/>
    <s v="Dhruv Vyas"/>
    <s v="Anil Matoo"/>
    <s v="Praveen Kuruvalli"/>
    <s v="Dhruv Vyas"/>
    <n v="0"/>
  </r>
  <r>
    <n v="1183"/>
    <n v="20017504"/>
    <s v="Appi Reddy Guttikonda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Chief Risk Officer"/>
    <m/>
    <s v="Risk &amp; Insurance"/>
    <s v="Risk &amp; Insurance"/>
    <s v="Corporate Finance &amp; Risk &amp; Insurance"/>
    <s v="Non Technical Support"/>
    <s v="Finance &amp; Accounts"/>
    <s v="Finance &amp; Accounts"/>
    <s v="73901001"/>
    <s v="Finance &amp; Accounts"/>
    <s v="Mumbai"/>
    <d v="1966-04-24T00:00:00"/>
    <s v="57.04"/>
    <d v="2008-04-02T00:00:00"/>
    <d v="2024-04-30T00:00:00"/>
    <m/>
    <d v="2024-04-30T00:00:00"/>
    <n v="223"/>
    <s v="B-"/>
    <s v="Certificate-2000 , MBA-2000 , PG Diploma"/>
    <s v="17.06"/>
    <s v="15.05"/>
    <s v="32.11"/>
    <s v="70447071"/>
    <s v="Insurance &amp; Financial Risk"/>
    <s v="70375801"/>
    <s v="Chief Risk Officer"/>
    <s v="Corporate"/>
    <s v="0090000028"/>
    <s v="Corporate Steel - Wo"/>
    <s v="2000CS"/>
    <s v="20057933"/>
    <s v="Akiyo Omori"/>
    <s v="No"/>
    <s v="appireddy.guttikonda@amns.in"/>
    <s v="9833946401"/>
    <s v="21886"/>
    <s v="Dhruv Vyas"/>
    <s v="Anil Matoo"/>
    <s v="Praveen Kuruvalli"/>
    <s v="Dhruv Vyas"/>
    <n v="0"/>
  </r>
  <r>
    <n v="1184"/>
    <n v="20017569"/>
    <s v="Girija Das"/>
    <s v="AM/NS India"/>
    <s v="Onroll"/>
    <s v="M-6"/>
    <n v="6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Buyer - Dabuna"/>
    <m/>
    <s v="Procurement"/>
    <s v="Procurement"/>
    <s v="Procurement"/>
    <s v="Non Technical Support"/>
    <s v="Operations"/>
    <s v="Plant Operations"/>
    <s v="72103005"/>
    <s v="Shift Operations"/>
    <s v="Dabuna"/>
    <d v="1980-05-17T00:00:00"/>
    <s v="43.04"/>
    <d v="2008-04-11T00:00:00"/>
    <d v="2038-05-31T00:00:00"/>
    <m/>
    <d v="2038-05-31T00:00:00"/>
    <n v="5367"/>
    <s v=""/>
    <s v="BTech-2008 , BTech-2008"/>
    <s v="09.03"/>
    <s v="15.05"/>
    <s v="24.08"/>
    <s v="70494404"/>
    <s v="Procurement - Dabuna"/>
    <s v="70326782"/>
    <s v="Buyer - Dabuna"/>
    <s v="Odisha"/>
    <s v="0022010019"/>
    <s v="DBN-Benf-HR/Admin"/>
    <s v="2000STORIS"/>
    <s v="20055692"/>
    <s v="Rajiv Ranjan"/>
    <s v="No"/>
    <s v="girija.das@amns.in"/>
    <s v="9437058486"/>
    <s v="21518"/>
    <s v="Sunila Das"/>
    <s v="Anil Matoo"/>
    <s v="Praveen Kuruvalli"/>
    <s v="Sunila Das"/>
    <n v="0"/>
  </r>
  <r>
    <n v="1188"/>
    <n v="20018249"/>
    <s v="Mahendra Naxan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Other West"/>
    <s v="OEM"/>
    <s v=""/>
    <s v="Non Technical Support"/>
    <s v="Sales &amp; Marketing"/>
    <s v="Sales"/>
    <s v="73104004"/>
    <s v="OEM Sales"/>
    <s v="Pune"/>
    <d v="1970-04-29T00:00:00"/>
    <s v="53.04"/>
    <d v="2008-05-06T00:00:00"/>
    <d v="2028-04-30T00:00:00"/>
    <m/>
    <d v="2028-04-30T00:00:00"/>
    <n v="1684"/>
    <s v="A-"/>
    <s v="BE-2008 , MBA-2008"/>
    <s v="16.08"/>
    <s v="15.04"/>
    <s v="32.00"/>
    <s v="70495309"/>
    <s v="Sales West Zone"/>
    <s v="70334290"/>
    <s v="KAM - OEM Sales"/>
    <s v="Hazira"/>
    <s v="0031581982"/>
    <s v="PLM-Marketing"/>
    <s v="2000HWO"/>
    <s v="20047683"/>
    <s v="Virat Vij"/>
    <s v="No"/>
    <s v="mahendra.naxane@amns.in"/>
    <s v="9923200850"/>
    <s v="22818"/>
    <s v="Dhruv Vyas"/>
    <s v="Anil Matoo"/>
    <s v="Praveen Kuruvalli"/>
    <s v="Dhruv Vyas"/>
    <n v="0"/>
  </r>
  <r>
    <n v="1193"/>
    <n v="20018700"/>
    <s v="Srinivasan Kamalakannan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Compliance S&amp;M"/>
    <m/>
    <s v="South"/>
    <s v="Auto"/>
    <s v="South Zone"/>
    <s v="Non Technical Support"/>
    <s v="Sales &amp; Marketing"/>
    <s v="Sales"/>
    <s v="73104003"/>
    <s v="Retail Sales"/>
    <s v="Chennai"/>
    <d v="1980-02-22T00:00:00"/>
    <s v="43.06"/>
    <d v="2008-06-06T00:00:00"/>
    <d v="2038-02-28T00:00:00"/>
    <m/>
    <d v="2038-02-28T00:00:00"/>
    <n v="5275"/>
    <s v="O-"/>
    <s v="BE-2006 , MBA-2006"/>
    <s v="04.02"/>
    <s v="15.03"/>
    <s v="19.05"/>
    <s v="00052474"/>
    <s v="KAM Automotive Sales - South"/>
    <s v="70320470"/>
    <s v="Sr. KAM – Automotive Sales"/>
    <s v="Hypermart"/>
    <s v="0060140300"/>
    <s v="HMART-Kar-Bangolre"/>
    <s v="2000SRET"/>
    <s v="20000909"/>
    <s v="Murali Krishna Chunduru"/>
    <s v="No"/>
    <s v="kamal.kannan@amns.in"/>
    <s v="9884069563"/>
    <s v="22117"/>
    <s v="Dhruv Vyas"/>
    <s v="Anil Matoo"/>
    <s v="Praveen Kuruvalli"/>
    <s v="Dhruv Vyas"/>
    <n v="0"/>
  </r>
  <r>
    <n v="1194"/>
    <n v="20018855"/>
    <s v="Ravikanth Reddy Yarkareddy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Section Engineer - Procurement"/>
    <m/>
    <s v="Procurement"/>
    <s v="Procurement"/>
    <s v="Procurement"/>
    <s v="Non Technical Support"/>
    <s v="Operations"/>
    <s v="Plant Operations"/>
    <s v="72103005"/>
    <s v="Shift Operations"/>
    <s v="Vizag"/>
    <d v="1985-09-03T00:00:00"/>
    <s v="38.00"/>
    <d v="2008-06-02T00:00:00"/>
    <d v="2043-09-30T00:00:00"/>
    <m/>
    <d v="2043-09-30T00:00:00"/>
    <n v="7315"/>
    <s v="AB-"/>
    <s v="BE-2014 , Diploma-2014 , BSc-2006"/>
    <s v="01.09"/>
    <s v="15.03"/>
    <s v="17.00"/>
    <s v="00046540"/>
    <s v="Contracts &amp; Production consumables"/>
    <s v="70487841"/>
    <s v="Section Engineer - Procurement"/>
    <s v="Vizag"/>
    <s v="0028030019"/>
    <s v="VIZ-Personnel &amp; Admi"/>
    <s v="2000VIZOPS"/>
    <s v="20010998"/>
    <s v="Venkata Raman  Lagadapati"/>
    <s v="No"/>
    <s v="ravikanth.reddy@amns.in"/>
    <s v="9885017475"/>
    <s v="23766"/>
    <s v="DS Varma"/>
    <s v="Anil Matoo"/>
    <s v="Praveen Kuruvalli"/>
    <s v="Dhruv Vyas"/>
    <n v="0"/>
  </r>
  <r>
    <n v="1197"/>
    <n v="20019125"/>
    <s v="Robinkumar Patel"/>
    <s v="AM/NS India"/>
    <s v="Onroll"/>
    <s v="M-7"/>
    <n v="7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Lead  Human Resources"/>
    <m/>
    <s v="Human Resources"/>
    <s v=""/>
    <s v=""/>
    <s v="Non Technical Support"/>
    <s v="Human Resources Management"/>
    <s v="Essar Learning- Academy"/>
    <s v="73503001"/>
    <s v="Faculty"/>
    <s v="Hazira"/>
    <d v="1986-02-11T00:00:00"/>
    <s v="37.07"/>
    <d v="2008-03-07T00:00:00"/>
    <d v="2044-02-29T00:00:00"/>
    <m/>
    <d v="2044-02-29T00:00:00"/>
    <n v="7467"/>
    <s v="B-"/>
    <s v="BE-2013 , PG Diploma in Management-2013"/>
    <s v=""/>
    <s v="15.06"/>
    <s v="15.06"/>
    <s v="70472771"/>
    <s v="Hazira HR Operations - 2"/>
    <s v="70257420"/>
    <s v="Lead  Human Resources"/>
    <s v="Hazira"/>
    <s v="0031950061"/>
    <s v="HZ-Human Resource"/>
    <s v="2000HWO"/>
    <s v="20054512"/>
    <s v="Surinder Kumar Choudhary"/>
    <s v="No"/>
    <s v="robinkumar.patel@amns.in"/>
    <s v="9925241199"/>
    <s v="23348"/>
    <s v="Dhruv Vyas"/>
    <s v="Anil Matoo"/>
    <s v="Praveen Kuruvalli"/>
    <s v="Dhruv Vyas"/>
    <n v="0"/>
  </r>
  <r>
    <n v="1198"/>
    <n v="20019430"/>
    <s v="Goundla Prasad Goud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Plate"/>
    <s v=""/>
    <s v="Non Technical Support"/>
    <s v="Sales &amp; Marketing"/>
    <s v="Sales"/>
    <s v="73104004"/>
    <s v="OEM Sales"/>
    <s v="Hyderabad"/>
    <d v="1986-10-13T00:00:00"/>
    <s v="36.11"/>
    <d v="2008-06-10T00:00:00"/>
    <d v="2044-10-31T00:00:00"/>
    <m/>
    <d v="2044-10-31T00:00:00"/>
    <n v="7712"/>
    <s v=""/>
    <s v="BE-2008"/>
    <s v=""/>
    <s v="15.03"/>
    <s v="15.03"/>
    <s v="00052472"/>
    <s v="KAM - Plate Sales"/>
    <s v="70334286"/>
    <s v="KAM - Plate Sales"/>
    <s v="Hazira"/>
    <s v="0031581982"/>
    <s v="PLM-Marketing"/>
    <s v="2000HWO"/>
    <s v="20000909"/>
    <s v="Murali Krishna Chunduru"/>
    <s v="No"/>
    <s v="prasad.goundla@amns.in"/>
    <s v="8886445567"/>
    <s v="21842"/>
    <s v="Dhruv Vyas"/>
    <s v="Anil Matoo"/>
    <s v="Praveen Kuruvalli"/>
    <s v="Dhruv Vyas"/>
    <n v="0"/>
  </r>
  <r>
    <n v="1200"/>
    <n v="20019604"/>
    <s v="Rajan Shah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/Issue"/>
    <m/>
    <s v="Stores &amp; Warehouse"/>
    <s v="Stores &amp; Warehouse"/>
    <s v="Receipt-Issue - Pipemill"/>
    <s v="Non Technical Support"/>
    <s v="Commercial"/>
    <s v="Stores &amp; Warehouse"/>
    <s v="73806001"/>
    <s v="Stores &amp; Warehouse"/>
    <s v="Hazira"/>
    <d v="1977-01-15T00:00:00"/>
    <s v="46.08"/>
    <d v="2008-06-27T00:00:00"/>
    <d v="2035-01-31T00:00:00"/>
    <m/>
    <d v="2035-01-31T00:00:00"/>
    <n v="4151"/>
    <s v="O-"/>
    <s v="BCom-1999 , LLB-1999"/>
    <s v="03.02"/>
    <s v="15.02"/>
    <s v="18.04"/>
    <s v="70495598"/>
    <s v="Pipe Mill Store"/>
    <s v="70319646"/>
    <s v="Section Officer - Receipt/Issue"/>
    <s v="Hazira"/>
    <s v="0031950049"/>
    <s v="HZ-Central Stores"/>
    <s v="2000HWO"/>
    <s v="20019745"/>
    <s v="Devendra Kaushik"/>
    <s v="No"/>
    <s v="rajan.shah@amns.in"/>
    <s v="9925241493"/>
    <s v="24032"/>
    <s v="Dhruv Vyas"/>
    <s v="Anil Matoo"/>
    <s v="Praveen Kuruvalli"/>
    <s v="Dhruv Vyas"/>
    <n v="0"/>
  </r>
  <r>
    <n v="1205"/>
    <n v="20019682"/>
    <s v="Manish Patel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Domestic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9-05-05T00:00:00"/>
    <s v="44.04"/>
    <d v="2008-04-01T00:00:00"/>
    <d v="2037-05-31T00:00:00"/>
    <m/>
    <d v="2037-05-31T00:00:00"/>
    <n v="5002"/>
    <s v="O-"/>
    <s v="BCom-2000"/>
    <s v="07.09"/>
    <s v="15.05"/>
    <s v="23.02"/>
    <s v="70495314"/>
    <s v="Export, Domestic &amp; Banking"/>
    <s v="70237694"/>
    <s v="Officer - Domestic Banking"/>
    <s v="Hazira"/>
    <s v="0031950045"/>
    <s v="HZ-Works Accounts-Ha"/>
    <s v="2000HWO"/>
    <s v="20001077"/>
    <s v="Pradeep Parte"/>
    <s v="No"/>
    <s v="manish.patel5@amns.in"/>
    <s v="9925246222"/>
    <s v="23249"/>
    <s v="Dhruv Vyas"/>
    <s v="Anil Matoo"/>
    <s v="Praveen Kuruvalli"/>
    <s v="Dhruv Vyas"/>
    <n v="0"/>
  </r>
  <r>
    <n v="1206"/>
    <n v="20019686"/>
    <s v="Pareshkumar Ramanlal Parekh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Domestic Banking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79-04-11T00:00:00"/>
    <s v="44.05"/>
    <d v="2008-04-01T00:00:00"/>
    <d v="2037-04-30T00:00:00"/>
    <m/>
    <d v="2037-04-30T00:00:00"/>
    <n v="4971"/>
    <s v="B-"/>
    <s v="PG Diploma in Management-1998 , MCom-199"/>
    <s v="16.00"/>
    <s v="15.05"/>
    <s v="31.05"/>
    <s v="70495314"/>
    <s v="Export, Domestic &amp; Banking"/>
    <s v="70446069"/>
    <s v="Officer - Domestic Banking"/>
    <s v="Hazira"/>
    <s v="0031950045"/>
    <s v="HZ-Works Accounts-Ha"/>
    <s v="2000HWO"/>
    <s v="20001077"/>
    <s v="Pradeep Parte"/>
    <s v="No"/>
    <s v="paresh.parekh@amns.in"/>
    <s v="9879203058"/>
    <s v="22992"/>
    <s v="Dhruv Vyas"/>
    <s v="Anil Matoo"/>
    <s v="Praveen Kuruvalli"/>
    <s v="Dhruv Vyas"/>
    <n v="0"/>
  </r>
  <r>
    <n v="1213"/>
    <n v="20019745"/>
    <s v="Devendra Kaushik"/>
    <s v="AM/NS India"/>
    <s v="Onroll"/>
    <s v="M-6"/>
    <n v="6"/>
    <m/>
    <s v="M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 Charge - Pipe Mill Store"/>
    <m/>
    <s v="Stores &amp; Warehouse"/>
    <s v="Stores &amp; Warehouse"/>
    <s v="Pipe Mill Store"/>
    <s v="Non Technical Support"/>
    <s v="Commercial"/>
    <s v="Stores &amp; Warehouse"/>
    <s v="73806001"/>
    <s v="Stores &amp; Warehouse"/>
    <s v="Hazira"/>
    <d v="1970-08-19T00:00:00"/>
    <s v="53.01"/>
    <d v="2008-07-01T00:00:00"/>
    <d v="2028-08-31T00:00:00"/>
    <m/>
    <d v="2028-08-31T00:00:00"/>
    <n v="1807"/>
    <s v="O-"/>
    <s v="Diploma-2012 , MBA-2012 , Diploma-2005 ,"/>
    <s v="16.03"/>
    <s v="15.02"/>
    <s v="31.05"/>
    <s v="70495598"/>
    <s v="Pipe Mill Store"/>
    <s v="70320354"/>
    <s v="&quot; Section In Charge - Pipe Mill Store"/>
    <s v="Hazira"/>
    <s v="0031950049"/>
    <s v="HZ-Central Stores"/>
    <s v="2000HWO"/>
    <s v="20001240"/>
    <s v="Ambrish Chaturvedi"/>
    <s v="No"/>
    <s v="devendra.kaushik@amns.in"/>
    <s v="9879100555"/>
    <s v="22181"/>
    <s v="Dhruv Vyas"/>
    <s v="Anil Matoo"/>
    <s v="Praveen Kuruvalli"/>
    <s v="Dhruv Vyas"/>
    <n v="0"/>
  </r>
  <r>
    <n v="1217"/>
    <n v="20021039"/>
    <s v="Rajesh Patel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– Export Documentation"/>
    <m/>
    <s v="Working Capital"/>
    <s v="Export, Domestic &amp; Banking"/>
    <s v="Export, Domestic &amp; Banking"/>
    <s v="Non Technical Support"/>
    <s v="Finance &amp; Accounts"/>
    <s v="Corporate Finance"/>
    <s v="73902004"/>
    <s v="Banking Relations"/>
    <s v="AM/NS Hazira"/>
    <d v="1981-12-22T00:00:00"/>
    <s v="41.08"/>
    <d v="2008-07-18T00:00:00"/>
    <d v="2039-12-31T00:00:00"/>
    <m/>
    <d v="2039-12-31T00:00:00"/>
    <n v="5946"/>
    <s v="O-"/>
    <s v="MBA-2008 , MCom-2008 , Diploma-2004"/>
    <s v="06.03"/>
    <s v="15.02"/>
    <s v="21.04"/>
    <s v="00044362"/>
    <s v="Export Documentation"/>
    <s v="70259114"/>
    <s v="Sr. Lead – Export Documentation"/>
    <s v="Hazira"/>
    <s v="0031950045"/>
    <s v="HZ-Works Accounts-Ha"/>
    <s v="2000HWO"/>
    <s v="20007731"/>
    <s v="Ashish Mehta"/>
    <s v="No"/>
    <s v="rajesh.patel@amns.in"/>
    <s v="9925241112"/>
    <s v="23336"/>
    <s v="Dhruv Vyas"/>
    <s v="Anil Matoo"/>
    <s v="Praveen Kuruvalli"/>
    <s v="Dhruv Vyas"/>
    <n v="0"/>
  </r>
  <r>
    <n v="1218"/>
    <n v="20021191"/>
    <s v="Priya Kalantri"/>
    <s v="AM/NS India"/>
    <s v="Onroll"/>
    <s v="M-6"/>
    <n v="6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EA to Deputy CFO"/>
    <m/>
    <s v="CFO Office"/>
    <s v="CFO Office"/>
    <s v="CFO Office"/>
    <s v="Non Technical Support"/>
    <s v="Finance &amp; Accounts"/>
    <s v="Treasury"/>
    <s v="73903001"/>
    <s v="Treasury"/>
    <s v="Mumbai"/>
    <d v="1984-01-10T00:00:00"/>
    <s v="39.08"/>
    <d v="2008-07-19T00:00:00"/>
    <d v="2042-01-31T00:00:00"/>
    <m/>
    <d v="2042-01-31T00:00:00"/>
    <n v="6708"/>
    <s v="B-"/>
    <s v="MBA-2008 , BCom-2008"/>
    <s v="01.01"/>
    <s v="15.02"/>
    <s v="16.03"/>
    <s v="70494654"/>
    <s v="Finance"/>
    <s v="70258416"/>
    <s v="EA to Deputy CFO"/>
    <s v="Corporate"/>
    <s v="0090000028"/>
    <s v="Corporate Steel - Wo"/>
    <s v="2000CS"/>
    <s v="20057933"/>
    <s v="Akiyo Omori"/>
    <s v="No"/>
    <s v="priya.kalantri@amns.in"/>
    <s v="9930135381"/>
    <s v="22102"/>
    <s v="Dhruv Vyas"/>
    <s v="Anil Matoo"/>
    <s v="Praveen Kuruvalli"/>
    <s v="Dhruv Vyas"/>
    <n v="0"/>
  </r>
  <r>
    <n v="1219"/>
    <n v="20021262"/>
    <s v="Abhishek Srivastava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– Automotive Sales"/>
    <m/>
    <s v="Auto"/>
    <s v="Auto"/>
    <s v=""/>
    <s v="Non Technical Support"/>
    <s v="Sales &amp; Marketing"/>
    <s v="Sales"/>
    <s v="73104004"/>
    <s v="OEM Sales"/>
    <s v="Mumbai"/>
    <d v="1983-08-05T00:00:00"/>
    <s v="40.01"/>
    <d v="2008-06-23T00:00:00"/>
    <d v="2041-08-31T00:00:00"/>
    <m/>
    <d v="2041-08-31T00:00:00"/>
    <n v="6555"/>
    <s v="B-"/>
    <s v="MBA-2008 , BTech-2008"/>
    <s v=""/>
    <s v="15.02"/>
    <s v="15.02"/>
    <s v="70343195"/>
    <s v="Automotive Sales &amp; Service Centers"/>
    <s v="70385921"/>
    <s v="Sr. KAM – Automotive Sales"/>
    <s v="Hazira"/>
    <s v="0031950057"/>
    <s v="HZ-HRC - Marketing"/>
    <s v="2000HWO"/>
    <s v="20016767"/>
    <s v="Raghavan Venkatachalam"/>
    <s v="No"/>
    <s v="abhishek.srivastava@amns.in"/>
    <s v="9930135163"/>
    <s v="24358"/>
    <s v="Dhruv Vyas"/>
    <s v="Anil Matoo"/>
    <s v="Praveen Kuruvalli"/>
    <s v="Dhruv Vyas"/>
    <n v="0"/>
  </r>
  <r>
    <n v="1246"/>
    <n v="20022866"/>
    <s v="Surya Avinash Akondi"/>
    <s v="AM/NS India"/>
    <s v="Onroll"/>
    <s v="M-7"/>
    <n v="7"/>
    <m/>
    <s v="MM"/>
    <s v="M"/>
    <s v="Vizag"/>
    <n v="3"/>
    <s v="2012"/>
    <x v="7"/>
    <s v="34.01"/>
    <s v="Ambrish Chaturvedi"/>
    <s v="Hrishikesh Kamat"/>
    <n v="7"/>
    <s v="Procurement"/>
    <s v="Stores &amp; Warehouse"/>
    <s v="34"/>
    <s v="Engineer - Procurement"/>
    <m/>
    <s v="Procurement"/>
    <s v="Mechanical"/>
    <s v="Mechanical"/>
    <s v="Non Technical Support"/>
    <s v="Operations"/>
    <s v="Plant Operations"/>
    <s v="72103005"/>
    <s v="Shift Operations"/>
    <s v="Vizag"/>
    <d v="1989-11-26T00:00:00"/>
    <s v="33.09"/>
    <d v="2008-09-05T00:00:00"/>
    <d v="2047-11-30T00:00:00"/>
    <m/>
    <d v="2047-11-30T00:00:00"/>
    <n v="8837"/>
    <s v=""/>
    <s v="Diploma-2008"/>
    <s v=""/>
    <s v="15.00"/>
    <s v="15.00"/>
    <s v="70301353"/>
    <s v="Procurement - Vizag &amp; Chitrakonda"/>
    <s v="70372812"/>
    <s v="Engineer - Procurement"/>
    <s v="Vizag"/>
    <s v="0028030019"/>
    <s v="VIZ-Personnel &amp; Admi"/>
    <s v="2000VIZOPS"/>
    <s v="20000200"/>
    <s v="A Venkateswara Rao"/>
    <s v="No"/>
    <s v="akondi.surya@amns.in"/>
    <s v="8886385679"/>
    <s v="24398"/>
    <s v="DS Varma"/>
    <s v="Anil Matoo"/>
    <s v="Praveen Kuruvalli"/>
    <s v="Dhruv Vyas"/>
    <n v="0"/>
  </r>
  <r>
    <n v="1274"/>
    <n v="20023325"/>
    <s v="Prashant Gadhethria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s Unloading"/>
    <m/>
    <s v="Stores &amp; Warehouse"/>
    <s v="Stores &amp; Warehouse"/>
    <s v="Receipt, Unloading &amp; Insurance"/>
    <s v="Non Technical Support"/>
    <s v="Commercial"/>
    <s v="Stores &amp; Warehouse"/>
    <s v="73806001"/>
    <s v="Stores &amp; Warehouse"/>
    <s v="Hazira"/>
    <d v="1989-01-26T00:00:00"/>
    <s v="34.07"/>
    <d v="2008-09-09T00:00:00"/>
    <d v="2047-01-31T00:00:00"/>
    <m/>
    <d v="2047-01-31T00:00:00"/>
    <n v="8534"/>
    <s v=""/>
    <s v="Diploma-2008 , Diploma-2008"/>
    <s v=""/>
    <s v="15.00"/>
    <s v="15.00"/>
    <s v="00053276"/>
    <s v="Issue/Shifting - Plant B"/>
    <s v="70259397"/>
    <s v="Section Officer - Receipts Unloading"/>
    <s v="Hazira"/>
    <s v="0031950049"/>
    <s v="HZ-Central Stores"/>
    <s v="2000HWO"/>
    <s v="20016604"/>
    <s v="Punit Verma"/>
    <s v="No"/>
    <s v="prashant.gadhetharia@amns.in"/>
    <s v="9909901893"/>
    <s v="21724"/>
    <s v="Dhruv Vyas"/>
    <s v="Anil Matoo"/>
    <s v="Praveen Kuruvalli"/>
    <s v="Dhruv Vyas"/>
    <n v="0"/>
  </r>
  <r>
    <n v="1304"/>
    <n v="20023490"/>
    <s v="Pankaj Suklecha"/>
    <s v="AM/NS India"/>
    <s v="Onroll"/>
    <s v="M-7"/>
    <n v="7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"/>
    <m/>
    <s v="North"/>
    <s v="Hypermart"/>
    <s v=""/>
    <s v="Non Technical Support"/>
    <s v="Finance &amp; Accounts"/>
    <s v="Insurance &amp; Risk Management"/>
    <s v="73905001"/>
    <s v="Insurance &amp; Risk Managmen"/>
    <s v="Jaipur"/>
    <d v="1984-02-18T00:00:00"/>
    <s v="39.07"/>
    <d v="2008-09-24T00:00:00"/>
    <d v="2042-02-28T00:00:00"/>
    <m/>
    <d v="2042-02-28T00:00:00"/>
    <n v="6736"/>
    <s v="O+"/>
    <s v="MBA-2005 , BCom-2005"/>
    <s v="01.01"/>
    <s v="14.11"/>
    <s v="16.00"/>
    <s v="00052526"/>
    <s v="Sales - North"/>
    <s v="70324106"/>
    <s v="Sales Manager - Hypermart"/>
    <s v="Hazira"/>
    <s v="0060120300"/>
    <s v="HMART-Raj-Jaipur"/>
    <s v="2000HWO"/>
    <s v="20007322"/>
    <s v="Sanjay Bohra"/>
    <s v="No"/>
    <s v="pankaj.suklecha@amns.in"/>
    <s v="9879103251"/>
    <s v="24382"/>
    <s v="Dhruv Vyas"/>
    <s v="Anil Matoo"/>
    <s v="Praveen Kuruvalli"/>
    <s v="Dhruv Vyas"/>
    <n v="0"/>
  </r>
  <r>
    <n v="1310"/>
    <n v="20024714"/>
    <s v="Alok Mittal"/>
    <s v="AM/NS India"/>
    <s v="Onroll"/>
    <s v="M-5"/>
    <n v="5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Senior Lead - Contracts"/>
    <m/>
    <s v="Contracts"/>
    <s v="Contracts"/>
    <s v="CRM, Admin, Oxy,Plant, Documentation"/>
    <s v="Non Technical Support"/>
    <s v="Commercial"/>
    <s v="Contracts &amp; Tenders and E-bid"/>
    <s v="73805001"/>
    <s v="Contracts &amp; Tenders and E"/>
    <s v="AM/NS Hazira"/>
    <d v="1981-05-15T00:00:00"/>
    <s v="42.04"/>
    <d v="2008-12-15T00:00:00"/>
    <d v="2039-05-31T00:00:00"/>
    <m/>
    <d v="2039-05-31T00:00:00"/>
    <n v="5732"/>
    <s v="B+"/>
    <s v="MBA-2008 , BE-2008"/>
    <s v="02.05"/>
    <s v="14.09"/>
    <s v="17.02"/>
    <s v="70495670"/>
    <s v="Contracts"/>
    <s v="70320439"/>
    <s v="Senior Lead - Contracts"/>
    <s v="Hazira"/>
    <s v="0031950047"/>
    <s v="HZ-Contracts"/>
    <s v="2000HWO"/>
    <s v="20000795"/>
    <s v="Pankaj Chaturvedi"/>
    <s v="No"/>
    <s v="alok.mittal@amns.in"/>
    <s v="9879100726"/>
    <s v="22651"/>
    <s v="Dhruv Vyas"/>
    <s v="Anil Matoo"/>
    <s v="Praveen Kuruvalli"/>
    <s v="Dhruv Vyas"/>
    <n v="0"/>
  </r>
  <r>
    <n v="1334"/>
    <n v="20026469"/>
    <s v="Soumya Ranjan Rout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Engineers - Procurement (PP SP &amp; CPP)"/>
    <m/>
    <s v="Procurement"/>
    <s v="Procurement"/>
    <s v="Purchase"/>
    <s v="Non Technical Support"/>
    <s v="Commercial"/>
    <s v="Purchase"/>
    <s v="73804001"/>
    <s v="Purchase"/>
    <s v="Vizag"/>
    <d v="1986-07-06T00:00:00"/>
    <s v="37.02"/>
    <d v="2009-07-23T00:00:00"/>
    <d v="2044-07-31T00:00:00"/>
    <m/>
    <d v="2044-07-31T00:00:00"/>
    <n v="7620"/>
    <s v="A-"/>
    <s v="Intermediate-2015 , PG Diploma in Manage"/>
    <s v=""/>
    <s v="14.01"/>
    <s v="14.01"/>
    <s v="70301353"/>
    <s v="Procurement - Vizag &amp; Chitrakonda"/>
    <s v="70369061"/>
    <s v="Engineers - Procurement (PP SP &amp; CPP)"/>
    <s v="Vizag"/>
    <s v="0028030019"/>
    <s v="VIZ-Personnel &amp; Admi"/>
    <s v="2000VIZOPS"/>
    <s v="20000200"/>
    <s v="A Venkateswara Rao"/>
    <s v="No"/>
    <s v="soumya.rout@amns.in"/>
    <s v="8297092555"/>
    <s v="23802"/>
    <s v="DS Varma"/>
    <s v="Anil Matoo"/>
    <s v="Praveen Kuruvalli"/>
    <s v="Dhruv Vyas"/>
    <n v="0"/>
  </r>
  <r>
    <n v="1381"/>
    <n v="20026951"/>
    <s v="Bhavesh Rathod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SMP, RHTOB, UTY,HMM, Lime Plant-Mech"/>
    <s v="Non Technical Support"/>
    <s v="Commercial"/>
    <s v="Stores &amp; Warehouse"/>
    <s v="73806001"/>
    <s v="Stores &amp; Warehouse"/>
    <s v="Hazira"/>
    <d v="1991-02-08T00:00:00"/>
    <s v="32.07"/>
    <d v="2009-08-19T00:00:00"/>
    <d v="2049-02-28T00:00:00"/>
    <m/>
    <d v="2049-02-28T00:00:00"/>
    <n v="9293"/>
    <s v="O+"/>
    <s v="Diploma-2009"/>
    <s v=""/>
    <s v="14.01"/>
    <s v="14.01"/>
    <s v="00053276"/>
    <s v="Issue/Shifting - Plant B"/>
    <s v="70319972"/>
    <s v="Section Officer - Issue/Shifting"/>
    <s v="Hazira"/>
    <s v="0031950049"/>
    <s v="HZ-Central Stores"/>
    <s v="2000HWO"/>
    <s v="20016604"/>
    <s v="Punit Verma"/>
    <s v="No"/>
    <s v="bhaveshkumar.rathod@amns.in"/>
    <s v="9909901085"/>
    <s v="23734"/>
    <s v="Dhruv Vyas"/>
    <s v="Anil Matoo"/>
    <s v="Praveen Kuruvalli"/>
    <s v="Dhruv Vyas"/>
    <n v="0"/>
  </r>
  <r>
    <n v="1394"/>
    <n v="20027199"/>
    <s v="Sharan Mahagoan"/>
    <s v="AM/NS India"/>
    <s v="Onroll"/>
    <s v="M-8"/>
    <n v="8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Lead - Procurement"/>
    <m/>
    <s v="Procurement"/>
    <s v="Procurement"/>
    <s v="Procurement"/>
    <s v="Non Technical Support"/>
    <s v="Operations"/>
    <s v="Plant Maintenance"/>
    <s v="72103008"/>
    <s v="Mechanical Maintenance"/>
    <s v="Dabuna"/>
    <d v="1987-11-30T00:00:00"/>
    <s v="35.09"/>
    <d v="2009-08-29T00:00:00"/>
    <d v="2045-11-30T00:00:00"/>
    <m/>
    <d v="2045-11-30T00:00:00"/>
    <n v="8107"/>
    <s v=""/>
    <s v="BE-2009"/>
    <s v=""/>
    <s v="14.00"/>
    <s v="14.00"/>
    <s v="70494404"/>
    <s v="Procurement - Dabuna"/>
    <s v="70326779"/>
    <s v="Lead - Procurement"/>
    <s v="Odisha"/>
    <s v="0022010019"/>
    <s v="DBN-Benf-HR/Admin"/>
    <s v="2000STORIS"/>
    <s v="20017569"/>
    <s v="Girija Das"/>
    <s v="No"/>
    <s v="sharan.mahagoan@amns.in"/>
    <s v="9437058214"/>
    <s v="22463"/>
    <s v="Sunila Das"/>
    <s v="Anil Matoo"/>
    <s v="Praveen Kuruvalli"/>
    <s v="Sunila Das"/>
    <n v="0"/>
  </r>
  <r>
    <n v="1403"/>
    <n v="20027374"/>
    <s v="Ravi Borra"/>
    <s v="AM/NS India"/>
    <s v="Onroll"/>
    <s v="M-7"/>
    <n v="7"/>
    <m/>
    <s v="MM"/>
    <s v="M"/>
    <s v="Vizag"/>
    <n v="3"/>
    <s v="2043"/>
    <x v="3"/>
    <s v="31.01"/>
    <s v="Hrishikesh Kamat"/>
    <s v="Hrishikesh Kamat"/>
    <n v="7"/>
    <s v="Procurement"/>
    <s v="Procurement"/>
    <s v="31"/>
    <s v="Section Engineer -  Procurement"/>
    <m/>
    <s v="Vizag Operations"/>
    <s v="Production"/>
    <s v="Production"/>
    <s v="Non Technical Support"/>
    <s v="Operations"/>
    <s v="Operations"/>
    <s v="72103001"/>
    <s v="Operations"/>
    <s v="Vizag"/>
    <d v="1982-08-18T00:00:00"/>
    <s v="41.01"/>
    <d v="2009-09-14T00:00:00"/>
    <d v="2040-08-31T00:00:00"/>
    <m/>
    <d v="2040-08-31T00:00:00"/>
    <n v="6190"/>
    <s v="O-"/>
    <s v="BTech-2010"/>
    <s v="07.10"/>
    <s v="14.00"/>
    <s v="21.10"/>
    <s v="70301353"/>
    <s v="Procurement - Vizag &amp; Chitrakonda"/>
    <s v="70449380"/>
    <s v="Section Engineer -  Procurement"/>
    <s v="Vizag"/>
    <s v="0028030019"/>
    <s v="VIZ-Personnel &amp; Admi"/>
    <s v="2000VIZOPS"/>
    <s v="20000200"/>
    <s v="A Venkateswara Rao"/>
    <s v="No"/>
    <s v="ravikishore.borra@amns.in"/>
    <s v="8886154111"/>
    <s v="21314"/>
    <s v="DS Varma"/>
    <s v="Anil Matoo"/>
    <s v="Praveen Kuruvalli"/>
    <s v="Dhruv Vyas"/>
    <n v="0"/>
  </r>
  <r>
    <n v="1407"/>
    <n v="20027573"/>
    <s v="Rajesh Malu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GST"/>
    <m/>
    <s v="Taxation"/>
    <s v="In Direct - Taxation"/>
    <s v="Indirect Taxation"/>
    <s v="Non Technical Support"/>
    <s v="Finance &amp; Accounts"/>
    <s v="Finance &amp; Accounts"/>
    <s v="73901002"/>
    <s v="Corporate Accounts &amp; Audi"/>
    <s v="AM/NS Hazira"/>
    <d v="1987-06-23T00:00:00"/>
    <s v="36.02"/>
    <d v="2009-10-01T00:00:00"/>
    <d v="2045-06-30T00:00:00"/>
    <m/>
    <d v="2045-06-30T00:00:00"/>
    <n v="7954"/>
    <s v="A+"/>
    <s v="CS-2009 , CA Final-2009 , BCom-2007"/>
    <s v=""/>
    <s v="13.11"/>
    <s v="13.11"/>
    <s v="00044380"/>
    <s v="GST - Hazira Assets - 2"/>
    <s v="70320447"/>
    <s v="Sr. lead - GST"/>
    <s v="Hazira"/>
    <s v="0031950044"/>
    <s v="HZ-Commercial Taxati"/>
    <s v="2000HWO"/>
    <s v="20055962"/>
    <s v="Navin Kewalramani"/>
    <s v="No"/>
    <s v="rajesh.malu@amns.in"/>
    <s v="9879100796"/>
    <s v="22512"/>
    <s v="Dhruv Vyas"/>
    <s v="Anil Matoo"/>
    <s v="Praveen Kuruvalli"/>
    <s v="Dhruv Vyas"/>
    <n v="0"/>
  </r>
  <r>
    <n v="1441"/>
    <n v="20028099"/>
    <s v="Nimisha Patel"/>
    <s v="AM/NS India"/>
    <s v="Onroll"/>
    <s v="M-8"/>
    <n v="8"/>
    <m/>
    <s v="JM"/>
    <s v="F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&quot;&quot;&quot;Issue &amp; Receipt - HSM, SMP, Caster-MEC, UTY"/>
    <s v="Non Technical Support"/>
    <s v="Commercial"/>
    <s v="Stores &amp; Warehouse"/>
    <s v="73806001"/>
    <s v="Stores &amp; Warehouse"/>
    <s v="Hazira"/>
    <d v="1988-04-08T00:00:00"/>
    <s v="35.05"/>
    <d v="2009-10-26T00:00:00"/>
    <d v="2046-04-30T00:00:00"/>
    <m/>
    <d v="2046-04-30T00:00:00"/>
    <n v="8258"/>
    <s v=""/>
    <s v="Diploma-2008"/>
    <s v=""/>
    <s v="13.10"/>
    <s v="13.10"/>
    <s v="00053276"/>
    <s v="Issue/Shifting - Plant B"/>
    <s v="70320031"/>
    <s v="Section Officer - Issue/Shifting"/>
    <s v="Hazira"/>
    <s v="0031950049"/>
    <s v="HZ-Central Stores"/>
    <s v="2000HWO"/>
    <s v="20016604"/>
    <s v="Punit Verma"/>
    <s v="No"/>
    <s v="nimisha.patel@amns.in"/>
    <s v="9909901301"/>
    <s v="23298"/>
    <s v="Dhruv Vyas"/>
    <s v="Anil Matoo"/>
    <s v="Praveen Kuruvalli"/>
    <s v="Dhruv Vyas"/>
    <n v="0"/>
  </r>
  <r>
    <n v="1453"/>
    <n v="20028777"/>
    <s v="Narendra Dugar"/>
    <s v="AM/NS India"/>
    <s v="Onroll"/>
    <s v="M-5"/>
    <n v="5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Internal Audit Hazira"/>
    <m/>
    <s v="Internal Audit"/>
    <s v="Internal Audit"/>
    <s v="Internal Audit"/>
    <s v="Non Technical Support"/>
    <s v="Finance &amp; Accounts"/>
    <s v="Insurance &amp; Risk Management"/>
    <s v="73905001"/>
    <s v="Insurance &amp; Risk Managmen"/>
    <s v="AM/NS Hazira"/>
    <d v="1982-10-21T00:00:00"/>
    <s v="40.10"/>
    <d v="2009-12-10T00:00:00"/>
    <d v="2040-10-31T00:00:00"/>
    <m/>
    <d v="2040-10-31T00:00:00"/>
    <n v="6251"/>
    <s v="O-"/>
    <s v="MCom-2005 , BCom-2005 , CA Final-2003"/>
    <s v="02.01"/>
    <s v="13.09"/>
    <s v="15.10"/>
    <s v="00044330"/>
    <s v="Internal Audit - Hazira"/>
    <s v="70386056"/>
    <s v="Sr. Lead Internal Audit Hazira"/>
    <s v="Hazira"/>
    <s v="0090000035"/>
    <s v="Internal Audit"/>
    <s v="2000HWO"/>
    <s v="20055486"/>
    <s v="Nilesh Likhite"/>
    <s v="No"/>
    <s v="narendra.dugar@amns.in"/>
    <s v="9879100706"/>
    <s v="21706"/>
    <s v="Dhruv Vyas"/>
    <s v="Anil Matoo"/>
    <s v="Praveen Kuruvalli"/>
    <s v="Dhruv Vyas"/>
    <n v="0"/>
  </r>
  <r>
    <n v="1454"/>
    <n v="20028863"/>
    <s v="Keshav Dehariya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Central Zone"/>
    <s v="Non Technical Support"/>
    <s v="Operations"/>
    <s v="Plant Maintenance"/>
    <s v="72103009"/>
    <s v="Electrical Maintenance"/>
    <s v="Indore"/>
    <d v="1986-08-13T00:00:00"/>
    <s v="37.01"/>
    <d v="2009-11-23T00:00:00"/>
    <d v="2044-08-31T00:00:00"/>
    <m/>
    <d v="2044-08-31T00:00:00"/>
    <n v="7651"/>
    <s v="O-"/>
    <s v="BE-2009 , High School-2009 , High School"/>
    <s v=""/>
    <s v="13.09"/>
    <s v="13.09"/>
    <s v="00048138"/>
    <s v="Hypermart west"/>
    <s v="70450022"/>
    <s v="Sales Manager - Hypermart"/>
    <s v="Hypermart"/>
    <s v="0060110700"/>
    <s v="HMART-MP-Pithampur"/>
    <s v="2000SRET"/>
    <s v="20056847"/>
    <s v="Vikas Chotia"/>
    <s v="No"/>
    <s v="keshav.dehariya@amns.in"/>
    <s v="9522198100"/>
    <s v="21558"/>
    <s v="Dhruv Vyas"/>
    <s v="Anil Matoo"/>
    <s v="Praveen Kuruvalli"/>
    <s v="Dhruv Vyas"/>
    <n v="0"/>
  </r>
  <r>
    <n v="1455"/>
    <n v="20028961"/>
    <s v="Anshuman Majhi"/>
    <s v="AM/NS India"/>
    <s v="Onroll"/>
    <s v="M-5"/>
    <n v="5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Sr. Lead  - Costing &amp; MIS"/>
    <m/>
    <s v="Finance &amp; Accounts - Odisha"/>
    <s v="Finance &amp; Accounts"/>
    <s v="Costing &amp; MIS"/>
    <s v="Non Technical Support"/>
    <s v="Finance &amp; Accounts"/>
    <s v="Finance &amp; Accounts"/>
    <s v="73901001"/>
    <s v="Finance &amp; Accounts"/>
    <s v="Dabuna"/>
    <d v="1965-07-08T00:00:00"/>
    <s v="58.02"/>
    <d v="2009-12-11T00:00:00"/>
    <d v="2023-07-31T00:00:00"/>
    <d v="2024-07-31T00:00:00"/>
    <d v="2024-07-31T00:00:00"/>
    <n v="315"/>
    <s v="B-"/>
    <s v="ICWA Final-2011 , PG Diploma in Manageme"/>
    <s v="22.05"/>
    <s v="13.09"/>
    <s v="36.02"/>
    <s v="70234933"/>
    <s v="Finance &amp; Accounts - Odisha"/>
    <s v="70375779"/>
    <s v="Sr. Lead  - Costing &amp; MIS"/>
    <s v="Odisha"/>
    <s v="0022030019"/>
    <s v="PDP-HR &amp; Admn"/>
    <s v="2000STORIS"/>
    <s v="20055801"/>
    <s v="Sanjive Kumar Singh"/>
    <s v="No"/>
    <s v="anshuman.majhi@amns.in"/>
    <s v="9437481167"/>
    <s v="22490"/>
    <s v="Sunila Das"/>
    <s v="Anil Matoo"/>
    <s v="Praveen Kuruvalli"/>
    <s v="Sunila Das"/>
    <n v="0"/>
  </r>
  <r>
    <n v="1474"/>
    <n v="20029041"/>
    <s v="Siddharth Patel"/>
    <s v="AM/NS India"/>
    <s v="Onroll"/>
    <s v="M-7"/>
    <n v="7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Contracts"/>
    <s v="Non Technical Support"/>
    <s v="Services"/>
    <s v="Maintenance Services"/>
    <s v="72103012"/>
    <s v="Maintenance Services"/>
    <s v="AM/NS Hazira"/>
    <d v="1987-12-27T00:00:00"/>
    <s v="35.08"/>
    <d v="2009-11-26T00:00:00"/>
    <d v="2045-12-31T00:00:00"/>
    <m/>
    <d v="2045-12-31T00:00:00"/>
    <n v="8138"/>
    <s v="B+"/>
    <s v="BE-2009"/>
    <s v=""/>
    <s v="13.09"/>
    <s v="13.09"/>
    <s v="70495670"/>
    <s v="Contracts"/>
    <s v="70259203"/>
    <s v="Lead - Contracts"/>
    <s v="Hazira"/>
    <s v="0031950047"/>
    <s v="HZ-Contracts"/>
    <s v="2000HWO"/>
    <s v="20000795"/>
    <s v="Pankaj Chaturvedi"/>
    <s v="No"/>
    <s v="siddharth.patel@amns.in"/>
    <s v="9879101862"/>
    <s v="23382"/>
    <s v="Dhruv Vyas"/>
    <s v="Anil Matoo"/>
    <s v="Praveen Kuruvalli"/>
    <s v="Dhruv Vyas"/>
    <n v="0"/>
  </r>
  <r>
    <n v="1691"/>
    <n v="20029683"/>
    <s v="Pallav Vadgama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"/>
    <s v="Non Technical Support"/>
    <s v="Sales &amp; Marketing"/>
    <s v="Sales"/>
    <s v="73104004"/>
    <s v="OEM Sales"/>
    <s v="Ahmedabad"/>
    <d v="1987-01-21T00:00:00"/>
    <s v="36.07"/>
    <d v="2009-11-20T00:00:00"/>
    <d v="2045-01-31T00:00:00"/>
    <m/>
    <d v="2045-01-31T00:00:00"/>
    <n v="7804"/>
    <s v="O-"/>
    <s v="BE-2009"/>
    <s v=""/>
    <s v="13.09"/>
    <s v="13.09"/>
    <s v="70265035"/>
    <s v="Value Recovery"/>
    <s v="70336309"/>
    <s v="Sales Manager"/>
    <s v="Hazira"/>
    <s v="0031950057"/>
    <s v="HZ-HRC - Marketing"/>
    <s v="2000HWO"/>
    <s v="20016382"/>
    <s v="Kunal Bhardwaj"/>
    <s v="No"/>
    <s v="pallav.vadgama@amns.in"/>
    <s v="9099934874"/>
    <s v="24606"/>
    <s v="Dhruv Vyas"/>
    <s v="Anil Matoo"/>
    <s v="Praveen Kuruvalli"/>
    <s v="Dhruv Vyas"/>
    <n v="0"/>
  </r>
  <r>
    <n v="1733"/>
    <n v="20030332"/>
    <s v="Darshan Desai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Project Administration"/>
    <m/>
    <s v="Hazira Operations"/>
    <s v="SMS"/>
    <s v="Secondary Metallurgy"/>
    <s v="Non Technical Support"/>
    <s v="Operations"/>
    <s v="Plant Operations"/>
    <s v="72103005"/>
    <s v="Shift Operations"/>
    <s v="Hazira"/>
    <d v="1976-10-07T00:00:00"/>
    <s v="46.11"/>
    <d v="2010-02-20T00:00:00"/>
    <d v="2034-10-31T00:00:00"/>
    <m/>
    <d v="2034-10-31T00:00:00"/>
    <n v="4059"/>
    <s v="A-"/>
    <s v="Diploma-1999"/>
    <s v="09.04"/>
    <s v="13.06"/>
    <s v="22.10"/>
    <s v="00049719"/>
    <s v="Administration Hazira"/>
    <s v="70202819"/>
    <s v="Lead - Project Administration"/>
    <s v="Hazira"/>
    <s v="0031323111"/>
    <s v="CONARC - Plant B - O"/>
    <s v="2000HWO"/>
    <s v="20057886"/>
    <s v="Shakir Bandwala"/>
    <s v="No"/>
    <s v="darshan.desai@amns.in"/>
    <s v="9909902497"/>
    <s v="21575"/>
    <s v="Surinder Choudhary"/>
    <s v="Anil Matoo"/>
    <n v="0"/>
    <s v="Surinder Choudhary"/>
    <s v="Robin Patel"/>
  </r>
  <r>
    <n v="1794"/>
    <n v="20031922"/>
    <s v="Nalla Shyamala"/>
    <s v="AM/NS India"/>
    <s v="Onroll"/>
    <s v="M-6"/>
    <n v="6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Sr. Lead - EXIM"/>
    <m/>
    <s v="Taxation"/>
    <s v="EXIM"/>
    <s v="EXIM"/>
    <s v="Non Technical Support"/>
    <s v="Finance &amp; Accounts"/>
    <s v="Corporate Finance"/>
    <s v="73902001"/>
    <s v="Corporate Finance"/>
    <s v="Mumbai"/>
    <d v="1971-02-13T00:00:00"/>
    <s v="52.07"/>
    <d v="2010-05-27T00:00:00"/>
    <d v="2029-02-28T00:00:00"/>
    <m/>
    <d v="2029-02-28T00:00:00"/>
    <n v="1988"/>
    <s v="A-"/>
    <s v="Certificate-1999 , Diploma-1999 , BCom-1"/>
    <s v="19.04"/>
    <s v="13.03"/>
    <s v="32.07"/>
    <s v="70072408"/>
    <s v="Customs / DGFT / EXIM"/>
    <s v="70224406"/>
    <s v="Sr. Lead - EXIM"/>
    <s v="Hazira"/>
    <s v="0090000033"/>
    <s v="Corporate Taxation"/>
    <s v="2000HWO"/>
    <s v="20047664"/>
    <s v="Devang Desai"/>
    <s v="No"/>
    <s v="shyamala.nalla@amns.in"/>
    <s v="9930136459"/>
    <s v="22783"/>
    <s v="Dhruv Vyas"/>
    <s v="Anil Matoo"/>
    <s v="Praveen Kuruvalli"/>
    <s v="Dhruv Vyas"/>
    <n v="0"/>
  </r>
  <r>
    <n v="1832"/>
    <n v="20033268"/>
    <s v="Rathish R"/>
    <s v="AM/NS India"/>
    <s v="Onroll"/>
    <s v="M-7"/>
    <n v="7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South"/>
    <s v="Auto"/>
    <s v="Domestic"/>
    <s v="Non Technical Support"/>
    <s v="Sales &amp; Marketing"/>
    <s v="Sales"/>
    <s v="73104004"/>
    <s v="OEM Sales"/>
    <s v="Pune AMNS"/>
    <d v="1984-06-23T00:00:00"/>
    <s v="39.02"/>
    <d v="2010-08-07T00:00:00"/>
    <d v="2042-06-30T00:00:00"/>
    <m/>
    <d v="2042-06-30T00:00:00"/>
    <n v="6858"/>
    <s v="O-"/>
    <s v="BCom-2009 , MBA-2009"/>
    <s v="01.02"/>
    <s v="13.01"/>
    <s v="14.03"/>
    <s v="00052468"/>
    <s v="Automotive Sales - Chennai"/>
    <s v="70228566"/>
    <s v="KAM – Automotive Sales"/>
    <s v="Pune Facility"/>
    <s v="0035950073"/>
    <s v="Pune - S&amp;D Export"/>
    <s v="2000ESPF"/>
    <s v="20047658"/>
    <s v="Balamurugan Gurusamy"/>
    <s v="No"/>
    <s v="rathish.r@amns.in"/>
    <s v="8939900882"/>
    <s v="23604"/>
    <s v="Dhruv Vyas"/>
    <s v="Anil Matoo"/>
    <s v="Praveen Kuruvalli"/>
    <s v="Dhruv Vyas"/>
    <n v="0"/>
  </r>
  <r>
    <n v="1892"/>
    <n v="20034319"/>
    <s v="Ashokkumar Mehe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r - Sales &amp; Mkt"/>
    <m/>
    <s v="Pipe"/>
    <s v="Pipe"/>
    <s v=""/>
    <s v="Non Technical Support"/>
    <s v="Sales &amp; Marketing"/>
    <s v="Sales &amp; Marketing"/>
    <s v="73101001"/>
    <s v="Sales &amp; Marketing"/>
    <s v="Noida"/>
    <d v="1986-05-02T00:00:00"/>
    <s v="37.04"/>
    <d v="2010-09-23T00:00:00"/>
    <d v="2044-05-31T00:00:00"/>
    <m/>
    <d v="2044-05-31T00:00:00"/>
    <n v="7559"/>
    <s v="A-"/>
    <s v="BTech-2007"/>
    <s v="03.03"/>
    <s v="12.11"/>
    <s v="16.03"/>
    <s v="70387159"/>
    <s v="Pipe Sales"/>
    <s v="70230900"/>
    <s v="Sales Manager - Domestics Pipe Sales"/>
    <s v="Hazira"/>
    <s v="0031591982"/>
    <s v="PM-Marketing"/>
    <s v="2000HWO"/>
    <s v="20007414"/>
    <s v="Gaurav Sharma"/>
    <s v="No"/>
    <s v="ashok.meher@amns.in"/>
    <s v="8376904700"/>
    <s v="22576"/>
    <s v="Dhruv Vyas"/>
    <s v="Anil Matoo"/>
    <s v="Praveen Kuruvalli"/>
    <s v="Dhruv Vyas"/>
    <n v="0"/>
  </r>
  <r>
    <n v="1898"/>
    <n v="20034616"/>
    <s v="Bimal Parida"/>
    <s v="AM/NS India"/>
    <s v="Onroll"/>
    <s v="M-8"/>
    <n v="8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Lead - Procurement"/>
    <m/>
    <s v="Procurement"/>
    <s v="Procurement"/>
    <s v="Procurement"/>
    <s v="Non Technical Support"/>
    <s v="Operations"/>
    <s v="Plant Maintenance"/>
    <s v="72103009"/>
    <s v="Electrical Maintenance"/>
    <s v="Dabuna"/>
    <d v="1988-04-23T00:00:00"/>
    <s v="35.04"/>
    <d v="2010-08-23T00:00:00"/>
    <d v="2046-04-30T00:00:00"/>
    <m/>
    <d v="2046-04-30T00:00:00"/>
    <n v="8258"/>
    <s v="A-"/>
    <s v="BTech-2010"/>
    <s v=""/>
    <s v="13.00"/>
    <s v="13.00"/>
    <s v="70494404"/>
    <s v="Procurement - Dabuna"/>
    <s v="70319754"/>
    <s v="Lead - Procurement"/>
    <s v="Odisha"/>
    <s v="0022010019"/>
    <s v="DBN-Benf-HR/Admin"/>
    <s v="2000STORIS"/>
    <s v="20017569"/>
    <s v="Girija Das"/>
    <s v="No"/>
    <s v="bimal.parida@amns.in"/>
    <s v="9437061139"/>
    <s v="22995"/>
    <s v="Sunila Das"/>
    <s v="Anil Matoo"/>
    <s v="Praveen Kuruvalli"/>
    <s v="Sunila Das"/>
    <n v="0"/>
  </r>
  <r>
    <n v="1943"/>
    <n v="20035527"/>
    <s v="Anil Patro"/>
    <s v="AM/NS India"/>
    <s v="Onroll"/>
    <s v="M-4"/>
    <n v="4"/>
    <m/>
    <s v="SM"/>
    <s v="M"/>
    <s v="Hazira"/>
    <n v="1"/>
    <s v="2095"/>
    <x v="4"/>
    <n v="36.01"/>
    <s v="Deepak Sindkar"/>
    <s v="Hrishikesh Kamat"/>
    <n v="7"/>
    <s v="Procurement"/>
    <s v="Raw Materials"/>
    <s v="36"/>
    <s v="Head – Iron Bearing Materials"/>
    <m/>
    <s v="Bulk Raw Materials"/>
    <s v="Raw Material"/>
    <s v="Iron Ore"/>
    <s v="Non Technical Support"/>
    <s v="Sales &amp; Marketing"/>
    <s v="Business Development"/>
    <s v="73103001"/>
    <s v="Business Development"/>
    <s v="Mumbai"/>
    <d v="1970-03-01T00:00:00"/>
    <s v="53.06"/>
    <d v="2010-12-10T00:00:00"/>
    <d v="2028-02-29T00:00:00"/>
    <m/>
    <d v="2028-02-29T00:00:00"/>
    <n v="1623"/>
    <s v="A-"/>
    <s v="BSc-1992 , MSc-1992"/>
    <s v="17.10"/>
    <s v="12.09"/>
    <s v="30.07"/>
    <s v="00045893"/>
    <s v="Red Odisha Mill Scale"/>
    <s v="70258515"/>
    <s v="Head – Iron Bearing Materials"/>
    <s v="Hazira"/>
    <s v="0031950048"/>
    <s v="HZ-Procurment Depart"/>
    <s v="2000HWO"/>
    <s v="20000253"/>
    <s v="Deepak Sindkar"/>
    <s v="No"/>
    <s v="anil.patro@amns.in"/>
    <s v="9930136253"/>
    <s v="23475"/>
    <s v="Dhruv Vyas"/>
    <s v="Anil Matoo"/>
    <s v="Praveen Kuruvalli"/>
    <s v="Dhruv Vyas"/>
    <n v="0"/>
  </r>
  <r>
    <n v="1964"/>
    <n v="20035714"/>
    <s v="Emani Sitarami Reddy"/>
    <s v="AM/NS India"/>
    <s v="Onroll"/>
    <s v="M-8"/>
    <n v="8"/>
    <m/>
    <s v="JM"/>
    <s v="M"/>
    <s v="Vizag"/>
    <n v="3"/>
    <s v="2015"/>
    <x v="1"/>
    <s v="22.06"/>
    <s v="Anil Matoo"/>
    <s v="Ashutosh Telang"/>
    <n v="6"/>
    <s v="HR &amp; Administration"/>
    <s v="Human Resources"/>
    <s v="22"/>
    <s v="Lead Human Resources"/>
    <m/>
    <s v="Human Resources"/>
    <s v="HR &amp; Admin"/>
    <s v="HR &amp; Admin"/>
    <s v="Non Technical Support"/>
    <s v="Human Resources Management"/>
    <s v="Human Resources Management"/>
    <s v="73501001"/>
    <s v="Human Resources"/>
    <s v="Vizag"/>
    <d v="1964-04-05T00:00:00"/>
    <s v="59.05"/>
    <d v="2011-01-01T00:00:00"/>
    <d v="2022-04-30T00:00:00"/>
    <d v="2023-12-31T00:00:00"/>
    <d v="2023-12-31T00:00:00"/>
    <n v="102"/>
    <s v=""/>
    <s v="Diploma-1986"/>
    <s v="24.11"/>
    <s v="12.08"/>
    <s v="37.07"/>
    <s v="72150111"/>
    <s v="Vizag HR Operations &amp; Administration"/>
    <s v="70372501"/>
    <s v="Lead Human Resources"/>
    <s v="Vizag"/>
    <s v="0028030019"/>
    <s v="VIZ-Personnel &amp; Admi"/>
    <s v="2000VIZOPS"/>
    <s v="20000519"/>
    <s v="Dandu Srinivas Varma"/>
    <s v="No"/>
    <s v="emani.reddy@amns.in"/>
    <s v="9642054999"/>
    <s v="24298"/>
    <s v="DS Varma"/>
    <s v="Anil Matoo"/>
    <s v="Praveen Kuruvalli"/>
    <s v="Dhruv Vyas"/>
    <n v="0"/>
  </r>
  <r>
    <n v="1965"/>
    <n v="20035716"/>
    <s v="Satesh Datla"/>
    <s v="AM/NS India"/>
    <s v="Onroll"/>
    <s v="M-8"/>
    <n v="8"/>
    <m/>
    <s v="JM"/>
    <s v="M"/>
    <s v="Vizag"/>
    <n v="3"/>
    <s v="2023"/>
    <x v="6"/>
    <s v="24.08"/>
    <s v="Anil Matoo"/>
    <s v="Ashutosh Telang"/>
    <n v="6"/>
    <s v="HR &amp; Administration"/>
    <s v="Administration"/>
    <s v="24"/>
    <s v="Plant Node Officer - BP"/>
    <m/>
    <s v="Administration"/>
    <s v="Administration"/>
    <s v="Administration"/>
    <s v="Non Technical Support"/>
    <s v="Human Resources Management"/>
    <s v="Human Resources Management"/>
    <s v="73501001"/>
    <s v="Human Resources"/>
    <s v="Kirandul"/>
    <d v="1969-04-17T00:00:00"/>
    <s v="54.05"/>
    <d v="2011-01-01T00:00:00"/>
    <d v="2027-04-30T00:00:00"/>
    <m/>
    <d v="2027-04-30T00:00:00"/>
    <n v="1318"/>
    <s v=""/>
    <s v="MBA-1996 , BCom-1989"/>
    <s v="16.08"/>
    <s v="12.08"/>
    <s v="29.04"/>
    <s v="72150111"/>
    <s v="Vizag HR Operations &amp; Administration"/>
    <s v="70237920"/>
    <s v="Plant Node Officer - BP"/>
    <s v="Vizag"/>
    <s v="0028010019"/>
    <s v="KRD-Admin &amp; General"/>
    <s v="2000VIZOPS"/>
    <s v="20000519"/>
    <s v="Dandu Srinivas Varma"/>
    <s v="No"/>
    <s v="satish.datla@amns.in"/>
    <s v="9425591760"/>
    <s v="23957"/>
    <s v="DS Varma"/>
    <s v="Anil Matoo"/>
    <s v="Praveen Kuruvalli"/>
    <s v="Dhruv Vyas"/>
    <n v="0"/>
  </r>
  <r>
    <n v="1993"/>
    <n v="20036343"/>
    <s v="Pinal Patel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Gen Cons., Spares, &amp; Fitings Pipes, Valves Fasteners"/>
    <s v="Non Technical Support"/>
    <s v="Commercial"/>
    <s v="Stores &amp; Warehouse"/>
    <s v="73806001"/>
    <s v="Stores &amp; Warehouse"/>
    <s v="Hazira"/>
    <d v="1979-02-20T00:00:00"/>
    <s v="44.06"/>
    <d v="2011-02-16T00:00:00"/>
    <d v="2037-02-28T00:00:00"/>
    <m/>
    <d v="2037-02-28T00:00:00"/>
    <n v="4910"/>
    <s v=""/>
    <s v="Diploma-2003"/>
    <s v="11.07"/>
    <s v="12.07"/>
    <s v="24.02"/>
    <s v="00053276"/>
    <s v="Issue/Shifting - Plant B"/>
    <s v="70239744"/>
    <s v="Section Officer - Issue/Shifting"/>
    <s v="Hazira"/>
    <s v="0031950049"/>
    <s v="HZ-Central Stores"/>
    <s v="2000HWO"/>
    <s v="20016604"/>
    <s v="Punit Verma"/>
    <s v="No"/>
    <s v="pinal.patel@amns.in"/>
    <s v="9879101362"/>
    <s v="23314"/>
    <s v="Dhruv Vyas"/>
    <s v="Anil Matoo"/>
    <s v="Praveen Kuruvalli"/>
    <s v="Dhruv Vyas"/>
    <n v="0"/>
  </r>
  <r>
    <n v="1997"/>
    <n v="20036363"/>
    <s v="Gopalrao Bodke"/>
    <s v="AM/NS India"/>
    <s v="Onroll"/>
    <s v="L-01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WEIGH BRIDGE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70-06-02T00:00:00"/>
    <s v="53.03"/>
    <d v="1995-01-01T00:00:00"/>
    <d v="2028-06-30T00:00:00"/>
    <m/>
    <d v="2028-06-30T00:00:00"/>
    <n v="1745"/>
    <s v="O-"/>
    <s v="SSLC-1988 , SSLC-1988 , SSLC-1988"/>
    <s v=""/>
    <s v="28.08"/>
    <s v="28.08"/>
    <s v="73800024"/>
    <s v="General Consumables"/>
    <s v="73800061"/>
    <s v="WEIGH BRIDGE"/>
    <s v="Pune Facility"/>
    <s v="0035950030"/>
    <s v="Pune - Stores"/>
    <s v="2000ESPF"/>
    <s v="20036403"/>
    <s v="Sanjay Kumbhar"/>
    <s v="No"/>
    <s v="gopalrao.bodke@amns.in"/>
    <s v="9673996785"/>
    <s v="21306"/>
    <s v="Dhruv Vyas"/>
    <s v="Anil Matoo"/>
    <s v="Praveen Kuruvalli"/>
    <s v="Dhruv Vyas"/>
    <n v="0"/>
  </r>
  <r>
    <n v="2006"/>
    <n v="20036385"/>
    <s v="Ganesh Adhikari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3"/>
    <s v="Accounts Payable"/>
    <s v="Pune AMNS"/>
    <d v="1969-11-14T00:00:00"/>
    <s v="53.10"/>
    <d v="1995-01-01T00:00:00"/>
    <d v="2027-11-30T00:00:00"/>
    <m/>
    <d v="2027-11-30T00:00:00"/>
    <n v="1532"/>
    <s v="B-"/>
    <s v="SSLC-1984"/>
    <s v="01.00"/>
    <s v="28.08"/>
    <s v="29.08"/>
    <s v="73800027"/>
    <s v="Account Receivables"/>
    <s v="70319250"/>
    <s v="Lead"/>
    <s v="Pune Facility"/>
    <s v="0035950020"/>
    <s v="Pune-F&amp;A"/>
    <s v="2000ESPF"/>
    <s v="20037239"/>
    <s v="Prashant Shah"/>
    <s v="No"/>
    <s v="ganesh.adhikari@amns.in"/>
    <s v="9890756491"/>
    <s v="21020"/>
    <s v="Dhruv Vyas"/>
    <s v="Anil Matoo"/>
    <s v="Praveen Kuruvalli"/>
    <s v="Dhruv Vyas"/>
    <n v="0"/>
  </r>
  <r>
    <n v="2013"/>
    <n v="20036398"/>
    <s v="Yogini Jadhav"/>
    <s v="AM/NS India"/>
    <s v="Onroll"/>
    <s v="M-8"/>
    <n v="8"/>
    <m/>
    <s v="JM"/>
    <s v="F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1"/>
    <s v="Finance &amp; Accounts"/>
    <s v="Pune AMNS"/>
    <d v="1970-11-03T00:00:00"/>
    <s v="52.10"/>
    <d v="1995-01-01T00:00:00"/>
    <d v="2028-11-30T00:00:00"/>
    <m/>
    <d v="2028-11-30T00:00:00"/>
    <n v="1898"/>
    <s v="A-"/>
    <s v="Intermediate-1992 , BCom-1992"/>
    <s v="02.04"/>
    <s v="28.08"/>
    <s v="31.00"/>
    <s v="73800027"/>
    <s v="Account Receivables"/>
    <s v="73800085"/>
    <s v="Lead"/>
    <s v="Pune Facility"/>
    <s v="0035950020"/>
    <s v="Pune-F&amp;A"/>
    <s v="2000ESPF"/>
    <s v="20037239"/>
    <s v="Prashant Shah"/>
    <s v="No"/>
    <s v="yogini.jadhav@amns.in"/>
    <s v="9158895077"/>
    <s v="21952"/>
    <s v="Dhruv Vyas"/>
    <s v="Anil Matoo"/>
    <s v="Praveen Kuruvalli"/>
    <s v="Dhruv Vyas"/>
    <n v="0"/>
  </r>
  <r>
    <n v="2017"/>
    <n v="20036403"/>
    <s v="Sanjay Kumbhar"/>
    <s v="AM/NS India"/>
    <s v="Onroll"/>
    <s v="M-8"/>
    <n v="8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DY. SECTION MANAG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68-04-01T00:00:00"/>
    <s v="55.05"/>
    <d v="1995-01-01T00:00:00"/>
    <d v="2026-03-31T00:00:00"/>
    <m/>
    <d v="2026-03-31T00:00:00"/>
    <n v="923"/>
    <s v="A-"/>
    <s v="BCom-2009 , Diploma Equivalent-2009 , In"/>
    <s v="01.03"/>
    <s v="28.08"/>
    <s v="29.11"/>
    <s v="73800024"/>
    <s v="General Consumables"/>
    <s v="73800046"/>
    <s v="DY. SECTION MANAGER"/>
    <s v="Pune Facility"/>
    <s v="0035950030"/>
    <s v="Pune - Stores"/>
    <s v="2000ESPF"/>
    <s v="20036934"/>
    <s v="Atul Patwardhan"/>
    <s v="No"/>
    <s v="sanjay.kumbhar@amns.in"/>
    <s v="9158895929"/>
    <s v="22385"/>
    <s v="Dhruv Vyas"/>
    <s v="Anil Matoo"/>
    <s v="Praveen Kuruvalli"/>
    <s v="Dhruv Vyas"/>
    <n v="0"/>
  </r>
  <r>
    <n v="2019"/>
    <n v="20036407"/>
    <s v="Ravindra Bhorde"/>
    <s v="AM/NS India"/>
    <s v="Onroll"/>
    <s v="M-8"/>
    <n v="8"/>
    <m/>
    <s v="JM"/>
    <s v="M"/>
    <s v="Pune Facility"/>
    <n v="4"/>
    <s v="2084"/>
    <x v="17"/>
    <s v="23.09"/>
    <s v="Anil Matoo"/>
    <s v="Ashutosh Telang"/>
    <n v="6"/>
    <s v="HR &amp; Administration"/>
    <s v="Industrial Relations"/>
    <s v="23"/>
    <s v="SECTION MANAGER"/>
    <m/>
    <s v="Pune Operations"/>
    <s v="Administration"/>
    <s v="Time office"/>
    <s v="Non Technical Support"/>
    <s v="Human Resources Management"/>
    <s v="Payroll Shared Services"/>
    <s v="73509002"/>
    <s v="Payroll Administration"/>
    <s v="Pune AMNS"/>
    <d v="1971-06-14T00:00:00"/>
    <s v="52.03"/>
    <d v="1993-10-05T00:00:00"/>
    <d v="2029-06-30T00:00:00"/>
    <m/>
    <d v="2029-06-30T00:00:00"/>
    <n v="2110"/>
    <s v="O-"/>
    <s v="Intermediate-1991"/>
    <s v="01.03"/>
    <s v="29.11"/>
    <s v="31.02"/>
    <s v="73800068"/>
    <s v="Pune HR Operations &amp; Administration"/>
    <s v="70273858"/>
    <s v="SECTION MANAGER"/>
    <s v="Pune Facility"/>
    <s v="0035950019"/>
    <s v="Pune-Admin"/>
    <s v="2000ESPF"/>
    <s v="20037245"/>
    <s v="Mukund Jagirdar"/>
    <s v="No"/>
    <s v="ravindra.bhorde@amns.in"/>
    <s v="9890113037"/>
    <s v="21277"/>
    <s v="Dhruv Vyas"/>
    <s v="Anil Matoo"/>
    <s v="Praveen Kuruvalli"/>
    <s v="Dhruv Vyas"/>
    <n v="0"/>
  </r>
  <r>
    <n v="2021"/>
    <n v="20036409"/>
    <s v="Ranjith Nambiar"/>
    <s v="AM/NS India"/>
    <s v="Onroll"/>
    <s v="M-5"/>
    <n v="5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Head - Domestic Sales, Pune"/>
    <m/>
    <s v="Sales Steering &amp; BD"/>
    <s v="Coated Marketing"/>
    <s v="National Sales"/>
    <s v="Non Technical Support"/>
    <s v="Operations"/>
    <s v="Operations"/>
    <s v="72103001"/>
    <s v="Operations"/>
    <s v="Pune AMNS"/>
    <d v="1973-04-20T00:00:00"/>
    <s v="50.05"/>
    <d v="1995-01-01T00:00:00"/>
    <d v="2031-04-30T00:00:00"/>
    <m/>
    <d v="2031-04-30T00:00:00"/>
    <n v="2779"/>
    <s v="O-"/>
    <s v="Diploma-1991"/>
    <s v="01.04"/>
    <s v="28.08"/>
    <s v="30.00"/>
    <s v="70492562"/>
    <s v="Domestic Sales"/>
    <s v="70435075"/>
    <s v="Head - Marketing Coated Products"/>
    <s v="Pune Facility"/>
    <s v="0031950057"/>
    <s v="HZ-HRC - Marketing"/>
    <s v="2000ESPF"/>
    <s v="20010531"/>
    <s v="Saptarshi Saha"/>
    <s v="No"/>
    <s v="ranjith.nambiar@amns.in"/>
    <s v="9158895828"/>
    <s v="22784"/>
    <s v="Dhruv Vyas"/>
    <s v="Anil Matoo"/>
    <s v="Praveen Kuruvalli"/>
    <s v="Dhruv Vyas"/>
    <n v="0"/>
  </r>
  <r>
    <n v="2031"/>
    <n v="20036425"/>
    <s v="Ashok Raikar"/>
    <s v="AM/NS India"/>
    <s v="Onroll"/>
    <s v="L-02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Jr.Stores Assistant"/>
    <m/>
    <s v="Procurement"/>
    <s v="Stores &amp; Warehouse"/>
    <s v="Stores"/>
    <s v="Non Technical Support"/>
    <s v="Administration"/>
    <s v="Administration"/>
    <s v="74101001"/>
    <s v="Administration"/>
    <s v="Pune Facility"/>
    <d v="1967-06-01T00:00:00"/>
    <s v="56.03"/>
    <d v="1996-01-01T00:00:00"/>
    <d v="2025-05-31T00:00:00"/>
    <m/>
    <d v="2025-05-31T00:00:00"/>
    <n v="619"/>
    <s v="AB-"/>
    <s v="Non Matric-1987"/>
    <s v=""/>
    <s v="27.08"/>
    <s v="27.08"/>
    <s v="73800024"/>
    <s v="General Consumables"/>
    <s v="73800273"/>
    <s v="Jr.Stores Assistant"/>
    <s v="Pune Facility"/>
    <s v="0035950030"/>
    <s v="Pune - Stores"/>
    <s v="2000ESPF"/>
    <s v="20036403"/>
    <s v="Sanjay Kumbhar"/>
    <s v="No"/>
    <s v="ashok.raikar@amns.in"/>
    <s v="9158895814"/>
    <s v="23620"/>
    <s v="Dhruv Vyas"/>
    <s v="Anil Matoo"/>
    <s v="Praveen Kuruvalli"/>
    <s v="Dhruv Vyas"/>
    <n v="0"/>
  </r>
  <r>
    <n v="2039"/>
    <n v="20036435"/>
    <s v="Shankar Sure"/>
    <s v="AM/NS India"/>
    <s v="Onroll"/>
    <s v="M-8"/>
    <n v="8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Dy. Section Manag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65-08-13T00:00:00"/>
    <s v="58.01"/>
    <d v="1996-02-01T00:00:00"/>
    <d v="2023-08-31T00:00:00"/>
    <m/>
    <d v="2023-08-31T00:00:00"/>
    <n v="-20"/>
    <s v="A-"/>
    <s v="MCom-1990"/>
    <s v="04.05"/>
    <s v="27.07"/>
    <s v="32.00"/>
    <s v="73800024"/>
    <s v="General Consumables"/>
    <s v="70319258"/>
    <s v="Dy. Section Manager"/>
    <s v="Pune Facility"/>
    <s v="0035950030"/>
    <s v="Pune - Stores"/>
    <s v="2000ESPF"/>
    <s v="20036403"/>
    <s v="Sanjay Kumbhar"/>
    <s v="No"/>
    <s v="shankar.sure@amns.in"/>
    <s v="9271898041"/>
    <s v="24390"/>
    <s v="Dhruv Vyas"/>
    <s v="Anil Matoo"/>
    <s v="Praveen Kuruvalli"/>
    <s v="Dhruv Vyas"/>
    <n v="0"/>
  </r>
  <r>
    <n v="2040"/>
    <n v="20036436"/>
    <s v="Megha Chaure"/>
    <s v="AM/NS India"/>
    <s v="Onroll"/>
    <s v="L-01"/>
    <n v="15"/>
    <m/>
    <s v="Blue Collar"/>
    <s v="F"/>
    <s v="Pune Facility"/>
    <n v="4"/>
    <s v="2023"/>
    <x v="6"/>
    <s v="24.08"/>
    <s v="Anil Matoo"/>
    <s v="Ashutosh Telang"/>
    <n v="6"/>
    <s v="HR &amp; Administration"/>
    <s v="Administration"/>
    <s v="24"/>
    <s v="ASST.PERS.CUM STENO - Hum"/>
    <m/>
    <s v="Pune Operations"/>
    <s v="Administration"/>
    <s v="Reception"/>
    <s v="Non Technical Support"/>
    <s v="Human Resources Management"/>
    <s v="Learning &amp; Development"/>
    <s v="73502001"/>
    <s v="Learning &amp; Development"/>
    <s v="Pune Facility"/>
    <d v="1967-06-17T00:00:00"/>
    <s v="56.03"/>
    <d v="1996-02-01T00:00:00"/>
    <d v="2025-06-30T00:00:00"/>
    <m/>
    <d v="2025-06-30T00:00:00"/>
    <n v="649"/>
    <s v="O-"/>
    <s v="Certificate-1989 , Intermediate-1989 , N"/>
    <s v="01.00"/>
    <s v="27.07"/>
    <s v="28.07"/>
    <s v="73800072"/>
    <s v="Administration"/>
    <s v="73800265"/>
    <s v="ASST.PERS.CUM STENO - Hum"/>
    <s v="Pune Facility"/>
    <s v="0035950019"/>
    <s v="Pune-Admin"/>
    <s v="2000ESPF"/>
    <s v="20036748"/>
    <s v="Suresh Kadam"/>
    <s v="No"/>
    <s v="megha.chaure@amns.in"/>
    <s v="9422314583"/>
    <s v="21385"/>
    <s v="Dhruv Vyas"/>
    <s v="Anil Matoo"/>
    <s v="Praveen Kuruvalli"/>
    <s v="Dhruv Vyas"/>
    <n v="0"/>
  </r>
  <r>
    <n v="2047"/>
    <n v="20036451"/>
    <s v="Sunil Shewale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GST"/>
    <s v="Non Technical Support"/>
    <s v="Finance &amp; Accounts"/>
    <s v="Taxation"/>
    <s v="73904002"/>
    <s v="Indirect Taxation"/>
    <s v="Pune AMNS"/>
    <d v="1966-06-24T00:00:00"/>
    <s v="57.02"/>
    <d v="1997-05-02T00:00:00"/>
    <d v="2024-06-30T00:00:00"/>
    <m/>
    <d v="2024-06-30T00:00:00"/>
    <n v="284"/>
    <s v="B-"/>
    <s v="BCom-1987"/>
    <s v="01.10"/>
    <s v="26.04"/>
    <s v="28.02"/>
    <s v="73800021"/>
    <s v="Excise"/>
    <s v="70273866"/>
    <s v="Lead"/>
    <s v="Pune Facility"/>
    <s v="0035950020"/>
    <s v="Pune-F&amp;A"/>
    <s v="2000ESPF"/>
    <s v="20037274"/>
    <s v="Imtiyazkhan Pathan"/>
    <s v="No"/>
    <s v="sunil.shewale@amns.in"/>
    <s v="9423581266"/>
    <s v="24155"/>
    <s v="Dhruv Vyas"/>
    <s v="Anil Matoo"/>
    <s v="Praveen Kuruvalli"/>
    <s v="Dhruv Vyas"/>
    <n v="0"/>
  </r>
  <r>
    <n v="2051"/>
    <n v="20036456"/>
    <s v="Rajesh Dadiya"/>
    <s v="AM/NS India"/>
    <s v="Onroll"/>
    <s v="L-02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ASST.OPERATOR - Productio"/>
    <m/>
    <s v="Procurement"/>
    <s v="Stores &amp; Warehouse"/>
    <s v="Stores"/>
    <s v="Non Technical Support"/>
    <s v="Operations"/>
    <s v="Plant Operations"/>
    <s v="72103005"/>
    <s v="Shift Operations"/>
    <s v="Pune Facility"/>
    <d v="1974-01-09T00:00:00"/>
    <s v="49.08"/>
    <d v="1997-06-07T00:00:00"/>
    <d v="2032-01-31T00:00:00"/>
    <m/>
    <d v="2032-01-31T00:00:00"/>
    <n v="3055"/>
    <s v="O-"/>
    <s v="SSLC-1989"/>
    <s v=""/>
    <s v="26.03"/>
    <s v="26.03"/>
    <s v="73800197"/>
    <s v="Logistics"/>
    <s v="73800794"/>
    <s v="ASST.OPERATOR - Productio"/>
    <s v="Pune Facility"/>
    <s v="0035950030"/>
    <s v="Pune - Stores"/>
    <s v="2000ESPF"/>
    <s v="20036920"/>
    <s v="Pankaj Patil"/>
    <s v="No"/>
    <s v="rajesh.dadiya@amns.in"/>
    <s v="8551099224"/>
    <s v="21452"/>
    <s v="Dhruv Vyas"/>
    <s v="Anil Matoo"/>
    <s v="Praveen Kuruvalli"/>
    <s v="Dhruv Vyas"/>
    <n v="0"/>
  </r>
  <r>
    <n v="2094"/>
    <n v="20036519"/>
    <s v="Kamal Tamboli"/>
    <s v="AM/NS India"/>
    <s v="Onroll"/>
    <s v="L-02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Office Attendant"/>
    <m/>
    <s v="Pune Operations"/>
    <s v="Administration"/>
    <s v="Administration"/>
    <s v="Non Technical Support"/>
    <s v="Administration"/>
    <s v="Housekeeping"/>
    <s v="74103001"/>
    <s v="Housekeeping"/>
    <s v="Pune Facility"/>
    <d v="1969-10-04T00:00:00"/>
    <s v="53.11"/>
    <d v="1998-04-01T00:00:00"/>
    <d v="2027-10-31T00:00:00"/>
    <m/>
    <d v="2027-10-31T00:00:00"/>
    <n v="1502"/>
    <s v="AB-"/>
    <s v="Non Matric-1983"/>
    <s v=""/>
    <s v="25.05"/>
    <s v="25.05"/>
    <s v="73800072"/>
    <s v="Administration"/>
    <s v="73800282"/>
    <s v="Office Attendant"/>
    <s v="Pune Facility"/>
    <s v="0035950019"/>
    <s v="Pune-Admin"/>
    <s v="2000ESPF"/>
    <s v="20036748"/>
    <s v="Suresh Kadam"/>
    <s v="No"/>
    <s v="kamal.tamboli@amns.in"/>
    <s v="9970244526"/>
    <s v="24455"/>
    <s v="Dhruv Vyas"/>
    <s v="Anil Matoo"/>
    <s v="Praveen Kuruvalli"/>
    <s v="Dhruv Vyas"/>
    <n v="0"/>
  </r>
  <r>
    <n v="2101"/>
    <n v="20036535"/>
    <s v="Johnson Noronha"/>
    <s v="AM/NS India"/>
    <s v="Onroll"/>
    <s v="L-01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Office Attendant"/>
    <m/>
    <s v="Finance &amp; Accounts - Pune"/>
    <s v="Finance &amp; Accounts"/>
    <s v="Documentation"/>
    <s v="Non Technical Support"/>
    <s v="Finance &amp; Accounts"/>
    <s v="Taxation"/>
    <s v="73904002"/>
    <s v="Indirect Taxation"/>
    <s v="Pune Facility"/>
    <d v="1975-06-03T00:00:00"/>
    <s v="48.03"/>
    <d v="1998-04-01T00:00:00"/>
    <d v="2033-06-30T00:00:00"/>
    <m/>
    <d v="2033-06-30T00:00:00"/>
    <n v="3571"/>
    <s v="B-"/>
    <s v="Non Matric-1989"/>
    <s v=""/>
    <s v="25.05"/>
    <s v="25.05"/>
    <s v="73800015"/>
    <s v="Export Documentation"/>
    <s v="73800037"/>
    <s v="Office Attendant"/>
    <s v="Pune Facility"/>
    <s v="0035950020"/>
    <s v="Pune-F&amp;A"/>
    <s v="2000ESPF"/>
    <s v="20036642"/>
    <s v="Narayan Joshi"/>
    <s v="No"/>
    <s v="johnson.norohna@amns.in"/>
    <s v="9158895819"/>
    <s v="22854"/>
    <s v="Dhruv Vyas"/>
    <s v="Anil Matoo"/>
    <s v="Praveen Kuruvalli"/>
    <s v="Dhruv Vyas"/>
    <n v="0"/>
  </r>
  <r>
    <n v="2103"/>
    <n v="20036537"/>
    <s v="Ramdas Ghogare"/>
    <s v="AM/NS India"/>
    <s v="Onroll"/>
    <s v="L-01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Sr.Driver"/>
    <m/>
    <s v="Pune Operations"/>
    <s v="Transport"/>
    <s v="Transport"/>
    <s v="Non Technical Support"/>
    <s v="Administration"/>
    <s v="Travel Services"/>
    <s v="74106002"/>
    <s v="Transport Operations"/>
    <s v="Pune Facility"/>
    <d v="1969-06-01T00:00:00"/>
    <s v="54.03"/>
    <d v="1998-04-01T00:00:00"/>
    <d v="2027-05-31T00:00:00"/>
    <m/>
    <d v="2027-05-31T00:00:00"/>
    <n v="1349"/>
    <s v="A-"/>
    <s v="Non Matric-1984"/>
    <s v="23.00"/>
    <s v="25.05"/>
    <s v="48.05"/>
    <s v="73800072"/>
    <s v="Administration"/>
    <s v="73800311"/>
    <s v="Sr.Driver"/>
    <s v="Pune Facility"/>
    <s v="0035950019"/>
    <s v="Pune-Admin"/>
    <s v="2000ESPF"/>
    <s v="20036748"/>
    <s v="Suresh Kadam"/>
    <s v="No"/>
    <s v="ramdas.ghogare@amns.in"/>
    <s v="9960178572"/>
    <s v="21796"/>
    <s v="Dhruv Vyas"/>
    <s v="Anil Matoo"/>
    <s v="Praveen Kuruvalli"/>
    <s v="Dhruv Vyas"/>
    <n v="0"/>
  </r>
  <r>
    <n v="2111"/>
    <n v="20036549"/>
    <s v="Dattatraya Birajdar"/>
    <s v="AM/NS India"/>
    <s v="Onroll"/>
    <s v="L-01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r.Weigh Bridge Opt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69-07-08T00:00:00"/>
    <s v="54.02"/>
    <d v="1999-03-01T00:00:00"/>
    <d v="2027-07-31T00:00:00"/>
    <m/>
    <d v="2027-07-31T00:00:00"/>
    <n v="1410"/>
    <s v="A-"/>
    <s v="Intermediate-1987"/>
    <s v="08.00"/>
    <s v="24.06"/>
    <s v="32.06"/>
    <s v="73800024"/>
    <s v="General Consumables"/>
    <s v="73800062"/>
    <s v="Sr.Weigh Bridge Optr"/>
    <s v="Pune Facility"/>
    <s v="0035950030"/>
    <s v="Pune - Stores"/>
    <s v="2000ESPF"/>
    <s v="20036403"/>
    <s v="Sanjay Kumbhar"/>
    <s v="No"/>
    <s v="dattatraya.birajdar@amns.in"/>
    <s v="9766275118"/>
    <s v="21293"/>
    <s v="Dhruv Vyas"/>
    <s v="Anil Matoo"/>
    <s v="Praveen Kuruvalli"/>
    <s v="Dhruv Vyas"/>
    <n v="0"/>
  </r>
  <r>
    <n v="2113"/>
    <n v="20036553"/>
    <s v="Manaji Awhale"/>
    <s v="AM/NS India"/>
    <s v="Onroll"/>
    <s v="L-01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Asst.Admin"/>
    <m/>
    <s v="Pune Operations"/>
    <s v="Administration"/>
    <s v="Admin and Housekeeping"/>
    <s v="Non Technical Support"/>
    <s v="Administration"/>
    <s v="Housekeeping"/>
    <s v="74103001"/>
    <s v="Housekeeping"/>
    <s v="Pune Facility"/>
    <d v="1968-10-10T00:00:00"/>
    <s v="54.11"/>
    <d v="1999-03-01T00:00:00"/>
    <d v="2026-10-31T00:00:00"/>
    <m/>
    <d v="2026-10-31T00:00:00"/>
    <n v="1137"/>
    <s v="A-"/>
    <s v="Non Matric-1986"/>
    <s v="06.05"/>
    <s v="24.06"/>
    <s v="30.11"/>
    <s v="73800072"/>
    <s v="Administration"/>
    <s v="73800279"/>
    <s v="Jr.Asst.Admin"/>
    <s v="Pune Facility"/>
    <s v="0035950019"/>
    <s v="Pune-Admin"/>
    <s v="2000ESPF"/>
    <s v="20036748"/>
    <s v="Suresh Kadam"/>
    <s v="No"/>
    <s v="manaji.awhale@amns.in"/>
    <s v="9158895885"/>
    <s v="21105"/>
    <s v="Dhruv Vyas"/>
    <s v="Anil Matoo"/>
    <s v="Praveen Kuruvalli"/>
    <s v="Dhruv Vyas"/>
    <n v="0"/>
  </r>
  <r>
    <n v="2115"/>
    <n v="20036557"/>
    <s v="Suresh Gadade"/>
    <s v="AM/NS India"/>
    <s v="Onroll"/>
    <s v="L-01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Asst.Admin."/>
    <m/>
    <s v="Pune Operations"/>
    <s v="Administration"/>
    <s v="Admin and Canteen"/>
    <s v="Non Technical Support"/>
    <s v="Administration"/>
    <s v="Administration"/>
    <s v="74101001"/>
    <s v="Administration"/>
    <s v="Pune Facility"/>
    <d v="1973-07-10T00:00:00"/>
    <s v="50.02"/>
    <d v="1999-04-01T00:00:00"/>
    <d v="2031-07-31T00:00:00"/>
    <m/>
    <d v="2031-07-31T00:00:00"/>
    <n v="2871"/>
    <s v="O-"/>
    <s v="Non Matric-1989"/>
    <s v=""/>
    <s v="24.05"/>
    <s v="24.05"/>
    <s v="73800072"/>
    <s v="Administration"/>
    <s v="73800274"/>
    <s v="Jr.Asst.Admin."/>
    <s v="Pune Facility"/>
    <s v="0035950019"/>
    <s v="Pune-Admin"/>
    <s v="2000ESPF"/>
    <s v="20036748"/>
    <s v="Suresh Kadam"/>
    <s v="No"/>
    <s v="suresh.gadade@amns.in"/>
    <s v="9158895994"/>
    <s v="21721"/>
    <s v="Dhruv Vyas"/>
    <s v="Anil Matoo"/>
    <s v="Praveen Kuruvalli"/>
    <s v="Dhruv Vyas"/>
    <n v="0"/>
  </r>
  <r>
    <n v="2137"/>
    <n v="20036591"/>
    <s v="Deepak Nikumbh"/>
    <s v="AM/NS India"/>
    <s v="Onroll"/>
    <s v="M-7"/>
    <n v="7"/>
    <m/>
    <s v="MM"/>
    <s v="M"/>
    <s v="Pune Facility"/>
    <n v="4"/>
    <s v="2084"/>
    <x v="17"/>
    <s v="23.09"/>
    <s v="Anil Matoo"/>
    <s v="Ashutosh Telang"/>
    <n v="6"/>
    <s v="HR &amp; Administration"/>
    <s v="Industrial Relations"/>
    <s v="23"/>
    <s v="Lead - Industrial Relations"/>
    <m/>
    <s v="Industrial Relations"/>
    <s v="Industrial Relation ER"/>
    <s v="Industrial Relation"/>
    <s v="Non Technical Support"/>
    <s v="Human Resources Management"/>
    <s v="Industrial Relations &amp; Labour Law"/>
    <s v="73510000"/>
    <s v="Industrial Relations &amp; La"/>
    <s v="Pune AMNS"/>
    <d v="1974-03-20T00:00:00"/>
    <s v="49.06"/>
    <d v="2000-08-01T00:00:00"/>
    <d v="2032-03-31T00:00:00"/>
    <m/>
    <d v="2032-03-31T00:00:00"/>
    <n v="3115"/>
    <s v="B-"/>
    <s v="BA-1997 , MPM-1997"/>
    <s v="04.08"/>
    <s v="23.01"/>
    <s v="27.09"/>
    <s v="73800070"/>
    <s v="Industrial Relations &amp; Pa"/>
    <s v="70319505"/>
    <s v="Lead - Industrial Relations"/>
    <s v="Pune Facility"/>
    <s v="0035950019"/>
    <s v="Pune-Admin"/>
    <s v="2000ESPF"/>
    <s v="20037245"/>
    <s v="Mukund Jagirdar"/>
    <s v="No"/>
    <s v="deepak.nikumbh@amns.in"/>
    <s v="9158895897"/>
    <s v="22839"/>
    <s v="Dhruv Vyas"/>
    <s v="Anil Matoo"/>
    <s v="Praveen Kuruvalli"/>
    <s v="Dhruv Vyas"/>
    <n v="0"/>
  </r>
  <r>
    <n v="2167"/>
    <n v="20036638"/>
    <s v="Kiran Chaudhari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ection Officer"/>
    <m/>
    <s v="Procurement"/>
    <s v="Row materail and Consumables"/>
    <s v="Purchase"/>
    <s v="Non Technical Support"/>
    <s v="Operations"/>
    <s v="Plant Maintenance"/>
    <s v="72103008"/>
    <s v="Mechanical Maintenance"/>
    <s v="Pune AMNS"/>
    <d v="1976-01-06T00:00:00"/>
    <s v="47.08"/>
    <d v="2003-02-21T00:00:00"/>
    <d v="2034-01-31T00:00:00"/>
    <m/>
    <d v="2034-01-31T00:00:00"/>
    <n v="3786"/>
    <s v="A-"/>
    <s v="Diploma-1994 , Diploma Equivalent-1994 ,"/>
    <s v="04.05"/>
    <s v="20.06"/>
    <s v="24.11"/>
    <s v="73800002"/>
    <s v="Procurement - Pune Asset"/>
    <s v="70376904"/>
    <s v="Section Officer"/>
    <s v="Pune Facility"/>
    <s v="0035950041"/>
    <s v="Pune-Procurement"/>
    <s v="2000ESPF"/>
    <s v="20006536"/>
    <s v="Mahesh Salunke"/>
    <s v="No"/>
    <s v="kiran.chaudhari@amns.in"/>
    <s v="9158895323"/>
    <s v="21360"/>
    <s v="Dhruv Vyas"/>
    <s v="Anil Matoo"/>
    <s v="Praveen Kuruvalli"/>
    <s v="Dhruv Vyas"/>
    <n v="0"/>
  </r>
  <r>
    <n v="2171"/>
    <n v="20036642"/>
    <s v="Narayan Joshi"/>
    <s v="AM/NS India"/>
    <s v="Onroll"/>
    <s v="M-7"/>
    <n v="7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nior Lead"/>
    <m/>
    <s v="Finance &amp; Accounts - Pune"/>
    <s v="Finance &amp; Accounts"/>
    <s v="Export Documentation"/>
    <s v="Non Technical Support"/>
    <s v="Finance &amp; Accounts"/>
    <s v="Taxation"/>
    <s v="73904002"/>
    <s v="Indirect Taxation"/>
    <s v="Pune AMNS"/>
    <d v="1971-12-09T00:00:00"/>
    <s v="51.09"/>
    <d v="2003-04-24T00:00:00"/>
    <d v="2029-12-31T00:00:00"/>
    <m/>
    <d v="2029-12-31T00:00:00"/>
    <n v="2294"/>
    <s v="O-"/>
    <s v="BE-1999 , Diploma Equivalent-1999"/>
    <s v="08.04"/>
    <s v="20.04"/>
    <s v="28.08"/>
    <s v="73800015"/>
    <s v="Export Documentation"/>
    <s v="70271103"/>
    <s v="Senior Lead"/>
    <s v="Pune Facility"/>
    <s v="0035950020"/>
    <s v="Pune-F&amp;A"/>
    <s v="2000ESPF"/>
    <s v="0"/>
    <s v=""/>
    <s v="No"/>
    <s v="narayan.joshi@amns.in"/>
    <s v="9158895818"/>
    <s v="22065"/>
    <s v="Dhruv Vyas"/>
    <s v="Anil Matoo"/>
    <s v="Praveen Kuruvalli"/>
    <s v="Dhruv Vyas"/>
    <n v="0"/>
  </r>
  <r>
    <n v="2178"/>
    <n v="20036652"/>
    <s v="Sachin Shimpi"/>
    <s v="AM/NS India"/>
    <s v="Onroll"/>
    <s v="M-10"/>
    <n v="10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3"/>
    <s v="Accounts Payable"/>
    <s v="Pune AMNS"/>
    <d v="1977-07-12T00:00:00"/>
    <s v="46.02"/>
    <d v="2003-08-03T00:00:00"/>
    <d v="2035-07-31T00:00:00"/>
    <m/>
    <d v="2035-07-31T00:00:00"/>
    <n v="4332"/>
    <s v="A-"/>
    <s v="BCom-1999"/>
    <s v="00.07"/>
    <s v="20.01"/>
    <s v="20.08"/>
    <s v="73800027"/>
    <s v="Account Receivables"/>
    <s v="70319308"/>
    <s v="Lead"/>
    <s v="Pune Facility"/>
    <s v="0035950020"/>
    <s v="Pune-F&amp;A"/>
    <s v="2000ESPF"/>
    <s v="20037239"/>
    <s v="Prashant Shah"/>
    <s v="No"/>
    <s v="sachin.shimpi@amns.in"/>
    <s v="9850192331"/>
    <s v="24159"/>
    <s v="Dhruv Vyas"/>
    <s v="Anil Matoo"/>
    <s v="Praveen Kuruvalli"/>
    <s v="Dhruv Vyas"/>
    <n v="0"/>
  </r>
  <r>
    <n v="2179"/>
    <n v="20036653"/>
    <s v="Suryakant Mandalekar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Finance &amp; Accounts"/>
    <s v="Non Technical Support"/>
    <s v="Finance &amp; Accounts"/>
    <s v="Finance &amp; Accounts"/>
    <s v="73901003"/>
    <s v="Accounts Payable"/>
    <s v="Pune AMNS"/>
    <d v="1973-03-04T00:00:00"/>
    <s v="50.06"/>
    <d v="2003-09-23T00:00:00"/>
    <d v="2031-03-31T00:00:00"/>
    <m/>
    <d v="2031-03-31T00:00:00"/>
    <n v="2749"/>
    <s v="AB-"/>
    <s v="Diploma-2011 , MMS-2011 , Diploma Equiva"/>
    <s v="11.01"/>
    <s v="19.11"/>
    <s v="31.00"/>
    <s v="70418543"/>
    <s v="Finance Controller"/>
    <s v="70376888"/>
    <s v="Lead"/>
    <s v="Pune Facility"/>
    <s v="0035950020"/>
    <s v="Pune-F&amp;A"/>
    <s v="2000ESPF"/>
    <s v="0"/>
    <s v=""/>
    <s v="No"/>
    <s v="suryakant.mandalekar@amns.in"/>
    <s v="9420166909"/>
    <s v="22520"/>
    <s v="Dhruv Vyas"/>
    <s v="Anil Matoo"/>
    <s v="Praveen Kuruvalli"/>
    <s v="Dhruv Vyas"/>
    <n v="0"/>
  </r>
  <r>
    <n v="2194"/>
    <n v="20036674"/>
    <s v="Rahul Khule"/>
    <s v="AM/NS India"/>
    <s v="Onroll"/>
    <s v="M-11"/>
    <n v="11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Asst. 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78-08-22T00:00:00"/>
    <s v="45.00"/>
    <d v="2004-02-04T00:00:00"/>
    <d v="2036-08-31T00:00:00"/>
    <m/>
    <d v="2036-08-31T00:00:00"/>
    <n v="4729"/>
    <s v="B-"/>
    <s v="SSLC-1995"/>
    <s v="02.00"/>
    <s v="19.07"/>
    <s v="21.07"/>
    <s v="73800024"/>
    <s v="General Consumables"/>
    <s v="70319306"/>
    <s v="Asst. Section Officer"/>
    <s v="Pune Facility"/>
    <s v="0035950030"/>
    <s v="Pune - Stores"/>
    <s v="2000ESPF"/>
    <s v="20036403"/>
    <s v="Sanjay Kumbhar"/>
    <s v="Yes"/>
    <s v=""/>
    <s v="9822056554"/>
    <s v="827578"/>
    <s v="Dhruv Vyas"/>
    <s v="Anil Matoo"/>
    <s v="Praveen Kuruvalli"/>
    <s v="Dhruv Vyas"/>
    <n v="0"/>
  </r>
  <r>
    <n v="2242"/>
    <n v="20036748"/>
    <s v="Suresh Kadam"/>
    <s v="AM/NS India"/>
    <s v="Onroll"/>
    <s v="M-6"/>
    <n v="6"/>
    <m/>
    <s v="MM"/>
    <s v="M"/>
    <s v="Pune Facility"/>
    <n v="4"/>
    <s v="2023"/>
    <x v="6"/>
    <s v="24.08"/>
    <s v="Anil Matoo"/>
    <s v="Ashutosh Telang"/>
    <n v="6"/>
    <s v="HR &amp; Administration"/>
    <s v="Administration"/>
    <s v="24"/>
    <s v="Sr. Lead - Administration"/>
    <m/>
    <s v="Administration"/>
    <s v="Administration"/>
    <s v="Administration"/>
    <s v="Non Technical Support"/>
    <s v="Administration"/>
    <s v="Administration"/>
    <s v="74101001"/>
    <s v="Administration"/>
    <s v="Pune AMNS"/>
    <d v="1970-06-01T00:00:00"/>
    <s v="53.03"/>
    <d v="2005-04-11T00:00:00"/>
    <d v="2028-05-31T00:00:00"/>
    <m/>
    <d v="2028-05-31T00:00:00"/>
    <n v="1715"/>
    <s v="A-"/>
    <s v="BE-1993"/>
    <s v="09.01"/>
    <s v="18.05"/>
    <s v="27.06"/>
    <s v="73800072"/>
    <s v="Administration"/>
    <s v="70271104"/>
    <s v="Sr. Lead - Administration"/>
    <s v="Pune Facility"/>
    <s v="0035950019"/>
    <s v="Pune-Admin"/>
    <s v="2000ESPF"/>
    <s v="20037245"/>
    <s v="Mukund Jagirdar"/>
    <s v="No"/>
    <s v="suresh.kadam@amns.in"/>
    <s v="9158895880"/>
    <s v="22097"/>
    <s v="Dhruv Vyas"/>
    <s v="Anil Matoo"/>
    <s v="Praveen Kuruvalli"/>
    <s v="Dhruv Vyas"/>
    <n v="0"/>
  </r>
  <r>
    <n v="2243"/>
    <n v="20036749"/>
    <s v="Uday Dhamale"/>
    <s v="AM/NS India"/>
    <s v="Onroll"/>
    <s v="L-04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Asst.Store Keep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80-12-21T00:00:00"/>
    <s v="42.09"/>
    <d v="2005-04-12T00:00:00"/>
    <d v="2038-12-31T00:00:00"/>
    <m/>
    <d v="2038-12-31T00:00:00"/>
    <n v="5581"/>
    <s v="O-"/>
    <s v="BCom-2010 , MBA-2010"/>
    <s v="02.11"/>
    <s v="18.05"/>
    <s v="21.04"/>
    <s v="73800023"/>
    <s v="Raw Materials"/>
    <s v="73800048"/>
    <s v="Asst.Store Keeper"/>
    <s v="Pune Facility"/>
    <s v="0035950030"/>
    <s v="Pune - Stores"/>
    <s v="2000ESPF"/>
    <s v="20036934"/>
    <s v="Atul Patwardhan"/>
    <s v="No"/>
    <s v="uday.dhamale@amns.in"/>
    <s v="9604373261"/>
    <s v="21642"/>
    <s v="Dhruv Vyas"/>
    <s v="Anil Matoo"/>
    <s v="Praveen Kuruvalli"/>
    <s v="Dhruv Vyas"/>
    <n v="0"/>
  </r>
  <r>
    <n v="2250"/>
    <n v="20036757"/>
    <s v="Milind Chavan"/>
    <s v="AM/NS India"/>
    <s v="Onroll"/>
    <s v="M-7"/>
    <n v="7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GST"/>
    <s v="Non Technical Support"/>
    <s v="Finance &amp; Accounts"/>
    <s v="Taxation"/>
    <s v="73904002"/>
    <s v="Indirect Taxation"/>
    <s v="Pune AMNS"/>
    <d v="1970-05-15T00:00:00"/>
    <s v="53.04"/>
    <d v="2005-06-13T00:00:00"/>
    <d v="2028-05-31T00:00:00"/>
    <m/>
    <d v="2028-05-31T00:00:00"/>
    <n v="1715"/>
    <s v="B-"/>
    <s v="Diploma Equivalent-2015 , MBA-2015 , Cer"/>
    <s v="05.11"/>
    <s v="18.03"/>
    <s v="24.02"/>
    <s v="73800067"/>
    <s v="Excise"/>
    <s v="70318872"/>
    <s v="Lead"/>
    <s v="Pune Facility"/>
    <s v="0035950020"/>
    <s v="Pune-F&amp;A"/>
    <s v="2000ESPF"/>
    <s v="20037274"/>
    <s v="Imtiyazkhan Pathan"/>
    <s v="No"/>
    <s v="milind.chavan@amns.in"/>
    <s v="9158895849"/>
    <s v="21392"/>
    <s v="Dhruv Vyas"/>
    <s v="Anil Matoo"/>
    <s v="Praveen Kuruvalli"/>
    <s v="Dhruv Vyas"/>
    <n v="0"/>
  </r>
  <r>
    <n v="2282"/>
    <n v="20036803"/>
    <s v="Vilas Walunj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ection Manager"/>
    <m/>
    <s v="Procurement"/>
    <s v="Service and Contract"/>
    <s v="Purchase"/>
    <s v="Non Technical Support"/>
    <s v="Commercial"/>
    <s v="Purchase"/>
    <s v="73804001"/>
    <s v="Purchase"/>
    <s v="Pune AMNS"/>
    <d v="1979-11-26T00:00:00"/>
    <s v="43.09"/>
    <d v="2006-01-06T00:00:00"/>
    <d v="2037-11-30T00:00:00"/>
    <m/>
    <d v="2037-11-30T00:00:00"/>
    <n v="5185"/>
    <s v="O-"/>
    <s v="BSc-2009 , Diploma-2009"/>
    <s v="01.09"/>
    <s v="17.08"/>
    <s v="19.05"/>
    <s v="73800002"/>
    <s v="Procurement - Pune Asset"/>
    <s v="70319260"/>
    <s v="Section Manager"/>
    <s v="Pune Facility"/>
    <s v="0035950041"/>
    <s v="Pune-Procurement"/>
    <s v="2000ESPF"/>
    <s v="20006536"/>
    <s v="Mahesh Salunke"/>
    <s v="No"/>
    <s v="vilas.walunj@amns.in"/>
    <s v="9158895843"/>
    <s v="24748"/>
    <s v="Dhruv Vyas"/>
    <s v="Anil Matoo"/>
    <s v="Praveen Kuruvalli"/>
    <s v="Dhruv Vyas"/>
    <n v="0"/>
  </r>
  <r>
    <n v="2300"/>
    <n v="20036827"/>
    <s v="Pritam Jagtap"/>
    <s v="AM/NS India"/>
    <s v="Onroll"/>
    <s v="L-05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ASST. SECTION OFFICER"/>
    <m/>
    <s v="Finance &amp; Accounts - Pune"/>
    <s v="Finance &amp; Accounts"/>
    <s v="GST"/>
    <s v="Non Technical Support"/>
    <s v="Projects"/>
    <s v="Projects"/>
    <s v="72103036"/>
    <s v="Projects"/>
    <s v="Pune Facility"/>
    <d v="1984-06-24T00:00:00"/>
    <s v="39.02"/>
    <d v="2006-04-04T00:00:00"/>
    <d v="2042-06-30T00:00:00"/>
    <m/>
    <d v="2042-06-30T00:00:00"/>
    <n v="6858"/>
    <s v="AB-"/>
    <s v="Post Diploma Course-2005 , MBA-2005 , MA"/>
    <s v="02.09"/>
    <s v="17.05"/>
    <s v="20.02"/>
    <s v="73800021"/>
    <s v="Excise"/>
    <s v="73800256"/>
    <s v="ASST. SECTION OFFICER"/>
    <s v="Pune Facility"/>
    <s v="0035950020"/>
    <s v="Pune-F&amp;A"/>
    <s v="2000ESPF"/>
    <s v="20037274"/>
    <s v="Imtiyazkhan Pathan"/>
    <s v="No"/>
    <s v="pritam.jagtap@amns.in"/>
    <s v="9960406661"/>
    <s v="21960"/>
    <s v="Dhruv Vyas"/>
    <s v="Anil Matoo"/>
    <s v="Praveen Kuruvalli"/>
    <s v="Dhruv Vyas"/>
    <n v="0"/>
  </r>
  <r>
    <n v="2302"/>
    <n v="20036829"/>
    <s v="Sunil Hawaldar"/>
    <s v="AM/NS India"/>
    <s v="Onroll"/>
    <s v="M-6"/>
    <n v="6"/>
    <m/>
    <s v="MM"/>
    <s v="M"/>
    <s v="Pune Facility"/>
    <n v="4"/>
    <s v="2043"/>
    <x v="3"/>
    <s v="31.01"/>
    <s v="Hrishikesh Kamat"/>
    <s v="Hrishikesh Kamat"/>
    <n v="7"/>
    <s v="Procurement"/>
    <s v="Procurement"/>
    <s v="31"/>
    <s v="Section In charge - Purchase"/>
    <m/>
    <s v="Procurement"/>
    <s v="Mechanical Spares"/>
    <s v="Mechanical Spares"/>
    <s v="Non Technical Support"/>
    <s v="Commercial"/>
    <s v="Purchase"/>
    <s v="73804001"/>
    <s v="Purchase"/>
    <s v="Pune AMNS"/>
    <d v="1973-09-23T00:00:00"/>
    <s v="49.11"/>
    <d v="2006-04-10T00:00:00"/>
    <d v="2031-09-30T00:00:00"/>
    <m/>
    <d v="2031-09-30T00:00:00"/>
    <n v="2932"/>
    <s v="A-"/>
    <s v="Diploma-2009 , Certificate-2009 , SSLC-1"/>
    <s v="10.06"/>
    <s v="17.05"/>
    <s v="27.11"/>
    <s v="73800002"/>
    <s v="Procurement - Pune Asset"/>
    <s v="70271117"/>
    <s v="Section In charge - Purchase"/>
    <s v="Pune Facility"/>
    <s v="0035950041"/>
    <s v="Pune-Procurement"/>
    <s v="2000ESPF"/>
    <s v="20006536"/>
    <s v="Mahesh Salunke"/>
    <s v="No"/>
    <s v="sunil.hawaldar@amns.in"/>
    <s v="9158895840"/>
    <s v="21906"/>
    <s v="Dhruv Vyas"/>
    <s v="Anil Matoo"/>
    <s v="Praveen Kuruvalli"/>
    <s v="Dhruv Vyas"/>
    <n v="0"/>
  </r>
  <r>
    <n v="2315"/>
    <n v="20036844"/>
    <s v="Santosh Kumar Pandey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ASST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80-01-30T00:00:00"/>
    <s v="43.07"/>
    <d v="2006-06-01T00:00:00"/>
    <d v="2038-01-31T00:00:00"/>
    <m/>
    <d v="2038-01-31T00:00:00"/>
    <n v="5247"/>
    <s v="B-"/>
    <s v="SSLC-1995"/>
    <s v=""/>
    <s v="17.03"/>
    <s v="17.03"/>
    <s v="73800072"/>
    <s v="Administration"/>
    <s v="73800315"/>
    <s v="ASST. SECTION OFFICER"/>
    <s v="Pune Facility"/>
    <s v="0035950019"/>
    <s v="Pune-Admin"/>
    <s v="2000ESPF"/>
    <s v="20036748"/>
    <s v="Suresh Kadam"/>
    <s v="No"/>
    <s v="santoshkumar.pandey@amns.in"/>
    <s v="9960770196"/>
    <s v="22935"/>
    <s v="Dhruv Vyas"/>
    <s v="Anil Matoo"/>
    <s v="Praveen Kuruvalli"/>
    <s v="Dhruv Vyas"/>
    <n v="0"/>
  </r>
  <r>
    <n v="2316"/>
    <n v="20036845"/>
    <s v="Rupchand Yadav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 Section Officer - Tra"/>
    <m/>
    <s v="Pune Operations"/>
    <s v="Transport"/>
    <s v="Transport"/>
    <s v="Non Technical Support"/>
    <s v="Administration"/>
    <s v="Travel Services"/>
    <s v="74106002"/>
    <s v="Transport Operations"/>
    <s v="Pune Facility"/>
    <d v="1975-05-05T00:00:00"/>
    <s v="48.04"/>
    <d v="2006-06-01T00:00:00"/>
    <d v="2033-05-31T00:00:00"/>
    <m/>
    <d v="2033-05-31T00:00:00"/>
    <n v="3541"/>
    <s v="O-"/>
    <s v="Intermediate-1993"/>
    <s v=""/>
    <s v="17.03"/>
    <s v="17.03"/>
    <s v="73800072"/>
    <s v="Administration"/>
    <s v="73800316"/>
    <s v="Jr. Section Officer - Tra"/>
    <s v="Pune Facility"/>
    <s v="0035950019"/>
    <s v="Pune-Admin"/>
    <s v="2000ESPF"/>
    <s v="20036748"/>
    <s v="Suresh Kadam"/>
    <s v="No"/>
    <s v="rupchand.yadav@amns.in"/>
    <s v="9421015349"/>
    <s v="24783"/>
    <s v="Dhruv Vyas"/>
    <s v="Anil Matoo"/>
    <s v="Praveen Kuruvalli"/>
    <s v="Dhruv Vyas"/>
    <n v="0"/>
  </r>
  <r>
    <n v="2329"/>
    <n v="20036863"/>
    <s v="Pradeep Kamble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Lead - Procurement"/>
    <m/>
    <s v="Procurement"/>
    <s v="Electrical Spares"/>
    <s v="Purchase"/>
    <s v="Non Technical Support"/>
    <s v="Commercial"/>
    <s v="Purchase"/>
    <s v="73804001"/>
    <s v="Purchase"/>
    <s v="Pune AMNS"/>
    <d v="1981-11-27T00:00:00"/>
    <s v="41.09"/>
    <d v="2006-07-03T00:00:00"/>
    <d v="2039-11-30T00:00:00"/>
    <m/>
    <d v="2039-11-30T00:00:00"/>
    <n v="5915"/>
    <s v="A-"/>
    <s v="Intermediate-2002 , BCom-2002"/>
    <s v="02.02"/>
    <s v="17.02"/>
    <s v="19.04"/>
    <s v="73800002"/>
    <s v="Procurement - Pune Asset"/>
    <s v="70273872"/>
    <s v="ASST. SECTION MANAGER"/>
    <s v="Pune Facility"/>
    <s v="0035950041"/>
    <s v="Pune-Procurement"/>
    <s v="2000ESPF"/>
    <s v="20006536"/>
    <s v="Mahesh Salunke"/>
    <s v="No"/>
    <s v="pradeep.kamble@amns.in"/>
    <s v="9158895846"/>
    <s v="22119"/>
    <s v="Dhruv Vyas"/>
    <s v="Anil Matoo"/>
    <s v="Praveen Kuruvalli"/>
    <s v="Dhruv Vyas"/>
    <n v="0"/>
  </r>
  <r>
    <n v="2333"/>
    <n v="20036873"/>
    <s v="Vrushali Nagare"/>
    <s v="AM/NS India"/>
    <s v="Onroll"/>
    <s v="M-8"/>
    <n v="8"/>
    <m/>
    <s v="JM"/>
    <s v="F"/>
    <s v="Pune Facility"/>
    <n v="4"/>
    <s v="2031"/>
    <x v="10"/>
    <s v="14.01"/>
    <s v="Ranjan Dhar"/>
    <s v="Alain Legrix De La Salle"/>
    <n v="3"/>
    <s v="Sales &amp; Marketing"/>
    <s v="Sales &amp; Marketing"/>
    <s v="14"/>
    <s v="Sr. Section Officer"/>
    <m/>
    <s v="Export"/>
    <s v="Export"/>
    <s v="Export"/>
    <s v="Non Technical Support"/>
    <s v="R&amp; D and QA/QC"/>
    <s v="QA &amp; QC"/>
    <s v="72103034"/>
    <s v="QA &amp; QC"/>
    <s v="Pune AMNS"/>
    <d v="1983-09-23T00:00:00"/>
    <s v="39.11"/>
    <d v="2006-08-01T00:00:00"/>
    <d v="2041-09-30T00:00:00"/>
    <m/>
    <d v="2041-09-30T00:00:00"/>
    <n v="6585"/>
    <s v="B-"/>
    <s v="BSc-2010 , PG Diploma in Management-2010"/>
    <s v="03.02"/>
    <s v="17.01"/>
    <s v="20.03"/>
    <s v="70495379"/>
    <s v="Chief Marketing Officer - AMNS ME FZE"/>
    <s v="73800161"/>
    <s v="KAM - Export Sales"/>
    <s v="Pune Facility"/>
    <s v="0035950028"/>
    <s v="Pune- QA/QC"/>
    <s v="2000ESPF"/>
    <s v="20055663"/>
    <s v="Karamath Syed"/>
    <s v="No"/>
    <s v="vrushali.nagare@amns.in"/>
    <s v="9158892124"/>
    <s v="22755"/>
    <s v="Dhruv Vyas"/>
    <s v="Anil Matoo"/>
    <s v="Praveen Kuruvalli"/>
    <s v="Dhruv Vyas"/>
    <n v="0"/>
  </r>
  <r>
    <n v="2348"/>
    <n v="20036894"/>
    <s v="Nand Kumar Jha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ection Engineer - Purchase"/>
    <m/>
    <s v="Procurement"/>
    <s v="Service and Contract"/>
    <s v="Purchase"/>
    <s v="Non Technical Support"/>
    <s v="Administration"/>
    <s v="Travel Services"/>
    <s v="74106002"/>
    <s v="Transport Operations"/>
    <s v="Pune AMNS"/>
    <d v="1968-10-02T00:00:00"/>
    <s v="54.11"/>
    <d v="2006-10-24T00:00:00"/>
    <d v="2026-10-31T00:00:00"/>
    <m/>
    <d v="2026-10-31T00:00:00"/>
    <n v="1137"/>
    <s v="B-"/>
    <s v="Certificate-2004 , Certificate-2004 , BT"/>
    <s v="30.00"/>
    <s v="16.10"/>
    <s v="46.11"/>
    <s v="73800002"/>
    <s v="Procurement - Pune Asset"/>
    <s v="70319669"/>
    <s v="Section Engineer - Purchase"/>
    <s v="Pune Facility"/>
    <s v="0035950041"/>
    <s v="Pune-Procurement"/>
    <s v="2000ESPF"/>
    <s v="20006536"/>
    <s v="Mahesh Salunke"/>
    <s v="No"/>
    <s v="nandkumar.jha@amns.in"/>
    <s v="9158895882"/>
    <s v="22032"/>
    <s v="Dhruv Vyas"/>
    <s v="Anil Matoo"/>
    <s v="Praveen Kuruvalli"/>
    <s v="Dhruv Vyas"/>
    <n v="0"/>
  </r>
  <r>
    <n v="2356"/>
    <n v="20036904"/>
    <s v="Prakash Gavhane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GST"/>
    <s v="Non Technical Support"/>
    <s v="Finance &amp; Accounts"/>
    <s v="Taxation"/>
    <s v="73904002"/>
    <s v="Indirect Taxation"/>
    <s v="Pune AMNS"/>
    <d v="1978-08-26T00:00:00"/>
    <s v="45.00"/>
    <d v="2006-12-01T00:00:00"/>
    <d v="2036-08-31T00:00:00"/>
    <m/>
    <d v="2036-08-31T00:00:00"/>
    <n v="4729"/>
    <s v="B-"/>
    <s v="BCom-2002"/>
    <s v="00.08"/>
    <s v="16.09"/>
    <s v="17.05"/>
    <s v="73800067"/>
    <s v="Excise"/>
    <s v="70376865"/>
    <s v="Lead"/>
    <s v="Pune Facility"/>
    <s v="0035950020"/>
    <s v="Pune-F&amp;A"/>
    <s v="2000ESPF"/>
    <s v="20036757"/>
    <s v="Milind Chavan"/>
    <s v="No"/>
    <s v="prakash.gavhane@amns.in"/>
    <s v="7798986819"/>
    <s v="21777"/>
    <s v="Dhruv Vyas"/>
    <s v="Anil Matoo"/>
    <s v="Praveen Kuruvalli"/>
    <s v="Dhruv Vyas"/>
    <n v="0"/>
  </r>
  <r>
    <n v="2358"/>
    <n v="20036908"/>
    <s v="Sachin Chavan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r. Section Officer"/>
    <m/>
    <s v="Procurement"/>
    <s v="Row materail and Consumables"/>
    <s v="Purchase"/>
    <s v="Non Technical Support"/>
    <s v="Commercial"/>
    <s v="Purchase"/>
    <s v="73804001"/>
    <s v="Purchase"/>
    <s v="Pune AMNS"/>
    <d v="1983-06-01T00:00:00"/>
    <s v="40.03"/>
    <d v="2006-12-25T00:00:00"/>
    <d v="2041-05-31T00:00:00"/>
    <m/>
    <d v="2041-05-31T00:00:00"/>
    <n v="6463"/>
    <s v="O-"/>
    <s v="BCom-2006 , MCom-2006"/>
    <s v=""/>
    <s v="16.08"/>
    <s v="16.08"/>
    <s v="73800002"/>
    <s v="Procurement - Pune Asset"/>
    <s v="70319270"/>
    <s v="Sr. Section Officer"/>
    <s v="Pune Facility"/>
    <s v="0035950041"/>
    <s v="Pune-Procurement"/>
    <s v="2000ESPF"/>
    <s v="20006536"/>
    <s v="Mahesh Salunke"/>
    <s v="No"/>
    <s v="sachin.chavan@amns.in"/>
    <s v="7798986811"/>
    <s v="21394"/>
    <s v="Dhruv Vyas"/>
    <s v="Anil Matoo"/>
    <s v="Praveen Kuruvalli"/>
    <s v="Dhruv Vyas"/>
    <n v="0"/>
  </r>
  <r>
    <n v="2371"/>
    <n v="20036929"/>
    <s v="Shiv Kumar Bharadwaj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West"/>
    <s v="Hypermart"/>
    <s v="Domestic"/>
    <s v="Non Technical Support"/>
    <s v="Sales &amp; Marketing"/>
    <s v="Sales"/>
    <s v="73104004"/>
    <s v="OEM Sales"/>
    <s v="Pune AMNS"/>
    <d v="1971-07-15T00:00:00"/>
    <s v="52.02"/>
    <d v="2007-02-12T00:00:00"/>
    <d v="2029-07-31T00:00:00"/>
    <m/>
    <d v="2029-07-31T00:00:00"/>
    <n v="2141"/>
    <s v="B-"/>
    <s v="BA-1994 , Diploma-1994"/>
    <s v="11.08"/>
    <s v="16.07"/>
    <s v="28.02"/>
    <s v="00048138"/>
    <s v="Hypermart west"/>
    <s v="70277711"/>
    <s v="Sales Manager - Hypermart"/>
    <s v="Pune Facility"/>
    <s v="0035950073"/>
    <s v="Pune - S&amp;D Export"/>
    <s v="2000ESPF"/>
    <s v="20056847"/>
    <s v="Vikas Chotia"/>
    <s v="No"/>
    <s v="shiv.bhardwaj@amns.in"/>
    <s v="9930136640"/>
    <s v="21232"/>
    <s v="Dhruv Vyas"/>
    <s v="Anil Matoo"/>
    <s v="Praveen Kuruvalli"/>
    <s v="Dhruv Vyas"/>
    <n v="0"/>
  </r>
  <r>
    <n v="2374"/>
    <n v="20036934"/>
    <s v="Atul Patwardhan"/>
    <s v="AM/NS India"/>
    <s v="Onroll"/>
    <s v="M-8"/>
    <n v="8"/>
    <m/>
    <s v="JM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MANAGER"/>
    <m/>
    <s v="Procurement"/>
    <s v="Stores &amp; Warehouse"/>
    <s v="Stores"/>
    <s v="Non Technical Support"/>
    <s v="Commercial"/>
    <s v="Stores &amp; Warehouse"/>
    <s v="73806001"/>
    <s v="Stores &amp; Warehouse"/>
    <s v="Pune Faci EStIL"/>
    <d v="1970-02-23T00:00:00"/>
    <s v="53.06"/>
    <d v="2007-02-20T00:00:00"/>
    <d v="2028-02-29T00:00:00"/>
    <m/>
    <d v="2028-02-29T00:00:00"/>
    <n v="1623"/>
    <s v="A-"/>
    <s v="MCom-1992"/>
    <s v="12.02"/>
    <s v="16.06"/>
    <s v="28.08"/>
    <s v="73800023"/>
    <s v="Raw Materials"/>
    <s v="73800045"/>
    <s v="SECTION MANAGER"/>
    <s v="Pune Facility"/>
    <s v="0035950030"/>
    <s v="Pune - Stores"/>
    <s v="2000ESPF"/>
    <s v="20006536"/>
    <s v="Mahesh Salunke"/>
    <s v="No"/>
    <s v="atul.patwardhan@amns.in"/>
    <s v="9158895928"/>
    <s v="23479"/>
    <s v="Dhruv Vyas"/>
    <s v="Anil Matoo"/>
    <s v="Praveen Kuruvalli"/>
    <s v="Dhruv Vyas"/>
    <n v="0"/>
  </r>
  <r>
    <n v="2378"/>
    <n v="20036940"/>
    <s v="Jyoti Phadtale"/>
    <s v="AM/NS India"/>
    <s v="Onroll"/>
    <s v="M-10"/>
    <n v="10"/>
    <m/>
    <s v="JM"/>
    <s v="F"/>
    <s v="Pune Facility"/>
    <n v="4"/>
    <s v="2043"/>
    <x v="3"/>
    <s v="31.01"/>
    <s v="Hrishikesh Kamat"/>
    <s v="Hrishikesh Kamat"/>
    <n v="7"/>
    <s v="Procurement"/>
    <s v="Procurement"/>
    <s v="31"/>
    <s v="Section Officer"/>
    <m/>
    <s v="Procurement"/>
    <s v="Service and Contract"/>
    <s v="Purchase"/>
    <s v="Non Technical Support"/>
    <s v="Finance &amp; Accounts"/>
    <s v="Finance &amp; Accounts"/>
    <s v="73901003"/>
    <s v="Accounts Payable"/>
    <s v="Pune AMNS"/>
    <d v="1981-02-24T00:00:00"/>
    <s v="42.06"/>
    <d v="2007-03-01T00:00:00"/>
    <d v="2039-02-28T00:00:00"/>
    <m/>
    <d v="2039-02-28T00:00:00"/>
    <n v="5640"/>
    <s v="O-"/>
    <s v="MCom-2005 , Certificate-2005 , BCom-2001"/>
    <s v="04.11"/>
    <s v="16.06"/>
    <s v="21.05"/>
    <s v="73800002"/>
    <s v="Procurement - Pune Asset"/>
    <s v="73800082"/>
    <s v="Section Officer"/>
    <s v="Pune Facility"/>
    <s v="0035950041"/>
    <s v="Pune-Procurement"/>
    <s v="2000ESPF"/>
    <s v="20006536"/>
    <s v="Mahesh Salunke"/>
    <s v="No"/>
    <s v="jyoti.gaware@amns.in"/>
    <s v="9158229060"/>
    <s v="21780"/>
    <s v="Dhruv Vyas"/>
    <s v="Anil Matoo"/>
    <s v="Praveen Kuruvalli"/>
    <s v="Dhruv Vyas"/>
    <n v="0"/>
  </r>
  <r>
    <n v="2379"/>
    <n v="20036941"/>
    <s v="Sagar Timbadia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Sr. Section Officer"/>
    <m/>
    <s v="Procurement"/>
    <s v="Mechanical Spares"/>
    <s v="Purchase"/>
    <s v="Non Technical Support"/>
    <s v="Commercial"/>
    <s v="Purchase"/>
    <s v="73804001"/>
    <s v="Purchase"/>
    <s v="Pune AMNS"/>
    <d v="1986-04-07T00:00:00"/>
    <s v="37.05"/>
    <d v="2007-03-01T00:00:00"/>
    <d v="2044-04-30T00:00:00"/>
    <m/>
    <d v="2044-04-30T00:00:00"/>
    <n v="7528"/>
    <s v="B-"/>
    <s v="BSc-2011 , Certificate-2011"/>
    <s v=""/>
    <s v="16.06"/>
    <s v="16.06"/>
    <s v="73800002"/>
    <s v="Procurement - Pune Asset"/>
    <s v="70273911"/>
    <s v="Sr. Section Officer"/>
    <s v="Pune Facility"/>
    <s v="0035950041"/>
    <s v="Pune-Procurement"/>
    <s v="2000ESPF"/>
    <s v="20006536"/>
    <s v="Mahesh Salunke"/>
    <s v="No"/>
    <s v="sagar.timbadia@amns.in"/>
    <s v="7798986812"/>
    <s v="24525"/>
    <s v="Dhruv Vyas"/>
    <s v="Anil Matoo"/>
    <s v="Praveen Kuruvalli"/>
    <s v="Dhruv Vyas"/>
    <n v="0"/>
  </r>
  <r>
    <n v="2402"/>
    <n v="20036977"/>
    <s v="Anisha Bansode"/>
    <s v="AM/NS India"/>
    <s v="Onroll"/>
    <s v="M-10"/>
    <n v="10"/>
    <m/>
    <s v="JM"/>
    <s v="F"/>
    <s v="Pune Facility"/>
    <n v="4"/>
    <s v="2023"/>
    <x v="6"/>
    <s v="24.08"/>
    <s v="Anil Matoo"/>
    <s v="Ashutosh Telang"/>
    <n v="6"/>
    <s v="HR &amp; Administration"/>
    <s v="Administration"/>
    <s v="24"/>
    <s v="Section Officer"/>
    <m/>
    <s v="Pune Operations"/>
    <s v="Administration"/>
    <s v="Front Office Services"/>
    <s v="Non Technical Support"/>
    <s v="Administration"/>
    <s v="Customer Operations"/>
    <s v="74102004"/>
    <s v="Front Office Services"/>
    <s v="Pune AMNS"/>
    <d v="1983-06-02T00:00:00"/>
    <s v="40.03"/>
    <d v="2007-06-25T00:00:00"/>
    <d v="2041-06-30T00:00:00"/>
    <m/>
    <d v="2041-06-30T00:00:00"/>
    <n v="6493"/>
    <s v="A-"/>
    <s v="BCom-2006"/>
    <s v="00.05"/>
    <s v="16.02"/>
    <s v="16.07"/>
    <s v="73800072"/>
    <s v="Administration"/>
    <s v="73800275"/>
    <s v="Section Officer"/>
    <s v="Pune Facility"/>
    <s v="0035950019"/>
    <s v="Pune-Admin"/>
    <s v="2000ESPF"/>
    <s v="20036748"/>
    <s v="Suresh Kadam"/>
    <s v="No"/>
    <s v="anisha.bansode@amns.in"/>
    <s v="9881397441"/>
    <s v="21162"/>
    <s v="Dhruv Vyas"/>
    <s v="Anil Matoo"/>
    <s v="Praveen Kuruvalli"/>
    <s v="Dhruv Vyas"/>
    <n v="0"/>
  </r>
  <r>
    <n v="2404"/>
    <n v="20036980"/>
    <s v="Vijay Nebapure"/>
    <s v="AM/NS India"/>
    <s v="Onroll"/>
    <s v="M-9"/>
    <n v="9"/>
    <m/>
    <s v="JM"/>
    <s v="M"/>
    <s v="Pune Facility"/>
    <n v="4"/>
    <s v="2084"/>
    <x v="17"/>
    <s v="23.09"/>
    <s v="Anil Matoo"/>
    <s v="Ashutosh Telang"/>
    <n v="6"/>
    <s v="HR &amp; Administration"/>
    <s v="Industrial Relations"/>
    <s v="23"/>
    <s v="Section Officer"/>
    <m/>
    <s v="Pune Operations"/>
    <s v="Administration"/>
    <s v="Welfer Officer"/>
    <s v="Non Technical Support"/>
    <s v="Human Resources Management"/>
    <s v="Payroll Shared Services"/>
    <s v="73509002"/>
    <s v="Payroll Administration"/>
    <s v="Pune AMNS"/>
    <d v="1982-06-12T00:00:00"/>
    <s v="41.03"/>
    <d v="2007-07-02T00:00:00"/>
    <d v="2040-06-30T00:00:00"/>
    <m/>
    <d v="2040-06-30T00:00:00"/>
    <n v="6128"/>
    <s v="AB-"/>
    <s v="MA-2013 , MPM-2013"/>
    <s v="03.00"/>
    <s v="16.02"/>
    <s v="19.02"/>
    <s v="73800070"/>
    <s v="Industrial Relations &amp; Pa"/>
    <s v="70376876"/>
    <s v="Section Officer"/>
    <s v="Pune Facility"/>
    <s v="0035950019"/>
    <s v="Pune-Admin"/>
    <s v="2000ESPF"/>
    <s v="20036591"/>
    <s v="Deepak Nikumbh"/>
    <s v="No"/>
    <s v="vijay.nebapure@amns.in"/>
    <s v="9158895144"/>
    <s v="22827"/>
    <s v="Dhruv Vyas"/>
    <s v="Anil Matoo"/>
    <s v="Praveen Kuruvalli"/>
    <s v="Dhruv Vyas"/>
    <n v="0"/>
  </r>
  <r>
    <n v="2418"/>
    <n v="20037003"/>
    <s v="Sandip Deshmukh"/>
    <s v="AM/NS India"/>
    <s v="Onroll"/>
    <s v="L-05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82-06-01T00:00:00"/>
    <s v="41.03"/>
    <d v="2007-08-11T00:00:00"/>
    <d v="2040-05-31T00:00:00"/>
    <m/>
    <d v="2040-05-31T00:00:00"/>
    <n v="6098"/>
    <s v="A-"/>
    <s v="BA-2008 , Certificate-2008 , Certificate"/>
    <s v="03.01"/>
    <s v="16.01"/>
    <s v="19.02"/>
    <s v="73800023"/>
    <s v="Raw Materials"/>
    <s v="70273912"/>
    <s v="SECTION OFFICER"/>
    <s v="Pune Facility"/>
    <s v="0035950030"/>
    <s v="Pune - Stores"/>
    <s v="2000ESPF"/>
    <s v="20036934"/>
    <s v="Atul Patwardhan"/>
    <s v="No"/>
    <s v="sandip.deshmukh@amns.in"/>
    <s v="8108098084"/>
    <s v="21618"/>
    <s v="Dhruv Vyas"/>
    <s v="Anil Matoo"/>
    <s v="Praveen Kuruvalli"/>
    <s v="Dhruv Vyas"/>
    <n v="0"/>
  </r>
  <r>
    <n v="2425"/>
    <n v="20037017"/>
    <s v="Manisha Raut"/>
    <s v="AM/NS India"/>
    <s v="Onroll"/>
    <s v="M-10"/>
    <n v="10"/>
    <m/>
    <s v="JM"/>
    <s v="F"/>
    <s v="Pune Facility"/>
    <n v="4"/>
    <s v="2023"/>
    <x v="6"/>
    <s v="24.08"/>
    <s v="Anil Matoo"/>
    <s v="Ashutosh Telang"/>
    <n v="6"/>
    <s v="HR &amp; Administration"/>
    <s v="Administration"/>
    <s v="24"/>
    <s v="Section Officer"/>
    <m/>
    <s v="Pune Operations"/>
    <s v="Administration"/>
    <s v="Admin &amp; Front Office Services"/>
    <s v="Non Technical Support"/>
    <s v="Administration"/>
    <s v="Customer Operations"/>
    <s v="74102004"/>
    <s v="Front Office Services"/>
    <s v="Pune AMNS"/>
    <d v="1974-09-26T00:00:00"/>
    <s v="48.11"/>
    <d v="2007-09-04T00:00:00"/>
    <d v="2032-09-30T00:00:00"/>
    <m/>
    <d v="2032-09-30T00:00:00"/>
    <n v="3298"/>
    <s v="B-"/>
    <s v="Intermediate-1993"/>
    <s v="02.09"/>
    <s v="16.00"/>
    <s v="18.09"/>
    <s v="73800072"/>
    <s v="Administration"/>
    <s v="70376861"/>
    <s v="Section Officer"/>
    <s v="Pune Facility"/>
    <s v="0035950019"/>
    <s v="Pune-Admin"/>
    <s v="2000ESPF"/>
    <s v="20036748"/>
    <s v="Suresh Kadam"/>
    <s v="No"/>
    <s v="manisha.raut@amns.in"/>
    <s v="9158895754"/>
    <s v="23755"/>
    <s v="Dhruv Vyas"/>
    <s v="Anil Matoo"/>
    <s v="Praveen Kuruvalli"/>
    <s v="Dhruv Vyas"/>
    <n v="0"/>
  </r>
  <r>
    <n v="2426"/>
    <n v="20037020"/>
    <s v="Shripad Sudame"/>
    <s v="AM/NS India"/>
    <s v="Onroll"/>
    <s v="M-9"/>
    <n v="9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Lead"/>
    <m/>
    <s v="Stores &amp; Warehouse"/>
    <s v="Stores &amp; Warehouse"/>
    <s v="Documentation"/>
    <s v="Non Technical Support"/>
    <s v="Finance &amp; Accounts"/>
    <s v="Finance &amp; Accounts"/>
    <s v="73901003"/>
    <s v="Accounts Payable"/>
    <s v="Pune AMNS"/>
    <d v="1968-12-23T00:00:00"/>
    <s v="54.08"/>
    <d v="2007-09-19T00:00:00"/>
    <d v="2026-12-31T00:00:00"/>
    <m/>
    <d v="2026-12-31T00:00:00"/>
    <n v="1198"/>
    <s v="A-"/>
    <s v="BCom-1991"/>
    <s v="15.11"/>
    <s v="16.00"/>
    <s v="31.10"/>
    <s v="73800023"/>
    <s v="Raw Materials"/>
    <s v="70376866"/>
    <s v="Lead"/>
    <s v="Pune Facility"/>
    <s v="0035950020"/>
    <s v="Pune-F&amp;A"/>
    <s v="2000ESPF"/>
    <s v="20036934"/>
    <s v="Atul Patwardhan"/>
    <s v="No"/>
    <s v="shripad.sudame@amns.in"/>
    <s v="9922913610"/>
    <s v="24377"/>
    <s v="Dhruv Vyas"/>
    <s v="Anil Matoo"/>
    <s v="Praveen Kuruvalli"/>
    <s v="Dhruv Vyas"/>
    <n v="0"/>
  </r>
  <r>
    <n v="2439"/>
    <n v="20037044"/>
    <s v="Vikas Ahankari"/>
    <s v="AM/NS India"/>
    <s v="Onroll"/>
    <s v="M-6"/>
    <n v="6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West"/>
    <s v="Hypermart"/>
    <s v="National Sales"/>
    <s v="Non Technical Support"/>
    <s v="Sales &amp; Marketing"/>
    <s v="Sales"/>
    <s v="73104004"/>
    <s v="OEM Sales"/>
    <s v="Pune AMNS"/>
    <d v="1978-05-20T00:00:00"/>
    <s v="45.04"/>
    <d v="2008-01-21T00:00:00"/>
    <d v="2036-05-31T00:00:00"/>
    <m/>
    <d v="2036-05-31T00:00:00"/>
    <n v="4637"/>
    <s v="A-"/>
    <s v="BE-1999"/>
    <s v="05.10"/>
    <s v="15.07"/>
    <s v="21.05"/>
    <s v="00048138"/>
    <s v="Hypermart west"/>
    <s v="70271023"/>
    <s v="Sales Manager - Hypermart"/>
    <s v="Pune Facility"/>
    <s v="0035950073"/>
    <s v="Pune - S&amp;D Export"/>
    <s v="2000ESPF"/>
    <s v="20056847"/>
    <s v="Vikas Chotia"/>
    <s v="No"/>
    <s v="vikas.ahankari@amns.in"/>
    <s v="9930136637"/>
    <s v="21041"/>
    <s v="Dhruv Vyas"/>
    <s v="Anil Matoo"/>
    <s v="Praveen Kuruvalli"/>
    <s v="Dhruv Vyas"/>
    <n v="0"/>
  </r>
  <r>
    <n v="2447"/>
    <n v="20037068"/>
    <s v="Ishwar Pingale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78-06-06T00:00:00"/>
    <s v="45.03"/>
    <d v="2008-03-20T00:00:00"/>
    <d v="2036-06-30T00:00:00"/>
    <m/>
    <d v="2036-06-30T00:00:00"/>
    <n v="4667"/>
    <s v="B-"/>
    <s v="MBA-2010 , BA-2010"/>
    <s v="02.05"/>
    <s v="15.06"/>
    <s v="17.10"/>
    <s v="73800024"/>
    <s v="General Consumables"/>
    <s v="70273914"/>
    <s v="Section Officer"/>
    <s v="Pune Facility"/>
    <s v="0035950030"/>
    <s v="Pune - Stores"/>
    <s v="2000ESPF"/>
    <s v="20036403"/>
    <s v="Sanjay Kumbhar"/>
    <s v="No"/>
    <s v="ishwar.pingale@amns.in"/>
    <s v="9604378396"/>
    <s v="23502"/>
    <s v="Dhruv Vyas"/>
    <s v="Anil Matoo"/>
    <s v="Praveen Kuruvalli"/>
    <s v="Dhruv Vyas"/>
    <n v="0"/>
  </r>
  <r>
    <n v="2449"/>
    <n v="20037070"/>
    <s v="Juber Shaikh"/>
    <s v="AM/NS India"/>
    <s v="Onroll"/>
    <s v="L-05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Asst.Indirect Tax"/>
    <m/>
    <s v="Finance &amp; Accounts - Pune"/>
    <s v="Finance &amp; Accounts"/>
    <s v="GST"/>
    <s v="Non Technical Support"/>
    <s v="Finance &amp; Accounts"/>
    <s v="Taxation"/>
    <s v="73904002"/>
    <s v="Indirect Taxation"/>
    <s v="Pune Facility"/>
    <d v="1986-01-20T00:00:00"/>
    <s v="37.07"/>
    <d v="2008-04-01T00:00:00"/>
    <d v="2044-01-31T00:00:00"/>
    <m/>
    <d v="2044-01-31T00:00:00"/>
    <n v="7438"/>
    <s v="O-"/>
    <s v="BCom-2006"/>
    <s v="00.03"/>
    <s v="15.05"/>
    <s v="15.08"/>
    <s v="73800021"/>
    <s v="Excise"/>
    <s v="70273915"/>
    <s v="Asst.Indirect Tax"/>
    <s v="Pune Facility"/>
    <s v="0035950020"/>
    <s v="Pune-F&amp;A"/>
    <s v="2000ESPF"/>
    <s v="20037274"/>
    <s v="Imtiyazkhan Pathan"/>
    <s v="No"/>
    <s v="juber.shaikh@amns.in"/>
    <s v="8552938899"/>
    <s v="24063"/>
    <s v="Dhruv Vyas"/>
    <s v="Anil Matoo"/>
    <s v="Praveen Kuruvalli"/>
    <s v="Dhruv Vyas"/>
    <n v="0"/>
  </r>
  <r>
    <n v="2450"/>
    <n v="20037071"/>
    <s v="Amit Chandaliya"/>
    <s v="AM/NS India"/>
    <s v="Onroll"/>
    <s v="M-4"/>
    <n v="4"/>
    <m/>
    <s v="S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Export Sales"/>
    <m/>
    <s v="Coated Sales"/>
    <s v="Coated Sales"/>
    <s v=""/>
    <s v="Non Technical Support"/>
    <s v="Sales &amp; Marketing"/>
    <s v="Sales"/>
    <s v="73104004"/>
    <s v="OEM Sales"/>
    <s v="Mumbai"/>
    <d v="1984-05-14T00:00:00"/>
    <s v="39.04"/>
    <d v="2008-04-01T00:00:00"/>
    <d v="2042-05-31T00:00:00"/>
    <m/>
    <d v="2042-05-31T00:00:00"/>
    <n v="6828"/>
    <s v="A-"/>
    <s v="B Pharma-2008 , PG Diploma-2008"/>
    <s v=""/>
    <s v="15.05"/>
    <s v="15.05"/>
    <s v="00043882"/>
    <s v="International Sales"/>
    <s v="70372450"/>
    <s v="Head Coated Sales"/>
    <s v="Hazira"/>
    <s v="0031950057"/>
    <s v="HZ-HRC - Marketing"/>
    <s v="2000HWO"/>
    <s v="20007104"/>
    <s v="Ranjan Dhar"/>
    <s v="No"/>
    <s v="amit.chandaliya@amns.in"/>
    <s v="9930136644"/>
    <s v="21339"/>
    <s v="Dhruv Vyas"/>
    <s v="Anil Matoo"/>
    <s v="Praveen Kuruvalli"/>
    <s v="Dhruv Vyas"/>
    <n v="0"/>
  </r>
  <r>
    <n v="2452"/>
    <n v="20037074"/>
    <s v="Balasaheb Mahale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69-06-06T00:00:00"/>
    <s v="54.03"/>
    <d v="2008-04-02T00:00:00"/>
    <d v="2027-06-30T00:00:00"/>
    <m/>
    <d v="2027-06-30T00:00:00"/>
    <n v="1379"/>
    <s v="O-"/>
    <s v="BCom-1991"/>
    <s v="15.02"/>
    <s v="15.05"/>
    <s v="30.07"/>
    <s v="73800024"/>
    <s v="General Consumables"/>
    <s v="70319307"/>
    <s v="Section Officer"/>
    <s v="Pune Facility"/>
    <s v="0035950030"/>
    <s v="Pune - Stores"/>
    <s v="2000ESPF"/>
    <s v="20036403"/>
    <s v="Sanjay Kumbhar"/>
    <s v="No"/>
    <s v="balasaheb.mahale@amns.in"/>
    <s v="9766654569"/>
    <s v="22466"/>
    <s v="Dhruv Vyas"/>
    <s v="Anil Matoo"/>
    <s v="Praveen Kuruvalli"/>
    <s v="Dhruv Vyas"/>
    <n v="0"/>
  </r>
  <r>
    <n v="2455"/>
    <n v="20037079"/>
    <s v="Prashant Zalke"/>
    <s v="AM/NS India"/>
    <s v="Onroll"/>
    <s v="M-9"/>
    <n v="9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Sr. Section Officer"/>
    <m/>
    <s v="West"/>
    <s v="Hypermart"/>
    <s v="Domestic"/>
    <s v="Non Technical Support"/>
    <s v="Sales &amp; Marketing"/>
    <s v="Sales &amp; Marketing"/>
    <s v="73101001"/>
    <s v="Sales &amp; Marketing"/>
    <s v="Pune AMNS"/>
    <d v="1981-07-23T00:00:00"/>
    <s v="42.01"/>
    <d v="2008-04-12T00:00:00"/>
    <d v="2039-07-31T00:00:00"/>
    <m/>
    <d v="2039-07-31T00:00:00"/>
    <n v="5793"/>
    <s v="B-"/>
    <s v="Intermediate-1999"/>
    <s v="01.04"/>
    <s v="15.05"/>
    <s v="16.09"/>
    <s v="00048138"/>
    <s v="Hypermart west"/>
    <s v="70277713"/>
    <s v="Sales Manager - Hypermart"/>
    <s v="Pune Facility"/>
    <s v="0035950073"/>
    <s v="Pune - S&amp;D Export"/>
    <s v="2000ESPF"/>
    <s v="20056847"/>
    <s v="Vikas Chotia"/>
    <s v="No"/>
    <s v="prashant.zalke@amns.in"/>
    <s v="9158895817"/>
    <s v="24808"/>
    <s v="Dhruv Vyas"/>
    <s v="Anil Matoo"/>
    <s v="Praveen Kuruvalli"/>
    <s v="Dhruv Vyas"/>
    <n v="0"/>
  </r>
  <r>
    <n v="2456"/>
    <n v="20037081"/>
    <s v="Savio Lainez"/>
    <s v="AM/NS India"/>
    <s v="Onroll"/>
    <s v="M-4"/>
    <n v="4"/>
    <m/>
    <s v="S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Head - Sales &amp; Marketing, Pune"/>
    <m/>
    <s v="Coated Sales"/>
    <s v="National Sales"/>
    <s v="National Sales"/>
    <s v="Non Technical Support"/>
    <s v="Human Resources Management"/>
    <s v="Human Resources Management"/>
    <s v="73501001"/>
    <s v="Human Resources"/>
    <s v="Mumbai"/>
    <d v="1966-07-14T00:00:00"/>
    <s v="57.02"/>
    <d v="2008-04-24T00:00:00"/>
    <d v="2024-07-31T00:00:00"/>
    <m/>
    <d v="2024-07-31T00:00:00"/>
    <n v="315"/>
    <s v="A-"/>
    <s v="BSc-1993 , Diploma Equivalent-1993"/>
    <s v="20.07"/>
    <s v="15.04"/>
    <s v="35.11"/>
    <s v="70265784"/>
    <s v="Sales &amp; Marketing - Pune Asset"/>
    <s v="73800222"/>
    <s v="Head - Sales &amp; Marketing, Pune"/>
    <s v="Pune Facility"/>
    <s v="0035950073"/>
    <s v="Pune - S&amp;D Export"/>
    <s v="2000ESPF"/>
    <s v="20055091"/>
    <s v="Akshaya Gujral"/>
    <s v="No"/>
    <s v="savio.lainez@amns.in"/>
    <s v="9930136635"/>
    <s v="22414"/>
    <s v="Dhruv Vyas"/>
    <s v="Anil Matoo"/>
    <s v="Praveen Kuruvalli"/>
    <s v="Dhruv Vyas"/>
    <n v="0"/>
  </r>
  <r>
    <n v="2457"/>
    <n v="20037086"/>
    <s v="Ganesh Gaikwad"/>
    <s v="AM/NS India"/>
    <s v="Onroll"/>
    <s v="L-05"/>
    <n v="15"/>
    <m/>
    <s v="Blue Collar"/>
    <s v="M"/>
    <s v="Pune Facility"/>
    <n v="4"/>
    <s v="2013"/>
    <x v="0"/>
    <s v="20.01"/>
    <s v="Akiyo Omori"/>
    <s v="Amit Harlalka"/>
    <n v="5"/>
    <s v="Finance &amp; Accounts"/>
    <s v="Finance &amp; Accounts"/>
    <s v="20"/>
    <s v="Asst.Indirect Tax"/>
    <m/>
    <s v="Finance &amp; Accounts - Pune"/>
    <s v="Finance &amp; Accounts"/>
    <s v="EXIM &amp; Custom"/>
    <s v="Non Technical Support"/>
    <s v="Finance &amp; Accounts"/>
    <s v="Taxation"/>
    <s v="73904002"/>
    <s v="Indirect Taxation"/>
    <s v="Pune Facility"/>
    <d v="1987-06-26T00:00:00"/>
    <s v="36.02"/>
    <d v="2008-05-12T00:00:00"/>
    <d v="2045-06-30T00:00:00"/>
    <m/>
    <d v="2045-06-30T00:00:00"/>
    <n v="7954"/>
    <s v="A-"/>
    <s v="Intermediate-2005"/>
    <s v=""/>
    <s v="15.04"/>
    <s v="15.04"/>
    <s v="73800021"/>
    <s v="Excise"/>
    <s v="73800029"/>
    <s v="Asst.Indirect Tax"/>
    <s v="Pune Facility"/>
    <s v="0035950020"/>
    <s v="Pune-F&amp;A"/>
    <s v="2000ESPF"/>
    <s v="20037274"/>
    <s v="Imtiyazkhan Pathan"/>
    <s v="No"/>
    <s v="ganesh.gaikwad@amns.in"/>
    <s v="9823919399"/>
    <s v="21729"/>
    <s v="Dhruv Vyas"/>
    <s v="Anil Matoo"/>
    <s v="Praveen Kuruvalli"/>
    <s v="Dhruv Vyas"/>
    <n v="0"/>
  </r>
  <r>
    <n v="2458"/>
    <n v="20037087"/>
    <s v="Midhilesh Kumar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SECTION OFFICER"/>
    <m/>
    <s v="Export"/>
    <s v="Export"/>
    <s v="Export"/>
    <s v="Non Technical Support"/>
    <s v="Finance &amp; Accounts"/>
    <s v="Taxation"/>
    <s v="73904002"/>
    <s v="Indirect Taxation"/>
    <s v="Pune AMNS"/>
    <d v="1987-06-16T00:00:00"/>
    <s v="36.03"/>
    <d v="2008-05-12T00:00:00"/>
    <d v="2045-06-30T00:00:00"/>
    <m/>
    <d v="2045-06-30T00:00:00"/>
    <n v="7954"/>
    <s v="A-"/>
    <s v="Intermediate-2008 , Bachelor Equivalent-"/>
    <s v=""/>
    <s v="15.04"/>
    <s v="15.04"/>
    <s v="70495379"/>
    <s v="Chief Marketing Officer - AMNS ME FZE"/>
    <s v="70273916"/>
    <s v="KAM - Export Sales"/>
    <s v="Pune Facility"/>
    <s v="0035950073"/>
    <s v="Pune - S&amp;D Export"/>
    <s v="2000ESPF"/>
    <s v="20055663"/>
    <s v="Karamath Syed"/>
    <s v="No"/>
    <s v="midhilesh.kumar@amns.in"/>
    <s v="9158895082"/>
    <s v="22331"/>
    <s v="Dhruv Vyas"/>
    <s v="Anil Matoo"/>
    <s v="Praveen Kuruvalli"/>
    <s v="Dhruv Vyas"/>
    <n v="0"/>
  </r>
  <r>
    <n v="2466"/>
    <n v="20037100"/>
    <s v="Devendra Rathod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Finance &amp; Accounts"/>
    <s v="Non Technical Support"/>
    <s v="Finance &amp; Accounts"/>
    <s v="Treasury"/>
    <s v="73903001"/>
    <s v="Treasury"/>
    <s v="Mumbai"/>
    <d v="1974-10-02T00:00:00"/>
    <s v="48.11"/>
    <d v="2008-06-10T00:00:00"/>
    <d v="2032-10-31T00:00:00"/>
    <m/>
    <d v="2032-10-31T00:00:00"/>
    <n v="3329"/>
    <s v="AB-"/>
    <s v="Certificate-1998 , BCom-1998"/>
    <s v="11.02"/>
    <s v="15.03"/>
    <s v="26.05"/>
    <s v="70494410"/>
    <s v="Finance Controller 1"/>
    <s v="70376862"/>
    <s v="Lead"/>
    <s v="Pune Facility"/>
    <s v="0035950020"/>
    <s v="Pune-F&amp;A"/>
    <s v="2000ESPF"/>
    <s v="20007731"/>
    <s v="Ashish Mehta"/>
    <s v="No"/>
    <s v="devendra.rathod@amns.in"/>
    <s v="9769621236"/>
    <s v="23736"/>
    <s v="Dhruv Vyas"/>
    <s v="Anil Matoo"/>
    <s v="Praveen Kuruvalli"/>
    <s v="Dhruv Vyas"/>
    <n v="0"/>
  </r>
  <r>
    <n v="2491"/>
    <n v="20037138"/>
    <s v="Sanjay Chunekar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DY. SECTION MANAGER"/>
    <m/>
    <s v="Coated Sales"/>
    <s v="Coated Sales"/>
    <s v="Domestic"/>
    <s v="Non Technical Support"/>
    <s v="Sales &amp; Marketing"/>
    <s v="Sales"/>
    <s v="73104004"/>
    <s v="OEM Sales"/>
    <s v="Mumbai"/>
    <d v="1975-12-19T00:00:00"/>
    <s v="47.09"/>
    <d v="2008-07-14T00:00:00"/>
    <d v="2033-12-31T00:00:00"/>
    <m/>
    <d v="2033-12-31T00:00:00"/>
    <n v="3755"/>
    <s v="O-"/>
    <s v="BCom-1998"/>
    <s v="08.07"/>
    <s v="15.02"/>
    <s v="23.09"/>
    <s v="00043882"/>
    <s v="International Sales"/>
    <s v="70277712"/>
    <s v="KAM - Coated Sales"/>
    <s v="Pune Facility"/>
    <s v="0035950074"/>
    <s v="Pune - S&amp;d Domestic"/>
    <s v="2000ESPF"/>
    <s v="20037071"/>
    <s v="Amit Chandaliya"/>
    <s v="No"/>
    <s v="sanjay.chunekar@amns.in"/>
    <s v="9930134718"/>
    <s v="21443"/>
    <s v="Dhruv Vyas"/>
    <s v="Anil Matoo"/>
    <s v="Praveen Kuruvalli"/>
    <s v="Dhruv Vyas"/>
    <n v="0"/>
  </r>
  <r>
    <n v="2494"/>
    <n v="20037146"/>
    <s v="Neeta Satav"/>
    <s v="AM/NS India"/>
    <s v="Onroll"/>
    <s v="M-10"/>
    <n v="10"/>
    <m/>
    <s v="JM"/>
    <s v="F"/>
    <s v="Pune Facility"/>
    <n v="4"/>
    <s v="2015"/>
    <x v="1"/>
    <s v="22.06"/>
    <s v="Anil Matoo"/>
    <s v="Ashutosh Telang"/>
    <n v="6"/>
    <s v="HR &amp; Administration"/>
    <s v="Human Resources"/>
    <s v="22"/>
    <s v="Section Officer"/>
    <m/>
    <s v="Pune Operations"/>
    <s v="Administration"/>
    <s v="Recuritment"/>
    <s v="Non Technical Support"/>
    <s v="Human Resources Management"/>
    <s v="Compensation &amp; Benefits"/>
    <s v="73504001"/>
    <s v="Compensation &amp; Benefits"/>
    <s v="Pune AMNS"/>
    <d v="1986-08-06T00:00:00"/>
    <s v="37.01"/>
    <d v="2008-07-16T00:00:00"/>
    <d v="2044-08-31T00:00:00"/>
    <m/>
    <d v="2044-08-31T00:00:00"/>
    <n v="7651"/>
    <s v="AB-"/>
    <s v="Diploma-2008"/>
    <s v=""/>
    <s v="15.02"/>
    <s v="15.02"/>
    <s v="73800068"/>
    <s v="Pune HR Operations &amp; Administration"/>
    <s v="70415282"/>
    <s v="Section Officer"/>
    <s v="Pune Facility"/>
    <s v="0035950019"/>
    <s v="Pune-Admin"/>
    <s v="2000ESPF"/>
    <s v="20037245"/>
    <s v="Mukund Jagirdar"/>
    <s v="No"/>
    <s v="neeta.satav@amns.in"/>
    <s v="7875649364"/>
    <s v="23943"/>
    <s v="Dhruv Vyas"/>
    <s v="Anil Matoo"/>
    <s v="Praveen Kuruvalli"/>
    <s v="Dhruv Vyas"/>
    <n v="0"/>
  </r>
  <r>
    <n v="2509"/>
    <n v="20037177"/>
    <s v="Pradip Biswas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- Export Sales"/>
    <m/>
    <s v="Export"/>
    <s v="Export"/>
    <s v=""/>
    <s v="Non Technical Support"/>
    <s v="Sales &amp; Marketing"/>
    <s v="Sales"/>
    <s v="73104004"/>
    <s v="OEM Sales"/>
    <s v="Mumbai"/>
    <d v="1969-01-19T00:00:00"/>
    <s v="54.08"/>
    <d v="2008-08-11T00:00:00"/>
    <d v="2027-01-31T00:00:00"/>
    <m/>
    <d v="2027-01-31T00:00:00"/>
    <n v="1229"/>
    <s v="B-"/>
    <s v="Intermediate-1992 , BA-1992"/>
    <s v="16.02"/>
    <s v="15.01"/>
    <s v="31.03"/>
    <s v="70495379"/>
    <s v="Chief Marketing Officer - AMNS ME FZE"/>
    <s v="70336259"/>
    <s v="Sr. KAM - Export Sales"/>
    <s v="Hazira"/>
    <s v="0031950057"/>
    <s v="HZ-HRC - Marketing"/>
    <s v="2000HWO"/>
    <s v="20055663"/>
    <s v="Karamath Syed"/>
    <s v="No"/>
    <s v="pradip.biswas@amns.in"/>
    <s v="9930136642"/>
    <s v="21300"/>
    <s v="Dhruv Vyas"/>
    <s v="Anil Matoo"/>
    <s v="Praveen Kuruvalli"/>
    <s v="Dhruv Vyas"/>
    <n v="0"/>
  </r>
  <r>
    <n v="2511"/>
    <n v="20037180"/>
    <s v="Santosh Sathe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ASST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85-08-03T00:00:00"/>
    <s v="38.01"/>
    <d v="2008-08-18T00:00:00"/>
    <d v="2043-08-31T00:00:00"/>
    <m/>
    <d v="2043-08-31T00:00:00"/>
    <n v="7285"/>
    <s v="O-"/>
    <s v="Intermediate-2006 , Certificate-2006"/>
    <s v=""/>
    <s v="15.01"/>
    <s v="15.01"/>
    <s v="73800072"/>
    <s v="Administration"/>
    <s v="70376872"/>
    <s v="ASST. SECTION OFFICER"/>
    <s v="Pune Facility"/>
    <s v="0035950019"/>
    <s v="Pune-Admin"/>
    <s v="2000ESPF"/>
    <s v="20036748"/>
    <s v="Suresh Kadam"/>
    <s v="No"/>
    <s v="santosh.sathe@amns.in"/>
    <s v="9637040461"/>
    <s v="23950"/>
    <s v="Dhruv Vyas"/>
    <s v="Anil Matoo"/>
    <s v="Praveen Kuruvalli"/>
    <s v="Dhruv Vyas"/>
    <n v="0"/>
  </r>
  <r>
    <n v="2515"/>
    <n v="20037185"/>
    <s v="Shilpa Darekar"/>
    <s v="AM/NS India"/>
    <s v="Onroll"/>
    <s v="M-10"/>
    <n v="10"/>
    <m/>
    <s v="JM"/>
    <s v="F"/>
    <s v="Pune Facility"/>
    <n v="4"/>
    <s v="2023"/>
    <x v="6"/>
    <s v="24.08"/>
    <s v="Anil Matoo"/>
    <s v="Ashutosh Telang"/>
    <n v="6"/>
    <s v="HR &amp; Administration"/>
    <s v="Administration"/>
    <s v="24"/>
    <s v="Section Officer"/>
    <m/>
    <s v="Pune Operations"/>
    <s v="Administration"/>
    <s v="Admin. And Billing"/>
    <s v="Non Technical Support"/>
    <s v="Administration"/>
    <s v="Administration"/>
    <s v="74101001"/>
    <s v="Administration"/>
    <s v="Pune AMNS"/>
    <d v="1977-02-14T00:00:00"/>
    <s v="46.07"/>
    <d v="2008-08-25T00:00:00"/>
    <d v="2035-02-28T00:00:00"/>
    <m/>
    <d v="2035-02-28T00:00:00"/>
    <n v="4179"/>
    <s v="O-"/>
    <s v="BA-2002 , MA-2002 , Intermediate-1999"/>
    <s v=""/>
    <s v="15.00"/>
    <s v="15.00"/>
    <s v="73800072"/>
    <s v="Administration"/>
    <s v="73800272"/>
    <s v="Section Officer"/>
    <s v="Pune Facility"/>
    <s v="0035950019"/>
    <s v="Pune-Admin"/>
    <s v="2000ESPF"/>
    <s v="20036748"/>
    <s v="Suresh Kadam"/>
    <s v="No"/>
    <s v="shilpa.darekar@amns.in"/>
    <s v="8552987333"/>
    <s v="21497"/>
    <s v="Dhruv Vyas"/>
    <s v="Anil Matoo"/>
    <s v="Praveen Kuruvalli"/>
    <s v="Dhruv Vyas"/>
    <n v="0"/>
  </r>
  <r>
    <n v="2517"/>
    <n v="20037187"/>
    <s v="Ramhari Darekar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 Section Officer - Tra"/>
    <m/>
    <s v="Pune Operations"/>
    <s v="Transport"/>
    <s v="Transport"/>
    <s v="Non Technical Support"/>
    <s v="Administration"/>
    <s v="Travel Services"/>
    <s v="74106002"/>
    <s v="Transport Operations"/>
    <s v="Pune Facility"/>
    <d v="1985-08-11T00:00:00"/>
    <s v="38.01"/>
    <d v="2008-08-25T00:00:00"/>
    <d v="2043-08-31T00:00:00"/>
    <m/>
    <d v="2043-08-31T00:00:00"/>
    <n v="7285"/>
    <s v="O-"/>
    <s v="Non Matric-2000"/>
    <s v="02.01"/>
    <s v="15.00"/>
    <s v="17.01"/>
    <s v="73800072"/>
    <s v="Administration"/>
    <s v="73800314"/>
    <s v="Jr. Section Officer - Tra"/>
    <s v="Pune Facility"/>
    <s v="0035950019"/>
    <s v="Pune-Admin"/>
    <s v="2000ESPF"/>
    <s v="20036748"/>
    <s v="Suresh Kadam"/>
    <s v="No"/>
    <s v="ramhari.darekar@amns.in"/>
    <s v="9767784141"/>
    <s v="21492"/>
    <s v="Dhruv Vyas"/>
    <s v="Anil Matoo"/>
    <s v="Praveen Kuruvalli"/>
    <s v="Dhruv Vyas"/>
    <n v="0"/>
  </r>
  <r>
    <n v="2523"/>
    <n v="20037193"/>
    <s v="Pravin Darekar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ASST. SECTION OFFICER"/>
    <m/>
    <s v="Procurement"/>
    <s v="Stores &amp; Warehouse"/>
    <s v="Stores"/>
    <s v="Non Technical Support"/>
    <s v="Commercial"/>
    <s v="Stores &amp; Warehouse"/>
    <s v="73806001"/>
    <s v="Stores &amp; Warehouse"/>
    <s v="Pune Facility"/>
    <d v="1985-06-22T00:00:00"/>
    <s v="38.03"/>
    <d v="2008-09-03T00:00:00"/>
    <d v="2043-06-30T00:00:00"/>
    <m/>
    <d v="2043-06-30T00:00:00"/>
    <n v="7223"/>
    <s v="B-"/>
    <s v="NAC/NCVT/ITI-2002"/>
    <s v=""/>
    <s v="15.00"/>
    <s v="15.00"/>
    <s v="73800023"/>
    <s v="Raw Materials"/>
    <s v="70376868"/>
    <s v="ASST. SECTION OFFICER"/>
    <s v="Pune Facility"/>
    <s v="0035950030"/>
    <s v="Pune - Stores"/>
    <s v="2000ESPF"/>
    <s v="20036934"/>
    <s v="Atul Patwardhan"/>
    <s v="No"/>
    <s v="pravin.darekar@amns.in"/>
    <s v="9764616877"/>
    <s v="21488"/>
    <s v="Dhruv Vyas"/>
    <s v="Anil Matoo"/>
    <s v="Praveen Kuruvalli"/>
    <s v="Dhruv Vyas"/>
    <n v="0"/>
  </r>
  <r>
    <n v="2524"/>
    <n v="20037194"/>
    <s v="Subhash Bhandare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Jr. Section Officer - Tra"/>
    <m/>
    <s v="Pune Operations"/>
    <s v="Transport"/>
    <s v="Transport"/>
    <s v="Non Technical Support"/>
    <s v="Administration"/>
    <s v="Travel Services"/>
    <s v="74106002"/>
    <s v="Transport Operations"/>
    <s v="Pune Facility"/>
    <d v="1979-01-23T00:00:00"/>
    <s v="44.07"/>
    <d v="2008-09-03T00:00:00"/>
    <d v="2037-01-31T00:00:00"/>
    <m/>
    <d v="2037-01-31T00:00:00"/>
    <n v="4882"/>
    <s v="O-"/>
    <s v="Non Matric-1996"/>
    <s v="01.00"/>
    <s v="15.00"/>
    <s v="16.00"/>
    <s v="73800072"/>
    <s v="Administration"/>
    <s v="73800313"/>
    <s v="Jr. Section Officer - Tra"/>
    <s v="Pune Facility"/>
    <s v="0035950019"/>
    <s v="Pune-Admin"/>
    <s v="2000ESPF"/>
    <s v="20036748"/>
    <s v="Suresh Kadam"/>
    <s v="Yes"/>
    <s v="subhash.bhandare@amns.in"/>
    <s v="9623137854"/>
    <s v="21217"/>
    <s v="Dhruv Vyas"/>
    <s v="Anil Matoo"/>
    <s v="Praveen Kuruvalli"/>
    <s v="Dhruv Vyas"/>
    <n v="0"/>
  </r>
  <r>
    <n v="2525"/>
    <n v="20037195"/>
    <s v="Rahul Shamarav Darekar"/>
    <s v="AM/NS India"/>
    <s v="Onroll"/>
    <s v="L-06"/>
    <n v="15"/>
    <m/>
    <s v="Blue Collar"/>
    <s v="M"/>
    <s v="Pune Facility"/>
    <n v="4"/>
    <s v="2012"/>
    <x v="7"/>
    <s v="34.01"/>
    <s v="Mahesh Salunke"/>
    <s v="Hrishikesh Kamat"/>
    <n v="7"/>
    <s v="Procurement"/>
    <s v="Stores &amp; Warehouse"/>
    <s v="34"/>
    <s v="Jr. Section Officer - Mec"/>
    <m/>
    <s v="Procurement"/>
    <s v="Stores &amp; Warehouse"/>
    <s v="Stores"/>
    <s v="Non Technical Support"/>
    <s v="Operations"/>
    <s v="Plant Maintenance"/>
    <s v="72103008"/>
    <s v="Mechanical Maintenance"/>
    <s v="Pune Facility"/>
    <d v="1990-08-23T00:00:00"/>
    <s v="33.00"/>
    <d v="2008-09-03T00:00:00"/>
    <d v="2048-08-31T00:00:00"/>
    <m/>
    <d v="2048-08-31T00:00:00"/>
    <n v="9112"/>
    <s v="B-"/>
    <s v="SSLC-2007 , Certificate-2007"/>
    <s v=""/>
    <s v="15.00"/>
    <s v="15.00"/>
    <s v="73800023"/>
    <s v="Raw Materials"/>
    <s v="73800550"/>
    <s v="Jr. Section Officer - Mec"/>
    <s v="Pune Facility"/>
    <s v="0035950030"/>
    <s v="Pune - Stores"/>
    <s v="2000ESPF"/>
    <s v="20036934"/>
    <s v="Atul Patwardhan"/>
    <s v="No"/>
    <s v="rahul.darekar@amns.in"/>
    <s v="9860638400"/>
    <s v="21489"/>
    <s v="Dhruv Vyas"/>
    <s v="Anil Matoo"/>
    <s v="Praveen Kuruvalli"/>
    <s v="Dhruv Vyas"/>
    <n v="0"/>
  </r>
  <r>
    <n v="2527"/>
    <n v="20037199"/>
    <s v="Jaydeep Satpute"/>
    <s v="AM/NS India"/>
    <s v="Onroll"/>
    <s v="M-8"/>
    <n v="8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Accounts Payable"/>
    <s v="Non Technical Support"/>
    <s v="Finance &amp; Accounts"/>
    <s v="Finance &amp; Accounts"/>
    <s v="73901004"/>
    <s v="Accounts Receivables"/>
    <s v="Pune AMNS"/>
    <d v="1980-09-04T00:00:00"/>
    <s v="43.00"/>
    <d v="2008-09-01T00:00:00"/>
    <d v="2038-09-30T00:00:00"/>
    <m/>
    <d v="2038-09-30T00:00:00"/>
    <n v="5489"/>
    <s v="A-"/>
    <s v="Certificate-2011 , MBA-2011 , Post Diplo"/>
    <s v="06.08"/>
    <s v="15.00"/>
    <s v="21.08"/>
    <s v="70418544"/>
    <s v="Costing"/>
    <s v="73800076"/>
    <s v="Lead"/>
    <s v="Pune Facility"/>
    <s v="0035950020"/>
    <s v="Pune-F&amp;A"/>
    <s v="2000ESPF"/>
    <s v="20048971"/>
    <s v="Arindam Ganguly"/>
    <s v="No"/>
    <s v="jaydeep.satpute@amns.in"/>
    <s v="7588075421"/>
    <s v="23961"/>
    <s v="Dhruv Vyas"/>
    <s v="Anil Matoo"/>
    <s v="Praveen Kuruvalli"/>
    <s v="Dhruv Vyas"/>
    <n v="0"/>
  </r>
  <r>
    <n v="2531"/>
    <n v="20037204"/>
    <s v="Vinay Verenkar"/>
    <s v="AM/NS India"/>
    <s v="Onroll"/>
    <s v="M-8"/>
    <n v="8"/>
    <m/>
    <s v="JM"/>
    <s v="M"/>
    <s v="Pune Facility"/>
    <n v="4"/>
    <s v="2043"/>
    <x v="3"/>
    <s v="31.01"/>
    <s v="Hrishikesh Kamat"/>
    <s v="Hrishikesh Kamat"/>
    <n v="7"/>
    <s v="Procurement"/>
    <s v="Procurement"/>
    <s v="31"/>
    <s v="Lead"/>
    <m/>
    <s v="Procurement"/>
    <s v="Procurement"/>
    <s v="Procurement"/>
    <s v="Non Technical Support"/>
    <s v="Finance &amp; Accounts"/>
    <s v="Finance &amp; Accounts"/>
    <s v="73901003"/>
    <s v="Accounts Payable"/>
    <s v="Pune AMNS"/>
    <d v="1972-09-02T00:00:00"/>
    <s v="51.00"/>
    <d v="2008-09-15T00:00:00"/>
    <d v="2030-09-30T00:00:00"/>
    <m/>
    <d v="2030-09-30T00:00:00"/>
    <n v="2567"/>
    <s v="B-"/>
    <s v="Intermediate-1993 , BCom-1993"/>
    <s v="13.09"/>
    <s v="15.00"/>
    <s v="28.09"/>
    <s v="73800002"/>
    <s v="Procurement - Pune Asset"/>
    <s v="70319259"/>
    <s v="Lead"/>
    <s v="Pune Facility"/>
    <s v="0035950020"/>
    <s v="Pune-F&amp;A"/>
    <s v="2000ESPF"/>
    <s v="20006536"/>
    <s v="Mahesh Salunke"/>
    <s v="No"/>
    <s v="vinay.verenkar@amns.in"/>
    <s v="9923036976"/>
    <s v="24670"/>
    <s v="Dhruv Vyas"/>
    <s v="Anil Matoo"/>
    <s v="Praveen Kuruvalli"/>
    <s v="Dhruv Vyas"/>
    <n v="0"/>
  </r>
  <r>
    <n v="2532"/>
    <n v="20037206"/>
    <s v="Salim Shaikh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SR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71-07-01T00:00:00"/>
    <s v="52.02"/>
    <d v="2008-10-01T00:00:00"/>
    <d v="2029-06-30T00:00:00"/>
    <m/>
    <d v="2029-06-30T00:00:00"/>
    <n v="2110"/>
    <s v="B-"/>
    <s v="Non Matric-1980"/>
    <s v="17.00"/>
    <s v="14.11"/>
    <s v="31.11"/>
    <s v="73800072"/>
    <s v="Administration"/>
    <s v="73800302"/>
    <s v="SR. SECTION OFFICER"/>
    <s v="Pune Facility"/>
    <s v="0035950019"/>
    <s v="Pune-Admin"/>
    <s v="2000ESPF"/>
    <s v="20036748"/>
    <s v="Suresh Kadam"/>
    <s v="No"/>
    <s v="salim.shaikh1@amns.in"/>
    <s v="9763810633"/>
    <s v="24068"/>
    <s v="Dhruv Vyas"/>
    <s v="Anil Matoo"/>
    <s v="Praveen Kuruvalli"/>
    <s v="Dhruv Vyas"/>
    <n v="0"/>
  </r>
  <r>
    <n v="2537"/>
    <n v="20037219"/>
    <s v="Japani Ansari"/>
    <s v="AM/NS India"/>
    <s v="Onroll"/>
    <s v="L-06"/>
    <n v="15"/>
    <m/>
    <s v="Blue Collar"/>
    <s v="M"/>
    <s v="Pune Facility"/>
    <n v="4"/>
    <s v="2023"/>
    <x v="6"/>
    <s v="24.08"/>
    <s v="Anil Matoo"/>
    <s v="Ashutosh Telang"/>
    <n v="6"/>
    <s v="HR &amp; Administration"/>
    <s v="Administration"/>
    <s v="24"/>
    <s v="ASST. SECTION OFFICER"/>
    <m/>
    <s v="Pune Operations"/>
    <s v="Transport"/>
    <s v="Transport"/>
    <s v="Non Technical Support"/>
    <s v="Administration"/>
    <s v="Travel Services"/>
    <s v="74106002"/>
    <s v="Transport Operations"/>
    <s v="Pune Facility"/>
    <d v="1976-02-20T00:00:00"/>
    <s v="47.06"/>
    <d v="2008-12-01T00:00:00"/>
    <d v="2034-02-28T00:00:00"/>
    <m/>
    <d v="2034-02-28T00:00:00"/>
    <n v="3814"/>
    <s v="B-"/>
    <s v="Non Matric-1993"/>
    <s v="08.09"/>
    <s v="14.09"/>
    <s v="23.06"/>
    <s v="73800072"/>
    <s v="Administration"/>
    <s v="73800305"/>
    <s v="ASST. SECTION OFFICER"/>
    <s v="Pune Facility"/>
    <s v="0035950019"/>
    <s v="Pune-Admin"/>
    <s v="2000ESPF"/>
    <s v="20036748"/>
    <s v="Suresh Kadam"/>
    <s v="No"/>
    <s v="japani.ansari@amns.in"/>
    <s v="9730509425"/>
    <s v="21088"/>
    <s v="Dhruv Vyas"/>
    <s v="Anil Matoo"/>
    <s v="Praveen Kuruvalli"/>
    <s v="Dhruv Vyas"/>
    <n v="0"/>
  </r>
  <r>
    <n v="2541"/>
    <n v="20037239"/>
    <s v="Prashant Shah"/>
    <s v="AM/NS India"/>
    <s v="Onroll"/>
    <s v="M-6"/>
    <n v="6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nior Lead"/>
    <m/>
    <s v="Finance &amp; Accounts - Pune"/>
    <s v="Finance &amp; Accounts"/>
    <s v="Accounts Payable"/>
    <s v="Non Technical Support"/>
    <s v="Finance &amp; Accounts"/>
    <s v="Finance &amp; Accounts"/>
    <s v="73901004"/>
    <s v="Accounts Receivables"/>
    <s v="Pune AMNS"/>
    <d v="1975-05-10T00:00:00"/>
    <s v="48.04"/>
    <d v="2010-05-05T00:00:00"/>
    <d v="2033-05-31T00:00:00"/>
    <m/>
    <d v="2033-05-31T00:00:00"/>
    <n v="3541"/>
    <s v="A-"/>
    <s v="BSc-2003 , CA Final-2003"/>
    <s v="06.06"/>
    <s v="13.04"/>
    <s v="19.10"/>
    <s v="73800027"/>
    <s v="Account Receivables"/>
    <s v="70386110"/>
    <s v="Senior Lead"/>
    <s v="Pune Facility"/>
    <s v="0035950020"/>
    <s v="Pune-F&amp;A"/>
    <s v="2000ESPF"/>
    <s v="0"/>
    <s v=""/>
    <s v="No"/>
    <s v="prashant.shah@amns.in"/>
    <s v="7798986828"/>
    <s v="24029"/>
    <s v="Dhruv Vyas"/>
    <s v="Anil Matoo"/>
    <s v="Praveen Kuruvalli"/>
    <s v="Dhruv Vyas"/>
    <n v="0"/>
  </r>
  <r>
    <n v="2542"/>
    <n v="20037245"/>
    <s v="Mukund Jagirdar"/>
    <s v="AM/NS India"/>
    <s v="Onroll"/>
    <s v="M-3"/>
    <n v="3"/>
    <m/>
    <s v="SM"/>
    <s v="M"/>
    <s v="Pune Facility"/>
    <n v="4"/>
    <s v="2015"/>
    <x v="1"/>
    <s v="22.06"/>
    <s v="Anil Matoo"/>
    <s v="Ashutosh Telang"/>
    <n v="6"/>
    <s v="HR &amp; Administration"/>
    <s v="Human Resources"/>
    <s v="22"/>
    <s v="Head HR IR &amp; Admin - Pune Asset"/>
    <m/>
    <s v="Human Resources"/>
    <s v="HR,Admin &amp; IR"/>
    <s v="HR,Admin &amp; IR"/>
    <s v="Non Technical Support"/>
    <s v="Human Resources Management"/>
    <s v="Human Resources Management"/>
    <s v="73501001"/>
    <s v="Human Resources"/>
    <s v="Pune AMNS"/>
    <d v="1964-09-06T00:00:00"/>
    <s v="59.00"/>
    <d v="2010-10-18T00:00:00"/>
    <d v="2022-09-30T00:00:00"/>
    <d v="2024-09-30T00:00:00"/>
    <d v="2024-09-30T00:00:00"/>
    <n v="376"/>
    <s v="O-"/>
    <s v="Master's Equivalent-1999 , Diploma Equiv"/>
    <s v="21.02"/>
    <s v="12.11"/>
    <s v="34.00"/>
    <s v="73800068"/>
    <s v="Pune HR Operations &amp; Administration"/>
    <s v="70320203"/>
    <s v="Head HR IR &amp; Admin - Pune Asset"/>
    <s v="Pune Facility"/>
    <s v="0035950019"/>
    <s v="Pune-Admin"/>
    <s v="2000ESPF"/>
    <s v="20000083"/>
    <s v="Anil Matoo"/>
    <s v="No"/>
    <s v="mukund.jagirdar@amns.in"/>
    <s v="7875440661"/>
    <s v="21959"/>
    <s v="Dhruv Vyas"/>
    <s v="Anil Matoo"/>
    <s v="Praveen Kuruvalli"/>
    <s v="Dhruv Vyas"/>
    <n v="0"/>
  </r>
  <r>
    <n v="2545"/>
    <n v="20037274"/>
    <s v="Imtiyazkhan Pathan"/>
    <s v="AM/NS India"/>
    <s v="Onroll"/>
    <s v="M-7"/>
    <n v="7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ction Head– Indirect Taxation"/>
    <m/>
    <s v="Finance &amp; Accounts - Pune"/>
    <s v="Finance &amp; Accounts"/>
    <s v="Indirect Taxation"/>
    <s v="Non Technical Support"/>
    <s v="Finance &amp; Accounts"/>
    <s v="Taxation"/>
    <s v="73904002"/>
    <s v="Indirect Taxation"/>
    <s v="Pune AMNS"/>
    <d v="1964-06-01T00:00:00"/>
    <s v="59.03"/>
    <d v="1994-04-02T00:00:00"/>
    <d v="2022-05-31T00:00:00"/>
    <d v="2025-05-31T00:00:00"/>
    <d v="2025-05-31T00:00:00"/>
    <n v="619"/>
    <s v="B-"/>
    <s v="BCom-1988 , MCom-1988"/>
    <s v="01.06"/>
    <s v="29.05"/>
    <s v="30.11"/>
    <s v="73800021"/>
    <s v="Excise"/>
    <s v="70386113"/>
    <s v="Section Head– Indirect Taxation"/>
    <s v="Pune Facility"/>
    <s v="0035950020"/>
    <s v="Pune-F&amp;A"/>
    <s v="2000ESPF"/>
    <s v="20055188"/>
    <s v="Rohit Sharma"/>
    <s v="No"/>
    <s v="imtiyazkhan.pathan@amns.in"/>
    <s v="9158895848"/>
    <s v="23430"/>
    <s v="Dhruv Vyas"/>
    <s v="Anil Matoo"/>
    <s v="Praveen Kuruvalli"/>
    <s v="Dhruv Vyas"/>
    <n v="0"/>
  </r>
  <r>
    <n v="2546"/>
    <n v="20037277"/>
    <s v="Sripada Sailendra"/>
    <s v="AM/NS India"/>
    <s v="Onroll"/>
    <s v="M-6"/>
    <n v="6"/>
    <m/>
    <s v="M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Domestic Sales, Pune"/>
    <m/>
    <s v="South"/>
    <s v="OEM"/>
    <s v="Domestic"/>
    <s v="Non Technical Support"/>
    <s v="Sales &amp; Marketing"/>
    <s v="Sales"/>
    <s v="73104004"/>
    <s v="OEM Sales"/>
    <s v="Pune AMNS"/>
    <d v="1976-05-15T00:00:00"/>
    <s v="47.04"/>
    <d v="2007-05-26T00:00:00"/>
    <d v="2034-05-31T00:00:00"/>
    <m/>
    <d v="2034-05-31T00:00:00"/>
    <n v="3906"/>
    <s v="B-"/>
    <s v="MBA-2004 , PG Diploma-2004 , BSc-2000"/>
    <s v="06.04"/>
    <s v="16.03"/>
    <s v="22.07"/>
    <s v="00048814"/>
    <s v="Sales South Zone – Hypermart"/>
    <s v="70271027"/>
    <s v="Sales Manager - Hypermart"/>
    <s v="Pune Facility"/>
    <s v="0035950073"/>
    <s v="Pune - S&amp;D Export"/>
    <s v="2000ESPF"/>
    <s v="20056279"/>
    <s v="Arun G"/>
    <s v="No"/>
    <s v="sripada.sailendra@amns.in"/>
    <s v="9160887755"/>
    <s v="23873"/>
    <s v="Dhruv Vyas"/>
    <s v="Anil Matoo"/>
    <s v="Praveen Kuruvalli"/>
    <s v="Dhruv Vyas"/>
    <n v="0"/>
  </r>
  <r>
    <n v="2551"/>
    <n v="20037479"/>
    <s v="Suranjan Dasgupta"/>
    <s v="AM/NS India"/>
    <s v="Onroll"/>
    <s v="M-4"/>
    <n v="4"/>
    <m/>
    <s v="SM"/>
    <s v="M"/>
    <s v="Corporate"/>
    <n v="7"/>
    <s v="2039"/>
    <x v="2"/>
    <s v="43.01"/>
    <s v="Sangeeta Munjal"/>
    <s v="Manu Kapoor"/>
    <n v="10"/>
    <s v="Corporate Affairs"/>
    <s v="Corporate Affairs"/>
    <s v="43"/>
    <s v="Sr. Lead - Corporate Affairs"/>
    <m/>
    <s v="Corporate Affairs"/>
    <s v="Corporate Relations Group"/>
    <s v="Corporate Relations Group"/>
    <s v="Non Technical Support"/>
    <s v="Corporate Relations"/>
    <s v="Corporate Affairs"/>
    <s v="74501001"/>
    <s v="Corporate Affairs"/>
    <s v="Delhi"/>
    <d v="1971-05-21T00:00:00"/>
    <s v="52.03"/>
    <d v="2011-03-15T00:00:00"/>
    <d v="2029-05-31T00:00:00"/>
    <m/>
    <d v="2029-05-31T00:00:00"/>
    <n v="2080"/>
    <s v="O-"/>
    <s v="PG Diploma in Management-1993 , BCom-199"/>
    <s v="20.00"/>
    <s v="12.06"/>
    <s v="32.06"/>
    <s v="70494938"/>
    <s v="Corporate Affairs"/>
    <s v="70323867"/>
    <s v="JGM - Corporate Affairs"/>
    <s v="Corporate"/>
    <s v="0090000016"/>
    <s v="Corporate Steel - Co"/>
    <s v="2000CS"/>
    <s v="20057928"/>
    <s v="Manu Kapoor"/>
    <s v="No"/>
    <s v="suranjan.dasgupta@amns.in"/>
    <s v="8860641464"/>
    <s v="21529"/>
    <s v="Dhruv Vyas"/>
    <s v="Anil Matoo"/>
    <s v="Praveen Kuruvalli"/>
    <s v="Dhruv Vyas"/>
    <n v="0"/>
  </r>
  <r>
    <n v="2561"/>
    <n v="20037898"/>
    <s v="Sanjib Sinha"/>
    <s v="AM/NS India"/>
    <s v="Onroll"/>
    <s v="M-6"/>
    <n v="6"/>
    <m/>
    <s v="MM"/>
    <s v="M"/>
    <s v="Odisha"/>
    <n v="2"/>
    <s v="2095"/>
    <x v="4"/>
    <n v="36.01"/>
    <s v="Deepak Sindkar"/>
    <s v="Hrishikesh Kamat"/>
    <n v="7"/>
    <s v="Procurement"/>
    <s v="Raw Materials"/>
    <s v="36"/>
    <s v="Section Head - Raw Material Dabuna"/>
    <m/>
    <s v="Bulk Raw Materials"/>
    <s v="Bulck Raw Material"/>
    <s v="Bulck Raw Material"/>
    <s v="Non Technical Support"/>
    <s v="Sales &amp; Marketing"/>
    <s v="Business Development"/>
    <s v="73103001"/>
    <s v="Business Development"/>
    <s v="Dabuna"/>
    <d v="1960-12-25T00:00:00"/>
    <s v="62.08"/>
    <d v="2011-05-02T00:00:00"/>
    <d v="2018-12-31T00:00:00"/>
    <d v="2024-03-31T00:00:00"/>
    <d v="2024-03-31T00:00:00"/>
    <n v="193"/>
    <s v="A-"/>
    <s v="BSc-1989 , MSc-1989"/>
    <s v="21.11"/>
    <s v="12.04"/>
    <s v="34.03"/>
    <s v="70258505"/>
    <s v="Bulk Raw Material"/>
    <s v="70258514"/>
    <s v="Section Head - Raw Material Dabuna"/>
    <s v="Odisha"/>
    <s v="0022010019"/>
    <s v="DBN-Benf-HR/Admin"/>
    <s v="2000STORIS"/>
    <s v="20035527"/>
    <s v="Anil Patro"/>
    <s v="No"/>
    <s v="sanjib.sinha@amns.in"/>
    <s v="8599008447"/>
    <s v="24294"/>
    <s v="Sunila Das"/>
    <s v="Anil Matoo"/>
    <s v="Praveen Kuruvalli"/>
    <s v="Sunila Das"/>
    <n v="0"/>
  </r>
  <r>
    <n v="2563"/>
    <n v="20037995"/>
    <s v="Hitesh Shah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82-08-18T00:00:00"/>
    <s v="41.01"/>
    <d v="2011-05-09T00:00:00"/>
    <d v="2040-08-31T00:00:00"/>
    <m/>
    <d v="2040-08-31T00:00:00"/>
    <n v="6190"/>
    <s v="O+"/>
    <s v="CA Final-2005"/>
    <s v="04.08"/>
    <s v="12.04"/>
    <s v="17.00"/>
    <s v="70074192"/>
    <s v="Corporate Accounts"/>
    <s v="70386084"/>
    <s v="Sr. Lead - Corporate Accounts &amp; Audit"/>
    <s v="Hazira"/>
    <s v="0090000027"/>
    <s v="Corporate Steel - Ac"/>
    <s v="2000HWO"/>
    <s v="20007067"/>
    <s v="Gaurav Bhandari"/>
    <s v="No"/>
    <s v="hitesh.shah@amns.in"/>
    <s v="9879100888"/>
    <s v="24012"/>
    <s v="Dhruv Vyas"/>
    <s v="Anil Matoo"/>
    <s v="Praveen Kuruvalli"/>
    <s v="Dhruv Vyas"/>
    <n v="0"/>
  </r>
  <r>
    <n v="2566"/>
    <n v="20038232"/>
    <s v="Mukesh Maheshwari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-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71-07-08T00:00:00"/>
    <s v="52.02"/>
    <d v="2011-06-06T00:00:00"/>
    <d v="2029-07-31T00:00:00"/>
    <m/>
    <d v="2029-07-31T00:00:00"/>
    <n v="2141"/>
    <s v="O-"/>
    <s v="BCom-1991"/>
    <s v="17.02"/>
    <s v="12.03"/>
    <s v="29.05"/>
    <s v="70074192"/>
    <s v="Corporate Accounts"/>
    <s v="70226680"/>
    <s v="Lead-Corporate Accounts &amp; Audit"/>
    <s v="Hazira"/>
    <s v="0090000027"/>
    <s v="Corporate Steel - Ac"/>
    <s v="2000HWO"/>
    <s v="20007067"/>
    <s v="Gaurav Bhandari"/>
    <s v="No"/>
    <s v="mukesh.maheshwari@amns.in"/>
    <s v="9879102522"/>
    <s v="22476"/>
    <s v="Dhruv Vyas"/>
    <s v="Anil Matoo"/>
    <s v="Praveen Kuruvalli"/>
    <s v="Dhruv Vyas"/>
    <n v="0"/>
  </r>
  <r>
    <n v="2572"/>
    <n v="20038382"/>
    <s v="Natasha Fernandes"/>
    <s v="AM/NS India"/>
    <s v="Onroll"/>
    <s v="M-6"/>
    <n v="6"/>
    <m/>
    <s v="MM"/>
    <s v="F"/>
    <s v="Hazira"/>
    <n v="1"/>
    <s v="2015"/>
    <x v="1"/>
    <s v="22.06"/>
    <s v="Praveen Kuruvalli"/>
    <s v="Ashutosh Telang"/>
    <n v="6"/>
    <s v="HR &amp; Administration"/>
    <s v="Human Resources"/>
    <s v="22"/>
    <s v="Lead - Talent Acquisition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8-07-27T00:00:00"/>
    <s v="35.01"/>
    <d v="2011-06-13T00:00:00"/>
    <d v="2046-07-31T00:00:00"/>
    <m/>
    <d v="2046-07-31T00:00:00"/>
    <n v="8350"/>
    <s v="O-"/>
    <s v="BBA-2011 , MHRM-2011"/>
    <s v=""/>
    <s v="12.03"/>
    <s v="12.03"/>
    <s v="00051785"/>
    <s v="Hazira Project - Human Resources"/>
    <s v="70453202"/>
    <s v="Sr. Lead - Human Resources"/>
    <s v="Hazira"/>
    <s v="0031950061"/>
    <s v="HZ-Human Resource"/>
    <s v="2000HWO"/>
    <s v="20001265"/>
    <s v="Lakshman Iyer"/>
    <s v="No"/>
    <s v="natasha.fernandes@amns.in"/>
    <s v="9909993483"/>
    <s v="21716"/>
    <s v="Dhruv Vyas"/>
    <s v="Anil Matoo"/>
    <s v="Praveen Kuruvalli"/>
    <s v="Dhruv Vyas"/>
    <n v="0"/>
  </r>
  <r>
    <n v="2580"/>
    <n v="20038817"/>
    <s v="Chandra Sekhar Panda"/>
    <s v="AM/NS India"/>
    <s v="Onroll"/>
    <s v="M-9"/>
    <n v="9"/>
    <m/>
    <s v="JM"/>
    <s v="M"/>
    <s v="Odisha"/>
    <n v="2"/>
    <s v="2162"/>
    <x v="18"/>
    <s v="33.01"/>
    <s v="Hrishikesh Kamat"/>
    <s v="Hrishikesh Kamat"/>
    <n v="7"/>
    <s v="Procurement"/>
    <s v="Shipping &amp; Chartering"/>
    <s v="33"/>
    <s v="Lead - Logistics"/>
    <m/>
    <s v="Shipping &amp; Chartering"/>
    <s v="Logistics"/>
    <s v="Logistics"/>
    <s v="Non Technical Support"/>
    <s v="Operations"/>
    <s v="Operations"/>
    <s v="72103001"/>
    <s v="Operations"/>
    <s v="Paradeep"/>
    <d v="1976-10-18T00:00:00"/>
    <s v="46.11"/>
    <d v="2011-06-27T00:00:00"/>
    <d v="2034-10-31T00:00:00"/>
    <m/>
    <d v="2034-10-31T00:00:00"/>
    <n v="4059"/>
    <s v=""/>
    <s v="Certificate-2014 , BTech-2014 , Diploma-"/>
    <s v=""/>
    <s v="12.02"/>
    <s v="12.02"/>
    <s v="70238106"/>
    <s v="Ports &amp; Logistics"/>
    <s v="70307053"/>
    <s v="Lead - Logistics"/>
    <s v="Odisha"/>
    <s v="0022030019"/>
    <s v="PDP-HR &amp; Admn"/>
    <s v="2000STORIS"/>
    <s v="20055165"/>
    <s v="Subhakant Dash"/>
    <s v="No"/>
    <s v="chandrasekhar.panda@amns.in"/>
    <s v="7381007149"/>
    <s v="22919"/>
    <s v="Sunila Das"/>
    <s v="Anil Matoo"/>
    <s v="Praveen Kuruvalli"/>
    <s v="Sunila Das"/>
    <n v="0"/>
  </r>
  <r>
    <n v="2601"/>
    <n v="20038926"/>
    <s v="Shashi Kant Beura"/>
    <s v="AM/NS India"/>
    <s v="Onroll"/>
    <s v="M-8"/>
    <n v="8"/>
    <m/>
    <s v="JM"/>
    <s v="M"/>
    <s v="Odisha"/>
    <n v="2"/>
    <s v="2162"/>
    <x v="18"/>
    <s v="33.01"/>
    <s v="Hrishikesh Kamat"/>
    <s v="Hrishikesh Kamat"/>
    <n v="7"/>
    <s v="Procurement"/>
    <s v="Shipping &amp; Chartering"/>
    <s v="33"/>
    <s v="Lead - Logistics"/>
    <m/>
    <s v="Shipping &amp; Chartering"/>
    <s v="Logistics"/>
    <s v="Logistics"/>
    <s v="Operations"/>
    <s v="Operations"/>
    <s v="Operations"/>
    <s v="72103001"/>
    <s v="Operations"/>
    <s v="Paradeep"/>
    <d v="1987-06-22T00:00:00"/>
    <s v="36.03"/>
    <d v="2011-06-27T00:00:00"/>
    <d v="2045-06-30T00:00:00"/>
    <m/>
    <d v="2045-06-30T00:00:00"/>
    <n v="7954"/>
    <s v=""/>
    <s v="BTech-2014"/>
    <s v="00.07"/>
    <s v="12.02"/>
    <s v="12.09"/>
    <s v="70238106"/>
    <s v="Ports &amp; Logistics"/>
    <s v="70307050"/>
    <s v="Lead - Logistics"/>
    <s v="Odisha"/>
    <s v="0022030019"/>
    <s v="PDP-HR &amp; Admn"/>
    <s v="2000STORIS"/>
    <s v="20055165"/>
    <s v="Subhakant Dash"/>
    <s v="No"/>
    <s v="shashikant.beura@amns.in"/>
    <s v="7381007152"/>
    <s v="21200"/>
    <s v="Sunila Das"/>
    <s v="Anil Matoo"/>
    <s v="Praveen Kuruvalli"/>
    <s v="Sunila Das"/>
    <n v="0"/>
  </r>
  <r>
    <n v="2634"/>
    <n v="20039051"/>
    <s v="Rashmirekha Swain"/>
    <s v="AM/NS India"/>
    <s v="Onroll"/>
    <s v="M-9"/>
    <n v="9"/>
    <m/>
    <s v="JM"/>
    <s v="F"/>
    <s v="Odisha"/>
    <n v="2"/>
    <s v="2043"/>
    <x v="3"/>
    <s v="31.01"/>
    <s v="Hrishikesh Kamat"/>
    <s v="Hrishikesh Kamat"/>
    <n v="7"/>
    <s v="Procurement"/>
    <s v="Procurement"/>
    <s v="31"/>
    <s v="Lead - Vendor Registration &amp; Document."/>
    <m/>
    <s v="Procurement"/>
    <s v="Procurement"/>
    <s v="Procurement"/>
    <s v="Non Technical Support"/>
    <s v="Operations"/>
    <s v="Operations"/>
    <s v="72103001"/>
    <s v="Operations"/>
    <s v="Paradeep"/>
    <d v="1967-05-25T00:00:00"/>
    <s v="56.03"/>
    <d v="2011-06-27T00:00:00"/>
    <d v="2025-05-31T00:00:00"/>
    <m/>
    <d v="2025-05-31T00:00:00"/>
    <n v="619"/>
    <s v=""/>
    <s v="SSLC-1988 , Diploma-1988"/>
    <s v=""/>
    <s v="12.02"/>
    <s v="12.02"/>
    <s v="70407583"/>
    <s v="Procurement - Odisha Asset"/>
    <s v="70307062"/>
    <s v="Lead - Vendor Registration &amp; Document."/>
    <s v="Odisha"/>
    <s v="0022030019"/>
    <s v="PDP-HR &amp; Admn"/>
    <s v="2000STORIS"/>
    <s v="20055692"/>
    <s v="Rajiv Ranjan"/>
    <s v="No"/>
    <s v="rashmirekha.swain@amns.in"/>
    <s v="7381007114"/>
    <s v="24424"/>
    <s v="Sunila Das"/>
    <s v="Anil Matoo"/>
    <s v="Praveen Kuruvalli"/>
    <s v="Sunila Das"/>
    <n v="0"/>
  </r>
  <r>
    <n v="2658"/>
    <n v="20039780"/>
    <s v="Srikanya Thakur"/>
    <s v="AM/NS India"/>
    <s v="Onroll"/>
    <s v="M-6"/>
    <n v="6"/>
    <m/>
    <s v="MM"/>
    <s v="F"/>
    <s v="Hazira"/>
    <n v="1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8-04-21T00:00:00"/>
    <s v="35.05"/>
    <d v="2011-08-10T00:00:00"/>
    <d v="2046-04-30T00:00:00"/>
    <m/>
    <d v="2046-04-30T00:00:00"/>
    <n v="8258"/>
    <s v="B-"/>
    <s v="High School-2010 , BTech-2010 , SSLC-200"/>
    <s v=""/>
    <s v="12.01"/>
    <s v="12.01"/>
    <s v="00050209"/>
    <s v="Human Resources"/>
    <s v="70372722"/>
    <s v="Sr. Lead - Human Resources"/>
    <s v="Hazira"/>
    <s v="0031950061"/>
    <s v="HZ-Human Resource"/>
    <s v="2000HWO"/>
    <s v="20001265"/>
    <s v="Lakshman Iyer"/>
    <s v="No"/>
    <s v="srikanya.das@amns.in"/>
    <s v="9879101068"/>
    <s v="21525"/>
    <s v="Dhruv Vyas"/>
    <s v="Anil Matoo"/>
    <s v="Praveen Kuruvalli"/>
    <s v="Dhruv Vyas"/>
    <n v="0"/>
  </r>
  <r>
    <n v="2724"/>
    <n v="20040700"/>
    <s v="Sidharth Mohanty"/>
    <s v="AM/NS India"/>
    <s v="Onroll"/>
    <s v="M-8"/>
    <n v="8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Administration"/>
    <s v="Administration"/>
    <s v="Non Technical Support"/>
    <s v="Sales &amp; Marketing"/>
    <s v="Sales"/>
    <s v="73104004"/>
    <s v="OEM Sales"/>
    <s v="Paradeep"/>
    <d v="1984-04-27T00:00:00"/>
    <s v="39.04"/>
    <d v="2011-09-30T00:00:00"/>
    <d v="2042-04-30T00:00:00"/>
    <m/>
    <d v="2042-04-30T00:00:00"/>
    <n v="6797"/>
    <s v="AB-"/>
    <s v="MBA-2006 , Bachelor Equivalent-2003 , Hi"/>
    <s v="04.00"/>
    <s v="11.11"/>
    <s v="15.11"/>
    <s v="70238103"/>
    <s v="Odisha - Admin &amp; Industrial Relations"/>
    <s v="70265112"/>
    <s v="Lead - Administration"/>
    <s v="Odisha"/>
    <s v="0022030019"/>
    <s v="PDP-HR &amp; Admn"/>
    <s v="2000STORIS"/>
    <s v="20057297"/>
    <s v="Bibhash Mohanty"/>
    <s v="No"/>
    <s v="sidharth.mohanty@amns.in"/>
    <s v="7381007021"/>
    <s v="22692"/>
    <s v="Sunila Das"/>
    <s v="Anil Matoo"/>
    <s v="Praveen Kuruvalli"/>
    <s v="Sunila Das"/>
    <n v="0"/>
  </r>
  <r>
    <n v="2739"/>
    <n v="20041786"/>
    <s v="Pradeep Bhandari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Manager - SCM"/>
    <m/>
    <s v="Hypermart"/>
    <s v="Hypermart"/>
    <s v="West Zone"/>
    <s v="Non Technical Support"/>
    <s v="Supply Chain Management"/>
    <s v="Supply Chain Management"/>
    <s v="73701001"/>
    <s v="Supply Chain Management"/>
    <s v="Mumbai"/>
    <d v="1985-02-09T00:00:00"/>
    <s v="38.07"/>
    <d v="2012-01-16T00:00:00"/>
    <d v="2043-02-28T00:00:00"/>
    <m/>
    <d v="2043-02-28T00:00:00"/>
    <n v="7101"/>
    <s v="A-"/>
    <s v="High School-2006 , BCom-2006 , SSLC-2003"/>
    <s v="07.02"/>
    <s v="11.08"/>
    <s v="18.09"/>
    <s v="72150154"/>
    <s v="HyperMart"/>
    <s v="70277120"/>
    <s v="Lead - SCM Hypermart"/>
    <s v="Hypermart"/>
    <s v="0060100004"/>
    <s v="HMART-HR/Admin Expen"/>
    <s v="2000SRET"/>
    <s v="20006236"/>
    <s v="Sanjay Vaid"/>
    <s v="No"/>
    <s v="pradeep.bhandari@amns.in"/>
    <s v="9930134258"/>
    <s v="21221"/>
    <s v="Dhruv Vyas"/>
    <s v="Anil Matoo"/>
    <s v="Praveen Kuruvalli"/>
    <s v="Dhruv Vyas"/>
    <n v="0"/>
  </r>
  <r>
    <n v="2754"/>
    <n v="20042978"/>
    <s v="Kalingakeshari Ray"/>
    <s v="AM/NS India"/>
    <s v="Onroll"/>
    <s v="M-9"/>
    <n v="9"/>
    <m/>
    <s v="JM"/>
    <s v="M"/>
    <s v="Odisha"/>
    <n v="2"/>
    <s v="2095"/>
    <x v="4"/>
    <n v="36.01"/>
    <s v="Deepak Sindkar"/>
    <s v="Hrishikesh Kamat"/>
    <n v="7"/>
    <s v="Procurement"/>
    <s v="Raw Materials"/>
    <s v="36"/>
    <s v="Officer - Raw Material"/>
    <m/>
    <s v="Bulk Raw Materials"/>
    <s v="Bulck Raw Material"/>
    <s v="Bulck Raw Material"/>
    <s v="Non Technical Support"/>
    <s v="Administration"/>
    <s v="Administration"/>
    <s v="74101001"/>
    <s v="Administration"/>
    <s v="Dabuna"/>
    <d v="1974-04-01T00:00:00"/>
    <s v="49.05"/>
    <d v="2012-06-01T00:00:00"/>
    <d v="2032-03-31T00:00:00"/>
    <m/>
    <d v="2032-03-31T00:00:00"/>
    <n v="3115"/>
    <s v="AB-"/>
    <s v="Intermediate-1994 , BA-1994 , SSLC-1991"/>
    <s v=""/>
    <s v="11.03"/>
    <s v="11.03"/>
    <s v="70258505"/>
    <s v="Bulk Raw Material"/>
    <s v="70293785"/>
    <s v="Officer - Raw Material"/>
    <s v="Odisha"/>
    <s v="0022010019"/>
    <s v="DBN-Benf-HR/Admin"/>
    <s v="2000STORIS"/>
    <s v="20037898"/>
    <s v="Sanjib Sinha"/>
    <s v="No"/>
    <s v="kalinga.ray@amns.in"/>
    <s v="9437487790"/>
    <s v="23774"/>
    <s v="Sunila Das"/>
    <s v="Anil Matoo"/>
    <s v="Praveen Kuruvalli"/>
    <s v="Sunila Das"/>
    <n v="0"/>
  </r>
  <r>
    <n v="2763"/>
    <n v="20043383"/>
    <s v="Maneesh Moti"/>
    <s v="AM/NS India"/>
    <s v="Onroll"/>
    <s v="M-4"/>
    <n v="4"/>
    <m/>
    <s v="S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Head-Digital Initiatives (CRM &amp; E-Com.)"/>
    <m/>
    <s v="Sales Steering &amp; BD"/>
    <s v="Digital Initiatives"/>
    <s v="Strategic Sales &amp; Branding"/>
    <s v="Non Technical Support"/>
    <s v="Sales &amp; Marketing"/>
    <s v="Marketing"/>
    <s v="73102001"/>
    <s v="Marketing"/>
    <s v="Mumbai"/>
    <d v="1965-12-14T00:00:00"/>
    <s v="57.09"/>
    <d v="2012-07-01T00:00:00"/>
    <d v="2023-12-31T00:00:00"/>
    <m/>
    <d v="2023-12-31T00:00:00"/>
    <n v="102"/>
    <s v="O-"/>
    <s v="MBA-1988 , BSc-1988 , MSc-1986"/>
    <s v="16.04"/>
    <s v="11.02"/>
    <s v="27.06"/>
    <s v="70462100"/>
    <s v="Digital Initiatives"/>
    <s v="70336305"/>
    <s v="Head-Digital Initiatives (CRM &amp; E-Com.)"/>
    <s v="Corporate"/>
    <s v="0080000005"/>
    <s v="Global Markets Team"/>
    <s v="2000CS"/>
    <s v="20010531"/>
    <s v="Saptarshi Saha"/>
    <s v="No"/>
    <s v="maneesh.moti@amns.in"/>
    <s v="9819730706"/>
    <s v="22712"/>
    <s v="Dhruv Vyas"/>
    <s v="Anil Matoo"/>
    <s v="Praveen Kuruvalli"/>
    <s v="Dhruv Vyas"/>
    <n v="0"/>
  </r>
  <r>
    <n v="2823"/>
    <n v="20043911"/>
    <s v="Sudhanshu Sharm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F &amp; A &amp; Hypermart"/>
    <m/>
    <s v="Working Capital"/>
    <s v="Hypermart"/>
    <s v="Hypermart"/>
    <s v="Non Technical Support"/>
    <s v="Commercial"/>
    <s v="Commercial"/>
    <s v="73801001"/>
    <s v="Commercial"/>
    <s v="AM/NS Hazira"/>
    <d v="1974-11-10T00:00:00"/>
    <s v="48.10"/>
    <d v="2012-09-10T00:00:00"/>
    <d v="2032-11-30T00:00:00"/>
    <m/>
    <d v="2032-11-30T00:00:00"/>
    <n v="3359"/>
    <s v="B-"/>
    <s v="BCom-2012 , MBA-2012 , Intermediate-1996"/>
    <s v="11.03"/>
    <s v="11.00"/>
    <s v="22.03"/>
    <s v="70495565"/>
    <s v="F&amp;A Hypermart &amp; Service Centre"/>
    <s v="70308841"/>
    <s v="Lead - F &amp; A &amp; Hypermart"/>
    <s v="Hypermart"/>
    <s v="0060100001"/>
    <s v="HMART-Finance &amp; Acco"/>
    <s v="2000SRET"/>
    <s v="20055504"/>
    <s v="Vivek Choudhary"/>
    <s v="No"/>
    <s v="sudhanshu.sharma@amns.in"/>
    <s v="9930134585"/>
    <s v="24120"/>
    <s v="Dhruv Vyas"/>
    <s v="Anil Matoo"/>
    <s v="Praveen Kuruvalli"/>
    <s v="Dhruv Vyas"/>
    <n v="0"/>
  </r>
  <r>
    <n v="2830"/>
    <n v="20044846"/>
    <s v="Prasanna Malagi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Lead - MIS"/>
    <m/>
    <s v="Hypermart"/>
    <s v="Hypermart"/>
    <s v="West Zone"/>
    <s v="Non Technical Support"/>
    <s v="Supply Chain Management"/>
    <s v="Supply Chain Management"/>
    <s v="73701001"/>
    <s v="Supply Chain Management"/>
    <s v="Mumbai"/>
    <d v="1985-08-30T00:00:00"/>
    <s v="38.00"/>
    <d v="2013-01-28T00:00:00"/>
    <d v="2043-08-31T00:00:00"/>
    <m/>
    <d v="2043-08-31T00:00:00"/>
    <n v="7285"/>
    <s v="O-"/>
    <s v="High School-2012 , PG Diploma in Managem"/>
    <s v=""/>
    <s v="10.07"/>
    <s v="10.07"/>
    <s v="72150154"/>
    <s v="HyperMart"/>
    <s v="70325244"/>
    <s v="Lead - MIS"/>
    <s v="Hypermart"/>
    <s v="0060100004"/>
    <s v="HMART-HR/Admin Expen"/>
    <s v="2000SRET"/>
    <s v="20006236"/>
    <s v="Sanjay Vaid"/>
    <s v="No"/>
    <s v="prasanna.malagi@amns.in"/>
    <s v="9930134713"/>
    <s v="22507"/>
    <s v="Dhruv Vyas"/>
    <s v="Anil Matoo"/>
    <s v="Praveen Kuruvalli"/>
    <s v="Dhruv Vyas"/>
    <n v="0"/>
  </r>
  <r>
    <n v="2845"/>
    <n v="20045323"/>
    <s v="Aditya Chandra Lenka"/>
    <s v="AM/NS India"/>
    <s v="Onroll"/>
    <s v="M-11"/>
    <n v="11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Administration"/>
    <s v="Administration"/>
    <s v="Non Technical Support"/>
    <s v="Administration"/>
    <s v="Administration"/>
    <s v="74101001"/>
    <s v="Administration"/>
    <s v="Paradeep"/>
    <d v="1988-03-31T00:00:00"/>
    <s v="35.05"/>
    <d v="2013-04-05T00:00:00"/>
    <d v="2046-03-31T00:00:00"/>
    <m/>
    <d v="2046-03-31T00:00:00"/>
    <n v="8228"/>
    <s v=""/>
    <s v="BBA-2011 , MA-2011"/>
    <s v=""/>
    <s v="10.05"/>
    <s v="10.05"/>
    <s v="70238103"/>
    <s v="Odisha - Admin &amp; Industrial Relations"/>
    <s v="70333604"/>
    <s v="Lead - Administration"/>
    <s v="Odisha"/>
    <s v="0022030019"/>
    <s v="PDP-HR &amp; Admn"/>
    <s v="2000STORIS"/>
    <s v="20057297"/>
    <s v="Bibhash Mohanty"/>
    <s v="No"/>
    <s v="aditya.lenka@amns.in"/>
    <s v="9437037968"/>
    <s v="21022"/>
    <s v="Sunila Das"/>
    <s v="Anil Matoo"/>
    <s v="Praveen Kuruvalli"/>
    <s v="Sunila Das"/>
    <n v="0"/>
  </r>
  <r>
    <n v="2846"/>
    <n v="20045324"/>
    <s v="Basavaraj Ramappa Gulalkai"/>
    <s v="AM/NS India"/>
    <s v="Onroll"/>
    <s v="M-8"/>
    <n v="8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- Administration"/>
    <m/>
    <s v="Administration"/>
    <s v="Administration"/>
    <s v="Administration"/>
    <s v="Non Technical Support"/>
    <s v="Administration"/>
    <s v="Administration"/>
    <s v="74101001"/>
    <s v="Administration"/>
    <s v="Paradeep"/>
    <d v="1965-07-15T00:00:00"/>
    <s v="58.02"/>
    <d v="2013-04-05T00:00:00"/>
    <d v="2023-07-31T00:00:00"/>
    <m/>
    <d v="2023-07-31T00:00:00"/>
    <n v="-51"/>
    <s v="O-"/>
    <s v="BSc-1993"/>
    <s v="19.11"/>
    <s v="10.05"/>
    <s v="30.04"/>
    <s v="70238103"/>
    <s v="Odisha - Admin &amp; Industrial Relations"/>
    <s v="70333606"/>
    <s v="Lead - Administration"/>
    <s v="Odisha"/>
    <s v="0022030019"/>
    <s v="PDP-HR &amp; Admn"/>
    <s v="2000STORIS"/>
    <s v="20057297"/>
    <s v="Bibhash Mohanty"/>
    <s v="Yes"/>
    <s v="basavaraj.gulalkai@amns.in"/>
    <s v="7381007047"/>
    <s v="21850"/>
    <s v="Sunila Das"/>
    <s v="Anil Matoo"/>
    <s v="Praveen Kuruvalli"/>
    <s v="Sunila Das"/>
    <n v="0"/>
  </r>
  <r>
    <n v="2850"/>
    <n v="20045482"/>
    <s v="Sandeep Soni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Corporate Asset Management"/>
    <m/>
    <s v="Corporate Accounts"/>
    <s v="Corporate Accounts &amp; Audit"/>
    <s v="Corporate Accounts &amp; Audit"/>
    <s v="Non Technical Support"/>
    <s v="Finance &amp; Accounts"/>
    <s v="Finance &amp; Accounts"/>
    <s v="73901001"/>
    <s v="Finance &amp; Accounts"/>
    <s v="AM/NS Hazira"/>
    <d v="1978-09-16T00:00:00"/>
    <s v="45.00"/>
    <d v="2013-05-01T00:00:00"/>
    <d v="2036-09-30T00:00:00"/>
    <m/>
    <d v="2036-09-30T00:00:00"/>
    <n v="4759"/>
    <s v="B-"/>
    <s v="BCom-2004 , CA Final-2004"/>
    <s v="06.09"/>
    <s v="10.04"/>
    <s v="17.01"/>
    <s v="70495666"/>
    <s v="Corporate Asset Management"/>
    <s v="70336612"/>
    <s v="Sr. Lead - Corporate Asset Management"/>
    <s v="Hazira"/>
    <s v="0090000027"/>
    <s v="Corporate Steel - Ac"/>
    <s v="2000HWO"/>
    <s v="20000679"/>
    <s v="Dinesh Mangal"/>
    <s v="No"/>
    <s v="sandeep.soni@amns.in"/>
    <s v="9879103501"/>
    <s v="24344"/>
    <s v="Dhruv Vyas"/>
    <s v="Anil Matoo"/>
    <s v="Praveen Kuruvalli"/>
    <s v="Dhruv Vyas"/>
    <n v="0"/>
  </r>
  <r>
    <n v="2860"/>
    <n v="20045946"/>
    <s v="Yatin Madhukar Thakur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 Gen. Mgr - Sales &amp; Mk"/>
    <m/>
    <s v="Pipe"/>
    <s v="Pipe"/>
    <s v=""/>
    <s v="Non Technical Support"/>
    <s v="Sales &amp; Marketing"/>
    <s v="Sales &amp; Marketing"/>
    <s v="73101001"/>
    <s v="Sales &amp; Marketing"/>
    <s v="Mumbai"/>
    <d v="1972-08-05T00:00:00"/>
    <s v="51.01"/>
    <d v="2013-08-01T00:00:00"/>
    <d v="2030-08-31T00:00:00"/>
    <m/>
    <d v="2030-08-31T00:00:00"/>
    <n v="2537"/>
    <s v=""/>
    <s v="PG Diploma in Management-1993 , BCom-199"/>
    <s v="10.06"/>
    <s v="10.01"/>
    <s v="20.07"/>
    <s v="70387159"/>
    <s v="Pipe Sales"/>
    <s v="70346075"/>
    <s v="Sr. KAM - Domestics Pipe Sales"/>
    <s v="Hazira"/>
    <s v="0031591982"/>
    <s v="PM-Marketing"/>
    <s v="2000HWO"/>
    <s v="20007414"/>
    <s v="Gaurav Sharma"/>
    <s v="No"/>
    <s v="yatin.thakur@amns.in"/>
    <s v="9930132103"/>
    <s v="24506"/>
    <s v="Dhruv Vyas"/>
    <s v="Anil Matoo"/>
    <s v="Praveen Kuruvalli"/>
    <s v="Dhruv Vyas"/>
    <n v="0"/>
  </r>
  <r>
    <n v="2862"/>
    <n v="20046027"/>
    <s v="Sapan Manoj Roy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Development Mana"/>
    <m/>
    <s v="West"/>
    <s v="Hypermart"/>
    <s v="West Zone"/>
    <s v="Non Technical Support"/>
    <s v="Sales &amp; Marketing"/>
    <s v="Sales"/>
    <s v="73104003"/>
    <s v="Retail Sales"/>
    <s v="Taloja"/>
    <d v="1983-05-21T00:00:00"/>
    <s v="40.03"/>
    <d v="2013-08-16T00:00:00"/>
    <d v="2041-05-31T00:00:00"/>
    <m/>
    <d v="2041-05-31T00:00:00"/>
    <n v="6463"/>
    <s v="A-"/>
    <s v="High School-2005 , BCom-2005"/>
    <s v="01.09"/>
    <s v="10.01"/>
    <s v="11.10"/>
    <s v="00048138"/>
    <s v="Hypermart west"/>
    <s v="70346813"/>
    <s v="Sales Manager - Hypermart"/>
    <s v="Hypermart"/>
    <s v="0060110500"/>
    <s v="HMART-Mah-Pune"/>
    <s v="2000SRET"/>
    <s v="20056847"/>
    <s v="Vikas Chotia"/>
    <s v="No"/>
    <s v="sapan.roy@amns.in"/>
    <s v="9819730777"/>
    <s v="23810"/>
    <s v="Dhruv Vyas"/>
    <s v="Anil Matoo"/>
    <s v="Praveen Kuruvalli"/>
    <s v="Dhruv Vyas"/>
    <n v="0"/>
  </r>
  <r>
    <n v="2863"/>
    <n v="20046072"/>
    <s v="Mandar Sitaram Ambr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 Gen. Mgr - Sales &amp; Mk"/>
    <m/>
    <s v="Pipe"/>
    <s v="Pipe"/>
    <s v=""/>
    <s v="Non Technical Support"/>
    <s v="Sales &amp; Marketing"/>
    <s v="Sales &amp; Marketing"/>
    <s v="73101001"/>
    <s v="Sales &amp; Marketing"/>
    <s v="Mumbai"/>
    <d v="1980-05-13T00:00:00"/>
    <s v="43.04"/>
    <d v="2013-08-19T00:00:00"/>
    <d v="2038-05-31T00:00:00"/>
    <m/>
    <d v="2038-05-31T00:00:00"/>
    <n v="5367"/>
    <s v="B-"/>
    <s v="BE-2005 , Diploma-2005"/>
    <s v="11.05"/>
    <s v="10.01"/>
    <s v="21.06"/>
    <s v="70387159"/>
    <s v="Pipe Sales"/>
    <s v="70347387"/>
    <s v="KAM - International Pipe Sales"/>
    <s v="Hazira"/>
    <s v="0031591982"/>
    <s v="PM-Marketing"/>
    <s v="2000HWO"/>
    <s v="20007414"/>
    <s v="Gaurav Sharma"/>
    <s v="No"/>
    <s v="mandar.ambre@amns.in"/>
    <s v="9819730229"/>
    <s v="22521"/>
    <s v="Dhruv Vyas"/>
    <s v="Anil Matoo"/>
    <s v="Praveen Kuruvalli"/>
    <s v="Dhruv Vyas"/>
    <n v="0"/>
  </r>
  <r>
    <n v="2864"/>
    <n v="20046194"/>
    <s v="Shivashankar Rajapur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Hypermart"/>
    <s v=""/>
    <s v="Non Technical Support"/>
    <s v="Sales &amp; Marketing"/>
    <s v="Sales"/>
    <s v="73104004"/>
    <s v="OEM Sales"/>
    <s v="Bangalore"/>
    <d v="1978-08-10T00:00:00"/>
    <s v="45.01"/>
    <d v="2013-09-10T00:00:00"/>
    <d v="2036-08-31T00:00:00"/>
    <m/>
    <d v="2036-08-31T00:00:00"/>
    <n v="4729"/>
    <s v="A-"/>
    <s v="SSLC-1996 , Diploma-1996"/>
    <s v="09.03"/>
    <s v="10.00"/>
    <s v="19.03"/>
    <s v="00048814"/>
    <s v="Sales South Zone – Hypermart"/>
    <s v="70349522"/>
    <s v="Sales Manager - Hypermart"/>
    <s v="Hazira"/>
    <s v="0060140300"/>
    <s v="HMART-Kar-Bangolre"/>
    <s v="2000HWO"/>
    <s v="20056279"/>
    <s v="Arun G"/>
    <s v="No"/>
    <s v="shivashankar.rajapur@amns.in"/>
    <s v="9845895458"/>
    <s v="23632"/>
    <s v="Dhruv Vyas"/>
    <s v="Anil Matoo"/>
    <s v="Praveen Kuruvalli"/>
    <s v="Dhruv Vyas"/>
    <n v="0"/>
  </r>
  <r>
    <n v="2866"/>
    <n v="20046362"/>
    <s v="Sandeep Shah"/>
    <s v="AM/NS India"/>
    <s v="Onroll"/>
    <s v="M-8"/>
    <n v="8"/>
    <m/>
    <s v="JM"/>
    <s v="M"/>
    <s v="Hazira"/>
    <n v="1"/>
    <s v="2096"/>
    <x v="14"/>
    <s v="36.02"/>
    <s v="Hrishikesh Kamat"/>
    <s v="Hrishikesh Kamat"/>
    <n v="7"/>
    <s v="Procurement"/>
    <s v="Raw Materials"/>
    <s v="36"/>
    <s v="Lead - Power Management"/>
    <m/>
    <s v="Power &amp; Gas"/>
    <s v="Power &amp; Gas"/>
    <s v="Power &amp; Gas"/>
    <s v="Non Technical Support"/>
    <s v="Commercial"/>
    <s v="Procurement"/>
    <s v="73803001"/>
    <s v="Procurement"/>
    <s v="Hazira"/>
    <d v="1984-11-05T00:00:00"/>
    <s v="38.10"/>
    <d v="2013-10-14T00:00:00"/>
    <d v="2042-11-30T00:00:00"/>
    <m/>
    <d v="2042-11-30T00:00:00"/>
    <n v="7011"/>
    <s v="O-"/>
    <s v="BCom-2009 , MBA-2009"/>
    <s v="05.08"/>
    <s v="09.11"/>
    <s v="15.06"/>
    <s v="00049516"/>
    <s v="Power &amp; Gas"/>
    <s v="70352941"/>
    <s v="Lead - Power Management"/>
    <s v="Hazira"/>
    <s v="0031950048"/>
    <s v="HZ-Procurment Depart"/>
    <s v="2000HWO"/>
    <s v="20004612"/>
    <s v="Ramesh Chabhadiya"/>
    <s v="No"/>
    <s v="sandeep.shah1@amns.in"/>
    <s v="9925241531"/>
    <s v="24038"/>
    <s v="Dhruv Vyas"/>
    <s v="Anil Matoo"/>
    <s v="Praveen Kuruvalli"/>
    <s v="Dhruv Vyas"/>
    <n v="0"/>
  </r>
  <r>
    <n v="2869"/>
    <n v="20046414"/>
    <s v="Vinod Ninawe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OEM"/>
    <s v=""/>
    <s v="Non Technical Support"/>
    <s v="Sales &amp; Marketing"/>
    <s v="Sales"/>
    <s v="73104004"/>
    <s v="OEM Sales"/>
    <s v="Vadodara"/>
    <d v="1975-12-10T00:00:00"/>
    <s v="47.09"/>
    <d v="2013-10-22T00:00:00"/>
    <d v="2033-12-31T00:00:00"/>
    <m/>
    <d v="2033-12-31T00:00:00"/>
    <n v="3755"/>
    <s v="O-"/>
    <s v="Diploma-2012 , BBA-2012"/>
    <s v="16.10"/>
    <s v="09.10"/>
    <s v="26.08"/>
    <s v="00052660"/>
    <s v="Plate Sales"/>
    <s v="70356053"/>
    <s v="KAM - OEM Sales"/>
    <s v="Hazira"/>
    <s v="0031581982"/>
    <s v="PLM-Marketing"/>
    <s v="2000HWO"/>
    <s v="20003623"/>
    <s v="Soumyadeep Datta"/>
    <s v="No"/>
    <s v="vinod.ninawe@amns.in"/>
    <s v="9879103692"/>
    <s v="22847"/>
    <s v="Dhruv Vyas"/>
    <s v="Anil Matoo"/>
    <s v="Praveen Kuruvalli"/>
    <s v="Dhruv Vyas"/>
    <n v="0"/>
  </r>
  <r>
    <n v="2871"/>
    <n v="20046597"/>
    <s v="Satyabrata Ray"/>
    <s v="AM/NS India"/>
    <s v="Onroll"/>
    <s v="M-7"/>
    <n v="7"/>
    <m/>
    <s v="MM"/>
    <s v="M"/>
    <s v="Odisha"/>
    <n v="2"/>
    <s v="2162"/>
    <x v="18"/>
    <s v="33.01"/>
    <s v="Hrishikesh Kamat"/>
    <s v="Hrishikesh Kamat"/>
    <n v="7"/>
    <s v="Procurement"/>
    <s v="Shipping &amp; Chartering"/>
    <s v="33"/>
    <s v="Lead - Logistics &amp; Marketing"/>
    <m/>
    <s v="Shipping &amp; Chartering"/>
    <s v="Logistics"/>
    <s v="Logistics"/>
    <s v="Non Technical Support"/>
    <s v="Sales &amp; Marketing"/>
    <s v="Sales &amp; Marketing"/>
    <s v="73101001"/>
    <s v="Sales &amp; Marketing"/>
    <s v="Paradeep"/>
    <d v="1980-09-28T00:00:00"/>
    <s v="42.11"/>
    <d v="2013-11-09T00:00:00"/>
    <d v="2038-09-30T00:00:00"/>
    <m/>
    <d v="2038-09-30T00:00:00"/>
    <n v="5489"/>
    <s v="B-"/>
    <s v="High School-2004 , PG Diploma in Managem"/>
    <s v="09.07"/>
    <s v="09.10"/>
    <s v="19.05"/>
    <s v="70238106"/>
    <s v="Ports &amp; Logistics"/>
    <s v="70360680"/>
    <s v="Lead - Logistics &amp; Marketing"/>
    <s v="Odisha"/>
    <s v="0022030019"/>
    <s v="PDP-HR &amp; Admn"/>
    <s v="2000STORIS"/>
    <s v="20055165"/>
    <s v="Subhakant Dash"/>
    <s v="No"/>
    <s v="satyabrata.ray@amns.in"/>
    <s v="7381007276"/>
    <s v="23775"/>
    <s v="Sunila Das"/>
    <s v="Anil Matoo"/>
    <s v="Praveen Kuruvalli"/>
    <s v="Sunila Das"/>
    <n v="0"/>
  </r>
  <r>
    <n v="2873"/>
    <n v="20046623"/>
    <s v="Anil Kumar Sahoo"/>
    <s v="AM/NS India"/>
    <s v="Onroll"/>
    <s v="M-7"/>
    <n v="7"/>
    <m/>
    <s v="MM"/>
    <s v="M"/>
    <s v="Odisha"/>
    <n v="2"/>
    <s v="2095"/>
    <x v="4"/>
    <n v="36.01"/>
    <s v="Deepak Sindkar"/>
    <s v="Hrishikesh Kamat"/>
    <n v="7"/>
    <s v="Procurement"/>
    <s v="Raw Materials"/>
    <s v="36"/>
    <s v="Lead - Raw Material"/>
    <m/>
    <s v="Bulk Raw Materials"/>
    <s v="Bulck Raw Material"/>
    <s v="Bulck Raw Material"/>
    <s v="Non Technical Support"/>
    <s v="Services"/>
    <s v="Material Handling services"/>
    <s v="72103019"/>
    <s v="Logistics Operations"/>
    <s v="Dabuna"/>
    <d v="1976-01-08T00:00:00"/>
    <s v="47.08"/>
    <d v="2013-12-10T00:00:00"/>
    <d v="2034-01-31T00:00:00"/>
    <m/>
    <d v="2034-01-31T00:00:00"/>
    <n v="3786"/>
    <s v="B-"/>
    <s v="BA-2005 , PG Diploma in Management-2005"/>
    <s v="04.00"/>
    <s v="09.09"/>
    <s v="13.09"/>
    <s v="70258505"/>
    <s v="Bulk Raw Material"/>
    <s v="70361391"/>
    <s v="Lead - Raw Material"/>
    <s v="Odisha"/>
    <s v="0022010019"/>
    <s v="DBN-Benf-HR/Admin"/>
    <s v="2000STORIS"/>
    <s v="20037898"/>
    <s v="Sanjib Sinha"/>
    <s v="No"/>
    <s v="anil.sahoo@amns.in"/>
    <s v="7381007292"/>
    <s v="23845"/>
    <s v="Sunila Das"/>
    <s v="Anil Matoo"/>
    <s v="Praveen Kuruvalli"/>
    <s v="Sunila Das"/>
    <n v="0"/>
  </r>
  <r>
    <n v="2962"/>
    <n v="20047249"/>
    <s v="Anantha Nataraja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Hypermart"/>
    <s v="South Zone"/>
    <s v="Non Technical Support"/>
    <s v="Sales &amp; Marketing"/>
    <s v="Sales"/>
    <s v="73104003"/>
    <s v="Retail Sales"/>
    <s v="Coimbatore"/>
    <d v="1987-07-14T00:00:00"/>
    <s v="36.02"/>
    <d v="2014-02-24T00:00:00"/>
    <d v="2045-07-31T00:00:00"/>
    <m/>
    <d v="2045-07-31T00:00:00"/>
    <n v="7985"/>
    <s v="B-"/>
    <s v="MBA-2014 , BE-2008 , Intermediate-2004"/>
    <s v="05.00"/>
    <s v="09.06"/>
    <s v="14.06"/>
    <s v="00048814"/>
    <s v="Sales South Zone – Hypermart"/>
    <s v="70373206"/>
    <s v="Sales Manager - Hypermart"/>
    <s v="Hypermart"/>
    <s v="0060140900"/>
    <s v="HMART-TN-Coimbatore"/>
    <s v="2000SRET"/>
    <s v="20056279"/>
    <s v="Arun G"/>
    <s v="No"/>
    <s v="anantha.ganapathy@amns.in"/>
    <s v="8870171005"/>
    <s v="21745"/>
    <s v="Dhruv Vyas"/>
    <s v="Anil Matoo"/>
    <s v="Praveen Kuruvalli"/>
    <s v="Dhruv Vyas"/>
    <n v="0"/>
  </r>
  <r>
    <n v="2969"/>
    <n v="20047579"/>
    <s v="Mahadev Kumar"/>
    <s v="AM/NS India"/>
    <s v="Onroll"/>
    <s v="M-7"/>
    <n v="7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Sr. Lead - F &amp; A and Stores"/>
    <m/>
    <s v="Working Capital"/>
    <s v="Service Centers"/>
    <s v="Service Centre"/>
    <s v="Non Technical Support"/>
    <s v="Commercial"/>
    <s v="Commercial"/>
    <s v="73801001"/>
    <s v="Commercial"/>
    <s v="Paradeep"/>
    <d v="1967-05-27T00:00:00"/>
    <s v="56.03"/>
    <d v="2014-04-14T00:00:00"/>
    <d v="2025-05-31T00:00:00"/>
    <m/>
    <d v="2025-05-31T00:00:00"/>
    <n v="619"/>
    <s v="AB+"/>
    <s v="BCom-1991"/>
    <s v="23.09"/>
    <s v="09.05"/>
    <s v="33.02"/>
    <s v="72150243"/>
    <s v="Accounts Payable"/>
    <s v="70380446"/>
    <s v="Sr. Lead - F &amp; A and Stores"/>
    <s v="Odisha"/>
    <s v="0040040019"/>
    <s v="SC-Howrah-HR - Admn"/>
    <s v="2000STORIS"/>
    <s v="20001076"/>
    <s v="Bhavesh Modi"/>
    <s v="No"/>
    <s v="mahadev.kumar@amns.in"/>
    <s v="8335820020"/>
    <s v="22327"/>
    <s v="Sunila Das"/>
    <s v="Anil Matoo"/>
    <s v="Praveen Kuruvalli"/>
    <s v="Sunila Das"/>
    <n v="0"/>
  </r>
  <r>
    <n v="2970"/>
    <n v="20047658"/>
    <s v="Balamurugan Gurusamy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Automotive Sales"/>
    <m/>
    <s v="South"/>
    <s v="Auto"/>
    <s v=""/>
    <s v="Non Technical Support"/>
    <s v="Sales &amp; Marketing"/>
    <s v="Sales"/>
    <s v="73104004"/>
    <s v="OEM Sales"/>
    <s v="Chennai"/>
    <d v="1983-03-20T00:00:00"/>
    <s v="40.06"/>
    <d v="2014-05-05T00:00:00"/>
    <d v="2041-03-31T00:00:00"/>
    <m/>
    <d v="2041-03-31T00:00:00"/>
    <n v="6402"/>
    <s v="O-"/>
    <s v="BTech-2006 , Intermediate-2006 , MBA-199"/>
    <s v="07.10"/>
    <s v="09.04"/>
    <s v="17.02"/>
    <s v="00052468"/>
    <s v="Automotive Sales - Chennai"/>
    <s v="70381670"/>
    <s v="Sr. KAM Automotive Sales"/>
    <s v="Hazira"/>
    <s v="0031950057"/>
    <s v="HZ-HRC - Marketing"/>
    <s v="2000HWO"/>
    <s v="20000909"/>
    <s v="Murali Krishna Chunduru"/>
    <s v="No"/>
    <s v="balamurugan.gurusamy@amns.in"/>
    <s v="9884039030"/>
    <s v="21883"/>
    <s v="Dhruv Vyas"/>
    <s v="Anil Matoo"/>
    <s v="Praveen Kuruvalli"/>
    <s v="Dhruv Vyas"/>
    <n v="0"/>
  </r>
  <r>
    <n v="2971"/>
    <n v="20047664"/>
    <s v="Devang Desai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- Customs EXIM &amp; FTP"/>
    <m/>
    <s v="Taxation"/>
    <s v="In Direct - Taxation"/>
    <s v="Indirect Taxation"/>
    <s v="Non Technical Support"/>
    <s v="Finance &amp; Accounts"/>
    <s v="Taxation"/>
    <s v="73904001"/>
    <s v="Direct Taxation"/>
    <s v="AM/NS Hazira"/>
    <d v="1970-10-14T00:00:00"/>
    <s v="52.11"/>
    <d v="2014-05-12T00:00:00"/>
    <d v="2028-10-31T00:00:00"/>
    <m/>
    <d v="2028-10-31T00:00:00"/>
    <n v="1868"/>
    <s v="A-"/>
    <s v="MBA-1994 , BE-1994"/>
    <s v="19.10"/>
    <s v="09.04"/>
    <s v="29.02"/>
    <s v="70072408"/>
    <s v="Customs / DGFT / EXIM"/>
    <s v="70382561"/>
    <s v="Head - Customs EXIM &amp; FTP"/>
    <s v="Hazira"/>
    <s v="0031950044"/>
    <s v="HZ-Commercial Taxati"/>
    <s v="2000HWO"/>
    <s v="20055193"/>
    <s v="Anuprita Kaushik Mehta"/>
    <s v="No"/>
    <s v="devang.desai@amns.in"/>
    <s v="9879100585"/>
    <s v="21577"/>
    <s v="Dhruv Vyas"/>
    <s v="Anil Matoo"/>
    <s v="Praveen Kuruvalli"/>
    <s v="Dhruv Vyas"/>
    <n v="0"/>
  </r>
  <r>
    <n v="2972"/>
    <n v="20047683"/>
    <s v="Virat Vij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gional Sales Head – Other West"/>
    <m/>
    <s v="Other West"/>
    <s v="Other West"/>
    <s v=""/>
    <s v="Non Technical Support"/>
    <s v="R&amp; D and QA/QC"/>
    <s v="R&amp;D"/>
    <s v="72103029"/>
    <s v="R&amp;D"/>
    <s v="Pune"/>
    <d v="1980-10-04T00:00:00"/>
    <s v="42.11"/>
    <d v="2014-05-12T00:00:00"/>
    <d v="2038-10-31T00:00:00"/>
    <m/>
    <d v="2038-10-31T00:00:00"/>
    <n v="5520"/>
    <s v="B-"/>
    <s v="BE-1998 , Intermediate-1998"/>
    <s v="08.01"/>
    <s v="09.04"/>
    <s v="17.05"/>
    <s v="70495309"/>
    <s v="Sales West Zone"/>
    <s v="70383968"/>
    <s v="Regional Sales Head – Other West"/>
    <s v="Hazira"/>
    <s v="0031950057"/>
    <s v="HZ-HRC - Marketing"/>
    <s v="2000HWO"/>
    <s v="20007104"/>
    <s v="Ranjan Dhar"/>
    <s v="No"/>
    <s v="virat.vij@amns.in"/>
    <s v="9923205269"/>
    <s v="24691"/>
    <s v="Dhruv Vyas"/>
    <s v="Anil Matoo"/>
    <s v="Praveen Kuruvalli"/>
    <s v="Dhruv Vyas"/>
    <n v="0"/>
  </r>
  <r>
    <n v="2981"/>
    <n v="20048487"/>
    <s v="Devendra Ra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Receivable"/>
    <m/>
    <s v="Working Capital"/>
    <s v="Accounts Receivable"/>
    <s v="Credit Control"/>
    <s v="Non Technical Support"/>
    <s v="Finance &amp; Accounts"/>
    <s v="Finance &amp; Accounts"/>
    <s v="73901001"/>
    <s v="Finance &amp; Accounts"/>
    <s v="AM/NS Hazira"/>
    <d v="1981-03-12T00:00:00"/>
    <s v="42.06"/>
    <d v="2014-08-29T00:00:00"/>
    <d v="2039-03-31T00:00:00"/>
    <m/>
    <d v="2039-03-31T00:00:00"/>
    <n v="5671"/>
    <s v="O-"/>
    <s v="LLB-2007 , CA Final-2007 , BCom-2006"/>
    <s v="06.06"/>
    <s v="09.00"/>
    <s v="15.06"/>
    <s v="00045312"/>
    <s v="Accounts Receivable"/>
    <s v="72150931"/>
    <s v="Sr. Lead - Accounts Receivable"/>
    <s v="Hazira"/>
    <s v="0031950045"/>
    <s v="HZ-Works Accounts-Ha"/>
    <s v="2000HWO"/>
    <s v="20007731"/>
    <s v="Ashish Mehta"/>
    <s v="No"/>
    <s v="devendra.rai@amns.in"/>
    <s v="9879106751"/>
    <s v="23612"/>
    <s v="Dhruv Vyas"/>
    <s v="Anil Matoo"/>
    <s v="Praveen Kuruvalli"/>
    <s v="Dhruv Vyas"/>
    <n v="0"/>
  </r>
  <r>
    <n v="2983"/>
    <n v="20048693"/>
    <s v="Krishnendu Banerjee"/>
    <s v="AM/NS India"/>
    <s v="Onroll"/>
    <s v="M-8"/>
    <n v="8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Lead - Corporate Accounts"/>
    <m/>
    <s v="Finance &amp; Accounts - Odisha"/>
    <s v="Finance &amp; Accounts"/>
    <s v="Corporate Accounts"/>
    <s v="Non Technical Support"/>
    <s v="Finance &amp; Accounts"/>
    <s v="Finance &amp; Accounts"/>
    <s v="73901001"/>
    <s v="Finance &amp; Accounts"/>
    <s v="Paradeep"/>
    <d v="1965-01-11T00:00:00"/>
    <s v="58.08"/>
    <d v="2014-10-08T00:00:00"/>
    <d v="2023-01-31T00:00:00"/>
    <d v="2024-01-31T00:00:00"/>
    <d v="2024-01-31T00:00:00"/>
    <n v="133"/>
    <s v="B-"/>
    <s v="Diploma-1986 , PG Diploma-1986 , BSc-198"/>
    <s v="20.00"/>
    <s v="08.11"/>
    <s v="28.11"/>
    <s v="70234933"/>
    <s v="Finance &amp; Accounts - Odisha"/>
    <s v="70410529"/>
    <s v="Lead - Corporate Accounts"/>
    <s v="Odisha"/>
    <s v="0022030019"/>
    <s v="PDP-HR &amp; Admn"/>
    <s v="2000STORIS"/>
    <s v="20055801"/>
    <s v="Sanjive Kumar Singh"/>
    <s v="No"/>
    <s v="krishnendu.banerjee@amns.in"/>
    <s v="7381007151"/>
    <s v="21158"/>
    <s v="Sunila Das"/>
    <s v="Anil Matoo"/>
    <s v="Praveen Kuruvalli"/>
    <s v="Sunila Das"/>
    <n v="0"/>
  </r>
  <r>
    <n v="2991"/>
    <n v="20048958"/>
    <s v="Tirthanka Roy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r. Manager - Sales &amp; Mkt"/>
    <m/>
    <s v="Plate"/>
    <s v="Plate"/>
    <s v=""/>
    <s v="Non Technical Support"/>
    <s v="Sales &amp; Marketing"/>
    <s v="Sales &amp; Marketing"/>
    <s v="73101001"/>
    <s v="Sales &amp; Marketing"/>
    <s v="Mumbai"/>
    <d v="1984-02-04T00:00:00"/>
    <s v="39.07"/>
    <d v="2014-11-17T00:00:00"/>
    <d v="2042-02-28T00:00:00"/>
    <m/>
    <d v="2042-02-28T00:00:00"/>
    <n v="6736"/>
    <s v="O-"/>
    <s v="BE-2007 , High School-2003"/>
    <s v="04.06"/>
    <s v="08.10"/>
    <s v="13.04"/>
    <s v="70387158"/>
    <s v="S&amp;M – e_Sales"/>
    <s v="70414442"/>
    <s v="Sales Manager - E Sales"/>
    <s v="Hazira"/>
    <s v="0031591982"/>
    <s v="PM-Marketing"/>
    <s v="2000HWO"/>
    <s v="20003623"/>
    <s v="Soumyadeep Datta"/>
    <s v="No"/>
    <s v="tirthanka.roy@amns.in"/>
    <s v="9819730149"/>
    <s v="23811"/>
    <s v="Dhruv Vyas"/>
    <s v="Anil Matoo"/>
    <s v="Praveen Kuruvalli"/>
    <s v="Dhruv Vyas"/>
    <n v="0"/>
  </r>
  <r>
    <n v="2992"/>
    <n v="20048962"/>
    <s v="Saurabh Mutt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-Corporate Accounts &amp; Audit"/>
    <m/>
    <s v="Corporate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AM/NS Hazira"/>
    <d v="1989-10-01T00:00:00"/>
    <s v="33.11"/>
    <d v="2014-11-18T00:00:00"/>
    <d v="2047-09-30T00:00:00"/>
    <m/>
    <d v="2047-09-30T00:00:00"/>
    <n v="8776"/>
    <s v="O-"/>
    <s v="Chartered Financial Analyst (CFA)-2013 ,"/>
    <s v="02.08"/>
    <s v="08.10"/>
    <s v="11.06"/>
    <s v="70074192"/>
    <s v="Corporate Accounts"/>
    <s v="70414443"/>
    <s v="Lead-Corporate Accounts &amp; Audit"/>
    <s v="Hazira"/>
    <s v="0090000027"/>
    <s v="Corporate Steel - Ac"/>
    <s v="2000HWO"/>
    <s v="20007067"/>
    <s v="Gaurav Bhandari"/>
    <s v="No"/>
    <s v="saurabh.mutta@amns.in"/>
    <s v="9879102504"/>
    <s v="22743"/>
    <s v="Dhruv Vyas"/>
    <s v="Anil Matoo"/>
    <s v="Praveen Kuruvalli"/>
    <s v="Dhruv Vyas"/>
    <n v="0"/>
  </r>
  <r>
    <n v="2993"/>
    <n v="20048971"/>
    <s v="Arindam Ganguly"/>
    <s v="AM/NS India"/>
    <s v="Onroll"/>
    <s v="M-6"/>
    <n v="6"/>
    <m/>
    <s v="MM"/>
    <s v="M"/>
    <s v="Pune Facility"/>
    <n v="4"/>
    <s v="2013"/>
    <x v="0"/>
    <s v="20.01"/>
    <s v="Akiyo Omori"/>
    <s v="Amit Harlalka"/>
    <n v="5"/>
    <s v="Finance &amp; Accounts"/>
    <s v="Finance &amp; Accounts"/>
    <s v="20"/>
    <s v="Senior Lead"/>
    <m/>
    <s v="Finance &amp; Accounts - Pune"/>
    <s v="Finance &amp; Accounts"/>
    <s v="Costing"/>
    <s v="Non Technical Support"/>
    <s v="Finance &amp; Accounts"/>
    <s v="Costing"/>
    <s v="73906001"/>
    <s v="Costing"/>
    <s v="Pune AMNS"/>
    <d v="1968-06-01T00:00:00"/>
    <s v="55.03"/>
    <d v="2014-11-17T00:00:00"/>
    <d v="2026-05-31T00:00:00"/>
    <m/>
    <d v="2026-05-31T00:00:00"/>
    <n v="984"/>
    <s v="A-"/>
    <s v="ICWA Final-1996 , BCom-1989"/>
    <s v="21.11"/>
    <s v="08.10"/>
    <s v="30.09"/>
    <s v="70418544"/>
    <s v="Costing"/>
    <s v="70416525"/>
    <s v="Senior Lead"/>
    <s v="Pune Facility"/>
    <s v="0035950020"/>
    <s v="Pune-F&amp;A"/>
    <s v="2000ESPF"/>
    <s v="0"/>
    <s v=""/>
    <s v="No"/>
    <s v="arindam.ganguly@amns.in"/>
    <s v="9158820666"/>
    <s v="21763"/>
    <s v="Dhruv Vyas"/>
    <s v="Anil Matoo"/>
    <s v="Praveen Kuruvalli"/>
    <s v="Dhruv Vyas"/>
    <n v="0"/>
  </r>
  <r>
    <n v="2999"/>
    <n v="20049105"/>
    <s v="Vikas Bohra"/>
    <s v="AM/NS India"/>
    <s v="Onroll"/>
    <s v="M-5"/>
    <n v="5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– Structured Transactions"/>
    <m/>
    <s v="Treasury &amp; Banking"/>
    <s v="Treasury &amp; Banking"/>
    <s v="Corporate Finance"/>
    <s v="Non Technical Support"/>
    <s v="Finance &amp; Accounts"/>
    <s v="Corporate Finance"/>
    <s v="73902002"/>
    <s v="Project Finance"/>
    <s v="Mumbai"/>
    <d v="1979-03-28T00:00:00"/>
    <s v="44.05"/>
    <d v="2014-12-22T00:00:00"/>
    <d v="2037-03-31T00:00:00"/>
    <m/>
    <d v="2037-03-31T00:00:00"/>
    <n v="4941"/>
    <s v="B-"/>
    <s v="Intermediate-2000 , BCom-1995 , CA Final"/>
    <s v="05.03"/>
    <s v="08.08"/>
    <s v="13.11"/>
    <s v="70280332"/>
    <s v="Finance &amp; Treasury"/>
    <s v="70418547"/>
    <s v="Sr. Lead – Structured Transactions"/>
    <s v="Corporate"/>
    <s v="0090000028"/>
    <s v="Corporate Steel - Wo"/>
    <s v="2000CS"/>
    <s v="20000870"/>
    <s v="Balajee M"/>
    <s v="No"/>
    <s v="vikas.bohra@amns.in"/>
    <s v="9930137061"/>
    <s v="21309"/>
    <s v="Dhruv Vyas"/>
    <s v="Anil Matoo"/>
    <s v="Praveen Kuruvalli"/>
    <s v="Dhruv Vyas"/>
    <n v="0"/>
  </r>
  <r>
    <n v="3004"/>
    <n v="20049277"/>
    <s v="Rishabh  Bhandar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Capex Finance"/>
    <m/>
    <s v="Internal Control &amp; SOX"/>
    <s v="Internal Control &amp; SOX"/>
    <s v="Finance &amp; Accounts"/>
    <s v="Non Technical Support"/>
    <s v="Commercial"/>
    <s v="Commercial"/>
    <s v="73801001"/>
    <s v="Commercial"/>
    <s v="AM/NS Hazira"/>
    <d v="1989-10-07T00:00:00"/>
    <s v="33.11"/>
    <d v="2015-01-27T00:00:00"/>
    <d v="2047-10-31T00:00:00"/>
    <m/>
    <d v="2047-10-31T00:00:00"/>
    <n v="8807"/>
    <s v="A-"/>
    <s v="CS-2014 , CA Final-2014 , SSLC-2013 , BC"/>
    <s v="04.02"/>
    <s v="08.07"/>
    <s v="12.09"/>
    <s v="00050876"/>
    <s v="Capex Finance, Hazira"/>
    <s v="70433937"/>
    <s v="Officer - Internal Control &amp; SOX"/>
    <s v="Hazira"/>
    <s v="0090000038"/>
    <s v="CAPEX FINANCE"/>
    <s v="2000HWO"/>
    <s v="20056029"/>
    <s v="Ananya Maitra"/>
    <s v="No"/>
    <s v="rishabh.bhandari@amns.in"/>
    <s v="9930134938"/>
    <s v="21222"/>
    <s v="Dhruv Vyas"/>
    <s v="Anil Matoo"/>
    <s v="Praveen Kuruvalli"/>
    <s v="Dhruv Vyas"/>
    <n v="0"/>
  </r>
  <r>
    <n v="3005"/>
    <n v="20049281"/>
    <s v="Raveena Dhoot"/>
    <s v="AM/NS India"/>
    <s v="Onroll"/>
    <s v="M-6"/>
    <n v="6"/>
    <m/>
    <s v="MM"/>
    <s v="F"/>
    <s v="Corporate"/>
    <n v="7"/>
    <s v="2099"/>
    <x v="19"/>
    <s v="02.01"/>
    <s v="Raghavan Aravamudhan"/>
    <s v="Dilip Oommen"/>
    <n v="1"/>
    <s v="CEO Office"/>
    <s v="Business Strategy"/>
    <s v="02"/>
    <s v="Sr. Lead - PMO"/>
    <m/>
    <s v="Business Strategy"/>
    <s v="Business Strategy"/>
    <s v=""/>
    <s v="Non Technical Support"/>
    <s v="Operations"/>
    <s v="Operations"/>
    <s v="72103001"/>
    <s v="Operations"/>
    <s v="Mumbai"/>
    <d v="1993-01-10T00:00:00"/>
    <s v="30.08"/>
    <d v="2015-01-27T00:00:00"/>
    <d v="2051-01-31T00:00:00"/>
    <m/>
    <d v="2051-01-31T00:00:00"/>
    <n v="9995"/>
    <s v="B-"/>
    <s v="High School-2014 , CA Final-2014 , BCom-"/>
    <s v="04.00"/>
    <s v="08.07"/>
    <s v="12.07"/>
    <s v="00046538"/>
    <s v="Project Monitoring"/>
    <s v="70433936"/>
    <s v="Executive Assistant to CEO"/>
    <s v="Corporate"/>
    <s v="0090000022"/>
    <s v="Business Strategy"/>
    <s v="2000CS"/>
    <s v="20055068"/>
    <s v="Dilip Oommen"/>
    <s v="No"/>
    <s v="raveena.dhoot@amns.in"/>
    <s v="9930137063"/>
    <s v="21671"/>
    <s v="Dhruv Vyas"/>
    <s v="Anil Matoo"/>
    <s v="Praveen Kuruvalli"/>
    <s v="Dhruv Vyas"/>
    <n v="0"/>
  </r>
  <r>
    <n v="3009"/>
    <n v="20049474"/>
    <s v="Ashish Sawant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r. Manager - Sales &amp; Mkt"/>
    <m/>
    <s v="Pipe"/>
    <s v="Pipe"/>
    <s v=""/>
    <s v="Non Technical Support"/>
    <s v="Sales &amp; Marketing"/>
    <s v="Sales &amp; Marketing"/>
    <s v="73101001"/>
    <s v="Sales &amp; Marketing"/>
    <s v="Mumbai"/>
    <d v="1980-01-01T00:00:00"/>
    <s v="43.08"/>
    <d v="2015-02-23T00:00:00"/>
    <d v="2037-12-31T00:00:00"/>
    <m/>
    <d v="2037-12-31T00:00:00"/>
    <n v="5216"/>
    <s v="A-"/>
    <s v="MMS-2004 , BCom-2001 , High School-1998"/>
    <s v="11.01"/>
    <s v="08.06"/>
    <s v="19.08"/>
    <s v="70387159"/>
    <s v="Pipe Sales"/>
    <s v="70431062"/>
    <s v="KAM - Domestics Pipe Sales"/>
    <s v="Hazira"/>
    <s v="0031591982"/>
    <s v="PM-Marketing"/>
    <s v="2000HWO"/>
    <s v="20007414"/>
    <s v="Gaurav Sharma"/>
    <s v="No"/>
    <s v="ashish.sawant@amns.in"/>
    <s v="9930132225"/>
    <s v="23972"/>
    <s v="Dhruv Vyas"/>
    <s v="Anil Matoo"/>
    <s v="Praveen Kuruvalli"/>
    <s v="Dhruv Vyas"/>
    <n v="0"/>
  </r>
  <r>
    <n v="3012"/>
    <n v="20049542"/>
    <s v="Saumen Das"/>
    <s v="AM/NS India"/>
    <s v="Onroll"/>
    <s v="M-10"/>
    <n v="10"/>
    <m/>
    <s v="JM"/>
    <s v="M"/>
    <s v="Odisha"/>
    <n v="2"/>
    <s v="2095"/>
    <x v="4"/>
    <n v="36.01"/>
    <s v="Deepak Sindkar"/>
    <s v="Hrishikesh Kamat"/>
    <n v="7"/>
    <s v="Procurement"/>
    <s v="Raw Materials"/>
    <s v="36"/>
    <s v="Officer - Raw Material"/>
    <m/>
    <s v="Bulk Raw Materials"/>
    <s v="Bulck Raw Material"/>
    <s v="Bulck Raw Material"/>
    <s v="Non Technical Support"/>
    <s v="Commercial"/>
    <s v="Procurement"/>
    <s v="73803001"/>
    <s v="Procurement"/>
    <s v="Dabuna"/>
    <d v="1979-01-29T00:00:00"/>
    <s v="44.07"/>
    <d v="2015-02-10T00:00:00"/>
    <d v="2037-01-31T00:00:00"/>
    <m/>
    <d v="2037-01-31T00:00:00"/>
    <n v="4882"/>
    <s v="O-"/>
    <s v="High School-2002 , BCom-2002 , SSLC-1999"/>
    <s v="10.00"/>
    <s v="08.07"/>
    <s v="18.07"/>
    <s v="70258505"/>
    <s v="Bulk Raw Material"/>
    <s v="70433359"/>
    <s v="Officer - Raw Material"/>
    <s v="Odisha"/>
    <s v="0022010019"/>
    <s v="DBN-Benf-HR/Admin"/>
    <s v="2000STORIS"/>
    <s v="20037898"/>
    <s v="Sanjib Sinha"/>
    <s v="No"/>
    <s v="saumen.das@amns.in"/>
    <s v="8599008406"/>
    <s v="21524"/>
    <s v="Sunila Das"/>
    <s v="Anil Matoo"/>
    <s v="Praveen Kuruvalli"/>
    <s v="Sunila Das"/>
    <n v="0"/>
  </r>
  <r>
    <n v="3013"/>
    <n v="20049554"/>
    <s v="Uttam Kumar"/>
    <s v="AM/NS India"/>
    <s v="Onroll"/>
    <s v="M-5"/>
    <n v="5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Head - Sales Planning &amp; Admin"/>
    <m/>
    <s v="Sales Planning"/>
    <s v="Sales Planning"/>
    <s v=""/>
    <s v="Non Technical Support"/>
    <s v="Sales &amp; Marketing"/>
    <s v="Sales &amp; Marketing"/>
    <s v="73101001"/>
    <s v="Sales &amp; Marketing"/>
    <s v="AM/NS Hazira"/>
    <d v="1980-01-18T00:00:00"/>
    <s v="43.08"/>
    <d v="2015-03-27T00:00:00"/>
    <d v="2038-01-31T00:00:00"/>
    <m/>
    <d v="2038-01-31T00:00:00"/>
    <n v="5247"/>
    <s v="B-"/>
    <s v="High School-2005 , MBA-2005 , BBA-2002 ,"/>
    <s v="09.09"/>
    <s v="08.05"/>
    <s v="18.02"/>
    <s v="70385322"/>
    <s v="Sales Planning &amp; Administration"/>
    <s v="70433844"/>
    <s v="Head - Sales Planning &amp; Admin"/>
    <s v="Hazira"/>
    <s v="0080000001"/>
    <s v="Head-Marketing"/>
    <s v="2000HWO"/>
    <s v="20007104"/>
    <s v="Ranjan Dhar"/>
    <s v="No"/>
    <s v="uttam.kumar@amns.in"/>
    <s v="9909901008"/>
    <s v="22374"/>
    <s v="Dhruv Vyas"/>
    <s v="Anil Matoo"/>
    <s v="Praveen Kuruvalli"/>
    <s v="Dhruv Vyas"/>
    <n v="0"/>
  </r>
  <r>
    <n v="3018"/>
    <n v="20049610"/>
    <s v="Anshuman Chowdhary"/>
    <s v="AM/NS India"/>
    <s v="Onroll"/>
    <s v="M-7"/>
    <n v="7"/>
    <m/>
    <s v="MM"/>
    <s v="M"/>
    <s v="Hazira"/>
    <n v="1"/>
    <s v="2095"/>
    <x v="4"/>
    <n v="36.01"/>
    <s v="Deepak Sindkar"/>
    <s v="Hrishikesh Kamat"/>
    <n v="7"/>
    <s v="Procurement"/>
    <s v="Raw Materials"/>
    <s v="36"/>
    <s v="Lead - BRM"/>
    <m/>
    <s v="Bulk Raw Materials"/>
    <s v="Raw Material"/>
    <s v="Bulk Raw Material"/>
    <s v="Non Technical Support"/>
    <s v="Commercial"/>
    <s v="Procurement"/>
    <s v="73803001"/>
    <s v="Procurement"/>
    <s v="AM/NS Hazira"/>
    <d v="1978-09-15T00:00:00"/>
    <s v="45.00"/>
    <d v="2015-04-01T00:00:00"/>
    <d v="2036-09-30T00:00:00"/>
    <m/>
    <d v="2036-09-30T00:00:00"/>
    <n v="4759"/>
    <s v="B-"/>
    <s v="MBA-2012 , BE-2001"/>
    <s v="10.05"/>
    <s v="08.05"/>
    <s v="18.10"/>
    <s v="00045894"/>
    <s v="Blacks"/>
    <s v="72150916"/>
    <s v="Lead - BRM"/>
    <s v="Hazira"/>
    <s v="0031950048"/>
    <s v="HZ-Procurment Depart"/>
    <s v="2000HWO"/>
    <s v="20001577"/>
    <s v="Prakash Thakur"/>
    <s v="No"/>
    <s v="anshuman.chowdhary@amns.in"/>
    <s v="9879103800"/>
    <s v="21436"/>
    <s v="Dhruv Vyas"/>
    <s v="Anil Matoo"/>
    <s v="Praveen Kuruvalli"/>
    <s v="Dhruv Vyas"/>
    <n v="0"/>
  </r>
  <r>
    <n v="3021"/>
    <n v="20049748"/>
    <s v="Vivek Shenvi"/>
    <s v="AM/NS India"/>
    <s v="Onroll"/>
    <s v="M-7"/>
    <n v="7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– Structured Transactions"/>
    <m/>
    <s v="Treasury &amp; Banking"/>
    <s v="Treasury &amp; Banking"/>
    <s v="Corporate Finance"/>
    <s v="Non Technical Support"/>
    <s v="Finance &amp; Accounts"/>
    <s v="Corporate Finance"/>
    <s v="73902001"/>
    <s v="Corporate Finance"/>
    <s v="Mumbai"/>
    <d v="1974-08-03T00:00:00"/>
    <s v="49.01"/>
    <d v="2015-02-16T00:00:00"/>
    <d v="2032-08-31T00:00:00"/>
    <m/>
    <d v="2032-08-31T00:00:00"/>
    <n v="3268"/>
    <s v="O-"/>
    <s v="MBA-2019 , LLB-2019 , BCom-2009"/>
    <s v="17.08"/>
    <s v="08.07"/>
    <s v="26.02"/>
    <s v="00050553"/>
    <s v="Banking &amp; Treasury"/>
    <s v="70438047"/>
    <s v="Lead – Structured Transactions"/>
    <s v="Corporate"/>
    <s v="0090000028"/>
    <s v="Corporate Steel - Wo"/>
    <s v="2000CS"/>
    <s v="20011972"/>
    <s v="Rajita Bagkar"/>
    <s v="No"/>
    <s v="shenvi.vivek@amns.in"/>
    <s v="9930137062"/>
    <s v="24709"/>
    <s v="Dhruv Vyas"/>
    <s v="Anil Matoo"/>
    <s v="Praveen Kuruvalli"/>
    <s v="Dhruv Vyas"/>
    <n v="0"/>
  </r>
  <r>
    <n v="3024"/>
    <n v="20050108"/>
    <s v="Ayyalasomayajula Koundinya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Engineer - Procurement (BP &amp; Common)"/>
    <m/>
    <s v="Procurement"/>
    <s v="New Projects &amp; Process Modification"/>
    <s v="New Projects &amp; Process Modification"/>
    <s v="Non Technical Support"/>
    <s v="Services"/>
    <s v="Maintenance Services"/>
    <s v="72103013"/>
    <s v="Mechanical Maintenance"/>
    <s v="Vizag"/>
    <d v="1992-06-11T00:00:00"/>
    <s v="31.03"/>
    <d v="2015-06-12T00:00:00"/>
    <d v="2050-06-30T00:00:00"/>
    <m/>
    <d v="2050-06-30T00:00:00"/>
    <n v="9780"/>
    <s v="B-"/>
    <s v="PG Diploma in Management-2015 , BTech-20"/>
    <s v=""/>
    <s v="08.03"/>
    <s v="08.03"/>
    <s v="00048432"/>
    <s v="Procurement - Plant Operations"/>
    <s v="70449383"/>
    <s v="Engineer - Procurement (BP &amp; Common)"/>
    <s v="Vizag"/>
    <s v="0028030019"/>
    <s v="VIZ-Personnel &amp; Admi"/>
    <s v="2000VIZOPS"/>
    <s v="20037594"/>
    <s v="M G S R D Prasad"/>
    <s v="No"/>
    <s v="koundinya.ayyalasomayajula@amns.in"/>
    <s v="9160963339"/>
    <s v="21109"/>
    <s v="DS Varma"/>
    <s v="Anil Matoo"/>
    <s v="Praveen Kuruvalli"/>
    <s v="Dhruv Vyas"/>
    <n v="0"/>
  </r>
  <r>
    <n v="3031"/>
    <n v="20050785"/>
    <s v="Pankaj Chourasia"/>
    <s v="AM/NS India"/>
    <s v="Onroll"/>
    <s v="M-4"/>
    <n v="4"/>
    <m/>
    <s v="SM"/>
    <s v="M"/>
    <s v="Corporate"/>
    <n v="7"/>
    <s v="2100"/>
    <x v="11"/>
    <s v="42.01"/>
    <s v="P Ashok Kumar"/>
    <s v="P Ashok Kumar"/>
    <n v="9"/>
    <s v="Legal"/>
    <s v="Company Secretary"/>
    <s v="42"/>
    <s v="Company Secretary"/>
    <m/>
    <s v="Company Secretary"/>
    <s v="Company Secretary"/>
    <s v="Company Secretary"/>
    <s v="Non Technical Support"/>
    <s v="Secretarial"/>
    <s v="Company Secretary"/>
    <s v="73301001"/>
    <s v="Company Secretary"/>
    <s v="Mumbai"/>
    <d v="1975-07-15T00:00:00"/>
    <s v="48.02"/>
    <d v="2015-10-27T00:00:00"/>
    <d v="2033-07-31T00:00:00"/>
    <m/>
    <d v="2033-07-31T00:00:00"/>
    <n v="3602"/>
    <s v="A-"/>
    <s v="LLB-2004 , MCom-1997 , CS-1999 , BCom-19"/>
    <s v="17.01"/>
    <s v="07.10"/>
    <s v="25.00"/>
    <s v="70273573"/>
    <s v="Company Secretarial"/>
    <s v="70463327"/>
    <s v="Company Secretary"/>
    <s v="Corporate"/>
    <s v="0090000020"/>
    <s v="Company Secretary"/>
    <s v="2000CS"/>
    <s v="20055235"/>
    <s v="P Ashok Kumar"/>
    <s v="No"/>
    <s v="pankaj.chourasia@amns.in"/>
    <s v="9819730722"/>
    <s v="21434"/>
    <s v="Dhruv Vyas"/>
    <s v="Anil Matoo"/>
    <s v="Praveen Kuruvalli"/>
    <s v="Dhruv Vyas"/>
    <n v="0"/>
  </r>
  <r>
    <n v="3057"/>
    <n v="20052026"/>
    <s v="Jigneshkumar Patel"/>
    <s v="AM/NS India"/>
    <s v="Onroll"/>
    <s v="M-5"/>
    <n v="5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r. Lead – Proc Rolls Lubes  System Dev"/>
    <m/>
    <s v="Procurement MRO Hazira"/>
    <s v="Procurement"/>
    <s v="APD &amp; OEM for HSM, Hose, System development and MIS"/>
    <s v="Non Technical Support"/>
    <s v="Commercial"/>
    <s v="Procurement"/>
    <s v="73803001"/>
    <s v="Procurement"/>
    <s v="AM/NS Hazira"/>
    <d v="1977-03-16T00:00:00"/>
    <s v="46.06"/>
    <d v="2016-06-06T00:00:00"/>
    <d v="2035-03-31T00:00:00"/>
    <m/>
    <d v="2035-03-31T00:00:00"/>
    <n v="4210"/>
    <s v="B-"/>
    <s v="BE-2004 , Diploma-1997 , Diploma-1994"/>
    <s v="17.05"/>
    <s v="07.03"/>
    <s v="24.08"/>
    <s v="00044544"/>
    <s v="Rolls Lubes  System Development"/>
    <s v="70486746"/>
    <s v="Sr. Lead – Proc Rolls Lubes  System Dev"/>
    <s v="Hazira"/>
    <s v="0031950048"/>
    <s v="HZ-Procurment Depart"/>
    <s v="2000HWO"/>
    <s v="20002323"/>
    <s v="Balaji Somvanshi"/>
    <s v="No"/>
    <s v="jigneshkumar01.patel@amns.in"/>
    <s v="9879103302"/>
    <s v="23209"/>
    <s v="Dhruv Vyas"/>
    <s v="Anil Matoo"/>
    <s v="Praveen Kuruvalli"/>
    <s v="Dhruv Vyas"/>
    <n v="0"/>
  </r>
  <r>
    <n v="3110"/>
    <n v="20052253"/>
    <s v="Niraj Thakur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– Sales Planning and Admin"/>
    <m/>
    <s v="Sales Planning"/>
    <s v="Sales Planning"/>
    <s v=""/>
    <s v="Non Technical Support"/>
    <s v="Operations"/>
    <s v="Operations"/>
    <s v="72103002"/>
    <s v="Operations Planning &amp; Str"/>
    <s v="Mumbai"/>
    <d v="1987-08-12T00:00:00"/>
    <s v="36.01"/>
    <d v="2016-07-18T00:00:00"/>
    <d v="2045-08-31T00:00:00"/>
    <m/>
    <d v="2045-08-31T00:00:00"/>
    <n v="8016"/>
    <s v="A+"/>
    <s v="PG Diploma in Management-2012 , BTech-20"/>
    <s v="08.01"/>
    <s v="07.02"/>
    <s v="15.03"/>
    <s v="72150188"/>
    <s v="Market Intelligence &amp; Pricing"/>
    <s v="70487112"/>
    <s v="Lead – Sales Planning and Admin"/>
    <s v="Hazira"/>
    <s v="0060110300"/>
    <s v="HMART-Guj-Ahemedabad"/>
    <s v="2000HWO"/>
    <s v="20008774"/>
    <s v="Ajay Somasundaran"/>
    <s v="No"/>
    <s v="niraj.thakur@amns.in"/>
    <s v="9909901283"/>
    <s v="24498"/>
    <s v="Dhruv Vyas"/>
    <s v="Anil Matoo"/>
    <s v="Praveen Kuruvalli"/>
    <s v="Dhruv Vyas"/>
    <n v="0"/>
  </r>
  <r>
    <n v="3111"/>
    <n v="20052261"/>
    <s v="Aruni Mishra"/>
    <s v="AM/NS India"/>
    <s v="Onroll"/>
    <s v="M-3"/>
    <n v="3"/>
    <m/>
    <s v="SM"/>
    <s v="M"/>
    <s v="Hazira"/>
    <n v="1"/>
    <s v="2161"/>
    <x v="15"/>
    <s v="31.02"/>
    <s v="Hrishikesh Kamat"/>
    <s v="Hrishikesh Kamat"/>
    <n v="7"/>
    <s v="Procurement"/>
    <s v="Procurement"/>
    <s v="31"/>
    <s v="Head-Capex Procurement &amp; Secondary Sale"/>
    <m/>
    <s v="Capex Procurement"/>
    <s v="Capex Procurement"/>
    <s v=""/>
    <s v="Non Technical Support"/>
    <s v="Operations"/>
    <s v="Operations"/>
    <s v="72103001"/>
    <s v="Operations"/>
    <s v="Hazira"/>
    <d v="1969-03-28T00:00:00"/>
    <s v="54.05"/>
    <d v="2016-07-11T00:00:00"/>
    <d v="2027-03-31T00:00:00"/>
    <m/>
    <d v="2027-03-31T00:00:00"/>
    <n v="1288"/>
    <s v="B+"/>
    <s v="MBA-1991 , MBA-1991 , MBA-1991 , MBA-199"/>
    <s v="22.11"/>
    <s v="07.02"/>
    <s v="30.01"/>
    <s v="70282830"/>
    <s v="Capex Procurement &amp; Secondary Sales"/>
    <s v="70487056"/>
    <s v="Head-Capex Procurement &amp; Secondary Sale"/>
    <s v="Confidential Payroll"/>
    <s v="0031950059"/>
    <s v="HZ-Hazira Project"/>
    <s v="2000HWO"/>
    <s v="20055090"/>
    <s v="Hrishikesh Kamat"/>
    <s v="No"/>
    <s v="aruni.mishra@amns.in"/>
    <s v="9879100155"/>
    <s v="22620"/>
    <s v="Dhruv Vyas"/>
    <s v="Anil Matoo"/>
    <s v="Praveen Kuruvalli"/>
    <s v="Dhruv Vyas"/>
    <n v="0"/>
  </r>
  <r>
    <n v="3125"/>
    <n v="20052385"/>
    <s v="Anupam Tiwari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In-Charge Quality (Fabric"/>
    <m/>
    <s v="North"/>
    <s v="Hypermart"/>
    <s v="Fabrication"/>
    <s v="Non Technical Support"/>
    <s v="Sales &amp; Marketing"/>
    <s v="Sales"/>
    <s v="73104003"/>
    <s v="Retail Sales"/>
    <s v="Ghaziabad"/>
    <d v="1990-07-05T00:00:00"/>
    <s v="33.02"/>
    <d v="2016-08-01T00:00:00"/>
    <d v="2048-07-31T00:00:00"/>
    <m/>
    <d v="2048-07-31T00:00:00"/>
    <n v="9081"/>
    <s v="O-"/>
    <s v="Certificate-2014 , BTech-2010 , Intermed"/>
    <s v="06.00"/>
    <s v="07.01"/>
    <s v="13.01"/>
    <s v="00052526"/>
    <s v="Sales - North"/>
    <s v="70487430"/>
    <s v="Sales Manager - Hypermart"/>
    <s v="Hazira"/>
    <s v="0060120600"/>
    <s v="HMART-UP-Ghaziabad"/>
    <s v="2000SPRJ"/>
    <s v="20007322"/>
    <s v="Sanjay Bohra"/>
    <s v="No"/>
    <s v="anupam.tiwari@amns.in"/>
    <s v="8053119822"/>
    <s v="24529"/>
    <s v="Dhruv Vyas"/>
    <s v="Anil Matoo"/>
    <s v="Praveen Kuruvalli"/>
    <s v="Dhruv Vyas"/>
    <n v="0"/>
  </r>
  <r>
    <n v="3133"/>
    <n v="20052581"/>
    <s v="Dipak Sayaji"/>
    <s v="AM/NS India"/>
    <s v="Onroll"/>
    <s v="M-7"/>
    <n v="7"/>
    <m/>
    <s v="MM"/>
    <s v="M"/>
    <s v="Service Centers"/>
    <n v="6"/>
    <s v="2043"/>
    <x v="3"/>
    <s v="31.01"/>
    <s v="Hrishikesh Kamat"/>
    <s v="Hrishikesh Kamat"/>
    <n v="7"/>
    <s v="Procurement"/>
    <s v="Procurement"/>
    <s v="31"/>
    <s v="Lead - Procurement - Service Center"/>
    <m/>
    <s v="Procurement Service Centre"/>
    <s v="Procurement"/>
    <s v="Procurement"/>
    <s v="Non Technical Support"/>
    <s v="Finance &amp; Accounts"/>
    <s v="Finance &amp; Accounts"/>
    <s v="73901001"/>
    <s v="Finance &amp; Accounts"/>
    <s v="Hazira"/>
    <d v="1988-11-19T00:00:00"/>
    <s v="34.09"/>
    <d v="2016-09-07T00:00:00"/>
    <d v="2046-11-30T00:00:00"/>
    <m/>
    <d v="2046-11-30T00:00:00"/>
    <n v="8472"/>
    <s v="A+"/>
    <s v="Diploma-2004"/>
    <s v="09.03"/>
    <s v="07.00"/>
    <s v="16.03"/>
    <s v="70413444"/>
    <s v="Purchase &amp; Contracts"/>
    <s v="70487684"/>
    <s v="Lead - Procurement - Service Center"/>
    <s v="Service Center"/>
    <s v="0040010019"/>
    <s v="SC-DSC-Common Cost"/>
    <s v="2000SPRJ"/>
    <s v="20052588"/>
    <s v="Govindraju Sampathirao"/>
    <s v="No"/>
    <s v="dipak.sayaji@amns.in"/>
    <s v="9176949966"/>
    <s v="23979"/>
    <s v="Dhruv Vyas"/>
    <s v="Anil Matoo"/>
    <s v="Praveen Kuruvalli"/>
    <s v="Dhruv Vyas"/>
    <n v="0"/>
  </r>
  <r>
    <n v="3134"/>
    <n v="20052588"/>
    <s v="Govindraju Sampathirao"/>
    <s v="AM/NS India"/>
    <s v="Onroll"/>
    <s v="M-6"/>
    <n v="6"/>
    <m/>
    <s v="MM"/>
    <s v="M"/>
    <s v="Service Centers"/>
    <n v="6"/>
    <s v="2043"/>
    <x v="3"/>
    <s v="31.01"/>
    <s v="Hrishikesh Kamat"/>
    <s v="Hrishikesh Kamat"/>
    <n v="7"/>
    <s v="Procurement"/>
    <s v="Procurement"/>
    <s v="31"/>
    <s v="Head – Procurement Service Center"/>
    <m/>
    <s v="Procurement Service Centre"/>
    <s v="Procurement"/>
    <s v="Procurement"/>
    <s v="Non Technical Support"/>
    <s v="Operations"/>
    <s v="Plant Operations"/>
    <s v="72103003"/>
    <s v="Plant Operations"/>
    <s v="Hazira"/>
    <d v="1975-11-12T00:00:00"/>
    <s v="47.10"/>
    <d v="2016-09-14T00:00:00"/>
    <d v="2033-11-30T00:00:00"/>
    <m/>
    <d v="2033-11-30T00:00:00"/>
    <n v="3724"/>
    <s v="A-"/>
    <s v="MBA-2003 , BSc-1997"/>
    <s v="17.10"/>
    <s v="07.00"/>
    <s v="24.09"/>
    <s v="70413444"/>
    <s v="Purchase &amp; Contracts"/>
    <s v="70487702"/>
    <s v="Head – Procurement Service Center"/>
    <s v="Service Center"/>
    <s v="0040000000"/>
    <s v="SC - Common"/>
    <s v="2000SPRJ"/>
    <s v="20055090"/>
    <s v="Hrishikesh Kamat"/>
    <s v="No"/>
    <s v="sampathirao.govindraju@amns.in"/>
    <s v="8053119824"/>
    <s v="23907"/>
    <s v="Dhruv Vyas"/>
    <s v="Anil Matoo"/>
    <s v="Praveen Kuruvalli"/>
    <s v="Dhruv Vyas"/>
    <n v="0"/>
  </r>
  <r>
    <n v="3136"/>
    <n v="20052653"/>
    <s v="Anup Agarwala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– Proc Steel Making &amp; Lifting Equi"/>
    <m/>
    <s v="Procurement MRO Hazira"/>
    <s v="Procurement"/>
    <s v="SMP I &amp; II Fabrication, Wire ropes, slings , hoists."/>
    <s v="Non Technical Support"/>
    <s v="Commercial"/>
    <s v="Procurement"/>
    <s v="73803001"/>
    <s v="Procurement"/>
    <s v="AM/NS Hazira"/>
    <d v="1993-01-04T00:00:00"/>
    <s v="30.08"/>
    <d v="2016-10-13T00:00:00"/>
    <d v="2051-01-31T00:00:00"/>
    <m/>
    <d v="2051-01-31T00:00:00"/>
    <n v="9995"/>
    <s v="B-"/>
    <s v="CA Final-2016 , CS-2014 , BCom-2014"/>
    <s v="00.05"/>
    <s v="06.11"/>
    <s v="07.04"/>
    <s v="70072411"/>
    <s v="Iron &amp; Steel Making"/>
    <s v="70487717"/>
    <s v="Lead – Proc Steel Making &amp; Lifting Equi"/>
    <s v="Hazira"/>
    <s v="0031950048"/>
    <s v="HZ-Procurment Depart"/>
    <s v="2000HWO"/>
    <s v="20000926"/>
    <s v="Manishkumar Seksaria"/>
    <s v="No"/>
    <s v="anup.agarwala@amns.in"/>
    <s v="9879102291"/>
    <s v="21030"/>
    <s v="Dhruv Vyas"/>
    <s v="Anil Matoo"/>
    <s v="Praveen Kuruvalli"/>
    <s v="Dhruv Vyas"/>
    <n v="0"/>
  </r>
  <r>
    <n v="3178"/>
    <n v="20053326"/>
    <s v="Banaj Khatua"/>
    <s v="AM/NS India"/>
    <s v="Onroll"/>
    <s v="M-7"/>
    <n v="7"/>
    <m/>
    <s v="MM"/>
    <s v="M"/>
    <s v="Odisha"/>
    <n v="2"/>
    <s v="2084"/>
    <x v="17"/>
    <s v="23.09"/>
    <s v="Anil Matoo"/>
    <s v="Ashutosh Telang"/>
    <n v="6"/>
    <s v="HR &amp; Administration"/>
    <s v="Industrial Relations"/>
    <s v="23"/>
    <s v="Lead - Industrial Relations"/>
    <m/>
    <s v="Industrial Relations"/>
    <s v="Administration"/>
    <s v="Administration"/>
    <s v="Non Technical Support"/>
    <s v="Human Resources Management"/>
    <s v="Industrial Relations &amp; Labour Law"/>
    <s v="73510000"/>
    <s v="Industrial Relations &amp; La"/>
    <s v="Dabuna"/>
    <d v="1973-05-16T00:00:00"/>
    <s v="50.04"/>
    <d v="2017-05-15T00:00:00"/>
    <d v="2031-05-31T00:00:00"/>
    <m/>
    <d v="2031-05-31T00:00:00"/>
    <n v="2810"/>
    <s v=""/>
    <s v="MBA-1995"/>
    <s v="10.11"/>
    <s v="06.04"/>
    <s v="17.03"/>
    <s v="00047828"/>
    <s v="Odisha HR Operations"/>
    <s v="70489660"/>
    <s v="Lead - Industrial Relations"/>
    <s v="Odisha"/>
    <s v="0022010019"/>
    <s v="DBN-Benf-HR/Admin"/>
    <s v="2000STORIS"/>
    <s v="20055611"/>
    <s v="Sunila Kumar Das"/>
    <s v="No"/>
    <s v="banaj.khatua@amns.in"/>
    <s v="8599008448"/>
    <s v="22231"/>
    <s v="Sunila Das"/>
    <s v="Anil Matoo"/>
    <s v="Praveen Kuruvalli"/>
    <s v="Sunila Das"/>
    <n v="0"/>
  </r>
  <r>
    <n v="3183"/>
    <n v="20053558"/>
    <s v="Tushar Kanti Panda"/>
    <s v="AM/NS India"/>
    <s v="Onroll"/>
    <s v="M-6"/>
    <n v="6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- Indirect Taxation"/>
    <m/>
    <s v="Finance &amp; Accounts - Odisha"/>
    <s v="Finance &amp; Accounts"/>
    <s v="Indirect Taxation"/>
    <s v="Non Technical Support"/>
    <s v="Finance &amp; Accounts"/>
    <s v="Taxation"/>
    <s v="73904002"/>
    <s v="Indirect Taxation"/>
    <s v="Paradeep"/>
    <d v="1967-01-15T00:00:00"/>
    <s v="56.08"/>
    <d v="2017-06-27T00:00:00"/>
    <d v="2025-01-31T00:00:00"/>
    <m/>
    <d v="2025-01-31T00:00:00"/>
    <n v="499"/>
    <s v=""/>
    <s v="LLB-1996 , ICWA Inter-1991 , MCom-1991"/>
    <s v="22.01"/>
    <s v="06.02"/>
    <s v="28.03"/>
    <s v="70234933"/>
    <s v="Finance &amp; Accounts - Odisha"/>
    <s v="70490163"/>
    <s v="Lead - Indirect Taxation"/>
    <s v="Odisha"/>
    <s v="0022030019"/>
    <s v="PDP-HR &amp; Admn"/>
    <s v="2000STORIS"/>
    <s v="20055801"/>
    <s v="Sanjive Kumar Singh"/>
    <s v="No"/>
    <s v="tushar.panda@amns.in"/>
    <s v="7381007259"/>
    <s v="22920"/>
    <s v="Sunila Das"/>
    <s v="Anil Matoo"/>
    <s v="Praveen Kuruvalli"/>
    <s v="Sunila Das"/>
    <n v="0"/>
  </r>
  <r>
    <n v="3184"/>
    <n v="20053562"/>
    <s v="Shankar Murugan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South"/>
    <s v="Auto"/>
    <s v=""/>
    <s v="Non Technical Support"/>
    <s v="Sales &amp; Marketing"/>
    <s v="Sales"/>
    <s v="73104004"/>
    <s v="OEM Sales"/>
    <s v="Chennai"/>
    <d v="1989-12-17T00:00:00"/>
    <s v="33.09"/>
    <d v="2017-07-03T00:00:00"/>
    <d v="2047-12-31T00:00:00"/>
    <m/>
    <d v="2047-12-31T00:00:00"/>
    <n v="8868"/>
    <s v="B-"/>
    <s v="MBA-2014 , BE-2011 , High School-2007 ,"/>
    <s v="03.05"/>
    <s v="06.02"/>
    <s v="09.07"/>
    <s v="00052470"/>
    <s v="Automotive Sales - Chennai"/>
    <s v="70490181"/>
    <s v="KAM – Automotive Sales"/>
    <s v="Hazira"/>
    <s v="0031950057"/>
    <s v="HZ-HRC - Marketing"/>
    <s v="2000HWO"/>
    <s v="20000909"/>
    <s v="Murali Krishna Chunduru"/>
    <s v="No"/>
    <s v="shankar.murugan@amns.in"/>
    <s v="9840070626"/>
    <s v="22739"/>
    <s v="Dhruv Vyas"/>
    <s v="Anil Matoo"/>
    <s v="Praveen Kuruvalli"/>
    <s v="Dhruv Vyas"/>
    <n v="0"/>
  </r>
  <r>
    <n v="3187"/>
    <n v="20053636"/>
    <s v="Reddy Bhanu Kishore"/>
    <s v="AM/NS India"/>
    <s v="Onroll"/>
    <s v="M-8"/>
    <n v="8"/>
    <m/>
    <s v="JM"/>
    <s v="M"/>
    <s v="Vizag"/>
    <n v="3"/>
    <s v="2013"/>
    <x v="0"/>
    <s v="20.01"/>
    <s v="Akiyo Omori"/>
    <s v="Amit Harlalka"/>
    <n v="5"/>
    <s v="Finance &amp; Accounts"/>
    <s v="Finance &amp; Accounts"/>
    <s v="20"/>
    <s v="Officer-IDT"/>
    <m/>
    <s v="Finance &amp; Accounts - Vizag"/>
    <s v="Finance &amp; Accounts"/>
    <s v="Indirect Taxation"/>
    <s v="Non Technical Support"/>
    <s v="Finance &amp; Accounts"/>
    <s v="Taxation"/>
    <s v="73904002"/>
    <s v="Indirect Taxation"/>
    <s v="Vizag"/>
    <d v="1983-08-03T00:00:00"/>
    <s v="40.01"/>
    <d v="2017-07-24T00:00:00"/>
    <d v="2041-08-31T00:00:00"/>
    <m/>
    <d v="2041-08-31T00:00:00"/>
    <n v="6555"/>
    <s v=""/>
    <s v="MBA-2006 , MCom-2003 , BCom-2001"/>
    <s v="07.00"/>
    <s v="06.01"/>
    <s v="13.01"/>
    <s v="70413458"/>
    <s v="Costing, Budgeting &amp; IDT"/>
    <s v="70490408"/>
    <s v="Officer-IDT"/>
    <s v="Vizag"/>
    <s v="0028030019"/>
    <s v="VIZ-Personnel &amp; Admi"/>
    <s v="2000VIZOPS"/>
    <s v="20006862"/>
    <s v="D Niranjan Patro"/>
    <s v="No"/>
    <s v="reddy.kishore@amns.in"/>
    <s v="7799064333"/>
    <s v="22254"/>
    <s v="DS Varma"/>
    <s v="Anil Matoo"/>
    <s v="Praveen Kuruvalli"/>
    <s v="Dhruv Vyas"/>
    <n v="0"/>
  </r>
  <r>
    <n v="3188"/>
    <n v="20053644"/>
    <s v="Vinit Jain"/>
    <s v="AM/NS India"/>
    <s v="Onroll"/>
    <s v="M-5"/>
    <n v="5"/>
    <m/>
    <s v="MM"/>
    <s v="M"/>
    <s v="Hazira"/>
    <n v="1"/>
    <s v="2095"/>
    <x v="4"/>
    <n v="36.01"/>
    <s v="Deepak Sindkar"/>
    <s v="Hrishikesh Kamat"/>
    <n v="7"/>
    <s v="Procurement"/>
    <s v="Raw Materials"/>
    <s v="36"/>
    <s v="Section Head – Anthracite coal &amp; Scrap"/>
    <m/>
    <s v="Bulk Raw Materials"/>
    <s v="Raw Material"/>
    <s v="Bulk Raw Material"/>
    <s v="Non Technical Support"/>
    <s v="Commercial"/>
    <s v="Procurement"/>
    <s v="73803001"/>
    <s v="Procurement"/>
    <s v="AM/NS Hazira"/>
    <d v="1967-02-21T00:00:00"/>
    <s v="56.06"/>
    <d v="2017-07-10T00:00:00"/>
    <d v="2025-02-28T00:00:00"/>
    <m/>
    <d v="2025-02-28T00:00:00"/>
    <n v="527"/>
    <s v="O-"/>
    <s v="BE-1989"/>
    <s v="25.06"/>
    <s v="06.02"/>
    <s v="31.08"/>
    <s v="70072409"/>
    <s v="Bulk Raw Materials"/>
    <s v="70490417"/>
    <s v="Section Head – Anthracite coal &amp; Scrap"/>
    <s v="Hazira"/>
    <s v="0031950048"/>
    <s v="HZ-Procurment Depart"/>
    <s v="2000HWO"/>
    <s v="20000253"/>
    <s v="Deepak Sindkar"/>
    <s v="No"/>
    <s v="vinit.jain@amns.in"/>
    <s v="9879103850"/>
    <s v="21974"/>
    <s v="Dhruv Vyas"/>
    <s v="Anil Matoo"/>
    <s v="Praveen Kuruvalli"/>
    <s v="Dhruv Vyas"/>
    <n v="0"/>
  </r>
  <r>
    <n v="3193"/>
    <n v="20053754"/>
    <s v="Jitendra Agrawal"/>
    <s v="AM/NS India"/>
    <s v="Onroll"/>
    <s v="M-7"/>
    <n v="7"/>
    <m/>
    <s v="M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Sr. Lead - F &amp; A and Stores"/>
    <m/>
    <s v="Working Capital"/>
    <s v="Service Centers"/>
    <s v="Service Centre"/>
    <s v="Non Technical Support"/>
    <s v="Finance &amp; Accounts"/>
    <s v="Finance &amp; Accounts"/>
    <s v="73901001"/>
    <s v="Finance &amp; Accounts"/>
    <s v="Bahadurgarh"/>
    <d v="1982-01-15T00:00:00"/>
    <s v="41.08"/>
    <d v="2017-08-21T00:00:00"/>
    <d v="2040-01-31T00:00:00"/>
    <m/>
    <d v="2040-01-31T00:00:00"/>
    <n v="5977"/>
    <s v=""/>
    <s v="ICWA Inter-2008 , MCom-2003"/>
    <s v="10.09"/>
    <s v="06.00"/>
    <s v="16.10"/>
    <s v="00043795"/>
    <s v="F&amp;A Hypermart &amp; Service Centre - 1"/>
    <s v="70490650"/>
    <s v="Sr. Lead - F &amp; A and Stores"/>
    <s v="Service Center"/>
    <s v="0040050019"/>
    <s v="SC-Bahadurgarh-Op1-C"/>
    <s v="2000SPRJ"/>
    <s v="20055201"/>
    <s v="Deepak Sahu"/>
    <s v="No"/>
    <s v="jitendra.agrawal@amns.in"/>
    <s v="8053119826"/>
    <s v="21036"/>
    <s v="Dhruv Vyas"/>
    <s v="Anil Matoo"/>
    <s v="Praveen Kuruvalli"/>
    <s v="Dhruv Vyas"/>
    <n v="0"/>
  </r>
  <r>
    <n v="3195"/>
    <n v="20053791"/>
    <s v="Rakesh Joshi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Other West"/>
    <s v="Auto"/>
    <s v=""/>
    <s v="Non Technical Support"/>
    <s v="Sales &amp; Marketing"/>
    <s v="Sales"/>
    <s v="73104004"/>
    <s v="OEM Sales"/>
    <s v="Pune"/>
    <d v="1991-01-09T00:00:00"/>
    <s v="32.08"/>
    <d v="2017-09-04T00:00:00"/>
    <d v="2049-01-31T00:00:00"/>
    <m/>
    <d v="2049-01-31T00:00:00"/>
    <n v="9265"/>
    <s v=""/>
    <s v="MBA-2017 , BBA-2012"/>
    <s v="02.11"/>
    <s v="06.00"/>
    <s v="08.11"/>
    <s v="70495309"/>
    <s v="Sales West Zone"/>
    <s v="70491371"/>
    <s v="KAM - Automotive Sales"/>
    <s v="Hazira"/>
    <s v="0031950057"/>
    <s v="HZ-HRC - Marketing"/>
    <s v="2000HWO"/>
    <s v="20047683"/>
    <s v="Virat Vij"/>
    <s v="No"/>
    <s v="rakesh.joshibhat@amns.in"/>
    <s v="9870074805"/>
    <s v="22075"/>
    <s v="Dhruv Vyas"/>
    <s v="Anil Matoo"/>
    <s v="Praveen Kuruvalli"/>
    <s v="Dhruv Vyas"/>
    <n v="0"/>
  </r>
  <r>
    <n v="3210"/>
    <n v="20053904"/>
    <s v="Abhishek Jain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GST"/>
    <m/>
    <s v="Taxation"/>
    <s v="In Direct - Taxation"/>
    <s v="Indirect Taxation"/>
    <s v="Non Technical Support"/>
    <s v="Finance &amp; Accounts"/>
    <s v="Taxation"/>
    <s v="73904002"/>
    <s v="Indirect Taxation"/>
    <s v="AM/NS Hazira"/>
    <d v="1982-11-19T00:00:00"/>
    <s v="40.09"/>
    <d v="2017-12-01T00:00:00"/>
    <d v="2040-11-30T00:00:00"/>
    <m/>
    <d v="2040-11-30T00:00:00"/>
    <n v="6281"/>
    <s v="A-"/>
    <s v="BCom-2004"/>
    <s v=""/>
    <s v="05.09"/>
    <s v="05.09"/>
    <s v="00044379"/>
    <s v="GST - Hazira Assets"/>
    <s v="70491199"/>
    <s v="Lead - GST"/>
    <s v="Hazira"/>
    <s v="0031950044"/>
    <s v="HZ-Commercial Taxati"/>
    <s v="2000HWO"/>
    <s v="20015864"/>
    <s v="Mayank Desai"/>
    <s v="No"/>
    <s v="abhishek.jain@amns.in"/>
    <s v="9879101619"/>
    <s v="21964"/>
    <s v="Dhruv Vyas"/>
    <s v="Anil Matoo"/>
    <s v="Praveen Kuruvalli"/>
    <s v="Dhruv Vyas"/>
    <n v="0"/>
  </r>
  <r>
    <n v="3217"/>
    <n v="20053921"/>
    <s v="S V N S Ganesh"/>
    <s v="AM/NS India"/>
    <s v="Onroll"/>
    <s v="M-7"/>
    <n v="7"/>
    <m/>
    <s v="MM"/>
    <s v="M"/>
    <s v="Vizag"/>
    <n v="3"/>
    <s v="2013"/>
    <x v="0"/>
    <s v="20.01"/>
    <s v="Akiyo Omori"/>
    <s v="Amit Harlalka"/>
    <n v="5"/>
    <s v="Finance &amp; Accounts"/>
    <s v="Finance &amp; Accounts"/>
    <s v="20"/>
    <s v="Offeicer-IDT"/>
    <m/>
    <s v="Finance &amp; Accounts - Vizag"/>
    <s v="Finance &amp; Accounts"/>
    <s v="Indirect Taxation"/>
    <s v="Non Technical Support"/>
    <s v="Finance &amp; Accounts"/>
    <s v="Taxation"/>
    <s v="73904002"/>
    <s v="Indirect Taxation"/>
    <s v="Vizag"/>
    <d v="1979-08-09T00:00:00"/>
    <s v="44.01"/>
    <d v="2017-12-20T00:00:00"/>
    <d v="2037-08-31T00:00:00"/>
    <m/>
    <d v="2037-08-31T00:00:00"/>
    <n v="5094"/>
    <s v=""/>
    <s v="MBA-2003 , BCom-2000"/>
    <s v="15.03"/>
    <s v="05.09"/>
    <s v="20.11"/>
    <s v="70413458"/>
    <s v="Costing, Budgeting &amp; IDT"/>
    <s v="70491271"/>
    <s v="Offeicer-IDT"/>
    <s v="Vizag"/>
    <s v="0028030019"/>
    <s v="VIZ-Personnel &amp; Admi"/>
    <s v="2000VIZOPS"/>
    <s v="20006862"/>
    <s v="D Niranjan Patro"/>
    <s v="No"/>
    <s v="srikakolapu.ganesh@amns.in"/>
    <s v="8142125999"/>
    <s v="21759"/>
    <s v="DS Varma"/>
    <s v="Anil Matoo"/>
    <s v="Praveen Kuruvalli"/>
    <s v="Dhruv Vyas"/>
    <n v="0"/>
  </r>
  <r>
    <n v="3229"/>
    <n v="20053956"/>
    <s v="Motka Dharmendrabhai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c Instrumentation &amp; Automatio"/>
    <m/>
    <s v="Procurement MRO Hazira"/>
    <s v="Procurement"/>
    <s v="Instrumentation &amp; Automation spares - Hazira Complex"/>
    <s v="Non Technical Support"/>
    <s v="Commercial"/>
    <s v="Procurement"/>
    <s v="73803001"/>
    <s v="Procurement"/>
    <s v="AM/NS Hazira"/>
    <d v="1975-01-12T00:00:00"/>
    <s v="48.08"/>
    <d v="2018-02-09T00:00:00"/>
    <d v="2033-01-31T00:00:00"/>
    <m/>
    <d v="2033-01-31T00:00:00"/>
    <n v="3421"/>
    <s v="A-"/>
    <s v="BE-2001 , Diploma-1998"/>
    <s v="03.11"/>
    <s v="05.07"/>
    <s v="09.06"/>
    <s v="70266350"/>
    <s v="Zinc, Elect, Instrumentation, Automation"/>
    <s v="70491422"/>
    <s v="Lead - Proc Instrumentation &amp; Automatio"/>
    <s v="Hazira"/>
    <s v="0031950048"/>
    <s v="HZ-Procurment Depart"/>
    <s v="2000HWO"/>
    <s v="20002746"/>
    <s v="Deep Pyne"/>
    <s v="No"/>
    <s v="dharmendra.motka@amns.in"/>
    <s v="9909996271"/>
    <s v="22715"/>
    <s v="Dhruv Vyas"/>
    <s v="Anil Matoo"/>
    <s v="Praveen Kuruvalli"/>
    <s v="Dhruv Vyas"/>
    <n v="0"/>
  </r>
  <r>
    <n v="3274"/>
    <n v="20054232"/>
    <s v="Imran Mohammad"/>
    <s v="AM/NS India"/>
    <s v="Onroll"/>
    <s v="M-5"/>
    <n v="5"/>
    <m/>
    <s v="MM"/>
    <s v="M"/>
    <s v="Hazira"/>
    <n v="1"/>
    <s v="2015"/>
    <x v="1"/>
    <s v="22.06"/>
    <s v="Praveen Kuruvalli"/>
    <s v="Ashutosh Telang"/>
    <n v="6"/>
    <s v="HR &amp; Administration"/>
    <s v="Human Resources"/>
    <s v="22"/>
    <s v="Head-Talent Management &amp; OD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5-06-04T00:00:00"/>
    <s v="38.03"/>
    <d v="2018-07-25T00:00:00"/>
    <d v="2043-06-30T00:00:00"/>
    <m/>
    <d v="2043-06-30T00:00:00"/>
    <n v="7223"/>
    <s v=""/>
    <s v="MBA-2009 , BCom-2007 , High School-2004"/>
    <s v="11.06"/>
    <s v="05.01"/>
    <s v="16.08"/>
    <s v="70492872"/>
    <s v="Talent Management &amp; OD"/>
    <s v="70492364"/>
    <s v="Head-Talent Management &amp; OD"/>
    <s v="Hazira"/>
    <s v="0031950061"/>
    <s v="HZ-Human Resource"/>
    <s v="2000HWO"/>
    <s v="20055483"/>
    <s v="Praveen Kuruvalli"/>
    <s v="No"/>
    <s v="imran.mohammad@amns.in"/>
    <s v="9879103612"/>
    <s v="22682"/>
    <s v="Dhruv Vyas"/>
    <s v="Anil Matoo"/>
    <s v="Praveen Kuruvalli"/>
    <s v="Dhruv Vyas"/>
    <n v="0"/>
  </r>
  <r>
    <n v="3284"/>
    <n v="20054296"/>
    <s v="Ashish Rajak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Inventory Plant B"/>
    <s v="Non Technical Support"/>
    <s v="Commercial"/>
    <s v="Stores &amp; Warehouse"/>
    <s v="73806001"/>
    <s v="Stores &amp; Warehouse"/>
    <s v="Hazira"/>
    <d v="1990-09-12T00:00:00"/>
    <s v="33.00"/>
    <d v="2018-08-21T00:00:00"/>
    <d v="2048-09-30T00:00:00"/>
    <m/>
    <d v="2048-09-30T00:00:00"/>
    <n v="9142"/>
    <s v="O-"/>
    <s v="Diploma-2006"/>
    <s v="09.00"/>
    <s v="05.00"/>
    <s v="14.01"/>
    <s v="00053279"/>
    <s v="Receipts &amp; Unloading - Plant A"/>
    <s v="70492419"/>
    <s v="Section Officer - Issue/Shifting"/>
    <s v="Hazira"/>
    <s v="0031950049"/>
    <s v="HZ-Central Stores"/>
    <s v="2000HWO"/>
    <s v="20006916"/>
    <s v="Mir Ali Martaja"/>
    <s v="No"/>
    <s v="ashish.rajak@amns.in"/>
    <s v="9879102455"/>
    <s v="23630"/>
    <s v="Dhruv Vyas"/>
    <s v="Anil Matoo"/>
    <s v="Praveen Kuruvalli"/>
    <s v="Dhruv Vyas"/>
    <n v="0"/>
  </r>
  <r>
    <n v="3291"/>
    <n v="20054320"/>
    <s v="Sanjaykumar Kanani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– Capex Procurement"/>
    <m/>
    <s v="Capex Procurement"/>
    <s v="Capex Procurement"/>
    <s v=""/>
    <s v="Non Technical Support"/>
    <s v="Operations"/>
    <s v="Operations"/>
    <s v="72103001"/>
    <s v="Operations"/>
    <s v="Hazira"/>
    <d v="1994-12-09T00:00:00"/>
    <s v="28.09"/>
    <d v="2018-09-01T00:00:00"/>
    <d v="2052-12-31T00:00:00"/>
    <m/>
    <d v="2052-12-31T00:00:00"/>
    <n v="10695"/>
    <s v="B-"/>
    <s v="BE-2015 , Diploma-2012"/>
    <s v="03.03"/>
    <s v="05.00"/>
    <s v="08.03"/>
    <s v="00049515"/>
    <s v="Capex Procurement"/>
    <s v="70492467"/>
    <s v="Lead – Capex Procurement"/>
    <s v="Hazira"/>
    <s v="0031950059"/>
    <s v="HZ-Hazira Project"/>
    <s v="2000HWO"/>
    <s v="20055706"/>
    <s v="HimalKumar Madhusudan Sheth"/>
    <s v="No"/>
    <s v="sanjaykumar.kanani@amns.in"/>
    <s v="9879102090"/>
    <s v="22125"/>
    <s v="Dhruv Vyas"/>
    <s v="Anil Matoo"/>
    <s v="Praveen Kuruvalli"/>
    <s v="Dhruv Vyas"/>
    <n v="0"/>
  </r>
  <r>
    <n v="3292"/>
    <n v="20054321"/>
    <s v="Hitesh Suratwal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Profit Management"/>
    <m/>
    <s v="Performance Management"/>
    <s v="Performance Management"/>
    <s v="Profit Management"/>
    <s v="Non Technical Support"/>
    <s v="Finance &amp; Accounts"/>
    <s v="Costing"/>
    <s v="73906001"/>
    <s v="Costing"/>
    <s v="AM/NS Hazira"/>
    <d v="1995-11-13T00:00:00"/>
    <s v="27.10"/>
    <d v="2018-09-03T00:00:00"/>
    <d v="2053-11-30T00:00:00"/>
    <m/>
    <d v="2053-11-30T00:00:00"/>
    <n v="11029"/>
    <s v="B-"/>
    <s v="CA Final-2017 , BCom-2016"/>
    <s v=""/>
    <s v="05.00"/>
    <s v="05.00"/>
    <s v="00045310"/>
    <s v="Performance Management"/>
    <s v="70492468"/>
    <s v="Lead – Profit Management"/>
    <s v="Hazira"/>
    <s v="0031950043"/>
    <s v="HZ-Performance Manag"/>
    <s v="2000HWO"/>
    <s v="20059076"/>
    <s v="Ravish Doshi"/>
    <s v="No"/>
    <s v="hitesh.suratwala@amns.in"/>
    <s v="9879103154"/>
    <s v="24389"/>
    <s v="Dhruv Vyas"/>
    <s v="Anil Matoo"/>
    <s v="Praveen Kuruvalli"/>
    <s v="Dhruv Vyas"/>
    <n v="0"/>
  </r>
  <r>
    <n v="3308"/>
    <n v="20054383"/>
    <s v="Santosh Kumar Sahoo"/>
    <s v="AM/NS India"/>
    <s v="Onroll"/>
    <s v="M-9"/>
    <n v="9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Lead - Indirect Taxation"/>
    <m/>
    <s v="Finance &amp; Accounts - Odisha"/>
    <s v="Finance &amp; Accounts"/>
    <s v="Indirect Taxation"/>
    <s v="Non Technical Support"/>
    <s v="Finance &amp; Accounts"/>
    <s v="Taxation"/>
    <s v="73904002"/>
    <s v="Indirect Taxation"/>
    <s v="Paradeep"/>
    <d v="1985-05-19T00:00:00"/>
    <s v="38.04"/>
    <d v="2018-09-26T00:00:00"/>
    <d v="2043-05-31T00:00:00"/>
    <m/>
    <d v="2043-05-31T00:00:00"/>
    <n v="7193"/>
    <s v="O+"/>
    <s v="MBA-2006"/>
    <s v="02.06"/>
    <s v="04.11"/>
    <s v="07.05"/>
    <s v="70234933"/>
    <s v="Finance &amp; Accounts - Odisha"/>
    <s v="70492582"/>
    <s v="Lead - Indirect Taxation"/>
    <s v="Odisha"/>
    <s v="0022010019"/>
    <s v="DBN-Benf-HR/Admin"/>
    <s v="2000STORIS"/>
    <s v="20055801"/>
    <s v="Sanjive Kumar Singh"/>
    <s v="No"/>
    <s v="santosh.sahoo@amns.in"/>
    <s v="7381007062"/>
    <s v="23855"/>
    <s v="Sunila Das"/>
    <s v="Anil Matoo"/>
    <s v="Praveen Kuruvalli"/>
    <s v="Sunila Das"/>
    <n v="0"/>
  </r>
  <r>
    <n v="3355"/>
    <n v="20054448"/>
    <s v="Sejalben Pradipbhai Patel"/>
    <s v="AM/NS India"/>
    <s v="Onroll"/>
    <s v="M-10"/>
    <n v="10"/>
    <m/>
    <s v="JM"/>
    <s v="F"/>
    <s v="Hazira"/>
    <n v="1"/>
    <s v="2054"/>
    <x v="9"/>
    <s v="32.01"/>
    <s v="Pankaj Chaturvedi"/>
    <s v="Hrishikesh Kamat"/>
    <n v="7"/>
    <s v="Procurement"/>
    <s v="Contracts"/>
    <s v="32"/>
    <s v="Officer - Contracts"/>
    <m/>
    <s v="Contracts"/>
    <s v="Contracts"/>
    <s v="Power Infra, HK"/>
    <s v="Non Technical Support"/>
    <s v="Commercial"/>
    <s v="Contracts &amp; Tenders and E-bid"/>
    <s v="73805001"/>
    <s v="Contracts &amp; Tenders and E"/>
    <s v="AM/NS Hazira"/>
    <d v="1985-12-18T00:00:00"/>
    <s v="37.09"/>
    <d v="2018-10-01T00:00:00"/>
    <d v="2043-12-31T00:00:00"/>
    <m/>
    <d v="2043-12-31T00:00:00"/>
    <n v="7407"/>
    <s v="O+"/>
    <s v="Diploma-2014"/>
    <s v=""/>
    <s v="04.11"/>
    <s v="04.11"/>
    <s v="70495670"/>
    <s v="Contracts"/>
    <s v="70492612"/>
    <s v="Officer - Contracts"/>
    <s v="Hazira"/>
    <s v="0031950047"/>
    <s v="HZ-Contracts"/>
    <s v="2000HWO"/>
    <s v="20000795"/>
    <s v="Pankaj Chaturvedi"/>
    <s v="No"/>
    <s v="sejal.patel@amns.in"/>
    <s v="9925241140"/>
    <s v="23373"/>
    <s v="Dhruv Vyas"/>
    <s v="Anil Matoo"/>
    <s v="Praveen Kuruvalli"/>
    <s v="Dhruv Vyas"/>
    <n v="0"/>
  </r>
  <r>
    <n v="3408"/>
    <n v="20054512"/>
    <s v="Surinder Kumar Choudhary"/>
    <s v="AM/NS India"/>
    <s v="Onroll"/>
    <s v="M-6"/>
    <n v="6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Cluster Head - Human Resources"/>
    <m/>
    <s v="Human Resources"/>
    <s v=""/>
    <s v=""/>
    <s v="Non Technical Support"/>
    <s v="Human Resources Management"/>
    <s v="Human Resources Management"/>
    <s v="73501001"/>
    <s v="Human Resources"/>
    <s v="Hazira"/>
    <d v="1979-08-21T00:00:00"/>
    <s v="44.00"/>
    <d v="2018-10-12T00:00:00"/>
    <d v="2037-08-31T00:00:00"/>
    <m/>
    <d v="2037-08-31T00:00:00"/>
    <n v="5094"/>
    <s v="B+"/>
    <s v="PG Diploma in Management-2007 , BTech-20"/>
    <s v="12.10"/>
    <s v="04.11"/>
    <s v="17.09"/>
    <s v="70472771"/>
    <s v="Hazira HR Operations - 2"/>
    <s v="70319421"/>
    <s v="Cluster Head - Human Resources"/>
    <s v="Hazira"/>
    <s v="0031950061"/>
    <s v="HZ-Human Resource"/>
    <s v="2000HWO"/>
    <s v="20000083"/>
    <s v="Anil Matoo"/>
    <s v="No"/>
    <s v="surinder.choudhary@amns.in"/>
    <s v="9879100536"/>
    <s v="21427"/>
    <s v="Dhruv Vyas"/>
    <s v="Anil Matoo"/>
    <s v="Praveen Kuruvalli"/>
    <s v="Dhruv Vyas"/>
    <n v="0"/>
  </r>
  <r>
    <n v="3409"/>
    <n v="20054514"/>
    <s v="Sarvesh Jayesh Gangar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c OEM"/>
    <m/>
    <s v="Procurement MRO Hazira"/>
    <s v="Procurement"/>
    <s v="OEM across plant &amp; special inserts"/>
    <s v="Non Technical Support"/>
    <s v="Commercial"/>
    <s v="Procurement"/>
    <s v="73803001"/>
    <s v="Procurement"/>
    <s v="AM/NS Hazira"/>
    <d v="1990-06-15T00:00:00"/>
    <s v="33.03"/>
    <d v="2018-10-01T00:00:00"/>
    <d v="2048-06-30T00:00:00"/>
    <m/>
    <d v="2048-06-30T00:00:00"/>
    <n v="9050"/>
    <s v="O+"/>
    <s v="BE-2013"/>
    <s v="05.05"/>
    <s v="04.11"/>
    <s v="10.04"/>
    <s v="70072410"/>
    <s v="Rolling &amp; Finishing including CRM, Plate"/>
    <s v="70492725"/>
    <s v="Lead - Proc OEM"/>
    <s v="Hazira"/>
    <s v="0031950048"/>
    <s v="HZ-Procurment Depart"/>
    <s v="2000HWO"/>
    <s v="20002323"/>
    <s v="Balaji Somvanshi"/>
    <s v="No"/>
    <s v="sarvesh.gangar@amns.in"/>
    <s v="9909902759"/>
    <s v="21760"/>
    <s v="Dhruv Vyas"/>
    <s v="Anil Matoo"/>
    <s v="Praveen Kuruvalli"/>
    <s v="Dhruv Vyas"/>
    <n v="0"/>
  </r>
  <r>
    <n v="3412"/>
    <n v="20054520"/>
    <s v="Trupti Yagnesh Patel"/>
    <s v="AM/NS India"/>
    <s v="Onroll"/>
    <s v="M-8"/>
    <n v="8"/>
    <m/>
    <s v="JM"/>
    <s v="F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HSM, CSP Mill"/>
    <s v="Non Technical Support"/>
    <s v="Commercial"/>
    <s v="Contracts &amp; Tenders and E-bid"/>
    <s v="73805001"/>
    <s v="Contracts &amp; Tenders and E"/>
    <s v="AM/NS Hazira"/>
    <d v="1984-04-17T00:00:00"/>
    <s v="39.05"/>
    <d v="2018-10-10T00:00:00"/>
    <d v="2042-04-30T00:00:00"/>
    <m/>
    <d v="2042-04-30T00:00:00"/>
    <n v="6797"/>
    <s v="O+"/>
    <s v="Diploma-2005"/>
    <s v="11.08"/>
    <s v="04.11"/>
    <s v="16.07"/>
    <s v="70495670"/>
    <s v="Contracts"/>
    <s v="70492721"/>
    <s v="Lead - Contracts"/>
    <s v="Hazira"/>
    <s v="0031950047"/>
    <s v="HZ-Contracts"/>
    <s v="2000HWO"/>
    <s v="20000795"/>
    <s v="Pankaj Chaturvedi"/>
    <s v="No"/>
    <s v="trupti.patel@amns.in"/>
    <s v="9879106768"/>
    <s v="23392"/>
    <s v="Dhruv Vyas"/>
    <s v="Anil Matoo"/>
    <s v="Praveen Kuruvalli"/>
    <s v="Dhruv Vyas"/>
    <n v="0"/>
  </r>
  <r>
    <n v="3420"/>
    <n v="20054535"/>
    <s v="Mahendran V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ceipt /Issue Plant"/>
    <m/>
    <s v="Stores &amp; Warehouse"/>
    <s v="Stores &amp; Warehouse"/>
    <s v="Refractory A, Receipt -Issue"/>
    <s v="Non Technical Support"/>
    <s v="Commercial"/>
    <s v="Stores &amp; Warehouse"/>
    <s v="73806001"/>
    <s v="Stores &amp; Warehouse"/>
    <s v="Hazira"/>
    <d v="1985-09-13T00:00:00"/>
    <s v="38.00"/>
    <d v="2018-10-20T00:00:00"/>
    <d v="2043-09-30T00:00:00"/>
    <m/>
    <d v="2043-09-30T00:00:00"/>
    <n v="7315"/>
    <s v="A+"/>
    <s v="Diploma-2006"/>
    <s v="12.00"/>
    <s v="04.11"/>
    <s v="16.11"/>
    <s v="00044539"/>
    <s v="Ferroalloy &amp; Refractory Stores"/>
    <s v="70492821"/>
    <s v="Section Officer - Receipt /Issue Plant"/>
    <s v="Hazira"/>
    <s v="0031950049"/>
    <s v="HZ-Central Stores"/>
    <s v="2000HWO"/>
    <s v="20010626"/>
    <s v="Barot Sachinkumar"/>
    <s v="No"/>
    <s v="mahendran.v@amns.in"/>
    <s v="9879104934"/>
    <s v="24599"/>
    <s v="Dhruv Vyas"/>
    <s v="Anil Matoo"/>
    <s v="Praveen Kuruvalli"/>
    <s v="Dhruv Vyas"/>
    <n v="0"/>
  </r>
  <r>
    <n v="3421"/>
    <n v="20054536"/>
    <s v="Parag Dilipkumar Joshi"/>
    <s v="AM/NS India"/>
    <s v="Onroll"/>
    <s v="M-10"/>
    <n v="10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Refractory &amp; Plant B"/>
    <m/>
    <s v="Stores &amp; Warehouse"/>
    <s v="Stores &amp; Warehouse"/>
    <s v="Refractory B, Receipt -Issue"/>
    <s v="Non Technical Support"/>
    <s v="Commercial"/>
    <s v="Stores &amp; Warehouse"/>
    <s v="73806001"/>
    <s v="Stores &amp; Warehouse"/>
    <s v="Hazira"/>
    <d v="1987-03-17T00:00:00"/>
    <s v="36.06"/>
    <d v="2018-10-20T00:00:00"/>
    <d v="2045-03-31T00:00:00"/>
    <m/>
    <d v="2045-03-31T00:00:00"/>
    <n v="7863"/>
    <s v="A+"/>
    <s v="MCom-2006"/>
    <s v="08.09"/>
    <s v="04.11"/>
    <s v="13.07"/>
    <s v="00044539"/>
    <s v="Ferroalloy &amp; Refractory Stores"/>
    <s v="70492822"/>
    <s v="Section Officer - Refractory &amp; Plant B"/>
    <s v="Hazira"/>
    <s v="0031950049"/>
    <s v="HZ-Central Stores"/>
    <s v="2000HWO"/>
    <s v="20010626"/>
    <s v="Barot Sachinkumar"/>
    <s v="No"/>
    <s v="parag.joshi2@amns.in"/>
    <s v="9925245354"/>
    <s v="22067"/>
    <s v="Dhruv Vyas"/>
    <s v="Anil Matoo"/>
    <s v="Praveen Kuruvalli"/>
    <s v="Dhruv Vyas"/>
    <n v="0"/>
  </r>
  <r>
    <n v="3423"/>
    <n v="20054538"/>
    <s v="Niraj Pradeep Khopkar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– EXIM"/>
    <m/>
    <s v="Taxation"/>
    <s v="Indirect Taxation"/>
    <s v="EXIM"/>
    <s v="Non Technical Support"/>
    <s v="Finance &amp; Accounts"/>
    <s v="Taxation"/>
    <s v="73904002"/>
    <s v="Indirect Taxation"/>
    <s v="Mumbai"/>
    <d v="1982-06-05T00:00:00"/>
    <s v="41.03"/>
    <d v="2018-10-22T00:00:00"/>
    <d v="2040-06-30T00:00:00"/>
    <m/>
    <d v="2040-06-30T00:00:00"/>
    <n v="6128"/>
    <s v="A+"/>
    <s v="Certificate-2017 , Diploma-2007 , BCom-2"/>
    <s v="14.06"/>
    <s v="04.10"/>
    <s v="19.05"/>
    <s v="70072408"/>
    <s v="Customs / DGFT / EXIM"/>
    <s v="70492823"/>
    <s v="Sr. Lead– EXIM"/>
    <s v="Corporate"/>
    <s v="0090000033"/>
    <s v="Corporate Taxation"/>
    <s v="2000CS"/>
    <s v="20047664"/>
    <s v="Devang Desai"/>
    <s v="No"/>
    <s v="niraj.khopkar@amns.in"/>
    <s v="9819731545"/>
    <s v="22238"/>
    <s v="Dhruv Vyas"/>
    <s v="Anil Matoo"/>
    <s v="Praveen Kuruvalli"/>
    <s v="Dhruv Vyas"/>
    <n v="0"/>
  </r>
  <r>
    <n v="3429"/>
    <n v="20054565"/>
    <s v="Dhruv Vyas"/>
    <s v="AM/NS India"/>
    <s v="Onroll"/>
    <s v="M-7"/>
    <n v="7"/>
    <m/>
    <s v="MM"/>
    <s v="M"/>
    <s v="Hazira"/>
    <n v="1"/>
    <s v="2015"/>
    <x v="1"/>
    <s v="22.06"/>
    <s v="Praveen Kuruvalli"/>
    <s v="Ashutosh Telang"/>
    <n v="6"/>
    <s v="HR &amp; Administration"/>
    <s v="Human Resources"/>
    <s v="22"/>
    <s v="Lead  Human Resources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88-08-06T00:00:00"/>
    <s v="35.01"/>
    <d v="2018-11-01T00:00:00"/>
    <d v="2046-08-31T00:00:00"/>
    <m/>
    <d v="2046-08-31T00:00:00"/>
    <n v="8381"/>
    <s v="A+"/>
    <s v="MCA-2015 , MBA-2014 , Bachelor of Comput"/>
    <s v="04.06"/>
    <s v="04.10"/>
    <s v="09.04"/>
    <s v="00053055"/>
    <s v="Human Resources"/>
    <s v="70492873"/>
    <s v="Lead  Human Resources"/>
    <s v="Hazira"/>
    <s v="0031950061"/>
    <s v="HZ-Human Resource"/>
    <s v="2000HWO"/>
    <s v="20055672"/>
    <s v="Shailja Tripathi"/>
    <s v="No"/>
    <s v="dhruv.vyas@amns.in"/>
    <s v="9879101603"/>
    <s v="24719"/>
    <s v="Dhruv Vyas"/>
    <s v="Anil Matoo"/>
    <s v="Praveen Kuruvalli"/>
    <s v="Dhruv Vyas"/>
    <n v="0"/>
  </r>
  <r>
    <n v="3460"/>
    <n v="20054681"/>
    <s v="Roshan Farkunde"/>
    <s v="AM/NS India"/>
    <s v="Onroll"/>
    <s v="M-7"/>
    <n v="7"/>
    <m/>
    <s v="MM"/>
    <s v="M"/>
    <s v="Pune Facility"/>
    <n v="4"/>
    <s v="2015"/>
    <x v="1"/>
    <s v="22.06"/>
    <s v="Anil Matoo"/>
    <s v="Ashutosh Telang"/>
    <n v="6"/>
    <s v="HR &amp; Administration"/>
    <s v="Human Resources"/>
    <s v="22"/>
    <s v="Lead - Human Resource"/>
    <m/>
    <s v="Human Resources"/>
    <s v="Training"/>
    <s v="Human Resources"/>
    <s v="Non Technical Support"/>
    <s v="Human Resources Management"/>
    <s v="Human Resources Management"/>
    <s v="73501001"/>
    <s v="Human Resources"/>
    <s v="Pune AMNS"/>
    <d v="1984-09-11T00:00:00"/>
    <s v="39.00"/>
    <d v="2018-12-26T00:00:00"/>
    <d v="2042-09-30T00:00:00"/>
    <m/>
    <d v="2042-09-30T00:00:00"/>
    <n v="6950"/>
    <s v="B+"/>
    <s v="MBA-2009 , BSc-2005"/>
    <s v="09.07"/>
    <s v="04.08"/>
    <s v="14.03"/>
    <s v="73800068"/>
    <s v="Pune HR Operations &amp; Administration"/>
    <s v="70493321"/>
    <s v="Lead - Human Resource"/>
    <s v="Pune Facility"/>
    <s v="0035950019"/>
    <s v="Pune-Admin"/>
    <s v="2000ESPF"/>
    <s v="20037245"/>
    <s v="Mukund Jagirdar"/>
    <s v="No"/>
    <s v="roshan.farkunde@amns.in"/>
    <s v="9158045252"/>
    <s v="21714"/>
    <s v="Dhruv Vyas"/>
    <s v="Anil Matoo"/>
    <s v="Praveen Kuruvalli"/>
    <s v="Dhruv Vyas"/>
    <n v="0"/>
  </r>
  <r>
    <n v="3475"/>
    <n v="20054875"/>
    <s v="Sandeep Koul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4"/>
    <s v="OEM Sales"/>
    <s v="Noida"/>
    <d v="1985-06-29T00:00:00"/>
    <s v="38.02"/>
    <d v="2019-03-01T00:00:00"/>
    <d v="2043-06-30T00:00:00"/>
    <m/>
    <d v="2043-06-30T00:00:00"/>
    <n v="7223"/>
    <s v="A+"/>
    <s v="MBA-2011 , Bachelor of Computer Applicat"/>
    <s v="02.10"/>
    <s v="04.06"/>
    <s v="07.04"/>
    <s v="72150181"/>
    <s v="Sales North Zone"/>
    <s v="70493939"/>
    <s v="Sales Manager"/>
    <s v="Hazira"/>
    <s v="0031950057"/>
    <s v="HZ-HRC - Marketing"/>
    <s v="2000HWO"/>
    <s v="20002920"/>
    <s v="Sudhir Sharma"/>
    <s v="No"/>
    <s v="sandeep.koul@amns.in"/>
    <s v="9999949891"/>
    <s v="22277"/>
    <s v="Dhruv Vyas"/>
    <s v="Anil Matoo"/>
    <s v="Praveen Kuruvalli"/>
    <s v="Dhruv Vyas"/>
    <n v="0"/>
  </r>
  <r>
    <n v="3482"/>
    <n v="20054907"/>
    <s v="Shreyas Agarwal"/>
    <s v="AM/NS India"/>
    <s v="Onroll"/>
    <s v="M-9"/>
    <n v="9"/>
    <m/>
    <s v="JM"/>
    <s v="M"/>
    <s v="Hazira"/>
    <n v="1"/>
    <s v="2096"/>
    <x v="14"/>
    <s v="36.02"/>
    <s v="Deepak Sindkar"/>
    <s v="Hrishikesh Kamat"/>
    <n v="7"/>
    <s v="Procurement"/>
    <s v="Raw Materials"/>
    <s v="36"/>
    <s v="Lead - Gas Management"/>
    <m/>
    <s v="Power &amp; Gas"/>
    <s v="Power &amp; Gas"/>
    <s v="Power &amp; Gas"/>
    <s v="Non Technical Support"/>
    <s v="Commercial"/>
    <s v="Procurement"/>
    <s v="73803001"/>
    <s v="Procurement"/>
    <s v="AM/NS Hazira"/>
    <d v="1997-02-02T00:00:00"/>
    <s v="26.07"/>
    <d v="2019-04-15T00:00:00"/>
    <d v="2055-02-28T00:00:00"/>
    <m/>
    <d v="2055-02-28T00:00:00"/>
    <n v="11484"/>
    <s v="O+"/>
    <s v="MBA-2019 , BBA-2017 , Intermediate-2014"/>
    <s v=""/>
    <s v="04.05"/>
    <s v="04.05"/>
    <s v="00049516"/>
    <s v="Power &amp; Gas"/>
    <s v="70494001"/>
    <s v="Lead - Gas Management"/>
    <s v="Hazira"/>
    <s v="0031950048"/>
    <s v="HZ-Procurment Depart"/>
    <s v="2000HWO"/>
    <s v="20004612"/>
    <s v="Ramesh Chabhadiya"/>
    <s v="No"/>
    <s v="shreyas.agarwal@amns.in"/>
    <s v="9879101479"/>
    <s v="24862"/>
    <s v="Dhruv Vyas"/>
    <s v="Anil Matoo"/>
    <s v="Praveen Kuruvalli"/>
    <s v="Dhruv Vyas"/>
    <n v="0"/>
  </r>
  <r>
    <n v="3502"/>
    <n v="20054937"/>
    <s v="Hitesh Kumar Yadav"/>
    <s v="AM/NS India"/>
    <s v="Onroll"/>
    <s v="M-6"/>
    <n v="6"/>
    <m/>
    <s v="MM"/>
    <s v="M"/>
    <s v="Hazira"/>
    <n v="1"/>
    <s v="2722"/>
    <x v="20"/>
    <s v="28.02"/>
    <s v="Anil Matoo"/>
    <s v="Ashutosh Telang"/>
    <n v="6"/>
    <s v="HR &amp; Administration"/>
    <s v="Academy for Skill Development"/>
    <n v="28"/>
    <s v="Head - Academy"/>
    <m/>
    <s v="Academy for Skill Development"/>
    <s v=""/>
    <s v=""/>
    <s v="Non Technical Support"/>
    <s v="Human Resources Management"/>
    <s v="Human Resources Management"/>
    <s v="73501002"/>
    <s v="Human Resources Operation"/>
    <s v="Hazira"/>
    <d v="1977-03-30T00:00:00"/>
    <s v="46.05"/>
    <d v="2019-06-10T00:00:00"/>
    <d v="2035-03-31T00:00:00"/>
    <m/>
    <d v="2035-03-31T00:00:00"/>
    <n v="4210"/>
    <s v="O+"/>
    <s v="MHRM-2005 , BTech-2000 , Intermediate-19"/>
    <s v="02.03"/>
    <s v="04.03"/>
    <s v="06.06"/>
    <s v="70495652"/>
    <s v="Academy for Skill Development"/>
    <s v="70494107"/>
    <s v="Head - Academy"/>
    <s v="Hazira"/>
    <s v="0031950061"/>
    <s v="HZ-Human Resource"/>
    <s v="2000HWO"/>
    <s v="20000083"/>
    <s v="Anil Matoo"/>
    <s v="No"/>
    <s v="hitesh.yadav@amns.in"/>
    <s v="9879100546"/>
    <s v="24965"/>
    <s v="Dhruv Vyas"/>
    <s v="Anil Matoo"/>
    <s v="Praveen Kuruvalli"/>
    <s v="Dhruv Vyas"/>
    <n v="0"/>
  </r>
  <r>
    <n v="3509"/>
    <n v="20054954"/>
    <s v="Arnav Mishra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"/>
    <s v="Non Technical Support"/>
    <s v="Operations"/>
    <s v="Plant Operations"/>
    <s v="72103005"/>
    <s v="Shift Operations"/>
    <s v="Chennai"/>
    <d v="1988-11-21T00:00:00"/>
    <s v="34.09"/>
    <d v="2019-06-18T00:00:00"/>
    <d v="2046-11-30T00:00:00"/>
    <m/>
    <d v="2046-11-30T00:00:00"/>
    <n v="8472"/>
    <s v="B+"/>
    <s v="MTech-2019 , BTech-2010 , SSLC-2005 , Hi"/>
    <s v=""/>
    <s v="04.03"/>
    <s v="04.03"/>
    <s v="00052460"/>
    <s v="Auto &amp; YG"/>
    <s v="70494154"/>
    <s v="Lead – Application Engineer"/>
    <s v="Hazira"/>
    <s v="0031950057"/>
    <s v="HZ-HRC - Marketing"/>
    <s v="2000HWO"/>
    <s v="20056155"/>
    <s v="Kondapalli Venkateswarlu"/>
    <s v="No"/>
    <s v="arnav.mishra@amns.in"/>
    <s v="9925241696"/>
    <s v="24913"/>
    <s v="Dhruv Vyas"/>
    <s v="Anil Matoo"/>
    <s v="Praveen Kuruvalli"/>
    <s v="Dhruv Vyas"/>
    <n v="0"/>
  </r>
  <r>
    <n v="3510"/>
    <n v="20054955"/>
    <s v="Gaurav Sharma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"/>
    <s v="Non Technical Support"/>
    <s v="Operations"/>
    <s v="Plant Operations"/>
    <s v="72103005"/>
    <s v="Shift Operations"/>
    <s v="Noida"/>
    <d v="1991-09-28T00:00:00"/>
    <s v="31.11"/>
    <d v="2019-06-18T00:00:00"/>
    <d v="2049-09-30T00:00:00"/>
    <m/>
    <d v="2049-09-30T00:00:00"/>
    <n v="9507"/>
    <s v="B+"/>
    <s v="MTech-2019 , BTech-2014 , SSLC-2009 , Hi"/>
    <s v=""/>
    <s v="04.03"/>
    <s v="04.03"/>
    <s v="00052460"/>
    <s v="Auto &amp; YG"/>
    <s v="70494155"/>
    <s v="Lead – Application Engineer"/>
    <s v="Hazira"/>
    <s v="0031950057"/>
    <s v="HZ-HRC - Marketing"/>
    <s v="2000HWO"/>
    <s v="20056155"/>
    <s v="Kondapalli Venkateswarlu"/>
    <s v="No"/>
    <s v="gaurav.sharma@amns.in"/>
    <s v="9925241040"/>
    <s v="24097"/>
    <s v="Dhruv Vyas"/>
    <s v="Anil Matoo"/>
    <s v="Praveen Kuruvalli"/>
    <s v="Dhruv Vyas"/>
    <n v="0"/>
  </r>
  <r>
    <n v="3521"/>
    <n v="20054976"/>
    <s v="Golakiya Krushil Ishvarbhai"/>
    <s v="AM/NS India"/>
    <s v="Onroll"/>
    <s v="M-10"/>
    <n v="10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Section Engineer - Projects Coordination"/>
    <m/>
    <s v="Capex Planning &amp; Projects"/>
    <s v="AWESOME Projects, CRM Projects, Coal Conveyor to 300 MW PP"/>
    <s v="&quot;ARP-2 Project,"/>
    <s v="Non Technical Support"/>
    <s v="Projects"/>
    <s v="Projects Coordination"/>
    <s v="72103038"/>
    <s v="Projects Coordination"/>
    <s v="Hazira"/>
    <d v="1998-04-02T00:00:00"/>
    <s v="25.05"/>
    <d v="2019-06-18T00:00:00"/>
    <d v="2056-04-30T00:00:00"/>
    <m/>
    <d v="2056-04-30T00:00:00"/>
    <n v="11911"/>
    <s v="O+"/>
    <s v="BTech-2019 , SSLC-2015 , High School-201"/>
    <s v=""/>
    <s v="04.03"/>
    <s v="04.03"/>
    <s v="00049344"/>
    <s v="Capex Procurement"/>
    <s v="70494179"/>
    <s v="Section Engineer - Projects Coordination"/>
    <s v="Hazira"/>
    <s v="0031950059"/>
    <s v="HZ-Hazira Project"/>
    <s v="2000HWO"/>
    <s v="20055728"/>
    <s v="Mahebub Vahora"/>
    <s v="No"/>
    <s v="krushil.golakiya@amns.in"/>
    <s v="9909902475"/>
    <s v="24892"/>
    <s v="Dhruv Vyas"/>
    <s v="Anil Matoo"/>
    <s v="Praveen Kuruvalli"/>
    <s v="Dhruv Vyas"/>
    <n v="0"/>
  </r>
  <r>
    <n v="3526"/>
    <n v="20054987"/>
    <s v="Shaik Saajid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TM &amp; AE"/>
    <m/>
    <s v="Technical Marketing &amp; Application Engineering"/>
    <s v="Technical Marketing &amp; Application Engineering"/>
    <s v="RM ÃƒÆ’Ã‚Â¢ÃƒÂ¢Ã¢â‚¬Å¡Ã‚Â¬ÃƒÂ¢Ã¢â€šÂ¬Ã…â€œ FM ÃƒÆ’Ã‚Â¢ÃƒÂ¢Ã¢â‚¬Å¡Ã‚Â¬ÃƒÂ¢Ã¢â€šÂ¬Ã…â€œ CS ÃƒÆ’Ã‚Â¢ÃƒÂ¢Ã¢â‚¬Å¡Ã‚Â¬ÃƒÂ¢Ã¢â€šÂ¬Ã…â€œ DC"/>
    <s v="Non Technical Support"/>
    <s v="Operations"/>
    <s v="Plant Maintenance"/>
    <s v="72103008"/>
    <s v="Mechanical Maintenance"/>
    <s v="Mumbai"/>
    <d v="1998-01-10T00:00:00"/>
    <s v="25.08"/>
    <d v="2019-06-18T00:00:00"/>
    <d v="2056-01-31T00:00:00"/>
    <m/>
    <d v="2056-01-31T00:00:00"/>
    <n v="11821"/>
    <s v="B+"/>
    <s v="BTech-2019 , SSLC-2015 , High School-201"/>
    <s v=""/>
    <s v="04.03"/>
    <s v="04.03"/>
    <s v="00052460"/>
    <s v="Auto &amp; YG"/>
    <s v="70494190"/>
    <s v="Lead – Application Engineer"/>
    <s v="Hazira"/>
    <s v="0031950057"/>
    <s v="HZ-HRC - Marketing"/>
    <s v="2000HWO"/>
    <s v="20056155"/>
    <s v="Kondapalli Venkateswarlu"/>
    <s v="No"/>
    <s v="shaik.sajid@amns.in"/>
    <s v="9909902292"/>
    <s v="24935"/>
    <s v="Dhruv Vyas"/>
    <s v="Anil Matoo"/>
    <s v="Praveen Kuruvalli"/>
    <s v="Dhruv Vyas"/>
    <n v="0"/>
  </r>
  <r>
    <n v="3538"/>
    <n v="20055011"/>
    <s v="Sambit Kumar Panda"/>
    <s v="AM/NS India"/>
    <s v="Onroll"/>
    <s v="M-10"/>
    <n v="10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Lead - Mechanical Buying"/>
    <m/>
    <s v="Procurement"/>
    <s v="Procurement"/>
    <s v="Procurement"/>
    <s v="Non Technical Support"/>
    <s v="Operations"/>
    <s v="Plant Maintenance"/>
    <s v="72103008"/>
    <s v="Mechanical Maintenance"/>
    <s v="Paradeep"/>
    <d v="1997-07-16T00:00:00"/>
    <s v="26.02"/>
    <d v="2019-06-18T00:00:00"/>
    <d v="2055-07-31T00:00:00"/>
    <m/>
    <d v="2055-07-31T00:00:00"/>
    <n v="11637"/>
    <s v="B+"/>
    <s v="BTech-2019 , SSLC-2015 , High School-201"/>
    <s v=""/>
    <s v="04.03"/>
    <s v="04.03"/>
    <s v="70407583"/>
    <s v="Procurement - Odisha Asset"/>
    <s v="70494163"/>
    <s v="Lead - Mechanical Buying"/>
    <s v="Odisha"/>
    <s v="0022030019"/>
    <s v="PDP-HR &amp; Admn"/>
    <s v="2000STORIS"/>
    <s v="20055692"/>
    <s v="Rajiv Ranjan"/>
    <s v="Yes"/>
    <s v="spanda1996@gmail.com"/>
    <s v="7381007063"/>
    <s v="24922"/>
    <s v="Sunila Das"/>
    <s v="Anil Matoo"/>
    <s v="Praveen Kuruvalli"/>
    <s v="Sunila Das"/>
    <n v="0"/>
  </r>
  <r>
    <n v="3544"/>
    <n v="20055018"/>
    <s v="Uzair Gulammohamad Vahora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West"/>
    <s v="Hypermart"/>
    <s v=""/>
    <s v="Non Technical Support"/>
    <s v="Sales &amp; Marketing"/>
    <s v="Sales"/>
    <s v="73104004"/>
    <s v="OEM Sales"/>
    <s v="Hazira"/>
    <d v="1995-05-28T00:00:00"/>
    <s v="28.03"/>
    <d v="2019-06-24T00:00:00"/>
    <d v="2053-05-31T00:00:00"/>
    <m/>
    <d v="2053-05-31T00:00:00"/>
    <n v="10846"/>
    <s v="O+"/>
    <s v="MBA-2019 , BBA-2016 , Intermediate-2013"/>
    <s v=""/>
    <s v="04.02"/>
    <s v="04.02"/>
    <s v="70394840"/>
    <s v="OEM Sales - Gujarat"/>
    <s v="70494225"/>
    <s v="Sales Manager - Hypermart"/>
    <s v="Hazira"/>
    <s v="0060110200"/>
    <s v="HMART-Gujarat Div"/>
    <s v="2000HWO"/>
    <s v="20001736"/>
    <s v="Manoranjan Jagdhari"/>
    <s v="No"/>
    <s v="uzair.vahora@amns.in"/>
    <s v="8657537920"/>
    <s v="24622"/>
    <s v="Dhruv Vyas"/>
    <s v="Anil Matoo"/>
    <s v="Praveen Kuruvalli"/>
    <s v="Dhruv Vyas"/>
    <n v="0"/>
  </r>
  <r>
    <n v="3557"/>
    <n v="20055033"/>
    <s v="Vikas Chandra Yadvendu"/>
    <s v="AM/NS India"/>
    <s v="Onroll"/>
    <s v="M-5"/>
    <n v="5"/>
    <m/>
    <s v="MM"/>
    <s v="M"/>
    <s v="Corporate"/>
    <n v="7"/>
    <s v="2094"/>
    <x v="21"/>
    <s v="27.10"/>
    <s v="Ashutosh Telang"/>
    <s v="Ashutosh Telang"/>
    <n v="6"/>
    <s v="HR &amp; Administration"/>
    <s v="Corporate SocialResponsibility"/>
    <s v="27"/>
    <s v="Head - Corporate Social Responsibility"/>
    <m/>
    <s v="Corporate Social Responsibility"/>
    <s v="CSR"/>
    <s v="CSR"/>
    <s v="Non Technical Support"/>
    <s v="Corporate Social Responsibility"/>
    <s v="Corporate Social Responsibility"/>
    <s v="75001001"/>
    <s v="Corporate Social Responsi"/>
    <s v="Paradeep"/>
    <d v="1983-08-03T00:00:00"/>
    <s v="40.01"/>
    <d v="2019-08-01T00:00:00"/>
    <d v="2041-08-31T00:00:00"/>
    <m/>
    <d v="2041-08-31T00:00:00"/>
    <n v="6555"/>
    <s v="O+"/>
    <s v="Phd-2016 , Master's Equivalent-2007 , BS"/>
    <s v="12.01"/>
    <s v="04.01"/>
    <s v="16.02"/>
    <s v="70495661"/>
    <s v="Corporate Social Responsibility"/>
    <s v="70494325"/>
    <s v="Head - Corporate Social Responsibility"/>
    <s v="Corporate"/>
    <s v="0022030019"/>
    <s v="PDP-HR &amp; Admn"/>
    <s v="2000CS"/>
    <s v="20059024"/>
    <s v="Keiji Kubota"/>
    <s v="No"/>
    <s v="vikas.yadvendu@amns.in"/>
    <s v="7381007260"/>
    <s v="24966"/>
    <s v="Dhruv Vyas"/>
    <s v="Anil Matoo"/>
    <s v="Praveen Kuruvalli"/>
    <s v="Dhruv Vyas"/>
    <n v="0"/>
  </r>
  <r>
    <n v="3558"/>
    <n v="20055034"/>
    <s v="Rabi Narayana Prusty"/>
    <s v="AM/NS India"/>
    <s v="Onroll"/>
    <s v="M-9"/>
    <n v="9"/>
    <m/>
    <s v="JM"/>
    <s v="M"/>
    <s v="Odisha"/>
    <n v="2"/>
    <s v="2069"/>
    <x v="8"/>
    <s v="25.01"/>
    <s v="Bibek Chattopadhyay"/>
    <s v="Ashutosh Telang"/>
    <n v="6"/>
    <s v="HR &amp; Administration"/>
    <s v="Corporate Communications"/>
    <s v="25"/>
    <s v="Lead-Corporate Communication"/>
    <m/>
    <s v="Corporate Communications"/>
    <s v="Coporate Communication"/>
    <s v="Coporate Communication"/>
    <s v="Non Technical Support"/>
    <s v="Corporate Communication"/>
    <s v="Corporate Communication"/>
    <s v="74001001"/>
    <s v="Corporate Communication"/>
    <s v="Bhubaneswar"/>
    <d v="1976-06-10T00:00:00"/>
    <s v="47.03"/>
    <d v="2019-08-01T00:00:00"/>
    <d v="2034-06-30T00:00:00"/>
    <m/>
    <d v="2034-06-30T00:00:00"/>
    <n v="3936"/>
    <s v="B+"/>
    <s v="Master's Equivalent-2018 , BEd-1996 , BA"/>
    <s v="16.07"/>
    <s v="04.01"/>
    <s v="20.08"/>
    <s v="00046762"/>
    <s v="Communiation &amp; Media Relations Odisha"/>
    <s v="70494354"/>
    <s v="Lead-Corporate Communication"/>
    <s v="Odisha"/>
    <s v="0022030019"/>
    <s v="PDP-HR &amp; Admn"/>
    <s v="2000STORIS"/>
    <s v="20056246"/>
    <s v="Soumitra Patnaik"/>
    <s v="No"/>
    <s v="rabi.prusty@amns.in"/>
    <s v="7381007154"/>
    <s v="23589"/>
    <s v="Sunila Das"/>
    <s v="Anil Matoo"/>
    <s v="Praveen Kuruvalli"/>
    <s v="Sunila Das"/>
    <n v="0"/>
  </r>
  <r>
    <n v="3565"/>
    <n v="20055048"/>
    <s v="Vyas Jaiminkumar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– Proc Instrumentation &amp; Automatio"/>
    <m/>
    <s v="Procurement MRO Hazira"/>
    <s v="Procurement"/>
    <s v="Instrumentation &amp; Automation spares, Cables - Hazira Complex"/>
    <s v="Non Technical Support"/>
    <s v="Commercial"/>
    <s v="Procurement"/>
    <s v="73803001"/>
    <s v="Procurement"/>
    <s v="AM/NS Hazira"/>
    <d v="1982-03-22T00:00:00"/>
    <s v="41.06"/>
    <d v="2019-09-21T00:00:00"/>
    <d v="2040-03-31T00:00:00"/>
    <m/>
    <d v="2040-03-31T00:00:00"/>
    <n v="6037"/>
    <s v="O+"/>
    <s v="Diploma-2003 , Diploma-2003 , High Schoo"/>
    <s v=""/>
    <s v="04.00"/>
    <s v="04.00"/>
    <s v="70266350"/>
    <s v="Zinc, Elect, Instrumentation, Automation"/>
    <s v="70494450"/>
    <s v="Lead – Proc Instrumentation &amp; Automatio"/>
    <s v="Hazira"/>
    <s v="0031950048"/>
    <s v="HZ-Procurment Depart"/>
    <s v="2000HWO"/>
    <s v="20002746"/>
    <s v="Deep Pyne"/>
    <s v="No"/>
    <s v="jaimin.vyas@amns.in"/>
    <s v="9879101941"/>
    <s v="24963"/>
    <s v="Dhruv Vyas"/>
    <s v="Anil Matoo"/>
    <s v="Praveen Kuruvalli"/>
    <s v="Dhruv Vyas"/>
    <n v="0"/>
  </r>
  <r>
    <n v="3566"/>
    <n v="20055049"/>
    <s v="Rajesh Prabhakar Raktate"/>
    <s v="AM/NS India"/>
    <s v="Onroll"/>
    <s v="M-6"/>
    <n v="6"/>
    <m/>
    <s v="MM"/>
    <s v="M"/>
    <s v="Corporate"/>
    <n v="7"/>
    <s v="2071"/>
    <x v="22"/>
    <s v="41.01"/>
    <s v="P Ashok Kumar"/>
    <s v="P Ashok Kumar"/>
    <n v="9"/>
    <s v="Legal"/>
    <s v="Legal"/>
    <s v="41"/>
    <s v="Legal Speclialist"/>
    <m/>
    <s v="Legal"/>
    <s v="Legal"/>
    <s v="Legal"/>
    <s v="Non Technical Support"/>
    <s v="Legal"/>
    <s v="Legal"/>
    <s v="73201001"/>
    <s v="Legal"/>
    <s v="Mumbai"/>
    <d v="1975-11-14T00:00:00"/>
    <s v="47.10"/>
    <d v="2019-10-01T00:00:00"/>
    <d v="2033-11-30T00:00:00"/>
    <m/>
    <d v="2033-11-30T00:00:00"/>
    <n v="3724"/>
    <s v="O+"/>
    <s v="LLB-2001 , Diploma-1998 , BCom-1996"/>
    <s v="15.02"/>
    <s v="03.11"/>
    <s v="19.01"/>
    <s v="70494754"/>
    <s v="Legal"/>
    <s v="70494454"/>
    <s v="Legal Speclialist"/>
    <s v="Corporate"/>
    <s v="0090000019"/>
    <s v="Corporate Steel - Le"/>
    <s v="2000CS"/>
    <s v="20055235"/>
    <s v="P Ashok Kumar"/>
    <s v="No"/>
    <s v="rajesh.raktate@amns.in"/>
    <s v="8657537942"/>
    <s v="24931"/>
    <s v="Dhruv Vyas"/>
    <s v="Anil Matoo"/>
    <s v="Praveen Kuruvalli"/>
    <s v="Dhruv Vyas"/>
    <n v="0"/>
  </r>
  <r>
    <n v="3575"/>
    <n v="20055067"/>
    <s v="Nikhil Kumar Mall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4"/>
    <s v="OEM Sales"/>
    <s v="Noida"/>
    <d v="1993-02-17T00:00:00"/>
    <s v="30.07"/>
    <d v="2019-12-16T00:00:00"/>
    <d v="2051-02-28T00:00:00"/>
    <m/>
    <d v="2051-02-28T00:00:00"/>
    <n v="10023"/>
    <s v="O+"/>
    <s v="MTech-2019 , BTech-2015 , Intermediate-2"/>
    <s v=""/>
    <s v="03.09"/>
    <s v="03.09"/>
    <s v="72150181"/>
    <s v="Sales North Zone"/>
    <s v="70494601"/>
    <s v="Sales Manager"/>
    <s v="Hazira"/>
    <s v="0031950057"/>
    <s v="HZ-HRC - Marketing"/>
    <s v="2000HWO"/>
    <s v="20002920"/>
    <s v="Sudhir Sharma"/>
    <s v="No"/>
    <s v="nikhil.mall@amns.in"/>
    <s v="6377820254"/>
    <s v="25087"/>
    <s v="Dhruv Vyas"/>
    <s v="Anil Matoo"/>
    <s v="Praveen Kuruvalli"/>
    <s v="Dhruv Vyas"/>
    <n v="0"/>
  </r>
  <r>
    <n v="3576"/>
    <n v="20055068"/>
    <s v="Dilip Oommen"/>
    <s v="AM/NS India"/>
    <s v="PDA"/>
    <s v="M-1"/>
    <n v="1"/>
    <m/>
    <s v="TM"/>
    <s v="M"/>
    <s v="Corporate"/>
    <n v="7"/>
    <s v="2260"/>
    <x v="5"/>
    <s v="01.01"/>
    <s v="Dilip Oommen"/>
    <s v="Dilip Oommen"/>
    <n v="1"/>
    <s v="CEO Office"/>
    <s v="CEO Office"/>
    <s v="01"/>
    <s v="Chief Executive Officer"/>
    <m/>
    <s v="CEO Office"/>
    <s v="CEO Office"/>
    <s v="CEO Office"/>
    <s v="Non Technical Support"/>
    <s v="Operations"/>
    <s v="Operations"/>
    <s v="72103001"/>
    <s v="Operations"/>
    <s v="Mumbai"/>
    <d v="1958-03-28T00:00:00"/>
    <s v="65.05"/>
    <d v="2019-12-16T00:00:00"/>
    <d v="2018-03-31T00:00:00"/>
    <d v="2025-03-31T00:00:00"/>
    <d v="2025-03-31T00:00:00"/>
    <n v="558"/>
    <s v="A-"/>
    <s v="BTech-1981"/>
    <s v="17.02"/>
    <s v="03.09"/>
    <s v="20.11"/>
    <s v="70176006"/>
    <s v="CEO Office"/>
    <s v="72150532"/>
    <s v="Chief Executive Officer"/>
    <s v="Non-payroll-relevant"/>
    <s v=""/>
    <s v=""/>
    <s v="2000CS"/>
    <s v="0"/>
    <s v=""/>
    <s v="No"/>
    <s v="dilip.oommen@amns.in"/>
    <s v="9909901994"/>
    <s v="22571"/>
    <s v="Dhruv Vyas"/>
    <s v="Anil Matoo"/>
    <s v="Praveen Kuruvalli"/>
    <s v="Dhruv Vyas"/>
    <n v="0"/>
  </r>
  <r>
    <n v="3578"/>
    <n v="20055071"/>
    <s v="Anirudha Bisoyi"/>
    <s v="AM/NS India"/>
    <s v="Onroll"/>
    <s v="M-8"/>
    <n v="8"/>
    <m/>
    <s v="JM"/>
    <s v="M"/>
    <s v="Hazira"/>
    <n v="1"/>
    <s v="2133"/>
    <x v="23"/>
    <s v="26.11"/>
    <s v="Anil Matoo"/>
    <s v="Ashutosh Telang"/>
    <n v="6"/>
    <s v="HR &amp; Administration"/>
    <s v="Payroll Administration"/>
    <s v="26"/>
    <s v="Lead - Payroll"/>
    <m/>
    <s v="Payroll Administration"/>
    <s v=""/>
    <s v=""/>
    <s v="Non Technical Support"/>
    <s v="Human Resources Management"/>
    <s v="Human Resources Management"/>
    <s v="73501002"/>
    <s v="Human Resources Operation"/>
    <s v="Hazira"/>
    <d v="1985-07-18T00:00:00"/>
    <s v="38.02"/>
    <d v="2020-01-15T00:00:00"/>
    <d v="2043-07-31T00:00:00"/>
    <m/>
    <d v="2043-07-31T00:00:00"/>
    <n v="7254"/>
    <s v="A+"/>
    <s v="MPM-2008 , BA-2006 , Intermediate-2003 ,"/>
    <s v="11.02"/>
    <s v="03.08"/>
    <s v="14.10"/>
    <s v="00051767"/>
    <s v="Payroll"/>
    <s v="70494627"/>
    <s v="Lead - Payroll"/>
    <s v="Hazira"/>
    <s v="0031950061"/>
    <s v="HZ-Human Resource"/>
    <s v="2000HWO"/>
    <s v="20016406"/>
    <s v="Manjit Shah"/>
    <s v="No"/>
    <s v="anirudha.bisoyi@amns.in"/>
    <s v="9825214160"/>
    <s v="25092"/>
    <s v="Dhruv Vyas"/>
    <s v="Anil Matoo"/>
    <s v="Praveen Kuruvalli"/>
    <s v="Dhruv Vyas"/>
    <n v="0"/>
  </r>
  <r>
    <n v="3580"/>
    <n v="20055075"/>
    <s v="Ashutosh Mathur"/>
    <s v="AM/NS India"/>
    <s v="Onroll"/>
    <s v="M-4"/>
    <n v="4"/>
    <m/>
    <s v="SM"/>
    <s v="M"/>
    <s v="Hazira"/>
    <n v="1"/>
    <s v="2162"/>
    <x v="18"/>
    <s v="33.01"/>
    <s v="Hrishikesh Kamat"/>
    <s v="Hrishikesh Kamat"/>
    <n v="7"/>
    <s v="Procurement"/>
    <s v="Shipping &amp; Chartering"/>
    <s v="33"/>
    <s v="Head – Shipping and Chartering"/>
    <m/>
    <s v="Shipping &amp; Chartering"/>
    <s v="Shipping &amp; Chartering"/>
    <s v="Ports &amp; Chartering"/>
    <s v="Non Technical Support"/>
    <s v="Commercial"/>
    <s v="Procurement"/>
    <s v="73803001"/>
    <s v="Procurement"/>
    <s v="AM/NS Hazira"/>
    <d v="1979-04-10T00:00:00"/>
    <s v="44.05"/>
    <d v="2020-02-03T00:00:00"/>
    <d v="2037-04-30T00:00:00"/>
    <m/>
    <d v="2037-04-30T00:00:00"/>
    <n v="4971"/>
    <s v="AB+"/>
    <s v="MBA-2008 , BE-2002 , Intermediate-1996 ,"/>
    <s v="15.01"/>
    <s v="03.07"/>
    <s v="18.08"/>
    <s v="70494731"/>
    <s v="Ports &amp; Chartering"/>
    <s v="70494631"/>
    <s v="Head – Shipping and Chartering"/>
    <s v="Hazira"/>
    <s v="0031950062"/>
    <s v="Hz-Ports"/>
    <s v="2000HWO"/>
    <s v="20055090"/>
    <s v="Hrishikesh Kamat"/>
    <s v="No"/>
    <s v="ashutosh.mathur@amns.in"/>
    <s v="9879104703"/>
    <s v="790275"/>
    <s v="Dhruv Vyas"/>
    <s v="Anil Matoo"/>
    <s v="Praveen Kuruvalli"/>
    <s v="Dhruv Vyas"/>
    <n v="0"/>
  </r>
  <r>
    <n v="3581"/>
    <n v="20055084"/>
    <s v="Alain Legrix De La Salle"/>
    <s v="AM/NS India"/>
    <s v="PDA"/>
    <s v="M-2"/>
    <n v="2"/>
    <m/>
    <s v="T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Director &amp; VP - Sales &amp; Marketing"/>
    <m/>
    <s v="Sales &amp; Marketing"/>
    <s v="Sales &amp; Marketing"/>
    <s v=""/>
    <s v="Non Technical Support"/>
    <s v=""/>
    <s v=""/>
    <s v="70494638"/>
    <s v="Director and Vice President"/>
    <s v="Mumbai"/>
    <d v="1961-03-11T00:00:00"/>
    <s v="62.06"/>
    <d v="2019-12-16T00:00:00"/>
    <d v="2021-03-31T00:00:00"/>
    <d v="2025-03-31T00:00:00"/>
    <d v="2025-03-31T00:00:00"/>
    <n v="558"/>
    <s v=""/>
    <s v=""/>
    <s v=""/>
    <s v="03.09"/>
    <s v="03.09"/>
    <s v="70494632"/>
    <s v="Sales &amp; Marketing"/>
    <s v="70494643"/>
    <s v="Director &amp; VP - Sales &amp; Marketing"/>
    <s v="Non-payroll-relevant"/>
    <s v=""/>
    <s v=""/>
    <s v="2000CS"/>
    <s v="20055068"/>
    <s v="Dilip Oommen"/>
    <s v="No"/>
    <s v="alain.legrix@amns.in"/>
    <s v="9727741283"/>
    <s v="2510"/>
    <s v="Dhruv Vyas"/>
    <s v="Anil Matoo"/>
    <s v="Praveen Kuruvalli"/>
    <s v="Dhruv Vyas"/>
    <n v="0"/>
  </r>
  <r>
    <n v="3583"/>
    <n v="20055088"/>
    <s v="Amit Harlalka"/>
    <s v="AM/NS India"/>
    <s v="PDA"/>
    <s v="PDA"/>
    <n v="2"/>
    <m/>
    <s v="TM"/>
    <s v="M"/>
    <s v="Corporate"/>
    <n v="7"/>
    <s v="2013"/>
    <x v="0"/>
    <s v="20.01"/>
    <s v="Amit Harlalka"/>
    <s v="Amit Harlalka"/>
    <n v="5"/>
    <s v="Finance &amp; Accounts"/>
    <s v="Finance &amp; Accounts"/>
    <s v="20"/>
    <s v="Director &amp; VP, Finance"/>
    <m/>
    <s v="CFO Office"/>
    <s v="CFO Office"/>
    <s v=""/>
    <s v="Non Technical Support"/>
    <s v=""/>
    <s v=""/>
    <s v="70494638"/>
    <s v="Director and Vice President"/>
    <s v="Mumbai"/>
    <d v="1977-12-04T00:00:00"/>
    <s v="45.09"/>
    <d v="2019-12-16T00:00:00"/>
    <d v="2035-12-31T00:00:00"/>
    <m/>
    <d v="2035-12-31T00:00:00"/>
    <n v="4485"/>
    <s v=""/>
    <s v=""/>
    <s v=""/>
    <s v="03.09"/>
    <s v="03.09"/>
    <s v="70494633"/>
    <s v="Finance &amp; Accounts"/>
    <s v="70494647"/>
    <s v="Director &amp; VP, Finance"/>
    <s v="Non-payroll-relevant"/>
    <s v="0090000013"/>
    <s v="Director-Fin-India"/>
    <s v="2000CS"/>
    <s v="20055068"/>
    <s v="Dilip Oommen"/>
    <s v="No"/>
    <s v="amit.harlalka@amns.in"/>
    <s v="9971999511"/>
    <s v="101628"/>
    <s v="Dhruv Vyas"/>
    <s v="Anil Matoo"/>
    <s v="Praveen Kuruvalli"/>
    <s v="Dhruv Vyas"/>
    <n v="0"/>
  </r>
  <r>
    <n v="3584"/>
    <n v="20055090"/>
    <s v="Hrishikesh Kamat"/>
    <s v="AM/NS India"/>
    <s v="PDA"/>
    <s v="PDA"/>
    <n v="3"/>
    <m/>
    <s v="SM"/>
    <s v="M"/>
    <s v="Corporate"/>
    <n v="7"/>
    <s v="2043"/>
    <x v="3"/>
    <s v="31.01"/>
    <s v="Hrishikesh Kamat"/>
    <s v="Hrishikesh Kamat"/>
    <n v="7"/>
    <s v="Procurement"/>
    <s v="Procurement"/>
    <s v="31"/>
    <s v="Chief Procurement Officer"/>
    <m/>
    <s v="Procurement"/>
    <s v="Procurement"/>
    <s v=""/>
    <s v="Non Technical Support"/>
    <s v=""/>
    <s v=""/>
    <s v="70494644"/>
    <s v="Chief Procurement Officer"/>
    <s v="Mumbai"/>
    <d v="1960-02-11T00:00:00"/>
    <s v="63.07"/>
    <d v="2019-12-16T00:00:00"/>
    <d v="2018-02-28T00:00:00"/>
    <d v="2025-03-31T00:00:00"/>
    <d v="2025-03-31T00:00:00"/>
    <n v="558"/>
    <s v=""/>
    <s v=""/>
    <s v=""/>
    <s v="03.09"/>
    <s v="03.09"/>
    <s v="70494637"/>
    <s v="Procurement"/>
    <s v="70494652"/>
    <s v="Chief Procurement Officer"/>
    <s v="Non-payroll-relevant"/>
    <s v="0031950048"/>
    <s v="HZ-Procurment Depart"/>
    <s v="2000CS"/>
    <s v="20055086"/>
    <s v="Wim Van Gerven"/>
    <s v="No"/>
    <s v="hrishikesh.kamat@amns.in"/>
    <s v="8980042458"/>
    <s v="3103"/>
    <s v="Dhruv Vyas"/>
    <s v="Anil Matoo"/>
    <s v="Praveen Kuruvalli"/>
    <s v="Dhruv Vyas"/>
    <n v="0"/>
  </r>
  <r>
    <n v="3616"/>
    <n v="20055134"/>
    <s v="Arvind Kumar"/>
    <s v="AM/NS India"/>
    <s v="Onroll"/>
    <s v="M-8"/>
    <n v="8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Buyer - Mechanical Spare"/>
    <m/>
    <s v="Procurement"/>
    <s v="Procurement"/>
    <s v="Procurement"/>
    <s v="Non Technical Support"/>
    <s v="Commercial"/>
    <s v="Purchase"/>
    <s v="73804001"/>
    <s v="Purchase"/>
    <s v="Paradeep"/>
    <d v="1988-01-16T00:00:00"/>
    <s v="35.08"/>
    <d v="2020-03-02T00:00:00"/>
    <d v="2046-01-31T00:00:00"/>
    <m/>
    <d v="2046-01-31T00:00:00"/>
    <n v="8169"/>
    <s v="B+"/>
    <s v="BTech-2010 , Intermediate-2006 , Interme"/>
    <s v=""/>
    <s v="03.06"/>
    <s v="03.06"/>
    <s v="70407583"/>
    <s v="Procurement - Odisha Asset"/>
    <s v="70493007"/>
    <s v="Buyer - Mechanical Spare"/>
    <s v="Odisha"/>
    <s v="0022030019"/>
    <s v="PDP-HR &amp; Admn"/>
    <s v="2000STORIS"/>
    <s v="20055692"/>
    <s v="Rajiv Ranjan"/>
    <s v="No"/>
    <s v="arvind.kumar@amns.in"/>
    <s v="8084831688"/>
    <s v="789377"/>
    <s v="Sunila Das"/>
    <s v="Anil Matoo"/>
    <s v="Praveen Kuruvalli"/>
    <s v="Sunila Das"/>
    <n v="0"/>
  </r>
  <r>
    <n v="3617"/>
    <n v="20055135"/>
    <s v="Raghavan Aravamudhan"/>
    <s v="AM/NS India"/>
    <s v="Onroll"/>
    <s v="M-3"/>
    <n v="3"/>
    <m/>
    <s v="SM"/>
    <s v="M"/>
    <s v="Corporate"/>
    <n v="7"/>
    <s v="2099"/>
    <x v="19"/>
    <s v="02.01"/>
    <s v="Dilip Oommen"/>
    <s v="Dilip Oommen"/>
    <n v="1"/>
    <s v="CEO Office"/>
    <s v="Business Strategy"/>
    <s v="02"/>
    <s v="Head Buisness Strategy"/>
    <m/>
    <s v="Business Strategy"/>
    <s v="Business Strategy"/>
    <s v="Business Strategy"/>
    <s v="Non Technical Support"/>
    <s v="Sales &amp; Marketing"/>
    <s v="Business Development"/>
    <s v="73103001"/>
    <s v="Business Development"/>
    <s v="Mumbai"/>
    <d v="1982-12-23T00:00:00"/>
    <s v="40.08"/>
    <d v="2020-03-02T00:00:00"/>
    <d v="2040-12-31T00:00:00"/>
    <m/>
    <d v="2040-12-31T00:00:00"/>
    <n v="6312"/>
    <s v="A+"/>
    <s v="MBA-2010 , BE-2005 , High School-2000 ,"/>
    <s v="13.07"/>
    <s v="03.06"/>
    <s v="17.01"/>
    <s v="70494715"/>
    <s v="Business Strategy"/>
    <s v="70494714"/>
    <s v="Head Buisness Strategy"/>
    <s v="Confidential Payroll"/>
    <s v="0090000022"/>
    <s v="Business Strategy"/>
    <s v="2000CS"/>
    <s v="20055068"/>
    <s v="Dilip Oommen"/>
    <s v="No"/>
    <s v="raghavan.aravamudhan@amns.in"/>
    <s v="9619627665"/>
    <s v="788788"/>
    <s v="Dhruv Vyas"/>
    <s v="Anil Matoo"/>
    <s v="Praveen Kuruvalli"/>
    <s v="Dhruv Vyas"/>
    <n v="0"/>
  </r>
  <r>
    <n v="3623"/>
    <n v="20055143"/>
    <s v="Naoki Shimazaki"/>
    <s v="AM/NS India"/>
    <s v="PDA"/>
    <s v="PDA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– Strategic Finance"/>
    <m/>
    <s v="Capex Finance"/>
    <s v="Capex Finance"/>
    <s v=""/>
    <s v="Non Technical Support"/>
    <s v=""/>
    <s v=""/>
    <s v="70286758"/>
    <s v="General Manager"/>
    <s v="AM/NS Hazira"/>
    <d v="1975-09-08T00:00:00"/>
    <s v="48.00"/>
    <d v="2020-01-01T00:00:00"/>
    <d v="2033-09-30T00:00:00"/>
    <m/>
    <d v="2033-09-30T00:00:00"/>
    <n v="3663"/>
    <s v="O+"/>
    <s v=""/>
    <s v=""/>
    <s v="03.08"/>
    <s v="03.08"/>
    <s v="00044378"/>
    <s v="Strategic Finance"/>
    <s v="70494730"/>
    <s v="Head – Strategic Finance"/>
    <s v="Non-payroll-relevant"/>
    <s v="0090000038"/>
    <s v="CAPEX FINANCE"/>
    <s v="2000CS"/>
    <s v="20056029"/>
    <s v="Ananya Maitra"/>
    <s v="No"/>
    <s v="naoki.shimazaki@amns.in"/>
    <s v="9925003689"/>
    <s v="788808"/>
    <s v="Dhruv Vyas"/>
    <s v="Anil Matoo"/>
    <s v="Praveen Kuruvalli"/>
    <s v="Dhruv Vyas"/>
    <n v="0"/>
  </r>
  <r>
    <n v="3634"/>
    <n v="20055156"/>
    <s v="Bharatbhai C Patel"/>
    <s v="AM/NS India"/>
    <s v="Onroll"/>
    <s v="M-8"/>
    <n v="8"/>
    <m/>
    <s v="JM"/>
    <s v="M"/>
    <s v="Hazira"/>
    <n v="1"/>
    <s v="2084"/>
    <x v="17"/>
    <s v="23.09"/>
    <s v="Anil Matoo"/>
    <s v="Ashutosh Telang"/>
    <n v="6"/>
    <s v="HR &amp; Administration"/>
    <s v="Industrial Relations"/>
    <s v="23"/>
    <s v="Lead - Industrial Relations"/>
    <m/>
    <s v="Hazira Operations"/>
    <s v="Operation &amp; Maintenance  and Control &amp; Instrumentation"/>
    <s v="Operation &amp; Maintenance  and Control &amp; Instrumentation"/>
    <s v="Non Technical Support"/>
    <s v="Operations"/>
    <s v="Plant Maintenance"/>
    <s v="72103009"/>
    <s v="Electrical Maintenance"/>
    <s v="Hazira"/>
    <d v="1973-03-29T00:00:00"/>
    <s v="50.05"/>
    <d v="2020-03-18T00:00:00"/>
    <d v="2031-03-31T00:00:00"/>
    <m/>
    <d v="2031-03-31T00:00:00"/>
    <n v="2749"/>
    <s v="AB-"/>
    <s v="Diploma-2012 , BA-1997 , Diploma-1996 ,"/>
    <s v="19.00"/>
    <s v="03.06"/>
    <s v="22.05"/>
    <s v="70309501"/>
    <s v="IR &amp; legal Compliance"/>
    <s v="70494747"/>
    <s v="Lead - Industrial Relations"/>
    <s v="Hazira"/>
    <s v="0031750300"/>
    <s v="HAZ-CPP 500 MW"/>
    <s v="2000HWO"/>
    <s v="20056503"/>
    <s v="Bhavin Pandya"/>
    <s v="No"/>
    <s v="bharat.patel2@amns.in"/>
    <s v="9879102899"/>
    <s v="791809"/>
    <s v="Dhruv Vyas"/>
    <s v="Anil Matoo"/>
    <s v="Praveen Kuruvalli"/>
    <s v="Dhruv Vyas"/>
    <n v="0"/>
  </r>
  <r>
    <n v="3636"/>
    <n v="20055158"/>
    <s v="Rajeev Kumar Singh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Automotive Sales"/>
    <m/>
    <s v="North"/>
    <s v="OEM"/>
    <s v=""/>
    <s v="Non Technical Support"/>
    <s v="Sales &amp; Marketing"/>
    <s v="Sales"/>
    <s v="73104004"/>
    <s v="OEM Sales"/>
    <s v="Noida"/>
    <d v="1979-08-10T00:00:00"/>
    <s v="44.01"/>
    <d v="2020-03-01T00:00:00"/>
    <d v="2037-08-31T00:00:00"/>
    <m/>
    <d v="2037-08-31T00:00:00"/>
    <n v="5094"/>
    <s v="O+"/>
    <s v="BE-2002 , Intermediate-1996 , High Schoo"/>
    <s v="17.04"/>
    <s v="03.06"/>
    <s v="20.10"/>
    <s v="72150181"/>
    <s v="Sales North Zone"/>
    <s v="70490284"/>
    <s v="KAM - OEM Sales"/>
    <s v="Hazira"/>
    <s v="0031950057"/>
    <s v="HZ-HRC - Marketing"/>
    <s v="2000HWO"/>
    <s v="20002920"/>
    <s v="Sudhir Sharma"/>
    <s v="No"/>
    <s v="rajeev.singh@amns.in"/>
    <s v="9810443694"/>
    <s v="793072"/>
    <s v="Dhruv Vyas"/>
    <s v="Anil Matoo"/>
    <s v="Praveen Kuruvalli"/>
    <s v="Dhruv Vyas"/>
    <n v="0"/>
  </r>
  <r>
    <n v="3637"/>
    <n v="20055160"/>
    <s v="Mrida Lakhmani"/>
    <s v="AM/NS India"/>
    <s v="Onroll"/>
    <s v="M-4"/>
    <n v="4"/>
    <m/>
    <s v="SM"/>
    <s v="F"/>
    <s v="Corporate"/>
    <n v="7"/>
    <s v="2071"/>
    <x v="22"/>
    <s v="41.01"/>
    <s v="P Ashok Kumar"/>
    <s v="P Ashok Kumar"/>
    <n v="9"/>
    <s v="Legal"/>
    <s v="Legal"/>
    <s v="41"/>
    <s v="Senior Legal Counsel"/>
    <m/>
    <s v="Legal"/>
    <s v=""/>
    <s v=""/>
    <s v="Non Technical Support"/>
    <s v="Legal"/>
    <s v="Legal"/>
    <s v="73201001"/>
    <s v="Legal"/>
    <s v="Mumbai"/>
    <d v="1992-11-19T00:00:00"/>
    <s v="30.09"/>
    <d v="2020-04-01T00:00:00"/>
    <d v="2050-11-30T00:00:00"/>
    <m/>
    <d v="2050-11-30T00:00:00"/>
    <n v="9933"/>
    <s v="A+"/>
    <s v="LLB-2012 , Intermediate-2009 , High Scho"/>
    <s v="04.09"/>
    <s v="03.05"/>
    <s v="08.02"/>
    <s v="00048996"/>
    <s v="Legal"/>
    <s v="70494755"/>
    <s v="Senior Legal Counsel"/>
    <s v="Corporate"/>
    <s v="0090000019"/>
    <s v="Corporate Steel - Le"/>
    <s v="2000CS"/>
    <s v="20055235"/>
    <s v="P Ashok Kumar"/>
    <s v="No"/>
    <s v="mrida.lakhmani@amns.in"/>
    <s v="7045589822"/>
    <s v="791880"/>
    <s v="Dhruv Vyas"/>
    <s v="Anil Matoo"/>
    <s v="Praveen Kuruvalli"/>
    <s v="Dhruv Vyas"/>
    <n v="0"/>
  </r>
  <r>
    <n v="3638"/>
    <n v="20055161"/>
    <s v="Shivani Sen"/>
    <s v="AM/NS India"/>
    <s v="Onroll"/>
    <s v="M-5"/>
    <n v="5"/>
    <m/>
    <s v="MM"/>
    <s v="F"/>
    <s v="Corporate"/>
    <n v="7"/>
    <s v="2069"/>
    <x v="8"/>
    <s v="25.01"/>
    <s v="Bibek Chattopadhyay"/>
    <s v="Ashutosh Telang"/>
    <n v="6"/>
    <s v="HR &amp; Administration"/>
    <s v="Corporate Communications"/>
    <s v="25"/>
    <s v="Senior Lead - Corporate Communication"/>
    <m/>
    <s v="Corporate Communications"/>
    <s v=""/>
    <s v=""/>
    <s v="Non Technical Support"/>
    <s v="Corporate Relations"/>
    <s v="Corporate Affairs"/>
    <s v="74501001"/>
    <s v="Corporate Affairs"/>
    <s v="Mumbai"/>
    <d v="1978-09-18T00:00:00"/>
    <s v="45.00"/>
    <d v="2020-04-01T00:00:00"/>
    <d v="2036-09-30T00:00:00"/>
    <m/>
    <d v="2036-09-30T00:00:00"/>
    <n v="4759"/>
    <s v="B+"/>
    <s v="MA-1999 , BA-1999 , High School-1995 , S"/>
    <s v="01.00"/>
    <s v="03.05"/>
    <s v="04.05"/>
    <s v="70318583"/>
    <s v="Communications &amp; Media Relations"/>
    <s v="70494761"/>
    <s v="Senior Lead - Corporate Communication"/>
    <s v="Corporate"/>
    <s v="0090000016"/>
    <s v="Corporate Steel - Co"/>
    <s v="2000CS"/>
    <s v="20055187"/>
    <s v="Bibek Chattopadhyay"/>
    <s v="No"/>
    <s v="shivani.sen@amns.in"/>
    <s v="9971800165"/>
    <s v="791881"/>
    <s v="Dhruv Vyas"/>
    <s v="Anil Matoo"/>
    <s v="Praveen Kuruvalli"/>
    <s v="Dhruv Vyas"/>
    <n v="0"/>
  </r>
  <r>
    <n v="3639"/>
    <n v="20055162"/>
    <s v="Dolly Kartik Shah"/>
    <s v="AM/NS India"/>
    <s v="Onroll"/>
    <s v="M-8"/>
    <n v="8"/>
    <m/>
    <s v="JM"/>
    <s v="F"/>
    <s v="Corporate"/>
    <n v="7"/>
    <s v="2071"/>
    <x v="22"/>
    <s v="41.01"/>
    <s v="P Ashok Kumar"/>
    <s v="P Ashok Kumar"/>
    <n v="9"/>
    <s v="Legal"/>
    <s v="Legal"/>
    <s v="41"/>
    <s v="EA to General Counsel &amp; Compliance Associate"/>
    <m/>
    <s v="Legal"/>
    <s v="Legal"/>
    <s v="Legal"/>
    <s v="Non Technical Support"/>
    <s v="Legal"/>
    <s v="Legal"/>
    <s v="73201001"/>
    <s v="Legal"/>
    <s v="Mumbai"/>
    <d v="1985-11-25T00:00:00"/>
    <s v="37.09"/>
    <d v="2020-04-01T00:00:00"/>
    <d v="2043-11-30T00:00:00"/>
    <m/>
    <d v="2043-11-30T00:00:00"/>
    <n v="7376"/>
    <s v="B+"/>
    <s v="BA-2012 , Certificate-2007 , High School"/>
    <s v="03.04"/>
    <s v="03.05"/>
    <s v="06.09"/>
    <s v="70494754"/>
    <s v="Legal"/>
    <s v="70494756"/>
    <s v="PA to General Counsel"/>
    <s v="Corporate"/>
    <s v="0090000019"/>
    <s v="Corporate Steel - Le"/>
    <s v="2000CS"/>
    <s v="20055235"/>
    <s v="P Ashok Kumar"/>
    <s v="No"/>
    <s v="dolly.shah@amns.in"/>
    <s v="9820251185"/>
    <s v="791878"/>
    <s v="Dhruv Vyas"/>
    <s v="Anil Matoo"/>
    <s v="Praveen Kuruvalli"/>
    <s v="Dhruv Vyas"/>
    <n v="0"/>
  </r>
  <r>
    <n v="3640"/>
    <n v="20055165"/>
    <s v="Subhakant Dash"/>
    <s v="AM/NS India"/>
    <s v="Onroll"/>
    <s v="M-5"/>
    <n v="5"/>
    <m/>
    <s v="MM"/>
    <s v="M"/>
    <s v="Odisha"/>
    <n v="2"/>
    <s v="2162"/>
    <x v="18"/>
    <s v="33.01"/>
    <s v="Hrishikesh Kamat"/>
    <s v="Hrishikesh Kamat"/>
    <n v="7"/>
    <s v="Procurement"/>
    <s v="Shipping &amp; Chartering"/>
    <s v="33"/>
    <s v="Section Head–Shipping &amp; Chartering,Odish"/>
    <m/>
    <s v="Shipping &amp; Chartering"/>
    <s v=""/>
    <s v=""/>
    <s v="Non Technical Support"/>
    <s v="Commercial"/>
    <s v="Procurement"/>
    <s v="73803001"/>
    <s v="Procurement"/>
    <s v="Paradeep"/>
    <d v="1975-07-15T00:00:00"/>
    <s v="48.02"/>
    <d v="2020-04-01T00:00:00"/>
    <d v="2033-07-31T00:00:00"/>
    <m/>
    <d v="2033-07-31T00:00:00"/>
    <n v="3602"/>
    <s v="B+"/>
    <s v="MBA-1997 , BCom-1995 , Intermediate-1992"/>
    <s v="21.00"/>
    <s v="03.05"/>
    <s v="24.05"/>
    <s v="70238106"/>
    <s v="Ports &amp; Logistics"/>
    <s v="70494759"/>
    <s v="Section Head–Shipping &amp; Chartering,Odish"/>
    <s v="Odisha"/>
    <s v="0022030019"/>
    <s v="PDP-HR &amp; Admn"/>
    <s v="2000STORIS"/>
    <s v="20055075"/>
    <s v="Ashutosh Mathur"/>
    <s v="No"/>
    <s v="subhakant.dash@amns.in"/>
    <s v="7381000432"/>
    <s v="791879"/>
    <s v="Sunila Das"/>
    <s v="Anil Matoo"/>
    <s v="Praveen Kuruvalli"/>
    <s v="Sunila Das"/>
    <n v="0"/>
  </r>
  <r>
    <n v="3643"/>
    <n v="20055181"/>
    <s v="Sanjay Sharma"/>
    <s v="AM/NS India"/>
    <s v="Onroll"/>
    <s v="M-2"/>
    <n v="2"/>
    <m/>
    <s v="TM"/>
    <s v="M"/>
    <s v="Corporate"/>
    <n v="7"/>
    <s v="2060"/>
    <x v="24"/>
    <s v="39.01"/>
    <s v="Sanjay Sharma"/>
    <s v="Sanjay Sharma"/>
    <n v="8"/>
    <s v="Business Development"/>
    <s v="Business Development"/>
    <s v="39"/>
    <s v="Head - Business Development"/>
    <m/>
    <s v="Business Development"/>
    <s v=""/>
    <s v=""/>
    <s v="Non Technical Support"/>
    <s v="Sales &amp; Marketing"/>
    <s v="Business Development"/>
    <s v="73103001"/>
    <s v="Business Development"/>
    <s v="Mumbai"/>
    <d v="1972-03-07T00:00:00"/>
    <s v="51.06"/>
    <d v="2019-12-16T00:00:00"/>
    <d v="2032-03-31T00:00:00"/>
    <m/>
    <d v="2032-03-31T00:00:00"/>
    <n v="3115"/>
    <s v=""/>
    <s v=""/>
    <s v=""/>
    <s v="03.09"/>
    <s v="03.09"/>
    <s v="70494900"/>
    <s v="Business Development"/>
    <s v="70494901"/>
    <s v="Head - Business Development"/>
    <s v="Non-payroll-relevant"/>
    <s v="0090000032"/>
    <s v="Business Devpelopmen"/>
    <s v="2000CS"/>
    <s v="20055068"/>
    <s v="Dilip Oommen"/>
    <s v="No"/>
    <s v="sanjay.sharma@amns.in"/>
    <s v="9599206733"/>
    <s v="102316"/>
    <s v="Dhruv Vyas"/>
    <s v="Anil Matoo"/>
    <s v="Praveen Kuruvalli"/>
    <s v="Dhruv Vyas"/>
    <n v="0"/>
  </r>
  <r>
    <n v="3644"/>
    <n v="20055182"/>
    <s v="Neha Soni"/>
    <s v="AM/NS India"/>
    <s v="Onroll"/>
    <s v="M-5"/>
    <n v="5"/>
    <m/>
    <s v="MM"/>
    <s v="F"/>
    <s v="Corporate"/>
    <n v="7"/>
    <s v="2060"/>
    <x v="24"/>
    <s v="39.01"/>
    <s v="Sanjay Sharma"/>
    <s v="Sanjay Sharma"/>
    <n v="8"/>
    <s v="Business Development"/>
    <s v="Business Development"/>
    <s v="39"/>
    <s v="Senior Lead - Business Development"/>
    <m/>
    <s v="Business Development"/>
    <s v=""/>
    <s v=""/>
    <s v="Non Technical Support"/>
    <s v="Sales &amp; Marketing"/>
    <s v="Business Development"/>
    <s v="73103001"/>
    <s v="Business Development"/>
    <s v="Mumbai"/>
    <d v="1986-04-18T00:00:00"/>
    <s v="37.05"/>
    <d v="2020-06-22T00:00:00"/>
    <d v="2044-04-30T00:00:00"/>
    <m/>
    <d v="2044-04-30T00:00:00"/>
    <n v="7528"/>
    <s v="O+"/>
    <s v="PG Diploma-2009 , BCom-2007 , Intermedia"/>
    <s v="11.03"/>
    <s v="03.03"/>
    <s v="14.05"/>
    <s v="00049729"/>
    <s v="Business Development - M&amp;A"/>
    <s v="70494902"/>
    <s v="Senior Lead - Business Development"/>
    <s v="Corporate"/>
    <s v="0090000032"/>
    <s v="Business Devpelopmen"/>
    <s v="2000CS"/>
    <s v="20055181"/>
    <s v="Sanjay Sharma"/>
    <s v="No"/>
    <s v="neha.soni@amns.in"/>
    <s v="8860614207"/>
    <s v="794449"/>
    <s v="Dhruv Vyas"/>
    <s v="Anil Matoo"/>
    <s v="Praveen Kuruvalli"/>
    <s v="Dhruv Vyas"/>
    <n v="0"/>
  </r>
  <r>
    <n v="3647"/>
    <n v="20055187"/>
    <s v="Bibek Chattopadhyay"/>
    <s v="AM/NS India"/>
    <s v="Onroll"/>
    <s v="M-3"/>
    <n v="3"/>
    <m/>
    <s v="SM"/>
    <s v="M"/>
    <s v="Corporate"/>
    <n v="7"/>
    <s v="2069"/>
    <x v="8"/>
    <s v="25.01"/>
    <s v="Ashutosh Telang"/>
    <s v="Ashutosh Telang"/>
    <n v="6"/>
    <s v="HR &amp; Administration"/>
    <s v="Corporate Communications"/>
    <s v="25"/>
    <s v="Head – Corporate Communication"/>
    <m/>
    <s v="Corporate Communications"/>
    <s v=""/>
    <s v=""/>
    <s v="Non Technical Support"/>
    <s v="Corporate Communication"/>
    <s v="Corporate Communication"/>
    <s v="74001001"/>
    <s v="Corporate Communication"/>
    <s v="Mumbai"/>
    <d v="1965-09-28T00:00:00"/>
    <s v="57.11"/>
    <d v="2020-07-01T00:00:00"/>
    <d v="2023-09-30T00:00:00"/>
    <m/>
    <d v="2023-09-30T00:00:00"/>
    <n v="10"/>
    <s v="B+"/>
    <s v="PG Diploma-1989 , PG Diploma-1987 , BA-1"/>
    <s v="23.02"/>
    <s v="03.02"/>
    <s v="26.04"/>
    <s v="70318583"/>
    <s v="Communications &amp; Media Relations"/>
    <s v="70494909"/>
    <s v="Head – Corporate Communication"/>
    <s v="Confidential Payroll"/>
    <s v="0090000016"/>
    <s v="Corporate Steel - Co"/>
    <s v="2000CS"/>
    <s v="20059024"/>
    <s v="Keiji Kubota"/>
    <s v="No"/>
    <s v="bibek.chattopadhyay@amns.in"/>
    <s v="9820150538"/>
    <s v="797464"/>
    <s v="Dhruv Vyas"/>
    <s v="Anil Matoo"/>
    <s v="Praveen Kuruvalli"/>
    <s v="Dhruv Vyas"/>
    <n v="0"/>
  </r>
  <r>
    <n v="3648"/>
    <n v="20055188"/>
    <s v="Rohit Sharma"/>
    <s v="AM/NS India"/>
    <s v="Onroll"/>
    <s v="M-3"/>
    <n v="3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– Working Capital"/>
    <m/>
    <s v="Working Capital"/>
    <s v="Working Capital"/>
    <s v=""/>
    <s v="Non Technical Support"/>
    <s v="Projects"/>
    <s v="Projects Coordination"/>
    <s v="72103038"/>
    <s v="Projects Coordination"/>
    <s v="Mumbai"/>
    <d v="1983-10-15T00:00:00"/>
    <s v="39.11"/>
    <d v="2020-07-02T00:00:00"/>
    <d v="2041-10-31T00:00:00"/>
    <m/>
    <d v="2041-10-31T00:00:00"/>
    <n v="6616"/>
    <s v="O+"/>
    <s v="CA Final-2002"/>
    <s v="12.07"/>
    <s v="03.02"/>
    <s v="15.09"/>
    <s v="70494931"/>
    <s v="Working Capital"/>
    <s v="70494912"/>
    <s v="Head – Working Capital"/>
    <s v="Corporate"/>
    <s v="0090000028"/>
    <s v="Corporate Steel - Wo"/>
    <s v="2000CS"/>
    <s v="20057933"/>
    <s v="Akiyo Omori"/>
    <s v="No"/>
    <s v="rohit.sharma1@amns.in"/>
    <s v="9818428034"/>
    <s v="797319"/>
    <s v="Dhruv Vyas"/>
    <s v="Anil Matoo"/>
    <s v="Praveen Kuruvalli"/>
    <s v="Dhruv Vyas"/>
    <n v="0"/>
  </r>
  <r>
    <n v="3649"/>
    <n v="20055189"/>
    <s v="Nivedita Saxena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"/>
    <m/>
    <s v="Legal"/>
    <s v=""/>
    <s v=""/>
    <s v="Non Technical Support"/>
    <s v="Legal"/>
    <s v="Legal"/>
    <s v="73201001"/>
    <s v="Legal"/>
    <s v="Mumbai"/>
    <d v="1993-10-03T00:00:00"/>
    <s v="29.11"/>
    <d v="2020-06-29T00:00:00"/>
    <d v="2051-10-31T00:00:00"/>
    <m/>
    <d v="2051-10-31T00:00:00"/>
    <n v="10268"/>
    <s v="B+"/>
    <s v="BA-2016 , Intermediate-2011 , High Schoo"/>
    <s v="04.01"/>
    <s v="03.02"/>
    <s v="07.03"/>
    <s v="70494754"/>
    <s v="Legal"/>
    <s v="70494910"/>
    <s v="Sr. Manager"/>
    <s v="Corporate"/>
    <s v="0090000019"/>
    <s v="Corporate Steel - Le"/>
    <s v="2000CS"/>
    <s v="20055235"/>
    <s v="P Ashok Kumar"/>
    <s v="No"/>
    <s v="nivedita.saxena@amns.in"/>
    <s v="8989504005"/>
    <s v="794446"/>
    <s v="Dhruv Vyas"/>
    <s v="Anil Matoo"/>
    <s v="Praveen Kuruvalli"/>
    <s v="Dhruv Vyas"/>
    <n v="0"/>
  </r>
  <r>
    <n v="3651"/>
    <n v="20055193"/>
    <s v="Anuprita Kaushik Mehta"/>
    <s v="AM/NS India"/>
    <s v="Onroll"/>
    <s v="M-3"/>
    <n v="3"/>
    <m/>
    <s v="SM"/>
    <s v="F"/>
    <s v="Corporate"/>
    <n v="7"/>
    <s v="2013"/>
    <x v="0"/>
    <s v="20.01"/>
    <s v="Akiyo Omori"/>
    <s v="Amit Harlalka"/>
    <n v="5"/>
    <s v="Finance &amp; Accounts"/>
    <s v="Finance &amp; Accounts"/>
    <s v="20"/>
    <s v="Head -Taxation"/>
    <m/>
    <s v="Taxation"/>
    <s v="Taxation"/>
    <s v=""/>
    <s v="Non Technical Support"/>
    <s v="Finance &amp; Accounts"/>
    <s v="Taxation"/>
    <s v="73904002"/>
    <s v="Indirect Taxation"/>
    <s v="Mumbai"/>
    <d v="1972-05-11T00:00:00"/>
    <s v="51.04"/>
    <d v="2020-07-16T00:00:00"/>
    <d v="2030-05-31T00:00:00"/>
    <m/>
    <d v="2030-05-31T00:00:00"/>
    <n v="2445"/>
    <s v="O+"/>
    <s v="CA Final-1995 , BCom-1992 , High School-"/>
    <s v="18.10"/>
    <s v="03.02"/>
    <s v="21.11"/>
    <s v="70490499"/>
    <s v="Taxation"/>
    <s v="70490525"/>
    <s v="Head -Taxation"/>
    <s v="Confidential Payroll"/>
    <s v="0090000033"/>
    <s v="Corporate Taxation"/>
    <s v="2000CS"/>
    <s v="20057933"/>
    <s v="Akiyo Omori"/>
    <s v="No"/>
    <s v="anuprita.mehta@amns.in"/>
    <s v="9867290005"/>
    <s v="794445"/>
    <s v="Dhruv Vyas"/>
    <s v="Anil Matoo"/>
    <s v="Praveen Kuruvalli"/>
    <s v="Dhruv Vyas"/>
    <n v="0"/>
  </r>
  <r>
    <n v="3653"/>
    <n v="20055195"/>
    <s v="Sanjay Champalal Gandhi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r. Manager – Marketing &amp; Sales"/>
    <m/>
    <s v="Sales Steering &amp; BD"/>
    <s v="Digital Initiatives"/>
    <s v=""/>
    <s v="Non Technical Support"/>
    <s v=""/>
    <s v=""/>
    <s v="70494645"/>
    <s v="Head of Sales BD"/>
    <s v="Mumbai"/>
    <d v="1976-03-17T00:00:00"/>
    <s v="47.06"/>
    <d v="2020-08-24T00:00:00"/>
    <d v="2034-03-31T00:00:00"/>
    <m/>
    <d v="2034-03-31T00:00:00"/>
    <n v="3845"/>
    <s v="O+"/>
    <s v="MBA-2002 , MCom-2000 , BCom-1996 , Inter"/>
    <s v="12.11"/>
    <s v="03.00"/>
    <s v="16.00"/>
    <s v="70462100"/>
    <s v="Digital Initiatives"/>
    <s v="70494930"/>
    <s v="Process Manager - Digitalization"/>
    <s v="Corporate"/>
    <s v="0031950057"/>
    <s v="HZ-HRC - Marketing"/>
    <s v="2000CS"/>
    <s v="20043383"/>
    <s v="Maneesh Moti"/>
    <s v="No"/>
    <s v="sanjay.gandhi@amns.in"/>
    <s v="9930508239"/>
    <s v="797318"/>
    <s v="Dhruv Vyas"/>
    <s v="Anil Matoo"/>
    <s v="Praveen Kuruvalli"/>
    <s v="Dhruv Vyas"/>
    <n v="0"/>
  </r>
  <r>
    <n v="3654"/>
    <n v="20055196"/>
    <s v="Abhimanyu Kharb"/>
    <s v="AM/NS India"/>
    <s v="Onroll"/>
    <s v="M-5"/>
    <n v="5"/>
    <m/>
    <s v="MM"/>
    <s v="M"/>
    <s v="Hazira"/>
    <n v="1"/>
    <s v="2071"/>
    <x v="22"/>
    <s v="41.01"/>
    <s v="P Ashok Kumar"/>
    <s v="P Ashok Kumar"/>
    <n v="9"/>
    <s v="Legal"/>
    <s v="Legal"/>
    <s v="41"/>
    <s v="Legal Counsel – Compliance"/>
    <m/>
    <s v="Legal"/>
    <s v=""/>
    <s v=""/>
    <s v="Non Technical Support"/>
    <s v="Legal"/>
    <s v="Legal"/>
    <s v="73201001"/>
    <s v="Legal"/>
    <s v="Mumbai"/>
    <d v="1989-02-14T00:00:00"/>
    <s v="34.07"/>
    <d v="2020-07-27T00:00:00"/>
    <d v="2047-02-28T00:00:00"/>
    <m/>
    <d v="2047-02-28T00:00:00"/>
    <n v="8562"/>
    <s v="O-"/>
    <s v="LLB-2011 , Intermediate-2006 , High Scho"/>
    <s v="08.08"/>
    <s v="03.01"/>
    <s v="11.09"/>
    <s v="70494754"/>
    <s v="Legal"/>
    <s v="70494937"/>
    <s v="Legal Counsel – Compliance"/>
    <s v="Hazira"/>
    <s v="0090000019"/>
    <s v="Corporate Steel - Le"/>
    <s v="2000HWO"/>
    <s v="20055235"/>
    <s v="P Ashok Kumar"/>
    <s v="No"/>
    <s v="abhimanyu.kharb@amns.in"/>
    <s v="9108915606"/>
    <s v="798080"/>
    <s v="Dhruv Vyas"/>
    <s v="Anil Matoo"/>
    <s v="Praveen Kuruvalli"/>
    <s v="Dhruv Vyas"/>
    <n v="0"/>
  </r>
  <r>
    <n v="3655"/>
    <n v="20055197"/>
    <s v="Sangeeta Munjal"/>
    <s v="AM/NS India"/>
    <s v="Onroll"/>
    <s v="M-3"/>
    <n v="3"/>
    <m/>
    <s v="SM"/>
    <s v="F"/>
    <s v="Corporate"/>
    <n v="7"/>
    <s v="2039"/>
    <x v="2"/>
    <s v="43.01"/>
    <s v="Manu Kapoor"/>
    <s v="Manu Kapoor"/>
    <n v="10"/>
    <s v="Corporate Affairs"/>
    <s v="Corporate Affairs"/>
    <s v="43"/>
    <s v="Head – Corporate Affairs Delhi"/>
    <m/>
    <s v="Corporate Affairs"/>
    <s v=""/>
    <s v=""/>
    <s v="Non Technical Support"/>
    <s v="Corporate Relations"/>
    <s v="Corporate Affairs"/>
    <s v="74501001"/>
    <s v="Corporate Affairs"/>
    <s v="Delhi"/>
    <d v="1960-05-11T00:00:00"/>
    <s v="63.04"/>
    <d v="2020-08-01T00:00:00"/>
    <d v="2018-05-31T00:00:00"/>
    <d v="2025-03-31T00:00:00"/>
    <d v="2025-03-31T00:00:00"/>
    <n v="558"/>
    <s v="B+"/>
    <s v="MA-1985 , PG Diploma-1982 , BA-1980 , In"/>
    <s v="33.10"/>
    <s v="03.01"/>
    <s v="36.11"/>
    <s v="00050150"/>
    <s v="Corporate Affairs - Delhi"/>
    <s v="70494939"/>
    <s v="Head – Corporate Affairs Delhi"/>
    <s v="Confidential Payroll"/>
    <s v="0090000021"/>
    <s v="Corporate Affairs"/>
    <s v="2000CS"/>
    <s v="20057928"/>
    <s v="Manu Kapoor"/>
    <s v="No"/>
    <s v="sangeeta.munjal@amns.in"/>
    <s v="9811305002"/>
    <s v="799214"/>
    <s v="Dhruv Vyas"/>
    <s v="Anil Matoo"/>
    <s v="Praveen Kuruvalli"/>
    <s v="Dhruv Vyas"/>
    <n v="0"/>
  </r>
  <r>
    <n v="3656"/>
    <n v="20055200"/>
    <s v="Umesh Nayak"/>
    <s v="AM/NS India"/>
    <s v="Onroll"/>
    <s v="M-3"/>
    <n v="3"/>
    <m/>
    <s v="SM"/>
    <s v="M"/>
    <s v="Corporate"/>
    <n v="7"/>
    <s v="2039"/>
    <x v="2"/>
    <s v="43.01"/>
    <s v="Sangeeta Munjal"/>
    <s v="Manu Kapoor"/>
    <n v="10"/>
    <s v="Corporate Affairs"/>
    <s v="Corporate Affairs"/>
    <s v="43"/>
    <s v="Head – Corporate Affairs, Gujarat"/>
    <m/>
    <s v="Corporate Affairs"/>
    <s v=""/>
    <s v=""/>
    <s v="Non Technical Support"/>
    <s v="Corporate Relations"/>
    <s v="Corporate Affairs"/>
    <s v="74501001"/>
    <s v="Corporate Affairs"/>
    <s v="Ahmedabad"/>
    <d v="1966-02-28T00:00:00"/>
    <s v="57.06"/>
    <d v="2020-08-14T00:00:00"/>
    <d v="2024-02-29T00:00:00"/>
    <m/>
    <d v="2024-02-29T00:00:00"/>
    <n v="162"/>
    <s v="O+"/>
    <s v="MBA-1996 , BE-1988 , Intermediate-1983 ,"/>
    <s v="31.01"/>
    <s v="03.01"/>
    <s v="34.02"/>
    <s v="70492729"/>
    <s v="Corporate Affairs - Gujarat"/>
    <s v="70494943"/>
    <s v="Head – Corporate Affairs, Gujarat"/>
    <s v="Confidential Payroll"/>
    <s v="0090000021"/>
    <s v="Corporate Affairs"/>
    <s v="2000CS"/>
    <s v="20057928"/>
    <s v="Manu Kapoor"/>
    <s v="No"/>
    <s v="umesh.nayak@amns.in"/>
    <s v="9099005111"/>
    <s v="798900"/>
    <s v="Dhruv Vyas"/>
    <s v="Anil Matoo"/>
    <s v="Praveen Kuruvalli"/>
    <s v="Dhruv Vyas"/>
    <n v="0"/>
  </r>
  <r>
    <n v="3657"/>
    <n v="20055201"/>
    <s v="Deepak Sahu"/>
    <s v="AM/NS India"/>
    <s v="Onroll"/>
    <s v="M-6"/>
    <n v="6"/>
    <m/>
    <s v="M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Sr. Lead – F &amp; A Service Centre"/>
    <m/>
    <s v="Working Capital"/>
    <s v="Service Centers"/>
    <s v=""/>
    <s v="Non Technical Support"/>
    <s v="Finance &amp; Accounts"/>
    <s v="Finance &amp; Accounts"/>
    <s v="73901001"/>
    <s v="Finance &amp; Accounts"/>
    <s v="Hazira"/>
    <d v="1977-09-20T00:00:00"/>
    <s v="46.00"/>
    <d v="2020-08-01T00:00:00"/>
    <d v="2035-09-30T00:00:00"/>
    <m/>
    <d v="2035-09-30T00:00:00"/>
    <n v="4393"/>
    <s v="A+"/>
    <s v="MBA-2009"/>
    <s v="13.07"/>
    <s v="03.01"/>
    <s v="16.08"/>
    <s v="00043795"/>
    <s v="F&amp;A Hypermart &amp; Service Centre - 1"/>
    <s v="70494951"/>
    <s v="Sr. Lead – F &amp; A Service Centre"/>
    <s v="Service Center"/>
    <s v="0040000000"/>
    <s v="SC - Common"/>
    <s v="2000SPRJ"/>
    <s v="20055504"/>
    <s v="Vivek Choudhary"/>
    <s v="No"/>
    <s v="deepak.sahu@amns.in"/>
    <s v="9971104084"/>
    <s v="135523"/>
    <s v="Dhruv Vyas"/>
    <s v="Anil Matoo"/>
    <s v="Praveen Kuruvalli"/>
    <s v="Dhruv Vyas"/>
    <n v="0"/>
  </r>
  <r>
    <n v="3659"/>
    <n v="20055204"/>
    <s v="Lakshmi Charan Mahapatra"/>
    <s v="AM/NS India"/>
    <s v="Onroll"/>
    <s v="M-4"/>
    <n v="4"/>
    <m/>
    <s v="SM"/>
    <s v="M"/>
    <s v="Odisha"/>
    <n v="2"/>
    <s v="2137"/>
    <x v="12"/>
    <s v="35.01"/>
    <s v="Hrishikesh Kamat"/>
    <s v="Hrishikesh Kamat"/>
    <n v="7"/>
    <s v="Procurement"/>
    <s v="Land Acquisition"/>
    <s v="35"/>
    <s v="Head - Land Kendrapada"/>
    <m/>
    <s v="Land Acquisition"/>
    <m/>
    <m/>
    <s v="Projects"/>
    <s v="Corporate Relations"/>
    <s v="Corporate Affairs"/>
    <s v="74501001"/>
    <s v="Corporate Affairs"/>
    <s v="Bhubaneswar"/>
    <d v="1959-01-30T00:00:00"/>
    <s v="64.07"/>
    <d v="2020-08-01T00:00:00"/>
    <d v="2017-01-31T00:00:00"/>
    <d v="2025-03-31T00:00:00"/>
    <d v="2025-03-31T00:00:00"/>
    <n v="558"/>
    <s v="O+"/>
    <s v="Master's Equivalent-1996 , Diploma-1983"/>
    <s v="12.06"/>
    <s v="03.01"/>
    <s v="15.07"/>
    <s v="00048076"/>
    <s v="Greenfield Project"/>
    <s v="70494954"/>
    <s v="Chief Coordinator - Greenfield Project"/>
    <s v="Odisha"/>
    <s v="0022030019"/>
    <s v="PDP-HR &amp; Admn"/>
    <s v="2000STORIS"/>
    <s v="20053139"/>
    <s v="Subrahmanya Shanbhogue Tantradi"/>
    <s v="No"/>
    <s v="lakshmi.mahapatra@amns.in"/>
    <s v="9937291506"/>
    <s v="101489"/>
    <s v="Sunila Das"/>
    <s v="Anil Matoo"/>
    <s v="Praveen Kuruvalli"/>
    <s v="Sunila Das"/>
    <n v="0"/>
  </r>
  <r>
    <n v="3663"/>
    <n v="20055216"/>
    <s v="Abhishek Shrivastav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Dy. Manager – Sales &amp; Marketing"/>
    <m/>
    <s v="North"/>
    <s v="OEM"/>
    <s v=""/>
    <s v="Non Technical Support"/>
    <s v="Human Resources Management"/>
    <s v="Human Resources Management"/>
    <s v="73501002"/>
    <s v="Human Resources Operation"/>
    <s v="Noida"/>
    <d v="1994-06-13T00:00:00"/>
    <s v="29.03"/>
    <d v="2020-09-01T00:00:00"/>
    <d v="2052-06-30T00:00:00"/>
    <m/>
    <d v="2052-06-30T00:00:00"/>
    <n v="10511"/>
    <s v="O+"/>
    <s v="MTech-2020 , BTech-2016 , Intermediate-2"/>
    <s v=""/>
    <s v="03.00"/>
    <s v="03.00"/>
    <s v="72150181"/>
    <s v="Sales North Zone"/>
    <s v="70494965"/>
    <s v="Sales Manager"/>
    <s v="Hazira"/>
    <s v="0031950057"/>
    <s v="HZ-HRC - Marketing"/>
    <s v="2000HWO"/>
    <s v="20002920"/>
    <s v="Sudhir Sharma"/>
    <s v="No"/>
    <s v="abhishek.shrivastav@amns.in"/>
    <s v="9879102216"/>
    <s v="802315"/>
    <s v="Dhruv Vyas"/>
    <s v="Anil Matoo"/>
    <s v="Praveen Kuruvalli"/>
    <s v="Dhruv Vyas"/>
    <n v="0"/>
  </r>
  <r>
    <n v="3671"/>
    <n v="20055235"/>
    <s v="P Ashok Kumar"/>
    <s v="AM/NS India"/>
    <s v="Onroll"/>
    <s v="M-3"/>
    <n v="3"/>
    <m/>
    <s v="SM"/>
    <s v="M"/>
    <s v="Corporate"/>
    <n v="7"/>
    <s v="2071"/>
    <x v="22"/>
    <s v="41.01"/>
    <s v="P Ashok Kumar"/>
    <s v="P Ashok Kumar"/>
    <n v="9"/>
    <s v="Legal"/>
    <s v="Legal"/>
    <s v="41"/>
    <s v="Associate General Counsel"/>
    <m/>
    <s v="Legal"/>
    <s v=""/>
    <s v=""/>
    <s v="Non Technical Support"/>
    <s v="Legal"/>
    <s v="Legal"/>
    <s v="73201001"/>
    <s v="Legal"/>
    <s v="Mumbai"/>
    <d v="1982-07-17T00:00:00"/>
    <s v="41.02"/>
    <d v="2020-09-01T00:00:00"/>
    <d v="2040-07-31T00:00:00"/>
    <m/>
    <d v="2040-07-31T00:00:00"/>
    <n v="6159"/>
    <s v="O+"/>
    <s v="LLB-2004 , Intermediate-1999 , High Scho"/>
    <s v="06.05"/>
    <s v="03.00"/>
    <s v="09.05"/>
    <s v="70494754"/>
    <s v="Legal"/>
    <s v="70494985"/>
    <s v="Associate General Counsel"/>
    <s v="Confidential Payroll"/>
    <s v="0090000019"/>
    <s v="Corporate Steel - Le"/>
    <s v="2000CS"/>
    <s v="20055068"/>
    <s v="Dilip Oommen"/>
    <s v="No"/>
    <s v="ashok.kumar1@amns.in"/>
    <s v="9686811664"/>
    <s v="798211"/>
    <s v="Dhruv Vyas"/>
    <s v="Anil Matoo"/>
    <s v="Praveen Kuruvalli"/>
    <s v="Dhruv Vyas"/>
    <n v="0"/>
  </r>
  <r>
    <n v="3672"/>
    <n v="20055236"/>
    <s v="Vineet Kamlesh Ojha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Process Manager – Digitalization"/>
    <m/>
    <s v="Sales Steering &amp; BD"/>
    <s v="Digital Initiatives"/>
    <s v=""/>
    <s v="Non Technical Support"/>
    <s v="Sales &amp; Marketing"/>
    <s v="Marketing"/>
    <s v="73102001"/>
    <s v="Marketing"/>
    <s v="Mumbai"/>
    <d v="1988-07-09T00:00:00"/>
    <s v="35.02"/>
    <d v="2020-08-28T00:00:00"/>
    <d v="2046-07-31T00:00:00"/>
    <m/>
    <d v="2046-07-31T00:00:00"/>
    <n v="8350"/>
    <s v="A+"/>
    <s v="PG Diploma in Management-2011 , BCom-200"/>
    <s v="12.01"/>
    <s v="03.00"/>
    <s v="15.01"/>
    <s v="70462100"/>
    <s v="Digital Initiatives"/>
    <s v="70494984"/>
    <s v="Process Manager – CRM"/>
    <s v="Corporate"/>
    <s v="0080000005"/>
    <s v="Global Markets Team"/>
    <s v="2000CS"/>
    <s v="20043383"/>
    <s v="Maneesh Moti"/>
    <s v="No"/>
    <s v="vineet.ojha@amns.in"/>
    <s v="9920379079"/>
    <s v="802102"/>
    <s v="Dhruv Vyas"/>
    <s v="Anil Matoo"/>
    <s v="Praveen Kuruvalli"/>
    <s v="Dhruv Vyas"/>
    <n v="0"/>
  </r>
  <r>
    <n v="3689"/>
    <n v="20055312"/>
    <s v="Swapnil Srivastava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Lead Market Intelligence &amp; Pricing"/>
    <m/>
    <s v="Projects Long Products"/>
    <s v="Projects Long Products"/>
    <s v=""/>
    <s v="Non Technical Support"/>
    <s v="Human Resources Management"/>
    <s v="Human Resources Management"/>
    <s v="73501002"/>
    <s v="Human Resources Operation"/>
    <s v="Mumbai"/>
    <d v="1996-09-08T00:00:00"/>
    <s v="27.00"/>
    <d v="2020-09-16T00:00:00"/>
    <d v="2054-09-30T00:00:00"/>
    <m/>
    <d v="2054-09-30T00:00:00"/>
    <n v="11333"/>
    <s v=""/>
    <s v="MBA-2020 , BTech-2018 , Intermediate-201"/>
    <s v=""/>
    <s v="03.00"/>
    <s v="03.00"/>
    <s v="70494655"/>
    <s v="Sales Steering, Distribution and BD"/>
    <s v="70495035"/>
    <s v="Lead Market Intelligence &amp; Pricing"/>
    <s v="Corporate"/>
    <s v="0080000001"/>
    <s v="Head-Marketing"/>
    <s v="2000CS"/>
    <s v="20055091"/>
    <s v="Akshaya Gujral"/>
    <s v="No"/>
    <s v="swapnil.srivastava@amns.in"/>
    <s v="7764981301"/>
    <s v="804093"/>
    <s v="Dhruv Vyas"/>
    <s v="Anil Matoo"/>
    <s v="Praveen Kuruvalli"/>
    <s v="Dhruv Vyas"/>
    <n v="0"/>
  </r>
  <r>
    <n v="3693"/>
    <n v="20055320"/>
    <s v="Rohit Yadav"/>
    <s v="AM/NS India"/>
    <s v="Onroll"/>
    <s v="M-10"/>
    <n v="10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Sales &amp; Marketing"/>
    <m/>
    <s v="Sales Planning"/>
    <s v="Sales Planning"/>
    <s v=""/>
    <s v="Non Technical Support"/>
    <s v="Human Resources Management"/>
    <s v="Human Resources Management"/>
    <s v="73501002"/>
    <s v="Human Resources Operation"/>
    <s v="Delhi"/>
    <d v="1995-05-19T00:00:00"/>
    <s v="28.04"/>
    <d v="2020-10-03T00:00:00"/>
    <d v="2053-05-31T00:00:00"/>
    <m/>
    <d v="2053-05-31T00:00:00"/>
    <n v="10846"/>
    <s v="O+"/>
    <s v="MTech-2020 , BTech-2017 , Intermediate-2"/>
    <s v=""/>
    <s v="02.11"/>
    <s v="02.11"/>
    <s v="70385322"/>
    <s v="Sales Planning &amp; Administration"/>
    <s v="70495062"/>
    <s v="Officer - Sales Planning"/>
    <s v="Pune Facility"/>
    <s v="0035950073"/>
    <s v="Pune - S&amp;D Export"/>
    <s v="2000ESPF"/>
    <s v="20049554"/>
    <s v="Uttam Kumar"/>
    <s v="No"/>
    <s v="rohit.yadav@amns.in"/>
    <s v="6359610214"/>
    <s v="806648"/>
    <s v="Dhruv Vyas"/>
    <s v="Anil Matoo"/>
    <s v="Praveen Kuruvalli"/>
    <s v="Dhruv Vyas"/>
    <n v="0"/>
  </r>
  <r>
    <n v="3700"/>
    <n v="20055333"/>
    <s v="Shah Ronil"/>
    <s v="AM/NS India"/>
    <s v="Onroll"/>
    <s v="M-10"/>
    <n v="10"/>
    <m/>
    <s v="JM"/>
    <s v="M"/>
    <s v="Hazira"/>
    <n v="1"/>
    <s v="2015"/>
    <x v="1"/>
    <s v="22.06"/>
    <s v="Praveen Kuruvalli"/>
    <s v="Ashutosh Telang"/>
    <n v="6"/>
    <s v="HR &amp; Administration"/>
    <s v="Human Resources"/>
    <s v="22"/>
    <s v="Shift Engineer - Mechanical Maintenance"/>
    <m/>
    <s v="Hazira Operations"/>
    <s v="Mechanical"/>
    <s v="SH, Conveyors &amp; PCI"/>
    <s v="Mechanical Maintenance"/>
    <s v="Operations"/>
    <s v="Plant Operations"/>
    <s v="72103003"/>
    <s v="Plant Operations"/>
    <s v="Hazira"/>
    <d v="1998-10-21T00:00:00"/>
    <s v="24.10"/>
    <d v="2020-10-03T00:00:00"/>
    <d v="2056-10-31T00:00:00"/>
    <m/>
    <d v="2056-10-31T00:00:00"/>
    <n v="12095"/>
    <s v="B+"/>
    <s v="BTech-2020 , Intermediate-2016 , High Sc"/>
    <s v=""/>
    <s v="02.11"/>
    <s v="02.11"/>
    <s v="00051785"/>
    <s v="Hazira Project - Human Resources"/>
    <s v="70495075"/>
    <s v="Lead - Human Resources"/>
    <s v="Hazira"/>
    <s v="0031220011"/>
    <s v="Plant B - Blast Furn"/>
    <s v="2000HWO"/>
    <s v="20038382"/>
    <s v="Natasha Fernandes"/>
    <s v="No"/>
    <s v="ronil.shah@amns.in"/>
    <s v="9512047176"/>
    <s v="806659"/>
    <s v="Dhruv Vyas"/>
    <s v="Anil Matoo"/>
    <s v="Praveen Kuruvalli"/>
    <s v="Dhruv Vyas"/>
    <n v="0"/>
  </r>
  <r>
    <n v="3707"/>
    <n v="20055359"/>
    <s v="Pritish Ranjan Behera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"/>
    <m/>
    <s v="Coated Sales"/>
    <s v="Coated Sales"/>
    <s v=""/>
    <s v="Non Technical Support"/>
    <s v="Human Resources Management"/>
    <s v="Human Resources Management"/>
    <s v="73501002"/>
    <s v="Human Resources Operation"/>
    <s v="Pune"/>
    <d v="1991-09-01T00:00:00"/>
    <s v="32.00"/>
    <d v="2020-10-03T00:00:00"/>
    <d v="2049-08-31T00:00:00"/>
    <m/>
    <d v="2049-08-31T00:00:00"/>
    <n v="9477"/>
    <s v="B+"/>
    <s v="MBA-2020 , BTech-2013 , Intermediate-200"/>
    <s v=""/>
    <s v="02.11"/>
    <s v="02.11"/>
    <s v="00043882"/>
    <s v="International Sales"/>
    <s v="70495101"/>
    <s v="KAM - Coated Sales"/>
    <s v="Hazira"/>
    <s v="0031950057"/>
    <s v="HZ-HRC - Marketing"/>
    <s v="2000HWO"/>
    <s v="20037071"/>
    <s v="Amit Chandaliya"/>
    <s v="No"/>
    <s v="pritish.behera@amns.in"/>
    <s v="9923200102"/>
    <s v="806680"/>
    <s v="Dhruv Vyas"/>
    <s v="Anil Matoo"/>
    <s v="Praveen Kuruvalli"/>
    <s v="Dhruv Vyas"/>
    <n v="0"/>
  </r>
  <r>
    <n v="3708"/>
    <n v="20055360"/>
    <s v="Neha Bang"/>
    <s v="AM/NS India"/>
    <s v="Onroll"/>
    <s v="M-8"/>
    <n v="8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"/>
    <m/>
    <s v="Sales Steering &amp; BD"/>
    <s v="Product Branding"/>
    <s v=""/>
    <s v="Non Technical Support"/>
    <s v="Human Resources Management"/>
    <s v="Human Resources Management"/>
    <s v="73501002"/>
    <s v="Human Resources Operation"/>
    <s v="Mumbai"/>
    <d v="1995-02-22T00:00:00"/>
    <s v="28.06"/>
    <d v="2020-10-03T00:00:00"/>
    <d v="2053-02-28T00:00:00"/>
    <m/>
    <d v="2053-02-28T00:00:00"/>
    <n v="10754"/>
    <s v="B-"/>
    <s v="MBA-2020 , BA-2016 , Intermediate-2014 ,"/>
    <s v=""/>
    <s v="02.11"/>
    <s v="02.11"/>
    <s v="00044762"/>
    <s v="Branding"/>
    <s v="70495102"/>
    <s v="Brand Manager"/>
    <s v="Corporate"/>
    <s v="0080000001"/>
    <s v="Head-Marketing"/>
    <s v="2000CS"/>
    <s v="20056091"/>
    <s v="Pooja Rawal"/>
    <s v="No"/>
    <s v="neha.bang@amns.in"/>
    <s v="9879101215"/>
    <s v="806681"/>
    <s v="Dhruv Vyas"/>
    <s v="Anil Matoo"/>
    <s v="Praveen Kuruvalli"/>
    <s v="Dhruv Vyas"/>
    <n v="0"/>
  </r>
  <r>
    <n v="3709"/>
    <n v="20055361"/>
    <s v="Kuldeep Trivedi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Management Trainee"/>
    <m/>
    <s v="Performance Management"/>
    <s v="Performance Management"/>
    <s v=""/>
    <s v="Non Technical Support"/>
    <s v="Human Resources Management"/>
    <s v="Human Resources Management"/>
    <s v="73501002"/>
    <s v="Human Resources Operation"/>
    <s v="AM/NS Hazira"/>
    <d v="1994-04-17T00:00:00"/>
    <s v="29.05"/>
    <d v="2020-10-07T00:00:00"/>
    <d v="2052-04-30T00:00:00"/>
    <m/>
    <d v="2052-04-30T00:00:00"/>
    <n v="10450"/>
    <s v="O+"/>
    <s v="MBA-2020 , BTech-2016 , Intermediate-201"/>
    <s v=""/>
    <s v="02.11"/>
    <s v="02.11"/>
    <s v="00045310"/>
    <s v="Performance Management"/>
    <s v="70495103"/>
    <s v="Management Trainee"/>
    <s v="Hazira"/>
    <s v="0031950043"/>
    <s v="HZ-Performance Manag"/>
    <s v="2000HWO"/>
    <s v="20059076"/>
    <s v="Ravish Doshi"/>
    <s v="No"/>
    <s v="kuldeep.trivedi@amns.in"/>
    <s v="9727741053"/>
    <s v="806682"/>
    <s v="Dhruv Vyas"/>
    <s v="Anil Matoo"/>
    <s v="Praveen Kuruvalli"/>
    <s v="Dhruv Vyas"/>
    <n v="0"/>
  </r>
  <r>
    <n v="3760"/>
    <n v="20055424"/>
    <s v="Prasath Radhakrishnan"/>
    <s v="AM/NS India"/>
    <s v="Onroll"/>
    <s v="M-8"/>
    <n v="8"/>
    <m/>
    <s v="JM"/>
    <s v="M"/>
    <s v="Service Centers"/>
    <n v="6"/>
    <s v="2043"/>
    <x v="3"/>
    <s v="31.01"/>
    <s v="Hrishikesh Kamat"/>
    <s v="Hrishikesh Kamat"/>
    <n v="7"/>
    <s v="Procurement"/>
    <s v="Procurement"/>
    <s v="31"/>
    <s v="Incharge  Purchase"/>
    <m/>
    <s v="Procurement Service Centre"/>
    <s v="Procurement Service Centre"/>
    <s v=""/>
    <s v="Non Technical Support"/>
    <s v="Operations"/>
    <s v="Plant Operations"/>
    <s v="72103003"/>
    <s v="Plant Operations"/>
    <s v="Chennai"/>
    <d v="1979-11-09T00:00:00"/>
    <s v="43.10"/>
    <d v="2020-10-01T00:00:00"/>
    <d v="2037-11-30T00:00:00"/>
    <m/>
    <d v="2037-11-30T00:00:00"/>
    <n v="5185"/>
    <s v="O+"/>
    <s v="MBA-2009 , BE-2001 , High School-1997 ,"/>
    <s v="14.00"/>
    <s v="02.11"/>
    <s v="16.11"/>
    <s v="70413444"/>
    <s v="Purchase &amp; Contracts"/>
    <s v="70495186"/>
    <s v="Incharge  Purchase"/>
    <s v="Service Center"/>
    <s v="0040030019"/>
    <s v="SC-Chennai-Op1-HR-Ad"/>
    <s v="2000SPRJ"/>
    <s v="20052588"/>
    <s v="Govindraju Sampathirao"/>
    <s v="No"/>
    <s v="prasath.r@amns.in"/>
    <s v="9952966638"/>
    <s v="25533"/>
    <s v="Dhruv Vyas"/>
    <s v="Anil Matoo"/>
    <s v="Praveen Kuruvalli"/>
    <s v="Dhruv Vyas"/>
    <n v="0"/>
  </r>
  <r>
    <n v="3767"/>
    <n v="20055437"/>
    <s v="Sameer Vengurlekar"/>
    <s v="AM/NS India"/>
    <s v="Onroll"/>
    <s v="M-10"/>
    <n v="10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Sales &amp; Marketing"/>
    <m/>
    <s v="Coated Sales"/>
    <s v="Coated Sales"/>
    <s v=""/>
    <s v="Non Technical Support"/>
    <s v="Sales &amp; Marketing"/>
    <s v="Sales &amp; Marketing"/>
    <s v="73101001"/>
    <s v="Sales &amp; Marketing"/>
    <s v="Pune AMNS"/>
    <d v="1984-03-26T00:00:00"/>
    <s v="39.05"/>
    <d v="2020-10-27T00:00:00"/>
    <d v="2042-03-31T00:00:00"/>
    <m/>
    <d v="2042-03-31T00:00:00"/>
    <n v="6767"/>
    <s v=""/>
    <s v="PG Diploma in Management-2013 , BCom-200"/>
    <s v="14.08"/>
    <s v="02.10"/>
    <s v="17.06"/>
    <s v="00048138"/>
    <s v="Hypermart west"/>
    <s v="70495275"/>
    <s v="Sales Manger - Coated Sales"/>
    <s v="Pune Facility"/>
    <s v="0035950073"/>
    <s v="Pune - S&amp;D Export"/>
    <s v="2000ESPF"/>
    <s v="20056847"/>
    <s v="Vikas Chotia"/>
    <s v="No"/>
    <s v="sameer.vengurlekar@amns.in"/>
    <s v="9158895815"/>
    <s v="812346"/>
    <s v="Dhruv Vyas"/>
    <s v="Anil Matoo"/>
    <s v="Praveen Kuruvalli"/>
    <s v="Dhruv Vyas"/>
    <n v="0"/>
  </r>
  <r>
    <n v="3770"/>
    <n v="20055441"/>
    <s v="Bhushan Bhondwe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Lead - Sales &amp; Marketing"/>
    <m/>
    <s v="Export"/>
    <s v="Export"/>
    <s v=""/>
    <s v="Non Technical Support"/>
    <s v="Sales &amp; Marketing"/>
    <s v="Sales &amp; Marketing"/>
    <s v="73101001"/>
    <s v="Sales &amp; Marketing"/>
    <s v="Pune"/>
    <d v="1976-03-23T00:00:00"/>
    <s v="47.05"/>
    <d v="2020-11-17T00:00:00"/>
    <d v="2034-03-31T00:00:00"/>
    <m/>
    <d v="2034-03-31T00:00:00"/>
    <n v="3845"/>
    <s v=""/>
    <s v="Master's Equivalent-2000 , Diploma-1997"/>
    <s v="08.05"/>
    <s v="02.10"/>
    <s v="11.03"/>
    <s v="00043882"/>
    <s v="International Sales"/>
    <s v="70495280"/>
    <s v="KAM - Export Sales"/>
    <s v="Pune Facility"/>
    <s v="0035950073"/>
    <s v="Pune - S&amp;D Export"/>
    <s v="2000ESPF"/>
    <s v="20055663"/>
    <s v="Karamath Syed"/>
    <s v="No"/>
    <s v="bhushan.bhondwe@amns.in"/>
    <s v="9158895824"/>
    <s v="812345"/>
    <s v="Dhruv Vyas"/>
    <s v="Anil Matoo"/>
    <s v="Praveen Kuruvalli"/>
    <s v="Dhruv Vyas"/>
    <n v="0"/>
  </r>
  <r>
    <n v="3774"/>
    <n v="20055446"/>
    <s v="Chitrang Rana"/>
    <s v="AM/NS India"/>
    <s v="Onroll"/>
    <s v="M-5"/>
    <n v="5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Services"/>
    <m/>
    <s v="Capex Procurement"/>
    <s v="Capex Procurement"/>
    <s v=""/>
    <s v="Non Technical Support"/>
    <s v="Operations"/>
    <s v="Operations"/>
    <s v="72103001"/>
    <s v="Operations"/>
    <s v="Hazira"/>
    <d v="1974-02-14T00:00:00"/>
    <s v="49.07"/>
    <d v="2020-12-01T00:00:00"/>
    <d v="2032-02-29T00:00:00"/>
    <m/>
    <d v="2032-02-29T00:00:00"/>
    <n v="3084"/>
    <s v="B+"/>
    <s v="BE-1996 , Diploma-1992 , High School-198"/>
    <s v="23.11"/>
    <s v="02.09"/>
    <s v="26.09"/>
    <s v="00049359"/>
    <s v="Capex Services"/>
    <s v="70495292"/>
    <s v="Lead – Capex Services"/>
    <s v="Hazira"/>
    <s v="0031950059"/>
    <s v="HZ-Hazira Project"/>
    <s v="2000HWO"/>
    <s v="20052261"/>
    <s v="Aruni Mishra"/>
    <s v="No"/>
    <s v="chitrang.rana@amns.in"/>
    <s v="9879101778"/>
    <s v="806642"/>
    <s v="Dhruv Vyas"/>
    <s v="Anil Matoo"/>
    <s v="Praveen Kuruvalli"/>
    <s v="Dhruv Vyas"/>
    <n v="0"/>
  </r>
  <r>
    <n v="3775"/>
    <n v="20055447"/>
    <s v="Nirav Pachchigar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Buyer"/>
    <m/>
    <s v="Capex Procurement"/>
    <s v="Capex Procurement"/>
    <s v=""/>
    <s v="Non Technical Support"/>
    <s v="Operations"/>
    <s v="Operations"/>
    <s v="72103001"/>
    <s v="Operations"/>
    <s v="Hazira"/>
    <d v="1980-02-11T00:00:00"/>
    <s v="43.07"/>
    <d v="2020-11-25T00:00:00"/>
    <d v="2038-02-28T00:00:00"/>
    <m/>
    <d v="2038-02-28T00:00:00"/>
    <n v="5275"/>
    <s v="B+"/>
    <s v="PG Diploma-2013 , BE-2001 , High School-"/>
    <s v="19.02"/>
    <s v="02.09"/>
    <s v="21.11"/>
    <s v="70495711"/>
    <s v="Capex Buyer"/>
    <s v="70495286"/>
    <s v="Lead – Capex Buyer"/>
    <s v="Hazira"/>
    <s v="0031950059"/>
    <s v="HZ-Hazira Project"/>
    <s v="2000HWO"/>
    <s v="20055706"/>
    <s v="HimalKumar Madhusudan Sheth"/>
    <s v="No"/>
    <s v="nirav.pachchigar@amns.in"/>
    <s v="6357192763"/>
    <s v="812341"/>
    <s v="Dhruv Vyas"/>
    <s v="Anil Matoo"/>
    <s v="Praveen Kuruvalli"/>
    <s v="Dhruv Vyas"/>
    <n v="0"/>
  </r>
  <r>
    <n v="3778"/>
    <n v="20055451"/>
    <s v="Dhruvang Patel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– Capex Services"/>
    <m/>
    <s v="Capex Procurement"/>
    <s v="Capex Procurement"/>
    <s v=""/>
    <s v="Non Technical Support"/>
    <s v="Operations"/>
    <s v="Operations"/>
    <s v="72103001"/>
    <s v="Operations"/>
    <s v="Hazira"/>
    <d v="1993-05-09T00:00:00"/>
    <s v="30.04"/>
    <d v="2020-11-23T00:00:00"/>
    <d v="2051-05-31T00:00:00"/>
    <m/>
    <d v="2051-05-31T00:00:00"/>
    <n v="10115"/>
    <s v="B+"/>
    <s v="Diploma-2011 , SSLC-2008"/>
    <s v="09.03"/>
    <s v="02.09"/>
    <s v="12.00"/>
    <s v="00049360"/>
    <s v="Capex Services"/>
    <s v="70495293"/>
    <s v="Officer – Capex Services"/>
    <s v="Hazira"/>
    <s v="0031950059"/>
    <s v="HZ-Hazira Project"/>
    <s v="2000HWO"/>
    <s v="20055727"/>
    <s v="Javed Akhtar"/>
    <s v="No"/>
    <s v="dhruvang.patel@amns.in"/>
    <s v="6357192770"/>
    <s v="812340"/>
    <s v="Dhruv Vyas"/>
    <s v="Anil Matoo"/>
    <s v="Praveen Kuruvalli"/>
    <s v="Dhruv Vyas"/>
    <n v="0"/>
  </r>
  <r>
    <n v="3781"/>
    <n v="20055456"/>
    <s v="Vijay Malepu"/>
    <s v="AM/NS India"/>
    <s v="Onroll"/>
    <s v="M-7"/>
    <n v="7"/>
    <m/>
    <s v="MM"/>
    <s v="M"/>
    <s v="Corporate"/>
    <n v="7"/>
    <s v="2069"/>
    <x v="8"/>
    <s v="25.01"/>
    <s v="Bibek Chattopadhyay"/>
    <s v="Ashutosh Telang"/>
    <n v="6"/>
    <s v="HR &amp; Administration"/>
    <s v="Corporate Communications"/>
    <s v="25"/>
    <s v="Sr. Lead - Corporate Communication"/>
    <m/>
    <s v="Corporate Communications"/>
    <s v=""/>
    <s v=""/>
    <s v="Non Technical Support"/>
    <s v="Corporate Communication"/>
    <s v="Corporate Communication"/>
    <s v="74001001"/>
    <s v="Corporate Communication"/>
    <s v="Mumbai"/>
    <d v="1982-03-01T00:00:00"/>
    <s v="41.06"/>
    <d v="2020-12-02T00:00:00"/>
    <d v="2040-02-29T00:00:00"/>
    <m/>
    <d v="2040-02-29T00:00:00"/>
    <n v="6006"/>
    <s v="AB+"/>
    <s v="Master's Equivalent-2016 , Post Diploma"/>
    <s v="13.03"/>
    <s v="02.09"/>
    <s v="16.00"/>
    <s v="70318583"/>
    <s v="Communications &amp; Media Relations"/>
    <s v="70495298"/>
    <s v="Sr. Lead - Corporate Communication"/>
    <s v="Corporate"/>
    <s v="0090000016"/>
    <s v="Corporate Steel - Co"/>
    <s v="2000CS"/>
    <s v="20055187"/>
    <s v="Bibek Chattopadhyay"/>
    <s v="No"/>
    <s v="vijay.malepu@amns.in"/>
    <s v="9833403636"/>
    <s v="814930"/>
    <s v="Dhruv Vyas"/>
    <s v="Anil Matoo"/>
    <s v="Praveen Kuruvalli"/>
    <s v="Dhruv Vyas"/>
    <n v="0"/>
  </r>
  <r>
    <n v="3790"/>
    <n v="20055465"/>
    <s v="Mayank Zora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- Issue/Shifting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98-04-08T00:00:00"/>
    <s v="25.05"/>
    <d v="2020-12-28T00:00:00"/>
    <d v="2056-04-30T00:00:00"/>
    <m/>
    <d v="2056-04-30T00:00:00"/>
    <n v="11911"/>
    <s v="AB+"/>
    <s v="Diploma-2016 , SSLC-2013"/>
    <s v=""/>
    <s v="02.08"/>
    <s v="02.08"/>
    <s v="00053277"/>
    <s v="Receipts &amp; Unloading - Plant B"/>
    <s v="70495333"/>
    <s v="Section Officer - Issue/Shifting"/>
    <s v="Hazira"/>
    <s v="0031950049"/>
    <s v="HZ-Central Stores"/>
    <s v="2000HWO"/>
    <s v="20003180"/>
    <s v="Bhikhubhai Ahir"/>
    <s v="No"/>
    <s v="mayank.zora@amns.in"/>
    <s v="9925241193"/>
    <s v="25892"/>
    <s v="Dhruv Vyas"/>
    <s v="Anil Matoo"/>
    <s v="Praveen Kuruvalli"/>
    <s v="Dhruv Vyas"/>
    <n v="0"/>
  </r>
  <r>
    <n v="3806"/>
    <n v="20055483"/>
    <s v="Praveen Kuruvalli"/>
    <s v="AM/NS India"/>
    <s v="Onroll"/>
    <s v="M-2"/>
    <n v="2"/>
    <m/>
    <s v="TM"/>
    <s v="M"/>
    <s v="Corporate"/>
    <n v="7"/>
    <s v="2015"/>
    <x v="1"/>
    <s v="22.06"/>
    <s v="Ashutosh Telang"/>
    <s v="Ashutosh Telang"/>
    <n v="6"/>
    <s v="HR &amp; Administration"/>
    <s v="Human Resources"/>
    <s v="22"/>
    <s v="Head People Strategy &amp; HR COE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Mumbai"/>
    <d v="1980-06-04T00:00:00"/>
    <s v="43.03"/>
    <d v="2021-01-01T00:00:00"/>
    <d v="2040-06-30T00:00:00"/>
    <m/>
    <d v="2040-06-30T00:00:00"/>
    <n v="6128"/>
    <s v="A+"/>
    <s v="MBA-2007 , BTech-2002 , High School-1997"/>
    <s v="16.05"/>
    <s v="02.08"/>
    <s v="19.01"/>
    <s v="70242278"/>
    <s v="People Strategy &amp; HR Center Excellence"/>
    <s v="70495349"/>
    <s v="Head People Strategy &amp; HR COE"/>
    <s v="Confidential Payroll"/>
    <s v="0031950061"/>
    <s v="HZ-Human Resource"/>
    <s v="2000CS"/>
    <s v="20059024"/>
    <s v="Keiji Kubota"/>
    <s v="No"/>
    <s v="praveen.kuruvalli@amns.in"/>
    <s v="9619917060"/>
    <s v="103288"/>
    <s v="Dhruv Vyas"/>
    <s v="Anil Matoo"/>
    <s v="Praveen Kuruvalli"/>
    <s v="Dhruv Vyas"/>
    <n v="0"/>
  </r>
  <r>
    <n v="3809"/>
    <n v="20055486"/>
    <s v="Nilesh Likhite"/>
    <s v="AM/NS India"/>
    <s v="Onroll"/>
    <s v="M-3"/>
    <n v="3"/>
    <m/>
    <s v="SM"/>
    <s v="M"/>
    <s v="Corporate"/>
    <n v="7"/>
    <s v="2014"/>
    <x v="16"/>
    <s v="03.01"/>
    <s v="Dilip Oommen"/>
    <s v="Dilip Oommen"/>
    <n v="1"/>
    <s v="CEO Office"/>
    <s v="Internal Audit"/>
    <s v="03"/>
    <s v="Chief Internal Auditor"/>
    <m/>
    <s v="Internal Audit"/>
    <s v=""/>
    <s v=""/>
    <s v="Non Technical Support"/>
    <s v="Chairman's Secretariat"/>
    <s v="Chairman's Secretariat"/>
    <s v="74701000"/>
    <s v="Chairman's Secretariat"/>
    <s v="Mumbai"/>
    <d v="1970-04-29T00:00:00"/>
    <s v="53.04"/>
    <d v="2021-01-04T00:00:00"/>
    <d v="2028-04-30T00:00:00"/>
    <m/>
    <d v="2028-04-30T00:00:00"/>
    <n v="1684"/>
    <s v="O+"/>
    <s v="Certificate-2010 , Certificate-2007 , Ce"/>
    <s v="26.01"/>
    <s v="02.08"/>
    <s v="28.09"/>
    <s v="70310796"/>
    <s v="Internal Audit"/>
    <s v="70495350"/>
    <s v="Chief Internal Auditor"/>
    <s v="Confidential Payroll"/>
    <s v="0090000035"/>
    <s v="Internal Audit"/>
    <s v="2000CS"/>
    <s v="20055068"/>
    <s v="Dilip Oommen"/>
    <s v="No"/>
    <s v="nilesh.likhite@amns.in"/>
    <s v="9820049811"/>
    <s v="816692"/>
    <s v="Dhruv Vyas"/>
    <s v="Anil Matoo"/>
    <s v="Praveen Kuruvalli"/>
    <s v="Dhruv Vyas"/>
    <n v="0"/>
  </r>
  <r>
    <n v="3814"/>
    <n v="20055493"/>
    <s v="Ramanathan Rajagopalan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EM Sales"/>
    <m/>
    <s v="South"/>
    <s v="Auto"/>
    <s v=""/>
    <s v="Non Technical Support"/>
    <s v="Sales &amp; Marketing"/>
    <s v="Sales"/>
    <s v="73104004"/>
    <s v="OEM Sales"/>
    <s v="Chennai"/>
    <d v="1996-05-24T00:00:00"/>
    <s v="27.03"/>
    <d v="2021-01-01T00:00:00"/>
    <d v="2054-05-31T00:00:00"/>
    <m/>
    <d v="2054-05-31T00:00:00"/>
    <n v="11211"/>
    <s v="A+"/>
    <s v="BE-2017 , Intermediate-2013 , High Schoo"/>
    <s v="03.04"/>
    <s v="02.08"/>
    <s v="06.00"/>
    <s v="00052470"/>
    <s v="Automotive Sales - Chennai"/>
    <s v="70495378"/>
    <s v="Sales Manager"/>
    <s v="Hazira"/>
    <s v="0031950057"/>
    <s v="HZ-HRC - Marketing"/>
    <s v="2000HWO"/>
    <s v="20053562"/>
    <s v="Shankar Murugan"/>
    <s v="No"/>
    <s v="ramanathan.r@amns.in"/>
    <s v="9884923782"/>
    <s v="25496"/>
    <s v="Dhruv Vyas"/>
    <s v="Anil Matoo"/>
    <s v="Praveen Kuruvalli"/>
    <s v="Dhruv Vyas"/>
    <n v="0"/>
  </r>
  <r>
    <n v="3815"/>
    <n v="20055494"/>
    <s v="Vikas Soni"/>
    <s v="AM/NS India"/>
    <s v="Onroll"/>
    <s v="M-4"/>
    <n v="4"/>
    <m/>
    <s v="SM"/>
    <s v="M"/>
    <s v="Corporate"/>
    <n v="7"/>
    <s v="2013"/>
    <x v="0"/>
    <s v="20.01"/>
    <s v="Akiyo Omori"/>
    <s v="Amit Harlalka"/>
    <n v="5"/>
    <s v="Finance &amp; Accounts"/>
    <s v="Finance &amp; Accounts"/>
    <s v="20"/>
    <s v="Head – Direct Taxation"/>
    <m/>
    <s v="Taxation"/>
    <s v="Direct - Taxation"/>
    <s v=""/>
    <s v="Non Technical Support"/>
    <s v="Finance &amp; Accounts"/>
    <s v="Taxation"/>
    <s v="73904001"/>
    <s v="Direct Taxation"/>
    <s v="Mumbai"/>
    <d v="1982-08-03T00:00:00"/>
    <s v="41.01"/>
    <d v="2021-01-08T00:00:00"/>
    <d v="2040-08-31T00:00:00"/>
    <m/>
    <d v="2040-08-31T00:00:00"/>
    <n v="6190"/>
    <s v="O+"/>
    <s v="BCom-2002 , CA Final-2005 , High School-"/>
    <s v="16.06"/>
    <s v="02.08"/>
    <s v="19.01"/>
    <s v="70495368"/>
    <s v="Direct Taxation"/>
    <s v="70495369"/>
    <s v="Head – Direct Taxation"/>
    <s v="Corporate"/>
    <s v="0090000033"/>
    <s v="Corporate Taxation"/>
    <s v="2000CS"/>
    <s v="20055193"/>
    <s v="Anuprita Kaushik Mehta"/>
    <s v="No"/>
    <s v="vikas.soni@amns.in"/>
    <s v="9892668935"/>
    <s v="818985"/>
    <s v="Dhruv Vyas"/>
    <s v="Anil Matoo"/>
    <s v="Praveen Kuruvalli"/>
    <s v="Dhruv Vyas"/>
    <n v="0"/>
  </r>
  <r>
    <n v="3818"/>
    <n v="20055503"/>
    <s v="Gajendra Parihar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– HRC Store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89-12-10T00:00:00"/>
    <s v="33.09"/>
    <d v="2021-01-15T00:00:00"/>
    <d v="2047-12-31T00:00:00"/>
    <m/>
    <d v="2047-12-31T00:00:00"/>
    <n v="8868"/>
    <s v="O+"/>
    <s v="BTech-2013 , Diploma-2009 , SSLC-2006"/>
    <s v="08.08"/>
    <s v="02.08"/>
    <s v="11.03"/>
    <s v="00053278"/>
    <s v="GRN/Documentation/Issue - Plant A"/>
    <s v="70495401"/>
    <s v="Section Officer – HRC Store"/>
    <s v="Hazira"/>
    <s v="0031950049"/>
    <s v="HZ-Central Stores"/>
    <s v="2000HWO"/>
    <s v="20002587"/>
    <s v="Seema Mehta"/>
    <s v="No"/>
    <s v="gajendra.parihar@amns.in"/>
    <s v="7486019908"/>
    <s v="818988"/>
    <s v="Dhruv Vyas"/>
    <s v="Anil Matoo"/>
    <s v="Praveen Kuruvalli"/>
    <s v="Dhruv Vyas"/>
    <n v="0"/>
  </r>
  <r>
    <n v="3819"/>
    <n v="20055504"/>
    <s v="Vivek Choudhary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 – F&amp;A Hypermart &amp; Service Centre"/>
    <m/>
    <s v="Working Capital"/>
    <s v="Service Centers"/>
    <s v=""/>
    <s v="Non Technical Support"/>
    <s v="Finance &amp; Accounts"/>
    <s v="Finance &amp; Accounts"/>
    <s v="73901001"/>
    <s v="Finance &amp; Accounts"/>
    <s v="AM/NS Hazira"/>
    <d v="1991-09-21T00:00:00"/>
    <s v="32.00"/>
    <d v="2021-01-18T00:00:00"/>
    <d v="2049-09-30T00:00:00"/>
    <m/>
    <d v="2049-09-30T00:00:00"/>
    <n v="9507"/>
    <s v="O+"/>
    <s v="MBA-2019 , CA Final-2014 , High School-2"/>
    <s v="06.05"/>
    <s v="02.08"/>
    <s v="09.00"/>
    <s v="70495565"/>
    <s v="F&amp;A Hypermart &amp; Service Centre"/>
    <s v="70495413"/>
    <s v="Head – F&amp;A Hypermart &amp; Service Centre"/>
    <s v="Hazira"/>
    <s v="0040000000"/>
    <s v="SC - Common"/>
    <s v="2000HWO"/>
    <s v="20055188"/>
    <s v="Rohit Sharma"/>
    <s v="No"/>
    <s v="vivek.choudhary@amns.in"/>
    <s v="7486019909"/>
    <s v="818990"/>
    <s v="Dhruv Vyas"/>
    <s v="Anil Matoo"/>
    <s v="Praveen Kuruvalli"/>
    <s v="Dhruv Vyas"/>
    <n v="0"/>
  </r>
  <r>
    <n v="3827"/>
    <n v="20055515"/>
    <s v="Manoj Raut"/>
    <s v="AM/NS India"/>
    <s v="Onroll"/>
    <s v="M-5"/>
    <n v="5"/>
    <m/>
    <s v="MM"/>
    <s v="M"/>
    <s v="Odisha"/>
    <n v="2"/>
    <s v="2039"/>
    <x v="2"/>
    <s v="43.01"/>
    <s v="Sangeeta Munjal"/>
    <s v="Manu Kapoor"/>
    <n v="10"/>
    <s v="Corporate Affairs"/>
    <s v="Corporate Affairs"/>
    <s v="43"/>
    <s v="Sr. Lead - Corporate Affairs"/>
    <m/>
    <s v="Corporate Affairs"/>
    <s v="Corporate Affairs"/>
    <s v="Corporate Affairs"/>
    <s v="Non Technical Support"/>
    <s v="Corporate Relations"/>
    <s v="Corporate Affairs"/>
    <s v="74501001"/>
    <s v="Corporate Affairs"/>
    <s v="Bhubaneswar"/>
    <d v="1974-07-13T00:00:00"/>
    <s v="49.02"/>
    <d v="2021-01-30T00:00:00"/>
    <d v="2032-07-31T00:00:00"/>
    <m/>
    <d v="2032-07-31T00:00:00"/>
    <n v="3237"/>
    <s v="O-"/>
    <s v="BE-2005 , Diploma-1997 , High School-198"/>
    <s v=""/>
    <s v="02.07"/>
    <s v="02.07"/>
    <s v="70495564"/>
    <s v="Corporate Affairs - Odisha"/>
    <s v="70495454"/>
    <s v="Sr. Lead Corporate Affairs"/>
    <s v="Odisha"/>
    <s v="0022030019"/>
    <s v="PDP-HR &amp; Admn"/>
    <s v="2000STORIS"/>
    <s v="20056422"/>
    <s v="Suparna Nanda"/>
    <s v="No"/>
    <s v="manoj.raut@amns.in"/>
    <s v="7682814750"/>
    <s v="819629"/>
    <s v="Sunila Das"/>
    <s v="Anil Matoo"/>
    <s v="Praveen Kuruvalli"/>
    <s v="Sunila Das"/>
    <n v="0"/>
  </r>
  <r>
    <n v="3829"/>
    <n v="20055517"/>
    <s v="Diptakshya Banerjee"/>
    <s v="AM/NS India"/>
    <s v="Onroll"/>
    <s v="M-7"/>
    <n v="7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Lead - Procurement &amp; Stores"/>
    <m/>
    <s v="Procurement"/>
    <s v="Procurement"/>
    <s v=""/>
    <s v="Non Technical Support"/>
    <s v="Commercial"/>
    <s v="Purchase"/>
    <s v="73804001"/>
    <s v="Purchase"/>
    <s v="Paradeep"/>
    <d v="1984-10-17T00:00:00"/>
    <s v="38.11"/>
    <d v="2021-01-30T00:00:00"/>
    <d v="2042-10-31T00:00:00"/>
    <m/>
    <d v="2042-10-31T00:00:00"/>
    <n v="6981"/>
    <s v="A+"/>
    <s v="MBA-2010 , BCom-2007 , Intermediate-2004"/>
    <s v=""/>
    <s v="02.07"/>
    <s v="02.07"/>
    <s v="70407583"/>
    <s v="Procurement - Odisha Asset"/>
    <s v="70495456"/>
    <s v="Lead - Procurement &amp; Stores"/>
    <s v="Odisha"/>
    <s v="0022030019"/>
    <s v="PDP-HR &amp; Admn"/>
    <s v="2000STORIS"/>
    <s v="20055692"/>
    <s v="Rajiv Ranjan"/>
    <s v="No"/>
    <s v="diptakshya.banerjee@amns.in"/>
    <s v="8718809224"/>
    <s v="819631"/>
    <s v="Sunila Das"/>
    <s v="Anil Matoo"/>
    <s v="Praveen Kuruvalli"/>
    <s v="Sunila Das"/>
    <n v="0"/>
  </r>
  <r>
    <n v="3836"/>
    <n v="20055527"/>
    <s v="Agnikant Mishra"/>
    <s v="AM/NS India"/>
    <s v="Onroll"/>
    <s v="M-7"/>
    <n v="7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Finance &amp; Accounts"/>
    <m/>
    <s v="Odisha Operations"/>
    <s v=""/>
    <s v=""/>
    <s v="Non Technical Support"/>
    <s v="Finance &amp; Accounts"/>
    <s v="Finance &amp; Accounts"/>
    <s v="73901001"/>
    <s v="Finance &amp; Accounts"/>
    <s v="Dabuna"/>
    <d v="1967-12-18T00:00:00"/>
    <s v="55.09"/>
    <d v="2021-01-30T00:00:00"/>
    <d v="2025-12-31T00:00:00"/>
    <m/>
    <d v="2025-12-31T00:00:00"/>
    <n v="833"/>
    <s v="B+"/>
    <s v="ICWA Final-1998 , High School-1984"/>
    <s v=""/>
    <s v="02.07"/>
    <s v="02.07"/>
    <s v="72150243"/>
    <s v="Accounts Payable"/>
    <s v="70495466"/>
    <s v="Lead Finance &amp; Accounts"/>
    <s v="Odisha"/>
    <s v="0022030019"/>
    <s v="PDP-HR &amp; Admn"/>
    <s v="2000STORIS"/>
    <s v="20001076"/>
    <s v="Bhavesh Modi"/>
    <s v="No"/>
    <s v="agnikant.mishra@amns.in"/>
    <s v="7077718332"/>
    <s v="819641"/>
    <s v="Sunila Das"/>
    <s v="Anil Matoo"/>
    <s v="Praveen Kuruvalli"/>
    <s v="Sunila Das"/>
    <n v="0"/>
  </r>
  <r>
    <n v="3863"/>
    <n v="20055561"/>
    <s v="Rahul Sahu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 Refractory"/>
    <m/>
    <s v="Procurement MRO Hazira"/>
    <s v="Procurement"/>
    <s v=""/>
    <s v="Non Technical Support"/>
    <s v="Commercial"/>
    <s v="Procurement"/>
    <s v="73803001"/>
    <s v="Procurement"/>
    <s v="AM/NS Hazira"/>
    <d v="1985-04-07T00:00:00"/>
    <s v="38.05"/>
    <d v="2021-01-29T00:00:00"/>
    <d v="2043-04-30T00:00:00"/>
    <m/>
    <d v="2043-04-30T00:00:00"/>
    <n v="7162"/>
    <s v="A+"/>
    <s v="PG Diploma-2019 , PG Diploma-2011 , BE-2"/>
    <s v="13.00"/>
    <s v="02.07"/>
    <s v="15.08"/>
    <s v="00044543"/>
    <s v="Procurement -Refractory"/>
    <s v="70495552"/>
    <s v="Lead - Pro Refractory"/>
    <s v="Hazira"/>
    <s v="0031950048"/>
    <s v="HZ-Procurment Depart"/>
    <s v="2000HWO"/>
    <s v="20008647"/>
    <s v="Alpesh Hirpara"/>
    <s v="No"/>
    <s v="rahul.sahu@amns.in"/>
    <s v="7486019925"/>
    <s v="819619"/>
    <s v="Dhruv Vyas"/>
    <s v="Anil Matoo"/>
    <s v="Praveen Kuruvalli"/>
    <s v="Dhruv Vyas"/>
    <n v="0"/>
  </r>
  <r>
    <n v="3881"/>
    <n v="20055590"/>
    <s v="Mehul Thakkar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Performance Management"/>
    <m/>
    <s v="Capex Finance"/>
    <s v="Capex Finance"/>
    <s v=""/>
    <s v="Non Technical Support"/>
    <s v="Finance &amp; Accounts"/>
    <s v="Costing"/>
    <s v="73906001"/>
    <s v="Costing"/>
    <s v="AM/NS Hazira"/>
    <d v="1993-08-19T00:00:00"/>
    <s v="30.01"/>
    <d v="2021-03-16T00:00:00"/>
    <d v="2051-08-31T00:00:00"/>
    <m/>
    <d v="2051-08-31T00:00:00"/>
    <n v="10207"/>
    <s v="B+"/>
    <s v="CA Final-2015 , BCom-2013 , Intermediate"/>
    <s v="05.10"/>
    <s v="02.06"/>
    <s v="08.04"/>
    <s v="00045912"/>
    <s v="Capex - Finance"/>
    <s v="70495618"/>
    <s v="Lead – Performance Management"/>
    <s v="Hazira"/>
    <s v="0090000038"/>
    <s v="CAPEX FINANCE"/>
    <s v="2000HWO"/>
    <s v="20055143"/>
    <s v="Naoki Shimazaki"/>
    <s v="No"/>
    <s v="mehul.thakkar@amns.in"/>
    <s v="7486036179"/>
    <s v="826411"/>
    <s v="Dhruv Vyas"/>
    <s v="Anil Matoo"/>
    <s v="Praveen Kuruvalli"/>
    <s v="Dhruv Vyas"/>
    <n v="0"/>
  </r>
  <r>
    <n v="3882"/>
    <n v="20055591"/>
    <s v="Amol Gaurkar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Lead – Proc HSM &amp; CSP MIS"/>
    <m/>
    <s v="Procurement MRO Hazira"/>
    <s v="Procurement"/>
    <s v=""/>
    <s v="Non Technical Support"/>
    <s v="Commercial"/>
    <s v="Procurement"/>
    <s v="73803001"/>
    <s v="Procurement"/>
    <s v="AM/NS Hazira"/>
    <d v="1985-05-27T00:00:00"/>
    <s v="38.03"/>
    <d v="2021-03-22T00:00:00"/>
    <d v="2043-05-31T00:00:00"/>
    <m/>
    <d v="2043-05-31T00:00:00"/>
    <n v="7193"/>
    <s v="B+"/>
    <s v="Certificate-2013 , Post Diploma Course-2"/>
    <s v="12.11"/>
    <s v="02.06"/>
    <s v="15.04"/>
    <s v="70072410"/>
    <s v="Rolling &amp; Finishing including CRM, Plate"/>
    <s v="70495621"/>
    <s v="Lead – Proc HSM &amp; CSP MIS"/>
    <s v="Hazira"/>
    <s v="0031950048"/>
    <s v="HZ-Procurment Depart"/>
    <s v="2000HWO"/>
    <s v="20002323"/>
    <s v="Balaji Somvanshi"/>
    <s v="No"/>
    <s v="amol.gaurkar@amns.in"/>
    <s v="7486036183"/>
    <s v="827588"/>
    <s v="Dhruv Vyas"/>
    <s v="Anil Matoo"/>
    <s v="Praveen Kuruvalli"/>
    <s v="Dhruv Vyas"/>
    <n v="0"/>
  </r>
  <r>
    <n v="3883"/>
    <n v="20055592"/>
    <s v="Nisha Jotwani"/>
    <s v="AM/NS India"/>
    <s v="Onroll"/>
    <s v="M-6"/>
    <n v="6"/>
    <m/>
    <s v="MM"/>
    <s v="F"/>
    <s v="Hazira"/>
    <n v="1"/>
    <s v="2270"/>
    <x v="25"/>
    <s v="38.01"/>
    <s v="Hrishikesh Kamat"/>
    <s v="Hrishikesh Kamat"/>
    <n v="7"/>
    <s v="Procurement"/>
    <s v="Logistics"/>
    <s v="38"/>
    <s v="Sr. Lead – Container Business"/>
    <m/>
    <s v="Logistics"/>
    <s v="Logistics"/>
    <s v=""/>
    <s v="Non Technical Support"/>
    <s v="Commercial"/>
    <s v="Procurement"/>
    <s v="73803001"/>
    <s v="Procurement"/>
    <s v="AM/NS Hazira"/>
    <d v="1971-09-08T00:00:00"/>
    <s v="52.00"/>
    <d v="2021-03-21T00:00:00"/>
    <d v="2029-09-30T00:00:00"/>
    <m/>
    <d v="2029-09-30T00:00:00"/>
    <n v="2202"/>
    <s v="B+"/>
    <s v="PG Diploma-1999 , BCom-1992 , Intermedia"/>
    <s v="10.06"/>
    <s v="02.06"/>
    <s v="13.00"/>
    <s v="70495712"/>
    <s v="Logistics"/>
    <s v="70495622"/>
    <s v="Sr. Lead – Container Business"/>
    <s v="Hazira"/>
    <s v="0031950053"/>
    <s v="HZ-Logistics"/>
    <s v="2000HWO"/>
    <s v="20055688"/>
    <s v="Vibhavana Jaiswal"/>
    <s v="No"/>
    <s v="nisha.jotwani@amns.in"/>
    <s v="9879103138"/>
    <s v="827587"/>
    <s v="Dhruv Vyas"/>
    <s v="Anil Matoo"/>
    <s v="Praveen Kuruvalli"/>
    <s v="Dhruv Vyas"/>
    <n v="0"/>
  </r>
  <r>
    <n v="3889"/>
    <n v="20055601"/>
    <s v="Dipankar Pati"/>
    <s v="AM/NS India"/>
    <s v="Onroll"/>
    <s v="M-7"/>
    <n v="7"/>
    <m/>
    <s v="MM"/>
    <s v="M"/>
    <s v="Hazira"/>
    <n v="1"/>
    <s v="2043"/>
    <x v="3"/>
    <s v="31.01"/>
    <s v="Hrishikesh Kamat"/>
    <s v="Hrishikesh Kamat"/>
    <n v="7"/>
    <s v="Procurement"/>
    <s v="Procurement"/>
    <s v="31"/>
    <s v="Sr. Lead  - Proc Ferro Alloys"/>
    <m/>
    <s v="Procurement MRO Hazira"/>
    <s v="Procurement"/>
    <s v=""/>
    <s v="Non Technical Support"/>
    <s v="Operations"/>
    <s v="Plant Maintenance"/>
    <s v="72103008"/>
    <s v="Mechanical Maintenance"/>
    <s v="AM/NS Hazira"/>
    <d v="1984-05-02T00:00:00"/>
    <s v="39.04"/>
    <d v="2021-03-30T00:00:00"/>
    <d v="2042-05-31T00:00:00"/>
    <m/>
    <d v="2042-05-31T00:00:00"/>
    <n v="6828"/>
    <s v="O+"/>
    <s v="BE-2006 , Intermediate-2001 , SSLC-1999"/>
    <s v="14.08"/>
    <s v="02.05"/>
    <s v="17.02"/>
    <s v="00044542"/>
    <s v="Procurement -Ferroalloys"/>
    <s v="70495663"/>
    <s v="Sr. Lead  - Proc Ferro Alloys"/>
    <s v="Hazira"/>
    <s v="0031950048"/>
    <s v="HZ-Procurment Depart"/>
    <s v="2000HWO"/>
    <s v="20001370"/>
    <s v="Tejas Desai"/>
    <s v="No"/>
    <s v="dipankar.pati@amns.in"/>
    <s v="9938250251"/>
    <s v="828737"/>
    <s v="Dhruv Vyas"/>
    <s v="Anil Matoo"/>
    <s v="Praveen Kuruvalli"/>
    <s v="Dhruv Vyas"/>
    <n v="0"/>
  </r>
  <r>
    <n v="3892"/>
    <n v="20055609"/>
    <s v="Santosh Shankar Tandale"/>
    <s v="AM/NS India"/>
    <s v="Onroll"/>
    <s v="M-7"/>
    <n v="7"/>
    <m/>
    <s v="MM"/>
    <s v="M"/>
    <s v="Hazira"/>
    <n v="1"/>
    <s v="2715"/>
    <x v="13"/>
    <s v="37.01"/>
    <s v="Aruni Mishra"/>
    <s v="Hrishikesh Kamat"/>
    <n v="7"/>
    <s v="Procurement"/>
    <s v="Secondary Sales"/>
    <s v="37"/>
    <s v="Lead - by Product Sales"/>
    <m/>
    <s v="Secondary Sales, Non Steel"/>
    <s v="Secondary Sales, Non Steel"/>
    <s v=""/>
    <s v="Non Technical Support"/>
    <s v="Operations"/>
    <s v="Operations"/>
    <s v="72103001"/>
    <s v="Operations"/>
    <s v="Hazira"/>
    <d v="1986-12-25T00:00:00"/>
    <s v="36.08"/>
    <d v="2021-04-14T00:00:00"/>
    <d v="2044-12-31T00:00:00"/>
    <m/>
    <d v="2044-12-31T00:00:00"/>
    <n v="7773"/>
    <s v="O+"/>
    <s v="MBA-2015 , BCom-2007 , Intermediate-2004"/>
    <s v="14.00"/>
    <s v="02.05"/>
    <s v="16.05"/>
    <s v="00049357"/>
    <s v="Secondary Sales"/>
    <s v="70495667"/>
    <s v="Lead - by Product Sales"/>
    <s v="Hazira"/>
    <s v="0080000006"/>
    <s v="Secondary Sales - In"/>
    <s v="2000HWO"/>
    <s v="20055763"/>
    <s v="Debashis Mohapatra"/>
    <s v="No"/>
    <s v="santosh.tandale@amns.in"/>
    <s v="9881009973"/>
    <s v="831583"/>
    <s v="Dhruv Vyas"/>
    <s v="Anil Matoo"/>
    <s v="Praveen Kuruvalli"/>
    <s v="Dhruv Vyas"/>
    <n v="0"/>
  </r>
  <r>
    <n v="3894"/>
    <n v="20055611"/>
    <s v="Sunila Kumar Das"/>
    <s v="AM/NS India"/>
    <s v="Onroll"/>
    <s v="M-6"/>
    <n v="6"/>
    <m/>
    <s v="MM"/>
    <s v="M"/>
    <s v="Odisha"/>
    <n v="2"/>
    <s v="2015"/>
    <x v="1"/>
    <s v="22.06"/>
    <s v="Anil Matoo"/>
    <s v="Ashutosh Telang"/>
    <n v="6"/>
    <s v="HR &amp; Administration"/>
    <s v="Human Resources"/>
    <s v="22"/>
    <s v="Head Human Resources"/>
    <m/>
    <s v="Human Resources"/>
    <s v=""/>
    <s v=""/>
    <s v="Non Technical Support"/>
    <s v="Human Resources Management"/>
    <s v="Human Resources Management"/>
    <s v="73501001"/>
    <s v="Human Resources"/>
    <s v="Paradeep"/>
    <d v="1978-06-22T00:00:00"/>
    <s v="45.03"/>
    <d v="2021-04-15T00:00:00"/>
    <d v="2036-06-30T00:00:00"/>
    <m/>
    <d v="2036-06-30T00:00:00"/>
    <n v="4667"/>
    <s v="O+"/>
    <s v="MA-2004 , BA-2002 , Intermediate-1995 ,"/>
    <s v="06.03"/>
    <s v="02.05"/>
    <s v="08.08"/>
    <s v="70495430"/>
    <s v="Odisha HR Operations"/>
    <s v="70495669"/>
    <s v="Head Human Resources"/>
    <s v="Odisha"/>
    <s v="0022030019"/>
    <s v="PDP-HR &amp; Admn"/>
    <s v="2000STORIS"/>
    <s v="20000083"/>
    <s v="Anil Matoo"/>
    <s v="No"/>
    <s v="sunila.das@amns.in"/>
    <s v="9040066834"/>
    <s v="831585"/>
    <s v="Sunila Das"/>
    <s v="Anil Matoo"/>
    <s v="Praveen Kuruvalli"/>
    <s v="Sunila Das"/>
    <n v="0"/>
  </r>
  <r>
    <n v="3937"/>
    <n v="20055659"/>
    <s v="Quazi Shahzad"/>
    <s v="AM/NS Middle East FZE"/>
    <s v="Onroll"/>
    <s v="M-6"/>
    <n v="6"/>
    <m/>
    <s v="MM"/>
    <s v="M"/>
    <s v="Dubai"/>
    <n v="10"/>
    <s v="2502"/>
    <x v="10"/>
    <s v="14.01"/>
    <s v="Ranjan Dhar"/>
    <s v="Alain Legrix De La Salle"/>
    <n v="3"/>
    <s v="Sales &amp; Marketing"/>
    <s v="Sales &amp; Marketing"/>
    <s v="14"/>
    <s v="Dy. General Manager - Sales &amp; Marketing"/>
    <m/>
    <s v="Sales ME"/>
    <s v="Sales ME"/>
    <s v=""/>
    <s v=""/>
    <s v="Sales &amp; Marketing"/>
    <s v="Sales &amp; Marketing"/>
    <s v="73101001"/>
    <s v="Sales &amp; Marketing"/>
    <s v="Dubai"/>
    <d v="1972-11-10T00:00:00"/>
    <s v="50.10"/>
    <d v="2011-01-18T00:00:00"/>
    <d v="2030-11-30T00:00:00"/>
    <m/>
    <d v="2030-11-30T00:00:00"/>
    <n v="2628"/>
    <s v="AB+"/>
    <s v="MBA-1998 , BE-1996"/>
    <s v="13.01"/>
    <s v="12.08"/>
    <s v="25.09"/>
    <s v="70495379"/>
    <s v="Chief Marketing Officer - AMNS ME FZE"/>
    <s v="70495719"/>
    <s v="Sr. Lead Sales ME"/>
    <s v="AMNS Middle East FZE"/>
    <s v="0093720082"/>
    <s v="SC-Dubai-Marketing"/>
    <s v="DUBA2081"/>
    <s v="20055663"/>
    <s v="Karamath Syed"/>
    <s v="No"/>
    <s v="shahzad.quazi@amns.in"/>
    <s v="971566556275"/>
    <s v="25045"/>
    <s v="Dhruv Vyas"/>
    <s v="Anil Matoo"/>
    <s v="Praveen Kuruvalli"/>
    <n v="0"/>
    <n v="0"/>
  </r>
  <r>
    <n v="3938"/>
    <n v="20055660"/>
    <s v="Mohammed Rasheed"/>
    <s v="AM/NS Middle East FZE"/>
    <s v="Onroll"/>
    <s v="M-9"/>
    <n v="9"/>
    <m/>
    <s v="JM"/>
    <s v="M"/>
    <s v="Dubai"/>
    <n v="10"/>
    <m/>
    <x v="10"/>
    <s v="25.01"/>
    <s v="Bibek Chattopadhyay"/>
    <s v="Ashutosh Telang"/>
    <n v="6"/>
    <s v="HR &amp; Administration"/>
    <s v="Corporate Communications"/>
    <s v="25"/>
    <s v="Sales Planning"/>
    <m/>
    <m/>
    <m/>
    <m/>
    <s v="Non Technical Support"/>
    <s v="Sales &amp; Marketing"/>
    <s v="Sales &amp; Marketing"/>
    <s v="73101001"/>
    <s v="Sales &amp; Marketing"/>
    <s v="Dubai"/>
    <d v="1979-12-26T00:00:00"/>
    <s v="43.08"/>
    <d v="2010-03-06T00:00:00"/>
    <d v="2037-12-31T00:00:00"/>
    <m/>
    <d v="2037-12-31T00:00:00"/>
    <n v="5216"/>
    <s v="O+"/>
    <s v="Bachelor Equivalent-2016"/>
    <s v="03.00"/>
    <s v="13.06"/>
    <s v="16.06"/>
    <s v="70495379"/>
    <s v="Chief Marketing Officer - AMNS ME FZE"/>
    <s v="70495720"/>
    <s v="Lead - Sales Planning ME"/>
    <s v="AMNS Middle East FZE"/>
    <s v="0093720082"/>
    <s v="SC-Dubai-Marketing"/>
    <s v="DUBA2081"/>
    <s v="20055663"/>
    <s v="Karamath Syed"/>
    <s v="No"/>
    <s v="rasheed.mohamed@amns.in"/>
    <s v="971507422862"/>
    <s v="25044"/>
    <s v="Dhruv Vyas"/>
    <s v="Anil Matoo"/>
    <s v="Praveen Kuruvalli"/>
    <s v="Dhruv Vyas"/>
    <n v="0"/>
  </r>
  <r>
    <n v="3939"/>
    <n v="20055661"/>
    <s v="Vijay Upadhyay"/>
    <s v="AM/NS Middle East FZE"/>
    <s v="Onroll"/>
    <s v="M-7"/>
    <n v="7"/>
    <m/>
    <s v="MM"/>
    <s v="M"/>
    <s v="Dubai"/>
    <n v="10"/>
    <s v="2504"/>
    <x v="0"/>
    <s v="20.01"/>
    <s v="Akiyo Omori"/>
    <s v="Amit Harlalka"/>
    <n v="5"/>
    <s v="Finance &amp; Accounts"/>
    <s v="Finance &amp; Accounts"/>
    <s v="20"/>
    <s v="Sr. Lead - Finance &amp; Accounts"/>
    <m/>
    <s v=""/>
    <s v=""/>
    <s v=""/>
    <s v="Non Technical Support"/>
    <s v="Sales &amp; Marketing"/>
    <s v="Sales &amp; Marketing"/>
    <s v="73101001"/>
    <s v="Sales &amp; Marketing"/>
    <s v="Dubai"/>
    <d v="1974-09-20T00:00:00"/>
    <s v="49.00"/>
    <d v="2014-08-11T00:00:00"/>
    <d v="2032-09-30T00:00:00"/>
    <m/>
    <d v="2032-09-30T00:00:00"/>
    <n v="3298"/>
    <s v="B+"/>
    <s v="CA Final-1998 , BCom-1994"/>
    <s v="11.11"/>
    <s v="09.01"/>
    <s v="21.00"/>
    <s v="70495379"/>
    <s v="Chief Marketing Officer - AMNS ME FZE"/>
    <s v="70495721"/>
    <s v="Sr. Lead - Finance &amp; Accounts"/>
    <s v="AMNS Middle East FZE"/>
    <s v="0093720082"/>
    <s v="SC-Dubai-Marketing"/>
    <s v="DUBA2081"/>
    <s v="20055663"/>
    <s v="Karamath Syed"/>
    <s v="No"/>
    <s v="vijay.upadhyay@amns.in"/>
    <s v="+971 506581757"/>
    <s v="25047"/>
    <s v="Dhruv Vyas"/>
    <s v="Anil Matoo"/>
    <s v="Praveen Kuruvalli"/>
    <s v="Dhruv Vyas"/>
    <n v="0"/>
  </r>
  <r>
    <n v="3947"/>
    <n v="20055672"/>
    <s v="Shailja Tripathi"/>
    <s v="AM/NS India"/>
    <s v="Onroll"/>
    <s v="M-5"/>
    <n v="5"/>
    <m/>
    <s v="MM"/>
    <s v="F"/>
    <s v="Corporate"/>
    <n v="7"/>
    <s v="2015"/>
    <x v="1"/>
    <s v="22.06"/>
    <s v="Praveen Kuruvalli"/>
    <s v="Ashutosh Telang"/>
    <n v="6"/>
    <s v="HR &amp; Administration"/>
    <s v="Human Resources"/>
    <s v="22"/>
    <s v="Sr. Lead - Compensation &amp; Benefits"/>
    <m/>
    <s v="Human Resources"/>
    <s v=""/>
    <s v=""/>
    <s v="Non Technical Support"/>
    <s v="Human Resources Management"/>
    <s v="Human Resources Management"/>
    <s v="73501001"/>
    <s v="Human Resources"/>
    <s v="Mumbai"/>
    <d v="1983-12-25T00:00:00"/>
    <s v="39.08"/>
    <d v="2021-05-04T00:00:00"/>
    <d v="2041-12-31T00:00:00"/>
    <m/>
    <d v="2041-12-31T00:00:00"/>
    <n v="6677"/>
    <s v="B+"/>
    <s v="PG Diploma in Management-2007 , BE-2005"/>
    <s v="11.00"/>
    <s v="02.04"/>
    <s v="13.04"/>
    <s v="00044377"/>
    <s v="Compensation &amp; Benefits"/>
    <s v="70495735"/>
    <s v="Sr. Lead - Compensation &amp; Benefits"/>
    <s v="Corporate"/>
    <s v="0031950061"/>
    <s v="HZ-Human Resource"/>
    <s v="2000CS"/>
    <s v="20055483"/>
    <s v="Praveen Kuruvalli"/>
    <s v="No"/>
    <s v="shailja.tripathi@amns.in"/>
    <s v="9650975511"/>
    <s v="834807"/>
    <s v="Dhruv Vyas"/>
    <s v="Anil Matoo"/>
    <s v="Praveen Kuruvalli"/>
    <s v="Dhruv Vyas"/>
    <n v="0"/>
  </r>
  <r>
    <n v="3951"/>
    <n v="20055678"/>
    <s v="Ashish Kaushik"/>
    <s v="AM/NS India"/>
    <s v="Onroll"/>
    <s v="M-7"/>
    <n v="7"/>
    <m/>
    <s v="MM"/>
    <s v="M"/>
    <s v="Corporate"/>
    <n v="7"/>
    <s v="2069"/>
    <x v="8"/>
    <s v="25.01"/>
    <s v="Bibek Chattopadhyay"/>
    <s v="Ashutosh Telang"/>
    <n v="6"/>
    <s v="HR &amp; Administration"/>
    <s v="Corporate Communications"/>
    <s v="25"/>
    <s v="Lead - Corporate Communication"/>
    <m/>
    <s v="Corporate Communications"/>
    <s v=""/>
    <s v=""/>
    <s v="Non Technical Support"/>
    <s v="Corporate Communication"/>
    <s v="Corporate Communication"/>
    <s v="74001001"/>
    <s v="Corporate Communication"/>
    <s v="Mumbai"/>
    <d v="1992-03-20T00:00:00"/>
    <s v="31.06"/>
    <d v="2021-05-03T00:00:00"/>
    <d v="2050-03-31T00:00:00"/>
    <m/>
    <d v="2050-03-31T00:00:00"/>
    <n v="9689"/>
    <s v="O+"/>
    <s v="MBA-2016 , BE-2014 , Intermediate-2009 ,"/>
    <s v="04.11"/>
    <s v="02.04"/>
    <s v="07.03"/>
    <s v="70318583"/>
    <s v="Communications &amp; Media Relations"/>
    <s v="70494528"/>
    <s v="Lead - Corporate Communications"/>
    <s v="Corporate"/>
    <s v="0090000016"/>
    <s v="Corporate Steel - Co"/>
    <s v="2000CS"/>
    <s v="20055187"/>
    <s v="Bibek Chattopadhyay"/>
    <s v="No"/>
    <s v="ashish.kaushik@amns.in"/>
    <s v="8800781166"/>
    <s v="832731"/>
    <s v="Dhruv Vyas"/>
    <s v="Anil Matoo"/>
    <s v="Praveen Kuruvalli"/>
    <s v="Dhruv Vyas"/>
    <n v="0"/>
  </r>
  <r>
    <n v="3954"/>
    <n v="20055682"/>
    <s v="Umashankar Rao"/>
    <s v="AM/NS India"/>
    <s v="Onroll"/>
    <s v="M-7"/>
    <n v="7"/>
    <m/>
    <s v="MM"/>
    <s v="M"/>
    <s v="Corporate"/>
    <n v="7"/>
    <s v="2043"/>
    <x v="3"/>
    <s v="31.01"/>
    <s v="Hrishikesh Kamat"/>
    <s v="Hrishikesh Kamat"/>
    <n v="7"/>
    <s v="Procurement"/>
    <s v="Procurement"/>
    <s v="31"/>
    <s v="Program Manager – Procurement"/>
    <m/>
    <s v="Procurement"/>
    <s v="Procurement"/>
    <s v=""/>
    <s v="Non Technical Support"/>
    <s v="Commercial"/>
    <s v="Procurement"/>
    <s v="73803001"/>
    <s v="Procurement"/>
    <s v="Mumbai"/>
    <d v="1986-10-10T00:00:00"/>
    <s v="36.11"/>
    <d v="2021-05-05T00:00:00"/>
    <d v="2044-10-31T00:00:00"/>
    <m/>
    <d v="2044-10-31T00:00:00"/>
    <n v="7712"/>
    <s v="A+"/>
    <s v="BTech-2008 , Intermediate-2003 , SSLC-20"/>
    <s v="16.03"/>
    <s v="02.04"/>
    <s v="18.07"/>
    <s v="00045894"/>
    <s v="Blacks"/>
    <s v="70495741"/>
    <s v="Program Manager – Procurement"/>
    <s v="Corporate"/>
    <s v="0031950059"/>
    <s v="HZ-Hazira Project"/>
    <s v="2000CS"/>
    <s v="20001577"/>
    <s v="Prakash Thakur"/>
    <s v="No"/>
    <s v="umashankar.rao@amns.in"/>
    <s v="7898336863"/>
    <s v="834844"/>
    <s v="Dhruv Vyas"/>
    <s v="Anil Matoo"/>
    <s v="Praveen Kuruvalli"/>
    <s v="Dhruv Vyas"/>
    <n v="0"/>
  </r>
  <r>
    <n v="3955"/>
    <n v="20055683"/>
    <s v="Ch.M.V.S.N. Durga Prasad"/>
    <s v="AM/NS India"/>
    <s v="Onroll"/>
    <s v="M-9"/>
    <n v="9"/>
    <m/>
    <s v="JM"/>
    <s v="M"/>
    <s v="Vizag"/>
    <n v="3"/>
    <s v="2013"/>
    <x v="0"/>
    <s v="20.01"/>
    <s v="Akiyo Omori"/>
    <s v="Amit Harlalka"/>
    <n v="5"/>
    <s v="Finance &amp; Accounts"/>
    <s v="Finance &amp; Accounts"/>
    <s v="20"/>
    <s v="Officer Costing, Budgeting &amp; MIS"/>
    <m/>
    <s v="Finance &amp; Accounts - Vizag"/>
    <s v="Finance &amp; Accounts"/>
    <s v=""/>
    <s v="Non Technical Support"/>
    <s v="Finance &amp; Accounts"/>
    <s v="Costing"/>
    <s v="73906001"/>
    <s v="Costing"/>
    <s v="Vizag"/>
    <d v="1989-07-07T00:00:00"/>
    <s v="34.02"/>
    <d v="2021-05-07T00:00:00"/>
    <d v="2047-07-31T00:00:00"/>
    <m/>
    <d v="2047-07-31T00:00:00"/>
    <n v="8715"/>
    <s v="O+"/>
    <s v="BCom-2013 , CA Final-2013 , CA Inter-201"/>
    <s v="09.01"/>
    <s v="02.04"/>
    <s v="11.05"/>
    <s v="70413458"/>
    <s v="Costing, Budgeting &amp; IDT"/>
    <s v="70495742"/>
    <s v="Officer Costing, Budgeting &amp; MIS"/>
    <s v="Vizag"/>
    <s v="0028030019"/>
    <s v="VIZ-Personnel &amp; Admi"/>
    <s v="2000VIZOPS"/>
    <s v="20006862"/>
    <s v="D Niranjan Patro"/>
    <s v="No"/>
    <s v="mvsn.durgaprasad@amns.in"/>
    <s v="9154869119"/>
    <s v="834827"/>
    <s v="DS Varma"/>
    <s v="Anil Matoo"/>
    <s v="Praveen Kuruvalli"/>
    <s v="Dhruv Vyas"/>
    <n v="0"/>
  </r>
  <r>
    <n v="3958"/>
    <n v="20055687"/>
    <s v="Prateek Singh"/>
    <s v="AM/NS India"/>
    <s v="Onroll"/>
    <s v="M-8"/>
    <n v="8"/>
    <m/>
    <s v="JM"/>
    <s v="M"/>
    <s v="Vizag"/>
    <n v="3"/>
    <s v="2039"/>
    <x v="2"/>
    <s v="43.01"/>
    <s v="Sangeeta Munjal"/>
    <s v="Manu Kapoor"/>
    <n v="10"/>
    <s v="Corporate Affairs"/>
    <s v="Corporate Affairs"/>
    <s v="43"/>
    <s v="Lead – Corporate Affairs"/>
    <m/>
    <s v="Corporate Affairs"/>
    <s v=""/>
    <s v=""/>
    <s v="Non Technical Support"/>
    <s v="Corporate Relations"/>
    <s v="Corporate Affairs"/>
    <s v="74501001"/>
    <s v="Corporate Affairs"/>
    <s v="Raipur"/>
    <d v="1988-02-20T00:00:00"/>
    <s v="35.06"/>
    <d v="2021-05-06T00:00:00"/>
    <d v="2046-02-28T00:00:00"/>
    <m/>
    <d v="2046-02-28T00:00:00"/>
    <n v="8197"/>
    <s v="B+"/>
    <s v="Bachelor Equivalent-2010 , Intermediate-"/>
    <s v="04.08"/>
    <s v="02.04"/>
    <s v="07.00"/>
    <s v="70494938"/>
    <s v="Corporate Affairs"/>
    <s v="70495746"/>
    <s v="Lead – Corporate Affairs"/>
    <s v="Vizag"/>
    <s v="0028030019"/>
    <s v="VIZ-Personnel &amp; Admi"/>
    <s v="2000VIZOPS"/>
    <s v="20057928"/>
    <s v="Manu Kapoor"/>
    <s v="No"/>
    <s v="prateek.singh@amns.in"/>
    <s v="8447748668"/>
    <s v="832732"/>
    <s v="DS Varma"/>
    <s v="Anil Matoo"/>
    <s v="Praveen Kuruvalli"/>
    <s v="Dhruv Vyas"/>
    <n v="0"/>
  </r>
  <r>
    <n v="3959"/>
    <n v="20055688"/>
    <s v="Vibhavana Jaiswal"/>
    <s v="AM/NS India"/>
    <s v="Onroll"/>
    <s v="M-5"/>
    <n v="5"/>
    <m/>
    <s v="MM"/>
    <s v="F"/>
    <s v="Hazira"/>
    <n v="1"/>
    <s v="2270"/>
    <x v="25"/>
    <s v="38.01"/>
    <s v="Hrishikesh Kamat"/>
    <s v="Hrishikesh Kamat"/>
    <n v="7"/>
    <s v="Procurement"/>
    <s v="Logistics"/>
    <s v="38"/>
    <s v="Head - Logistics"/>
    <m/>
    <s v="Logistics"/>
    <s v="Logistics"/>
    <s v=""/>
    <s v="Non Technical Support"/>
    <s v=""/>
    <s v=""/>
    <s v="70494644"/>
    <s v="Chief Procurement Officer"/>
    <s v="AM/NS Hazira"/>
    <d v="1983-05-18T00:00:00"/>
    <s v="40.04"/>
    <d v="2021-05-15T00:00:00"/>
    <d v="2041-05-31T00:00:00"/>
    <m/>
    <d v="2041-05-31T00:00:00"/>
    <n v="6463"/>
    <s v="B+"/>
    <s v="MBA-2010 , MSc-2007 , BSc-2005 , Interme"/>
    <s v="10.05"/>
    <s v="02.04"/>
    <s v="12.09"/>
    <s v="70495712"/>
    <s v="Logistics"/>
    <s v="70495744"/>
    <s v="Head - Logistics"/>
    <s v="Hazira"/>
    <s v="0031950053"/>
    <s v="HZ-Logistics"/>
    <s v="2000HWO"/>
    <s v="20055090"/>
    <s v="Hrishikesh Kamat"/>
    <s v="No"/>
    <s v="vibhavana.jaiswal@amns.in"/>
    <s v="7486036255"/>
    <s v="834817"/>
    <s v="Dhruv Vyas"/>
    <s v="Anil Matoo"/>
    <s v="Praveen Kuruvalli"/>
    <s v="Dhruv Vyas"/>
    <n v="0"/>
  </r>
  <r>
    <n v="3962"/>
    <n v="20055691"/>
    <s v="Dipesh Sudamrao Rathod"/>
    <s v="AM/NS India"/>
    <s v="Onroll"/>
    <s v="M-8"/>
    <n v="8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Lead - Proc HED"/>
    <m/>
    <s v="Procurement MRO Hazira"/>
    <s v="Procurement"/>
    <s v=""/>
    <s v="Non Technical Support"/>
    <s v="Commercial"/>
    <s v="Procurement"/>
    <s v="73803001"/>
    <s v="Procurement"/>
    <s v="AM/NS Hazira"/>
    <d v="1987-04-25T00:00:00"/>
    <s v="36.04"/>
    <d v="2021-05-17T00:00:00"/>
    <d v="2045-04-30T00:00:00"/>
    <m/>
    <d v="2045-04-30T00:00:00"/>
    <n v="7893"/>
    <s v="B-"/>
    <s v="BE-2009 , Diploma-2005 , SSLC-2002"/>
    <s v="12.06"/>
    <s v="02.04"/>
    <s v="14.09"/>
    <s v="70072410"/>
    <s v="Rolling &amp; Finishing including CRM, Plate"/>
    <s v="70495749"/>
    <s v="Lead - Proc HED"/>
    <s v="Hazira"/>
    <s v="0031950048"/>
    <s v="HZ-Procurment Depart"/>
    <s v="2000HWO"/>
    <s v="20002323"/>
    <s v="Balaji Somvanshi"/>
    <s v="No"/>
    <s v="dipesh.rathod@amns.in"/>
    <s v="7486036256"/>
    <s v="834805"/>
    <s v="Dhruv Vyas"/>
    <s v="Anil Matoo"/>
    <s v="Praveen Kuruvalli"/>
    <s v="Dhruv Vyas"/>
    <n v="0"/>
  </r>
  <r>
    <n v="3963"/>
    <n v="20055692"/>
    <s v="Rajiv Ranjan"/>
    <s v="AM/NS India"/>
    <s v="Onroll"/>
    <s v="M-5"/>
    <n v="5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Head – Procurement Odisha"/>
    <m/>
    <s v="Procurement"/>
    <s v="Procurement"/>
    <s v=""/>
    <s v="Non Technical Support"/>
    <s v=""/>
    <s v=""/>
    <s v="70494644"/>
    <s v="Chief Procurement Officer"/>
    <s v="Paradeep"/>
    <d v="1971-10-05T00:00:00"/>
    <s v="51.11"/>
    <d v="2021-05-17T00:00:00"/>
    <d v="2029-10-31T00:00:00"/>
    <m/>
    <d v="2029-10-31T00:00:00"/>
    <n v="2233"/>
    <s v="B+"/>
    <s v="PG Diploma-1996 , BSc-1990 , Intermediat"/>
    <s v="29.00"/>
    <s v="02.04"/>
    <s v="31.03"/>
    <s v="70407583"/>
    <s v="Procurement - Odisha Asset"/>
    <s v="70495750"/>
    <s v="Head – Procurement Odisha"/>
    <s v="Odisha"/>
    <s v="0022030019"/>
    <s v="PDP-HR &amp; Admn"/>
    <s v="2000STORIS"/>
    <s v="20055090"/>
    <s v="Hrishikesh Kamat"/>
    <s v="No"/>
    <s v="rajiv.ranjan2@amns.in"/>
    <s v="7381362860"/>
    <s v="834845"/>
    <s v="Sunila Das"/>
    <s v="Anil Matoo"/>
    <s v="Praveen Kuruvalli"/>
    <s v="Sunila Das"/>
    <n v="0"/>
  </r>
  <r>
    <n v="3966"/>
    <n v="20055696"/>
    <s v="Rupesh Shivaji Pol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Coated Products"/>
    <m/>
    <s v="Technical Marketing &amp; Application Engineering"/>
    <s v="Technical Marketing &amp; Application Engineering"/>
    <s v=""/>
    <s v="Non Technical Support"/>
    <s v="Sales &amp; Marketing"/>
    <s v="Sales"/>
    <s v="73104004"/>
    <s v="OEM Sales"/>
    <s v="Pune"/>
    <d v="1980-05-29T00:00:00"/>
    <s v="43.03"/>
    <d v="2021-05-24T00:00:00"/>
    <d v="2038-05-31T00:00:00"/>
    <m/>
    <d v="2038-05-31T00:00:00"/>
    <n v="5367"/>
    <s v="AB+"/>
    <s v="MTech-2009 , BE-2007 , Intermediate-2000"/>
    <s v="11.07"/>
    <s v="02.03"/>
    <s v="13.10"/>
    <s v="00052471"/>
    <s v="Coated &amp; OC"/>
    <s v="70495788"/>
    <s v="Sr. Lead - Coated Products"/>
    <s v="Hazira"/>
    <s v="0031950057"/>
    <s v="HZ-HRC - Marketing"/>
    <s v="2000HWO"/>
    <s v="20056431"/>
    <s v="Prajakta Wagholikar"/>
    <s v="No"/>
    <s v="rupesh.pol@amns.in"/>
    <s v="9175471411"/>
    <s v="834815"/>
    <s v="Dhruv Vyas"/>
    <s v="Anil Matoo"/>
    <s v="Praveen Kuruvalli"/>
    <s v="Dhruv Vyas"/>
    <n v="0"/>
  </r>
  <r>
    <n v="3968"/>
    <n v="20055698"/>
    <s v="Turiska Vinod Chhajer"/>
    <s v="AM/NS India"/>
    <s v="Onroll"/>
    <s v="M-9"/>
    <n v="9"/>
    <m/>
    <s v="JM"/>
    <s v="F"/>
    <s v="Corporate"/>
    <n v="7"/>
    <s v="2014"/>
    <x v="16"/>
    <s v="03.01"/>
    <s v="Nilesh Likhite"/>
    <s v="Dilip Oommen"/>
    <n v="1"/>
    <s v="CEO Office"/>
    <s v="Internal Audit"/>
    <s v="03"/>
    <s v="Lead Internal Audit"/>
    <m/>
    <s v="Internal Audit"/>
    <s v=""/>
    <s v=""/>
    <s v="Non Technical Support"/>
    <s v="Assurance &amp; Cost Control"/>
    <s v="Assurance &amp; Cost Control"/>
    <s v="73401001"/>
    <s v="Assurance &amp; Cost Control"/>
    <s v="AM/NS Hazira"/>
    <d v="1994-12-24T00:00:00"/>
    <s v="28.08"/>
    <d v="2021-06-01T00:00:00"/>
    <d v="2052-12-31T00:00:00"/>
    <m/>
    <d v="2052-12-31T00:00:00"/>
    <n v="10695"/>
    <s v="AB+"/>
    <s v="CA Final-2016 , BCom-2016 , Intermediate"/>
    <s v="03.09"/>
    <s v="02.03"/>
    <s v="06.00"/>
    <s v="00044330"/>
    <s v="Internal Audit - Hazira"/>
    <s v="250621"/>
    <s v="Lead Internal Audit"/>
    <s v="Hazira"/>
    <s v="0090000035"/>
    <s v="Internal Audit"/>
    <s v="2000HWO"/>
    <s v="20028777"/>
    <s v="Narendra Dugar"/>
    <s v="No"/>
    <s v="turiska.chhajer@amns.in"/>
    <s v="9586625308"/>
    <s v="838204"/>
    <s v="Dhruv Vyas"/>
    <s v="Anil Matoo"/>
    <s v="Praveen Kuruvalli"/>
    <s v="Dhruv Vyas"/>
    <n v="0"/>
  </r>
  <r>
    <n v="3973"/>
    <n v="20055706"/>
    <s v="Himalkumar Madhusudan Sheth"/>
    <s v="AM/NS India"/>
    <s v="Onroll"/>
    <s v="M-5"/>
    <n v="5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– Capex Procurement"/>
    <m/>
    <s v="Capex Procurement"/>
    <s v="Capex Procurement"/>
    <s v=""/>
    <s v="Non Technical Support"/>
    <s v="Operations"/>
    <s v="Operations"/>
    <s v="72103001"/>
    <s v="Operations"/>
    <s v="Hazira"/>
    <d v="1977-05-09T00:00:00"/>
    <s v="46.04"/>
    <d v="2021-06-01T00:00:00"/>
    <d v="2035-05-31T00:00:00"/>
    <m/>
    <d v="2035-05-31T00:00:00"/>
    <n v="4271"/>
    <s v="A+"/>
    <s v="BE-2005 , Diploma-1995 , SSLC-1992"/>
    <s v="24.10"/>
    <s v="02.03"/>
    <s v="27.01"/>
    <s v="00049337"/>
    <s v="Capex Procurement"/>
    <s v="251052"/>
    <s v="Sr. Lead – Capex Procurement"/>
    <s v="Hazira"/>
    <s v="0031950059"/>
    <s v="HZ-Hazira Project"/>
    <s v="2000HWO"/>
    <s v="20052261"/>
    <s v="Aruni Mishra"/>
    <s v="No"/>
    <s v="himal.sheth@amns.in"/>
    <s v="9879101404"/>
    <s v="840693"/>
    <s v="Dhruv Vyas"/>
    <s v="Anil Matoo"/>
    <s v="Praveen Kuruvalli"/>
    <s v="Dhruv Vyas"/>
    <n v="0"/>
  </r>
  <r>
    <n v="3974"/>
    <n v="20055709"/>
    <s v="S Mohan"/>
    <s v="AM/NS India"/>
    <s v="Onroll"/>
    <s v="M-9"/>
    <n v="9"/>
    <m/>
    <s v="J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Lead - Finance &amp; Accounts"/>
    <m/>
    <s v="Working Capital"/>
    <s v="Service Centers"/>
    <s v=""/>
    <s v="Non Technical Support"/>
    <s v="Finance &amp; Accounts"/>
    <s v="Finance &amp; Accounts"/>
    <s v="73901001"/>
    <s v="Finance &amp; Accounts"/>
    <s v="Chennai"/>
    <d v="1988-12-01T00:00:00"/>
    <s v="34.09"/>
    <d v="2021-06-04T00:00:00"/>
    <d v="2046-11-30T00:00:00"/>
    <m/>
    <d v="2046-11-30T00:00:00"/>
    <n v="8472"/>
    <s v="O+"/>
    <s v="MCom-2010 , BCom-2008 , Intermediate-200"/>
    <s v="11.09"/>
    <s v="02.03"/>
    <s v="14.00"/>
    <s v="00043795"/>
    <s v="F&amp;A Hypermart &amp; Service Centre - 1"/>
    <s v="251059"/>
    <s v="Lead - Finance &amp; Accounts"/>
    <s v="Service Center"/>
    <s v="0040030019"/>
    <s v="SC-Chennai-Op1-HR-Ad"/>
    <s v="2000SPRJ"/>
    <s v="20055201"/>
    <s v="Deepak Sahu"/>
    <s v="No"/>
    <s v="mohankumar.s@amns.in"/>
    <s v="9176147832"/>
    <s v="840828"/>
    <s v="Dhruv Vyas"/>
    <s v="Anil Matoo"/>
    <s v="Praveen Kuruvalli"/>
    <s v="Dhruv Vyas"/>
    <n v="0"/>
  </r>
  <r>
    <n v="3977"/>
    <n v="20055712"/>
    <s v="Ravi Goyal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Officer – Capex Procurement"/>
    <m/>
    <s v="Capex Procurement"/>
    <s v="Capex Procurement"/>
    <s v=""/>
    <s v="Non Technical Support"/>
    <s v="Operations"/>
    <s v="Operations"/>
    <s v="72103001"/>
    <s v="Operations"/>
    <s v="Hazira"/>
    <d v="1989-08-09T00:00:00"/>
    <s v="34.01"/>
    <d v="2021-06-21T00:00:00"/>
    <d v="2047-08-31T00:00:00"/>
    <m/>
    <d v="2047-08-31T00:00:00"/>
    <n v="8746"/>
    <s v="O+"/>
    <s v="BTech-2010 , Intermediate-2006 , SSLC-20"/>
    <s v="10.08"/>
    <s v="02.03"/>
    <s v="12.11"/>
    <s v="00049342"/>
    <s v="Capex Procurement"/>
    <s v="251746"/>
    <s v="Officer – Capex Procurement"/>
    <s v="Hazira"/>
    <s v="0031950059"/>
    <s v="HZ-Hazira Project"/>
    <s v="2000HWO"/>
    <s v="20055706"/>
    <s v="HimalKumar Madhusudan Sheth"/>
    <s v="No"/>
    <s v="ravi.goyal@amns.in"/>
    <s v="9040094622"/>
    <s v="841084"/>
    <s v="Dhruv Vyas"/>
    <s v="Anil Matoo"/>
    <s v="Praveen Kuruvalli"/>
    <s v="Dhruv Vyas"/>
    <n v="0"/>
  </r>
  <r>
    <n v="3979"/>
    <n v="20055714"/>
    <s v="Dipakkumar Shah"/>
    <s v="AM/NS India"/>
    <s v="Onroll"/>
    <s v="M-3"/>
    <n v="3"/>
    <m/>
    <s v="SM"/>
    <s v="M"/>
    <s v="Hazira"/>
    <n v="1"/>
    <s v="2039"/>
    <x v="2"/>
    <s v="43.01"/>
    <s v="Sangeeta Munjal"/>
    <s v="Manu Kapoor"/>
    <n v="10"/>
    <s v="Corporate Affairs"/>
    <s v="Corporate Affairs"/>
    <s v="43"/>
    <s v="Senior Advisor - Corporate Affairs"/>
    <m/>
    <s v="Corporate Affairs"/>
    <s v=""/>
    <s v=""/>
    <s v="Non Technical Support"/>
    <s v="Corporate Relations"/>
    <s v="Corporate Affairs"/>
    <s v="74501001"/>
    <s v="Corporate Affairs"/>
    <s v="Ahmedabad"/>
    <d v="1961-11-30T00:00:00"/>
    <s v="61.09"/>
    <d v="2021-06-14T00:00:00"/>
    <d v="2019-11-30T00:00:00"/>
    <d v="2023-12-02T00:00:00"/>
    <d v="2023-12-02T00:00:00"/>
    <n v="73"/>
    <s v="A+"/>
    <s v="MTech-1986 , BE-1982 , Intermediate-1978"/>
    <s v="35.00"/>
    <s v="02.03"/>
    <s v="37.02"/>
    <s v="00047082"/>
    <s v="Corporate Affairs, Gujarat"/>
    <s v="251745"/>
    <s v="Senior Advisor - Corporate Affairs"/>
    <s v="Confidential Payroll"/>
    <s v="0090000021"/>
    <s v="Corporate Affairs"/>
    <s v="2000HWO"/>
    <s v="20057928"/>
    <s v="Manu Kapoor"/>
    <s v="No"/>
    <s v="dipak.shah@amns.in"/>
    <s v="9099002828"/>
    <s v="841143"/>
    <s v="Dhruv Vyas"/>
    <s v="Anil Matoo"/>
    <s v="Praveen Kuruvalli"/>
    <s v="Dhruv Vyas"/>
    <n v="0"/>
  </r>
  <r>
    <n v="3983"/>
    <n v="20055720"/>
    <s v="Sambit Kumar Mohapatra"/>
    <s v="AM/NS India"/>
    <s v="PDA"/>
    <s v="PDA"/>
    <n v="7"/>
    <m/>
    <s v="MM"/>
    <s v="M"/>
    <s v="Mining"/>
    <n v="8"/>
    <s v="2013"/>
    <x v="0"/>
    <s v="20.01"/>
    <s v="Akiyo Omori"/>
    <s v="Amit Harlalka"/>
    <n v="5"/>
    <s v="Finance &amp; Accounts"/>
    <s v="Finance &amp; Accounts"/>
    <s v="20"/>
    <s v="Lead - Finance"/>
    <m/>
    <s v="Finance &amp; Account"/>
    <s v=""/>
    <s v=""/>
    <s v="Non Technical Support"/>
    <s v="Commercial"/>
    <s v="Commercial"/>
    <s v="73801001"/>
    <s v="Commercial"/>
    <s v="Barbil"/>
    <d v="1981-07-01T00:00:00"/>
    <s v="42.02"/>
    <d v="2021-06-25T00:00:00"/>
    <d v="2039-06-30T00:00:00"/>
    <m/>
    <d v="2039-06-30T00:00:00"/>
    <n v="5762"/>
    <s v=""/>
    <s v="CA Final-2008 , CA Inter-2004 , BCom-200"/>
    <s v="10.11"/>
    <s v="02.02"/>
    <s v="13.01"/>
    <s v="00048985"/>
    <s v="Finance &amp; Accounting"/>
    <s v="252530"/>
    <s v="Lead - Finance"/>
    <s v="Non-payroll-relevant"/>
    <s v="0011000018"/>
    <s v="Sagasahi Mine HR"/>
    <s v="2066BARB"/>
    <s v="20055801"/>
    <s v="Sanjive Kumar Singh"/>
    <s v="No"/>
    <s v="sambitkumar.mohapatra@amns.in"/>
    <s v="9439433302"/>
    <s v="842041"/>
    <s v="Pramod Sinha"/>
    <s v="Anil Matoo"/>
    <s v="Praveen Kuruvalli"/>
    <s v="Pramod Sinha"/>
    <n v="0"/>
  </r>
  <r>
    <n v="3988"/>
    <n v="20055727"/>
    <s v="Javed Akhtar"/>
    <s v="AM/NS India"/>
    <s v="Onroll"/>
    <s v="M-6"/>
    <n v="6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Services"/>
    <m/>
    <s v="Capex Procurement"/>
    <s v="Capex Procurement"/>
    <s v=""/>
    <s v="Non Technical Support"/>
    <s v="Operations"/>
    <s v="Operations"/>
    <s v="72103001"/>
    <s v="Operations"/>
    <s v="Hazira"/>
    <d v="1987-04-13T00:00:00"/>
    <s v="36.05"/>
    <d v="2021-07-05T00:00:00"/>
    <d v="2045-04-30T00:00:00"/>
    <m/>
    <d v="2045-04-30T00:00:00"/>
    <n v="7893"/>
    <s v="A+"/>
    <s v="BE-2009 , Intermediate-2005 , SSLC-2003"/>
    <s v="12.01"/>
    <s v="02.02"/>
    <s v="14.03"/>
    <s v="00049360"/>
    <s v="Capex Services"/>
    <s v="252800"/>
    <s v="Lead – Capex Services"/>
    <s v="Hazira"/>
    <s v="0031950059"/>
    <s v="HZ-Hazira Project"/>
    <s v="2000HWO"/>
    <s v="20052261"/>
    <s v="Aruni Mishra"/>
    <s v="No"/>
    <s v="javed.akhtar@amns.in"/>
    <s v="7486036280"/>
    <s v="843624"/>
    <s v="Dhruv Vyas"/>
    <s v="Anil Matoo"/>
    <s v="Praveen Kuruvalli"/>
    <s v="Dhruv Vyas"/>
    <n v="0"/>
  </r>
  <r>
    <n v="3989"/>
    <n v="20055728"/>
    <s v="Mahebub Vahora"/>
    <s v="AM/NS India"/>
    <s v="Onroll"/>
    <s v="M-5"/>
    <n v="5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- Capex Procurement"/>
    <m/>
    <s v="Capex Procurement"/>
    <s v="Capex Procurement"/>
    <s v=""/>
    <s v="Non Technical Support"/>
    <s v="Operations"/>
    <s v="Operations"/>
    <s v="72103001"/>
    <s v="Operations"/>
    <s v="Hazira"/>
    <d v="1979-04-03T00:00:00"/>
    <s v="44.05"/>
    <d v="2021-07-05T00:00:00"/>
    <d v="2037-04-30T00:00:00"/>
    <m/>
    <d v="2037-04-30T00:00:00"/>
    <n v="4971"/>
    <s v="A+"/>
    <s v="ICWA Final-2018 , MBA-2003 , BE-2000 , I"/>
    <s v="12.05"/>
    <s v="02.02"/>
    <s v="14.07"/>
    <s v="00049344"/>
    <s v="Capex Procurement"/>
    <s v="252799"/>
    <s v="Sr. Lead - Capex Procurement"/>
    <s v="Hazira"/>
    <s v="0031950059"/>
    <s v="HZ-Hazira Project"/>
    <s v="2000HWO"/>
    <s v="20052261"/>
    <s v="Aruni Mishra"/>
    <s v="No"/>
    <s v="mahebub.vahora@amns.in"/>
    <s v="7486036318"/>
    <s v="843630"/>
    <s v="Dhruv Vyas"/>
    <s v="Anil Matoo"/>
    <s v="Praveen Kuruvalli"/>
    <s v="Dhruv Vyas"/>
    <n v="0"/>
  </r>
  <r>
    <n v="3998"/>
    <n v="20055739"/>
    <s v="Dayaram Meghwal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 – Inbound/Receipts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89-02-12T00:00:00"/>
    <s v="34.07"/>
    <d v="2021-07-12T00:00:00"/>
    <d v="2047-02-28T00:00:00"/>
    <m/>
    <d v="2047-02-28T00:00:00"/>
    <n v="8562"/>
    <s v="O+"/>
    <s v="Diploma-2010 , Intermediate-2007 , SSLC-"/>
    <s v="10.10"/>
    <s v="02.02"/>
    <s v="13.00"/>
    <s v="00053278"/>
    <s v="GRN/Documentation/Issue - Plant A"/>
    <s v="253466"/>
    <s v="Section Officer – Inbound/Receipts"/>
    <s v="Hazira"/>
    <s v="0031950049"/>
    <s v="HZ-Central Stores"/>
    <s v="2000HW0"/>
    <s v="20002587"/>
    <s v="Seema Mehta"/>
    <s v="No"/>
    <s v="dayaram.meghwal@amns.in"/>
    <s v="7486036326"/>
    <s v="844769"/>
    <s v="Dhruv Vyas"/>
    <s v="Anil Matoo"/>
    <s v="Praveen Kuruvalli"/>
    <s v="Dhruv Vyas"/>
    <n v="0"/>
  </r>
  <r>
    <n v="4000"/>
    <n v="20055742"/>
    <s v="Naresh Yadav"/>
    <s v="AM/NS India"/>
    <s v="Onroll"/>
    <s v="M-6"/>
    <n v="6"/>
    <m/>
    <s v="MM"/>
    <s v="M"/>
    <s v="Hazira"/>
    <n v="1"/>
    <s v="2096"/>
    <x v="14"/>
    <s v="36.02"/>
    <s v="Deepak Sindkar"/>
    <s v="Hrishikesh Kamat"/>
    <n v="7"/>
    <s v="Procurement"/>
    <s v="Raw Materials"/>
    <s v="36"/>
    <s v="Sr. Lead - Power Management"/>
    <m/>
    <s v="Power &amp; Gas"/>
    <s v="Power &amp; Gas"/>
    <s v=""/>
    <s v="Non Technical Support"/>
    <s v="Commercial"/>
    <s v="Procurement"/>
    <s v="73803001"/>
    <s v="Procurement"/>
    <s v="AM/NS Hazira"/>
    <d v="1985-08-24T00:00:00"/>
    <s v="38.00"/>
    <d v="2021-08-02T00:00:00"/>
    <d v="2043-08-31T00:00:00"/>
    <m/>
    <d v="2043-08-31T00:00:00"/>
    <n v="7285"/>
    <s v="B+"/>
    <s v="MTech-2015 , PG Diploma-2012 , BE-2007 ,"/>
    <s v="14.01"/>
    <s v="02.01"/>
    <s v="16.02"/>
    <s v="00049516"/>
    <s v="Power &amp; Gas"/>
    <s v="253472"/>
    <s v="Sr. Lead - Power Management"/>
    <s v="Hazira"/>
    <s v="0031950048"/>
    <s v="HZ-Procurment Depart"/>
    <s v="2000HW0"/>
    <s v="20004612"/>
    <s v="Ramesh Chabhadiya"/>
    <s v="No"/>
    <s v="naresh.yadav@amns.in"/>
    <s v="7486036332"/>
    <s v="844773"/>
    <s v="Dhruv Vyas"/>
    <s v="Anil Matoo"/>
    <s v="Praveen Kuruvalli"/>
    <s v="Dhruv Vyas"/>
    <n v="0"/>
  </r>
  <r>
    <n v="4001"/>
    <n v="20055743"/>
    <s v="Suyojit Gaikwad"/>
    <s v="AM/NS India"/>
    <s v="Onroll"/>
    <s v="M-8"/>
    <n v="8"/>
    <m/>
    <s v="JM"/>
    <s v="M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Chairman's Secretariat"/>
    <s v="Chairman's Secretariat"/>
    <s v="74701000"/>
    <s v="Chairman's Secretariat"/>
    <s v="AM/NS Hazira"/>
    <d v="1987-09-27T00:00:00"/>
    <s v="35.11"/>
    <d v="2021-07-12T00:00:00"/>
    <d v="2045-09-30T00:00:00"/>
    <m/>
    <d v="2045-09-30T00:00:00"/>
    <n v="8046"/>
    <s v="B+"/>
    <s v="MBA-2014 , BE-2011 , Intermediate-2005 ,"/>
    <s v="08.00"/>
    <s v="02.02"/>
    <s v="10.01"/>
    <s v="00044330"/>
    <s v="Internal Audit - Hazira"/>
    <s v="253473"/>
    <s v="Lead - Internal Audit"/>
    <s v="Hazira"/>
    <s v="0090000035"/>
    <s v="Internal Audit"/>
    <s v="2000HW0"/>
    <s v="20028777"/>
    <s v="Narendra Dugar"/>
    <s v="No"/>
    <s v="suyojit.gaikwad@amns.in"/>
    <s v="7486036324"/>
    <s v="844776"/>
    <s v="Dhruv Vyas"/>
    <s v="Anil Matoo"/>
    <s v="Praveen Kuruvalli"/>
    <s v="Dhruv Vyas"/>
    <n v="0"/>
  </r>
  <r>
    <n v="4003"/>
    <n v="20055745"/>
    <s v="Ajay Kumar Sharma"/>
    <s v="AM/NS India"/>
    <s v="Onroll"/>
    <s v="M-6"/>
    <n v="6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Internal Auditor Odisha"/>
    <m/>
    <s v="Internal Audit"/>
    <s v=""/>
    <s v=""/>
    <s v="Non Technical Support"/>
    <s v="Chairman's Secretariat"/>
    <s v="Chairman's Secretariat"/>
    <s v="74701000"/>
    <s v="Chairman's Secretariat"/>
    <s v="Paradeep"/>
    <d v="1974-12-13T00:00:00"/>
    <s v="48.09"/>
    <d v="2021-07-01T00:00:00"/>
    <d v="2032-12-31T00:00:00"/>
    <m/>
    <d v="2032-12-31T00:00:00"/>
    <n v="3390"/>
    <s v="A+"/>
    <s v="CA Final-2008 , LLB-1999 , BCom-1995 , I"/>
    <s v="09.06"/>
    <s v="02.02"/>
    <s v="11.08"/>
    <s v="00044333"/>
    <s v="Internal Audit -Odisha"/>
    <s v="253558"/>
    <s v="Sr. Lead Internal Auditor Odisha"/>
    <s v="Odisha"/>
    <s v="0090000035"/>
    <s v="Internal Audit"/>
    <s v="2000STORIS"/>
    <s v="20055486"/>
    <s v="Nilesh Likhite"/>
    <s v="No"/>
    <s v="ajay.sharma1@amns.in"/>
    <s v="8093061480"/>
    <s v="844910"/>
    <s v="Sunila Das"/>
    <s v="Anil Matoo"/>
    <s v="Praveen Kuruvalli"/>
    <s v="Sunila Das"/>
    <n v="0"/>
  </r>
  <r>
    <n v="4017"/>
    <n v="20055763"/>
    <s v="Debashis Mohapatra"/>
    <s v="AM/NS India"/>
    <s v="Onroll"/>
    <s v="M-6"/>
    <n v="6"/>
    <m/>
    <s v="MM"/>
    <s v="M"/>
    <s v="Hazira"/>
    <n v="1"/>
    <s v="2715"/>
    <x v="13"/>
    <s v="37.01"/>
    <s v="Aruni Mishra"/>
    <s v="Hrishikesh Kamat"/>
    <n v="7"/>
    <s v="Procurement"/>
    <s v="Secondary Sales"/>
    <s v="37"/>
    <s v="Sr. Lead - Secondary Sales"/>
    <m/>
    <s v="Procurement"/>
    <s v=""/>
    <s v=""/>
    <s v="Non Technical Support"/>
    <s v=""/>
    <s v=""/>
    <s v=""/>
    <s v=""/>
    <s v="Hazira"/>
    <d v="1984-06-26T00:00:00"/>
    <s v="39.02"/>
    <d v="2021-07-21T00:00:00"/>
    <d v="2042-06-30T00:00:00"/>
    <m/>
    <d v="2042-06-30T00:00:00"/>
    <n v="6858"/>
    <s v="B+"/>
    <s v="MBA-2008 , BE-2006 , Intermediate-2001 ,"/>
    <s v="13.01"/>
    <s v="02.02"/>
    <s v="15.03"/>
    <s v="00049357"/>
    <s v="Secondary Sales"/>
    <s v="253852"/>
    <s v="Sr. Lead - Secondary Sales"/>
    <s v="Hazira"/>
    <s v="0080000006"/>
    <s v="Secondary Sales - In"/>
    <s v="2000HWO"/>
    <s v="20052261"/>
    <s v="Aruni Mishra"/>
    <s v="No"/>
    <s v="debashis.mohapatra@amns.in"/>
    <s v="9328882489"/>
    <s v="845534"/>
    <s v="Dhruv Vyas"/>
    <s v="Anil Matoo"/>
    <s v="Praveen Kuruvalli"/>
    <s v="Dhruv Vyas"/>
    <n v="0"/>
  </r>
  <r>
    <n v="4042"/>
    <n v="20055799"/>
    <s v="Swasti Panchal"/>
    <s v="AM/NS India"/>
    <s v="Onroll"/>
    <s v="M-10"/>
    <n v="10"/>
    <m/>
    <s v="JM"/>
    <s v="F"/>
    <s v="Hazira"/>
    <n v="1"/>
    <s v="2722"/>
    <x v="20"/>
    <s v="28.02"/>
    <s v="Anil Matoo"/>
    <s v="Ashutosh Telang"/>
    <n v="6"/>
    <s v="HR &amp; Administration"/>
    <s v="Academy for Skill Development"/>
    <n v="28"/>
    <s v="Graduate Engineer Trainee 2021"/>
    <m/>
    <s v="Human Resources"/>
    <s v=""/>
    <s v=""/>
    <s v="Non Technical Support"/>
    <s v="Human Resources Management"/>
    <s v="Human Resources Management"/>
    <s v="73501002"/>
    <s v="Human Resources Operation"/>
    <s v="Hazira"/>
    <d v="2000-08-15T00:00:00"/>
    <s v="23.01"/>
    <d v="2021-08-02T00:00:00"/>
    <d v="2058-08-31T00:00:00"/>
    <m/>
    <d v="2058-08-31T00:00:00"/>
    <n v="12764"/>
    <s v="B-"/>
    <s v="BTech-2017 , BTech-2017 , Intermediate-2"/>
    <s v=""/>
    <s v="02.01"/>
    <s v="02.01"/>
    <s v="70495652"/>
    <s v="Academy for Skill Development"/>
    <s v="255035"/>
    <s v="Graduate Engineer Trainee 2021"/>
    <s v="Hazira"/>
    <s v="0031950061"/>
    <s v="HZ-Human Resource"/>
    <s v="2000HWO"/>
    <s v="20054937"/>
    <s v="Hitesh Kumar Yadav"/>
    <s v="No"/>
    <s v="swasti.panchal@amns.in"/>
    <s v="9328894660"/>
    <s v="846830"/>
    <s v="Dhruv Vyas"/>
    <s v="Anil Matoo"/>
    <s v="Praveen Kuruvalli"/>
    <s v="Dhruv Vyas"/>
    <n v="0"/>
  </r>
  <r>
    <n v="4043"/>
    <n v="20055801"/>
    <s v="Sanjive Kumar Singh"/>
    <s v="AM/NS India"/>
    <s v="Onroll"/>
    <s v="M-4"/>
    <n v="4"/>
    <m/>
    <s v="SM"/>
    <s v="M"/>
    <s v="Odisha"/>
    <n v="2"/>
    <s v="2013"/>
    <x v="0"/>
    <s v="20.01"/>
    <s v="Akiyo Omori"/>
    <s v="Amit Harlalka"/>
    <n v="5"/>
    <s v="Finance &amp; Accounts"/>
    <s v="Finance &amp; Accounts"/>
    <s v="20"/>
    <s v="Head - Finance &amp; Accounts Odisha"/>
    <m/>
    <s v="Finance &amp; Accounts - Odisha"/>
    <s v="Finance &amp; Accounts"/>
    <s v=""/>
    <s v="Non Technical Support"/>
    <s v="Finance &amp; Accounts"/>
    <s v="Finance &amp; Accounts"/>
    <s v="73901001"/>
    <s v="Finance &amp; Accounts"/>
    <s v="Paradeep"/>
    <d v="1974-03-15T00:00:00"/>
    <s v="49.06"/>
    <d v="2021-07-22T00:00:00"/>
    <d v="2032-03-31T00:00:00"/>
    <m/>
    <d v="2032-03-31T00:00:00"/>
    <n v="3115"/>
    <s v="O+"/>
    <s v="CA Final-1997 , ICWA Inter-1996 , BCom-1"/>
    <s v="23.08"/>
    <s v="02.01"/>
    <s v="25.09"/>
    <s v="70234933"/>
    <s v="Finance &amp; Accounts - Odisha"/>
    <s v="255232"/>
    <s v="Head - Finance &amp; Accounts Odisha"/>
    <s v="Odisha"/>
    <s v="0022030019"/>
    <s v="PDP-HR &amp; Admn"/>
    <s v="2000STORIS"/>
    <s v="20057933"/>
    <s v="Akiyo Omori"/>
    <s v="No"/>
    <s v="sanjive.singh@amns.in"/>
    <s v="8093061471"/>
    <s v="847478"/>
    <s v="Sunila Das"/>
    <s v="Anil Matoo"/>
    <s v="Praveen Kuruvalli"/>
    <s v="Sunila Das"/>
    <n v="0"/>
  </r>
  <r>
    <n v="4044"/>
    <n v="20055802"/>
    <s v="Pawan Kumar Baid"/>
    <s v="AM/NS India"/>
    <s v="Onroll"/>
    <s v="M-6"/>
    <n v="6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Internal Audit Corporate"/>
    <m/>
    <s v="Internal Audit"/>
    <s v=""/>
    <s v=""/>
    <s v="Non Technical Support"/>
    <s v="Chairman's Secretariat"/>
    <s v="Chairman's Secretariat"/>
    <s v="74701000"/>
    <s v="Chairman's Secretariat"/>
    <s v="Mumbai"/>
    <d v="1986-12-23T00:00:00"/>
    <s v="36.08"/>
    <d v="2021-08-02T00:00:00"/>
    <d v="2044-12-31T00:00:00"/>
    <m/>
    <d v="2044-12-31T00:00:00"/>
    <n v="7773"/>
    <s v="B+"/>
    <s v="CA Final-2011 , BCom-2008 , Intermediate"/>
    <s v="09.02"/>
    <s v="02.01"/>
    <s v="11.03"/>
    <s v="00044335"/>
    <s v="Internal Audit Corporate"/>
    <s v="255223"/>
    <s v="Sr. Lead Internal Audit Corporate"/>
    <s v="Corporate"/>
    <s v="0090000035"/>
    <s v="Internal Audit"/>
    <s v="2000CS"/>
    <s v="20055486"/>
    <s v="Nilesh Likhite"/>
    <s v="No"/>
    <s v="pawan.baid@amns.in"/>
    <s v="9000240429"/>
    <s v="847480"/>
    <s v="Dhruv Vyas"/>
    <s v="Anil Matoo"/>
    <s v="Praveen Kuruvalli"/>
    <s v="Dhruv Vyas"/>
    <n v="0"/>
  </r>
  <r>
    <n v="4045"/>
    <n v="20055803"/>
    <s v="Jay Harshad Patrawala"/>
    <s v="AM/NS India"/>
    <s v="Onroll"/>
    <s v="M-6"/>
    <n v="6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Sr. Lead - Investigation Audit"/>
    <m/>
    <s v="Internal Audit"/>
    <s v=""/>
    <s v=""/>
    <s v="Non Technical Support"/>
    <s v="Chairman's Secretariat"/>
    <s v="Chairman's Secretariat"/>
    <s v="74701000"/>
    <s v="Chairman's Secretariat"/>
    <s v="Mumbai"/>
    <d v="1988-05-09T00:00:00"/>
    <s v="35.04"/>
    <d v="2021-08-02T00:00:00"/>
    <d v="2046-05-31T00:00:00"/>
    <m/>
    <d v="2046-05-31T00:00:00"/>
    <n v="8289"/>
    <s v="B+"/>
    <s v="CA Final-2012 , MCom-2010 , BCom-2009 ,"/>
    <s v="08.09"/>
    <s v="02.01"/>
    <s v="10.10"/>
    <s v="00044336"/>
    <s v="Investigation Audit"/>
    <s v="255222"/>
    <s v="Sr. Lead - Investigation Audit"/>
    <s v="Corporate"/>
    <s v="0090000035"/>
    <s v="Internal Audit"/>
    <s v="2000CS"/>
    <s v="20055486"/>
    <s v="Nilesh Likhite"/>
    <s v="No"/>
    <s v="jay.patrawala@amns.in"/>
    <s v="7021681923"/>
    <s v="847484"/>
    <s v="Dhruv Vyas"/>
    <s v="Anil Matoo"/>
    <s v="Praveen Kuruvalli"/>
    <s v="Dhruv Vyas"/>
    <n v="0"/>
  </r>
  <r>
    <n v="4046"/>
    <n v="20055804"/>
    <s v="Ankushkumar Shah"/>
    <s v="AM/NS India"/>
    <s v="Onroll"/>
    <s v="M-5"/>
    <n v="5"/>
    <m/>
    <s v="MM"/>
    <s v="M"/>
    <s v="Corporate"/>
    <n v="7"/>
    <s v="2060"/>
    <x v="24"/>
    <s v="39.01"/>
    <s v="Sanjay Sharma"/>
    <s v="Sanjay Sharma"/>
    <n v="8"/>
    <s v="Business Development"/>
    <s v="Business Development"/>
    <s v="39"/>
    <s v="Senior Lead - Business Development"/>
    <m/>
    <s v="Business Development"/>
    <s v=""/>
    <s v=""/>
    <s v="Non Technical Support"/>
    <s v="Sales &amp; Marketing"/>
    <s v="Business Development"/>
    <s v="73103001"/>
    <s v="Business Development"/>
    <s v="Mumbai"/>
    <d v="1990-06-19T00:00:00"/>
    <s v="33.03"/>
    <d v="2021-08-02T00:00:00"/>
    <d v="2048-06-30T00:00:00"/>
    <m/>
    <d v="2048-06-30T00:00:00"/>
    <n v="9050"/>
    <s v="B+"/>
    <s v="CA Final-2014 , BCom-2011 , Intermediate"/>
    <s v="07.05"/>
    <s v="02.01"/>
    <s v="09.06"/>
    <s v="00050003"/>
    <s v="Business Development - M&amp;A"/>
    <s v="255228"/>
    <s v="Senior Lead - Business Development"/>
    <s v="Corporate"/>
    <s v="0090000032"/>
    <s v="Business Devpelopmen"/>
    <s v="2000CS"/>
    <s v="20055181"/>
    <s v="Sanjay Sharma"/>
    <s v="No"/>
    <s v="ankush.shah@amns.in"/>
    <s v="9773559406"/>
    <s v="847499"/>
    <s v="Dhruv Vyas"/>
    <s v="Anil Matoo"/>
    <s v="Praveen Kuruvalli"/>
    <s v="Dhruv Vyas"/>
    <n v="0"/>
  </r>
  <r>
    <n v="4047"/>
    <n v="20055806"/>
    <s v="Rahul Mulik"/>
    <s v="AM/NS India"/>
    <s v="Onroll"/>
    <s v="M-8"/>
    <n v="8"/>
    <m/>
    <s v="JM"/>
    <s v="M"/>
    <s v="Hazira"/>
    <n v="1"/>
    <s v="2084"/>
    <x v="17"/>
    <s v="23.09"/>
    <s v="Anil Matoo"/>
    <s v="Ashutosh Telang"/>
    <n v="6"/>
    <s v="HR &amp; Administration"/>
    <s v="Industrial Relations"/>
    <s v="23"/>
    <s v="Lead – Industrial Relations"/>
    <m/>
    <s v="Industrial Relations"/>
    <s v=""/>
    <s v=""/>
    <s v="Non Technical Support"/>
    <s v="Human Resources Management"/>
    <s v="Human Resources Management"/>
    <s v="73501002"/>
    <s v="Human Resources Operation"/>
    <s v="Hazira"/>
    <d v="1976-06-10T00:00:00"/>
    <s v="47.03"/>
    <d v="2021-07-29T00:00:00"/>
    <d v="2034-06-30T00:00:00"/>
    <m/>
    <d v="2034-06-30T00:00:00"/>
    <n v="3936"/>
    <s v="A+"/>
    <s v="MBA-2008 , Diploma-2003 , BCom-1998 , In"/>
    <s v="16.05"/>
    <s v="02.01"/>
    <s v="18.06"/>
    <s v="70309501"/>
    <s v="IR &amp; legal Compliance"/>
    <s v="255231"/>
    <s v="Lead – Industrial Relations"/>
    <s v="Hazira"/>
    <s v="0031950061"/>
    <s v="HZ-Human Resource"/>
    <s v="2000HWO"/>
    <s v="20056503"/>
    <s v="Bhavin Pandya"/>
    <s v="No"/>
    <s v="rahul.mulik@amns.in"/>
    <s v="9328896544"/>
    <s v="847561"/>
    <s v="Dhruv Vyas"/>
    <s v="Anil Matoo"/>
    <s v="Praveen Kuruvalli"/>
    <s v="Dhruv Vyas"/>
    <n v="0"/>
  </r>
  <r>
    <n v="4055"/>
    <n v="20055816"/>
    <s v="Khilan Keyur Shah"/>
    <s v="AM/NS India"/>
    <s v="Onroll"/>
    <s v="M-7"/>
    <n v="7"/>
    <m/>
    <s v="MM"/>
    <s v="M"/>
    <s v="Corporate"/>
    <n v="7"/>
    <s v="2014"/>
    <x v="16"/>
    <s v="03.01"/>
    <s v="Nilesh Likhite"/>
    <s v="Dilip Oommen"/>
    <n v="1"/>
    <s v="CEO Office"/>
    <s v="Internal Audit"/>
    <s v="03"/>
    <s v="Lead - Investigation Audit"/>
    <m/>
    <s v="Internal Audit"/>
    <s v=""/>
    <s v=""/>
    <s v="Non Technical Support"/>
    <s v="Assurance &amp; Cost Control"/>
    <s v="Assurance &amp; Cost Control"/>
    <s v="73401001"/>
    <s v="Assurance &amp; Cost Control"/>
    <s v="Mumbai"/>
    <d v="1991-08-22T00:00:00"/>
    <s v="32.00"/>
    <d v="2021-08-09T00:00:00"/>
    <d v="2049-08-31T00:00:00"/>
    <m/>
    <d v="2049-08-31T00:00:00"/>
    <n v="9477"/>
    <s v="B+"/>
    <s v="CA Final-2014 , BCom-2012 , Intermediate"/>
    <s v="06.05"/>
    <s v="02.01"/>
    <s v="08.05"/>
    <s v="00044336"/>
    <s v="Investigation Audit"/>
    <s v="255646"/>
    <s v="Lead - Investigation Audit"/>
    <s v="Corporate"/>
    <s v="0090000035"/>
    <s v="Internal Audit"/>
    <s v="2000CS"/>
    <s v="20055803"/>
    <s v="Jay Harshad Patrawala"/>
    <s v="No"/>
    <s v="khilan.shah@amns.in"/>
    <s v="8976785833"/>
    <s v="848456"/>
    <s v="Dhruv Vyas"/>
    <s v="Anil Matoo"/>
    <s v="Praveen Kuruvalli"/>
    <s v="Dhruv Vyas"/>
    <n v="0"/>
  </r>
  <r>
    <n v="4057"/>
    <n v="20055819"/>
    <s v="Sachin Kumar Yadav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Capex Procurement"/>
    <m/>
    <s v="Capex Procurement"/>
    <s v="Capex Procurement"/>
    <s v=""/>
    <s v="Non Technical Support"/>
    <s v="Operations"/>
    <s v="Operations"/>
    <s v="72103001"/>
    <s v="Operations"/>
    <s v="Hazira"/>
    <d v="1989-10-16T00:00:00"/>
    <s v="33.11"/>
    <d v="2021-08-09T00:00:00"/>
    <d v="2047-10-31T00:00:00"/>
    <m/>
    <d v="2047-10-31T00:00:00"/>
    <n v="8807"/>
    <s v="B+"/>
    <s v="BTech-2010 , Intermediate-2005 , SSLC-20"/>
    <s v="11.00"/>
    <s v="02.01"/>
    <s v="13.01"/>
    <s v="00053248"/>
    <s v="Capex Procurement"/>
    <s v="255649"/>
    <s v="Lead – Capex Procurement"/>
    <s v="Hazira"/>
    <s v="0031950059"/>
    <s v="HZ-Hazira Project"/>
    <s v="2000HWO"/>
    <s v="20055728"/>
    <s v="Mahebub Vahora"/>
    <s v="No"/>
    <s v="sachin.yadav1@amns.in"/>
    <s v="9510872052"/>
    <s v="848545"/>
    <s v="Dhruv Vyas"/>
    <s v="Anil Matoo"/>
    <s v="Praveen Kuruvalli"/>
    <s v="Dhruv Vyas"/>
    <n v="0"/>
  </r>
  <r>
    <n v="4064"/>
    <n v="20055833"/>
    <s v="Animesh Mishra"/>
    <s v="AM/NS India"/>
    <s v="Onroll"/>
    <s v="M-10"/>
    <n v="10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Graduate Engineer Trainee 2021"/>
    <m/>
    <s v="Capex Procurement"/>
    <s v="Capex Procurement"/>
    <s v=""/>
    <s v="Non Technical Support"/>
    <s v="Operations"/>
    <s v="Operations"/>
    <s v="72103001"/>
    <s v="Operations"/>
    <s v="Hazira"/>
    <d v="1999-03-01T00:00:00"/>
    <s v="24.06"/>
    <d v="2021-08-17T00:00:00"/>
    <d v="2057-02-28T00:00:00"/>
    <m/>
    <d v="2057-02-28T00:00:00"/>
    <n v="12215"/>
    <s v="AB+"/>
    <s v="BTech-2021 , Intermediate-2016 , SSLC-20"/>
    <s v=""/>
    <s v="02.01"/>
    <s v="02.01"/>
    <s v="00049360"/>
    <s v="Capex Services"/>
    <s v="256014"/>
    <s v="Graduate Engineer Trainee 2021"/>
    <s v="Hazira"/>
    <s v="0031950059"/>
    <s v="HZ-Hazira Project"/>
    <s v="2000HWO"/>
    <s v="20055727"/>
    <s v="Javed Akhtar"/>
    <s v="No"/>
    <s v="animesh.mishra@amns.in"/>
    <s v="9510882498"/>
    <s v="849368"/>
    <s v="Dhruv Vyas"/>
    <s v="Anil Matoo"/>
    <s v="Praveen Kuruvalli"/>
    <s v="Dhruv Vyas"/>
    <n v="0"/>
  </r>
  <r>
    <n v="4066"/>
    <n v="20055835"/>
    <s v="Anshima Pandey"/>
    <s v="AM/NS India"/>
    <s v="Onroll"/>
    <s v="M-10"/>
    <n v="10"/>
    <m/>
    <s v="JM"/>
    <s v="F"/>
    <s v="Hazira"/>
    <n v="1"/>
    <s v="2015"/>
    <x v="1"/>
    <s v="22.06"/>
    <s v="Anil Matoo"/>
    <s v="Ashutosh Telang"/>
    <n v="6"/>
    <s v="HR &amp; Administration"/>
    <s v="Human Resources"/>
    <s v="22"/>
    <s v="Graduate Engineer Trainee 2021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2000-05-06T00:00:00"/>
    <s v="23.04"/>
    <d v="2021-08-17T00:00:00"/>
    <d v="2058-05-31T00:00:00"/>
    <m/>
    <d v="2058-05-31T00:00:00"/>
    <n v="12672"/>
    <s v="B+"/>
    <s v="BTech-2021 , Intermediate-2017 , SSLC-20"/>
    <s v=""/>
    <s v="02.01"/>
    <s v="02.01"/>
    <s v="70472770"/>
    <s v="Hazira HR Operations - 1"/>
    <s v="256016"/>
    <s v="Lead - Human Resources"/>
    <s v="Hazira"/>
    <s v="0031950061"/>
    <s v="HZ-Human Resource"/>
    <s v="2000HWO"/>
    <s v="20001265"/>
    <s v="Lakshman Iyer"/>
    <s v="No"/>
    <s v="anshima.pandey@amns.in"/>
    <s v="9510885212"/>
    <s v="849369"/>
    <s v="Dhruv Vyas"/>
    <s v="Anil Matoo"/>
    <s v="Praveen Kuruvalli"/>
    <s v="Dhruv Vyas"/>
    <n v="0"/>
  </r>
  <r>
    <n v="4071"/>
    <n v="20055843"/>
    <s v="Harshita Ghildiyal"/>
    <s v="AM/NS India"/>
    <s v="Onroll"/>
    <s v="M-10"/>
    <n v="10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Graduate Engineer Trainee 2021"/>
    <m/>
    <s v="Capex Procurement"/>
    <s v="Capex Procurement"/>
    <s v=""/>
    <s v="Non Technical Support"/>
    <s v="Operations"/>
    <s v="Operations"/>
    <s v="72103001"/>
    <s v="Operations"/>
    <s v="Hazira"/>
    <d v="1999-10-31T00:00:00"/>
    <s v="23.10"/>
    <d v="2021-08-17T00:00:00"/>
    <d v="2057-10-31T00:00:00"/>
    <m/>
    <d v="2057-10-31T00:00:00"/>
    <n v="12460"/>
    <s v="B+"/>
    <s v="BTech-2021 , Intermediate-2017 , SSLC-20"/>
    <s v=""/>
    <s v="02.01"/>
    <s v="02.01"/>
    <s v="00049342"/>
    <s v="Capex Procurement"/>
    <s v="256024"/>
    <s v="Graduate Engineer Trainee 2021"/>
    <s v="Hazira"/>
    <s v="0031950059"/>
    <s v="HZ-Hazira Project"/>
    <s v="2000HWO"/>
    <s v="20055712"/>
    <s v="Ravi Goyal"/>
    <s v="Yes"/>
    <s v="harshita.ghildiyal@amns.in"/>
    <s v="9510892400"/>
    <s v="849375"/>
    <s v="Dhruv Vyas"/>
    <s v="Anil Matoo"/>
    <s v="Praveen Kuruvalli"/>
    <s v="Dhruv Vyas"/>
    <n v="0"/>
  </r>
  <r>
    <n v="4084"/>
    <n v="20055867"/>
    <s v="Tatikonda Manoj Sai Kumar"/>
    <s v="AM/NS India"/>
    <s v="Onroll"/>
    <s v="M-8"/>
    <n v="8"/>
    <m/>
    <s v="JM"/>
    <s v="M"/>
    <s v="Pune Facility"/>
    <n v="4"/>
    <s v="2031"/>
    <x v="10"/>
    <s v="14.01"/>
    <s v="Ranjan Dhar"/>
    <s v="Alain Legrix De La Salle"/>
    <n v="3"/>
    <s v="Sales &amp; Marketing"/>
    <s v="Sales &amp; Marketing"/>
    <s v="14"/>
    <s v="Management Trainee 2021"/>
    <m/>
    <s v="West"/>
    <s v="Hypermart"/>
    <s v=""/>
    <s v="Non Technical Support"/>
    <s v="Human Resources Management"/>
    <s v="Human Resources Management"/>
    <s v="73501001"/>
    <s v="Human Resources"/>
    <s v="Pune"/>
    <d v="1997-08-05T00:00:00"/>
    <s v="26.01"/>
    <d v="2021-08-17T00:00:00"/>
    <d v="2055-08-31T00:00:00"/>
    <m/>
    <d v="2055-08-31T00:00:00"/>
    <n v="11668"/>
    <s v="O+"/>
    <s v="MBA-2021 , BTech-2018 , Intermediate-201"/>
    <s v=""/>
    <s v="02.01"/>
    <s v="02.01"/>
    <s v="00048138"/>
    <s v="Hypermart west"/>
    <s v="256049"/>
    <s v="Sales Manager - Hypermart"/>
    <s v="Pune Facility"/>
    <s v="0035950073"/>
    <s v="Pune - S&amp;D Export"/>
    <s v="2000ESPF"/>
    <s v="20056847"/>
    <s v="Vikas Chotia"/>
    <s v="No"/>
    <s v="manoj.tatikonda@amns.in"/>
    <s v="7016458879"/>
    <s v="849391"/>
    <s v="Dhruv Vyas"/>
    <s v="Anil Matoo"/>
    <s v="Praveen Kuruvalli"/>
    <s v="Dhruv Vyas"/>
    <n v="0"/>
  </r>
  <r>
    <n v="4085"/>
    <n v="20055868"/>
    <s v="Sanidhya Singh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 2021"/>
    <m/>
    <s v="North"/>
    <s v="OEM"/>
    <s v=""/>
    <s v="Non Technical Support"/>
    <s v="Sales &amp; Marketing"/>
    <s v="Sales"/>
    <s v="73104004"/>
    <s v="OEM Sales"/>
    <s v="Noida"/>
    <d v="1996-07-24T00:00:00"/>
    <s v="27.01"/>
    <d v="2021-08-17T00:00:00"/>
    <d v="2054-07-31T00:00:00"/>
    <m/>
    <d v="2054-07-31T00:00:00"/>
    <n v="11272"/>
    <s v="AB-"/>
    <s v="MBA-2021 , BTech-2018 , Intermediate-201"/>
    <s v=""/>
    <s v="02.01"/>
    <s v="02.01"/>
    <s v="72150181"/>
    <s v="Sales North Zone"/>
    <s v="256050"/>
    <s v="Sales Manager"/>
    <s v="Hypermart"/>
    <s v="0031950057"/>
    <s v="HZ-HRC - Marketing"/>
    <s v="2000SRET"/>
    <s v="20002920"/>
    <s v="Sudhir Sharma"/>
    <s v="No"/>
    <s v="sanidhya.singh@amns.in"/>
    <s v="7016457342"/>
    <s v="849392"/>
    <s v="Dhruv Vyas"/>
    <s v="Anil Matoo"/>
    <s v="Praveen Kuruvalli"/>
    <s v="Dhruv Vyas"/>
    <n v="0"/>
  </r>
  <r>
    <n v="4086"/>
    <n v="20055870"/>
    <s v="Singireddy Sindhuja Reddy"/>
    <s v="AM/NS India"/>
    <s v="Onroll"/>
    <s v="M-8"/>
    <n v="8"/>
    <m/>
    <s v="JM"/>
    <s v="F"/>
    <s v="Pune Facility"/>
    <n v="4"/>
    <s v="2031"/>
    <x v="10"/>
    <s v="14.01"/>
    <s v="Ranjan Dhar"/>
    <s v="Alain Legrix De La Salle"/>
    <n v="3"/>
    <s v="Sales &amp; Marketing"/>
    <s v="Sales &amp; Marketing"/>
    <s v="14"/>
    <s v="Management Trainee 2021"/>
    <m/>
    <s v="South"/>
    <s v="OEM"/>
    <s v=""/>
    <s v="Non Technical Support"/>
    <s v="Human Resources Management"/>
    <s v="Human Resources Management"/>
    <s v="73501001"/>
    <s v="Human Resources"/>
    <s v="Pune"/>
    <d v="1994-12-07T00:00:00"/>
    <s v="28.09"/>
    <d v="2021-08-17T00:00:00"/>
    <d v="2052-12-31T00:00:00"/>
    <m/>
    <d v="2052-12-31T00:00:00"/>
    <n v="10695"/>
    <s v="O+"/>
    <s v="MBA-2021 , BTech-2016 , Intermediate-201"/>
    <s v=""/>
    <s v="02.01"/>
    <s v="02.01"/>
    <s v="00043882"/>
    <s v="International Sales"/>
    <s v="256052"/>
    <s v="Sales Manager"/>
    <s v="Pune Facility"/>
    <s v="0035950073"/>
    <s v="Pune - S&amp;D Export"/>
    <s v="2000ESPF"/>
    <s v="20037071"/>
    <s v="Amit Chandaliya"/>
    <s v="No"/>
    <s v="sindhuja.reddy@amns.in"/>
    <s v="9177997249"/>
    <s v="849394"/>
    <s v="Dhruv Vyas"/>
    <s v="Anil Matoo"/>
    <s v="Praveen Kuruvalli"/>
    <s v="Dhruv Vyas"/>
    <n v="0"/>
  </r>
  <r>
    <n v="4087"/>
    <n v="20055873"/>
    <s v="Ameesha Khandelwal"/>
    <s v="AM/NS India"/>
    <s v="Onroll"/>
    <s v="M-8"/>
    <n v="8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1"/>
    <m/>
    <s v="Sales Steering &amp; BD"/>
    <s v="Product Branding"/>
    <s v=""/>
    <s v="Non Technical Support"/>
    <s v="Sales &amp; Marketing"/>
    <s v="Sales &amp; Marketing"/>
    <s v="73101001"/>
    <s v="Sales &amp; Marketing"/>
    <s v="Mumbai"/>
    <d v="1997-06-19T00:00:00"/>
    <s v="26.03"/>
    <d v="2021-08-17T00:00:00"/>
    <d v="2055-06-30T00:00:00"/>
    <m/>
    <d v="2055-06-30T00:00:00"/>
    <n v="11606"/>
    <s v="B+"/>
    <s v="MBA-2021 , BCom-2018 , Intermediate-2015"/>
    <s v=""/>
    <s v="02.01"/>
    <s v="02.01"/>
    <s v="00044762"/>
    <s v="Branding"/>
    <s v="256055"/>
    <s v="Brand Manager"/>
    <s v="Corporate"/>
    <s v="0080000001"/>
    <s v="Head-Marketing"/>
    <s v="2000CS"/>
    <s v="20056091"/>
    <s v="Pooja Rawal"/>
    <s v="No"/>
    <s v="ameesha.khandelwal@amns.in"/>
    <s v="7016451049"/>
    <s v="849397"/>
    <s v="Dhruv Vyas"/>
    <s v="Anil Matoo"/>
    <s v="Praveen Kuruvalli"/>
    <s v="Dhruv Vyas"/>
    <n v="0"/>
  </r>
  <r>
    <n v="4088"/>
    <n v="20055874"/>
    <s v="Meet Pandit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1"/>
    <m/>
    <s v="Sales Steering &amp; BD"/>
    <s v="Product Branding"/>
    <s v=""/>
    <s v="Non Technical Support"/>
    <s v="Sales &amp; Marketing"/>
    <s v="Sales &amp; Marketing"/>
    <s v="73101001"/>
    <s v="Sales &amp; Marketing"/>
    <s v="Mumbai"/>
    <d v="1997-08-06T00:00:00"/>
    <s v="26.01"/>
    <d v="2021-08-17T00:00:00"/>
    <d v="2055-08-31T00:00:00"/>
    <m/>
    <d v="2055-08-31T00:00:00"/>
    <n v="11668"/>
    <s v="AB+"/>
    <s v="MBA-2021 , BTech-2019 , Intermediate-201"/>
    <s v=""/>
    <s v="02.01"/>
    <s v="02.01"/>
    <s v="00044762"/>
    <s v="Branding"/>
    <s v="256056"/>
    <s v="Brand Manager"/>
    <s v="Corporate"/>
    <s v="0080000001"/>
    <s v="Head-Marketing"/>
    <s v="2000CS"/>
    <s v="20056091"/>
    <s v="Pooja Rawal"/>
    <s v="No"/>
    <s v="meet.pandit@amns.in"/>
    <s v="7016455896"/>
    <s v="849398"/>
    <s v="Dhruv Vyas"/>
    <s v="Anil Matoo"/>
    <s v="Praveen Kuruvalli"/>
    <s v="Dhruv Vyas"/>
    <n v="0"/>
  </r>
  <r>
    <n v="4089"/>
    <n v="20055879"/>
    <s v="Mahima Champaneria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Management Trainee 2021"/>
    <m/>
    <s v="Performance Management"/>
    <s v="Performance Management"/>
    <s v=""/>
    <s v="Non Technical Support"/>
    <s v="Human Resources Management"/>
    <s v="Human Resources Management"/>
    <s v="73501002"/>
    <s v="Human Resources Operation"/>
    <s v="AM/NS Hazira"/>
    <d v="1998-11-13T00:00:00"/>
    <s v="24.10"/>
    <d v="2021-08-17T00:00:00"/>
    <d v="2056-11-30T00:00:00"/>
    <m/>
    <d v="2056-11-30T00:00:00"/>
    <n v="12125"/>
    <s v="A+"/>
    <s v="MBA-2021 , Bachelor Equivalent-2017 , In"/>
    <s v=""/>
    <s v="02.01"/>
    <s v="02.01"/>
    <s v="00049304"/>
    <s v="PM - Internal Control"/>
    <s v="70495104"/>
    <s v="Management Trainee 2021"/>
    <s v="Hazira"/>
    <s v="0031950043"/>
    <s v="HZ-Performance Manag"/>
    <s v="2000HWO"/>
    <s v="20006833"/>
    <s v="Hardik Vasavada"/>
    <s v="No"/>
    <s v="mahima.champaneria@amns.in"/>
    <s v="7016455608"/>
    <s v="821406"/>
    <s v="Dhruv Vyas"/>
    <s v="Anil Matoo"/>
    <s v="Praveen Kuruvalli"/>
    <s v="Dhruv Vyas"/>
    <n v="0"/>
  </r>
  <r>
    <n v="4095"/>
    <n v="20055886"/>
    <s v="Parth Kathiriya"/>
    <s v="AM/NS India"/>
    <s v="Onroll"/>
    <s v="M-11"/>
    <n v="11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Engineer - Contracts"/>
    <m/>
    <s v="Contracts"/>
    <s v="Contracts"/>
    <s v=""/>
    <s v="Non Technical Support"/>
    <s v="Commercial"/>
    <s v="Contracts &amp; Tenders and E-bid"/>
    <s v="73805001"/>
    <s v="Contracts &amp; Tenders and E"/>
    <s v="Hazira"/>
    <d v="1998-07-01T00:00:00"/>
    <s v="25.02"/>
    <d v="2021-07-15T00:00:00"/>
    <d v="2056-06-30T00:00:00"/>
    <m/>
    <d v="2056-06-30T00:00:00"/>
    <n v="11972"/>
    <s v="A+"/>
    <s v="Diploma-2017 , SSLC-2014"/>
    <s v=""/>
    <s v="02.02"/>
    <s v="02.02"/>
    <s v="70495670"/>
    <s v="Contracts"/>
    <s v="256409"/>
    <s v="Engineer - Contracts"/>
    <s v="Hazira"/>
    <s v="0031950047"/>
    <s v="HZ-Contracts"/>
    <s v="2000HWO"/>
    <s v="20000795"/>
    <s v="Pankaj Chaturvedi"/>
    <s v="No"/>
    <s v="parth.kathiriya@amns.in"/>
    <s v="9727740427"/>
    <s v="26010"/>
    <s v="Dhruv Vyas"/>
    <s v="Anil Matoo"/>
    <s v="Praveen Kuruvalli"/>
    <s v="Dhruv Vyas"/>
    <n v="0"/>
  </r>
  <r>
    <n v="4164"/>
    <n v="20055959"/>
    <s v="Rajesh Kumar Pradhan"/>
    <s v="AM/NS India"/>
    <s v="Onroll"/>
    <s v="M-7"/>
    <n v="7"/>
    <m/>
    <s v="MM"/>
    <s v="M"/>
    <s v="Odisha"/>
    <n v="2"/>
    <s v="2031"/>
    <x v="10"/>
    <s v="14.01"/>
    <s v="Ranjan Dhar"/>
    <s v="Alain Legrix De La Salle"/>
    <n v="3"/>
    <s v="Sales &amp; Marketing"/>
    <s v="Sales &amp; Marketing"/>
    <s v="14"/>
    <s v="Lead – Iron Ore Sales (Domestic)"/>
    <m/>
    <s v="Iron Ore &amp; Infra"/>
    <s v="Iron Ore &amp; Infra"/>
    <s v=""/>
    <s v="Non Technical Support"/>
    <s v="Commercial"/>
    <s v="Procurement"/>
    <s v="73803001"/>
    <s v="Procurement"/>
    <s v="Bhubaneswar"/>
    <d v="1986-07-11T00:00:00"/>
    <s v="37.02"/>
    <d v="2021-08-17T00:00:00"/>
    <d v="2044-07-31T00:00:00"/>
    <m/>
    <d v="2044-07-31T00:00:00"/>
    <n v="7620"/>
    <s v="B+"/>
    <s v="PG Diploma-2009 , BTech-2007 , Intermedi"/>
    <s v="10.10"/>
    <s v="02.01"/>
    <s v="12.10"/>
    <s v="00044347"/>
    <s v="Sales - Iron Ore"/>
    <s v="256857"/>
    <s v="Lead – Iron Ore Sales (Domestic)"/>
    <s v="Odisha"/>
    <s v="0031950048"/>
    <s v="HZ-Procurment Depart"/>
    <s v="2000STORIS"/>
    <s v="20003630"/>
    <s v="Mukul Manchanda"/>
    <s v="No"/>
    <s v="rajesh.pradhan@amns.in"/>
    <s v="9937017593"/>
    <s v="850355"/>
    <s v="Sunila Das"/>
    <s v="Anil Matoo"/>
    <s v="Praveen Kuruvalli"/>
    <s v="Sunila Das"/>
    <n v="0"/>
  </r>
  <r>
    <n v="4165"/>
    <n v="20055961"/>
    <s v="Ayesha Gaglani"/>
    <s v="AM/NS India"/>
    <s v="Onroll"/>
    <s v="M-7"/>
    <n v="7"/>
    <m/>
    <s v="M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Sr. Lead - Iron Ore Sales Exports"/>
    <m/>
    <s v="Iron Ore &amp; Infra"/>
    <s v="Iron Ore &amp; Infra"/>
    <s v=""/>
    <s v="Non Technical Support"/>
    <s v="Commercial"/>
    <s v="Procurement"/>
    <s v="73803001"/>
    <s v="Procurement"/>
    <s v="Mumbai"/>
    <d v="1985-09-12T00:00:00"/>
    <s v="38.00"/>
    <d v="2021-08-18T00:00:00"/>
    <d v="2043-09-30T00:00:00"/>
    <m/>
    <d v="2043-09-30T00:00:00"/>
    <n v="7315"/>
    <s v="O+"/>
    <s v="PG Diploma-2014 , BE-2008 , Intermediate"/>
    <s v="10.04"/>
    <s v="02.01"/>
    <s v="12.05"/>
    <s v="00044347"/>
    <s v="Sales - Iron Ore"/>
    <s v="256859"/>
    <s v="Sr. Lead - Iron Ore Sales Exports"/>
    <s v="Corporate"/>
    <s v="0031950048"/>
    <s v="HZ-Procurment Depart"/>
    <s v="2000CS"/>
    <s v="20003630"/>
    <s v="Mukul Manchanda"/>
    <s v="No"/>
    <s v="ayesha.gaglani@amns.in"/>
    <s v="7894414970"/>
    <s v="850365"/>
    <s v="Dhruv Vyas"/>
    <s v="Anil Matoo"/>
    <s v="Praveen Kuruvalli"/>
    <s v="Dhruv Vyas"/>
    <n v="0"/>
  </r>
  <r>
    <n v="4166"/>
    <n v="20055962"/>
    <s v="Navin Kewalramani"/>
    <s v="AM/NS India"/>
    <s v="Onroll"/>
    <s v="M-4"/>
    <n v="4"/>
    <m/>
    <s v="SM"/>
    <s v="M"/>
    <s v="Hazira"/>
    <n v="1"/>
    <s v="2013"/>
    <x v="0"/>
    <s v="20.01"/>
    <s v="Akiyo Omori"/>
    <s v="Amit Harlalka"/>
    <n v="5"/>
    <s v="Finance &amp; Accounts"/>
    <s v="Finance &amp; Accounts"/>
    <s v="20"/>
    <s v="Head – GST"/>
    <m/>
    <s v="Taxation"/>
    <s v="In Direct - Taxation"/>
    <s v=""/>
    <s v="Non Technical Support"/>
    <s v="Finance &amp; Accounts"/>
    <s v="Taxation"/>
    <s v="73904002"/>
    <s v="Indirect Taxation"/>
    <s v="AM/NS Hazira"/>
    <d v="1972-12-05T00:00:00"/>
    <s v="50.09"/>
    <d v="2021-08-19T00:00:00"/>
    <d v="2030-12-31T00:00:00"/>
    <m/>
    <d v="2030-12-31T00:00:00"/>
    <n v="2659"/>
    <s v="O+"/>
    <s v="CA Final-2004 , BCom-1995 , Intermediate"/>
    <s v="16.00"/>
    <s v="02.01"/>
    <s v="18.00"/>
    <s v="70282653"/>
    <s v="GST"/>
    <s v="256860"/>
    <s v="Head – GST"/>
    <s v="Hazira"/>
    <s v="0090000033"/>
    <s v="Corporate Taxation"/>
    <s v="2000HWO"/>
    <s v="20055193"/>
    <s v="Anuprita Kaushik Mehta"/>
    <s v="No"/>
    <s v="navin.kewalramani@amns.in"/>
    <s v="9510858997"/>
    <s v="850385"/>
    <s v="Dhruv Vyas"/>
    <s v="Anil Matoo"/>
    <s v="Praveen Kuruvalli"/>
    <s v="Dhruv Vyas"/>
    <n v="0"/>
  </r>
  <r>
    <n v="4172"/>
    <n v="20055971"/>
    <s v="Mohit Rank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Accounts Receivable"/>
    <m/>
    <s v="Working Capital"/>
    <s v="Accounts Receivable"/>
    <s v=""/>
    <s v="Non Technical Support"/>
    <s v=""/>
    <s v=""/>
    <s v=""/>
    <s v=""/>
    <s v="Khopoli"/>
    <d v="1991-07-15T00:00:00"/>
    <s v="32.02"/>
    <d v="2021-08-23T00:00:00"/>
    <d v="2049-07-31T00:00:00"/>
    <m/>
    <d v="2049-07-31T00:00:00"/>
    <n v="9446"/>
    <s v="AB+"/>
    <s v="BCom-2012 , CA Inter-2011 , Intermediate"/>
    <s v="04.05"/>
    <s v="02.00"/>
    <s v="06.05"/>
    <s v="70495565"/>
    <s v="F&amp;A Hypermart &amp; Service Centre"/>
    <s v="256995"/>
    <s v="Lead – Accounts Receivable"/>
    <s v="Hazira"/>
    <s v="0031950045"/>
    <s v="HZ-Works Accounts-Ha"/>
    <s v="2000HWO"/>
    <s v="20055504"/>
    <s v="Vivek Choudhary"/>
    <s v="No"/>
    <s v="mohit.ranka@amns.in"/>
    <s v="9510864658"/>
    <s v="850577"/>
    <s v="Dhruv Vyas"/>
    <s v="Anil Matoo"/>
    <s v="Praveen Kuruvalli"/>
    <s v="Dhruv Vyas"/>
    <n v="0"/>
  </r>
  <r>
    <n v="4179"/>
    <n v="20055985"/>
    <s v="Dilip Chandra Gelli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– Plate Sales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86-08-13T00:00:00"/>
    <s v="37.01"/>
    <d v="2021-09-02T00:00:00"/>
    <d v="2044-08-31T00:00:00"/>
    <m/>
    <d v="2044-08-31T00:00:00"/>
    <n v="7651"/>
    <s v="B+"/>
    <s v="MTech-2015 , AMIE-2010 , Intermediate-20"/>
    <s v="16.08"/>
    <s v="02.00"/>
    <s v="18.08"/>
    <s v="00052467"/>
    <s v="Plate"/>
    <s v="257876"/>
    <s v="Section Head – Plate Products"/>
    <s v="Corporate"/>
    <s v="0031950057"/>
    <s v="HZ-HRC - Marketing"/>
    <s v="2000CS"/>
    <s v="20008508"/>
    <s v="Satyajit Mohapatra"/>
    <s v="No"/>
    <s v="dilip.chandra@amns.in"/>
    <s v="9867776419"/>
    <s v="851934"/>
    <s v="Dhruv Vyas"/>
    <s v="Anil Matoo"/>
    <s v="Praveen Kuruvalli"/>
    <s v="Dhruv Vyas"/>
    <n v="0"/>
  </r>
  <r>
    <n v="4187"/>
    <n v="20056010"/>
    <s v="Maheswar Gupta"/>
    <s v="AM/NS India"/>
    <s v="Onroll"/>
    <s v="M-8"/>
    <n v="8"/>
    <m/>
    <s v="JM"/>
    <s v="M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Assurance &amp; Cost Control"/>
    <s v="Assurance &amp; Cost Control"/>
    <s v="73401001"/>
    <s v="Assurance &amp; Cost Control"/>
    <s v="Paradeep"/>
    <d v="1993-05-22T00:00:00"/>
    <s v="30.03"/>
    <d v="2021-09-06T00:00:00"/>
    <d v="2051-05-31T00:00:00"/>
    <m/>
    <d v="2051-05-31T00:00:00"/>
    <n v="10115"/>
    <s v="O+"/>
    <s v="MCom-2020 , BCom-2017 , CA Final-2016 ,"/>
    <s v="05.03"/>
    <s v="02.00"/>
    <s v="07.03"/>
    <s v="00044333"/>
    <s v="Internal Audit -Odisha"/>
    <s v="70310796"/>
    <s v="Lead - Internal Audit"/>
    <s v="Odisha"/>
    <s v="0090000035"/>
    <s v="Internal Audit"/>
    <s v="2000STORIS"/>
    <s v="20055745"/>
    <s v="Ajay Kumar Sharma"/>
    <s v="No"/>
    <s v="maheshwar.gupta@amns.in"/>
    <s v="9040394484"/>
    <s v="853925"/>
    <s v="Dhruv Vyas"/>
    <s v="Anil Matoo"/>
    <s v="Praveen Kuruvalli"/>
    <s v="Dhruv Vyas"/>
    <n v="0"/>
  </r>
  <r>
    <n v="4189"/>
    <n v="20056012"/>
    <s v="Ujwal Punia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Incharge Administration"/>
    <m/>
    <s v="Security, Vigilance &amp; Fire Services"/>
    <s v=""/>
    <s v=""/>
    <s v="Non Technical Support"/>
    <s v="Administration"/>
    <s v="Administration"/>
    <s v="74101001"/>
    <s v="Administration"/>
    <s v="Hazira"/>
    <d v="1984-09-10T00:00:00"/>
    <s v="39.00"/>
    <d v="2021-09-09T00:00:00"/>
    <d v="2042-09-30T00:00:00"/>
    <m/>
    <d v="2042-09-30T00:00:00"/>
    <n v="6950"/>
    <s v="B+"/>
    <s v="PG Diploma-2012 , LLB-2007 , BA-2004 , I"/>
    <s v="13.06"/>
    <s v="02.00"/>
    <s v="15.06"/>
    <s v="00049721"/>
    <s v="Regional &amp; Corporate offices"/>
    <s v="258976"/>
    <s v="Lead-Administration"/>
    <s v="Hazira"/>
    <s v="0031950030"/>
    <s v="HZ-Admin"/>
    <s v="2000HWO"/>
    <s v="20057888"/>
    <s v="Narinder Lamba"/>
    <s v="No"/>
    <s v="ujwal.punia@amns.in"/>
    <s v="7016462730"/>
    <s v="854007"/>
    <s v="Manjit Shah"/>
    <s v="Anil Matoo"/>
    <s v="Praveen Kuruvalli"/>
    <s v="Lakshman Iyer"/>
    <n v="0"/>
  </r>
  <r>
    <n v="4197"/>
    <n v="20056020"/>
    <s v="Samarjeet Ghosh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– Capex Services"/>
    <m/>
    <s v="Capex Procurement"/>
    <s v="Capex Procurement"/>
    <s v=""/>
    <s v="Non Technical Support"/>
    <s v="Operations"/>
    <s v="Operations"/>
    <s v="72103001"/>
    <s v="Operations"/>
    <s v="Hazira"/>
    <d v="1996-01-02T00:00:00"/>
    <s v="27.08"/>
    <d v="2021-09-18T00:00:00"/>
    <d v="2054-01-31T00:00:00"/>
    <m/>
    <d v="2054-01-31T00:00:00"/>
    <n v="11091"/>
    <s v="AB+"/>
    <s v="BTech-2018 , Intermediate-2013 , SSLC-20"/>
    <s v="03.03"/>
    <s v="02.00"/>
    <s v="05.02"/>
    <s v="00049359"/>
    <s v="Capex Services"/>
    <s v="259465"/>
    <s v="Officer– Capex Services"/>
    <s v="Hazira"/>
    <s v="0031950059"/>
    <s v="HZ-Hazira Project"/>
    <s v="2000HWO"/>
    <s v="20055446"/>
    <s v="Chitrang Rana"/>
    <s v="No"/>
    <s v="samarjeet.ghosh@amns.in"/>
    <s v="8160929757"/>
    <s v="855758"/>
    <s v="Dhruv Vyas"/>
    <s v="Anil Matoo"/>
    <s v="Praveen Kuruvalli"/>
    <s v="Dhruv Vyas"/>
    <n v="0"/>
  </r>
  <r>
    <n v="4204"/>
    <n v="20056028"/>
    <s v="Ashish Vitthalrao Raut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– Technical Marketing &amp; Application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Ahmedabad"/>
    <d v="1990-12-03T00:00:00"/>
    <s v="32.09"/>
    <d v="2021-09-27T00:00:00"/>
    <d v="2048-12-31T00:00:00"/>
    <m/>
    <d v="2048-12-31T00:00:00"/>
    <n v="9234"/>
    <s v="B+"/>
    <s v="BE-2012 , Intermediate-2008 , SSLC-2006"/>
    <s v="08.03"/>
    <s v="01.11"/>
    <s v="10.02"/>
    <s v="00052460"/>
    <s v="Auto &amp; YG"/>
    <s v="260497"/>
    <s v="Lead – Application Engineer"/>
    <s v="Hazira"/>
    <s v="0031950057"/>
    <s v="HZ-HRC - Marketing"/>
    <s v="2000HWO"/>
    <s v="20056155"/>
    <s v="Kondapalli Venkateswarlu"/>
    <s v="No"/>
    <s v="ashish.raut@amns.in"/>
    <s v="7775833791"/>
    <s v="857813"/>
    <s v="Dhruv Vyas"/>
    <s v="Anil Matoo"/>
    <s v="Praveen Kuruvalli"/>
    <s v="Dhruv Vyas"/>
    <n v="0"/>
  </r>
  <r>
    <n v="4205"/>
    <n v="20056029"/>
    <s v="Ananya Maitra"/>
    <s v="AM/NS India"/>
    <s v="Onroll"/>
    <s v="M-4"/>
    <n v="4"/>
    <m/>
    <s v="SM"/>
    <s v="F"/>
    <s v="Hazira"/>
    <n v="1"/>
    <s v="2013"/>
    <x v="0"/>
    <s v="20.01"/>
    <s v="Akiyo Omori"/>
    <s v="Amit Harlalka"/>
    <n v="5"/>
    <s v="Finance &amp; Accounts"/>
    <s v="Finance &amp; Accounts"/>
    <s v="20"/>
    <s v="Head of Capex – Finance &amp; Controlling"/>
    <m/>
    <s v="Capex Finance"/>
    <s v="Capex Finance"/>
    <s v=""/>
    <s v="Non Technical Support"/>
    <s v="Finance &amp; Accounts"/>
    <s v="Costing"/>
    <s v="73906001"/>
    <s v="Costing"/>
    <s v="AM/NS Hazira"/>
    <d v="1974-06-05T00:00:00"/>
    <s v="49.03"/>
    <d v="2021-09-30T00:00:00"/>
    <d v="2032-06-30T00:00:00"/>
    <m/>
    <d v="2032-06-30T00:00:00"/>
    <n v="3206"/>
    <s v="A+"/>
    <s v="Master's Equivalent-1998 , BSc-1996 , In"/>
    <s v="33.00"/>
    <s v="01.11"/>
    <s v="35.00"/>
    <s v="00045705"/>
    <s v="Capex – Finance &amp; Controlling"/>
    <s v="260496"/>
    <s v="Head of Capex – Finance &amp; Controlling"/>
    <s v="Hazira"/>
    <s v="0090000038"/>
    <s v="CAPEX FINANCE"/>
    <s v="2000HWO"/>
    <s v="20057933"/>
    <s v="Akiyo Omori"/>
    <s v="No"/>
    <s v="ananya.maitra@amns.in"/>
    <s v="9820409423"/>
    <s v="857829"/>
    <s v="Dhruv Vyas"/>
    <s v="Anil Matoo"/>
    <s v="Praveen Kuruvalli"/>
    <s v="Dhruv Vyas"/>
    <n v="0"/>
  </r>
  <r>
    <n v="4209"/>
    <n v="20056033"/>
    <s v="Afreen Hanif Shaikh"/>
    <s v="AM/NS India"/>
    <s v="Onroll"/>
    <s v="M-9"/>
    <n v="9"/>
    <m/>
    <s v="JM"/>
    <s v="F"/>
    <s v="Corporate"/>
    <n v="7"/>
    <s v="2014"/>
    <x v="16"/>
    <s v="03.01"/>
    <s v="Nilesh Likhite"/>
    <s v="Dilip Oommen"/>
    <n v="1"/>
    <s v="CEO Office"/>
    <s v="Internal Audit"/>
    <s v="03"/>
    <s v="Officer - Internal Audit"/>
    <m/>
    <s v="Internal Audit"/>
    <s v=""/>
    <s v=""/>
    <s v="Non Technical Support"/>
    <s v="Chairman's Secretariat"/>
    <s v="Chairman's Secretariat"/>
    <s v="74701000"/>
    <s v="Chairman's Secretariat"/>
    <s v="Mumbai"/>
    <d v="1992-02-29T00:00:00"/>
    <s v="31.06"/>
    <d v="2021-10-04T00:00:00"/>
    <d v="2050-02-28T00:00:00"/>
    <m/>
    <d v="2050-02-28T00:00:00"/>
    <n v="9658"/>
    <s v="B+"/>
    <s v="BCom-2012 , High School-2009 , SSLC-2007"/>
    <s v="09.01"/>
    <s v="01.11"/>
    <s v="11.00"/>
    <s v="00044335"/>
    <s v="Internal Audit Corporate"/>
    <s v="261002"/>
    <s v="Officer - Internal Audit Corporate Asset"/>
    <s v="Corporate"/>
    <s v="0090000035"/>
    <s v="Internal Audit"/>
    <s v="2000CS"/>
    <s v="20055802"/>
    <s v="Pawan Kumar Baid"/>
    <s v="No"/>
    <s v="afreen.shaikh@amns.in"/>
    <s v="9867181893"/>
    <s v="858640"/>
    <s v="Dhruv Vyas"/>
    <s v="Anil Matoo"/>
    <s v="Praveen Kuruvalli"/>
    <s v="Dhruv Vyas"/>
    <n v="0"/>
  </r>
  <r>
    <n v="4211"/>
    <n v="20056035"/>
    <s v="Arjun Ranjan Ogale"/>
    <s v="AM/NS India"/>
    <s v="Onroll"/>
    <s v="M-6"/>
    <n v="6"/>
    <m/>
    <s v="MM"/>
    <s v="M"/>
    <s v="Hazira"/>
    <n v="1"/>
    <s v="2270"/>
    <x v="25"/>
    <s v="38.01"/>
    <s v="Hrishikesh Kamat"/>
    <s v="Hrishikesh Kamat"/>
    <n v="7"/>
    <s v="Procurement"/>
    <s v="Logistics"/>
    <s v="38"/>
    <s v="Lead – Logistics"/>
    <m/>
    <s v="Logistics"/>
    <s v="Logistics"/>
    <s v=""/>
    <s v="Non Technical Support"/>
    <s v=""/>
    <s v=""/>
    <s v="70494644"/>
    <s v="Chief Procurement Officer"/>
    <s v="AM/NS Hazira"/>
    <d v="1984-01-14T00:00:00"/>
    <s v="39.08"/>
    <d v="2021-10-01T00:00:00"/>
    <d v="2042-01-31T00:00:00"/>
    <m/>
    <d v="2042-01-31T00:00:00"/>
    <n v="6708"/>
    <s v="B+"/>
    <s v="MBA-2009 , BE-2005 , Intermediate-2001 ,"/>
    <s v="14.11"/>
    <s v="01.11"/>
    <s v="16.10"/>
    <s v="70495712"/>
    <s v="Logistics"/>
    <s v="261001"/>
    <s v="Lead – Logistics"/>
    <s v="Hazira"/>
    <s v="0031950053"/>
    <s v="HZ-Logistics"/>
    <s v="2000HWO"/>
    <s v="20055688"/>
    <s v="Vibhavana Jaiswal"/>
    <s v="No"/>
    <s v="arjun.ogale@amns.in"/>
    <s v="9925246242"/>
    <s v="795217"/>
    <s v="Dhruv Vyas"/>
    <s v="Anil Matoo"/>
    <s v="Praveen Kuruvalli"/>
    <s v="Dhruv Vyas"/>
    <n v="0"/>
  </r>
  <r>
    <n v="4213"/>
    <n v="20056037"/>
    <s v="Ashish Hasmukhrai Sutaria"/>
    <s v="AM/NS India"/>
    <s v="Onroll"/>
    <s v="M-5"/>
    <n v="5"/>
    <m/>
    <s v="MM"/>
    <s v="M"/>
    <s v="Hazira"/>
    <n v="1"/>
    <s v="2270"/>
    <x v="25"/>
    <s v="38.01"/>
    <s v="Hrishikesh Kamat"/>
    <s v="Hrishikesh Kamat"/>
    <n v="7"/>
    <s v="Procurement"/>
    <s v="Logistics"/>
    <s v="38"/>
    <s v="Sr. Lead – Logistics"/>
    <m/>
    <s v="Logistics"/>
    <s v="Logistics"/>
    <s v=""/>
    <s v="Non Technical Support"/>
    <s v=""/>
    <s v=""/>
    <s v="70494644"/>
    <s v="Chief Procurement Officer"/>
    <s v="AM/NS Hazira"/>
    <d v="1976-09-12T00:00:00"/>
    <s v="47.00"/>
    <d v="2021-10-01T00:00:00"/>
    <d v="2034-09-30T00:00:00"/>
    <m/>
    <d v="2034-09-30T00:00:00"/>
    <n v="4028"/>
    <s v="B+"/>
    <s v="MBA-2007 , BCom-1996 , Intermediate-1993"/>
    <s v="25.00"/>
    <s v="01.11"/>
    <s v="27.00"/>
    <s v="70495712"/>
    <s v="Logistics"/>
    <s v="261000"/>
    <s v="Sr. Lead – Logistics"/>
    <s v="Hazira"/>
    <s v="0031950053"/>
    <s v="HZ-Logistics"/>
    <s v="2000HWO"/>
    <s v="20055688"/>
    <s v="Vibhavana Jaiswal"/>
    <s v="No"/>
    <s v="ashish.sutaria@amns.in"/>
    <s v="9879203054"/>
    <s v="795213"/>
    <s v="Dhruv Vyas"/>
    <s v="Anil Matoo"/>
    <s v="Praveen Kuruvalli"/>
    <s v="Dhruv Vyas"/>
    <n v="0"/>
  </r>
  <r>
    <n v="4218"/>
    <n v="20056045"/>
    <s v="Patel Vikas Amitbhai"/>
    <s v="AM/NS India"/>
    <s v="Onroll"/>
    <s v="M-8"/>
    <n v="8"/>
    <m/>
    <s v="J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"/>
    <s v=""/>
    <s v="Non Technical Support"/>
    <s v="Commercial"/>
    <s v="Contracts &amp; Tenders and E-bid"/>
    <s v="73805001"/>
    <s v="Contracts &amp; Tenders and E"/>
    <s v="AM/NS Hazira"/>
    <d v="1988-07-11T00:00:00"/>
    <s v="35.02"/>
    <d v="2021-10-18T00:00:00"/>
    <d v="2046-07-31T00:00:00"/>
    <m/>
    <d v="2046-07-31T00:00:00"/>
    <n v="8350"/>
    <s v="O+"/>
    <s v="MBA-2010 , Bachelor Equivalent-2008 , In"/>
    <s v="11.07"/>
    <s v="01.11"/>
    <s v="13.05"/>
    <s v="70495436"/>
    <s v="Land Property"/>
    <s v="261995"/>
    <s v="Lead - Land Matters"/>
    <s v="Hazira"/>
    <s v="0031950038"/>
    <s v="HZ-Hazira Land Acqui"/>
    <s v="2000HWO"/>
    <s v="20055714"/>
    <s v="Dipakkumar Shah"/>
    <s v="No"/>
    <s v="vikas.patel1@amns.in"/>
    <s v="9824163653"/>
    <s v="859864"/>
    <s v="Dhruv Vyas"/>
    <s v="Anil Matoo"/>
    <s v="Praveen Kuruvalli"/>
    <s v="Dhruv Vyas"/>
    <n v="0"/>
  </r>
  <r>
    <n v="4220"/>
    <n v="20056052"/>
    <s v="Kishan Patel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Procurement MRO Hazira"/>
    <s v="Procurement"/>
    <s v=""/>
    <s v="Non Technical Support"/>
    <s v=""/>
    <s v=""/>
    <s v=""/>
    <s v=""/>
    <s v="AM/NS Hazira"/>
    <d v="1996-11-28T00:00:00"/>
    <s v="26.09"/>
    <d v="2021-10-25T00:00:00"/>
    <d v="2054-11-30T00:00:00"/>
    <m/>
    <d v="2054-11-30T00:00:00"/>
    <n v="11394"/>
    <s v=""/>
    <s v="Diploma-2018 , Intermediate-2014 , SSLC-"/>
    <s v=""/>
    <s v="01.10"/>
    <s v="01.10"/>
    <s v="00044542"/>
    <s v="Procurement -Ferroalloys"/>
    <s v="262547"/>
    <s v="Engineer"/>
    <s v="Hazira"/>
    <s v="0031950048"/>
    <s v="HZ-Procurment Depart"/>
    <s v="2000HWO"/>
    <s v="20001370"/>
    <s v="Tejas Desai"/>
    <s v="No"/>
    <s v="kishan.patel@amns.in"/>
    <s v="9879100716"/>
    <s v="792097"/>
    <s v="Dhruv Vyas"/>
    <s v="Anil Matoo"/>
    <s v="Praveen Kuruvalli"/>
    <s v="Dhruv Vyas"/>
    <n v="0"/>
  </r>
  <r>
    <n v="4231"/>
    <n v="20056067"/>
    <s v="Deep Patel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Procurement MRO Hazira"/>
    <s v="Procurement"/>
    <s v=""/>
    <s v="Non Technical Support"/>
    <s v=""/>
    <s v=""/>
    <s v=""/>
    <s v=""/>
    <s v="AM/NS Hazira"/>
    <d v="1994-03-23T00:00:00"/>
    <s v="29.05"/>
    <d v="2021-10-25T00:00:00"/>
    <d v="2052-03-31T00:00:00"/>
    <m/>
    <d v="2052-03-31T00:00:00"/>
    <n v="10420"/>
    <s v=""/>
    <s v="Diploma-2014 , High School-2011 , SSLC-2"/>
    <s v=""/>
    <s v="01.10"/>
    <s v="01.10"/>
    <s v="70266350"/>
    <s v="Zinc, Elect, Instrumentation, Automation"/>
    <s v="262540"/>
    <s v="Engineer"/>
    <s v="Hazira"/>
    <s v="0031950048"/>
    <s v="HZ-Procurment Depart"/>
    <s v="2000HWO"/>
    <s v="20002746"/>
    <s v="Deep Pyne"/>
    <s v="No"/>
    <s v="deepkumar.patel@amns.in"/>
    <s v="9879102307"/>
    <s v="26031"/>
    <s v="Dhruv Vyas"/>
    <s v="Anil Matoo"/>
    <s v="Praveen Kuruvalli"/>
    <s v="Dhruv Vyas"/>
    <n v="0"/>
  </r>
  <r>
    <n v="4243"/>
    <n v="20056083"/>
    <s v="Neeraj Sharma"/>
    <s v="AM/NS India"/>
    <s v="Onroll"/>
    <s v="M-5"/>
    <n v="5"/>
    <m/>
    <s v="MM"/>
    <s v="M"/>
    <s v="Hazira"/>
    <n v="1"/>
    <s v="2069"/>
    <x v="8"/>
    <s v="25.01"/>
    <s v="Bibek Chattopadhyay"/>
    <s v="Ashutosh Telang"/>
    <n v="6"/>
    <s v="HR &amp; Administration"/>
    <s v="Corporate Communications"/>
    <s v="25"/>
    <s v="Head – Corporate Communication, Gujarat"/>
    <m/>
    <s v="Corporate Communications"/>
    <s v=""/>
    <s v=""/>
    <s v="Non Technical Support"/>
    <s v="Corporate Communication"/>
    <s v="Corporate Communication"/>
    <s v="74001001"/>
    <s v="Corporate Communication"/>
    <s v="Hazira"/>
    <d v="1981-03-10T00:00:00"/>
    <s v="42.06"/>
    <d v="2021-11-01T00:00:00"/>
    <d v="2039-03-31T00:00:00"/>
    <m/>
    <d v="2039-03-31T00:00:00"/>
    <n v="5671"/>
    <s v="O+"/>
    <s v="PG Diploma-2008 , BE-2005 , Intermediate"/>
    <s v="09.01"/>
    <s v="01.10"/>
    <s v="11.00"/>
    <s v="00047290"/>
    <s v="Communication Gujrat"/>
    <s v="263146"/>
    <s v="Head – Corporate Communication, Gujarat"/>
    <s v="Hazira"/>
    <s v="0090000016"/>
    <s v="Corporate Steel - Co"/>
    <s v="2000HWO"/>
    <s v="20055187"/>
    <s v="Bibek Chattopadhyay"/>
    <s v="No"/>
    <s v="neeraj.sharma@amns.in"/>
    <s v="9099933725"/>
    <s v="862084"/>
    <s v="Dhruv Vyas"/>
    <s v="Anil Matoo"/>
    <s v="Praveen Kuruvalli"/>
    <s v="Dhruv Vyas"/>
    <n v="0"/>
  </r>
  <r>
    <n v="4249"/>
    <n v="20056091"/>
    <s v="Pooja Rawal"/>
    <s v="AM/NS India"/>
    <s v="Onroll"/>
    <s v="M-6"/>
    <n v="6"/>
    <m/>
    <s v="M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Branding Manager"/>
    <m/>
    <s v="Sales Steering &amp; BD"/>
    <s v="Product Branding"/>
    <s v=""/>
    <s v="Non Technical Support"/>
    <s v=""/>
    <s v=""/>
    <s v="70494645"/>
    <s v="Head of Sales BD"/>
    <s v="Mumbai"/>
    <d v="1982-06-27T00:00:00"/>
    <s v="41.02"/>
    <d v="2021-11-01T00:00:00"/>
    <d v="2040-06-30T00:00:00"/>
    <m/>
    <d v="2040-06-30T00:00:00"/>
    <n v="6128"/>
    <s v="B+"/>
    <s v="PG Diploma-2007 , BE-2005 , Intermediate"/>
    <s v="14.09"/>
    <s v="01.10"/>
    <s v="16.07"/>
    <s v="00044762"/>
    <s v="Branding"/>
    <s v="263147"/>
    <s v="Head - Product Branding"/>
    <s v="Corporate"/>
    <s v="0080000001"/>
    <s v="Head-Marketing"/>
    <s v="2000CS"/>
    <s v="20010531"/>
    <s v="Saptarshi Saha"/>
    <s v="No"/>
    <s v="pooja.rawal@amns.in"/>
    <s v="9920613525"/>
    <s v="862850"/>
    <s v="Dhruv Vyas"/>
    <s v="Anil Matoo"/>
    <s v="Praveen Kuruvalli"/>
    <s v="Dhruv Vyas"/>
    <n v="0"/>
  </r>
  <r>
    <n v="4250"/>
    <n v="20056092"/>
    <s v="Sidra Shireen Kabir"/>
    <s v="AM/NS Middle East FZE"/>
    <s v="Onroll"/>
    <s v="M-9"/>
    <n v="9"/>
    <m/>
    <s v="JM"/>
    <s v="F"/>
    <s v="Dubai"/>
    <n v="10"/>
    <s v="2502"/>
    <x v="10"/>
    <s v="14.01"/>
    <s v="Ranjan Dhar"/>
    <s v="Alain Legrix De La Salle"/>
    <n v="3"/>
    <s v="Sales &amp; Marketing"/>
    <s v="Sales &amp; Marketing"/>
    <s v="14"/>
    <s v="Lead Sales"/>
    <m/>
    <s v="Sales ME"/>
    <s v="Sales ME"/>
    <s v=""/>
    <s v=""/>
    <s v="Sales &amp; Marketing"/>
    <s v="Sales &amp; Marketing"/>
    <s v="73101001"/>
    <s v="Sales &amp; Marketing"/>
    <s v="Dubai"/>
    <d v="1991-11-19T00:00:00"/>
    <s v="31.09"/>
    <d v="2021-11-07T00:00:00"/>
    <d v="2049-11-30T00:00:00"/>
    <m/>
    <d v="2049-11-30T00:00:00"/>
    <n v="9568"/>
    <s v="B+"/>
    <s v="MBA-2016 , Intermediate-2009 , SSLC-2007"/>
    <s v="01.06"/>
    <s v="01.10"/>
    <s v="03.04"/>
    <s v="70495379"/>
    <s v="Chief Marketing Officer - AMNS ME FZE"/>
    <s v="263577"/>
    <s v="Sales Manager ME"/>
    <s v="AMNS Middle East FZE"/>
    <s v="0093720082"/>
    <s v="SC-Dubai-Marketing"/>
    <s v="DUBA2081"/>
    <s v="20055663"/>
    <s v="Karamath Syed"/>
    <s v="No"/>
    <s v="sidra.shireen@amns.in"/>
    <s v="971522086070"/>
    <s v="863293"/>
    <s v="Dhruv Vyas"/>
    <s v="Anil Matoo"/>
    <s v="Praveen Kuruvalli"/>
    <n v="0"/>
    <n v="0"/>
  </r>
  <r>
    <n v="4260"/>
    <n v="20056103"/>
    <s v="Megha Modi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Lead – Accounts Payable"/>
    <m/>
    <s v="Working Capital"/>
    <s v="Accounts Payable"/>
    <s v=""/>
    <s v="Non Technical Support"/>
    <s v=""/>
    <s v=""/>
    <s v=""/>
    <s v=""/>
    <s v="AM/NS Hazira"/>
    <d v="1990-03-10T00:00:00"/>
    <s v="33.06"/>
    <d v="2021-11-10T00:00:00"/>
    <d v="2048-03-31T00:00:00"/>
    <m/>
    <d v="2048-03-31T00:00:00"/>
    <n v="8959"/>
    <s v="AB+"/>
    <s v="CA Final-2015 , CS-2012 , CA Inter-2011"/>
    <s v="05.04"/>
    <s v="01.10"/>
    <s v="07.02"/>
    <s v="72150243"/>
    <s v="Accounts Payable"/>
    <s v="263869"/>
    <s v="Lead – Accounts Payable"/>
    <s v="Hazira"/>
    <s v="0031950045"/>
    <s v="HZ-Works Accounts-Ha"/>
    <s v="2000HWO"/>
    <s v="20001076"/>
    <s v="Bhavesh Modi"/>
    <s v="No"/>
    <s v="megha.modi@amns.in"/>
    <s v="9167041164"/>
    <s v="864739"/>
    <s v="Dhruv Vyas"/>
    <s v="Anil Matoo"/>
    <s v="Praveen Kuruvalli"/>
    <s v="Dhruv Vyas"/>
    <n v="0"/>
  </r>
  <r>
    <n v="4264"/>
    <n v="20056108"/>
    <s v="Farhan Mehboob Virani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Direct Tax"/>
    <m/>
    <s v="Taxation"/>
    <s v="Direct - Taxation"/>
    <s v=""/>
    <s v="Non Technical Support"/>
    <s v="Finance &amp; Accounts"/>
    <s v="Taxation"/>
    <s v="73904001"/>
    <s v="Direct Taxation"/>
    <s v="Mumbai"/>
    <d v="1990-01-04T00:00:00"/>
    <s v="33.08"/>
    <d v="2021-11-16T00:00:00"/>
    <d v="2048-01-31T00:00:00"/>
    <m/>
    <d v="2048-01-31T00:00:00"/>
    <n v="8899"/>
    <s v="B+"/>
    <s v="CA Final-2012 , BCom-2010 , Intermediate"/>
    <s v="09.06"/>
    <s v="01.10"/>
    <s v="11.03"/>
    <s v="00047291"/>
    <s v="Taxation"/>
    <s v="264178"/>
    <s v="Sr. Lead Direct Tax"/>
    <s v="Corporate"/>
    <s v="0090000033"/>
    <s v="Corporate Taxation"/>
    <s v="2000CS"/>
    <s v="20055494"/>
    <s v="Vikas Soni"/>
    <s v="No"/>
    <s v="farhan.virani@amns.in"/>
    <s v="9833688214"/>
    <s v="865028"/>
    <s v="Dhruv Vyas"/>
    <s v="Anil Matoo"/>
    <s v="Praveen Kuruvalli"/>
    <s v="Dhruv Vyas"/>
    <n v="0"/>
  </r>
  <r>
    <n v="4267"/>
    <n v="20056112"/>
    <s v="Arpit Patel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Stores &amp; Warehouse"/>
    <s v="Stores &amp; Warehouse"/>
    <s v=""/>
    <s v="Non Technical Support"/>
    <s v=""/>
    <s v=""/>
    <s v=""/>
    <s v=""/>
    <s v="Hazira"/>
    <d v="1990-11-02T00:00:00"/>
    <s v="32.10"/>
    <d v="2021-11-01T00:00:00"/>
    <d v="2048-11-30T00:00:00"/>
    <m/>
    <d v="2048-11-30T00:00:00"/>
    <n v="9203"/>
    <s v=""/>
    <s v="Diploma-2011 , SSLC-2006"/>
    <s v=""/>
    <s v="01.10"/>
    <s v="01.10"/>
    <s v="00053278"/>
    <s v="GRN/Documentation/Issue - Plant A"/>
    <s v="264667"/>
    <s v="Engineer"/>
    <s v="Hazira"/>
    <s v="0031950049"/>
    <s v="HZ-Central Stores"/>
    <s v="2000HWO"/>
    <s v="20002587"/>
    <s v="Seema Mehta"/>
    <s v="No"/>
    <s v="arpit.patel2@amns.in"/>
    <s v="9909901723"/>
    <s v="792038"/>
    <s v="Dhruv Vyas"/>
    <s v="Anil Matoo"/>
    <s v="Praveen Kuruvalli"/>
    <s v="Dhruv Vyas"/>
    <n v="0"/>
  </r>
  <r>
    <n v="4285"/>
    <n v="20056133"/>
    <s v="Mukesh Kumar Agrawal"/>
    <s v="AM/NS India"/>
    <s v="Onroll"/>
    <s v="M-6"/>
    <n v="6"/>
    <m/>
    <s v="MM"/>
    <s v="M"/>
    <s v="Hazira"/>
    <n v="1"/>
    <s v="2162"/>
    <x v="18"/>
    <s v="33.01"/>
    <s v="Hrishikesh Kamat"/>
    <s v="Hrishikesh Kamat"/>
    <n v="7"/>
    <s v="Procurement"/>
    <s v="Shipping &amp; Chartering"/>
    <s v="33"/>
    <s v="Sr. Lead – Chartering"/>
    <m/>
    <s v="Shipping &amp; Chartering"/>
    <s v=""/>
    <s v=""/>
    <s v="Tech. Support Services"/>
    <s v="Commercial"/>
    <s v="Procurement"/>
    <s v="73803001"/>
    <s v="Procurement"/>
    <s v="AM/NS Hazira"/>
    <d v="1983-04-08T00:00:00"/>
    <s v="40.05"/>
    <d v="2021-11-18T00:00:00"/>
    <d v="2041-04-30T00:00:00"/>
    <m/>
    <d v="2041-04-30T00:00:00"/>
    <n v="6432"/>
    <s v="B+"/>
    <s v="PG Diploma-2012 , BSc-2010 , Diploma-200"/>
    <s v="13.09"/>
    <s v="01.10"/>
    <s v="15.06"/>
    <s v="70494731"/>
    <s v="Ports &amp; Chartering"/>
    <s v="264778"/>
    <s v="Sr. Lead – Chartering"/>
    <s v="Hazira"/>
    <s v="0031950062"/>
    <s v="Hz-Ports"/>
    <s v="2000HWO"/>
    <s v="20055075"/>
    <s v="Ashutosh Mathur"/>
    <s v="No"/>
    <s v="mukesh.agrawal@amns.in"/>
    <s v="9470152393"/>
    <s v="865525"/>
    <s v="Dhruv Vyas"/>
    <s v="Anil Matoo"/>
    <s v="Praveen Kuruvalli"/>
    <s v="Dhruv Vyas"/>
    <n v="0"/>
  </r>
  <r>
    <n v="4289"/>
    <n v="20056138"/>
    <s v="Vishal Gautam"/>
    <s v="AM/NS India"/>
    <s v="Onroll"/>
    <s v="M-9"/>
    <n v="9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Hypermart"/>
    <s v=""/>
    <s v="Non Technical Support"/>
    <s v="Sales &amp; Marketing"/>
    <s v="Sales"/>
    <s v="73104001"/>
    <s v="Sales"/>
    <s v="Jammu"/>
    <d v="1988-09-10T00:00:00"/>
    <s v="35.00"/>
    <d v="2021-11-18T00:00:00"/>
    <d v="2046-09-30T00:00:00"/>
    <m/>
    <d v="2046-09-30T00:00:00"/>
    <n v="8411"/>
    <s v="B+"/>
    <s v="MBA-2013 , BTech-2010 , Intermediate-200"/>
    <s v="08.04"/>
    <s v="01.10"/>
    <s v="10.02"/>
    <s v="00052526"/>
    <s v="Sales - North"/>
    <s v="266028"/>
    <s v="Sales Manager - Hypermart"/>
    <s v="Hypermart"/>
    <s v="0060121100"/>
    <s v="HMART-Jammu"/>
    <s v="2000SPRJ"/>
    <s v="20007322"/>
    <s v="Sanjay Bohra"/>
    <s v="No"/>
    <s v="vishal.gautam@amns.in"/>
    <s v="7341100804"/>
    <s v="867110"/>
    <s v="Dhruv Vyas"/>
    <s v="Anil Matoo"/>
    <s v="Praveen Kuruvalli"/>
    <s v="Dhruv Vyas"/>
    <n v="0"/>
  </r>
  <r>
    <n v="4297"/>
    <n v="20056146"/>
    <s v="Asvinbhai Sutarsandhiya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– Costing &amp; Budgeting"/>
    <m/>
    <s v="Performance Management"/>
    <s v="Performance Management"/>
    <s v=""/>
    <s v="Non Technical Support"/>
    <s v="Finance &amp; Accounts"/>
    <s v="Costing"/>
    <s v="73906001"/>
    <s v="Costing"/>
    <s v="AM/NS Hazira"/>
    <d v="1983-01-21T00:00:00"/>
    <s v="40.07"/>
    <d v="2021-12-06T00:00:00"/>
    <d v="2041-01-31T00:00:00"/>
    <m/>
    <d v="2041-01-31T00:00:00"/>
    <n v="6343"/>
    <s v="O+"/>
    <s v="Bachelor Equivalent-2006 , BCom-2003 , I"/>
    <s v="15.00"/>
    <s v="01.09"/>
    <s v="16.09"/>
    <s v="00045632"/>
    <s v="Costing &amp; Budgeting"/>
    <s v="266442"/>
    <s v="Sr. Lead – Costing &amp; Budgeting"/>
    <s v="Hazira"/>
    <s v="0031950043"/>
    <s v="HZ-Performance Manag"/>
    <s v="2000HWO"/>
    <s v="20003280"/>
    <s v="Chetan Jansari"/>
    <s v="No"/>
    <s v="asvin.sutarsandhiya@amns.in"/>
    <s v="9978808233"/>
    <s v="868218"/>
    <s v="Dhruv Vyas"/>
    <s v="Anil Matoo"/>
    <s v="Praveen Kuruvalli"/>
    <s v="Dhruv Vyas"/>
    <n v="0"/>
  </r>
  <r>
    <n v="4302"/>
    <n v="20056151"/>
    <s v="Sweta Jain"/>
    <s v="AM/NS India"/>
    <s v="Onroll"/>
    <s v="M-9"/>
    <n v="9"/>
    <m/>
    <s v="JM"/>
    <s v="F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Finance &amp; Accounts"/>
    <s v="Insurance &amp; Risk Management"/>
    <s v="73905001"/>
    <s v="Insurance &amp; Risk Managmen"/>
    <s v="AM/NS Hazira"/>
    <d v="1987-12-18T00:00:00"/>
    <s v="35.09"/>
    <d v="2021-12-01T00:00:00"/>
    <d v="2045-12-31T00:00:00"/>
    <m/>
    <d v="2045-12-31T00:00:00"/>
    <n v="8138"/>
    <s v="B+"/>
    <s v="CA Final-2012 , CS-2010 , BCom-2009 , In"/>
    <s v="06.10"/>
    <s v="01.09"/>
    <s v="08.07"/>
    <s v="00044330"/>
    <s v="Internal Audit - Hazira"/>
    <s v="266447"/>
    <s v="Lead - Internal Audit"/>
    <s v="Hazira"/>
    <s v="0090000035"/>
    <s v="Internal Audit"/>
    <s v="2000HWO"/>
    <s v="20028777"/>
    <s v="Narendra Dugar"/>
    <s v="No"/>
    <s v="sweta.jain@amns.in"/>
    <s v="8469584418"/>
    <s v="25135"/>
    <s v="Dhruv Vyas"/>
    <s v="Anil Matoo"/>
    <s v="Praveen Kuruvalli"/>
    <s v="Dhruv Vyas"/>
    <n v="0"/>
  </r>
  <r>
    <n v="4304"/>
    <n v="20056155"/>
    <s v="Kondapalli Venkateswarlu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– Technical Marketing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Noida"/>
    <d v="1972-06-16T00:00:00"/>
    <s v="51.03"/>
    <d v="2021-12-07T00:00:00"/>
    <d v="2030-06-30T00:00:00"/>
    <m/>
    <d v="2030-06-30T00:00:00"/>
    <n v="2475"/>
    <s v="B+"/>
    <s v="MTech-1999 , BTech-1996 , Diploma-1995 ,"/>
    <s v="23.06"/>
    <s v="01.09"/>
    <s v="25.03"/>
    <s v="00052460"/>
    <s v="Auto &amp; YG"/>
    <s v="266697"/>
    <s v="Section Head – Auto and YG"/>
    <s v="Corporate"/>
    <s v="0080000005"/>
    <s v="Global Markets Team"/>
    <s v="2000CS"/>
    <s v="20008508"/>
    <s v="Satyajit Mohapatra"/>
    <s v="No"/>
    <s v="venkat.kondapalli@amns.in"/>
    <s v="9560982229"/>
    <s v="2505"/>
    <s v="Dhruv Vyas"/>
    <s v="Anil Matoo"/>
    <s v="Praveen Kuruvalli"/>
    <s v="Dhruv Vyas"/>
    <n v="0"/>
  </r>
  <r>
    <n v="4305"/>
    <n v="20056156"/>
    <s v="Gayatri Patel"/>
    <s v="AM/NS India"/>
    <s v="Onroll"/>
    <s v="M-9"/>
    <n v="9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Lead - Post PO"/>
    <m/>
    <s v="Procurement MRO Hazira"/>
    <s v="Procurement"/>
    <s v=""/>
    <s v="Non Technical Support"/>
    <s v="Commercial"/>
    <s v="Procurement"/>
    <s v="73803001"/>
    <s v="Procurement"/>
    <s v="AM/NS Hazira"/>
    <d v="1975-05-05T00:00:00"/>
    <s v="48.04"/>
    <d v="2021-12-13T00:00:00"/>
    <d v="2033-05-31T00:00:00"/>
    <m/>
    <d v="2033-05-31T00:00:00"/>
    <n v="3541"/>
    <s v="B+"/>
    <s v="BCom-1996 , Intermediate-1992 , SSLC-199"/>
    <s v="10.01"/>
    <s v="01.09"/>
    <s v="11.09"/>
    <s v="72150383"/>
    <s v="Procurement (MRO/IP &amp; Consumable)"/>
    <s v="266695"/>
    <s v="Lead - Post PO"/>
    <s v="Hazira"/>
    <s v="0031950048"/>
    <s v="HZ-Procurment Depart"/>
    <s v="2000HWO"/>
    <s v="20000201"/>
    <s v="Manish Bakriwala"/>
    <s v="No"/>
    <s v="gayatri.patel@amns.in"/>
    <s v="8160962096"/>
    <s v="869494"/>
    <s v="Dhruv Vyas"/>
    <s v="Anil Matoo"/>
    <s v="Praveen Kuruvalli"/>
    <s v="Dhruv Vyas"/>
    <n v="0"/>
  </r>
  <r>
    <n v="4306"/>
    <n v="20056157"/>
    <s v="Sujit Kumar Mohanty"/>
    <s v="AM/NS India"/>
    <s v="Onroll"/>
    <s v="M-9"/>
    <n v="9"/>
    <m/>
    <s v="JM"/>
    <s v="M"/>
    <s v="Odisha"/>
    <n v="2"/>
    <s v="2095"/>
    <x v="4"/>
    <n v="36.01"/>
    <s v="Deepak Sindkar"/>
    <s v="Hrishikesh Kamat"/>
    <n v="7"/>
    <s v="Procurement"/>
    <s v="Raw Materials"/>
    <s v="36"/>
    <s v="Lead - Logistics, Beneficiation"/>
    <m/>
    <s v="Bulk Raw Materials"/>
    <s v="Raw Material"/>
    <s v=""/>
    <s v="Non Technical Support"/>
    <s v="Commercial"/>
    <s v="Procurement"/>
    <s v="73803001"/>
    <s v="Procurement"/>
    <s v="Dabuna"/>
    <d v="1982-07-07T00:00:00"/>
    <s v="41.02"/>
    <d v="2021-12-01T00:00:00"/>
    <d v="2040-07-31T00:00:00"/>
    <m/>
    <d v="2040-07-31T00:00:00"/>
    <n v="6159"/>
    <s v="O+"/>
    <s v="MBA-2017 , BA-2002 , Intermediate-1999 ,"/>
    <s v="17.02"/>
    <s v="01.09"/>
    <s v="18.11"/>
    <s v="70318846"/>
    <s v="Logistics &amp; Tailing Management"/>
    <s v="267037"/>
    <s v="Lead - Logistics, Beneficiation"/>
    <s v="Odisha"/>
    <s v="0022010019"/>
    <s v="DBN-Benf-HR/Admin"/>
    <s v="2000STORIS"/>
    <s v="20006499"/>
    <s v="Jaikishan Sharma"/>
    <s v="No"/>
    <s v="sujitkumar.mohanty@amns.in"/>
    <s v="8599008702"/>
    <s v="869498"/>
    <s v="Sunila Das"/>
    <s v="Anil Matoo"/>
    <s v="Praveen Kuruvalli"/>
    <s v="Sunila Das"/>
    <n v="0"/>
  </r>
  <r>
    <n v="4308"/>
    <n v="20056160"/>
    <s v="Sindha Kiransinh"/>
    <s v="AM/NS India"/>
    <s v="Onroll"/>
    <s v="M-9"/>
    <n v="9"/>
    <m/>
    <s v="JM"/>
    <s v="M"/>
    <s v="Hazira"/>
    <n v="1"/>
    <s v="2094"/>
    <x v="21"/>
    <s v="27.10"/>
    <s v="Vikas Chandra Yadvendu"/>
    <s v="Ashutosh Telang"/>
    <n v="6"/>
    <s v="HR &amp; Administration"/>
    <s v="Corporate SocialResponsibility"/>
    <s v="27"/>
    <s v="Lead - CSR Hazira"/>
    <m/>
    <s v=""/>
    <s v=""/>
    <s v=""/>
    <s v="Non Technical Support"/>
    <s v="Corporate Social Responsibility"/>
    <s v="Corporate Social Responsibility"/>
    <s v="75001001"/>
    <s v="Corporate Social Responsi"/>
    <s v="Hazira"/>
    <d v="1988-07-28T00:00:00"/>
    <s v="35.01"/>
    <d v="2021-12-16T00:00:00"/>
    <d v="2046-07-31T00:00:00"/>
    <m/>
    <d v="2046-07-31T00:00:00"/>
    <n v="8350"/>
    <s v="O+"/>
    <s v="LLM-2019 , LLB-2017 , MSW-2010 , BA-2008"/>
    <s v="09.01"/>
    <s v="01.09"/>
    <s v="10.09"/>
    <s v="70495661"/>
    <s v="Corporate Social Responsibility"/>
    <s v="267040"/>
    <s v="Lead - CSR Hazira"/>
    <s v="Hazira"/>
    <s v="0022030019"/>
    <s v="PDP-HR &amp; Admn"/>
    <s v="2000HWO"/>
    <s v="20055033"/>
    <s v="Vikas Chandra Yadvendu"/>
    <s v="No"/>
    <s v="kiransinh.sindha@amns.in"/>
    <s v="9998993472"/>
    <s v="869501"/>
    <s v="Dhruv Vyas"/>
    <s v="Anil Matoo"/>
    <s v="Praveen Kuruvalli"/>
    <s v="Dhruv Vyas"/>
    <n v="0"/>
  </r>
  <r>
    <n v="4311"/>
    <n v="20056164"/>
    <s v="Sukesh Kumar Jena"/>
    <s v="AM/NS India"/>
    <s v="Onroll"/>
    <s v="M-8"/>
    <n v="8"/>
    <m/>
    <s v="JM"/>
    <s v="M"/>
    <s v="Mining"/>
    <n v="8"/>
    <s v="2043"/>
    <x v="3"/>
    <s v="31.01"/>
    <s v="Hrishikesh Kamat"/>
    <s v="Hrishikesh Kamat"/>
    <n v="7"/>
    <s v="Procurement"/>
    <s v="Procurement"/>
    <s v="31"/>
    <s v="Sr. Lead - Procurement &amp; Contracts"/>
    <m/>
    <s v="Procurement &amp; Account"/>
    <s v="Procurement"/>
    <s v=""/>
    <s v="Non Technical Support"/>
    <s v="Operations"/>
    <s v="Operations"/>
    <s v="72103001"/>
    <s v="Operations"/>
    <s v="Barbil"/>
    <d v="1985-06-03T00:00:00"/>
    <s v="38.03"/>
    <d v="2021-12-09T00:00:00"/>
    <d v="2043-06-30T00:00:00"/>
    <m/>
    <d v="2043-06-30T00:00:00"/>
    <n v="7223"/>
    <s v="O+"/>
    <s v="PG Diploma-2019 , AMIE-2015 , Diploma-20"/>
    <s v="13.08"/>
    <s v="01.09"/>
    <s v="15.05"/>
    <s v="70407583"/>
    <s v="Procurement - Odisha Asset"/>
    <s v="267301"/>
    <s v="Sr. Lead - Procurement &amp; Contracts"/>
    <s v="Odisha"/>
    <s v="0011000018"/>
    <s v="Sagasahi Mine HR"/>
    <s v="2000STORIS"/>
    <s v="20055692"/>
    <s v="Rajiv Ranjan"/>
    <s v="No"/>
    <s v="sukesh.jena@amns.in"/>
    <s v="7978754748"/>
    <s v="869940"/>
    <s v="Pramod Sinha"/>
    <s v="Anil Matoo"/>
    <s v="Praveen Kuruvalli"/>
    <s v="Dhruv Vyas"/>
    <n v="0"/>
  </r>
  <r>
    <n v="4313"/>
    <n v="20056166"/>
    <s v="Sachin Dubal"/>
    <s v="AM/NS India"/>
    <s v="Onroll"/>
    <s v="M-9"/>
    <n v="9"/>
    <m/>
    <s v="J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Lead - Human Resource "/>
    <m/>
    <s v="Human Resources"/>
    <s v="Human Resources"/>
    <s v="Human Resources"/>
    <s v="Non Technical Support"/>
    <s v="Human Resources Management"/>
    <s v="Human Resources Management"/>
    <s v="73501001"/>
    <s v="Human Resources"/>
    <s v="Pune"/>
    <d v="1984-05-28T00:00:00"/>
    <s v="39.03"/>
    <d v="2021-12-24T00:00:00"/>
    <d v="2042-05-31T00:00:00"/>
    <m/>
    <d v="2042-05-31T00:00:00"/>
    <n v="6828"/>
    <s v="AB+"/>
    <s v="MSW-2010 , BCom-2005 , Intermediate-2002"/>
    <s v="10.03"/>
    <s v="01.08"/>
    <s v="12.00"/>
    <s v="00044376"/>
    <s v="Service Center &amp; Hypermart HR"/>
    <s v="267740"/>
    <s v="Lead - Human Resource"/>
    <s v="Service Center"/>
    <s v="0040020019"/>
    <s v="SC-Pune-Op1-HR-Admin"/>
    <s v="2000SPRJ"/>
    <s v="20057135"/>
    <s v="RAHUL RAJ"/>
    <s v="No"/>
    <s v="sachin.dubal@amns.in"/>
    <s v="09823559800"/>
    <s v="25463"/>
    <s v="Dhruv Vyas"/>
    <s v="Anil Matoo"/>
    <s v="Praveen Kuruvalli"/>
    <s v="Dhruv Vyas"/>
    <n v="0"/>
  </r>
  <r>
    <n v="4314"/>
    <n v="20056168"/>
    <s v="Debasis Swain"/>
    <s v="AM/NS India"/>
    <s v="Onroll"/>
    <s v="M-9"/>
    <n v="9"/>
    <m/>
    <s v="JM"/>
    <s v="M"/>
    <s v="Odisha"/>
    <n v="2"/>
    <s v="2094"/>
    <x v="21"/>
    <s v="27.10"/>
    <s v="Vikas Chandra Yadvendu"/>
    <s v="Ashutosh Telang"/>
    <n v="6"/>
    <s v="HR &amp; Administration"/>
    <s v="Corporate SocialResponsibility"/>
    <s v="27"/>
    <s v="Lead - CSR"/>
    <m/>
    <s v="Odisha Operations"/>
    <s v=""/>
    <s v=""/>
    <s v="Non Technical Support"/>
    <s v="Corporate Social Responsibility"/>
    <s v="Corporate Social Responsibility"/>
    <s v="75001001"/>
    <s v="Corporate Social Responsi"/>
    <s v="Paradeep"/>
    <d v="1980-03-23T00:00:00"/>
    <s v="43.05"/>
    <d v="2021-12-27T00:00:00"/>
    <d v="2038-03-31T00:00:00"/>
    <m/>
    <d v="2038-03-31T00:00:00"/>
    <n v="5306"/>
    <s v="AB+"/>
    <s v="MA-2005 , BA-2002 , Diploma-1999 , Inter"/>
    <s v="14.07"/>
    <s v="01.08"/>
    <s v="16.03"/>
    <s v="70495661"/>
    <s v="Corporate Social Responsibility"/>
    <s v="267748"/>
    <s v="Lead - CSR"/>
    <s v="Odisha"/>
    <s v="0022030019"/>
    <s v="PDP-HR &amp; Admn"/>
    <s v="2000STORIS"/>
    <s v="20055033"/>
    <s v="Vikas Chandra Yadvendu"/>
    <s v="No"/>
    <s v="debasis.swain@amns.in"/>
    <s v="9937332988"/>
    <s v="870752"/>
    <s v="Sunila Das"/>
    <s v="Anil Matoo"/>
    <s v="Praveen Kuruvalli"/>
    <s v="Sunila Das"/>
    <n v="0"/>
  </r>
  <r>
    <n v="4322"/>
    <n v="20056177"/>
    <s v="Manoj Kumar Nayak"/>
    <s v="AM/NS India"/>
    <s v="Onroll"/>
    <s v="M-9"/>
    <n v="9"/>
    <m/>
    <s v="JM"/>
    <s v="M"/>
    <s v="Mining"/>
    <n v="8"/>
    <s v="2013"/>
    <x v="0"/>
    <s v="20.01"/>
    <s v="Akiyo Omori"/>
    <s v="Amit Harlalka"/>
    <n v="5"/>
    <s v="Finance &amp; Accounts"/>
    <s v="Finance &amp; Accounts"/>
    <s v="20"/>
    <s v="Lead - Finance &amp; Accounts"/>
    <m/>
    <s v="Finance &amp; Accounts"/>
    <s v="Finance &amp; Accounts"/>
    <s v=""/>
    <s v="Non Technical Support"/>
    <s v="Commercial"/>
    <s v="Commercial"/>
    <s v="73801001"/>
    <s v="Commercial"/>
    <s v="Barbil"/>
    <d v="1988-04-20T00:00:00"/>
    <s v="35.05"/>
    <d v="2021-12-27T00:00:00"/>
    <d v="2046-04-30T00:00:00"/>
    <m/>
    <d v="2046-04-30T00:00:00"/>
    <n v="8258"/>
    <s v="O+"/>
    <s v="PG Diploma-2011 , BCom-2008 , Intermedia"/>
    <s v="09.05"/>
    <s v="01.08"/>
    <s v="11.02"/>
    <s v="00048985"/>
    <s v="Finance &amp; Accounting"/>
    <s v="268031"/>
    <s v="Lead - Finance &amp; Accounts"/>
    <s v="Odisha"/>
    <s v="0011000018"/>
    <s v="Sagasahi Mine HR"/>
    <s v="2000STORIS"/>
    <s v="20055720"/>
    <s v="Sambit Kumar Mohapatra"/>
    <s v="No"/>
    <s v="manoj.nayak@amns.in"/>
    <s v="9776062551"/>
    <s v="871258"/>
    <s v="Pramod Sinha"/>
    <s v="Anil Matoo"/>
    <s v="Praveen Kuruvalli"/>
    <s v="Pramod Sinha"/>
    <n v="0"/>
  </r>
  <r>
    <n v="4323"/>
    <n v="20056178"/>
    <s v="Aakansha Sinha"/>
    <s v="AM/NS India"/>
    <s v="Onroll"/>
    <s v="M-8"/>
    <n v="8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MT – HR"/>
    <m/>
    <s v="Human Resources"/>
    <s v=""/>
    <s v=""/>
    <s v="Non Technical Support"/>
    <s v="Human Resources Management"/>
    <s v="Human Resources Management"/>
    <s v="73501001"/>
    <s v="Human Resources"/>
    <s v="Hazira"/>
    <d v="1993-05-14T00:00:00"/>
    <s v="30.04"/>
    <d v="2022-01-04T00:00:00"/>
    <d v="2051-05-31T00:00:00"/>
    <m/>
    <d v="2051-05-31T00:00:00"/>
    <n v="10115"/>
    <s v="B+"/>
    <s v="MBA-2021 , BTech-2016 , Intermediate-201"/>
    <s v="03.00"/>
    <s v="01.08"/>
    <s v="04.09"/>
    <s v="70492872"/>
    <s v="Talent Management &amp; OD"/>
    <s v="268023"/>
    <s v="MT – HR"/>
    <s v="Corporate"/>
    <s v="0031950061"/>
    <s v="HZ-Human Resource"/>
    <s v="2000CS"/>
    <s v="20054232"/>
    <s v="Imran Mohammad"/>
    <s v="No"/>
    <s v="aakansha.sinha@amns.in"/>
    <s v="8976785837"/>
    <s v="871302"/>
    <s v="Dhruv Vyas"/>
    <s v="Anil Matoo"/>
    <s v="Praveen Kuruvalli"/>
    <s v="Dhruv Vyas"/>
    <n v="0"/>
  </r>
  <r>
    <n v="4327"/>
    <n v="20056185"/>
    <s v="Satish Kumar Charchi"/>
    <s v="AM/NS India"/>
    <s v="Onroll"/>
    <s v="M-8"/>
    <n v="8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Lead Costing &amp; Budgeting"/>
    <m/>
    <s v="Finance &amp; Accounts - Odisha"/>
    <s v="Finance &amp; Accounts"/>
    <s v=""/>
    <s v="Non Technical Support"/>
    <s v="Finance &amp; Accounts"/>
    <s v="Finance &amp; Accounts"/>
    <s v="73901001"/>
    <s v="Finance &amp; Accounts"/>
    <s v="Dabuna"/>
    <d v="1983-06-08T00:00:00"/>
    <s v="40.03"/>
    <d v="2022-01-03T00:00:00"/>
    <d v="2041-06-30T00:00:00"/>
    <m/>
    <d v="2041-06-30T00:00:00"/>
    <n v="6493"/>
    <s v="B+"/>
    <s v="MCom-2014 , BCom-2003 , Intermediate-200"/>
    <s v="17.02"/>
    <s v="01.08"/>
    <s v="18.10"/>
    <s v="70234933"/>
    <s v="Finance &amp; Accounts - Odisha"/>
    <s v="268035"/>
    <s v="Lead Costing &amp; Budgeting"/>
    <s v="Odisha"/>
    <s v="0022030019"/>
    <s v="PDP-HR &amp; Admn"/>
    <s v="2000STORIS"/>
    <s v="20055801"/>
    <s v="Sanjive Kumar Singh"/>
    <s v="No"/>
    <s v="satishkumar.charchi@amns.in"/>
    <s v="8340510261"/>
    <s v="871591"/>
    <s v="Sunila Das"/>
    <s v="Anil Matoo"/>
    <s v="Praveen Kuruvalli"/>
    <s v="Sunila Das"/>
    <n v="0"/>
  </r>
  <r>
    <n v="4332"/>
    <n v="20056191"/>
    <s v="Deepti Mahakud"/>
    <s v="AM/NS India"/>
    <s v="Onroll"/>
    <s v="M-10"/>
    <n v="10"/>
    <m/>
    <s v="JM"/>
    <s v="F"/>
    <s v="Pune Facility"/>
    <n v="4"/>
    <s v="2043"/>
    <x v="3"/>
    <s v="31.01"/>
    <s v="Hrishikesh Kamat"/>
    <s v="Hrishikesh Kamat"/>
    <n v="7"/>
    <s v="Procurement"/>
    <s v="Procurement"/>
    <s v="31"/>
    <s v="Lead - Procurement"/>
    <m/>
    <s v="Pune Operations"/>
    <s v=""/>
    <s v=""/>
    <s v="Non Technical Support"/>
    <s v="Commercial"/>
    <s v="Procurement"/>
    <s v="73803001"/>
    <s v="Procurement"/>
    <s v="Pune"/>
    <d v="1994-01-04T00:00:00"/>
    <s v="29.08"/>
    <d v="2022-01-05T00:00:00"/>
    <d v="2052-01-31T00:00:00"/>
    <m/>
    <d v="2052-01-31T00:00:00"/>
    <n v="10360"/>
    <s v="A+"/>
    <s v="BTech-2017 , Diploma-2013 , SSLC-2009"/>
    <s v="03.11"/>
    <s v="01.08"/>
    <s v="05.07"/>
    <s v="73800002"/>
    <s v="Procurement - Pune Asset"/>
    <s v="268668"/>
    <s v="Lead - Procurement"/>
    <s v="Pune Facility"/>
    <s v="0035950041"/>
    <s v="Pune-Procurement"/>
    <s v="2000ESPF"/>
    <s v="20006536"/>
    <s v="Mahesh Salunke"/>
    <s v="No"/>
    <s v="deepti.mahakud@amns.in"/>
    <s v="7894458192"/>
    <s v="872213"/>
    <s v="Roshan Farkunde"/>
    <s v="Anil Matoo"/>
    <n v="0"/>
    <s v="Surinder Choudhary"/>
    <s v="Robin Patel"/>
  </r>
  <r>
    <n v="4374"/>
    <n v="20056246"/>
    <s v="Soumitra Patnaik"/>
    <s v="AM/NS India"/>
    <s v="Onroll"/>
    <s v="M-4"/>
    <n v="4"/>
    <m/>
    <s v="SM"/>
    <s v="M"/>
    <s v="Odisha"/>
    <n v="2"/>
    <s v="2069"/>
    <x v="8"/>
    <s v="25.01"/>
    <s v="Bibek Chattopadhyay"/>
    <s v="Ashutosh Telang"/>
    <n v="6"/>
    <s v="HR &amp; Administration"/>
    <s v="Corporate Communications"/>
    <s v="25"/>
    <s v="Head  Corporate Communication, Odisha"/>
    <m/>
    <s v="Corporate Communication"/>
    <s v="Corporate Communication"/>
    <s v="Corporate Communication"/>
    <s v="Non Technical Support"/>
    <s v="Corporate Communication"/>
    <s v="Corporate Communication"/>
    <s v="74001001"/>
    <s v="Corporate Communication"/>
    <s v="Bhubaneswar"/>
    <d v="1969-01-14T00:00:00"/>
    <s v="54.08"/>
    <d v="2022-01-17T00:00:00"/>
    <d v="2027-01-31T00:00:00"/>
    <m/>
    <d v="2027-01-31T00:00:00"/>
    <n v="1229"/>
    <s v="O+"/>
    <s v="PG Diploma-1999 , MBA-1990 , BA-1987 , I"/>
    <s v="26.07"/>
    <s v="01.08"/>
    <s v="28.03"/>
    <s v="00046762"/>
    <s v="Communiation &amp; Media Relations Odisha"/>
    <s v="271590"/>
    <s v="Head  Corporate Communication"/>
    <s v="Odisha"/>
    <s v="0090000016"/>
    <s v="Corporate Steel - Co"/>
    <s v="2000STORIS"/>
    <s v="20055187"/>
    <s v="Bibek Chattopadhyay"/>
    <s v="No"/>
    <s v="soumitra.patnaik@amns.in"/>
    <s v="9937012643"/>
    <s v="876159"/>
    <s v="Sunila Das"/>
    <s v="Anil Matoo"/>
    <s v="Praveen Kuruvalli"/>
    <s v="Sunila Das"/>
    <n v="0"/>
  </r>
  <r>
    <n v="4375"/>
    <n v="20056247"/>
    <s v="Asit Samantaray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 Insurance"/>
    <m/>
    <s v="Risk &amp; Insurance"/>
    <s v="Risk &amp; Insurance"/>
    <s v=""/>
    <s v="Non Technical Support"/>
    <s v="Finance &amp; Accounts"/>
    <s v="Finance &amp; Accounts"/>
    <s v="73901001"/>
    <s v="Finance &amp; Accounts"/>
    <s v="AM/NS Hazira"/>
    <d v="1984-06-05T00:00:00"/>
    <s v="39.03"/>
    <d v="2022-01-17T00:00:00"/>
    <d v="2042-06-30T00:00:00"/>
    <m/>
    <d v="2042-06-30T00:00:00"/>
    <n v="6858"/>
    <s v="B+"/>
    <s v="PG Diploma-2011 , BE-2006 , Intermediate"/>
    <s v="12.06"/>
    <s v="01.08"/>
    <s v="14.02"/>
    <s v="70447071"/>
    <s v="Insurance &amp; Financial Risk"/>
    <s v="271587"/>
    <s v="Sr. Lead  Insurance"/>
    <s v="Hazira"/>
    <s v="0090000028"/>
    <s v="Corporate Steel - Wo"/>
    <s v="2000HWO"/>
    <s v="20017504"/>
    <s v="Appi Reddy Guttikonda"/>
    <s v="No"/>
    <s v="asit.samantaray@amns.in"/>
    <s v="8885299752"/>
    <s v="876251"/>
    <s v="Dhruv Vyas"/>
    <s v="Anil Matoo"/>
    <s v="Praveen Kuruvalli"/>
    <s v="Dhruv Vyas"/>
    <n v="0"/>
  </r>
  <r>
    <n v="4377"/>
    <n v="20056250"/>
    <s v="Nirmal Patel"/>
    <s v="AM/NS India"/>
    <s v="Onroll"/>
    <s v="M-9"/>
    <n v="9"/>
    <m/>
    <s v="JM"/>
    <s v="M"/>
    <s v="Hazira"/>
    <n v="1"/>
    <s v="2095"/>
    <x v="4"/>
    <n v="36.01"/>
    <s v="Deepak Sindkar"/>
    <s v="Hrishikesh Kamat"/>
    <n v="7"/>
    <s v="Procurement"/>
    <s v="Raw Materials"/>
    <s v="36"/>
    <s v="Lead Bulk Rawmaterial"/>
    <m/>
    <s v="Bulk Raw Materials"/>
    <s v="Power &amp; Gas"/>
    <s v=""/>
    <s v="Non Technical Support"/>
    <s v="Commercial"/>
    <s v="Procurement"/>
    <s v="73803001"/>
    <s v="Procurement"/>
    <s v="AM/NS Hazira"/>
    <d v="1993-05-08T00:00:00"/>
    <s v="30.04"/>
    <d v="2022-01-24T00:00:00"/>
    <d v="2051-05-31T00:00:00"/>
    <m/>
    <d v="2051-05-31T00:00:00"/>
    <n v="10115"/>
    <s v="B+"/>
    <s v="PG Diploma in Management-2020 , BE-2016"/>
    <s v="02.07"/>
    <s v="01.07"/>
    <s v="04.02"/>
    <s v="00045894"/>
    <s v="Blacks"/>
    <s v="271588"/>
    <s v="Lead Bulk Rawmaterial"/>
    <s v="Hazira"/>
    <s v="0031950048"/>
    <s v="HZ-Procurment Depart"/>
    <s v="2000HWO"/>
    <s v="20001577"/>
    <s v="Prakash Thakur"/>
    <s v="No"/>
    <s v="nirmal.patel@amns.in"/>
    <s v="9067007922"/>
    <s v="876287"/>
    <s v="Dhruv Vyas"/>
    <s v="Anil Matoo"/>
    <s v="Praveen Kuruvalli"/>
    <s v="Dhruv Vyas"/>
    <n v="0"/>
  </r>
  <r>
    <n v="4383"/>
    <n v="20056258"/>
    <s v="Dhwanil Dave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 Capex Procurement"/>
    <m/>
    <s v="Procurement MRO Hazira"/>
    <s v="Procurement"/>
    <s v=""/>
    <s v="Non Technical Support"/>
    <s v="Operations"/>
    <s v="Operations"/>
    <s v="72103001"/>
    <s v="Operations"/>
    <s v="Hazira"/>
    <d v="1996-10-18T00:00:00"/>
    <s v="26.11"/>
    <d v="2022-01-31T00:00:00"/>
    <d v="2054-10-31T00:00:00"/>
    <m/>
    <d v="2054-10-31T00:00:00"/>
    <n v="11364"/>
    <s v="B+"/>
    <s v="MSc-2019 , BE-2018 , Diploma-2015 , SSLC"/>
    <s v="01.11"/>
    <s v="01.07"/>
    <s v="03.06"/>
    <s v="00049359"/>
    <s v="Capex Services"/>
    <s v="271599"/>
    <s v="Officer  Capex Procurement"/>
    <s v="Hazira"/>
    <s v="0031950059"/>
    <s v="HZ-Hazira Project"/>
    <s v="2000HWO"/>
    <s v="20055446"/>
    <s v="Chitrang Rana"/>
    <s v="No"/>
    <s v="dhwanil.dave@amns.in"/>
    <s v="9429486865"/>
    <s v="876961"/>
    <s v="Dhruv Vyas"/>
    <s v="Anil Matoo"/>
    <s v="Praveen Kuruvalli"/>
    <s v="Dhruv Vyas"/>
    <n v="0"/>
  </r>
  <r>
    <n v="4389"/>
    <n v="20056268"/>
    <s v="Bhavsar Shalini Ishan"/>
    <s v="AM/NS India"/>
    <s v="Onroll"/>
    <s v="M-11"/>
    <n v="11"/>
    <m/>
    <s v="JM"/>
    <s v="F"/>
    <s v="Hazira"/>
    <n v="1"/>
    <s v="2023"/>
    <x v="6"/>
    <s v="24.08"/>
    <s v="Anil Matoo"/>
    <s v="Ashutosh Telang"/>
    <n v="6"/>
    <s v="HR &amp; Administration"/>
    <s v="Administration"/>
    <s v="24"/>
    <s v="Executive  Admin"/>
    <m/>
    <s v=""/>
    <s v=""/>
    <s v=""/>
    <s v="Non Technical Support"/>
    <s v="Corporate Relations"/>
    <s v="Corporate Affairs"/>
    <s v="74501001"/>
    <s v="Corporate Affairs"/>
    <s v="Ahmedabad"/>
    <d v="1996-01-15T00:00:00"/>
    <s v="27.08"/>
    <d v="2022-02-03T00:00:00"/>
    <d v="2054-01-31T00:00:00"/>
    <m/>
    <d v="2054-01-31T00:00:00"/>
    <n v="11091"/>
    <s v="O+"/>
    <s v="BSc-2018 , Intermediate-2015 , SSLC-2013"/>
    <s v="01.06"/>
    <s v="01.07"/>
    <s v="03.01"/>
    <s v="00049721"/>
    <s v="Regional &amp; Corporate offices"/>
    <s v="271604"/>
    <s v="Executive  Admin"/>
    <s v="Hazira"/>
    <s v="0090000016"/>
    <s v="Corporate Steel - Co"/>
    <s v="2000HWO"/>
    <s v="20057888"/>
    <s v="Narinder Lamba"/>
    <s v="No"/>
    <s v="shalini.bhavsar@amns.in"/>
    <s v="6358942196"/>
    <s v="877136"/>
    <s v="Dhruv Vyas"/>
    <s v="Anil Matoo"/>
    <s v="Praveen Kuruvalli"/>
    <s v="Dhruv Vyas"/>
    <n v="0"/>
  </r>
  <r>
    <n v="4391"/>
    <n v="20056270"/>
    <s v="Shubham Bhartiya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 Capex Finance"/>
    <m/>
    <s v="Capex Finance"/>
    <s v="Capex Finance"/>
    <s v=""/>
    <s v="Non Technical Support"/>
    <s v="Finance &amp; Accounts"/>
    <s v="Costing"/>
    <s v="73906001"/>
    <s v="Costing"/>
    <s v="AM/NS Hazira"/>
    <d v="1994-04-04T00:00:00"/>
    <s v="29.05"/>
    <d v="2022-01-28T00:00:00"/>
    <d v="2052-04-30T00:00:00"/>
    <m/>
    <d v="2052-04-30T00:00:00"/>
    <n v="10450"/>
    <s v="O+"/>
    <s v="CA Final-2019 , BCom-2015 , Intermediate"/>
    <s v="02.07"/>
    <s v="01.07"/>
    <s v="04.02"/>
    <s v="00045912"/>
    <s v="Capex - Finance"/>
    <s v="271589"/>
    <s v="Lead  Capex Finance"/>
    <s v="Hazira"/>
    <s v="0090000038"/>
    <s v="CAPEX FINANCE"/>
    <s v="2000HWO"/>
    <s v="20055590"/>
    <s v="Mehul Thakkar"/>
    <s v="No"/>
    <s v="shubham.bhartiya@amns.in"/>
    <s v="9038874943"/>
    <s v="877306"/>
    <s v="Dhruv Vyas"/>
    <s v="Anil Matoo"/>
    <s v="Praveen Kuruvalli"/>
    <s v="Dhruv Vyas"/>
    <n v="0"/>
  </r>
  <r>
    <n v="4395"/>
    <n v="20056274"/>
    <s v="Priya Jha"/>
    <s v="AM/NS India"/>
    <s v="Onroll"/>
    <s v="M-9"/>
    <n v="9"/>
    <m/>
    <s v="JM"/>
    <s v="F"/>
    <s v="Odisha"/>
    <n v="2"/>
    <s v="2015"/>
    <x v="1"/>
    <s v="22.06"/>
    <s v="Praveen Kuruvalli"/>
    <s v="Ashutosh Telang"/>
    <n v="6"/>
    <s v="HR &amp; Administration"/>
    <s v="Human Resources"/>
    <s v="22"/>
    <s v="Lead  Human Resources"/>
    <m/>
    <s v="Human Resources"/>
    <s v=""/>
    <s v=""/>
    <s v="Non Technical Support"/>
    <s v="Human Resources Management"/>
    <s v="Human Resources Management"/>
    <s v="73501002"/>
    <s v="Human Resources Operation"/>
    <s v="Bhubaneswar"/>
    <d v="1994-10-10T00:00:00"/>
    <s v="28.11"/>
    <d v="2022-02-15T00:00:00"/>
    <d v="2052-10-31T00:00:00"/>
    <m/>
    <d v="2052-10-31T00:00:00"/>
    <n v="10634"/>
    <s v="A+"/>
    <s v="PG Diploma-2019 , BCom-2017 , Intermedia"/>
    <s v="02.11"/>
    <s v="01.07"/>
    <s v="04.06"/>
    <s v="70495430"/>
    <s v="Odisha HR Operations"/>
    <s v="272214"/>
    <s v="Lead  Human Resources"/>
    <s v="Odisha"/>
    <s v="0022030019"/>
    <s v="PDP-HR &amp; Admn"/>
    <s v="2000STORIS"/>
    <s v="20055611"/>
    <s v="Sunila Kumar Das"/>
    <s v="No"/>
    <s v="priya.jha@amns.in"/>
    <s v="6287877667"/>
    <s v="877691"/>
    <s v="Sunila Das"/>
    <s v="Anil Matoo"/>
    <s v="Praveen Kuruvalli"/>
    <s v="Sunila Das"/>
    <n v="0"/>
  </r>
  <r>
    <n v="4398"/>
    <n v="20056279"/>
    <s v="Arun G"/>
    <s v="AM/NS India"/>
    <s v="Onroll"/>
    <s v="M-6"/>
    <n v="6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Leader KAM Hypermart"/>
    <m/>
    <s v="South"/>
    <s v="Hypermart"/>
    <s v=""/>
    <s v="Non Technical Support"/>
    <s v="Sales &amp; Marketing"/>
    <s v="Sales"/>
    <s v="73104003"/>
    <s v="Retail Sales"/>
    <s v="Chennai"/>
    <d v="1983-05-04T00:00:00"/>
    <s v="40.04"/>
    <d v="2022-02-21T00:00:00"/>
    <d v="2041-05-31T00:00:00"/>
    <m/>
    <d v="2041-05-31T00:00:00"/>
    <n v="6463"/>
    <s v="O+"/>
    <s v="BE-2006 , Intermediate-2001 , SSLC-1999"/>
    <s v="15.11"/>
    <s v="01.06"/>
    <s v="17.06"/>
    <s v="00048814"/>
    <s v="Sales South Zone – Hypermart"/>
    <s v="272207"/>
    <s v="Business Leader - Hypermart"/>
    <s v="Hypermart"/>
    <s v="0060140100"/>
    <s v="HMART-South Zone"/>
    <s v="2000SRET"/>
    <s v="20000909"/>
    <s v="Murali Krishna Chunduru"/>
    <s v="No"/>
    <s v="arun.g@amns.in"/>
    <s v="9686320755"/>
    <s v="877776"/>
    <s v="Dhruv Vyas"/>
    <s v="Anil Matoo"/>
    <s v="Praveen Kuruvalli"/>
    <s v="Dhruv Vyas"/>
    <n v="0"/>
  </r>
  <r>
    <n v="4399"/>
    <n v="20056280"/>
    <s v="Varun Sharma"/>
    <s v="AM/NS India"/>
    <s v="Onroll"/>
    <s v="M-9"/>
    <n v="9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 Manager"/>
    <m/>
    <s v="North"/>
    <s v="Hypermart"/>
    <s v=""/>
    <s v="Non Technical Support"/>
    <s v="Sales &amp; Marketing"/>
    <s v="Marketing"/>
    <s v="73102001"/>
    <s v="Marketing"/>
    <s v="Ludhiana"/>
    <d v="1998-05-26T00:00:00"/>
    <s v="25.03"/>
    <d v="2022-02-10T00:00:00"/>
    <d v="2056-05-31T00:00:00"/>
    <m/>
    <d v="2056-05-31T00:00:00"/>
    <n v="11942"/>
    <s v="AB+"/>
    <s v="MBA-2020 , BCom-2018 , Intermediate-2015"/>
    <s v="00.06"/>
    <s v="01.07"/>
    <s v="02.01"/>
    <s v="00052526"/>
    <s v="Sales - North"/>
    <s v="272211"/>
    <s v="Sales Manager - Hypermart"/>
    <s v="Hypermart"/>
    <s v="0080000006"/>
    <s v="Secondary Sales - In"/>
    <s v="2000SRET"/>
    <s v="20007322"/>
    <s v="Sanjay Bohra"/>
    <s v="No"/>
    <s v="varun.sharma@amns.in"/>
    <s v="8847638042"/>
    <s v="877777"/>
    <s v="Dhruv Vyas"/>
    <s v="Anil Matoo"/>
    <s v="Praveen Kuruvalli"/>
    <s v="Dhruv Vyas"/>
    <n v="0"/>
  </r>
  <r>
    <n v="4404"/>
    <n v="20056287"/>
    <s v="Annapurna Kolluru"/>
    <s v="AM/NS India"/>
    <s v="Onroll"/>
    <s v="M-10"/>
    <n v="10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Officer - Capex Services"/>
    <m/>
    <s v="Capex Procurement"/>
    <s v="Procurement"/>
    <s v=""/>
    <s v="Non Technical Support"/>
    <s v="Operations"/>
    <s v="Operations"/>
    <s v="72103001"/>
    <s v="Operations"/>
    <s v="Hazira"/>
    <d v="1980-05-25T00:00:00"/>
    <s v="43.03"/>
    <d v="2022-02-15T00:00:00"/>
    <d v="2038-05-31T00:00:00"/>
    <m/>
    <d v="2038-05-31T00:00:00"/>
    <n v="5367"/>
    <s v="O-"/>
    <s v="BTech-2001 , Intermediate-1997 , SSLC-19"/>
    <s v="11.08"/>
    <s v="01.07"/>
    <s v="13.02"/>
    <s v="00049359"/>
    <s v="Capex Services"/>
    <s v="272363"/>
    <s v="Officer - Capex Services"/>
    <s v="Hazira"/>
    <s v="0031950059"/>
    <s v="HZ-Hazira Project"/>
    <s v="2000HWO"/>
    <s v="20055446"/>
    <s v="Chitrang Rana"/>
    <s v="No"/>
    <s v="annapurna.kolluru@amns.in"/>
    <s v="9879103433"/>
    <s v="810272"/>
    <s v="Dhruv Vyas"/>
    <s v="Anil Matoo"/>
    <s v="Praveen Kuruvalli"/>
    <s v="Dhruv Vyas"/>
    <n v="0"/>
  </r>
  <r>
    <n v="4405"/>
    <n v="20056289"/>
    <s v="Harshneelsinh Jadeja"/>
    <s v="AM/NS India"/>
    <s v="Onroll"/>
    <s v="M-8"/>
    <n v="8"/>
    <m/>
    <s v="JM"/>
    <s v="M"/>
    <s v="Hazira"/>
    <n v="1"/>
    <s v="2015"/>
    <x v="1"/>
    <s v="22.06"/>
    <s v="Praveen Kuruvalli"/>
    <s v="Ashutosh Telang"/>
    <n v="6"/>
    <s v="HR &amp; Administration"/>
    <s v="Human Resources"/>
    <s v="22"/>
    <s v="Lead - Talent Management &amp; OD"/>
    <m/>
    <s v="Human Resources"/>
    <s v=""/>
    <s v=""/>
    <s v="Non Technical Support"/>
    <s v="Human Resources Management"/>
    <s v="Human Resources Management"/>
    <s v="73501002"/>
    <s v="Human Resources Operation"/>
    <s v="AM/NS Hazira"/>
    <d v="1991-11-27T00:00:00"/>
    <s v="31.09"/>
    <d v="2022-02-16T00:00:00"/>
    <d v="2049-11-30T00:00:00"/>
    <m/>
    <d v="2049-11-30T00:00:00"/>
    <n v="9568"/>
    <s v="B+"/>
    <s v="MBA-2018 , BTech-2013 , Intermediate-200"/>
    <s v="05.09"/>
    <s v="01.07"/>
    <s v="07.03"/>
    <s v="70492872"/>
    <s v="Talent Management &amp; OD"/>
    <s v="272365"/>
    <s v="Lead - Talent Management &amp; OD"/>
    <s v="Hazira"/>
    <s v="0031950061"/>
    <s v="HZ-Human Resource"/>
    <s v="2000HWO"/>
    <s v="20054232"/>
    <s v="Imran Mohammad"/>
    <s v="No"/>
    <s v="harshneel.jadeja@amns.in"/>
    <s v="9638302705"/>
    <s v="878002"/>
    <s v="Dhruv Vyas"/>
    <s v="Anil Matoo"/>
    <s v="Praveen Kuruvalli"/>
    <s v="Dhruv Vyas"/>
    <n v="0"/>
  </r>
  <r>
    <n v="4406"/>
    <n v="20056292"/>
    <s v="Amit Basak"/>
    <s v="AM/NS India"/>
    <s v="Onroll"/>
    <s v="M-7"/>
    <n v="7"/>
    <m/>
    <s v="MM"/>
    <s v="M"/>
    <s v="Odisha"/>
    <n v="2"/>
    <s v="2043"/>
    <x v="3"/>
    <s v="31.01"/>
    <s v="Hrishikesh Kamat"/>
    <s v="Hrishikesh Kamat"/>
    <n v="7"/>
    <s v="Procurement"/>
    <s v="Procurement"/>
    <s v="31"/>
    <s v="Lead Procurement"/>
    <m/>
    <s v="Procurement"/>
    <s v="Procurement"/>
    <s v=""/>
    <s v="Non Technical Support"/>
    <s v="Commercial"/>
    <s v="Purchase"/>
    <s v="73804001"/>
    <s v="Purchase"/>
    <s v="Paradeep"/>
    <d v="1986-12-28T00:00:00"/>
    <s v="36.08"/>
    <d v="2022-02-21T00:00:00"/>
    <d v="2044-12-31T00:00:00"/>
    <m/>
    <d v="2044-12-31T00:00:00"/>
    <n v="7773"/>
    <s v="O+"/>
    <s v="BTech-2008 , Intermediate-2004 , SSLC-20"/>
    <s v="13.07"/>
    <s v="01.06"/>
    <s v="15.02"/>
    <s v="70407583"/>
    <s v="Procurement - Odisha Asset"/>
    <s v="272445"/>
    <s v="Lead Procurement"/>
    <s v="Odisha"/>
    <s v="0022030019"/>
    <s v="PDP-HR &amp; Admn"/>
    <s v="2000STORIS"/>
    <s v="20055692"/>
    <s v="Rajiv Ranjan"/>
    <s v="No"/>
    <s v="amit.basak@amns.in"/>
    <s v="9162725067"/>
    <s v="878329"/>
    <s v="Sunila Das"/>
    <s v="Anil Matoo"/>
    <s v="Praveen Kuruvalli"/>
    <s v="Sunila Das"/>
    <n v="0"/>
  </r>
  <r>
    <n v="4409"/>
    <n v="20056295"/>
    <s v="Ravibhai Vinubhai Lathiya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Officer"/>
    <m/>
    <s v="Stores &amp; Warehouse"/>
    <s v="Stores &amp; Warehouse"/>
    <s v=""/>
    <s v="Non Technical Support"/>
    <s v="Commercial"/>
    <s v="Stores &amp; Warehouse"/>
    <s v="73806001"/>
    <s v="Stores &amp; Warehouse"/>
    <s v="Hazira"/>
    <d v="1992-09-28T00:00:00"/>
    <s v="30.11"/>
    <d v="2022-02-21T00:00:00"/>
    <d v="2050-09-30T00:00:00"/>
    <m/>
    <d v="2050-09-30T00:00:00"/>
    <n v="9872"/>
    <s v="AB+"/>
    <s v="BE-2014 , Intermediate-2010 , SSLC-2008"/>
    <s v="06.01"/>
    <s v="01.06"/>
    <s v="07.07"/>
    <s v="00044541"/>
    <s v="HRC Store - Receipt"/>
    <s v="272448"/>
    <s v="Section Officer"/>
    <s v="Hazira"/>
    <s v="0031950049"/>
    <s v="HZ-Central Stores"/>
    <s v="2000HWO"/>
    <s v="20005047"/>
    <s v="Rajeev Jha"/>
    <s v="No"/>
    <s v="ravi.lathiya@amns.in"/>
    <s v="6358913620"/>
    <s v="878338"/>
    <s v="Dhruv Vyas"/>
    <s v="Anil Matoo"/>
    <s v="Praveen Kuruvalli"/>
    <s v="Dhruv Vyas"/>
    <n v="0"/>
  </r>
  <r>
    <n v="4413"/>
    <n v="20056300"/>
    <s v="Sumit Khamgaonkar"/>
    <s v="AM/NS India"/>
    <s v="Onroll"/>
    <s v="M-9"/>
    <n v="9"/>
    <m/>
    <s v="JM"/>
    <s v="M"/>
    <s v="Service Centers"/>
    <n v="6"/>
    <s v="2043"/>
    <x v="3"/>
    <s v="31.01"/>
    <s v="Hrishikesh Kamat"/>
    <s v="Hrishikesh Kamat"/>
    <n v="7"/>
    <s v="Procurement"/>
    <s v="Procurement"/>
    <s v="31"/>
    <s v="Lead Procurement"/>
    <m/>
    <s v="Procurement Service Centre"/>
    <s v="Procurement Service Centre"/>
    <s v="Procurement Service Centre"/>
    <s v="Non Technical Support"/>
    <s v="Operations"/>
    <s v="Plant Operations"/>
    <s v="72103003"/>
    <s v="Plant Operations"/>
    <s v="Pune"/>
    <d v="1995-11-19T00:00:00"/>
    <s v="27.09"/>
    <d v="2022-02-16T00:00:00"/>
    <d v="2053-11-30T00:00:00"/>
    <m/>
    <d v="2053-11-30T00:00:00"/>
    <n v="11029"/>
    <s v="B+"/>
    <s v="BE-2017 , Diploma-2014 , SSLC-2011"/>
    <s v="04.07"/>
    <s v="01.07"/>
    <s v="06.02"/>
    <s v="70413444"/>
    <s v="Purchase &amp; Contracts"/>
    <s v="272452"/>
    <s v="Lead Procurement"/>
    <s v="Service Center"/>
    <s v="0040020019"/>
    <s v="SC-Pune-Op1-HR-Admin"/>
    <s v="2000SPRJ"/>
    <s v="20052588"/>
    <s v="Govindraju Sampathirao"/>
    <s v="No"/>
    <s v="sumeet.khamgaonkar@amns.in"/>
    <s v="8482937013"/>
    <s v="878521"/>
    <s v="Dhruv Vyas"/>
    <s v="Anil Matoo"/>
    <s v="Praveen Kuruvalli"/>
    <s v="Dhruv Vyas"/>
    <n v="0"/>
  </r>
  <r>
    <n v="4415"/>
    <n v="20056302"/>
    <s v="Chintan Sangani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Expediting"/>
    <m/>
    <s v="Procurement MRO Hazira"/>
    <s v="Procurement"/>
    <s v=""/>
    <s v="Non Technical Support"/>
    <s v="Operations"/>
    <s v="Operations"/>
    <s v="72103001"/>
    <s v="Operations"/>
    <s v="Hazira"/>
    <d v="1981-03-08T00:00:00"/>
    <s v="42.06"/>
    <d v="2022-02-21T00:00:00"/>
    <d v="2039-03-31T00:00:00"/>
    <m/>
    <d v="2039-03-31T00:00:00"/>
    <n v="5671"/>
    <s v="O+"/>
    <s v="BE-2002 , Intermediate-1998 , SSLC-1996"/>
    <s v="14.09"/>
    <s v="01.06"/>
    <s v="16.04"/>
    <s v="00049335"/>
    <s v="Capex Procurement - Expediting"/>
    <s v="272454"/>
    <s v="Sr. Lead Expediting"/>
    <s v="Hazira"/>
    <s v="0031950059"/>
    <s v="HZ-Hazira Project"/>
    <s v="2000HWO"/>
    <s v="20057413"/>
    <s v="Vipin Toshniwal"/>
    <s v="No"/>
    <s v="chintan.sangani@amns.in"/>
    <s v="8799382299"/>
    <s v="878488"/>
    <s v="Dhruv Vyas"/>
    <s v="Anil Matoo"/>
    <s v="Praveen Kuruvalli"/>
    <s v="Dhruv Vyas"/>
    <n v="0"/>
  </r>
  <r>
    <n v="4425"/>
    <n v="20056313"/>
    <s v="Gaurav Chudasam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Performance Management"/>
    <m/>
    <s v="Performance Management"/>
    <s v="Performance Management"/>
    <s v=""/>
    <s v="Non Technical Support"/>
    <s v="Finance &amp; Accounts"/>
    <s v="Costing"/>
    <s v="73906001"/>
    <s v="Costing"/>
    <s v="AM/NS Hazira"/>
    <d v="1990-09-04T00:00:00"/>
    <s v="33.00"/>
    <d v="2022-02-25T00:00:00"/>
    <d v="2048-09-30T00:00:00"/>
    <m/>
    <d v="2048-09-30T00:00:00"/>
    <n v="9142"/>
    <s v="B+"/>
    <s v="BE-2012 , Intermediate-2008 , SSLC-2006"/>
    <s v="09.08"/>
    <s v="01.06"/>
    <s v="11.02"/>
    <s v="00045632"/>
    <s v="Costing &amp; Budgeting"/>
    <s v="272885"/>
    <s v="Lead - Performance Management"/>
    <s v="Hazira"/>
    <s v="0031950043"/>
    <s v="HZ-Performance Manag"/>
    <s v="2000HWO"/>
    <s v="20056146"/>
    <s v="Asvinbhai Sutarsandhiya"/>
    <s v="No"/>
    <s v="gaurav.chudasama@amns.in"/>
    <s v="9662793836"/>
    <s v="880578"/>
    <s v="Dhruv Vyas"/>
    <s v="Anil Matoo"/>
    <s v="Praveen Kuruvalli"/>
    <s v="Dhruv Vyas"/>
    <n v="0"/>
  </r>
  <r>
    <n v="4435"/>
    <n v="20056324"/>
    <s v="Meet Smart"/>
    <s v="AM/NS India"/>
    <s v="Onroll"/>
    <s v="M-10"/>
    <n v="10"/>
    <m/>
    <s v="JM"/>
    <s v="M"/>
    <s v="Hazira"/>
    <n v="1"/>
    <s v="2069"/>
    <x v="8"/>
    <s v="25.01"/>
    <s v="Bibek Chattopadhyay"/>
    <s v="Ashutosh Telang"/>
    <n v="6"/>
    <s v="HR &amp; Administration"/>
    <s v="Corporate Communications"/>
    <s v="25"/>
    <s v="Public Relation Officer"/>
    <m/>
    <s v="Corporate Communication"/>
    <s v=""/>
    <s v=""/>
    <s v="Non Technical Support"/>
    <s v="Corporate Communication"/>
    <s v="Corporate Communication"/>
    <s v="74001001"/>
    <s v="Corporate Communication"/>
    <s v="AM/NS Hazira"/>
    <d v="1994-01-01T00:00:00"/>
    <s v="29.08"/>
    <d v="2022-03-07T00:00:00"/>
    <d v="2051-12-31T00:00:00"/>
    <m/>
    <d v="2051-12-31T00:00:00"/>
    <n v="10329"/>
    <s v="B+"/>
    <s v="MA-2016 , BCom-2014 , Intermediate-2011"/>
    <s v="05.10"/>
    <s v="01.06"/>
    <s v="07.04"/>
    <s v="00047290"/>
    <s v="Communication Gujrat"/>
    <s v="273386"/>
    <s v="Public Relation Officer"/>
    <s v="Hazira"/>
    <s v="0090000016"/>
    <s v="Corporate Steel - Co"/>
    <s v="2000HWO"/>
    <s v="20056083"/>
    <s v="Neeraj Sharma"/>
    <s v="No"/>
    <s v="meet.smart@amns.in"/>
    <s v="6358913654"/>
    <s v="881632"/>
    <s v="Dhruv Vyas"/>
    <s v="Anil Matoo"/>
    <s v="Praveen Kuruvalli"/>
    <s v="Dhruv Vyas"/>
    <n v="0"/>
  </r>
  <r>
    <n v="4437"/>
    <n v="20056327"/>
    <s v="Aishwarya Singhi"/>
    <s v="AM/NS India"/>
    <s v="Onroll"/>
    <s v="M-7"/>
    <n v="7"/>
    <m/>
    <s v="MM"/>
    <s v="F"/>
    <s v="Hazira"/>
    <n v="1"/>
    <s v="2013"/>
    <x v="0"/>
    <s v="20.01"/>
    <s v="Akiyo Omori"/>
    <s v="Amit Harlalka"/>
    <n v="5"/>
    <s v="Finance &amp; Accounts"/>
    <s v="Finance &amp; Accounts"/>
    <s v="20"/>
    <s v="Lead Indirect Tax"/>
    <m/>
    <s v="Taxation"/>
    <s v="In Direct - Taxation"/>
    <s v=""/>
    <s v="Non Technical Support"/>
    <s v="Finance &amp; Accounts"/>
    <s v="Taxation"/>
    <s v="73904002"/>
    <s v="Indirect Taxation"/>
    <s v="AM/NS Hazira"/>
    <d v="1995-10-12T00:00:00"/>
    <s v="27.11"/>
    <d v="2022-03-07T00:00:00"/>
    <d v="2053-10-31T00:00:00"/>
    <m/>
    <d v="2053-10-31T00:00:00"/>
    <n v="10999"/>
    <s v="B+"/>
    <s v="CA Final-2018 , BCom-2016 , Intermediate"/>
    <s v="03.00"/>
    <s v="01.06"/>
    <s v="04.06"/>
    <s v="70282653"/>
    <s v="GST"/>
    <s v="70258426"/>
    <s v="Lead Indirect Tax"/>
    <s v="Hazira"/>
    <s v="0090000033"/>
    <s v="Corporate Taxation"/>
    <s v="2000HWO"/>
    <s v="20055962"/>
    <s v="Navin Kewalramani"/>
    <s v="No"/>
    <s v="aishwarya.singhi@amns.in"/>
    <s v="9903582010"/>
    <s v="882357"/>
    <s v="Dhruv Vyas"/>
    <s v="Anil Matoo"/>
    <s v="Praveen Kuruvalli"/>
    <s v="Dhruv Vyas"/>
    <n v="0"/>
  </r>
  <r>
    <n v="4442"/>
    <n v="20056333"/>
    <s v="Gonnakuti Shashank Naidu"/>
    <s v="AM/NS Middle East FZE"/>
    <s v="Onroll"/>
    <s v="M-9"/>
    <n v="9"/>
    <m/>
    <s v="JM"/>
    <s v="M"/>
    <s v="Dubai"/>
    <n v="10"/>
    <s v="2502"/>
    <x v="10"/>
    <s v="14.01"/>
    <s v="Ranjan Dhar"/>
    <s v="Alain Legrix De La Salle"/>
    <n v="3"/>
    <s v="Sales &amp; Marketing"/>
    <s v="Sales &amp; Marketing"/>
    <s v="14"/>
    <s v="Lead Sales"/>
    <m/>
    <s v="Sales ME"/>
    <s v="Sales ME"/>
    <s v=""/>
    <s v=""/>
    <s v="Sales &amp; Marketing"/>
    <s v="Sales &amp; Marketing"/>
    <s v="73101001"/>
    <s v="Sales &amp; Marketing"/>
    <s v="Dubai"/>
    <d v="1990-10-01T00:00:00"/>
    <s v="32.11"/>
    <d v="2022-03-14T00:00:00"/>
    <d v="2048-09-30T00:00:00"/>
    <m/>
    <d v="2048-09-30T00:00:00"/>
    <n v="9142"/>
    <s v="B+"/>
    <s v="MBA-2015 , BCom-2012"/>
    <s v="06.08"/>
    <s v="01.06"/>
    <s v="08.02"/>
    <s v="70495379"/>
    <s v="Chief Marketing Officer - AMNS ME FZE"/>
    <s v="274488"/>
    <s v="Sales Manager ME"/>
    <s v="AMNS Middle East FZE"/>
    <s v="0093720082"/>
    <s v="SC-Dubai-Marketing"/>
    <s v="DUBA2081"/>
    <s v="20055663"/>
    <s v="Karamath Syed"/>
    <s v="No"/>
    <s v="shashank.naidu@amns.in"/>
    <s v="+971564084646"/>
    <s v="24132"/>
    <s v="Dhruv Vyas"/>
    <s v="Anil Matoo"/>
    <s v="Praveen Kuruvalli"/>
    <n v="0"/>
    <n v="0"/>
  </r>
  <r>
    <n v="4456"/>
    <n v="20056350"/>
    <s v="Sanjay Kumar Jha"/>
    <s v="AM/NS India"/>
    <s v="Onroll"/>
    <s v="M-7"/>
    <n v="7"/>
    <m/>
    <s v="MM"/>
    <s v="M"/>
    <s v="Odisha"/>
    <n v="2"/>
    <s v="2013"/>
    <x v="0"/>
    <s v="20.01"/>
    <s v="Akiyo Omori"/>
    <s v="Amit Harlalka"/>
    <n v="5"/>
    <s v="Finance &amp; Accounts"/>
    <s v="Finance &amp; Accounts"/>
    <s v="20"/>
    <s v="Lead - Finance &amp; Accounts"/>
    <m/>
    <s v="Finance &amp; Accounts - Odisha"/>
    <s v="Finance &amp; Accounts"/>
    <s v=""/>
    <s v="Non Technical Support"/>
    <s v="Finance &amp; Accounts"/>
    <s v="Finance &amp; Accounts"/>
    <s v="73901001"/>
    <s v="Finance &amp; Accounts"/>
    <s v="Paradeep"/>
    <d v="1985-11-10T00:00:00"/>
    <s v="37.10"/>
    <d v="2022-03-07T00:00:00"/>
    <d v="2043-11-30T00:00:00"/>
    <m/>
    <d v="2043-11-30T00:00:00"/>
    <n v="7376"/>
    <s v="B+"/>
    <s v="BCom-2007 , CA Final-2010 , Intermediate"/>
    <s v="11.01"/>
    <s v="01.06"/>
    <s v="12.07"/>
    <s v="70234933"/>
    <s v="Finance &amp; Accounts - Odisha"/>
    <s v="273341"/>
    <s v="Lead - Finance &amp; Accounts"/>
    <s v="Odisha"/>
    <s v="0022030019"/>
    <s v="PDP-HR &amp; Admn"/>
    <s v="2000STORIS"/>
    <s v="20055801"/>
    <s v="Sanjive Kumar Singh"/>
    <s v="No"/>
    <s v="sanjay.jha@amns.in"/>
    <s v="9868413352"/>
    <s v="882952"/>
    <s v="Sunila Das"/>
    <s v="Anil Matoo"/>
    <s v="Praveen Kuruvalli"/>
    <s v="Sunila Das"/>
    <n v="0"/>
  </r>
  <r>
    <n v="4457"/>
    <n v="20056351"/>
    <s v="Abhiram Mahanty"/>
    <s v="AM/NS India"/>
    <s v="Onroll"/>
    <s v="M-8"/>
    <n v="8"/>
    <m/>
    <s v="JM"/>
    <s v="M"/>
    <s v="Odisha"/>
    <n v="2"/>
    <s v="2023"/>
    <x v="6"/>
    <s v="24.08"/>
    <s v="Anil Matoo"/>
    <s v="Ashutosh Telang"/>
    <n v="6"/>
    <s v="HR &amp; Administration"/>
    <s v="Administration"/>
    <s v="24"/>
    <s v="Lead Admin"/>
    <m/>
    <s v="Administration"/>
    <s v=""/>
    <s v=""/>
    <s v="Non Technical Support"/>
    <s v="Human Resources Management"/>
    <s v="Human Resources Management"/>
    <s v="73501002"/>
    <s v="Human Resources Operation"/>
    <s v="Dabuna"/>
    <d v="1983-08-02T00:00:00"/>
    <s v="40.01"/>
    <d v="2022-03-07T00:00:00"/>
    <d v="2041-08-31T00:00:00"/>
    <m/>
    <d v="2041-08-31T00:00:00"/>
    <n v="6555"/>
    <s v="B-"/>
    <s v="MBA-2010 , MSc-2005 , BSc-2003 , Interme"/>
    <s v="13.11"/>
    <s v="01.06"/>
    <s v="15.05"/>
    <s v="70238103"/>
    <s v="Odisha - Admin &amp; Industrial Relations"/>
    <s v="273313"/>
    <s v="Lead Admin"/>
    <s v="Odisha"/>
    <s v="0022010019"/>
    <s v="DBN-Benf-HR/Admin"/>
    <s v="2000STORIS"/>
    <s v="20057297"/>
    <s v="Bibhash Mohanty"/>
    <s v="No"/>
    <s v="abhiram.mahanty@amns.in"/>
    <s v="8599008836"/>
    <s v="882969"/>
    <s v="Sunila Das"/>
    <s v="Anil Matoo"/>
    <s v="Praveen Kuruvalli"/>
    <s v="Sunila Das"/>
    <n v="0"/>
  </r>
  <r>
    <n v="4468"/>
    <n v="20056362"/>
    <s v="Prashant Pandey"/>
    <s v="AM/NS India"/>
    <s v="Onroll"/>
    <s v="M-8"/>
    <n v="8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Lead – Secondary Sales"/>
    <m/>
    <s v=""/>
    <s v=""/>
    <s v=""/>
    <s v="Non Technical Support"/>
    <s v="Operations"/>
    <s v="Operations"/>
    <s v="72103001"/>
    <s v="Operations"/>
    <s v="Hazira"/>
    <d v="1992-01-16T00:00:00"/>
    <s v="31.08"/>
    <d v="2022-03-07T00:00:00"/>
    <d v="2050-01-31T00:00:00"/>
    <m/>
    <d v="2050-01-31T00:00:00"/>
    <n v="9630"/>
    <s v="B+"/>
    <s v="MBA-2021 , BTech-2014 , Intermediate-201"/>
    <s v="06.06"/>
    <s v="01.06"/>
    <s v="08.00"/>
    <s v="00049357"/>
    <s v="Secondary Sales"/>
    <s v="274960"/>
    <s v="Lead – Secondary Sales"/>
    <s v="Hazira"/>
    <s v="0031950059"/>
    <s v="HZ-Hazira Project"/>
    <s v="2000HWO"/>
    <s v="20055763"/>
    <s v="Debashis Mohapatra"/>
    <s v="No"/>
    <s v="prashant.pandey@amns.in"/>
    <s v="9879102273"/>
    <s v="22932"/>
    <s v="Dhruv Vyas"/>
    <s v="Anil Matoo"/>
    <s v="Praveen Kuruvalli"/>
    <s v="Dhruv Vyas"/>
    <n v="0"/>
  </r>
  <r>
    <n v="4471"/>
    <n v="20056368"/>
    <s v="Sanjay Mahawar"/>
    <s v="AM/NS India"/>
    <s v="Onroll"/>
    <s v="M-7"/>
    <n v="7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s v=""/>
    <s v=""/>
    <s v="Non Technical Support"/>
    <s v="Corporate Relations"/>
    <s v="Corporate Affairs"/>
    <s v="74501001"/>
    <s v="Corporate Affairs"/>
    <s v="Delhi"/>
    <d v="1975-12-23T00:00:00"/>
    <s v="47.08"/>
    <d v="2022-03-15T00:00:00"/>
    <d v="2033-12-31T00:00:00"/>
    <m/>
    <d v="2033-12-31T00:00:00"/>
    <n v="3755"/>
    <s v="AB+"/>
    <s v="Diploma-2007 , Diploma-2005 , BA-1998 ,"/>
    <s v="21.03"/>
    <s v="01.06"/>
    <s v="22.09"/>
    <s v="70494938"/>
    <s v="Corporate Affairs"/>
    <s v="273385"/>
    <s v="Lead - Corporate Affairs"/>
    <s v="Corporate"/>
    <s v="0090000021"/>
    <s v="Corporate Affairs"/>
    <s v="2000CS"/>
    <s v="20057928"/>
    <s v="Manu Kapoor"/>
    <s v="No"/>
    <s v="sanjay.mahawar@amns.in"/>
    <s v="9911225547"/>
    <s v="883537"/>
    <s v="Dhruv Vyas"/>
    <s v="Anil Matoo"/>
    <s v="Praveen Kuruvalli"/>
    <s v="Dhruv Vyas"/>
    <n v="0"/>
  </r>
  <r>
    <n v="4474"/>
    <n v="20056372"/>
    <s v="Varun Puri"/>
    <s v="AM/NS Middle East FZE"/>
    <s v="Onroll"/>
    <s v="M-8"/>
    <n v="8"/>
    <m/>
    <s v="JM"/>
    <s v="M"/>
    <s v="Dubai"/>
    <n v="10"/>
    <s v="2504"/>
    <x v="0"/>
    <s v="20.01"/>
    <s v="Akiyo Omori"/>
    <s v="Amit Harlalka"/>
    <n v="5"/>
    <s v="Finance &amp; Accounts"/>
    <s v="Finance &amp; Accounts"/>
    <s v="20"/>
    <s v="Lead - Finance &amp; Accounts"/>
    <m/>
    <s v=""/>
    <s v=""/>
    <s v=""/>
    <s v="Non Technical Support"/>
    <s v="Finance &amp; Accounts"/>
    <s v="Finance &amp; Accounts"/>
    <s v="73901001"/>
    <s v="Finance &amp; Accounts"/>
    <s v="Dubai"/>
    <d v="1988-04-05T00:00:00"/>
    <s v="35.05"/>
    <d v="2022-03-15T00:00:00"/>
    <d v="2046-04-30T00:00:00"/>
    <m/>
    <d v="2046-04-30T00:00:00"/>
    <n v="8258"/>
    <s v=""/>
    <s v=""/>
    <s v=""/>
    <s v="01.06"/>
    <s v="01.06"/>
    <s v="70495379"/>
    <s v="Chief Marketing Officer - AMNS ME FZE"/>
    <s v="70258779"/>
    <s v="Lead - Finance &amp; Accounts"/>
    <s v="AMNS Middle East FZE"/>
    <s v="0093720019"/>
    <s v="SC-Dubai-Hr-Admin"/>
    <s v="DUBA2081"/>
    <s v="20055663"/>
    <s v="Karamath Syed"/>
    <s v="No"/>
    <s v="varun.puri@amns.in"/>
    <s v="971564084480"/>
    <s v="23596"/>
    <s v="Dhruv Vyas"/>
    <s v="Anil Matoo"/>
    <s v="Praveen Kuruvalli"/>
    <s v="Dhruv Vyas"/>
    <n v="0"/>
  </r>
  <r>
    <n v="4477"/>
    <n v="20056375"/>
    <s v="Satyanarayan Routray"/>
    <s v="AM/NS India"/>
    <s v="Onroll"/>
    <s v="M-6"/>
    <n v="6"/>
    <m/>
    <s v="MM"/>
    <s v="M"/>
    <s v="Odisha"/>
    <n v="2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"/>
    <s v=""/>
    <s v="Projects"/>
    <s v="Corporate Relations"/>
    <s v="Corporate Affairs"/>
    <s v="74501001"/>
    <s v="Corporate Affairs"/>
    <s v="Bhubaneswar"/>
    <d v="1981-06-18T00:00:00"/>
    <s v="42.03"/>
    <d v="2022-03-21T00:00:00"/>
    <d v="2039-06-30T00:00:00"/>
    <m/>
    <d v="2039-06-30T00:00:00"/>
    <n v="5762"/>
    <s v="A+"/>
    <s v="BSc-2004 , Intermediate-2000 , SSLC-1996"/>
    <s v="16.00"/>
    <s v="01.06"/>
    <s v="17.06"/>
    <s v="00048076"/>
    <s v="Greenfield Project"/>
    <s v="273334"/>
    <s v="Lead Corporate Affairs"/>
    <s v="Odisha"/>
    <s v="0022030048"/>
    <s v="PDP-Projects"/>
    <s v="2000STORIS"/>
    <s v="20055204"/>
    <s v="Lakshmi Charan Mahapatra"/>
    <s v="No"/>
    <s v="satyanarayan.routray@amns.in"/>
    <s v="9438013247"/>
    <s v="883654"/>
    <s v="Sunila Das"/>
    <s v="Anil Matoo"/>
    <s v="Praveen Kuruvalli"/>
    <s v="Sunila Das"/>
    <n v="0"/>
  </r>
  <r>
    <n v="4488"/>
    <n v="20056387"/>
    <s v="Vikal Goyal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– Internal Control &amp; SOX"/>
    <m/>
    <s v="Internal Control &amp; SOX"/>
    <s v="Internal Control &amp; SOX"/>
    <s v=""/>
    <s v="Non Technical Support"/>
    <s v="Chairman's Secretariat"/>
    <s v="Chairman's Secretariat"/>
    <s v="74701000"/>
    <s v="Chairman's Secretariat"/>
    <s v="AM/NS Hazira"/>
    <d v="1991-10-26T00:00:00"/>
    <s v="31.10"/>
    <d v="2022-03-21T00:00:00"/>
    <d v="2049-10-31T00:00:00"/>
    <m/>
    <d v="2049-10-31T00:00:00"/>
    <n v="9538"/>
    <s v="B+"/>
    <s v="BCom-2012 , CA Final-2014 , Intermediate"/>
    <s v="07.01"/>
    <s v="01.06"/>
    <s v="08.06"/>
    <s v="00051504"/>
    <s v="Internal Control &amp; SOX"/>
    <s v="275134"/>
    <s v="Lead – Internal Control &amp; SOX"/>
    <s v="Hazira"/>
    <s v="0031950043"/>
    <s v="HZ-Performance Manag"/>
    <s v="2000HWO"/>
    <s v="20000138"/>
    <s v="Suresh Iyer"/>
    <s v="No"/>
    <s v="vikal.goyal@amns.in"/>
    <s v="6358913683"/>
    <s v="884014"/>
    <s v="Dhruv Vyas"/>
    <s v="Anil Matoo"/>
    <s v="Praveen Kuruvalli"/>
    <s v="Dhruv Vyas"/>
    <n v="0"/>
  </r>
  <r>
    <n v="4494"/>
    <n v="20056394"/>
    <s v="Nikisha Desai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Performance Management"/>
    <m/>
    <s v="Performance Management"/>
    <s v="Performance Management"/>
    <s v=""/>
    <s v="Non Technical Support"/>
    <s v="Finance &amp; Accounts"/>
    <s v="Treasury"/>
    <s v="73903001"/>
    <s v="Treasury"/>
    <s v="AM/NS Hazira"/>
    <d v="1983-09-12T00:00:00"/>
    <s v="40.00"/>
    <d v="2022-03-16T00:00:00"/>
    <d v="2041-09-30T00:00:00"/>
    <m/>
    <d v="2041-09-30T00:00:00"/>
    <n v="6585"/>
    <s v="O+"/>
    <s v="PG Diploma in Management-2010 , MCom-200"/>
    <s v="11.03"/>
    <s v="01.06"/>
    <s v="12.09"/>
    <s v="00045632"/>
    <s v="Costing &amp; Budgeting"/>
    <s v="70360709"/>
    <s v="Officer - Performance Management"/>
    <s v="Hazira"/>
    <s v="0031950043"/>
    <s v="HZ-Performance Manag"/>
    <s v="2000HWO"/>
    <s v="20056146"/>
    <s v="Asvinbhai Sutarsandhiya"/>
    <s v="No"/>
    <s v="nikisha.desai@amns.in"/>
    <s v="9727255991"/>
    <s v="25213"/>
    <s v="Dhruv Vyas"/>
    <s v="Anil Matoo"/>
    <s v="Praveen Kuruvalli"/>
    <s v="Dhruv Vyas"/>
    <n v="0"/>
  </r>
  <r>
    <n v="4496"/>
    <n v="20056396"/>
    <s v="Ritesh Shrivastava"/>
    <s v="AM/NS India"/>
    <s v="Onroll"/>
    <s v="M-6"/>
    <n v="6"/>
    <m/>
    <s v="MM"/>
    <s v="M"/>
    <s v="Corporate"/>
    <n v="7"/>
    <s v="2095"/>
    <x v="4"/>
    <n v="36.01"/>
    <s v="Deepak Sindkar"/>
    <s v="Hrishikesh Kamat"/>
    <n v="7"/>
    <s v="Procurement"/>
    <s v="Raw Materials"/>
    <s v="36"/>
    <s v="Section Head – BRM"/>
    <m/>
    <s v="Bulk Raw Materials"/>
    <s v="Bulk Raw Materials"/>
    <s v=""/>
    <s v="Non Technical Support"/>
    <s v="Commercial"/>
    <s v="Procurement"/>
    <s v="73803001"/>
    <s v="Procurement"/>
    <s v="Mumbai"/>
    <d v="1984-12-08T00:00:00"/>
    <s v="38.09"/>
    <d v="2022-03-14T00:00:00"/>
    <d v="2042-12-31T00:00:00"/>
    <m/>
    <d v="2042-12-31T00:00:00"/>
    <n v="7042"/>
    <s v="O+"/>
    <s v="BE-2007 , Intermediate-2002 , SSLC-2000"/>
    <s v="14.07"/>
    <s v="01.06"/>
    <s v="16.01"/>
    <s v="00045893"/>
    <s v="Red Odisha Mill Scale"/>
    <s v="70258488"/>
    <s v="Section Head – BRM"/>
    <s v="Corporate"/>
    <s v="0031950048"/>
    <s v="HZ-Procurment Depart"/>
    <s v="2002MUMB"/>
    <s v="20035527"/>
    <s v="Anil Patro"/>
    <s v="No"/>
    <s v="ritesh.shrivastava@amns.in"/>
    <s v="9820508867"/>
    <s v="884173"/>
    <s v="Dhruv Vyas"/>
    <s v="Anil Matoo"/>
    <s v="Praveen Kuruvalli"/>
    <s v="Dhruv Vyas"/>
    <n v="0"/>
  </r>
  <r>
    <n v="4512"/>
    <n v="20056418"/>
    <s v="Vihar Vaghela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Operations"/>
    <s v="Operations"/>
    <s v="72103001"/>
    <s v="Operations"/>
    <s v="Hazira"/>
    <d v="1990-09-11T00:00:00"/>
    <s v="33.00"/>
    <d v="2022-04-04T00:00:00"/>
    <d v="2048-09-30T00:00:00"/>
    <m/>
    <d v="2048-09-30T00:00:00"/>
    <n v="9142"/>
    <s v="B+"/>
    <s v="BE-2011 , Intermediate-2007 , SSLC-2005"/>
    <s v="10.02"/>
    <s v="01.05"/>
    <s v="11.07"/>
    <s v="00049335"/>
    <s v="Capex Procurement - Expediting"/>
    <s v="273324"/>
    <s v="Lead – Expeditor Capex"/>
    <s v="Hazira"/>
    <s v="0031950059"/>
    <s v="HZ-Hazira Project"/>
    <s v="2000HWO"/>
    <s v="20057413"/>
    <s v="Vipin Toshniwal"/>
    <s v="No"/>
    <s v="vihar.vaghela@amns.in"/>
    <s v="9033182129"/>
    <s v="886077"/>
    <s v="Dhruv Vyas"/>
    <s v="Anil Matoo"/>
    <s v="Praveen Kuruvalli"/>
    <s v="Dhruv Vyas"/>
    <n v="0"/>
  </r>
  <r>
    <n v="4513"/>
    <n v="20056419"/>
    <s v="Avinash Tickoo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Operations"/>
    <s v="Operations"/>
    <s v="72103001"/>
    <s v="Operations"/>
    <s v="Hazira"/>
    <d v="1986-10-04T00:00:00"/>
    <s v="36.11"/>
    <d v="2022-04-01T00:00:00"/>
    <d v="2044-10-31T00:00:00"/>
    <m/>
    <d v="2044-10-31T00:00:00"/>
    <n v="7712"/>
    <s v="A+"/>
    <s v="BE-2010 , Intermediate-2006 , SSLC-2003"/>
    <s v="09.02"/>
    <s v="01.05"/>
    <s v="10.07"/>
    <s v="00049335"/>
    <s v="Capex Procurement - Expediting"/>
    <s v="273321"/>
    <s v="Lead – Expeditor Capex"/>
    <s v="Hazira"/>
    <s v="0031950059"/>
    <s v="HZ-Hazira Project"/>
    <s v="2000HWO"/>
    <s v="20057413"/>
    <s v="Vipin Toshniwal"/>
    <s v="No"/>
    <s v="avinash.tickoo@amns.in"/>
    <s v="7990300919"/>
    <s v="886338"/>
    <s v="Dhruv Vyas"/>
    <s v="Anil Matoo"/>
    <s v="Praveen Kuruvalli"/>
    <s v="Dhruv Vyas"/>
    <n v="0"/>
  </r>
  <r>
    <n v="4515"/>
    <n v="20056422"/>
    <s v="Suparna Nanda"/>
    <s v="AM/NS India"/>
    <s v="Onroll"/>
    <s v="M-4"/>
    <n v="4"/>
    <m/>
    <s v="SM"/>
    <s v="F"/>
    <s v="Odisha"/>
    <n v="2"/>
    <s v="2039"/>
    <x v="2"/>
    <s v="43.01"/>
    <s v="Sangeeta Munjal"/>
    <s v="Manu Kapoor"/>
    <n v="10"/>
    <s v="Corporate Affairs"/>
    <s v="Corporate Affairs"/>
    <s v="43"/>
    <s v="Head - Corporate Affairs, Odisha"/>
    <m/>
    <s v="Corporate Affairs"/>
    <s v="Corporate Affairs"/>
    <s v="Corporate Affairs"/>
    <s v="Non Technical Support"/>
    <s v="Corporate Relations"/>
    <s v="Corporate Affairs"/>
    <s v="74501001"/>
    <s v="Corporate Affairs"/>
    <s v="Bhubaneswar"/>
    <d v="1975-08-23T00:00:00"/>
    <s v="48.00"/>
    <d v="2022-04-02T00:00:00"/>
    <d v="2033-08-31T00:00:00"/>
    <m/>
    <d v="2033-08-31T00:00:00"/>
    <n v="3633"/>
    <s v="B-"/>
    <s v="PG Diploma-1998 , PG Diploma-1996 , Inte"/>
    <s v="21.06"/>
    <s v="01.05"/>
    <s v="22.11"/>
    <s v="70495564"/>
    <s v="Corporate Affairs - Odisha"/>
    <s v="276336"/>
    <s v="Head - Corporate Affairs, Odisha"/>
    <s v="Odisha"/>
    <s v="0090000021"/>
    <s v="Corporate Affairs"/>
    <s v="2000STORIS"/>
    <s v="20057928"/>
    <s v="Manu Kapoor"/>
    <s v="No"/>
    <s v="suparna.nanda@amns.in"/>
    <s v="9937154773"/>
    <s v="886522"/>
    <s v="Sunila Das"/>
    <s v="Anil Matoo"/>
    <s v="Praveen Kuruvalli"/>
    <s v="Sunila Das"/>
    <n v="0"/>
  </r>
  <r>
    <n v="4517"/>
    <n v="20056424"/>
    <s v="Ramesh Patel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- Capex Procurement"/>
    <m/>
    <s v=""/>
    <s v=""/>
    <s v=""/>
    <s v="Non Technical Support"/>
    <s v="Operations"/>
    <s v="Operations"/>
    <s v="72103001"/>
    <s v="Operations"/>
    <s v="Hazira"/>
    <d v="1983-01-31T00:00:00"/>
    <s v="40.07"/>
    <d v="2022-03-29T00:00:00"/>
    <d v="2041-01-31T00:00:00"/>
    <m/>
    <d v="2041-01-31T00:00:00"/>
    <n v="6343"/>
    <s v="A+"/>
    <s v="MBA-2007 , BE-2005 , Intermediate-2000 ,"/>
    <s v="17.03"/>
    <s v="01.05"/>
    <s v="18.08"/>
    <s v="00053251"/>
    <s v="Capex Procurement"/>
    <s v="273320"/>
    <s v="Sr. Lead - Capex Procurement"/>
    <s v="Hazira"/>
    <s v="0031950059"/>
    <s v="HZ-Hazira Project"/>
    <s v="2000HWO"/>
    <s v="20055706"/>
    <s v="HimalKumar Madhusudan Sheth"/>
    <s v="No"/>
    <s v="ramesh.patel1@amns.in"/>
    <s v="6358942015"/>
    <s v="886653"/>
    <s v="Dhruv Vyas"/>
    <s v="Anil Matoo"/>
    <s v="Praveen Kuruvalli"/>
    <s v="Dhruv Vyas"/>
    <n v="0"/>
  </r>
  <r>
    <n v="4521"/>
    <n v="20056429"/>
    <s v="Sonali Jain"/>
    <s v="AM/NS India"/>
    <s v="Onroll"/>
    <s v="M-10"/>
    <n v="10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Accounts Payable"/>
    <m/>
    <s v=""/>
    <s v=""/>
    <s v=""/>
    <s v="Non Technical Support"/>
    <s v="Finance &amp; Accounts"/>
    <s v="Finance &amp; Accounts"/>
    <s v="73901001"/>
    <s v="Finance &amp; Accounts"/>
    <s v="AM/NS Hazira"/>
    <d v="1993-03-06T00:00:00"/>
    <s v="30.06"/>
    <d v="2022-04-06T00:00:00"/>
    <d v="2051-03-31T00:00:00"/>
    <m/>
    <d v="2051-03-31T00:00:00"/>
    <n v="10054"/>
    <s v="B+"/>
    <s v="CS-2014 , CA Inter-2011 , BCom-2013 , In"/>
    <s v="03.00"/>
    <s v="01.05"/>
    <s v="04.05"/>
    <s v="72150243"/>
    <s v="Accounts Payable"/>
    <s v="70298654"/>
    <s v="Officer Accounts Payable"/>
    <s v="Hazira"/>
    <s v="0031950045"/>
    <s v="HZ-Works Accounts-Ha"/>
    <s v="2000HWO"/>
    <s v="20001076"/>
    <s v="Bhavesh Modi"/>
    <s v="No"/>
    <s v="sonali.jain@amns.in"/>
    <s v="9664527109"/>
    <s v="887052"/>
    <s v="Dhruv Vyas"/>
    <s v="Anil Matoo"/>
    <s v="Praveen Kuruvalli"/>
    <s v="Dhruv Vyas"/>
    <n v="0"/>
  </r>
  <r>
    <n v="4523"/>
    <n v="20056431"/>
    <s v="Prajakta Wagholikar"/>
    <s v="AM/NS India"/>
    <s v="Onroll"/>
    <s v="M-5"/>
    <n v="5"/>
    <m/>
    <s v="M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- Coated Products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75-03-28T00:00:00"/>
    <s v="48.05"/>
    <d v="2022-04-06T00:00:00"/>
    <d v="2033-03-31T00:00:00"/>
    <m/>
    <d v="2033-03-31T00:00:00"/>
    <n v="3480"/>
    <s v="O+"/>
    <s v="BE-1997 , Intermediate-1993 , SSLC-1991"/>
    <s v="24.09"/>
    <s v="01.05"/>
    <s v="26.02"/>
    <s v="00052471"/>
    <s v="Coated &amp; OC"/>
    <s v="273353"/>
    <s v="Section Head - Coated &amp; OC Products"/>
    <s v="Corporate"/>
    <s v="0031950057"/>
    <s v="HZ-HRC - Marketing"/>
    <s v="2002MUMB"/>
    <s v="20008508"/>
    <s v="Satyajit Mohapatra"/>
    <s v="No"/>
    <s v="prajakta.wagholikar@amns.in"/>
    <s v="9860998710"/>
    <s v="887153"/>
    <s v="Dhruv Vyas"/>
    <s v="Anil Matoo"/>
    <s v="Praveen Kuruvalli"/>
    <s v="Dhruv Vyas"/>
    <n v="0"/>
  </r>
  <r>
    <n v="4536"/>
    <n v="20056445"/>
    <s v="Monoswita Rez"/>
    <s v="AM/NS India"/>
    <s v="Onroll"/>
    <s v="M-9"/>
    <n v="9"/>
    <m/>
    <s v="JM"/>
    <s v="F"/>
    <s v="Odisha"/>
    <n v="2"/>
    <s v="2013"/>
    <x v="0"/>
    <s v="20.01"/>
    <s v="Akiyo Omori"/>
    <s v="Amit Harlalka"/>
    <n v="5"/>
    <s v="Finance &amp; Accounts"/>
    <s v="Finance &amp; Accounts"/>
    <s v="20"/>
    <s v="Officer- F&amp;A"/>
    <m/>
    <s v="Projects"/>
    <s v=""/>
    <s v=""/>
    <s v="Non Technical Support"/>
    <s v=""/>
    <s v=""/>
    <s v=""/>
    <s v=""/>
    <s v="Bhubaneswar"/>
    <d v="1997-05-04T00:00:00"/>
    <s v="26.04"/>
    <d v="2022-04-04T00:00:00"/>
    <d v="2055-05-31T00:00:00"/>
    <m/>
    <d v="2055-05-31T00:00:00"/>
    <n v="11576"/>
    <s v="B+"/>
    <s v="CA Final-2021 , BCom-2018 , SSLC-2015"/>
    <s v="00.03"/>
    <s v="01.05"/>
    <s v="01.08"/>
    <s v="70234933"/>
    <s v="Finance &amp; Accounts - Odisha"/>
    <s v="277056"/>
    <s v="Officer- F&amp;A"/>
    <s v="Odisha"/>
    <s v="0022030019"/>
    <s v="PDP-HR &amp; Admn"/>
    <s v="2000STORIS"/>
    <s v="20055801"/>
    <s v="Sanjive Kumar Singh"/>
    <s v="No"/>
    <s v="monoswita.rez@amns.in"/>
    <s v="8598027449"/>
    <s v="887972"/>
    <s v="Sunila Das"/>
    <s v="Anil Matoo"/>
    <s v="Praveen Kuruvalli"/>
    <s v="Sunila Das"/>
    <n v="0"/>
  </r>
  <r>
    <n v="4547"/>
    <n v="20056456"/>
    <s v="Prashant Bajpai"/>
    <s v="AM/NS India"/>
    <s v="Onroll"/>
    <s v="M-7"/>
    <n v="7"/>
    <m/>
    <s v="MM"/>
    <s v="M"/>
    <s v="Hazira"/>
    <n v="1"/>
    <s v="2015"/>
    <x v="1"/>
    <s v="22.06"/>
    <s v="Anil Matoo"/>
    <s v="Ashutosh Telang"/>
    <n v="6"/>
    <s v="HR &amp; Administration"/>
    <s v="Human Resources"/>
    <s v="22"/>
    <s v="Lead- HR Operations"/>
    <m/>
    <s v="Human Resources"/>
    <s v=""/>
    <s v=""/>
    <s v="Non Technical Support"/>
    <s v="Human Resources Management"/>
    <s v="Human Resources Management"/>
    <s v="73501001"/>
    <s v="Human Resources"/>
    <s v="Hazira"/>
    <d v="1990-05-10T00:00:00"/>
    <s v="33.04"/>
    <d v="2022-04-07T00:00:00"/>
    <d v="2048-05-31T00:00:00"/>
    <m/>
    <d v="2048-05-31T00:00:00"/>
    <n v="9020"/>
    <s v="O+"/>
    <s v="MBA-2012 , BCom-2010"/>
    <s v="09.10"/>
    <s v="01.05"/>
    <s v="11.03"/>
    <s v="70472770"/>
    <s v="Hazira HR Operations - 1"/>
    <s v="273307"/>
    <s v="Lead- HR Operations"/>
    <s v="Hazira"/>
    <s v="0031950061"/>
    <s v="HZ-Human Resource"/>
    <s v="2000HWO"/>
    <s v="20001265"/>
    <s v="Lakshman Iyer"/>
    <s v="No"/>
    <s v="prashant.bajpai@amns.in"/>
    <s v="9558610703"/>
    <s v="888411"/>
    <s v="Dhruv Vyas"/>
    <s v="Anil Matoo"/>
    <s v="Praveen Kuruvalli"/>
    <s v="Dhruv Vyas"/>
    <n v="0"/>
  </r>
  <r>
    <n v="4574"/>
    <n v="20056488"/>
    <s v="Supriya Swain"/>
    <s v="AM/NS India"/>
    <s v="Onroll"/>
    <s v="M-7"/>
    <n v="7"/>
    <m/>
    <s v="MM"/>
    <s v="F"/>
    <s v="Odisha"/>
    <n v="2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1"/>
    <s v="Human Resources"/>
    <s v="Paradeep"/>
    <d v="1983-06-30T00:00:00"/>
    <s v="40.02"/>
    <d v="2022-05-02T00:00:00"/>
    <d v="2041-06-30T00:00:00"/>
    <m/>
    <d v="2041-06-30T00:00:00"/>
    <n v="6493"/>
    <s v="A+"/>
    <s v="MBA-2008 , PG Diploma-2005 , BSc-2004 ,"/>
    <s v="12.00"/>
    <s v="01.04"/>
    <s v="13.04"/>
    <s v="70495430"/>
    <s v="Odisha HR Operations"/>
    <s v="273311"/>
    <s v="Lead - Human Resources"/>
    <s v="Odisha"/>
    <s v="0022030019"/>
    <s v="PDP-HR &amp; Admn"/>
    <s v="2000STORIS"/>
    <s v="20055611"/>
    <s v="Sunila Kumar Das"/>
    <s v="No"/>
    <s v="supriya.swain@amns.in"/>
    <s v="7894450331"/>
    <s v="890454"/>
    <s v="Sunila Das"/>
    <s v="Anil Matoo"/>
    <s v="Praveen Kuruvalli"/>
    <s v="Sunila Das"/>
    <n v="0"/>
  </r>
  <r>
    <n v="4578"/>
    <n v="20056492"/>
    <s v="Parthajeet Mazumdar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Capex Procurement"/>
    <s v=""/>
    <s v=""/>
    <s v="Non Technical Support"/>
    <s v=""/>
    <s v=""/>
    <s v=""/>
    <s v=""/>
    <s v="Hazira"/>
    <d v="1990-08-28T00:00:00"/>
    <s v="33.00"/>
    <d v="2022-04-28T00:00:00"/>
    <d v="2048-08-31T00:00:00"/>
    <m/>
    <d v="2048-08-31T00:00:00"/>
    <n v="9112"/>
    <s v="O+"/>
    <s v="Bachelor of Computer Applications-2012 ,"/>
    <s v="09.09"/>
    <s v="01.04"/>
    <s v="11.01"/>
    <s v="00049335"/>
    <s v="Capex Procurement - Expediting"/>
    <s v="278454"/>
    <s v="Lead – Expeditor Capex"/>
    <s v="Hazira"/>
    <s v="0031950059"/>
    <s v="HZ-Hazira Project"/>
    <s v="2000HWO"/>
    <s v="20057413"/>
    <s v="Vipin Toshniwal"/>
    <s v="No"/>
    <s v="parthajeet.mazumdar@amns.in"/>
    <s v="6358942094"/>
    <s v="891002"/>
    <s v="Dhruv Vyas"/>
    <s v="Anil Matoo"/>
    <s v="Praveen Kuruvalli"/>
    <s v="Dhruv Vyas"/>
    <n v="0"/>
  </r>
  <r>
    <n v="4585"/>
    <n v="20056499"/>
    <s v="Bharti Chundawat"/>
    <s v="AM/NS India"/>
    <s v="Onroll"/>
    <s v="M-7"/>
    <n v="7"/>
    <m/>
    <s v="MM"/>
    <s v="F"/>
    <s v="Hazira"/>
    <n v="1"/>
    <s v="2161"/>
    <x v="15"/>
    <s v="31.02"/>
    <s v="Hrishikesh Kamat"/>
    <s v="Hrishikesh Kamat"/>
    <n v="7"/>
    <s v="Procurement"/>
    <s v="Procurement"/>
    <s v="31"/>
    <s v="Sr. Lead - Capex Services"/>
    <m/>
    <s v=""/>
    <s v=""/>
    <s v=""/>
    <s v="Non Technical Support"/>
    <s v="Operations"/>
    <s v="Operations"/>
    <s v="72103001"/>
    <s v="Operations"/>
    <s v="Hazira"/>
    <d v="1987-11-23T00:00:00"/>
    <s v="35.09"/>
    <d v="2022-05-09T00:00:00"/>
    <d v="2045-11-30T00:00:00"/>
    <m/>
    <d v="2045-11-30T00:00:00"/>
    <n v="8107"/>
    <s v="O+"/>
    <s v="Bachelor Equivalent-2009 , Intermediate-"/>
    <s v="12.04"/>
    <s v="01.04"/>
    <s v="13.08"/>
    <s v="00049344"/>
    <s v="Capex Procurement"/>
    <s v="273318"/>
    <s v="Sr. Lead - Capex Services"/>
    <s v="Hazira"/>
    <s v="0031950059"/>
    <s v="HZ-Hazira Project"/>
    <s v="2000HWO"/>
    <s v="20055728"/>
    <s v="Mahebub Vahora"/>
    <s v="No"/>
    <s v="bharti.chundawat@amns.in"/>
    <s v="9879105140"/>
    <s v="892294"/>
    <s v="Dhruv Vyas"/>
    <s v="Anil Matoo"/>
    <s v="Praveen Kuruvalli"/>
    <s v="Dhruv Vyas"/>
    <n v="0"/>
  </r>
  <r>
    <n v="4588"/>
    <n v="20056503"/>
    <s v="Bhavin Pandya"/>
    <s v="AM/NS India"/>
    <s v="Onroll"/>
    <s v="M-6"/>
    <n v="6"/>
    <m/>
    <s v="MM"/>
    <s v="M"/>
    <s v="Hazira"/>
    <n v="1"/>
    <s v="2084"/>
    <x v="17"/>
    <s v="23.09"/>
    <s v="Anil Matoo"/>
    <s v="Ashutosh Telang"/>
    <n v="6"/>
    <s v="HR &amp; Administration"/>
    <s v="Industrial Relations"/>
    <s v="23"/>
    <s v="Head IR &amp; Legal Compliance"/>
    <m/>
    <s v=""/>
    <s v=""/>
    <s v=""/>
    <s v="Non Technical Support"/>
    <s v="Human Resources Management"/>
    <s v="Human Resources Management"/>
    <s v="73501002"/>
    <s v="Human Resources Operation"/>
    <s v="Hazira"/>
    <d v="1976-01-02T00:00:00"/>
    <s v="47.08"/>
    <d v="2022-05-09T00:00:00"/>
    <d v="2034-01-31T00:00:00"/>
    <m/>
    <d v="2034-01-31T00:00:00"/>
    <n v="3786"/>
    <s v="AB-"/>
    <s v="Master's Equivalent-2001 , BSc-1999 , In"/>
    <s v="11.00"/>
    <s v="01.04"/>
    <s v="12.04"/>
    <s v="70309501"/>
    <s v="IR &amp; legal Compliance"/>
    <s v="70320438"/>
    <s v="Head IR &amp; Legal Compliance"/>
    <s v="Hazira"/>
    <s v="0090000018"/>
    <s v="CORP Group - HR"/>
    <s v="2000HWO"/>
    <s v="20000083"/>
    <s v="Anil Matoo"/>
    <s v="No"/>
    <s v="bhavin.pandya@amns.in"/>
    <s v="6358942110"/>
    <s v="892872"/>
    <s v="Dhruv Vyas"/>
    <s v="Anil Matoo"/>
    <s v="Praveen Kuruvalli"/>
    <s v="Dhruv Vyas"/>
    <n v="0"/>
  </r>
  <r>
    <n v="4590"/>
    <n v="20056505"/>
    <s v="Tanvee Vasudevan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, Delhi"/>
    <m/>
    <s v="Legal"/>
    <s v=""/>
    <s v=""/>
    <s v="Non Technical Support"/>
    <s v="Legal"/>
    <s v="Legal"/>
    <s v="73201001"/>
    <s v="Legal"/>
    <s v="Delhi"/>
    <d v="1991-12-27T00:00:00"/>
    <s v="31.08"/>
    <d v="2022-05-16T00:00:00"/>
    <d v="2049-12-31T00:00:00"/>
    <m/>
    <d v="2049-12-31T00:00:00"/>
    <n v="9599"/>
    <s v="O+"/>
    <s v="LLB-2014 , SSLC-2007 , Intermediate-2008"/>
    <s v="04.00"/>
    <s v="01.04"/>
    <s v="05.04"/>
    <s v="00048996"/>
    <s v="Legal"/>
    <s v="273390"/>
    <s v="Sr. Lead - Legal"/>
    <s v="Corporate"/>
    <s v="0090000019"/>
    <s v="Corporate Steel - Le"/>
    <s v="2000CS"/>
    <s v="20055160"/>
    <s v="Mrida Lakhmani"/>
    <s v="No"/>
    <s v="tanvee.vasudevan@amns.in"/>
    <s v="9867864462"/>
    <s v="893029"/>
    <s v="Dhruv Vyas"/>
    <s v="Anil Matoo"/>
    <s v="Praveen Kuruvalli"/>
    <s v="Dhruv Vyas"/>
    <n v="0"/>
  </r>
  <r>
    <n v="4592"/>
    <n v="20056507"/>
    <s v="Jojo Thalanany"/>
    <s v="AM/NS India"/>
    <s v="Onroll"/>
    <s v="M-9"/>
    <n v="9"/>
    <m/>
    <s v="JM"/>
    <s v="M"/>
    <s v="Corporate"/>
    <n v="7"/>
    <s v="2096"/>
    <x v="14"/>
    <s v="36.02"/>
    <s v="Deepak Sindkar"/>
    <s v="Hrishikesh Kamat"/>
    <n v="7"/>
    <s v="Procurement"/>
    <s v="Raw Materials"/>
    <s v="36"/>
    <s v="Officer Analyst – Power &amp; Gas"/>
    <m/>
    <s v=""/>
    <s v=""/>
    <s v=""/>
    <s v="Tech. Support Services"/>
    <s v=""/>
    <s v=""/>
    <s v=""/>
    <s v=""/>
    <s v="Mumbai"/>
    <d v="1990-05-03T00:00:00"/>
    <s v="33.04"/>
    <d v="2022-05-09T00:00:00"/>
    <d v="2048-05-31T00:00:00"/>
    <m/>
    <d v="2048-05-31T00:00:00"/>
    <n v="9020"/>
    <s v="A+"/>
    <s v="Master's Equivalent-2018 , PG Diploma-20"/>
    <s v="07.02"/>
    <s v="01.04"/>
    <s v="08.06"/>
    <s v="00049516"/>
    <s v="Power &amp; Gas"/>
    <s v="279676"/>
    <s v="Officer Analyst – Power &amp; Gas"/>
    <s v="Corporate"/>
    <s v="0031950048"/>
    <s v="HZ-Procurment Depart"/>
    <s v="2000CS"/>
    <s v="20004612"/>
    <s v="Ramesh Chabhadiya"/>
    <s v="No"/>
    <s v="jojo.thalanany@amns.in"/>
    <s v="9821721703"/>
    <s v="25647"/>
    <s v="Dhruv Vyas"/>
    <s v="Anil Matoo"/>
    <s v="Praveen Kuruvalli"/>
    <s v="Dhruv Vyas"/>
    <n v="0"/>
  </r>
  <r>
    <n v="4604"/>
    <n v="20056520"/>
    <s v="Ankit Panchal"/>
    <s v="AM/NS India"/>
    <s v="Onroll"/>
    <s v="M-6"/>
    <n v="6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Sr. Lead - Capex Procurement"/>
    <m/>
    <s v=""/>
    <s v=""/>
    <s v=""/>
    <s v="Non Technical Support"/>
    <s v=""/>
    <s v=""/>
    <s v=""/>
    <s v=""/>
    <s v="Hazira"/>
    <d v="1984-10-13T00:00:00"/>
    <s v="38.11"/>
    <d v="2022-05-19T00:00:00"/>
    <d v="2042-10-31T00:00:00"/>
    <m/>
    <d v="2042-10-31T00:00:00"/>
    <n v="6981"/>
    <s v="B+"/>
    <s v="PG Diploma-2010 , Bachelor Equivalent-20"/>
    <s v="16.09"/>
    <s v="01.04"/>
    <s v="18.00"/>
    <s v="00049358"/>
    <s v="Capex Procurement"/>
    <s v="279775"/>
    <s v="Sr. Lead - Capex Procurement"/>
    <s v="Hazira"/>
    <s v="0031950059"/>
    <s v="HZ-Hazira Project"/>
    <s v="2000HWO"/>
    <s v="20052261"/>
    <s v="Aruni Mishra"/>
    <s v="No"/>
    <s v="ankit.panchal@amns.in"/>
    <s v="6354766167"/>
    <s v="893771"/>
    <s v="Dhruv Vyas"/>
    <s v="Anil Matoo"/>
    <s v="Praveen Kuruvalli"/>
    <s v="Dhruv Vyas"/>
    <n v="0"/>
  </r>
  <r>
    <n v="4617"/>
    <n v="20056538"/>
    <s v="Dinesh Chandra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Sales &amp; Marketing"/>
    <m/>
    <s v="North"/>
    <s v="OEM"/>
    <s v=""/>
    <s v="Non Technical Support"/>
    <s v=""/>
    <s v=""/>
    <s v=""/>
    <s v=""/>
    <s v="Noida"/>
    <d v="1979-07-11T00:00:00"/>
    <s v="44.02"/>
    <d v="2022-06-01T00:00:00"/>
    <d v="2037-07-31T00:00:00"/>
    <m/>
    <d v="2037-07-31T00:00:00"/>
    <n v="5063"/>
    <s v="B+"/>
    <s v="MBA-2007 , Diploma-2002 , BA-2001 , Inte"/>
    <s v="16.07"/>
    <s v="01.03"/>
    <s v="17.10"/>
    <s v="72150181"/>
    <s v="Sales North Zone"/>
    <s v="280472"/>
    <s v="KAM - OEM Sales"/>
    <s v="Hazira"/>
    <s v="0031950057"/>
    <s v="HZ-HRC - Marketing"/>
    <s v="2000HWO"/>
    <s v="20002920"/>
    <s v="Sudhir Sharma"/>
    <s v="No"/>
    <s v="dinesh.chauhan@amns.in"/>
    <s v="8826229382"/>
    <s v="895031"/>
    <s v="Dhruv Vyas"/>
    <s v="Anil Matoo"/>
    <s v="Praveen Kuruvalli"/>
    <s v="Dhruv Vyas"/>
    <n v="0"/>
  </r>
  <r>
    <n v="4618"/>
    <n v="20056539"/>
    <s v="Baruah Akshay"/>
    <s v="AM/NS India"/>
    <s v="Onroll"/>
    <s v="M-7"/>
    <n v="7"/>
    <m/>
    <s v="MM"/>
    <s v="M"/>
    <s v="Hazira"/>
    <n v="1"/>
    <s v="2099"/>
    <x v="19"/>
    <s v="02.01"/>
    <s v="Raghavan Aravamudhan"/>
    <s v="Dilip Oommen"/>
    <n v="1"/>
    <s v="CEO Office"/>
    <s v="Business Strategy"/>
    <s v="02"/>
    <s v="Lead - PMO (Analyst)"/>
    <m/>
    <s v="Business Strategy"/>
    <s v="Business Strategy"/>
    <s v=""/>
    <s v="Non Technical Support"/>
    <s v=""/>
    <s v=""/>
    <s v=""/>
    <s v=""/>
    <s v="Hazira"/>
    <d v="1987-11-30T00:00:00"/>
    <s v="35.09"/>
    <d v="2022-05-23T00:00:00"/>
    <d v="2045-11-30T00:00:00"/>
    <m/>
    <d v="2045-11-30T00:00:00"/>
    <n v="8107"/>
    <s v="A+"/>
    <s v="BE-2009 , Intermediate-2005 , SSLC-2003"/>
    <s v="12.02"/>
    <s v="01.03"/>
    <s v="13.06"/>
    <s v="00046538"/>
    <s v="Project Monitoring"/>
    <s v="280507"/>
    <s v="Lead - PMO (Analyst)"/>
    <s v="Hazira"/>
    <s v="0090000022"/>
    <s v="Business Strategy"/>
    <s v="2000HWO"/>
    <s v="20049281"/>
    <s v="Raveena Dhoot"/>
    <s v="No"/>
    <s v="akshay.baruah@amns.in"/>
    <s v="7763807221"/>
    <s v="895230"/>
    <s v="Dhruv Vyas"/>
    <s v="Anil Matoo"/>
    <s v="Praveen Kuruvalli"/>
    <s v="Dhruv Vyas"/>
    <n v="0"/>
  </r>
  <r>
    <n v="4624"/>
    <n v="20056545"/>
    <s v="Atul Shukla"/>
    <s v="AM/NS India"/>
    <s v="Onroll"/>
    <s v="M-9"/>
    <n v="9"/>
    <m/>
    <s v="JM"/>
    <s v="M"/>
    <s v="Service Centers"/>
    <n v="6"/>
    <s v="2013"/>
    <x v="0"/>
    <s v="20.01"/>
    <s v="Akiyo Omori"/>
    <s v="Amit Harlalka"/>
    <n v="5"/>
    <s v="Finance &amp; Accounts"/>
    <s v="Finance &amp; Accounts"/>
    <s v="20"/>
    <s v="Officer – Finance &amp; Accounts SC"/>
    <m/>
    <s v="Finance &amp; Accounts"/>
    <s v="Finance &amp; Accounts"/>
    <s v="Finance &amp; Accounts"/>
    <s v="Non Technical Support"/>
    <s v=""/>
    <s v=""/>
    <s v=""/>
    <s v=""/>
    <s v="Pune"/>
    <d v="1979-03-27T00:00:00"/>
    <s v="44.05"/>
    <d v="2022-06-10T00:00:00"/>
    <d v="2037-03-31T00:00:00"/>
    <m/>
    <d v="2037-03-31T00:00:00"/>
    <n v="4941"/>
    <s v="O-"/>
    <s v="MBA-2017 , BCom-2000 , Intermediate-1997"/>
    <s v="11.00"/>
    <s v="01.03"/>
    <s v="12.03"/>
    <s v="00043795"/>
    <s v="F&amp;A Hypermart &amp; Service Centre - 1"/>
    <s v="281143"/>
    <s v="Officer – Finance &amp; Accounts SC"/>
    <s v="Service Center"/>
    <s v="0040020019"/>
    <s v="SC-Pune-Op1-HR-Admin"/>
    <s v="2000SPRJ"/>
    <s v="20055201"/>
    <s v="Deepak Sahu"/>
    <s v="No"/>
    <s v="atul.shukla@amns.in"/>
    <s v="7600026392"/>
    <s v="896685"/>
    <s v="Dhruv Vyas"/>
    <s v="Anil Matoo"/>
    <s v="Praveen Kuruvalli"/>
    <s v="Dhruv Vyas"/>
    <n v="0"/>
  </r>
  <r>
    <n v="4664"/>
    <n v="20056666"/>
    <s v="Vishnu Jariwala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"/>
    <s v=""/>
    <s v=""/>
    <s v="Non Technical Support"/>
    <s v="Commercial"/>
    <s v="Procurement"/>
    <s v="73803001"/>
    <s v="Procurement"/>
    <s v="Hazira"/>
    <d v="1999-09-29T00:00:00"/>
    <s v="23.11"/>
    <d v="2022-06-10T00:00:00"/>
    <d v="2057-09-30T00:00:00"/>
    <m/>
    <d v="2057-09-30T00:00:00"/>
    <n v="12429"/>
    <s v="O+"/>
    <s v="Diploma-2018"/>
    <s v=""/>
    <s v="01.03"/>
    <s v="01.03"/>
    <s v="70072411"/>
    <s v="Iron &amp; Steel Making"/>
    <s v="281526"/>
    <s v="Engineer"/>
    <s v="Hazira"/>
    <s v="0031950048"/>
    <s v="HZ-Procurment Depart"/>
    <s v="2000HWO"/>
    <s v="20000926"/>
    <s v="Manishkumar Seksaria"/>
    <s v="No"/>
    <s v="vishnu.jariwala@amns.in"/>
    <s v="9727740223"/>
    <s v="26146"/>
    <s v="Dhruv Vyas"/>
    <s v="Anil Matoo"/>
    <s v="Praveen Kuruvalli"/>
    <s v="Dhruv Vyas"/>
    <n v="0"/>
  </r>
  <r>
    <n v="4665"/>
    <n v="20056668"/>
    <s v="Jaykumar Patel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"/>
    <s v=""/>
    <s v=""/>
    <s v="Non Technical Support"/>
    <s v="Commercial"/>
    <s v="Procurement"/>
    <s v="73803001"/>
    <s v="Procurement"/>
    <s v="Hazira"/>
    <d v="1998-06-13T00:00:00"/>
    <s v="25.03"/>
    <d v="2022-06-10T00:00:00"/>
    <d v="2056-06-30T00:00:00"/>
    <m/>
    <d v="2056-06-30T00:00:00"/>
    <n v="11972"/>
    <s v="O+"/>
    <s v="BTech-2022"/>
    <s v=""/>
    <s v="01.03"/>
    <s v="01.03"/>
    <s v="00044543"/>
    <s v="Procurement -Refractory"/>
    <s v="281528"/>
    <s v="Engineer"/>
    <s v="Hazira"/>
    <s v="0031950048"/>
    <s v="HZ-Procurment Depart"/>
    <s v="2000VIZOPS"/>
    <s v="20008647"/>
    <s v="Alpesh Hirpara"/>
    <s v="No"/>
    <s v="jaykumar.patel5@amns.in"/>
    <s v="9909902640"/>
    <s v="26270"/>
    <s v="Dhruv Vyas"/>
    <s v="Anil Matoo"/>
    <s v="Praveen Kuruvalli"/>
    <s v="Dhruv Vyas"/>
    <n v="0"/>
  </r>
  <r>
    <n v="4716"/>
    <n v="20056721"/>
    <s v="Amit Mosamkar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West"/>
    <s v="Hypermart"/>
    <s v=""/>
    <s v="Non Technical Support"/>
    <s v=""/>
    <s v=""/>
    <s v=""/>
    <s v=""/>
    <s v="Nashik"/>
    <d v="1989-12-29T00:00:00"/>
    <s v="33.08"/>
    <d v="2022-06-20T00:00:00"/>
    <d v="2047-12-31T00:00:00"/>
    <m/>
    <d v="2047-12-31T00:00:00"/>
    <n v="8868"/>
    <s v="AB+"/>
    <s v="MBA-2013 , BSc-2010 , Intermediate-2007"/>
    <s v="08.07"/>
    <s v="01.03"/>
    <s v="09.09"/>
    <s v="00048138"/>
    <s v="Hypermart west"/>
    <s v="281984"/>
    <s v="Sales Manager - Hypermart"/>
    <s v="Hazira"/>
    <s v="0060110600"/>
    <s v="HMART-Mah-Taloja"/>
    <s v="2000HWO"/>
    <s v="20056847"/>
    <s v="Vikas Chotia"/>
    <s v="No"/>
    <s v="amit.mosamkar@amns.in"/>
    <s v="9167716296"/>
    <s v="898091"/>
    <s v="Dhruv Vyas"/>
    <s v="Anil Matoo"/>
    <s v="Praveen Kuruvalli"/>
    <s v="Dhruv Vyas"/>
    <n v="0"/>
  </r>
  <r>
    <n v="4725"/>
    <n v="20056733"/>
    <s v="Satish Bhusale"/>
    <s v="AM/NS India"/>
    <s v="Onroll"/>
    <s v="M-9"/>
    <n v="9"/>
    <m/>
    <s v="JM"/>
    <s v="M"/>
    <s v="Pune Facility"/>
    <n v="4"/>
    <s v="2094"/>
    <x v="21"/>
    <s v="27.10"/>
    <s v="Vikas Chandra Yadvendu"/>
    <s v="Ashutosh Telang"/>
    <n v="6"/>
    <s v="HR &amp; Administration"/>
    <s v="Corporate SocialResponsibility"/>
    <s v="27"/>
    <s v="Dy Manager - CSR"/>
    <m/>
    <s v=""/>
    <s v=""/>
    <s v=""/>
    <s v="Non Technical Support"/>
    <s v=""/>
    <s v=""/>
    <s v=""/>
    <s v=""/>
    <s v="Pune AMNS"/>
    <d v="1986-04-13T00:00:00"/>
    <s v="37.05"/>
    <d v="2022-06-13T00:00:00"/>
    <d v="2044-04-30T00:00:00"/>
    <m/>
    <d v="2044-04-30T00:00:00"/>
    <n v="7528"/>
    <s v="O+"/>
    <s v="MSW-2009 , Intermediate-2004 , SSLC-2003"/>
    <s v="11.10"/>
    <s v="01.03"/>
    <s v="13.01"/>
    <s v="70495661"/>
    <s v="Corporate Social Responsibility"/>
    <s v="282389"/>
    <s v="Dy Manager - CSR"/>
    <s v="Pune Facility"/>
    <s v="0022030019"/>
    <s v="PDP-HR &amp; Admn"/>
    <s v="2000ESPF"/>
    <s v="20055033"/>
    <s v="Vikas Chandra Yadvendu"/>
    <s v="No"/>
    <s v="satish.bhusale@amns.in"/>
    <s v="7058612912"/>
    <s v="898737"/>
    <s v="Dhruv Vyas"/>
    <s v="Anil Matoo"/>
    <s v="Praveen Kuruvalli"/>
    <s v="Dhruv Vyas"/>
    <n v="0"/>
  </r>
  <r>
    <n v="4726"/>
    <n v="20056734"/>
    <s v="Sambit Das"/>
    <s v="AM/NS India"/>
    <s v="Onroll"/>
    <s v="M-8"/>
    <n v="8"/>
    <m/>
    <s v="JM"/>
    <s v="M"/>
    <s v="Corporate"/>
    <n v="7"/>
    <s v="2015"/>
    <x v="1"/>
    <s v="22.06"/>
    <s v="Praveen Kuruvalli"/>
    <s v="Ashutosh Telang"/>
    <n v="6"/>
    <s v="HR &amp; Administration"/>
    <s v="Human Resources"/>
    <s v="22"/>
    <s v="Talent Acquisition Specialist"/>
    <m/>
    <s v="Human Resources"/>
    <s v=""/>
    <s v=""/>
    <s v="Non Technical Support"/>
    <s v=""/>
    <s v=""/>
    <s v=""/>
    <s v=""/>
    <s v="Mumbai"/>
    <d v="1986-12-09T00:00:00"/>
    <s v="36.09"/>
    <d v="2022-06-01T00:00:00"/>
    <d v="2044-12-31T00:00:00"/>
    <m/>
    <d v="2044-12-31T00:00:00"/>
    <n v="7773"/>
    <s v="B+"/>
    <s v="MBA-2011 , BCom-2009 , Intermediate-2004"/>
    <s v="10.06"/>
    <s v="01.03"/>
    <s v="11.09"/>
    <s v="70242278"/>
    <s v="People Strategy &amp; HR Center Excellence"/>
    <s v="282396"/>
    <s v="Talent Acquisition Specialist"/>
    <s v="Corporate"/>
    <s v="0031950061"/>
    <s v="HZ-Human Resource"/>
    <s v="2000CS"/>
    <s v="20055483"/>
    <s v="Praveen Kuruvalli"/>
    <s v="No"/>
    <s v="sambit.das@amns.in"/>
    <s v="8981081994"/>
    <s v="898766"/>
    <s v="Dhruv Vyas"/>
    <s v="Anil Matoo"/>
    <s v="Praveen Kuruvalli"/>
    <s v="Dhruv Vyas"/>
    <n v="0"/>
  </r>
  <r>
    <n v="4783"/>
    <n v="20056809"/>
    <s v="Divyakumar Patel"/>
    <s v="AM/NS India"/>
    <s v="Onroll"/>
    <s v="T-1 (GET)"/>
    <n v="12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Commercial"/>
    <s v="Procurement"/>
    <s v="73803001"/>
    <s v="Procurement"/>
    <s v="Hazira"/>
    <d v="2001-02-27T00:00:00"/>
    <s v="22.06"/>
    <d v="2022-06-27T00:00:00"/>
    <d v="2059-02-28T00:00:00"/>
    <m/>
    <d v="2059-02-28T00:00:00"/>
    <n v="12945"/>
    <s v=""/>
    <s v="BE-2022"/>
    <s v=""/>
    <s v="01.02"/>
    <s v="01.02"/>
    <s v="70495711"/>
    <s v="Capex Buyer"/>
    <s v="273542"/>
    <s v="Graduate Engineer Trainee 2022"/>
    <s v="Hazira"/>
    <s v="0031950061"/>
    <s v="HZ-Human Resource"/>
    <s v="2161HAZI"/>
    <s v="20055447"/>
    <s v="Nirav Pachchigar"/>
    <s v="No"/>
    <s v="divyakumar.patel@amns.in"/>
    <s v="9662041625"/>
    <s v="899856"/>
    <s v="Dhruv Vyas"/>
    <s v="Anil Matoo"/>
    <s v="Praveen Kuruvalli"/>
    <s v="Dhruv Vyas"/>
    <n v="0"/>
  </r>
  <r>
    <n v="4807"/>
    <n v="20056841"/>
    <s v="Rishi Bhartia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Officer – Business Analysis"/>
    <m/>
    <s v="Sales Steering &amp; BD"/>
    <s v="Market Intelligence"/>
    <s v=""/>
    <s v="Non Technical Support"/>
    <s v=""/>
    <s v=""/>
    <s v=""/>
    <s v=""/>
    <s v="Mumbai"/>
    <d v="1992-07-15T00:00:00"/>
    <s v="31.02"/>
    <d v="2022-06-28T00:00:00"/>
    <d v="2050-07-31T00:00:00"/>
    <m/>
    <d v="2050-07-31T00:00:00"/>
    <n v="9811"/>
    <s v="B+"/>
    <s v="MBA-2018 , BTech-2015 , Intermediate-201"/>
    <s v="02.06"/>
    <s v="01.02"/>
    <s v="03.09"/>
    <s v="72150188"/>
    <s v="Market Intelligence &amp; Pricing"/>
    <s v="283093"/>
    <s v="Lead – Business Analysis"/>
    <s v="Corporate"/>
    <s v="0080000001"/>
    <s v="Head-Marketing"/>
    <s v="2000CS"/>
    <s v="20008774"/>
    <s v="Ajay Somasundaran"/>
    <s v="No"/>
    <s v="rishi.bhartia@amns.in"/>
    <s v="8097446244"/>
    <s v="1000612"/>
    <s v="Dhruv Vyas"/>
    <s v="Anil Matoo"/>
    <s v="Praveen Kuruvalli"/>
    <s v="Dhruv Vyas"/>
    <n v="0"/>
  </r>
  <r>
    <n v="4810"/>
    <n v="20056844"/>
    <s v="Kundan Rai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Lead Scrap Projects"/>
    <m/>
    <s v="Projects Long Products"/>
    <s v="Scrap"/>
    <s v=""/>
    <s v="Non Technical Support"/>
    <s v=""/>
    <s v=""/>
    <s v=""/>
    <s v=""/>
    <s v="Mumbai"/>
    <d v="1989-02-16T00:00:00"/>
    <s v="34.07"/>
    <d v="2022-06-20T00:00:00"/>
    <d v="2047-02-28T00:00:00"/>
    <m/>
    <d v="2047-02-28T00:00:00"/>
    <n v="8562"/>
    <s v="B+"/>
    <s v="BE-2010 , Intermediate-2006 , SSLC-2004"/>
    <s v="11.10"/>
    <s v="01.03"/>
    <s v="13.00"/>
    <s v="00053119"/>
    <s v="Recycling Strategy"/>
    <s v="283217"/>
    <s v="Lead Scrap Projects"/>
    <s v="Corporate"/>
    <s v="0080000005"/>
    <s v="Global Markets Team"/>
    <s v="2000CRG"/>
    <s v="20055091"/>
    <s v="Akshaya Gujral"/>
    <s v="No"/>
    <s v="kundan.rai@amns.in"/>
    <s v="9096422775"/>
    <s v="1000961"/>
    <s v="Dhruv Vyas"/>
    <s v="Anil Matoo"/>
    <s v="Praveen Kuruvalli"/>
    <s v="Dhruv Vyas"/>
    <n v="0"/>
  </r>
  <r>
    <n v="4811"/>
    <n v="20056845"/>
    <s v="Manoj Kumar"/>
    <s v="AM/NS Shipping &amp; Logistics"/>
    <s v="Onroll"/>
    <s v="M-6"/>
    <n v="6"/>
    <m/>
    <s v="MM"/>
    <s v="M"/>
    <s v="Hazira"/>
    <n v="1"/>
    <s v="7209"/>
    <x v="18"/>
    <s v="33.01"/>
    <s v="Hrishikesh Kamat"/>
    <s v="Hrishikesh Kamat"/>
    <n v="7"/>
    <s v="Procurement"/>
    <s v="Shipping &amp; Chartering"/>
    <s v="33"/>
    <s v="Sr. Lead - Shipping and Chartering"/>
    <m/>
    <s v=""/>
    <s v=""/>
    <s v=""/>
    <s v="Tech. Support Services"/>
    <s v="Operations"/>
    <s v="Operations"/>
    <s v="72103001"/>
    <s v="Operations"/>
    <s v="Hazira"/>
    <d v="1978-05-17T00:00:00"/>
    <s v="45.04"/>
    <d v="2022-07-01T00:00:00"/>
    <d v="2036-05-31T00:00:00"/>
    <m/>
    <d v="2036-05-31T00:00:00"/>
    <n v="4637"/>
    <s v="B+"/>
    <s v="MBA-2014 , BSc-2000 , Intermediate-1996"/>
    <s v="06.00"/>
    <s v="01.02"/>
    <s v="07.02"/>
    <s v="00000000"/>
    <s v=""/>
    <s v="303933"/>
    <s v="Sr. Lead - Shipping and Chartering"/>
    <s v="AMNSSL"/>
    <s v="0000700001"/>
    <s v="SHIP-COMMON"/>
    <s v="2000HWO"/>
    <s v="20055075"/>
    <s v="Ashutosh Mathur"/>
    <s v="No"/>
    <s v="manoj.kumar@amns.in"/>
    <s v="9819906271"/>
    <s v="1001270"/>
    <s v="Dhruv Vyas"/>
    <s v="Anil Matoo"/>
    <s v="Praveen Kuruvalli"/>
    <s v="Dhruv Vyas"/>
    <n v="0"/>
  </r>
  <r>
    <n v="4813"/>
    <n v="20056847"/>
    <s v="Vikas Chotia"/>
    <s v="AM/NS India"/>
    <s v="Onroll"/>
    <s v="M-6"/>
    <n v="6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Business Manager - West"/>
    <m/>
    <s v="West"/>
    <s v="Hypermart"/>
    <s v=""/>
    <s v="Non Technical Support"/>
    <s v=""/>
    <s v=""/>
    <s v=""/>
    <s v=""/>
    <s v="Mumbai"/>
    <d v="1981-03-21T00:00:00"/>
    <s v="42.06"/>
    <d v="2022-07-01T00:00:00"/>
    <d v="2039-03-31T00:00:00"/>
    <m/>
    <d v="2039-03-31T00:00:00"/>
    <n v="5671"/>
    <s v="A+"/>
    <s v="MBA-2005 , BSc-2003 , Intermediate-2001"/>
    <s v="16.01"/>
    <s v="01.02"/>
    <s v="17.03"/>
    <s v="00048138"/>
    <s v="Hypermart west"/>
    <s v="283359"/>
    <s v="Business Manager - West"/>
    <s v="Hypermart"/>
    <s v="0060110400"/>
    <s v="HMART-Maharastra Div"/>
    <s v="2000SRET"/>
    <s v="20000812"/>
    <s v="Sitaram Rege"/>
    <s v="No"/>
    <s v="vikas.chotia@amns.in"/>
    <s v="9826985600"/>
    <s v="1001419"/>
    <s v="Dhruv Vyas"/>
    <s v="Anil Matoo"/>
    <s v="Praveen Kuruvalli"/>
    <s v="Dhruv Vyas"/>
    <n v="0"/>
  </r>
  <r>
    <n v="4815"/>
    <n v="20056849"/>
    <s v="Pramod Kumar Sinha"/>
    <s v="AM/NS India"/>
    <s v="Onroll"/>
    <s v="M-9"/>
    <n v="9"/>
    <m/>
    <s v="JM"/>
    <s v="M"/>
    <s v="Mining"/>
    <n v="8"/>
    <s v="2015"/>
    <x v="1"/>
    <s v="22.06"/>
    <s v="Praveen Kuruvalli"/>
    <s v="Ashutosh Telang"/>
    <n v="6"/>
    <s v="HR &amp; Administration"/>
    <s v="Human Resources"/>
    <s v="22"/>
    <s v="Officer HR and Admin"/>
    <m/>
    <s v="HR &amp; Admin"/>
    <s v=""/>
    <s v=""/>
    <s v="Non Technical Support"/>
    <s v=""/>
    <s v=""/>
    <s v=""/>
    <s v=""/>
    <s v="Barbil"/>
    <d v="1978-07-07T00:00:00"/>
    <s v="45.02"/>
    <d v="2022-06-13T00:00:00"/>
    <d v="2036-07-31T00:00:00"/>
    <m/>
    <d v="2036-07-31T00:00:00"/>
    <n v="4698"/>
    <s v="B+"/>
    <s v="PG Diploma in Management-2013 , BA-2002"/>
    <s v="15.06"/>
    <s v="01.03"/>
    <s v="16.08"/>
    <s v="00051987"/>
    <s v="HR - Mining"/>
    <s v="283477"/>
    <s v="Officer HR and Admin"/>
    <s v="Odisha"/>
    <s v="0031950061"/>
    <s v="HZ-Human Resource"/>
    <s v="2000STORIS"/>
    <s v="20059042"/>
    <s v="Murali Sahoo"/>
    <s v="No"/>
    <s v="pramod.sinha@amns.in"/>
    <s v="8660290497"/>
    <s v="1001531"/>
    <s v="Pramod Sinha"/>
    <s v="Anil Matoo"/>
    <s v="Praveen Kuruvalli"/>
    <s v="Dhruv Vyas"/>
    <n v="0"/>
  </r>
  <r>
    <n v="4820"/>
    <n v="20056854"/>
    <s v="Ritesh Agarwal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"/>
    <s v=""/>
    <s v=""/>
    <s v=""/>
    <s v="Hazira"/>
    <d v="1988-11-19T00:00:00"/>
    <s v="34.09"/>
    <d v="2022-06-27T00:00:00"/>
    <d v="2046-11-30T00:00:00"/>
    <m/>
    <d v="2046-11-30T00:00:00"/>
    <n v="8472"/>
    <s v="O+"/>
    <s v="BE-2012 , Intermediate-2007 , SSLC-2005"/>
    <s v="09.11"/>
    <s v="01.02"/>
    <s v="11.01"/>
    <s v="00049335"/>
    <s v="Capex Procurement - Expediting"/>
    <s v="283472"/>
    <s v="Lead – Expeditor Capex"/>
    <s v="Hazira"/>
    <s v="0031950059"/>
    <s v="HZ-Hazira Project"/>
    <s v="2000HWO"/>
    <s v="20057413"/>
    <s v="Vipin Toshniwal"/>
    <s v="No"/>
    <s v="ritesh.agarwal@amns.in"/>
    <s v="9040078266"/>
    <s v="1001739"/>
    <s v="Dhruv Vyas"/>
    <s v="Anil Matoo"/>
    <s v="Praveen Kuruvalli"/>
    <s v="Dhruv Vyas"/>
    <n v="0"/>
  </r>
  <r>
    <n v="4825"/>
    <n v="20056859"/>
    <s v="Mohammed Shafi A K"/>
    <s v="AM/NS India"/>
    <s v="Onroll"/>
    <s v="M-8"/>
    <n v="8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South"/>
    <s v="Hypermart"/>
    <s v=""/>
    <s v="Non Technical Support"/>
    <s v=""/>
    <s v=""/>
    <s v=""/>
    <s v=""/>
    <s v="Cochin"/>
    <d v="1988-12-20T00:00:00"/>
    <s v="34.09"/>
    <d v="2022-07-05T00:00:00"/>
    <d v="2046-12-31T00:00:00"/>
    <m/>
    <d v="2046-12-31T00:00:00"/>
    <n v="8503"/>
    <s v="A+"/>
    <s v="MBA-2013 , BCom-2003"/>
    <s v="08.02"/>
    <s v="01.02"/>
    <s v="09.04"/>
    <s v="00048814"/>
    <s v="Sales South Zone – Hypermart"/>
    <s v="283475"/>
    <s v="Sales Manager - Hypermart"/>
    <s v="Hypermart"/>
    <s v="0060140100"/>
    <s v="HMART-South Zone"/>
    <s v="2000SRET"/>
    <s v="20056279"/>
    <s v="Arun G"/>
    <s v="No"/>
    <s v="mohammed.shafi@amns.in"/>
    <s v="9946649414"/>
    <s v="1001881"/>
    <s v="Dhruv Vyas"/>
    <s v="Anil Matoo"/>
    <s v="Praveen Kuruvalli"/>
    <s v="Dhruv Vyas"/>
    <n v="0"/>
  </r>
  <r>
    <n v="4827"/>
    <n v="20056862"/>
    <s v="Rudresh Priya Ranjan"/>
    <s v="AM/NS India"/>
    <s v="Onroll"/>
    <s v="M-7"/>
    <n v="7"/>
    <m/>
    <s v="MM"/>
    <s v="M"/>
    <s v="Corporate"/>
    <n v="7"/>
    <s v="2060"/>
    <x v="24"/>
    <s v="39.01"/>
    <s v="Sanjay Sharma"/>
    <s v="Sanjay Sharma"/>
    <n v="8"/>
    <s v="Business Development"/>
    <s v="Business Development"/>
    <s v="39"/>
    <s v="Lead - Business Development"/>
    <m/>
    <s v="Business Development"/>
    <s v=""/>
    <s v=""/>
    <s v="Non Technical Support"/>
    <s v=""/>
    <s v=""/>
    <s v=""/>
    <s v=""/>
    <s v="Mumbai"/>
    <d v="1991-11-05T00:00:00"/>
    <s v="31.10"/>
    <d v="2022-06-20T00:00:00"/>
    <d v="2049-11-30T00:00:00"/>
    <m/>
    <d v="2049-11-30T00:00:00"/>
    <n v="9568"/>
    <s v="A+"/>
    <s v="PG Diploma in Management-2022 , BTech-20"/>
    <s v="05.10"/>
    <s v="01.03"/>
    <s v="07.00"/>
    <s v="70494900"/>
    <s v="Business Development"/>
    <s v="283994"/>
    <s v="Lead Business Development"/>
    <s v="Corporate"/>
    <s v="0090000032"/>
    <s v="Business Devpelopmen"/>
    <s v="2000CS"/>
    <s v="20055181"/>
    <s v="Sanjay Sharma"/>
    <s v="No"/>
    <s v="rudresh.ranjan@amns.in"/>
    <s v="7010922485"/>
    <s v="1002593"/>
    <s v="Dhruv Vyas"/>
    <s v="Anil Matoo"/>
    <s v="Praveen Kuruvalli"/>
    <s v="Dhruv Vyas"/>
    <n v="0"/>
  </r>
  <r>
    <n v="4829"/>
    <n v="20056865"/>
    <s v="Rahul Aditya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Process Manager Digitalization"/>
    <m/>
    <s v="Sales Steering &amp; BD"/>
    <s v="Digital Initiatives"/>
    <s v=""/>
    <s v="Non Technical Support"/>
    <s v=""/>
    <s v=""/>
    <s v=""/>
    <s v=""/>
    <s v="Mumbai"/>
    <d v="1983-10-20T00:00:00"/>
    <s v="39.11"/>
    <d v="2022-07-11T00:00:00"/>
    <d v="2041-10-31T00:00:00"/>
    <m/>
    <d v="2041-10-31T00:00:00"/>
    <n v="6616"/>
    <s v="AB+"/>
    <s v="PG Diploma in Management-2013 , BTech-20"/>
    <s v="07.11"/>
    <s v="01.02"/>
    <s v="09.01"/>
    <s v="70462100"/>
    <s v="Digital Initiatives"/>
    <s v="283619"/>
    <s v="Process Manager - Digitalization"/>
    <s v="Corporate"/>
    <s v="0080000005"/>
    <s v="Global Markets Team"/>
    <s v="2000CS"/>
    <s v="20043383"/>
    <s v="Maneesh Moti"/>
    <s v="No"/>
    <s v="rahul.aditya@amns.in"/>
    <s v="7763807623"/>
    <s v="1003225"/>
    <s v="Dhruv Vyas"/>
    <s v="Anil Matoo"/>
    <s v="Praveen Kuruvalli"/>
    <s v="Dhruv Vyas"/>
    <n v="0"/>
  </r>
  <r>
    <n v="4830"/>
    <n v="20056866"/>
    <s v="Amit Gaurav"/>
    <s v="AM/NS India"/>
    <s v="Onroll"/>
    <s v="M-7"/>
    <n v="7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Lead – Expeditor Capex"/>
    <m/>
    <s v=""/>
    <s v=""/>
    <s v=""/>
    <s v="Non Technical Support"/>
    <s v=""/>
    <s v=""/>
    <s v=""/>
    <s v=""/>
    <s v="Hazira"/>
    <d v="1993-08-11T00:00:00"/>
    <s v="30.01"/>
    <d v="2022-07-04T00:00:00"/>
    <d v="2051-08-31T00:00:00"/>
    <m/>
    <d v="2051-08-31T00:00:00"/>
    <n v="10207"/>
    <s v="O+"/>
    <s v="BTech-2014 , Intermediate-2010 , SSLC-20"/>
    <s v="08.00"/>
    <s v="01.02"/>
    <s v="09.02"/>
    <s v="00049335"/>
    <s v="Capex Procurement - Expediting"/>
    <s v="284175"/>
    <s v="Lead – Expeditor Capex"/>
    <s v="Hazira"/>
    <s v="0031950059"/>
    <s v="HZ-Hazira Project"/>
    <s v="2000HWO"/>
    <s v="20057413"/>
    <s v="Vipin Toshniwal"/>
    <s v="No"/>
    <s v="amit.gaurav@amns.in"/>
    <s v="9564997810"/>
    <s v="1003422"/>
    <s v="Dhruv Vyas"/>
    <s v="Anil Matoo"/>
    <s v="Praveen Kuruvalli"/>
    <s v="Dhruv Vyas"/>
    <n v="0"/>
  </r>
  <r>
    <n v="4834"/>
    <n v="20056870"/>
    <s v="Aditya Shrimal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Internal Control &amp; SOX"/>
    <m/>
    <s v="Finance &amp; Accounts"/>
    <s v=""/>
    <s v=""/>
    <s v="Non Technical Support"/>
    <s v="Chairman's Secretariat"/>
    <s v="Chairman's Secretariat"/>
    <s v="74701000"/>
    <s v="Chairman's Secretariat"/>
    <s v="Hazira"/>
    <d v="1992-08-19T00:00:00"/>
    <s v="31.01"/>
    <d v="2022-07-11T00:00:00"/>
    <d v="2050-08-31T00:00:00"/>
    <m/>
    <d v="2050-08-31T00:00:00"/>
    <n v="9842"/>
    <s v="B+"/>
    <s v="BCom-2013 , CA Final-2014 , Intermediate"/>
    <s v="07.07"/>
    <s v="01.02"/>
    <s v="08.09"/>
    <s v="72150219"/>
    <s v="Internal Control &amp; SOX -1"/>
    <s v="284176"/>
    <s v="Lead - Internal Control &amp; SOX"/>
    <s v="Hazira"/>
    <s v="0031950043"/>
    <s v="HZ-Performance Manag"/>
    <s v="2000HWO"/>
    <s v="20000138"/>
    <s v="Suresh Iyer"/>
    <s v="No"/>
    <s v="aditya.shrimal@amns.in"/>
    <s v="9636684027"/>
    <s v="1003506"/>
    <s v="Dhruv Vyas"/>
    <s v="Anil Matoo"/>
    <s v="Praveen Kuruvalli"/>
    <s v="Dhruv Vyas"/>
    <n v="0"/>
  </r>
  <r>
    <n v="4836"/>
    <n v="20056872"/>
    <s v="Rahul Khaitan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- Direct Tax"/>
    <m/>
    <s v="Finance &amp; Accounts"/>
    <s v=""/>
    <s v=""/>
    <s v="Non Technical Support"/>
    <s v=""/>
    <s v=""/>
    <s v=""/>
    <s v=""/>
    <s v="Mumbai"/>
    <d v="1987-12-09T00:00:00"/>
    <s v="35.09"/>
    <d v="2022-07-12T00:00:00"/>
    <d v="2045-12-31T00:00:00"/>
    <m/>
    <d v="2045-12-31T00:00:00"/>
    <n v="8138"/>
    <s v="A+"/>
    <s v="BCom-2009 , Intermediate-2006"/>
    <s v="11.08"/>
    <s v="01.02"/>
    <s v="12.09"/>
    <s v="70495368"/>
    <s v="Direct Taxation"/>
    <s v="284177"/>
    <s v="Sr. Lead - Direct Tax"/>
    <s v="Corporate"/>
    <s v="0090000033"/>
    <s v="Corporate Taxation"/>
    <s v="2000CS"/>
    <s v="20055494"/>
    <s v="Vikas Soni"/>
    <s v="No"/>
    <s v="rahul.khaitan@amns.in"/>
    <s v="9930040621"/>
    <s v="1003538"/>
    <s v="Dhruv Vyas"/>
    <s v="Anil Matoo"/>
    <s v="Praveen Kuruvalli"/>
    <s v="Dhruv Vyas"/>
    <n v="0"/>
  </r>
  <r>
    <n v="4874"/>
    <n v="20056918"/>
    <s v="Rohit Kumar"/>
    <s v="AM/NS India"/>
    <s v="Onroll"/>
    <s v="T-1 (GET)"/>
    <n v="12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Operations"/>
    <s v="Plant Operations"/>
    <s v="72103003"/>
    <s v="Plant Operations"/>
    <s v="Hazira"/>
    <d v="1997-08-21T00:00:00"/>
    <s v="26.00"/>
    <d v="2022-07-18T00:00:00"/>
    <d v="2055-08-31T00:00:00"/>
    <m/>
    <d v="2055-08-31T00:00:00"/>
    <n v="11668"/>
    <s v=""/>
    <s v="BTech-2022 , BTech-2022"/>
    <s v=""/>
    <s v="01.02"/>
    <s v="01.02"/>
    <s v="00044542"/>
    <s v="Procurement -Ferroalloys"/>
    <s v="273595"/>
    <s v="Graduate Engineer Trainee 2022"/>
    <s v="Hazira"/>
    <s v="0031950061"/>
    <s v="HZ-Human Resource"/>
    <s v="2161HAZI"/>
    <s v="20001370"/>
    <s v="Tejas Desai"/>
    <s v="No"/>
    <s v="rohit.kumar1@amns.in"/>
    <s v="9471306425"/>
    <s v="1003876"/>
    <s v="Dhruv Vyas"/>
    <s v="Anil Matoo"/>
    <s v="Praveen Kuruvalli"/>
    <s v="Dhruv Vyas"/>
    <n v="0"/>
  </r>
  <r>
    <n v="4887"/>
    <n v="20056940"/>
    <s v="Yash Trivedi"/>
    <s v="AM/NS India"/>
    <s v="Onroll"/>
    <s v="T-1 (GET)"/>
    <n v="12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Graduate Engineer Trainee 2022"/>
    <m/>
    <s v="West"/>
    <s v="Plate"/>
    <s v=""/>
    <s v="Non Technical Support"/>
    <s v="Operations"/>
    <s v="Plant Operations"/>
    <s v="72103003"/>
    <s v="Plant Operations"/>
    <s v="Ahmedabad"/>
    <d v="1998-01-25T00:00:00"/>
    <s v="25.07"/>
    <d v="2022-07-18T00:00:00"/>
    <d v="2056-01-31T00:00:00"/>
    <m/>
    <d v="2056-01-31T00:00:00"/>
    <n v="11821"/>
    <s v=""/>
    <s v="Diploma-2013"/>
    <s v=""/>
    <s v="01.02"/>
    <s v="01.02"/>
    <s v="00052660"/>
    <s v="Plate Sales"/>
    <s v="273617"/>
    <s v="Graduate Engineer Trainee 2022"/>
    <s v="Hazira"/>
    <s v="0031950061"/>
    <s v="HZ-Human Resource"/>
    <s v="2031MUMB"/>
    <s v="20046414"/>
    <s v="Vinod Ninawe"/>
    <s v="No"/>
    <s v="yash.trivedi@amns.in"/>
    <s v="6358869424"/>
    <s v="874066"/>
    <s v="Dhruv Vyas"/>
    <s v="Anil Matoo"/>
    <s v="Praveen Kuruvalli"/>
    <s v="Dhruv Vyas"/>
    <n v="0"/>
  </r>
  <r>
    <n v="4934"/>
    <n v="20056993"/>
    <s v="Priscilla Mohanty"/>
    <s v="AM/NS India"/>
    <s v="Onroll"/>
    <s v="T-1 (GET)"/>
    <n v="12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Operations"/>
    <s v="Plant Operations"/>
    <s v="72103003"/>
    <s v="Plant Operations"/>
    <s v="AM/NS Hazira"/>
    <d v="1996-04-08T00:00:00"/>
    <s v="27.05"/>
    <d v="2022-07-18T00:00:00"/>
    <d v="2054-04-30T00:00:00"/>
    <m/>
    <d v="2054-04-30T00:00:00"/>
    <n v="11180"/>
    <s v=""/>
    <s v="BTech-2022"/>
    <s v=""/>
    <s v="01.02"/>
    <s v="01.02"/>
    <s v="00052258"/>
    <s v="Proc HSM &amp; CSP MIS"/>
    <s v="273670"/>
    <s v="Graduate Engineer Trainee 2022"/>
    <s v="Hazira"/>
    <s v="0031950061"/>
    <s v="HZ-Human Resource"/>
    <s v="2161HAZI"/>
    <s v="20055591"/>
    <s v="Amol Gaurkar"/>
    <s v="No"/>
    <s v="priscilla.mohanty@amns.in"/>
    <s v="6358869360"/>
    <s v="1003952"/>
    <s v="Dhruv Vyas"/>
    <s v="Anil Matoo"/>
    <s v="Praveen Kuruvalli"/>
    <s v="Dhruv Vyas"/>
    <n v="0"/>
  </r>
  <r>
    <n v="4936"/>
    <n v="20056996"/>
    <s v="Namrata Chowdhari"/>
    <s v="AM/NS India"/>
    <s v="Onroll"/>
    <s v="M-8"/>
    <n v="8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2"/>
    <m/>
    <s v="CMO Office"/>
    <s v="CMO Office"/>
    <s v=""/>
    <s v="Non Technical Support"/>
    <s v=""/>
    <s v=""/>
    <s v="70494642"/>
    <s v="Deputy Director"/>
    <s v="Mumbai"/>
    <d v="1999-10-14T00:00:00"/>
    <s v="23.11"/>
    <d v="2022-07-12T00:00:00"/>
    <d v="2057-10-31T00:00:00"/>
    <m/>
    <d v="2057-10-31T00:00:00"/>
    <n v="12460"/>
    <s v=""/>
    <s v="MBA-2022"/>
    <s v=""/>
    <s v="01.02"/>
    <s v="01.02"/>
    <s v="70139950"/>
    <s v="Sales &amp; Marketing"/>
    <s v="273462"/>
    <s v="EA to CMO"/>
    <s v="Corporate"/>
    <s v="0080000001"/>
    <s v="Head-Marketing"/>
    <s v="2134ESHZ"/>
    <s v="20007104"/>
    <s v="Ranjan Dhar"/>
    <s v="No"/>
    <s v="namrata.chowdhari@amns.in"/>
    <s v="6358869340"/>
    <s v="1003955"/>
    <s v="Dhruv Vyas"/>
    <s v="Anil Matoo"/>
    <s v="Praveen Kuruvalli"/>
    <s v="Dhruv Vyas"/>
    <n v="0"/>
  </r>
  <r>
    <n v="4937"/>
    <n v="20056997"/>
    <s v="Abhishek Pahadi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2"/>
    <m/>
    <s v="CMO Office"/>
    <s v="CMO Office"/>
    <s v=""/>
    <s v="Non Technical Support"/>
    <s v=""/>
    <s v=""/>
    <s v="70494642"/>
    <s v="Deputy Director"/>
    <s v="Mumbai"/>
    <d v="1996-12-20T00:00:00"/>
    <s v="26.09"/>
    <d v="2022-07-12T00:00:00"/>
    <d v="2054-12-31T00:00:00"/>
    <m/>
    <d v="2054-12-31T00:00:00"/>
    <n v="11425"/>
    <s v=""/>
    <s v="MBA-2022"/>
    <s v=""/>
    <s v="01.02"/>
    <s v="01.02"/>
    <s v="70139950"/>
    <s v="Sales &amp; Marketing"/>
    <s v="273463"/>
    <s v="Sales Manager- Hypermart"/>
    <s v="Corporate"/>
    <s v="0060100004"/>
    <s v="HMART-HR/Admin Expen"/>
    <s v="2134ESHZ"/>
    <s v="20007104"/>
    <s v="Ranjan Dhar"/>
    <s v="No"/>
    <s v="abhishek.pahadi@amns.in"/>
    <s v="6358869332"/>
    <s v="1003956"/>
    <s v="Dhruv Vyas"/>
    <s v="Anil Matoo"/>
    <s v="Praveen Kuruvalli"/>
    <s v="Dhruv Vyas"/>
    <n v="0"/>
  </r>
  <r>
    <n v="4938"/>
    <n v="20056998"/>
    <s v="Jatin Sati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2022"/>
    <m/>
    <s v="Auto"/>
    <s v="Auto"/>
    <s v=""/>
    <s v="Non Technical Support"/>
    <s v="Human Resources Management"/>
    <s v="Human Resources Management"/>
    <s v="73501001"/>
    <s v="Human Resources"/>
    <s v="Mumbai"/>
    <d v="1998-06-14T00:00:00"/>
    <s v="25.03"/>
    <d v="2022-07-12T00:00:00"/>
    <d v="2056-06-30T00:00:00"/>
    <m/>
    <d v="2056-06-30T00:00:00"/>
    <n v="11972"/>
    <s v=""/>
    <s v="MBA-2022"/>
    <s v=""/>
    <s v="01.02"/>
    <s v="01.02"/>
    <s v="70343195"/>
    <s v="Automotive Sales &amp; Service Centers"/>
    <s v="273464"/>
    <s v="Jr Key Account Manager- Auto"/>
    <s v="Corporate"/>
    <s v="0090000028"/>
    <s v="Corporate Steel - Wo"/>
    <s v="2134ESHZ"/>
    <s v="20016767"/>
    <s v="Raghavan Venkatachalam"/>
    <s v="No"/>
    <s v="jatin.sati@amns.in"/>
    <s v="6358869335"/>
    <s v="1003957"/>
    <s v="Dhruv Vyas"/>
    <s v="Anil Matoo"/>
    <s v="Praveen Kuruvalli"/>
    <s v="Dhruv Vyas"/>
    <n v="0"/>
  </r>
  <r>
    <n v="4939"/>
    <n v="20056999"/>
    <s v="Manish Kumhar"/>
    <s v="AM/NS India"/>
    <s v="Onroll"/>
    <s v="M-8"/>
    <n v="8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Management Trainee 2022"/>
    <m/>
    <s v=""/>
    <s v=""/>
    <s v=""/>
    <s v="Non Technical Support"/>
    <s v="Human Resources Management"/>
    <s v="Human Resources Management"/>
    <s v="73501001"/>
    <s v="Human Resources"/>
    <s v="Mumbai"/>
    <d v="1998-02-13T00:00:00"/>
    <s v="25.07"/>
    <d v="2022-07-12T00:00:00"/>
    <d v="2056-02-29T00:00:00"/>
    <m/>
    <d v="2056-02-29T00:00:00"/>
    <n v="11850"/>
    <s v=""/>
    <s v="MBA-2022"/>
    <s v=""/>
    <s v="01.02"/>
    <s v="01.02"/>
    <s v="70494717"/>
    <s v="Treasury &amp; Finance"/>
    <s v="273465"/>
    <s v="Lead- Strategic Finance Auto"/>
    <s v="Corporate"/>
    <s v="0031950061"/>
    <s v="HZ-Human Resource"/>
    <s v="2134ESHZ"/>
    <s v="20000870"/>
    <s v="Balajee M"/>
    <s v="No"/>
    <s v="manish.kumhar@amns.in"/>
    <s v="6358869334"/>
    <s v="1003958"/>
    <s v="Dhruv Vyas"/>
    <s v="Anil Matoo"/>
    <s v="Praveen Kuruvalli"/>
    <s v="Dhruv Vyas"/>
    <n v="0"/>
  </r>
  <r>
    <n v="4940"/>
    <n v="20057000"/>
    <s v="Ravina Kumari"/>
    <s v="AM/NS India"/>
    <s v="Onroll"/>
    <s v="M-8"/>
    <n v="8"/>
    <m/>
    <s v="JM"/>
    <s v="F"/>
    <s v="Corporate"/>
    <n v="7"/>
    <s v="2043"/>
    <x v="3"/>
    <s v="31.01"/>
    <s v="Hrishikesh Kamat"/>
    <s v="Hrishikesh Kamat"/>
    <n v="7"/>
    <s v="Procurement"/>
    <s v="Procurement"/>
    <s v="31"/>
    <s v="Management Trainee 2022"/>
    <m/>
    <s v=""/>
    <s v=""/>
    <s v=""/>
    <s v="Non Technical Support"/>
    <s v="Human Resources Management"/>
    <s v="Human Resources Management"/>
    <s v="73501001"/>
    <s v="Human Resources"/>
    <s v="Mumbai"/>
    <d v="1997-03-30T00:00:00"/>
    <s v="26.05"/>
    <d v="2022-07-12T00:00:00"/>
    <d v="2055-03-31T00:00:00"/>
    <m/>
    <d v="2055-03-31T00:00:00"/>
    <n v="11515"/>
    <s v=""/>
    <s v="MBA-2022"/>
    <s v=""/>
    <s v="01.02"/>
    <s v="01.02"/>
    <s v="00045894"/>
    <s v="Blacks"/>
    <s v="273466"/>
    <s v="Asst Buyer- Bulk Raw Material"/>
    <s v="Corporate"/>
    <s v="0031950048"/>
    <s v="HZ-Procurment Depart"/>
    <s v="2134ESHZ"/>
    <s v="20001577"/>
    <s v="Prakash Thakur"/>
    <s v="No"/>
    <s v="ravina.kumari@amns.in"/>
    <s v="6358869336"/>
    <s v="1003959"/>
    <s v="Dhruv Vyas"/>
    <s v="Anil Matoo"/>
    <s v="Praveen Kuruvalli"/>
    <s v="Dhruv Vyas"/>
    <n v="0"/>
  </r>
  <r>
    <n v="4941"/>
    <n v="20057001"/>
    <s v="Urveshkumar Patel"/>
    <s v="AM/NS India"/>
    <s v="Onroll"/>
    <s v="M-8"/>
    <n v="8"/>
    <m/>
    <s v="JM"/>
    <s v="M"/>
    <s v="Corporate"/>
    <n v="7"/>
    <s v="2043"/>
    <x v="3"/>
    <s v="31.01"/>
    <s v="Hrishikesh Kamat"/>
    <s v="Hrishikesh Kamat"/>
    <n v="7"/>
    <s v="Procurement"/>
    <s v="Procurement"/>
    <s v="31"/>
    <s v="Management Trainee 2022"/>
    <m/>
    <s v=""/>
    <s v=""/>
    <s v=""/>
    <s v="Non Technical Support"/>
    <s v="Human Resources Management"/>
    <s v="Human Resources Management"/>
    <s v="73501001"/>
    <s v="Human Resources"/>
    <s v="Hazira"/>
    <d v="1998-03-31T00:00:00"/>
    <s v="25.05"/>
    <d v="2022-07-12T00:00:00"/>
    <d v="2056-03-31T00:00:00"/>
    <m/>
    <d v="2056-03-31T00:00:00"/>
    <n v="11881"/>
    <s v=""/>
    <s v="MBA-2022"/>
    <s v=""/>
    <s v="01.02"/>
    <s v="01.02"/>
    <s v="70495670"/>
    <s v="Contracts"/>
    <s v="273467"/>
    <s v="Lead Contracts"/>
    <s v="Corporate"/>
    <s v="0031950061"/>
    <s v="HZ-Human Resource"/>
    <s v="2134ESHZ"/>
    <s v="20000795"/>
    <s v="Pankaj Chaturvedi"/>
    <s v="No"/>
    <s v="urveshkumar.patel@amns.in"/>
    <s v="6358869337"/>
    <s v="1003960"/>
    <s v="Dhruv Vyas"/>
    <s v="Anil Matoo"/>
    <s v="Praveen Kuruvalli"/>
    <s v="Dhruv Vyas"/>
    <n v="0"/>
  </r>
  <r>
    <n v="4942"/>
    <n v="20057002"/>
    <s v="Chirashree Pal"/>
    <s v="AM/NS India"/>
    <s v="Onroll"/>
    <s v="M-9"/>
    <n v="9"/>
    <m/>
    <s v="JM"/>
    <s v="F"/>
    <s v="Hazira"/>
    <n v="1"/>
    <s v="2015"/>
    <x v="1"/>
    <s v="22.06"/>
    <s v="Anil Matoo"/>
    <s v="Ashutosh Telang"/>
    <n v="6"/>
    <s v="HR &amp; Administration"/>
    <s v="Human Resources"/>
    <s v="22"/>
    <s v="Management Trainee 2022"/>
    <m/>
    <s v="Human Resources"/>
    <s v=""/>
    <s v=""/>
    <s v="Non Technical Support"/>
    <s v=""/>
    <s v=""/>
    <s v="70494644"/>
    <s v="Chief Procurement Officer"/>
    <s v="AM/NS Hazira"/>
    <d v="1995-02-10T00:00:00"/>
    <s v="28.07"/>
    <d v="2022-07-12T00:00:00"/>
    <d v="2053-02-28T00:00:00"/>
    <m/>
    <d v="2053-02-28T00:00:00"/>
    <n v="10754"/>
    <s v=""/>
    <s v="MBA-2022"/>
    <s v=""/>
    <s v="01.02"/>
    <s v="01.02"/>
    <s v="70472770"/>
    <s v="Hazira HR Operations - 1"/>
    <s v="273469"/>
    <s v="HR Business Partner"/>
    <s v="Hazira"/>
    <s v="0031950061"/>
    <s v="HZ-Human Resource"/>
    <s v="2134ESHZ"/>
    <s v="20001265"/>
    <s v="Lakshman Iyer"/>
    <s v="No"/>
    <s v="chirashree.pal@amns.in"/>
    <s v="6358869338"/>
    <s v="1003961"/>
    <s v="Dhruv Vyas"/>
    <s v="Anil Matoo"/>
    <s v="Praveen Kuruvalli"/>
    <s v="Dhruv Vyas"/>
    <n v="0"/>
  </r>
  <r>
    <n v="4943"/>
    <n v="20057003"/>
    <s v="Kaustav Chowdhury"/>
    <s v="AM/NS India"/>
    <s v="Onroll"/>
    <s v="M-9"/>
    <n v="9"/>
    <m/>
    <s v="JM"/>
    <s v="M"/>
    <s v="Corporate"/>
    <n v="7"/>
    <s v="2015"/>
    <x v="1"/>
    <s v="22.06"/>
    <s v="Praveen Kuruvalli"/>
    <s v="Ashutosh Telang"/>
    <n v="6"/>
    <s v="HR &amp; Administration"/>
    <s v="Human Resources"/>
    <s v="22"/>
    <s v="Management Trainee - Human Resources"/>
    <m/>
    <s v="Human Resources"/>
    <s v=""/>
    <s v=""/>
    <s v="Non Technical Support"/>
    <s v="Projects"/>
    <s v="Projects Coordination"/>
    <s v="72103038"/>
    <s v="Projects Coordination"/>
    <s v="Mumbai"/>
    <d v="1998-06-22T00:00:00"/>
    <s v="25.03"/>
    <d v="2022-07-12T00:00:00"/>
    <d v="2056-06-30T00:00:00"/>
    <m/>
    <d v="2056-06-30T00:00:00"/>
    <n v="11972"/>
    <s v=""/>
    <s v="MBA-2022"/>
    <s v=""/>
    <s v="01.02"/>
    <s v="01.02"/>
    <s v="70242278"/>
    <s v="People Strategy &amp; HR Center Excellence"/>
    <s v="273680"/>
    <s v="HR Business Partner"/>
    <s v="Hazira"/>
    <s v="0031950061"/>
    <s v="HZ-Human Resource"/>
    <s v="2134ESHZ"/>
    <s v="20055483"/>
    <s v="Praveen Kuruvalli"/>
    <s v="No"/>
    <s v="kaustav.chowdhury@amns.in"/>
    <s v="6358869339"/>
    <s v="1003962"/>
    <s v="Dhruv Vyas"/>
    <s v="Anil Matoo"/>
    <s v="Praveen Kuruvalli"/>
    <s v="Dhruv Vyas"/>
    <n v="0"/>
  </r>
  <r>
    <n v="4944"/>
    <n v="20057005"/>
    <s v="Saureen Bhatt"/>
    <s v="AM/NS India"/>
    <s v="Onroll"/>
    <s v="M-6"/>
    <n v="6"/>
    <m/>
    <s v="MM"/>
    <s v="M"/>
    <s v="Corporate"/>
    <n v="7"/>
    <s v="2096"/>
    <x v="14"/>
    <s v="36.02"/>
    <s v="Deepak Sindkar"/>
    <s v="Hrishikesh Kamat"/>
    <n v="7"/>
    <s v="Procurement"/>
    <s v="Raw Materials"/>
    <s v="36"/>
    <s v="Sr. Lead – Power &amp; Gas"/>
    <m/>
    <s v="Raw Material"/>
    <s v=""/>
    <s v=""/>
    <s v="Tech. Support Services"/>
    <s v="Commercial"/>
    <s v="Procurement"/>
    <s v="73803001"/>
    <s v="Procurement"/>
    <s v="Mumbai"/>
    <d v="1985-08-03T00:00:00"/>
    <s v="38.01"/>
    <d v="2022-07-19T00:00:00"/>
    <d v="2043-08-31T00:00:00"/>
    <m/>
    <d v="2043-08-31T00:00:00"/>
    <n v="7285"/>
    <s v="A+"/>
    <s v="MBA-2010 , BE-2006 , Intermediate-2002 ,"/>
    <s v="14.01"/>
    <s v="01.02"/>
    <s v="15.02"/>
    <s v="00049516"/>
    <s v="Power &amp; Gas"/>
    <s v="252801"/>
    <s v="Sr. Lead – Power &amp; Gas"/>
    <s v="Corporate"/>
    <s v="0031950048"/>
    <s v="HZ-Procurment Depart"/>
    <s v="2000CS"/>
    <s v="20004612"/>
    <s v="Ramesh Chabhadiya"/>
    <s v="No"/>
    <s v="saureen.bhatt@amns.in"/>
    <s v="9998790823"/>
    <s v="1003816"/>
    <s v="Dhruv Vyas"/>
    <s v="Anil Matoo"/>
    <s v="Praveen Kuruvalli"/>
    <s v="Dhruv Vyas"/>
    <n v="0"/>
  </r>
  <r>
    <n v="4997"/>
    <n v="20057063"/>
    <s v="Ravi Shankar"/>
    <s v="AM/NS India"/>
    <s v="Onroll"/>
    <s v="M-7"/>
    <n v="7"/>
    <m/>
    <s v="MM"/>
    <s v="M"/>
    <s v="Hazira"/>
    <n v="1"/>
    <s v="2071"/>
    <x v="22"/>
    <s v="41.01"/>
    <s v="P Ashok Kumar"/>
    <s v="P Ashok Kumar"/>
    <n v="9"/>
    <s v="Legal"/>
    <s v="Legal"/>
    <s v="41"/>
    <s v="Legal Counsel, Hazira"/>
    <m/>
    <s v="Legal"/>
    <s v=""/>
    <s v=""/>
    <s v="Non Technical Support"/>
    <s v="Legal"/>
    <s v="Legal"/>
    <s v="73201001"/>
    <s v="Legal"/>
    <s v="Hazira"/>
    <d v="1985-03-25T00:00:00"/>
    <s v="38.05"/>
    <d v="2022-07-18T00:00:00"/>
    <d v="2043-03-31T00:00:00"/>
    <m/>
    <d v="2043-03-31T00:00:00"/>
    <n v="7132"/>
    <s v="A+"/>
    <s v="LLB-2009 , Intermediate-2004 , Intermedi"/>
    <s v="11.11"/>
    <s v="01.02"/>
    <s v="13.01"/>
    <s v="70494754"/>
    <s v="Legal"/>
    <s v="273394"/>
    <s v="Head - Legal Hazira"/>
    <s v="Hazira"/>
    <s v="0090000019"/>
    <s v="Corporate Steel - Le"/>
    <s v="2000HWO"/>
    <s v="20055235"/>
    <s v="P Ashok Kumar"/>
    <s v="No"/>
    <s v="ravi.shankar@amns.in"/>
    <s v="7486014006"/>
    <s v="1004223"/>
    <s v="Dhruv Vyas"/>
    <s v="Anil Matoo"/>
    <s v="Praveen Kuruvalli"/>
    <s v="Dhruv Vyas"/>
    <n v="0"/>
  </r>
  <r>
    <n v="5031"/>
    <n v="20057098"/>
    <s v="Brijesh Kedia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- Capex Procurement"/>
    <m/>
    <s v=""/>
    <s v=""/>
    <s v=""/>
    <s v="Non Technical Support"/>
    <s v="Execution"/>
    <s v="Electrical"/>
    <s v="72303027"/>
    <s v="Electrical"/>
    <s v="Hazira"/>
    <d v="1994-09-22T00:00:00"/>
    <s v="28.11"/>
    <d v="2022-07-22T00:00:00"/>
    <d v="2052-09-30T00:00:00"/>
    <m/>
    <d v="2052-09-30T00:00:00"/>
    <n v="10603"/>
    <s v="A+"/>
    <s v="BTech-2017 , Intermediate-2013 , Interme"/>
    <s v="04.11"/>
    <s v="01.01"/>
    <s v="06.01"/>
    <s v="00049342"/>
    <s v="Capex Procurement"/>
    <s v="70494197"/>
    <s v="Officer - Capex Procurement"/>
    <s v="Hazira"/>
    <s v="0031950059"/>
    <s v="HZ-Hazira Project"/>
    <s v="2000HWO"/>
    <s v="20055712"/>
    <s v="Ravi Goyal"/>
    <s v="No"/>
    <s v="brijesh.kedia@amns.in"/>
    <s v="7486014008"/>
    <s v="1004228"/>
    <s v="Dhruv Vyas"/>
    <s v="Anil Matoo"/>
    <s v="Praveen Kuruvalli"/>
    <s v="Dhruv Vyas"/>
    <n v="0"/>
  </r>
  <r>
    <n v="5033"/>
    <n v="20057100"/>
    <s v="Vijay Bhochiya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Commercial"/>
    <s v="Stores &amp; Warehouse"/>
    <s v="73806001"/>
    <s v="Stores &amp; Warehouse"/>
    <s v="Hazira"/>
    <d v="2000-01-17T00:00:00"/>
    <s v="23.08"/>
    <d v="2022-07-10T00:00:00"/>
    <d v="2058-01-31T00:00:00"/>
    <m/>
    <d v="2058-01-31T00:00:00"/>
    <n v="12552"/>
    <s v=""/>
    <s v="Diploma-2018"/>
    <s v=""/>
    <s v="01.02"/>
    <s v="01.02"/>
    <s v="00053279"/>
    <s v="Receipts &amp; Unloading - Plant A"/>
    <s v="284722"/>
    <s v="Engineer"/>
    <s v="Hazira"/>
    <s v="0031313111"/>
    <s v="SMS - EAF Operations"/>
    <s v="2012HAZI"/>
    <s v="20006916"/>
    <s v="Mir Ali Martaja"/>
    <s v="No"/>
    <s v="vijay.bhochiya@amns.in"/>
    <s v="9879103534"/>
    <s v="26179"/>
    <s v="Dhruv Vyas"/>
    <s v="Anil Matoo"/>
    <s v="Praveen Kuruvalli"/>
    <s v="Dhruv Vyas"/>
    <n v="0"/>
  </r>
  <r>
    <n v="5061"/>
    <n v="20057132"/>
    <s v="Amarnadh Kadiri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Section Engineer-BRM"/>
    <m/>
    <s v="Procurement"/>
    <s v="Procurement"/>
    <s v="Procurement"/>
    <s v="Non Technical Support"/>
    <s v=""/>
    <s v=""/>
    <s v=""/>
    <s v=""/>
    <s v="Vizag"/>
    <d v="1988-08-22T00:00:00"/>
    <s v="35.00"/>
    <d v="2022-08-01T00:00:00"/>
    <d v="2046-08-31T00:00:00"/>
    <m/>
    <d v="2046-08-31T00:00:00"/>
    <n v="8381"/>
    <s v="B+"/>
    <s v="BTech-2010 , Intermediate-2006 , SSLC-20"/>
    <s v="12.07"/>
    <s v="01.01"/>
    <s v="13.08"/>
    <s v="70301353"/>
    <s v="Procurement - Vizag &amp; Chitrakonda"/>
    <s v="285388"/>
    <s v="Section Engineer-BRM"/>
    <s v="Vizag"/>
    <s v="0028030019"/>
    <s v="VIZ-Personnel &amp; Admi"/>
    <s v="2000VIZOPS"/>
    <s v="20000200"/>
    <s v="A Venkateswara Rao"/>
    <s v="No"/>
    <s v="kadiri.amarnadh@amns.in"/>
    <s v="8985095945"/>
    <s v="1005775"/>
    <s v="DS Varma"/>
    <s v="Anil Matoo"/>
    <n v="0"/>
    <s v="DS Varma"/>
    <n v="0"/>
  </r>
  <r>
    <n v="5063"/>
    <n v="20057134"/>
    <s v="Sandeep Mohanty"/>
    <s v="AM/NS India"/>
    <s v="Onroll"/>
    <s v="M-8"/>
    <n v="8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Lead - Secondary Sales"/>
    <m/>
    <s v="Secondary Sales"/>
    <s v=""/>
    <s v=""/>
    <s v="Non Technical Support"/>
    <s v=""/>
    <s v=""/>
    <s v=""/>
    <s v=""/>
    <s v="Hazira"/>
    <d v="1992-05-15T00:00:00"/>
    <s v="31.04"/>
    <d v="2022-07-29T00:00:00"/>
    <d v="2050-05-31T00:00:00"/>
    <m/>
    <d v="2050-05-31T00:00:00"/>
    <n v="9750"/>
    <s v="O+"/>
    <s v="BTech-2013 , Intermediate-2009 , Interme"/>
    <s v="06.10"/>
    <s v="01.01"/>
    <s v="07.11"/>
    <s v="00049357"/>
    <s v="Secondary Sales"/>
    <s v="285452"/>
    <s v="Lead - Secondary Sales"/>
    <s v="Hazira"/>
    <s v="0031950059"/>
    <s v="HZ-Hazira Project"/>
    <s v="2000HWO"/>
    <s v="20055763"/>
    <s v="Debashis Mohapatra"/>
    <s v="No"/>
    <s v="sandeep.mohanty@amns.in"/>
    <s v="7486014018"/>
    <s v="1005874"/>
    <s v="Dhruv Vyas"/>
    <s v="Anil Matoo"/>
    <s v="Praveen Kuruvalli"/>
    <s v="Dhruv Vyas"/>
    <n v="0"/>
  </r>
  <r>
    <n v="5064"/>
    <n v="20057135"/>
    <s v="Rahul Raj"/>
    <s v="AM/NS India"/>
    <s v="Onroll"/>
    <s v="M-7"/>
    <n v="7"/>
    <m/>
    <s v="M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HRBP - Service Centre &amp; Hypermart"/>
    <m/>
    <s v="Human Resources"/>
    <s v="Human Resources"/>
    <s v="Human Resources"/>
    <s v="Non Technical Support"/>
    <s v="Human Resources Management"/>
    <s v="Human Resources Management"/>
    <s v="73501001"/>
    <s v="Human Resources"/>
    <s v="Pune"/>
    <d v="1986-11-26T00:00:00"/>
    <s v="36.09"/>
    <d v="2022-07-27T00:00:00"/>
    <d v="2044-11-30T00:00:00"/>
    <m/>
    <d v="2044-11-30T00:00:00"/>
    <n v="7742"/>
    <s v="B+"/>
    <s v="PG Diploma in Management-2015 , BE-2010"/>
    <s v="07.02"/>
    <s v="01.01"/>
    <s v="08.03"/>
    <s v="00044376"/>
    <s v="Service Center &amp; Hypermart HR"/>
    <s v="70495656"/>
    <s v="HRBP - Service Centre &amp; Hypermart"/>
    <s v="Service Center"/>
    <s v="0040000000"/>
    <s v="SC - Common"/>
    <s v="2000CS"/>
    <s v="20055483"/>
    <s v="Praveen Kuruvalli"/>
    <s v="No"/>
    <s v="rahul.raj@amns.in"/>
    <s v="8334847074"/>
    <s v="1006065"/>
    <s v="Dhruv Vyas"/>
    <s v="Anil Matoo"/>
    <s v="Praveen Kuruvalli"/>
    <s v="Dhruv Vyas"/>
    <n v="0"/>
  </r>
  <r>
    <n v="5067"/>
    <n v="20057138"/>
    <s v="Anil Sanjava"/>
    <s v="AM/NS India"/>
    <s v="Onroll"/>
    <s v="M-9"/>
    <n v="9"/>
    <m/>
    <s v="J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isition"/>
    <m/>
    <s v="Land Acquisition"/>
    <s v=""/>
    <s v=""/>
    <s v="Non Technical Support"/>
    <s v=""/>
    <s v=""/>
    <s v=""/>
    <s v=""/>
    <s v="AM/NS Hazira"/>
    <d v="1985-02-24T00:00:00"/>
    <s v="38.06"/>
    <d v="2022-08-03T00:00:00"/>
    <d v="2043-02-28T00:00:00"/>
    <m/>
    <d v="2043-02-28T00:00:00"/>
    <n v="7101"/>
    <s v="B+"/>
    <s v="Master's Equivalent-2010 , BA-2005 , Int"/>
    <s v="06.01"/>
    <s v="01.01"/>
    <s v="07.02"/>
    <s v="70495436"/>
    <s v="Land Property"/>
    <s v="285613"/>
    <s v="Lead - Land Matters"/>
    <s v="Hazira"/>
    <s v="0090000021"/>
    <s v="Corporate Affairs"/>
    <s v="2000HWO"/>
    <s v="20059561"/>
    <s v="Bhavdip Jathal"/>
    <s v="No"/>
    <s v="anil.sanjava@amns.in"/>
    <s v="7486014218"/>
    <s v="1006172"/>
    <s v="Dhruv Vyas"/>
    <s v="Anil Matoo"/>
    <s v="Praveen Kuruvalli"/>
    <s v="Dhruv Vyas"/>
    <n v="0"/>
  </r>
  <r>
    <n v="5069"/>
    <n v="20057140"/>
    <s v="Simran Pitliya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– Corporate Accounts"/>
    <m/>
    <s v="Finance &amp; Accounts"/>
    <s v=""/>
    <s v=""/>
    <s v="Non Technical Support"/>
    <s v="Projects"/>
    <s v="Projects Coordination"/>
    <s v="72103038"/>
    <s v="Projects Coordination"/>
    <s v="AM/NS Hazira"/>
    <d v="1997-02-07T00:00:00"/>
    <s v="26.07"/>
    <d v="2022-07-25T00:00:00"/>
    <d v="2055-02-28T00:00:00"/>
    <m/>
    <d v="2055-02-28T00:00:00"/>
    <n v="11484"/>
    <s v="B+"/>
    <s v="MCom-2019 , CA Final-2019 , BCom-2017 ,"/>
    <s v="02.02"/>
    <s v="01.01"/>
    <s v="03.03"/>
    <s v="70495666"/>
    <s v="Corporate Asset Management"/>
    <s v="273338"/>
    <s v="Officer – Corporate Accounts"/>
    <s v="Hazira"/>
    <s v="0090000027"/>
    <s v="Corporate Steel - Ac"/>
    <s v="2000HWO"/>
    <s v="20045482"/>
    <s v="Sandeep Soni"/>
    <s v="No"/>
    <s v="simran.pitliya@amns.in"/>
    <s v="9820032018"/>
    <s v="1006201"/>
    <s v="Dhruv Vyas"/>
    <s v="Anil Matoo"/>
    <s v="Praveen Kuruvalli"/>
    <s v="Dhruv Vyas"/>
    <n v="0"/>
  </r>
  <r>
    <n v="5071"/>
    <n v="20057142"/>
    <s v="Yagnik Vala"/>
    <s v="AM/NS India"/>
    <s v="Onroll"/>
    <s v="M-9"/>
    <n v="9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Officer - MRO Procurement"/>
    <m/>
    <s v="Procurement"/>
    <s v=""/>
    <s v=""/>
    <s v="Non Technical Support"/>
    <s v=""/>
    <s v=""/>
    <s v=""/>
    <s v=""/>
    <s v="Hazira"/>
    <d v="1996-01-28T00:00:00"/>
    <s v="27.07"/>
    <d v="2022-08-01T00:00:00"/>
    <d v="2054-01-31T00:00:00"/>
    <m/>
    <d v="2054-01-31T00:00:00"/>
    <n v="11091"/>
    <s v="A+"/>
    <s v="BE-2017 , Intermediate-2013 , Intermedia"/>
    <s v="03.11"/>
    <s v="01.01"/>
    <s v="05.00"/>
    <s v="00044544"/>
    <s v="Rolls Lubes  System Development"/>
    <s v="285548"/>
    <s v="Officer - MRO Procurement"/>
    <s v="Hazira"/>
    <s v="0031950048"/>
    <s v="HZ-Procurment Depart"/>
    <s v="2000HWO"/>
    <s v="20052026"/>
    <s v="Jigneshkumar Patel"/>
    <s v="No"/>
    <s v="yagnik.vala@amns.in"/>
    <s v="9023866253"/>
    <s v="1006267"/>
    <s v="Dhruv Vyas"/>
    <s v="Anil Matoo"/>
    <s v="Praveen Kuruvalli"/>
    <s v="Dhruv Vyas"/>
    <n v="0"/>
  </r>
  <r>
    <n v="5080"/>
    <n v="20057151"/>
    <s v="Chaitali Panchal"/>
    <s v="AM/NS India"/>
    <s v="Onroll"/>
    <s v="M-10"/>
    <n v="10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Officer – Capex Procurement"/>
    <m/>
    <s v=""/>
    <s v=""/>
    <s v=""/>
    <s v="Non Technical Support"/>
    <s v=""/>
    <s v=""/>
    <s v=""/>
    <s v=""/>
    <s v="Hazira"/>
    <d v="1996-09-27T00:00:00"/>
    <s v="26.11"/>
    <d v="2022-08-08T00:00:00"/>
    <d v="2054-09-30T00:00:00"/>
    <m/>
    <d v="2054-09-30T00:00:00"/>
    <n v="11333"/>
    <s v="O-"/>
    <s v="BE-2018 , Diploma-2015 , Intermediate-20"/>
    <s v="03.01"/>
    <s v="01.01"/>
    <s v="04.02"/>
    <s v="00049515"/>
    <s v="Capex Procurement"/>
    <s v="285915"/>
    <s v="Officer – Capex Procurement"/>
    <s v="Hazira"/>
    <s v="0031950059"/>
    <s v="HZ-Hazira Project"/>
    <s v="2000HWO"/>
    <s v="20054320"/>
    <s v="Sanjaykumar Kanani"/>
    <s v="No"/>
    <s v="chaitali.panchal@amns.in"/>
    <s v="6359799279"/>
    <s v="25298"/>
    <s v="Dhruv Vyas"/>
    <s v="Anil Matoo"/>
    <s v="Praveen Kuruvalli"/>
    <s v="Dhruv Vyas"/>
    <n v="0"/>
  </r>
  <r>
    <n v="5082"/>
    <n v="20057154"/>
    <s v="Navin Kumar Amang"/>
    <s v="AM/NS India"/>
    <s v="Onroll"/>
    <s v="M-9"/>
    <n v="9"/>
    <m/>
    <s v="JM"/>
    <s v="M"/>
    <s v="Vizag"/>
    <n v="3"/>
    <s v="2094"/>
    <x v="21"/>
    <s v="27.10"/>
    <s v="Vikas Chandra Yadvendu"/>
    <s v="Ashutosh Telang"/>
    <n v="6"/>
    <s v="HR &amp; Administration"/>
    <s v="Corporate SocialResponsibility"/>
    <s v="27"/>
    <s v="Lead-CSR"/>
    <m/>
    <s v="Corporate Social Responsibility"/>
    <s v="CSR"/>
    <s v="CSR"/>
    <s v="Non Technical Support"/>
    <s v="Human Resources Management"/>
    <s v="Human Resources Management"/>
    <s v="73501001"/>
    <s v="Human Resources"/>
    <s v="Chitrakonda"/>
    <d v="1991-01-03T00:00:00"/>
    <s v="32.08"/>
    <d v="2022-08-10T00:00:00"/>
    <d v="2049-01-31T00:00:00"/>
    <m/>
    <d v="2049-01-31T00:00:00"/>
    <n v="9265"/>
    <s v="B+"/>
    <s v="MSc Engg-2016 , Intermediate-2014 , Inte"/>
    <s v="06.03"/>
    <s v="01.01"/>
    <s v="07.04"/>
    <s v="70495661"/>
    <s v="Corporate Social Responsibility"/>
    <s v="285722"/>
    <s v="Lead-CSR"/>
    <s v="Vizag"/>
    <s v="0028030019"/>
    <s v="VIZ-Personnel &amp; Admi"/>
    <s v="2000VIZOPS"/>
    <s v="20055033"/>
    <s v="Vikas Chandra Yadvendu"/>
    <s v="No"/>
    <s v="navin.amang@amns.in"/>
    <s v="9867267442"/>
    <s v="1007059"/>
    <s v="DS Varma"/>
    <s v="Anil Matoo"/>
    <n v="0"/>
    <s v="DS Varma"/>
    <n v="0"/>
  </r>
  <r>
    <n v="5084"/>
    <n v="20057157"/>
    <s v="Lopamudra Mohanty"/>
    <s v="AM/NS India"/>
    <s v="Onroll"/>
    <s v="T-1 (GET)"/>
    <n v="12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Commercial"/>
    <s v="Procurement"/>
    <s v="73803001"/>
    <s v="Procurement"/>
    <s v="Hazira"/>
    <d v="1996-09-30T00:00:00"/>
    <s v="26.11"/>
    <d v="2022-08-08T00:00:00"/>
    <d v="2054-09-30T00:00:00"/>
    <m/>
    <d v="2054-09-30T00:00:00"/>
    <n v="11333"/>
    <s v=""/>
    <s v="MTech-2022 , Diploma-2019 , BTech-2019 ,"/>
    <s v=""/>
    <s v="01.01"/>
    <s v="01.01"/>
    <s v="00049358"/>
    <s v="Capex Procurement"/>
    <s v="273471"/>
    <s v="Graduate Engineer Trainee 2022"/>
    <s v="Hazira"/>
    <s v="0031950061"/>
    <s v="HZ-Human Resource"/>
    <s v="2020HAZI"/>
    <s v="20056520"/>
    <s v="Ankit Panchal"/>
    <s v="No"/>
    <s v="lopamudra.mohanty@amns.in"/>
    <s v="7486014121"/>
    <s v="1007241"/>
    <s v="Dhruv Vyas"/>
    <s v="Anil Matoo"/>
    <s v="Praveen Kuruvalli"/>
    <s v="Dhruv Vyas"/>
    <n v="0"/>
  </r>
  <r>
    <n v="5095"/>
    <n v="20057175"/>
    <s v="Anjali Prasad"/>
    <s v="AM/NS India"/>
    <s v="Onroll"/>
    <s v="T-1 (GET)"/>
    <n v="12"/>
    <m/>
    <s v="JM"/>
    <s v="F"/>
    <s v="Hazira"/>
    <n v="1"/>
    <s v="2054"/>
    <x v="9"/>
    <s v="32.01"/>
    <s v="Pankaj Chaturvedi"/>
    <s v="Hrishikesh Kamat"/>
    <n v="7"/>
    <s v="Procurement"/>
    <s v="Contracts"/>
    <s v="32"/>
    <s v="Graduate Engineer Trainee 2022"/>
    <m/>
    <s v=""/>
    <s v=""/>
    <s v=""/>
    <s v="Non Technical Support"/>
    <s v="Services"/>
    <s v="Power Distribution services"/>
    <s v="72103027"/>
    <s v="Power Distribution Operat"/>
    <s v="AM/NS Hazira"/>
    <d v="1996-02-22T00:00:00"/>
    <s v="27.06"/>
    <d v="2022-08-08T00:00:00"/>
    <d v="2054-02-28T00:00:00"/>
    <m/>
    <d v="2054-02-28T00:00:00"/>
    <n v="11119"/>
    <s v=""/>
    <s v="MTech-2021"/>
    <s v=""/>
    <s v="01.01"/>
    <s v="01.01"/>
    <s v="70495670"/>
    <s v="Contracts"/>
    <s v="273683"/>
    <s v="Graduate Engineer Trainee 2022"/>
    <s v="Hazira"/>
    <s v="0031950061"/>
    <s v="HZ-Human Resource"/>
    <s v="2054HAZI"/>
    <s v="20000795"/>
    <s v="Pankaj Chaturvedi"/>
    <s v="No"/>
    <s v="anjali.prasad@amns.in"/>
    <s v="7024642785"/>
    <s v="1007255"/>
    <s v="Dhruv Vyas"/>
    <s v="Anil Matoo"/>
    <s v="Praveen Kuruvalli"/>
    <s v="Dhruv Vyas"/>
    <n v="0"/>
  </r>
  <r>
    <n v="5100"/>
    <n v="20057181"/>
    <s v="Rajat Raj"/>
    <s v="AM/NS India"/>
    <s v="Onroll"/>
    <s v="M-9"/>
    <n v="9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Services"/>
    <s v="Maintenance Services"/>
    <s v="72103012"/>
    <s v="Maintenance Services"/>
    <s v="AM/NS Hazira"/>
    <d v="1992-09-11T00:00:00"/>
    <s v="31.00"/>
    <d v="2022-08-08T00:00:00"/>
    <d v="2050-09-30T00:00:00"/>
    <m/>
    <d v="2050-09-30T00:00:00"/>
    <n v="9872"/>
    <s v=""/>
    <s v="BTech-2008"/>
    <s v=""/>
    <s v="01.01"/>
    <s v="01.01"/>
    <s v="00051524"/>
    <s v="Pro HED"/>
    <s v="273689"/>
    <s v="Graduate Engineer Trainee 2022"/>
    <s v="Hazira"/>
    <s v="0031950061"/>
    <s v="HZ-Human Resource"/>
    <s v="2043ESHZ"/>
    <s v="20055691"/>
    <s v="Dipesh Sudamrao Rathod"/>
    <s v="No"/>
    <s v="rajat.raj@amns.in"/>
    <s v="7486014100"/>
    <s v="1007262"/>
    <s v="Dhruv Vyas"/>
    <s v="Anil Matoo"/>
    <s v="Praveen Kuruvalli"/>
    <s v="Dhruv Vyas"/>
    <n v="0"/>
  </r>
  <r>
    <n v="5103"/>
    <n v="20057186"/>
    <s v="Suriya Prakash S"/>
    <s v="AM/NS India"/>
    <s v="Onroll"/>
    <s v="T-1 (GET)"/>
    <n v="12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Graduate Engineer Trainee 2022"/>
    <m/>
    <s v="South"/>
    <s v="Plate"/>
    <s v=""/>
    <s v="Non Technical Support"/>
    <s v="Services"/>
    <s v="Maintenance Services"/>
    <s v="72103012"/>
    <s v="Maintenance Services"/>
    <s v="Chennai"/>
    <d v="1998-06-02T00:00:00"/>
    <s v="25.03"/>
    <d v="2022-08-08T00:00:00"/>
    <d v="2056-06-30T00:00:00"/>
    <m/>
    <d v="2056-06-30T00:00:00"/>
    <n v="11972"/>
    <s v=""/>
    <s v="BTech-2013"/>
    <s v=""/>
    <s v="01.01"/>
    <s v="01.01"/>
    <s v="00052473"/>
    <s v="KAM - Plate Sales"/>
    <s v="273694"/>
    <s v="Graduate Engineer Trainee 2022"/>
    <s v="Hazira"/>
    <s v="0031950061"/>
    <s v="HZ-Human Resource"/>
    <s v="2031MUMB"/>
    <s v="20002639"/>
    <s v="Kathiresan K"/>
    <s v="No"/>
    <s v="suriyaprakash.s@amns.in"/>
    <s v="8754726530"/>
    <s v="1007267"/>
    <s v="Dhruv Vyas"/>
    <s v="Anil Matoo"/>
    <s v="Praveen Kuruvalli"/>
    <s v="Dhruv Vyas"/>
    <n v="0"/>
  </r>
  <r>
    <n v="5117"/>
    <n v="20057206"/>
    <s v="Swati Joshi"/>
    <s v="AM/NS India"/>
    <s v="Onroll"/>
    <s v="T-1 (GET)"/>
    <n v="12"/>
    <m/>
    <s v="JM"/>
    <s v="F"/>
    <s v="Hazira"/>
    <n v="1"/>
    <s v="2161"/>
    <x v="15"/>
    <s v="31.02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Services"/>
    <s v="Maintenance Services"/>
    <s v="72103015"/>
    <s v="Instrumentation &amp; Automat"/>
    <s v="Hazira"/>
    <d v="1994-10-25T00:00:00"/>
    <s v="28.10"/>
    <d v="2022-08-08T00:00:00"/>
    <d v="2052-10-31T00:00:00"/>
    <m/>
    <d v="2052-10-31T00:00:00"/>
    <n v="10634"/>
    <s v=""/>
    <s v="MTech-2021"/>
    <s v=""/>
    <s v="01.01"/>
    <s v="01.01"/>
    <s v="00049359"/>
    <s v="Capex Services"/>
    <s v="273714"/>
    <s v="Graduate Engineer Trainee 2022"/>
    <s v="Hazira"/>
    <s v="0031950061"/>
    <s v="HZ-Human Resource"/>
    <s v="2020HAZI"/>
    <s v="20055446"/>
    <s v="Chitrang Rana"/>
    <s v="No"/>
    <s v="swati.joshi@amns.in"/>
    <s v="8650846722"/>
    <s v="1007285"/>
    <s v="Dhruv Vyas"/>
    <s v="Anil Matoo"/>
    <s v="Praveen Kuruvalli"/>
    <s v="Dhruv Vyas"/>
    <n v="0"/>
  </r>
  <r>
    <n v="5141"/>
    <n v="20057238"/>
    <s v="Shatrughna Sethy"/>
    <s v="AM/NS India"/>
    <s v="Onroll"/>
    <s v="T-1 (GET)"/>
    <n v="12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Graduate Engineer Trainee 2022"/>
    <m/>
    <s v="Other West"/>
    <s v="Plate"/>
    <s v=""/>
    <s v="Non Technical Support"/>
    <s v="Operations"/>
    <s v="Operations"/>
    <s v="72103001"/>
    <s v="Operations"/>
    <s v="Mumbai"/>
    <d v="1995-06-05T00:00:00"/>
    <s v="28.03"/>
    <d v="2022-08-08T00:00:00"/>
    <d v="2053-06-30T00:00:00"/>
    <m/>
    <d v="2053-06-30T00:00:00"/>
    <n v="10876"/>
    <s v=""/>
    <s v="BTech-2011"/>
    <s v=""/>
    <s v="01.01"/>
    <s v="01.01"/>
    <s v="70495309"/>
    <s v="Sales West Zone"/>
    <s v="273746"/>
    <s v="Graduate Engineer Trainee 2022"/>
    <s v="Hazira"/>
    <s v="0031950061"/>
    <s v="HZ-Human Resource"/>
    <s v="2031MUMB"/>
    <s v="20047683"/>
    <s v="Virat Vij"/>
    <s v="No"/>
    <s v="shatrughna.sethy@amns.in"/>
    <s v="7605950983"/>
    <s v="1007310"/>
    <s v="Dhruv Vyas"/>
    <s v="Anil Matoo"/>
    <s v="Praveen Kuruvalli"/>
    <s v="Dhruv Vyas"/>
    <n v="0"/>
  </r>
  <r>
    <n v="5145"/>
    <n v="20057242"/>
    <s v="Dhageti Sandhya"/>
    <s v="AM/NS India"/>
    <s v="Onroll"/>
    <s v="T-1 (GET)"/>
    <n v="12"/>
    <m/>
    <s v="JM"/>
    <s v="F"/>
    <s v="Hazira"/>
    <n v="1"/>
    <s v="2043"/>
    <x v="3"/>
    <s v="31.01"/>
    <s v="Hrishikesh Kamat"/>
    <s v="Hrishikesh Kamat"/>
    <n v="7"/>
    <s v="Procurement"/>
    <s v="Procurement"/>
    <s v="31"/>
    <s v="Graduate Engineer Trainee 2022"/>
    <m/>
    <s v=""/>
    <s v=""/>
    <s v=""/>
    <s v="Non Technical Support"/>
    <s v="Operations"/>
    <s v="Operations"/>
    <s v="72103001"/>
    <s v="Operations"/>
    <s v="AM/NS Hazira"/>
    <d v="2001-06-18T00:00:00"/>
    <s v="22.03"/>
    <d v="2022-08-08T00:00:00"/>
    <d v="2059-06-30T00:00:00"/>
    <m/>
    <d v="2059-06-30T00:00:00"/>
    <n v="13067"/>
    <s v=""/>
    <s v="BTech-2022"/>
    <s v=""/>
    <s v="01.01"/>
    <s v="01.01"/>
    <s v="72150383"/>
    <s v="Procurement (MRO/IP &amp; Consumable)"/>
    <s v="273750"/>
    <s v="Graduate Engineer Trainee 2022"/>
    <s v="Hazira"/>
    <s v="0031950061"/>
    <s v="HZ-Human Resource"/>
    <s v="2134ESHZ"/>
    <s v="20000201"/>
    <s v="Manish Bakriwala"/>
    <s v="No"/>
    <s v="dhageti.sandhya@amns.in"/>
    <s v="7486014120"/>
    <s v="1007314"/>
    <s v="Dhruv Vyas"/>
    <s v="Anil Matoo"/>
    <s v="Praveen Kuruvalli"/>
    <s v="Dhruv Vyas"/>
    <n v="0"/>
  </r>
  <r>
    <n v="5152"/>
    <n v="20057251"/>
    <s v="Toshit Kumar"/>
    <s v="AM/NS India"/>
    <s v="Onroll"/>
    <s v="T-1 (GET)"/>
    <n v="12"/>
    <m/>
    <s v="JM"/>
    <s v="M"/>
    <s v="Hazira"/>
    <n v="1"/>
    <s v="2096"/>
    <x v="14"/>
    <s v="36.02"/>
    <s v="Hrishikesh Kamat"/>
    <s v="Hrishikesh Kamat"/>
    <n v="7"/>
    <s v="Procurement"/>
    <s v="Raw Materials"/>
    <s v="36"/>
    <s v="Graduate Engineer Trainee 2022"/>
    <m/>
    <s v=""/>
    <s v=""/>
    <s v=""/>
    <s v="Operations"/>
    <s v="R&amp; D and QA/QC"/>
    <s v="QA &amp; QC"/>
    <s v="72103034"/>
    <s v="QA &amp; QC"/>
    <s v="Mumbai"/>
    <d v="1995-09-01T00:00:00"/>
    <s v="28.00"/>
    <d v="2022-08-08T00:00:00"/>
    <d v="2053-08-31T00:00:00"/>
    <m/>
    <d v="2053-08-31T00:00:00"/>
    <n v="10938"/>
    <s v=""/>
    <s v="MS-2022"/>
    <s v=""/>
    <s v="01.01"/>
    <s v="01.01"/>
    <s v="70494654"/>
    <s v="Finance"/>
    <s v="273759"/>
    <s v="Graduate Engineer Trainee 2022"/>
    <s v="Hazira"/>
    <s v="0031950061"/>
    <s v="HZ-Human Resource"/>
    <s v="2134ESHZ"/>
    <s v="20057933"/>
    <s v="Akiyo Omori"/>
    <s v="No"/>
    <s v="toshit.kumar@amns.in"/>
    <s v="6377436574"/>
    <s v="1007322"/>
    <s v="Lakshman Iyer"/>
    <s v="Anil Matoo"/>
    <n v="0"/>
    <s v="Lakshman Iyer"/>
    <n v="0"/>
  </r>
  <r>
    <n v="5154"/>
    <n v="20057253"/>
    <s v="Dandaveni Shashi Kumar"/>
    <s v="AM/NS India"/>
    <s v="Onroll"/>
    <s v="T-1 (GET)"/>
    <n v="12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Graduate Engineer Trainee 2022"/>
    <m/>
    <s v=""/>
    <s v=""/>
    <s v=""/>
    <s v="Non Technical Support"/>
    <s v="R&amp; D and QA/QC"/>
    <s v="QA &amp; QC"/>
    <s v="72103034"/>
    <s v="QA &amp; QC"/>
    <s v="AM/NS Hazira"/>
    <d v="1999-06-10T00:00:00"/>
    <s v="24.03"/>
    <d v="2022-08-08T00:00:00"/>
    <d v="2057-06-30T00:00:00"/>
    <m/>
    <d v="2057-06-30T00:00:00"/>
    <n v="12337"/>
    <s v=""/>
    <s v="BTech-2013"/>
    <s v=""/>
    <s v="01.01"/>
    <s v="01.01"/>
    <s v="70495670"/>
    <s v="Contracts"/>
    <s v="273761"/>
    <s v="Graduate Engineer Trainee 2022"/>
    <s v="Hazira"/>
    <s v="0031950061"/>
    <s v="HZ-Human Resource"/>
    <s v="2054HAZI"/>
    <s v="20000795"/>
    <s v="Pankaj Chaturvedi"/>
    <s v="No"/>
    <s v="dandaveni.shashikumar@amns.in"/>
    <s v="8790138222"/>
    <s v="1007324"/>
    <s v="Dhruv Vyas"/>
    <s v="Anil Matoo"/>
    <s v="Praveen Kuruvalli"/>
    <s v="Dhruv Vyas"/>
    <n v="0"/>
  </r>
  <r>
    <n v="5163"/>
    <n v="20057268"/>
    <s v="Ayyalasomayajula Naresh"/>
    <s v="AM/NS India"/>
    <s v="Onroll"/>
    <s v="M-9"/>
    <n v="9"/>
    <m/>
    <s v="JM"/>
    <s v="M"/>
    <s v="Vizag"/>
    <n v="3"/>
    <s v="2015"/>
    <x v="1"/>
    <s v="22.06"/>
    <s v="Anil Matoo"/>
    <s v="Ashutosh Telang"/>
    <n v="6"/>
    <s v="HR &amp; Administration"/>
    <s v="Human Resources"/>
    <s v="22"/>
    <s v="Lead-HR"/>
    <m/>
    <s v="Human Resources"/>
    <s v=""/>
    <s v=""/>
    <s v="Non Technical Support"/>
    <s v=""/>
    <s v=""/>
    <s v=""/>
    <s v=""/>
    <s v="Vizag"/>
    <d v="1987-12-08T00:00:00"/>
    <s v="35.09"/>
    <d v="2022-08-11T00:00:00"/>
    <d v="2045-12-31T00:00:00"/>
    <m/>
    <d v="2045-12-31T00:00:00"/>
    <n v="8138"/>
    <s v="A+"/>
    <s v="MBA-2010 , BSc Engg-2005 , Intermediate-"/>
    <s v="05.05"/>
    <s v="01.01"/>
    <s v="06.06"/>
    <s v="72150111"/>
    <s v="Vizag HR Operations &amp; Administration"/>
    <s v="286250"/>
    <s v="Lead-HR"/>
    <s v="Vizag"/>
    <s v="0028030019"/>
    <s v="VIZ-Personnel &amp; Admi"/>
    <s v="2000VIZOPS"/>
    <s v="20000519"/>
    <s v="Dandu Srinivas Varma"/>
    <s v="No"/>
    <s v="ayyalasomayajula.naresh@amns.in"/>
    <s v="9177509312"/>
    <s v="1007397"/>
    <s v="DS Varma"/>
    <s v="Anil Matoo"/>
    <s v="Praveen Kuruvalli"/>
    <s v="Dhruv Vyas"/>
    <n v="0"/>
  </r>
  <r>
    <n v="5165"/>
    <n v="20057271"/>
    <s v="Deepak Gupta"/>
    <s v="AM/NS India"/>
    <s v="Onroll"/>
    <s v="M-9"/>
    <n v="9"/>
    <m/>
    <s v="JM"/>
    <s v="M"/>
    <s v="Vizag"/>
    <n v="3"/>
    <s v="2013"/>
    <x v="0"/>
    <s v="20.01"/>
    <s v="Akiyo Omori"/>
    <s v="Amit Harlalka"/>
    <n v="5"/>
    <s v="Finance &amp; Accounts"/>
    <s v="Finance &amp; Accounts"/>
    <s v="20"/>
    <s v="Lead-F&amp;A"/>
    <m/>
    <s v=""/>
    <s v=""/>
    <s v=""/>
    <s v="Non Technical Support"/>
    <s v="Project Management"/>
    <s v="Planning"/>
    <s v="72303122"/>
    <s v="MIS"/>
    <s v="Kirandul"/>
    <d v="1990-10-26T00:00:00"/>
    <s v="32.10"/>
    <d v="2022-08-16T00:00:00"/>
    <d v="2048-10-31T00:00:00"/>
    <m/>
    <d v="2048-10-31T00:00:00"/>
    <n v="9173"/>
    <s v="O+"/>
    <s v="CA Inter-2014 , BCom-2010 , Intermediate"/>
    <s v="06.03"/>
    <s v="01.01"/>
    <s v="07.04"/>
    <s v="72150110"/>
    <s v="Finance &amp; Accounts - Vizag"/>
    <s v="286535"/>
    <s v="Lead-F&amp;A"/>
    <s v="Vizag"/>
    <s v="0028030019"/>
    <s v="VIZ-Personnel &amp; Admi"/>
    <s v="2000VIZOPS"/>
    <s v="20001003"/>
    <s v="Patnana Muralidhara Rao"/>
    <s v="No"/>
    <s v="deepak.gupta2@amns.in"/>
    <s v="8210156530"/>
    <s v="1007886"/>
    <s v="DS Varma"/>
    <s v="Anil Matoo"/>
    <s v="Praveen Kuruvalli"/>
    <s v="Dhruv Vyas"/>
    <n v="0"/>
  </r>
  <r>
    <n v="5168"/>
    <n v="20057274"/>
    <s v="Arup Gouda"/>
    <s v="AM/NS India"/>
    <s v="Onroll"/>
    <s v="M-8"/>
    <n v="8"/>
    <m/>
    <s v="JM"/>
    <s v="M"/>
    <s v="Odisha"/>
    <n v="2"/>
    <s v="2084"/>
    <x v="17"/>
    <s v="23.09"/>
    <s v="Anil Matoo"/>
    <s v="Ashutosh Telang"/>
    <n v="6"/>
    <s v="HR &amp; Administration"/>
    <s v="Industrial Relations"/>
    <s v="23"/>
    <s v="Lead – IR"/>
    <m/>
    <s v="Industrial Relations"/>
    <s v=""/>
    <s v=""/>
    <s v="Non Technical Support"/>
    <s v="Human Resources Management"/>
    <s v="Human Resources Management"/>
    <s v="73501002"/>
    <s v="Human Resources Operation"/>
    <s v="Paradeep"/>
    <d v="1986-02-13T00:00:00"/>
    <s v="37.07"/>
    <d v="2022-08-16T00:00:00"/>
    <d v="2044-02-29T00:00:00"/>
    <m/>
    <d v="2044-02-29T00:00:00"/>
    <n v="7467"/>
    <s v="A+"/>
    <s v="LLB-2011 , MA-2008 , BA-2006 , Intermedi"/>
    <s v="10.11"/>
    <s v="01.01"/>
    <s v="11.11"/>
    <s v="70495430"/>
    <s v="Odisha HR Operations"/>
    <s v="286663"/>
    <s v="Lead – IR"/>
    <s v="Odisha"/>
    <s v="0022030019"/>
    <s v="PDP-HR &amp; Admn"/>
    <s v="2000STORIS"/>
    <s v="20055611"/>
    <s v="Sunila Kumar Das"/>
    <s v="No"/>
    <s v="arup.gouda@amns.in"/>
    <s v="9337121771"/>
    <s v="1008027"/>
    <s v="Sunila Das"/>
    <s v="Anil Matoo"/>
    <s v="Praveen Kuruvalli"/>
    <s v="Sunila Das"/>
    <n v="0"/>
  </r>
  <r>
    <n v="5183"/>
    <n v="20057297"/>
    <s v="Bibhash Mohanty"/>
    <s v="AM/NS India"/>
    <s v="Onroll"/>
    <s v="M-6"/>
    <n v="6"/>
    <m/>
    <s v="MM"/>
    <s v="M"/>
    <s v="Odisha"/>
    <n v="2"/>
    <s v="2023"/>
    <x v="6"/>
    <s v="24.08"/>
    <s v="Anil Matoo"/>
    <s v="Ashutosh Telang"/>
    <n v="6"/>
    <s v="HR &amp; Administration"/>
    <s v="Administration"/>
    <s v="24"/>
    <s v="Head-Administration"/>
    <m/>
    <s v="Administration"/>
    <s v=""/>
    <s v=""/>
    <s v="Non Technical Support"/>
    <s v="Human Resources Management"/>
    <s v="Human Resources Management"/>
    <s v="73501001"/>
    <s v="Human Resources"/>
    <s v="Bhubaneswar"/>
    <d v="1982-10-21T00:00:00"/>
    <s v="40.10"/>
    <d v="2022-08-16T00:00:00"/>
    <d v="2040-10-31T00:00:00"/>
    <m/>
    <d v="2040-10-31T00:00:00"/>
    <n v="6251"/>
    <s v="A+"/>
    <s v="MBA-2013 , MSc-2005 , BSc-2003 , Interme"/>
    <s v="16.08"/>
    <s v="01.01"/>
    <s v="17.08"/>
    <s v="70238103"/>
    <s v="Odisha - Admin &amp; Industrial Relations"/>
    <s v="286859"/>
    <s v="Head-Administration"/>
    <s v="Odisha"/>
    <s v="0090000018"/>
    <s v="CORP Group - HR"/>
    <s v="2000STORIS"/>
    <s v="20000083"/>
    <s v="Anil Matoo"/>
    <s v="No"/>
    <s v="bibhash.mohanty@amns.in"/>
    <s v="9988881680"/>
    <s v="1008371"/>
    <s v="Sunila Das"/>
    <s v="Anil Matoo"/>
    <s v="Praveen Kuruvalli"/>
    <s v="Sunila Das"/>
    <n v="0"/>
  </r>
  <r>
    <n v="5217"/>
    <n v="20057334"/>
    <s v="Ranvir Hude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Commercial"/>
    <s v="Stores &amp; Warehouse"/>
    <s v="73806001"/>
    <s v="Stores &amp; Warehouse"/>
    <s v="Hazira"/>
    <d v="1999-07-25T00:00:00"/>
    <s v="24.01"/>
    <d v="2022-08-17T00:00:00"/>
    <d v="2057-07-31T00:00:00"/>
    <m/>
    <d v="2057-07-31T00:00:00"/>
    <n v="12368"/>
    <s v=""/>
    <s v="Diploma-2018"/>
    <s v=""/>
    <s v="01.01"/>
    <s v="01.01"/>
    <s v="00053277"/>
    <s v="Receipts &amp; Unloading - Plant B"/>
    <s v="286918"/>
    <s v="Engineer"/>
    <s v="Hazira"/>
    <s v="0031950049"/>
    <s v="HZ-Central Stores"/>
    <s v="2012HAZI"/>
    <s v="20003180"/>
    <s v="Bhikhubhai Ahir"/>
    <s v="No"/>
    <s v="ranvir.hude@amns.in"/>
    <s v="9879101355"/>
    <s v="26209"/>
    <s v="Dhruv Vyas"/>
    <s v="Anil Matoo"/>
    <s v="Praveen Kuruvalli"/>
    <s v="Dhruv Vyas"/>
    <n v="0"/>
  </r>
  <r>
    <n v="5246"/>
    <n v="20057366"/>
    <s v="Ashirbad Parida"/>
    <s v="AM/NS India"/>
    <s v="Onroll"/>
    <s v="M-7"/>
    <n v="7"/>
    <m/>
    <s v="MM"/>
    <s v="M"/>
    <s v="Hazira"/>
    <n v="1"/>
    <s v="2137"/>
    <x v="12"/>
    <s v="35.01"/>
    <s v="Hrishikesh Kamat"/>
    <s v="Hrishikesh Kamat"/>
    <n v="7"/>
    <s v="Procurement"/>
    <s v="Land Acquisition"/>
    <s v="35"/>
    <s v="Sr. Lead - Land Acquisition"/>
    <m/>
    <s v="Land Acquisition"/>
    <s v=""/>
    <s v=""/>
    <s v="Non Technical Support"/>
    <s v="Corporate Relations"/>
    <s v="Corporate Affairs"/>
    <s v="74501001"/>
    <s v="Corporate Affairs"/>
    <s v="AM/NS Hazira"/>
    <d v="1980-11-10T00:00:00"/>
    <s v="42.10"/>
    <d v="2022-08-16T00:00:00"/>
    <d v="2038-11-30T00:00:00"/>
    <m/>
    <d v="2038-11-30T00:00:00"/>
    <n v="5550"/>
    <s v="O+"/>
    <s v="MBA-2021 , MTech-2007 , BE-2003 , Interm"/>
    <s v="12.10"/>
    <s v="01.01"/>
    <s v="13.11"/>
    <s v="70494938"/>
    <s v="Corporate Affairs"/>
    <s v="287129"/>
    <s v="Sr. Lead - Land Matters"/>
    <s v="Hazira"/>
    <s v="0090000021"/>
    <s v="Corporate Affairs"/>
    <s v="2000HWO"/>
    <s v="20057928"/>
    <s v="Manu Kapoor"/>
    <s v="No"/>
    <s v="ashirbad.parida@amns.in"/>
    <s v="7486014232"/>
    <s v="1008459"/>
    <s v="Dhruv Vyas"/>
    <s v="Anil Matoo"/>
    <s v="Praveen Kuruvalli"/>
    <s v="Dhruv Vyas"/>
    <n v="0"/>
  </r>
  <r>
    <n v="5247"/>
    <n v="20057367"/>
    <s v="Abhishek Verma"/>
    <s v="AM/NS India"/>
    <s v="Onroll"/>
    <s v="M-7"/>
    <n v="7"/>
    <m/>
    <s v="MM"/>
    <s v="M"/>
    <s v="Corporate"/>
    <n v="7"/>
    <s v="2260"/>
    <x v="5"/>
    <s v="01.01"/>
    <s v="Dilip Oommen"/>
    <s v="Dilip Oommen"/>
    <n v="1"/>
    <s v="CEO Office"/>
    <s v="CEO Office"/>
    <s v="01"/>
    <s v="Executive Assistant to CEO"/>
    <m/>
    <s v="CEO Office"/>
    <s v="CEO Office"/>
    <s v=""/>
    <s v="Non Technical Support"/>
    <s v="Operations"/>
    <s v="Operations"/>
    <s v="72103001"/>
    <s v="Operations"/>
    <s v="Mumbai"/>
    <d v="1987-04-04T00:00:00"/>
    <s v="36.05"/>
    <d v="2022-08-22T00:00:00"/>
    <d v="2045-04-30T00:00:00"/>
    <m/>
    <d v="2045-04-30T00:00:00"/>
    <n v="7893"/>
    <s v="B+"/>
    <s v="Post Diploma Course-2019 , Intermediate-"/>
    <s v="03.08"/>
    <s v="01.00"/>
    <s v="04.09"/>
    <s v="00046538"/>
    <s v="Project Monitoring"/>
    <s v="287169"/>
    <s v="Executive Assistant to CEO"/>
    <s v="Corporate"/>
    <s v="0090000022"/>
    <s v="Business Strategy"/>
    <s v="2000CS"/>
    <s v="20049281"/>
    <s v="Raveena Dhoot"/>
    <s v="No"/>
    <s v="abhishek.verma@amns.in"/>
    <s v="7992309055"/>
    <s v="1008565"/>
    <s v="Dhruv Vyas"/>
    <s v="Anil Matoo"/>
    <s v="Praveen Kuruvalli"/>
    <s v="Dhruv Vyas"/>
    <n v="0"/>
  </r>
  <r>
    <n v="5248"/>
    <n v="20057368"/>
    <s v="Ajay Sahani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Accounts Payable Capex"/>
    <m/>
    <s v=""/>
    <s v=""/>
    <s v=""/>
    <s v="Non Technical Support"/>
    <s v=""/>
    <s v=""/>
    <s v=""/>
    <s v=""/>
    <s v="AM/NS Hazira"/>
    <d v="1988-05-19T00:00:00"/>
    <s v="35.04"/>
    <d v="2022-08-22T00:00:00"/>
    <d v="2046-05-31T00:00:00"/>
    <m/>
    <d v="2046-05-31T00:00:00"/>
    <n v="8289"/>
    <s v="O-"/>
    <s v="CA Final-2012 , BCom-2008 , Intermediate"/>
    <s v="45.02"/>
    <s v="01.00"/>
    <s v="46.02"/>
    <s v="00048363"/>
    <s v="AP Capex, F&amp;A"/>
    <s v="287303"/>
    <s v="Lead Accounts Payable Capex"/>
    <s v="Hazira"/>
    <s v="0031950045"/>
    <s v="HZ-Works Accounts-Ha"/>
    <s v="2000HWO"/>
    <s v="20057378"/>
    <s v="Ravi Seth"/>
    <s v="No"/>
    <s v="ajay.sahani@amns.in"/>
    <s v="6358915428"/>
    <s v="1009101"/>
    <s v="Dhruv Vyas"/>
    <s v="Anil Matoo"/>
    <s v="Praveen Kuruvalli"/>
    <s v="Dhruv Vyas"/>
    <n v="0"/>
  </r>
  <r>
    <n v="5255"/>
    <n v="20057376"/>
    <s v="Abhishek Das"/>
    <s v="AM/NS India"/>
    <s v="Onroll"/>
    <s v="M-7"/>
    <n v="7"/>
    <m/>
    <s v="MM"/>
    <s v="M"/>
    <s v="Odisha"/>
    <n v="2"/>
    <s v="2069"/>
    <x v="8"/>
    <s v="25.01"/>
    <s v="Bibek Chattopadhyay"/>
    <s v="Ashutosh Telang"/>
    <n v="6"/>
    <s v="HR &amp; Administration"/>
    <s v="Corporate Communications"/>
    <s v="25"/>
    <s v="Lead - Corporate Communication"/>
    <m/>
    <s v="Corporate Communication"/>
    <s v="Corporate Communication"/>
    <s v="Corporate Communication"/>
    <s v="Non Technical Support"/>
    <s v="Corporate Communication"/>
    <s v="Corporate Communication"/>
    <s v="74001001"/>
    <s v="Corporate Communication"/>
    <s v="Bhubaneswar"/>
    <d v="1988-11-04T00:00:00"/>
    <s v="34.10"/>
    <d v="2022-08-16T00:00:00"/>
    <d v="2046-11-30T00:00:00"/>
    <m/>
    <d v="2046-11-30T00:00:00"/>
    <n v="8472"/>
    <s v="O+"/>
    <s v="PG Diploma in Management-2021 , PG Diplo"/>
    <s v="08.11"/>
    <s v="01.01"/>
    <s v="10.00"/>
    <s v="00046762"/>
    <s v="Communiation &amp; Media Relations Odisha"/>
    <s v="287392"/>
    <s v="Lead – Corporate"/>
    <s v="Odisha"/>
    <s v="0090000016"/>
    <s v="Corporate Steel - Co"/>
    <s v="2000STORIS"/>
    <s v="20056246"/>
    <s v="Soumitra Patnaik"/>
    <s v="No"/>
    <s v="abhishek.das1@amns.in"/>
    <s v="9040094965"/>
    <s v="1009463"/>
    <s v="Sunila Das"/>
    <s v="Anil Matoo"/>
    <s v="Praveen Kuruvalli"/>
    <s v="Sunila Das"/>
    <n v="0"/>
  </r>
  <r>
    <n v="5257"/>
    <n v="20057378"/>
    <s v="Ravi Seth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Head - Accounts Payable (Capex Projects)"/>
    <m/>
    <s v="Finance &amp; Accounts"/>
    <s v=""/>
    <s v=""/>
    <s v="Non Technical Support"/>
    <s v="Projects"/>
    <s v="Projects Coordination"/>
    <s v="72103038"/>
    <s v="Projects Coordination"/>
    <s v="AM/NS Hazira"/>
    <d v="1971-08-15T00:00:00"/>
    <s v="52.01"/>
    <d v="2022-09-01T00:00:00"/>
    <d v="2029-08-31T00:00:00"/>
    <m/>
    <d v="2029-08-31T00:00:00"/>
    <n v="2172"/>
    <s v="B-"/>
    <s v="MBA-2004 , MCom-1997 , BCom-1992 , Inter"/>
    <s v="24.07"/>
    <s v="01.00"/>
    <s v="25.07"/>
    <s v="00048363"/>
    <s v="AP Capex, F&amp;A"/>
    <s v="273300"/>
    <s v="Head - Accounts Payable (Capex Projects)"/>
    <s v="Hazira"/>
    <s v="0090000028"/>
    <s v="Corporate Steel - Wo"/>
    <s v="2000HWO"/>
    <s v="20055188"/>
    <s v="Rohit Sharma"/>
    <s v="No"/>
    <s v="ravi.seth@amns.in"/>
    <s v="9819597117"/>
    <s v="1010691"/>
    <s v="Dhruv Vyas"/>
    <s v="Anil Matoo"/>
    <s v="Praveen Kuruvalli"/>
    <s v="Dhruv Vyas"/>
    <n v="0"/>
  </r>
  <r>
    <n v="5258"/>
    <n v="20057379"/>
    <s v="Rahul Gupta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- Capex Procurement"/>
    <m/>
    <s v="Capex Procurement"/>
    <s v=""/>
    <s v=""/>
    <s v="Non Technical Support"/>
    <s v="Operations"/>
    <s v="Operations"/>
    <s v="72103001"/>
    <s v="Operations"/>
    <s v="Hazira"/>
    <d v="1994-03-26T00:00:00"/>
    <s v="29.05"/>
    <d v="2022-09-01T00:00:00"/>
    <d v="2052-03-31T00:00:00"/>
    <m/>
    <d v="2052-03-31T00:00:00"/>
    <n v="10420"/>
    <s v="B+"/>
    <s v="BTech-2017 , Intermediate-2012 , Interme"/>
    <s v="02.08"/>
    <s v="01.00"/>
    <s v="03.08"/>
    <s v="00049344"/>
    <s v="Capex Procurement"/>
    <s v="256012"/>
    <s v="Officer - Capex Procurement"/>
    <s v="Hazira"/>
    <s v="0031950059"/>
    <s v="HZ-Hazira Project"/>
    <s v="2000HWO"/>
    <s v="20055728"/>
    <s v="Mahebub Vahora"/>
    <s v="No"/>
    <s v="rahul.gupta1@amns.in"/>
    <s v="7209804673"/>
    <s v="1010692"/>
    <s v="Dhruv Vyas"/>
    <s v="Anil Matoo"/>
    <s v="Praveen Kuruvalli"/>
    <s v="Dhruv Vyas"/>
    <n v="0"/>
  </r>
  <r>
    <n v="5259"/>
    <n v="20057380"/>
    <s v="Vivek Gupta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ales Manager - Export Sales"/>
    <m/>
    <s v="Export"/>
    <s v="Export"/>
    <s v=""/>
    <s v="Non Technical Support"/>
    <s v="Sales &amp; Marketing"/>
    <s v="Sales &amp; Marketing"/>
    <s v="73101001"/>
    <s v="Sales &amp; Marketing"/>
    <s v="Mumbai"/>
    <d v="1988-09-14T00:00:00"/>
    <s v="35.00"/>
    <d v="2022-09-01T00:00:00"/>
    <d v="2046-09-30T00:00:00"/>
    <m/>
    <d v="2046-09-30T00:00:00"/>
    <n v="8411"/>
    <s v="A+"/>
    <s v="MS-2013 , BSc-2011 , Intermediate-2007 ,"/>
    <s v="04.04"/>
    <s v="01.00"/>
    <s v="05.04"/>
    <s v="70495379"/>
    <s v="Chief Marketing Officer - AMNS ME FZE"/>
    <s v="70495032"/>
    <s v="KAM - Export Sales"/>
    <s v="Corporate"/>
    <s v="0031950057"/>
    <s v="HZ-HRC - Marketing"/>
    <s v="2000CS"/>
    <s v="20055663"/>
    <s v="Karamath Syed"/>
    <s v="No"/>
    <s v="vivek.gupta@amns.in"/>
    <s v="9987607600"/>
    <s v="1010693"/>
    <s v="Dhruv Vyas"/>
    <s v="Anil Matoo"/>
    <s v="Praveen Kuruvalli"/>
    <s v="Dhruv Vyas"/>
    <n v="0"/>
  </r>
  <r>
    <n v="5260"/>
    <n v="20057381"/>
    <s v="Nitin Lokhande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West"/>
    <s v="Hypermart"/>
    <s v=""/>
    <s v="Non Technical Support"/>
    <s v="Sales &amp; Marketing"/>
    <s v="Sales"/>
    <s v="73104004"/>
    <s v="OEM Sales"/>
    <s v="Ahmedabad"/>
    <d v="1977-04-05T00:00:00"/>
    <s v="46.05"/>
    <d v="2022-09-01T00:00:00"/>
    <d v="2035-04-30T00:00:00"/>
    <m/>
    <d v="2035-04-30T00:00:00"/>
    <n v="4240"/>
    <s v="B+"/>
    <s v="PG Diploma in Management-2009 , Diploma-"/>
    <s v="23.01"/>
    <s v="01.00"/>
    <s v="24.01"/>
    <s v="70394840"/>
    <s v="OEM Sales - Gujarat"/>
    <s v="273362"/>
    <s v="Sales Manager - Hypermart"/>
    <s v="Hazira"/>
    <s v="0060110300"/>
    <s v="HMART-Guj-Ahemedabad"/>
    <s v="2000HWO"/>
    <s v="20001736"/>
    <s v="Manoranjan Jagdhari"/>
    <s v="No"/>
    <s v="nitin.lokhande@amns.in"/>
    <s v="9998815775"/>
    <s v="25564"/>
    <s v="Dhruv Vyas"/>
    <s v="Anil Matoo"/>
    <s v="Praveen Kuruvalli"/>
    <s v="Dhruv Vyas"/>
    <n v="0"/>
  </r>
  <r>
    <n v="5261"/>
    <n v="20057382"/>
    <s v="Naga Sunil Kumar Reddy Kodidala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South"/>
    <s v="Hypermart"/>
    <s v=""/>
    <s v="Non Technical Support"/>
    <s v="Sales &amp; Marketing"/>
    <s v="Sales"/>
    <s v="73104004"/>
    <s v="OEM Sales"/>
    <s v="Hyderabad"/>
    <d v="1980-06-23T00:00:00"/>
    <s v="43.02"/>
    <d v="2022-09-01T00:00:00"/>
    <d v="2038-06-30T00:00:00"/>
    <m/>
    <d v="2038-06-30T00:00:00"/>
    <n v="5397"/>
    <s v="O+"/>
    <s v="MBA-2006 , BSc-2001 , Intermediate-1997"/>
    <s v="11.05"/>
    <s v="01.00"/>
    <s v="12.05"/>
    <s v="00048814"/>
    <s v="Sales South Zone – Hypermart"/>
    <s v="273363"/>
    <s v="Sales Manager - Hypermart"/>
    <s v="Hazira"/>
    <s v="0060140600"/>
    <s v="HMART-Tela-Secundrab"/>
    <s v="2000HWO"/>
    <s v="20056279"/>
    <s v="Arun G"/>
    <s v="No"/>
    <s v="kn.reddy@amns.in"/>
    <s v="9885057067"/>
    <s v="1010810"/>
    <s v="Dhruv Vyas"/>
    <s v="Anil Matoo"/>
    <s v="Praveen Kuruvalli"/>
    <s v="Dhruv Vyas"/>
    <n v="0"/>
  </r>
  <r>
    <n v="5262"/>
    <n v="20057383"/>
    <s v="Nikhil Kumar"/>
    <s v="AM/NS India"/>
    <s v="Onroll"/>
    <s v="M-10"/>
    <n v="10"/>
    <m/>
    <s v="JM"/>
    <s v="M"/>
    <s v="Hazira"/>
    <n v="1"/>
    <s v="2715"/>
    <x v="13"/>
    <s v="37.01"/>
    <s v="Aruni Mishra"/>
    <s v="Hrishikesh Kamat"/>
    <n v="7"/>
    <s v="Procurement"/>
    <s v="Secondary Sales"/>
    <s v="37"/>
    <s v="Officer - Secondary Sales"/>
    <m/>
    <s v="Secondary Sales"/>
    <s v=""/>
    <s v=""/>
    <s v="Non Technical Support"/>
    <s v="Operations"/>
    <s v="Operations"/>
    <s v="72103001"/>
    <s v="Operations"/>
    <s v="Hazira"/>
    <d v="1995-12-06T00:00:00"/>
    <s v="27.09"/>
    <d v="2022-09-05T00:00:00"/>
    <d v="2053-12-31T00:00:00"/>
    <m/>
    <d v="2053-12-31T00:00:00"/>
    <n v="11060"/>
    <s v="B+"/>
    <s v="BCom-2021 , Intermediate-2018 , Diploma-"/>
    <s v="07.00"/>
    <s v="01.00"/>
    <s v="08.00"/>
    <s v="00049357"/>
    <s v="Secondary Sales"/>
    <s v="288088"/>
    <s v="Officer - Secondary Sales"/>
    <s v="Hazira"/>
    <s v="0031950059"/>
    <s v="HZ-Hazira Project"/>
    <s v="2000HWO"/>
    <s v="20055763"/>
    <s v="Debashis Mohapatra"/>
    <s v="No"/>
    <s v="nikhil.kumar@amns.in"/>
    <s v="7970878773"/>
    <s v="1011053"/>
    <s v="Dhruv Vyas"/>
    <s v="Anil Matoo"/>
    <s v="Praveen Kuruvalli"/>
    <s v="Dhruv Vyas"/>
    <n v="0"/>
  </r>
  <r>
    <n v="5263"/>
    <n v="20057384"/>
    <s v="Sunil Beniwal"/>
    <s v="AM/NS India"/>
    <s v="Onroll"/>
    <s v="M-6"/>
    <n v="6"/>
    <m/>
    <s v="M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RO Development Manager – Hypermart"/>
    <m/>
    <s v="Hypermart"/>
    <s v="Hypermart"/>
    <s v=""/>
    <s v="Non Technical Support"/>
    <s v="Sales &amp; Marketing"/>
    <s v="Sales"/>
    <s v="73104004"/>
    <s v="OEM Sales"/>
    <s v="Pune"/>
    <d v="1983-08-02T00:00:00"/>
    <s v="40.01"/>
    <d v="2022-09-06T00:00:00"/>
    <d v="2041-08-31T00:00:00"/>
    <m/>
    <d v="2041-08-31T00:00:00"/>
    <n v="6555"/>
    <s v="B+"/>
    <s v="MBA-2019 , PG Diploma in Management-2012"/>
    <s v="06.02"/>
    <s v="01.00"/>
    <s v="07.02"/>
    <s v="72150154"/>
    <s v="HyperMart"/>
    <s v="288093"/>
    <s v="RO Development Manager – Hypermart"/>
    <s v="Hypermart"/>
    <s v="0060100004"/>
    <s v="HMART-HR/Admin Expen"/>
    <s v="2000SRET"/>
    <s v="20006236"/>
    <s v="Sanjay Vaid"/>
    <s v="No"/>
    <s v="sunil.beniwal@amns.in"/>
    <s v="9987267072"/>
    <s v="1011062"/>
    <s v="Dhruv Vyas"/>
    <s v="Anil Matoo"/>
    <s v="Praveen Kuruvalli"/>
    <s v="Dhruv Vyas"/>
    <n v="0"/>
  </r>
  <r>
    <n v="5289"/>
    <n v="20057412"/>
    <s v="Manish Kumar"/>
    <s v="AM/NS India"/>
    <s v="Onroll"/>
    <s v="M-8"/>
    <n v="8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Lead - Capex Procurement"/>
    <m/>
    <s v="Capex Procurement"/>
    <s v=""/>
    <s v=""/>
    <s v="Non Technical Support"/>
    <s v="Operations"/>
    <s v="Operations"/>
    <s v="72103001"/>
    <s v="Operations"/>
    <s v="Hazira"/>
    <d v="1986-03-05T00:00:00"/>
    <s v="37.06"/>
    <d v="2022-09-12T00:00:00"/>
    <d v="2044-03-31T00:00:00"/>
    <m/>
    <d v="2044-03-31T00:00:00"/>
    <n v="7498"/>
    <s v="B+"/>
    <s v="PG Diploma in Management-2022 , BTech-20"/>
    <s v="11.01"/>
    <s v="01.00"/>
    <s v="12.01"/>
    <s v="00049360"/>
    <s v="Capex Services"/>
    <s v="288525"/>
    <s v="Lead - Capex Procurement"/>
    <s v="Hazira"/>
    <s v="0031950059"/>
    <s v="HZ-Hazira Project"/>
    <s v="2000HWO"/>
    <s v="20055727"/>
    <s v="Javed Akhtar"/>
    <s v="No"/>
    <s v="manish.kumar3@amns.in"/>
    <s v="6358915526"/>
    <s v="1012067"/>
    <s v="Dhruv Vyas"/>
    <s v="Anil Matoo"/>
    <s v="Praveen Kuruvalli"/>
    <s v="Dhruv Vyas"/>
    <n v="0"/>
  </r>
  <r>
    <n v="5290"/>
    <n v="20057413"/>
    <s v="Vipin Toshniwal"/>
    <s v="AM/NS India"/>
    <s v="Onroll"/>
    <s v="M-6"/>
    <n v="6"/>
    <m/>
    <s v="MM"/>
    <s v="M"/>
    <s v="Hazira"/>
    <n v="1"/>
    <s v="2161"/>
    <x v="15"/>
    <s v="31.02"/>
    <s v="Hrishikesh Kamat"/>
    <s v="Hrishikesh Kamat"/>
    <n v="7"/>
    <s v="Procurement"/>
    <s v="Procurement"/>
    <s v="31"/>
    <s v="Head  Expediting"/>
    <m/>
    <s v="Capex Procurement"/>
    <s v=""/>
    <s v=""/>
    <s v="Non Technical Support"/>
    <s v="Operations"/>
    <s v="Operations"/>
    <s v="72103001"/>
    <s v="Operations"/>
    <s v="Hazira"/>
    <d v="1978-02-16T00:00:00"/>
    <s v="45.07"/>
    <d v="2022-09-06T00:00:00"/>
    <d v="2036-02-29T00:00:00"/>
    <m/>
    <d v="2036-02-29T00:00:00"/>
    <n v="4545"/>
    <s v="AB+"/>
    <s v="MBA-2007 , BE-2001 , Intermediate-1996 ,"/>
    <s v="07.07"/>
    <s v="01.00"/>
    <s v="08.07"/>
    <s v="00049335"/>
    <s v="Capex Procurement - Expediting"/>
    <s v="288520"/>
    <s v="Head  Expediting"/>
    <s v="Hazira"/>
    <s v="0031950059"/>
    <s v="HZ-Hazira Project"/>
    <s v="2000HWO"/>
    <s v="20052261"/>
    <s v="Aruni Mishra"/>
    <s v="No"/>
    <s v="vipin.toshniwal@amns.in"/>
    <s v="7224058362"/>
    <s v="1012075"/>
    <s v="Dhruv Vyas"/>
    <s v="Anil Matoo"/>
    <s v="Praveen Kuruvalli"/>
    <s v="Dhruv Vyas"/>
    <n v="0"/>
  </r>
  <r>
    <n v="5302"/>
    <n v="20057425"/>
    <s v="Vikram ."/>
    <s v="AM/NS India"/>
    <s v="Onroll"/>
    <s v="M-9"/>
    <n v="9"/>
    <m/>
    <s v="J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1"/>
    <s v="Human Resources"/>
    <s v="Bahadurgarh"/>
    <d v="1989-12-20T00:00:00"/>
    <s v="33.09"/>
    <d v="2022-09-15T00:00:00"/>
    <d v="2047-12-31T00:00:00"/>
    <m/>
    <d v="2047-12-31T00:00:00"/>
    <n v="8868"/>
    <s v="A+"/>
    <s v="MBA-2011 , Intermediate-2006 , Intermedi"/>
    <s v="04.04"/>
    <s v="01.00"/>
    <s v="05.03"/>
    <s v="00044376"/>
    <s v="Service Center &amp; Hypermart HR"/>
    <s v="256952"/>
    <s v="Lead - Human Resources"/>
    <s v="Service Center"/>
    <s v="0040050019"/>
    <s v="SC-Bahadurgarh-Op1-C"/>
    <s v="2000SPRJ"/>
    <s v="20057135"/>
    <s v="RAHUL RAJ"/>
    <s v="No"/>
    <s v="vikram.singh@amns.in"/>
    <s v="9813016565"/>
    <s v="1013048"/>
    <s v="Dhruv Vyas"/>
    <s v="Anil Matoo"/>
    <s v="Praveen Kuruvalli"/>
    <s v="Dhruv Vyas"/>
    <n v="0"/>
  </r>
  <r>
    <n v="5303"/>
    <n v="20057427"/>
    <s v="Sherryl John"/>
    <s v="AM/NS India"/>
    <s v="Onroll"/>
    <s v="M-9"/>
    <n v="9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Compensation and Benefits Analyst"/>
    <m/>
    <s v="Human Resources"/>
    <s v=""/>
    <s v=""/>
    <s v="Non Technical Support"/>
    <s v="Human Resources Management"/>
    <s v="Human Resources Management"/>
    <s v="73501001"/>
    <s v="Human Resources"/>
    <s v="Mumbai"/>
    <d v="1990-01-18T00:00:00"/>
    <s v="33.08"/>
    <d v="2022-09-19T00:00:00"/>
    <d v="2048-01-31T00:00:00"/>
    <m/>
    <d v="2048-01-31T00:00:00"/>
    <n v="8899"/>
    <s v="O+"/>
    <s v="MBA-2016 , Intermediate-2006 , Intermedi"/>
    <s v="05.06"/>
    <s v="01.00"/>
    <s v="06.06"/>
    <s v="00044377"/>
    <s v="Compensation &amp; Benefits"/>
    <s v="289171"/>
    <s v="Compensation and Benefits Analyst"/>
    <s v="Corporate"/>
    <s v="0031950061"/>
    <s v="HZ-Human Resource"/>
    <s v="2000CS"/>
    <s v="20055672"/>
    <s v="Shailja Tripathi"/>
    <s v="No"/>
    <s v="sherryl.john@amns.in"/>
    <s v="9892191061"/>
    <s v="1013179"/>
    <s v="Dhruv Vyas"/>
    <s v="Anil Matoo"/>
    <s v="Praveen Kuruvalli"/>
    <s v="Dhruv Vyas"/>
    <n v="0"/>
  </r>
  <r>
    <n v="5331"/>
    <n v="20057461"/>
    <s v="Adelbert Fernandes"/>
    <s v="AM/NS India"/>
    <s v="Onroll"/>
    <s v="M-7"/>
    <n v="7"/>
    <m/>
    <s v="MM"/>
    <s v="M"/>
    <s v="Corporate"/>
    <n v="7"/>
    <s v="2015"/>
    <x v="1"/>
    <s v="22.06"/>
    <s v="Praveen Kuruvalli"/>
    <s v="Ashutosh Telang"/>
    <n v="6"/>
    <s v="HR &amp; Administration"/>
    <s v="Human Resources"/>
    <s v="22"/>
    <s v="Lead HRIS &amp; HR Project Coordination"/>
    <m/>
    <s v="Human Resources"/>
    <s v=""/>
    <s v=""/>
    <s v="Non Technical Support"/>
    <s v="Human Resources Management"/>
    <s v="Human Resources Management"/>
    <s v="73501001"/>
    <s v="Human Resources"/>
    <s v="Mumbai"/>
    <d v="1985-02-02T00:00:00"/>
    <s v="38.07"/>
    <d v="2022-09-26T00:00:00"/>
    <d v="2043-02-28T00:00:00"/>
    <m/>
    <d v="2043-02-28T00:00:00"/>
    <n v="7101"/>
    <s v="O+"/>
    <s v="MBA-2008 , Diploma-2007 , BSc-2005 , Int"/>
    <s v="04.04"/>
    <s v="00.11"/>
    <s v="05.04"/>
    <s v="70242278"/>
    <s v="People Strategy &amp; HR Center Excellence"/>
    <s v="289629"/>
    <s v="Lead HRIS &amp; HR Project Coordination"/>
    <s v="Corporate"/>
    <s v="0031950061"/>
    <s v="HZ-Human Resource"/>
    <s v="2000CS"/>
    <s v="20055483"/>
    <s v="Praveen Kuruvalli"/>
    <s v="No"/>
    <s v="adelbert.fernandes@amns.in"/>
    <s v="9833012184"/>
    <s v="1014477"/>
    <s v="Dhruv Vyas"/>
    <s v="Anil Matoo"/>
    <s v="Praveen Kuruvalli"/>
    <s v="Dhruv Vyas"/>
    <n v="0"/>
  </r>
  <r>
    <n v="5334"/>
    <n v="20057464"/>
    <s v="Bidhan Barik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Indirect Tax"/>
    <m/>
    <s v="Finance &amp; Accounts"/>
    <s v=""/>
    <s v=""/>
    <s v="Non Technical Support"/>
    <s v="Finance &amp; Accounts"/>
    <s v="Taxation"/>
    <s v="73904002"/>
    <s v="Indirect Taxation"/>
    <s v="AM/NS Hazira"/>
    <d v="1985-01-03T00:00:00"/>
    <s v="38.08"/>
    <d v="2022-09-29T00:00:00"/>
    <d v="2043-01-31T00:00:00"/>
    <m/>
    <d v="2043-01-31T00:00:00"/>
    <n v="7073"/>
    <s v="A+"/>
    <s v="CA Final-2011 , ICWA Inter-2009 , BCom-2"/>
    <s v="09.03"/>
    <s v="00.11"/>
    <s v="10.02"/>
    <s v="70282653"/>
    <s v="GST"/>
    <s v="70386152"/>
    <s v="Officer - Indirect Tax"/>
    <s v="Hazira"/>
    <s v="0090000033"/>
    <s v="Corporate Taxation"/>
    <s v="2000HWO"/>
    <s v="20055962"/>
    <s v="Navin Kewalramani"/>
    <s v="No"/>
    <s v="bidhan.barik@amns.in"/>
    <s v="8652674108"/>
    <s v="1014916"/>
    <s v="Dhruv Vyas"/>
    <s v="Anil Matoo"/>
    <s v="Praveen Kuruvalli"/>
    <s v="Dhruv Vyas"/>
    <n v="0"/>
  </r>
  <r>
    <n v="5335"/>
    <n v="20057465"/>
    <s v="Nikhitha John"/>
    <s v="AM/NS India"/>
    <s v="Onroll"/>
    <s v="M-11"/>
    <n v="11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Performance Management"/>
    <m/>
    <s v="Finance &amp; Accounts"/>
    <s v=""/>
    <s v=""/>
    <s v="Non Technical Support"/>
    <s v="Finance &amp; Accounts"/>
    <s v="Costing"/>
    <s v="73906001"/>
    <s v="Costing"/>
    <s v="AM/NS Hazira"/>
    <d v="1998-10-06T00:00:00"/>
    <s v="24.11"/>
    <d v="2022-09-22T00:00:00"/>
    <d v="2056-10-31T00:00:00"/>
    <m/>
    <d v="2056-10-31T00:00:00"/>
    <n v="12095"/>
    <s v="A+"/>
    <s v="MCom-2021 , BCom-2019 , Intermediate-201"/>
    <s v="00.06"/>
    <s v="00.11"/>
    <s v="01.06"/>
    <s v="00045632"/>
    <s v="Costing &amp; Budgeting"/>
    <s v="273302"/>
    <s v="Officer - Performance Management"/>
    <s v="Hazira"/>
    <s v="0031950043"/>
    <s v="HZ-Performance Manag"/>
    <s v="2000HWO"/>
    <s v="20056146"/>
    <s v="Asvinbhai Sutarsandhiya"/>
    <s v="No"/>
    <s v="nikhitha.john2@amns.in"/>
    <s v="7977531146"/>
    <s v="884555"/>
    <s v="Dhruv Vyas"/>
    <s v="Anil Matoo"/>
    <s v="Praveen Kuruvalli"/>
    <s v="Dhruv Vyas"/>
    <n v="0"/>
  </r>
  <r>
    <n v="5336"/>
    <n v="20057466"/>
    <s v="Ravi Baswa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Indirect Tax"/>
    <m/>
    <s v="inance &amp; Accounts"/>
    <s v=""/>
    <s v=""/>
    <s v="Non Technical Support"/>
    <s v="Finance &amp; Accounts"/>
    <s v="Costing"/>
    <s v="73906001"/>
    <s v="Costing"/>
    <s v="AM/NS Hazira"/>
    <d v="1985-10-27T00:00:00"/>
    <s v="37.10"/>
    <d v="2022-09-26T00:00:00"/>
    <d v="2043-10-31T00:00:00"/>
    <m/>
    <d v="2043-10-31T00:00:00"/>
    <n v="7346"/>
    <s v="O+"/>
    <s v="MCom-2009 , BCom-2006 , Intermediate-200"/>
    <s v="07.09"/>
    <s v="00.11"/>
    <s v="08.08"/>
    <s v="70282653"/>
    <s v="GST"/>
    <s v="273303"/>
    <s v="Officer - Indirect Tax"/>
    <s v="Hazira"/>
    <s v="0090000033"/>
    <s v="Corporate Taxation"/>
    <s v="2000HWO"/>
    <s v="20015864"/>
    <s v="Mayank Desai"/>
    <s v="No"/>
    <s v="ravi.baswa@amns.in"/>
    <s v="9913131111"/>
    <s v="1014963"/>
    <s v="Dhruv Vyas"/>
    <s v="Anil Matoo"/>
    <s v="Praveen Kuruvalli"/>
    <s v="Dhruv Vyas"/>
    <n v="0"/>
  </r>
  <r>
    <n v="5342"/>
    <n v="20057472"/>
    <s v="Nicky Rajan"/>
    <s v="AM/NS India"/>
    <s v="Onroll"/>
    <s v="M-9"/>
    <n v="9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Officer - Direct Taxation"/>
    <m/>
    <s v=""/>
    <s v=""/>
    <s v=""/>
    <s v="Non Technical Support"/>
    <s v=""/>
    <s v=""/>
    <s v="70494642"/>
    <s v="Deputy Director"/>
    <s v="Mumbai"/>
    <d v="1997-05-10T00:00:00"/>
    <s v="26.04"/>
    <d v="2022-09-27T00:00:00"/>
    <d v="2055-05-31T00:00:00"/>
    <m/>
    <d v="2055-05-31T00:00:00"/>
    <n v="11576"/>
    <s v="A+"/>
    <s v="BCom-2018 , CA Final-2022"/>
    <s v=""/>
    <s v="00.11"/>
    <s v="00.11"/>
    <s v="00052148"/>
    <s v="Direct Tax"/>
    <s v="273459"/>
    <s v="Officer - Direct Taxation"/>
    <s v="Corporate"/>
    <s v="0090000033"/>
    <s v="Corporate Taxation"/>
    <s v="2000CS"/>
    <s v="20057473"/>
    <s v="Tarun Seksaria"/>
    <s v="No"/>
    <s v="nicky.rajan@amns.in"/>
    <s v="9930669224"/>
    <s v="1015471"/>
    <s v="Dhruv Vyas"/>
    <s v="Anil Matoo"/>
    <s v="Praveen Kuruvalli"/>
    <s v="Dhruv Vyas"/>
    <n v="0"/>
  </r>
  <r>
    <n v="5343"/>
    <n v="20057473"/>
    <s v="Tarun Seksaria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Sr. Lead - Direct Tax"/>
    <m/>
    <s v=""/>
    <s v=""/>
    <s v=""/>
    <s v="Non Technical Support"/>
    <s v="Projects"/>
    <s v="Projects Coordination"/>
    <s v="72103038"/>
    <s v="Projects Coordination"/>
    <s v="Mumbai"/>
    <d v="1991-02-06T00:00:00"/>
    <s v="32.07"/>
    <d v="2022-09-28T00:00:00"/>
    <d v="2049-02-28T00:00:00"/>
    <m/>
    <d v="2049-02-28T00:00:00"/>
    <n v="9293"/>
    <s v="B+"/>
    <s v="BCom-2011 , CA Final-2011 , Intermediate"/>
    <s v="10.05"/>
    <s v="00.11"/>
    <s v="11.04"/>
    <s v="00052148"/>
    <s v="Direct Tax"/>
    <s v="273337"/>
    <s v="Sr. Lead - Direct Tax"/>
    <s v="Corporate"/>
    <s v="0090000033"/>
    <s v="Corporate Taxation"/>
    <s v="2000CS"/>
    <s v="20055494"/>
    <s v="Vikas Soni"/>
    <s v="No"/>
    <s v="tarun.seksaria@amns.in"/>
    <s v="9987299294"/>
    <s v="1015509"/>
    <s v="Dhruv Vyas"/>
    <s v="Anil Matoo"/>
    <s v="Praveen Kuruvalli"/>
    <s v="Dhruv Vyas"/>
    <n v="0"/>
  </r>
  <r>
    <n v="5356"/>
    <n v="20057488"/>
    <s v="Dhaval Patel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Treasury"/>
    <m/>
    <s v=""/>
    <s v=""/>
    <s v=""/>
    <s v="Non Technical Support"/>
    <s v="Finance &amp; Accounts"/>
    <s v="Treasury"/>
    <s v="73903001"/>
    <s v="Treasury"/>
    <s v="Hazira"/>
    <d v="1988-06-29T00:00:00"/>
    <s v="35.02"/>
    <d v="2022-09-30T00:00:00"/>
    <d v="2046-06-30T00:00:00"/>
    <m/>
    <d v="2046-06-30T00:00:00"/>
    <n v="8319"/>
    <s v="O+"/>
    <s v="MBA-2013 , BCom-2011 , Intermediate-2007"/>
    <s v="10.08"/>
    <s v="00.11"/>
    <s v="11.07"/>
    <s v="72150420"/>
    <s v="Treasury - Hazira"/>
    <s v="70386184"/>
    <s v="Lead - Treasury"/>
    <s v="Hazira"/>
    <s v="0031950045"/>
    <s v="HZ-Works Accounts-Ha"/>
    <s v="2000HWO"/>
    <s v="20001854"/>
    <s v="Arasappan Thirumaran"/>
    <s v="No"/>
    <s v="dhaval.patel30@amns.in"/>
    <s v="9879102154"/>
    <s v="1016451"/>
    <s v="Dhruv Vyas"/>
    <s v="Anil Matoo"/>
    <s v="Praveen Kuruvalli"/>
    <s v="Dhruv Vyas"/>
    <n v="0"/>
  </r>
  <r>
    <n v="5359"/>
    <n v="20057491"/>
    <s v="Miralkumar Patel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Officer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92-08-27T00:00:00"/>
    <s v="31.00"/>
    <d v="2022-09-30T00:00:00"/>
    <d v="2050-08-31T00:00:00"/>
    <m/>
    <d v="2050-08-31T00:00:00"/>
    <n v="9842"/>
    <s v="B+"/>
    <s v="MBA-2016 , BBA-2012 , Intermediate-2009"/>
    <s v="05.08"/>
    <s v="00.11"/>
    <s v="06.07"/>
    <s v="70385322"/>
    <s v="Sales Planning &amp; Administration"/>
    <s v="273377"/>
    <s v="Officer - Order Entry"/>
    <s v="Hazira"/>
    <s v="0080000001"/>
    <s v="Head-Marketing"/>
    <s v="2000HWO"/>
    <s v="20049554"/>
    <s v="Uttam Kumar"/>
    <s v="No"/>
    <s v="miral.patel2@amns.in"/>
    <s v="7383459549"/>
    <s v="25588"/>
    <s v="Dhruv Vyas"/>
    <s v="Anil Matoo"/>
    <s v="Praveen Kuruvalli"/>
    <s v="Dhruv Vyas"/>
    <n v="0"/>
  </r>
  <r>
    <n v="5360"/>
    <n v="20057492"/>
    <s v="Ankush Mane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78-05-01T00:00:00"/>
    <s v="45.04"/>
    <d v="2022-09-30T00:00:00"/>
    <d v="2036-04-30T00:00:00"/>
    <m/>
    <d v="2036-04-30T00:00:00"/>
    <n v="4606"/>
    <s v="B+"/>
    <s v="PG Diploma in Management-2009 , BCom-200"/>
    <s v="15.01"/>
    <s v="00.11"/>
    <s v="16.00"/>
    <s v="70385322"/>
    <s v="Sales Planning &amp; Administration"/>
    <s v="273379"/>
    <s v="Lead - Order Entry"/>
    <s v="Hazira"/>
    <s v="0080000001"/>
    <s v="Head-Marketing"/>
    <s v="2000HWO"/>
    <s v="20049554"/>
    <s v="Uttam Kumar"/>
    <s v="No"/>
    <s v="ankush.mane@amns.in"/>
    <s v="9167077780"/>
    <s v="1016548"/>
    <s v="Dhruv Vyas"/>
    <s v="Anil Matoo"/>
    <s v="Praveen Kuruvalli"/>
    <s v="Dhruv Vyas"/>
    <n v="0"/>
  </r>
  <r>
    <n v="5361"/>
    <n v="20057493"/>
    <s v="Hiteshkumar Patel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Officer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78-03-19T00:00:00"/>
    <s v="45.06"/>
    <d v="2022-09-30T00:00:00"/>
    <d v="2036-03-31T00:00:00"/>
    <m/>
    <d v="2036-03-31T00:00:00"/>
    <n v="4576"/>
    <s v="O+"/>
    <s v="BCom-1999 , Intermediate-1995 , Intermed"/>
    <s v="14.07"/>
    <s v="00.11"/>
    <s v="15.06"/>
    <s v="70385322"/>
    <s v="Sales Planning &amp; Administration"/>
    <s v="273376"/>
    <s v="Officer - Order Entry"/>
    <s v="Hazira"/>
    <s v="0080000001"/>
    <s v="Head-Marketing"/>
    <s v="2000HWO"/>
    <s v="20049554"/>
    <s v="Uttam Kumar"/>
    <s v="No"/>
    <s v="hitesh.patel31@amns.in"/>
    <s v="9925241175"/>
    <s v="25659"/>
    <s v="Dhruv Vyas"/>
    <s v="Anil Matoo"/>
    <s v="Praveen Kuruvalli"/>
    <s v="Dhruv Vyas"/>
    <n v="0"/>
  </r>
  <r>
    <n v="5362"/>
    <n v="20057494"/>
    <s v="Victor Manikindi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77-10-17T00:00:00"/>
    <s v="45.11"/>
    <d v="2022-09-30T00:00:00"/>
    <d v="2035-10-31T00:00:00"/>
    <m/>
    <d v="2035-10-31T00:00:00"/>
    <n v="4424"/>
    <s v="B+"/>
    <s v="Intermediate-1999 , Intermediate-1999"/>
    <s v="13.01"/>
    <s v="00.11"/>
    <s v="14.00"/>
    <s v="70385322"/>
    <s v="Sales Planning &amp; Administration"/>
    <s v="273380"/>
    <s v="Lead - Order Entry"/>
    <s v="Hazira"/>
    <s v="0080000001"/>
    <s v="Head-Marketing"/>
    <s v="2000HWO"/>
    <s v="20049554"/>
    <s v="Uttam Kumar"/>
    <s v="No"/>
    <s v="victor.manikindi@amns.in"/>
    <s v="9920092630"/>
    <s v="25376"/>
    <s v="Dhruv Vyas"/>
    <s v="Anil Matoo"/>
    <s v="Praveen Kuruvalli"/>
    <s v="Dhruv Vyas"/>
    <n v="0"/>
  </r>
  <r>
    <n v="5366"/>
    <n v="20057498"/>
    <s v="Hiteshbhai Patel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84-03-18T00:00:00"/>
    <s v="39.06"/>
    <d v="2022-09-30T00:00:00"/>
    <d v="2042-03-31T00:00:00"/>
    <m/>
    <d v="2042-03-31T00:00:00"/>
    <n v="6767"/>
    <s v="AB+"/>
    <s v="BCom-2004 , Intermediate-2001 , Intermed"/>
    <s v="12.01"/>
    <s v="00.11"/>
    <s v="13.00"/>
    <s v="70385322"/>
    <s v="Sales Planning &amp; Administration"/>
    <s v="273381"/>
    <s v="Lead - Order Entry"/>
    <s v="Hazira"/>
    <s v="0022010041"/>
    <s v="DBN-Benf-Purchases"/>
    <s v="2000HWO"/>
    <s v="20049554"/>
    <s v="Uttam Kumar"/>
    <s v="No"/>
    <s v="hitesh.patel15@amns.in"/>
    <s v="9879507129"/>
    <s v="25660"/>
    <s v="Dhruv Vyas"/>
    <s v="Anil Matoo"/>
    <s v="Praveen Kuruvalli"/>
    <s v="Dhruv Vyas"/>
    <n v="0"/>
  </r>
  <r>
    <n v="5367"/>
    <n v="20057499"/>
    <s v="Kushal Gandhi"/>
    <s v="AM/NS India"/>
    <s v="Onroll"/>
    <s v="M-10"/>
    <n v="10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Officer - Order Entry"/>
    <m/>
    <s v="Sales Planning"/>
    <s v="Order Entry"/>
    <s v=""/>
    <s v="Non Technical Support"/>
    <s v="Sales &amp; Marketing"/>
    <s v="Sales &amp; Marketing"/>
    <s v="73101001"/>
    <s v="Sales &amp; Marketing"/>
    <s v="Hazira"/>
    <d v="1990-10-09T00:00:00"/>
    <s v="32.11"/>
    <d v="2022-09-30T00:00:00"/>
    <d v="2048-10-31T00:00:00"/>
    <m/>
    <d v="2048-10-31T00:00:00"/>
    <n v="9173"/>
    <s v="A+"/>
    <s v="BE-2014 , Intermediate-2006 , Intermedia"/>
    <s v="05.03"/>
    <s v="00.11"/>
    <s v="06.02"/>
    <s v="70385322"/>
    <s v="Sales Planning &amp; Administration"/>
    <s v="273378"/>
    <s v="Officer - Order Entry"/>
    <s v="Hazira"/>
    <s v="0080000001"/>
    <s v="Head-Marketing"/>
    <s v="2000HWO"/>
    <s v="20049554"/>
    <s v="Uttam Kumar"/>
    <s v="No"/>
    <s v="kushal.gandhi@amns.in"/>
    <s v="7096286636"/>
    <s v="25616"/>
    <s v="Dhruv Vyas"/>
    <s v="Anil Matoo"/>
    <s v="Praveen Kuruvalli"/>
    <s v="Dhruv Vyas"/>
    <n v="0"/>
  </r>
  <r>
    <n v="5371"/>
    <n v="20057503"/>
    <s v="Prithviraj Singh"/>
    <s v="AM/NS India"/>
    <s v="Onroll"/>
    <s v="M-9"/>
    <n v="9"/>
    <m/>
    <s v="JM"/>
    <s v="M"/>
    <s v="Odisha"/>
    <n v="2"/>
    <s v="2043"/>
    <x v="3"/>
    <s v="31.01"/>
    <s v="Hrishikesh Kamat"/>
    <s v="Hrishikesh Kamat"/>
    <n v="7"/>
    <s v="Procurement"/>
    <s v="Procurement"/>
    <s v="31"/>
    <s v="Officer - Procurement, Paradeep"/>
    <m/>
    <s v="Procurement"/>
    <s v=""/>
    <s v=""/>
    <s v="Non Technical Support"/>
    <s v="Commercial"/>
    <s v="Purchase"/>
    <s v="73804001"/>
    <s v="Purchase"/>
    <s v="Paradeep"/>
    <d v="1988-06-21T00:00:00"/>
    <s v="35.03"/>
    <d v="2022-10-10T00:00:00"/>
    <d v="2046-06-30T00:00:00"/>
    <m/>
    <d v="2046-06-30T00:00:00"/>
    <n v="8319"/>
    <s v="AB+"/>
    <s v="Intermediate-2005 , Intermediate-2004"/>
    <s v="16.03"/>
    <s v="00.11"/>
    <s v="17.02"/>
    <s v="70407583"/>
    <s v="Procurement - Odisha Asset"/>
    <s v="291468"/>
    <s v="Officer - Procurement, Paradeep"/>
    <s v="Odisha"/>
    <s v="0022030019"/>
    <s v="PDP-HR &amp; Admn"/>
    <s v="2000STORIS"/>
    <s v="20055692"/>
    <s v="Rajiv Ranjan"/>
    <s v="No"/>
    <s v="prithviraj.singh@amns.in"/>
    <s v="7077770050"/>
    <s v="1017147"/>
    <s v="Sunila Das"/>
    <s v="Anil Matoo"/>
    <s v="Praveen Kuruvalli"/>
    <s v="Sunila Das"/>
    <n v="0"/>
  </r>
  <r>
    <n v="5373"/>
    <n v="20057505"/>
    <s v="Tejas Vora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Indirect Tax"/>
    <m/>
    <s v=""/>
    <s v=""/>
    <s v=""/>
    <s v="Non Technical Support"/>
    <s v="Finance &amp; Accounts"/>
    <s v="Taxation"/>
    <s v="73904002"/>
    <s v="Indirect Taxation"/>
    <s v="AM/NS Hazira"/>
    <d v="1992-07-15T00:00:00"/>
    <s v="31.02"/>
    <d v="2022-10-13T00:00:00"/>
    <d v="2050-07-31T00:00:00"/>
    <m/>
    <d v="2050-07-31T00:00:00"/>
    <n v="9811"/>
    <s v="O+"/>
    <s v="CA Final-2017 , LLB-2014 , BCom-2011"/>
    <s v="05.02"/>
    <s v="00.11"/>
    <s v="06.01"/>
    <s v="70282653"/>
    <s v="GST"/>
    <s v="70372307"/>
    <s v="Lead - Indirect Tax"/>
    <s v="Hazira"/>
    <s v="0090000033"/>
    <s v="Corporate Taxation"/>
    <s v="2000HWO"/>
    <s v="20056327"/>
    <s v="Aishwarya Singhi"/>
    <s v="No"/>
    <s v="tejas.vora@amns.in"/>
    <s v="8140295402"/>
    <s v="1017358"/>
    <s v="Dhruv Vyas"/>
    <s v="Anil Matoo"/>
    <s v="Praveen Kuruvalli"/>
    <s v="Dhruv Vyas"/>
    <n v="0"/>
  </r>
  <r>
    <n v="5385"/>
    <n v="20057518"/>
    <s v="Eashank Yash Gautam"/>
    <s v="AM/NS India"/>
    <s v="Onroll"/>
    <s v="M-9"/>
    <n v="9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Officer - Stores"/>
    <m/>
    <s v="Procurement"/>
    <s v=""/>
    <s v=""/>
    <s v="Non Technical Support"/>
    <s v="Commercial"/>
    <s v="Stores &amp; Warehouse"/>
    <s v="73806001"/>
    <s v="Stores &amp; Warehouse"/>
    <s v="Kirandul"/>
    <d v="1994-03-15T00:00:00"/>
    <s v="29.06"/>
    <d v="2022-10-17T00:00:00"/>
    <d v="2052-03-31T00:00:00"/>
    <m/>
    <d v="2052-03-31T00:00:00"/>
    <n v="10420"/>
    <s v="B+"/>
    <s v="BE-2012 , Intermediate-2010"/>
    <s v="01.11"/>
    <s v="00.11"/>
    <s v="02.09"/>
    <s v="70301353"/>
    <s v="Procurement - Vizag &amp; Chitrakonda"/>
    <s v="291709"/>
    <s v="Officer - Stores"/>
    <s v="Vizag"/>
    <s v="0028030019"/>
    <s v="VIZ-Personnel &amp; Admi"/>
    <s v="2000VIZOPS"/>
    <s v="20000200"/>
    <s v="A Venkateswara Rao"/>
    <s v="No"/>
    <s v="eashank.gautam@amns.in"/>
    <s v="7725070639"/>
    <s v="1017630"/>
    <s v="DS Varma"/>
    <s v="Anil Matoo"/>
    <s v="Praveen Kuruvalli"/>
    <s v="Dhruv Vyas"/>
    <n v="0"/>
  </r>
  <r>
    <n v="5389"/>
    <n v="20057523"/>
    <s v="Tapas Kumar Panda"/>
    <s v="AM/NS India"/>
    <s v="Onroll"/>
    <s v="M-9"/>
    <n v="9"/>
    <m/>
    <s v="JM"/>
    <s v="M"/>
    <s v="Mining"/>
    <n v="8"/>
    <s v="2094"/>
    <x v="21"/>
    <s v="27.10"/>
    <s v="Vikas Chandra Yadvendu"/>
    <s v="Ashutosh Telang"/>
    <n v="6"/>
    <s v="HR &amp; Administration"/>
    <s v="Corporate SocialResponsibility"/>
    <s v="27"/>
    <s v="Officer - CSR Mines"/>
    <m/>
    <s v="Corporate Social Responsibility"/>
    <s v=""/>
    <s v=""/>
    <s v="Non Technical Support"/>
    <s v="Corporate Social Responsibility"/>
    <s v="Corporate Social Responsibility"/>
    <s v="75001001"/>
    <s v="Corporate Social Responsi"/>
    <s v="Barbil"/>
    <d v="1986-06-06T00:00:00"/>
    <s v="37.03"/>
    <d v="2022-10-01T00:00:00"/>
    <d v="2044-06-30T00:00:00"/>
    <m/>
    <d v="2044-06-30T00:00:00"/>
    <n v="7589"/>
    <s v="B+"/>
    <s v="Master's Equivalent-2011 , BA-2007 , Int"/>
    <s v="08.03"/>
    <s v="00.11"/>
    <s v="09.02"/>
    <s v="70495661"/>
    <s v="Corporate Social Responsibility"/>
    <s v="292117"/>
    <s v="Officer - CSR Mines"/>
    <s v="Odisha"/>
    <s v="0011000018"/>
    <s v="Sagasahi Mine HR"/>
    <s v="2000STORIS"/>
    <s v="20055033"/>
    <s v="Vikas Chandra Yadvendu"/>
    <s v="No"/>
    <s v="tapas.panda@amns.in"/>
    <s v="9238561546"/>
    <s v="1017978"/>
    <s v="Pramod Sinha"/>
    <s v="Anil Matoo"/>
    <s v="Praveen Kuruvalli"/>
    <s v="Dhruv Vyas"/>
    <n v="0"/>
  </r>
  <r>
    <n v="5391"/>
    <n v="20057525"/>
    <s v="Preeti Rawat"/>
    <s v="AM/NS India"/>
    <s v="Onroll"/>
    <s v="M-8"/>
    <n v="8"/>
    <m/>
    <s v="JM"/>
    <s v="F"/>
    <s v="Odisha"/>
    <n v="2"/>
    <s v="2094"/>
    <x v="21"/>
    <s v="27.10"/>
    <s v="Vikas Chandra Yadvendu"/>
    <s v="Ashutosh Telang"/>
    <n v="6"/>
    <s v="HR &amp; Administration"/>
    <s v="Corporate SocialResponsibility"/>
    <s v="27"/>
    <s v="Lead - CSR"/>
    <m/>
    <s v="Projects"/>
    <s v=""/>
    <s v=""/>
    <s v="Non Technical Support"/>
    <s v="Corporate Social Responsibility"/>
    <s v="Corporate Social Responsibility"/>
    <s v="75001001"/>
    <s v="Corporate Social Responsi"/>
    <s v="Bhubaneswar"/>
    <d v="1988-09-23T00:00:00"/>
    <s v="34.11"/>
    <d v="2022-10-15T00:00:00"/>
    <d v="2046-09-30T00:00:00"/>
    <m/>
    <d v="2046-09-30T00:00:00"/>
    <n v="8411"/>
    <s v="A+"/>
    <s v="Post Diploma Course-2013 , MSW-2012 , In"/>
    <s v="10.01"/>
    <s v="00.11"/>
    <s v="10.11"/>
    <s v="70495661"/>
    <s v="Corporate Social Responsibility"/>
    <s v="292163"/>
    <s v="Lead - CSR"/>
    <s v="Odisha"/>
    <s v="0022030019"/>
    <s v="PDP-HR &amp; Admn"/>
    <s v="2000STORIS"/>
    <s v="20055033"/>
    <s v="Vikas Chandra Yadvendu"/>
    <s v="No"/>
    <s v="preeti.rawat@amns.in"/>
    <s v="8146628232"/>
    <s v="1018293"/>
    <s v="Sunila Das"/>
    <s v="Anil Matoo"/>
    <s v="Praveen Kuruvalli"/>
    <s v="Sunila Das"/>
    <n v="0"/>
  </r>
  <r>
    <n v="5425"/>
    <n v="20057599"/>
    <s v="Om Prakash Giri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Commercial"/>
    <s v="Contracts &amp; Tenders and E-bid"/>
    <s v="73805001"/>
    <s v="Contracts &amp; Tenders and E"/>
    <s v="Hazira"/>
    <d v="1997-06-10T00:00:00"/>
    <s v="26.03"/>
    <d v="2022-11-14T00:00:00"/>
    <d v="2055-06-30T00:00:00"/>
    <m/>
    <d v="2055-06-30T00:00:00"/>
    <n v="11606"/>
    <s v="B+"/>
    <s v="Diploma-2018"/>
    <s v=""/>
    <s v="00.10"/>
    <s v="00.10"/>
    <s v="00053276"/>
    <s v="Issue/Shifting - Plant B"/>
    <s v="292312"/>
    <s v="Engineer"/>
    <s v="Hazira"/>
    <s v="0031950049"/>
    <s v="HZ-Central Stores"/>
    <s v="2012HAZI"/>
    <s v="20016604"/>
    <s v="Punit Verma"/>
    <s v="No"/>
    <s v="omprakash.giri2@amns.in"/>
    <s v="9879101240"/>
    <s v="26224"/>
    <s v="Dhruv Vyas"/>
    <s v="Anil Matoo"/>
    <s v="Praveen Kuruvalli"/>
    <s v="Dhruv Vyas"/>
    <n v="0"/>
  </r>
  <r>
    <n v="5427"/>
    <n v="20057601"/>
    <s v="Sistu Visweswara Rao"/>
    <s v="AM/NS India"/>
    <s v="Onroll"/>
    <s v="M-7"/>
    <n v="7"/>
    <m/>
    <s v="MM"/>
    <s v="M"/>
    <s v="Vizag"/>
    <n v="3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Human Resources"/>
    <s v=""/>
    <s v="Non Technical Support"/>
    <s v="Human Resources Management"/>
    <s v="Human Resources Management"/>
    <s v="73501002"/>
    <s v="Human Resources Operation"/>
    <s v="Vizag"/>
    <d v="1976-03-08T00:00:00"/>
    <s v="47.06"/>
    <d v="2022-10-26T00:00:00"/>
    <d v="2034-03-31T00:00:00"/>
    <m/>
    <d v="2034-03-31T00:00:00"/>
    <n v="3845"/>
    <s v="O+"/>
    <s v="MBA-2009 , BSc-1999"/>
    <s v="12.04"/>
    <s v="00.10"/>
    <s v="13.02"/>
    <s v="72150111"/>
    <s v="Vizag HR Operations &amp; Administration"/>
    <s v="72150367"/>
    <s v="Lead - Human Resources"/>
    <s v="Vizag"/>
    <s v="0028030019"/>
    <s v="VIZ-Personnel &amp; Admi"/>
    <s v="2000VIZOPS"/>
    <s v="20000519"/>
    <s v="Dandu Srinivas Varma"/>
    <s v="No"/>
    <s v="s.visweswararao@amns.in"/>
    <s v="9618325208"/>
    <s v="1018398"/>
    <s v="DS Varma"/>
    <s v="Anil Matoo"/>
    <s v="Praveen Kuruvalli"/>
    <s v="Dhruv Vyas"/>
    <n v="0"/>
  </r>
  <r>
    <n v="5429"/>
    <n v="20057603"/>
    <s v="Sanal Nair"/>
    <s v="AM/NS India"/>
    <s v="Onroll"/>
    <s v="M-9"/>
    <n v="9"/>
    <m/>
    <s v="JM"/>
    <s v="M"/>
    <s v="Hazira"/>
    <n v="1"/>
    <s v="2084"/>
    <x v="17"/>
    <s v="23.09"/>
    <s v="Anil Matoo"/>
    <s v="Ashutosh Telang"/>
    <n v="6"/>
    <s v="HR &amp; Administration"/>
    <s v="Industrial Relations"/>
    <s v="23"/>
    <s v="Lead - Industrial Relations"/>
    <m/>
    <s v="Human Resources"/>
    <s v="Industrial Relations"/>
    <s v=""/>
    <s v="Non Technical Support"/>
    <s v="Human Resources Management"/>
    <s v="Human Resources Management"/>
    <s v="73501002"/>
    <s v="Human Resources Operation"/>
    <s v="Hazira"/>
    <d v="1993-05-08T00:00:00"/>
    <s v="30.04"/>
    <d v="2022-10-27T00:00:00"/>
    <d v="2051-05-31T00:00:00"/>
    <m/>
    <d v="2051-05-31T00:00:00"/>
    <n v="10115"/>
    <s v="AB+"/>
    <s v="MSW-2017 , Diploma-2015 , BCom-2015 , In"/>
    <s v="04.09"/>
    <s v="00.10"/>
    <s v="05.07"/>
    <s v="70309501"/>
    <s v="IR &amp; legal Compliance"/>
    <s v="292411"/>
    <s v="Lead - Industrial Relations"/>
    <s v="Hazira"/>
    <s v="0090000018"/>
    <s v="CORP Group - HR"/>
    <s v="2000HWO"/>
    <s v="20056503"/>
    <s v="Bhavin Pandya"/>
    <s v="No"/>
    <s v="sanal.nair@amns.in"/>
    <s v="6351891819"/>
    <s v="1018595"/>
    <s v="Dhruv Vyas"/>
    <s v="Anil Matoo"/>
    <s v="Praveen Kuruvalli"/>
    <s v="Dhruv Vyas"/>
    <n v="0"/>
  </r>
  <r>
    <n v="5432"/>
    <n v="20057606"/>
    <s v="Vashu Singh Kachhavah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Delhi"/>
    <d v="1989-09-28T00:00:00"/>
    <s v="33.11"/>
    <d v="2022-10-20T00:00:00"/>
    <d v="2047-09-30T00:00:00"/>
    <m/>
    <d v="2047-09-30T00:00:00"/>
    <n v="8776"/>
    <s v="O+"/>
    <s v="MTech-2015 , BE-2012 , Intermediate-2007"/>
    <s v="07.02"/>
    <s v="00.11"/>
    <s v="08.01"/>
    <s v="00052460"/>
    <s v="Auto &amp; YG"/>
    <s v="292414"/>
    <s v="Resident Engineer"/>
    <s v="Corporate"/>
    <s v="0031950057"/>
    <s v="HZ-HRC - Marketing"/>
    <s v="2000CS"/>
    <s v="20056155"/>
    <s v="Kondapalli Venkateswarlu"/>
    <s v="No"/>
    <s v="vashu.singh@amns.in"/>
    <s v="8861449712"/>
    <s v="1018748"/>
    <s v="Dhruv Vyas"/>
    <s v="Anil Matoo"/>
    <s v="Praveen Kuruvalli"/>
    <s v="Dhruv Vyas"/>
    <n v="0"/>
  </r>
  <r>
    <n v="5446"/>
    <n v="20057621"/>
    <s v="Nachiket Sonalkar"/>
    <s v="AM/NS India"/>
    <s v="Onroll"/>
    <s v="M-8"/>
    <n v="8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KAM - Auto Sales"/>
    <m/>
    <s v="Auto"/>
    <s v="Auto"/>
    <s v=""/>
    <s v="Non Technical Support"/>
    <s v="Sales &amp; Marketing"/>
    <s v="Sales"/>
    <s v="73104004"/>
    <s v="OEM Sales"/>
    <s v="Mumbai"/>
    <d v="1992-05-05T00:00:00"/>
    <s v="31.04"/>
    <d v="2022-11-01T00:00:00"/>
    <d v="2050-05-31T00:00:00"/>
    <m/>
    <d v="2050-05-31T00:00:00"/>
    <n v="9750"/>
    <s v="A+"/>
    <s v="BE-2015 , Intermediate-2009 , High Schoo"/>
    <s v="05.07"/>
    <s v="00.10"/>
    <s v="06.05"/>
    <s v="70343195"/>
    <s v="Automotive Sales &amp; Service Centers"/>
    <s v="256054"/>
    <s v="KAM – Automotive Sales"/>
    <s v="Corporate"/>
    <s v="0031950057"/>
    <s v="HZ-HRC - Marketing"/>
    <s v="2000CS"/>
    <s v="20016767"/>
    <s v="Raghavan Venkatachalam"/>
    <s v="No"/>
    <s v="nachiket.sonalkar@amns.in"/>
    <s v="9819133573"/>
    <s v="1019481"/>
    <s v="Dhruv Vyas"/>
    <s v="Anil Matoo"/>
    <s v="Praveen Kuruvalli"/>
    <s v="Dhruv Vyas"/>
    <n v="0"/>
  </r>
  <r>
    <n v="5449"/>
    <n v="20057624"/>
    <s v="Sanika Gokhale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, Mumbai"/>
    <m/>
    <s v="Legal"/>
    <s v=""/>
    <s v=""/>
    <s v="Non Technical Support"/>
    <s v="Legal"/>
    <s v="Legal"/>
    <s v="73201001"/>
    <s v="Legal"/>
    <s v="Mumbai"/>
    <d v="1992-06-02T00:00:00"/>
    <s v="31.03"/>
    <d v="2022-11-01T00:00:00"/>
    <d v="2050-06-30T00:00:00"/>
    <m/>
    <d v="2050-06-30T00:00:00"/>
    <n v="9780"/>
    <s v="B+"/>
    <s v="LLB-2016 , Intermediate-2009 , Intermedi"/>
    <s v="05.01"/>
    <s v="00.10"/>
    <s v="05.11"/>
    <s v="00048996"/>
    <s v="Legal"/>
    <s v="292892"/>
    <s v="Legal Counsel"/>
    <s v="Corporate"/>
    <s v="0090000019"/>
    <s v="Corporate Steel - Le"/>
    <s v="2000CS"/>
    <s v="20055160"/>
    <s v="Mrida Lakhmani"/>
    <s v="No"/>
    <s v="sanika.gokhale@amns.in"/>
    <s v="9088940288"/>
    <s v="1019659"/>
    <s v="Dhruv Vyas"/>
    <s v="Anil Matoo"/>
    <s v="Praveen Kuruvalli"/>
    <s v="Dhruv Vyas"/>
    <n v="0"/>
  </r>
  <r>
    <n v="5459"/>
    <n v="20057635"/>
    <s v="Akshay Bhosale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OEM - Other West"/>
    <m/>
    <s v="Other West"/>
    <s v="Auto"/>
    <s v=""/>
    <s v="Non Technical Support"/>
    <s v="R&amp; D and QA/QC"/>
    <s v="R&amp;D"/>
    <s v="72103029"/>
    <s v="R&amp;D"/>
    <s v="Pune"/>
    <d v="1986-07-29T00:00:00"/>
    <s v="37.01"/>
    <d v="2022-11-07T00:00:00"/>
    <d v="2044-07-31T00:00:00"/>
    <m/>
    <d v="2044-07-31T00:00:00"/>
    <n v="7620"/>
    <s v="O+"/>
    <s v="MBA-2012 , BE-2008 , Intermediate-2004 ,"/>
    <s v="06.11"/>
    <s v="00.10"/>
    <s v="07.09"/>
    <s v="70495309"/>
    <s v="Sales West Zone"/>
    <s v="256057"/>
    <s v="KAM - Automotive Sales"/>
    <s v="Hazira"/>
    <s v="0031950057"/>
    <s v="HZ-HRC - Marketing"/>
    <s v="2000HWO"/>
    <s v="20047683"/>
    <s v="Virat Vij"/>
    <s v="No"/>
    <s v="akshay.bhosale@amns.in"/>
    <s v="9423238086"/>
    <s v="1019969"/>
    <s v="Dhruv Vyas"/>
    <s v="Anil Matoo"/>
    <s v="Praveen Kuruvalli"/>
    <s v="Dhruv Vyas"/>
    <n v="0"/>
  </r>
  <r>
    <n v="5461"/>
    <n v="20057637"/>
    <s v="Ashutosh Telang"/>
    <s v="AM/NS India"/>
    <s v="PDA"/>
    <s v="PDA"/>
    <n v="2"/>
    <m/>
    <s v="TM"/>
    <s v="M"/>
    <s v="Corporate"/>
    <n v="7"/>
    <s v="2015"/>
    <x v="1"/>
    <s v="22.06"/>
    <s v="Ashutosh Telang"/>
    <s v="Ashutosh Telang"/>
    <n v="6"/>
    <s v="HR &amp; Administration"/>
    <s v="Human Resources"/>
    <s v="22"/>
    <s v="Director &amp; VP - HR &amp; Admin"/>
    <m/>
    <s v=""/>
    <s v=""/>
    <s v=""/>
    <s v="Non Technical Support"/>
    <s v=""/>
    <s v=""/>
    <s v="70494638"/>
    <s v="Director and Vice President"/>
    <s v="Mumbai"/>
    <d v="1972-03-21T00:00:00"/>
    <s v="51.06"/>
    <d v="2022-11-10T00:00:00"/>
    <d v="2030-03-31T00:00:00"/>
    <m/>
    <d v="2030-03-31T00:00:00"/>
    <n v="2384"/>
    <s v="O-"/>
    <s v=""/>
    <s v=""/>
    <s v="00.10"/>
    <s v="00.10"/>
    <s v="00049042"/>
    <s v="HR &amp; Administration"/>
    <s v="293092"/>
    <s v="Director &amp; VP - HR &amp; Admin"/>
    <s v="Non-payroll-relevant"/>
    <s v="0090000018"/>
    <s v="CORP Group - HR"/>
    <s v="2003MUMB"/>
    <s v="20055068"/>
    <s v="Dilip Oommen"/>
    <s v="No"/>
    <s v="ashutosh.telang@amns.in"/>
    <s v="9820506713"/>
    <s v="1020214"/>
    <s v="Dhruv Vyas"/>
    <s v="Anil Matoo"/>
    <s v="Praveen Kuruvalli"/>
    <s v="Dhruv Vyas"/>
    <n v="0"/>
  </r>
  <r>
    <n v="5468"/>
    <n v="20057644"/>
    <s v="Kashyap Dave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Stores &amp; Warehouse"/>
    <s v=""/>
    <s v=""/>
    <s v="Non Technical Support"/>
    <s v="Commercial"/>
    <s v="Stores &amp; Warehouse"/>
    <s v="73806001"/>
    <s v="Stores &amp; Warehouse"/>
    <s v="Hazira"/>
    <d v="1999-10-01T00:00:00"/>
    <s v="23.11"/>
    <d v="2022-10-10T00:00:00"/>
    <d v="2057-09-30T00:00:00"/>
    <m/>
    <d v="2057-09-30T00:00:00"/>
    <n v="12429"/>
    <s v="B+"/>
    <s v="Diploma-2018 , Intermediate-2015"/>
    <s v="04.00"/>
    <s v="00.11"/>
    <s v="04.11"/>
    <s v="00048783"/>
    <s v="HBI, BF, Plant B &amp; Plate Mill"/>
    <s v="293127"/>
    <s v="Engineer"/>
    <s v="Hazira"/>
    <s v="0031950049"/>
    <s v="HZ-Central Stores"/>
    <s v="2000HWO"/>
    <s v="20005165"/>
    <s v="Parthiv Desai"/>
    <s v="No"/>
    <s v="kashyap.dave4@amns.in"/>
    <s v="6359610210"/>
    <s v="26212"/>
    <s v="Dhruv Vyas"/>
    <s v="Anil Matoo"/>
    <s v="Praveen Kuruvalli"/>
    <s v="Dhruv Vyas"/>
    <n v="0"/>
  </r>
  <r>
    <n v="5478"/>
    <n v="20057656"/>
    <s v="Ramesh Kumar Tiwari"/>
    <s v="AM/NS India"/>
    <s v="Onroll"/>
    <s v="M-9"/>
    <n v="9"/>
    <m/>
    <s v="JM"/>
    <s v="M"/>
    <s v="Service Centers"/>
    <n v="6"/>
    <s v="2015"/>
    <x v="1"/>
    <s v="22.06"/>
    <s v="Praveen Kuruvalli"/>
    <s v="Ashutosh Telang"/>
    <n v="6"/>
    <s v="HR &amp; Administration"/>
    <s v="Human Resources"/>
    <s v="22"/>
    <s v="Lead – HR, Indore"/>
    <m/>
    <s v="Human Resources"/>
    <s v=""/>
    <s v=""/>
    <s v="Non Technical Support"/>
    <s v="Human Resources Management"/>
    <s v="Human Resources Management"/>
    <s v="73501001"/>
    <s v="Human Resources"/>
    <s v="Indore"/>
    <d v="1985-08-08T00:00:00"/>
    <s v="38.01"/>
    <d v="2022-11-11T00:00:00"/>
    <d v="2043-08-31T00:00:00"/>
    <m/>
    <d v="2043-08-31T00:00:00"/>
    <n v="7285"/>
    <s v="A+"/>
    <s v="MBA-2010 , BA-2005 , Intermediate-2002 ,"/>
    <s v="09.02"/>
    <s v="00.10"/>
    <s v="10.00"/>
    <s v="00044376"/>
    <s v="Service Center &amp; Hypermart HR"/>
    <s v="293587"/>
    <s v="Lead – HR, Indore"/>
    <s v="Service Center"/>
    <s v="0040060019"/>
    <s v="SC-Indore-Op1-HR-Adm"/>
    <s v="2000SPRJ"/>
    <s v="20057135"/>
    <s v="RAHUL RAJ"/>
    <s v="No"/>
    <s v="ramesh.tiwari@amns.in"/>
    <s v="9575266444"/>
    <s v="1021217"/>
    <s v="Dhruv Vyas"/>
    <s v="Anil Matoo"/>
    <s v="Praveen Kuruvalli"/>
    <s v="Dhruv Vyas"/>
    <n v="0"/>
  </r>
  <r>
    <n v="5531"/>
    <n v="20057782"/>
    <s v="Raja Sahu"/>
    <s v="AM/NS India"/>
    <s v="Onroll"/>
    <s v="M-11"/>
    <n v="11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Engineer"/>
    <m/>
    <s v=""/>
    <s v=""/>
    <s v=""/>
    <s v="Non Technical Support"/>
    <s v=""/>
    <s v=""/>
    <s v=""/>
    <s v=""/>
    <s v="Hazira"/>
    <d v="1998-04-20T00:00:00"/>
    <s v="25.05"/>
    <d v="2022-11-14T00:00:00"/>
    <d v="2056-04-30T00:00:00"/>
    <m/>
    <d v="2056-04-30T00:00:00"/>
    <n v="11911"/>
    <s v="B+"/>
    <s v="BTech-2021 , Diploma-2018"/>
    <s v="04.00"/>
    <s v="00.10"/>
    <s v="04.10"/>
    <s v="00053278"/>
    <s v="GRN/Documentation/Issue - Plant A"/>
    <s v="293847"/>
    <s v="Engineer"/>
    <s v="Hazira"/>
    <s v="0031950049"/>
    <s v="HZ-Central Stores"/>
    <s v="2012HAZI"/>
    <s v="20002587"/>
    <s v="Seema Mehta"/>
    <s v="No"/>
    <s v="raja.sahu5@amns.in"/>
    <s v="9909902345"/>
    <s v="26226"/>
    <s v="Dhruv Vyas"/>
    <s v="Anil Matoo"/>
    <s v="Praveen Kuruvalli"/>
    <s v="Dhruv Vyas"/>
    <n v="0"/>
  </r>
  <r>
    <n v="5570"/>
    <n v="20057824"/>
    <s v="Agniva Ray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Accounts Payable"/>
    <m/>
    <s v="Finance &amp; Accounts"/>
    <s v=""/>
    <s v=""/>
    <s v="Non Technical Support"/>
    <s v="Finance &amp; Accounts"/>
    <s v="Corporate Finance"/>
    <s v="73902004"/>
    <s v="Banking Relations"/>
    <s v="Hazira"/>
    <d v="1990-01-18T00:00:00"/>
    <s v="33.08"/>
    <d v="2022-11-25T00:00:00"/>
    <d v="2048-01-31T00:00:00"/>
    <m/>
    <d v="2048-01-31T00:00:00"/>
    <n v="8899"/>
    <s v="A+"/>
    <s v="ICWA Final-2018 , BCom-2008 , Intermedia"/>
    <s v="04.00"/>
    <s v="00.09"/>
    <s v="04.09"/>
    <s v="72150243"/>
    <s v="Accounts Payable"/>
    <s v="294296"/>
    <s v="Officer - Accounts Payable"/>
    <s v="Hazira"/>
    <s v="0031950045"/>
    <s v="HZ-Works Accounts-Ha"/>
    <s v="2000HWO"/>
    <s v="20001076"/>
    <s v="Bhavesh Modi"/>
    <s v="No"/>
    <s v="agniva.ray@amns.in"/>
    <s v="9679035551"/>
    <s v="1024138"/>
    <s v="Dhruv Vyas"/>
    <s v="Anil Matoo"/>
    <s v="Praveen Kuruvalli"/>
    <s v="Dhruv Vyas"/>
    <n v="0"/>
  </r>
  <r>
    <n v="5573"/>
    <n v="20057827"/>
    <s v="Vivek Kumar"/>
    <s v="AM/NS India"/>
    <s v="Onroll"/>
    <s v="M-9"/>
    <n v="9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Officer – Capex Services"/>
    <m/>
    <s v="Capex Procurement"/>
    <s v=""/>
    <s v=""/>
    <s v="Non Technical Support"/>
    <s v="Operations"/>
    <s v="Operations"/>
    <s v="72103001"/>
    <s v="Operations"/>
    <s v="Hazira"/>
    <d v="1996-12-25T00:00:00"/>
    <s v="26.08"/>
    <d v="2022-11-30T00:00:00"/>
    <d v="2054-12-31T00:00:00"/>
    <m/>
    <d v="2054-12-31T00:00:00"/>
    <n v="11425"/>
    <s v="O+"/>
    <s v="BTech-2018 , Intermediate-2012 , Interme"/>
    <s v="04.05"/>
    <s v="00.09"/>
    <s v="05.02"/>
    <s v="00049342"/>
    <s v="Capex Procurement"/>
    <s v="294609"/>
    <s v="Officer – Capex Services"/>
    <s v="Hazira"/>
    <s v="0031950059"/>
    <s v="HZ-Hazira Project"/>
    <s v="2000HWO"/>
    <s v="20055712"/>
    <s v="Ravi Goyal"/>
    <s v="No"/>
    <s v="vivek.kumar17@amns.in"/>
    <s v="6358926939"/>
    <s v="1024659"/>
    <s v="Dhruv Vyas"/>
    <s v="Anil Matoo"/>
    <s v="Praveen Kuruvalli"/>
    <s v="Dhruv Vyas"/>
    <n v="0"/>
  </r>
  <r>
    <n v="5574"/>
    <n v="20057828"/>
    <s v="Shailesh Rajoria"/>
    <s v="AM/NS India"/>
    <s v="Onroll"/>
    <s v="M-6"/>
    <n v="6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Accounts Payable"/>
    <m/>
    <s v="Finance &amp; Accounts"/>
    <s v=""/>
    <s v=""/>
    <s v="Non Technical Support"/>
    <s v="Finance &amp; Accounts"/>
    <s v="Corporate Finance"/>
    <s v="73902004"/>
    <s v="Banking Relations"/>
    <s v="Hazira"/>
    <d v="1977-06-13T00:00:00"/>
    <s v="46.03"/>
    <d v="2022-12-01T00:00:00"/>
    <d v="2035-06-30T00:00:00"/>
    <m/>
    <d v="2035-06-30T00:00:00"/>
    <n v="4301"/>
    <s v="B+"/>
    <s v="CA Final-2006 , BCom-1999 , Intermediate"/>
    <s v="06.04"/>
    <s v="00.09"/>
    <s v="07.01"/>
    <s v="72150243"/>
    <s v="Accounts Payable"/>
    <s v="294611"/>
    <s v="Sr. Lead - Accounts Payable"/>
    <s v="Hazira"/>
    <s v="0031950045"/>
    <s v="HZ-Works Accounts-Ha"/>
    <s v="2000HWO"/>
    <s v="20001076"/>
    <s v="Bhavesh Modi"/>
    <s v="No"/>
    <s v="shailesh.rajoria@amns.in"/>
    <s v="6358926940"/>
    <s v="1024676"/>
    <s v="Dhruv Vyas"/>
    <s v="Anil Matoo"/>
    <s v="Praveen Kuruvalli"/>
    <s v="Dhruv Vyas"/>
    <n v="0"/>
  </r>
  <r>
    <n v="5582"/>
    <n v="20057836"/>
    <s v="George Skaria"/>
    <s v="AM/NS India"/>
    <s v="Onroll"/>
    <s v="M-8"/>
    <n v="8"/>
    <m/>
    <s v="JM"/>
    <s v="M"/>
    <s v="Pune Facility"/>
    <n v="7"/>
    <s v="2069"/>
    <x v="8"/>
    <s v="25.01"/>
    <s v="Bibek Chattopadhyay"/>
    <s v="Ashutosh Telang"/>
    <n v="6"/>
    <s v="HR &amp; Administration"/>
    <s v="Corporate Communications"/>
    <s v="25"/>
    <s v="Lead - Corporate Communication"/>
    <m/>
    <s v="Corporate Communicatiton"/>
    <s v=""/>
    <s v=""/>
    <s v="Non Technical Support"/>
    <s v="Corporate Communication"/>
    <s v="Corporate Communication"/>
    <s v="74001001"/>
    <s v="Corporate Communication"/>
    <s v="Pune"/>
    <d v="1980-06-06T00:00:00"/>
    <s v="43.03"/>
    <d v="2022-12-01T00:00:00"/>
    <d v="2038-06-30T00:00:00"/>
    <m/>
    <d v="2038-06-30T00:00:00"/>
    <n v="5397"/>
    <s v="B+"/>
    <s v="PG Diploma in Management-2004 , BCom-200"/>
    <s v="05.07"/>
    <s v="00.09"/>
    <s v="06.04"/>
    <s v="70318583"/>
    <s v="Communications &amp; Media Relations"/>
    <s v="295108"/>
    <s v="Lead – Corporate Communications"/>
    <s v="Service Center"/>
    <s v="0090000016"/>
    <s v="Corporate Steel - Co"/>
    <s v="2000CS"/>
    <s v="20055187"/>
    <s v="Bibek Chattopadhyay"/>
    <s v="No"/>
    <s v="george.skaria@amns.in"/>
    <s v="9881233076"/>
    <s v="1025408"/>
    <s v="Dhruv Vyas"/>
    <s v="Anil Matoo"/>
    <s v="Praveen Kuruvalli"/>
    <s v="Dhruv Vyas"/>
    <n v="0"/>
  </r>
  <r>
    <n v="5589"/>
    <n v="20057843"/>
    <s v="Ritesh Kumar Singh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"/>
    <m/>
    <s v="North"/>
    <s v="OEM"/>
    <s v=""/>
    <s v="Non Technical Support"/>
    <s v="Sales &amp; Marketing"/>
    <s v="Sales"/>
    <s v="73104003"/>
    <s v="Retail Sales"/>
    <s v="Gurgaon"/>
    <d v="1984-10-09T00:00:00"/>
    <s v="38.11"/>
    <d v="2022-12-12T00:00:00"/>
    <d v="2042-10-31T00:00:00"/>
    <m/>
    <d v="2042-10-31T00:00:00"/>
    <n v="6981"/>
    <s v="B+"/>
    <s v="MBA-2010 , BBA-2006 , Intermediate-2002"/>
    <s v="07.09"/>
    <s v="00.09"/>
    <s v="08.05"/>
    <s v="72150181"/>
    <s v="Sales North Zone"/>
    <s v="70319464"/>
    <s v="Sales Manager"/>
    <s v="Hazira"/>
    <s v="0031950057"/>
    <s v="HZ-HRC - Marketing"/>
    <s v="2000HWO"/>
    <s v="20002920"/>
    <s v="Sudhir Sharma"/>
    <s v="No"/>
    <s v="ritesh.singh5@amns.in"/>
    <s v="9654234238"/>
    <s v="1025980"/>
    <s v="Dhruv Vyas"/>
    <s v="Anil Matoo"/>
    <s v="Praveen Kuruvalli"/>
    <s v="Dhruv Vyas"/>
    <n v="0"/>
  </r>
  <r>
    <n v="5601"/>
    <n v="20057855"/>
    <s v="M Ganesh Charan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 2021"/>
    <m/>
    <s v="South"/>
    <s v="OEM"/>
    <s v=""/>
    <s v="Non Technical Support"/>
    <s v="Sales &amp; Marketing"/>
    <s v="Sales"/>
    <s v="73104004"/>
    <s v="OEM Sales"/>
    <s v="Chennai"/>
    <d v="1992-09-01T00:00:00"/>
    <s v="31.00"/>
    <d v="2022-12-14T00:00:00"/>
    <d v="2050-08-31T00:00:00"/>
    <m/>
    <d v="2050-08-31T00:00:00"/>
    <n v="9842"/>
    <s v="O+"/>
    <s v="MBA-2017 , BE-2013 , Intermediate-2009"/>
    <s v="05.10"/>
    <s v="00.09"/>
    <s v="06.07"/>
    <s v="00052474"/>
    <s v="KAM Automotive Sales - South"/>
    <s v="256051"/>
    <s v="KAM - OEM Sales"/>
    <s v="Hazira"/>
    <s v="0031950057"/>
    <s v="HZ-HRC - Marketing"/>
    <s v="2000HWO"/>
    <s v="20018700"/>
    <s v="Srinivasan Kamalakannan"/>
    <s v="No"/>
    <s v="ganesh.charan@amns.in"/>
    <s v="9626456337"/>
    <s v="1026538"/>
    <s v="Dhruv Vyas"/>
    <s v="Anil Matoo"/>
    <s v="Praveen Kuruvalli"/>
    <s v="Dhruv Vyas"/>
    <n v="0"/>
  </r>
  <r>
    <n v="5620"/>
    <n v="20057875"/>
    <s v="Sanat Kumar Vijay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Plate Sales"/>
    <m/>
    <s v="Plate"/>
    <s v="Plate"/>
    <s v=""/>
    <s v="Non Technical Support"/>
    <s v="Sales &amp; Marketing"/>
    <s v="Sales"/>
    <s v="73104004"/>
    <s v="OEM Sales"/>
    <s v="Mumbai"/>
    <d v="1987-08-22T00:00:00"/>
    <s v="36.00"/>
    <d v="2022-12-22T00:00:00"/>
    <d v="2045-08-31T00:00:00"/>
    <m/>
    <d v="2045-08-31T00:00:00"/>
    <n v="8016"/>
    <s v="B+"/>
    <s v="BE-2010 , Intermediate-2006 , High Schoo"/>
    <s v="11.05"/>
    <s v="00.08"/>
    <s v="12.01"/>
    <s v="70410953"/>
    <s v="Plate Sales - Gujarat"/>
    <s v="70336303"/>
    <s v="Sales Manager - Plate Sales"/>
    <s v="Hazira"/>
    <s v="0080000001"/>
    <s v="Head-Marketing"/>
    <s v="2000HWO"/>
    <s v="20003623"/>
    <s v="Soumyadeep Datta"/>
    <s v="No"/>
    <s v="sanat.vijay@amns.in"/>
    <s v="9770470005"/>
    <s v="1027165"/>
    <s v="Dhruv Vyas"/>
    <s v="Anil Matoo"/>
    <s v="Praveen Kuruvalli"/>
    <s v="Dhruv Vyas"/>
    <n v="0"/>
  </r>
  <r>
    <n v="5628"/>
    <n v="20057885"/>
    <s v="Rupali Waghmare"/>
    <s v="AM/NS India"/>
    <s v="Onroll"/>
    <s v="M-9"/>
    <n v="9"/>
    <m/>
    <s v="JM"/>
    <s v="F"/>
    <s v="Corporate"/>
    <n v="7"/>
    <s v="2060"/>
    <x v="24"/>
    <s v="39.01"/>
    <s v="Sanjay Sharma"/>
    <s v="Sanjay Sharma"/>
    <n v="8"/>
    <s v="Business Development"/>
    <s v="Business Development"/>
    <s v="39"/>
    <s v="Lead Business Development – M&amp;A"/>
    <m/>
    <s v="Business Development"/>
    <s v=""/>
    <s v=""/>
    <s v="Non Technical Support"/>
    <s v="Sales &amp; Marketing"/>
    <s v="Business Development"/>
    <s v="73103001"/>
    <s v="Business Development"/>
    <s v="Mumbai"/>
    <d v="1998-04-21T00:00:00"/>
    <s v="25.05"/>
    <d v="2022-12-26T00:00:00"/>
    <d v="2056-04-30T00:00:00"/>
    <m/>
    <d v="2056-04-30T00:00:00"/>
    <n v="11911"/>
    <s v="O+"/>
    <s v="CA Final-2020"/>
    <s v="01.07"/>
    <s v="00.08"/>
    <s v="02.03"/>
    <s v="00049729"/>
    <s v="Business Development - M&amp;A"/>
    <s v="296496"/>
    <s v="Lead Business Development – M&amp;A"/>
    <s v="Corporate"/>
    <s v="0090000032"/>
    <s v="Business Devpelopmen"/>
    <s v="2000CS"/>
    <s v="20055182"/>
    <s v="Neha Soni"/>
    <s v="No"/>
    <s v="rupali.waghmare@amns.in"/>
    <s v="8421262673"/>
    <s v="1027431"/>
    <s v="Dhruv Vyas"/>
    <s v="Anil Matoo"/>
    <s v="Praveen Kuruvalli"/>
    <s v="Dhruv Vyas"/>
    <n v="0"/>
  </r>
  <r>
    <n v="5629"/>
    <n v="20057886"/>
    <s v="Shakir Bandwala"/>
    <s v="AM/NS India"/>
    <s v="Onroll"/>
    <s v="M-5"/>
    <n v="5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Administration"/>
    <m/>
    <s v="Administration"/>
    <s v=""/>
    <s v=""/>
    <s v="Non Technical Support"/>
    <s v="Administration"/>
    <s v="Administration"/>
    <s v="74101001"/>
    <s v="Administration"/>
    <s v="Hazira"/>
    <d v="1966-08-18T00:00:00"/>
    <s v="57.01"/>
    <d v="2017-09-12T00:00:00"/>
    <d v="2024-08-31T00:00:00"/>
    <m/>
    <d v="2024-08-31T00:00:00"/>
    <n v="346"/>
    <s v="B+"/>
    <s v="Diploma-1986 , Intermediate-1983 , Inter"/>
    <s v="12.00"/>
    <s v="06.00"/>
    <s v="18.00"/>
    <s v="00049719"/>
    <s v="Administration Hazira"/>
    <s v="296420"/>
    <s v="Head-Administration,Hazira"/>
    <s v="Hazira"/>
    <s v="0031950030"/>
    <s v="HZ-Admin"/>
    <s v="2000HWO"/>
    <s v="20000083"/>
    <s v="Anil Matoo"/>
    <s v="No"/>
    <s v="shakir.bandwala@amns.in"/>
    <s v="9879100355"/>
    <s v="26747"/>
    <s v="Manjit Shah"/>
    <s v="Anil Matoo"/>
    <s v="Praveen Kuruvalli"/>
    <s v="Lakshman Iyer"/>
    <n v="0"/>
  </r>
  <r>
    <n v="5630"/>
    <n v="20057887"/>
    <s v="Kiran Vaidya"/>
    <s v="AM/NS India"/>
    <s v="Onroll"/>
    <s v="M-6"/>
    <n v="6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– Admin, Khopoli"/>
    <m/>
    <s v="Administration"/>
    <s v="Administration"/>
    <s v="Hazira"/>
    <s v="Non Technical Support"/>
    <s v="Administration"/>
    <s v="Administration"/>
    <s v="74101001"/>
    <s v="Administration"/>
    <s v="Khopoli"/>
    <d v="1975-03-07T00:00:00"/>
    <s v="48.06"/>
    <d v="2020-08-10T00:00:00"/>
    <d v="2033-03-31T00:00:00"/>
    <m/>
    <d v="2033-03-31T00:00:00"/>
    <n v="3480"/>
    <s v="A+"/>
    <s v="PG Diploma in Management-2007 , BBA-2002"/>
    <s v="12.06"/>
    <s v="03.01"/>
    <s v="15.07"/>
    <s v="73800068"/>
    <s v="Pune HR Operations &amp; Administration"/>
    <s v="296421"/>
    <s v="Head – Admin, Khopoli"/>
    <s v="Hazira"/>
    <s v="0031950030"/>
    <s v="HZ-Admin"/>
    <s v="2000HWO"/>
    <s v="20037245"/>
    <s v="Mukund Jagirdar"/>
    <s v="No"/>
    <s v="kiran.vaidya@amns.in"/>
    <s v="9921180482"/>
    <s v="802093"/>
    <s v="Manjit Shah"/>
    <s v="Anil Matoo"/>
    <s v="Praveen Kuruvalli"/>
    <s v="Lakshman Iyer"/>
    <n v="0"/>
  </r>
  <r>
    <n v="5631"/>
    <n v="20057888"/>
    <s v="Narinder Lamba"/>
    <s v="AM/NS India"/>
    <s v="Onroll"/>
    <s v="M-6"/>
    <n v="6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Head – Admin, Regional &amp; Corporate"/>
    <m/>
    <s v="Administration"/>
    <s v="Administration"/>
    <s v="Hazira"/>
    <s v="Non Technical Support"/>
    <s v="Administration"/>
    <s v="Administration"/>
    <s v="74101001"/>
    <s v="Administration"/>
    <s v="Hazira"/>
    <d v="1984-07-09T00:00:00"/>
    <s v="39.02"/>
    <d v="2019-11-25T00:00:00"/>
    <d v="2042-07-31T00:00:00"/>
    <m/>
    <d v="2042-07-31T00:00:00"/>
    <n v="6889"/>
    <s v="O+"/>
    <s v="BHMS-2007"/>
    <s v="05.01"/>
    <s v="03.09"/>
    <s v="08.11"/>
    <s v="00049721"/>
    <s v="Regional &amp; Corporate offices"/>
    <s v="296423"/>
    <s v="Sec. Head – Admin, Regional &amp; Corporate"/>
    <s v="Hazira"/>
    <s v="0031950030"/>
    <s v="HZ-Admin"/>
    <s v="2000HWO"/>
    <s v="20057886"/>
    <s v="Shakir Bandwala"/>
    <s v="No"/>
    <s v="narinder.lamba@amns.in"/>
    <s v="9909901133"/>
    <s v="793071"/>
    <s v="Manjit Shah"/>
    <s v="Anil Matoo"/>
    <s v="Praveen Kuruvalli"/>
    <s v="Lakshman Iyer"/>
    <n v="0"/>
  </r>
  <r>
    <n v="5632"/>
    <n v="20057891"/>
    <s v="Bhavik Mehta"/>
    <s v="AM/NS India"/>
    <s v="Onroll"/>
    <s v="M-7"/>
    <n v="7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Senior Lead - Administration"/>
    <m/>
    <s v="Administration"/>
    <s v="Administration"/>
    <s v="Hazira"/>
    <s v="Non Technical Support"/>
    <s v="Administration"/>
    <s v="Administration"/>
    <s v="74101001"/>
    <s v="Administration"/>
    <s v="Hazira"/>
    <d v="1986-10-09T00:00:00"/>
    <s v="36.11"/>
    <d v="2022-10-21T00:00:00"/>
    <d v="2044-10-31T00:00:00"/>
    <m/>
    <d v="2044-10-31T00:00:00"/>
    <n v="7712"/>
    <s v="B+"/>
    <s v="MBA-2016 , PG Diploma-2012 , BBA-2008 ,"/>
    <s v="09.09"/>
    <s v="00.10"/>
    <s v="10.08"/>
    <s v="00049721"/>
    <s v="Regional &amp; Corporate offices"/>
    <s v="296426"/>
    <s v="Senior Lead - Administration"/>
    <s v="Hazira"/>
    <s v="0031950030"/>
    <s v="HZ-Admin"/>
    <s v="2000HWO"/>
    <s v="20057888"/>
    <s v="Narinder Lamba"/>
    <s v="No"/>
    <s v="bhavik.mehta@amns.in"/>
    <s v="6358983766"/>
    <s v="1021717"/>
    <s v="Manjit Shah"/>
    <s v="Anil Matoo"/>
    <s v="Praveen Kuruvalli"/>
    <s v="Lakshman Iyer"/>
    <n v="0"/>
  </r>
  <r>
    <n v="5633"/>
    <n v="20057892"/>
    <s v="Taj Baby"/>
    <s v="AM/NS India"/>
    <s v="Onroll"/>
    <s v="M-7"/>
    <n v="7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Sr. Lead – Admin"/>
    <m/>
    <s v="Administration"/>
    <s v="Administration"/>
    <s v="Hazira"/>
    <s v="Non Technical Support"/>
    <s v="Administration"/>
    <s v="Administration"/>
    <s v="74101001"/>
    <s v="Administration"/>
    <s v="Hazira"/>
    <d v="1985-02-07T00:00:00"/>
    <s v="38.07"/>
    <d v="2022-07-12T00:00:00"/>
    <d v="2043-02-28T00:00:00"/>
    <m/>
    <d v="2043-02-28T00:00:00"/>
    <n v="7101"/>
    <s v="O+"/>
    <s v="BSc-2006 , Intermediate-2002 , Intermedi"/>
    <s v="03.01"/>
    <s v="01.02"/>
    <s v="04.03"/>
    <s v="00049777"/>
    <s v="Plant Administration"/>
    <s v="296424"/>
    <s v="Sr. Lead – Admin"/>
    <s v="Hazira"/>
    <s v="0031950030"/>
    <s v="HZ-Admin"/>
    <s v="2000HWO"/>
    <s v="20057886"/>
    <s v="Shakir Bandwala"/>
    <s v="No"/>
    <s v="taj.baby@amns.in"/>
    <s v="6358869319"/>
    <s v="1009163"/>
    <s v="Manjit Shah"/>
    <s v="Anil Matoo"/>
    <s v="Praveen Kuruvalli"/>
    <s v="Lakshman Iyer"/>
    <n v="0"/>
  </r>
  <r>
    <n v="5636"/>
    <n v="20057895"/>
    <s v="Bhagubhai Patel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ommercials"/>
    <m/>
    <s v="Administration"/>
    <s v="Administration"/>
    <s v="Hazira"/>
    <s v="Non Technical Support"/>
    <s v="Administration"/>
    <s v="Administration"/>
    <s v="74101001"/>
    <s v="Administration"/>
    <s v="Hazira"/>
    <d v="1965-06-01T00:00:00"/>
    <s v="58.03"/>
    <d v="2016-02-01T00:00:00"/>
    <d v="2023-05-31T00:00:00"/>
    <d v="2023-11-30T00:00:00"/>
    <d v="2023-11-30T00:00:00"/>
    <n v="71"/>
    <s v="B+"/>
    <s v="BCom-1988 , Intermediate-1981"/>
    <s v="26.09"/>
    <s v="07.07"/>
    <s v="34.04"/>
    <s v="00049721"/>
    <s v="Regional &amp; Corporate offices"/>
    <s v="296427"/>
    <s v="Lead - Commercials"/>
    <s v="Hazira"/>
    <s v="0031950030"/>
    <s v="HZ-Admin"/>
    <s v="2000HWO"/>
    <s v="20057888"/>
    <s v="Narinder Lamba"/>
    <s v="No"/>
    <s v="bhagubhai.patel@amns.in"/>
    <s v="9879102388"/>
    <s v="26754"/>
    <s v="Manjit Shah"/>
    <s v="Anil Matoo"/>
    <s v="Praveen Kuruvalli"/>
    <s v="Lakshman Iyer"/>
    <n v="0"/>
  </r>
  <r>
    <n v="5637"/>
    <n v="20057896"/>
    <s v="Chandravadan Patel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Transportation"/>
    <m/>
    <s v="Administration"/>
    <s v="Administration"/>
    <s v="Hazira"/>
    <s v="Non Technical Support"/>
    <s v="Administration"/>
    <s v="Administration"/>
    <s v="74101001"/>
    <s v="Administration"/>
    <s v="Hazira"/>
    <d v="1982-02-25T00:00:00"/>
    <s v="41.06"/>
    <d v="2016-02-01T00:00:00"/>
    <d v="2040-02-29T00:00:00"/>
    <m/>
    <d v="2040-02-29T00:00:00"/>
    <n v="6006"/>
    <s v="B+"/>
    <s v="MBA-2002 , Intermediate-1997 , Intermedi"/>
    <s v=""/>
    <s v="07.07"/>
    <s v="07.07"/>
    <s v="00049757"/>
    <s v="Facility Management"/>
    <s v="296428"/>
    <s v="Lead – Transportation"/>
    <s v="Hazira"/>
    <s v="0031950030"/>
    <s v="HZ-Admin"/>
    <s v="2000HWO"/>
    <s v="20059018"/>
    <s v="Sandeep Ray"/>
    <s v="No"/>
    <s v="chandravadan.patel@amns.in"/>
    <s v="9879101949"/>
    <s v="26755"/>
    <s v="Manjit Shah"/>
    <s v="Anil Matoo"/>
    <s v="Praveen Kuruvalli"/>
    <s v="Lakshman Iyer"/>
    <n v="0"/>
  </r>
  <r>
    <n v="5638"/>
    <n v="20057897"/>
    <s v="Mahipal Singh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Plant Admin"/>
    <m/>
    <s v="Administration"/>
    <s v="Administration"/>
    <s v="Hazira"/>
    <s v="Non Technical Support"/>
    <s v="Administration"/>
    <s v="Administration"/>
    <s v="74101001"/>
    <s v="Administration"/>
    <s v="Hazira"/>
    <d v="1969-07-01T00:00:00"/>
    <s v="54.02"/>
    <d v="2016-02-01T00:00:00"/>
    <d v="2027-06-30T00:00:00"/>
    <m/>
    <d v="2027-06-30T00:00:00"/>
    <n v="1379"/>
    <s v="B+"/>
    <s v="MSc-1992 , BSc-1990 , Intermediate-1987"/>
    <s v="06.11"/>
    <s v="07.07"/>
    <s v="14.06"/>
    <s v="00049777"/>
    <s v="Plant Administration"/>
    <s v="296429"/>
    <s v="Lead – Plant Admin"/>
    <s v="Hazira"/>
    <s v="0031950030"/>
    <s v="HZ-Admin"/>
    <s v="2000HWO"/>
    <s v="20057892"/>
    <s v="Taj Baby"/>
    <s v="No"/>
    <s v="mahipal.singh@amns.in"/>
    <s v="9879100736"/>
    <s v="26756"/>
    <s v="Manjit Shah"/>
    <s v="Anil Matoo"/>
    <s v="Praveen Kuruvalli"/>
    <s v="Lakshman Iyer"/>
    <n v="0"/>
  </r>
  <r>
    <n v="5639"/>
    <n v="20057898"/>
    <s v="Prakash Jha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Township"/>
    <m/>
    <s v="Administration"/>
    <s v="Administration"/>
    <s v="Hazira"/>
    <s v="Non Technical Support"/>
    <s v="Administration"/>
    <s v="Administration"/>
    <s v="74101001"/>
    <s v="Administration"/>
    <s v="Hazira"/>
    <d v="1969-10-09T00:00:00"/>
    <s v="53.11"/>
    <d v="2016-02-01T00:00:00"/>
    <d v="2027-10-31T00:00:00"/>
    <m/>
    <d v="2027-10-31T00:00:00"/>
    <n v="1502"/>
    <s v="O+"/>
    <s v="BA-1989"/>
    <s v="07.00"/>
    <s v="07.07"/>
    <s v="14.07"/>
    <s v="00049757"/>
    <s v="Facility Management"/>
    <s v="296430"/>
    <s v="Lead – Township"/>
    <s v="Hazira"/>
    <s v="0031950030"/>
    <s v="HZ-Admin"/>
    <s v="2000HWO"/>
    <s v="20059018"/>
    <s v="Sandeep Ray"/>
    <s v="No"/>
    <s v="prakash.jha@amns.in"/>
    <s v="9879102444"/>
    <s v="26751"/>
    <s v="Manjit Shah"/>
    <s v="Anil Matoo"/>
    <s v="Praveen Kuruvalli"/>
    <s v="Lakshman Iyer"/>
    <n v="0"/>
  </r>
  <r>
    <n v="5640"/>
    <n v="20057899"/>
    <s v="Dharmendrasinh Rathod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Plant Admin"/>
    <m/>
    <s v="Administration"/>
    <s v="Administration"/>
    <s v="Hazira"/>
    <s v="Non Technical Support"/>
    <s v="Administration"/>
    <s v="Administration"/>
    <s v="74101001"/>
    <s v="Administration"/>
    <s v="Hazira"/>
    <d v="1981-05-22T00:00:00"/>
    <s v="42.03"/>
    <d v="2016-02-01T00:00:00"/>
    <d v="2039-05-31T00:00:00"/>
    <m/>
    <d v="2039-05-31T00:00:00"/>
    <n v="5732"/>
    <s v="B+"/>
    <s v="MCom-2006 , BCom-2004 , Intermediate-200"/>
    <s v="15.06"/>
    <s v="07.07"/>
    <s v="23.01"/>
    <s v="00049777"/>
    <s v="Plant Administration"/>
    <s v="296431"/>
    <s v="Lead – Plant Admin"/>
    <s v="Hazira"/>
    <s v="0031950030"/>
    <s v="HZ-Admin"/>
    <s v="2000HWO"/>
    <s v="20057892"/>
    <s v="Taj Baby"/>
    <s v="No"/>
    <s v="dharmendrasinh.rathod@amns.in"/>
    <s v="9879103363"/>
    <s v="26759"/>
    <s v="Manjit Shah"/>
    <s v="Anil Matoo"/>
    <s v="Praveen Kuruvalli"/>
    <s v="Lakshman Iyer"/>
    <n v="0"/>
  </r>
  <r>
    <n v="5641"/>
    <n v="20057900"/>
    <s v="Ananda Reddy Mallireddygari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Plant Admin"/>
    <m/>
    <s v="Administration"/>
    <s v="Administration"/>
    <s v="Hazira"/>
    <s v="Non Technical Support"/>
    <s v="Administration"/>
    <s v="Administration"/>
    <s v="74101001"/>
    <s v="Administration"/>
    <s v="Hazira"/>
    <d v="1987-05-09T00:00:00"/>
    <s v="36.04"/>
    <d v="2021-11-18T00:00:00"/>
    <d v="2045-05-31T00:00:00"/>
    <m/>
    <d v="2045-05-31T00:00:00"/>
    <n v="7924"/>
    <s v="O+"/>
    <s v="BA-2006 , Intermediate-2004 , Intermedia"/>
    <s v="02.05"/>
    <s v="01.10"/>
    <s v="04.03"/>
    <s v="00049777"/>
    <s v="Plant Administration"/>
    <s v="296432"/>
    <s v="Lead – Plant Admin"/>
    <s v="Hazira"/>
    <s v="0031950030"/>
    <s v="HZ-Admin"/>
    <s v="2000HWO"/>
    <s v="20057892"/>
    <s v="Taj Baby"/>
    <s v="No"/>
    <s v="ananda.reddy@amns.in"/>
    <s v="7990166042"/>
    <s v="868382"/>
    <s v="Manjit Shah"/>
    <s v="Anil Matoo"/>
    <s v="Praveen Kuruvalli"/>
    <s v="Lakshman Iyer"/>
    <n v="0"/>
  </r>
  <r>
    <n v="5642"/>
    <n v="20057901"/>
    <s v="Amit Pandit"/>
    <s v="AM/NS India"/>
    <s v="Onroll"/>
    <s v="M-9"/>
    <n v="9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– Hospitality"/>
    <m/>
    <s v="Administration"/>
    <s v="Administration"/>
    <s v="Hazira"/>
    <s v="Non Technical Support"/>
    <s v="Administration"/>
    <s v="Administration"/>
    <s v="74101001"/>
    <s v="Administration"/>
    <s v="Hazira"/>
    <d v="1991-03-15T00:00:00"/>
    <s v="32.06"/>
    <d v="2021-11-19T00:00:00"/>
    <d v="2049-03-31T00:00:00"/>
    <m/>
    <d v="2049-03-31T00:00:00"/>
    <n v="9324"/>
    <s v="O+"/>
    <s v="BSc-2015 , Intermediate-2009"/>
    <s v="03.07"/>
    <s v="01.09"/>
    <s v="05.04"/>
    <s v="00049757"/>
    <s v="Facility Management"/>
    <s v="296433"/>
    <s v="Lead – Hospitality"/>
    <s v="Hazira"/>
    <s v="0031950030"/>
    <s v="HZ-Admin"/>
    <s v="2000HWO"/>
    <s v="20059018"/>
    <s v="Sandeep Ray"/>
    <s v="No"/>
    <s v="amit.pandit@amns.in"/>
    <s v="8800981974"/>
    <s v="868383"/>
    <s v="Manjit Shah"/>
    <s v="Anil Matoo"/>
    <s v="Praveen Kuruvalli"/>
    <s v="Lakshman Iyer"/>
    <n v="0"/>
  </r>
  <r>
    <n v="5643"/>
    <n v="20057902"/>
    <s v="Umeshkumar Sharma"/>
    <s v="AM/NS India"/>
    <s v="Onroll"/>
    <s v="M-9"/>
    <n v="9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Horticulture"/>
    <m/>
    <s v="Administration"/>
    <s v="Administration"/>
    <s v="Hazira"/>
    <s v="Non Technical Support"/>
    <s v="Administration"/>
    <s v="Administration"/>
    <s v="74101001"/>
    <s v="Administration"/>
    <s v="Hazira"/>
    <d v="1986-11-18T00:00:00"/>
    <s v="36.10"/>
    <d v="2022-07-25T00:00:00"/>
    <d v="2044-11-30T00:00:00"/>
    <m/>
    <d v="2044-11-30T00:00:00"/>
    <n v="7742"/>
    <s v="O+"/>
    <s v="PG Diploma in Management-2011 , BSc-2008"/>
    <s v="10.07"/>
    <s v="01.01"/>
    <s v="11.09"/>
    <s v="00049757"/>
    <s v="Facility Management"/>
    <s v="296434"/>
    <s v="Lead - Horticulture"/>
    <s v="Hazira"/>
    <s v="0031950030"/>
    <s v="HZ-Admin"/>
    <s v="2000HWO"/>
    <s v="20059018"/>
    <s v="Sandeep Ray"/>
    <s v="No"/>
    <s v="umeshkumar.sharma@amns.in"/>
    <s v="9265998762"/>
    <s v="1009164"/>
    <s v="Manjit Shah"/>
    <s v="Anil Matoo"/>
    <s v="Praveen Kuruvalli"/>
    <s v="Lakshman Iyer"/>
    <n v="0"/>
  </r>
  <r>
    <n v="5644"/>
    <n v="20057903"/>
    <s v="Biswajit Saha"/>
    <s v="AM/NS India"/>
    <s v="Onroll"/>
    <s v="M-10"/>
    <n v="10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ommunications"/>
    <m/>
    <s v="Administration"/>
    <s v="Administration"/>
    <s v="Hazira"/>
    <s v="Non Technical Support"/>
    <s v="Administration"/>
    <s v="Administration"/>
    <s v="74101001"/>
    <s v="Administration"/>
    <s v="Hazira"/>
    <d v="1996-11-17T00:00:00"/>
    <s v="26.10"/>
    <d v="2022-04-16T00:00:00"/>
    <d v="2054-11-30T00:00:00"/>
    <m/>
    <d v="2054-11-30T00:00:00"/>
    <n v="11394"/>
    <s v="A+"/>
    <s v="BSc-2018 , Intermediate-2015 , Intermedi"/>
    <s v="00.11"/>
    <s v="01.05"/>
    <s v="02.04"/>
    <s v="00049757"/>
    <s v="Facility Management"/>
    <s v="296435"/>
    <s v="Lead - Communications"/>
    <s v="Hazira"/>
    <s v="0031950030"/>
    <s v="HZ-Admin"/>
    <s v="2000HWO"/>
    <s v="20059018"/>
    <s v="Sandeep Ray"/>
    <s v="No"/>
    <s v="biswajit.saha@amns.in"/>
    <s v="9903484279"/>
    <s v="891591"/>
    <s v="Manjit Shah"/>
    <s v="Anil Matoo"/>
    <s v="Praveen Kuruvalli"/>
    <s v="Lakshman Iyer"/>
    <n v="0"/>
  </r>
  <r>
    <n v="5658"/>
    <n v="20057920"/>
    <s v="Ghanshyam Gajera"/>
    <s v="AM/NS India"/>
    <s v="Onroll"/>
    <s v="M-8"/>
    <n v="8"/>
    <m/>
    <s v="JM"/>
    <s v="M"/>
    <s v="Corporate"/>
    <n v="7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Finance &amp; Accounts"/>
    <s v="Insurance &amp; Risk Management"/>
    <s v="73905001"/>
    <s v="Insurance &amp; Risk Managmen"/>
    <s v="Hazira"/>
    <d v="1991-11-25T00:00:00"/>
    <s v="31.09"/>
    <d v="2023-01-02T00:00:00"/>
    <d v="2049-11-30T00:00:00"/>
    <m/>
    <d v="2049-11-30T00:00:00"/>
    <n v="9568"/>
    <s v="B+"/>
    <s v="BCom-2012 , Intermediate-2007"/>
    <s v="04.03"/>
    <s v="00.08"/>
    <s v="05.00"/>
    <s v="00044330"/>
    <s v="Internal Audit - Hazira"/>
    <s v="70432761"/>
    <s v="Lead - Internal Audit"/>
    <s v="Hazira"/>
    <s v="0090000035"/>
    <s v="Internal Audit"/>
    <s v="2000HWO"/>
    <s v="20028777"/>
    <s v="Narendra Dugar"/>
    <s v="No"/>
    <s v="ghanshyam.gajera@amns.in"/>
    <s v="8866214535"/>
    <s v="1027737"/>
    <s v="Dhruv Vyas"/>
    <s v="Anil Matoo"/>
    <s v="Praveen Kuruvalli"/>
    <s v="Dhruv Vyas"/>
    <n v="0"/>
  </r>
  <r>
    <n v="5659"/>
    <n v="20057921"/>
    <s v="Suresh Kumar Murugan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, Chennai"/>
    <m/>
    <s v="South"/>
    <s v="Auto"/>
    <s v=""/>
    <s v="Non Technical Support"/>
    <s v="Sales &amp; Marketing"/>
    <s v="Sales"/>
    <s v="73104004"/>
    <s v="OEM Sales"/>
    <s v="Chennai"/>
    <d v="1995-04-03T00:00:00"/>
    <s v="28.05"/>
    <d v="2023-01-02T00:00:00"/>
    <d v="2053-04-30T00:00:00"/>
    <m/>
    <d v="2053-04-30T00:00:00"/>
    <n v="10815"/>
    <s v="O+"/>
    <s v="BE-2017 , Diploma-2013 , Intermediate-20"/>
    <s v="03.06"/>
    <s v="00.08"/>
    <s v="04.02"/>
    <s v="00052470"/>
    <s v="Automotive Sales - Chennai"/>
    <s v="70495037"/>
    <s v="KAM – Automotive Sales"/>
    <s v="Hazira"/>
    <s v="0031950057"/>
    <s v="HZ-HRC - Marketing"/>
    <s v="2000HWO"/>
    <s v="20053562"/>
    <s v="Shankar Murugan"/>
    <s v="No"/>
    <s v="suresh.kumar35@amns.in"/>
    <s v="8807105635"/>
    <s v="1027742"/>
    <s v="Dhruv Vyas"/>
    <s v="Anil Matoo"/>
    <s v="Praveen Kuruvalli"/>
    <s v="Dhruv Vyas"/>
    <n v="0"/>
  </r>
  <r>
    <n v="5660"/>
    <n v="20057922"/>
    <s v="Venkatraman Balasubramanian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OEM Sales, Chennai"/>
    <m/>
    <s v="South"/>
    <s v="Hypermart"/>
    <s v="Material Planning &amp; Repairs"/>
    <s v="Non Technical Support"/>
    <s v="Sales &amp; Marketing"/>
    <s v="Sales"/>
    <s v="73104004"/>
    <s v="OEM Sales"/>
    <s v="Chennai"/>
    <d v="1993-02-26T00:00:00"/>
    <s v="30.06"/>
    <d v="2023-01-02T00:00:00"/>
    <d v="2051-02-28T00:00:00"/>
    <m/>
    <d v="2051-02-28T00:00:00"/>
    <n v="10023"/>
    <s v="O+"/>
    <s v="BE-2015 , Diploma-2012"/>
    <s v="04.08"/>
    <s v="00.08"/>
    <s v="05.04"/>
    <s v="00048814"/>
    <s v="Sales South Zone – Hypermart"/>
    <s v="70372403"/>
    <s v="Sales Manager - Hypermart"/>
    <s v="Hazira"/>
    <s v="0031950057"/>
    <s v="HZ-HRC - Marketing"/>
    <s v="2000HWO"/>
    <s v="20056279"/>
    <s v="Arun G"/>
    <s v="No"/>
    <s v="venkatraman.b@amns.in"/>
    <s v="9600595027"/>
    <s v="1027812"/>
    <s v="Dhruv Vyas"/>
    <s v="Anil Matoo"/>
    <s v="Praveen Kuruvalli"/>
    <s v="Dhruv Vyas"/>
    <n v="0"/>
  </r>
  <r>
    <n v="5662"/>
    <n v="20057924"/>
    <s v="Jigneshkumar Patel"/>
    <s v="AM/NS India"/>
    <s v="Onroll"/>
    <s v="M-9"/>
    <n v="9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ommercials"/>
    <m/>
    <s v="Administration"/>
    <s v="Administration"/>
    <s v="Hazira"/>
    <s v="Non Technical Support"/>
    <s v="Administration"/>
    <s v="Administration"/>
    <s v="74101001"/>
    <s v="Administration"/>
    <s v="Hazira"/>
    <d v="1985-07-04T00:00:00"/>
    <s v="38.02"/>
    <d v="2022-11-15T00:00:00"/>
    <d v="2043-07-31T00:00:00"/>
    <m/>
    <d v="2043-07-31T00:00:00"/>
    <n v="7254"/>
    <s v="B+"/>
    <s v="MBA-2010 , BCom-2006 , Intermediate-2003"/>
    <s v="10.09"/>
    <s v="00.10"/>
    <s v="11.06"/>
    <s v="00049721"/>
    <s v="Regional &amp; Corporate offices"/>
    <s v="296436"/>
    <s v="Lead - Commercials"/>
    <s v="Hazira"/>
    <s v="0031950030"/>
    <s v="HZ-Admin"/>
    <s v="2000HWO"/>
    <s v="20057888"/>
    <s v="Narinder Lamba"/>
    <s v="No"/>
    <s v="jignesh.patel37@amns.in"/>
    <s v="8238007629"/>
    <s v="1025501"/>
    <s v="Manjit Shah"/>
    <s v="Anil Matoo"/>
    <s v="Praveen Kuruvalli"/>
    <s v="Lakshman Iyer"/>
    <n v="0"/>
  </r>
  <r>
    <n v="5663"/>
    <n v="20057925"/>
    <s v="Stuti Agrawal"/>
    <s v="AM/NS India"/>
    <s v="Onroll"/>
    <s v="M-8"/>
    <n v="8"/>
    <m/>
    <s v="JM"/>
    <s v="F"/>
    <s v="Corporate"/>
    <n v="7"/>
    <s v="2099"/>
    <x v="19"/>
    <s v="02.01"/>
    <s v="Raghavan Aravamudhan"/>
    <s v="Dilip Oommen"/>
    <n v="1"/>
    <s v="CEO Office"/>
    <s v="Business Strategy"/>
    <s v="02"/>
    <s v="Analyst - Business Strategy"/>
    <m/>
    <s v="Business Strategy"/>
    <s v="Business Strategy"/>
    <s v=""/>
    <s v="Non Technical Support"/>
    <s v="Sales &amp; Marketing"/>
    <s v="Business Development"/>
    <s v="73103001"/>
    <s v="Business Development"/>
    <s v="Mumbai"/>
    <d v="1998-11-04T00:00:00"/>
    <s v="24.10"/>
    <d v="2023-01-03T00:00:00"/>
    <d v="2056-11-30T00:00:00"/>
    <m/>
    <d v="2056-11-30T00:00:00"/>
    <n v="12125"/>
    <s v="B+"/>
    <s v="BCom-2019 , CA Final-2020 , Intermediate"/>
    <s v="01.06"/>
    <s v="00.08"/>
    <s v="02.03"/>
    <s v="70494715"/>
    <s v="Business Strategy"/>
    <s v="272449"/>
    <s v="Analyst - Business Strategy"/>
    <s v="Corporate"/>
    <s v="0090000022"/>
    <s v="Business Strategy"/>
    <s v="2000CS"/>
    <s v="20055135"/>
    <s v="Raghavan Aravamudhan"/>
    <s v="No"/>
    <s v="stuti.agrawal@amns.in"/>
    <s v="8770315026"/>
    <s v="1027935"/>
    <s v="Dhruv Vyas"/>
    <s v="Anil Matoo"/>
    <s v="Praveen Kuruvalli"/>
    <s v="Dhruv Vyas"/>
    <n v="0"/>
  </r>
  <r>
    <n v="5665"/>
    <n v="20057927"/>
    <s v="Surbhi Kothari"/>
    <s v="AM/NS India"/>
    <s v="Onroll"/>
    <s v="M-7"/>
    <n v="7"/>
    <m/>
    <s v="MM"/>
    <s v="F"/>
    <s v="Hazira"/>
    <n v="1"/>
    <s v="2013"/>
    <x v="0"/>
    <s v="20.01"/>
    <s v="Akiyo Omori"/>
    <s v="Amit Harlalka"/>
    <n v="5"/>
    <s v="Finance &amp; Accounts"/>
    <s v="Finance &amp; Accounts"/>
    <s v="20"/>
    <s v="Lead – Indirect Tax, Litigation"/>
    <m/>
    <s v="Finance &amp; Accounts"/>
    <s v="In Direct - Taxation"/>
    <s v=""/>
    <s v="Non Technical Support"/>
    <s v=""/>
    <s v=""/>
    <s v=""/>
    <s v=""/>
    <s v="Hazira"/>
    <d v="1993-02-18T00:00:00"/>
    <s v="30.07"/>
    <d v="2023-01-05T00:00:00"/>
    <d v="2051-02-28T00:00:00"/>
    <m/>
    <d v="2051-02-28T00:00:00"/>
    <n v="10023"/>
    <s v="AB+"/>
    <s v="CA Final-2016 , BCom-2014 , Intermediate"/>
    <s v="04.09"/>
    <s v="00.08"/>
    <s v="05.06"/>
    <s v="70282653"/>
    <s v="GST"/>
    <s v="283969"/>
    <s v="Lead – Indirect Tax, Litigation"/>
    <s v="Hazira"/>
    <s v="0090000033"/>
    <s v="Corporate Taxation"/>
    <s v="2000HWO"/>
    <s v="20055962"/>
    <s v="Navin Kewalramani"/>
    <s v="No"/>
    <s v="surbhi.kothari@amns.in"/>
    <s v="9414161312"/>
    <s v="1028055"/>
    <s v="Dhruv Vyas"/>
    <s v="Anil Matoo"/>
    <s v="Praveen Kuruvalli"/>
    <s v="Dhruv Vyas"/>
    <n v="0"/>
  </r>
  <r>
    <n v="5666"/>
    <n v="20057928"/>
    <s v="Manu Kapoor"/>
    <s v="AM/NS India"/>
    <s v="Onroll"/>
    <s v="M-2"/>
    <n v="2"/>
    <m/>
    <s v="TM"/>
    <s v="M"/>
    <s v="Corporate"/>
    <n v="7"/>
    <s v="2039"/>
    <x v="2"/>
    <s v="43.01"/>
    <s v="Manu Kapoor"/>
    <s v="Manu Kapoor"/>
    <n v="10"/>
    <s v="Corporate Affairs"/>
    <s v="Corporate Affairs"/>
    <s v="43"/>
    <s v="Head - Corporate Affairs"/>
    <m/>
    <s v="Corporate Affairs"/>
    <s v=""/>
    <s v=""/>
    <s v="Non Technical Support"/>
    <s v="Corporate Relations"/>
    <s v="Corporate Affairs"/>
    <s v="74501001"/>
    <s v="Corporate Affairs"/>
    <s v="Delhi"/>
    <d v="1963-12-29T00:00:00"/>
    <s v="59.08"/>
    <d v="2023-01-05T00:00:00"/>
    <d v="2023-12-31T00:00:00"/>
    <m/>
    <d v="2023-12-31T00:00:00"/>
    <n v="102"/>
    <s v="B+"/>
    <s v="MPhil-1987"/>
    <s v="10.08"/>
    <s v="00.08"/>
    <s v="11.04"/>
    <s v="70494938"/>
    <s v="Corporate Affairs"/>
    <s v="296988"/>
    <s v="Head Corporate Affairs"/>
    <s v="Confidential Payroll"/>
    <s v="0090000021"/>
    <s v="Corporate Affairs"/>
    <s v="2000CS"/>
    <s v="20055068"/>
    <s v="Dilip Oommen"/>
    <s v="No"/>
    <s v="manu.kapoor@amns.in"/>
    <s v="8826244477"/>
    <s v="1028171"/>
    <s v="Dhruv Vyas"/>
    <s v="Anil Matoo"/>
    <s v="Praveen Kuruvalli"/>
    <s v="Dhruv Vyas"/>
    <n v="0"/>
  </r>
  <r>
    <n v="5670"/>
    <n v="20057933"/>
    <s v="Akiyo Omori"/>
    <s v="AM/NS India"/>
    <s v="PDA"/>
    <s v="PDA"/>
    <n v="2"/>
    <m/>
    <s v="TM"/>
    <s v="F"/>
    <s v="Corporate"/>
    <n v="7"/>
    <s v="2013"/>
    <x v="0"/>
    <s v="20.01"/>
    <s v="Amit Harlalka"/>
    <s v="Amit Harlalka"/>
    <n v="5"/>
    <s v="Finance &amp; Accounts"/>
    <s v="Finance &amp; Accounts"/>
    <s v="20"/>
    <s v="Deputy Director Finance"/>
    <m/>
    <s v=""/>
    <s v=""/>
    <s v=""/>
    <s v="Non Technical Support"/>
    <s v=""/>
    <s v=""/>
    <s v="70494642"/>
    <s v="Deputy Director"/>
    <s v="Mumbai"/>
    <d v="1981-12-03T00:00:00"/>
    <s v="41.09"/>
    <d v="2023-01-01T00:00:00"/>
    <d v="2039-12-31T00:00:00"/>
    <m/>
    <d v="2039-12-31T00:00:00"/>
    <n v="5946"/>
    <s v=""/>
    <s v=""/>
    <s v=""/>
    <s v="00.08"/>
    <s v="00.08"/>
    <s v="70494654"/>
    <s v="Finance"/>
    <s v="70494648"/>
    <s v="Deputy Director Finance"/>
    <s v="Non-payroll-relevant"/>
    <s v="0090000013"/>
    <s v="Director-Fin-India"/>
    <s v="2000CS"/>
    <s v="20055088"/>
    <s v="Amit Harlalka"/>
    <s v="No"/>
    <s v="akiyo.omori@amns.in"/>
    <s v="8433957551"/>
    <s v="1028248"/>
    <s v="Dhruv Vyas"/>
    <s v="Anil Matoo"/>
    <s v="Praveen Kuruvalli"/>
    <s v="Dhruv Vyas"/>
    <n v="0"/>
  </r>
  <r>
    <n v="5677"/>
    <n v="20057941"/>
    <s v="Kruti Shah"/>
    <s v="AM/NS India"/>
    <s v="Onroll"/>
    <s v="M-9"/>
    <n v="9"/>
    <m/>
    <s v="JM"/>
    <s v="F"/>
    <s v="Hazira"/>
    <n v="1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2"/>
    <s v="Human Resources Operation"/>
    <s v="Hazira"/>
    <d v="1992-08-24T00:00:00"/>
    <s v="31.00"/>
    <d v="2023-01-09T00:00:00"/>
    <d v="2050-08-31T00:00:00"/>
    <m/>
    <d v="2050-08-31T00:00:00"/>
    <n v="9842"/>
    <s v="B+"/>
    <s v="MHRM-2016 , BBA-2014 , Intermediate-2010"/>
    <s v="06.07"/>
    <s v="00.08"/>
    <s v="07.03"/>
    <s v="00050209"/>
    <s v="Human Resources"/>
    <s v="297052"/>
    <s v="Lead - Human Resources"/>
    <s v="Hazira"/>
    <s v="0031950061"/>
    <s v="HZ-Human Resource"/>
    <s v="2000HWO"/>
    <s v="20039780"/>
    <s v="Srikanya Thakur"/>
    <s v="No"/>
    <s v="kruti.shah@amns.in"/>
    <s v="7486035466"/>
    <s v="1028345"/>
    <s v="Dhruv Vyas"/>
    <s v="Anil Matoo"/>
    <s v="Praveen Kuruvalli"/>
    <s v="Dhruv Vyas"/>
    <n v="0"/>
  </r>
  <r>
    <n v="5681"/>
    <n v="20057945"/>
    <s v="Ramakrishnan Govinthasamy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s v="Head-Technical Mktg. &amp; Application Engg."/>
    <s v="Non Technical Support"/>
    <s v="Sales &amp; Marketing"/>
    <s v="Marketing"/>
    <s v="73102001"/>
    <s v="Marketing"/>
    <s v="Hazira"/>
    <d v="1992-05-27T00:00:00"/>
    <s v="31.03"/>
    <d v="2023-01-09T00:00:00"/>
    <d v="2050-05-31T00:00:00"/>
    <m/>
    <d v="2050-05-31T00:00:00"/>
    <n v="9750"/>
    <s v="B+"/>
    <s v="Intermediate-2009"/>
    <s v="04.05"/>
    <s v="00.08"/>
    <s v="05.01"/>
    <s v="00052460"/>
    <s v="Auto &amp; YG"/>
    <s v="297165"/>
    <s v="Resident Engineer"/>
    <s v="Hazira"/>
    <s v="0031950057"/>
    <s v="HZ-HRC - Marketing"/>
    <s v="2000HWO"/>
    <s v="20056155"/>
    <s v="Kondapalli Venkateswarlu"/>
    <s v="No"/>
    <s v="ramakrishnan.m@amns.in"/>
    <s v="9901352718"/>
    <s v="1028485"/>
    <s v="Dhruv Vyas"/>
    <s v="Anil Matoo"/>
    <s v="Praveen Kuruvalli"/>
    <s v="Dhruv Vyas"/>
    <n v="0"/>
  </r>
  <r>
    <n v="5682"/>
    <n v="20057946"/>
    <s v="Suraj Pachorkar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OEM - Other West"/>
    <m/>
    <s v="Other West"/>
    <s v="OEM"/>
    <s v=""/>
    <s v="Non Technical Support"/>
    <s v="R&amp; D and QA/QC"/>
    <s v="R&amp;D"/>
    <s v="72103029"/>
    <s v="R&amp;D"/>
    <s v="Hazira"/>
    <d v="1994-07-01T00:00:00"/>
    <s v="29.02"/>
    <d v="2023-01-09T00:00:00"/>
    <d v="2052-06-30T00:00:00"/>
    <m/>
    <d v="2052-06-30T00:00:00"/>
    <n v="10511"/>
    <s v="O+"/>
    <s v="MBA-2019"/>
    <s v="03.06"/>
    <s v="00.08"/>
    <s v="04.01"/>
    <s v="70495309"/>
    <s v="Sales West Zone"/>
    <s v="256057"/>
    <s v="KAM - Automotive Sales"/>
    <s v="Hazira"/>
    <s v="0031950057"/>
    <s v="HZ-HRC - Marketing"/>
    <s v="2000HWO"/>
    <s v="20047683"/>
    <s v="Virat Vij"/>
    <s v="No"/>
    <s v="suraj.pachorkar@amns.in"/>
    <s v="9637307294"/>
    <s v="1028498"/>
    <s v="Dhruv Vyas"/>
    <s v="Anil Matoo"/>
    <s v="Praveen Kuruvalli"/>
    <s v="Dhruv Vyas"/>
    <n v="0"/>
  </r>
  <r>
    <n v="5684"/>
    <n v="20057948"/>
    <s v="Akshit Oswal"/>
    <s v="AM/NS India"/>
    <s v="Onroll"/>
    <s v="M-9"/>
    <n v="9"/>
    <m/>
    <s v="JM"/>
    <s v="M"/>
    <s v="Corporate"/>
    <n v="7"/>
    <s v="2060"/>
    <x v="24"/>
    <s v="39.01"/>
    <s v="Sanjay Sharma"/>
    <s v="Sanjay Sharma"/>
    <n v="8"/>
    <s v="Business Development"/>
    <s v="Business Development"/>
    <s v="39"/>
    <s v="Lead Business Development – M&amp;A"/>
    <m/>
    <s v="Business Development"/>
    <s v=""/>
    <s v=""/>
    <s v="Non Technical Support"/>
    <s v="Sales &amp; Marketing"/>
    <s v="Business Development"/>
    <s v="73103001"/>
    <s v="Business Development"/>
    <s v="Mumbai"/>
    <d v="1999-09-27T00:00:00"/>
    <s v="23.11"/>
    <d v="2023-01-11T00:00:00"/>
    <d v="2057-09-30T00:00:00"/>
    <m/>
    <d v="2057-09-30T00:00:00"/>
    <n v="12429"/>
    <s v="B+"/>
    <s v="CA Final-2021 , Intermediate-2017"/>
    <s v="01.02"/>
    <s v="00.08"/>
    <s v="01.10"/>
    <s v="00050003"/>
    <s v="Business Development - M&amp;A"/>
    <s v="297438"/>
    <s v="Lead Business Development – M&amp;A"/>
    <s v="Corporate"/>
    <s v="0090000032"/>
    <s v="Business Devpelopmen"/>
    <s v="2000CS"/>
    <s v="20055804"/>
    <s v="Ankushkumar Shah"/>
    <s v="No"/>
    <s v="akshit.oswal@amns.in"/>
    <s v="9689043909"/>
    <s v="1028835"/>
    <s v="Dhruv Vyas"/>
    <s v="Anil Matoo"/>
    <s v="Praveen Kuruvalli"/>
    <s v="Dhruv Vyas"/>
    <n v="0"/>
  </r>
  <r>
    <n v="5696"/>
    <n v="20057961"/>
    <s v="Udaibir Singh"/>
    <s v="AM/NS India"/>
    <s v="Onroll"/>
    <s v="M-6"/>
    <n v="6"/>
    <m/>
    <s v="MM"/>
    <s v="M"/>
    <s v="Corporate"/>
    <n v="7"/>
    <s v="2096"/>
    <x v="14"/>
    <s v="36.02"/>
    <s v="Hrishikesh Kamat"/>
    <s v="Hrishikesh Kamat"/>
    <n v="7"/>
    <s v="Procurement"/>
    <s v="Raw Materials"/>
    <s v="36"/>
    <s v="Lead – Power Procurement"/>
    <m/>
    <s v="Procurement"/>
    <s v="Power &amp; Gas"/>
    <s v="Power &amp; Gas"/>
    <s v="Tech. Support Services"/>
    <s v="Commercial"/>
    <s v="Procurement"/>
    <s v="73803001"/>
    <s v="Procurement"/>
    <s v="Mumbai"/>
    <d v="1987-01-15T00:00:00"/>
    <s v="36.08"/>
    <d v="2023-01-16T00:00:00"/>
    <d v="2045-01-31T00:00:00"/>
    <m/>
    <d v="2045-01-31T00:00:00"/>
    <n v="7804"/>
    <s v="AB+"/>
    <s v="MSc-2014 , BTech-2009 , Intermediate-200"/>
    <s v="13.06"/>
    <s v="00.08"/>
    <s v="14.02"/>
    <s v="00049516"/>
    <s v="Power &amp; Gas"/>
    <s v="298089"/>
    <s v="Lead – Power Procurement"/>
    <s v="Corporate"/>
    <s v="0031950048"/>
    <s v=""/>
    <s v="2000CS"/>
    <s v="20004612"/>
    <s v="Ramesh Chabhadiya"/>
    <s v="No"/>
    <s v="udaibir.singh@amns.in"/>
    <s v="9987513900"/>
    <s v="1029952"/>
    <s v="Dhruv Vyas"/>
    <s v="Anil Matoo"/>
    <s v="Praveen Kuruvalli"/>
    <s v="Dhruv Vyas"/>
    <n v="0"/>
  </r>
  <r>
    <n v="5700"/>
    <n v="20057965"/>
    <s v="Devarshi Naik"/>
    <s v="AM/NS India"/>
    <s v="Onroll"/>
    <s v="M-8"/>
    <n v="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s v="Lead - Canteen Administration"/>
    <m/>
    <s v="Administration"/>
    <s v=""/>
    <s v=""/>
    <s v="Non Technical Support"/>
    <s v="Administration"/>
    <s v="Administration"/>
    <s v="74101001"/>
    <s v="Administration"/>
    <s v="Hazira"/>
    <d v="1989-03-08T00:00:00"/>
    <s v="34.06"/>
    <d v="2023-01-23T00:00:00"/>
    <d v="2047-03-31T00:00:00"/>
    <m/>
    <d v="2047-03-31T00:00:00"/>
    <n v="8593"/>
    <s v="A+"/>
    <s v="BBA-2010 , Intermediate-2006 , Intermedi"/>
    <s v="02.00"/>
    <s v="00.07"/>
    <s v="02.07"/>
    <s v="00049777"/>
    <s v="Plant Administration"/>
    <s v="298229"/>
    <s v="Lead - Canteen Administration"/>
    <s v="Hazira"/>
    <s v="0090000018"/>
    <s v=""/>
    <s v="2000HWO"/>
    <s v="20057892"/>
    <s v="Taj Baby"/>
    <s v="No"/>
    <s v="devarshi.naik@amns.in"/>
    <s v="8469791912"/>
    <s v="1030194"/>
    <s v="Manjit Shah"/>
    <s v="Anil Matoo"/>
    <s v="Praveen Kuruvalli"/>
    <s v="Lakshman Iyer"/>
    <n v="0"/>
  </r>
  <r>
    <n v="5702"/>
    <n v="20057967"/>
    <s v="Anoop Cherian"/>
    <s v="AM/NS India"/>
    <s v="Onroll"/>
    <s v="M-7"/>
    <n v="7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– OEM Sales"/>
    <m/>
    <s v="South"/>
    <s v="Auto"/>
    <s v="RHTOB &amp; Ladle Managementc"/>
    <s v="Non Technical Support"/>
    <s v="Sales &amp; Marketing"/>
    <s v="Sales"/>
    <s v="73104004"/>
    <s v="OEM Sales"/>
    <s v="Chennai"/>
    <d v="1984-09-05T00:00:00"/>
    <s v="39.00"/>
    <d v="2023-01-23T00:00:00"/>
    <d v="2042-09-30T00:00:00"/>
    <m/>
    <d v="2042-09-30T00:00:00"/>
    <n v="6950"/>
    <s v="AB+"/>
    <s v="BTech-2006 , Intermediate-2000"/>
    <s v="13.05"/>
    <s v="00.07"/>
    <s v="14.01"/>
    <s v="00052468"/>
    <s v="Automotive Sales - Chennai"/>
    <s v="298232"/>
    <s v="KAM – Automotive Sales"/>
    <s v="Service Center"/>
    <s v="0031950057"/>
    <s v=""/>
    <s v="2000CS"/>
    <s v="20047658"/>
    <s v="Balamurugan Gurusamy"/>
    <s v="No"/>
    <s v="anoop.cherian@amns.in"/>
    <s v="9790861571"/>
    <s v="1030230"/>
    <s v="Dhruv Vyas"/>
    <s v="Anil Matoo"/>
    <s v="Praveen Kuruvalli"/>
    <s v="Dhruv Vyas"/>
    <n v="0"/>
  </r>
  <r>
    <n v="5711"/>
    <n v="20057977"/>
    <s v="Utkarsh Garhwal"/>
    <s v="AM/NS India"/>
    <s v="Onroll"/>
    <s v="M-9"/>
    <n v="9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– Coated Products"/>
    <m/>
    <s v="Sales Steering &amp; BD"/>
    <s v="Coated Marketing"/>
    <s v="National Sales"/>
    <s v="Non Technical Support"/>
    <s v="Sales &amp; Marketing"/>
    <s v="Sales &amp; Marketing"/>
    <s v="73101001"/>
    <s v="Sales &amp; Marketing"/>
    <s v="Pune"/>
    <d v="1992-12-24T00:00:00"/>
    <s v="30.08"/>
    <d v="2023-01-30T00:00:00"/>
    <d v="2050-12-31T00:00:00"/>
    <m/>
    <d v="2050-12-31T00:00:00"/>
    <n v="9964"/>
    <s v="O+"/>
    <s v="Intermediate-2015 , Intermediate-2010 ,"/>
    <s v="01.02"/>
    <s v="00.07"/>
    <s v="01.09"/>
    <s v="70492562"/>
    <s v="Domestic Sales"/>
    <s v="273359"/>
    <s v="Lead – Coated Marketing"/>
    <s v="Hazira"/>
    <s v="0080000001"/>
    <s v=""/>
    <s v="2000HWO"/>
    <s v="20036409"/>
    <s v="Ranjith Nambiar"/>
    <s v="No"/>
    <s v="utkarsh.garhwal@amns.in"/>
    <s v="8999703677"/>
    <s v="1032433"/>
    <s v="Dhruv Vyas"/>
    <s v="Anil Matoo"/>
    <s v="Praveen Kuruvalli"/>
    <s v="Dhruv Vyas"/>
    <n v="0"/>
  </r>
  <r>
    <n v="5720"/>
    <n v="20057987"/>
    <s v="Ravi Kumar Gupta"/>
    <s v="AM/NS India"/>
    <s v="Onroll"/>
    <s v="M-8"/>
    <n v="8"/>
    <m/>
    <s v="JM"/>
    <s v="M"/>
    <s v="Odisha"/>
    <n v="2"/>
    <s v="2013"/>
    <x v="0"/>
    <s v="20.01"/>
    <s v="Akiyo Omori"/>
    <s v="Amit Harlalka"/>
    <n v="5"/>
    <s v="Finance &amp; Accounts"/>
    <s v="Finance &amp; Accounts"/>
    <s v="20"/>
    <s v="Officer – Accounts Payable"/>
    <m/>
    <s v="Finance &amp; Accounts"/>
    <s v="Accounts Payable"/>
    <s v="Export, Domestic &amp; Banking"/>
    <s v="Non Technical Support"/>
    <s v=""/>
    <s v=""/>
    <s v=""/>
    <s v=""/>
    <s v="Paradeep"/>
    <d v="1984-03-19T00:00:00"/>
    <s v="39.06"/>
    <d v="2023-02-13T00:00:00"/>
    <d v="2042-03-31T00:00:00"/>
    <m/>
    <d v="2042-03-31T00:00:00"/>
    <n v="6767"/>
    <s v="B+"/>
    <s v="MBA-2008 , BCom-2006 , Intermediate-2001"/>
    <s v="14.05"/>
    <s v="00.07"/>
    <s v="15.00"/>
    <s v="72150243"/>
    <s v="Accounts Payable"/>
    <s v="70494028"/>
    <s v="Officer – Accounts Payable"/>
    <s v="Odisha"/>
    <s v="0031950045"/>
    <s v=""/>
    <s v="2000STORIS"/>
    <s v="20001076"/>
    <s v="Bhavesh Modi"/>
    <s v="No"/>
    <s v="ravi.gupta@amns.in"/>
    <s v="7077770046"/>
    <s v="1033376"/>
    <s v="Sunila Das"/>
    <s v="Anil Matoo"/>
    <s v="Praveen Kuruvalli"/>
    <s v="Sunila Das"/>
    <n v="0"/>
  </r>
  <r>
    <n v="5723"/>
    <n v="20057990"/>
    <s v="Pankajakshi Harinaidu"/>
    <s v="AM/NS India"/>
    <s v="Onroll"/>
    <s v="M-8"/>
    <n v="8"/>
    <m/>
    <s v="JM"/>
    <s v="F"/>
    <s v="Service Centers"/>
    <n v="6"/>
    <s v="2015"/>
    <x v="1"/>
    <s v="22.06"/>
    <s v="Praveen Kuruvalli"/>
    <s v="Ashutosh Telang"/>
    <n v="6"/>
    <s v="HR &amp; Administration"/>
    <s v="Human Resources"/>
    <s v="22"/>
    <s v="Lead - Human Resources"/>
    <m/>
    <s v="Human Resources"/>
    <s v=""/>
    <s v=""/>
    <s v="Non Technical Support"/>
    <s v=""/>
    <s v=""/>
    <s v=""/>
    <s v=""/>
    <s v="Chennai"/>
    <d v="1974-03-27T00:00:00"/>
    <s v="49.05"/>
    <d v="2023-02-03T00:00:00"/>
    <d v="2032-03-31T00:00:00"/>
    <m/>
    <d v="2032-03-31T00:00:00"/>
    <n v="3115"/>
    <s v="B+"/>
    <s v="MBA-1996"/>
    <s v="01.06"/>
    <s v="00.07"/>
    <s v="02.01"/>
    <s v="00044376"/>
    <s v="Service Center &amp; Hypermart HR"/>
    <s v="259468"/>
    <s v="Lead - Human Resources"/>
    <s v="Service Center"/>
    <s v="0040030019"/>
    <s v="SC-Chennai-Op1-HR-Ad"/>
    <s v="2000SPRJ"/>
    <s v="20057135"/>
    <s v="RAHUL RAJ"/>
    <s v="No"/>
    <s v="pankajakshi.h@amns.in"/>
    <s v="8925821529"/>
    <s v="1033636"/>
    <s v="Dhruv Vyas"/>
    <s v="Anil Matoo"/>
    <s v="Praveen Kuruvalli"/>
    <s v="Dhruv Vyas"/>
    <n v="0"/>
  </r>
  <r>
    <n v="5725"/>
    <n v="20057992"/>
    <s v="Tanmay Deshpande"/>
    <s v="AM/NS India"/>
    <s v="Onroll"/>
    <s v="M-7"/>
    <n v="7"/>
    <m/>
    <s v="MM"/>
    <s v="M"/>
    <s v="Corporate"/>
    <n v="7"/>
    <s v="2060"/>
    <x v="24"/>
    <s v="39.01"/>
    <s v="Sanjay Sharma"/>
    <s v="Sanjay Sharma"/>
    <n v="8"/>
    <s v="Business Development"/>
    <s v="Business Development"/>
    <s v="39"/>
    <s v="Lead Business Development – M&amp;A"/>
    <m/>
    <s v="Business Development"/>
    <s v=""/>
    <s v=""/>
    <s v="Non Technical Support"/>
    <s v="Sales &amp; Marketing"/>
    <s v="Business Development"/>
    <s v="73103001"/>
    <s v="Business Development"/>
    <s v="Mumbai"/>
    <d v="1992-04-14T00:00:00"/>
    <s v="31.05"/>
    <d v="2023-02-15T00:00:00"/>
    <d v="2050-04-30T00:00:00"/>
    <m/>
    <d v="2050-04-30T00:00:00"/>
    <n v="9719"/>
    <s v="O+"/>
    <s v="PG Diploma-2018 , BTech-2015"/>
    <s v="04.08"/>
    <s v="00.07"/>
    <s v="05.03"/>
    <s v="00049729"/>
    <s v="Business Development - M&amp;A"/>
    <s v="300479"/>
    <s v="Lead Business Development – M&amp;A"/>
    <s v="Corporate"/>
    <s v="0090000032"/>
    <s v=""/>
    <s v="2000CS"/>
    <s v="20055182"/>
    <s v="Neha Soni"/>
    <s v="No"/>
    <s v="tanmay.deshpande@amns.in"/>
    <s v="8097520307"/>
    <s v="1033967"/>
    <s v="Dhruv Vyas"/>
    <s v="Anil Matoo"/>
    <s v="Praveen Kuruvalli"/>
    <s v="Dhruv Vyas"/>
    <n v="0"/>
  </r>
  <r>
    <n v="5731"/>
    <n v="20057999"/>
    <s v="Aarti Tejnani"/>
    <s v="AM/NS India"/>
    <s v="Onroll"/>
    <s v="M-9"/>
    <n v="9"/>
    <m/>
    <s v="JM"/>
    <s v="F"/>
    <s v="Corporate"/>
    <n v="7"/>
    <s v="2015"/>
    <x v="1"/>
    <s v="22.06"/>
    <s v="Anil Matoo"/>
    <s v="Ashutosh Telang"/>
    <n v="6"/>
    <s v="HR &amp; Administration"/>
    <s v="Human Resources"/>
    <s v="22"/>
    <s v="Executive Assistant"/>
    <m/>
    <s v="Human Resources"/>
    <s v=""/>
    <s v=""/>
    <s v="Non Technical Support"/>
    <s v="Human Resources Management"/>
    <s v="Human Resources Management"/>
    <s v="73501001"/>
    <s v="Human Resources"/>
    <s v="Mumbai"/>
    <d v="1988-11-22T00:00:00"/>
    <s v="34.09"/>
    <d v="2023-02-20T00:00:00"/>
    <d v="2046-11-30T00:00:00"/>
    <m/>
    <d v="2046-11-30T00:00:00"/>
    <n v="8472"/>
    <s v="O-"/>
    <s v="MBA-2019"/>
    <s v="01.04"/>
    <s v="00.06"/>
    <s v="01.11"/>
    <s v="00049042"/>
    <s v="HR &amp; Administration"/>
    <s v="300715"/>
    <s v="Executive Assistant"/>
    <s v="Corporate"/>
    <s v="0090000018"/>
    <s v=""/>
    <s v="2000CS"/>
    <s v="20057637"/>
    <s v="Ashutosh Telang"/>
    <s v="No"/>
    <s v="aarti.tejnani@amns.in"/>
    <s v="9004659639"/>
    <s v="1034349"/>
    <s v="Dhruv Vyas"/>
    <s v="Anil Matoo"/>
    <s v="Praveen Kuruvalli"/>
    <s v="Dhruv Vyas"/>
    <n v="0"/>
  </r>
  <r>
    <n v="5735"/>
    <n v="20058004"/>
    <s v="Kiran Kumar Athri Dattu Akondi"/>
    <s v="AM/NS India"/>
    <s v="Onroll"/>
    <s v="M-8"/>
    <n v="8"/>
    <m/>
    <s v="JM"/>
    <s v="M"/>
    <s v="Vizag"/>
    <n v="3"/>
    <s v="2043"/>
    <x v="3"/>
    <s v="31.01"/>
    <s v="Hrishikesh Kamat"/>
    <s v="Hrishikesh Kamat"/>
    <n v="7"/>
    <s v="Procurement"/>
    <s v="Procurement"/>
    <s v="31"/>
    <s v="Sec Incharge - Procurement- Pellet Plant"/>
    <m/>
    <s v="Procurement"/>
    <s v="Purchase"/>
    <s v="Purchase"/>
    <s v="Non Technical Support"/>
    <s v=""/>
    <s v=""/>
    <s v=""/>
    <s v=""/>
    <s v="Vizag"/>
    <d v="1992-11-19T00:00:00"/>
    <s v="30.09"/>
    <d v="2023-03-04T00:00:00"/>
    <d v="2050-11-30T00:00:00"/>
    <m/>
    <d v="2050-11-30T00:00:00"/>
    <n v="9933"/>
    <s v="B+"/>
    <s v="Diploma-2011 , Intermediate-2008"/>
    <s v="11.07"/>
    <s v="00.06"/>
    <s v="12.01"/>
    <s v="70301353"/>
    <s v="Procurement - Vizag &amp; Chitrakonda"/>
    <s v="302201"/>
    <s v="Sec Incharge - Procurement- Pellet Plant"/>
    <s v="Vizag"/>
    <s v="0028020011"/>
    <s v=""/>
    <s v="2000VIZOPS"/>
    <s v="20000200"/>
    <s v="A Venkateswara Rao"/>
    <s v="No"/>
    <s v="kiran.akondi@amns.in"/>
    <s v="7207778393"/>
    <s v="1035963"/>
    <s v="DS Varma"/>
    <s v="Anil Matoo"/>
    <s v="Praveen Kuruvalli"/>
    <s v="Dhruv Vyas"/>
    <n v="0"/>
  </r>
  <r>
    <n v="5746"/>
    <n v="20058016"/>
    <s v="Krutikkumar Patel"/>
    <s v="AM/NS India"/>
    <s v="Onroll"/>
    <s v="M-7"/>
    <n v="7"/>
    <m/>
    <s v="MM"/>
    <s v="M"/>
    <s v="Hazira"/>
    <n v="1"/>
    <s v="2054"/>
    <x v="9"/>
    <s v="32.01"/>
    <s v="Pankaj Chaturvedi"/>
    <s v="Hrishikesh Kamat"/>
    <n v="7"/>
    <s v="Procurement"/>
    <s v="Contracts"/>
    <s v="32"/>
    <s v="Lead - Contracts"/>
    <m/>
    <s v="Contracts"/>
    <s v="Contracts"/>
    <s v="SMP 1 &amp; 2, HSM, CSP, HBI, MH"/>
    <s v="Non Technical Support"/>
    <s v=""/>
    <s v=""/>
    <s v=""/>
    <s v=""/>
    <s v="Hazira"/>
    <d v="1991-09-04T00:00:00"/>
    <s v="32.00"/>
    <d v="2023-03-10T00:00:00"/>
    <d v="2049-09-30T00:00:00"/>
    <m/>
    <d v="2049-09-30T00:00:00"/>
    <n v="9507"/>
    <s v="O-"/>
    <s v="BE-2013 , Intermediate-2009 , Intermedia"/>
    <s v="09.08"/>
    <s v="00.06"/>
    <s v="10.01"/>
    <s v="70495670"/>
    <s v="Contracts"/>
    <s v="70259236"/>
    <s v="Lead - Contracts"/>
    <s v="Hazira"/>
    <s v="0031950047"/>
    <s v="HZ-Contracts"/>
    <s v="2000HWO"/>
    <s v="20000795"/>
    <s v="Pankaj Chaturvedi"/>
    <s v="No"/>
    <s v="krutik.patel@amns.in"/>
    <s v="7043217731"/>
    <s v="1036992"/>
    <s v="Dhruv Vyas"/>
    <s v="Anil Matoo"/>
    <s v="Praveen Kuruvalli"/>
    <s v="Dhruv Vyas"/>
    <n v="0"/>
  </r>
  <r>
    <n v="5747"/>
    <n v="20058017"/>
    <s v="Ajaykumar Mishra"/>
    <s v="AM/NS India"/>
    <s v="Onroll"/>
    <s v="M-9"/>
    <n v="9"/>
    <m/>
    <s v="JM"/>
    <s v="M"/>
    <s v="Odisha"/>
    <n v="2"/>
    <s v="2031"/>
    <x v="10"/>
    <s v="14.01"/>
    <s v="Ranjan Dhar"/>
    <s v="Alain Legrix De La Salle"/>
    <n v="3"/>
    <s v="Sales &amp; Marketing"/>
    <s v="Sales &amp; Marketing"/>
    <s v="14"/>
    <s v="Lead - Iron Ore Sales, Barbil"/>
    <m/>
    <s v="Iron Ore &amp; Infra"/>
    <s v="Iron Ore &amp; Infra"/>
    <s v="Power &amp; Gas"/>
    <s v="Non Technical Support"/>
    <s v="Commercial"/>
    <s v="Procurement"/>
    <s v="73803001"/>
    <s v="Procurement"/>
    <s v="Bhubaneswar"/>
    <d v="1995-07-03T00:00:00"/>
    <s v="28.02"/>
    <d v="2023-03-13T00:00:00"/>
    <d v="2053-07-31T00:00:00"/>
    <m/>
    <d v="2053-07-31T00:00:00"/>
    <n v="10907"/>
    <s v="B+"/>
    <s v="BCom-2019 , Intermediate-2014 , Intermed"/>
    <s v="05.05"/>
    <s v="00.06"/>
    <s v="05.11"/>
    <s v="00044347"/>
    <s v="Sales - Iron Ore"/>
    <s v="300889"/>
    <s v="Lead - Iron Ore Sales, Barbil"/>
    <s v="Odisha"/>
    <s v="0031950048"/>
    <s v=""/>
    <s v="2000STORIS"/>
    <s v="20003630"/>
    <s v="Mukul Manchanda"/>
    <s v="No"/>
    <s v="ajay.mishra1@amns.in"/>
    <s v="8329157473"/>
    <s v="1037018"/>
    <s v="Sunila Das"/>
    <s v="Anil Matoo"/>
    <s v="Praveen Kuruvalli"/>
    <s v="Sunila Das"/>
    <n v="0"/>
  </r>
  <r>
    <n v="5749"/>
    <n v="20058019"/>
    <s v="Tanmaya Mishra"/>
    <s v="AM/NS India"/>
    <s v="Onroll"/>
    <s v="M-7"/>
    <n v="7"/>
    <m/>
    <s v="MM"/>
    <s v="M"/>
    <s v="Odisha"/>
    <n v="2"/>
    <s v="2031"/>
    <x v="10"/>
    <s v="14.01"/>
    <s v="Ranjan Dhar"/>
    <s v="Alain Legrix De La Salle"/>
    <n v="3"/>
    <s v="Sales &amp; Marketing"/>
    <s v="Sales &amp; Marketing"/>
    <s v="14"/>
    <s v="Lead - Iron Ore Sales"/>
    <m/>
    <s v="Iron Ore &amp; Infra"/>
    <s v="Iron Ore &amp; Infra"/>
    <s v="Power &amp; Gas"/>
    <s v="Non Technical Support"/>
    <s v="Commercial"/>
    <s v="Procurement"/>
    <s v="73803001"/>
    <s v="Procurement"/>
    <s v="Bhubaneswar"/>
    <d v="1985-06-06T00:00:00"/>
    <s v="38.03"/>
    <d v="2023-03-15T00:00:00"/>
    <d v="2043-06-30T00:00:00"/>
    <m/>
    <d v="2043-06-30T00:00:00"/>
    <n v="7223"/>
    <s v="B+"/>
    <s v="MBA-2016 , PG Diploma-2008 , BSc-2006 ,"/>
    <s v="14.07"/>
    <s v="00.06"/>
    <s v="15.01"/>
    <s v="00044347"/>
    <s v="Sales - Iron Ore"/>
    <s v="300890"/>
    <s v="Lead - Iron Ore Sales"/>
    <s v="Odisha"/>
    <s v="0031950048"/>
    <s v=""/>
    <s v="2000STORIS"/>
    <s v="20003630"/>
    <s v="Mukul Manchanda"/>
    <s v="No"/>
    <s v="tanmaya.mishra@amns.in"/>
    <s v="7077770059"/>
    <s v="1040275"/>
    <s v="Sunila Das"/>
    <s v="Anil Matoo"/>
    <s v="Praveen Kuruvalli"/>
    <s v="Sunila Das"/>
    <n v="0"/>
  </r>
  <r>
    <n v="5750"/>
    <n v="20058020"/>
    <s v="Chapa Srinivasa Rao"/>
    <s v="AM/NS India"/>
    <s v="Onroll"/>
    <s v="M-8"/>
    <n v="8"/>
    <m/>
    <s v="JM"/>
    <s v="M"/>
    <s v="Vizag"/>
    <n v="3"/>
    <s v="2015"/>
    <x v="1"/>
    <s v="22.06"/>
    <s v="Anil Matoo"/>
    <s v="Ashutosh Telang"/>
    <n v="6"/>
    <s v="HR &amp; Administration"/>
    <s v="Human Resources"/>
    <s v="22"/>
    <s v="Lead - Human Resources"/>
    <m/>
    <s v="Human Resources"/>
    <s v=""/>
    <s v=""/>
    <s v="Non Technical Support"/>
    <s v="Human Resources Management"/>
    <s v="Human Resources Management"/>
    <s v="73501001"/>
    <s v="Human Resources"/>
    <s v="Kirandul"/>
    <d v="1973-06-01T00:00:00"/>
    <s v="50.03"/>
    <d v="2023-03-17T00:00:00"/>
    <d v="2031-05-31T00:00:00"/>
    <m/>
    <d v="2031-05-31T00:00:00"/>
    <n v="2810"/>
    <s v="A+"/>
    <s v="Intermediate-1999"/>
    <s v="26.02"/>
    <s v="00.06"/>
    <s v="26.08"/>
    <s v="72150111"/>
    <s v="Vizag HR Operations &amp; Administration"/>
    <s v="301679"/>
    <s v="OJT Confirmation"/>
    <s v="Vizag"/>
    <s v="0028030019"/>
    <s v="VIZ-Personnel &amp; Admi"/>
    <s v="2000VIZOPS"/>
    <s v="20000519"/>
    <s v="Dandu Srinivas Varma"/>
    <s v="No"/>
    <s v="chapa.rao@amns.in"/>
    <s v="07901367624"/>
    <s v="1000532"/>
    <s v="Dhruv Vyas"/>
    <s v="Anil Matoo"/>
    <s v="Praveen Kuruvalli"/>
    <s v="Dhruv Vyas"/>
    <n v="0"/>
  </r>
  <r>
    <n v="5756"/>
    <n v="20058027"/>
    <s v="Rishi Mishra"/>
    <s v="AM/NS India"/>
    <s v="Onroll"/>
    <s v="M-7"/>
    <n v="7"/>
    <m/>
    <s v="MM"/>
    <s v="M"/>
    <s v="Hazira"/>
    <n v="1"/>
    <s v="2099"/>
    <x v="19"/>
    <s v="02.01"/>
    <s v="Raghavan Aravamudhan"/>
    <s v="Dilip Oommen"/>
    <n v="1"/>
    <s v="CEO Office"/>
    <s v="Business Strategy"/>
    <s v="02"/>
    <s v="Lead - PMO (Analyst)"/>
    <m/>
    <s v="Business Strategy"/>
    <s v="Business Strategy"/>
    <s v=""/>
    <s v="Non Technical Support"/>
    <s v="Operations"/>
    <s v="Operations"/>
    <s v="72103001"/>
    <s v="Operations"/>
    <s v="Hazira"/>
    <d v="1989-07-02T00:00:00"/>
    <s v="34.02"/>
    <d v="2023-03-20T00:00:00"/>
    <d v="2047-07-31T00:00:00"/>
    <m/>
    <d v="2047-07-31T00:00:00"/>
    <n v="8715"/>
    <s v="A+"/>
    <s v="BTech-2011"/>
    <s v="09.02"/>
    <s v="00.06"/>
    <s v="09.08"/>
    <s v="00046538"/>
    <s v="Project Monitoring"/>
    <s v="303698"/>
    <s v="Lead - PMO (Analyst)"/>
    <s v="Hazira"/>
    <s v="0090000022"/>
    <s v=""/>
    <s v="2000HWO"/>
    <s v="20049281"/>
    <s v="Raveena Dhoot"/>
    <s v="No"/>
    <s v="rishi.mishra@amns.in"/>
    <s v="7033095125"/>
    <s v="1040561"/>
    <s v="Dhruv Vyas"/>
    <s v="Anil Matoo"/>
    <s v="Praveen Kuruvalli"/>
    <s v="Dhruv Vyas"/>
    <n v="0"/>
  </r>
  <r>
    <n v="5757"/>
    <n v="20058028"/>
    <s v="Charu Misra"/>
    <s v="AM/NS India"/>
    <s v="Onroll"/>
    <s v="M-6"/>
    <n v="6"/>
    <m/>
    <s v="MM"/>
    <s v="F"/>
    <s v="Corporate"/>
    <n v="7"/>
    <s v="2071"/>
    <x v="22"/>
    <s v="41.01"/>
    <s v="P Ashok Kumar"/>
    <s v="P Ashok Kumar"/>
    <n v="9"/>
    <s v="Legal"/>
    <s v="Legal"/>
    <s v="41"/>
    <s v="Legal Counsel, Mumbai"/>
    <m/>
    <s v="Legal"/>
    <s v=""/>
    <s v=""/>
    <s v="Non Technical Support"/>
    <s v="Legal"/>
    <s v="Legal"/>
    <s v="73201001"/>
    <s v="Legal"/>
    <s v="Mumbai"/>
    <d v="1990-03-11T00:00:00"/>
    <s v="33.06"/>
    <d v="2023-03-20T00:00:00"/>
    <d v="2048-03-31T00:00:00"/>
    <m/>
    <d v="2048-03-31T00:00:00"/>
    <n v="8959"/>
    <s v="O+"/>
    <s v="LLB-2014"/>
    <s v="05.02"/>
    <s v="00.06"/>
    <s v="05.07"/>
    <s v="00050735"/>
    <s v="Legal"/>
    <s v="70494780"/>
    <s v="Legal Counsel"/>
    <s v="Corporate"/>
    <s v="0090000019"/>
    <s v=""/>
    <s v="2000CS"/>
    <s v="20055235"/>
    <s v="P Ashok Kumar"/>
    <s v="No"/>
    <s v="charu.misra@amns.in"/>
    <s v="7718807779"/>
    <s v="1040797"/>
    <s v="Dhruv Vyas"/>
    <s v="Anil Matoo"/>
    <s v="Praveen Kuruvalli"/>
    <s v="Dhruv Vyas"/>
    <n v="0"/>
  </r>
  <r>
    <n v="5759"/>
    <n v="20058031"/>
    <s v="Ananta Subudhi Ray"/>
    <s v="AM/NS Ports Paradip"/>
    <s v="Onroll"/>
    <s v="M-6"/>
    <n v="6"/>
    <m/>
    <s v="MM"/>
    <s v="M"/>
    <s v="Odisha"/>
    <n v="2"/>
    <s v="77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Paradeep"/>
    <d v="1970-05-20T00:00:00"/>
    <s v="53.04"/>
    <d v="2010-08-23T00:00:00"/>
    <d v="2028-05-31T00:00:00"/>
    <m/>
    <d v="2028-05-31T00:00:00"/>
    <n v="1715"/>
    <s v=""/>
    <s v=""/>
    <s v=""/>
    <s v="13.00"/>
    <s v="13.00"/>
    <s v="00051206"/>
    <s v="Commercial"/>
    <s v="304337"/>
    <s v="New Acquisition"/>
    <s v="AMNS PORTS"/>
    <s v="0004315000"/>
    <s v="EBTPL- COMMON"/>
    <s v="7700PARA"/>
    <s v="20055692"/>
    <s v="Rajiv Ranjan"/>
    <s v="No"/>
    <s v="ananta.subudhiray@amns.in"/>
    <s v="7381097586"/>
    <s v="1026657"/>
    <s v="Manjit Shah"/>
    <s v="Anil Matoo"/>
    <n v="0"/>
    <s v="Manjit Shah"/>
    <n v="0"/>
  </r>
  <r>
    <n v="5763"/>
    <n v="20058035"/>
    <s v="Prasanta Kumar Behera"/>
    <s v="AM/NS Ports Paradip"/>
    <s v="Onroll"/>
    <s v="M-6"/>
    <n v="6"/>
    <m/>
    <s v="MM"/>
    <s v="M"/>
    <s v="Odisha"/>
    <n v="2"/>
    <s v="77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Paradeep"/>
    <d v="1982-06-07T00:00:00"/>
    <s v="41.03"/>
    <d v="2012-01-02T00:00:00"/>
    <d v="2040-06-30T00:00:00"/>
    <m/>
    <d v="2040-06-30T00:00:00"/>
    <n v="6128"/>
    <s v=""/>
    <s v=""/>
    <s v=""/>
    <s v="11.08"/>
    <s v="11.08"/>
    <s v="00051207"/>
    <s v="Finance &amp; Accounts - Ports Paradip"/>
    <s v="304341"/>
    <s v="New Acquisition"/>
    <s v="AMNS PORTS"/>
    <s v="0004315000"/>
    <s v="EBTPL- COMMON"/>
    <s v="7704PARA"/>
    <s v="20055088"/>
    <s v="Amit Harlalka"/>
    <s v="No"/>
    <s v="prasanta.behera@amns.in"/>
    <s v="7381097608"/>
    <s v="1025168"/>
    <s v="Manjit Shah"/>
    <s v="Anil Matoo"/>
    <n v="0"/>
    <s v="Manjit Shah"/>
    <n v="0"/>
  </r>
  <r>
    <n v="5778"/>
    <n v="20058050"/>
    <s v="Niranjan Malu"/>
    <s v="AM/NS Ports Paradip"/>
    <s v="Onroll"/>
    <s v="M-10"/>
    <n v="10"/>
    <m/>
    <s v="JM"/>
    <s v="M"/>
    <s v="Odisha"/>
    <n v="2"/>
    <s v="77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Paradeep"/>
    <d v="1983-02-18T00:00:00"/>
    <s v="40.07"/>
    <d v="2018-07-02T00:00:00"/>
    <d v="2041-02-28T00:00:00"/>
    <m/>
    <d v="2041-02-28T00:00:00"/>
    <n v="6371"/>
    <s v=""/>
    <s v=""/>
    <s v=""/>
    <s v="05.02"/>
    <s v="05.02"/>
    <s v="00051207"/>
    <s v="Finance &amp; Accounts - Ports Paradip"/>
    <s v="304356"/>
    <s v="New Acquisition"/>
    <s v="AMNS PORTS"/>
    <s v="0004315000"/>
    <s v="EBTPL- COMMON"/>
    <s v="7704PARA"/>
    <s v="20058035"/>
    <s v="Prasanta Kumar Behera"/>
    <s v="No"/>
    <s v="niranjan.malu@amns.in"/>
    <s v="7381008677"/>
    <s v="1026678"/>
    <s v="Manjit Shah"/>
    <s v="Anil Matoo"/>
    <n v="0"/>
    <s v="Manjit Shah"/>
    <n v="0"/>
  </r>
  <r>
    <n v="5781"/>
    <n v="20058053"/>
    <s v="Krushna Barik"/>
    <s v="AM/NS Ports Paradip"/>
    <s v="Onroll"/>
    <s v="M-10"/>
    <n v="10"/>
    <m/>
    <s v="JM"/>
    <s v="M"/>
    <s v="Odisha"/>
    <n v="2"/>
    <s v="77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Paradeep"/>
    <d v="1991-05-16T00:00:00"/>
    <s v="32.04"/>
    <d v="2022-04-01T00:00:00"/>
    <d v="2049-05-31T00:00:00"/>
    <m/>
    <d v="2049-05-31T00:00:00"/>
    <n v="9385"/>
    <s v=""/>
    <s v=""/>
    <s v=""/>
    <s v="01.05"/>
    <s v="01.05"/>
    <s v="00051206"/>
    <s v="Commercial"/>
    <s v="304359"/>
    <s v="New Acquisition"/>
    <s v="AMNS PORTS"/>
    <s v="0004315000"/>
    <s v="EBTPL- COMMON"/>
    <s v="7700PARA"/>
    <s v="20058031"/>
    <s v="Ananta Subudhi Ray"/>
    <s v="No"/>
    <s v="krushna.barik@amns.in"/>
    <s v="7381008028"/>
    <s v="1026681"/>
    <s v="Manjit Shah"/>
    <s v="Anil Matoo"/>
    <n v="0"/>
    <s v="Manjit Shah"/>
    <n v="0"/>
  </r>
  <r>
    <n v="5788"/>
    <n v="20058060"/>
    <s v="Alok Nayak"/>
    <s v="AM/NS Ports Paradip"/>
    <s v="Onroll"/>
    <s v="M-10"/>
    <n v="10"/>
    <m/>
    <s v="JM"/>
    <s v="M"/>
    <s v="Odisha"/>
    <n v="2"/>
    <s v="77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Paradeep"/>
    <d v="1984-06-11T00:00:00"/>
    <s v="39.03"/>
    <d v="2022-04-01T00:00:00"/>
    <d v="2042-06-30T00:00:00"/>
    <m/>
    <d v="2042-06-30T00:00:00"/>
    <n v="6858"/>
    <s v=""/>
    <s v=""/>
    <s v=""/>
    <s v="01.05"/>
    <s v="01.05"/>
    <s v="00051207"/>
    <s v="Finance &amp; Accounts - Ports Paradip"/>
    <s v="304366"/>
    <s v="New Acquisition"/>
    <s v="AMNS PORTS"/>
    <s v="0004315000"/>
    <s v="EBTPL- COMMON"/>
    <s v="7704PARA"/>
    <s v="20058035"/>
    <s v="Prasanta Kumar Behera"/>
    <s v="No"/>
    <s v="alok.nayak@amns.in"/>
    <s v="9937138362"/>
    <s v="1026690"/>
    <s v="Manjit Shah"/>
    <s v="Anil Matoo"/>
    <n v="0"/>
    <s v="Manjit Shah"/>
    <n v="0"/>
  </r>
  <r>
    <n v="5796"/>
    <n v="20058068"/>
    <s v="Srinivas Munukuti"/>
    <s v="AM/NS Power Hazira"/>
    <s v="Onroll"/>
    <s v="M-10"/>
    <n v="10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1-05-27T00:00:00"/>
    <s v="52.03"/>
    <d v="1994-03-31T00:00:00"/>
    <d v="2029-05-31T00:00:00"/>
    <m/>
    <d v="2029-05-31T00:00:00"/>
    <n v="2080"/>
    <s v=""/>
    <s v=""/>
    <s v=""/>
    <s v="29.05"/>
    <s v="29.05"/>
    <s v="00051183"/>
    <s v="Contract &amp; Procurement"/>
    <s v="304022"/>
    <s v="New Acquisition"/>
    <s v="AMNS Power Hazira Ld"/>
    <s v="0309018065"/>
    <s v="EPOL 270MW"/>
    <s v="3509HAZI"/>
    <s v="20058072"/>
    <s v="Siddhartha Sutradhar"/>
    <s v="No"/>
    <s v="srinivas.munukuti@amns.in"/>
    <s v="9879102804"/>
    <s v="1019543"/>
    <s v="Manjit Shah"/>
    <s v="Anil Matoo"/>
    <n v="0"/>
    <s v="Manjit Shah"/>
    <n v="0"/>
  </r>
  <r>
    <n v="5800"/>
    <n v="20058072"/>
    <s v="Siddhartha Sutradhar"/>
    <s v="AM/NS Power Hazira"/>
    <s v="Onroll"/>
    <s v="M-6"/>
    <n v="6"/>
    <m/>
    <s v="M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0-01-01T00:00:00"/>
    <s v="53.08"/>
    <d v="1997-06-23T00:00:00"/>
    <d v="2027-12-31T00:00:00"/>
    <m/>
    <d v="2027-12-31T00:00:00"/>
    <n v="1563"/>
    <s v=""/>
    <s v=""/>
    <s v=""/>
    <s v="26.02"/>
    <s v="26.02"/>
    <s v="00051183"/>
    <s v="Contract &amp; Procurement"/>
    <s v="304026"/>
    <s v="New Acquisition"/>
    <s v="AMNS Power Hazira Ld"/>
    <s v="0309018065"/>
    <s v="EPOL 270MW"/>
    <s v="3509HAZI"/>
    <s v="20000201"/>
    <s v="Manish Bakriwala"/>
    <s v="No"/>
    <s v="siddhartha.sutradhar@amns.in"/>
    <s v="7903123553"/>
    <s v="1019726"/>
    <s v="Manjit Shah"/>
    <s v="Anil Matoo"/>
    <n v="0"/>
    <s v="Manjit Shah"/>
    <n v="0"/>
  </r>
  <r>
    <n v="5805"/>
    <n v="20058078"/>
    <s v="Bhupendra Patel"/>
    <s v="AM/NS Power Hazira"/>
    <s v="Onroll"/>
    <s v="M-8"/>
    <n v="8"/>
    <m/>
    <s v="J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67-06-22T00:00:00"/>
    <s v="56.03"/>
    <d v="2005-01-01T00:00:00"/>
    <d v="2025-06-30T00:00:00"/>
    <m/>
    <d v="2025-06-30T00:00:00"/>
    <n v="649"/>
    <s v=""/>
    <s v=""/>
    <s v=""/>
    <s v="18.08"/>
    <s v="18.08"/>
    <s v="00051184"/>
    <s v="Finance &amp; Accounts"/>
    <s v="304032"/>
    <s v="New Acquisition"/>
    <s v="AMNS Power Hazira Ld"/>
    <s v="0309018065"/>
    <s v="EPOL 270MW"/>
    <s v="3501HAZI"/>
    <s v="20058113"/>
    <s v="Gadhibantu Koteswar Rao"/>
    <s v="No"/>
    <s v="bhupendra.patel1@amns.in"/>
    <s v="9879102884"/>
    <s v="1018994"/>
    <s v="Manjit Shah"/>
    <s v="Anil Matoo"/>
    <n v="0"/>
    <s v="Manjit Shah"/>
    <n v="0"/>
  </r>
  <r>
    <n v="5806"/>
    <n v="20058079"/>
    <s v="Amit Patel"/>
    <s v="AM/NS Power Hazira"/>
    <s v="Onroll"/>
    <s v="M-8"/>
    <n v="8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6-04-30T00:00:00"/>
    <s v="47.04"/>
    <d v="2005-01-01T00:00:00"/>
    <d v="2034-04-30T00:00:00"/>
    <m/>
    <d v="2034-04-30T00:00:00"/>
    <n v="3875"/>
    <s v=""/>
    <s v=""/>
    <s v=""/>
    <s v="18.08"/>
    <s v="18.08"/>
    <s v="00051183"/>
    <s v="Contract &amp; Procurement"/>
    <s v="304033"/>
    <s v="New Acquisition"/>
    <s v="AMNS Power Hazira Ld"/>
    <s v="0309018065"/>
    <s v="EPOL 270MW"/>
    <s v="3509HAZI"/>
    <s v="20000948"/>
    <s v="Hitesh Raval"/>
    <s v="No"/>
    <s v="amit.patel10@amns.in"/>
    <s v="9879102885"/>
    <s v="1019733"/>
    <s v="Manjit Shah"/>
    <s v="Anil Matoo"/>
    <n v="0"/>
    <s v="Manjit Shah"/>
    <n v="0"/>
  </r>
  <r>
    <n v="5809"/>
    <n v="20058082"/>
    <s v="Anupmeya Anand"/>
    <s v="AM/NS Power Hazira"/>
    <s v="Onroll"/>
    <s v="M-8"/>
    <n v="8"/>
    <m/>
    <s v="JM"/>
    <s v="M"/>
    <s v="Hazira"/>
    <n v="1"/>
    <s v="3507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1-03-15T00:00:00"/>
    <s v="42.06"/>
    <d v="2006-12-20T00:00:00"/>
    <d v="2039-03-31T00:00:00"/>
    <m/>
    <d v="2039-03-31T00:00:00"/>
    <n v="5671"/>
    <s v=""/>
    <s v=""/>
    <s v=""/>
    <s v="16.09"/>
    <s v="16.09"/>
    <s v="00051183"/>
    <s v="Contract &amp; Procurement"/>
    <s v="304036"/>
    <s v="New Acquisition"/>
    <s v="AMNS Power Hazira Ld"/>
    <s v="0309018065"/>
    <s v="EPOL 270MW"/>
    <s v="3507HAZI"/>
    <s v="20058072"/>
    <s v="Siddhartha Sutradhar"/>
    <s v="No"/>
    <s v="anupmeya.anand@amns.in"/>
    <s v="9925227060"/>
    <s v="1019801"/>
    <s v="Manjit Shah"/>
    <s v="Anil Matoo"/>
    <n v="0"/>
    <s v="Manjit Shah"/>
    <n v="0"/>
  </r>
  <r>
    <n v="5815"/>
    <n v="20058088"/>
    <s v="Narendra Yadav"/>
    <s v="AM/NS Power Hazira"/>
    <s v="Onroll"/>
    <s v="M-7"/>
    <n v="7"/>
    <m/>
    <s v="M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67-03-02T00:00:00"/>
    <s v="56.06"/>
    <d v="2008-05-20T00:00:00"/>
    <d v="2025-03-31T00:00:00"/>
    <m/>
    <d v="2025-03-31T00:00:00"/>
    <n v="558"/>
    <s v=""/>
    <s v=""/>
    <s v=""/>
    <s v="15.04"/>
    <s v="15.04"/>
    <s v="00051184"/>
    <s v="Finance &amp; Accounts"/>
    <s v="304042"/>
    <s v="New Acquisition"/>
    <s v="AMNS Power Hazira Ld"/>
    <s v="0309018065"/>
    <s v="EPOL 270MW"/>
    <s v="3501HAZI"/>
    <s v="20001854"/>
    <s v="Arasappan Thirumaran"/>
    <s v="No"/>
    <s v="narendra.yadav@amns.in"/>
    <s v="9909993532"/>
    <s v="1019743"/>
    <s v="Manjit Shah"/>
    <s v="Anil Matoo"/>
    <n v="0"/>
    <s v="Manjit Shah"/>
    <n v="0"/>
  </r>
  <r>
    <n v="5816"/>
    <n v="20058089"/>
    <s v="Yudhishthir Trivedi"/>
    <s v="AM/NS Power Hazira"/>
    <s v="Onroll"/>
    <s v="M-8"/>
    <n v="8"/>
    <m/>
    <s v="JM"/>
    <s v="M"/>
    <s v="Corporate"/>
    <n v="1"/>
    <s v="3505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Operations"/>
    <s v="Operations"/>
    <s v="72103001"/>
    <s v="Operations"/>
    <s v="Hazira"/>
    <d v="1985-06-02T00:00:00"/>
    <s v="38.03"/>
    <d v="2008-06-09T00:00:00"/>
    <d v="2043-06-30T00:00:00"/>
    <m/>
    <d v="2043-06-30T00:00:00"/>
    <n v="7223"/>
    <s v=""/>
    <s v=""/>
    <s v=""/>
    <s v="15.03"/>
    <s v="15.03"/>
    <s v="00051172"/>
    <s v="Power Hazira"/>
    <s v="304043"/>
    <s v="New Acquisition"/>
    <s v="AMNS Power Hazira Ld"/>
    <s v="0309018065"/>
    <s v="EPOL 270MW"/>
    <s v="3505HAZI"/>
    <s v="20028777"/>
    <s v="Narendra Dugar"/>
    <s v="No"/>
    <s v="yudhishthir.trivedi@amns.in"/>
    <s v="9879102436"/>
    <s v="1019744"/>
    <s v="Manjit Shah"/>
    <s v="Anil Matoo"/>
    <n v="0"/>
    <s v="Manjit Shah"/>
    <n v="0"/>
  </r>
  <r>
    <n v="5823"/>
    <n v="20058096"/>
    <s v="Shailesh Kapadia"/>
    <s v="AM/NS Power Hazira"/>
    <s v="Onroll"/>
    <s v="M-8"/>
    <n v="8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8-02-01T00:00:00"/>
    <s v="45.07"/>
    <d v="2010-03-02T00:00:00"/>
    <d v="2036-01-31T00:00:00"/>
    <m/>
    <d v="2036-01-31T00:00:00"/>
    <n v="4516"/>
    <s v=""/>
    <s v=""/>
    <s v=""/>
    <s v="13.06"/>
    <s v="13.06"/>
    <s v="00051183"/>
    <s v="Contract &amp; Procurement"/>
    <s v="304050"/>
    <s v="New Acquisition"/>
    <s v="AMNS Power Hazira Ld"/>
    <s v="0309018065"/>
    <s v="EPOL 270MW"/>
    <s v="3509HAZI"/>
    <s v="20058072"/>
    <s v="Siddhartha Sutradhar"/>
    <s v="No"/>
    <s v="shailesh.kapadia@amns.in"/>
    <s v="9909993530"/>
    <s v="1019751"/>
    <s v="Manjit Shah"/>
    <s v="Anil Matoo"/>
    <n v="0"/>
    <s v="Manjit Shah"/>
    <n v="0"/>
  </r>
  <r>
    <n v="5839"/>
    <n v="20058113"/>
    <s v="Gadhibantu Koteswar Rao"/>
    <s v="AM/NS Power Hazira"/>
    <s v="Onroll"/>
    <s v="M-6"/>
    <n v="6"/>
    <m/>
    <s v="M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69-11-22T00:00:00"/>
    <s v="53.09"/>
    <d v="2012-02-17T00:00:00"/>
    <d v="2027-11-30T00:00:00"/>
    <m/>
    <d v="2027-11-30T00:00:00"/>
    <n v="1532"/>
    <s v=""/>
    <s v=""/>
    <s v=""/>
    <s v="11.07"/>
    <s v="11.07"/>
    <s v="00051184"/>
    <s v="Finance &amp; Accounts"/>
    <s v="304067"/>
    <s v="New Acquisition"/>
    <s v="AMNS Power Hazira Ld"/>
    <s v="0309018065"/>
    <s v="EPOL 270MW"/>
    <s v="3501HAZI"/>
    <s v="20000679"/>
    <s v="Dinesh Mangal"/>
    <s v="No"/>
    <s v="gadhibantu.koteswarrao@amns.in"/>
    <s v="9909993553"/>
    <s v="1018997"/>
    <s v="Manjit Shah"/>
    <s v="Anil Matoo"/>
    <n v="0"/>
    <s v="Manjit Shah"/>
    <n v="0"/>
  </r>
  <r>
    <n v="5856"/>
    <n v="20058134"/>
    <s v="Piyush Jain"/>
    <s v="AM/NS Power Hazira"/>
    <s v="Onroll"/>
    <s v="M-8"/>
    <n v="8"/>
    <m/>
    <s v="J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9-10-27T00:00:00"/>
    <s v="33.10"/>
    <d v="2019-06-17T00:00:00"/>
    <d v="2047-10-31T00:00:00"/>
    <m/>
    <d v="2047-10-31T00:00:00"/>
    <n v="8807"/>
    <s v=""/>
    <s v=""/>
    <s v=""/>
    <s v="04.03"/>
    <s v="04.03"/>
    <s v="00051197"/>
    <s v="Finance &amp; Accounts - Ports Hazira"/>
    <s v="304088"/>
    <s v="New Acquisition"/>
    <s v="AMNS Power Hazira Ld"/>
    <s v="0309018065"/>
    <s v="EPOL 270MW"/>
    <s v="3501HAZI"/>
    <s v="20058184"/>
    <s v="Rama Barik"/>
    <s v="No"/>
    <s v="piyush.jain@amns.in"/>
    <s v="9879102878"/>
    <s v="1018996"/>
    <s v="Manjit Shah"/>
    <s v="Anil Matoo"/>
    <n v="0"/>
    <s v="Manjit Shah"/>
    <n v="0"/>
  </r>
  <r>
    <n v="5858"/>
    <n v="20058136"/>
    <s v="Prateek Kumar"/>
    <s v="AM/NS Power Hazira"/>
    <s v="Onroll"/>
    <s v="M-9"/>
    <n v="9"/>
    <m/>
    <s v="JM"/>
    <s v="M"/>
    <s v="Hazira"/>
    <n v="1"/>
    <s v="3509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81-08-26T00:00:00"/>
    <s v="42.00"/>
    <d v="2021-12-13T00:00:00"/>
    <d v="2039-08-31T00:00:00"/>
    <m/>
    <d v="2039-08-31T00:00:00"/>
    <n v="5824"/>
    <s v=""/>
    <s v=""/>
    <s v=""/>
    <s v="01.09"/>
    <s v="01.09"/>
    <s v="00051183"/>
    <s v="Contract &amp; Procurement"/>
    <s v="304090"/>
    <s v="New Acquisition"/>
    <s v="AMNS Power Hazira Ld"/>
    <s v="0309018065"/>
    <s v="EPOL 270MW"/>
    <s v="3509HAZI"/>
    <s v="20058072"/>
    <s v="Siddhartha Sutradhar"/>
    <s v="No"/>
    <s v="prateek.kumar@amns.in"/>
    <s v="9925203885"/>
    <s v="1019790"/>
    <s v="Manjit Shah"/>
    <s v="Anil Matoo"/>
    <n v="0"/>
    <s v="Manjit Shah"/>
    <n v="0"/>
  </r>
  <r>
    <n v="5861"/>
    <n v="20058139"/>
    <s v="Sunil Tiwari"/>
    <s v="AM/NS Power Hazira"/>
    <s v="Onroll"/>
    <s v="M-6"/>
    <n v="6"/>
    <m/>
    <s v="MM"/>
    <s v="M"/>
    <s v="Hazira"/>
    <n v="1"/>
    <s v="3503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81-01-01T00:00:00"/>
    <s v="42.08"/>
    <d v="2022-04-01T00:00:00"/>
    <d v="2038-12-31T00:00:00"/>
    <m/>
    <d v="2038-12-31T00:00:00"/>
    <n v="5581"/>
    <s v=""/>
    <s v=""/>
    <s v=""/>
    <s v="01.05"/>
    <s v="01.05"/>
    <s v="00051185"/>
    <s v="Human Resources"/>
    <s v="304093"/>
    <s v="New Acquisition"/>
    <s v="AMNS Power Hazira Ld"/>
    <s v="0309018065"/>
    <s v="EPOL 270MW"/>
    <s v="3503HAZI"/>
    <s v="20016406"/>
    <s v="Manjit Shah"/>
    <s v="No"/>
    <s v="sunil.tiwari@amns.in"/>
    <s v="9819730527"/>
    <s v="1019793"/>
    <s v="Manjit Shah"/>
    <s v="Anil Matoo"/>
    <n v="0"/>
    <s v="Manjit Shah"/>
    <n v="0"/>
  </r>
  <r>
    <n v="5869"/>
    <n v="20058149"/>
    <s v="Anjali ."/>
    <s v="AM/NS Power Hazira"/>
    <s v="Onroll"/>
    <s v="M-8"/>
    <n v="8"/>
    <m/>
    <s v="JM"/>
    <s v="F"/>
    <s v="Hazira"/>
    <n v="1"/>
    <s v="3503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94-08-14T00:00:00"/>
    <s v="29.01"/>
    <d v="2022-10-07T00:00:00"/>
    <d v="2052-08-31T00:00:00"/>
    <m/>
    <d v="2052-08-31T00:00:00"/>
    <n v="10573"/>
    <s v=""/>
    <s v=""/>
    <s v=""/>
    <s v="00.11"/>
    <s v="00.11"/>
    <s v="00051185"/>
    <s v="Human Resources"/>
    <s v="304103"/>
    <s v="New Acquisition"/>
    <s v="AMNS Power Hazira Ld"/>
    <s v="0309018065"/>
    <s v="EPOL 270MW"/>
    <s v="3503HAZI"/>
    <s v="20054937"/>
    <s v="Hitesh Kumar Yadav"/>
    <s v="No"/>
    <s v="anjali.anil@amns.in"/>
    <s v="9925240506"/>
    <s v="1019805"/>
    <s v="Manjit Shah"/>
    <s v="Anil Matoo"/>
    <n v="0"/>
    <s v="Manjit Shah"/>
    <n v="0"/>
  </r>
  <r>
    <n v="5870"/>
    <n v="20058150"/>
    <s v="Neeraj Murarka"/>
    <s v="AM/NS Power Hazira"/>
    <s v="Onroll"/>
    <s v="M-6"/>
    <n v="6"/>
    <m/>
    <s v="M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Mumbai"/>
    <d v="1981-04-16T00:00:00"/>
    <s v="42.05"/>
    <d v="2022-12-10T00:00:00"/>
    <d v="2039-04-30T00:00:00"/>
    <m/>
    <d v="2039-04-30T00:00:00"/>
    <n v="5701"/>
    <s v=""/>
    <s v=""/>
    <s v=""/>
    <s v="00.09"/>
    <s v="00.09"/>
    <s v="70494931"/>
    <s v="Working Capital"/>
    <s v="304104"/>
    <s v="New Acquisition"/>
    <s v="AMNS Power Hazira Ld"/>
    <s v="0309018065"/>
    <s v="EPOL 270MW"/>
    <s v="3501MUMB"/>
    <s v="20055188"/>
    <s v="Rohit Sharma"/>
    <s v="No"/>
    <s v="neeraj.murarka@amns.in"/>
    <s v="9167999769"/>
    <s v="1029647"/>
    <s v="Manjit Shah"/>
    <s v="Anil Matoo"/>
    <n v="0"/>
    <s v="Manjit Shah"/>
    <n v="0"/>
  </r>
  <r>
    <n v="5871"/>
    <n v="20058151"/>
    <s v="Laxmi Joshi"/>
    <s v="AM/NS Power Hazira"/>
    <s v="Onroll"/>
    <s v="M-7"/>
    <n v="7"/>
    <m/>
    <s v="MM"/>
    <s v="F"/>
    <s v="Hazira"/>
    <n v="1"/>
    <s v="3500"/>
    <x v="11"/>
    <s v="42.01"/>
    <s v="Pankaj Chourasia"/>
    <s v="P Ashok Kumar"/>
    <n v="9"/>
    <s v="Legal"/>
    <s v="Company Secretary"/>
    <s v="42"/>
    <s v="Lead Company Secretary"/>
    <m/>
    <s v="Company Secretary"/>
    <s v=""/>
    <s v=""/>
    <s v="Non Technical Support"/>
    <s v="Operations"/>
    <s v="Operations"/>
    <s v="72103001"/>
    <s v="Operations"/>
    <s v="Mumbai"/>
    <d v="1989-07-26T00:00:00"/>
    <s v="34.01"/>
    <d v="2022-12-03T00:00:00"/>
    <d v="2047-07-31T00:00:00"/>
    <m/>
    <d v="2047-07-31T00:00:00"/>
    <n v="8715"/>
    <s v=""/>
    <s v=""/>
    <s v=""/>
    <s v="00.09"/>
    <s v="00.09"/>
    <s v="70273573"/>
    <s v="Company Secretarial"/>
    <s v="304105"/>
    <s v="New Acquisition"/>
    <s v="AMNS Power Hazira Ld"/>
    <s v="0309018065"/>
    <s v="EPOL 270MW"/>
    <s v="3500MUMB"/>
    <s v="20050785"/>
    <s v="Pankaj Chourasia"/>
    <s v="No"/>
    <s v="laxmi.joshi@amns.in"/>
    <s v="9925240508"/>
    <s v="1041012"/>
    <s v="Manjit Shah"/>
    <s v="Anil Matoo"/>
    <n v="0"/>
    <s v="Manjit Shah"/>
    <n v="0"/>
  </r>
  <r>
    <n v="5872"/>
    <n v="20058152"/>
    <s v="Shabbir Juzerbhai Bengali"/>
    <s v="AM/NS Power Hazira"/>
    <s v="Onroll"/>
    <s v="M-8"/>
    <n v="8"/>
    <m/>
    <s v="JM"/>
    <s v="M"/>
    <s v="Hazira"/>
    <n v="1"/>
    <s v="350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1-07-25T00:00:00"/>
    <s v="42.01"/>
    <d v="2010-11-08T00:00:00"/>
    <d v="2039-07-31T00:00:00"/>
    <m/>
    <d v="2039-07-31T00:00:00"/>
    <n v="5793"/>
    <s v=""/>
    <s v=""/>
    <s v=""/>
    <s v="12.10"/>
    <s v="12.10"/>
    <s v="00051184"/>
    <s v="Finance &amp; Accounts"/>
    <s v="304106"/>
    <s v="New Acquisition"/>
    <s v="AMNS Power Hazira Ld"/>
    <s v="0309018065"/>
    <s v="EPOL 270MW"/>
    <s v="3501HAZI"/>
    <s v="20016107"/>
    <s v="Kalpesh Thathagar"/>
    <s v="No"/>
    <s v="shabbir.bengali@amns.in"/>
    <s v="9879107352"/>
    <s v="1019794"/>
    <s v="Manjit Shah"/>
    <s v="Anil Matoo"/>
    <n v="0"/>
    <s v="Manjit Shah"/>
    <n v="0"/>
  </r>
  <r>
    <n v="5888"/>
    <n v="20058169"/>
    <s v="Chirag Desai"/>
    <s v="AM/NS Ports Hazira"/>
    <s v="Onroll"/>
    <s v="M-7"/>
    <n v="7"/>
    <m/>
    <s v="MM"/>
    <s v="M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1-06-26T00:00:00"/>
    <s v="42.02"/>
    <d v="2006-06-19T00:00:00"/>
    <d v="2039-06-30T00:00:00"/>
    <m/>
    <d v="2039-06-30T00:00:00"/>
    <n v="5762"/>
    <s v=""/>
    <s v=""/>
    <s v=""/>
    <s v="17.03"/>
    <s v="17.03"/>
    <s v="00051196"/>
    <s v="Procurement - Ports Hazira"/>
    <s v="304237"/>
    <s v="New Acquisition"/>
    <s v="AMNS PARADIP PORT"/>
    <s v=""/>
    <s v=""/>
    <s v="7414HAZI"/>
    <s v="20058183"/>
    <s v="Pranabendra Barman"/>
    <s v="No"/>
    <s v="chirag.desai@amns.in"/>
    <s v="9925246149"/>
    <s v="1026743"/>
    <s v="Manjit Shah"/>
    <s v="Anil Matoo"/>
    <n v="0"/>
    <s v="Manjit Shah"/>
    <n v="0"/>
  </r>
  <r>
    <n v="5894"/>
    <n v="20058175"/>
    <s v="Neelam Thanvi"/>
    <s v="AM/NS Ports Hazira"/>
    <s v="Onroll"/>
    <s v="M-6"/>
    <n v="6"/>
    <m/>
    <s v="MM"/>
    <s v="F"/>
    <s v="Hazira"/>
    <n v="1"/>
    <s v="7401"/>
    <x v="11"/>
    <s v="42.01"/>
    <s v="Pankaj Chourasia"/>
    <s v="P Ashok Kumar"/>
    <n v="9"/>
    <s v="Legal"/>
    <s v="Company Secretary"/>
    <s v="42"/>
    <s v="Sr. Lead Company Secretary"/>
    <m/>
    <s v="Company Secretary"/>
    <s v=""/>
    <s v=""/>
    <s v="Non Technical Support"/>
    <s v="Operations"/>
    <s v="Operations"/>
    <s v="72103001"/>
    <s v="Operations"/>
    <s v="Mumbai"/>
    <d v="1983-10-24T00:00:00"/>
    <s v="39.10"/>
    <d v="2007-06-25T00:00:00"/>
    <d v="2041-10-31T00:00:00"/>
    <m/>
    <d v="2041-10-31T00:00:00"/>
    <n v="6616"/>
    <s v=""/>
    <s v=""/>
    <s v=""/>
    <s v="16.02"/>
    <s v="16.02"/>
    <s v="70273573"/>
    <s v="Company Secretarial"/>
    <s v="304243"/>
    <s v="New Acquisition"/>
    <s v="AMNS PARADIP PORT"/>
    <s v=""/>
    <s v=""/>
    <s v="7401MUMB"/>
    <s v="20050785"/>
    <s v="Pankaj Chourasia"/>
    <s v="No"/>
    <s v="neelam.thanvi@amns.in"/>
    <s v="9930136083"/>
    <s v="1026752"/>
    <s v="Manjit Shah"/>
    <s v="Anil Matoo"/>
    <n v="0"/>
    <s v="Manjit Shah"/>
    <n v="0"/>
  </r>
  <r>
    <n v="5899"/>
    <n v="20058180"/>
    <s v="Piyush Patel"/>
    <s v="AM/NS Ports Hazira"/>
    <s v="Onroll"/>
    <s v="M-9"/>
    <n v="9"/>
    <m/>
    <s v="JM"/>
    <s v="M"/>
    <s v="Hazira"/>
    <n v="1"/>
    <s v="7418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Hazira"/>
    <d v="1972-05-30T00:00:00"/>
    <s v="51.03"/>
    <d v="2008-03-15T00:00:00"/>
    <d v="2030-05-31T00:00:00"/>
    <m/>
    <d v="2030-05-31T00:00:00"/>
    <n v="2445"/>
    <s v=""/>
    <s v=""/>
    <s v=""/>
    <s v="15.06"/>
    <s v="15.06"/>
    <s v="00051196"/>
    <s v="Procurement - Ports Hazira"/>
    <s v="304249"/>
    <s v="New Acquisition"/>
    <s v="AMNS PARADIP PORT"/>
    <s v=""/>
    <s v=""/>
    <s v="7418HAZI"/>
    <s v="20001905"/>
    <s v="Nirav Bhagat"/>
    <s v="No"/>
    <s v="piyush.patel3@amns.in"/>
    <s v="9879102854"/>
    <s v="1026767"/>
    <s v="Manjit Shah"/>
    <s v="Anil Matoo"/>
    <n v="0"/>
    <s v="Manjit Shah"/>
    <n v="0"/>
  </r>
  <r>
    <n v="5902"/>
    <n v="20058183"/>
    <s v="Pranabendra Barman"/>
    <s v="AM/NS Ports Hazira"/>
    <s v="Onroll"/>
    <s v="M-5"/>
    <n v="5"/>
    <m/>
    <s v="MM"/>
    <s v="M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69-08-27T00:00:00"/>
    <s v="54.00"/>
    <d v="2008-07-16T00:00:00"/>
    <d v="2027-08-31T00:00:00"/>
    <m/>
    <d v="2027-08-31T00:00:00"/>
    <n v="1441"/>
    <s v=""/>
    <s v=""/>
    <s v=""/>
    <s v="15.02"/>
    <s v="15.02"/>
    <s v="00051196"/>
    <s v="Procurement - Ports Hazira"/>
    <s v="304252"/>
    <s v="New Acquisition"/>
    <s v="AMNS PARADIP PORT"/>
    <s v=""/>
    <s v=""/>
    <s v="7414HAZI"/>
    <s v="20000201"/>
    <s v="Manish Bakriwala"/>
    <s v="No"/>
    <s v="pranabendra.barman@amns.in"/>
    <s v="9727764050"/>
    <s v="1026772"/>
    <s v="Manjit Shah"/>
    <s v="Anil Matoo"/>
    <n v="0"/>
    <s v="Manjit Shah"/>
    <n v="0"/>
  </r>
  <r>
    <n v="5903"/>
    <n v="20058184"/>
    <s v="Rama Barik"/>
    <s v="AM/NS Ports Hazira"/>
    <s v="Onroll"/>
    <s v="M-5"/>
    <n v="5"/>
    <m/>
    <s v="M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78-03-04T00:00:00"/>
    <s v="45.06"/>
    <d v="2008-07-28T00:00:00"/>
    <d v="2036-03-31T00:00:00"/>
    <m/>
    <d v="2036-03-31T00:00:00"/>
    <n v="4576"/>
    <s v=""/>
    <s v=""/>
    <s v=""/>
    <s v="15.01"/>
    <s v="15.01"/>
    <s v="00051197"/>
    <s v="Finance &amp; Accounts - Ports Hazira"/>
    <s v="304253"/>
    <s v="New Acquisition"/>
    <s v="AMNS PARADIP PORT"/>
    <s v=""/>
    <s v=""/>
    <s v="7404HAZI"/>
    <s v="20055088"/>
    <s v="Amit Harlalka"/>
    <s v="No"/>
    <s v="rama.barik@amns.in"/>
    <s v="9727764049"/>
    <s v="1025165"/>
    <s v="Manjit Shah"/>
    <s v="Anil Matoo"/>
    <n v="0"/>
    <s v="Manjit Shah"/>
    <n v="0"/>
  </r>
  <r>
    <n v="5917"/>
    <n v="20058198"/>
    <s v="Chaitanya Chavan"/>
    <s v="AM/NS Ports Hazira"/>
    <s v="Onroll"/>
    <s v="M-7"/>
    <n v="7"/>
    <m/>
    <s v="M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Mumbai"/>
    <d v="1980-01-31T00:00:00"/>
    <s v="43.07"/>
    <d v="2011-11-14T00:00:00"/>
    <d v="2038-01-31T00:00:00"/>
    <m/>
    <d v="2038-01-31T00:00:00"/>
    <n v="5247"/>
    <s v=""/>
    <s v=""/>
    <s v=""/>
    <s v="11.10"/>
    <s v="11.10"/>
    <s v="70494633"/>
    <s v="Finance &amp; Accounts"/>
    <s v="304267"/>
    <s v="New Acquisition"/>
    <s v="AMNS PARADIP PORT"/>
    <s v=""/>
    <s v=""/>
    <s v="7404MUMB"/>
    <s v="20000870"/>
    <s v="Balajee M"/>
    <s v="No"/>
    <s v="chaitanya.chavan@amns.in"/>
    <s v="9930134105"/>
    <s v="1026797"/>
    <s v="Manjit Shah"/>
    <s v="Anil Matoo"/>
    <n v="0"/>
    <s v="Manjit Shah"/>
    <n v="0"/>
  </r>
  <r>
    <n v="5918"/>
    <n v="20058199"/>
    <s v="Rabindra Samal"/>
    <s v="AM/NS Ports Hazira"/>
    <s v="Onroll"/>
    <s v="M-5"/>
    <n v="5"/>
    <m/>
    <s v="MM"/>
    <s v="M"/>
    <s v="Corporate"/>
    <n v="1"/>
    <s v="7409"/>
    <x v="16"/>
    <s v="03.01"/>
    <s v="Nilesh Likhite"/>
    <s v="Dilip Oommen"/>
    <n v="1"/>
    <s v="CEO Office"/>
    <s v="Internal Audit"/>
    <s v="03"/>
    <s v="Sr. Lead Internal Audit "/>
    <m/>
    <s v="Internal Audit"/>
    <s v=""/>
    <s v=""/>
    <s v="Non Technical Support"/>
    <s v="Operations"/>
    <s v="Operations"/>
    <s v="72103001"/>
    <s v="Operations"/>
    <s v="Mumbai"/>
    <d v="1973-03-12T00:00:00"/>
    <s v="50.06"/>
    <d v="2015-01-27T00:00:00"/>
    <d v="2031-03-31T00:00:00"/>
    <m/>
    <d v="2031-03-31T00:00:00"/>
    <n v="2749"/>
    <s v=""/>
    <s v=""/>
    <s v=""/>
    <s v="08.07"/>
    <s v="08.07"/>
    <s v="00051199"/>
    <s v="Internal Audit"/>
    <s v="304268"/>
    <s v="New Acquisition"/>
    <s v="AMNS PARADIP PORT"/>
    <s v=""/>
    <s v=""/>
    <s v="7409MUMB"/>
    <s v="20055486"/>
    <s v="Nilesh Likhite"/>
    <s v="No"/>
    <s v="rabindra.samal@amns.in"/>
    <s v="9930136590"/>
    <s v="1026798"/>
    <s v="Manjit Shah"/>
    <s v="Anil Matoo"/>
    <n v="0"/>
    <s v="Manjit Shah"/>
    <n v="0"/>
  </r>
  <r>
    <n v="5922"/>
    <n v="20058203"/>
    <s v="Sejalkumar Patel"/>
    <s v="AM/NS Ports Hazira"/>
    <s v="Onroll"/>
    <s v="M-9"/>
    <n v="9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6-02-11T00:00:00"/>
    <s v="37.07"/>
    <d v="2016-06-01T00:00:00"/>
    <d v="2044-02-29T00:00:00"/>
    <m/>
    <d v="2044-02-29T00:00:00"/>
    <n v="7467"/>
    <s v=""/>
    <s v=""/>
    <s v=""/>
    <s v="07.03"/>
    <s v="07.03"/>
    <s v="00051197"/>
    <s v="Finance &amp; Accounts - Ports Hazira"/>
    <s v="304272"/>
    <s v="New Acquisition"/>
    <s v="AMNS PARADIP PORT"/>
    <s v=""/>
    <s v=""/>
    <s v="7404HAZI"/>
    <s v="20058184"/>
    <s v="Rama Barik"/>
    <s v="No"/>
    <s v="sejalkumar.patel@amns.in"/>
    <s v="9879102874"/>
    <s v="1026804"/>
    <s v="Manjit Shah"/>
    <s v="Anil Matoo"/>
    <n v="0"/>
    <s v="Manjit Shah"/>
    <n v="0"/>
  </r>
  <r>
    <n v="5933"/>
    <n v="20058214"/>
    <s v="Parameswar Biswal"/>
    <s v="AM/NS Ports Hazira"/>
    <s v="Onroll"/>
    <s v="M-9"/>
    <n v="9"/>
    <m/>
    <s v="JM"/>
    <s v="M"/>
    <s v="Hazira"/>
    <n v="1"/>
    <s v="74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Hazira"/>
    <d v="1976-05-12T00:00:00"/>
    <s v="47.04"/>
    <d v="2018-07-02T00:00:00"/>
    <d v="2034-05-31T00:00:00"/>
    <m/>
    <d v="2034-05-31T00:00:00"/>
    <n v="3906"/>
    <s v=""/>
    <s v=""/>
    <s v=""/>
    <s v="05.02"/>
    <s v="05.02"/>
    <s v="00051197"/>
    <s v="Finance &amp; Accounts - Ports Hazira"/>
    <s v="304283"/>
    <s v="New Acquisition"/>
    <s v="AMNS PARADIP PORT"/>
    <s v=""/>
    <s v=""/>
    <s v="7400HAZI"/>
    <s v="20058184"/>
    <s v="Rama Barik"/>
    <s v="No"/>
    <s v="parameswar.biswal@amns.in"/>
    <s v="9925246124"/>
    <s v="1026836"/>
    <s v="Manjit Shah"/>
    <s v="Anil Matoo"/>
    <n v="0"/>
    <s v="Manjit Shah"/>
    <n v="0"/>
  </r>
  <r>
    <n v="5944"/>
    <n v="20058225"/>
    <s v="Amita Rajubhai Patel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6-07-28T00:00:00"/>
    <s v="37.01"/>
    <d v="2019-09-02T00:00:00"/>
    <d v="2044-07-31T00:00:00"/>
    <m/>
    <d v="2044-07-31T00:00:00"/>
    <n v="7620"/>
    <s v=""/>
    <s v=""/>
    <s v=""/>
    <s v="04.00"/>
    <s v="04.00"/>
    <s v="00051197"/>
    <s v="Finance &amp; Accounts - Ports Hazira"/>
    <s v="304294"/>
    <s v="New Acquisition"/>
    <s v="AMNS PARADIP PORT"/>
    <s v=""/>
    <s v=""/>
    <s v="7404HAZI"/>
    <s v="20016107"/>
    <s v="Kalpesh Thathagar"/>
    <s v="No"/>
    <s v="amita.patel@amns.in"/>
    <s v="9879203848"/>
    <s v="1026856"/>
    <s v="Manjit Shah"/>
    <s v="Anil Matoo"/>
    <n v="0"/>
    <s v="Manjit Shah"/>
    <n v="0"/>
  </r>
  <r>
    <n v="5945"/>
    <n v="20058226"/>
    <s v="Kalpana Dinesh Patel"/>
    <s v="AM/NS Ports Hazira"/>
    <s v="Onroll"/>
    <s v="M-9"/>
    <n v="9"/>
    <m/>
    <s v="J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1-05-09T00:00:00"/>
    <s v="42.04"/>
    <d v="2019-09-02T00:00:00"/>
    <d v="2039-05-31T00:00:00"/>
    <m/>
    <d v="2039-05-31T00:00:00"/>
    <n v="5732"/>
    <s v=""/>
    <s v=""/>
    <s v=""/>
    <s v="04.00"/>
    <s v="04.00"/>
    <s v="00051196"/>
    <s v="Procurement - Ports Hazira"/>
    <s v="304295"/>
    <s v="New Acquisition"/>
    <s v="AMNS PARADIP PORT"/>
    <s v=""/>
    <s v=""/>
    <s v="7414HAZI"/>
    <s v="20058183"/>
    <s v="Pranabendra Barman"/>
    <s v="No"/>
    <s v="kalpana.patel1@amns.in"/>
    <s v="9925245362"/>
    <s v="1026858"/>
    <s v="Manjit Shah"/>
    <s v="Anil Matoo"/>
    <n v="0"/>
    <s v="Manjit Shah"/>
    <n v="0"/>
  </r>
  <r>
    <n v="5946"/>
    <n v="20058227"/>
    <s v="Rucha Shukla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1-02-26T00:00:00"/>
    <s v="42.06"/>
    <d v="2019-09-02T00:00:00"/>
    <d v="2039-02-28T00:00:00"/>
    <m/>
    <d v="2039-02-28T00:00:00"/>
    <n v="5640"/>
    <s v=""/>
    <s v=""/>
    <s v=""/>
    <s v="04.00"/>
    <s v="04.00"/>
    <s v="00051809"/>
    <s v="Stack Yard"/>
    <s v="304296"/>
    <s v="New Acquisition"/>
    <s v="AMNS PARADIP PORT"/>
    <s v=""/>
    <s v=""/>
    <s v="7404HAZI"/>
    <s v="20058182"/>
    <s v="Santosh Bhatt"/>
    <s v="No"/>
    <s v="rucha.shukla@amns.in"/>
    <s v="9909902377"/>
    <s v="1026860"/>
    <s v="Manjit Shah"/>
    <s v="Anil Matoo"/>
    <n v="0"/>
    <s v="Manjit Shah"/>
    <n v="0"/>
  </r>
  <r>
    <n v="5947"/>
    <n v="20058228"/>
    <s v="Hetal Pareshbhai Lad"/>
    <s v="AM/NS Ports Hazira"/>
    <s v="Onroll"/>
    <s v="M-10"/>
    <n v="10"/>
    <m/>
    <s v="J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85-12-31T00:00:00"/>
    <s v="37.08"/>
    <d v="2019-09-02T00:00:00"/>
    <d v="2043-12-31T00:00:00"/>
    <m/>
    <d v="2043-12-31T00:00:00"/>
    <n v="7407"/>
    <s v=""/>
    <s v=""/>
    <s v=""/>
    <s v="04.00"/>
    <s v="04.00"/>
    <s v="00051196"/>
    <s v="Procurement - Ports Hazira"/>
    <s v="304297"/>
    <s v="New Acquisition"/>
    <s v="AMNS PARADIP PORT"/>
    <s v=""/>
    <s v=""/>
    <s v="7414HAZI"/>
    <s v="20058183"/>
    <s v="Pranabendra Barman"/>
    <s v="No"/>
    <s v="hetal.lad@amns.in"/>
    <s v="9925240156"/>
    <s v="1026861"/>
    <s v="Manjit Shah"/>
    <s v="Anil Matoo"/>
    <n v="0"/>
    <s v="Manjit Shah"/>
    <n v="0"/>
  </r>
  <r>
    <n v="5948"/>
    <n v="20058229"/>
    <s v="Madhvi Gangani"/>
    <s v="AM/NS Ports Hazira"/>
    <s v="Onroll"/>
    <s v="M-10"/>
    <n v="10"/>
    <m/>
    <s v="JM"/>
    <s v="F"/>
    <s v="Hazira"/>
    <n v="1"/>
    <s v="74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Hazira"/>
    <d v="1991-11-08T00:00:00"/>
    <s v="31.10"/>
    <d v="2019-09-02T00:00:00"/>
    <d v="2049-11-30T00:00:00"/>
    <m/>
    <d v="2049-11-30T00:00:00"/>
    <n v="9568"/>
    <s v=""/>
    <s v=""/>
    <s v=""/>
    <s v="04.00"/>
    <s v="04.00"/>
    <s v="00051197"/>
    <s v="Finance &amp; Accounts - Ports Hazira"/>
    <s v="304298"/>
    <s v="New Acquisition"/>
    <s v="AMNS PARADIP PORT"/>
    <s v=""/>
    <s v=""/>
    <s v="7400HAZI"/>
    <s v="20058184"/>
    <s v="Rama Barik"/>
    <s v="No"/>
    <s v="madhvi.gangani@amns.in"/>
    <s v="9925240307"/>
    <s v="1026862"/>
    <s v="Manjit Shah"/>
    <s v="Anil Matoo"/>
    <n v="0"/>
    <s v="Manjit Shah"/>
    <n v="0"/>
  </r>
  <r>
    <n v="5949"/>
    <n v="20058230"/>
    <s v="Preeti Ray"/>
    <s v="AM/NS Ports Hazira"/>
    <s v="Onroll"/>
    <s v="M-10"/>
    <n v="10"/>
    <m/>
    <s v="J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92-05-26T00:00:00"/>
    <s v="31.03"/>
    <d v="2019-09-02T00:00:00"/>
    <d v="2050-05-31T00:00:00"/>
    <m/>
    <d v="2050-05-31T00:00:00"/>
    <n v="9750"/>
    <s v=""/>
    <s v=""/>
    <s v=""/>
    <s v="04.00"/>
    <s v="04.00"/>
    <s v="00051196"/>
    <s v="Procurement - Ports Hazira"/>
    <s v="304299"/>
    <s v="New Acquisition"/>
    <s v="AMNS PARADIP PORT"/>
    <s v=""/>
    <s v=""/>
    <s v="7414HAZI"/>
    <s v="20058183"/>
    <s v="Pranabendra Barman"/>
    <s v="No"/>
    <s v="preeti.ray@amns.in"/>
    <s v="9687634295"/>
    <s v="1026863"/>
    <s v="Manjit Shah"/>
    <s v="Anil Matoo"/>
    <n v="0"/>
    <s v="Manjit Shah"/>
    <n v="0"/>
  </r>
  <r>
    <n v="5950"/>
    <n v="20058231"/>
    <s v="Bhumika Patel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91-05-29T00:00:00"/>
    <s v="32.03"/>
    <d v="2019-09-02T00:00:00"/>
    <d v="2049-05-31T00:00:00"/>
    <m/>
    <d v="2049-05-31T00:00:00"/>
    <n v="9385"/>
    <s v=""/>
    <s v=""/>
    <s v=""/>
    <s v="04.00"/>
    <s v="04.00"/>
    <s v="00051197"/>
    <s v="Finance &amp; Accounts - Ports Hazira"/>
    <s v="304300"/>
    <s v="New Acquisition"/>
    <s v="AMNS PARADIP PORT"/>
    <s v=""/>
    <s v=""/>
    <s v="7404HAZI"/>
    <s v="20016107"/>
    <s v="Kalpesh Thathagar"/>
    <s v="No"/>
    <s v="bhumika.patel1@amns.in"/>
    <s v="9879109021"/>
    <s v="1026864"/>
    <s v="Manjit Shah"/>
    <s v="Anil Matoo"/>
    <n v="0"/>
    <s v="Manjit Shah"/>
    <n v="0"/>
  </r>
  <r>
    <n v="5955"/>
    <n v="20058237"/>
    <s v="Jaykumar Patel"/>
    <s v="AM/NS Ports Hazira"/>
    <s v="Onroll"/>
    <s v="M-10"/>
    <n v="10"/>
    <m/>
    <s v="JM"/>
    <s v="M"/>
    <s v="Hazira"/>
    <n v="1"/>
    <s v="7400"/>
    <x v="26"/>
    <s v="31.03"/>
    <s v="Hrishikesh Kamat"/>
    <s v="Hrishikesh Kamat"/>
    <n v="7"/>
    <s v="Procurement"/>
    <s v="Procurement"/>
    <s v="31"/>
    <m/>
    <m/>
    <s v="Commercial"/>
    <s v=""/>
    <s v=""/>
    <s v="Non Technical Support"/>
    <s v="Operations"/>
    <s v="Operations"/>
    <s v="72103001"/>
    <s v="Operations"/>
    <s v="Hazira"/>
    <d v="1990-11-24T00:00:00"/>
    <s v="32.09"/>
    <d v="2020-01-02T00:00:00"/>
    <d v="2048-11-30T00:00:00"/>
    <m/>
    <d v="2048-11-30T00:00:00"/>
    <n v="9203"/>
    <s v=""/>
    <s v=""/>
    <s v=""/>
    <s v="03.08"/>
    <s v="03.08"/>
    <s v="00051197"/>
    <s v="Finance &amp; Accounts - Ports Hazira"/>
    <s v="304306"/>
    <s v="New Acquisition"/>
    <s v="AMNS PARADIP PORT"/>
    <s v=""/>
    <s v=""/>
    <s v="7400HAZI"/>
    <s v="20058184"/>
    <s v="Rama Barik"/>
    <s v="No"/>
    <s v="jaykumar.patel3@amns.in"/>
    <s v="9925240972"/>
    <s v="1026870"/>
    <s v="Manjit Shah"/>
    <s v="Anil Matoo"/>
    <n v="0"/>
    <s v="Manjit Shah"/>
    <n v="0"/>
  </r>
  <r>
    <n v="5956"/>
    <n v="20058238"/>
    <s v="Prashant Naresh Gandhi"/>
    <s v="AM/NS Ports Hazira"/>
    <s v="Onroll"/>
    <s v="M-10"/>
    <n v="10"/>
    <m/>
    <s v="JM"/>
    <s v="M"/>
    <s v="Hazira"/>
    <n v="1"/>
    <s v="7407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85-07-20T00:00:00"/>
    <s v="38.02"/>
    <d v="2020-01-02T00:00:00"/>
    <d v="2043-07-31T00:00:00"/>
    <m/>
    <d v="2043-07-31T00:00:00"/>
    <n v="7254"/>
    <s v=""/>
    <s v=""/>
    <s v=""/>
    <s v="03.08"/>
    <s v="03.08"/>
    <s v="00051198"/>
    <s v="Human Resources"/>
    <s v="304307"/>
    <s v="New Acquisition"/>
    <s v="AMNS PARADIP PORT"/>
    <s v=""/>
    <s v=""/>
    <s v="7407HAZI"/>
    <s v="20058248"/>
    <s v="Mehulkumar Jariwala"/>
    <s v="No"/>
    <s v="prashant.gandhi@amns.in"/>
    <s v="9925249676"/>
    <s v="1026871"/>
    <s v="Manjit Shah"/>
    <s v="Anil Matoo"/>
    <n v="0"/>
    <s v="Manjit Shah"/>
    <n v="0"/>
  </r>
  <r>
    <n v="5957"/>
    <n v="20058239"/>
    <s v="Pratikkumar Patel"/>
    <s v="AM/NS Ports Hazira"/>
    <s v="Onroll"/>
    <s v="M-10"/>
    <n v="10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7-01-20T00:00:00"/>
    <s v="36.07"/>
    <d v="2020-01-02T00:00:00"/>
    <d v="2045-01-31T00:00:00"/>
    <m/>
    <d v="2045-01-31T00:00:00"/>
    <n v="7804"/>
    <s v=""/>
    <s v=""/>
    <s v=""/>
    <s v="03.08"/>
    <s v="03.08"/>
    <s v="00051197"/>
    <s v="Finance &amp; Accounts - Ports Hazira"/>
    <s v="304308"/>
    <s v="New Acquisition"/>
    <s v="AMNS PARADIP PORT"/>
    <s v=""/>
    <s v=""/>
    <s v="7404HAZI"/>
    <s v="20058184"/>
    <s v="Rama Barik"/>
    <s v="No"/>
    <s v="pratikkumar.patel@amns.in"/>
    <s v="9925249895"/>
    <s v="1042658"/>
    <s v="Manjit Shah"/>
    <s v="Anil Matoo"/>
    <n v="0"/>
    <s v="Manjit Shah"/>
    <n v="0"/>
  </r>
  <r>
    <n v="5961"/>
    <n v="20058243"/>
    <s v="Kitty Mohit Mehta"/>
    <s v="AM/NS Ports Hazira"/>
    <s v="Onroll"/>
    <s v="M-10"/>
    <n v="10"/>
    <m/>
    <s v="JM"/>
    <s v="F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6-11-18T00:00:00"/>
    <s v="36.10"/>
    <d v="2020-10-05T00:00:00"/>
    <d v="2044-11-30T00:00:00"/>
    <m/>
    <d v="2044-11-30T00:00:00"/>
    <n v="7742"/>
    <s v=""/>
    <s v=""/>
    <s v=""/>
    <s v="02.11"/>
    <s v="02.11"/>
    <s v="00051197"/>
    <s v="Finance &amp; Accounts - Ports Hazira"/>
    <s v="304312"/>
    <s v="New Acquisition"/>
    <s v="AMNS PARADIP PORT"/>
    <s v=""/>
    <s v=""/>
    <s v="7404HAZI"/>
    <s v="20058184"/>
    <s v="Rama Barik"/>
    <s v="No"/>
    <s v="kitty.mehta@amns.in"/>
    <s v="9879108791"/>
    <s v="1026876"/>
    <s v="Manjit Shah"/>
    <s v="Anil Matoo"/>
    <n v="0"/>
    <s v="Manjit Shah"/>
    <n v="0"/>
  </r>
  <r>
    <n v="5963"/>
    <n v="20058245"/>
    <s v="Suvarna Wakhare"/>
    <s v="AM/NS Ports Hazira"/>
    <s v="Onroll"/>
    <s v="M-7"/>
    <n v="7"/>
    <m/>
    <s v="MM"/>
    <s v="F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79-12-27T00:00:00"/>
    <s v="43.08"/>
    <d v="2021-01-02T00:00:00"/>
    <d v="2037-12-31T00:00:00"/>
    <m/>
    <d v="2037-12-31T00:00:00"/>
    <n v="5216"/>
    <s v=""/>
    <s v=""/>
    <s v=""/>
    <s v="02.08"/>
    <s v="02.08"/>
    <s v="00051196"/>
    <s v="Procurement - Ports Hazira"/>
    <s v="304314"/>
    <s v="New Acquisition"/>
    <s v="AMNS PARADIP PORT"/>
    <s v=""/>
    <s v=""/>
    <s v="7414HAZI"/>
    <s v="20000201"/>
    <s v="Manish Bakriwala"/>
    <s v="No"/>
    <s v="suvarna.wakhare@amns.in"/>
    <s v="9879202829"/>
    <s v="1026879"/>
    <s v="Manjit Shah"/>
    <s v="Anil Matoo"/>
    <n v="0"/>
    <s v="Manjit Shah"/>
    <n v="0"/>
  </r>
  <r>
    <n v="5964"/>
    <n v="20058246"/>
    <s v="Murugesan Konar"/>
    <s v="AM/NS Ports Hazira"/>
    <s v="Onroll"/>
    <s v="M-9"/>
    <n v="9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80-02-11T00:00:00"/>
    <s v="43.07"/>
    <d v="2020-12-28T00:00:00"/>
    <d v="2038-02-28T00:00:00"/>
    <m/>
    <d v="2038-02-28T00:00:00"/>
    <n v="5275"/>
    <s v=""/>
    <s v=""/>
    <s v=""/>
    <s v="02.08"/>
    <s v="02.08"/>
    <s v="00051197"/>
    <s v="Finance &amp; Accounts - Ports Hazira"/>
    <s v="304315"/>
    <s v="New Acquisition"/>
    <s v="AMNS PARADIP PORT"/>
    <s v=""/>
    <s v=""/>
    <s v="7404HAZI"/>
    <s v="20058184"/>
    <s v="Rama Barik"/>
    <s v="No"/>
    <s v="murugesan.konar@amns.in"/>
    <s v="7069756355"/>
    <s v="1026881"/>
    <s v="Manjit Shah"/>
    <s v="Anil Matoo"/>
    <n v="0"/>
    <s v="Manjit Shah"/>
    <n v="0"/>
  </r>
  <r>
    <n v="5965"/>
    <n v="20058247"/>
    <s v="Hemant Bhutra"/>
    <s v="AM/NS Ports Hazira"/>
    <s v="Onroll"/>
    <s v="M-8"/>
    <n v="8"/>
    <m/>
    <s v="JM"/>
    <s v="M"/>
    <s v="Hazira"/>
    <n v="1"/>
    <s v="7404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Hazira"/>
    <d v="1995-04-09T00:00:00"/>
    <s v="28.05"/>
    <d v="2021-07-05T00:00:00"/>
    <d v="2053-04-30T00:00:00"/>
    <m/>
    <d v="2053-04-30T00:00:00"/>
    <n v="10815"/>
    <s v=""/>
    <s v=""/>
    <s v=""/>
    <s v="02.02"/>
    <s v="02.02"/>
    <s v="00051197"/>
    <s v="Finance &amp; Accounts - Ports Hazira"/>
    <s v="304316"/>
    <s v="New Acquisition"/>
    <s v="AMNS PARADIP PORT"/>
    <s v=""/>
    <s v=""/>
    <s v="7404HAZI"/>
    <s v="20058184"/>
    <s v="Rama Barik"/>
    <s v="No"/>
    <s v="hemant.bhutra@amns.in"/>
    <s v="9879106558"/>
    <s v="1025167"/>
    <s v="Manjit Shah"/>
    <s v="Anil Matoo"/>
    <n v="0"/>
    <s v="Manjit Shah"/>
    <n v="0"/>
  </r>
  <r>
    <n v="5966"/>
    <n v="20058248"/>
    <s v="Mehulkumar Jariwala"/>
    <s v="AM/NS Ports Hazira"/>
    <s v="Onroll"/>
    <s v="M-7"/>
    <n v="7"/>
    <m/>
    <s v="MM"/>
    <s v="M"/>
    <s v="Hazira"/>
    <n v="1"/>
    <s v="7407"/>
    <x v="1"/>
    <s v="22.06"/>
    <s v="Anil Matoo"/>
    <s v="Ashutosh Telang"/>
    <n v="6"/>
    <s v="HR &amp; Administration"/>
    <s v="Human Resources"/>
    <s v="22"/>
    <m/>
    <m/>
    <s v="Human Resources"/>
    <s v=""/>
    <s v=""/>
    <s v="Non Technical Support"/>
    <s v="Operations"/>
    <s v="Operations"/>
    <s v="72103001"/>
    <s v="Operations"/>
    <s v="Hazira"/>
    <d v="1981-11-19T00:00:00"/>
    <s v="41.09"/>
    <d v="2021-09-01T00:00:00"/>
    <d v="2039-11-30T00:00:00"/>
    <m/>
    <d v="2039-11-30T00:00:00"/>
    <n v="5915"/>
    <s v=""/>
    <s v=""/>
    <s v=""/>
    <s v="02.00"/>
    <s v="02.00"/>
    <s v="00051198"/>
    <s v="Human Resources"/>
    <s v="304317"/>
    <s v="New Acquisition"/>
    <s v="AMNS PARADIP PORT"/>
    <s v=""/>
    <s v=""/>
    <s v="7407HAZI"/>
    <s v="20058139"/>
    <s v="Sunil Tiwari"/>
    <s v="No"/>
    <s v="mehulkumar.jariwala@amns.in"/>
    <s v="9913146802"/>
    <s v="1026885"/>
    <s v="Manjit Shah"/>
    <s v="Anil Matoo"/>
    <n v="0"/>
    <s v="Manjit Shah"/>
    <n v="0"/>
  </r>
  <r>
    <n v="5969"/>
    <n v="20058251"/>
    <s v="Abhishek Bajpai"/>
    <s v="AM/NS Ports Hazira"/>
    <s v="Onroll"/>
    <s v="M-9"/>
    <n v="9"/>
    <m/>
    <s v="JM"/>
    <s v="M"/>
    <s v="Hazira"/>
    <n v="1"/>
    <s v="7414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Hazira"/>
    <d v="1999-02-12T00:00:00"/>
    <s v="24.07"/>
    <d v="2022-05-16T00:00:00"/>
    <d v="2057-02-28T00:00:00"/>
    <m/>
    <d v="2057-02-28T00:00:00"/>
    <n v="12215"/>
    <s v=""/>
    <s v=""/>
    <s v=""/>
    <s v="01.04"/>
    <s v="01.04"/>
    <s v="00051196"/>
    <s v="Procurement - Ports Hazira"/>
    <s v="304320"/>
    <s v="New Acquisition"/>
    <s v="AMNS PARADIP PORT"/>
    <s v=""/>
    <s v=""/>
    <s v="7414HAZI"/>
    <s v="20058183"/>
    <s v="Pranabendra Barman"/>
    <s v="No"/>
    <s v="abhishek.bajpai@amns.in"/>
    <s v="9925246112"/>
    <s v="1026888"/>
    <s v="Manjit Shah"/>
    <s v="Anil Matoo"/>
    <n v="0"/>
    <s v="Manjit Shah"/>
    <n v="0"/>
  </r>
  <r>
    <n v="5985"/>
    <n v="20058270"/>
    <s v="Anant Ghag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5-06-01T00:00:00"/>
    <s v="58.03"/>
    <d v="1988-05-10T00:00:00"/>
    <d v="2025-05-31T00:00:00"/>
    <m/>
    <d v="2025-05-31T00:00:00"/>
    <n v="619"/>
    <s v=""/>
    <s v=""/>
    <s v=""/>
    <s v="35.04"/>
    <s v="35.04"/>
    <s v="00051220"/>
    <s v="Administration &amp; Security"/>
    <s v="304478"/>
    <s v="New Acquisition"/>
    <s v="Khopoli staff"/>
    <s v="0000290006"/>
    <s v="FAC-MIS_DEPT"/>
    <s v="1111KHOP"/>
    <s v="20057887"/>
    <s v="Kiran Vaidya"/>
    <s v="No"/>
    <s v="anant.ghag@amns.in"/>
    <s v="9272434256"/>
    <s v="1042606"/>
    <s v="Pritam Debbarma"/>
    <s v="Anil Matoo"/>
    <s v="-"/>
    <s v="Manjit Shah"/>
    <s v="-"/>
  </r>
  <r>
    <n v="5987"/>
    <n v="20058272"/>
    <s v="Nisha Choudhari"/>
    <s v="AMNS Khopoli"/>
    <s v="Onroll"/>
    <s v="New Acquisition"/>
    <n v="17"/>
    <m/>
    <s v="NA"/>
    <s v="F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3-08-20T00:00:00"/>
    <s v="60.00"/>
    <d v="1990-07-01T00:00:00"/>
    <d v="2023-08-31T00:00:00"/>
    <m/>
    <d v="2023-08-31T00:00:00"/>
    <n v="-20"/>
    <s v=""/>
    <s v=""/>
    <s v=""/>
    <s v="33.02"/>
    <s v="33.02"/>
    <s v="00051220"/>
    <s v="Administration &amp; Security"/>
    <s v="304480"/>
    <s v="New Acquisition"/>
    <s v="Khopoli staff"/>
    <s v="0000290002"/>
    <s v="FAC-PERSONAL &amp; ADM"/>
    <s v="1111KHOP"/>
    <s v="20057887"/>
    <s v="Kiran Vaidya"/>
    <s v="No"/>
    <s v="nisha.chowdhary@amns.in"/>
    <s v="8411970485"/>
    <s v="1021938"/>
    <s v="Pritam Debbarma"/>
    <s v="Anil Matoo"/>
    <s v="-"/>
    <s v="Manjit Shah"/>
    <s v="-"/>
  </r>
  <r>
    <n v="5988"/>
    <n v="20058273"/>
    <s v="Arun Deshmukh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5-02-28T00:00:00"/>
    <s v="58.06"/>
    <d v="1992-11-01T00:00:00"/>
    <d v="2025-02-28T00:00:00"/>
    <m/>
    <d v="2025-02-28T00:00:00"/>
    <n v="527"/>
    <s v=""/>
    <s v=""/>
    <s v=""/>
    <s v="30.10"/>
    <s v="30.10"/>
    <s v="00051389"/>
    <s v="Stores - PRC"/>
    <s v="304481"/>
    <s v="New Acquisition"/>
    <s v="Khopoli staff"/>
    <s v="0000409007"/>
    <s v="PRC-STORES_DEPT"/>
    <s v="1111KHOP"/>
    <s v="20058695"/>
    <s v="Shrigopal Bhati"/>
    <s v="No"/>
    <s v="arun.deshmukh@amns.in"/>
    <s v="8411970066"/>
    <s v="1021942"/>
    <s v="Pritam Debbarma"/>
    <s v="Anil Matoo"/>
    <s v="-"/>
    <s v="Manjit Shah"/>
    <s v="-"/>
  </r>
  <r>
    <n v="5990"/>
    <n v="20058275"/>
    <s v="Vinayak Lot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7-11-18T00:00:00"/>
    <s v="55.10"/>
    <d v="1992-12-28T00:00:00"/>
    <d v="2027-11-30T00:00:00"/>
    <m/>
    <d v="2027-11-30T00:00:00"/>
    <n v="1532"/>
    <s v=""/>
    <s v=""/>
    <s v=""/>
    <s v="30.08"/>
    <s v="30.08"/>
    <s v="00051339"/>
    <s v="Excise"/>
    <s v="304483"/>
    <s v="New Acquisition"/>
    <s v="Khopoli staff"/>
    <s v="0000290001"/>
    <s v="FAC-EXCISE_DEPT"/>
    <s v="1111KHOP"/>
    <s v="40002639"/>
    <s v="Balveer Bhandari"/>
    <s v="No"/>
    <s v="vinayak.lote@amns.in"/>
    <s v="9271446989"/>
    <s v="1021948"/>
    <s v="Pritam Debbarma"/>
    <s v="Anil Matoo"/>
    <s v="-"/>
    <s v="Manjit Shah"/>
    <s v="-"/>
  </r>
  <r>
    <n v="5992"/>
    <n v="20058277"/>
    <s v="Victor Pushparaj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7-10-18T00:00:00"/>
    <s v="55.11"/>
    <d v="1993-08-28T00:00:00"/>
    <d v="2027-10-31T00:00:00"/>
    <m/>
    <d v="2027-10-31T00:00:00"/>
    <n v="1502"/>
    <s v=""/>
    <s v=""/>
    <s v=""/>
    <s v="30.00"/>
    <s v="30.00"/>
    <s v="00051278"/>
    <s v="Stores &amp; Warehouse"/>
    <s v="304485"/>
    <s v="New Acquisition"/>
    <s v="Khopoli staff"/>
    <s v="0000309007"/>
    <s v="CGL-STORES_DEPT"/>
    <s v="1111KHOP"/>
    <s v="20058695"/>
    <s v="Shrigopal Bhati"/>
    <s v="No"/>
    <s v="pvictor.syril@amns.in"/>
    <s v="8411970681"/>
    <s v="1021956"/>
    <s v="Pritam Debbarma"/>
    <s v="Anil Matoo"/>
    <s v="-"/>
    <s v="Manjit Shah"/>
    <s v="-"/>
  </r>
  <r>
    <n v="5994"/>
    <n v="20058279"/>
    <s v="Satish Nair"/>
    <s v="AMNS Khopoli"/>
    <s v="Onroll"/>
    <s v="New Acquisition"/>
    <n v="17"/>
    <m/>
    <s v="NA"/>
    <s v="M"/>
    <s v="Khopoli"/>
    <n v="9"/>
    <n v="1126"/>
    <x v="7"/>
    <s v="34.01"/>
    <s v="Hrishikesh Kamat"/>
    <s v="Hrishikesh Kamat"/>
    <n v="7"/>
    <s v="Procurement"/>
    <s v="Stores &amp; Warehouse"/>
    <s v="34"/>
    <m/>
    <m/>
    <s v="Stores &amp; Warehouse"/>
    <m/>
    <m/>
    <s v="Non Technical Support"/>
    <s v="Operations"/>
    <s v="Operations"/>
    <s v="72103001"/>
    <s v="Operations"/>
    <s v="Khopoli"/>
    <d v="1971-02-09T00:00:00"/>
    <s v="52.07"/>
    <d v="1994-05-04T00:00:00"/>
    <d v="2031-02-28T00:00:00"/>
    <m/>
    <d v="2031-02-28T00:00:00"/>
    <n v="2718"/>
    <s v=""/>
    <s v=""/>
    <s v=""/>
    <s v="29.04"/>
    <s v="29.04"/>
    <s v="00051351"/>
    <s v="Logistics &amp; Stores"/>
    <s v="304487"/>
    <s v="New Acquisition"/>
    <s v="Khopoli staff"/>
    <s v="0000309007"/>
    <s v="CGL-STORES_DEPT"/>
    <s v="1111KHOP"/>
    <s v="20058515"/>
    <s v="Madhusudan Murdhankar"/>
    <s v="No"/>
    <s v="satish.nair@amns.in"/>
    <s v="8411970406"/>
    <s v="1021965"/>
    <s v="Pritam Debbarma"/>
    <s v="Anil Matoo"/>
    <s v="-"/>
    <s v="Manjit Shah"/>
    <s v="-"/>
  </r>
  <r>
    <n v="5997"/>
    <n v="20058283"/>
    <s v="Dattatraya Shiralkar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2-04-20T00:00:00"/>
    <s v="51.05"/>
    <d v="1995-05-15T00:00:00"/>
    <d v="2032-04-30T00:00:00"/>
    <m/>
    <d v="2032-04-30T00:00:00"/>
    <n v="3145"/>
    <s v=""/>
    <s v=""/>
    <s v=""/>
    <s v="28.04"/>
    <s v="28.04"/>
    <s v="00051329"/>
    <s v="Finance &amp; Accounts"/>
    <s v="304491"/>
    <s v="New Acquisition"/>
    <s v="Khopoli staff"/>
    <s v="0000290004"/>
    <s v="FAC-ACCOUTS_DEPT"/>
    <s v="1111KHOP"/>
    <s v="20058805"/>
    <s v="Sunil Sharma"/>
    <s v="No"/>
    <s v="dattatray.shiralkar@amns.in"/>
    <s v="9421161008"/>
    <s v="1021988"/>
    <s v="Pritam Debbarma"/>
    <s v="Anil Matoo"/>
    <s v="-"/>
    <s v="Manjit Shah"/>
    <s v="-"/>
  </r>
  <r>
    <n v="5999"/>
    <n v="20058286"/>
    <s v="Sanjay Sawant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4-10-04T00:00:00"/>
    <s v="58.11"/>
    <d v="1996-04-01T00:00:00"/>
    <d v="2024-10-31T00:00:00"/>
    <m/>
    <d v="2024-10-31T00:00:00"/>
    <n v="407"/>
    <s v=""/>
    <s v=""/>
    <s v=""/>
    <s v="27.05"/>
    <s v="27.05"/>
    <s v="00051329"/>
    <s v="Finance &amp; Accounts"/>
    <s v="304494"/>
    <s v="New Acquisition"/>
    <s v="Khopoli staff"/>
    <s v="0000290004"/>
    <s v="FAC-ACCOUTS_DEPT"/>
    <s v="1111KHOP"/>
    <s v="20058805"/>
    <s v="Sunil Sharma"/>
    <s v="No"/>
    <s v="sanjay.sawant@amns.in"/>
    <s v="8411970624"/>
    <s v="1022005"/>
    <s v="Pritam Debbarma"/>
    <s v="Anil Matoo"/>
    <s v="-"/>
    <s v="Manjit Shah"/>
    <s v="-"/>
  </r>
  <r>
    <n v="6000"/>
    <n v="20058287"/>
    <s v="Madhura Sawant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4-06-01T00:00:00"/>
    <s v="49.03"/>
    <d v="1996-06-19T00:00:00"/>
    <d v="2034-05-31T00:00:00"/>
    <m/>
    <d v="2034-05-31T00:00:00"/>
    <n v="3906"/>
    <s v=""/>
    <s v=""/>
    <s v=""/>
    <s v="27.03"/>
    <s v="27.03"/>
    <s v="00051339"/>
    <s v="Excise"/>
    <s v="304495"/>
    <s v="New Acquisition"/>
    <s v="Khopoli staff"/>
    <s v="0000290001"/>
    <s v="FAC-EXCISE_DEPT"/>
    <s v="1111KHOP"/>
    <s v="40002639"/>
    <s v="Balveer Bhandari"/>
    <s v="No"/>
    <s v="madhura.sawant@amns.in"/>
    <s v="9768355274"/>
    <s v="1022010"/>
    <s v="Pritam Debbarma"/>
    <s v="Anil Matoo"/>
    <s v="-"/>
    <s v="Manjit Shah"/>
    <s v="-"/>
  </r>
  <r>
    <n v="6001"/>
    <n v="20058288"/>
    <s v="Manisha Desai"/>
    <s v="AMNS Khopoli"/>
    <s v="Onroll"/>
    <s v="New Acquisition"/>
    <n v="17"/>
    <m/>
    <s v="NA"/>
    <s v="F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74-04-13T00:00:00"/>
    <s v="49.05"/>
    <d v="1996-07-24T00:00:00"/>
    <d v="2034-04-30T00:00:00"/>
    <m/>
    <d v="2034-04-30T00:00:00"/>
    <n v="3875"/>
    <s v=""/>
    <s v=""/>
    <s v=""/>
    <s v="27.01"/>
    <s v="27.01"/>
    <s v="00051336"/>
    <s v="Industrial Relations"/>
    <s v="304496"/>
    <s v="New Acquisition"/>
    <s v="Khopoli staff"/>
    <s v="0000290002"/>
    <s v="FAC-PERSONAL &amp; ADM"/>
    <s v="1111KHOP"/>
    <s v="20058935"/>
    <s v="Satish Mulay"/>
    <s v="No"/>
    <s v="manisha.desai@amns.in"/>
    <s v="9869363458"/>
    <s v="1022020"/>
    <s v="Pritam Debbarma"/>
    <s v="Anil Matoo"/>
    <n v="0"/>
    <s v="Manjit Shah"/>
    <n v="0"/>
  </r>
  <r>
    <n v="6002"/>
    <n v="20058289"/>
    <s v="Shama Pisat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1-07-20T00:00:00"/>
    <s v="52.02"/>
    <d v="1996-08-28T00:00:00"/>
    <d v="2031-07-31T00:00:00"/>
    <m/>
    <d v="2031-07-31T00:00:00"/>
    <n v="2871"/>
    <s v=""/>
    <s v=""/>
    <s v=""/>
    <s v="27.00"/>
    <s v="27.00"/>
    <s v="00051329"/>
    <s v="Finance &amp; Accounts"/>
    <s v="304497"/>
    <s v="New Acquisition"/>
    <s v="Khopoli staff"/>
    <s v="0000290004"/>
    <s v="FAC-ACCOUTS_DEPT"/>
    <s v="1111KHOP"/>
    <s v="20058805"/>
    <s v="Sunil Sharma"/>
    <s v="No"/>
    <s v="shama.pisat@amns.in"/>
    <s v="9324788359"/>
    <s v="1022028"/>
    <s v="Pritam Debbarma"/>
    <s v="Anil Matoo"/>
    <s v="-"/>
    <s v="Manjit Shah"/>
    <s v="-"/>
  </r>
  <r>
    <n v="6003"/>
    <n v="20058290"/>
    <s v="Abhijit Pinga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3-05-01T00:00:00"/>
    <s v="50.04"/>
    <d v="1997-06-21T00:00:00"/>
    <d v="2033-04-30T00:00:00"/>
    <m/>
    <d v="2033-04-30T00:00:00"/>
    <n v="3510"/>
    <s v=""/>
    <s v=""/>
    <s v=""/>
    <s v="26.03"/>
    <s v="26.03"/>
    <s v="00051278"/>
    <s v="Stores &amp; Warehouse"/>
    <s v="304498"/>
    <s v="New Acquisition"/>
    <s v="Khopoli staff"/>
    <s v="0000309007"/>
    <s v="CGL-STORES_DEPT"/>
    <s v="1111KHOP"/>
    <s v="20058695"/>
    <s v="Shrigopal Bhati"/>
    <s v="No"/>
    <s v="abhijit.pingale@amns.in"/>
    <s v="9423378547"/>
    <s v="1022034"/>
    <s v="Pritam Debbarma"/>
    <s v="Anil Matoo"/>
    <s v="-"/>
    <s v="Manjit Shah"/>
    <s v="-"/>
  </r>
  <r>
    <n v="6005"/>
    <n v="20058292"/>
    <s v="Rajendra Kanase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2-06-02T00:00:00"/>
    <s v="51.03"/>
    <d v="2002-10-12T00:00:00"/>
    <d v="2032-06-30T00:00:00"/>
    <m/>
    <d v="2032-06-30T00:00:00"/>
    <n v="3206"/>
    <s v=""/>
    <s v=""/>
    <s v=""/>
    <s v="20.11"/>
    <s v="20.11"/>
    <s v="00051220"/>
    <s v="Administration &amp; Security"/>
    <s v="304500"/>
    <s v="New Acquisition"/>
    <s v="Khopoli staff"/>
    <s v="0000290006"/>
    <s v="FAC-MIS_DEPT"/>
    <s v="1111KHOP"/>
    <s v="20057887"/>
    <s v="Kiran Vaidya"/>
    <s v="No"/>
    <s v="rajendra.kanase@amns.in"/>
    <s v="8007253791"/>
    <s v="1042608"/>
    <s v="Pritam Debbarma"/>
    <s v="Anil Matoo"/>
    <s v="-"/>
    <s v="Manjit Shah"/>
    <s v="-"/>
  </r>
  <r>
    <n v="6010"/>
    <n v="20058297"/>
    <s v="Susanta Rath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1-01-02T00:00:00"/>
    <s v="52.08"/>
    <d v="2002-08-14T00:00:00"/>
    <d v="2031-01-31T00:00:00"/>
    <m/>
    <d v="2031-01-31T00:00:00"/>
    <n v="2690"/>
    <s v=""/>
    <s v=""/>
    <s v=""/>
    <s v="21.01"/>
    <s v="21.01"/>
    <s v="00051330"/>
    <s v="Accounts - Costing"/>
    <s v="304505"/>
    <s v="New Acquisition"/>
    <s v="Khopoli staff"/>
    <s v="0000290005"/>
    <s v="FAC-COSTING_DEPT"/>
    <s v="1111KHOP"/>
    <s v="0"/>
    <s v=""/>
    <s v="No"/>
    <s v="susanta.rath@amns.in"/>
    <s v="8411970453"/>
    <s v="1022058"/>
    <s v="Pritam Debbarma"/>
    <s v="Anil Matoo"/>
    <s v="-"/>
    <s v="Manjit Shah"/>
    <s v="-"/>
  </r>
  <r>
    <n v="6012"/>
    <n v="20058300"/>
    <s v="Sunita Manurkar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9-09-13T00:00:00"/>
    <s v="44.00"/>
    <d v="2005-04-15T00:00:00"/>
    <d v="2039-09-30T00:00:00"/>
    <m/>
    <d v="2039-09-30T00:00:00"/>
    <n v="5854"/>
    <s v=""/>
    <s v=""/>
    <s v=""/>
    <s v="18.05"/>
    <s v="18.05"/>
    <s v="00051339"/>
    <s v="Excise"/>
    <s v="304508"/>
    <s v="New Acquisition"/>
    <s v="Khopoli staff"/>
    <s v="0000290001"/>
    <s v="FAC-EXCISE_DEPT"/>
    <s v="1111KHOP"/>
    <s v="40002639"/>
    <s v="Balveer Bhandari"/>
    <s v="No"/>
    <s v="sunita.manurkar@amns.in"/>
    <s v="9552698460"/>
    <s v="1042453"/>
    <s v="Pritam Debbarma"/>
    <s v="Anil Matoo"/>
    <s v="-"/>
    <s v="Manjit Shah"/>
    <s v="-"/>
  </r>
  <r>
    <n v="6014"/>
    <n v="20058302"/>
    <s v="Sanjay Thaku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5-07-01T00:00:00"/>
    <s v="48.02"/>
    <d v="2005-11-14T00:00:00"/>
    <d v="2035-06-30T00:00:00"/>
    <m/>
    <d v="2035-06-30T00:00:00"/>
    <n v="4301"/>
    <s v=""/>
    <s v=""/>
    <s v=""/>
    <s v="17.10"/>
    <s v="17.10"/>
    <s v="00051220"/>
    <s v="Administration &amp; Security"/>
    <s v="304510"/>
    <s v="New Acquisition"/>
    <s v="Khopoli staff"/>
    <s v="0000290002"/>
    <s v="FAC-PERSONAL &amp; ADM"/>
    <s v="1111KHOP"/>
    <s v="20057887"/>
    <s v="Kiran Vaidya"/>
    <s v="No"/>
    <s v="sanjay.thakur@amns.in"/>
    <s v="8411970440"/>
    <s v="1022077"/>
    <s v="Pritam Debbarma"/>
    <s v="Anil Matoo"/>
    <s v="-"/>
    <s v="Manjit Shah"/>
    <s v="-"/>
  </r>
  <r>
    <n v="6016"/>
    <n v="20058304"/>
    <s v="Rajesh Kaps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4-03-14T00:00:00"/>
    <s v="49.06"/>
    <d v="2006-02-09T00:00:00"/>
    <d v="2034-03-31T00:00:00"/>
    <m/>
    <d v="2034-03-31T00:00:00"/>
    <n v="3845"/>
    <s v=""/>
    <s v=""/>
    <s v=""/>
    <s v="17.07"/>
    <s v="17.07"/>
    <s v="00051278"/>
    <s v="Stores &amp; Warehouse"/>
    <s v="304512"/>
    <s v="New Acquisition"/>
    <s v="Khopoli staff"/>
    <s v="0000509007"/>
    <s v="CCL-STORES_DEPT"/>
    <s v="1111KHOP"/>
    <s v="20058695"/>
    <s v="Shrigopal Bhati"/>
    <s v="No"/>
    <s v="rajesh.kapse@amns.in"/>
    <s v="9049828180"/>
    <s v="1021920"/>
    <s v="Pritam Debbarma"/>
    <s v="Anil Matoo"/>
    <s v="-"/>
    <s v="Manjit Shah"/>
    <s v="-"/>
  </r>
  <r>
    <n v="6018"/>
    <n v="20058306"/>
    <s v="Shashikumar Panike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7-02-26T00:00:00"/>
    <s v="56.06"/>
    <d v="2007-01-24T00:00:00"/>
    <d v="2027-02-28T00:00:00"/>
    <m/>
    <d v="2027-02-28T00:00:00"/>
    <n v="1257"/>
    <s v=""/>
    <s v=""/>
    <s v=""/>
    <s v="16.07"/>
    <s v="16.07"/>
    <s v="00051220"/>
    <s v="Administration &amp; Security"/>
    <s v="304514"/>
    <s v="New Acquisition"/>
    <s v="Khopoli staff"/>
    <s v="0000290002"/>
    <s v="FAC-PERSONAL &amp; ADM"/>
    <s v="1111KHOP"/>
    <s v="20057887"/>
    <s v="Kiran Vaidya"/>
    <s v="No"/>
    <s v="shashi.m@amns.in"/>
    <s v="8411970677"/>
    <s v="1021931"/>
    <s v="Pritam Debbarma"/>
    <s v="Anil Matoo"/>
    <s v="-"/>
    <s v="Manjit Shah"/>
    <s v="-"/>
  </r>
  <r>
    <n v="6019"/>
    <n v="20058307"/>
    <s v="Jyoti Kajale"/>
    <s v="AMNS Khopoli"/>
    <s v="Onroll"/>
    <s v="New Acquisition"/>
    <n v="17"/>
    <m/>
    <s v="NA"/>
    <s v="F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84-07-07T00:00:00"/>
    <s v="39.02"/>
    <d v="2007-03-05T00:00:00"/>
    <d v="2044-07-31T00:00:00"/>
    <m/>
    <d v="2044-07-31T00:00:00"/>
    <n v="7620"/>
    <s v=""/>
    <s v=""/>
    <s v=""/>
    <s v="16.06"/>
    <s v="16.06"/>
    <s v="00051336"/>
    <s v="Industrial Relations"/>
    <s v="304515"/>
    <s v="New Acquisition"/>
    <s v="Khopoli staff"/>
    <s v="0000290002"/>
    <s v="FAC-PERSONAL &amp; ADM"/>
    <s v="1111KHOP"/>
    <s v="20058935"/>
    <s v="Satish Mulay"/>
    <s v="No"/>
    <s v="jyoti.kajale@amns.in"/>
    <s v="9595361138"/>
    <s v="1021934"/>
    <s v="Pritam Debbarma"/>
    <s v="Anil Matoo"/>
    <n v="0"/>
    <s v="Manjit Shah"/>
    <n v="0"/>
  </r>
  <r>
    <n v="6020"/>
    <n v="20058308"/>
    <s v="Sudhir Thaku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4-06-01T00:00:00"/>
    <s v="49.03"/>
    <d v="2007-04-16T00:00:00"/>
    <d v="2034-05-31T00:00:00"/>
    <m/>
    <d v="2034-05-31T00:00:00"/>
    <n v="3906"/>
    <s v=""/>
    <s v=""/>
    <s v=""/>
    <s v="16.05"/>
    <s v="16.05"/>
    <s v="00051220"/>
    <s v="Administration &amp; Security"/>
    <s v="304516"/>
    <s v="New Acquisition"/>
    <s v="Khopoli staff"/>
    <s v="0000290002"/>
    <s v="FAC-PERSONAL &amp; ADM"/>
    <s v="1111KHOP"/>
    <s v="20057887"/>
    <s v="Kiran Vaidya"/>
    <s v="No"/>
    <s v="sudhir.thakur@amns.in"/>
    <s v="8411970439"/>
    <s v="1021937"/>
    <s v="Pritam Debbarma"/>
    <s v="Anil Matoo"/>
    <s v="-"/>
    <s v="Manjit Shah"/>
    <s v="-"/>
  </r>
  <r>
    <n v="6021"/>
    <n v="20058309"/>
    <s v="Santosh Salvi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63-12-24T00:00:00"/>
    <s v="59.08"/>
    <d v="2007-05-24T00:00:00"/>
    <d v="2023-12-31T00:00:00"/>
    <m/>
    <d v="2023-12-31T00:00:00"/>
    <n v="102"/>
    <s v=""/>
    <s v=""/>
    <s v=""/>
    <s v="16.03"/>
    <s v="16.03"/>
    <s v="00051336"/>
    <s v="Industrial Relations"/>
    <s v="304517"/>
    <s v="New Acquisition"/>
    <s v="Khopoli staff"/>
    <s v="0000290002"/>
    <s v="FAC-PERSONAL &amp; ADM"/>
    <s v="1111KHOP"/>
    <s v="20058935"/>
    <s v="Satish Mulay"/>
    <s v="No"/>
    <s v="santosh.salvi@amns.in"/>
    <s v="8411970840"/>
    <s v="1021941"/>
    <s v="Pritam Debbarma"/>
    <s v="Anil Matoo"/>
    <n v="0"/>
    <s v="Manjit Shah"/>
    <n v="0"/>
  </r>
  <r>
    <n v="6022"/>
    <n v="20058310"/>
    <s v="Amod Parange"/>
    <s v="AMNS Khopoli"/>
    <s v="Onroll"/>
    <s v="New Acquisition"/>
    <n v="17"/>
    <m/>
    <s v="NA"/>
    <s v="M"/>
    <s v="Khopoli"/>
    <n v="9"/>
    <s v="1123"/>
    <x v="12"/>
    <n v="35.02"/>
    <s v="Hrishikesh Kamat"/>
    <s v="Hrishikesh Kamat"/>
    <n v="7"/>
    <s v="Procurement"/>
    <s v="Land Acquisition"/>
    <s v="35"/>
    <m/>
    <m/>
    <s v="Legal / Land"/>
    <s v=""/>
    <s v=""/>
    <s v="Non Technical Support"/>
    <s v="Operations"/>
    <s v="Operations"/>
    <s v="72103001"/>
    <s v="Operations"/>
    <s v="Khopoli"/>
    <d v="1977-03-04T00:00:00"/>
    <s v="46.06"/>
    <d v="2007-06-01T00:00:00"/>
    <d v="2037-03-31T00:00:00"/>
    <m/>
    <d v="2037-03-31T00:00:00"/>
    <n v="4941"/>
    <s v=""/>
    <s v=""/>
    <s v=""/>
    <s v="16.03"/>
    <s v="16.03"/>
    <s v="00051268"/>
    <s v="Land Acquisition"/>
    <s v="304518"/>
    <s v="New Acquisition"/>
    <s v="Khopoli staff"/>
    <s v="0000290002"/>
    <s v="FAC-PERSONAL &amp; ADM"/>
    <s v="1111KHOP"/>
    <s v="0"/>
    <s v=""/>
    <s v="No"/>
    <s v="amod.parange@amns.in"/>
    <s v="8411970561"/>
    <s v="1021953"/>
    <s v="Pritam Debbarma"/>
    <s v="Anil Matoo"/>
    <s v="-"/>
    <s v="Manjit Shah"/>
    <s v="-"/>
  </r>
  <r>
    <n v="6025"/>
    <n v="20058313"/>
    <s v="Sanjivani Patil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1-06-21T00:00:00"/>
    <s v="42.03"/>
    <d v="2007-09-03T00:00:00"/>
    <d v="2041-06-30T00:00:00"/>
    <m/>
    <d v="2041-06-30T00:00:00"/>
    <n v="6493"/>
    <s v=""/>
    <s v=""/>
    <s v=""/>
    <s v="16.00"/>
    <s v="16.00"/>
    <s v="00051329"/>
    <s v="Finance &amp; Accounts"/>
    <s v="304521"/>
    <s v="New Acquisition"/>
    <s v="Khopoli staff"/>
    <s v="0000290004"/>
    <s v="FAC-ACCOUTS_DEPT"/>
    <s v="1111KHOP"/>
    <s v="20058805"/>
    <s v="Sunil Sharma"/>
    <s v="No"/>
    <s v="sanjivani.patil@amns.in"/>
    <s v="9049827523"/>
    <s v="1021962"/>
    <s v="Pritam Debbarma"/>
    <s v="Anil Matoo"/>
    <s v="-"/>
    <s v="Manjit Shah"/>
    <s v="-"/>
  </r>
  <r>
    <n v="6032"/>
    <n v="20058320"/>
    <s v="Bashir Shaikh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5-01-12T00:00:00"/>
    <s v="58.08"/>
    <d v="2010-03-10T00:00:00"/>
    <d v="2025-01-31T00:00:00"/>
    <m/>
    <d v="2025-01-31T00:00:00"/>
    <n v="499"/>
    <s v=""/>
    <s v=""/>
    <s v=""/>
    <s v="13.06"/>
    <s v="13.06"/>
    <s v="00051329"/>
    <s v="Finance &amp; Accounts"/>
    <s v="304528"/>
    <s v="New Acquisition"/>
    <s v="Khopoli staff"/>
    <s v="0000290004"/>
    <s v="FAC-ACCOUTS_DEPT"/>
    <s v="1111KHOP"/>
    <s v="20058805"/>
    <s v="Sunil Sharma"/>
    <s v="No"/>
    <s v="bashir.shaikh@amns.in"/>
    <s v="9421161095"/>
    <s v="1021987"/>
    <s v="Pritam Debbarma"/>
    <s v="Anil Matoo"/>
    <s v="-"/>
    <s v="Manjit Shah"/>
    <s v="-"/>
  </r>
  <r>
    <n v="6036"/>
    <n v="20058324"/>
    <s v="Ashwini Sakpal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90-04-11T00:00:00"/>
    <s v="33.05"/>
    <d v="2011-05-09T00:00:00"/>
    <d v="2050-04-30T00:00:00"/>
    <m/>
    <d v="2050-04-30T00:00:00"/>
    <n v="9719"/>
    <s v=""/>
    <s v=""/>
    <s v=""/>
    <s v="12.04"/>
    <s v="12.04"/>
    <s v="00051378"/>
    <s v="Exports - Marketing"/>
    <s v="304532"/>
    <s v="New Acquisition"/>
    <s v="Khopoli staff"/>
    <s v="0000100014"/>
    <s v="HOM-SALE&amp;MKTG-EXPORT"/>
    <s v="1111KHOP"/>
    <s v="20058801"/>
    <s v="Shubhangi Patil"/>
    <s v="No"/>
    <s v="ashwini.chalke@amns.in"/>
    <s v="9881307522"/>
    <s v="1022033"/>
    <s v="Pritam Debbarma"/>
    <s v="Anil Matoo"/>
    <s v="-"/>
    <s v="Manjit Shah"/>
    <s v="-"/>
  </r>
  <r>
    <n v="6054"/>
    <n v="20058342"/>
    <s v="Sandip Patil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3-02-10T00:00:00"/>
    <s v="50.07"/>
    <d v="1994-11-21T00:00:00"/>
    <d v="2033-02-28T00:00:00"/>
    <m/>
    <d v="2033-02-28T00:00:00"/>
    <n v="3449"/>
    <s v=""/>
    <s v=""/>
    <s v=""/>
    <s v="28.09"/>
    <s v="28.09"/>
    <s v="00051278"/>
    <s v="Stores &amp; Warehouse"/>
    <s v="304550"/>
    <s v="New Acquisition"/>
    <s v="Khopoli staff"/>
    <s v="0000209007"/>
    <s v="CRM-STORES_DEPT"/>
    <s v="1111KHOP"/>
    <s v="20058695"/>
    <s v="Shrigopal Bhati"/>
    <s v="No"/>
    <s v="sandip.patil@amns.in"/>
    <s v="8411970609"/>
    <s v="1022094"/>
    <s v="Pritam Debbarma"/>
    <s v="Anil Matoo"/>
    <s v="-"/>
    <s v="Manjit Shah"/>
    <s v="-"/>
  </r>
  <r>
    <n v="6069"/>
    <n v="20058357"/>
    <s v="Samadhan Sakhar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9-09-16T00:00:00"/>
    <s v="54.00"/>
    <d v="1995-12-20T00:00:00"/>
    <d v="2029-09-30T00:00:00"/>
    <m/>
    <d v="2029-09-30T00:00:00"/>
    <n v="2202"/>
    <s v=""/>
    <s v=""/>
    <s v=""/>
    <s v="27.09"/>
    <s v="27.09"/>
    <s v="00051278"/>
    <s v="Stores &amp; Warehouse"/>
    <s v="304565"/>
    <s v="New Acquisition"/>
    <s v="Khopoli staff"/>
    <s v="0000209007"/>
    <s v="CRM-STORES_DEPT"/>
    <s v="1111KHOP"/>
    <s v="20058695"/>
    <s v="Shrigopal Bhati"/>
    <s v="No"/>
    <s v="samadhan.sakhare@amns.in"/>
    <s v="7767808350"/>
    <s v="1022049"/>
    <s v="Pritam Debbarma"/>
    <s v="Anil Matoo"/>
    <s v="-"/>
    <s v="Manjit Shah"/>
    <s v="-"/>
  </r>
  <r>
    <n v="6073"/>
    <n v="20058362"/>
    <s v="Pravin Waghu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8-04-12T00:00:00"/>
    <s v="55.05"/>
    <d v="1996-04-04T00:00:00"/>
    <d v="2028-04-30T00:00:00"/>
    <m/>
    <d v="2028-04-30T00:00:00"/>
    <n v="1684"/>
    <s v=""/>
    <s v=""/>
    <s v=""/>
    <s v="27.05"/>
    <s v="27.05"/>
    <s v="00051278"/>
    <s v="Stores &amp; Warehouse"/>
    <s v="304570"/>
    <s v="New Acquisition"/>
    <s v="Khopoli staff"/>
    <s v="0000249007"/>
    <s v="SSC-STORES_DEPT"/>
    <s v="1111KHOP"/>
    <s v="20058695"/>
    <s v="Shrigopal Bhati"/>
    <s v="No"/>
    <s v="pravin.waghule@amns.in"/>
    <s v="7769881682"/>
    <s v="1042625"/>
    <s v="Pritam Debbarma"/>
    <s v="Anil Matoo"/>
    <s v="-"/>
    <s v="Manjit Shah"/>
    <s v="-"/>
  </r>
  <r>
    <n v="6075"/>
    <n v="20058364"/>
    <s v="Suresh Malusar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8-02-28T00:00:00"/>
    <s v="55.06"/>
    <d v="1996-04-13T00:00:00"/>
    <d v="2028-02-29T00:00:00"/>
    <m/>
    <d v="2028-02-29T00:00:00"/>
    <n v="1623"/>
    <s v=""/>
    <s v=""/>
    <s v=""/>
    <s v="27.05"/>
    <s v="27.05"/>
    <s v="00051278"/>
    <s v="Stores &amp; Warehouse"/>
    <s v="304572"/>
    <s v="New Acquisition"/>
    <s v="Khopoli staff"/>
    <s v="0000249007"/>
    <s v="SSC-STORES_DEPT"/>
    <s v="1111KHOP"/>
    <s v="20058695"/>
    <s v="Shrigopal Bhati"/>
    <s v="No"/>
    <s v="suresh.malusare@amns.in"/>
    <s v="8411970024"/>
    <s v="1022081"/>
    <s v="Pritam Debbarma"/>
    <s v="Anil Matoo"/>
    <s v="-"/>
    <s v="Manjit Shah"/>
    <s v="-"/>
  </r>
  <r>
    <n v="6102"/>
    <n v="20058392"/>
    <s v="Pratiksha Khare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74-03-20T00:00:00"/>
    <s v="49.06"/>
    <d v="1999-04-28T00:00:00"/>
    <d v="2034-03-31T00:00:00"/>
    <m/>
    <d v="2034-03-31T00:00:00"/>
    <n v="3845"/>
    <s v=""/>
    <s v=""/>
    <s v=""/>
    <s v="24.04"/>
    <s v="24.04"/>
    <s v="00051378"/>
    <s v="Exports - Marketing"/>
    <s v="304600"/>
    <s v="New Acquisition"/>
    <s v="Khopoli staff"/>
    <s v="0000100014"/>
    <s v="HOM-SALE&amp;MKTG-EXPORT"/>
    <s v="1111KHOP"/>
    <s v="20058801"/>
    <s v="Shubhangi Patil"/>
    <s v="No"/>
    <s v="pratiksha.khare@amns.in"/>
    <s v="8411970586"/>
    <s v="1022180"/>
    <s v="Pritam Debbarma"/>
    <s v="Anil Matoo"/>
    <s v="-"/>
    <s v="Manjit Shah"/>
    <s v="-"/>
  </r>
  <r>
    <n v="6116"/>
    <n v="20058406"/>
    <s v="Sameer Paland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6-12T00:00:00"/>
    <s v="47.03"/>
    <d v="1999-04-05T00:00:00"/>
    <d v="2036-06-30T00:00:00"/>
    <m/>
    <d v="2036-06-30T00:00:00"/>
    <n v="4667"/>
    <s v=""/>
    <s v=""/>
    <s v=""/>
    <s v="24.05"/>
    <s v="24.05"/>
    <s v="00051330"/>
    <s v="Accounts - Costing"/>
    <s v="304614"/>
    <s v="New Acquisition"/>
    <s v="Khopoli staff"/>
    <s v="0000290005"/>
    <s v="FAC-COSTING_DEPT"/>
    <s v="1111KHOP"/>
    <s v="20058297"/>
    <s v="Susanta Rath"/>
    <s v="No"/>
    <s v="sameer.palande@amns.in"/>
    <s v="8411970600"/>
    <s v="1022030"/>
    <s v="Pritam Debbarma"/>
    <s v="Anil Matoo"/>
    <s v="-"/>
    <s v="Manjit Shah"/>
    <s v="-"/>
  </r>
  <r>
    <n v="6133"/>
    <n v="20058423"/>
    <s v="Lalit Dhiman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06-19T00:00:00"/>
    <s v="57.03"/>
    <d v="2003-11-18T00:00:00"/>
    <d v="2026-06-30T00:00:00"/>
    <m/>
    <d v="2026-06-30T00:00:00"/>
    <n v="1014"/>
    <s v=""/>
    <s v=""/>
    <s v=""/>
    <s v="19.10"/>
    <s v="19.10"/>
    <s v="00051339"/>
    <s v="Excise"/>
    <s v="304631"/>
    <s v="New Acquisition"/>
    <s v="Khopoli staff"/>
    <s v="0000290001"/>
    <s v="FAC-EXCISE_DEPT"/>
    <s v="1111KHOP"/>
    <s v="40002639"/>
    <s v="Balveer Bhandari"/>
    <s v="No"/>
    <s v="lalit.dhiman@amns.in"/>
    <s v="9769837007"/>
    <s v="1022075"/>
    <s v="Pritam Debbarma"/>
    <s v="Anil Matoo"/>
    <s v="-"/>
    <s v="Manjit Shah"/>
    <s v="-"/>
  </r>
  <r>
    <n v="6167"/>
    <n v="20058460"/>
    <s v="Nazir Danwad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9-03-07T00:00:00"/>
    <s v="44.06"/>
    <d v="2003-12-16T00:00:00"/>
    <d v="2039-03-31T00:00:00"/>
    <m/>
    <d v="2039-03-31T00:00:00"/>
    <n v="5671"/>
    <s v=""/>
    <s v=""/>
    <s v=""/>
    <s v="19.09"/>
    <s v="19.09"/>
    <s v="00051330"/>
    <s v="Accounts - Costing"/>
    <s v="304668"/>
    <s v="New Acquisition"/>
    <s v="Khopoli staff"/>
    <s v="0000290005"/>
    <s v="FAC-COSTING_DEPT"/>
    <s v="1111KHOP"/>
    <s v="20058297"/>
    <s v="Susanta Rath"/>
    <s v="No"/>
    <s v="nazir.danawade@amns.in"/>
    <s v="8411970647"/>
    <s v="1022119"/>
    <s v="Pritam Debbarma"/>
    <s v="Anil Matoo"/>
    <s v="-"/>
    <s v="Manjit Shah"/>
    <s v="-"/>
  </r>
  <r>
    <n v="6169"/>
    <n v="20058462"/>
    <s v="Shailesh Gambhi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3-07-04T00:00:00"/>
    <s v="40.02"/>
    <d v="2005-08-17T00:00:00"/>
    <d v="2043-07-31T00:00:00"/>
    <m/>
    <d v="2043-07-31T00:00:00"/>
    <n v="7254"/>
    <s v=""/>
    <s v=""/>
    <s v=""/>
    <s v="18.01"/>
    <s v="18.01"/>
    <s v="00051278"/>
    <s v="Stores &amp; Warehouse"/>
    <s v="304670"/>
    <s v="New Acquisition"/>
    <s v="Khopoli staff"/>
    <s v="0000219007"/>
    <s v="TRM-STORES_DEPT"/>
    <s v="1111KHOP"/>
    <s v="20058695"/>
    <s v="Shrigopal Bhati"/>
    <s v="No"/>
    <s v="shailesh.gambhir@amns.in"/>
    <s v="9673126976"/>
    <s v="1022123"/>
    <s v="Pritam Debbarma"/>
    <s v="Anil Matoo"/>
    <s v="-"/>
    <s v="Manjit Shah"/>
    <s v="-"/>
  </r>
  <r>
    <n v="6173"/>
    <n v="20058466"/>
    <s v="Rakesh Patil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2-12-05T00:00:00"/>
    <s v="40.09"/>
    <d v="2006-01-09T00:00:00"/>
    <d v="2042-12-31T00:00:00"/>
    <m/>
    <d v="2042-12-31T00:00:00"/>
    <n v="7042"/>
    <s v=""/>
    <s v=""/>
    <s v=""/>
    <s v="17.08"/>
    <s v="17.08"/>
    <s v="00051278"/>
    <s v="Stores &amp; Warehouse"/>
    <s v="304674"/>
    <s v="New Acquisition"/>
    <s v="Khopoli staff"/>
    <s v="0000209007"/>
    <s v="CRM-STORES_DEPT"/>
    <s v="1111KHOP"/>
    <s v="20058695"/>
    <s v="Shrigopal Bhati"/>
    <s v="No"/>
    <s v="rakesh.patil2@amns.in"/>
    <s v="9823930232"/>
    <s v="1042685"/>
    <s v="Pritam Debbarma"/>
    <s v="Anil Matoo"/>
    <s v="-"/>
    <s v="Manjit Shah"/>
    <s v="-"/>
  </r>
  <r>
    <n v="6205"/>
    <n v="20058500"/>
    <s v="Bhushan Ghosalka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4-05-19T00:00:00"/>
    <s v="39.04"/>
    <d v="2007-08-09T00:00:00"/>
    <d v="2044-05-31T00:00:00"/>
    <m/>
    <d v="2044-05-31T00:00:00"/>
    <n v="7559"/>
    <s v=""/>
    <s v=""/>
    <s v=""/>
    <s v="16.01"/>
    <s v="16.01"/>
    <s v="00051278"/>
    <s v="Stores &amp; Warehouse"/>
    <s v="304708"/>
    <s v="New Acquisition"/>
    <s v="Khopoli staff"/>
    <s v="0000209007"/>
    <s v="CRM-STORES_DEPT"/>
    <s v="1111KHOP"/>
    <s v="20058695"/>
    <s v="Shrigopal Bhati"/>
    <s v="No"/>
    <s v="bhushan.ghosalkar@amns.in"/>
    <s v="8087771694"/>
    <s v="1042697"/>
    <s v="Pritam Debbarma"/>
    <s v="Anil Matoo"/>
    <s v="-"/>
    <s v="Manjit Shah"/>
    <s v="-"/>
  </r>
  <r>
    <n v="6207"/>
    <n v="20058502"/>
    <s v="Wilson Ratnam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8-04-15T00:00:00"/>
    <s v="45.05"/>
    <d v="2007-09-07T00:00:00"/>
    <d v="2038-04-30T00:00:00"/>
    <m/>
    <d v="2038-04-30T00:00:00"/>
    <n v="5336"/>
    <s v=""/>
    <s v=""/>
    <s v=""/>
    <s v="16.00"/>
    <s v="16.00"/>
    <s v="00051351"/>
    <s v="Logistics &amp; Stores"/>
    <s v="304710"/>
    <s v="New Acquisition"/>
    <s v="Khopoli staff"/>
    <s v="0000909007"/>
    <s v="NPP - STORES_DEPT"/>
    <s v="1111KHOP"/>
    <s v="20058515"/>
    <s v="Madhusudan Murdhankar"/>
    <s v="No"/>
    <s v="wilson.ratnam@amns.in"/>
    <s v="9823722478"/>
    <s v="1042698"/>
    <s v="Pritam Debbarma"/>
    <s v="Anil Matoo"/>
    <s v="-"/>
    <s v="Manjit Shah"/>
    <s v="-"/>
  </r>
  <r>
    <n v="6219"/>
    <n v="20058515"/>
    <s v="Madhusudan Murdhanka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6-05-24T00:00:00"/>
    <s v="57.03"/>
    <d v="2007-12-18T00:00:00"/>
    <d v="2026-05-31T00:00:00"/>
    <m/>
    <d v="2026-05-31T00:00:00"/>
    <n v="984"/>
    <s v=""/>
    <s v=""/>
    <s v=""/>
    <s v="15.09"/>
    <s v="15.09"/>
    <s v="00051351"/>
    <s v="Logistics &amp; Stores"/>
    <s v="304723"/>
    <s v="New Acquisition"/>
    <s v="Khopoli staff"/>
    <s v="0000909007"/>
    <s v="NPP - STORES_DEPT"/>
    <s v="1111KHOP"/>
    <s v="20058616"/>
    <s v="Vineet Jain"/>
    <s v="No"/>
    <s v="madhusudan.murdhankar@amns.in"/>
    <s v="8411970540"/>
    <s v=""/>
    <s v="Pritam Debbarma"/>
    <s v="Anil Matoo"/>
    <s v="-"/>
    <s v="Manjit Shah"/>
    <s v="-"/>
  </r>
  <r>
    <n v="6252"/>
    <n v="20058549"/>
    <s v="Debendra Sahoo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0-11-27T00:00:00"/>
    <s v="52.09"/>
    <d v="2008-08-19T00:00:00"/>
    <d v="2030-11-30T00:00:00"/>
    <m/>
    <d v="2030-11-30T00:00:00"/>
    <n v="2628"/>
    <s v=""/>
    <s v=""/>
    <s v=""/>
    <s v="15.01"/>
    <s v="15.01"/>
    <s v="00051278"/>
    <s v="Stores &amp; Warehouse"/>
    <s v="304757"/>
    <s v="New Acquisition"/>
    <s v="Khopoli staff"/>
    <s v="0000309007"/>
    <s v="CGL-STORES_DEPT"/>
    <s v="1111KHOP"/>
    <s v="20058695"/>
    <s v="Shrigopal Bhati"/>
    <s v="No"/>
    <s v="debendra.sahoo@amns.in"/>
    <s v="9545603945"/>
    <s v="1042476"/>
    <s v="Pritam Debbarma"/>
    <s v="Anil Matoo"/>
    <s v="-"/>
    <s v="Manjit Shah"/>
    <s v="-"/>
  </r>
  <r>
    <n v="6264"/>
    <n v="20058561"/>
    <s v="Dinesh Agiva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5-07-24T00:00:00"/>
    <s v="38.01"/>
    <d v="2009-02-16T00:00:00"/>
    <d v="2045-07-31T00:00:00"/>
    <m/>
    <d v="2045-07-31T00:00:00"/>
    <n v="7985"/>
    <s v=""/>
    <s v=""/>
    <s v=""/>
    <s v="14.07"/>
    <s v="14.07"/>
    <s v="00051351"/>
    <s v="Logistics &amp; Stores"/>
    <s v="304769"/>
    <s v="New Acquisition"/>
    <s v="Khopoli staff"/>
    <s v="0000909007"/>
    <s v="NPP - STORES_DEPT"/>
    <s v="1111KHOP"/>
    <s v="20058515"/>
    <s v="Madhusudan Murdhankar"/>
    <s v="No"/>
    <s v="dinesh.agivale@amns.in"/>
    <s v="8554910546"/>
    <s v="1042731"/>
    <s v="Pritam Debbarma"/>
    <s v="Anil Matoo"/>
    <s v="-"/>
    <s v="Manjit Shah"/>
    <s v="-"/>
  </r>
  <r>
    <n v="6286"/>
    <n v="20058584"/>
    <s v="Santhosh Raghava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outh"/>
    <s v="Hypermart"/>
    <s v=""/>
    <s v="Non Technical Support"/>
    <s v="Operations"/>
    <s v="Operations"/>
    <s v="72103001"/>
    <s v="Operations"/>
    <s v="Chennai"/>
    <d v="1966-05-04T00:00:00"/>
    <s v="57.04"/>
    <d v="2008-01-21T00:00:00"/>
    <d v="2026-05-31T00:00:00"/>
    <m/>
    <d v="2026-05-31T00:00:00"/>
    <n v="984"/>
    <s v=""/>
    <s v=""/>
    <s v=""/>
    <s v="15.07"/>
    <s v="15.07"/>
    <s v="00051380"/>
    <s v="Sales &amp; Marketing"/>
    <s v="304792"/>
    <s v="New Acquisition"/>
    <s v="Khopoli staff"/>
    <s v="0000290012"/>
    <s v="FAC-MARKETING CO-ORD"/>
    <s v="1111KHOP"/>
    <s v="20058920"/>
    <s v="Atul Singh"/>
    <s v="No"/>
    <s v="santosh.raghavan@amns.in"/>
    <s v="8411970402"/>
    <s v="1022150"/>
    <s v="Pritam Debbarma"/>
    <s v="Anil Matoo"/>
    <s v="-"/>
    <s v="Manjit Shah"/>
    <s v="-"/>
  </r>
  <r>
    <n v="6296"/>
    <n v="20058594"/>
    <s v="Praveen Singh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1-02-02T00:00:00"/>
    <s v="42.07"/>
    <d v="2010-03-08T00:00:00"/>
    <d v="2041-02-28T00:00:00"/>
    <m/>
    <d v="2041-02-28T00:00:00"/>
    <n v="6371"/>
    <s v=""/>
    <s v=""/>
    <s v=""/>
    <s v="13.06"/>
    <s v="13.06"/>
    <s v="00051278"/>
    <s v="Stores &amp; Warehouse"/>
    <s v="304802"/>
    <s v="New Acquisition"/>
    <s v="Khopoli staff"/>
    <s v="0000209007"/>
    <s v="CRM-STORES_DEPT"/>
    <s v="1111KHOP"/>
    <s v="20058695"/>
    <s v="Shrigopal Bhati"/>
    <s v="No"/>
    <s v="praveen.singh@amns.in"/>
    <s v="8237740145"/>
    <s v="1022211"/>
    <s v="Pritam Debbarma"/>
    <s v="Anil Matoo"/>
    <s v="-"/>
    <s v="Manjit Shah"/>
    <s v="-"/>
  </r>
  <r>
    <n v="6299"/>
    <n v="20058597"/>
    <s v="Shashi Rai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9-07-01T00:00:00"/>
    <s v="44.02"/>
    <d v="2010-04-19T00:00:00"/>
    <d v="2039-06-30T00:00:00"/>
    <m/>
    <d v="2039-06-30T00:00:00"/>
    <n v="5762"/>
    <s v=""/>
    <s v=""/>
    <s v=""/>
    <s v="13.05"/>
    <s v="13.05"/>
    <s v="73800002"/>
    <s v="Procurement - Pune Asset"/>
    <s v="304805"/>
    <s v="New Acquisition"/>
    <s v="Khopoli staff"/>
    <s v="0000100010"/>
    <s v="HOM-COMM. &amp; PROCTS"/>
    <s v="1111KHOP"/>
    <s v="20006536"/>
    <s v="Mahesh Salunke"/>
    <s v="No"/>
    <s v="shashi.rai@amns.in"/>
    <s v="8149908545"/>
    <s v="1042479"/>
    <s v="Pritam Debbarma"/>
    <s v="Anil Matoo"/>
    <s v="-"/>
    <s v="Manjit Shah"/>
    <s v="-"/>
  </r>
  <r>
    <n v="6305"/>
    <n v="20058603"/>
    <s v="Anil Lad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1-02-17T00:00:00"/>
    <s v="42.07"/>
    <d v="2010-06-07T00:00:00"/>
    <d v="2041-02-28T00:00:00"/>
    <m/>
    <d v="2041-02-28T00:00:00"/>
    <n v="6371"/>
    <s v=""/>
    <s v=""/>
    <s v=""/>
    <s v="13.03"/>
    <s v="13.03"/>
    <s v="00051278"/>
    <s v="Stores &amp; Warehouse"/>
    <s v="304811"/>
    <s v="New Acquisition"/>
    <s v="Khopoli staff"/>
    <s v="0000209007"/>
    <s v="CRM-STORES_DEPT"/>
    <s v="1111KHOP"/>
    <s v="20058695"/>
    <s v="Shrigopal Bhati"/>
    <s v="No"/>
    <s v="anil.lad@amns.in"/>
    <s v="9922321932"/>
    <s v="1021933"/>
    <s v="Pritam Debbarma"/>
    <s v="Anil Matoo"/>
    <s v="-"/>
    <s v="Manjit Shah"/>
    <s v="-"/>
  </r>
  <r>
    <n v="6308"/>
    <n v="20058606"/>
    <s v="Swapnil Dalv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84-05-03T00:00:00"/>
    <s v="39.04"/>
    <d v="2010-06-11T00:00:00"/>
    <d v="2044-05-31T00:00:00"/>
    <m/>
    <d v="2044-05-31T00:00:00"/>
    <n v="7559"/>
    <s v=""/>
    <s v=""/>
    <s v=""/>
    <s v="13.03"/>
    <s v="13.03"/>
    <s v="00051380"/>
    <s v="Sales &amp; Marketing"/>
    <s v="304814"/>
    <s v="New Acquisition"/>
    <s v="Khopoli staff"/>
    <s v="0000290012"/>
    <s v="FAC-MARKETING CO-ORD"/>
    <s v="1111KHOP"/>
    <s v="20058920"/>
    <s v="Atul Singh"/>
    <s v="No"/>
    <s v="swapnil.dalvi@amns.in"/>
    <s v="8411970487"/>
    <s v="1021969"/>
    <s v="Pritam Debbarma"/>
    <s v="Anil Matoo"/>
    <s v="-"/>
    <s v="Manjit Shah"/>
    <s v="-"/>
  </r>
  <r>
    <n v="6330"/>
    <n v="20058628"/>
    <s v="Netra Deore"/>
    <s v="AMNS Khopoli"/>
    <s v="Onroll"/>
    <s v="New Acquisition"/>
    <n v="17"/>
    <m/>
    <s v="NA"/>
    <s v="F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2-12-01T00:00:00"/>
    <s v="40.09"/>
    <d v="2011-04-01T00:00:00"/>
    <d v="2042-11-30T00:00:00"/>
    <m/>
    <d v="2042-11-30T00:00:00"/>
    <n v="7011"/>
    <s v=""/>
    <s v=""/>
    <s v=""/>
    <s v="12.05"/>
    <s v="12.05"/>
    <s v="73800002"/>
    <s v="Procurement - Pune Asset"/>
    <s v="304836"/>
    <s v="New Acquisition"/>
    <s v="Khopoli staff"/>
    <s v="0000100010"/>
    <s v="HOM-COMM. &amp; PROCTS"/>
    <s v="1111KHOP"/>
    <s v="20006536"/>
    <s v="Mahesh Salunke"/>
    <s v="No"/>
    <s v="netra.deore@amns.in"/>
    <s v="8692966622"/>
    <s v="1022105"/>
    <s v="Pritam Debbarma"/>
    <s v="Anil Matoo"/>
    <s v="-"/>
    <s v="Manjit Shah"/>
    <s v="-"/>
  </r>
  <r>
    <n v="6351"/>
    <n v="20058650"/>
    <s v="Anup Karn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87-09-05T00:00:00"/>
    <s v="36.00"/>
    <d v="2011-10-14T00:00:00"/>
    <d v="2047-09-30T00:00:00"/>
    <m/>
    <d v="2047-09-30T00:00:00"/>
    <n v="8776"/>
    <s v=""/>
    <s v=""/>
    <s v=""/>
    <s v="11.11"/>
    <s v="11.11"/>
    <s v="00051336"/>
    <s v="Industrial Relations"/>
    <s v="304858"/>
    <s v="New Acquisition"/>
    <s v="Khopoli staff"/>
    <s v="0000290002"/>
    <s v="FAC-PERSONAL &amp; ADM"/>
    <s v="1111KHOP"/>
    <s v="20058935"/>
    <s v="Satish Mulay"/>
    <s v="No"/>
    <s v="anup.karn@amns.in"/>
    <s v="8411970685"/>
    <s v="1022137"/>
    <s v="Pritam Debbarma"/>
    <s v="Anil Matoo"/>
    <n v="0"/>
    <s v="Manjit Shah"/>
    <n v="0"/>
  </r>
  <r>
    <n v="6369"/>
    <n v="20058668"/>
    <s v="Eknath Pawa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4-06-04T00:00:00"/>
    <s v="49.03"/>
    <d v="1998-02-03T00:00:00"/>
    <d v="2034-06-30T00:00:00"/>
    <m/>
    <d v="2034-06-30T00:00:00"/>
    <n v="3936"/>
    <s v=""/>
    <s v=""/>
    <s v=""/>
    <s v="25.07"/>
    <s v="25.07"/>
    <s v="00051220"/>
    <s v="Administration &amp; Security"/>
    <s v="304876"/>
    <s v="New Acquisition"/>
    <s v="Khopoli staff"/>
    <s v="0000400000"/>
    <s v="PRC-GENERAL"/>
    <s v="1111KHOP"/>
    <s v="20057887"/>
    <s v="Kiran Vaidya"/>
    <s v="No"/>
    <s v="eknath.pawar@amns.in"/>
    <s v="9923884325"/>
    <s v="1042533"/>
    <s v="Pritam Debbarma"/>
    <s v="Anil Matoo"/>
    <s v="-"/>
    <s v="Manjit Shah"/>
    <s v="-"/>
  </r>
  <r>
    <n v="6377"/>
    <n v="20058676"/>
    <s v="Prakash Bhoi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7-12-12T00:00:00"/>
    <s v="55.09"/>
    <d v="1998-06-25T00:00:00"/>
    <d v="2027-12-31T00:00:00"/>
    <m/>
    <d v="2027-12-31T00:00:00"/>
    <n v="1563"/>
    <s v=""/>
    <s v=""/>
    <s v=""/>
    <s v="25.02"/>
    <s v="25.02"/>
    <s v="00051389"/>
    <s v="Stores - PRC"/>
    <s v="304884"/>
    <s v="New Acquisition"/>
    <s v="Khopoli staff"/>
    <s v="0000409007"/>
    <s v="PRC-STORES_DEPT"/>
    <s v="1111KHOP"/>
    <s v="20058273"/>
    <s v="Arun Deshmukh"/>
    <s v="No"/>
    <s v="prakash.bhoir@amns.in"/>
    <s v="9673537067"/>
    <s v="1022009"/>
    <s v="Pritam Debbarma"/>
    <s v="Anil Matoo"/>
    <s v="-"/>
    <s v="Manjit Shah"/>
    <s v="-"/>
  </r>
  <r>
    <n v="6381"/>
    <n v="20058680"/>
    <s v="Vasant Sanas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0-11-11T00:00:00"/>
    <s v="52.10"/>
    <d v="1998-09-21T00:00:00"/>
    <d v="2030-11-30T00:00:00"/>
    <m/>
    <d v="2030-11-30T00:00:00"/>
    <n v="2628"/>
    <s v=""/>
    <s v=""/>
    <s v=""/>
    <s v="25.00"/>
    <s v="25.00"/>
    <s v="00051339"/>
    <s v="Excise"/>
    <s v="304888"/>
    <s v="New Acquisition"/>
    <s v="Khopoli staff"/>
    <s v="0000290001"/>
    <s v="FAC-EXCISE_DEPT"/>
    <s v="1111KHOP"/>
    <s v="40002639"/>
    <s v="Balveer Bhandari"/>
    <s v="No"/>
    <s v="vasant.sanas@amns.in"/>
    <s v="8411970995"/>
    <s v="1022113"/>
    <s v="Pritam Debbarma"/>
    <s v="Anil Matoo"/>
    <s v="-"/>
    <s v="Manjit Shah"/>
    <s v="-"/>
  </r>
  <r>
    <n v="6396"/>
    <n v="20058695"/>
    <s v="Shrigopal Bhati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5-06-12T00:00:00"/>
    <s v="58.03"/>
    <d v="1999-05-14T00:00:00"/>
    <d v="2025-06-30T00:00:00"/>
    <m/>
    <d v="2025-06-30T00:00:00"/>
    <n v="649"/>
    <s v=""/>
    <s v=""/>
    <s v=""/>
    <s v="24.04"/>
    <s v="24.04"/>
    <s v="00051278"/>
    <s v="Stores &amp; Warehouse"/>
    <s v="304903"/>
    <s v="New Acquisition"/>
    <s v="Khopoli staff"/>
    <s v="0000309007"/>
    <s v="CGL-STORES_DEPT"/>
    <s v="1111KHOP"/>
    <s v="40002638"/>
    <s v="K.V.G Raju"/>
    <s v="No"/>
    <s v="s.bhati@amns.in"/>
    <s v="8411970590"/>
    <s v="1022270"/>
    <s v="Pritam Debbarma"/>
    <s v="Anil Matoo"/>
    <s v="-"/>
    <s v="Manjit Shah"/>
    <s v="-"/>
  </r>
  <r>
    <n v="6424"/>
    <n v="20058724"/>
    <s v="Shankar Patil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7-07-13T00:00:00"/>
    <s v="36.02"/>
    <d v="2010-10-21T00:00:00"/>
    <d v="2047-07-31T00:00:00"/>
    <m/>
    <d v="2047-07-31T00:00:00"/>
    <n v="8715"/>
    <s v=""/>
    <s v=""/>
    <s v=""/>
    <s v="12.10"/>
    <s v="12.10"/>
    <s v="00051278"/>
    <s v="Stores &amp; Warehouse"/>
    <s v="304932"/>
    <s v="New Acquisition"/>
    <s v="Khopoli staff"/>
    <s v="0000509007"/>
    <s v="CCL-STORES_DEPT"/>
    <s v="1111KHOP"/>
    <s v="20058695"/>
    <s v="Shrigopal Bhati"/>
    <s v="No"/>
    <s v="shankar.patil@amns.in"/>
    <s v="9673239477"/>
    <s v="1042792"/>
    <s v="Pritam Debbarma"/>
    <s v="Anil Matoo"/>
    <s v="-"/>
    <s v="Manjit Shah"/>
    <s v="-"/>
  </r>
  <r>
    <n v="6425"/>
    <n v="20058725"/>
    <s v="Sachin Patil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79-11-12T00:00:00"/>
    <s v="43.10"/>
    <d v="2011-05-12T00:00:00"/>
    <d v="2039-11-30T00:00:00"/>
    <m/>
    <d v="2039-11-30T00:00:00"/>
    <n v="5915"/>
    <s v=""/>
    <s v=""/>
    <s v=""/>
    <s v="12.04"/>
    <s v="12.04"/>
    <s v="00051220"/>
    <s v="Administration &amp; Security"/>
    <s v="304933"/>
    <s v="New Acquisition"/>
    <s v="Khopoli staff"/>
    <s v="0000290002"/>
    <s v="FAC-PERSONAL &amp; ADM"/>
    <s v="1111KHOP"/>
    <s v="20057887"/>
    <s v="Kiran Vaidya"/>
    <s v="No"/>
    <s v="sachin.patil24@amns.in"/>
    <s v="7030825777"/>
    <s v="1042793"/>
    <s v="Pritam Debbarma"/>
    <s v="Anil Matoo"/>
    <s v="-"/>
    <s v="Manjit Shah"/>
    <s v="-"/>
  </r>
  <r>
    <n v="6450"/>
    <n v="20058751"/>
    <s v="Mandar Khadilk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Khopoli"/>
    <d v="1967-10-18T00:00:00"/>
    <s v="55.11"/>
    <d v="2005-12-10T00:00:00"/>
    <d v="2027-10-31T00:00:00"/>
    <m/>
    <d v="2027-10-31T00:00:00"/>
    <n v="1502"/>
    <s v=""/>
    <s v=""/>
    <s v=""/>
    <s v="17.09"/>
    <s v="17.09"/>
    <s v="00051378"/>
    <s v="Exports - Marketing"/>
    <s v="304959"/>
    <s v="New Acquisition"/>
    <s v="Khopoli staff"/>
    <s v="0000290012"/>
    <s v="FAC-MARKETING CO-ORD"/>
    <s v="1111KHOP"/>
    <s v="20058801"/>
    <s v="Shubhangi Patil"/>
    <s v="No"/>
    <s v="mandar.khadilkar@amns.in"/>
    <s v="8411970653"/>
    <s v="1022163"/>
    <s v="Pritam Debbarma"/>
    <s v="Anil Matoo"/>
    <s v="-"/>
    <s v="Manjit Shah"/>
    <s v="-"/>
  </r>
  <r>
    <n v="6471"/>
    <n v="20058772"/>
    <s v="Bipinchandra Parekh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Khopoli"/>
    <d v="1971-12-03T00:00:00"/>
    <s v="51.09"/>
    <d v="2007-08-14T00:00:00"/>
    <d v="2031-12-31T00:00:00"/>
    <m/>
    <d v="2031-12-31T00:00:00"/>
    <n v="3024"/>
    <s v=""/>
    <s v=""/>
    <s v=""/>
    <s v="16.01"/>
    <s v="16.01"/>
    <s v="00051356"/>
    <s v="Logistics - MIS / Planning"/>
    <s v="304980"/>
    <s v="New Acquisition"/>
    <s v="Khopoli staff"/>
    <s v="0000319006"/>
    <s v="SGL-LOGISTIC_DEPT"/>
    <s v="1111KHOP"/>
    <s v="40002642"/>
    <s v="Vasant Pandit"/>
    <s v="No"/>
    <s v="bipinchandra.parekh@amns.in"/>
    <s v="9420651432"/>
    <s v="1022247"/>
    <s v="Pritam Debbarma"/>
    <s v="Anil Matoo"/>
    <s v="-"/>
    <s v="Manjit Shah"/>
    <s v="-"/>
  </r>
  <r>
    <n v="6475"/>
    <n v="20058777"/>
    <s v="Shailesh Mangl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68-10-30T00:00:00"/>
    <s v="54.10"/>
    <d v="2007-12-01T00:00:00"/>
    <d v="2028-10-31T00:00:00"/>
    <m/>
    <d v="2028-10-31T00:00:00"/>
    <n v="1868"/>
    <s v=""/>
    <s v=""/>
    <s v=""/>
    <s v="15.09"/>
    <s v="15.09"/>
    <s v="00051389"/>
    <s v="Stores - PRC"/>
    <s v="304985"/>
    <s v="New Acquisition"/>
    <s v="Khopoli staff"/>
    <s v="0000409007"/>
    <s v="PRC-STORES_DEPT"/>
    <s v="1111KHOP"/>
    <s v="20058273"/>
    <s v="Arun Deshmukh"/>
    <s v="No"/>
    <s v="shailesh.mangle@amns.in"/>
    <s v="9923734424"/>
    <s v="1022265"/>
    <s v="Pritam Debbarma"/>
    <s v="Anil Matoo"/>
    <s v="-"/>
    <s v="Manjit Shah"/>
    <s v="-"/>
  </r>
  <r>
    <n v="6491"/>
    <n v="20058796"/>
    <s v="Rajany Nair"/>
    <s v="AMNS Khopoli"/>
    <s v="Onroll"/>
    <s v="New Acquisition"/>
    <n v="17"/>
    <m/>
    <s v="NA"/>
    <s v="F"/>
    <s v="Khopoli"/>
    <n v="9"/>
    <s v="1123"/>
    <x v="12"/>
    <n v="35.02"/>
    <s v="Hrishikesh Kamat"/>
    <s v="Hrishikesh Kamat"/>
    <n v="7"/>
    <s v="Procurement"/>
    <s v="Land Acquisition"/>
    <s v="35"/>
    <m/>
    <m/>
    <s v="Legal / Land"/>
    <s v=""/>
    <s v=""/>
    <s v="Non Technical Support"/>
    <s v="Operations"/>
    <s v="Operations"/>
    <s v="72103001"/>
    <s v="Operations"/>
    <s v="Khopoli"/>
    <d v="1972-04-16T00:00:00"/>
    <s v="51.05"/>
    <d v="2008-06-26T00:00:00"/>
    <d v="2032-04-30T00:00:00"/>
    <m/>
    <d v="2032-04-30T00:00:00"/>
    <n v="3145"/>
    <s v=""/>
    <s v=""/>
    <s v=""/>
    <s v="15.02"/>
    <s v="15.02"/>
    <s v="00051268"/>
    <s v="Land Acquisition"/>
    <s v="305004"/>
    <s v="New Acquisition"/>
    <s v="Khopoli staff"/>
    <s v="0000290002"/>
    <s v="FAC-PERSONAL &amp; ADM"/>
    <s v="1111KHOP"/>
    <s v="0"/>
    <s v=""/>
    <s v="No"/>
    <s v="rajany.nair@amns.in"/>
    <s v="8879994201"/>
    <s v="1022095"/>
    <s v="Pritam Debbarma"/>
    <s v="Anil Matoo"/>
    <s v="-"/>
    <s v="Manjit Shah"/>
    <s v="-"/>
  </r>
  <r>
    <n v="6492"/>
    <n v="20058798"/>
    <s v="Abhijeet Kulkarni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7-06-08T00:00:00"/>
    <s v="46.03"/>
    <d v="2007-05-23T00:00:00"/>
    <d v="2037-06-30T00:00:00"/>
    <m/>
    <d v="2037-06-30T00:00:00"/>
    <n v="5032"/>
    <s v=""/>
    <s v=""/>
    <s v=""/>
    <s v="16.03"/>
    <s v="16.03"/>
    <s v="00051338"/>
    <s v="Commercial &amp; Licenses"/>
    <s v="305006"/>
    <s v="New Acquisition"/>
    <s v="Khopoli staff"/>
    <s v="0000100019"/>
    <s v="HOM-COMMERCIAL"/>
    <s v="1111KHOP"/>
    <s v="20054538"/>
    <s v="Niraj Pradeep Khopkar"/>
    <s v="No"/>
    <s v="abhijeet.kulkarni@amns.in"/>
    <s v="8879994148"/>
    <s v=""/>
    <s v="Pritam Debbarma"/>
    <s v="Anil Matoo"/>
    <s v="-"/>
    <s v="Manjit Shah"/>
    <s v="-"/>
  </r>
  <r>
    <n v="6493"/>
    <n v="20058799"/>
    <s v="Rohit Kamat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2-04-22T00:00:00"/>
    <s v="41.04"/>
    <d v="2004-07-01T00:00:00"/>
    <d v="2042-04-30T00:00:00"/>
    <m/>
    <d v="2042-04-30T00:00:00"/>
    <n v="6797"/>
    <s v=""/>
    <s v=""/>
    <s v=""/>
    <s v="19.02"/>
    <s v="19.02"/>
    <s v="00051338"/>
    <s v="Commercial &amp; Licenses"/>
    <s v="305007"/>
    <s v="New Acquisition"/>
    <s v="Khopoli staff"/>
    <s v="0000100019"/>
    <s v="HOM-COMMERCIAL"/>
    <s v="1111KHOP"/>
    <s v="20054538"/>
    <s v="Niraj Pradeep Khopkar"/>
    <s v="No"/>
    <s v="rohit.kamat@amns.in"/>
    <s v="8879994193"/>
    <s v="1022117"/>
    <s v="Pritam Debbarma"/>
    <s v="Anil Matoo"/>
    <s v="-"/>
    <s v="Manjit Shah"/>
    <s v="-"/>
  </r>
  <r>
    <n v="6494"/>
    <n v="20058801"/>
    <s v="Shubhangi Patil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Sales Planning"/>
    <s v=""/>
    <s v="Non Technical Support"/>
    <s v="Operations"/>
    <s v="Operations"/>
    <s v="72103001"/>
    <s v="Operations"/>
    <s v="Khopoli"/>
    <d v="1974-05-25T00:00:00"/>
    <s v="49.03"/>
    <d v="2001-09-07T00:00:00"/>
    <d v="2034-05-31T00:00:00"/>
    <m/>
    <d v="2034-05-31T00:00:00"/>
    <n v="3906"/>
    <s v=""/>
    <s v=""/>
    <s v=""/>
    <s v="22.00"/>
    <s v="22.00"/>
    <s v="00051378"/>
    <s v="Exports - Marketing"/>
    <s v="305009"/>
    <s v="New Acquisition"/>
    <s v="Khopoli staff"/>
    <s v="0000100014"/>
    <s v="HOM-SALE&amp;MKTG-EXPORT"/>
    <s v="1111KHOP"/>
    <s v="20058920"/>
    <s v="Atul Singh"/>
    <s v="No"/>
    <s v="shubhangi.patil@amns.in"/>
    <s v="8879994108"/>
    <s v="1022448"/>
    <s v="Pritam Debbarma"/>
    <s v="Anil Matoo"/>
    <s v="-"/>
    <s v="Manjit Shah"/>
    <s v="-"/>
  </r>
  <r>
    <n v="6495"/>
    <n v="20058804"/>
    <s v="Roy Jos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5-12-03T00:00:00"/>
    <s v="47.09"/>
    <d v="2000-09-11T00:00:00"/>
    <d v="2035-12-31T00:00:00"/>
    <m/>
    <d v="2035-12-31T00:00:00"/>
    <n v="4485"/>
    <s v=""/>
    <s v=""/>
    <s v=""/>
    <s v="23.00"/>
    <s v="23.00"/>
    <s v="00051333"/>
    <s v="Corporate Accounts &amp; Global Reporting"/>
    <s v="305012"/>
    <s v="New Acquisition"/>
    <s v="Khopoli staff"/>
    <s v="0000100006"/>
    <s v="HOM-ACCOUNTS &amp; FIN"/>
    <s v="1111KHOP"/>
    <s v="20055188"/>
    <s v="Rohit Sharma"/>
    <s v="No"/>
    <s v="roy.jose@amns.in"/>
    <s v="8879994164"/>
    <s v="1022182"/>
    <s v="Pritam Debbarma"/>
    <s v="Anil Matoo"/>
    <s v="-"/>
    <s v="Manjit Shah"/>
    <s v="-"/>
  </r>
  <r>
    <n v="6496"/>
    <n v="20058805"/>
    <s v="Sunil Sharma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4-01-01T00:00:00"/>
    <s v="39.08"/>
    <d v="2011-06-15T00:00:00"/>
    <d v="2043-12-31T00:00:00"/>
    <m/>
    <d v="2043-12-31T00:00:00"/>
    <n v="7407"/>
    <s v=""/>
    <s v=""/>
    <s v=""/>
    <s v="12.03"/>
    <s v="12.03"/>
    <s v="00051329"/>
    <s v="Finance &amp; Accounts"/>
    <s v="305013"/>
    <s v="New Acquisition"/>
    <s v="Khopoli staff"/>
    <s v="0000100022"/>
    <s v="HOM-CORPORATE FINANC"/>
    <s v="1111KHOP"/>
    <s v="20055188"/>
    <s v="Rohit Sharma"/>
    <s v="No"/>
    <s v="sunil.sharma1@amns.in"/>
    <s v="8879994167"/>
    <s v="1022195"/>
    <s v="Pritam Debbarma"/>
    <s v="Anil Matoo"/>
    <s v="-"/>
    <s v="Manjit Shah"/>
    <s v="-"/>
  </r>
  <r>
    <n v="6497"/>
    <n v="20058806"/>
    <s v="Clara Dalmeida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7-08-07T00:00:00"/>
    <s v="56.01"/>
    <d v="1994-02-01T00:00:00"/>
    <d v="2027-08-31T00:00:00"/>
    <m/>
    <d v="2027-08-31T00:00:00"/>
    <n v="1441"/>
    <s v=""/>
    <s v=""/>
    <s v=""/>
    <s v="29.07"/>
    <s v="29.07"/>
    <s v="00051329"/>
    <s v="Finance &amp; Accounts"/>
    <s v="305014"/>
    <s v="New Acquisition"/>
    <s v="Khopoli staff"/>
    <s v="0000100006"/>
    <s v="HOM-ACCOUNTS &amp; FIN"/>
    <s v="1111KHOP"/>
    <s v="20058805"/>
    <s v="Sunil Sharma"/>
    <s v="No"/>
    <s v="clara.almeida@amns.in"/>
    <s v="8879994190"/>
    <s v=""/>
    <s v="Pritam Debbarma"/>
    <s v="Anil Matoo"/>
    <s v="-"/>
    <s v="Manjit Shah"/>
    <s v="-"/>
  </r>
  <r>
    <n v="6498"/>
    <n v="20058807"/>
    <s v="Santosh Jairaman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7-07-14T00:00:00"/>
    <s v="46.02"/>
    <d v="2000-08-28T00:00:00"/>
    <d v="2037-07-31T00:00:00"/>
    <m/>
    <d v="2037-07-31T00:00:00"/>
    <n v="5063"/>
    <s v=""/>
    <s v=""/>
    <s v=""/>
    <s v="23.00"/>
    <s v="23.00"/>
    <s v="00051329"/>
    <s v="Finance &amp; Accounts"/>
    <s v="305015"/>
    <s v="New Acquisition"/>
    <s v="Khopoli staff"/>
    <s v="0000100006"/>
    <s v="HOM-ACCOUNTS &amp; FIN"/>
    <s v="1111KHOP"/>
    <s v="20058805"/>
    <s v="Sunil Sharma"/>
    <s v="No"/>
    <s v="santosh.jairaman@amns.in"/>
    <s v="8879994169"/>
    <s v="1022216"/>
    <s v="Pritam Debbarma"/>
    <s v="Anil Matoo"/>
    <s v="-"/>
    <s v="Manjit Shah"/>
    <s v="-"/>
  </r>
  <r>
    <n v="6499"/>
    <n v="20058808"/>
    <s v="Bimal Dutta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01-07T00:00:00"/>
    <s v="57.08"/>
    <d v="2010-03-25T00:00:00"/>
    <d v="2026-01-31T00:00:00"/>
    <m/>
    <d v="2026-01-31T00:00:00"/>
    <n v="864"/>
    <s v=""/>
    <s v=""/>
    <s v=""/>
    <s v="13.05"/>
    <s v="13.05"/>
    <s v="00051329"/>
    <s v="Finance &amp; Accounts"/>
    <s v="305016"/>
    <s v="New Acquisition"/>
    <s v="Khopoli staff"/>
    <s v="0000100006"/>
    <s v="HOM-ACCOUNTS &amp; FIN"/>
    <s v="1111KHOP"/>
    <s v="20058805"/>
    <s v="Sunil Sharma"/>
    <s v="No"/>
    <s v="bimal.dutta@amns.in"/>
    <s v="9702133743"/>
    <s v="1022224"/>
    <s v="Pritam Debbarma"/>
    <s v="Anil Matoo"/>
    <s v="-"/>
    <s v="Manjit Shah"/>
    <s v="-"/>
  </r>
  <r>
    <n v="6500"/>
    <n v="20058809"/>
    <s v="Satyavan Mahapadi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5-11-08T00:00:00"/>
    <s v="47.10"/>
    <d v="2007-05-14T00:00:00"/>
    <d v="2035-11-30T00:00:00"/>
    <m/>
    <d v="2035-11-30T00:00:00"/>
    <n v="4454"/>
    <s v=""/>
    <s v=""/>
    <s v=""/>
    <s v="16.04"/>
    <s v="16.04"/>
    <s v="00051329"/>
    <s v="Finance &amp; Accounts"/>
    <s v="305017"/>
    <s v="New Acquisition"/>
    <s v="Khopoli staff"/>
    <s v="0000100006"/>
    <s v="HOM-ACCOUNTS &amp; FIN"/>
    <s v="1111KHOP"/>
    <s v="20058805"/>
    <s v="Sunil Sharma"/>
    <s v="No"/>
    <s v="satyavan.mahapadi@amns.in"/>
    <s v="8879994176"/>
    <s v="1022231"/>
    <s v="Pritam Debbarma"/>
    <s v="Anil Matoo"/>
    <s v="-"/>
    <s v="Manjit Shah"/>
    <s v="-"/>
  </r>
  <r>
    <n v="6501"/>
    <n v="20058810"/>
    <s v="Umesh Palshikar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5-07-12T00:00:00"/>
    <s v="58.02"/>
    <d v="2007-09-24T00:00:00"/>
    <d v="2025-07-31T00:00:00"/>
    <m/>
    <d v="2025-07-31T00:00:00"/>
    <n v="680"/>
    <s v=""/>
    <s v=""/>
    <s v=""/>
    <s v="15.11"/>
    <s v="15.11"/>
    <s v="00051329"/>
    <s v="Finance &amp; Accounts"/>
    <s v="305018"/>
    <s v="New Acquisition"/>
    <s v="Khopoli staff"/>
    <s v="0000100006"/>
    <s v="HOM-ACCOUNTS &amp; FIN"/>
    <s v="1111KHOP"/>
    <s v="20058805"/>
    <s v="Sunil Sharma"/>
    <s v="No"/>
    <s v="umesh.palshikar@amns.in"/>
    <s v="9820874012"/>
    <s v="1022238"/>
    <s v="Pritam Debbarma"/>
    <s v="Anil Matoo"/>
    <s v="-"/>
    <s v="Manjit Shah"/>
    <s v="-"/>
  </r>
  <r>
    <n v="6502"/>
    <n v="20058811"/>
    <s v="Vijay Vichar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8-09-11T00:00:00"/>
    <s v="45.00"/>
    <d v="2006-04-01T00:00:00"/>
    <d v="2038-09-30T00:00:00"/>
    <m/>
    <d v="2038-09-30T00:00:00"/>
    <n v="5489"/>
    <s v=""/>
    <s v=""/>
    <s v=""/>
    <s v="17.05"/>
    <s v="17.05"/>
    <s v="00051266"/>
    <s v="Internal Audit"/>
    <s v="305019"/>
    <s v="New Acquisition"/>
    <s v="Khopoli staff"/>
    <s v="0000100006"/>
    <s v="HOM-ACCOUNTS &amp; FIN"/>
    <s v="1111KHOP"/>
    <s v="20055486"/>
    <s v="Nilesh Likhite"/>
    <s v="No"/>
    <s v="vijay.vichare@amns.in"/>
    <s v="8879994174"/>
    <s v="1022263"/>
    <s v="Pritam Debbarma"/>
    <s v="Anil Matoo"/>
    <s v="-"/>
    <s v="Manjit Shah"/>
    <s v="-"/>
  </r>
  <r>
    <n v="6503"/>
    <n v="20058812"/>
    <s v="Shailesh Weling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7-04-13T00:00:00"/>
    <s v="46.05"/>
    <d v="2007-03-01T00:00:00"/>
    <d v="2037-04-30T00:00:00"/>
    <m/>
    <d v="2037-04-30T00:00:00"/>
    <n v="4971"/>
    <s v=""/>
    <s v=""/>
    <s v=""/>
    <s v="16.06"/>
    <s v="16.06"/>
    <s v="00051329"/>
    <s v="Finance &amp; Accounts"/>
    <s v="305020"/>
    <s v="New Acquisition"/>
    <s v="Khopoli staff"/>
    <s v="0000100006"/>
    <s v="HOM-ACCOUNTS &amp; FIN"/>
    <s v="1111KHOP"/>
    <s v="20016107"/>
    <s v="Kalpesh Thathagar"/>
    <s v="No"/>
    <s v="shailesh.weling@amns.in"/>
    <s v="9892518215"/>
    <s v="1022268"/>
    <s v="Pritam Debbarma"/>
    <s v="Anil Matoo"/>
    <s v="-"/>
    <s v="Manjit Shah"/>
    <s v="-"/>
  </r>
  <r>
    <n v="6504"/>
    <n v="20058814"/>
    <s v="Philip Abraham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5-28T00:00:00"/>
    <s v="47.03"/>
    <d v="2010-12-15T00:00:00"/>
    <d v="2036-05-31T00:00:00"/>
    <m/>
    <d v="2036-05-31T00:00:00"/>
    <n v="4637"/>
    <s v=""/>
    <s v=""/>
    <s v=""/>
    <s v="12.09"/>
    <s v="12.09"/>
    <s v="00051329"/>
    <s v="Finance &amp; Accounts"/>
    <s v="305022"/>
    <s v="New Acquisition"/>
    <s v="Khopoli staff"/>
    <s v="0000100006"/>
    <s v="HOM-ACCOUNTS &amp; FIN"/>
    <s v="1111KHOP"/>
    <s v="20058805"/>
    <s v="Sunil Sharma"/>
    <s v="No"/>
    <s v="philip.abraham@amns.in"/>
    <s v="9619928587"/>
    <s v="1022281"/>
    <s v="Pritam Debbarma"/>
    <s v="Anil Matoo"/>
    <s v="-"/>
    <s v="Manjit Shah"/>
    <s v="-"/>
  </r>
  <r>
    <n v="6505"/>
    <n v="20058815"/>
    <s v="Sagar Sawant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3-29T00:00:00"/>
    <s v="47.05"/>
    <d v="2007-03-01T00:00:00"/>
    <d v="2036-03-31T00:00:00"/>
    <m/>
    <d v="2036-03-31T00:00:00"/>
    <n v="4576"/>
    <s v=""/>
    <s v=""/>
    <s v=""/>
    <s v="16.06"/>
    <s v="16.06"/>
    <s v="00051329"/>
    <s v="Finance &amp; Accounts"/>
    <s v="305023"/>
    <s v="New Acquisition"/>
    <s v="Khopoli staff"/>
    <s v="0000100006"/>
    <s v="HOM-ACCOUNTS &amp; FIN"/>
    <s v="1111KHOP"/>
    <s v="20058805"/>
    <s v="Sunil Sharma"/>
    <s v="No"/>
    <s v="sagar.sawant@amns.in"/>
    <s v="9870354891"/>
    <s v="1022287"/>
    <s v="Pritam Debbarma"/>
    <s v="Anil Matoo"/>
    <s v="-"/>
    <s v="Manjit Shah"/>
    <s v="-"/>
  </r>
  <r>
    <n v="6506"/>
    <n v="20058819"/>
    <s v="Charusheela Santosh"/>
    <s v="AMNS Khopoli"/>
    <s v="Onroll"/>
    <s v="New Acquisition"/>
    <n v="17"/>
    <m/>
    <s v="NA"/>
    <s v="F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9-07-17T00:00:00"/>
    <s v="44.02"/>
    <d v="2005-11-21T00:00:00"/>
    <d v="2039-07-31T00:00:00"/>
    <m/>
    <d v="2039-07-31T00:00:00"/>
    <n v="5793"/>
    <s v=""/>
    <s v=""/>
    <s v=""/>
    <s v="17.09"/>
    <s v="17.09"/>
    <s v="73800002"/>
    <s v="Procurement - Pune Asset"/>
    <s v="305027"/>
    <s v="New Acquisition"/>
    <s v="Khopoli staff"/>
    <s v="0000100010"/>
    <s v="HOM-COMM. &amp; PROCTS"/>
    <s v="1111KHOP"/>
    <s v="20006536"/>
    <s v="Mahesh Salunke"/>
    <s v="No"/>
    <s v="charusheela.ware@amns.in"/>
    <s v="8879994213"/>
    <s v="1022199"/>
    <s v="Pritam Debbarma"/>
    <s v="Anil Matoo"/>
    <s v="-"/>
    <s v="Manjit Shah"/>
    <s v="-"/>
  </r>
  <r>
    <n v="6507"/>
    <n v="20058820"/>
    <s v="Rajesh Mistry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Other West"/>
    <s v="OEM"/>
    <s v=""/>
    <s v="Non Technical Support"/>
    <s v="Operations"/>
    <s v="Operations"/>
    <s v="72103001"/>
    <s v="Operations"/>
    <s v="Pune"/>
    <d v="1969-04-04T00:00:00"/>
    <s v="54.05"/>
    <d v="2007-05-14T00:00:00"/>
    <d v="2029-04-30T00:00:00"/>
    <m/>
    <d v="2029-04-30T00:00:00"/>
    <n v="2049"/>
    <s v=""/>
    <s v=""/>
    <s v=""/>
    <s v="16.04"/>
    <s v="16.04"/>
    <s v="00051380"/>
    <s v="Sales &amp; Marketing"/>
    <s v="305028"/>
    <s v="New Acquisition"/>
    <s v="Khopoli staff"/>
    <s v="0000120001"/>
    <s v="PUNE BRANCH"/>
    <s v="1111KHOP"/>
    <s v="20058920"/>
    <s v="Atul Singh"/>
    <s v="No"/>
    <s v="rajesh.mistry@amns.in"/>
    <s v="9923004854"/>
    <s v="1022204"/>
    <s v="Pritam Debbarma"/>
    <s v="Anil Matoo"/>
    <s v="-"/>
    <s v="Manjit Shah"/>
    <s v="-"/>
  </r>
  <r>
    <n v="6508"/>
    <n v="20058821"/>
    <s v="Mansi Shelar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OEM"/>
    <s v=""/>
    <s v="Non Technical Support"/>
    <s v="Operations"/>
    <s v="Operations"/>
    <s v="72103001"/>
    <s v="Operations"/>
    <s v="Khopoli"/>
    <d v="1968-03-03T00:00:00"/>
    <s v="55.06"/>
    <d v="1996-09-10T00:00:00"/>
    <d v="2028-03-31T00:00:00"/>
    <m/>
    <d v="2028-03-31T00:00:00"/>
    <n v="1654"/>
    <s v=""/>
    <s v=""/>
    <s v=""/>
    <s v="27.00"/>
    <s v="27.00"/>
    <s v="00051380"/>
    <s v="Sales &amp; Marketing"/>
    <s v="305029"/>
    <s v="New Acquisition"/>
    <s v="Khopoli staff"/>
    <s v="0000100013"/>
    <s v="HOM-SALE&amp;MKTG-OEM"/>
    <s v="1111KHOP"/>
    <s v="20058920"/>
    <s v="Atul Singh"/>
    <s v="No"/>
    <s v="mansi.shelar@amns.in"/>
    <s v="8879994069"/>
    <s v="1022212"/>
    <s v="Pritam Debbarma"/>
    <s v="Anil Matoo"/>
    <s v="-"/>
    <s v="Manjit Shah"/>
    <s v="-"/>
  </r>
  <r>
    <n v="6509"/>
    <n v="20058822"/>
    <s v="Manas Sahu"/>
    <s v="AM/NS India"/>
    <s v="Onroll"/>
    <s v="M-8"/>
    <n v="8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Pune"/>
    <d v="1976-07-01T00:00:00"/>
    <s v="47.02"/>
    <d v="2008-01-05T00:00:00"/>
    <d v="2034-06-30T00:00:00"/>
    <m/>
    <d v="2034-06-30T00:00:00"/>
    <n v="3936"/>
    <s v=""/>
    <s v=""/>
    <s v=""/>
    <s v="15.08"/>
    <s v="15.08"/>
    <s v="00043882"/>
    <s v="International Sales"/>
    <s v="305030"/>
    <s v="KAM - Coated Sales"/>
    <s v="Hypermart"/>
    <s v="0031950057"/>
    <s v="HZ-HRC - Marketing"/>
    <s v="2000HWO"/>
    <s v="20037071"/>
    <s v="Amit Chandaliya"/>
    <s v="No"/>
    <s v="manas.sahu@amns.in"/>
    <s v="9823682121"/>
    <s v="1022239"/>
    <s v="Dhruv Vyas"/>
    <s v="Anil Matoo"/>
    <s v="Praveen Kuruvalli"/>
    <s v="Dhruv Vyas"/>
    <n v="0"/>
  </r>
  <r>
    <n v="6510"/>
    <n v="20058823"/>
    <s v="Yash Sacha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Delhi"/>
    <d v="1978-12-04T00:00:00"/>
    <s v="44.09"/>
    <d v="2008-09-15T00:00:00"/>
    <d v="2038-12-31T00:00:00"/>
    <m/>
    <d v="2038-12-31T00:00:00"/>
    <n v="5581"/>
    <s v=""/>
    <s v=""/>
    <s v=""/>
    <s v="15.00"/>
    <s v="15.00"/>
    <s v="00051380"/>
    <s v="Sales &amp; Marketing"/>
    <s v="305031"/>
    <s v="New Acquisition"/>
    <s v="Khopoli staff"/>
    <s v="0000120004"/>
    <s v="DELHI BRANCH"/>
    <s v="1111KHOP"/>
    <s v="20058920"/>
    <s v="Atul Singh"/>
    <s v="No"/>
    <s v="yash.sachan@amns.in"/>
    <s v="9717733044"/>
    <s v="1022245"/>
    <s v="Pritam Debbarma"/>
    <s v="Anil Matoo"/>
    <s v="-"/>
    <s v="Manjit Shah"/>
    <s v="-"/>
  </r>
  <r>
    <n v="6511"/>
    <n v="20058824"/>
    <s v="Yogendra Ahe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Pune"/>
    <d v="1979-05-14T00:00:00"/>
    <s v="44.04"/>
    <d v="2007-08-06T00:00:00"/>
    <d v="2039-05-31T00:00:00"/>
    <m/>
    <d v="2039-05-31T00:00:00"/>
    <n v="5732"/>
    <s v=""/>
    <s v=""/>
    <s v=""/>
    <s v="16.01"/>
    <s v="16.01"/>
    <s v="00051380"/>
    <s v="Sales &amp; Marketing"/>
    <s v="305032"/>
    <s v="New Acquisition"/>
    <s v="Khopoli staff"/>
    <s v="0000120001"/>
    <s v="PUNE BRANCH"/>
    <s v="1111KHOP"/>
    <s v="20058920"/>
    <s v="Atul Singh"/>
    <s v="No"/>
    <s v="yogendra.aher@amns.in"/>
    <s v="9923004857"/>
    <s v="1022248"/>
    <s v="Pritam Debbarma"/>
    <s v="Anil Matoo"/>
    <s v="-"/>
    <s v="Manjit Shah"/>
    <s v="-"/>
  </r>
  <r>
    <n v="6512"/>
    <n v="20058825"/>
    <s v="Dattatrey Mahaja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Khopoli"/>
    <d v="1982-05-24T00:00:00"/>
    <s v="41.03"/>
    <d v="2007-07-06T00:00:00"/>
    <d v="2042-05-31T00:00:00"/>
    <m/>
    <d v="2042-05-31T00:00:00"/>
    <n v="6828"/>
    <s v=""/>
    <s v=""/>
    <s v=""/>
    <s v="16.02"/>
    <s v="16.02"/>
    <s v="00051380"/>
    <s v="Sales &amp; Marketing"/>
    <s v="305033"/>
    <s v="New Acquisition"/>
    <s v="Khopoli staff"/>
    <s v="0000100013"/>
    <s v="HOM-SALE&amp;MKTG-OEM"/>
    <s v="1111KHOP"/>
    <s v="20016382"/>
    <s v="Kunal Bhardwaj"/>
    <s v="No"/>
    <s v="dattatrey.mahajan@amns.in"/>
    <s v="8879994071"/>
    <s v="1022253"/>
    <s v="Pritam Debbarma"/>
    <s v="Anil Matoo"/>
    <s v="-"/>
    <s v="Manjit Shah"/>
    <s v="-"/>
  </r>
  <r>
    <n v="6513"/>
    <n v="20058826"/>
    <s v="Sudhir Shel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Khopoli"/>
    <d v="1974-08-06T00:00:00"/>
    <s v="49.01"/>
    <d v="1997-05-02T00:00:00"/>
    <d v="2034-08-31T00:00:00"/>
    <m/>
    <d v="2034-08-31T00:00:00"/>
    <n v="3998"/>
    <s v=""/>
    <s v=""/>
    <s v=""/>
    <s v="26.04"/>
    <s v="26.04"/>
    <s v="00051380"/>
    <s v="Sales &amp; Marketing"/>
    <s v="305034"/>
    <s v="New Acquisition"/>
    <s v="Khopoli staff"/>
    <s v="0000120001"/>
    <s v="PUNE BRANCH"/>
    <s v="1111KHOP"/>
    <s v="20058920"/>
    <s v="Atul Singh"/>
    <s v="No"/>
    <s v="sudhir.shelar@amns.in"/>
    <s v="9923004853"/>
    <s v="1022257"/>
    <s v="Pritam Debbarma"/>
    <s v="Anil Matoo"/>
    <s v="-"/>
    <s v="Manjit Shah"/>
    <s v="-"/>
  </r>
  <r>
    <n v="6514"/>
    <n v="20058827"/>
    <s v="Shailesh Tiwar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Khopoli"/>
    <d v="1974-09-07T00:00:00"/>
    <s v="49.00"/>
    <d v="2012-01-16T00:00:00"/>
    <d v="2034-09-30T00:00:00"/>
    <m/>
    <d v="2034-09-30T00:00:00"/>
    <n v="4028"/>
    <s v=""/>
    <s v=""/>
    <s v=""/>
    <s v="11.08"/>
    <s v="11.08"/>
    <s v="00051380"/>
    <s v="Sales &amp; Marketing"/>
    <s v="305035"/>
    <s v="New Acquisition"/>
    <s v="Khopoli staff"/>
    <s v="0000100004"/>
    <s v="HOM-DIRECTOR &amp; CEO"/>
    <s v="1111KHOP"/>
    <s v="20058920"/>
    <s v="Atul Singh"/>
    <s v="Yes"/>
    <s v="shailesh.tiwari@amns.in"/>
    <s v="8879994074"/>
    <s v="1022262"/>
    <s v="Pritam Debbarma"/>
    <s v="Anil Matoo"/>
    <s v="-"/>
    <s v="Manjit Shah"/>
    <s v="-"/>
  </r>
  <r>
    <n v="6515"/>
    <n v="20058830"/>
    <s v="Harsh Mathu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75-06-23T00:00:00"/>
    <s v="48.02"/>
    <d v="2009-09-24T00:00:00"/>
    <d v="2035-06-30T00:00:00"/>
    <m/>
    <d v="2035-06-30T00:00:00"/>
    <n v="4301"/>
    <s v=""/>
    <s v=""/>
    <s v=""/>
    <s v="13.11"/>
    <s v="13.11"/>
    <s v="00051278"/>
    <s v="Stores &amp; Warehouse"/>
    <s v="305038"/>
    <s v="New Acquisition"/>
    <s v="Khopoli staff"/>
    <s v="0000309007"/>
    <s v="CGL-STORES_DEPT"/>
    <s v="1111KHOP"/>
    <s v="20058695"/>
    <s v="Shrigopal Bhati"/>
    <s v="No"/>
    <s v="harsh.mathur@amns.in"/>
    <s v="8879994085"/>
    <s v="1022360"/>
    <s v="Pritam Debbarma"/>
    <s v="Anil Matoo"/>
    <s v="-"/>
    <s v="Manjit Shah"/>
    <s v="-"/>
  </r>
  <r>
    <n v="6516"/>
    <n v="20058831"/>
    <s v="Manoj Salian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4-12-05T00:00:00"/>
    <s v="48.09"/>
    <d v="2010-12-13T00:00:00"/>
    <d v="2034-12-31T00:00:00"/>
    <m/>
    <d v="2034-12-31T00:00:00"/>
    <n v="4120"/>
    <s v=""/>
    <s v=""/>
    <s v=""/>
    <s v="12.09"/>
    <s v="12.09"/>
    <s v="00051364"/>
    <s v="Purchase"/>
    <s v="305039"/>
    <s v="New Acquisition"/>
    <s v="Khopoli staff"/>
    <s v="0000100010"/>
    <s v="HOM-COMM. &amp; PROCTS"/>
    <s v="1111KHOP"/>
    <s v="20006536"/>
    <s v="Mahesh Salunke"/>
    <s v="Yes"/>
    <s v="manoj.salian@amns.in"/>
    <s v="8879994136"/>
    <s v="1022361"/>
    <s v="Pritam Debbarma"/>
    <s v="Anil Matoo"/>
    <s v="-"/>
    <s v="Manjit Shah"/>
    <s v="-"/>
  </r>
  <r>
    <n v="6517"/>
    <n v="20058832"/>
    <s v="Amit Rane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0-02-12T00:00:00"/>
    <s v="43.07"/>
    <d v="2006-04-15T00:00:00"/>
    <d v="2040-02-29T00:00:00"/>
    <m/>
    <d v="2040-02-29T00:00:00"/>
    <n v="6006"/>
    <s v=""/>
    <s v=""/>
    <s v=""/>
    <s v="17.05"/>
    <s v="17.05"/>
    <s v="73800002"/>
    <s v="Procurement - Pune Asset"/>
    <s v="305040"/>
    <s v="New Acquisition"/>
    <s v="Khopoli staff"/>
    <s v="0000100010"/>
    <s v="HOM-COMM. &amp; PROCTS"/>
    <s v="1111KHOP"/>
    <s v="20006536"/>
    <s v="Mahesh Salunke"/>
    <s v="No"/>
    <s v="amit.rane@amns.in"/>
    <s v="8879994139"/>
    <s v="1022362"/>
    <s v="Pritam Debbarma"/>
    <s v="Anil Matoo"/>
    <s v="-"/>
    <s v="Manjit Shah"/>
    <s v="-"/>
  </r>
  <r>
    <n v="6519"/>
    <n v="20058837"/>
    <s v="Ravindra Yadav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11-21T00:00:00"/>
    <s v="46.09"/>
    <d v="2011-05-05T00:00:00"/>
    <d v="2036-11-30T00:00:00"/>
    <m/>
    <d v="2036-11-30T00:00:00"/>
    <n v="4820"/>
    <s v=""/>
    <s v=""/>
    <s v=""/>
    <s v="12.04"/>
    <s v="12.04"/>
    <s v="70418543"/>
    <s v="Finance Controller"/>
    <s v="305045"/>
    <s v="New Acquisition"/>
    <s v="Khopoli staff"/>
    <s v="0000100006"/>
    <s v="HOM-ACCOUNTS &amp; FIN"/>
    <s v="1111KHOP"/>
    <s v="0"/>
    <s v=""/>
    <s v="No"/>
    <s v="ravindra.yadav@amns.in"/>
    <s v="8879994177"/>
    <s v="1022369"/>
    <s v="Pritam Debbarma"/>
    <s v="Anil Matoo"/>
    <s v="-"/>
    <s v="Manjit Shah"/>
    <s v="-"/>
  </r>
  <r>
    <n v="6520"/>
    <n v="20058839"/>
    <s v="Vithal Phadake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Hypermart"/>
    <s v="Hypermart "/>
    <s v=""/>
    <s v="Non Technical Support"/>
    <s v="Operations"/>
    <s v="Operations"/>
    <s v="72103001"/>
    <s v="Operations"/>
    <s v="Khopoli"/>
    <d v="1964-10-23T00:00:00"/>
    <s v="58.10"/>
    <d v="2000-12-01T00:00:00"/>
    <d v="2024-10-31T00:00:00"/>
    <m/>
    <d v="2024-10-31T00:00:00"/>
    <n v="407"/>
    <s v=""/>
    <s v=""/>
    <s v=""/>
    <s v="22.09"/>
    <s v="22.09"/>
    <s v="00051064"/>
    <s v="AMNS Khopoli Limited"/>
    <s v="305047"/>
    <s v="New Acquisition"/>
    <s v="Khopoli staff"/>
    <s v="0000120001"/>
    <s v="PUNE BRANCH"/>
    <s v="1111KHOP"/>
    <s v="20058920"/>
    <s v="Atul Singh"/>
    <s v="No"/>
    <s v="vitthal.phadke@amns.in"/>
    <s v="9923004851"/>
    <s v=""/>
    <s v="Pritam Debbarma"/>
    <s v="Anil Matoo"/>
    <s v="-"/>
    <s v="Manjit Shah"/>
    <s v="-"/>
  </r>
  <r>
    <n v="6521"/>
    <n v="20058840"/>
    <s v="Sumeer Raina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Coated Sales"/>
    <s v="Coated Sales"/>
    <s v=""/>
    <s v="Non Technical Support"/>
    <s v="Operations"/>
    <s v="Operations"/>
    <s v="72103001"/>
    <s v="Operations"/>
    <s v="Pune"/>
    <d v="1972-02-29T00:00:00"/>
    <s v="51.06"/>
    <d v="2006-07-03T00:00:00"/>
    <d v="2032-02-29T00:00:00"/>
    <m/>
    <d v="2032-02-29T00:00:00"/>
    <n v="3084"/>
    <s v=""/>
    <s v=""/>
    <s v=""/>
    <s v="17.02"/>
    <s v="17.02"/>
    <s v="00043882"/>
    <s v="International Sales"/>
    <s v="305048"/>
    <s v="New Acquisition"/>
    <s v="Khopoli staff"/>
    <s v="0000120001"/>
    <s v="PUNE BRANCH"/>
    <s v="1111KHOP"/>
    <s v="20037071"/>
    <s v="Amit Chandaliya"/>
    <s v="No"/>
    <s v="sumeer.raina@amns.in"/>
    <s v="9923004856"/>
    <s v="1022374"/>
    <s v="Pritam Debbarma"/>
    <s v="Anil Matoo"/>
    <s v="-"/>
    <s v="Manjit Shah"/>
    <s v="-"/>
  </r>
  <r>
    <n v="6522"/>
    <n v="20058843"/>
    <s v="Shivprasad Shetty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12-19T00:00:00"/>
    <s v="56.09"/>
    <d v="1996-04-08T00:00:00"/>
    <d v="2026-12-31T00:00:00"/>
    <m/>
    <d v="2026-12-31T00:00:00"/>
    <n v="1198"/>
    <s v=""/>
    <s v=""/>
    <s v=""/>
    <s v="27.05"/>
    <s v="27.05"/>
    <s v="00051329"/>
    <s v="Finance &amp; Accounts"/>
    <s v="305051"/>
    <s v="New Acquisition"/>
    <s v="Khopoli staff"/>
    <s v="0000100006"/>
    <s v="HOM-ACCOUNTS &amp; FIN"/>
    <s v="1111KHOP"/>
    <s v="20058805"/>
    <s v="Sunil Sharma"/>
    <s v="No"/>
    <s v="k.prasad@amns.in"/>
    <s v="9892850559"/>
    <s v="1022379"/>
    <s v="Pritam Debbarma"/>
    <s v="Anil Matoo"/>
    <s v="-"/>
    <s v="Manjit Shah"/>
    <s v="-"/>
  </r>
  <r>
    <n v="6523"/>
    <n v="20058846"/>
    <s v="Mitra Sharma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North"/>
    <s v="OEM"/>
    <s v=""/>
    <s v="Non Technical Support"/>
    <s v="Operations"/>
    <s v="Operations"/>
    <s v="72103001"/>
    <s v="Operations"/>
    <s v="Delhi"/>
    <d v="1965-04-12T00:00:00"/>
    <s v="58.05"/>
    <d v="2009-06-02T00:00:00"/>
    <d v="2025-04-30T00:00:00"/>
    <m/>
    <d v="2025-04-30T00:00:00"/>
    <n v="588"/>
    <s v=""/>
    <s v=""/>
    <s v=""/>
    <s v="14.03"/>
    <s v="14.03"/>
    <s v="00051380"/>
    <s v="Sales &amp; Marketing"/>
    <s v="305054"/>
    <s v="New Acquisition"/>
    <s v="Khopoli staff"/>
    <s v="0000120004"/>
    <s v="DELHI BRANCH"/>
    <s v="1111KHOP"/>
    <s v="20058920"/>
    <s v="Atul Singh"/>
    <s v="No"/>
    <s v="mitra.bandhu@amns.in"/>
    <s v="9810939550"/>
    <s v="1022382"/>
    <s v="Pritam Debbarma"/>
    <s v="Anil Matoo"/>
    <s v="-"/>
    <s v="Manjit Shah"/>
    <s v="-"/>
  </r>
  <r>
    <n v="6524"/>
    <n v="20058847"/>
    <s v="Mahesh Malhotra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Coated Sales"/>
    <s v="Coated Sales"/>
    <s v=""/>
    <s v="Non Technical Support"/>
    <s v="Operations"/>
    <s v="Operations"/>
    <s v="72103001"/>
    <s v="Operations"/>
    <s v="Delhi"/>
    <d v="1970-06-10T00:00:00"/>
    <s v="53.03"/>
    <d v="2007-11-17T00:00:00"/>
    <d v="2030-06-30T00:00:00"/>
    <m/>
    <d v="2030-06-30T00:00:00"/>
    <n v="2475"/>
    <s v=""/>
    <s v=""/>
    <s v=""/>
    <s v="15.10"/>
    <s v="15.10"/>
    <s v="00043882"/>
    <s v="International Sales"/>
    <s v="305055"/>
    <s v="New Acquisition"/>
    <s v="Khopoli staff"/>
    <s v="0000120004"/>
    <s v="DELHI BRANCH"/>
    <s v="1111KHOP"/>
    <s v="20037071"/>
    <s v="Amit Chandaliya"/>
    <s v="No"/>
    <s v="mahesh.malhothra@amns.in"/>
    <s v="9818806509"/>
    <s v="1022153"/>
    <s v="Pritam Debbarma"/>
    <s v="Anil Matoo"/>
    <s v="-"/>
    <s v="Manjit Shah"/>
    <s v="-"/>
  </r>
  <r>
    <n v="6525"/>
    <n v="20058849"/>
    <s v="Sunil Kum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Planning"/>
    <s v="Order Entry"/>
    <s v=""/>
    <s v="Non Technical Support"/>
    <s v="Operations"/>
    <s v="Operations"/>
    <s v="72103001"/>
    <s v="Operations"/>
    <s v="Pune"/>
    <d v="1983-02-04T00:00:00"/>
    <s v="40.07"/>
    <d v="2012-06-01T00:00:00"/>
    <d v="2043-02-28T00:00:00"/>
    <m/>
    <d v="2043-02-28T00:00:00"/>
    <n v="7101"/>
    <s v=""/>
    <s v=""/>
    <s v=""/>
    <s v="11.03"/>
    <s v="11.03"/>
    <s v="00051380"/>
    <s v="Sales &amp; Marketing"/>
    <s v="305057"/>
    <s v="New Acquisition"/>
    <s v="Khopoli staff"/>
    <s v="0000120001"/>
    <s v="PUNE BRANCH"/>
    <s v="1111KHOP"/>
    <s v="20058920"/>
    <s v="Atul Singh"/>
    <s v="No"/>
    <s v="sunil.kumar@amns.in"/>
    <s v="9923004855"/>
    <s v="1022161"/>
    <s v="Pritam Debbarma"/>
    <s v="Anil Matoo"/>
    <s v="-"/>
    <s v="Manjit Shah"/>
    <s v="-"/>
  </r>
  <r>
    <n v="6526"/>
    <n v="20058850"/>
    <s v="Arvind Poras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North"/>
    <s v="Order Entry"/>
    <s v=""/>
    <s v="Non Technical Support"/>
    <s v="Operations"/>
    <s v="Operations"/>
    <s v="72103001"/>
    <s v="Operations"/>
    <s v="Delhi"/>
    <d v="1990-01-11T00:00:00"/>
    <s v="33.08"/>
    <d v="2011-12-27T00:00:00"/>
    <d v="2050-01-31T00:00:00"/>
    <m/>
    <d v="2050-01-31T00:00:00"/>
    <n v="9630"/>
    <s v=""/>
    <s v=""/>
    <s v=""/>
    <s v="11.08"/>
    <s v="11.08"/>
    <s v="00051380"/>
    <s v="Sales &amp; Marketing"/>
    <s v="305058"/>
    <s v="New Acquisition"/>
    <s v="Khopoli staff"/>
    <s v="0000120004"/>
    <s v="DELHI BRANCH"/>
    <s v="1111KHOP"/>
    <s v="20058920"/>
    <s v="Atul Singh"/>
    <s v="No"/>
    <s v="arvind.poras@amns.in"/>
    <s v="9818656644"/>
    <s v="1022166"/>
    <s v="Pritam Debbarma"/>
    <s v="Anil Matoo"/>
    <s v="-"/>
    <s v="Manjit Shah"/>
    <s v="-"/>
  </r>
  <r>
    <n v="6527"/>
    <n v="20058851"/>
    <s v="Abhishek Garg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3-12-15T00:00:00"/>
    <s v="39.09"/>
    <d v="2012-05-02T00:00:00"/>
    <d v="2043-12-31T00:00:00"/>
    <m/>
    <d v="2043-12-31T00:00:00"/>
    <n v="7407"/>
    <s v=""/>
    <s v=""/>
    <s v=""/>
    <s v="11.04"/>
    <s v="11.04"/>
    <s v="73800002"/>
    <s v="Procurement - Pune Asset"/>
    <s v="305059"/>
    <s v="New Acquisition"/>
    <s v="Khopoli staff"/>
    <s v="0000100010"/>
    <s v="HOM-COMM. &amp; PROCTS"/>
    <s v="1111KHOP"/>
    <s v="20006536"/>
    <s v="Mahesh Salunke"/>
    <s v="No"/>
    <s v="abhishek.garg1@amns.in"/>
    <s v="8411970578"/>
    <s v="1022174"/>
    <s v="Pritam Debbarma"/>
    <s v="Anil Matoo"/>
    <s v="-"/>
    <s v="Manjit Shah"/>
    <s v="-"/>
  </r>
  <r>
    <n v="6528"/>
    <n v="20058852"/>
    <s v="Sunil Padalka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69-09-05T00:00:00"/>
    <s v="54.00"/>
    <d v="2009-01-01T00:00:00"/>
    <d v="2029-09-30T00:00:00"/>
    <m/>
    <d v="2029-09-30T00:00:00"/>
    <n v="2202"/>
    <s v=""/>
    <s v=""/>
    <s v=""/>
    <s v="14.08"/>
    <s v="14.08"/>
    <s v="00051220"/>
    <s v="Administration &amp; Security"/>
    <s v="305060"/>
    <s v="New Acquisition"/>
    <s v="Khopoli staff"/>
    <s v="0000290002"/>
    <s v="FAC-PERSONAL &amp; ADM"/>
    <s v="1111KHOP"/>
    <s v="20057887"/>
    <s v="Kiran Vaidya"/>
    <s v="No"/>
    <s v="sunil.padalkar@amns.in"/>
    <s v="9619472111"/>
    <s v="1042812"/>
    <s v="Pritam Debbarma"/>
    <s v="Anil Matoo"/>
    <s v="-"/>
    <s v="Manjit Shah"/>
    <s v="-"/>
  </r>
  <r>
    <n v="6530"/>
    <n v="20058854"/>
    <s v="Satishkumar .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outh"/>
    <s v="OEM"/>
    <s v=""/>
    <s v="Non Technical Support"/>
    <s v="Operations"/>
    <s v="Operations"/>
    <s v="72103001"/>
    <s v="Operations"/>
    <s v="Bangalore"/>
    <d v="1984-06-01T00:00:00"/>
    <s v="39.03"/>
    <d v="2012-10-03T00:00:00"/>
    <d v="2044-05-31T00:00:00"/>
    <m/>
    <d v="2044-05-31T00:00:00"/>
    <n v="7559"/>
    <s v=""/>
    <s v=""/>
    <s v=""/>
    <s v="10.11"/>
    <s v="10.11"/>
    <s v="00051380"/>
    <s v="Sales &amp; Marketing"/>
    <s v="305062"/>
    <s v="New Acquisition"/>
    <s v="Khopoli staff"/>
    <s v="0000120005"/>
    <s v="BANGALORE BRANCH"/>
    <s v="1111KHOP"/>
    <s v="20058920"/>
    <s v="Atul Singh"/>
    <s v="No"/>
    <s v="satish.kumar@amns.in"/>
    <s v="9008450123"/>
    <s v="1022188"/>
    <s v="Pritam Debbarma"/>
    <s v="Anil Matoo"/>
    <s v="-"/>
    <s v="Manjit Shah"/>
    <s v="-"/>
  </r>
  <r>
    <n v="6545"/>
    <n v="20058869"/>
    <s v="Ganesh More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79-07-26T00:00:00"/>
    <s v="44.01"/>
    <d v="2013-05-14T00:00:00"/>
    <d v="2039-07-31T00:00:00"/>
    <m/>
    <d v="2039-07-31T00:00:00"/>
    <n v="5793"/>
    <s v=""/>
    <s v=""/>
    <s v=""/>
    <s v="10.04"/>
    <s v="10.04"/>
    <s v="73800002"/>
    <s v="Procurement - Pune Asset"/>
    <s v="305077"/>
    <s v="New Acquisition"/>
    <s v="Khopoli staff"/>
    <s v="0000100010"/>
    <s v="HOM-COMM. &amp; PROCTS"/>
    <s v="1111KHOP"/>
    <s v="20006536"/>
    <s v="Mahesh Salunke"/>
    <s v="No"/>
    <s v="ganesh.more@amns.in"/>
    <s v="8879994492"/>
    <s v="1022214"/>
    <s v="Pritam Debbarma"/>
    <s v="Anil Matoo"/>
    <s v="-"/>
    <s v="Manjit Shah"/>
    <s v="-"/>
  </r>
  <r>
    <n v="6555"/>
    <n v="20058879"/>
    <s v="Suraj Jaronde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0-08-11T00:00:00"/>
    <s v="43.01"/>
    <d v="2013-06-01T00:00:00"/>
    <d v="2040-08-31T00:00:00"/>
    <m/>
    <d v="2040-08-31T00:00:00"/>
    <n v="6190"/>
    <s v=""/>
    <s v=""/>
    <s v=""/>
    <s v="10.03"/>
    <s v="10.03"/>
    <s v="73800002"/>
    <s v="Procurement - Pune Asset"/>
    <s v="305087"/>
    <s v="New Acquisition"/>
    <s v="Khopoli staff"/>
    <s v="0000100010"/>
    <s v="HOM-COMM. &amp; PROCTS"/>
    <s v="1111KHOP"/>
    <s v="20006536"/>
    <s v="Mahesh Salunke"/>
    <s v="No"/>
    <s v="suraj.jaronde@amns.in"/>
    <s v="8411970843"/>
    <s v="1022223"/>
    <s v="Pritam Debbarma"/>
    <s v="Anil Matoo"/>
    <s v="-"/>
    <s v="Manjit Shah"/>
    <s v="-"/>
  </r>
  <r>
    <n v="6568"/>
    <n v="20058892"/>
    <s v="Nishant Deelwal"/>
    <s v="AM/NS India"/>
    <s v="Onroll"/>
    <s v="M-9"/>
    <n v="9"/>
    <m/>
    <s v="JM"/>
    <s v="M"/>
    <s v="Hypermart"/>
    <n v="5"/>
    <s v="2031"/>
    <x v="10"/>
    <s v="14.01"/>
    <s v="Ranjan Dhar"/>
    <s v="Alain Legrix De La Salle"/>
    <n v="3"/>
    <s v="Sales &amp; Marketing"/>
    <s v="Sales &amp; Marketing"/>
    <s v="14"/>
    <s v="Sales Manager - Hypermart"/>
    <m/>
    <s v="South"/>
    <s v="Hypermart"/>
    <s v=""/>
    <s v="Non Technical Support"/>
    <s v="Operations"/>
    <s v="Operations"/>
    <s v="72103001"/>
    <s v="Operations"/>
    <s v="Pune"/>
    <d v="1981-05-12T00:00:00"/>
    <s v="42.04"/>
    <d v="2014-01-01T00:00:00"/>
    <d v="2039-05-31T00:00:00"/>
    <m/>
    <d v="2039-05-31T00:00:00"/>
    <n v="5732"/>
    <s v=""/>
    <s v=""/>
    <s v=""/>
    <s v="09.08"/>
    <s v="09.08"/>
    <s v="00048814"/>
    <s v="Sales South Zone – Hypermart"/>
    <s v="305100"/>
    <s v="Sales Manager - Hypermart"/>
    <s v="Hypermart"/>
    <s v="0031950057"/>
    <s v="HZ-HRC - Marketing"/>
    <s v="2000SRET"/>
    <s v="20056279"/>
    <s v="Arun G"/>
    <s v="No"/>
    <s v="nishant.deelwal@amns.in"/>
    <s v="8879994091"/>
    <s v="1022249"/>
    <s v="Dhruv Vyas"/>
    <s v="Anil Matoo"/>
    <s v="Praveen Kuruvalli"/>
    <s v="Dhruv Vyas"/>
    <n v="0"/>
  </r>
  <r>
    <n v="6573"/>
    <n v="20058897"/>
    <s v="Dhananjay Pawar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90-07-08T00:00:00"/>
    <s v="33.02"/>
    <d v="2014-05-02T00:00:00"/>
    <d v="2050-07-31T00:00:00"/>
    <m/>
    <d v="2050-07-31T00:00:00"/>
    <n v="9811"/>
    <s v=""/>
    <s v=""/>
    <s v=""/>
    <s v="09.04"/>
    <s v="09.04"/>
    <s v="00051278"/>
    <s v="Stores &amp; Warehouse"/>
    <s v="305105"/>
    <s v="New Acquisition"/>
    <s v="Khopoli staff"/>
    <s v="0000509007"/>
    <s v="CCL-STORES_DEPT"/>
    <s v="1111KHOP"/>
    <s v="20058695"/>
    <s v="Shrigopal Bhati"/>
    <s v="No"/>
    <s v="dhananjay.pawar@amns.in"/>
    <s v="9821952033"/>
    <s v="1042814"/>
    <s v="Pritam Debbarma"/>
    <s v="Anil Matoo"/>
    <s v="-"/>
    <s v="Manjit Shah"/>
    <s v="-"/>
  </r>
  <r>
    <n v="6577"/>
    <n v="20058901"/>
    <s v="Mahesh Mohite"/>
    <s v="AMNS Khopoli"/>
    <s v="Onroll"/>
    <s v="New Acquisition"/>
    <n v="17"/>
    <m/>
    <s v="NA"/>
    <s v="M"/>
    <s v="Khopoli"/>
    <n v="9"/>
    <s v="1126"/>
    <x v="7"/>
    <s v="34.01"/>
    <s v="Hrishikesh Kamat"/>
    <s v="Hrishikesh Kamat"/>
    <n v="7"/>
    <s v="Procurement"/>
    <s v="Stores &amp; Warehouse"/>
    <s v="34"/>
    <m/>
    <m/>
    <s v="Stores &amp; Warehouse"/>
    <s v=""/>
    <s v=""/>
    <s v="Non Technical Support"/>
    <s v="Operations"/>
    <s v="Operations"/>
    <s v="72103001"/>
    <s v="Operations"/>
    <s v="Khopoli"/>
    <d v="1982-10-11T00:00:00"/>
    <s v="40.11"/>
    <d v="2014-06-09T00:00:00"/>
    <d v="2042-10-31T00:00:00"/>
    <m/>
    <d v="2042-10-31T00:00:00"/>
    <n v="6981"/>
    <s v=""/>
    <s v=""/>
    <s v=""/>
    <s v="09.03"/>
    <s v="09.03"/>
    <s v="00051278"/>
    <s v="Stores &amp; Warehouse"/>
    <s v="305109"/>
    <s v="New Acquisition"/>
    <s v="Khopoli staff"/>
    <s v="0000249007"/>
    <s v="SSC-STORES_DEPT"/>
    <s v="1111KHOP"/>
    <s v="20058695"/>
    <s v="Shrigopal Bhati"/>
    <s v="No"/>
    <s v="mahesh.mohite@amns.in"/>
    <s v="9823796143"/>
    <s v="1022226"/>
    <s v="Pritam Debbarma"/>
    <s v="Anil Matoo"/>
    <s v="-"/>
    <s v="Manjit Shah"/>
    <s v="-"/>
  </r>
  <r>
    <n v="6582"/>
    <n v="20058909"/>
    <s v="Ajay Wadek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Nanded"/>
    <d v="1976-06-08T00:00:00"/>
    <s v="47.03"/>
    <d v="2015-05-29T00:00:00"/>
    <d v="2036-06-30T00:00:00"/>
    <m/>
    <d v="2036-06-30T00:00:00"/>
    <n v="4667"/>
    <s v=""/>
    <s v=""/>
    <s v=""/>
    <s v="08.03"/>
    <s v="08.03"/>
    <s v="00051380"/>
    <s v="Sales &amp; Marketing"/>
    <s v="305117"/>
    <s v="New Acquisition"/>
    <s v="Khopoli staff"/>
    <s v="0000100015"/>
    <s v="HOM-SALE&amp;MKTG-TRADE"/>
    <s v="1111KHOP"/>
    <s v="20058920"/>
    <s v="Atul Singh"/>
    <s v="No"/>
    <s v="ajay.wadekar@amns.in"/>
    <s v="9850967680"/>
    <s v="1022274"/>
    <s v="Pritam Debbarma"/>
    <s v="Anil Matoo"/>
    <s v="-"/>
    <s v="Manjit Shah"/>
    <s v="-"/>
  </r>
  <r>
    <n v="6584"/>
    <n v="20058911"/>
    <s v="Sumitra Das"/>
    <s v="AMNS Khopoli"/>
    <s v="Onroll"/>
    <s v="New Acquisition"/>
    <n v="17"/>
    <m/>
    <s v="NA"/>
    <s v="F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Technical Marketing &amp; Application Engineering"/>
    <s v="Technical Marketing &amp; Application Engineering"/>
    <s v=""/>
    <s v="Non Technical Support"/>
    <s v="Operations"/>
    <s v="Operations"/>
    <s v="72103001"/>
    <s v="Operations"/>
    <s v="Delhi"/>
    <d v="1982-08-07T00:00:00"/>
    <s v="41.01"/>
    <d v="2015-08-10T00:00:00"/>
    <d v="2042-08-31T00:00:00"/>
    <m/>
    <d v="2042-08-31T00:00:00"/>
    <n v="6920"/>
    <s v=""/>
    <s v=""/>
    <s v=""/>
    <s v="08.01"/>
    <s v="08.01"/>
    <s v="00051380"/>
    <s v="Sales &amp; Marketing"/>
    <s v="305119"/>
    <s v="New Acquisition"/>
    <s v="Khopoli staff"/>
    <s v="0000100015"/>
    <s v="HOM-SALE&amp;MKTG-TRADE"/>
    <s v="1111KHOP"/>
    <s v="20058920"/>
    <s v="Atul Singh"/>
    <s v="No"/>
    <s v="sumitra.das@amns.in"/>
    <s v="9599916356"/>
    <s v="1022277"/>
    <s v="Pritam Debbarma"/>
    <s v="Anil Matoo"/>
    <s v="-"/>
    <s v="Manjit Shah"/>
    <s v="-"/>
  </r>
  <r>
    <n v="6586"/>
    <n v="20058913"/>
    <s v="Sachin Kulkarn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Coated Sales"/>
    <s v="Coated Sales"/>
    <s v=""/>
    <s v="Non Technical Support"/>
    <s v="Operations"/>
    <s v="Operations"/>
    <s v="72103001"/>
    <s v="Operations"/>
    <s v="Pune"/>
    <d v="1971-07-11T00:00:00"/>
    <s v="52.02"/>
    <d v="2015-09-21T00:00:00"/>
    <d v="2031-07-31T00:00:00"/>
    <m/>
    <d v="2031-07-31T00:00:00"/>
    <n v="2871"/>
    <s v=""/>
    <s v=""/>
    <s v=""/>
    <s v="08.00"/>
    <s v="08.00"/>
    <s v="00051380"/>
    <s v="Sales &amp; Marketing"/>
    <s v="305121"/>
    <s v="New Acquisition"/>
    <s v="Khopoli staff"/>
    <s v="0000100013"/>
    <s v="HOM-SALE&amp;MKTG-OEM"/>
    <s v="1111KHOP"/>
    <s v="20058920"/>
    <s v="Atul Singh"/>
    <s v="No"/>
    <s v="sachin.kulkarni@amns.in"/>
    <s v="9923002584"/>
    <s v="1022283"/>
    <s v="Pritam Debbarma"/>
    <s v="Anil Matoo"/>
    <s v="-"/>
    <s v="Manjit Shah"/>
    <s v="-"/>
  </r>
  <r>
    <n v="6589"/>
    <n v="20058916"/>
    <s v="Rakesh Patel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West"/>
    <s v="Hypermart"/>
    <s v=""/>
    <s v="Non Technical Support"/>
    <s v="Operations"/>
    <s v="Operations"/>
    <s v="72103001"/>
    <s v="Operations"/>
    <s v="Ahmedabad"/>
    <d v="1987-06-25T00:00:00"/>
    <s v="36.02"/>
    <d v="2015-11-02T00:00:00"/>
    <d v="2047-06-30T00:00:00"/>
    <m/>
    <d v="2047-06-30T00:00:00"/>
    <n v="8684"/>
    <s v=""/>
    <s v=""/>
    <s v=""/>
    <s v="07.10"/>
    <s v="07.10"/>
    <s v="00051380"/>
    <s v="Sales &amp; Marketing"/>
    <s v="305124"/>
    <s v="New Acquisition"/>
    <s v="Khopoli staff"/>
    <s v="0000100014"/>
    <s v="HOM-SALE&amp;MKTG-EXPORT"/>
    <s v="1111KHOP"/>
    <s v="20058920"/>
    <s v="Atul Singh"/>
    <s v="No"/>
    <s v="rakesh.patel@amns.in"/>
    <s v="7226090600"/>
    <s v="1022296"/>
    <s v="Pritam Debbarma"/>
    <s v="Anil Matoo"/>
    <s v="-"/>
    <s v="Manjit Shah"/>
    <s v="-"/>
  </r>
  <r>
    <n v="6590"/>
    <n v="20058917"/>
    <s v="Aditya Kaushik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North"/>
    <s v="Hypermart"/>
    <s v=""/>
    <s v="Non Technical Support"/>
    <s v="Operations"/>
    <s v="Operations"/>
    <s v="72103001"/>
    <s v="Operations"/>
    <s v="Delhi"/>
    <d v="1982-09-08T00:00:00"/>
    <s v="41.00"/>
    <d v="2015-12-07T00:00:00"/>
    <d v="2042-09-30T00:00:00"/>
    <m/>
    <d v="2042-09-30T00:00:00"/>
    <n v="6950"/>
    <s v=""/>
    <s v=""/>
    <s v=""/>
    <s v="07.09"/>
    <s v="07.09"/>
    <s v="00051380"/>
    <s v="Sales &amp; Marketing"/>
    <s v="305125"/>
    <s v="New Acquisition"/>
    <s v="Khopoli staff"/>
    <s v="0060120600"/>
    <s v="HMART-UP-Ghaziabad"/>
    <s v="1111KHOP"/>
    <s v="20058920"/>
    <s v="Atul Singh"/>
    <s v="No"/>
    <s v="aditya.kaushik@amns.in"/>
    <s v="9871119801"/>
    <s v="1022300"/>
    <s v="Pritam Debbarma"/>
    <s v="Anil Matoo"/>
    <s v="-"/>
    <s v="Manjit Shah"/>
    <s v="-"/>
  </r>
  <r>
    <n v="6591"/>
    <n v="20058920"/>
    <s v="Atul Singh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Sales &amp; Marketing, Khopoli"/>
    <s v=""/>
    <s v="Non Technical Support"/>
    <s v="Operations"/>
    <s v="Operations"/>
    <s v="72103001"/>
    <s v="Operations"/>
    <s v="Khopoli"/>
    <d v="1980-03-25T00:00:00"/>
    <s v="43.05"/>
    <d v="2016-04-04T00:00:00"/>
    <d v="2040-03-31T00:00:00"/>
    <m/>
    <d v="2040-03-31T00:00:00"/>
    <n v="6037"/>
    <s v=""/>
    <s v=""/>
    <s v=""/>
    <s v="07.05"/>
    <s v="07.05"/>
    <s v="00051380"/>
    <s v="Sales &amp; Marketing"/>
    <s v="305128"/>
    <s v="New Acquisition"/>
    <s v="Khopoli staff"/>
    <s v="0000100013"/>
    <s v="HOM-SALE&amp;MKTG-OEM"/>
    <s v="1111KHOP"/>
    <s v="20007104"/>
    <s v="Ranjan Dhar"/>
    <s v="No"/>
    <s v="atul.singh1@amns.in"/>
    <s v="8879994416"/>
    <s v="1022227"/>
    <s v="Pritam Debbarma"/>
    <s v="Anil Matoo"/>
    <s v="-"/>
    <s v="Manjit Shah"/>
    <s v="-"/>
  </r>
  <r>
    <n v="6592"/>
    <n v="20058923"/>
    <s v="Srikanth Santhanam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6-10-18T00:00:00"/>
    <s v="56.11"/>
    <d v="2017-03-06T00:00:00"/>
    <d v="2026-10-31T00:00:00"/>
    <d v="2029-10-31T00:00:00"/>
    <d v="2029-10-31T00:00:00"/>
    <n v="2233"/>
    <s v=""/>
    <s v=""/>
    <s v=""/>
    <s v="06.06"/>
    <s v="06.06"/>
    <s v="70494931"/>
    <s v="Working Capital"/>
    <s v="305131"/>
    <s v="New Acquisition"/>
    <s v="Khopoli staff"/>
    <s v="0000100022"/>
    <s v="HOM-CORPORATE FINANC"/>
    <s v="1111KHOP"/>
    <s v="20000870"/>
    <s v="Balajee M"/>
    <s v="No"/>
    <s v="srikanth.santhanam@amns.in"/>
    <s v="8879994423"/>
    <s v="1022252"/>
    <s v="Pritam Debbarma"/>
    <s v="Anil Matoo"/>
    <s v="-"/>
    <s v="Manjit Shah"/>
    <s v="-"/>
  </r>
  <r>
    <n v="6594"/>
    <n v="20058925"/>
    <s v="Balkrishna Bandre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76-06-01T00:00:00"/>
    <s v="47.03"/>
    <d v="2017-04-01T00:00:00"/>
    <d v="2036-05-31T00:00:00"/>
    <m/>
    <d v="2036-05-31T00:00:00"/>
    <n v="4637"/>
    <s v=""/>
    <s v=""/>
    <s v=""/>
    <s v="06.05"/>
    <s v="06.05"/>
    <s v="00051064"/>
    <s v="AMNS Khopoli Limited"/>
    <s v="305133"/>
    <s v="New Acquisition"/>
    <s v="Khopoli staff"/>
    <s v="0000100006"/>
    <s v="HOM-ACCOUNTS &amp; FIN"/>
    <s v="1111KHOP"/>
    <s v="20059045"/>
    <s v="Navneet Kumar Jain"/>
    <s v="No"/>
    <s v="balkrishna.bandre@amns.in"/>
    <s v="8655794396"/>
    <s v="1022261"/>
    <s v="Pritam Debbarma"/>
    <s v="Anil Matoo"/>
    <s v="-"/>
    <s v="Manjit Shah"/>
    <s v="-"/>
  </r>
  <r>
    <n v="6595"/>
    <n v="20058927"/>
    <s v="Aarti Sherla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91-11-20T00:00:00"/>
    <s v="31.09"/>
    <d v="2017-04-18T00:00:00"/>
    <d v="2051-11-30T00:00:00"/>
    <m/>
    <d v="2051-11-30T00:00:00"/>
    <n v="10298"/>
    <s v=""/>
    <s v=""/>
    <s v=""/>
    <s v="06.05"/>
    <s v="06.05"/>
    <s v="00051329"/>
    <s v="Finance &amp; Accounts"/>
    <s v="305135"/>
    <s v="New Acquisition"/>
    <s v="Khopoli staff"/>
    <s v="0000100006"/>
    <s v="HOM-ACCOUNTS &amp; FIN"/>
    <s v="1111KHOP"/>
    <s v="20058805"/>
    <s v="Sunil Sharma"/>
    <s v="No"/>
    <s v="aarti.sherla@amns.in"/>
    <s v="9702159322"/>
    <s v="1022272"/>
    <s v="Pritam Debbarma"/>
    <s v="Anil Matoo"/>
    <s v="-"/>
    <s v="Manjit Shah"/>
    <s v="-"/>
  </r>
  <r>
    <n v="6596"/>
    <n v="20058928"/>
    <s v="Shrikant Pusdekar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Sales &amp; Marketing"/>
    <s v=""/>
    <s v=""/>
    <s v="Non Technical Support"/>
    <s v="Operations"/>
    <s v="Operations"/>
    <s v="72103001"/>
    <s v="Operations"/>
    <s v="Khopoli"/>
    <d v="1977-04-20T00:00:00"/>
    <s v="46.05"/>
    <d v="2017-08-03T00:00:00"/>
    <d v="2037-04-30T00:00:00"/>
    <m/>
    <d v="2037-04-30T00:00:00"/>
    <n v="4971"/>
    <s v=""/>
    <s v=""/>
    <s v=""/>
    <s v="06.01"/>
    <s v="06.01"/>
    <s v="00051378"/>
    <s v="Exports - Marketing"/>
    <s v="305136"/>
    <s v="New Acquisition"/>
    <s v="Khopoli staff"/>
    <s v="0000100014"/>
    <s v="HOM-SALE&amp;MKTG-EXPORT"/>
    <s v="1111KHOP"/>
    <s v="20058801"/>
    <s v="Shubhangi Patil"/>
    <s v="No"/>
    <s v="shrikant.pusdekar@amns.in"/>
    <s v="8805087800"/>
    <s v="1022286"/>
    <s v="Pritam Debbarma"/>
    <s v="Anil Matoo"/>
    <s v="-"/>
    <s v="Manjit Shah"/>
    <s v="-"/>
  </r>
  <r>
    <n v="6597"/>
    <n v="20058929"/>
    <s v="Shrinivas Matcha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81-07-02T00:00:00"/>
    <s v="42.02"/>
    <d v="2017-07-07T00:00:00"/>
    <d v="2041-07-31T00:00:00"/>
    <m/>
    <d v="2041-07-31T00:00:00"/>
    <n v="6524"/>
    <s v=""/>
    <s v=""/>
    <s v=""/>
    <s v="06.02"/>
    <s v="06.02"/>
    <s v="00051220"/>
    <s v="Administration &amp; Security"/>
    <s v="305137"/>
    <s v="New Acquisition"/>
    <s v="Khopoli staff"/>
    <s v="0000100009"/>
    <s v="HOM-PERSONNEL / HRD"/>
    <s v="1111KHOP"/>
    <s v="20057887"/>
    <s v="Kiran Vaidya"/>
    <s v="No"/>
    <s v="shrinivas.matcha@amns.in"/>
    <s v="8879994016"/>
    <s v="1022290"/>
    <s v="Pritam Debbarma"/>
    <s v="Anil Matoo"/>
    <s v="-"/>
    <s v="Manjit Shah"/>
    <s v="-"/>
  </r>
  <r>
    <n v="6598"/>
    <n v="20058930"/>
    <s v="Robin Kurien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Export"/>
    <s v="Export"/>
    <s v=""/>
    <s v="Non Technical Support"/>
    <s v="Operations"/>
    <s v="Operations"/>
    <s v="72103001"/>
    <s v="Operations"/>
    <s v="Khopoli"/>
    <d v="1980-09-22T00:00:00"/>
    <s v="42.11"/>
    <d v="2017-08-16T00:00:00"/>
    <d v="2040-09-30T00:00:00"/>
    <m/>
    <d v="2040-09-30T00:00:00"/>
    <n v="6220"/>
    <s v=""/>
    <s v=""/>
    <s v=""/>
    <s v="06.01"/>
    <s v="06.01"/>
    <s v="00052527"/>
    <s v="Sales &amp; Marketing"/>
    <s v="305138"/>
    <s v="New Acquisition"/>
    <s v="Khopoli staff"/>
    <s v="0000100013"/>
    <s v="HOM-SALE&amp;MKTG-OEM"/>
    <s v="1111KHOP"/>
    <s v="20055663"/>
    <s v="Karamath Syed"/>
    <s v="No"/>
    <s v="robin.kurien@amns.in"/>
    <s v="8879994605"/>
    <s v="1022297"/>
    <s v="Pritam Debbarma"/>
    <s v="Anil Matoo"/>
    <s v="-"/>
    <s v="Manjit Shah"/>
    <s v="-"/>
  </r>
  <r>
    <n v="6599"/>
    <n v="20058931"/>
    <s v="Dharmendra Tiwari"/>
    <s v="AMNS Khopoli"/>
    <s v="Onroll"/>
    <s v="New Acquisition"/>
    <n v="17"/>
    <m/>
    <s v="NA"/>
    <s v="M"/>
    <s v="Khopoli"/>
    <n v="9"/>
    <s v="1124"/>
    <x v="10"/>
    <s v="14.01"/>
    <s v="Ranjan Dhar"/>
    <s v="Alain Legrix De La Salle"/>
    <n v="3"/>
    <s v="Sales &amp; Marketing"/>
    <s v="Sales &amp; Marketing"/>
    <s v="14"/>
    <m/>
    <m/>
    <s v="Other West"/>
    <s v="OEM"/>
    <s v=""/>
    <s v="Non Technical Support"/>
    <s v="Operations"/>
    <s v="Operations"/>
    <s v="72103001"/>
    <s v="Operations"/>
    <s v="Aurangabad"/>
    <d v="1980-10-05T00:00:00"/>
    <s v="42.11"/>
    <d v="2017-10-27T00:00:00"/>
    <d v="2040-10-31T00:00:00"/>
    <m/>
    <d v="2040-10-31T00:00:00"/>
    <n v="6251"/>
    <s v=""/>
    <s v=""/>
    <s v=""/>
    <s v="05.10"/>
    <s v="05.10"/>
    <s v="00051380"/>
    <s v="Sales &amp; Marketing"/>
    <s v="305139"/>
    <s v="New Acquisition"/>
    <s v="Khopoli staff"/>
    <s v="0000100013"/>
    <s v="HOM-SALE&amp;MKTG-OEM"/>
    <s v="1111KHOP"/>
    <s v="20058920"/>
    <s v="Atul Singh"/>
    <s v="No"/>
    <s v="dharmendra.tiwari@amns.in"/>
    <s v="7263016882"/>
    <s v="1022302"/>
    <s v="Pritam Debbarma"/>
    <s v="Anil Matoo"/>
    <s v="-"/>
    <s v="Manjit Shah"/>
    <s v="-"/>
  </r>
  <r>
    <n v="6600"/>
    <n v="20058932"/>
    <s v="Swapnil Mahajan"/>
    <s v="AMNS Khopoli"/>
    <s v="Onroll"/>
    <s v="New Acquisition"/>
    <n v="17"/>
    <m/>
    <s v="NA"/>
    <s v="M"/>
    <s v="Khopoli"/>
    <n v="9"/>
    <s v="1125"/>
    <x v="3"/>
    <s v="31.01"/>
    <s v="Hrishikesh Kamat"/>
    <s v="Hrishikesh Kamat"/>
    <n v="7"/>
    <s v="Procurement"/>
    <s v="Procurement"/>
    <s v="31"/>
    <m/>
    <m/>
    <s v="Procurement"/>
    <s v=""/>
    <s v=""/>
    <s v="Non Technical Support"/>
    <s v="Operations"/>
    <s v="Operations"/>
    <s v="72103001"/>
    <s v="Operations"/>
    <s v="Khopoli"/>
    <d v="1988-12-31T00:00:00"/>
    <s v="34.08"/>
    <d v="2018-01-19T00:00:00"/>
    <d v="2048-12-31T00:00:00"/>
    <m/>
    <d v="2048-12-31T00:00:00"/>
    <n v="9234"/>
    <s v=""/>
    <s v=""/>
    <s v=""/>
    <s v="05.08"/>
    <s v="05.08"/>
    <s v="73800002"/>
    <s v="Procurement - Pune Asset"/>
    <s v="305140"/>
    <s v="New Acquisition"/>
    <s v="Khopoli staff"/>
    <s v="0000100010"/>
    <s v="HOM-COMM. &amp; PROCTS"/>
    <s v="1111KHOP"/>
    <s v="20006536"/>
    <s v="Mahesh Salunke"/>
    <s v="No"/>
    <s v="swapnil.mahajan@amns.in"/>
    <s v="8411970668"/>
    <s v="1022310"/>
    <s v="Pritam Debbarma"/>
    <s v="Anil Matoo"/>
    <s v="-"/>
    <s v="Manjit Shah"/>
    <s v="-"/>
  </r>
  <r>
    <n v="6601"/>
    <n v="20058933"/>
    <s v="Pushpendra Mishra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4-02-03T00:00:00"/>
    <s v="39.07"/>
    <d v="2018-07-07T00:00:00"/>
    <d v="2044-02-29T00:00:00"/>
    <m/>
    <d v="2044-02-29T00:00:00"/>
    <n v="7467"/>
    <s v=""/>
    <s v=""/>
    <s v=""/>
    <s v="05.02"/>
    <s v="05.02"/>
    <s v="00051339"/>
    <s v="Excise"/>
    <s v="305143"/>
    <s v="New Acquisition"/>
    <s v="Khopoli staff"/>
    <s v="0000290001"/>
    <s v="FAC-EXCISE_DEPT"/>
    <s v="1111KHOP"/>
    <s v="40002639"/>
    <s v="Balveer Bhandari"/>
    <s v="No"/>
    <s v="pushpendrakumar.mishra@amns.in"/>
    <s v="9039001011"/>
    <s v="1022315"/>
    <s v="Pritam Debbarma"/>
    <s v="Anil Matoo"/>
    <s v="-"/>
    <s v="Manjit Shah"/>
    <s v="-"/>
  </r>
  <r>
    <n v="6603"/>
    <n v="20058935"/>
    <s v="Satish Mulay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71-06-02T00:00:00"/>
    <s v="52.03"/>
    <d v="2018-08-29T00:00:00"/>
    <d v="2031-06-30T00:00:00"/>
    <m/>
    <d v="2031-06-30T00:00:00"/>
    <n v="2840"/>
    <s v=""/>
    <s v=""/>
    <s v=""/>
    <s v="05.00"/>
    <s v="05.00"/>
    <s v="00051336"/>
    <s v="Industrial Relations"/>
    <s v="305145"/>
    <s v="New Acquisition"/>
    <s v="Khopoli staff"/>
    <s v="0000100009"/>
    <s v="HOM-PERSONNEL / HRD"/>
    <s v="1111KHOP"/>
    <s v="20037245"/>
    <s v="Mukund Jagirdar"/>
    <s v="No"/>
    <s v="satish.mulay@amns.in"/>
    <s v="8411970545"/>
    <s v="1022321"/>
    <s v="Pritam Debbarma"/>
    <s v="Anil Matoo"/>
    <n v="0"/>
    <s v="Manjit Shah"/>
    <n v="0"/>
  </r>
  <r>
    <n v="6607"/>
    <n v="20058941"/>
    <s v="Satish Pednekar"/>
    <s v="AMNS Khopoli"/>
    <s v="Onroll"/>
    <s v="New Acquisition"/>
    <n v="17"/>
    <m/>
    <s v="NA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86-02-06T00:00:00"/>
    <s v="37.07"/>
    <d v="2019-05-02T00:00:00"/>
    <d v="2046-02-28T00:00:00"/>
    <m/>
    <d v="2046-02-28T00:00:00"/>
    <n v="8197"/>
    <s v=""/>
    <s v=""/>
    <s v=""/>
    <s v="04.04"/>
    <s v="04.04"/>
    <s v="00051333"/>
    <s v="Corporate Accounts &amp; Global Reporting"/>
    <s v="305151"/>
    <s v="New Acquisition"/>
    <s v="Khopoli staff"/>
    <s v="0000290004"/>
    <s v="FAC-ACCOUTS_DEPT"/>
    <s v="1111KHOP"/>
    <s v="20058804"/>
    <s v="Roy Jose"/>
    <s v="No"/>
    <s v="satuppa.pednekar@amns.in"/>
    <s v="9405257883"/>
    <s v="1022293"/>
    <s v="Pritam Debbarma"/>
    <s v="Anil Matoo"/>
    <s v="-"/>
    <s v="Manjit Shah"/>
    <s v="-"/>
  </r>
  <r>
    <n v="6608"/>
    <n v="20058942"/>
    <s v="Dattaram Kadam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Hazira"/>
    <d v="1982-03-21T00:00:00"/>
    <s v="41.06"/>
    <d v="2019-06-10T00:00:00"/>
    <d v="2042-03-31T00:00:00"/>
    <m/>
    <d v="2042-03-31T00:00:00"/>
    <n v="6767"/>
    <s v=""/>
    <s v="MA-2004 , BA-2002 , High School-1999"/>
    <s v="04.00"/>
    <s v="04.03"/>
    <s v="08.03"/>
    <s v="00051335"/>
    <s v="HR &amp; Administration - Khopoli"/>
    <s v="305152"/>
    <s v="New Acquisition"/>
    <s v="Khopoli staff"/>
    <s v="0000100009"/>
    <s v="HOM-PERSONNEL / HRD"/>
    <s v="1111KHOP"/>
    <s v="20055071"/>
    <s v="Anirudha Bisoyi"/>
    <s v="No"/>
    <s v="dattaram.kadam@amns.in"/>
    <s v="9423823696"/>
    <s v="1022303"/>
    <s v="Pritam Debbarma"/>
    <s v="Anil Matoo"/>
    <n v="0"/>
    <s v="Manjit Shah"/>
    <n v="0"/>
  </r>
  <r>
    <n v="6616"/>
    <n v="20058953"/>
    <s v="Aman Khalkho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94-12-21T00:00:00"/>
    <s v="28.09"/>
    <d v="2021-09-01T00:00:00"/>
    <d v="2054-12-31T00:00:00"/>
    <m/>
    <d v="2054-12-31T00:00:00"/>
    <n v="11425"/>
    <s v=""/>
    <s v=""/>
    <s v=""/>
    <s v="02.00"/>
    <s v="02.00"/>
    <s v="00051336"/>
    <s v="Industrial Relations"/>
    <s v="305164"/>
    <s v="New Acquisition"/>
    <s v="Khopoli staff"/>
    <s v="0000100009"/>
    <s v="HOM-PERSONNEL / HRD"/>
    <s v="1111KHOP"/>
    <s v="20058961"/>
    <s v="Pritam Debbarma"/>
    <s v="No"/>
    <s v="aman.khalkho@amns.in"/>
    <s v="8411970427"/>
    <s v="1022346"/>
    <s v="Pritam Debbarma"/>
    <s v="Anil Matoo"/>
    <n v="0"/>
    <s v="Manjit Shah"/>
    <n v="0"/>
  </r>
  <r>
    <n v="6623"/>
    <n v="20058960"/>
    <s v="Sandeep Kumar"/>
    <s v="AMNS Khopoli"/>
    <s v="Onroll"/>
    <s v="New Acquisition"/>
    <n v="17"/>
    <m/>
    <s v="NA"/>
    <s v="M"/>
    <s v="Khopoli"/>
    <n v="9"/>
    <s v="1118"/>
    <x v="6"/>
    <s v="24.08"/>
    <s v="Anil Matoo"/>
    <s v="Ashutosh Telang"/>
    <n v="6"/>
    <s v="HR &amp; Administration"/>
    <s v="Administration"/>
    <s v="24"/>
    <m/>
    <m/>
    <s v="Administration"/>
    <s v=""/>
    <s v=""/>
    <s v="Non Technical Support"/>
    <s v="Operations"/>
    <s v="Operations"/>
    <s v="72103001"/>
    <s v="Operations"/>
    <s v="Khopoli"/>
    <d v="1982-10-06T00:00:00"/>
    <s v="40.11"/>
    <d v="2022-02-21T00:00:00"/>
    <d v="2042-10-31T00:00:00"/>
    <m/>
    <d v="2042-10-31T00:00:00"/>
    <n v="6981"/>
    <s v=""/>
    <s v=""/>
    <s v=""/>
    <s v="01.06"/>
    <s v="01.06"/>
    <s v="00051335"/>
    <s v="HR &amp; Administration - Khopoli"/>
    <s v="305171"/>
    <s v="New Acquisition"/>
    <s v="Khopoli staff"/>
    <s v="0000290002"/>
    <s v="FAC-PERSONAL &amp; ADM"/>
    <s v="1111KHOP"/>
    <s v="20057887"/>
    <s v="Kiran Vaidya"/>
    <s v="No"/>
    <s v="sandeep.kumar@amns.in"/>
    <s v="9992148185"/>
    <s v="1022176"/>
    <s v="Pritam Debbarma"/>
    <s v="Anil Matoo"/>
    <s v="-"/>
    <s v="Manjit Shah"/>
    <s v="-"/>
  </r>
  <r>
    <n v="6624"/>
    <n v="20058961"/>
    <s v="Pritam Debbarma"/>
    <s v="AMNS Khopoli"/>
    <s v="Onroll"/>
    <s v="New Acquisition"/>
    <n v="17"/>
    <m/>
    <s v="NA"/>
    <s v="M"/>
    <s v="Khopoli"/>
    <n v="9"/>
    <s v="1117"/>
    <x v="1"/>
    <s v="22.06"/>
    <s v="Anil Matoo"/>
    <s v="Ashutosh Telang"/>
    <n v="6"/>
    <s v="HR &amp; Administration"/>
    <s v="Human Resources"/>
    <s v="22"/>
    <m/>
    <m/>
    <s v="Human Resource"/>
    <s v=""/>
    <s v=""/>
    <s v="Non Technical Support"/>
    <s v="Operations"/>
    <s v="Operations"/>
    <s v="72103001"/>
    <s v="Operations"/>
    <s v="Khopoli"/>
    <d v="1988-05-25T00:00:00"/>
    <s v="35.03"/>
    <d v="2022-02-28T00:00:00"/>
    <d v="2048-05-31T00:00:00"/>
    <m/>
    <d v="2048-05-31T00:00:00"/>
    <n v="9020"/>
    <s v=""/>
    <s v=""/>
    <s v=""/>
    <s v="01.06"/>
    <s v="01.06"/>
    <s v="00051335"/>
    <s v="HR &amp; Administration - Khopoli"/>
    <s v="305172"/>
    <s v="New Acquisition"/>
    <s v="Khopoli staff"/>
    <s v="0000100009"/>
    <s v="HOM-PERSONNEL / HRD"/>
    <s v="1111KHOP"/>
    <s v="20037245"/>
    <s v="Mukund Jagirdar"/>
    <s v="No"/>
    <s v="pritam.debbarma@amns.in"/>
    <s v="8411970848"/>
    <s v="1022191"/>
    <s v="Pritam Debbarma"/>
    <s v="Anil Matoo"/>
    <n v="0"/>
    <s v="Manjit Shah"/>
    <n v="0"/>
  </r>
  <r>
    <n v="6668"/>
    <n v="20059006"/>
    <s v="Ranjit Kumar Sahu"/>
    <s v="AM/NS India"/>
    <s v="Onroll"/>
    <s v="M-8"/>
    <n v="8"/>
    <m/>
    <s v="JM"/>
    <s v="M"/>
    <s v="Corporate"/>
    <n v="2"/>
    <s v="2014"/>
    <x v="16"/>
    <s v="03.01"/>
    <s v="Nilesh Likhite"/>
    <s v="Dilip Oommen"/>
    <n v="1"/>
    <s v="CEO Office"/>
    <s v="Internal Audit"/>
    <s v="03"/>
    <s v="Lead - Internal Audit"/>
    <m/>
    <s v="Internal Audit"/>
    <s v=""/>
    <s v=""/>
    <s v="Non Technical Support"/>
    <s v="Chairman's Secretariat"/>
    <s v="Chairman's Secretariat"/>
    <s v="74701000"/>
    <s v="Chairman's Secretariat"/>
    <s v="Paradeep"/>
    <d v="1985-03-05T00:00:00"/>
    <s v="38.06"/>
    <d v="2023-03-27T00:00:00"/>
    <d v="2043-03-31T00:00:00"/>
    <m/>
    <d v="2043-03-31T00:00:00"/>
    <n v="7132"/>
    <s v="O+"/>
    <s v="CA Inter-2012 , BCom-2005 , Intermediate"/>
    <s v="03.00"/>
    <s v="00.05"/>
    <s v="03.06"/>
    <s v="00044333"/>
    <s v="Internal Audit -Odisha"/>
    <s v="301000"/>
    <s v="Lead - Internal Audit"/>
    <s v="Odisha"/>
    <s v="0090000035"/>
    <s v=""/>
    <s v="2000STORIS"/>
    <s v="20055745"/>
    <s v="Ajay Kumar Sharma"/>
    <s v="No"/>
    <s v="ranjit.sahu@amns.in"/>
    <s v="9940613119"/>
    <s v="1042000"/>
    <s v="Sunila Das"/>
    <s v="Anil Matoo"/>
    <s v="Praveen Kuruvalli"/>
    <s v="Sunila Das"/>
    <n v="0"/>
  </r>
  <r>
    <n v="6670"/>
    <n v="20059008"/>
    <s v="Kotaro Sato"/>
    <s v="AM/NS India"/>
    <s v="PDA"/>
    <s v="PDA"/>
    <m/>
    <m/>
    <s v="TM"/>
    <s v="M"/>
    <s v="Hazira"/>
    <n v="1"/>
    <s v="2161"/>
    <x v="15"/>
    <s v="31.02"/>
    <s v="Hrishikesh Kamat"/>
    <s v="Hrishikesh Kamat"/>
    <n v="7"/>
    <s v="Procurement"/>
    <s v="Procurement"/>
    <s v="31"/>
    <s v="Section Incharge - Capex Planning"/>
    <m/>
    <s v="Capex Procurement"/>
    <s v=""/>
    <s v=""/>
    <s v="Non Technical Support"/>
    <s v=""/>
    <s v=""/>
    <s v=""/>
    <s v=""/>
    <s v="Hazira"/>
    <d v="1980-12-26T00:00:00"/>
    <s v="42.08"/>
    <d v="2023-04-01T00:00:00"/>
    <d v="2038-12-31T00:00:00"/>
    <m/>
    <d v="2038-12-31T00:00:00"/>
    <n v="5581"/>
    <s v=""/>
    <s v=""/>
    <s v=""/>
    <s v="00.05"/>
    <s v="00.05"/>
    <s v="00046902"/>
    <s v="Capex Plannig"/>
    <s v="306049"/>
    <s v="Section Incharge - Capex Planning"/>
    <s v="Non-payroll-relevant"/>
    <s v="0031920100"/>
    <s v="HAZIRA UPSTREAM PROJ"/>
    <s v="2000HWO"/>
    <s v="20055485"/>
    <s v="Majima Toshio"/>
    <s v="No"/>
    <s v="kotaro.sato@amns.in"/>
    <s v="7227043117"/>
    <s v="1015814"/>
    <s v="Dhruv Vyas"/>
    <s v="Anil Matoo"/>
    <s v="Praveen Kuruvalli"/>
    <s v="Dhruv Vyas"/>
    <n v="0"/>
  </r>
  <r>
    <n v="6671"/>
    <n v="20059009"/>
    <s v="Michiro Urabe"/>
    <s v="AM/NS India"/>
    <s v="PDA"/>
    <s v="PDA"/>
    <m/>
    <m/>
    <s v="TM"/>
    <s v="M"/>
    <s v="Hazira"/>
    <n v="1"/>
    <s v="2161"/>
    <x v="15"/>
    <s v="31.02"/>
    <s v="Hrishikesh Kamat"/>
    <s v="Hrishikesh Kamat"/>
    <n v="7"/>
    <s v="Procurement"/>
    <s v="Procurement"/>
    <s v="31"/>
    <s v="Section Incharge - Capex Planning"/>
    <m/>
    <s v="Capex Procurement"/>
    <s v=""/>
    <s v=""/>
    <s v="Non Technical Support"/>
    <s v=""/>
    <s v=""/>
    <s v=""/>
    <s v=""/>
    <s v="Hazira"/>
    <d v="1978-11-01T00:00:00"/>
    <s v="44.10"/>
    <d v="2023-04-01T00:00:00"/>
    <d v="2036-10-31T00:00:00"/>
    <m/>
    <d v="2036-10-31T00:00:00"/>
    <n v="4790"/>
    <s v=""/>
    <s v=""/>
    <s v=""/>
    <s v="00.05"/>
    <s v="00.05"/>
    <s v="00052664"/>
    <s v="Capex Planning"/>
    <s v="306050"/>
    <s v="Section Incharge - Capex Planning"/>
    <s v="Non-payroll-relevant"/>
    <s v="0031920100"/>
    <s v="HAZIRA UPSTREAM PROJ"/>
    <s v="2000HWO"/>
    <s v="20055485"/>
    <s v="Majima Toshio"/>
    <s v="No"/>
    <s v="michiro.urabe@amns.in"/>
    <s v="7227043115"/>
    <s v="1042652"/>
    <s v="Dhruv Vyas"/>
    <s v="Anil Matoo"/>
    <s v="Praveen Kuruvalli"/>
    <s v="Dhruv Vyas"/>
    <n v="0"/>
  </r>
  <r>
    <n v="6675"/>
    <n v="20059013"/>
    <s v="Richa Gandhi"/>
    <s v="AM/NS India"/>
    <s v="Onroll"/>
    <s v="M-8"/>
    <n v="8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Internal Control and SOX"/>
    <m/>
    <s v="Finance &amp; Accounts"/>
    <s v="Internal Control &amp; SOX"/>
    <s v=""/>
    <s v="Non Technical Support"/>
    <s v="Chairman's Secretariat"/>
    <s v="Chairman's Secretariat"/>
    <s v="74701000"/>
    <s v="Chairman's Secretariat"/>
    <s v="Hazira"/>
    <d v="1996-07-25T00:00:00"/>
    <s v="27.01"/>
    <d v="2023-03-31T00:00:00"/>
    <d v="2054-07-31T00:00:00"/>
    <m/>
    <d v="2054-07-31T00:00:00"/>
    <n v="11272"/>
    <s v="AB+"/>
    <s v="BCom-2018 , CA Final-2019 , Intermediate"/>
    <s v="03.04"/>
    <s v="00.05"/>
    <s v="03.09"/>
    <s v="00051504"/>
    <s v="Internal Control &amp; SOX"/>
    <s v="300858"/>
    <s v="Officer - Internal Control and SOX"/>
    <s v="Hazira"/>
    <s v="0031950043"/>
    <s v=""/>
    <s v="2000HWO"/>
    <s v="20056387"/>
    <s v="Vikal Goyal"/>
    <s v="No"/>
    <s v="richa.gandhi@amns.in"/>
    <s v="8866433297"/>
    <s v="1042942"/>
    <s v="Dhruv Vyas"/>
    <s v="Anil Matoo"/>
    <s v="Praveen Kuruvalli"/>
    <s v="Dhruv Vyas"/>
    <n v="0"/>
  </r>
  <r>
    <n v="6676"/>
    <n v="20059014"/>
    <s v="Saikrishna Darni"/>
    <s v="AM/NS India"/>
    <s v="Onroll"/>
    <s v="M-8"/>
    <n v="8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Section Incharge - Stores &amp; Warehouse"/>
    <m/>
    <s v="Stores &amp; Warehouse"/>
    <s v="Stores &amp; Warehouse"/>
    <s v="Receipt, Unloading &amp; Unbound"/>
    <s v="Non Technical Support"/>
    <s v=""/>
    <s v=""/>
    <s v=""/>
    <s v=""/>
    <s v="Hazira"/>
    <d v="1993-06-26T00:00:00"/>
    <s v="30.02"/>
    <d v="2023-03-31T00:00:00"/>
    <d v="2051-06-30T00:00:00"/>
    <m/>
    <d v="2051-06-30T00:00:00"/>
    <n v="10145"/>
    <s v="O+"/>
    <s v="Diploma-2016 , Intermediate-2008"/>
    <s v="11.06"/>
    <s v="00.05"/>
    <s v="11.11"/>
    <s v="00044541"/>
    <s v="HRC Store - Receipt"/>
    <s v="272362"/>
    <s v="Section Incharge - Stores &amp; Warehouse"/>
    <s v="Hazira"/>
    <s v="0031950049"/>
    <s v=""/>
    <s v="2000HWO"/>
    <s v="20005047"/>
    <s v="Rajeev Jha"/>
    <s v="No"/>
    <s v="saikrishna.darni@amns.in"/>
    <s v="7227043145"/>
    <s v="1042964"/>
    <s v="Dhruv Vyas"/>
    <s v="Anil Matoo"/>
    <s v="Praveen Kuruvalli"/>
    <s v="Dhruv Vyas"/>
    <n v="0"/>
  </r>
  <r>
    <n v="6680"/>
    <n v="20059018"/>
    <s v="Sandeep Ray"/>
    <s v="AM/NS India"/>
    <s v="Onroll"/>
    <s v="M-6"/>
    <n v="6"/>
    <m/>
    <s v="MM"/>
    <s v="M"/>
    <s v="Hazira"/>
    <n v="1"/>
    <s v="2023"/>
    <x v="6"/>
    <s v="24.08"/>
    <s v="Anil Matoo"/>
    <s v="Ashutosh Telang"/>
    <n v="6"/>
    <s v="HR &amp; Administration"/>
    <s v="Administration"/>
    <s v="24"/>
    <s v="Section Head – Facility Management"/>
    <m/>
    <s v="Administration"/>
    <s v=""/>
    <s v=""/>
    <s v="Non Technical Support"/>
    <s v="Administration"/>
    <s v="Administration"/>
    <s v="74101001"/>
    <s v="Administration"/>
    <s v="Hazira"/>
    <d v="1983-04-02T00:00:00"/>
    <s v="40.05"/>
    <d v="2023-04-03T00:00:00"/>
    <d v="2041-04-30T00:00:00"/>
    <m/>
    <d v="2041-04-30T00:00:00"/>
    <n v="6432"/>
    <s v="B+"/>
    <s v="PG Diploma in Management-2011"/>
    <s v="00.02"/>
    <s v="00.05"/>
    <s v="00.07"/>
    <s v="00049757"/>
    <s v="Facility Management"/>
    <s v="296422"/>
    <s v="Section Head – Facility Management"/>
    <s v="Hazira"/>
    <s v="0090000018"/>
    <s v=""/>
    <s v="2000HWO"/>
    <s v="20057886"/>
    <s v="Shakir Bandwala"/>
    <s v="No"/>
    <s v="sandeep.ray@amns.in"/>
    <s v="8238366222"/>
    <s v="1043070"/>
    <s v="Manjit Shah"/>
    <s v="Anil Matoo"/>
    <s v="Praveen Kuruvalli"/>
    <s v="Lakshman Iyer"/>
    <n v="0"/>
  </r>
  <r>
    <n v="6683"/>
    <n v="20059021"/>
    <s v="Nilesh Kumbhani"/>
    <s v="AM/NS India"/>
    <s v="Onroll"/>
    <s v="M-9"/>
    <n v="9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Officer - Contracts"/>
    <m/>
    <s v="Contracts"/>
    <s v=""/>
    <s v=""/>
    <s v="Non Technical Support"/>
    <s v="Commercial"/>
    <s v="Contracts &amp; Tenders and E-bid"/>
    <s v="73805001"/>
    <s v="Contracts &amp; Tenders and E"/>
    <s v="Hazira"/>
    <d v="1987-03-15T00:00:00"/>
    <s v="36.06"/>
    <d v="2023-04-01T00:00:00"/>
    <d v="2045-03-31T00:00:00"/>
    <m/>
    <d v="2045-03-31T00:00:00"/>
    <n v="7863"/>
    <s v="O+"/>
    <s v="MBA-2011 , BCom-2009 , Intermediate-2006"/>
    <s v="03.09"/>
    <s v="00.05"/>
    <s v="04.02"/>
    <s v="70495670"/>
    <s v="Contracts"/>
    <s v="300995"/>
    <s v="Officer - Contracts"/>
    <s v="Hazira"/>
    <s v="0031950047"/>
    <s v=""/>
    <s v="2000HWO"/>
    <s v="20000795"/>
    <s v="Pankaj Chaturvedi"/>
    <s v="No"/>
    <s v="nilesh.kumbhani@amns.in"/>
    <s v="9879101729"/>
    <s v="25211"/>
    <s v="Dhruv Vyas"/>
    <s v="Anil Matoo"/>
    <s v="Praveen Kuruvalli"/>
    <s v="Dhruv Vyas"/>
    <n v="0"/>
  </r>
  <r>
    <n v="6684"/>
    <n v="20059022"/>
    <s v="Mital Gohil"/>
    <s v="AM/NS India"/>
    <s v="Onroll"/>
    <s v="M-10"/>
    <n v="10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Finance &amp; Accounts"/>
    <m/>
    <s v="Finance &amp; Accounts"/>
    <s v="Service Centers"/>
    <s v=""/>
    <s v="Non Technical Support"/>
    <s v=""/>
    <s v=""/>
    <s v=""/>
    <s v=""/>
    <s v="Hazira"/>
    <d v="1991-08-12T00:00:00"/>
    <s v="32.01"/>
    <d v="2023-03-16T00:00:00"/>
    <d v="2049-08-31T00:00:00"/>
    <m/>
    <d v="2049-08-31T00:00:00"/>
    <n v="9477"/>
    <s v="AB+"/>
    <s v="MBA-2014 , BBA-2012 , Intermediate-2009"/>
    <s v="02.02"/>
    <s v="00.06"/>
    <s v="02.08"/>
    <s v="70495565"/>
    <s v="F&amp;A Hypermart &amp; Service Centre"/>
    <s v="305317"/>
    <s v="Officer Accounts Payable"/>
    <s v="Hazira"/>
    <s v="0031950045"/>
    <s v="HZ-Works Accounts-Ha"/>
    <s v="2000HWO"/>
    <s v="20055504"/>
    <s v="Vivek Choudhary"/>
    <s v="No"/>
    <s v="mital.gohil@amns.in"/>
    <s v="9978832962"/>
    <s v="794645"/>
    <s v="Dhruv Vyas"/>
    <s v="Anil Matoo"/>
    <s v="Praveen Kuruvalli"/>
    <s v="Dhruv Vyas"/>
    <n v="0"/>
  </r>
  <r>
    <n v="6685"/>
    <n v="20059023"/>
    <s v="Vishalkumar Panchawala"/>
    <s v="AM/NS India"/>
    <s v="Onroll"/>
    <s v="M-9"/>
    <n v="9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 Accounts Payable"/>
    <m/>
    <s v="Finance &amp; Accounts"/>
    <s v="Accounts Payable"/>
    <s v="Bills Payable"/>
    <s v="Non Technical Support"/>
    <s v="Finance &amp; Accounts"/>
    <s v="Corporate Finance"/>
    <s v="73902004"/>
    <s v="Banking Relations"/>
    <s v="Hazira"/>
    <d v="1980-07-14T00:00:00"/>
    <s v="43.02"/>
    <d v="2023-03-16T00:00:00"/>
    <d v="2038-07-31T00:00:00"/>
    <m/>
    <d v="2038-07-31T00:00:00"/>
    <n v="5428"/>
    <s v="B+"/>
    <s v="BCom-2004"/>
    <s v=""/>
    <s v="00.06"/>
    <s v="00.06"/>
    <s v="00043794"/>
    <s v="Accounts Payable - 1"/>
    <s v="300857"/>
    <s v="MT"/>
    <s v="Hazira"/>
    <s v="0031950045"/>
    <s v=""/>
    <s v="2000HWO"/>
    <s v="20016107"/>
    <s v="Kalpesh Thathagar"/>
    <s v="No"/>
    <s v="vishal.panchawala@amns.in"/>
    <s v="9879101096"/>
    <s v="25120"/>
    <s v="Dhruv Vyas"/>
    <s v="Anil Matoo"/>
    <s v="Praveen Kuruvalli"/>
    <s v="Dhruv Vyas"/>
    <n v="0"/>
  </r>
  <r>
    <n v="6686"/>
    <n v="20059024"/>
    <s v="Keiji Kubota"/>
    <s v="AM/NS India"/>
    <s v="PDA"/>
    <s v="PDA"/>
    <n v="2"/>
    <m/>
    <s v="TM"/>
    <s v="M"/>
    <s v="Hazira"/>
    <n v="1"/>
    <s v="2015"/>
    <x v="1"/>
    <s v="22.06"/>
    <s v="Ashutosh Telang"/>
    <s v="Ashutosh Telang"/>
    <n v="6"/>
    <s v="HR &amp; Administration"/>
    <s v="Human Resources"/>
    <s v="22"/>
    <s v="Dy Director - HR &amp; Admin"/>
    <m/>
    <s v="Human Resources"/>
    <s v=""/>
    <s v=""/>
    <s v="Non Technical Support"/>
    <s v=""/>
    <s v=""/>
    <s v="70494642"/>
    <s v="Deputy Director"/>
    <s v="Hazira"/>
    <d v="1969-07-11T00:00:00"/>
    <s v="54.02"/>
    <d v="2023-04-01T00:00:00"/>
    <d v="2027-07-31T00:00:00"/>
    <m/>
    <d v="2027-07-31T00:00:00"/>
    <n v="1410"/>
    <s v=""/>
    <s v=""/>
    <s v=""/>
    <s v="00.05"/>
    <s v="00.05"/>
    <s v="70494636"/>
    <s v="HR and Administration"/>
    <s v="306661"/>
    <s v="Deputy Directory HR &amp;Admin"/>
    <s v="Non-payroll-relevant"/>
    <s v="0090000018"/>
    <s v=""/>
    <s v="2000HWO"/>
    <s v="20057637"/>
    <s v="Ashutosh Telang"/>
    <s v="No"/>
    <s v="keiji.kubota@amns.in"/>
    <s v=""/>
    <s v="1043230"/>
    <s v="Dhruv Vyas"/>
    <s v="Anil Matoo"/>
    <s v="Praveen Kuruvalli"/>
    <s v="Dhruv Vyas"/>
    <n v="0"/>
  </r>
  <r>
    <n v="6689"/>
    <n v="20059027"/>
    <s v="Nikhil Kaura"/>
    <s v="AM/NS India"/>
    <s v="Onroll"/>
    <s v="M-6"/>
    <n v="6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s v=""/>
    <s v=""/>
    <s v="Non Technical Support"/>
    <s v="Corporate Relations"/>
    <s v="Corporate Affairs"/>
    <s v="74501001"/>
    <s v="Corporate Affairs"/>
    <s v="Delhi"/>
    <d v="1988-01-15T00:00:00"/>
    <s v="35.08"/>
    <d v="2023-04-07T00:00:00"/>
    <d v="2046-01-31T00:00:00"/>
    <m/>
    <d v="2046-01-31T00:00:00"/>
    <n v="8169"/>
    <s v="B+"/>
    <s v="PG Diploma in Management-2010 , BA-2010"/>
    <s v="05.06"/>
    <s v="00.05"/>
    <s v="05.10"/>
    <s v="70494938"/>
    <s v="Corporate Affairs"/>
    <s v="306590"/>
    <s v="Lead Corporate Affair"/>
    <s v="Corporate"/>
    <s v="0090000021"/>
    <s v=""/>
    <s v="2000CS"/>
    <s v="20057928"/>
    <s v="Manu Kapoor"/>
    <s v="No"/>
    <s v="nikhil.kaura@amns.in"/>
    <s v="9811038669"/>
    <s v="1044083"/>
    <s v="Dhruv Vyas"/>
    <s v="Anil Matoo"/>
    <s v="Praveen Kuruvalli"/>
    <s v="Dhruv Vyas"/>
    <n v="0"/>
  </r>
  <r>
    <n v="6704"/>
    <n v="20059042"/>
    <s v="Murali Sahoo"/>
    <s v="AM/NS India"/>
    <s v="Onroll"/>
    <s v="M-6"/>
    <n v="6"/>
    <m/>
    <s v="MM"/>
    <s v="M"/>
    <s v="Mining"/>
    <n v="8"/>
    <s v="2015"/>
    <x v="1"/>
    <s v="22.06"/>
    <s v="Praveen Kuruvalli"/>
    <s v="Ashutosh Telang"/>
    <n v="6"/>
    <s v="HR &amp; Administration"/>
    <s v="Human Resources"/>
    <s v="22"/>
    <s v="Head HR – Mines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Barbil"/>
    <d v="1981-05-12T00:00:00"/>
    <s v="42.04"/>
    <d v="2023-04-10T00:00:00"/>
    <d v="2039-05-31T00:00:00"/>
    <m/>
    <d v="2039-05-31T00:00:00"/>
    <n v="5732"/>
    <s v="AB+"/>
    <s v="MSW-2006 , BA-2003 , Intermediate-2000 ,"/>
    <s v="01.11"/>
    <s v="00.05"/>
    <s v="02.04"/>
    <s v="00051987"/>
    <s v="HR - Mining"/>
    <s v="301567"/>
    <s v="Head HR Mining"/>
    <s v="Odisha"/>
    <s v="0031950061"/>
    <s v=""/>
    <s v="2000STORIS"/>
    <s v="20055483"/>
    <s v="Praveen Kuruvalli"/>
    <s v="No"/>
    <s v="murali.sahoo@amns.in"/>
    <s v="9437717622"/>
    <s v="1044304"/>
    <s v="Murali Sahoo"/>
    <s v="Anil Matoo"/>
    <s v="Praveen Kuruvalli"/>
    <s v="Murali Sahoo"/>
    <n v="0"/>
  </r>
  <r>
    <n v="6705"/>
    <n v="20059043"/>
    <s v="Priyanka Patidar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Corporate Accounts"/>
    <m/>
    <s v="Finance &amp; Accounts"/>
    <s v="Corporate Accounts &amp; Audit"/>
    <s v="Corporate Accounts &amp; Audit"/>
    <s v="Non Technical Support"/>
    <s v="Finance &amp; Accounts"/>
    <s v="Finance &amp; Accounts"/>
    <s v="73901002"/>
    <s v="Corporate Accounts &amp; Audi"/>
    <s v="Hazira"/>
    <d v="2000-01-11T00:00:00"/>
    <s v="23.08"/>
    <d v="2023-04-10T00:00:00"/>
    <d v="2058-01-31T00:00:00"/>
    <m/>
    <d v="2058-01-31T00:00:00"/>
    <n v="12552"/>
    <s v="O+"/>
    <s v="CA Inter-2022 , Intermediate-2017 , Inte"/>
    <s v=""/>
    <s v="00.05"/>
    <s v="00.05"/>
    <s v="70074192"/>
    <s v="Corporate Accounts"/>
    <s v="70493872"/>
    <s v="Officer - Corporate Accounts"/>
    <s v="Hazira"/>
    <s v="0090000027"/>
    <s v=""/>
    <s v="2000HWO"/>
    <s v="20007067"/>
    <s v="Gaurav Bhandari"/>
    <s v="No"/>
    <s v="priyanka.patidar@amns.in"/>
    <s v="6378596477"/>
    <s v="1044311"/>
    <s v="Dhruv Vyas"/>
    <s v="Anil Matoo"/>
    <s v="Praveen Kuruvalli"/>
    <s v="Dhruv Vyas"/>
    <n v="0"/>
  </r>
  <r>
    <n v="6707"/>
    <n v="20059045"/>
    <s v="Navneet Kumar Jain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 Direct Tax"/>
    <m/>
    <s v="Finance &amp; Accounts"/>
    <s v="Direct - Taxation"/>
    <s v=""/>
    <s v="Non Technical Support"/>
    <s v="Finance &amp; Accounts"/>
    <s v="Taxation"/>
    <s v="73904001"/>
    <s v="Direct Taxation"/>
    <s v="Hazira"/>
    <d v="1993-09-20T00:00:00"/>
    <s v="30.00"/>
    <d v="2023-04-17T00:00:00"/>
    <d v="2051-09-30T00:00:00"/>
    <m/>
    <d v="2051-09-30T00:00:00"/>
    <n v="10237"/>
    <s v="AB+"/>
    <s v="BCom-2013 , CA Final-2015 , Diploma-2010"/>
    <s v="03.04"/>
    <s v="00.05"/>
    <s v="03.09"/>
    <s v="00052147"/>
    <s v="Direct Tax"/>
    <s v="300851"/>
    <s v="Lead  Direct Tax"/>
    <s v="Hazira"/>
    <s v="0090000033"/>
    <s v=""/>
    <s v="2000HWO"/>
    <s v="20055494"/>
    <s v="Vikas Soni"/>
    <s v="No"/>
    <s v="navneet.jain7@amns.in"/>
    <s v="7737397279"/>
    <s v="1044986"/>
    <s v="Dhruv Vyas"/>
    <s v="Anil Matoo"/>
    <s v="Praveen Kuruvalli"/>
    <s v="Dhruv Vyas"/>
    <n v="0"/>
  </r>
  <r>
    <n v="6716"/>
    <n v="20059054"/>
    <s v="Rohan Sarin"/>
    <s v="AM/NS India"/>
    <s v="Onroll"/>
    <s v="M-6"/>
    <n v="6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s v=""/>
    <s v=""/>
    <s v="Non Technical Support"/>
    <s v="Corporate Relations"/>
    <s v="Corporate Affairs"/>
    <s v="74501001"/>
    <s v="Corporate Affairs"/>
    <s v="Delhi"/>
    <d v="1985-11-16T00:00:00"/>
    <s v="37.10"/>
    <d v="2023-04-17T00:00:00"/>
    <d v="2043-11-30T00:00:00"/>
    <m/>
    <d v="2043-11-30T00:00:00"/>
    <n v="7376"/>
    <s v="B+"/>
    <s v="MBA-2008 , BA-2006 , Intermediate-2003 ,"/>
    <s v="11.08"/>
    <s v="00.05"/>
    <s v="12.01"/>
    <s v="70494938"/>
    <s v="Corporate Affairs"/>
    <s v="307007"/>
    <s v="Lead Corporate Affairs"/>
    <s v="Corporate"/>
    <s v="0090000021"/>
    <s v=""/>
    <s v="2000CRG"/>
    <s v="20057928"/>
    <s v="Manu Kapoor"/>
    <s v="No"/>
    <s v="rohan.sarin@amns.in"/>
    <s v="9999293221"/>
    <s v="1045153"/>
    <s v="Dhruv Vyas"/>
    <s v="Anil Matoo"/>
    <s v="Praveen Kuruvalli"/>
    <s v="Dhruv Vyas"/>
    <n v="0"/>
  </r>
  <r>
    <n v="6717"/>
    <n v="20059055"/>
    <s v="Shailaja Rai"/>
    <s v="AM/NS India"/>
    <s v="Onroll"/>
    <s v="M-8"/>
    <n v="8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Lead Talent Acquisition Campus Relations"/>
    <m/>
    <s v="Human Resources"/>
    <s v=""/>
    <s v=""/>
    <s v="Non Technical Support"/>
    <s v="Human Resources Management"/>
    <s v="Human Resources Management"/>
    <s v="73501001"/>
    <s v="Human Resources"/>
    <s v="Mumbai"/>
    <d v="1994-06-23T00:00:00"/>
    <s v="29.02"/>
    <d v="2023-04-17T00:00:00"/>
    <d v="2052-06-30T00:00:00"/>
    <m/>
    <d v="2052-06-30T00:00:00"/>
    <n v="10511"/>
    <s v="O+"/>
    <s v="MBA-2021 , BTech-2016"/>
    <s v="02.01"/>
    <s v="00.05"/>
    <s v="02.06"/>
    <s v="70242278"/>
    <s v="People Strategy &amp; HR Center Excellence"/>
    <s v="301566"/>
    <s v="Sr Lead Campus Relations"/>
    <s v="Hazira"/>
    <s v="0031950061"/>
    <s v=""/>
    <s v="2000CRG"/>
    <s v="20055483"/>
    <s v="Praveen Kuruvalli"/>
    <s v="No"/>
    <s v="shailaja.rai@amns.in"/>
    <s v="7043693058"/>
    <s v="1045163"/>
    <s v="Dhruv Vyas"/>
    <s v="Anil Matoo"/>
    <s v="Praveen Kuruvalli"/>
    <s v="Dhruv Vyas"/>
    <n v="0"/>
  </r>
  <r>
    <n v="6721"/>
    <n v="20059059"/>
    <s v="Rajendra Mukhekar"/>
    <s v="AM/NS Shipping &amp; Logistics"/>
    <s v="Onroll"/>
    <s v="M-8"/>
    <n v="8"/>
    <m/>
    <s v="JM"/>
    <s v="M"/>
    <s v="Hazira"/>
    <n v="1"/>
    <s v="7209"/>
    <x v="18"/>
    <s v="33.01"/>
    <s v="Hrishikesh Kamat"/>
    <s v="Hrishikesh Kamat"/>
    <n v="7"/>
    <s v="Procurement"/>
    <s v="Shipping &amp; Chartering"/>
    <s v="33"/>
    <s v="Lead Shipping &amp; Chartering"/>
    <m/>
    <s v="Shipping &amp; Charterin"/>
    <s v=""/>
    <s v=""/>
    <s v="Tech. Support Services"/>
    <s v="Operations"/>
    <s v="Operations"/>
    <s v="72103001"/>
    <s v="Operations"/>
    <s v="Hazira"/>
    <d v="1985-07-13T00:00:00"/>
    <s v="38.02"/>
    <d v="2023-04-01T00:00:00"/>
    <d v="2043-07-31T00:00:00"/>
    <m/>
    <d v="2043-07-31T00:00:00"/>
    <n v="7254"/>
    <s v="O+"/>
    <s v="BCom-2007 , Intermediate-2003 , Intermed"/>
    <s v="04.06"/>
    <s v="00.05"/>
    <s v="04.11"/>
    <s v="00051618"/>
    <s v="Shipping and Chartering"/>
    <s v="307281"/>
    <s v="Lead Shipping &amp; Chartering"/>
    <s v="AMNSSL"/>
    <s v="0000700001"/>
    <s v="SHIP-COMMON"/>
    <s v="2000HWO"/>
    <s v="20056845"/>
    <s v="Manoj Kumar"/>
    <s v="No"/>
    <s v="rajendra.mukherkar@amns.in"/>
    <s v="9909902661"/>
    <s v="798210"/>
    <s v="Dhruv Vyas"/>
    <s v="Anil Matoo"/>
    <s v="Praveen Kuruvalli"/>
    <s v="Dhruv Vyas"/>
    <n v="0"/>
  </r>
  <r>
    <n v="6724"/>
    <n v="20059062"/>
    <s v="Ankita Vyas"/>
    <s v="AM/NS India"/>
    <s v="Onroll"/>
    <s v="M-10"/>
    <n v="10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Analyst - Financial Concurrence"/>
    <m/>
    <s v="Finance &amp; Accounts"/>
    <s v="Internal Control &amp; SOX"/>
    <s v="Finance &amp; Accounts"/>
    <s v="Non Technical Support"/>
    <s v=""/>
    <s v=""/>
    <s v=""/>
    <s v=""/>
    <s v="Hazira"/>
    <d v="1989-11-04T00:00:00"/>
    <s v="33.10"/>
    <d v="2023-04-01T00:00:00"/>
    <d v="2047-11-30T00:00:00"/>
    <m/>
    <d v="2047-11-30T00:00:00"/>
    <n v="8837"/>
    <s v="A+"/>
    <s v="Diploma-2019 , BSc-2010 , Intermediate-2"/>
    <s v="04.01"/>
    <s v="00.05"/>
    <s v="04.06"/>
    <s v="00049304"/>
    <s v="PM - Internal Control"/>
    <s v="70486549"/>
    <s v="Analyst - Financial Concurrence"/>
    <s v="Hazira"/>
    <s v="0031950043"/>
    <s v="HZ-Performance Manag"/>
    <s v="2000HWO"/>
    <s v="20006833"/>
    <s v="Hardik Vasavada"/>
    <s v="No"/>
    <s v="ankita.vyas@amns.in"/>
    <s v="9462527772"/>
    <s v="25351"/>
    <s v="Dhruv Vyas"/>
    <s v="Anil Matoo"/>
    <s v="Praveen Kuruvalli"/>
    <s v="Dhruv Vyas"/>
    <n v="0"/>
  </r>
  <r>
    <n v="6725"/>
    <n v="20059063"/>
    <s v="Macarious M Joachim"/>
    <s v="AM/NS India"/>
    <s v="Onroll"/>
    <s v="M-7"/>
    <n v="7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s v=""/>
    <s v="Non Technical Support"/>
    <s v="Sales &amp; Marketing"/>
    <s v="Marketing"/>
    <s v="73102001"/>
    <s v="Marketing"/>
    <s v="Mumbai"/>
    <d v="1987-03-10T00:00:00"/>
    <s v="36.06"/>
    <d v="2023-04-19T00:00:00"/>
    <d v="2045-03-31T00:00:00"/>
    <m/>
    <d v="2045-03-31T00:00:00"/>
    <n v="7863"/>
    <s v="A+"/>
    <s v="MTech-2014 , BTech-2008 , Intermediate-2"/>
    <s v="13.03"/>
    <s v="00.05"/>
    <s v="13.08"/>
    <s v="00052460"/>
    <s v="Auto &amp; YG"/>
    <s v="305326"/>
    <s v="Resident Engineer"/>
    <s v="Corporate"/>
    <s v="0031950057"/>
    <s v=""/>
    <s v="2000HWO"/>
    <s v="20056155"/>
    <s v="Kondapalli Venkateswarlu"/>
    <s v="No"/>
    <s v="macarious.joachim@amns.in"/>
    <s v="8095402625"/>
    <s v="1045842"/>
    <s v="Dhruv Vyas"/>
    <s v="Anil Matoo"/>
    <s v="Praveen Kuruvalli"/>
    <s v="Dhruv Vyas"/>
    <n v="0"/>
  </r>
  <r>
    <n v="6728"/>
    <n v="20059066"/>
    <s v="Pankaj Kaushik"/>
    <s v="AM/NS India"/>
    <s v="Onroll"/>
    <s v="M-6"/>
    <n v="6"/>
    <m/>
    <s v="MM"/>
    <s v="M"/>
    <s v="Corporate"/>
    <n v="7"/>
    <s v="2015"/>
    <x v="1"/>
    <s v="22.06"/>
    <s v="Praveen Kuruvalli"/>
    <s v="Ashutosh Telang"/>
    <n v="6"/>
    <s v="HR &amp; Administration"/>
    <s v="Human Resources"/>
    <s v="22"/>
    <s v="Sr. Lead HRIS &amp; Digitization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Mumbai"/>
    <d v="1977-08-04T00:00:00"/>
    <s v="46.01"/>
    <d v="2023-04-27T00:00:00"/>
    <d v="2035-08-31T00:00:00"/>
    <m/>
    <d v="2035-08-31T00:00:00"/>
    <n v="4363"/>
    <s v=""/>
    <s v="MBA-2014 , MCA-2008"/>
    <s v="22.05"/>
    <s v="00.04"/>
    <s v="22.10"/>
    <s v="00052538"/>
    <s v="HR Technology"/>
    <s v="308081"/>
    <s v="Sr. Lead HRIS &amp; Digitization"/>
    <s v="Corporate"/>
    <s v="0031950061"/>
    <s v=""/>
    <s v="2000CRG"/>
    <s v="20055483"/>
    <s v="Praveen Kuruvalli"/>
    <s v="No"/>
    <s v="pankaj.kaushik3@amns.in"/>
    <s v="9004476301"/>
    <s v="1047088"/>
    <s v="Dhruv Vyas"/>
    <s v="Anil Matoo"/>
    <s v="Praveen Kuruvalli"/>
    <s v="Dhruv Vyas"/>
    <n v="0"/>
  </r>
  <r>
    <n v="6737"/>
    <n v="20059075"/>
    <s v="Hardikkumar Patel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– Internal Control &amp; SOX"/>
    <m/>
    <m/>
    <m/>
    <m/>
    <s v="Non Technical Support"/>
    <s v=""/>
    <s v=""/>
    <s v=""/>
    <s v=""/>
    <s v="Hazira"/>
    <d v="1996-06-08T00:00:00"/>
    <s v="27.03"/>
    <d v="2023-05-01T00:00:00"/>
    <d v="2054-06-30T00:00:00"/>
    <m/>
    <d v="2054-06-30T00:00:00"/>
    <n v="11241"/>
    <s v="O+"/>
    <s v="MBA-2020 , BE-2017 , Intermediate-2011"/>
    <s v="03.03"/>
    <s v="00.04"/>
    <s v="03.08"/>
    <s v="00051504"/>
    <s v="Internal Control &amp; SOX"/>
    <s v="70495285"/>
    <s v="Officer – Internal Control &amp; SOX"/>
    <s v="Hazira"/>
    <s v="0031950043"/>
    <s v=""/>
    <s v="2000HWO"/>
    <s v="20056387"/>
    <s v="Vikal Goyal"/>
    <s v="No"/>
    <s v="hardik.patel3@amns.in"/>
    <s v="9427184518"/>
    <s v="1047187"/>
    <s v="Dhruv Vyas"/>
    <s v="Anil Matoo"/>
    <s v="Praveen Kuruvalli"/>
    <s v="Dhruv Vyas"/>
    <n v="0"/>
  </r>
  <r>
    <n v="6738"/>
    <n v="20059076"/>
    <s v="Ravish Doshi"/>
    <s v="AM/NS India"/>
    <s v="Onroll"/>
    <s v="M-5"/>
    <n v="5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Sr. Lead - Performance Management"/>
    <m/>
    <m/>
    <m/>
    <m/>
    <s v="Non Technical Support"/>
    <s v=""/>
    <s v=""/>
    <s v=""/>
    <s v=""/>
    <s v="Hazira"/>
    <d v="1982-08-24T00:00:00"/>
    <s v="41.00"/>
    <d v="2023-05-01T00:00:00"/>
    <d v="2040-08-31T00:00:00"/>
    <m/>
    <d v="2040-08-31T00:00:00"/>
    <n v="6190"/>
    <s v="B+"/>
    <s v="PG Diploma in Management-2018 , ICWA Fin"/>
    <s v="04.02"/>
    <s v="00.04"/>
    <s v="04.07"/>
    <s v="00045310"/>
    <s v="Performance Management"/>
    <s v="264181"/>
    <s v="Sr. Lead - Performance Management"/>
    <s v="Hazira"/>
    <s v="0031950043"/>
    <s v="HZ-Performance Manag"/>
    <s v="2000HWO"/>
    <s v="20003280"/>
    <s v="Chetan Jansari"/>
    <s v="No"/>
    <s v="ravish.doshi@amns.in"/>
    <s v="9687639785"/>
    <s v="1047188"/>
    <s v="Dhruv Vyas"/>
    <s v="Anil Matoo"/>
    <s v="Praveen Kuruvalli"/>
    <s v="Dhruv Vyas"/>
    <n v="0"/>
  </r>
  <r>
    <n v="6756"/>
    <n v="20059097"/>
    <s v="Gowtham D"/>
    <s v="AM/NS India"/>
    <s v="Onroll"/>
    <s v="M-8"/>
    <n v="8"/>
    <m/>
    <s v="JM"/>
    <s v="M"/>
    <s v="Corporate"/>
    <n v="7"/>
    <s v="2039"/>
    <x v="2"/>
    <s v="43.01"/>
    <s v="Sangeeta Munjal"/>
    <s v="Manu Kapoor"/>
    <n v="10"/>
    <s v="Corporate Affairs"/>
    <s v="Corporate Affairs"/>
    <s v="43"/>
    <s v="Executive Assistant"/>
    <m/>
    <s v="Corporate Affairs"/>
    <m/>
    <m/>
    <s v="Non Technical Support"/>
    <s v="Corporate Relations"/>
    <s v="Corporate Affairs"/>
    <s v="74501001"/>
    <s v="Corporate Affairs"/>
    <s v="Delhi"/>
    <d v="1993-08-20T00:00:00"/>
    <s v="30.00"/>
    <d v="2023-05-08T00:00:00"/>
    <d v="2051-08-31T00:00:00"/>
    <m/>
    <d v="2051-08-31T00:00:00"/>
    <n v="10207"/>
    <s v="A+"/>
    <s v="BE-2015"/>
    <s v="03.03"/>
    <s v="00.04"/>
    <s v="03.07"/>
    <s v="70494938"/>
    <s v="Corporate Affairs"/>
    <s v="308627"/>
    <s v="Executive Assistant"/>
    <s v="Corporate"/>
    <s v="0090000021"/>
    <s v="Corporate Affairs"/>
    <s v="2000CS"/>
    <s v="20057928"/>
    <s v="Manu Kapoor"/>
    <s v="No"/>
    <s v="gawtham.md@amns.in"/>
    <s v="8296587095"/>
    <s v="1048648"/>
    <s v="Dhruv Vyas"/>
    <s v="Anil Matoo"/>
    <s v="Praveen Kuruvalli"/>
    <s v="Dhruv Vyas"/>
    <n v="0"/>
  </r>
  <r>
    <n v="6757"/>
    <n v="20059098"/>
    <s v="Utsav Soni"/>
    <s v="AM/NS India"/>
    <s v="Onroll"/>
    <s v="M-7"/>
    <n v="7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– Direct Taxation"/>
    <m/>
    <m/>
    <m/>
    <m/>
    <s v="Non Technical Support"/>
    <s v=""/>
    <s v=""/>
    <s v=""/>
    <s v=""/>
    <s v="Mumbai"/>
    <d v="1994-02-20T00:00:00"/>
    <s v="29.06"/>
    <d v="2023-05-10T00:00:00"/>
    <d v="2052-02-29T00:00:00"/>
    <m/>
    <d v="2052-02-29T00:00:00"/>
    <n v="10389"/>
    <s v="B+"/>
    <s v="BCom-2016"/>
    <s v="04.07"/>
    <s v="00.04"/>
    <s v="04.11"/>
    <s v="00047291"/>
    <s v="Taxation"/>
    <s v="70494600"/>
    <s v="Lead– Direct Taxation"/>
    <s v="Corporate"/>
    <s v="0090000033"/>
    <s v="Corporate Taxation"/>
    <s v="2000CS"/>
    <s v="20056108"/>
    <s v="Farhan Mehboob Virani"/>
    <s v="No"/>
    <s v="utsav.soni1@amns.in"/>
    <s v="7709599965"/>
    <s v="1048832"/>
    <s v="Dhruv Vyas"/>
    <s v="Anil Matoo"/>
    <s v="Praveen Kuruvalli"/>
    <s v="Dhruv Vyas"/>
    <n v="0"/>
  </r>
  <r>
    <n v="6758"/>
    <n v="20059099"/>
    <s v="Ashutosh Barve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Resident Engineer"/>
    <m/>
    <s v="Technical Marketing &amp; Application Engineering"/>
    <s v="Technical Marketing &amp; Application Engineering"/>
    <m/>
    <s v="Non Technical Support"/>
    <s v=""/>
    <s v=""/>
    <s v=""/>
    <s v=""/>
    <s v="Pune"/>
    <d v="1985-02-17T00:00:00"/>
    <s v="38.07"/>
    <d v="2023-05-10T00:00:00"/>
    <d v="2043-02-28T00:00:00"/>
    <m/>
    <d v="2043-02-28T00:00:00"/>
    <n v="7101"/>
    <s v="AB+"/>
    <s v="MTech-2012 , BE-2008 , Intermediate-2003"/>
    <s v="12.05"/>
    <s v="00.04"/>
    <s v="12.09"/>
    <s v="00052460"/>
    <s v="Auto &amp; YG"/>
    <s v="305324"/>
    <s v="Resident Engineer"/>
    <s v="Hazira"/>
    <s v="0031950057"/>
    <s v="HZ-HRC - Marketing"/>
    <s v="2000HWO"/>
    <s v="20056155"/>
    <s v="Kondapalli Venkateswarlu"/>
    <s v="No"/>
    <s v="ashutosh.barve1@amns.in"/>
    <s v="8160941350"/>
    <s v="1048842"/>
    <s v="Dhruv Vyas"/>
    <s v="Anil Matoo"/>
    <s v="Praveen Kuruvalli"/>
    <s v="Dhruv Vyas"/>
    <n v="0"/>
  </r>
  <r>
    <n v="6773"/>
    <n v="20059114"/>
    <s v="Akshat Gogia"/>
    <s v="AM/NS India"/>
    <s v="Onroll"/>
    <s v="M-7"/>
    <n v="7"/>
    <m/>
    <s v="MM"/>
    <s v="M"/>
    <s v="Corporate"/>
    <n v="1"/>
    <s v="2060"/>
    <x v="24"/>
    <s v="39.01"/>
    <s v="Sanjay Sharma"/>
    <s v="Sanjay Sharma"/>
    <n v="8"/>
    <s v="Business Development"/>
    <s v="Business Development"/>
    <s v="39"/>
    <s v="Ananlyst - Business Development"/>
    <m/>
    <s v="Business Development"/>
    <m/>
    <m/>
    <s v="Non Technical Support"/>
    <s v="Sales &amp; Marketing"/>
    <s v="Business Development"/>
    <s v="73103001"/>
    <s v="Business Development"/>
    <s v="Mumbai"/>
    <d v="1994-02-19T00:00:00"/>
    <s v="29.06"/>
    <d v="2023-05-15T00:00:00"/>
    <d v="2052-02-29T00:00:00"/>
    <m/>
    <d v="2052-02-29T00:00:00"/>
    <n v="10389"/>
    <s v="B-"/>
    <s v="PG Diploma in Management-2023 , BTech-20"/>
    <s v="05.09"/>
    <s v="00.04"/>
    <s v="06.00"/>
    <s v="00049729"/>
    <s v="Business Development - M&amp;A"/>
    <s v="300834"/>
    <s v="Lead Business Development"/>
    <s v="Corporate"/>
    <s v="0090000032"/>
    <s v="Business Devpelopmen"/>
    <s v="2000HWO"/>
    <s v="20055182"/>
    <s v="Neha Soni"/>
    <s v="No"/>
    <s v="akshat.gogia@amns.in"/>
    <s v="9534071376"/>
    <s v="1049769"/>
    <s v="Dhruv Vyas"/>
    <s v="Anil Matoo"/>
    <s v="Praveen Kuruvalli"/>
    <s v="Dhruv Vyas"/>
    <n v="0"/>
  </r>
  <r>
    <n v="6774"/>
    <n v="20059115"/>
    <s v="Navneet Kothari"/>
    <s v="AM/NS India"/>
    <s v="Onroll"/>
    <s v="M-7"/>
    <n v="7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Strategic Finance"/>
    <m/>
    <m/>
    <m/>
    <m/>
    <s v="Non Technical Support"/>
    <s v="Finance &amp; Accounts"/>
    <s v="Corporate Finance"/>
    <s v="73902001"/>
    <s v="Corporate Finance"/>
    <s v="Mumbai"/>
    <d v="1997-10-06T00:00:00"/>
    <s v="25.11"/>
    <d v="2023-05-15T00:00:00"/>
    <d v="2055-10-31T00:00:00"/>
    <m/>
    <d v="2055-10-31T00:00:00"/>
    <n v="11729"/>
    <s v="B+"/>
    <s v="PG Diploma in Management-2023"/>
    <s v="01.00"/>
    <s v="00.04"/>
    <s v="01.04"/>
    <s v="70494717"/>
    <s v="Treasury &amp; Finance"/>
    <s v="309190"/>
    <s v="Lead Strategic Finance"/>
    <s v="Corporate"/>
    <s v="0090000028"/>
    <s v="Corporate Steel - Wo"/>
    <s v="2000CRG"/>
    <s v="20000870"/>
    <s v="Balajee M"/>
    <s v="No"/>
    <s v="navneet.kothari@amns.in"/>
    <s v="9609823342"/>
    <s v="1049782"/>
    <s v="Dhruv Vyas"/>
    <s v="Anil Matoo"/>
    <s v="Praveen Kuruvalli"/>
    <s v="Dhruv Vyas"/>
    <n v="0"/>
  </r>
  <r>
    <n v="6800"/>
    <n v="20059143"/>
    <s v="Abhishek Shrivastava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0-08-16T00:00:00"/>
    <s v="43.01"/>
    <d v="2019-07-23T00:00:00"/>
    <d v="2038-08-31T00:00:00"/>
    <m/>
    <d v="2038-08-31T00:00:00"/>
    <n v="5459"/>
    <s v=""/>
    <s v=""/>
    <s v=""/>
    <s v="04.01"/>
    <s v="04.01"/>
    <s v="00052038"/>
    <s v="Gandhidham Operations"/>
    <s v="309853"/>
    <s v="New Acquisiiton"/>
    <s v="AMNS Gandhidham"/>
    <s v=""/>
    <s v=""/>
    <s v="2313BHIM"/>
    <s v="20059392"/>
    <s v="Rajendra Gupta"/>
    <s v="No"/>
    <s v="abhishek.shrivastava@amns.in"/>
    <s v=""/>
    <s v="1053901"/>
    <s v="Manjit Shah"/>
    <s v="Anil Matoo"/>
    <s v="-"/>
    <s v="Manjit Shah"/>
    <s v="-"/>
  </r>
  <r>
    <n v="6801"/>
    <n v="20059144"/>
    <s v="Kamlesh Khoche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69-07-22T00:00:00"/>
    <s v="54.01"/>
    <d v="2014-04-01T00:00:00"/>
    <d v="2027-07-31T00:00:00"/>
    <m/>
    <d v="2027-07-31T00:00:00"/>
    <n v="1410"/>
    <s v=""/>
    <s v=""/>
    <s v=""/>
    <s v="09.05"/>
    <s v="09.05"/>
    <s v="00052038"/>
    <s v="Gandhidham Operations"/>
    <s v="309928"/>
    <s v="New Acquisiiton"/>
    <s v="AMNS Gandhidham"/>
    <s v=""/>
    <s v=""/>
    <s v="2313BHIM"/>
    <s v="20059392"/>
    <s v="Rajendra Gupta"/>
    <s v="No"/>
    <s v="kamlesh.khoche@amns.in"/>
    <s v=""/>
    <s v="1053903"/>
    <s v="Manjit Shah"/>
    <s v="Anil Matoo"/>
    <s v="-"/>
    <s v="Manjit Shah"/>
    <s v="-"/>
  </r>
  <r>
    <n v="6802"/>
    <n v="20059145"/>
    <s v="Shiv Soni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8-11-12T00:00:00"/>
    <s v="34.10"/>
    <d v="2017-08-01T00:00:00"/>
    <d v="2046-11-30T00:00:00"/>
    <m/>
    <d v="2046-11-30T00:00:00"/>
    <n v="8472"/>
    <s v=""/>
    <s v=""/>
    <s v=""/>
    <s v="06.01"/>
    <s v="06.01"/>
    <s v="00052038"/>
    <s v="Gandhidham Operations"/>
    <s v="309951"/>
    <s v="New Acquisiiton"/>
    <s v="AMNS Gandhidham"/>
    <s v=""/>
    <s v=""/>
    <s v="2313BHIM"/>
    <s v="20059392"/>
    <s v="Rajendra Gupta"/>
    <s v="No"/>
    <s v="shiv.soni4@amns.in"/>
    <s v=""/>
    <s v="1053906"/>
    <s v="Manjit Shah"/>
    <s v="Anil Matoo"/>
    <s v="-"/>
    <s v="Manjit Shah"/>
    <s v="-"/>
  </r>
  <r>
    <n v="6803"/>
    <n v="20059146"/>
    <s v="Ramesh Yadav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3-01-10T00:00:00"/>
    <s v="40.08"/>
    <d v="2021-04-01T00:00:00"/>
    <d v="2041-01-31T00:00:00"/>
    <m/>
    <d v="2041-01-31T00:00:00"/>
    <n v="6343"/>
    <s v=""/>
    <s v=""/>
    <s v=""/>
    <s v="02.05"/>
    <s v="02.05"/>
    <s v="00052038"/>
    <s v="Gandhidham Operations"/>
    <s v="310099"/>
    <s v="New Acquisiiton"/>
    <s v="AMNS Gandhidham"/>
    <s v=""/>
    <s v=""/>
    <s v="2313BHIM"/>
    <s v="20059392"/>
    <s v="Rajendra Gupta"/>
    <s v="No"/>
    <s v="ramesh.yadav@amns.in"/>
    <s v=""/>
    <s v="1053907"/>
    <s v="Manjit Shah"/>
    <s v="Anil Matoo"/>
    <s v="-"/>
    <s v="Manjit Shah"/>
    <s v="-"/>
  </r>
  <r>
    <n v="6804"/>
    <n v="20059147"/>
    <s v="Vikas Lata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Bhimasar"/>
    <d v="1989-09-01T00:00:00"/>
    <s v="34.00"/>
    <d v="2021-04-01T00:00:00"/>
    <d v="2047-08-31T00:00:00"/>
    <m/>
    <d v="2047-08-31T00:00:00"/>
    <n v="8746"/>
    <s v=""/>
    <s v=""/>
    <s v=""/>
    <s v="02.05"/>
    <s v="02.05"/>
    <s v="00052038"/>
    <s v="Gandhidham Operations"/>
    <s v="310108"/>
    <s v="New Acquisiiton"/>
    <s v="AMNS Gandhidham"/>
    <s v=""/>
    <s v=""/>
    <s v="2313BHIM"/>
    <s v="20059392"/>
    <s v="Rajendra Gupta"/>
    <s v="No"/>
    <s v="vikas.lata@amns.in"/>
    <s v=""/>
    <s v="1053947"/>
    <s v="Manjit Shah"/>
    <s v="Anil Matoo"/>
    <s v="-"/>
    <s v="Manjit Shah"/>
    <s v="-"/>
  </r>
  <r>
    <n v="6805"/>
    <n v="20059148"/>
    <s v="Deepak Bakshi"/>
    <s v="AM/NS Gandhidham"/>
    <s v="Onroll"/>
    <s v="New Acquisition"/>
    <n v="17"/>
    <m/>
    <s v="NA"/>
    <s v="M"/>
    <s v="Gandhidham"/>
    <n v="12"/>
    <s v="2313"/>
    <x v="6"/>
    <s v="24.08"/>
    <s v="Anil Matoo"/>
    <s v="Ashutosh Telang"/>
    <n v="6"/>
    <s v="HR &amp; Administration"/>
    <s v="Administration"/>
    <s v="24"/>
    <m/>
    <m/>
    <s v=""/>
    <s v=""/>
    <s v=""/>
    <s v="Non Technical Support"/>
    <s v="Operations"/>
    <s v="Operations"/>
    <s v="72103001"/>
    <s v="Operations"/>
    <s v="Indore"/>
    <d v="1981-10-14T00:00:00"/>
    <s v="41.11"/>
    <d v="2012-01-11T00:00:00"/>
    <d v="2039-10-31T00:00:00"/>
    <m/>
    <d v="2039-10-31T00:00:00"/>
    <n v="5885"/>
    <s v=""/>
    <s v=""/>
    <s v=""/>
    <s v="11.08"/>
    <s v="11.08"/>
    <s v="00052038"/>
    <s v="Gandhidham Operations"/>
    <s v="310109"/>
    <s v="New Acquisiiton"/>
    <s v="AMNS Gandhidham"/>
    <s v=""/>
    <s v=""/>
    <s v="2313INDO"/>
    <s v="20059392"/>
    <s v="Rajendra Gupta"/>
    <s v="No"/>
    <s v="deepak.bakshi1@amns.in"/>
    <s v=""/>
    <s v="1053948"/>
    <s v="Manjit Shah"/>
    <s v="Anil Matoo"/>
    <s v="-"/>
    <s v="Manjit Shah"/>
    <s v="-"/>
  </r>
  <r>
    <n v="6991"/>
    <n v="20059334"/>
    <s v="Ashish Khandelw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80-11-14T00:00:00"/>
    <s v="42.10"/>
    <d v="2020-08-17T00:00:00"/>
    <d v="2038-11-30T00:00:00"/>
    <m/>
    <d v="2038-11-30T00:00:00"/>
    <n v="5550"/>
    <s v=""/>
    <s v=""/>
    <s v=""/>
    <s v="03.01"/>
    <s v="03.01"/>
    <s v="00052420"/>
    <s v="Finance &amp; Accounts"/>
    <s v="309826"/>
    <s v="New Acquisiiton"/>
    <s v="AMNS Gandhidham"/>
    <s v=""/>
    <s v=""/>
    <s v="2309INDO"/>
    <s v="20059338"/>
    <s v="Manish Patidar"/>
    <s v="No"/>
    <s v="ashish.khandelwal1@amns.in"/>
    <s v=""/>
    <s v="1054463"/>
    <s v="Manjit Shah"/>
    <s v="Anil Matoo"/>
    <s v="-"/>
    <s v="Manjit Shah"/>
    <s v="-"/>
  </r>
  <r>
    <n v="6992"/>
    <n v="20059335"/>
    <s v="Manoj Choudhary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8-12-20T00:00:00"/>
    <s v="44.09"/>
    <d v="2017-06-20T00:00:00"/>
    <d v="2036-12-31T00:00:00"/>
    <m/>
    <d v="2036-12-31T00:00:00"/>
    <n v="4851"/>
    <s v=""/>
    <s v=""/>
    <s v=""/>
    <s v="06.03"/>
    <s v="06.03"/>
    <s v="00052420"/>
    <s v="Finance &amp; Accounts"/>
    <s v="309828"/>
    <s v="New Acquisiiton"/>
    <s v="AMNS Gandhidham"/>
    <s v=""/>
    <s v=""/>
    <s v="2309INDO"/>
    <s v="20059338"/>
    <s v="Manish Patidar"/>
    <s v="No"/>
    <s v="manoj.choudhary2@amns.in"/>
    <s v=""/>
    <s v="1054465"/>
    <s v="Manjit Shah"/>
    <s v="Anil Matoo"/>
    <s v="-"/>
    <s v="Manjit Shah"/>
    <s v="-"/>
  </r>
  <r>
    <n v="6993"/>
    <n v="20059336"/>
    <s v="Jitendra Tiwar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1-02-05T00:00:00"/>
    <s v="52.07"/>
    <d v="2008-02-01T00:00:00"/>
    <d v="2029-02-28T00:00:00"/>
    <m/>
    <d v="2029-02-28T00:00:00"/>
    <n v="1988"/>
    <s v=""/>
    <s v=""/>
    <s v=""/>
    <s v="15.07"/>
    <s v="15.07"/>
    <s v="00052420"/>
    <s v="Finance &amp; Accounts"/>
    <s v="309832"/>
    <s v="New Acquisiiton"/>
    <s v="AMNS Gandhidham"/>
    <s v=""/>
    <s v=""/>
    <s v="2309BHIM"/>
    <s v="20059338"/>
    <s v="Manish Patidar"/>
    <s v="No"/>
    <s v="jitendrakumar.tiwari@amns.in"/>
    <s v=""/>
    <s v="1054631"/>
    <s v="Manjit Shah"/>
    <s v="Anil Matoo"/>
    <s v="-"/>
    <s v="Manjit Shah"/>
    <s v="-"/>
  </r>
  <r>
    <n v="6994"/>
    <n v="20059337"/>
    <s v="Manish Parik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Mumbai"/>
    <d v="1974-07-07T00:00:00"/>
    <s v="49.02"/>
    <d v="2018-01-07T00:00:00"/>
    <d v="2032-07-31T00:00:00"/>
    <m/>
    <d v="2032-07-31T00:00:00"/>
    <n v="3237"/>
    <s v=""/>
    <s v=""/>
    <s v=""/>
    <s v="05.08"/>
    <s v="05.08"/>
    <s v="00052038"/>
    <s v="Gandhidham Operations"/>
    <s v="309838"/>
    <s v="New Acquisiiton"/>
    <s v="AMNS Gandhidham"/>
    <s v=""/>
    <s v=""/>
    <s v="2309MUMB"/>
    <s v="20059392"/>
    <s v="Rajendra Gupta"/>
    <s v="No"/>
    <s v="manish.parikh1@amns.in"/>
    <s v=""/>
    <s v="1054467"/>
    <s v="Manjit Shah"/>
    <s v="Anil Matoo"/>
    <s v="-"/>
    <s v="Manjit Shah"/>
    <s v="-"/>
  </r>
  <r>
    <n v="6995"/>
    <n v="20059338"/>
    <s v="Manish Patidar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84-12-08T00:00:00"/>
    <s v="38.09"/>
    <d v="2010-06-28T00:00:00"/>
    <d v="2042-12-31T00:00:00"/>
    <m/>
    <d v="2042-12-31T00:00:00"/>
    <n v="7042"/>
    <s v=""/>
    <s v=""/>
    <s v=""/>
    <s v="13.02"/>
    <s v="13.02"/>
    <s v="00052420"/>
    <s v="Finance &amp; Accounts"/>
    <s v="309839"/>
    <s v="New Acquisiiton"/>
    <s v="AMNS Gandhidham"/>
    <s v=""/>
    <s v=""/>
    <s v="2309INDO"/>
    <s v="20055188"/>
    <s v="Rohit Sharma"/>
    <s v="No"/>
    <s v="manish.patidar1@amns.in"/>
    <s v=""/>
    <s v="1054468"/>
    <s v="Manjit Shah"/>
    <s v="Anil Matoo"/>
    <s v="-"/>
    <s v="Manjit Shah"/>
    <s v="-"/>
  </r>
  <r>
    <n v="6996"/>
    <n v="20059339"/>
    <s v="Rajeev Sing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6-03-30T00:00:00"/>
    <s v="47.05"/>
    <d v="2019-01-22T00:00:00"/>
    <d v="2034-03-31T00:00:00"/>
    <m/>
    <d v="2034-03-31T00:00:00"/>
    <n v="3845"/>
    <s v=""/>
    <s v=""/>
    <s v=""/>
    <s v="04.07"/>
    <s v="04.07"/>
    <s v="00052038"/>
    <s v="Gandhidham Operations"/>
    <s v="309867"/>
    <s v="New Acquisiiton"/>
    <s v="AMNS Gandhidham"/>
    <s v=""/>
    <s v=""/>
    <s v="2309INDO"/>
    <s v="20059338"/>
    <s v="Manish Patidar"/>
    <s v="No"/>
    <s v="rajeev.singh27@amns.in"/>
    <s v=""/>
    <s v="1054471"/>
    <s v="Manjit Shah"/>
    <s v="Anil Matoo"/>
    <s v="-"/>
    <s v="Manjit Shah"/>
    <s v="-"/>
  </r>
  <r>
    <n v="6997"/>
    <n v="20059340"/>
    <s v="Prasant Singh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90-07-19T00:00:00"/>
    <s v="33.02"/>
    <d v="2023-01-11T00:00:00"/>
    <d v="2048-07-31T00:00:00"/>
    <m/>
    <d v="2048-07-31T00:00:00"/>
    <n v="9081"/>
    <s v=""/>
    <s v=""/>
    <s v=""/>
    <s v="00.08"/>
    <s v="00.08"/>
    <s v="00052038"/>
    <s v="Gandhidham Operations"/>
    <s v="309877"/>
    <s v="New Acquisiiton"/>
    <s v="AMNS Gandhidham"/>
    <s v=""/>
    <s v=""/>
    <s v="2309BHIM"/>
    <s v="20059392"/>
    <s v="Rajendra Gupta"/>
    <s v="No"/>
    <s v="prasant.singhal@amns.in"/>
    <s v=""/>
    <s v="1054632"/>
    <s v="Manjit Shah"/>
    <s v="Anil Matoo"/>
    <s v="-"/>
    <s v="Manjit Shah"/>
    <s v="-"/>
  </r>
  <r>
    <n v="6998"/>
    <n v="20059341"/>
    <s v="Shailesh Pagare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1-07-01T00:00:00"/>
    <s v="52.02"/>
    <d v="2008-09-22T00:00:00"/>
    <d v="2029-06-30T00:00:00"/>
    <m/>
    <d v="2029-06-30T00:00:00"/>
    <n v="2110"/>
    <s v=""/>
    <s v=""/>
    <s v=""/>
    <s v="14.11"/>
    <s v="14.11"/>
    <s v="00052038"/>
    <s v="Gandhidham Operations"/>
    <s v="309882"/>
    <s v="New Acquisiiton"/>
    <s v="AMNS Gandhidham"/>
    <s v=""/>
    <s v=""/>
    <s v="2309BHIM"/>
    <s v="20059392"/>
    <s v="Rajendra Gupta"/>
    <s v="No"/>
    <s v="shailesh.pagare@amns.in"/>
    <s v=""/>
    <s v="1054634"/>
    <s v="Manjit Shah"/>
    <s v="Anil Matoo"/>
    <s v="-"/>
    <s v="Manjit Shah"/>
    <s v="-"/>
  </r>
  <r>
    <n v="6999"/>
    <n v="20059342"/>
    <s v="Prem Medatw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4-08-27T00:00:00"/>
    <s v="49.00"/>
    <d v="2019-12-06T00:00:00"/>
    <d v="2032-08-31T00:00:00"/>
    <m/>
    <d v="2032-08-31T00:00:00"/>
    <n v="3268"/>
    <s v=""/>
    <s v=""/>
    <s v=""/>
    <s v="03.09"/>
    <s v="03.09"/>
    <s v="00052038"/>
    <s v="Gandhidham Operations"/>
    <s v="309889"/>
    <s v="New Acquisiiton"/>
    <s v="AMNS Gandhidham"/>
    <s v=""/>
    <s v=""/>
    <s v="2309INDO"/>
    <s v="20059392"/>
    <s v="Rajendra Gupta"/>
    <s v="No"/>
    <s v="prem.medatwal@amns.in"/>
    <s v=""/>
    <s v="1054473"/>
    <s v="Manjit Shah"/>
    <s v="Anil Matoo"/>
    <s v="-"/>
    <s v="Manjit Shah"/>
    <s v="-"/>
  </r>
  <r>
    <n v="7000"/>
    <n v="20059343"/>
    <s v="Ganesh Ja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Mumbai"/>
    <d v="1973-04-27T00:00:00"/>
    <s v="50.04"/>
    <d v="2019-01-09T00:00:00"/>
    <d v="2031-04-30T00:00:00"/>
    <m/>
    <d v="2031-04-30T00:00:00"/>
    <n v="2779"/>
    <s v=""/>
    <s v=""/>
    <s v=""/>
    <s v="04.08"/>
    <s v="04.08"/>
    <s v="00052038"/>
    <s v="Gandhidham Operations"/>
    <s v="309910"/>
    <s v="New Acquisiiton"/>
    <s v="AMNS Gandhidham"/>
    <s v=""/>
    <s v=""/>
    <s v="2309MUMB"/>
    <s v="20059392"/>
    <s v="Rajendra Gupta"/>
    <s v="No"/>
    <s v="ganesh.jain1@amns.in"/>
    <s v=""/>
    <s v="1054474"/>
    <s v="Manjit Shah"/>
    <s v="Anil Matoo"/>
    <s v="-"/>
    <s v="Manjit Shah"/>
    <s v="-"/>
  </r>
  <r>
    <n v="7001"/>
    <n v="20059344"/>
    <s v="Somesh Ja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7-07-06T00:00:00"/>
    <s v="46.02"/>
    <d v="2007-09-17T00:00:00"/>
    <d v="2035-07-31T00:00:00"/>
    <m/>
    <d v="2035-07-31T00:00:00"/>
    <n v="4332"/>
    <s v=""/>
    <s v=""/>
    <s v=""/>
    <s v="16.00"/>
    <s v="16.00"/>
    <s v="00052038"/>
    <s v="Gandhidham Operations"/>
    <s v="309912"/>
    <s v="New Acquisiiton"/>
    <s v="AMNS Gandhidham"/>
    <s v=""/>
    <s v=""/>
    <s v="2309INDO"/>
    <s v="20059392"/>
    <s v="Rajendra Gupta"/>
    <s v="No"/>
    <s v="somesh.jain14@amns.in"/>
    <s v=""/>
    <s v="1054477"/>
    <s v="Manjit Shah"/>
    <s v="Anil Matoo"/>
    <s v="-"/>
    <s v="Manjit Shah"/>
    <s v="-"/>
  </r>
  <r>
    <n v="7002"/>
    <n v="20059345"/>
    <s v="Bhaskarbhai Josh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67-12-30T00:00:00"/>
    <s v="55.08"/>
    <d v="2018-04-30T00:00:00"/>
    <d v="2025-12-31T00:00:00"/>
    <m/>
    <d v="2025-12-31T00:00:00"/>
    <n v="833"/>
    <s v=""/>
    <s v=""/>
    <s v=""/>
    <s v="05.04"/>
    <s v="05.04"/>
    <s v="00052038"/>
    <s v="Gandhidham Operations"/>
    <s v="309919"/>
    <s v="New Acquisiiton"/>
    <s v="AMNS Gandhidham"/>
    <s v=""/>
    <s v=""/>
    <s v="2309BHIM"/>
    <s v="20059392"/>
    <s v="Rajendra Gupta"/>
    <s v="No"/>
    <s v="bhaskarbhai.joshi@amns.in"/>
    <s v=""/>
    <s v="1054479"/>
    <s v="Manjit Shah"/>
    <s v="Anil Matoo"/>
    <s v="-"/>
    <s v="Manjit Shah"/>
    <s v="-"/>
  </r>
  <r>
    <n v="7003"/>
    <n v="20059346"/>
    <s v="Dinesh Pareek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9-07-15T00:00:00"/>
    <s v="44.02"/>
    <d v="2007-08-01T00:00:00"/>
    <d v="2037-07-31T00:00:00"/>
    <m/>
    <d v="2037-07-31T00:00:00"/>
    <n v="5063"/>
    <s v=""/>
    <s v=""/>
    <s v=""/>
    <s v="16.01"/>
    <s v="16.01"/>
    <s v="00052038"/>
    <s v="Gandhidham Operations"/>
    <s v="309923"/>
    <s v="New Acquisiiton"/>
    <s v="AMNS Gandhidham"/>
    <s v=""/>
    <s v=""/>
    <s v="2309BHIM"/>
    <s v="20059392"/>
    <s v="Rajendra Gupta"/>
    <s v="No"/>
    <s v="dinesh.pareek1@amns.in"/>
    <s v=""/>
    <s v="1054635"/>
    <s v="Manjit Shah"/>
    <s v="Anil Matoo"/>
    <s v="-"/>
    <s v="Manjit Shah"/>
    <s v="-"/>
  </r>
  <r>
    <n v="7004"/>
    <n v="20059347"/>
    <s v="Gaurav Bhas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8-02-08T00:00:00"/>
    <s v="45.07"/>
    <d v="2012-10-08T00:00:00"/>
    <d v="2036-02-29T00:00:00"/>
    <m/>
    <d v="2036-02-29T00:00:00"/>
    <n v="4545"/>
    <s v=""/>
    <s v=""/>
    <s v=""/>
    <s v="10.11"/>
    <s v="10.11"/>
    <s v="00052038"/>
    <s v="Gandhidham Operations"/>
    <s v="309924"/>
    <s v="New Acquisiiton"/>
    <s v="AMNS Gandhidham"/>
    <s v=""/>
    <s v=""/>
    <s v="2309BHIM"/>
    <s v="20059392"/>
    <s v="Rajendra Gupta"/>
    <s v="No"/>
    <s v="gaurav.bhasin@amns.in"/>
    <s v=""/>
    <s v="1054636"/>
    <s v="Manjit Shah"/>
    <s v="Anil Matoo"/>
    <s v="-"/>
    <s v="Manjit Shah"/>
    <s v="-"/>
  </r>
  <r>
    <n v="7005"/>
    <n v="20059348"/>
    <s v="V. Sridhar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0-05-10T00:00:00"/>
    <s v="53.04"/>
    <d v="2011-05-20T00:00:00"/>
    <d v="2028-05-31T00:00:00"/>
    <m/>
    <d v="2028-05-31T00:00:00"/>
    <n v="1715"/>
    <s v=""/>
    <s v=""/>
    <s v=""/>
    <s v="12.04"/>
    <s v="12.04"/>
    <s v="00052038"/>
    <s v="Gandhidham Operations"/>
    <s v="309958"/>
    <s v="New Acquisiiton"/>
    <s v="AMNS Gandhidham"/>
    <s v=""/>
    <s v=""/>
    <s v="2309BHIM"/>
    <s v="20059392"/>
    <s v="Rajendra Gupta"/>
    <s v="No"/>
    <s v="v.shridhar@amns.in"/>
    <s v=""/>
    <s v="1054637"/>
    <s v="Manjit Shah"/>
    <s v="Anil Matoo"/>
    <s v="-"/>
    <s v="Manjit Shah"/>
    <s v="-"/>
  </r>
  <r>
    <n v="7006"/>
    <n v="20059349"/>
    <s v="Mukesh Jain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0-05-07T00:00:00"/>
    <s v="53.04"/>
    <d v="2019-01-09T00:00:00"/>
    <d v="2028-05-31T00:00:00"/>
    <m/>
    <d v="2028-05-31T00:00:00"/>
    <n v="1715"/>
    <s v=""/>
    <s v=""/>
    <s v=""/>
    <s v="04.08"/>
    <s v="04.08"/>
    <s v="00052038"/>
    <s v="Gandhidham Operations"/>
    <s v="309964"/>
    <s v="New Acquisiiton"/>
    <s v="AMNS Gandhidham"/>
    <s v=""/>
    <s v=""/>
    <s v="2309DELH"/>
    <s v="20059392"/>
    <s v="Rajendra Gupta"/>
    <s v="No"/>
    <s v="mukesh.jain7@amns.in"/>
    <s v=""/>
    <s v="1054481"/>
    <s v="Manjit Shah"/>
    <s v="Anil Matoo"/>
    <s v="-"/>
    <s v="Manjit Shah"/>
    <s v="-"/>
  </r>
  <r>
    <n v="7007"/>
    <n v="20059350"/>
    <s v="Anil Gawde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67-05-01T00:00:00"/>
    <s v="56.04"/>
    <d v="2018-07-01T00:00:00"/>
    <d v="2025-04-30T00:00:00"/>
    <m/>
    <d v="2025-04-30T00:00:00"/>
    <n v="588"/>
    <s v=""/>
    <s v=""/>
    <s v=""/>
    <s v="05.02"/>
    <s v="05.02"/>
    <s v="00052038"/>
    <s v="Gandhidham Operations"/>
    <s v="309970"/>
    <s v="New Acquisiiton"/>
    <s v="AMNS Gandhidham"/>
    <s v=""/>
    <s v=""/>
    <s v="2309BHIM"/>
    <s v="20059392"/>
    <s v="Rajendra Gupta"/>
    <s v="No"/>
    <s v="anil.gawde@amns.in"/>
    <s v=""/>
    <s v="1054638"/>
    <s v="Manjit Shah"/>
    <s v="Anil Matoo"/>
    <s v="-"/>
    <s v="Manjit Shah"/>
    <s v="-"/>
  </r>
  <r>
    <n v="7008"/>
    <n v="20059351"/>
    <s v="Rakesh Kushwaha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9-07-01T00:00:00"/>
    <s v="44.02"/>
    <d v="2010-12-06T00:00:00"/>
    <d v="2037-06-30T00:00:00"/>
    <m/>
    <d v="2037-06-30T00:00:00"/>
    <n v="5032"/>
    <s v=""/>
    <s v=""/>
    <s v=""/>
    <s v="12.09"/>
    <s v="12.09"/>
    <s v="00052038"/>
    <s v="Gandhidham Operations"/>
    <s v="309986"/>
    <s v="New Acquisiiton"/>
    <s v="AMNS Gandhidham"/>
    <s v=""/>
    <s v=""/>
    <s v="2309BHIM"/>
    <s v="20059392"/>
    <s v="Rajendra Gupta"/>
    <s v="No"/>
    <s v="rakesh.kushwaha@amns.in"/>
    <s v=""/>
    <s v="1054482"/>
    <s v="Manjit Shah"/>
    <s v="Anil Matoo"/>
    <s v="-"/>
    <s v="Manjit Shah"/>
    <s v="-"/>
  </r>
  <r>
    <n v="7009"/>
    <n v="20059352"/>
    <s v="Ramnivas Lowansh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3-06-22T00:00:00"/>
    <s v="40.03"/>
    <d v="2019-05-01T00:00:00"/>
    <d v="2041-06-30T00:00:00"/>
    <m/>
    <d v="2041-06-30T00:00:00"/>
    <n v="6493"/>
    <s v=""/>
    <s v=""/>
    <s v=""/>
    <s v="04.04"/>
    <s v="04.04"/>
    <s v="00052038"/>
    <s v="Gandhidham Operations"/>
    <s v="310048"/>
    <s v="New Acquisiiton"/>
    <s v="AMNS Gandhidham"/>
    <s v=""/>
    <s v=""/>
    <s v="2309BHIM"/>
    <s v="20059392"/>
    <s v="Rajendra Gupta"/>
    <s v="No"/>
    <s v="ramnivas.lowanshi1@amns.in"/>
    <s v=""/>
    <s v="1054491"/>
    <s v="Manjit Shah"/>
    <s v="Anil Matoo"/>
    <s v="-"/>
    <s v="Manjit Shah"/>
    <s v="-"/>
  </r>
  <r>
    <n v="7010"/>
    <n v="20059353"/>
    <s v="Pramod Shukla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1-04-21T00:00:00"/>
    <s v="52.05"/>
    <d v="2011-12-06T00:00:00"/>
    <d v="2029-04-30T00:00:00"/>
    <m/>
    <d v="2029-04-30T00:00:00"/>
    <n v="2049"/>
    <s v=""/>
    <s v=""/>
    <s v=""/>
    <s v="11.09"/>
    <s v="11.09"/>
    <s v="00052038"/>
    <s v="Gandhidham Operations"/>
    <s v="310080"/>
    <s v="New Acquisiiton"/>
    <s v="AMNS Gandhidham"/>
    <s v=""/>
    <s v=""/>
    <s v="2309BHIM"/>
    <s v="20059392"/>
    <s v="Rajendra Gupta"/>
    <s v="No"/>
    <s v="pramod.shukla@amns.in"/>
    <s v=""/>
    <s v="1054639"/>
    <s v="Manjit Shah"/>
    <s v="Anil Matoo"/>
    <s v="-"/>
    <s v="Manjit Shah"/>
    <s v="-"/>
  </r>
  <r>
    <n v="7011"/>
    <n v="20059354"/>
    <s v="Sandeep Thakur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1-07-21T00:00:00"/>
    <s v="42.02"/>
    <d v="2008-01-23T00:00:00"/>
    <d v="2039-07-31T00:00:00"/>
    <m/>
    <d v="2039-07-31T00:00:00"/>
    <n v="5793"/>
    <s v=""/>
    <s v=""/>
    <s v=""/>
    <s v="15.07"/>
    <s v="15.07"/>
    <s v="00052420"/>
    <s v="Finance &amp; Accounts"/>
    <s v="310082"/>
    <s v="New Acquisiiton"/>
    <s v="AMNS Gandhidham"/>
    <s v=""/>
    <s v=""/>
    <s v="2309BHIM"/>
    <s v="20059338"/>
    <s v="Manish Patidar"/>
    <s v="No"/>
    <s v="sandeep.thakur@amns.in"/>
    <s v=""/>
    <s v="1054641"/>
    <s v="Manjit Shah"/>
    <s v="Anil Matoo"/>
    <s v="-"/>
    <s v="Manjit Shah"/>
    <s v="-"/>
  </r>
  <r>
    <n v="7012"/>
    <n v="20059355"/>
    <s v="Sachin Wag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Indore"/>
    <d v="1979-01-02T00:00:00"/>
    <s v="44.08"/>
    <d v="2012-06-26T00:00:00"/>
    <d v="2037-01-31T00:00:00"/>
    <m/>
    <d v="2037-01-31T00:00:00"/>
    <n v="4882"/>
    <s v=""/>
    <s v=""/>
    <s v=""/>
    <s v="11.02"/>
    <s v="11.02"/>
    <s v="00052420"/>
    <s v="Finance &amp; Accounts"/>
    <s v="310089"/>
    <s v="New Acquisiiton"/>
    <s v="AMNS Gandhidham"/>
    <s v=""/>
    <s v=""/>
    <s v="2309INDO"/>
    <s v="20059338"/>
    <s v="Manish Patidar"/>
    <s v="No"/>
    <s v="sachin.wagh1@amns.in"/>
    <s v=""/>
    <s v="1054495"/>
    <s v="Manjit Shah"/>
    <s v="Anil Matoo"/>
    <s v="-"/>
    <s v="Manjit Shah"/>
    <s v="-"/>
  </r>
  <r>
    <n v="7013"/>
    <n v="20059356"/>
    <s v="Rahul Parikh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5-10-14T00:00:00"/>
    <s v="37.11"/>
    <d v="2020-11-01T00:00:00"/>
    <d v="2043-10-31T00:00:00"/>
    <m/>
    <d v="2043-10-31T00:00:00"/>
    <n v="7346"/>
    <s v=""/>
    <s v=""/>
    <s v=""/>
    <s v="02.10"/>
    <s v="02.10"/>
    <s v="00052038"/>
    <s v="Gandhidham Operations"/>
    <s v="310094"/>
    <s v="New Acquisiiton"/>
    <s v="AMNS Gandhidham"/>
    <s v=""/>
    <s v=""/>
    <s v="2309BHIM"/>
    <s v="20059392"/>
    <s v="Rajendra Gupta"/>
    <s v="No"/>
    <s v="rahul.parikh@amns.in"/>
    <s v=""/>
    <s v="1054497"/>
    <s v="Manjit Shah"/>
    <s v="Anil Matoo"/>
    <s v="-"/>
    <s v="Manjit Shah"/>
    <s v="-"/>
  </r>
  <r>
    <n v="7014"/>
    <n v="20059357"/>
    <s v="Rakesh Bansal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74-01-08T00:00:00"/>
    <s v="49.08"/>
    <d v="2007-01-24T00:00:00"/>
    <d v="2032-01-31T00:00:00"/>
    <m/>
    <d v="2032-01-31T00:00:00"/>
    <n v="3055"/>
    <s v=""/>
    <s v=""/>
    <s v=""/>
    <s v="16.07"/>
    <s v="16.07"/>
    <s v="00052420"/>
    <s v="Finance &amp; Accounts"/>
    <s v="310097"/>
    <s v="New Acquisiiton"/>
    <s v="AMNS Gandhidham"/>
    <s v=""/>
    <s v=""/>
    <s v="2309BHIM"/>
    <s v="20059338"/>
    <s v="Manish Patidar"/>
    <s v="No"/>
    <s v="rakesh.bansal@amns.in"/>
    <s v=""/>
    <s v="1054643"/>
    <s v="Manjit Shah"/>
    <s v="Anil Matoo"/>
    <s v="-"/>
    <s v="Manjit Shah"/>
    <s v="-"/>
  </r>
  <r>
    <n v="7015"/>
    <n v="20059358"/>
    <s v="Sunil Swam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8-11-10T00:00:00"/>
    <s v="34.10"/>
    <d v="2023-02-06T00:00:00"/>
    <d v="2046-11-30T00:00:00"/>
    <m/>
    <d v="2046-11-30T00:00:00"/>
    <n v="8472"/>
    <s v=""/>
    <s v=""/>
    <s v=""/>
    <s v="00.07"/>
    <s v="00.07"/>
    <s v="00052038"/>
    <s v="Gandhidham Operations"/>
    <s v="310107"/>
    <s v="New Acquisiiton"/>
    <s v="AMNS Gandhidham"/>
    <s v=""/>
    <s v=""/>
    <s v="2309BHIM"/>
    <s v="20059392"/>
    <s v="Rajendra Gupta"/>
    <s v="No"/>
    <s v="sunilkumar.swami@amns.in"/>
    <s v=""/>
    <s v="1054645"/>
    <s v="Manjit Shah"/>
    <s v="Anil Matoo"/>
    <s v="-"/>
    <s v="Manjit Shah"/>
    <s v="-"/>
  </r>
  <r>
    <n v="7016"/>
    <n v="20059359"/>
    <s v="Prahladbhai U.Prajapati"/>
    <s v="AM/NS Gandhidham"/>
    <s v="Onroll"/>
    <s v="New Acquisition"/>
    <n v="17"/>
    <m/>
    <s v="NA"/>
    <s v="M"/>
    <s v="Gandhidham"/>
    <n v="12"/>
    <s v="2309"/>
    <x v="0"/>
    <s v="20.01"/>
    <s v="Akiyo Omori"/>
    <s v="Amit Harlalka"/>
    <n v="5"/>
    <s v="Finance &amp; Accounts"/>
    <s v="Finance &amp; Accounts"/>
    <s v="20"/>
    <m/>
    <m/>
    <s v=""/>
    <s v=""/>
    <s v=""/>
    <s v="Non Technical Support"/>
    <s v="Operations"/>
    <s v="Operations"/>
    <s v="72103001"/>
    <s v="Operations"/>
    <s v="Bhimasar"/>
    <d v="1983-06-01T00:00:00"/>
    <s v="40.03"/>
    <d v="2008-01-01T00:00:00"/>
    <d v="2041-05-31T00:00:00"/>
    <m/>
    <d v="2041-05-31T00:00:00"/>
    <n v="6463"/>
    <s v=""/>
    <s v=""/>
    <s v=""/>
    <s v="15.08"/>
    <s v="15.08"/>
    <s v="00052038"/>
    <s v="Gandhidham Operations"/>
    <s v="310114"/>
    <s v="New Acquisiiton"/>
    <s v="AMNS Gandhidham"/>
    <s v=""/>
    <s v=""/>
    <s v="2309BHIM"/>
    <s v="20059392"/>
    <s v="Rajendra Gupta"/>
    <s v="No"/>
    <s v="prahladbhai.prajapati@amns.in"/>
    <s v=""/>
    <s v="1054022"/>
    <s v="Manjit Shah"/>
    <s v="Anil Matoo"/>
    <s v="-"/>
    <s v="Manjit Shah"/>
    <s v="-"/>
  </r>
  <r>
    <n v="7017"/>
    <n v="20059360"/>
    <s v="Gulab Chand"/>
    <s v="AM/NS Gandhidham"/>
    <s v="Onroll"/>
    <s v="New Acquisition"/>
    <n v="17"/>
    <m/>
    <s v="NA"/>
    <s v="M"/>
    <s v="Gandhidham"/>
    <n v="12"/>
    <s v="2310"/>
    <x v="1"/>
    <s v="22.06"/>
    <s v="Anil Matoo"/>
    <s v="Ashutosh Telang"/>
    <n v="6"/>
    <s v="HR &amp; Administration"/>
    <s v="Human Resources"/>
    <s v="22"/>
    <m/>
    <m/>
    <s v=""/>
    <s v=""/>
    <s v=""/>
    <s v="Non Technical Support"/>
    <s v="Operations"/>
    <s v="Operations"/>
    <s v="72103001"/>
    <s v="Operations"/>
    <s v="Bhimasar"/>
    <d v="1972-02-10T00:00:00"/>
    <s v="51.07"/>
    <d v="2005-02-15T00:00:00"/>
    <d v="2030-02-28T00:00:00"/>
    <m/>
    <d v="2030-02-28T00:00:00"/>
    <n v="2353"/>
    <s v=""/>
    <s v=""/>
    <s v=""/>
    <s v="18.07"/>
    <s v="18.07"/>
    <s v="00052038"/>
    <s v="Gandhidham Operations"/>
    <s v="309831"/>
    <s v="New Acquisiiton"/>
    <s v="AMNS Gandhidham"/>
    <s v=""/>
    <s v=""/>
    <s v="2310BHIM"/>
    <s v="20059392"/>
    <s v="Rajendra Gupta"/>
    <s v="No"/>
    <s v="gulab.chand@amns.in"/>
    <s v=""/>
    <s v="1054646"/>
    <s v="Manjit Shah"/>
    <s v="Anil Matoo"/>
    <s v="-"/>
    <s v="Manjit Shah"/>
    <s v="-"/>
  </r>
  <r>
    <n v="7018"/>
    <n v="20059361"/>
    <s v="Dinesh Barala"/>
    <s v="AM/NS Gandhidham"/>
    <s v="Onroll"/>
    <s v="New Acquisition"/>
    <n v="17"/>
    <m/>
    <s v="NA"/>
    <s v="M"/>
    <s v="Gandhidham"/>
    <n v="12"/>
    <s v="2310"/>
    <x v="1"/>
    <s v="22.06"/>
    <s v="Anil Matoo"/>
    <s v="Ashutosh Telang"/>
    <n v="6"/>
    <s v="HR &amp; Administration"/>
    <s v="Human Resources"/>
    <s v="22"/>
    <m/>
    <m/>
    <s v=""/>
    <s v=""/>
    <s v=""/>
    <s v="Non Technical Support"/>
    <s v="Operations"/>
    <s v="Operations"/>
    <s v="72103001"/>
    <s v="Operations"/>
    <s v="Bhimasar"/>
    <d v="1986-08-21T00:00:00"/>
    <s v="37.00"/>
    <d v="2019-01-01T00:00:00"/>
    <d v="2044-08-31T00:00:00"/>
    <m/>
    <d v="2044-08-31T00:00:00"/>
    <n v="7651"/>
    <s v=""/>
    <s v=""/>
    <s v=""/>
    <s v="04.08"/>
    <s v="04.08"/>
    <s v="00052038"/>
    <s v="Gandhidham Operations"/>
    <s v="310073"/>
    <s v="New Acquisiiton"/>
    <s v="AMNS Gandhidham"/>
    <s v=""/>
    <s v=""/>
    <s v="2310BHIM"/>
    <s v="20059392"/>
    <s v="Rajendra Gupta"/>
    <s v="No"/>
    <s v="dinesh.barala@amns.in"/>
    <s v=""/>
    <s v="1054498"/>
    <s v="Manjit Shah"/>
    <s v="Anil Matoo"/>
    <s v="-"/>
    <s v="Manjit Shah"/>
    <s v="-"/>
  </r>
  <r>
    <n v="7019"/>
    <n v="20059362"/>
    <s v="Rajendra Singh"/>
    <s v="AM/NS Gandhidham"/>
    <s v="Onroll"/>
    <s v="New Acquisition"/>
    <n v="17"/>
    <m/>
    <s v="NA"/>
    <s v="M"/>
    <s v="Gandhidham"/>
    <n v="12"/>
    <s v="2310"/>
    <x v="1"/>
    <s v="22.06"/>
    <s v="Anil Matoo"/>
    <s v="Ashutosh Telang"/>
    <n v="6"/>
    <s v="HR &amp; Administration"/>
    <s v="Human Resources"/>
    <s v="22"/>
    <m/>
    <m/>
    <s v=""/>
    <s v=""/>
    <s v=""/>
    <s v="Non Technical Support"/>
    <s v="Operations"/>
    <s v="Operations"/>
    <s v="72103001"/>
    <s v="Operations"/>
    <s v="Bhimasar"/>
    <d v="1976-07-05T00:00:00"/>
    <s v="47.02"/>
    <d v="2015-09-01T00:00:00"/>
    <d v="2034-07-31T00:00:00"/>
    <m/>
    <d v="2034-07-31T00:00:00"/>
    <n v="3967"/>
    <s v=""/>
    <s v=""/>
    <s v=""/>
    <s v="08.00"/>
    <s v="08.00"/>
    <s v="00052038"/>
    <s v="Gandhidham Operations"/>
    <s v="310095"/>
    <s v="New Acquisiiton"/>
    <s v="AMNS Gandhidham"/>
    <s v=""/>
    <s v=""/>
    <s v="2310BHIM"/>
    <s v="20059392"/>
    <s v="Rajendra Gupta"/>
    <s v="No"/>
    <s v="rajendra.singh@amns.in"/>
    <s v=""/>
    <s v="1054649"/>
    <s v="Manjit Shah"/>
    <s v="Anil Matoo"/>
    <s v="-"/>
    <s v="Manjit Shah"/>
    <s v="-"/>
  </r>
  <r>
    <n v="7026"/>
    <n v="20059369"/>
    <s v="Arvind Singh"/>
    <s v="AM/NS Gandhidham"/>
    <s v="Onroll"/>
    <s v="M-7"/>
    <n v="17"/>
    <m/>
    <s v="NA"/>
    <s v="M"/>
    <s v="Gandhidham"/>
    <n v="12"/>
    <s v="2311"/>
    <x v="22"/>
    <s v="41.01"/>
    <s v="P Ashok Kumar"/>
    <s v="P Ashok Kumar"/>
    <n v="9"/>
    <s v="Legal"/>
    <s v="Legal"/>
    <s v="41"/>
    <s v="Legal Counsel, Gandhidham"/>
    <m/>
    <s v="legal"/>
    <s v=""/>
    <s v=""/>
    <s v="Non Technical Support"/>
    <s v="Operations"/>
    <s v="Operations"/>
    <s v="72103001"/>
    <s v="Operations"/>
    <s v="Indore"/>
    <d v="1967-01-11T00:00:00"/>
    <s v="56.08"/>
    <d v="2014-01-14T00:00:00"/>
    <d v="2025-01-31T00:00:00"/>
    <m/>
    <d v="2025-01-31T00:00:00"/>
    <n v="499"/>
    <s v=""/>
    <s v=""/>
    <s v=""/>
    <s v="09.08"/>
    <s v="09.08"/>
    <s v="00052038"/>
    <s v="Gandhidham Operations"/>
    <s v="309851"/>
    <s v="New Acquisiiton"/>
    <s v="AMNS Gandhidham"/>
    <s v=""/>
    <s v=""/>
    <s v="2311INDO"/>
    <s v="20059392"/>
    <s v="Rajendra Gupta"/>
    <s v="No"/>
    <s v="arvindkumar.singh5@amns.in"/>
    <s v=""/>
    <s v="1054511"/>
    <s v="Manjit Shah"/>
    <s v="Anil Matoo"/>
    <s v="-"/>
    <s v="Manjit Shah"/>
    <s v="-"/>
  </r>
  <r>
    <n v="7027"/>
    <n v="20059370"/>
    <s v="Vinod Kashyap"/>
    <s v="AM/NS Gandhidham"/>
    <s v="Onroll"/>
    <s v="M-8"/>
    <n v="17"/>
    <m/>
    <s v="NA"/>
    <s v="M"/>
    <s v="Gandhidham"/>
    <n v="12"/>
    <s v="2311"/>
    <x v="22"/>
    <s v="41.01"/>
    <s v="P Ashok Kumar"/>
    <s v="P Ashok Kumar"/>
    <n v="9"/>
    <s v="Legal"/>
    <s v="Legal"/>
    <s v="41"/>
    <s v="Legal Counsel, Gandhidham"/>
    <m/>
    <s v="legal"/>
    <s v=""/>
    <s v=""/>
    <s v="Non Technical Support"/>
    <s v="Operations"/>
    <s v="Operations"/>
    <s v="72103001"/>
    <s v="Operations"/>
    <s v="Bhimasar"/>
    <d v="1976-09-22T00:00:00"/>
    <s v="46.11"/>
    <d v="2020-10-27T00:00:00"/>
    <d v="2034-09-30T00:00:00"/>
    <m/>
    <d v="2034-09-30T00:00:00"/>
    <n v="4028"/>
    <s v=""/>
    <s v=""/>
    <s v=""/>
    <s v="02.10"/>
    <s v="02.10"/>
    <s v="00052038"/>
    <s v="Gandhidham Operations"/>
    <s v="309863"/>
    <s v="New Acquisiiton"/>
    <s v="AMNS Gandhidham"/>
    <s v=""/>
    <s v=""/>
    <s v="2311BHIM"/>
    <s v="20059392"/>
    <s v="Rajendra Gupta"/>
    <s v="No"/>
    <s v="vinod.kashyap@amns.in"/>
    <s v=""/>
    <s v="1054517"/>
    <s v="Manjit Shah"/>
    <s v="Anil Matoo"/>
    <s v="-"/>
    <s v="Manjit Shah"/>
    <s v="-"/>
  </r>
  <r>
    <n v="7052"/>
    <n v="20059395"/>
    <s v="Manoj Choudhary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Indore"/>
    <d v="1971-11-03T00:00:00"/>
    <s v="51.10"/>
    <d v="2006-11-03T00:00:00"/>
    <d v="2029-11-30T00:00:00"/>
    <m/>
    <d v="2029-11-30T00:00:00"/>
    <n v="2263"/>
    <s v=""/>
    <s v=""/>
    <s v=""/>
    <s v="16.10"/>
    <s v="16.10"/>
    <s v="00052038"/>
    <s v="Gandhidham Operations"/>
    <s v="309865"/>
    <s v="New Acquisiiton"/>
    <s v="AMNS Gandhidham"/>
    <s v=""/>
    <s v=""/>
    <s v="2316INDO"/>
    <s v="20059392"/>
    <s v="Rajendra Gupta"/>
    <s v="No"/>
    <s v="manoj.choudhary3@amns.in"/>
    <s v=""/>
    <s v="1054603"/>
    <s v="Manjit Shah"/>
    <s v="Anil Matoo"/>
    <s v="-"/>
    <s v="Manjit Shah"/>
    <s v="-"/>
  </r>
  <r>
    <n v="7053"/>
    <n v="20059396"/>
    <s v="Vipin Kumar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4-05-16T00:00:00"/>
    <s v="39.04"/>
    <d v="2022-03-07T00:00:00"/>
    <d v="2042-05-31T00:00:00"/>
    <m/>
    <d v="2042-05-31T00:00:00"/>
    <n v="6828"/>
    <s v=""/>
    <s v=""/>
    <s v=""/>
    <s v="01.06"/>
    <s v="01.06"/>
    <s v="00052332"/>
    <s v="Mechanical Maintenance"/>
    <s v="309884"/>
    <s v="New Acquisiiton"/>
    <s v="AMNS Gandhidham"/>
    <s v=""/>
    <s v=""/>
    <s v="2316BHIM"/>
    <s v="20059381"/>
    <s v="Govind Dhanuka"/>
    <s v="No"/>
    <s v="vipin.kumar@amns.in"/>
    <s v=""/>
    <s v="1054605"/>
    <s v="Manjit Shah"/>
    <s v="Anil Matoo"/>
    <s v="-"/>
    <s v="Manjit Shah"/>
    <s v="-"/>
  </r>
  <r>
    <n v="7054"/>
    <n v="20059397"/>
    <s v="Manish Namdeo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Indore"/>
    <d v="1975-07-22T00:00:00"/>
    <s v="48.01"/>
    <d v="2019-11-02T00:00:00"/>
    <d v="2033-07-31T00:00:00"/>
    <m/>
    <d v="2033-07-31T00:00:00"/>
    <n v="3602"/>
    <s v=""/>
    <s v=""/>
    <s v=""/>
    <s v="03.10"/>
    <s v="03.10"/>
    <s v="00052038"/>
    <s v="Gandhidham Operations"/>
    <s v="309888"/>
    <s v="New Acquisiiton"/>
    <s v="AMNS Gandhidham"/>
    <s v=""/>
    <s v=""/>
    <s v="2316INDO"/>
    <s v="20059392"/>
    <s v="Rajendra Gupta"/>
    <s v="No"/>
    <s v="manish.namdeo@amns.in"/>
    <s v=""/>
    <s v="1054612"/>
    <s v="Manjit Shah"/>
    <s v="Anil Matoo"/>
    <s v="-"/>
    <s v="Manjit Shah"/>
    <s v="-"/>
  </r>
  <r>
    <n v="7055"/>
    <n v="20059398"/>
    <s v="Devendra Lakshkar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5-06-09T00:00:00"/>
    <s v="38.03"/>
    <d v="2023-03-20T00:00:00"/>
    <d v="2043-06-30T00:00:00"/>
    <m/>
    <d v="2043-06-30T00:00:00"/>
    <n v="7223"/>
    <s v=""/>
    <s v=""/>
    <s v=""/>
    <s v="00.06"/>
    <s v="00.06"/>
    <s v="00052038"/>
    <s v="Gandhidham Operations"/>
    <s v="309921"/>
    <s v="New Acquisiiton"/>
    <s v="AMNS Gandhidham"/>
    <s v=""/>
    <s v=""/>
    <s v="2316BHIM"/>
    <s v="20059392"/>
    <s v="Rajendra Gupta"/>
    <s v="No"/>
    <s v="devendra.lakshkar@amns.in"/>
    <s v=""/>
    <s v="1054657"/>
    <s v="Manjit Shah"/>
    <s v="Anil Matoo"/>
    <s v="-"/>
    <s v="Manjit Shah"/>
    <s v="-"/>
  </r>
  <r>
    <n v="7056"/>
    <n v="20059399"/>
    <s v="Nityanand Sharma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1-06-01T00:00:00"/>
    <s v="42.03"/>
    <d v="2014-04-01T00:00:00"/>
    <d v="2039-05-31T00:00:00"/>
    <m/>
    <d v="2039-05-31T00:00:00"/>
    <n v="5732"/>
    <s v=""/>
    <s v=""/>
    <s v=""/>
    <s v="09.05"/>
    <s v="09.05"/>
    <s v="00052038"/>
    <s v="Gandhidham Operations"/>
    <s v="309936"/>
    <s v="New Acquisiiton"/>
    <s v="AMNS Gandhidham"/>
    <s v=""/>
    <s v=""/>
    <s v="2316BHIM"/>
    <s v="20059392"/>
    <s v="Rajendra Gupta"/>
    <s v="No"/>
    <s v="nityanand.sharma@amns.in"/>
    <s v=""/>
    <s v="1054660"/>
    <s v="Manjit Shah"/>
    <s v="Anil Matoo"/>
    <s v="-"/>
    <s v="Manjit Shah"/>
    <s v="-"/>
  </r>
  <r>
    <n v="7057"/>
    <n v="20059400"/>
    <s v="Somsinh Puvar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79-08-09T00:00:00"/>
    <s v="44.01"/>
    <d v="2008-09-29T00:00:00"/>
    <d v="2037-08-31T00:00:00"/>
    <m/>
    <d v="2037-08-31T00:00:00"/>
    <n v="5094"/>
    <s v=""/>
    <s v=""/>
    <s v=""/>
    <s v="14.11"/>
    <s v="14.11"/>
    <s v="00052038"/>
    <s v="Gandhidham Operations"/>
    <s v="310060"/>
    <s v="New Acquisiiton"/>
    <s v="AMNS Gandhidham"/>
    <s v=""/>
    <s v=""/>
    <s v="2316BHIM"/>
    <s v="20059392"/>
    <s v="Rajendra Gupta"/>
    <s v="No"/>
    <s v="somsinh.puvar@amns.in"/>
    <s v=""/>
    <s v="1054661"/>
    <s v="Manjit Shah"/>
    <s v="Anil Matoo"/>
    <s v="-"/>
    <s v="Manjit Shah"/>
    <s v="-"/>
  </r>
  <r>
    <n v="7058"/>
    <n v="20059401"/>
    <s v="Prajapati Jayantibhai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8-02-05T00:00:00"/>
    <s v="35.07"/>
    <d v="2023-03-01T00:00:00"/>
    <d v="2046-02-28T00:00:00"/>
    <m/>
    <d v="2046-02-28T00:00:00"/>
    <n v="8197"/>
    <s v=""/>
    <s v=""/>
    <s v=""/>
    <s v="00.06"/>
    <s v="00.06"/>
    <s v="00052038"/>
    <s v="Gandhidham Operations"/>
    <s v="310079"/>
    <s v="New Acquisiiton"/>
    <s v="AMNS Gandhidham"/>
    <s v=""/>
    <s v=""/>
    <s v="2316BHIM"/>
    <s v="20059392"/>
    <s v="Rajendra Gupta"/>
    <s v="No"/>
    <s v="prajapati.jayantibhai@amns.in"/>
    <s v=""/>
    <s v="1054710"/>
    <s v="Manjit Shah"/>
    <s v="Anil Matoo"/>
    <s v="-"/>
    <s v="Manjit Shah"/>
    <s v="-"/>
  </r>
  <r>
    <n v="7059"/>
    <n v="20059402"/>
    <s v="Sajjan Sharma"/>
    <s v="AM/NS Gandhidham"/>
    <s v="Onroll"/>
    <s v="New Acquisition"/>
    <n v="17"/>
    <m/>
    <s v="NA"/>
    <s v="M"/>
    <s v="Gandhidham"/>
    <n v="12"/>
    <s v="2316"/>
    <x v="3"/>
    <s v="31.01"/>
    <s v="Hrishikesh Kamat"/>
    <s v="Hrishikesh Kamat"/>
    <n v="7"/>
    <s v="Procurement"/>
    <s v="Procurement"/>
    <s v="31"/>
    <m/>
    <m/>
    <s v=""/>
    <s v=""/>
    <s v=""/>
    <s v="Non Technical Support"/>
    <s v="Operations"/>
    <s v="Operations"/>
    <s v="72103001"/>
    <s v="Operations"/>
    <s v="Bhimasar"/>
    <d v="1985-06-16T00:00:00"/>
    <s v="38.03"/>
    <d v="2018-05-01T00:00:00"/>
    <d v="2043-06-30T00:00:00"/>
    <m/>
    <d v="2043-06-30T00:00:00"/>
    <n v="7223"/>
    <s v=""/>
    <s v=""/>
    <s v=""/>
    <s v="05.04"/>
    <s v="05.04"/>
    <s v="00052038"/>
    <s v="Gandhidham Operations"/>
    <s v="310115"/>
    <s v="New Acquisiiton"/>
    <s v="AMNS Gandhidham"/>
    <s v=""/>
    <s v=""/>
    <s v="2316BHIM"/>
    <s v="20059392"/>
    <s v="Rajendra Gupta"/>
    <s v="No"/>
    <s v="sajjan.sharma@amns.in"/>
    <s v=""/>
    <s v="1054662"/>
    <s v="Manjit Shah"/>
    <s v="Anil Matoo"/>
    <s v="-"/>
    <s v="Manjit Shah"/>
    <s v="-"/>
  </r>
  <r>
    <n v="7064"/>
    <n v="20059407"/>
    <s v="Abhay Vishwakarm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7-01-18T00:00:00"/>
    <s v="56.08"/>
    <d v="2020-04-08T00:00:00"/>
    <d v="2025-01-31T00:00:00"/>
    <m/>
    <d v="2025-01-31T00:00:00"/>
    <n v="499"/>
    <s v=""/>
    <s v=""/>
    <s v=""/>
    <s v="03.05"/>
    <s v="03.05"/>
    <s v="00052038"/>
    <s v="Gandhidham Operations"/>
    <s v="309823"/>
    <s v="New Acquisiiton"/>
    <s v="AMNS Gandhidham"/>
    <s v=""/>
    <s v=""/>
    <s v="2306INDO"/>
    <s v="20059392"/>
    <s v="Rajendra Gupta"/>
    <s v="No"/>
    <s v="abhay.vishwakarma@amns.in"/>
    <s v=""/>
    <s v="1054663"/>
    <s v="Manjit Shah"/>
    <s v="Anil Matoo"/>
    <s v="-"/>
    <s v="Manjit Shah"/>
    <s v="-"/>
  </r>
  <r>
    <n v="7065"/>
    <n v="20059408"/>
    <s v="C. Ramesh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anglore"/>
    <d v="1966-01-27T00:00:00"/>
    <s v="57.07"/>
    <d v="2015-08-06T00:00:00"/>
    <d v="2024-01-31T00:00:00"/>
    <m/>
    <d v="2024-01-31T00:00:00"/>
    <n v="133"/>
    <s v=""/>
    <s v=""/>
    <s v=""/>
    <s v="08.01"/>
    <s v="08.01"/>
    <s v="00052038"/>
    <s v="Gandhidham Operations"/>
    <s v="309827"/>
    <s v="New Acquisiiton"/>
    <s v="AMNS Gandhidham"/>
    <s v=""/>
    <s v=""/>
    <s v="2306BANG"/>
    <s v="20059392"/>
    <s v="Rajendra Gupta"/>
    <s v="No"/>
    <s v="c.ramesh1@amns.in"/>
    <s v=""/>
    <s v="1054665"/>
    <s v="Manjit Shah"/>
    <s v="Anil Matoo"/>
    <s v="-"/>
    <s v="Manjit Shah"/>
    <s v="-"/>
  </r>
  <r>
    <n v="7066"/>
    <n v="20059409"/>
    <s v="Toliram Rahangdale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7-05-12T00:00:00"/>
    <s v="56.04"/>
    <d v="2019-11-15T00:00:00"/>
    <d v="2025-05-31T00:00:00"/>
    <m/>
    <d v="2025-05-31T00:00:00"/>
    <n v="619"/>
    <s v=""/>
    <s v=""/>
    <s v=""/>
    <s v="03.10"/>
    <s v="03.10"/>
    <s v="00052038"/>
    <s v="Gandhidham Operations"/>
    <s v="309829"/>
    <s v="New Acquisiiton"/>
    <s v="AMNS Gandhidham"/>
    <s v=""/>
    <s v=""/>
    <s v="2306INDO"/>
    <s v="20059392"/>
    <s v="Rajendra Gupta"/>
    <s v="No"/>
    <s v="toliram.rahangdale@amns.in"/>
    <s v=""/>
    <s v="1054666"/>
    <s v="Manjit Shah"/>
    <s v="Anil Matoo"/>
    <s v="-"/>
    <s v="Manjit Shah"/>
    <s v="-"/>
  </r>
  <r>
    <n v="7067"/>
    <n v="20059410"/>
    <s v="Umesh Vashisth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Delhi"/>
    <d v="1973-07-07T00:00:00"/>
    <s v="50.02"/>
    <d v="2013-10-06T00:00:00"/>
    <d v="2031-07-31T00:00:00"/>
    <m/>
    <d v="2031-07-31T00:00:00"/>
    <n v="2871"/>
    <s v=""/>
    <s v=""/>
    <s v=""/>
    <s v="09.11"/>
    <s v="09.11"/>
    <s v="00052038"/>
    <s v="Gandhidham Operations"/>
    <s v="309830"/>
    <s v="New Acquisiiton"/>
    <s v="AMNS Gandhidham"/>
    <s v=""/>
    <s v=""/>
    <s v="2306DELH"/>
    <s v="20059392"/>
    <s v="Rajendra Gupta"/>
    <s v="No"/>
    <s v="umesh.vashistha@amns.in"/>
    <s v=""/>
    <s v="1054669"/>
    <s v="Manjit Shah"/>
    <s v="Anil Matoo"/>
    <s v="-"/>
    <s v="Manjit Shah"/>
    <s v="-"/>
  </r>
  <r>
    <n v="7068"/>
    <n v="20059411"/>
    <s v="Shiv Tawar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8-10-01T00:00:00"/>
    <s v="54.11"/>
    <d v="2010-07-01T00:00:00"/>
    <d v="2026-09-30T00:00:00"/>
    <m/>
    <d v="2026-09-30T00:00:00"/>
    <n v="1106"/>
    <s v=""/>
    <s v=""/>
    <s v=""/>
    <s v="13.02"/>
    <s v="13.02"/>
    <s v="00052038"/>
    <s v="Gandhidham Operations"/>
    <s v="309852"/>
    <s v="New Acquisiiton"/>
    <s v="AMNS Gandhidham"/>
    <s v=""/>
    <s v=""/>
    <s v="2306INDO"/>
    <s v="20059392"/>
    <s v="Rajendra Gupta"/>
    <s v="No"/>
    <s v="shiv.tawar1@amns.in"/>
    <s v=""/>
    <s v="1054671"/>
    <s v="Manjit Shah"/>
    <s v="Anil Matoo"/>
    <s v="-"/>
    <s v="Manjit Shah"/>
    <s v="-"/>
  </r>
  <r>
    <n v="7069"/>
    <n v="20059412"/>
    <s v="Chandra Ojh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Patna"/>
    <d v="1969-05-01T00:00:00"/>
    <s v="54.04"/>
    <d v="2019-05-08T00:00:00"/>
    <d v="2027-04-30T00:00:00"/>
    <m/>
    <d v="2027-04-30T00:00:00"/>
    <n v="1318"/>
    <s v=""/>
    <s v=""/>
    <s v=""/>
    <s v="04.04"/>
    <s v="04.04"/>
    <s v="00052038"/>
    <s v="Gandhidham Operations"/>
    <s v="309864"/>
    <s v="New Acquisiiton"/>
    <s v="AMNS Gandhidham"/>
    <s v=""/>
    <s v=""/>
    <s v="2306PATN"/>
    <s v="20059392"/>
    <s v="Rajendra Gupta"/>
    <s v="No"/>
    <s v="chandra.ojha1@amns.in"/>
    <s v=""/>
    <s v="1054674"/>
    <s v="Manjit Shah"/>
    <s v="Anil Matoo"/>
    <s v="-"/>
    <s v="Manjit Shah"/>
    <s v="-"/>
  </r>
  <r>
    <n v="7070"/>
    <n v="20059413"/>
    <s v="Ramesh Babu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76-03-17T00:00:00"/>
    <s v="47.06"/>
    <d v="2015-11-09T00:00:00"/>
    <d v="2034-03-31T00:00:00"/>
    <m/>
    <d v="2034-03-31T00:00:00"/>
    <n v="3845"/>
    <s v=""/>
    <s v=""/>
    <s v=""/>
    <s v="07.10"/>
    <s v="07.10"/>
    <s v="00052038"/>
    <s v="Gandhidham Operations"/>
    <s v="309868"/>
    <s v="New Acquisiiton"/>
    <s v="AMNS Gandhidham"/>
    <s v=""/>
    <s v=""/>
    <s v="2306BHIM"/>
    <s v="20059392"/>
    <s v="Rajendra Gupta"/>
    <s v="No"/>
    <s v="ramesh.babu2@amns.in"/>
    <s v=""/>
    <s v="1054684"/>
    <s v="Manjit Shah"/>
    <s v="Anil Matoo"/>
    <s v="-"/>
    <s v="Manjit Shah"/>
    <s v="-"/>
  </r>
  <r>
    <n v="7071"/>
    <n v="20059414"/>
    <s v="Chandra Kandari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Delhi"/>
    <d v="1978-05-07T00:00:00"/>
    <s v="45.04"/>
    <d v="2007-06-08T00:00:00"/>
    <d v="2036-05-31T00:00:00"/>
    <m/>
    <d v="2036-05-31T00:00:00"/>
    <n v="4637"/>
    <s v=""/>
    <s v=""/>
    <s v=""/>
    <s v="16.03"/>
    <s v="16.03"/>
    <s v="00052038"/>
    <s v="Gandhidham Operations"/>
    <s v="309885"/>
    <s v="New Acquisiiton"/>
    <s v="AMNS Gandhidham"/>
    <s v=""/>
    <s v=""/>
    <s v="2306DELH"/>
    <s v="20059392"/>
    <s v="Rajendra Gupta"/>
    <s v="No"/>
    <s v="chandra.kandari@amns.in"/>
    <s v=""/>
    <s v="1054686"/>
    <s v="Manjit Shah"/>
    <s v="Anil Matoo"/>
    <s v="-"/>
    <s v="Manjit Shah"/>
    <s v="-"/>
  </r>
  <r>
    <n v="7072"/>
    <n v="20059415"/>
    <s v="Deepak Patidar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Ahmedabad"/>
    <d v="1988-07-30T00:00:00"/>
    <s v="35.01"/>
    <d v="2020-01-23T00:00:00"/>
    <d v="2046-07-31T00:00:00"/>
    <m/>
    <d v="2046-07-31T00:00:00"/>
    <n v="8350"/>
    <s v=""/>
    <s v=""/>
    <s v=""/>
    <s v="03.07"/>
    <s v="03.07"/>
    <s v="00052038"/>
    <s v="Gandhidham Operations"/>
    <s v="309886"/>
    <s v="New Acquisiiton"/>
    <s v="AMNS Gandhidham"/>
    <s v=""/>
    <s v=""/>
    <s v="2306AHME"/>
    <s v="20037071"/>
    <s v="Amit Chandaliya"/>
    <s v="No"/>
    <s v="deepak.patidar@amns.in"/>
    <s v=""/>
    <s v="1054688"/>
    <s v="Manjit Shah"/>
    <s v="Anil Matoo"/>
    <s v="-"/>
    <s v="Manjit Shah"/>
    <s v="-"/>
  </r>
  <r>
    <n v="7073"/>
    <n v="20059416"/>
    <s v="Digvijay Khunte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Pune"/>
    <d v="1983-07-16T00:00:00"/>
    <s v="40.02"/>
    <d v="2012-02-07T00:00:00"/>
    <d v="2041-07-31T00:00:00"/>
    <m/>
    <d v="2041-07-31T00:00:00"/>
    <n v="6524"/>
    <s v=""/>
    <s v=""/>
    <s v=""/>
    <s v="11.07"/>
    <s v="11.07"/>
    <s v="00052038"/>
    <s v="Gandhidham Operations"/>
    <s v="309887"/>
    <s v="New Acquisiiton"/>
    <s v="AMNS Gandhidham"/>
    <s v=""/>
    <s v=""/>
    <s v="2306PUNE"/>
    <s v="20059392"/>
    <s v="Rajendra Gupta"/>
    <s v="No"/>
    <s v="digvijay.khunte@amns.in"/>
    <s v=""/>
    <s v="1054689"/>
    <s v="Manjit Shah"/>
    <s v="Anil Matoo"/>
    <s v="-"/>
    <s v="Manjit Shah"/>
    <s v="-"/>
  </r>
  <r>
    <n v="7074"/>
    <n v="20059417"/>
    <s v="Hari Singh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75-09-23T00:00:00"/>
    <s v="47.11"/>
    <d v="2018-01-04T00:00:00"/>
    <d v="2033-09-30T00:00:00"/>
    <m/>
    <d v="2033-09-30T00:00:00"/>
    <n v="3663"/>
    <s v=""/>
    <s v=""/>
    <s v=""/>
    <s v="05.08"/>
    <s v="05.08"/>
    <s v="00052038"/>
    <s v="Gandhidham Operations"/>
    <s v="309911"/>
    <s v="New Acquisiiton"/>
    <s v="AMNS Gandhidham"/>
    <s v=""/>
    <s v=""/>
    <s v="2306INDO"/>
    <s v="20059392"/>
    <s v="Rajendra Gupta"/>
    <s v="No"/>
    <s v="hari.singh7@amns.in"/>
    <s v=""/>
    <s v="1054693"/>
    <s v="Manjit Shah"/>
    <s v="Anil Matoo"/>
    <s v="-"/>
    <s v="Manjit Shah"/>
    <s v="-"/>
  </r>
  <r>
    <n v="7075"/>
    <n v="20059418"/>
    <s v="Pardeep Kumar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8-07-10T00:00:00"/>
    <s v="35.02"/>
    <d v="2014-04-01T00:00:00"/>
    <d v="2046-07-31T00:00:00"/>
    <m/>
    <d v="2046-07-31T00:00:00"/>
    <n v="8350"/>
    <s v=""/>
    <s v=""/>
    <s v=""/>
    <s v="09.05"/>
    <s v="09.05"/>
    <s v="00052038"/>
    <s v="Gandhidham Operations"/>
    <s v="309938"/>
    <s v="New Acquisiiton"/>
    <s v="AMNS Gandhidham"/>
    <s v=""/>
    <s v=""/>
    <s v="2306BHIM"/>
    <s v="20059392"/>
    <s v="Rajendra Gupta"/>
    <s v="No"/>
    <s v="pardeep.kumar36@amns.in"/>
    <s v=""/>
    <s v="1054696"/>
    <s v="Manjit Shah"/>
    <s v="Anil Matoo"/>
    <s v="-"/>
    <s v="Manjit Shah"/>
    <s v="-"/>
  </r>
  <r>
    <n v="7076"/>
    <n v="20059419"/>
    <s v="Joseph Antony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Indore"/>
    <d v="1969-05-20T00:00:00"/>
    <s v="54.04"/>
    <d v="2019-01-04T00:00:00"/>
    <d v="2027-05-31T00:00:00"/>
    <m/>
    <d v="2027-05-31T00:00:00"/>
    <n v="1349"/>
    <s v=""/>
    <s v=""/>
    <s v=""/>
    <s v="04.08"/>
    <s v="04.08"/>
    <s v="00052038"/>
    <s v="Gandhidham Operations"/>
    <s v="309962"/>
    <s v="New Acquisiiton"/>
    <s v="AMNS Gandhidham"/>
    <s v=""/>
    <s v=""/>
    <s v="2306INDO"/>
    <s v="20059392"/>
    <s v="Rajendra Gupta"/>
    <s v="No"/>
    <s v="joseph.antony1@amns.in"/>
    <s v=""/>
    <s v="1054697"/>
    <s v="Manjit Shah"/>
    <s v="Anil Matoo"/>
    <s v="-"/>
    <s v="Manjit Shah"/>
    <s v="-"/>
  </r>
  <r>
    <n v="7077"/>
    <n v="20059420"/>
    <s v="Mahesh Saini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Jammu"/>
    <d v="1984-01-02T00:00:00"/>
    <s v="39.08"/>
    <d v="2006-07-07T00:00:00"/>
    <d v="2042-01-31T00:00:00"/>
    <m/>
    <d v="2042-01-31T00:00:00"/>
    <n v="6708"/>
    <s v=""/>
    <s v=""/>
    <s v=""/>
    <s v="17.02"/>
    <s v="17.02"/>
    <s v="00052038"/>
    <s v="Gandhidham Operations"/>
    <s v="309963"/>
    <s v="New Acquisiiton"/>
    <s v="AMNS Gandhidham"/>
    <s v=""/>
    <s v=""/>
    <s v="2306JAMM"/>
    <s v="20059392"/>
    <s v="Rajendra Gupta"/>
    <s v="No"/>
    <s v="mahesh.saini1@amns.in"/>
    <s v=""/>
    <s v="1054699"/>
    <s v="Manjit Shah"/>
    <s v="Anil Matoo"/>
    <s v="-"/>
    <s v="Manjit Shah"/>
    <s v="-"/>
  </r>
  <r>
    <n v="7078"/>
    <n v="20059421"/>
    <s v="Sanjay Sharm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Jaipur"/>
    <d v="1977-11-22T00:00:00"/>
    <s v="45.09"/>
    <d v="2006-06-12T00:00:00"/>
    <d v="2035-11-30T00:00:00"/>
    <m/>
    <d v="2035-11-30T00:00:00"/>
    <n v="4454"/>
    <s v=""/>
    <s v=""/>
    <s v=""/>
    <s v="17.03"/>
    <s v="17.03"/>
    <s v="00052038"/>
    <s v="Gandhidham Operations"/>
    <s v="309965"/>
    <s v="New Acquisiiton"/>
    <s v="AMNS Gandhidham"/>
    <s v=""/>
    <s v=""/>
    <s v="2306JAIP"/>
    <s v="20059392"/>
    <s v="Rajendra Gupta"/>
    <s v="No"/>
    <s v="sanjay.sharma26@amns.in"/>
    <s v=""/>
    <s v="1054701"/>
    <s v="Manjit Shah"/>
    <s v="Anil Matoo"/>
    <s v="-"/>
    <s v="Manjit Shah"/>
    <s v="-"/>
  </r>
  <r>
    <n v="7079"/>
    <n v="20059422"/>
    <s v="Deepak Sharm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1-03-25T00:00:00"/>
    <s v="42.05"/>
    <d v="2005-12-27T00:00:00"/>
    <d v="2039-03-31T00:00:00"/>
    <m/>
    <d v="2039-03-31T00:00:00"/>
    <n v="5671"/>
    <s v=""/>
    <s v=""/>
    <s v=""/>
    <s v="17.08"/>
    <s v="17.08"/>
    <s v="00052038"/>
    <s v="Gandhidham Operations"/>
    <s v="310072"/>
    <s v="New Acquisiiton"/>
    <s v="AMNS Gandhidham"/>
    <s v=""/>
    <s v=""/>
    <s v="2306BHIM"/>
    <s v="20059392"/>
    <s v="Rajendra Gupta"/>
    <s v="No"/>
    <s v="deepak.sharma@amns.in"/>
    <s v=""/>
    <s v="1054702"/>
    <s v="Manjit Shah"/>
    <s v="Anil Matoo"/>
    <s v="-"/>
    <s v="Manjit Shah"/>
    <s v="-"/>
  </r>
  <r>
    <n v="7080"/>
    <n v="20059423"/>
    <s v="Nitin Soniy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8-06-17T00:00:00"/>
    <s v="35.03"/>
    <d v="2016-09-21T00:00:00"/>
    <d v="2046-06-30T00:00:00"/>
    <m/>
    <d v="2046-06-30T00:00:00"/>
    <n v="8319"/>
    <s v=""/>
    <s v=""/>
    <s v=""/>
    <s v="07.00"/>
    <s v="07.00"/>
    <s v="00052038"/>
    <s v="Gandhidham Operations"/>
    <s v="310078"/>
    <s v="New Acquisiiton"/>
    <s v="AMNS Gandhidham"/>
    <s v=""/>
    <s v=""/>
    <s v="2306BHIM"/>
    <s v="20059392"/>
    <s v="Rajendra Gupta"/>
    <s v="No"/>
    <s v="nitinsingh.soniya@amns.in"/>
    <s v=""/>
    <s v="1054740"/>
    <s v="Manjit Shah"/>
    <s v="Anil Matoo"/>
    <s v="-"/>
    <s v="Manjit Shah"/>
    <s v="-"/>
  </r>
  <r>
    <n v="7081"/>
    <n v="20059424"/>
    <s v="Abhishek Khandelwal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Delhi"/>
    <d v="1980-06-08T00:00:00"/>
    <s v="43.03"/>
    <d v="2015-09-17T00:00:00"/>
    <d v="2038-06-30T00:00:00"/>
    <m/>
    <d v="2038-06-30T00:00:00"/>
    <n v="5397"/>
    <s v=""/>
    <s v=""/>
    <s v=""/>
    <s v="08.00"/>
    <s v="08.00"/>
    <s v="00043882"/>
    <s v="International Sales"/>
    <s v="310088"/>
    <s v="New Acquisiiton"/>
    <s v="AMNS Gandhidham"/>
    <s v=""/>
    <s v=""/>
    <s v="2306DELH"/>
    <s v="20037071"/>
    <s v="Amit Chandaliya"/>
    <s v="No"/>
    <s v="abhishek.khandelwal1@amns.in"/>
    <s v=""/>
    <s v="1054706"/>
    <s v="Manjit Shah"/>
    <s v="Anil Matoo"/>
    <s v="-"/>
    <s v="Manjit Shah"/>
    <s v="-"/>
  </r>
  <r>
    <n v="7082"/>
    <n v="20059425"/>
    <s v="Girish Arya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2-04-15T00:00:00"/>
    <s v="41.05"/>
    <d v="2010-11-01T00:00:00"/>
    <d v="2040-04-30T00:00:00"/>
    <m/>
    <d v="2040-04-30T00:00:00"/>
    <n v="6067"/>
    <s v=""/>
    <s v=""/>
    <s v=""/>
    <s v="12.10"/>
    <s v="12.10"/>
    <s v="00052038"/>
    <s v="Gandhidham Operations"/>
    <s v="310092"/>
    <s v="New Acquisiiton"/>
    <s v="AMNS Gandhidham"/>
    <s v=""/>
    <s v=""/>
    <s v="2306BHIM"/>
    <s v="20059392"/>
    <s v="Rajendra Gupta"/>
    <s v="No"/>
    <s v="girish.arya1@amns.in"/>
    <s v=""/>
    <s v="1054709"/>
    <s v="Manjit Shah"/>
    <s v="Anil Matoo"/>
    <s v="-"/>
    <s v="Manjit Shah"/>
    <s v="-"/>
  </r>
  <r>
    <n v="7083"/>
    <n v="20059426"/>
    <s v="Satyendra Singh"/>
    <s v="AM/NS Gandhidham"/>
    <s v="Onroll"/>
    <s v="New Acquisition"/>
    <n v="17"/>
    <m/>
    <s v="NA"/>
    <s v="M"/>
    <s v="Gandhidham"/>
    <n v="12"/>
    <s v="2306"/>
    <x v="10"/>
    <s v="14.01"/>
    <s v="Ranjan Dhar"/>
    <s v="Alain Legrix De La Salle"/>
    <n v="3"/>
    <s v="Sales &amp; Marketing"/>
    <s v="Sales &amp; Marketing"/>
    <s v="14"/>
    <m/>
    <m/>
    <s v=""/>
    <s v=""/>
    <s v=""/>
    <s v="Non Technical Support"/>
    <s v="Operations"/>
    <s v="Operations"/>
    <s v="72103001"/>
    <s v="Operations"/>
    <s v="Bhimasar"/>
    <d v="1985-07-10T00:00:00"/>
    <s v="38.02"/>
    <d v="2010-02-22T00:00:00"/>
    <d v="2043-07-31T00:00:00"/>
    <m/>
    <d v="2043-07-31T00:00:00"/>
    <n v="7254"/>
    <s v=""/>
    <s v=""/>
    <s v=""/>
    <s v="13.06"/>
    <s v="13.06"/>
    <s v="00052038"/>
    <s v="Gandhidham Operations"/>
    <s v="310106"/>
    <s v="New Acquisiiton"/>
    <s v="AMNS Gandhidham"/>
    <s v=""/>
    <s v=""/>
    <s v="2306BHIM"/>
    <s v="20059392"/>
    <s v="Rajendra Gupta"/>
    <s v="No"/>
    <s v="satyendra.singh41@amns.in"/>
    <s v=""/>
    <s v="1054711"/>
    <s v="Manjit Shah"/>
    <s v="Anil Matoo"/>
    <s v="-"/>
    <s v="Manjit Shah"/>
    <s v="-"/>
  </r>
  <r>
    <n v="7085"/>
    <n v="20059428"/>
    <s v="Hasmukh R.Gadhavi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5-10-22T00:00:00"/>
    <s v="47.10"/>
    <d v="2005-06-01T00:00:00"/>
    <d v="2033-10-31T00:00:00"/>
    <m/>
    <d v="2033-10-31T00:00:00"/>
    <n v="3694"/>
    <s v=""/>
    <s v=""/>
    <s v=""/>
    <s v="18.03"/>
    <s v="18.03"/>
    <s v="00052332"/>
    <s v="Mechanical Maintenance"/>
    <s v="309893"/>
    <s v="New Acquisiiton"/>
    <s v="AMNS Gandhidham"/>
    <s v=""/>
    <s v=""/>
    <s v="2318BHIM"/>
    <s v="20059381"/>
    <s v="Govind Dhanuka"/>
    <s v="No"/>
    <s v="hasmukh.rgadhavi@amns.in"/>
    <s v=""/>
    <s v="1054720"/>
    <s v="Manjit Shah"/>
    <s v="Anil Matoo"/>
    <s v="-"/>
    <s v="Manjit Shah"/>
    <s v="-"/>
  </r>
  <r>
    <n v="7086"/>
    <n v="20059429"/>
    <s v="Jagdish Yadav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69-07-03T00:00:00"/>
    <s v="54.02"/>
    <d v="2021-08-01T00:00:00"/>
    <d v="2027-07-31T00:00:00"/>
    <m/>
    <d v="2027-07-31T00:00:00"/>
    <n v="1410"/>
    <s v=""/>
    <s v=""/>
    <s v=""/>
    <s v="02.01"/>
    <s v="02.01"/>
    <s v="00052332"/>
    <s v="Mechanical Maintenance"/>
    <s v="309894"/>
    <s v="New Acquisiiton"/>
    <s v="AMNS Gandhidham"/>
    <s v=""/>
    <s v=""/>
    <s v="2318BHIM"/>
    <s v="20059381"/>
    <s v="Govind Dhanuka"/>
    <s v="No"/>
    <s v="jagdish.yadav3@amns.in"/>
    <s v=""/>
    <s v="1054722"/>
    <s v="Manjit Shah"/>
    <s v="Anil Matoo"/>
    <s v="-"/>
    <s v="Manjit Shah"/>
    <s v="-"/>
  </r>
  <r>
    <n v="7087"/>
    <n v="20059430"/>
    <s v="Jayeshbhai Dave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0-11-06T00:00:00"/>
    <s v="52.10"/>
    <d v="2019-08-08T00:00:00"/>
    <d v="2028-11-30T00:00:00"/>
    <m/>
    <d v="2028-11-30T00:00:00"/>
    <n v="1898"/>
    <s v=""/>
    <s v=""/>
    <s v=""/>
    <s v="04.01"/>
    <s v="04.01"/>
    <s v="00052038"/>
    <s v="Gandhidham Operations"/>
    <s v="309895"/>
    <s v="New Acquisiiton"/>
    <s v="AMNS Gandhidham"/>
    <s v=""/>
    <s v=""/>
    <s v="2318BHIM"/>
    <s v="20059392"/>
    <s v="Rajendra Gupta"/>
    <s v="No"/>
    <s v="jagdish.yadav3@amns.in"/>
    <s v=""/>
    <s v="1054742"/>
    <s v="Manjit Shah"/>
    <s v="Anil Matoo"/>
    <s v="-"/>
    <s v="Manjit Shah"/>
    <s v="-"/>
  </r>
  <r>
    <n v="7088"/>
    <n v="20059431"/>
    <s v="Nand Kumhar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3-01-01T00:00:00"/>
    <s v="50.08"/>
    <d v="2018-09-01T00:00:00"/>
    <d v="2030-12-31T00:00:00"/>
    <m/>
    <d v="2030-12-31T00:00:00"/>
    <n v="2659"/>
    <s v=""/>
    <s v=""/>
    <s v=""/>
    <s v="05.00"/>
    <s v="05.00"/>
    <s v="00052038"/>
    <s v="Gandhidham Operations"/>
    <s v="310076"/>
    <s v="New Acquisiiton"/>
    <s v="AMNS Gandhidham"/>
    <s v=""/>
    <s v=""/>
    <s v="2318BHIM"/>
    <s v="20059392"/>
    <s v="Rajendra Gupta"/>
    <s v="No"/>
    <s v="nand.kumhar@amns.in"/>
    <s v=""/>
    <s v="1054724"/>
    <s v="Manjit Shah"/>
    <s v="Anil Matoo"/>
    <s v="-"/>
    <s v="Manjit Shah"/>
    <s v="-"/>
  </r>
  <r>
    <n v="7089"/>
    <n v="20059432"/>
    <s v="Satish Warhokar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81-05-17T00:00:00"/>
    <s v="42.04"/>
    <d v="2017-12-25T00:00:00"/>
    <d v="2039-05-31T00:00:00"/>
    <m/>
    <d v="2039-05-31T00:00:00"/>
    <n v="5732"/>
    <s v=""/>
    <s v=""/>
    <s v=""/>
    <s v="05.08"/>
    <s v="05.08"/>
    <s v="00052038"/>
    <s v="Gandhidham Operations"/>
    <s v="310084"/>
    <s v="New Acquisiiton"/>
    <s v="AMNS Gandhidham"/>
    <s v=""/>
    <s v=""/>
    <s v="2318BHIM"/>
    <s v="20059392"/>
    <s v="Rajendra Gupta"/>
    <s v="No"/>
    <s v="satish.warhokar@amns.in"/>
    <s v=""/>
    <s v="1054743"/>
    <s v="Manjit Shah"/>
    <s v="Anil Matoo"/>
    <s v="-"/>
    <s v="Manjit Shah"/>
    <s v="-"/>
  </r>
  <r>
    <n v="7090"/>
    <n v="20059433"/>
    <s v="Santosh Sahoo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83-07-05T00:00:00"/>
    <s v="40.02"/>
    <d v="2021-04-01T00:00:00"/>
    <d v="2041-07-31T00:00:00"/>
    <m/>
    <d v="2041-07-31T00:00:00"/>
    <n v="6524"/>
    <s v=""/>
    <s v=""/>
    <s v=""/>
    <s v="02.05"/>
    <s v="02.05"/>
    <s v="00052038"/>
    <s v="Gandhidham Operations"/>
    <s v="310104"/>
    <s v="New Acquisiiton"/>
    <s v="AMNS Gandhidham"/>
    <s v=""/>
    <s v=""/>
    <s v="2318BHIM"/>
    <s v="20059392"/>
    <s v="Rajendra Gupta"/>
    <s v="No"/>
    <s v="santosh.sahoo31@amns.in"/>
    <s v=""/>
    <s v="1054731"/>
    <s v="Manjit Shah"/>
    <s v="Anil Matoo"/>
    <s v="-"/>
    <s v="Manjit Shah"/>
    <s v="-"/>
  </r>
  <r>
    <n v="7091"/>
    <n v="20059434"/>
    <s v="Arun Singh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75-12-20T00:00:00"/>
    <s v="47.09"/>
    <d v="2020-01-01T00:00:00"/>
    <d v="2033-12-31T00:00:00"/>
    <m/>
    <d v="2033-12-31T00:00:00"/>
    <n v="3755"/>
    <s v=""/>
    <s v=""/>
    <s v=""/>
    <s v="03.08"/>
    <s v="03.08"/>
    <s v="00052038"/>
    <s v="Gandhidham Operations"/>
    <s v="310110"/>
    <s v="New Acquisiiton"/>
    <s v="AMNS Gandhidham"/>
    <s v=""/>
    <s v=""/>
    <s v="2318BHIM"/>
    <s v="20059392"/>
    <s v="Rajendra Gupta"/>
    <s v="No"/>
    <s v="arun.singh55@amns.in"/>
    <s v="09627210043"/>
    <s v="1054744"/>
    <s v="Manjit Shah"/>
    <s v="Anil Matoo"/>
    <s v="-"/>
    <s v="Manjit Shah"/>
    <s v="-"/>
  </r>
  <r>
    <n v="7092"/>
    <n v="20059435"/>
    <s v="Vishnu Mishra"/>
    <s v="AM/NS Gandhidham"/>
    <s v="Onroll"/>
    <s v="New Acquisition"/>
    <n v="17"/>
    <m/>
    <s v="NA"/>
    <s v="M"/>
    <s v="Gandhidham"/>
    <n v="12"/>
    <s v="2318"/>
    <x v="7"/>
    <s v="34.01"/>
    <s v="Hrishikesh Kamat"/>
    <s v="Hrishikesh Kamat"/>
    <n v="7"/>
    <s v="Procurement"/>
    <s v="Stores &amp; Warehouse"/>
    <s v="34"/>
    <m/>
    <m/>
    <s v=""/>
    <s v=""/>
    <s v=""/>
    <s v="Tech. Support Services"/>
    <s v="Operations"/>
    <s v="Operations"/>
    <s v="72103001"/>
    <s v="Operations"/>
    <s v="Bhimasar"/>
    <d v="1984-09-03T00:00:00"/>
    <s v="39.00"/>
    <d v="2010-07-03T00:00:00"/>
    <d v="2042-09-30T00:00:00"/>
    <m/>
    <d v="2042-09-30T00:00:00"/>
    <n v="6950"/>
    <s v=""/>
    <s v=""/>
    <s v=""/>
    <s v="13.02"/>
    <s v="13.02"/>
    <s v="00052038"/>
    <s v="Gandhidham Operations"/>
    <s v="310117"/>
    <s v="New Acquisiiton"/>
    <s v="AMNS Gandhidham"/>
    <s v=""/>
    <s v=""/>
    <s v="2318BHIM"/>
    <s v="20059392"/>
    <s v="Rajendra Gupta"/>
    <s v="No"/>
    <s v="vishnu.mishra3@amns.in"/>
    <s v=""/>
    <s v="1054745"/>
    <s v="Manjit Shah"/>
    <s v="Anil Matoo"/>
    <s v="-"/>
    <s v="Manjit Shah"/>
    <s v="-"/>
  </r>
  <r>
    <n v="7111"/>
    <n v="20059454"/>
    <s v="Saikat Dhar"/>
    <s v="AM/NS India"/>
    <s v="Onroll"/>
    <s v="M-5"/>
    <n v="5"/>
    <m/>
    <s v="MM"/>
    <s v="M"/>
    <s v="Odisha"/>
    <n v="2"/>
    <s v="2071"/>
    <x v="22"/>
    <s v="41.01"/>
    <s v="P Ashok Kumar"/>
    <s v="P Ashok Kumar"/>
    <n v="9"/>
    <s v="Legal"/>
    <s v="Legal"/>
    <s v="41"/>
    <s v="Legal Counsel, Odisha"/>
    <m/>
    <s v="Legal"/>
    <s v="Legal"/>
    <s v="Legal"/>
    <s v="Non Technical Support"/>
    <s v="Legal"/>
    <s v="Legal"/>
    <s v="73201001"/>
    <s v="Legal"/>
    <s v="Bhubaneswar"/>
    <d v="1976-08-03T00:00:00"/>
    <s v="47.01"/>
    <d v="2023-06-05T00:00:00"/>
    <d v="2034-08-31T00:00:00"/>
    <m/>
    <d v="2034-08-31T00:00:00"/>
    <n v="3998"/>
    <s v="B+"/>
    <s v="Diploma-2011 , LLB-1999"/>
    <s v="05.07"/>
    <s v="00.03"/>
    <s v="05.10"/>
    <s v="70494754"/>
    <s v="Legal"/>
    <s v="301041"/>
    <s v="Legal Counsel"/>
    <s v="Odisha"/>
    <s v="0090000019"/>
    <s v="Corporate Steel - Le"/>
    <s v="2000STORIS"/>
    <s v="20055235"/>
    <s v="P Ashok Kumar"/>
    <s v="No"/>
    <s v="saikat.dhar@amns.in"/>
    <s v="7077773398"/>
    <s v="1052604"/>
    <s v="Sunila Das"/>
    <s v="Anil Matoo"/>
    <s v="Praveen Kuruvalli"/>
    <s v="Sunila Das"/>
    <n v="0"/>
  </r>
  <r>
    <n v="7116"/>
    <n v="20059459"/>
    <s v="Ankush Gupta"/>
    <s v="AM/NS India"/>
    <s v="Onroll"/>
    <s v="M-5"/>
    <n v="5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Lead Sales &amp; Mark strategy-Long Products"/>
    <m/>
    <s v="Lead Sales and Marketing Strategy - Specialty"/>
    <s v=""/>
    <s v=""/>
    <s v="Non Technical Support"/>
    <s v=""/>
    <s v=""/>
    <s v=""/>
    <s v=""/>
    <s v="Mumbai"/>
    <d v="1981-06-21T00:00:00"/>
    <s v="42.03"/>
    <d v="2023-05-25T00:00:00"/>
    <d v="2039-06-30T00:00:00"/>
    <m/>
    <d v="2039-06-30T00:00:00"/>
    <n v="5762"/>
    <s v="A+"/>
    <s v="MBA-2009 , BTech-2004 , Intermediate-199"/>
    <s v="13.09"/>
    <s v="00.03"/>
    <s v="14.01"/>
    <s v="70494655"/>
    <s v="Sales Steering, Distribution and BD"/>
    <s v="311294"/>
    <s v="Lead Sales &amp; Mark strategy-Long Products"/>
    <s v="Corporate"/>
    <s v="0080000005"/>
    <s v="Global Markets Team"/>
    <s v="2000CRG"/>
    <s v="20055091"/>
    <s v="Akshaya Gujral"/>
    <s v="No"/>
    <s v="ankush.gupta@amns.in"/>
    <s v="9727751391"/>
    <s v="1053400"/>
    <s v="Dhruv Vyas"/>
    <s v="Anil Matoo"/>
    <s v="Praveen Kuruvalli"/>
    <s v="Dhruv Vyas"/>
    <n v="0"/>
  </r>
  <r>
    <n v="7117"/>
    <n v="20059460"/>
    <s v="Anshika Kayasth"/>
    <s v="AM/NS India"/>
    <s v="Onroll"/>
    <s v="T-2 (MT)"/>
    <n v="13"/>
    <m/>
    <s v="JM"/>
    <s v="F"/>
    <s v="Hazira"/>
    <n v="1"/>
    <s v="2015"/>
    <x v="1"/>
    <s v="22.06"/>
    <s v="Praveen Kuruvalli"/>
    <s v="Ashutosh Telang"/>
    <n v="6"/>
    <s v="HR &amp; Administration"/>
    <s v="Human Resources"/>
    <s v="22"/>
    <s v="Management Trainee- Human Resouces"/>
    <m/>
    <s v="Human Resources"/>
    <s v="People Strategy&amp; HR Center of Excellence"/>
    <s v="People Strategy&amp; HR Center of Excellence"/>
    <s v="Non Technical Support"/>
    <s v="Human Resources Management"/>
    <s v="Human Resources Management"/>
    <s v="73501001"/>
    <s v="Human Resources"/>
    <s v="Hazira"/>
    <d v="1999-03-22T00:00:00"/>
    <s v="24.06"/>
    <d v="2023-05-29T00:00:00"/>
    <d v="2057-03-31T00:00:00"/>
    <m/>
    <d v="2057-03-31T00:00:00"/>
    <n v="12246"/>
    <s v="B+"/>
    <s v="MBA-2023 , Intermediate-2016"/>
    <s v=""/>
    <s v="00.03"/>
    <s v="00.03"/>
    <s v="70242278"/>
    <s v="People Strategy &amp; HR Center Excellence"/>
    <s v="301580"/>
    <s v="Management Trainee- Human Resouces"/>
    <s v="Hazira"/>
    <s v="0031950061"/>
    <s v="HZ-Human Resource"/>
    <s v="2000HWO"/>
    <s v="20055483"/>
    <s v="Praveen Kuruvalli"/>
    <s v="No"/>
    <s v="anshika.kayasth@amns.in"/>
    <s v="7310709459"/>
    <s v="892334"/>
    <s v="Dhruv Vyas"/>
    <s v="Anil Matoo"/>
    <s v="Praveen Kuruvalli"/>
    <s v="Dhruv Vyas"/>
    <n v="0"/>
  </r>
  <r>
    <n v="7118"/>
    <n v="20059461"/>
    <s v="Mudit Jain"/>
    <s v="AM/NS India"/>
    <s v="Onroll"/>
    <s v="T-2 (MT)"/>
    <n v="13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Management Trainee - Finance"/>
    <m/>
    <s v="Finance &amp; Accounts"/>
    <s v="Performance Management"/>
    <s v="Performance Management"/>
    <s v="Non Technical Support"/>
    <s v=""/>
    <s v=""/>
    <s v="70494642"/>
    <s v="Deputy Director"/>
    <s v="Hazira"/>
    <d v="2000-11-20T00:00:00"/>
    <s v="22.09"/>
    <d v="2023-05-29T00:00:00"/>
    <d v="2058-11-30T00:00:00"/>
    <m/>
    <d v="2058-11-30T00:00:00"/>
    <n v="12855"/>
    <s v="AB+"/>
    <s v="MBA-2023 , Intermediate-2018 , MBA-2016"/>
    <s v=""/>
    <s v="00.03"/>
    <s v="00.03"/>
    <s v="00049304"/>
    <s v="PM - Internal Control"/>
    <s v="301582"/>
    <s v="Management Trainee - Finance"/>
    <s v="Hazira"/>
    <s v="0031950043"/>
    <s v="HZ-Performance Manag"/>
    <s v="2000HWO"/>
    <s v="20006833"/>
    <s v="Hardik Vasavada"/>
    <s v="No"/>
    <s v="mudit.jain@amns.in"/>
    <s v="9315802581"/>
    <s v="892322"/>
    <s v="Dhruv Vyas"/>
    <s v="Anil Matoo"/>
    <s v="Praveen Kuruvalli"/>
    <s v="Dhruv Vyas"/>
    <n v="0"/>
  </r>
  <r>
    <n v="7119"/>
    <n v="20059462"/>
    <s v="Nikhil Bhad"/>
    <s v="AM/NS India"/>
    <s v="Onroll"/>
    <s v="T-2 (MT)"/>
    <n v="13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Management Trainee - Procurement"/>
    <m/>
    <s v="Procurement"/>
    <s v="Procurement"/>
    <s v=""/>
    <s v="Non Technical Support"/>
    <s v=""/>
    <s v=""/>
    <s v=""/>
    <s v=""/>
    <s v="Hazira"/>
    <d v="1999-02-06T00:00:00"/>
    <s v="24.07"/>
    <d v="2023-05-29T00:00:00"/>
    <d v="2057-02-28T00:00:00"/>
    <m/>
    <d v="2057-02-28T00:00:00"/>
    <n v="12215"/>
    <s v="B+"/>
    <s v="MBA-2023 , BE-2021 , Intermediate-2017 ,"/>
    <s v=""/>
    <s v="00.03"/>
    <s v="00.03"/>
    <s v="70495712"/>
    <s v="Logistics"/>
    <s v="302237"/>
    <s v="Management Trainee - Procurement"/>
    <s v="Hazira"/>
    <s v="0031950048"/>
    <s v="HZ-Procurment Depart"/>
    <s v="2000HWO"/>
    <s v="20055688"/>
    <s v="Vibhavana Jaiswal"/>
    <s v="No"/>
    <s v="nikhil.bhad@amns.in"/>
    <s v="7757936535"/>
    <s v="892318"/>
    <s v="Dhruv Vyas"/>
    <s v="Anil Matoo"/>
    <s v="Praveen Kuruvalli"/>
    <s v="Dhruv Vyas"/>
    <n v="0"/>
  </r>
  <r>
    <n v="7120"/>
    <n v="20059463"/>
    <s v="Srijan Negi"/>
    <s v="AM/NS India"/>
    <s v="Onroll"/>
    <s v="T-2 (MT)"/>
    <n v="13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Management Trainee - Finance"/>
    <m/>
    <s v="Finance &amp; Accounts"/>
    <s v="Working Capital"/>
    <s v=""/>
    <s v="Non Technical Support"/>
    <s v=""/>
    <s v=""/>
    <s v=""/>
    <s v=""/>
    <s v="Mumbai"/>
    <d v="2000-09-19T00:00:00"/>
    <s v="23.00"/>
    <d v="2023-05-29T00:00:00"/>
    <d v="2058-09-30T00:00:00"/>
    <m/>
    <d v="2058-09-30T00:00:00"/>
    <n v="12794"/>
    <s v="AB-"/>
    <s v="MBA-2023 , BCom-2021 , Intermediate-2019"/>
    <s v=""/>
    <s v="00.03"/>
    <s v="00.03"/>
    <s v="70494931"/>
    <s v="Working Capital"/>
    <s v="302223"/>
    <s v="Management Trainee - Finance"/>
    <s v="Corporate"/>
    <s v="0090000028"/>
    <s v="Corporate Steel - Wo"/>
    <s v="2000CS"/>
    <s v="20055188"/>
    <s v="Rohit Sharma"/>
    <s v="No"/>
    <s v="srijan.negi@amns.in"/>
    <s v="7007797619"/>
    <s v="892328"/>
    <s v="Dhruv Vyas"/>
    <s v="Anil Matoo"/>
    <s v="Praveen Kuruvalli"/>
    <s v="Dhruv Vyas"/>
    <n v="0"/>
  </r>
  <r>
    <n v="7121"/>
    <n v="20059464"/>
    <s v="Saurabh Ingavale"/>
    <s v="AM/NS India"/>
    <s v="Onroll"/>
    <s v="T-2 (MT)"/>
    <n v="13"/>
    <m/>
    <s v="JM"/>
    <s v="M"/>
    <s v="Hazira"/>
    <n v="1"/>
    <s v="2161"/>
    <x v="15"/>
    <s v="31.02"/>
    <s v="Hrishikesh Kamat"/>
    <s v="Hrishikesh Kamat"/>
    <n v="7"/>
    <s v="Procurement"/>
    <s v="Procurement"/>
    <s v="31"/>
    <s v="Management Trainee - Procurement"/>
    <m/>
    <s v="Capex Procurement"/>
    <s v=""/>
    <s v=""/>
    <s v="Non Technical Support"/>
    <s v=""/>
    <s v=""/>
    <s v=""/>
    <s v=""/>
    <s v="Hazira"/>
    <d v="1996-03-12T00:00:00"/>
    <s v="27.06"/>
    <d v="2023-05-29T00:00:00"/>
    <d v="2054-03-31T00:00:00"/>
    <m/>
    <d v="2054-03-31T00:00:00"/>
    <n v="11150"/>
    <s v="B+"/>
    <s v="MBA-2023 , BE-2017 , Intermediate-2013"/>
    <s v="02.03"/>
    <s v="00.03"/>
    <s v="02.06"/>
    <s v="70282830"/>
    <s v="Capex Procurement &amp; Secondary Sales"/>
    <s v="302236"/>
    <s v="Management Trainee - Procurement"/>
    <s v="Hazira"/>
    <s v="0031950059"/>
    <s v="HZ-Hazira Project"/>
    <s v="2000HWO"/>
    <s v="20052261"/>
    <s v="Aruni Mishra"/>
    <s v="No"/>
    <s v="saurabh.ingavale@amns.in"/>
    <s v="6358079760"/>
    <s v="892333"/>
    <s v="Dhruv Vyas"/>
    <s v="Anil Matoo"/>
    <s v="Praveen Kuruvalli"/>
    <s v="Dhruv Vyas"/>
    <n v="0"/>
  </r>
  <r>
    <n v="7122"/>
    <n v="20059465"/>
    <s v="Parvathy B"/>
    <s v="AM/NS India"/>
    <s v="Onroll"/>
    <s v="T-2 (MT)"/>
    <n v="13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Operations"/>
    <s v="Operations"/>
    <s v="72103001"/>
    <s v="Operations"/>
    <s v="Mumbai"/>
    <d v="1998-01-14T00:00:00"/>
    <s v="25.08"/>
    <d v="2023-05-29T00:00:00"/>
    <d v="2056-01-31T00:00:00"/>
    <m/>
    <d v="2056-01-31T00:00:00"/>
    <n v="11821"/>
    <s v="O+"/>
    <s v=""/>
    <s v=""/>
    <s v="00.03"/>
    <s v="00.03"/>
    <s v="70343195"/>
    <s v="Automotive Sales &amp; Service Centers"/>
    <s v="300900"/>
    <s v="Management Trainee - Sales &amp; Marketing"/>
    <s v="Corporate"/>
    <s v="0031950057"/>
    <s v="HZ-HRC - Marketing"/>
    <s v="2000CS"/>
    <s v="20016767"/>
    <s v="Raghavan Venkatachalam"/>
    <s v="No"/>
    <s v="parvarthy.b@amns.in"/>
    <s v="8289972238"/>
    <s v="1053567"/>
    <s v="Dhruv Vyas"/>
    <s v="Anil Matoo"/>
    <s v="Praveen Kuruvalli"/>
    <s v="Dhruv Vyas"/>
    <n v="0"/>
  </r>
  <r>
    <n v="7123"/>
    <n v="20059466"/>
    <s v="Sridharan S"/>
    <s v="AM/NS India"/>
    <s v="Onroll"/>
    <s v="T-2 (MT)"/>
    <n v="13"/>
    <m/>
    <s v="J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Sales &amp; Marketing"/>
    <s v="Sales &amp; Marketing"/>
    <s v="73101001"/>
    <s v="Sales &amp; Marketing"/>
    <s v="Chennai"/>
    <d v="2001-03-29T00:00:00"/>
    <s v="22.05"/>
    <d v="2023-05-29T00:00:00"/>
    <d v="2059-03-31T00:00:00"/>
    <m/>
    <d v="2059-03-31T00:00:00"/>
    <n v="12976"/>
    <s v="A+"/>
    <s v=""/>
    <s v=""/>
    <s v="00.03"/>
    <s v="00.03"/>
    <s v="72150150"/>
    <s v="Sales South Zone"/>
    <s v="301589"/>
    <s v="Management Trainee - Sales &amp; Marketing"/>
    <s v="Service Center"/>
    <s v="0031950057"/>
    <s v="HZ-HRC - Marketing"/>
    <s v="2000CS"/>
    <s v="20000909"/>
    <s v="Murali Krishna Chunduru"/>
    <s v="No"/>
    <s v="sridharan.s@amns.in"/>
    <s v="7092675620"/>
    <s v="1053580"/>
    <s v="Dhruv Vyas"/>
    <s v="Anil Matoo"/>
    <s v="Praveen Kuruvalli"/>
    <s v="Dhruv Vyas"/>
    <n v="0"/>
  </r>
  <r>
    <n v="7124"/>
    <n v="20059467"/>
    <s v="Akshay Kumar P D"/>
    <s v="AM/NS India"/>
    <s v="Onroll"/>
    <s v="T-2 (MT)"/>
    <n v="13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"/>
    <s v=""/>
    <s v=""/>
    <s v=""/>
    <s v="Mumbai"/>
    <d v="1996-05-24T00:00:00"/>
    <s v="27.03"/>
    <d v="2023-05-29T00:00:00"/>
    <d v="2054-05-31T00:00:00"/>
    <m/>
    <d v="2054-05-31T00:00:00"/>
    <n v="11211"/>
    <s v="B+"/>
    <s v=""/>
    <s v=""/>
    <s v="00.03"/>
    <s v="00.03"/>
    <s v="70494655"/>
    <s v="Sales Steering, Distribution and BD"/>
    <s v="302221"/>
    <s v="Management Trainee - Sales &amp; Marketing"/>
    <s v="Corporate"/>
    <s v="0080000005"/>
    <s v="Global Markets Team"/>
    <s v="2000CS"/>
    <s v="20055091"/>
    <s v="Akshaya Gujral"/>
    <s v="No"/>
    <s v="akshay.kumar1@amns.in"/>
    <s v="7710001719"/>
    <s v="1053610"/>
    <s v="Dhruv Vyas"/>
    <s v="Anil Matoo"/>
    <s v="Praveen Kuruvalli"/>
    <s v="Dhruv Vyas"/>
    <n v="0"/>
  </r>
  <r>
    <n v="7125"/>
    <n v="20059468"/>
    <s v="Abhay Hoshing"/>
    <s v="AM/NS India"/>
    <s v="Onroll"/>
    <s v="T-2 (MT)"/>
    <n v="13"/>
    <m/>
    <s v="JM"/>
    <s v="M"/>
    <s v="Corporate"/>
    <n v="7"/>
    <s v="2013"/>
    <x v="0"/>
    <s v="20.01"/>
    <s v="Akiyo Omori"/>
    <s v="Amit Harlalka"/>
    <n v="5"/>
    <s v="Finance &amp; Accounts"/>
    <s v="Finance &amp; Accounts"/>
    <s v="20"/>
    <s v="Management Trainee - Finance"/>
    <m/>
    <s v="Finance &amp; Accounts"/>
    <s v="Working Capital"/>
    <s v=""/>
    <s v="Non Technical Support"/>
    <s v="Sales &amp; Marketing"/>
    <s v="Business Development"/>
    <s v="73103001"/>
    <s v="Business Development"/>
    <s v="Mumbai"/>
    <d v="1994-06-29T00:00:00"/>
    <s v="29.02"/>
    <d v="2023-05-29T00:00:00"/>
    <d v="2052-06-30T00:00:00"/>
    <m/>
    <d v="2052-06-30T00:00:00"/>
    <n v="10511"/>
    <s v="B+"/>
    <s v=""/>
    <s v=""/>
    <s v="00.03"/>
    <s v="00.03"/>
    <s v="70494931"/>
    <s v="Working Capital"/>
    <s v="301672"/>
    <s v="Management Trainee - Finance"/>
    <s v="Corporate"/>
    <s v="0090000028"/>
    <s v="Corporate Steel - Wo"/>
    <s v="2000HWO"/>
    <s v="20055188"/>
    <s v="Rohit Sharma"/>
    <s v="No"/>
    <s v="abhay.hoshing@amns.in"/>
    <s v="7708262619"/>
    <s v="1053612"/>
    <s v="Dhruv Vyas"/>
    <s v="Anil Matoo"/>
    <s v="Praveen Kuruvalli"/>
    <s v="Dhruv Vyas"/>
    <n v="0"/>
  </r>
  <r>
    <n v="7126"/>
    <n v="20059469"/>
    <s v="Jayant Dev Goel"/>
    <s v="AM/NS India"/>
    <s v="Onroll"/>
    <s v="T-2 (MT)"/>
    <n v="13"/>
    <m/>
    <s v="JM"/>
    <s v="M"/>
    <s v="Corporate"/>
    <n v="7"/>
    <s v="2069"/>
    <x v="8"/>
    <s v="25.01"/>
    <s v="Bibek Chattopadhyay"/>
    <s v="Ashutosh Telang"/>
    <n v="6"/>
    <s v="HR &amp; Administration"/>
    <s v="Corporate Communications"/>
    <s v="25"/>
    <s v="MT - Corporate Communication"/>
    <m/>
    <s v="Corporate Communicat"/>
    <s v=""/>
    <s v=""/>
    <s v="Non Technical Support"/>
    <s v="Corporate Communication"/>
    <s v="Corporate Communication"/>
    <s v="74001001"/>
    <s v="Corporate Communication"/>
    <s v="Mumbai"/>
    <d v="1999-08-24T00:00:00"/>
    <s v="24.00"/>
    <d v="2023-05-29T00:00:00"/>
    <d v="2057-08-31T00:00:00"/>
    <m/>
    <d v="2057-08-31T00:00:00"/>
    <n v="12399"/>
    <s v="O+"/>
    <s v=""/>
    <s v=""/>
    <s v="00.03"/>
    <s v="00.03"/>
    <s v="70318583"/>
    <s v="Communications &amp; Media Relations"/>
    <s v="301670"/>
    <s v="Management Trainee-Corpo. Communication"/>
    <s v="Corporate"/>
    <s v="0090000016"/>
    <s v="Corporate Steel - Co"/>
    <s v="2000CS"/>
    <s v="20055187"/>
    <s v="Bibek Chattopadhyay"/>
    <s v="No"/>
    <s v="jayant.goel@amns.in"/>
    <s v="9501020285"/>
    <s v="1053615"/>
    <s v="Dhruv Vyas"/>
    <s v="Anil Matoo"/>
    <s v="Praveen Kuruvalli"/>
    <s v="Dhruv Vyas"/>
    <n v="0"/>
  </r>
  <r>
    <n v="7127"/>
    <n v="20059470"/>
    <s v="Akhil Sharma"/>
    <s v="AM/NS India"/>
    <s v="Onroll"/>
    <s v="T-2 (MT)"/>
    <n v="13"/>
    <m/>
    <s v="JM"/>
    <s v="M"/>
    <s v="Corporate"/>
    <n v="7"/>
    <s v="2043"/>
    <x v="3"/>
    <s v="31.01"/>
    <s v="Hrishikesh Kamat"/>
    <s v="Hrishikesh Kamat"/>
    <n v="7"/>
    <s v="Procurement"/>
    <s v="Procurement"/>
    <s v="31"/>
    <s v="Management Trainee - Procurement"/>
    <m/>
    <s v="Procurement"/>
    <s v=""/>
    <s v=""/>
    <s v="Non Technical Support"/>
    <s v="Sales &amp; Marketing"/>
    <s v="Business Development"/>
    <s v="73103001"/>
    <s v="Business Development"/>
    <s v="Mumbai"/>
    <d v="1997-10-11T00:00:00"/>
    <s v="25.11"/>
    <d v="2023-05-29T00:00:00"/>
    <d v="2055-10-31T00:00:00"/>
    <m/>
    <d v="2055-10-31T00:00:00"/>
    <n v="11729"/>
    <s v="A-"/>
    <s v=""/>
    <s v=""/>
    <s v="00.03"/>
    <s v="00.03"/>
    <s v="70494637"/>
    <s v="Procurement"/>
    <s v="301671"/>
    <s v="Management Trainee - Procurement"/>
    <s v="Corporate"/>
    <s v="0031950048"/>
    <s v="HZ-Procurment Depart"/>
    <s v="2000CRG"/>
    <s v="20055090"/>
    <s v="Hrishikesh Kamat"/>
    <s v="No"/>
    <s v="akhil.sharma@amns.in"/>
    <s v="9040861106"/>
    <s v="1053617"/>
    <s v="Dhruv Vyas"/>
    <s v="Anil Matoo"/>
    <s v="Praveen Kuruvalli"/>
    <s v="Dhruv Vyas"/>
    <n v="0"/>
  </r>
  <r>
    <n v="7128"/>
    <n v="20059471"/>
    <s v="Srinadhu Bhimesh Kumar"/>
    <s v="AM/NS India"/>
    <s v="Onroll"/>
    <s v="T-2 (MT)"/>
    <n v="13"/>
    <m/>
    <s v="J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"/>
    <s v=""/>
    <s v="Non Technical Support"/>
    <s v=""/>
    <s v=""/>
    <s v=""/>
    <s v=""/>
    <s v="Mumbai"/>
    <d v="1995-12-29T00:00:00"/>
    <s v="27.08"/>
    <d v="2023-05-29T00:00:00"/>
    <d v="2053-12-31T00:00:00"/>
    <m/>
    <d v="2053-12-31T00:00:00"/>
    <n v="11060"/>
    <s v="O+"/>
    <s v=""/>
    <s v=""/>
    <s v="00.03"/>
    <s v="00.03"/>
    <s v="00052527"/>
    <s v="Sales &amp; Marketing"/>
    <s v="302222"/>
    <s v="Management Trainee - Sales &amp; Marketing"/>
    <s v="Corporate"/>
    <s v="0031950048"/>
    <s v="HZ-Procurment Depart"/>
    <s v="2000CRG"/>
    <s v="20058930"/>
    <s v="Robin Kurien"/>
    <s v="No"/>
    <s v="srinadhu.kumar@amns.in"/>
    <s v="9701686749"/>
    <s v="1053619"/>
    <s v="Dhruv Vyas"/>
    <s v="Anil Matoo"/>
    <s v="Praveen Kuruvalli"/>
    <s v="Dhruv Vyas"/>
    <n v="0"/>
  </r>
  <r>
    <n v="7129"/>
    <n v="20059472"/>
    <s v="Muskaan Garg"/>
    <s v="AM/NS India"/>
    <s v="Onroll"/>
    <s v="T-2 (MT)"/>
    <n v="13"/>
    <m/>
    <s v="JM"/>
    <s v="F"/>
    <s v="Corporate"/>
    <n v="7"/>
    <s v="2031"/>
    <x v="10"/>
    <s v="14.01"/>
    <s v="Ranjan Dhar"/>
    <s v="Alain Legrix De La Salle"/>
    <n v="3"/>
    <s v="Sales &amp; Marketing"/>
    <s v="Sales &amp; Marketing"/>
    <s v="14"/>
    <s v="Management Trainee - Sales &amp; Marketing"/>
    <m/>
    <s v="Sales &amp; Marketing"/>
    <s v="Mechanical"/>
    <s v="LSAW"/>
    <s v="Non Technical Support"/>
    <s v=""/>
    <s v=""/>
    <s v=""/>
    <s v=""/>
    <s v="Mumbai"/>
    <d v="2000-04-10T00:00:00"/>
    <s v="23.05"/>
    <d v="2023-05-29T00:00:00"/>
    <d v="2058-04-30T00:00:00"/>
    <m/>
    <d v="2058-04-30T00:00:00"/>
    <n v="12641"/>
    <s v="A+"/>
    <s v="MBA-2023 , BSc-2021 , BSc-2021 , Interme"/>
    <s v=""/>
    <s v="00.03"/>
    <s v="00.03"/>
    <s v="00051380"/>
    <s v="Sales &amp; Marketing"/>
    <s v="311297"/>
    <s v="Management Trainee - Sales &amp; Marketing"/>
    <s v="Corporate"/>
    <s v="0031591619"/>
    <s v="PM-Common Cost"/>
    <s v="2000CS"/>
    <s v="20058920"/>
    <s v="Atul Singh"/>
    <s v="No"/>
    <s v="muskaan.garg@amns.in"/>
    <s v="8826488454"/>
    <s v="892309"/>
    <s v="Dhruv Vyas"/>
    <s v="Anil Matoo"/>
    <s v="Praveen Kuruvalli"/>
    <s v="Dhruv Vyas"/>
    <n v="0"/>
  </r>
  <r>
    <n v="7130"/>
    <n v="20059473"/>
    <s v="S Srinivash Patro"/>
    <s v="AM/NS India"/>
    <s v="Onroll"/>
    <s v="M-7"/>
    <n v="7"/>
    <m/>
    <s v="MM"/>
    <s v="M"/>
    <s v="Odisha"/>
    <n v="2"/>
    <s v="2099"/>
    <x v="19"/>
    <s v="02.01"/>
    <s v="Raghavan Aravamudhan"/>
    <s v="Dilip Oommen"/>
    <n v="1"/>
    <s v="CEO Office"/>
    <s v="Business Strategy"/>
    <s v="02"/>
    <s v="Lead PMO Analyst"/>
    <m/>
    <s v="Business Strategy"/>
    <s v="Business Strategy"/>
    <s v="Business Strategy"/>
    <s v="Non Technical Support"/>
    <s v="Operations"/>
    <s v="Operations"/>
    <s v="72103001"/>
    <s v="Operations"/>
    <s v="Bhubaneswar"/>
    <d v="1989-01-26T00:00:00"/>
    <s v="34.07"/>
    <d v="2023-05-29T00:00:00"/>
    <d v="2047-01-31T00:00:00"/>
    <m/>
    <d v="2047-01-31T00:00:00"/>
    <n v="8534"/>
    <s v="O+"/>
    <s v="PG Diploma-2016 , BTech-2011 , Intermedi"/>
    <s v="01.04"/>
    <s v="00.03"/>
    <s v="01.07"/>
    <s v="00046538"/>
    <s v="Project Monitoring"/>
    <s v="311446"/>
    <s v="Lead PMO Analyst"/>
    <s v="Odisha"/>
    <s v="0090000022"/>
    <s v="Business Strategy"/>
    <s v="2000STORIS"/>
    <s v="20049281"/>
    <s v="Raveena Dhoot"/>
    <s v="No"/>
    <s v="srinivash.patro@amns.in"/>
    <s v="9019236907"/>
    <s v="1053956"/>
    <s v="Sunila Das"/>
    <s v="Anil Matoo"/>
    <s v="Praveen Kuruvalli"/>
    <s v="Sunila Das"/>
    <n v="0"/>
  </r>
  <r>
    <n v="7133"/>
    <n v="20059476"/>
    <s v="Jayesh Jhawar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Officer - Corporate Accounts"/>
    <m/>
    <s v="Finance &amp; Accounts"/>
    <s v=""/>
    <s v=""/>
    <s v="Non Technical Support"/>
    <s v=""/>
    <s v=""/>
    <s v=""/>
    <s v=""/>
    <s v="Hazira"/>
    <d v="2000-03-29T00:00:00"/>
    <s v="23.05"/>
    <d v="2023-06-12T00:00:00"/>
    <d v="2058-03-31T00:00:00"/>
    <m/>
    <d v="2058-03-31T00:00:00"/>
    <n v="12611"/>
    <s v="A+"/>
    <s v="BCom-2021 , Intermediate-2016"/>
    <s v="00.08"/>
    <s v="00.03"/>
    <s v="00.11"/>
    <s v="70495666"/>
    <s v="Corporate Asset Management"/>
    <s v="70495599"/>
    <s v="Officer - Corporate Accounts"/>
    <s v="Hazira"/>
    <s v="0090000027"/>
    <s v="Corporate Steel - Ac"/>
    <s v="2000HWO"/>
    <s v="20045482"/>
    <s v="Sandeep Soni"/>
    <s v="No"/>
    <s v="jayesh.jhawar@amns.in"/>
    <s v="8320434531"/>
    <s v="1054010"/>
    <s v="Dhruv Vyas"/>
    <s v="Anil Matoo"/>
    <s v="Praveen Kuruvalli"/>
    <s v="Dhruv Vyas"/>
    <n v="0"/>
  </r>
  <r>
    <n v="7134"/>
    <n v="20059477"/>
    <s v="Jasmin Karena"/>
    <s v="AM/NS India"/>
    <s v="Onroll"/>
    <s v="M-8"/>
    <n v="8"/>
    <m/>
    <s v="JM"/>
    <s v="M"/>
    <s v="Hazira"/>
    <n v="1"/>
    <s v="2270"/>
    <x v="25"/>
    <s v="38.01"/>
    <s v="Hrishikesh Kamat"/>
    <s v="Hrishikesh Kamat"/>
    <n v="7"/>
    <s v="Procurement"/>
    <s v="Logistics"/>
    <s v="38"/>
    <s v="Lead – Logistics (Air Shipment)"/>
    <m/>
    <s v="Logistics – Commercial"/>
    <s v=""/>
    <s v=""/>
    <s v="Non Technical Support"/>
    <s v=""/>
    <s v=""/>
    <s v=""/>
    <s v=""/>
    <s v="Hazira"/>
    <d v="1989-02-05T00:00:00"/>
    <s v="34.07"/>
    <d v="2023-06-15T00:00:00"/>
    <d v="2047-02-28T00:00:00"/>
    <m/>
    <d v="2047-02-28T00:00:00"/>
    <n v="8562"/>
    <s v="O+"/>
    <s v="MBA-2013 , Intermediate-2007"/>
    <s v="07.03"/>
    <s v="00.03"/>
    <s v="07.06"/>
    <s v="70495712"/>
    <s v="Logistics"/>
    <s v="305370"/>
    <s v="Lead – Logistics (Air Shipment)"/>
    <s v="Hazira"/>
    <s v="0031950053"/>
    <s v="HZ-Logistics"/>
    <s v="2000HWO"/>
    <s v="20055688"/>
    <s v="Vibhavana Jaiswal"/>
    <s v="No"/>
    <s v="jasmin.karena@amns.in"/>
    <s v="9428894746"/>
    <s v="1054768"/>
    <s v="Dhruv Vyas"/>
    <s v="Anil Matoo"/>
    <s v="Praveen Kuruvalli"/>
    <s v="Dhruv Vyas"/>
    <n v="0"/>
  </r>
  <r>
    <n v="7135"/>
    <n v="20059478"/>
    <s v="Medha Kumari"/>
    <s v="AM/NS India"/>
    <s v="Onroll"/>
    <s v="M-9"/>
    <n v="9"/>
    <m/>
    <s v="JM"/>
    <s v="F"/>
    <s v="Corporate"/>
    <n v="7"/>
    <s v="2069"/>
    <x v="8"/>
    <s v="25.01"/>
    <s v="Bibek Chattopadhyay"/>
    <s v="Ashutosh Telang"/>
    <n v="6"/>
    <s v="HR &amp; Administration"/>
    <s v="Corporate Communications"/>
    <s v="25"/>
    <s v="Officer - Corporate Communication"/>
    <m/>
    <s v="Corporate Communicat"/>
    <s v=""/>
    <s v=""/>
    <s v="Non Technical Support"/>
    <s v="Corporate Communication"/>
    <s v="Corporate Communication"/>
    <s v="74001001"/>
    <s v="Corporate Communication"/>
    <s v="Mumbai"/>
    <d v="1999-10-02T00:00:00"/>
    <s v="23.11"/>
    <d v="2023-06-12T00:00:00"/>
    <d v="2057-10-31T00:00:00"/>
    <m/>
    <d v="2057-10-31T00:00:00"/>
    <n v="12460"/>
    <s v="O+"/>
    <s v="BCom-2019"/>
    <s v=""/>
    <s v="00.03"/>
    <s v="00.03"/>
    <s v="70318583"/>
    <s v="Communications &amp; Media Relations"/>
    <s v="272985"/>
    <s v="Officer - Corporate Communication"/>
    <s v="Corporate"/>
    <s v="0090000016"/>
    <s v="Corporate Steel - Co"/>
    <s v="2000CRG"/>
    <s v="20055187"/>
    <s v="Bibek Chattopadhyay"/>
    <s v="No"/>
    <s v="medha.kumari@amns.in"/>
    <s v="9523705964"/>
    <s v="1054913"/>
    <s v="Dhruv Vyas"/>
    <s v="Anil Matoo"/>
    <s v="Praveen Kuruvalli"/>
    <s v="Dhruv Vyas"/>
    <n v="0"/>
  </r>
  <r>
    <n v="7146"/>
    <n v="20059489"/>
    <s v="Aayushi Jain"/>
    <s v="AM/NS India"/>
    <s v="Onroll"/>
    <s v="M-9"/>
    <n v="9"/>
    <m/>
    <s v="JM"/>
    <s v="F"/>
    <s v="Hazira"/>
    <n v="1"/>
    <s v="2013"/>
    <x v="0"/>
    <s v="20.01"/>
    <s v="Akiyo Omori"/>
    <s v="Amit Harlalka"/>
    <n v="5"/>
    <s v="Finance &amp; Accounts"/>
    <s v="Finance &amp; Accounts"/>
    <s v="20"/>
    <s v="Officer - Finance &amp; Accounts"/>
    <m/>
    <s v="Finance &amp; Accounts"/>
    <s v="Service Centers"/>
    <s v=""/>
    <s v="Non Technical Support"/>
    <s v="Projects"/>
    <s v="Projects Coordination"/>
    <s v="72103038"/>
    <s v="Projects Coordination"/>
    <s v="Hazira"/>
    <d v="1999-01-27T00:00:00"/>
    <s v="24.07"/>
    <d v="2023-06-19T00:00:00"/>
    <d v="2057-01-31T00:00:00"/>
    <m/>
    <d v="2057-01-31T00:00:00"/>
    <n v="12187"/>
    <s v="A+"/>
    <s v="BCom-2020 , CA Final-2023 , Intermediate"/>
    <s v=""/>
    <s v="00.03"/>
    <s v="00.03"/>
    <s v="70495565"/>
    <s v="F&amp;A Hypermart &amp; Service Centre"/>
    <s v="272364"/>
    <s v="Officer - Finance &amp; Accounts"/>
    <s v="Hazira"/>
    <s v="0040000000"/>
    <s v="SC - Common"/>
    <s v="2000HWO"/>
    <s v="20055504"/>
    <s v="Vivek Choudhary"/>
    <s v="No"/>
    <s v="aayushi.jain@amns.in"/>
    <s v="8302957922"/>
    <s v="1055538"/>
    <s v="Dhruv Vyas"/>
    <s v="Anil Matoo"/>
    <s v="Praveen Kuruvalli"/>
    <s v="Dhruv Vyas"/>
    <n v="0"/>
  </r>
  <r>
    <n v="7147"/>
    <n v="20059490"/>
    <s v="Saurabh Nalway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Pipe Sales"/>
    <m/>
    <s v="Sales &amp; Marketing"/>
    <s v=""/>
    <s v=""/>
    <s v="Non Technical Support"/>
    <s v="Sales &amp; Marketing"/>
    <s v="Sales &amp; Marketing"/>
    <s v="73101001"/>
    <s v="Sales &amp; Marketing"/>
    <s v="Delhi"/>
    <d v="1982-08-04T00:00:00"/>
    <s v="41.01"/>
    <d v="2023-06-19T00:00:00"/>
    <d v="2040-08-31T00:00:00"/>
    <m/>
    <d v="2040-08-31T00:00:00"/>
    <n v="6190"/>
    <s v=""/>
    <s v="BTech-2005 , Intermediate-2000"/>
    <s v="15.00"/>
    <s v="00.03"/>
    <s v="15.02"/>
    <s v="70387159"/>
    <s v="Pipe Sales"/>
    <s v="312029"/>
    <s v="KAM - Pipe Sales"/>
    <s v="Hazira"/>
    <s v="0031591982"/>
    <s v="PM-Marketing"/>
    <s v="2000HWO"/>
    <s v="20007414"/>
    <s v="Gaurav Sharma"/>
    <s v="No"/>
    <s v="saurabh.nalwaya@amns.in"/>
    <s v="9999914262"/>
    <s v="889972"/>
    <s v="Dhruv Vyas"/>
    <s v="Anil Matoo"/>
    <s v="Praveen Kuruvalli"/>
    <s v="Dhruv Vyas"/>
    <n v="0"/>
  </r>
  <r>
    <n v="7150"/>
    <n v="20059493"/>
    <s v="Jaiyamin Vaghasiya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s v=""/>
    <s v=""/>
    <s v=""/>
    <s v="Non Technical Support"/>
    <s v="Sales &amp; Marketing"/>
    <s v="Sales &amp; Marketing"/>
    <s v="73101001"/>
    <s v="Sales &amp; Marketing"/>
    <s v="Hazira"/>
    <d v="2001-07-07T00:00:00"/>
    <s v="22.02"/>
    <d v="2023-06-14T00:00:00"/>
    <d v="2059-07-31T00:00:00"/>
    <m/>
    <d v="2059-07-31T00:00:00"/>
    <n v="13098"/>
    <s v=""/>
    <s v=""/>
    <s v=""/>
    <s v="00.03"/>
    <s v="00.03"/>
    <s v="00049515"/>
    <s v="Capex Procurement"/>
    <s v="301541"/>
    <s v="Engineer"/>
    <s v="Hazira"/>
    <s v="0031490019"/>
    <s v="CRM- ADMIN/HR/OTHER"/>
    <s v="2043HAZI"/>
    <s v="20054320"/>
    <s v="Sanjaykumar Kanani"/>
    <s v="No"/>
    <s v="jaiyamin.vaghasiya@amns.in"/>
    <s v="9909902199"/>
    <s v="26542"/>
    <s v="Dhruv Vyas"/>
    <s v="Anil Matoo"/>
    <s v="Praveen Kuruvalli"/>
    <s v="Dhruv Vyas"/>
    <n v="0"/>
  </r>
  <r>
    <n v="7205"/>
    <n v="20059548"/>
    <s v="Jayanti Chhajer"/>
    <s v="AMNS Khopoli"/>
    <s v="Onroll"/>
    <s v="New Acquisition"/>
    <n v="17"/>
    <m/>
    <s v="NA"/>
    <s v="F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m/>
    <m/>
    <s v="Non Technical Support"/>
    <s v="Operations"/>
    <s v="Operations"/>
    <s v="72103001"/>
    <s v="Operations"/>
    <s v="Khopoli"/>
    <d v="1991-03-28T00:00:00"/>
    <s v="32.05"/>
    <d v="2023-06-23T00:00:00"/>
    <d v="2051-03-31T00:00:00"/>
    <m/>
    <d v="2051-03-31T00:00:00"/>
    <n v="10054"/>
    <s v="O+"/>
    <s v="CS-2014 , BCom-2012"/>
    <s v="02.05"/>
    <s v="00.02"/>
    <s v="02.07"/>
    <s v="00051333"/>
    <s v="Corporate Accounts &amp; Global Reporting"/>
    <s v="305127"/>
    <s v="New Acquisition"/>
    <s v="Khopoli staff"/>
    <s v="0031000019"/>
    <s v="HZ-MH-ADMN/HR/COM"/>
    <s v="1121KHOP"/>
    <s v="20058804"/>
    <s v="Roy Jose"/>
    <s v="No"/>
    <s v="jayanti.chhajer@amns.in"/>
    <s v="9829145666"/>
    <s v="1057138"/>
    <s v="Pritam Debbarma"/>
    <s v="Anil Matoo"/>
    <s v="-"/>
    <s v="Manjit Shah"/>
    <s v="-"/>
  </r>
  <r>
    <n v="7215"/>
    <n v="20059558"/>
    <s v="Soumya Nayak"/>
    <s v="AM/NS India"/>
    <s v="Onroll"/>
    <s v="M-8"/>
    <n v="8"/>
    <m/>
    <s v="JM"/>
    <s v="M"/>
    <s v="Odisha"/>
    <n v="2"/>
    <s v="2094"/>
    <x v="21"/>
    <s v="27.10"/>
    <s v="Vikas Chandra Yadvendu"/>
    <s v="Ashutosh Telang"/>
    <n v="6"/>
    <s v="HR &amp; Administration"/>
    <s v="Corporate SocialResponsibility"/>
    <s v="27"/>
    <s v="Lead CSR - Program"/>
    <m/>
    <s v="Corporate Social Responsibility"/>
    <s v="CSR"/>
    <s v="CSR"/>
    <s v="Non Technical Support"/>
    <s v="Corporate Social Responsibility"/>
    <s v="Corporate Social Responsibility"/>
    <s v="75001001"/>
    <s v="Corporate Social Responsi"/>
    <s v="Bhubaneswar"/>
    <d v="1988-03-26T00:00:00"/>
    <s v="35.05"/>
    <d v="2023-06-19T00:00:00"/>
    <d v="2046-03-31T00:00:00"/>
    <m/>
    <d v="2046-03-31T00:00:00"/>
    <n v="8228"/>
    <s v="B+"/>
    <s v="MBA-2017 , BTech-2010"/>
    <s v="04.02"/>
    <s v="00.03"/>
    <s v="04.04"/>
    <s v="70495661"/>
    <s v="Corporate Social Responsibility"/>
    <s v="285719"/>
    <s v="Lead CSR - Program"/>
    <s v="Odisha"/>
    <s v="0022030019"/>
    <s v="PDP-HR &amp; Admn"/>
    <s v="2000STORIS"/>
    <s v="20055033"/>
    <s v="Vikas Chandra Yadvendu"/>
    <s v="No"/>
    <s v="soumya.nayak@amns.in"/>
    <s v="7735891299"/>
    <s v="1057477"/>
    <s v="Sunila Das"/>
    <s v="Anil Matoo"/>
    <s v="Praveen Kuruvalli"/>
    <s v="Sunila Das"/>
    <n v="0"/>
  </r>
  <r>
    <n v="7218"/>
    <n v="20059561"/>
    <s v="Bhavdip Jathal"/>
    <s v="AM/NS India"/>
    <s v="Onroll"/>
    <s v="M-5"/>
    <n v="5"/>
    <m/>
    <s v="MM"/>
    <s v="M"/>
    <s v="Hazira"/>
    <n v="1"/>
    <s v="2039"/>
    <x v="12"/>
    <s v="43.01"/>
    <s v="Sangeeta Munjal"/>
    <s v="Manu Kapoor"/>
    <n v="10"/>
    <s v="Corporate Affairs"/>
    <s v="Corporate Affairs"/>
    <s v="43"/>
    <s v="Head - Land Acquisition"/>
    <m/>
    <s v="Land Acquisition"/>
    <m/>
    <m/>
    <s v="Non Technical Support"/>
    <s v="Commercial"/>
    <s v="Contracts &amp; Tenders and E-bid"/>
    <s v="73805001"/>
    <s v="Contracts &amp; Tenders and E"/>
    <s v="Hazira"/>
    <d v="1966-05-08T00:00:00"/>
    <s v="57.04"/>
    <d v="2023-06-29T00:00:00"/>
    <d v="2024-05-31T00:00:00"/>
    <m/>
    <d v="2024-05-31T00:00:00"/>
    <n v="254"/>
    <s v="B+"/>
    <s v="LLB-1993 , BCom-1987"/>
    <s v="14.11"/>
    <s v="00.02"/>
    <s v="15.01"/>
    <s v="70495436"/>
    <s v="Land Property"/>
    <s v="70411520"/>
    <s v="Head - Land Acquisition"/>
    <s v="Hazira"/>
    <s v="0090000021"/>
    <s v="Corporate Affairs"/>
    <s v="2000HWO"/>
    <s v="20057928"/>
    <s v="Manu Kapoor"/>
    <s v="No"/>
    <s v="bhavdip.jathal@amns.in"/>
    <s v="9898507111"/>
    <s v="1057909"/>
    <s v="Dhruv Vyas"/>
    <s v="Anil Matoo"/>
    <s v="Praveen Kuruvalli"/>
    <s v="Dhruv Vyas"/>
    <n v="0"/>
  </r>
  <r>
    <n v="7220"/>
    <n v="20059564"/>
    <s v="Dilipkumar Purohit"/>
    <s v="AM/NS India"/>
    <s v="Onroll"/>
    <s v="M-8"/>
    <n v="8"/>
    <m/>
    <s v="JM"/>
    <s v="M"/>
    <s v="Hazira"/>
    <n v="1"/>
    <s v="2013"/>
    <x v="0"/>
    <s v="20.01"/>
    <s v="Akiyo Omori"/>
    <s v="Amit Harlalka"/>
    <n v="5"/>
    <s v="Finance &amp; Accounts"/>
    <s v="Finance &amp; Accounts"/>
    <s v="20"/>
    <s v="Lead - Indirect Tax"/>
    <m/>
    <s v="Finance &amp; Accounts"/>
    <m/>
    <m/>
    <s v="Non Technical Support"/>
    <s v="Finance &amp; Accounts"/>
    <s v="Taxation"/>
    <s v="73904002"/>
    <s v="Indirect Taxation"/>
    <s v="Hazira"/>
    <d v="1989-06-01T00:00:00"/>
    <s v="34.03"/>
    <d v="2023-07-03T00:00:00"/>
    <d v="2047-05-31T00:00:00"/>
    <m/>
    <d v="2047-05-31T00:00:00"/>
    <n v="8654"/>
    <s v="O-"/>
    <s v="MBA-2018"/>
    <s v="00.05"/>
    <s v="00.02"/>
    <s v="00.07"/>
    <s v="70282653"/>
    <s v="GST"/>
    <s v="300856"/>
    <s v="Lead - Indirect Tax"/>
    <s v="Hazira"/>
    <s v="0090000033"/>
    <s v="Corporate Taxation"/>
    <s v="2000HWO"/>
    <s v="20057927"/>
    <s v="Surbhi Kothari"/>
    <s v="No"/>
    <s v="dilip.purohit@amns.in"/>
    <s v="9909748243"/>
    <s v="1058014"/>
    <s v="Dhruv Vyas"/>
    <s v="Anil Matoo"/>
    <s v="Praveen Kuruvalli"/>
    <s v="Dhruv Vyas"/>
    <n v="0"/>
  </r>
  <r>
    <n v="7221"/>
    <n v="20059565"/>
    <s v="Hasan Bilal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Auto Sales, South Region"/>
    <m/>
    <s v="Sales &amp; Marketing"/>
    <m/>
    <m/>
    <s v="Non Technical Support"/>
    <s v="Sales &amp; Marketing"/>
    <s v="Sales"/>
    <s v="73104001"/>
    <s v="Sales"/>
    <s v="Hyderabad"/>
    <d v="1974-08-24T00:00:00"/>
    <s v="49.00"/>
    <d v="2023-07-03T00:00:00"/>
    <d v="2032-08-31T00:00:00"/>
    <m/>
    <d v="2032-08-31T00:00:00"/>
    <n v="3268"/>
    <s v="B+"/>
    <s v="MBA-2004 , BTech-1997"/>
    <s v="16.01"/>
    <s v="00.02"/>
    <s v="16.03"/>
    <s v="70343195"/>
    <s v="Automotive Sales &amp; Service Centers"/>
    <s v="70449086"/>
    <s v="KAM Auto Sales, South Region"/>
    <s v="Hazira"/>
    <s v="0031950057"/>
    <s v="HZ-HRC - Marketing"/>
    <s v="2000HWO"/>
    <s v="20016767"/>
    <s v="Raghavan Venkatachalam"/>
    <s v="No"/>
    <s v="hasan.bilal@amns.in"/>
    <s v="9884812740"/>
    <s v="468525"/>
    <s v="Dhruv Vyas"/>
    <s v="Anil Matoo"/>
    <s v="Praveen Kuruvalli"/>
    <s v="Dhruv Vyas"/>
    <n v="0"/>
  </r>
  <r>
    <n v="7222"/>
    <n v="20059566"/>
    <s v="Jigar Upadhyay"/>
    <s v="AM/NS India"/>
    <s v="Onroll"/>
    <s v="M-9"/>
    <n v="9"/>
    <m/>
    <s v="JM"/>
    <s v="M"/>
    <s v="Hazira"/>
    <n v="1"/>
    <s v="2012"/>
    <x v="7"/>
    <s v="34.01"/>
    <s v="Ambrish Chaturvedi"/>
    <s v="Hrishikesh Kamat"/>
    <n v="7"/>
    <s v="Procurement"/>
    <s v="Stores &amp; Warehouse"/>
    <s v="34"/>
    <s v="Officer - Stores &amp; Warehouse"/>
    <m/>
    <s v="Stores &amp; Warehouse"/>
    <s v="Stores &amp; Warehouse"/>
    <m/>
    <s v="Non Technical Support"/>
    <s v="Commercial"/>
    <s v="Stores &amp; Warehouse"/>
    <s v="73806001"/>
    <s v="Stores &amp; Warehouse"/>
    <s v="Hazira"/>
    <d v="1988-02-17T00:00:00"/>
    <s v="35.07"/>
    <d v="2023-07-03T00:00:00"/>
    <d v="2046-02-28T00:00:00"/>
    <m/>
    <d v="2046-02-28T00:00:00"/>
    <n v="8197"/>
    <s v="AB+"/>
    <s v="PG Diploma-2011 , MCom-2010"/>
    <s v="10.11"/>
    <s v="00.02"/>
    <s v="11.01"/>
    <s v="00044541"/>
    <s v="HRC Store - Receipt"/>
    <s v="70372617"/>
    <s v="Officer - Stores &amp; Warehouse"/>
    <s v="Hazira"/>
    <s v="0031950049"/>
    <s v="HZ-Central Stores"/>
    <s v="2000HWO"/>
    <s v="20005047"/>
    <s v="Rajeev Jha"/>
    <s v="No"/>
    <s v="jigar.upadhyay@amns.in"/>
    <s v="6358080831"/>
    <s v="1058190"/>
    <s v="Dhruv Vyas"/>
    <s v="Anil Matoo"/>
    <s v="Praveen Kuruvalli"/>
    <s v="Dhruv Vyas"/>
    <n v="0"/>
  </r>
  <r>
    <n v="7223"/>
    <n v="20059567"/>
    <s v="Khanjan Gajiwala"/>
    <s v="AM/NS India"/>
    <s v="Onroll"/>
    <s v="M-9"/>
    <n v="9"/>
    <m/>
    <s v="JM"/>
    <s v="F"/>
    <s v="Hazira"/>
    <n v="1"/>
    <s v="2031"/>
    <x v="10"/>
    <s v="14.01"/>
    <s v="Ranjan Dhar"/>
    <s v="Alain Legrix De La Salle"/>
    <n v="3"/>
    <s v="Sales &amp; Marketing"/>
    <s v="Sales &amp; Marketing"/>
    <s v="14"/>
    <s v="Sales Manager – Automotive Sales"/>
    <m/>
    <s v="Sales &amp; Marketing"/>
    <m/>
    <m/>
    <s v="Non Technical Support"/>
    <s v=""/>
    <s v=""/>
    <s v=""/>
    <s v=""/>
    <s v="Ahmedabad"/>
    <d v="1999-01-19T00:00:00"/>
    <s v="24.08"/>
    <d v="2023-07-06T00:00:00"/>
    <d v="2057-01-31T00:00:00"/>
    <m/>
    <d v="2057-01-31T00:00:00"/>
    <n v="12187"/>
    <s v="B+"/>
    <s v="MBA-2022 , BCom-2019"/>
    <s v="01.01"/>
    <s v="00.02"/>
    <s v="01.03"/>
    <s v="70265035"/>
    <s v="Value Recovery"/>
    <s v="305331"/>
    <s v="Sales Manager – Automotive Sales"/>
    <s v="Hazira"/>
    <s v="0060110300"/>
    <s v="HMART-Guj-Ahemedabad"/>
    <s v="2000HWO"/>
    <s v="20016382"/>
    <s v="Kunal Bhardwaj"/>
    <s v="No"/>
    <s v="khanjan.gajiwala@amns.in"/>
    <s v="7698432577"/>
    <s v="1058319"/>
    <s v="Dhruv Vyas"/>
    <s v="Anil Matoo"/>
    <s v="Praveen Kuruvalli"/>
    <s v="Dhruv Vyas"/>
    <n v="0"/>
  </r>
  <r>
    <n v="7224"/>
    <n v="20059568"/>
    <s v="Merubhai Odedara"/>
    <s v="AM/NS India"/>
    <s v="Onroll"/>
    <s v="M-8"/>
    <n v="8"/>
    <m/>
    <s v="JM"/>
    <s v="M"/>
    <s v="Hazira"/>
    <n v="1"/>
    <s v="2039"/>
    <x v="12"/>
    <s v="43.01"/>
    <s v="Sangeeta Munjal"/>
    <s v="Manu Kapoor"/>
    <n v="10"/>
    <s v="Corporate Affairs"/>
    <s v="Corporate Affairs"/>
    <s v="43"/>
    <s v="Land Records - Specialist"/>
    <m/>
    <s v="Land Acquisition"/>
    <m/>
    <m/>
    <s v="Non Technical Support"/>
    <s v="Corporate Relations"/>
    <s v="Corporate Affairs"/>
    <s v="74501001"/>
    <s v="Corporate Affairs"/>
    <s v="Hazira"/>
    <d v="1994-01-29T00:00:00"/>
    <s v="29.07"/>
    <d v="2023-07-05T00:00:00"/>
    <d v="2052-01-31T00:00:00"/>
    <m/>
    <d v="2052-01-31T00:00:00"/>
    <n v="10360"/>
    <s v="O+"/>
    <s v="Intermediate-2011 , Intermediate-2009"/>
    <s v="05.02"/>
    <s v="00.02"/>
    <s v="05.04"/>
    <s v="70494938"/>
    <s v="Corporate Affairs"/>
    <s v="313127"/>
    <s v="Land Records - Specialist"/>
    <s v="Hazira"/>
    <s v="0090000021"/>
    <s v="Corporate Affairs"/>
    <s v="2000HWO"/>
    <s v="20057928"/>
    <s v="Manu Kapoor"/>
    <s v="No"/>
    <s v="meru.odedara@amns.in"/>
    <s v="8511449696"/>
    <s v="1058326"/>
    <s v="Dhruv Vyas"/>
    <s v="Anil Matoo"/>
    <s v="Praveen Kuruvalli"/>
    <s v="Dhruv Vyas"/>
    <n v="0"/>
  </r>
  <r>
    <n v="7240"/>
    <n v="20059584"/>
    <s v="Kanupriya Jain"/>
    <s v="AM/NS India"/>
    <s v="Onroll"/>
    <s v="M-7"/>
    <n v="7"/>
    <m/>
    <s v="MM"/>
    <s v="F"/>
    <s v="Corporate"/>
    <n v="7"/>
    <s v="2015"/>
    <x v="1"/>
    <s v="22.06"/>
    <s v="Praveen Kuruvalli"/>
    <s v="Ashutosh Telang"/>
    <n v="6"/>
    <s v="HR &amp; Administration"/>
    <s v="Human Resources"/>
    <s v="22"/>
    <s v="Lead - Compensation &amp; Benefits"/>
    <m/>
    <s v="Human Resources"/>
    <m/>
    <m/>
    <s v="Non Technical Support"/>
    <s v="Human Resources Management"/>
    <s v="Human Resources Management"/>
    <s v="73501001"/>
    <s v="Human Resources"/>
    <s v="Mumbai"/>
    <d v="1990-09-05T00:00:00"/>
    <s v="33.00"/>
    <d v="2023-07-10T00:00:00"/>
    <d v="2048-09-30T00:00:00"/>
    <m/>
    <d v="2048-09-30T00:00:00"/>
    <n v="9142"/>
    <s v="B+"/>
    <s v="PG Diploma-2020 , MBA-2012 , Intermediat"/>
    <s v="02.10"/>
    <s v="00.02"/>
    <s v="03.00"/>
    <s v="70242278"/>
    <s v="People Strategy &amp; HR Center Excellence"/>
    <s v="301568"/>
    <s v="Lead - Compensation &amp; Benefits"/>
    <s v="Corporate"/>
    <s v="0031950061"/>
    <s v="HZ-Human Resource"/>
    <s v="2000CRG"/>
    <s v="20055483"/>
    <s v="Praveen Kuruvalli"/>
    <s v="No"/>
    <s v="kanupriya.jain@amns.in"/>
    <s v="7000760906"/>
    <s v="1059042"/>
    <s v="Dhruv Vyas"/>
    <s v="Anil Matoo"/>
    <s v="Praveen Kuruvalli"/>
    <s v="Dhruv Vyas"/>
    <n v="0"/>
  </r>
  <r>
    <n v="7357"/>
    <n v="20059702"/>
    <s v="Nikita Athalye"/>
    <s v="AM/NS India"/>
    <s v="Onroll"/>
    <s v="M-7"/>
    <n v="7"/>
    <m/>
    <s v="MM"/>
    <s v="F"/>
    <s v="Corporate"/>
    <n v="7"/>
    <s v="2013"/>
    <x v="0"/>
    <s v="20.01"/>
    <s v="Akiyo Omori"/>
    <s v="Amit Harlalka"/>
    <n v="5"/>
    <s v="Finance &amp; Accounts"/>
    <s v="Finance &amp; Accounts"/>
    <s v="20"/>
    <s v="Lead - Direct Tax"/>
    <m/>
    <s v="Finance &amp; Accounts"/>
    <m/>
    <m/>
    <s v="Non Technical Support"/>
    <s v="Finance &amp; Accounts"/>
    <s v="Taxation"/>
    <s v="73904002"/>
    <s v="Indirect Taxation"/>
    <s v="Mumbai"/>
    <d v="1996-04-08T00:00:00"/>
    <s v="27.05"/>
    <d v="2023-07-04T00:00:00"/>
    <d v="2054-04-30T00:00:00"/>
    <m/>
    <d v="2054-04-30T00:00:00"/>
    <n v="11180"/>
    <s v="O+"/>
    <s v="LLB-2021 , CA Final-2017 , BCom-2016"/>
    <s v="05.03"/>
    <s v="00.02"/>
    <s v="05.05"/>
    <s v="00048994"/>
    <s v="Compliances"/>
    <s v="70258946"/>
    <s v="Lead - Direct Tax"/>
    <s v="Corporate"/>
    <s v="0090000033"/>
    <s v="Corporate Taxation"/>
    <s v="2000CRG"/>
    <s v="20057473"/>
    <s v="Tarun Seksaria"/>
    <s v="No"/>
    <s v="nikita.athalye@amns.in"/>
    <s v="9833657726"/>
    <s v="1059483"/>
    <s v="Dhruv Vyas"/>
    <s v="Anil Matoo"/>
    <s v="Praveen Kuruvalli"/>
    <s v="Dhruv Vyas"/>
    <n v="0"/>
  </r>
  <r>
    <n v="7359"/>
    <n v="20059704"/>
    <s v="Birendra Mohan"/>
    <s v="AM/NS Middle East FZE"/>
    <s v="Onroll"/>
    <s v="M-7"/>
    <n v="7"/>
    <m/>
    <s v="MM"/>
    <s v="M"/>
    <s v="Dubai"/>
    <n v="10"/>
    <s v="2502"/>
    <x v="10"/>
    <s v="14.01"/>
    <s v="Ranjan Dhar"/>
    <s v="Alain Legrix De La Salle"/>
    <n v="3"/>
    <s v="Sales &amp; Marketing"/>
    <s v="Sales &amp; Marketing"/>
    <s v="14"/>
    <s v="Sr. Manager - Sales &amp; Marketing"/>
    <m/>
    <s v="Sales ME"/>
    <s v="Sales ME"/>
    <s v=""/>
    <s v=""/>
    <s v="Sales &amp; Marketing"/>
    <s v="Sales &amp; Marketing"/>
    <s v="73101001"/>
    <s v="Sales &amp; Marketing"/>
    <s v="Dubai"/>
    <d v="1977-10-30T00:00:00"/>
    <s v="45.10"/>
    <d v="2023-07-07T00:00:00"/>
    <d v="2035-10-31T00:00:00"/>
    <m/>
    <d v="2035-10-31T00:00:00"/>
    <n v="4424"/>
    <s v="B+"/>
    <s v="PG Diploma-2009 , BBA-2000"/>
    <s v="05.05"/>
    <s v="00.02"/>
    <s v="05.06"/>
    <s v="70495379"/>
    <s v="Chief Marketing Officer - AMNS ME FZE"/>
    <s v="70495722"/>
    <s v="Sr. Manager - Sales &amp; Marketing"/>
    <s v="AMNS Middle East FZE"/>
    <s v="0093720082"/>
    <s v="SC-Dubai-Marketing"/>
    <s v="DUBA2081"/>
    <s v="20055663"/>
    <s v="Karamath Syed"/>
    <s v="No"/>
    <s v="birendra.rai@amns.in"/>
    <s v="02040042772"/>
    <s v="1022280"/>
    <s v="Dhruv Vyas"/>
    <s v="Anil Matoo"/>
    <s v="Praveen Kuruvalli"/>
    <n v="0"/>
    <n v="0"/>
  </r>
  <r>
    <n v="7368"/>
    <n v="20059713"/>
    <s v="Gaurav Lodha"/>
    <s v="AM/NS India"/>
    <s v="Onroll"/>
    <s v="M-7"/>
    <n v="7"/>
    <m/>
    <s v="MM"/>
    <s v="M"/>
    <s v="Hazira"/>
    <n v="1"/>
    <s v="2013"/>
    <x v="0"/>
    <s v="20.01"/>
    <s v="Akiyo Omori"/>
    <s v="Amit Harlalka"/>
    <n v="5"/>
    <s v="Finance &amp; Accounts"/>
    <s v="Finance &amp; Accounts"/>
    <s v="20"/>
    <s v="Lead - Account Receivable"/>
    <m/>
    <s v="Finance &amp; Accounts"/>
    <m/>
    <m/>
    <s v="Non Technical Support"/>
    <s v="Finance &amp; Accounts"/>
    <s v="Finance &amp; Accounts"/>
    <s v="73901004"/>
    <s v="Accounts Receivables"/>
    <s v="Hazira"/>
    <d v="1983-12-28T00:00:00"/>
    <s v="39.08"/>
    <d v="2023-07-19T00:00:00"/>
    <d v="2041-12-31T00:00:00"/>
    <m/>
    <d v="2041-12-31T00:00:00"/>
    <n v="6677"/>
    <s v="O+"/>
    <s v="CA Final-2008 , Intermediate-2002 , Inte"/>
    <s v="06.07"/>
    <s v="00.02"/>
    <s v="06.08"/>
    <s v="72150286"/>
    <s v="Accounts Receivables &amp; Export Banking"/>
    <s v="272542"/>
    <s v="Lead - Account Receivable"/>
    <s v="Hazira"/>
    <s v="0031950045"/>
    <s v="HZ-Works Accounts-Ha"/>
    <s v="2000HWO"/>
    <s v="20007731"/>
    <s v="Ashish Mehta"/>
    <s v="No"/>
    <s v="gaurav.lodha@amns.in"/>
    <s v="7433944725"/>
    <s v="1060386"/>
    <s v="Dhruv Vyas"/>
    <s v="Anil Matoo"/>
    <s v="Praveen Kuruvalli"/>
    <s v="Dhruv Vyas"/>
    <n v="0"/>
  </r>
  <r>
    <n v="7384"/>
    <n v="20059729"/>
    <s v="Harsh Parmar"/>
    <s v="AM/NS India"/>
    <s v="Onroll"/>
    <s v="M-7"/>
    <n v="7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Corporate Affairs"/>
    <m/>
    <s v="Corporate Affairs"/>
    <m/>
    <m/>
    <s v="Non Technical Support"/>
    <s v="Corporate Relations"/>
    <s v="Corporate Affairs"/>
    <s v="74501001"/>
    <s v="Corporate Affairs"/>
    <s v="Delhi"/>
    <d v="1993-12-03T00:00:00"/>
    <s v="29.09"/>
    <d v="2023-07-24T00:00:00"/>
    <d v="2051-12-31T00:00:00"/>
    <m/>
    <d v="2051-12-31T00:00:00"/>
    <n v="10329"/>
    <s v="O+"/>
    <s v="PG Diploma in Management-2017 , BTech-20"/>
    <s v="06.02"/>
    <s v="00.01"/>
    <s v="06.03"/>
    <s v="70494938"/>
    <s v="Corporate Affairs"/>
    <s v="314883"/>
    <s v="Lead Corporate Affairs"/>
    <s v="Corporate"/>
    <s v="0090000021"/>
    <s v="Corporate Affairs"/>
    <s v="2000CS"/>
    <s v="20057928"/>
    <s v="Manu Kapoor"/>
    <s v="No"/>
    <s v="harsh.parmar@amns.in"/>
    <s v="9589057109"/>
    <s v="1061183"/>
    <s v="Dhruv Vyas"/>
    <s v="Anil Matoo"/>
    <s v="Praveen Kuruvalli"/>
    <s v="Dhruv Vyas"/>
    <n v="0"/>
  </r>
  <r>
    <n v="7392"/>
    <n v="20059737"/>
    <s v="Mahendra Singh Chandrawat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Lead - Application Engineer"/>
    <m/>
    <s v="Sales &amp; Marketing"/>
    <m/>
    <m/>
    <s v="Non Technical Support"/>
    <s v=""/>
    <s v=""/>
    <s v=""/>
    <s v=""/>
    <s v="Khopoli"/>
    <d v="1989-04-17T00:00:00"/>
    <s v="34.05"/>
    <d v="2023-08-01T00:00:00"/>
    <d v="2047-04-30T00:00:00"/>
    <m/>
    <d v="2047-04-30T00:00:00"/>
    <n v="8623"/>
    <s v="O+"/>
    <s v="PG Diploma-2021 , BE-2011 , Intermediate"/>
    <s v="11.08"/>
    <s v="00.01"/>
    <s v="11.09"/>
    <s v="00052471"/>
    <s v="Coated &amp; OC"/>
    <s v="305332"/>
    <s v="Lead - Application Engineer"/>
    <s v="Hazira"/>
    <s v="0031950057"/>
    <s v="HZ-HRC - Marketing"/>
    <s v="2000HWO"/>
    <s v="20056431"/>
    <s v="Prajakta Wagholikar"/>
    <s v="No"/>
    <s v="mahendrasingh.chandrawat@amns.in"/>
    <s v="7700922268"/>
    <s v="1061821"/>
    <s v="Dhruv Vyas"/>
    <s v="Anil Matoo"/>
    <s v="Praveen Kuruvalli"/>
    <s v="Dhruv Vyas"/>
    <n v="0"/>
  </r>
  <r>
    <n v="7393"/>
    <n v="20059738"/>
    <s v="Ayush Dixit"/>
    <s v="AM/NS India"/>
    <s v="Onroll"/>
    <s v="M-8"/>
    <n v="8"/>
    <m/>
    <s v="JM"/>
    <s v="M"/>
    <s v="Vizag"/>
    <n v="3"/>
    <s v="2161"/>
    <x v="15"/>
    <s v="31.02"/>
    <s v="Hrishikesh Kamat"/>
    <s v="Hrishikesh Kamat"/>
    <n v="7"/>
    <s v="Procurement"/>
    <s v="Procurement"/>
    <s v="31"/>
    <m/>
    <m/>
    <s v="Capex Procurement"/>
    <s v=""/>
    <s v=""/>
    <s v="Non Technical Support"/>
    <s v=""/>
    <s v=""/>
    <s v=""/>
    <s v=""/>
    <s v="Vizag"/>
    <d v="1996-07-02T00:00:00"/>
    <s v="27.02"/>
    <d v="2023-08-02T00:00:00"/>
    <d v="2054-07-31T00:00:00"/>
    <m/>
    <d v="2054-07-31T00:00:00"/>
    <n v="11272"/>
    <s v="B+"/>
    <s v="BTech-2017 , Intermediate-2012 , Interme"/>
    <s v="06.00"/>
    <s v="00.01"/>
    <s v="06.02"/>
    <s v="70282830"/>
    <s v="Capex Procurement &amp; Secondary Sales"/>
    <s v="302508"/>
    <s v="Lead Capex Procurement"/>
    <s v="Vizag"/>
    <s v="0031950059"/>
    <s v="HZ-Hazira Project"/>
    <s v="2000VIZOPS"/>
    <s v="20052261"/>
    <s v="Aruni Mishra"/>
    <s v="No"/>
    <s v="ayush.dixit@amns.in"/>
    <s v="7692960254"/>
    <s v="1061936"/>
    <s v="Dhruv Vyas"/>
    <s v="Anil Matoo"/>
    <s v="Praveen Kuruvalli"/>
    <s v="Dhruv Vyas"/>
    <n v="0"/>
  </r>
  <r>
    <n v="7394"/>
    <n v="20059739"/>
    <s v="Jennifer Xavier"/>
    <s v="AM/NS India"/>
    <s v="Onroll"/>
    <s v="M-8"/>
    <n v="8"/>
    <m/>
    <s v="JM"/>
    <s v="F"/>
    <s v="Pune Facility"/>
    <n v="4"/>
    <s v="2071"/>
    <x v="22"/>
    <s v="41.01"/>
    <s v="P Ashok Kumar"/>
    <s v="P Ashok Kumar"/>
    <n v="9"/>
    <s v="Legal"/>
    <s v="Legal"/>
    <s v="41"/>
    <s v="Legal Counsel, Pune"/>
    <m/>
    <s v="Legal"/>
    <m/>
    <m/>
    <s v="Non Technical Support"/>
    <s v=""/>
    <s v=""/>
    <s v=""/>
    <s v=""/>
    <s v="Pune"/>
    <d v="1992-01-17T00:00:00"/>
    <s v="31.08"/>
    <d v="2023-08-01T00:00:00"/>
    <d v="2050-01-31T00:00:00"/>
    <m/>
    <d v="2050-01-31T00:00:00"/>
    <n v="9630"/>
    <s v="B-"/>
    <s v="LLB-2016"/>
    <s v="01.10"/>
    <s v="00.01"/>
    <s v="01.11"/>
    <s v="00050735"/>
    <s v="Legal"/>
    <s v="305369"/>
    <s v="Legal Counsel - Pune"/>
    <s v="Pune Facility"/>
    <s v="0090000019"/>
    <s v="Corporate Steel - Le"/>
    <s v="2000ESPF"/>
    <s v="20058028"/>
    <s v="Charu Misra"/>
    <s v="No"/>
    <s v="jennifer.xavier@amns.in"/>
    <s v="9873925605"/>
    <s v="1061960"/>
    <s v="Dhruv Vyas"/>
    <s v="Anil Matoo"/>
    <s v="Praveen Kuruvalli"/>
    <s v="Dhruv Vyas"/>
    <n v="0"/>
  </r>
  <r>
    <n v="7395"/>
    <n v="20059740"/>
    <s v="Chanchal Agarwal"/>
    <s v="AM/NS India"/>
    <s v="Onroll"/>
    <s v="M-8"/>
    <n v="8"/>
    <m/>
    <s v="JM"/>
    <s v="F"/>
    <s v="Corporate"/>
    <n v="7"/>
    <s v="2015"/>
    <x v="1"/>
    <s v="22.06"/>
    <s v="Praveen Kuruvalli"/>
    <s v="Ashutosh Telang"/>
    <n v="6"/>
    <s v="HR &amp; Administration"/>
    <s v="Human Resources"/>
    <s v="22"/>
    <s v="HR Business Partner"/>
    <m/>
    <s v="Human Resources"/>
    <m/>
    <m/>
    <s v="Non Technical Support"/>
    <s v="Human Resources Management"/>
    <s v="Human Resources Management"/>
    <s v="73501001"/>
    <s v="Human Resources"/>
    <s v="Mumbai"/>
    <d v="1998-07-16T00:00:00"/>
    <s v="25.02"/>
    <d v="2023-08-02T00:00:00"/>
    <d v="2056-07-31T00:00:00"/>
    <m/>
    <d v="2056-07-31T00:00:00"/>
    <n v="12003"/>
    <s v="O+"/>
    <s v="MBA-2021 , Intermediate-2014"/>
    <s v="01.10"/>
    <s v="00.01"/>
    <s v="02.00"/>
    <s v="00053055"/>
    <s v="Human Resources"/>
    <s v="301565"/>
    <s v="HR Business Partner"/>
    <s v="Corporate"/>
    <s v="0031950061"/>
    <s v="HZ-Human Resource"/>
    <s v="2000CRG"/>
    <s v="20054565"/>
    <s v="Dhruv Vyas"/>
    <s v="No"/>
    <s v="chanchal.agarwal@amns.in"/>
    <s v="7700922269"/>
    <s v="1061964"/>
    <s v="Dhruv Vyas"/>
    <s v="Anil Matoo"/>
    <s v="Praveen Kuruvalli"/>
    <s v="Dhruv Vyas"/>
    <n v="0"/>
  </r>
  <r>
    <n v="7519"/>
    <n v="20059864"/>
    <s v="Bijal Khambhala"/>
    <s v="AM/NS India"/>
    <s v="Onroll"/>
    <s v="M-11"/>
    <n v="11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Engineer"/>
    <m/>
    <s v="Contracts"/>
    <m/>
    <m/>
    <s v="Non Technical Support"/>
    <s v="Operations"/>
    <s v="Operations"/>
    <s v="72103001"/>
    <s v="Operations"/>
    <s v="Hazira"/>
    <d v="2001-03-28T00:00:00"/>
    <s v="22.05"/>
    <d v="2023-08-01T00:00:00"/>
    <d v="2059-03-31T00:00:00"/>
    <m/>
    <d v="2059-03-31T00:00:00"/>
    <n v="12976"/>
    <s v=""/>
    <s v=""/>
    <s v=""/>
    <s v="00.01"/>
    <s v="00.01"/>
    <s v="00053411"/>
    <s v="Contracts"/>
    <s v="301007"/>
    <s v="Engineer"/>
    <s v="Hazira"/>
    <s v="0031961000"/>
    <s v="Waste Management"/>
    <s v="2054HAZI"/>
    <s v="20010980"/>
    <s v="Kirit Upadhyay"/>
    <s v="No"/>
    <s v="bijal.khambhala@amns.in"/>
    <s v="8238770455"/>
    <s v="26594"/>
    <s v="Dhruv Vyas"/>
    <s v="Anil Matoo"/>
    <s v="Praveen Kuruvalli"/>
    <s v="Dhruv Vyas"/>
    <n v="0"/>
  </r>
  <r>
    <n v="7551"/>
    <n v="20059896"/>
    <s v="Ujjwal Singh"/>
    <s v="AM/NS India"/>
    <s v="Onroll"/>
    <s v="M-11"/>
    <n v="11"/>
    <m/>
    <s v="JM"/>
    <s v="M"/>
    <s v="Hazira"/>
    <n v="1"/>
    <s v="2043"/>
    <x v="3"/>
    <s v="31.01"/>
    <s v="Hrishikesh Kamat"/>
    <s v="Hrishikesh Kamat"/>
    <n v="7"/>
    <s v="Procurement"/>
    <s v="Procurement"/>
    <s v="31"/>
    <s v="Engineer"/>
    <m/>
    <m/>
    <m/>
    <m/>
    <s v="Non Technical Support"/>
    <s v="Projects"/>
    <s v="Projects"/>
    <s v="72103036"/>
    <s v="Projects"/>
    <s v="Hazira"/>
    <d v="2001-02-17T00:00:00"/>
    <s v="22.07"/>
    <d v="2023-08-01T00:00:00"/>
    <d v="2059-02-28T00:00:00"/>
    <m/>
    <d v="2059-02-28T00:00:00"/>
    <n v="12945"/>
    <s v=""/>
    <s v=""/>
    <s v=""/>
    <s v="00.01"/>
    <s v="00.01"/>
    <s v="00053409"/>
    <s v="Proc PowerTransmission"/>
    <s v="300822"/>
    <s v="Engineer"/>
    <s v="Hazira"/>
    <s v="0031961000"/>
    <s v="Waste Management"/>
    <s v="2043HAZI"/>
    <s v="20002629"/>
    <s v="Bhavesh Patel"/>
    <s v="No"/>
    <s v="ujjwal.singh@amns.in"/>
    <s v="9687429656"/>
    <s v="26580"/>
    <s v="Dhruv Vyas"/>
    <s v="Anil Matoo"/>
    <s v="Praveen Kuruvalli"/>
    <s v="Dhruv Vyas"/>
    <n v="0"/>
  </r>
  <r>
    <n v="7584"/>
    <n v="20059929"/>
    <s v="Rutvik Dudakiya"/>
    <s v="AM/NS India"/>
    <s v="Onroll"/>
    <s v="M-11"/>
    <n v="11"/>
    <m/>
    <s v="JM"/>
    <s v="M"/>
    <s v="Hazira"/>
    <n v="1"/>
    <s v="2054"/>
    <x v="9"/>
    <s v="32.01"/>
    <s v="Pankaj Chaturvedi"/>
    <s v="Hrishikesh Kamat"/>
    <n v="7"/>
    <s v="Procurement"/>
    <s v="Contracts"/>
    <s v="32"/>
    <s v="Engineer"/>
    <m/>
    <s v="Contracts"/>
    <m/>
    <m/>
    <s v="Non Technical Support"/>
    <s v="Operations"/>
    <s v="Operations"/>
    <s v="72103001"/>
    <s v="Operations"/>
    <s v="Hazira"/>
    <d v="2001-06-30T00:00:00"/>
    <s v="22.02"/>
    <d v="2023-08-01T00:00:00"/>
    <d v="2059-06-30T00:00:00"/>
    <m/>
    <d v="2059-06-30T00:00:00"/>
    <n v="13067"/>
    <s v=""/>
    <s v=""/>
    <s v=""/>
    <s v="00.01"/>
    <s v="00.01"/>
    <s v="00053416"/>
    <s v="Contracts"/>
    <s v="301008"/>
    <s v="Engineer"/>
    <s v="Hazira"/>
    <s v="0031961000"/>
    <s v="Waste Management"/>
    <s v="2054HAZI"/>
    <s v="20054520"/>
    <s v="Trupti Yagnesh Patel"/>
    <s v="No"/>
    <s v="rutvik.dudakiya@amns.in"/>
    <s v="9879101370"/>
    <s v="26617"/>
    <s v="Dhruv Vyas"/>
    <s v="Anil Matoo"/>
    <s v="Praveen Kuruvalli"/>
    <s v="Dhruv Vyas"/>
    <n v="0"/>
  </r>
  <r>
    <n v="7599"/>
    <n v="20059944"/>
    <s v="Dharanipathi Murugesan"/>
    <s v="AM/NS India"/>
    <s v="Onroll"/>
    <s v="M-4"/>
    <n v="4"/>
    <m/>
    <s v="SM"/>
    <s v="M"/>
    <s v="Corporate"/>
    <n v="7"/>
    <s v="2039"/>
    <x v="12"/>
    <s v="43.01"/>
    <s v="Sangeeta Munjal"/>
    <s v="Manu Kapoor"/>
    <n v="10"/>
    <s v="Corporate Affairs"/>
    <s v="Corporate Affairs"/>
    <s v="43"/>
    <s v="Head – Land Acquisition Excellence"/>
    <m/>
    <s v="Land Acquisition"/>
    <m/>
    <m/>
    <s v="Non Technical Support"/>
    <s v="Corporate Relations"/>
    <s v="Corporate Affairs"/>
    <s v="74501001"/>
    <s v="Corporate Affairs"/>
    <s v="Mumbai"/>
    <d v="1969-02-12T00:00:00"/>
    <s v="54.07"/>
    <d v="2023-08-09T00:00:00"/>
    <d v="2027-02-28T00:00:00"/>
    <m/>
    <d v="2027-02-28T00:00:00"/>
    <n v="1257"/>
    <s v="B+"/>
    <s v="Diploma-2023 , BTech-2000 , Diploma-1987"/>
    <s v="16.08"/>
    <s v="00.01"/>
    <s v="16.09"/>
    <s v="70494938"/>
    <s v="Corporate Affairs"/>
    <s v="313430"/>
    <s v="Head – Land Acquisition Excellence"/>
    <s v="Corporate"/>
    <s v="0090000021"/>
    <s v="Corporate Affairs"/>
    <s v="2000CRG"/>
    <s v="20057928"/>
    <s v="Manu Kapoor"/>
    <s v="No"/>
    <s v="m.dharanipathi@amns.in"/>
    <s v="8879994254"/>
    <s v="1022366"/>
    <s v="Dhruv Vyas"/>
    <s v="Anil Matoo"/>
    <s v="Praveen Kuruvalli"/>
    <s v="Dhruv Vyas"/>
    <n v="0"/>
  </r>
  <r>
    <n v="7608"/>
    <n v="20059953"/>
    <s v="Prashanth Kasyap Lanka"/>
    <s v="AM/NS India"/>
    <s v="Onroll"/>
    <s v="M-6"/>
    <n v="6"/>
    <m/>
    <s v="MM"/>
    <s v="M"/>
    <s v="Hazira"/>
    <n v="1"/>
    <s v="2031"/>
    <x v="10"/>
    <s v="14.01"/>
    <s v="Ranjan Dhar"/>
    <s v="Alain Legrix De La Salle"/>
    <n v="3"/>
    <s v="Sales &amp; Marketing"/>
    <s v="Sales &amp; Marketing"/>
    <s v="14"/>
    <s v="KAM - Coated Sales"/>
    <m/>
    <s v="Sales &amp; Marketing"/>
    <m/>
    <m/>
    <s v="Non Technical Support"/>
    <s v="Sales &amp; Marketing"/>
    <s v="Sales &amp; Marketing"/>
    <s v="73101001"/>
    <s v="Sales &amp; Marketing"/>
    <s v="Chennai"/>
    <d v="1982-08-09T00:00:00"/>
    <s v="41.01"/>
    <d v="2023-08-07T00:00:00"/>
    <d v="2040-08-31T00:00:00"/>
    <m/>
    <d v="2040-08-31T00:00:00"/>
    <n v="6190"/>
    <s v="A+"/>
    <s v="MBA-2009 , BE-2005 , Intermediate-1999"/>
    <s v="00.05"/>
    <s v="00.01"/>
    <s v="00.06"/>
    <s v="70492562"/>
    <s v="Domestic Sales"/>
    <s v="305407"/>
    <s v="KAM - Coated Sales"/>
    <s v="Hazira"/>
    <s v="0031950057"/>
    <s v="HZ-HRC - Marketing"/>
    <s v="2000HWO"/>
    <s v="20036409"/>
    <s v="Ranjith Nambiar"/>
    <s v="No"/>
    <s v="prashanth.kasyap@amns.in"/>
    <s v="8088449167"/>
    <s v="1064152"/>
    <s v="Dhruv Vyas"/>
    <s v="Anil Matoo"/>
    <s v="Praveen Kuruvalli"/>
    <s v="Dhruv Vyas"/>
    <n v="0"/>
  </r>
  <r>
    <n v="7609"/>
    <n v="20059954"/>
    <s v="Abhinav Kumar"/>
    <s v="AM/NS India"/>
    <s v="Onroll"/>
    <s v="M-7"/>
    <n v="7"/>
    <m/>
    <s v="MM"/>
    <s v="M"/>
    <s v="Service Centers"/>
    <n v="6"/>
    <s v="2031"/>
    <x v="10"/>
    <s v="14.01"/>
    <s v="Ranjan Dhar"/>
    <s v="Alain Legrix De La Salle"/>
    <n v="3"/>
    <s v="Sales &amp; Marketing"/>
    <s v="Sales &amp; Marketing"/>
    <s v="14"/>
    <s v="Plant Head - Recycling Strategy"/>
    <m/>
    <s v="Sales &amp; Marketing"/>
    <s v=""/>
    <s v=""/>
    <s v="Non Technical Support"/>
    <s v="Sales &amp; Marketing"/>
    <s v="Sales &amp; Marketing"/>
    <s v="73101001"/>
    <s v="Sales &amp; Marketing"/>
    <s v="Ahmedabad"/>
    <d v="1985-12-12T00:00:00"/>
    <s v="37.09"/>
    <d v="2023-08-07T00:00:00"/>
    <d v="2043-12-31T00:00:00"/>
    <m/>
    <d v="2043-12-31T00:00:00"/>
    <n v="7407"/>
    <s v="O+"/>
    <s v="BE-2009"/>
    <s v="02.00"/>
    <s v="00.01"/>
    <s v="02.01"/>
    <s v="00053119"/>
    <s v="Recycling Strategy"/>
    <s v="313817"/>
    <s v="Plant Head - Recycling Strategy"/>
    <s v="Service Center"/>
    <s v="0080000005"/>
    <s v="Global Markets Team"/>
    <s v="2000CS"/>
    <s v="20056844"/>
    <s v="Kundan Rai"/>
    <s v="No"/>
    <s v="abhinav.kumar@amns.in"/>
    <s v="7837100109"/>
    <s v="1064204"/>
    <s v="Dhruv Vyas"/>
    <s v="Anil Matoo"/>
    <s v="Praveen Kuruvalli"/>
    <s v="Dhruv Vyas"/>
    <n v="0"/>
  </r>
  <r>
    <n v="7612"/>
    <n v="20059957"/>
    <s v="Samuel Katisa"/>
    <s v="AM/NS India"/>
    <s v="Onroll"/>
    <s v="M-7"/>
    <n v="7"/>
    <m/>
    <s v="MM"/>
    <s v="M"/>
    <s v="Service Centers"/>
    <n v="6"/>
    <s v="2031"/>
    <x v="10"/>
    <s v="14.01"/>
    <s v="Ranjan Dhar"/>
    <s v="Alain Legrix De La Salle"/>
    <n v="3"/>
    <s v="Sales &amp; Marketing"/>
    <s v="Sales &amp; Marketing"/>
    <s v="14"/>
    <s v="Lead - Sales &amp; Marketing, Hypermart"/>
    <m/>
    <s v="Sales &amp; Marketing"/>
    <s v=""/>
    <s v=""/>
    <s v="Non Technical Support"/>
    <s v=""/>
    <s v=""/>
    <s v=""/>
    <s v=""/>
    <s v="Chennai"/>
    <d v="1986-08-16T00:00:00"/>
    <s v="37.01"/>
    <d v="2023-08-14T00:00:00"/>
    <d v="2044-08-31T00:00:00"/>
    <m/>
    <d v="2044-08-31T00:00:00"/>
    <n v="7651"/>
    <s v="A+"/>
    <s v="MTech-2019 , MA-2010 , BTech-2007"/>
    <s v="16.01"/>
    <s v="00.01"/>
    <s v="16.02"/>
    <s v="72150150"/>
    <s v="Sales South Zone"/>
    <s v="305327"/>
    <s v="Lead - Sales &amp; Marketing, Hypermart"/>
    <s v="Service Center"/>
    <s v="0031950057"/>
    <s v="HZ-HRC - Marketing"/>
    <s v="2000CS"/>
    <s v="20000909"/>
    <s v="Murali Krishna Chunduru"/>
    <s v="No"/>
    <s v="samuel.morris@amns.in"/>
    <s v="9581700766"/>
    <s v="22711"/>
    <s v="Dhruv Vyas"/>
    <s v="Anil Matoo"/>
    <s v="Praveen Kuruvalli"/>
    <s v="Dhruv Vyas"/>
    <n v="0"/>
  </r>
  <r>
    <n v="7613"/>
    <n v="20059958"/>
    <s v="Bodhishotto Bhattacharjee"/>
    <s v="AM/NS India"/>
    <s v="Onroll"/>
    <s v="M-7"/>
    <n v="7"/>
    <m/>
    <s v="MM"/>
    <s v="M"/>
    <s v="Corporate"/>
    <n v="7"/>
    <s v="2039"/>
    <x v="2"/>
    <s v="43.01"/>
    <s v="Sangeeta Munjal"/>
    <s v="Manu Kapoor"/>
    <n v="10"/>
    <s v="Corporate Affairs"/>
    <s v="Corporate Affairs"/>
    <s v="43"/>
    <s v="Lead - Public Advocacy"/>
    <m/>
    <s v="Corporate Affairs"/>
    <m/>
    <m/>
    <s v="Non Technical Support"/>
    <s v="Corporate Relations"/>
    <s v="Corporate Affairs"/>
    <s v="74501001"/>
    <s v="Corporate Affairs"/>
    <s v="Delhi"/>
    <d v="1991-04-19T00:00:00"/>
    <s v="32.05"/>
    <d v="2023-08-14T00:00:00"/>
    <d v="2049-04-30T00:00:00"/>
    <m/>
    <d v="2049-04-30T00:00:00"/>
    <n v="9354"/>
    <s v="O+"/>
    <s v="PG Diploma-2020 , MBA-2017 , BTech-2015"/>
    <s v="01.00"/>
    <s v="00.01"/>
    <s v="01.00"/>
    <s v="70494938"/>
    <s v="Corporate Affairs"/>
    <s v="316689"/>
    <s v="Lead Public Advocacy"/>
    <s v="Corporate"/>
    <s v="0090000021"/>
    <s v="Corporate Affairs"/>
    <s v="2000CRG"/>
    <s v="20057928"/>
    <s v="Manu Kapoor"/>
    <s v="No"/>
    <s v="bodhishotto.bhattacharjee@amns.in"/>
    <s v="7228016115"/>
    <s v="1064656"/>
    <s v="Dhruv Vyas"/>
    <s v="Anil Matoo"/>
    <s v="Praveen Kuruvalli"/>
    <s v="Dhruv Vyas"/>
    <n v="0"/>
  </r>
  <r>
    <n v="7614"/>
    <n v="20059959"/>
    <s v="Rajesh Kumar Meena"/>
    <s v="AM/NS India"/>
    <s v="Onroll"/>
    <s v="M-6"/>
    <n v="6"/>
    <m/>
    <s v="MM"/>
    <s v="M"/>
    <s v="Corporate"/>
    <n v="7"/>
    <s v="2031"/>
    <x v="10"/>
    <s v="14.01"/>
    <s v="Ranjan Dhar"/>
    <s v="Alain Legrix De La Salle"/>
    <n v="3"/>
    <s v="Sales &amp; Marketing"/>
    <s v="Sales &amp; Marketing"/>
    <s v="14"/>
    <s v="Section Head - Scrap Procurement"/>
    <m/>
    <s v="Sales &amp; Marketing"/>
    <m/>
    <m/>
    <s v="Non Technical Support"/>
    <s v=""/>
    <s v=""/>
    <s v="70494645"/>
    <s v="Head of Sales BD"/>
    <s v="Mumbai"/>
    <d v="1989-09-01T00:00:00"/>
    <s v="34.00"/>
    <d v="2023-08-16T00:00:00"/>
    <d v="2047-08-31T00:00:00"/>
    <m/>
    <d v="2047-08-31T00:00:00"/>
    <n v="8746"/>
    <s v="A+"/>
    <s v="PG Diploma-2016 , BE-2017"/>
    <s v="01.06"/>
    <s v="00.01"/>
    <s v="01.07"/>
    <s v="70494655"/>
    <s v="Sales Steering, Distribution and BD"/>
    <s v="284179"/>
    <s v="Section Head - Scrap Procurement"/>
    <s v="Corporate"/>
    <s v="0080000005"/>
    <s v="Global Markets Team"/>
    <s v="2000CRG"/>
    <s v="20055091"/>
    <s v="Akshaya Gujral"/>
    <s v="No"/>
    <s v="rajeshkumar.meena@amns.in"/>
    <s v="7542033074"/>
    <s v="1064745"/>
    <s v="Dhruv Vyas"/>
    <s v="Anil Matoo"/>
    <s v="Praveen Kuruvalli"/>
    <s v="Dhruv Vyas"/>
    <n v="0"/>
  </r>
  <r>
    <n v="7616"/>
    <n v="20059961"/>
    <s v="Pavan Patil"/>
    <s v="AM/NS India"/>
    <s v="Onroll"/>
    <s v="M-9"/>
    <n v="9"/>
    <m/>
    <s v="JM"/>
    <s v="M"/>
    <s v="Service Centers"/>
    <n v="6"/>
    <s v="2031"/>
    <x v="10"/>
    <s v="14.01"/>
    <s v="Ranjan Dhar"/>
    <s v="Alain Legrix De La Salle"/>
    <n v="3"/>
    <s v="Sales &amp; Marketing"/>
    <s v="Sales &amp; Marketing"/>
    <s v="14"/>
    <s v="Quality Inspector - Recycling Strategy"/>
    <m/>
    <s v="Sales &amp; Marketing"/>
    <s v=""/>
    <s v=""/>
    <s v="Non Technical Support"/>
    <s v="Sales &amp; Marketing"/>
    <s v="Sales &amp; Marketing"/>
    <s v="73101001"/>
    <s v="Sales &amp; Marketing"/>
    <s v="Khopoli"/>
    <d v="1995-05-23T00:00:00"/>
    <s v="28.03"/>
    <d v="2023-08-16T00:00:00"/>
    <d v="2053-05-31T00:00:00"/>
    <m/>
    <d v="2053-05-31T00:00:00"/>
    <n v="10846"/>
    <s v="A+"/>
    <s v="BE-2017 , Intermediate-2014 , Diploma-20"/>
    <s v="02.08"/>
    <s v="00.01"/>
    <s v="02.09"/>
    <s v="00053119"/>
    <s v="Recycling Strategy"/>
    <s v="313822"/>
    <s v="Quality Inspector - Recycling Strategy"/>
    <s v="Service Center"/>
    <s v="0080000005"/>
    <s v="Global Markets Team"/>
    <s v="2000CS"/>
    <s v="20056844"/>
    <s v="Kundan Rai"/>
    <s v="No"/>
    <s v="pavan.patil@amns.in"/>
    <s v="8600552071"/>
    <s v="1064761"/>
    <s v="Dhruv Vyas"/>
    <s v="Anil Matoo"/>
    <s v="Praveen Kuruvalli"/>
    <s v="Dhruv Vyas"/>
    <n v="0"/>
  </r>
  <r>
    <n v="7628"/>
    <n v="20059973"/>
    <s v="Akshay Patel"/>
    <s v="AM/NS India"/>
    <s v="Onroll"/>
    <s v="T-4 (Other Trainee)"/>
    <n v="1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1998-08-25T00:00:00"/>
    <s v="25.00"/>
    <d v="2023-08-14T00:00:00"/>
    <d v="2056-08-31T00:00:00"/>
    <m/>
    <d v="2056-08-31T00:00:00"/>
    <n v="12034"/>
    <s v="A+"/>
    <s v="Diploma-2019"/>
    <s v=""/>
    <s v="00.01"/>
    <s v="00.01"/>
    <s v="00049777"/>
    <s v="Plant Administration"/>
    <s v="315235"/>
    <s v="Trainee"/>
    <s v="Hazira"/>
    <s v="0031950030"/>
    <s v="HZ-Admin"/>
    <s v="2000HWO"/>
    <s v="20057892"/>
    <s v="Taj Baby"/>
    <s v="No"/>
    <s v=""/>
    <s v=""/>
    <s v="868976"/>
    <s v="Manjit Shah"/>
    <s v="Anil Matoo"/>
    <s v="-"/>
    <s v="Manjit Shah"/>
    <s v="-"/>
  </r>
  <r>
    <n v="7629"/>
    <n v="20059974"/>
    <s v="Kamakshi Patel"/>
    <s v="AM/NS India"/>
    <s v="Onroll"/>
    <s v="T-4 (Other Trainee)"/>
    <n v="18"/>
    <m/>
    <s v="JM"/>
    <s v="F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1997-10-21T00:00:00"/>
    <s v="25.10"/>
    <d v="2023-08-14T00:00:00"/>
    <d v="2055-10-31T00:00:00"/>
    <m/>
    <d v="2055-10-31T00:00:00"/>
    <n v="11729"/>
    <s v="A+"/>
    <s v="MCom-2023"/>
    <s v=""/>
    <s v="00.01"/>
    <s v="00.01"/>
    <s v="00049719"/>
    <s v="Administration Hazira"/>
    <s v="315236"/>
    <s v="Trainee"/>
    <s v="Hazira"/>
    <s v="0031950030"/>
    <s v="HZ-Admin"/>
    <s v="2000HWO"/>
    <s v="20057886"/>
    <s v="Shakir Bandwala"/>
    <s v="No"/>
    <s v=""/>
    <s v="9825073422"/>
    <s v="1065377"/>
    <s v="Manjit Shah"/>
    <s v="Anil Matoo"/>
    <s v="-"/>
    <s v="Manjit Shah"/>
    <s v="-"/>
  </r>
  <r>
    <n v="7630"/>
    <n v="20059975"/>
    <s v="Ruchi Patel"/>
    <s v="AM/NS India"/>
    <s v="Onroll"/>
    <s v="T-4 (Other Trainee)"/>
    <n v="18"/>
    <m/>
    <s v="JM"/>
    <s v="F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2000-02-23T00:00:00"/>
    <s v="23.06"/>
    <d v="2023-08-14T00:00:00"/>
    <d v="2058-02-28T00:00:00"/>
    <m/>
    <d v="2058-02-28T00:00:00"/>
    <n v="12580"/>
    <s v="B+"/>
    <s v="BCom-2022"/>
    <s v=""/>
    <s v="00.01"/>
    <s v="00.01"/>
    <s v="00049777"/>
    <s v="Plant Administration"/>
    <s v="315237"/>
    <s v="Trainee"/>
    <s v="Hazira"/>
    <s v="0031950030"/>
    <s v="HZ-Admin"/>
    <s v="2000HWO"/>
    <s v="20057892"/>
    <s v="Taj Baby"/>
    <s v="No"/>
    <s v=""/>
    <s v=""/>
    <s v="1065380"/>
    <s v="Manjit Shah"/>
    <s v="Anil Matoo"/>
    <s v="-"/>
    <s v="Manjit Shah"/>
    <s v="-"/>
  </r>
  <r>
    <n v="7631"/>
    <n v="20059976"/>
    <s v="Karan Patel"/>
    <s v="AM/NS India"/>
    <s v="Onroll"/>
    <s v="T-4 (Other Trainee)"/>
    <n v="18"/>
    <m/>
    <s v="JM"/>
    <s v="M"/>
    <s v="Hazira"/>
    <n v="1"/>
    <s v="2023"/>
    <x v="6"/>
    <s v="24.08"/>
    <s v="Anil Matoo"/>
    <s v="Ashutosh Telang"/>
    <n v="6"/>
    <s v="HR &amp; Administration"/>
    <s v="Administration"/>
    <s v="24"/>
    <m/>
    <m/>
    <m/>
    <m/>
    <m/>
    <s v="Non Technical Support"/>
    <s v="Administration"/>
    <s v="Administration"/>
    <s v="74101001"/>
    <s v="Administration"/>
    <s v="Hazira"/>
    <d v="1999-03-24T00:00:00"/>
    <s v="24.05"/>
    <d v="2023-08-14T00:00:00"/>
    <d v="2057-03-31T00:00:00"/>
    <m/>
    <d v="2057-03-31T00:00:00"/>
    <n v="12246"/>
    <s v="O+"/>
    <s v="PG Diploma in Management-2023 , PG Diplo"/>
    <s v=""/>
    <s v="00.01"/>
    <s v="00.01"/>
    <s v="00049719"/>
    <s v="Administration Hazira"/>
    <s v="315238"/>
    <s v="Trainee"/>
    <s v="Hazira"/>
    <s v="0031950030"/>
    <s v="HZ-Admin"/>
    <s v="2000HWO"/>
    <s v="20057886"/>
    <s v="Shakir Bandwala"/>
    <s v="No"/>
    <s v=""/>
    <s v=""/>
    <s v="1065420"/>
    <s v="Manjit Shah"/>
    <s v="Anil Matoo"/>
    <s v="-"/>
    <s v="Manjit Shah"/>
    <s v="-"/>
  </r>
  <r>
    <n v="7636"/>
    <n v="20059981"/>
    <s v="Ankit Singh"/>
    <s v="AM/NS India"/>
    <s v="Onroll"/>
    <s v="M-6"/>
    <n v="6"/>
    <m/>
    <s v="MM"/>
    <s v="M"/>
    <s v="Hazira"/>
    <n v="1"/>
    <s v="2137"/>
    <x v="12"/>
    <s v="35.01"/>
    <s v="Hrishikesh Kamat"/>
    <s v="Hrishikesh Kamat"/>
    <n v="7"/>
    <s v="Procurement"/>
    <s v="Land Acquisition"/>
    <s v="35"/>
    <s v="Lead - Land Acqusition"/>
    <m/>
    <s v="Land Acquisition"/>
    <s v=""/>
    <s v=""/>
    <s v="Non Technical Support"/>
    <s v="Corporate Relations"/>
    <s v="Corporate Affairs"/>
    <s v="74501001"/>
    <s v="Corporate Affairs"/>
    <s v="Hazira"/>
    <d v="1987-03-15T00:00:00"/>
    <s v="36.06"/>
    <d v="2023-08-21T00:00:00"/>
    <d v="2045-03-31T00:00:00"/>
    <m/>
    <d v="2045-03-31T00:00:00"/>
    <n v="7863"/>
    <s v="O+"/>
    <s v="BTech-2009"/>
    <s v="12.11"/>
    <s v="00.00"/>
    <s v="13.00"/>
    <s v="70494938"/>
    <s v="Corporate Affairs"/>
    <s v="313342"/>
    <s v="Lead - Land Acqusition"/>
    <s v="Hazira"/>
    <s v="0090000021"/>
    <s v="Corporate Affairs"/>
    <s v="2000HWO"/>
    <s v="20057928"/>
    <s v="Manu Kapoor"/>
    <s v="No"/>
    <s v="ankit.singh@amns.in"/>
    <s v="9767811522"/>
    <s v="728538"/>
    <s v="Dhruv Vyas"/>
    <s v="Anil Matoo"/>
    <s v="Praveen Kuruvalli"/>
    <s v="Dhruv Vyas"/>
    <n v="0"/>
  </r>
  <r>
    <n v="7641"/>
    <n v="20059986"/>
    <s v="Rohit Sharma"/>
    <s v="AM/NS India"/>
    <s v="Onroll"/>
    <s v="M-8"/>
    <n v="8"/>
    <m/>
    <s v="JM"/>
    <s v="M"/>
    <s v="Corporate"/>
    <n v="7"/>
    <s v="2039"/>
    <x v="16"/>
    <s v="43.01"/>
    <s v="Sangeeta Munjal"/>
    <s v="Manu Kapoor"/>
    <n v="10"/>
    <s v="Corporate Affairs"/>
    <s v="Corporate Affairs"/>
    <s v="43"/>
    <s v="Lead – Internal Audit"/>
    <m/>
    <s v="Corporate Affairs"/>
    <m/>
    <m/>
    <s v="Non Technical Support"/>
    <s v="Chairman's Secretariat"/>
    <s v="Chairman's Secretariat"/>
    <s v="74701000"/>
    <s v="Chairman's Secretariat"/>
    <s v="Mumbai"/>
    <d v="1992-01-07T00:00:00"/>
    <s v="31.08"/>
    <d v="2023-08-21T00:00:00"/>
    <d v="2050-01-31T00:00:00"/>
    <m/>
    <d v="2050-01-31T00:00:00"/>
    <n v="9630"/>
    <s v="O+"/>
    <s v="CA Inter-2020"/>
    <s v="01.05"/>
    <s v="00.00"/>
    <s v="01.05"/>
    <s v="00044335"/>
    <s v="Internal Audit Corporate"/>
    <s v="317208"/>
    <s v="Lead – Internal Audit"/>
    <s v="Corporate"/>
    <s v="0090000035"/>
    <s v="Internal Audit"/>
    <s v="2000CS"/>
    <s v="20055802"/>
    <s v="Pawan Kumar Baid"/>
    <s v="No"/>
    <s v="rohit.sharma2@amns.in"/>
    <s v="7004584854"/>
    <s v="648539"/>
    <s v="Dhruv Vyas"/>
    <s v="Anil Matoo"/>
    <s v="Praveen Kuruvalli"/>
    <s v="Dhruv Vyas"/>
    <n v="0"/>
  </r>
  <r>
    <n v="7656"/>
    <n v="40001771"/>
    <s v="Canakapalli Hanumanth Rao"/>
    <s v="AM/NS India"/>
    <s v="Onroll"/>
    <s v="Advisor"/>
    <n v="4"/>
    <s v="M-4"/>
    <s v="Advisor"/>
    <s v="M"/>
    <s v="Vizag"/>
    <n v="3"/>
    <s v="2095"/>
    <x v="4"/>
    <n v="36.01"/>
    <s v="Deepak Sindkar"/>
    <s v="Hrishikesh Kamat"/>
    <n v="7"/>
    <s v="Procurement"/>
    <s v="Raw Materials"/>
    <s v="36"/>
    <s v="Advisor - NMDC &amp; Railways CO-Ordination"/>
    <m/>
    <s v="Bulk Raw Materials"/>
    <s v="Bulk Raw Materials"/>
    <m/>
    <s v="Non Technical Support"/>
    <s v="Commercial"/>
    <s v="Procurement"/>
    <s v="73803001"/>
    <s v="Procurement"/>
    <s v="Hyderabad"/>
    <d v="1951-09-26T00:00:00"/>
    <s v="71.11"/>
    <d v="2013-03-04T00:00:00"/>
    <d v="2009-09-30T00:00:00"/>
    <d v="2023-12-31T00:00:00"/>
    <d v="2023-12-31T00:00:00"/>
    <n v="102"/>
    <s v=""/>
    <s v="BE-1974"/>
    <s v="38.00"/>
    <s v="10.06"/>
    <s v="48.06"/>
    <s v="72150107"/>
    <s v="Vizag Operations"/>
    <s v="70328454"/>
    <s v="Advisor - NMDC &amp; Railways CO-Ordination"/>
    <s v="Non-payroll-relevant"/>
    <s v="0028030019"/>
    <s v="VIZ-Personnel &amp; Admi"/>
    <s v="2000VIZOPS"/>
    <s v="20000547"/>
    <s v="Ravindranath Modekurthi"/>
    <s v="No"/>
    <s v="hanumanth.rao@amns.in"/>
    <s v="9502701230"/>
    <s v="21893"/>
    <s v="Dhruv Vyas"/>
    <s v="Anil Matoo"/>
    <s v="Praveen Kuruvalli"/>
    <s v="Dhruv Vyas"/>
    <n v="0"/>
  </r>
  <r>
    <n v="7752"/>
    <n v="40002452"/>
    <s v="Shantilal Dhansukhbhai Patel"/>
    <s v="AM/NS India"/>
    <s v="Onroll"/>
    <s v="Advisor"/>
    <n v="8"/>
    <s v="M-8"/>
    <s v="Advisor"/>
    <s v="M"/>
    <s v="Hazira"/>
    <n v="1"/>
    <s v="2137"/>
    <x v="12"/>
    <s v="35.01"/>
    <s v="Hrishikesh Kamat"/>
    <s v="Hrishikesh Kamat"/>
    <n v="7"/>
    <s v="Procurement"/>
    <s v="Land Acquisition"/>
    <s v="35"/>
    <s v="Advisor - Land Acqusition"/>
    <m/>
    <s v="Land Acquisition"/>
    <s v="Land Acquisition"/>
    <s v=""/>
    <s v="Non Technical Support"/>
    <s v="Commercial"/>
    <s v="Contracts &amp; Tenders and E-bid"/>
    <s v="73805001"/>
    <s v="Contracts &amp; Tenders and E"/>
    <s v="AM/NS Hazira"/>
    <d v="1962-02-07T00:00:00"/>
    <s v="61.07"/>
    <d v="2021-05-17T00:00:00"/>
    <d v="2020-02-29T00:00:00"/>
    <d v="2023-05-16T00:00:00"/>
    <d v="2023-05-16T00:00:00"/>
    <n v="-127"/>
    <s v="B+"/>
    <s v="BCom-1984 , Intermediate-1980 , SSLC-197"/>
    <s v="38.03"/>
    <s v="02.04"/>
    <s v="40.07"/>
    <s v="70495436"/>
    <s v="Land Property"/>
    <s v="70495786"/>
    <s v="Advisor - Land Matters"/>
    <s v="Hazira"/>
    <s v="0031950038"/>
    <s v="HZ-Hazira Land Acqui"/>
    <s v="2000HWO"/>
    <s v="20059561"/>
    <s v="Bhavdip Jathal"/>
    <s v="No"/>
    <s v="shantilal.patel@amns.in"/>
    <s v="9825055371"/>
    <s v="838199"/>
    <s v="Dhruv Vyas"/>
    <s v="Anil Matoo"/>
    <s v="Praveen Kuruvalli"/>
    <s v="Dhruv Vyas"/>
    <n v="0"/>
  </r>
  <r>
    <n v="7763"/>
    <n v="40002494"/>
    <s v="Prabhatbhai Desai"/>
    <s v="AM/NS India"/>
    <s v="Onroll"/>
    <s v="Advisor"/>
    <n v="6"/>
    <s v="M-6"/>
    <s v="Advisor"/>
    <s v="M"/>
    <s v="Hazira"/>
    <n v="1"/>
    <s v="2039"/>
    <x v="12"/>
    <s v="43.01"/>
    <s v="Sangeeta Munjal"/>
    <s v="Manu Kapoor"/>
    <n v="10"/>
    <s v="Corporate Affairs"/>
    <s v="Corporate Affairs"/>
    <s v="43"/>
    <s v="Advisor - Land Acqusition"/>
    <m/>
    <s v="Land Acquisition"/>
    <s v=""/>
    <s v=""/>
    <s v="Non Technical Support"/>
    <s v="Corporate Relations"/>
    <s v="Corporate Affairs"/>
    <s v="74501001"/>
    <s v="Corporate Affairs"/>
    <s v="AM/NS Hazira"/>
    <d v="1959-05-31T00:00:00"/>
    <s v="64.03"/>
    <d v="2022-01-25T00:00:00"/>
    <d v="2017-05-31T00:00:00"/>
    <d v="2024-03-31T00:00:00"/>
    <d v="2024-03-31T00:00:00"/>
    <n v="193"/>
    <s v="O+"/>
    <s v="BA-1982 , Intermediate-1979 , SSLC-1977"/>
    <s v="34.05"/>
    <s v="01.07"/>
    <s v="36.00"/>
    <s v="70495436"/>
    <s v="Land Property"/>
    <s v="272202"/>
    <s v="Advisor Corporate Affairs"/>
    <s v="Hazira"/>
    <s v="0090000021"/>
    <s v="Corporate Affairs"/>
    <s v="2000HWO"/>
    <s v="20059561"/>
    <s v="Bhavdip Jathal"/>
    <s v="No"/>
    <s v="prabhatbhai.desai@amns.in"/>
    <s v="9825034045"/>
    <s v="878191"/>
    <s v="Dhruv Vyas"/>
    <s v="Anil Matoo"/>
    <s v="Praveen Kuruvalli"/>
    <s v="Dhruv Vyas"/>
    <n v="0"/>
  </r>
  <r>
    <n v="7769"/>
    <n v="40002500"/>
    <s v="Himanshu Parekh"/>
    <s v="AM/NS India"/>
    <s v="Onroll"/>
    <s v="Advisor"/>
    <n v="4"/>
    <s v="M-4"/>
    <s v="Advisor"/>
    <s v="M"/>
    <s v="Hazira"/>
    <n v="1"/>
    <s v="2137"/>
    <x v="12"/>
    <s v="35.01"/>
    <s v="Hrishikesh Kamat"/>
    <s v="Hrishikesh Kamat"/>
    <n v="7"/>
    <s v="Procurement"/>
    <s v="Land Acquisition"/>
    <s v="35"/>
    <s v="Advisor - Land Acqusition"/>
    <m/>
    <s v="Land Acquisition"/>
    <s v=""/>
    <s v=""/>
    <s v="Non Technical Support"/>
    <s v="Corporate Relations"/>
    <s v="Corporate Affairs"/>
    <s v="74501001"/>
    <s v="Corporate Affairs"/>
    <s v="AM/NS Hazira"/>
    <d v="1962-01-21T00:00:00"/>
    <s v="61.07"/>
    <d v="2022-03-01T00:00:00"/>
    <d v="2020-01-31T00:00:00"/>
    <d v="2024-02-29T00:00:00"/>
    <d v="2024-02-29T00:00:00"/>
    <n v="162"/>
    <s v="O+"/>
    <s v="SSLC-1977"/>
    <s v=""/>
    <s v="01.06"/>
    <s v="01.06"/>
    <s v="70494938"/>
    <s v="Corporate Affairs"/>
    <s v="275232"/>
    <s v="Advisor – Land Matters"/>
    <s v="Hazira"/>
    <s v="0090000021"/>
    <s v="Corporate Affairs"/>
    <s v="2000HWO"/>
    <s v="20057928"/>
    <s v="Manu Kapoor"/>
    <s v="No"/>
    <s v="himanshu.parekh@amns.in"/>
    <s v="9978405232"/>
    <s v="884276"/>
    <s v="Dhruv Vyas"/>
    <s v="Anil Matoo"/>
    <s v="Praveen Kuruvalli"/>
    <s v="Dhruv Vyas"/>
    <n v="0"/>
  </r>
  <r>
    <n v="7816"/>
    <n v="40002555"/>
    <s v="Alamsinh Chauhan"/>
    <s v="AM/NS India"/>
    <s v="Onroll"/>
    <s v="Advisor"/>
    <n v="7"/>
    <s v="M-7"/>
    <s v="Advisor"/>
    <s v="M"/>
    <s v="Hazira"/>
    <n v="1"/>
    <s v="2137"/>
    <x v="12"/>
    <s v="35.01"/>
    <s v="Hrishikesh Kamat"/>
    <s v="Hrishikesh Kamat"/>
    <n v="7"/>
    <s v="Procurement"/>
    <s v="Land Acquisition"/>
    <s v="35"/>
    <s v="Advisor - Land Acqusition"/>
    <m/>
    <s v="Land Acquisition"/>
    <s v=""/>
    <s v=""/>
    <s v="Non Technical Support"/>
    <s v="Corporate Relations"/>
    <s v="Corporate Affairs"/>
    <s v="74501001"/>
    <s v="Corporate Affairs"/>
    <s v="Hazira"/>
    <d v="1962-06-01T00:00:00"/>
    <s v="61.03"/>
    <d v="2022-11-28T00:00:00"/>
    <d v="2020-05-31T00:00:00"/>
    <d v="2023-11-28T00:00:00"/>
    <d v="2023-11-28T00:00:00"/>
    <n v="69"/>
    <s v="B+"/>
    <s v="Diploma-1984 , Intermediate-1976"/>
    <s v="37.09"/>
    <s v="00.09"/>
    <s v="38.06"/>
    <s v="70495436"/>
    <s v="Land Property"/>
    <s v="294610"/>
    <s v="Advisor – Land Surveyor"/>
    <s v="Hazira"/>
    <s v="0031950045"/>
    <s v="HZ-Works Accounts-Ha"/>
    <s v="2000HWO"/>
    <s v="20059561"/>
    <s v="Bhavdip Jathal"/>
    <s v="No"/>
    <s v="alamsinh.chauhan@amns.in"/>
    <s v="9825770580"/>
    <s v="1024779"/>
    <s v="Dhruv Vyas"/>
    <s v="Anil Matoo"/>
    <s v="Praveen Kuruvalli"/>
    <s v="Dhruv Vyas"/>
    <n v="0"/>
  </r>
  <r>
    <n v="7890"/>
    <n v="40002639"/>
    <s v="Balveer Bhandari"/>
    <s v="AMNS Khopoli"/>
    <s v="Onroll"/>
    <s v="Advisor"/>
    <m/>
    <m/>
    <s v="Advisor"/>
    <s v="M"/>
    <s v="Khopoli"/>
    <n v="9"/>
    <s v="1121"/>
    <x v="0"/>
    <s v="20.01"/>
    <s v="Akiyo Omori"/>
    <s v="Amit Harlalka"/>
    <n v="5"/>
    <s v="Finance &amp; Accounts"/>
    <s v="Finance &amp; Accounts"/>
    <s v="20"/>
    <m/>
    <m/>
    <s v="Finance &amp; Accounts"/>
    <s v=""/>
    <s v=""/>
    <s v="Non Technical Support"/>
    <s v="Operations"/>
    <s v="Operations"/>
    <s v="72103001"/>
    <s v="Operations"/>
    <s v="Khopoli"/>
    <d v="1962-06-22T00:00:00"/>
    <s v="61.03"/>
    <d v="2023-04-01T00:00:00"/>
    <d v="2022-06-30T00:00:00"/>
    <m/>
    <d v="2022-06-30T00:00:00"/>
    <n v="-447"/>
    <s v=""/>
    <s v=""/>
    <s v=""/>
    <s v="00.05"/>
    <s v="00.05"/>
    <s v="00051339"/>
    <s v="Excise"/>
    <s v="305212"/>
    <s v="New Acquisition"/>
    <s v="Non-payroll-relevant"/>
    <s v=""/>
    <s v=""/>
    <s v="1121KHOP"/>
    <s v="20055962"/>
    <s v="Navin Kewalramani"/>
    <s v="No"/>
    <s v="balveer.bhandari@amns.in"/>
    <s v="8879994156"/>
    <s v="1022220"/>
    <s v="Pritam Debbarma"/>
    <s v="Anil Matoo"/>
    <s v="-"/>
    <s v="Manjit Shah"/>
    <s v="-"/>
  </r>
  <r>
    <n v="7915"/>
    <n v="80127955"/>
    <s v="Kalpesh Raghunath Tawde"/>
    <s v="AM/NS India"/>
    <s v="Onroll"/>
    <s v="M-10"/>
    <n v="10"/>
    <m/>
    <s v="JM"/>
    <s v="M"/>
    <s v="Pune Facility"/>
    <n v="4"/>
    <s v="2013"/>
    <x v="0"/>
    <s v="20.01"/>
    <s v="Akiyo Omori"/>
    <s v="Amit Harlalka"/>
    <n v="5"/>
    <s v="Finance &amp; Accounts"/>
    <s v="Finance &amp; Accounts"/>
    <s v="20"/>
    <s v="Lead"/>
    <m/>
    <s v="Finance &amp; Accounts - Pune"/>
    <s v="Finance &amp; Accounts"/>
    <s v=""/>
    <s v="Non Technical Support"/>
    <s v="Finance &amp; Accounts"/>
    <s v="Treasury"/>
    <s v="73903001"/>
    <s v="Treasury"/>
    <s v="Pune AMNS"/>
    <d v="1986-04-11T00:00:00"/>
    <s v="37.05"/>
    <d v="2007-08-16T00:00:00"/>
    <d v="2044-04-30T00:00:00"/>
    <m/>
    <d v="2044-04-30T00:00:00"/>
    <n v="7528"/>
    <s v=""/>
    <s v="Diploma-2007 , BCom-2006 , High School-2"/>
    <s v="09.01"/>
    <s v="16.01"/>
    <s v="25.02"/>
    <s v="70418544"/>
    <s v="Costing"/>
    <s v="70395939"/>
    <s v="Lead"/>
    <s v="Pune Facility"/>
    <s v="0035950020"/>
    <s v="Pune-F&amp;A"/>
    <s v="2000ESPF"/>
    <s v="20048971"/>
    <s v="Arindam Ganguly"/>
    <s v="No"/>
    <s v="kalpesh.tawde@amns.in"/>
    <s v="9930136551"/>
    <s v="24474"/>
    <s v="Dhruv Vyas"/>
    <s v="Anil Matoo"/>
    <s v="Praveen Kuruvalli"/>
    <s v="Dhruv Vyas"/>
    <n v="0"/>
  </r>
  <r>
    <n v="7916"/>
    <n v="80141906"/>
    <s v="Akhilesh Purohit"/>
    <s v="AM/NS India"/>
    <s v="Onroll"/>
    <s v="M-6"/>
    <n v="6"/>
    <m/>
    <s v="MM"/>
    <s v="M"/>
    <s v="Corporate"/>
    <n v="7"/>
    <s v="2013"/>
    <x v="0"/>
    <s v="20.01"/>
    <s v="Akiyo Omori"/>
    <s v="Amit Harlalka"/>
    <n v="5"/>
    <s v="Finance &amp; Accounts"/>
    <s v="Finance &amp; Accounts"/>
    <s v="20"/>
    <s v="Lead - Insurance"/>
    <m/>
    <s v="Risk &amp; Insurance"/>
    <s v="Risk &amp; Insurance"/>
    <s v=""/>
    <s v="Non Technical Support"/>
    <s v="International Supply &amp; Trading"/>
    <s v="Price Risk Management"/>
    <s v="72203047"/>
    <s v="Risk Management"/>
    <s v="Mumbai"/>
    <d v="1977-07-03T00:00:00"/>
    <s v="46.02"/>
    <d v="2011-03-14T00:00:00"/>
    <d v="2035-07-31T00:00:00"/>
    <m/>
    <d v="2035-07-31T00:00:00"/>
    <n v="4332"/>
    <s v="AB-"/>
    <s v="MBA-1999"/>
    <s v="07.05"/>
    <s v="12.06"/>
    <s v="19.11"/>
    <s v="70447071"/>
    <s v="Insurance &amp; Financial Risk"/>
    <s v="70490224"/>
    <s v="Lead - Insurance"/>
    <s v="Corporate"/>
    <s v="0090000028"/>
    <s v="Corporate Steel - Wo"/>
    <s v="2000CS"/>
    <s v="20017504"/>
    <s v="Appi Reddy Guttikonda"/>
    <s v="No"/>
    <s v="akhilesh.purohit@amns.in"/>
    <s v="9930134249"/>
    <s v="23598"/>
    <s v="Dhruv Vyas"/>
    <s v="Anil Matoo"/>
    <s v="Praveen Kuruvalli"/>
    <s v="Dhruv Vyas"/>
    <n v="0"/>
  </r>
  <r>
    <n v="7929"/>
    <n v="30072"/>
    <s v="David Rajkumar Ambrose"/>
    <s v="AM/NS SSL"/>
    <s v="Onroll"/>
    <s v="M-10"/>
    <n v="10"/>
    <m/>
    <s v="JM"/>
    <s v="M"/>
    <s v="Hazira"/>
    <n v="1"/>
    <m/>
    <x v="7"/>
    <s v="34.01"/>
    <s v="Ambrish Chaturvedi"/>
    <s v="Hrishikesh Kamat"/>
    <n v="7"/>
    <s v="Procurement"/>
    <s v="Stores &amp; Warehouse"/>
    <s v="34"/>
    <s v="Lead - Diesel supply"/>
    <m/>
    <s v="Stores &amp; Warehouse"/>
    <s v="Diesel supply"/>
    <m/>
    <m/>
    <m/>
    <s v="Lead - Diesel supply"/>
    <m/>
    <m/>
    <s v="Hazira"/>
    <d v="1981-09-06T00:00:00"/>
    <n v="42.02465753424657"/>
    <d v="2020-11-01T00:00:00"/>
    <d v="2039-09-30T00:00:00"/>
    <m/>
    <d v="2039-09-30T00:00:00"/>
    <n v="5854"/>
    <s v="B+ve"/>
    <s v="B.A'-2004"/>
    <n v="14.05"/>
    <n v="2.253251197809719"/>
    <n v="16.30325119780972"/>
    <m/>
    <m/>
    <m/>
    <s v="Lead - Diesel supply"/>
    <s v="SSL"/>
    <m/>
    <m/>
    <m/>
    <n v="20001164"/>
    <s v="Snehal Anjaria"/>
    <s v="No"/>
    <s v="David.rajkumar@ssl.AMNS.in"/>
    <n v="6357192754"/>
    <n v="810319"/>
    <s v="Manjit Shah"/>
    <s v="Anil Matoo"/>
    <n v="0"/>
    <s v="Manjit Shah"/>
    <n v="0"/>
  </r>
  <r>
    <n v="7933"/>
    <n v="30078"/>
    <s v="Virendra Singh"/>
    <s v="AM/NS SSL"/>
    <s v="Onroll"/>
    <s v="M-11"/>
    <n v="11"/>
    <m/>
    <s v="JM"/>
    <s v="M"/>
    <s v="Hazira"/>
    <n v="1"/>
    <m/>
    <x v="7"/>
    <s v="34.01"/>
    <s v="Ambrish Chaturvedi"/>
    <s v="Hrishikesh Kamat"/>
    <n v="7"/>
    <s v="Procurement"/>
    <s v="Stores &amp; Warehouse"/>
    <s v="34"/>
    <s v="Lead - Stores &amp; Warehouse"/>
    <m/>
    <s v="Stores &amp; Warehouse"/>
    <s v="Stores &amp; Warehouse"/>
    <m/>
    <m/>
    <m/>
    <s v="Lead - Stores &amp; Warehouse"/>
    <m/>
    <m/>
    <s v="Hazira"/>
    <d v="1987-05-14T00:00:00"/>
    <n v="36.33698630136986"/>
    <d v="2021-01-02T00:00:00"/>
    <d v="2045-05-31T00:00:00"/>
    <m/>
    <d v="2045-05-31T00:00:00"/>
    <n v="7924"/>
    <s v="O+ve"/>
    <s v="BA'2009, DBM'2011"/>
    <n v="8.050000000000001"/>
    <n v="2.083504449007529"/>
    <n v="10.13350444900753"/>
    <m/>
    <m/>
    <m/>
    <s v="Lead - Stores &amp; Warehouse"/>
    <s v="SSL"/>
    <m/>
    <m/>
    <m/>
    <n v="20001164"/>
    <s v="Snehal Anjaria"/>
    <s v="No"/>
    <s v="Virendra.Singh@ssl.AMNS.in"/>
    <n v="9925241063"/>
    <n v="818991"/>
    <s v="Manjit Shah"/>
    <s v="Anil Matoo"/>
    <n v="0"/>
    <s v="Manjit Shah"/>
    <n v="0"/>
  </r>
  <r>
    <n v="7998"/>
    <n v="30094"/>
    <s v="Prashant Vilas Mandavekar"/>
    <s v="AM/NS SSL"/>
    <s v="Onroll"/>
    <s v="M-9"/>
    <n v="9"/>
    <m/>
    <s v="JM"/>
    <s v="M"/>
    <s v="Hazira"/>
    <n v="1"/>
    <m/>
    <x v="23"/>
    <s v="26.11"/>
    <s v="Anil Matoo"/>
    <s v="Ashutosh Telang"/>
    <n v="6"/>
    <s v="HR &amp; Administration"/>
    <s v="Payroll Administration"/>
    <s v="26"/>
    <s v="Lead - HR, IR &amp; Admin"/>
    <m/>
    <s v="HR, IR &amp; Admin"/>
    <s v="HR, IR &amp; Admin"/>
    <m/>
    <m/>
    <m/>
    <s v="Lead - HR, IR &amp; Admin"/>
    <m/>
    <m/>
    <s v="Hazira"/>
    <d v="1988-02-25T00:00:00"/>
    <n v="35.55068493150685"/>
    <d v="2021-06-15T00:00:00"/>
    <d v="2046-02-28T00:00:00"/>
    <m/>
    <d v="2046-02-28T00:00:00"/>
    <n v="8197"/>
    <s v="O+ve"/>
    <s v="MBA- HR 2012, BHTMS 2008"/>
    <n v="8"/>
    <n v="1.634496919917864"/>
    <n v="9.634496919917865"/>
    <m/>
    <m/>
    <m/>
    <s v="Lead - HR, IR &amp; Admin"/>
    <s v="SSL"/>
    <m/>
    <m/>
    <m/>
    <n v="20055071"/>
    <s v="Anirudha Bisoyi"/>
    <s v="No"/>
    <s v="Prashant.Mandavekar@ssl.AMNS.in"/>
    <n v="7486036266"/>
    <n v="846926"/>
    <s v="Manjit Shah"/>
    <s v="Anil Matoo"/>
    <n v="0"/>
    <s v="Manjit Shah"/>
    <n v="0"/>
  </r>
  <r>
    <n v="7999"/>
    <n v="30106"/>
    <s v="Pinkesh Maheshkumar Bhutwala"/>
    <s v="AM/NS SSL"/>
    <s v="Onroll"/>
    <s v="M-9"/>
    <n v="9"/>
    <m/>
    <s v="JM"/>
    <s v="M"/>
    <s v="Hazira"/>
    <n v="1"/>
    <m/>
    <x v="23"/>
    <s v="26.11"/>
    <s v="Anil Matoo"/>
    <s v="Ashutosh Telang"/>
    <n v="6"/>
    <s v="HR &amp; Administration"/>
    <s v="Payroll Administration"/>
    <s v="26"/>
    <s v="Lead - HR, IR &amp; Admin"/>
    <m/>
    <s v="HR, IR &amp; Admin"/>
    <s v="HR, IR &amp; Admin"/>
    <m/>
    <m/>
    <m/>
    <s v="Lead - HR, IR &amp; Admin"/>
    <m/>
    <m/>
    <s v="Hazira"/>
    <d v="1992-10-23T00:00:00"/>
    <n v="30.88767123287671"/>
    <d v="2022-09-01T00:00:00"/>
    <d v="2050-10-31T00:00:00"/>
    <m/>
    <d v="2050-10-31T00:00:00"/>
    <n v="9903"/>
    <s v="B+ve"/>
    <s v="P.G.D. HRM-2016,MLW-2016,B. Com.-2014"/>
    <n v="7"/>
    <n v="0.4216290212183436"/>
    <n v="7.421629021218344"/>
    <m/>
    <m/>
    <m/>
    <s v="Lead - HR, IR &amp; Admin"/>
    <s v="SSL"/>
    <m/>
    <m/>
    <m/>
    <n v="20055071"/>
    <s v="Anirudha Bisoyi"/>
    <s v="No"/>
    <s v="pinkesh.bhutwala@ssl.amns.in"/>
    <n v="9624569689"/>
    <n v="1015823"/>
    <s v="Manjit Shah"/>
    <s v="Anil Matoo"/>
    <s v="-"/>
    <s v="Manjit Shah"/>
    <s v="-"/>
  </r>
  <r>
    <n v="8000"/>
    <n v="30132"/>
    <s v="Pareshbhai Nathubhai Patel"/>
    <s v="AM/NS SSL"/>
    <s v="Onroll"/>
    <s v="M-9"/>
    <n v="9"/>
    <m/>
    <s v="JM"/>
    <s v="M"/>
    <s v="Hazira"/>
    <n v="1"/>
    <m/>
    <x v="12"/>
    <s v="35.01"/>
    <s v="Hrishikesh Kamat"/>
    <s v="Hrishikesh Kamat"/>
    <n v="7"/>
    <s v="Procurement"/>
    <s v="Land Acquisition"/>
    <s v="35"/>
    <s v="Officer-Land Acqusition"/>
    <m/>
    <s v="Land Acquisition"/>
    <s v="Land Acquisition"/>
    <m/>
    <m/>
    <m/>
    <s v="Officer-Land Matters"/>
    <m/>
    <m/>
    <s v="Hazira"/>
    <d v="1982-05-16T00:00:00"/>
    <n v="41.33424657534247"/>
    <d v="2022-10-06T00:00:00"/>
    <d v="2040-05-31T00:00:00"/>
    <m/>
    <d v="2040-05-31T00:00:00"/>
    <n v="6098"/>
    <s v="AB+ve"/>
    <s v="B.A.-2016"/>
    <n v="5"/>
    <n v="0.3258042436687201"/>
    <n v="5.325804243668721"/>
    <m/>
    <m/>
    <m/>
    <s v="Officer-Land Matters"/>
    <s v="SSL"/>
    <m/>
    <m/>
    <m/>
    <n v="20057928"/>
    <s v="Manu Kapoor"/>
    <s v="No"/>
    <s v="paresh.patel@ssl.amns.in"/>
    <n v="7283833888"/>
    <m/>
    <s v="Manjit Shah"/>
    <s v="Anil Matoo"/>
    <s v="-"/>
    <s v="Manjit Shah"/>
    <s v="-"/>
  </r>
  <r>
    <n v="8001"/>
    <n v="30140"/>
    <s v="Shurtik Prasadbhai Patel"/>
    <s v="AM/NS SSL"/>
    <s v="Onroll"/>
    <s v="M-11"/>
    <n v="11"/>
    <m/>
    <s v="JM"/>
    <s v="M"/>
    <s v="Hazira"/>
    <n v="1"/>
    <m/>
    <x v="12"/>
    <s v="35.01"/>
    <s v="Hrishikesh Kamat"/>
    <s v="Hrishikesh Kamat"/>
    <n v="7"/>
    <s v="Procurement"/>
    <s v="Land Acquisition"/>
    <s v="35"/>
    <s v="Officer-Land Matters"/>
    <m/>
    <s v="Land Acquisition"/>
    <s v="Land Matters"/>
    <m/>
    <m/>
    <m/>
    <s v="Officer-Land Matters"/>
    <m/>
    <m/>
    <s v="Hazira"/>
    <d v="2001-01-01T00:00:00"/>
    <n v="22.69041095890411"/>
    <d v="2022-11-04T00:00:00"/>
    <d v="2058-12-31T00:00:00"/>
    <m/>
    <d v="2058-12-31T00:00:00"/>
    <n v="12886"/>
    <m/>
    <s v="H.S.C.-2018, S.S.C.-2016"/>
    <n v="3"/>
    <n v="0.2464065708418891"/>
    <n v="3.246406570841889"/>
    <m/>
    <m/>
    <m/>
    <s v="Officer-Land Matters"/>
    <s v="SSL"/>
    <m/>
    <m/>
    <m/>
    <n v="20057714"/>
    <s v="Anand Purohit"/>
    <s v="No"/>
    <s v="shurtik.patel@ssl.amns.in"/>
    <n v="9925094876"/>
    <n v="1025511"/>
    <s v="Manjit Shah"/>
    <s v="Anil Matoo"/>
    <s v="-"/>
    <s v="Manjit Shah"/>
    <s v="-"/>
  </r>
  <r>
    <n v="8040"/>
    <n v="30192"/>
    <s v="Vasantbhai Patel"/>
    <s v="AM/NS SSL"/>
    <s v="Onroll"/>
    <s v="M-11"/>
    <n v="11"/>
    <m/>
    <s v="JM"/>
    <s v="M"/>
    <s v="Hazira"/>
    <n v="1"/>
    <m/>
    <x v="6"/>
    <s v="24.08"/>
    <s v="Anil Matoo"/>
    <s v="Ashutosh Telang"/>
    <n v="6"/>
    <s v="HR &amp; Administration"/>
    <s v="Administration"/>
    <s v="24"/>
    <s v="Management Associate"/>
    <m/>
    <m/>
    <m/>
    <m/>
    <m/>
    <m/>
    <s v="Management Associate"/>
    <m/>
    <m/>
    <s v="Hazira"/>
    <d v="1987-05-28T00:00:00"/>
    <n v="36.2986301369863"/>
    <d v="2023-04-01T00:00:00"/>
    <d v="2045-05-31T00:00:00"/>
    <m/>
    <d v="2045-05-31T00:00:00"/>
    <n v="7924"/>
    <s v="O+ve"/>
    <s v="SSC-2002, ITI (MMCP) - 2004"/>
    <n v="16"/>
    <n v="0.4301369863013699"/>
    <n v="16.43013698630137"/>
    <m/>
    <m/>
    <m/>
    <s v="Management Associate"/>
    <s v="SSL"/>
    <m/>
    <m/>
    <m/>
    <n v="20056012"/>
    <s v="Ujwal Punia"/>
    <s v="No"/>
    <s v="vasant.patel@ssl.amns.in"/>
    <n v="7227043135"/>
    <m/>
    <s v="Manjit Shah"/>
    <s v="Anil Matoo"/>
    <s v="-"/>
    <s v="Manjit Shah"/>
    <s v="-"/>
  </r>
  <r>
    <n v="8051"/>
    <n v="30203"/>
    <s v="Yunas Ali"/>
    <s v="AM/NS SSL"/>
    <s v="Onroll"/>
    <s v="M-11"/>
    <n v="11"/>
    <m/>
    <s v="JM"/>
    <s v="M"/>
    <s v="Hazira"/>
    <n v="1"/>
    <m/>
    <x v="6"/>
    <s v="24.08"/>
    <s v="Anil Matoo"/>
    <s v="Ashutosh Telang"/>
    <n v="6"/>
    <s v="HR &amp; Administration"/>
    <s v="Administration"/>
    <s v="24"/>
    <s v="Associate"/>
    <m/>
    <m/>
    <m/>
    <m/>
    <m/>
    <m/>
    <s v="Associate"/>
    <m/>
    <m/>
    <s v="Hazira"/>
    <d v="1974-09-01T00:00:00"/>
    <n v="49.04383561643836"/>
    <d v="2023-04-13T00:00:00"/>
    <d v="2032-08-31T00:00:00"/>
    <d v="2025-04-13T00:00:00"/>
    <d v="2025-04-13T00:00:00"/>
    <n v="3268"/>
    <s v="B+ve"/>
    <s v="Army Graduate - 2012"/>
    <n v="23"/>
    <n v="0.3972602739726027"/>
    <n v="23.3972602739726"/>
    <m/>
    <m/>
    <m/>
    <s v="Associate"/>
    <s v="SSL"/>
    <m/>
    <m/>
    <m/>
    <n v="1770495"/>
    <s v="Remya P R"/>
    <s v="No"/>
    <s v="yunas.ali@ssl.amns.in"/>
    <n v="8094347207"/>
    <m/>
    <s v="Manjit Shah"/>
    <s v="Anil Matoo"/>
    <s v="-"/>
    <s v="Manjit Shah"/>
    <s v="-"/>
  </r>
  <r>
    <n v="8066"/>
    <n v="30218"/>
    <s v="Sowmiya Venkatramani"/>
    <s v="AM/NS SSL"/>
    <s v="Onroll"/>
    <s v="M-11"/>
    <n v="11"/>
    <m/>
    <s v="JM"/>
    <s v="F"/>
    <s v="Hazira"/>
    <n v="1"/>
    <m/>
    <x v="1"/>
    <s v="22.06"/>
    <s v="Anil Matoo"/>
    <s v="Ashutosh Telang"/>
    <n v="6"/>
    <s v="HR &amp; Administration"/>
    <s v="Human Resources"/>
    <s v="22"/>
    <s v="Management Associate"/>
    <m/>
    <m/>
    <m/>
    <m/>
    <m/>
    <m/>
    <s v="Management Associate"/>
    <m/>
    <m/>
    <s v="Hazira"/>
    <s v="17/06/1992"/>
    <n v="31.23835616438356"/>
    <s v="01/08/2023"/>
    <d v="2050-06-30T00:00:00"/>
    <d v="2025-08-01T00:00:00"/>
    <d v="2025-08-01T00:00:00"/>
    <n v="9780"/>
    <s v="A+ve"/>
    <s v="MSW - 2016"/>
    <n v="5.05"/>
    <n v="0.0958904109589041"/>
    <n v="5.145890410958904"/>
    <m/>
    <m/>
    <m/>
    <s v="Management Associate"/>
    <s v="SSL"/>
    <m/>
    <m/>
    <m/>
    <n v="20001265"/>
    <s v="Lakshman Iyer"/>
    <s v="No"/>
    <s v="sowmiya.venkatramani@ssl.amns.in"/>
    <n v="9662315712"/>
    <m/>
    <s v="Manjit Shah"/>
    <s v="Anil Matoo"/>
    <s v="-"/>
    <s v="Manjit Shah"/>
    <s v="-"/>
  </r>
  <r>
    <n v="8068"/>
    <n v="30220"/>
    <s v="Jennifer Varghese"/>
    <s v="AM/NS SSL"/>
    <s v="Onroll"/>
    <s v="M-11"/>
    <n v="11"/>
    <m/>
    <s v="JM"/>
    <s v="F"/>
    <s v="Hazira"/>
    <n v="1"/>
    <m/>
    <x v="6"/>
    <s v="24.08"/>
    <s v="Anil Matoo"/>
    <s v="Ashutosh Telang"/>
    <n v="6"/>
    <s v="HR &amp; Administration"/>
    <s v="Administration"/>
    <s v="24"/>
    <s v="Associate"/>
    <m/>
    <m/>
    <m/>
    <m/>
    <m/>
    <m/>
    <s v="Associate"/>
    <m/>
    <m/>
    <s v="Hazira"/>
    <s v="05/11/1990"/>
    <n v="32.85479452054795"/>
    <s v="07/08/2023"/>
    <d v="2048-11-30T00:00:00"/>
    <d v="2025-08-07T00:00:00"/>
    <d v="2025-08-07T00:00:00"/>
    <n v="9203"/>
    <s v="B +ve"/>
    <s v="B.Com. - 2012"/>
    <n v="10"/>
    <n v="0.07945205479452055"/>
    <n v="10.07945205479452"/>
    <m/>
    <m/>
    <m/>
    <s v="Associate"/>
    <s v="SSL"/>
    <m/>
    <m/>
    <m/>
    <n v="20057891"/>
    <s v="Bhavik Mehta"/>
    <s v="No"/>
    <s v="jennifer.varghese@ssl.amns.in"/>
    <n v="7045727810"/>
    <m/>
    <s v="Manjit Shah"/>
    <s v="Anil Matoo"/>
    <s v="-"/>
    <s v="Manjit Shah"/>
    <s v="-"/>
  </r>
  <r>
    <n v="8068"/>
    <n v="1111"/>
    <s v="Vidyasagar Kona"/>
    <s v="AM/NS India"/>
    <m/>
    <s v="M-6"/>
    <m/>
    <m/>
    <m/>
    <m/>
    <s v="Corporate"/>
    <m/>
    <m/>
    <x v="19"/>
    <m/>
    <s v="Raghavan Aravamudhan"/>
    <s v="Dilip Oommen"/>
    <m/>
    <s v="CEO Office"/>
    <s v="Business Strategy"/>
    <m/>
    <s v="Analyst - Business Strategy"/>
    <m/>
    <s v="Business Strategy"/>
    <s v="Business Strateg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5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3:B111" firstHeaderRow="1" firstDataRow="1" firstDataCol="1"/>
  <pivotFields count="63">
    <pivotField numFmtId="16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9">
        <item x="20"/>
        <item x="6"/>
        <item x="4"/>
        <item x="24"/>
        <item x="19"/>
        <item x="15"/>
        <item x="5"/>
        <item x="26"/>
        <item x="11"/>
        <item x="9"/>
        <item x="2"/>
        <item x="8"/>
        <item x="21"/>
        <item x="0"/>
        <item x="1"/>
        <item x="17"/>
        <item x="16"/>
        <item x="12"/>
        <item x="22"/>
        <item m="1" x="27"/>
        <item x="25"/>
        <item x="23"/>
        <item x="14"/>
        <item x="3"/>
        <item x="10"/>
        <item x="13"/>
        <item x="18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Count of Name " fld="2" subtotal="count" baseField="0" baseItem="0"/>
  </dataFields>
  <formats count="17">
    <format dxfId="496">
      <pivotArea collapsedLevelsAreSubtotals="1" fieldPosition="0">
        <references count="1">
          <reference field="13" count="1">
            <x v="3"/>
          </reference>
        </references>
      </pivotArea>
    </format>
    <format dxfId="497">
      <pivotArea dataOnly="0" labelOnly="1" fieldPosition="0">
        <references count="1">
          <reference field="13" count="1">
            <x v="3"/>
          </reference>
        </references>
      </pivotArea>
    </format>
    <format dxfId="498">
      <pivotArea collapsedLevelsAreSubtotals="1" fieldPosition="0">
        <references count="1">
          <reference field="13" count="1">
            <x v="4"/>
          </reference>
        </references>
      </pivotArea>
    </format>
    <format dxfId="499">
      <pivotArea dataOnly="0" labelOnly="1" fieldPosition="0">
        <references count="1">
          <reference field="13" count="1">
            <x v="4"/>
          </reference>
        </references>
      </pivotArea>
    </format>
    <format dxfId="500">
      <pivotArea collapsedLevelsAreSubtotals="1" fieldPosition="0">
        <references count="1">
          <reference field="13" count="1">
            <x v="6"/>
          </reference>
        </references>
      </pivotArea>
    </format>
    <format dxfId="501">
      <pivotArea dataOnly="0" labelOnly="1" fieldPosition="0">
        <references count="1">
          <reference field="13" count="1">
            <x v="6"/>
          </reference>
        </references>
      </pivotArea>
    </format>
    <format dxfId="502">
      <pivotArea dataOnly="0" labelOnly="1" fieldPosition="0">
        <references count="1">
          <reference field="13" count="1">
            <x v="18"/>
          </reference>
        </references>
      </pivotArea>
    </format>
    <format dxfId="503">
      <pivotArea dataOnly="0" labelOnly="1" fieldPosition="0">
        <references count="1">
          <reference field="13" count="1">
            <x v="8"/>
          </reference>
        </references>
      </pivotArea>
    </format>
    <format dxfId="504">
      <pivotArea collapsedLevelsAreSubtotals="1" fieldPosition="0">
        <references count="1">
          <reference field="13" count="1">
            <x v="8"/>
          </reference>
        </references>
      </pivotArea>
    </format>
    <format dxfId="505">
      <pivotArea collapsedLevelsAreSubtotals="1" fieldPosition="0">
        <references count="1">
          <reference field="13" count="1">
            <x v="18"/>
          </reference>
        </references>
      </pivotArea>
    </format>
    <format dxfId="506">
      <pivotArea collapsedLevelsAreSubtotals="1" fieldPosition="0">
        <references count="1">
          <reference field="13" count="1">
            <x v="16"/>
          </reference>
        </references>
      </pivotArea>
    </format>
    <format dxfId="507">
      <pivotArea dataOnly="0" labelOnly="1" fieldPosition="0">
        <references count="1">
          <reference field="13" count="1">
            <x v="16"/>
          </reference>
        </references>
      </pivotArea>
    </format>
    <format dxfId="508">
      <pivotArea collapsedLevelsAreSubtotals="1" fieldPosition="0">
        <references count="1">
          <reference field="13" count="1">
            <x v="10"/>
          </reference>
        </references>
      </pivotArea>
    </format>
    <format dxfId="509">
      <pivotArea dataOnly="0" labelOnly="1" fieldPosition="0">
        <references count="1">
          <reference field="13" count="1">
            <x v="10"/>
          </reference>
        </references>
      </pivotArea>
    </format>
    <format dxfId="510">
      <pivotArea collapsedLevelsAreSubtotals="1" fieldPosition="0">
        <references count="1">
          <reference field="13" count="1">
            <x v="11"/>
          </reference>
        </references>
      </pivotArea>
    </format>
    <format dxfId="511">
      <pivotArea dataOnly="0" labelOnly="1" fieldPosition="0">
        <references count="1">
          <reference field="13" count="1">
            <x v="11"/>
          </reference>
        </references>
      </pivotArea>
    </format>
    <format dxfId="512">
      <pivotArea dataOnly="0" labelOnly="1" fieldPosition="0">
        <references count="1">
          <reference field="13" count="1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4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8" firstHeaderRow="1" firstDataRow="1" firstDataCol="1"/>
  <pivotFields count="63">
    <pivotField numFmtId="164" showAll="0"/>
    <pivotField showAll="0"/>
    <pivotField dataField="1" showAll="0"/>
    <pivotField axis="axisRow" showAll="0">
      <items count="10">
        <item x="7"/>
        <item x="0"/>
        <item x="1"/>
        <item x="5"/>
        <item x="3"/>
        <item x="4"/>
        <item x="2"/>
        <item x="8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9">
        <item x="20"/>
        <item x="7"/>
        <item x="4"/>
        <item x="24"/>
        <item x="19"/>
        <item x="15"/>
        <item x="5"/>
        <item x="26"/>
        <item x="12"/>
        <item x="10"/>
        <item x="2"/>
        <item x="9"/>
        <item x="21"/>
        <item x="0"/>
        <item x="1"/>
        <item x="17"/>
        <item x="16"/>
        <item x="6"/>
        <item x="22"/>
        <item x="27"/>
        <item x="25"/>
        <item x="23"/>
        <item x="14"/>
        <item x="3"/>
        <item x="11"/>
        <item x="13"/>
        <item x="18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13"/>
  </rowFields>
  <rowItems count="75">
    <i>
      <x/>
    </i>
    <i r="1">
      <x v="1"/>
    </i>
    <i r="1">
      <x v="8"/>
    </i>
    <i r="1">
      <x v="13"/>
    </i>
    <i r="1">
      <x v="14"/>
    </i>
    <i r="1">
      <x v="18"/>
    </i>
    <i r="1">
      <x v="23"/>
    </i>
    <i r="1">
      <x v="24"/>
    </i>
    <i r="1">
      <x v="2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2"/>
    </i>
    <i r="1">
      <x v="11"/>
    </i>
    <i r="1">
      <x v="13"/>
    </i>
    <i r="1">
      <x v="24"/>
    </i>
    <i>
      <x v="3"/>
    </i>
    <i r="1">
      <x v="7"/>
    </i>
    <i r="1">
      <x v="8"/>
    </i>
    <i r="1">
      <x v="13"/>
    </i>
    <i r="1">
      <x v="14"/>
    </i>
    <i r="1">
      <x v="16"/>
    </i>
    <i r="1">
      <x v="23"/>
    </i>
    <i r="1">
      <x v="27"/>
    </i>
    <i>
      <x v="4"/>
    </i>
    <i r="1">
      <x v="7"/>
    </i>
    <i r="1">
      <x v="13"/>
    </i>
    <i>
      <x v="5"/>
    </i>
    <i r="1">
      <x v="8"/>
    </i>
    <i r="1">
      <x v="13"/>
    </i>
    <i r="1">
      <x v="14"/>
    </i>
    <i r="1">
      <x v="16"/>
    </i>
    <i r="1">
      <x v="23"/>
    </i>
    <i r="1">
      <x v="27"/>
    </i>
    <i>
      <x v="6"/>
    </i>
    <i r="1">
      <x v="26"/>
    </i>
    <i>
      <x v="7"/>
    </i>
    <i r="1">
      <x v="1"/>
    </i>
    <i r="1">
      <x v="14"/>
    </i>
    <i r="1">
      <x v="17"/>
    </i>
    <i r="1">
      <x v="21"/>
    </i>
    <i r="1">
      <x v="27"/>
    </i>
    <i>
      <x v="8"/>
    </i>
    <i r="1">
      <x v="1"/>
    </i>
    <i r="1">
      <x v="13"/>
    </i>
    <i r="1">
      <x v="14"/>
    </i>
    <i r="1">
      <x v="19"/>
    </i>
    <i r="1">
      <x v="23"/>
    </i>
    <i r="1">
      <x v="24"/>
    </i>
    <i r="1">
      <x v="27"/>
    </i>
    <i t="grand">
      <x/>
    </i>
  </rowItems>
  <colItems count="1">
    <i/>
  </colItems>
  <dataFields count="1">
    <dataField name="Count of Name " fld="2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5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73:C217" firstHeaderRow="2" firstDataRow="2" firstDataCol="2" rowPageCount="1" colPageCount="1"/>
  <pivotFields count="57">
    <pivotField compact="0" outline="0" showAll="0"/>
    <pivotField compact="0" outline="0" showAll="0"/>
    <pivotField dataField="1" compact="0" outline="0" showAll="0"/>
    <pivotField compact="0" outline="0" showAll="0" defaultSubtotal="0">
      <items count="10">
        <item x="8"/>
        <item x="0"/>
        <item x="1"/>
        <item x="6"/>
        <item x="3"/>
        <item x="4"/>
        <item x="2"/>
        <item x="9"/>
        <item x="7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9">
        <item h="1" x="19"/>
        <item h="1" x="6"/>
        <item h="1" x="4"/>
        <item h="1" x="24"/>
        <item h="1" x="23"/>
        <item h="1" x="14"/>
        <item h="1" x="5"/>
        <item h="1" m="1" x="27"/>
        <item h="1" x="11"/>
        <item h="1" x="9"/>
        <item h="1" x="2"/>
        <item h="1" x="8"/>
        <item h="1" x="20"/>
        <item h="1" x="0"/>
        <item h="1" x="1"/>
        <item h="1" x="16"/>
        <item h="1" x="15"/>
        <item h="1" x="12"/>
        <item h="1" x="21"/>
        <item h="1" x="25"/>
        <item h="1" x="22"/>
        <item h="1" x="13"/>
        <item h="1" x="3"/>
        <item x="10"/>
        <item h="1" x="26"/>
        <item h="1" x="17"/>
        <item h="1" x="7"/>
        <item h="1" x="1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00">
        <item x="68"/>
        <item x="56"/>
        <item x="8"/>
        <item x="40"/>
        <item x="6"/>
        <item x="62"/>
        <item x="55"/>
        <item x="54"/>
        <item x="57"/>
        <item x="39"/>
        <item x="7"/>
        <item x="42"/>
        <item x="23"/>
        <item x="52"/>
        <item m="1" x="99"/>
        <item x="27"/>
        <item x="13"/>
        <item x="12"/>
        <item x="2"/>
        <item x="90"/>
        <item x="70"/>
        <item x="11"/>
        <item x="74"/>
        <item x="58"/>
        <item x="30"/>
        <item x="50"/>
        <item x="20"/>
        <item x="47"/>
        <item x="17"/>
        <item x="45"/>
        <item m="1" x="95"/>
        <item x="94"/>
        <item m="1" x="96"/>
        <item x="1"/>
        <item x="25"/>
        <item x="49"/>
        <item x="44"/>
        <item x="3"/>
        <item x="33"/>
        <item x="29"/>
        <item m="1" x="98"/>
        <item x="59"/>
        <item x="83"/>
        <item x="63"/>
        <item x="91"/>
        <item x="28"/>
        <item x="69"/>
        <item x="37"/>
        <item x="60"/>
        <item x="19"/>
        <item x="38"/>
        <item x="32"/>
        <item x="35"/>
        <item x="43"/>
        <item x="87"/>
        <item x="41"/>
        <item x="4"/>
        <item x="5"/>
        <item x="78"/>
        <item x="36"/>
        <item x="84"/>
        <item x="82"/>
        <item x="22"/>
        <item x="73"/>
        <item m="1" x="97"/>
        <item x="48"/>
        <item x="71"/>
        <item x="89"/>
        <item x="64"/>
        <item x="21"/>
        <item x="24"/>
        <item x="72"/>
        <item x="34"/>
        <item x="67"/>
        <item x="85"/>
        <item x="53"/>
        <item x="16"/>
        <item x="10"/>
        <item x="88"/>
        <item x="77"/>
        <item x="46"/>
        <item x="9"/>
        <item x="15"/>
        <item x="0"/>
        <item x="14"/>
        <item x="18"/>
        <item x="93"/>
        <item x="65"/>
        <item x="66"/>
        <item x="76"/>
        <item x="79"/>
        <item x="80"/>
        <item x="81"/>
        <item x="86"/>
        <item x="26"/>
        <item x="51"/>
        <item x="75"/>
        <item x="31"/>
        <item x="61"/>
        <item x="92"/>
      </items>
    </pivotField>
    <pivotField axis="axisRow" compact="0" outline="0" showAll="0">
      <items count="125">
        <item x="8"/>
        <item x="21"/>
        <item x="27"/>
        <item x="31"/>
        <item x="53"/>
        <item x="75"/>
        <item x="0"/>
        <item m="1" x="121"/>
        <item m="1" x="122"/>
        <item x="72"/>
        <item x="71"/>
        <item x="52"/>
        <item x="7"/>
        <item x="57"/>
        <item x="29"/>
        <item x="63"/>
        <item x="67"/>
        <item x="34"/>
        <item x="14"/>
        <item x="77"/>
        <item x="13"/>
        <item x="45"/>
        <item x="93"/>
        <item x="12"/>
        <item x="2"/>
        <item x="76"/>
        <item x="110"/>
        <item x="49"/>
        <item x="86"/>
        <item x="38"/>
        <item x="37"/>
        <item x="66"/>
        <item x="22"/>
        <item x="44"/>
        <item x="11"/>
        <item x="1"/>
        <item x="111"/>
        <item x="68"/>
        <item x="50"/>
        <item x="19"/>
        <item m="1" x="116"/>
        <item m="1" x="123"/>
        <item x="65"/>
        <item x="96"/>
        <item x="59"/>
        <item x="3"/>
        <item x="39"/>
        <item x="36"/>
        <item x="112"/>
        <item x="78"/>
        <item m="1" x="120"/>
        <item x="69"/>
        <item x="48"/>
        <item x="58"/>
        <item m="1" x="117"/>
        <item x="30"/>
        <item x="35"/>
        <item x="23"/>
        <item x="81"/>
        <item x="95"/>
        <item x="70"/>
        <item x="85"/>
        <item x="24"/>
        <item x="46"/>
        <item x="33"/>
        <item x="41"/>
        <item x="5"/>
        <item x="92"/>
        <item x="56"/>
        <item x="4"/>
        <item x="42"/>
        <item x="104"/>
        <item x="28"/>
        <item x="84"/>
        <item m="1" x="114"/>
        <item m="1" x="119"/>
        <item x="55"/>
        <item m="1" x="118"/>
        <item m="1" x="113"/>
        <item x="47"/>
        <item x="88"/>
        <item x="26"/>
        <item x="51"/>
        <item m="1" x="115"/>
        <item x="40"/>
        <item x="87"/>
        <item x="73"/>
        <item x="79"/>
        <item x="60"/>
        <item x="18"/>
        <item x="43"/>
        <item x="10"/>
        <item x="99"/>
        <item x="61"/>
        <item x="83"/>
        <item x="16"/>
        <item x="74"/>
        <item x="64"/>
        <item x="32"/>
        <item x="17"/>
        <item x="15"/>
        <item x="82"/>
        <item x="6"/>
        <item x="20"/>
        <item x="25"/>
        <item x="62"/>
        <item x="89"/>
        <item x="90"/>
        <item x="94"/>
        <item x="98"/>
        <item x="100"/>
        <item x="101"/>
        <item x="102"/>
        <item x="106"/>
        <item x="9"/>
        <item x="54"/>
        <item x="107"/>
        <item x="103"/>
        <item x="105"/>
        <item x="97"/>
        <item x="80"/>
        <item x="108"/>
        <item x="109"/>
        <item x="9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8"/>
    <field x="19"/>
  </rowFields>
  <rowItems count="43">
    <i>
      <x v="3"/>
      <x v="4"/>
    </i>
    <i>
      <x v="12"/>
      <x v="14"/>
    </i>
    <i>
      <x v="13"/>
      <x v="16"/>
    </i>
    <i>
      <x v="24"/>
      <x v="30"/>
    </i>
    <i>
      <x v="25"/>
      <x v="31"/>
    </i>
    <i>
      <x v="34"/>
      <x v="39"/>
    </i>
    <i>
      <x v="38"/>
      <x v="46"/>
    </i>
    <i>
      <x v="45"/>
      <x v="39"/>
    </i>
    <i r="1">
      <x v="56"/>
    </i>
    <i r="1">
      <x v="57"/>
    </i>
    <i r="1">
      <x v="59"/>
    </i>
    <i>
      <x v="47"/>
      <x v="4"/>
    </i>
    <i r="1">
      <x v="57"/>
    </i>
    <i r="1">
      <x v="60"/>
    </i>
    <i r="1">
      <x v="64"/>
    </i>
    <i>
      <x v="50"/>
      <x v="63"/>
    </i>
    <i>
      <x v="51"/>
      <x v="64"/>
    </i>
    <i>
      <x v="67"/>
      <x v="121"/>
    </i>
    <i>
      <x v="68"/>
      <x v="80"/>
    </i>
    <i>
      <x v="69"/>
      <x v="59"/>
    </i>
    <i r="1">
      <x v="81"/>
    </i>
    <i>
      <x v="70"/>
      <x v="15"/>
    </i>
    <i r="1">
      <x v="27"/>
    </i>
    <i r="1">
      <x v="52"/>
    </i>
    <i r="1">
      <x v="55"/>
    </i>
    <i r="1">
      <x v="73"/>
    </i>
    <i r="1">
      <x v="79"/>
    </i>
    <i r="1">
      <x v="82"/>
    </i>
    <i>
      <x v="76"/>
      <x v="4"/>
    </i>
    <i r="1">
      <x v="39"/>
    </i>
    <i r="1">
      <x v="57"/>
    </i>
    <i r="1">
      <x v="64"/>
    </i>
    <i r="1">
      <x v="89"/>
    </i>
    <i>
      <x v="82"/>
      <x v="95"/>
    </i>
    <i>
      <x v="84"/>
      <x v="4"/>
    </i>
    <i r="1">
      <x v="39"/>
    </i>
    <i r="1">
      <x v="57"/>
    </i>
    <i r="1">
      <x v="64"/>
    </i>
    <i r="1">
      <x v="100"/>
    </i>
    <i>
      <x v="97"/>
      <x v="29"/>
    </i>
    <i>
      <x v="98"/>
      <x v="120"/>
    </i>
    <i>
      <x v="99"/>
      <x v="122"/>
    </i>
    <i t="grand">
      <x/>
    </i>
  </rowItems>
  <colItems count="1">
    <i/>
  </colItems>
  <pageFields count="1">
    <pageField fld="10" hier="-1"/>
  </pageFields>
  <dataFields count="1">
    <dataField name="Count of Name " fld="2" subtotal="count" baseField="0" baseItem="0"/>
  </dataFields>
  <formats count="104">
    <format dxfId="392">
      <pivotArea outline="0" fieldPosition="0">
        <references count="2">
          <reference field="18" count="1" selected="0">
            <x v="17"/>
          </reference>
          <reference field="19" count="1" selected="0">
            <x v="20"/>
          </reference>
        </references>
      </pivotArea>
    </format>
    <format dxfId="393">
      <pivotArea dataOnly="0" labelOnly="1" outline="0" fieldPosition="0">
        <references count="1">
          <reference field="18" count="1">
            <x v="17"/>
          </reference>
        </references>
      </pivotArea>
    </format>
    <format dxfId="394">
      <pivotArea dataOnly="0" labelOnly="1" outline="0" fieldPosition="0">
        <references count="2">
          <reference field="18" count="1" selected="0">
            <x v="17"/>
          </reference>
          <reference field="19" count="1">
            <x v="20"/>
          </reference>
        </references>
      </pivotArea>
    </format>
    <format dxfId="395">
      <pivotArea outline="0" fieldPosition="0">
        <references count="2">
          <reference field="18" count="1" selected="0">
            <x v="81"/>
          </reference>
          <reference field="19" count="1" selected="0">
            <x v="41"/>
          </reference>
        </references>
      </pivotArea>
    </format>
    <format dxfId="396">
      <pivotArea dataOnly="0" labelOnly="1" outline="0" fieldPosition="0">
        <references count="2">
          <reference field="18" count="1" selected="0">
            <x v="81"/>
          </reference>
          <reference field="19" count="1">
            <x v="41"/>
          </reference>
        </references>
      </pivotArea>
    </format>
    <format dxfId="397">
      <pivotArea outline="0" fieldPosition="0">
        <references count="2">
          <reference field="18" count="1" selected="0">
            <x v="7"/>
          </reference>
          <reference field="19" count="1" selected="0">
            <x v="10"/>
          </reference>
        </references>
      </pivotArea>
    </format>
    <format dxfId="398">
      <pivotArea dataOnly="0" labelOnly="1" outline="0" fieldPosition="0">
        <references count="1">
          <reference field="18" count="1">
            <x v="7"/>
          </reference>
        </references>
      </pivotArea>
    </format>
    <format dxfId="399">
      <pivotArea dataOnly="0" labelOnly="1" outline="0" fieldPosition="0">
        <references count="2">
          <reference field="18" count="1" selected="0">
            <x v="7"/>
          </reference>
          <reference field="19" count="1">
            <x v="10"/>
          </reference>
        </references>
      </pivotArea>
    </format>
    <format dxfId="400">
      <pivotArea outline="0" fieldPosition="0">
        <references count="2">
          <reference field="18" count="1" selected="0">
            <x v="26"/>
          </reference>
          <reference field="19" count="1" selected="0">
            <x v="104"/>
          </reference>
        </references>
      </pivotArea>
    </format>
    <format dxfId="401">
      <pivotArea dataOnly="0" labelOnly="1" outline="0" fieldPosition="0">
        <references count="1">
          <reference field="18" count="1">
            <x v="26"/>
          </reference>
        </references>
      </pivotArea>
    </format>
    <format dxfId="402">
      <pivotArea dataOnly="0" labelOnly="1" outline="0" fieldPosition="0">
        <references count="2">
          <reference field="18" count="1" selected="0">
            <x v="26"/>
          </reference>
          <reference field="19" count="1">
            <x v="104"/>
          </reference>
        </references>
      </pivotArea>
    </format>
    <format dxfId="403">
      <pivotArea outline="0" fieldPosition="0">
        <references count="2">
          <reference field="18" count="1" selected="0">
            <x v="88"/>
          </reference>
          <reference field="19" count="1" selected="0">
            <x v="107"/>
          </reference>
        </references>
      </pivotArea>
    </format>
    <format dxfId="404">
      <pivotArea dataOnly="0" labelOnly="1" outline="0" fieldPosition="0">
        <references count="1">
          <reference field="18" count="1">
            <x v="88"/>
          </reference>
        </references>
      </pivotArea>
    </format>
    <format dxfId="405">
      <pivotArea dataOnly="0" labelOnly="1" outline="0" fieldPosition="0">
        <references count="2">
          <reference field="18" count="1" selected="0">
            <x v="88"/>
          </reference>
          <reference field="19" count="1">
            <x v="107"/>
          </reference>
        </references>
      </pivotArea>
    </format>
    <format dxfId="406">
      <pivotArea outline="0" fieldPosition="0">
        <references count="2">
          <reference field="18" count="1" selected="0">
            <x v="89"/>
          </reference>
          <reference field="19" count="1" selected="0">
            <x v="109"/>
          </reference>
        </references>
      </pivotArea>
    </format>
    <format dxfId="407">
      <pivotArea dataOnly="0" labelOnly="1" outline="0" fieldPosition="0">
        <references count="1">
          <reference field="18" count="1">
            <x v="89"/>
          </reference>
        </references>
      </pivotArea>
    </format>
    <format dxfId="408">
      <pivotArea dataOnly="0" labelOnly="1" outline="0" fieldPosition="0">
        <references count="2">
          <reference field="18" count="1" selected="0">
            <x v="89"/>
          </reference>
          <reference field="19" count="1">
            <x v="109"/>
          </reference>
        </references>
      </pivotArea>
    </format>
    <format dxfId="409">
      <pivotArea outline="0" fieldPosition="0">
        <references count="2">
          <reference field="18" count="1" selected="0">
            <x v="81"/>
          </reference>
          <reference field="19" count="1" selected="0">
            <x v="28"/>
          </reference>
        </references>
      </pivotArea>
    </format>
    <format dxfId="410">
      <pivotArea dataOnly="0" labelOnly="1" outline="0" fieldPosition="0">
        <references count="2">
          <reference field="18" count="1" selected="0">
            <x v="81"/>
          </reference>
          <reference field="19" count="1">
            <x v="28"/>
          </reference>
        </references>
      </pivotArea>
    </format>
    <format dxfId="411">
      <pivotArea outline="0" collapsedLevelsAreSubtotals="1" fieldPosition="0"/>
    </format>
    <format dxfId="412">
      <pivotArea type="topRight" dataOnly="0" labelOnly="1" outline="0" fieldPosition="0"/>
    </format>
    <format dxfId="413">
      <pivotArea outline="0" fieldPosition="0">
        <references count="2">
          <reference field="18" count="1" selected="0">
            <x v="81"/>
          </reference>
          <reference field="19" count="1" selected="0">
            <x v="115"/>
          </reference>
        </references>
      </pivotArea>
    </format>
    <format dxfId="414">
      <pivotArea dataOnly="0" labelOnly="1" outline="0" fieldPosition="0">
        <references count="2">
          <reference field="18" count="1" selected="0">
            <x v="81"/>
          </reference>
          <reference field="19" count="1">
            <x v="115"/>
          </reference>
        </references>
      </pivotArea>
    </format>
    <format dxfId="415">
      <pivotArea outline="0" fieldPosition="0">
        <references count="2">
          <reference field="18" count="1" selected="0">
            <x v="81"/>
          </reference>
          <reference field="19" count="1" selected="0">
            <x v="94"/>
          </reference>
        </references>
      </pivotArea>
    </format>
    <format dxfId="416">
      <pivotArea dataOnly="0" labelOnly="1" outline="0" fieldPosition="0">
        <references count="2">
          <reference field="18" count="1" selected="0">
            <x v="81"/>
          </reference>
          <reference field="19" count="1">
            <x v="94"/>
          </reference>
        </references>
      </pivotArea>
    </format>
    <format dxfId="417">
      <pivotArea outline="0" fieldPosition="0">
        <references count="2">
          <reference field="18" count="1" selected="0">
            <x v="37"/>
          </reference>
          <reference field="19" count="1" selected="0">
            <x v="45"/>
          </reference>
        </references>
      </pivotArea>
    </format>
    <format dxfId="418">
      <pivotArea dataOnly="0" labelOnly="1" outline="0" fieldPosition="0">
        <references count="1">
          <reference field="18" count="1">
            <x v="37"/>
          </reference>
        </references>
      </pivotArea>
    </format>
    <format dxfId="419">
      <pivotArea dataOnly="0" labelOnly="1" outline="0" fieldPosition="0">
        <references count="2">
          <reference field="18" count="1" selected="0">
            <x v="37"/>
          </reference>
          <reference field="19" count="1">
            <x v="45"/>
          </reference>
        </references>
      </pivotArea>
    </format>
    <format dxfId="420">
      <pivotArea outline="0" fieldPosition="0">
        <references count="2">
          <reference field="18" count="1" selected="0">
            <x v="27"/>
          </reference>
          <reference field="19" count="1" selected="0">
            <x v="105"/>
          </reference>
        </references>
      </pivotArea>
    </format>
    <format dxfId="421">
      <pivotArea dataOnly="0" labelOnly="1" outline="0" fieldPosition="0">
        <references count="1">
          <reference field="18" count="1">
            <x v="27"/>
          </reference>
        </references>
      </pivotArea>
    </format>
    <format dxfId="422">
      <pivotArea dataOnly="0" labelOnly="1" outline="0" fieldPosition="0">
        <references count="2">
          <reference field="18" count="1" selected="0">
            <x v="27"/>
          </reference>
          <reference field="19" count="1">
            <x v="105"/>
          </reference>
        </references>
      </pivotArea>
    </format>
    <format dxfId="423">
      <pivotArea outline="0" fieldPosition="0">
        <references count="2">
          <reference field="18" count="1" selected="0">
            <x v="28"/>
          </reference>
          <reference field="19" count="1" selected="0">
            <x v="103"/>
          </reference>
        </references>
      </pivotArea>
    </format>
    <format dxfId="424">
      <pivotArea dataOnly="0" labelOnly="1" outline="0" fieldPosition="0">
        <references count="1">
          <reference field="18" count="1">
            <x v="28"/>
          </reference>
        </references>
      </pivotArea>
    </format>
    <format dxfId="425">
      <pivotArea dataOnly="0" labelOnly="1" outline="0" fieldPosition="0">
        <references count="2">
          <reference field="18" count="1" selected="0">
            <x v="28"/>
          </reference>
          <reference field="19" count="1">
            <x v="103"/>
          </reference>
        </references>
      </pivotArea>
    </format>
    <format dxfId="426">
      <pivotArea outline="0" fieldPosition="0">
        <references count="2">
          <reference field="18" count="2" selected="0">
            <x v="92"/>
            <x v="93"/>
          </reference>
          <reference field="19" count="2" selected="0">
            <x v="112"/>
            <x v="113"/>
          </reference>
        </references>
      </pivotArea>
    </format>
    <format dxfId="427">
      <pivotArea dataOnly="0" labelOnly="1" outline="0" fieldPosition="0">
        <references count="1">
          <reference field="18" count="2">
            <x v="92"/>
            <x v="93"/>
          </reference>
        </references>
      </pivotArea>
    </format>
    <format dxfId="428">
      <pivotArea dataOnly="0" labelOnly="1" outline="0" fieldPosition="0">
        <references count="2">
          <reference field="18" count="1" selected="0">
            <x v="92"/>
          </reference>
          <reference field="19" count="1">
            <x v="112"/>
          </reference>
        </references>
      </pivotArea>
    </format>
    <format dxfId="429">
      <pivotArea dataOnly="0" labelOnly="1" outline="0" fieldPosition="0">
        <references count="2">
          <reference field="18" count="1" selected="0">
            <x v="93"/>
          </reference>
          <reference field="19" count="1">
            <x v="113"/>
          </reference>
        </references>
      </pivotArea>
    </format>
    <format dxfId="430">
      <pivotArea outline="0" fieldPosition="0">
        <references count="2">
          <reference field="18" count="1" selected="0">
            <x v="94"/>
          </reference>
          <reference field="19" count="2" selected="0">
            <x v="33"/>
            <x v="76"/>
          </reference>
        </references>
      </pivotArea>
    </format>
    <format dxfId="431">
      <pivotArea dataOnly="0" labelOnly="1" outline="0" fieldPosition="0">
        <references count="1">
          <reference field="18" count="1">
            <x v="94"/>
          </reference>
        </references>
      </pivotArea>
    </format>
    <format dxfId="432">
      <pivotArea dataOnly="0" labelOnly="1" outline="0" fieldPosition="0">
        <references count="2">
          <reference field="18" count="1" selected="0">
            <x v="94"/>
          </reference>
          <reference field="19" count="2">
            <x v="33"/>
            <x v="76"/>
          </reference>
        </references>
      </pivotArea>
    </format>
    <format dxfId="433">
      <pivotArea outline="0" fieldPosition="0">
        <references count="2">
          <reference field="18" count="1" selected="0">
            <x v="11"/>
          </reference>
          <reference field="19" count="1" selected="0">
            <x v="13"/>
          </reference>
        </references>
      </pivotArea>
    </format>
    <format dxfId="434">
      <pivotArea dataOnly="0" labelOnly="1" outline="0" fieldPosition="0">
        <references count="1">
          <reference field="18" count="1">
            <x v="11"/>
          </reference>
        </references>
      </pivotArea>
    </format>
    <format dxfId="435">
      <pivotArea dataOnly="0" labelOnly="1" outline="0" fieldPosition="0">
        <references count="2">
          <reference field="18" count="1" selected="0">
            <x v="11"/>
          </reference>
          <reference field="19" count="1">
            <x v="13"/>
          </reference>
        </references>
      </pivotArea>
    </format>
    <format dxfId="436">
      <pivotArea outline="0" fieldPosition="0">
        <references count="2">
          <reference field="18" count="1" selected="0">
            <x v="37"/>
          </reference>
          <reference field="19" count="1" selected="0">
            <x v="118"/>
          </reference>
        </references>
      </pivotArea>
    </format>
    <format dxfId="437">
      <pivotArea dataOnly="0" labelOnly="1" outline="0" fieldPosition="0">
        <references count="2">
          <reference field="18" count="1" selected="0">
            <x v="37"/>
          </reference>
          <reference field="19" count="1">
            <x v="118"/>
          </reference>
        </references>
      </pivotArea>
    </format>
    <format dxfId="438">
      <pivotArea outline="0" fieldPosition="0">
        <references count="2">
          <reference field="18" count="2" selected="0">
            <x v="83"/>
            <x v="85"/>
          </reference>
          <reference field="19" count="11" selected="0">
            <x v="1"/>
            <x v="2"/>
            <x v="6"/>
            <x v="32"/>
            <x v="39"/>
            <x v="86"/>
            <x v="98"/>
            <x v="99"/>
            <x v="101"/>
            <x v="108"/>
            <x v="116"/>
          </reference>
        </references>
      </pivotArea>
    </format>
    <format dxfId="439">
      <pivotArea dataOnly="0" labelOnly="1" outline="0" fieldPosition="0">
        <references count="1">
          <reference field="18" count="2">
            <x v="83"/>
            <x v="85"/>
          </reference>
        </references>
      </pivotArea>
    </format>
    <format dxfId="440">
      <pivotArea dataOnly="0" labelOnly="1" outline="0" fieldPosition="0">
        <references count="2">
          <reference field="18" count="1" selected="0">
            <x v="83"/>
          </reference>
          <reference field="19" count="3">
            <x v="6"/>
            <x v="98"/>
            <x v="99"/>
          </reference>
        </references>
      </pivotArea>
    </format>
    <format dxfId="441">
      <pivotArea dataOnly="0" labelOnly="1" outline="0" fieldPosition="0">
        <references count="2">
          <reference field="18" count="1" selected="0">
            <x v="85"/>
          </reference>
          <reference field="19" count="8">
            <x v="1"/>
            <x v="2"/>
            <x v="32"/>
            <x v="39"/>
            <x v="86"/>
            <x v="101"/>
            <x v="108"/>
            <x v="116"/>
          </reference>
        </references>
      </pivotArea>
    </format>
    <format dxfId="442">
      <pivotArea outline="0" fieldPosition="0">
        <references count="2">
          <reference field="18" count="1" selected="0">
            <x v="92"/>
          </reference>
          <reference field="19" count="1" selected="0">
            <x v="117"/>
          </reference>
        </references>
      </pivotArea>
    </format>
    <format dxfId="443">
      <pivotArea dataOnly="0" labelOnly="1" outline="0" fieldPosition="0">
        <references count="2">
          <reference field="18" count="1" selected="0">
            <x v="92"/>
          </reference>
          <reference field="19" count="1">
            <x v="117"/>
          </reference>
        </references>
      </pivotArea>
    </format>
    <format dxfId="444">
      <pivotArea outline="0" collapsedLevelsAreSubtotals="1" fieldPosition="0"/>
    </format>
    <format dxfId="445">
      <pivotArea field="18" type="button" dataOnly="0" labelOnly="1" outline="0" axis="axisRow" fieldPosition="0"/>
    </format>
    <format dxfId="446">
      <pivotArea field="19" type="button" dataOnly="0" labelOnly="1" outline="0" axis="axisRow" fieldPosition="1"/>
    </format>
    <format dxfId="447">
      <pivotArea dataOnly="0" labelOnly="1" outline="0" fieldPosition="0">
        <references count="1">
          <reference field="18" count="19">
            <x v="7"/>
            <x v="11"/>
            <x v="17"/>
            <x v="26"/>
            <x v="27"/>
            <x v="28"/>
            <x v="37"/>
            <x v="49"/>
            <x v="81"/>
            <x v="83"/>
            <x v="85"/>
            <x v="87"/>
            <x v="88"/>
            <x v="89"/>
            <x v="90"/>
            <x v="91"/>
            <x v="92"/>
            <x v="93"/>
            <x v="94"/>
          </reference>
        </references>
      </pivotArea>
    </format>
    <format dxfId="448">
      <pivotArea dataOnly="0" labelOnly="1" grandRow="1" outline="0" fieldPosition="0"/>
    </format>
    <format dxfId="449">
      <pivotArea dataOnly="0" labelOnly="1" outline="0" fieldPosition="0">
        <references count="2">
          <reference field="18" count="1" selected="0">
            <x v="7"/>
          </reference>
          <reference field="19" count="1">
            <x v="10"/>
          </reference>
        </references>
      </pivotArea>
    </format>
    <format dxfId="450">
      <pivotArea dataOnly="0" labelOnly="1" outline="0" fieldPosition="0">
        <references count="2">
          <reference field="18" count="1" selected="0">
            <x v="11"/>
          </reference>
          <reference field="19" count="1">
            <x v="13"/>
          </reference>
        </references>
      </pivotArea>
    </format>
    <format dxfId="451">
      <pivotArea dataOnly="0" labelOnly="1" outline="0" fieldPosition="0">
        <references count="2">
          <reference field="18" count="1" selected="0">
            <x v="17"/>
          </reference>
          <reference field="19" count="1">
            <x v="20"/>
          </reference>
        </references>
      </pivotArea>
    </format>
    <format dxfId="452">
      <pivotArea dataOnly="0" labelOnly="1" outline="0" fieldPosition="0">
        <references count="2">
          <reference field="18" count="1" selected="0">
            <x v="26"/>
          </reference>
          <reference field="19" count="1">
            <x v="104"/>
          </reference>
        </references>
      </pivotArea>
    </format>
    <format dxfId="453">
      <pivotArea dataOnly="0" labelOnly="1" outline="0" fieldPosition="0">
        <references count="2">
          <reference field="18" count="1" selected="0">
            <x v="27"/>
          </reference>
          <reference field="19" count="1">
            <x v="105"/>
          </reference>
        </references>
      </pivotArea>
    </format>
    <format dxfId="454">
      <pivotArea dataOnly="0" labelOnly="1" outline="0" fieldPosition="0">
        <references count="2">
          <reference field="18" count="1" selected="0">
            <x v="28"/>
          </reference>
          <reference field="19" count="1">
            <x v="103"/>
          </reference>
        </references>
      </pivotArea>
    </format>
    <format dxfId="455">
      <pivotArea dataOnly="0" labelOnly="1" outline="0" fieldPosition="0">
        <references count="2">
          <reference field="18" count="1" selected="0">
            <x v="37"/>
          </reference>
          <reference field="19" count="2">
            <x v="45"/>
            <x v="118"/>
          </reference>
        </references>
      </pivotArea>
    </format>
    <format dxfId="456">
      <pivotArea dataOnly="0" labelOnly="1" outline="0" fieldPosition="0">
        <references count="2">
          <reference field="18" count="1" selected="0">
            <x v="49"/>
          </reference>
          <reference field="19" count="1">
            <x v="62"/>
          </reference>
        </references>
      </pivotArea>
    </format>
    <format dxfId="457">
      <pivotArea dataOnly="0" labelOnly="1" outline="0" fieldPosition="0">
        <references count="2">
          <reference field="18" count="1" selected="0">
            <x v="81"/>
          </reference>
          <reference field="19" count="4">
            <x v="28"/>
            <x v="94"/>
            <x v="114"/>
            <x v="115"/>
          </reference>
        </references>
      </pivotArea>
    </format>
    <format dxfId="458">
      <pivotArea dataOnly="0" labelOnly="1" outline="0" fieldPosition="0">
        <references count="2">
          <reference field="18" count="1" selected="0">
            <x v="83"/>
          </reference>
          <reference field="19" count="3">
            <x v="6"/>
            <x v="98"/>
            <x v="99"/>
          </reference>
        </references>
      </pivotArea>
    </format>
    <format dxfId="459">
      <pivotArea dataOnly="0" labelOnly="1" outline="0" fieldPosition="0">
        <references count="2">
          <reference field="18" count="1" selected="0">
            <x v="85"/>
          </reference>
          <reference field="19" count="8">
            <x v="1"/>
            <x v="2"/>
            <x v="32"/>
            <x v="39"/>
            <x v="86"/>
            <x v="101"/>
            <x v="108"/>
            <x v="116"/>
          </reference>
        </references>
      </pivotArea>
    </format>
    <format dxfId="460">
      <pivotArea dataOnly="0" labelOnly="1" outline="0" fieldPosition="0">
        <references count="2">
          <reference field="18" count="1" selected="0">
            <x v="87"/>
          </reference>
          <reference field="19" count="1">
            <x v="106"/>
          </reference>
        </references>
      </pivotArea>
    </format>
    <format dxfId="461">
      <pivotArea dataOnly="0" labelOnly="1" outline="0" fieldPosition="0">
        <references count="2">
          <reference field="18" count="1" selected="0">
            <x v="88"/>
          </reference>
          <reference field="19" count="1">
            <x v="107"/>
          </reference>
        </references>
      </pivotArea>
    </format>
    <format dxfId="462">
      <pivotArea dataOnly="0" labelOnly="1" outline="0" fieldPosition="0">
        <references count="2">
          <reference field="18" count="1" selected="0">
            <x v="89"/>
          </reference>
          <reference field="19" count="1">
            <x v="109"/>
          </reference>
        </references>
      </pivotArea>
    </format>
    <format dxfId="463">
      <pivotArea dataOnly="0" labelOnly="1" outline="0" fieldPosition="0">
        <references count="2">
          <reference field="18" count="1" selected="0">
            <x v="90"/>
          </reference>
          <reference field="19" count="1">
            <x v="110"/>
          </reference>
        </references>
      </pivotArea>
    </format>
    <format dxfId="464">
      <pivotArea dataOnly="0" labelOnly="1" outline="0" fieldPosition="0">
        <references count="2">
          <reference field="18" count="1" selected="0">
            <x v="91"/>
          </reference>
          <reference field="19" count="1">
            <x v="111"/>
          </reference>
        </references>
      </pivotArea>
    </format>
    <format dxfId="465">
      <pivotArea dataOnly="0" labelOnly="1" outline="0" fieldPosition="0">
        <references count="2">
          <reference field="18" count="1" selected="0">
            <x v="92"/>
          </reference>
          <reference field="19" count="2">
            <x v="112"/>
            <x v="117"/>
          </reference>
        </references>
      </pivotArea>
    </format>
    <format dxfId="466">
      <pivotArea dataOnly="0" labelOnly="1" outline="0" fieldPosition="0">
        <references count="2">
          <reference field="18" count="1" selected="0">
            <x v="93"/>
          </reference>
          <reference field="19" count="1">
            <x v="113"/>
          </reference>
        </references>
      </pivotArea>
    </format>
    <format dxfId="467">
      <pivotArea dataOnly="0" labelOnly="1" outline="0" fieldPosition="0">
        <references count="2">
          <reference field="18" count="1" selected="0">
            <x v="94"/>
          </reference>
          <reference field="19" count="3">
            <x v="33"/>
            <x v="76"/>
            <x v="99"/>
          </reference>
        </references>
      </pivotArea>
    </format>
    <format dxfId="468">
      <pivotArea field="3" type="button" dataOnly="0" labelOnly="1" outline="0"/>
    </format>
    <format dxfId="469">
      <pivotArea dataOnly="0" labelOnly="1" outline="0" fieldPosition="0">
        <references count="1">
          <reference field="18" count="19">
            <x v="7"/>
            <x v="11"/>
            <x v="17"/>
            <x v="26"/>
            <x v="27"/>
            <x v="28"/>
            <x v="37"/>
            <x v="49"/>
            <x v="81"/>
            <x v="83"/>
            <x v="85"/>
            <x v="87"/>
            <x v="88"/>
            <x v="89"/>
            <x v="90"/>
            <x v="91"/>
            <x v="92"/>
            <x v="93"/>
            <x v="94"/>
          </reference>
        </references>
      </pivotArea>
    </format>
    <format dxfId="470">
      <pivotArea outline="0" collapsedLevelsAreSubtotals="1" fieldPosition="0"/>
    </format>
    <format dxfId="471">
      <pivotArea field="18" type="button" dataOnly="0" labelOnly="1" outline="0" axis="axisRow" fieldPosition="0"/>
    </format>
    <format dxfId="472">
      <pivotArea field="19" type="button" dataOnly="0" labelOnly="1" outline="0" axis="axisRow" fieldPosition="1"/>
    </format>
    <format dxfId="473">
      <pivotArea dataOnly="0" labelOnly="1" outline="0" fieldPosition="0">
        <references count="1">
          <reference field="18" count="21">
            <x v="3"/>
            <x v="12"/>
            <x v="13"/>
            <x v="24"/>
            <x v="25"/>
            <x v="34"/>
            <x v="38"/>
            <x v="45"/>
            <x v="47"/>
            <x v="50"/>
            <x v="51"/>
            <x v="67"/>
            <x v="68"/>
            <x v="69"/>
            <x v="70"/>
            <x v="76"/>
            <x v="82"/>
            <x v="84"/>
            <x v="97"/>
            <x v="98"/>
            <x v="99"/>
          </reference>
        </references>
      </pivotArea>
    </format>
    <format dxfId="474">
      <pivotArea dataOnly="0" labelOnly="1" grandRow="1" outline="0" fieldPosition="0"/>
    </format>
    <format dxfId="475">
      <pivotArea dataOnly="0" labelOnly="1" outline="0" fieldPosition="0">
        <references count="2">
          <reference field="18" count="1" selected="0">
            <x v="3"/>
          </reference>
          <reference field="19" count="1">
            <x v="4"/>
          </reference>
        </references>
      </pivotArea>
    </format>
    <format dxfId="476">
      <pivotArea dataOnly="0" labelOnly="1" outline="0" fieldPosition="0">
        <references count="2">
          <reference field="18" count="1" selected="0">
            <x v="12"/>
          </reference>
          <reference field="19" count="1">
            <x v="14"/>
          </reference>
        </references>
      </pivotArea>
    </format>
    <format dxfId="477">
      <pivotArea dataOnly="0" labelOnly="1" outline="0" fieldPosition="0">
        <references count="2">
          <reference field="18" count="1" selected="0">
            <x v="13"/>
          </reference>
          <reference field="19" count="1">
            <x v="16"/>
          </reference>
        </references>
      </pivotArea>
    </format>
    <format dxfId="478">
      <pivotArea dataOnly="0" labelOnly="1" outline="0" fieldPosition="0">
        <references count="2">
          <reference field="18" count="1" selected="0">
            <x v="24"/>
          </reference>
          <reference field="19" count="1">
            <x v="30"/>
          </reference>
        </references>
      </pivotArea>
    </format>
    <format dxfId="479">
      <pivotArea dataOnly="0" labelOnly="1" outline="0" fieldPosition="0">
        <references count="2">
          <reference field="18" count="1" selected="0">
            <x v="25"/>
          </reference>
          <reference field="19" count="1">
            <x v="31"/>
          </reference>
        </references>
      </pivotArea>
    </format>
    <format dxfId="480">
      <pivotArea dataOnly="0" labelOnly="1" outline="0" fieldPosition="0">
        <references count="2">
          <reference field="18" count="1" selected="0">
            <x v="34"/>
          </reference>
          <reference field="19" count="1">
            <x v="39"/>
          </reference>
        </references>
      </pivotArea>
    </format>
    <format dxfId="481">
      <pivotArea dataOnly="0" labelOnly="1" outline="0" fieldPosition="0">
        <references count="2">
          <reference field="18" count="1" selected="0">
            <x v="38"/>
          </reference>
          <reference field="19" count="1">
            <x v="46"/>
          </reference>
        </references>
      </pivotArea>
    </format>
    <format dxfId="482">
      <pivotArea dataOnly="0" labelOnly="1" outline="0" fieldPosition="0">
        <references count="2">
          <reference field="18" count="1" selected="0">
            <x v="45"/>
          </reference>
          <reference field="19" count="4">
            <x v="39"/>
            <x v="56"/>
            <x v="57"/>
            <x v="59"/>
          </reference>
        </references>
      </pivotArea>
    </format>
    <format dxfId="483">
      <pivotArea dataOnly="0" labelOnly="1" outline="0" fieldPosition="0">
        <references count="2">
          <reference field="18" count="1" selected="0">
            <x v="47"/>
          </reference>
          <reference field="19" count="4">
            <x v="4"/>
            <x v="57"/>
            <x v="60"/>
            <x v="64"/>
          </reference>
        </references>
      </pivotArea>
    </format>
    <format dxfId="484">
      <pivotArea dataOnly="0" labelOnly="1" outline="0" fieldPosition="0">
        <references count="2">
          <reference field="18" count="1" selected="0">
            <x v="50"/>
          </reference>
          <reference field="19" count="1">
            <x v="63"/>
          </reference>
        </references>
      </pivotArea>
    </format>
    <format dxfId="485">
      <pivotArea dataOnly="0" labelOnly="1" outline="0" fieldPosition="0">
        <references count="2">
          <reference field="18" count="1" selected="0">
            <x v="51"/>
          </reference>
          <reference field="19" count="1">
            <x v="64"/>
          </reference>
        </references>
      </pivotArea>
    </format>
    <format dxfId="486">
      <pivotArea dataOnly="0" labelOnly="1" outline="0" fieldPosition="0">
        <references count="2">
          <reference field="18" count="1" selected="0">
            <x v="67"/>
          </reference>
          <reference field="19" count="1">
            <x v="121"/>
          </reference>
        </references>
      </pivotArea>
    </format>
    <format dxfId="487">
      <pivotArea dataOnly="0" labelOnly="1" outline="0" fieldPosition="0">
        <references count="2">
          <reference field="18" count="1" selected="0">
            <x v="68"/>
          </reference>
          <reference field="19" count="1">
            <x v="80"/>
          </reference>
        </references>
      </pivotArea>
    </format>
    <format dxfId="488">
      <pivotArea dataOnly="0" labelOnly="1" outline="0" fieldPosition="0">
        <references count="2">
          <reference field="18" count="1" selected="0">
            <x v="69"/>
          </reference>
          <reference field="19" count="2">
            <x v="59"/>
            <x v="81"/>
          </reference>
        </references>
      </pivotArea>
    </format>
    <format dxfId="489">
      <pivotArea dataOnly="0" labelOnly="1" outline="0" fieldPosition="0">
        <references count="2">
          <reference field="18" count="1" selected="0">
            <x v="70"/>
          </reference>
          <reference field="19" count="7">
            <x v="15"/>
            <x v="27"/>
            <x v="52"/>
            <x v="55"/>
            <x v="73"/>
            <x v="79"/>
            <x v="82"/>
          </reference>
        </references>
      </pivotArea>
    </format>
    <format dxfId="490">
      <pivotArea dataOnly="0" labelOnly="1" outline="0" fieldPosition="0">
        <references count="2">
          <reference field="18" count="1" selected="0">
            <x v="76"/>
          </reference>
          <reference field="19" count="5">
            <x v="4"/>
            <x v="39"/>
            <x v="57"/>
            <x v="64"/>
            <x v="89"/>
          </reference>
        </references>
      </pivotArea>
    </format>
    <format dxfId="491">
      <pivotArea dataOnly="0" labelOnly="1" outline="0" fieldPosition="0">
        <references count="2">
          <reference field="18" count="1" selected="0">
            <x v="82"/>
          </reference>
          <reference field="19" count="1">
            <x v="95"/>
          </reference>
        </references>
      </pivotArea>
    </format>
    <format dxfId="492">
      <pivotArea dataOnly="0" labelOnly="1" outline="0" fieldPosition="0">
        <references count="2">
          <reference field="18" count="1" selected="0">
            <x v="84"/>
          </reference>
          <reference field="19" count="5">
            <x v="4"/>
            <x v="39"/>
            <x v="57"/>
            <x v="64"/>
            <x v="100"/>
          </reference>
        </references>
      </pivotArea>
    </format>
    <format dxfId="493">
      <pivotArea dataOnly="0" labelOnly="1" outline="0" fieldPosition="0">
        <references count="2">
          <reference field="18" count="1" selected="0">
            <x v="97"/>
          </reference>
          <reference field="19" count="1">
            <x v="29"/>
          </reference>
        </references>
      </pivotArea>
    </format>
    <format dxfId="494">
      <pivotArea dataOnly="0" labelOnly="1" outline="0" fieldPosition="0">
        <references count="2">
          <reference field="18" count="1" selected="0">
            <x v="98"/>
          </reference>
          <reference field="19" count="1">
            <x v="120"/>
          </reference>
        </references>
      </pivotArea>
    </format>
    <format dxfId="495">
      <pivotArea dataOnly="0" labelOnly="1" outline="0" fieldPosition="0">
        <references count="2">
          <reference field="18" count="1" selected="0">
            <x v="99"/>
          </reference>
          <reference field="19" count="1">
            <x v="122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6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224:B230" firstHeaderRow="2" firstDataRow="2" firstDataCol="1" rowPageCount="1" colPageCount="1"/>
  <pivotFields count="57">
    <pivotField compact="0" outline="0" showAll="0"/>
    <pivotField compact="0" outline="0" showAll="0"/>
    <pivotField dataField="1" compact="0" outline="0" showAll="0"/>
    <pivotField axis="axisRow" compact="0" outline="0" showAll="0" defaultSubtotal="0">
      <items count="10">
        <item x="8"/>
        <item x="0"/>
        <item x="1"/>
        <item x="6"/>
        <item x="3"/>
        <item x="4"/>
        <item x="2"/>
        <item x="9"/>
        <item x="7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9">
        <item h="1" x="19"/>
        <item h="1" x="6"/>
        <item h="1" x="4"/>
        <item h="1" x="24"/>
        <item h="1" x="23"/>
        <item h="1" x="14"/>
        <item h="1" x="5"/>
        <item h="1" m="1" x="27"/>
        <item h="1" x="11"/>
        <item h="1" x="9"/>
        <item h="1" x="2"/>
        <item h="1" x="8"/>
        <item h="1" x="20"/>
        <item h="1" x="0"/>
        <item h="1" x="1"/>
        <item h="1" x="16"/>
        <item h="1" x="15"/>
        <item h="1" x="12"/>
        <item h="1" x="21"/>
        <item h="1" x="25"/>
        <item h="1" x="22"/>
        <item h="1" x="13"/>
        <item h="1" x="3"/>
        <item x="10"/>
        <item h="1" x="26"/>
        <item h="1" x="17"/>
        <item h="1" x="7"/>
        <item h="1" x="1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100">
        <item x="68"/>
        <item x="56"/>
        <item x="8"/>
        <item x="40"/>
        <item x="6"/>
        <item x="62"/>
        <item x="55"/>
        <item x="54"/>
        <item x="57"/>
        <item x="39"/>
        <item x="7"/>
        <item x="42"/>
        <item x="23"/>
        <item x="52"/>
        <item m="1" x="99"/>
        <item x="27"/>
        <item x="13"/>
        <item x="12"/>
        <item x="2"/>
        <item x="90"/>
        <item x="70"/>
        <item x="11"/>
        <item x="74"/>
        <item x="58"/>
        <item x="30"/>
        <item x="50"/>
        <item x="20"/>
        <item x="47"/>
        <item x="17"/>
        <item x="45"/>
        <item m="1" x="95"/>
        <item x="94"/>
        <item m="1" x="96"/>
        <item x="1"/>
        <item x="25"/>
        <item x="49"/>
        <item x="44"/>
        <item x="3"/>
        <item x="33"/>
        <item x="29"/>
        <item m="1" x="98"/>
        <item x="59"/>
        <item x="83"/>
        <item x="63"/>
        <item x="91"/>
        <item x="28"/>
        <item x="69"/>
        <item x="37"/>
        <item x="60"/>
        <item x="19"/>
        <item x="38"/>
        <item x="32"/>
        <item x="35"/>
        <item x="43"/>
        <item x="87"/>
        <item x="41"/>
        <item x="4"/>
        <item x="5"/>
        <item x="78"/>
        <item x="36"/>
        <item x="84"/>
        <item x="82"/>
        <item x="22"/>
        <item x="73"/>
        <item m="1" x="97"/>
        <item x="48"/>
        <item x="71"/>
        <item x="89"/>
        <item x="64"/>
        <item x="21"/>
        <item x="24"/>
        <item x="72"/>
        <item x="34"/>
        <item x="67"/>
        <item x="85"/>
        <item x="53"/>
        <item x="16"/>
        <item x="10"/>
        <item x="88"/>
        <item x="77"/>
        <item x="46"/>
        <item x="9"/>
        <item x="15"/>
        <item x="0"/>
        <item x="14"/>
        <item x="18"/>
        <item x="93"/>
        <item x="65"/>
        <item x="66"/>
        <item x="76"/>
        <item x="79"/>
        <item x="80"/>
        <item x="81"/>
        <item x="86"/>
        <item x="26"/>
        <item x="51"/>
        <item x="75"/>
        <item x="31"/>
        <item x="61"/>
        <item x="92"/>
      </items>
    </pivotField>
    <pivotField compact="0" outline="0" showAll="0">
      <items count="125">
        <item x="8"/>
        <item x="21"/>
        <item x="27"/>
        <item x="31"/>
        <item x="53"/>
        <item x="75"/>
        <item x="0"/>
        <item m="1" x="121"/>
        <item m="1" x="122"/>
        <item x="72"/>
        <item x="71"/>
        <item x="52"/>
        <item x="7"/>
        <item x="57"/>
        <item x="29"/>
        <item x="63"/>
        <item x="67"/>
        <item x="34"/>
        <item x="14"/>
        <item x="77"/>
        <item x="13"/>
        <item x="45"/>
        <item x="93"/>
        <item x="12"/>
        <item x="2"/>
        <item x="76"/>
        <item x="110"/>
        <item x="49"/>
        <item x="86"/>
        <item x="38"/>
        <item x="37"/>
        <item x="66"/>
        <item x="22"/>
        <item x="44"/>
        <item x="11"/>
        <item x="1"/>
        <item x="111"/>
        <item x="68"/>
        <item x="50"/>
        <item x="19"/>
        <item m="1" x="116"/>
        <item m="1" x="123"/>
        <item x="65"/>
        <item x="96"/>
        <item x="59"/>
        <item x="3"/>
        <item x="39"/>
        <item x="36"/>
        <item x="112"/>
        <item x="78"/>
        <item m="1" x="120"/>
        <item x="69"/>
        <item x="48"/>
        <item x="58"/>
        <item m="1" x="117"/>
        <item x="30"/>
        <item x="35"/>
        <item x="23"/>
        <item x="81"/>
        <item x="95"/>
        <item x="70"/>
        <item x="85"/>
        <item x="24"/>
        <item x="46"/>
        <item x="33"/>
        <item x="41"/>
        <item x="5"/>
        <item x="92"/>
        <item x="56"/>
        <item x="4"/>
        <item x="42"/>
        <item x="104"/>
        <item x="28"/>
        <item x="84"/>
        <item m="1" x="114"/>
        <item m="1" x="119"/>
        <item x="55"/>
        <item m="1" x="118"/>
        <item m="1" x="113"/>
        <item x="47"/>
        <item x="88"/>
        <item x="26"/>
        <item x="51"/>
        <item m="1" x="115"/>
        <item x="40"/>
        <item x="87"/>
        <item x="73"/>
        <item x="79"/>
        <item x="60"/>
        <item x="18"/>
        <item x="43"/>
        <item x="10"/>
        <item x="99"/>
        <item x="61"/>
        <item x="83"/>
        <item x="16"/>
        <item x="74"/>
        <item x="64"/>
        <item x="32"/>
        <item x="17"/>
        <item x="15"/>
        <item x="82"/>
        <item x="6"/>
        <item x="20"/>
        <item x="25"/>
        <item x="62"/>
        <item x="89"/>
        <item x="90"/>
        <item x="94"/>
        <item x="98"/>
        <item x="100"/>
        <item x="101"/>
        <item x="102"/>
        <item x="106"/>
        <item x="9"/>
        <item x="54"/>
        <item x="107"/>
        <item x="103"/>
        <item x="105"/>
        <item x="97"/>
        <item x="80"/>
        <item x="108"/>
        <item x="109"/>
        <item x="9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8"/>
    </i>
    <i t="grand">
      <x/>
    </i>
  </rowItems>
  <colItems count="1">
    <i/>
  </colItems>
  <pageFields count="1">
    <pageField fld="10" hier="-1"/>
  </pageFields>
  <dataFields count="1">
    <dataField name="Count of Name " fld="2" subtotal="count" baseField="0" baseItem="0"/>
  </dataFields>
  <formats count="11">
    <format dxfId="381">
      <pivotArea outline="0" collapsedLevelsAreSubtotals="1" fieldPosition="0"/>
    </format>
    <format dxfId="382">
      <pivotArea type="topRight" dataOnly="0" labelOnly="1" outline="0" fieldPosition="0"/>
    </format>
    <format dxfId="383">
      <pivotArea outline="0" collapsedLevelsAreSubtotals="1" fieldPosition="0"/>
    </format>
    <format dxfId="384">
      <pivotArea field="18" type="button" dataOnly="0" labelOnly="1" outline="0"/>
    </format>
    <format dxfId="385">
      <pivotArea field="19" type="button" dataOnly="0" labelOnly="1" outline="0"/>
    </format>
    <format dxfId="386">
      <pivotArea dataOnly="0" labelOnly="1" grandRow="1" outline="0" fieldPosition="0"/>
    </format>
    <format dxfId="387">
      <pivotArea field="3" type="button" dataOnly="0" labelOnly="1" outline="0" axis="axisRow" fieldPosition="0"/>
    </format>
    <format dxfId="388">
      <pivotArea outline="0" collapsedLevelsAreSubtotals="1" fieldPosition="0"/>
    </format>
    <format dxfId="389">
      <pivotArea field="18" type="button" dataOnly="0" labelOnly="1" outline="0"/>
    </format>
    <format dxfId="390">
      <pivotArea field="19" type="button" dataOnly="0" labelOnly="1" outline="0"/>
    </format>
    <format dxfId="39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38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41" firstHeaderRow="2" firstDataRow="2" firstDataCol="2" rowPageCount="1" colPageCount="1"/>
  <pivotFields count="57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9">
        <item h="1" x="19"/>
        <item h="1" x="6"/>
        <item h="1" x="4"/>
        <item h="1" x="24"/>
        <item h="1" x="23"/>
        <item h="1" x="14"/>
        <item h="1" x="5"/>
        <item h="1" m="1" x="27"/>
        <item h="1" x="11"/>
        <item h="1" x="9"/>
        <item h="1" x="2"/>
        <item h="1" x="8"/>
        <item h="1" x="20"/>
        <item x="0"/>
        <item h="1" x="1"/>
        <item h="1" x="16"/>
        <item h="1" x="15"/>
        <item h="1" x="12"/>
        <item h="1" x="21"/>
        <item h="1" x="25"/>
        <item h="1" x="22"/>
        <item h="1" x="13"/>
        <item h="1" x="3"/>
        <item h="1" x="10"/>
        <item h="1" x="26"/>
        <item h="1" x="17"/>
        <item h="1" x="7"/>
        <item h="1" x="1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00">
        <item x="68"/>
        <item x="56"/>
        <item x="8"/>
        <item x="40"/>
        <item x="6"/>
        <item x="62"/>
        <item x="55"/>
        <item x="54"/>
        <item x="57"/>
        <item x="39"/>
        <item x="7"/>
        <item x="42"/>
        <item x="23"/>
        <item x="52"/>
        <item m="1" x="99"/>
        <item x="27"/>
        <item x="13"/>
        <item x="12"/>
        <item x="2"/>
        <item x="90"/>
        <item x="70"/>
        <item x="11"/>
        <item x="74"/>
        <item x="58"/>
        <item x="30"/>
        <item x="50"/>
        <item x="20"/>
        <item x="47"/>
        <item x="17"/>
        <item x="45"/>
        <item m="1" x="95"/>
        <item x="94"/>
        <item m="1" x="96"/>
        <item x="1"/>
        <item x="25"/>
        <item x="49"/>
        <item x="44"/>
        <item x="3"/>
        <item x="33"/>
        <item x="29"/>
        <item m="1" x="98"/>
        <item x="59"/>
        <item x="83"/>
        <item x="63"/>
        <item x="91"/>
        <item x="28"/>
        <item x="69"/>
        <item x="37"/>
        <item x="60"/>
        <item x="19"/>
        <item x="38"/>
        <item x="32"/>
        <item x="35"/>
        <item x="43"/>
        <item x="87"/>
        <item x="41"/>
        <item x="4"/>
        <item x="5"/>
        <item x="78"/>
        <item x="36"/>
        <item x="84"/>
        <item x="82"/>
        <item x="22"/>
        <item x="73"/>
        <item m="1" x="97"/>
        <item x="48"/>
        <item x="71"/>
        <item x="89"/>
        <item x="64"/>
        <item x="21"/>
        <item x="24"/>
        <item x="72"/>
        <item x="34"/>
        <item x="67"/>
        <item x="85"/>
        <item x="53"/>
        <item x="16"/>
        <item x="10"/>
        <item x="88"/>
        <item x="77"/>
        <item x="46"/>
        <item x="9"/>
        <item x="15"/>
        <item x="0"/>
        <item x="14"/>
        <item x="18"/>
        <item x="93"/>
        <item x="65"/>
        <item x="66"/>
        <item x="76"/>
        <item x="79"/>
        <item x="80"/>
        <item x="81"/>
        <item x="86"/>
        <item x="26"/>
        <item x="51"/>
        <item x="75"/>
        <item x="31"/>
        <item x="61"/>
        <item x="92"/>
      </items>
    </pivotField>
    <pivotField axis="axisRow" compact="0" outline="0" showAll="0">
      <items count="125">
        <item x="8"/>
        <item x="21"/>
        <item x="27"/>
        <item x="31"/>
        <item x="53"/>
        <item x="75"/>
        <item x="0"/>
        <item m="1" x="121"/>
        <item m="1" x="122"/>
        <item x="72"/>
        <item x="71"/>
        <item x="52"/>
        <item x="7"/>
        <item x="57"/>
        <item x="29"/>
        <item x="63"/>
        <item x="67"/>
        <item x="34"/>
        <item x="14"/>
        <item x="77"/>
        <item x="13"/>
        <item x="45"/>
        <item x="93"/>
        <item x="12"/>
        <item x="2"/>
        <item x="76"/>
        <item x="110"/>
        <item x="49"/>
        <item x="86"/>
        <item x="38"/>
        <item x="37"/>
        <item x="66"/>
        <item x="22"/>
        <item x="44"/>
        <item x="11"/>
        <item x="1"/>
        <item x="111"/>
        <item x="68"/>
        <item x="50"/>
        <item x="19"/>
        <item m="1" x="116"/>
        <item m="1" x="123"/>
        <item x="65"/>
        <item x="96"/>
        <item x="59"/>
        <item x="3"/>
        <item x="39"/>
        <item x="36"/>
        <item x="112"/>
        <item x="78"/>
        <item m="1" x="120"/>
        <item x="69"/>
        <item x="48"/>
        <item x="58"/>
        <item m="1" x="117"/>
        <item x="30"/>
        <item x="35"/>
        <item x="23"/>
        <item x="81"/>
        <item x="95"/>
        <item x="70"/>
        <item x="85"/>
        <item x="24"/>
        <item x="46"/>
        <item x="33"/>
        <item x="41"/>
        <item x="5"/>
        <item x="92"/>
        <item x="56"/>
        <item x="4"/>
        <item x="42"/>
        <item x="104"/>
        <item x="28"/>
        <item x="84"/>
        <item m="1" x="114"/>
        <item m="1" x="119"/>
        <item x="55"/>
        <item m="1" x="118"/>
        <item m="1" x="113"/>
        <item x="47"/>
        <item x="88"/>
        <item x="26"/>
        <item x="51"/>
        <item m="1" x="115"/>
        <item x="40"/>
        <item x="87"/>
        <item x="73"/>
        <item x="79"/>
        <item x="60"/>
        <item x="18"/>
        <item x="43"/>
        <item x="10"/>
        <item x="99"/>
        <item x="61"/>
        <item x="83"/>
        <item x="16"/>
        <item x="74"/>
        <item x="64"/>
        <item x="32"/>
        <item x="17"/>
        <item x="15"/>
        <item x="82"/>
        <item x="6"/>
        <item x="20"/>
        <item x="25"/>
        <item x="62"/>
        <item x="89"/>
        <item x="90"/>
        <item x="94"/>
        <item x="98"/>
        <item x="100"/>
        <item x="101"/>
        <item x="102"/>
        <item x="106"/>
        <item x="9"/>
        <item x="54"/>
        <item x="107"/>
        <item x="103"/>
        <item x="105"/>
        <item x="97"/>
        <item x="80"/>
        <item x="108"/>
        <item x="109"/>
        <item x="9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8"/>
    <field x="19"/>
  </rowFields>
  <rowItems count="37">
    <i>
      <x v="7"/>
      <x v="10"/>
    </i>
    <i>
      <x v="11"/>
      <x v="13"/>
    </i>
    <i>
      <x v="17"/>
      <x v="20"/>
    </i>
    <i>
      <x v="26"/>
      <x v="104"/>
    </i>
    <i>
      <x v="27"/>
      <x v="105"/>
    </i>
    <i>
      <x v="28"/>
      <x v="103"/>
    </i>
    <i>
      <x v="37"/>
      <x v="45"/>
    </i>
    <i r="1">
      <x v="118"/>
    </i>
    <i>
      <x v="49"/>
      <x v="62"/>
    </i>
    <i>
      <x v="81"/>
      <x v="28"/>
    </i>
    <i r="1">
      <x v="94"/>
    </i>
    <i r="1">
      <x v="114"/>
    </i>
    <i r="1">
      <x v="115"/>
    </i>
    <i>
      <x v="83"/>
      <x v="6"/>
    </i>
    <i r="1">
      <x v="98"/>
    </i>
    <i r="1">
      <x v="99"/>
    </i>
    <i>
      <x v="85"/>
      <x v="1"/>
    </i>
    <i r="1">
      <x v="2"/>
    </i>
    <i r="1">
      <x v="32"/>
    </i>
    <i r="1">
      <x v="39"/>
    </i>
    <i r="1">
      <x v="86"/>
    </i>
    <i r="1">
      <x v="101"/>
    </i>
    <i r="1">
      <x v="108"/>
    </i>
    <i r="1">
      <x v="116"/>
    </i>
    <i r="1">
      <x v="123"/>
    </i>
    <i>
      <x v="87"/>
      <x v="106"/>
    </i>
    <i>
      <x v="88"/>
      <x v="107"/>
    </i>
    <i>
      <x v="89"/>
      <x v="109"/>
    </i>
    <i>
      <x v="90"/>
      <x v="110"/>
    </i>
    <i>
      <x v="91"/>
      <x v="111"/>
    </i>
    <i>
      <x v="92"/>
      <x v="112"/>
    </i>
    <i r="1">
      <x v="117"/>
    </i>
    <i>
      <x v="93"/>
      <x v="113"/>
    </i>
    <i>
      <x v="94"/>
      <x v="33"/>
    </i>
    <i r="1">
      <x v="76"/>
    </i>
    <i r="1">
      <x v="99"/>
    </i>
    <i t="grand">
      <x/>
    </i>
  </rowItems>
  <colItems count="1">
    <i/>
  </colItems>
  <pageFields count="1">
    <pageField fld="10" hier="-1"/>
  </pageFields>
  <dataFields count="1">
    <dataField name="Count of Name " fld="2" subtotal="count" baseField="0" baseItem="0"/>
  </dataFields>
  <formats count="76">
    <format dxfId="305">
      <pivotArea outline="0" fieldPosition="0">
        <references count="2">
          <reference field="18" count="1" selected="0">
            <x v="17"/>
          </reference>
          <reference field="19" count="1" selected="0">
            <x v="20"/>
          </reference>
        </references>
      </pivotArea>
    </format>
    <format dxfId="306">
      <pivotArea dataOnly="0" labelOnly="1" outline="0" fieldPosition="0">
        <references count="1">
          <reference field="18" count="1">
            <x v="17"/>
          </reference>
        </references>
      </pivotArea>
    </format>
    <format dxfId="307">
      <pivotArea dataOnly="0" labelOnly="1" outline="0" fieldPosition="0">
        <references count="2">
          <reference field="18" count="1" selected="0">
            <x v="17"/>
          </reference>
          <reference field="19" count="1">
            <x v="20"/>
          </reference>
        </references>
      </pivotArea>
    </format>
    <format dxfId="308">
      <pivotArea outline="0" fieldPosition="0">
        <references count="2">
          <reference field="18" count="1" selected="0">
            <x v="81"/>
          </reference>
          <reference field="19" count="1" selected="0">
            <x v="41"/>
          </reference>
        </references>
      </pivotArea>
    </format>
    <format dxfId="309">
      <pivotArea dataOnly="0" labelOnly="1" outline="0" fieldPosition="0">
        <references count="2">
          <reference field="18" count="1" selected="0">
            <x v="81"/>
          </reference>
          <reference field="19" count="1">
            <x v="41"/>
          </reference>
        </references>
      </pivotArea>
    </format>
    <format dxfId="310">
      <pivotArea outline="0" fieldPosition="0">
        <references count="2">
          <reference field="18" count="1" selected="0">
            <x v="7"/>
          </reference>
          <reference field="19" count="1" selected="0">
            <x v="10"/>
          </reference>
        </references>
      </pivotArea>
    </format>
    <format dxfId="311">
      <pivotArea dataOnly="0" labelOnly="1" outline="0" fieldPosition="0">
        <references count="1">
          <reference field="18" count="1">
            <x v="7"/>
          </reference>
        </references>
      </pivotArea>
    </format>
    <format dxfId="312">
      <pivotArea dataOnly="0" labelOnly="1" outline="0" fieldPosition="0">
        <references count="2">
          <reference field="18" count="1" selected="0">
            <x v="7"/>
          </reference>
          <reference field="19" count="1">
            <x v="10"/>
          </reference>
        </references>
      </pivotArea>
    </format>
    <format dxfId="313">
      <pivotArea outline="0" fieldPosition="0">
        <references count="2">
          <reference field="18" count="1" selected="0">
            <x v="26"/>
          </reference>
          <reference field="19" count="1" selected="0">
            <x v="104"/>
          </reference>
        </references>
      </pivotArea>
    </format>
    <format dxfId="314">
      <pivotArea dataOnly="0" labelOnly="1" outline="0" fieldPosition="0">
        <references count="1">
          <reference field="18" count="1">
            <x v="26"/>
          </reference>
        </references>
      </pivotArea>
    </format>
    <format dxfId="315">
      <pivotArea dataOnly="0" labelOnly="1" outline="0" fieldPosition="0">
        <references count="2">
          <reference field="18" count="1" selected="0">
            <x v="26"/>
          </reference>
          <reference field="19" count="1">
            <x v="104"/>
          </reference>
        </references>
      </pivotArea>
    </format>
    <format dxfId="316">
      <pivotArea outline="0" fieldPosition="0">
        <references count="2">
          <reference field="18" count="1" selected="0">
            <x v="88"/>
          </reference>
          <reference field="19" count="1" selected="0">
            <x v="107"/>
          </reference>
        </references>
      </pivotArea>
    </format>
    <format dxfId="317">
      <pivotArea dataOnly="0" labelOnly="1" outline="0" fieldPosition="0">
        <references count="1">
          <reference field="18" count="1">
            <x v="88"/>
          </reference>
        </references>
      </pivotArea>
    </format>
    <format dxfId="318">
      <pivotArea dataOnly="0" labelOnly="1" outline="0" fieldPosition="0">
        <references count="2">
          <reference field="18" count="1" selected="0">
            <x v="88"/>
          </reference>
          <reference field="19" count="1">
            <x v="107"/>
          </reference>
        </references>
      </pivotArea>
    </format>
    <format dxfId="319">
      <pivotArea outline="0" fieldPosition="0">
        <references count="2">
          <reference field="18" count="1" selected="0">
            <x v="89"/>
          </reference>
          <reference field="19" count="1" selected="0">
            <x v="109"/>
          </reference>
        </references>
      </pivotArea>
    </format>
    <format dxfId="320">
      <pivotArea dataOnly="0" labelOnly="1" outline="0" fieldPosition="0">
        <references count="1">
          <reference field="18" count="1">
            <x v="89"/>
          </reference>
        </references>
      </pivotArea>
    </format>
    <format dxfId="321">
      <pivotArea dataOnly="0" labelOnly="1" outline="0" fieldPosition="0">
        <references count="2">
          <reference field="18" count="1" selected="0">
            <x v="89"/>
          </reference>
          <reference field="19" count="1">
            <x v="109"/>
          </reference>
        </references>
      </pivotArea>
    </format>
    <format dxfId="322">
      <pivotArea outline="0" fieldPosition="0">
        <references count="2">
          <reference field="18" count="1" selected="0">
            <x v="81"/>
          </reference>
          <reference field="19" count="1" selected="0">
            <x v="28"/>
          </reference>
        </references>
      </pivotArea>
    </format>
    <format dxfId="323">
      <pivotArea dataOnly="0" labelOnly="1" outline="0" fieldPosition="0">
        <references count="2">
          <reference field="18" count="1" selected="0">
            <x v="81"/>
          </reference>
          <reference field="19" count="1">
            <x v="28"/>
          </reference>
        </references>
      </pivotArea>
    </format>
    <format dxfId="324">
      <pivotArea outline="0" collapsedLevelsAreSubtotals="1" fieldPosition="0"/>
    </format>
    <format dxfId="325">
      <pivotArea type="topRight" dataOnly="0" labelOnly="1" outline="0" fieldPosition="0"/>
    </format>
    <format dxfId="326">
      <pivotArea outline="0" fieldPosition="0">
        <references count="2">
          <reference field="18" count="1" selected="0">
            <x v="81"/>
          </reference>
          <reference field="19" count="1" selected="0">
            <x v="115"/>
          </reference>
        </references>
      </pivotArea>
    </format>
    <format dxfId="327">
      <pivotArea dataOnly="0" labelOnly="1" outline="0" fieldPosition="0">
        <references count="2">
          <reference field="18" count="1" selected="0">
            <x v="81"/>
          </reference>
          <reference field="19" count="1">
            <x v="115"/>
          </reference>
        </references>
      </pivotArea>
    </format>
    <format dxfId="328">
      <pivotArea outline="0" fieldPosition="0">
        <references count="2">
          <reference field="18" count="1" selected="0">
            <x v="81"/>
          </reference>
          <reference field="19" count="1" selected="0">
            <x v="94"/>
          </reference>
        </references>
      </pivotArea>
    </format>
    <format dxfId="329">
      <pivotArea dataOnly="0" labelOnly="1" outline="0" fieldPosition="0">
        <references count="2">
          <reference field="18" count="1" selected="0">
            <x v="81"/>
          </reference>
          <reference field="19" count="1">
            <x v="94"/>
          </reference>
        </references>
      </pivotArea>
    </format>
    <format dxfId="330">
      <pivotArea outline="0" fieldPosition="0">
        <references count="2">
          <reference field="18" count="1" selected="0">
            <x v="37"/>
          </reference>
          <reference field="19" count="1" selected="0">
            <x v="45"/>
          </reference>
        </references>
      </pivotArea>
    </format>
    <format dxfId="331">
      <pivotArea dataOnly="0" labelOnly="1" outline="0" fieldPosition="0">
        <references count="1">
          <reference field="18" count="1">
            <x v="37"/>
          </reference>
        </references>
      </pivotArea>
    </format>
    <format dxfId="332">
      <pivotArea dataOnly="0" labelOnly="1" outline="0" fieldPosition="0">
        <references count="2">
          <reference field="18" count="1" selected="0">
            <x v="37"/>
          </reference>
          <reference field="19" count="1">
            <x v="45"/>
          </reference>
        </references>
      </pivotArea>
    </format>
    <format dxfId="333">
      <pivotArea outline="0" fieldPosition="0">
        <references count="2">
          <reference field="18" count="1" selected="0">
            <x v="27"/>
          </reference>
          <reference field="19" count="1" selected="0">
            <x v="105"/>
          </reference>
        </references>
      </pivotArea>
    </format>
    <format dxfId="334">
      <pivotArea dataOnly="0" labelOnly="1" outline="0" fieldPosition="0">
        <references count="1">
          <reference field="18" count="1">
            <x v="27"/>
          </reference>
        </references>
      </pivotArea>
    </format>
    <format dxfId="335">
      <pivotArea dataOnly="0" labelOnly="1" outline="0" fieldPosition="0">
        <references count="2">
          <reference field="18" count="1" selected="0">
            <x v="27"/>
          </reference>
          <reference field="19" count="1">
            <x v="105"/>
          </reference>
        </references>
      </pivotArea>
    </format>
    <format dxfId="336">
      <pivotArea outline="0" fieldPosition="0">
        <references count="2">
          <reference field="18" count="1" selected="0">
            <x v="28"/>
          </reference>
          <reference field="19" count="1" selected="0">
            <x v="103"/>
          </reference>
        </references>
      </pivotArea>
    </format>
    <format dxfId="337">
      <pivotArea dataOnly="0" labelOnly="1" outline="0" fieldPosition="0">
        <references count="1">
          <reference field="18" count="1">
            <x v="28"/>
          </reference>
        </references>
      </pivotArea>
    </format>
    <format dxfId="338">
      <pivotArea dataOnly="0" labelOnly="1" outline="0" fieldPosition="0">
        <references count="2">
          <reference field="18" count="1" selected="0">
            <x v="28"/>
          </reference>
          <reference field="19" count="1">
            <x v="103"/>
          </reference>
        </references>
      </pivotArea>
    </format>
    <format dxfId="339">
      <pivotArea outline="0" fieldPosition="0">
        <references count="2">
          <reference field="18" count="2" selected="0">
            <x v="92"/>
            <x v="93"/>
          </reference>
          <reference field="19" count="2" selected="0">
            <x v="112"/>
            <x v="113"/>
          </reference>
        </references>
      </pivotArea>
    </format>
    <format dxfId="340">
      <pivotArea dataOnly="0" labelOnly="1" outline="0" fieldPosition="0">
        <references count="1">
          <reference field="18" count="2">
            <x v="92"/>
            <x v="93"/>
          </reference>
        </references>
      </pivotArea>
    </format>
    <format dxfId="341">
      <pivotArea dataOnly="0" labelOnly="1" outline="0" fieldPosition="0">
        <references count="2">
          <reference field="18" count="1" selected="0">
            <x v="92"/>
          </reference>
          <reference field="19" count="1">
            <x v="112"/>
          </reference>
        </references>
      </pivotArea>
    </format>
    <format dxfId="342">
      <pivotArea dataOnly="0" labelOnly="1" outline="0" fieldPosition="0">
        <references count="2">
          <reference field="18" count="1" selected="0">
            <x v="93"/>
          </reference>
          <reference field="19" count="1">
            <x v="113"/>
          </reference>
        </references>
      </pivotArea>
    </format>
    <format dxfId="343">
      <pivotArea outline="0" fieldPosition="0">
        <references count="2">
          <reference field="18" count="1" selected="0">
            <x v="94"/>
          </reference>
          <reference field="19" count="2" selected="0">
            <x v="33"/>
            <x v="76"/>
          </reference>
        </references>
      </pivotArea>
    </format>
    <format dxfId="344">
      <pivotArea dataOnly="0" labelOnly="1" outline="0" fieldPosition="0">
        <references count="1">
          <reference field="18" count="1">
            <x v="94"/>
          </reference>
        </references>
      </pivotArea>
    </format>
    <format dxfId="345">
      <pivotArea dataOnly="0" labelOnly="1" outline="0" fieldPosition="0">
        <references count="2">
          <reference field="18" count="1" selected="0">
            <x v="94"/>
          </reference>
          <reference field="19" count="2">
            <x v="33"/>
            <x v="76"/>
          </reference>
        </references>
      </pivotArea>
    </format>
    <format dxfId="346">
      <pivotArea outline="0" fieldPosition="0">
        <references count="2">
          <reference field="18" count="1" selected="0">
            <x v="11"/>
          </reference>
          <reference field="19" count="1" selected="0">
            <x v="13"/>
          </reference>
        </references>
      </pivotArea>
    </format>
    <format dxfId="347">
      <pivotArea dataOnly="0" labelOnly="1" outline="0" fieldPosition="0">
        <references count="1">
          <reference field="18" count="1">
            <x v="11"/>
          </reference>
        </references>
      </pivotArea>
    </format>
    <format dxfId="348">
      <pivotArea dataOnly="0" labelOnly="1" outline="0" fieldPosition="0">
        <references count="2">
          <reference field="18" count="1" selected="0">
            <x v="11"/>
          </reference>
          <reference field="19" count="1">
            <x v="13"/>
          </reference>
        </references>
      </pivotArea>
    </format>
    <format dxfId="349">
      <pivotArea outline="0" fieldPosition="0">
        <references count="2">
          <reference field="18" count="1" selected="0">
            <x v="37"/>
          </reference>
          <reference field="19" count="1" selected="0">
            <x v="118"/>
          </reference>
        </references>
      </pivotArea>
    </format>
    <format dxfId="350">
      <pivotArea dataOnly="0" labelOnly="1" outline="0" fieldPosition="0">
        <references count="2">
          <reference field="18" count="1" selected="0">
            <x v="37"/>
          </reference>
          <reference field="19" count="1">
            <x v="118"/>
          </reference>
        </references>
      </pivotArea>
    </format>
    <format dxfId="351">
      <pivotArea outline="0" fieldPosition="0">
        <references count="2">
          <reference field="18" count="2" selected="0">
            <x v="83"/>
            <x v="85"/>
          </reference>
          <reference field="19" count="11" selected="0">
            <x v="1"/>
            <x v="2"/>
            <x v="6"/>
            <x v="32"/>
            <x v="39"/>
            <x v="86"/>
            <x v="98"/>
            <x v="99"/>
            <x v="101"/>
            <x v="108"/>
            <x v="116"/>
          </reference>
        </references>
      </pivotArea>
    </format>
    <format dxfId="352">
      <pivotArea dataOnly="0" labelOnly="1" outline="0" fieldPosition="0">
        <references count="1">
          <reference field="18" count="2">
            <x v="83"/>
            <x v="85"/>
          </reference>
        </references>
      </pivotArea>
    </format>
    <format dxfId="353">
      <pivotArea dataOnly="0" labelOnly="1" outline="0" fieldPosition="0">
        <references count="2">
          <reference field="18" count="1" selected="0">
            <x v="83"/>
          </reference>
          <reference field="19" count="3">
            <x v="6"/>
            <x v="98"/>
            <x v="99"/>
          </reference>
        </references>
      </pivotArea>
    </format>
    <format dxfId="354">
      <pivotArea dataOnly="0" labelOnly="1" outline="0" fieldPosition="0">
        <references count="2">
          <reference field="18" count="1" selected="0">
            <x v="85"/>
          </reference>
          <reference field="19" count="8">
            <x v="1"/>
            <x v="2"/>
            <x v="32"/>
            <x v="39"/>
            <x v="86"/>
            <x v="101"/>
            <x v="108"/>
            <x v="116"/>
          </reference>
        </references>
      </pivotArea>
    </format>
    <format dxfId="355">
      <pivotArea outline="0" fieldPosition="0">
        <references count="2">
          <reference field="18" count="1" selected="0">
            <x v="92"/>
          </reference>
          <reference field="19" count="1" selected="0">
            <x v="117"/>
          </reference>
        </references>
      </pivotArea>
    </format>
    <format dxfId="356">
      <pivotArea dataOnly="0" labelOnly="1" outline="0" fieldPosition="0">
        <references count="2">
          <reference field="18" count="1" selected="0">
            <x v="92"/>
          </reference>
          <reference field="19" count="1">
            <x v="117"/>
          </reference>
        </references>
      </pivotArea>
    </format>
    <format dxfId="357">
      <pivotArea outline="0" collapsedLevelsAreSubtotals="1" fieldPosition="0"/>
    </format>
    <format dxfId="358">
      <pivotArea field="18" type="button" dataOnly="0" labelOnly="1" outline="0" axis="axisRow" fieldPosition="0"/>
    </format>
    <format dxfId="359">
      <pivotArea field="19" type="button" dataOnly="0" labelOnly="1" outline="0" axis="axisRow" fieldPosition="1"/>
    </format>
    <format dxfId="360">
      <pivotArea dataOnly="0" labelOnly="1" outline="0" fieldPosition="0">
        <references count="1">
          <reference field="18" count="19">
            <x v="7"/>
            <x v="11"/>
            <x v="17"/>
            <x v="26"/>
            <x v="27"/>
            <x v="28"/>
            <x v="37"/>
            <x v="49"/>
            <x v="81"/>
            <x v="83"/>
            <x v="85"/>
            <x v="87"/>
            <x v="88"/>
            <x v="89"/>
            <x v="90"/>
            <x v="91"/>
            <x v="92"/>
            <x v="93"/>
            <x v="94"/>
          </reference>
        </references>
      </pivotArea>
    </format>
    <format dxfId="361">
      <pivotArea dataOnly="0" labelOnly="1" grandRow="1" outline="0" fieldPosition="0"/>
    </format>
    <format dxfId="362">
      <pivotArea dataOnly="0" labelOnly="1" outline="0" fieldPosition="0">
        <references count="2">
          <reference field="18" count="1" selected="0">
            <x v="7"/>
          </reference>
          <reference field="19" count="1">
            <x v="10"/>
          </reference>
        </references>
      </pivotArea>
    </format>
    <format dxfId="363">
      <pivotArea dataOnly="0" labelOnly="1" outline="0" fieldPosition="0">
        <references count="2">
          <reference field="18" count="1" selected="0">
            <x v="11"/>
          </reference>
          <reference field="19" count="1">
            <x v="13"/>
          </reference>
        </references>
      </pivotArea>
    </format>
    <format dxfId="364">
      <pivotArea dataOnly="0" labelOnly="1" outline="0" fieldPosition="0">
        <references count="2">
          <reference field="18" count="1" selected="0">
            <x v="17"/>
          </reference>
          <reference field="19" count="1">
            <x v="20"/>
          </reference>
        </references>
      </pivotArea>
    </format>
    <format dxfId="365">
      <pivotArea dataOnly="0" labelOnly="1" outline="0" fieldPosition="0">
        <references count="2">
          <reference field="18" count="1" selected="0">
            <x v="26"/>
          </reference>
          <reference field="19" count="1">
            <x v="104"/>
          </reference>
        </references>
      </pivotArea>
    </format>
    <format dxfId="366">
      <pivotArea dataOnly="0" labelOnly="1" outline="0" fieldPosition="0">
        <references count="2">
          <reference field="18" count="1" selected="0">
            <x v="27"/>
          </reference>
          <reference field="19" count="1">
            <x v="105"/>
          </reference>
        </references>
      </pivotArea>
    </format>
    <format dxfId="367">
      <pivotArea dataOnly="0" labelOnly="1" outline="0" fieldPosition="0">
        <references count="2">
          <reference field="18" count="1" selected="0">
            <x v="28"/>
          </reference>
          <reference field="19" count="1">
            <x v="103"/>
          </reference>
        </references>
      </pivotArea>
    </format>
    <format dxfId="368">
      <pivotArea dataOnly="0" labelOnly="1" outline="0" fieldPosition="0">
        <references count="2">
          <reference field="18" count="1" selected="0">
            <x v="37"/>
          </reference>
          <reference field="19" count="2">
            <x v="45"/>
            <x v="118"/>
          </reference>
        </references>
      </pivotArea>
    </format>
    <format dxfId="369">
      <pivotArea dataOnly="0" labelOnly="1" outline="0" fieldPosition="0">
        <references count="2">
          <reference field="18" count="1" selected="0">
            <x v="49"/>
          </reference>
          <reference field="19" count="1">
            <x v="62"/>
          </reference>
        </references>
      </pivotArea>
    </format>
    <format dxfId="370">
      <pivotArea dataOnly="0" labelOnly="1" outline="0" fieldPosition="0">
        <references count="2">
          <reference field="18" count="1" selected="0">
            <x v="81"/>
          </reference>
          <reference field="19" count="4">
            <x v="28"/>
            <x v="94"/>
            <x v="114"/>
            <x v="115"/>
          </reference>
        </references>
      </pivotArea>
    </format>
    <format dxfId="371">
      <pivotArea dataOnly="0" labelOnly="1" outline="0" fieldPosition="0">
        <references count="2">
          <reference field="18" count="1" selected="0">
            <x v="83"/>
          </reference>
          <reference field="19" count="3">
            <x v="6"/>
            <x v="98"/>
            <x v="99"/>
          </reference>
        </references>
      </pivotArea>
    </format>
    <format dxfId="372">
      <pivotArea dataOnly="0" labelOnly="1" outline="0" fieldPosition="0">
        <references count="2">
          <reference field="18" count="1" selected="0">
            <x v="85"/>
          </reference>
          <reference field="19" count="8">
            <x v="1"/>
            <x v="2"/>
            <x v="32"/>
            <x v="39"/>
            <x v="86"/>
            <x v="101"/>
            <x v="108"/>
            <x v="116"/>
          </reference>
        </references>
      </pivotArea>
    </format>
    <format dxfId="373">
      <pivotArea dataOnly="0" labelOnly="1" outline="0" fieldPosition="0">
        <references count="2">
          <reference field="18" count="1" selected="0">
            <x v="87"/>
          </reference>
          <reference field="19" count="1">
            <x v="106"/>
          </reference>
        </references>
      </pivotArea>
    </format>
    <format dxfId="374">
      <pivotArea dataOnly="0" labelOnly="1" outline="0" fieldPosition="0">
        <references count="2">
          <reference field="18" count="1" selected="0">
            <x v="88"/>
          </reference>
          <reference field="19" count="1">
            <x v="107"/>
          </reference>
        </references>
      </pivotArea>
    </format>
    <format dxfId="375">
      <pivotArea dataOnly="0" labelOnly="1" outline="0" fieldPosition="0">
        <references count="2">
          <reference field="18" count="1" selected="0">
            <x v="89"/>
          </reference>
          <reference field="19" count="1">
            <x v="109"/>
          </reference>
        </references>
      </pivotArea>
    </format>
    <format dxfId="376">
      <pivotArea dataOnly="0" labelOnly="1" outline="0" fieldPosition="0">
        <references count="2">
          <reference field="18" count="1" selected="0">
            <x v="90"/>
          </reference>
          <reference field="19" count="1">
            <x v="110"/>
          </reference>
        </references>
      </pivotArea>
    </format>
    <format dxfId="377">
      <pivotArea dataOnly="0" labelOnly="1" outline="0" fieldPosition="0">
        <references count="2">
          <reference field="18" count="1" selected="0">
            <x v="91"/>
          </reference>
          <reference field="19" count="1">
            <x v="111"/>
          </reference>
        </references>
      </pivotArea>
    </format>
    <format dxfId="378">
      <pivotArea dataOnly="0" labelOnly="1" outline="0" fieldPosition="0">
        <references count="2">
          <reference field="18" count="1" selected="0">
            <x v="92"/>
          </reference>
          <reference field="19" count="2">
            <x v="112"/>
            <x v="117"/>
          </reference>
        </references>
      </pivotArea>
    </format>
    <format dxfId="379">
      <pivotArea dataOnly="0" labelOnly="1" outline="0" fieldPosition="0">
        <references count="2">
          <reference field="18" count="1" selected="0">
            <x v="93"/>
          </reference>
          <reference field="19" count="1">
            <x v="113"/>
          </reference>
        </references>
      </pivotArea>
    </format>
    <format dxfId="380">
      <pivotArea dataOnly="0" labelOnly="1" outline="0" fieldPosition="0">
        <references count="2">
          <reference field="18" count="1" selected="0">
            <x v="94"/>
          </reference>
          <reference field="19" count="3">
            <x v="33"/>
            <x v="76"/>
            <x v="99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1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62:D122" firstHeaderRow="2" firstDataRow="2" firstDataCol="3" rowPageCount="1" colPageCount="1"/>
  <pivotFields count="57">
    <pivotField compact="0" outline="0" showAll="0"/>
    <pivotField compact="0" outline="0" showAll="0"/>
    <pivotField dataField="1" compact="0" outline="0" showAll="0"/>
    <pivotField axis="axisRow" compact="0" outline="0" showAll="0" defaultSubtotal="0">
      <items count="10">
        <item x="8"/>
        <item x="0"/>
        <item x="1"/>
        <item x="6"/>
        <item x="3"/>
        <item x="4"/>
        <item x="2"/>
        <item x="9"/>
        <item x="7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9">
        <item h="1" x="19"/>
        <item h="1" x="6"/>
        <item h="1" x="4"/>
        <item h="1" x="24"/>
        <item h="1" x="23"/>
        <item h="1" x="14"/>
        <item h="1" x="5"/>
        <item h="1" m="1" x="27"/>
        <item h="1" x="11"/>
        <item h="1" x="9"/>
        <item h="1" x="2"/>
        <item h="1" x="8"/>
        <item h="1" x="20"/>
        <item x="0"/>
        <item h="1" x="1"/>
        <item h="1" x="16"/>
        <item h="1" x="15"/>
        <item h="1" x="12"/>
        <item h="1" x="21"/>
        <item h="1" x="25"/>
        <item h="1" x="22"/>
        <item h="1" x="13"/>
        <item h="1" x="3"/>
        <item h="1" x="10"/>
        <item h="1" x="26"/>
        <item h="1" x="17"/>
        <item h="1" x="7"/>
        <item h="1" x="1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00">
        <item x="68"/>
        <item x="56"/>
        <item x="8"/>
        <item x="40"/>
        <item x="6"/>
        <item x="62"/>
        <item x="55"/>
        <item x="54"/>
        <item x="57"/>
        <item x="39"/>
        <item x="7"/>
        <item x="42"/>
        <item x="23"/>
        <item x="52"/>
        <item m="1" x="99"/>
        <item x="27"/>
        <item x="13"/>
        <item x="12"/>
        <item x="2"/>
        <item x="90"/>
        <item x="70"/>
        <item x="11"/>
        <item x="74"/>
        <item x="58"/>
        <item x="30"/>
        <item x="50"/>
        <item x="20"/>
        <item x="47"/>
        <item x="17"/>
        <item x="45"/>
        <item m="1" x="95"/>
        <item x="94"/>
        <item m="1" x="96"/>
        <item x="1"/>
        <item x="25"/>
        <item x="49"/>
        <item x="44"/>
        <item x="3"/>
        <item x="33"/>
        <item x="29"/>
        <item m="1" x="98"/>
        <item x="59"/>
        <item x="83"/>
        <item x="63"/>
        <item x="91"/>
        <item x="28"/>
        <item x="69"/>
        <item x="37"/>
        <item x="60"/>
        <item x="19"/>
        <item x="38"/>
        <item x="32"/>
        <item x="35"/>
        <item x="43"/>
        <item x="87"/>
        <item x="41"/>
        <item x="4"/>
        <item x="5"/>
        <item x="78"/>
        <item x="36"/>
        <item x="84"/>
        <item x="82"/>
        <item x="22"/>
        <item x="73"/>
        <item m="1" x="97"/>
        <item x="48"/>
        <item x="71"/>
        <item x="89"/>
        <item x="64"/>
        <item x="21"/>
        <item x="24"/>
        <item x="72"/>
        <item x="34"/>
        <item x="67"/>
        <item x="85"/>
        <item x="53"/>
        <item x="16"/>
        <item x="10"/>
        <item x="88"/>
        <item x="77"/>
        <item x="46"/>
        <item x="9"/>
        <item x="15"/>
        <item x="0"/>
        <item x="14"/>
        <item x="18"/>
        <item x="93"/>
        <item x="65"/>
        <item x="66"/>
        <item x="76"/>
        <item x="79"/>
        <item x="80"/>
        <item x="81"/>
        <item x="86"/>
        <item x="26"/>
        <item x="51"/>
        <item x="75"/>
        <item x="31"/>
        <item x="61"/>
        <item x="92"/>
      </items>
    </pivotField>
    <pivotField axis="axisRow" compact="0" outline="0" showAll="0">
      <items count="125">
        <item x="8"/>
        <item x="21"/>
        <item x="27"/>
        <item x="31"/>
        <item x="53"/>
        <item x="75"/>
        <item x="0"/>
        <item m="1" x="121"/>
        <item m="1" x="122"/>
        <item x="72"/>
        <item x="71"/>
        <item x="52"/>
        <item x="7"/>
        <item x="57"/>
        <item x="29"/>
        <item x="63"/>
        <item x="67"/>
        <item x="34"/>
        <item x="14"/>
        <item x="77"/>
        <item x="13"/>
        <item x="45"/>
        <item x="93"/>
        <item x="12"/>
        <item x="2"/>
        <item x="76"/>
        <item x="110"/>
        <item x="49"/>
        <item x="86"/>
        <item x="38"/>
        <item x="37"/>
        <item x="66"/>
        <item x="22"/>
        <item x="44"/>
        <item x="11"/>
        <item x="1"/>
        <item x="111"/>
        <item x="68"/>
        <item x="50"/>
        <item x="19"/>
        <item m="1" x="116"/>
        <item m="1" x="123"/>
        <item x="65"/>
        <item x="96"/>
        <item x="59"/>
        <item x="3"/>
        <item x="39"/>
        <item x="36"/>
        <item x="112"/>
        <item x="78"/>
        <item m="1" x="120"/>
        <item x="69"/>
        <item x="48"/>
        <item x="58"/>
        <item m="1" x="117"/>
        <item x="30"/>
        <item x="35"/>
        <item x="23"/>
        <item x="81"/>
        <item x="95"/>
        <item x="70"/>
        <item x="85"/>
        <item x="24"/>
        <item x="46"/>
        <item x="33"/>
        <item x="41"/>
        <item x="5"/>
        <item x="92"/>
        <item x="56"/>
        <item x="4"/>
        <item x="42"/>
        <item x="104"/>
        <item x="28"/>
        <item x="84"/>
        <item m="1" x="114"/>
        <item m="1" x="119"/>
        <item x="55"/>
        <item m="1" x="118"/>
        <item m="1" x="113"/>
        <item x="47"/>
        <item x="88"/>
        <item x="26"/>
        <item x="51"/>
        <item m="1" x="115"/>
        <item x="40"/>
        <item x="87"/>
        <item x="73"/>
        <item x="79"/>
        <item x="60"/>
        <item x="18"/>
        <item x="43"/>
        <item x="10"/>
        <item x="99"/>
        <item x="61"/>
        <item x="83"/>
        <item x="16"/>
        <item x="74"/>
        <item x="64"/>
        <item x="32"/>
        <item x="17"/>
        <item x="15"/>
        <item x="82"/>
        <item x="6"/>
        <item x="20"/>
        <item x="25"/>
        <item x="62"/>
        <item x="89"/>
        <item x="90"/>
        <item x="94"/>
        <item x="98"/>
        <item x="100"/>
        <item x="101"/>
        <item x="102"/>
        <item x="106"/>
        <item x="9"/>
        <item x="54"/>
        <item x="107"/>
        <item x="103"/>
        <item x="105"/>
        <item x="97"/>
        <item x="80"/>
        <item x="108"/>
        <item x="109"/>
        <item x="9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18"/>
    <field x="3"/>
    <field x="19"/>
  </rowFields>
  <rowItems count="59">
    <i>
      <x v="7"/>
      <x v="1"/>
      <x v="10"/>
    </i>
    <i>
      <x v="11"/>
      <x v="1"/>
      <x v="13"/>
    </i>
    <i>
      <x v="17"/>
      <x v="1"/>
      <x v="20"/>
    </i>
    <i>
      <x v="26"/>
      <x v="1"/>
      <x v="104"/>
    </i>
    <i>
      <x v="27"/>
      <x v="1"/>
      <x v="105"/>
    </i>
    <i>
      <x v="28"/>
      <x v="1"/>
      <x v="103"/>
    </i>
    <i>
      <x v="37"/>
      <x/>
      <x v="118"/>
    </i>
    <i r="1">
      <x v="1"/>
      <x v="45"/>
    </i>
    <i r="1">
      <x v="8"/>
      <x v="118"/>
    </i>
    <i>
      <x v="49"/>
      <x v="1"/>
      <x v="62"/>
    </i>
    <i>
      <x v="81"/>
      <x/>
      <x v="114"/>
    </i>
    <i r="2">
      <x v="115"/>
    </i>
    <i r="1">
      <x v="1"/>
      <x v="28"/>
    </i>
    <i r="2">
      <x v="94"/>
    </i>
    <i r="2">
      <x v="114"/>
    </i>
    <i r="2">
      <x v="115"/>
    </i>
    <i r="1">
      <x v="3"/>
      <x v="115"/>
    </i>
    <i r="1">
      <x v="5"/>
      <x v="115"/>
    </i>
    <i r="1">
      <x v="8"/>
      <x v="28"/>
    </i>
    <i r="2">
      <x v="114"/>
    </i>
    <i r="2">
      <x v="115"/>
    </i>
    <i>
      <x v="83"/>
      <x v="1"/>
      <x v="6"/>
    </i>
    <i r="2">
      <x v="98"/>
    </i>
    <i r="2">
      <x v="99"/>
    </i>
    <i r="1">
      <x v="3"/>
      <x v="6"/>
    </i>
    <i r="2">
      <x v="98"/>
    </i>
    <i r="1">
      <x v="5"/>
      <x v="98"/>
    </i>
    <i r="1">
      <x v="8"/>
      <x v="98"/>
    </i>
    <i r="2">
      <x v="99"/>
    </i>
    <i>
      <x v="85"/>
      <x/>
      <x v="1"/>
    </i>
    <i r="2">
      <x v="86"/>
    </i>
    <i r="2">
      <x v="108"/>
    </i>
    <i r="1">
      <x v="1"/>
      <x v="1"/>
    </i>
    <i r="2">
      <x v="2"/>
    </i>
    <i r="2">
      <x v="32"/>
    </i>
    <i r="2">
      <x v="39"/>
    </i>
    <i r="2">
      <x v="86"/>
    </i>
    <i r="2">
      <x v="101"/>
    </i>
    <i r="2">
      <x v="108"/>
    </i>
    <i r="2">
      <x v="116"/>
    </i>
    <i r="2">
      <x v="123"/>
    </i>
    <i r="1">
      <x v="3"/>
      <x v="1"/>
    </i>
    <i r="1">
      <x v="5"/>
      <x v="1"/>
    </i>
    <i r="1">
      <x v="8"/>
      <x v="1"/>
    </i>
    <i r="2">
      <x v="2"/>
    </i>
    <i>
      <x v="87"/>
      <x v="2"/>
      <x v="106"/>
    </i>
    <i>
      <x v="88"/>
      <x v="1"/>
      <x v="107"/>
    </i>
    <i>
      <x v="89"/>
      <x v="4"/>
      <x v="109"/>
    </i>
    <i>
      <x v="90"/>
      <x v="5"/>
      <x v="110"/>
    </i>
    <i>
      <x v="91"/>
      <x v="3"/>
      <x v="111"/>
    </i>
    <i r="1">
      <x v="9"/>
      <x v="111"/>
    </i>
    <i>
      <x v="92"/>
      <x v="5"/>
      <x v="112"/>
    </i>
    <i r="1">
      <x v="8"/>
      <x v="112"/>
    </i>
    <i r="2">
      <x v="117"/>
    </i>
    <i>
      <x v="93"/>
      <x/>
      <x v="113"/>
    </i>
    <i>
      <x v="94"/>
      <x v="1"/>
      <x v="33"/>
    </i>
    <i r="2">
      <x v="76"/>
    </i>
    <i r="2">
      <x v="99"/>
    </i>
    <i t="grand">
      <x/>
    </i>
  </rowItems>
  <colItems count="1">
    <i/>
  </colItems>
  <pageFields count="1">
    <pageField fld="10" hier="-1"/>
  </pageFields>
  <dataFields count="1">
    <dataField name="Count of Name " fld="2" subtotal="count" baseField="0" baseItem="0"/>
  </dataFields>
  <formats count="130">
    <format dxfId="175">
      <pivotArea outline="0" fieldPosition="0">
        <references count="2">
          <reference field="18" count="1" selected="0">
            <x v="17"/>
          </reference>
          <reference field="19" count="1" selected="0">
            <x v="20"/>
          </reference>
        </references>
      </pivotArea>
    </format>
    <format dxfId="176">
      <pivotArea dataOnly="0" labelOnly="1" outline="0" fieldPosition="0">
        <references count="1">
          <reference field="18" count="1">
            <x v="17"/>
          </reference>
        </references>
      </pivotArea>
    </format>
    <format dxfId="177">
      <pivotArea dataOnly="0" labelOnly="1" outline="0" fieldPosition="0">
        <references count="2">
          <reference field="18" count="1" selected="0">
            <x v="17"/>
          </reference>
          <reference field="19" count="1">
            <x v="20"/>
          </reference>
        </references>
      </pivotArea>
    </format>
    <format dxfId="178">
      <pivotArea outline="0" fieldPosition="0">
        <references count="2">
          <reference field="18" count="1" selected="0">
            <x v="81"/>
          </reference>
          <reference field="19" count="1" selected="0">
            <x v="41"/>
          </reference>
        </references>
      </pivotArea>
    </format>
    <format dxfId="179">
      <pivotArea dataOnly="0" labelOnly="1" outline="0" fieldPosition="0">
        <references count="2">
          <reference field="18" count="1" selected="0">
            <x v="81"/>
          </reference>
          <reference field="19" count="1">
            <x v="41"/>
          </reference>
        </references>
      </pivotArea>
    </format>
    <format dxfId="180">
      <pivotArea outline="0" fieldPosition="0">
        <references count="2">
          <reference field="18" count="1" selected="0">
            <x v="7"/>
          </reference>
          <reference field="19" count="1" selected="0">
            <x v="10"/>
          </reference>
        </references>
      </pivotArea>
    </format>
    <format dxfId="181">
      <pivotArea dataOnly="0" labelOnly="1" outline="0" fieldPosition="0">
        <references count="1">
          <reference field="18" count="1">
            <x v="7"/>
          </reference>
        </references>
      </pivotArea>
    </format>
    <format dxfId="182">
      <pivotArea dataOnly="0" labelOnly="1" outline="0" fieldPosition="0">
        <references count="2">
          <reference field="18" count="1" selected="0">
            <x v="7"/>
          </reference>
          <reference field="19" count="1">
            <x v="10"/>
          </reference>
        </references>
      </pivotArea>
    </format>
    <format dxfId="183">
      <pivotArea outline="0" fieldPosition="0">
        <references count="2">
          <reference field="18" count="1" selected="0">
            <x v="26"/>
          </reference>
          <reference field="19" count="1" selected="0">
            <x v="104"/>
          </reference>
        </references>
      </pivotArea>
    </format>
    <format dxfId="184">
      <pivotArea dataOnly="0" labelOnly="1" outline="0" fieldPosition="0">
        <references count="1">
          <reference field="18" count="1">
            <x v="26"/>
          </reference>
        </references>
      </pivotArea>
    </format>
    <format dxfId="185">
      <pivotArea dataOnly="0" labelOnly="1" outline="0" fieldPosition="0">
        <references count="2">
          <reference field="18" count="1" selected="0">
            <x v="26"/>
          </reference>
          <reference field="19" count="1">
            <x v="104"/>
          </reference>
        </references>
      </pivotArea>
    </format>
    <format dxfId="186">
      <pivotArea outline="0" fieldPosition="0">
        <references count="2">
          <reference field="18" count="1" selected="0">
            <x v="88"/>
          </reference>
          <reference field="19" count="1" selected="0">
            <x v="107"/>
          </reference>
        </references>
      </pivotArea>
    </format>
    <format dxfId="187">
      <pivotArea dataOnly="0" labelOnly="1" outline="0" fieldPosition="0">
        <references count="1">
          <reference field="18" count="1">
            <x v="88"/>
          </reference>
        </references>
      </pivotArea>
    </format>
    <format dxfId="188">
      <pivotArea dataOnly="0" labelOnly="1" outline="0" fieldPosition="0">
        <references count="2">
          <reference field="18" count="1" selected="0">
            <x v="88"/>
          </reference>
          <reference field="19" count="1">
            <x v="107"/>
          </reference>
        </references>
      </pivotArea>
    </format>
    <format dxfId="189">
      <pivotArea outline="0" fieldPosition="0">
        <references count="2">
          <reference field="18" count="1" selected="0">
            <x v="89"/>
          </reference>
          <reference field="19" count="1" selected="0">
            <x v="109"/>
          </reference>
        </references>
      </pivotArea>
    </format>
    <format dxfId="190">
      <pivotArea dataOnly="0" labelOnly="1" outline="0" fieldPosition="0">
        <references count="1">
          <reference field="18" count="1">
            <x v="89"/>
          </reference>
        </references>
      </pivotArea>
    </format>
    <format dxfId="191">
      <pivotArea dataOnly="0" labelOnly="1" outline="0" fieldPosition="0">
        <references count="2">
          <reference field="18" count="1" selected="0">
            <x v="89"/>
          </reference>
          <reference field="19" count="1">
            <x v="109"/>
          </reference>
        </references>
      </pivotArea>
    </format>
    <format dxfId="192">
      <pivotArea outline="0" fieldPosition="0">
        <references count="2">
          <reference field="18" count="1" selected="0">
            <x v="81"/>
          </reference>
          <reference field="19" count="1" selected="0">
            <x v="28"/>
          </reference>
        </references>
      </pivotArea>
    </format>
    <format dxfId="193">
      <pivotArea dataOnly="0" labelOnly="1" outline="0" fieldPosition="0">
        <references count="2">
          <reference field="18" count="1" selected="0">
            <x v="81"/>
          </reference>
          <reference field="19" count="1">
            <x v="28"/>
          </reference>
        </references>
      </pivotArea>
    </format>
    <format dxfId="194">
      <pivotArea outline="0" collapsedLevelsAreSubtotals="1" fieldPosition="0"/>
    </format>
    <format dxfId="195">
      <pivotArea type="topRight" dataOnly="0" labelOnly="1" outline="0" fieldPosition="0"/>
    </format>
    <format dxfId="196">
      <pivotArea outline="0" fieldPosition="0">
        <references count="2">
          <reference field="18" count="1" selected="0">
            <x v="81"/>
          </reference>
          <reference field="19" count="1" selected="0">
            <x v="115"/>
          </reference>
        </references>
      </pivotArea>
    </format>
    <format dxfId="197">
      <pivotArea dataOnly="0" labelOnly="1" outline="0" fieldPosition="0">
        <references count="2">
          <reference field="18" count="1" selected="0">
            <x v="81"/>
          </reference>
          <reference field="19" count="1">
            <x v="115"/>
          </reference>
        </references>
      </pivotArea>
    </format>
    <format dxfId="198">
      <pivotArea outline="0" fieldPosition="0">
        <references count="2">
          <reference field="18" count="1" selected="0">
            <x v="81"/>
          </reference>
          <reference field="19" count="1" selected="0">
            <x v="94"/>
          </reference>
        </references>
      </pivotArea>
    </format>
    <format dxfId="199">
      <pivotArea dataOnly="0" labelOnly="1" outline="0" fieldPosition="0">
        <references count="2">
          <reference field="18" count="1" selected="0">
            <x v="81"/>
          </reference>
          <reference field="19" count="1">
            <x v="94"/>
          </reference>
        </references>
      </pivotArea>
    </format>
    <format dxfId="200">
      <pivotArea outline="0" fieldPosition="0">
        <references count="2">
          <reference field="18" count="1" selected="0">
            <x v="37"/>
          </reference>
          <reference field="19" count="1" selected="0">
            <x v="45"/>
          </reference>
        </references>
      </pivotArea>
    </format>
    <format dxfId="201">
      <pivotArea dataOnly="0" labelOnly="1" outline="0" fieldPosition="0">
        <references count="1">
          <reference field="18" count="1">
            <x v="37"/>
          </reference>
        </references>
      </pivotArea>
    </format>
    <format dxfId="202">
      <pivotArea dataOnly="0" labelOnly="1" outline="0" fieldPosition="0">
        <references count="2">
          <reference field="18" count="1" selected="0">
            <x v="37"/>
          </reference>
          <reference field="19" count="1">
            <x v="45"/>
          </reference>
        </references>
      </pivotArea>
    </format>
    <format dxfId="203">
      <pivotArea outline="0" fieldPosition="0">
        <references count="2">
          <reference field="18" count="1" selected="0">
            <x v="27"/>
          </reference>
          <reference field="19" count="1" selected="0">
            <x v="105"/>
          </reference>
        </references>
      </pivotArea>
    </format>
    <format dxfId="204">
      <pivotArea dataOnly="0" labelOnly="1" outline="0" fieldPosition="0">
        <references count="1">
          <reference field="18" count="1">
            <x v="27"/>
          </reference>
        </references>
      </pivotArea>
    </format>
    <format dxfId="205">
      <pivotArea dataOnly="0" labelOnly="1" outline="0" fieldPosition="0">
        <references count="2">
          <reference field="18" count="1" selected="0">
            <x v="27"/>
          </reference>
          <reference field="19" count="1">
            <x v="105"/>
          </reference>
        </references>
      </pivotArea>
    </format>
    <format dxfId="206">
      <pivotArea outline="0" fieldPosition="0">
        <references count="2">
          <reference field="18" count="1" selected="0">
            <x v="28"/>
          </reference>
          <reference field="19" count="1" selected="0">
            <x v="103"/>
          </reference>
        </references>
      </pivotArea>
    </format>
    <format dxfId="207">
      <pivotArea dataOnly="0" labelOnly="1" outline="0" fieldPosition="0">
        <references count="1">
          <reference field="18" count="1">
            <x v="28"/>
          </reference>
        </references>
      </pivotArea>
    </format>
    <format dxfId="208">
      <pivotArea dataOnly="0" labelOnly="1" outline="0" fieldPosition="0">
        <references count="2">
          <reference field="18" count="1" selected="0">
            <x v="28"/>
          </reference>
          <reference field="19" count="1">
            <x v="103"/>
          </reference>
        </references>
      </pivotArea>
    </format>
    <format dxfId="209">
      <pivotArea outline="0" fieldPosition="0">
        <references count="2">
          <reference field="18" count="2" selected="0">
            <x v="92"/>
            <x v="93"/>
          </reference>
          <reference field="19" count="2" selected="0">
            <x v="112"/>
            <x v="113"/>
          </reference>
        </references>
      </pivotArea>
    </format>
    <format dxfId="210">
      <pivotArea dataOnly="0" labelOnly="1" outline="0" fieldPosition="0">
        <references count="1">
          <reference field="18" count="2">
            <x v="92"/>
            <x v="93"/>
          </reference>
        </references>
      </pivotArea>
    </format>
    <format dxfId="211">
      <pivotArea dataOnly="0" labelOnly="1" outline="0" fieldPosition="0">
        <references count="2">
          <reference field="18" count="1" selected="0">
            <x v="92"/>
          </reference>
          <reference field="19" count="1">
            <x v="112"/>
          </reference>
        </references>
      </pivotArea>
    </format>
    <format dxfId="212">
      <pivotArea dataOnly="0" labelOnly="1" outline="0" fieldPosition="0">
        <references count="2">
          <reference field="18" count="1" selected="0">
            <x v="93"/>
          </reference>
          <reference field="19" count="1">
            <x v="113"/>
          </reference>
        </references>
      </pivotArea>
    </format>
    <format dxfId="213">
      <pivotArea outline="0" fieldPosition="0">
        <references count="2">
          <reference field="18" count="1" selected="0">
            <x v="94"/>
          </reference>
          <reference field="19" count="2" selected="0">
            <x v="33"/>
            <x v="76"/>
          </reference>
        </references>
      </pivotArea>
    </format>
    <format dxfId="214">
      <pivotArea dataOnly="0" labelOnly="1" outline="0" fieldPosition="0">
        <references count="1">
          <reference field="18" count="1">
            <x v="94"/>
          </reference>
        </references>
      </pivotArea>
    </format>
    <format dxfId="215">
      <pivotArea dataOnly="0" labelOnly="1" outline="0" fieldPosition="0">
        <references count="2">
          <reference field="18" count="1" selected="0">
            <x v="94"/>
          </reference>
          <reference field="19" count="2">
            <x v="33"/>
            <x v="76"/>
          </reference>
        </references>
      </pivotArea>
    </format>
    <format dxfId="216">
      <pivotArea outline="0" fieldPosition="0">
        <references count="2">
          <reference field="18" count="1" selected="0">
            <x v="11"/>
          </reference>
          <reference field="19" count="1" selected="0">
            <x v="13"/>
          </reference>
        </references>
      </pivotArea>
    </format>
    <format dxfId="217">
      <pivotArea dataOnly="0" labelOnly="1" outline="0" fieldPosition="0">
        <references count="1">
          <reference field="18" count="1">
            <x v="11"/>
          </reference>
        </references>
      </pivotArea>
    </format>
    <format dxfId="218">
      <pivotArea dataOnly="0" labelOnly="1" outline="0" fieldPosition="0">
        <references count="2">
          <reference field="18" count="1" selected="0">
            <x v="11"/>
          </reference>
          <reference field="19" count="1">
            <x v="13"/>
          </reference>
        </references>
      </pivotArea>
    </format>
    <format dxfId="219">
      <pivotArea outline="0" fieldPosition="0">
        <references count="2">
          <reference field="18" count="1" selected="0">
            <x v="37"/>
          </reference>
          <reference field="19" count="1" selected="0">
            <x v="118"/>
          </reference>
        </references>
      </pivotArea>
    </format>
    <format dxfId="220">
      <pivotArea dataOnly="0" labelOnly="1" outline="0" fieldPosition="0">
        <references count="2">
          <reference field="18" count="1" selected="0">
            <x v="37"/>
          </reference>
          <reference field="19" count="1">
            <x v="118"/>
          </reference>
        </references>
      </pivotArea>
    </format>
    <format dxfId="221">
      <pivotArea outline="0" fieldPosition="0">
        <references count="2">
          <reference field="18" count="2" selected="0">
            <x v="83"/>
            <x v="85"/>
          </reference>
          <reference field="19" count="11" selected="0">
            <x v="1"/>
            <x v="2"/>
            <x v="6"/>
            <x v="32"/>
            <x v="39"/>
            <x v="86"/>
            <x v="98"/>
            <x v="99"/>
            <x v="101"/>
            <x v="108"/>
            <x v="116"/>
          </reference>
        </references>
      </pivotArea>
    </format>
    <format dxfId="222">
      <pivotArea dataOnly="0" labelOnly="1" outline="0" fieldPosition="0">
        <references count="1">
          <reference field="18" count="2">
            <x v="83"/>
            <x v="85"/>
          </reference>
        </references>
      </pivotArea>
    </format>
    <format dxfId="223">
      <pivotArea dataOnly="0" labelOnly="1" outline="0" fieldPosition="0">
        <references count="2">
          <reference field="18" count="1" selected="0">
            <x v="83"/>
          </reference>
          <reference field="19" count="3">
            <x v="6"/>
            <x v="98"/>
            <x v="99"/>
          </reference>
        </references>
      </pivotArea>
    </format>
    <format dxfId="224">
      <pivotArea dataOnly="0" labelOnly="1" outline="0" fieldPosition="0">
        <references count="2">
          <reference field="18" count="1" selected="0">
            <x v="85"/>
          </reference>
          <reference field="19" count="8">
            <x v="1"/>
            <x v="2"/>
            <x v="32"/>
            <x v="39"/>
            <x v="86"/>
            <x v="101"/>
            <x v="108"/>
            <x v="116"/>
          </reference>
        </references>
      </pivotArea>
    </format>
    <format dxfId="225">
      <pivotArea outline="0" fieldPosition="0">
        <references count="2">
          <reference field="18" count="1" selected="0">
            <x v="92"/>
          </reference>
          <reference field="19" count="1" selected="0">
            <x v="117"/>
          </reference>
        </references>
      </pivotArea>
    </format>
    <format dxfId="226">
      <pivotArea dataOnly="0" labelOnly="1" outline="0" fieldPosition="0">
        <references count="2">
          <reference field="18" count="1" selected="0">
            <x v="92"/>
          </reference>
          <reference field="19" count="1">
            <x v="117"/>
          </reference>
        </references>
      </pivotArea>
    </format>
    <format dxfId="227">
      <pivotArea outline="0" collapsedLevelsAreSubtotals="1" fieldPosition="0"/>
    </format>
    <format dxfId="228">
      <pivotArea field="18" type="button" dataOnly="0" labelOnly="1" outline="0" axis="axisRow" fieldPosition="0"/>
    </format>
    <format dxfId="229">
      <pivotArea field="19" type="button" dataOnly="0" labelOnly="1" outline="0" axis="axisRow" fieldPosition="2"/>
    </format>
    <format dxfId="230">
      <pivotArea dataOnly="0" labelOnly="1" outline="0" fieldPosition="0">
        <references count="1">
          <reference field="18" count="19">
            <x v="7"/>
            <x v="11"/>
            <x v="17"/>
            <x v="26"/>
            <x v="27"/>
            <x v="28"/>
            <x v="37"/>
            <x v="49"/>
            <x v="81"/>
            <x v="83"/>
            <x v="85"/>
            <x v="87"/>
            <x v="88"/>
            <x v="89"/>
            <x v="90"/>
            <x v="91"/>
            <x v="92"/>
            <x v="93"/>
            <x v="94"/>
          </reference>
        </references>
      </pivotArea>
    </format>
    <format dxfId="231">
      <pivotArea dataOnly="0" labelOnly="1" grandRow="1" outline="0" fieldPosition="0"/>
    </format>
    <format dxfId="232">
      <pivotArea dataOnly="0" labelOnly="1" outline="0" fieldPosition="0">
        <references count="2">
          <reference field="18" count="1" selected="0">
            <x v="7"/>
          </reference>
          <reference field="19" count="1">
            <x v="10"/>
          </reference>
        </references>
      </pivotArea>
    </format>
    <format dxfId="233">
      <pivotArea dataOnly="0" labelOnly="1" outline="0" fieldPosition="0">
        <references count="2">
          <reference field="18" count="1" selected="0">
            <x v="11"/>
          </reference>
          <reference field="19" count="1">
            <x v="13"/>
          </reference>
        </references>
      </pivotArea>
    </format>
    <format dxfId="234">
      <pivotArea dataOnly="0" labelOnly="1" outline="0" fieldPosition="0">
        <references count="2">
          <reference field="18" count="1" selected="0">
            <x v="17"/>
          </reference>
          <reference field="19" count="1">
            <x v="20"/>
          </reference>
        </references>
      </pivotArea>
    </format>
    <format dxfId="235">
      <pivotArea dataOnly="0" labelOnly="1" outline="0" fieldPosition="0">
        <references count="2">
          <reference field="18" count="1" selected="0">
            <x v="26"/>
          </reference>
          <reference field="19" count="1">
            <x v="104"/>
          </reference>
        </references>
      </pivotArea>
    </format>
    <format dxfId="236">
      <pivotArea dataOnly="0" labelOnly="1" outline="0" fieldPosition="0">
        <references count="2">
          <reference field="18" count="1" selected="0">
            <x v="27"/>
          </reference>
          <reference field="19" count="1">
            <x v="105"/>
          </reference>
        </references>
      </pivotArea>
    </format>
    <format dxfId="237">
      <pivotArea dataOnly="0" labelOnly="1" outline="0" fieldPosition="0">
        <references count="2">
          <reference field="18" count="1" selected="0">
            <x v="28"/>
          </reference>
          <reference field="19" count="1">
            <x v="103"/>
          </reference>
        </references>
      </pivotArea>
    </format>
    <format dxfId="238">
      <pivotArea dataOnly="0" labelOnly="1" outline="0" fieldPosition="0">
        <references count="2">
          <reference field="18" count="1" selected="0">
            <x v="37"/>
          </reference>
          <reference field="19" count="2">
            <x v="45"/>
            <x v="118"/>
          </reference>
        </references>
      </pivotArea>
    </format>
    <format dxfId="239">
      <pivotArea dataOnly="0" labelOnly="1" outline="0" fieldPosition="0">
        <references count="2">
          <reference field="18" count="1" selected="0">
            <x v="49"/>
          </reference>
          <reference field="19" count="1">
            <x v="62"/>
          </reference>
        </references>
      </pivotArea>
    </format>
    <format dxfId="240">
      <pivotArea dataOnly="0" labelOnly="1" outline="0" fieldPosition="0">
        <references count="2">
          <reference field="18" count="1" selected="0">
            <x v="81"/>
          </reference>
          <reference field="19" count="4">
            <x v="28"/>
            <x v="94"/>
            <x v="114"/>
            <x v="115"/>
          </reference>
        </references>
      </pivotArea>
    </format>
    <format dxfId="241">
      <pivotArea dataOnly="0" labelOnly="1" outline="0" fieldPosition="0">
        <references count="2">
          <reference field="18" count="1" selected="0">
            <x v="83"/>
          </reference>
          <reference field="19" count="3">
            <x v="6"/>
            <x v="98"/>
            <x v="99"/>
          </reference>
        </references>
      </pivotArea>
    </format>
    <format dxfId="242">
      <pivotArea dataOnly="0" labelOnly="1" outline="0" fieldPosition="0">
        <references count="2">
          <reference field="18" count="1" selected="0">
            <x v="85"/>
          </reference>
          <reference field="19" count="8">
            <x v="1"/>
            <x v="2"/>
            <x v="32"/>
            <x v="39"/>
            <x v="86"/>
            <x v="101"/>
            <x v="108"/>
            <x v="116"/>
          </reference>
        </references>
      </pivotArea>
    </format>
    <format dxfId="243">
      <pivotArea dataOnly="0" labelOnly="1" outline="0" fieldPosition="0">
        <references count="2">
          <reference field="18" count="1" selected="0">
            <x v="87"/>
          </reference>
          <reference field="19" count="1">
            <x v="106"/>
          </reference>
        </references>
      </pivotArea>
    </format>
    <format dxfId="244">
      <pivotArea dataOnly="0" labelOnly="1" outline="0" fieldPosition="0">
        <references count="2">
          <reference field="18" count="1" selected="0">
            <x v="88"/>
          </reference>
          <reference field="19" count="1">
            <x v="107"/>
          </reference>
        </references>
      </pivotArea>
    </format>
    <format dxfId="245">
      <pivotArea dataOnly="0" labelOnly="1" outline="0" fieldPosition="0">
        <references count="2">
          <reference field="18" count="1" selected="0">
            <x v="89"/>
          </reference>
          <reference field="19" count="1">
            <x v="109"/>
          </reference>
        </references>
      </pivotArea>
    </format>
    <format dxfId="246">
      <pivotArea dataOnly="0" labelOnly="1" outline="0" fieldPosition="0">
        <references count="2">
          <reference field="18" count="1" selected="0">
            <x v="90"/>
          </reference>
          <reference field="19" count="1">
            <x v="110"/>
          </reference>
        </references>
      </pivotArea>
    </format>
    <format dxfId="247">
      <pivotArea dataOnly="0" labelOnly="1" outline="0" fieldPosition="0">
        <references count="2">
          <reference field="18" count="1" selected="0">
            <x v="91"/>
          </reference>
          <reference field="19" count="1">
            <x v="111"/>
          </reference>
        </references>
      </pivotArea>
    </format>
    <format dxfId="248">
      <pivotArea dataOnly="0" labelOnly="1" outline="0" fieldPosition="0">
        <references count="2">
          <reference field="18" count="1" selected="0">
            <x v="92"/>
          </reference>
          <reference field="19" count="2">
            <x v="112"/>
            <x v="117"/>
          </reference>
        </references>
      </pivotArea>
    </format>
    <format dxfId="249">
      <pivotArea dataOnly="0" labelOnly="1" outline="0" fieldPosition="0">
        <references count="2">
          <reference field="18" count="1" selected="0">
            <x v="93"/>
          </reference>
          <reference field="19" count="1">
            <x v="113"/>
          </reference>
        </references>
      </pivotArea>
    </format>
    <format dxfId="250">
      <pivotArea dataOnly="0" labelOnly="1" outline="0" fieldPosition="0">
        <references count="2">
          <reference field="18" count="1" selected="0">
            <x v="94"/>
          </reference>
          <reference field="19" count="3">
            <x v="33"/>
            <x v="76"/>
            <x v="99"/>
          </reference>
        </references>
      </pivotArea>
    </format>
    <format dxfId="251">
      <pivotArea outline="0" collapsedLevelsAreSubtotals="1" fieldPosition="0"/>
    </format>
    <format dxfId="252">
      <pivotArea field="18" type="button" dataOnly="0" labelOnly="1" outline="0" axis="axisRow" fieldPosition="0"/>
    </format>
    <format dxfId="253">
      <pivotArea field="3" type="button" dataOnly="0" labelOnly="1" outline="0" axis="axisRow" fieldPosition="1"/>
    </format>
    <format dxfId="254">
      <pivotArea field="19" type="button" dataOnly="0" labelOnly="1" outline="0" axis="axisRow" fieldPosition="2"/>
    </format>
    <format dxfId="255">
      <pivotArea dataOnly="0" labelOnly="1" outline="0" fieldPosition="0">
        <references count="1">
          <reference field="18" count="19">
            <x v="7"/>
            <x v="11"/>
            <x v="17"/>
            <x v="26"/>
            <x v="27"/>
            <x v="28"/>
            <x v="37"/>
            <x v="49"/>
            <x v="81"/>
            <x v="83"/>
            <x v="85"/>
            <x v="87"/>
            <x v="88"/>
            <x v="89"/>
            <x v="90"/>
            <x v="91"/>
            <x v="92"/>
            <x v="93"/>
            <x v="94"/>
          </reference>
        </references>
      </pivotArea>
    </format>
    <format dxfId="256">
      <pivotArea dataOnly="0" labelOnly="1" grandRow="1" outline="0" fieldPosition="0"/>
    </format>
    <format dxfId="257">
      <pivotArea dataOnly="0" labelOnly="1" outline="0" fieldPosition="0">
        <references count="2">
          <reference field="3" count="1">
            <x v="1"/>
          </reference>
          <reference field="18" count="1" selected="0">
            <x v="7"/>
          </reference>
        </references>
      </pivotArea>
    </format>
    <format dxfId="258">
      <pivotArea dataOnly="0" labelOnly="1" outline="0" fieldPosition="0">
        <references count="2">
          <reference field="3" count="3">
            <x v="0"/>
            <x v="1"/>
            <x v="8"/>
          </reference>
          <reference field="18" count="1" selected="0">
            <x v="37"/>
          </reference>
        </references>
      </pivotArea>
    </format>
    <format dxfId="259">
      <pivotArea dataOnly="0" labelOnly="1" outline="0" fieldPosition="0">
        <references count="2">
          <reference field="3" count="1">
            <x v="1"/>
          </reference>
          <reference field="18" count="1" selected="0">
            <x v="49"/>
          </reference>
        </references>
      </pivotArea>
    </format>
    <format dxfId="260">
      <pivotArea dataOnly="0" labelOnly="1" outline="0" fieldPosition="0">
        <references count="2">
          <reference field="3" count="5">
            <x v="0"/>
            <x v="1"/>
            <x v="3"/>
            <x v="5"/>
            <x v="8"/>
          </reference>
          <reference field="18" count="1" selected="0">
            <x v="81"/>
          </reference>
        </references>
      </pivotArea>
    </format>
    <format dxfId="261">
      <pivotArea dataOnly="0" labelOnly="1" outline="0" fieldPosition="0">
        <references count="2">
          <reference field="3" count="4">
            <x v="1"/>
            <x v="3"/>
            <x v="5"/>
            <x v="8"/>
          </reference>
          <reference field="18" count="1" selected="0">
            <x v="83"/>
          </reference>
        </references>
      </pivotArea>
    </format>
    <format dxfId="262">
      <pivotArea dataOnly="0" labelOnly="1" outline="0" fieldPosition="0">
        <references count="2">
          <reference field="3" count="5">
            <x v="0"/>
            <x v="1"/>
            <x v="3"/>
            <x v="5"/>
            <x v="8"/>
          </reference>
          <reference field="18" count="1" selected="0">
            <x v="85"/>
          </reference>
        </references>
      </pivotArea>
    </format>
    <format dxfId="263">
      <pivotArea dataOnly="0" labelOnly="1" outline="0" fieldPosition="0">
        <references count="2">
          <reference field="3" count="1">
            <x v="2"/>
          </reference>
          <reference field="18" count="1" selected="0">
            <x v="87"/>
          </reference>
        </references>
      </pivotArea>
    </format>
    <format dxfId="264">
      <pivotArea dataOnly="0" labelOnly="1" outline="0" fieldPosition="0">
        <references count="2">
          <reference field="3" count="1">
            <x v="1"/>
          </reference>
          <reference field="18" count="1" selected="0">
            <x v="88"/>
          </reference>
        </references>
      </pivotArea>
    </format>
    <format dxfId="265">
      <pivotArea dataOnly="0" labelOnly="1" outline="0" fieldPosition="0">
        <references count="2">
          <reference field="3" count="1">
            <x v="4"/>
          </reference>
          <reference field="18" count="1" selected="0">
            <x v="89"/>
          </reference>
        </references>
      </pivotArea>
    </format>
    <format dxfId="266">
      <pivotArea dataOnly="0" labelOnly="1" outline="0" fieldPosition="0">
        <references count="2">
          <reference field="3" count="1">
            <x v="5"/>
          </reference>
          <reference field="18" count="1" selected="0">
            <x v="90"/>
          </reference>
        </references>
      </pivotArea>
    </format>
    <format dxfId="267">
      <pivotArea dataOnly="0" labelOnly="1" outline="0" fieldPosition="0">
        <references count="2">
          <reference field="3" count="2">
            <x v="3"/>
            <x v="5"/>
          </reference>
          <reference field="18" count="1" selected="0">
            <x v="91"/>
          </reference>
        </references>
      </pivotArea>
    </format>
    <format dxfId="268">
      <pivotArea dataOnly="0" labelOnly="1" outline="0" fieldPosition="0">
        <references count="2">
          <reference field="3" count="1">
            <x v="8"/>
          </reference>
          <reference field="18" count="1" selected="0">
            <x v="92"/>
          </reference>
        </references>
      </pivotArea>
    </format>
    <format dxfId="269">
      <pivotArea dataOnly="0" labelOnly="1" outline="0" fieldPosition="0">
        <references count="2">
          <reference field="3" count="1">
            <x v="0"/>
          </reference>
          <reference field="18" count="1" selected="0">
            <x v="93"/>
          </reference>
        </references>
      </pivotArea>
    </format>
    <format dxfId="270">
      <pivotArea dataOnly="0" labelOnly="1" outline="0" fieldPosition="0">
        <references count="2">
          <reference field="3" count="1">
            <x v="1"/>
          </reference>
          <reference field="18" count="1" selected="0">
            <x v="94"/>
          </reference>
        </references>
      </pivotArea>
    </format>
    <format dxfId="271">
      <pivotArea dataOnly="0" labelOnly="1" outline="0" fieldPosition="0">
        <references count="3">
          <reference field="3" count="1" selected="0">
            <x v="1"/>
          </reference>
          <reference field="18" count="1" selected="0">
            <x v="7"/>
          </reference>
          <reference field="19" count="1">
            <x v="10"/>
          </reference>
        </references>
      </pivotArea>
    </format>
    <format dxfId="272">
      <pivotArea dataOnly="0" labelOnly="1" outline="0" fieldPosition="0">
        <references count="3">
          <reference field="3" count="1" selected="0">
            <x v="1"/>
          </reference>
          <reference field="18" count="1" selected="0">
            <x v="11"/>
          </reference>
          <reference field="19" count="1">
            <x v="13"/>
          </reference>
        </references>
      </pivotArea>
    </format>
    <format dxfId="273">
      <pivotArea dataOnly="0" labelOnly="1" outline="0" fieldPosition="0">
        <references count="3">
          <reference field="3" count="1" selected="0">
            <x v="1"/>
          </reference>
          <reference field="18" count="1" selected="0">
            <x v="17"/>
          </reference>
          <reference field="19" count="1">
            <x v="20"/>
          </reference>
        </references>
      </pivotArea>
    </format>
    <format dxfId="274">
      <pivotArea dataOnly="0" labelOnly="1" outline="0" fieldPosition="0">
        <references count="3">
          <reference field="3" count="1" selected="0">
            <x v="1"/>
          </reference>
          <reference field="18" count="1" selected="0">
            <x v="26"/>
          </reference>
          <reference field="19" count="1">
            <x v="104"/>
          </reference>
        </references>
      </pivotArea>
    </format>
    <format dxfId="275">
      <pivotArea dataOnly="0" labelOnly="1" outline="0" fieldPosition="0">
        <references count="3">
          <reference field="3" count="1" selected="0">
            <x v="1"/>
          </reference>
          <reference field="18" count="1" selected="0">
            <x v="27"/>
          </reference>
          <reference field="19" count="1">
            <x v="105"/>
          </reference>
        </references>
      </pivotArea>
    </format>
    <format dxfId="276">
      <pivotArea dataOnly="0" labelOnly="1" outline="0" fieldPosition="0">
        <references count="3">
          <reference field="3" count="1" selected="0">
            <x v="1"/>
          </reference>
          <reference field="18" count="1" selected="0">
            <x v="28"/>
          </reference>
          <reference field="19" count="1">
            <x v="103"/>
          </reference>
        </references>
      </pivotArea>
    </format>
    <format dxfId="277">
      <pivotArea dataOnly="0" labelOnly="1" outline="0" fieldPosition="0">
        <references count="3">
          <reference field="3" count="1" selected="0">
            <x v="0"/>
          </reference>
          <reference field="18" count="1" selected="0">
            <x v="37"/>
          </reference>
          <reference field="19" count="1">
            <x v="118"/>
          </reference>
        </references>
      </pivotArea>
    </format>
    <format dxfId="278">
      <pivotArea dataOnly="0" labelOnly="1" outline="0" fieldPosition="0">
        <references count="3">
          <reference field="3" count="1" selected="0">
            <x v="1"/>
          </reference>
          <reference field="18" count="1" selected="0">
            <x v="37"/>
          </reference>
          <reference field="19" count="1">
            <x v="45"/>
          </reference>
        </references>
      </pivotArea>
    </format>
    <format dxfId="279">
      <pivotArea dataOnly="0" labelOnly="1" outline="0" fieldPosition="0">
        <references count="3">
          <reference field="3" count="1" selected="0">
            <x v="8"/>
          </reference>
          <reference field="18" count="1" selected="0">
            <x v="37"/>
          </reference>
          <reference field="19" count="1">
            <x v="118"/>
          </reference>
        </references>
      </pivotArea>
    </format>
    <format dxfId="280">
      <pivotArea dataOnly="0" labelOnly="1" outline="0" fieldPosition="0">
        <references count="3">
          <reference field="3" count="1" selected="0">
            <x v="1"/>
          </reference>
          <reference field="18" count="1" selected="0">
            <x v="49"/>
          </reference>
          <reference field="19" count="1">
            <x v="62"/>
          </reference>
        </references>
      </pivotArea>
    </format>
    <format dxfId="281">
      <pivotArea dataOnly="0" labelOnly="1" outline="0" fieldPosition="0">
        <references count="3">
          <reference field="3" count="1" selected="0">
            <x v="0"/>
          </reference>
          <reference field="18" count="1" selected="0">
            <x v="81"/>
          </reference>
          <reference field="19" count="2">
            <x v="114"/>
            <x v="115"/>
          </reference>
        </references>
      </pivotArea>
    </format>
    <format dxfId="282">
      <pivotArea dataOnly="0" labelOnly="1" outline="0" fieldPosition="0">
        <references count="3">
          <reference field="3" count="1" selected="0">
            <x v="1"/>
          </reference>
          <reference field="18" count="1" selected="0">
            <x v="81"/>
          </reference>
          <reference field="19" count="4">
            <x v="28"/>
            <x v="94"/>
            <x v="114"/>
            <x v="115"/>
          </reference>
        </references>
      </pivotArea>
    </format>
    <format dxfId="283">
      <pivotArea dataOnly="0" labelOnly="1" outline="0" fieldPosition="0">
        <references count="3">
          <reference field="3" count="1" selected="0">
            <x v="3"/>
          </reference>
          <reference field="18" count="1" selected="0">
            <x v="81"/>
          </reference>
          <reference field="19" count="1">
            <x v="115"/>
          </reference>
        </references>
      </pivotArea>
    </format>
    <format dxfId="284">
      <pivotArea dataOnly="0" labelOnly="1" outline="0" fieldPosition="0">
        <references count="3">
          <reference field="3" count="1" selected="0">
            <x v="5"/>
          </reference>
          <reference field="18" count="1" selected="0">
            <x v="81"/>
          </reference>
          <reference field="19" count="1">
            <x v="115"/>
          </reference>
        </references>
      </pivotArea>
    </format>
    <format dxfId="285">
      <pivotArea dataOnly="0" labelOnly="1" outline="0" fieldPosition="0">
        <references count="3">
          <reference field="3" count="1" selected="0">
            <x v="8"/>
          </reference>
          <reference field="18" count="1" selected="0">
            <x v="81"/>
          </reference>
          <reference field="19" count="3">
            <x v="28"/>
            <x v="114"/>
            <x v="115"/>
          </reference>
        </references>
      </pivotArea>
    </format>
    <format dxfId="286">
      <pivotArea dataOnly="0" labelOnly="1" outline="0" fieldPosition="0">
        <references count="3">
          <reference field="3" count="1" selected="0">
            <x v="1"/>
          </reference>
          <reference field="18" count="1" selected="0">
            <x v="83"/>
          </reference>
          <reference field="19" count="3">
            <x v="6"/>
            <x v="98"/>
            <x v="99"/>
          </reference>
        </references>
      </pivotArea>
    </format>
    <format dxfId="287">
      <pivotArea dataOnly="0" labelOnly="1" outline="0" fieldPosition="0">
        <references count="3">
          <reference field="3" count="1" selected="0">
            <x v="3"/>
          </reference>
          <reference field="18" count="1" selected="0">
            <x v="83"/>
          </reference>
          <reference field="19" count="2">
            <x v="6"/>
            <x v="98"/>
          </reference>
        </references>
      </pivotArea>
    </format>
    <format dxfId="288">
      <pivotArea dataOnly="0" labelOnly="1" outline="0" fieldPosition="0">
        <references count="3">
          <reference field="3" count="1" selected="0">
            <x v="5"/>
          </reference>
          <reference field="18" count="1" selected="0">
            <x v="83"/>
          </reference>
          <reference field="19" count="1">
            <x v="98"/>
          </reference>
        </references>
      </pivotArea>
    </format>
    <format dxfId="289">
      <pivotArea dataOnly="0" labelOnly="1" outline="0" fieldPosition="0">
        <references count="3">
          <reference field="3" count="1" selected="0">
            <x v="8"/>
          </reference>
          <reference field="18" count="1" selected="0">
            <x v="83"/>
          </reference>
          <reference field="19" count="2">
            <x v="98"/>
            <x v="99"/>
          </reference>
        </references>
      </pivotArea>
    </format>
    <format dxfId="290">
      <pivotArea dataOnly="0" labelOnly="1" outline="0" fieldPosition="0">
        <references count="3">
          <reference field="3" count="1" selected="0">
            <x v="0"/>
          </reference>
          <reference field="18" count="1" selected="0">
            <x v="85"/>
          </reference>
          <reference field="19" count="3">
            <x v="1"/>
            <x v="86"/>
            <x v="108"/>
          </reference>
        </references>
      </pivotArea>
    </format>
    <format dxfId="291">
      <pivotArea dataOnly="0" labelOnly="1" outline="0" fieldPosition="0">
        <references count="3">
          <reference field="3" count="1" selected="0">
            <x v="1"/>
          </reference>
          <reference field="18" count="1" selected="0">
            <x v="85"/>
          </reference>
          <reference field="19" count="8">
            <x v="1"/>
            <x v="2"/>
            <x v="32"/>
            <x v="39"/>
            <x v="86"/>
            <x v="101"/>
            <x v="108"/>
            <x v="116"/>
          </reference>
        </references>
      </pivotArea>
    </format>
    <format dxfId="292">
      <pivotArea dataOnly="0" labelOnly="1" outline="0" fieldPosition="0">
        <references count="3">
          <reference field="3" count="1" selected="0">
            <x v="3"/>
          </reference>
          <reference field="18" count="1" selected="0">
            <x v="85"/>
          </reference>
          <reference field="19" count="1">
            <x v="1"/>
          </reference>
        </references>
      </pivotArea>
    </format>
    <format dxfId="293">
      <pivotArea dataOnly="0" labelOnly="1" outline="0" fieldPosition="0">
        <references count="3">
          <reference field="3" count="1" selected="0">
            <x v="5"/>
          </reference>
          <reference field="18" count="1" selected="0">
            <x v="85"/>
          </reference>
          <reference field="19" count="1">
            <x v="1"/>
          </reference>
        </references>
      </pivotArea>
    </format>
    <format dxfId="294">
      <pivotArea dataOnly="0" labelOnly="1" outline="0" fieldPosition="0">
        <references count="3">
          <reference field="3" count="1" selected="0">
            <x v="8"/>
          </reference>
          <reference field="18" count="1" selected="0">
            <x v="85"/>
          </reference>
          <reference field="19" count="2">
            <x v="1"/>
            <x v="2"/>
          </reference>
        </references>
      </pivotArea>
    </format>
    <format dxfId="295">
      <pivotArea dataOnly="0" labelOnly="1" outline="0" fieldPosition="0">
        <references count="3">
          <reference field="3" count="1" selected="0">
            <x v="2"/>
          </reference>
          <reference field="18" count="1" selected="0">
            <x v="87"/>
          </reference>
          <reference field="19" count="1">
            <x v="106"/>
          </reference>
        </references>
      </pivotArea>
    </format>
    <format dxfId="296">
      <pivotArea dataOnly="0" labelOnly="1" outline="0" fieldPosition="0">
        <references count="3">
          <reference field="3" count="1" selected="0">
            <x v="1"/>
          </reference>
          <reference field="18" count="1" selected="0">
            <x v="88"/>
          </reference>
          <reference field="19" count="1">
            <x v="107"/>
          </reference>
        </references>
      </pivotArea>
    </format>
    <format dxfId="297">
      <pivotArea dataOnly="0" labelOnly="1" outline="0" fieldPosition="0">
        <references count="3">
          <reference field="3" count="1" selected="0">
            <x v="4"/>
          </reference>
          <reference field="18" count="1" selected="0">
            <x v="89"/>
          </reference>
          <reference field="19" count="1">
            <x v="109"/>
          </reference>
        </references>
      </pivotArea>
    </format>
    <format dxfId="298">
      <pivotArea dataOnly="0" labelOnly="1" outline="0" fieldPosition="0">
        <references count="3">
          <reference field="3" count="1" selected="0">
            <x v="5"/>
          </reference>
          <reference field="18" count="1" selected="0">
            <x v="90"/>
          </reference>
          <reference field="19" count="1">
            <x v="110"/>
          </reference>
        </references>
      </pivotArea>
    </format>
    <format dxfId="299">
      <pivotArea dataOnly="0" labelOnly="1" outline="0" fieldPosition="0">
        <references count="3">
          <reference field="3" count="1" selected="0">
            <x v="3"/>
          </reference>
          <reference field="18" count="1" selected="0">
            <x v="91"/>
          </reference>
          <reference field="19" count="1">
            <x v="111"/>
          </reference>
        </references>
      </pivotArea>
    </format>
    <format dxfId="300">
      <pivotArea dataOnly="0" labelOnly="1" outline="0" fieldPosition="0">
        <references count="3">
          <reference field="3" count="1" selected="0">
            <x v="5"/>
          </reference>
          <reference field="18" count="1" selected="0">
            <x v="91"/>
          </reference>
          <reference field="19" count="1">
            <x v="111"/>
          </reference>
        </references>
      </pivotArea>
    </format>
    <format dxfId="301">
      <pivotArea dataOnly="0" labelOnly="1" outline="0" fieldPosition="0">
        <references count="3">
          <reference field="3" count="1" selected="0">
            <x v="5"/>
          </reference>
          <reference field="18" count="1" selected="0">
            <x v="92"/>
          </reference>
          <reference field="19" count="1">
            <x v="112"/>
          </reference>
        </references>
      </pivotArea>
    </format>
    <format dxfId="302">
      <pivotArea dataOnly="0" labelOnly="1" outline="0" fieldPosition="0">
        <references count="3">
          <reference field="3" count="1" selected="0">
            <x v="8"/>
          </reference>
          <reference field="18" count="1" selected="0">
            <x v="92"/>
          </reference>
          <reference field="19" count="2">
            <x v="112"/>
            <x v="117"/>
          </reference>
        </references>
      </pivotArea>
    </format>
    <format dxfId="303">
      <pivotArea dataOnly="0" labelOnly="1" outline="0" fieldPosition="0">
        <references count="3">
          <reference field="3" count="1" selected="0">
            <x v="0"/>
          </reference>
          <reference field="18" count="1" selected="0">
            <x v="93"/>
          </reference>
          <reference field="19" count="1">
            <x v="113"/>
          </reference>
        </references>
      </pivotArea>
    </format>
    <format dxfId="304">
      <pivotArea dataOnly="0" labelOnly="1" outline="0" fieldPosition="0">
        <references count="3">
          <reference field="3" count="1" selected="0">
            <x v="1"/>
          </reference>
          <reference field="18" count="1" selected="0">
            <x v="94"/>
          </reference>
          <reference field="19" count="3">
            <x v="33"/>
            <x v="76"/>
            <x v="99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2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28:C164" firstHeaderRow="2" firstDataRow="2" firstDataCol="2" rowPageCount="1" colPageCount="1"/>
  <pivotFields count="57">
    <pivotField compact="0" outline="0" showAll="0"/>
    <pivotField compact="0" outline="0" showAll="0"/>
    <pivotField dataField="1" compact="0" outline="0" showAll="0"/>
    <pivotField axis="axisRow" compact="0" outline="0" showAll="0" defaultSubtotal="0">
      <items count="10">
        <item x="8"/>
        <item x="0"/>
        <item x="1"/>
        <item x="6"/>
        <item x="3"/>
        <item x="4"/>
        <item x="2"/>
        <item x="9"/>
        <item x="7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9">
        <item h="1" x="19"/>
        <item h="1" x="6"/>
        <item h="1" x="4"/>
        <item h="1" x="24"/>
        <item h="1" x="23"/>
        <item h="1" x="14"/>
        <item h="1" x="5"/>
        <item h="1" m="1" x="27"/>
        <item h="1" x="11"/>
        <item h="1" x="9"/>
        <item h="1" x="2"/>
        <item h="1" x="8"/>
        <item h="1" x="20"/>
        <item x="0"/>
        <item h="1" x="1"/>
        <item h="1" x="16"/>
        <item h="1" x="15"/>
        <item h="1" x="12"/>
        <item h="1" x="21"/>
        <item h="1" x="25"/>
        <item h="1" x="22"/>
        <item h="1" x="13"/>
        <item h="1" x="3"/>
        <item h="1" x="10"/>
        <item h="1" x="26"/>
        <item h="1" x="17"/>
        <item h="1" x="7"/>
        <item h="1" x="1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00">
        <item x="68"/>
        <item x="56"/>
        <item x="8"/>
        <item x="40"/>
        <item x="6"/>
        <item x="62"/>
        <item x="55"/>
        <item x="54"/>
        <item x="57"/>
        <item x="39"/>
        <item x="7"/>
        <item x="42"/>
        <item x="23"/>
        <item x="52"/>
        <item m="1" x="99"/>
        <item x="27"/>
        <item x="13"/>
        <item x="12"/>
        <item x="2"/>
        <item x="90"/>
        <item x="70"/>
        <item x="11"/>
        <item x="74"/>
        <item x="58"/>
        <item x="30"/>
        <item x="50"/>
        <item x="20"/>
        <item x="47"/>
        <item x="17"/>
        <item x="45"/>
        <item m="1" x="95"/>
        <item x="94"/>
        <item m="1" x="96"/>
        <item x="1"/>
        <item x="25"/>
        <item x="49"/>
        <item x="44"/>
        <item x="3"/>
        <item x="33"/>
        <item x="29"/>
        <item m="1" x="98"/>
        <item x="59"/>
        <item x="83"/>
        <item x="63"/>
        <item x="91"/>
        <item x="28"/>
        <item x="69"/>
        <item x="37"/>
        <item x="60"/>
        <item x="19"/>
        <item x="38"/>
        <item x="32"/>
        <item x="35"/>
        <item x="43"/>
        <item x="87"/>
        <item x="41"/>
        <item x="4"/>
        <item x="5"/>
        <item x="78"/>
        <item x="36"/>
        <item x="84"/>
        <item x="82"/>
        <item x="22"/>
        <item x="73"/>
        <item m="1" x="97"/>
        <item x="48"/>
        <item x="71"/>
        <item x="89"/>
        <item x="64"/>
        <item x="21"/>
        <item x="24"/>
        <item x="72"/>
        <item x="34"/>
        <item x="67"/>
        <item x="85"/>
        <item x="53"/>
        <item x="16"/>
        <item x="10"/>
        <item x="88"/>
        <item x="77"/>
        <item x="46"/>
        <item x="9"/>
        <item x="15"/>
        <item x="0"/>
        <item x="14"/>
        <item x="18"/>
        <item x="93"/>
        <item x="65"/>
        <item x="66"/>
        <item x="76"/>
        <item x="79"/>
        <item x="80"/>
        <item x="81"/>
        <item x="86"/>
        <item x="26"/>
        <item x="51"/>
        <item x="75"/>
        <item x="31"/>
        <item x="61"/>
        <item x="92"/>
      </items>
    </pivotField>
    <pivotField compact="0" outline="0" showAll="0">
      <items count="125">
        <item x="8"/>
        <item x="21"/>
        <item x="27"/>
        <item x="31"/>
        <item x="53"/>
        <item x="75"/>
        <item x="0"/>
        <item m="1" x="121"/>
        <item m="1" x="122"/>
        <item x="72"/>
        <item x="71"/>
        <item x="52"/>
        <item x="7"/>
        <item x="57"/>
        <item x="29"/>
        <item x="63"/>
        <item x="67"/>
        <item x="34"/>
        <item x="14"/>
        <item x="77"/>
        <item x="13"/>
        <item x="45"/>
        <item x="93"/>
        <item x="12"/>
        <item x="2"/>
        <item x="76"/>
        <item x="110"/>
        <item x="49"/>
        <item x="86"/>
        <item x="38"/>
        <item x="37"/>
        <item x="66"/>
        <item x="22"/>
        <item x="44"/>
        <item x="11"/>
        <item x="1"/>
        <item x="111"/>
        <item x="68"/>
        <item x="50"/>
        <item x="19"/>
        <item m="1" x="116"/>
        <item m="1" x="123"/>
        <item x="65"/>
        <item x="96"/>
        <item x="59"/>
        <item x="3"/>
        <item x="39"/>
        <item x="36"/>
        <item x="112"/>
        <item x="78"/>
        <item m="1" x="120"/>
        <item x="69"/>
        <item x="48"/>
        <item x="58"/>
        <item m="1" x="117"/>
        <item x="30"/>
        <item x="35"/>
        <item x="23"/>
        <item x="81"/>
        <item x="95"/>
        <item x="70"/>
        <item x="85"/>
        <item x="24"/>
        <item x="46"/>
        <item x="33"/>
        <item x="41"/>
        <item x="5"/>
        <item x="92"/>
        <item x="56"/>
        <item x="4"/>
        <item x="42"/>
        <item x="104"/>
        <item x="28"/>
        <item x="84"/>
        <item m="1" x="114"/>
        <item m="1" x="119"/>
        <item x="55"/>
        <item m="1" x="118"/>
        <item m="1" x="113"/>
        <item x="47"/>
        <item x="88"/>
        <item x="26"/>
        <item x="51"/>
        <item m="1" x="115"/>
        <item x="40"/>
        <item x="87"/>
        <item x="73"/>
        <item x="79"/>
        <item x="60"/>
        <item x="18"/>
        <item x="43"/>
        <item x="10"/>
        <item x="99"/>
        <item x="61"/>
        <item x="83"/>
        <item x="16"/>
        <item x="74"/>
        <item x="64"/>
        <item x="32"/>
        <item x="17"/>
        <item x="15"/>
        <item x="82"/>
        <item x="6"/>
        <item x="20"/>
        <item x="25"/>
        <item x="62"/>
        <item x="89"/>
        <item x="90"/>
        <item x="94"/>
        <item x="98"/>
        <item x="100"/>
        <item x="101"/>
        <item x="102"/>
        <item x="106"/>
        <item x="9"/>
        <item x="54"/>
        <item x="107"/>
        <item x="103"/>
        <item x="105"/>
        <item x="97"/>
        <item x="80"/>
        <item x="108"/>
        <item x="109"/>
        <item x="9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18"/>
  </rowFields>
  <rowItems count="35">
    <i>
      <x/>
      <x v="37"/>
    </i>
    <i r="1">
      <x v="81"/>
    </i>
    <i r="1">
      <x v="85"/>
    </i>
    <i r="1">
      <x v="93"/>
    </i>
    <i>
      <x v="1"/>
      <x v="7"/>
    </i>
    <i r="1">
      <x v="11"/>
    </i>
    <i r="1">
      <x v="17"/>
    </i>
    <i r="1">
      <x v="26"/>
    </i>
    <i r="1">
      <x v="27"/>
    </i>
    <i r="1">
      <x v="28"/>
    </i>
    <i r="1">
      <x v="37"/>
    </i>
    <i r="1">
      <x v="49"/>
    </i>
    <i r="1">
      <x v="81"/>
    </i>
    <i r="1">
      <x v="83"/>
    </i>
    <i r="1">
      <x v="85"/>
    </i>
    <i r="1">
      <x v="88"/>
    </i>
    <i r="1">
      <x v="94"/>
    </i>
    <i>
      <x v="2"/>
      <x v="87"/>
    </i>
    <i>
      <x v="3"/>
      <x v="81"/>
    </i>
    <i r="1">
      <x v="83"/>
    </i>
    <i r="1">
      <x v="85"/>
    </i>
    <i r="1">
      <x v="91"/>
    </i>
    <i>
      <x v="4"/>
      <x v="89"/>
    </i>
    <i>
      <x v="5"/>
      <x v="81"/>
    </i>
    <i r="1">
      <x v="83"/>
    </i>
    <i r="1">
      <x v="85"/>
    </i>
    <i r="1">
      <x v="90"/>
    </i>
    <i r="1">
      <x v="92"/>
    </i>
    <i>
      <x v="8"/>
      <x v="37"/>
    </i>
    <i r="1">
      <x v="81"/>
    </i>
    <i r="1">
      <x v="83"/>
    </i>
    <i r="1">
      <x v="85"/>
    </i>
    <i r="1">
      <x v="92"/>
    </i>
    <i>
      <x v="9"/>
      <x v="91"/>
    </i>
    <i t="grand">
      <x/>
    </i>
  </rowItems>
  <colItems count="1">
    <i/>
  </colItems>
  <pageFields count="1">
    <pageField fld="10" hier="-1"/>
  </pageFields>
  <dataFields count="1">
    <dataField name="Count of Name " fld="2" subtotal="count" baseField="0" baseItem="0"/>
  </dataFields>
  <formats count="19">
    <format dxfId="156">
      <pivotArea outline="0" collapsedLevelsAreSubtotals="1" fieldPosition="0"/>
    </format>
    <format dxfId="157">
      <pivotArea type="topRight" dataOnly="0" labelOnly="1" outline="0" fieldPosition="0"/>
    </format>
    <format dxfId="158">
      <pivotArea outline="0" collapsedLevelsAreSubtotals="1" fieldPosition="0"/>
    </format>
    <format dxfId="159">
      <pivotArea field="18" type="button" dataOnly="0" labelOnly="1" outline="0" axis="axisRow" fieldPosition="1"/>
    </format>
    <format dxfId="160">
      <pivotArea field="19" type="button" dataOnly="0" labelOnly="1" outline="0"/>
    </format>
    <format dxfId="161">
      <pivotArea dataOnly="0" labelOnly="1" grandRow="1" outline="0" fieldPosition="0"/>
    </format>
    <format dxfId="162">
      <pivotArea field="19" type="button" dataOnly="0" labelOnly="1" outline="0"/>
    </format>
    <format dxfId="163">
      <pivotArea outline="0" collapsedLevelsAreSubtotals="1" fieldPosition="0"/>
    </format>
    <format dxfId="164">
      <pivotArea field="3" type="button" dataOnly="0" labelOnly="1" outline="0" axis="axisRow" fieldPosition="0"/>
    </format>
    <format dxfId="165">
      <pivotArea field="18" type="button" dataOnly="0" labelOnly="1" outline="0" axis="axisRow" fieldPosition="1"/>
    </format>
    <format dxfId="166">
      <pivotArea dataOnly="0" labelOnly="1" outline="0" fieldPosition="0">
        <references count="1">
          <reference field="3" count="7">
            <x v="0"/>
            <x v="1"/>
            <x v="2"/>
            <x v="3"/>
            <x v="4"/>
            <x v="5"/>
            <x v="8"/>
          </reference>
        </references>
      </pivotArea>
    </format>
    <format dxfId="167">
      <pivotArea dataOnly="0" labelOnly="1" grandRow="1" outline="0" fieldPosition="0"/>
    </format>
    <format dxfId="168">
      <pivotArea dataOnly="0" labelOnly="1" outline="0" fieldPosition="0">
        <references count="2">
          <reference field="3" count="1" selected="0">
            <x v="0"/>
          </reference>
          <reference field="18" count="4">
            <x v="37"/>
            <x v="81"/>
            <x v="85"/>
            <x v="93"/>
          </reference>
        </references>
      </pivotArea>
    </format>
    <format dxfId="169">
      <pivotArea dataOnly="0" labelOnly="1" outline="0" fieldPosition="0">
        <references count="2">
          <reference field="3" count="1" selected="0">
            <x v="1"/>
          </reference>
          <reference field="18" count="13">
            <x v="7"/>
            <x v="11"/>
            <x v="17"/>
            <x v="26"/>
            <x v="27"/>
            <x v="28"/>
            <x v="37"/>
            <x v="49"/>
            <x v="81"/>
            <x v="83"/>
            <x v="85"/>
            <x v="88"/>
            <x v="94"/>
          </reference>
        </references>
      </pivotArea>
    </format>
    <format dxfId="170">
      <pivotArea dataOnly="0" labelOnly="1" outline="0" fieldPosition="0">
        <references count="2">
          <reference field="3" count="1" selected="0">
            <x v="2"/>
          </reference>
          <reference field="18" count="1">
            <x v="87"/>
          </reference>
        </references>
      </pivotArea>
    </format>
    <format dxfId="171">
      <pivotArea dataOnly="0" labelOnly="1" outline="0" fieldPosition="0">
        <references count="2">
          <reference field="3" count="1" selected="0">
            <x v="3"/>
          </reference>
          <reference field="18" count="4">
            <x v="81"/>
            <x v="83"/>
            <x v="85"/>
            <x v="91"/>
          </reference>
        </references>
      </pivotArea>
    </format>
    <format dxfId="172">
      <pivotArea dataOnly="0" labelOnly="1" outline="0" fieldPosition="0">
        <references count="2">
          <reference field="3" count="1" selected="0">
            <x v="4"/>
          </reference>
          <reference field="18" count="1">
            <x v="89"/>
          </reference>
        </references>
      </pivotArea>
    </format>
    <format dxfId="173">
      <pivotArea dataOnly="0" labelOnly="1" outline="0" fieldPosition="0">
        <references count="2">
          <reference field="3" count="1" selected="0">
            <x v="5"/>
          </reference>
          <reference field="18" count="6">
            <x v="81"/>
            <x v="83"/>
            <x v="85"/>
            <x v="90"/>
            <x v="91"/>
            <x v="92"/>
          </reference>
        </references>
      </pivotArea>
    </format>
    <format dxfId="174">
      <pivotArea dataOnly="0" labelOnly="1" outline="0" fieldPosition="0">
        <references count="2">
          <reference field="3" count="1" selected="0">
            <x v="8"/>
          </reference>
          <reference field="18" count="5">
            <x v="37"/>
            <x v="81"/>
            <x v="83"/>
            <x v="85"/>
            <x v="92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PivotTable1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:E30" firstHeaderRow="2" firstDataRow="2" firstDataCol="4"/>
  <pivotFields count="57">
    <pivotField compact="0" numFmtId="16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8">
        <item x="19"/>
        <item x="6"/>
        <item x="4"/>
        <item x="24"/>
        <item x="23"/>
        <item x="14"/>
        <item x="5"/>
        <item m="1" x="27"/>
        <item x="11"/>
        <item x="9"/>
        <item x="2"/>
        <item x="8"/>
        <item x="20"/>
        <item x="0"/>
        <item x="1"/>
        <item x="16"/>
        <item x="15"/>
        <item x="12"/>
        <item x="21"/>
        <item x="25"/>
        <item x="22"/>
        <item x="18"/>
        <item x="13"/>
        <item x="3"/>
        <item x="10"/>
        <item x="26"/>
        <item x="17"/>
        <item x="7"/>
      </items>
    </pivotField>
    <pivotField compact="0" outline="0" showAll="0"/>
    <pivotField axis="axisRow" compact="0" outline="0" showAll="0" defaultSubtotal="0">
      <items count="10">
        <item x="5"/>
        <item x="0"/>
        <item x="1"/>
        <item x="4"/>
        <item x="3"/>
        <item x="2"/>
        <item x="6"/>
        <item x="7"/>
        <item m="1" x="9"/>
        <item m="1" x="8"/>
      </items>
    </pivotField>
    <pivotField axis="axisRow" compact="0" outline="0" showAll="0" defaultSubtotal="0">
      <items count="10">
        <item x="7"/>
        <item x="4"/>
        <item x="2"/>
        <item x="0"/>
        <item x="1"/>
        <item x="6"/>
        <item m="1" x="9"/>
        <item x="3"/>
        <item x="5"/>
        <item m="1" x="8"/>
      </items>
    </pivotField>
    <pivotField axis="axisRow" compact="0" outline="0" showAll="0">
      <items count="26">
        <item x="17"/>
        <item x="6"/>
        <item x="21"/>
        <item x="16"/>
        <item x="5"/>
        <item x="11"/>
        <item x="9"/>
        <item x="2"/>
        <item x="8"/>
        <item x="18"/>
        <item x="0"/>
        <item m="1" x="24"/>
        <item x="1"/>
        <item x="14"/>
        <item x="13"/>
        <item x="12"/>
        <item x="19"/>
        <item x="22"/>
        <item x="20"/>
        <item x="3"/>
        <item x="4"/>
        <item x="10"/>
        <item x="23"/>
        <item x="15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12"/>
    <field x="13"/>
    <field x="10"/>
    <field x="14"/>
  </rowFields>
  <rowItems count="28">
    <i>
      <x/>
      <x v="8"/>
      <x v="24"/>
      <x v="21"/>
    </i>
    <i>
      <x v="1"/>
      <x v="3"/>
      <x v="13"/>
      <x v="10"/>
    </i>
    <i>
      <x v="2"/>
      <x v="4"/>
      <x/>
      <x/>
    </i>
    <i r="2">
      <x v="1"/>
      <x v="1"/>
    </i>
    <i r="2">
      <x v="11"/>
      <x v="8"/>
    </i>
    <i r="2">
      <x v="12"/>
      <x v="9"/>
    </i>
    <i r="2">
      <x v="14"/>
      <x v="12"/>
    </i>
    <i r="2">
      <x v="15"/>
      <x v="13"/>
    </i>
    <i r="2">
      <x v="20"/>
      <x v="18"/>
    </i>
    <i>
      <x v="3"/>
      <x v="1"/>
      <x v="4"/>
      <x v="3"/>
    </i>
    <i r="2">
      <x v="6"/>
      <x v="4"/>
    </i>
    <i r="2">
      <x v="16"/>
      <x v="14"/>
    </i>
    <i r="2">
      <x v="21"/>
      <x v="3"/>
    </i>
    <i>
      <x v="4"/>
      <x v="7"/>
      <x v="2"/>
      <x v="20"/>
    </i>
    <i r="2">
      <x v="5"/>
      <x v="19"/>
    </i>
    <i r="2">
      <x v="9"/>
      <x v="6"/>
    </i>
    <i r="2">
      <x v="19"/>
      <x v="17"/>
    </i>
    <i r="2">
      <x v="22"/>
      <x v="20"/>
    </i>
    <i r="2">
      <x v="23"/>
      <x v="19"/>
    </i>
    <i r="2">
      <x v="25"/>
      <x v="22"/>
    </i>
    <i r="2">
      <x v="26"/>
      <x v="23"/>
    </i>
    <i r="2">
      <x v="27"/>
      <x v="24"/>
    </i>
    <i>
      <x v="5"/>
      <x v="2"/>
      <x v="10"/>
      <x v="7"/>
    </i>
    <i r="2">
      <x v="17"/>
      <x v="15"/>
    </i>
    <i>
      <x v="6"/>
      <x v="5"/>
      <x v="8"/>
      <x v="5"/>
    </i>
    <i r="2">
      <x v="18"/>
      <x v="16"/>
    </i>
    <i>
      <x v="7"/>
      <x/>
      <x v="3"/>
      <x v="2"/>
    </i>
    <i t="grand">
      <x/>
    </i>
  </rowItems>
  <colItems count="1">
    <i/>
  </colItems>
  <dataFields count="1">
    <dataField name="Count of Name " fld="2" subtotal="count" baseField="0" baseItem="0"/>
  </dataFields>
  <formats count="24">
    <format dxfId="132">
      <pivotArea outline="0" collapsedLevelsAreSubtotals="1" fieldPosition="0"/>
    </format>
    <format dxfId="133">
      <pivotArea field="12" type="button" dataOnly="0" labelOnly="1" outline="0" axis="axisRow" fieldPosition="0"/>
    </format>
    <format dxfId="134">
      <pivotArea field="13" type="button" dataOnly="0" labelOnly="1" outline="0" axis="axisRow" fieldPosition="1"/>
    </format>
    <format dxfId="135">
      <pivotArea field="10" type="button" dataOnly="0" labelOnly="1" outline="0" axis="axisRow" fieldPosition="2"/>
    </format>
    <format dxfId="136">
      <pivotArea dataOnly="0" labelOnly="1" outline="0" fieldPosition="0">
        <references count="1">
          <reference field="12" count="0"/>
        </references>
      </pivotArea>
    </format>
    <format dxfId="137">
      <pivotArea dataOnly="0" labelOnly="1" grandRow="1" outline="0" fieldPosition="0"/>
    </format>
    <format dxfId="138">
      <pivotArea dataOnly="0" labelOnly="1" outline="0" fieldPosition="0">
        <references count="2">
          <reference field="12" count="1" selected="0">
            <x v="0"/>
          </reference>
          <reference field="13" count="1">
            <x v="8"/>
          </reference>
        </references>
      </pivotArea>
    </format>
    <format dxfId="139">
      <pivotArea dataOnly="0" labelOnly="1" outline="0" fieldPosition="0">
        <references count="2">
          <reference field="12" count="1" selected="0">
            <x v="1"/>
          </reference>
          <reference field="13" count="1">
            <x v="3"/>
          </reference>
        </references>
      </pivotArea>
    </format>
    <format dxfId="140">
      <pivotArea dataOnly="0" labelOnly="1" outline="0" fieldPosition="0">
        <references count="2">
          <reference field="12" count="1" selected="0">
            <x v="2"/>
          </reference>
          <reference field="13" count="1">
            <x v="4"/>
          </reference>
        </references>
      </pivotArea>
    </format>
    <format dxfId="141">
      <pivotArea dataOnly="0" labelOnly="1" outline="0" fieldPosition="0">
        <references count="2">
          <reference field="12" count="1" selected="0">
            <x v="3"/>
          </reference>
          <reference field="13" count="1">
            <x v="1"/>
          </reference>
        </references>
      </pivotArea>
    </format>
    <format dxfId="142">
      <pivotArea dataOnly="0" labelOnly="1" outline="0" fieldPosition="0">
        <references count="2">
          <reference field="12" count="1" selected="0">
            <x v="4"/>
          </reference>
          <reference field="13" count="1">
            <x v="7"/>
          </reference>
        </references>
      </pivotArea>
    </format>
    <format dxfId="143">
      <pivotArea dataOnly="0" labelOnly="1" outline="0" fieldPosition="0">
        <references count="2">
          <reference field="12" count="1" selected="0">
            <x v="5"/>
          </reference>
          <reference field="13" count="1">
            <x v="2"/>
          </reference>
        </references>
      </pivotArea>
    </format>
    <format dxfId="144">
      <pivotArea dataOnly="0" labelOnly="1" outline="0" fieldPosition="0">
        <references count="2">
          <reference field="12" count="1" selected="0">
            <x v="6"/>
          </reference>
          <reference field="13" count="1">
            <x v="5"/>
          </reference>
        </references>
      </pivotArea>
    </format>
    <format dxfId="145">
      <pivotArea dataOnly="0" labelOnly="1" outline="0" fieldPosition="0">
        <references count="2">
          <reference field="12" count="1" selected="0">
            <x v="7"/>
          </reference>
          <reference field="13" count="1">
            <x v="0"/>
          </reference>
        </references>
      </pivotArea>
    </format>
    <format dxfId="146">
      <pivotArea dataOnly="0" labelOnly="1" outline="0" fieldPosition="0">
        <references count="3">
          <reference field="10" count="1">
            <x v="24"/>
          </reference>
          <reference field="12" count="1" selected="0">
            <x v="0"/>
          </reference>
          <reference field="13" count="1" selected="0">
            <x v="8"/>
          </reference>
        </references>
      </pivotArea>
    </format>
    <format dxfId="147">
      <pivotArea dataOnly="0" labelOnly="1" outline="0" fieldPosition="0">
        <references count="3">
          <reference field="10" count="1">
            <x v="13"/>
          </reference>
          <reference field="12" count="1" selected="0">
            <x v="1"/>
          </reference>
          <reference field="13" count="1" selected="0">
            <x v="3"/>
          </reference>
        </references>
      </pivotArea>
    </format>
    <format dxfId="148">
      <pivotArea dataOnly="0" labelOnly="1" outline="0" fieldPosition="0">
        <references count="3">
          <reference field="10" count="7">
            <x v="0"/>
            <x v="1"/>
            <x v="11"/>
            <x v="12"/>
            <x v="14"/>
            <x v="15"/>
            <x v="20"/>
          </reference>
          <reference field="12" count="1" selected="0">
            <x v="2"/>
          </reference>
          <reference field="13" count="1" selected="0">
            <x v="4"/>
          </reference>
        </references>
      </pivotArea>
    </format>
    <format dxfId="149">
      <pivotArea dataOnly="0" labelOnly="1" outline="0" fieldPosition="0">
        <references count="3">
          <reference field="10" count="4">
            <x v="4"/>
            <x v="6"/>
            <x v="16"/>
            <x v="21"/>
          </reference>
          <reference field="12" count="1" selected="0">
            <x v="3"/>
          </reference>
          <reference field="13" count="1" selected="0">
            <x v="1"/>
          </reference>
        </references>
      </pivotArea>
    </format>
    <format dxfId="150">
      <pivotArea dataOnly="0" labelOnly="1" outline="0" fieldPosition="0">
        <references count="3">
          <reference field="10" count="9">
            <x v="2"/>
            <x v="5"/>
            <x v="9"/>
            <x v="19"/>
            <x v="22"/>
            <x v="23"/>
            <x v="25"/>
            <x v="26"/>
            <x v="27"/>
          </reference>
          <reference field="12" count="1" selected="0">
            <x v="4"/>
          </reference>
          <reference field="13" count="1" selected="0">
            <x v="7"/>
          </reference>
        </references>
      </pivotArea>
    </format>
    <format dxfId="151">
      <pivotArea dataOnly="0" labelOnly="1" outline="0" fieldPosition="0">
        <references count="3">
          <reference field="10" count="2">
            <x v="10"/>
            <x v="17"/>
          </reference>
          <reference field="12" count="1" selected="0">
            <x v="5"/>
          </reference>
          <reference field="13" count="1" selected="0">
            <x v="2"/>
          </reference>
        </references>
      </pivotArea>
    </format>
    <format dxfId="152">
      <pivotArea dataOnly="0" labelOnly="1" outline="0" fieldPosition="0">
        <references count="3">
          <reference field="10" count="2">
            <x v="8"/>
            <x v="18"/>
          </reference>
          <reference field="12" count="1" selected="0">
            <x v="6"/>
          </reference>
          <reference field="13" count="1" selected="0">
            <x v="5"/>
          </reference>
        </references>
      </pivotArea>
    </format>
    <format dxfId="153">
      <pivotArea dataOnly="0" labelOnly="1" outline="0" fieldPosition="0">
        <references count="3">
          <reference field="10" count="1">
            <x v="3"/>
          </reference>
          <reference field="12" count="1" selected="0">
            <x v="7"/>
          </reference>
          <reference field="13" count="1" selected="0">
            <x v="0"/>
          </reference>
        </references>
      </pivotArea>
    </format>
    <format dxfId="154">
      <pivotArea outline="0" collapsedLevelsAreSubtotals="1" fieldPosition="0"/>
    </format>
    <format dxfId="155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8000000}" name="PivotTable1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80" firstHeaderRow="2" firstDataRow="2" firstDataCol="3"/>
  <pivotFields count="50">
    <pivotField compact="0" numFmtId="16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10">
        <item x="7"/>
        <item x="0"/>
        <item x="1"/>
        <item x="5"/>
        <item x="3"/>
        <item x="4"/>
        <item x="2"/>
        <item x="8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6">
        <item x="55"/>
        <item x="20"/>
        <item x="68"/>
        <item x="25"/>
        <item x="8"/>
        <item x="42"/>
        <item x="0"/>
        <item x="6"/>
        <item x="59"/>
        <item x="11"/>
        <item x="53"/>
        <item x="52"/>
        <item x="41"/>
        <item x="54"/>
        <item x="7"/>
        <item x="43"/>
        <item x="26"/>
        <item x="47"/>
        <item x="49"/>
        <item x="31"/>
        <item x="14"/>
        <item x="13"/>
        <item x="2"/>
        <item x="12"/>
        <item x="1"/>
        <item x="56"/>
        <item x="39"/>
        <item x="63"/>
        <item x="33"/>
        <item x="21"/>
        <item x="66"/>
        <item x="73"/>
        <item x="72"/>
        <item x="67"/>
        <item x="23"/>
        <item x="71"/>
        <item x="69"/>
        <item x="70"/>
        <item x="45"/>
        <item x="19"/>
        <item x="18"/>
        <item x="9"/>
        <item x="46"/>
        <item x="44"/>
        <item x="3"/>
        <item x="34"/>
        <item x="32"/>
        <item x="57"/>
        <item x="64"/>
        <item x="38"/>
        <item x="48"/>
        <item x="27"/>
        <item x="15"/>
        <item x="58"/>
        <item x="22"/>
        <item x="36"/>
        <item x="30"/>
        <item x="35"/>
        <item x="5"/>
        <item x="62"/>
        <item x="29"/>
        <item x="74"/>
        <item x="37"/>
        <item x="24"/>
        <item x="40"/>
        <item x="65"/>
        <item x="51"/>
        <item x="50"/>
        <item x="10"/>
        <item x="61"/>
        <item x="16"/>
        <item x="28"/>
        <item x="17"/>
        <item x="4"/>
        <item x="6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38">
        <item x="32"/>
        <item x="6"/>
        <item x="35"/>
        <item x="31"/>
        <item x="30"/>
        <item x="25"/>
        <item x="5"/>
        <item x="26"/>
        <item x="22"/>
        <item x="11"/>
        <item x="10"/>
        <item x="2"/>
        <item x="9"/>
        <item x="33"/>
        <item x="1"/>
        <item x="14"/>
        <item x="28"/>
        <item x="27"/>
        <item x="3"/>
        <item x="24"/>
        <item x="23"/>
        <item x="34"/>
        <item x="36"/>
        <item x="17"/>
        <item x="4"/>
        <item x="21"/>
        <item x="12"/>
        <item x="19"/>
        <item x="18"/>
        <item x="20"/>
        <item x="37"/>
        <item x="29"/>
        <item x="8"/>
        <item x="7"/>
        <item x="13"/>
        <item x="0"/>
        <item x="15"/>
        <item x="16"/>
      </items>
    </pivotField>
    <pivotField axis="axisRow" compact="0" outline="0" showAll="0" defaultSubtotal="0">
      <items count="10">
        <item x="9"/>
        <item x="8"/>
        <item x="4"/>
        <item x="2"/>
        <item x="0"/>
        <item x="1"/>
        <item x="7"/>
        <item x="6"/>
        <item x="3"/>
        <item x="5"/>
      </items>
    </pivotField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16"/>
    <field x="17"/>
    <field x="12"/>
  </rowFields>
  <rowItems count="76">
    <i>
      <x/>
      <x v="5"/>
      <x/>
    </i>
    <i>
      <x v="1"/>
      <x v="5"/>
      <x v="4"/>
    </i>
    <i>
      <x v="2"/>
      <x/>
      <x v="8"/>
    </i>
    <i>
      <x v="3"/>
      <x v="1"/>
      <x v="10"/>
    </i>
    <i>
      <x v="4"/>
      <x v="4"/>
      <x v="11"/>
    </i>
    <i>
      <x v="5"/>
      <x v="8"/>
      <x v="12"/>
    </i>
    <i>
      <x v="6"/>
      <x v="2"/>
      <x v="14"/>
    </i>
    <i>
      <x v="7"/>
      <x v="4"/>
      <x v="15"/>
    </i>
    <i>
      <x v="8"/>
      <x v="7"/>
      <x v="19"/>
    </i>
    <i>
      <x v="9"/>
      <x v="8"/>
      <x v="20"/>
    </i>
    <i>
      <x v="10"/>
      <x v="4"/>
      <x v="21"/>
    </i>
    <i>
      <x v="11"/>
      <x v="3"/>
      <x v="22"/>
    </i>
    <i>
      <x v="12"/>
      <x v="5"/>
      <x v="23"/>
    </i>
    <i>
      <x v="13"/>
      <x v="5"/>
      <x v="25"/>
    </i>
    <i>
      <x v="14"/>
      <x v="5"/>
      <x v="9"/>
    </i>
    <i r="2">
      <x v="13"/>
    </i>
    <i r="2">
      <x v="24"/>
    </i>
    <i r="2">
      <x v="53"/>
    </i>
    <i>
      <x v="15"/>
      <x v="9"/>
      <x v="40"/>
    </i>
    <i>
      <x v="16"/>
      <x v="5"/>
      <x v="42"/>
    </i>
    <i>
      <x v="17"/>
      <x v="6"/>
      <x v="43"/>
    </i>
    <i>
      <x v="18"/>
      <x v="4"/>
      <x v="44"/>
    </i>
    <i>
      <x v="19"/>
      <x v="9"/>
      <x v="45"/>
    </i>
    <i>
      <x v="20"/>
      <x v="3"/>
      <x v="46"/>
    </i>
    <i>
      <x v="21"/>
      <x v="7"/>
      <x v="47"/>
    </i>
    <i>
      <x v="22"/>
      <x v="8"/>
      <x v="48"/>
    </i>
    <i>
      <x v="23"/>
      <x v="4"/>
      <x v="54"/>
    </i>
    <i>
      <x v="24"/>
      <x v="8"/>
      <x v="7"/>
    </i>
    <i r="2">
      <x v="57"/>
    </i>
    <i r="2">
      <x v="58"/>
    </i>
    <i r="2">
      <x v="73"/>
    </i>
    <i>
      <x v="25"/>
      <x v="4"/>
      <x v="60"/>
    </i>
    <i>
      <x v="26"/>
      <x v="9"/>
      <x v="5"/>
    </i>
    <i r="2">
      <x v="18"/>
    </i>
    <i r="2">
      <x v="50"/>
    </i>
    <i r="2">
      <x v="52"/>
    </i>
    <i r="2">
      <x v="55"/>
    </i>
    <i r="2">
      <x v="56"/>
    </i>
    <i>
      <x v="27"/>
      <x v="9"/>
      <x v="16"/>
    </i>
    <i r="2">
      <x v="28"/>
    </i>
    <i r="2">
      <x v="61"/>
    </i>
    <i>
      <x v="28"/>
      <x v="9"/>
      <x v="63"/>
    </i>
    <i>
      <x v="29"/>
      <x v="9"/>
      <x v="17"/>
    </i>
    <i r="2">
      <x v="26"/>
    </i>
    <i r="2">
      <x v="49"/>
    </i>
    <i r="2">
      <x v="51"/>
    </i>
    <i r="2">
      <x v="59"/>
    </i>
    <i r="2">
      <x v="62"/>
    </i>
    <i r="2">
      <x v="64"/>
    </i>
    <i>
      <x v="30"/>
      <x v="8"/>
      <x v="65"/>
    </i>
    <i>
      <x v="31"/>
      <x v="8"/>
      <x v="67"/>
    </i>
    <i>
      <x v="32"/>
      <x v="8"/>
      <x v="68"/>
    </i>
    <i>
      <x v="33"/>
      <x v="4"/>
      <x v="27"/>
    </i>
    <i r="2">
      <x v="41"/>
    </i>
    <i r="2">
      <x v="69"/>
    </i>
    <i>
      <x v="34"/>
      <x v="9"/>
      <x v="70"/>
    </i>
    <i>
      <x v="35"/>
      <x v="4"/>
      <x v="6"/>
    </i>
    <i r="2">
      <x v="71"/>
    </i>
    <i r="2">
      <x v="72"/>
    </i>
    <i>
      <x v="36"/>
      <x v="4"/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>
      <x v="37"/>
      <x v="4"/>
      <x v="1"/>
    </i>
    <i r="2">
      <x v="2"/>
    </i>
    <i r="2">
      <x v="3"/>
    </i>
    <i r="2">
      <x v="29"/>
    </i>
    <i r="2">
      <x v="66"/>
    </i>
    <i r="2">
      <x v="74"/>
    </i>
    <i t="grand">
      <x/>
    </i>
  </rowItems>
  <colItems count="1">
    <i/>
  </colItems>
  <dataFields count="1">
    <dataField name="Count of Name " fld="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B000000}" name="PivotTable8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U10" firstHeaderRow="1" firstDataRow="2" firstDataCol="1" rowPageCount="1" colPageCount="1"/>
  <pivotFields count="27">
    <pivotField showAll="0"/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1">
        <item x="6"/>
        <item x="1"/>
        <item x="2"/>
        <item x="0"/>
        <item m="1" x="8"/>
        <item m="1" x="9"/>
        <item m="1" x="18"/>
        <item x="7"/>
        <item m="1" x="14"/>
        <item x="5"/>
        <item x="4"/>
        <item x="3"/>
        <item m="1" x="13"/>
        <item m="1" x="19"/>
        <item m="1" x="12"/>
        <item m="1" x="10"/>
        <item m="1" x="15"/>
        <item m="1" x="11"/>
        <item m="1" x="16"/>
        <item m="1" x="1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 v="6"/>
    </i>
    <i>
      <x v="7"/>
    </i>
    <i>
      <x v="8"/>
    </i>
    <i>
      <x v="9"/>
    </i>
    <i>
      <x v="10"/>
    </i>
    <i t="grand">
      <x/>
    </i>
  </rowItems>
  <colFields count="1">
    <field x="20"/>
  </colFields>
  <colItems count="8">
    <i>
      <x v="1"/>
    </i>
    <i>
      <x v="2"/>
    </i>
    <i>
      <x v="3"/>
    </i>
    <i>
      <x v="7"/>
    </i>
    <i>
      <x v="9"/>
    </i>
    <i>
      <x v="10"/>
    </i>
    <i>
      <x v="11"/>
    </i>
    <i t="grand">
      <x/>
    </i>
  </colItems>
  <pageFields count="1">
    <pageField fld="1" hier="-1"/>
  </pageFields>
  <dataFields count="1">
    <dataField name="Count of Position " fld="5" subtotal="count" baseField="0" baseItem="0"/>
  </dataFields>
  <formats count="12">
    <format dxfId="120">
      <pivotArea outline="0" collapsedLevelsAreSubtotals="1" fieldPosition="0"/>
    </format>
    <format dxfId="121">
      <pivotArea dataOnly="0" labelOnly="1" outline="0" fieldPosition="0">
        <references count="1">
          <reference field="1" count="0"/>
        </references>
      </pivotArea>
    </format>
    <format dxfId="122">
      <pivotArea field="20" type="button" dataOnly="0" labelOnly="1" outline="0" axis="axisCol" fieldPosition="0"/>
    </format>
    <format dxfId="123">
      <pivotArea type="topRight" dataOnly="0" labelOnly="1" outline="0" fieldPosition="0"/>
    </format>
    <format dxfId="124">
      <pivotArea dataOnly="0" labelOnly="1" fieldPosition="0">
        <references count="1">
          <reference field="20" count="0"/>
        </references>
      </pivotArea>
    </format>
    <format dxfId="125">
      <pivotArea dataOnly="0" labelOnly="1" grandCol="1" outline="0" fieldPosition="0"/>
    </format>
    <format dxfId="126">
      <pivotArea outline="0" collapsedLevelsAreSubtotals="1" fieldPosition="0"/>
    </format>
    <format dxfId="127">
      <pivotArea field="8" type="button" dataOnly="0" labelOnly="1" outline="0" axis="axisRow" fieldPosition="0"/>
    </format>
    <format dxfId="128">
      <pivotArea dataOnly="0" labelOnly="1" fieldPosition="0">
        <references count="1">
          <reference field="8" count="0"/>
        </references>
      </pivotArea>
    </format>
    <format dxfId="129">
      <pivotArea dataOnly="0" labelOnly="1" grandRow="1" outline="0" fieldPosition="0"/>
    </format>
    <format dxfId="130">
      <pivotArea dataOnly="0" labelOnly="1" fieldPosition="0">
        <references count="1">
          <reference field="20" count="0"/>
        </references>
      </pivotArea>
    </format>
    <format dxfId="13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10000000}" name="PivotTable7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5:R20" firstHeaderRow="1" firstDataRow="2" firstDataCol="1" rowPageCount="2" colPageCount="1"/>
  <pivotFields count="27">
    <pivotField showAll="0"/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2">
        <item m="1" x="11"/>
        <item m="1" x="10"/>
        <item x="4"/>
        <item x="0"/>
        <item x="3"/>
        <item x="5"/>
        <item x="1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6"/>
        <item m="1" x="7"/>
        <item m="1" x="8"/>
        <item m="1" x="9"/>
        <item m="1" x="12"/>
        <item x="2"/>
        <item t="default"/>
      </items>
    </pivotField>
    <pivotField axis="axisPage" multipleItemSelectionAllowed="1" showAll="0">
      <items count="21">
        <item m="1" x="16"/>
        <item h="1" x="2"/>
        <item m="1" x="15"/>
        <item m="1" x="17"/>
        <item h="1" x="0"/>
        <item h="1" x="7"/>
        <item m="1" x="18"/>
        <item m="1" x="12"/>
        <item h="1" x="1"/>
        <item h="1" x="3"/>
        <item m="1" x="8"/>
        <item m="1" x="19"/>
        <item m="1" x="9"/>
        <item m="1" x="11"/>
        <item m="1" x="10"/>
        <item m="1" x="14"/>
        <item m="1" x="13"/>
        <item h="1"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 v="6"/>
    </i>
    <i>
      <x v="8"/>
    </i>
    <i>
      <x v="10"/>
    </i>
    <i t="grand">
      <x/>
    </i>
  </rowItems>
  <colFields count="1">
    <field x="19"/>
  </colFields>
  <colItems count="5">
    <i>
      <x v="2"/>
    </i>
    <i>
      <x v="3"/>
    </i>
    <i>
      <x v="4"/>
    </i>
    <i>
      <x v="5"/>
    </i>
    <i t="grand">
      <x/>
    </i>
  </colItems>
  <pageFields count="2">
    <pageField fld="20" hier="-1"/>
    <pageField fld="1" hier="-1"/>
  </pageFields>
  <dataFields count="1">
    <dataField name="Count of Position " fld="5" subtotal="count" baseField="0" baseItem="0"/>
  </dataFields>
  <formats count="12">
    <format dxfId="108">
      <pivotArea outline="0" collapsedLevelsAreSubtotals="1" fieldPosition="0"/>
    </format>
    <format dxfId="109">
      <pivotArea dataOnly="0" labelOnly="1" outline="0" fieldPosition="0">
        <references count="1">
          <reference field="1" count="0"/>
        </references>
      </pivotArea>
    </format>
    <format dxfId="110">
      <pivotArea field="19" type="button" dataOnly="0" labelOnly="1" outline="0" axis="axisCol" fieldPosition="0"/>
    </format>
    <format dxfId="111">
      <pivotArea type="topRight" dataOnly="0" labelOnly="1" outline="0" fieldPosition="0"/>
    </format>
    <format dxfId="112">
      <pivotArea dataOnly="0" labelOnly="1" fieldPosition="0">
        <references count="1">
          <reference field="19" count="0"/>
        </references>
      </pivotArea>
    </format>
    <format dxfId="113">
      <pivotArea dataOnly="0" labelOnly="1" grandCol="1" outline="0" fieldPosition="0"/>
    </format>
    <format dxfId="114">
      <pivotArea outline="0" collapsedLevelsAreSubtotals="1" fieldPosition="0"/>
    </format>
    <format dxfId="115">
      <pivotArea field="8" type="button" dataOnly="0" labelOnly="1" outline="0" axis="axisRow" fieldPosition="0"/>
    </format>
    <format dxfId="116">
      <pivotArea dataOnly="0" labelOnly="1" fieldPosition="0">
        <references count="1">
          <reference field="8" count="0"/>
        </references>
      </pivotArea>
    </format>
    <format dxfId="117">
      <pivotArea dataOnly="0" labelOnly="1" grandRow="1" outline="0" fieldPosition="0"/>
    </format>
    <format dxfId="118">
      <pivotArea dataOnly="0" labelOnly="1" fieldPosition="0">
        <references count="1">
          <reference field="19" count="0"/>
        </references>
      </pivotArea>
    </format>
    <format dxfId="11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F000000}" name="PivotTable4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K9" firstHeaderRow="1" firstDataRow="2" firstDataCol="1" rowPageCount="1" colPageCount="1"/>
  <pivotFields count="27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1">
        <item x="6"/>
        <item x="1"/>
        <item x="2"/>
        <item x="0"/>
        <item m="1" x="8"/>
        <item m="1" x="9"/>
        <item m="1" x="18"/>
        <item x="7"/>
        <item m="1" x="14"/>
        <item x="5"/>
        <item x="4"/>
        <item x="3"/>
        <item m="1" x="13"/>
        <item m="1" x="19"/>
        <item m="1" x="12"/>
        <item m="1" x="10"/>
        <item m="1" x="15"/>
        <item m="1" x="11"/>
        <item m="1" x="16"/>
        <item m="1" x="1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 v="2"/>
    </i>
    <i>
      <x v="3"/>
    </i>
    <i>
      <x v="4"/>
    </i>
    <i>
      <x v="5"/>
    </i>
    <i t="grand">
      <x/>
    </i>
  </rowItems>
  <colFields count="1">
    <field x="20"/>
  </colFields>
  <colItems count="9">
    <i>
      <x/>
    </i>
    <i>
      <x v="1"/>
    </i>
    <i>
      <x v="2"/>
    </i>
    <i>
      <x v="3"/>
    </i>
    <i>
      <x v="7"/>
    </i>
    <i>
      <x v="9"/>
    </i>
    <i>
      <x v="10"/>
    </i>
    <i>
      <x v="11"/>
    </i>
    <i t="grand">
      <x/>
    </i>
  </colItems>
  <pageFields count="1">
    <pageField fld="1" hier="-1"/>
  </pageFields>
  <dataFields count="1">
    <dataField name="Count of Position " fld="5" subtotal="count" baseField="0" baseItem="0"/>
  </dataFields>
  <formats count="12">
    <format dxfId="96">
      <pivotArea outline="0" collapsedLevelsAreSubtotals="1" fieldPosition="0"/>
    </format>
    <format dxfId="97">
      <pivotArea dataOnly="0" labelOnly="1" outline="0" fieldPosition="0">
        <references count="1">
          <reference field="1" count="0"/>
        </references>
      </pivotArea>
    </format>
    <format dxfId="98">
      <pivotArea field="20" type="button" dataOnly="0" labelOnly="1" outline="0" axis="axisCol" fieldPosition="0"/>
    </format>
    <format dxfId="99">
      <pivotArea type="topRight" dataOnly="0" labelOnly="1" outline="0" fieldPosition="0"/>
    </format>
    <format dxfId="100">
      <pivotArea dataOnly="0" labelOnly="1" fieldPosition="0">
        <references count="1">
          <reference field="20" count="0"/>
        </references>
      </pivotArea>
    </format>
    <format dxfId="101">
      <pivotArea dataOnly="0" labelOnly="1" grandCol="1" outline="0" fieldPosition="0"/>
    </format>
    <format dxfId="102">
      <pivotArea outline="0" collapsedLevelsAreSubtotals="1" fieldPosition="0"/>
    </format>
    <format dxfId="103">
      <pivotArea field="8" type="button" dataOnly="0" labelOnly="1" outline="0" axis="axisRow" fieldPosition="0"/>
    </format>
    <format dxfId="104">
      <pivotArea dataOnly="0" labelOnly="1" fieldPosition="0">
        <references count="1">
          <reference field="8" count="0"/>
        </references>
      </pivotArea>
    </format>
    <format dxfId="105">
      <pivotArea dataOnly="0" labelOnly="1" grandRow="1" outline="0" fieldPosition="0"/>
    </format>
    <format dxfId="106">
      <pivotArea dataOnly="0" labelOnly="1" fieldPosition="0">
        <references count="1">
          <reference field="20" count="0"/>
        </references>
      </pivotArea>
    </format>
    <format dxfId="10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A000000}" name="PivotTable9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3:AD6" firstHeaderRow="1" firstDataRow="2" firstDataCol="1" rowPageCount="1" colPageCount="1"/>
  <pivotFields count="27">
    <pivotField showAll="0"/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1">
        <item x="6"/>
        <item x="1"/>
        <item x="2"/>
        <item x="0"/>
        <item m="1" x="8"/>
        <item m="1" x="9"/>
        <item m="1" x="18"/>
        <item x="7"/>
        <item m="1" x="14"/>
        <item x="5"/>
        <item x="4"/>
        <item x="3"/>
        <item m="1" x="13"/>
        <item m="1" x="19"/>
        <item m="1" x="12"/>
        <item m="1" x="10"/>
        <item m="1" x="15"/>
        <item m="1" x="11"/>
        <item m="1" x="16"/>
        <item m="1" x="1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2">
    <i>
      <x v="11"/>
    </i>
    <i t="grand">
      <x/>
    </i>
  </rowItems>
  <colFields count="1">
    <field x="20"/>
  </colFields>
  <colItems count="7">
    <i>
      <x/>
    </i>
    <i>
      <x v="1"/>
    </i>
    <i>
      <x v="7"/>
    </i>
    <i>
      <x v="9"/>
    </i>
    <i>
      <x v="10"/>
    </i>
    <i>
      <x v="11"/>
    </i>
    <i t="grand">
      <x/>
    </i>
  </colItems>
  <pageFields count="1">
    <pageField fld="1" hier="-1"/>
  </pageFields>
  <dataFields count="1">
    <dataField name="Count of Position " fld="5" subtotal="count" baseField="0" baseItem="0"/>
  </dataFields>
  <formats count="12">
    <format dxfId="84">
      <pivotArea outline="0" collapsedLevelsAreSubtotals="1" fieldPosition="0"/>
    </format>
    <format dxfId="85">
      <pivotArea dataOnly="0" labelOnly="1" outline="0" fieldPosition="0">
        <references count="1">
          <reference field="1" count="0"/>
        </references>
      </pivotArea>
    </format>
    <format dxfId="86">
      <pivotArea field="20" type="button" dataOnly="0" labelOnly="1" outline="0" axis="axisCol" fieldPosition="0"/>
    </format>
    <format dxfId="87">
      <pivotArea type="topRight" dataOnly="0" labelOnly="1" outline="0" fieldPosition="0"/>
    </format>
    <format dxfId="88">
      <pivotArea dataOnly="0" labelOnly="1" fieldPosition="0">
        <references count="1">
          <reference field="20" count="0"/>
        </references>
      </pivotArea>
    </format>
    <format dxfId="89">
      <pivotArea dataOnly="0" labelOnly="1" grandCol="1" outline="0" fieldPosition="0"/>
    </format>
    <format dxfId="90">
      <pivotArea outline="0" collapsedLevelsAreSubtotals="1" fieldPosition="0"/>
    </format>
    <format dxfId="91">
      <pivotArea field="8" type="button" dataOnly="0" labelOnly="1" outline="0" axis="axisRow" fieldPosition="0"/>
    </format>
    <format dxfId="92">
      <pivotArea dataOnly="0" labelOnly="1" fieldPosition="0">
        <references count="1">
          <reference field="8" count="0"/>
        </references>
      </pivotArea>
    </format>
    <format dxfId="93">
      <pivotArea dataOnly="0" labelOnly="1" grandRow="1" outline="0" fieldPosition="0"/>
    </format>
    <format dxfId="94">
      <pivotArea dataOnly="0" labelOnly="1" fieldPosition="0">
        <references count="1">
          <reference field="20" count="0"/>
        </references>
      </pivotArea>
    </format>
    <format dxfId="9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E000000}" name="PivotTable1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F3:AN15" firstHeaderRow="1" firstDataRow="2" firstDataCol="1" rowPageCount="1" colPageCount="1"/>
  <pivotFields count="27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1">
        <item x="6"/>
        <item x="1"/>
        <item x="2"/>
        <item x="0"/>
        <item m="1" x="8"/>
        <item m="1" x="9"/>
        <item m="1" x="18"/>
        <item x="7"/>
        <item m="1" x="14"/>
        <item x="5"/>
        <item x="4"/>
        <item x="3"/>
        <item m="1" x="13"/>
        <item m="1" x="19"/>
        <item m="1" x="12"/>
        <item m="1" x="10"/>
        <item m="1" x="15"/>
        <item m="1" x="11"/>
        <item m="1" x="16"/>
        <item m="1" x="1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20"/>
  </colFields>
  <colItems count="8">
    <i>
      <x/>
    </i>
    <i>
      <x v="1"/>
    </i>
    <i>
      <x v="2"/>
    </i>
    <i>
      <x v="3"/>
    </i>
    <i>
      <x v="9"/>
    </i>
    <i>
      <x v="10"/>
    </i>
    <i>
      <x v="11"/>
    </i>
    <i t="grand">
      <x/>
    </i>
  </colItems>
  <pageFields count="1">
    <pageField fld="1" hier="-1"/>
  </pageFields>
  <dataFields count="1">
    <dataField name="Count of Position " fld="5" subtotal="count" baseField="0" baseItem="0"/>
  </dataFields>
  <formats count="12">
    <format dxfId="72">
      <pivotArea outline="0" collapsedLevelsAreSubtotals="1" fieldPosition="0"/>
    </format>
    <format dxfId="73">
      <pivotArea dataOnly="0" labelOnly="1" outline="0" fieldPosition="0">
        <references count="1">
          <reference field="1" count="0"/>
        </references>
      </pivotArea>
    </format>
    <format dxfId="74">
      <pivotArea field="20" type="button" dataOnly="0" labelOnly="1" outline="0" axis="axisCol" fieldPosition="0"/>
    </format>
    <format dxfId="75">
      <pivotArea type="topRight" dataOnly="0" labelOnly="1" outline="0" fieldPosition="0"/>
    </format>
    <format dxfId="76">
      <pivotArea dataOnly="0" labelOnly="1" fieldPosition="0">
        <references count="1">
          <reference field="20" count="0"/>
        </references>
      </pivotArea>
    </format>
    <format dxfId="77">
      <pivotArea dataOnly="0" labelOnly="1" grandCol="1" outline="0" fieldPosition="0"/>
    </format>
    <format dxfId="78">
      <pivotArea outline="0" collapsedLevelsAreSubtotals="1" fieldPosition="0"/>
    </format>
    <format dxfId="79">
      <pivotArea field="8" type="button" dataOnly="0" labelOnly="1" outline="0" axis="axisRow" fieldPosition="0"/>
    </format>
    <format dxfId="80">
      <pivotArea dataOnly="0" labelOnly="1" fieldPosition="0">
        <references count="1">
          <reference field="8" count="0"/>
        </references>
      </pivotArea>
    </format>
    <format dxfId="81">
      <pivotArea dataOnly="0" labelOnly="1" grandRow="1" outline="0" fieldPosition="0"/>
    </format>
    <format dxfId="82">
      <pivotArea dataOnly="0" labelOnly="1" fieldPosition="0">
        <references count="1">
          <reference field="20" count="0"/>
        </references>
      </pivotArea>
    </format>
    <format dxfId="8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9000000}" name="PivotTable10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12:AC15" firstHeaderRow="1" firstDataRow="2" firstDataCol="1" rowPageCount="2" colPageCount="1"/>
  <pivotFields count="27">
    <pivotField showAll="0"/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2">
        <item m="1" x="11"/>
        <item m="1" x="10"/>
        <item x="4"/>
        <item x="0"/>
        <item x="3"/>
        <item x="5"/>
        <item x="1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6"/>
        <item m="1" x="7"/>
        <item m="1" x="8"/>
        <item m="1" x="9"/>
        <item m="1" x="12"/>
        <item x="2"/>
        <item t="default"/>
      </items>
    </pivotField>
    <pivotField axis="axisPage" multipleItemSelectionAllowed="1" showAll="0">
      <items count="21">
        <item m="1" x="16"/>
        <item h="1" x="2"/>
        <item m="1" x="15"/>
        <item m="1" x="17"/>
        <item h="1" x="0"/>
        <item h="1" x="7"/>
        <item m="1" x="18"/>
        <item m="1" x="12"/>
        <item h="1" x="1"/>
        <item h="1" x="3"/>
        <item m="1" x="8"/>
        <item m="1" x="19"/>
        <item m="1" x="9"/>
        <item m="1" x="11"/>
        <item m="1" x="10"/>
        <item m="1" x="14"/>
        <item m="1" x="13"/>
        <item h="1"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2">
    <i>
      <x v="11"/>
    </i>
    <i t="grand">
      <x/>
    </i>
  </rowItems>
  <colFields count="1">
    <field x="19"/>
  </colFields>
  <colItems count="6">
    <i>
      <x v="2"/>
    </i>
    <i>
      <x v="3"/>
    </i>
    <i>
      <x v="4"/>
    </i>
    <i>
      <x v="5"/>
    </i>
    <i>
      <x v="30"/>
    </i>
    <i t="grand">
      <x/>
    </i>
  </colItems>
  <pageFields count="2">
    <pageField fld="20" hier="-1"/>
    <pageField fld="1" hier="-1"/>
  </pageFields>
  <dataFields count="1">
    <dataField name="Count of Position " fld="5" subtotal="count" baseField="0" baseItem="0"/>
  </dataFields>
  <formats count="12">
    <format dxfId="60">
      <pivotArea outline="0" collapsedLevelsAreSubtotals="1" fieldPosition="0"/>
    </format>
    <format dxfId="61">
      <pivotArea dataOnly="0" labelOnly="1" outline="0" fieldPosition="0">
        <references count="1">
          <reference field="1" count="0"/>
        </references>
      </pivotArea>
    </format>
    <format dxfId="62">
      <pivotArea field="19" type="button" dataOnly="0" labelOnly="1" outline="0" axis="axisCol" fieldPosition="0"/>
    </format>
    <format dxfId="63">
      <pivotArea type="topRight" dataOnly="0" labelOnly="1" outline="0" fieldPosition="0"/>
    </format>
    <format dxfId="64">
      <pivotArea dataOnly="0" labelOnly="1" fieldPosition="0">
        <references count="1">
          <reference field="19" count="0"/>
        </references>
      </pivotArea>
    </format>
    <format dxfId="65">
      <pivotArea dataOnly="0" labelOnly="1" grandCol="1" outline="0" fieldPosition="0"/>
    </format>
    <format dxfId="66">
      <pivotArea outline="0" collapsedLevelsAreSubtotals="1" fieldPosition="0"/>
    </format>
    <format dxfId="67">
      <pivotArea field="8" type="button" dataOnly="0" labelOnly="1" outline="0" axis="axisRow" fieldPosition="0"/>
    </format>
    <format dxfId="68">
      <pivotArea dataOnly="0" labelOnly="1" fieldPosition="0">
        <references count="1">
          <reference field="8" count="0"/>
        </references>
      </pivotArea>
    </format>
    <format dxfId="69">
      <pivotArea dataOnly="0" labelOnly="1" grandRow="1" outline="0" fieldPosition="0"/>
    </format>
    <format dxfId="70">
      <pivotArea dataOnly="0" labelOnly="1" fieldPosition="0">
        <references count="1">
          <reference field="19" count="0"/>
        </references>
      </pivotArea>
    </format>
    <format dxfId="7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D000000}" name="PivotTable2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F22:AL32" firstHeaderRow="1" firstDataRow="2" firstDataCol="1" rowPageCount="2" colPageCount="1"/>
  <pivotFields count="27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2">
        <item m="1" x="11"/>
        <item m="1" x="10"/>
        <item x="4"/>
        <item x="0"/>
        <item x="3"/>
        <item x="5"/>
        <item x="1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6"/>
        <item m="1" x="7"/>
        <item m="1" x="8"/>
        <item m="1" x="9"/>
        <item m="1" x="12"/>
        <item x="2"/>
        <item t="default"/>
      </items>
    </pivotField>
    <pivotField axis="axisPage" multipleItemSelectionAllowed="1" showAll="0">
      <items count="21">
        <item m="1" x="16"/>
        <item h="1" x="2"/>
        <item m="1" x="15"/>
        <item m="1" x="17"/>
        <item h="1" x="0"/>
        <item h="1" x="7"/>
        <item m="1" x="18"/>
        <item m="1" x="12"/>
        <item h="1" x="1"/>
        <item h="1" x="3"/>
        <item m="1" x="8"/>
        <item m="1" x="19"/>
        <item m="1" x="9"/>
        <item m="1" x="11"/>
        <item m="1" x="10"/>
        <item m="1" x="14"/>
        <item m="1" x="13"/>
        <item h="1"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9">
    <i>
      <x/>
    </i>
    <i>
      <x v="1"/>
    </i>
    <i>
      <x v="12"/>
    </i>
    <i>
      <x v="14"/>
    </i>
    <i>
      <x v="15"/>
    </i>
    <i>
      <x v="16"/>
    </i>
    <i>
      <x v="17"/>
    </i>
    <i>
      <x v="18"/>
    </i>
    <i t="grand">
      <x/>
    </i>
  </rowItems>
  <colFields count="1">
    <field x="19"/>
  </colFields>
  <colItems count="6">
    <i>
      <x v="2"/>
    </i>
    <i>
      <x v="3"/>
    </i>
    <i>
      <x v="4"/>
    </i>
    <i>
      <x v="5"/>
    </i>
    <i>
      <x v="30"/>
    </i>
    <i t="grand">
      <x/>
    </i>
  </colItems>
  <pageFields count="2">
    <pageField fld="20" hier="-1"/>
    <pageField fld="1" hier="-1"/>
  </pageFields>
  <dataFields count="1">
    <dataField name="Count of Position " fld="5" subtotal="count" baseField="0" baseItem="0"/>
  </dataFields>
  <formats count="12">
    <format dxfId="48">
      <pivotArea outline="0" collapsedLevelsAreSubtotals="1" fieldPosition="0"/>
    </format>
    <format dxfId="49">
      <pivotArea dataOnly="0" labelOnly="1" outline="0" fieldPosition="0">
        <references count="1">
          <reference field="1" count="0"/>
        </references>
      </pivotArea>
    </format>
    <format dxfId="50">
      <pivotArea field="19" type="button" dataOnly="0" labelOnly="1" outline="0" axis="axisCol" fieldPosition="0"/>
    </format>
    <format dxfId="51">
      <pivotArea type="topRight" dataOnly="0" labelOnly="1" outline="0" fieldPosition="0"/>
    </format>
    <format dxfId="52">
      <pivotArea dataOnly="0" labelOnly="1" fieldPosition="0">
        <references count="1">
          <reference field="19" count="0"/>
        </references>
      </pivotArea>
    </format>
    <format dxfId="53">
      <pivotArea dataOnly="0" labelOnly="1" grandCol="1" outline="0" fieldPosition="0"/>
    </format>
    <format dxfId="54">
      <pivotArea outline="0" collapsedLevelsAreSubtotals="1" fieldPosition="0"/>
    </format>
    <format dxfId="55">
      <pivotArea field="8" type="button" dataOnly="0" labelOnly="1" outline="0" axis="axisRow" fieldPosition="0"/>
    </format>
    <format dxfId="56">
      <pivotArea dataOnly="0" labelOnly="1" fieldPosition="0">
        <references count="1">
          <reference field="8" count="0"/>
        </references>
      </pivotArea>
    </format>
    <format dxfId="57">
      <pivotArea dataOnly="0" labelOnly="1" grandRow="1" outline="0" fieldPosition="0"/>
    </format>
    <format dxfId="58">
      <pivotArea dataOnly="0" labelOnly="1" fieldPosition="0">
        <references count="1">
          <reference field="19" count="0"/>
        </references>
      </pivotArea>
    </format>
    <format dxfId="5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C000000}" name="PivotTable5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:H21" firstHeaderRow="1" firstDataRow="2" firstDataCol="1" rowPageCount="2" colPageCount="1"/>
  <pivotFields count="27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2">
        <item m="1" x="11"/>
        <item m="1" x="10"/>
        <item x="4"/>
        <item x="0"/>
        <item x="3"/>
        <item x="5"/>
        <item x="1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6"/>
        <item m="1" x="7"/>
        <item m="1" x="8"/>
        <item m="1" x="9"/>
        <item m="1" x="12"/>
        <item x="2"/>
        <item t="default"/>
      </items>
    </pivotField>
    <pivotField axis="axisPage" multipleItemSelectionAllowed="1" showAll="0">
      <items count="21">
        <item m="1" x="16"/>
        <item h="1" x="2"/>
        <item m="1" x="15"/>
        <item m="1" x="17"/>
        <item h="1" x="0"/>
        <item h="1" x="7"/>
        <item m="1" x="18"/>
        <item m="1" x="12"/>
        <item h="1" x="1"/>
        <item h="1" x="3"/>
        <item m="1" x="8"/>
        <item m="1" x="19"/>
        <item m="1" x="9"/>
        <item m="1" x="11"/>
        <item m="1" x="10"/>
        <item m="1" x="14"/>
        <item m="1" x="13"/>
        <item h="1"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 v="2"/>
    </i>
    <i>
      <x v="3"/>
    </i>
    <i>
      <x v="4"/>
    </i>
    <i>
      <x v="5"/>
    </i>
    <i t="grand">
      <x/>
    </i>
  </rowItems>
  <colFields count="1">
    <field x="19"/>
  </colFields>
  <colItems count="6">
    <i>
      <x v="2"/>
    </i>
    <i>
      <x v="3"/>
    </i>
    <i>
      <x v="4"/>
    </i>
    <i>
      <x v="5"/>
    </i>
    <i>
      <x v="30"/>
    </i>
    <i t="grand">
      <x/>
    </i>
  </colItems>
  <pageFields count="2">
    <pageField fld="20" hier="-1"/>
    <pageField fld="1" hier="-1"/>
  </pageFields>
  <dataFields count="1">
    <dataField name="Count of Position " fld="5" subtotal="count" baseField="0" baseItem="0"/>
  </dataFields>
  <formats count="12">
    <format dxfId="36">
      <pivotArea outline="0" collapsedLevelsAreSubtotals="1" fieldPosition="0"/>
    </format>
    <format dxfId="37">
      <pivotArea dataOnly="0" labelOnly="1" outline="0" fieldPosition="0">
        <references count="1">
          <reference field="1" count="0"/>
        </references>
      </pivotArea>
    </format>
    <format dxfId="38">
      <pivotArea field="19" type="button" dataOnly="0" labelOnly="1" outline="0" axis="axisCol" fieldPosition="0"/>
    </format>
    <format dxfId="39">
      <pivotArea type="topRight" dataOnly="0" labelOnly="1" outline="0" fieldPosition="0"/>
    </format>
    <format dxfId="40">
      <pivotArea dataOnly="0" labelOnly="1" fieldPosition="0">
        <references count="1">
          <reference field="19" count="0"/>
        </references>
      </pivotArea>
    </format>
    <format dxfId="41">
      <pivotArea dataOnly="0" labelOnly="1" grandCol="1" outline="0" fieldPosition="0"/>
    </format>
    <format dxfId="42">
      <pivotArea outline="0" collapsedLevelsAreSubtotals="1" fieldPosition="0"/>
    </format>
    <format dxfId="43">
      <pivotArea field="8" type="button" dataOnly="0" labelOnly="1" outline="0" axis="axisRow" fieldPosition="0"/>
    </format>
    <format dxfId="44">
      <pivotArea dataOnly="0" labelOnly="1" fieldPosition="0">
        <references count="1">
          <reference field="8" count="0"/>
        </references>
      </pivotArea>
    </format>
    <format dxfId="45">
      <pivotArea dataOnly="0" labelOnly="1" grandRow="1" outline="0" fieldPosition="0"/>
    </format>
    <format dxfId="46">
      <pivotArea dataOnly="0" labelOnly="1" fieldPosition="0">
        <references count="1">
          <reference field="19" count="0"/>
        </references>
      </pivotArea>
    </format>
    <format dxfId="4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11000000}" name="PivotTable12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J26" firstHeaderRow="1" firstDataRow="2" firstDataCol="1" rowPageCount="1" colPageCount="1"/>
  <pivotFields count="27">
    <pivotField showAll="0"/>
    <pivotField axis="axisPage" multipleItemSelectionAllowe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1">
        <item x="6"/>
        <item x="1"/>
        <item x="2"/>
        <item x="0"/>
        <item m="1" x="8"/>
        <item m="1" x="9"/>
        <item m="1" x="18"/>
        <item x="7"/>
        <item m="1" x="14"/>
        <item x="5"/>
        <item x="4"/>
        <item x="3"/>
        <item m="1" x="13"/>
        <item m="1" x="19"/>
        <item m="1" x="12"/>
        <item m="1" x="10"/>
        <item m="1" x="15"/>
        <item m="1" x="11"/>
        <item m="1" x="16"/>
        <item m="1" x="1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20"/>
  </colFields>
  <colItems count="9">
    <i>
      <x/>
    </i>
    <i>
      <x v="1"/>
    </i>
    <i>
      <x v="2"/>
    </i>
    <i>
      <x v="3"/>
    </i>
    <i>
      <x v="7"/>
    </i>
    <i>
      <x v="9"/>
    </i>
    <i>
      <x v="10"/>
    </i>
    <i>
      <x v="11"/>
    </i>
    <i t="grand">
      <x/>
    </i>
  </colItems>
  <pageFields count="1">
    <pageField fld="1" hier="-1"/>
  </pageFields>
  <dataFields count="1">
    <dataField name="Count of Position " fld="5" subtotal="count" baseField="0" baseItem="0"/>
  </dataFields>
  <formats count="12">
    <format dxfId="24">
      <pivotArea outline="0" collapsedLevelsAreSubtotals="1" fieldPosition="0"/>
    </format>
    <format dxfId="25">
      <pivotArea dataOnly="0" labelOnly="1" outline="0" fieldPosition="0">
        <references count="1">
          <reference field="1" count="0"/>
        </references>
      </pivotArea>
    </format>
    <format dxfId="26">
      <pivotArea field="20" type="button" dataOnly="0" labelOnly="1" outline="0" axis="axisCol" fieldPosition="0"/>
    </format>
    <format dxfId="27">
      <pivotArea type="topRight" dataOnly="0" labelOnly="1" outline="0" fieldPosition="0"/>
    </format>
    <format dxfId="28">
      <pivotArea dataOnly="0" labelOnly="1" fieldPosition="0">
        <references count="1">
          <reference field="20" count="0"/>
        </references>
      </pivotArea>
    </format>
    <format dxfId="29">
      <pivotArea dataOnly="0" labelOnly="1" grandCol="1" outline="0" fieldPosition="0"/>
    </format>
    <format dxfId="30">
      <pivotArea outline="0" collapsedLevelsAreSubtotals="1" fieldPosition="0"/>
    </format>
    <format dxfId="31">
      <pivotArea field="8" type="button" dataOnly="0" labelOnly="1" outline="0" axis="axisRow" fieldPosition="0"/>
    </format>
    <format dxfId="32">
      <pivotArea dataOnly="0" labelOnly="1" fieldPosition="0">
        <references count="1">
          <reference field="8" count="0"/>
        </references>
      </pivotArea>
    </format>
    <format dxfId="33">
      <pivotArea dataOnly="0" labelOnly="1" grandRow="1" outline="0" fieldPosition="0"/>
    </format>
    <format dxfId="34">
      <pivotArea dataOnly="0" labelOnly="1" fieldPosition="0">
        <references count="1">
          <reference field="20" count="0"/>
        </references>
      </pivotArea>
    </format>
    <format dxfId="3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12000000}" name="PivotTable2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I138" firstHeaderRow="2" firstDataRow="2" firstDataCol="3"/>
  <pivotFields count="50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0">
        <item h="1" x="7"/>
        <item x="0"/>
        <item h="1" x="1"/>
        <item h="1" x="5"/>
        <item h="1" x="3"/>
        <item h="1" x="4"/>
        <item h="1" x="2"/>
        <item h="1" x="8"/>
        <item h="1"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8">
        <item x="32"/>
        <item x="6"/>
        <item x="35"/>
        <item x="31"/>
        <item x="30"/>
        <item x="25"/>
        <item x="5"/>
        <item x="26"/>
        <item x="22"/>
        <item x="11"/>
        <item x="10"/>
        <item x="2"/>
        <item x="9"/>
        <item x="33"/>
        <item x="1"/>
        <item x="14"/>
        <item x="28"/>
        <item x="27"/>
        <item x="3"/>
        <item x="24"/>
        <item x="23"/>
        <item x="34"/>
        <item x="36"/>
        <item x="17"/>
        <item x="4"/>
        <item x="21"/>
        <item x="12"/>
        <item x="19"/>
        <item x="18"/>
        <item x="20"/>
        <item x="37"/>
        <item x="29"/>
        <item x="8"/>
        <item x="7"/>
        <item x="13"/>
        <item x="0"/>
        <item x="15"/>
        <item x="16"/>
      </items>
    </pivotField>
    <pivotField compact="0" outline="0" showAll="0"/>
    <pivotField compact="0" outline="0" showAll="0"/>
    <pivotField axis="axisRow" compact="0" outline="0" showAll="0" defaultSubtotal="0">
      <items count="82">
        <item x="51"/>
        <item x="8"/>
        <item x="36"/>
        <item x="6"/>
        <item x="57"/>
        <item x="56"/>
        <item x="49"/>
        <item x="52"/>
        <item x="35"/>
        <item x="7"/>
        <item x="38"/>
        <item x="23"/>
        <item x="47"/>
        <item x="27"/>
        <item x="13"/>
        <item x="12"/>
        <item x="2"/>
        <item m="1" x="80"/>
        <item x="11"/>
        <item x="53"/>
        <item m="1" x="78"/>
        <item x="29"/>
        <item x="59"/>
        <item x="72"/>
        <item x="69"/>
        <item x="60"/>
        <item x="20"/>
        <item x="68"/>
        <item x="64"/>
        <item x="67"/>
        <item x="42"/>
        <item x="17"/>
        <item m="1" x="77"/>
        <item m="1" x="81"/>
        <item x="1"/>
        <item x="16"/>
        <item x="44"/>
        <item x="40"/>
        <item x="3"/>
        <item x="30"/>
        <item x="28"/>
        <item x="54"/>
        <item x="58"/>
        <item x="76"/>
        <item x="45"/>
        <item x="14"/>
        <item x="55"/>
        <item x="19"/>
        <item x="34"/>
        <item x="26"/>
        <item x="32"/>
        <item x="46"/>
        <item x="39"/>
        <item x="73"/>
        <item x="37"/>
        <item x="63"/>
        <item x="4"/>
        <item x="5"/>
        <item x="66"/>
        <item x="33"/>
        <item x="71"/>
        <item x="70"/>
        <item x="22"/>
        <item m="1" x="79"/>
        <item x="62"/>
        <item x="25"/>
        <item x="75"/>
        <item x="21"/>
        <item x="24"/>
        <item x="61"/>
        <item x="31"/>
        <item x="48"/>
        <item x="10"/>
        <item x="74"/>
        <item x="65"/>
        <item x="41"/>
        <item x="9"/>
        <item x="15"/>
        <item x="0"/>
        <item x="18"/>
        <item x="43"/>
        <item x="50"/>
      </items>
    </pivotField>
    <pivotField axis="axisRow" compact="0" outline="0" showAll="0">
      <items count="107">
        <item x="64"/>
        <item x="20"/>
        <item x="86"/>
        <item x="26"/>
        <item x="8"/>
        <item x="65"/>
        <item x="0"/>
        <item x="6"/>
        <item x="72"/>
        <item x="60"/>
        <item x="59"/>
        <item x="44"/>
        <item x="7"/>
        <item x="48"/>
        <item x="54"/>
        <item x="31"/>
        <item x="14"/>
        <item x="67"/>
        <item x="13"/>
        <item x="39"/>
        <item x="84"/>
        <item x="12"/>
        <item x="2"/>
        <item x="87"/>
        <item x="82"/>
        <item x="66"/>
        <item x="9"/>
        <item x="103"/>
        <item x="42"/>
        <item x="77"/>
        <item x="100"/>
        <item x="21"/>
        <item x="79"/>
        <item x="97"/>
        <item x="93"/>
        <item x="80"/>
        <item x="23"/>
        <item x="92"/>
        <item x="89"/>
        <item x="91"/>
        <item x="53"/>
        <item x="19"/>
        <item x="38"/>
        <item x="45"/>
        <item x="11"/>
        <item x="1"/>
        <item x="104"/>
        <item x="57"/>
        <item x="24"/>
        <item x="18"/>
        <item x="56"/>
        <item x="61"/>
        <item x="50"/>
        <item x="3"/>
        <item x="33"/>
        <item x="32"/>
        <item x="105"/>
        <item x="68"/>
        <item x="58"/>
        <item x="102"/>
        <item x="41"/>
        <item x="96"/>
        <item x="49"/>
        <item x="101"/>
        <item x="29"/>
        <item x="71"/>
        <item x="69"/>
        <item x="76"/>
        <item x="22"/>
        <item x="35"/>
        <item x="81"/>
        <item x="5"/>
        <item x="98"/>
        <item x="83"/>
        <item x="47"/>
        <item x="88"/>
        <item x="4"/>
        <item x="36"/>
        <item x="95"/>
        <item x="27"/>
        <item x="75"/>
        <item x="85"/>
        <item x="46"/>
        <item x="15"/>
        <item x="28"/>
        <item x="40"/>
        <item x="25"/>
        <item x="43"/>
        <item x="34"/>
        <item x="78"/>
        <item x="62"/>
        <item x="70"/>
        <item x="51"/>
        <item x="37"/>
        <item x="10"/>
        <item x="99"/>
        <item x="90"/>
        <item x="52"/>
        <item x="74"/>
        <item x="16"/>
        <item x="63"/>
        <item x="55"/>
        <item x="30"/>
        <item x="17"/>
        <item x="94"/>
        <item x="7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16"/>
    <field x="19"/>
    <field x="20"/>
  </rowFields>
  <rowItems count="134">
    <i>
      <x/>
      <x/>
      <x/>
    </i>
    <i>
      <x v="1"/>
      <x v="1"/>
      <x v="4"/>
    </i>
    <i r="2">
      <x v="48"/>
    </i>
    <i r="2">
      <x v="92"/>
    </i>
    <i r="1">
      <x v="80"/>
      <x v="4"/>
    </i>
    <i r="2">
      <x v="101"/>
    </i>
    <i>
      <x v="2"/>
      <x v="4"/>
      <x v="8"/>
    </i>
    <i>
      <x v="3"/>
      <x v="5"/>
      <x v="9"/>
    </i>
    <i r="1">
      <x v="81"/>
      <x v="9"/>
    </i>
    <i>
      <x v="4"/>
      <x v="6"/>
      <x v="10"/>
    </i>
    <i>
      <x v="5"/>
      <x v="7"/>
      <x v="5"/>
    </i>
    <i r="1">
      <x v="8"/>
      <x v="11"/>
    </i>
    <i r="2">
      <x v="71"/>
    </i>
    <i r="1">
      <x v="57"/>
      <x v="71"/>
    </i>
    <i>
      <x v="6"/>
      <x v="9"/>
      <x v="12"/>
    </i>
    <i>
      <x v="7"/>
      <x v="10"/>
      <x v="13"/>
    </i>
    <i>
      <x v="8"/>
      <x v="13"/>
      <x v="15"/>
    </i>
    <i>
      <x v="9"/>
      <x v="14"/>
      <x v="16"/>
    </i>
    <i>
      <x v="10"/>
      <x v="15"/>
      <x v="18"/>
    </i>
    <i>
      <x v="11"/>
      <x v="16"/>
      <x v="19"/>
    </i>
    <i r="2">
      <x v="22"/>
    </i>
    <i>
      <x v="12"/>
      <x v="18"/>
      <x v="17"/>
    </i>
    <i r="2">
      <x v="20"/>
    </i>
    <i r="2">
      <x v="21"/>
    </i>
    <i>
      <x v="13"/>
      <x v="19"/>
      <x v="23"/>
    </i>
    <i r="2">
      <x v="24"/>
    </i>
    <i r="2">
      <x v="25"/>
    </i>
    <i>
      <x v="14"/>
      <x v="34"/>
      <x v="4"/>
    </i>
    <i r="2">
      <x v="44"/>
    </i>
    <i r="2">
      <x v="45"/>
    </i>
    <i r="2">
      <x v="47"/>
    </i>
    <i r="2">
      <x v="48"/>
    </i>
    <i r="2">
      <x v="62"/>
    </i>
    <i r="2">
      <x v="67"/>
    </i>
    <i r="2">
      <x v="100"/>
    </i>
    <i r="1">
      <x v="46"/>
      <x v="46"/>
    </i>
    <i r="2">
      <x v="48"/>
    </i>
    <i r="2">
      <x v="66"/>
    </i>
    <i>
      <x v="15"/>
      <x v="35"/>
      <x v="49"/>
    </i>
    <i>
      <x v="16"/>
      <x v="36"/>
      <x v="50"/>
    </i>
    <i r="2">
      <x v="51"/>
    </i>
    <i r="2">
      <x v="65"/>
    </i>
    <i r="1">
      <x v="80"/>
      <x v="4"/>
    </i>
    <i>
      <x v="17"/>
      <x v="37"/>
      <x v="52"/>
    </i>
    <i>
      <x v="18"/>
      <x v="38"/>
      <x v="53"/>
    </i>
    <i r="2">
      <x v="61"/>
    </i>
    <i>
      <x v="19"/>
      <x v="39"/>
      <x v="54"/>
    </i>
    <i>
      <x v="20"/>
      <x v="40"/>
      <x v="19"/>
    </i>
    <i r="2">
      <x v="55"/>
    </i>
    <i r="2">
      <x v="56"/>
    </i>
    <i>
      <x v="21"/>
      <x v="41"/>
      <x v="57"/>
    </i>
    <i>
      <x v="22"/>
      <x v="42"/>
      <x v="58"/>
    </i>
    <i r="1">
      <x v="43"/>
      <x v="59"/>
    </i>
    <i r="1">
      <x v="52"/>
      <x v="71"/>
    </i>
    <i>
      <x v="23"/>
      <x v="47"/>
      <x v="68"/>
    </i>
    <i>
      <x v="24"/>
      <x v="3"/>
      <x v="7"/>
    </i>
    <i r="1">
      <x v="50"/>
      <x v="69"/>
    </i>
    <i r="1">
      <x v="51"/>
      <x v="40"/>
    </i>
    <i r="1">
      <x v="52"/>
      <x v="69"/>
    </i>
    <i r="2">
      <x v="71"/>
    </i>
    <i r="1">
      <x v="53"/>
      <x v="71"/>
    </i>
    <i r="2">
      <x v="72"/>
    </i>
    <i r="1">
      <x v="54"/>
      <x v="73"/>
    </i>
    <i r="2">
      <x v="74"/>
    </i>
    <i r="1">
      <x v="55"/>
      <x v="75"/>
    </i>
    <i r="1">
      <x v="56"/>
      <x v="76"/>
    </i>
    <i r="1">
      <x v="57"/>
      <x v="71"/>
    </i>
    <i r="1">
      <x v="58"/>
      <x v="71"/>
    </i>
    <i r="1">
      <x v="59"/>
      <x v="77"/>
    </i>
    <i r="1">
      <x v="60"/>
      <x v="78"/>
    </i>
    <i r="1">
      <x v="61"/>
      <x v="71"/>
    </i>
    <i r="1">
      <x v="62"/>
      <x v="79"/>
    </i>
    <i r="1">
      <x v="64"/>
      <x v="81"/>
    </i>
    <i>
      <x v="25"/>
      <x v="65"/>
      <x v="42"/>
    </i>
    <i r="2">
      <x v="82"/>
    </i>
    <i r="2">
      <x v="103"/>
    </i>
    <i>
      <x v="26"/>
      <x v="2"/>
      <x v="83"/>
    </i>
    <i r="1">
      <x v="12"/>
      <x v="83"/>
    </i>
    <i r="1">
      <x v="44"/>
      <x v="83"/>
    </i>
    <i r="1">
      <x v="45"/>
      <x v="83"/>
    </i>
    <i r="1">
      <x v="48"/>
      <x v="83"/>
    </i>
    <i r="1">
      <x v="49"/>
      <x v="83"/>
    </i>
    <i>
      <x v="27"/>
      <x v="11"/>
      <x v="84"/>
    </i>
    <i r="1">
      <x v="21"/>
      <x v="84"/>
    </i>
    <i r="1">
      <x v="66"/>
      <x v="63"/>
    </i>
    <i>
      <x v="28"/>
      <x v="67"/>
      <x v="86"/>
    </i>
    <i>
      <x v="29"/>
      <x v="68"/>
      <x v="14"/>
    </i>
    <i r="2">
      <x v="28"/>
    </i>
    <i r="2">
      <x v="60"/>
    </i>
    <i r="2">
      <x v="64"/>
    </i>
    <i r="2">
      <x v="80"/>
    </i>
    <i r="2">
      <x v="85"/>
    </i>
    <i r="2">
      <x v="87"/>
    </i>
    <i>
      <x v="30"/>
      <x v="69"/>
      <x v="88"/>
    </i>
    <i r="1">
      <x v="70"/>
      <x v="89"/>
    </i>
    <i>
      <x v="31"/>
      <x v="71"/>
      <x v="58"/>
    </i>
    <i r="2">
      <x v="91"/>
    </i>
    <i>
      <x v="32"/>
      <x v="52"/>
      <x v="62"/>
    </i>
    <i r="1">
      <x v="70"/>
      <x v="88"/>
    </i>
    <i r="1">
      <x v="72"/>
      <x v="27"/>
    </i>
    <i r="2">
      <x v="93"/>
    </i>
    <i r="2">
      <x v="94"/>
    </i>
    <i r="1">
      <x v="73"/>
      <x v="95"/>
    </i>
    <i r="1">
      <x v="74"/>
      <x v="96"/>
    </i>
    <i r="1">
      <x v="75"/>
      <x v="97"/>
    </i>
    <i>
      <x v="33"/>
      <x v="76"/>
      <x v="26"/>
    </i>
    <i r="2">
      <x v="29"/>
    </i>
    <i r="2">
      <x v="43"/>
    </i>
    <i r="2">
      <x v="98"/>
    </i>
    <i>
      <x v="34"/>
      <x v="77"/>
      <x v="99"/>
    </i>
    <i>
      <x v="35"/>
      <x v="78"/>
      <x v="6"/>
    </i>
    <i r="2">
      <x v="102"/>
    </i>
    <i r="2">
      <x v="103"/>
    </i>
    <i>
      <x v="36"/>
      <x v="22"/>
      <x v="32"/>
    </i>
    <i r="1">
      <x v="23"/>
      <x v="33"/>
    </i>
    <i r="1">
      <x v="24"/>
      <x v="34"/>
    </i>
    <i r="2">
      <x v="104"/>
    </i>
    <i r="1">
      <x v="25"/>
      <x v="35"/>
    </i>
    <i r="1">
      <x v="26"/>
      <x v="36"/>
    </i>
    <i r="1">
      <x v="27"/>
      <x v="37"/>
    </i>
    <i r="1">
      <x v="28"/>
      <x v="38"/>
    </i>
    <i r="1">
      <x v="29"/>
      <x v="39"/>
    </i>
    <i r="1">
      <x v="30"/>
      <x v="40"/>
    </i>
    <i r="1">
      <x v="31"/>
      <x v="41"/>
    </i>
    <i>
      <x v="37"/>
      <x v="79"/>
      <x v="1"/>
    </i>
    <i r="2">
      <x v="2"/>
    </i>
    <i r="2">
      <x v="3"/>
    </i>
    <i r="2">
      <x v="30"/>
    </i>
    <i r="2">
      <x v="31"/>
    </i>
    <i r="2">
      <x v="49"/>
    </i>
    <i r="2">
      <x v="70"/>
    </i>
    <i r="2">
      <x v="90"/>
    </i>
    <i r="2">
      <x v="10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11"/>
  <sheetViews>
    <sheetView topLeftCell="A76" workbookViewId="0">
      <selection activeCell="B112" sqref="B112"/>
    </sheetView>
  </sheetViews>
  <sheetFormatPr defaultRowHeight="15"/>
  <cols>
    <col min="1" max="1" width="27" bestFit="1" customWidth="1"/>
    <col min="2" max="2" width="14" bestFit="1" customWidth="1"/>
  </cols>
  <sheetData>
    <row r="3" spans="1:2">
      <c r="A3" s="5" t="s">
        <v>0</v>
      </c>
      <c r="B3" t="s">
        <v>1</v>
      </c>
    </row>
    <row r="4" spans="1:2">
      <c r="A4" s="6" t="s">
        <v>2</v>
      </c>
      <c r="B4">
        <v>79</v>
      </c>
    </row>
    <row r="5" spans="1:2">
      <c r="A5" s="7" t="s">
        <v>3</v>
      </c>
      <c r="B5">
        <v>4</v>
      </c>
    </row>
    <row r="6" spans="1:2">
      <c r="A6" s="7" t="s">
        <v>3</v>
      </c>
      <c r="B6">
        <v>1</v>
      </c>
    </row>
    <row r="7" spans="1:2">
      <c r="A7" s="7" t="s">
        <v>4</v>
      </c>
      <c r="B7">
        <v>18</v>
      </c>
    </row>
    <row r="8" spans="1:2">
      <c r="A8" s="7" t="s">
        <v>5</v>
      </c>
      <c r="B8">
        <v>3</v>
      </c>
    </row>
    <row r="9" spans="1:2">
      <c r="A9" s="7" t="s">
        <v>6</v>
      </c>
      <c r="B9">
        <v>3</v>
      </c>
    </row>
    <row r="10" spans="1:2">
      <c r="A10" s="7" t="s">
        <v>7</v>
      </c>
      <c r="B10">
        <v>5</v>
      </c>
    </row>
    <row r="11" spans="1:2">
      <c r="A11" s="7" t="s">
        <v>8</v>
      </c>
      <c r="B11">
        <v>24</v>
      </c>
    </row>
    <row r="12" spans="1:2">
      <c r="A12" s="7" t="s">
        <v>9</v>
      </c>
      <c r="B12">
        <v>5</v>
      </c>
    </row>
    <row r="13" spans="1:2">
      <c r="A13" s="6" t="s">
        <v>2</v>
      </c>
      <c r="B13">
        <v>788</v>
      </c>
    </row>
    <row r="14" spans="1:2">
      <c r="A14" s="7" t="s">
        <v>10</v>
      </c>
      <c r="B14">
        <v>2</v>
      </c>
    </row>
    <row r="15" spans="1:2">
      <c r="A15" s="7" t="s">
        <v>11</v>
      </c>
      <c r="B15">
        <v>36</v>
      </c>
    </row>
    <row r="16" spans="1:2">
      <c r="A16" s="7" t="s">
        <v>4</v>
      </c>
      <c r="B16">
        <v>23</v>
      </c>
    </row>
    <row r="17" spans="1:2">
      <c r="A17" s="7" t="s">
        <v>12</v>
      </c>
      <c r="B17">
        <v>11</v>
      </c>
    </row>
    <row r="18" spans="1:2">
      <c r="A18" s="7" t="s">
        <v>13</v>
      </c>
      <c r="B18">
        <v>4</v>
      </c>
    </row>
    <row r="19" spans="1:2">
      <c r="A19" s="7" t="s">
        <v>14</v>
      </c>
      <c r="B19">
        <v>34</v>
      </c>
    </row>
    <row r="20" spans="1:2">
      <c r="A20" s="7" t="s">
        <v>15</v>
      </c>
      <c r="B20">
        <v>3</v>
      </c>
    </row>
    <row r="21" spans="1:2">
      <c r="A21" s="7" t="s">
        <v>3</v>
      </c>
      <c r="B21">
        <v>3</v>
      </c>
    </row>
    <row r="22" spans="1:2">
      <c r="A22" s="7" t="s">
        <v>16</v>
      </c>
      <c r="B22">
        <v>10</v>
      </c>
    </row>
    <row r="23" spans="1:2">
      <c r="A23" s="7" t="s">
        <v>17</v>
      </c>
      <c r="B23">
        <v>26</v>
      </c>
    </row>
    <row r="24" spans="1:2">
      <c r="A24" s="7" t="s">
        <v>18</v>
      </c>
      <c r="B24">
        <v>12</v>
      </c>
    </row>
    <row r="25" spans="1:2">
      <c r="A25" s="7" t="s">
        <v>19</v>
      </c>
      <c r="B25">
        <v>6</v>
      </c>
    </row>
    <row r="26" spans="1:2">
      <c r="A26" s="7" t="s">
        <v>4</v>
      </c>
      <c r="B26">
        <v>88</v>
      </c>
    </row>
    <row r="27" spans="1:2">
      <c r="A27" s="7" t="s">
        <v>5</v>
      </c>
      <c r="B27">
        <v>53</v>
      </c>
    </row>
    <row r="28" spans="1:2">
      <c r="A28" s="7" t="s">
        <v>20</v>
      </c>
      <c r="B28">
        <v>12</v>
      </c>
    </row>
    <row r="29" spans="1:2">
      <c r="A29" s="7" t="s">
        <v>21</v>
      </c>
      <c r="B29">
        <v>9</v>
      </c>
    </row>
    <row r="30" spans="1:2">
      <c r="A30" s="7" t="s">
        <v>22</v>
      </c>
      <c r="B30">
        <v>14</v>
      </c>
    </row>
    <row r="31" spans="1:2">
      <c r="A31" s="7" t="s">
        <v>6</v>
      </c>
      <c r="B31">
        <v>16</v>
      </c>
    </row>
    <row r="32" spans="1:2">
      <c r="A32" s="7" t="s">
        <v>23</v>
      </c>
      <c r="B32">
        <v>3</v>
      </c>
    </row>
    <row r="33" spans="1:2">
      <c r="A33" s="7" t="s">
        <v>24</v>
      </c>
      <c r="B33">
        <v>1</v>
      </c>
    </row>
    <row r="34" spans="1:2">
      <c r="A34" s="7" t="s">
        <v>25</v>
      </c>
      <c r="B34">
        <v>11</v>
      </c>
    </row>
    <row r="35" spans="1:2">
      <c r="A35" s="7" t="s">
        <v>7</v>
      </c>
      <c r="B35">
        <v>97</v>
      </c>
    </row>
    <row r="36" spans="1:2">
      <c r="A36" s="7" t="s">
        <v>8</v>
      </c>
      <c r="B36">
        <v>125</v>
      </c>
    </row>
    <row r="37" spans="1:2">
      <c r="A37" s="7" t="s">
        <v>26</v>
      </c>
      <c r="B37">
        <v>7</v>
      </c>
    </row>
    <row r="38" spans="1:2">
      <c r="A38" s="7" t="s">
        <v>27</v>
      </c>
      <c r="B38">
        <v>5</v>
      </c>
    </row>
    <row r="39" spans="1:2">
      <c r="A39" s="7" t="s">
        <v>9</v>
      </c>
      <c r="B39">
        <v>57</v>
      </c>
    </row>
    <row r="40" spans="1:2">
      <c r="A40" s="6" t="s">
        <v>2</v>
      </c>
      <c r="B40">
        <v>7</v>
      </c>
    </row>
    <row r="41" spans="1:2">
      <c r="A41" s="7" t="s">
        <v>5</v>
      </c>
      <c r="B41">
        <v>1</v>
      </c>
    </row>
    <row r="42" spans="1:2">
      <c r="A42" s="7" t="s">
        <v>4</v>
      </c>
      <c r="B42">
        <v>2</v>
      </c>
    </row>
    <row r="43" spans="1:2">
      <c r="A43" s="7" t="s">
        <v>8</v>
      </c>
      <c r="B43">
        <v>3</v>
      </c>
    </row>
    <row r="44" spans="1:2">
      <c r="A44" s="6" t="s">
        <v>2</v>
      </c>
      <c r="B44">
        <v>34</v>
      </c>
    </row>
    <row r="45" spans="1:2">
      <c r="A45" s="7" t="s">
        <v>6</v>
      </c>
      <c r="B45">
        <v>3</v>
      </c>
    </row>
    <row r="46" spans="1:2">
      <c r="A46" s="7" t="s">
        <v>3</v>
      </c>
      <c r="B46">
        <v>1</v>
      </c>
    </row>
    <row r="47" spans="1:2">
      <c r="A47" s="7" t="s">
        <v>4</v>
      </c>
      <c r="B47">
        <v>9</v>
      </c>
    </row>
    <row r="48" spans="1:2">
      <c r="A48" s="7" t="s">
        <v>5</v>
      </c>
      <c r="B48">
        <v>2</v>
      </c>
    </row>
    <row r="49" spans="1:2">
      <c r="A49" s="7" t="s">
        <v>21</v>
      </c>
      <c r="B49">
        <v>1</v>
      </c>
    </row>
    <row r="50" spans="1:2">
      <c r="A50" s="7" t="s">
        <v>7</v>
      </c>
      <c r="B50">
        <v>7</v>
      </c>
    </row>
    <row r="51" spans="1:2">
      <c r="A51" s="7" t="s">
        <v>9</v>
      </c>
      <c r="B51">
        <v>1</v>
      </c>
    </row>
    <row r="52" spans="1:2">
      <c r="A52" s="6" t="s">
        <v>2</v>
      </c>
      <c r="B52">
        <v>5</v>
      </c>
    </row>
    <row r="53" spans="1:2">
      <c r="A53" s="7" t="s">
        <v>6</v>
      </c>
      <c r="B53">
        <v>1</v>
      </c>
    </row>
    <row r="54" spans="1:2">
      <c r="A54" s="7" t="s">
        <v>4</v>
      </c>
      <c r="B54">
        <v>3</v>
      </c>
    </row>
    <row r="55" spans="1:2">
      <c r="A55" s="6" t="s">
        <v>2</v>
      </c>
      <c r="B55">
        <v>15</v>
      </c>
    </row>
    <row r="56" spans="1:2">
      <c r="A56" s="7" t="s">
        <v>7</v>
      </c>
      <c r="B56">
        <v>1</v>
      </c>
    </row>
    <row r="57" spans="1:2">
      <c r="A57" s="7" t="s">
        <v>4</v>
      </c>
      <c r="B57">
        <v>7</v>
      </c>
    </row>
    <row r="58" spans="1:2">
      <c r="A58" s="7" t="s">
        <v>5</v>
      </c>
      <c r="B58">
        <v>2</v>
      </c>
    </row>
    <row r="59" spans="1:2">
      <c r="A59" s="7" t="s">
        <v>21</v>
      </c>
      <c r="B59">
        <v>1</v>
      </c>
    </row>
    <row r="60" spans="1:2">
      <c r="A60" s="7" t="s">
        <v>7</v>
      </c>
      <c r="B60">
        <v>1</v>
      </c>
    </row>
    <row r="61" spans="1:2">
      <c r="A61" s="7" t="s">
        <v>9</v>
      </c>
      <c r="B61">
        <v>7</v>
      </c>
    </row>
    <row r="62" spans="1:2">
      <c r="A62" s="6" t="s">
        <v>2</v>
      </c>
      <c r="B62">
        <v>2</v>
      </c>
    </row>
    <row r="63" spans="1:2">
      <c r="A63" s="7" t="s">
        <v>8</v>
      </c>
      <c r="B63">
        <v>2</v>
      </c>
    </row>
    <row r="64" spans="1:2">
      <c r="A64" s="6" t="s">
        <v>2</v>
      </c>
      <c r="B64">
        <v>10</v>
      </c>
    </row>
    <row r="65" spans="1:2">
      <c r="A65" s="7" t="s">
        <v>3</v>
      </c>
      <c r="B65">
        <v>3</v>
      </c>
    </row>
    <row r="66" spans="1:2">
      <c r="A66" s="7" t="s">
        <v>5</v>
      </c>
      <c r="B66">
        <v>1</v>
      </c>
    </row>
    <row r="67" spans="1:2">
      <c r="A67" s="7" t="s">
        <v>22</v>
      </c>
      <c r="B67">
        <v>2</v>
      </c>
    </row>
    <row r="68" spans="1:2">
      <c r="A68" s="7" t="s">
        <v>24</v>
      </c>
      <c r="B68">
        <v>2</v>
      </c>
    </row>
    <row r="69" spans="1:2">
      <c r="A69" s="7" t="s">
        <v>9</v>
      </c>
      <c r="B69">
        <v>2</v>
      </c>
    </row>
    <row r="70" spans="1:2">
      <c r="A70" s="6" t="s">
        <v>28</v>
      </c>
      <c r="B70">
        <v>71</v>
      </c>
    </row>
    <row r="71" spans="1:2">
      <c r="A71" s="7" t="s">
        <v>29</v>
      </c>
      <c r="B71">
        <v>12</v>
      </c>
    </row>
    <row r="72" spans="1:2">
      <c r="A72" s="7" t="s">
        <v>4</v>
      </c>
      <c r="B72">
        <v>28</v>
      </c>
    </row>
    <row r="73" spans="1:2">
      <c r="A73" s="7" t="s">
        <v>5</v>
      </c>
      <c r="B73">
        <v>7</v>
      </c>
    </row>
    <row r="74" spans="1:2">
      <c r="A74" s="7" t="s">
        <v>30</v>
      </c>
      <c r="B74">
        <v>2</v>
      </c>
    </row>
    <row r="75" spans="1:2">
      <c r="A75" s="7" t="s">
        <v>7</v>
      </c>
      <c r="B75">
        <v>9</v>
      </c>
    </row>
    <row r="76" spans="1:2">
      <c r="A76" s="7" t="s">
        <v>8</v>
      </c>
      <c r="B76">
        <v>41</v>
      </c>
    </row>
    <row r="77" spans="1:2">
      <c r="A77" s="7" t="s">
        <v>9</v>
      </c>
      <c r="B77">
        <v>16</v>
      </c>
    </row>
    <row r="78" spans="1:2">
      <c r="A78" s="6" t="s">
        <v>31</v>
      </c>
      <c r="B78">
        <v>1291</v>
      </c>
    </row>
    <row r="83" spans="1:3">
      <c r="A83" s="5" t="s">
        <v>0</v>
      </c>
      <c r="B83" t="s">
        <v>1</v>
      </c>
      <c r="C83" t="s">
        <v>32</v>
      </c>
    </row>
    <row r="84" spans="1:3">
      <c r="A84" s="6" t="s">
        <v>10</v>
      </c>
      <c r="B84">
        <v>2</v>
      </c>
    </row>
    <row r="85" spans="1:3">
      <c r="A85" s="6" t="s">
        <v>11</v>
      </c>
      <c r="B85">
        <v>70</v>
      </c>
    </row>
    <row r="86" spans="1:3">
      <c r="A86" s="6" t="s">
        <v>4</v>
      </c>
      <c r="B86">
        <v>18</v>
      </c>
    </row>
    <row r="87" spans="1:3">
      <c r="A87" s="8" t="s">
        <v>12</v>
      </c>
      <c r="B87" s="9">
        <v>10</v>
      </c>
      <c r="C87">
        <v>8</v>
      </c>
    </row>
    <row r="88" spans="1:3">
      <c r="A88" s="8" t="s">
        <v>13</v>
      </c>
      <c r="B88" s="9">
        <v>10</v>
      </c>
      <c r="C88">
        <v>6</v>
      </c>
    </row>
    <row r="89" spans="1:3">
      <c r="A89" s="6" t="s">
        <v>14</v>
      </c>
      <c r="B89">
        <v>50</v>
      </c>
    </row>
    <row r="90" spans="1:3">
      <c r="A90" s="8" t="s">
        <v>15</v>
      </c>
      <c r="B90" s="9">
        <v>2</v>
      </c>
      <c r="C90">
        <v>3</v>
      </c>
    </row>
    <row r="91" spans="1:3">
      <c r="A91" s="6" t="s">
        <v>33</v>
      </c>
      <c r="B91">
        <v>5</v>
      </c>
    </row>
    <row r="92" spans="1:3">
      <c r="A92" s="8" t="s">
        <v>3</v>
      </c>
      <c r="B92" s="9">
        <v>5</v>
      </c>
    </row>
    <row r="93" spans="1:3">
      <c r="A93" s="6" t="s">
        <v>16</v>
      </c>
      <c r="B93">
        <v>17</v>
      </c>
    </row>
    <row r="94" spans="1:3">
      <c r="A94" s="8" t="s">
        <v>17</v>
      </c>
      <c r="B94" s="9">
        <v>20</v>
      </c>
    </row>
    <row r="95" spans="1:3">
      <c r="A95" s="8" t="s">
        <v>18</v>
      </c>
      <c r="B95" s="9">
        <v>12</v>
      </c>
      <c r="C95">
        <v>17</v>
      </c>
    </row>
    <row r="96" spans="1:3">
      <c r="A96" s="6" t="s">
        <v>19</v>
      </c>
      <c r="B96">
        <v>6</v>
      </c>
    </row>
    <row r="97" spans="1:3">
      <c r="A97" s="6" t="s">
        <v>4</v>
      </c>
      <c r="B97">
        <v>283</v>
      </c>
    </row>
    <row r="98" spans="1:3">
      <c r="A98" s="6" t="s">
        <v>5</v>
      </c>
      <c r="B98">
        <v>75</v>
      </c>
    </row>
    <row r="99" spans="1:3">
      <c r="A99" s="6" t="s">
        <v>20</v>
      </c>
      <c r="B99">
        <v>12</v>
      </c>
    </row>
    <row r="100" spans="1:3">
      <c r="A100" s="8" t="s">
        <v>21</v>
      </c>
      <c r="B100" s="9">
        <v>14</v>
      </c>
      <c r="C100">
        <v>14</v>
      </c>
    </row>
    <row r="101" spans="1:3">
      <c r="A101" s="8" t="s">
        <v>22</v>
      </c>
      <c r="B101">
        <v>13</v>
      </c>
    </row>
    <row r="102" spans="1:3">
      <c r="A102" s="8" t="s">
        <v>6</v>
      </c>
      <c r="B102" s="9">
        <v>14</v>
      </c>
      <c r="C102">
        <v>17</v>
      </c>
    </row>
    <row r="103" spans="1:3">
      <c r="A103" s="6" t="s">
        <v>23</v>
      </c>
      <c r="B103">
        <v>3</v>
      </c>
    </row>
    <row r="104" spans="1:3">
      <c r="A104" s="6" t="s">
        <v>24</v>
      </c>
      <c r="B104">
        <v>4</v>
      </c>
    </row>
    <row r="105" spans="1:3">
      <c r="A105" s="6" t="s">
        <v>25</v>
      </c>
      <c r="B105">
        <v>11</v>
      </c>
    </row>
    <row r="106" spans="1:3">
      <c r="A106" s="6" t="s">
        <v>7</v>
      </c>
      <c r="B106">
        <v>71</v>
      </c>
    </row>
    <row r="107" spans="1:3">
      <c r="A107" s="6" t="s">
        <v>8</v>
      </c>
      <c r="B107">
        <v>290</v>
      </c>
    </row>
    <row r="108" spans="1:3">
      <c r="A108" s="6" t="s">
        <v>26</v>
      </c>
      <c r="B108">
        <v>7</v>
      </c>
    </row>
    <row r="109" spans="1:3">
      <c r="A109" s="6" t="s">
        <v>27</v>
      </c>
      <c r="B109">
        <v>10</v>
      </c>
    </row>
    <row r="110" spans="1:3">
      <c r="A110" s="6" t="s">
        <v>9</v>
      </c>
      <c r="B110">
        <v>128</v>
      </c>
    </row>
    <row r="111" spans="1:3">
      <c r="A111" s="6" t="s">
        <v>31</v>
      </c>
      <c r="B111">
        <v>1411</v>
      </c>
    </row>
  </sheetData>
  <pageMargins left="0.7" right="0.7" top="0.75" bottom="0.75" header="0.3" footer="0.3"/>
  <headerFooter>
    <oddFooter>&amp;C&amp;"Calibri"&amp;8 &amp;K000000_x000D_#  ArcelorMittal proprietary information – all rights reserved for all countries.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0"/>
  <sheetViews>
    <sheetView workbookViewId="0">
      <selection activeCell="A112" sqref="A112"/>
    </sheetView>
  </sheetViews>
  <sheetFormatPr defaultRowHeight="15"/>
  <cols>
    <col min="1" max="1" width="20.42578125" bestFit="1" customWidth="1"/>
    <col min="2" max="2" width="30.140625" bestFit="1" customWidth="1"/>
    <col min="3" max="4" width="5.140625" style="10" bestFit="1" customWidth="1"/>
    <col min="5" max="5" width="8.7109375" style="10" customWidth="1"/>
  </cols>
  <sheetData>
    <row r="1" spans="1:8">
      <c r="A1" s="5" t="s">
        <v>34</v>
      </c>
      <c r="B1" t="s">
        <v>35</v>
      </c>
    </row>
    <row r="3" spans="1:8">
      <c r="A3" s="5" t="s">
        <v>1</v>
      </c>
      <c r="H3">
        <f>SUM(H4:H34)</f>
        <v>0</v>
      </c>
    </row>
    <row r="4" spans="1:8">
      <c r="A4" s="11" t="s">
        <v>36</v>
      </c>
      <c r="B4" s="11" t="s">
        <v>37</v>
      </c>
      <c r="C4" t="s">
        <v>38</v>
      </c>
      <c r="D4" s="15" t="s">
        <v>39</v>
      </c>
      <c r="E4" s="15" t="s">
        <v>40</v>
      </c>
    </row>
    <row r="5" spans="1:8">
      <c r="A5" s="13" t="s">
        <v>41</v>
      </c>
      <c r="B5" s="13" t="s">
        <v>41</v>
      </c>
      <c r="C5" s="14">
        <v>5</v>
      </c>
      <c r="D5" s="14">
        <v>5</v>
      </c>
      <c r="E5" s="114"/>
    </row>
    <row r="6" spans="1:8">
      <c r="A6" s="13" t="s">
        <v>42</v>
      </c>
      <c r="B6" s="13" t="s">
        <v>42</v>
      </c>
      <c r="C6" s="14">
        <v>2</v>
      </c>
      <c r="D6" s="14"/>
      <c r="E6" s="114"/>
    </row>
    <row r="7" spans="1:8">
      <c r="A7" s="13" t="s">
        <v>43</v>
      </c>
      <c r="B7" s="13" t="s">
        <v>29</v>
      </c>
      <c r="C7" s="14">
        <v>14</v>
      </c>
      <c r="D7" s="114"/>
      <c r="E7" s="114"/>
    </row>
    <row r="8" spans="1:8">
      <c r="A8" s="13" t="s">
        <v>6</v>
      </c>
      <c r="B8" s="13" t="s">
        <v>6</v>
      </c>
      <c r="C8" s="14">
        <v>11</v>
      </c>
      <c r="D8" s="14">
        <v>2</v>
      </c>
      <c r="E8" s="114"/>
    </row>
    <row r="9" spans="1:8">
      <c r="A9" s="13" t="s">
        <v>24</v>
      </c>
      <c r="B9" s="13" t="s">
        <v>24</v>
      </c>
      <c r="C9" s="14">
        <v>6</v>
      </c>
      <c r="D9" s="14">
        <v>1</v>
      </c>
      <c r="E9" s="114"/>
    </row>
    <row r="10" spans="1:8">
      <c r="A10" s="13" t="s">
        <v>17</v>
      </c>
      <c r="B10" s="13" t="s">
        <v>17</v>
      </c>
      <c r="C10" s="14">
        <v>6</v>
      </c>
      <c r="D10" s="14"/>
      <c r="E10" s="114">
        <v>1</v>
      </c>
    </row>
    <row r="11" spans="1:8">
      <c r="A11" s="13" t="s">
        <v>29</v>
      </c>
      <c r="B11" s="13" t="s">
        <v>29</v>
      </c>
      <c r="C11" s="14">
        <v>5</v>
      </c>
      <c r="D11" s="14">
        <v>1</v>
      </c>
      <c r="E11" s="14">
        <v>1</v>
      </c>
    </row>
    <row r="12" spans="1:8">
      <c r="A12" s="13"/>
      <c r="B12" s="13" t="s">
        <v>6</v>
      </c>
      <c r="C12" s="14">
        <v>4</v>
      </c>
      <c r="D12" s="114"/>
      <c r="E12" s="114"/>
    </row>
    <row r="13" spans="1:8">
      <c r="A13" s="12" t="s">
        <v>18</v>
      </c>
      <c r="B13" s="12" t="s">
        <v>18</v>
      </c>
      <c r="C13" s="114">
        <v>11</v>
      </c>
      <c r="D13" s="114"/>
      <c r="E13" s="114"/>
    </row>
    <row r="14" spans="1:8">
      <c r="A14" s="12" t="s">
        <v>21</v>
      </c>
      <c r="B14" s="13" t="s">
        <v>16</v>
      </c>
      <c r="C14" s="14">
        <v>7</v>
      </c>
      <c r="D14" s="14">
        <v>1</v>
      </c>
      <c r="E14" s="114">
        <v>3</v>
      </c>
    </row>
    <row r="15" spans="1:8">
      <c r="A15" s="12"/>
      <c r="B15" s="13" t="s">
        <v>21</v>
      </c>
      <c r="C15" s="14">
        <v>1</v>
      </c>
      <c r="D15" s="114"/>
      <c r="E15" s="114"/>
    </row>
    <row r="16" spans="1:8">
      <c r="A16" s="12"/>
      <c r="B16" s="12" t="s">
        <v>13</v>
      </c>
      <c r="C16" s="114">
        <v>15</v>
      </c>
      <c r="D16" s="114"/>
      <c r="E16" s="114"/>
    </row>
    <row r="17" spans="1:6">
      <c r="A17" s="12"/>
      <c r="B17" s="13" t="s">
        <v>26</v>
      </c>
      <c r="C17" s="14">
        <v>24</v>
      </c>
      <c r="D17" s="14">
        <v>1</v>
      </c>
      <c r="E17" s="14">
        <v>1</v>
      </c>
    </row>
    <row r="18" spans="1:6">
      <c r="A18" s="13" t="s">
        <v>33</v>
      </c>
      <c r="B18" s="13" t="s">
        <v>5</v>
      </c>
      <c r="C18" s="14">
        <v>3</v>
      </c>
      <c r="D18" s="14"/>
      <c r="E18" s="14">
        <v>1</v>
      </c>
    </row>
    <row r="19" spans="1:6">
      <c r="A19" s="13"/>
      <c r="B19" s="13" t="s">
        <v>42</v>
      </c>
      <c r="C19" s="14">
        <v>5</v>
      </c>
      <c r="D19" s="14">
        <v>1</v>
      </c>
      <c r="E19" s="14"/>
    </row>
    <row r="20" spans="1:6">
      <c r="A20" s="13"/>
      <c r="B20" s="13" t="s">
        <v>33</v>
      </c>
      <c r="C20" s="14">
        <v>6</v>
      </c>
      <c r="D20" s="14"/>
      <c r="E20" s="14"/>
    </row>
    <row r="21" spans="1:6">
      <c r="A21" s="13" t="s">
        <v>24</v>
      </c>
      <c r="B21" s="13" t="s">
        <v>21</v>
      </c>
      <c r="C21" s="14">
        <v>31</v>
      </c>
      <c r="D21" s="14"/>
      <c r="E21" s="14">
        <v>1</v>
      </c>
      <c r="F21" t="s">
        <v>27</v>
      </c>
    </row>
    <row r="22" spans="1:6">
      <c r="A22" s="13"/>
      <c r="B22" s="13" t="s">
        <v>25</v>
      </c>
      <c r="C22" s="14">
        <v>8</v>
      </c>
      <c r="D22" s="14"/>
      <c r="E22" s="14"/>
    </row>
    <row r="23" spans="1:6">
      <c r="A23" s="13"/>
      <c r="B23" s="13" t="s">
        <v>6</v>
      </c>
      <c r="C23" s="14">
        <v>3</v>
      </c>
      <c r="D23" s="14"/>
      <c r="E23" s="14"/>
    </row>
    <row r="24" spans="1:6">
      <c r="A24" s="13"/>
      <c r="B24" s="13" t="s">
        <v>18</v>
      </c>
      <c r="C24" s="14">
        <v>1</v>
      </c>
      <c r="D24" s="14"/>
      <c r="E24" s="14"/>
    </row>
    <row r="25" spans="1:6">
      <c r="A25" s="13"/>
      <c r="B25" s="13" t="s">
        <v>14</v>
      </c>
      <c r="C25" s="14">
        <v>9</v>
      </c>
      <c r="D25" s="14"/>
      <c r="E25" s="14"/>
    </row>
    <row r="26" spans="1:6">
      <c r="A26" s="13"/>
      <c r="B26" s="13" t="s">
        <v>24</v>
      </c>
      <c r="C26" s="14">
        <v>1</v>
      </c>
      <c r="D26" s="14"/>
      <c r="E26" s="14"/>
    </row>
    <row r="27" spans="1:6">
      <c r="A27" s="13"/>
      <c r="B27" s="13" t="s">
        <v>14</v>
      </c>
      <c r="C27" s="14">
        <v>2</v>
      </c>
      <c r="D27" s="14"/>
      <c r="E27" s="14">
        <v>1</v>
      </c>
      <c r="F27" t="s">
        <v>5</v>
      </c>
    </row>
    <row r="28" spans="1:6">
      <c r="A28" s="13"/>
      <c r="B28" s="13" t="s">
        <v>4</v>
      </c>
      <c r="C28" s="14">
        <v>2</v>
      </c>
      <c r="D28" s="14">
        <v>1</v>
      </c>
      <c r="E28" s="14"/>
    </row>
    <row r="29" spans="1:6">
      <c r="A29" s="13"/>
      <c r="B29" t="s">
        <v>30</v>
      </c>
      <c r="C29" s="114">
        <v>1</v>
      </c>
      <c r="D29" s="114"/>
      <c r="E29" s="114"/>
    </row>
    <row r="30" spans="1:6">
      <c r="A30" s="12" t="s">
        <v>5</v>
      </c>
      <c r="B30" s="12" t="s">
        <v>5</v>
      </c>
      <c r="C30" s="114">
        <v>2</v>
      </c>
      <c r="D30" s="114"/>
      <c r="E30" s="114"/>
    </row>
    <row r="31" spans="1:6">
      <c r="A31" s="13" t="s">
        <v>15</v>
      </c>
      <c r="B31" s="13" t="s">
        <v>15</v>
      </c>
      <c r="C31" s="14">
        <v>3</v>
      </c>
      <c r="D31" s="114"/>
      <c r="E31" s="114"/>
    </row>
    <row r="32" spans="1:6">
      <c r="A32" s="13" t="s">
        <v>41</v>
      </c>
      <c r="B32" s="13" t="s">
        <v>41</v>
      </c>
      <c r="C32" s="14">
        <v>3</v>
      </c>
      <c r="D32" s="114"/>
      <c r="E32" s="114"/>
    </row>
    <row r="33" spans="1:5">
      <c r="A33" s="12" t="s">
        <v>17</v>
      </c>
      <c r="B33" s="12" t="s">
        <v>17</v>
      </c>
      <c r="C33" s="114">
        <v>1</v>
      </c>
      <c r="D33" s="114"/>
      <c r="E33" s="114"/>
    </row>
    <row r="34" spans="1:5">
      <c r="A34" s="12" t="s">
        <v>15</v>
      </c>
      <c r="B34" s="12" t="s">
        <v>15</v>
      </c>
      <c r="C34" s="114">
        <v>5</v>
      </c>
      <c r="D34" s="114"/>
      <c r="E34" s="114">
        <v>3</v>
      </c>
    </row>
    <row r="35" spans="1:5">
      <c r="A35" s="13" t="s">
        <v>25</v>
      </c>
      <c r="B35" s="13" t="s">
        <v>25</v>
      </c>
      <c r="C35" s="14">
        <v>19</v>
      </c>
      <c r="D35" s="114"/>
      <c r="E35" s="114"/>
    </row>
    <row r="36" spans="1:5">
      <c r="A36" s="13"/>
      <c r="B36" s="13" t="s">
        <v>21</v>
      </c>
      <c r="C36" s="14">
        <v>2</v>
      </c>
      <c r="D36" s="114"/>
      <c r="E36" s="114">
        <v>1</v>
      </c>
    </row>
    <row r="37" spans="1:5">
      <c r="A37" s="13" t="s">
        <v>7</v>
      </c>
      <c r="B37" s="13" t="s">
        <v>7</v>
      </c>
      <c r="C37" s="14">
        <v>22</v>
      </c>
      <c r="D37" s="114"/>
      <c r="E37" s="114"/>
    </row>
    <row r="38" spans="1:5">
      <c r="A38" s="13" t="s">
        <v>19</v>
      </c>
      <c r="B38" s="13" t="s">
        <v>43</v>
      </c>
      <c r="C38" s="14">
        <v>2</v>
      </c>
      <c r="D38" s="114"/>
      <c r="E38" s="114">
        <v>1</v>
      </c>
    </row>
    <row r="39" spans="1:5">
      <c r="A39" s="13"/>
      <c r="B39" s="13" t="s">
        <v>29</v>
      </c>
      <c r="C39" s="14">
        <v>2</v>
      </c>
      <c r="D39" s="114"/>
      <c r="E39" s="114"/>
    </row>
    <row r="40" spans="1:5">
      <c r="A40" s="13"/>
      <c r="B40" s="12" t="s">
        <v>33</v>
      </c>
      <c r="C40" s="114">
        <v>1</v>
      </c>
      <c r="D40" s="114"/>
      <c r="E40" s="114"/>
    </row>
    <row r="41" spans="1:5">
      <c r="A41" s="12" t="s">
        <v>31</v>
      </c>
      <c r="B41" s="12"/>
      <c r="C41" s="114">
        <v>172</v>
      </c>
    </row>
    <row r="60" spans="1:4">
      <c r="A60" s="5" t="s">
        <v>34</v>
      </c>
      <c r="B60" t="s">
        <v>35</v>
      </c>
    </row>
    <row r="62" spans="1:4">
      <c r="A62" s="5" t="s">
        <v>1</v>
      </c>
    </row>
    <row r="63" spans="1:4">
      <c r="A63" s="11" t="s">
        <v>36</v>
      </c>
      <c r="B63" s="30" t="s">
        <v>44</v>
      </c>
      <c r="C63" s="11" t="s">
        <v>37</v>
      </c>
      <c r="D63" t="s">
        <v>38</v>
      </c>
    </row>
    <row r="64" spans="1:4">
      <c r="A64" s="13" t="s">
        <v>41</v>
      </c>
      <c r="B64" s="33" t="s">
        <v>2</v>
      </c>
      <c r="C64" s="13" t="s">
        <v>41</v>
      </c>
      <c r="D64" s="14">
        <v>5</v>
      </c>
    </row>
    <row r="65" spans="1:4">
      <c r="A65" s="13" t="s">
        <v>42</v>
      </c>
      <c r="B65" t="s">
        <v>2</v>
      </c>
      <c r="C65" s="13" t="s">
        <v>42</v>
      </c>
      <c r="D65" s="14">
        <v>2</v>
      </c>
    </row>
    <row r="66" spans="1:4">
      <c r="A66" s="13" t="s">
        <v>43</v>
      </c>
      <c r="B66" t="s">
        <v>2</v>
      </c>
      <c r="C66" s="13" t="s">
        <v>29</v>
      </c>
      <c r="D66" s="14">
        <v>14</v>
      </c>
    </row>
    <row r="67" spans="1:4">
      <c r="A67" s="13" t="s">
        <v>6</v>
      </c>
      <c r="B67" t="s">
        <v>2</v>
      </c>
      <c r="C67" s="13" t="s">
        <v>6</v>
      </c>
      <c r="D67" s="14">
        <v>11</v>
      </c>
    </row>
    <row r="68" spans="1:4">
      <c r="A68" s="13" t="s">
        <v>24</v>
      </c>
      <c r="B68" t="s">
        <v>2</v>
      </c>
      <c r="C68" s="13" t="s">
        <v>24</v>
      </c>
      <c r="D68" s="14">
        <v>6</v>
      </c>
    </row>
    <row r="69" spans="1:4">
      <c r="A69" s="13" t="s">
        <v>17</v>
      </c>
      <c r="B69" t="s">
        <v>2</v>
      </c>
      <c r="C69" s="13" t="s">
        <v>17</v>
      </c>
      <c r="D69" s="14">
        <v>6</v>
      </c>
    </row>
    <row r="70" spans="1:4">
      <c r="A70" s="13" t="s">
        <v>29</v>
      </c>
      <c r="B70" s="33" t="s">
        <v>2</v>
      </c>
      <c r="C70" s="13" t="s">
        <v>6</v>
      </c>
      <c r="D70" s="14">
        <v>1</v>
      </c>
    </row>
    <row r="71" spans="1:4">
      <c r="A71" s="13"/>
      <c r="B71" s="34" t="s">
        <v>2</v>
      </c>
      <c r="C71" s="13" t="s">
        <v>29</v>
      </c>
      <c r="D71" s="14">
        <v>5</v>
      </c>
    </row>
    <row r="72" spans="1:4">
      <c r="A72" s="13"/>
      <c r="B72" s="34" t="s">
        <v>9</v>
      </c>
      <c r="C72" s="13" t="s">
        <v>6</v>
      </c>
      <c r="D72" s="14">
        <v>1</v>
      </c>
    </row>
    <row r="73" spans="1:4">
      <c r="A73" s="12" t="s">
        <v>18</v>
      </c>
      <c r="B73" s="33" t="s">
        <v>2</v>
      </c>
      <c r="C73" s="12" t="s">
        <v>18</v>
      </c>
      <c r="D73" s="114">
        <v>11</v>
      </c>
    </row>
    <row r="74" spans="1:4">
      <c r="A74" s="12" t="s">
        <v>21</v>
      </c>
      <c r="B74" s="33" t="s">
        <v>2</v>
      </c>
      <c r="C74" s="12" t="s">
        <v>13</v>
      </c>
      <c r="D74" s="114">
        <v>2</v>
      </c>
    </row>
    <row r="75" spans="1:4">
      <c r="A75" s="12"/>
      <c r="B75" s="34"/>
      <c r="C75" s="13" t="s">
        <v>26</v>
      </c>
      <c r="D75" s="14">
        <v>2</v>
      </c>
    </row>
    <row r="76" spans="1:4">
      <c r="A76" s="12"/>
      <c r="B76" s="34" t="s">
        <v>2</v>
      </c>
      <c r="C76" s="13" t="s">
        <v>16</v>
      </c>
      <c r="D76" s="14">
        <v>7</v>
      </c>
    </row>
    <row r="77" spans="1:4">
      <c r="A77" s="12"/>
      <c r="B77" s="34"/>
      <c r="C77" s="13" t="s">
        <v>21</v>
      </c>
      <c r="D77" s="14">
        <v>1</v>
      </c>
    </row>
    <row r="78" spans="1:4">
      <c r="A78" s="12"/>
      <c r="B78" s="34"/>
      <c r="C78" s="12" t="s">
        <v>13</v>
      </c>
      <c r="D78" s="114">
        <v>8</v>
      </c>
    </row>
    <row r="79" spans="1:4">
      <c r="A79" s="12"/>
      <c r="B79" s="34"/>
      <c r="C79" s="13" t="s">
        <v>26</v>
      </c>
      <c r="D79" s="14">
        <v>17</v>
      </c>
    </row>
    <row r="80" spans="1:4">
      <c r="A80" s="12"/>
      <c r="B80" s="34" t="s">
        <v>2</v>
      </c>
      <c r="C80" s="13" t="s">
        <v>26</v>
      </c>
      <c r="D80" s="14">
        <v>2</v>
      </c>
    </row>
    <row r="81" spans="1:4">
      <c r="A81" s="12"/>
      <c r="B81" s="34" t="s">
        <v>2</v>
      </c>
      <c r="C81" s="13" t="s">
        <v>26</v>
      </c>
      <c r="D81" s="14">
        <v>1</v>
      </c>
    </row>
    <row r="82" spans="1:4">
      <c r="A82" s="12"/>
      <c r="B82" s="34" t="s">
        <v>9</v>
      </c>
      <c r="C82" s="13" t="s">
        <v>16</v>
      </c>
      <c r="D82" s="14">
        <v>1</v>
      </c>
    </row>
    <row r="83" spans="1:4">
      <c r="A83" s="12"/>
      <c r="B83" s="34"/>
      <c r="C83" s="12" t="s">
        <v>13</v>
      </c>
      <c r="D83" s="114">
        <v>2</v>
      </c>
    </row>
    <row r="84" spans="1:4">
      <c r="A84" s="12"/>
      <c r="B84" s="34"/>
      <c r="C84" s="13" t="s">
        <v>26</v>
      </c>
      <c r="D84" s="14">
        <v>3</v>
      </c>
    </row>
    <row r="85" spans="1:4">
      <c r="A85" s="13" t="s">
        <v>33</v>
      </c>
      <c r="B85" s="33" t="s">
        <v>2</v>
      </c>
      <c r="C85" s="13" t="s">
        <v>5</v>
      </c>
      <c r="D85" s="14">
        <v>4</v>
      </c>
    </row>
    <row r="86" spans="1:4">
      <c r="A86" s="13"/>
      <c r="B86" s="34"/>
      <c r="C86" s="13" t="s">
        <v>42</v>
      </c>
      <c r="D86" s="14">
        <v>4</v>
      </c>
    </row>
    <row r="87" spans="1:4">
      <c r="A87" s="13"/>
      <c r="B87" s="34"/>
      <c r="C87" s="13" t="s">
        <v>33</v>
      </c>
      <c r="D87" s="14">
        <v>4</v>
      </c>
    </row>
    <row r="88" spans="1:4">
      <c r="A88" s="13"/>
      <c r="B88" s="34" t="s">
        <v>2</v>
      </c>
      <c r="C88" s="13" t="s">
        <v>5</v>
      </c>
      <c r="D88" s="14">
        <v>1</v>
      </c>
    </row>
    <row r="89" spans="1:4">
      <c r="A89" s="13"/>
      <c r="B89" s="34"/>
      <c r="C89" s="13" t="s">
        <v>42</v>
      </c>
      <c r="D89" s="14">
        <v>1</v>
      </c>
    </row>
    <row r="90" spans="1:4">
      <c r="A90" s="13"/>
      <c r="B90" s="34" t="s">
        <v>2</v>
      </c>
      <c r="C90" s="13" t="s">
        <v>42</v>
      </c>
      <c r="D90" s="14">
        <v>1</v>
      </c>
    </row>
    <row r="91" spans="1:4">
      <c r="A91" s="13"/>
      <c r="B91" s="34" t="s">
        <v>9</v>
      </c>
      <c r="C91" s="13" t="s">
        <v>42</v>
      </c>
      <c r="D91" s="14">
        <v>1</v>
      </c>
    </row>
    <row r="92" spans="1:4">
      <c r="A92" s="13"/>
      <c r="B92" s="34"/>
      <c r="C92" s="13" t="s">
        <v>33</v>
      </c>
      <c r="D92" s="14">
        <v>1</v>
      </c>
    </row>
    <row r="93" spans="1:4">
      <c r="A93" s="13" t="s">
        <v>24</v>
      </c>
      <c r="B93" s="33" t="s">
        <v>2</v>
      </c>
      <c r="C93" s="13" t="s">
        <v>21</v>
      </c>
      <c r="D93" s="14">
        <v>2</v>
      </c>
    </row>
    <row r="94" spans="1:4">
      <c r="A94" s="13"/>
      <c r="B94" s="34"/>
      <c r="C94" s="13" t="s">
        <v>14</v>
      </c>
      <c r="D94" s="14">
        <v>1</v>
      </c>
    </row>
    <row r="95" spans="1:4">
      <c r="A95" s="13"/>
      <c r="B95" s="34"/>
      <c r="C95" s="13" t="s">
        <v>14</v>
      </c>
      <c r="D95" s="14">
        <v>1</v>
      </c>
    </row>
    <row r="96" spans="1:4">
      <c r="A96" s="13"/>
      <c r="B96" s="34" t="s">
        <v>2</v>
      </c>
      <c r="C96" s="13" t="s">
        <v>21</v>
      </c>
      <c r="D96" s="14">
        <v>9</v>
      </c>
    </row>
    <row r="97" spans="1:4">
      <c r="A97" s="13"/>
      <c r="B97" s="34"/>
      <c r="C97" s="13" t="s">
        <v>25</v>
      </c>
      <c r="D97" s="14">
        <v>8</v>
      </c>
    </row>
    <row r="98" spans="1:4">
      <c r="A98" s="13"/>
      <c r="B98" s="34"/>
      <c r="C98" s="13" t="s">
        <v>6</v>
      </c>
      <c r="D98" s="14">
        <v>3</v>
      </c>
    </row>
    <row r="99" spans="1:4">
      <c r="A99" s="13"/>
      <c r="B99" s="34"/>
      <c r="C99" s="13" t="s">
        <v>18</v>
      </c>
      <c r="D99" s="14">
        <v>1</v>
      </c>
    </row>
    <row r="100" spans="1:4">
      <c r="A100" s="13"/>
      <c r="B100" s="34"/>
      <c r="C100" s="13" t="s">
        <v>14</v>
      </c>
      <c r="D100" s="14">
        <v>7</v>
      </c>
    </row>
    <row r="101" spans="1:4">
      <c r="A101" s="13"/>
      <c r="B101" s="34"/>
      <c r="C101" s="13" t="s">
        <v>24</v>
      </c>
      <c r="D101" s="14">
        <v>1</v>
      </c>
    </row>
    <row r="102" spans="1:4">
      <c r="A102" s="13"/>
      <c r="B102" s="34"/>
      <c r="C102" s="13" t="s">
        <v>14</v>
      </c>
      <c r="D102" s="14">
        <v>2</v>
      </c>
    </row>
    <row r="103" spans="1:4">
      <c r="A103" s="13"/>
      <c r="B103" s="34"/>
      <c r="C103" s="13" t="s">
        <v>4</v>
      </c>
      <c r="D103" s="14">
        <v>2</v>
      </c>
    </row>
    <row r="104" spans="1:4">
      <c r="A104" s="13"/>
      <c r="B104" s="34"/>
      <c r="C104" t="s">
        <v>30</v>
      </c>
      <c r="D104" s="114">
        <v>1</v>
      </c>
    </row>
    <row r="105" spans="1:4">
      <c r="A105" s="13"/>
      <c r="B105" s="34" t="s">
        <v>2</v>
      </c>
      <c r="C105" s="13" t="s">
        <v>21</v>
      </c>
      <c r="D105" s="14">
        <v>2</v>
      </c>
    </row>
    <row r="106" spans="1:4">
      <c r="A106" s="13"/>
      <c r="B106" s="34" t="s">
        <v>2</v>
      </c>
      <c r="C106" s="13" t="s">
        <v>21</v>
      </c>
      <c r="D106" s="14">
        <v>1</v>
      </c>
    </row>
    <row r="107" spans="1:4">
      <c r="A107" s="13"/>
      <c r="B107" s="34" t="s">
        <v>9</v>
      </c>
      <c r="C107" s="13" t="s">
        <v>21</v>
      </c>
      <c r="D107" s="14">
        <v>3</v>
      </c>
    </row>
    <row r="108" spans="1:4">
      <c r="A108" s="13"/>
      <c r="B108" s="34"/>
      <c r="C108" s="13" t="s">
        <v>25</v>
      </c>
      <c r="D108" s="14">
        <v>1</v>
      </c>
    </row>
    <row r="109" spans="1:4">
      <c r="A109" s="12" t="s">
        <v>45</v>
      </c>
      <c r="B109" s="33" t="s">
        <v>2</v>
      </c>
      <c r="C109" s="12" t="s">
        <v>5</v>
      </c>
      <c r="D109" s="114">
        <v>2</v>
      </c>
    </row>
    <row r="110" spans="1:4">
      <c r="A110" s="13" t="s">
        <v>46</v>
      </c>
      <c r="B110" s="33" t="s">
        <v>2</v>
      </c>
      <c r="C110" s="13" t="s">
        <v>15</v>
      </c>
      <c r="D110" s="14">
        <v>3</v>
      </c>
    </row>
    <row r="111" spans="1:4">
      <c r="A111" s="13" t="s">
        <v>47</v>
      </c>
      <c r="B111" s="33" t="s">
        <v>2</v>
      </c>
      <c r="C111" s="13" t="s">
        <v>41</v>
      </c>
      <c r="D111" s="14">
        <v>3</v>
      </c>
    </row>
    <row r="112" spans="1:4">
      <c r="A112" s="12" t="s">
        <v>48</v>
      </c>
      <c r="B112" s="33" t="s">
        <v>2</v>
      </c>
      <c r="C112" s="12" t="s">
        <v>17</v>
      </c>
      <c r="D112" s="114">
        <v>1</v>
      </c>
    </row>
    <row r="113" spans="1:4">
      <c r="A113" s="12" t="s">
        <v>49</v>
      </c>
      <c r="B113" s="33" t="s">
        <v>2</v>
      </c>
      <c r="C113" s="12" t="s">
        <v>15</v>
      </c>
      <c r="D113" s="114">
        <v>7</v>
      </c>
    </row>
    <row r="114" spans="1:4">
      <c r="A114" s="12"/>
      <c r="B114" t="s">
        <v>49</v>
      </c>
      <c r="C114" s="12" t="s">
        <v>15</v>
      </c>
      <c r="D114" s="114">
        <v>1</v>
      </c>
    </row>
    <row r="115" spans="1:4">
      <c r="A115" s="13" t="s">
        <v>50</v>
      </c>
      <c r="B115" t="s">
        <v>2</v>
      </c>
      <c r="C115" s="13" t="s">
        <v>25</v>
      </c>
      <c r="D115" s="14">
        <v>1</v>
      </c>
    </row>
    <row r="116" spans="1:4">
      <c r="A116" s="13"/>
      <c r="B116" s="33" t="s">
        <v>9</v>
      </c>
      <c r="C116" s="13" t="s">
        <v>25</v>
      </c>
      <c r="D116" s="14">
        <v>23</v>
      </c>
    </row>
    <row r="117" spans="1:4">
      <c r="A117" s="13"/>
      <c r="B117" s="34"/>
      <c r="C117" s="13" t="s">
        <v>21</v>
      </c>
      <c r="D117" s="14">
        <v>2</v>
      </c>
    </row>
    <row r="118" spans="1:4">
      <c r="A118" s="13" t="s">
        <v>51</v>
      </c>
      <c r="B118" s="33" t="s">
        <v>2</v>
      </c>
      <c r="C118" s="13" t="s">
        <v>7</v>
      </c>
      <c r="D118" s="14">
        <v>22</v>
      </c>
    </row>
    <row r="119" spans="1:4">
      <c r="A119" s="13" t="s">
        <v>52</v>
      </c>
      <c r="B119" s="33" t="s">
        <v>2</v>
      </c>
      <c r="C119" s="13" t="s">
        <v>43</v>
      </c>
      <c r="D119" s="14">
        <v>2</v>
      </c>
    </row>
    <row r="120" spans="1:4">
      <c r="A120" s="13"/>
      <c r="B120" s="34"/>
      <c r="C120" s="13" t="s">
        <v>29</v>
      </c>
      <c r="D120" s="14">
        <v>2</v>
      </c>
    </row>
    <row r="121" spans="1:4">
      <c r="A121" s="13"/>
      <c r="B121" s="34"/>
      <c r="C121" s="12" t="s">
        <v>33</v>
      </c>
      <c r="D121" s="114">
        <v>1</v>
      </c>
    </row>
    <row r="122" spans="1:4">
      <c r="A122" s="12" t="s">
        <v>31</v>
      </c>
      <c r="B122" s="12"/>
      <c r="C122" s="12"/>
      <c r="D122" s="114">
        <v>172</v>
      </c>
    </row>
    <row r="126" spans="1:4">
      <c r="A126" s="5" t="s">
        <v>34</v>
      </c>
      <c r="B126" t="s">
        <v>35</v>
      </c>
    </row>
    <row r="128" spans="1:4">
      <c r="A128" s="5" t="s">
        <v>1</v>
      </c>
    </row>
    <row r="129" spans="1:3">
      <c r="A129" s="31" t="s">
        <v>44</v>
      </c>
      <c r="B129" s="11" t="s">
        <v>36</v>
      </c>
      <c r="C129" t="s">
        <v>38</v>
      </c>
    </row>
    <row r="130" spans="1:3">
      <c r="A130" s="12" t="s">
        <v>2</v>
      </c>
      <c r="B130" s="12" t="s">
        <v>29</v>
      </c>
      <c r="C130" s="114">
        <v>2</v>
      </c>
    </row>
    <row r="131" spans="1:3">
      <c r="A131" s="12"/>
      <c r="B131" s="12" t="s">
        <v>21</v>
      </c>
      <c r="C131" s="114">
        <v>4</v>
      </c>
    </row>
    <row r="132" spans="1:3">
      <c r="A132" s="12"/>
      <c r="B132" s="12" t="s">
        <v>24</v>
      </c>
      <c r="C132" s="114">
        <v>4</v>
      </c>
    </row>
    <row r="133" spans="1:3">
      <c r="A133" s="12"/>
      <c r="B133" s="32" t="s">
        <v>7</v>
      </c>
      <c r="C133" s="114">
        <v>22</v>
      </c>
    </row>
    <row r="134" spans="1:3">
      <c r="A134" s="12" t="s">
        <v>2</v>
      </c>
      <c r="B134" s="12" t="s">
        <v>41</v>
      </c>
      <c r="C134" s="114">
        <v>5</v>
      </c>
    </row>
    <row r="135" spans="1:3">
      <c r="A135" s="12"/>
      <c r="B135" s="12" t="s">
        <v>42</v>
      </c>
      <c r="C135" s="114">
        <v>2</v>
      </c>
    </row>
    <row r="136" spans="1:3">
      <c r="A136" s="12"/>
      <c r="B136" s="12" t="s">
        <v>43</v>
      </c>
      <c r="C136" s="114">
        <v>10</v>
      </c>
    </row>
    <row r="137" spans="1:3">
      <c r="A137" s="12"/>
      <c r="B137" s="12" t="s">
        <v>6</v>
      </c>
      <c r="C137" s="114">
        <v>11</v>
      </c>
    </row>
    <row r="138" spans="1:3">
      <c r="A138" s="12"/>
      <c r="B138" s="12" t="s">
        <v>24</v>
      </c>
      <c r="C138" s="114">
        <v>6</v>
      </c>
    </row>
    <row r="139" spans="1:3">
      <c r="A139" s="12"/>
      <c r="B139" s="12" t="s">
        <v>17</v>
      </c>
      <c r="C139" s="114">
        <v>6</v>
      </c>
    </row>
    <row r="140" spans="1:3">
      <c r="A140" s="12"/>
      <c r="B140" s="12" t="s">
        <v>29</v>
      </c>
      <c r="C140" s="114">
        <v>5</v>
      </c>
    </row>
    <row r="141" spans="1:3">
      <c r="A141" s="12"/>
      <c r="B141" s="12" t="s">
        <v>18</v>
      </c>
      <c r="C141" s="114">
        <v>12</v>
      </c>
    </row>
    <row r="142" spans="1:3">
      <c r="A142" s="12"/>
      <c r="B142" s="12" t="s">
        <v>21</v>
      </c>
      <c r="C142" s="114">
        <v>32</v>
      </c>
    </row>
    <row r="143" spans="1:3">
      <c r="A143" s="12"/>
      <c r="B143" s="12" t="s">
        <v>33</v>
      </c>
      <c r="C143" s="114">
        <v>12</v>
      </c>
    </row>
    <row r="144" spans="1:3">
      <c r="A144" s="12"/>
      <c r="B144" s="12" t="s">
        <v>24</v>
      </c>
      <c r="C144" s="114">
        <v>26</v>
      </c>
    </row>
    <row r="145" spans="1:3">
      <c r="A145" s="12"/>
      <c r="B145" s="12" t="s">
        <v>15</v>
      </c>
      <c r="C145" s="114">
        <v>3</v>
      </c>
    </row>
    <row r="146" spans="1:3">
      <c r="A146" s="12"/>
      <c r="B146" s="32" t="s">
        <v>19</v>
      </c>
      <c r="C146" s="114">
        <v>4</v>
      </c>
    </row>
    <row r="147" spans="1:3">
      <c r="A147" s="12" t="s">
        <v>2</v>
      </c>
      <c r="B147" s="32" t="s">
        <v>5</v>
      </c>
      <c r="C147" s="114">
        <v>2</v>
      </c>
    </row>
    <row r="148" spans="1:3">
      <c r="A148" s="12" t="s">
        <v>2</v>
      </c>
      <c r="B148" s="12" t="s">
        <v>21</v>
      </c>
      <c r="C148" s="114">
        <v>2</v>
      </c>
    </row>
    <row r="149" spans="1:3">
      <c r="A149" s="12"/>
      <c r="B149" s="12" t="s">
        <v>33</v>
      </c>
      <c r="C149" s="114">
        <v>2</v>
      </c>
    </row>
    <row r="150" spans="1:3">
      <c r="A150" s="12"/>
      <c r="B150" s="12" t="s">
        <v>24</v>
      </c>
      <c r="C150" s="114">
        <v>2</v>
      </c>
    </row>
    <row r="151" spans="1:3">
      <c r="A151" s="12"/>
      <c r="B151" s="32" t="s">
        <v>15</v>
      </c>
      <c r="C151" s="114">
        <v>7</v>
      </c>
    </row>
    <row r="152" spans="1:3">
      <c r="A152" s="12" t="s">
        <v>2</v>
      </c>
      <c r="B152" s="32" t="s">
        <v>41</v>
      </c>
      <c r="C152" s="114">
        <v>3</v>
      </c>
    </row>
    <row r="153" spans="1:3">
      <c r="A153" s="12" t="s">
        <v>2</v>
      </c>
      <c r="B153" s="12" t="s">
        <v>21</v>
      </c>
      <c r="C153" s="114">
        <v>1</v>
      </c>
    </row>
    <row r="154" spans="1:3">
      <c r="A154" s="12"/>
      <c r="B154" s="12" t="s">
        <v>33</v>
      </c>
      <c r="C154" s="114">
        <v>1</v>
      </c>
    </row>
    <row r="155" spans="1:3">
      <c r="A155" s="12"/>
      <c r="B155" s="12" t="s">
        <v>24</v>
      </c>
      <c r="C155" s="114">
        <v>1</v>
      </c>
    </row>
    <row r="156" spans="1:3">
      <c r="A156" s="12"/>
      <c r="B156" s="12" t="s">
        <v>17</v>
      </c>
      <c r="C156" s="114">
        <v>1</v>
      </c>
    </row>
    <row r="157" spans="1:3">
      <c r="A157" s="12"/>
      <c r="B157" s="32" t="s">
        <v>25</v>
      </c>
      <c r="C157" s="114">
        <v>1</v>
      </c>
    </row>
    <row r="158" spans="1:3">
      <c r="A158" s="12" t="s">
        <v>9</v>
      </c>
      <c r="B158" s="12" t="s">
        <v>29</v>
      </c>
      <c r="C158" s="114">
        <v>1</v>
      </c>
    </row>
    <row r="159" spans="1:3">
      <c r="A159" s="12"/>
      <c r="B159" s="12" t="s">
        <v>21</v>
      </c>
      <c r="C159" s="114">
        <v>9</v>
      </c>
    </row>
    <row r="160" spans="1:3">
      <c r="A160" s="12"/>
      <c r="B160" s="12" t="s">
        <v>33</v>
      </c>
      <c r="C160" s="114">
        <v>2</v>
      </c>
    </row>
    <row r="161" spans="1:3">
      <c r="A161" s="12"/>
      <c r="B161" s="12" t="s">
        <v>24</v>
      </c>
      <c r="C161" s="114">
        <v>7</v>
      </c>
    </row>
    <row r="162" spans="1:3">
      <c r="A162" s="32"/>
      <c r="B162" s="32" t="s">
        <v>25</v>
      </c>
      <c r="C162" s="114">
        <v>22</v>
      </c>
    </row>
    <row r="163" spans="1:3">
      <c r="A163" t="s">
        <v>15</v>
      </c>
      <c r="B163" t="s">
        <v>15</v>
      </c>
      <c r="C163" s="114">
        <v>1</v>
      </c>
    </row>
    <row r="164" spans="1:3">
      <c r="A164" s="12" t="s">
        <v>31</v>
      </c>
      <c r="B164" s="12"/>
      <c r="C164" s="114">
        <v>172</v>
      </c>
    </row>
    <row r="171" spans="1:3">
      <c r="A171" s="5" t="s">
        <v>34</v>
      </c>
      <c r="B171" t="s">
        <v>8</v>
      </c>
    </row>
    <row r="173" spans="1:3">
      <c r="A173" s="5" t="s">
        <v>1</v>
      </c>
    </row>
    <row r="174" spans="1:3">
      <c r="A174" s="11" t="s">
        <v>36</v>
      </c>
      <c r="B174" s="11" t="s">
        <v>37</v>
      </c>
      <c r="C174" t="s">
        <v>38</v>
      </c>
    </row>
    <row r="175" spans="1:3">
      <c r="A175" s="32" t="s">
        <v>22</v>
      </c>
      <c r="B175" s="32" t="s">
        <v>22</v>
      </c>
      <c r="C175" s="114">
        <v>5</v>
      </c>
    </row>
    <row r="176" spans="1:3">
      <c r="A176" s="35" t="s">
        <v>21</v>
      </c>
      <c r="B176" s="32" t="s">
        <v>21</v>
      </c>
      <c r="C176" s="114">
        <v>4</v>
      </c>
    </row>
    <row r="177" spans="1:3">
      <c r="A177" s="35" t="s">
        <v>21</v>
      </c>
      <c r="B177" s="32" t="s">
        <v>21</v>
      </c>
      <c r="C177" s="114">
        <v>32</v>
      </c>
    </row>
    <row r="178" spans="1:3">
      <c r="A178" s="35" t="s">
        <v>4</v>
      </c>
      <c r="B178" s="32" t="s">
        <v>4</v>
      </c>
      <c r="C178" s="114">
        <v>1</v>
      </c>
    </row>
    <row r="179" spans="1:3">
      <c r="A179" s="35" t="s">
        <v>19</v>
      </c>
      <c r="B179" s="32" t="s">
        <v>19</v>
      </c>
      <c r="C179" s="114">
        <v>8</v>
      </c>
    </row>
    <row r="180" spans="1:3">
      <c r="A180" s="35" t="s">
        <v>18</v>
      </c>
      <c r="B180" s="32" t="s">
        <v>18</v>
      </c>
      <c r="C180" s="114">
        <v>10</v>
      </c>
    </row>
    <row r="181" spans="1:3">
      <c r="A181" s="35" t="s">
        <v>26</v>
      </c>
      <c r="B181" s="32" t="s">
        <v>26</v>
      </c>
      <c r="C181" s="114">
        <v>7</v>
      </c>
    </row>
    <row r="182" spans="1:3">
      <c r="A182" s="35" t="s">
        <v>6</v>
      </c>
      <c r="B182" s="32" t="s">
        <v>18</v>
      </c>
      <c r="C182" s="114">
        <v>9</v>
      </c>
    </row>
    <row r="183" spans="1:3">
      <c r="A183" s="35"/>
      <c r="B183" s="35" t="s">
        <v>6</v>
      </c>
      <c r="C183" s="114">
        <v>1</v>
      </c>
    </row>
    <row r="184" spans="1:3">
      <c r="A184" s="35"/>
      <c r="B184" s="35" t="s">
        <v>7</v>
      </c>
      <c r="C184" s="114">
        <v>8</v>
      </c>
    </row>
    <row r="185" spans="1:3">
      <c r="A185" s="35"/>
      <c r="B185" s="35" t="s">
        <v>42</v>
      </c>
      <c r="C185" s="114">
        <v>1</v>
      </c>
    </row>
    <row r="186" spans="1:3">
      <c r="A186" s="35" t="s">
        <v>43</v>
      </c>
      <c r="B186" s="32" t="s">
        <v>22</v>
      </c>
      <c r="C186" s="114">
        <v>2</v>
      </c>
    </row>
    <row r="187" spans="1:3">
      <c r="A187" s="35"/>
      <c r="B187" s="35" t="s">
        <v>7</v>
      </c>
      <c r="C187" s="114">
        <v>3</v>
      </c>
    </row>
    <row r="188" spans="1:3">
      <c r="A188" s="35"/>
      <c r="B188" s="35" t="s">
        <v>43</v>
      </c>
      <c r="C188" s="114">
        <v>1</v>
      </c>
    </row>
    <row r="189" spans="1:3">
      <c r="A189" s="35"/>
      <c r="B189" s="35" t="s">
        <v>16</v>
      </c>
      <c r="C189" s="114">
        <v>1</v>
      </c>
    </row>
    <row r="190" spans="1:3">
      <c r="A190" s="35" t="s">
        <v>16</v>
      </c>
      <c r="B190" s="32" t="s">
        <v>16</v>
      </c>
      <c r="C190" s="114">
        <v>8</v>
      </c>
    </row>
    <row r="191" spans="1:3">
      <c r="A191" s="35" t="s">
        <v>16</v>
      </c>
      <c r="B191" s="32" t="s">
        <v>16</v>
      </c>
      <c r="C191" s="114">
        <v>6</v>
      </c>
    </row>
    <row r="192" spans="1:3">
      <c r="A192" s="35" t="s">
        <v>8</v>
      </c>
      <c r="B192" s="32" t="s">
        <v>14</v>
      </c>
      <c r="C192" s="114">
        <v>3</v>
      </c>
    </row>
    <row r="193" spans="1:3">
      <c r="A193" s="35" t="s">
        <v>8</v>
      </c>
      <c r="B193" s="32" t="s">
        <v>8</v>
      </c>
      <c r="C193" s="114">
        <v>6</v>
      </c>
    </row>
    <row r="194" spans="1:3">
      <c r="A194" s="35" t="s">
        <v>16</v>
      </c>
      <c r="B194" s="32" t="s">
        <v>42</v>
      </c>
      <c r="C194" s="114">
        <v>14</v>
      </c>
    </row>
    <row r="195" spans="1:3">
      <c r="A195" s="35"/>
      <c r="B195" s="35" t="s">
        <v>16</v>
      </c>
      <c r="C195" s="114">
        <v>4</v>
      </c>
    </row>
    <row r="196" spans="1:3">
      <c r="A196" s="35" t="s">
        <v>7</v>
      </c>
      <c r="B196" s="32" t="s">
        <v>28</v>
      </c>
      <c r="C196" s="114">
        <v>2</v>
      </c>
    </row>
    <row r="197" spans="1:3">
      <c r="A197" s="35"/>
      <c r="B197" s="35" t="s">
        <v>6</v>
      </c>
      <c r="C197" s="114">
        <v>4</v>
      </c>
    </row>
    <row r="198" spans="1:3">
      <c r="A198" s="35"/>
      <c r="B198" s="35" t="s">
        <v>12</v>
      </c>
      <c r="C198" s="114">
        <v>3</v>
      </c>
    </row>
    <row r="199" spans="1:3">
      <c r="A199" s="35"/>
      <c r="B199" s="35" t="s">
        <v>7</v>
      </c>
      <c r="C199" s="114">
        <v>5</v>
      </c>
    </row>
    <row r="200" spans="1:3">
      <c r="A200" s="35"/>
      <c r="B200" s="35" t="s">
        <v>27</v>
      </c>
      <c r="C200" s="114">
        <v>6</v>
      </c>
    </row>
    <row r="201" spans="1:3">
      <c r="A201" s="35"/>
      <c r="B201" s="35" t="s">
        <v>12</v>
      </c>
      <c r="C201" s="114">
        <v>1</v>
      </c>
    </row>
    <row r="202" spans="1:3">
      <c r="A202" s="35"/>
      <c r="B202" s="35" t="s">
        <v>7</v>
      </c>
      <c r="C202" s="114">
        <v>1</v>
      </c>
    </row>
    <row r="203" spans="1:3">
      <c r="A203" s="35" t="s">
        <v>12</v>
      </c>
      <c r="B203" s="32" t="s">
        <v>22</v>
      </c>
      <c r="C203" s="114">
        <v>5</v>
      </c>
    </row>
    <row r="204" spans="1:3">
      <c r="A204" s="35"/>
      <c r="B204" s="35" t="s">
        <v>18</v>
      </c>
      <c r="C204" s="114">
        <v>9</v>
      </c>
    </row>
    <row r="205" spans="1:3">
      <c r="A205" s="35"/>
      <c r="B205" s="35" t="s">
        <v>7</v>
      </c>
      <c r="C205" s="114">
        <v>5</v>
      </c>
    </row>
    <row r="206" spans="1:3">
      <c r="A206" s="35"/>
      <c r="B206" s="35" t="s">
        <v>16</v>
      </c>
      <c r="C206" s="114">
        <v>2</v>
      </c>
    </row>
    <row r="207" spans="1:3">
      <c r="A207" s="35"/>
      <c r="B207" s="35" t="s">
        <v>12</v>
      </c>
      <c r="C207" s="114">
        <v>1</v>
      </c>
    </row>
    <row r="208" spans="1:3">
      <c r="A208" s="35" t="s">
        <v>22</v>
      </c>
      <c r="B208" s="32" t="s">
        <v>22</v>
      </c>
      <c r="C208" s="114">
        <v>25</v>
      </c>
    </row>
    <row r="209" spans="1:3">
      <c r="A209" s="35" t="s">
        <v>21</v>
      </c>
      <c r="B209" s="32" t="s">
        <v>22</v>
      </c>
      <c r="C209" s="114">
        <v>1</v>
      </c>
    </row>
    <row r="210" spans="1:3">
      <c r="A210" s="35"/>
      <c r="B210" s="35" t="s">
        <v>18</v>
      </c>
      <c r="C210" s="114">
        <v>23</v>
      </c>
    </row>
    <row r="211" spans="1:3">
      <c r="A211" s="35"/>
      <c r="B211" s="35" t="s">
        <v>7</v>
      </c>
      <c r="C211" s="114">
        <v>5</v>
      </c>
    </row>
    <row r="212" spans="1:3">
      <c r="A212" s="35"/>
      <c r="B212" s="35" t="s">
        <v>16</v>
      </c>
      <c r="C212" s="114">
        <v>1</v>
      </c>
    </row>
    <row r="213" spans="1:3">
      <c r="A213" s="35"/>
      <c r="B213" s="35" t="s">
        <v>21</v>
      </c>
      <c r="C213" s="114">
        <v>1</v>
      </c>
    </row>
    <row r="214" spans="1:3">
      <c r="A214" s="35" t="s">
        <v>26</v>
      </c>
      <c r="B214" s="32" t="s">
        <v>26</v>
      </c>
      <c r="C214" s="114">
        <v>1</v>
      </c>
    </row>
    <row r="215" spans="1:3">
      <c r="A215" s="35" t="s">
        <v>33</v>
      </c>
      <c r="B215" s="32" t="s">
        <v>33</v>
      </c>
      <c r="C215" s="114">
        <v>1</v>
      </c>
    </row>
    <row r="216" spans="1:3">
      <c r="A216" s="35" t="s">
        <v>41</v>
      </c>
      <c r="B216" s="32" t="s">
        <v>41</v>
      </c>
      <c r="C216" s="114">
        <v>1</v>
      </c>
    </row>
    <row r="217" spans="1:3">
      <c r="A217" s="12" t="s">
        <v>31</v>
      </c>
      <c r="B217" s="12"/>
      <c r="C217" s="114">
        <v>198</v>
      </c>
    </row>
    <row r="222" spans="1:3">
      <c r="A222" s="5" t="s">
        <v>34</v>
      </c>
      <c r="B222" t="s">
        <v>8</v>
      </c>
    </row>
    <row r="224" spans="1:3">
      <c r="A224" s="5" t="s">
        <v>1</v>
      </c>
      <c r="B224" s="10"/>
    </row>
    <row r="225" spans="1:2">
      <c r="A225" s="30" t="s">
        <v>44</v>
      </c>
      <c r="B225" t="s">
        <v>38</v>
      </c>
    </row>
    <row r="226" spans="1:2">
      <c r="A226" t="s">
        <v>2</v>
      </c>
      <c r="B226" s="114">
        <v>12</v>
      </c>
    </row>
    <row r="227" spans="1:2">
      <c r="A227" t="s">
        <v>2</v>
      </c>
      <c r="B227" s="114">
        <v>135</v>
      </c>
    </row>
    <row r="228" spans="1:2">
      <c r="A228" t="s">
        <v>2</v>
      </c>
      <c r="B228" s="114">
        <v>4</v>
      </c>
    </row>
    <row r="229" spans="1:2">
      <c r="A229" t="s">
        <v>9</v>
      </c>
      <c r="B229" s="114">
        <v>25</v>
      </c>
    </row>
    <row r="230" spans="1:2">
      <c r="A230" s="12" t="s">
        <v>31</v>
      </c>
      <c r="B230" s="114">
        <v>324</v>
      </c>
    </row>
  </sheetData>
  <pageMargins left="0.7" right="0.7" top="0.75" bottom="0.75" header="0.3" footer="0.3"/>
  <headerFooter>
    <oddFooter>&amp;C&amp;"Calibri"&amp;8 &amp;K000000_x000D_#  ArcelorMittal proprietary information – all rights reserved for all countries.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>
      <selection activeCell="G10" sqref="G10"/>
    </sheetView>
  </sheetViews>
  <sheetFormatPr defaultRowHeight="15"/>
  <cols>
    <col min="1" max="1" width="23.7109375" bestFit="1" customWidth="1"/>
    <col min="2" max="2" width="21.7109375" bestFit="1" customWidth="1"/>
    <col min="3" max="3" width="27" bestFit="1" customWidth="1"/>
    <col min="4" max="4" width="27" style="10" bestFit="1" customWidth="1"/>
    <col min="5" max="5" width="5.140625" bestFit="1" customWidth="1"/>
  </cols>
  <sheetData>
    <row r="1" spans="1:5">
      <c r="A1" s="5" t="s">
        <v>1</v>
      </c>
      <c r="E1" s="10"/>
    </row>
    <row r="2" spans="1:5">
      <c r="A2" s="11" t="s">
        <v>53</v>
      </c>
      <c r="B2" s="11" t="s">
        <v>54</v>
      </c>
      <c r="C2" s="11" t="s">
        <v>34</v>
      </c>
      <c r="D2" s="5" t="s">
        <v>55</v>
      </c>
      <c r="E2" t="s">
        <v>38</v>
      </c>
    </row>
    <row r="3" spans="1:5">
      <c r="A3" s="12" t="s">
        <v>56</v>
      </c>
      <c r="B3" s="12" t="s">
        <v>57</v>
      </c>
      <c r="C3" s="12" t="s">
        <v>58</v>
      </c>
      <c r="D3" t="s">
        <v>58</v>
      </c>
      <c r="E3" s="114">
        <v>212</v>
      </c>
    </row>
    <row r="4" spans="1:5">
      <c r="A4" s="12" t="s">
        <v>12</v>
      </c>
      <c r="B4" s="12" t="s">
        <v>4</v>
      </c>
      <c r="C4" s="12" t="s">
        <v>4</v>
      </c>
      <c r="D4" t="s">
        <v>4</v>
      </c>
      <c r="E4" s="114">
        <v>186</v>
      </c>
    </row>
    <row r="5" spans="1:5">
      <c r="A5" s="12" t="s">
        <v>14</v>
      </c>
      <c r="B5" s="12" t="s">
        <v>28</v>
      </c>
      <c r="C5" s="12" t="s">
        <v>33</v>
      </c>
      <c r="D5" t="s">
        <v>33</v>
      </c>
      <c r="E5" s="114">
        <v>2</v>
      </c>
    </row>
    <row r="6" spans="1:5">
      <c r="A6" s="12"/>
      <c r="B6" s="12"/>
      <c r="C6" s="12" t="s">
        <v>29</v>
      </c>
      <c r="D6" t="s">
        <v>29</v>
      </c>
      <c r="E6" s="114">
        <v>93</v>
      </c>
    </row>
    <row r="7" spans="1:5">
      <c r="A7" s="12"/>
      <c r="B7" s="12"/>
      <c r="C7" s="12" t="s">
        <v>18</v>
      </c>
      <c r="D7" t="s">
        <v>18</v>
      </c>
      <c r="E7" s="114">
        <v>11</v>
      </c>
    </row>
    <row r="8" spans="1:5">
      <c r="A8" s="12"/>
      <c r="B8" s="12"/>
      <c r="C8" s="12" t="s">
        <v>19</v>
      </c>
      <c r="D8" t="s">
        <v>19</v>
      </c>
      <c r="E8" s="114">
        <v>5</v>
      </c>
    </row>
    <row r="9" spans="1:5">
      <c r="A9" s="12"/>
      <c r="B9" s="12"/>
      <c r="C9" s="12" t="s">
        <v>5</v>
      </c>
      <c r="D9" t="s">
        <v>5</v>
      </c>
      <c r="E9" s="114">
        <v>83</v>
      </c>
    </row>
    <row r="10" spans="1:5">
      <c r="A10" s="12"/>
      <c r="B10" s="12"/>
      <c r="C10" s="12" t="s">
        <v>20</v>
      </c>
      <c r="D10" t="s">
        <v>20</v>
      </c>
      <c r="E10" s="114">
        <v>13</v>
      </c>
    </row>
    <row r="11" spans="1:5">
      <c r="A11" s="12"/>
      <c r="B11" s="12"/>
      <c r="C11" s="12" t="s">
        <v>24</v>
      </c>
      <c r="D11" t="s">
        <v>24</v>
      </c>
      <c r="E11" s="114">
        <v>3</v>
      </c>
    </row>
    <row r="12" spans="1:5">
      <c r="A12" s="12" t="s">
        <v>22</v>
      </c>
      <c r="B12" s="12" t="s">
        <v>15</v>
      </c>
      <c r="C12" s="12" t="s">
        <v>13</v>
      </c>
      <c r="D12" t="s">
        <v>13</v>
      </c>
      <c r="E12" s="114">
        <v>4</v>
      </c>
    </row>
    <row r="13" spans="1:5">
      <c r="A13" s="12"/>
      <c r="B13" s="12"/>
      <c r="C13" s="12" t="s">
        <v>15</v>
      </c>
      <c r="D13" t="s">
        <v>15</v>
      </c>
      <c r="E13" s="114">
        <v>3</v>
      </c>
    </row>
    <row r="14" spans="1:5">
      <c r="A14" s="12"/>
      <c r="B14" s="12"/>
      <c r="C14" s="12" t="s">
        <v>21</v>
      </c>
      <c r="D14" t="s">
        <v>21</v>
      </c>
      <c r="E14" s="114">
        <v>14</v>
      </c>
    </row>
    <row r="15" spans="1:5">
      <c r="A15" s="12"/>
      <c r="B15" s="12"/>
      <c r="C15" s="12" t="s">
        <v>21</v>
      </c>
      <c r="D15" t="s">
        <v>13</v>
      </c>
      <c r="E15" s="114">
        <v>5</v>
      </c>
    </row>
    <row r="16" spans="1:5">
      <c r="A16" s="12" t="s">
        <v>20</v>
      </c>
      <c r="B16" s="12" t="s">
        <v>7</v>
      </c>
      <c r="C16" s="12" t="s">
        <v>8</v>
      </c>
      <c r="D16" t="s">
        <v>23</v>
      </c>
      <c r="E16" s="114">
        <v>18</v>
      </c>
    </row>
    <row r="17" spans="1:5">
      <c r="A17" s="12"/>
      <c r="B17" s="12"/>
      <c r="C17" s="12" t="s">
        <v>14</v>
      </c>
      <c r="D17" t="s">
        <v>7</v>
      </c>
      <c r="E17" s="114">
        <v>54</v>
      </c>
    </row>
    <row r="18" spans="1:5">
      <c r="A18" s="12"/>
      <c r="B18" s="12"/>
      <c r="C18" s="12" t="s">
        <v>16</v>
      </c>
      <c r="D18" t="s">
        <v>16</v>
      </c>
      <c r="E18" s="114">
        <v>15</v>
      </c>
    </row>
    <row r="19" spans="1:5">
      <c r="A19" s="12"/>
      <c r="B19" s="12"/>
      <c r="C19" s="12" t="s">
        <v>23</v>
      </c>
      <c r="D19" t="s">
        <v>7</v>
      </c>
      <c r="E19" s="114">
        <v>4</v>
      </c>
    </row>
    <row r="20" spans="1:5">
      <c r="A20" s="12"/>
      <c r="B20" s="12"/>
      <c r="C20" s="12" t="s">
        <v>25</v>
      </c>
      <c r="D20" t="s">
        <v>23</v>
      </c>
      <c r="E20" s="114">
        <v>9</v>
      </c>
    </row>
    <row r="21" spans="1:5">
      <c r="A21" s="12"/>
      <c r="B21" s="12"/>
      <c r="C21" s="12" t="s">
        <v>7</v>
      </c>
      <c r="D21" t="s">
        <v>7</v>
      </c>
      <c r="E21" s="114">
        <v>108</v>
      </c>
    </row>
    <row r="22" spans="1:5">
      <c r="A22" s="12"/>
      <c r="B22" s="12"/>
      <c r="C22" s="12" t="s">
        <v>26</v>
      </c>
      <c r="D22" t="s">
        <v>26</v>
      </c>
      <c r="E22" s="114">
        <v>3</v>
      </c>
    </row>
    <row r="23" spans="1:5">
      <c r="A23" s="12"/>
      <c r="B23" s="12"/>
      <c r="C23" s="12" t="s">
        <v>27</v>
      </c>
      <c r="D23" t="s">
        <v>27</v>
      </c>
      <c r="E23" s="114">
        <v>10</v>
      </c>
    </row>
    <row r="24" spans="1:5">
      <c r="A24" s="12"/>
      <c r="B24" s="12"/>
      <c r="C24" s="12" t="s">
        <v>9</v>
      </c>
      <c r="D24" t="s">
        <v>9</v>
      </c>
      <c r="E24" s="114">
        <v>86</v>
      </c>
    </row>
    <row r="25" spans="1:5">
      <c r="A25" s="12" t="s">
        <v>25</v>
      </c>
      <c r="B25" s="12" t="s">
        <v>17</v>
      </c>
      <c r="C25" s="12" t="s">
        <v>17</v>
      </c>
      <c r="D25" t="s">
        <v>17</v>
      </c>
      <c r="E25" s="114">
        <v>20</v>
      </c>
    </row>
    <row r="26" spans="1:5">
      <c r="A26" s="12"/>
      <c r="B26" s="12"/>
      <c r="C26" s="12" t="s">
        <v>22</v>
      </c>
      <c r="D26" t="s">
        <v>22</v>
      </c>
      <c r="E26" s="114">
        <v>13</v>
      </c>
    </row>
    <row r="27" spans="1:5">
      <c r="A27" s="12" t="s">
        <v>18</v>
      </c>
      <c r="B27" s="12" t="s">
        <v>6</v>
      </c>
      <c r="C27" s="12" t="s">
        <v>3</v>
      </c>
      <c r="D27" t="s">
        <v>3</v>
      </c>
      <c r="E27" s="114">
        <v>3</v>
      </c>
    </row>
    <row r="28" spans="1:5">
      <c r="A28" s="12"/>
      <c r="B28" s="12"/>
      <c r="C28" s="12" t="s">
        <v>6</v>
      </c>
      <c r="D28" t="s">
        <v>6</v>
      </c>
      <c r="E28" s="114">
        <v>14</v>
      </c>
    </row>
    <row r="29" spans="1:5">
      <c r="A29" s="12" t="s">
        <v>29</v>
      </c>
      <c r="B29" s="12" t="s">
        <v>12</v>
      </c>
      <c r="C29" s="12" t="s">
        <v>12</v>
      </c>
      <c r="D29" t="s">
        <v>12</v>
      </c>
      <c r="E29" s="114">
        <v>11</v>
      </c>
    </row>
    <row r="30" spans="1:5">
      <c r="A30" s="12" t="s">
        <v>31</v>
      </c>
      <c r="B30" s="12"/>
      <c r="C30" s="12"/>
      <c r="D30" s="12"/>
      <c r="E30" s="114">
        <v>1315</v>
      </c>
    </row>
  </sheetData>
  <pageMargins left="0.7" right="0.7" top="0.75" bottom="0.75" header="0.3" footer="0.3"/>
  <headerFooter>
    <oddFooter>&amp;C&amp;"Calibri"&amp;8 &amp;K000000_x000D_#  ArcelorMittal proprietary information – all rights reserved for all countries.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80"/>
  <sheetViews>
    <sheetView topLeftCell="B9" workbookViewId="0">
      <selection activeCell="B8" sqref="B8"/>
    </sheetView>
  </sheetViews>
  <sheetFormatPr defaultRowHeight="15"/>
  <cols>
    <col min="1" max="1" width="36.5703125" bestFit="1" customWidth="1"/>
    <col min="2" max="3" width="39.85546875" bestFit="1" customWidth="1"/>
    <col min="4" max="4" width="5.140625" bestFit="1" customWidth="1"/>
  </cols>
  <sheetData>
    <row r="2" spans="1:9">
      <c r="D2" t="s">
        <v>59</v>
      </c>
      <c r="E2" t="s">
        <v>60</v>
      </c>
      <c r="F2">
        <v>1962</v>
      </c>
      <c r="G2" t="s">
        <v>61</v>
      </c>
      <c r="H2" t="s">
        <v>62</v>
      </c>
      <c r="I2" t="s">
        <v>63</v>
      </c>
    </row>
    <row r="3" spans="1:9">
      <c r="A3" s="5" t="s">
        <v>1</v>
      </c>
      <c r="E3" t="s">
        <v>64</v>
      </c>
      <c r="G3" t="s">
        <v>65</v>
      </c>
    </row>
    <row r="4" spans="1:9">
      <c r="A4" s="5" t="s">
        <v>55</v>
      </c>
      <c r="B4" s="5" t="s">
        <v>66</v>
      </c>
      <c r="C4" s="5" t="s">
        <v>34</v>
      </c>
      <c r="D4" t="s">
        <v>38</v>
      </c>
    </row>
    <row r="5" spans="1:9">
      <c r="A5" t="s">
        <v>67</v>
      </c>
      <c r="B5" t="s">
        <v>68</v>
      </c>
      <c r="C5" t="s">
        <v>67</v>
      </c>
      <c r="D5">
        <v>2</v>
      </c>
    </row>
    <row r="6" spans="1:9">
      <c r="A6" t="s">
        <v>69</v>
      </c>
      <c r="B6" t="s">
        <v>68</v>
      </c>
      <c r="C6" t="s">
        <v>69</v>
      </c>
      <c r="D6">
        <v>71</v>
      </c>
    </row>
    <row r="7" spans="1:9">
      <c r="A7" t="s">
        <v>70</v>
      </c>
      <c r="B7" t="s">
        <v>70</v>
      </c>
      <c r="C7" t="s">
        <v>70</v>
      </c>
      <c r="D7">
        <v>5</v>
      </c>
    </row>
    <row r="8" spans="1:9">
      <c r="A8" t="s">
        <v>71</v>
      </c>
      <c r="B8" t="s">
        <v>71</v>
      </c>
      <c r="C8" t="s">
        <v>71</v>
      </c>
      <c r="D8">
        <v>9</v>
      </c>
    </row>
    <row r="9" spans="1:9">
      <c r="A9" t="s">
        <v>72</v>
      </c>
      <c r="B9" t="s">
        <v>35</v>
      </c>
      <c r="C9" t="s">
        <v>72</v>
      </c>
      <c r="D9">
        <v>4</v>
      </c>
      <c r="E9" t="e">
        <f>#REF!</f>
        <v>#REF!</v>
      </c>
    </row>
    <row r="10" spans="1:9">
      <c r="A10" t="s">
        <v>73</v>
      </c>
      <c r="B10" t="s">
        <v>74</v>
      </c>
      <c r="C10" t="s">
        <v>73</v>
      </c>
      <c r="D10">
        <v>45</v>
      </c>
    </row>
    <row r="11" spans="1:9">
      <c r="A11" t="s">
        <v>75</v>
      </c>
      <c r="B11" t="s">
        <v>75</v>
      </c>
      <c r="C11" t="s">
        <v>75</v>
      </c>
      <c r="D11">
        <v>4</v>
      </c>
    </row>
    <row r="12" spans="1:9">
      <c r="A12" t="s">
        <v>76</v>
      </c>
      <c r="B12" t="s">
        <v>35</v>
      </c>
      <c r="C12" t="s">
        <v>76</v>
      </c>
      <c r="D12">
        <v>3</v>
      </c>
    </row>
    <row r="13" spans="1:9">
      <c r="A13" t="s">
        <v>77</v>
      </c>
      <c r="B13" t="s">
        <v>78</v>
      </c>
      <c r="C13" t="s">
        <v>77</v>
      </c>
      <c r="D13">
        <v>5</v>
      </c>
    </row>
    <row r="14" spans="1:9">
      <c r="A14" t="s">
        <v>79</v>
      </c>
      <c r="B14" t="s">
        <v>74</v>
      </c>
      <c r="C14" t="s">
        <v>79</v>
      </c>
      <c r="D14">
        <v>11</v>
      </c>
    </row>
    <row r="15" spans="1:9">
      <c r="A15" t="s">
        <v>80</v>
      </c>
      <c r="B15" t="s">
        <v>35</v>
      </c>
      <c r="C15" t="s">
        <v>80</v>
      </c>
      <c r="D15">
        <v>11</v>
      </c>
    </row>
    <row r="16" spans="1:9">
      <c r="A16" t="s">
        <v>81</v>
      </c>
      <c r="B16" t="s">
        <v>82</v>
      </c>
      <c r="C16" t="s">
        <v>81</v>
      </c>
      <c r="D16">
        <v>9</v>
      </c>
    </row>
    <row r="17" spans="1:4">
      <c r="A17" t="s">
        <v>83</v>
      </c>
      <c r="B17" t="s">
        <v>68</v>
      </c>
      <c r="C17" t="s">
        <v>83</v>
      </c>
      <c r="D17">
        <v>11</v>
      </c>
    </row>
    <row r="18" spans="1:4">
      <c r="A18" t="s">
        <v>84</v>
      </c>
      <c r="B18" t="s">
        <v>68</v>
      </c>
      <c r="C18" t="s">
        <v>84</v>
      </c>
      <c r="D18">
        <v>9</v>
      </c>
    </row>
    <row r="19" spans="1:4">
      <c r="A19" t="s">
        <v>72</v>
      </c>
      <c r="B19" t="s">
        <v>68</v>
      </c>
      <c r="C19" t="s">
        <v>71</v>
      </c>
      <c r="D19">
        <v>64</v>
      </c>
    </row>
    <row r="20" spans="1:4">
      <c r="C20" t="s">
        <v>72</v>
      </c>
      <c r="D20">
        <v>8</v>
      </c>
    </row>
    <row r="21" spans="1:4">
      <c r="C21" t="s">
        <v>79</v>
      </c>
      <c r="D21">
        <v>6</v>
      </c>
    </row>
    <row r="22" spans="1:4">
      <c r="C22" t="s">
        <v>84</v>
      </c>
      <c r="D22">
        <v>4</v>
      </c>
    </row>
    <row r="23" spans="1:4">
      <c r="A23" t="s">
        <v>71</v>
      </c>
      <c r="B23" t="s">
        <v>58</v>
      </c>
      <c r="C23" t="s">
        <v>71</v>
      </c>
      <c r="D23">
        <v>48</v>
      </c>
    </row>
    <row r="24" spans="1:4">
      <c r="A24" t="s">
        <v>75</v>
      </c>
      <c r="B24" t="s">
        <v>68</v>
      </c>
      <c r="C24" t="s">
        <v>75</v>
      </c>
      <c r="D24">
        <v>12</v>
      </c>
    </row>
    <row r="25" spans="1:4">
      <c r="A25" t="s">
        <v>75</v>
      </c>
      <c r="B25" t="s">
        <v>75</v>
      </c>
      <c r="C25" t="s">
        <v>75</v>
      </c>
      <c r="D25">
        <v>23</v>
      </c>
    </row>
    <row r="26" spans="1:4">
      <c r="A26" t="s">
        <v>68</v>
      </c>
      <c r="B26" t="s">
        <v>35</v>
      </c>
      <c r="C26" t="s">
        <v>68</v>
      </c>
      <c r="D26">
        <v>9</v>
      </c>
    </row>
    <row r="27" spans="1:4">
      <c r="A27" t="s">
        <v>75</v>
      </c>
      <c r="B27" t="s">
        <v>58</v>
      </c>
      <c r="C27" t="s">
        <v>75</v>
      </c>
      <c r="D27">
        <v>6</v>
      </c>
    </row>
    <row r="28" spans="1:4">
      <c r="A28" t="s">
        <v>72</v>
      </c>
      <c r="B28" t="s">
        <v>82</v>
      </c>
      <c r="C28" t="s">
        <v>72</v>
      </c>
      <c r="D28">
        <v>24</v>
      </c>
    </row>
    <row r="29" spans="1:4">
      <c r="A29" t="s">
        <v>82</v>
      </c>
      <c r="B29" t="s">
        <v>78</v>
      </c>
      <c r="C29" t="s">
        <v>82</v>
      </c>
      <c r="D29">
        <v>17</v>
      </c>
    </row>
    <row r="30" spans="1:4">
      <c r="A30" t="s">
        <v>84</v>
      </c>
      <c r="B30" t="s">
        <v>74</v>
      </c>
      <c r="C30" t="s">
        <v>83</v>
      </c>
      <c r="D30">
        <v>8</v>
      </c>
    </row>
    <row r="31" spans="1:4">
      <c r="A31" t="s">
        <v>69</v>
      </c>
      <c r="B31" t="s">
        <v>35</v>
      </c>
      <c r="C31" t="s">
        <v>69</v>
      </c>
      <c r="D31">
        <v>7</v>
      </c>
    </row>
    <row r="32" spans="1:4">
      <c r="A32" t="s">
        <v>74</v>
      </c>
      <c r="B32" t="s">
        <v>74</v>
      </c>
      <c r="C32" t="s">
        <v>84</v>
      </c>
      <c r="D32">
        <v>16</v>
      </c>
    </row>
    <row r="33" spans="1:4">
      <c r="C33" t="s">
        <v>75</v>
      </c>
      <c r="D33">
        <v>8</v>
      </c>
    </row>
    <row r="34" spans="1:4">
      <c r="C34" t="s">
        <v>79</v>
      </c>
      <c r="D34">
        <v>65</v>
      </c>
    </row>
    <row r="35" spans="1:4">
      <c r="C35" t="s">
        <v>74</v>
      </c>
      <c r="D35">
        <v>62</v>
      </c>
    </row>
    <row r="36" spans="1:4">
      <c r="A36" t="s">
        <v>79</v>
      </c>
      <c r="B36" t="s">
        <v>35</v>
      </c>
      <c r="C36" t="s">
        <v>79</v>
      </c>
      <c r="D36">
        <v>6</v>
      </c>
    </row>
    <row r="37" spans="1:4">
      <c r="A37" t="s">
        <v>69</v>
      </c>
      <c r="B37" t="s">
        <v>58</v>
      </c>
      <c r="C37" t="s">
        <v>72</v>
      </c>
      <c r="D37">
        <v>23</v>
      </c>
    </row>
    <row r="38" spans="1:4">
      <c r="C38" t="s">
        <v>71</v>
      </c>
      <c r="D38">
        <v>31</v>
      </c>
    </row>
    <row r="39" spans="1:4">
      <c r="C39" t="s">
        <v>76</v>
      </c>
      <c r="D39">
        <v>16</v>
      </c>
    </row>
    <row r="40" spans="1:4">
      <c r="C40" t="s">
        <v>68</v>
      </c>
      <c r="D40">
        <v>30</v>
      </c>
    </row>
    <row r="41" spans="1:4">
      <c r="C41" t="s">
        <v>72</v>
      </c>
      <c r="D41">
        <v>5</v>
      </c>
    </row>
    <row r="42" spans="1:4">
      <c r="C42" t="s">
        <v>71</v>
      </c>
      <c r="D42">
        <v>12</v>
      </c>
    </row>
    <row r="43" spans="1:4">
      <c r="A43" t="s">
        <v>58</v>
      </c>
      <c r="B43" t="s">
        <v>58</v>
      </c>
      <c r="C43" t="s">
        <v>84</v>
      </c>
      <c r="D43">
        <v>4</v>
      </c>
    </row>
    <row r="44" spans="1:4">
      <c r="C44" t="s">
        <v>82</v>
      </c>
      <c r="D44">
        <v>1</v>
      </c>
    </row>
    <row r="45" spans="1:4">
      <c r="C45" t="s">
        <v>58</v>
      </c>
      <c r="D45">
        <v>1</v>
      </c>
    </row>
    <row r="46" spans="1:4">
      <c r="A46" t="s">
        <v>73</v>
      </c>
      <c r="B46" t="s">
        <v>58</v>
      </c>
      <c r="C46" t="s">
        <v>73</v>
      </c>
      <c r="D46">
        <v>18</v>
      </c>
    </row>
    <row r="47" spans="1:4">
      <c r="A47" t="s">
        <v>80</v>
      </c>
      <c r="B47" t="s">
        <v>58</v>
      </c>
      <c r="C47" t="s">
        <v>81</v>
      </c>
      <c r="D47">
        <v>2</v>
      </c>
    </row>
    <row r="48" spans="1:4">
      <c r="C48" t="s">
        <v>71</v>
      </c>
      <c r="D48">
        <v>5</v>
      </c>
    </row>
    <row r="49" spans="1:4">
      <c r="C49" t="s">
        <v>58</v>
      </c>
      <c r="D49">
        <v>4</v>
      </c>
    </row>
    <row r="50" spans="1:4">
      <c r="C50" t="s">
        <v>58</v>
      </c>
      <c r="D50">
        <v>5</v>
      </c>
    </row>
    <row r="51" spans="1:4">
      <c r="C51" t="s">
        <v>76</v>
      </c>
      <c r="D51">
        <v>5</v>
      </c>
    </row>
    <row r="52" spans="1:4">
      <c r="C52" t="s">
        <v>70</v>
      </c>
      <c r="D52">
        <v>1</v>
      </c>
    </row>
    <row r="53" spans="1:4">
      <c r="C53" t="s">
        <v>80</v>
      </c>
      <c r="D53">
        <v>1</v>
      </c>
    </row>
    <row r="54" spans="1:4">
      <c r="A54" t="s">
        <v>81</v>
      </c>
      <c r="B54" t="s">
        <v>74</v>
      </c>
      <c r="C54" t="s">
        <v>81</v>
      </c>
      <c r="D54">
        <v>4</v>
      </c>
    </row>
    <row r="55" spans="1:4">
      <c r="A55" t="s">
        <v>78</v>
      </c>
      <c r="B55" t="s">
        <v>74</v>
      </c>
      <c r="C55" t="s">
        <v>78</v>
      </c>
      <c r="D55">
        <v>7</v>
      </c>
    </row>
    <row r="56" spans="1:4">
      <c r="A56" t="s">
        <v>83</v>
      </c>
      <c r="B56" t="s">
        <v>74</v>
      </c>
      <c r="C56" t="s">
        <v>83</v>
      </c>
      <c r="D56">
        <v>116</v>
      </c>
    </row>
    <row r="57" spans="1:4">
      <c r="A57" t="s">
        <v>77</v>
      </c>
      <c r="B57" t="s">
        <v>35</v>
      </c>
      <c r="C57" t="s">
        <v>73</v>
      </c>
      <c r="D57">
        <v>11</v>
      </c>
    </row>
    <row r="58" spans="1:4">
      <c r="C58" t="s">
        <v>79</v>
      </c>
      <c r="D58">
        <v>41</v>
      </c>
    </row>
    <row r="59" spans="1:4">
      <c r="C59" t="s">
        <v>77</v>
      </c>
      <c r="D59">
        <v>1</v>
      </c>
    </row>
    <row r="60" spans="1:4">
      <c r="A60" t="s">
        <v>67</v>
      </c>
      <c r="B60" t="s">
        <v>58</v>
      </c>
      <c r="C60" t="s">
        <v>67</v>
      </c>
      <c r="D60">
        <v>21</v>
      </c>
    </row>
    <row r="61" spans="1:4">
      <c r="A61" t="s">
        <v>83</v>
      </c>
      <c r="B61" t="s">
        <v>35</v>
      </c>
      <c r="C61" t="s">
        <v>70</v>
      </c>
      <c r="D61">
        <v>5</v>
      </c>
    </row>
    <row r="62" spans="1:4">
      <c r="C62" t="s">
        <v>82</v>
      </c>
      <c r="D62">
        <v>5</v>
      </c>
    </row>
    <row r="63" spans="1:4">
      <c r="C63" t="s">
        <v>83</v>
      </c>
      <c r="D63">
        <v>3</v>
      </c>
    </row>
    <row r="64" spans="1:4">
      <c r="A64" t="s">
        <v>75</v>
      </c>
      <c r="B64" t="s">
        <v>35</v>
      </c>
      <c r="C64" t="s">
        <v>68</v>
      </c>
      <c r="D64">
        <v>3</v>
      </c>
    </row>
    <row r="65" spans="1:4">
      <c r="C65" t="s">
        <v>79</v>
      </c>
      <c r="D65">
        <v>13</v>
      </c>
    </row>
    <row r="66" spans="1:4">
      <c r="C66" t="s">
        <v>58</v>
      </c>
      <c r="D66">
        <v>14</v>
      </c>
    </row>
    <row r="67" spans="1:4">
      <c r="C67" t="s">
        <v>69</v>
      </c>
      <c r="D67">
        <v>1</v>
      </c>
    </row>
    <row r="68" spans="1:4">
      <c r="C68" t="s">
        <v>72</v>
      </c>
      <c r="D68">
        <v>8</v>
      </c>
    </row>
    <row r="69" spans="1:4">
      <c r="C69" t="s">
        <v>72</v>
      </c>
      <c r="D69">
        <v>5</v>
      </c>
    </row>
    <row r="70" spans="1:4">
      <c r="C70" t="s">
        <v>81</v>
      </c>
      <c r="D70">
        <v>4</v>
      </c>
    </row>
    <row r="71" spans="1:4">
      <c r="C71" t="s">
        <v>71</v>
      </c>
      <c r="D71">
        <v>1</v>
      </c>
    </row>
    <row r="72" spans="1:4">
      <c r="C72" t="s">
        <v>67</v>
      </c>
      <c r="D72">
        <v>14</v>
      </c>
    </row>
    <row r="73" spans="1:4">
      <c r="C73" t="s">
        <v>72</v>
      </c>
      <c r="D73">
        <v>5</v>
      </c>
    </row>
    <row r="74" spans="1:4">
      <c r="A74" t="s">
        <v>70</v>
      </c>
      <c r="B74" t="s">
        <v>35</v>
      </c>
      <c r="C74" t="s">
        <v>68</v>
      </c>
      <c r="D74">
        <v>32</v>
      </c>
    </row>
    <row r="75" spans="1:4">
      <c r="C75" t="s">
        <v>74</v>
      </c>
      <c r="D75">
        <v>2</v>
      </c>
    </row>
    <row r="76" spans="1:4">
      <c r="C76" t="s">
        <v>79</v>
      </c>
      <c r="D76">
        <v>6</v>
      </c>
    </row>
    <row r="77" spans="1:4">
      <c r="C77" t="s">
        <v>82</v>
      </c>
      <c r="D77">
        <v>7</v>
      </c>
    </row>
    <row r="78" spans="1:4">
      <c r="C78" t="s">
        <v>80</v>
      </c>
      <c r="D78">
        <v>12</v>
      </c>
    </row>
    <row r="79" spans="1:4">
      <c r="C79" t="s">
        <v>70</v>
      </c>
      <c r="D79">
        <v>4</v>
      </c>
    </row>
    <row r="80" spans="1:4">
      <c r="A80" t="s">
        <v>31</v>
      </c>
      <c r="D80">
        <v>1000</v>
      </c>
    </row>
  </sheetData>
  <pageMargins left="0.7" right="0.7" top="0.75" bottom="0.75" header="0.3" footer="0.3"/>
  <headerFooter>
    <oddFooter>&amp;C&amp;"Calibri"&amp;8 &amp;K000000_x000D_#  ArcelorMittal proprietary information – all rights reserved for all countries.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37"/>
  <sheetViews>
    <sheetView tabSelected="1" workbookViewId="0">
      <selection activeCell="B1" sqref="B1"/>
    </sheetView>
  </sheetViews>
  <sheetFormatPr defaultRowHeight="15"/>
  <cols>
    <col min="1" max="1" width="4.28515625" style="10" customWidth="1"/>
    <col min="2" max="2" width="18.140625" style="10" bestFit="1" customWidth="1"/>
    <col min="3" max="3" width="17.5703125" style="10" bestFit="1" customWidth="1"/>
    <col min="4" max="4" width="6.140625" style="10" bestFit="1" customWidth="1"/>
    <col min="5" max="5" width="11.85546875" style="10" bestFit="1" customWidth="1"/>
    <col min="6" max="6" width="4.7109375" style="10" bestFit="1" customWidth="1"/>
    <col min="7" max="7" width="17.28515625" bestFit="1" customWidth="1"/>
    <col min="8" max="9" width="4.28515625" bestFit="1" customWidth="1"/>
    <col min="10" max="10" width="7.28515625" bestFit="1" customWidth="1"/>
    <col min="11" max="11" width="10.7109375" bestFit="1" customWidth="1"/>
    <col min="12" max="12" width="4.5703125" customWidth="1"/>
    <col min="13" max="13" width="17.42578125" bestFit="1" customWidth="1"/>
    <col min="14" max="14" width="13" bestFit="1" customWidth="1"/>
    <col min="15" max="15" width="11.85546875" bestFit="1" customWidth="1"/>
    <col min="16" max="16" width="5.42578125" bestFit="1" customWidth="1"/>
    <col min="17" max="17" width="17.28515625" bestFit="1" customWidth="1"/>
    <col min="18" max="18" width="10.7109375" bestFit="1" customWidth="1"/>
    <col min="19" max="19" width="4.28515625" bestFit="1" customWidth="1"/>
    <col min="20" max="20" width="7.28515625" bestFit="1" customWidth="1"/>
    <col min="21" max="21" width="10.7109375" customWidth="1"/>
    <col min="22" max="22" width="3.5703125" customWidth="1"/>
    <col min="23" max="23" width="17.42578125" bestFit="1" customWidth="1"/>
    <col min="24" max="24" width="17.5703125" bestFit="1" customWidth="1"/>
    <col min="25" max="25" width="6.140625" bestFit="1" customWidth="1"/>
    <col min="26" max="26" width="17.28515625" bestFit="1" customWidth="1"/>
    <col min="27" max="27" width="6.42578125" bestFit="1" customWidth="1"/>
    <col min="28" max="28" width="4.85546875" bestFit="1" customWidth="1"/>
    <col min="29" max="30" width="10.7109375" bestFit="1" customWidth="1"/>
    <col min="31" max="31" width="4.42578125" customWidth="1"/>
    <col min="32" max="32" width="18.140625" bestFit="1" customWidth="1"/>
    <col min="33" max="33" width="13" bestFit="1" customWidth="1"/>
    <col min="34" max="34" width="6.140625" bestFit="1" customWidth="1"/>
    <col min="35" max="35" width="11.85546875" bestFit="1" customWidth="1"/>
    <col min="36" max="36" width="6.42578125" bestFit="1" customWidth="1"/>
    <col min="37" max="37" width="4.85546875" bestFit="1" customWidth="1"/>
    <col min="38" max="38" width="10.7109375" bestFit="1" customWidth="1"/>
    <col min="39" max="39" width="7.28515625" bestFit="1" customWidth="1"/>
    <col min="40" max="40" width="10.7109375" bestFit="1" customWidth="1"/>
  </cols>
  <sheetData>
    <row r="1" spans="2:40">
      <c r="B1" s="5" t="s">
        <v>13</v>
      </c>
      <c r="C1" s="10" t="s">
        <v>22</v>
      </c>
      <c r="G1" s="10"/>
      <c r="H1" s="10"/>
      <c r="I1" s="10"/>
      <c r="J1" s="10"/>
      <c r="M1" s="5" t="s">
        <v>13</v>
      </c>
      <c r="N1" s="10" t="s">
        <v>8</v>
      </c>
      <c r="O1" s="10"/>
      <c r="P1" s="10"/>
      <c r="Q1" s="10"/>
      <c r="R1" s="10"/>
      <c r="S1" s="10"/>
      <c r="T1" s="10"/>
      <c r="U1" s="10"/>
      <c r="W1" s="5" t="s">
        <v>13</v>
      </c>
      <c r="X1" s="10" t="s">
        <v>16</v>
      </c>
      <c r="Y1" s="10"/>
      <c r="Z1" s="10"/>
      <c r="AA1" s="10"/>
      <c r="AB1" s="10"/>
      <c r="AC1" s="10"/>
      <c r="AD1" s="10"/>
      <c r="AE1" s="10"/>
      <c r="AF1" s="5" t="s">
        <v>13</v>
      </c>
      <c r="AG1" s="10" t="s">
        <v>16</v>
      </c>
      <c r="AH1" s="10"/>
      <c r="AI1" s="10"/>
      <c r="AJ1" s="10"/>
      <c r="AK1" s="10"/>
      <c r="AL1" s="10"/>
      <c r="AM1" s="10"/>
      <c r="AN1" s="10"/>
    </row>
    <row r="2" spans="2:40">
      <c r="G2" s="10"/>
      <c r="H2" s="10"/>
      <c r="I2" s="10"/>
      <c r="J2" s="10"/>
      <c r="N2" s="10"/>
      <c r="O2" s="10"/>
      <c r="P2" s="10"/>
      <c r="Q2" s="10"/>
      <c r="R2" s="10"/>
      <c r="S2" s="10"/>
      <c r="T2" s="10"/>
      <c r="U2" s="10"/>
      <c r="X2" s="10"/>
      <c r="Y2" s="10"/>
      <c r="Z2" s="10"/>
      <c r="AA2" s="10"/>
      <c r="AB2" s="10"/>
      <c r="AC2" s="10"/>
      <c r="AD2" s="10"/>
      <c r="AE2" s="10"/>
      <c r="AG2" s="10"/>
      <c r="AH2" s="10"/>
      <c r="AI2" s="10"/>
      <c r="AJ2" s="10"/>
      <c r="AK2" s="10"/>
      <c r="AL2" s="10"/>
      <c r="AM2" s="10"/>
      <c r="AN2" s="10"/>
    </row>
    <row r="3" spans="2:40">
      <c r="B3" s="5" t="s">
        <v>85</v>
      </c>
      <c r="C3" s="94" t="s">
        <v>86</v>
      </c>
      <c r="G3" s="10"/>
      <c r="H3" s="10"/>
      <c r="I3" s="10"/>
      <c r="J3" s="10"/>
      <c r="K3" s="10"/>
      <c r="M3" s="5" t="s">
        <v>85</v>
      </c>
      <c r="N3" s="94" t="s">
        <v>86</v>
      </c>
      <c r="O3" s="10"/>
      <c r="P3" s="10"/>
      <c r="Q3" s="10"/>
      <c r="R3" s="10"/>
      <c r="S3" s="10"/>
      <c r="T3" s="10"/>
      <c r="U3" s="10"/>
      <c r="W3" s="5" t="s">
        <v>85</v>
      </c>
      <c r="X3" s="94" t="s">
        <v>86</v>
      </c>
      <c r="Y3" s="10"/>
      <c r="Z3" s="10"/>
      <c r="AA3" s="10"/>
      <c r="AB3" s="10"/>
      <c r="AC3" s="10"/>
      <c r="AD3" s="10"/>
      <c r="AF3" s="5" t="s">
        <v>85</v>
      </c>
      <c r="AG3" s="94" t="s">
        <v>86</v>
      </c>
      <c r="AH3" s="10"/>
      <c r="AI3" s="10"/>
      <c r="AJ3" s="10"/>
      <c r="AK3" s="10"/>
      <c r="AL3" s="10"/>
      <c r="AM3" s="10"/>
      <c r="AN3" s="10"/>
    </row>
    <row r="4" spans="2:40">
      <c r="B4" s="11" t="s">
        <v>0</v>
      </c>
      <c r="C4" s="114" t="s">
        <v>87</v>
      </c>
      <c r="D4" s="114" t="s">
        <v>88</v>
      </c>
      <c r="E4" s="114" t="s">
        <v>89</v>
      </c>
      <c r="F4" s="114" t="s">
        <v>90</v>
      </c>
      <c r="G4" s="114" t="s">
        <v>91</v>
      </c>
      <c r="H4" s="114" t="s">
        <v>92</v>
      </c>
      <c r="I4" s="114" t="s">
        <v>93</v>
      </c>
      <c r="J4" s="114" t="s">
        <v>94</v>
      </c>
      <c r="K4" s="114" t="s">
        <v>31</v>
      </c>
      <c r="M4" s="11" t="s">
        <v>0</v>
      </c>
      <c r="N4" s="114" t="s">
        <v>88</v>
      </c>
      <c r="O4" s="114" t="s">
        <v>89</v>
      </c>
      <c r="P4" s="114" t="s">
        <v>90</v>
      </c>
      <c r="Q4" s="114" t="s">
        <v>91</v>
      </c>
      <c r="R4" s="114" t="s">
        <v>92</v>
      </c>
      <c r="S4" s="114" t="s">
        <v>93</v>
      </c>
      <c r="T4" s="114" t="s">
        <v>94</v>
      </c>
      <c r="U4" s="114" t="s">
        <v>31</v>
      </c>
      <c r="W4" s="11" t="s">
        <v>0</v>
      </c>
      <c r="X4" s="114" t="s">
        <v>87</v>
      </c>
      <c r="Y4" s="114" t="s">
        <v>88</v>
      </c>
      <c r="Z4" s="114" t="s">
        <v>91</v>
      </c>
      <c r="AA4" s="114" t="s">
        <v>92</v>
      </c>
      <c r="AB4" s="114" t="s">
        <v>93</v>
      </c>
      <c r="AC4" s="114" t="s">
        <v>94</v>
      </c>
      <c r="AD4" s="114" t="s">
        <v>31</v>
      </c>
      <c r="AF4" s="11" t="s">
        <v>0</v>
      </c>
      <c r="AG4" s="114" t="s">
        <v>87</v>
      </c>
      <c r="AH4" s="114" t="s">
        <v>88</v>
      </c>
      <c r="AI4" s="114" t="s">
        <v>89</v>
      </c>
      <c r="AJ4" s="114" t="s">
        <v>90</v>
      </c>
      <c r="AK4" s="114" t="s">
        <v>92</v>
      </c>
      <c r="AL4" s="114" t="s">
        <v>93</v>
      </c>
      <c r="AM4" s="114" t="s">
        <v>94</v>
      </c>
      <c r="AN4" s="114" t="s">
        <v>31</v>
      </c>
    </row>
    <row r="5" spans="2:40">
      <c r="B5" s="101" t="s">
        <v>14</v>
      </c>
      <c r="C5" s="114">
        <v>6</v>
      </c>
      <c r="D5" s="114">
        <v>11</v>
      </c>
      <c r="E5" s="114">
        <v>6</v>
      </c>
      <c r="F5" s="114">
        <v>12</v>
      </c>
      <c r="G5" s="114">
        <v>1</v>
      </c>
      <c r="H5" s="114">
        <v>23</v>
      </c>
      <c r="I5" s="114">
        <v>6</v>
      </c>
      <c r="J5" s="114">
        <v>6</v>
      </c>
      <c r="K5" s="114">
        <v>46</v>
      </c>
      <c r="M5" s="101" t="s">
        <v>15</v>
      </c>
      <c r="N5" s="114">
        <v>19</v>
      </c>
      <c r="O5" s="114">
        <v>2</v>
      </c>
      <c r="P5" s="114">
        <v>2</v>
      </c>
      <c r="Q5" s="114"/>
      <c r="R5" s="114">
        <v>35</v>
      </c>
      <c r="S5" s="114"/>
      <c r="T5" s="114">
        <v>2</v>
      </c>
      <c r="U5" s="114">
        <v>51</v>
      </c>
      <c r="W5" s="101" t="s">
        <v>16</v>
      </c>
      <c r="X5" s="114">
        <v>63</v>
      </c>
      <c r="Y5" s="114">
        <v>1</v>
      </c>
      <c r="Z5" s="114">
        <v>1</v>
      </c>
      <c r="AA5" s="114">
        <v>27</v>
      </c>
      <c r="AB5" s="114">
        <v>4</v>
      </c>
      <c r="AC5" s="114">
        <v>13</v>
      </c>
      <c r="AD5" s="114">
        <v>60</v>
      </c>
      <c r="AF5" s="101" t="s">
        <v>17</v>
      </c>
      <c r="AG5" s="114">
        <v>43</v>
      </c>
      <c r="AH5" s="114">
        <v>16</v>
      </c>
      <c r="AI5" s="114">
        <v>136</v>
      </c>
      <c r="AJ5" s="114">
        <v>1</v>
      </c>
      <c r="AK5" s="114">
        <v>22</v>
      </c>
      <c r="AL5" s="114">
        <v>14</v>
      </c>
      <c r="AM5" s="114">
        <v>4</v>
      </c>
      <c r="AN5" s="114">
        <v>277</v>
      </c>
    </row>
    <row r="6" spans="2:40">
      <c r="B6" s="101" t="s">
        <v>21</v>
      </c>
      <c r="C6" s="114">
        <v>3</v>
      </c>
      <c r="D6" s="114"/>
      <c r="E6" s="114"/>
      <c r="F6" s="114">
        <v>11</v>
      </c>
      <c r="G6" s="114">
        <v>1</v>
      </c>
      <c r="H6" s="114">
        <v>7</v>
      </c>
      <c r="I6" s="114">
        <v>2</v>
      </c>
      <c r="J6" s="114">
        <v>2</v>
      </c>
      <c r="K6" s="114">
        <v>19</v>
      </c>
      <c r="M6" s="101" t="s">
        <v>24</v>
      </c>
      <c r="N6" s="114"/>
      <c r="O6" s="114"/>
      <c r="P6" s="114">
        <v>1</v>
      </c>
      <c r="Q6" s="114"/>
      <c r="R6" s="114"/>
      <c r="S6" s="114"/>
      <c r="T6" s="114">
        <v>1</v>
      </c>
      <c r="U6" s="114">
        <v>2</v>
      </c>
      <c r="W6" s="101" t="s">
        <v>31</v>
      </c>
      <c r="X6" s="114">
        <v>44</v>
      </c>
      <c r="Y6" s="114">
        <v>1</v>
      </c>
      <c r="Z6" s="114">
        <v>1</v>
      </c>
      <c r="AA6" s="114">
        <v>22</v>
      </c>
      <c r="AB6" s="114">
        <v>3</v>
      </c>
      <c r="AC6" s="114">
        <v>12</v>
      </c>
      <c r="AD6" s="114">
        <v>110</v>
      </c>
      <c r="AF6" s="101" t="s">
        <v>29</v>
      </c>
      <c r="AG6" s="114"/>
      <c r="AH6" s="114"/>
      <c r="AI6" s="114"/>
      <c r="AJ6" s="114"/>
      <c r="AK6" s="114">
        <v>1</v>
      </c>
      <c r="AL6" s="114">
        <v>1</v>
      </c>
      <c r="AM6" s="114">
        <v>1</v>
      </c>
      <c r="AN6" s="114">
        <v>4</v>
      </c>
    </row>
    <row r="7" spans="2:40">
      <c r="B7" s="101" t="s">
        <v>6</v>
      </c>
      <c r="C7" s="114">
        <v>2</v>
      </c>
      <c r="D7" s="114"/>
      <c r="E7" s="114"/>
      <c r="F7" s="114">
        <v>3</v>
      </c>
      <c r="G7" s="114"/>
      <c r="H7" s="114">
        <v>2</v>
      </c>
      <c r="I7" s="114">
        <v>1</v>
      </c>
      <c r="J7" s="114">
        <v>1</v>
      </c>
      <c r="K7" s="114">
        <v>11</v>
      </c>
      <c r="M7" s="101" t="s">
        <v>22</v>
      </c>
      <c r="N7" s="114"/>
      <c r="O7" s="114"/>
      <c r="P7" s="114"/>
      <c r="Q7" s="114"/>
      <c r="R7" s="114">
        <v>3</v>
      </c>
      <c r="S7" s="114"/>
      <c r="T7" s="114">
        <v>1</v>
      </c>
      <c r="U7" s="114">
        <v>4</v>
      </c>
      <c r="AF7" s="101" t="s">
        <v>7</v>
      </c>
      <c r="AG7" s="114">
        <v>68</v>
      </c>
      <c r="AH7" s="114">
        <v>1</v>
      </c>
      <c r="AI7" s="114"/>
      <c r="AJ7" s="114"/>
      <c r="AK7" s="114">
        <v>13</v>
      </c>
      <c r="AL7" s="114"/>
      <c r="AM7" s="114">
        <v>6</v>
      </c>
      <c r="AN7" s="114">
        <v>136</v>
      </c>
    </row>
    <row r="8" spans="2:40">
      <c r="B8" s="101" t="s">
        <v>29</v>
      </c>
      <c r="C8" s="114">
        <v>1</v>
      </c>
      <c r="D8" s="114"/>
      <c r="E8" s="114"/>
      <c r="F8" s="114">
        <v>1</v>
      </c>
      <c r="G8" s="114"/>
      <c r="H8" s="114">
        <v>1</v>
      </c>
      <c r="I8" s="114"/>
      <c r="J8" s="114"/>
      <c r="K8" s="114">
        <v>4</v>
      </c>
      <c r="M8" s="101" t="s">
        <v>13</v>
      </c>
      <c r="N8" s="114"/>
      <c r="O8" s="114"/>
      <c r="P8" s="114"/>
      <c r="Q8" s="114"/>
      <c r="R8" s="114"/>
      <c r="S8" s="114">
        <v>1</v>
      </c>
      <c r="T8" s="114">
        <v>1</v>
      </c>
      <c r="U8" s="114">
        <v>2</v>
      </c>
      <c r="AF8" s="101" t="s">
        <v>9</v>
      </c>
      <c r="AG8" s="114">
        <v>22</v>
      </c>
      <c r="AH8" s="114"/>
      <c r="AI8" s="114"/>
      <c r="AJ8" s="114">
        <v>11</v>
      </c>
      <c r="AK8" s="114"/>
      <c r="AL8" s="114"/>
      <c r="AM8" s="114"/>
      <c r="AN8" s="114">
        <v>55</v>
      </c>
    </row>
    <row r="9" spans="2:40">
      <c r="B9" s="101" t="s">
        <v>31</v>
      </c>
      <c r="C9" s="114">
        <v>7</v>
      </c>
      <c r="D9" s="114">
        <v>6</v>
      </c>
      <c r="E9" s="114">
        <v>10</v>
      </c>
      <c r="F9" s="114">
        <v>16</v>
      </c>
      <c r="G9" s="114">
        <v>2</v>
      </c>
      <c r="H9" s="114">
        <v>22</v>
      </c>
      <c r="I9" s="114">
        <v>11</v>
      </c>
      <c r="J9" s="114">
        <v>17</v>
      </c>
      <c r="K9" s="114">
        <v>141</v>
      </c>
      <c r="M9" s="101" t="s">
        <v>25</v>
      </c>
      <c r="N9" s="114"/>
      <c r="O9" s="114"/>
      <c r="P9" s="114"/>
      <c r="Q9" s="114">
        <v>4</v>
      </c>
      <c r="R9" s="114">
        <v>11</v>
      </c>
      <c r="S9" s="114">
        <v>2</v>
      </c>
      <c r="T9" s="114">
        <v>3</v>
      </c>
      <c r="U9" s="114">
        <v>20</v>
      </c>
      <c r="W9" s="5" t="s">
        <v>95</v>
      </c>
      <c r="X9" t="s">
        <v>92</v>
      </c>
      <c r="AF9" s="101" t="s">
        <v>16</v>
      </c>
      <c r="AG9" s="114">
        <v>4</v>
      </c>
      <c r="AH9" s="114"/>
      <c r="AI9" s="114"/>
      <c r="AJ9" s="114"/>
      <c r="AK9" s="114">
        <v>1</v>
      </c>
      <c r="AL9" s="114"/>
      <c r="AM9" s="114"/>
      <c r="AN9" s="114">
        <v>3</v>
      </c>
    </row>
    <row r="10" spans="2:40">
      <c r="M10" s="101" t="s">
        <v>31</v>
      </c>
      <c r="N10" s="114">
        <v>8</v>
      </c>
      <c r="O10" s="114">
        <v>3</v>
      </c>
      <c r="P10" s="114">
        <v>6</v>
      </c>
      <c r="Q10" s="114">
        <v>4</v>
      </c>
      <c r="R10" s="114">
        <v>60</v>
      </c>
      <c r="S10" s="114">
        <v>3</v>
      </c>
      <c r="T10" s="114">
        <v>12</v>
      </c>
      <c r="U10" s="114">
        <v>115</v>
      </c>
      <c r="W10" s="5" t="s">
        <v>87</v>
      </c>
      <c r="X10" s="10" t="s">
        <v>18</v>
      </c>
      <c r="Y10" s="10"/>
      <c r="Z10" s="10"/>
      <c r="AA10" s="10"/>
      <c r="AB10" s="10"/>
      <c r="AC10" s="10"/>
      <c r="AF10" s="101" t="s">
        <v>23</v>
      </c>
      <c r="AG10" s="114"/>
      <c r="AH10" s="114">
        <v>1</v>
      </c>
      <c r="AI10" s="114"/>
      <c r="AJ10" s="114">
        <v>1</v>
      </c>
      <c r="AK10" s="114">
        <v>2</v>
      </c>
      <c r="AL10" s="114">
        <v>1</v>
      </c>
      <c r="AM10" s="114">
        <v>1</v>
      </c>
      <c r="AN10" s="114">
        <v>6</v>
      </c>
    </row>
    <row r="11" spans="2:40">
      <c r="X11" s="10"/>
      <c r="Y11" s="10"/>
      <c r="Z11" s="10"/>
      <c r="AA11" s="10"/>
      <c r="AB11" s="10"/>
      <c r="AC11" s="10"/>
      <c r="AF11" s="101" t="s">
        <v>12</v>
      </c>
      <c r="AG11" s="114">
        <v>2</v>
      </c>
      <c r="AH11" s="114">
        <v>2</v>
      </c>
      <c r="AI11" s="114"/>
      <c r="AJ11" s="114"/>
      <c r="AK11" s="114">
        <v>1</v>
      </c>
      <c r="AL11" s="114"/>
      <c r="AM11" s="114"/>
      <c r="AN11" s="114">
        <v>3</v>
      </c>
    </row>
    <row r="12" spans="2:40">
      <c r="B12" s="5" t="s">
        <v>95</v>
      </c>
      <c r="C12" t="s">
        <v>92</v>
      </c>
      <c r="M12" s="5" t="s">
        <v>95</v>
      </c>
      <c r="N12" t="s">
        <v>92</v>
      </c>
      <c r="W12" s="5" t="s">
        <v>85</v>
      </c>
      <c r="X12" s="94" t="s">
        <v>86</v>
      </c>
      <c r="Y12" s="10"/>
      <c r="Z12" s="10"/>
      <c r="AA12" s="10"/>
      <c r="AB12" s="10"/>
      <c r="AC12" s="10"/>
      <c r="AF12" s="101" t="s">
        <v>22</v>
      </c>
      <c r="AG12" s="114">
        <v>1</v>
      </c>
      <c r="AH12" s="114">
        <v>1</v>
      </c>
      <c r="AI12" s="114"/>
      <c r="AJ12" s="114"/>
      <c r="AK12" s="114">
        <v>1</v>
      </c>
      <c r="AL12" s="114"/>
      <c r="AM12" s="114">
        <v>1</v>
      </c>
      <c r="AN12" s="114">
        <v>5</v>
      </c>
    </row>
    <row r="13" spans="2:40">
      <c r="B13" s="5" t="s">
        <v>87</v>
      </c>
      <c r="C13" s="10" t="s">
        <v>19</v>
      </c>
      <c r="G13" s="10"/>
      <c r="H13" s="10"/>
      <c r="M13" s="5" t="s">
        <v>87</v>
      </c>
      <c r="N13" s="10" t="s">
        <v>20</v>
      </c>
      <c r="O13" s="10"/>
      <c r="P13" s="10"/>
      <c r="Q13" s="10"/>
      <c r="R13" s="10"/>
      <c r="W13" s="11" t="s">
        <v>0</v>
      </c>
      <c r="X13" s="114" t="s">
        <v>21</v>
      </c>
      <c r="Y13" s="114" t="s">
        <v>22</v>
      </c>
      <c r="Z13" s="114" t="s">
        <v>30</v>
      </c>
      <c r="AA13" s="114" t="s">
        <v>25</v>
      </c>
      <c r="AB13" s="114" t="s">
        <v>25</v>
      </c>
      <c r="AC13" s="114" t="s">
        <v>31</v>
      </c>
      <c r="AF13" s="101" t="s">
        <v>17</v>
      </c>
      <c r="AG13" s="114"/>
      <c r="AH13" s="114"/>
      <c r="AI13" s="114"/>
      <c r="AJ13" s="114"/>
      <c r="AK13" s="114">
        <v>5</v>
      </c>
      <c r="AL13" s="114">
        <v>3</v>
      </c>
      <c r="AM13" s="114">
        <v>2</v>
      </c>
      <c r="AN13" s="114">
        <v>11</v>
      </c>
    </row>
    <row r="14" spans="2:40">
      <c r="G14" s="10"/>
      <c r="H14" s="10"/>
      <c r="N14" s="10"/>
      <c r="O14" s="10"/>
      <c r="P14" s="10"/>
      <c r="Q14" s="10"/>
      <c r="R14" s="10"/>
      <c r="W14" s="101" t="s">
        <v>16</v>
      </c>
      <c r="X14" s="114">
        <v>7</v>
      </c>
      <c r="Y14" s="114">
        <v>2</v>
      </c>
      <c r="Z14" s="114">
        <v>2</v>
      </c>
      <c r="AA14" s="114">
        <v>4</v>
      </c>
      <c r="AB14" s="114">
        <v>8</v>
      </c>
      <c r="AC14" s="114">
        <v>20</v>
      </c>
      <c r="AF14" s="101" t="s">
        <v>14</v>
      </c>
      <c r="AG14" s="114">
        <v>3</v>
      </c>
      <c r="AH14" s="114"/>
      <c r="AI14" s="114"/>
      <c r="AJ14" s="114"/>
      <c r="AK14" s="114"/>
      <c r="AL14" s="114"/>
      <c r="AM14" s="114"/>
      <c r="AN14" s="114">
        <v>4</v>
      </c>
    </row>
    <row r="15" spans="2:40">
      <c r="B15" s="5" t="s">
        <v>85</v>
      </c>
      <c r="C15" s="94" t="s">
        <v>86</v>
      </c>
      <c r="G15" s="10"/>
      <c r="H15" s="10"/>
      <c r="M15" s="5" t="s">
        <v>85</v>
      </c>
      <c r="N15" s="94" t="s">
        <v>86</v>
      </c>
      <c r="O15" s="10"/>
      <c r="P15" s="10"/>
      <c r="Q15" s="10"/>
      <c r="R15" s="10"/>
      <c r="W15" s="101" t="s">
        <v>31</v>
      </c>
      <c r="X15" s="114">
        <v>8</v>
      </c>
      <c r="Y15" s="114">
        <v>2</v>
      </c>
      <c r="Z15" s="114">
        <v>4</v>
      </c>
      <c r="AA15" s="114">
        <v>2</v>
      </c>
      <c r="AB15" s="114">
        <v>9</v>
      </c>
      <c r="AC15" s="114">
        <v>19</v>
      </c>
      <c r="AF15" s="101" t="s">
        <v>31</v>
      </c>
      <c r="AG15" s="114">
        <v>163</v>
      </c>
      <c r="AH15" s="114">
        <v>26</v>
      </c>
      <c r="AI15" s="114">
        <v>106</v>
      </c>
      <c r="AJ15" s="114">
        <v>10</v>
      </c>
      <c r="AK15" s="114">
        <v>53</v>
      </c>
      <c r="AL15" s="114">
        <v>11</v>
      </c>
      <c r="AM15" s="114">
        <v>21</v>
      </c>
      <c r="AN15" s="114">
        <v>461</v>
      </c>
    </row>
    <row r="16" spans="2:40">
      <c r="B16" s="11" t="s">
        <v>0</v>
      </c>
      <c r="C16" s="114" t="s">
        <v>21</v>
      </c>
      <c r="D16" s="114" t="s">
        <v>22</v>
      </c>
      <c r="E16" s="114" t="s">
        <v>30</v>
      </c>
      <c r="F16" s="114" t="s">
        <v>25</v>
      </c>
      <c r="G16" s="114" t="s">
        <v>25</v>
      </c>
      <c r="H16" s="114" t="s">
        <v>31</v>
      </c>
      <c r="M16" s="11" t="s">
        <v>0</v>
      </c>
      <c r="N16" s="114" t="s">
        <v>21</v>
      </c>
      <c r="O16" s="114" t="s">
        <v>22</v>
      </c>
      <c r="P16" s="114" t="s">
        <v>30</v>
      </c>
      <c r="Q16" s="114" t="s">
        <v>25</v>
      </c>
      <c r="R16" s="114" t="s">
        <v>31</v>
      </c>
    </row>
    <row r="17" spans="2:40">
      <c r="B17" s="101" t="s">
        <v>14</v>
      </c>
      <c r="C17" s="114">
        <v>10</v>
      </c>
      <c r="D17" s="114">
        <v>3</v>
      </c>
      <c r="E17" s="114">
        <v>1</v>
      </c>
      <c r="F17" s="114">
        <v>1</v>
      </c>
      <c r="G17" s="114">
        <v>2</v>
      </c>
      <c r="H17" s="114">
        <v>14</v>
      </c>
      <c r="M17" s="101" t="s">
        <v>15</v>
      </c>
      <c r="N17" s="114">
        <v>2</v>
      </c>
      <c r="O17" s="114">
        <v>7</v>
      </c>
      <c r="P17" s="114">
        <v>8</v>
      </c>
      <c r="Q17" s="114">
        <v>16</v>
      </c>
      <c r="R17" s="114">
        <v>49</v>
      </c>
    </row>
    <row r="18" spans="2:40">
      <c r="B18" s="101" t="s">
        <v>21</v>
      </c>
      <c r="C18" s="114">
        <v>1</v>
      </c>
      <c r="D18" s="114">
        <v>2</v>
      </c>
      <c r="E18" s="114">
        <v>1</v>
      </c>
      <c r="F18" s="114">
        <v>1</v>
      </c>
      <c r="G18" s="114">
        <v>3</v>
      </c>
      <c r="H18" s="114">
        <v>6</v>
      </c>
      <c r="M18" s="101" t="s">
        <v>22</v>
      </c>
      <c r="N18" s="114">
        <v>1</v>
      </c>
      <c r="O18" s="114"/>
      <c r="P18" s="114"/>
      <c r="Q18" s="114"/>
      <c r="R18" s="114">
        <v>3</v>
      </c>
    </row>
    <row r="19" spans="2:40">
      <c r="B19" s="101" t="s">
        <v>6</v>
      </c>
      <c r="C19" s="114"/>
      <c r="D19" s="114"/>
      <c r="E19" s="114"/>
      <c r="F19" s="114">
        <v>1</v>
      </c>
      <c r="G19" s="114">
        <v>1</v>
      </c>
      <c r="H19" s="114">
        <v>2</v>
      </c>
      <c r="M19" s="101" t="s">
        <v>25</v>
      </c>
      <c r="N19" s="114">
        <v>4</v>
      </c>
      <c r="O19" s="114">
        <v>2</v>
      </c>
      <c r="P19" s="114">
        <v>1</v>
      </c>
      <c r="Q19" s="114">
        <v>4</v>
      </c>
      <c r="R19" s="114">
        <v>16</v>
      </c>
      <c r="AF19" s="5" t="s">
        <v>95</v>
      </c>
      <c r="AG19" t="s">
        <v>92</v>
      </c>
    </row>
    <row r="20" spans="2:40">
      <c r="B20" s="101" t="s">
        <v>29</v>
      </c>
      <c r="C20" s="114">
        <v>1</v>
      </c>
      <c r="D20" s="114"/>
      <c r="E20" s="114"/>
      <c r="F20" s="114"/>
      <c r="G20" s="114"/>
      <c r="H20" s="114">
        <v>1</v>
      </c>
      <c r="I20" s="10"/>
      <c r="J20" s="10"/>
      <c r="M20" s="101" t="s">
        <v>31</v>
      </c>
      <c r="N20" s="114">
        <v>7</v>
      </c>
      <c r="O20" s="114">
        <v>4</v>
      </c>
      <c r="P20" s="114">
        <v>11</v>
      </c>
      <c r="Q20" s="114">
        <v>17</v>
      </c>
      <c r="R20" s="114">
        <v>61</v>
      </c>
      <c r="S20" s="10"/>
      <c r="T20" s="10"/>
      <c r="U20" s="10"/>
      <c r="AD20" s="10"/>
      <c r="AE20" s="10"/>
      <c r="AF20" s="5" t="s">
        <v>87</v>
      </c>
      <c r="AG20" s="10" t="s">
        <v>22</v>
      </c>
      <c r="AH20" s="10"/>
      <c r="AI20" s="10"/>
      <c r="AJ20" s="10"/>
      <c r="AK20" s="10"/>
      <c r="AL20" s="10"/>
      <c r="AM20" s="10"/>
      <c r="AN20" s="10"/>
    </row>
    <row r="21" spans="2:40">
      <c r="B21" s="101" t="s">
        <v>31</v>
      </c>
      <c r="C21" s="114">
        <v>7</v>
      </c>
      <c r="D21" s="114">
        <v>4</v>
      </c>
      <c r="E21" s="114">
        <v>2</v>
      </c>
      <c r="F21" s="114">
        <v>2</v>
      </c>
      <c r="G21" s="114">
        <v>9</v>
      </c>
      <c r="H21" s="114">
        <v>37</v>
      </c>
      <c r="I21" s="10"/>
      <c r="J21" s="10"/>
      <c r="S21" s="10"/>
      <c r="T21" s="10"/>
      <c r="U21" s="10"/>
      <c r="AD21" s="10"/>
      <c r="AE21" s="10"/>
      <c r="AG21" s="10"/>
      <c r="AH21" s="10"/>
      <c r="AI21" s="10"/>
      <c r="AJ21" s="10"/>
      <c r="AK21" s="10"/>
      <c r="AL21" s="10"/>
      <c r="AM21" s="10"/>
      <c r="AN21" s="10"/>
    </row>
    <row r="22" spans="2:40">
      <c r="AF22" s="5" t="s">
        <v>85</v>
      </c>
      <c r="AG22" s="94" t="s">
        <v>86</v>
      </c>
      <c r="AH22" s="10"/>
      <c r="AI22" s="10"/>
      <c r="AJ22" s="10"/>
      <c r="AK22" s="10"/>
      <c r="AL22" s="10"/>
    </row>
    <row r="23" spans="2:40">
      <c r="AF23" s="11" t="s">
        <v>0</v>
      </c>
      <c r="AG23" s="114" t="s">
        <v>21</v>
      </c>
      <c r="AH23" s="114" t="s">
        <v>22</v>
      </c>
      <c r="AI23" s="114" t="s">
        <v>30</v>
      </c>
      <c r="AJ23" s="114" t="s">
        <v>25</v>
      </c>
      <c r="AK23" s="114" t="s">
        <v>25</v>
      </c>
      <c r="AL23" s="114" t="s">
        <v>31</v>
      </c>
    </row>
    <row r="24" spans="2:40">
      <c r="AF24" s="101" t="s">
        <v>17</v>
      </c>
      <c r="AG24" s="114">
        <v>6</v>
      </c>
      <c r="AH24" s="114"/>
      <c r="AI24" s="114">
        <v>12</v>
      </c>
      <c r="AJ24" s="114">
        <v>2</v>
      </c>
      <c r="AK24" s="114">
        <v>1</v>
      </c>
      <c r="AL24" s="114">
        <v>21</v>
      </c>
    </row>
    <row r="25" spans="2:40">
      <c r="AF25" s="101" t="s">
        <v>29</v>
      </c>
      <c r="AG25" s="114">
        <v>1</v>
      </c>
      <c r="AH25" s="114"/>
      <c r="AI25" s="114"/>
      <c r="AJ25" s="114"/>
      <c r="AK25" s="114"/>
      <c r="AL25" s="114">
        <v>1</v>
      </c>
    </row>
    <row r="26" spans="2:40">
      <c r="AF26" s="101" t="s">
        <v>7</v>
      </c>
      <c r="AG26" s="114">
        <v>16</v>
      </c>
      <c r="AH26" s="114"/>
      <c r="AI26" s="114">
        <v>2</v>
      </c>
      <c r="AJ26" s="114">
        <v>4</v>
      </c>
      <c r="AK26" s="114"/>
      <c r="AL26" s="114">
        <v>14</v>
      </c>
    </row>
    <row r="27" spans="2:40">
      <c r="AF27" s="101" t="s">
        <v>16</v>
      </c>
      <c r="AG27" s="114"/>
      <c r="AH27" s="114">
        <v>1</v>
      </c>
      <c r="AI27" s="114"/>
      <c r="AJ27" s="114"/>
      <c r="AK27" s="114"/>
      <c r="AL27" s="114">
        <v>1</v>
      </c>
    </row>
    <row r="28" spans="2:40">
      <c r="AF28" s="101" t="s">
        <v>23</v>
      </c>
      <c r="AG28" s="114">
        <v>2</v>
      </c>
      <c r="AH28" s="114"/>
      <c r="AI28" s="114">
        <v>1</v>
      </c>
      <c r="AJ28" s="114"/>
      <c r="AK28" s="114"/>
      <c r="AL28" s="114">
        <v>4</v>
      </c>
    </row>
    <row r="29" spans="2:40" s="12" customFormat="1">
      <c r="AF29" s="101" t="s">
        <v>12</v>
      </c>
      <c r="AG29" s="114">
        <v>1</v>
      </c>
      <c r="AH29" s="114"/>
      <c r="AI29" s="114"/>
      <c r="AJ29" s="114"/>
      <c r="AK29" s="114"/>
      <c r="AL29" s="114">
        <v>1</v>
      </c>
    </row>
    <row r="30" spans="2:40" s="12" customFormat="1">
      <c r="AF30" s="101" t="s">
        <v>22</v>
      </c>
      <c r="AG30" s="114"/>
      <c r="AH30" s="114"/>
      <c r="AI30" s="114"/>
      <c r="AJ30" s="114">
        <v>1</v>
      </c>
      <c r="AK30" s="114"/>
      <c r="AL30" s="114">
        <v>1</v>
      </c>
    </row>
    <row r="31" spans="2:40" s="12" customFormat="1">
      <c r="AF31" s="101" t="s">
        <v>17</v>
      </c>
      <c r="AG31" s="114"/>
      <c r="AH31" s="114"/>
      <c r="AI31" s="114">
        <v>1</v>
      </c>
      <c r="AJ31" s="114">
        <v>3</v>
      </c>
      <c r="AK31" s="114"/>
      <c r="AL31" s="114">
        <v>4</v>
      </c>
    </row>
    <row r="32" spans="2:40" s="12" customFormat="1">
      <c r="AF32" s="101" t="s">
        <v>31</v>
      </c>
      <c r="AG32" s="114">
        <v>28</v>
      </c>
      <c r="AH32" s="114">
        <v>1</v>
      </c>
      <c r="AI32" s="114">
        <v>8</v>
      </c>
      <c r="AJ32" s="114">
        <v>17</v>
      </c>
      <c r="AK32" s="114">
        <v>1</v>
      </c>
      <c r="AL32" s="114">
        <v>45</v>
      </c>
    </row>
    <row r="33" s="12" customFormat="1"/>
    <row r="34" s="12" customFormat="1"/>
    <row r="35" s="12" customFormat="1"/>
    <row r="36" s="12" customFormat="1"/>
    <row r="37" s="12" customForma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"/>
  <sheetViews>
    <sheetView workbookViewId="0">
      <selection activeCell="B17" sqref="B17"/>
    </sheetView>
  </sheetViews>
  <sheetFormatPr defaultRowHeight="15"/>
  <cols>
    <col min="1" max="1" width="24.5703125" bestFit="1" customWidth="1"/>
    <col min="2" max="2" width="17.5703125" bestFit="1" customWidth="1"/>
    <col min="3" max="3" width="6.140625" bestFit="1" customWidth="1"/>
    <col min="4" max="4" width="11.85546875" bestFit="1" customWidth="1"/>
    <col min="5" max="5" width="4.7109375" bestFit="1" customWidth="1"/>
    <col min="6" max="6" width="17.28515625" bestFit="1" customWidth="1"/>
    <col min="7" max="8" width="4.28515625" bestFit="1" customWidth="1"/>
    <col min="9" max="9" width="7.28515625" bestFit="1" customWidth="1"/>
    <col min="10" max="10" width="10.7109375" bestFit="1" customWidth="1"/>
  </cols>
  <sheetData>
    <row r="1" spans="1:10">
      <c r="A1" s="132" t="s">
        <v>96</v>
      </c>
      <c r="B1" s="10"/>
      <c r="C1" s="10"/>
      <c r="D1" s="10"/>
      <c r="E1" s="10"/>
    </row>
    <row r="2" spans="1:10">
      <c r="A2" s="5" t="s">
        <v>13</v>
      </c>
      <c r="B2" s="10" t="s">
        <v>6</v>
      </c>
      <c r="C2" s="10"/>
      <c r="D2" s="10"/>
      <c r="E2" s="10"/>
      <c r="F2" s="10"/>
      <c r="G2" s="10"/>
      <c r="H2" s="10"/>
      <c r="I2" s="10"/>
    </row>
    <row r="3" spans="1:10">
      <c r="B3" s="10"/>
      <c r="C3" s="10"/>
      <c r="D3" s="10"/>
      <c r="E3" s="10"/>
      <c r="F3" s="10"/>
      <c r="G3" s="10"/>
      <c r="H3" s="10"/>
      <c r="I3" s="10"/>
    </row>
    <row r="4" spans="1:10">
      <c r="A4" s="5" t="s">
        <v>85</v>
      </c>
      <c r="B4" s="94" t="s">
        <v>86</v>
      </c>
      <c r="C4" s="10"/>
      <c r="D4" s="10"/>
      <c r="E4" s="10"/>
      <c r="F4" s="10"/>
      <c r="G4" s="10"/>
      <c r="H4" s="10"/>
      <c r="I4" s="10"/>
      <c r="J4" s="10"/>
    </row>
    <row r="5" spans="1:10">
      <c r="A5" s="11" t="s">
        <v>0</v>
      </c>
      <c r="B5" s="114" t="s">
        <v>87</v>
      </c>
      <c r="C5" s="114" t="s">
        <v>88</v>
      </c>
      <c r="D5" s="114" t="s">
        <v>89</v>
      </c>
      <c r="E5" s="114" t="s">
        <v>90</v>
      </c>
      <c r="F5" s="114" t="s">
        <v>91</v>
      </c>
      <c r="G5" s="114" t="s">
        <v>92</v>
      </c>
      <c r="H5" s="114" t="s">
        <v>93</v>
      </c>
      <c r="I5" s="114" t="s">
        <v>94</v>
      </c>
      <c r="J5" s="114" t="s">
        <v>31</v>
      </c>
    </row>
    <row r="6" spans="1:10">
      <c r="A6" s="101" t="s">
        <v>17</v>
      </c>
      <c r="B6" s="114">
        <v>43</v>
      </c>
      <c r="C6" s="114">
        <v>16</v>
      </c>
      <c r="D6" s="114">
        <v>136</v>
      </c>
      <c r="E6" s="114">
        <v>1</v>
      </c>
      <c r="F6" s="114"/>
      <c r="G6" s="114">
        <v>22</v>
      </c>
      <c r="H6" s="114">
        <v>14</v>
      </c>
      <c r="I6" s="114">
        <v>6</v>
      </c>
      <c r="J6" s="114">
        <v>277</v>
      </c>
    </row>
    <row r="7" spans="1:10">
      <c r="A7" s="101" t="s">
        <v>29</v>
      </c>
      <c r="B7" s="114"/>
      <c r="C7" s="114"/>
      <c r="D7" s="114"/>
      <c r="E7" s="114"/>
      <c r="F7" s="114"/>
      <c r="G7" s="114">
        <v>1</v>
      </c>
      <c r="H7" s="114">
        <v>1</v>
      </c>
      <c r="I7" s="114">
        <v>1</v>
      </c>
      <c r="J7" s="114">
        <v>4</v>
      </c>
    </row>
    <row r="8" spans="1:10">
      <c r="A8" s="101" t="s">
        <v>4</v>
      </c>
      <c r="B8" s="114">
        <v>5</v>
      </c>
      <c r="C8" s="114">
        <v>12</v>
      </c>
      <c r="D8" s="114">
        <v>6</v>
      </c>
      <c r="E8" s="114">
        <v>11</v>
      </c>
      <c r="F8" s="114">
        <v>1</v>
      </c>
      <c r="G8" s="114">
        <v>18</v>
      </c>
      <c r="H8" s="114">
        <v>3</v>
      </c>
      <c r="I8" s="114">
        <v>6</v>
      </c>
      <c r="J8" s="114">
        <v>46</v>
      </c>
    </row>
    <row r="9" spans="1:10">
      <c r="A9" s="101" t="s">
        <v>21</v>
      </c>
      <c r="B9" s="114">
        <v>3</v>
      </c>
      <c r="C9" s="114"/>
      <c r="D9" s="114"/>
      <c r="E9" s="114">
        <v>11</v>
      </c>
      <c r="F9" s="114">
        <v>1</v>
      </c>
      <c r="G9" s="114">
        <v>7</v>
      </c>
      <c r="H9" s="114">
        <v>2</v>
      </c>
      <c r="I9" s="114">
        <v>2</v>
      </c>
      <c r="J9" s="114">
        <v>19</v>
      </c>
    </row>
    <row r="10" spans="1:10">
      <c r="A10" s="101" t="s">
        <v>6</v>
      </c>
      <c r="B10" s="114">
        <v>2</v>
      </c>
      <c r="C10" s="114"/>
      <c r="D10" s="114"/>
      <c r="E10" s="114">
        <v>3</v>
      </c>
      <c r="F10" s="114"/>
      <c r="G10" s="114">
        <v>2</v>
      </c>
      <c r="H10" s="114">
        <v>1</v>
      </c>
      <c r="I10" s="114">
        <v>1</v>
      </c>
      <c r="J10" s="114">
        <v>11</v>
      </c>
    </row>
    <row r="11" spans="1:10">
      <c r="A11" s="101" t="s">
        <v>29</v>
      </c>
      <c r="B11" s="114">
        <v>1</v>
      </c>
      <c r="C11" s="114"/>
      <c r="D11" s="114"/>
      <c r="E11" s="114">
        <v>1</v>
      </c>
      <c r="F11" s="114"/>
      <c r="G11" s="114">
        <v>1</v>
      </c>
      <c r="H11" s="114"/>
      <c r="I11" s="114"/>
      <c r="J11" s="114">
        <v>4</v>
      </c>
    </row>
    <row r="12" spans="1:10">
      <c r="A12" s="101" t="s">
        <v>19</v>
      </c>
      <c r="B12" s="114"/>
      <c r="C12" s="114">
        <v>21</v>
      </c>
      <c r="D12" s="114">
        <v>4</v>
      </c>
      <c r="E12" s="114">
        <v>2</v>
      </c>
      <c r="F12" s="114"/>
      <c r="G12" s="114">
        <v>42</v>
      </c>
      <c r="H12" s="114"/>
      <c r="I12" s="114">
        <v>2</v>
      </c>
      <c r="J12" s="114">
        <v>51</v>
      </c>
    </row>
    <row r="13" spans="1:10">
      <c r="A13" s="101" t="s">
        <v>24</v>
      </c>
      <c r="B13" s="114"/>
      <c r="C13" s="114"/>
      <c r="D13" s="114"/>
      <c r="E13" s="114">
        <v>1</v>
      </c>
      <c r="F13" s="114"/>
      <c r="G13" s="114"/>
      <c r="H13" s="114"/>
      <c r="I13" s="114">
        <v>1</v>
      </c>
      <c r="J13" s="114">
        <v>2</v>
      </c>
    </row>
    <row r="14" spans="1:10">
      <c r="A14" s="101" t="s">
        <v>22</v>
      </c>
      <c r="B14" s="114"/>
      <c r="C14" s="114"/>
      <c r="D14" s="114"/>
      <c r="E14" s="114"/>
      <c r="F14" s="114"/>
      <c r="G14" s="114">
        <v>3</v>
      </c>
      <c r="H14" s="114"/>
      <c r="I14" s="114">
        <v>1</v>
      </c>
      <c r="J14" s="114">
        <v>4</v>
      </c>
    </row>
    <row r="15" spans="1:10">
      <c r="A15" s="101" t="s">
        <v>13</v>
      </c>
      <c r="B15" s="114"/>
      <c r="C15" s="114"/>
      <c r="D15" s="114"/>
      <c r="E15" s="114"/>
      <c r="F15" s="114"/>
      <c r="G15" s="114"/>
      <c r="H15" s="114">
        <v>1</v>
      </c>
      <c r="I15" s="114">
        <v>1</v>
      </c>
      <c r="J15" s="114">
        <v>2</v>
      </c>
    </row>
    <row r="16" spans="1:10">
      <c r="A16" s="101" t="s">
        <v>25</v>
      </c>
      <c r="B16" s="114"/>
      <c r="C16" s="114"/>
      <c r="D16" s="114"/>
      <c r="E16" s="114"/>
      <c r="F16" s="114">
        <v>4</v>
      </c>
      <c r="G16" s="114">
        <v>11</v>
      </c>
      <c r="H16" s="114">
        <v>2</v>
      </c>
      <c r="I16" s="114">
        <v>4</v>
      </c>
      <c r="J16" s="114">
        <v>20</v>
      </c>
    </row>
    <row r="17" spans="1:10">
      <c r="A17" s="101" t="s">
        <v>8</v>
      </c>
      <c r="B17" s="114">
        <v>78</v>
      </c>
      <c r="C17" s="114">
        <v>1</v>
      </c>
      <c r="D17" s="114"/>
      <c r="E17" s="114"/>
      <c r="F17" s="114">
        <v>1</v>
      </c>
      <c r="G17" s="114">
        <v>29</v>
      </c>
      <c r="H17" s="114">
        <v>6</v>
      </c>
      <c r="I17" s="114">
        <v>14</v>
      </c>
      <c r="J17" s="114">
        <v>150</v>
      </c>
    </row>
    <row r="18" spans="1:10">
      <c r="A18" s="101" t="s">
        <v>7</v>
      </c>
      <c r="B18" s="114">
        <v>96</v>
      </c>
      <c r="C18" s="114">
        <v>2</v>
      </c>
      <c r="D18" s="114"/>
      <c r="E18" s="114"/>
      <c r="F18" s="114"/>
      <c r="G18" s="114">
        <v>20</v>
      </c>
      <c r="H18" s="114"/>
      <c r="I18" s="114">
        <v>8</v>
      </c>
      <c r="J18" s="114">
        <v>137</v>
      </c>
    </row>
    <row r="19" spans="1:10">
      <c r="A19" s="101" t="s">
        <v>9</v>
      </c>
      <c r="B19" s="114">
        <v>35</v>
      </c>
      <c r="C19" s="114"/>
      <c r="D19" s="114"/>
      <c r="E19" s="114">
        <v>11</v>
      </c>
      <c r="F19" s="114"/>
      <c r="G19" s="114"/>
      <c r="H19" s="114"/>
      <c r="I19" s="114"/>
      <c r="J19" s="114">
        <v>63</v>
      </c>
    </row>
    <row r="20" spans="1:10">
      <c r="A20" s="101" t="s">
        <v>16</v>
      </c>
      <c r="B20" s="114">
        <v>6</v>
      </c>
      <c r="C20" s="114"/>
      <c r="D20" s="114"/>
      <c r="E20" s="114"/>
      <c r="F20" s="114"/>
      <c r="G20" s="114">
        <v>1</v>
      </c>
      <c r="H20" s="114"/>
      <c r="I20" s="114"/>
      <c r="J20" s="114">
        <v>5</v>
      </c>
    </row>
    <row r="21" spans="1:10">
      <c r="A21" s="101" t="s">
        <v>23</v>
      </c>
      <c r="B21" s="114"/>
      <c r="C21" s="114">
        <v>1</v>
      </c>
      <c r="D21" s="114"/>
      <c r="E21" s="114">
        <v>1</v>
      </c>
      <c r="F21" s="114"/>
      <c r="G21" s="114">
        <v>3</v>
      </c>
      <c r="H21" s="114">
        <v>1</v>
      </c>
      <c r="I21" s="114">
        <v>1</v>
      </c>
      <c r="J21" s="114">
        <v>10</v>
      </c>
    </row>
    <row r="22" spans="1:10">
      <c r="A22" s="101" t="s">
        <v>12</v>
      </c>
      <c r="B22" s="114">
        <v>3</v>
      </c>
      <c r="C22" s="114">
        <v>3</v>
      </c>
      <c r="D22" s="114"/>
      <c r="E22" s="114"/>
      <c r="F22" s="114"/>
      <c r="G22" s="114">
        <v>1</v>
      </c>
      <c r="H22" s="114"/>
      <c r="I22" s="114"/>
      <c r="J22" s="114">
        <v>5</v>
      </c>
    </row>
    <row r="23" spans="1:10">
      <c r="A23" s="101" t="s">
        <v>22</v>
      </c>
      <c r="B23" s="114">
        <v>1</v>
      </c>
      <c r="C23" s="114">
        <v>1</v>
      </c>
      <c r="D23" s="114"/>
      <c r="E23" s="114"/>
      <c r="F23" s="114"/>
      <c r="G23" s="114">
        <v>1</v>
      </c>
      <c r="H23" s="114"/>
      <c r="I23" s="114">
        <v>1</v>
      </c>
      <c r="J23" s="114">
        <v>3</v>
      </c>
    </row>
    <row r="24" spans="1:10">
      <c r="A24" s="101" t="s">
        <v>17</v>
      </c>
      <c r="B24" s="114"/>
      <c r="C24" s="114"/>
      <c r="D24" s="114"/>
      <c r="E24" s="114"/>
      <c r="F24" s="114"/>
      <c r="G24" s="114">
        <v>5</v>
      </c>
      <c r="H24" s="114">
        <v>3</v>
      </c>
      <c r="I24" s="114">
        <v>3</v>
      </c>
      <c r="J24" s="114">
        <v>8</v>
      </c>
    </row>
    <row r="25" spans="1:10">
      <c r="A25" s="101" t="s">
        <v>14</v>
      </c>
      <c r="B25" s="114">
        <v>2</v>
      </c>
      <c r="C25" s="114"/>
      <c r="D25" s="114"/>
      <c r="E25" s="114"/>
      <c r="F25" s="114"/>
      <c r="G25" s="114"/>
      <c r="H25" s="114"/>
      <c r="I25" s="114"/>
      <c r="J25" s="114">
        <v>3</v>
      </c>
    </row>
    <row r="26" spans="1:10">
      <c r="A26" s="101" t="s">
        <v>31</v>
      </c>
      <c r="B26" s="114">
        <v>347</v>
      </c>
      <c r="C26" s="114">
        <v>51</v>
      </c>
      <c r="D26" s="114">
        <v>94</v>
      </c>
      <c r="E26" s="114">
        <v>46</v>
      </c>
      <c r="F26" s="114">
        <v>6</v>
      </c>
      <c r="G26" s="114">
        <v>125</v>
      </c>
      <c r="H26" s="114">
        <v>46</v>
      </c>
      <c r="I26" s="114">
        <v>61</v>
      </c>
      <c r="J26" s="114">
        <v>410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720"/>
  <sheetViews>
    <sheetView zoomScaleNormal="100" workbookViewId="0"/>
  </sheetViews>
  <sheetFormatPr defaultColWidth="17.140625" defaultRowHeight="12.95" customHeight="1"/>
  <cols>
    <col min="1" max="1" width="8.42578125" style="114" bestFit="1" customWidth="1"/>
    <col min="2" max="2" width="17.5703125" style="114" bestFit="1" customWidth="1"/>
    <col min="3" max="3" width="10.85546875" style="114" bestFit="1" customWidth="1"/>
    <col min="4" max="4" width="29" style="114" bestFit="1" customWidth="1"/>
    <col min="5" max="5" width="14.85546875" style="114" bestFit="1" customWidth="1"/>
    <col min="6" max="6" width="37.140625" style="99" bestFit="1" customWidth="1"/>
    <col min="7" max="7" width="13.7109375" style="114" bestFit="1" customWidth="1"/>
    <col min="8" max="8" width="8.85546875" style="114" bestFit="1" customWidth="1"/>
    <col min="9" max="9" width="17.140625" style="114" bestFit="1" customWidth="1"/>
    <col min="10" max="10" width="27.42578125" style="114" bestFit="1" customWidth="1"/>
    <col min="11" max="11" width="13.28515625" style="114" bestFit="1" customWidth="1"/>
    <col min="12" max="12" width="11.5703125" style="114" bestFit="1" customWidth="1"/>
    <col min="13" max="13" width="30.85546875" style="114" bestFit="1" customWidth="1"/>
    <col min="14" max="14" width="19.140625" style="114" bestFit="1" customWidth="1"/>
    <col min="15" max="15" width="17.42578125" style="114" bestFit="1" customWidth="1"/>
    <col min="16" max="16" width="21.7109375" style="114" bestFit="1" customWidth="1"/>
    <col min="17" max="17" width="16.5703125" style="114" bestFit="1" customWidth="1"/>
    <col min="18" max="18" width="23.140625" style="100" bestFit="1" customWidth="1"/>
    <col min="19" max="19" width="9.42578125" style="114" bestFit="1" customWidth="1"/>
    <col min="20" max="20" width="14.140625" style="114" bestFit="1" customWidth="1"/>
    <col min="21" max="21" width="19.5703125" style="114" bestFit="1" customWidth="1"/>
    <col min="22" max="22" width="16.5703125" style="114" bestFit="1" customWidth="1"/>
    <col min="23" max="23" width="19.42578125" style="114" bestFit="1" customWidth="1"/>
    <col min="24" max="24" width="23.7109375" style="114" bestFit="1" customWidth="1"/>
    <col min="25" max="25" width="17.28515625" style="114" bestFit="1" customWidth="1"/>
    <col min="26" max="26" width="17.42578125" style="114" bestFit="1" customWidth="1"/>
    <col min="27" max="27" width="69.5703125" style="114" bestFit="1" customWidth="1"/>
    <col min="28" max="28" width="17.140625" style="114" customWidth="1"/>
    <col min="29" max="16384" width="17.140625" style="114"/>
  </cols>
  <sheetData>
    <row r="1" spans="1:27" s="38" customFormat="1" ht="12.95" customHeight="1">
      <c r="A1" s="39" t="s">
        <v>97</v>
      </c>
      <c r="B1" s="39" t="s">
        <v>13</v>
      </c>
      <c r="C1" s="39" t="s">
        <v>98</v>
      </c>
      <c r="D1" s="39" t="s">
        <v>99</v>
      </c>
      <c r="E1" s="40" t="s">
        <v>100</v>
      </c>
      <c r="F1" s="40" t="s">
        <v>101</v>
      </c>
      <c r="G1" s="39" t="s">
        <v>102</v>
      </c>
      <c r="H1" s="39" t="s">
        <v>103</v>
      </c>
      <c r="I1" s="39" t="s">
        <v>104</v>
      </c>
      <c r="J1" s="40" t="s">
        <v>105</v>
      </c>
      <c r="K1" s="39" t="s">
        <v>106</v>
      </c>
      <c r="L1" s="39" t="s">
        <v>107</v>
      </c>
      <c r="M1" s="40" t="s">
        <v>108</v>
      </c>
      <c r="N1" s="39" t="s">
        <v>109</v>
      </c>
      <c r="O1" s="39" t="s">
        <v>110</v>
      </c>
      <c r="P1" s="39" t="s">
        <v>111</v>
      </c>
      <c r="Q1" s="39" t="s">
        <v>112</v>
      </c>
      <c r="R1" s="39" t="s">
        <v>113</v>
      </c>
      <c r="S1" s="41" t="s">
        <v>114</v>
      </c>
      <c r="T1" s="39" t="s">
        <v>115</v>
      </c>
      <c r="U1" s="39" t="s">
        <v>95</v>
      </c>
      <c r="V1" s="39" t="s">
        <v>116</v>
      </c>
      <c r="W1" s="39" t="s">
        <v>117</v>
      </c>
      <c r="X1" s="40" t="s">
        <v>118</v>
      </c>
      <c r="Y1" s="39" t="s">
        <v>119</v>
      </c>
      <c r="Z1" s="39" t="s">
        <v>120</v>
      </c>
      <c r="AA1" s="39" t="s">
        <v>63</v>
      </c>
    </row>
    <row r="2" spans="1:27" ht="12.95" customHeight="1">
      <c r="A2" s="42">
        <v>1</v>
      </c>
      <c r="B2" s="43" t="s">
        <v>16</v>
      </c>
      <c r="C2" s="43" t="s">
        <v>12</v>
      </c>
      <c r="D2" s="43" t="s">
        <v>19</v>
      </c>
      <c r="E2" s="44" t="s">
        <v>65</v>
      </c>
      <c r="F2" s="44" t="s">
        <v>121</v>
      </c>
      <c r="G2" s="45">
        <v>939512</v>
      </c>
      <c r="H2" s="43" t="s">
        <v>122</v>
      </c>
      <c r="I2" s="43" t="s">
        <v>71</v>
      </c>
      <c r="J2" s="44" t="s">
        <v>9</v>
      </c>
      <c r="K2" s="43" t="s">
        <v>123</v>
      </c>
      <c r="L2" s="46" t="s">
        <v>124</v>
      </c>
      <c r="M2" s="47" t="s">
        <v>125</v>
      </c>
      <c r="N2" s="48">
        <v>46167</v>
      </c>
      <c r="O2" s="48">
        <v>46062</v>
      </c>
      <c r="P2" s="49">
        <v>46143</v>
      </c>
      <c r="Q2" s="46" t="s">
        <v>87</v>
      </c>
      <c r="R2" s="43">
        <v>33</v>
      </c>
      <c r="S2" s="43">
        <v>50</v>
      </c>
      <c r="T2" s="50" t="s">
        <v>23</v>
      </c>
      <c r="U2" s="46" t="s">
        <v>4</v>
      </c>
      <c r="V2" s="51"/>
      <c r="W2" s="49"/>
      <c r="X2" s="44"/>
      <c r="Y2" s="51"/>
      <c r="Z2" s="51"/>
      <c r="AA2" s="51"/>
    </row>
    <row r="3" spans="1:27" ht="12.95" customHeight="1">
      <c r="A3" s="42">
        <v>2</v>
      </c>
      <c r="B3" s="43" t="s">
        <v>16</v>
      </c>
      <c r="C3" s="43" t="s">
        <v>12</v>
      </c>
      <c r="D3" s="43" t="s">
        <v>19</v>
      </c>
      <c r="E3" s="44" t="s">
        <v>43</v>
      </c>
      <c r="F3" s="44" t="s">
        <v>17</v>
      </c>
      <c r="G3" s="45">
        <v>638009</v>
      </c>
      <c r="H3" s="43" t="s">
        <v>9</v>
      </c>
      <c r="I3" s="43" t="s">
        <v>18</v>
      </c>
      <c r="J3" s="52" t="s">
        <v>3</v>
      </c>
      <c r="K3" s="43" t="s">
        <v>123</v>
      </c>
      <c r="L3" s="43" t="s">
        <v>126</v>
      </c>
      <c r="M3" s="44" t="s">
        <v>127</v>
      </c>
      <c r="N3" s="49">
        <v>45905</v>
      </c>
      <c r="O3" s="49">
        <v>45846</v>
      </c>
      <c r="P3" s="43" t="s">
        <v>128</v>
      </c>
      <c r="Q3" s="46" t="s">
        <v>129</v>
      </c>
      <c r="R3" s="43">
        <v>83</v>
      </c>
      <c r="S3" s="51"/>
      <c r="T3" s="50"/>
      <c r="U3" s="53" t="s">
        <v>19</v>
      </c>
      <c r="V3" s="51"/>
      <c r="W3" s="49">
        <v>46031</v>
      </c>
      <c r="X3" s="44" t="s">
        <v>130</v>
      </c>
      <c r="Y3" s="51"/>
      <c r="Z3" s="51"/>
      <c r="AA3" s="51"/>
    </row>
    <row r="4" spans="1:27" ht="12.95" customHeight="1">
      <c r="A4" s="42">
        <v>3</v>
      </c>
      <c r="B4" s="43" t="s">
        <v>16</v>
      </c>
      <c r="C4" s="43" t="s">
        <v>12</v>
      </c>
      <c r="D4" s="43" t="s">
        <v>19</v>
      </c>
      <c r="E4" s="44" t="s">
        <v>65</v>
      </c>
      <c r="F4" s="44" t="s">
        <v>17</v>
      </c>
      <c r="G4" s="45">
        <v>701925</v>
      </c>
      <c r="H4" s="43" t="s">
        <v>9</v>
      </c>
      <c r="I4" s="43" t="s">
        <v>18</v>
      </c>
      <c r="J4" s="52" t="s">
        <v>3</v>
      </c>
      <c r="K4" s="43" t="s">
        <v>123</v>
      </c>
      <c r="L4" s="43" t="s">
        <v>126</v>
      </c>
      <c r="M4" s="44" t="s">
        <v>127</v>
      </c>
      <c r="N4" s="49">
        <v>45905</v>
      </c>
      <c r="O4" s="49">
        <v>45987</v>
      </c>
      <c r="P4" s="43" t="s">
        <v>131</v>
      </c>
      <c r="Q4" s="46" t="s">
        <v>132</v>
      </c>
      <c r="R4" s="43">
        <v>70</v>
      </c>
      <c r="S4" s="51"/>
      <c r="T4" s="50"/>
      <c r="U4" s="53" t="s">
        <v>131</v>
      </c>
      <c r="V4" s="51"/>
      <c r="W4" s="49">
        <v>45990</v>
      </c>
      <c r="X4" s="44" t="s">
        <v>133</v>
      </c>
      <c r="Y4" s="51"/>
      <c r="Z4" s="51"/>
      <c r="AA4" s="51"/>
    </row>
    <row r="5" spans="1:27" ht="12.95" customHeight="1">
      <c r="A5" s="42">
        <v>4</v>
      </c>
      <c r="B5" s="43" t="s">
        <v>16</v>
      </c>
      <c r="C5" s="43" t="s">
        <v>12</v>
      </c>
      <c r="D5" s="43" t="s">
        <v>19</v>
      </c>
      <c r="E5" s="44" t="s">
        <v>65</v>
      </c>
      <c r="F5" s="44" t="s">
        <v>17</v>
      </c>
      <c r="G5" s="45">
        <v>935612</v>
      </c>
      <c r="H5" s="43" t="s">
        <v>9</v>
      </c>
      <c r="I5" s="43" t="s">
        <v>18</v>
      </c>
      <c r="J5" s="52" t="s">
        <v>3</v>
      </c>
      <c r="K5" s="43" t="s">
        <v>134</v>
      </c>
      <c r="L5" s="43" t="s">
        <v>134</v>
      </c>
      <c r="M5" s="44" t="s">
        <v>135</v>
      </c>
      <c r="N5" s="49">
        <v>45930</v>
      </c>
      <c r="O5" s="49">
        <v>45929</v>
      </c>
      <c r="P5" s="43" t="s">
        <v>131</v>
      </c>
      <c r="Q5" s="46" t="s">
        <v>132</v>
      </c>
      <c r="R5" s="43">
        <v>70</v>
      </c>
      <c r="S5" s="51"/>
      <c r="T5" s="50"/>
      <c r="U5" s="53" t="s">
        <v>131</v>
      </c>
      <c r="V5" s="51"/>
      <c r="W5" s="49">
        <v>46110</v>
      </c>
      <c r="X5" s="44" t="s">
        <v>136</v>
      </c>
      <c r="Y5" s="51"/>
      <c r="Z5" s="51"/>
      <c r="AA5" s="51"/>
    </row>
    <row r="6" spans="1:27" ht="12.95" customHeight="1">
      <c r="A6" s="42">
        <v>5</v>
      </c>
      <c r="B6" s="43" t="s">
        <v>16</v>
      </c>
      <c r="C6" s="43" t="s">
        <v>12</v>
      </c>
      <c r="D6" s="43" t="s">
        <v>19</v>
      </c>
      <c r="E6" s="44" t="s">
        <v>43</v>
      </c>
      <c r="F6" s="44" t="s">
        <v>17</v>
      </c>
      <c r="G6" s="45">
        <v>205657</v>
      </c>
      <c r="H6" s="43" t="s">
        <v>9</v>
      </c>
      <c r="I6" s="43" t="s">
        <v>18</v>
      </c>
      <c r="J6" s="44" t="s">
        <v>4</v>
      </c>
      <c r="K6" s="43" t="s">
        <v>123</v>
      </c>
      <c r="L6" s="43" t="s">
        <v>137</v>
      </c>
      <c r="M6" s="44" t="s">
        <v>138</v>
      </c>
      <c r="N6" s="49">
        <v>45927</v>
      </c>
      <c r="O6" s="49">
        <v>46088</v>
      </c>
      <c r="P6" s="43" t="s">
        <v>131</v>
      </c>
      <c r="Q6" s="46" t="s">
        <v>132</v>
      </c>
      <c r="R6" s="43">
        <v>70</v>
      </c>
      <c r="S6" s="51"/>
      <c r="T6" s="50"/>
      <c r="U6" s="53" t="s">
        <v>131</v>
      </c>
      <c r="V6" s="51"/>
      <c r="W6" s="49">
        <v>46152</v>
      </c>
      <c r="X6" s="44" t="s">
        <v>139</v>
      </c>
      <c r="Y6" s="51"/>
      <c r="Z6" s="51"/>
      <c r="AA6" s="51"/>
    </row>
    <row r="7" spans="1:27" ht="12.95" customHeight="1">
      <c r="A7" s="42">
        <v>6</v>
      </c>
      <c r="B7" s="43" t="s">
        <v>16</v>
      </c>
      <c r="C7" s="43" t="s">
        <v>12</v>
      </c>
      <c r="D7" s="43" t="s">
        <v>19</v>
      </c>
      <c r="E7" s="44" t="s">
        <v>65</v>
      </c>
      <c r="F7" s="44" t="s">
        <v>17</v>
      </c>
      <c r="G7" s="45">
        <v>280698</v>
      </c>
      <c r="H7" s="43" t="s">
        <v>26</v>
      </c>
      <c r="I7" s="43" t="s">
        <v>18</v>
      </c>
      <c r="J7" s="44" t="s">
        <v>4</v>
      </c>
      <c r="K7" s="43" t="s">
        <v>123</v>
      </c>
      <c r="L7" s="43" t="s">
        <v>140</v>
      </c>
      <c r="M7" s="44" t="s">
        <v>141</v>
      </c>
      <c r="N7" s="49">
        <v>46009</v>
      </c>
      <c r="O7" s="49">
        <v>45996</v>
      </c>
      <c r="P7" s="43" t="s">
        <v>131</v>
      </c>
      <c r="Q7" s="46" t="s">
        <v>132</v>
      </c>
      <c r="R7" s="43">
        <v>70</v>
      </c>
      <c r="S7" s="51"/>
      <c r="T7" s="50"/>
      <c r="U7" s="53" t="s">
        <v>131</v>
      </c>
      <c r="V7" s="51"/>
      <c r="W7" s="49">
        <v>46219</v>
      </c>
      <c r="X7" s="44" t="s">
        <v>131</v>
      </c>
      <c r="Y7" s="51"/>
      <c r="Z7" s="51"/>
      <c r="AA7" s="51"/>
    </row>
    <row r="8" spans="1:27" ht="12.95" customHeight="1">
      <c r="A8" s="42">
        <v>7</v>
      </c>
      <c r="B8" s="43" t="s">
        <v>16</v>
      </c>
      <c r="C8" s="43" t="s">
        <v>12</v>
      </c>
      <c r="D8" s="43" t="s">
        <v>19</v>
      </c>
      <c r="E8" s="44" t="s">
        <v>65</v>
      </c>
      <c r="F8" s="44" t="s">
        <v>4</v>
      </c>
      <c r="G8" s="45">
        <v>475783</v>
      </c>
      <c r="H8" s="43" t="s">
        <v>9</v>
      </c>
      <c r="I8" s="43" t="s">
        <v>18</v>
      </c>
      <c r="J8" s="44" t="s">
        <v>9</v>
      </c>
      <c r="K8" s="43" t="s">
        <v>123</v>
      </c>
      <c r="L8" s="43" t="s">
        <v>132</v>
      </c>
      <c r="M8" s="44" t="s">
        <v>138</v>
      </c>
      <c r="N8" s="49">
        <v>46009</v>
      </c>
      <c r="O8" s="49">
        <v>45981</v>
      </c>
      <c r="P8" s="43" t="s">
        <v>131</v>
      </c>
      <c r="Q8" s="46" t="s">
        <v>132</v>
      </c>
      <c r="R8" s="43">
        <v>70</v>
      </c>
      <c r="S8" s="51"/>
      <c r="T8" s="50"/>
      <c r="U8" s="53" t="s">
        <v>131</v>
      </c>
      <c r="V8" s="51"/>
      <c r="W8" s="49">
        <v>46149</v>
      </c>
      <c r="X8" s="44" t="s">
        <v>135</v>
      </c>
      <c r="Y8" s="54"/>
      <c r="Z8" s="54"/>
      <c r="AA8" s="51"/>
    </row>
    <row r="9" spans="1:27" ht="12.95" customHeight="1">
      <c r="A9" s="42">
        <v>8</v>
      </c>
      <c r="B9" s="43" t="s">
        <v>16</v>
      </c>
      <c r="C9" s="43" t="s">
        <v>12</v>
      </c>
      <c r="D9" s="43" t="s">
        <v>19</v>
      </c>
      <c r="E9" s="44" t="s">
        <v>65</v>
      </c>
      <c r="F9" s="44" t="s">
        <v>6</v>
      </c>
      <c r="G9" s="45">
        <v>891949</v>
      </c>
      <c r="H9" s="43" t="s">
        <v>9</v>
      </c>
      <c r="I9" s="43" t="s">
        <v>18</v>
      </c>
      <c r="J9" s="52" t="s">
        <v>3</v>
      </c>
      <c r="K9" s="43" t="s">
        <v>123</v>
      </c>
      <c r="L9" s="43" t="s">
        <v>132</v>
      </c>
      <c r="M9" s="44" t="s">
        <v>138</v>
      </c>
      <c r="N9" s="49">
        <v>46009</v>
      </c>
      <c r="O9" s="49">
        <v>45981</v>
      </c>
      <c r="P9" s="43" t="s">
        <v>131</v>
      </c>
      <c r="Q9" s="46" t="s">
        <v>132</v>
      </c>
      <c r="R9" s="43">
        <v>70</v>
      </c>
      <c r="S9" s="51"/>
      <c r="T9" s="50"/>
      <c r="U9" s="53" t="s">
        <v>131</v>
      </c>
      <c r="V9" s="51"/>
      <c r="W9" s="49">
        <v>46109</v>
      </c>
      <c r="X9" s="44" t="s">
        <v>123</v>
      </c>
      <c r="Y9" s="51"/>
      <c r="Z9" s="51"/>
      <c r="AA9" s="51"/>
    </row>
    <row r="10" spans="1:27" ht="12.95" customHeight="1">
      <c r="A10" s="42">
        <v>9</v>
      </c>
      <c r="B10" s="43" t="s">
        <v>16</v>
      </c>
      <c r="C10" s="43" t="s">
        <v>12</v>
      </c>
      <c r="D10" s="43" t="s">
        <v>19</v>
      </c>
      <c r="E10" s="44" t="s">
        <v>65</v>
      </c>
      <c r="F10" s="44" t="s">
        <v>6</v>
      </c>
      <c r="G10" s="45">
        <v>609329</v>
      </c>
      <c r="H10" s="43" t="s">
        <v>9</v>
      </c>
      <c r="I10" s="43" t="s">
        <v>18</v>
      </c>
      <c r="J10" s="52" t="s">
        <v>3</v>
      </c>
      <c r="K10" s="43" t="s">
        <v>123</v>
      </c>
      <c r="L10" s="43" t="s">
        <v>132</v>
      </c>
      <c r="M10" s="44" t="s">
        <v>138</v>
      </c>
      <c r="N10" s="49">
        <v>46009</v>
      </c>
      <c r="O10" s="49">
        <v>46073</v>
      </c>
      <c r="P10" s="43" t="s">
        <v>131</v>
      </c>
      <c r="Q10" s="46" t="s">
        <v>132</v>
      </c>
      <c r="R10" s="43">
        <v>70</v>
      </c>
      <c r="S10" s="51"/>
      <c r="T10" s="50"/>
      <c r="U10" s="53" t="s">
        <v>131</v>
      </c>
      <c r="V10" s="51"/>
      <c r="W10" s="49">
        <v>46212</v>
      </c>
      <c r="X10" s="44" t="s">
        <v>138</v>
      </c>
      <c r="Y10" s="51"/>
      <c r="Z10" s="51"/>
      <c r="AA10" s="51"/>
    </row>
    <row r="11" spans="1:27" ht="12.95" customHeight="1">
      <c r="A11" s="42">
        <v>10</v>
      </c>
      <c r="B11" s="43" t="s">
        <v>16</v>
      </c>
      <c r="C11" s="43" t="s">
        <v>12</v>
      </c>
      <c r="D11" s="43" t="s">
        <v>19</v>
      </c>
      <c r="E11" s="44" t="s">
        <v>65</v>
      </c>
      <c r="F11" s="44" t="s">
        <v>12</v>
      </c>
      <c r="G11" s="45">
        <v>544949</v>
      </c>
      <c r="H11" s="43" t="s">
        <v>26</v>
      </c>
      <c r="I11" s="43" t="s">
        <v>18</v>
      </c>
      <c r="J11" s="44" t="s">
        <v>4</v>
      </c>
      <c r="K11" s="43" t="s">
        <v>123</v>
      </c>
      <c r="L11" s="43" t="s">
        <v>123</v>
      </c>
      <c r="M11" s="44" t="s">
        <v>123</v>
      </c>
      <c r="N11" s="49">
        <v>46056</v>
      </c>
      <c r="O11" s="49">
        <v>46062</v>
      </c>
      <c r="P11" s="43" t="s">
        <v>131</v>
      </c>
      <c r="Q11" s="46" t="s">
        <v>132</v>
      </c>
      <c r="R11" s="43">
        <v>70</v>
      </c>
      <c r="S11" s="51"/>
      <c r="T11" s="50"/>
      <c r="U11" s="53" t="s">
        <v>131</v>
      </c>
      <c r="V11" s="51"/>
      <c r="W11" s="49">
        <v>46187</v>
      </c>
      <c r="X11" s="44" t="s">
        <v>141</v>
      </c>
      <c r="Y11" s="51"/>
      <c r="Z11" s="51"/>
      <c r="AA11" s="51"/>
    </row>
    <row r="12" spans="1:27" ht="12.95" customHeight="1">
      <c r="A12" s="42">
        <v>11</v>
      </c>
      <c r="B12" s="43" t="s">
        <v>16</v>
      </c>
      <c r="C12" s="43" t="s">
        <v>12</v>
      </c>
      <c r="D12" s="43" t="s">
        <v>19</v>
      </c>
      <c r="E12" s="44" t="s">
        <v>65</v>
      </c>
      <c r="F12" s="44" t="s">
        <v>17</v>
      </c>
      <c r="G12" s="45">
        <v>560407</v>
      </c>
      <c r="H12" s="43" t="s">
        <v>9</v>
      </c>
      <c r="I12" s="43" t="s">
        <v>18</v>
      </c>
      <c r="J12" s="52" t="s">
        <v>3</v>
      </c>
      <c r="K12" s="43" t="s">
        <v>123</v>
      </c>
      <c r="L12" s="43" t="s">
        <v>140</v>
      </c>
      <c r="M12" s="44" t="s">
        <v>141</v>
      </c>
      <c r="N12" s="49">
        <v>46063</v>
      </c>
      <c r="O12" s="49">
        <v>46063</v>
      </c>
      <c r="P12" s="43" t="s">
        <v>131</v>
      </c>
      <c r="Q12" s="46" t="s">
        <v>132</v>
      </c>
      <c r="R12" s="43">
        <v>70</v>
      </c>
      <c r="S12" s="51"/>
      <c r="T12" s="50"/>
      <c r="U12" s="53" t="s">
        <v>131</v>
      </c>
      <c r="V12" s="51"/>
      <c r="W12" s="49">
        <v>46212</v>
      </c>
      <c r="X12" s="44" t="s">
        <v>137</v>
      </c>
      <c r="Y12" s="51"/>
      <c r="Z12" s="51"/>
      <c r="AA12" s="51"/>
    </row>
    <row r="13" spans="1:27" ht="12.95" customHeight="1">
      <c r="A13" s="42">
        <v>9</v>
      </c>
      <c r="B13" s="43" t="s">
        <v>16</v>
      </c>
      <c r="C13" s="43" t="s">
        <v>12</v>
      </c>
      <c r="D13" s="43" t="s">
        <v>19</v>
      </c>
      <c r="E13" s="44" t="s">
        <v>43</v>
      </c>
      <c r="F13" s="44" t="s">
        <v>17</v>
      </c>
      <c r="G13" s="45">
        <v>380822</v>
      </c>
      <c r="H13" s="43" t="s">
        <v>9</v>
      </c>
      <c r="I13" s="43" t="s">
        <v>18</v>
      </c>
      <c r="J13" s="52" t="s">
        <v>3</v>
      </c>
      <c r="K13" s="43" t="s">
        <v>123</v>
      </c>
      <c r="L13" s="43" t="s">
        <v>137</v>
      </c>
      <c r="M13" s="44" t="s">
        <v>138</v>
      </c>
      <c r="N13" s="49">
        <v>46063</v>
      </c>
      <c r="O13" s="49">
        <v>46062</v>
      </c>
      <c r="P13" s="43" t="s">
        <v>131</v>
      </c>
      <c r="Q13" s="46" t="s">
        <v>132</v>
      </c>
      <c r="R13" s="43">
        <v>61</v>
      </c>
      <c r="S13" s="51"/>
      <c r="T13" s="50"/>
      <c r="U13" s="53" t="s">
        <v>131</v>
      </c>
      <c r="V13" s="51"/>
      <c r="W13" s="49">
        <v>46127</v>
      </c>
      <c r="X13" s="44" t="s">
        <v>137</v>
      </c>
      <c r="Y13" s="51"/>
      <c r="Z13" s="51"/>
      <c r="AA13" s="51"/>
    </row>
    <row r="14" spans="1:27" ht="12.95" customHeight="1">
      <c r="A14" s="42">
        <v>9</v>
      </c>
      <c r="B14" s="43" t="s">
        <v>16</v>
      </c>
      <c r="C14" s="43" t="s">
        <v>12</v>
      </c>
      <c r="D14" s="43" t="s">
        <v>19</v>
      </c>
      <c r="E14" s="44" t="s">
        <v>43</v>
      </c>
      <c r="F14" s="44" t="s">
        <v>17</v>
      </c>
      <c r="G14" s="45">
        <v>218933</v>
      </c>
      <c r="H14" s="43" t="s">
        <v>26</v>
      </c>
      <c r="I14" s="43" t="s">
        <v>18</v>
      </c>
      <c r="J14" s="52" t="s">
        <v>3</v>
      </c>
      <c r="K14" s="43" t="s">
        <v>123</v>
      </c>
      <c r="L14" s="43" t="s">
        <v>126</v>
      </c>
      <c r="M14" s="44" t="s">
        <v>138</v>
      </c>
      <c r="N14" s="49">
        <v>46008</v>
      </c>
      <c r="O14" s="49">
        <v>46008</v>
      </c>
      <c r="P14" s="43" t="s">
        <v>131</v>
      </c>
      <c r="Q14" s="46" t="s">
        <v>132</v>
      </c>
      <c r="R14" s="43">
        <v>61</v>
      </c>
      <c r="S14" s="51"/>
      <c r="T14" s="50"/>
      <c r="U14" s="53" t="s">
        <v>131</v>
      </c>
      <c r="V14" s="51"/>
      <c r="W14" s="49">
        <v>46187</v>
      </c>
      <c r="X14" s="44" t="s">
        <v>133</v>
      </c>
      <c r="Y14" s="51"/>
      <c r="Z14" s="51"/>
      <c r="AA14" s="51"/>
    </row>
    <row r="15" spans="1:27" ht="12.95" customHeight="1">
      <c r="A15" s="42">
        <v>10</v>
      </c>
      <c r="B15" s="43" t="s">
        <v>16</v>
      </c>
      <c r="C15" s="43" t="s">
        <v>12</v>
      </c>
      <c r="D15" s="43" t="s">
        <v>19</v>
      </c>
      <c r="E15" s="44" t="s">
        <v>65</v>
      </c>
      <c r="F15" s="44" t="s">
        <v>12</v>
      </c>
      <c r="G15" s="45">
        <v>226420</v>
      </c>
      <c r="H15" s="43" t="s">
        <v>26</v>
      </c>
      <c r="I15" s="43" t="s">
        <v>18</v>
      </c>
      <c r="J15" s="44" t="s">
        <v>7</v>
      </c>
      <c r="K15" s="43" t="s">
        <v>134</v>
      </c>
      <c r="L15" s="43" t="s">
        <v>134</v>
      </c>
      <c r="M15" s="44" t="s">
        <v>135</v>
      </c>
      <c r="N15" s="49">
        <v>46136</v>
      </c>
      <c r="O15" s="49">
        <v>46136</v>
      </c>
      <c r="P15" s="43" t="s">
        <v>131</v>
      </c>
      <c r="Q15" s="46" t="s">
        <v>132</v>
      </c>
      <c r="R15" s="43">
        <v>61</v>
      </c>
      <c r="S15" s="51"/>
      <c r="T15" s="50"/>
      <c r="U15" s="53" t="s">
        <v>131</v>
      </c>
      <c r="V15" s="51"/>
      <c r="W15" s="49">
        <v>46187</v>
      </c>
      <c r="X15" s="44" t="s">
        <v>140</v>
      </c>
      <c r="Y15" s="51"/>
      <c r="Z15" s="51"/>
      <c r="AA15" s="51"/>
    </row>
    <row r="16" spans="1:27" ht="12.95" customHeight="1">
      <c r="A16" s="42">
        <v>12</v>
      </c>
      <c r="B16" s="43" t="s">
        <v>16</v>
      </c>
      <c r="C16" s="43" t="s">
        <v>12</v>
      </c>
      <c r="D16" s="43" t="s">
        <v>19</v>
      </c>
      <c r="E16" s="44" t="s">
        <v>65</v>
      </c>
      <c r="F16" s="44" t="s">
        <v>6</v>
      </c>
      <c r="G16" s="45">
        <v>164110</v>
      </c>
      <c r="H16" s="55" t="s">
        <v>41</v>
      </c>
      <c r="I16" s="56" t="s">
        <v>18</v>
      </c>
      <c r="J16" s="44" t="s">
        <v>9</v>
      </c>
      <c r="K16" s="43" t="s">
        <v>123</v>
      </c>
      <c r="L16" s="55" t="s">
        <v>126</v>
      </c>
      <c r="M16" s="57" t="s">
        <v>132</v>
      </c>
      <c r="N16" s="54" t="s">
        <v>127</v>
      </c>
      <c r="O16" s="58"/>
      <c r="P16" s="59"/>
      <c r="Q16" s="54" t="s">
        <v>127</v>
      </c>
      <c r="R16" s="43"/>
      <c r="S16" s="43"/>
      <c r="T16" s="51"/>
      <c r="U16" s="60" t="s">
        <v>137</v>
      </c>
      <c r="V16" s="51"/>
      <c r="W16" s="51"/>
      <c r="X16" s="52"/>
      <c r="Y16" s="51"/>
      <c r="Z16" s="51"/>
      <c r="AA16" s="51"/>
    </row>
    <row r="17" spans="1:27" ht="12.95" customHeight="1">
      <c r="A17" s="42">
        <v>21</v>
      </c>
      <c r="B17" s="43" t="s">
        <v>16</v>
      </c>
      <c r="C17" s="43" t="s">
        <v>12</v>
      </c>
      <c r="D17" s="43" t="s">
        <v>19</v>
      </c>
      <c r="E17" s="44" t="s">
        <v>65</v>
      </c>
      <c r="F17" s="44" t="s">
        <v>6</v>
      </c>
      <c r="G17" s="45">
        <v>217620</v>
      </c>
      <c r="H17" s="55" t="s">
        <v>41</v>
      </c>
      <c r="I17" s="56" t="s">
        <v>18</v>
      </c>
      <c r="J17" s="44" t="s">
        <v>9</v>
      </c>
      <c r="K17" s="43" t="s">
        <v>123</v>
      </c>
      <c r="L17" s="55" t="s">
        <v>126</v>
      </c>
      <c r="M17" s="57" t="s">
        <v>132</v>
      </c>
      <c r="N17" s="54" t="s">
        <v>127</v>
      </c>
      <c r="O17" s="58"/>
      <c r="P17" s="61"/>
      <c r="Q17" s="54" t="s">
        <v>127</v>
      </c>
      <c r="R17" s="43"/>
      <c r="S17" s="43"/>
      <c r="T17" s="51"/>
      <c r="U17" s="60" t="s">
        <v>137</v>
      </c>
      <c r="V17" s="51"/>
      <c r="W17" s="51"/>
      <c r="X17" s="52"/>
      <c r="Y17" s="51"/>
      <c r="Z17" s="51"/>
      <c r="AA17" s="51"/>
    </row>
    <row r="18" spans="1:27" ht="12.95" customHeight="1">
      <c r="A18" s="42">
        <v>16</v>
      </c>
      <c r="B18" s="43" t="s">
        <v>16</v>
      </c>
      <c r="C18" s="43" t="s">
        <v>12</v>
      </c>
      <c r="D18" s="43" t="s">
        <v>19</v>
      </c>
      <c r="E18" s="44" t="s">
        <v>65</v>
      </c>
      <c r="F18" s="44" t="s">
        <v>17</v>
      </c>
      <c r="G18" s="45">
        <v>229753</v>
      </c>
      <c r="H18" s="55" t="s">
        <v>41</v>
      </c>
      <c r="I18" s="56" t="s">
        <v>18</v>
      </c>
      <c r="J18" s="44" t="s">
        <v>9</v>
      </c>
      <c r="K18" s="43" t="s">
        <v>123</v>
      </c>
      <c r="L18" s="55" t="s">
        <v>126</v>
      </c>
      <c r="M18" s="57" t="s">
        <v>132</v>
      </c>
      <c r="N18" s="54" t="s">
        <v>127</v>
      </c>
      <c r="O18" s="58"/>
      <c r="P18" s="59"/>
      <c r="Q18" s="54" t="s">
        <v>127</v>
      </c>
      <c r="R18" s="43"/>
      <c r="S18" s="43"/>
      <c r="T18" s="51"/>
      <c r="U18" s="60" t="s">
        <v>137</v>
      </c>
      <c r="V18" s="51"/>
      <c r="W18" s="51"/>
      <c r="X18" s="52"/>
      <c r="Y18" s="51"/>
      <c r="Z18" s="51"/>
      <c r="AA18" s="51"/>
    </row>
    <row r="19" spans="1:27" ht="12.95" customHeight="1">
      <c r="A19" s="42">
        <v>18</v>
      </c>
      <c r="B19" s="43" t="s">
        <v>16</v>
      </c>
      <c r="C19" s="43" t="s">
        <v>12</v>
      </c>
      <c r="D19" s="43" t="s">
        <v>19</v>
      </c>
      <c r="E19" s="44" t="s">
        <v>43</v>
      </c>
      <c r="F19" s="44" t="s">
        <v>13</v>
      </c>
      <c r="G19" s="45">
        <v>178197</v>
      </c>
      <c r="H19" s="55" t="s">
        <v>41</v>
      </c>
      <c r="I19" s="56" t="s">
        <v>18</v>
      </c>
      <c r="J19" s="44" t="s">
        <v>9</v>
      </c>
      <c r="K19" s="43" t="s">
        <v>123</v>
      </c>
      <c r="L19" s="55" t="s">
        <v>126</v>
      </c>
      <c r="M19" s="57" t="s">
        <v>132</v>
      </c>
      <c r="N19" s="54" t="s">
        <v>127</v>
      </c>
      <c r="O19" s="58"/>
      <c r="P19" s="59"/>
      <c r="Q19" s="54" t="s">
        <v>127</v>
      </c>
      <c r="R19" s="43"/>
      <c r="S19" s="43"/>
      <c r="T19" s="51"/>
      <c r="U19" s="60" t="s">
        <v>137</v>
      </c>
      <c r="V19" s="51"/>
      <c r="W19" s="51"/>
      <c r="X19" s="52"/>
      <c r="Y19" s="51"/>
      <c r="Z19" s="51"/>
      <c r="AA19" s="51"/>
    </row>
    <row r="20" spans="1:27" ht="12.95" customHeight="1">
      <c r="A20" s="42">
        <v>13</v>
      </c>
      <c r="B20" s="62" t="s">
        <v>16</v>
      </c>
      <c r="C20" s="62" t="s">
        <v>12</v>
      </c>
      <c r="D20" s="62" t="s">
        <v>13</v>
      </c>
      <c r="E20" s="44" t="s">
        <v>65</v>
      </c>
      <c r="F20" s="63" t="s">
        <v>13</v>
      </c>
      <c r="G20" s="45">
        <v>472319</v>
      </c>
      <c r="H20" s="64" t="s">
        <v>41</v>
      </c>
      <c r="I20" s="65" t="s">
        <v>18</v>
      </c>
      <c r="J20" s="44" t="s">
        <v>9</v>
      </c>
      <c r="K20" s="43" t="s">
        <v>123</v>
      </c>
      <c r="L20" s="64" t="s">
        <v>126</v>
      </c>
      <c r="M20" s="66" t="s">
        <v>132</v>
      </c>
      <c r="N20" s="54" t="s">
        <v>127</v>
      </c>
      <c r="O20" s="67"/>
      <c r="P20" s="68"/>
      <c r="Q20" s="54" t="s">
        <v>127</v>
      </c>
      <c r="R20" s="62"/>
      <c r="S20" s="43"/>
      <c r="T20" s="51"/>
      <c r="U20" s="60" t="s">
        <v>137</v>
      </c>
      <c r="V20" s="69"/>
      <c r="W20" s="69"/>
      <c r="X20" s="70"/>
      <c r="Y20" s="69"/>
      <c r="Z20" s="69"/>
      <c r="AA20" s="69"/>
    </row>
    <row r="21" spans="1:27" ht="12.95" customHeight="1">
      <c r="A21" s="42">
        <v>13</v>
      </c>
      <c r="B21" s="43" t="s">
        <v>16</v>
      </c>
      <c r="C21" s="43" t="s">
        <v>12</v>
      </c>
      <c r="D21" s="43" t="s">
        <v>19</v>
      </c>
      <c r="E21" s="44" t="s">
        <v>43</v>
      </c>
      <c r="F21" s="44" t="s">
        <v>9</v>
      </c>
      <c r="G21" s="45">
        <v>187592</v>
      </c>
      <c r="H21" s="55" t="s">
        <v>41</v>
      </c>
      <c r="I21" s="56" t="s">
        <v>18</v>
      </c>
      <c r="J21" s="44" t="s">
        <v>9</v>
      </c>
      <c r="K21" s="43" t="s">
        <v>123</v>
      </c>
      <c r="L21" s="55" t="s">
        <v>126</v>
      </c>
      <c r="M21" s="57" t="s">
        <v>132</v>
      </c>
      <c r="N21" s="54" t="s">
        <v>127</v>
      </c>
      <c r="O21" s="58"/>
      <c r="P21" s="59"/>
      <c r="Q21" s="54" t="s">
        <v>127</v>
      </c>
      <c r="R21" s="43"/>
      <c r="S21" s="43"/>
      <c r="T21" s="51"/>
      <c r="U21" s="60" t="s">
        <v>137</v>
      </c>
      <c r="V21" s="51"/>
      <c r="W21" s="51"/>
      <c r="X21" s="52"/>
      <c r="Y21" s="51"/>
      <c r="Z21" s="51"/>
      <c r="AA21" s="51"/>
    </row>
    <row r="22" spans="1:27" ht="12.95" customHeight="1">
      <c r="A22" s="42">
        <v>12</v>
      </c>
      <c r="B22" s="43" t="s">
        <v>16</v>
      </c>
      <c r="C22" s="43" t="s">
        <v>12</v>
      </c>
      <c r="D22" s="43" t="s">
        <v>19</v>
      </c>
      <c r="E22" s="44" t="s">
        <v>65</v>
      </c>
      <c r="F22" s="71" t="s">
        <v>25</v>
      </c>
      <c r="G22" s="45">
        <v>472320</v>
      </c>
      <c r="H22" s="55" t="s">
        <v>41</v>
      </c>
      <c r="I22" s="56" t="s">
        <v>18</v>
      </c>
      <c r="J22" s="44" t="s">
        <v>7</v>
      </c>
      <c r="K22" s="43" t="s">
        <v>123</v>
      </c>
      <c r="L22" s="55" t="s">
        <v>126</v>
      </c>
      <c r="M22" s="57" t="s">
        <v>123</v>
      </c>
      <c r="N22" s="54" t="s">
        <v>127</v>
      </c>
      <c r="O22" s="58"/>
      <c r="P22" s="61"/>
      <c r="Q22" s="54" t="s">
        <v>127</v>
      </c>
      <c r="R22" s="43"/>
      <c r="S22" s="43"/>
      <c r="T22" s="51"/>
      <c r="U22" s="60" t="s">
        <v>137</v>
      </c>
      <c r="V22" s="51"/>
      <c r="W22" s="51"/>
      <c r="X22" s="52"/>
      <c r="Y22" s="51"/>
      <c r="Z22" s="51"/>
      <c r="AA22" s="51"/>
    </row>
    <row r="23" spans="1:27" ht="12.95" customHeight="1">
      <c r="A23" s="42">
        <v>15</v>
      </c>
      <c r="B23" s="43" t="s">
        <v>16</v>
      </c>
      <c r="C23" s="43" t="s">
        <v>12</v>
      </c>
      <c r="D23" s="62" t="s">
        <v>13</v>
      </c>
      <c r="E23" s="44" t="s">
        <v>65</v>
      </c>
      <c r="F23" s="44" t="s">
        <v>22</v>
      </c>
      <c r="G23" s="45">
        <v>351316</v>
      </c>
      <c r="H23" s="55" t="s">
        <v>41</v>
      </c>
      <c r="I23" s="56" t="s">
        <v>18</v>
      </c>
      <c r="J23" s="44" t="s">
        <v>7</v>
      </c>
      <c r="K23" s="43" t="s">
        <v>123</v>
      </c>
      <c r="L23" s="55" t="s">
        <v>126</v>
      </c>
      <c r="M23" s="57" t="s">
        <v>123</v>
      </c>
      <c r="N23" s="54" t="s">
        <v>127</v>
      </c>
      <c r="O23" s="58"/>
      <c r="P23" s="61"/>
      <c r="Q23" s="54" t="s">
        <v>127</v>
      </c>
      <c r="R23" s="43"/>
      <c r="S23" s="43"/>
      <c r="T23" s="51"/>
      <c r="U23" s="60" t="s">
        <v>137</v>
      </c>
      <c r="V23" s="51"/>
      <c r="W23" s="51"/>
      <c r="X23" s="52"/>
      <c r="Y23" s="51"/>
      <c r="Z23" s="51"/>
      <c r="AA23" s="51"/>
    </row>
    <row r="24" spans="1:27" ht="12.95" customHeight="1">
      <c r="A24" s="42">
        <v>21</v>
      </c>
      <c r="B24" s="43" t="s">
        <v>16</v>
      </c>
      <c r="C24" s="43" t="s">
        <v>12</v>
      </c>
      <c r="D24" s="43" t="s">
        <v>19</v>
      </c>
      <c r="E24" s="44" t="s">
        <v>43</v>
      </c>
      <c r="F24" s="44" t="s">
        <v>9</v>
      </c>
      <c r="G24" s="45">
        <v>399057</v>
      </c>
      <c r="H24" s="55" t="s">
        <v>41</v>
      </c>
      <c r="I24" s="56" t="s">
        <v>18</v>
      </c>
      <c r="J24" s="52" t="s">
        <v>3</v>
      </c>
      <c r="K24" s="43" t="s">
        <v>123</v>
      </c>
      <c r="L24" s="55" t="s">
        <v>126</v>
      </c>
      <c r="M24" s="57" t="s">
        <v>132</v>
      </c>
      <c r="N24" s="54" t="s">
        <v>127</v>
      </c>
      <c r="O24" s="58"/>
      <c r="P24" s="61"/>
      <c r="Q24" s="54" t="s">
        <v>127</v>
      </c>
      <c r="R24" s="43"/>
      <c r="S24" s="43"/>
      <c r="T24" s="51"/>
      <c r="U24" s="60" t="s">
        <v>137</v>
      </c>
      <c r="V24" s="51"/>
      <c r="W24" s="51"/>
      <c r="X24" s="52"/>
      <c r="Y24" s="51"/>
      <c r="Z24" s="51"/>
      <c r="AA24" s="51"/>
    </row>
    <row r="25" spans="1:27" ht="12.95" customHeight="1">
      <c r="A25" s="42">
        <v>23</v>
      </c>
      <c r="B25" s="43" t="s">
        <v>16</v>
      </c>
      <c r="C25" s="43" t="s">
        <v>12</v>
      </c>
      <c r="D25" s="43" t="s">
        <v>19</v>
      </c>
      <c r="E25" s="44" t="s">
        <v>43</v>
      </c>
      <c r="F25" s="44" t="s">
        <v>26</v>
      </c>
      <c r="G25" s="45">
        <v>332422</v>
      </c>
      <c r="H25" s="55" t="s">
        <v>41</v>
      </c>
      <c r="I25" s="56" t="s">
        <v>18</v>
      </c>
      <c r="J25" s="44" t="s">
        <v>9</v>
      </c>
      <c r="K25" s="43" t="s">
        <v>123</v>
      </c>
      <c r="L25" s="55" t="s">
        <v>132</v>
      </c>
      <c r="M25" s="57" t="s">
        <v>139</v>
      </c>
      <c r="N25" s="54" t="s">
        <v>127</v>
      </c>
      <c r="O25" s="58"/>
      <c r="P25" s="61"/>
      <c r="Q25" s="54" t="s">
        <v>127</v>
      </c>
      <c r="R25" s="43"/>
      <c r="S25" s="43"/>
      <c r="T25" s="51"/>
      <c r="U25" s="60" t="s">
        <v>137</v>
      </c>
      <c r="V25" s="51"/>
      <c r="W25" s="51"/>
      <c r="X25" s="52"/>
      <c r="Y25" s="51"/>
      <c r="Z25" s="51"/>
      <c r="AA25" s="51"/>
    </row>
    <row r="26" spans="1:27" ht="12.95" customHeight="1">
      <c r="A26" s="42">
        <v>34</v>
      </c>
      <c r="B26" s="43" t="s">
        <v>16</v>
      </c>
      <c r="C26" s="43" t="s">
        <v>12</v>
      </c>
      <c r="D26" s="62" t="s">
        <v>13</v>
      </c>
      <c r="E26" s="44" t="s">
        <v>65</v>
      </c>
      <c r="F26" s="47" t="s">
        <v>4</v>
      </c>
      <c r="G26" s="45">
        <v>257631</v>
      </c>
      <c r="H26" s="55" t="s">
        <v>41</v>
      </c>
      <c r="I26" s="56" t="s">
        <v>18</v>
      </c>
      <c r="J26" s="44" t="s">
        <v>9</v>
      </c>
      <c r="K26" s="43" t="s">
        <v>123</v>
      </c>
      <c r="L26" s="55" t="s">
        <v>132</v>
      </c>
      <c r="M26" s="57" t="s">
        <v>139</v>
      </c>
      <c r="N26" s="54" t="s">
        <v>127</v>
      </c>
      <c r="O26" s="58"/>
      <c r="P26" s="61"/>
      <c r="Q26" s="54" t="s">
        <v>127</v>
      </c>
      <c r="R26" s="43"/>
      <c r="S26" s="43"/>
      <c r="T26" s="51"/>
      <c r="U26" s="60" t="s">
        <v>137</v>
      </c>
      <c r="V26" s="51"/>
      <c r="W26" s="51"/>
      <c r="X26" s="52"/>
      <c r="Y26" s="51"/>
      <c r="Z26" s="51"/>
      <c r="AA26" s="51"/>
    </row>
    <row r="27" spans="1:27" ht="12.95" customHeight="1">
      <c r="A27" s="42">
        <v>24</v>
      </c>
      <c r="B27" s="43" t="s">
        <v>16</v>
      </c>
      <c r="C27" s="43" t="s">
        <v>12</v>
      </c>
      <c r="D27" s="62" t="s">
        <v>13</v>
      </c>
      <c r="E27" s="44" t="s">
        <v>65</v>
      </c>
      <c r="F27" s="44" t="s">
        <v>22</v>
      </c>
      <c r="G27" s="45">
        <v>409866</v>
      </c>
      <c r="H27" s="55" t="s">
        <v>41</v>
      </c>
      <c r="I27" s="56" t="s">
        <v>18</v>
      </c>
      <c r="J27" s="52" t="s">
        <v>3</v>
      </c>
      <c r="K27" s="43" t="s">
        <v>123</v>
      </c>
      <c r="L27" s="55" t="s">
        <v>132</v>
      </c>
      <c r="M27" s="57" t="s">
        <v>141</v>
      </c>
      <c r="N27" s="54" t="s">
        <v>127</v>
      </c>
      <c r="O27" s="58"/>
      <c r="P27" s="61"/>
      <c r="Q27" s="54" t="s">
        <v>127</v>
      </c>
      <c r="R27" s="43"/>
      <c r="S27" s="43"/>
      <c r="T27" s="51"/>
      <c r="U27" s="60" t="s">
        <v>137</v>
      </c>
      <c r="V27" s="51"/>
      <c r="W27" s="51"/>
      <c r="X27" s="52"/>
      <c r="Y27" s="51"/>
      <c r="Z27" s="51"/>
      <c r="AA27" s="51"/>
    </row>
    <row r="28" spans="1:27" ht="12.95" customHeight="1">
      <c r="A28" s="42">
        <v>27</v>
      </c>
      <c r="B28" s="43" t="s">
        <v>16</v>
      </c>
      <c r="C28" s="43" t="s">
        <v>12</v>
      </c>
      <c r="D28" s="62" t="s">
        <v>13</v>
      </c>
      <c r="E28" s="44" t="s">
        <v>65</v>
      </c>
      <c r="F28" s="44" t="s">
        <v>7</v>
      </c>
      <c r="G28" s="45">
        <v>468414</v>
      </c>
      <c r="H28" s="55" t="s">
        <v>41</v>
      </c>
      <c r="I28" s="56" t="s">
        <v>18</v>
      </c>
      <c r="J28" s="52" t="s">
        <v>3</v>
      </c>
      <c r="K28" s="43" t="s">
        <v>123</v>
      </c>
      <c r="L28" s="55" t="s">
        <v>132</v>
      </c>
      <c r="M28" s="57" t="s">
        <v>141</v>
      </c>
      <c r="N28" s="54" t="s">
        <v>127</v>
      </c>
      <c r="O28" s="58"/>
      <c r="P28" s="61"/>
      <c r="Q28" s="54" t="s">
        <v>127</v>
      </c>
      <c r="R28" s="51"/>
      <c r="S28" s="72"/>
      <c r="T28" s="51"/>
      <c r="U28" s="60" t="s">
        <v>137</v>
      </c>
      <c r="V28" s="51"/>
      <c r="W28" s="51"/>
      <c r="X28" s="52"/>
      <c r="Y28" s="51"/>
      <c r="Z28" s="51"/>
      <c r="AA28" s="51"/>
    </row>
    <row r="29" spans="1:27" ht="12.95" customHeight="1">
      <c r="A29" s="42">
        <v>40</v>
      </c>
      <c r="B29" s="43" t="s">
        <v>16</v>
      </c>
      <c r="C29" s="43" t="s">
        <v>12</v>
      </c>
      <c r="D29" s="62" t="s">
        <v>13</v>
      </c>
      <c r="E29" s="44" t="s">
        <v>65</v>
      </c>
      <c r="F29" s="44" t="s">
        <v>8</v>
      </c>
      <c r="G29" s="45">
        <v>347418</v>
      </c>
      <c r="H29" s="55" t="s">
        <v>41</v>
      </c>
      <c r="I29" s="56" t="s">
        <v>18</v>
      </c>
      <c r="J29" s="44" t="s">
        <v>4</v>
      </c>
      <c r="K29" s="43" t="s">
        <v>123</v>
      </c>
      <c r="L29" s="55" t="s">
        <v>132</v>
      </c>
      <c r="M29" s="57" t="s">
        <v>138</v>
      </c>
      <c r="N29" s="54" t="s">
        <v>127</v>
      </c>
      <c r="O29" s="58"/>
      <c r="P29" s="59"/>
      <c r="Q29" s="54" t="s">
        <v>127</v>
      </c>
      <c r="R29" s="51"/>
      <c r="S29" s="72"/>
      <c r="T29" s="51"/>
      <c r="U29" s="60" t="s">
        <v>137</v>
      </c>
      <c r="V29" s="51"/>
      <c r="W29" s="51"/>
      <c r="X29" s="52"/>
      <c r="Y29" s="51"/>
      <c r="Z29" s="51"/>
      <c r="AA29" s="51"/>
    </row>
    <row r="30" spans="1:27" ht="12.95" customHeight="1">
      <c r="A30" s="42">
        <v>36</v>
      </c>
      <c r="B30" s="43" t="s">
        <v>16</v>
      </c>
      <c r="C30" s="43" t="s">
        <v>12</v>
      </c>
      <c r="D30" s="62" t="s">
        <v>13</v>
      </c>
      <c r="E30" s="44" t="s">
        <v>65</v>
      </c>
      <c r="F30" s="44" t="s">
        <v>23</v>
      </c>
      <c r="G30" s="45">
        <v>222503</v>
      </c>
      <c r="H30" s="55" t="s">
        <v>41</v>
      </c>
      <c r="I30" s="56" t="s">
        <v>18</v>
      </c>
      <c r="J30" s="44" t="s">
        <v>4</v>
      </c>
      <c r="K30" s="43" t="s">
        <v>123</v>
      </c>
      <c r="L30" s="55" t="s">
        <v>132</v>
      </c>
      <c r="M30" s="57" t="s">
        <v>138</v>
      </c>
      <c r="N30" s="54" t="s">
        <v>127</v>
      </c>
      <c r="O30" s="58"/>
      <c r="P30" s="59"/>
      <c r="Q30" s="54" t="s">
        <v>127</v>
      </c>
      <c r="R30" s="51"/>
      <c r="S30" s="72"/>
      <c r="T30" s="51"/>
      <c r="U30" s="60" t="s">
        <v>137</v>
      </c>
      <c r="V30" s="51"/>
      <c r="W30" s="51"/>
      <c r="X30" s="52"/>
      <c r="Y30" s="51"/>
      <c r="Z30" s="51"/>
      <c r="AA30" s="51"/>
    </row>
    <row r="31" spans="1:27" ht="12.95" customHeight="1">
      <c r="A31" s="42">
        <v>34</v>
      </c>
      <c r="B31" s="43" t="s">
        <v>16</v>
      </c>
      <c r="C31" s="43" t="s">
        <v>12</v>
      </c>
      <c r="D31" s="62" t="s">
        <v>13</v>
      </c>
      <c r="E31" s="44" t="s">
        <v>65</v>
      </c>
      <c r="F31" s="44" t="s">
        <v>16</v>
      </c>
      <c r="G31" s="45">
        <v>300573</v>
      </c>
      <c r="H31" s="55" t="s">
        <v>41</v>
      </c>
      <c r="I31" s="56" t="s">
        <v>18</v>
      </c>
      <c r="J31" s="73" t="s">
        <v>18</v>
      </c>
      <c r="K31" s="43" t="s">
        <v>123</v>
      </c>
      <c r="L31" s="55" t="s">
        <v>132</v>
      </c>
      <c r="M31" s="57" t="s">
        <v>135</v>
      </c>
      <c r="N31" s="54" t="s">
        <v>127</v>
      </c>
      <c r="O31" s="58"/>
      <c r="P31" s="61"/>
      <c r="Q31" s="54" t="s">
        <v>127</v>
      </c>
      <c r="R31" s="51"/>
      <c r="S31" s="72"/>
      <c r="T31" s="51"/>
      <c r="U31" s="60" t="s">
        <v>137</v>
      </c>
      <c r="V31" s="51"/>
      <c r="W31" s="51"/>
      <c r="X31" s="52"/>
      <c r="Y31" s="51"/>
      <c r="Z31" s="51"/>
      <c r="AA31" s="51"/>
    </row>
    <row r="32" spans="1:27" ht="12.95" customHeight="1">
      <c r="A32" s="42">
        <v>43</v>
      </c>
      <c r="B32" s="43" t="s">
        <v>16</v>
      </c>
      <c r="C32" s="43" t="s">
        <v>12</v>
      </c>
      <c r="D32" s="62" t="s">
        <v>13</v>
      </c>
      <c r="E32" s="44" t="s">
        <v>65</v>
      </c>
      <c r="F32" s="44" t="s">
        <v>22</v>
      </c>
      <c r="G32" s="45">
        <v>265446</v>
      </c>
      <c r="H32" s="55" t="s">
        <v>41</v>
      </c>
      <c r="I32" s="56" t="s">
        <v>18</v>
      </c>
      <c r="J32" s="73" t="s">
        <v>18</v>
      </c>
      <c r="K32" s="43" t="s">
        <v>123</v>
      </c>
      <c r="L32" s="55" t="s">
        <v>132</v>
      </c>
      <c r="M32" s="57" t="s">
        <v>135</v>
      </c>
      <c r="N32" s="54" t="s">
        <v>127</v>
      </c>
      <c r="O32" s="58"/>
      <c r="P32" s="61"/>
      <c r="Q32" s="54" t="s">
        <v>127</v>
      </c>
      <c r="R32" s="51"/>
      <c r="S32" s="72"/>
      <c r="T32" s="51"/>
      <c r="U32" s="60" t="s">
        <v>137</v>
      </c>
      <c r="V32" s="51"/>
      <c r="W32" s="51"/>
      <c r="X32" s="52"/>
      <c r="Y32" s="51"/>
      <c r="Z32" s="51"/>
      <c r="AA32" s="51"/>
    </row>
    <row r="33" spans="1:27" ht="12.95" customHeight="1">
      <c r="A33" s="42">
        <v>30</v>
      </c>
      <c r="B33" s="43" t="s">
        <v>16</v>
      </c>
      <c r="C33" s="43" t="s">
        <v>12</v>
      </c>
      <c r="D33" s="43" t="s">
        <v>19</v>
      </c>
      <c r="E33" s="44" t="s">
        <v>65</v>
      </c>
      <c r="F33" s="44" t="s">
        <v>9</v>
      </c>
      <c r="G33" s="45">
        <v>409570</v>
      </c>
      <c r="H33" s="55" t="s">
        <v>41</v>
      </c>
      <c r="I33" s="56" t="s">
        <v>18</v>
      </c>
      <c r="J33" s="52" t="s">
        <v>3</v>
      </c>
      <c r="K33" s="43" t="s">
        <v>123</v>
      </c>
      <c r="L33" s="55" t="s">
        <v>126</v>
      </c>
      <c r="M33" s="57" t="s">
        <v>132</v>
      </c>
      <c r="N33" s="54" t="s">
        <v>127</v>
      </c>
      <c r="O33" s="58"/>
      <c r="P33" s="61"/>
      <c r="Q33" s="54" t="s">
        <v>127</v>
      </c>
      <c r="R33" s="51"/>
      <c r="S33" s="72"/>
      <c r="T33" s="51"/>
      <c r="U33" s="60" t="s">
        <v>137</v>
      </c>
      <c r="V33" s="51"/>
      <c r="W33" s="51"/>
      <c r="X33" s="52"/>
      <c r="Y33" s="51"/>
      <c r="Z33" s="51"/>
      <c r="AA33" s="51"/>
    </row>
    <row r="34" spans="1:27" ht="12.95" customHeight="1">
      <c r="A34" s="42">
        <v>35</v>
      </c>
      <c r="B34" s="43" t="s">
        <v>16</v>
      </c>
      <c r="C34" s="43" t="s">
        <v>12</v>
      </c>
      <c r="D34" s="43" t="s">
        <v>19</v>
      </c>
      <c r="E34" s="44" t="s">
        <v>65</v>
      </c>
      <c r="F34" s="44" t="s">
        <v>9</v>
      </c>
      <c r="G34" s="45">
        <v>296357</v>
      </c>
      <c r="H34" s="55" t="s">
        <v>41</v>
      </c>
      <c r="I34" s="56" t="s">
        <v>18</v>
      </c>
      <c r="J34" s="52" t="s">
        <v>3</v>
      </c>
      <c r="K34" s="43" t="s">
        <v>123</v>
      </c>
      <c r="L34" s="55" t="s">
        <v>137</v>
      </c>
      <c r="M34" s="57" t="s">
        <v>133</v>
      </c>
      <c r="N34" s="54" t="s">
        <v>127</v>
      </c>
      <c r="O34" s="58"/>
      <c r="P34" s="61"/>
      <c r="Q34" s="54" t="s">
        <v>127</v>
      </c>
      <c r="R34" s="51"/>
      <c r="S34" s="72"/>
      <c r="T34" s="51"/>
      <c r="U34" s="60" t="s">
        <v>137</v>
      </c>
      <c r="V34" s="51"/>
      <c r="W34" s="51"/>
      <c r="X34" s="52"/>
      <c r="Y34" s="51"/>
      <c r="Z34" s="51"/>
      <c r="AA34" s="51"/>
    </row>
    <row r="35" spans="1:27" ht="12.95" customHeight="1">
      <c r="A35" s="42">
        <v>31</v>
      </c>
      <c r="B35" s="62" t="s">
        <v>16</v>
      </c>
      <c r="C35" s="62" t="s">
        <v>12</v>
      </c>
      <c r="D35" s="43" t="s">
        <v>19</v>
      </c>
      <c r="E35" s="44" t="s">
        <v>65</v>
      </c>
      <c r="F35" s="63" t="s">
        <v>6</v>
      </c>
      <c r="G35" s="45">
        <v>422881</v>
      </c>
      <c r="H35" s="64" t="s">
        <v>41</v>
      </c>
      <c r="I35" s="65" t="s">
        <v>18</v>
      </c>
      <c r="J35" s="52" t="s">
        <v>3</v>
      </c>
      <c r="K35" s="43" t="s">
        <v>123</v>
      </c>
      <c r="L35" s="64" t="s">
        <v>137</v>
      </c>
      <c r="M35" s="66" t="s">
        <v>133</v>
      </c>
      <c r="N35" s="74" t="s">
        <v>127</v>
      </c>
      <c r="O35" s="67"/>
      <c r="P35" s="61"/>
      <c r="Q35" s="54" t="s">
        <v>127</v>
      </c>
      <c r="R35" s="69"/>
      <c r="S35" s="72"/>
      <c r="T35" s="51"/>
      <c r="U35" s="60" t="s">
        <v>137</v>
      </c>
      <c r="V35" s="69"/>
      <c r="W35" s="69"/>
      <c r="X35" s="70"/>
      <c r="Y35" s="69"/>
      <c r="Z35" s="69"/>
      <c r="AA35" s="69"/>
    </row>
    <row r="36" spans="1:27" ht="12.95" customHeight="1">
      <c r="A36" s="42">
        <v>40</v>
      </c>
      <c r="B36" s="43" t="s">
        <v>16</v>
      </c>
      <c r="C36" s="43" t="s">
        <v>12</v>
      </c>
      <c r="D36" s="43" t="s">
        <v>19</v>
      </c>
      <c r="E36" s="44" t="s">
        <v>65</v>
      </c>
      <c r="F36" s="44" t="s">
        <v>18</v>
      </c>
      <c r="G36" s="45">
        <v>469502</v>
      </c>
      <c r="H36" s="55" t="s">
        <v>41</v>
      </c>
      <c r="I36" s="56" t="s">
        <v>18</v>
      </c>
      <c r="J36" s="52" t="s">
        <v>3</v>
      </c>
      <c r="K36" s="43" t="s">
        <v>123</v>
      </c>
      <c r="L36" s="55" t="s">
        <v>137</v>
      </c>
      <c r="M36" s="57" t="s">
        <v>133</v>
      </c>
      <c r="N36" s="54" t="s">
        <v>127</v>
      </c>
      <c r="O36" s="58"/>
      <c r="P36" s="61"/>
      <c r="Q36" s="54" t="s">
        <v>127</v>
      </c>
      <c r="R36" s="51"/>
      <c r="S36" s="72"/>
      <c r="T36" s="51"/>
      <c r="U36" s="60" t="s">
        <v>137</v>
      </c>
      <c r="V36" s="51"/>
      <c r="W36" s="51"/>
      <c r="X36" s="52"/>
      <c r="Y36" s="51"/>
      <c r="Z36" s="51"/>
      <c r="AA36" s="51"/>
    </row>
    <row r="37" spans="1:27" ht="12.95" customHeight="1">
      <c r="A37" s="42">
        <v>20</v>
      </c>
      <c r="B37" s="43" t="s">
        <v>16</v>
      </c>
      <c r="C37" s="43" t="s">
        <v>12</v>
      </c>
      <c r="D37" s="43" t="s">
        <v>19</v>
      </c>
      <c r="E37" s="44" t="s">
        <v>65</v>
      </c>
      <c r="F37" s="44" t="s">
        <v>18</v>
      </c>
      <c r="G37" s="45">
        <v>189799</v>
      </c>
      <c r="H37" s="55" t="s">
        <v>41</v>
      </c>
      <c r="I37" s="56" t="s">
        <v>18</v>
      </c>
      <c r="J37" s="52" t="s">
        <v>3</v>
      </c>
      <c r="K37" s="43" t="s">
        <v>123</v>
      </c>
      <c r="L37" s="55" t="s">
        <v>137</v>
      </c>
      <c r="M37" s="57" t="s">
        <v>133</v>
      </c>
      <c r="N37" s="54" t="s">
        <v>127</v>
      </c>
      <c r="O37" s="58"/>
      <c r="P37" s="61"/>
      <c r="Q37" s="54" t="s">
        <v>127</v>
      </c>
      <c r="R37" s="51"/>
      <c r="S37" s="72"/>
      <c r="T37" s="51"/>
      <c r="U37" s="60" t="s">
        <v>137</v>
      </c>
      <c r="V37" s="51"/>
      <c r="W37" s="51"/>
      <c r="X37" s="52"/>
      <c r="Y37" s="51"/>
      <c r="Z37" s="51"/>
      <c r="AA37" s="51"/>
    </row>
    <row r="38" spans="1:27" ht="12.95" customHeight="1">
      <c r="A38" s="42">
        <v>32</v>
      </c>
      <c r="B38" s="43" t="s">
        <v>16</v>
      </c>
      <c r="C38" s="43" t="s">
        <v>12</v>
      </c>
      <c r="D38" s="43" t="s">
        <v>19</v>
      </c>
      <c r="E38" s="44" t="s">
        <v>43</v>
      </c>
      <c r="F38" s="47" t="s">
        <v>7</v>
      </c>
      <c r="G38" s="45">
        <v>71905478</v>
      </c>
      <c r="H38" s="55" t="s">
        <v>41</v>
      </c>
      <c r="I38" s="56" t="s">
        <v>18</v>
      </c>
      <c r="J38" s="73" t="s">
        <v>18</v>
      </c>
      <c r="K38" s="43" t="s">
        <v>123</v>
      </c>
      <c r="L38" s="75" t="s">
        <v>140</v>
      </c>
      <c r="M38" s="57" t="s">
        <v>131</v>
      </c>
      <c r="N38" s="54" t="s">
        <v>127</v>
      </c>
      <c r="O38" s="58"/>
      <c r="P38" s="61"/>
      <c r="Q38" s="54" t="s">
        <v>127</v>
      </c>
      <c r="R38" s="51"/>
      <c r="S38" s="72"/>
      <c r="T38" s="51"/>
      <c r="U38" s="60" t="s">
        <v>137</v>
      </c>
      <c r="V38" s="51"/>
      <c r="W38" s="51"/>
      <c r="X38" s="52"/>
      <c r="Y38" s="51"/>
      <c r="Z38" s="51"/>
      <c r="AA38" s="51"/>
    </row>
    <row r="39" spans="1:27" ht="12.95" customHeight="1">
      <c r="A39" s="42">
        <v>54</v>
      </c>
      <c r="B39" s="43" t="s">
        <v>16</v>
      </c>
      <c r="C39" s="43" t="s">
        <v>12</v>
      </c>
      <c r="D39" s="43" t="s">
        <v>19</v>
      </c>
      <c r="E39" s="44" t="s">
        <v>43</v>
      </c>
      <c r="F39" s="44" t="s">
        <v>6</v>
      </c>
      <c r="G39" s="45">
        <v>207323</v>
      </c>
      <c r="H39" s="55" t="s">
        <v>41</v>
      </c>
      <c r="I39" s="56" t="s">
        <v>18</v>
      </c>
      <c r="J39" s="73" t="s">
        <v>18</v>
      </c>
      <c r="K39" s="43" t="s">
        <v>123</v>
      </c>
      <c r="L39" s="75" t="s">
        <v>140</v>
      </c>
      <c r="M39" s="57" t="s">
        <v>131</v>
      </c>
      <c r="N39" s="54" t="s">
        <v>127</v>
      </c>
      <c r="O39" s="58"/>
      <c r="P39" s="61"/>
      <c r="Q39" s="54" t="s">
        <v>127</v>
      </c>
      <c r="R39" s="51"/>
      <c r="S39" s="72"/>
      <c r="T39" s="51"/>
      <c r="U39" s="60" t="s">
        <v>137</v>
      </c>
      <c r="V39" s="51"/>
      <c r="W39" s="51"/>
      <c r="X39" s="52"/>
      <c r="Y39" s="51"/>
      <c r="Z39" s="51"/>
      <c r="AA39" s="51"/>
    </row>
    <row r="40" spans="1:27" ht="12.95" customHeight="1">
      <c r="A40" s="42">
        <v>44</v>
      </c>
      <c r="B40" s="43" t="s">
        <v>16</v>
      </c>
      <c r="C40" s="43" t="s">
        <v>12</v>
      </c>
      <c r="D40" s="43" t="s">
        <v>19</v>
      </c>
      <c r="E40" s="44" t="s">
        <v>43</v>
      </c>
      <c r="F40" s="44" t="s">
        <v>9</v>
      </c>
      <c r="G40" s="45">
        <v>328115</v>
      </c>
      <c r="H40" s="55" t="s">
        <v>41</v>
      </c>
      <c r="I40" s="56" t="s">
        <v>18</v>
      </c>
      <c r="J40" s="73" t="s">
        <v>18</v>
      </c>
      <c r="K40" s="43" t="s">
        <v>123</v>
      </c>
      <c r="L40" s="75" t="s">
        <v>140</v>
      </c>
      <c r="M40" s="57" t="s">
        <v>131</v>
      </c>
      <c r="N40" s="54" t="s">
        <v>127</v>
      </c>
      <c r="O40" s="58"/>
      <c r="P40" s="61"/>
      <c r="Q40" s="54" t="s">
        <v>127</v>
      </c>
      <c r="R40" s="51"/>
      <c r="S40" s="72"/>
      <c r="T40" s="51"/>
      <c r="U40" s="60" t="s">
        <v>137</v>
      </c>
      <c r="V40" s="51"/>
      <c r="W40" s="51"/>
      <c r="X40" s="52"/>
      <c r="Y40" s="51"/>
      <c r="Z40" s="51"/>
      <c r="AA40" s="51"/>
    </row>
    <row r="41" spans="1:27" ht="12.95" customHeight="1">
      <c r="A41" s="42">
        <v>51</v>
      </c>
      <c r="B41" s="43" t="s">
        <v>16</v>
      </c>
      <c r="C41" s="43" t="s">
        <v>12</v>
      </c>
      <c r="D41" s="43" t="s">
        <v>19</v>
      </c>
      <c r="E41" s="44" t="s">
        <v>43</v>
      </c>
      <c r="F41" s="44" t="s">
        <v>9</v>
      </c>
      <c r="G41" s="45">
        <v>421931</v>
      </c>
      <c r="H41" s="55" t="s">
        <v>41</v>
      </c>
      <c r="I41" s="56" t="s">
        <v>18</v>
      </c>
      <c r="J41" s="52" t="s">
        <v>3</v>
      </c>
      <c r="K41" s="43" t="s">
        <v>123</v>
      </c>
      <c r="L41" s="55" t="s">
        <v>126</v>
      </c>
      <c r="M41" s="57" t="s">
        <v>132</v>
      </c>
      <c r="N41" s="54" t="s">
        <v>127</v>
      </c>
      <c r="O41" s="58"/>
      <c r="P41" s="61"/>
      <c r="Q41" s="54" t="s">
        <v>127</v>
      </c>
      <c r="R41" s="51"/>
      <c r="S41" s="72"/>
      <c r="T41" s="51"/>
      <c r="U41" s="60" t="s">
        <v>137</v>
      </c>
      <c r="V41" s="51"/>
      <c r="W41" s="51"/>
      <c r="X41" s="52"/>
      <c r="Y41" s="51"/>
      <c r="Z41" s="51"/>
      <c r="AA41" s="51"/>
    </row>
    <row r="42" spans="1:27" ht="12.95" customHeight="1">
      <c r="A42" s="42">
        <v>28</v>
      </c>
      <c r="B42" s="43" t="s">
        <v>16</v>
      </c>
      <c r="C42" s="43" t="s">
        <v>12</v>
      </c>
      <c r="D42" s="43" t="s">
        <v>19</v>
      </c>
      <c r="E42" s="44" t="s">
        <v>65</v>
      </c>
      <c r="F42" s="44" t="s">
        <v>9</v>
      </c>
      <c r="G42" s="45">
        <v>175303</v>
      </c>
      <c r="H42" s="55" t="s">
        <v>41</v>
      </c>
      <c r="I42" s="56" t="s">
        <v>18</v>
      </c>
      <c r="J42" s="52" t="s">
        <v>3</v>
      </c>
      <c r="K42" s="43" t="s">
        <v>123</v>
      </c>
      <c r="L42" s="55" t="s">
        <v>126</v>
      </c>
      <c r="M42" s="57" t="s">
        <v>132</v>
      </c>
      <c r="N42" s="54" t="s">
        <v>127</v>
      </c>
      <c r="O42" s="58"/>
      <c r="P42" s="61"/>
      <c r="Q42" s="54" t="s">
        <v>127</v>
      </c>
      <c r="R42" s="51"/>
      <c r="S42" s="72"/>
      <c r="T42" s="51"/>
      <c r="U42" s="60" t="s">
        <v>137</v>
      </c>
      <c r="V42" s="51"/>
      <c r="W42" s="51"/>
      <c r="X42" s="52"/>
      <c r="Y42" s="51"/>
      <c r="Z42" s="51"/>
      <c r="AA42" s="51"/>
    </row>
    <row r="43" spans="1:27" ht="12.95" customHeight="1">
      <c r="A43" s="42">
        <v>28</v>
      </c>
      <c r="B43" s="43" t="s">
        <v>16</v>
      </c>
      <c r="C43" s="43" t="s">
        <v>12</v>
      </c>
      <c r="D43" s="43" t="s">
        <v>19</v>
      </c>
      <c r="E43" s="44" t="s">
        <v>43</v>
      </c>
      <c r="F43" s="44" t="s">
        <v>9</v>
      </c>
      <c r="G43" s="45">
        <v>335512</v>
      </c>
      <c r="H43" s="55" t="s">
        <v>41</v>
      </c>
      <c r="I43" s="56" t="s">
        <v>18</v>
      </c>
      <c r="J43" s="52" t="s">
        <v>3</v>
      </c>
      <c r="K43" s="43" t="s">
        <v>123</v>
      </c>
      <c r="L43" s="55" t="s">
        <v>126</v>
      </c>
      <c r="M43" s="57" t="s">
        <v>132</v>
      </c>
      <c r="N43" s="54" t="s">
        <v>127</v>
      </c>
      <c r="O43" s="58"/>
      <c r="P43" s="61"/>
      <c r="Q43" s="54" t="s">
        <v>127</v>
      </c>
      <c r="R43" s="51"/>
      <c r="S43" s="72"/>
      <c r="T43" s="51"/>
      <c r="U43" s="60" t="s">
        <v>137</v>
      </c>
      <c r="V43" s="51"/>
      <c r="W43" s="51"/>
      <c r="X43" s="52"/>
      <c r="Y43" s="51"/>
      <c r="Z43" s="51"/>
      <c r="AA43" s="51"/>
    </row>
    <row r="44" spans="1:27" ht="12.95" customHeight="1">
      <c r="A44" s="42">
        <v>24</v>
      </c>
      <c r="B44" s="43" t="s">
        <v>16</v>
      </c>
      <c r="C44" s="43" t="s">
        <v>12</v>
      </c>
      <c r="D44" s="43" t="s">
        <v>19</v>
      </c>
      <c r="E44" s="44" t="s">
        <v>43</v>
      </c>
      <c r="F44" s="44" t="s">
        <v>9</v>
      </c>
      <c r="G44" s="45">
        <v>435257</v>
      </c>
      <c r="H44" s="55" t="s">
        <v>41</v>
      </c>
      <c r="I44" s="56" t="s">
        <v>18</v>
      </c>
      <c r="J44" s="73" t="s">
        <v>18</v>
      </c>
      <c r="K44" s="43" t="s">
        <v>123</v>
      </c>
      <c r="L44" s="55" t="s">
        <v>123</v>
      </c>
      <c r="M44" s="57" t="s">
        <v>137</v>
      </c>
      <c r="N44" s="54" t="s">
        <v>127</v>
      </c>
      <c r="O44" s="58"/>
      <c r="P44" s="61"/>
      <c r="Q44" s="54" t="s">
        <v>127</v>
      </c>
      <c r="R44" s="51"/>
      <c r="S44" s="72"/>
      <c r="T44" s="51"/>
      <c r="U44" s="60" t="s">
        <v>137</v>
      </c>
      <c r="V44" s="51"/>
      <c r="W44" s="51"/>
      <c r="X44" s="52"/>
      <c r="Y44" s="51"/>
      <c r="Z44" s="51"/>
      <c r="AA44" s="51"/>
    </row>
    <row r="45" spans="1:27" ht="12.95" customHeight="1">
      <c r="A45" s="42">
        <v>62</v>
      </c>
      <c r="B45" s="43" t="s">
        <v>16</v>
      </c>
      <c r="C45" s="43" t="s">
        <v>12</v>
      </c>
      <c r="D45" s="43" t="s">
        <v>19</v>
      </c>
      <c r="E45" s="44" t="s">
        <v>43</v>
      </c>
      <c r="F45" s="71" t="s">
        <v>12</v>
      </c>
      <c r="G45" s="45">
        <v>421274</v>
      </c>
      <c r="H45" s="55" t="s">
        <v>41</v>
      </c>
      <c r="I45" s="56" t="s">
        <v>18</v>
      </c>
      <c r="J45" s="73" t="s">
        <v>18</v>
      </c>
      <c r="K45" s="43" t="s">
        <v>123</v>
      </c>
      <c r="L45" s="55" t="s">
        <v>123</v>
      </c>
      <c r="M45" s="57" t="s">
        <v>137</v>
      </c>
      <c r="N45" s="54" t="s">
        <v>127</v>
      </c>
      <c r="O45" s="58"/>
      <c r="P45" s="61"/>
      <c r="Q45" s="54" t="s">
        <v>127</v>
      </c>
      <c r="R45" s="51"/>
      <c r="S45" s="72"/>
      <c r="T45" s="51"/>
      <c r="U45" s="60" t="s">
        <v>137</v>
      </c>
      <c r="V45" s="51"/>
      <c r="W45" s="51"/>
      <c r="X45" s="52"/>
      <c r="Y45" s="51"/>
      <c r="Z45" s="51"/>
      <c r="AA45" s="51"/>
    </row>
    <row r="46" spans="1:27" ht="12.95" customHeight="1">
      <c r="A46" s="42">
        <v>37</v>
      </c>
      <c r="B46" s="43" t="s">
        <v>16</v>
      </c>
      <c r="C46" s="43" t="s">
        <v>12</v>
      </c>
      <c r="D46" s="43" t="s">
        <v>19</v>
      </c>
      <c r="E46" s="44" t="s">
        <v>43</v>
      </c>
      <c r="F46" s="76" t="s">
        <v>18</v>
      </c>
      <c r="G46" s="45">
        <v>167961</v>
      </c>
      <c r="H46" s="55" t="s">
        <v>41</v>
      </c>
      <c r="I46" s="56" t="s">
        <v>18</v>
      </c>
      <c r="J46" s="73" t="s">
        <v>18</v>
      </c>
      <c r="K46" s="43" t="s">
        <v>123</v>
      </c>
      <c r="L46" s="55" t="s">
        <v>123</v>
      </c>
      <c r="M46" s="57" t="s">
        <v>137</v>
      </c>
      <c r="N46" s="54" t="s">
        <v>127</v>
      </c>
      <c r="O46" s="58"/>
      <c r="P46" s="59"/>
      <c r="Q46" s="54" t="s">
        <v>127</v>
      </c>
      <c r="R46" s="51"/>
      <c r="S46" s="72"/>
      <c r="T46" s="51"/>
      <c r="U46" s="60" t="s">
        <v>137</v>
      </c>
      <c r="V46" s="51"/>
      <c r="W46" s="54"/>
      <c r="X46" s="52"/>
      <c r="Y46" s="51"/>
      <c r="Z46" s="51"/>
      <c r="AA46" s="51"/>
    </row>
    <row r="47" spans="1:27" ht="12.95" customHeight="1">
      <c r="A47" s="42">
        <v>63</v>
      </c>
      <c r="B47" s="43" t="s">
        <v>16</v>
      </c>
      <c r="C47" s="43" t="s">
        <v>12</v>
      </c>
      <c r="D47" s="43" t="s">
        <v>19</v>
      </c>
      <c r="E47" s="44" t="s">
        <v>43</v>
      </c>
      <c r="F47" s="73" t="s">
        <v>18</v>
      </c>
      <c r="G47" s="45">
        <v>352803</v>
      </c>
      <c r="H47" s="55" t="s">
        <v>41</v>
      </c>
      <c r="I47" s="56" t="s">
        <v>18</v>
      </c>
      <c r="J47" s="44" t="s">
        <v>9</v>
      </c>
      <c r="K47" s="43" t="s">
        <v>123</v>
      </c>
      <c r="L47" s="55" t="s">
        <v>123</v>
      </c>
      <c r="M47" s="57" t="s">
        <v>137</v>
      </c>
      <c r="N47" s="54" t="s">
        <v>127</v>
      </c>
      <c r="O47" s="58"/>
      <c r="P47" s="59"/>
      <c r="Q47" s="54" t="s">
        <v>127</v>
      </c>
      <c r="R47" s="51"/>
      <c r="S47" s="72"/>
      <c r="T47" s="51"/>
      <c r="U47" s="60" t="s">
        <v>137</v>
      </c>
      <c r="V47" s="51"/>
      <c r="W47" s="54"/>
      <c r="X47" s="52"/>
      <c r="Y47" s="51"/>
      <c r="Z47" s="51"/>
      <c r="AA47" s="51"/>
    </row>
    <row r="48" spans="1:27" ht="12.95" customHeight="1">
      <c r="A48" s="42">
        <v>65</v>
      </c>
      <c r="B48" s="43" t="s">
        <v>16</v>
      </c>
      <c r="C48" s="43" t="s">
        <v>12</v>
      </c>
      <c r="D48" s="43" t="s">
        <v>19</v>
      </c>
      <c r="E48" s="44" t="s">
        <v>65</v>
      </c>
      <c r="F48" s="44" t="s">
        <v>17</v>
      </c>
      <c r="G48" s="45">
        <v>349186</v>
      </c>
      <c r="H48" s="55" t="s">
        <v>41</v>
      </c>
      <c r="I48" s="56" t="s">
        <v>18</v>
      </c>
      <c r="J48" s="44" t="s">
        <v>9</v>
      </c>
      <c r="K48" s="43" t="s">
        <v>134</v>
      </c>
      <c r="L48" s="55" t="s">
        <v>134</v>
      </c>
      <c r="M48" s="57" t="s">
        <v>127</v>
      </c>
      <c r="N48" s="54" t="s">
        <v>127</v>
      </c>
      <c r="O48" s="58"/>
      <c r="P48" s="59"/>
      <c r="Q48" s="54" t="s">
        <v>127</v>
      </c>
      <c r="R48" s="51"/>
      <c r="S48" s="72"/>
      <c r="T48" s="51"/>
      <c r="U48" s="60" t="s">
        <v>137</v>
      </c>
      <c r="V48" s="51"/>
      <c r="W48" s="54"/>
      <c r="X48" s="52"/>
      <c r="Y48" s="51"/>
      <c r="Z48" s="51"/>
      <c r="AA48" s="51"/>
    </row>
    <row r="49" spans="1:27" ht="12.95" customHeight="1">
      <c r="A49" s="42">
        <v>35</v>
      </c>
      <c r="B49" s="43" t="s">
        <v>16</v>
      </c>
      <c r="C49" s="43" t="s">
        <v>12</v>
      </c>
      <c r="D49" s="43" t="s">
        <v>19</v>
      </c>
      <c r="E49" s="44" t="s">
        <v>65</v>
      </c>
      <c r="F49" s="44" t="s">
        <v>9</v>
      </c>
      <c r="G49" s="45">
        <v>302890</v>
      </c>
      <c r="H49" s="55" t="s">
        <v>41</v>
      </c>
      <c r="I49" s="56" t="s">
        <v>18</v>
      </c>
      <c r="J49" s="44" t="s">
        <v>9</v>
      </c>
      <c r="K49" s="43" t="s">
        <v>134</v>
      </c>
      <c r="L49" s="55" t="s">
        <v>134</v>
      </c>
      <c r="M49" s="57" t="s">
        <v>127</v>
      </c>
      <c r="N49" s="54" t="s">
        <v>127</v>
      </c>
      <c r="O49" s="58"/>
      <c r="P49" s="59"/>
      <c r="Q49" s="54" t="s">
        <v>127</v>
      </c>
      <c r="R49" s="51"/>
      <c r="S49" s="72"/>
      <c r="T49" s="51"/>
      <c r="U49" s="60" t="s">
        <v>137</v>
      </c>
      <c r="V49" s="51"/>
      <c r="W49" s="54"/>
      <c r="X49" s="52"/>
      <c r="Y49" s="51"/>
      <c r="Z49" s="51"/>
      <c r="AA49" s="51"/>
    </row>
    <row r="50" spans="1:27" ht="12.95" customHeight="1">
      <c r="A50" s="42">
        <v>45</v>
      </c>
      <c r="B50" s="43" t="s">
        <v>16</v>
      </c>
      <c r="C50" s="43" t="s">
        <v>12</v>
      </c>
      <c r="D50" s="43" t="s">
        <v>19</v>
      </c>
      <c r="E50" s="44" t="s">
        <v>43</v>
      </c>
      <c r="F50" s="44" t="s">
        <v>12</v>
      </c>
      <c r="G50" s="45">
        <v>278974</v>
      </c>
      <c r="H50" s="55" t="s">
        <v>41</v>
      </c>
      <c r="I50" s="56" t="s">
        <v>18</v>
      </c>
      <c r="J50" s="44" t="s">
        <v>9</v>
      </c>
      <c r="K50" s="43" t="s">
        <v>134</v>
      </c>
      <c r="L50" s="55" t="s">
        <v>134</v>
      </c>
      <c r="M50" s="57" t="s">
        <v>127</v>
      </c>
      <c r="N50" s="54" t="s">
        <v>127</v>
      </c>
      <c r="O50" s="58"/>
      <c r="P50" s="61"/>
      <c r="Q50" s="54" t="s">
        <v>127</v>
      </c>
      <c r="R50" s="51"/>
      <c r="S50" s="72"/>
      <c r="T50" s="51"/>
      <c r="U50" s="60" t="s">
        <v>137</v>
      </c>
      <c r="V50" s="51"/>
      <c r="W50" s="51"/>
      <c r="X50" s="52"/>
      <c r="Y50" s="51"/>
      <c r="Z50" s="51"/>
      <c r="AA50" s="51"/>
    </row>
    <row r="51" spans="1:27" ht="12.95" customHeight="1">
      <c r="A51" s="42">
        <v>64</v>
      </c>
      <c r="B51" s="43" t="s">
        <v>16</v>
      </c>
      <c r="C51" s="43" t="s">
        <v>12</v>
      </c>
      <c r="D51" s="43" t="s">
        <v>19</v>
      </c>
      <c r="E51" s="44" t="s">
        <v>43</v>
      </c>
      <c r="F51" s="44" t="s">
        <v>9</v>
      </c>
      <c r="G51" s="45">
        <v>253893</v>
      </c>
      <c r="H51" s="55" t="s">
        <v>41</v>
      </c>
      <c r="I51" s="56" t="s">
        <v>18</v>
      </c>
      <c r="J51" s="44" t="s">
        <v>9</v>
      </c>
      <c r="K51" s="43" t="s">
        <v>134</v>
      </c>
      <c r="L51" s="55" t="s">
        <v>134</v>
      </c>
      <c r="M51" s="57" t="s">
        <v>127</v>
      </c>
      <c r="N51" s="54" t="s">
        <v>127</v>
      </c>
      <c r="O51" s="58"/>
      <c r="P51" s="61"/>
      <c r="Q51" s="54" t="s">
        <v>127</v>
      </c>
      <c r="R51" s="51"/>
      <c r="S51" s="72"/>
      <c r="T51" s="51"/>
      <c r="U51" s="60" t="s">
        <v>137</v>
      </c>
      <c r="V51" s="51"/>
      <c r="W51" s="51"/>
      <c r="X51" s="52"/>
      <c r="Y51" s="51"/>
      <c r="Z51" s="51"/>
      <c r="AA51" s="51"/>
    </row>
    <row r="52" spans="1:27" ht="12.95" customHeight="1">
      <c r="A52" s="42">
        <v>30</v>
      </c>
      <c r="B52" s="43" t="s">
        <v>16</v>
      </c>
      <c r="C52" s="43" t="s">
        <v>12</v>
      </c>
      <c r="D52" s="43" t="s">
        <v>19</v>
      </c>
      <c r="E52" s="44" t="s">
        <v>43</v>
      </c>
      <c r="F52" s="44" t="s">
        <v>12</v>
      </c>
      <c r="G52" s="45">
        <v>276458</v>
      </c>
      <c r="H52" s="55" t="s">
        <v>41</v>
      </c>
      <c r="I52" s="56" t="s">
        <v>18</v>
      </c>
      <c r="J52" s="44" t="s">
        <v>4</v>
      </c>
      <c r="K52" s="43" t="s">
        <v>123</v>
      </c>
      <c r="L52" s="55" t="s">
        <v>137</v>
      </c>
      <c r="M52" s="57" t="s">
        <v>126</v>
      </c>
      <c r="N52" s="54" t="s">
        <v>127</v>
      </c>
      <c r="O52" s="58"/>
      <c r="P52" s="61"/>
      <c r="Q52" s="54" t="s">
        <v>127</v>
      </c>
      <c r="R52" s="51"/>
      <c r="S52" s="72"/>
      <c r="T52" s="51"/>
      <c r="U52" s="60" t="s">
        <v>137</v>
      </c>
      <c r="V52" s="51"/>
      <c r="W52" s="51"/>
      <c r="X52" s="52"/>
      <c r="Y52" s="51"/>
      <c r="Z52" s="51"/>
      <c r="AA52" s="51"/>
    </row>
    <row r="53" spans="1:27" ht="12.95" customHeight="1">
      <c r="A53" s="42">
        <v>61</v>
      </c>
      <c r="B53" s="43" t="s">
        <v>16</v>
      </c>
      <c r="C53" s="43" t="s">
        <v>12</v>
      </c>
      <c r="D53" s="43" t="s">
        <v>19</v>
      </c>
      <c r="E53" s="44" t="s">
        <v>43</v>
      </c>
      <c r="F53" s="44" t="s">
        <v>12</v>
      </c>
      <c r="G53" s="45">
        <v>345576</v>
      </c>
      <c r="H53" s="55" t="s">
        <v>41</v>
      </c>
      <c r="I53" s="56" t="s">
        <v>18</v>
      </c>
      <c r="J53" s="44" t="s">
        <v>4</v>
      </c>
      <c r="K53" s="43" t="s">
        <v>123</v>
      </c>
      <c r="L53" s="55" t="s">
        <v>137</v>
      </c>
      <c r="M53" s="57" t="s">
        <v>126</v>
      </c>
      <c r="N53" s="54" t="s">
        <v>127</v>
      </c>
      <c r="O53" s="58"/>
      <c r="P53" s="61"/>
      <c r="Q53" s="54" t="s">
        <v>127</v>
      </c>
      <c r="R53" s="51"/>
      <c r="S53" s="72"/>
      <c r="T53" s="51"/>
      <c r="U53" s="60" t="s">
        <v>137</v>
      </c>
      <c r="V53" s="51"/>
      <c r="W53" s="51"/>
      <c r="X53" s="52"/>
      <c r="Y53" s="51"/>
      <c r="Z53" s="51"/>
      <c r="AA53" s="51"/>
    </row>
    <row r="54" spans="1:27" ht="12.95" customHeight="1">
      <c r="A54" s="42">
        <v>44</v>
      </c>
      <c r="B54" s="43" t="s">
        <v>16</v>
      </c>
      <c r="C54" s="43" t="s">
        <v>12</v>
      </c>
      <c r="D54" s="43" t="s">
        <v>19</v>
      </c>
      <c r="E54" s="44" t="s">
        <v>65</v>
      </c>
      <c r="F54" s="44" t="s">
        <v>12</v>
      </c>
      <c r="G54" s="45">
        <v>367463</v>
      </c>
      <c r="H54" s="55" t="s">
        <v>41</v>
      </c>
      <c r="I54" s="56" t="s">
        <v>18</v>
      </c>
      <c r="J54" s="44" t="s">
        <v>4</v>
      </c>
      <c r="K54" s="43" t="s">
        <v>123</v>
      </c>
      <c r="L54" s="55" t="s">
        <v>137</v>
      </c>
      <c r="M54" s="57" t="s">
        <v>126</v>
      </c>
      <c r="N54" s="54" t="s">
        <v>127</v>
      </c>
      <c r="O54" s="58"/>
      <c r="P54" s="61"/>
      <c r="Q54" s="54" t="s">
        <v>127</v>
      </c>
      <c r="R54" s="51"/>
      <c r="S54" s="72"/>
      <c r="T54" s="51"/>
      <c r="U54" s="60" t="s">
        <v>137</v>
      </c>
      <c r="V54" s="51"/>
      <c r="W54" s="51"/>
      <c r="X54" s="52"/>
      <c r="Y54" s="51"/>
      <c r="Z54" s="51"/>
      <c r="AA54" s="51"/>
    </row>
    <row r="55" spans="1:27" ht="12.95" customHeight="1">
      <c r="A55" s="42">
        <v>64</v>
      </c>
      <c r="B55" s="43" t="s">
        <v>16</v>
      </c>
      <c r="C55" s="43" t="s">
        <v>12</v>
      </c>
      <c r="D55" s="62" t="s">
        <v>13</v>
      </c>
      <c r="E55" s="44" t="s">
        <v>65</v>
      </c>
      <c r="F55" s="44" t="s">
        <v>22</v>
      </c>
      <c r="G55" s="45">
        <v>402065</v>
      </c>
      <c r="H55" s="55" t="s">
        <v>41</v>
      </c>
      <c r="I55" s="56" t="s">
        <v>18</v>
      </c>
      <c r="J55" s="44" t="s">
        <v>4</v>
      </c>
      <c r="K55" s="43" t="s">
        <v>123</v>
      </c>
      <c r="L55" s="55" t="s">
        <v>137</v>
      </c>
      <c r="M55" s="57" t="s">
        <v>126</v>
      </c>
      <c r="N55" s="54" t="s">
        <v>127</v>
      </c>
      <c r="O55" s="58"/>
      <c r="P55" s="61"/>
      <c r="Q55" s="54" t="s">
        <v>127</v>
      </c>
      <c r="R55" s="51"/>
      <c r="S55" s="72"/>
      <c r="T55" s="51"/>
      <c r="U55" s="60" t="s">
        <v>137</v>
      </c>
      <c r="V55" s="51"/>
      <c r="W55" s="51"/>
      <c r="X55" s="52"/>
      <c r="Y55" s="51"/>
      <c r="Z55" s="51"/>
      <c r="AA55" s="51"/>
    </row>
    <row r="56" spans="1:27" ht="12.95" customHeight="1">
      <c r="A56" s="43">
        <v>54</v>
      </c>
      <c r="B56" s="77" t="s">
        <v>16</v>
      </c>
      <c r="C56" s="77" t="s">
        <v>12</v>
      </c>
      <c r="D56" s="43" t="s">
        <v>19</v>
      </c>
      <c r="E56" s="44" t="s">
        <v>65</v>
      </c>
      <c r="F56" s="79" t="s">
        <v>6</v>
      </c>
      <c r="G56" s="78">
        <v>273671</v>
      </c>
      <c r="H56" s="55" t="s">
        <v>41</v>
      </c>
      <c r="I56" s="56" t="s">
        <v>18</v>
      </c>
      <c r="J56" s="44" t="s">
        <v>7</v>
      </c>
      <c r="K56" s="43" t="s">
        <v>123</v>
      </c>
      <c r="L56" s="55" t="s">
        <v>123</v>
      </c>
      <c r="M56" s="57" t="s">
        <v>137</v>
      </c>
      <c r="N56" s="54" t="s">
        <v>127</v>
      </c>
      <c r="O56" s="58"/>
      <c r="P56" s="61"/>
      <c r="Q56" s="54" t="s">
        <v>127</v>
      </c>
      <c r="R56" s="51"/>
      <c r="S56" s="72"/>
      <c r="T56" s="51"/>
      <c r="U56" s="60" t="s">
        <v>137</v>
      </c>
      <c r="V56" s="51"/>
      <c r="W56" s="51"/>
      <c r="X56" s="52"/>
      <c r="Y56" s="51"/>
      <c r="Z56" s="51"/>
      <c r="AA56" s="51"/>
    </row>
    <row r="57" spans="1:27" ht="12.95" customHeight="1">
      <c r="A57" s="43">
        <v>49</v>
      </c>
      <c r="B57" s="77" t="s">
        <v>16</v>
      </c>
      <c r="C57" s="77" t="s">
        <v>12</v>
      </c>
      <c r="D57" s="43" t="s">
        <v>19</v>
      </c>
      <c r="E57" s="44" t="s">
        <v>65</v>
      </c>
      <c r="F57" s="79" t="s">
        <v>5</v>
      </c>
      <c r="G57" s="78">
        <v>267913</v>
      </c>
      <c r="H57" s="55" t="s">
        <v>41</v>
      </c>
      <c r="I57" s="56" t="s">
        <v>18</v>
      </c>
      <c r="J57" s="44" t="s">
        <v>7</v>
      </c>
      <c r="K57" s="43" t="s">
        <v>123</v>
      </c>
      <c r="L57" s="55" t="s">
        <v>123</v>
      </c>
      <c r="M57" s="57" t="s">
        <v>137</v>
      </c>
      <c r="N57" s="54" t="s">
        <v>127</v>
      </c>
      <c r="O57" s="58"/>
      <c r="P57" s="61"/>
      <c r="Q57" s="54" t="s">
        <v>127</v>
      </c>
      <c r="R57" s="51"/>
      <c r="S57" s="72"/>
      <c r="T57" s="51"/>
      <c r="U57" s="60" t="s">
        <v>137</v>
      </c>
      <c r="V57" s="51"/>
      <c r="W57" s="51"/>
      <c r="X57" s="52"/>
      <c r="Y57" s="51"/>
      <c r="Z57" s="51"/>
      <c r="AA57" s="51"/>
    </row>
    <row r="58" spans="1:27" ht="12.95" customHeight="1">
      <c r="A58" s="43">
        <v>76</v>
      </c>
      <c r="B58" s="77" t="s">
        <v>16</v>
      </c>
      <c r="C58" s="77" t="s">
        <v>12</v>
      </c>
      <c r="D58" s="43" t="s">
        <v>19</v>
      </c>
      <c r="E58" s="44" t="s">
        <v>65</v>
      </c>
      <c r="F58" s="79" t="s">
        <v>6</v>
      </c>
      <c r="G58" s="78">
        <v>383856</v>
      </c>
      <c r="H58" s="55" t="s">
        <v>41</v>
      </c>
      <c r="I58" s="56" t="s">
        <v>18</v>
      </c>
      <c r="J58" s="44" t="s">
        <v>9</v>
      </c>
      <c r="K58" s="43" t="s">
        <v>123</v>
      </c>
      <c r="L58" s="55" t="s">
        <v>123</v>
      </c>
      <c r="M58" s="57" t="s">
        <v>137</v>
      </c>
      <c r="N58" s="54" t="s">
        <v>127</v>
      </c>
      <c r="O58" s="58"/>
      <c r="P58" s="61"/>
      <c r="Q58" s="54" t="s">
        <v>127</v>
      </c>
      <c r="R58" s="51"/>
      <c r="S58" s="72"/>
      <c r="T58" s="51"/>
      <c r="U58" s="60" t="s">
        <v>137</v>
      </c>
      <c r="V58" s="51"/>
      <c r="W58" s="51"/>
      <c r="X58" s="52"/>
      <c r="Y58" s="51"/>
      <c r="Z58" s="51"/>
      <c r="AA58" s="51"/>
    </row>
    <row r="59" spans="1:27" ht="12.95" customHeight="1">
      <c r="A59" s="43">
        <v>35</v>
      </c>
      <c r="B59" s="77" t="s">
        <v>16</v>
      </c>
      <c r="C59" s="77" t="s">
        <v>12</v>
      </c>
      <c r="D59" s="43" t="s">
        <v>19</v>
      </c>
      <c r="E59" s="44" t="s">
        <v>65</v>
      </c>
      <c r="F59" s="79" t="s">
        <v>8</v>
      </c>
      <c r="G59" s="80">
        <v>378324</v>
      </c>
      <c r="H59" s="55" t="s">
        <v>41</v>
      </c>
      <c r="I59" s="56" t="s">
        <v>18</v>
      </c>
      <c r="J59" s="44" t="s">
        <v>9</v>
      </c>
      <c r="K59" s="43" t="s">
        <v>123</v>
      </c>
      <c r="L59" s="55" t="s">
        <v>123</v>
      </c>
      <c r="M59" s="57" t="s">
        <v>137</v>
      </c>
      <c r="N59" s="54" t="s">
        <v>127</v>
      </c>
      <c r="O59" s="58"/>
      <c r="P59" s="61"/>
      <c r="Q59" s="54" t="s">
        <v>127</v>
      </c>
      <c r="R59" s="51"/>
      <c r="S59" s="72"/>
      <c r="T59" s="51"/>
      <c r="U59" s="60" t="s">
        <v>137</v>
      </c>
      <c r="V59" s="51"/>
      <c r="W59" s="51"/>
      <c r="X59" s="52"/>
      <c r="Y59" s="51"/>
      <c r="Z59" s="51"/>
      <c r="AA59" s="51"/>
    </row>
    <row r="60" spans="1:27" ht="12.95" customHeight="1">
      <c r="A60" s="43">
        <v>63</v>
      </c>
      <c r="B60" s="77" t="s">
        <v>16</v>
      </c>
      <c r="C60" s="77" t="s">
        <v>12</v>
      </c>
      <c r="D60" s="43" t="s">
        <v>19</v>
      </c>
      <c r="E60" s="44" t="s">
        <v>65</v>
      </c>
      <c r="F60" s="79" t="s">
        <v>8</v>
      </c>
      <c r="G60" s="80">
        <v>243729</v>
      </c>
      <c r="H60" s="55" t="s">
        <v>41</v>
      </c>
      <c r="I60" s="56" t="s">
        <v>18</v>
      </c>
      <c r="J60" s="52" t="s">
        <v>3</v>
      </c>
      <c r="K60" s="43" t="s">
        <v>123</v>
      </c>
      <c r="L60" s="55" t="s">
        <v>126</v>
      </c>
      <c r="M60" s="57" t="s">
        <v>132</v>
      </c>
      <c r="N60" s="54" t="s">
        <v>127</v>
      </c>
      <c r="O60" s="58"/>
      <c r="P60" s="61"/>
      <c r="Q60" s="54" t="s">
        <v>127</v>
      </c>
      <c r="R60" s="51"/>
      <c r="S60" s="72"/>
      <c r="T60" s="51"/>
      <c r="U60" s="60" t="s">
        <v>137</v>
      </c>
      <c r="V60" s="51"/>
      <c r="W60" s="51"/>
      <c r="X60" s="52"/>
      <c r="Y60" s="51"/>
      <c r="Z60" s="51"/>
      <c r="AA60" s="51"/>
    </row>
    <row r="61" spans="1:27" ht="12.95" customHeight="1">
      <c r="A61" s="43">
        <v>73</v>
      </c>
      <c r="B61" s="77" t="s">
        <v>16</v>
      </c>
      <c r="C61" s="77" t="s">
        <v>12</v>
      </c>
      <c r="D61" s="43" t="s">
        <v>19</v>
      </c>
      <c r="E61" s="44" t="s">
        <v>65</v>
      </c>
      <c r="F61" s="79" t="s">
        <v>8</v>
      </c>
      <c r="G61" s="80">
        <v>432892</v>
      </c>
      <c r="H61" s="55" t="s">
        <v>41</v>
      </c>
      <c r="I61" s="56" t="s">
        <v>18</v>
      </c>
      <c r="J61" s="52" t="s">
        <v>3</v>
      </c>
      <c r="K61" s="43" t="s">
        <v>123</v>
      </c>
      <c r="L61" s="55" t="s">
        <v>126</v>
      </c>
      <c r="M61" s="57" t="s">
        <v>132</v>
      </c>
      <c r="N61" s="54" t="s">
        <v>127</v>
      </c>
      <c r="O61" s="58"/>
      <c r="P61" s="61"/>
      <c r="Q61" s="54" t="s">
        <v>127</v>
      </c>
      <c r="R61" s="51"/>
      <c r="S61" s="72"/>
      <c r="T61" s="51"/>
      <c r="U61" s="60" t="s">
        <v>137</v>
      </c>
      <c r="V61" s="51"/>
      <c r="W61" s="51"/>
      <c r="X61" s="52"/>
      <c r="Y61" s="51"/>
      <c r="Z61" s="51"/>
      <c r="AA61" s="51"/>
    </row>
    <row r="62" spans="1:27" ht="12.95" customHeight="1">
      <c r="A62" s="43">
        <v>82</v>
      </c>
      <c r="B62" s="77" t="s">
        <v>16</v>
      </c>
      <c r="C62" s="77" t="s">
        <v>12</v>
      </c>
      <c r="D62" s="43" t="s">
        <v>19</v>
      </c>
      <c r="E62" s="44" t="s">
        <v>65</v>
      </c>
      <c r="F62" s="79" t="s">
        <v>8</v>
      </c>
      <c r="G62" s="80">
        <v>331036</v>
      </c>
      <c r="H62" s="55" t="s">
        <v>41</v>
      </c>
      <c r="I62" s="56" t="s">
        <v>18</v>
      </c>
      <c r="J62" s="44" t="s">
        <v>4</v>
      </c>
      <c r="K62" s="43" t="s">
        <v>123</v>
      </c>
      <c r="L62" s="55" t="s">
        <v>126</v>
      </c>
      <c r="M62" s="57" t="s">
        <v>123</v>
      </c>
      <c r="N62" s="54" t="s">
        <v>127</v>
      </c>
      <c r="O62" s="58"/>
      <c r="P62" s="61"/>
      <c r="Q62" s="54" t="s">
        <v>127</v>
      </c>
      <c r="R62" s="51"/>
      <c r="S62" s="72"/>
      <c r="T62" s="51"/>
      <c r="U62" s="60" t="s">
        <v>137</v>
      </c>
      <c r="V62" s="51"/>
      <c r="W62" s="51"/>
      <c r="X62" s="52"/>
      <c r="Y62" s="51"/>
      <c r="Z62" s="51"/>
      <c r="AA62" s="51"/>
    </row>
    <row r="63" spans="1:27" ht="12.95" customHeight="1">
      <c r="A63" s="43">
        <v>64</v>
      </c>
      <c r="B63" s="77" t="s">
        <v>16</v>
      </c>
      <c r="C63" s="77" t="s">
        <v>12</v>
      </c>
      <c r="D63" s="43" t="s">
        <v>19</v>
      </c>
      <c r="E63" s="44" t="s">
        <v>65</v>
      </c>
      <c r="F63" s="79" t="s">
        <v>8</v>
      </c>
      <c r="G63" s="80">
        <v>287384</v>
      </c>
      <c r="H63" s="55" t="s">
        <v>41</v>
      </c>
      <c r="I63" s="56" t="s">
        <v>18</v>
      </c>
      <c r="J63" s="44" t="s">
        <v>4</v>
      </c>
      <c r="K63" s="43" t="s">
        <v>123</v>
      </c>
      <c r="L63" s="55" t="s">
        <v>126</v>
      </c>
      <c r="M63" s="57" t="s">
        <v>123</v>
      </c>
      <c r="N63" s="54" t="s">
        <v>127</v>
      </c>
      <c r="O63" s="58"/>
      <c r="P63" s="61"/>
      <c r="Q63" s="54" t="s">
        <v>127</v>
      </c>
      <c r="R63" s="51"/>
      <c r="S63" s="72"/>
      <c r="T63" s="51"/>
      <c r="U63" s="60" t="s">
        <v>137</v>
      </c>
      <c r="V63" s="51"/>
      <c r="W63" s="51"/>
      <c r="X63" s="52"/>
      <c r="Y63" s="51"/>
      <c r="Z63" s="51"/>
      <c r="AA63" s="51"/>
    </row>
    <row r="64" spans="1:27" ht="12.95" customHeight="1">
      <c r="A64" s="43">
        <v>42</v>
      </c>
      <c r="B64" s="77" t="s">
        <v>16</v>
      </c>
      <c r="C64" s="77" t="s">
        <v>12</v>
      </c>
      <c r="D64" s="43" t="s">
        <v>19</v>
      </c>
      <c r="E64" s="44" t="s">
        <v>65</v>
      </c>
      <c r="F64" s="79" t="s">
        <v>8</v>
      </c>
      <c r="G64" s="80">
        <v>203716</v>
      </c>
      <c r="H64" s="55" t="s">
        <v>41</v>
      </c>
      <c r="I64" s="56" t="s">
        <v>18</v>
      </c>
      <c r="J64" s="44" t="s">
        <v>4</v>
      </c>
      <c r="K64" s="43" t="s">
        <v>123</v>
      </c>
      <c r="L64" s="55" t="s">
        <v>126</v>
      </c>
      <c r="M64" s="57" t="s">
        <v>123</v>
      </c>
      <c r="N64" s="54" t="s">
        <v>127</v>
      </c>
      <c r="O64" s="58"/>
      <c r="P64" s="61"/>
      <c r="Q64" s="54" t="s">
        <v>127</v>
      </c>
      <c r="R64" s="51"/>
      <c r="S64" s="72"/>
      <c r="T64" s="51"/>
      <c r="U64" s="60" t="s">
        <v>137</v>
      </c>
      <c r="V64" s="51"/>
      <c r="W64" s="51"/>
      <c r="X64" s="52"/>
      <c r="Y64" s="51"/>
      <c r="Z64" s="51"/>
      <c r="AA64" s="51"/>
    </row>
    <row r="65" spans="1:27" ht="12.95" customHeight="1">
      <c r="A65" s="43">
        <v>89</v>
      </c>
      <c r="B65" s="77" t="s">
        <v>16</v>
      </c>
      <c r="C65" s="77" t="s">
        <v>12</v>
      </c>
      <c r="D65" s="43" t="s">
        <v>19</v>
      </c>
      <c r="E65" s="44" t="s">
        <v>65</v>
      </c>
      <c r="F65" s="79" t="s">
        <v>12</v>
      </c>
      <c r="G65" s="80">
        <v>491171</v>
      </c>
      <c r="H65" s="55" t="s">
        <v>41</v>
      </c>
      <c r="I65" s="56" t="s">
        <v>18</v>
      </c>
      <c r="J65" s="44" t="s">
        <v>4</v>
      </c>
      <c r="K65" s="43" t="s">
        <v>123</v>
      </c>
      <c r="L65" s="55" t="s">
        <v>126</v>
      </c>
      <c r="M65" s="57" t="s">
        <v>123</v>
      </c>
      <c r="N65" s="54" t="s">
        <v>127</v>
      </c>
      <c r="O65" s="58"/>
      <c r="P65" s="61"/>
      <c r="Q65" s="54" t="s">
        <v>127</v>
      </c>
      <c r="R65" s="51"/>
      <c r="S65" s="72"/>
      <c r="T65" s="51"/>
      <c r="U65" s="60" t="s">
        <v>137</v>
      </c>
      <c r="V65" s="51"/>
      <c r="W65" s="51"/>
      <c r="X65" s="52"/>
      <c r="Y65" s="51"/>
      <c r="Z65" s="51"/>
      <c r="AA65" s="51"/>
    </row>
    <row r="66" spans="1:27" ht="12.95" customHeight="1">
      <c r="A66" s="43">
        <v>40</v>
      </c>
      <c r="B66" s="77" t="s">
        <v>16</v>
      </c>
      <c r="C66" s="77" t="s">
        <v>12</v>
      </c>
      <c r="D66" s="43" t="s">
        <v>19</v>
      </c>
      <c r="E66" s="44" t="s">
        <v>65</v>
      </c>
      <c r="F66" s="79" t="s">
        <v>12</v>
      </c>
      <c r="G66" s="80">
        <v>258320</v>
      </c>
      <c r="H66" s="55" t="s">
        <v>41</v>
      </c>
      <c r="I66" s="56" t="s">
        <v>18</v>
      </c>
      <c r="J66" s="44" t="s">
        <v>9</v>
      </c>
      <c r="K66" s="43" t="s">
        <v>134</v>
      </c>
      <c r="L66" s="55" t="s">
        <v>134</v>
      </c>
      <c r="M66" s="57" t="s">
        <v>127</v>
      </c>
      <c r="N66" s="54" t="s">
        <v>127</v>
      </c>
      <c r="O66" s="58"/>
      <c r="P66" s="61"/>
      <c r="Q66" s="54" t="s">
        <v>127</v>
      </c>
      <c r="R66" s="51"/>
      <c r="S66" s="72"/>
      <c r="T66" s="51"/>
      <c r="U66" s="60" t="s">
        <v>137</v>
      </c>
      <c r="V66" s="51"/>
      <c r="W66" s="51"/>
      <c r="X66" s="52"/>
      <c r="Y66" s="51"/>
      <c r="Z66" s="51"/>
      <c r="AA66" s="51"/>
    </row>
    <row r="67" spans="1:27" ht="12.95" customHeight="1">
      <c r="A67" s="43">
        <v>45</v>
      </c>
      <c r="B67" s="77" t="s">
        <v>16</v>
      </c>
      <c r="C67" s="77" t="s">
        <v>12</v>
      </c>
      <c r="D67" s="43" t="s">
        <v>19</v>
      </c>
      <c r="E67" s="44" t="s">
        <v>65</v>
      </c>
      <c r="F67" s="79" t="s">
        <v>9</v>
      </c>
      <c r="G67" s="80">
        <v>291066</v>
      </c>
      <c r="H67" s="55" t="s">
        <v>41</v>
      </c>
      <c r="I67" s="56" t="s">
        <v>18</v>
      </c>
      <c r="J67" s="44" t="s">
        <v>9</v>
      </c>
      <c r="K67" s="43" t="s">
        <v>134</v>
      </c>
      <c r="L67" s="55" t="s">
        <v>134</v>
      </c>
      <c r="M67" s="57" t="s">
        <v>127</v>
      </c>
      <c r="N67" s="54" t="s">
        <v>127</v>
      </c>
      <c r="O67" s="58"/>
      <c r="P67" s="61"/>
      <c r="Q67" s="54" t="s">
        <v>127</v>
      </c>
      <c r="R67" s="51"/>
      <c r="S67" s="72"/>
      <c r="T67" s="51"/>
      <c r="U67" s="60" t="s">
        <v>137</v>
      </c>
      <c r="V67" s="51"/>
      <c r="W67" s="51"/>
      <c r="X67" s="52"/>
      <c r="Y67" s="51"/>
      <c r="Z67" s="51"/>
      <c r="AA67" s="51"/>
    </row>
    <row r="68" spans="1:27" ht="12.95" customHeight="1">
      <c r="A68" s="43">
        <v>96</v>
      </c>
      <c r="B68" s="77" t="s">
        <v>16</v>
      </c>
      <c r="C68" s="77" t="s">
        <v>12</v>
      </c>
      <c r="D68" s="43" t="s">
        <v>19</v>
      </c>
      <c r="E68" s="44" t="s">
        <v>65</v>
      </c>
      <c r="F68" s="79" t="s">
        <v>8</v>
      </c>
      <c r="G68" s="80">
        <v>323740</v>
      </c>
      <c r="H68" s="55" t="s">
        <v>41</v>
      </c>
      <c r="I68" s="56" t="s">
        <v>18</v>
      </c>
      <c r="J68" s="44" t="s">
        <v>9</v>
      </c>
      <c r="K68" s="43" t="s">
        <v>134</v>
      </c>
      <c r="L68" s="55" t="s">
        <v>134</v>
      </c>
      <c r="M68" s="57" t="s">
        <v>127</v>
      </c>
      <c r="N68" s="54" t="s">
        <v>127</v>
      </c>
      <c r="O68" s="58"/>
      <c r="P68" s="61"/>
      <c r="Q68" s="54" t="s">
        <v>127</v>
      </c>
      <c r="R68" s="51"/>
      <c r="S68" s="72"/>
      <c r="T68" s="51"/>
      <c r="U68" s="60" t="s">
        <v>137</v>
      </c>
      <c r="V68" s="51"/>
      <c r="W68" s="51"/>
      <c r="X68" s="52"/>
      <c r="Y68" s="51"/>
      <c r="Z68" s="51"/>
      <c r="AA68" s="51"/>
    </row>
    <row r="69" spans="1:27" ht="12.95" customHeight="1">
      <c r="A69" s="43">
        <v>54</v>
      </c>
      <c r="B69" s="77" t="s">
        <v>16</v>
      </c>
      <c r="C69" s="77" t="s">
        <v>12</v>
      </c>
      <c r="D69" s="43" t="s">
        <v>19</v>
      </c>
      <c r="E69" s="44" t="s">
        <v>65</v>
      </c>
      <c r="F69" s="79" t="s">
        <v>8</v>
      </c>
      <c r="G69" s="80">
        <v>432867</v>
      </c>
      <c r="H69" s="55" t="s">
        <v>41</v>
      </c>
      <c r="I69" s="56" t="s">
        <v>18</v>
      </c>
      <c r="J69" s="44" t="s">
        <v>9</v>
      </c>
      <c r="K69" s="43" t="s">
        <v>134</v>
      </c>
      <c r="L69" s="55" t="s">
        <v>134</v>
      </c>
      <c r="M69" s="57" t="s">
        <v>127</v>
      </c>
      <c r="N69" s="54" t="s">
        <v>127</v>
      </c>
      <c r="O69" s="58"/>
      <c r="P69" s="61"/>
      <c r="Q69" s="54" t="s">
        <v>127</v>
      </c>
      <c r="R69" s="51"/>
      <c r="S69" s="72"/>
      <c r="T69" s="51"/>
      <c r="U69" s="60" t="s">
        <v>137</v>
      </c>
      <c r="V69" s="51"/>
      <c r="W69" s="51"/>
      <c r="X69" s="52"/>
      <c r="Y69" s="51"/>
      <c r="Z69" s="51"/>
      <c r="AA69" s="51"/>
    </row>
    <row r="70" spans="1:27" ht="12.95" customHeight="1">
      <c r="A70" s="43">
        <v>40</v>
      </c>
      <c r="B70" s="77" t="s">
        <v>16</v>
      </c>
      <c r="C70" s="77" t="s">
        <v>12</v>
      </c>
      <c r="D70" s="43" t="s">
        <v>19</v>
      </c>
      <c r="E70" s="44" t="s">
        <v>65</v>
      </c>
      <c r="F70" s="79" t="s">
        <v>9</v>
      </c>
      <c r="G70" s="80">
        <v>400209</v>
      </c>
      <c r="H70" s="55" t="s">
        <v>41</v>
      </c>
      <c r="I70" s="56" t="s">
        <v>18</v>
      </c>
      <c r="J70" s="52" t="s">
        <v>3</v>
      </c>
      <c r="K70" s="43" t="s">
        <v>134</v>
      </c>
      <c r="L70" s="55" t="s">
        <v>134</v>
      </c>
      <c r="M70" s="57" t="s">
        <v>140</v>
      </c>
      <c r="N70" s="54" t="s">
        <v>127</v>
      </c>
      <c r="O70" s="58"/>
      <c r="P70" s="61"/>
      <c r="Q70" s="54" t="s">
        <v>127</v>
      </c>
      <c r="R70" s="51"/>
      <c r="S70" s="72"/>
      <c r="T70" s="51"/>
      <c r="U70" s="60" t="s">
        <v>137</v>
      </c>
      <c r="V70" s="51"/>
      <c r="W70" s="51"/>
      <c r="X70" s="52"/>
      <c r="Y70" s="51"/>
      <c r="Z70" s="51"/>
      <c r="AA70" s="51"/>
    </row>
    <row r="71" spans="1:27" ht="12.95" customHeight="1">
      <c r="A71" s="43">
        <v>56</v>
      </c>
      <c r="B71" s="77" t="s">
        <v>16</v>
      </c>
      <c r="C71" s="77" t="s">
        <v>12</v>
      </c>
      <c r="D71" s="43" t="s">
        <v>19</v>
      </c>
      <c r="E71" s="44" t="s">
        <v>65</v>
      </c>
      <c r="F71" s="79" t="s">
        <v>9</v>
      </c>
      <c r="G71" s="80">
        <v>305615</v>
      </c>
      <c r="H71" s="55" t="s">
        <v>41</v>
      </c>
      <c r="I71" s="56" t="s">
        <v>18</v>
      </c>
      <c r="J71" s="44" t="s">
        <v>9</v>
      </c>
      <c r="K71" s="43" t="s">
        <v>123</v>
      </c>
      <c r="L71" s="75" t="s">
        <v>140</v>
      </c>
      <c r="M71" s="57" t="s">
        <v>140</v>
      </c>
      <c r="N71" s="54" t="s">
        <v>127</v>
      </c>
      <c r="O71" s="58"/>
      <c r="P71" s="61"/>
      <c r="Q71" s="54" t="s">
        <v>127</v>
      </c>
      <c r="R71" s="51"/>
      <c r="S71" s="72"/>
      <c r="T71" s="51"/>
      <c r="U71" s="60" t="s">
        <v>137</v>
      </c>
      <c r="V71" s="51"/>
      <c r="W71" s="51"/>
      <c r="X71" s="52"/>
      <c r="Y71" s="51"/>
      <c r="Z71" s="51"/>
      <c r="AA71" s="51"/>
    </row>
    <row r="72" spans="1:27" ht="12.95" customHeight="1">
      <c r="A72" s="43">
        <v>42</v>
      </c>
      <c r="B72" s="77" t="s">
        <v>16</v>
      </c>
      <c r="C72" s="77" t="s">
        <v>12</v>
      </c>
      <c r="D72" s="43" t="s">
        <v>19</v>
      </c>
      <c r="E72" s="44" t="s">
        <v>65</v>
      </c>
      <c r="F72" s="79" t="s">
        <v>27</v>
      </c>
      <c r="G72" s="80">
        <v>316467</v>
      </c>
      <c r="H72" s="55" t="s">
        <v>41</v>
      </c>
      <c r="I72" s="56" t="s">
        <v>18</v>
      </c>
      <c r="J72" s="44" t="s">
        <v>9</v>
      </c>
      <c r="K72" s="43" t="s">
        <v>123</v>
      </c>
      <c r="L72" s="75" t="s">
        <v>140</v>
      </c>
      <c r="M72" s="57" t="s">
        <v>140</v>
      </c>
      <c r="N72" s="54" t="s">
        <v>127</v>
      </c>
      <c r="O72" s="58"/>
      <c r="P72" s="61"/>
      <c r="Q72" s="54" t="s">
        <v>127</v>
      </c>
      <c r="R72" s="51"/>
      <c r="S72" s="72"/>
      <c r="T72" s="51"/>
      <c r="U72" s="60" t="s">
        <v>137</v>
      </c>
      <c r="V72" s="51"/>
      <c r="W72" s="51"/>
      <c r="X72" s="52"/>
      <c r="Y72" s="51"/>
      <c r="Z72" s="51"/>
      <c r="AA72" s="51"/>
    </row>
    <row r="73" spans="1:27" ht="12.95" customHeight="1">
      <c r="A73" s="43">
        <v>75</v>
      </c>
      <c r="B73" s="77" t="s">
        <v>16</v>
      </c>
      <c r="C73" s="77" t="s">
        <v>12</v>
      </c>
      <c r="D73" s="43" t="s">
        <v>19</v>
      </c>
      <c r="E73" s="44" t="s">
        <v>65</v>
      </c>
      <c r="F73" s="79" t="s">
        <v>27</v>
      </c>
      <c r="G73" s="80">
        <v>425595</v>
      </c>
      <c r="H73" s="55" t="s">
        <v>41</v>
      </c>
      <c r="I73" s="56" t="s">
        <v>18</v>
      </c>
      <c r="J73" s="44" t="s">
        <v>9</v>
      </c>
      <c r="K73" s="43" t="s">
        <v>123</v>
      </c>
      <c r="L73" s="75" t="s">
        <v>140</v>
      </c>
      <c r="M73" s="57" t="s">
        <v>140</v>
      </c>
      <c r="N73" s="54" t="s">
        <v>127</v>
      </c>
      <c r="O73" s="58"/>
      <c r="P73" s="61"/>
      <c r="Q73" s="54" t="s">
        <v>127</v>
      </c>
      <c r="R73" s="51"/>
      <c r="S73" s="72"/>
      <c r="T73" s="51"/>
      <c r="U73" s="60" t="s">
        <v>137</v>
      </c>
      <c r="V73" s="51"/>
      <c r="W73" s="51"/>
      <c r="X73" s="52"/>
      <c r="Y73" s="51"/>
      <c r="Z73" s="51"/>
      <c r="AA73" s="51"/>
    </row>
    <row r="74" spans="1:27" ht="12.95" customHeight="1">
      <c r="A74" s="43">
        <v>96</v>
      </c>
      <c r="B74" s="77" t="s">
        <v>16</v>
      </c>
      <c r="C74" s="77" t="s">
        <v>12</v>
      </c>
      <c r="D74" s="43" t="s">
        <v>19</v>
      </c>
      <c r="E74" s="44" t="s">
        <v>65</v>
      </c>
      <c r="F74" s="79" t="s">
        <v>19</v>
      </c>
      <c r="G74" s="80">
        <v>392934</v>
      </c>
      <c r="H74" s="55" t="s">
        <v>41</v>
      </c>
      <c r="I74" s="56" t="s">
        <v>18</v>
      </c>
      <c r="J74" s="44" t="s">
        <v>9</v>
      </c>
      <c r="K74" s="43" t="s">
        <v>123</v>
      </c>
      <c r="L74" s="75" t="s">
        <v>140</v>
      </c>
      <c r="M74" s="57" t="s">
        <v>140</v>
      </c>
      <c r="N74" s="54" t="s">
        <v>127</v>
      </c>
      <c r="O74" s="58"/>
      <c r="P74" s="61"/>
      <c r="Q74" s="54" t="s">
        <v>127</v>
      </c>
      <c r="R74" s="51"/>
      <c r="S74" s="72"/>
      <c r="T74" s="51"/>
      <c r="U74" s="60" t="s">
        <v>137</v>
      </c>
      <c r="V74" s="51"/>
      <c r="W74" s="51"/>
      <c r="X74" s="52"/>
      <c r="Y74" s="51"/>
      <c r="Z74" s="51"/>
      <c r="AA74" s="51"/>
    </row>
    <row r="75" spans="1:27" ht="12.95" customHeight="1">
      <c r="A75" s="43">
        <v>55</v>
      </c>
      <c r="B75" s="77" t="s">
        <v>16</v>
      </c>
      <c r="C75" s="77" t="s">
        <v>12</v>
      </c>
      <c r="D75" s="43" t="s">
        <v>19</v>
      </c>
      <c r="E75" s="44" t="s">
        <v>65</v>
      </c>
      <c r="F75" s="79" t="s">
        <v>19</v>
      </c>
      <c r="G75" s="80">
        <v>396574</v>
      </c>
      <c r="H75" s="55" t="s">
        <v>41</v>
      </c>
      <c r="I75" s="56" t="s">
        <v>18</v>
      </c>
      <c r="J75" s="44" t="s">
        <v>9</v>
      </c>
      <c r="K75" s="43" t="s">
        <v>123</v>
      </c>
      <c r="L75" s="55" t="s">
        <v>137</v>
      </c>
      <c r="M75" s="57" t="s">
        <v>131</v>
      </c>
      <c r="N75" s="54" t="s">
        <v>127</v>
      </c>
      <c r="O75" s="58"/>
      <c r="P75" s="61"/>
      <c r="Q75" s="54" t="s">
        <v>127</v>
      </c>
      <c r="R75" s="51"/>
      <c r="S75" s="72"/>
      <c r="T75" s="51"/>
      <c r="U75" s="60" t="s">
        <v>137</v>
      </c>
      <c r="V75" s="51"/>
      <c r="W75" s="51"/>
      <c r="X75" s="52"/>
      <c r="Y75" s="51"/>
      <c r="Z75" s="51"/>
      <c r="AA75" s="51"/>
    </row>
    <row r="76" spans="1:27" ht="12.95" customHeight="1">
      <c r="A76" s="43">
        <v>107</v>
      </c>
      <c r="B76" s="77" t="s">
        <v>16</v>
      </c>
      <c r="C76" s="77" t="s">
        <v>12</v>
      </c>
      <c r="D76" s="43" t="s">
        <v>19</v>
      </c>
      <c r="E76" s="44" t="s">
        <v>65</v>
      </c>
      <c r="F76" s="79" t="s">
        <v>9</v>
      </c>
      <c r="G76" s="80">
        <v>356556</v>
      </c>
      <c r="H76" s="55" t="s">
        <v>41</v>
      </c>
      <c r="I76" s="56" t="s">
        <v>18</v>
      </c>
      <c r="J76" s="44" t="s">
        <v>9</v>
      </c>
      <c r="K76" s="43" t="s">
        <v>123</v>
      </c>
      <c r="L76" s="55" t="s">
        <v>137</v>
      </c>
      <c r="M76" s="57" t="s">
        <v>131</v>
      </c>
      <c r="N76" s="54" t="s">
        <v>127</v>
      </c>
      <c r="O76" s="58"/>
      <c r="P76" s="61"/>
      <c r="Q76" s="54" t="s">
        <v>127</v>
      </c>
      <c r="R76" s="51"/>
      <c r="S76" s="72"/>
      <c r="T76" s="51"/>
      <c r="U76" s="60" t="s">
        <v>137</v>
      </c>
      <c r="V76" s="51"/>
      <c r="W76" s="51"/>
      <c r="X76" s="52"/>
      <c r="Y76" s="51"/>
      <c r="Z76" s="51"/>
      <c r="AA76" s="51"/>
    </row>
    <row r="77" spans="1:27" ht="12.95" customHeight="1">
      <c r="A77" s="43">
        <v>86</v>
      </c>
      <c r="B77" s="77" t="s">
        <v>16</v>
      </c>
      <c r="C77" s="77" t="s">
        <v>12</v>
      </c>
      <c r="D77" s="43" t="s">
        <v>19</v>
      </c>
      <c r="E77" s="44" t="s">
        <v>65</v>
      </c>
      <c r="F77" s="79" t="s">
        <v>9</v>
      </c>
      <c r="G77" s="80">
        <v>316442</v>
      </c>
      <c r="H77" s="55" t="s">
        <v>41</v>
      </c>
      <c r="I77" s="56" t="s">
        <v>18</v>
      </c>
      <c r="J77" s="44" t="s">
        <v>9</v>
      </c>
      <c r="K77" s="43" t="s">
        <v>123</v>
      </c>
      <c r="L77" s="55" t="s">
        <v>137</v>
      </c>
      <c r="M77" s="57" t="s">
        <v>131</v>
      </c>
      <c r="N77" s="54" t="s">
        <v>127</v>
      </c>
      <c r="O77" s="58"/>
      <c r="P77" s="61"/>
      <c r="Q77" s="54" t="s">
        <v>127</v>
      </c>
      <c r="R77" s="51"/>
      <c r="S77" s="72"/>
      <c r="T77" s="51"/>
      <c r="U77" s="60" t="s">
        <v>137</v>
      </c>
      <c r="V77" s="51"/>
      <c r="W77" s="51"/>
      <c r="X77" s="52"/>
      <c r="Y77" s="51"/>
      <c r="Z77" s="51"/>
      <c r="AA77" s="51"/>
    </row>
    <row r="78" spans="1:27" ht="12.95" customHeight="1">
      <c r="A78" s="43">
        <v>59</v>
      </c>
      <c r="B78" s="77" t="s">
        <v>16</v>
      </c>
      <c r="C78" s="77" t="s">
        <v>12</v>
      </c>
      <c r="D78" s="43" t="s">
        <v>19</v>
      </c>
      <c r="E78" s="44" t="s">
        <v>65</v>
      </c>
      <c r="F78" s="79" t="s">
        <v>9</v>
      </c>
      <c r="G78" s="80">
        <v>476482</v>
      </c>
      <c r="H78" s="55" t="s">
        <v>41</v>
      </c>
      <c r="I78" s="56" t="s">
        <v>18</v>
      </c>
      <c r="J78" s="44" t="s">
        <v>9</v>
      </c>
      <c r="K78" s="43" t="s">
        <v>123</v>
      </c>
      <c r="L78" s="55" t="s">
        <v>137</v>
      </c>
      <c r="M78" s="57" t="s">
        <v>131</v>
      </c>
      <c r="N78" s="54" t="s">
        <v>127</v>
      </c>
      <c r="O78" s="58"/>
      <c r="P78" s="61"/>
      <c r="Q78" s="54" t="s">
        <v>127</v>
      </c>
      <c r="R78" s="51"/>
      <c r="S78" s="72"/>
      <c r="T78" s="51"/>
      <c r="U78" s="60" t="s">
        <v>137</v>
      </c>
      <c r="V78" s="51"/>
      <c r="W78" s="51"/>
      <c r="X78" s="52"/>
      <c r="Y78" s="51"/>
      <c r="Z78" s="51"/>
      <c r="AA78" s="51"/>
    </row>
    <row r="79" spans="1:27" ht="12.95" customHeight="1">
      <c r="A79" s="43">
        <v>76</v>
      </c>
      <c r="B79" s="77" t="s">
        <v>16</v>
      </c>
      <c r="C79" s="77" t="s">
        <v>12</v>
      </c>
      <c r="D79" s="43" t="s">
        <v>19</v>
      </c>
      <c r="E79" s="44" t="s">
        <v>65</v>
      </c>
      <c r="F79" s="79" t="s">
        <v>9</v>
      </c>
      <c r="G79" s="80">
        <v>389189</v>
      </c>
      <c r="H79" s="55" t="s">
        <v>41</v>
      </c>
      <c r="I79" s="56" t="s">
        <v>18</v>
      </c>
      <c r="J79" s="44" t="s">
        <v>4</v>
      </c>
      <c r="K79" s="43" t="s">
        <v>123</v>
      </c>
      <c r="L79" s="55" t="s">
        <v>137</v>
      </c>
      <c r="M79" s="57" t="s">
        <v>126</v>
      </c>
      <c r="N79" s="54" t="s">
        <v>127</v>
      </c>
      <c r="O79" s="58"/>
      <c r="P79" s="61"/>
      <c r="Q79" s="54" t="s">
        <v>127</v>
      </c>
      <c r="R79" s="51"/>
      <c r="S79" s="72"/>
      <c r="T79" s="51"/>
      <c r="U79" s="60" t="s">
        <v>137</v>
      </c>
      <c r="V79" s="51"/>
      <c r="W79" s="51"/>
      <c r="X79" s="52"/>
      <c r="Y79" s="51"/>
      <c r="Z79" s="51"/>
      <c r="AA79" s="51"/>
    </row>
    <row r="80" spans="1:27" ht="12.95" customHeight="1">
      <c r="A80" s="43">
        <v>69</v>
      </c>
      <c r="B80" s="77" t="s">
        <v>16</v>
      </c>
      <c r="C80" s="77" t="s">
        <v>12</v>
      </c>
      <c r="D80" s="43" t="s">
        <v>19</v>
      </c>
      <c r="E80" s="44" t="s">
        <v>65</v>
      </c>
      <c r="F80" s="79" t="s">
        <v>9</v>
      </c>
      <c r="G80" s="80">
        <v>523770</v>
      </c>
      <c r="H80" s="55" t="s">
        <v>41</v>
      </c>
      <c r="I80" s="56" t="s">
        <v>18</v>
      </c>
      <c r="J80" s="44" t="s">
        <v>4</v>
      </c>
      <c r="K80" s="43" t="s">
        <v>123</v>
      </c>
      <c r="L80" s="55" t="s">
        <v>137</v>
      </c>
      <c r="M80" s="57" t="s">
        <v>126</v>
      </c>
      <c r="N80" s="54" t="s">
        <v>127</v>
      </c>
      <c r="O80" s="58"/>
      <c r="P80" s="61"/>
      <c r="Q80" s="54" t="s">
        <v>127</v>
      </c>
      <c r="R80" s="51"/>
      <c r="S80" s="72"/>
      <c r="T80" s="51"/>
      <c r="U80" s="60" t="s">
        <v>137</v>
      </c>
      <c r="V80" s="51"/>
      <c r="W80" s="51"/>
      <c r="X80" s="52"/>
      <c r="Y80" s="51"/>
      <c r="Z80" s="51"/>
      <c r="AA80" s="51"/>
    </row>
    <row r="81" spans="1:27" ht="12.95" customHeight="1">
      <c r="A81" s="43">
        <v>77</v>
      </c>
      <c r="B81" s="77" t="s">
        <v>16</v>
      </c>
      <c r="C81" s="77" t="s">
        <v>12</v>
      </c>
      <c r="D81" s="43" t="s">
        <v>19</v>
      </c>
      <c r="E81" s="44" t="s">
        <v>65</v>
      </c>
      <c r="F81" s="79" t="s">
        <v>19</v>
      </c>
      <c r="G81" s="80">
        <v>210963</v>
      </c>
      <c r="H81" s="55" t="s">
        <v>41</v>
      </c>
      <c r="I81" s="56" t="s">
        <v>18</v>
      </c>
      <c r="J81" s="44" t="s">
        <v>4</v>
      </c>
      <c r="K81" s="43" t="s">
        <v>123</v>
      </c>
      <c r="L81" s="55" t="s">
        <v>137</v>
      </c>
      <c r="M81" s="57" t="s">
        <v>126</v>
      </c>
      <c r="N81" s="54" t="s">
        <v>127</v>
      </c>
      <c r="O81" s="58"/>
      <c r="P81" s="61"/>
      <c r="Q81" s="54" t="s">
        <v>127</v>
      </c>
      <c r="R81" s="51"/>
      <c r="S81" s="72"/>
      <c r="T81" s="51"/>
      <c r="U81" s="60" t="s">
        <v>137</v>
      </c>
      <c r="V81" s="51"/>
      <c r="W81" s="51"/>
      <c r="X81" s="52"/>
      <c r="Y81" s="51"/>
      <c r="Z81" s="51"/>
      <c r="AA81" s="51"/>
    </row>
    <row r="82" spans="1:27" ht="12.95" customHeight="1">
      <c r="A82" s="43">
        <v>81</v>
      </c>
      <c r="B82" s="77" t="s">
        <v>16</v>
      </c>
      <c r="C82" s="77" t="s">
        <v>12</v>
      </c>
      <c r="D82" s="43" t="s">
        <v>19</v>
      </c>
      <c r="E82" s="44" t="s">
        <v>65</v>
      </c>
      <c r="F82" s="79" t="s">
        <v>19</v>
      </c>
      <c r="G82" s="80">
        <v>236425</v>
      </c>
      <c r="H82" s="55" t="s">
        <v>41</v>
      </c>
      <c r="I82" s="56" t="s">
        <v>18</v>
      </c>
      <c r="J82" s="44" t="s">
        <v>4</v>
      </c>
      <c r="K82" s="43" t="s">
        <v>123</v>
      </c>
      <c r="L82" s="55" t="s">
        <v>137</v>
      </c>
      <c r="M82" s="57" t="s">
        <v>126</v>
      </c>
      <c r="N82" s="54" t="s">
        <v>127</v>
      </c>
      <c r="O82" s="58"/>
      <c r="P82" s="61"/>
      <c r="Q82" s="54" t="s">
        <v>127</v>
      </c>
      <c r="R82" s="51"/>
      <c r="S82" s="72"/>
      <c r="T82" s="51"/>
      <c r="U82" s="60" t="s">
        <v>137</v>
      </c>
      <c r="V82" s="51"/>
      <c r="W82" s="51"/>
      <c r="X82" s="52"/>
      <c r="Y82" s="51"/>
      <c r="Z82" s="51"/>
      <c r="AA82" s="51"/>
    </row>
    <row r="83" spans="1:27" ht="12.95" customHeight="1">
      <c r="A83" s="43">
        <v>75</v>
      </c>
      <c r="B83" s="77" t="s">
        <v>16</v>
      </c>
      <c r="C83" s="77" t="s">
        <v>12</v>
      </c>
      <c r="D83" s="43" t="s">
        <v>19</v>
      </c>
      <c r="E83" s="44" t="s">
        <v>65</v>
      </c>
      <c r="F83" s="79" t="s">
        <v>19</v>
      </c>
      <c r="G83" s="80">
        <v>341909</v>
      </c>
      <c r="H83" s="55" t="s">
        <v>41</v>
      </c>
      <c r="I83" s="56" t="s">
        <v>18</v>
      </c>
      <c r="J83" s="44" t="s">
        <v>7</v>
      </c>
      <c r="K83" s="43" t="s">
        <v>123</v>
      </c>
      <c r="L83" s="55" t="s">
        <v>137</v>
      </c>
      <c r="M83" s="57" t="s">
        <v>137</v>
      </c>
      <c r="N83" s="54" t="s">
        <v>127</v>
      </c>
      <c r="O83" s="58"/>
      <c r="P83" s="61"/>
      <c r="Q83" s="54" t="s">
        <v>127</v>
      </c>
      <c r="R83" s="51"/>
      <c r="S83" s="72"/>
      <c r="T83" s="51"/>
      <c r="U83" s="60" t="s">
        <v>137</v>
      </c>
      <c r="V83" s="51"/>
      <c r="W83" s="51"/>
      <c r="X83" s="52"/>
      <c r="Y83" s="51"/>
      <c r="Z83" s="51"/>
      <c r="AA83" s="51"/>
    </row>
    <row r="84" spans="1:27" ht="12.95" customHeight="1">
      <c r="A84" s="43">
        <v>115</v>
      </c>
      <c r="B84" s="77" t="s">
        <v>16</v>
      </c>
      <c r="C84" s="77" t="s">
        <v>12</v>
      </c>
      <c r="D84" s="43" t="s">
        <v>19</v>
      </c>
      <c r="E84" s="44" t="s">
        <v>65</v>
      </c>
      <c r="F84" s="79" t="s">
        <v>9</v>
      </c>
      <c r="G84" s="80">
        <v>367472</v>
      </c>
      <c r="H84" s="55" t="s">
        <v>41</v>
      </c>
      <c r="I84" s="56" t="s">
        <v>18</v>
      </c>
      <c r="J84" s="44" t="s">
        <v>7</v>
      </c>
      <c r="K84" s="43" t="s">
        <v>123</v>
      </c>
      <c r="L84" s="55" t="s">
        <v>137</v>
      </c>
      <c r="M84" s="57" t="s">
        <v>137</v>
      </c>
      <c r="N84" s="54" t="s">
        <v>127</v>
      </c>
      <c r="O84" s="58"/>
      <c r="P84" s="61"/>
      <c r="Q84" s="54" t="s">
        <v>127</v>
      </c>
      <c r="R84" s="51"/>
      <c r="S84" s="72"/>
      <c r="T84" s="51"/>
      <c r="U84" s="60" t="s">
        <v>137</v>
      </c>
      <c r="V84" s="51"/>
      <c r="W84" s="51"/>
      <c r="X84" s="52"/>
      <c r="Y84" s="51"/>
      <c r="Z84" s="51"/>
      <c r="AA84" s="51"/>
    </row>
    <row r="85" spans="1:27" ht="12.95" customHeight="1">
      <c r="A85" s="43">
        <v>68</v>
      </c>
      <c r="B85" s="77" t="s">
        <v>16</v>
      </c>
      <c r="C85" s="77" t="s">
        <v>12</v>
      </c>
      <c r="D85" s="43" t="s">
        <v>19</v>
      </c>
      <c r="E85" s="44" t="s">
        <v>65</v>
      </c>
      <c r="F85" s="79" t="s">
        <v>9</v>
      </c>
      <c r="G85" s="80">
        <v>218301</v>
      </c>
      <c r="H85" s="55" t="s">
        <v>41</v>
      </c>
      <c r="I85" s="56" t="s">
        <v>18</v>
      </c>
      <c r="J85" s="44" t="s">
        <v>7</v>
      </c>
      <c r="K85" s="43" t="s">
        <v>123</v>
      </c>
      <c r="L85" s="55" t="s">
        <v>137</v>
      </c>
      <c r="M85" s="57" t="s">
        <v>137</v>
      </c>
      <c r="N85" s="54" t="s">
        <v>127</v>
      </c>
      <c r="O85" s="58"/>
      <c r="P85" s="61"/>
      <c r="Q85" s="54" t="s">
        <v>127</v>
      </c>
      <c r="R85" s="51"/>
      <c r="S85" s="72"/>
      <c r="T85" s="51"/>
      <c r="U85" s="60" t="s">
        <v>137</v>
      </c>
      <c r="V85" s="51"/>
      <c r="W85" s="51"/>
      <c r="X85" s="52"/>
      <c r="Y85" s="51"/>
      <c r="Z85" s="51"/>
      <c r="AA85" s="51"/>
    </row>
    <row r="86" spans="1:27" ht="12.95" customHeight="1">
      <c r="A86" s="43">
        <v>67</v>
      </c>
      <c r="B86" s="77" t="s">
        <v>16</v>
      </c>
      <c r="C86" s="77" t="s">
        <v>12</v>
      </c>
      <c r="D86" s="43" t="s">
        <v>19</v>
      </c>
      <c r="E86" s="44" t="s">
        <v>65</v>
      </c>
      <c r="F86" s="79" t="s">
        <v>9</v>
      </c>
      <c r="G86" s="80">
        <v>432965</v>
      </c>
      <c r="H86" s="55" t="s">
        <v>41</v>
      </c>
      <c r="I86" s="56" t="s">
        <v>18</v>
      </c>
      <c r="J86" s="44" t="s">
        <v>4</v>
      </c>
      <c r="K86" s="43" t="s">
        <v>123</v>
      </c>
      <c r="L86" s="55" t="s">
        <v>123</v>
      </c>
      <c r="M86" s="57" t="s">
        <v>134</v>
      </c>
      <c r="N86" s="54" t="s">
        <v>127</v>
      </c>
      <c r="O86" s="58"/>
      <c r="P86" s="61"/>
      <c r="Q86" s="54" t="s">
        <v>127</v>
      </c>
      <c r="R86" s="51"/>
      <c r="S86" s="72"/>
      <c r="T86" s="51"/>
      <c r="U86" s="60" t="s">
        <v>137</v>
      </c>
      <c r="V86" s="51"/>
      <c r="W86" s="51"/>
      <c r="X86" s="52"/>
      <c r="Y86" s="51"/>
      <c r="Z86" s="51"/>
      <c r="AA86" s="51"/>
    </row>
    <row r="87" spans="1:27" ht="12.95" customHeight="1">
      <c r="A87" s="43">
        <v>66</v>
      </c>
      <c r="B87" s="77" t="s">
        <v>16</v>
      </c>
      <c r="C87" s="77" t="s">
        <v>12</v>
      </c>
      <c r="D87" s="43" t="s">
        <v>19</v>
      </c>
      <c r="E87" s="44" t="s">
        <v>65</v>
      </c>
      <c r="F87" s="79" t="s">
        <v>19</v>
      </c>
      <c r="G87" s="80">
        <v>440125</v>
      </c>
      <c r="H87" s="55" t="s">
        <v>41</v>
      </c>
      <c r="I87" s="56" t="s">
        <v>18</v>
      </c>
      <c r="J87" s="44" t="s">
        <v>4</v>
      </c>
      <c r="K87" s="43" t="s">
        <v>123</v>
      </c>
      <c r="L87" s="55" t="s">
        <v>123</v>
      </c>
      <c r="M87" s="57" t="s">
        <v>134</v>
      </c>
      <c r="N87" s="54" t="s">
        <v>127</v>
      </c>
      <c r="O87" s="58"/>
      <c r="P87" s="61"/>
      <c r="Q87" s="54" t="s">
        <v>127</v>
      </c>
      <c r="R87" s="51"/>
      <c r="S87" s="72"/>
      <c r="T87" s="51"/>
      <c r="U87" s="60" t="s">
        <v>137</v>
      </c>
      <c r="V87" s="51"/>
      <c r="W87" s="51"/>
      <c r="X87" s="52"/>
      <c r="Y87" s="51"/>
      <c r="Z87" s="51"/>
      <c r="AA87" s="51"/>
    </row>
    <row r="88" spans="1:27" ht="12.95" customHeight="1">
      <c r="A88" s="43">
        <v>120</v>
      </c>
      <c r="B88" s="77" t="s">
        <v>16</v>
      </c>
      <c r="C88" s="77" t="s">
        <v>12</v>
      </c>
      <c r="D88" s="43" t="s">
        <v>19</v>
      </c>
      <c r="E88" s="44" t="s">
        <v>65</v>
      </c>
      <c r="F88" s="79" t="s">
        <v>19</v>
      </c>
      <c r="G88" s="80">
        <v>381928</v>
      </c>
      <c r="H88" s="55" t="s">
        <v>41</v>
      </c>
      <c r="I88" s="56" t="s">
        <v>18</v>
      </c>
      <c r="J88" s="44" t="s">
        <v>4</v>
      </c>
      <c r="K88" s="43" t="s">
        <v>123</v>
      </c>
      <c r="L88" s="55" t="s">
        <v>123</v>
      </c>
      <c r="M88" s="57" t="s">
        <v>134</v>
      </c>
      <c r="N88" s="54" t="s">
        <v>127</v>
      </c>
      <c r="O88" s="58"/>
      <c r="P88" s="61"/>
      <c r="Q88" s="54" t="s">
        <v>127</v>
      </c>
      <c r="R88" s="51"/>
      <c r="S88" s="72"/>
      <c r="T88" s="51"/>
      <c r="U88" s="60" t="s">
        <v>137</v>
      </c>
      <c r="V88" s="51"/>
      <c r="W88" s="51"/>
      <c r="X88" s="52"/>
      <c r="Y88" s="51"/>
      <c r="Z88" s="51"/>
      <c r="AA88" s="51"/>
    </row>
    <row r="89" spans="1:27" ht="12.95" customHeight="1">
      <c r="A89" s="43">
        <v>114</v>
      </c>
      <c r="B89" s="77" t="s">
        <v>16</v>
      </c>
      <c r="C89" s="77" t="s">
        <v>12</v>
      </c>
      <c r="D89" s="43" t="s">
        <v>19</v>
      </c>
      <c r="E89" s="44" t="s">
        <v>65</v>
      </c>
      <c r="F89" s="79" t="s">
        <v>19</v>
      </c>
      <c r="G89" s="80">
        <v>229157</v>
      </c>
      <c r="H89" s="55" t="s">
        <v>41</v>
      </c>
      <c r="I89" s="56" t="s">
        <v>18</v>
      </c>
      <c r="J89" s="44" t="s">
        <v>4</v>
      </c>
      <c r="K89" s="43" t="s">
        <v>123</v>
      </c>
      <c r="L89" s="55" t="s">
        <v>123</v>
      </c>
      <c r="M89" s="57" t="s">
        <v>134</v>
      </c>
      <c r="N89" s="54" t="s">
        <v>127</v>
      </c>
      <c r="O89" s="58"/>
      <c r="P89" s="61"/>
      <c r="Q89" s="54" t="s">
        <v>127</v>
      </c>
      <c r="R89" s="51"/>
      <c r="S89" s="72"/>
      <c r="T89" s="51"/>
      <c r="U89" s="60" t="s">
        <v>137</v>
      </c>
      <c r="V89" s="51"/>
      <c r="W89" s="51"/>
      <c r="X89" s="52"/>
      <c r="Y89" s="51"/>
      <c r="Z89" s="51"/>
      <c r="AA89" s="51"/>
    </row>
    <row r="90" spans="1:27" ht="12.95" customHeight="1">
      <c r="A90" s="43">
        <v>122</v>
      </c>
      <c r="B90" s="77" t="s">
        <v>16</v>
      </c>
      <c r="C90" s="77" t="s">
        <v>12</v>
      </c>
      <c r="D90" s="43" t="s">
        <v>19</v>
      </c>
      <c r="E90" s="44" t="s">
        <v>65</v>
      </c>
      <c r="F90" s="79" t="s">
        <v>8</v>
      </c>
      <c r="G90" s="80">
        <v>320100</v>
      </c>
      <c r="H90" s="55" t="s">
        <v>41</v>
      </c>
      <c r="I90" s="56" t="s">
        <v>18</v>
      </c>
      <c r="J90" s="52" t="s">
        <v>3</v>
      </c>
      <c r="K90" s="43" t="s">
        <v>123</v>
      </c>
      <c r="L90" s="55" t="s">
        <v>123</v>
      </c>
      <c r="M90" s="57" t="s">
        <v>136</v>
      </c>
      <c r="N90" s="54" t="s">
        <v>127</v>
      </c>
      <c r="O90" s="58"/>
      <c r="P90" s="61"/>
      <c r="Q90" s="54" t="s">
        <v>127</v>
      </c>
      <c r="R90" s="51"/>
      <c r="S90" s="72"/>
      <c r="T90" s="51"/>
      <c r="U90" s="60" t="s">
        <v>137</v>
      </c>
      <c r="V90" s="51"/>
      <c r="W90" s="51"/>
      <c r="X90" s="52"/>
      <c r="Y90" s="51"/>
      <c r="Z90" s="51"/>
      <c r="AA90" s="51"/>
    </row>
    <row r="91" spans="1:27" ht="12.95" customHeight="1">
      <c r="A91" s="43">
        <v>53</v>
      </c>
      <c r="B91" s="77" t="s">
        <v>16</v>
      </c>
      <c r="C91" s="77" t="s">
        <v>12</v>
      </c>
      <c r="D91" s="43" t="s">
        <v>19</v>
      </c>
      <c r="E91" s="44" t="s">
        <v>65</v>
      </c>
      <c r="F91" s="79" t="s">
        <v>8</v>
      </c>
      <c r="G91" s="80">
        <v>454699</v>
      </c>
      <c r="H91" s="55" t="s">
        <v>41</v>
      </c>
      <c r="I91" s="56" t="s">
        <v>18</v>
      </c>
      <c r="J91" s="52" t="s">
        <v>3</v>
      </c>
      <c r="K91" s="43" t="s">
        <v>123</v>
      </c>
      <c r="L91" s="55" t="s">
        <v>123</v>
      </c>
      <c r="M91" s="57" t="s">
        <v>136</v>
      </c>
      <c r="N91" s="54" t="s">
        <v>127</v>
      </c>
      <c r="O91" s="58"/>
      <c r="P91" s="61"/>
      <c r="Q91" s="54" t="s">
        <v>127</v>
      </c>
      <c r="R91" s="51"/>
      <c r="S91" s="72"/>
      <c r="T91" s="51"/>
      <c r="U91" s="60" t="s">
        <v>137</v>
      </c>
      <c r="V91" s="51"/>
      <c r="W91" s="51"/>
      <c r="X91" s="52"/>
      <c r="Y91" s="51"/>
      <c r="Z91" s="51"/>
      <c r="AA91" s="51"/>
    </row>
    <row r="92" spans="1:27" ht="12.95" customHeight="1">
      <c r="A92" s="43">
        <v>116</v>
      </c>
      <c r="B92" s="77" t="s">
        <v>16</v>
      </c>
      <c r="C92" s="77" t="s">
        <v>12</v>
      </c>
      <c r="D92" s="43" t="s">
        <v>19</v>
      </c>
      <c r="E92" s="44" t="s">
        <v>65</v>
      </c>
      <c r="F92" s="79" t="s">
        <v>8</v>
      </c>
      <c r="G92" s="80">
        <v>520177</v>
      </c>
      <c r="H92" s="55" t="s">
        <v>41</v>
      </c>
      <c r="I92" s="56" t="s">
        <v>18</v>
      </c>
      <c r="J92" s="52" t="s">
        <v>3</v>
      </c>
      <c r="K92" s="43" t="s">
        <v>123</v>
      </c>
      <c r="L92" s="55" t="s">
        <v>123</v>
      </c>
      <c r="M92" s="57" t="s">
        <v>136</v>
      </c>
      <c r="N92" s="54" t="s">
        <v>127</v>
      </c>
      <c r="O92" s="58"/>
      <c r="P92" s="61"/>
      <c r="Q92" s="54" t="s">
        <v>127</v>
      </c>
      <c r="R92" s="51"/>
      <c r="S92" s="72"/>
      <c r="T92" s="51"/>
      <c r="U92" s="60" t="s">
        <v>137</v>
      </c>
      <c r="V92" s="51"/>
      <c r="W92" s="51"/>
      <c r="X92" s="52"/>
      <c r="Y92" s="51"/>
      <c r="Z92" s="51"/>
      <c r="AA92" s="51"/>
    </row>
    <row r="93" spans="1:27" ht="12.95" customHeight="1">
      <c r="A93" s="43">
        <v>106</v>
      </c>
      <c r="B93" s="77" t="s">
        <v>16</v>
      </c>
      <c r="C93" s="77" t="s">
        <v>12</v>
      </c>
      <c r="D93" s="43" t="s">
        <v>19</v>
      </c>
      <c r="E93" s="44" t="s">
        <v>65</v>
      </c>
      <c r="F93" s="79" t="s">
        <v>8</v>
      </c>
      <c r="G93" s="80">
        <v>243720</v>
      </c>
      <c r="H93" s="55" t="s">
        <v>41</v>
      </c>
      <c r="I93" s="56" t="s">
        <v>18</v>
      </c>
      <c r="J93" s="52" t="s">
        <v>3</v>
      </c>
      <c r="K93" s="43" t="s">
        <v>123</v>
      </c>
      <c r="L93" s="55" t="s">
        <v>123</v>
      </c>
      <c r="M93" s="57" t="s">
        <v>136</v>
      </c>
      <c r="N93" s="54" t="s">
        <v>127</v>
      </c>
      <c r="O93" s="58"/>
      <c r="P93" s="61"/>
      <c r="Q93" s="54" t="s">
        <v>127</v>
      </c>
      <c r="R93" s="51"/>
      <c r="S93" s="72"/>
      <c r="T93" s="51"/>
      <c r="U93" s="60" t="s">
        <v>137</v>
      </c>
      <c r="V93" s="51"/>
      <c r="W93" s="51"/>
      <c r="X93" s="52"/>
      <c r="Y93" s="51"/>
      <c r="Z93" s="51"/>
      <c r="AA93" s="51"/>
    </row>
    <row r="94" spans="1:27" ht="12.95" customHeight="1">
      <c r="A94" s="43">
        <v>64</v>
      </c>
      <c r="B94" s="77" t="s">
        <v>16</v>
      </c>
      <c r="C94" s="77" t="s">
        <v>12</v>
      </c>
      <c r="D94" s="43" t="s">
        <v>19</v>
      </c>
      <c r="E94" s="44" t="s">
        <v>65</v>
      </c>
      <c r="F94" s="79" t="s">
        <v>8</v>
      </c>
      <c r="G94" s="80">
        <v>309198</v>
      </c>
      <c r="H94" s="55" t="s">
        <v>41</v>
      </c>
      <c r="I94" s="56" t="s">
        <v>18</v>
      </c>
      <c r="J94" s="44" t="s">
        <v>7</v>
      </c>
      <c r="K94" s="43" t="s">
        <v>123</v>
      </c>
      <c r="L94" s="55" t="s">
        <v>123</v>
      </c>
      <c r="M94" s="57" t="s">
        <v>137</v>
      </c>
      <c r="N94" s="54" t="s">
        <v>127</v>
      </c>
      <c r="O94" s="58"/>
      <c r="P94" s="61"/>
      <c r="Q94" s="54" t="s">
        <v>127</v>
      </c>
      <c r="R94" s="51"/>
      <c r="S94" s="72"/>
      <c r="T94" s="51"/>
      <c r="U94" s="60" t="s">
        <v>137</v>
      </c>
      <c r="V94" s="51"/>
      <c r="W94" s="51"/>
      <c r="X94" s="52"/>
      <c r="Y94" s="51"/>
      <c r="Z94" s="51"/>
      <c r="AA94" s="51"/>
    </row>
    <row r="95" spans="1:27" ht="12.95" customHeight="1">
      <c r="A95" s="43">
        <v>55</v>
      </c>
      <c r="B95" s="77" t="s">
        <v>16</v>
      </c>
      <c r="C95" s="77" t="s">
        <v>12</v>
      </c>
      <c r="D95" s="43" t="s">
        <v>19</v>
      </c>
      <c r="E95" s="44" t="s">
        <v>65</v>
      </c>
      <c r="F95" s="79" t="s">
        <v>27</v>
      </c>
      <c r="G95" s="80">
        <v>363763</v>
      </c>
      <c r="H95" s="55" t="s">
        <v>41</v>
      </c>
      <c r="I95" s="56" t="s">
        <v>18</v>
      </c>
      <c r="J95" s="44" t="s">
        <v>4</v>
      </c>
      <c r="K95" s="43" t="s">
        <v>123</v>
      </c>
      <c r="L95" s="55" t="s">
        <v>126</v>
      </c>
      <c r="M95" s="57" t="s">
        <v>123</v>
      </c>
      <c r="N95" s="54" t="s">
        <v>127</v>
      </c>
      <c r="O95" s="58"/>
      <c r="P95" s="61"/>
      <c r="Q95" s="54" t="s">
        <v>127</v>
      </c>
      <c r="R95" s="51"/>
      <c r="S95" s="72"/>
      <c r="T95" s="51"/>
      <c r="U95" s="60" t="s">
        <v>137</v>
      </c>
      <c r="V95" s="51"/>
      <c r="W95" s="51"/>
      <c r="X95" s="52"/>
      <c r="Y95" s="51"/>
      <c r="Z95" s="51"/>
      <c r="AA95" s="51"/>
    </row>
    <row r="96" spans="1:27" ht="12.95" customHeight="1">
      <c r="A96" s="43">
        <v>93</v>
      </c>
      <c r="B96" s="77" t="s">
        <v>16</v>
      </c>
      <c r="C96" s="77" t="s">
        <v>12</v>
      </c>
      <c r="D96" s="43" t="s">
        <v>19</v>
      </c>
      <c r="E96" s="44" t="s">
        <v>65</v>
      </c>
      <c r="F96" s="79" t="s">
        <v>27</v>
      </c>
      <c r="G96" s="80">
        <v>200071</v>
      </c>
      <c r="H96" s="55" t="s">
        <v>41</v>
      </c>
      <c r="I96" s="56" t="s">
        <v>18</v>
      </c>
      <c r="J96" s="44" t="s">
        <v>4</v>
      </c>
      <c r="K96" s="43" t="s">
        <v>123</v>
      </c>
      <c r="L96" s="55" t="s">
        <v>126</v>
      </c>
      <c r="M96" s="57" t="s">
        <v>123</v>
      </c>
      <c r="N96" s="54" t="s">
        <v>127</v>
      </c>
      <c r="O96" s="58"/>
      <c r="P96" s="61"/>
      <c r="Q96" s="54" t="s">
        <v>127</v>
      </c>
      <c r="R96" s="51"/>
      <c r="S96" s="72"/>
      <c r="T96" s="51"/>
      <c r="U96" s="60" t="s">
        <v>137</v>
      </c>
      <c r="V96" s="51"/>
      <c r="W96" s="51"/>
      <c r="X96" s="52"/>
      <c r="Y96" s="51"/>
      <c r="Z96" s="51"/>
      <c r="AA96" s="51"/>
    </row>
    <row r="97" spans="1:27" ht="12.95" customHeight="1">
      <c r="A97" s="43">
        <v>118</v>
      </c>
      <c r="B97" s="77" t="s">
        <v>16</v>
      </c>
      <c r="C97" s="77" t="s">
        <v>12</v>
      </c>
      <c r="D97" s="43" t="s">
        <v>19</v>
      </c>
      <c r="E97" s="44" t="s">
        <v>65</v>
      </c>
      <c r="F97" s="79" t="s">
        <v>27</v>
      </c>
      <c r="G97" s="80">
        <v>341941</v>
      </c>
      <c r="H97" s="55" t="s">
        <v>41</v>
      </c>
      <c r="I97" s="56" t="s">
        <v>18</v>
      </c>
      <c r="J97" s="52" t="s">
        <v>3</v>
      </c>
      <c r="K97" s="43" t="s">
        <v>134</v>
      </c>
      <c r="L97" s="55" t="s">
        <v>134</v>
      </c>
      <c r="M97" s="57" t="s">
        <v>140</v>
      </c>
      <c r="N97" s="54" t="s">
        <v>127</v>
      </c>
      <c r="O97" s="58"/>
      <c r="P97" s="61"/>
      <c r="Q97" s="54" t="s">
        <v>127</v>
      </c>
      <c r="R97" s="51"/>
      <c r="S97" s="72"/>
      <c r="T97" s="51"/>
      <c r="U97" s="60" t="s">
        <v>137</v>
      </c>
      <c r="V97" s="51"/>
      <c r="W97" s="51"/>
      <c r="X97" s="52"/>
      <c r="Y97" s="51"/>
      <c r="Z97" s="51"/>
      <c r="AA97" s="51"/>
    </row>
    <row r="98" spans="1:27" ht="12.95" customHeight="1">
      <c r="A98" s="43">
        <v>82</v>
      </c>
      <c r="B98" s="77" t="s">
        <v>16</v>
      </c>
      <c r="C98" s="77" t="s">
        <v>12</v>
      </c>
      <c r="D98" s="43" t="s">
        <v>19</v>
      </c>
      <c r="E98" s="44" t="s">
        <v>65</v>
      </c>
      <c r="F98" s="79" t="s">
        <v>27</v>
      </c>
      <c r="G98" s="80">
        <v>461985</v>
      </c>
      <c r="H98" s="55" t="s">
        <v>41</v>
      </c>
      <c r="I98" s="56" t="s">
        <v>18</v>
      </c>
      <c r="J98" s="52" t="s">
        <v>3</v>
      </c>
      <c r="K98" s="43" t="s">
        <v>134</v>
      </c>
      <c r="L98" s="55" t="s">
        <v>134</v>
      </c>
      <c r="M98" s="57" t="s">
        <v>140</v>
      </c>
      <c r="N98" s="54" t="s">
        <v>127</v>
      </c>
      <c r="O98" s="58"/>
      <c r="P98" s="61"/>
      <c r="Q98" s="54" t="s">
        <v>127</v>
      </c>
      <c r="R98" s="51"/>
      <c r="S98" s="72"/>
      <c r="T98" s="51"/>
      <c r="U98" s="60" t="s">
        <v>137</v>
      </c>
      <c r="V98" s="51"/>
      <c r="W98" s="51"/>
      <c r="X98" s="52"/>
      <c r="Y98" s="51"/>
      <c r="Z98" s="51"/>
      <c r="AA98" s="51"/>
    </row>
    <row r="99" spans="1:27" ht="12.95" customHeight="1">
      <c r="A99" s="43">
        <v>67</v>
      </c>
      <c r="B99" s="77" t="s">
        <v>16</v>
      </c>
      <c r="C99" s="77" t="s">
        <v>12</v>
      </c>
      <c r="D99" s="43" t="s">
        <v>19</v>
      </c>
      <c r="E99" s="44" t="s">
        <v>65</v>
      </c>
      <c r="F99" s="79" t="s">
        <v>12</v>
      </c>
      <c r="G99" s="80">
        <v>487450</v>
      </c>
      <c r="H99" s="55" t="s">
        <v>41</v>
      </c>
      <c r="I99" s="56" t="s">
        <v>18</v>
      </c>
      <c r="J99" s="52" t="s">
        <v>3</v>
      </c>
      <c r="K99" s="43" t="s">
        <v>134</v>
      </c>
      <c r="L99" s="55" t="s">
        <v>134</v>
      </c>
      <c r="M99" s="57" t="s">
        <v>140</v>
      </c>
      <c r="N99" s="54" t="s">
        <v>127</v>
      </c>
      <c r="O99" s="58"/>
      <c r="P99" s="61"/>
      <c r="Q99" s="54" t="s">
        <v>127</v>
      </c>
      <c r="R99" s="51"/>
      <c r="S99" s="72"/>
      <c r="T99" s="51"/>
      <c r="U99" s="60" t="s">
        <v>137</v>
      </c>
      <c r="V99" s="51"/>
      <c r="W99" s="51"/>
      <c r="X99" s="52"/>
      <c r="Y99" s="51"/>
      <c r="Z99" s="51"/>
      <c r="AA99" s="51"/>
    </row>
    <row r="100" spans="1:27" ht="12.95" customHeight="1">
      <c r="A100" s="43">
        <v>97</v>
      </c>
      <c r="B100" s="77" t="s">
        <v>16</v>
      </c>
      <c r="C100" s="77" t="s">
        <v>12</v>
      </c>
      <c r="D100" s="43" t="s">
        <v>19</v>
      </c>
      <c r="E100" s="44" t="s">
        <v>65</v>
      </c>
      <c r="F100" s="79" t="s">
        <v>12</v>
      </c>
      <c r="G100" s="80">
        <v>367408</v>
      </c>
      <c r="H100" s="55" t="s">
        <v>41</v>
      </c>
      <c r="I100" s="56" t="s">
        <v>18</v>
      </c>
      <c r="J100" s="73" t="s">
        <v>18</v>
      </c>
      <c r="K100" s="43" t="s">
        <v>134</v>
      </c>
      <c r="L100" s="55" t="s">
        <v>134</v>
      </c>
      <c r="M100" s="57" t="s">
        <v>135</v>
      </c>
      <c r="N100" s="54" t="s">
        <v>127</v>
      </c>
      <c r="O100" s="58"/>
      <c r="P100" s="61"/>
      <c r="Q100" s="54" t="s">
        <v>127</v>
      </c>
      <c r="R100" s="51"/>
      <c r="S100" s="72"/>
      <c r="T100" s="51"/>
      <c r="U100" s="60" t="s">
        <v>137</v>
      </c>
      <c r="V100" s="51"/>
      <c r="W100" s="51"/>
      <c r="X100" s="52"/>
      <c r="Y100" s="51"/>
      <c r="Z100" s="51"/>
      <c r="AA100" s="51"/>
    </row>
    <row r="101" spans="1:27" ht="12.95" customHeight="1">
      <c r="A101" s="43">
        <v>93</v>
      </c>
      <c r="B101" s="77" t="s">
        <v>16</v>
      </c>
      <c r="C101" s="77" t="s">
        <v>12</v>
      </c>
      <c r="D101" s="43" t="s">
        <v>19</v>
      </c>
      <c r="E101" s="44" t="s">
        <v>65</v>
      </c>
      <c r="F101" s="79" t="s">
        <v>8</v>
      </c>
      <c r="G101" s="80">
        <v>396510</v>
      </c>
      <c r="H101" s="55" t="s">
        <v>41</v>
      </c>
      <c r="I101" s="56" t="s">
        <v>18</v>
      </c>
      <c r="J101" s="73" t="s">
        <v>18</v>
      </c>
      <c r="K101" s="43" t="s">
        <v>134</v>
      </c>
      <c r="L101" s="55" t="s">
        <v>134</v>
      </c>
      <c r="M101" s="57" t="s">
        <v>135</v>
      </c>
      <c r="N101" s="54" t="s">
        <v>127</v>
      </c>
      <c r="O101" s="58"/>
      <c r="P101" s="61"/>
      <c r="Q101" s="54" t="s">
        <v>127</v>
      </c>
      <c r="R101" s="51"/>
      <c r="S101" s="72"/>
      <c r="T101" s="51"/>
      <c r="U101" s="60" t="s">
        <v>137</v>
      </c>
      <c r="V101" s="51"/>
      <c r="W101" s="51"/>
      <c r="X101" s="52"/>
      <c r="Y101" s="51"/>
      <c r="Z101" s="51"/>
      <c r="AA101" s="51"/>
    </row>
    <row r="102" spans="1:27" ht="12.95" customHeight="1">
      <c r="A102" s="43">
        <v>89</v>
      </c>
      <c r="B102" s="77" t="s">
        <v>16</v>
      </c>
      <c r="C102" s="77" t="s">
        <v>12</v>
      </c>
      <c r="D102" s="43" t="s">
        <v>19</v>
      </c>
      <c r="E102" s="44" t="s">
        <v>65</v>
      </c>
      <c r="F102" s="79" t="s">
        <v>8</v>
      </c>
      <c r="G102" s="80">
        <v>309206</v>
      </c>
      <c r="H102" s="55" t="s">
        <v>41</v>
      </c>
      <c r="I102" s="56" t="s">
        <v>18</v>
      </c>
      <c r="J102" s="73" t="s">
        <v>18</v>
      </c>
      <c r="K102" s="43" t="s">
        <v>134</v>
      </c>
      <c r="L102" s="55" t="s">
        <v>134</v>
      </c>
      <c r="M102" s="57" t="s">
        <v>135</v>
      </c>
      <c r="N102" s="54" t="s">
        <v>127</v>
      </c>
      <c r="O102" s="58"/>
      <c r="P102" s="61"/>
      <c r="Q102" s="54" t="s">
        <v>127</v>
      </c>
      <c r="R102" s="51"/>
      <c r="S102" s="72"/>
      <c r="T102" s="51"/>
      <c r="U102" s="60" t="s">
        <v>137</v>
      </c>
      <c r="V102" s="51"/>
      <c r="W102" s="51"/>
      <c r="X102" s="52"/>
      <c r="Y102" s="51"/>
      <c r="Z102" s="51"/>
      <c r="AA102" s="51"/>
    </row>
    <row r="103" spans="1:27" ht="12.95" customHeight="1">
      <c r="A103" s="43">
        <v>73</v>
      </c>
      <c r="B103" s="77" t="s">
        <v>16</v>
      </c>
      <c r="C103" s="77" t="s">
        <v>12</v>
      </c>
      <c r="D103" s="43" t="s">
        <v>19</v>
      </c>
      <c r="E103" s="44" t="s">
        <v>65</v>
      </c>
      <c r="F103" s="79" t="s">
        <v>9</v>
      </c>
      <c r="G103" s="80">
        <v>400221</v>
      </c>
      <c r="H103" s="55" t="s">
        <v>41</v>
      </c>
      <c r="I103" s="56" t="s">
        <v>18</v>
      </c>
      <c r="J103" s="44" t="s">
        <v>7</v>
      </c>
      <c r="K103" s="43" t="s">
        <v>134</v>
      </c>
      <c r="L103" s="55" t="s">
        <v>134</v>
      </c>
      <c r="M103" s="57" t="s">
        <v>135</v>
      </c>
      <c r="N103" s="54" t="s">
        <v>127</v>
      </c>
      <c r="O103" s="58"/>
      <c r="P103" s="61"/>
      <c r="Q103" s="54" t="s">
        <v>127</v>
      </c>
      <c r="R103" s="51"/>
      <c r="S103" s="72"/>
      <c r="T103" s="51"/>
      <c r="U103" s="60" t="s">
        <v>137</v>
      </c>
      <c r="V103" s="51"/>
      <c r="W103" s="51"/>
      <c r="X103" s="52"/>
      <c r="Y103" s="51"/>
      <c r="Z103" s="51"/>
      <c r="AA103" s="51"/>
    </row>
    <row r="104" spans="1:27" ht="12.95" customHeight="1">
      <c r="A104" s="43">
        <v>137</v>
      </c>
      <c r="B104" s="77" t="s">
        <v>16</v>
      </c>
      <c r="C104" s="77" t="s">
        <v>12</v>
      </c>
      <c r="D104" s="43" t="s">
        <v>19</v>
      </c>
      <c r="E104" s="44" t="s">
        <v>65</v>
      </c>
      <c r="F104" s="79" t="s">
        <v>9</v>
      </c>
      <c r="G104" s="80">
        <v>462074</v>
      </c>
      <c r="H104" s="55" t="s">
        <v>41</v>
      </c>
      <c r="I104" s="56" t="s">
        <v>18</v>
      </c>
      <c r="J104" s="44" t="s">
        <v>7</v>
      </c>
      <c r="K104" s="43" t="s">
        <v>134</v>
      </c>
      <c r="L104" s="55" t="s">
        <v>134</v>
      </c>
      <c r="M104" s="57" t="s">
        <v>135</v>
      </c>
      <c r="N104" s="54" t="s">
        <v>127</v>
      </c>
      <c r="O104" s="58"/>
      <c r="P104" s="61"/>
      <c r="Q104" s="54" t="s">
        <v>127</v>
      </c>
      <c r="R104" s="51"/>
      <c r="S104" s="72"/>
      <c r="T104" s="51"/>
      <c r="U104" s="60" t="s">
        <v>137</v>
      </c>
      <c r="V104" s="51"/>
      <c r="W104" s="51"/>
      <c r="X104" s="52"/>
      <c r="Y104" s="51"/>
      <c r="Z104" s="51"/>
      <c r="AA104" s="51"/>
    </row>
    <row r="105" spans="1:27" ht="12.95" customHeight="1">
      <c r="A105" s="43">
        <v>66</v>
      </c>
      <c r="B105" s="77" t="s">
        <v>16</v>
      </c>
      <c r="C105" s="77" t="s">
        <v>12</v>
      </c>
      <c r="D105" s="43" t="s">
        <v>19</v>
      </c>
      <c r="E105" s="44" t="s">
        <v>65</v>
      </c>
      <c r="F105" s="79" t="s">
        <v>27</v>
      </c>
      <c r="G105" s="80">
        <v>232793</v>
      </c>
      <c r="H105" s="55" t="s">
        <v>41</v>
      </c>
      <c r="I105" s="56" t="s">
        <v>18</v>
      </c>
      <c r="J105" s="44" t="s">
        <v>7</v>
      </c>
      <c r="K105" s="43" t="s">
        <v>134</v>
      </c>
      <c r="L105" s="55" t="s">
        <v>134</v>
      </c>
      <c r="M105" s="57" t="s">
        <v>135</v>
      </c>
      <c r="N105" s="54" t="s">
        <v>127</v>
      </c>
      <c r="O105" s="58"/>
      <c r="P105" s="61"/>
      <c r="Q105" s="54" t="s">
        <v>127</v>
      </c>
      <c r="R105" s="51"/>
      <c r="S105" s="72"/>
      <c r="T105" s="51"/>
      <c r="U105" s="60" t="s">
        <v>137</v>
      </c>
      <c r="V105" s="51"/>
      <c r="W105" s="51"/>
      <c r="X105" s="52"/>
      <c r="Y105" s="51"/>
      <c r="Z105" s="51"/>
      <c r="AA105" s="51"/>
    </row>
    <row r="106" spans="1:27" ht="12.95" customHeight="1">
      <c r="A106" s="43">
        <v>86</v>
      </c>
      <c r="B106" s="77" t="s">
        <v>16</v>
      </c>
      <c r="C106" s="77" t="s">
        <v>12</v>
      </c>
      <c r="D106" s="43" t="s">
        <v>19</v>
      </c>
      <c r="E106" s="44" t="s">
        <v>65</v>
      </c>
      <c r="F106" s="79" t="s">
        <v>27</v>
      </c>
      <c r="G106" s="80">
        <v>320178</v>
      </c>
      <c r="H106" s="55" t="s">
        <v>41</v>
      </c>
      <c r="I106" s="56" t="s">
        <v>18</v>
      </c>
      <c r="J106" s="44" t="s">
        <v>7</v>
      </c>
      <c r="K106" s="43" t="s">
        <v>134</v>
      </c>
      <c r="L106" s="55" t="s">
        <v>134</v>
      </c>
      <c r="M106" s="57" t="s">
        <v>135</v>
      </c>
      <c r="N106" s="54" t="s">
        <v>127</v>
      </c>
      <c r="O106" s="58"/>
      <c r="P106" s="61"/>
      <c r="Q106" s="54" t="s">
        <v>127</v>
      </c>
      <c r="R106" s="51"/>
      <c r="S106" s="72"/>
      <c r="T106" s="51"/>
      <c r="U106" s="60" t="s">
        <v>137</v>
      </c>
      <c r="V106" s="51"/>
      <c r="W106" s="51"/>
      <c r="X106" s="52"/>
      <c r="Y106" s="51"/>
      <c r="Z106" s="51"/>
      <c r="AA106" s="51"/>
    </row>
    <row r="107" spans="1:27" ht="12.95" customHeight="1">
      <c r="A107" s="43">
        <v>70</v>
      </c>
      <c r="B107" s="77" t="s">
        <v>16</v>
      </c>
      <c r="C107" s="77" t="s">
        <v>12</v>
      </c>
      <c r="D107" s="43" t="s">
        <v>19</v>
      </c>
      <c r="E107" s="44" t="s">
        <v>65</v>
      </c>
      <c r="F107" s="79" t="s">
        <v>27</v>
      </c>
      <c r="G107" s="80">
        <v>505738</v>
      </c>
      <c r="H107" s="55" t="s">
        <v>41</v>
      </c>
      <c r="I107" s="56" t="s">
        <v>18</v>
      </c>
      <c r="J107" s="44" t="s">
        <v>4</v>
      </c>
      <c r="K107" s="43" t="s">
        <v>134</v>
      </c>
      <c r="L107" s="55" t="s">
        <v>134</v>
      </c>
      <c r="M107" s="57" t="s">
        <v>140</v>
      </c>
      <c r="N107" s="54" t="s">
        <v>127</v>
      </c>
      <c r="O107" s="58"/>
      <c r="P107" s="61"/>
      <c r="Q107" s="54" t="s">
        <v>127</v>
      </c>
      <c r="R107" s="51"/>
      <c r="S107" s="72"/>
      <c r="T107" s="51"/>
      <c r="U107" s="60" t="s">
        <v>137</v>
      </c>
      <c r="V107" s="51"/>
      <c r="W107" s="51"/>
      <c r="X107" s="52"/>
      <c r="Y107" s="51"/>
      <c r="Z107" s="51"/>
      <c r="AA107" s="51"/>
    </row>
    <row r="108" spans="1:27" ht="12.95" customHeight="1">
      <c r="A108" s="43">
        <v>102</v>
      </c>
      <c r="B108" s="77" t="s">
        <v>16</v>
      </c>
      <c r="C108" s="77" t="s">
        <v>12</v>
      </c>
      <c r="D108" s="43" t="s">
        <v>19</v>
      </c>
      <c r="E108" s="44" t="s">
        <v>65</v>
      </c>
      <c r="F108" s="79" t="s">
        <v>27</v>
      </c>
      <c r="G108" s="80">
        <v>269242</v>
      </c>
      <c r="H108" s="55" t="s">
        <v>41</v>
      </c>
      <c r="I108" s="56" t="s">
        <v>18</v>
      </c>
      <c r="J108" s="44" t="s">
        <v>4</v>
      </c>
      <c r="K108" s="43" t="s">
        <v>134</v>
      </c>
      <c r="L108" s="55" t="s">
        <v>134</v>
      </c>
      <c r="M108" s="57" t="s">
        <v>140</v>
      </c>
      <c r="N108" s="54" t="s">
        <v>127</v>
      </c>
      <c r="O108" s="58"/>
      <c r="P108" s="61"/>
      <c r="Q108" s="54" t="s">
        <v>127</v>
      </c>
      <c r="R108" s="51"/>
      <c r="S108" s="72"/>
      <c r="T108" s="51"/>
      <c r="U108" s="60" t="s">
        <v>137</v>
      </c>
      <c r="V108" s="51"/>
      <c r="W108" s="51"/>
      <c r="X108" s="52"/>
      <c r="Y108" s="51"/>
      <c r="Z108" s="51"/>
      <c r="AA108" s="51"/>
    </row>
    <row r="109" spans="1:27" ht="12.95" customHeight="1">
      <c r="A109" s="43">
        <v>150</v>
      </c>
      <c r="B109" s="77" t="s">
        <v>16</v>
      </c>
      <c r="C109" s="77" t="s">
        <v>12</v>
      </c>
      <c r="D109" s="43" t="s">
        <v>19</v>
      </c>
      <c r="E109" s="44" t="s">
        <v>65</v>
      </c>
      <c r="F109" s="79" t="s">
        <v>8</v>
      </c>
      <c r="G109" s="80">
        <v>352866</v>
      </c>
      <c r="H109" s="55" t="s">
        <v>41</v>
      </c>
      <c r="I109" s="56" t="s">
        <v>18</v>
      </c>
      <c r="J109" s="44" t="s">
        <v>4</v>
      </c>
      <c r="K109" s="43" t="s">
        <v>134</v>
      </c>
      <c r="L109" s="55" t="s">
        <v>134</v>
      </c>
      <c r="M109" s="57" t="s">
        <v>140</v>
      </c>
      <c r="N109" s="54" t="s">
        <v>127</v>
      </c>
      <c r="O109" s="58"/>
      <c r="P109" s="61"/>
      <c r="Q109" s="54" t="s">
        <v>127</v>
      </c>
      <c r="R109" s="51"/>
      <c r="S109" s="72"/>
      <c r="T109" s="51"/>
      <c r="U109" s="60" t="s">
        <v>137</v>
      </c>
      <c r="V109" s="51"/>
      <c r="W109" s="51"/>
      <c r="X109" s="52"/>
      <c r="Y109" s="51"/>
      <c r="Z109" s="51"/>
      <c r="AA109" s="51"/>
    </row>
    <row r="110" spans="1:27" ht="12.95" customHeight="1">
      <c r="A110" s="43">
        <v>78</v>
      </c>
      <c r="B110" s="77" t="s">
        <v>16</v>
      </c>
      <c r="C110" s="77" t="s">
        <v>12</v>
      </c>
      <c r="D110" s="43" t="s">
        <v>19</v>
      </c>
      <c r="E110" s="44" t="s">
        <v>65</v>
      </c>
      <c r="F110" s="79" t="s">
        <v>8</v>
      </c>
      <c r="G110" s="80">
        <v>487465</v>
      </c>
      <c r="H110" s="55" t="s">
        <v>41</v>
      </c>
      <c r="I110" s="56" t="s">
        <v>18</v>
      </c>
      <c r="J110" s="44" t="s">
        <v>4</v>
      </c>
      <c r="K110" s="43" t="s">
        <v>134</v>
      </c>
      <c r="L110" s="55" t="s">
        <v>134</v>
      </c>
      <c r="M110" s="57" t="s">
        <v>140</v>
      </c>
      <c r="N110" s="54" t="s">
        <v>127</v>
      </c>
      <c r="O110" s="58"/>
      <c r="P110" s="61"/>
      <c r="Q110" s="54" t="s">
        <v>127</v>
      </c>
      <c r="R110" s="51"/>
      <c r="S110" s="72"/>
      <c r="T110" s="51"/>
      <c r="U110" s="60" t="s">
        <v>137</v>
      </c>
      <c r="V110" s="51"/>
      <c r="W110" s="51"/>
      <c r="X110" s="52"/>
      <c r="Y110" s="51"/>
      <c r="Z110" s="51"/>
      <c r="AA110" s="51"/>
    </row>
    <row r="111" spans="1:27" ht="12.95" customHeight="1">
      <c r="A111" s="43">
        <v>103</v>
      </c>
      <c r="B111" s="77" t="s">
        <v>16</v>
      </c>
      <c r="C111" s="77" t="s">
        <v>12</v>
      </c>
      <c r="D111" s="43" t="s">
        <v>19</v>
      </c>
      <c r="E111" s="44" t="s">
        <v>65</v>
      </c>
      <c r="F111" s="79" t="s">
        <v>8</v>
      </c>
      <c r="G111" s="80">
        <v>287387</v>
      </c>
      <c r="H111" s="55" t="s">
        <v>41</v>
      </c>
      <c r="I111" s="56" t="s">
        <v>18</v>
      </c>
      <c r="J111" s="44" t="s">
        <v>4</v>
      </c>
      <c r="K111" s="43" t="s">
        <v>134</v>
      </c>
      <c r="L111" s="55" t="s">
        <v>134</v>
      </c>
      <c r="M111" s="57" t="s">
        <v>140</v>
      </c>
      <c r="N111" s="54" t="s">
        <v>127</v>
      </c>
      <c r="O111" s="58"/>
      <c r="P111" s="61"/>
      <c r="Q111" s="54" t="s">
        <v>127</v>
      </c>
      <c r="R111" s="51"/>
      <c r="S111" s="72"/>
      <c r="T111" s="51"/>
      <c r="U111" s="60" t="s">
        <v>137</v>
      </c>
      <c r="V111" s="51"/>
      <c r="W111" s="51"/>
      <c r="X111" s="52"/>
      <c r="Y111" s="51"/>
      <c r="Z111" s="51"/>
      <c r="AA111" s="51"/>
    </row>
    <row r="112" spans="1:27" ht="12.95" customHeight="1">
      <c r="A112" s="43">
        <v>69</v>
      </c>
      <c r="B112" s="77" t="s">
        <v>16</v>
      </c>
      <c r="C112" s="77" t="s">
        <v>12</v>
      </c>
      <c r="D112" s="43" t="s">
        <v>19</v>
      </c>
      <c r="E112" s="44" t="s">
        <v>65</v>
      </c>
      <c r="F112" s="79" t="s">
        <v>8</v>
      </c>
      <c r="G112" s="80">
        <v>309215</v>
      </c>
      <c r="H112" s="55" t="s">
        <v>41</v>
      </c>
      <c r="I112" s="56" t="s">
        <v>18</v>
      </c>
      <c r="J112" s="44" t="s">
        <v>4</v>
      </c>
      <c r="K112" s="43" t="s">
        <v>134</v>
      </c>
      <c r="L112" s="55" t="s">
        <v>134</v>
      </c>
      <c r="M112" s="57" t="s">
        <v>140</v>
      </c>
      <c r="N112" s="54" t="s">
        <v>127</v>
      </c>
      <c r="O112" s="58"/>
      <c r="P112" s="61"/>
      <c r="Q112" s="54" t="s">
        <v>127</v>
      </c>
      <c r="R112" s="51"/>
      <c r="S112" s="72"/>
      <c r="T112" s="51"/>
      <c r="U112" s="60" t="s">
        <v>137</v>
      </c>
      <c r="V112" s="51"/>
      <c r="W112" s="51"/>
      <c r="X112" s="52"/>
      <c r="Y112" s="51"/>
      <c r="Z112" s="51"/>
      <c r="AA112" s="51"/>
    </row>
    <row r="113" spans="1:27" ht="12.95" customHeight="1">
      <c r="A113" s="43">
        <v>114</v>
      </c>
      <c r="B113" s="77" t="s">
        <v>16</v>
      </c>
      <c r="C113" s="77" t="s">
        <v>12</v>
      </c>
      <c r="D113" s="43" t="s">
        <v>19</v>
      </c>
      <c r="E113" s="44" t="s">
        <v>65</v>
      </c>
      <c r="F113" s="79" t="s">
        <v>9</v>
      </c>
      <c r="G113" s="80">
        <v>312853</v>
      </c>
      <c r="H113" s="55" t="s">
        <v>41</v>
      </c>
      <c r="I113" s="56" t="s">
        <v>18</v>
      </c>
      <c r="J113" s="44" t="s">
        <v>4</v>
      </c>
      <c r="K113" s="43" t="s">
        <v>134</v>
      </c>
      <c r="L113" s="55" t="s">
        <v>134</v>
      </c>
      <c r="M113" s="57" t="s">
        <v>140</v>
      </c>
      <c r="N113" s="54" t="s">
        <v>127</v>
      </c>
      <c r="O113" s="58"/>
      <c r="P113" s="61"/>
      <c r="Q113" s="54" t="s">
        <v>127</v>
      </c>
      <c r="R113" s="51"/>
      <c r="S113" s="72"/>
      <c r="T113" s="51"/>
      <c r="U113" s="60" t="s">
        <v>137</v>
      </c>
      <c r="V113" s="51"/>
      <c r="W113" s="51"/>
      <c r="X113" s="52"/>
      <c r="Y113" s="51"/>
      <c r="Z113" s="51"/>
      <c r="AA113" s="51"/>
    </row>
    <row r="114" spans="1:27" ht="12.95" customHeight="1">
      <c r="A114" s="43">
        <v>142</v>
      </c>
      <c r="B114" s="77" t="s">
        <v>16</v>
      </c>
      <c r="C114" s="77" t="s">
        <v>12</v>
      </c>
      <c r="D114" s="43" t="s">
        <v>19</v>
      </c>
      <c r="E114" s="44" t="s">
        <v>65</v>
      </c>
      <c r="F114" s="79" t="s">
        <v>8</v>
      </c>
      <c r="G114" s="80">
        <v>225548</v>
      </c>
      <c r="H114" s="55" t="s">
        <v>41</v>
      </c>
      <c r="I114" s="56" t="s">
        <v>18</v>
      </c>
      <c r="J114" s="44" t="s">
        <v>4</v>
      </c>
      <c r="K114" s="43" t="s">
        <v>134</v>
      </c>
      <c r="L114" s="55" t="s">
        <v>134</v>
      </c>
      <c r="M114" s="57" t="s">
        <v>140</v>
      </c>
      <c r="N114" s="54" t="s">
        <v>127</v>
      </c>
      <c r="O114" s="58"/>
      <c r="P114" s="61"/>
      <c r="Q114" s="54" t="s">
        <v>127</v>
      </c>
      <c r="R114" s="51"/>
      <c r="S114" s="72"/>
      <c r="T114" s="51"/>
      <c r="U114" s="60" t="s">
        <v>137</v>
      </c>
      <c r="V114" s="51"/>
      <c r="W114" s="51"/>
      <c r="X114" s="52"/>
      <c r="Y114" s="51"/>
      <c r="Z114" s="51"/>
      <c r="AA114" s="51"/>
    </row>
    <row r="115" spans="1:27" ht="12.95" customHeight="1">
      <c r="A115" s="43">
        <v>109</v>
      </c>
      <c r="B115" s="77" t="s">
        <v>16</v>
      </c>
      <c r="C115" s="77" t="s">
        <v>12</v>
      </c>
      <c r="D115" s="43" t="s">
        <v>19</v>
      </c>
      <c r="E115" s="44" t="s">
        <v>65</v>
      </c>
      <c r="F115" s="79" t="s">
        <v>8</v>
      </c>
      <c r="G115" s="80">
        <v>371064</v>
      </c>
      <c r="H115" s="55" t="s">
        <v>41</v>
      </c>
      <c r="I115" s="56" t="s">
        <v>18</v>
      </c>
      <c r="J115" s="44" t="s">
        <v>4</v>
      </c>
      <c r="K115" s="43" t="s">
        <v>134</v>
      </c>
      <c r="L115" s="55" t="s">
        <v>134</v>
      </c>
      <c r="M115" s="57" t="s">
        <v>140</v>
      </c>
      <c r="N115" s="54" t="s">
        <v>127</v>
      </c>
      <c r="O115" s="58"/>
      <c r="P115" s="61"/>
      <c r="Q115" s="54" t="s">
        <v>127</v>
      </c>
      <c r="R115" s="51"/>
      <c r="S115" s="72"/>
      <c r="T115" s="51"/>
      <c r="U115" s="60" t="s">
        <v>137</v>
      </c>
      <c r="V115" s="51"/>
      <c r="W115" s="51"/>
      <c r="X115" s="52"/>
      <c r="Y115" s="51"/>
      <c r="Z115" s="51"/>
      <c r="AA115" s="51"/>
    </row>
    <row r="116" spans="1:27" ht="12.95" customHeight="1">
      <c r="A116" s="43">
        <v>113</v>
      </c>
      <c r="B116" s="77" t="s">
        <v>16</v>
      </c>
      <c r="C116" s="77" t="s">
        <v>12</v>
      </c>
      <c r="D116" s="43" t="s">
        <v>19</v>
      </c>
      <c r="E116" s="44" t="s">
        <v>65</v>
      </c>
      <c r="F116" s="79" t="s">
        <v>8</v>
      </c>
      <c r="G116" s="80">
        <v>251014</v>
      </c>
      <c r="H116" s="55" t="s">
        <v>41</v>
      </c>
      <c r="I116" s="56" t="s">
        <v>18</v>
      </c>
      <c r="J116" s="44" t="s">
        <v>4</v>
      </c>
      <c r="K116" s="43" t="s">
        <v>134</v>
      </c>
      <c r="L116" s="55" t="s">
        <v>134</v>
      </c>
      <c r="M116" s="57" t="s">
        <v>140</v>
      </c>
      <c r="N116" s="54" t="s">
        <v>127</v>
      </c>
      <c r="O116" s="58"/>
      <c r="P116" s="61"/>
      <c r="Q116" s="54" t="s">
        <v>127</v>
      </c>
      <c r="R116" s="51"/>
      <c r="S116" s="72"/>
      <c r="T116" s="51"/>
      <c r="U116" s="60" t="s">
        <v>137</v>
      </c>
      <c r="V116" s="51"/>
      <c r="W116" s="51"/>
      <c r="X116" s="52"/>
      <c r="Y116" s="51"/>
      <c r="Z116" s="51"/>
      <c r="AA116" s="51"/>
    </row>
    <row r="117" spans="1:27" ht="12.95" customHeight="1">
      <c r="A117" s="43">
        <v>123</v>
      </c>
      <c r="B117" s="77" t="s">
        <v>16</v>
      </c>
      <c r="C117" s="77" t="s">
        <v>12</v>
      </c>
      <c r="D117" s="43" t="s">
        <v>19</v>
      </c>
      <c r="E117" s="44" t="s">
        <v>65</v>
      </c>
      <c r="F117" s="79" t="s">
        <v>8</v>
      </c>
      <c r="G117" s="80">
        <v>240101</v>
      </c>
      <c r="H117" s="55" t="s">
        <v>41</v>
      </c>
      <c r="I117" s="56" t="s">
        <v>18</v>
      </c>
      <c r="J117" s="44" t="s">
        <v>4</v>
      </c>
      <c r="K117" s="43" t="s">
        <v>123</v>
      </c>
      <c r="L117" s="75" t="s">
        <v>140</v>
      </c>
      <c r="M117" s="57" t="s">
        <v>141</v>
      </c>
      <c r="N117" s="54" t="s">
        <v>127</v>
      </c>
      <c r="O117" s="58"/>
      <c r="P117" s="61"/>
      <c r="Q117" s="54" t="s">
        <v>127</v>
      </c>
      <c r="R117" s="51"/>
      <c r="S117" s="72"/>
      <c r="T117" s="51"/>
      <c r="U117" s="60" t="s">
        <v>137</v>
      </c>
      <c r="V117" s="51"/>
      <c r="W117" s="51"/>
      <c r="X117" s="52"/>
      <c r="Y117" s="51"/>
      <c r="Z117" s="51"/>
      <c r="AA117" s="51"/>
    </row>
    <row r="118" spans="1:27" ht="12.95" customHeight="1">
      <c r="A118" s="43">
        <v>121</v>
      </c>
      <c r="B118" s="77" t="s">
        <v>16</v>
      </c>
      <c r="C118" s="77" t="s">
        <v>12</v>
      </c>
      <c r="D118" s="43" t="s">
        <v>19</v>
      </c>
      <c r="E118" s="44" t="s">
        <v>65</v>
      </c>
      <c r="F118" s="79" t="s">
        <v>8</v>
      </c>
      <c r="G118" s="80">
        <v>436549</v>
      </c>
      <c r="H118" s="55" t="s">
        <v>41</v>
      </c>
      <c r="I118" s="56" t="s">
        <v>18</v>
      </c>
      <c r="J118" s="44" t="s">
        <v>4</v>
      </c>
      <c r="K118" s="43" t="s">
        <v>123</v>
      </c>
      <c r="L118" s="75" t="s">
        <v>140</v>
      </c>
      <c r="M118" s="57" t="s">
        <v>141</v>
      </c>
      <c r="N118" s="54" t="s">
        <v>127</v>
      </c>
      <c r="O118" s="58"/>
      <c r="P118" s="61"/>
      <c r="Q118" s="54" t="s">
        <v>127</v>
      </c>
      <c r="R118" s="51"/>
      <c r="S118" s="72"/>
      <c r="T118" s="51"/>
      <c r="U118" s="60" t="s">
        <v>137</v>
      </c>
      <c r="V118" s="51"/>
      <c r="W118" s="51"/>
      <c r="X118" s="52"/>
      <c r="Y118" s="51"/>
      <c r="Z118" s="51"/>
      <c r="AA118" s="51"/>
    </row>
    <row r="119" spans="1:27" ht="12.95" customHeight="1">
      <c r="A119" s="43">
        <v>123</v>
      </c>
      <c r="B119" s="77" t="s">
        <v>16</v>
      </c>
      <c r="C119" s="77" t="s">
        <v>12</v>
      </c>
      <c r="D119" s="43" t="s">
        <v>19</v>
      </c>
      <c r="E119" s="44" t="s">
        <v>65</v>
      </c>
      <c r="F119" s="79" t="s">
        <v>8</v>
      </c>
      <c r="G119" s="80">
        <v>229189</v>
      </c>
      <c r="H119" s="55" t="s">
        <v>41</v>
      </c>
      <c r="I119" s="56" t="s">
        <v>18</v>
      </c>
      <c r="J119" s="44" t="s">
        <v>4</v>
      </c>
      <c r="K119" s="43" t="s">
        <v>123</v>
      </c>
      <c r="L119" s="75" t="s">
        <v>140</v>
      </c>
      <c r="M119" s="57" t="s">
        <v>141</v>
      </c>
      <c r="N119" s="54" t="s">
        <v>127</v>
      </c>
      <c r="O119" s="58"/>
      <c r="P119" s="61"/>
      <c r="Q119" s="54" t="s">
        <v>127</v>
      </c>
      <c r="R119" s="51"/>
      <c r="S119" s="72"/>
      <c r="T119" s="51"/>
      <c r="U119" s="60" t="s">
        <v>137</v>
      </c>
      <c r="V119" s="51"/>
      <c r="W119" s="51"/>
      <c r="X119" s="52"/>
      <c r="Y119" s="51"/>
      <c r="Z119" s="51"/>
      <c r="AA119" s="51"/>
    </row>
    <row r="120" spans="1:27" ht="12.95" customHeight="1">
      <c r="A120" s="43">
        <v>148</v>
      </c>
      <c r="B120" s="77" t="s">
        <v>16</v>
      </c>
      <c r="C120" s="77" t="s">
        <v>12</v>
      </c>
      <c r="D120" s="43" t="s">
        <v>19</v>
      </c>
      <c r="E120" s="44" t="s">
        <v>65</v>
      </c>
      <c r="F120" s="79" t="s">
        <v>8</v>
      </c>
      <c r="G120" s="80">
        <v>520224</v>
      </c>
      <c r="H120" s="55" t="s">
        <v>41</v>
      </c>
      <c r="I120" s="56" t="s">
        <v>18</v>
      </c>
      <c r="J120" s="44" t="s">
        <v>4</v>
      </c>
      <c r="K120" s="43" t="s">
        <v>123</v>
      </c>
      <c r="L120" s="75" t="s">
        <v>140</v>
      </c>
      <c r="M120" s="57" t="s">
        <v>141</v>
      </c>
      <c r="N120" s="54" t="s">
        <v>127</v>
      </c>
      <c r="O120" s="58"/>
      <c r="P120" s="61"/>
      <c r="Q120" s="54" t="s">
        <v>127</v>
      </c>
      <c r="R120" s="51"/>
      <c r="S120" s="72"/>
      <c r="T120" s="51"/>
      <c r="U120" s="60" t="s">
        <v>137</v>
      </c>
      <c r="V120" s="51"/>
      <c r="W120" s="51"/>
      <c r="X120" s="52"/>
      <c r="Y120" s="51"/>
      <c r="Z120" s="51"/>
      <c r="AA120" s="51"/>
    </row>
    <row r="121" spans="1:27" ht="12.95" customHeight="1">
      <c r="A121" s="43">
        <v>120</v>
      </c>
      <c r="B121" s="77" t="s">
        <v>16</v>
      </c>
      <c r="C121" s="77" t="s">
        <v>12</v>
      </c>
      <c r="D121" s="43" t="s">
        <v>19</v>
      </c>
      <c r="E121" s="44" t="s">
        <v>65</v>
      </c>
      <c r="F121" s="79" t="s">
        <v>8</v>
      </c>
      <c r="G121" s="80">
        <v>247380</v>
      </c>
      <c r="H121" s="55" t="s">
        <v>41</v>
      </c>
      <c r="I121" s="56" t="s">
        <v>18</v>
      </c>
      <c r="J121" s="44" t="s">
        <v>4</v>
      </c>
      <c r="K121" s="43" t="s">
        <v>123</v>
      </c>
      <c r="L121" s="75" t="s">
        <v>140</v>
      </c>
      <c r="M121" s="57" t="s">
        <v>141</v>
      </c>
      <c r="N121" s="54" t="s">
        <v>127</v>
      </c>
      <c r="O121" s="58"/>
      <c r="P121" s="61"/>
      <c r="Q121" s="54" t="s">
        <v>127</v>
      </c>
      <c r="R121" s="51"/>
      <c r="S121" s="72"/>
      <c r="T121" s="51"/>
      <c r="U121" s="60" t="s">
        <v>137</v>
      </c>
      <c r="V121" s="51"/>
      <c r="W121" s="51"/>
      <c r="X121" s="52"/>
      <c r="Y121" s="51"/>
      <c r="Z121" s="51"/>
      <c r="AA121" s="51"/>
    </row>
    <row r="122" spans="1:27" ht="12.95" customHeight="1">
      <c r="A122" s="43">
        <v>131</v>
      </c>
      <c r="B122" s="77" t="s">
        <v>16</v>
      </c>
      <c r="C122" s="77" t="s">
        <v>12</v>
      </c>
      <c r="D122" s="43" t="s">
        <v>19</v>
      </c>
      <c r="E122" s="44" t="s">
        <v>65</v>
      </c>
      <c r="F122" s="79" t="s">
        <v>27</v>
      </c>
      <c r="G122" s="80">
        <v>258294</v>
      </c>
      <c r="H122" s="55" t="s">
        <v>41</v>
      </c>
      <c r="I122" s="56" t="s">
        <v>18</v>
      </c>
      <c r="J122" s="52" t="s">
        <v>3</v>
      </c>
      <c r="K122" s="43" t="s">
        <v>123</v>
      </c>
      <c r="L122" s="75" t="s">
        <v>140</v>
      </c>
      <c r="M122" s="57" t="s">
        <v>133</v>
      </c>
      <c r="N122" s="54" t="s">
        <v>127</v>
      </c>
      <c r="O122" s="58"/>
      <c r="P122" s="61"/>
      <c r="Q122" s="54" t="s">
        <v>127</v>
      </c>
      <c r="R122" s="51"/>
      <c r="S122" s="72"/>
      <c r="T122" s="51"/>
      <c r="U122" s="60" t="s">
        <v>137</v>
      </c>
      <c r="V122" s="51"/>
      <c r="W122" s="51"/>
      <c r="X122" s="52"/>
      <c r="Y122" s="51"/>
      <c r="Z122" s="51"/>
      <c r="AA122" s="51"/>
    </row>
    <row r="123" spans="1:27" ht="12.95" customHeight="1">
      <c r="A123" s="43">
        <v>154</v>
      </c>
      <c r="B123" s="77" t="s">
        <v>16</v>
      </c>
      <c r="C123" s="77" t="s">
        <v>12</v>
      </c>
      <c r="D123" s="43" t="s">
        <v>19</v>
      </c>
      <c r="E123" s="44" t="s">
        <v>65</v>
      </c>
      <c r="F123" s="79" t="s">
        <v>27</v>
      </c>
      <c r="G123" s="80">
        <v>276485</v>
      </c>
      <c r="H123" s="55" t="s">
        <v>41</v>
      </c>
      <c r="I123" s="56" t="s">
        <v>18</v>
      </c>
      <c r="J123" s="52" t="s">
        <v>3</v>
      </c>
      <c r="K123" s="43" t="s">
        <v>123</v>
      </c>
      <c r="L123" s="75" t="s">
        <v>140</v>
      </c>
      <c r="M123" s="57" t="s">
        <v>133</v>
      </c>
      <c r="N123" s="54" t="s">
        <v>127</v>
      </c>
      <c r="O123" s="58"/>
      <c r="P123" s="61"/>
      <c r="Q123" s="54" t="s">
        <v>127</v>
      </c>
      <c r="R123" s="51"/>
      <c r="S123" s="72"/>
      <c r="T123" s="51"/>
      <c r="U123" s="60" t="s">
        <v>137</v>
      </c>
      <c r="V123" s="51"/>
      <c r="W123" s="51"/>
      <c r="X123" s="52"/>
      <c r="Y123" s="51"/>
      <c r="Z123" s="51"/>
      <c r="AA123" s="51"/>
    </row>
    <row r="124" spans="1:27" ht="12.95" customHeight="1">
      <c r="A124" s="43">
        <v>175</v>
      </c>
      <c r="B124" s="77" t="s">
        <v>16</v>
      </c>
      <c r="C124" s="77" t="s">
        <v>12</v>
      </c>
      <c r="D124" s="43" t="s">
        <v>19</v>
      </c>
      <c r="E124" s="44" t="s">
        <v>65</v>
      </c>
      <c r="F124" s="79" t="s">
        <v>27</v>
      </c>
      <c r="G124" s="80">
        <v>422005</v>
      </c>
      <c r="H124" s="55" t="s">
        <v>41</v>
      </c>
      <c r="I124" s="56" t="s">
        <v>18</v>
      </c>
      <c r="J124" s="52" t="s">
        <v>3</v>
      </c>
      <c r="K124" s="43" t="s">
        <v>123</v>
      </c>
      <c r="L124" s="75" t="s">
        <v>140</v>
      </c>
      <c r="M124" s="57" t="s">
        <v>133</v>
      </c>
      <c r="N124" s="54" t="s">
        <v>127</v>
      </c>
      <c r="O124" s="58"/>
      <c r="P124" s="61"/>
      <c r="Q124" s="54" t="s">
        <v>127</v>
      </c>
      <c r="R124" s="51"/>
      <c r="S124" s="72"/>
      <c r="T124" s="51"/>
      <c r="U124" s="60" t="s">
        <v>137</v>
      </c>
      <c r="V124" s="51"/>
      <c r="W124" s="51"/>
      <c r="X124" s="52"/>
      <c r="Y124" s="51"/>
      <c r="Z124" s="51"/>
      <c r="AA124" s="51"/>
    </row>
    <row r="125" spans="1:27" ht="12.95" customHeight="1">
      <c r="A125" s="43">
        <v>139</v>
      </c>
      <c r="B125" s="77" t="s">
        <v>16</v>
      </c>
      <c r="C125" s="77" t="s">
        <v>12</v>
      </c>
      <c r="D125" s="43" t="s">
        <v>19</v>
      </c>
      <c r="E125" s="44" t="s">
        <v>65</v>
      </c>
      <c r="F125" s="79" t="s">
        <v>27</v>
      </c>
      <c r="G125" s="80">
        <v>305590</v>
      </c>
      <c r="H125" s="55" t="s">
        <v>41</v>
      </c>
      <c r="I125" s="56" t="s">
        <v>18</v>
      </c>
      <c r="J125" s="52" t="s">
        <v>3</v>
      </c>
      <c r="K125" s="43" t="s">
        <v>123</v>
      </c>
      <c r="L125" s="75" t="s">
        <v>140</v>
      </c>
      <c r="M125" s="81" t="s">
        <v>133</v>
      </c>
      <c r="N125" s="54" t="s">
        <v>127</v>
      </c>
      <c r="O125" s="58"/>
      <c r="P125" s="61"/>
      <c r="Q125" s="54" t="s">
        <v>127</v>
      </c>
      <c r="R125" s="51"/>
      <c r="S125" s="72"/>
      <c r="T125" s="51"/>
      <c r="U125" s="60" t="s">
        <v>137</v>
      </c>
      <c r="V125" s="51"/>
      <c r="W125" s="51"/>
      <c r="X125" s="52"/>
      <c r="Y125" s="51"/>
      <c r="Z125" s="51"/>
      <c r="AA125" s="51"/>
    </row>
    <row r="126" spans="1:27" ht="12.95" customHeight="1">
      <c r="A126" s="43">
        <v>116</v>
      </c>
      <c r="B126" s="77" t="s">
        <v>16</v>
      </c>
      <c r="C126" s="77" t="s">
        <v>12</v>
      </c>
      <c r="D126" s="43" t="s">
        <v>19</v>
      </c>
      <c r="E126" s="44" t="s">
        <v>65</v>
      </c>
      <c r="F126" s="79" t="s">
        <v>12</v>
      </c>
      <c r="G126" s="80">
        <v>469301</v>
      </c>
      <c r="H126" s="55" t="s">
        <v>41</v>
      </c>
      <c r="I126" s="56" t="s">
        <v>18</v>
      </c>
      <c r="J126" s="44" t="s">
        <v>7</v>
      </c>
      <c r="K126" s="43" t="s">
        <v>123</v>
      </c>
      <c r="L126" s="75" t="s">
        <v>140</v>
      </c>
      <c r="M126" s="81" t="s">
        <v>139</v>
      </c>
      <c r="N126" s="54" t="s">
        <v>127</v>
      </c>
      <c r="O126" s="58"/>
      <c r="P126" s="61"/>
      <c r="Q126" s="54" t="s">
        <v>127</v>
      </c>
      <c r="R126" s="51"/>
      <c r="S126" s="72"/>
      <c r="T126" s="51"/>
      <c r="U126" s="60" t="s">
        <v>137</v>
      </c>
      <c r="V126" s="51"/>
      <c r="W126" s="51"/>
      <c r="X126" s="52"/>
      <c r="Y126" s="51"/>
      <c r="Z126" s="51"/>
      <c r="AA126" s="51"/>
    </row>
    <row r="127" spans="1:27" ht="12.95" customHeight="1">
      <c r="A127" s="43">
        <v>107</v>
      </c>
      <c r="B127" s="77" t="s">
        <v>16</v>
      </c>
      <c r="C127" s="77" t="s">
        <v>12</v>
      </c>
      <c r="D127" s="43" t="s">
        <v>19</v>
      </c>
      <c r="E127" s="44" t="s">
        <v>65</v>
      </c>
      <c r="F127" s="79" t="s">
        <v>12</v>
      </c>
      <c r="G127" s="80">
        <v>232832</v>
      </c>
      <c r="H127" s="55" t="s">
        <v>41</v>
      </c>
      <c r="I127" s="56" t="s">
        <v>18</v>
      </c>
      <c r="J127" s="44" t="s">
        <v>7</v>
      </c>
      <c r="K127" s="43" t="s">
        <v>123</v>
      </c>
      <c r="L127" s="75" t="s">
        <v>140</v>
      </c>
      <c r="M127" s="81" t="s">
        <v>139</v>
      </c>
      <c r="N127" s="54" t="s">
        <v>127</v>
      </c>
      <c r="O127" s="58"/>
      <c r="P127" s="61"/>
      <c r="Q127" s="54" t="s">
        <v>127</v>
      </c>
      <c r="R127" s="51"/>
      <c r="S127" s="72"/>
      <c r="T127" s="51"/>
      <c r="U127" s="60" t="s">
        <v>137</v>
      </c>
      <c r="V127" s="51"/>
      <c r="W127" s="51"/>
      <c r="X127" s="52"/>
      <c r="Y127" s="51"/>
      <c r="Z127" s="51"/>
      <c r="AA127" s="51"/>
    </row>
    <row r="128" spans="1:27" ht="12.95" customHeight="1">
      <c r="A128" s="43">
        <v>98</v>
      </c>
      <c r="B128" s="77" t="s">
        <v>16</v>
      </c>
      <c r="C128" s="77" t="s">
        <v>12</v>
      </c>
      <c r="D128" s="43" t="s">
        <v>19</v>
      </c>
      <c r="E128" s="44" t="s">
        <v>65</v>
      </c>
      <c r="F128" s="79" t="s">
        <v>12</v>
      </c>
      <c r="G128" s="80">
        <v>294679</v>
      </c>
      <c r="H128" s="55" t="s">
        <v>41</v>
      </c>
      <c r="I128" s="56" t="s">
        <v>18</v>
      </c>
      <c r="J128" s="44" t="s">
        <v>7</v>
      </c>
      <c r="K128" s="43" t="s">
        <v>123</v>
      </c>
      <c r="L128" s="75" t="s">
        <v>140</v>
      </c>
      <c r="M128" s="81" t="s">
        <v>139</v>
      </c>
      <c r="N128" s="54" t="s">
        <v>127</v>
      </c>
      <c r="O128" s="58"/>
      <c r="P128" s="61"/>
      <c r="Q128" s="54" t="s">
        <v>127</v>
      </c>
      <c r="R128" s="51"/>
      <c r="S128" s="72"/>
      <c r="T128" s="51"/>
      <c r="U128" s="60" t="s">
        <v>137</v>
      </c>
      <c r="V128" s="51"/>
      <c r="W128" s="51"/>
      <c r="X128" s="52"/>
      <c r="Y128" s="51"/>
      <c r="Z128" s="51"/>
      <c r="AA128" s="51"/>
    </row>
    <row r="129" spans="1:27" ht="12.95" customHeight="1">
      <c r="A129" s="43">
        <v>168</v>
      </c>
      <c r="B129" s="77" t="s">
        <v>16</v>
      </c>
      <c r="C129" s="77" t="s">
        <v>12</v>
      </c>
      <c r="D129" s="43" t="s">
        <v>19</v>
      </c>
      <c r="E129" s="44" t="s">
        <v>65</v>
      </c>
      <c r="F129" s="79" t="s">
        <v>27</v>
      </c>
      <c r="G129" s="80">
        <v>436566</v>
      </c>
      <c r="H129" s="43" t="s">
        <v>9</v>
      </c>
      <c r="I129" s="43" t="s">
        <v>18</v>
      </c>
      <c r="J129" s="44" t="s">
        <v>4</v>
      </c>
      <c r="K129" s="43" t="s">
        <v>123</v>
      </c>
      <c r="L129" s="43" t="s">
        <v>132</v>
      </c>
      <c r="M129" s="44" t="s">
        <v>138</v>
      </c>
      <c r="N129" s="49">
        <v>46009</v>
      </c>
      <c r="O129" s="49">
        <v>46088</v>
      </c>
      <c r="P129" s="43" t="s">
        <v>141</v>
      </c>
      <c r="Q129" s="43" t="s">
        <v>132</v>
      </c>
      <c r="R129" s="43">
        <v>61</v>
      </c>
      <c r="S129" s="43">
        <v>161</v>
      </c>
      <c r="T129" s="50" t="s">
        <v>132</v>
      </c>
      <c r="U129" s="46" t="s">
        <v>141</v>
      </c>
      <c r="V129" s="51"/>
      <c r="W129" s="49"/>
      <c r="X129" s="44" t="s">
        <v>138</v>
      </c>
      <c r="Y129" s="51"/>
      <c r="Z129" s="51"/>
      <c r="AA129" s="51"/>
    </row>
    <row r="130" spans="1:27" ht="12.95" customHeight="1">
      <c r="A130" s="43">
        <v>184</v>
      </c>
      <c r="B130" s="77" t="s">
        <v>16</v>
      </c>
      <c r="C130" s="77" t="s">
        <v>12</v>
      </c>
      <c r="D130" s="43" t="s">
        <v>19</v>
      </c>
      <c r="E130" s="44" t="s">
        <v>65</v>
      </c>
      <c r="F130" s="79" t="s">
        <v>27</v>
      </c>
      <c r="G130" s="80">
        <v>269216</v>
      </c>
      <c r="H130" s="43" t="s">
        <v>9</v>
      </c>
      <c r="I130" s="43" t="s">
        <v>18</v>
      </c>
      <c r="J130" s="44" t="s">
        <v>9</v>
      </c>
      <c r="K130" s="43" t="s">
        <v>134</v>
      </c>
      <c r="L130" s="43" t="s">
        <v>134</v>
      </c>
      <c r="M130" s="44" t="s">
        <v>135</v>
      </c>
      <c r="N130" s="49">
        <v>45982</v>
      </c>
      <c r="O130" s="49">
        <v>46011</v>
      </c>
      <c r="P130" s="43" t="s">
        <v>141</v>
      </c>
      <c r="Q130" s="43" t="s">
        <v>132</v>
      </c>
      <c r="R130" s="43">
        <v>61</v>
      </c>
      <c r="S130" s="43">
        <v>88</v>
      </c>
      <c r="T130" s="50" t="s">
        <v>132</v>
      </c>
      <c r="U130" s="46" t="s">
        <v>141</v>
      </c>
      <c r="V130" s="51"/>
      <c r="W130" s="49"/>
      <c r="X130" s="44" t="s">
        <v>137</v>
      </c>
      <c r="Y130" s="51"/>
      <c r="Z130" s="51"/>
      <c r="AA130" s="51"/>
    </row>
    <row r="131" spans="1:27" ht="12.95" customHeight="1">
      <c r="A131" s="43">
        <v>120</v>
      </c>
      <c r="B131" s="77" t="s">
        <v>16</v>
      </c>
      <c r="C131" s="77" t="s">
        <v>12</v>
      </c>
      <c r="D131" s="43" t="s">
        <v>19</v>
      </c>
      <c r="E131" s="44" t="s">
        <v>65</v>
      </c>
      <c r="F131" s="79" t="s">
        <v>27</v>
      </c>
      <c r="G131" s="80">
        <v>269217</v>
      </c>
      <c r="H131" s="43" t="s">
        <v>9</v>
      </c>
      <c r="I131" s="43" t="s">
        <v>18</v>
      </c>
      <c r="J131" s="44" t="s">
        <v>9</v>
      </c>
      <c r="K131" s="43" t="s">
        <v>123</v>
      </c>
      <c r="L131" s="43" t="s">
        <v>137</v>
      </c>
      <c r="M131" s="44" t="s">
        <v>138</v>
      </c>
      <c r="N131" s="49">
        <v>46056</v>
      </c>
      <c r="O131" s="49">
        <v>46090</v>
      </c>
      <c r="P131" s="43" t="s">
        <v>141</v>
      </c>
      <c r="Q131" s="43" t="s">
        <v>132</v>
      </c>
      <c r="R131" s="43">
        <v>61</v>
      </c>
      <c r="S131" s="43">
        <v>108</v>
      </c>
      <c r="T131" s="50" t="s">
        <v>140</v>
      </c>
      <c r="U131" s="46" t="s">
        <v>141</v>
      </c>
      <c r="V131" s="51"/>
      <c r="W131" s="49"/>
      <c r="X131" s="44" t="s">
        <v>135</v>
      </c>
      <c r="Y131" s="82"/>
      <c r="Z131" s="82"/>
      <c r="AA131" s="51"/>
    </row>
    <row r="132" spans="1:27" ht="12.95" customHeight="1">
      <c r="A132" s="43">
        <v>172</v>
      </c>
      <c r="B132" s="77" t="s">
        <v>16</v>
      </c>
      <c r="C132" s="77" t="s">
        <v>12</v>
      </c>
      <c r="D132" s="43" t="s">
        <v>19</v>
      </c>
      <c r="E132" s="44" t="s">
        <v>65</v>
      </c>
      <c r="F132" s="79" t="s">
        <v>27</v>
      </c>
      <c r="G132" s="80">
        <v>418379</v>
      </c>
      <c r="H132" s="43" t="s">
        <v>26</v>
      </c>
      <c r="I132" s="43" t="s">
        <v>18</v>
      </c>
      <c r="J132" s="52" t="s">
        <v>3</v>
      </c>
      <c r="K132" s="43" t="s">
        <v>123</v>
      </c>
      <c r="L132" s="43" t="s">
        <v>137</v>
      </c>
      <c r="M132" s="44" t="s">
        <v>138</v>
      </c>
      <c r="N132" s="49">
        <v>46179</v>
      </c>
      <c r="O132" s="49">
        <v>46179</v>
      </c>
      <c r="P132" s="43" t="s">
        <v>141</v>
      </c>
      <c r="Q132" s="43" t="s">
        <v>132</v>
      </c>
      <c r="R132" s="43">
        <v>61</v>
      </c>
      <c r="S132" s="43"/>
      <c r="T132" s="50"/>
      <c r="U132" s="46" t="s">
        <v>141</v>
      </c>
      <c r="V132" s="51"/>
      <c r="W132" s="49"/>
      <c r="X132" s="44" t="s">
        <v>139</v>
      </c>
      <c r="Y132" s="49"/>
      <c r="Z132" s="49"/>
      <c r="AA132" s="51"/>
    </row>
    <row r="133" spans="1:27" ht="12.95" customHeight="1">
      <c r="A133" s="43">
        <v>73</v>
      </c>
      <c r="B133" s="77" t="s">
        <v>16</v>
      </c>
      <c r="C133" s="77" t="s">
        <v>12</v>
      </c>
      <c r="D133" s="43" t="s">
        <v>19</v>
      </c>
      <c r="E133" s="44" t="s">
        <v>65</v>
      </c>
      <c r="F133" s="79" t="s">
        <v>9</v>
      </c>
      <c r="G133" s="80">
        <v>265581</v>
      </c>
      <c r="H133" s="43" t="s">
        <v>26</v>
      </c>
      <c r="I133" s="43" t="s">
        <v>29</v>
      </c>
      <c r="J133" s="83" t="s">
        <v>6</v>
      </c>
      <c r="K133" s="43" t="s">
        <v>123</v>
      </c>
      <c r="L133" s="43" t="s">
        <v>137</v>
      </c>
      <c r="M133" s="44" t="s">
        <v>137</v>
      </c>
      <c r="N133" s="49">
        <v>46167</v>
      </c>
      <c r="O133" s="49">
        <v>46062</v>
      </c>
      <c r="P133" s="49" t="s">
        <v>141</v>
      </c>
      <c r="Q133" s="43" t="s">
        <v>126</v>
      </c>
      <c r="R133" s="43">
        <v>65</v>
      </c>
      <c r="S133" s="43">
        <v>8</v>
      </c>
      <c r="T133" s="50" t="s">
        <v>139</v>
      </c>
      <c r="U133" s="46" t="s">
        <v>141</v>
      </c>
      <c r="V133" s="51"/>
      <c r="W133" s="49"/>
      <c r="X133" s="44" t="s">
        <v>136</v>
      </c>
      <c r="Y133" s="51"/>
      <c r="Z133" s="51"/>
      <c r="AA133" s="51"/>
    </row>
    <row r="134" spans="1:27" ht="12.95" customHeight="1">
      <c r="A134" s="43">
        <v>86</v>
      </c>
      <c r="B134" s="77" t="s">
        <v>16</v>
      </c>
      <c r="C134" s="77" t="s">
        <v>12</v>
      </c>
      <c r="D134" s="43" t="s">
        <v>19</v>
      </c>
      <c r="E134" s="44" t="s">
        <v>65</v>
      </c>
      <c r="F134" s="79" t="s">
        <v>9</v>
      </c>
      <c r="G134" s="80">
        <v>254667</v>
      </c>
      <c r="H134" s="43" t="s">
        <v>9</v>
      </c>
      <c r="I134" s="43" t="s">
        <v>18</v>
      </c>
      <c r="J134" s="73" t="s">
        <v>18</v>
      </c>
      <c r="K134" s="43" t="s">
        <v>123</v>
      </c>
      <c r="L134" s="45" t="s">
        <v>137</v>
      </c>
      <c r="M134" s="76" t="s">
        <v>138</v>
      </c>
      <c r="N134" s="84">
        <v>46093</v>
      </c>
      <c r="O134" s="84">
        <v>46093</v>
      </c>
      <c r="P134" s="49" t="s">
        <v>141</v>
      </c>
      <c r="Q134" s="45" t="s">
        <v>132</v>
      </c>
      <c r="R134" s="43">
        <v>61</v>
      </c>
      <c r="S134" s="43">
        <v>13</v>
      </c>
      <c r="T134" s="50" t="s">
        <v>139</v>
      </c>
      <c r="U134" s="46" t="s">
        <v>141</v>
      </c>
      <c r="V134" s="51"/>
      <c r="W134" s="49"/>
      <c r="X134" s="44" t="s">
        <v>134</v>
      </c>
      <c r="Y134" s="51"/>
      <c r="Z134" s="51"/>
      <c r="AA134" s="51"/>
    </row>
    <row r="135" spans="1:27" ht="12.95" customHeight="1">
      <c r="A135" s="43">
        <v>88</v>
      </c>
      <c r="B135" s="77" t="s">
        <v>16</v>
      </c>
      <c r="C135" s="77" t="s">
        <v>12</v>
      </c>
      <c r="D135" s="43" t="s">
        <v>19</v>
      </c>
      <c r="E135" s="44" t="s">
        <v>65</v>
      </c>
      <c r="F135" s="79" t="s">
        <v>9</v>
      </c>
      <c r="G135" s="80">
        <v>505697</v>
      </c>
      <c r="H135" s="43" t="s">
        <v>26</v>
      </c>
      <c r="I135" s="43" t="s">
        <v>18</v>
      </c>
      <c r="J135" s="83" t="s">
        <v>8</v>
      </c>
      <c r="K135" s="43" t="s">
        <v>123</v>
      </c>
      <c r="L135" s="85" t="s">
        <v>137</v>
      </c>
      <c r="M135" s="71" t="s">
        <v>137</v>
      </c>
      <c r="N135" s="49">
        <v>46029</v>
      </c>
      <c r="O135" s="49">
        <v>46029</v>
      </c>
      <c r="P135" s="49">
        <v>46244</v>
      </c>
      <c r="Q135" s="43" t="s">
        <v>126</v>
      </c>
      <c r="R135" s="43">
        <v>65</v>
      </c>
      <c r="S135" s="43">
        <v>65</v>
      </c>
      <c r="T135" s="50" t="s">
        <v>141</v>
      </c>
      <c r="U135" s="46" t="s">
        <v>141</v>
      </c>
      <c r="V135" s="51"/>
      <c r="W135" s="49"/>
      <c r="X135" s="44" t="s">
        <v>135</v>
      </c>
      <c r="Y135" s="51"/>
      <c r="Z135" s="51"/>
      <c r="AA135" s="51"/>
    </row>
    <row r="136" spans="1:27" ht="12.95" customHeight="1">
      <c r="A136" s="43">
        <v>134</v>
      </c>
      <c r="B136" s="77" t="s">
        <v>16</v>
      </c>
      <c r="C136" s="77" t="s">
        <v>12</v>
      </c>
      <c r="D136" s="43" t="s">
        <v>19</v>
      </c>
      <c r="E136" s="44" t="s">
        <v>65</v>
      </c>
      <c r="F136" s="79" t="s">
        <v>9</v>
      </c>
      <c r="G136" s="80">
        <v>429298</v>
      </c>
      <c r="H136" s="43" t="s">
        <v>9</v>
      </c>
      <c r="I136" s="43" t="s">
        <v>18</v>
      </c>
      <c r="J136" s="44" t="s">
        <v>7</v>
      </c>
      <c r="K136" s="43" t="s">
        <v>123</v>
      </c>
      <c r="L136" s="43" t="s">
        <v>140</v>
      </c>
      <c r="M136" s="44" t="s">
        <v>141</v>
      </c>
      <c r="N136" s="49">
        <v>46167</v>
      </c>
      <c r="O136" s="49">
        <v>46130</v>
      </c>
      <c r="P136" s="49">
        <v>46117</v>
      </c>
      <c r="Q136" s="43" t="s">
        <v>132</v>
      </c>
      <c r="R136" s="43">
        <v>61</v>
      </c>
      <c r="S136" s="43">
        <v>30</v>
      </c>
      <c r="T136" s="50" t="s">
        <v>141</v>
      </c>
      <c r="U136" s="46" t="s">
        <v>141</v>
      </c>
      <c r="V136" s="51"/>
      <c r="W136" s="49"/>
      <c r="X136" s="44" t="s">
        <v>134</v>
      </c>
      <c r="Y136" s="51"/>
      <c r="Z136" s="51"/>
      <c r="AA136" s="51"/>
    </row>
    <row r="137" spans="1:27" ht="12.95" customHeight="1">
      <c r="A137" s="43">
        <v>110</v>
      </c>
      <c r="B137" s="77" t="s">
        <v>16</v>
      </c>
      <c r="C137" s="77" t="s">
        <v>12</v>
      </c>
      <c r="D137" s="43" t="s">
        <v>19</v>
      </c>
      <c r="E137" s="44" t="s">
        <v>65</v>
      </c>
      <c r="F137" s="79" t="s">
        <v>12</v>
      </c>
      <c r="G137" s="80">
        <v>392918</v>
      </c>
      <c r="H137" s="43" t="s">
        <v>26</v>
      </c>
      <c r="I137" s="43" t="s">
        <v>18</v>
      </c>
      <c r="J137" s="44" t="s">
        <v>9</v>
      </c>
      <c r="K137" s="43" t="s">
        <v>123</v>
      </c>
      <c r="L137" s="43" t="s">
        <v>137</v>
      </c>
      <c r="M137" s="44" t="s">
        <v>138</v>
      </c>
      <c r="N137" s="49">
        <v>46167</v>
      </c>
      <c r="O137" s="49">
        <v>46062</v>
      </c>
      <c r="P137" s="49">
        <v>46143</v>
      </c>
      <c r="Q137" s="43" t="s">
        <v>132</v>
      </c>
      <c r="R137" s="43">
        <v>61</v>
      </c>
      <c r="S137" s="43">
        <v>8</v>
      </c>
      <c r="T137" s="50" t="s">
        <v>139</v>
      </c>
      <c r="U137" s="46" t="s">
        <v>141</v>
      </c>
      <c r="V137" s="51"/>
      <c r="W137" s="49"/>
      <c r="X137" s="44" t="s">
        <v>133</v>
      </c>
      <c r="Y137" s="51"/>
      <c r="Z137" s="51"/>
      <c r="AA137" s="51"/>
    </row>
    <row r="138" spans="1:27" ht="12.95" customHeight="1">
      <c r="A138" s="43">
        <v>108</v>
      </c>
      <c r="B138" s="77" t="s">
        <v>16</v>
      </c>
      <c r="C138" s="77" t="s">
        <v>12</v>
      </c>
      <c r="D138" s="43" t="s">
        <v>19</v>
      </c>
      <c r="E138" s="44" t="s">
        <v>65</v>
      </c>
      <c r="F138" s="79" t="s">
        <v>27</v>
      </c>
      <c r="G138" s="80">
        <v>374757</v>
      </c>
      <c r="H138" s="43" t="s">
        <v>26</v>
      </c>
      <c r="I138" s="43" t="s">
        <v>29</v>
      </c>
      <c r="J138" s="83" t="s">
        <v>6</v>
      </c>
      <c r="K138" s="43" t="s">
        <v>123</v>
      </c>
      <c r="L138" s="43" t="s">
        <v>137</v>
      </c>
      <c r="M138" s="44" t="s">
        <v>138</v>
      </c>
      <c r="N138" s="49">
        <v>46167</v>
      </c>
      <c r="O138" s="49">
        <v>46062</v>
      </c>
      <c r="P138" s="49">
        <v>46143</v>
      </c>
      <c r="Q138" s="43" t="s">
        <v>132</v>
      </c>
      <c r="R138" s="43">
        <v>61</v>
      </c>
      <c r="S138" s="43">
        <v>8</v>
      </c>
      <c r="T138" s="50" t="s">
        <v>139</v>
      </c>
      <c r="U138" s="46" t="s">
        <v>141</v>
      </c>
      <c r="V138" s="51"/>
      <c r="W138" s="49"/>
      <c r="X138" s="44" t="s">
        <v>127</v>
      </c>
      <c r="Y138" s="51"/>
      <c r="Z138" s="51"/>
      <c r="AA138" s="51"/>
    </row>
    <row r="139" spans="1:27" ht="12.95" customHeight="1">
      <c r="A139" s="43">
        <v>170</v>
      </c>
      <c r="B139" s="77" t="s">
        <v>16</v>
      </c>
      <c r="C139" s="77" t="s">
        <v>12</v>
      </c>
      <c r="D139" s="43" t="s">
        <v>19</v>
      </c>
      <c r="E139" s="44" t="s">
        <v>65</v>
      </c>
      <c r="F139" s="79" t="s">
        <v>27</v>
      </c>
      <c r="G139" s="80">
        <v>385674</v>
      </c>
      <c r="H139" s="43" t="s">
        <v>9</v>
      </c>
      <c r="I139" s="43" t="s">
        <v>18</v>
      </c>
      <c r="J139" s="44" t="s">
        <v>7</v>
      </c>
      <c r="K139" s="43" t="s">
        <v>123</v>
      </c>
      <c r="L139" s="43" t="s">
        <v>132</v>
      </c>
      <c r="M139" s="71" t="s">
        <v>138</v>
      </c>
      <c r="N139" s="49">
        <v>46167</v>
      </c>
      <c r="O139" s="49">
        <v>46167</v>
      </c>
      <c r="P139" s="49">
        <v>46143</v>
      </c>
      <c r="Q139" s="43" t="s">
        <v>132</v>
      </c>
      <c r="R139" s="43">
        <v>61</v>
      </c>
      <c r="S139" s="43">
        <v>42</v>
      </c>
      <c r="T139" s="50" t="s">
        <v>141</v>
      </c>
      <c r="U139" s="46" t="s">
        <v>141</v>
      </c>
      <c r="V139" s="51"/>
      <c r="W139" s="49"/>
      <c r="X139" s="44" t="s">
        <v>126</v>
      </c>
      <c r="Y139" s="51"/>
      <c r="Z139" s="51"/>
      <c r="AA139" s="51"/>
    </row>
    <row r="140" spans="1:27" ht="12.95" customHeight="1">
      <c r="A140" s="43">
        <v>158</v>
      </c>
      <c r="B140" s="77" t="s">
        <v>16</v>
      </c>
      <c r="C140" s="77" t="s">
        <v>12</v>
      </c>
      <c r="D140" s="43" t="s">
        <v>19</v>
      </c>
      <c r="E140" s="44" t="s">
        <v>65</v>
      </c>
      <c r="F140" s="79" t="s">
        <v>9</v>
      </c>
      <c r="G140" s="80">
        <v>476637</v>
      </c>
      <c r="H140" s="43" t="s">
        <v>9</v>
      </c>
      <c r="I140" s="43" t="s">
        <v>18</v>
      </c>
      <c r="J140" s="73" t="s">
        <v>18</v>
      </c>
      <c r="K140" s="43" t="s">
        <v>123</v>
      </c>
      <c r="L140" s="43" t="s">
        <v>132</v>
      </c>
      <c r="M140" s="44" t="s">
        <v>138</v>
      </c>
      <c r="N140" s="49">
        <v>46167</v>
      </c>
      <c r="O140" s="49">
        <v>46167</v>
      </c>
      <c r="P140" s="49" t="s">
        <v>140</v>
      </c>
      <c r="Q140" s="43" t="s">
        <v>132</v>
      </c>
      <c r="R140" s="43">
        <v>61</v>
      </c>
      <c r="S140" s="43">
        <v>42</v>
      </c>
      <c r="T140" s="50" t="s">
        <v>141</v>
      </c>
      <c r="U140" s="46" t="s">
        <v>141</v>
      </c>
      <c r="V140" s="51"/>
      <c r="W140" s="49"/>
      <c r="X140" s="44" t="s">
        <v>139</v>
      </c>
      <c r="Y140" s="51"/>
      <c r="Z140" s="51"/>
      <c r="AA140" s="51"/>
    </row>
    <row r="141" spans="1:27" ht="12.95" customHeight="1">
      <c r="A141" s="43">
        <v>112</v>
      </c>
      <c r="B141" s="77" t="s">
        <v>16</v>
      </c>
      <c r="C141" s="77" t="s">
        <v>12</v>
      </c>
      <c r="D141" s="43" t="s">
        <v>19</v>
      </c>
      <c r="E141" s="44" t="s">
        <v>65</v>
      </c>
      <c r="F141" s="79" t="s">
        <v>9</v>
      </c>
      <c r="G141" s="80">
        <v>323823</v>
      </c>
      <c r="H141" s="43" t="s">
        <v>26</v>
      </c>
      <c r="I141" s="43" t="s">
        <v>18</v>
      </c>
      <c r="J141" s="52" t="s">
        <v>3</v>
      </c>
      <c r="K141" s="43" t="s">
        <v>123</v>
      </c>
      <c r="L141" s="43" t="s">
        <v>137</v>
      </c>
      <c r="M141" s="44" t="s">
        <v>138</v>
      </c>
      <c r="N141" s="49">
        <v>46149</v>
      </c>
      <c r="O141" s="49">
        <v>46149</v>
      </c>
      <c r="P141" s="49">
        <v>46143</v>
      </c>
      <c r="Q141" s="43" t="s">
        <v>132</v>
      </c>
      <c r="R141" s="43">
        <v>61</v>
      </c>
      <c r="S141" s="43">
        <v>38</v>
      </c>
      <c r="T141" s="50" t="s">
        <v>139</v>
      </c>
      <c r="U141" s="46" t="s">
        <v>141</v>
      </c>
      <c r="V141" s="51"/>
      <c r="W141" s="49"/>
      <c r="X141" s="44" t="s">
        <v>133</v>
      </c>
      <c r="Y141" s="51"/>
      <c r="Z141" s="51"/>
      <c r="AA141" s="51"/>
    </row>
    <row r="142" spans="1:27" ht="12.95" customHeight="1">
      <c r="A142" s="43">
        <v>130</v>
      </c>
      <c r="B142" s="77" t="s">
        <v>16</v>
      </c>
      <c r="C142" s="77" t="s">
        <v>12</v>
      </c>
      <c r="D142" s="43" t="s">
        <v>19</v>
      </c>
      <c r="E142" s="44" t="s">
        <v>65</v>
      </c>
      <c r="F142" s="79" t="s">
        <v>9</v>
      </c>
      <c r="G142" s="80">
        <v>331101</v>
      </c>
      <c r="H142" s="43" t="s">
        <v>26</v>
      </c>
      <c r="I142" s="43" t="s">
        <v>18</v>
      </c>
      <c r="J142" s="44" t="s">
        <v>7</v>
      </c>
      <c r="K142" s="43" t="s">
        <v>123</v>
      </c>
      <c r="L142" s="43" t="s">
        <v>126</v>
      </c>
      <c r="M142" s="44" t="s">
        <v>132</v>
      </c>
      <c r="N142" s="49">
        <v>46212</v>
      </c>
      <c r="O142" s="49">
        <v>46212</v>
      </c>
      <c r="P142" s="49">
        <v>46152</v>
      </c>
      <c r="Q142" s="43" t="s">
        <v>132</v>
      </c>
      <c r="R142" s="43">
        <v>61</v>
      </c>
      <c r="S142" s="43">
        <v>21</v>
      </c>
      <c r="T142" s="50" t="s">
        <v>139</v>
      </c>
      <c r="U142" s="46" t="s">
        <v>141</v>
      </c>
      <c r="V142" s="51"/>
      <c r="W142" s="49"/>
      <c r="X142" s="44" t="s">
        <v>140</v>
      </c>
      <c r="Y142" s="51"/>
      <c r="Z142" s="51"/>
      <c r="AA142" s="51"/>
    </row>
    <row r="143" spans="1:27" ht="12.95" customHeight="1">
      <c r="A143" s="43">
        <v>165</v>
      </c>
      <c r="B143" s="77" t="s">
        <v>16</v>
      </c>
      <c r="C143" s="77" t="s">
        <v>12</v>
      </c>
      <c r="D143" s="43" t="s">
        <v>19</v>
      </c>
      <c r="E143" s="44" t="s">
        <v>65</v>
      </c>
      <c r="F143" s="79" t="s">
        <v>19</v>
      </c>
      <c r="G143" s="80">
        <v>221947</v>
      </c>
      <c r="H143" s="43" t="s">
        <v>26</v>
      </c>
      <c r="I143" s="43" t="s">
        <v>18</v>
      </c>
      <c r="J143" s="44" t="s">
        <v>7</v>
      </c>
      <c r="K143" s="43" t="s">
        <v>123</v>
      </c>
      <c r="L143" s="43" t="s">
        <v>126</v>
      </c>
      <c r="M143" s="44" t="s">
        <v>132</v>
      </c>
      <c r="N143" s="49">
        <v>46212</v>
      </c>
      <c r="O143" s="49">
        <v>46212</v>
      </c>
      <c r="P143" s="49">
        <v>46205</v>
      </c>
      <c r="Q143" s="43" t="s">
        <v>132</v>
      </c>
      <c r="R143" s="43">
        <v>61</v>
      </c>
      <c r="S143" s="43">
        <v>21</v>
      </c>
      <c r="T143" s="50" t="s">
        <v>139</v>
      </c>
      <c r="U143" s="46" t="s">
        <v>141</v>
      </c>
      <c r="V143" s="51"/>
      <c r="W143" s="49"/>
      <c r="X143" s="44" t="s">
        <v>132</v>
      </c>
      <c r="Y143" s="51"/>
      <c r="Z143" s="51"/>
      <c r="AA143" s="51"/>
    </row>
    <row r="144" spans="1:27" ht="12.95" customHeight="1">
      <c r="A144" s="43">
        <v>84</v>
      </c>
      <c r="B144" s="77" t="s">
        <v>16</v>
      </c>
      <c r="C144" s="77" t="s">
        <v>12</v>
      </c>
      <c r="D144" s="43" t="s">
        <v>19</v>
      </c>
      <c r="E144" s="44" t="s">
        <v>65</v>
      </c>
      <c r="F144" s="79" t="s">
        <v>19</v>
      </c>
      <c r="G144" s="80">
        <v>240140</v>
      </c>
      <c r="H144" s="43" t="s">
        <v>26</v>
      </c>
      <c r="I144" s="43" t="s">
        <v>18</v>
      </c>
      <c r="J144" s="44" t="s">
        <v>7</v>
      </c>
      <c r="K144" s="43" t="s">
        <v>123</v>
      </c>
      <c r="L144" s="43" t="s">
        <v>126</v>
      </c>
      <c r="M144" s="44" t="s">
        <v>132</v>
      </c>
      <c r="N144" s="49">
        <v>46212</v>
      </c>
      <c r="O144" s="49">
        <v>46212</v>
      </c>
      <c r="P144" s="49">
        <v>46117</v>
      </c>
      <c r="Q144" s="43" t="s">
        <v>132</v>
      </c>
      <c r="R144" s="43">
        <v>61</v>
      </c>
      <c r="S144" s="43">
        <v>12</v>
      </c>
      <c r="T144" s="50" t="s">
        <v>139</v>
      </c>
      <c r="U144" s="46" t="s">
        <v>141</v>
      </c>
      <c r="V144" s="51"/>
      <c r="W144" s="49"/>
      <c r="X144" s="44" t="s">
        <v>138</v>
      </c>
      <c r="Y144" s="51"/>
      <c r="Z144" s="51"/>
      <c r="AA144" s="51"/>
    </row>
    <row r="145" spans="1:27" ht="12.95" customHeight="1">
      <c r="A145" s="43">
        <v>153</v>
      </c>
      <c r="B145" s="77" t="s">
        <v>16</v>
      </c>
      <c r="C145" s="77" t="s">
        <v>12</v>
      </c>
      <c r="D145" s="43" t="s">
        <v>19</v>
      </c>
      <c r="E145" s="44" t="s">
        <v>65</v>
      </c>
      <c r="F145" s="79" t="s">
        <v>19</v>
      </c>
      <c r="G145" s="80">
        <v>443897</v>
      </c>
      <c r="H145" s="43" t="s">
        <v>9</v>
      </c>
      <c r="I145" s="43" t="s">
        <v>18</v>
      </c>
      <c r="J145" s="44" t="s">
        <v>7</v>
      </c>
      <c r="K145" s="43" t="s">
        <v>123</v>
      </c>
      <c r="L145" s="43" t="s">
        <v>137</v>
      </c>
      <c r="M145" s="71" t="s">
        <v>138</v>
      </c>
      <c r="N145" s="49">
        <v>46093</v>
      </c>
      <c r="O145" s="49">
        <v>46093</v>
      </c>
      <c r="P145" s="49">
        <v>46244</v>
      </c>
      <c r="Q145" s="43" t="s">
        <v>132</v>
      </c>
      <c r="R145" s="43">
        <v>61</v>
      </c>
      <c r="S145" s="43">
        <v>13</v>
      </c>
      <c r="T145" s="50" t="s">
        <v>139</v>
      </c>
      <c r="U145" s="46" t="s">
        <v>141</v>
      </c>
      <c r="V145" s="51"/>
      <c r="W145" s="49"/>
      <c r="X145" s="44" t="s">
        <v>123</v>
      </c>
      <c r="Y145" s="51"/>
      <c r="Z145" s="51"/>
      <c r="AA145" s="51"/>
    </row>
    <row r="146" spans="1:27" ht="12.95" customHeight="1">
      <c r="A146" s="43">
        <v>122</v>
      </c>
      <c r="B146" s="77" t="s">
        <v>16</v>
      </c>
      <c r="C146" s="77" t="s">
        <v>12</v>
      </c>
      <c r="D146" s="43" t="s">
        <v>19</v>
      </c>
      <c r="E146" s="44" t="s">
        <v>65</v>
      </c>
      <c r="F146" s="79" t="s">
        <v>12</v>
      </c>
      <c r="G146" s="80">
        <v>502114</v>
      </c>
      <c r="H146" s="43" t="s">
        <v>9</v>
      </c>
      <c r="I146" s="43" t="s">
        <v>18</v>
      </c>
      <c r="J146" s="44" t="s">
        <v>7</v>
      </c>
      <c r="K146" s="43" t="s">
        <v>123</v>
      </c>
      <c r="L146" s="85" t="s">
        <v>137</v>
      </c>
      <c r="M146" s="71" t="s">
        <v>138</v>
      </c>
      <c r="N146" s="86">
        <v>46093</v>
      </c>
      <c r="O146" s="86">
        <v>46093</v>
      </c>
      <c r="P146" s="49">
        <v>46244</v>
      </c>
      <c r="Q146" s="85" t="s">
        <v>132</v>
      </c>
      <c r="R146" s="43">
        <v>61</v>
      </c>
      <c r="S146" s="43">
        <v>13</v>
      </c>
      <c r="T146" s="50" t="s">
        <v>139</v>
      </c>
      <c r="U146" s="46" t="s">
        <v>141</v>
      </c>
      <c r="V146" s="51"/>
      <c r="W146" s="49"/>
      <c r="X146" s="44" t="s">
        <v>123</v>
      </c>
      <c r="Y146" s="54"/>
      <c r="Z146" s="54"/>
      <c r="AA146" s="51"/>
    </row>
    <row r="147" spans="1:27" ht="12.95" customHeight="1">
      <c r="A147" s="43">
        <v>121</v>
      </c>
      <c r="B147" s="77" t="s">
        <v>16</v>
      </c>
      <c r="C147" s="77" t="s">
        <v>12</v>
      </c>
      <c r="D147" s="43" t="s">
        <v>19</v>
      </c>
      <c r="E147" s="44" t="s">
        <v>65</v>
      </c>
      <c r="F147" s="79" t="s">
        <v>12</v>
      </c>
      <c r="G147" s="80">
        <v>509393</v>
      </c>
      <c r="H147" s="43" t="s">
        <v>9</v>
      </c>
      <c r="I147" s="43" t="s">
        <v>18</v>
      </c>
      <c r="J147" s="73" t="s">
        <v>18</v>
      </c>
      <c r="K147" s="43" t="s">
        <v>123</v>
      </c>
      <c r="L147" s="87" t="s">
        <v>137</v>
      </c>
      <c r="M147" s="73" t="s">
        <v>138</v>
      </c>
      <c r="N147" s="88">
        <v>46093</v>
      </c>
      <c r="O147" s="88">
        <v>46093</v>
      </c>
      <c r="P147" s="49">
        <v>46244</v>
      </c>
      <c r="Q147" s="43" t="s">
        <v>132</v>
      </c>
      <c r="R147" s="43">
        <v>61</v>
      </c>
      <c r="S147" s="43">
        <v>13</v>
      </c>
      <c r="T147" s="50" t="s">
        <v>139</v>
      </c>
      <c r="U147" s="46" t="s">
        <v>141</v>
      </c>
      <c r="V147" s="51"/>
      <c r="W147" s="49"/>
      <c r="X147" s="44" t="s">
        <v>137</v>
      </c>
      <c r="Y147" s="51"/>
      <c r="Z147" s="51"/>
      <c r="AA147" s="51"/>
    </row>
    <row r="148" spans="1:27" ht="12.95" customHeight="1">
      <c r="A148" s="43">
        <v>197</v>
      </c>
      <c r="B148" s="77" t="s">
        <v>16</v>
      </c>
      <c r="C148" s="77" t="s">
        <v>12</v>
      </c>
      <c r="D148" s="43" t="s">
        <v>19</v>
      </c>
      <c r="E148" s="44" t="s">
        <v>65</v>
      </c>
      <c r="F148" s="79" t="s">
        <v>12</v>
      </c>
      <c r="G148" s="80">
        <v>334745</v>
      </c>
      <c r="H148" s="43" t="s">
        <v>26</v>
      </c>
      <c r="I148" s="43" t="s">
        <v>18</v>
      </c>
      <c r="J148" s="44" t="s">
        <v>7</v>
      </c>
      <c r="K148" s="43" t="s">
        <v>123</v>
      </c>
      <c r="L148" s="43" t="s">
        <v>140</v>
      </c>
      <c r="M148" s="44" t="s">
        <v>141</v>
      </c>
      <c r="N148" s="49">
        <v>46214</v>
      </c>
      <c r="O148" s="49">
        <v>46214</v>
      </c>
      <c r="P148" s="49" t="s">
        <v>140</v>
      </c>
      <c r="Q148" s="43" t="s">
        <v>132</v>
      </c>
      <c r="R148" s="43">
        <v>61</v>
      </c>
      <c r="S148" s="43">
        <v>4</v>
      </c>
      <c r="T148" s="50" t="s">
        <v>139</v>
      </c>
      <c r="U148" s="46" t="s">
        <v>141</v>
      </c>
      <c r="V148" s="51"/>
      <c r="W148" s="49"/>
      <c r="X148" s="44" t="s">
        <v>137</v>
      </c>
      <c r="Y148" s="51"/>
      <c r="Z148" s="51"/>
      <c r="AA148" s="51"/>
    </row>
    <row r="149" spans="1:27" ht="12.95" customHeight="1">
      <c r="A149" s="43">
        <v>120</v>
      </c>
      <c r="B149" s="77" t="s">
        <v>16</v>
      </c>
      <c r="C149" s="77" t="s">
        <v>12</v>
      </c>
      <c r="D149" s="43" t="s">
        <v>19</v>
      </c>
      <c r="E149" s="44" t="s">
        <v>65</v>
      </c>
      <c r="F149" s="79" t="s">
        <v>12</v>
      </c>
      <c r="G149" s="80">
        <v>523950</v>
      </c>
      <c r="H149" s="43" t="s">
        <v>9</v>
      </c>
      <c r="I149" s="43" t="s">
        <v>18</v>
      </c>
      <c r="J149" s="44" t="s">
        <v>7</v>
      </c>
      <c r="K149" s="43" t="s">
        <v>123</v>
      </c>
      <c r="L149" s="43" t="s">
        <v>123</v>
      </c>
      <c r="M149" s="44" t="s">
        <v>137</v>
      </c>
      <c r="N149" s="49">
        <v>46214</v>
      </c>
      <c r="O149" s="49">
        <v>46230</v>
      </c>
      <c r="P149" s="49">
        <v>46244</v>
      </c>
      <c r="Q149" s="43" t="s">
        <v>132</v>
      </c>
      <c r="R149" s="43">
        <v>61</v>
      </c>
      <c r="S149" s="43"/>
      <c r="T149" s="50"/>
      <c r="U149" s="46" t="s">
        <v>141</v>
      </c>
      <c r="V149" s="51"/>
      <c r="W149" s="49"/>
      <c r="X149" s="44" t="s">
        <v>131</v>
      </c>
      <c r="Y149" s="51"/>
      <c r="Z149" s="51"/>
      <c r="AA149" s="51"/>
    </row>
    <row r="150" spans="1:27" ht="12.95" customHeight="1">
      <c r="A150" s="43">
        <v>119</v>
      </c>
      <c r="B150" s="77" t="s">
        <v>16</v>
      </c>
      <c r="C150" s="77" t="s">
        <v>12</v>
      </c>
      <c r="D150" s="43" t="s">
        <v>19</v>
      </c>
      <c r="E150" s="44" t="s">
        <v>65</v>
      </c>
      <c r="F150" s="79" t="s">
        <v>27</v>
      </c>
      <c r="G150" s="80">
        <v>280168</v>
      </c>
      <c r="H150" s="43" t="s">
        <v>41</v>
      </c>
      <c r="I150" s="43" t="s">
        <v>18</v>
      </c>
      <c r="J150" s="44" t="s">
        <v>4</v>
      </c>
      <c r="K150" s="43" t="s">
        <v>123</v>
      </c>
      <c r="L150" s="43" t="s">
        <v>132</v>
      </c>
      <c r="M150" s="44" t="s">
        <v>138</v>
      </c>
      <c r="N150" s="49">
        <v>46175</v>
      </c>
      <c r="O150" s="49">
        <v>46175</v>
      </c>
      <c r="P150" s="49">
        <v>46244</v>
      </c>
      <c r="Q150" s="43" t="s">
        <v>132</v>
      </c>
      <c r="R150" s="43">
        <v>61</v>
      </c>
      <c r="S150" s="43">
        <v>8</v>
      </c>
      <c r="T150" s="50" t="s">
        <v>139</v>
      </c>
      <c r="U150" s="46" t="s">
        <v>141</v>
      </c>
      <c r="V150" s="51"/>
      <c r="W150" s="49"/>
      <c r="X150" s="44" t="s">
        <v>133</v>
      </c>
      <c r="Y150" s="51"/>
      <c r="Z150" s="51"/>
      <c r="AA150" s="51"/>
    </row>
    <row r="151" spans="1:27" ht="12.95" customHeight="1">
      <c r="A151" s="43">
        <v>216</v>
      </c>
      <c r="B151" s="77" t="s">
        <v>16</v>
      </c>
      <c r="C151" s="77" t="s">
        <v>12</v>
      </c>
      <c r="D151" s="43" t="s">
        <v>19</v>
      </c>
      <c r="E151" s="44" t="s">
        <v>65</v>
      </c>
      <c r="F151" s="79" t="s">
        <v>27</v>
      </c>
      <c r="G151" s="80">
        <v>211036</v>
      </c>
      <c r="H151" s="43" t="s">
        <v>9</v>
      </c>
      <c r="I151" s="43" t="s">
        <v>18</v>
      </c>
      <c r="J151" s="44" t="s">
        <v>9</v>
      </c>
      <c r="K151" s="43" t="s">
        <v>123</v>
      </c>
      <c r="L151" s="43" t="s">
        <v>140</v>
      </c>
      <c r="M151" s="44" t="s">
        <v>141</v>
      </c>
      <c r="N151" s="49">
        <v>45930</v>
      </c>
      <c r="O151" s="49">
        <v>45950</v>
      </c>
      <c r="P151" s="49">
        <v>46205</v>
      </c>
      <c r="Q151" s="43" t="s">
        <v>132</v>
      </c>
      <c r="R151" s="43">
        <v>61</v>
      </c>
      <c r="S151" s="50">
        <f t="shared" ref="S151:S168" ca="1" si="0">TODAY()-O151</f>
        <v>248</v>
      </c>
      <c r="T151" s="50" t="s">
        <v>132</v>
      </c>
      <c r="U151" s="46" t="s">
        <v>137</v>
      </c>
      <c r="V151" s="51"/>
      <c r="W151" s="49"/>
      <c r="X151" s="44" t="s">
        <v>132</v>
      </c>
      <c r="Y151" s="51"/>
      <c r="Z151" s="51"/>
      <c r="AA151" s="51"/>
    </row>
    <row r="152" spans="1:27" ht="12.95" customHeight="1">
      <c r="A152" s="43">
        <v>101</v>
      </c>
      <c r="B152" s="77" t="s">
        <v>16</v>
      </c>
      <c r="C152" s="77" t="s">
        <v>12</v>
      </c>
      <c r="D152" s="43" t="s">
        <v>19</v>
      </c>
      <c r="E152" s="44" t="s">
        <v>65</v>
      </c>
      <c r="F152" s="79" t="s">
        <v>27</v>
      </c>
      <c r="G152" s="80">
        <v>480291</v>
      </c>
      <c r="H152" s="43" t="s">
        <v>9</v>
      </c>
      <c r="I152" s="43" t="s">
        <v>18</v>
      </c>
      <c r="J152" s="44" t="s">
        <v>4</v>
      </c>
      <c r="K152" s="43" t="s">
        <v>123</v>
      </c>
      <c r="L152" s="43" t="s">
        <v>132</v>
      </c>
      <c r="M152" s="44" t="s">
        <v>138</v>
      </c>
      <c r="N152" s="49">
        <v>46073</v>
      </c>
      <c r="O152" s="49">
        <v>46005</v>
      </c>
      <c r="P152" s="43" t="s">
        <v>140</v>
      </c>
      <c r="Q152" s="43" t="s">
        <v>132</v>
      </c>
      <c r="R152" s="43">
        <v>61</v>
      </c>
      <c r="S152" s="50">
        <f t="shared" ca="1" si="0"/>
        <v>193</v>
      </c>
      <c r="T152" s="50" t="s">
        <v>135</v>
      </c>
      <c r="U152" s="46" t="s">
        <v>137</v>
      </c>
      <c r="V152" s="51"/>
      <c r="W152" s="49"/>
      <c r="X152" s="44"/>
      <c r="Y152" s="51"/>
      <c r="Z152" s="51"/>
      <c r="AA152" s="51"/>
    </row>
    <row r="153" spans="1:27" ht="12.95" customHeight="1">
      <c r="A153" s="43">
        <v>160</v>
      </c>
      <c r="B153" s="77" t="s">
        <v>16</v>
      </c>
      <c r="C153" s="77" t="s">
        <v>12</v>
      </c>
      <c r="D153" s="43" t="s">
        <v>19</v>
      </c>
      <c r="E153" s="44" t="s">
        <v>65</v>
      </c>
      <c r="F153" s="79" t="s">
        <v>27</v>
      </c>
      <c r="G153" s="80">
        <v>378412</v>
      </c>
      <c r="H153" s="43" t="s">
        <v>9</v>
      </c>
      <c r="I153" s="43" t="s">
        <v>18</v>
      </c>
      <c r="J153" s="44" t="s">
        <v>9</v>
      </c>
      <c r="K153" s="43" t="s">
        <v>123</v>
      </c>
      <c r="L153" s="43" t="s">
        <v>132</v>
      </c>
      <c r="M153" s="44" t="s">
        <v>138</v>
      </c>
      <c r="N153" s="49">
        <v>46156</v>
      </c>
      <c r="O153" s="49">
        <v>46156</v>
      </c>
      <c r="P153" s="49">
        <v>46205</v>
      </c>
      <c r="Q153" s="43" t="s">
        <v>132</v>
      </c>
      <c r="R153" s="43">
        <v>61</v>
      </c>
      <c r="S153" s="50">
        <f t="shared" ca="1" si="0"/>
        <v>42</v>
      </c>
      <c r="T153" s="50" t="s">
        <v>135</v>
      </c>
      <c r="U153" s="46" t="s">
        <v>137</v>
      </c>
      <c r="V153" s="51"/>
      <c r="W153" s="49"/>
      <c r="X153" s="44"/>
      <c r="Y153" s="51"/>
      <c r="Z153" s="51"/>
      <c r="AA153" s="51"/>
    </row>
    <row r="154" spans="1:27" ht="12.95" customHeight="1">
      <c r="A154" s="43">
        <v>193</v>
      </c>
      <c r="B154" s="77" t="s">
        <v>16</v>
      </c>
      <c r="C154" s="77" t="s">
        <v>12</v>
      </c>
      <c r="D154" s="43" t="s">
        <v>19</v>
      </c>
      <c r="E154" s="44" t="s">
        <v>65</v>
      </c>
      <c r="F154" s="79" t="s">
        <v>27</v>
      </c>
      <c r="G154" s="80">
        <v>480294</v>
      </c>
      <c r="H154" s="43" t="s">
        <v>26</v>
      </c>
      <c r="I154" s="43" t="s">
        <v>18</v>
      </c>
      <c r="J154" s="44" t="s">
        <v>9</v>
      </c>
      <c r="K154" s="43" t="s">
        <v>123</v>
      </c>
      <c r="L154" s="43" t="s">
        <v>140</v>
      </c>
      <c r="M154" s="44" t="s">
        <v>141</v>
      </c>
      <c r="N154" s="49">
        <v>46167</v>
      </c>
      <c r="O154" s="49">
        <v>46130</v>
      </c>
      <c r="P154" s="49" t="s">
        <v>140</v>
      </c>
      <c r="Q154" s="43" t="s">
        <v>132</v>
      </c>
      <c r="R154" s="43">
        <v>61</v>
      </c>
      <c r="S154" s="50">
        <f t="shared" ca="1" si="0"/>
        <v>68</v>
      </c>
      <c r="T154" s="50" t="s">
        <v>140</v>
      </c>
      <c r="U154" s="46" t="s">
        <v>137</v>
      </c>
      <c r="V154" s="51"/>
      <c r="W154" s="49"/>
      <c r="X154" s="44"/>
      <c r="Y154" s="51"/>
      <c r="Z154" s="51"/>
      <c r="AA154" s="51"/>
    </row>
    <row r="155" spans="1:27" ht="12.95" customHeight="1">
      <c r="A155" s="43">
        <v>94</v>
      </c>
      <c r="B155" s="77" t="s">
        <v>16</v>
      </c>
      <c r="C155" s="77" t="s">
        <v>12</v>
      </c>
      <c r="D155" s="43" t="s">
        <v>19</v>
      </c>
      <c r="E155" s="44" t="s">
        <v>65</v>
      </c>
      <c r="F155" s="79" t="s">
        <v>27</v>
      </c>
      <c r="G155" s="80">
        <v>505765</v>
      </c>
      <c r="H155" s="43" t="s">
        <v>26</v>
      </c>
      <c r="I155" s="43" t="s">
        <v>18</v>
      </c>
      <c r="J155" s="73" t="s">
        <v>18</v>
      </c>
      <c r="K155" s="43" t="s">
        <v>123</v>
      </c>
      <c r="L155" s="43" t="s">
        <v>123</v>
      </c>
      <c r="M155" s="44" t="s">
        <v>137</v>
      </c>
      <c r="N155" s="49">
        <v>46167</v>
      </c>
      <c r="O155" s="49">
        <v>46062</v>
      </c>
      <c r="P155" s="49">
        <v>46143</v>
      </c>
      <c r="Q155" s="43" t="s">
        <v>132</v>
      </c>
      <c r="R155" s="43">
        <v>61</v>
      </c>
      <c r="S155" s="50">
        <f t="shared" ca="1" si="0"/>
        <v>136</v>
      </c>
      <c r="T155" s="50" t="s">
        <v>139</v>
      </c>
      <c r="U155" s="46" t="s">
        <v>137</v>
      </c>
      <c r="V155" s="51"/>
      <c r="W155" s="49"/>
      <c r="X155" s="44"/>
      <c r="Y155" s="51"/>
      <c r="Z155" s="51"/>
      <c r="AA155" s="51"/>
    </row>
    <row r="156" spans="1:27" ht="12.95" customHeight="1">
      <c r="A156" s="43">
        <v>202</v>
      </c>
      <c r="B156" s="77" t="s">
        <v>16</v>
      </c>
      <c r="C156" s="77" t="s">
        <v>12</v>
      </c>
      <c r="D156" s="43" t="s">
        <v>19</v>
      </c>
      <c r="E156" s="44" t="s">
        <v>65</v>
      </c>
      <c r="F156" s="79" t="s">
        <v>27</v>
      </c>
      <c r="G156" s="80">
        <v>265619</v>
      </c>
      <c r="H156" s="43" t="s">
        <v>26</v>
      </c>
      <c r="I156" s="43" t="s">
        <v>18</v>
      </c>
      <c r="J156" s="44" t="s">
        <v>9</v>
      </c>
      <c r="K156" s="43" t="s">
        <v>123</v>
      </c>
      <c r="L156" s="43" t="s">
        <v>137</v>
      </c>
      <c r="M156" s="44" t="s">
        <v>138</v>
      </c>
      <c r="N156" s="49">
        <v>46167</v>
      </c>
      <c r="O156" s="49">
        <v>46167</v>
      </c>
      <c r="P156" s="49">
        <v>46205</v>
      </c>
      <c r="Q156" s="43" t="s">
        <v>132</v>
      </c>
      <c r="R156" s="43">
        <v>61</v>
      </c>
      <c r="S156" s="50">
        <f t="shared" ca="1" si="0"/>
        <v>31</v>
      </c>
      <c r="T156" s="50" t="s">
        <v>140</v>
      </c>
      <c r="U156" s="46" t="s">
        <v>137</v>
      </c>
      <c r="V156" s="51"/>
      <c r="W156" s="49"/>
      <c r="X156" s="44"/>
      <c r="Y156" s="51"/>
      <c r="Z156" s="51"/>
      <c r="AA156" s="51"/>
    </row>
    <row r="157" spans="1:27" ht="12.95" customHeight="1">
      <c r="A157" s="43">
        <v>168</v>
      </c>
      <c r="B157" s="77" t="s">
        <v>16</v>
      </c>
      <c r="C157" s="77" t="s">
        <v>12</v>
      </c>
      <c r="D157" s="43" t="s">
        <v>19</v>
      </c>
      <c r="E157" s="44" t="s">
        <v>65</v>
      </c>
      <c r="F157" s="79" t="s">
        <v>27</v>
      </c>
      <c r="G157" s="80">
        <v>385694</v>
      </c>
      <c r="H157" s="43" t="s">
        <v>26</v>
      </c>
      <c r="I157" s="43" t="s">
        <v>29</v>
      </c>
      <c r="J157" s="83" t="s">
        <v>6</v>
      </c>
      <c r="K157" s="43" t="s">
        <v>123</v>
      </c>
      <c r="L157" s="43" t="s">
        <v>137</v>
      </c>
      <c r="M157" s="44" t="s">
        <v>138</v>
      </c>
      <c r="N157" s="49">
        <v>46167</v>
      </c>
      <c r="O157" s="49">
        <v>46062</v>
      </c>
      <c r="P157" s="49"/>
      <c r="Q157" s="43" t="s">
        <v>132</v>
      </c>
      <c r="R157" s="43">
        <v>61</v>
      </c>
      <c r="S157" s="50">
        <f t="shared" ca="1" si="0"/>
        <v>136</v>
      </c>
      <c r="T157" s="50" t="s">
        <v>139</v>
      </c>
      <c r="U157" s="46" t="s">
        <v>137</v>
      </c>
      <c r="V157" s="51"/>
      <c r="W157" s="49"/>
      <c r="X157" s="44"/>
      <c r="Y157" s="51"/>
      <c r="Z157" s="51"/>
      <c r="AA157" s="51"/>
    </row>
    <row r="158" spans="1:27" ht="12.95" customHeight="1">
      <c r="A158" s="43">
        <v>152</v>
      </c>
      <c r="B158" s="77" t="s">
        <v>16</v>
      </c>
      <c r="C158" s="77" t="s">
        <v>12</v>
      </c>
      <c r="D158" s="43" t="s">
        <v>19</v>
      </c>
      <c r="E158" s="44" t="s">
        <v>65</v>
      </c>
      <c r="F158" s="79" t="s">
        <v>27</v>
      </c>
      <c r="G158" s="80">
        <v>509408</v>
      </c>
      <c r="H158" s="43" t="s">
        <v>26</v>
      </c>
      <c r="I158" s="43" t="s">
        <v>18</v>
      </c>
      <c r="J158" s="44" t="s">
        <v>9</v>
      </c>
      <c r="K158" s="43" t="s">
        <v>123</v>
      </c>
      <c r="L158" s="43" t="s">
        <v>132</v>
      </c>
      <c r="M158" s="71" t="s">
        <v>138</v>
      </c>
      <c r="N158" s="49">
        <v>46167</v>
      </c>
      <c r="O158" s="49">
        <v>46167</v>
      </c>
      <c r="P158" s="49" t="s">
        <v>140</v>
      </c>
      <c r="Q158" s="43" t="s">
        <v>132</v>
      </c>
      <c r="R158" s="43">
        <v>61</v>
      </c>
      <c r="S158" s="50">
        <f t="shared" ca="1" si="0"/>
        <v>31</v>
      </c>
      <c r="T158" s="50" t="s">
        <v>140</v>
      </c>
      <c r="U158" s="46" t="s">
        <v>137</v>
      </c>
      <c r="V158" s="51"/>
      <c r="W158" s="49"/>
      <c r="X158" s="44"/>
      <c r="Y158" s="51"/>
      <c r="Z158" s="51"/>
      <c r="AA158" s="51"/>
    </row>
    <row r="159" spans="1:27" ht="12.95" customHeight="1">
      <c r="A159" s="43">
        <v>226</v>
      </c>
      <c r="B159" s="77" t="s">
        <v>16</v>
      </c>
      <c r="C159" s="77" t="s">
        <v>12</v>
      </c>
      <c r="D159" s="43" t="s">
        <v>19</v>
      </c>
      <c r="E159" s="44" t="s">
        <v>65</v>
      </c>
      <c r="F159" s="79" t="s">
        <v>27</v>
      </c>
      <c r="G159" s="80">
        <v>265621</v>
      </c>
      <c r="H159" s="43" t="s">
        <v>9</v>
      </c>
      <c r="I159" s="43" t="s">
        <v>18</v>
      </c>
      <c r="J159" s="44" t="s">
        <v>7</v>
      </c>
      <c r="K159" s="43" t="s">
        <v>123</v>
      </c>
      <c r="L159" s="43" t="s">
        <v>132</v>
      </c>
      <c r="M159" s="44" t="s">
        <v>138</v>
      </c>
      <c r="N159" s="49">
        <v>46167</v>
      </c>
      <c r="O159" s="49">
        <v>46167</v>
      </c>
      <c r="P159" s="49">
        <v>46205</v>
      </c>
      <c r="Q159" s="43" t="s">
        <v>132</v>
      </c>
      <c r="R159" s="43">
        <v>61</v>
      </c>
      <c r="S159" s="50">
        <f t="shared" ca="1" si="0"/>
        <v>31</v>
      </c>
      <c r="T159" s="50" t="s">
        <v>140</v>
      </c>
      <c r="U159" s="46" t="s">
        <v>137</v>
      </c>
      <c r="V159" s="51"/>
      <c r="W159" s="49"/>
      <c r="X159" s="44"/>
      <c r="Y159" s="51"/>
      <c r="Z159" s="51"/>
      <c r="AA159" s="51"/>
    </row>
    <row r="160" spans="1:27" ht="12.95" customHeight="1">
      <c r="A160" s="43">
        <v>119</v>
      </c>
      <c r="B160" s="77" t="s">
        <v>16</v>
      </c>
      <c r="C160" s="77" t="s">
        <v>12</v>
      </c>
      <c r="D160" s="43" t="s">
        <v>19</v>
      </c>
      <c r="E160" s="44" t="s">
        <v>65</v>
      </c>
      <c r="F160" s="79" t="s">
        <v>27</v>
      </c>
      <c r="G160" s="80">
        <v>458471</v>
      </c>
      <c r="H160" s="43" t="s">
        <v>9</v>
      </c>
      <c r="I160" s="43" t="s">
        <v>18</v>
      </c>
      <c r="J160" s="52" t="s">
        <v>3</v>
      </c>
      <c r="K160" s="43" t="s">
        <v>123</v>
      </c>
      <c r="L160" s="43" t="s">
        <v>132</v>
      </c>
      <c r="M160" s="44" t="s">
        <v>138</v>
      </c>
      <c r="N160" s="49">
        <v>46167</v>
      </c>
      <c r="O160" s="49">
        <v>46167</v>
      </c>
      <c r="P160" s="49" t="s">
        <v>140</v>
      </c>
      <c r="Q160" s="43" t="s">
        <v>132</v>
      </c>
      <c r="R160" s="43">
        <v>61</v>
      </c>
      <c r="S160" s="50">
        <f t="shared" ca="1" si="0"/>
        <v>31</v>
      </c>
      <c r="T160" s="50" t="s">
        <v>140</v>
      </c>
      <c r="U160" s="46" t="s">
        <v>137</v>
      </c>
      <c r="V160" s="51"/>
      <c r="W160" s="49"/>
      <c r="X160" s="44"/>
      <c r="Y160" s="51"/>
      <c r="Z160" s="51"/>
      <c r="AA160" s="51"/>
    </row>
    <row r="161" spans="1:27" ht="12.95" customHeight="1">
      <c r="A161" s="43">
        <v>216</v>
      </c>
      <c r="B161" s="77" t="s">
        <v>16</v>
      </c>
      <c r="C161" s="77" t="s">
        <v>12</v>
      </c>
      <c r="D161" s="43" t="s">
        <v>19</v>
      </c>
      <c r="E161" s="44" t="s">
        <v>65</v>
      </c>
      <c r="F161" s="79" t="s">
        <v>27</v>
      </c>
      <c r="G161" s="80">
        <v>218320</v>
      </c>
      <c r="H161" s="43" t="s">
        <v>9</v>
      </c>
      <c r="I161" s="43" t="s">
        <v>18</v>
      </c>
      <c r="J161" s="73" t="s">
        <v>18</v>
      </c>
      <c r="K161" s="43" t="s">
        <v>123</v>
      </c>
      <c r="L161" s="43" t="s">
        <v>132</v>
      </c>
      <c r="M161" s="44" t="s">
        <v>138</v>
      </c>
      <c r="N161" s="49">
        <v>46167</v>
      </c>
      <c r="O161" s="49">
        <v>46167</v>
      </c>
      <c r="P161" s="49" t="s">
        <v>140</v>
      </c>
      <c r="Q161" s="43" t="s">
        <v>132</v>
      </c>
      <c r="R161" s="43">
        <v>61</v>
      </c>
      <c r="S161" s="50">
        <f t="shared" ca="1" si="0"/>
        <v>31</v>
      </c>
      <c r="T161" s="50" t="s">
        <v>140</v>
      </c>
      <c r="U161" s="46" t="s">
        <v>137</v>
      </c>
      <c r="V161" s="51"/>
      <c r="W161" s="49"/>
      <c r="X161" s="44" t="s">
        <v>134</v>
      </c>
      <c r="Y161" s="51"/>
      <c r="Z161" s="51"/>
      <c r="AA161" s="51"/>
    </row>
    <row r="162" spans="1:27" ht="12.95" customHeight="1">
      <c r="A162" s="43">
        <v>135</v>
      </c>
      <c r="B162" s="77" t="s">
        <v>16</v>
      </c>
      <c r="C162" s="77" t="s">
        <v>12</v>
      </c>
      <c r="D162" s="43" t="s">
        <v>19</v>
      </c>
      <c r="E162" s="44" t="s">
        <v>65</v>
      </c>
      <c r="F162" s="79" t="s">
        <v>27</v>
      </c>
      <c r="G162" s="80">
        <v>356591</v>
      </c>
      <c r="H162" s="43" t="s">
        <v>26</v>
      </c>
      <c r="I162" s="43" t="s">
        <v>18</v>
      </c>
      <c r="J162" s="44" t="s">
        <v>9</v>
      </c>
      <c r="K162" s="43" t="s">
        <v>123</v>
      </c>
      <c r="L162" s="43" t="s">
        <v>126</v>
      </c>
      <c r="M162" s="44" t="s">
        <v>132</v>
      </c>
      <c r="N162" s="49">
        <v>46130</v>
      </c>
      <c r="O162" s="49">
        <v>46130</v>
      </c>
      <c r="P162" s="49">
        <v>46152</v>
      </c>
      <c r="Q162" s="43" t="s">
        <v>132</v>
      </c>
      <c r="R162" s="43">
        <v>61</v>
      </c>
      <c r="S162" s="50">
        <f t="shared" ca="1" si="0"/>
        <v>68</v>
      </c>
      <c r="T162" s="50" t="s">
        <v>140</v>
      </c>
      <c r="U162" s="46" t="s">
        <v>137</v>
      </c>
      <c r="V162" s="51"/>
      <c r="W162" s="49"/>
      <c r="X162" s="44" t="s">
        <v>137</v>
      </c>
      <c r="Y162" s="51"/>
      <c r="Z162" s="51"/>
      <c r="AA162" s="43"/>
    </row>
    <row r="163" spans="1:27" ht="12.95" customHeight="1">
      <c r="A163" s="43">
        <v>126</v>
      </c>
      <c r="B163" s="77" t="s">
        <v>16</v>
      </c>
      <c r="C163" s="77" t="s">
        <v>12</v>
      </c>
      <c r="D163" s="43" t="s">
        <v>19</v>
      </c>
      <c r="E163" s="44" t="s">
        <v>65</v>
      </c>
      <c r="F163" s="79" t="s">
        <v>27</v>
      </c>
      <c r="G163" s="80">
        <v>312927</v>
      </c>
      <c r="H163" s="43" t="s">
        <v>9</v>
      </c>
      <c r="I163" s="43" t="s">
        <v>18</v>
      </c>
      <c r="J163" s="44" t="s">
        <v>4</v>
      </c>
      <c r="K163" s="43" t="s">
        <v>123</v>
      </c>
      <c r="L163" s="85" t="s">
        <v>137</v>
      </c>
      <c r="M163" s="71" t="s">
        <v>138</v>
      </c>
      <c r="N163" s="49">
        <v>46093</v>
      </c>
      <c r="O163" s="49">
        <v>46093</v>
      </c>
      <c r="P163" s="49"/>
      <c r="Q163" s="43" t="s">
        <v>132</v>
      </c>
      <c r="R163" s="43">
        <v>61</v>
      </c>
      <c r="S163" s="50">
        <f t="shared" ca="1" si="0"/>
        <v>105</v>
      </c>
      <c r="T163" s="50" t="s">
        <v>140</v>
      </c>
      <c r="U163" s="46" t="s">
        <v>137</v>
      </c>
      <c r="V163" s="51"/>
      <c r="W163" s="49"/>
      <c r="X163" s="44" t="s">
        <v>135</v>
      </c>
      <c r="Y163" s="51"/>
      <c r="Z163" s="51"/>
      <c r="AA163" s="51"/>
    </row>
    <row r="164" spans="1:27" ht="12.95" customHeight="1">
      <c r="A164" s="43">
        <v>160</v>
      </c>
      <c r="B164" s="77" t="s">
        <v>16</v>
      </c>
      <c r="C164" s="77" t="s">
        <v>12</v>
      </c>
      <c r="D164" s="43" t="s">
        <v>19</v>
      </c>
      <c r="E164" s="44" t="s">
        <v>65</v>
      </c>
      <c r="F164" s="79" t="s">
        <v>27</v>
      </c>
      <c r="G164" s="80">
        <v>494863</v>
      </c>
      <c r="H164" s="43" t="s">
        <v>9</v>
      </c>
      <c r="I164" s="43" t="s">
        <v>18</v>
      </c>
      <c r="J164" s="44" t="s">
        <v>9</v>
      </c>
      <c r="K164" s="43" t="s">
        <v>123</v>
      </c>
      <c r="L164" s="43" t="s">
        <v>132</v>
      </c>
      <c r="M164" s="44" t="s">
        <v>138</v>
      </c>
      <c r="N164" s="49">
        <v>46190</v>
      </c>
      <c r="O164" s="49">
        <v>46190</v>
      </c>
      <c r="P164" s="49" t="s">
        <v>140</v>
      </c>
      <c r="Q164" s="43" t="s">
        <v>132</v>
      </c>
      <c r="R164" s="43">
        <v>61</v>
      </c>
      <c r="S164" s="50">
        <f t="shared" ca="1" si="0"/>
        <v>8</v>
      </c>
      <c r="T164" s="50" t="s">
        <v>140</v>
      </c>
      <c r="U164" s="46" t="s">
        <v>137</v>
      </c>
      <c r="V164" s="51"/>
      <c r="W164" s="49"/>
      <c r="X164" s="44"/>
      <c r="Y164" s="51"/>
      <c r="Z164" s="51"/>
      <c r="AA164" s="51"/>
    </row>
    <row r="165" spans="1:27" ht="12.95" customHeight="1">
      <c r="A165" s="43">
        <v>143</v>
      </c>
      <c r="B165" s="77" t="s">
        <v>16</v>
      </c>
      <c r="C165" s="77" t="s">
        <v>12</v>
      </c>
      <c r="D165" s="43" t="s">
        <v>19</v>
      </c>
      <c r="E165" s="44" t="s">
        <v>65</v>
      </c>
      <c r="F165" s="79" t="s">
        <v>9</v>
      </c>
      <c r="G165" s="80">
        <v>411174</v>
      </c>
      <c r="H165" s="43" t="s">
        <v>26</v>
      </c>
      <c r="I165" s="43" t="s">
        <v>18</v>
      </c>
      <c r="J165" s="44" t="s">
        <v>4</v>
      </c>
      <c r="K165" s="43" t="s">
        <v>123</v>
      </c>
      <c r="L165" s="43" t="s">
        <v>140</v>
      </c>
      <c r="M165" s="44" t="s">
        <v>141</v>
      </c>
      <c r="N165" s="49">
        <v>46214</v>
      </c>
      <c r="O165" s="49">
        <v>46214</v>
      </c>
      <c r="P165" s="49" t="s">
        <v>140</v>
      </c>
      <c r="Q165" s="43" t="s">
        <v>132</v>
      </c>
      <c r="R165" s="43">
        <v>61</v>
      </c>
      <c r="S165" s="50">
        <f t="shared" ca="1" si="0"/>
        <v>-16</v>
      </c>
      <c r="T165" s="50" t="s">
        <v>139</v>
      </c>
      <c r="U165" s="46" t="s">
        <v>137</v>
      </c>
      <c r="V165" s="51"/>
      <c r="W165" s="49"/>
      <c r="X165" s="44"/>
      <c r="Y165" s="49"/>
      <c r="Z165" s="49"/>
      <c r="AA165" s="51"/>
    </row>
    <row r="166" spans="1:27" ht="12.95" customHeight="1">
      <c r="A166" s="43">
        <v>116</v>
      </c>
      <c r="B166" s="77" t="s">
        <v>16</v>
      </c>
      <c r="C166" s="77" t="s">
        <v>12</v>
      </c>
      <c r="D166" s="43" t="s">
        <v>19</v>
      </c>
      <c r="E166" s="44" t="s">
        <v>65</v>
      </c>
      <c r="F166" s="79" t="s">
        <v>9</v>
      </c>
      <c r="G166" s="80">
        <v>254710</v>
      </c>
      <c r="H166" s="43" t="s">
        <v>9</v>
      </c>
      <c r="I166" s="43" t="s">
        <v>18</v>
      </c>
      <c r="J166" s="44" t="s">
        <v>4</v>
      </c>
      <c r="K166" s="43" t="s">
        <v>123</v>
      </c>
      <c r="L166" s="43" t="s">
        <v>137</v>
      </c>
      <c r="M166" s="44" t="s">
        <v>138</v>
      </c>
      <c r="N166" s="49">
        <v>46214</v>
      </c>
      <c r="O166" s="49">
        <v>46214</v>
      </c>
      <c r="P166" s="49"/>
      <c r="Q166" s="43" t="s">
        <v>132</v>
      </c>
      <c r="R166" s="43">
        <v>61</v>
      </c>
      <c r="S166" s="50">
        <f t="shared" ca="1" si="0"/>
        <v>-16</v>
      </c>
      <c r="T166" s="50" t="s">
        <v>139</v>
      </c>
      <c r="U166" s="46" t="s">
        <v>137</v>
      </c>
      <c r="V166" s="51"/>
      <c r="W166" s="49"/>
      <c r="X166" s="44" t="s">
        <v>134</v>
      </c>
      <c r="Y166" s="51"/>
      <c r="Z166" s="51"/>
      <c r="AA166" s="51"/>
    </row>
    <row r="167" spans="1:27" ht="12.95" customHeight="1">
      <c r="A167" s="43">
        <v>186</v>
      </c>
      <c r="B167" s="77" t="s">
        <v>16</v>
      </c>
      <c r="C167" s="77" t="s">
        <v>12</v>
      </c>
      <c r="D167" s="43" t="s">
        <v>19</v>
      </c>
      <c r="E167" s="44" t="s">
        <v>65</v>
      </c>
      <c r="F167" s="79" t="s">
        <v>9</v>
      </c>
      <c r="G167" s="80">
        <v>407538</v>
      </c>
      <c r="H167" s="43" t="s">
        <v>41</v>
      </c>
      <c r="I167" s="43" t="s">
        <v>18</v>
      </c>
      <c r="J167" s="44" t="s">
        <v>4</v>
      </c>
      <c r="K167" s="43" t="s">
        <v>123</v>
      </c>
      <c r="L167" s="43" t="s">
        <v>137</v>
      </c>
      <c r="M167" s="44" t="s">
        <v>138</v>
      </c>
      <c r="N167" s="49">
        <v>46214</v>
      </c>
      <c r="O167" s="49">
        <v>46214</v>
      </c>
      <c r="P167" s="49"/>
      <c r="Q167" s="43" t="s">
        <v>132</v>
      </c>
      <c r="R167" s="43">
        <v>61</v>
      </c>
      <c r="S167" s="50">
        <f t="shared" ca="1" si="0"/>
        <v>-16</v>
      </c>
      <c r="T167" s="50" t="s">
        <v>139</v>
      </c>
      <c r="U167" s="46" t="s">
        <v>137</v>
      </c>
      <c r="V167" s="51"/>
      <c r="W167" s="49"/>
      <c r="X167" s="44" t="s">
        <v>138</v>
      </c>
      <c r="Y167" s="51"/>
      <c r="Z167" s="51"/>
      <c r="AA167" s="51"/>
    </row>
    <row r="168" spans="1:27" ht="12.95" customHeight="1">
      <c r="A168" s="43">
        <v>180</v>
      </c>
      <c r="B168" s="77" t="s">
        <v>16</v>
      </c>
      <c r="C168" s="77" t="s">
        <v>12</v>
      </c>
      <c r="D168" s="43" t="s">
        <v>19</v>
      </c>
      <c r="E168" s="44" t="s">
        <v>65</v>
      </c>
      <c r="F168" s="79" t="s">
        <v>9</v>
      </c>
      <c r="G168" s="80">
        <v>418455</v>
      </c>
      <c r="H168" s="43" t="s">
        <v>26</v>
      </c>
      <c r="I168" s="43" t="s">
        <v>18</v>
      </c>
      <c r="J168" s="44" t="s">
        <v>9</v>
      </c>
      <c r="K168" s="43" t="s">
        <v>123</v>
      </c>
      <c r="L168" s="43" t="s">
        <v>126</v>
      </c>
      <c r="M168" s="47" t="s">
        <v>132</v>
      </c>
      <c r="N168" s="49">
        <v>46205</v>
      </c>
      <c r="O168" s="49">
        <v>46205</v>
      </c>
      <c r="P168" s="46" t="s">
        <v>140</v>
      </c>
      <c r="Q168" s="43" t="s">
        <v>132</v>
      </c>
      <c r="R168" s="43">
        <v>61</v>
      </c>
      <c r="S168" s="50">
        <f t="shared" ca="1" si="0"/>
        <v>-7</v>
      </c>
      <c r="T168" s="50" t="s">
        <v>139</v>
      </c>
      <c r="U168" s="46" t="s">
        <v>137</v>
      </c>
      <c r="V168" s="51"/>
      <c r="W168" s="54"/>
      <c r="X168" s="52"/>
      <c r="Y168" s="51"/>
      <c r="Z168" s="51"/>
      <c r="AA168" s="51"/>
    </row>
    <row r="169" spans="1:27" ht="12.95" customHeight="1">
      <c r="A169" s="43">
        <v>171</v>
      </c>
      <c r="B169" s="77" t="s">
        <v>16</v>
      </c>
      <c r="C169" s="77" t="s">
        <v>12</v>
      </c>
      <c r="D169" s="43" t="s">
        <v>19</v>
      </c>
      <c r="E169" s="44" t="s">
        <v>65</v>
      </c>
      <c r="F169" s="79" t="s">
        <v>12</v>
      </c>
      <c r="G169" s="80">
        <v>400263</v>
      </c>
      <c r="H169" s="55" t="s">
        <v>26</v>
      </c>
      <c r="I169" s="56" t="s">
        <v>18</v>
      </c>
      <c r="J169" s="52" t="s">
        <v>3</v>
      </c>
      <c r="K169" s="43" t="s">
        <v>123</v>
      </c>
      <c r="L169" s="75" t="s">
        <v>140</v>
      </c>
      <c r="M169" s="57" t="s">
        <v>141</v>
      </c>
      <c r="N169" s="54"/>
      <c r="O169" s="58"/>
      <c r="P169" s="59"/>
      <c r="Q169" s="51" t="s">
        <v>138</v>
      </c>
      <c r="R169" s="43"/>
      <c r="S169" s="43"/>
      <c r="T169" s="51"/>
      <c r="U169" s="51" t="s">
        <v>138</v>
      </c>
      <c r="V169" s="51"/>
      <c r="W169" s="51"/>
      <c r="X169" s="52"/>
      <c r="Y169" s="51"/>
      <c r="Z169" s="51"/>
      <c r="AA169" s="51"/>
    </row>
    <row r="170" spans="1:27" ht="12.95" customHeight="1">
      <c r="A170" s="43">
        <v>159</v>
      </c>
      <c r="B170" s="77" t="s">
        <v>16</v>
      </c>
      <c r="C170" s="77" t="s">
        <v>12</v>
      </c>
      <c r="D170" s="43" t="s">
        <v>19</v>
      </c>
      <c r="E170" s="44" t="s">
        <v>65</v>
      </c>
      <c r="F170" s="79" t="s">
        <v>12</v>
      </c>
      <c r="G170" s="80">
        <v>243797</v>
      </c>
      <c r="H170" s="55" t="s">
        <v>26</v>
      </c>
      <c r="I170" s="56" t="s">
        <v>18</v>
      </c>
      <c r="J170" s="44" t="s">
        <v>4</v>
      </c>
      <c r="K170" s="43" t="s">
        <v>123</v>
      </c>
      <c r="L170" s="55" t="s">
        <v>137</v>
      </c>
      <c r="M170" s="57" t="s">
        <v>126</v>
      </c>
      <c r="N170" s="54"/>
      <c r="O170" s="58"/>
      <c r="P170" s="59"/>
      <c r="Q170" s="51" t="s">
        <v>138</v>
      </c>
      <c r="R170" s="43"/>
      <c r="S170" s="43"/>
      <c r="T170" s="51"/>
      <c r="U170" s="51" t="s">
        <v>138</v>
      </c>
      <c r="V170" s="51"/>
      <c r="W170" s="54"/>
      <c r="X170" s="52"/>
      <c r="Y170" s="54"/>
      <c r="Z170" s="54"/>
      <c r="AA170" s="51"/>
    </row>
    <row r="171" spans="1:27" ht="12.95" customHeight="1">
      <c r="A171" s="43">
        <v>218</v>
      </c>
      <c r="B171" s="77" t="s">
        <v>16</v>
      </c>
      <c r="C171" s="77" t="s">
        <v>12</v>
      </c>
      <c r="D171" s="43" t="s">
        <v>19</v>
      </c>
      <c r="E171" s="44" t="s">
        <v>65</v>
      </c>
      <c r="F171" s="79" t="s">
        <v>12</v>
      </c>
      <c r="G171" s="80">
        <v>523983</v>
      </c>
      <c r="H171" s="55" t="s">
        <v>26</v>
      </c>
      <c r="I171" s="56" t="s">
        <v>18</v>
      </c>
      <c r="J171" s="52" t="s">
        <v>3</v>
      </c>
      <c r="K171" s="43" t="s">
        <v>123</v>
      </c>
      <c r="L171" s="55" t="s">
        <v>137</v>
      </c>
      <c r="M171" s="57" t="s">
        <v>133</v>
      </c>
      <c r="N171" s="54"/>
      <c r="O171" s="58"/>
      <c r="P171" s="59"/>
      <c r="Q171" s="51" t="s">
        <v>138</v>
      </c>
      <c r="R171" s="43"/>
      <c r="S171" s="43"/>
      <c r="T171" s="51"/>
      <c r="U171" s="51" t="s">
        <v>138</v>
      </c>
      <c r="V171" s="51"/>
      <c r="W171" s="51"/>
      <c r="X171" s="52"/>
      <c r="Y171" s="51"/>
      <c r="Z171" s="51"/>
      <c r="AA171" s="51"/>
    </row>
    <row r="172" spans="1:27" ht="12.95" customHeight="1">
      <c r="A172" s="43">
        <v>154</v>
      </c>
      <c r="B172" s="77" t="s">
        <v>16</v>
      </c>
      <c r="C172" s="77" t="s">
        <v>12</v>
      </c>
      <c r="D172" s="62" t="s">
        <v>13</v>
      </c>
      <c r="E172" s="44" t="s">
        <v>65</v>
      </c>
      <c r="F172" s="89" t="s">
        <v>26</v>
      </c>
      <c r="G172" s="90">
        <v>487886</v>
      </c>
      <c r="H172" s="91" t="s">
        <v>20</v>
      </c>
      <c r="I172" s="56" t="s">
        <v>18</v>
      </c>
      <c r="J172" s="83" t="s">
        <v>8</v>
      </c>
      <c r="K172" s="43" t="s">
        <v>134</v>
      </c>
      <c r="L172" s="75" t="s">
        <v>134</v>
      </c>
      <c r="M172" s="81" t="s">
        <v>137</v>
      </c>
      <c r="N172" s="61"/>
      <c r="O172" s="92"/>
      <c r="P172" s="61"/>
      <c r="Q172" s="51" t="s">
        <v>138</v>
      </c>
      <c r="R172" s="51"/>
      <c r="S172" s="72"/>
      <c r="T172" s="51"/>
      <c r="U172" s="51" t="s">
        <v>138</v>
      </c>
      <c r="V172" s="51"/>
      <c r="W172" s="51"/>
      <c r="X172" s="52"/>
      <c r="Y172" s="51"/>
      <c r="Z172" s="51"/>
      <c r="AA172" s="51"/>
    </row>
    <row r="173" spans="1:27" ht="12.95" customHeight="1">
      <c r="A173" s="43">
        <v>153</v>
      </c>
      <c r="B173" s="77" t="s">
        <v>16</v>
      </c>
      <c r="C173" s="77" t="s">
        <v>12</v>
      </c>
      <c r="D173" s="62" t="s">
        <v>13</v>
      </c>
      <c r="E173" s="44" t="s">
        <v>65</v>
      </c>
      <c r="F173" s="89" t="s">
        <v>17</v>
      </c>
      <c r="G173" s="90">
        <v>503500</v>
      </c>
      <c r="H173" s="91" t="s">
        <v>20</v>
      </c>
      <c r="I173" s="56" t="s">
        <v>18</v>
      </c>
      <c r="J173" s="83" t="s">
        <v>8</v>
      </c>
      <c r="K173" s="43" t="s">
        <v>134</v>
      </c>
      <c r="L173" s="75" t="s">
        <v>134</v>
      </c>
      <c r="M173" s="81" t="s">
        <v>137</v>
      </c>
      <c r="N173" s="61"/>
      <c r="O173" s="92"/>
      <c r="P173" s="61"/>
      <c r="Q173" s="51" t="s">
        <v>138</v>
      </c>
      <c r="R173" s="51"/>
      <c r="S173" s="72"/>
      <c r="T173" s="51"/>
      <c r="U173" s="51" t="s">
        <v>138</v>
      </c>
      <c r="V173" s="51"/>
      <c r="W173" s="51"/>
      <c r="X173" s="52"/>
      <c r="Y173" s="51"/>
      <c r="Z173" s="51"/>
      <c r="AA173" s="51"/>
    </row>
    <row r="174" spans="1:27" ht="12.95" customHeight="1">
      <c r="A174" s="43">
        <v>109</v>
      </c>
      <c r="B174" s="77" t="s">
        <v>16</v>
      </c>
      <c r="C174" s="77" t="s">
        <v>12</v>
      </c>
      <c r="D174" s="62" t="s">
        <v>13</v>
      </c>
      <c r="E174" s="44" t="s">
        <v>65</v>
      </c>
      <c r="F174" s="89" t="s">
        <v>43</v>
      </c>
      <c r="G174" s="90">
        <v>242009</v>
      </c>
      <c r="H174" s="91" t="s">
        <v>20</v>
      </c>
      <c r="I174" s="56" t="s">
        <v>18</v>
      </c>
      <c r="J174" s="44" t="s">
        <v>4</v>
      </c>
      <c r="K174" s="43" t="s">
        <v>123</v>
      </c>
      <c r="L174" s="75" t="s">
        <v>137</v>
      </c>
      <c r="M174" s="81" t="s">
        <v>137</v>
      </c>
      <c r="N174" s="61"/>
      <c r="O174" s="92"/>
      <c r="P174" s="61"/>
      <c r="Q174" s="51" t="s">
        <v>138</v>
      </c>
      <c r="R174" s="51"/>
      <c r="S174" s="72"/>
      <c r="T174" s="51"/>
      <c r="U174" s="51" t="s">
        <v>138</v>
      </c>
      <c r="V174" s="51"/>
      <c r="W174" s="51"/>
      <c r="X174" s="52"/>
      <c r="Y174" s="51"/>
      <c r="Z174" s="51"/>
      <c r="AA174" s="51"/>
    </row>
    <row r="175" spans="1:27" ht="12.95" customHeight="1">
      <c r="A175" s="43">
        <v>176</v>
      </c>
      <c r="B175" s="77" t="s">
        <v>16</v>
      </c>
      <c r="C175" s="77" t="s">
        <v>12</v>
      </c>
      <c r="D175" s="62" t="s">
        <v>13</v>
      </c>
      <c r="E175" s="44" t="s">
        <v>65</v>
      </c>
      <c r="F175" s="89" t="s">
        <v>13</v>
      </c>
      <c r="G175" s="90">
        <v>281043</v>
      </c>
      <c r="H175" s="91" t="s">
        <v>17</v>
      </c>
      <c r="I175" s="56" t="s">
        <v>18</v>
      </c>
      <c r="J175" s="83" t="s">
        <v>6</v>
      </c>
      <c r="K175" s="43" t="s">
        <v>134</v>
      </c>
      <c r="L175" s="75" t="s">
        <v>134</v>
      </c>
      <c r="M175" s="81" t="s">
        <v>140</v>
      </c>
      <c r="N175" s="61"/>
      <c r="O175" s="92"/>
      <c r="P175" s="61"/>
      <c r="Q175" s="51" t="s">
        <v>138</v>
      </c>
      <c r="R175" s="51"/>
      <c r="S175" s="72"/>
      <c r="T175" s="51"/>
      <c r="U175" s="51" t="s">
        <v>138</v>
      </c>
      <c r="V175" s="51"/>
      <c r="W175" s="51"/>
      <c r="X175" s="52"/>
      <c r="Y175" s="51"/>
      <c r="Z175" s="51"/>
      <c r="AA175" s="51"/>
    </row>
    <row r="176" spans="1:27" ht="12.95" customHeight="1">
      <c r="A176" s="43">
        <v>152</v>
      </c>
      <c r="B176" s="77" t="s">
        <v>16</v>
      </c>
      <c r="C176" s="77" t="s">
        <v>12</v>
      </c>
      <c r="D176" s="62" t="s">
        <v>13</v>
      </c>
      <c r="E176" s="44" t="s">
        <v>65</v>
      </c>
      <c r="F176" s="89" t="s">
        <v>42</v>
      </c>
      <c r="G176" s="90">
        <v>394242</v>
      </c>
      <c r="H176" s="91" t="s">
        <v>17</v>
      </c>
      <c r="I176" s="56" t="s">
        <v>18</v>
      </c>
      <c r="J176" s="83" t="s">
        <v>8</v>
      </c>
      <c r="K176" s="43" t="s">
        <v>134</v>
      </c>
      <c r="L176" s="75" t="s">
        <v>134</v>
      </c>
      <c r="M176" s="81" t="s">
        <v>135</v>
      </c>
      <c r="N176" s="61"/>
      <c r="O176" s="92"/>
      <c r="P176" s="61"/>
      <c r="Q176" s="51" t="s">
        <v>138</v>
      </c>
      <c r="R176" s="51"/>
      <c r="S176" s="72"/>
      <c r="T176" s="51"/>
      <c r="U176" s="51" t="s">
        <v>138</v>
      </c>
      <c r="V176" s="51"/>
      <c r="W176" s="51"/>
      <c r="X176" s="52"/>
      <c r="Y176" s="51"/>
      <c r="Z176" s="51"/>
      <c r="AA176" s="51"/>
    </row>
    <row r="177" spans="1:27" ht="12.95" customHeight="1">
      <c r="A177" s="43">
        <v>109</v>
      </c>
      <c r="B177" s="77" t="s">
        <v>16</v>
      </c>
      <c r="C177" s="77" t="s">
        <v>12</v>
      </c>
      <c r="D177" s="62" t="s">
        <v>13</v>
      </c>
      <c r="E177" s="44" t="s">
        <v>65</v>
      </c>
      <c r="F177" s="89" t="s">
        <v>16</v>
      </c>
      <c r="G177" s="90">
        <v>511345</v>
      </c>
      <c r="H177" s="91" t="s">
        <v>17</v>
      </c>
      <c r="I177" s="56" t="s">
        <v>18</v>
      </c>
      <c r="J177" s="83" t="s">
        <v>8</v>
      </c>
      <c r="K177" s="43" t="s">
        <v>134</v>
      </c>
      <c r="L177" s="75" t="s">
        <v>134</v>
      </c>
      <c r="M177" s="81" t="s">
        <v>135</v>
      </c>
      <c r="N177" s="61"/>
      <c r="O177" s="92"/>
      <c r="P177" s="61"/>
      <c r="Q177" s="51" t="s">
        <v>138</v>
      </c>
      <c r="R177" s="51"/>
      <c r="S177" s="72"/>
      <c r="T177" s="51"/>
      <c r="U177" s="51" t="s">
        <v>138</v>
      </c>
      <c r="V177" s="51"/>
      <c r="W177" s="51"/>
      <c r="X177" s="52"/>
      <c r="Y177" s="51"/>
      <c r="Z177" s="51"/>
      <c r="AA177" s="51"/>
    </row>
    <row r="178" spans="1:27" ht="12.95" customHeight="1">
      <c r="A178" s="43">
        <v>127</v>
      </c>
      <c r="B178" s="77" t="s">
        <v>16</v>
      </c>
      <c r="C178" s="77" t="s">
        <v>12</v>
      </c>
      <c r="D178" s="62" t="s">
        <v>13</v>
      </c>
      <c r="E178" s="44" t="s">
        <v>65</v>
      </c>
      <c r="F178" s="89" t="s">
        <v>33</v>
      </c>
      <c r="G178" s="90">
        <v>538673</v>
      </c>
      <c r="H178" s="43" t="s">
        <v>26</v>
      </c>
      <c r="I178" s="56" t="s">
        <v>18</v>
      </c>
      <c r="J178" s="44" t="s">
        <v>7</v>
      </c>
      <c r="K178" s="43" t="s">
        <v>123</v>
      </c>
      <c r="L178" s="93" t="s">
        <v>132</v>
      </c>
      <c r="M178" s="81" t="s">
        <v>138</v>
      </c>
      <c r="N178" s="61"/>
      <c r="O178" s="92"/>
      <c r="P178" s="61"/>
      <c r="Q178" s="51" t="s">
        <v>138</v>
      </c>
      <c r="R178" s="51"/>
      <c r="S178" s="72"/>
      <c r="T178" s="51"/>
      <c r="U178" s="51" t="s">
        <v>138</v>
      </c>
      <c r="V178" s="51"/>
      <c r="W178" s="51"/>
      <c r="X178" s="52"/>
      <c r="Y178" s="51"/>
      <c r="Z178" s="51"/>
      <c r="AA178" s="51"/>
    </row>
    <row r="179" spans="1:27" ht="12.95" customHeight="1">
      <c r="A179" s="43">
        <v>158</v>
      </c>
      <c r="B179" s="77" t="s">
        <v>16</v>
      </c>
      <c r="C179" s="77" t="s">
        <v>12</v>
      </c>
      <c r="D179" s="62" t="s">
        <v>13</v>
      </c>
      <c r="E179" s="44" t="s">
        <v>65</v>
      </c>
      <c r="F179" s="89" t="s">
        <v>4</v>
      </c>
      <c r="G179" s="90">
        <v>316179</v>
      </c>
      <c r="H179" s="43" t="s">
        <v>26</v>
      </c>
      <c r="I179" s="56" t="s">
        <v>18</v>
      </c>
      <c r="J179" s="44" t="s">
        <v>4</v>
      </c>
      <c r="K179" s="43" t="s">
        <v>123</v>
      </c>
      <c r="L179" s="93" t="s">
        <v>132</v>
      </c>
      <c r="M179" s="81" t="s">
        <v>138</v>
      </c>
      <c r="N179" s="61"/>
      <c r="O179" s="92"/>
      <c r="P179" s="61"/>
      <c r="Q179" s="51" t="s">
        <v>138</v>
      </c>
      <c r="R179" s="51"/>
      <c r="S179" s="72"/>
      <c r="T179" s="51"/>
      <c r="U179" s="51" t="s">
        <v>138</v>
      </c>
      <c r="V179" s="51"/>
      <c r="W179" s="51"/>
      <c r="X179" s="52"/>
      <c r="Y179" s="51"/>
      <c r="Z179" s="51"/>
      <c r="AA179" s="51"/>
    </row>
    <row r="180" spans="1:27" ht="12.95" customHeight="1">
      <c r="A180" s="43">
        <v>107</v>
      </c>
      <c r="B180" s="77" t="s">
        <v>16</v>
      </c>
      <c r="C180" s="77" t="s">
        <v>12</v>
      </c>
      <c r="D180" s="62" t="s">
        <v>13</v>
      </c>
      <c r="E180" s="44" t="s">
        <v>65</v>
      </c>
      <c r="F180" s="89" t="s">
        <v>6</v>
      </c>
      <c r="G180" s="90">
        <v>218575</v>
      </c>
      <c r="H180" s="43" t="s">
        <v>26</v>
      </c>
      <c r="I180" s="56" t="s">
        <v>18</v>
      </c>
      <c r="J180" s="73" t="s">
        <v>18</v>
      </c>
      <c r="K180" s="43" t="s">
        <v>123</v>
      </c>
      <c r="L180" s="93" t="s">
        <v>132</v>
      </c>
      <c r="M180" s="81" t="s">
        <v>138</v>
      </c>
      <c r="N180" s="61"/>
      <c r="O180" s="92"/>
      <c r="P180" s="61"/>
      <c r="Q180" s="51" t="s">
        <v>138</v>
      </c>
      <c r="R180" s="51"/>
      <c r="S180" s="72"/>
      <c r="T180" s="51"/>
      <c r="U180" s="51" t="s">
        <v>138</v>
      </c>
      <c r="V180" s="51"/>
      <c r="W180" s="51"/>
      <c r="X180" s="52"/>
      <c r="Y180" s="51"/>
      <c r="Z180" s="51"/>
      <c r="AA180" s="51"/>
    </row>
    <row r="181" spans="1:27" ht="12.95" customHeight="1">
      <c r="A181" s="43">
        <v>245</v>
      </c>
      <c r="B181" s="77" t="s">
        <v>16</v>
      </c>
      <c r="C181" s="77" t="s">
        <v>12</v>
      </c>
      <c r="D181" s="62" t="s">
        <v>13</v>
      </c>
      <c r="E181" s="44" t="s">
        <v>65</v>
      </c>
      <c r="F181" s="89" t="s">
        <v>28</v>
      </c>
      <c r="G181" s="90">
        <v>351280</v>
      </c>
      <c r="H181" s="43" t="s">
        <v>26</v>
      </c>
      <c r="I181" s="56" t="s">
        <v>18</v>
      </c>
      <c r="J181" s="44" t="s">
        <v>4</v>
      </c>
      <c r="K181" s="43" t="s">
        <v>134</v>
      </c>
      <c r="L181" s="75" t="s">
        <v>134</v>
      </c>
      <c r="M181" s="81" t="s">
        <v>135</v>
      </c>
      <c r="N181" s="61"/>
      <c r="O181" s="92"/>
      <c r="P181" s="61"/>
      <c r="Q181" s="51" t="s">
        <v>138</v>
      </c>
      <c r="R181" s="51"/>
      <c r="S181" s="72"/>
      <c r="T181" s="51"/>
      <c r="U181" s="51" t="s">
        <v>138</v>
      </c>
      <c r="V181" s="51"/>
      <c r="W181" s="51"/>
      <c r="X181" s="52"/>
      <c r="Y181" s="51"/>
      <c r="Z181" s="51"/>
      <c r="AA181" s="51"/>
    </row>
    <row r="182" spans="1:27" ht="12.95" customHeight="1">
      <c r="A182" s="43">
        <v>250</v>
      </c>
      <c r="B182" s="77" t="s">
        <v>16</v>
      </c>
      <c r="C182" s="77" t="s">
        <v>12</v>
      </c>
      <c r="D182" s="62" t="s">
        <v>13</v>
      </c>
      <c r="E182" s="44" t="s">
        <v>65</v>
      </c>
      <c r="F182" s="89" t="s">
        <v>4</v>
      </c>
      <c r="G182" s="90">
        <v>238108</v>
      </c>
      <c r="H182" s="43" t="s">
        <v>26</v>
      </c>
      <c r="I182" s="56" t="s">
        <v>18</v>
      </c>
      <c r="J182" s="44" t="s">
        <v>4</v>
      </c>
      <c r="K182" s="43" t="s">
        <v>123</v>
      </c>
      <c r="L182" s="75" t="s">
        <v>137</v>
      </c>
      <c r="M182" s="81" t="s">
        <v>137</v>
      </c>
      <c r="N182" s="61"/>
      <c r="O182" s="92"/>
      <c r="P182" s="61"/>
      <c r="Q182" s="51" t="s">
        <v>138</v>
      </c>
      <c r="R182" s="51"/>
      <c r="S182" s="72"/>
      <c r="T182" s="51"/>
      <c r="U182" s="51" t="s">
        <v>138</v>
      </c>
      <c r="V182" s="51"/>
      <c r="W182" s="51"/>
      <c r="X182" s="52"/>
      <c r="Y182" s="51"/>
      <c r="Z182" s="51"/>
      <c r="AA182" s="51"/>
    </row>
    <row r="183" spans="1:27" ht="12.95" customHeight="1">
      <c r="A183" s="43">
        <v>200</v>
      </c>
      <c r="B183" s="77" t="s">
        <v>16</v>
      </c>
      <c r="C183" s="77" t="s">
        <v>12</v>
      </c>
      <c r="D183" s="62" t="s">
        <v>13</v>
      </c>
      <c r="E183" s="44" t="s">
        <v>65</v>
      </c>
      <c r="F183" s="79" t="s">
        <v>6</v>
      </c>
      <c r="G183" s="90">
        <v>409859</v>
      </c>
      <c r="H183" s="43" t="s">
        <v>26</v>
      </c>
      <c r="I183" s="56" t="s">
        <v>18</v>
      </c>
      <c r="J183" s="44" t="s">
        <v>18</v>
      </c>
      <c r="K183" s="43" t="s">
        <v>134</v>
      </c>
      <c r="L183" s="75" t="s">
        <v>134</v>
      </c>
      <c r="M183" s="81" t="s">
        <v>137</v>
      </c>
      <c r="N183" s="61"/>
      <c r="O183" s="58"/>
      <c r="P183" s="61"/>
      <c r="Q183" s="51" t="s">
        <v>138</v>
      </c>
      <c r="R183" s="51"/>
      <c r="S183" s="72"/>
      <c r="T183" s="51"/>
      <c r="U183" s="51" t="s">
        <v>138</v>
      </c>
      <c r="V183" s="51"/>
      <c r="W183" s="51"/>
      <c r="X183" s="52"/>
      <c r="Y183" s="51"/>
      <c r="Z183" s="51"/>
      <c r="AA183" s="51"/>
    </row>
    <row r="184" spans="1:27" ht="12.95" customHeight="1">
      <c r="A184" s="43">
        <v>249</v>
      </c>
      <c r="B184" s="77" t="s">
        <v>16</v>
      </c>
      <c r="C184" s="77" t="s">
        <v>12</v>
      </c>
      <c r="D184" s="43" t="s">
        <v>19</v>
      </c>
      <c r="E184" s="44" t="s">
        <v>65</v>
      </c>
      <c r="F184" s="79" t="s">
        <v>27</v>
      </c>
      <c r="G184" s="78">
        <v>43614232</v>
      </c>
      <c r="H184" s="43" t="s">
        <v>26</v>
      </c>
      <c r="I184" s="56" t="s">
        <v>18</v>
      </c>
      <c r="J184" s="83" t="s">
        <v>8</v>
      </c>
      <c r="K184" s="43" t="s">
        <v>134</v>
      </c>
      <c r="L184" s="75" t="s">
        <v>134</v>
      </c>
      <c r="M184" s="81" t="s">
        <v>137</v>
      </c>
      <c r="N184" s="61"/>
      <c r="O184" s="58"/>
      <c r="P184" s="61"/>
      <c r="Q184" s="51" t="s">
        <v>138</v>
      </c>
      <c r="R184" s="51"/>
      <c r="S184" s="72"/>
      <c r="T184" s="51"/>
      <c r="U184" s="51" t="s">
        <v>138</v>
      </c>
      <c r="V184" s="51"/>
      <c r="W184" s="51"/>
      <c r="X184" s="52"/>
      <c r="Y184" s="51"/>
      <c r="Z184" s="51"/>
      <c r="AA184" s="51"/>
    </row>
    <row r="185" spans="1:27" ht="12.95" customHeight="1">
      <c r="A185" s="43">
        <v>188</v>
      </c>
      <c r="B185" s="77" t="s">
        <v>16</v>
      </c>
      <c r="C185" s="77" t="s">
        <v>12</v>
      </c>
      <c r="D185" s="43" t="s">
        <v>19</v>
      </c>
      <c r="E185" s="44" t="s">
        <v>65</v>
      </c>
      <c r="F185" s="79" t="s">
        <v>7</v>
      </c>
      <c r="G185" s="78">
        <v>218763</v>
      </c>
      <c r="H185" s="55" t="s">
        <v>26</v>
      </c>
      <c r="I185" s="56" t="s">
        <v>18</v>
      </c>
      <c r="J185" s="83" t="s">
        <v>8</v>
      </c>
      <c r="K185" s="43" t="s">
        <v>123</v>
      </c>
      <c r="L185" s="75" t="s">
        <v>137</v>
      </c>
      <c r="M185" s="81" t="s">
        <v>137</v>
      </c>
      <c r="N185" s="61"/>
      <c r="O185" s="58"/>
      <c r="P185" s="61"/>
      <c r="Q185" s="51" t="s">
        <v>138</v>
      </c>
      <c r="R185" s="51"/>
      <c r="S185" s="72"/>
      <c r="T185" s="51"/>
      <c r="U185" s="51" t="s">
        <v>138</v>
      </c>
      <c r="V185" s="51"/>
      <c r="W185" s="51"/>
      <c r="X185" s="52"/>
      <c r="Y185" s="51"/>
      <c r="Z185" s="51"/>
      <c r="AA185" s="51"/>
    </row>
    <row r="186" spans="1:27" ht="12.95" customHeight="1">
      <c r="A186" s="43">
        <v>150</v>
      </c>
      <c r="B186" s="77" t="s">
        <v>16</v>
      </c>
      <c r="C186" s="77" t="s">
        <v>12</v>
      </c>
      <c r="D186" s="43" t="s">
        <v>19</v>
      </c>
      <c r="E186" s="44" t="s">
        <v>65</v>
      </c>
      <c r="F186" s="79" t="s">
        <v>3</v>
      </c>
      <c r="G186" s="78">
        <v>323760</v>
      </c>
      <c r="H186" s="55" t="s">
        <v>26</v>
      </c>
      <c r="I186" s="56" t="s">
        <v>18</v>
      </c>
      <c r="J186" s="83" t="s">
        <v>6</v>
      </c>
      <c r="K186" s="43" t="s">
        <v>123</v>
      </c>
      <c r="L186" s="75" t="s">
        <v>126</v>
      </c>
      <c r="M186" s="81" t="s">
        <v>139</v>
      </c>
      <c r="N186" s="61"/>
      <c r="O186" s="58"/>
      <c r="P186" s="61"/>
      <c r="Q186" s="51" t="s">
        <v>138</v>
      </c>
      <c r="R186" s="51"/>
      <c r="S186" s="72"/>
      <c r="T186" s="51"/>
      <c r="U186" s="51" t="s">
        <v>138</v>
      </c>
      <c r="V186" s="51"/>
      <c r="W186" s="51"/>
      <c r="X186" s="52"/>
      <c r="Y186" s="51"/>
      <c r="Z186" s="51"/>
      <c r="AA186" s="51"/>
    </row>
    <row r="187" spans="1:27" ht="12.95" customHeight="1">
      <c r="A187" s="43">
        <v>175</v>
      </c>
      <c r="B187" s="77" t="s">
        <v>16</v>
      </c>
      <c r="C187" s="77" t="s">
        <v>12</v>
      </c>
      <c r="D187" s="43" t="s">
        <v>19</v>
      </c>
      <c r="E187" s="44" t="s">
        <v>65</v>
      </c>
      <c r="F187" s="79" t="s">
        <v>6</v>
      </c>
      <c r="G187" s="78">
        <v>467329</v>
      </c>
      <c r="H187" s="75" t="s">
        <v>26</v>
      </c>
      <c r="I187" s="56" t="s">
        <v>18</v>
      </c>
      <c r="J187" s="73" t="s">
        <v>18</v>
      </c>
      <c r="K187" s="43" t="s">
        <v>134</v>
      </c>
      <c r="L187" s="75" t="s">
        <v>134</v>
      </c>
      <c r="M187" s="81" t="s">
        <v>135</v>
      </c>
      <c r="N187" s="61"/>
      <c r="O187" s="58"/>
      <c r="P187" s="61"/>
      <c r="Q187" s="51" t="s">
        <v>138</v>
      </c>
      <c r="R187" s="51"/>
      <c r="S187" s="72"/>
      <c r="T187" s="51"/>
      <c r="U187" s="51" t="s">
        <v>138</v>
      </c>
      <c r="V187" s="51"/>
      <c r="W187" s="51"/>
      <c r="X187" s="52"/>
      <c r="Y187" s="51"/>
      <c r="Z187" s="51"/>
      <c r="AA187" s="51"/>
    </row>
    <row r="188" spans="1:27" ht="12.95" customHeight="1">
      <c r="A188" s="43">
        <v>191</v>
      </c>
      <c r="B188" s="77" t="s">
        <v>16</v>
      </c>
      <c r="C188" s="77" t="s">
        <v>12</v>
      </c>
      <c r="D188" s="43" t="s">
        <v>19</v>
      </c>
      <c r="E188" s="44" t="s">
        <v>65</v>
      </c>
      <c r="F188" s="79" t="s">
        <v>5</v>
      </c>
      <c r="G188" s="78">
        <v>233679</v>
      </c>
      <c r="H188" s="75" t="s">
        <v>26</v>
      </c>
      <c r="I188" s="56" t="s">
        <v>18</v>
      </c>
      <c r="J188" s="44" t="s">
        <v>4</v>
      </c>
      <c r="K188" s="43" t="s">
        <v>134</v>
      </c>
      <c r="L188" s="75" t="s">
        <v>134</v>
      </c>
      <c r="M188" s="81" t="s">
        <v>140</v>
      </c>
      <c r="N188" s="61"/>
      <c r="O188" s="58"/>
      <c r="P188" s="61"/>
      <c r="Q188" s="51" t="s">
        <v>138</v>
      </c>
      <c r="R188" s="51"/>
      <c r="S188" s="72"/>
      <c r="T188" s="51"/>
      <c r="U188" s="51" t="s">
        <v>138</v>
      </c>
      <c r="V188" s="51"/>
      <c r="W188" s="51"/>
      <c r="X188" s="52"/>
      <c r="Y188" s="51"/>
      <c r="Z188" s="51"/>
      <c r="AA188" s="51"/>
    </row>
    <row r="189" spans="1:27" ht="12.95" customHeight="1">
      <c r="A189" s="43">
        <v>237</v>
      </c>
      <c r="B189" s="77" t="s">
        <v>16</v>
      </c>
      <c r="C189" s="77" t="s">
        <v>12</v>
      </c>
      <c r="D189" s="43" t="s">
        <v>19</v>
      </c>
      <c r="E189" s="44" t="s">
        <v>65</v>
      </c>
      <c r="F189" s="79" t="s">
        <v>6</v>
      </c>
      <c r="G189" s="78">
        <v>454194</v>
      </c>
      <c r="H189" s="75" t="s">
        <v>26</v>
      </c>
      <c r="I189" s="56" t="s">
        <v>18</v>
      </c>
      <c r="J189" s="73" t="s">
        <v>18</v>
      </c>
      <c r="K189" s="43" t="s">
        <v>134</v>
      </c>
      <c r="L189" s="75" t="s">
        <v>134</v>
      </c>
      <c r="M189" s="81" t="s">
        <v>135</v>
      </c>
      <c r="N189" s="61"/>
      <c r="O189" s="58"/>
      <c r="P189" s="61"/>
      <c r="Q189" s="51" t="s">
        <v>138</v>
      </c>
      <c r="R189" s="51"/>
      <c r="S189" s="72"/>
      <c r="T189" s="51"/>
      <c r="U189" s="51" t="s">
        <v>138</v>
      </c>
      <c r="V189" s="51"/>
      <c r="W189" s="51"/>
      <c r="X189" s="52"/>
      <c r="Y189" s="51"/>
      <c r="Z189" s="51"/>
      <c r="AA189" s="51"/>
    </row>
    <row r="190" spans="1:27" ht="12.95" customHeight="1">
      <c r="A190" s="43">
        <v>178</v>
      </c>
      <c r="B190" s="77" t="s">
        <v>16</v>
      </c>
      <c r="C190" s="77" t="s">
        <v>12</v>
      </c>
      <c r="D190" s="43" t="s">
        <v>19</v>
      </c>
      <c r="E190" s="44" t="s">
        <v>65</v>
      </c>
      <c r="F190" s="79" t="s">
        <v>12</v>
      </c>
      <c r="G190" s="78">
        <v>348875</v>
      </c>
      <c r="H190" s="55" t="s">
        <v>26</v>
      </c>
      <c r="I190" s="56" t="s">
        <v>18</v>
      </c>
      <c r="J190" s="52" t="s">
        <v>3</v>
      </c>
      <c r="K190" s="43" t="s">
        <v>134</v>
      </c>
      <c r="L190" s="75" t="s">
        <v>134</v>
      </c>
      <c r="M190" s="81" t="s">
        <v>135</v>
      </c>
      <c r="N190" s="61"/>
      <c r="O190" s="58"/>
      <c r="P190" s="61"/>
      <c r="Q190" s="51" t="s">
        <v>138</v>
      </c>
      <c r="R190" s="51"/>
      <c r="S190" s="72"/>
      <c r="T190" s="51"/>
      <c r="U190" s="51" t="s">
        <v>138</v>
      </c>
      <c r="V190" s="51"/>
      <c r="W190" s="51"/>
      <c r="X190" s="52"/>
      <c r="Y190" s="51"/>
      <c r="Z190" s="51"/>
      <c r="AA190" s="51"/>
    </row>
    <row r="191" spans="1:27" ht="12.95" customHeight="1">
      <c r="A191" s="43">
        <v>245</v>
      </c>
      <c r="B191" s="77" t="s">
        <v>16</v>
      </c>
      <c r="C191" s="77" t="s">
        <v>12</v>
      </c>
      <c r="D191" s="43" t="s">
        <v>19</v>
      </c>
      <c r="E191" s="44" t="s">
        <v>65</v>
      </c>
      <c r="F191" s="79" t="s">
        <v>24</v>
      </c>
      <c r="G191" s="78">
        <v>375206</v>
      </c>
      <c r="H191" s="55" t="s">
        <v>26</v>
      </c>
      <c r="I191" s="56" t="s">
        <v>18</v>
      </c>
      <c r="J191" s="44" t="s">
        <v>9</v>
      </c>
      <c r="K191" s="43" t="s">
        <v>134</v>
      </c>
      <c r="L191" s="75" t="s">
        <v>134</v>
      </c>
      <c r="M191" s="81" t="s">
        <v>135</v>
      </c>
      <c r="N191" s="61"/>
      <c r="O191" s="58"/>
      <c r="P191" s="61"/>
      <c r="Q191" s="51" t="s">
        <v>138</v>
      </c>
      <c r="R191" s="51"/>
      <c r="S191" s="72"/>
      <c r="T191" s="51"/>
      <c r="U191" s="51" t="s">
        <v>138</v>
      </c>
      <c r="V191" s="51"/>
      <c r="W191" s="51"/>
      <c r="X191" s="52"/>
      <c r="Y191" s="51"/>
      <c r="Z191" s="51"/>
      <c r="AA191" s="51"/>
    </row>
    <row r="192" spans="1:27" ht="12.95" customHeight="1">
      <c r="A192" s="43">
        <v>155</v>
      </c>
      <c r="B192" s="77" t="s">
        <v>16</v>
      </c>
      <c r="C192" s="77" t="s">
        <v>12</v>
      </c>
      <c r="D192" s="43" t="s">
        <v>19</v>
      </c>
      <c r="E192" s="44" t="s">
        <v>65</v>
      </c>
      <c r="F192" s="79" t="s">
        <v>19</v>
      </c>
      <c r="G192" s="78">
        <v>246847</v>
      </c>
      <c r="H192" s="55" t="s">
        <v>26</v>
      </c>
      <c r="I192" s="56" t="s">
        <v>18</v>
      </c>
      <c r="J192" s="44" t="s">
        <v>7</v>
      </c>
      <c r="K192" s="43" t="s">
        <v>134</v>
      </c>
      <c r="L192" s="75" t="s">
        <v>134</v>
      </c>
      <c r="M192" s="81" t="s">
        <v>135</v>
      </c>
      <c r="N192" s="61"/>
      <c r="O192" s="58"/>
      <c r="P192" s="61"/>
      <c r="Q192" s="51" t="s">
        <v>138</v>
      </c>
      <c r="R192" s="51"/>
      <c r="S192" s="72"/>
      <c r="T192" s="51"/>
      <c r="U192" s="51" t="s">
        <v>138</v>
      </c>
      <c r="V192" s="51"/>
      <c r="W192" s="51"/>
      <c r="X192" s="52"/>
      <c r="Y192" s="51"/>
      <c r="Z192" s="51"/>
      <c r="AA192" s="51"/>
    </row>
    <row r="193" spans="1:27" ht="12.95" customHeight="1">
      <c r="A193" s="43">
        <v>192</v>
      </c>
      <c r="B193" s="77" t="s">
        <v>16</v>
      </c>
      <c r="C193" s="77" t="s">
        <v>12</v>
      </c>
      <c r="D193" s="62" t="s">
        <v>13</v>
      </c>
      <c r="E193" s="44" t="s">
        <v>65</v>
      </c>
      <c r="F193" s="79" t="s">
        <v>20</v>
      </c>
      <c r="G193" s="90">
        <v>487950</v>
      </c>
      <c r="H193" s="91" t="s">
        <v>26</v>
      </c>
      <c r="I193" s="56" t="s">
        <v>18</v>
      </c>
      <c r="J193" s="83" t="s">
        <v>6</v>
      </c>
      <c r="K193" s="43" t="s">
        <v>123</v>
      </c>
      <c r="L193" s="75" t="s">
        <v>126</v>
      </c>
      <c r="M193" s="81" t="s">
        <v>133</v>
      </c>
      <c r="N193" s="61"/>
      <c r="O193" s="58"/>
      <c r="P193" s="61"/>
      <c r="Q193" s="51" t="s">
        <v>138</v>
      </c>
      <c r="R193" s="51"/>
      <c r="S193" s="72"/>
      <c r="T193" s="51"/>
      <c r="U193" s="51" t="s">
        <v>138</v>
      </c>
      <c r="V193" s="51"/>
      <c r="W193" s="51"/>
      <c r="X193" s="52"/>
      <c r="Y193" s="51"/>
      <c r="Z193" s="51"/>
      <c r="AA193" s="51"/>
    </row>
    <row r="194" spans="1:27" ht="12.95" customHeight="1">
      <c r="A194" s="43">
        <v>179</v>
      </c>
      <c r="B194" s="77" t="s">
        <v>16</v>
      </c>
      <c r="C194" s="77" t="s">
        <v>12</v>
      </c>
      <c r="D194" s="43" t="s">
        <v>19</v>
      </c>
      <c r="E194" s="44" t="s">
        <v>65</v>
      </c>
      <c r="F194" s="79" t="s">
        <v>3</v>
      </c>
      <c r="G194" s="78">
        <v>278010</v>
      </c>
      <c r="H194" s="55" t="s">
        <v>26</v>
      </c>
      <c r="I194" s="56" t="s">
        <v>18</v>
      </c>
      <c r="J194" s="83" t="s">
        <v>6</v>
      </c>
      <c r="K194" s="43" t="s">
        <v>123</v>
      </c>
      <c r="L194" s="75" t="s">
        <v>132</v>
      </c>
      <c r="M194" s="81" t="s">
        <v>139</v>
      </c>
      <c r="N194" s="61"/>
      <c r="O194" s="58"/>
      <c r="P194" s="61"/>
      <c r="Q194" s="51" t="s">
        <v>138</v>
      </c>
      <c r="R194" s="51"/>
      <c r="S194" s="72"/>
      <c r="T194" s="51"/>
      <c r="U194" s="51" t="s">
        <v>138</v>
      </c>
      <c r="V194" s="51"/>
      <c r="W194" s="51"/>
      <c r="X194" s="52"/>
      <c r="Y194" s="51"/>
      <c r="Z194" s="51"/>
      <c r="AA194" s="51"/>
    </row>
    <row r="195" spans="1:27" ht="12.95" customHeight="1">
      <c r="A195" s="43">
        <v>231</v>
      </c>
      <c r="B195" s="77" t="s">
        <v>16</v>
      </c>
      <c r="C195" s="77" t="s">
        <v>12</v>
      </c>
      <c r="D195" s="62" t="s">
        <v>13</v>
      </c>
      <c r="E195" s="44" t="s">
        <v>65</v>
      </c>
      <c r="F195" s="89" t="s">
        <v>26</v>
      </c>
      <c r="G195" s="90">
        <v>476231</v>
      </c>
      <c r="H195" s="91" t="s">
        <v>26</v>
      </c>
      <c r="I195" s="56" t="s">
        <v>18</v>
      </c>
      <c r="J195" s="73" t="s">
        <v>18</v>
      </c>
      <c r="K195" s="43" t="s">
        <v>123</v>
      </c>
      <c r="L195" s="75" t="s">
        <v>126</v>
      </c>
      <c r="M195" s="81" t="s">
        <v>132</v>
      </c>
      <c r="N195" s="61"/>
      <c r="O195" s="92"/>
      <c r="P195" s="61"/>
      <c r="Q195" s="51" t="s">
        <v>138</v>
      </c>
      <c r="R195" s="51"/>
      <c r="S195" s="72"/>
      <c r="T195" s="51"/>
      <c r="U195" s="51" t="s">
        <v>138</v>
      </c>
      <c r="V195" s="51"/>
      <c r="W195" s="51"/>
      <c r="X195" s="52"/>
      <c r="Y195" s="51"/>
      <c r="Z195" s="51"/>
      <c r="AA195" s="51"/>
    </row>
    <row r="196" spans="1:27" ht="12.95" customHeight="1">
      <c r="A196" s="43">
        <v>269</v>
      </c>
      <c r="B196" s="77" t="s">
        <v>16</v>
      </c>
      <c r="C196" s="77" t="s">
        <v>12</v>
      </c>
      <c r="D196" s="43" t="s">
        <v>19</v>
      </c>
      <c r="E196" s="44" t="s">
        <v>65</v>
      </c>
      <c r="F196" s="79" t="s">
        <v>3</v>
      </c>
      <c r="G196" s="78">
        <v>422297</v>
      </c>
      <c r="H196" s="75" t="s">
        <v>26</v>
      </c>
      <c r="I196" s="56" t="s">
        <v>18</v>
      </c>
      <c r="J196" s="83" t="s">
        <v>6</v>
      </c>
      <c r="K196" s="43" t="s">
        <v>123</v>
      </c>
      <c r="L196" s="75" t="s">
        <v>137</v>
      </c>
      <c r="M196" s="81" t="s">
        <v>139</v>
      </c>
      <c r="N196" s="61"/>
      <c r="O196" s="58"/>
      <c r="P196" s="61"/>
      <c r="Q196" s="51" t="s">
        <v>138</v>
      </c>
      <c r="R196" s="51"/>
      <c r="S196" s="72"/>
      <c r="T196" s="51"/>
      <c r="U196" s="51" t="s">
        <v>138</v>
      </c>
      <c r="V196" s="51"/>
      <c r="W196" s="51"/>
      <c r="X196" s="52"/>
      <c r="Y196" s="51"/>
      <c r="Z196" s="51"/>
      <c r="AA196" s="51"/>
    </row>
    <row r="197" spans="1:27" ht="12.95" customHeight="1">
      <c r="A197" s="43">
        <v>267</v>
      </c>
      <c r="B197" s="77" t="s">
        <v>16</v>
      </c>
      <c r="C197" s="77" t="s">
        <v>12</v>
      </c>
      <c r="D197" s="43" t="s">
        <v>19</v>
      </c>
      <c r="E197" s="44" t="s">
        <v>65</v>
      </c>
      <c r="F197" s="79" t="s">
        <v>3</v>
      </c>
      <c r="G197" s="78">
        <v>489162</v>
      </c>
      <c r="H197" s="55" t="s">
        <v>26</v>
      </c>
      <c r="I197" s="56" t="s">
        <v>18</v>
      </c>
      <c r="J197" s="83" t="s">
        <v>6</v>
      </c>
      <c r="K197" s="43" t="s">
        <v>134</v>
      </c>
      <c r="L197" s="75" t="s">
        <v>134</v>
      </c>
      <c r="M197" s="81" t="s">
        <v>139</v>
      </c>
      <c r="N197" s="61"/>
      <c r="O197" s="58"/>
      <c r="P197" s="61"/>
      <c r="Q197" s="51" t="s">
        <v>138</v>
      </c>
      <c r="R197" s="51"/>
      <c r="S197" s="72"/>
      <c r="T197" s="51"/>
      <c r="U197" s="51" t="s">
        <v>138</v>
      </c>
      <c r="V197" s="51"/>
      <c r="W197" s="51"/>
      <c r="X197" s="52"/>
      <c r="Y197" s="51"/>
      <c r="Z197" s="51"/>
      <c r="AA197" s="51"/>
    </row>
    <row r="198" spans="1:27" ht="12.95" customHeight="1">
      <c r="A198" s="43">
        <v>114</v>
      </c>
      <c r="B198" s="77" t="s">
        <v>16</v>
      </c>
      <c r="C198" s="77" t="s">
        <v>12</v>
      </c>
      <c r="D198" s="43" t="s">
        <v>19</v>
      </c>
      <c r="E198" s="44" t="s">
        <v>65</v>
      </c>
      <c r="F198" s="79" t="s">
        <v>3</v>
      </c>
      <c r="G198" s="78">
        <v>380069</v>
      </c>
      <c r="H198" s="55" t="s">
        <v>26</v>
      </c>
      <c r="I198" s="56" t="s">
        <v>18</v>
      </c>
      <c r="J198" s="83" t="s">
        <v>6</v>
      </c>
      <c r="K198" s="43" t="s">
        <v>123</v>
      </c>
      <c r="L198" s="75" t="s">
        <v>140</v>
      </c>
      <c r="M198" s="81" t="s">
        <v>139</v>
      </c>
      <c r="N198" s="61"/>
      <c r="O198" s="58"/>
      <c r="P198" s="61"/>
      <c r="Q198" s="51" t="s">
        <v>138</v>
      </c>
      <c r="R198" s="51"/>
      <c r="S198" s="72"/>
      <c r="T198" s="51"/>
      <c r="U198" s="51" t="s">
        <v>138</v>
      </c>
      <c r="V198" s="51"/>
      <c r="W198" s="51"/>
      <c r="X198" s="52"/>
      <c r="Y198" s="51"/>
      <c r="Z198" s="51"/>
      <c r="AA198" s="51"/>
    </row>
    <row r="199" spans="1:27" ht="12.95" customHeight="1">
      <c r="A199" s="43">
        <v>196</v>
      </c>
      <c r="B199" s="77" t="s">
        <v>16</v>
      </c>
      <c r="C199" s="77" t="s">
        <v>12</v>
      </c>
      <c r="D199" s="62" t="s">
        <v>13</v>
      </c>
      <c r="E199" s="44" t="s">
        <v>65</v>
      </c>
      <c r="F199" s="89" t="s">
        <v>43</v>
      </c>
      <c r="G199" s="90">
        <v>218603</v>
      </c>
      <c r="H199" s="91" t="s">
        <v>26</v>
      </c>
      <c r="I199" s="56" t="s">
        <v>18</v>
      </c>
      <c r="J199" s="44" t="s">
        <v>7</v>
      </c>
      <c r="K199" s="43" t="s">
        <v>123</v>
      </c>
      <c r="L199" s="93" t="s">
        <v>132</v>
      </c>
      <c r="M199" s="81" t="s">
        <v>138</v>
      </c>
      <c r="N199" s="61"/>
      <c r="O199" s="92"/>
      <c r="P199" s="61"/>
      <c r="Q199" s="51" t="s">
        <v>138</v>
      </c>
      <c r="R199" s="51"/>
      <c r="S199" s="72"/>
      <c r="T199" s="51"/>
      <c r="U199" s="51" t="s">
        <v>138</v>
      </c>
      <c r="V199" s="51"/>
      <c r="W199" s="51"/>
      <c r="X199" s="52"/>
      <c r="Y199" s="51"/>
      <c r="Z199" s="51"/>
      <c r="AA199" s="51"/>
    </row>
    <row r="200" spans="1:27" ht="12.95" customHeight="1">
      <c r="A200" s="43">
        <v>163</v>
      </c>
      <c r="B200" s="77" t="s">
        <v>16</v>
      </c>
      <c r="C200" s="77" t="s">
        <v>12</v>
      </c>
      <c r="D200" s="62" t="s">
        <v>13</v>
      </c>
      <c r="E200" s="44" t="s">
        <v>65</v>
      </c>
      <c r="F200" s="89" t="s">
        <v>26</v>
      </c>
      <c r="G200" s="90">
        <v>218575</v>
      </c>
      <c r="H200" s="91" t="s">
        <v>26</v>
      </c>
      <c r="I200" s="56" t="s">
        <v>18</v>
      </c>
      <c r="J200" s="73" t="s">
        <v>18</v>
      </c>
      <c r="K200" s="43" t="s">
        <v>123</v>
      </c>
      <c r="L200" s="75" t="s">
        <v>137</v>
      </c>
      <c r="M200" s="81" t="s">
        <v>137</v>
      </c>
      <c r="N200" s="61"/>
      <c r="O200" s="92"/>
      <c r="P200" s="61"/>
      <c r="Q200" s="51" t="s">
        <v>138</v>
      </c>
      <c r="R200" s="51"/>
      <c r="S200" s="72"/>
      <c r="T200" s="51"/>
      <c r="U200" s="51" t="s">
        <v>138</v>
      </c>
      <c r="V200" s="51"/>
      <c r="W200" s="51"/>
      <c r="X200" s="52"/>
      <c r="Y200" s="51"/>
      <c r="Z200" s="51"/>
      <c r="AA200" s="51"/>
    </row>
    <row r="201" spans="1:27" ht="12.95" customHeight="1">
      <c r="A201" s="43">
        <v>112</v>
      </c>
      <c r="B201" s="77" t="s">
        <v>16</v>
      </c>
      <c r="C201" s="77" t="s">
        <v>12</v>
      </c>
      <c r="D201" s="62" t="s">
        <v>13</v>
      </c>
      <c r="E201" s="44" t="s">
        <v>65</v>
      </c>
      <c r="F201" s="79" t="s">
        <v>27</v>
      </c>
      <c r="G201" s="90">
        <v>464474</v>
      </c>
      <c r="H201" s="91" t="s">
        <v>26</v>
      </c>
      <c r="I201" s="56" t="s">
        <v>18</v>
      </c>
      <c r="J201" s="44" t="s">
        <v>9</v>
      </c>
      <c r="K201" s="43" t="s">
        <v>134</v>
      </c>
      <c r="L201" s="75" t="s">
        <v>134</v>
      </c>
      <c r="M201" s="81" t="s">
        <v>135</v>
      </c>
      <c r="N201" s="61"/>
      <c r="O201" s="58"/>
      <c r="P201" s="61"/>
      <c r="Q201" s="51" t="s">
        <v>138</v>
      </c>
      <c r="R201" s="51"/>
      <c r="S201" s="72"/>
      <c r="T201" s="51"/>
      <c r="U201" s="51" t="s">
        <v>138</v>
      </c>
      <c r="V201" s="51"/>
      <c r="W201" s="51"/>
      <c r="X201" s="52"/>
      <c r="Y201" s="51"/>
      <c r="Z201" s="51"/>
      <c r="AA201" s="51"/>
    </row>
    <row r="202" spans="1:27" ht="12.95" customHeight="1">
      <c r="A202" s="43">
        <v>145</v>
      </c>
      <c r="B202" s="77" t="s">
        <v>16</v>
      </c>
      <c r="C202" s="77" t="s">
        <v>12</v>
      </c>
      <c r="D202" s="62" t="s">
        <v>13</v>
      </c>
      <c r="E202" s="44" t="s">
        <v>65</v>
      </c>
      <c r="F202" s="79" t="s">
        <v>6</v>
      </c>
      <c r="G202" s="90">
        <v>253705</v>
      </c>
      <c r="H202" s="91" t="s">
        <v>26</v>
      </c>
      <c r="I202" s="56" t="s">
        <v>18</v>
      </c>
      <c r="J202" s="52" t="s">
        <v>3</v>
      </c>
      <c r="K202" s="43" t="s">
        <v>134</v>
      </c>
      <c r="L202" s="75" t="s">
        <v>134</v>
      </c>
      <c r="M202" s="81" t="s">
        <v>135</v>
      </c>
      <c r="N202" s="61"/>
      <c r="O202" s="58"/>
      <c r="P202" s="61"/>
      <c r="Q202" s="51" t="s">
        <v>138</v>
      </c>
      <c r="R202" s="51"/>
      <c r="S202" s="72"/>
      <c r="T202" s="51"/>
      <c r="U202" s="51" t="s">
        <v>138</v>
      </c>
      <c r="V202" s="51"/>
      <c r="W202" s="51"/>
      <c r="X202" s="52"/>
      <c r="Y202" s="51"/>
      <c r="Z202" s="51"/>
      <c r="AA202" s="51"/>
    </row>
    <row r="203" spans="1:27" ht="12.95" customHeight="1">
      <c r="A203" s="43">
        <v>220</v>
      </c>
      <c r="B203" s="77" t="s">
        <v>16</v>
      </c>
      <c r="C203" s="77" t="s">
        <v>12</v>
      </c>
      <c r="D203" s="62" t="s">
        <v>13</v>
      </c>
      <c r="E203" s="44" t="s">
        <v>65</v>
      </c>
      <c r="F203" s="79" t="s">
        <v>15</v>
      </c>
      <c r="G203" s="90">
        <v>296640</v>
      </c>
      <c r="H203" s="91" t="s">
        <v>26</v>
      </c>
      <c r="I203" s="56" t="s">
        <v>18</v>
      </c>
      <c r="J203" s="83" t="s">
        <v>8</v>
      </c>
      <c r="K203" s="43" t="s">
        <v>134</v>
      </c>
      <c r="L203" s="75" t="s">
        <v>134</v>
      </c>
      <c r="M203" s="81" t="s">
        <v>137</v>
      </c>
      <c r="N203" s="61"/>
      <c r="O203" s="58"/>
      <c r="P203" s="61"/>
      <c r="Q203" s="51" t="s">
        <v>138</v>
      </c>
      <c r="R203" s="51"/>
      <c r="S203" s="72"/>
      <c r="T203" s="51"/>
      <c r="U203" s="51" t="s">
        <v>138</v>
      </c>
      <c r="V203" s="51"/>
      <c r="W203" s="51"/>
      <c r="X203" s="52"/>
      <c r="Y203" s="51"/>
      <c r="Z203" s="51"/>
      <c r="AA203" s="51"/>
    </row>
    <row r="204" spans="1:27" ht="12.95" customHeight="1">
      <c r="A204" s="43">
        <v>150</v>
      </c>
      <c r="B204" s="77" t="s">
        <v>16</v>
      </c>
      <c r="C204" s="77" t="s">
        <v>12</v>
      </c>
      <c r="D204" s="62" t="s">
        <v>13</v>
      </c>
      <c r="E204" s="44" t="s">
        <v>65</v>
      </c>
      <c r="F204" s="79" t="s">
        <v>5</v>
      </c>
      <c r="G204" s="90">
        <v>347424</v>
      </c>
      <c r="H204" s="91" t="s">
        <v>26</v>
      </c>
      <c r="I204" s="56" t="s">
        <v>18</v>
      </c>
      <c r="J204" s="44" t="s">
        <v>4</v>
      </c>
      <c r="K204" s="43" t="s">
        <v>123</v>
      </c>
      <c r="L204" s="93" t="s">
        <v>132</v>
      </c>
      <c r="M204" s="81" t="s">
        <v>138</v>
      </c>
      <c r="N204" s="61"/>
      <c r="O204" s="58"/>
      <c r="P204" s="61"/>
      <c r="Q204" s="51" t="s">
        <v>138</v>
      </c>
      <c r="R204" s="51"/>
      <c r="S204" s="72"/>
      <c r="T204" s="51"/>
      <c r="U204" s="51" t="s">
        <v>138</v>
      </c>
      <c r="V204" s="51"/>
      <c r="W204" s="51"/>
      <c r="X204" s="52"/>
      <c r="Y204" s="51"/>
      <c r="Z204" s="51"/>
      <c r="AA204" s="51"/>
    </row>
    <row r="205" spans="1:27" ht="12.95" customHeight="1">
      <c r="A205" s="43">
        <v>190</v>
      </c>
      <c r="B205" s="77" t="s">
        <v>16</v>
      </c>
      <c r="C205" s="77" t="s">
        <v>12</v>
      </c>
      <c r="D205" s="62" t="s">
        <v>13</v>
      </c>
      <c r="E205" s="44" t="s">
        <v>65</v>
      </c>
      <c r="F205" s="89" t="s">
        <v>26</v>
      </c>
      <c r="G205" s="90">
        <v>277150</v>
      </c>
      <c r="H205" s="91" t="s">
        <v>26</v>
      </c>
      <c r="I205" s="56" t="s">
        <v>18</v>
      </c>
      <c r="J205" s="73" t="s">
        <v>18</v>
      </c>
      <c r="K205" s="43" t="s">
        <v>123</v>
      </c>
      <c r="L205" s="75" t="s">
        <v>140</v>
      </c>
      <c r="M205" s="81" t="s">
        <v>139</v>
      </c>
      <c r="N205" s="61"/>
      <c r="O205" s="92"/>
      <c r="P205" s="61"/>
      <c r="Q205" s="51" t="s">
        <v>138</v>
      </c>
      <c r="R205" s="51"/>
      <c r="S205" s="72"/>
      <c r="T205" s="51"/>
      <c r="U205" s="51" t="s">
        <v>138</v>
      </c>
      <c r="V205" s="51"/>
      <c r="W205" s="51"/>
      <c r="X205" s="52"/>
      <c r="Y205" s="51"/>
      <c r="Z205" s="51"/>
      <c r="AA205" s="51"/>
    </row>
    <row r="206" spans="1:27" ht="12.95" customHeight="1">
      <c r="A206" s="43">
        <v>144</v>
      </c>
      <c r="B206" s="77" t="s">
        <v>16</v>
      </c>
      <c r="C206" s="77" t="s">
        <v>12</v>
      </c>
      <c r="D206" s="62" t="s">
        <v>13</v>
      </c>
      <c r="E206" s="44" t="s">
        <v>65</v>
      </c>
      <c r="F206" s="79" t="s">
        <v>41</v>
      </c>
      <c r="G206" s="90">
        <v>511369</v>
      </c>
      <c r="H206" s="91" t="s">
        <v>26</v>
      </c>
      <c r="I206" s="56" t="s">
        <v>18</v>
      </c>
      <c r="J206" s="83" t="s">
        <v>6</v>
      </c>
      <c r="K206" s="43" t="s">
        <v>134</v>
      </c>
      <c r="L206" s="75" t="s">
        <v>134</v>
      </c>
      <c r="M206" s="81" t="s">
        <v>132</v>
      </c>
      <c r="N206" s="61"/>
      <c r="O206" s="58"/>
      <c r="P206" s="61"/>
      <c r="Q206" s="51" t="s">
        <v>138</v>
      </c>
      <c r="R206" s="51"/>
      <c r="S206" s="72"/>
      <c r="T206" s="51"/>
      <c r="U206" s="51" t="s">
        <v>138</v>
      </c>
      <c r="V206" s="51"/>
      <c r="W206" s="51"/>
      <c r="X206" s="52"/>
      <c r="Y206" s="51"/>
      <c r="Z206" s="51"/>
      <c r="AA206" s="51"/>
    </row>
    <row r="207" spans="1:27" ht="12.95" customHeight="1">
      <c r="A207" s="43">
        <v>288</v>
      </c>
      <c r="B207" s="77" t="s">
        <v>16</v>
      </c>
      <c r="C207" s="77" t="s">
        <v>12</v>
      </c>
      <c r="D207" s="62" t="s">
        <v>13</v>
      </c>
      <c r="E207" s="44" t="s">
        <v>65</v>
      </c>
      <c r="F207" s="79" t="s">
        <v>20</v>
      </c>
      <c r="G207" s="90">
        <v>281058</v>
      </c>
      <c r="H207" s="91" t="s">
        <v>26</v>
      </c>
      <c r="I207" s="56" t="s">
        <v>18</v>
      </c>
      <c r="J207" s="83" t="s">
        <v>6</v>
      </c>
      <c r="K207" s="43" t="s">
        <v>134</v>
      </c>
      <c r="L207" s="75" t="s">
        <v>134</v>
      </c>
      <c r="M207" s="81" t="s">
        <v>133</v>
      </c>
      <c r="N207" s="61"/>
      <c r="O207" s="58"/>
      <c r="P207" s="61"/>
      <c r="Q207" s="51" t="s">
        <v>138</v>
      </c>
      <c r="R207" s="51"/>
      <c r="S207" s="72"/>
      <c r="T207" s="51"/>
      <c r="U207" s="51" t="s">
        <v>138</v>
      </c>
      <c r="V207" s="51"/>
      <c r="W207" s="51"/>
      <c r="X207" s="52"/>
      <c r="Y207" s="51"/>
      <c r="Z207" s="51"/>
      <c r="AA207" s="51"/>
    </row>
    <row r="208" spans="1:27" ht="12.95" customHeight="1">
      <c r="A208" s="43">
        <v>298</v>
      </c>
      <c r="B208" s="77" t="s">
        <v>16</v>
      </c>
      <c r="C208" s="77" t="s">
        <v>12</v>
      </c>
      <c r="D208" s="43" t="s">
        <v>19</v>
      </c>
      <c r="E208" s="44" t="s">
        <v>65</v>
      </c>
      <c r="F208" s="79" t="s">
        <v>9</v>
      </c>
      <c r="G208" s="78">
        <v>223660</v>
      </c>
      <c r="H208" s="55" t="s">
        <v>9</v>
      </c>
      <c r="I208" s="56" t="s">
        <v>18</v>
      </c>
      <c r="J208" s="44" t="s">
        <v>9</v>
      </c>
      <c r="K208" s="43" t="s">
        <v>123</v>
      </c>
      <c r="L208" s="75" t="s">
        <v>123</v>
      </c>
      <c r="M208" s="81" t="s">
        <v>137</v>
      </c>
      <c r="N208" s="61"/>
      <c r="O208" s="58"/>
      <c r="P208" s="61"/>
      <c r="Q208" s="51" t="s">
        <v>138</v>
      </c>
      <c r="R208" s="51"/>
      <c r="S208" s="72"/>
      <c r="T208" s="51"/>
      <c r="U208" s="51" t="s">
        <v>138</v>
      </c>
      <c r="V208" s="51"/>
      <c r="W208" s="51"/>
      <c r="X208" s="52"/>
      <c r="Y208" s="51"/>
      <c r="Z208" s="51"/>
      <c r="AA208" s="51"/>
    </row>
    <row r="209" spans="1:27" ht="12.95" customHeight="1">
      <c r="A209" s="43">
        <v>189</v>
      </c>
      <c r="B209" s="77" t="s">
        <v>16</v>
      </c>
      <c r="C209" s="77" t="s">
        <v>12</v>
      </c>
      <c r="D209" s="43" t="s">
        <v>19</v>
      </c>
      <c r="E209" s="44" t="s">
        <v>65</v>
      </c>
      <c r="F209" s="79" t="s">
        <v>15</v>
      </c>
      <c r="G209" s="78">
        <v>207655</v>
      </c>
      <c r="H209" s="55" t="s">
        <v>9</v>
      </c>
      <c r="I209" s="56" t="s">
        <v>18</v>
      </c>
      <c r="J209" s="83" t="s">
        <v>6</v>
      </c>
      <c r="K209" s="43" t="s">
        <v>123</v>
      </c>
      <c r="L209" s="75" t="s">
        <v>140</v>
      </c>
      <c r="M209" s="81" t="s">
        <v>140</v>
      </c>
      <c r="N209" s="61"/>
      <c r="O209" s="58"/>
      <c r="P209" s="61"/>
      <c r="Q209" s="51" t="s">
        <v>138</v>
      </c>
      <c r="R209" s="51"/>
      <c r="S209" s="72"/>
      <c r="T209" s="51"/>
      <c r="U209" s="51" t="s">
        <v>138</v>
      </c>
      <c r="V209" s="51"/>
      <c r="W209" s="51"/>
      <c r="X209" s="52"/>
      <c r="Y209" s="51"/>
      <c r="Z209" s="51"/>
      <c r="AA209" s="51"/>
    </row>
    <row r="210" spans="1:27" ht="12.95" customHeight="1">
      <c r="A210" s="43">
        <v>257</v>
      </c>
      <c r="B210" s="77" t="s">
        <v>16</v>
      </c>
      <c r="C210" s="77" t="s">
        <v>12</v>
      </c>
      <c r="D210" s="43" t="s">
        <v>19</v>
      </c>
      <c r="E210" s="44" t="s">
        <v>65</v>
      </c>
      <c r="F210" s="79" t="s">
        <v>41</v>
      </c>
      <c r="G210" s="78">
        <v>273164</v>
      </c>
      <c r="H210" s="55" t="s">
        <v>9</v>
      </c>
      <c r="I210" s="56" t="s">
        <v>18</v>
      </c>
      <c r="J210" s="73" t="s">
        <v>18</v>
      </c>
      <c r="K210" s="43" t="s">
        <v>123</v>
      </c>
      <c r="L210" s="75" t="s">
        <v>140</v>
      </c>
      <c r="M210" s="81" t="s">
        <v>131</v>
      </c>
      <c r="N210" s="61"/>
      <c r="O210" s="58"/>
      <c r="P210" s="61"/>
      <c r="Q210" s="51" t="s">
        <v>138</v>
      </c>
      <c r="R210" s="51"/>
      <c r="S210" s="72"/>
      <c r="T210" s="51"/>
      <c r="U210" s="51" t="s">
        <v>138</v>
      </c>
      <c r="V210" s="51"/>
      <c r="W210" s="51"/>
      <c r="X210" s="52"/>
      <c r="Y210" s="51"/>
      <c r="Z210" s="51"/>
      <c r="AA210" s="51"/>
    </row>
    <row r="211" spans="1:27" ht="12.95" customHeight="1">
      <c r="A211" s="43">
        <v>248</v>
      </c>
      <c r="B211" s="77" t="s">
        <v>16</v>
      </c>
      <c r="C211" s="77" t="s">
        <v>12</v>
      </c>
      <c r="D211" s="43" t="s">
        <v>19</v>
      </c>
      <c r="E211" s="44" t="s">
        <v>65</v>
      </c>
      <c r="F211" s="79" t="s">
        <v>41</v>
      </c>
      <c r="G211" s="78">
        <v>460760</v>
      </c>
      <c r="H211" s="75" t="s">
        <v>9</v>
      </c>
      <c r="I211" s="56" t="s">
        <v>18</v>
      </c>
      <c r="J211" s="73" t="s">
        <v>18</v>
      </c>
      <c r="K211" s="43" t="s">
        <v>123</v>
      </c>
      <c r="L211" s="75" t="s">
        <v>140</v>
      </c>
      <c r="M211" s="81" t="s">
        <v>131</v>
      </c>
      <c r="N211" s="61"/>
      <c r="O211" s="58"/>
      <c r="P211" s="61"/>
      <c r="Q211" s="51" t="s">
        <v>138</v>
      </c>
      <c r="R211" s="51"/>
      <c r="S211" s="72"/>
      <c r="T211" s="51"/>
      <c r="U211" s="51" t="s">
        <v>138</v>
      </c>
      <c r="V211" s="51"/>
      <c r="W211" s="51"/>
      <c r="X211" s="52"/>
      <c r="Y211" s="51"/>
      <c r="Z211" s="51"/>
      <c r="AA211" s="51"/>
    </row>
    <row r="212" spans="1:27" ht="12.95" customHeight="1">
      <c r="A212" s="43">
        <v>238</v>
      </c>
      <c r="B212" s="77" t="s">
        <v>16</v>
      </c>
      <c r="C212" s="77" t="s">
        <v>12</v>
      </c>
      <c r="D212" s="43" t="s">
        <v>19</v>
      </c>
      <c r="E212" s="44" t="s">
        <v>65</v>
      </c>
      <c r="F212" s="79" t="s">
        <v>41</v>
      </c>
      <c r="G212" s="78">
        <v>460761</v>
      </c>
      <c r="H212" s="75" t="s">
        <v>9</v>
      </c>
      <c r="I212" s="56" t="s">
        <v>18</v>
      </c>
      <c r="J212" s="73" t="s">
        <v>18</v>
      </c>
      <c r="K212" s="43" t="s">
        <v>123</v>
      </c>
      <c r="L212" s="75" t="s">
        <v>140</v>
      </c>
      <c r="M212" s="81" t="s">
        <v>131</v>
      </c>
      <c r="N212" s="61"/>
      <c r="O212" s="58"/>
      <c r="P212" s="61"/>
      <c r="Q212" s="51" t="s">
        <v>138</v>
      </c>
      <c r="R212" s="51"/>
      <c r="S212" s="72"/>
      <c r="T212" s="51"/>
      <c r="U212" s="51" t="s">
        <v>138</v>
      </c>
      <c r="V212" s="51"/>
      <c r="W212" s="51"/>
      <c r="X212" s="52"/>
      <c r="Y212" s="51"/>
      <c r="Z212" s="51"/>
      <c r="AA212" s="51"/>
    </row>
    <row r="213" spans="1:27" ht="12.95" customHeight="1">
      <c r="A213" s="43">
        <v>136</v>
      </c>
      <c r="B213" s="77" t="s">
        <v>16</v>
      </c>
      <c r="C213" s="77" t="s">
        <v>12</v>
      </c>
      <c r="D213" s="43" t="s">
        <v>19</v>
      </c>
      <c r="E213" s="44" t="s">
        <v>65</v>
      </c>
      <c r="F213" s="79" t="s">
        <v>41</v>
      </c>
      <c r="G213" s="78">
        <v>404813</v>
      </c>
      <c r="H213" s="75" t="s">
        <v>9</v>
      </c>
      <c r="I213" s="56" t="s">
        <v>18</v>
      </c>
      <c r="J213" s="73" t="s">
        <v>18</v>
      </c>
      <c r="K213" s="43" t="s">
        <v>123</v>
      </c>
      <c r="L213" s="75" t="s">
        <v>140</v>
      </c>
      <c r="M213" s="81" t="s">
        <v>131</v>
      </c>
      <c r="N213" s="61"/>
      <c r="O213" s="58"/>
      <c r="P213" s="61"/>
      <c r="Q213" s="51" t="s">
        <v>138</v>
      </c>
      <c r="R213" s="51"/>
      <c r="S213" s="72"/>
      <c r="T213" s="51"/>
      <c r="U213" s="51" t="s">
        <v>138</v>
      </c>
      <c r="V213" s="51"/>
      <c r="W213" s="51"/>
      <c r="X213" s="52"/>
      <c r="Y213" s="51"/>
      <c r="Z213" s="51"/>
      <c r="AA213" s="51"/>
    </row>
    <row r="214" spans="1:27" ht="12.95" customHeight="1">
      <c r="A214" s="43">
        <v>292</v>
      </c>
      <c r="B214" s="77" t="s">
        <v>16</v>
      </c>
      <c r="C214" s="77" t="s">
        <v>12</v>
      </c>
      <c r="D214" s="43" t="s">
        <v>19</v>
      </c>
      <c r="E214" s="44" t="s">
        <v>65</v>
      </c>
      <c r="F214" s="79" t="s">
        <v>18</v>
      </c>
      <c r="G214" s="78">
        <v>309374</v>
      </c>
      <c r="H214" s="55" t="s">
        <v>9</v>
      </c>
      <c r="I214" s="56" t="s">
        <v>18</v>
      </c>
      <c r="J214" s="44" t="s">
        <v>7</v>
      </c>
      <c r="K214" s="43" t="s">
        <v>123</v>
      </c>
      <c r="L214" s="75" t="s">
        <v>137</v>
      </c>
      <c r="M214" s="81" t="s">
        <v>137</v>
      </c>
      <c r="N214" s="61"/>
      <c r="O214" s="58"/>
      <c r="P214" s="61"/>
      <c r="Q214" s="51" t="s">
        <v>138</v>
      </c>
      <c r="R214" s="51"/>
      <c r="S214" s="72"/>
      <c r="T214" s="51"/>
      <c r="U214" s="51" t="s">
        <v>138</v>
      </c>
      <c r="V214" s="51"/>
      <c r="W214" s="51"/>
      <c r="X214" s="52"/>
      <c r="Y214" s="51"/>
      <c r="Z214" s="51"/>
      <c r="AA214" s="51"/>
    </row>
    <row r="215" spans="1:27" ht="12.95" customHeight="1">
      <c r="A215" s="43">
        <v>229</v>
      </c>
      <c r="B215" s="77" t="s">
        <v>16</v>
      </c>
      <c r="C215" s="77" t="s">
        <v>12</v>
      </c>
      <c r="D215" s="43" t="s">
        <v>19</v>
      </c>
      <c r="E215" s="44" t="s">
        <v>65</v>
      </c>
      <c r="F215" s="79" t="s">
        <v>18</v>
      </c>
      <c r="G215" s="78">
        <v>306083</v>
      </c>
      <c r="H215" s="55" t="s">
        <v>9</v>
      </c>
      <c r="I215" s="56" t="s">
        <v>18</v>
      </c>
      <c r="J215" s="44" t="s">
        <v>7</v>
      </c>
      <c r="K215" s="43" t="s">
        <v>123</v>
      </c>
      <c r="L215" s="75" t="s">
        <v>137</v>
      </c>
      <c r="M215" s="81" t="s">
        <v>137</v>
      </c>
      <c r="N215" s="61"/>
      <c r="O215" s="58"/>
      <c r="P215" s="61"/>
      <c r="Q215" s="51" t="s">
        <v>138</v>
      </c>
      <c r="R215" s="51"/>
      <c r="S215" s="72"/>
      <c r="T215" s="51"/>
      <c r="U215" s="51" t="s">
        <v>138</v>
      </c>
      <c r="V215" s="51"/>
      <c r="W215" s="51"/>
      <c r="X215" s="52"/>
      <c r="Y215" s="51"/>
      <c r="Z215" s="51"/>
      <c r="AA215" s="51"/>
    </row>
    <row r="216" spans="1:27" ht="12.95" customHeight="1">
      <c r="A216" s="43">
        <v>125</v>
      </c>
      <c r="B216" s="77" t="s">
        <v>16</v>
      </c>
      <c r="C216" s="77" t="s">
        <v>12</v>
      </c>
      <c r="D216" s="43" t="s">
        <v>19</v>
      </c>
      <c r="E216" s="44" t="s">
        <v>65</v>
      </c>
      <c r="F216" s="79" t="s">
        <v>18</v>
      </c>
      <c r="G216" s="78">
        <v>457481</v>
      </c>
      <c r="H216" s="55" t="s">
        <v>9</v>
      </c>
      <c r="I216" s="56" t="s">
        <v>18</v>
      </c>
      <c r="J216" s="44" t="s">
        <v>7</v>
      </c>
      <c r="K216" s="43" t="s">
        <v>123</v>
      </c>
      <c r="L216" s="75" t="s">
        <v>137</v>
      </c>
      <c r="M216" s="81" t="s">
        <v>137</v>
      </c>
      <c r="N216" s="61"/>
      <c r="O216" s="58"/>
      <c r="P216" s="61"/>
      <c r="Q216" s="51" t="s">
        <v>138</v>
      </c>
      <c r="R216" s="51"/>
      <c r="S216" s="72"/>
      <c r="T216" s="51"/>
      <c r="U216" s="51" t="s">
        <v>138</v>
      </c>
      <c r="V216" s="51"/>
      <c r="W216" s="51"/>
      <c r="X216" s="52"/>
      <c r="Y216" s="51"/>
      <c r="Z216" s="51"/>
      <c r="AA216" s="51"/>
    </row>
    <row r="217" spans="1:27" ht="12.95" customHeight="1">
      <c r="A217" s="43">
        <v>203</v>
      </c>
      <c r="B217" s="77" t="s">
        <v>16</v>
      </c>
      <c r="C217" s="77" t="s">
        <v>12</v>
      </c>
      <c r="D217" s="43" t="s">
        <v>19</v>
      </c>
      <c r="E217" s="44" t="s">
        <v>65</v>
      </c>
      <c r="F217" s="79" t="s">
        <v>41</v>
      </c>
      <c r="G217" s="78">
        <v>186385</v>
      </c>
      <c r="H217" s="55" t="s">
        <v>9</v>
      </c>
      <c r="I217" s="56" t="s">
        <v>18</v>
      </c>
      <c r="J217" s="73" t="s">
        <v>18</v>
      </c>
      <c r="K217" s="43" t="s">
        <v>134</v>
      </c>
      <c r="L217" s="75" t="s">
        <v>134</v>
      </c>
      <c r="M217" s="81" t="s">
        <v>135</v>
      </c>
      <c r="N217" s="61"/>
      <c r="O217" s="58"/>
      <c r="P217" s="61"/>
      <c r="Q217" s="51" t="s">
        <v>138</v>
      </c>
      <c r="R217" s="51"/>
      <c r="S217" s="72"/>
      <c r="T217" s="51"/>
      <c r="U217" s="51" t="s">
        <v>138</v>
      </c>
      <c r="V217" s="51"/>
      <c r="W217" s="51"/>
      <c r="X217" s="52"/>
      <c r="Y217" s="51"/>
      <c r="Z217" s="51"/>
      <c r="AA217" s="51"/>
    </row>
    <row r="218" spans="1:27" ht="12.95" customHeight="1">
      <c r="A218" s="43">
        <v>228</v>
      </c>
      <c r="B218" s="77" t="s">
        <v>16</v>
      </c>
      <c r="C218" s="77" t="s">
        <v>12</v>
      </c>
      <c r="D218" s="43" t="s">
        <v>19</v>
      </c>
      <c r="E218" s="44" t="s">
        <v>65</v>
      </c>
      <c r="F218" s="79" t="s">
        <v>41</v>
      </c>
      <c r="G218" s="78">
        <v>376099</v>
      </c>
      <c r="H218" s="55" t="s">
        <v>9</v>
      </c>
      <c r="I218" s="56" t="s">
        <v>18</v>
      </c>
      <c r="J218" s="73" t="s">
        <v>18</v>
      </c>
      <c r="K218" s="43" t="s">
        <v>134</v>
      </c>
      <c r="L218" s="75" t="s">
        <v>134</v>
      </c>
      <c r="M218" s="81" t="s">
        <v>135</v>
      </c>
      <c r="N218" s="61"/>
      <c r="O218" s="58"/>
      <c r="P218" s="61"/>
      <c r="Q218" s="51" t="s">
        <v>138</v>
      </c>
      <c r="R218" s="51"/>
      <c r="S218" s="72"/>
      <c r="T218" s="51"/>
      <c r="U218" s="51" t="s">
        <v>138</v>
      </c>
      <c r="V218" s="51"/>
      <c r="W218" s="51"/>
      <c r="X218" s="52"/>
      <c r="Y218" s="51"/>
      <c r="Z218" s="51"/>
      <c r="AA218" s="51"/>
    </row>
    <row r="219" spans="1:27" ht="12.95" customHeight="1">
      <c r="A219" s="43">
        <v>220</v>
      </c>
      <c r="B219" s="77" t="s">
        <v>16</v>
      </c>
      <c r="C219" s="77" t="s">
        <v>12</v>
      </c>
      <c r="D219" s="43" t="s">
        <v>19</v>
      </c>
      <c r="E219" s="44" t="s">
        <v>65</v>
      </c>
      <c r="F219" s="79" t="s">
        <v>41</v>
      </c>
      <c r="G219" s="78">
        <v>292892</v>
      </c>
      <c r="H219" s="55" t="s">
        <v>9</v>
      </c>
      <c r="I219" s="56" t="s">
        <v>18</v>
      </c>
      <c r="J219" s="73" t="s">
        <v>18</v>
      </c>
      <c r="K219" s="43" t="s">
        <v>134</v>
      </c>
      <c r="L219" s="75" t="s">
        <v>134</v>
      </c>
      <c r="M219" s="81" t="s">
        <v>135</v>
      </c>
      <c r="N219" s="61"/>
      <c r="O219" s="58"/>
      <c r="P219" s="61"/>
      <c r="Q219" s="51" t="s">
        <v>138</v>
      </c>
      <c r="R219" s="51"/>
      <c r="S219" s="72"/>
      <c r="T219" s="51"/>
      <c r="U219" s="51" t="s">
        <v>138</v>
      </c>
      <c r="V219" s="51"/>
      <c r="W219" s="51"/>
      <c r="X219" s="52"/>
      <c r="Y219" s="51"/>
      <c r="Z219" s="51"/>
      <c r="AA219" s="51"/>
    </row>
    <row r="220" spans="1:27" ht="12.95" customHeight="1">
      <c r="A220" s="43">
        <v>180</v>
      </c>
      <c r="B220" s="77" t="s">
        <v>16</v>
      </c>
      <c r="C220" s="77" t="s">
        <v>12</v>
      </c>
      <c r="D220" s="43" t="s">
        <v>19</v>
      </c>
      <c r="E220" s="44" t="s">
        <v>65</v>
      </c>
      <c r="F220" s="79" t="s">
        <v>27</v>
      </c>
      <c r="G220" s="78">
        <v>459322</v>
      </c>
      <c r="H220" s="55" t="s">
        <v>9</v>
      </c>
      <c r="I220" s="56" t="s">
        <v>18</v>
      </c>
      <c r="J220" s="44" t="s">
        <v>9</v>
      </c>
      <c r="K220" s="43" t="s">
        <v>134</v>
      </c>
      <c r="L220" s="75" t="s">
        <v>134</v>
      </c>
      <c r="M220" s="81" t="s">
        <v>127</v>
      </c>
      <c r="N220" s="61"/>
      <c r="O220" s="58"/>
      <c r="P220" s="61"/>
      <c r="Q220" s="51" t="s">
        <v>138</v>
      </c>
      <c r="R220" s="51"/>
      <c r="S220" s="72"/>
      <c r="T220" s="51"/>
      <c r="U220" s="51" t="s">
        <v>138</v>
      </c>
      <c r="V220" s="51"/>
      <c r="W220" s="51"/>
      <c r="X220" s="52"/>
      <c r="Y220" s="51"/>
      <c r="Z220" s="51"/>
      <c r="AA220" s="51"/>
    </row>
    <row r="221" spans="1:27" ht="12.95" customHeight="1">
      <c r="A221" s="43">
        <v>152</v>
      </c>
      <c r="B221" s="77" t="s">
        <v>16</v>
      </c>
      <c r="C221" s="77" t="s">
        <v>12</v>
      </c>
      <c r="D221" s="43" t="s">
        <v>19</v>
      </c>
      <c r="E221" s="44" t="s">
        <v>65</v>
      </c>
      <c r="F221" s="79" t="s">
        <v>18</v>
      </c>
      <c r="G221" s="78">
        <v>213021</v>
      </c>
      <c r="H221" s="55" t="s">
        <v>9</v>
      </c>
      <c r="I221" s="56" t="s">
        <v>18</v>
      </c>
      <c r="J221" s="44" t="s">
        <v>7</v>
      </c>
      <c r="K221" s="43" t="s">
        <v>134</v>
      </c>
      <c r="L221" s="75" t="s">
        <v>134</v>
      </c>
      <c r="M221" s="81" t="s">
        <v>135</v>
      </c>
      <c r="N221" s="61"/>
      <c r="O221" s="58"/>
      <c r="P221" s="61"/>
      <c r="Q221" s="51" t="s">
        <v>138</v>
      </c>
      <c r="R221" s="51"/>
      <c r="S221" s="72"/>
      <c r="T221" s="51"/>
      <c r="U221" s="51" t="s">
        <v>138</v>
      </c>
      <c r="V221" s="51"/>
      <c r="W221" s="51"/>
      <c r="X221" s="52"/>
      <c r="Y221" s="51"/>
      <c r="Z221" s="51"/>
      <c r="AA221" s="51"/>
    </row>
    <row r="222" spans="1:27" ht="12.95" customHeight="1">
      <c r="A222" s="43">
        <v>256</v>
      </c>
      <c r="B222" s="77" t="s">
        <v>16</v>
      </c>
      <c r="C222" s="77" t="s">
        <v>12</v>
      </c>
      <c r="D222" s="43" t="s">
        <v>19</v>
      </c>
      <c r="E222" s="44" t="s">
        <v>65</v>
      </c>
      <c r="F222" s="79" t="s">
        <v>5</v>
      </c>
      <c r="G222" s="78">
        <v>412905</v>
      </c>
      <c r="H222" s="55" t="s">
        <v>9</v>
      </c>
      <c r="I222" s="56" t="s">
        <v>18</v>
      </c>
      <c r="J222" s="44" t="s">
        <v>4</v>
      </c>
      <c r="K222" s="43" t="s">
        <v>134</v>
      </c>
      <c r="L222" s="75" t="s">
        <v>134</v>
      </c>
      <c r="M222" s="81" t="s">
        <v>140</v>
      </c>
      <c r="N222" s="61"/>
      <c r="O222" s="58"/>
      <c r="P222" s="61"/>
      <c r="Q222" s="51" t="s">
        <v>138</v>
      </c>
      <c r="R222" s="51"/>
      <c r="S222" s="72"/>
      <c r="T222" s="51"/>
      <c r="U222" s="51" t="s">
        <v>138</v>
      </c>
      <c r="V222" s="51"/>
      <c r="W222" s="51"/>
      <c r="X222" s="52"/>
      <c r="Y222" s="51"/>
      <c r="Z222" s="51"/>
      <c r="AA222" s="51"/>
    </row>
    <row r="223" spans="1:27" ht="12.95" customHeight="1">
      <c r="A223" s="43">
        <v>171</v>
      </c>
      <c r="B223" s="77" t="s">
        <v>16</v>
      </c>
      <c r="C223" s="77" t="s">
        <v>12</v>
      </c>
      <c r="D223" s="43" t="s">
        <v>19</v>
      </c>
      <c r="E223" s="44" t="s">
        <v>65</v>
      </c>
      <c r="F223" s="79" t="s">
        <v>5</v>
      </c>
      <c r="G223" s="78">
        <v>419566</v>
      </c>
      <c r="H223" s="55" t="s">
        <v>9</v>
      </c>
      <c r="I223" s="56" t="s">
        <v>18</v>
      </c>
      <c r="J223" s="44" t="s">
        <v>4</v>
      </c>
      <c r="K223" s="43" t="s">
        <v>134</v>
      </c>
      <c r="L223" s="75" t="s">
        <v>134</v>
      </c>
      <c r="M223" s="81" t="s">
        <v>140</v>
      </c>
      <c r="N223" s="61"/>
      <c r="O223" s="58"/>
      <c r="P223" s="61"/>
      <c r="Q223" s="51" t="s">
        <v>138</v>
      </c>
      <c r="R223" s="51"/>
      <c r="S223" s="72"/>
      <c r="T223" s="51"/>
      <c r="U223" s="51" t="s">
        <v>138</v>
      </c>
      <c r="V223" s="51"/>
      <c r="W223" s="51"/>
      <c r="X223" s="52"/>
      <c r="Y223" s="51"/>
      <c r="Z223" s="51"/>
      <c r="AA223" s="51"/>
    </row>
    <row r="224" spans="1:27" ht="12.95" customHeight="1">
      <c r="A224" s="43">
        <v>212</v>
      </c>
      <c r="B224" s="77" t="s">
        <v>16</v>
      </c>
      <c r="C224" s="77" t="s">
        <v>12</v>
      </c>
      <c r="D224" s="43" t="s">
        <v>19</v>
      </c>
      <c r="E224" s="44" t="s">
        <v>65</v>
      </c>
      <c r="F224" s="79" t="s">
        <v>18</v>
      </c>
      <c r="G224" s="78">
        <v>306348</v>
      </c>
      <c r="H224" s="55" t="s">
        <v>9</v>
      </c>
      <c r="I224" s="56" t="s">
        <v>18</v>
      </c>
      <c r="J224" s="44" t="s">
        <v>7</v>
      </c>
      <c r="K224" s="43" t="s">
        <v>123</v>
      </c>
      <c r="L224" s="75" t="s">
        <v>132</v>
      </c>
      <c r="M224" s="81" t="s">
        <v>140</v>
      </c>
      <c r="N224" s="61"/>
      <c r="O224" s="58"/>
      <c r="P224" s="61"/>
      <c r="Q224" s="51" t="s">
        <v>138</v>
      </c>
      <c r="R224" s="51"/>
      <c r="S224" s="72"/>
      <c r="T224" s="51"/>
      <c r="U224" s="51" t="s">
        <v>138</v>
      </c>
      <c r="V224" s="51"/>
      <c r="W224" s="51"/>
      <c r="X224" s="52"/>
      <c r="Y224" s="51"/>
      <c r="Z224" s="51"/>
      <c r="AA224" s="51"/>
    </row>
    <row r="225" spans="1:27" ht="12.95" customHeight="1">
      <c r="A225" s="43">
        <v>280</v>
      </c>
      <c r="B225" s="77" t="s">
        <v>16</v>
      </c>
      <c r="C225" s="77" t="s">
        <v>12</v>
      </c>
      <c r="D225" s="43" t="s">
        <v>19</v>
      </c>
      <c r="E225" s="44" t="s">
        <v>65</v>
      </c>
      <c r="F225" s="79" t="s">
        <v>6</v>
      </c>
      <c r="G225" s="78">
        <v>366276</v>
      </c>
      <c r="H225" s="55" t="s">
        <v>9</v>
      </c>
      <c r="I225" s="56" t="s">
        <v>18</v>
      </c>
      <c r="J225" s="52" t="s">
        <v>3</v>
      </c>
      <c r="K225" s="43" t="s">
        <v>123</v>
      </c>
      <c r="L225" s="75" t="s">
        <v>132</v>
      </c>
      <c r="M225" s="81" t="s">
        <v>141</v>
      </c>
      <c r="N225" s="61"/>
      <c r="O225" s="58"/>
      <c r="P225" s="61"/>
      <c r="Q225" s="51" t="s">
        <v>138</v>
      </c>
      <c r="R225" s="51"/>
      <c r="S225" s="72"/>
      <c r="T225" s="51"/>
      <c r="U225" s="51" t="s">
        <v>138</v>
      </c>
      <c r="V225" s="51"/>
      <c r="W225" s="51"/>
      <c r="X225" s="52"/>
      <c r="Y225" s="51"/>
      <c r="Z225" s="51"/>
      <c r="AA225" s="51"/>
    </row>
    <row r="226" spans="1:27" ht="12.95" customHeight="1">
      <c r="A226" s="43">
        <v>281</v>
      </c>
      <c r="B226" s="77" t="s">
        <v>16</v>
      </c>
      <c r="C226" s="77" t="s">
        <v>12</v>
      </c>
      <c r="D226" s="43" t="s">
        <v>19</v>
      </c>
      <c r="E226" s="44" t="s">
        <v>65</v>
      </c>
      <c r="F226" s="79" t="s">
        <v>6</v>
      </c>
      <c r="G226" s="78">
        <v>366277</v>
      </c>
      <c r="H226" s="55" t="s">
        <v>9</v>
      </c>
      <c r="I226" s="56" t="s">
        <v>18</v>
      </c>
      <c r="J226" s="52" t="s">
        <v>3</v>
      </c>
      <c r="K226" s="43" t="s">
        <v>123</v>
      </c>
      <c r="L226" s="75" t="s">
        <v>132</v>
      </c>
      <c r="M226" s="81" t="s">
        <v>141</v>
      </c>
      <c r="N226" s="61"/>
      <c r="O226" s="58"/>
      <c r="P226" s="61"/>
      <c r="Q226" s="51" t="s">
        <v>138</v>
      </c>
      <c r="R226" s="51"/>
      <c r="S226" s="72"/>
      <c r="T226" s="51"/>
      <c r="U226" s="51" t="s">
        <v>138</v>
      </c>
      <c r="V226" s="51"/>
      <c r="W226" s="51"/>
      <c r="X226" s="52"/>
      <c r="Y226" s="51"/>
      <c r="Z226" s="51"/>
      <c r="AA226" s="51"/>
    </row>
    <row r="227" spans="1:27" ht="12.95" customHeight="1">
      <c r="A227" s="43">
        <v>145</v>
      </c>
      <c r="B227" s="77" t="s">
        <v>16</v>
      </c>
      <c r="C227" s="77" t="s">
        <v>12</v>
      </c>
      <c r="D227" s="43" t="s">
        <v>19</v>
      </c>
      <c r="E227" s="44" t="s">
        <v>65</v>
      </c>
      <c r="F227" s="79" t="s">
        <v>5</v>
      </c>
      <c r="G227" s="78">
        <v>226420</v>
      </c>
      <c r="H227" s="55" t="s">
        <v>9</v>
      </c>
      <c r="I227" s="56" t="s">
        <v>18</v>
      </c>
      <c r="J227" s="44" t="s">
        <v>4</v>
      </c>
      <c r="K227" s="43" t="s">
        <v>123</v>
      </c>
      <c r="L227" s="75" t="s">
        <v>132</v>
      </c>
      <c r="M227" s="81" t="s">
        <v>138</v>
      </c>
      <c r="N227" s="61"/>
      <c r="O227" s="58"/>
      <c r="P227" s="61"/>
      <c r="Q227" s="51" t="s">
        <v>138</v>
      </c>
      <c r="R227" s="51"/>
      <c r="S227" s="72"/>
      <c r="T227" s="51"/>
      <c r="U227" s="51" t="s">
        <v>138</v>
      </c>
      <c r="V227" s="51"/>
      <c r="W227" s="51"/>
      <c r="X227" s="52"/>
      <c r="Y227" s="51"/>
      <c r="Z227" s="51"/>
      <c r="AA227" s="51"/>
    </row>
    <row r="228" spans="1:27" ht="12.95" customHeight="1">
      <c r="A228" s="43">
        <v>211</v>
      </c>
      <c r="B228" s="77" t="s">
        <v>16</v>
      </c>
      <c r="C228" s="77" t="s">
        <v>12</v>
      </c>
      <c r="D228" s="43" t="s">
        <v>19</v>
      </c>
      <c r="E228" s="44" t="s">
        <v>65</v>
      </c>
      <c r="F228" s="79" t="s">
        <v>9</v>
      </c>
      <c r="G228" s="78">
        <v>265982</v>
      </c>
      <c r="H228" s="55" t="s">
        <v>9</v>
      </c>
      <c r="I228" s="56" t="s">
        <v>18</v>
      </c>
      <c r="J228" s="44" t="s">
        <v>9</v>
      </c>
      <c r="K228" s="43" t="s">
        <v>123</v>
      </c>
      <c r="L228" s="75" t="s">
        <v>126</v>
      </c>
      <c r="M228" s="81" t="s">
        <v>132</v>
      </c>
      <c r="N228" s="61"/>
      <c r="O228" s="58"/>
      <c r="P228" s="61"/>
      <c r="Q228" s="51" t="s">
        <v>138</v>
      </c>
      <c r="R228" s="51"/>
      <c r="S228" s="72"/>
      <c r="T228" s="51"/>
      <c r="U228" s="51" t="s">
        <v>138</v>
      </c>
      <c r="V228" s="51"/>
      <c r="W228" s="51"/>
      <c r="X228" s="52"/>
      <c r="Y228" s="51"/>
      <c r="Z228" s="51"/>
      <c r="AA228" s="51"/>
    </row>
    <row r="229" spans="1:27" ht="12.95" customHeight="1">
      <c r="A229" s="43">
        <v>315</v>
      </c>
      <c r="B229" s="77" t="s">
        <v>16</v>
      </c>
      <c r="C229" s="77" t="s">
        <v>12</v>
      </c>
      <c r="D229" s="43" t="s">
        <v>19</v>
      </c>
      <c r="E229" s="44" t="s">
        <v>65</v>
      </c>
      <c r="F229" s="79" t="s">
        <v>41</v>
      </c>
      <c r="G229" s="78">
        <v>266386</v>
      </c>
      <c r="H229" s="55" t="s">
        <v>9</v>
      </c>
      <c r="I229" s="56" t="s">
        <v>18</v>
      </c>
      <c r="J229" s="73" t="s">
        <v>18</v>
      </c>
      <c r="K229" s="43" t="s">
        <v>123</v>
      </c>
      <c r="L229" s="75" t="s">
        <v>132</v>
      </c>
      <c r="M229" s="81" t="s">
        <v>135</v>
      </c>
      <c r="N229" s="61"/>
      <c r="O229" s="58"/>
      <c r="P229" s="61"/>
      <c r="Q229" s="51" t="s">
        <v>138</v>
      </c>
      <c r="R229" s="51"/>
      <c r="S229" s="72"/>
      <c r="T229" s="51"/>
      <c r="U229" s="51" t="s">
        <v>138</v>
      </c>
      <c r="V229" s="51"/>
      <c r="W229" s="51"/>
      <c r="X229" s="52"/>
      <c r="Y229" s="51"/>
      <c r="Z229" s="51"/>
      <c r="AA229" s="51"/>
    </row>
    <row r="230" spans="1:27" ht="12.95" customHeight="1">
      <c r="A230" s="43">
        <v>256</v>
      </c>
      <c r="B230" s="77" t="s">
        <v>16</v>
      </c>
      <c r="C230" s="77" t="s">
        <v>12</v>
      </c>
      <c r="D230" s="43" t="s">
        <v>19</v>
      </c>
      <c r="E230" s="44" t="s">
        <v>65</v>
      </c>
      <c r="F230" s="79" t="s">
        <v>41</v>
      </c>
      <c r="G230" s="78">
        <v>193130</v>
      </c>
      <c r="H230" s="55" t="s">
        <v>9</v>
      </c>
      <c r="I230" s="56" t="s">
        <v>18</v>
      </c>
      <c r="J230" s="73" t="s">
        <v>18</v>
      </c>
      <c r="K230" s="43" t="s">
        <v>123</v>
      </c>
      <c r="L230" s="55" t="s">
        <v>132</v>
      </c>
      <c r="M230" s="57" t="s">
        <v>135</v>
      </c>
      <c r="N230" s="51"/>
      <c r="O230" s="58"/>
      <c r="P230" s="61"/>
      <c r="Q230" s="51" t="s">
        <v>138</v>
      </c>
      <c r="R230" s="51"/>
      <c r="S230" s="72"/>
      <c r="T230" s="51"/>
      <c r="U230" s="51" t="s">
        <v>138</v>
      </c>
      <c r="V230" s="51"/>
      <c r="W230" s="51"/>
      <c r="X230" s="52"/>
      <c r="Y230" s="51"/>
      <c r="Z230" s="51"/>
      <c r="AA230" s="51"/>
    </row>
    <row r="231" spans="1:27" ht="12.95" customHeight="1">
      <c r="A231" s="43">
        <v>317</v>
      </c>
      <c r="B231" s="77" t="s">
        <v>16</v>
      </c>
      <c r="C231" s="77" t="s">
        <v>12</v>
      </c>
      <c r="D231" s="43" t="s">
        <v>19</v>
      </c>
      <c r="E231" s="44" t="s">
        <v>65</v>
      </c>
      <c r="F231" s="79" t="s">
        <v>41</v>
      </c>
      <c r="G231" s="78">
        <v>279940</v>
      </c>
      <c r="H231" s="75" t="s">
        <v>9</v>
      </c>
      <c r="I231" s="56" t="s">
        <v>18</v>
      </c>
      <c r="J231" s="73" t="s">
        <v>18</v>
      </c>
      <c r="K231" s="43" t="s">
        <v>123</v>
      </c>
      <c r="L231" s="55" t="s">
        <v>126</v>
      </c>
      <c r="M231" s="57" t="s">
        <v>139</v>
      </c>
      <c r="N231" s="51"/>
      <c r="O231" s="58"/>
      <c r="P231" s="61"/>
      <c r="Q231" s="51" t="s">
        <v>138</v>
      </c>
      <c r="R231" s="51"/>
      <c r="S231" s="72"/>
      <c r="T231" s="51"/>
      <c r="U231" s="51" t="s">
        <v>138</v>
      </c>
      <c r="V231" s="51"/>
      <c r="W231" s="51"/>
      <c r="X231" s="52"/>
      <c r="Y231" s="51"/>
      <c r="Z231" s="51"/>
      <c r="AA231" s="51"/>
    </row>
    <row r="232" spans="1:27" ht="12.95" customHeight="1">
      <c r="A232" s="43">
        <v>226</v>
      </c>
      <c r="B232" s="56" t="s">
        <v>22</v>
      </c>
      <c r="C232" s="56" t="s">
        <v>12</v>
      </c>
      <c r="D232" s="55" t="s">
        <v>28</v>
      </c>
      <c r="E232" s="95" t="s">
        <v>25</v>
      </c>
      <c r="F232" s="96" t="s">
        <v>6</v>
      </c>
      <c r="G232" s="55">
        <v>192349</v>
      </c>
      <c r="H232" s="55" t="s">
        <v>9</v>
      </c>
      <c r="I232" s="56" t="s">
        <v>4</v>
      </c>
      <c r="J232" s="97" t="s">
        <v>5</v>
      </c>
      <c r="K232" s="43" t="s">
        <v>134</v>
      </c>
      <c r="L232" s="55" t="s">
        <v>134</v>
      </c>
      <c r="M232" s="98" t="s">
        <v>127</v>
      </c>
      <c r="N232" s="49"/>
      <c r="O232" s="49"/>
      <c r="P232" s="51"/>
      <c r="Q232" s="51" t="s">
        <v>141</v>
      </c>
      <c r="R232" s="51" t="s">
        <v>141</v>
      </c>
      <c r="S232" s="72">
        <v>0</v>
      </c>
      <c r="T232" s="50" t="s">
        <v>139</v>
      </c>
      <c r="U232" s="46" t="s">
        <v>137</v>
      </c>
      <c r="V232" s="49"/>
      <c r="W232" s="49"/>
      <c r="X232" s="52"/>
      <c r="Y232" s="51"/>
      <c r="Z232" s="51"/>
      <c r="AA232" s="51" t="s">
        <v>136</v>
      </c>
    </row>
    <row r="233" spans="1:27" ht="12.95" customHeight="1">
      <c r="A233" s="43">
        <v>195</v>
      </c>
      <c r="B233" s="56" t="s">
        <v>22</v>
      </c>
      <c r="C233" s="56" t="s">
        <v>12</v>
      </c>
      <c r="D233" s="55" t="s">
        <v>28</v>
      </c>
      <c r="E233" s="95" t="s">
        <v>25</v>
      </c>
      <c r="F233" s="96" t="s">
        <v>23</v>
      </c>
      <c r="G233" s="55">
        <v>365356</v>
      </c>
      <c r="H233" s="55" t="s">
        <v>26</v>
      </c>
      <c r="I233" s="56" t="s">
        <v>21</v>
      </c>
      <c r="J233" s="97" t="s">
        <v>21</v>
      </c>
      <c r="K233" s="43" t="s">
        <v>134</v>
      </c>
      <c r="L233" s="55" t="s">
        <v>134</v>
      </c>
      <c r="M233" s="98" t="s">
        <v>127</v>
      </c>
      <c r="N233" s="49">
        <v>45436</v>
      </c>
      <c r="O233" s="49">
        <v>45436</v>
      </c>
      <c r="P233" s="51"/>
      <c r="Q233" s="51" t="s">
        <v>132</v>
      </c>
      <c r="R233" s="51" t="s">
        <v>123</v>
      </c>
      <c r="S233" s="72">
        <f ca="1">TODAY()-N233</f>
        <v>762</v>
      </c>
      <c r="T233" s="50" t="s">
        <v>132</v>
      </c>
      <c r="U233" s="46" t="s">
        <v>141</v>
      </c>
      <c r="V233" s="49"/>
      <c r="W233" s="49"/>
      <c r="X233" s="52" t="s">
        <v>141</v>
      </c>
      <c r="Y233" s="51"/>
      <c r="Z233" s="51"/>
      <c r="AA233" s="51" t="s">
        <v>123</v>
      </c>
    </row>
    <row r="234" spans="1:27" ht="12.95" customHeight="1">
      <c r="A234" s="43">
        <v>277</v>
      </c>
      <c r="B234" s="56" t="s">
        <v>22</v>
      </c>
      <c r="C234" s="56" t="s">
        <v>12</v>
      </c>
      <c r="D234" s="43" t="s">
        <v>19</v>
      </c>
      <c r="E234" s="95" t="s">
        <v>25</v>
      </c>
      <c r="F234" s="96" t="s">
        <v>29</v>
      </c>
      <c r="G234" s="55">
        <v>309336</v>
      </c>
      <c r="H234" s="55" t="s">
        <v>9</v>
      </c>
      <c r="I234" s="56" t="s">
        <v>4</v>
      </c>
      <c r="J234" s="97" t="s">
        <v>5</v>
      </c>
      <c r="K234" s="43" t="s">
        <v>134</v>
      </c>
      <c r="L234" s="55" t="s">
        <v>134</v>
      </c>
      <c r="M234" s="98" t="s">
        <v>127</v>
      </c>
      <c r="N234" s="49">
        <v>46024</v>
      </c>
      <c r="O234" s="49">
        <v>46024</v>
      </c>
      <c r="P234" s="51"/>
      <c r="Q234" s="51" t="s">
        <v>127</v>
      </c>
      <c r="R234" s="51" t="s">
        <v>126</v>
      </c>
      <c r="S234" s="72">
        <f ca="1">TODAY()-N234</f>
        <v>174</v>
      </c>
      <c r="T234" s="50" t="s">
        <v>132</v>
      </c>
      <c r="U234" s="51" t="s">
        <v>131</v>
      </c>
      <c r="V234" s="49"/>
      <c r="W234" s="49">
        <v>46089</v>
      </c>
      <c r="X234" s="52" t="s">
        <v>127</v>
      </c>
      <c r="Y234" s="51"/>
      <c r="Z234" s="51"/>
      <c r="AA234" s="51" t="s">
        <v>127</v>
      </c>
    </row>
    <row r="235" spans="1:27" ht="12.95" customHeight="1">
      <c r="A235" s="43">
        <v>229</v>
      </c>
      <c r="B235" s="56" t="s">
        <v>22</v>
      </c>
      <c r="C235" s="56" t="s">
        <v>12</v>
      </c>
      <c r="D235" s="43" t="s">
        <v>19</v>
      </c>
      <c r="E235" s="95" t="s">
        <v>25</v>
      </c>
      <c r="F235" s="96" t="s">
        <v>13</v>
      </c>
      <c r="G235" s="55">
        <v>458567</v>
      </c>
      <c r="H235" s="43" t="s">
        <v>26</v>
      </c>
      <c r="I235" s="56" t="s">
        <v>6</v>
      </c>
      <c r="J235" s="97" t="s">
        <v>6</v>
      </c>
      <c r="K235" s="43" t="s">
        <v>141</v>
      </c>
      <c r="L235" s="55" t="s">
        <v>140</v>
      </c>
      <c r="M235" s="98" t="s">
        <v>139</v>
      </c>
      <c r="N235" s="49">
        <v>45988</v>
      </c>
      <c r="O235" s="49">
        <v>45988</v>
      </c>
      <c r="P235" s="51"/>
      <c r="Q235" s="51" t="s">
        <v>141</v>
      </c>
      <c r="R235" s="51" t="s">
        <v>141</v>
      </c>
      <c r="S235" s="72">
        <f ca="1">TODAY()-N235</f>
        <v>210</v>
      </c>
      <c r="T235" s="50" t="s">
        <v>132</v>
      </c>
      <c r="U235" s="46" t="s">
        <v>141</v>
      </c>
      <c r="V235" s="49"/>
      <c r="W235" s="49"/>
      <c r="X235" s="52" t="s">
        <v>141</v>
      </c>
      <c r="Y235" s="51" t="s">
        <v>138</v>
      </c>
      <c r="Z235" s="51"/>
      <c r="AA235" s="51" t="s">
        <v>134</v>
      </c>
    </row>
    <row r="236" spans="1:27" ht="12.95" customHeight="1">
      <c r="A236" s="43">
        <v>148</v>
      </c>
      <c r="B236" s="56" t="s">
        <v>22</v>
      </c>
      <c r="C236" s="56" t="s">
        <v>12</v>
      </c>
      <c r="D236" s="55" t="s">
        <v>28</v>
      </c>
      <c r="E236" s="95" t="s">
        <v>25</v>
      </c>
      <c r="F236" s="96" t="s">
        <v>24</v>
      </c>
      <c r="G236" s="55">
        <v>87185387</v>
      </c>
      <c r="H236" s="55" t="s">
        <v>26</v>
      </c>
      <c r="I236" s="56" t="s">
        <v>21</v>
      </c>
      <c r="J236" s="97" t="s">
        <v>21</v>
      </c>
      <c r="K236" s="43" t="s">
        <v>132</v>
      </c>
      <c r="L236" s="55" t="s">
        <v>134</v>
      </c>
      <c r="M236" s="98" t="s">
        <v>127</v>
      </c>
      <c r="N236" s="49">
        <v>45269</v>
      </c>
      <c r="O236" s="49"/>
      <c r="P236" s="51"/>
      <c r="Q236" s="51" t="s">
        <v>141</v>
      </c>
      <c r="R236" s="51"/>
      <c r="S236" s="72"/>
      <c r="T236" s="51"/>
      <c r="U236" s="51" t="s">
        <v>141</v>
      </c>
      <c r="V236" s="49"/>
      <c r="W236" s="49"/>
      <c r="X236" s="52"/>
      <c r="Y236" s="51"/>
      <c r="Z236" s="51"/>
      <c r="AA236" s="51" t="s">
        <v>140</v>
      </c>
    </row>
    <row r="237" spans="1:27" ht="12.95" customHeight="1">
      <c r="A237" s="43">
        <v>191</v>
      </c>
      <c r="B237" s="56" t="s">
        <v>22</v>
      </c>
      <c r="C237" s="56" t="s">
        <v>12</v>
      </c>
      <c r="D237" s="55" t="s">
        <v>28</v>
      </c>
      <c r="E237" s="95" t="s">
        <v>25</v>
      </c>
      <c r="F237" s="96" t="s">
        <v>9</v>
      </c>
      <c r="G237" s="55">
        <v>96254093</v>
      </c>
      <c r="H237" s="43" t="s">
        <v>26</v>
      </c>
      <c r="I237" s="56" t="s">
        <v>4</v>
      </c>
      <c r="J237" s="97" t="s">
        <v>24</v>
      </c>
      <c r="K237" s="43" t="s">
        <v>134</v>
      </c>
      <c r="L237" s="55" t="s">
        <v>134</v>
      </c>
      <c r="M237" s="98" t="s">
        <v>131</v>
      </c>
      <c r="N237" s="49">
        <v>45766</v>
      </c>
      <c r="O237" s="49">
        <v>45766</v>
      </c>
      <c r="P237" s="51"/>
      <c r="Q237" s="51" t="s">
        <v>132</v>
      </c>
      <c r="R237" s="51" t="s">
        <v>123</v>
      </c>
      <c r="S237" s="72">
        <f ca="1">TODAY()-N237</f>
        <v>432</v>
      </c>
      <c r="T237" s="50" t="s">
        <v>132</v>
      </c>
      <c r="U237" s="46" t="s">
        <v>137</v>
      </c>
      <c r="V237" s="49">
        <v>46250</v>
      </c>
      <c r="W237" s="49"/>
      <c r="X237" s="52" t="s">
        <v>139</v>
      </c>
      <c r="Y237" s="51" t="s">
        <v>138</v>
      </c>
      <c r="Z237" s="51"/>
      <c r="AA237" s="51" t="s">
        <v>137</v>
      </c>
    </row>
    <row r="238" spans="1:27" ht="12.95" customHeight="1">
      <c r="A238" s="43">
        <v>197</v>
      </c>
      <c r="B238" s="56" t="s">
        <v>22</v>
      </c>
      <c r="C238" s="56" t="s">
        <v>12</v>
      </c>
      <c r="D238" s="55" t="s">
        <v>28</v>
      </c>
      <c r="E238" s="95" t="s">
        <v>25</v>
      </c>
      <c r="F238" s="96" t="s">
        <v>9</v>
      </c>
      <c r="G238" s="55">
        <v>339018</v>
      </c>
      <c r="H238" s="43" t="s">
        <v>26</v>
      </c>
      <c r="I238" s="56" t="s">
        <v>4</v>
      </c>
      <c r="J238" s="97" t="s">
        <v>24</v>
      </c>
      <c r="K238" s="43" t="s">
        <v>134</v>
      </c>
      <c r="L238" s="55" t="s">
        <v>134</v>
      </c>
      <c r="M238" s="98" t="s">
        <v>138</v>
      </c>
      <c r="N238" s="49">
        <v>45820</v>
      </c>
      <c r="O238" s="49">
        <v>45820</v>
      </c>
      <c r="P238" s="51"/>
      <c r="Q238" s="51" t="s">
        <v>132</v>
      </c>
      <c r="R238" s="51" t="s">
        <v>123</v>
      </c>
      <c r="S238" s="72">
        <f ca="1">TODAY()-N238</f>
        <v>378</v>
      </c>
      <c r="T238" s="50" t="s">
        <v>132</v>
      </c>
      <c r="U238" s="46" t="s">
        <v>137</v>
      </c>
      <c r="V238" s="49"/>
      <c r="W238" s="49"/>
      <c r="X238" s="52"/>
      <c r="Y238" s="51" t="s">
        <v>138</v>
      </c>
      <c r="Z238" s="51"/>
      <c r="AA238" s="51" t="s">
        <v>135</v>
      </c>
    </row>
    <row r="239" spans="1:27" ht="12.95" customHeight="1">
      <c r="A239" s="43">
        <v>276</v>
      </c>
      <c r="B239" s="56" t="s">
        <v>22</v>
      </c>
      <c r="C239" s="56" t="s">
        <v>12</v>
      </c>
      <c r="D239" s="55" t="s">
        <v>28</v>
      </c>
      <c r="E239" s="95" t="s">
        <v>25</v>
      </c>
      <c r="F239" s="96" t="s">
        <v>9</v>
      </c>
      <c r="G239" s="55">
        <v>165550</v>
      </c>
      <c r="H239" s="55" t="s">
        <v>26</v>
      </c>
      <c r="I239" s="56" t="s">
        <v>21</v>
      </c>
      <c r="J239" s="97" t="s">
        <v>21</v>
      </c>
      <c r="K239" s="43" t="s">
        <v>132</v>
      </c>
      <c r="L239" s="55" t="s">
        <v>133</v>
      </c>
      <c r="M239" s="98" t="s">
        <v>127</v>
      </c>
      <c r="N239" s="49">
        <v>45509</v>
      </c>
      <c r="O239" s="49">
        <v>45509</v>
      </c>
      <c r="P239" s="51"/>
      <c r="Q239" s="51" t="s">
        <v>141</v>
      </c>
      <c r="R239" s="51"/>
      <c r="S239" s="72"/>
      <c r="T239" s="51"/>
      <c r="U239" s="51" t="s">
        <v>141</v>
      </c>
      <c r="V239" s="49"/>
      <c r="W239" s="49"/>
      <c r="X239" s="52"/>
      <c r="Y239" s="51"/>
      <c r="Z239" s="51"/>
      <c r="AA239" s="51" t="s">
        <v>135</v>
      </c>
    </row>
    <row r="240" spans="1:27" ht="12.95" customHeight="1">
      <c r="A240" s="43">
        <v>301</v>
      </c>
      <c r="B240" s="56" t="s">
        <v>22</v>
      </c>
      <c r="C240" s="56" t="s">
        <v>12</v>
      </c>
      <c r="D240" s="55" t="s">
        <v>28</v>
      </c>
      <c r="E240" s="95" t="s">
        <v>25</v>
      </c>
      <c r="F240" s="96" t="s">
        <v>33</v>
      </c>
      <c r="G240" s="55">
        <v>202846</v>
      </c>
      <c r="H240" s="55" t="s">
        <v>17</v>
      </c>
      <c r="I240" s="56" t="s">
        <v>21</v>
      </c>
      <c r="J240" s="97" t="s">
        <v>21</v>
      </c>
      <c r="K240" s="43" t="s">
        <v>132</v>
      </c>
      <c r="L240" s="55" t="s">
        <v>133</v>
      </c>
      <c r="M240" s="98" t="s">
        <v>127</v>
      </c>
      <c r="N240" s="49">
        <v>45509</v>
      </c>
      <c r="O240" s="49">
        <v>45509</v>
      </c>
      <c r="P240" s="51"/>
      <c r="Q240" s="51" t="s">
        <v>141</v>
      </c>
      <c r="R240" s="51"/>
      <c r="S240" s="72"/>
      <c r="T240" s="51"/>
      <c r="U240" s="51" t="s">
        <v>141</v>
      </c>
      <c r="V240" s="49"/>
      <c r="W240" s="49"/>
      <c r="X240" s="52"/>
      <c r="Y240" s="51"/>
      <c r="Z240" s="51"/>
      <c r="AA240" s="51" t="s">
        <v>123</v>
      </c>
    </row>
    <row r="241" spans="1:27" ht="12.95" customHeight="1">
      <c r="A241" s="43">
        <v>197</v>
      </c>
      <c r="B241" s="56" t="s">
        <v>22</v>
      </c>
      <c r="C241" s="56" t="s">
        <v>12</v>
      </c>
      <c r="D241" s="55" t="s">
        <v>28</v>
      </c>
      <c r="E241" s="95" t="s">
        <v>25</v>
      </c>
      <c r="F241" s="96" t="s">
        <v>24</v>
      </c>
      <c r="G241" s="55">
        <v>409198</v>
      </c>
      <c r="H241" s="55" t="s">
        <v>26</v>
      </c>
      <c r="I241" s="56" t="s">
        <v>21</v>
      </c>
      <c r="J241" s="97" t="s">
        <v>21</v>
      </c>
      <c r="K241" s="43" t="s">
        <v>134</v>
      </c>
      <c r="L241" s="55" t="s">
        <v>134</v>
      </c>
      <c r="M241" s="98" t="s">
        <v>123</v>
      </c>
      <c r="N241" s="49">
        <v>45373</v>
      </c>
      <c r="O241" s="49">
        <v>45054</v>
      </c>
      <c r="P241" s="51"/>
      <c r="Q241" s="51" t="s">
        <v>141</v>
      </c>
      <c r="R241" s="51"/>
      <c r="S241" s="72"/>
      <c r="T241" s="51"/>
      <c r="U241" s="51" t="s">
        <v>141</v>
      </c>
      <c r="V241" s="49"/>
      <c r="W241" s="49"/>
      <c r="X241" s="52"/>
      <c r="Y241" s="51"/>
      <c r="Z241" s="51"/>
      <c r="AA241" s="51" t="s">
        <v>123</v>
      </c>
    </row>
    <row r="242" spans="1:27" ht="12.95" customHeight="1">
      <c r="A242" s="43">
        <v>325</v>
      </c>
      <c r="B242" s="56" t="s">
        <v>22</v>
      </c>
      <c r="C242" s="56" t="s">
        <v>12</v>
      </c>
      <c r="D242" s="55" t="s">
        <v>28</v>
      </c>
      <c r="E242" s="95" t="s">
        <v>43</v>
      </c>
      <c r="F242" s="96" t="s">
        <v>19</v>
      </c>
      <c r="G242" s="55">
        <v>245837</v>
      </c>
      <c r="H242" s="55" t="s">
        <v>27</v>
      </c>
      <c r="I242" s="56" t="s">
        <v>21</v>
      </c>
      <c r="J242" s="97" t="s">
        <v>21</v>
      </c>
      <c r="K242" s="43" t="s">
        <v>134</v>
      </c>
      <c r="L242" s="55" t="s">
        <v>134</v>
      </c>
      <c r="M242" s="98" t="s">
        <v>127</v>
      </c>
      <c r="N242" s="49">
        <v>46219</v>
      </c>
      <c r="O242" s="49">
        <v>46219</v>
      </c>
      <c r="P242" s="51"/>
      <c r="Q242" s="51" t="s">
        <v>141</v>
      </c>
      <c r="R242" s="51"/>
      <c r="S242" s="72"/>
      <c r="T242" s="51"/>
      <c r="U242" s="51" t="s">
        <v>141</v>
      </c>
      <c r="V242" s="49"/>
      <c r="W242" s="49"/>
      <c r="X242" s="52"/>
      <c r="Y242" s="51"/>
      <c r="Z242" s="51"/>
      <c r="AA242" s="51" t="s">
        <v>127</v>
      </c>
    </row>
    <row r="243" spans="1:27" ht="12.95" customHeight="1">
      <c r="A243" s="43">
        <v>167</v>
      </c>
      <c r="B243" s="56" t="s">
        <v>22</v>
      </c>
      <c r="C243" s="56" t="s">
        <v>12</v>
      </c>
      <c r="D243" s="55" t="s">
        <v>28</v>
      </c>
      <c r="E243" s="95" t="s">
        <v>25</v>
      </c>
      <c r="F243" s="96" t="s">
        <v>43</v>
      </c>
      <c r="G243" s="55">
        <v>51461304</v>
      </c>
      <c r="H243" s="55" t="s">
        <v>17</v>
      </c>
      <c r="I243" s="56" t="s">
        <v>6</v>
      </c>
      <c r="J243" s="97" t="s">
        <v>6</v>
      </c>
      <c r="K243" s="43" t="s">
        <v>141</v>
      </c>
      <c r="L243" s="55" t="s">
        <v>140</v>
      </c>
      <c r="M243" s="98" t="s">
        <v>136</v>
      </c>
      <c r="N243" s="49">
        <v>45332</v>
      </c>
      <c r="O243" s="49">
        <v>45332</v>
      </c>
      <c r="P243" s="51"/>
      <c r="Q243" s="51" t="s">
        <v>141</v>
      </c>
      <c r="R243" s="51"/>
      <c r="S243" s="72"/>
      <c r="T243" s="51"/>
      <c r="U243" s="51" t="s">
        <v>141</v>
      </c>
      <c r="V243" s="49"/>
      <c r="W243" s="49"/>
      <c r="X243" s="52"/>
      <c r="Y243" s="51"/>
      <c r="Z243" s="51"/>
      <c r="AA243" s="51" t="s">
        <v>139</v>
      </c>
    </row>
    <row r="244" spans="1:27" ht="12.95" customHeight="1">
      <c r="A244" s="43">
        <v>173</v>
      </c>
      <c r="B244" s="56" t="s">
        <v>22</v>
      </c>
      <c r="C244" s="56" t="s">
        <v>12</v>
      </c>
      <c r="D244" s="55" t="s">
        <v>28</v>
      </c>
      <c r="E244" s="95" t="s">
        <v>25</v>
      </c>
      <c r="F244" s="96" t="s">
        <v>23</v>
      </c>
      <c r="G244" s="55">
        <v>396088</v>
      </c>
      <c r="H244" s="55" t="s">
        <v>26</v>
      </c>
      <c r="I244" s="56" t="s">
        <v>21</v>
      </c>
      <c r="J244" s="97" t="s">
        <v>21</v>
      </c>
      <c r="K244" s="43" t="s">
        <v>134</v>
      </c>
      <c r="L244" s="55" t="s">
        <v>134</v>
      </c>
      <c r="M244" s="98" t="s">
        <v>127</v>
      </c>
      <c r="N244" s="49">
        <v>45436</v>
      </c>
      <c r="O244" s="49">
        <v>45436</v>
      </c>
      <c r="P244" s="51"/>
      <c r="Q244" s="51" t="s">
        <v>132</v>
      </c>
      <c r="R244" s="51" t="s">
        <v>123</v>
      </c>
      <c r="S244" s="72">
        <f ca="1">TODAY()-N244</f>
        <v>762</v>
      </c>
      <c r="T244" s="50" t="s">
        <v>132</v>
      </c>
      <c r="U244" s="46" t="s">
        <v>137</v>
      </c>
      <c r="V244" s="49">
        <v>46250</v>
      </c>
      <c r="W244" s="49"/>
      <c r="X244" s="52" t="s">
        <v>126</v>
      </c>
      <c r="Y244" s="51" t="s">
        <v>138</v>
      </c>
      <c r="Z244" s="51"/>
      <c r="AA244" s="51" t="s">
        <v>123</v>
      </c>
    </row>
    <row r="245" spans="1:27" ht="12.95" customHeight="1">
      <c r="A245" s="43">
        <v>312</v>
      </c>
      <c r="B245" s="56" t="s">
        <v>22</v>
      </c>
      <c r="C245" s="56" t="s">
        <v>12</v>
      </c>
      <c r="D245" s="55" t="s">
        <v>28</v>
      </c>
      <c r="E245" s="95" t="s">
        <v>43</v>
      </c>
      <c r="F245" s="96" t="s">
        <v>7</v>
      </c>
      <c r="G245" s="55">
        <v>92891445</v>
      </c>
      <c r="H245" s="55" t="s">
        <v>26</v>
      </c>
      <c r="I245" s="56" t="s">
        <v>4</v>
      </c>
      <c r="J245" s="97" t="s">
        <v>21</v>
      </c>
      <c r="K245" s="43" t="s">
        <v>134</v>
      </c>
      <c r="L245" s="55" t="s">
        <v>134</v>
      </c>
      <c r="M245" s="98" t="s">
        <v>136</v>
      </c>
      <c r="N245" s="49">
        <v>46145</v>
      </c>
      <c r="O245" s="49">
        <v>46145</v>
      </c>
      <c r="P245" s="51"/>
      <c r="Q245" s="51" t="s">
        <v>141</v>
      </c>
      <c r="R245" s="51"/>
      <c r="S245" s="72"/>
      <c r="T245" s="51"/>
      <c r="U245" s="51" t="s">
        <v>141</v>
      </c>
      <c r="V245" s="49"/>
      <c r="W245" s="49"/>
      <c r="X245" s="52"/>
      <c r="Y245" s="51" t="s">
        <v>139</v>
      </c>
      <c r="Z245" s="51"/>
      <c r="AA245" s="51" t="s">
        <v>126</v>
      </c>
    </row>
    <row r="246" spans="1:27" ht="12.95" customHeight="1">
      <c r="A246" s="43">
        <v>321</v>
      </c>
      <c r="B246" s="56" t="s">
        <v>22</v>
      </c>
      <c r="C246" s="56" t="s">
        <v>12</v>
      </c>
      <c r="D246" s="55" t="s">
        <v>28</v>
      </c>
      <c r="E246" s="95" t="s">
        <v>25</v>
      </c>
      <c r="F246" s="96" t="s">
        <v>24</v>
      </c>
      <c r="G246" s="55">
        <v>379000</v>
      </c>
      <c r="H246" s="55" t="s">
        <v>26</v>
      </c>
      <c r="I246" s="56" t="s">
        <v>21</v>
      </c>
      <c r="J246" s="97" t="s">
        <v>21</v>
      </c>
      <c r="K246" s="43" t="s">
        <v>134</v>
      </c>
      <c r="L246" s="55" t="s">
        <v>134</v>
      </c>
      <c r="M246" s="98" t="s">
        <v>126</v>
      </c>
      <c r="N246" s="49">
        <v>45840</v>
      </c>
      <c r="O246" s="49">
        <v>45840</v>
      </c>
      <c r="P246" s="51"/>
      <c r="Q246" s="51" t="s">
        <v>132</v>
      </c>
      <c r="R246" s="51" t="s">
        <v>123</v>
      </c>
      <c r="S246" s="72">
        <f ca="1">TODAY()-N246</f>
        <v>358</v>
      </c>
      <c r="T246" s="50" t="s">
        <v>132</v>
      </c>
      <c r="U246" s="46" t="s">
        <v>137</v>
      </c>
      <c r="V246" s="49"/>
      <c r="W246" s="49"/>
      <c r="X246" s="52" t="s">
        <v>133</v>
      </c>
      <c r="Y246" s="51" t="s">
        <v>138</v>
      </c>
      <c r="Z246" s="51"/>
      <c r="AA246" s="51" t="s">
        <v>139</v>
      </c>
    </row>
    <row r="247" spans="1:27" ht="12.95" customHeight="1">
      <c r="A247" s="43">
        <v>202</v>
      </c>
      <c r="B247" s="56" t="s">
        <v>22</v>
      </c>
      <c r="C247" s="56" t="s">
        <v>12</v>
      </c>
      <c r="D247" s="55" t="s">
        <v>28</v>
      </c>
      <c r="E247" s="95" t="s">
        <v>25</v>
      </c>
      <c r="F247" s="96" t="s">
        <v>12</v>
      </c>
      <c r="G247" s="55">
        <v>334829</v>
      </c>
      <c r="H247" s="55" t="s">
        <v>26</v>
      </c>
      <c r="I247" s="56" t="s">
        <v>21</v>
      </c>
      <c r="J247" s="97" t="s">
        <v>21</v>
      </c>
      <c r="K247" s="43" t="s">
        <v>132</v>
      </c>
      <c r="L247" s="55" t="s">
        <v>134</v>
      </c>
      <c r="M247" s="98" t="s">
        <v>127</v>
      </c>
      <c r="N247" s="49">
        <v>45436</v>
      </c>
      <c r="O247" s="49">
        <v>45436</v>
      </c>
      <c r="P247" s="51"/>
      <c r="Q247" s="51" t="s">
        <v>141</v>
      </c>
      <c r="R247" s="51"/>
      <c r="S247" s="72"/>
      <c r="T247" s="51"/>
      <c r="U247" s="51" t="s">
        <v>141</v>
      </c>
      <c r="V247" s="49"/>
      <c r="W247" s="49"/>
      <c r="X247" s="52"/>
      <c r="Y247" s="51"/>
      <c r="Z247" s="51"/>
      <c r="AA247" s="51" t="s">
        <v>133</v>
      </c>
    </row>
    <row r="248" spans="1:27" ht="12.95" customHeight="1">
      <c r="A248" s="43">
        <v>217</v>
      </c>
      <c r="B248" s="56" t="s">
        <v>22</v>
      </c>
      <c r="C248" s="56" t="s">
        <v>12</v>
      </c>
      <c r="D248" s="55" t="s">
        <v>28</v>
      </c>
      <c r="E248" s="95" t="s">
        <v>25</v>
      </c>
      <c r="F248" s="96" t="s">
        <v>19</v>
      </c>
      <c r="G248" s="55">
        <v>194623</v>
      </c>
      <c r="H248" s="55" t="s">
        <v>26</v>
      </c>
      <c r="I248" s="56" t="s">
        <v>21</v>
      </c>
      <c r="J248" s="97" t="s">
        <v>21</v>
      </c>
      <c r="K248" s="43" t="s">
        <v>132</v>
      </c>
      <c r="L248" s="55" t="s">
        <v>134</v>
      </c>
      <c r="M248" s="98" t="s">
        <v>127</v>
      </c>
      <c r="N248" s="49">
        <v>45436</v>
      </c>
      <c r="O248" s="49">
        <v>45436</v>
      </c>
      <c r="P248" s="51"/>
      <c r="Q248" s="51" t="s">
        <v>141</v>
      </c>
      <c r="R248" s="51"/>
      <c r="S248" s="72"/>
      <c r="T248" s="51"/>
      <c r="U248" s="51" t="s">
        <v>141</v>
      </c>
      <c r="V248" s="49"/>
      <c r="W248" s="49"/>
      <c r="X248" s="52"/>
      <c r="Y248" s="51"/>
      <c r="Z248" s="51"/>
      <c r="AA248" s="51" t="s">
        <v>133</v>
      </c>
    </row>
    <row r="249" spans="1:27" ht="12.95" customHeight="1">
      <c r="A249" s="43">
        <v>352</v>
      </c>
      <c r="B249" s="56" t="s">
        <v>22</v>
      </c>
      <c r="C249" s="56" t="s">
        <v>12</v>
      </c>
      <c r="D249" s="43" t="s">
        <v>19</v>
      </c>
      <c r="E249" s="95" t="s">
        <v>25</v>
      </c>
      <c r="F249" s="96" t="s">
        <v>30</v>
      </c>
      <c r="G249" s="55">
        <v>440346</v>
      </c>
      <c r="H249" s="55" t="s">
        <v>26</v>
      </c>
      <c r="I249" s="56" t="s">
        <v>4</v>
      </c>
      <c r="J249" s="97" t="s">
        <v>4</v>
      </c>
      <c r="K249" s="43" t="s">
        <v>138</v>
      </c>
      <c r="L249" s="55" t="s">
        <v>132</v>
      </c>
      <c r="M249" s="98" t="s">
        <v>132</v>
      </c>
      <c r="N249" s="49">
        <v>45893</v>
      </c>
      <c r="O249" s="49">
        <v>45893</v>
      </c>
      <c r="P249" s="51"/>
      <c r="Q249" s="51" t="s">
        <v>127</v>
      </c>
      <c r="R249" s="51" t="s">
        <v>126</v>
      </c>
      <c r="S249" s="72">
        <f ca="1">TODAY()-N249</f>
        <v>305</v>
      </c>
      <c r="T249" s="50" t="s">
        <v>132</v>
      </c>
      <c r="U249" s="46" t="s">
        <v>141</v>
      </c>
      <c r="V249" s="49"/>
      <c r="W249" s="49"/>
      <c r="X249" s="52" t="s">
        <v>127</v>
      </c>
      <c r="Y249" s="51"/>
      <c r="Z249" s="51"/>
      <c r="AA249" s="51" t="s">
        <v>123</v>
      </c>
    </row>
    <row r="250" spans="1:27" ht="12.95" customHeight="1">
      <c r="A250" s="43">
        <v>306</v>
      </c>
      <c r="B250" s="56" t="s">
        <v>22</v>
      </c>
      <c r="C250" s="56" t="s">
        <v>12</v>
      </c>
      <c r="D250" s="55" t="s">
        <v>28</v>
      </c>
      <c r="E250" s="95" t="s">
        <v>25</v>
      </c>
      <c r="F250" s="96" t="s">
        <v>27</v>
      </c>
      <c r="G250" s="55">
        <v>372179</v>
      </c>
      <c r="H250" s="55" t="s">
        <v>26</v>
      </c>
      <c r="I250" s="56" t="s">
        <v>21</v>
      </c>
      <c r="J250" s="97" t="s">
        <v>21</v>
      </c>
      <c r="K250" s="43" t="s">
        <v>141</v>
      </c>
      <c r="L250" s="55" t="s">
        <v>140</v>
      </c>
      <c r="M250" s="98" t="s">
        <v>127</v>
      </c>
      <c r="N250" s="49">
        <v>45436</v>
      </c>
      <c r="O250" s="49">
        <v>45436</v>
      </c>
      <c r="P250" s="51"/>
      <c r="Q250" s="51" t="s">
        <v>132</v>
      </c>
      <c r="R250" s="51" t="s">
        <v>123</v>
      </c>
      <c r="S250" s="72">
        <f ca="1">TODAY()-N250</f>
        <v>762</v>
      </c>
      <c r="T250" s="50" t="s">
        <v>132</v>
      </c>
      <c r="U250" s="46" t="s">
        <v>141</v>
      </c>
      <c r="V250" s="49"/>
      <c r="W250" s="49"/>
      <c r="X250" s="52" t="s">
        <v>123</v>
      </c>
      <c r="Y250" s="51"/>
      <c r="Z250" s="51"/>
      <c r="AA250" s="51" t="s">
        <v>133</v>
      </c>
    </row>
    <row r="251" spans="1:27" ht="12.95" customHeight="1">
      <c r="A251" s="43">
        <v>335</v>
      </c>
      <c r="B251" s="56" t="s">
        <v>22</v>
      </c>
      <c r="C251" s="56" t="s">
        <v>12</v>
      </c>
      <c r="D251" s="55" t="s">
        <v>28</v>
      </c>
      <c r="E251" s="95" t="s">
        <v>25</v>
      </c>
      <c r="F251" s="96" t="s">
        <v>23</v>
      </c>
      <c r="G251" s="55">
        <v>460960</v>
      </c>
      <c r="H251" s="55" t="s">
        <v>26</v>
      </c>
      <c r="I251" s="56" t="s">
        <v>21</v>
      </c>
      <c r="J251" s="97" t="s">
        <v>21</v>
      </c>
      <c r="K251" s="43" t="s">
        <v>134</v>
      </c>
      <c r="L251" s="55" t="s">
        <v>134</v>
      </c>
      <c r="M251" s="98" t="s">
        <v>127</v>
      </c>
      <c r="N251" s="49">
        <v>45436</v>
      </c>
      <c r="O251" s="49">
        <v>45436</v>
      </c>
      <c r="P251" s="51"/>
      <c r="Q251" s="51" t="s">
        <v>132</v>
      </c>
      <c r="R251" s="51" t="s">
        <v>138</v>
      </c>
      <c r="S251" s="72">
        <f ca="1">TODAY()-N251</f>
        <v>762</v>
      </c>
      <c r="T251" s="50" t="s">
        <v>132</v>
      </c>
      <c r="U251" s="46" t="s">
        <v>141</v>
      </c>
      <c r="V251" s="49"/>
      <c r="W251" s="49"/>
      <c r="X251" s="52" t="s">
        <v>123</v>
      </c>
      <c r="Y251" s="51"/>
      <c r="Z251" s="51"/>
      <c r="AA251" s="51" t="s">
        <v>133</v>
      </c>
    </row>
    <row r="252" spans="1:27" ht="12.95" customHeight="1">
      <c r="A252" s="43">
        <v>289</v>
      </c>
      <c r="B252" s="56" t="s">
        <v>22</v>
      </c>
      <c r="C252" s="56" t="s">
        <v>12</v>
      </c>
      <c r="D252" s="55" t="s">
        <v>28</v>
      </c>
      <c r="E252" s="95" t="s">
        <v>25</v>
      </c>
      <c r="F252" s="96" t="s">
        <v>25</v>
      </c>
      <c r="G252" s="55">
        <v>238677</v>
      </c>
      <c r="H252" s="55" t="s">
        <v>26</v>
      </c>
      <c r="I252" s="56" t="s">
        <v>4</v>
      </c>
      <c r="J252" s="97" t="s">
        <v>24</v>
      </c>
      <c r="K252" s="43" t="s">
        <v>134</v>
      </c>
      <c r="L252" s="55" t="s">
        <v>134</v>
      </c>
      <c r="M252" s="98" t="s">
        <v>131</v>
      </c>
      <c r="N252" s="49">
        <v>45669</v>
      </c>
      <c r="O252" s="49">
        <v>45669</v>
      </c>
      <c r="P252" s="51"/>
      <c r="Q252" s="51" t="s">
        <v>137</v>
      </c>
      <c r="R252" s="51"/>
      <c r="S252" s="72"/>
      <c r="T252" s="51"/>
      <c r="U252" s="51" t="s">
        <v>137</v>
      </c>
      <c r="V252" s="49"/>
      <c r="W252" s="49"/>
      <c r="X252" s="52" t="s">
        <v>132</v>
      </c>
      <c r="Y252" s="51"/>
      <c r="Z252" s="51"/>
      <c r="AA252" s="51" t="s">
        <v>140</v>
      </c>
    </row>
    <row r="253" spans="1:27" ht="12.95" customHeight="1">
      <c r="A253" s="43">
        <v>292</v>
      </c>
      <c r="B253" s="56" t="s">
        <v>22</v>
      </c>
      <c r="C253" s="56" t="s">
        <v>12</v>
      </c>
      <c r="D253" s="55" t="s">
        <v>28</v>
      </c>
      <c r="E253" s="95" t="s">
        <v>43</v>
      </c>
      <c r="F253" s="96" t="s">
        <v>5</v>
      </c>
      <c r="G253" s="55">
        <v>245840</v>
      </c>
      <c r="H253" s="55" t="s">
        <v>26</v>
      </c>
      <c r="I253" s="56" t="s">
        <v>21</v>
      </c>
      <c r="J253" s="97" t="s">
        <v>21</v>
      </c>
      <c r="K253" s="43" t="s">
        <v>141</v>
      </c>
      <c r="L253" s="55" t="s">
        <v>140</v>
      </c>
      <c r="M253" s="98" t="s">
        <v>139</v>
      </c>
      <c r="N253" s="49">
        <v>46227</v>
      </c>
      <c r="O253" s="49">
        <v>46227</v>
      </c>
      <c r="P253" s="51"/>
      <c r="Q253" s="51" t="s">
        <v>132</v>
      </c>
      <c r="R253" s="51" t="s">
        <v>123</v>
      </c>
      <c r="S253" s="72">
        <f ca="1">TODAY()-N253</f>
        <v>-29</v>
      </c>
      <c r="T253" s="50" t="s">
        <v>139</v>
      </c>
      <c r="U253" s="46" t="s">
        <v>137</v>
      </c>
      <c r="V253" s="49">
        <v>46250</v>
      </c>
      <c r="W253" s="49"/>
      <c r="X253" s="52"/>
      <c r="Y253" s="51" t="s">
        <v>138</v>
      </c>
      <c r="Z253" s="51"/>
      <c r="AA253" s="51" t="s">
        <v>136</v>
      </c>
    </row>
    <row r="254" spans="1:27" ht="12.95" customHeight="1">
      <c r="A254" s="43">
        <v>172</v>
      </c>
      <c r="B254" s="56" t="s">
        <v>22</v>
      </c>
      <c r="C254" s="56" t="s">
        <v>12</v>
      </c>
      <c r="D254" s="55" t="s">
        <v>28</v>
      </c>
      <c r="E254" s="95" t="s">
        <v>25</v>
      </c>
      <c r="F254" s="96" t="s">
        <v>3</v>
      </c>
      <c r="G254" s="55">
        <v>409152</v>
      </c>
      <c r="H254" s="55" t="s">
        <v>26</v>
      </c>
      <c r="I254" s="56" t="s">
        <v>4</v>
      </c>
      <c r="J254" s="97" t="s">
        <v>24</v>
      </c>
      <c r="K254" s="43" t="s">
        <v>134</v>
      </c>
      <c r="L254" s="55" t="s">
        <v>134</v>
      </c>
      <c r="M254" s="98" t="s">
        <v>131</v>
      </c>
      <c r="N254" s="49">
        <v>45732</v>
      </c>
      <c r="O254" s="49">
        <v>45732</v>
      </c>
      <c r="P254" s="51"/>
      <c r="Q254" s="51" t="s">
        <v>141</v>
      </c>
      <c r="R254" s="51"/>
      <c r="S254" s="72"/>
      <c r="T254" s="51"/>
      <c r="U254" s="51" t="s">
        <v>141</v>
      </c>
      <c r="V254" s="49"/>
      <c r="W254" s="49"/>
      <c r="X254" s="52"/>
      <c r="Y254" s="51"/>
      <c r="Z254" s="51"/>
      <c r="AA254" s="51" t="s">
        <v>133</v>
      </c>
    </row>
    <row r="255" spans="1:27" ht="12.95" customHeight="1">
      <c r="A255" s="43">
        <v>198</v>
      </c>
      <c r="B255" s="56" t="s">
        <v>22</v>
      </c>
      <c r="C255" s="56" t="s">
        <v>12</v>
      </c>
      <c r="D255" s="43" t="s">
        <v>19</v>
      </c>
      <c r="E255" s="95" t="s">
        <v>25</v>
      </c>
      <c r="F255" s="96" t="s">
        <v>42</v>
      </c>
      <c r="G255" s="55">
        <v>207432</v>
      </c>
      <c r="H255" s="55" t="s">
        <v>26</v>
      </c>
      <c r="I255" s="56" t="s">
        <v>4</v>
      </c>
      <c r="J255" s="97" t="s">
        <v>33</v>
      </c>
      <c r="K255" s="43" t="s">
        <v>141</v>
      </c>
      <c r="L255" s="55" t="s">
        <v>140</v>
      </c>
      <c r="M255" s="98" t="s">
        <v>139</v>
      </c>
      <c r="N255" s="49">
        <v>45993</v>
      </c>
      <c r="O255" s="49">
        <v>45993</v>
      </c>
      <c r="P255" s="51"/>
      <c r="Q255" s="51" t="s">
        <v>132</v>
      </c>
      <c r="R255" s="51" t="s">
        <v>123</v>
      </c>
      <c r="S255" s="72">
        <f ca="1">TODAY()-N255</f>
        <v>205</v>
      </c>
      <c r="T255" s="50" t="s">
        <v>132</v>
      </c>
      <c r="U255" s="46" t="s">
        <v>141</v>
      </c>
      <c r="V255" s="49"/>
      <c r="W255" s="49"/>
      <c r="X255" s="52" t="s">
        <v>132</v>
      </c>
      <c r="Y255" s="51"/>
      <c r="Z255" s="51"/>
      <c r="AA255" s="51" t="s">
        <v>132</v>
      </c>
    </row>
    <row r="256" spans="1:27" ht="12.95" customHeight="1">
      <c r="A256" s="43">
        <v>156</v>
      </c>
      <c r="B256" s="56" t="s">
        <v>22</v>
      </c>
      <c r="C256" s="56" t="s">
        <v>12</v>
      </c>
      <c r="D256" s="55" t="s">
        <v>28</v>
      </c>
      <c r="E256" s="95" t="s">
        <v>25</v>
      </c>
      <c r="F256" s="96" t="s">
        <v>19</v>
      </c>
      <c r="G256" s="55">
        <v>211839</v>
      </c>
      <c r="H256" s="55" t="s">
        <v>26</v>
      </c>
      <c r="I256" s="56" t="s">
        <v>4</v>
      </c>
      <c r="J256" s="97" t="s">
        <v>5</v>
      </c>
      <c r="K256" s="43" t="s">
        <v>134</v>
      </c>
      <c r="L256" s="55" t="s">
        <v>134</v>
      </c>
      <c r="M256" s="98" t="s">
        <v>127</v>
      </c>
      <c r="N256" s="49"/>
      <c r="O256" s="49"/>
      <c r="P256" s="51"/>
      <c r="Q256" s="51" t="s">
        <v>141</v>
      </c>
      <c r="R256" s="51" t="s">
        <v>141</v>
      </c>
      <c r="S256" s="72">
        <v>0</v>
      </c>
      <c r="T256" s="50" t="s">
        <v>139</v>
      </c>
      <c r="U256" s="46" t="s">
        <v>137</v>
      </c>
      <c r="V256" s="49"/>
      <c r="W256" s="49"/>
      <c r="X256" s="52"/>
      <c r="Y256" s="51"/>
      <c r="Z256" s="51"/>
      <c r="AA256" s="51" t="s">
        <v>141</v>
      </c>
    </row>
    <row r="257" spans="1:27" ht="12.95" customHeight="1">
      <c r="A257" s="43">
        <v>207</v>
      </c>
      <c r="B257" s="56" t="s">
        <v>22</v>
      </c>
      <c r="C257" s="56" t="s">
        <v>12</v>
      </c>
      <c r="D257" s="55" t="s">
        <v>28</v>
      </c>
      <c r="E257" s="95" t="s">
        <v>25</v>
      </c>
      <c r="F257" s="96" t="s">
        <v>14</v>
      </c>
      <c r="G257" s="55">
        <v>384192</v>
      </c>
      <c r="H257" s="43" t="s">
        <v>26</v>
      </c>
      <c r="I257" s="56" t="s">
        <v>4</v>
      </c>
      <c r="J257" s="97" t="s">
        <v>4</v>
      </c>
      <c r="K257" s="43" t="s">
        <v>131</v>
      </c>
      <c r="L257" s="55" t="s">
        <v>131</v>
      </c>
      <c r="M257" s="98" t="s">
        <v>131</v>
      </c>
      <c r="N257" s="49">
        <v>46049</v>
      </c>
      <c r="O257" s="49">
        <v>46049</v>
      </c>
      <c r="P257" s="51"/>
      <c r="Q257" s="51" t="s">
        <v>127</v>
      </c>
      <c r="R257" s="51" t="s">
        <v>126</v>
      </c>
      <c r="S257" s="72">
        <f ca="1">TODAY()-N257</f>
        <v>149</v>
      </c>
      <c r="T257" s="50" t="s">
        <v>132</v>
      </c>
      <c r="U257" s="46" t="s">
        <v>141</v>
      </c>
      <c r="V257" s="49"/>
      <c r="W257" s="49"/>
      <c r="X257" s="52" t="s">
        <v>139</v>
      </c>
      <c r="Y257" s="51"/>
      <c r="Z257" s="51"/>
      <c r="AA257" s="51" t="s">
        <v>141</v>
      </c>
    </row>
    <row r="258" spans="1:27" ht="12.95" customHeight="1">
      <c r="A258" s="43">
        <v>157</v>
      </c>
      <c r="B258" s="56" t="s">
        <v>22</v>
      </c>
      <c r="C258" s="56" t="s">
        <v>12</v>
      </c>
      <c r="D258" s="55" t="s">
        <v>28</v>
      </c>
      <c r="E258" s="95" t="s">
        <v>25</v>
      </c>
      <c r="F258" s="96" t="s">
        <v>42</v>
      </c>
      <c r="G258" s="55">
        <v>62031772</v>
      </c>
      <c r="H258" s="43" t="s">
        <v>26</v>
      </c>
      <c r="I258" s="56" t="s">
        <v>4</v>
      </c>
      <c r="J258" s="97" t="s">
        <v>4</v>
      </c>
      <c r="K258" s="43" t="s">
        <v>138</v>
      </c>
      <c r="L258" s="55" t="s">
        <v>126</v>
      </c>
      <c r="M258" s="98" t="s">
        <v>132</v>
      </c>
      <c r="N258" s="49">
        <v>45960</v>
      </c>
      <c r="O258" s="49">
        <v>45960</v>
      </c>
      <c r="P258" s="51"/>
      <c r="Q258" s="51" t="s">
        <v>127</v>
      </c>
      <c r="R258" s="51" t="s">
        <v>126</v>
      </c>
      <c r="S258" s="72">
        <f ca="1">TODAY()-N258</f>
        <v>238</v>
      </c>
      <c r="T258" s="50" t="s">
        <v>132</v>
      </c>
      <c r="U258" s="46" t="s">
        <v>141</v>
      </c>
      <c r="V258" s="49"/>
      <c r="W258" s="49"/>
      <c r="X258" s="52" t="s">
        <v>126</v>
      </c>
      <c r="Y258" s="51"/>
      <c r="Z258" s="51"/>
      <c r="AA258" s="51" t="s">
        <v>136</v>
      </c>
    </row>
    <row r="259" spans="1:27" ht="12.95" customHeight="1">
      <c r="A259" s="43">
        <v>284</v>
      </c>
      <c r="B259" s="56" t="s">
        <v>22</v>
      </c>
      <c r="C259" s="56" t="s">
        <v>12</v>
      </c>
      <c r="D259" s="43" t="s">
        <v>19</v>
      </c>
      <c r="E259" s="95" t="s">
        <v>43</v>
      </c>
      <c r="F259" s="96" t="s">
        <v>17</v>
      </c>
      <c r="G259" s="55">
        <v>513124</v>
      </c>
      <c r="H259" s="43" t="s">
        <v>26</v>
      </c>
      <c r="I259" s="56" t="s">
        <v>4</v>
      </c>
      <c r="J259" s="97" t="s">
        <v>24</v>
      </c>
      <c r="K259" s="43" t="s">
        <v>134</v>
      </c>
      <c r="L259" s="55" t="s">
        <v>134</v>
      </c>
      <c r="M259" s="98" t="s">
        <v>138</v>
      </c>
      <c r="N259" s="49">
        <v>46167</v>
      </c>
      <c r="O259" s="49">
        <v>46167</v>
      </c>
      <c r="P259" s="51"/>
      <c r="Q259" s="51" t="s">
        <v>132</v>
      </c>
      <c r="R259" s="51" t="s">
        <v>138</v>
      </c>
      <c r="S259" s="72">
        <f ca="1">TODAY()-N259</f>
        <v>31</v>
      </c>
      <c r="T259" s="50" t="s">
        <v>140</v>
      </c>
      <c r="U259" s="46" t="s">
        <v>141</v>
      </c>
      <c r="V259" s="49"/>
      <c r="W259" s="49"/>
      <c r="X259" s="52" t="s">
        <v>123</v>
      </c>
      <c r="Y259" s="51"/>
      <c r="Z259" s="51"/>
      <c r="AA259" s="51" t="s">
        <v>127</v>
      </c>
    </row>
    <row r="260" spans="1:27" ht="12.95" customHeight="1">
      <c r="A260" s="43">
        <v>189</v>
      </c>
      <c r="B260" s="56" t="s">
        <v>22</v>
      </c>
      <c r="C260" s="56" t="s">
        <v>12</v>
      </c>
      <c r="D260" s="55" t="s">
        <v>28</v>
      </c>
      <c r="E260" s="95" t="s">
        <v>25</v>
      </c>
      <c r="F260" s="96" t="s">
        <v>41</v>
      </c>
      <c r="G260" s="55">
        <v>167383</v>
      </c>
      <c r="H260" s="43" t="s">
        <v>26</v>
      </c>
      <c r="I260" s="56" t="s">
        <v>4</v>
      </c>
      <c r="J260" s="97" t="s">
        <v>21</v>
      </c>
      <c r="K260" s="43" t="s">
        <v>141</v>
      </c>
      <c r="L260" s="55" t="s">
        <v>140</v>
      </c>
      <c r="M260" s="98" t="s">
        <v>131</v>
      </c>
      <c r="N260" s="49">
        <v>45451</v>
      </c>
      <c r="O260" s="49">
        <v>45451</v>
      </c>
      <c r="P260" s="51"/>
      <c r="Q260" s="51" t="s">
        <v>127</v>
      </c>
      <c r="R260" s="51" t="s">
        <v>126</v>
      </c>
      <c r="S260" s="72">
        <f ca="1">TODAY()-N260</f>
        <v>747</v>
      </c>
      <c r="T260" s="50" t="s">
        <v>132</v>
      </c>
      <c r="U260" s="46" t="s">
        <v>141</v>
      </c>
      <c r="V260" s="49"/>
      <c r="W260" s="49"/>
      <c r="X260" s="52" t="s">
        <v>132</v>
      </c>
      <c r="Y260" s="51"/>
      <c r="Z260" s="51"/>
      <c r="AA260" s="51" t="s">
        <v>127</v>
      </c>
    </row>
    <row r="261" spans="1:27" ht="12.95" customHeight="1">
      <c r="A261" s="43">
        <v>153</v>
      </c>
      <c r="B261" s="56" t="s">
        <v>22</v>
      </c>
      <c r="C261" s="56" t="s">
        <v>12</v>
      </c>
      <c r="D261" s="55" t="s">
        <v>28</v>
      </c>
      <c r="E261" s="95" t="s">
        <v>25</v>
      </c>
      <c r="F261" s="96" t="s">
        <v>21</v>
      </c>
      <c r="G261" s="55">
        <v>59819412</v>
      </c>
      <c r="H261" s="43" t="s">
        <v>26</v>
      </c>
      <c r="I261" s="56" t="s">
        <v>4</v>
      </c>
      <c r="J261" s="97" t="s">
        <v>6</v>
      </c>
      <c r="K261" s="43" t="s">
        <v>132</v>
      </c>
      <c r="L261" s="55" t="s">
        <v>134</v>
      </c>
      <c r="M261" s="98" t="s">
        <v>138</v>
      </c>
      <c r="N261" s="49"/>
      <c r="O261" s="49"/>
      <c r="P261" s="51"/>
      <c r="Q261" s="51" t="s">
        <v>141</v>
      </c>
      <c r="R261" s="51"/>
      <c r="S261" s="72"/>
      <c r="T261" s="51"/>
      <c r="U261" s="51" t="s">
        <v>141</v>
      </c>
      <c r="V261" s="49"/>
      <c r="W261" s="49"/>
      <c r="X261" s="52"/>
      <c r="Y261" s="51"/>
      <c r="Z261" s="51"/>
      <c r="AA261" s="51" t="s">
        <v>135</v>
      </c>
    </row>
    <row r="262" spans="1:27" ht="12.95" customHeight="1">
      <c r="A262" s="43">
        <v>324</v>
      </c>
      <c r="B262" s="56" t="s">
        <v>22</v>
      </c>
      <c r="C262" s="56" t="s">
        <v>12</v>
      </c>
      <c r="D262" s="43" t="s">
        <v>19</v>
      </c>
      <c r="E262" s="95" t="s">
        <v>25</v>
      </c>
      <c r="F262" s="96" t="s">
        <v>21</v>
      </c>
      <c r="G262" s="55">
        <v>243827</v>
      </c>
      <c r="H262" s="55" t="s">
        <v>26</v>
      </c>
      <c r="I262" s="56" t="s">
        <v>4</v>
      </c>
      <c r="J262" s="97" t="s">
        <v>6</v>
      </c>
      <c r="K262" s="43" t="s">
        <v>132</v>
      </c>
      <c r="L262" s="55" t="s">
        <v>134</v>
      </c>
      <c r="M262" s="98" t="s">
        <v>138</v>
      </c>
      <c r="N262" s="49"/>
      <c r="O262" s="49"/>
      <c r="P262" s="51"/>
      <c r="Q262" s="51" t="s">
        <v>141</v>
      </c>
      <c r="R262" s="51"/>
      <c r="S262" s="72"/>
      <c r="T262" s="51"/>
      <c r="U262" s="51" t="s">
        <v>141</v>
      </c>
      <c r="V262" s="49"/>
      <c r="W262" s="49"/>
      <c r="X262" s="52"/>
      <c r="Y262" s="51"/>
      <c r="Z262" s="51"/>
      <c r="AA262" s="51" t="s">
        <v>140</v>
      </c>
    </row>
    <row r="263" spans="1:27" ht="12.95" customHeight="1">
      <c r="A263" s="43">
        <v>236</v>
      </c>
      <c r="B263" s="56" t="s">
        <v>22</v>
      </c>
      <c r="C263" s="56" t="s">
        <v>12</v>
      </c>
      <c r="D263" s="55" t="s">
        <v>28</v>
      </c>
      <c r="E263" s="95" t="s">
        <v>25</v>
      </c>
      <c r="F263" s="96" t="s">
        <v>3</v>
      </c>
      <c r="G263" s="55">
        <v>322316</v>
      </c>
      <c r="H263" s="55" t="s">
        <v>26</v>
      </c>
      <c r="I263" s="56" t="s">
        <v>4</v>
      </c>
      <c r="J263" s="97" t="s">
        <v>24</v>
      </c>
      <c r="K263" s="43" t="s">
        <v>134</v>
      </c>
      <c r="L263" s="55" t="s">
        <v>134</v>
      </c>
      <c r="M263" s="98" t="s">
        <v>141</v>
      </c>
      <c r="N263" s="49">
        <v>46012</v>
      </c>
      <c r="O263" s="49">
        <v>46012</v>
      </c>
      <c r="P263" s="51"/>
      <c r="Q263" s="51" t="s">
        <v>141</v>
      </c>
      <c r="R263" s="51"/>
      <c r="S263" s="72"/>
      <c r="T263" s="51"/>
      <c r="U263" s="51" t="s">
        <v>141</v>
      </c>
      <c r="V263" s="49"/>
      <c r="W263" s="49"/>
      <c r="X263" s="52" t="s">
        <v>126</v>
      </c>
      <c r="Y263" s="51"/>
      <c r="Z263" s="51"/>
      <c r="AA263" s="51" t="s">
        <v>134</v>
      </c>
    </row>
    <row r="264" spans="1:27" ht="12.95" customHeight="1">
      <c r="A264" s="43">
        <v>284</v>
      </c>
      <c r="B264" s="56" t="s">
        <v>22</v>
      </c>
      <c r="C264" s="56" t="s">
        <v>12</v>
      </c>
      <c r="D264" s="55" t="s">
        <v>28</v>
      </c>
      <c r="E264" s="95" t="s">
        <v>25</v>
      </c>
      <c r="F264" s="96" t="s">
        <v>6</v>
      </c>
      <c r="G264" s="55">
        <v>231802</v>
      </c>
      <c r="H264" s="55" t="s">
        <v>17</v>
      </c>
      <c r="I264" s="56" t="s">
        <v>6</v>
      </c>
      <c r="J264" s="97" t="s">
        <v>6</v>
      </c>
      <c r="K264" s="43" t="s">
        <v>132</v>
      </c>
      <c r="L264" s="55" t="s">
        <v>127</v>
      </c>
      <c r="M264" s="98" t="s">
        <v>139</v>
      </c>
      <c r="N264" s="49">
        <v>46055</v>
      </c>
      <c r="O264" s="49">
        <v>46055</v>
      </c>
      <c r="P264" s="51"/>
      <c r="Q264" s="51" t="s">
        <v>141</v>
      </c>
      <c r="R264" s="51" t="s">
        <v>141</v>
      </c>
      <c r="S264" s="72">
        <f ca="1">TODAY()-N264</f>
        <v>143</v>
      </c>
      <c r="T264" s="50" t="s">
        <v>132</v>
      </c>
      <c r="U264" s="46" t="s">
        <v>137</v>
      </c>
      <c r="V264" s="49"/>
      <c r="W264" s="49"/>
      <c r="X264" s="52"/>
      <c r="Y264" s="51"/>
      <c r="Z264" s="51"/>
      <c r="AA264" s="51" t="s">
        <v>135</v>
      </c>
    </row>
    <row r="265" spans="1:27" ht="12.95" customHeight="1">
      <c r="A265" s="43">
        <v>240</v>
      </c>
      <c r="B265" s="56" t="s">
        <v>22</v>
      </c>
      <c r="C265" s="56" t="s">
        <v>12</v>
      </c>
      <c r="D265" s="55" t="s">
        <v>28</v>
      </c>
      <c r="E265" s="95" t="s">
        <v>25</v>
      </c>
      <c r="F265" s="96" t="s">
        <v>25</v>
      </c>
      <c r="G265" s="55">
        <v>54984125</v>
      </c>
      <c r="H265" s="43" t="s">
        <v>26</v>
      </c>
      <c r="I265" s="56" t="s">
        <v>4</v>
      </c>
      <c r="J265" s="97" t="s">
        <v>33</v>
      </c>
      <c r="K265" s="43" t="s">
        <v>141</v>
      </c>
      <c r="L265" s="55" t="s">
        <v>140</v>
      </c>
      <c r="M265" s="98" t="s">
        <v>133</v>
      </c>
      <c r="N265" s="49">
        <v>45878</v>
      </c>
      <c r="O265" s="49">
        <v>45878</v>
      </c>
      <c r="P265" s="51"/>
      <c r="Q265" s="51" t="s">
        <v>141</v>
      </c>
      <c r="R265" s="51"/>
      <c r="S265" s="72"/>
      <c r="T265" s="51"/>
      <c r="U265" s="51" t="s">
        <v>141</v>
      </c>
      <c r="V265" s="49"/>
      <c r="W265" s="49"/>
      <c r="X265" s="52"/>
      <c r="Y265" s="51"/>
      <c r="Z265" s="51"/>
      <c r="AA265" s="51" t="s">
        <v>138</v>
      </c>
    </row>
    <row r="266" spans="1:27" ht="12.95" customHeight="1">
      <c r="A266" s="43">
        <v>363</v>
      </c>
      <c r="B266" s="56" t="s">
        <v>22</v>
      </c>
      <c r="C266" s="56" t="s">
        <v>12</v>
      </c>
      <c r="D266" s="55" t="s">
        <v>28</v>
      </c>
      <c r="E266" s="95" t="s">
        <v>43</v>
      </c>
      <c r="F266" s="96" t="s">
        <v>21</v>
      </c>
      <c r="G266" s="55">
        <v>76043371</v>
      </c>
      <c r="H266" s="55" t="s">
        <v>26</v>
      </c>
      <c r="I266" s="56" t="s">
        <v>4</v>
      </c>
      <c r="J266" s="97" t="s">
        <v>6</v>
      </c>
      <c r="K266" s="43" t="s">
        <v>138</v>
      </c>
      <c r="L266" s="55" t="s">
        <v>139</v>
      </c>
      <c r="M266" s="98" t="s">
        <v>138</v>
      </c>
      <c r="N266" s="49">
        <v>46154</v>
      </c>
      <c r="O266" s="49">
        <v>46154</v>
      </c>
      <c r="P266" s="51"/>
      <c r="Q266" s="51" t="s">
        <v>132</v>
      </c>
      <c r="R266" s="51" t="s">
        <v>138</v>
      </c>
      <c r="S266" s="72">
        <f ca="1">TODAY()-N266</f>
        <v>44</v>
      </c>
      <c r="T266" s="50" t="s">
        <v>135</v>
      </c>
      <c r="U266" s="46" t="s">
        <v>141</v>
      </c>
      <c r="V266" s="49"/>
      <c r="W266" s="49"/>
      <c r="X266" s="52" t="s">
        <v>138</v>
      </c>
      <c r="Y266" s="51"/>
      <c r="Z266" s="51"/>
      <c r="AA266" s="51" t="s">
        <v>140</v>
      </c>
    </row>
    <row r="267" spans="1:27" ht="12.95" customHeight="1">
      <c r="A267" s="43">
        <v>186</v>
      </c>
      <c r="B267" s="56" t="s">
        <v>22</v>
      </c>
      <c r="C267" s="56" t="s">
        <v>12</v>
      </c>
      <c r="D267" s="55" t="s">
        <v>28</v>
      </c>
      <c r="E267" s="95" t="s">
        <v>43</v>
      </c>
      <c r="F267" s="96" t="s">
        <v>42</v>
      </c>
      <c r="G267" s="55">
        <v>288161</v>
      </c>
      <c r="H267" s="43" t="s">
        <v>26</v>
      </c>
      <c r="I267" s="56" t="s">
        <v>6</v>
      </c>
      <c r="J267" s="97" t="s">
        <v>6</v>
      </c>
      <c r="K267" s="43" t="s">
        <v>141</v>
      </c>
      <c r="L267" s="55" t="s">
        <v>140</v>
      </c>
      <c r="M267" s="98" t="s">
        <v>127</v>
      </c>
      <c r="N267" s="49">
        <v>46009</v>
      </c>
      <c r="O267" s="49">
        <v>46009</v>
      </c>
      <c r="P267" s="51"/>
      <c r="Q267" s="51" t="s">
        <v>141</v>
      </c>
      <c r="R267" s="51" t="s">
        <v>141</v>
      </c>
      <c r="S267" s="72">
        <f ca="1">TODAY()-N267</f>
        <v>189</v>
      </c>
      <c r="T267" s="50" t="s">
        <v>132</v>
      </c>
      <c r="U267" s="46" t="s">
        <v>141</v>
      </c>
      <c r="V267" s="49"/>
      <c r="W267" s="49"/>
      <c r="X267" s="52" t="s">
        <v>126</v>
      </c>
      <c r="Y267" s="51"/>
      <c r="Z267" s="51"/>
      <c r="AA267" s="51" t="s">
        <v>137</v>
      </c>
    </row>
    <row r="268" spans="1:27" ht="12.95" customHeight="1">
      <c r="A268" s="43">
        <v>368</v>
      </c>
      <c r="B268" s="56" t="s">
        <v>22</v>
      </c>
      <c r="C268" s="56" t="s">
        <v>12</v>
      </c>
      <c r="D268" s="55" t="s">
        <v>28</v>
      </c>
      <c r="E268" s="95" t="s">
        <v>25</v>
      </c>
      <c r="F268" s="96" t="s">
        <v>18</v>
      </c>
      <c r="G268" s="55">
        <v>358239</v>
      </c>
      <c r="H268" s="43" t="s">
        <v>26</v>
      </c>
      <c r="I268" s="56" t="s">
        <v>4</v>
      </c>
      <c r="J268" s="97" t="s">
        <v>33</v>
      </c>
      <c r="K268" s="43" t="s">
        <v>141</v>
      </c>
      <c r="L268" s="55" t="s">
        <v>140</v>
      </c>
      <c r="M268" s="98" t="s">
        <v>139</v>
      </c>
      <c r="N268" s="49">
        <v>45993</v>
      </c>
      <c r="O268" s="49">
        <v>45993</v>
      </c>
      <c r="P268" s="51"/>
      <c r="Q268" s="51" t="s">
        <v>141</v>
      </c>
      <c r="R268" s="51" t="s">
        <v>141</v>
      </c>
      <c r="S268" s="72">
        <f ca="1">TODAY()-N268</f>
        <v>205</v>
      </c>
      <c r="T268" s="50" t="s">
        <v>132</v>
      </c>
      <c r="U268" s="46" t="s">
        <v>137</v>
      </c>
      <c r="V268" s="49"/>
      <c r="W268" s="49"/>
      <c r="X268" s="52" t="s">
        <v>131</v>
      </c>
      <c r="Y268" s="51"/>
      <c r="Z268" s="51"/>
      <c r="AA268" s="51" t="s">
        <v>141</v>
      </c>
    </row>
    <row r="269" spans="1:27" ht="12.95" customHeight="1">
      <c r="A269" s="43">
        <v>247</v>
      </c>
      <c r="B269" s="56" t="s">
        <v>22</v>
      </c>
      <c r="C269" s="56" t="s">
        <v>12</v>
      </c>
      <c r="D269" s="55" t="s">
        <v>28</v>
      </c>
      <c r="E269" s="95" t="s">
        <v>43</v>
      </c>
      <c r="F269" s="96" t="s">
        <v>21</v>
      </c>
      <c r="G269" s="55">
        <v>301966</v>
      </c>
      <c r="H269" s="55" t="s">
        <v>26</v>
      </c>
      <c r="I269" s="56" t="s">
        <v>4</v>
      </c>
      <c r="J269" s="97" t="s">
        <v>4</v>
      </c>
      <c r="K269" s="43" t="s">
        <v>134</v>
      </c>
      <c r="L269" s="55" t="s">
        <v>134</v>
      </c>
      <c r="M269" s="98" t="s">
        <v>135</v>
      </c>
      <c r="N269" s="49">
        <v>46091</v>
      </c>
      <c r="O269" s="49">
        <v>46091</v>
      </c>
      <c r="P269" s="51"/>
      <c r="Q269" s="51" t="s">
        <v>141</v>
      </c>
      <c r="R269" s="51"/>
      <c r="S269" s="72"/>
      <c r="T269" s="51"/>
      <c r="U269" s="51" t="s">
        <v>141</v>
      </c>
      <c r="V269" s="49"/>
      <c r="W269" s="49"/>
      <c r="X269" s="52" t="s">
        <v>133</v>
      </c>
      <c r="Y269" s="51"/>
      <c r="Z269" s="51"/>
      <c r="AA269" s="51" t="s">
        <v>123</v>
      </c>
    </row>
    <row r="270" spans="1:27" ht="12.95" customHeight="1">
      <c r="A270" s="43">
        <v>169</v>
      </c>
      <c r="B270" s="56" t="s">
        <v>22</v>
      </c>
      <c r="C270" s="56" t="s">
        <v>12</v>
      </c>
      <c r="D270" s="62" t="s">
        <v>13</v>
      </c>
      <c r="E270" s="44" t="s">
        <v>65</v>
      </c>
      <c r="F270" s="96" t="s">
        <v>27</v>
      </c>
      <c r="G270" s="55">
        <v>448827</v>
      </c>
      <c r="H270" s="55" t="s">
        <v>26</v>
      </c>
      <c r="I270" s="56" t="s">
        <v>21</v>
      </c>
      <c r="J270" s="97" t="s">
        <v>21</v>
      </c>
      <c r="K270" s="43" t="s">
        <v>134</v>
      </c>
      <c r="L270" s="55" t="s">
        <v>134</v>
      </c>
      <c r="M270" s="98" t="s">
        <v>127</v>
      </c>
      <c r="N270" s="49">
        <v>46195</v>
      </c>
      <c r="O270" s="49">
        <v>46195</v>
      </c>
      <c r="P270" s="51"/>
      <c r="Q270" s="51" t="s">
        <v>132</v>
      </c>
      <c r="R270" s="51" t="s">
        <v>123</v>
      </c>
      <c r="S270" s="72">
        <f ca="1">TODAY()-N270</f>
        <v>3</v>
      </c>
      <c r="T270" s="50" t="s">
        <v>141</v>
      </c>
      <c r="U270" s="46" t="s">
        <v>137</v>
      </c>
      <c r="V270" s="49"/>
      <c r="W270" s="49"/>
      <c r="X270" s="52"/>
      <c r="Y270" s="51" t="s">
        <v>139</v>
      </c>
      <c r="Z270" s="51"/>
      <c r="AA270" s="51" t="s">
        <v>132</v>
      </c>
    </row>
    <row r="271" spans="1:27" ht="12.95" customHeight="1">
      <c r="A271" s="43">
        <v>294</v>
      </c>
      <c r="B271" s="56" t="s">
        <v>22</v>
      </c>
      <c r="C271" s="56" t="s">
        <v>12</v>
      </c>
      <c r="D271" s="43" t="s">
        <v>19</v>
      </c>
      <c r="E271" s="95" t="s">
        <v>25</v>
      </c>
      <c r="F271" s="96" t="s">
        <v>42</v>
      </c>
      <c r="G271" s="55">
        <v>389416</v>
      </c>
      <c r="H271" s="43" t="s">
        <v>26</v>
      </c>
      <c r="I271" s="56" t="s">
        <v>6</v>
      </c>
      <c r="J271" s="97" t="s">
        <v>6</v>
      </c>
      <c r="K271" s="43" t="s">
        <v>141</v>
      </c>
      <c r="L271" s="55" t="s">
        <v>140</v>
      </c>
      <c r="M271" s="98" t="s">
        <v>127</v>
      </c>
      <c r="N271" s="49"/>
      <c r="O271" s="49"/>
      <c r="P271" s="51"/>
      <c r="Q271" s="51" t="s">
        <v>141</v>
      </c>
      <c r="R271" s="51"/>
      <c r="S271" s="72"/>
      <c r="T271" s="51"/>
      <c r="U271" s="51" t="s">
        <v>141</v>
      </c>
      <c r="V271" s="49"/>
      <c r="W271" s="49"/>
      <c r="X271" s="52"/>
      <c r="Y271" s="51"/>
      <c r="Z271" s="51"/>
      <c r="AA271" s="51" t="s">
        <v>134</v>
      </c>
    </row>
    <row r="272" spans="1:27" ht="12.95" customHeight="1">
      <c r="A272" s="43">
        <v>279</v>
      </c>
      <c r="B272" s="56" t="s">
        <v>22</v>
      </c>
      <c r="C272" s="56" t="s">
        <v>12</v>
      </c>
      <c r="D272" s="55" t="s">
        <v>28</v>
      </c>
      <c r="E272" s="95" t="s">
        <v>43</v>
      </c>
      <c r="F272" s="96" t="s">
        <v>4</v>
      </c>
      <c r="G272" s="55">
        <v>229700</v>
      </c>
      <c r="H272" s="55" t="s">
        <v>17</v>
      </c>
      <c r="I272" s="56" t="s">
        <v>21</v>
      </c>
      <c r="J272" s="97" t="s">
        <v>21</v>
      </c>
      <c r="K272" s="43" t="s">
        <v>141</v>
      </c>
      <c r="L272" s="55" t="s">
        <v>140</v>
      </c>
      <c r="M272" s="98" t="s">
        <v>140</v>
      </c>
      <c r="N272" s="49">
        <v>46096</v>
      </c>
      <c r="O272" s="49">
        <v>46096</v>
      </c>
      <c r="P272" s="51"/>
      <c r="Q272" s="51" t="s">
        <v>132</v>
      </c>
      <c r="R272" s="51" t="s">
        <v>123</v>
      </c>
      <c r="S272" s="72">
        <f t="shared" ref="S272:S277" ca="1" si="1">TODAY()-N272</f>
        <v>102</v>
      </c>
      <c r="T272" s="50" t="s">
        <v>141</v>
      </c>
      <c r="U272" s="46" t="s">
        <v>137</v>
      </c>
      <c r="V272" s="49"/>
      <c r="W272" s="49"/>
      <c r="X272" s="52"/>
      <c r="Y272" s="51" t="s">
        <v>139</v>
      </c>
      <c r="Z272" s="51"/>
      <c r="AA272" s="51" t="s">
        <v>123</v>
      </c>
    </row>
    <row r="273" spans="1:27" ht="12.95" customHeight="1">
      <c r="A273" s="43">
        <v>370</v>
      </c>
      <c r="B273" s="56" t="s">
        <v>22</v>
      </c>
      <c r="C273" s="56" t="s">
        <v>12</v>
      </c>
      <c r="D273" s="55" t="s">
        <v>28</v>
      </c>
      <c r="E273" s="95" t="s">
        <v>25</v>
      </c>
      <c r="F273" s="96" t="s">
        <v>21</v>
      </c>
      <c r="G273" s="55">
        <v>256313</v>
      </c>
      <c r="H273" s="55" t="s">
        <v>26</v>
      </c>
      <c r="I273" s="56" t="s">
        <v>4</v>
      </c>
      <c r="J273" s="97" t="s">
        <v>24</v>
      </c>
      <c r="K273" s="43" t="s">
        <v>134</v>
      </c>
      <c r="L273" s="55" t="s">
        <v>134</v>
      </c>
      <c r="M273" s="98" t="s">
        <v>141</v>
      </c>
      <c r="N273" s="49">
        <v>46012</v>
      </c>
      <c r="O273" s="49">
        <v>46012</v>
      </c>
      <c r="P273" s="51"/>
      <c r="Q273" s="51" t="s">
        <v>132</v>
      </c>
      <c r="R273" s="51" t="s">
        <v>123</v>
      </c>
      <c r="S273" s="72">
        <f t="shared" ca="1" si="1"/>
        <v>186</v>
      </c>
      <c r="T273" s="50" t="s">
        <v>132</v>
      </c>
      <c r="U273" s="46" t="s">
        <v>141</v>
      </c>
      <c r="V273" s="49"/>
      <c r="W273" s="49"/>
      <c r="X273" s="52" t="s">
        <v>132</v>
      </c>
      <c r="Y273" s="51"/>
      <c r="Z273" s="51"/>
      <c r="AA273" s="51" t="s">
        <v>140</v>
      </c>
    </row>
    <row r="274" spans="1:27" ht="12.95" customHeight="1">
      <c r="A274" s="43">
        <v>295</v>
      </c>
      <c r="B274" s="56" t="s">
        <v>22</v>
      </c>
      <c r="C274" s="56" t="s">
        <v>27</v>
      </c>
      <c r="D274" s="55" t="s">
        <v>30</v>
      </c>
      <c r="E274" s="95" t="s">
        <v>13</v>
      </c>
      <c r="F274" s="96" t="s">
        <v>5</v>
      </c>
      <c r="G274" s="55" t="s">
        <v>142</v>
      </c>
      <c r="H274" s="91" t="s">
        <v>20</v>
      </c>
      <c r="I274" s="56" t="s">
        <v>6</v>
      </c>
      <c r="J274" s="97" t="s">
        <v>6</v>
      </c>
      <c r="K274" s="43" t="s">
        <v>140</v>
      </c>
      <c r="L274" s="55" t="s">
        <v>140</v>
      </c>
      <c r="M274" s="98" t="s">
        <v>139</v>
      </c>
      <c r="N274" s="49">
        <v>46084</v>
      </c>
      <c r="O274" s="49">
        <v>46084</v>
      </c>
      <c r="P274" s="51"/>
      <c r="Q274" s="51" t="s">
        <v>141</v>
      </c>
      <c r="R274" s="51" t="s">
        <v>141</v>
      </c>
      <c r="S274" s="72">
        <f t="shared" ca="1" si="1"/>
        <v>114</v>
      </c>
      <c r="T274" s="50" t="s">
        <v>135</v>
      </c>
      <c r="U274" s="46" t="s">
        <v>137</v>
      </c>
      <c r="V274" s="49"/>
      <c r="W274" s="49"/>
      <c r="X274" s="52"/>
      <c r="Y274" s="51"/>
      <c r="Z274" s="51"/>
      <c r="AA274" s="51" t="s">
        <v>134</v>
      </c>
    </row>
    <row r="275" spans="1:27" ht="12.95" customHeight="1">
      <c r="A275" s="43">
        <v>299</v>
      </c>
      <c r="B275" s="56" t="s">
        <v>22</v>
      </c>
      <c r="C275" s="56" t="s">
        <v>12</v>
      </c>
      <c r="D275" s="62" t="s">
        <v>13</v>
      </c>
      <c r="E275" s="44" t="s">
        <v>65</v>
      </c>
      <c r="F275" s="96" t="s">
        <v>21</v>
      </c>
      <c r="G275" s="55">
        <v>346203</v>
      </c>
      <c r="H275" s="55" t="s">
        <v>26</v>
      </c>
      <c r="I275" s="56" t="s">
        <v>29</v>
      </c>
      <c r="J275" s="97" t="s">
        <v>29</v>
      </c>
      <c r="K275" s="43" t="s">
        <v>141</v>
      </c>
      <c r="L275" s="55" t="s">
        <v>134</v>
      </c>
      <c r="M275" s="98" t="s">
        <v>141</v>
      </c>
      <c r="N275" s="49">
        <v>46160</v>
      </c>
      <c r="O275" s="49">
        <v>46160</v>
      </c>
      <c r="P275" s="51"/>
      <c r="Q275" s="51" t="s">
        <v>132</v>
      </c>
      <c r="R275" s="51" t="s">
        <v>123</v>
      </c>
      <c r="S275" s="72">
        <f t="shared" ca="1" si="1"/>
        <v>38</v>
      </c>
      <c r="T275" s="50" t="s">
        <v>139</v>
      </c>
      <c r="U275" s="51" t="s">
        <v>141</v>
      </c>
      <c r="V275" s="49"/>
      <c r="W275" s="49"/>
      <c r="X275" s="52"/>
      <c r="Y275" s="51" t="s">
        <v>135</v>
      </c>
      <c r="Z275" s="51"/>
      <c r="AA275" s="51" t="s">
        <v>139</v>
      </c>
    </row>
    <row r="276" spans="1:27" ht="12.95" customHeight="1">
      <c r="A276" s="43">
        <v>325</v>
      </c>
      <c r="B276" s="56" t="s">
        <v>22</v>
      </c>
      <c r="C276" s="56" t="s">
        <v>12</v>
      </c>
      <c r="D276" s="62" t="s">
        <v>13</v>
      </c>
      <c r="E276" s="44" t="s">
        <v>65</v>
      </c>
      <c r="F276" s="96" t="s">
        <v>26</v>
      </c>
      <c r="G276" s="55">
        <v>522986</v>
      </c>
      <c r="H276" s="55" t="s">
        <v>26</v>
      </c>
      <c r="I276" s="56" t="s">
        <v>21</v>
      </c>
      <c r="J276" s="97" t="s">
        <v>21</v>
      </c>
      <c r="K276" s="43" t="s">
        <v>134</v>
      </c>
      <c r="L276" s="55" t="s">
        <v>134</v>
      </c>
      <c r="M276" s="98" t="s">
        <v>131</v>
      </c>
      <c r="N276" s="49">
        <v>46081</v>
      </c>
      <c r="O276" s="49">
        <v>46081</v>
      </c>
      <c r="P276" s="51"/>
      <c r="Q276" s="51" t="s">
        <v>132</v>
      </c>
      <c r="R276" s="51" t="s">
        <v>123</v>
      </c>
      <c r="S276" s="72">
        <f t="shared" ca="1" si="1"/>
        <v>117</v>
      </c>
      <c r="T276" s="50" t="s">
        <v>135</v>
      </c>
      <c r="U276" s="46" t="s">
        <v>137</v>
      </c>
      <c r="V276" s="49"/>
      <c r="W276" s="49"/>
      <c r="X276" s="52" t="s">
        <v>139</v>
      </c>
      <c r="Y276" s="51" t="s">
        <v>138</v>
      </c>
      <c r="Z276" s="51"/>
      <c r="AA276" s="51" t="s">
        <v>136</v>
      </c>
    </row>
    <row r="277" spans="1:27" ht="12.95" customHeight="1">
      <c r="A277" s="43">
        <v>210</v>
      </c>
      <c r="B277" s="56" t="s">
        <v>22</v>
      </c>
      <c r="C277" s="56" t="s">
        <v>12</v>
      </c>
      <c r="D277" s="62" t="s">
        <v>13</v>
      </c>
      <c r="E277" s="44" t="s">
        <v>65</v>
      </c>
      <c r="F277" s="96" t="s">
        <v>41</v>
      </c>
      <c r="G277" s="55">
        <v>249792</v>
      </c>
      <c r="H277" s="55" t="s">
        <v>26</v>
      </c>
      <c r="I277" s="56" t="s">
        <v>4</v>
      </c>
      <c r="J277" s="97" t="s">
        <v>21</v>
      </c>
      <c r="K277" s="43" t="s">
        <v>141</v>
      </c>
      <c r="L277" s="55" t="s">
        <v>140</v>
      </c>
      <c r="M277" s="98" t="s">
        <v>131</v>
      </c>
      <c r="N277" s="49">
        <v>46024</v>
      </c>
      <c r="O277" s="49">
        <v>46024</v>
      </c>
      <c r="P277" s="51"/>
      <c r="Q277" s="51" t="s">
        <v>132</v>
      </c>
      <c r="R277" s="51" t="s">
        <v>123</v>
      </c>
      <c r="S277" s="72">
        <f t="shared" ca="1" si="1"/>
        <v>174</v>
      </c>
      <c r="T277" s="50" t="s">
        <v>140</v>
      </c>
      <c r="U277" s="46" t="s">
        <v>137</v>
      </c>
      <c r="V277" s="49"/>
      <c r="W277" s="49"/>
      <c r="X277" s="52" t="s">
        <v>141</v>
      </c>
      <c r="Y277" s="51"/>
      <c r="Z277" s="51"/>
      <c r="AA277" s="51" t="s">
        <v>132</v>
      </c>
    </row>
    <row r="278" spans="1:27" ht="12.95" customHeight="1">
      <c r="A278" s="43">
        <v>238</v>
      </c>
      <c r="B278" s="56" t="s">
        <v>22</v>
      </c>
      <c r="C278" s="56" t="s">
        <v>12</v>
      </c>
      <c r="D278" s="43" t="s">
        <v>19</v>
      </c>
      <c r="E278" s="95" t="s">
        <v>25</v>
      </c>
      <c r="F278" s="96" t="s">
        <v>6</v>
      </c>
      <c r="G278" s="55">
        <v>491323</v>
      </c>
      <c r="H278" s="55" t="s">
        <v>26</v>
      </c>
      <c r="I278" s="56" t="s">
        <v>6</v>
      </c>
      <c r="J278" s="97" t="s">
        <v>6</v>
      </c>
      <c r="K278" s="43" t="s">
        <v>141</v>
      </c>
      <c r="L278" s="55" t="s">
        <v>140</v>
      </c>
      <c r="M278" s="98" t="s">
        <v>139</v>
      </c>
      <c r="N278" s="49"/>
      <c r="O278" s="49"/>
      <c r="P278" s="51"/>
      <c r="Q278" s="51" t="s">
        <v>141</v>
      </c>
      <c r="R278" s="51"/>
      <c r="S278" s="72"/>
      <c r="T278" s="51"/>
      <c r="U278" s="51" t="s">
        <v>141</v>
      </c>
      <c r="V278" s="49"/>
      <c r="W278" s="49"/>
      <c r="X278" s="52"/>
      <c r="Y278" s="51"/>
      <c r="Z278" s="51"/>
      <c r="AA278" s="51" t="s">
        <v>134</v>
      </c>
    </row>
    <row r="279" spans="1:27" ht="12.95" customHeight="1">
      <c r="A279" s="43">
        <v>208</v>
      </c>
      <c r="B279" s="56" t="s">
        <v>22</v>
      </c>
      <c r="C279" s="56" t="s">
        <v>12</v>
      </c>
      <c r="D279" s="62" t="s">
        <v>13</v>
      </c>
      <c r="E279" s="44" t="s">
        <v>65</v>
      </c>
      <c r="F279" s="96" t="s">
        <v>21</v>
      </c>
      <c r="G279" s="55">
        <v>464229</v>
      </c>
      <c r="H279" s="55" t="s">
        <v>9</v>
      </c>
      <c r="I279" s="56" t="s">
        <v>29</v>
      </c>
      <c r="J279" s="97" t="s">
        <v>29</v>
      </c>
      <c r="K279" s="43" t="s">
        <v>141</v>
      </c>
      <c r="L279" s="55" t="s">
        <v>134</v>
      </c>
      <c r="M279" s="98" t="s">
        <v>141</v>
      </c>
      <c r="N279" s="49">
        <v>46160</v>
      </c>
      <c r="O279" s="49">
        <v>46160</v>
      </c>
      <c r="P279" s="51"/>
      <c r="Q279" s="51" t="s">
        <v>132</v>
      </c>
      <c r="R279" s="51" t="s">
        <v>123</v>
      </c>
      <c r="S279" s="72">
        <f t="shared" ref="S279:S284" ca="1" si="2">TODAY()-N279</f>
        <v>38</v>
      </c>
      <c r="T279" s="50" t="s">
        <v>139</v>
      </c>
      <c r="U279" s="46" t="s">
        <v>137</v>
      </c>
      <c r="V279" s="49"/>
      <c r="W279" s="49"/>
      <c r="X279" s="52"/>
      <c r="Y279" s="51" t="s">
        <v>135</v>
      </c>
      <c r="Z279" s="51"/>
      <c r="AA279" s="51" t="s">
        <v>139</v>
      </c>
    </row>
    <row r="280" spans="1:27" ht="12.95" customHeight="1">
      <c r="A280" s="43">
        <v>176</v>
      </c>
      <c r="B280" s="56" t="s">
        <v>22</v>
      </c>
      <c r="C280" s="56" t="s">
        <v>12</v>
      </c>
      <c r="D280" s="55" t="s">
        <v>28</v>
      </c>
      <c r="E280" s="95" t="s">
        <v>43</v>
      </c>
      <c r="F280" s="96" t="s">
        <v>3</v>
      </c>
      <c r="G280" s="55">
        <v>454243</v>
      </c>
      <c r="H280" s="55" t="s">
        <v>9</v>
      </c>
      <c r="I280" s="56" t="s">
        <v>4</v>
      </c>
      <c r="J280" s="97" t="s">
        <v>29</v>
      </c>
      <c r="K280" s="43" t="s">
        <v>134</v>
      </c>
      <c r="L280" s="55" t="s">
        <v>134</v>
      </c>
      <c r="M280" s="98" t="s">
        <v>141</v>
      </c>
      <c r="N280" s="49">
        <v>46114</v>
      </c>
      <c r="O280" s="49">
        <v>46114</v>
      </c>
      <c r="P280" s="51"/>
      <c r="Q280" s="51" t="s">
        <v>132</v>
      </c>
      <c r="R280" s="51" t="s">
        <v>123</v>
      </c>
      <c r="S280" s="72">
        <f t="shared" ca="1" si="2"/>
        <v>84</v>
      </c>
      <c r="T280" s="50" t="s">
        <v>140</v>
      </c>
      <c r="U280" s="46" t="s">
        <v>141</v>
      </c>
      <c r="V280" s="49"/>
      <c r="W280" s="49"/>
      <c r="X280" s="52" t="s">
        <v>141</v>
      </c>
      <c r="Y280" s="51"/>
      <c r="Z280" s="51"/>
      <c r="AA280" s="51" t="s">
        <v>132</v>
      </c>
    </row>
    <row r="281" spans="1:27" ht="12.95" customHeight="1">
      <c r="A281" s="43">
        <v>286</v>
      </c>
      <c r="B281" s="56" t="s">
        <v>22</v>
      </c>
      <c r="C281" s="56" t="s">
        <v>12</v>
      </c>
      <c r="D281" s="55" t="s">
        <v>28</v>
      </c>
      <c r="E281" s="95" t="s">
        <v>43</v>
      </c>
      <c r="F281" s="96" t="s">
        <v>4</v>
      </c>
      <c r="G281" s="55">
        <v>457524</v>
      </c>
      <c r="H281" s="55" t="s">
        <v>27</v>
      </c>
      <c r="I281" s="56" t="s">
        <v>21</v>
      </c>
      <c r="J281" s="97" t="s">
        <v>21</v>
      </c>
      <c r="K281" s="43" t="s">
        <v>134</v>
      </c>
      <c r="L281" s="55" t="s">
        <v>134</v>
      </c>
      <c r="M281" s="98" t="s">
        <v>127</v>
      </c>
      <c r="N281" s="49">
        <v>46195</v>
      </c>
      <c r="O281" s="49">
        <v>46195</v>
      </c>
      <c r="P281" s="51"/>
      <c r="Q281" s="51" t="s">
        <v>127</v>
      </c>
      <c r="R281" s="51" t="s">
        <v>139</v>
      </c>
      <c r="S281" s="72">
        <f t="shared" ca="1" si="2"/>
        <v>3</v>
      </c>
      <c r="T281" s="50" t="s">
        <v>141</v>
      </c>
      <c r="U281" s="46" t="s">
        <v>141</v>
      </c>
      <c r="V281" s="49"/>
      <c r="W281" s="49"/>
      <c r="X281" s="52"/>
      <c r="Y281" s="51"/>
      <c r="Z281" s="51"/>
      <c r="AA281" s="51" t="s">
        <v>126</v>
      </c>
    </row>
    <row r="282" spans="1:27" ht="12.95" customHeight="1">
      <c r="A282" s="43">
        <v>402</v>
      </c>
      <c r="B282" s="56" t="s">
        <v>22</v>
      </c>
      <c r="C282" s="56" t="s">
        <v>12</v>
      </c>
      <c r="D282" s="43" t="s">
        <v>19</v>
      </c>
      <c r="E282" s="95" t="s">
        <v>25</v>
      </c>
      <c r="F282" s="96" t="s">
        <v>22</v>
      </c>
      <c r="G282" s="55">
        <v>272943</v>
      </c>
      <c r="H282" s="43" t="s">
        <v>26</v>
      </c>
      <c r="I282" s="56" t="s">
        <v>4</v>
      </c>
      <c r="J282" s="97" t="s">
        <v>29</v>
      </c>
      <c r="K282" s="43" t="s">
        <v>134</v>
      </c>
      <c r="L282" s="55" t="s">
        <v>134</v>
      </c>
      <c r="M282" s="98" t="s">
        <v>126</v>
      </c>
      <c r="N282" s="49">
        <v>45669</v>
      </c>
      <c r="O282" s="49">
        <v>45669</v>
      </c>
      <c r="P282" s="51"/>
      <c r="Q282" s="51" t="s">
        <v>132</v>
      </c>
      <c r="R282" s="51" t="s">
        <v>123</v>
      </c>
      <c r="S282" s="72">
        <f t="shared" ca="1" si="2"/>
        <v>529</v>
      </c>
      <c r="T282" s="50" t="s">
        <v>132</v>
      </c>
      <c r="U282" s="46" t="s">
        <v>137</v>
      </c>
      <c r="V282" s="49"/>
      <c r="W282" s="49"/>
      <c r="X282" s="52" t="s">
        <v>136</v>
      </c>
      <c r="Y282" s="51" t="s">
        <v>139</v>
      </c>
      <c r="Z282" s="51"/>
      <c r="AA282" s="51" t="s">
        <v>139</v>
      </c>
    </row>
    <row r="283" spans="1:27" ht="12.95" customHeight="1">
      <c r="A283" s="43">
        <v>367</v>
      </c>
      <c r="B283" s="56" t="s">
        <v>22</v>
      </c>
      <c r="C283" s="56" t="s">
        <v>12</v>
      </c>
      <c r="D283" s="62" t="s">
        <v>13</v>
      </c>
      <c r="E283" s="44" t="s">
        <v>65</v>
      </c>
      <c r="F283" s="96" t="s">
        <v>17</v>
      </c>
      <c r="G283" s="55">
        <v>261498</v>
      </c>
      <c r="H283" s="43" t="s">
        <v>26</v>
      </c>
      <c r="I283" s="56" t="s">
        <v>4</v>
      </c>
      <c r="J283" s="97" t="s">
        <v>24</v>
      </c>
      <c r="K283" s="43" t="s">
        <v>140</v>
      </c>
      <c r="L283" s="55" t="s">
        <v>140</v>
      </c>
      <c r="M283" s="98" t="s">
        <v>138</v>
      </c>
      <c r="N283" s="49">
        <v>46121</v>
      </c>
      <c r="O283" s="49">
        <v>46121</v>
      </c>
      <c r="P283" s="51"/>
      <c r="Q283" s="51" t="s">
        <v>141</v>
      </c>
      <c r="R283" s="51" t="s">
        <v>141</v>
      </c>
      <c r="S283" s="72">
        <f t="shared" ca="1" si="2"/>
        <v>77</v>
      </c>
      <c r="T283" s="50" t="s">
        <v>135</v>
      </c>
      <c r="U283" s="46" t="s">
        <v>141</v>
      </c>
      <c r="V283" s="49"/>
      <c r="W283" s="49"/>
      <c r="X283" s="52" t="s">
        <v>133</v>
      </c>
      <c r="Y283" s="51"/>
      <c r="Z283" s="51"/>
      <c r="AA283" s="51" t="s">
        <v>132</v>
      </c>
    </row>
    <row r="284" spans="1:27" ht="12.95" customHeight="1">
      <c r="A284" s="43">
        <v>354</v>
      </c>
      <c r="B284" s="56" t="s">
        <v>22</v>
      </c>
      <c r="C284" s="56" t="s">
        <v>12</v>
      </c>
      <c r="D284" s="55" t="s">
        <v>28</v>
      </c>
      <c r="E284" s="95" t="s">
        <v>25</v>
      </c>
      <c r="F284" s="96" t="s">
        <v>20</v>
      </c>
      <c r="G284" s="55">
        <v>70961925</v>
      </c>
      <c r="H284" s="55" t="s">
        <v>9</v>
      </c>
      <c r="I284" s="56" t="s">
        <v>4</v>
      </c>
      <c r="J284" s="97" t="s">
        <v>21</v>
      </c>
      <c r="K284" s="43" t="s">
        <v>134</v>
      </c>
      <c r="L284" s="55" t="s">
        <v>134</v>
      </c>
      <c r="M284" s="98" t="s">
        <v>140</v>
      </c>
      <c r="N284" s="49">
        <v>45817</v>
      </c>
      <c r="O284" s="49">
        <v>45817</v>
      </c>
      <c r="P284" s="51"/>
      <c r="Q284" s="51" t="s">
        <v>132</v>
      </c>
      <c r="R284" s="51" t="s">
        <v>123</v>
      </c>
      <c r="S284" s="72">
        <f t="shared" ca="1" si="2"/>
        <v>381</v>
      </c>
      <c r="T284" s="50" t="s">
        <v>132</v>
      </c>
      <c r="U284" s="46" t="s">
        <v>141</v>
      </c>
      <c r="V284" s="49"/>
      <c r="W284" s="49"/>
      <c r="X284" s="52" t="s">
        <v>138</v>
      </c>
      <c r="Y284" s="51" t="s">
        <v>138</v>
      </c>
      <c r="Z284" s="51"/>
      <c r="AA284" s="51" t="s">
        <v>126</v>
      </c>
    </row>
    <row r="285" spans="1:27" ht="12.95" customHeight="1">
      <c r="A285" s="43">
        <v>193</v>
      </c>
      <c r="B285" s="56" t="s">
        <v>22</v>
      </c>
      <c r="C285" s="56" t="s">
        <v>12</v>
      </c>
      <c r="D285" s="55" t="s">
        <v>28</v>
      </c>
      <c r="E285" s="95" t="s">
        <v>43</v>
      </c>
      <c r="F285" s="96" t="s">
        <v>21</v>
      </c>
      <c r="G285" s="55">
        <v>319528</v>
      </c>
      <c r="H285" s="55" t="s">
        <v>26</v>
      </c>
      <c r="I285" s="56" t="s">
        <v>4</v>
      </c>
      <c r="J285" s="97" t="s">
        <v>4</v>
      </c>
      <c r="K285" s="43" t="s">
        <v>134</v>
      </c>
      <c r="L285" s="55" t="s">
        <v>134</v>
      </c>
      <c r="M285" s="98" t="s">
        <v>141</v>
      </c>
      <c r="N285" s="49">
        <v>46141</v>
      </c>
      <c r="O285" s="49">
        <v>46141</v>
      </c>
      <c r="P285" s="51"/>
      <c r="Q285" s="51" t="s">
        <v>127</v>
      </c>
      <c r="R285" s="51" t="s">
        <v>136</v>
      </c>
      <c r="S285" s="72"/>
      <c r="T285" s="51"/>
      <c r="U285" s="49" t="s">
        <v>127</v>
      </c>
      <c r="V285" s="49"/>
      <c r="W285" s="49"/>
      <c r="X285" s="52" t="s">
        <v>140</v>
      </c>
      <c r="Y285" s="51"/>
      <c r="Z285" s="51"/>
      <c r="AA285" s="51" t="s">
        <v>126</v>
      </c>
    </row>
    <row r="286" spans="1:27" ht="12.95" customHeight="1">
      <c r="A286" s="43">
        <v>382</v>
      </c>
      <c r="B286" s="56" t="s">
        <v>22</v>
      </c>
      <c r="C286" s="56" t="s">
        <v>12</v>
      </c>
      <c r="D286" s="55" t="s">
        <v>28</v>
      </c>
      <c r="E286" s="95" t="s">
        <v>43</v>
      </c>
      <c r="F286" s="96" t="s">
        <v>5</v>
      </c>
      <c r="G286" s="55">
        <v>314132</v>
      </c>
      <c r="H286" s="55" t="s">
        <v>26</v>
      </c>
      <c r="I286" s="56" t="s">
        <v>21</v>
      </c>
      <c r="J286" s="97" t="s">
        <v>21</v>
      </c>
      <c r="K286" s="43" t="s">
        <v>141</v>
      </c>
      <c r="L286" s="55" t="s">
        <v>140</v>
      </c>
      <c r="M286" s="98" t="s">
        <v>139</v>
      </c>
      <c r="N286" s="49">
        <v>46167</v>
      </c>
      <c r="O286" s="49">
        <v>46167</v>
      </c>
      <c r="P286" s="51"/>
      <c r="Q286" s="51" t="s">
        <v>132</v>
      </c>
      <c r="R286" s="51" t="s">
        <v>123</v>
      </c>
      <c r="S286" s="72">
        <f t="shared" ref="S286:S291" ca="1" si="3">TODAY()-N286</f>
        <v>31</v>
      </c>
      <c r="T286" s="50" t="s">
        <v>140</v>
      </c>
      <c r="U286" s="46" t="s">
        <v>137</v>
      </c>
      <c r="V286" s="49"/>
      <c r="W286" s="49"/>
      <c r="X286" s="52" t="s">
        <v>123</v>
      </c>
      <c r="Y286" s="51"/>
      <c r="Z286" s="51"/>
      <c r="AA286" s="51" t="s">
        <v>133</v>
      </c>
    </row>
    <row r="287" spans="1:27" ht="12.95" customHeight="1">
      <c r="A287" s="43">
        <v>163</v>
      </c>
      <c r="B287" s="56" t="s">
        <v>22</v>
      </c>
      <c r="C287" s="56" t="s">
        <v>12</v>
      </c>
      <c r="D287" s="62" t="s">
        <v>13</v>
      </c>
      <c r="E287" s="44" t="s">
        <v>65</v>
      </c>
      <c r="F287" s="96" t="s">
        <v>8</v>
      </c>
      <c r="G287" s="55">
        <v>480065</v>
      </c>
      <c r="H287" s="55" t="s">
        <v>26</v>
      </c>
      <c r="I287" s="56" t="s">
        <v>4</v>
      </c>
      <c r="J287" s="97" t="s">
        <v>5</v>
      </c>
      <c r="K287" s="43" t="s">
        <v>140</v>
      </c>
      <c r="L287" s="55" t="s">
        <v>127</v>
      </c>
      <c r="M287" s="98" t="s">
        <v>126</v>
      </c>
      <c r="N287" s="49">
        <v>45966</v>
      </c>
      <c r="O287" s="49">
        <v>45966</v>
      </c>
      <c r="P287" s="51"/>
      <c r="Q287" s="51" t="s">
        <v>141</v>
      </c>
      <c r="R287" s="51" t="s">
        <v>141</v>
      </c>
      <c r="S287" s="72">
        <f t="shared" ca="1" si="3"/>
        <v>232</v>
      </c>
      <c r="T287" s="50" t="s">
        <v>132</v>
      </c>
      <c r="U287" s="51" t="s">
        <v>131</v>
      </c>
      <c r="V287" s="49"/>
      <c r="W287" s="49"/>
      <c r="X287" s="52" t="s">
        <v>123</v>
      </c>
      <c r="Y287" s="51"/>
      <c r="Z287" s="51"/>
      <c r="AA287" s="51" t="s">
        <v>139</v>
      </c>
    </row>
    <row r="288" spans="1:27" ht="12.95" customHeight="1">
      <c r="A288" s="43">
        <v>204</v>
      </c>
      <c r="B288" s="56" t="s">
        <v>22</v>
      </c>
      <c r="C288" s="56" t="s">
        <v>12</v>
      </c>
      <c r="D288" s="62" t="s">
        <v>13</v>
      </c>
      <c r="E288" s="44" t="s">
        <v>65</v>
      </c>
      <c r="F288" s="96" t="s">
        <v>21</v>
      </c>
      <c r="G288" s="55">
        <v>417602</v>
      </c>
      <c r="H288" s="43" t="s">
        <v>26</v>
      </c>
      <c r="I288" s="56" t="s">
        <v>4</v>
      </c>
      <c r="J288" s="97" t="s">
        <v>17</v>
      </c>
      <c r="K288" s="43" t="s">
        <v>127</v>
      </c>
      <c r="L288" s="55" t="s">
        <v>127</v>
      </c>
      <c r="M288" s="98" t="s">
        <v>137</v>
      </c>
      <c r="N288" s="49">
        <v>46018</v>
      </c>
      <c r="O288" s="49">
        <v>46018</v>
      </c>
      <c r="P288" s="51"/>
      <c r="Q288" s="51" t="s">
        <v>132</v>
      </c>
      <c r="R288" s="51" t="s">
        <v>138</v>
      </c>
      <c r="S288" s="72">
        <f t="shared" ca="1" si="3"/>
        <v>180</v>
      </c>
      <c r="T288" s="50" t="s">
        <v>132</v>
      </c>
      <c r="U288" s="51" t="s">
        <v>131</v>
      </c>
      <c r="V288" s="49"/>
      <c r="W288" s="49">
        <v>46152</v>
      </c>
      <c r="X288" s="52" t="s">
        <v>134</v>
      </c>
      <c r="Y288" s="51"/>
      <c r="Z288" s="51"/>
      <c r="AA288" s="51" t="s">
        <v>139</v>
      </c>
    </row>
    <row r="289" spans="1:27" ht="12.95" customHeight="1">
      <c r="A289" s="43">
        <v>366</v>
      </c>
      <c r="B289" s="56" t="s">
        <v>22</v>
      </c>
      <c r="C289" s="56" t="s">
        <v>12</v>
      </c>
      <c r="D289" s="62" t="s">
        <v>13</v>
      </c>
      <c r="E289" s="44" t="s">
        <v>65</v>
      </c>
      <c r="F289" s="96" t="s">
        <v>21</v>
      </c>
      <c r="G289" s="55">
        <v>370769</v>
      </c>
      <c r="H289" s="55" t="s">
        <v>26</v>
      </c>
      <c r="I289" s="56" t="s">
        <v>4</v>
      </c>
      <c r="J289" s="97" t="s">
        <v>17</v>
      </c>
      <c r="K289" s="43" t="s">
        <v>127</v>
      </c>
      <c r="L289" s="55" t="s">
        <v>141</v>
      </c>
      <c r="M289" s="98" t="s">
        <v>137</v>
      </c>
      <c r="N289" s="49">
        <v>46018</v>
      </c>
      <c r="O289" s="49">
        <v>46018</v>
      </c>
      <c r="P289" s="51"/>
      <c r="Q289" s="51" t="s">
        <v>132</v>
      </c>
      <c r="R289" s="51" t="s">
        <v>138</v>
      </c>
      <c r="S289" s="72">
        <f t="shared" ca="1" si="3"/>
        <v>180</v>
      </c>
      <c r="T289" s="50" t="s">
        <v>132</v>
      </c>
      <c r="U289" s="51" t="s">
        <v>131</v>
      </c>
      <c r="V289" s="49"/>
      <c r="W289" s="49">
        <v>46199</v>
      </c>
      <c r="X289" s="52" t="s">
        <v>140</v>
      </c>
      <c r="Y289" s="51"/>
      <c r="Z289" s="51"/>
      <c r="AA289" s="51" t="s">
        <v>139</v>
      </c>
    </row>
    <row r="290" spans="1:27" ht="12.95" customHeight="1">
      <c r="A290" s="43">
        <v>332</v>
      </c>
      <c r="B290" s="56" t="s">
        <v>22</v>
      </c>
      <c r="C290" s="56" t="s">
        <v>12</v>
      </c>
      <c r="D290" s="62" t="s">
        <v>13</v>
      </c>
      <c r="E290" s="44" t="s">
        <v>65</v>
      </c>
      <c r="F290" s="96" t="s">
        <v>4</v>
      </c>
      <c r="G290" s="55">
        <v>444935</v>
      </c>
      <c r="H290" s="55" t="s">
        <v>26</v>
      </c>
      <c r="I290" s="56" t="s">
        <v>4</v>
      </c>
      <c r="J290" s="97" t="s">
        <v>5</v>
      </c>
      <c r="K290" s="43" t="s">
        <v>140</v>
      </c>
      <c r="L290" s="55" t="s">
        <v>140</v>
      </c>
      <c r="M290" s="98" t="s">
        <v>126</v>
      </c>
      <c r="N290" s="49">
        <v>46018</v>
      </c>
      <c r="O290" s="49">
        <v>46018</v>
      </c>
      <c r="P290" s="51"/>
      <c r="Q290" s="51" t="s">
        <v>141</v>
      </c>
      <c r="R290" s="51" t="s">
        <v>141</v>
      </c>
      <c r="S290" s="72">
        <f t="shared" ca="1" si="3"/>
        <v>180</v>
      </c>
      <c r="T290" s="50" t="s">
        <v>132</v>
      </c>
      <c r="U290" s="46" t="s">
        <v>141</v>
      </c>
      <c r="V290" s="49"/>
      <c r="W290" s="49"/>
      <c r="X290" s="52" t="s">
        <v>132</v>
      </c>
      <c r="Y290" s="51" t="s">
        <v>139</v>
      </c>
      <c r="Z290" s="51"/>
      <c r="AA290" s="51" t="s">
        <v>136</v>
      </c>
    </row>
    <row r="291" spans="1:27" ht="12.95" customHeight="1">
      <c r="A291" s="43">
        <v>212</v>
      </c>
      <c r="B291" s="56" t="s">
        <v>22</v>
      </c>
      <c r="C291" s="56" t="s">
        <v>12</v>
      </c>
      <c r="D291" s="55" t="s">
        <v>28</v>
      </c>
      <c r="E291" s="95" t="s">
        <v>43</v>
      </c>
      <c r="F291" s="96" t="s">
        <v>15</v>
      </c>
      <c r="G291" s="55">
        <v>244391</v>
      </c>
      <c r="H291" s="43" t="s">
        <v>26</v>
      </c>
      <c r="I291" s="56" t="s">
        <v>4</v>
      </c>
      <c r="J291" s="97" t="s">
        <v>29</v>
      </c>
      <c r="K291" s="43" t="s">
        <v>134</v>
      </c>
      <c r="L291" s="55" t="s">
        <v>134</v>
      </c>
      <c r="M291" s="98" t="s">
        <v>141</v>
      </c>
      <c r="N291" s="49">
        <v>45987</v>
      </c>
      <c r="O291" s="49">
        <v>45987</v>
      </c>
      <c r="P291" s="51"/>
      <c r="Q291" s="51" t="s">
        <v>132</v>
      </c>
      <c r="R291" s="51" t="s">
        <v>123</v>
      </c>
      <c r="S291" s="72">
        <f t="shared" ca="1" si="3"/>
        <v>211</v>
      </c>
      <c r="T291" s="50" t="s">
        <v>135</v>
      </c>
      <c r="U291" s="46" t="s">
        <v>137</v>
      </c>
      <c r="V291" s="49"/>
      <c r="W291" s="49"/>
      <c r="X291" s="52" t="s">
        <v>139</v>
      </c>
      <c r="Y291" s="51" t="s">
        <v>138</v>
      </c>
      <c r="Z291" s="51"/>
      <c r="AA291" s="51" t="s">
        <v>137</v>
      </c>
    </row>
    <row r="292" spans="1:27" ht="12.95" customHeight="1">
      <c r="A292" s="43">
        <v>346</v>
      </c>
      <c r="B292" s="56" t="s">
        <v>22</v>
      </c>
      <c r="C292" s="56" t="s">
        <v>12</v>
      </c>
      <c r="D292" s="62" t="s">
        <v>13</v>
      </c>
      <c r="E292" s="44" t="s">
        <v>65</v>
      </c>
      <c r="F292" s="96" t="s">
        <v>25</v>
      </c>
      <c r="G292" s="55">
        <v>546405</v>
      </c>
      <c r="H292" s="55" t="s">
        <v>26</v>
      </c>
      <c r="I292" s="56" t="s">
        <v>21</v>
      </c>
      <c r="J292" s="97" t="s">
        <v>21</v>
      </c>
      <c r="K292" s="43" t="s">
        <v>134</v>
      </c>
      <c r="L292" s="55" t="s">
        <v>134</v>
      </c>
      <c r="M292" s="98" t="s">
        <v>139</v>
      </c>
      <c r="N292" s="49"/>
      <c r="O292" s="49"/>
      <c r="P292" s="51"/>
      <c r="Q292" s="51" t="s">
        <v>127</v>
      </c>
      <c r="R292" s="51" t="s">
        <v>136</v>
      </c>
      <c r="S292" s="72"/>
      <c r="T292" s="51"/>
      <c r="U292" s="49" t="s">
        <v>127</v>
      </c>
      <c r="V292" s="49"/>
      <c r="W292" s="49"/>
      <c r="X292" s="52" t="s">
        <v>140</v>
      </c>
      <c r="Y292" s="51"/>
      <c r="Z292" s="51"/>
      <c r="AA292" s="51" t="s">
        <v>139</v>
      </c>
    </row>
    <row r="293" spans="1:27" ht="12.95" customHeight="1">
      <c r="A293" s="43">
        <v>280</v>
      </c>
      <c r="B293" s="56" t="s">
        <v>22</v>
      </c>
      <c r="C293" s="56" t="s">
        <v>12</v>
      </c>
      <c r="D293" s="62" t="s">
        <v>13</v>
      </c>
      <c r="E293" s="44" t="s">
        <v>65</v>
      </c>
      <c r="F293" s="96" t="s">
        <v>29</v>
      </c>
      <c r="G293" s="55">
        <v>390277</v>
      </c>
      <c r="H293" s="55" t="s">
        <v>9</v>
      </c>
      <c r="I293" s="56" t="s">
        <v>4</v>
      </c>
      <c r="J293" s="97" t="s">
        <v>5</v>
      </c>
      <c r="K293" s="43" t="s">
        <v>134</v>
      </c>
      <c r="L293" s="55" t="s">
        <v>134</v>
      </c>
      <c r="M293" s="98" t="s">
        <v>127</v>
      </c>
      <c r="N293" s="49">
        <v>46024</v>
      </c>
      <c r="O293" s="49">
        <v>46024</v>
      </c>
      <c r="P293" s="51"/>
      <c r="Q293" s="51" t="s">
        <v>127</v>
      </c>
      <c r="R293" s="51" t="s">
        <v>126</v>
      </c>
      <c r="S293" s="72">
        <f ca="1">TODAY()-N293</f>
        <v>174</v>
      </c>
      <c r="T293" s="50" t="s">
        <v>132</v>
      </c>
      <c r="U293" s="51" t="s">
        <v>131</v>
      </c>
      <c r="V293" s="49"/>
      <c r="W293" s="49">
        <v>46152</v>
      </c>
      <c r="X293" s="52" t="s">
        <v>134</v>
      </c>
      <c r="Y293" s="51"/>
      <c r="Z293" s="51"/>
      <c r="AA293" s="51" t="s">
        <v>139</v>
      </c>
    </row>
    <row r="294" spans="1:27" ht="12.95" customHeight="1">
      <c r="A294" s="43">
        <v>176</v>
      </c>
      <c r="B294" s="56" t="s">
        <v>22</v>
      </c>
      <c r="C294" s="56" t="s">
        <v>12</v>
      </c>
      <c r="D294" s="55" t="s">
        <v>28</v>
      </c>
      <c r="E294" s="95" t="s">
        <v>43</v>
      </c>
      <c r="F294" s="96" t="s">
        <v>18</v>
      </c>
      <c r="G294" s="55">
        <v>183523</v>
      </c>
      <c r="H294" s="55" t="s">
        <v>9</v>
      </c>
      <c r="I294" s="56" t="s">
        <v>4</v>
      </c>
      <c r="J294" s="97" t="s">
        <v>29</v>
      </c>
      <c r="K294" s="43" t="s">
        <v>134</v>
      </c>
      <c r="L294" s="55" t="s">
        <v>134</v>
      </c>
      <c r="M294" s="98" t="s">
        <v>141</v>
      </c>
      <c r="N294" s="49">
        <v>46195</v>
      </c>
      <c r="O294" s="49">
        <v>46195</v>
      </c>
      <c r="P294" s="51"/>
      <c r="Q294" s="51" t="s">
        <v>132</v>
      </c>
      <c r="R294" s="51" t="s">
        <v>123</v>
      </c>
      <c r="S294" s="72">
        <f ca="1">TODAY()-N294</f>
        <v>3</v>
      </c>
      <c r="T294" s="50" t="s">
        <v>141</v>
      </c>
      <c r="U294" s="46" t="s">
        <v>137</v>
      </c>
      <c r="V294" s="49"/>
      <c r="W294" s="49"/>
      <c r="X294" s="52"/>
      <c r="Y294" s="51" t="s">
        <v>138</v>
      </c>
      <c r="Z294" s="51"/>
      <c r="AA294" s="51" t="s">
        <v>135</v>
      </c>
    </row>
    <row r="295" spans="1:27" ht="12.95" customHeight="1">
      <c r="A295" s="43">
        <v>394</v>
      </c>
      <c r="B295" s="56" t="s">
        <v>22</v>
      </c>
      <c r="C295" s="56" t="s">
        <v>12</v>
      </c>
      <c r="D295" s="55" t="s">
        <v>28</v>
      </c>
      <c r="E295" s="95" t="s">
        <v>43</v>
      </c>
      <c r="F295" s="96" t="s">
        <v>17</v>
      </c>
      <c r="G295" s="55">
        <v>47936917</v>
      </c>
      <c r="H295" s="43" t="s">
        <v>26</v>
      </c>
      <c r="I295" s="56" t="s">
        <v>4</v>
      </c>
      <c r="J295" s="97" t="s">
        <v>24</v>
      </c>
      <c r="K295" s="43" t="s">
        <v>132</v>
      </c>
      <c r="L295" s="55" t="s">
        <v>126</v>
      </c>
      <c r="M295" s="98" t="s">
        <v>126</v>
      </c>
      <c r="N295" s="49">
        <v>46195</v>
      </c>
      <c r="O295" s="49">
        <v>46195</v>
      </c>
      <c r="P295" s="51"/>
      <c r="Q295" s="51" t="s">
        <v>132</v>
      </c>
      <c r="R295" s="51" t="s">
        <v>138</v>
      </c>
      <c r="S295" s="72">
        <f ca="1">TODAY()-N295</f>
        <v>3</v>
      </c>
      <c r="T295" s="50" t="s">
        <v>141</v>
      </c>
      <c r="U295" s="46" t="s">
        <v>137</v>
      </c>
      <c r="V295" s="49"/>
      <c r="W295" s="49"/>
      <c r="X295" s="52"/>
      <c r="Y295" s="51" t="s">
        <v>138</v>
      </c>
      <c r="Z295" s="51"/>
      <c r="AA295" s="51" t="s">
        <v>138</v>
      </c>
    </row>
    <row r="296" spans="1:27" ht="12.95" customHeight="1">
      <c r="A296" s="43">
        <v>348</v>
      </c>
      <c r="B296" s="56" t="s">
        <v>22</v>
      </c>
      <c r="C296" s="56" t="s">
        <v>27</v>
      </c>
      <c r="D296" s="55" t="s">
        <v>30</v>
      </c>
      <c r="E296" s="95" t="s">
        <v>13</v>
      </c>
      <c r="F296" s="96" t="s">
        <v>17</v>
      </c>
      <c r="G296" s="55" t="s">
        <v>142</v>
      </c>
      <c r="H296" s="55" t="s">
        <v>26</v>
      </c>
      <c r="I296" s="56" t="s">
        <v>4</v>
      </c>
      <c r="J296" s="97" t="s">
        <v>24</v>
      </c>
      <c r="K296" s="43" t="s">
        <v>140</v>
      </c>
      <c r="L296" s="55" t="s">
        <v>140</v>
      </c>
      <c r="M296" s="98" t="s">
        <v>138</v>
      </c>
      <c r="N296" s="49">
        <v>46250</v>
      </c>
      <c r="O296" s="49">
        <v>46250</v>
      </c>
      <c r="P296" s="51"/>
      <c r="Q296" s="51" t="s">
        <v>141</v>
      </c>
      <c r="R296" s="51"/>
      <c r="S296" s="72"/>
      <c r="T296" s="51"/>
      <c r="U296" s="51" t="s">
        <v>141</v>
      </c>
      <c r="V296" s="49"/>
      <c r="W296" s="49"/>
      <c r="X296" s="52"/>
      <c r="Y296" s="51"/>
      <c r="Z296" s="51"/>
      <c r="AA296" s="51" t="s">
        <v>123</v>
      </c>
    </row>
    <row r="297" spans="1:27" ht="12.95" customHeight="1">
      <c r="A297" s="43">
        <v>346</v>
      </c>
      <c r="B297" s="56" t="s">
        <v>22</v>
      </c>
      <c r="C297" s="56" t="s">
        <v>27</v>
      </c>
      <c r="D297" s="55" t="s">
        <v>30</v>
      </c>
      <c r="E297" s="95" t="s">
        <v>13</v>
      </c>
      <c r="F297" s="96" t="s">
        <v>29</v>
      </c>
      <c r="G297" s="55" t="s">
        <v>142</v>
      </c>
      <c r="H297" s="43" t="s">
        <v>26</v>
      </c>
      <c r="I297" s="56" t="s">
        <v>4</v>
      </c>
      <c r="J297" s="97" t="s">
        <v>5</v>
      </c>
      <c r="K297" s="43" t="s">
        <v>140</v>
      </c>
      <c r="L297" s="55" t="s">
        <v>140</v>
      </c>
      <c r="M297" s="98" t="s">
        <v>126</v>
      </c>
      <c r="N297" s="49">
        <v>46089</v>
      </c>
      <c r="O297" s="49">
        <v>46089</v>
      </c>
      <c r="P297" s="51"/>
      <c r="Q297" s="51" t="s">
        <v>141</v>
      </c>
      <c r="R297" s="51" t="s">
        <v>141</v>
      </c>
      <c r="S297" s="72">
        <f ca="1">TODAY()-N297</f>
        <v>109</v>
      </c>
      <c r="T297" s="50" t="s">
        <v>139</v>
      </c>
      <c r="U297" s="46" t="s">
        <v>137</v>
      </c>
      <c r="V297" s="49"/>
      <c r="W297" s="49"/>
      <c r="X297" s="52"/>
      <c r="Y297" s="51"/>
      <c r="Z297" s="51"/>
      <c r="AA297" s="51" t="s">
        <v>123</v>
      </c>
    </row>
    <row r="298" spans="1:27" ht="12.95" customHeight="1">
      <c r="A298" s="43">
        <v>347</v>
      </c>
      <c r="B298" s="56" t="s">
        <v>22</v>
      </c>
      <c r="C298" s="56" t="s">
        <v>12</v>
      </c>
      <c r="D298" s="62" t="s">
        <v>13</v>
      </c>
      <c r="E298" s="44" t="s">
        <v>65</v>
      </c>
      <c r="F298" s="96" t="s">
        <v>13</v>
      </c>
      <c r="G298" s="55">
        <v>362972</v>
      </c>
      <c r="H298" s="55" t="s">
        <v>17</v>
      </c>
      <c r="I298" s="56" t="s">
        <v>4</v>
      </c>
      <c r="J298" s="97" t="s">
        <v>5</v>
      </c>
      <c r="K298" s="43" t="s">
        <v>140</v>
      </c>
      <c r="L298" s="55" t="s">
        <v>140</v>
      </c>
      <c r="M298" s="98" t="s">
        <v>126</v>
      </c>
      <c r="N298" s="49">
        <v>46018</v>
      </c>
      <c r="O298" s="49">
        <v>46018</v>
      </c>
      <c r="P298" s="51"/>
      <c r="Q298" s="51" t="s">
        <v>141</v>
      </c>
      <c r="R298" s="51" t="s">
        <v>141</v>
      </c>
      <c r="S298" s="72">
        <f ca="1">TODAY()-N298</f>
        <v>180</v>
      </c>
      <c r="T298" s="50" t="s">
        <v>132</v>
      </c>
      <c r="U298" s="46" t="s">
        <v>141</v>
      </c>
      <c r="V298" s="49"/>
      <c r="W298" s="49"/>
      <c r="X298" s="52" t="s">
        <v>137</v>
      </c>
      <c r="Y298" s="51"/>
      <c r="Z298" s="51"/>
      <c r="AA298" s="51" t="s">
        <v>139</v>
      </c>
    </row>
    <row r="299" spans="1:27" ht="12.95" customHeight="1">
      <c r="A299" s="43">
        <v>411</v>
      </c>
      <c r="B299" s="56" t="s">
        <v>22</v>
      </c>
      <c r="C299" s="56" t="s">
        <v>27</v>
      </c>
      <c r="D299" s="55" t="s">
        <v>30</v>
      </c>
      <c r="E299" s="95" t="s">
        <v>13</v>
      </c>
      <c r="F299" s="96" t="s">
        <v>19</v>
      </c>
      <c r="G299" s="55" t="s">
        <v>142</v>
      </c>
      <c r="H299" s="55" t="s">
        <v>26</v>
      </c>
      <c r="I299" s="56" t="s">
        <v>4</v>
      </c>
      <c r="J299" s="97" t="s">
        <v>5</v>
      </c>
      <c r="K299" s="43" t="s">
        <v>140</v>
      </c>
      <c r="L299" s="55" t="s">
        <v>140</v>
      </c>
      <c r="M299" s="98" t="s">
        <v>126</v>
      </c>
      <c r="N299" s="49"/>
      <c r="O299" s="49"/>
      <c r="P299" s="51"/>
      <c r="Q299" s="51" t="s">
        <v>132</v>
      </c>
      <c r="R299" s="51" t="s">
        <v>123</v>
      </c>
      <c r="S299" s="72">
        <v>0</v>
      </c>
      <c r="T299" s="50" t="s">
        <v>139</v>
      </c>
      <c r="U299" s="46" t="s">
        <v>141</v>
      </c>
      <c r="V299" s="49"/>
      <c r="W299" s="49"/>
      <c r="X299" s="52" t="s">
        <v>123</v>
      </c>
      <c r="Y299" s="51"/>
      <c r="Z299" s="51"/>
      <c r="AA299" s="51" t="s">
        <v>123</v>
      </c>
    </row>
    <row r="300" spans="1:27" ht="12.95" customHeight="1">
      <c r="A300" s="43">
        <v>281</v>
      </c>
      <c r="B300" s="56" t="s">
        <v>22</v>
      </c>
      <c r="C300" s="56" t="s">
        <v>27</v>
      </c>
      <c r="D300" s="55" t="s">
        <v>30</v>
      </c>
      <c r="E300" s="95" t="s">
        <v>13</v>
      </c>
      <c r="F300" s="96" t="s">
        <v>29</v>
      </c>
      <c r="G300" s="55" t="s">
        <v>142</v>
      </c>
      <c r="H300" s="55" t="s">
        <v>26</v>
      </c>
      <c r="I300" s="56" t="s">
        <v>4</v>
      </c>
      <c r="J300" s="97" t="s">
        <v>5</v>
      </c>
      <c r="K300" s="43" t="s">
        <v>140</v>
      </c>
      <c r="L300" s="55" t="s">
        <v>140</v>
      </c>
      <c r="M300" s="98" t="s">
        <v>126</v>
      </c>
      <c r="N300" s="49">
        <v>46133</v>
      </c>
      <c r="O300" s="49">
        <v>46133</v>
      </c>
      <c r="P300" s="51"/>
      <c r="Q300" s="51" t="s">
        <v>132</v>
      </c>
      <c r="R300" s="51" t="s">
        <v>138</v>
      </c>
      <c r="S300" s="72">
        <f ca="1">TODAY()-N300</f>
        <v>65</v>
      </c>
      <c r="T300" s="50" t="s">
        <v>141</v>
      </c>
      <c r="U300" s="46" t="s">
        <v>137</v>
      </c>
      <c r="V300" s="49"/>
      <c r="W300" s="49"/>
      <c r="X300" s="52"/>
      <c r="Y300" s="51" t="s">
        <v>139</v>
      </c>
      <c r="Z300" s="51"/>
      <c r="AA300" s="51" t="s">
        <v>123</v>
      </c>
    </row>
    <row r="301" spans="1:27" ht="12.95" customHeight="1">
      <c r="A301" s="43">
        <v>207</v>
      </c>
      <c r="B301" s="56" t="s">
        <v>22</v>
      </c>
      <c r="C301" s="56" t="s">
        <v>27</v>
      </c>
      <c r="D301" s="55" t="s">
        <v>30</v>
      </c>
      <c r="E301" s="95" t="s">
        <v>13</v>
      </c>
      <c r="F301" s="96" t="s">
        <v>3</v>
      </c>
      <c r="G301" s="55" t="s">
        <v>142</v>
      </c>
      <c r="H301" s="43" t="s">
        <v>26</v>
      </c>
      <c r="I301" s="56" t="s">
        <v>4</v>
      </c>
      <c r="J301" s="97" t="s">
        <v>5</v>
      </c>
      <c r="K301" s="43" t="s">
        <v>140</v>
      </c>
      <c r="L301" s="55" t="s">
        <v>140</v>
      </c>
      <c r="M301" s="98" t="s">
        <v>126</v>
      </c>
      <c r="N301" s="49">
        <v>46160</v>
      </c>
      <c r="O301" s="49">
        <v>46160</v>
      </c>
      <c r="P301" s="51"/>
      <c r="Q301" s="51" t="s">
        <v>132</v>
      </c>
      <c r="R301" s="51" t="s">
        <v>137</v>
      </c>
      <c r="S301" s="72">
        <f ca="1">TODAY()-N301</f>
        <v>38</v>
      </c>
      <c r="T301" s="50" t="s">
        <v>139</v>
      </c>
      <c r="U301" s="46" t="s">
        <v>137</v>
      </c>
      <c r="V301" s="49"/>
      <c r="W301" s="49"/>
      <c r="X301" s="52"/>
      <c r="Y301" s="51" t="s">
        <v>139</v>
      </c>
      <c r="Z301" s="51"/>
      <c r="AA301" s="51" t="s">
        <v>123</v>
      </c>
    </row>
    <row r="302" spans="1:27" ht="12.95" customHeight="1">
      <c r="A302" s="43">
        <v>337</v>
      </c>
      <c r="B302" s="56" t="s">
        <v>22</v>
      </c>
      <c r="C302" s="56" t="s">
        <v>27</v>
      </c>
      <c r="D302" s="55" t="s">
        <v>30</v>
      </c>
      <c r="E302" s="95" t="s">
        <v>13</v>
      </c>
      <c r="F302" s="96" t="s">
        <v>3</v>
      </c>
      <c r="G302" s="55" t="s">
        <v>142</v>
      </c>
      <c r="H302" s="55" t="s">
        <v>17</v>
      </c>
      <c r="I302" s="56" t="s">
        <v>4</v>
      </c>
      <c r="J302" s="97" t="s">
        <v>5</v>
      </c>
      <c r="K302" s="43" t="s">
        <v>140</v>
      </c>
      <c r="L302" s="55" t="s">
        <v>140</v>
      </c>
      <c r="M302" s="98" t="s">
        <v>126</v>
      </c>
      <c r="N302" s="49">
        <v>46160</v>
      </c>
      <c r="O302" s="49">
        <v>46160</v>
      </c>
      <c r="P302" s="51"/>
      <c r="Q302" s="51" t="s">
        <v>132</v>
      </c>
      <c r="R302" s="51" t="s">
        <v>137</v>
      </c>
      <c r="S302" s="72">
        <f ca="1">TODAY()-N302</f>
        <v>38</v>
      </c>
      <c r="T302" s="50" t="s">
        <v>139</v>
      </c>
      <c r="U302" s="46" t="s">
        <v>137</v>
      </c>
      <c r="V302" s="49"/>
      <c r="W302" s="49"/>
      <c r="X302" s="52"/>
      <c r="Y302" s="51" t="s">
        <v>139</v>
      </c>
      <c r="Z302" s="51"/>
      <c r="AA302" s="51" t="s">
        <v>123</v>
      </c>
    </row>
    <row r="303" spans="1:27" ht="12.95" customHeight="1">
      <c r="A303" s="43">
        <v>242</v>
      </c>
      <c r="B303" s="56" t="s">
        <v>22</v>
      </c>
      <c r="C303" s="56" t="s">
        <v>27</v>
      </c>
      <c r="D303" s="55" t="s">
        <v>30</v>
      </c>
      <c r="E303" s="95" t="s">
        <v>13</v>
      </c>
      <c r="F303" s="96" t="s">
        <v>41</v>
      </c>
      <c r="G303" s="55" t="s">
        <v>142</v>
      </c>
      <c r="H303" s="55" t="s">
        <v>26</v>
      </c>
      <c r="I303" s="56" t="s">
        <v>4</v>
      </c>
      <c r="J303" s="97" t="s">
        <v>5</v>
      </c>
      <c r="K303" s="43" t="s">
        <v>140</v>
      </c>
      <c r="L303" s="55" t="s">
        <v>140</v>
      </c>
      <c r="M303" s="98" t="s">
        <v>126</v>
      </c>
      <c r="N303" s="49">
        <v>46089</v>
      </c>
      <c r="O303" s="49">
        <v>46089</v>
      </c>
      <c r="P303" s="51"/>
      <c r="Q303" s="51" t="s">
        <v>127</v>
      </c>
      <c r="R303" s="51" t="s">
        <v>126</v>
      </c>
      <c r="S303" s="72">
        <f ca="1">TODAY()-N303</f>
        <v>109</v>
      </c>
      <c r="T303" s="50" t="s">
        <v>139</v>
      </c>
      <c r="U303" s="46" t="s">
        <v>141</v>
      </c>
      <c r="V303" s="49"/>
      <c r="W303" s="49"/>
      <c r="X303" s="52" t="s">
        <v>135</v>
      </c>
      <c r="Y303" s="51"/>
      <c r="Z303" s="51"/>
      <c r="AA303" s="51" t="s">
        <v>123</v>
      </c>
    </row>
    <row r="304" spans="1:27" ht="12.95" customHeight="1">
      <c r="A304" s="43">
        <v>424</v>
      </c>
      <c r="B304" s="56" t="s">
        <v>22</v>
      </c>
      <c r="C304" s="56" t="s">
        <v>12</v>
      </c>
      <c r="D304" s="55" t="s">
        <v>28</v>
      </c>
      <c r="E304" s="95" t="s">
        <v>25</v>
      </c>
      <c r="F304" s="96" t="s">
        <v>3</v>
      </c>
      <c r="G304" s="55">
        <v>257233</v>
      </c>
      <c r="H304" s="55" t="s">
        <v>26</v>
      </c>
      <c r="I304" s="56" t="s">
        <v>4</v>
      </c>
      <c r="J304" s="97" t="s">
        <v>24</v>
      </c>
      <c r="K304" s="43" t="s">
        <v>134</v>
      </c>
      <c r="L304" s="55"/>
      <c r="M304" s="98"/>
      <c r="N304" s="49"/>
      <c r="O304" s="49"/>
      <c r="P304" s="51"/>
      <c r="Q304" s="51" t="s">
        <v>141</v>
      </c>
      <c r="R304" s="51"/>
      <c r="S304" s="72"/>
      <c r="T304" s="51"/>
      <c r="U304" s="51" t="s">
        <v>141</v>
      </c>
      <c r="V304" s="49"/>
      <c r="W304" s="49"/>
      <c r="X304" s="52"/>
      <c r="Y304" s="51"/>
      <c r="Z304" s="51"/>
      <c r="AA304" s="51" t="s">
        <v>126</v>
      </c>
    </row>
    <row r="305" spans="1:27" ht="12.95" customHeight="1">
      <c r="A305" s="43">
        <v>216</v>
      </c>
      <c r="B305" s="56" t="s">
        <v>22</v>
      </c>
      <c r="C305" s="56" t="s">
        <v>12</v>
      </c>
      <c r="D305" s="55" t="s">
        <v>28</v>
      </c>
      <c r="E305" s="95" t="s">
        <v>25</v>
      </c>
      <c r="F305" s="96" t="s">
        <v>6</v>
      </c>
      <c r="G305" s="55">
        <v>88422575</v>
      </c>
      <c r="H305" s="55" t="s">
        <v>22</v>
      </c>
      <c r="I305" s="56" t="s">
        <v>4</v>
      </c>
      <c r="J305" s="97" t="s">
        <v>33</v>
      </c>
      <c r="K305" s="43" t="s">
        <v>134</v>
      </c>
      <c r="L305" s="55"/>
      <c r="M305" s="98"/>
      <c r="N305" s="49"/>
      <c r="O305" s="49"/>
      <c r="P305" s="51"/>
      <c r="Q305" s="51" t="s">
        <v>141</v>
      </c>
      <c r="R305" s="51"/>
      <c r="S305" s="72"/>
      <c r="T305" s="51"/>
      <c r="U305" s="51" t="s">
        <v>141</v>
      </c>
      <c r="V305" s="49"/>
      <c r="W305" s="49"/>
      <c r="X305" s="52"/>
      <c r="Y305" s="51"/>
      <c r="Z305" s="51"/>
      <c r="AA305" s="51" t="s">
        <v>137</v>
      </c>
    </row>
    <row r="306" spans="1:27" ht="12.95" customHeight="1">
      <c r="A306" s="43">
        <v>186</v>
      </c>
      <c r="B306" s="56" t="s">
        <v>22</v>
      </c>
      <c r="C306" s="56" t="s">
        <v>12</v>
      </c>
      <c r="D306" s="55" t="s">
        <v>28</v>
      </c>
      <c r="E306" s="95" t="s">
        <v>43</v>
      </c>
      <c r="F306" s="96" t="s">
        <v>14</v>
      </c>
      <c r="G306" s="55">
        <v>59828148</v>
      </c>
      <c r="H306" s="91" t="s">
        <v>20</v>
      </c>
      <c r="I306" s="56" t="s">
        <v>21</v>
      </c>
      <c r="J306" s="97" t="s">
        <v>21</v>
      </c>
      <c r="K306" s="43" t="s">
        <v>134</v>
      </c>
      <c r="L306" s="55"/>
      <c r="M306" s="98"/>
      <c r="N306" s="49"/>
      <c r="O306" s="49"/>
      <c r="P306" s="51"/>
      <c r="Q306" s="51" t="s">
        <v>141</v>
      </c>
      <c r="R306" s="51"/>
      <c r="S306" s="72"/>
      <c r="T306" s="51"/>
      <c r="U306" s="51" t="s">
        <v>141</v>
      </c>
      <c r="V306" s="49"/>
      <c r="W306" s="49"/>
      <c r="X306" s="52"/>
      <c r="Y306" s="51"/>
      <c r="Z306" s="51"/>
      <c r="AA306" s="51" t="s">
        <v>126</v>
      </c>
    </row>
    <row r="307" spans="1:27" ht="12.95" customHeight="1">
      <c r="A307" s="43">
        <v>373</v>
      </c>
      <c r="B307" s="56" t="s">
        <v>22</v>
      </c>
      <c r="C307" s="56" t="s">
        <v>12</v>
      </c>
      <c r="D307" s="55" t="s">
        <v>13</v>
      </c>
      <c r="E307" s="95" t="s">
        <v>25</v>
      </c>
      <c r="F307" s="96" t="s">
        <v>3</v>
      </c>
      <c r="G307" s="55">
        <v>300029</v>
      </c>
      <c r="H307" s="55" t="s">
        <v>26</v>
      </c>
      <c r="I307" s="56" t="s">
        <v>4</v>
      </c>
      <c r="J307" s="97" t="s">
        <v>17</v>
      </c>
      <c r="K307" s="43" t="s">
        <v>134</v>
      </c>
      <c r="L307" s="55"/>
      <c r="M307" s="98"/>
      <c r="N307" s="49"/>
      <c r="O307" s="49"/>
      <c r="P307" s="51"/>
      <c r="Q307" s="51" t="s">
        <v>137</v>
      </c>
      <c r="R307" s="51"/>
      <c r="S307" s="72"/>
      <c r="T307" s="51"/>
      <c r="U307" s="51" t="s">
        <v>137</v>
      </c>
      <c r="V307" s="49"/>
      <c r="W307" s="49"/>
      <c r="X307" s="52" t="s">
        <v>141</v>
      </c>
      <c r="Y307" s="51"/>
      <c r="Z307" s="51"/>
      <c r="AA307" s="51" t="s">
        <v>132</v>
      </c>
    </row>
    <row r="308" spans="1:27" ht="12.95" customHeight="1">
      <c r="A308" s="43">
        <v>393</v>
      </c>
      <c r="B308" s="56" t="s">
        <v>22</v>
      </c>
      <c r="C308" s="56" t="s">
        <v>12</v>
      </c>
      <c r="D308" s="55" t="s">
        <v>28</v>
      </c>
      <c r="E308" s="95" t="s">
        <v>25</v>
      </c>
      <c r="F308" s="96" t="s">
        <v>28</v>
      </c>
      <c r="G308" s="55">
        <v>274078</v>
      </c>
      <c r="H308" s="55" t="s">
        <v>22</v>
      </c>
      <c r="I308" s="56" t="s">
        <v>4</v>
      </c>
      <c r="J308" s="97" t="s">
        <v>8</v>
      </c>
      <c r="K308" s="43" t="s">
        <v>134</v>
      </c>
      <c r="L308" s="55"/>
      <c r="M308" s="98"/>
      <c r="N308" s="49"/>
      <c r="O308" s="49"/>
      <c r="P308" s="51"/>
      <c r="Q308" s="51" t="s">
        <v>141</v>
      </c>
      <c r="R308" s="51"/>
      <c r="S308" s="72"/>
      <c r="T308" s="51"/>
      <c r="U308" s="51" t="s">
        <v>141</v>
      </c>
      <c r="V308" s="49"/>
      <c r="W308" s="49"/>
      <c r="X308" s="52"/>
      <c r="Y308" s="51"/>
      <c r="Z308" s="51"/>
      <c r="AA308" s="51" t="s">
        <v>138</v>
      </c>
    </row>
    <row r="309" spans="1:27" ht="12.95" customHeight="1">
      <c r="A309" s="43">
        <v>182</v>
      </c>
      <c r="B309" s="56" t="s">
        <v>22</v>
      </c>
      <c r="C309" s="56" t="s">
        <v>12</v>
      </c>
      <c r="D309" s="55" t="s">
        <v>28</v>
      </c>
      <c r="E309" s="95" t="s">
        <v>25</v>
      </c>
      <c r="F309" s="96" t="s">
        <v>33</v>
      </c>
      <c r="G309" s="55">
        <v>85434575</v>
      </c>
      <c r="H309" s="55" t="s">
        <v>27</v>
      </c>
      <c r="I309" s="56" t="s">
        <v>4</v>
      </c>
      <c r="J309" s="97" t="s">
        <v>29</v>
      </c>
      <c r="K309" s="43" t="s">
        <v>134</v>
      </c>
      <c r="L309" s="55"/>
      <c r="M309" s="98"/>
      <c r="N309" s="49"/>
      <c r="O309" s="49"/>
      <c r="P309" s="51"/>
      <c r="Q309" s="51" t="s">
        <v>141</v>
      </c>
      <c r="R309" s="51"/>
      <c r="S309" s="72"/>
      <c r="T309" s="51"/>
      <c r="U309" s="51" t="s">
        <v>141</v>
      </c>
      <c r="V309" s="49"/>
      <c r="W309" s="49"/>
      <c r="X309" s="52"/>
      <c r="Y309" s="51"/>
      <c r="Z309" s="51"/>
      <c r="AA309" s="51" t="s">
        <v>127</v>
      </c>
    </row>
    <row r="310" spans="1:27" ht="12.95" customHeight="1">
      <c r="A310" s="43">
        <v>198</v>
      </c>
      <c r="B310" s="56" t="s">
        <v>22</v>
      </c>
      <c r="C310" s="56" t="s">
        <v>12</v>
      </c>
      <c r="D310" s="62" t="s">
        <v>13</v>
      </c>
      <c r="E310" s="44" t="s">
        <v>65</v>
      </c>
      <c r="F310" s="96" t="s">
        <v>26</v>
      </c>
      <c r="G310" s="55">
        <v>275387</v>
      </c>
      <c r="H310" s="43" t="s">
        <v>26</v>
      </c>
      <c r="I310" s="56" t="s">
        <v>29</v>
      </c>
      <c r="J310" s="97" t="s">
        <v>29</v>
      </c>
      <c r="K310" s="43" t="s">
        <v>134</v>
      </c>
      <c r="L310" s="55"/>
      <c r="M310" s="98"/>
      <c r="N310" s="49"/>
      <c r="O310" s="49"/>
      <c r="P310" s="51"/>
      <c r="Q310" s="51" t="s">
        <v>138</v>
      </c>
      <c r="R310" s="51"/>
      <c r="S310" s="72"/>
      <c r="T310" s="51"/>
      <c r="U310" s="51" t="s">
        <v>138</v>
      </c>
      <c r="V310" s="49"/>
      <c r="W310" s="49"/>
      <c r="X310" s="52"/>
      <c r="Y310" s="51"/>
      <c r="Z310" s="51"/>
      <c r="AA310" s="51" t="s">
        <v>139</v>
      </c>
    </row>
    <row r="311" spans="1:27" ht="12.95" customHeight="1">
      <c r="A311" s="43">
        <v>307</v>
      </c>
      <c r="B311" s="56" t="s">
        <v>22</v>
      </c>
      <c r="C311" s="56" t="s">
        <v>12</v>
      </c>
      <c r="D311" s="55" t="s">
        <v>28</v>
      </c>
      <c r="E311" s="95" t="s">
        <v>25</v>
      </c>
      <c r="F311" s="96" t="s">
        <v>4</v>
      </c>
      <c r="G311" s="55">
        <v>206935</v>
      </c>
      <c r="H311" s="55" t="s">
        <v>26</v>
      </c>
      <c r="I311" s="56" t="s">
        <v>4</v>
      </c>
      <c r="J311" s="97" t="s">
        <v>18</v>
      </c>
      <c r="K311" s="43" t="s">
        <v>134</v>
      </c>
      <c r="L311" s="55"/>
      <c r="M311" s="98"/>
      <c r="N311" s="49"/>
      <c r="O311" s="49"/>
      <c r="P311" s="51"/>
      <c r="Q311" s="51" t="s">
        <v>141</v>
      </c>
      <c r="R311" s="51"/>
      <c r="S311" s="72"/>
      <c r="T311" s="51"/>
      <c r="U311" s="51" t="s">
        <v>141</v>
      </c>
      <c r="V311" s="49"/>
      <c r="W311" s="49"/>
      <c r="X311" s="52"/>
      <c r="Y311" s="51"/>
      <c r="Z311" s="51"/>
      <c r="AA311" s="51" t="s">
        <v>136</v>
      </c>
    </row>
    <row r="312" spans="1:27" ht="12.95" customHeight="1">
      <c r="A312" s="43">
        <v>302</v>
      </c>
      <c r="B312" s="56" t="s">
        <v>22</v>
      </c>
      <c r="C312" s="56" t="s">
        <v>12</v>
      </c>
      <c r="D312" s="55" t="s">
        <v>28</v>
      </c>
      <c r="E312" s="95" t="s">
        <v>25</v>
      </c>
      <c r="F312" s="96" t="s">
        <v>20</v>
      </c>
      <c r="G312" s="55">
        <v>304032</v>
      </c>
      <c r="H312" s="55" t="s">
        <v>26</v>
      </c>
      <c r="I312" s="56" t="s">
        <v>4</v>
      </c>
      <c r="J312" s="97" t="s">
        <v>21</v>
      </c>
      <c r="K312" s="43" t="s">
        <v>134</v>
      </c>
      <c r="L312" s="55"/>
      <c r="M312" s="98"/>
      <c r="N312" s="49"/>
      <c r="O312" s="49"/>
      <c r="P312" s="51"/>
      <c r="Q312" s="51" t="s">
        <v>137</v>
      </c>
      <c r="R312" s="51"/>
      <c r="S312" s="72"/>
      <c r="T312" s="51"/>
      <c r="U312" s="51" t="s">
        <v>137</v>
      </c>
      <c r="V312" s="49"/>
      <c r="W312" s="49"/>
      <c r="X312" s="52" t="s">
        <v>141</v>
      </c>
      <c r="Y312" s="51"/>
      <c r="Z312" s="51"/>
      <c r="AA312" s="51" t="s">
        <v>127</v>
      </c>
    </row>
    <row r="313" spans="1:27" ht="12.95" customHeight="1">
      <c r="A313" s="43">
        <v>449</v>
      </c>
      <c r="B313" s="56" t="s">
        <v>22</v>
      </c>
      <c r="C313" s="56" t="s">
        <v>27</v>
      </c>
      <c r="D313" s="55" t="s">
        <v>30</v>
      </c>
      <c r="E313" s="95" t="s">
        <v>13</v>
      </c>
      <c r="F313" s="96" t="s">
        <v>42</v>
      </c>
      <c r="G313" s="55" t="s">
        <v>142</v>
      </c>
      <c r="H313" s="55" t="s">
        <v>9</v>
      </c>
      <c r="I313" s="56" t="s">
        <v>4</v>
      </c>
      <c r="J313" s="97" t="s">
        <v>5</v>
      </c>
      <c r="K313" s="43" t="s">
        <v>140</v>
      </c>
      <c r="L313" s="55" t="s">
        <v>140</v>
      </c>
      <c r="M313" s="98" t="s">
        <v>126</v>
      </c>
      <c r="N313" s="49">
        <v>46250</v>
      </c>
      <c r="O313" s="49">
        <v>46250</v>
      </c>
      <c r="P313" s="51"/>
      <c r="Q313" s="51" t="s">
        <v>132</v>
      </c>
      <c r="R313" s="51" t="s">
        <v>138</v>
      </c>
      <c r="S313" s="72">
        <f ca="1">TODAY()-N313</f>
        <v>-52</v>
      </c>
      <c r="T313" s="50" t="s">
        <v>139</v>
      </c>
      <c r="U313" s="46" t="s">
        <v>137</v>
      </c>
      <c r="V313" s="49"/>
      <c r="W313" s="49"/>
      <c r="X313" s="52"/>
      <c r="Y313" s="51" t="s">
        <v>139</v>
      </c>
      <c r="Z313" s="51"/>
      <c r="AA313" s="51" t="s">
        <v>123</v>
      </c>
    </row>
    <row r="314" spans="1:27" ht="12.95" customHeight="1">
      <c r="A314" s="43">
        <v>432</v>
      </c>
      <c r="B314" s="56" t="s">
        <v>22</v>
      </c>
      <c r="C314" s="56" t="s">
        <v>27</v>
      </c>
      <c r="D314" s="55" t="s">
        <v>30</v>
      </c>
      <c r="E314" s="95" t="s">
        <v>13</v>
      </c>
      <c r="F314" s="96" t="s">
        <v>42</v>
      </c>
      <c r="G314" s="55" t="s">
        <v>142</v>
      </c>
      <c r="H314" s="55" t="s">
        <v>9</v>
      </c>
      <c r="I314" s="56" t="s">
        <v>4</v>
      </c>
      <c r="J314" s="97" t="s">
        <v>5</v>
      </c>
      <c r="K314" s="43" t="s">
        <v>140</v>
      </c>
      <c r="L314" s="55" t="s">
        <v>140</v>
      </c>
      <c r="M314" s="98" t="s">
        <v>126</v>
      </c>
      <c r="N314" s="49">
        <v>46250</v>
      </c>
      <c r="O314" s="49">
        <v>46250</v>
      </c>
      <c r="P314" s="51"/>
      <c r="Q314" s="51" t="s">
        <v>132</v>
      </c>
      <c r="R314" s="51" t="s">
        <v>138</v>
      </c>
      <c r="S314" s="72">
        <f ca="1">TODAY()-N314</f>
        <v>-52</v>
      </c>
      <c r="T314" s="50" t="s">
        <v>139</v>
      </c>
      <c r="U314" s="46" t="s">
        <v>137</v>
      </c>
      <c r="V314" s="49"/>
      <c r="W314" s="49"/>
      <c r="X314" s="52"/>
      <c r="Y314" s="51" t="s">
        <v>135</v>
      </c>
      <c r="Z314" s="51"/>
      <c r="AA314" s="51" t="s">
        <v>123</v>
      </c>
    </row>
    <row r="315" spans="1:27" ht="12.95" customHeight="1">
      <c r="A315" s="43">
        <v>349</v>
      </c>
      <c r="B315" s="56" t="s">
        <v>22</v>
      </c>
      <c r="C315" s="56" t="s">
        <v>12</v>
      </c>
      <c r="D315" s="43" t="s">
        <v>19</v>
      </c>
      <c r="E315" s="95" t="s">
        <v>25</v>
      </c>
      <c r="F315" s="96" t="s">
        <v>23</v>
      </c>
      <c r="G315" s="55">
        <v>276587</v>
      </c>
      <c r="H315" s="55" t="s">
        <v>9</v>
      </c>
      <c r="I315" s="56" t="s">
        <v>4</v>
      </c>
      <c r="J315" s="97" t="s">
        <v>21</v>
      </c>
      <c r="K315" s="43" t="s">
        <v>134</v>
      </c>
      <c r="L315" s="55"/>
      <c r="M315" s="98"/>
      <c r="N315" s="49"/>
      <c r="O315" s="49"/>
      <c r="P315" s="51"/>
      <c r="Q315" s="51" t="s">
        <v>137</v>
      </c>
      <c r="R315" s="51"/>
      <c r="S315" s="72"/>
      <c r="T315" s="51"/>
      <c r="U315" s="51" t="s">
        <v>137</v>
      </c>
      <c r="V315" s="49"/>
      <c r="W315" s="49"/>
      <c r="X315" s="52" t="s">
        <v>136</v>
      </c>
      <c r="Y315" s="51"/>
      <c r="Z315" s="51"/>
      <c r="AA315" s="51" t="s">
        <v>126</v>
      </c>
    </row>
    <row r="316" spans="1:27" ht="12.95" customHeight="1">
      <c r="A316" s="43">
        <v>337</v>
      </c>
      <c r="B316" s="56" t="s">
        <v>22</v>
      </c>
      <c r="C316" s="56" t="s">
        <v>12</v>
      </c>
      <c r="D316" s="43" t="s">
        <v>19</v>
      </c>
      <c r="E316" s="95" t="s">
        <v>25</v>
      </c>
      <c r="F316" s="96" t="s">
        <v>26</v>
      </c>
      <c r="G316" s="55">
        <v>382138</v>
      </c>
      <c r="H316" s="55" t="s">
        <v>17</v>
      </c>
      <c r="I316" s="56" t="s">
        <v>6</v>
      </c>
      <c r="J316" s="97" t="s">
        <v>6</v>
      </c>
      <c r="K316" s="43" t="s">
        <v>141</v>
      </c>
      <c r="L316" s="55" t="s">
        <v>140</v>
      </c>
      <c r="M316" s="98" t="s">
        <v>139</v>
      </c>
      <c r="N316" s="49"/>
      <c r="O316" s="49"/>
      <c r="P316" s="51"/>
      <c r="Q316" s="51" t="s">
        <v>138</v>
      </c>
      <c r="R316" s="51"/>
      <c r="S316" s="72"/>
      <c r="T316" s="51"/>
      <c r="U316" s="51" t="s">
        <v>138</v>
      </c>
      <c r="V316" s="49"/>
      <c r="W316" s="49"/>
      <c r="X316" s="52"/>
      <c r="Y316" s="51"/>
      <c r="Z316" s="51"/>
      <c r="AA316" s="51" t="s">
        <v>126</v>
      </c>
    </row>
    <row r="317" spans="1:27" ht="12.95" customHeight="1">
      <c r="A317" s="43">
        <v>310</v>
      </c>
      <c r="B317" s="56" t="s">
        <v>22</v>
      </c>
      <c r="C317" s="56" t="s">
        <v>12</v>
      </c>
      <c r="D317" s="55" t="s">
        <v>28</v>
      </c>
      <c r="E317" s="95" t="s">
        <v>25</v>
      </c>
      <c r="F317" s="96" t="s">
        <v>3</v>
      </c>
      <c r="G317" s="55">
        <v>74019493</v>
      </c>
      <c r="H317" s="55" t="s">
        <v>27</v>
      </c>
      <c r="I317" s="56" t="s">
        <v>6</v>
      </c>
      <c r="J317" s="97" t="s">
        <v>6</v>
      </c>
      <c r="K317" s="43" t="s">
        <v>141</v>
      </c>
      <c r="L317" s="55" t="s">
        <v>140</v>
      </c>
      <c r="M317" s="98" t="s">
        <v>139</v>
      </c>
      <c r="N317" s="49"/>
      <c r="O317" s="49"/>
      <c r="P317" s="51"/>
      <c r="Q317" s="51" t="s">
        <v>138</v>
      </c>
      <c r="R317" s="51"/>
      <c r="S317" s="72"/>
      <c r="T317" s="51"/>
      <c r="U317" s="51" t="s">
        <v>138</v>
      </c>
      <c r="V317" s="49"/>
      <c r="W317" s="49"/>
      <c r="X317" s="52"/>
      <c r="Y317" s="51"/>
      <c r="Z317" s="51"/>
      <c r="AA317" s="51" t="s">
        <v>136</v>
      </c>
    </row>
    <row r="318" spans="1:27" ht="12.95" customHeight="1">
      <c r="A318" s="43">
        <v>190</v>
      </c>
      <c r="B318" s="56" t="s">
        <v>22</v>
      </c>
      <c r="C318" s="56" t="s">
        <v>12</v>
      </c>
      <c r="D318" s="43" t="s">
        <v>19</v>
      </c>
      <c r="E318" s="95" t="s">
        <v>25</v>
      </c>
      <c r="F318" s="96" t="s">
        <v>29</v>
      </c>
      <c r="G318" s="55">
        <v>513161</v>
      </c>
      <c r="H318" s="91" t="s">
        <v>20</v>
      </c>
      <c r="I318" s="56" t="s">
        <v>6</v>
      </c>
      <c r="J318" s="97" t="s">
        <v>6</v>
      </c>
      <c r="K318" s="43" t="s">
        <v>141</v>
      </c>
      <c r="L318" s="55" t="s">
        <v>140</v>
      </c>
      <c r="M318" s="98" t="s">
        <v>139</v>
      </c>
      <c r="N318" s="49"/>
      <c r="O318" s="49"/>
      <c r="P318" s="51"/>
      <c r="Q318" s="51" t="s">
        <v>138</v>
      </c>
      <c r="R318" s="51"/>
      <c r="S318" s="72"/>
      <c r="T318" s="51"/>
      <c r="U318" s="51" t="s">
        <v>138</v>
      </c>
      <c r="V318" s="49"/>
      <c r="W318" s="49"/>
      <c r="X318" s="52"/>
      <c r="Y318" s="51"/>
      <c r="Z318" s="51"/>
      <c r="AA318" s="51" t="s">
        <v>126</v>
      </c>
    </row>
    <row r="319" spans="1:27" ht="12.95" customHeight="1">
      <c r="A319" s="43">
        <v>308</v>
      </c>
      <c r="B319" s="56" t="s">
        <v>22</v>
      </c>
      <c r="C319" s="56" t="s">
        <v>12</v>
      </c>
      <c r="D319" s="62" t="s">
        <v>13</v>
      </c>
      <c r="E319" s="44" t="s">
        <v>65</v>
      </c>
      <c r="F319" s="96" t="s">
        <v>25</v>
      </c>
      <c r="G319" s="55">
        <v>339538</v>
      </c>
      <c r="H319" s="55" t="s">
        <v>26</v>
      </c>
      <c r="I319" s="56" t="s">
        <v>4</v>
      </c>
      <c r="J319" s="97" t="s">
        <v>21</v>
      </c>
      <c r="K319" s="43" t="s">
        <v>134</v>
      </c>
      <c r="L319" s="55"/>
      <c r="M319" s="98"/>
      <c r="N319" s="49"/>
      <c r="O319" s="49"/>
      <c r="P319" s="51"/>
      <c r="Q319" s="51" t="s">
        <v>138</v>
      </c>
      <c r="R319" s="51"/>
      <c r="S319" s="72"/>
      <c r="T319" s="51"/>
      <c r="U319" s="51" t="s">
        <v>138</v>
      </c>
      <c r="V319" s="49"/>
      <c r="W319" s="49"/>
      <c r="X319" s="52"/>
      <c r="Y319" s="51"/>
      <c r="Z319" s="51"/>
      <c r="AA319" s="51" t="s">
        <v>139</v>
      </c>
    </row>
    <row r="320" spans="1:27" ht="12.95" customHeight="1">
      <c r="A320" s="43">
        <v>453</v>
      </c>
      <c r="B320" s="56" t="s">
        <v>22</v>
      </c>
      <c r="C320" s="56" t="s">
        <v>12</v>
      </c>
      <c r="D320" s="62" t="s">
        <v>13</v>
      </c>
      <c r="E320" s="44" t="s">
        <v>65</v>
      </c>
      <c r="F320" s="96" t="s">
        <v>3</v>
      </c>
      <c r="G320" s="55">
        <v>487844</v>
      </c>
      <c r="H320" s="43" t="s">
        <v>26</v>
      </c>
      <c r="I320" s="56" t="s">
        <v>4</v>
      </c>
      <c r="J320" s="97" t="s">
        <v>24</v>
      </c>
      <c r="K320" s="43" t="s">
        <v>134</v>
      </c>
      <c r="L320" s="55"/>
      <c r="M320" s="98"/>
      <c r="N320" s="49"/>
      <c r="O320" s="49"/>
      <c r="P320" s="51"/>
      <c r="Q320" s="51" t="s">
        <v>138</v>
      </c>
      <c r="R320" s="51"/>
      <c r="S320" s="72"/>
      <c r="T320" s="51"/>
      <c r="U320" s="51" t="s">
        <v>138</v>
      </c>
      <c r="V320" s="49"/>
      <c r="W320" s="49"/>
      <c r="X320" s="52"/>
      <c r="Y320" s="51"/>
      <c r="Z320" s="51"/>
      <c r="AA320" s="51" t="s">
        <v>139</v>
      </c>
    </row>
    <row r="321" spans="1:27" ht="12.95" customHeight="1">
      <c r="A321" s="43">
        <v>454</v>
      </c>
      <c r="B321" s="56" t="s">
        <v>22</v>
      </c>
      <c r="C321" s="56" t="s">
        <v>12</v>
      </c>
      <c r="D321" s="62" t="s">
        <v>13</v>
      </c>
      <c r="E321" s="44" t="s">
        <v>65</v>
      </c>
      <c r="F321" s="96" t="s">
        <v>14</v>
      </c>
      <c r="G321" s="55">
        <v>550292</v>
      </c>
      <c r="H321" s="55" t="s">
        <v>26</v>
      </c>
      <c r="I321" s="56" t="s">
        <v>6</v>
      </c>
      <c r="J321" s="97" t="s">
        <v>3</v>
      </c>
      <c r="K321" s="43" t="s">
        <v>134</v>
      </c>
      <c r="L321" s="55"/>
      <c r="M321" s="98"/>
      <c r="N321" s="49"/>
      <c r="O321" s="49"/>
      <c r="P321" s="51"/>
      <c r="Q321" s="51" t="s">
        <v>138</v>
      </c>
      <c r="R321" s="51"/>
      <c r="S321" s="72"/>
      <c r="T321" s="51"/>
      <c r="U321" s="51" t="s">
        <v>138</v>
      </c>
      <c r="V321" s="49"/>
      <c r="W321" s="49"/>
      <c r="X321" s="52"/>
      <c r="Y321" s="51"/>
      <c r="Z321" s="51"/>
      <c r="AA321" s="51" t="s">
        <v>139</v>
      </c>
    </row>
    <row r="322" spans="1:27" ht="12.95" customHeight="1">
      <c r="A322" s="43">
        <v>177</v>
      </c>
      <c r="B322" s="56" t="s">
        <v>22</v>
      </c>
      <c r="C322" s="56" t="s">
        <v>12</v>
      </c>
      <c r="D322" s="62" t="s">
        <v>13</v>
      </c>
      <c r="E322" s="44" t="s">
        <v>65</v>
      </c>
      <c r="F322" s="96" t="s">
        <v>19</v>
      </c>
      <c r="G322" s="55">
        <v>437112</v>
      </c>
      <c r="H322" s="55" t="s">
        <v>9</v>
      </c>
      <c r="I322" s="56" t="s">
        <v>4</v>
      </c>
      <c r="J322" s="97" t="s">
        <v>18</v>
      </c>
      <c r="K322" s="43" t="s">
        <v>134</v>
      </c>
      <c r="L322" s="55"/>
      <c r="M322" s="98"/>
      <c r="N322" s="49"/>
      <c r="O322" s="49"/>
      <c r="P322" s="51"/>
      <c r="Q322" s="51" t="s">
        <v>137</v>
      </c>
      <c r="R322" s="51"/>
      <c r="S322" s="72"/>
      <c r="T322" s="51"/>
      <c r="U322" s="51" t="s">
        <v>137</v>
      </c>
      <c r="V322" s="49"/>
      <c r="W322" s="49"/>
      <c r="X322" s="52" t="s">
        <v>141</v>
      </c>
      <c r="Y322" s="51"/>
      <c r="Z322" s="51"/>
      <c r="AA322" s="51" t="s">
        <v>139</v>
      </c>
    </row>
    <row r="323" spans="1:27" ht="12.95" customHeight="1">
      <c r="A323" s="43">
        <v>200</v>
      </c>
      <c r="B323" s="56" t="s">
        <v>22</v>
      </c>
      <c r="C323" s="56" t="s">
        <v>12</v>
      </c>
      <c r="D323" s="62" t="s">
        <v>13</v>
      </c>
      <c r="E323" s="44" t="s">
        <v>65</v>
      </c>
      <c r="F323" s="96" t="s">
        <v>7</v>
      </c>
      <c r="G323" s="55">
        <v>273196</v>
      </c>
      <c r="H323" s="43" t="s">
        <v>26</v>
      </c>
      <c r="I323" s="56" t="s">
        <v>4</v>
      </c>
      <c r="J323" s="97" t="s">
        <v>18</v>
      </c>
      <c r="K323" s="43" t="s">
        <v>134</v>
      </c>
      <c r="L323" s="55"/>
      <c r="M323" s="98"/>
      <c r="N323" s="49"/>
      <c r="O323" s="49"/>
      <c r="P323" s="51"/>
      <c r="Q323" s="51" t="s">
        <v>138</v>
      </c>
      <c r="R323" s="51"/>
      <c r="S323" s="72"/>
      <c r="T323" s="51"/>
      <c r="U323" s="51" t="s">
        <v>138</v>
      </c>
      <c r="V323" s="49"/>
      <c r="W323" s="49"/>
      <c r="X323" s="52"/>
      <c r="Y323" s="51"/>
      <c r="Z323" s="51"/>
      <c r="AA323" s="51" t="s">
        <v>139</v>
      </c>
    </row>
    <row r="324" spans="1:27" ht="12.95" customHeight="1">
      <c r="A324" s="43">
        <v>417</v>
      </c>
      <c r="B324" s="56" t="s">
        <v>22</v>
      </c>
      <c r="C324" s="56" t="s">
        <v>12</v>
      </c>
      <c r="D324" s="62" t="s">
        <v>13</v>
      </c>
      <c r="E324" s="44" t="s">
        <v>65</v>
      </c>
      <c r="F324" s="96" t="s">
        <v>41</v>
      </c>
      <c r="G324" s="55">
        <v>546399</v>
      </c>
      <c r="H324" s="55" t="s">
        <v>17</v>
      </c>
      <c r="I324" s="56" t="s">
        <v>21</v>
      </c>
      <c r="J324" s="97" t="s">
        <v>21</v>
      </c>
      <c r="K324" s="43" t="s">
        <v>134</v>
      </c>
      <c r="L324" s="55"/>
      <c r="M324" s="98"/>
      <c r="N324" s="49"/>
      <c r="O324" s="49"/>
      <c r="P324" s="51"/>
      <c r="Q324" s="51" t="s">
        <v>138</v>
      </c>
      <c r="R324" s="51"/>
      <c r="S324" s="72"/>
      <c r="T324" s="51"/>
      <c r="U324" s="51" t="s">
        <v>138</v>
      </c>
      <c r="V324" s="49"/>
      <c r="W324" s="49"/>
      <c r="X324" s="52"/>
      <c r="Y324" s="51"/>
      <c r="Z324" s="51"/>
      <c r="AA324" s="51" t="s">
        <v>139</v>
      </c>
    </row>
    <row r="325" spans="1:27" ht="12.95" customHeight="1">
      <c r="A325" s="43">
        <v>467</v>
      </c>
      <c r="B325" s="56" t="s">
        <v>22</v>
      </c>
      <c r="C325" s="56" t="s">
        <v>12</v>
      </c>
      <c r="D325" s="62" t="s">
        <v>13</v>
      </c>
      <c r="E325" s="44" t="s">
        <v>65</v>
      </c>
      <c r="F325" s="96" t="s">
        <v>42</v>
      </c>
      <c r="G325" s="55">
        <v>487858</v>
      </c>
      <c r="H325" s="55" t="s">
        <v>26</v>
      </c>
      <c r="I325" s="56" t="s">
        <v>21</v>
      </c>
      <c r="J325" s="97" t="s">
        <v>21</v>
      </c>
      <c r="K325" s="43" t="s">
        <v>134</v>
      </c>
      <c r="L325" s="55"/>
      <c r="M325" s="98"/>
      <c r="N325" s="49"/>
      <c r="O325" s="49"/>
      <c r="P325" s="51"/>
      <c r="Q325" s="51" t="s">
        <v>138</v>
      </c>
      <c r="R325" s="51"/>
      <c r="S325" s="72"/>
      <c r="T325" s="51"/>
      <c r="U325" s="51" t="s">
        <v>138</v>
      </c>
      <c r="V325" s="49"/>
      <c r="W325" s="49"/>
      <c r="X325" s="52"/>
      <c r="Y325" s="51"/>
      <c r="Z325" s="51"/>
      <c r="AA325" s="51" t="s">
        <v>139</v>
      </c>
    </row>
    <row r="326" spans="1:27" ht="12.95" customHeight="1">
      <c r="A326" s="43">
        <v>406</v>
      </c>
      <c r="B326" s="56" t="s">
        <v>22</v>
      </c>
      <c r="C326" s="56" t="s">
        <v>12</v>
      </c>
      <c r="D326" s="62" t="s">
        <v>13</v>
      </c>
      <c r="E326" s="44" t="s">
        <v>65</v>
      </c>
      <c r="F326" s="96" t="s">
        <v>42</v>
      </c>
      <c r="G326" s="55">
        <v>542499</v>
      </c>
      <c r="H326" s="55" t="s">
        <v>26</v>
      </c>
      <c r="I326" s="56" t="s">
        <v>21</v>
      </c>
      <c r="J326" s="97" t="s">
        <v>21</v>
      </c>
      <c r="K326" s="43" t="s">
        <v>134</v>
      </c>
      <c r="L326" s="55"/>
      <c r="M326" s="98"/>
      <c r="N326" s="49"/>
      <c r="O326" s="49"/>
      <c r="P326" s="51"/>
      <c r="Q326" s="51" t="s">
        <v>138</v>
      </c>
      <c r="R326" s="51"/>
      <c r="S326" s="72"/>
      <c r="T326" s="51"/>
      <c r="U326" s="51" t="s">
        <v>138</v>
      </c>
      <c r="V326" s="49"/>
      <c r="W326" s="49"/>
      <c r="X326" s="52"/>
      <c r="Y326" s="51"/>
      <c r="Z326" s="51"/>
      <c r="AA326" s="51" t="s">
        <v>139</v>
      </c>
    </row>
    <row r="327" spans="1:27" ht="12.95" customHeight="1">
      <c r="A327" s="43">
        <v>222</v>
      </c>
      <c r="B327" s="56" t="s">
        <v>22</v>
      </c>
      <c r="C327" s="56" t="s">
        <v>12</v>
      </c>
      <c r="D327" s="62" t="s">
        <v>13</v>
      </c>
      <c r="E327" s="44" t="s">
        <v>65</v>
      </c>
      <c r="F327" s="96" t="s">
        <v>14</v>
      </c>
      <c r="G327" s="55">
        <v>347358</v>
      </c>
      <c r="H327" s="55" t="s">
        <v>9</v>
      </c>
      <c r="I327" s="56" t="s">
        <v>4</v>
      </c>
      <c r="J327" s="97" t="s">
        <v>29</v>
      </c>
      <c r="K327" s="43" t="s">
        <v>134</v>
      </c>
      <c r="L327" s="55"/>
      <c r="M327" s="98"/>
      <c r="N327" s="49"/>
      <c r="O327" s="49"/>
      <c r="P327" s="51"/>
      <c r="Q327" s="51" t="s">
        <v>138</v>
      </c>
      <c r="R327" s="51"/>
      <c r="S327" s="72"/>
      <c r="T327" s="51"/>
      <c r="U327" s="51" t="s">
        <v>138</v>
      </c>
      <c r="V327" s="49"/>
      <c r="W327" s="49"/>
      <c r="X327" s="52"/>
      <c r="Y327" s="51"/>
      <c r="Z327" s="51"/>
      <c r="AA327" s="51" t="s">
        <v>139</v>
      </c>
    </row>
    <row r="328" spans="1:27" ht="12.95" customHeight="1">
      <c r="A328" s="43">
        <v>379</v>
      </c>
      <c r="B328" s="56" t="s">
        <v>22</v>
      </c>
      <c r="C328" s="56" t="s">
        <v>12</v>
      </c>
      <c r="D328" s="62" t="s">
        <v>13</v>
      </c>
      <c r="E328" s="44" t="s">
        <v>65</v>
      </c>
      <c r="F328" s="96" t="s">
        <v>3</v>
      </c>
      <c r="G328" s="55">
        <v>335650</v>
      </c>
      <c r="H328" s="55" t="s">
        <v>9</v>
      </c>
      <c r="I328" s="56" t="s">
        <v>4</v>
      </c>
      <c r="J328" s="97" t="s">
        <v>4</v>
      </c>
      <c r="K328" s="43" t="s">
        <v>134</v>
      </c>
      <c r="L328" s="55"/>
      <c r="M328" s="98"/>
      <c r="N328" s="49"/>
      <c r="O328" s="49"/>
      <c r="P328" s="51"/>
      <c r="Q328" s="51" t="s">
        <v>137</v>
      </c>
      <c r="R328" s="51"/>
      <c r="S328" s="72"/>
      <c r="T328" s="51"/>
      <c r="U328" s="51" t="s">
        <v>137</v>
      </c>
      <c r="V328" s="49"/>
      <c r="W328" s="49"/>
      <c r="X328" s="52" t="s">
        <v>123</v>
      </c>
      <c r="Y328" s="51"/>
      <c r="Z328" s="51"/>
      <c r="AA328" s="51" t="s">
        <v>139</v>
      </c>
    </row>
    <row r="329" spans="1:27" ht="12.95" customHeight="1">
      <c r="A329" s="43">
        <v>216</v>
      </c>
      <c r="B329" s="56" t="s">
        <v>22</v>
      </c>
      <c r="C329" s="56" t="s">
        <v>12</v>
      </c>
      <c r="D329" s="62" t="s">
        <v>13</v>
      </c>
      <c r="E329" s="44" t="s">
        <v>65</v>
      </c>
      <c r="F329" s="96" t="s">
        <v>18</v>
      </c>
      <c r="G329" s="55">
        <v>437127</v>
      </c>
      <c r="H329" s="55" t="s">
        <v>9</v>
      </c>
      <c r="I329" s="56" t="s">
        <v>4</v>
      </c>
      <c r="J329" s="97" t="s">
        <v>33</v>
      </c>
      <c r="K329" s="43" t="s">
        <v>134</v>
      </c>
      <c r="L329" s="55"/>
      <c r="M329" s="98"/>
      <c r="N329" s="49"/>
      <c r="O329" s="49"/>
      <c r="P329" s="51"/>
      <c r="Q329" s="51" t="s">
        <v>137</v>
      </c>
      <c r="R329" s="51"/>
      <c r="S329" s="72"/>
      <c r="T329" s="51"/>
      <c r="U329" s="51" t="s">
        <v>137</v>
      </c>
      <c r="V329" s="49"/>
      <c r="W329" s="49"/>
      <c r="X329" s="52" t="s">
        <v>133</v>
      </c>
      <c r="Y329" s="51"/>
      <c r="Z329" s="51"/>
      <c r="AA329" s="51" t="s">
        <v>139</v>
      </c>
    </row>
    <row r="330" spans="1:27" ht="12.95" customHeight="1">
      <c r="A330" s="43">
        <v>234</v>
      </c>
      <c r="B330" s="56" t="s">
        <v>22</v>
      </c>
      <c r="C330" s="56" t="s">
        <v>12</v>
      </c>
      <c r="D330" s="55" t="s">
        <v>28</v>
      </c>
      <c r="E330" s="95" t="s">
        <v>43</v>
      </c>
      <c r="F330" s="96" t="s">
        <v>25</v>
      </c>
      <c r="G330" s="55">
        <v>168477</v>
      </c>
      <c r="H330" s="55" t="s">
        <v>17</v>
      </c>
      <c r="I330" s="56" t="s">
        <v>4</v>
      </c>
      <c r="J330" s="97" t="s">
        <v>21</v>
      </c>
      <c r="K330" s="43" t="s">
        <v>134</v>
      </c>
      <c r="L330" s="55" t="s">
        <v>134</v>
      </c>
      <c r="M330" s="98" t="s">
        <v>131</v>
      </c>
      <c r="N330" s="49">
        <v>46226</v>
      </c>
      <c r="O330" s="49">
        <v>46226</v>
      </c>
      <c r="P330" s="51"/>
      <c r="Q330" s="51" t="s">
        <v>141</v>
      </c>
      <c r="R330" s="51" t="s">
        <v>141</v>
      </c>
      <c r="S330" s="72">
        <f ca="1">TODAY()-N330</f>
        <v>-28</v>
      </c>
      <c r="T330" s="50" t="s">
        <v>21</v>
      </c>
      <c r="U330" s="46" t="s">
        <v>137</v>
      </c>
      <c r="V330" s="49"/>
      <c r="W330" s="49"/>
      <c r="X330" s="52"/>
      <c r="Y330" s="51"/>
      <c r="Z330" s="51"/>
      <c r="AA330" s="51" t="s">
        <v>123</v>
      </c>
    </row>
    <row r="331" spans="1:27" ht="12.95" customHeight="1">
      <c r="A331" s="43">
        <v>271</v>
      </c>
      <c r="B331" s="56" t="s">
        <v>22</v>
      </c>
      <c r="C331" s="56" t="s">
        <v>12</v>
      </c>
      <c r="D331" s="62" t="s">
        <v>13</v>
      </c>
      <c r="E331" s="44" t="s">
        <v>65</v>
      </c>
      <c r="F331" s="96" t="s">
        <v>21</v>
      </c>
      <c r="G331" s="55">
        <v>491775</v>
      </c>
      <c r="H331" s="43" t="s">
        <v>26</v>
      </c>
      <c r="I331" s="56" t="s">
        <v>4</v>
      </c>
      <c r="J331" s="97" t="s">
        <v>4</v>
      </c>
      <c r="K331" s="43" t="s">
        <v>134</v>
      </c>
      <c r="L331" s="55"/>
      <c r="M331" s="98"/>
      <c r="N331" s="49"/>
      <c r="O331" s="49"/>
      <c r="P331" s="51"/>
      <c r="Q331" s="51" t="s">
        <v>137</v>
      </c>
      <c r="R331" s="51"/>
      <c r="S331" s="72"/>
      <c r="T331" s="51"/>
      <c r="U331" s="51" t="s">
        <v>137</v>
      </c>
      <c r="V331" s="49"/>
      <c r="W331" s="49"/>
      <c r="X331" s="52" t="s">
        <v>139</v>
      </c>
      <c r="Y331" s="51"/>
      <c r="Z331" s="51"/>
      <c r="AA331" s="51" t="s">
        <v>132</v>
      </c>
    </row>
    <row r="332" spans="1:27" ht="12.95" customHeight="1">
      <c r="A332" s="43">
        <v>209</v>
      </c>
      <c r="B332" s="56" t="s">
        <v>22</v>
      </c>
      <c r="C332" s="56" t="s">
        <v>12</v>
      </c>
      <c r="D332" s="62" t="s">
        <v>13</v>
      </c>
      <c r="E332" s="44" t="s">
        <v>65</v>
      </c>
      <c r="F332" s="96" t="s">
        <v>21</v>
      </c>
      <c r="G332" s="55">
        <v>468359</v>
      </c>
      <c r="H332" s="55" t="s">
        <v>26</v>
      </c>
      <c r="I332" s="56" t="s">
        <v>4</v>
      </c>
      <c r="J332" s="97" t="s">
        <v>4</v>
      </c>
      <c r="K332" s="43" t="s">
        <v>134</v>
      </c>
      <c r="L332" s="55"/>
      <c r="M332" s="98"/>
      <c r="N332" s="49"/>
      <c r="O332" s="49"/>
      <c r="P332" s="51"/>
      <c r="Q332" s="51" t="s">
        <v>138</v>
      </c>
      <c r="R332" s="51"/>
      <c r="S332" s="72"/>
      <c r="T332" s="51"/>
      <c r="U332" s="51" t="s">
        <v>138</v>
      </c>
      <c r="V332" s="49"/>
      <c r="W332" s="49"/>
      <c r="X332" s="52"/>
      <c r="Y332" s="51"/>
      <c r="Z332" s="51"/>
      <c r="AA332" s="51" t="s">
        <v>139</v>
      </c>
    </row>
    <row r="333" spans="1:27" ht="12.95" customHeight="1">
      <c r="A333" s="43">
        <v>412</v>
      </c>
      <c r="B333" s="56" t="s">
        <v>22</v>
      </c>
      <c r="C333" s="56" t="s">
        <v>12</v>
      </c>
      <c r="D333" s="55" t="s">
        <v>28</v>
      </c>
      <c r="E333" s="95" t="s">
        <v>25</v>
      </c>
      <c r="F333" s="96" t="s">
        <v>18</v>
      </c>
      <c r="G333" s="55">
        <v>282995</v>
      </c>
      <c r="H333" s="55" t="s">
        <v>9</v>
      </c>
      <c r="I333" s="56" t="s">
        <v>4</v>
      </c>
      <c r="J333" s="97" t="s">
        <v>33</v>
      </c>
      <c r="K333" s="43" t="s">
        <v>134</v>
      </c>
      <c r="L333" s="55" t="s">
        <v>134</v>
      </c>
      <c r="M333" s="98" t="s">
        <v>131</v>
      </c>
      <c r="N333" s="49">
        <v>45858</v>
      </c>
      <c r="O333" s="49">
        <v>45858</v>
      </c>
      <c r="P333" s="51"/>
      <c r="Q333" s="51" t="s">
        <v>132</v>
      </c>
      <c r="R333" s="51" t="s">
        <v>123</v>
      </c>
      <c r="S333" s="72">
        <f t="shared" ref="S333:S338" ca="1" si="4">TODAY()-N333</f>
        <v>340</v>
      </c>
      <c r="T333" s="50" t="s">
        <v>25</v>
      </c>
      <c r="U333" s="51" t="s">
        <v>131</v>
      </c>
      <c r="V333" s="49"/>
      <c r="W333" s="49">
        <v>46110</v>
      </c>
      <c r="X333" s="52" t="s">
        <v>137</v>
      </c>
      <c r="Y333" s="51"/>
      <c r="Z333" s="51"/>
      <c r="AA333" s="51" t="s">
        <v>135</v>
      </c>
    </row>
    <row r="334" spans="1:27" ht="12.95" customHeight="1">
      <c r="A334" s="43">
        <v>213</v>
      </c>
      <c r="B334" s="56" t="s">
        <v>22</v>
      </c>
      <c r="C334" s="56" t="s">
        <v>12</v>
      </c>
      <c r="D334" s="55" t="s">
        <v>28</v>
      </c>
      <c r="E334" s="95" t="s">
        <v>25</v>
      </c>
      <c r="F334" s="96" t="s">
        <v>14</v>
      </c>
      <c r="G334" s="55">
        <v>93756850</v>
      </c>
      <c r="H334" s="55" t="s">
        <v>9</v>
      </c>
      <c r="I334" s="56" t="s">
        <v>4</v>
      </c>
      <c r="J334" s="97" t="s">
        <v>29</v>
      </c>
      <c r="K334" s="43" t="s">
        <v>134</v>
      </c>
      <c r="L334" s="55" t="s">
        <v>134</v>
      </c>
      <c r="M334" s="98" t="s">
        <v>126</v>
      </c>
      <c r="N334" s="49">
        <v>45786</v>
      </c>
      <c r="O334" s="49">
        <v>45786</v>
      </c>
      <c r="P334" s="51"/>
      <c r="Q334" s="51" t="s">
        <v>132</v>
      </c>
      <c r="R334" s="51" t="s">
        <v>123</v>
      </c>
      <c r="S334" s="72">
        <f t="shared" ca="1" si="4"/>
        <v>412</v>
      </c>
      <c r="T334" s="50" t="s">
        <v>25</v>
      </c>
      <c r="U334" s="51" t="s">
        <v>131</v>
      </c>
      <c r="V334" s="49"/>
      <c r="W334" s="49">
        <v>46136</v>
      </c>
      <c r="X334" s="52" t="s">
        <v>141</v>
      </c>
      <c r="Y334" s="51"/>
      <c r="Z334" s="51"/>
      <c r="AA334" s="51" t="s">
        <v>135</v>
      </c>
    </row>
    <row r="335" spans="1:27" ht="12.95" customHeight="1">
      <c r="A335" s="43">
        <v>224</v>
      </c>
      <c r="B335" s="56" t="s">
        <v>22</v>
      </c>
      <c r="C335" s="56" t="s">
        <v>12</v>
      </c>
      <c r="D335" s="55" t="s">
        <v>28</v>
      </c>
      <c r="E335" s="95" t="s">
        <v>25</v>
      </c>
      <c r="F335" s="96" t="s">
        <v>13</v>
      </c>
      <c r="G335" s="55">
        <v>298167</v>
      </c>
      <c r="H335" s="43" t="s">
        <v>26</v>
      </c>
      <c r="I335" s="56" t="s">
        <v>4</v>
      </c>
      <c r="J335" s="97" t="s">
        <v>21</v>
      </c>
      <c r="K335" s="43" t="s">
        <v>134</v>
      </c>
      <c r="L335" s="55" t="s">
        <v>134</v>
      </c>
      <c r="M335" s="98" t="s">
        <v>136</v>
      </c>
      <c r="N335" s="49">
        <v>45962</v>
      </c>
      <c r="O335" s="49">
        <v>45962</v>
      </c>
      <c r="P335" s="51"/>
      <c r="Q335" s="51" t="s">
        <v>132</v>
      </c>
      <c r="R335" s="51" t="s">
        <v>123</v>
      </c>
      <c r="S335" s="72">
        <f t="shared" ca="1" si="4"/>
        <v>236</v>
      </c>
      <c r="T335" s="50" t="s">
        <v>25</v>
      </c>
      <c r="U335" s="51" t="s">
        <v>131</v>
      </c>
      <c r="V335" s="49"/>
      <c r="W335" s="49">
        <v>46149</v>
      </c>
      <c r="X335" s="52" t="s">
        <v>127</v>
      </c>
      <c r="Y335" s="51"/>
      <c r="Z335" s="51"/>
      <c r="AA335" s="51" t="s">
        <v>140</v>
      </c>
    </row>
    <row r="336" spans="1:27" ht="12.95" customHeight="1">
      <c r="A336" s="43">
        <v>325</v>
      </c>
      <c r="B336" s="56" t="s">
        <v>22</v>
      </c>
      <c r="C336" s="56" t="s">
        <v>12</v>
      </c>
      <c r="D336" s="62" t="s">
        <v>13</v>
      </c>
      <c r="E336" s="44" t="s">
        <v>65</v>
      </c>
      <c r="F336" s="96" t="s">
        <v>8</v>
      </c>
      <c r="G336" s="55">
        <v>515189</v>
      </c>
      <c r="H336" s="43" t="s">
        <v>26</v>
      </c>
      <c r="I336" s="56" t="s">
        <v>4</v>
      </c>
      <c r="J336" s="97" t="s">
        <v>5</v>
      </c>
      <c r="K336" s="43" t="s">
        <v>140</v>
      </c>
      <c r="L336" s="55" t="s">
        <v>140</v>
      </c>
      <c r="M336" s="98" t="s">
        <v>126</v>
      </c>
      <c r="N336" s="49">
        <v>45966</v>
      </c>
      <c r="O336" s="49">
        <v>45966</v>
      </c>
      <c r="P336" s="51"/>
      <c r="Q336" s="51" t="s">
        <v>141</v>
      </c>
      <c r="R336" s="51" t="s">
        <v>141</v>
      </c>
      <c r="S336" s="72">
        <f t="shared" ca="1" si="4"/>
        <v>232</v>
      </c>
      <c r="T336" s="50" t="s">
        <v>25</v>
      </c>
      <c r="U336" s="51" t="s">
        <v>131</v>
      </c>
      <c r="V336" s="49"/>
      <c r="W336" s="49">
        <v>46089</v>
      </c>
      <c r="X336" s="52" t="s">
        <v>132</v>
      </c>
      <c r="Y336" s="51"/>
      <c r="Z336" s="51"/>
      <c r="AA336" s="51" t="s">
        <v>139</v>
      </c>
    </row>
    <row r="337" spans="1:27" ht="12.95" customHeight="1">
      <c r="A337" s="43">
        <v>309</v>
      </c>
      <c r="B337" s="56" t="s">
        <v>22</v>
      </c>
      <c r="C337" s="56" t="s">
        <v>12</v>
      </c>
      <c r="D337" s="55" t="s">
        <v>28</v>
      </c>
      <c r="E337" s="95" t="s">
        <v>43</v>
      </c>
      <c r="F337" s="96" t="s">
        <v>26</v>
      </c>
      <c r="G337" s="55">
        <v>169448</v>
      </c>
      <c r="H337" s="55" t="s">
        <v>26</v>
      </c>
      <c r="I337" s="56" t="s">
        <v>4</v>
      </c>
      <c r="J337" s="97" t="s">
        <v>21</v>
      </c>
      <c r="K337" s="43" t="s">
        <v>134</v>
      </c>
      <c r="L337" s="55" t="s">
        <v>134</v>
      </c>
      <c r="M337" s="98" t="s">
        <v>136</v>
      </c>
      <c r="N337" s="49">
        <v>46244</v>
      </c>
      <c r="O337" s="49">
        <v>46244</v>
      </c>
      <c r="P337" s="51"/>
      <c r="Q337" s="51" t="s">
        <v>132</v>
      </c>
      <c r="R337" s="51" t="s">
        <v>123</v>
      </c>
      <c r="S337" s="72">
        <f t="shared" ca="1" si="4"/>
        <v>-46</v>
      </c>
      <c r="T337" s="50" t="s">
        <v>17</v>
      </c>
      <c r="U337" s="46" t="s">
        <v>137</v>
      </c>
      <c r="V337" s="49"/>
      <c r="W337" s="49"/>
      <c r="X337" s="52"/>
      <c r="Y337" s="51"/>
      <c r="Z337" s="51"/>
      <c r="AA337" s="51" t="s">
        <v>126</v>
      </c>
    </row>
    <row r="338" spans="1:27" ht="12.95" customHeight="1">
      <c r="A338" s="43">
        <v>404</v>
      </c>
      <c r="B338" s="56" t="s">
        <v>22</v>
      </c>
      <c r="C338" s="56" t="s">
        <v>12</v>
      </c>
      <c r="D338" s="55" t="s">
        <v>28</v>
      </c>
      <c r="E338" s="95" t="s">
        <v>43</v>
      </c>
      <c r="F338" s="96" t="s">
        <v>25</v>
      </c>
      <c r="G338" s="55">
        <v>80358786</v>
      </c>
      <c r="H338" s="43" t="s">
        <v>26</v>
      </c>
      <c r="I338" s="56" t="s">
        <v>4</v>
      </c>
      <c r="J338" s="97" t="s">
        <v>21</v>
      </c>
      <c r="K338" s="43" t="s">
        <v>127</v>
      </c>
      <c r="L338" s="55" t="s">
        <v>134</v>
      </c>
      <c r="M338" s="98" t="s">
        <v>138</v>
      </c>
      <c r="N338" s="49">
        <v>46244</v>
      </c>
      <c r="O338" s="49">
        <v>46244</v>
      </c>
      <c r="P338" s="51"/>
      <c r="Q338" s="51" t="s">
        <v>132</v>
      </c>
      <c r="R338" s="51" t="s">
        <v>138</v>
      </c>
      <c r="S338" s="72">
        <f t="shared" ca="1" si="4"/>
        <v>-46</v>
      </c>
      <c r="T338" s="50" t="s">
        <v>17</v>
      </c>
      <c r="U338" s="46" t="s">
        <v>137</v>
      </c>
      <c r="V338" s="49"/>
      <c r="W338" s="49"/>
      <c r="X338" s="52"/>
      <c r="Y338" s="51"/>
      <c r="Z338" s="51"/>
      <c r="AA338" s="51" t="s">
        <v>132</v>
      </c>
    </row>
    <row r="339" spans="1:27" ht="12.95" customHeight="1">
      <c r="A339" s="43">
        <v>277</v>
      </c>
      <c r="B339" s="56" t="s">
        <v>8</v>
      </c>
      <c r="C339" s="56" t="s">
        <v>12</v>
      </c>
      <c r="D339" s="43" t="s">
        <v>19</v>
      </c>
      <c r="E339" s="95" t="s">
        <v>25</v>
      </c>
      <c r="F339" s="96" t="s">
        <v>3</v>
      </c>
      <c r="G339" s="55">
        <v>349044</v>
      </c>
      <c r="H339" s="55" t="s">
        <v>26</v>
      </c>
      <c r="I339" s="56" t="s">
        <v>19</v>
      </c>
      <c r="J339" s="97" t="s">
        <v>25</v>
      </c>
      <c r="K339" s="43" t="s">
        <v>140</v>
      </c>
      <c r="L339" s="55" t="s">
        <v>140</v>
      </c>
      <c r="M339" s="98" t="s">
        <v>132</v>
      </c>
      <c r="N339" s="49">
        <v>46094</v>
      </c>
      <c r="O339" s="49">
        <f t="shared" ref="O339:O370" si="5">N339</f>
        <v>46094</v>
      </c>
      <c r="P339" s="51" t="s">
        <v>129</v>
      </c>
      <c r="Q339" s="51" t="s">
        <v>132</v>
      </c>
      <c r="R339" s="51">
        <f t="shared" ref="R339:R370" ca="1" si="6">TODAY()-N339</f>
        <v>104</v>
      </c>
      <c r="S339" s="72" t="str">
        <f t="shared" ref="S339:S370" ca="1" si="7">IF(N339="","",IF(TODAY()-N339&lt;=30,"0-30",IF(TODAY()-N339&lt;=60,"30-60",IF(TODAY()-N339&lt;=90,"60-90","90+"))))</f>
        <v>90+</v>
      </c>
      <c r="T339" s="50" t="s">
        <v>25</v>
      </c>
      <c r="U339" s="49" t="s">
        <v>131</v>
      </c>
      <c r="V339" s="49"/>
      <c r="W339" s="52"/>
      <c r="X339" s="51" t="s">
        <v>134</v>
      </c>
      <c r="Y339" s="51" t="s">
        <v>143</v>
      </c>
      <c r="AA339" s="51"/>
    </row>
    <row r="340" spans="1:27" ht="12.95" customHeight="1">
      <c r="A340" s="43">
        <v>380</v>
      </c>
      <c r="B340" s="56" t="s">
        <v>8</v>
      </c>
      <c r="C340" s="56" t="s">
        <v>12</v>
      </c>
      <c r="D340" s="43" t="s">
        <v>19</v>
      </c>
      <c r="E340" s="95" t="s">
        <v>25</v>
      </c>
      <c r="F340" s="96" t="s">
        <v>24</v>
      </c>
      <c r="G340" s="55">
        <v>174758</v>
      </c>
      <c r="H340" s="55" t="s">
        <v>26</v>
      </c>
      <c r="I340" s="56" t="s">
        <v>19</v>
      </c>
      <c r="J340" s="97" t="s">
        <v>9</v>
      </c>
      <c r="K340" s="43" t="s">
        <v>134</v>
      </c>
      <c r="L340" s="55" t="s">
        <v>134</v>
      </c>
      <c r="M340" s="98" t="s">
        <v>133</v>
      </c>
      <c r="N340" s="49">
        <v>45935</v>
      </c>
      <c r="O340" s="49">
        <f t="shared" si="5"/>
        <v>45935</v>
      </c>
      <c r="P340" s="51" t="s">
        <v>129</v>
      </c>
      <c r="Q340" s="51" t="s">
        <v>132</v>
      </c>
      <c r="R340" s="51">
        <f t="shared" ca="1" si="6"/>
        <v>263</v>
      </c>
      <c r="S340" s="72" t="str">
        <f t="shared" ca="1" si="7"/>
        <v>90+</v>
      </c>
      <c r="T340" s="50" t="s">
        <v>25</v>
      </c>
      <c r="U340" s="49" t="s">
        <v>131</v>
      </c>
      <c r="V340" s="49"/>
      <c r="W340" s="52"/>
      <c r="X340" s="51" t="s">
        <v>134</v>
      </c>
      <c r="Y340" s="51" t="s">
        <v>143</v>
      </c>
      <c r="AA340" s="51"/>
    </row>
    <row r="341" spans="1:27" ht="12.95" customHeight="1">
      <c r="A341" s="43">
        <v>211</v>
      </c>
      <c r="B341" s="56" t="s">
        <v>8</v>
      </c>
      <c r="C341" s="56" t="s">
        <v>12</v>
      </c>
      <c r="D341" s="43" t="s">
        <v>19</v>
      </c>
      <c r="E341" s="95" t="s">
        <v>25</v>
      </c>
      <c r="F341" s="96" t="s">
        <v>43</v>
      </c>
      <c r="G341" s="55">
        <v>249746</v>
      </c>
      <c r="H341" s="55" t="s">
        <v>26</v>
      </c>
      <c r="I341" s="56" t="s">
        <v>19</v>
      </c>
      <c r="J341" s="97" t="s">
        <v>25</v>
      </c>
      <c r="K341" s="43" t="s">
        <v>134</v>
      </c>
      <c r="L341" s="55" t="s">
        <v>134</v>
      </c>
      <c r="M341" s="98" t="s">
        <v>131</v>
      </c>
      <c r="N341" s="49">
        <v>46094</v>
      </c>
      <c r="O341" s="49">
        <f t="shared" si="5"/>
        <v>46094</v>
      </c>
      <c r="P341" s="51" t="s">
        <v>144</v>
      </c>
      <c r="Q341" s="51" t="s">
        <v>126</v>
      </c>
      <c r="R341" s="51">
        <f t="shared" ca="1" si="6"/>
        <v>104</v>
      </c>
      <c r="S341" s="72" t="str">
        <f t="shared" ca="1" si="7"/>
        <v>90+</v>
      </c>
      <c r="T341" s="50" t="s">
        <v>25</v>
      </c>
      <c r="U341" s="49" t="s">
        <v>131</v>
      </c>
      <c r="V341" s="49"/>
      <c r="W341" s="52"/>
      <c r="X341" s="51" t="s">
        <v>140</v>
      </c>
      <c r="Y341" s="51" t="s">
        <v>143</v>
      </c>
      <c r="AA341" s="51"/>
    </row>
    <row r="342" spans="1:27" ht="12.95" customHeight="1">
      <c r="A342" s="43">
        <v>454</v>
      </c>
      <c r="B342" s="56" t="s">
        <v>8</v>
      </c>
      <c r="C342" s="56" t="s">
        <v>12</v>
      </c>
      <c r="D342" s="43" t="s">
        <v>19</v>
      </c>
      <c r="E342" s="95" t="s">
        <v>43</v>
      </c>
      <c r="F342" s="96" t="s">
        <v>23</v>
      </c>
      <c r="G342" s="55">
        <v>363916</v>
      </c>
      <c r="H342" s="43" t="s">
        <v>26</v>
      </c>
      <c r="I342" s="56" t="s">
        <v>19</v>
      </c>
      <c r="J342" s="97" t="s">
        <v>9</v>
      </c>
      <c r="K342" s="43" t="s">
        <v>134</v>
      </c>
      <c r="L342" s="55" t="s">
        <v>134</v>
      </c>
      <c r="M342" s="98" t="s">
        <v>135</v>
      </c>
      <c r="N342" s="49">
        <v>45935</v>
      </c>
      <c r="O342" s="49">
        <f t="shared" si="5"/>
        <v>45935</v>
      </c>
      <c r="P342" s="51" t="s">
        <v>145</v>
      </c>
      <c r="Q342" s="51" t="s">
        <v>141</v>
      </c>
      <c r="R342" s="51">
        <f t="shared" ca="1" si="6"/>
        <v>263</v>
      </c>
      <c r="S342" s="72" t="str">
        <f t="shared" ca="1" si="7"/>
        <v>90+</v>
      </c>
      <c r="T342" s="50" t="s">
        <v>25</v>
      </c>
      <c r="U342" s="46" t="s">
        <v>137</v>
      </c>
      <c r="V342" s="49"/>
      <c r="W342" s="52"/>
      <c r="X342" s="51"/>
      <c r="Y342" s="51">
        <v>1</v>
      </c>
      <c r="AA342" s="51"/>
    </row>
    <row r="343" spans="1:27" ht="12.95" customHeight="1">
      <c r="A343" s="43">
        <v>407</v>
      </c>
      <c r="B343" s="56" t="s">
        <v>8</v>
      </c>
      <c r="C343" s="56" t="s">
        <v>12</v>
      </c>
      <c r="D343" s="43" t="s">
        <v>19</v>
      </c>
      <c r="E343" s="95" t="s">
        <v>25</v>
      </c>
      <c r="F343" s="96" t="s">
        <v>27</v>
      </c>
      <c r="G343" s="55">
        <v>386717</v>
      </c>
      <c r="H343" s="55" t="s">
        <v>26</v>
      </c>
      <c r="I343" s="56" t="s">
        <v>19</v>
      </c>
      <c r="J343" s="97" t="s">
        <v>9</v>
      </c>
      <c r="K343" s="43" t="s">
        <v>134</v>
      </c>
      <c r="L343" s="55" t="s">
        <v>134</v>
      </c>
      <c r="M343" s="98" t="s">
        <v>141</v>
      </c>
      <c r="N343" s="49">
        <v>45935</v>
      </c>
      <c r="O343" s="49">
        <f t="shared" si="5"/>
        <v>45935</v>
      </c>
      <c r="P343" s="51" t="s">
        <v>145</v>
      </c>
      <c r="Q343" s="51" t="s">
        <v>141</v>
      </c>
      <c r="R343" s="51">
        <f t="shared" ca="1" si="6"/>
        <v>263</v>
      </c>
      <c r="S343" s="72" t="str">
        <f t="shared" ca="1" si="7"/>
        <v>90+</v>
      </c>
      <c r="T343" s="50" t="s">
        <v>25</v>
      </c>
      <c r="U343" s="46" t="s">
        <v>137</v>
      </c>
      <c r="V343" s="49"/>
      <c r="W343" s="52"/>
      <c r="X343" s="51"/>
      <c r="Y343" s="51">
        <v>1</v>
      </c>
      <c r="AA343" s="51"/>
    </row>
    <row r="344" spans="1:27" ht="12.95" customHeight="1">
      <c r="A344" s="43">
        <v>463</v>
      </c>
      <c r="B344" s="56" t="s">
        <v>8</v>
      </c>
      <c r="C344" s="56" t="s">
        <v>12</v>
      </c>
      <c r="D344" s="43" t="s">
        <v>19</v>
      </c>
      <c r="E344" s="95" t="s">
        <v>25</v>
      </c>
      <c r="F344" s="96" t="s">
        <v>12</v>
      </c>
      <c r="G344" s="55">
        <v>312122</v>
      </c>
      <c r="H344" s="55" t="s">
        <v>9</v>
      </c>
      <c r="I344" s="56" t="s">
        <v>19</v>
      </c>
      <c r="J344" s="97" t="s">
        <v>9</v>
      </c>
      <c r="K344" s="43" t="s">
        <v>134</v>
      </c>
      <c r="L344" s="55" t="s">
        <v>134</v>
      </c>
      <c r="M344" s="98" t="s">
        <v>126</v>
      </c>
      <c r="N344" s="49">
        <v>45935</v>
      </c>
      <c r="O344" s="49">
        <f t="shared" si="5"/>
        <v>45935</v>
      </c>
      <c r="P344" s="51" t="s">
        <v>129</v>
      </c>
      <c r="Q344" s="51" t="s">
        <v>132</v>
      </c>
      <c r="R344" s="51">
        <f t="shared" ca="1" si="6"/>
        <v>263</v>
      </c>
      <c r="S344" s="72" t="str">
        <f t="shared" ca="1" si="7"/>
        <v>90+</v>
      </c>
      <c r="T344" s="50" t="s">
        <v>25</v>
      </c>
      <c r="U344" s="46" t="s">
        <v>137</v>
      </c>
      <c r="V344" s="49"/>
      <c r="W344" s="52"/>
      <c r="X344" s="51"/>
      <c r="Y344" s="51">
        <v>1</v>
      </c>
      <c r="AA344" s="51"/>
    </row>
    <row r="345" spans="1:27" ht="12.95" customHeight="1">
      <c r="A345" s="43">
        <v>475</v>
      </c>
      <c r="B345" s="56" t="s">
        <v>8</v>
      </c>
      <c r="C345" s="56" t="s">
        <v>12</v>
      </c>
      <c r="D345" s="43" t="s">
        <v>19</v>
      </c>
      <c r="E345" s="95" t="s">
        <v>43</v>
      </c>
      <c r="F345" s="96" t="s">
        <v>19</v>
      </c>
      <c r="G345" s="55">
        <v>363333</v>
      </c>
      <c r="H345" s="55" t="s">
        <v>26</v>
      </c>
      <c r="I345" s="56" t="s">
        <v>19</v>
      </c>
      <c r="J345" s="97" t="s">
        <v>25</v>
      </c>
      <c r="K345" s="43" t="s">
        <v>140</v>
      </c>
      <c r="L345" s="55" t="s">
        <v>140</v>
      </c>
      <c r="M345" s="98" t="s">
        <v>134</v>
      </c>
      <c r="N345" s="49">
        <v>45917</v>
      </c>
      <c r="O345" s="49">
        <f t="shared" si="5"/>
        <v>45917</v>
      </c>
      <c r="P345" s="51" t="s">
        <v>129</v>
      </c>
      <c r="Q345" s="51" t="s">
        <v>132</v>
      </c>
      <c r="R345" s="51">
        <f t="shared" ca="1" si="6"/>
        <v>281</v>
      </c>
      <c r="S345" s="72" t="str">
        <f t="shared" ca="1" si="7"/>
        <v>90+</v>
      </c>
      <c r="T345" s="50" t="s">
        <v>25</v>
      </c>
      <c r="U345" s="46" t="s">
        <v>137</v>
      </c>
      <c r="V345" s="49"/>
      <c r="W345" s="52"/>
      <c r="X345" s="51"/>
      <c r="Y345" s="51">
        <v>2</v>
      </c>
      <c r="AA345" s="51"/>
    </row>
    <row r="346" spans="1:27" ht="12.95" customHeight="1">
      <c r="A346" s="43">
        <v>480</v>
      </c>
      <c r="B346" s="56" t="s">
        <v>8</v>
      </c>
      <c r="C346" s="56" t="s">
        <v>12</v>
      </c>
      <c r="D346" s="43" t="s">
        <v>19</v>
      </c>
      <c r="E346" s="95" t="s">
        <v>43</v>
      </c>
      <c r="F346" s="96" t="s">
        <v>30</v>
      </c>
      <c r="G346" s="55">
        <v>375150</v>
      </c>
      <c r="H346" s="55" t="s">
        <v>26</v>
      </c>
      <c r="I346" s="56" t="s">
        <v>19</v>
      </c>
      <c r="J346" s="97" t="s">
        <v>9</v>
      </c>
      <c r="K346" s="43" t="s">
        <v>134</v>
      </c>
      <c r="L346" s="55" t="s">
        <v>134</v>
      </c>
      <c r="M346" s="98" t="s">
        <v>136</v>
      </c>
      <c r="N346" s="49">
        <v>45935</v>
      </c>
      <c r="O346" s="49">
        <f t="shared" si="5"/>
        <v>45935</v>
      </c>
      <c r="P346" s="51" t="s">
        <v>129</v>
      </c>
      <c r="Q346" s="51" t="s">
        <v>132</v>
      </c>
      <c r="R346" s="51">
        <f t="shared" ca="1" si="6"/>
        <v>263</v>
      </c>
      <c r="S346" s="72" t="str">
        <f t="shared" ca="1" si="7"/>
        <v>90+</v>
      </c>
      <c r="T346" s="50" t="s">
        <v>25</v>
      </c>
      <c r="U346" s="49" t="s">
        <v>131</v>
      </c>
      <c r="V346" s="49"/>
      <c r="W346" s="52"/>
      <c r="X346" s="51" t="s">
        <v>139</v>
      </c>
      <c r="Y346" s="51" t="s">
        <v>143</v>
      </c>
      <c r="AA346" s="51"/>
    </row>
    <row r="347" spans="1:27" ht="12.95" customHeight="1">
      <c r="A347" s="43">
        <v>339</v>
      </c>
      <c r="B347" s="56" t="s">
        <v>8</v>
      </c>
      <c r="C347" s="56" t="s">
        <v>12</v>
      </c>
      <c r="D347" s="43" t="s">
        <v>19</v>
      </c>
      <c r="E347" s="95" t="s">
        <v>25</v>
      </c>
      <c r="F347" s="96" t="s">
        <v>14</v>
      </c>
      <c r="G347" s="55">
        <v>266415</v>
      </c>
      <c r="H347" s="55" t="s">
        <v>26</v>
      </c>
      <c r="I347" s="56" t="s">
        <v>19</v>
      </c>
      <c r="J347" s="97" t="s">
        <v>17</v>
      </c>
      <c r="K347" s="43" t="s">
        <v>139</v>
      </c>
      <c r="L347" s="55" t="s">
        <v>139</v>
      </c>
      <c r="M347" s="98" t="s">
        <v>133</v>
      </c>
      <c r="N347" s="49">
        <v>46073</v>
      </c>
      <c r="O347" s="49">
        <f t="shared" si="5"/>
        <v>46073</v>
      </c>
      <c r="P347" s="51" t="s">
        <v>129</v>
      </c>
      <c r="Q347" s="51" t="s">
        <v>132</v>
      </c>
      <c r="R347" s="51">
        <f t="shared" ca="1" si="6"/>
        <v>125</v>
      </c>
      <c r="S347" s="72" t="str">
        <f t="shared" ca="1" si="7"/>
        <v>90+</v>
      </c>
      <c r="T347" s="50" t="s">
        <v>25</v>
      </c>
      <c r="U347" s="46" t="s">
        <v>137</v>
      </c>
      <c r="V347" s="49"/>
      <c r="W347" s="52"/>
      <c r="X347" s="51"/>
      <c r="Y347" s="51">
        <v>2</v>
      </c>
      <c r="AA347" s="51"/>
    </row>
    <row r="348" spans="1:27" ht="12.95" customHeight="1">
      <c r="A348" s="43">
        <v>458</v>
      </c>
      <c r="B348" s="56" t="s">
        <v>8</v>
      </c>
      <c r="C348" s="56" t="s">
        <v>12</v>
      </c>
      <c r="D348" s="43" t="s">
        <v>19</v>
      </c>
      <c r="E348" s="95" t="s">
        <v>25</v>
      </c>
      <c r="F348" s="96" t="s">
        <v>21</v>
      </c>
      <c r="G348" s="55">
        <v>360407</v>
      </c>
      <c r="H348" s="55" t="s">
        <v>26</v>
      </c>
      <c r="I348" s="56" t="s">
        <v>19</v>
      </c>
      <c r="J348" s="97" t="s">
        <v>17</v>
      </c>
      <c r="K348" s="43" t="s">
        <v>127</v>
      </c>
      <c r="L348" s="55" t="s">
        <v>127</v>
      </c>
      <c r="M348" s="98" t="s">
        <v>133</v>
      </c>
      <c r="N348" s="49">
        <v>45878</v>
      </c>
      <c r="O348" s="49">
        <f t="shared" si="5"/>
        <v>45878</v>
      </c>
      <c r="P348" s="51" t="s">
        <v>129</v>
      </c>
      <c r="Q348" s="51" t="s">
        <v>132</v>
      </c>
      <c r="R348" s="51">
        <f t="shared" ca="1" si="6"/>
        <v>320</v>
      </c>
      <c r="S348" s="72" t="str">
        <f t="shared" ca="1" si="7"/>
        <v>90+</v>
      </c>
      <c r="T348" s="50" t="s">
        <v>25</v>
      </c>
      <c r="U348" s="46" t="s">
        <v>137</v>
      </c>
      <c r="V348" s="49"/>
      <c r="W348" s="52"/>
      <c r="X348" s="51"/>
      <c r="Y348" s="51">
        <v>2</v>
      </c>
      <c r="AA348" s="51"/>
    </row>
    <row r="349" spans="1:27" ht="12.95" customHeight="1">
      <c r="A349" s="43">
        <v>379</v>
      </c>
      <c r="B349" s="56" t="s">
        <v>8</v>
      </c>
      <c r="C349" s="56" t="s">
        <v>12</v>
      </c>
      <c r="D349" s="43" t="s">
        <v>19</v>
      </c>
      <c r="E349" s="95" t="s">
        <v>43</v>
      </c>
      <c r="F349" s="96" t="s">
        <v>30</v>
      </c>
      <c r="G349" s="55">
        <v>184901</v>
      </c>
      <c r="H349" s="55" t="s">
        <v>26</v>
      </c>
      <c r="I349" s="56" t="s">
        <v>19</v>
      </c>
      <c r="J349" s="97" t="s">
        <v>9</v>
      </c>
      <c r="K349" s="43" t="s">
        <v>134</v>
      </c>
      <c r="L349" s="55" t="s">
        <v>134</v>
      </c>
      <c r="M349" s="98" t="s">
        <v>136</v>
      </c>
      <c r="N349" s="49">
        <v>45963</v>
      </c>
      <c r="O349" s="49">
        <f t="shared" si="5"/>
        <v>45963</v>
      </c>
      <c r="P349" s="51" t="s">
        <v>129</v>
      </c>
      <c r="Q349" s="51" t="s">
        <v>132</v>
      </c>
      <c r="R349" s="51">
        <f t="shared" ca="1" si="6"/>
        <v>235</v>
      </c>
      <c r="S349" s="72" t="str">
        <f t="shared" ca="1" si="7"/>
        <v>90+</v>
      </c>
      <c r="T349" s="50" t="s">
        <v>25</v>
      </c>
      <c r="U349" s="49" t="s">
        <v>131</v>
      </c>
      <c r="V349" s="49"/>
      <c r="W349" s="52"/>
      <c r="X349" s="51" t="s">
        <v>139</v>
      </c>
      <c r="Y349" s="51" t="s">
        <v>143</v>
      </c>
      <c r="AA349" s="51"/>
    </row>
    <row r="350" spans="1:27" ht="12.95" customHeight="1">
      <c r="A350" s="43">
        <v>276</v>
      </c>
      <c r="B350" s="56" t="s">
        <v>8</v>
      </c>
      <c r="C350" s="56" t="s">
        <v>12</v>
      </c>
      <c r="D350" s="43" t="s">
        <v>19</v>
      </c>
      <c r="E350" s="95" t="s">
        <v>25</v>
      </c>
      <c r="F350" s="96" t="s">
        <v>15</v>
      </c>
      <c r="G350" s="55">
        <v>353134</v>
      </c>
      <c r="H350" s="55" t="s">
        <v>26</v>
      </c>
      <c r="I350" s="56" t="s">
        <v>19</v>
      </c>
      <c r="J350" s="97" t="s">
        <v>25</v>
      </c>
      <c r="K350" s="43" t="s">
        <v>134</v>
      </c>
      <c r="L350" s="55" t="s">
        <v>134</v>
      </c>
      <c r="M350" s="98" t="s">
        <v>127</v>
      </c>
      <c r="N350" s="49">
        <v>45935</v>
      </c>
      <c r="O350" s="49">
        <f t="shared" si="5"/>
        <v>45935</v>
      </c>
      <c r="P350" s="51" t="s">
        <v>91</v>
      </c>
      <c r="Q350" s="51" t="s">
        <v>127</v>
      </c>
      <c r="R350" s="51">
        <f t="shared" ca="1" si="6"/>
        <v>263</v>
      </c>
      <c r="S350" s="72" t="str">
        <f t="shared" ca="1" si="7"/>
        <v>90+</v>
      </c>
      <c r="T350" s="50" t="s">
        <v>25</v>
      </c>
      <c r="U350" s="51" t="s">
        <v>137</v>
      </c>
      <c r="V350" s="49"/>
      <c r="W350" s="52"/>
      <c r="X350" s="51" t="s">
        <v>136</v>
      </c>
      <c r="Y350" s="51">
        <v>2</v>
      </c>
      <c r="AA350" s="51"/>
    </row>
    <row r="351" spans="1:27" ht="12.95" customHeight="1">
      <c r="A351" s="43">
        <v>336</v>
      </c>
      <c r="B351" s="56" t="s">
        <v>8</v>
      </c>
      <c r="C351" s="56" t="s">
        <v>12</v>
      </c>
      <c r="D351" s="43" t="s">
        <v>19</v>
      </c>
      <c r="E351" s="95" t="s">
        <v>25</v>
      </c>
      <c r="F351" s="96" t="s">
        <v>43</v>
      </c>
      <c r="G351" s="55">
        <v>349762</v>
      </c>
      <c r="H351" s="55" t="s">
        <v>9</v>
      </c>
      <c r="I351" s="56" t="s">
        <v>19</v>
      </c>
      <c r="J351" s="97" t="s">
        <v>25</v>
      </c>
      <c r="K351" s="43" t="s">
        <v>140</v>
      </c>
      <c r="L351" s="55" t="s">
        <v>140</v>
      </c>
      <c r="M351" s="98" t="s">
        <v>132</v>
      </c>
      <c r="N351" s="49">
        <v>46024</v>
      </c>
      <c r="O351" s="49">
        <f t="shared" si="5"/>
        <v>46024</v>
      </c>
      <c r="P351" s="51" t="s">
        <v>129</v>
      </c>
      <c r="Q351" s="51" t="s">
        <v>132</v>
      </c>
      <c r="R351" s="51">
        <f t="shared" ca="1" si="6"/>
        <v>174</v>
      </c>
      <c r="S351" s="72" t="str">
        <f t="shared" ca="1" si="7"/>
        <v>90+</v>
      </c>
      <c r="T351" s="50" t="s">
        <v>25</v>
      </c>
      <c r="U351" s="46" t="s">
        <v>137</v>
      </c>
      <c r="V351" s="49"/>
      <c r="W351" s="52"/>
      <c r="X351" s="51"/>
      <c r="Y351" s="51">
        <v>2</v>
      </c>
      <c r="AA351" s="51"/>
    </row>
    <row r="352" spans="1:27" ht="12.95" customHeight="1">
      <c r="A352" s="43">
        <v>270</v>
      </c>
      <c r="B352" s="56" t="s">
        <v>8</v>
      </c>
      <c r="C352" s="56" t="s">
        <v>12</v>
      </c>
      <c r="D352" s="43" t="s">
        <v>19</v>
      </c>
      <c r="E352" s="95" t="s">
        <v>25</v>
      </c>
      <c r="F352" s="96" t="s">
        <v>17</v>
      </c>
      <c r="G352" s="55">
        <v>427171</v>
      </c>
      <c r="H352" s="55" t="s">
        <v>9</v>
      </c>
      <c r="I352" s="56" t="s">
        <v>19</v>
      </c>
      <c r="J352" s="97" t="s">
        <v>25</v>
      </c>
      <c r="K352" s="43" t="s">
        <v>140</v>
      </c>
      <c r="L352" s="55" t="s">
        <v>140</v>
      </c>
      <c r="M352" s="98" t="s">
        <v>132</v>
      </c>
      <c r="N352" s="49">
        <v>46024</v>
      </c>
      <c r="O352" s="49">
        <f t="shared" si="5"/>
        <v>46024</v>
      </c>
      <c r="P352" s="51" t="s">
        <v>129</v>
      </c>
      <c r="Q352" s="51" t="s">
        <v>132</v>
      </c>
      <c r="R352" s="51">
        <f t="shared" ca="1" si="6"/>
        <v>174</v>
      </c>
      <c r="S352" s="72" t="str">
        <f t="shared" ca="1" si="7"/>
        <v>90+</v>
      </c>
      <c r="T352" s="50" t="s">
        <v>25</v>
      </c>
      <c r="U352" s="49" t="s">
        <v>131</v>
      </c>
      <c r="V352" s="49"/>
      <c r="W352" s="52"/>
      <c r="X352" s="51" t="s">
        <v>135</v>
      </c>
      <c r="Y352" s="51" t="s">
        <v>143</v>
      </c>
      <c r="AA352" s="51"/>
    </row>
    <row r="353" spans="1:27" ht="12.95" customHeight="1">
      <c r="A353" s="43">
        <v>479</v>
      </c>
      <c r="B353" s="56" t="s">
        <v>8</v>
      </c>
      <c r="C353" s="56" t="s">
        <v>12</v>
      </c>
      <c r="D353" s="43" t="s">
        <v>19</v>
      </c>
      <c r="E353" s="95" t="s">
        <v>25</v>
      </c>
      <c r="F353" s="96" t="s">
        <v>7</v>
      </c>
      <c r="G353" s="55">
        <v>371666</v>
      </c>
      <c r="H353" s="55" t="s">
        <v>26</v>
      </c>
      <c r="I353" s="56" t="s">
        <v>19</v>
      </c>
      <c r="J353" s="97" t="s">
        <v>9</v>
      </c>
      <c r="K353" s="43" t="s">
        <v>134</v>
      </c>
      <c r="L353" s="55" t="s">
        <v>134</v>
      </c>
      <c r="M353" s="98" t="s">
        <v>136</v>
      </c>
      <c r="N353" s="49">
        <v>45935</v>
      </c>
      <c r="O353" s="49">
        <f t="shared" si="5"/>
        <v>45935</v>
      </c>
      <c r="P353" s="51" t="s">
        <v>129</v>
      </c>
      <c r="Q353" s="51" t="s">
        <v>132</v>
      </c>
      <c r="R353" s="51">
        <f t="shared" ca="1" si="6"/>
        <v>263</v>
      </c>
      <c r="S353" s="72" t="str">
        <f t="shared" ca="1" si="7"/>
        <v>90+</v>
      </c>
      <c r="T353" s="50" t="s">
        <v>25</v>
      </c>
      <c r="U353" s="46" t="s">
        <v>137</v>
      </c>
      <c r="V353" s="49"/>
      <c r="W353" s="52"/>
      <c r="X353" s="51"/>
      <c r="Y353" s="51">
        <v>2</v>
      </c>
      <c r="AA353" s="51"/>
    </row>
    <row r="354" spans="1:27" ht="12.95" customHeight="1">
      <c r="A354" s="43">
        <v>395</v>
      </c>
      <c r="B354" s="56" t="s">
        <v>8</v>
      </c>
      <c r="C354" s="56" t="s">
        <v>12</v>
      </c>
      <c r="D354" s="43" t="s">
        <v>19</v>
      </c>
      <c r="E354" s="95" t="s">
        <v>25</v>
      </c>
      <c r="F354" s="96" t="s">
        <v>28</v>
      </c>
      <c r="G354" s="55">
        <v>210246</v>
      </c>
      <c r="H354" s="55" t="s">
        <v>26</v>
      </c>
      <c r="I354" s="56" t="s">
        <v>19</v>
      </c>
      <c r="J354" s="97" t="s">
        <v>25</v>
      </c>
      <c r="K354" s="43" t="s">
        <v>134</v>
      </c>
      <c r="L354" s="55" t="s">
        <v>134</v>
      </c>
      <c r="M354" s="98" t="s">
        <v>133</v>
      </c>
      <c r="N354" s="49">
        <v>45917</v>
      </c>
      <c r="O354" s="49">
        <f t="shared" si="5"/>
        <v>45917</v>
      </c>
      <c r="P354" s="51" t="s">
        <v>129</v>
      </c>
      <c r="Q354" s="51" t="s">
        <v>132</v>
      </c>
      <c r="R354" s="51">
        <f t="shared" ca="1" si="6"/>
        <v>281</v>
      </c>
      <c r="S354" s="72" t="str">
        <f t="shared" ca="1" si="7"/>
        <v>90+</v>
      </c>
      <c r="T354" s="50" t="s">
        <v>25</v>
      </c>
      <c r="U354" s="49" t="s">
        <v>131</v>
      </c>
      <c r="V354" s="49"/>
      <c r="W354" s="52"/>
      <c r="X354" s="51" t="s">
        <v>123</v>
      </c>
      <c r="Y354" s="51" t="s">
        <v>143</v>
      </c>
      <c r="AA354" s="51"/>
    </row>
    <row r="355" spans="1:27" ht="12.95" customHeight="1">
      <c r="A355" s="43">
        <v>379</v>
      </c>
      <c r="B355" s="56" t="s">
        <v>8</v>
      </c>
      <c r="C355" s="56" t="s">
        <v>12</v>
      </c>
      <c r="D355" s="43" t="s">
        <v>19</v>
      </c>
      <c r="E355" s="95" t="s">
        <v>25</v>
      </c>
      <c r="F355" s="96" t="s">
        <v>27</v>
      </c>
      <c r="G355" s="55">
        <v>394693</v>
      </c>
      <c r="H355" s="55" t="s">
        <v>26</v>
      </c>
      <c r="I355" s="56" t="s">
        <v>19</v>
      </c>
      <c r="J355" s="97" t="s">
        <v>9</v>
      </c>
      <c r="K355" s="43" t="s">
        <v>134</v>
      </c>
      <c r="L355" s="55" t="s">
        <v>134</v>
      </c>
      <c r="M355" s="98" t="s">
        <v>126</v>
      </c>
      <c r="N355" s="49">
        <v>45935</v>
      </c>
      <c r="O355" s="49">
        <f t="shared" si="5"/>
        <v>45935</v>
      </c>
      <c r="P355" s="51" t="s">
        <v>129</v>
      </c>
      <c r="Q355" s="51" t="s">
        <v>132</v>
      </c>
      <c r="R355" s="51">
        <f t="shared" ca="1" si="6"/>
        <v>263</v>
      </c>
      <c r="S355" s="72" t="str">
        <f t="shared" ca="1" si="7"/>
        <v>90+</v>
      </c>
      <c r="T355" s="50" t="s">
        <v>25</v>
      </c>
      <c r="U355" s="46" t="s">
        <v>137</v>
      </c>
      <c r="V355" s="49"/>
      <c r="W355" s="52"/>
      <c r="X355" s="51"/>
      <c r="Y355" s="51">
        <v>1</v>
      </c>
      <c r="AA355" s="51"/>
    </row>
    <row r="356" spans="1:27" ht="12.95" customHeight="1">
      <c r="A356" s="43">
        <v>234</v>
      </c>
      <c r="B356" s="56" t="s">
        <v>8</v>
      </c>
      <c r="C356" s="56" t="s">
        <v>12</v>
      </c>
      <c r="D356" s="43" t="s">
        <v>19</v>
      </c>
      <c r="E356" s="95" t="s">
        <v>25</v>
      </c>
      <c r="F356" s="96" t="s">
        <v>8</v>
      </c>
      <c r="G356" s="55">
        <v>394694</v>
      </c>
      <c r="H356" s="55" t="s">
        <v>9</v>
      </c>
      <c r="I356" s="56" t="s">
        <v>19</v>
      </c>
      <c r="J356" s="97" t="s">
        <v>25</v>
      </c>
      <c r="K356" s="43" t="s">
        <v>140</v>
      </c>
      <c r="L356" s="55" t="s">
        <v>140</v>
      </c>
      <c r="M356" s="98" t="s">
        <v>132</v>
      </c>
      <c r="N356" s="49">
        <v>45948</v>
      </c>
      <c r="O356" s="49">
        <f t="shared" si="5"/>
        <v>45948</v>
      </c>
      <c r="P356" s="51" t="s">
        <v>129</v>
      </c>
      <c r="Q356" s="51" t="s">
        <v>132</v>
      </c>
      <c r="R356" s="51">
        <f t="shared" ca="1" si="6"/>
        <v>250</v>
      </c>
      <c r="S356" s="72" t="str">
        <f t="shared" ca="1" si="7"/>
        <v>90+</v>
      </c>
      <c r="T356" s="50" t="s">
        <v>25</v>
      </c>
      <c r="U356" s="46" t="s">
        <v>137</v>
      </c>
      <c r="V356" s="49"/>
      <c r="W356" s="52"/>
      <c r="X356" s="51"/>
      <c r="Y356" s="51">
        <v>2</v>
      </c>
      <c r="AA356" s="51"/>
    </row>
    <row r="357" spans="1:27" ht="12.95" customHeight="1">
      <c r="A357" s="43">
        <v>231</v>
      </c>
      <c r="B357" s="56" t="s">
        <v>8</v>
      </c>
      <c r="C357" s="56" t="s">
        <v>12</v>
      </c>
      <c r="D357" s="43" t="s">
        <v>19</v>
      </c>
      <c r="E357" s="95" t="s">
        <v>25</v>
      </c>
      <c r="F357" s="96" t="s">
        <v>17</v>
      </c>
      <c r="G357" s="55">
        <v>230241</v>
      </c>
      <c r="H357" s="55" t="s">
        <v>26</v>
      </c>
      <c r="I357" s="56" t="s">
        <v>19</v>
      </c>
      <c r="J357" s="97" t="s">
        <v>25</v>
      </c>
      <c r="K357" s="43" t="s">
        <v>138</v>
      </c>
      <c r="L357" s="55" t="s">
        <v>138</v>
      </c>
      <c r="M357" s="98" t="s">
        <v>134</v>
      </c>
      <c r="N357" s="49">
        <v>45946</v>
      </c>
      <c r="O357" s="49">
        <f t="shared" si="5"/>
        <v>45946</v>
      </c>
      <c r="P357" s="51" t="s">
        <v>129</v>
      </c>
      <c r="Q357" s="51" t="s">
        <v>132</v>
      </c>
      <c r="R357" s="51">
        <f t="shared" ca="1" si="6"/>
        <v>252</v>
      </c>
      <c r="S357" s="72" t="str">
        <f t="shared" ca="1" si="7"/>
        <v>90+</v>
      </c>
      <c r="T357" s="50" t="s">
        <v>25</v>
      </c>
      <c r="U357" s="46" t="s">
        <v>137</v>
      </c>
      <c r="V357" s="49"/>
      <c r="W357" s="52"/>
      <c r="X357" s="51"/>
      <c r="Y357" s="51">
        <v>1</v>
      </c>
      <c r="AA357" s="51"/>
    </row>
    <row r="358" spans="1:27" ht="12.95" customHeight="1">
      <c r="A358" s="43">
        <v>407</v>
      </c>
      <c r="B358" s="56" t="s">
        <v>8</v>
      </c>
      <c r="C358" s="56" t="s">
        <v>12</v>
      </c>
      <c r="D358" s="43" t="s">
        <v>19</v>
      </c>
      <c r="E358" s="95" t="s">
        <v>25</v>
      </c>
      <c r="F358" s="96" t="s">
        <v>13</v>
      </c>
      <c r="G358" s="55">
        <v>282868</v>
      </c>
      <c r="H358" s="55" t="s">
        <v>9</v>
      </c>
      <c r="I358" s="56" t="s">
        <v>19</v>
      </c>
      <c r="J358" s="97" t="s">
        <v>25</v>
      </c>
      <c r="K358" s="43" t="s">
        <v>134</v>
      </c>
      <c r="L358" s="55" t="s">
        <v>134</v>
      </c>
      <c r="M358" s="98" t="s">
        <v>127</v>
      </c>
      <c r="N358" s="49">
        <v>46017</v>
      </c>
      <c r="O358" s="49">
        <f t="shared" si="5"/>
        <v>46017</v>
      </c>
      <c r="P358" s="51" t="s">
        <v>129</v>
      </c>
      <c r="Q358" s="51" t="s">
        <v>132</v>
      </c>
      <c r="R358" s="51">
        <f t="shared" ca="1" si="6"/>
        <v>181</v>
      </c>
      <c r="S358" s="72" t="str">
        <f t="shared" ca="1" si="7"/>
        <v>90+</v>
      </c>
      <c r="T358" s="50" t="s">
        <v>25</v>
      </c>
      <c r="U358" s="46" t="s">
        <v>137</v>
      </c>
      <c r="V358" s="49"/>
      <c r="W358" s="52"/>
      <c r="X358" s="51"/>
      <c r="Y358" s="51">
        <v>2</v>
      </c>
      <c r="AA358" s="51"/>
    </row>
    <row r="359" spans="1:27" ht="12.95" customHeight="1">
      <c r="A359" s="43">
        <v>512</v>
      </c>
      <c r="B359" s="56" t="s">
        <v>8</v>
      </c>
      <c r="C359" s="56" t="s">
        <v>12</v>
      </c>
      <c r="D359" s="43" t="s">
        <v>19</v>
      </c>
      <c r="E359" s="95" t="s">
        <v>25</v>
      </c>
      <c r="F359" s="96" t="s">
        <v>26</v>
      </c>
      <c r="G359" s="55">
        <v>200004</v>
      </c>
      <c r="H359" s="43" t="s">
        <v>26</v>
      </c>
      <c r="I359" s="56" t="s">
        <v>19</v>
      </c>
      <c r="J359" s="97" t="s">
        <v>9</v>
      </c>
      <c r="K359" s="43" t="s">
        <v>134</v>
      </c>
      <c r="L359" s="55" t="s">
        <v>134</v>
      </c>
      <c r="M359" s="98" t="s">
        <v>132</v>
      </c>
      <c r="N359" s="49">
        <v>45935</v>
      </c>
      <c r="O359" s="49">
        <f t="shared" si="5"/>
        <v>45935</v>
      </c>
      <c r="P359" s="51" t="s">
        <v>145</v>
      </c>
      <c r="Q359" s="51" t="s">
        <v>141</v>
      </c>
      <c r="R359" s="51">
        <f t="shared" ca="1" si="6"/>
        <v>263</v>
      </c>
      <c r="S359" s="72" t="str">
        <f t="shared" ca="1" si="7"/>
        <v>90+</v>
      </c>
      <c r="T359" s="50" t="s">
        <v>25</v>
      </c>
      <c r="U359" s="46" t="s">
        <v>137</v>
      </c>
      <c r="V359" s="49"/>
      <c r="W359" s="52"/>
      <c r="X359" s="51"/>
      <c r="Y359" s="51">
        <v>1</v>
      </c>
      <c r="AA359" s="51"/>
    </row>
    <row r="360" spans="1:27" ht="12.95" customHeight="1">
      <c r="A360" s="43">
        <v>499</v>
      </c>
      <c r="B360" s="56" t="s">
        <v>8</v>
      </c>
      <c r="C360" s="56" t="s">
        <v>12</v>
      </c>
      <c r="D360" s="43" t="s">
        <v>19</v>
      </c>
      <c r="E360" s="95" t="s">
        <v>25</v>
      </c>
      <c r="F360" s="96" t="s">
        <v>20</v>
      </c>
      <c r="G360" s="55">
        <v>370921</v>
      </c>
      <c r="H360" s="55" t="s">
        <v>26</v>
      </c>
      <c r="I360" s="56" t="s">
        <v>19</v>
      </c>
      <c r="J360" s="97" t="s">
        <v>25</v>
      </c>
      <c r="K360" s="43" t="s">
        <v>134</v>
      </c>
      <c r="L360" s="55" t="s">
        <v>134</v>
      </c>
      <c r="M360" s="98" t="s">
        <v>133</v>
      </c>
      <c r="N360" s="49">
        <v>45786</v>
      </c>
      <c r="O360" s="49">
        <f t="shared" si="5"/>
        <v>45786</v>
      </c>
      <c r="P360" s="51" t="s">
        <v>129</v>
      </c>
      <c r="Q360" s="51" t="s">
        <v>132</v>
      </c>
      <c r="R360" s="51">
        <f t="shared" ca="1" si="6"/>
        <v>412</v>
      </c>
      <c r="S360" s="72" t="str">
        <f t="shared" ca="1" si="7"/>
        <v>90+</v>
      </c>
      <c r="T360" s="50" t="s">
        <v>25</v>
      </c>
      <c r="U360" s="46" t="s">
        <v>137</v>
      </c>
      <c r="V360" s="49"/>
      <c r="W360" s="52"/>
      <c r="X360" s="51"/>
      <c r="Y360" s="51">
        <v>2</v>
      </c>
      <c r="AA360" s="51"/>
    </row>
    <row r="361" spans="1:27" ht="12.95" customHeight="1">
      <c r="A361" s="43">
        <v>292</v>
      </c>
      <c r="B361" s="56" t="s">
        <v>8</v>
      </c>
      <c r="C361" s="56" t="s">
        <v>12</v>
      </c>
      <c r="D361" s="43" t="s">
        <v>19</v>
      </c>
      <c r="E361" s="95" t="s">
        <v>25</v>
      </c>
      <c r="F361" s="96" t="s">
        <v>29</v>
      </c>
      <c r="G361" s="55">
        <v>472744</v>
      </c>
      <c r="H361" s="43" t="s">
        <v>26</v>
      </c>
      <c r="I361" s="56" t="s">
        <v>19</v>
      </c>
      <c r="J361" s="97" t="s">
        <v>25</v>
      </c>
      <c r="K361" s="43" t="s">
        <v>134</v>
      </c>
      <c r="L361" s="55" t="s">
        <v>134</v>
      </c>
      <c r="M361" s="98" t="s">
        <v>133</v>
      </c>
      <c r="N361" s="49">
        <v>45733</v>
      </c>
      <c r="O361" s="49">
        <f t="shared" si="5"/>
        <v>45733</v>
      </c>
      <c r="P361" s="51" t="s">
        <v>129</v>
      </c>
      <c r="Q361" s="51" t="s">
        <v>132</v>
      </c>
      <c r="R361" s="51">
        <f t="shared" ca="1" si="6"/>
        <v>465</v>
      </c>
      <c r="S361" s="72" t="str">
        <f t="shared" ca="1" si="7"/>
        <v>90+</v>
      </c>
      <c r="T361" s="50" t="s">
        <v>25</v>
      </c>
      <c r="U361" s="46" t="s">
        <v>137</v>
      </c>
      <c r="V361" s="49"/>
      <c r="W361" s="52"/>
      <c r="X361" s="51"/>
      <c r="Y361" s="51">
        <v>1</v>
      </c>
      <c r="AA361" s="51"/>
    </row>
    <row r="362" spans="1:27" ht="12.95" customHeight="1">
      <c r="A362" s="43">
        <v>397</v>
      </c>
      <c r="B362" s="56" t="s">
        <v>8</v>
      </c>
      <c r="C362" s="56" t="s">
        <v>12</v>
      </c>
      <c r="D362" s="43" t="s">
        <v>19</v>
      </c>
      <c r="E362" s="95" t="s">
        <v>43</v>
      </c>
      <c r="F362" s="96" t="s">
        <v>6</v>
      </c>
      <c r="G362" s="55">
        <v>52146789</v>
      </c>
      <c r="H362" s="43" t="s">
        <v>26</v>
      </c>
      <c r="I362" s="56" t="s">
        <v>19</v>
      </c>
      <c r="J362" s="97" t="s">
        <v>9</v>
      </c>
      <c r="K362" s="43" t="s">
        <v>134</v>
      </c>
      <c r="L362" s="55" t="s">
        <v>134</v>
      </c>
      <c r="M362" s="98" t="s">
        <v>126</v>
      </c>
      <c r="N362" s="49">
        <v>45935</v>
      </c>
      <c r="O362" s="49">
        <f t="shared" si="5"/>
        <v>45935</v>
      </c>
      <c r="P362" s="51" t="s">
        <v>129</v>
      </c>
      <c r="Q362" s="51" t="s">
        <v>132</v>
      </c>
      <c r="R362" s="51">
        <f t="shared" ca="1" si="6"/>
        <v>263</v>
      </c>
      <c r="S362" s="72" t="str">
        <f t="shared" ca="1" si="7"/>
        <v>90+</v>
      </c>
      <c r="T362" s="50" t="s">
        <v>25</v>
      </c>
      <c r="U362" s="46" t="s">
        <v>137</v>
      </c>
      <c r="V362" s="49"/>
      <c r="W362" s="52"/>
      <c r="X362" s="51"/>
      <c r="Y362" s="51">
        <v>1</v>
      </c>
      <c r="AA362" s="51"/>
    </row>
    <row r="363" spans="1:27" ht="12.95" customHeight="1">
      <c r="A363" s="43">
        <v>380</v>
      </c>
      <c r="B363" s="56" t="s">
        <v>8</v>
      </c>
      <c r="C363" s="56" t="s">
        <v>12</v>
      </c>
      <c r="D363" s="43" t="s">
        <v>19</v>
      </c>
      <c r="E363" s="95" t="s">
        <v>25</v>
      </c>
      <c r="F363" s="96" t="s">
        <v>20</v>
      </c>
      <c r="G363" s="55">
        <v>58509958</v>
      </c>
      <c r="H363" s="55" t="s">
        <v>26</v>
      </c>
      <c r="I363" s="56" t="s">
        <v>19</v>
      </c>
      <c r="J363" s="97" t="s">
        <v>9</v>
      </c>
      <c r="K363" s="43" t="s">
        <v>134</v>
      </c>
      <c r="L363" s="55" t="s">
        <v>134</v>
      </c>
      <c r="M363" s="98" t="s">
        <v>127</v>
      </c>
      <c r="N363" s="49">
        <v>45925</v>
      </c>
      <c r="O363" s="49">
        <f t="shared" si="5"/>
        <v>45925</v>
      </c>
      <c r="P363" s="51" t="s">
        <v>129</v>
      </c>
      <c r="Q363" s="51" t="s">
        <v>132</v>
      </c>
      <c r="R363" s="51">
        <f t="shared" ca="1" si="6"/>
        <v>273</v>
      </c>
      <c r="S363" s="72" t="str">
        <f t="shared" ca="1" si="7"/>
        <v>90+</v>
      </c>
      <c r="T363" s="50" t="s">
        <v>25</v>
      </c>
      <c r="U363" s="46" t="s">
        <v>141</v>
      </c>
      <c r="V363" s="49"/>
      <c r="W363" s="52"/>
      <c r="X363" s="51" t="s">
        <v>127</v>
      </c>
      <c r="Y363" s="51">
        <v>3</v>
      </c>
      <c r="AA363" s="51"/>
    </row>
    <row r="364" spans="1:27" ht="12.95" customHeight="1">
      <c r="A364" s="43">
        <v>207</v>
      </c>
      <c r="B364" s="56" t="s">
        <v>8</v>
      </c>
      <c r="C364" s="56" t="s">
        <v>12</v>
      </c>
      <c r="D364" s="43" t="s">
        <v>19</v>
      </c>
      <c r="E364" s="95" t="s">
        <v>25</v>
      </c>
      <c r="F364" s="96" t="s">
        <v>26</v>
      </c>
      <c r="G364" s="55">
        <v>67674987</v>
      </c>
      <c r="H364" s="55" t="s">
        <v>26</v>
      </c>
      <c r="I364" s="56" t="s">
        <v>19</v>
      </c>
      <c r="J364" s="97" t="s">
        <v>25</v>
      </c>
      <c r="K364" s="43" t="s">
        <v>134</v>
      </c>
      <c r="L364" s="55" t="s">
        <v>134</v>
      </c>
      <c r="M364" s="98" t="s">
        <v>126</v>
      </c>
      <c r="N364" s="49">
        <v>45935</v>
      </c>
      <c r="O364" s="49">
        <f t="shared" si="5"/>
        <v>45935</v>
      </c>
      <c r="P364" s="51" t="s">
        <v>129</v>
      </c>
      <c r="Q364" s="51" t="s">
        <v>132</v>
      </c>
      <c r="R364" s="51">
        <f t="shared" ca="1" si="6"/>
        <v>263</v>
      </c>
      <c r="S364" s="72" t="str">
        <f t="shared" ca="1" si="7"/>
        <v>90+</v>
      </c>
      <c r="T364" s="50" t="s">
        <v>25</v>
      </c>
      <c r="U364" s="51" t="s">
        <v>137</v>
      </c>
      <c r="V364" s="49"/>
      <c r="W364" s="52"/>
      <c r="X364" s="51" t="s">
        <v>132</v>
      </c>
      <c r="Y364" s="51">
        <v>2</v>
      </c>
      <c r="AA364" s="51"/>
    </row>
    <row r="365" spans="1:27" ht="12.95" customHeight="1">
      <c r="A365" s="43">
        <v>389</v>
      </c>
      <c r="B365" s="56" t="s">
        <v>8</v>
      </c>
      <c r="C365" s="56" t="s">
        <v>12</v>
      </c>
      <c r="D365" s="43" t="s">
        <v>19</v>
      </c>
      <c r="E365" s="95" t="s">
        <v>25</v>
      </c>
      <c r="F365" s="96" t="s">
        <v>14</v>
      </c>
      <c r="G365" s="55">
        <v>93759083</v>
      </c>
      <c r="H365" s="55" t="s">
        <v>17</v>
      </c>
      <c r="I365" s="56" t="s">
        <v>19</v>
      </c>
      <c r="J365" s="97" t="s">
        <v>17</v>
      </c>
      <c r="K365" s="43" t="s">
        <v>140</v>
      </c>
      <c r="L365" s="55" t="s">
        <v>140</v>
      </c>
      <c r="M365" s="98" t="s">
        <v>139</v>
      </c>
      <c r="N365" s="49">
        <v>46040</v>
      </c>
      <c r="O365" s="49">
        <f t="shared" si="5"/>
        <v>46040</v>
      </c>
      <c r="P365" s="51" t="s">
        <v>144</v>
      </c>
      <c r="Q365" s="51" t="s">
        <v>126</v>
      </c>
      <c r="R365" s="51">
        <f t="shared" ca="1" si="6"/>
        <v>158</v>
      </c>
      <c r="S365" s="72" t="str">
        <f t="shared" ca="1" si="7"/>
        <v>90+</v>
      </c>
      <c r="T365" s="50" t="s">
        <v>25</v>
      </c>
      <c r="U365" s="49" t="s">
        <v>131</v>
      </c>
      <c r="V365" s="49"/>
      <c r="W365" s="52"/>
      <c r="X365" s="51" t="s">
        <v>131</v>
      </c>
      <c r="Y365" s="51" t="s">
        <v>143</v>
      </c>
      <c r="AA365" s="51"/>
    </row>
    <row r="366" spans="1:27" ht="12.95" customHeight="1">
      <c r="A366" s="43">
        <v>485</v>
      </c>
      <c r="B366" s="56" t="s">
        <v>8</v>
      </c>
      <c r="C366" s="56" t="s">
        <v>12</v>
      </c>
      <c r="D366" s="43" t="s">
        <v>19</v>
      </c>
      <c r="E366" s="95" t="s">
        <v>25</v>
      </c>
      <c r="F366" s="96" t="s">
        <v>33</v>
      </c>
      <c r="G366" s="55">
        <v>70494903</v>
      </c>
      <c r="H366" s="55" t="s">
        <v>26</v>
      </c>
      <c r="I366" s="56" t="s">
        <v>19</v>
      </c>
      <c r="J366" s="97" t="s">
        <v>25</v>
      </c>
      <c r="K366" s="43" t="s">
        <v>140</v>
      </c>
      <c r="L366" s="55" t="s">
        <v>140</v>
      </c>
      <c r="M366" s="98" t="s">
        <v>134</v>
      </c>
      <c r="N366" s="49">
        <v>46091</v>
      </c>
      <c r="O366" s="49">
        <f t="shared" si="5"/>
        <v>46091</v>
      </c>
      <c r="P366" s="51" t="s">
        <v>129</v>
      </c>
      <c r="Q366" s="51" t="s">
        <v>132</v>
      </c>
      <c r="R366" s="51">
        <f t="shared" ca="1" si="6"/>
        <v>107</v>
      </c>
      <c r="S366" s="72" t="str">
        <f t="shared" ca="1" si="7"/>
        <v>90+</v>
      </c>
      <c r="T366" s="50" t="s">
        <v>25</v>
      </c>
      <c r="U366" s="49" t="s">
        <v>131</v>
      </c>
      <c r="V366" s="49"/>
      <c r="W366" s="52"/>
      <c r="X366" s="51" t="s">
        <v>133</v>
      </c>
      <c r="Y366" s="51" t="s">
        <v>143</v>
      </c>
      <c r="AA366" s="51"/>
    </row>
    <row r="367" spans="1:27" ht="12.95" customHeight="1">
      <c r="A367" s="43">
        <v>476</v>
      </c>
      <c r="B367" s="56" t="s">
        <v>8</v>
      </c>
      <c r="C367" s="56" t="s">
        <v>12</v>
      </c>
      <c r="D367" s="43" t="s">
        <v>19</v>
      </c>
      <c r="E367" s="95" t="s">
        <v>25</v>
      </c>
      <c r="F367" s="96" t="s">
        <v>30</v>
      </c>
      <c r="G367" s="55">
        <v>41592399</v>
      </c>
      <c r="H367" s="55" t="s">
        <v>9</v>
      </c>
      <c r="I367" s="56" t="s">
        <v>19</v>
      </c>
      <c r="J367" s="97" t="s">
        <v>25</v>
      </c>
      <c r="K367" s="43" t="s">
        <v>134</v>
      </c>
      <c r="L367" s="55" t="s">
        <v>134</v>
      </c>
      <c r="M367" s="98" t="s">
        <v>127</v>
      </c>
      <c r="N367" s="49">
        <v>45946</v>
      </c>
      <c r="O367" s="49">
        <f t="shared" si="5"/>
        <v>45946</v>
      </c>
      <c r="P367" s="51" t="s">
        <v>129</v>
      </c>
      <c r="Q367" s="51" t="s">
        <v>132</v>
      </c>
      <c r="R367" s="51">
        <f t="shared" ca="1" si="6"/>
        <v>252</v>
      </c>
      <c r="S367" s="72" t="str">
        <f t="shared" ca="1" si="7"/>
        <v>90+</v>
      </c>
      <c r="T367" s="50" t="s">
        <v>25</v>
      </c>
      <c r="U367" s="49" t="s">
        <v>131</v>
      </c>
      <c r="V367" s="49"/>
      <c r="W367" s="52"/>
      <c r="X367" s="51" t="s">
        <v>138</v>
      </c>
      <c r="Y367" s="51" t="s">
        <v>143</v>
      </c>
      <c r="AA367" s="51"/>
    </row>
    <row r="368" spans="1:27" ht="12.95" customHeight="1">
      <c r="A368" s="43">
        <v>297</v>
      </c>
      <c r="B368" s="56" t="s">
        <v>8</v>
      </c>
      <c r="C368" s="56" t="s">
        <v>12</v>
      </c>
      <c r="D368" s="43" t="s">
        <v>19</v>
      </c>
      <c r="E368" s="95" t="s">
        <v>25</v>
      </c>
      <c r="F368" s="96" t="s">
        <v>3</v>
      </c>
      <c r="G368" s="55">
        <v>384229</v>
      </c>
      <c r="H368" s="55" t="s">
        <v>9</v>
      </c>
      <c r="I368" s="56" t="s">
        <v>19</v>
      </c>
      <c r="J368" s="97" t="s">
        <v>25</v>
      </c>
      <c r="K368" s="43" t="s">
        <v>140</v>
      </c>
      <c r="L368" s="55" t="s">
        <v>140</v>
      </c>
      <c r="M368" s="98" t="s">
        <v>138</v>
      </c>
      <c r="N368" s="49">
        <v>46080</v>
      </c>
      <c r="O368" s="49">
        <f t="shared" si="5"/>
        <v>46080</v>
      </c>
      <c r="P368" s="51" t="s">
        <v>129</v>
      </c>
      <c r="Q368" s="51" t="s">
        <v>132</v>
      </c>
      <c r="R368" s="51">
        <f t="shared" ca="1" si="6"/>
        <v>118</v>
      </c>
      <c r="S368" s="72" t="str">
        <f t="shared" ca="1" si="7"/>
        <v>90+</v>
      </c>
      <c r="T368" s="50" t="s">
        <v>25</v>
      </c>
      <c r="U368" s="46" t="s">
        <v>137</v>
      </c>
      <c r="V368" s="49"/>
      <c r="W368" s="52"/>
      <c r="X368" s="51"/>
      <c r="Y368" s="51">
        <v>2</v>
      </c>
      <c r="AA368" s="51"/>
    </row>
    <row r="369" spans="1:27" ht="12.95" customHeight="1">
      <c r="A369" s="43">
        <v>412</v>
      </c>
      <c r="B369" s="56" t="s">
        <v>8</v>
      </c>
      <c r="C369" s="56" t="s">
        <v>12</v>
      </c>
      <c r="D369" s="43" t="s">
        <v>19</v>
      </c>
      <c r="E369" s="95" t="s">
        <v>25</v>
      </c>
      <c r="F369" s="96" t="s">
        <v>17</v>
      </c>
      <c r="G369" s="55">
        <v>260046</v>
      </c>
      <c r="H369" s="55" t="s">
        <v>26</v>
      </c>
      <c r="I369" s="56" t="s">
        <v>19</v>
      </c>
      <c r="J369" s="97" t="s">
        <v>25</v>
      </c>
      <c r="K369" s="43" t="s">
        <v>134</v>
      </c>
      <c r="L369" s="55" t="s">
        <v>134</v>
      </c>
      <c r="M369" s="98" t="s">
        <v>127</v>
      </c>
      <c r="N369" s="49">
        <v>45798</v>
      </c>
      <c r="O369" s="49">
        <f t="shared" si="5"/>
        <v>45798</v>
      </c>
      <c r="P369" s="51" t="s">
        <v>129</v>
      </c>
      <c r="Q369" s="51" t="s">
        <v>132</v>
      </c>
      <c r="R369" s="51">
        <f t="shared" ca="1" si="6"/>
        <v>400</v>
      </c>
      <c r="S369" s="72" t="str">
        <f t="shared" ca="1" si="7"/>
        <v>90+</v>
      </c>
      <c r="T369" s="50" t="s">
        <v>25</v>
      </c>
      <c r="U369" s="46" t="s">
        <v>141</v>
      </c>
      <c r="V369" s="49"/>
      <c r="W369" s="52">
        <v>55903</v>
      </c>
      <c r="X369" s="51" t="s">
        <v>139</v>
      </c>
      <c r="Y369" s="51">
        <v>3</v>
      </c>
      <c r="AA369" s="51"/>
    </row>
    <row r="370" spans="1:27" ht="12.95" customHeight="1">
      <c r="A370" s="43">
        <v>339</v>
      </c>
      <c r="B370" s="56" t="s">
        <v>8</v>
      </c>
      <c r="C370" s="56" t="s">
        <v>12</v>
      </c>
      <c r="D370" s="43" t="s">
        <v>19</v>
      </c>
      <c r="E370" s="95" t="s">
        <v>25</v>
      </c>
      <c r="F370" s="96" t="s">
        <v>28</v>
      </c>
      <c r="G370" s="55">
        <v>82479597</v>
      </c>
      <c r="H370" s="55" t="s">
        <v>9</v>
      </c>
      <c r="I370" s="56" t="s">
        <v>19</v>
      </c>
      <c r="J370" s="97" t="s">
        <v>25</v>
      </c>
      <c r="K370" s="43" t="s">
        <v>127</v>
      </c>
      <c r="L370" s="55" t="s">
        <v>127</v>
      </c>
      <c r="M370" s="98" t="s">
        <v>133</v>
      </c>
      <c r="N370" s="49">
        <v>45988</v>
      </c>
      <c r="O370" s="49">
        <f t="shared" si="5"/>
        <v>45988</v>
      </c>
      <c r="P370" s="51" t="s">
        <v>129</v>
      </c>
      <c r="Q370" s="51" t="s">
        <v>132</v>
      </c>
      <c r="R370" s="51">
        <f t="shared" ca="1" si="6"/>
        <v>210</v>
      </c>
      <c r="S370" s="72" t="str">
        <f t="shared" ca="1" si="7"/>
        <v>90+</v>
      </c>
      <c r="T370" s="50" t="s">
        <v>25</v>
      </c>
      <c r="U370" s="49" t="s">
        <v>131</v>
      </c>
      <c r="V370" s="49"/>
      <c r="W370" s="52"/>
      <c r="X370" s="51" t="s">
        <v>131</v>
      </c>
      <c r="Y370" s="51" t="s">
        <v>143</v>
      </c>
      <c r="AA370" s="51"/>
    </row>
    <row r="371" spans="1:27" ht="12.95" customHeight="1">
      <c r="A371" s="43">
        <v>333</v>
      </c>
      <c r="B371" s="56" t="s">
        <v>8</v>
      </c>
      <c r="C371" s="56" t="s">
        <v>12</v>
      </c>
      <c r="D371" s="43" t="s">
        <v>19</v>
      </c>
      <c r="E371" s="95" t="s">
        <v>25</v>
      </c>
      <c r="F371" s="96" t="s">
        <v>7</v>
      </c>
      <c r="G371" s="55">
        <v>87413340</v>
      </c>
      <c r="H371" s="55" t="s">
        <v>26</v>
      </c>
      <c r="I371" s="56" t="s">
        <v>19</v>
      </c>
      <c r="J371" s="97" t="s">
        <v>9</v>
      </c>
      <c r="K371" s="43" t="s">
        <v>134</v>
      </c>
      <c r="L371" s="55" t="s">
        <v>134</v>
      </c>
      <c r="M371" s="98" t="s">
        <v>127</v>
      </c>
      <c r="N371" s="49">
        <v>45853</v>
      </c>
      <c r="O371" s="49">
        <f t="shared" ref="O371:O402" si="8">N371</f>
        <v>45853</v>
      </c>
      <c r="P371" s="51" t="s">
        <v>129</v>
      </c>
      <c r="Q371" s="51" t="s">
        <v>132</v>
      </c>
      <c r="R371" s="51">
        <f t="shared" ref="R371:R402" ca="1" si="9">TODAY()-N371</f>
        <v>345</v>
      </c>
      <c r="S371" s="72" t="str">
        <f t="shared" ref="S371:S402" ca="1" si="10">IF(N371="","",IF(TODAY()-N371&lt;=30,"0-30",IF(TODAY()-N371&lt;=60,"30-60",IF(TODAY()-N371&lt;=90,"60-90","90+"))))</f>
        <v>90+</v>
      </c>
      <c r="T371" s="50" t="s">
        <v>25</v>
      </c>
      <c r="U371" s="49" t="s">
        <v>131</v>
      </c>
      <c r="V371" s="49"/>
      <c r="W371" s="52"/>
      <c r="X371" s="51" t="s">
        <v>131</v>
      </c>
      <c r="Y371" s="51" t="s">
        <v>143</v>
      </c>
      <c r="AA371" s="51"/>
    </row>
    <row r="372" spans="1:27" ht="12.95" customHeight="1">
      <c r="A372" s="43">
        <v>319</v>
      </c>
      <c r="B372" s="56" t="s">
        <v>8</v>
      </c>
      <c r="C372" s="56" t="s">
        <v>12</v>
      </c>
      <c r="D372" s="43" t="s">
        <v>19</v>
      </c>
      <c r="E372" s="95" t="s">
        <v>25</v>
      </c>
      <c r="F372" s="96" t="s">
        <v>33</v>
      </c>
      <c r="G372" s="55">
        <v>453889</v>
      </c>
      <c r="H372" s="55" t="s">
        <v>9</v>
      </c>
      <c r="I372" s="56" t="s">
        <v>19</v>
      </c>
      <c r="J372" s="97" t="s">
        <v>9</v>
      </c>
      <c r="K372" s="43" t="s">
        <v>134</v>
      </c>
      <c r="L372" s="55" t="s">
        <v>134</v>
      </c>
      <c r="M372" s="98" t="s">
        <v>127</v>
      </c>
      <c r="N372" s="49">
        <v>45989</v>
      </c>
      <c r="O372" s="49">
        <f t="shared" si="8"/>
        <v>45989</v>
      </c>
      <c r="P372" s="51" t="s">
        <v>129</v>
      </c>
      <c r="Q372" s="51" t="s">
        <v>132</v>
      </c>
      <c r="R372" s="51">
        <f t="shared" ca="1" si="9"/>
        <v>209</v>
      </c>
      <c r="S372" s="72" t="str">
        <f t="shared" ca="1" si="10"/>
        <v>90+</v>
      </c>
      <c r="T372" s="50" t="s">
        <v>25</v>
      </c>
      <c r="U372" s="46" t="s">
        <v>137</v>
      </c>
      <c r="V372" s="49"/>
      <c r="W372" s="52"/>
      <c r="X372" s="51"/>
      <c r="Y372" s="51">
        <v>2</v>
      </c>
      <c r="AA372" s="51"/>
    </row>
    <row r="373" spans="1:27" ht="12.95" customHeight="1">
      <c r="A373" s="43">
        <v>272</v>
      </c>
      <c r="B373" s="56" t="s">
        <v>8</v>
      </c>
      <c r="C373" s="56" t="s">
        <v>12</v>
      </c>
      <c r="D373" s="43" t="s">
        <v>19</v>
      </c>
      <c r="E373" s="95" t="s">
        <v>25</v>
      </c>
      <c r="F373" s="96" t="s">
        <v>20</v>
      </c>
      <c r="G373" s="55">
        <v>333792</v>
      </c>
      <c r="H373" s="55" t="s">
        <v>26</v>
      </c>
      <c r="I373" s="56" t="s">
        <v>19</v>
      </c>
      <c r="J373" s="97" t="s">
        <v>9</v>
      </c>
      <c r="K373" s="43" t="s">
        <v>134</v>
      </c>
      <c r="L373" s="55" t="s">
        <v>134</v>
      </c>
      <c r="M373" s="98" t="s">
        <v>127</v>
      </c>
      <c r="N373" s="49">
        <v>45989</v>
      </c>
      <c r="O373" s="49">
        <f t="shared" si="8"/>
        <v>45989</v>
      </c>
      <c r="P373" s="51" t="s">
        <v>129</v>
      </c>
      <c r="Q373" s="51" t="s">
        <v>132</v>
      </c>
      <c r="R373" s="51">
        <f t="shared" ca="1" si="9"/>
        <v>209</v>
      </c>
      <c r="S373" s="72" t="str">
        <f t="shared" ca="1" si="10"/>
        <v>90+</v>
      </c>
      <c r="T373" s="50" t="s">
        <v>25</v>
      </c>
      <c r="U373" s="51" t="s">
        <v>137</v>
      </c>
      <c r="V373" s="49"/>
      <c r="W373" s="52"/>
      <c r="X373" s="51"/>
      <c r="Y373" s="51">
        <v>2</v>
      </c>
      <c r="AA373" s="51"/>
    </row>
    <row r="374" spans="1:27" ht="12.95" customHeight="1">
      <c r="A374" s="43">
        <v>440</v>
      </c>
      <c r="B374" s="56" t="s">
        <v>8</v>
      </c>
      <c r="C374" s="56" t="s">
        <v>12</v>
      </c>
      <c r="D374" s="43" t="s">
        <v>19</v>
      </c>
      <c r="E374" s="95" t="s">
        <v>25</v>
      </c>
      <c r="F374" s="96" t="s">
        <v>7</v>
      </c>
      <c r="G374" s="55">
        <v>364836</v>
      </c>
      <c r="H374" s="55" t="s">
        <v>26</v>
      </c>
      <c r="I374" s="56" t="s">
        <v>19</v>
      </c>
      <c r="J374" s="97" t="s">
        <v>9</v>
      </c>
      <c r="K374" s="43" t="s">
        <v>134</v>
      </c>
      <c r="L374" s="55" t="s">
        <v>134</v>
      </c>
      <c r="M374" s="98" t="s">
        <v>133</v>
      </c>
      <c r="N374" s="49">
        <v>46123</v>
      </c>
      <c r="O374" s="49">
        <f t="shared" si="8"/>
        <v>46123</v>
      </c>
      <c r="P374" s="51" t="s">
        <v>129</v>
      </c>
      <c r="Q374" s="51" t="s">
        <v>132</v>
      </c>
      <c r="R374" s="51">
        <f t="shared" ca="1" si="9"/>
        <v>75</v>
      </c>
      <c r="S374" s="72" t="str">
        <f t="shared" ca="1" si="10"/>
        <v>60-90</v>
      </c>
      <c r="T374" s="50" t="s">
        <v>25</v>
      </c>
      <c r="U374" s="46" t="s">
        <v>137</v>
      </c>
      <c r="V374" s="49"/>
      <c r="W374" s="52"/>
      <c r="X374" s="51"/>
      <c r="Y374" s="51">
        <v>1</v>
      </c>
      <c r="AA374" s="51"/>
    </row>
    <row r="375" spans="1:27" ht="12.95" customHeight="1">
      <c r="A375" s="43">
        <v>475</v>
      </c>
      <c r="B375" s="56" t="s">
        <v>8</v>
      </c>
      <c r="C375" s="56" t="s">
        <v>12</v>
      </c>
      <c r="D375" s="43" t="s">
        <v>19</v>
      </c>
      <c r="E375" s="95" t="s">
        <v>25</v>
      </c>
      <c r="F375" s="96" t="s">
        <v>28</v>
      </c>
      <c r="G375" s="55">
        <v>399554</v>
      </c>
      <c r="H375" s="55" t="s">
        <v>9</v>
      </c>
      <c r="I375" s="56" t="s">
        <v>19</v>
      </c>
      <c r="J375" s="97" t="s">
        <v>9</v>
      </c>
      <c r="K375" s="43" t="s">
        <v>134</v>
      </c>
      <c r="L375" s="55" t="s">
        <v>134</v>
      </c>
      <c r="M375" s="98" t="s">
        <v>141</v>
      </c>
      <c r="N375" s="49">
        <v>46126</v>
      </c>
      <c r="O375" s="49">
        <f t="shared" si="8"/>
        <v>46126</v>
      </c>
      <c r="P375" s="51" t="s">
        <v>145</v>
      </c>
      <c r="Q375" s="51" t="s">
        <v>141</v>
      </c>
      <c r="R375" s="51">
        <f t="shared" ca="1" si="9"/>
        <v>72</v>
      </c>
      <c r="S375" s="72" t="str">
        <f t="shared" ca="1" si="10"/>
        <v>60-90</v>
      </c>
      <c r="T375" s="50" t="s">
        <v>25</v>
      </c>
      <c r="U375" s="46" t="s">
        <v>137</v>
      </c>
      <c r="V375" s="49"/>
      <c r="W375" s="52"/>
      <c r="X375" s="51"/>
      <c r="Y375" s="51">
        <v>1</v>
      </c>
      <c r="AA375" s="51"/>
    </row>
    <row r="376" spans="1:27" ht="12.95" customHeight="1">
      <c r="A376" s="43">
        <v>289</v>
      </c>
      <c r="B376" s="56" t="s">
        <v>8</v>
      </c>
      <c r="C376" s="56" t="s">
        <v>12</v>
      </c>
      <c r="D376" s="43" t="s">
        <v>19</v>
      </c>
      <c r="E376" s="95" t="s">
        <v>43</v>
      </c>
      <c r="F376" s="96" t="s">
        <v>43</v>
      </c>
      <c r="G376" s="55">
        <v>68380525</v>
      </c>
      <c r="H376" s="43" t="s">
        <v>26</v>
      </c>
      <c r="I376" s="56" t="s">
        <v>19</v>
      </c>
      <c r="J376" s="97" t="s">
        <v>9</v>
      </c>
      <c r="K376" s="43" t="s">
        <v>134</v>
      </c>
      <c r="L376" s="55" t="s">
        <v>134</v>
      </c>
      <c r="M376" s="98" t="s">
        <v>137</v>
      </c>
      <c r="N376" s="49">
        <v>46108</v>
      </c>
      <c r="O376" s="49">
        <f t="shared" si="8"/>
        <v>46108</v>
      </c>
      <c r="P376" s="51" t="s">
        <v>145</v>
      </c>
      <c r="Q376" s="51" t="s">
        <v>141</v>
      </c>
      <c r="R376" s="51">
        <f t="shared" ca="1" si="9"/>
        <v>90</v>
      </c>
      <c r="S376" s="72" t="str">
        <f t="shared" ca="1" si="10"/>
        <v>60-90</v>
      </c>
      <c r="T376" s="50" t="s">
        <v>25</v>
      </c>
      <c r="U376" s="46" t="s">
        <v>137</v>
      </c>
      <c r="V376" s="49"/>
      <c r="W376" s="52"/>
      <c r="X376" s="51"/>
      <c r="Y376" s="51">
        <v>1</v>
      </c>
      <c r="AA376" s="51"/>
    </row>
    <row r="377" spans="1:27" ht="12.95" customHeight="1">
      <c r="A377" s="43">
        <v>218</v>
      </c>
      <c r="B377" s="56" t="s">
        <v>8</v>
      </c>
      <c r="C377" s="56" t="s">
        <v>12</v>
      </c>
      <c r="D377" s="43" t="s">
        <v>19</v>
      </c>
      <c r="E377" s="95" t="s">
        <v>25</v>
      </c>
      <c r="F377" s="96" t="s">
        <v>5</v>
      </c>
      <c r="G377" s="55">
        <v>64126442</v>
      </c>
      <c r="H377" s="43" t="s">
        <v>26</v>
      </c>
      <c r="I377" s="56" t="s">
        <v>19</v>
      </c>
      <c r="J377" s="97" t="s">
        <v>9</v>
      </c>
      <c r="K377" s="43" t="s">
        <v>134</v>
      </c>
      <c r="L377" s="55" t="s">
        <v>134</v>
      </c>
      <c r="M377" s="98" t="s">
        <v>133</v>
      </c>
      <c r="N377" s="49">
        <v>46126</v>
      </c>
      <c r="O377" s="49">
        <f t="shared" si="8"/>
        <v>46126</v>
      </c>
      <c r="P377" s="51" t="s">
        <v>129</v>
      </c>
      <c r="Q377" s="51" t="s">
        <v>132</v>
      </c>
      <c r="R377" s="51">
        <f t="shared" ca="1" si="9"/>
        <v>72</v>
      </c>
      <c r="S377" s="72" t="str">
        <f t="shared" ca="1" si="10"/>
        <v>60-90</v>
      </c>
      <c r="T377" s="50" t="s">
        <v>25</v>
      </c>
      <c r="U377" s="46" t="s">
        <v>137</v>
      </c>
      <c r="V377" s="49"/>
      <c r="W377" s="52"/>
      <c r="X377" s="51"/>
      <c r="Y377" s="51">
        <v>1</v>
      </c>
      <c r="AA377" s="51"/>
    </row>
    <row r="378" spans="1:27" ht="12.95" customHeight="1">
      <c r="A378" s="43">
        <v>354</v>
      </c>
      <c r="B378" s="56" t="s">
        <v>8</v>
      </c>
      <c r="C378" s="56" t="s">
        <v>12</v>
      </c>
      <c r="D378" s="43" t="s">
        <v>19</v>
      </c>
      <c r="E378" s="95" t="s">
        <v>25</v>
      </c>
      <c r="F378" s="96" t="s">
        <v>13</v>
      </c>
      <c r="G378" s="55">
        <v>176640</v>
      </c>
      <c r="H378" s="43" t="s">
        <v>26</v>
      </c>
      <c r="I378" s="56" t="s">
        <v>19</v>
      </c>
      <c r="J378" s="97" t="s">
        <v>25</v>
      </c>
      <c r="K378" s="43" t="s">
        <v>134</v>
      </c>
      <c r="L378" s="55" t="s">
        <v>134</v>
      </c>
      <c r="M378" s="98" t="s">
        <v>131</v>
      </c>
      <c r="N378" s="49">
        <v>45987</v>
      </c>
      <c r="O378" s="49">
        <f t="shared" si="8"/>
        <v>45987</v>
      </c>
      <c r="P378" s="51" t="s">
        <v>144</v>
      </c>
      <c r="Q378" s="51" t="s">
        <v>126</v>
      </c>
      <c r="R378" s="51">
        <f t="shared" ca="1" si="9"/>
        <v>211</v>
      </c>
      <c r="S378" s="72" t="str">
        <f t="shared" ca="1" si="10"/>
        <v>90+</v>
      </c>
      <c r="T378" s="50" t="s">
        <v>25</v>
      </c>
      <c r="U378" s="49" t="s">
        <v>131</v>
      </c>
      <c r="V378" s="49"/>
      <c r="W378" s="52"/>
      <c r="X378" s="51" t="s">
        <v>135</v>
      </c>
      <c r="Y378" s="51">
        <v>1</v>
      </c>
      <c r="AA378" s="51"/>
    </row>
    <row r="379" spans="1:27" ht="12.95" customHeight="1">
      <c r="A379" s="43">
        <v>276</v>
      </c>
      <c r="B379" s="56" t="s">
        <v>8</v>
      </c>
      <c r="C379" s="56" t="s">
        <v>12</v>
      </c>
      <c r="D379" s="43" t="s">
        <v>19</v>
      </c>
      <c r="E379" s="95" t="s">
        <v>25</v>
      </c>
      <c r="F379" s="96" t="s">
        <v>9</v>
      </c>
      <c r="G379" s="55">
        <v>378240</v>
      </c>
      <c r="H379" s="55" t="s">
        <v>26</v>
      </c>
      <c r="I379" s="56" t="s">
        <v>19</v>
      </c>
      <c r="J379" s="97" t="s">
        <v>9</v>
      </c>
      <c r="K379" s="43" t="s">
        <v>134</v>
      </c>
      <c r="L379" s="55" t="s">
        <v>134</v>
      </c>
      <c r="M379" s="98" t="s">
        <v>134</v>
      </c>
      <c r="N379" s="49">
        <v>46126</v>
      </c>
      <c r="O379" s="49">
        <f t="shared" si="8"/>
        <v>46126</v>
      </c>
      <c r="P379" s="51" t="s">
        <v>129</v>
      </c>
      <c r="Q379" s="51" t="s">
        <v>132</v>
      </c>
      <c r="R379" s="51">
        <f t="shared" ca="1" si="9"/>
        <v>72</v>
      </c>
      <c r="S379" s="72" t="str">
        <f t="shared" ca="1" si="10"/>
        <v>60-90</v>
      </c>
      <c r="T379" s="50" t="s">
        <v>25</v>
      </c>
      <c r="U379" s="49" t="s">
        <v>141</v>
      </c>
      <c r="V379" s="49"/>
      <c r="W379" s="52"/>
      <c r="X379" s="51" t="s">
        <v>141</v>
      </c>
      <c r="Y379" s="51">
        <v>2</v>
      </c>
      <c r="AA379" s="51"/>
    </row>
    <row r="380" spans="1:27" ht="12.95" customHeight="1">
      <c r="A380" s="43">
        <v>402</v>
      </c>
      <c r="B380" s="56" t="s">
        <v>8</v>
      </c>
      <c r="C380" s="56" t="s">
        <v>12</v>
      </c>
      <c r="D380" s="43" t="s">
        <v>19</v>
      </c>
      <c r="E380" s="95" t="s">
        <v>25</v>
      </c>
      <c r="F380" s="96" t="s">
        <v>13</v>
      </c>
      <c r="G380" s="55">
        <v>184192</v>
      </c>
      <c r="H380" s="55" t="s">
        <v>9</v>
      </c>
      <c r="I380" s="56" t="s">
        <v>19</v>
      </c>
      <c r="J380" s="97" t="s">
        <v>25</v>
      </c>
      <c r="K380" s="43" t="s">
        <v>134</v>
      </c>
      <c r="L380" s="55" t="s">
        <v>134</v>
      </c>
      <c r="M380" s="98" t="s">
        <v>134</v>
      </c>
      <c r="N380" s="49">
        <v>46136</v>
      </c>
      <c r="O380" s="49">
        <f t="shared" si="8"/>
        <v>46136</v>
      </c>
      <c r="P380" s="51" t="s">
        <v>144</v>
      </c>
      <c r="Q380" s="51" t="s">
        <v>126</v>
      </c>
      <c r="R380" s="51">
        <f t="shared" ca="1" si="9"/>
        <v>62</v>
      </c>
      <c r="S380" s="72" t="str">
        <f t="shared" ca="1" si="10"/>
        <v>60-90</v>
      </c>
      <c r="T380" s="50" t="s">
        <v>25</v>
      </c>
      <c r="U380" s="49" t="s">
        <v>131</v>
      </c>
      <c r="V380" s="49"/>
      <c r="W380" s="52"/>
      <c r="X380" s="51" t="s">
        <v>139</v>
      </c>
      <c r="Y380" s="51" t="s">
        <v>143</v>
      </c>
      <c r="AA380" s="51"/>
    </row>
    <row r="381" spans="1:27" ht="12.95" customHeight="1">
      <c r="A381" s="43">
        <v>331</v>
      </c>
      <c r="B381" s="56" t="s">
        <v>8</v>
      </c>
      <c r="C381" s="56" t="s">
        <v>12</v>
      </c>
      <c r="D381" s="62" t="s">
        <v>13</v>
      </c>
      <c r="E381" s="95" t="s">
        <v>65</v>
      </c>
      <c r="F381" s="96" t="s">
        <v>5</v>
      </c>
      <c r="G381" s="55" t="s">
        <v>142</v>
      </c>
      <c r="H381" s="43" t="s">
        <v>26</v>
      </c>
      <c r="I381" s="56" t="s">
        <v>19</v>
      </c>
      <c r="J381" s="97" t="s">
        <v>17</v>
      </c>
      <c r="K381" s="43" t="s">
        <v>140</v>
      </c>
      <c r="L381" s="55" t="s">
        <v>140</v>
      </c>
      <c r="M381" s="98" t="s">
        <v>133</v>
      </c>
      <c r="N381" s="49">
        <v>46169</v>
      </c>
      <c r="O381" s="49">
        <f t="shared" si="8"/>
        <v>46169</v>
      </c>
      <c r="P381" s="51" t="s">
        <v>129</v>
      </c>
      <c r="Q381" s="51" t="s">
        <v>132</v>
      </c>
      <c r="R381" s="51">
        <f t="shared" ca="1" si="9"/>
        <v>29</v>
      </c>
      <c r="S381" s="72" t="str">
        <f t="shared" ca="1" si="10"/>
        <v>0-30</v>
      </c>
      <c r="T381" s="50" t="s">
        <v>30</v>
      </c>
      <c r="U381" s="46" t="s">
        <v>137</v>
      </c>
      <c r="V381" s="49"/>
      <c r="W381" s="52"/>
      <c r="X381" s="51"/>
      <c r="Y381" s="51" t="s">
        <v>139</v>
      </c>
      <c r="AA381" s="51"/>
    </row>
    <row r="382" spans="1:27" ht="12.95" customHeight="1">
      <c r="A382" s="43">
        <v>415</v>
      </c>
      <c r="B382" s="56" t="s">
        <v>8</v>
      </c>
      <c r="C382" s="56" t="s">
        <v>12</v>
      </c>
      <c r="D382" s="62" t="s">
        <v>13</v>
      </c>
      <c r="E382" s="95" t="s">
        <v>65</v>
      </c>
      <c r="F382" s="96" t="s">
        <v>5</v>
      </c>
      <c r="G382" s="55" t="s">
        <v>142</v>
      </c>
      <c r="H382" s="55" t="s">
        <v>26</v>
      </c>
      <c r="I382" s="56" t="s">
        <v>19</v>
      </c>
      <c r="J382" s="97" t="s">
        <v>17</v>
      </c>
      <c r="K382" s="43" t="s">
        <v>140</v>
      </c>
      <c r="L382" s="55" t="s">
        <v>140</v>
      </c>
      <c r="M382" s="98" t="s">
        <v>137</v>
      </c>
      <c r="N382" s="49">
        <v>46169</v>
      </c>
      <c r="O382" s="49">
        <f t="shared" si="8"/>
        <v>46169</v>
      </c>
      <c r="P382" s="51" t="s">
        <v>129</v>
      </c>
      <c r="Q382" s="51" t="s">
        <v>132</v>
      </c>
      <c r="R382" s="51">
        <f t="shared" ca="1" si="9"/>
        <v>29</v>
      </c>
      <c r="S382" s="72" t="str">
        <f t="shared" ca="1" si="10"/>
        <v>0-30</v>
      </c>
      <c r="T382" s="50" t="s">
        <v>30</v>
      </c>
      <c r="U382" s="49" t="s">
        <v>141</v>
      </c>
      <c r="V382" s="49"/>
      <c r="W382" s="52"/>
      <c r="X382" s="51"/>
      <c r="Y382" s="51" t="s">
        <v>139</v>
      </c>
      <c r="AA382" s="51"/>
    </row>
    <row r="383" spans="1:27" ht="12.95" customHeight="1">
      <c r="A383" s="43">
        <v>550</v>
      </c>
      <c r="B383" s="56" t="s">
        <v>8</v>
      </c>
      <c r="C383" s="56" t="s">
        <v>12</v>
      </c>
      <c r="D383" s="62" t="s">
        <v>13</v>
      </c>
      <c r="E383" s="95" t="s">
        <v>65</v>
      </c>
      <c r="F383" s="96" t="s">
        <v>7</v>
      </c>
      <c r="G383" s="55" t="s">
        <v>142</v>
      </c>
      <c r="H383" s="43" t="s">
        <v>26</v>
      </c>
      <c r="I383" s="56" t="s">
        <v>19</v>
      </c>
      <c r="J383" s="97" t="s">
        <v>9</v>
      </c>
      <c r="K383" s="43" t="s">
        <v>140</v>
      </c>
      <c r="L383" s="55" t="s">
        <v>140</v>
      </c>
      <c r="M383" s="98" t="s">
        <v>137</v>
      </c>
      <c r="N383" s="49">
        <v>46169</v>
      </c>
      <c r="O383" s="49">
        <f t="shared" si="8"/>
        <v>46169</v>
      </c>
      <c r="P383" s="51" t="s">
        <v>129</v>
      </c>
      <c r="Q383" s="51" t="s">
        <v>132</v>
      </c>
      <c r="R383" s="51">
        <f t="shared" ca="1" si="9"/>
        <v>29</v>
      </c>
      <c r="S383" s="72" t="str">
        <f t="shared" ca="1" si="10"/>
        <v>0-30</v>
      </c>
      <c r="T383" s="50" t="s">
        <v>30</v>
      </c>
      <c r="U383" s="46" t="s">
        <v>137</v>
      </c>
      <c r="V383" s="49"/>
      <c r="W383" s="52"/>
      <c r="X383" s="51"/>
      <c r="Y383" s="51" t="s">
        <v>139</v>
      </c>
      <c r="AA383" s="51"/>
    </row>
    <row r="384" spans="1:27" ht="12.95" customHeight="1">
      <c r="A384" s="43">
        <v>310</v>
      </c>
      <c r="B384" s="56" t="s">
        <v>8</v>
      </c>
      <c r="C384" s="56" t="s">
        <v>12</v>
      </c>
      <c r="D384" s="62" t="s">
        <v>13</v>
      </c>
      <c r="E384" s="95" t="s">
        <v>65</v>
      </c>
      <c r="F384" s="96" t="s">
        <v>23</v>
      </c>
      <c r="G384" s="55" t="s">
        <v>142</v>
      </c>
      <c r="H384" s="55" t="s">
        <v>26</v>
      </c>
      <c r="I384" s="56" t="s">
        <v>19</v>
      </c>
      <c r="J384" s="97" t="s">
        <v>9</v>
      </c>
      <c r="K384" s="43" t="s">
        <v>140</v>
      </c>
      <c r="L384" s="55" t="s">
        <v>140</v>
      </c>
      <c r="M384" s="98" t="s">
        <v>137</v>
      </c>
      <c r="N384" s="49">
        <v>46169</v>
      </c>
      <c r="O384" s="49">
        <f t="shared" si="8"/>
        <v>46169</v>
      </c>
      <c r="P384" s="51" t="s">
        <v>129</v>
      </c>
      <c r="Q384" s="51" t="s">
        <v>132</v>
      </c>
      <c r="R384" s="51">
        <f t="shared" ca="1" si="9"/>
        <v>29</v>
      </c>
      <c r="S384" s="72" t="str">
        <f t="shared" ca="1" si="10"/>
        <v>0-30</v>
      </c>
      <c r="T384" s="50" t="s">
        <v>30</v>
      </c>
      <c r="U384" s="46" t="s">
        <v>137</v>
      </c>
      <c r="V384" s="49"/>
      <c r="W384" s="52"/>
      <c r="X384" s="51"/>
      <c r="Y384" s="51" t="s">
        <v>139</v>
      </c>
      <c r="AA384" s="51"/>
    </row>
    <row r="385" spans="1:27" ht="12.95" customHeight="1">
      <c r="A385" s="43">
        <v>453</v>
      </c>
      <c r="B385" s="56" t="s">
        <v>8</v>
      </c>
      <c r="C385" s="56" t="s">
        <v>12</v>
      </c>
      <c r="D385" s="62" t="s">
        <v>13</v>
      </c>
      <c r="E385" s="95" t="s">
        <v>65</v>
      </c>
      <c r="F385" s="96" t="s">
        <v>27</v>
      </c>
      <c r="G385" s="55" t="s">
        <v>142</v>
      </c>
      <c r="H385" s="91" t="s">
        <v>20</v>
      </c>
      <c r="I385" s="56" t="s">
        <v>19</v>
      </c>
      <c r="J385" s="97" t="s">
        <v>25</v>
      </c>
      <c r="K385" s="43" t="s">
        <v>140</v>
      </c>
      <c r="L385" s="55" t="s">
        <v>140</v>
      </c>
      <c r="M385" s="98" t="s">
        <v>131</v>
      </c>
      <c r="N385" s="49">
        <v>46169</v>
      </c>
      <c r="O385" s="49">
        <f t="shared" si="8"/>
        <v>46169</v>
      </c>
      <c r="P385" s="51" t="s">
        <v>129</v>
      </c>
      <c r="Q385" s="51" t="s">
        <v>132</v>
      </c>
      <c r="R385" s="51">
        <f t="shared" ca="1" si="9"/>
        <v>29</v>
      </c>
      <c r="S385" s="72" t="str">
        <f t="shared" ca="1" si="10"/>
        <v>0-30</v>
      </c>
      <c r="T385" s="50" t="s">
        <v>30</v>
      </c>
      <c r="U385" s="46" t="s">
        <v>137</v>
      </c>
      <c r="V385" s="49"/>
      <c r="W385" s="52"/>
      <c r="X385" s="51"/>
      <c r="Y385" s="51" t="s">
        <v>139</v>
      </c>
      <c r="AA385" s="51"/>
    </row>
    <row r="386" spans="1:27" ht="12.95" customHeight="1">
      <c r="A386" s="43">
        <v>358</v>
      </c>
      <c r="B386" s="56" t="s">
        <v>8</v>
      </c>
      <c r="C386" s="56" t="s">
        <v>12</v>
      </c>
      <c r="D386" s="62" t="s">
        <v>13</v>
      </c>
      <c r="E386" s="95" t="s">
        <v>65</v>
      </c>
      <c r="F386" s="96" t="s">
        <v>29</v>
      </c>
      <c r="G386" s="55" t="s">
        <v>142</v>
      </c>
      <c r="H386" s="43" t="s">
        <v>26</v>
      </c>
      <c r="I386" s="56" t="s">
        <v>19</v>
      </c>
      <c r="J386" s="97" t="s">
        <v>25</v>
      </c>
      <c r="K386" s="43" t="s">
        <v>140</v>
      </c>
      <c r="L386" s="55" t="s">
        <v>140</v>
      </c>
      <c r="M386" s="98" t="s">
        <v>131</v>
      </c>
      <c r="N386" s="49">
        <v>46169</v>
      </c>
      <c r="O386" s="49">
        <f t="shared" si="8"/>
        <v>46169</v>
      </c>
      <c r="P386" s="51" t="s">
        <v>129</v>
      </c>
      <c r="Q386" s="51" t="s">
        <v>132</v>
      </c>
      <c r="R386" s="51">
        <f t="shared" ca="1" si="9"/>
        <v>29</v>
      </c>
      <c r="S386" s="72" t="str">
        <f t="shared" ca="1" si="10"/>
        <v>0-30</v>
      </c>
      <c r="T386" s="50" t="s">
        <v>30</v>
      </c>
      <c r="U386" s="46" t="s">
        <v>137</v>
      </c>
      <c r="V386" s="49"/>
      <c r="W386" s="52"/>
      <c r="X386" s="51"/>
      <c r="Y386" s="51" t="s">
        <v>139</v>
      </c>
      <c r="AA386" s="51"/>
    </row>
    <row r="387" spans="1:27" ht="12.95" customHeight="1">
      <c r="A387" s="43">
        <v>398</v>
      </c>
      <c r="B387" s="56" t="s">
        <v>8</v>
      </c>
      <c r="C387" s="56" t="s">
        <v>12</v>
      </c>
      <c r="D387" s="62" t="s">
        <v>13</v>
      </c>
      <c r="E387" s="95" t="s">
        <v>65</v>
      </c>
      <c r="F387" s="96" t="s">
        <v>12</v>
      </c>
      <c r="G387" s="55" t="s">
        <v>142</v>
      </c>
      <c r="H387" s="55" t="s">
        <v>26</v>
      </c>
      <c r="I387" s="56" t="s">
        <v>19</v>
      </c>
      <c r="J387" s="97" t="s">
        <v>25</v>
      </c>
      <c r="K387" s="43" t="s">
        <v>140</v>
      </c>
      <c r="L387" s="55" t="s">
        <v>140</v>
      </c>
      <c r="M387" s="98" t="s">
        <v>131</v>
      </c>
      <c r="N387" s="49">
        <v>46169</v>
      </c>
      <c r="O387" s="49">
        <f t="shared" si="8"/>
        <v>46169</v>
      </c>
      <c r="P387" s="51" t="s">
        <v>129</v>
      </c>
      <c r="Q387" s="51" t="s">
        <v>132</v>
      </c>
      <c r="R387" s="51">
        <f t="shared" ca="1" si="9"/>
        <v>29</v>
      </c>
      <c r="S387" s="72" t="str">
        <f t="shared" ca="1" si="10"/>
        <v>0-30</v>
      </c>
      <c r="T387" s="50" t="s">
        <v>30</v>
      </c>
      <c r="U387" s="46" t="s">
        <v>137</v>
      </c>
      <c r="V387" s="49"/>
      <c r="W387" s="52"/>
      <c r="X387" s="51"/>
      <c r="Y387" s="51" t="s">
        <v>139</v>
      </c>
      <c r="AA387" s="51"/>
    </row>
    <row r="388" spans="1:27" ht="12.95" customHeight="1">
      <c r="A388" s="43">
        <v>507</v>
      </c>
      <c r="B388" s="56" t="s">
        <v>8</v>
      </c>
      <c r="C388" s="56" t="s">
        <v>12</v>
      </c>
      <c r="D388" s="43" t="s">
        <v>19</v>
      </c>
      <c r="E388" s="95" t="s">
        <v>25</v>
      </c>
      <c r="F388" s="96" t="s">
        <v>15</v>
      </c>
      <c r="G388" s="55">
        <v>394692</v>
      </c>
      <c r="H388" s="55" t="s">
        <v>17</v>
      </c>
      <c r="I388" s="56" t="s">
        <v>19</v>
      </c>
      <c r="J388" s="97" t="s">
        <v>17</v>
      </c>
      <c r="K388" s="43" t="s">
        <v>134</v>
      </c>
      <c r="L388" s="55" t="s">
        <v>134</v>
      </c>
      <c r="M388" s="98" t="s">
        <v>132</v>
      </c>
      <c r="N388" s="49">
        <v>46008</v>
      </c>
      <c r="O388" s="49">
        <f t="shared" si="8"/>
        <v>46008</v>
      </c>
      <c r="P388" s="51" t="s">
        <v>145</v>
      </c>
      <c r="Q388" s="51" t="s">
        <v>141</v>
      </c>
      <c r="R388" s="51">
        <f t="shared" ca="1" si="9"/>
        <v>190</v>
      </c>
      <c r="S388" s="72" t="str">
        <f t="shared" ca="1" si="10"/>
        <v>90+</v>
      </c>
      <c r="T388" s="50" t="s">
        <v>25</v>
      </c>
      <c r="U388" s="49" t="s">
        <v>141</v>
      </c>
      <c r="V388" s="49"/>
      <c r="W388" s="52"/>
      <c r="X388" s="51"/>
      <c r="Y388" s="51">
        <v>2</v>
      </c>
      <c r="AA388" s="51"/>
    </row>
    <row r="389" spans="1:27" ht="12.95" customHeight="1">
      <c r="A389" s="43">
        <v>411</v>
      </c>
      <c r="B389" s="56" t="s">
        <v>8</v>
      </c>
      <c r="C389" s="56" t="s">
        <v>12</v>
      </c>
      <c r="D389" s="43" t="s">
        <v>19</v>
      </c>
      <c r="E389" s="95" t="s">
        <v>25</v>
      </c>
      <c r="F389" s="96" t="s">
        <v>27</v>
      </c>
      <c r="G389" s="55">
        <v>54260832</v>
      </c>
      <c r="H389" s="55" t="s">
        <v>27</v>
      </c>
      <c r="I389" s="56" t="s">
        <v>19</v>
      </c>
      <c r="J389" s="97" t="s">
        <v>17</v>
      </c>
      <c r="K389" s="43" t="s">
        <v>140</v>
      </c>
      <c r="L389" s="55" t="s">
        <v>140</v>
      </c>
      <c r="M389" s="98" t="s">
        <v>132</v>
      </c>
      <c r="N389" s="49">
        <v>45971</v>
      </c>
      <c r="O389" s="49">
        <f t="shared" si="8"/>
        <v>45971</v>
      </c>
      <c r="P389" s="51" t="s">
        <v>145</v>
      </c>
      <c r="Q389" s="51" t="s">
        <v>141</v>
      </c>
      <c r="R389" s="51">
        <f t="shared" ca="1" si="9"/>
        <v>227</v>
      </c>
      <c r="S389" s="72" t="str">
        <f t="shared" ca="1" si="10"/>
        <v>90+</v>
      </c>
      <c r="T389" s="50" t="s">
        <v>25</v>
      </c>
      <c r="U389" s="49" t="s">
        <v>131</v>
      </c>
      <c r="V389" s="49"/>
      <c r="W389" s="52"/>
      <c r="X389" s="51" t="s">
        <v>127</v>
      </c>
      <c r="Y389" s="51" t="s">
        <v>143</v>
      </c>
      <c r="AA389" s="51"/>
    </row>
    <row r="390" spans="1:27" ht="12.95" customHeight="1">
      <c r="A390" s="43">
        <v>373</v>
      </c>
      <c r="B390" s="56" t="s">
        <v>8</v>
      </c>
      <c r="C390" s="56" t="s">
        <v>12</v>
      </c>
      <c r="D390" s="62" t="s">
        <v>13</v>
      </c>
      <c r="E390" s="95" t="s">
        <v>65</v>
      </c>
      <c r="F390" s="96" t="s">
        <v>18</v>
      </c>
      <c r="G390" s="55" t="s">
        <v>142</v>
      </c>
      <c r="H390" s="55" t="s">
        <v>27</v>
      </c>
      <c r="I390" s="56" t="s">
        <v>19</v>
      </c>
      <c r="J390" s="97" t="s">
        <v>19</v>
      </c>
      <c r="K390" s="43" t="s">
        <v>140</v>
      </c>
      <c r="L390" s="55" t="s">
        <v>140</v>
      </c>
      <c r="M390" s="98" t="s">
        <v>132</v>
      </c>
      <c r="N390" s="49">
        <v>46169</v>
      </c>
      <c r="O390" s="49">
        <f t="shared" si="8"/>
        <v>46169</v>
      </c>
      <c r="P390" s="51" t="s">
        <v>145</v>
      </c>
      <c r="Q390" s="51" t="s">
        <v>141</v>
      </c>
      <c r="R390" s="51">
        <f t="shared" ca="1" si="9"/>
        <v>29</v>
      </c>
      <c r="S390" s="72" t="str">
        <f t="shared" ca="1" si="10"/>
        <v>0-30</v>
      </c>
      <c r="T390" s="50" t="s">
        <v>30</v>
      </c>
      <c r="U390" s="46" t="s">
        <v>137</v>
      </c>
      <c r="V390" s="49"/>
      <c r="W390" s="52"/>
      <c r="X390" s="51"/>
      <c r="Y390" s="51" t="s">
        <v>139</v>
      </c>
      <c r="AA390" s="51"/>
    </row>
    <row r="391" spans="1:27" ht="12.95" customHeight="1">
      <c r="A391" s="43">
        <v>296</v>
      </c>
      <c r="B391" s="56" t="s">
        <v>8</v>
      </c>
      <c r="C391" s="56" t="s">
        <v>12</v>
      </c>
      <c r="D391" s="62" t="s">
        <v>13</v>
      </c>
      <c r="E391" s="95" t="s">
        <v>65</v>
      </c>
      <c r="F391" s="96" t="s">
        <v>27</v>
      </c>
      <c r="G391" s="55" t="s">
        <v>142</v>
      </c>
      <c r="H391" s="91" t="s">
        <v>20</v>
      </c>
      <c r="I391" s="56" t="s">
        <v>19</v>
      </c>
      <c r="J391" s="97" t="s">
        <v>17</v>
      </c>
      <c r="K391" s="43" t="s">
        <v>140</v>
      </c>
      <c r="L391" s="55" t="s">
        <v>140</v>
      </c>
      <c r="M391" s="98" t="s">
        <v>132</v>
      </c>
      <c r="N391" s="49">
        <v>46169</v>
      </c>
      <c r="O391" s="49">
        <f t="shared" si="8"/>
        <v>46169</v>
      </c>
      <c r="P391" s="51" t="s">
        <v>129</v>
      </c>
      <c r="Q391" s="51" t="s">
        <v>132</v>
      </c>
      <c r="R391" s="51">
        <f t="shared" ca="1" si="9"/>
        <v>29</v>
      </c>
      <c r="S391" s="72" t="str">
        <f t="shared" ca="1" si="10"/>
        <v>0-30</v>
      </c>
      <c r="T391" s="50" t="s">
        <v>30</v>
      </c>
      <c r="U391" s="46" t="s">
        <v>137</v>
      </c>
      <c r="V391" s="49"/>
      <c r="W391" s="52"/>
      <c r="X391" s="51"/>
      <c r="Y391" s="51" t="s">
        <v>139</v>
      </c>
      <c r="AA391" s="51"/>
    </row>
    <row r="392" spans="1:27" ht="12.95" customHeight="1">
      <c r="A392" s="43">
        <v>508</v>
      </c>
      <c r="B392" s="56" t="s">
        <v>8</v>
      </c>
      <c r="C392" s="56" t="s">
        <v>12</v>
      </c>
      <c r="D392" s="62" t="s">
        <v>13</v>
      </c>
      <c r="E392" s="95" t="s">
        <v>65</v>
      </c>
      <c r="F392" s="96" t="s">
        <v>33</v>
      </c>
      <c r="G392" s="55">
        <v>296968</v>
      </c>
      <c r="H392" s="43" t="s">
        <v>26</v>
      </c>
      <c r="I392" s="56" t="s">
        <v>19</v>
      </c>
      <c r="J392" s="97" t="s">
        <v>25</v>
      </c>
      <c r="K392" s="43" t="s">
        <v>140</v>
      </c>
      <c r="L392" s="55" t="s">
        <v>140</v>
      </c>
      <c r="M392" s="98" t="s">
        <v>131</v>
      </c>
      <c r="N392" s="49">
        <v>46089</v>
      </c>
      <c r="O392" s="49">
        <f t="shared" si="8"/>
        <v>46089</v>
      </c>
      <c r="P392" s="51" t="s">
        <v>129</v>
      </c>
      <c r="Q392" s="51" t="s">
        <v>132</v>
      </c>
      <c r="R392" s="51">
        <f t="shared" ca="1" si="9"/>
        <v>109</v>
      </c>
      <c r="S392" s="72" t="str">
        <f t="shared" ca="1" si="10"/>
        <v>90+</v>
      </c>
      <c r="T392" s="50" t="s">
        <v>22</v>
      </c>
      <c r="U392" s="46" t="s">
        <v>137</v>
      </c>
      <c r="V392" s="49"/>
      <c r="W392" s="52"/>
      <c r="X392" s="51"/>
      <c r="Y392" s="51">
        <v>1</v>
      </c>
      <c r="AA392" s="51"/>
    </row>
    <row r="393" spans="1:27" ht="12.95" customHeight="1">
      <c r="A393" s="43">
        <v>267</v>
      </c>
      <c r="B393" s="56" t="s">
        <v>8</v>
      </c>
      <c r="C393" s="56" t="s">
        <v>12</v>
      </c>
      <c r="D393" s="62" t="s">
        <v>13</v>
      </c>
      <c r="E393" s="95" t="s">
        <v>65</v>
      </c>
      <c r="F393" s="96" t="s">
        <v>33</v>
      </c>
      <c r="G393" s="55">
        <v>523602</v>
      </c>
      <c r="H393" s="43" t="s">
        <v>26</v>
      </c>
      <c r="I393" s="56" t="s">
        <v>19</v>
      </c>
      <c r="J393" s="97" t="s">
        <v>25</v>
      </c>
      <c r="K393" s="43" t="s">
        <v>140</v>
      </c>
      <c r="L393" s="55" t="s">
        <v>140</v>
      </c>
      <c r="M393" s="98" t="s">
        <v>131</v>
      </c>
      <c r="N393" s="49">
        <v>46089</v>
      </c>
      <c r="O393" s="49">
        <f t="shared" si="8"/>
        <v>46089</v>
      </c>
      <c r="P393" s="51" t="s">
        <v>129</v>
      </c>
      <c r="Q393" s="51" t="s">
        <v>132</v>
      </c>
      <c r="R393" s="51">
        <f t="shared" ca="1" si="9"/>
        <v>109</v>
      </c>
      <c r="S393" s="72" t="str">
        <f t="shared" ca="1" si="10"/>
        <v>90+</v>
      </c>
      <c r="T393" s="50" t="s">
        <v>22</v>
      </c>
      <c r="U393" s="46" t="s">
        <v>137</v>
      </c>
      <c r="V393" s="49"/>
      <c r="W393" s="52"/>
      <c r="X393" s="51"/>
      <c r="Y393" s="51">
        <v>1</v>
      </c>
      <c r="AA393" s="51"/>
    </row>
    <row r="394" spans="1:27" ht="12.95" customHeight="1">
      <c r="A394" s="43">
        <v>385</v>
      </c>
      <c r="B394" s="56" t="s">
        <v>8</v>
      </c>
      <c r="C394" s="56" t="s">
        <v>12</v>
      </c>
      <c r="D394" s="62" t="s">
        <v>13</v>
      </c>
      <c r="E394" s="95" t="s">
        <v>65</v>
      </c>
      <c r="F394" s="96" t="s">
        <v>33</v>
      </c>
      <c r="G394" s="55">
        <v>312599</v>
      </c>
      <c r="H394" s="55" t="s">
        <v>26</v>
      </c>
      <c r="I394" s="56" t="s">
        <v>19</v>
      </c>
      <c r="J394" s="97" t="s">
        <v>25</v>
      </c>
      <c r="K394" s="43" t="s">
        <v>140</v>
      </c>
      <c r="L394" s="55" t="s">
        <v>140</v>
      </c>
      <c r="M394" s="98" t="s">
        <v>131</v>
      </c>
      <c r="N394" s="49">
        <v>46089</v>
      </c>
      <c r="O394" s="49">
        <f t="shared" si="8"/>
        <v>46089</v>
      </c>
      <c r="P394" s="51" t="s">
        <v>129</v>
      </c>
      <c r="Q394" s="51" t="s">
        <v>132</v>
      </c>
      <c r="R394" s="51">
        <f t="shared" ca="1" si="9"/>
        <v>109</v>
      </c>
      <c r="S394" s="72" t="str">
        <f t="shared" ca="1" si="10"/>
        <v>90+</v>
      </c>
      <c r="T394" s="50" t="s">
        <v>22</v>
      </c>
      <c r="U394" s="46" t="s">
        <v>137</v>
      </c>
      <c r="V394" s="49"/>
      <c r="W394" s="52"/>
      <c r="X394" s="51"/>
      <c r="Y394" s="51">
        <v>2</v>
      </c>
      <c r="AA394" s="51"/>
    </row>
    <row r="395" spans="1:27" ht="12.95" customHeight="1">
      <c r="A395" s="43">
        <v>236</v>
      </c>
      <c r="B395" s="56" t="s">
        <v>8</v>
      </c>
      <c r="C395" s="56" t="s">
        <v>12</v>
      </c>
      <c r="D395" s="62" t="s">
        <v>13</v>
      </c>
      <c r="E395" s="95" t="s">
        <v>65</v>
      </c>
      <c r="F395" s="96" t="s">
        <v>33</v>
      </c>
      <c r="G395" s="55">
        <v>316508</v>
      </c>
      <c r="H395" s="55" t="s">
        <v>26</v>
      </c>
      <c r="I395" s="56" t="s">
        <v>19</v>
      </c>
      <c r="J395" s="97" t="s">
        <v>25</v>
      </c>
      <c r="K395" s="43" t="s">
        <v>140</v>
      </c>
      <c r="L395" s="55" t="s">
        <v>140</v>
      </c>
      <c r="M395" s="98" t="s">
        <v>131</v>
      </c>
      <c r="N395" s="49">
        <v>46089</v>
      </c>
      <c r="O395" s="49">
        <f t="shared" si="8"/>
        <v>46089</v>
      </c>
      <c r="P395" s="51" t="s">
        <v>129</v>
      </c>
      <c r="Q395" s="51" t="s">
        <v>132</v>
      </c>
      <c r="R395" s="51">
        <f t="shared" ca="1" si="9"/>
        <v>109</v>
      </c>
      <c r="S395" s="72" t="str">
        <f t="shared" ca="1" si="10"/>
        <v>90+</v>
      </c>
      <c r="T395" s="50" t="s">
        <v>22</v>
      </c>
      <c r="U395" s="46" t="s">
        <v>137</v>
      </c>
      <c r="V395" s="49"/>
      <c r="W395" s="52"/>
      <c r="X395" s="51"/>
      <c r="Y395" s="51">
        <v>2</v>
      </c>
      <c r="AA395" s="51"/>
    </row>
    <row r="396" spans="1:27" ht="12.95" customHeight="1">
      <c r="A396" s="43">
        <v>371</v>
      </c>
      <c r="B396" s="56" t="s">
        <v>8</v>
      </c>
      <c r="C396" s="56" t="s">
        <v>12</v>
      </c>
      <c r="D396" s="62" t="s">
        <v>13</v>
      </c>
      <c r="E396" s="95" t="s">
        <v>65</v>
      </c>
      <c r="F396" s="96" t="s">
        <v>18</v>
      </c>
      <c r="G396" s="55">
        <v>214910</v>
      </c>
      <c r="H396" s="91" t="s">
        <v>20</v>
      </c>
      <c r="I396" s="56" t="s">
        <v>19</v>
      </c>
      <c r="J396" s="97" t="s">
        <v>17</v>
      </c>
      <c r="K396" s="43" t="s">
        <v>134</v>
      </c>
      <c r="L396" s="55" t="s">
        <v>134</v>
      </c>
      <c r="M396" s="98" t="s">
        <v>132</v>
      </c>
      <c r="N396" s="49">
        <v>46008</v>
      </c>
      <c r="O396" s="49">
        <f t="shared" si="8"/>
        <v>46008</v>
      </c>
      <c r="P396" s="51" t="s">
        <v>145</v>
      </c>
      <c r="Q396" s="51" t="s">
        <v>141</v>
      </c>
      <c r="R396" s="51">
        <f t="shared" ca="1" si="9"/>
        <v>190</v>
      </c>
      <c r="S396" s="72" t="str">
        <f t="shared" ca="1" si="10"/>
        <v>90+</v>
      </c>
      <c r="T396" s="50" t="s">
        <v>25</v>
      </c>
      <c r="U396" s="46" t="s">
        <v>141</v>
      </c>
      <c r="V396" s="49"/>
      <c r="W396" s="52"/>
      <c r="X396" s="51" t="s">
        <v>140</v>
      </c>
      <c r="Y396" s="51">
        <v>2</v>
      </c>
      <c r="AA396" s="51"/>
    </row>
    <row r="397" spans="1:27" ht="12.95" customHeight="1">
      <c r="A397" s="43">
        <v>558</v>
      </c>
      <c r="B397" s="56" t="s">
        <v>8</v>
      </c>
      <c r="C397" s="56" t="s">
        <v>12</v>
      </c>
      <c r="D397" s="62" t="s">
        <v>13</v>
      </c>
      <c r="E397" s="95" t="s">
        <v>65</v>
      </c>
      <c r="F397" s="96" t="s">
        <v>29</v>
      </c>
      <c r="G397" s="55">
        <v>230528</v>
      </c>
      <c r="H397" s="43" t="s">
        <v>26</v>
      </c>
      <c r="I397" s="56" t="s">
        <v>24</v>
      </c>
      <c r="J397" s="97" t="s">
        <v>24</v>
      </c>
      <c r="K397" s="43" t="s">
        <v>127</v>
      </c>
      <c r="L397" s="55" t="s">
        <v>127</v>
      </c>
      <c r="M397" s="98" t="s">
        <v>131</v>
      </c>
      <c r="N397" s="49">
        <v>45979</v>
      </c>
      <c r="O397" s="49">
        <f t="shared" si="8"/>
        <v>45979</v>
      </c>
      <c r="P397" s="51" t="s">
        <v>129</v>
      </c>
      <c r="Q397" s="51" t="s">
        <v>132</v>
      </c>
      <c r="R397" s="51">
        <f t="shared" ca="1" si="9"/>
        <v>219</v>
      </c>
      <c r="S397" s="72" t="str">
        <f t="shared" ca="1" si="10"/>
        <v>90+</v>
      </c>
      <c r="T397" s="50" t="s">
        <v>25</v>
      </c>
      <c r="U397" s="49" t="s">
        <v>141</v>
      </c>
      <c r="V397" s="49"/>
      <c r="W397" s="52"/>
      <c r="X397" s="51"/>
      <c r="Y397" s="51" t="s">
        <v>143</v>
      </c>
      <c r="AA397" s="51"/>
    </row>
    <row r="398" spans="1:27" ht="12.95" customHeight="1">
      <c r="A398" s="43">
        <v>365</v>
      </c>
      <c r="B398" s="56" t="s">
        <v>8</v>
      </c>
      <c r="C398" s="56" t="s">
        <v>12</v>
      </c>
      <c r="D398" s="62" t="s">
        <v>13</v>
      </c>
      <c r="E398" s="95" t="s">
        <v>65</v>
      </c>
      <c r="F398" s="96" t="s">
        <v>29</v>
      </c>
      <c r="G398" s="55">
        <v>289135</v>
      </c>
      <c r="H398" s="43" t="s">
        <v>26</v>
      </c>
      <c r="I398" s="56" t="s">
        <v>24</v>
      </c>
      <c r="J398" s="97" t="s">
        <v>24</v>
      </c>
      <c r="K398" s="43" t="s">
        <v>138</v>
      </c>
      <c r="L398" s="55" t="s">
        <v>138</v>
      </c>
      <c r="M398" s="98" t="s">
        <v>131</v>
      </c>
      <c r="N398" s="49">
        <v>46032</v>
      </c>
      <c r="O398" s="49">
        <f t="shared" si="8"/>
        <v>46032</v>
      </c>
      <c r="P398" s="51" t="s">
        <v>129</v>
      </c>
      <c r="Q398" s="51" t="s">
        <v>132</v>
      </c>
      <c r="R398" s="51">
        <f t="shared" ca="1" si="9"/>
        <v>166</v>
      </c>
      <c r="S398" s="72" t="str">
        <f t="shared" ca="1" si="10"/>
        <v>90+</v>
      </c>
      <c r="T398" s="50" t="s">
        <v>25</v>
      </c>
      <c r="U398" s="46" t="s">
        <v>141</v>
      </c>
      <c r="V398" s="49"/>
      <c r="W398" s="52"/>
      <c r="X398" s="51" t="s">
        <v>138</v>
      </c>
      <c r="Y398" s="51" t="s">
        <v>143</v>
      </c>
      <c r="AA398" s="51"/>
    </row>
    <row r="399" spans="1:27" ht="12.95" customHeight="1">
      <c r="A399" s="43">
        <v>334</v>
      </c>
      <c r="B399" s="56" t="s">
        <v>8</v>
      </c>
      <c r="C399" s="56" t="s">
        <v>12</v>
      </c>
      <c r="D399" s="43" t="s">
        <v>19</v>
      </c>
      <c r="E399" s="95" t="s">
        <v>43</v>
      </c>
      <c r="F399" s="96" t="s">
        <v>21</v>
      </c>
      <c r="G399" s="55">
        <v>43002132</v>
      </c>
      <c r="H399" s="91" t="s">
        <v>20</v>
      </c>
      <c r="I399" s="56" t="s">
        <v>22</v>
      </c>
      <c r="J399" s="97" t="s">
        <v>22</v>
      </c>
      <c r="K399" s="43" t="s">
        <v>140</v>
      </c>
      <c r="L399" s="55" t="s">
        <v>140</v>
      </c>
      <c r="M399" s="98" t="s">
        <v>139</v>
      </c>
      <c r="N399" s="49">
        <v>46017</v>
      </c>
      <c r="O399" s="49">
        <f t="shared" si="8"/>
        <v>46017</v>
      </c>
      <c r="P399" s="51" t="s">
        <v>129</v>
      </c>
      <c r="Q399" s="51" t="s">
        <v>132</v>
      </c>
      <c r="R399" s="51">
        <f t="shared" ca="1" si="9"/>
        <v>181</v>
      </c>
      <c r="S399" s="72" t="str">
        <f t="shared" ca="1" si="10"/>
        <v>90+</v>
      </c>
      <c r="T399" s="50" t="s">
        <v>25</v>
      </c>
      <c r="U399" s="46" t="s">
        <v>141</v>
      </c>
      <c r="V399" s="49"/>
      <c r="W399" s="52"/>
      <c r="X399" s="51" t="s">
        <v>138</v>
      </c>
      <c r="Y399" s="51" t="s">
        <v>143</v>
      </c>
      <c r="AA399" s="51"/>
    </row>
    <row r="400" spans="1:27" ht="12.95" customHeight="1">
      <c r="A400" s="43">
        <v>535</v>
      </c>
      <c r="B400" s="56" t="s">
        <v>8</v>
      </c>
      <c r="C400" s="56" t="s">
        <v>12</v>
      </c>
      <c r="D400" s="43" t="s">
        <v>19</v>
      </c>
      <c r="E400" s="95" t="s">
        <v>25</v>
      </c>
      <c r="F400" s="96" t="s">
        <v>4</v>
      </c>
      <c r="G400" s="55">
        <v>201366</v>
      </c>
      <c r="H400" s="55" t="s">
        <v>27</v>
      </c>
      <c r="I400" s="56" t="s">
        <v>13</v>
      </c>
      <c r="J400" s="97" t="s">
        <v>41</v>
      </c>
      <c r="K400" s="43" t="s">
        <v>140</v>
      </c>
      <c r="L400" s="55" t="s">
        <v>140</v>
      </c>
      <c r="M400" s="98" t="s">
        <v>141</v>
      </c>
      <c r="N400" s="49">
        <v>46049</v>
      </c>
      <c r="O400" s="49">
        <f t="shared" si="8"/>
        <v>46049</v>
      </c>
      <c r="P400" s="51" t="s">
        <v>129</v>
      </c>
      <c r="Q400" s="51" t="s">
        <v>132</v>
      </c>
      <c r="R400" s="51">
        <f t="shared" ca="1" si="9"/>
        <v>149</v>
      </c>
      <c r="S400" s="72" t="str">
        <f t="shared" ca="1" si="10"/>
        <v>90+</v>
      </c>
      <c r="T400" s="50" t="s">
        <v>25</v>
      </c>
      <c r="U400" s="46" t="s">
        <v>141</v>
      </c>
      <c r="V400" s="49"/>
      <c r="W400" s="52">
        <v>28211</v>
      </c>
      <c r="X400" s="51" t="s">
        <v>133</v>
      </c>
      <c r="Y400" s="51" t="s">
        <v>143</v>
      </c>
      <c r="AA400" s="51"/>
    </row>
    <row r="401" spans="1:27" ht="12.95" customHeight="1">
      <c r="A401" s="43">
        <v>280</v>
      </c>
      <c r="B401" s="56" t="s">
        <v>8</v>
      </c>
      <c r="C401" s="56" t="s">
        <v>12</v>
      </c>
      <c r="D401" s="62" t="s">
        <v>13</v>
      </c>
      <c r="E401" s="95" t="s">
        <v>65</v>
      </c>
      <c r="F401" s="96" t="s">
        <v>14</v>
      </c>
      <c r="G401" s="55">
        <v>355572</v>
      </c>
      <c r="H401" s="55" t="s">
        <v>26</v>
      </c>
      <c r="I401" s="56" t="s">
        <v>25</v>
      </c>
      <c r="J401" s="97" t="s">
        <v>12</v>
      </c>
      <c r="K401" s="43" t="s">
        <v>137</v>
      </c>
      <c r="L401" s="55" t="s">
        <v>137</v>
      </c>
      <c r="M401" s="98" t="s">
        <v>137</v>
      </c>
      <c r="N401" s="49">
        <v>45978</v>
      </c>
      <c r="O401" s="49">
        <f t="shared" si="8"/>
        <v>45978</v>
      </c>
      <c r="P401" s="51" t="s">
        <v>146</v>
      </c>
      <c r="Q401" s="51" t="s">
        <v>126</v>
      </c>
      <c r="R401" s="51">
        <f t="shared" ca="1" si="9"/>
        <v>220</v>
      </c>
      <c r="S401" s="72" t="str">
        <f t="shared" ca="1" si="10"/>
        <v>90+</v>
      </c>
      <c r="T401" s="50" t="s">
        <v>25</v>
      </c>
      <c r="U401" s="49" t="s">
        <v>127</v>
      </c>
      <c r="V401" s="49"/>
      <c r="W401" s="52"/>
      <c r="X401" s="51" t="s">
        <v>126</v>
      </c>
      <c r="Y401" s="51">
        <v>1</v>
      </c>
      <c r="AA401" s="51"/>
    </row>
    <row r="402" spans="1:27" ht="12.95" customHeight="1">
      <c r="A402" s="43">
        <v>429</v>
      </c>
      <c r="B402" s="56" t="s">
        <v>8</v>
      </c>
      <c r="C402" s="56" t="s">
        <v>12</v>
      </c>
      <c r="D402" s="62" t="s">
        <v>13</v>
      </c>
      <c r="E402" s="95" t="s">
        <v>65</v>
      </c>
      <c r="F402" s="96" t="s">
        <v>14</v>
      </c>
      <c r="G402" s="55">
        <v>398555</v>
      </c>
      <c r="H402" s="55" t="s">
        <v>26</v>
      </c>
      <c r="I402" s="56" t="s">
        <v>25</v>
      </c>
      <c r="J402" s="97" t="s">
        <v>12</v>
      </c>
      <c r="K402" s="43" t="s">
        <v>140</v>
      </c>
      <c r="L402" s="55" t="s">
        <v>140</v>
      </c>
      <c r="M402" s="98" t="s">
        <v>137</v>
      </c>
      <c r="N402" s="49">
        <v>45978</v>
      </c>
      <c r="O402" s="49">
        <f t="shared" si="8"/>
        <v>45978</v>
      </c>
      <c r="P402" s="51" t="s">
        <v>145</v>
      </c>
      <c r="Q402" s="51" t="s">
        <v>141</v>
      </c>
      <c r="R402" s="51">
        <f t="shared" ca="1" si="9"/>
        <v>220</v>
      </c>
      <c r="S402" s="72" t="str">
        <f t="shared" ca="1" si="10"/>
        <v>90+</v>
      </c>
      <c r="T402" s="50" t="s">
        <v>25</v>
      </c>
      <c r="U402" s="49" t="s">
        <v>127</v>
      </c>
      <c r="V402" s="49"/>
      <c r="W402" s="52"/>
      <c r="X402" s="51" t="s">
        <v>137</v>
      </c>
      <c r="Y402" s="51" t="s">
        <v>143</v>
      </c>
      <c r="AA402" s="51"/>
    </row>
    <row r="403" spans="1:27" ht="12.95" customHeight="1">
      <c r="A403" s="43">
        <v>555</v>
      </c>
      <c r="B403" s="56" t="s">
        <v>8</v>
      </c>
      <c r="C403" s="56" t="s">
        <v>12</v>
      </c>
      <c r="D403" s="62" t="s">
        <v>13</v>
      </c>
      <c r="E403" s="95" t="s">
        <v>65</v>
      </c>
      <c r="F403" s="96" t="s">
        <v>14</v>
      </c>
      <c r="G403" s="55">
        <v>336037</v>
      </c>
      <c r="H403" s="55" t="s">
        <v>26</v>
      </c>
      <c r="I403" s="56" t="s">
        <v>25</v>
      </c>
      <c r="J403" s="97" t="s">
        <v>12</v>
      </c>
      <c r="K403" s="43" t="s">
        <v>134</v>
      </c>
      <c r="L403" s="55" t="s">
        <v>134</v>
      </c>
      <c r="M403" s="98" t="s">
        <v>140</v>
      </c>
      <c r="N403" s="49">
        <v>45978</v>
      </c>
      <c r="O403" s="49">
        <f t="shared" ref="O403:O434" si="11">N403</f>
        <v>45978</v>
      </c>
      <c r="P403" s="51" t="s">
        <v>146</v>
      </c>
      <c r="Q403" s="51" t="s">
        <v>126</v>
      </c>
      <c r="R403" s="51">
        <f t="shared" ref="R403:R430" ca="1" si="12">TODAY()-N403</f>
        <v>220</v>
      </c>
      <c r="S403" s="72" t="str">
        <f t="shared" ref="S403:S430" ca="1" si="13">IF(N403="","",IF(TODAY()-N403&lt;=30,"0-30",IF(TODAY()-N403&lt;=60,"30-60",IF(TODAY()-N403&lt;=90,"60-90","90+"))))</f>
        <v>90+</v>
      </c>
      <c r="T403" s="50" t="s">
        <v>25</v>
      </c>
      <c r="U403" s="46" t="s">
        <v>137</v>
      </c>
      <c r="V403" s="49"/>
      <c r="W403" s="52"/>
      <c r="X403" s="51"/>
      <c r="Y403" s="51">
        <v>1</v>
      </c>
      <c r="AA403" s="51"/>
    </row>
    <row r="404" spans="1:27" ht="12.95" customHeight="1">
      <c r="A404" s="43">
        <v>427</v>
      </c>
      <c r="B404" s="56" t="s">
        <v>8</v>
      </c>
      <c r="C404" s="56" t="s">
        <v>12</v>
      </c>
      <c r="D404" s="43" t="s">
        <v>19</v>
      </c>
      <c r="E404" s="95" t="s">
        <v>43</v>
      </c>
      <c r="F404" s="96" t="s">
        <v>33</v>
      </c>
      <c r="G404" s="55">
        <v>217114</v>
      </c>
      <c r="H404" s="43" t="s">
        <v>26</v>
      </c>
      <c r="I404" s="56" t="s">
        <v>25</v>
      </c>
      <c r="J404" s="97" t="s">
        <v>12</v>
      </c>
      <c r="K404" s="43" t="s">
        <v>134</v>
      </c>
      <c r="L404" s="55" t="s">
        <v>134</v>
      </c>
      <c r="M404" s="98" t="s">
        <v>139</v>
      </c>
      <c r="N404" s="49">
        <v>45996</v>
      </c>
      <c r="O404" s="49">
        <f t="shared" si="11"/>
        <v>45996</v>
      </c>
      <c r="P404" s="51" t="s">
        <v>146</v>
      </c>
      <c r="Q404" s="51" t="s">
        <v>126</v>
      </c>
      <c r="R404" s="51">
        <f t="shared" ca="1" si="12"/>
        <v>202</v>
      </c>
      <c r="S404" s="72" t="str">
        <f t="shared" ca="1" si="13"/>
        <v>90+</v>
      </c>
      <c r="T404" s="50" t="s">
        <v>25</v>
      </c>
      <c r="U404" s="46" t="s">
        <v>141</v>
      </c>
      <c r="V404" s="49"/>
      <c r="W404" s="52"/>
      <c r="X404" s="51"/>
      <c r="Y404" s="51">
        <v>1</v>
      </c>
      <c r="AA404" s="51"/>
    </row>
    <row r="405" spans="1:27" ht="12.95" customHeight="1">
      <c r="A405" s="43">
        <v>477</v>
      </c>
      <c r="B405" s="56" t="s">
        <v>8</v>
      </c>
      <c r="C405" s="56" t="s">
        <v>12</v>
      </c>
      <c r="D405" s="43" t="s">
        <v>19</v>
      </c>
      <c r="E405" s="95" t="s">
        <v>43</v>
      </c>
      <c r="F405" s="96" t="s">
        <v>27</v>
      </c>
      <c r="G405" s="55">
        <v>262840</v>
      </c>
      <c r="H405" s="43" t="s">
        <v>26</v>
      </c>
      <c r="I405" s="56" t="s">
        <v>25</v>
      </c>
      <c r="J405" s="97" t="s">
        <v>42</v>
      </c>
      <c r="K405" s="43" t="s">
        <v>139</v>
      </c>
      <c r="L405" s="55" t="s">
        <v>139</v>
      </c>
      <c r="M405" s="98" t="s">
        <v>132</v>
      </c>
      <c r="N405" s="49">
        <v>45979</v>
      </c>
      <c r="O405" s="49">
        <f t="shared" si="11"/>
        <v>45979</v>
      </c>
      <c r="P405" s="51" t="s">
        <v>129</v>
      </c>
      <c r="Q405" s="51" t="s">
        <v>132</v>
      </c>
      <c r="R405" s="51">
        <f t="shared" ca="1" si="12"/>
        <v>219</v>
      </c>
      <c r="S405" s="72" t="str">
        <f t="shared" ca="1" si="13"/>
        <v>90+</v>
      </c>
      <c r="T405" s="50" t="s">
        <v>25</v>
      </c>
      <c r="U405" s="46" t="s">
        <v>137</v>
      </c>
      <c r="V405" s="49"/>
      <c r="W405" s="52"/>
      <c r="X405" s="51"/>
      <c r="Y405" s="51">
        <v>1</v>
      </c>
      <c r="AA405" s="51"/>
    </row>
    <row r="406" spans="1:27" ht="12.95" customHeight="1">
      <c r="A406" s="43">
        <v>441</v>
      </c>
      <c r="B406" s="56" t="s">
        <v>8</v>
      </c>
      <c r="C406" s="56" t="s">
        <v>12</v>
      </c>
      <c r="D406" s="43" t="s">
        <v>19</v>
      </c>
      <c r="E406" s="95" t="s">
        <v>25</v>
      </c>
      <c r="F406" s="96" t="s">
        <v>14</v>
      </c>
      <c r="G406" s="55">
        <v>274370</v>
      </c>
      <c r="H406" s="55" t="s">
        <v>9</v>
      </c>
      <c r="I406" s="56" t="s">
        <v>25</v>
      </c>
      <c r="J406" s="97" t="s">
        <v>4</v>
      </c>
      <c r="K406" s="43" t="s">
        <v>134</v>
      </c>
      <c r="L406" s="55" t="s">
        <v>134</v>
      </c>
      <c r="M406" s="98" t="s">
        <v>133</v>
      </c>
      <c r="N406" s="49">
        <v>45733</v>
      </c>
      <c r="O406" s="49">
        <f t="shared" si="11"/>
        <v>45733</v>
      </c>
      <c r="P406" s="51" t="s">
        <v>129</v>
      </c>
      <c r="Q406" s="51" t="s">
        <v>132</v>
      </c>
      <c r="R406" s="51">
        <f t="shared" ca="1" si="12"/>
        <v>465</v>
      </c>
      <c r="S406" s="72" t="str">
        <f t="shared" ca="1" si="13"/>
        <v>90+</v>
      </c>
      <c r="T406" s="50" t="s">
        <v>25</v>
      </c>
      <c r="U406" s="46" t="s">
        <v>137</v>
      </c>
      <c r="V406" s="49"/>
      <c r="W406" s="52"/>
      <c r="X406" s="51"/>
      <c r="Y406" s="51">
        <v>1</v>
      </c>
      <c r="AA406" s="51"/>
    </row>
    <row r="407" spans="1:27" ht="12.95" customHeight="1">
      <c r="A407" s="43">
        <v>491</v>
      </c>
      <c r="B407" s="56" t="s">
        <v>8</v>
      </c>
      <c r="C407" s="56" t="s">
        <v>12</v>
      </c>
      <c r="D407" s="62" t="s">
        <v>13</v>
      </c>
      <c r="E407" s="95" t="s">
        <v>65</v>
      </c>
      <c r="F407" s="96" t="s">
        <v>30</v>
      </c>
      <c r="G407" s="55">
        <v>336035</v>
      </c>
      <c r="H407" s="55" t="s">
        <v>17</v>
      </c>
      <c r="I407" s="56" t="s">
        <v>25</v>
      </c>
      <c r="J407" s="97" t="s">
        <v>4</v>
      </c>
      <c r="K407" s="43" t="s">
        <v>134</v>
      </c>
      <c r="L407" s="55" t="s">
        <v>134</v>
      </c>
      <c r="M407" s="98" t="s">
        <v>139</v>
      </c>
      <c r="N407" s="49">
        <v>45913</v>
      </c>
      <c r="O407" s="49">
        <f t="shared" si="11"/>
        <v>45913</v>
      </c>
      <c r="P407" s="51" t="s">
        <v>146</v>
      </c>
      <c r="Q407" s="51" t="s">
        <v>126</v>
      </c>
      <c r="R407" s="51">
        <f t="shared" ca="1" si="12"/>
        <v>285</v>
      </c>
      <c r="S407" s="72" t="str">
        <f t="shared" ca="1" si="13"/>
        <v>90+</v>
      </c>
      <c r="T407" s="50" t="s">
        <v>25</v>
      </c>
      <c r="U407" s="46" t="s">
        <v>137</v>
      </c>
      <c r="V407" s="49"/>
      <c r="W407" s="52"/>
      <c r="X407" s="51"/>
      <c r="Y407" s="51">
        <v>1</v>
      </c>
      <c r="AA407" s="51"/>
    </row>
    <row r="408" spans="1:27" ht="12.95" customHeight="1">
      <c r="A408" s="43">
        <v>423</v>
      </c>
      <c r="B408" s="56" t="s">
        <v>8</v>
      </c>
      <c r="C408" s="56" t="s">
        <v>12</v>
      </c>
      <c r="D408" s="43" t="s">
        <v>19</v>
      </c>
      <c r="E408" s="95" t="s">
        <v>43</v>
      </c>
      <c r="F408" s="96" t="s">
        <v>29</v>
      </c>
      <c r="G408" s="55">
        <v>418086</v>
      </c>
      <c r="H408" s="43" t="s">
        <v>26</v>
      </c>
      <c r="I408" s="56" t="s">
        <v>25</v>
      </c>
      <c r="J408" s="97" t="s">
        <v>42</v>
      </c>
      <c r="K408" s="43" t="s">
        <v>131</v>
      </c>
      <c r="L408" s="55" t="s">
        <v>131</v>
      </c>
      <c r="M408" s="98" t="s">
        <v>133</v>
      </c>
      <c r="N408" s="49">
        <v>46012</v>
      </c>
      <c r="O408" s="49">
        <f t="shared" si="11"/>
        <v>46012</v>
      </c>
      <c r="P408" s="51" t="s">
        <v>91</v>
      </c>
      <c r="Q408" s="51" t="s">
        <v>127</v>
      </c>
      <c r="R408" s="51">
        <f t="shared" ca="1" si="12"/>
        <v>186</v>
      </c>
      <c r="S408" s="72" t="str">
        <f t="shared" ca="1" si="13"/>
        <v>90+</v>
      </c>
      <c r="T408" s="50" t="s">
        <v>25</v>
      </c>
      <c r="U408" s="49" t="s">
        <v>127</v>
      </c>
      <c r="V408" s="49"/>
      <c r="W408" s="52"/>
      <c r="X408" s="51" t="s">
        <v>131</v>
      </c>
      <c r="Y408" s="51" t="s">
        <v>143</v>
      </c>
      <c r="AA408" s="51"/>
    </row>
    <row r="409" spans="1:27" ht="12.95" customHeight="1">
      <c r="A409" s="43">
        <v>265</v>
      </c>
      <c r="B409" s="56" t="s">
        <v>8</v>
      </c>
      <c r="C409" s="56" t="s">
        <v>12</v>
      </c>
      <c r="D409" s="43" t="s">
        <v>19</v>
      </c>
      <c r="E409" s="95" t="s">
        <v>43</v>
      </c>
      <c r="F409" s="96" t="s">
        <v>15</v>
      </c>
      <c r="G409" s="55">
        <v>180047</v>
      </c>
      <c r="H409" s="55" t="s">
        <v>26</v>
      </c>
      <c r="I409" s="56" t="s">
        <v>25</v>
      </c>
      <c r="J409" s="97" t="s">
        <v>42</v>
      </c>
      <c r="K409" s="43" t="s">
        <v>131</v>
      </c>
      <c r="L409" s="55" t="s">
        <v>131</v>
      </c>
      <c r="M409" s="98" t="s">
        <v>133</v>
      </c>
      <c r="N409" s="49">
        <v>46124</v>
      </c>
      <c r="O409" s="49">
        <f t="shared" si="11"/>
        <v>46124</v>
      </c>
      <c r="P409" s="51" t="s">
        <v>91</v>
      </c>
      <c r="Q409" s="51" t="s">
        <v>127</v>
      </c>
      <c r="R409" s="51">
        <f t="shared" ca="1" si="12"/>
        <v>74</v>
      </c>
      <c r="S409" s="72" t="str">
        <f t="shared" ca="1" si="13"/>
        <v>60-90</v>
      </c>
      <c r="T409" s="50" t="s">
        <v>30</v>
      </c>
      <c r="U409" s="49" t="s">
        <v>127</v>
      </c>
      <c r="V409" s="49"/>
      <c r="W409" s="52"/>
      <c r="X409" s="51" t="s">
        <v>140</v>
      </c>
      <c r="Y409" s="51">
        <v>1</v>
      </c>
      <c r="AA409" s="51"/>
    </row>
    <row r="410" spans="1:27" ht="12.95" customHeight="1">
      <c r="A410" s="43">
        <v>225</v>
      </c>
      <c r="B410" s="56" t="s">
        <v>8</v>
      </c>
      <c r="C410" s="56" t="s">
        <v>12</v>
      </c>
      <c r="D410" s="43" t="s">
        <v>19</v>
      </c>
      <c r="E410" s="95" t="s">
        <v>43</v>
      </c>
      <c r="F410" s="96" t="s">
        <v>20</v>
      </c>
      <c r="G410" s="55">
        <v>386071</v>
      </c>
      <c r="H410" s="55" t="s">
        <v>9</v>
      </c>
      <c r="I410" s="56" t="s">
        <v>25</v>
      </c>
      <c r="J410" s="97" t="s">
        <v>12</v>
      </c>
      <c r="K410" s="43" t="s">
        <v>134</v>
      </c>
      <c r="L410" s="55" t="s">
        <v>134</v>
      </c>
      <c r="M410" s="98" t="s">
        <v>137</v>
      </c>
      <c r="N410" s="49">
        <v>46048</v>
      </c>
      <c r="O410" s="49">
        <f t="shared" si="11"/>
        <v>46048</v>
      </c>
      <c r="P410" s="51" t="s">
        <v>129</v>
      </c>
      <c r="Q410" s="51" t="s">
        <v>132</v>
      </c>
      <c r="R410" s="51">
        <f t="shared" ca="1" si="12"/>
        <v>150</v>
      </c>
      <c r="S410" s="72" t="str">
        <f t="shared" ca="1" si="13"/>
        <v>90+</v>
      </c>
      <c r="T410" s="50" t="s">
        <v>25</v>
      </c>
      <c r="U410" s="46" t="s">
        <v>141</v>
      </c>
      <c r="V410" s="49"/>
      <c r="W410" s="52"/>
      <c r="X410" s="51" t="s">
        <v>140</v>
      </c>
      <c r="Y410" s="51" t="s">
        <v>143</v>
      </c>
      <c r="AA410" s="51"/>
    </row>
    <row r="411" spans="1:27" ht="12.95" customHeight="1">
      <c r="A411" s="43">
        <v>394</v>
      </c>
      <c r="B411" s="56" t="s">
        <v>8</v>
      </c>
      <c r="C411" s="56" t="s">
        <v>12</v>
      </c>
      <c r="D411" s="43" t="s">
        <v>19</v>
      </c>
      <c r="E411" s="95" t="s">
        <v>43</v>
      </c>
      <c r="F411" s="96" t="s">
        <v>23</v>
      </c>
      <c r="G411" s="55">
        <v>408053</v>
      </c>
      <c r="H411" s="43" t="s">
        <v>26</v>
      </c>
      <c r="I411" s="56" t="s">
        <v>25</v>
      </c>
      <c r="J411" s="97" t="s">
        <v>20</v>
      </c>
      <c r="K411" s="43" t="s">
        <v>131</v>
      </c>
      <c r="L411" s="55" t="s">
        <v>131</v>
      </c>
      <c r="M411" s="98" t="s">
        <v>133</v>
      </c>
      <c r="N411" s="49">
        <v>46124</v>
      </c>
      <c r="O411" s="49">
        <f t="shared" si="11"/>
        <v>46124</v>
      </c>
      <c r="P411" s="51" t="s">
        <v>129</v>
      </c>
      <c r="Q411" s="51" t="s">
        <v>132</v>
      </c>
      <c r="R411" s="51">
        <f t="shared" ca="1" si="12"/>
        <v>74</v>
      </c>
      <c r="S411" s="72" t="str">
        <f t="shared" ca="1" si="13"/>
        <v>60-90</v>
      </c>
      <c r="T411" s="50" t="s">
        <v>30</v>
      </c>
      <c r="U411" s="46" t="s">
        <v>137</v>
      </c>
      <c r="V411" s="49"/>
      <c r="W411" s="52"/>
      <c r="X411" s="51"/>
      <c r="Y411" s="51">
        <v>1</v>
      </c>
      <c r="AA411" s="51"/>
    </row>
    <row r="412" spans="1:27" ht="12.95" customHeight="1">
      <c r="A412" s="43">
        <v>349</v>
      </c>
      <c r="B412" s="56" t="s">
        <v>8</v>
      </c>
      <c r="C412" s="56" t="s">
        <v>12</v>
      </c>
      <c r="D412" s="43" t="s">
        <v>19</v>
      </c>
      <c r="E412" s="95" t="s">
        <v>43</v>
      </c>
      <c r="F412" s="96" t="s">
        <v>26</v>
      </c>
      <c r="G412" s="55">
        <v>58990568</v>
      </c>
      <c r="H412" s="55" t="s">
        <v>26</v>
      </c>
      <c r="I412" s="56" t="s">
        <v>25</v>
      </c>
      <c r="J412" s="97" t="s">
        <v>42</v>
      </c>
      <c r="K412" s="43" t="s">
        <v>134</v>
      </c>
      <c r="L412" s="55" t="s">
        <v>134</v>
      </c>
      <c r="M412" s="98" t="s">
        <v>123</v>
      </c>
      <c r="N412" s="49">
        <v>45926</v>
      </c>
      <c r="O412" s="49">
        <f t="shared" si="11"/>
        <v>45926</v>
      </c>
      <c r="P412" s="51" t="s">
        <v>129</v>
      </c>
      <c r="Q412" s="51" t="s">
        <v>132</v>
      </c>
      <c r="R412" s="51">
        <f t="shared" ca="1" si="12"/>
        <v>272</v>
      </c>
      <c r="S412" s="72" t="str">
        <f t="shared" ca="1" si="13"/>
        <v>90+</v>
      </c>
      <c r="T412" s="50" t="s">
        <v>25</v>
      </c>
      <c r="U412" s="46" t="s">
        <v>141</v>
      </c>
      <c r="V412" s="49"/>
      <c r="W412" s="52">
        <v>60525</v>
      </c>
      <c r="X412" s="51" t="s">
        <v>140</v>
      </c>
      <c r="Y412" s="51" t="s">
        <v>143</v>
      </c>
      <c r="AA412" s="51"/>
    </row>
    <row r="413" spans="1:27" ht="12.95" customHeight="1">
      <c r="A413" s="43">
        <v>371</v>
      </c>
      <c r="B413" s="56" t="s">
        <v>8</v>
      </c>
      <c r="C413" s="56" t="s">
        <v>12</v>
      </c>
      <c r="D413" s="43" t="s">
        <v>19</v>
      </c>
      <c r="E413" s="95" t="s">
        <v>43</v>
      </c>
      <c r="F413" s="96" t="s">
        <v>3</v>
      </c>
      <c r="G413" s="55">
        <v>251153</v>
      </c>
      <c r="H413" s="55" t="s">
        <v>9</v>
      </c>
      <c r="I413" s="56" t="s">
        <v>25</v>
      </c>
      <c r="J413" s="97" t="s">
        <v>4</v>
      </c>
      <c r="K413" s="43" t="s">
        <v>134</v>
      </c>
      <c r="L413" s="55" t="s">
        <v>134</v>
      </c>
      <c r="M413" s="98" t="s">
        <v>133</v>
      </c>
      <c r="N413" s="49">
        <v>46214</v>
      </c>
      <c r="O413" s="49">
        <f t="shared" si="11"/>
        <v>46214</v>
      </c>
      <c r="P413" s="51" t="s">
        <v>129</v>
      </c>
      <c r="Q413" s="51" t="s">
        <v>132</v>
      </c>
      <c r="R413" s="51">
        <f t="shared" ca="1" si="12"/>
        <v>-16</v>
      </c>
      <c r="S413" s="72" t="str">
        <f t="shared" ca="1" si="13"/>
        <v>0-30</v>
      </c>
      <c r="T413" s="50" t="s">
        <v>22</v>
      </c>
      <c r="U413" s="46" t="s">
        <v>137</v>
      </c>
      <c r="V413" s="49"/>
      <c r="W413" s="52"/>
      <c r="X413" s="51"/>
      <c r="Y413" s="51">
        <v>1</v>
      </c>
      <c r="AA413" s="51"/>
    </row>
    <row r="414" spans="1:27" ht="12.95" customHeight="1">
      <c r="A414" s="43">
        <v>520</v>
      </c>
      <c r="B414" s="56" t="s">
        <v>8</v>
      </c>
      <c r="C414" s="56" t="s">
        <v>12</v>
      </c>
      <c r="D414" s="43" t="s">
        <v>19</v>
      </c>
      <c r="E414" s="95" t="s">
        <v>43</v>
      </c>
      <c r="F414" s="96" t="s">
        <v>28</v>
      </c>
      <c r="G414" s="55">
        <v>243790</v>
      </c>
      <c r="H414" s="55" t="s">
        <v>9</v>
      </c>
      <c r="I414" s="56" t="s">
        <v>25</v>
      </c>
      <c r="J414" s="97" t="s">
        <v>42</v>
      </c>
      <c r="K414" s="43" t="s">
        <v>139</v>
      </c>
      <c r="L414" s="55" t="s">
        <v>139</v>
      </c>
      <c r="M414" s="98" t="s">
        <v>132</v>
      </c>
      <c r="N414" s="49">
        <v>46214</v>
      </c>
      <c r="O414" s="49">
        <f t="shared" si="11"/>
        <v>46214</v>
      </c>
      <c r="P414" s="51" t="s">
        <v>129</v>
      </c>
      <c r="Q414" s="51" t="s">
        <v>132</v>
      </c>
      <c r="R414" s="51">
        <f t="shared" ca="1" si="12"/>
        <v>-16</v>
      </c>
      <c r="S414" s="72" t="str">
        <f t="shared" ca="1" si="13"/>
        <v>0-30</v>
      </c>
      <c r="T414" s="50" t="s">
        <v>22</v>
      </c>
      <c r="U414" s="46" t="s">
        <v>141</v>
      </c>
      <c r="V414" s="49"/>
      <c r="W414" s="52"/>
      <c r="X414" s="51" t="s">
        <v>136</v>
      </c>
      <c r="Y414" s="51">
        <v>1</v>
      </c>
      <c r="AA414" s="51"/>
    </row>
    <row r="415" spans="1:27" ht="12.95" customHeight="1">
      <c r="A415" s="43">
        <v>455</v>
      </c>
      <c r="B415" s="56" t="s">
        <v>8</v>
      </c>
      <c r="C415" s="56" t="s">
        <v>12</v>
      </c>
      <c r="D415" s="43" t="s">
        <v>19</v>
      </c>
      <c r="E415" s="95" t="s">
        <v>43</v>
      </c>
      <c r="F415" s="96" t="s">
        <v>21</v>
      </c>
      <c r="G415" s="55">
        <v>326808</v>
      </c>
      <c r="H415" s="43" t="s">
        <v>26</v>
      </c>
      <c r="I415" s="56" t="s">
        <v>13</v>
      </c>
      <c r="J415" s="97" t="s">
        <v>41</v>
      </c>
      <c r="K415" s="43" t="s">
        <v>140</v>
      </c>
      <c r="L415" s="55" t="s">
        <v>140</v>
      </c>
      <c r="M415" s="98" t="s">
        <v>141</v>
      </c>
      <c r="N415" s="49">
        <v>46214</v>
      </c>
      <c r="O415" s="49">
        <f t="shared" si="11"/>
        <v>46214</v>
      </c>
      <c r="P415" s="51" t="s">
        <v>129</v>
      </c>
      <c r="Q415" s="51" t="s">
        <v>132</v>
      </c>
      <c r="R415" s="51">
        <f t="shared" ca="1" si="12"/>
        <v>-16</v>
      </c>
      <c r="S415" s="72" t="str">
        <f t="shared" ca="1" si="13"/>
        <v>0-30</v>
      </c>
      <c r="T415" s="50" t="s">
        <v>22</v>
      </c>
      <c r="U415" s="46" t="s">
        <v>141</v>
      </c>
      <c r="V415" s="49"/>
      <c r="W415" s="52"/>
      <c r="X415" s="51"/>
      <c r="Y415" s="51">
        <v>1</v>
      </c>
      <c r="AA415" s="51"/>
    </row>
    <row r="416" spans="1:27" ht="12.95" customHeight="1">
      <c r="A416" s="43">
        <v>519</v>
      </c>
      <c r="B416" s="56" t="s">
        <v>8</v>
      </c>
      <c r="C416" s="56" t="s">
        <v>12</v>
      </c>
      <c r="D416" s="43" t="s">
        <v>19</v>
      </c>
      <c r="E416" s="95" t="s">
        <v>43</v>
      </c>
      <c r="F416" s="96" t="s">
        <v>25</v>
      </c>
      <c r="G416" s="55">
        <v>86709526</v>
      </c>
      <c r="H416" s="43" t="s">
        <v>26</v>
      </c>
      <c r="I416" s="56" t="s">
        <v>19</v>
      </c>
      <c r="J416" s="97" t="s">
        <v>9</v>
      </c>
      <c r="K416" s="43" t="s">
        <v>134</v>
      </c>
      <c r="L416" s="55" t="s">
        <v>134</v>
      </c>
      <c r="M416" s="98" t="s">
        <v>137</v>
      </c>
      <c r="N416" s="49">
        <v>46098</v>
      </c>
      <c r="O416" s="49">
        <f t="shared" si="11"/>
        <v>46098</v>
      </c>
      <c r="P416" s="51" t="s">
        <v>129</v>
      </c>
      <c r="Q416" s="51" t="s">
        <v>132</v>
      </c>
      <c r="R416" s="51">
        <f t="shared" ca="1" si="12"/>
        <v>100</v>
      </c>
      <c r="S416" s="72" t="str">
        <f t="shared" ca="1" si="13"/>
        <v>90+</v>
      </c>
      <c r="T416" s="50" t="s">
        <v>22</v>
      </c>
      <c r="U416" s="46" t="s">
        <v>137</v>
      </c>
      <c r="V416" s="49"/>
      <c r="W416" s="52"/>
      <c r="X416" s="51"/>
      <c r="Y416" s="51">
        <v>1</v>
      </c>
      <c r="AA416" s="51"/>
    </row>
    <row r="417" spans="1:27" ht="12.95" customHeight="1">
      <c r="A417" s="43">
        <v>374</v>
      </c>
      <c r="B417" s="56" t="s">
        <v>8</v>
      </c>
      <c r="C417" s="56" t="s">
        <v>12</v>
      </c>
      <c r="D417" s="43" t="s">
        <v>19</v>
      </c>
      <c r="E417" s="95" t="s">
        <v>43</v>
      </c>
      <c r="F417" s="96" t="s">
        <v>28</v>
      </c>
      <c r="G417" s="55">
        <v>68377937</v>
      </c>
      <c r="H417" s="55" t="s">
        <v>9</v>
      </c>
      <c r="I417" s="56" t="s">
        <v>19</v>
      </c>
      <c r="J417" s="97" t="s">
        <v>25</v>
      </c>
      <c r="K417" s="43" t="s">
        <v>140</v>
      </c>
      <c r="L417" s="55" t="s">
        <v>140</v>
      </c>
      <c r="M417" s="98" t="s">
        <v>132</v>
      </c>
      <c r="N417" s="49">
        <v>46149</v>
      </c>
      <c r="O417" s="49">
        <f t="shared" si="11"/>
        <v>46149</v>
      </c>
      <c r="P417" s="51" t="s">
        <v>129</v>
      </c>
      <c r="Q417" s="51" t="s">
        <v>132</v>
      </c>
      <c r="R417" s="51">
        <f t="shared" ca="1" si="12"/>
        <v>49</v>
      </c>
      <c r="S417" s="72" t="str">
        <f t="shared" ca="1" si="13"/>
        <v>30-60</v>
      </c>
      <c r="T417" s="50" t="s">
        <v>30</v>
      </c>
      <c r="U417" s="46" t="s">
        <v>137</v>
      </c>
      <c r="V417" s="49"/>
      <c r="W417" s="52"/>
      <c r="X417" s="51"/>
      <c r="Y417" s="51">
        <v>2</v>
      </c>
      <c r="AA417" s="51"/>
    </row>
    <row r="418" spans="1:27" ht="12.95" customHeight="1">
      <c r="A418" s="43">
        <v>571</v>
      </c>
      <c r="B418" s="56" t="s">
        <v>8</v>
      </c>
      <c r="C418" s="56" t="s">
        <v>12</v>
      </c>
      <c r="D418" s="43" t="s">
        <v>19</v>
      </c>
      <c r="E418" s="95" t="s">
        <v>43</v>
      </c>
      <c r="F418" s="96" t="s">
        <v>6</v>
      </c>
      <c r="G418" s="55">
        <v>100807716</v>
      </c>
      <c r="H418" s="55" t="s">
        <v>26</v>
      </c>
      <c r="I418" s="56" t="s">
        <v>19</v>
      </c>
      <c r="J418" s="97" t="s">
        <v>9</v>
      </c>
      <c r="K418" s="43" t="s">
        <v>134</v>
      </c>
      <c r="L418" s="55" t="s">
        <v>134</v>
      </c>
      <c r="M418" s="98" t="s">
        <v>135</v>
      </c>
      <c r="N418" s="49">
        <v>46149</v>
      </c>
      <c r="O418" s="49">
        <f t="shared" si="11"/>
        <v>46149</v>
      </c>
      <c r="P418" s="51" t="s">
        <v>129</v>
      </c>
      <c r="Q418" s="51" t="s">
        <v>132</v>
      </c>
      <c r="R418" s="51">
        <f t="shared" ca="1" si="12"/>
        <v>49</v>
      </c>
      <c r="S418" s="72" t="str">
        <f t="shared" ca="1" si="13"/>
        <v>30-60</v>
      </c>
      <c r="T418" s="50" t="s">
        <v>30</v>
      </c>
      <c r="U418" s="46" t="s">
        <v>137</v>
      </c>
      <c r="V418" s="49"/>
      <c r="W418" s="52"/>
      <c r="X418" s="51" t="s">
        <v>136</v>
      </c>
      <c r="Y418" s="51">
        <v>2</v>
      </c>
      <c r="AA418" s="51"/>
    </row>
    <row r="419" spans="1:27" ht="12.95" customHeight="1">
      <c r="A419" s="43">
        <v>339</v>
      </c>
      <c r="B419" s="56" t="s">
        <v>8</v>
      </c>
      <c r="C419" s="56" t="s">
        <v>12</v>
      </c>
      <c r="D419" s="43" t="s">
        <v>19</v>
      </c>
      <c r="E419" s="95" t="s">
        <v>43</v>
      </c>
      <c r="F419" s="96" t="s">
        <v>29</v>
      </c>
      <c r="G419" s="55">
        <v>309331</v>
      </c>
      <c r="H419" s="55" t="s">
        <v>9</v>
      </c>
      <c r="I419" s="56" t="s">
        <v>25</v>
      </c>
      <c r="J419" s="97" t="s">
        <v>42</v>
      </c>
      <c r="K419" s="43" t="s">
        <v>123</v>
      </c>
      <c r="L419" s="55" t="s">
        <v>123</v>
      </c>
      <c r="M419" s="98" t="s">
        <v>136</v>
      </c>
      <c r="N419" s="49">
        <v>46005</v>
      </c>
      <c r="O419" s="49">
        <f t="shared" si="11"/>
        <v>46005</v>
      </c>
      <c r="P419" s="51" t="s">
        <v>129</v>
      </c>
      <c r="Q419" s="51" t="s">
        <v>132</v>
      </c>
      <c r="R419" s="51">
        <f t="shared" ca="1" si="12"/>
        <v>193</v>
      </c>
      <c r="S419" s="72" t="str">
        <f t="shared" ca="1" si="13"/>
        <v>90+</v>
      </c>
      <c r="T419" s="50" t="s">
        <v>25</v>
      </c>
      <c r="U419" s="46" t="s">
        <v>141</v>
      </c>
      <c r="V419" s="49"/>
      <c r="W419" s="52"/>
      <c r="X419" s="51" t="s">
        <v>123</v>
      </c>
      <c r="Y419" s="51">
        <v>1</v>
      </c>
      <c r="AA419" s="51"/>
    </row>
    <row r="420" spans="1:27" ht="12.95" customHeight="1">
      <c r="A420" s="43">
        <v>264</v>
      </c>
      <c r="B420" s="56" t="s">
        <v>8</v>
      </c>
      <c r="C420" s="56" t="s">
        <v>12</v>
      </c>
      <c r="D420" s="43" t="s">
        <v>19</v>
      </c>
      <c r="E420" s="95" t="s">
        <v>43</v>
      </c>
      <c r="F420" s="96" t="s">
        <v>26</v>
      </c>
      <c r="G420" s="55">
        <v>228730</v>
      </c>
      <c r="H420" s="55" t="s">
        <v>26</v>
      </c>
      <c r="I420" s="56" t="s">
        <v>25</v>
      </c>
      <c r="J420" s="97" t="s">
        <v>42</v>
      </c>
      <c r="K420" s="43" t="s">
        <v>134</v>
      </c>
      <c r="L420" s="55" t="s">
        <v>134</v>
      </c>
      <c r="M420" s="98" t="s">
        <v>135</v>
      </c>
      <c r="N420" s="49">
        <v>46178</v>
      </c>
      <c r="O420" s="49">
        <f t="shared" si="11"/>
        <v>46178</v>
      </c>
      <c r="P420" s="51" t="s">
        <v>129</v>
      </c>
      <c r="Q420" s="51" t="s">
        <v>132</v>
      </c>
      <c r="R420" s="51">
        <f t="shared" ca="1" si="12"/>
        <v>20</v>
      </c>
      <c r="S420" s="72" t="str">
        <f t="shared" ca="1" si="13"/>
        <v>0-30</v>
      </c>
      <c r="T420" s="50" t="s">
        <v>22</v>
      </c>
      <c r="U420" s="46" t="s">
        <v>137</v>
      </c>
      <c r="V420" s="49"/>
      <c r="W420" s="52"/>
      <c r="X420" s="51"/>
      <c r="Y420" s="51">
        <v>1</v>
      </c>
      <c r="AA420" s="51"/>
    </row>
    <row r="421" spans="1:27" ht="12.95" customHeight="1">
      <c r="A421" s="43">
        <v>277</v>
      </c>
      <c r="B421" s="56" t="s">
        <v>8</v>
      </c>
      <c r="C421" s="56" t="s">
        <v>12</v>
      </c>
      <c r="D421" s="43" t="s">
        <v>19</v>
      </c>
      <c r="E421" s="95" t="s">
        <v>43</v>
      </c>
      <c r="F421" s="96" t="s">
        <v>12</v>
      </c>
      <c r="G421" s="55">
        <v>198337</v>
      </c>
      <c r="H421" s="55" t="s">
        <v>26</v>
      </c>
      <c r="I421" s="56" t="s">
        <v>25</v>
      </c>
      <c r="J421" s="97" t="s">
        <v>12</v>
      </c>
      <c r="K421" s="43" t="s">
        <v>134</v>
      </c>
      <c r="L421" s="55" t="s">
        <v>134</v>
      </c>
      <c r="M421" s="98" t="s">
        <v>137</v>
      </c>
      <c r="N421" s="49">
        <v>46018</v>
      </c>
      <c r="O421" s="49">
        <f t="shared" si="11"/>
        <v>46018</v>
      </c>
      <c r="P421" s="51" t="s">
        <v>146</v>
      </c>
      <c r="Q421" s="51" t="s">
        <v>126</v>
      </c>
      <c r="R421" s="51">
        <f t="shared" ca="1" si="12"/>
        <v>180</v>
      </c>
      <c r="S421" s="72" t="str">
        <f t="shared" ca="1" si="13"/>
        <v>90+</v>
      </c>
      <c r="T421" s="50" t="s">
        <v>25</v>
      </c>
      <c r="U421" s="46" t="s">
        <v>137</v>
      </c>
      <c r="V421" s="49"/>
      <c r="W421" s="52"/>
      <c r="X421" s="51"/>
      <c r="Y421" s="51">
        <v>1</v>
      </c>
      <c r="AA421" s="51"/>
    </row>
    <row r="422" spans="1:27" ht="12.95" customHeight="1">
      <c r="A422" s="43">
        <v>455</v>
      </c>
      <c r="B422" s="56" t="s">
        <v>8</v>
      </c>
      <c r="C422" s="56" t="s">
        <v>12</v>
      </c>
      <c r="D422" s="43" t="s">
        <v>19</v>
      </c>
      <c r="E422" s="95" t="s">
        <v>43</v>
      </c>
      <c r="F422" s="96" t="s">
        <v>5</v>
      </c>
      <c r="G422" s="55">
        <v>266418</v>
      </c>
      <c r="H422" s="55" t="s">
        <v>26</v>
      </c>
      <c r="I422" s="56" t="s">
        <v>25</v>
      </c>
      <c r="J422" s="97" t="s">
        <v>42</v>
      </c>
      <c r="K422" s="43" t="s">
        <v>127</v>
      </c>
      <c r="L422" s="55" t="s">
        <v>127</v>
      </c>
      <c r="M422" s="98" t="s">
        <v>135</v>
      </c>
      <c r="N422" s="49">
        <v>46152</v>
      </c>
      <c r="O422" s="49">
        <f t="shared" si="11"/>
        <v>46152</v>
      </c>
      <c r="P422" s="51" t="s">
        <v>129</v>
      </c>
      <c r="Q422" s="51" t="s">
        <v>132</v>
      </c>
      <c r="R422" s="51">
        <f t="shared" ca="1" si="12"/>
        <v>46</v>
      </c>
      <c r="S422" s="72" t="str">
        <f t="shared" ca="1" si="13"/>
        <v>30-60</v>
      </c>
      <c r="T422" s="50" t="s">
        <v>17</v>
      </c>
      <c r="U422" s="46" t="s">
        <v>137</v>
      </c>
      <c r="V422" s="49"/>
      <c r="W422" s="52"/>
      <c r="X422" s="51"/>
      <c r="Y422" s="51">
        <v>1</v>
      </c>
      <c r="AA422" s="51"/>
    </row>
    <row r="423" spans="1:27" ht="12.95" customHeight="1">
      <c r="A423" s="43">
        <v>452</v>
      </c>
      <c r="B423" s="56" t="s">
        <v>8</v>
      </c>
      <c r="C423" s="56" t="s">
        <v>12</v>
      </c>
      <c r="D423" s="43" t="s">
        <v>19</v>
      </c>
      <c r="E423" s="95" t="s">
        <v>43</v>
      </c>
      <c r="F423" s="96" t="s">
        <v>22</v>
      </c>
      <c r="G423" s="55">
        <v>213590</v>
      </c>
      <c r="H423" s="55" t="s">
        <v>26</v>
      </c>
      <c r="I423" s="56" t="s">
        <v>19</v>
      </c>
      <c r="J423" s="97" t="s">
        <v>9</v>
      </c>
      <c r="K423" s="43" t="s">
        <v>134</v>
      </c>
      <c r="L423" s="55" t="s">
        <v>134</v>
      </c>
      <c r="M423" s="98" t="s">
        <v>141</v>
      </c>
      <c r="N423" s="49">
        <v>46143</v>
      </c>
      <c r="O423" s="49">
        <f t="shared" si="11"/>
        <v>46143</v>
      </c>
      <c r="P423" s="51" t="s">
        <v>129</v>
      </c>
      <c r="Q423" s="51" t="s">
        <v>132</v>
      </c>
      <c r="R423" s="51">
        <f t="shared" ca="1" si="12"/>
        <v>55</v>
      </c>
      <c r="S423" s="72" t="str">
        <f t="shared" ca="1" si="13"/>
        <v>30-60</v>
      </c>
      <c r="T423" s="50" t="s">
        <v>17</v>
      </c>
      <c r="U423" s="46" t="s">
        <v>137</v>
      </c>
      <c r="V423" s="49"/>
      <c r="W423" s="52"/>
      <c r="X423" s="51"/>
      <c r="Y423" s="51">
        <v>2</v>
      </c>
      <c r="AA423" s="51"/>
    </row>
    <row r="424" spans="1:27" ht="12.95" customHeight="1">
      <c r="A424" s="43">
        <v>393</v>
      </c>
      <c r="B424" s="56" t="s">
        <v>8</v>
      </c>
      <c r="C424" s="56" t="s">
        <v>12</v>
      </c>
      <c r="D424" s="43" t="s">
        <v>19</v>
      </c>
      <c r="E424" s="95" t="s">
        <v>43</v>
      </c>
      <c r="F424" s="96" t="s">
        <v>22</v>
      </c>
      <c r="G424" s="55">
        <v>75429253</v>
      </c>
      <c r="H424" s="55" t="s">
        <v>9</v>
      </c>
      <c r="I424" s="56" t="s">
        <v>19</v>
      </c>
      <c r="J424" s="97" t="s">
        <v>9</v>
      </c>
      <c r="K424" s="43" t="s">
        <v>134</v>
      </c>
      <c r="L424" s="55" t="s">
        <v>134</v>
      </c>
      <c r="M424" s="98" t="s">
        <v>141</v>
      </c>
      <c r="N424" s="49">
        <v>46143</v>
      </c>
      <c r="O424" s="49">
        <f t="shared" si="11"/>
        <v>46143</v>
      </c>
      <c r="P424" s="51" t="s">
        <v>129</v>
      </c>
      <c r="Q424" s="51" t="s">
        <v>132</v>
      </c>
      <c r="R424" s="51">
        <f t="shared" ca="1" si="12"/>
        <v>55</v>
      </c>
      <c r="S424" s="72" t="str">
        <f t="shared" ca="1" si="13"/>
        <v>30-60</v>
      </c>
      <c r="T424" s="50" t="s">
        <v>17</v>
      </c>
      <c r="U424" s="46" t="s">
        <v>137</v>
      </c>
      <c r="V424" s="49"/>
      <c r="W424" s="52"/>
      <c r="X424" s="51"/>
      <c r="Y424" s="51">
        <v>1</v>
      </c>
      <c r="AA424" s="51"/>
    </row>
    <row r="425" spans="1:27" ht="12.95" customHeight="1">
      <c r="A425" s="43">
        <v>538</v>
      </c>
      <c r="B425" s="56" t="s">
        <v>8</v>
      </c>
      <c r="C425" s="56" t="s">
        <v>12</v>
      </c>
      <c r="D425" s="43" t="s">
        <v>19</v>
      </c>
      <c r="E425" s="95" t="s">
        <v>43</v>
      </c>
      <c r="F425" s="96" t="s">
        <v>19</v>
      </c>
      <c r="G425" s="55">
        <v>381240</v>
      </c>
      <c r="H425" s="55" t="s">
        <v>9</v>
      </c>
      <c r="I425" s="56" t="s">
        <v>25</v>
      </c>
      <c r="J425" s="97" t="s">
        <v>42</v>
      </c>
      <c r="K425" s="43" t="s">
        <v>140</v>
      </c>
      <c r="L425" s="55" t="s">
        <v>140</v>
      </c>
      <c r="M425" s="98" t="s">
        <v>136</v>
      </c>
      <c r="N425" s="49">
        <v>46160</v>
      </c>
      <c r="O425" s="49">
        <f t="shared" si="11"/>
        <v>46160</v>
      </c>
      <c r="P425" s="51" t="s">
        <v>129</v>
      </c>
      <c r="Q425" s="51" t="s">
        <v>132</v>
      </c>
      <c r="R425" s="51">
        <f t="shared" ca="1" si="12"/>
        <v>38</v>
      </c>
      <c r="S425" s="72" t="str">
        <f t="shared" ca="1" si="13"/>
        <v>30-60</v>
      </c>
      <c r="T425" s="50" t="s">
        <v>17</v>
      </c>
      <c r="U425" s="46" t="s">
        <v>137</v>
      </c>
      <c r="V425" s="49"/>
      <c r="W425" s="52"/>
      <c r="X425" s="51" t="s">
        <v>140</v>
      </c>
      <c r="Y425" s="51">
        <v>2</v>
      </c>
      <c r="AA425" s="51"/>
    </row>
    <row r="426" spans="1:27" ht="12.95" customHeight="1">
      <c r="A426" s="43">
        <v>314</v>
      </c>
      <c r="B426" s="56" t="s">
        <v>8</v>
      </c>
      <c r="C426" s="56" t="s">
        <v>12</v>
      </c>
      <c r="D426" s="43" t="s">
        <v>19</v>
      </c>
      <c r="E426" s="95" t="s">
        <v>43</v>
      </c>
      <c r="F426" s="96" t="s">
        <v>27</v>
      </c>
      <c r="G426" s="55">
        <v>399859</v>
      </c>
      <c r="H426" s="55" t="s">
        <v>26</v>
      </c>
      <c r="I426" s="56" t="s">
        <v>25</v>
      </c>
      <c r="J426" s="97" t="s">
        <v>4</v>
      </c>
      <c r="K426" s="43" t="s">
        <v>134</v>
      </c>
      <c r="L426" s="55" t="s">
        <v>134</v>
      </c>
      <c r="M426" s="98" t="s">
        <v>133</v>
      </c>
      <c r="N426" s="49">
        <v>46143</v>
      </c>
      <c r="O426" s="49">
        <f t="shared" si="11"/>
        <v>46143</v>
      </c>
      <c r="P426" s="51" t="s">
        <v>129</v>
      </c>
      <c r="Q426" s="51" t="s">
        <v>132</v>
      </c>
      <c r="R426" s="51">
        <f t="shared" ca="1" si="12"/>
        <v>55</v>
      </c>
      <c r="S426" s="72" t="str">
        <f t="shared" ca="1" si="13"/>
        <v>30-60</v>
      </c>
      <c r="T426" s="50" t="s">
        <v>17</v>
      </c>
      <c r="U426" s="46" t="s">
        <v>137</v>
      </c>
      <c r="V426" s="49"/>
      <c r="W426" s="52"/>
      <c r="X426" s="51"/>
      <c r="Y426" s="51">
        <v>1</v>
      </c>
      <c r="AA426" s="51"/>
    </row>
    <row r="427" spans="1:27" ht="12.95" customHeight="1">
      <c r="A427" s="43">
        <v>562</v>
      </c>
      <c r="B427" s="56" t="s">
        <v>8</v>
      </c>
      <c r="C427" s="56" t="s">
        <v>12</v>
      </c>
      <c r="D427" s="43" t="s">
        <v>19</v>
      </c>
      <c r="E427" s="95" t="s">
        <v>25</v>
      </c>
      <c r="F427" s="96" t="s">
        <v>29</v>
      </c>
      <c r="G427" s="55">
        <v>454129</v>
      </c>
      <c r="H427" s="55" t="s">
        <v>9</v>
      </c>
      <c r="I427" s="56" t="s">
        <v>22</v>
      </c>
      <c r="J427" s="97" t="s">
        <v>22</v>
      </c>
      <c r="K427" s="43" t="s">
        <v>134</v>
      </c>
      <c r="L427" s="55" t="s">
        <v>134</v>
      </c>
      <c r="M427" s="98" t="s">
        <v>134</v>
      </c>
      <c r="N427" s="49">
        <v>46205</v>
      </c>
      <c r="O427" s="49">
        <f t="shared" si="11"/>
        <v>46205</v>
      </c>
      <c r="P427" s="51" t="s">
        <v>144</v>
      </c>
      <c r="Q427" s="51" t="s">
        <v>126</v>
      </c>
      <c r="R427" s="51">
        <f t="shared" ca="1" si="12"/>
        <v>-7</v>
      </c>
      <c r="S427" s="72" t="str">
        <f t="shared" ca="1" si="13"/>
        <v>0-30</v>
      </c>
      <c r="T427" s="50" t="s">
        <v>17</v>
      </c>
      <c r="U427" s="46" t="s">
        <v>137</v>
      </c>
      <c r="V427" s="49"/>
      <c r="W427" s="52"/>
      <c r="X427" s="51"/>
      <c r="Y427" s="51"/>
      <c r="AA427" s="51"/>
    </row>
    <row r="428" spans="1:27" ht="12.95" customHeight="1">
      <c r="A428" s="43">
        <v>384</v>
      </c>
      <c r="B428" s="56" t="s">
        <v>8</v>
      </c>
      <c r="C428" s="56" t="s">
        <v>12</v>
      </c>
      <c r="D428" s="62" t="s">
        <v>13</v>
      </c>
      <c r="E428" s="95" t="s">
        <v>65</v>
      </c>
      <c r="F428" s="96" t="s">
        <v>7</v>
      </c>
      <c r="G428" s="55">
        <v>496223</v>
      </c>
      <c r="H428" s="91" t="s">
        <v>20</v>
      </c>
      <c r="I428" s="56" t="s">
        <v>22</v>
      </c>
      <c r="J428" s="97" t="s">
        <v>22</v>
      </c>
      <c r="K428" s="43" t="s">
        <v>140</v>
      </c>
      <c r="L428" s="55" t="s">
        <v>140</v>
      </c>
      <c r="M428" s="98" t="s">
        <v>139</v>
      </c>
      <c r="N428" s="49">
        <v>46244</v>
      </c>
      <c r="O428" s="49">
        <f t="shared" si="11"/>
        <v>46244</v>
      </c>
      <c r="P428" s="51" t="s">
        <v>129</v>
      </c>
      <c r="Q428" s="51" t="s">
        <v>132</v>
      </c>
      <c r="R428" s="51">
        <f t="shared" ca="1" si="12"/>
        <v>-46</v>
      </c>
      <c r="S428" s="72" t="str">
        <f t="shared" ca="1" si="13"/>
        <v>0-30</v>
      </c>
      <c r="T428" s="50" t="s">
        <v>17</v>
      </c>
      <c r="U428" s="46" t="s">
        <v>137</v>
      </c>
      <c r="V428" s="49"/>
      <c r="W428" s="52"/>
      <c r="X428" s="51"/>
      <c r="Y428" s="51" t="s">
        <v>139</v>
      </c>
      <c r="AA428" s="51"/>
    </row>
    <row r="429" spans="1:27" ht="12.95" customHeight="1">
      <c r="A429" s="43">
        <v>291</v>
      </c>
      <c r="B429" s="56" t="s">
        <v>8</v>
      </c>
      <c r="C429" s="56" t="s">
        <v>12</v>
      </c>
      <c r="D429" s="62" t="s">
        <v>13</v>
      </c>
      <c r="E429" s="95" t="s">
        <v>65</v>
      </c>
      <c r="F429" s="96" t="s">
        <v>4</v>
      </c>
      <c r="G429" s="55">
        <v>48641542</v>
      </c>
      <c r="H429" s="55" t="s">
        <v>9</v>
      </c>
      <c r="I429" s="56" t="s">
        <v>19</v>
      </c>
      <c r="J429" s="97" t="s">
        <v>9</v>
      </c>
      <c r="K429" s="43" t="s">
        <v>138</v>
      </c>
      <c r="L429" s="55" t="s">
        <v>138</v>
      </c>
      <c r="M429" s="98" t="s">
        <v>127</v>
      </c>
      <c r="N429" s="49">
        <v>46134</v>
      </c>
      <c r="O429" s="49">
        <v>46134</v>
      </c>
      <c r="P429" s="51" t="s">
        <v>132</v>
      </c>
      <c r="Q429" s="51" t="s">
        <v>132</v>
      </c>
      <c r="R429" s="51">
        <f t="shared" ca="1" si="12"/>
        <v>64</v>
      </c>
      <c r="S429" s="72" t="str">
        <f t="shared" ca="1" si="13"/>
        <v>60-90</v>
      </c>
      <c r="T429" s="50" t="s">
        <v>17</v>
      </c>
      <c r="U429" s="46" t="s">
        <v>137</v>
      </c>
      <c r="V429" s="49"/>
      <c r="W429" s="52"/>
      <c r="X429" s="51"/>
      <c r="Y429" s="51" t="s">
        <v>139</v>
      </c>
      <c r="AA429" s="51"/>
    </row>
    <row r="430" spans="1:27" ht="12.95" customHeight="1">
      <c r="A430" s="43">
        <v>309</v>
      </c>
      <c r="B430" s="56" t="s">
        <v>8</v>
      </c>
      <c r="C430" s="56" t="s">
        <v>12</v>
      </c>
      <c r="D430" s="62" t="s">
        <v>13</v>
      </c>
      <c r="E430" s="95" t="s">
        <v>65</v>
      </c>
      <c r="F430" s="96" t="s">
        <v>9</v>
      </c>
      <c r="G430" s="55">
        <v>172183</v>
      </c>
      <c r="H430" s="55" t="s">
        <v>17</v>
      </c>
      <c r="I430" s="56" t="s">
        <v>25</v>
      </c>
      <c r="J430" s="97" t="s">
        <v>42</v>
      </c>
      <c r="K430" s="43" t="s">
        <v>134</v>
      </c>
      <c r="L430" s="55" t="s">
        <v>134</v>
      </c>
      <c r="M430" s="98" t="s">
        <v>133</v>
      </c>
      <c r="N430" s="49">
        <v>46405</v>
      </c>
      <c r="O430" s="49">
        <v>46405</v>
      </c>
      <c r="P430" s="51" t="s">
        <v>132</v>
      </c>
      <c r="Q430" s="51" t="s">
        <v>132</v>
      </c>
      <c r="R430" s="51">
        <f t="shared" ca="1" si="12"/>
        <v>-207</v>
      </c>
      <c r="S430" s="72" t="str">
        <f t="shared" ca="1" si="13"/>
        <v>0-30</v>
      </c>
      <c r="T430" s="50" t="s">
        <v>17</v>
      </c>
      <c r="U430" s="46" t="s">
        <v>141</v>
      </c>
      <c r="V430" s="49"/>
      <c r="W430" s="52"/>
      <c r="X430" s="51"/>
      <c r="Y430" s="51" t="s">
        <v>138</v>
      </c>
      <c r="AA430" s="51"/>
    </row>
    <row r="431" spans="1:27" ht="12.95" customHeight="1">
      <c r="A431" s="43">
        <v>602</v>
      </c>
      <c r="B431" s="126" t="s">
        <v>16</v>
      </c>
      <c r="C431" s="128" t="s">
        <v>12</v>
      </c>
      <c r="D431" s="43" t="s">
        <v>19</v>
      </c>
      <c r="E431" s="103" t="s">
        <v>25</v>
      </c>
      <c r="F431" s="103" t="s">
        <v>7</v>
      </c>
      <c r="G431" s="104">
        <v>150349</v>
      </c>
      <c r="H431" s="128" t="s">
        <v>9</v>
      </c>
      <c r="I431" s="103" t="s">
        <v>8</v>
      </c>
      <c r="J431" s="103" t="s">
        <v>18</v>
      </c>
      <c r="K431" s="103" t="s">
        <v>141</v>
      </c>
      <c r="L431" s="103" t="s">
        <v>147</v>
      </c>
      <c r="M431" s="103" t="s">
        <v>147</v>
      </c>
      <c r="N431" s="103" t="s">
        <v>147</v>
      </c>
      <c r="O431" s="103" t="s">
        <v>147</v>
      </c>
      <c r="P431" s="103" t="s">
        <v>147</v>
      </c>
      <c r="Q431" s="51" t="s">
        <v>147</v>
      </c>
      <c r="R431" s="103"/>
      <c r="S431" s="102">
        <v>0</v>
      </c>
      <c r="T431" s="103" t="s">
        <v>147</v>
      </c>
      <c r="U431" s="103" t="s">
        <v>138</v>
      </c>
      <c r="V431" s="102" t="s">
        <v>147</v>
      </c>
      <c r="W431" s="103" t="s">
        <v>147</v>
      </c>
      <c r="X431" s="103" t="s">
        <v>147</v>
      </c>
      <c r="Y431" s="103" t="s">
        <v>147</v>
      </c>
      <c r="Z431" s="103" t="s">
        <v>147</v>
      </c>
      <c r="AA431" s="103" t="s">
        <v>139</v>
      </c>
    </row>
    <row r="432" spans="1:27" ht="12.95" customHeight="1">
      <c r="A432" s="43">
        <v>491</v>
      </c>
      <c r="B432" s="127" t="s">
        <v>16</v>
      </c>
      <c r="C432" s="129" t="s">
        <v>12</v>
      </c>
      <c r="D432" s="43" t="s">
        <v>19</v>
      </c>
      <c r="E432" s="106" t="s">
        <v>25</v>
      </c>
      <c r="F432" s="106" t="s">
        <v>30</v>
      </c>
      <c r="G432" s="107">
        <v>235106</v>
      </c>
      <c r="H432" s="129" t="s">
        <v>9</v>
      </c>
      <c r="I432" s="106" t="s">
        <v>8</v>
      </c>
      <c r="J432" s="106" t="s">
        <v>15</v>
      </c>
      <c r="K432" s="106" t="s">
        <v>141</v>
      </c>
      <c r="L432" s="106" t="s">
        <v>147</v>
      </c>
      <c r="M432" s="106" t="s">
        <v>147</v>
      </c>
      <c r="N432" s="106" t="s">
        <v>147</v>
      </c>
      <c r="O432" s="106" t="s">
        <v>147</v>
      </c>
      <c r="P432" s="106" t="s">
        <v>147</v>
      </c>
      <c r="Q432" s="51" t="s">
        <v>147</v>
      </c>
      <c r="R432" s="106"/>
      <c r="S432" s="105">
        <v>0</v>
      </c>
      <c r="T432" s="106" t="s">
        <v>147</v>
      </c>
      <c r="U432" s="106" t="s">
        <v>138</v>
      </c>
      <c r="V432" s="105" t="s">
        <v>147</v>
      </c>
      <c r="W432" s="106" t="s">
        <v>147</v>
      </c>
      <c r="X432" s="106" t="s">
        <v>147</v>
      </c>
      <c r="Y432" s="106" t="s">
        <v>147</v>
      </c>
      <c r="Z432" s="106" t="s">
        <v>147</v>
      </c>
      <c r="AA432" s="106" t="s">
        <v>139</v>
      </c>
    </row>
    <row r="433" spans="1:27" ht="12.95" customHeight="1">
      <c r="A433" s="43">
        <v>341</v>
      </c>
      <c r="B433" s="127" t="s">
        <v>16</v>
      </c>
      <c r="C433" s="129" t="s">
        <v>12</v>
      </c>
      <c r="D433" s="43" t="s">
        <v>19</v>
      </c>
      <c r="E433" s="106" t="s">
        <v>25</v>
      </c>
      <c r="F433" s="106" t="s">
        <v>7</v>
      </c>
      <c r="G433" s="107">
        <v>219658</v>
      </c>
      <c r="H433" s="129" t="s">
        <v>26</v>
      </c>
      <c r="I433" s="106" t="s">
        <v>8</v>
      </c>
      <c r="J433" s="106" t="s">
        <v>7</v>
      </c>
      <c r="K433" s="106" t="s">
        <v>141</v>
      </c>
      <c r="L433" s="106" t="s">
        <v>139</v>
      </c>
      <c r="M433" s="106" t="s">
        <v>140</v>
      </c>
      <c r="N433" s="108">
        <v>46130</v>
      </c>
      <c r="O433" s="108">
        <v>46130</v>
      </c>
      <c r="P433" s="106" t="s">
        <v>126</v>
      </c>
      <c r="Q433" s="51" t="s">
        <v>126</v>
      </c>
      <c r="R433" s="106"/>
      <c r="S433" s="105">
        <v>53</v>
      </c>
      <c r="T433" s="50" t="s">
        <v>140</v>
      </c>
      <c r="U433" s="46" t="s">
        <v>141</v>
      </c>
      <c r="V433" s="105" t="s">
        <v>147</v>
      </c>
      <c r="W433" s="108">
        <v>46078</v>
      </c>
      <c r="X433" s="106" t="s">
        <v>138</v>
      </c>
      <c r="Y433" s="106" t="s">
        <v>147</v>
      </c>
      <c r="Z433" s="106" t="s">
        <v>147</v>
      </c>
      <c r="AA433" s="106" t="s">
        <v>147</v>
      </c>
    </row>
    <row r="434" spans="1:27" ht="12.95" customHeight="1">
      <c r="A434" s="43">
        <v>312</v>
      </c>
      <c r="B434" s="127" t="s">
        <v>16</v>
      </c>
      <c r="C434" s="129" t="s">
        <v>12</v>
      </c>
      <c r="D434" s="43" t="s">
        <v>19</v>
      </c>
      <c r="E434" s="106" t="s">
        <v>25</v>
      </c>
      <c r="F434" s="106" t="s">
        <v>7</v>
      </c>
      <c r="G434" s="107">
        <v>171028</v>
      </c>
      <c r="H434" s="129" t="s">
        <v>17</v>
      </c>
      <c r="I434" s="106" t="s">
        <v>8</v>
      </c>
      <c r="J434" s="106" t="s">
        <v>7</v>
      </c>
      <c r="K434" s="106" t="s">
        <v>141</v>
      </c>
      <c r="L434" s="106" t="s">
        <v>136</v>
      </c>
      <c r="M434" s="106" t="s">
        <v>133</v>
      </c>
      <c r="N434" s="106" t="s">
        <v>148</v>
      </c>
      <c r="O434" s="106" t="s">
        <v>148</v>
      </c>
      <c r="P434" s="106" t="s">
        <v>126</v>
      </c>
      <c r="Q434" s="51" t="s">
        <v>126</v>
      </c>
      <c r="R434" s="106"/>
      <c r="S434" s="105">
        <v>90</v>
      </c>
      <c r="T434" s="50" t="s">
        <v>140</v>
      </c>
      <c r="U434" s="46" t="s">
        <v>141</v>
      </c>
      <c r="V434" s="105" t="s">
        <v>147</v>
      </c>
      <c r="W434" s="108">
        <v>46127</v>
      </c>
      <c r="X434" s="106" t="s">
        <v>132</v>
      </c>
      <c r="Y434" s="106" t="s">
        <v>147</v>
      </c>
      <c r="Z434" s="106" t="s">
        <v>147</v>
      </c>
      <c r="AA434" s="106" t="s">
        <v>135</v>
      </c>
    </row>
    <row r="435" spans="1:27" ht="12.95" customHeight="1">
      <c r="A435" s="43">
        <v>595</v>
      </c>
      <c r="B435" s="127" t="s">
        <v>16</v>
      </c>
      <c r="C435" s="129" t="s">
        <v>12</v>
      </c>
      <c r="D435" s="43" t="s">
        <v>19</v>
      </c>
      <c r="E435" s="106" t="s">
        <v>25</v>
      </c>
      <c r="F435" s="106" t="s">
        <v>30</v>
      </c>
      <c r="G435" s="107">
        <v>347356</v>
      </c>
      <c r="H435" s="129" t="s">
        <v>26</v>
      </c>
      <c r="I435" s="106" t="s">
        <v>8</v>
      </c>
      <c r="J435" s="106" t="s">
        <v>22</v>
      </c>
      <c r="K435" s="106" t="s">
        <v>141</v>
      </c>
      <c r="L435" s="106" t="s">
        <v>137</v>
      </c>
      <c r="M435" s="106" t="s">
        <v>131</v>
      </c>
      <c r="N435" s="106" t="s">
        <v>147</v>
      </c>
      <c r="O435" s="106" t="s">
        <v>147</v>
      </c>
      <c r="P435" s="106" t="s">
        <v>147</v>
      </c>
      <c r="Q435" s="51" t="s">
        <v>147</v>
      </c>
      <c r="R435" s="106"/>
      <c r="S435" s="105">
        <v>0</v>
      </c>
      <c r="T435" s="106" t="s">
        <v>147</v>
      </c>
      <c r="U435" s="106" t="s">
        <v>138</v>
      </c>
      <c r="V435" s="105" t="s">
        <v>147</v>
      </c>
      <c r="W435" s="106" t="s">
        <v>147</v>
      </c>
      <c r="X435" s="106" t="s">
        <v>139</v>
      </c>
      <c r="Y435" s="106" t="s">
        <v>147</v>
      </c>
      <c r="Z435" s="106" t="s">
        <v>147</v>
      </c>
      <c r="AA435" s="106" t="s">
        <v>147</v>
      </c>
    </row>
    <row r="436" spans="1:27" ht="12.95" customHeight="1">
      <c r="A436" s="43">
        <v>378</v>
      </c>
      <c r="B436" s="127" t="s">
        <v>16</v>
      </c>
      <c r="C436" s="129" t="s">
        <v>12</v>
      </c>
      <c r="D436" s="43" t="s">
        <v>19</v>
      </c>
      <c r="E436" s="106" t="s">
        <v>25</v>
      </c>
      <c r="F436" s="106" t="s">
        <v>7</v>
      </c>
      <c r="G436" s="107">
        <v>76595415</v>
      </c>
      <c r="H436" s="129" t="s">
        <v>17</v>
      </c>
      <c r="I436" s="106" t="s">
        <v>8</v>
      </c>
      <c r="J436" s="106" t="s">
        <v>18</v>
      </c>
      <c r="K436" s="106" t="s">
        <v>141</v>
      </c>
      <c r="L436" s="106" t="s">
        <v>147</v>
      </c>
      <c r="M436" s="106" t="s">
        <v>147</v>
      </c>
      <c r="N436" s="106" t="s">
        <v>147</v>
      </c>
      <c r="O436" s="106" t="s">
        <v>147</v>
      </c>
      <c r="P436" s="106" t="s">
        <v>147</v>
      </c>
      <c r="Q436" s="51" t="s">
        <v>147</v>
      </c>
      <c r="R436" s="106"/>
      <c r="S436" s="105">
        <v>0</v>
      </c>
      <c r="T436" s="106" t="s">
        <v>147</v>
      </c>
      <c r="U436" s="106" t="s">
        <v>138</v>
      </c>
      <c r="V436" s="105" t="s">
        <v>147</v>
      </c>
      <c r="W436" s="106" t="s">
        <v>147</v>
      </c>
      <c r="X436" s="106" t="s">
        <v>139</v>
      </c>
      <c r="Y436" s="106" t="s">
        <v>147</v>
      </c>
      <c r="Z436" s="106" t="s">
        <v>147</v>
      </c>
      <c r="AA436" s="106" t="s">
        <v>147</v>
      </c>
    </row>
    <row r="437" spans="1:27" ht="12.95" customHeight="1">
      <c r="A437" s="43">
        <v>336</v>
      </c>
      <c r="B437" s="127" t="s">
        <v>16</v>
      </c>
      <c r="C437" s="129" t="s">
        <v>12</v>
      </c>
      <c r="D437" s="43" t="s">
        <v>19</v>
      </c>
      <c r="E437" s="106" t="s">
        <v>25</v>
      </c>
      <c r="F437" s="106" t="s">
        <v>20</v>
      </c>
      <c r="G437" s="107">
        <v>98447250</v>
      </c>
      <c r="H437" s="43" t="s">
        <v>26</v>
      </c>
      <c r="I437" s="106" t="s">
        <v>8</v>
      </c>
      <c r="J437" s="106" t="s">
        <v>22</v>
      </c>
      <c r="K437" s="106" t="s">
        <v>141</v>
      </c>
      <c r="L437" s="106" t="s">
        <v>147</v>
      </c>
      <c r="M437" s="106" t="s">
        <v>147</v>
      </c>
      <c r="N437" s="106" t="s">
        <v>147</v>
      </c>
      <c r="O437" s="106" t="s">
        <v>147</v>
      </c>
      <c r="P437" s="106" t="s">
        <v>147</v>
      </c>
      <c r="Q437" s="51" t="s">
        <v>147</v>
      </c>
      <c r="R437" s="106"/>
      <c r="S437" s="105">
        <v>0</v>
      </c>
      <c r="T437" s="106" t="s">
        <v>147</v>
      </c>
      <c r="U437" s="106" t="s">
        <v>138</v>
      </c>
      <c r="V437" s="105" t="s">
        <v>147</v>
      </c>
      <c r="W437" s="106" t="s">
        <v>147</v>
      </c>
      <c r="X437" s="106" t="s">
        <v>147</v>
      </c>
      <c r="Y437" s="106" t="s">
        <v>147</v>
      </c>
      <c r="Z437" s="106" t="s">
        <v>147</v>
      </c>
      <c r="AA437" s="106" t="s">
        <v>147</v>
      </c>
    </row>
    <row r="438" spans="1:27" ht="12.95" customHeight="1">
      <c r="A438" s="43">
        <v>271</v>
      </c>
      <c r="B438" s="127" t="s">
        <v>16</v>
      </c>
      <c r="C438" s="129" t="s">
        <v>12</v>
      </c>
      <c r="D438" s="43" t="s">
        <v>19</v>
      </c>
      <c r="E438" s="106" t="s">
        <v>25</v>
      </c>
      <c r="F438" s="106" t="s">
        <v>3</v>
      </c>
      <c r="G438" s="107">
        <v>95021365</v>
      </c>
      <c r="H438" s="91" t="s">
        <v>20</v>
      </c>
      <c r="I438" s="106" t="s">
        <v>8</v>
      </c>
      <c r="J438" s="106" t="s">
        <v>7</v>
      </c>
      <c r="K438" s="106" t="s">
        <v>141</v>
      </c>
      <c r="L438" s="106" t="s">
        <v>147</v>
      </c>
      <c r="M438" s="106" t="s">
        <v>147</v>
      </c>
      <c r="N438" s="106" t="s">
        <v>147</v>
      </c>
      <c r="O438" s="106" t="s">
        <v>147</v>
      </c>
      <c r="P438" s="106" t="s">
        <v>147</v>
      </c>
      <c r="Q438" s="51" t="s">
        <v>147</v>
      </c>
      <c r="R438" s="106"/>
      <c r="S438" s="105">
        <v>0</v>
      </c>
      <c r="T438" s="106" t="s">
        <v>147</v>
      </c>
      <c r="U438" s="106" t="s">
        <v>138</v>
      </c>
      <c r="V438" s="105" t="s">
        <v>147</v>
      </c>
      <c r="W438" s="106" t="s">
        <v>147</v>
      </c>
      <c r="X438" s="106" t="s">
        <v>147</v>
      </c>
      <c r="Y438" s="106" t="s">
        <v>147</v>
      </c>
      <c r="Z438" s="106" t="s">
        <v>147</v>
      </c>
      <c r="AA438" s="106" t="s">
        <v>147</v>
      </c>
    </row>
    <row r="439" spans="1:27" ht="12.95" customHeight="1">
      <c r="A439" s="43">
        <v>399</v>
      </c>
      <c r="B439" s="127" t="s">
        <v>16</v>
      </c>
      <c r="C439" s="129" t="s">
        <v>12</v>
      </c>
      <c r="D439" s="43" t="s">
        <v>19</v>
      </c>
      <c r="E439" s="106" t="s">
        <v>25</v>
      </c>
      <c r="F439" s="106" t="s">
        <v>17</v>
      </c>
      <c r="G439" s="107">
        <v>54923265</v>
      </c>
      <c r="H439" s="43" t="s">
        <v>26</v>
      </c>
      <c r="I439" s="106" t="s">
        <v>8</v>
      </c>
      <c r="J439" s="106" t="s">
        <v>15</v>
      </c>
      <c r="K439" s="106" t="s">
        <v>141</v>
      </c>
      <c r="L439" s="106" t="s">
        <v>147</v>
      </c>
      <c r="M439" s="106" t="s">
        <v>147</v>
      </c>
      <c r="N439" s="106" t="s">
        <v>147</v>
      </c>
      <c r="O439" s="106" t="s">
        <v>147</v>
      </c>
      <c r="P439" s="106" t="s">
        <v>147</v>
      </c>
      <c r="Q439" s="51" t="s">
        <v>147</v>
      </c>
      <c r="R439" s="106"/>
      <c r="S439" s="105">
        <v>0</v>
      </c>
      <c r="T439" s="106" t="s">
        <v>147</v>
      </c>
      <c r="U439" s="106" t="s">
        <v>138</v>
      </c>
      <c r="V439" s="105" t="s">
        <v>147</v>
      </c>
      <c r="W439" s="106" t="s">
        <v>147</v>
      </c>
      <c r="X439" s="106" t="s">
        <v>147</v>
      </c>
      <c r="Y439" s="106" t="s">
        <v>147</v>
      </c>
      <c r="Z439" s="106" t="s">
        <v>147</v>
      </c>
      <c r="AA439" s="106" t="s">
        <v>147</v>
      </c>
    </row>
    <row r="440" spans="1:27" ht="12.95" customHeight="1">
      <c r="A440" s="43">
        <v>619</v>
      </c>
      <c r="B440" s="127" t="s">
        <v>16</v>
      </c>
      <c r="C440" s="129" t="s">
        <v>12</v>
      </c>
      <c r="D440" s="43" t="s">
        <v>19</v>
      </c>
      <c r="E440" s="106" t="s">
        <v>25</v>
      </c>
      <c r="F440" s="106" t="s">
        <v>9</v>
      </c>
      <c r="G440" s="107">
        <v>45087415</v>
      </c>
      <c r="H440" s="129" t="s">
        <v>17</v>
      </c>
      <c r="I440" s="106" t="s">
        <v>8</v>
      </c>
      <c r="J440" s="106" t="s">
        <v>22</v>
      </c>
      <c r="K440" s="106" t="s">
        <v>141</v>
      </c>
      <c r="L440" s="106" t="s">
        <v>147</v>
      </c>
      <c r="M440" s="106" t="s">
        <v>147</v>
      </c>
      <c r="N440" s="106" t="s">
        <v>147</v>
      </c>
      <c r="O440" s="106" t="s">
        <v>147</v>
      </c>
      <c r="P440" s="106" t="s">
        <v>147</v>
      </c>
      <c r="Q440" s="51" t="s">
        <v>147</v>
      </c>
      <c r="R440" s="106"/>
      <c r="S440" s="105">
        <v>0</v>
      </c>
      <c r="T440" s="106" t="s">
        <v>147</v>
      </c>
      <c r="U440" s="106" t="s">
        <v>138</v>
      </c>
      <c r="V440" s="105" t="s">
        <v>147</v>
      </c>
      <c r="W440" s="106" t="s">
        <v>147</v>
      </c>
      <c r="X440" s="106" t="s">
        <v>147</v>
      </c>
      <c r="Y440" s="106" t="s">
        <v>147</v>
      </c>
      <c r="Z440" s="106" t="s">
        <v>147</v>
      </c>
      <c r="AA440" s="106" t="s">
        <v>147</v>
      </c>
    </row>
    <row r="441" spans="1:27" ht="12.95" customHeight="1">
      <c r="A441" s="43">
        <v>295</v>
      </c>
      <c r="B441" s="127" t="s">
        <v>16</v>
      </c>
      <c r="C441" s="129" t="s">
        <v>12</v>
      </c>
      <c r="D441" s="43" t="s">
        <v>19</v>
      </c>
      <c r="E441" s="106" t="s">
        <v>25</v>
      </c>
      <c r="F441" s="106" t="s">
        <v>7</v>
      </c>
      <c r="G441" s="107">
        <v>95158030</v>
      </c>
      <c r="H441" s="129" t="s">
        <v>9</v>
      </c>
      <c r="I441" s="106" t="s">
        <v>8</v>
      </c>
      <c r="J441" s="106" t="s">
        <v>18</v>
      </c>
      <c r="K441" s="106" t="s">
        <v>141</v>
      </c>
      <c r="L441" s="106" t="s">
        <v>147</v>
      </c>
      <c r="M441" s="106" t="s">
        <v>147</v>
      </c>
      <c r="N441" s="106" t="s">
        <v>147</v>
      </c>
      <c r="O441" s="106" t="s">
        <v>147</v>
      </c>
      <c r="P441" s="106" t="s">
        <v>147</v>
      </c>
      <c r="Q441" s="51" t="s">
        <v>147</v>
      </c>
      <c r="R441" s="106"/>
      <c r="S441" s="105">
        <v>0</v>
      </c>
      <c r="T441" s="106" t="s">
        <v>147</v>
      </c>
      <c r="U441" s="106" t="s">
        <v>138</v>
      </c>
      <c r="V441" s="105" t="s">
        <v>147</v>
      </c>
      <c r="W441" s="106" t="s">
        <v>147</v>
      </c>
      <c r="X441" s="106" t="s">
        <v>139</v>
      </c>
      <c r="Y441" s="106" t="s">
        <v>147</v>
      </c>
      <c r="Z441" s="106" t="s">
        <v>147</v>
      </c>
      <c r="AA441" s="106" t="s">
        <v>147</v>
      </c>
    </row>
    <row r="442" spans="1:27" ht="12.95" customHeight="1">
      <c r="A442" s="43">
        <v>251</v>
      </c>
      <c r="B442" s="127" t="s">
        <v>16</v>
      </c>
      <c r="C442" s="129" t="s">
        <v>12</v>
      </c>
      <c r="D442" s="43" t="s">
        <v>19</v>
      </c>
      <c r="E442" s="106" t="s">
        <v>25</v>
      </c>
      <c r="F442" s="106" t="s">
        <v>15</v>
      </c>
      <c r="G442" s="107">
        <v>50051439</v>
      </c>
      <c r="H442" s="129" t="s">
        <v>17</v>
      </c>
      <c r="I442" s="106" t="s">
        <v>8</v>
      </c>
      <c r="J442" s="106" t="s">
        <v>15</v>
      </c>
      <c r="K442" s="106" t="s">
        <v>141</v>
      </c>
      <c r="L442" s="106" t="s">
        <v>140</v>
      </c>
      <c r="M442" s="106" t="s">
        <v>136</v>
      </c>
      <c r="N442" s="106" t="s">
        <v>149</v>
      </c>
      <c r="O442" s="106" t="s">
        <v>149</v>
      </c>
      <c r="P442" s="106" t="s">
        <v>132</v>
      </c>
      <c r="Q442" s="51" t="s">
        <v>132</v>
      </c>
      <c r="R442" s="106"/>
      <c r="S442" s="105">
        <v>71</v>
      </c>
      <c r="T442" s="50" t="s">
        <v>135</v>
      </c>
      <c r="U442" s="46" t="s">
        <v>137</v>
      </c>
      <c r="V442" s="105" t="s">
        <v>147</v>
      </c>
      <c r="W442" s="106" t="s">
        <v>147</v>
      </c>
      <c r="X442" s="106" t="s">
        <v>139</v>
      </c>
      <c r="Y442" s="106" t="s">
        <v>138</v>
      </c>
      <c r="Z442" s="106" t="s">
        <v>147</v>
      </c>
      <c r="AA442" s="106" t="s">
        <v>123</v>
      </c>
    </row>
    <row r="443" spans="1:27" ht="12.95" customHeight="1">
      <c r="A443" s="43">
        <v>345</v>
      </c>
      <c r="B443" s="127" t="s">
        <v>16</v>
      </c>
      <c r="C443" s="129" t="s">
        <v>12</v>
      </c>
      <c r="D443" s="43" t="s">
        <v>19</v>
      </c>
      <c r="E443" s="106" t="s">
        <v>25</v>
      </c>
      <c r="F443" s="106" t="s">
        <v>19</v>
      </c>
      <c r="G443" s="107">
        <v>93758399</v>
      </c>
      <c r="H443" s="129" t="s">
        <v>9</v>
      </c>
      <c r="I443" s="106" t="s">
        <v>8</v>
      </c>
      <c r="J443" s="106" t="s">
        <v>22</v>
      </c>
      <c r="K443" s="106" t="s">
        <v>141</v>
      </c>
      <c r="L443" s="106" t="s">
        <v>147</v>
      </c>
      <c r="M443" s="106" t="s">
        <v>147</v>
      </c>
      <c r="N443" s="106" t="s">
        <v>147</v>
      </c>
      <c r="O443" s="106" t="s">
        <v>147</v>
      </c>
      <c r="P443" s="106" t="s">
        <v>147</v>
      </c>
      <c r="Q443" s="51" t="s">
        <v>147</v>
      </c>
      <c r="R443" s="106"/>
      <c r="S443" s="105">
        <v>0</v>
      </c>
      <c r="T443" s="106" t="s">
        <v>147</v>
      </c>
      <c r="U443" s="106" t="s">
        <v>138</v>
      </c>
      <c r="V443" s="105" t="s">
        <v>147</v>
      </c>
      <c r="W443" s="106" t="s">
        <v>147</v>
      </c>
      <c r="X443" s="106" t="s">
        <v>147</v>
      </c>
      <c r="Y443" s="106" t="s">
        <v>147</v>
      </c>
      <c r="Z443" s="106" t="s">
        <v>147</v>
      </c>
      <c r="AA443" s="106" t="s">
        <v>147</v>
      </c>
    </row>
    <row r="444" spans="1:27" ht="12.95" customHeight="1">
      <c r="A444" s="43">
        <v>301</v>
      </c>
      <c r="B444" s="127" t="s">
        <v>16</v>
      </c>
      <c r="C444" s="129" t="s">
        <v>12</v>
      </c>
      <c r="D444" s="43" t="s">
        <v>19</v>
      </c>
      <c r="E444" s="106" t="s">
        <v>25</v>
      </c>
      <c r="F444" s="106" t="s">
        <v>7</v>
      </c>
      <c r="G444" s="107">
        <v>89528778</v>
      </c>
      <c r="H444" s="129" t="s">
        <v>26</v>
      </c>
      <c r="I444" s="106" t="s">
        <v>8</v>
      </c>
      <c r="J444" s="106" t="s">
        <v>7</v>
      </c>
      <c r="K444" s="106" t="s">
        <v>141</v>
      </c>
      <c r="L444" s="106" t="s">
        <v>147</v>
      </c>
      <c r="M444" s="106" t="s">
        <v>147</v>
      </c>
      <c r="N444" s="106" t="s">
        <v>147</v>
      </c>
      <c r="O444" s="106" t="s">
        <v>147</v>
      </c>
      <c r="P444" s="106" t="s">
        <v>147</v>
      </c>
      <c r="Q444" s="51" t="s">
        <v>147</v>
      </c>
      <c r="R444" s="106"/>
      <c r="S444" s="105">
        <v>0</v>
      </c>
      <c r="T444" s="106" t="s">
        <v>147</v>
      </c>
      <c r="U444" s="106" t="s">
        <v>138</v>
      </c>
      <c r="V444" s="105" t="s">
        <v>147</v>
      </c>
      <c r="W444" s="106" t="s">
        <v>147</v>
      </c>
      <c r="X444" s="106" t="s">
        <v>147</v>
      </c>
      <c r="Y444" s="106" t="s">
        <v>147</v>
      </c>
      <c r="Z444" s="106" t="s">
        <v>147</v>
      </c>
      <c r="AA444" s="106" t="s">
        <v>147</v>
      </c>
    </row>
    <row r="445" spans="1:27" ht="12.95" customHeight="1">
      <c r="A445" s="43">
        <v>373</v>
      </c>
      <c r="B445" s="127" t="s">
        <v>16</v>
      </c>
      <c r="C445" s="129" t="s">
        <v>12</v>
      </c>
      <c r="D445" s="43" t="s">
        <v>19</v>
      </c>
      <c r="E445" s="106" t="s">
        <v>25</v>
      </c>
      <c r="F445" s="106" t="s">
        <v>27</v>
      </c>
      <c r="G445" s="107">
        <v>262340</v>
      </c>
      <c r="H445" s="91" t="s">
        <v>20</v>
      </c>
      <c r="I445" s="106" t="s">
        <v>8</v>
      </c>
      <c r="J445" s="106" t="s">
        <v>18</v>
      </c>
      <c r="K445" s="106" t="s">
        <v>141</v>
      </c>
      <c r="L445" s="106" t="s">
        <v>147</v>
      </c>
      <c r="M445" s="106" t="s">
        <v>147</v>
      </c>
      <c r="N445" s="106" t="s">
        <v>147</v>
      </c>
      <c r="O445" s="106" t="s">
        <v>147</v>
      </c>
      <c r="P445" s="106" t="s">
        <v>147</v>
      </c>
      <c r="Q445" s="51" t="s">
        <v>147</v>
      </c>
      <c r="R445" s="106"/>
      <c r="S445" s="105">
        <v>0</v>
      </c>
      <c r="T445" s="106" t="s">
        <v>147</v>
      </c>
      <c r="U445" s="106" t="s">
        <v>138</v>
      </c>
      <c r="V445" s="105" t="s">
        <v>147</v>
      </c>
      <c r="W445" s="106" t="s">
        <v>147</v>
      </c>
      <c r="X445" s="106" t="s">
        <v>139</v>
      </c>
      <c r="Y445" s="106" t="s">
        <v>147</v>
      </c>
      <c r="Z445" s="106" t="s">
        <v>147</v>
      </c>
      <c r="AA445" s="106" t="s">
        <v>147</v>
      </c>
    </row>
    <row r="446" spans="1:27" ht="12.95" customHeight="1">
      <c r="A446" s="43">
        <v>512</v>
      </c>
      <c r="B446" s="127" t="s">
        <v>16</v>
      </c>
      <c r="C446" s="129" t="s">
        <v>12</v>
      </c>
      <c r="D446" s="43" t="s">
        <v>19</v>
      </c>
      <c r="E446" s="106" t="s">
        <v>25</v>
      </c>
      <c r="F446" s="106" t="s">
        <v>7</v>
      </c>
      <c r="G446" s="107">
        <v>298961</v>
      </c>
      <c r="H446" s="129" t="s">
        <v>9</v>
      </c>
      <c r="I446" s="106" t="s">
        <v>8</v>
      </c>
      <c r="J446" s="106" t="s">
        <v>7</v>
      </c>
      <c r="K446" s="106" t="s">
        <v>141</v>
      </c>
      <c r="L446" s="106" t="s">
        <v>137</v>
      </c>
      <c r="M446" s="106" t="s">
        <v>140</v>
      </c>
      <c r="N446" s="106" t="s">
        <v>148</v>
      </c>
      <c r="O446" s="106" t="s">
        <v>148</v>
      </c>
      <c r="P446" s="106" t="s">
        <v>132</v>
      </c>
      <c r="Q446" s="51" t="s">
        <v>132</v>
      </c>
      <c r="R446" s="106"/>
      <c r="S446" s="105">
        <v>99</v>
      </c>
      <c r="T446" s="50" t="s">
        <v>140</v>
      </c>
      <c r="U446" s="46" t="s">
        <v>141</v>
      </c>
      <c r="V446" s="105" t="s">
        <v>147</v>
      </c>
      <c r="W446" s="106" t="s">
        <v>150</v>
      </c>
      <c r="X446" s="106" t="s">
        <v>136</v>
      </c>
      <c r="Y446" s="106" t="s">
        <v>147</v>
      </c>
      <c r="Z446" s="106" t="s">
        <v>147</v>
      </c>
      <c r="AA446" s="106" t="s">
        <v>147</v>
      </c>
    </row>
    <row r="447" spans="1:27" ht="12.95" customHeight="1">
      <c r="A447" s="43">
        <v>455</v>
      </c>
      <c r="B447" s="127" t="s">
        <v>16</v>
      </c>
      <c r="C447" s="129" t="s">
        <v>12</v>
      </c>
      <c r="D447" s="43" t="s">
        <v>19</v>
      </c>
      <c r="E447" s="106" t="s">
        <v>25</v>
      </c>
      <c r="F447" s="106" t="s">
        <v>25</v>
      </c>
      <c r="G447" s="107">
        <v>393885</v>
      </c>
      <c r="H447" s="91" t="s">
        <v>20</v>
      </c>
      <c r="I447" s="106" t="s">
        <v>8</v>
      </c>
      <c r="J447" s="106" t="s">
        <v>22</v>
      </c>
      <c r="K447" s="106" t="s">
        <v>141</v>
      </c>
      <c r="L447" s="106" t="s">
        <v>140</v>
      </c>
      <c r="M447" s="106" t="s">
        <v>136</v>
      </c>
      <c r="N447" s="106" t="s">
        <v>147</v>
      </c>
      <c r="O447" s="106" t="s">
        <v>147</v>
      </c>
      <c r="P447" s="106" t="s">
        <v>147</v>
      </c>
      <c r="Q447" s="51" t="s">
        <v>147</v>
      </c>
      <c r="R447" s="106"/>
      <c r="S447" s="105">
        <v>0</v>
      </c>
      <c r="T447" s="106" t="s">
        <v>147</v>
      </c>
      <c r="U447" s="106" t="s">
        <v>138</v>
      </c>
      <c r="V447" s="105" t="s">
        <v>147</v>
      </c>
      <c r="W447" s="106" t="s">
        <v>147</v>
      </c>
      <c r="X447" s="106" t="s">
        <v>139</v>
      </c>
      <c r="Y447" s="106" t="s">
        <v>147</v>
      </c>
      <c r="Z447" s="106" t="s">
        <v>147</v>
      </c>
      <c r="AA447" s="106" t="s">
        <v>147</v>
      </c>
    </row>
    <row r="448" spans="1:27" ht="12.95" customHeight="1">
      <c r="A448" s="43">
        <v>411</v>
      </c>
      <c r="B448" s="127" t="s">
        <v>16</v>
      </c>
      <c r="C448" s="129" t="s">
        <v>12</v>
      </c>
      <c r="D448" s="43" t="s">
        <v>19</v>
      </c>
      <c r="E448" s="106" t="s">
        <v>25</v>
      </c>
      <c r="F448" s="106" t="s">
        <v>19</v>
      </c>
      <c r="G448" s="107">
        <v>399798</v>
      </c>
      <c r="H448" s="91" t="s">
        <v>20</v>
      </c>
      <c r="I448" s="106" t="s">
        <v>8</v>
      </c>
      <c r="J448" s="106" t="s">
        <v>18</v>
      </c>
      <c r="K448" s="106" t="s">
        <v>141</v>
      </c>
      <c r="L448" s="106" t="s">
        <v>140</v>
      </c>
      <c r="M448" s="106" t="s">
        <v>127</v>
      </c>
      <c r="N448" s="106" t="s">
        <v>147</v>
      </c>
      <c r="O448" s="106" t="s">
        <v>147</v>
      </c>
      <c r="P448" s="106" t="s">
        <v>147</v>
      </c>
      <c r="Q448" s="51" t="s">
        <v>147</v>
      </c>
      <c r="R448" s="106"/>
      <c r="S448" s="105">
        <v>0</v>
      </c>
      <c r="T448" s="106" t="s">
        <v>147</v>
      </c>
      <c r="U448" s="106" t="s">
        <v>138</v>
      </c>
      <c r="V448" s="105" t="s">
        <v>147</v>
      </c>
      <c r="W448" s="106" t="s">
        <v>147</v>
      </c>
      <c r="X448" s="106" t="s">
        <v>139</v>
      </c>
      <c r="Y448" s="106" t="s">
        <v>147</v>
      </c>
      <c r="Z448" s="106" t="s">
        <v>147</v>
      </c>
      <c r="AA448" s="106" t="s">
        <v>147</v>
      </c>
    </row>
    <row r="449" spans="1:27" ht="12.95" customHeight="1">
      <c r="A449" s="43">
        <v>560</v>
      </c>
      <c r="B449" s="127" t="s">
        <v>16</v>
      </c>
      <c r="C449" s="129" t="s">
        <v>12</v>
      </c>
      <c r="D449" s="43" t="s">
        <v>19</v>
      </c>
      <c r="E449" s="106" t="s">
        <v>25</v>
      </c>
      <c r="F449" s="106" t="s">
        <v>6</v>
      </c>
      <c r="G449" s="107">
        <v>483969</v>
      </c>
      <c r="H449" s="91" t="s">
        <v>20</v>
      </c>
      <c r="I449" s="106" t="s">
        <v>8</v>
      </c>
      <c r="J449" s="106" t="s">
        <v>15</v>
      </c>
      <c r="K449" s="106" t="s">
        <v>141</v>
      </c>
      <c r="L449" s="106" t="s">
        <v>140</v>
      </c>
      <c r="M449" s="106" t="s">
        <v>136</v>
      </c>
      <c r="N449" s="106" t="s">
        <v>147</v>
      </c>
      <c r="O449" s="106" t="s">
        <v>147</v>
      </c>
      <c r="P449" s="106" t="s">
        <v>147</v>
      </c>
      <c r="Q449" s="51" t="s">
        <v>147</v>
      </c>
      <c r="R449" s="106"/>
      <c r="S449" s="105">
        <v>0</v>
      </c>
      <c r="T449" s="106" t="s">
        <v>147</v>
      </c>
      <c r="U449" s="106" t="s">
        <v>138</v>
      </c>
      <c r="V449" s="105" t="s">
        <v>147</v>
      </c>
      <c r="W449" s="106" t="s">
        <v>147</v>
      </c>
      <c r="X449" s="106" t="s">
        <v>139</v>
      </c>
      <c r="Y449" s="106" t="s">
        <v>147</v>
      </c>
      <c r="Z449" s="106" t="s">
        <v>147</v>
      </c>
      <c r="AA449" s="106" t="s">
        <v>147</v>
      </c>
    </row>
    <row r="450" spans="1:27" ht="12.95" customHeight="1">
      <c r="A450" s="43">
        <v>593</v>
      </c>
      <c r="B450" s="127" t="s">
        <v>16</v>
      </c>
      <c r="C450" s="129" t="s">
        <v>12</v>
      </c>
      <c r="D450" s="43" t="s">
        <v>19</v>
      </c>
      <c r="E450" s="106" t="s">
        <v>25</v>
      </c>
      <c r="F450" s="106" t="s">
        <v>28</v>
      </c>
      <c r="G450" s="107">
        <v>448901</v>
      </c>
      <c r="H450" s="91" t="s">
        <v>20</v>
      </c>
      <c r="I450" s="106" t="s">
        <v>8</v>
      </c>
      <c r="J450" s="106" t="s">
        <v>22</v>
      </c>
      <c r="K450" s="106" t="s">
        <v>141</v>
      </c>
      <c r="L450" s="106" t="s">
        <v>137</v>
      </c>
      <c r="M450" s="106" t="s">
        <v>134</v>
      </c>
      <c r="N450" s="106" t="s">
        <v>147</v>
      </c>
      <c r="O450" s="106" t="s">
        <v>147</v>
      </c>
      <c r="P450" s="106" t="s">
        <v>147</v>
      </c>
      <c r="Q450" s="51" t="s">
        <v>147</v>
      </c>
      <c r="R450" s="106"/>
      <c r="S450" s="105">
        <v>0</v>
      </c>
      <c r="T450" s="106" t="s">
        <v>147</v>
      </c>
      <c r="U450" s="106" t="s">
        <v>138</v>
      </c>
      <c r="V450" s="105" t="s">
        <v>147</v>
      </c>
      <c r="W450" s="106" t="s">
        <v>147</v>
      </c>
      <c r="X450" s="106" t="s">
        <v>139</v>
      </c>
      <c r="Y450" s="106" t="s">
        <v>147</v>
      </c>
      <c r="Z450" s="106" t="s">
        <v>147</v>
      </c>
      <c r="AA450" s="106" t="s">
        <v>147</v>
      </c>
    </row>
    <row r="451" spans="1:27" ht="12.95" customHeight="1">
      <c r="A451" s="43">
        <v>248</v>
      </c>
      <c r="B451" s="127" t="s">
        <v>16</v>
      </c>
      <c r="C451" s="129" t="s">
        <v>12</v>
      </c>
      <c r="D451" s="43" t="s">
        <v>19</v>
      </c>
      <c r="E451" s="106" t="s">
        <v>25</v>
      </c>
      <c r="F451" s="106" t="s">
        <v>4</v>
      </c>
      <c r="G451" s="107">
        <v>505024</v>
      </c>
      <c r="H451" s="43" t="s">
        <v>26</v>
      </c>
      <c r="I451" s="106" t="s">
        <v>8</v>
      </c>
      <c r="J451" s="106" t="s">
        <v>15</v>
      </c>
      <c r="K451" s="106" t="s">
        <v>141</v>
      </c>
      <c r="L451" s="106" t="s">
        <v>140</v>
      </c>
      <c r="M451" s="106" t="s">
        <v>133</v>
      </c>
      <c r="N451" s="106" t="s">
        <v>151</v>
      </c>
      <c r="O451" s="106" t="s">
        <v>152</v>
      </c>
      <c r="P451" s="106" t="s">
        <v>132</v>
      </c>
      <c r="Q451" s="51" t="s">
        <v>132</v>
      </c>
      <c r="R451" s="106"/>
      <c r="S451" s="105">
        <v>61</v>
      </c>
      <c r="T451" s="50" t="s">
        <v>141</v>
      </c>
      <c r="U451" s="46" t="s">
        <v>137</v>
      </c>
      <c r="V451" s="105" t="s">
        <v>147</v>
      </c>
      <c r="W451" s="106" t="s">
        <v>147</v>
      </c>
      <c r="X451" s="106" t="s">
        <v>147</v>
      </c>
      <c r="Y451" s="106" t="s">
        <v>138</v>
      </c>
      <c r="Z451" s="106" t="s">
        <v>147</v>
      </c>
      <c r="AA451" s="106" t="s">
        <v>140</v>
      </c>
    </row>
    <row r="452" spans="1:27" ht="12.95" customHeight="1">
      <c r="A452" s="43">
        <v>649</v>
      </c>
      <c r="B452" s="127" t="s">
        <v>16</v>
      </c>
      <c r="C452" s="129" t="s">
        <v>12</v>
      </c>
      <c r="D452" s="43" t="s">
        <v>19</v>
      </c>
      <c r="E452" s="106" t="s">
        <v>25</v>
      </c>
      <c r="F452" s="106" t="s">
        <v>41</v>
      </c>
      <c r="G452" s="107">
        <v>378211</v>
      </c>
      <c r="H452" s="43" t="s">
        <v>26</v>
      </c>
      <c r="I452" s="106" t="s">
        <v>8</v>
      </c>
      <c r="J452" s="106" t="s">
        <v>18</v>
      </c>
      <c r="K452" s="106" t="s">
        <v>141</v>
      </c>
      <c r="L452" s="106" t="s">
        <v>147</v>
      </c>
      <c r="M452" s="106" t="s">
        <v>147</v>
      </c>
      <c r="N452" s="106" t="s">
        <v>147</v>
      </c>
      <c r="O452" s="106" t="s">
        <v>147</v>
      </c>
      <c r="P452" s="106" t="s">
        <v>147</v>
      </c>
      <c r="Q452" s="51" t="s">
        <v>147</v>
      </c>
      <c r="R452" s="106"/>
      <c r="S452" s="105">
        <v>0</v>
      </c>
      <c r="T452" s="106" t="s">
        <v>147</v>
      </c>
      <c r="U452" s="106" t="s">
        <v>138</v>
      </c>
      <c r="V452" s="105" t="s">
        <v>147</v>
      </c>
      <c r="W452" s="106" t="s">
        <v>147</v>
      </c>
      <c r="X452" s="106" t="s">
        <v>139</v>
      </c>
      <c r="Y452" s="106" t="s">
        <v>147</v>
      </c>
      <c r="Z452" s="106" t="s">
        <v>147</v>
      </c>
      <c r="AA452" s="106" t="s">
        <v>147</v>
      </c>
    </row>
    <row r="453" spans="1:27" ht="12.95" customHeight="1">
      <c r="A453" s="43">
        <v>330</v>
      </c>
      <c r="B453" s="127" t="s">
        <v>16</v>
      </c>
      <c r="C453" s="129" t="s">
        <v>12</v>
      </c>
      <c r="D453" s="43" t="s">
        <v>19</v>
      </c>
      <c r="E453" s="106" t="s">
        <v>25</v>
      </c>
      <c r="F453" s="106" t="s">
        <v>41</v>
      </c>
      <c r="G453" s="107">
        <v>243656</v>
      </c>
      <c r="H453" s="43" t="s">
        <v>26</v>
      </c>
      <c r="I453" s="106" t="s">
        <v>8</v>
      </c>
      <c r="J453" s="106" t="s">
        <v>18</v>
      </c>
      <c r="K453" s="106" t="s">
        <v>141</v>
      </c>
      <c r="L453" s="106" t="s">
        <v>147</v>
      </c>
      <c r="M453" s="106" t="s">
        <v>147</v>
      </c>
      <c r="N453" s="106" t="s">
        <v>147</v>
      </c>
      <c r="O453" s="106" t="s">
        <v>147</v>
      </c>
      <c r="P453" s="106" t="s">
        <v>147</v>
      </c>
      <c r="Q453" s="51" t="s">
        <v>147</v>
      </c>
      <c r="R453" s="106"/>
      <c r="S453" s="105">
        <v>0</v>
      </c>
      <c r="T453" s="106" t="s">
        <v>147</v>
      </c>
      <c r="U453" s="106" t="s">
        <v>138</v>
      </c>
      <c r="V453" s="105" t="s">
        <v>147</v>
      </c>
      <c r="W453" s="106" t="s">
        <v>147</v>
      </c>
      <c r="X453" s="106" t="s">
        <v>139</v>
      </c>
      <c r="Y453" s="106" t="s">
        <v>147</v>
      </c>
      <c r="Z453" s="106" t="s">
        <v>147</v>
      </c>
      <c r="AA453" s="106" t="s">
        <v>147</v>
      </c>
    </row>
    <row r="454" spans="1:27" ht="12.95" customHeight="1">
      <c r="A454" s="43">
        <v>340</v>
      </c>
      <c r="B454" s="127" t="s">
        <v>16</v>
      </c>
      <c r="C454" s="129" t="s">
        <v>12</v>
      </c>
      <c r="D454" s="43" t="s">
        <v>19</v>
      </c>
      <c r="E454" s="106" t="s">
        <v>25</v>
      </c>
      <c r="F454" s="106" t="s">
        <v>41</v>
      </c>
      <c r="G454" s="107">
        <v>276387</v>
      </c>
      <c r="H454" s="43" t="s">
        <v>26</v>
      </c>
      <c r="I454" s="106" t="s">
        <v>8</v>
      </c>
      <c r="J454" s="106" t="s">
        <v>18</v>
      </c>
      <c r="K454" s="106" t="s">
        <v>141</v>
      </c>
      <c r="L454" s="106" t="s">
        <v>147</v>
      </c>
      <c r="M454" s="106" t="s">
        <v>147</v>
      </c>
      <c r="N454" s="106" t="s">
        <v>147</v>
      </c>
      <c r="O454" s="106" t="s">
        <v>147</v>
      </c>
      <c r="P454" s="106" t="s">
        <v>147</v>
      </c>
      <c r="Q454" s="51" t="s">
        <v>147</v>
      </c>
      <c r="R454" s="106"/>
      <c r="S454" s="105">
        <v>0</v>
      </c>
      <c r="T454" s="106" t="s">
        <v>147</v>
      </c>
      <c r="U454" s="106" t="s">
        <v>138</v>
      </c>
      <c r="V454" s="105" t="s">
        <v>147</v>
      </c>
      <c r="W454" s="106" t="s">
        <v>147</v>
      </c>
      <c r="X454" s="106" t="s">
        <v>139</v>
      </c>
      <c r="Y454" s="106" t="s">
        <v>147</v>
      </c>
      <c r="Z454" s="106" t="s">
        <v>147</v>
      </c>
      <c r="AA454" s="106" t="s">
        <v>147</v>
      </c>
    </row>
    <row r="455" spans="1:27" ht="12.95" customHeight="1">
      <c r="A455" s="43">
        <v>345</v>
      </c>
      <c r="B455" s="127" t="s">
        <v>16</v>
      </c>
      <c r="C455" s="129" t="s">
        <v>12</v>
      </c>
      <c r="D455" s="43" t="s">
        <v>19</v>
      </c>
      <c r="E455" s="106" t="s">
        <v>25</v>
      </c>
      <c r="F455" s="106" t="s">
        <v>41</v>
      </c>
      <c r="G455" s="107">
        <v>494588</v>
      </c>
      <c r="H455" s="43" t="s">
        <v>26</v>
      </c>
      <c r="I455" s="106" t="s">
        <v>8</v>
      </c>
      <c r="J455" s="106" t="s">
        <v>18</v>
      </c>
      <c r="K455" s="106" t="s">
        <v>141</v>
      </c>
      <c r="L455" s="106" t="s">
        <v>147</v>
      </c>
      <c r="M455" s="106" t="s">
        <v>147</v>
      </c>
      <c r="N455" s="106" t="s">
        <v>147</v>
      </c>
      <c r="O455" s="106" t="s">
        <v>147</v>
      </c>
      <c r="P455" s="106" t="s">
        <v>147</v>
      </c>
      <c r="Q455" s="51" t="s">
        <v>147</v>
      </c>
      <c r="R455" s="106"/>
      <c r="S455" s="105">
        <v>0</v>
      </c>
      <c r="T455" s="106" t="s">
        <v>147</v>
      </c>
      <c r="U455" s="106" t="s">
        <v>138</v>
      </c>
      <c r="V455" s="105" t="s">
        <v>147</v>
      </c>
      <c r="W455" s="106" t="s">
        <v>147</v>
      </c>
      <c r="X455" s="106" t="s">
        <v>139</v>
      </c>
      <c r="Y455" s="106" t="s">
        <v>147</v>
      </c>
      <c r="Z455" s="106" t="s">
        <v>147</v>
      </c>
      <c r="AA455" s="106" t="s">
        <v>147</v>
      </c>
    </row>
    <row r="456" spans="1:27" ht="12.95" customHeight="1">
      <c r="A456" s="43">
        <v>346</v>
      </c>
      <c r="B456" s="127" t="s">
        <v>16</v>
      </c>
      <c r="C456" s="129" t="s">
        <v>12</v>
      </c>
      <c r="D456" s="43" t="s">
        <v>19</v>
      </c>
      <c r="E456" s="106" t="s">
        <v>25</v>
      </c>
      <c r="F456" s="106" t="s">
        <v>41</v>
      </c>
      <c r="G456" s="107">
        <v>392763</v>
      </c>
      <c r="H456" s="43" t="s">
        <v>26</v>
      </c>
      <c r="I456" s="106" t="s">
        <v>8</v>
      </c>
      <c r="J456" s="106" t="s">
        <v>18</v>
      </c>
      <c r="K456" s="106" t="s">
        <v>141</v>
      </c>
      <c r="L456" s="106" t="s">
        <v>147</v>
      </c>
      <c r="M456" s="106" t="s">
        <v>147</v>
      </c>
      <c r="N456" s="106" t="s">
        <v>147</v>
      </c>
      <c r="O456" s="106" t="s">
        <v>147</v>
      </c>
      <c r="P456" s="106" t="s">
        <v>147</v>
      </c>
      <c r="Q456" s="51" t="s">
        <v>147</v>
      </c>
      <c r="R456" s="106"/>
      <c r="S456" s="105">
        <v>0</v>
      </c>
      <c r="T456" s="106" t="s">
        <v>147</v>
      </c>
      <c r="U456" s="106" t="s">
        <v>138</v>
      </c>
      <c r="V456" s="105" t="s">
        <v>147</v>
      </c>
      <c r="W456" s="106" t="s">
        <v>147</v>
      </c>
      <c r="X456" s="106" t="s">
        <v>139</v>
      </c>
      <c r="Y456" s="106" t="s">
        <v>147</v>
      </c>
      <c r="Z456" s="106" t="s">
        <v>147</v>
      </c>
      <c r="AA456" s="106" t="s">
        <v>147</v>
      </c>
    </row>
    <row r="457" spans="1:27" ht="12.95" customHeight="1">
      <c r="A457" s="43">
        <v>347</v>
      </c>
      <c r="B457" s="127" t="s">
        <v>16</v>
      </c>
      <c r="C457" s="129" t="s">
        <v>12</v>
      </c>
      <c r="D457" s="43" t="s">
        <v>19</v>
      </c>
      <c r="E457" s="106" t="s">
        <v>25</v>
      </c>
      <c r="F457" s="106" t="s">
        <v>5</v>
      </c>
      <c r="G457" s="107">
        <v>516416</v>
      </c>
      <c r="H457" s="43" t="s">
        <v>26</v>
      </c>
      <c r="I457" s="106" t="s">
        <v>8</v>
      </c>
      <c r="J457" s="106" t="s">
        <v>22</v>
      </c>
      <c r="K457" s="106" t="s">
        <v>141</v>
      </c>
      <c r="L457" s="106" t="s">
        <v>147</v>
      </c>
      <c r="M457" s="106" t="s">
        <v>147</v>
      </c>
      <c r="N457" s="106" t="s">
        <v>147</v>
      </c>
      <c r="O457" s="106" t="s">
        <v>147</v>
      </c>
      <c r="P457" s="106" t="s">
        <v>147</v>
      </c>
      <c r="Q457" s="51" t="s">
        <v>147</v>
      </c>
      <c r="R457" s="106"/>
      <c r="S457" s="105">
        <v>0</v>
      </c>
      <c r="T457" s="106" t="s">
        <v>147</v>
      </c>
      <c r="U457" s="106" t="s">
        <v>138</v>
      </c>
      <c r="V457" s="105" t="s">
        <v>147</v>
      </c>
      <c r="W457" s="106" t="s">
        <v>147</v>
      </c>
      <c r="X457" s="106" t="s">
        <v>147</v>
      </c>
      <c r="Y457" s="106" t="s">
        <v>147</v>
      </c>
      <c r="Z457" s="106" t="s">
        <v>147</v>
      </c>
      <c r="AA457" s="106" t="s">
        <v>147</v>
      </c>
    </row>
    <row r="458" spans="1:27" ht="12.95" customHeight="1">
      <c r="A458" s="43">
        <v>580</v>
      </c>
      <c r="B458" s="127" t="s">
        <v>16</v>
      </c>
      <c r="C458" s="129" t="s">
        <v>12</v>
      </c>
      <c r="D458" s="43" t="s">
        <v>19</v>
      </c>
      <c r="E458" s="106" t="s">
        <v>25</v>
      </c>
      <c r="F458" s="106" t="s">
        <v>20</v>
      </c>
      <c r="G458" s="107">
        <v>225479</v>
      </c>
      <c r="H458" s="129" t="s">
        <v>26</v>
      </c>
      <c r="I458" s="106" t="s">
        <v>8</v>
      </c>
      <c r="J458" s="106" t="s">
        <v>22</v>
      </c>
      <c r="K458" s="106" t="s">
        <v>141</v>
      </c>
      <c r="L458" s="106" t="s">
        <v>147</v>
      </c>
      <c r="M458" s="106" t="s">
        <v>147</v>
      </c>
      <c r="N458" s="106" t="s">
        <v>147</v>
      </c>
      <c r="O458" s="106" t="s">
        <v>147</v>
      </c>
      <c r="P458" s="106" t="s">
        <v>147</v>
      </c>
      <c r="Q458" s="51" t="s">
        <v>147</v>
      </c>
      <c r="R458" s="106"/>
      <c r="S458" s="105">
        <v>0</v>
      </c>
      <c r="T458" s="106" t="s">
        <v>147</v>
      </c>
      <c r="U458" s="106" t="s">
        <v>138</v>
      </c>
      <c r="V458" s="105" t="s">
        <v>147</v>
      </c>
      <c r="W458" s="106" t="s">
        <v>147</v>
      </c>
      <c r="X458" s="106" t="s">
        <v>147</v>
      </c>
      <c r="Y458" s="106" t="s">
        <v>147</v>
      </c>
      <c r="Z458" s="106" t="s">
        <v>147</v>
      </c>
      <c r="AA458" s="106" t="s">
        <v>147</v>
      </c>
    </row>
    <row r="459" spans="1:27" ht="12.95" customHeight="1">
      <c r="A459" s="43">
        <v>531</v>
      </c>
      <c r="B459" s="127" t="s">
        <v>16</v>
      </c>
      <c r="C459" s="129" t="s">
        <v>12</v>
      </c>
      <c r="D459" s="43" t="s">
        <v>19</v>
      </c>
      <c r="E459" s="106" t="s">
        <v>25</v>
      </c>
      <c r="F459" s="106" t="s">
        <v>25</v>
      </c>
      <c r="G459" s="107">
        <v>301851</v>
      </c>
      <c r="H459" s="43" t="s">
        <v>26</v>
      </c>
      <c r="I459" s="106" t="s">
        <v>8</v>
      </c>
      <c r="J459" s="106" t="s">
        <v>22</v>
      </c>
      <c r="K459" s="106" t="s">
        <v>141</v>
      </c>
      <c r="L459" s="106" t="s">
        <v>140</v>
      </c>
      <c r="M459" s="106" t="s">
        <v>134</v>
      </c>
      <c r="N459" s="106" t="s">
        <v>153</v>
      </c>
      <c r="O459" s="106" t="s">
        <v>154</v>
      </c>
      <c r="P459" s="106" t="s">
        <v>132</v>
      </c>
      <c r="Q459" s="51" t="s">
        <v>132</v>
      </c>
      <c r="R459" s="106"/>
      <c r="S459" s="105">
        <v>4</v>
      </c>
      <c r="T459" s="50" t="s">
        <v>139</v>
      </c>
      <c r="U459" s="46" t="s">
        <v>137</v>
      </c>
      <c r="V459" s="105" t="s">
        <v>155</v>
      </c>
      <c r="W459" s="106" t="s">
        <v>147</v>
      </c>
      <c r="X459" s="106" t="s">
        <v>147</v>
      </c>
      <c r="Y459" s="106" t="s">
        <v>139</v>
      </c>
      <c r="Z459" s="106" t="s">
        <v>147</v>
      </c>
      <c r="AA459" s="106" t="s">
        <v>126</v>
      </c>
    </row>
    <row r="460" spans="1:27" ht="12.95" customHeight="1">
      <c r="A460" s="43">
        <v>353</v>
      </c>
      <c r="B460" s="127" t="s">
        <v>16</v>
      </c>
      <c r="C460" s="129" t="s">
        <v>12</v>
      </c>
      <c r="D460" s="43" t="s">
        <v>19</v>
      </c>
      <c r="E460" s="106" t="s">
        <v>25</v>
      </c>
      <c r="F460" s="106" t="s">
        <v>7</v>
      </c>
      <c r="G460" s="107">
        <v>385501</v>
      </c>
      <c r="H460" s="43" t="s">
        <v>26</v>
      </c>
      <c r="I460" s="106" t="s">
        <v>8</v>
      </c>
      <c r="J460" s="106" t="s">
        <v>15</v>
      </c>
      <c r="K460" s="106" t="s">
        <v>141</v>
      </c>
      <c r="L460" s="106" t="s">
        <v>147</v>
      </c>
      <c r="M460" s="106" t="s">
        <v>147</v>
      </c>
      <c r="N460" s="106" t="s">
        <v>147</v>
      </c>
      <c r="O460" s="106" t="s">
        <v>147</v>
      </c>
      <c r="P460" s="106" t="s">
        <v>147</v>
      </c>
      <c r="Q460" s="51" t="s">
        <v>147</v>
      </c>
      <c r="R460" s="106"/>
      <c r="S460" s="105">
        <v>0</v>
      </c>
      <c r="T460" s="106" t="s">
        <v>147</v>
      </c>
      <c r="U460" s="106" t="s">
        <v>138</v>
      </c>
      <c r="V460" s="105" t="s">
        <v>147</v>
      </c>
      <c r="W460" s="106" t="s">
        <v>147</v>
      </c>
      <c r="X460" s="106" t="s">
        <v>147</v>
      </c>
      <c r="Y460" s="106" t="s">
        <v>147</v>
      </c>
      <c r="Z460" s="106" t="s">
        <v>147</v>
      </c>
      <c r="AA460" s="106" t="s">
        <v>147</v>
      </c>
    </row>
    <row r="461" spans="1:27" ht="12.95" customHeight="1">
      <c r="A461" s="43">
        <v>483</v>
      </c>
      <c r="B461" s="127" t="s">
        <v>16</v>
      </c>
      <c r="C461" s="129" t="s">
        <v>12</v>
      </c>
      <c r="D461" s="43" t="s">
        <v>19</v>
      </c>
      <c r="E461" s="106" t="s">
        <v>25</v>
      </c>
      <c r="F461" s="106" t="s">
        <v>4</v>
      </c>
      <c r="G461" s="107">
        <v>210937</v>
      </c>
      <c r="H461" s="129" t="s">
        <v>17</v>
      </c>
      <c r="I461" s="106" t="s">
        <v>8</v>
      </c>
      <c r="J461" s="106" t="s">
        <v>18</v>
      </c>
      <c r="K461" s="106" t="s">
        <v>141</v>
      </c>
      <c r="L461" s="106" t="s">
        <v>147</v>
      </c>
      <c r="M461" s="106" t="s">
        <v>147</v>
      </c>
      <c r="N461" s="106" t="s">
        <v>147</v>
      </c>
      <c r="O461" s="106" t="s">
        <v>147</v>
      </c>
      <c r="P461" s="106" t="s">
        <v>147</v>
      </c>
      <c r="Q461" s="51" t="s">
        <v>147</v>
      </c>
      <c r="R461" s="106"/>
      <c r="S461" s="105">
        <v>0</v>
      </c>
      <c r="T461" s="106" t="s">
        <v>147</v>
      </c>
      <c r="U461" s="106" t="s">
        <v>138</v>
      </c>
      <c r="V461" s="105" t="s">
        <v>147</v>
      </c>
      <c r="W461" s="106" t="s">
        <v>147</v>
      </c>
      <c r="X461" s="106" t="s">
        <v>139</v>
      </c>
      <c r="Y461" s="106" t="s">
        <v>147</v>
      </c>
      <c r="Z461" s="106" t="s">
        <v>147</v>
      </c>
      <c r="AA461" s="106" t="s">
        <v>147</v>
      </c>
    </row>
    <row r="462" spans="1:27" ht="12.95" customHeight="1">
      <c r="A462" s="43">
        <v>595</v>
      </c>
      <c r="B462" s="127" t="s">
        <v>16</v>
      </c>
      <c r="C462" s="129" t="s">
        <v>12</v>
      </c>
      <c r="D462" s="43" t="s">
        <v>19</v>
      </c>
      <c r="E462" s="106" t="s">
        <v>25</v>
      </c>
      <c r="F462" s="106" t="s">
        <v>24</v>
      </c>
      <c r="G462" s="107">
        <v>298223</v>
      </c>
      <c r="H462" s="129" t="s">
        <v>26</v>
      </c>
      <c r="I462" s="106" t="s">
        <v>8</v>
      </c>
      <c r="J462" s="106" t="s">
        <v>22</v>
      </c>
      <c r="K462" s="106" t="s">
        <v>141</v>
      </c>
      <c r="L462" s="106" t="s">
        <v>147</v>
      </c>
      <c r="M462" s="106" t="s">
        <v>147</v>
      </c>
      <c r="N462" s="106" t="s">
        <v>147</v>
      </c>
      <c r="O462" s="106" t="s">
        <v>147</v>
      </c>
      <c r="P462" s="106" t="s">
        <v>147</v>
      </c>
      <c r="Q462" s="51" t="s">
        <v>147</v>
      </c>
      <c r="R462" s="106"/>
      <c r="S462" s="105">
        <v>0</v>
      </c>
      <c r="T462" s="106" t="s">
        <v>147</v>
      </c>
      <c r="U462" s="106" t="s">
        <v>138</v>
      </c>
      <c r="V462" s="105" t="s">
        <v>147</v>
      </c>
      <c r="W462" s="106" t="s">
        <v>147</v>
      </c>
      <c r="X462" s="106" t="s">
        <v>147</v>
      </c>
      <c r="Y462" s="106" t="s">
        <v>147</v>
      </c>
      <c r="Z462" s="106" t="s">
        <v>147</v>
      </c>
      <c r="AA462" s="106" t="s">
        <v>147</v>
      </c>
    </row>
    <row r="463" spans="1:27" ht="12.95" customHeight="1">
      <c r="A463" s="43">
        <v>342</v>
      </c>
      <c r="B463" s="127" t="s">
        <v>16</v>
      </c>
      <c r="C463" s="129" t="s">
        <v>12</v>
      </c>
      <c r="D463" s="43" t="s">
        <v>19</v>
      </c>
      <c r="E463" s="106" t="s">
        <v>25</v>
      </c>
      <c r="F463" s="106" t="s">
        <v>12</v>
      </c>
      <c r="G463" s="107">
        <v>469159</v>
      </c>
      <c r="H463" s="43" t="s">
        <v>26</v>
      </c>
      <c r="I463" s="106" t="s">
        <v>8</v>
      </c>
      <c r="J463" s="106" t="s">
        <v>22</v>
      </c>
      <c r="K463" s="106" t="s">
        <v>141</v>
      </c>
      <c r="L463" s="106" t="s">
        <v>147</v>
      </c>
      <c r="M463" s="106" t="s">
        <v>147</v>
      </c>
      <c r="N463" s="106" t="s">
        <v>147</v>
      </c>
      <c r="O463" s="106" t="s">
        <v>147</v>
      </c>
      <c r="P463" s="106" t="s">
        <v>147</v>
      </c>
      <c r="Q463" s="51" t="s">
        <v>147</v>
      </c>
      <c r="R463" s="106"/>
      <c r="S463" s="105">
        <v>0</v>
      </c>
      <c r="T463" s="106" t="s">
        <v>147</v>
      </c>
      <c r="U463" s="106" t="s">
        <v>138</v>
      </c>
      <c r="V463" s="105" t="s">
        <v>147</v>
      </c>
      <c r="W463" s="106" t="s">
        <v>147</v>
      </c>
      <c r="X463" s="106" t="s">
        <v>147</v>
      </c>
      <c r="Y463" s="106" t="s">
        <v>131</v>
      </c>
      <c r="Z463" s="106" t="s">
        <v>147</v>
      </c>
      <c r="AA463" s="106" t="s">
        <v>147</v>
      </c>
    </row>
    <row r="464" spans="1:27" ht="12.95" customHeight="1">
      <c r="A464" s="43">
        <v>287</v>
      </c>
      <c r="B464" s="127" t="s">
        <v>16</v>
      </c>
      <c r="C464" s="129" t="s">
        <v>12</v>
      </c>
      <c r="D464" s="43" t="s">
        <v>19</v>
      </c>
      <c r="E464" s="106" t="s">
        <v>25</v>
      </c>
      <c r="F464" s="106" t="s">
        <v>25</v>
      </c>
      <c r="G464" s="107">
        <v>400060</v>
      </c>
      <c r="H464" s="129" t="s">
        <v>26</v>
      </c>
      <c r="I464" s="106" t="s">
        <v>8</v>
      </c>
      <c r="J464" s="106" t="s">
        <v>18</v>
      </c>
      <c r="K464" s="106" t="s">
        <v>141</v>
      </c>
      <c r="L464" s="106" t="s">
        <v>147</v>
      </c>
      <c r="M464" s="106" t="s">
        <v>147</v>
      </c>
      <c r="N464" s="106" t="s">
        <v>147</v>
      </c>
      <c r="O464" s="106" t="s">
        <v>147</v>
      </c>
      <c r="P464" s="106" t="s">
        <v>147</v>
      </c>
      <c r="Q464" s="51" t="s">
        <v>147</v>
      </c>
      <c r="R464" s="106"/>
      <c r="S464" s="105">
        <v>0</v>
      </c>
      <c r="T464" s="106" t="s">
        <v>147</v>
      </c>
      <c r="U464" s="106" t="s">
        <v>138</v>
      </c>
      <c r="V464" s="105" t="s">
        <v>147</v>
      </c>
      <c r="W464" s="106" t="s">
        <v>147</v>
      </c>
      <c r="X464" s="106" t="s">
        <v>139</v>
      </c>
      <c r="Y464" s="106" t="s">
        <v>147</v>
      </c>
      <c r="Z464" s="106" t="s">
        <v>147</v>
      </c>
      <c r="AA464" s="106" t="s">
        <v>147</v>
      </c>
    </row>
    <row r="465" spans="1:27" ht="12.95" customHeight="1">
      <c r="A465" s="43">
        <v>408</v>
      </c>
      <c r="B465" s="127" t="s">
        <v>16</v>
      </c>
      <c r="C465" s="129" t="s">
        <v>12</v>
      </c>
      <c r="D465" s="43" t="s">
        <v>19</v>
      </c>
      <c r="E465" s="106" t="s">
        <v>25</v>
      </c>
      <c r="F465" s="106" t="s">
        <v>25</v>
      </c>
      <c r="G465" s="107">
        <v>381877</v>
      </c>
      <c r="H465" s="129" t="s">
        <v>26</v>
      </c>
      <c r="I465" s="106" t="s">
        <v>8</v>
      </c>
      <c r="J465" s="106" t="s">
        <v>18</v>
      </c>
      <c r="K465" s="106" t="s">
        <v>141</v>
      </c>
      <c r="L465" s="106" t="s">
        <v>147</v>
      </c>
      <c r="M465" s="106" t="s">
        <v>147</v>
      </c>
      <c r="N465" s="106" t="s">
        <v>147</v>
      </c>
      <c r="O465" s="106" t="s">
        <v>147</v>
      </c>
      <c r="P465" s="106" t="s">
        <v>147</v>
      </c>
      <c r="Q465" s="51" t="s">
        <v>147</v>
      </c>
      <c r="R465" s="106"/>
      <c r="S465" s="105">
        <v>0</v>
      </c>
      <c r="T465" s="106" t="s">
        <v>147</v>
      </c>
      <c r="U465" s="106" t="s">
        <v>138</v>
      </c>
      <c r="V465" s="105" t="s">
        <v>147</v>
      </c>
      <c r="W465" s="106" t="s">
        <v>147</v>
      </c>
      <c r="X465" s="106" t="s">
        <v>139</v>
      </c>
      <c r="Y465" s="106" t="s">
        <v>147</v>
      </c>
      <c r="Z465" s="106" t="s">
        <v>147</v>
      </c>
      <c r="AA465" s="106" t="s">
        <v>147</v>
      </c>
    </row>
    <row r="466" spans="1:27" ht="12.95" customHeight="1">
      <c r="A466" s="43">
        <v>665</v>
      </c>
      <c r="B466" s="127" t="s">
        <v>16</v>
      </c>
      <c r="C466" s="129" t="s">
        <v>12</v>
      </c>
      <c r="D466" s="43" t="s">
        <v>19</v>
      </c>
      <c r="E466" s="106" t="s">
        <v>25</v>
      </c>
      <c r="F466" s="106" t="s">
        <v>26</v>
      </c>
      <c r="G466" s="107">
        <v>334598</v>
      </c>
      <c r="H466" s="43" t="s">
        <v>26</v>
      </c>
      <c r="I466" s="106" t="s">
        <v>8</v>
      </c>
      <c r="J466" s="106" t="s">
        <v>15</v>
      </c>
      <c r="K466" s="106" t="s">
        <v>141</v>
      </c>
      <c r="L466" s="106" t="s">
        <v>147</v>
      </c>
      <c r="M466" s="106" t="s">
        <v>147</v>
      </c>
      <c r="N466" s="106" t="s">
        <v>147</v>
      </c>
      <c r="O466" s="106" t="s">
        <v>147</v>
      </c>
      <c r="P466" s="106" t="s">
        <v>147</v>
      </c>
      <c r="Q466" s="51" t="s">
        <v>147</v>
      </c>
      <c r="R466" s="106"/>
      <c r="S466" s="105">
        <v>0</v>
      </c>
      <c r="T466" s="106" t="s">
        <v>147</v>
      </c>
      <c r="U466" s="106" t="s">
        <v>138</v>
      </c>
      <c r="V466" s="105" t="s">
        <v>147</v>
      </c>
      <c r="W466" s="106" t="s">
        <v>147</v>
      </c>
      <c r="X466" s="106" t="s">
        <v>147</v>
      </c>
      <c r="Y466" s="106" t="s">
        <v>147</v>
      </c>
      <c r="Z466" s="106" t="s">
        <v>147</v>
      </c>
      <c r="AA466" s="106" t="s">
        <v>147</v>
      </c>
    </row>
    <row r="467" spans="1:27" ht="12.95" customHeight="1">
      <c r="A467" s="43">
        <v>391</v>
      </c>
      <c r="B467" s="127" t="s">
        <v>16</v>
      </c>
      <c r="C467" s="129" t="s">
        <v>12</v>
      </c>
      <c r="D467" s="43" t="s">
        <v>19</v>
      </c>
      <c r="E467" s="106" t="s">
        <v>25</v>
      </c>
      <c r="F467" s="106" t="s">
        <v>21</v>
      </c>
      <c r="G467" s="107">
        <v>465530</v>
      </c>
      <c r="H467" s="129" t="s">
        <v>17</v>
      </c>
      <c r="I467" s="106" t="s">
        <v>8</v>
      </c>
      <c r="J467" s="106" t="s">
        <v>15</v>
      </c>
      <c r="K467" s="106" t="s">
        <v>141</v>
      </c>
      <c r="L467" s="106" t="s">
        <v>137</v>
      </c>
      <c r="M467" s="106" t="s">
        <v>127</v>
      </c>
      <c r="N467" s="106" t="s">
        <v>156</v>
      </c>
      <c r="O467" s="109">
        <v>45763</v>
      </c>
      <c r="P467" s="106" t="s">
        <v>126</v>
      </c>
      <c r="Q467" s="51" t="s">
        <v>126</v>
      </c>
      <c r="R467" s="106"/>
      <c r="S467" s="105">
        <v>594</v>
      </c>
      <c r="T467" s="50" t="s">
        <v>132</v>
      </c>
      <c r="U467" s="46" t="s">
        <v>137</v>
      </c>
      <c r="V467" s="113">
        <v>46371</v>
      </c>
      <c r="W467" s="106" t="s">
        <v>147</v>
      </c>
      <c r="X467" s="106" t="s">
        <v>147</v>
      </c>
      <c r="Y467" s="106" t="s">
        <v>138</v>
      </c>
      <c r="Z467" s="106" t="s">
        <v>147</v>
      </c>
      <c r="AA467" s="106" t="s">
        <v>123</v>
      </c>
    </row>
    <row r="468" spans="1:27" ht="12.95" customHeight="1">
      <c r="A468" s="43">
        <v>593</v>
      </c>
      <c r="B468" s="127" t="s">
        <v>16</v>
      </c>
      <c r="C468" s="129" t="s">
        <v>12</v>
      </c>
      <c r="D468" s="43" t="s">
        <v>19</v>
      </c>
      <c r="E468" s="106" t="s">
        <v>25</v>
      </c>
      <c r="F468" s="106" t="s">
        <v>24</v>
      </c>
      <c r="G468" s="107">
        <v>400066</v>
      </c>
      <c r="H468" s="129" t="s">
        <v>17</v>
      </c>
      <c r="I468" s="106" t="s">
        <v>8</v>
      </c>
      <c r="J468" s="106" t="s">
        <v>15</v>
      </c>
      <c r="K468" s="106" t="s">
        <v>141</v>
      </c>
      <c r="L468" s="106" t="s">
        <v>139</v>
      </c>
      <c r="M468" s="106" t="s">
        <v>127</v>
      </c>
      <c r="N468" s="106" t="s">
        <v>157</v>
      </c>
      <c r="O468" s="106" t="s">
        <v>158</v>
      </c>
      <c r="P468" s="106" t="s">
        <v>126</v>
      </c>
      <c r="Q468" s="51" t="s">
        <v>126</v>
      </c>
      <c r="R468" s="106"/>
      <c r="S468" s="105">
        <v>421</v>
      </c>
      <c r="T468" s="50" t="s">
        <v>132</v>
      </c>
      <c r="U468" s="46" t="s">
        <v>137</v>
      </c>
      <c r="V468" s="113">
        <v>46299</v>
      </c>
      <c r="W468" s="106" t="s">
        <v>147</v>
      </c>
      <c r="X468" s="106" t="s">
        <v>140</v>
      </c>
      <c r="Y468" s="106" t="s">
        <v>138</v>
      </c>
      <c r="Z468" s="106" t="s">
        <v>147</v>
      </c>
      <c r="AA468" s="106" t="s">
        <v>136</v>
      </c>
    </row>
    <row r="469" spans="1:27" ht="12.95" customHeight="1">
      <c r="A469" s="43">
        <v>585</v>
      </c>
      <c r="B469" s="127" t="s">
        <v>16</v>
      </c>
      <c r="C469" s="129" t="s">
        <v>12</v>
      </c>
      <c r="D469" s="43" t="s">
        <v>19</v>
      </c>
      <c r="E469" s="106" t="s">
        <v>25</v>
      </c>
      <c r="F469" s="106" t="s">
        <v>26</v>
      </c>
      <c r="G469" s="107">
        <v>472806</v>
      </c>
      <c r="H469" s="43" t="s">
        <v>26</v>
      </c>
      <c r="I469" s="106" t="s">
        <v>8</v>
      </c>
      <c r="J469" s="106" t="s">
        <v>15</v>
      </c>
      <c r="K469" s="106" t="s">
        <v>141</v>
      </c>
      <c r="L469" s="106" t="s">
        <v>147</v>
      </c>
      <c r="M469" s="106" t="s">
        <v>147</v>
      </c>
      <c r="N469" s="106" t="s">
        <v>147</v>
      </c>
      <c r="O469" s="106" t="s">
        <v>147</v>
      </c>
      <c r="P469" s="106" t="s">
        <v>147</v>
      </c>
      <c r="Q469" s="51" t="s">
        <v>147</v>
      </c>
      <c r="R469" s="106"/>
      <c r="S469" s="105">
        <v>0</v>
      </c>
      <c r="T469" s="106" t="s">
        <v>147</v>
      </c>
      <c r="U469" s="106" t="s">
        <v>138</v>
      </c>
      <c r="V469" s="105" t="s">
        <v>147</v>
      </c>
      <c r="W469" s="106" t="s">
        <v>147</v>
      </c>
      <c r="X469" s="106" t="s">
        <v>147</v>
      </c>
      <c r="Y469" s="106" t="s">
        <v>147</v>
      </c>
      <c r="Z469" s="106" t="s">
        <v>147</v>
      </c>
      <c r="AA469" s="106" t="s">
        <v>147</v>
      </c>
    </row>
    <row r="470" spans="1:27" ht="12.95" customHeight="1">
      <c r="A470" s="43">
        <v>347</v>
      </c>
      <c r="B470" s="127" t="s">
        <v>16</v>
      </c>
      <c r="C470" s="129" t="s">
        <v>12</v>
      </c>
      <c r="D470" s="43" t="s">
        <v>19</v>
      </c>
      <c r="E470" s="106" t="s">
        <v>25</v>
      </c>
      <c r="F470" s="106" t="s">
        <v>7</v>
      </c>
      <c r="G470" s="107">
        <v>498266</v>
      </c>
      <c r="H470" s="43" t="s">
        <v>26</v>
      </c>
      <c r="I470" s="106" t="s">
        <v>8</v>
      </c>
      <c r="J470" s="106" t="s">
        <v>15</v>
      </c>
      <c r="K470" s="106" t="s">
        <v>141</v>
      </c>
      <c r="L470" s="106" t="s">
        <v>138</v>
      </c>
      <c r="M470" s="106" t="s">
        <v>123</v>
      </c>
      <c r="N470" s="108">
        <v>46130</v>
      </c>
      <c r="O470" s="108">
        <v>46130</v>
      </c>
      <c r="P470" s="106" t="s">
        <v>132</v>
      </c>
      <c r="Q470" s="51" t="s">
        <v>132</v>
      </c>
      <c r="R470" s="106"/>
      <c r="S470" s="105">
        <v>108</v>
      </c>
      <c r="T470" s="50" t="s">
        <v>140</v>
      </c>
      <c r="U470" s="46" t="s">
        <v>141</v>
      </c>
      <c r="V470" s="105" t="s">
        <v>147</v>
      </c>
      <c r="W470" s="108">
        <v>46135</v>
      </c>
      <c r="X470" s="106" t="s">
        <v>139</v>
      </c>
      <c r="Y470" s="106" t="s">
        <v>147</v>
      </c>
      <c r="Z470" s="106" t="s">
        <v>147</v>
      </c>
      <c r="AA470" s="106" t="s">
        <v>135</v>
      </c>
    </row>
    <row r="471" spans="1:27" ht="12.95" customHeight="1">
      <c r="A471" s="43">
        <v>559</v>
      </c>
      <c r="B471" s="127" t="s">
        <v>16</v>
      </c>
      <c r="C471" s="129" t="s">
        <v>12</v>
      </c>
      <c r="D471" s="43" t="s">
        <v>19</v>
      </c>
      <c r="E471" s="106" t="s">
        <v>25</v>
      </c>
      <c r="F471" s="106" t="s">
        <v>25</v>
      </c>
      <c r="G471" s="107">
        <v>472809</v>
      </c>
      <c r="H471" s="129" t="s">
        <v>17</v>
      </c>
      <c r="I471" s="106" t="s">
        <v>8</v>
      </c>
      <c r="J471" s="106" t="s">
        <v>20</v>
      </c>
      <c r="K471" s="106" t="s">
        <v>141</v>
      </c>
      <c r="L471" s="106" t="s">
        <v>140</v>
      </c>
      <c r="M471" s="106" t="s">
        <v>123</v>
      </c>
      <c r="N471" s="108">
        <v>46088</v>
      </c>
      <c r="O471" s="108">
        <v>46088</v>
      </c>
      <c r="P471" s="106" t="s">
        <v>132</v>
      </c>
      <c r="Q471" s="51" t="s">
        <v>132</v>
      </c>
      <c r="R471" s="106"/>
      <c r="S471" s="105">
        <v>86</v>
      </c>
      <c r="T471" s="50" t="s">
        <v>135</v>
      </c>
      <c r="U471" s="46" t="s">
        <v>137</v>
      </c>
      <c r="V471" s="105" t="s">
        <v>147</v>
      </c>
      <c r="W471" s="106" t="s">
        <v>147</v>
      </c>
      <c r="X471" s="106" t="s">
        <v>147</v>
      </c>
      <c r="Y471" s="106" t="s">
        <v>138</v>
      </c>
      <c r="Z471" s="106" t="s">
        <v>147</v>
      </c>
      <c r="AA471" s="106" t="s">
        <v>123</v>
      </c>
    </row>
    <row r="472" spans="1:27" ht="12.95" customHeight="1">
      <c r="A472" s="43">
        <v>353</v>
      </c>
      <c r="B472" s="127" t="s">
        <v>16</v>
      </c>
      <c r="C472" s="129" t="s">
        <v>12</v>
      </c>
      <c r="D472" s="43" t="s">
        <v>19</v>
      </c>
      <c r="E472" s="106" t="s">
        <v>25</v>
      </c>
      <c r="F472" s="106" t="s">
        <v>15</v>
      </c>
      <c r="G472" s="107">
        <v>320056</v>
      </c>
      <c r="H472" s="43" t="s">
        <v>26</v>
      </c>
      <c r="I472" s="106" t="s">
        <v>8</v>
      </c>
      <c r="J472" s="106" t="s">
        <v>15</v>
      </c>
      <c r="K472" s="106" t="s">
        <v>141</v>
      </c>
      <c r="L472" s="106" t="s">
        <v>147</v>
      </c>
      <c r="M472" s="106" t="s">
        <v>147</v>
      </c>
      <c r="N472" s="106" t="s">
        <v>147</v>
      </c>
      <c r="O472" s="106" t="s">
        <v>147</v>
      </c>
      <c r="P472" s="106" t="s">
        <v>147</v>
      </c>
      <c r="Q472" s="51" t="s">
        <v>147</v>
      </c>
      <c r="R472" s="106"/>
      <c r="S472" s="105">
        <v>0</v>
      </c>
      <c r="T472" s="106" t="s">
        <v>147</v>
      </c>
      <c r="U472" s="106" t="s">
        <v>138</v>
      </c>
      <c r="V472" s="105" t="s">
        <v>147</v>
      </c>
      <c r="W472" s="106" t="s">
        <v>147</v>
      </c>
      <c r="X472" s="106" t="s">
        <v>147</v>
      </c>
      <c r="Y472" s="106" t="s">
        <v>147</v>
      </c>
      <c r="Z472" s="106" t="s">
        <v>147</v>
      </c>
      <c r="AA472" s="106" t="s">
        <v>147</v>
      </c>
    </row>
    <row r="473" spans="1:27" ht="12.95" customHeight="1">
      <c r="A473" s="43">
        <v>411</v>
      </c>
      <c r="B473" s="127" t="s">
        <v>16</v>
      </c>
      <c r="C473" s="129" t="s">
        <v>12</v>
      </c>
      <c r="D473" s="43" t="s">
        <v>19</v>
      </c>
      <c r="E473" s="106" t="s">
        <v>25</v>
      </c>
      <c r="F473" s="106" t="s">
        <v>20</v>
      </c>
      <c r="G473" s="107">
        <v>410982</v>
      </c>
      <c r="H473" s="129" t="s">
        <v>17</v>
      </c>
      <c r="I473" s="106" t="s">
        <v>8</v>
      </c>
      <c r="J473" s="106" t="s">
        <v>15</v>
      </c>
      <c r="K473" s="106" t="s">
        <v>141</v>
      </c>
      <c r="L473" s="106" t="s">
        <v>147</v>
      </c>
      <c r="M473" s="106" t="s">
        <v>147</v>
      </c>
      <c r="N473" s="106" t="s">
        <v>147</v>
      </c>
      <c r="O473" s="106" t="s">
        <v>147</v>
      </c>
      <c r="P473" s="106" t="s">
        <v>147</v>
      </c>
      <c r="Q473" s="51" t="s">
        <v>147</v>
      </c>
      <c r="R473" s="106"/>
      <c r="S473" s="105">
        <v>0</v>
      </c>
      <c r="T473" s="106" t="s">
        <v>147</v>
      </c>
      <c r="U473" s="106" t="s">
        <v>138</v>
      </c>
      <c r="V473" s="105" t="s">
        <v>147</v>
      </c>
      <c r="W473" s="106" t="s">
        <v>147</v>
      </c>
      <c r="X473" s="106" t="s">
        <v>147</v>
      </c>
      <c r="Y473" s="106" t="s">
        <v>147</v>
      </c>
      <c r="Z473" s="106" t="s">
        <v>147</v>
      </c>
      <c r="AA473" s="106" t="s">
        <v>147</v>
      </c>
    </row>
    <row r="474" spans="1:27" ht="12.95" customHeight="1">
      <c r="A474" s="43">
        <v>265</v>
      </c>
      <c r="B474" s="127" t="s">
        <v>16</v>
      </c>
      <c r="C474" s="129" t="s">
        <v>12</v>
      </c>
      <c r="D474" s="43" t="s">
        <v>19</v>
      </c>
      <c r="E474" s="106" t="s">
        <v>25</v>
      </c>
      <c r="F474" s="106" t="s">
        <v>8</v>
      </c>
      <c r="G474" s="107">
        <v>523731</v>
      </c>
      <c r="H474" s="43" t="s">
        <v>26</v>
      </c>
      <c r="I474" s="106" t="s">
        <v>8</v>
      </c>
      <c r="J474" s="106" t="s">
        <v>18</v>
      </c>
      <c r="K474" s="106" t="s">
        <v>141</v>
      </c>
      <c r="L474" s="106" t="s">
        <v>140</v>
      </c>
      <c r="M474" s="106" t="s">
        <v>132</v>
      </c>
      <c r="N474" s="108">
        <v>46206</v>
      </c>
      <c r="O474" s="108">
        <v>46260</v>
      </c>
      <c r="P474" s="106" t="s">
        <v>126</v>
      </c>
      <c r="Q474" s="51" t="s">
        <v>126</v>
      </c>
      <c r="R474" s="106"/>
      <c r="S474" s="105">
        <v>32</v>
      </c>
      <c r="T474" s="50" t="s">
        <v>141</v>
      </c>
      <c r="U474" s="46" t="s">
        <v>137</v>
      </c>
      <c r="V474" s="105" t="s">
        <v>159</v>
      </c>
      <c r="W474" s="106" t="s">
        <v>147</v>
      </c>
      <c r="X474" s="106" t="s">
        <v>147</v>
      </c>
      <c r="Y474" s="106" t="s">
        <v>138</v>
      </c>
      <c r="Z474" s="106" t="s">
        <v>147</v>
      </c>
      <c r="AA474" s="106" t="s">
        <v>131</v>
      </c>
    </row>
    <row r="475" spans="1:27" ht="12.95" customHeight="1">
      <c r="A475" s="43">
        <v>664</v>
      </c>
      <c r="B475" s="127" t="s">
        <v>16</v>
      </c>
      <c r="C475" s="129" t="s">
        <v>12</v>
      </c>
      <c r="D475" s="43" t="s">
        <v>19</v>
      </c>
      <c r="E475" s="106" t="s">
        <v>25</v>
      </c>
      <c r="F475" s="106" t="s">
        <v>25</v>
      </c>
      <c r="G475" s="107">
        <v>240044</v>
      </c>
      <c r="H475" s="43" t="s">
        <v>26</v>
      </c>
      <c r="I475" s="106" t="s">
        <v>8</v>
      </c>
      <c r="J475" s="106" t="s">
        <v>7</v>
      </c>
      <c r="K475" s="106" t="s">
        <v>141</v>
      </c>
      <c r="L475" s="106" t="s">
        <v>140</v>
      </c>
      <c r="M475" s="106" t="s">
        <v>123</v>
      </c>
      <c r="N475" s="108">
        <v>46222</v>
      </c>
      <c r="O475" s="108">
        <v>46344</v>
      </c>
      <c r="P475" s="106" t="s">
        <v>132</v>
      </c>
      <c r="Q475" s="51" t="s">
        <v>132</v>
      </c>
      <c r="R475" s="106"/>
      <c r="S475" s="105">
        <v>102</v>
      </c>
      <c r="T475" s="50" t="s">
        <v>135</v>
      </c>
      <c r="U475" s="46" t="s">
        <v>137</v>
      </c>
      <c r="V475" s="105" t="s">
        <v>160</v>
      </c>
      <c r="W475" s="106" t="s">
        <v>147</v>
      </c>
      <c r="X475" s="106" t="s">
        <v>147</v>
      </c>
      <c r="Y475" s="106" t="s">
        <v>138</v>
      </c>
      <c r="Z475" s="106" t="s">
        <v>147</v>
      </c>
      <c r="AA475" s="106" t="s">
        <v>134</v>
      </c>
    </row>
    <row r="476" spans="1:27" ht="12.95" customHeight="1">
      <c r="A476" s="43">
        <v>598</v>
      </c>
      <c r="B476" s="127" t="s">
        <v>16</v>
      </c>
      <c r="C476" s="129" t="s">
        <v>12</v>
      </c>
      <c r="D476" s="43" t="s">
        <v>19</v>
      </c>
      <c r="E476" s="106" t="s">
        <v>25</v>
      </c>
      <c r="F476" s="106" t="s">
        <v>25</v>
      </c>
      <c r="G476" s="107">
        <v>410986</v>
      </c>
      <c r="H476" s="43" t="s">
        <v>26</v>
      </c>
      <c r="I476" s="106" t="s">
        <v>8</v>
      </c>
      <c r="J476" s="106" t="s">
        <v>7</v>
      </c>
      <c r="K476" s="106" t="s">
        <v>141</v>
      </c>
      <c r="L476" s="106" t="s">
        <v>147</v>
      </c>
      <c r="M476" s="106" t="s">
        <v>147</v>
      </c>
      <c r="N476" s="106" t="s">
        <v>147</v>
      </c>
      <c r="O476" s="106" t="s">
        <v>147</v>
      </c>
      <c r="P476" s="106" t="s">
        <v>147</v>
      </c>
      <c r="Q476" s="51" t="s">
        <v>147</v>
      </c>
      <c r="R476" s="106"/>
      <c r="S476" s="105">
        <v>0</v>
      </c>
      <c r="T476" s="106" t="s">
        <v>147</v>
      </c>
      <c r="U476" s="106" t="s">
        <v>138</v>
      </c>
      <c r="V476" s="105" t="s">
        <v>147</v>
      </c>
      <c r="W476" s="106" t="s">
        <v>147</v>
      </c>
      <c r="X476" s="106" t="s">
        <v>147</v>
      </c>
      <c r="Y476" s="106" t="s">
        <v>147</v>
      </c>
      <c r="Z476" s="106" t="s">
        <v>147</v>
      </c>
      <c r="AA476" s="106" t="s">
        <v>147</v>
      </c>
    </row>
    <row r="477" spans="1:27" ht="12.95" customHeight="1">
      <c r="A477" s="43">
        <v>538</v>
      </c>
      <c r="B477" s="127" t="s">
        <v>16</v>
      </c>
      <c r="C477" s="129" t="s">
        <v>12</v>
      </c>
      <c r="D477" s="43" t="s">
        <v>19</v>
      </c>
      <c r="E477" s="106" t="s">
        <v>25</v>
      </c>
      <c r="F477" s="106" t="s">
        <v>7</v>
      </c>
      <c r="G477" s="107">
        <v>418263</v>
      </c>
      <c r="H477" s="129" t="s">
        <v>17</v>
      </c>
      <c r="I477" s="106" t="s">
        <v>8</v>
      </c>
      <c r="J477" s="106" t="s">
        <v>7</v>
      </c>
      <c r="K477" s="106" t="s">
        <v>141</v>
      </c>
      <c r="L477" s="106" t="s">
        <v>140</v>
      </c>
      <c r="M477" s="106" t="s">
        <v>135</v>
      </c>
      <c r="N477" s="108">
        <v>46260</v>
      </c>
      <c r="O477" s="108">
        <v>46260</v>
      </c>
      <c r="P477" s="106" t="s">
        <v>126</v>
      </c>
      <c r="Q477" s="51" t="s">
        <v>126</v>
      </c>
      <c r="R477" s="106"/>
      <c r="S477" s="105">
        <v>69</v>
      </c>
      <c r="T477" s="50" t="s">
        <v>141</v>
      </c>
      <c r="U477" s="46" t="s">
        <v>141</v>
      </c>
      <c r="V477" s="105" t="s">
        <v>147</v>
      </c>
      <c r="W477" s="108">
        <v>46111</v>
      </c>
      <c r="X477" s="106" t="s">
        <v>140</v>
      </c>
      <c r="Y477" s="106" t="s">
        <v>147</v>
      </c>
      <c r="Z477" s="106" t="s">
        <v>147</v>
      </c>
      <c r="AA477" s="106" t="s">
        <v>147</v>
      </c>
    </row>
    <row r="478" spans="1:27" ht="12.95" customHeight="1">
      <c r="A478" s="43">
        <v>572</v>
      </c>
      <c r="B478" s="127" t="s">
        <v>16</v>
      </c>
      <c r="C478" s="129" t="s">
        <v>12</v>
      </c>
      <c r="D478" s="43" t="s">
        <v>19</v>
      </c>
      <c r="E478" s="106" t="s">
        <v>25</v>
      </c>
      <c r="F478" s="106" t="s">
        <v>33</v>
      </c>
      <c r="G478" s="107">
        <v>392805</v>
      </c>
      <c r="H478" s="91" t="s">
        <v>20</v>
      </c>
      <c r="I478" s="106" t="s">
        <v>8</v>
      </c>
      <c r="J478" s="106" t="s">
        <v>7</v>
      </c>
      <c r="K478" s="106" t="s">
        <v>141</v>
      </c>
      <c r="L478" s="106" t="s">
        <v>147</v>
      </c>
      <c r="M478" s="106" t="s">
        <v>147</v>
      </c>
      <c r="N478" s="106" t="s">
        <v>147</v>
      </c>
      <c r="O478" s="106" t="s">
        <v>147</v>
      </c>
      <c r="P478" s="106" t="s">
        <v>147</v>
      </c>
      <c r="Q478" s="51" t="s">
        <v>147</v>
      </c>
      <c r="R478" s="106"/>
      <c r="S478" s="105">
        <v>0</v>
      </c>
      <c r="T478" s="106" t="s">
        <v>147</v>
      </c>
      <c r="U478" s="106" t="s">
        <v>138</v>
      </c>
      <c r="V478" s="105" t="s">
        <v>147</v>
      </c>
      <c r="W478" s="106" t="s">
        <v>147</v>
      </c>
      <c r="X478" s="106" t="s">
        <v>147</v>
      </c>
      <c r="Y478" s="106" t="s">
        <v>147</v>
      </c>
      <c r="Z478" s="106" t="s">
        <v>147</v>
      </c>
      <c r="AA478" s="106" t="s">
        <v>147</v>
      </c>
    </row>
    <row r="479" spans="1:27" ht="12.95" customHeight="1">
      <c r="A479" s="43">
        <v>435</v>
      </c>
      <c r="B479" s="127" t="s">
        <v>16</v>
      </c>
      <c r="C479" s="129" t="s">
        <v>12</v>
      </c>
      <c r="D479" s="43" t="s">
        <v>19</v>
      </c>
      <c r="E479" s="106" t="s">
        <v>25</v>
      </c>
      <c r="F479" s="106" t="s">
        <v>26</v>
      </c>
      <c r="G479" s="107">
        <v>221862</v>
      </c>
      <c r="H479" s="43" t="s">
        <v>26</v>
      </c>
      <c r="I479" s="106" t="s">
        <v>8</v>
      </c>
      <c r="J479" s="106" t="s">
        <v>15</v>
      </c>
      <c r="K479" s="106" t="s">
        <v>141</v>
      </c>
      <c r="L479" s="106" t="s">
        <v>147</v>
      </c>
      <c r="M479" s="106" t="s">
        <v>147</v>
      </c>
      <c r="N479" s="106" t="s">
        <v>147</v>
      </c>
      <c r="O479" s="106" t="s">
        <v>147</v>
      </c>
      <c r="P479" s="106" t="s">
        <v>147</v>
      </c>
      <c r="Q479" s="51" t="s">
        <v>147</v>
      </c>
      <c r="R479" s="106"/>
      <c r="S479" s="105">
        <v>0</v>
      </c>
      <c r="T479" s="106" t="s">
        <v>147</v>
      </c>
      <c r="U479" s="106" t="s">
        <v>138</v>
      </c>
      <c r="V479" s="105" t="s">
        <v>147</v>
      </c>
      <c r="W479" s="106" t="s">
        <v>147</v>
      </c>
      <c r="X479" s="106" t="s">
        <v>147</v>
      </c>
      <c r="Y479" s="106" t="s">
        <v>147</v>
      </c>
      <c r="Z479" s="106" t="s">
        <v>147</v>
      </c>
      <c r="AA479" s="106" t="s">
        <v>147</v>
      </c>
    </row>
    <row r="480" spans="1:27" ht="12.95" customHeight="1">
      <c r="A480" s="43">
        <v>398</v>
      </c>
      <c r="B480" s="127" t="s">
        <v>16</v>
      </c>
      <c r="C480" s="129" t="s">
        <v>12</v>
      </c>
      <c r="D480" s="43" t="s">
        <v>19</v>
      </c>
      <c r="E480" s="106" t="s">
        <v>25</v>
      </c>
      <c r="F480" s="106" t="s">
        <v>7</v>
      </c>
      <c r="G480" s="107">
        <v>221863</v>
      </c>
      <c r="H480" s="129" t="s">
        <v>17</v>
      </c>
      <c r="I480" s="106" t="s">
        <v>8</v>
      </c>
      <c r="J480" s="106" t="s">
        <v>15</v>
      </c>
      <c r="K480" s="106" t="s">
        <v>141</v>
      </c>
      <c r="L480" s="106" t="s">
        <v>147</v>
      </c>
      <c r="M480" s="106" t="s">
        <v>147</v>
      </c>
      <c r="N480" s="106" t="s">
        <v>147</v>
      </c>
      <c r="O480" s="106" t="s">
        <v>147</v>
      </c>
      <c r="P480" s="106" t="s">
        <v>147</v>
      </c>
      <c r="Q480" s="51" t="s">
        <v>147</v>
      </c>
      <c r="R480" s="106"/>
      <c r="S480" s="105">
        <v>0</v>
      </c>
      <c r="T480" s="106" t="s">
        <v>147</v>
      </c>
      <c r="U480" s="106" t="s">
        <v>138</v>
      </c>
      <c r="V480" s="105" t="s">
        <v>147</v>
      </c>
      <c r="W480" s="106" t="s">
        <v>147</v>
      </c>
      <c r="X480" s="106" t="s">
        <v>147</v>
      </c>
      <c r="Y480" s="106" t="s">
        <v>147</v>
      </c>
      <c r="Z480" s="106" t="s">
        <v>147</v>
      </c>
      <c r="AA480" s="106" t="s">
        <v>147</v>
      </c>
    </row>
    <row r="481" spans="1:27" ht="12.95" customHeight="1">
      <c r="A481" s="43">
        <v>336</v>
      </c>
      <c r="B481" s="127" t="s">
        <v>16</v>
      </c>
      <c r="C481" s="129" t="s">
        <v>12</v>
      </c>
      <c r="D481" s="43" t="s">
        <v>19</v>
      </c>
      <c r="E481" s="106" t="s">
        <v>25</v>
      </c>
      <c r="F481" s="106" t="s">
        <v>7</v>
      </c>
      <c r="G481" s="107">
        <v>424847</v>
      </c>
      <c r="H481" s="129" t="s">
        <v>26</v>
      </c>
      <c r="I481" s="106" t="s">
        <v>8</v>
      </c>
      <c r="J481" s="106" t="s">
        <v>7</v>
      </c>
      <c r="K481" s="106" t="s">
        <v>141</v>
      </c>
      <c r="L481" s="106" t="s">
        <v>137</v>
      </c>
      <c r="M481" s="106" t="s">
        <v>139</v>
      </c>
      <c r="N481" s="108">
        <v>46260</v>
      </c>
      <c r="O481" s="108">
        <v>46260</v>
      </c>
      <c r="P481" s="106" t="s">
        <v>126</v>
      </c>
      <c r="Q481" s="51" t="s">
        <v>126</v>
      </c>
      <c r="R481" s="106"/>
      <c r="S481" s="105">
        <v>69</v>
      </c>
      <c r="T481" s="50" t="s">
        <v>141</v>
      </c>
      <c r="U481" s="46" t="s">
        <v>141</v>
      </c>
      <c r="V481" s="105" t="s">
        <v>147</v>
      </c>
      <c r="W481" s="108">
        <v>46073</v>
      </c>
      <c r="X481" s="106" t="s">
        <v>134</v>
      </c>
      <c r="Y481" s="106" t="s">
        <v>147</v>
      </c>
      <c r="Z481" s="106" t="s">
        <v>147</v>
      </c>
      <c r="AA481" s="106" t="s">
        <v>135</v>
      </c>
    </row>
    <row r="482" spans="1:27" ht="12.95" customHeight="1">
      <c r="A482" s="43">
        <v>664</v>
      </c>
      <c r="B482" s="127" t="s">
        <v>16</v>
      </c>
      <c r="C482" s="129" t="s">
        <v>12</v>
      </c>
      <c r="D482" s="62" t="s">
        <v>13</v>
      </c>
      <c r="E482" s="44" t="s">
        <v>65</v>
      </c>
      <c r="F482" s="106" t="s">
        <v>28</v>
      </c>
      <c r="G482" s="107">
        <v>359491</v>
      </c>
      <c r="H482" s="129" t="s">
        <v>26</v>
      </c>
      <c r="I482" s="106" t="s">
        <v>8</v>
      </c>
      <c r="J482" s="106" t="s">
        <v>15</v>
      </c>
      <c r="K482" s="106" t="s">
        <v>141</v>
      </c>
      <c r="L482" s="106" t="s">
        <v>140</v>
      </c>
      <c r="M482" s="106" t="s">
        <v>138</v>
      </c>
      <c r="N482" s="106" t="s">
        <v>161</v>
      </c>
      <c r="O482" s="106" t="s">
        <v>162</v>
      </c>
      <c r="P482" s="106" t="s">
        <v>132</v>
      </c>
      <c r="Q482" s="51" t="s">
        <v>132</v>
      </c>
      <c r="R482" s="106"/>
      <c r="S482" s="105">
        <v>76</v>
      </c>
      <c r="T482" s="50" t="s">
        <v>140</v>
      </c>
      <c r="U482" s="46" t="s">
        <v>137</v>
      </c>
      <c r="V482" s="105" t="s">
        <v>163</v>
      </c>
      <c r="W482" s="106" t="s">
        <v>147</v>
      </c>
      <c r="X482" s="106" t="s">
        <v>147</v>
      </c>
      <c r="Y482" s="106" t="s">
        <v>138</v>
      </c>
      <c r="Z482" s="106" t="s">
        <v>147</v>
      </c>
      <c r="AA482" s="106" t="s">
        <v>141</v>
      </c>
    </row>
    <row r="483" spans="1:27" ht="12.95" customHeight="1">
      <c r="A483" s="43">
        <v>660</v>
      </c>
      <c r="B483" s="127" t="s">
        <v>16</v>
      </c>
      <c r="C483" s="129" t="s">
        <v>12</v>
      </c>
      <c r="D483" s="62" t="s">
        <v>13</v>
      </c>
      <c r="E483" s="44" t="s">
        <v>65</v>
      </c>
      <c r="F483" s="106" t="s">
        <v>28</v>
      </c>
      <c r="G483" s="107">
        <v>418105</v>
      </c>
      <c r="H483" s="129" t="s">
        <v>17</v>
      </c>
      <c r="I483" s="106" t="s">
        <v>8</v>
      </c>
      <c r="J483" s="106" t="s">
        <v>15</v>
      </c>
      <c r="K483" s="106" t="s">
        <v>141</v>
      </c>
      <c r="L483" s="106" t="s">
        <v>147</v>
      </c>
      <c r="M483" s="106" t="s">
        <v>147</v>
      </c>
      <c r="N483" s="106" t="s">
        <v>147</v>
      </c>
      <c r="O483" s="106" t="s">
        <v>147</v>
      </c>
      <c r="P483" s="106" t="s">
        <v>147</v>
      </c>
      <c r="Q483" s="51" t="s">
        <v>147</v>
      </c>
      <c r="R483" s="106"/>
      <c r="S483" s="105">
        <v>0</v>
      </c>
      <c r="T483" s="106" t="s">
        <v>147</v>
      </c>
      <c r="U483" s="106" t="s">
        <v>138</v>
      </c>
      <c r="V483" s="105" t="s">
        <v>147</v>
      </c>
      <c r="W483" s="106" t="s">
        <v>147</v>
      </c>
      <c r="X483" s="106" t="s">
        <v>147</v>
      </c>
      <c r="Y483" s="106" t="s">
        <v>147</v>
      </c>
      <c r="Z483" s="106" t="s">
        <v>147</v>
      </c>
      <c r="AA483" s="106" t="s">
        <v>147</v>
      </c>
    </row>
    <row r="484" spans="1:27" ht="12.95" customHeight="1">
      <c r="A484" s="43">
        <v>526</v>
      </c>
      <c r="B484" s="127" t="s">
        <v>16</v>
      </c>
      <c r="C484" s="129" t="s">
        <v>12</v>
      </c>
      <c r="D484" s="62" t="s">
        <v>13</v>
      </c>
      <c r="E484" s="44" t="s">
        <v>65</v>
      </c>
      <c r="F484" s="106" t="s">
        <v>28</v>
      </c>
      <c r="G484" s="107">
        <v>293065</v>
      </c>
      <c r="H484" s="129" t="s">
        <v>26</v>
      </c>
      <c r="I484" s="106" t="s">
        <v>8</v>
      </c>
      <c r="J484" s="106" t="s">
        <v>15</v>
      </c>
      <c r="K484" s="106" t="s">
        <v>141</v>
      </c>
      <c r="L484" s="106" t="s">
        <v>137</v>
      </c>
      <c r="M484" s="106" t="s">
        <v>137</v>
      </c>
      <c r="N484" s="106" t="s">
        <v>161</v>
      </c>
      <c r="O484" s="106" t="s">
        <v>162</v>
      </c>
      <c r="P484" s="106" t="s">
        <v>132</v>
      </c>
      <c r="Q484" s="51" t="s">
        <v>132</v>
      </c>
      <c r="R484" s="106"/>
      <c r="S484" s="105">
        <v>76</v>
      </c>
      <c r="T484" s="50" t="s">
        <v>140</v>
      </c>
      <c r="U484" s="46" t="s">
        <v>137</v>
      </c>
      <c r="V484" s="105" t="s">
        <v>159</v>
      </c>
      <c r="W484" s="106" t="s">
        <v>147</v>
      </c>
      <c r="X484" s="106" t="s">
        <v>147</v>
      </c>
      <c r="Y484" s="106" t="s">
        <v>139</v>
      </c>
      <c r="Z484" s="106" t="s">
        <v>147</v>
      </c>
      <c r="AA484" s="106" t="s">
        <v>147</v>
      </c>
    </row>
    <row r="485" spans="1:27" ht="12.95" customHeight="1">
      <c r="A485" s="43">
        <v>368</v>
      </c>
      <c r="B485" s="127" t="s">
        <v>16</v>
      </c>
      <c r="C485" s="129" t="s">
        <v>12</v>
      </c>
      <c r="D485" s="62" t="s">
        <v>13</v>
      </c>
      <c r="E485" s="44" t="s">
        <v>65</v>
      </c>
      <c r="F485" s="106" t="s">
        <v>28</v>
      </c>
      <c r="G485" s="107">
        <v>539241</v>
      </c>
      <c r="H485" s="129" t="s">
        <v>26</v>
      </c>
      <c r="I485" s="106" t="s">
        <v>8</v>
      </c>
      <c r="J485" s="106" t="s">
        <v>15</v>
      </c>
      <c r="K485" s="106" t="s">
        <v>141</v>
      </c>
      <c r="L485" s="106" t="s">
        <v>141</v>
      </c>
      <c r="M485" s="106" t="s">
        <v>137</v>
      </c>
      <c r="N485" s="106" t="s">
        <v>164</v>
      </c>
      <c r="O485" s="108">
        <v>46130</v>
      </c>
      <c r="P485" s="106" t="s">
        <v>132</v>
      </c>
      <c r="Q485" s="51" t="s">
        <v>132</v>
      </c>
      <c r="R485" s="106"/>
      <c r="S485" s="105">
        <v>121</v>
      </c>
      <c r="T485" s="50" t="s">
        <v>140</v>
      </c>
      <c r="U485" s="46" t="s">
        <v>137</v>
      </c>
      <c r="V485" s="113">
        <v>46309</v>
      </c>
      <c r="W485" s="106" t="s">
        <v>147</v>
      </c>
      <c r="X485" s="106" t="s">
        <v>139</v>
      </c>
      <c r="Y485" s="106" t="s">
        <v>138</v>
      </c>
      <c r="Z485" s="106" t="s">
        <v>147</v>
      </c>
      <c r="AA485" s="110" t="s">
        <v>133</v>
      </c>
    </row>
    <row r="486" spans="1:27" ht="12.95" customHeight="1">
      <c r="A486" s="43">
        <v>427</v>
      </c>
      <c r="B486" s="127" t="s">
        <v>16</v>
      </c>
      <c r="C486" s="129" t="s">
        <v>12</v>
      </c>
      <c r="D486" s="62" t="s">
        <v>13</v>
      </c>
      <c r="E486" s="44" t="s">
        <v>65</v>
      </c>
      <c r="F486" s="106" t="s">
        <v>28</v>
      </c>
      <c r="G486" s="107">
        <v>277437</v>
      </c>
      <c r="H486" s="129" t="s">
        <v>9</v>
      </c>
      <c r="I486" s="106" t="s">
        <v>8</v>
      </c>
      <c r="J486" s="106" t="s">
        <v>15</v>
      </c>
      <c r="K486" s="106" t="s">
        <v>141</v>
      </c>
      <c r="L486" s="106" t="s">
        <v>140</v>
      </c>
      <c r="M486" s="106" t="s">
        <v>139</v>
      </c>
      <c r="N486" s="106" t="s">
        <v>147</v>
      </c>
      <c r="O486" s="106" t="s">
        <v>147</v>
      </c>
      <c r="P486" s="106" t="s">
        <v>147</v>
      </c>
      <c r="Q486" s="51" t="s">
        <v>147</v>
      </c>
      <c r="R486" s="106"/>
      <c r="S486" s="105">
        <v>0</v>
      </c>
      <c r="T486" s="106" t="s">
        <v>147</v>
      </c>
      <c r="U486" s="106" t="s">
        <v>131</v>
      </c>
      <c r="V486" s="105" t="s">
        <v>147</v>
      </c>
      <c r="W486" s="106" t="s">
        <v>147</v>
      </c>
      <c r="X486" s="106" t="s">
        <v>137</v>
      </c>
      <c r="Y486" s="106" t="s">
        <v>147</v>
      </c>
      <c r="Z486" s="106" t="s">
        <v>147</v>
      </c>
      <c r="AA486" s="106" t="s">
        <v>147</v>
      </c>
    </row>
    <row r="487" spans="1:27" ht="12.95" customHeight="1">
      <c r="A487" s="43">
        <v>627</v>
      </c>
      <c r="B487" s="127" t="s">
        <v>16</v>
      </c>
      <c r="C487" s="129" t="s">
        <v>12</v>
      </c>
      <c r="D487" s="62" t="s">
        <v>13</v>
      </c>
      <c r="E487" s="44" t="s">
        <v>65</v>
      </c>
      <c r="F487" s="106" t="s">
        <v>14</v>
      </c>
      <c r="G487" s="107">
        <v>554875</v>
      </c>
      <c r="H487" s="43" t="s">
        <v>26</v>
      </c>
      <c r="I487" s="106" t="s">
        <v>8</v>
      </c>
      <c r="J487" s="106" t="s">
        <v>15</v>
      </c>
      <c r="K487" s="106" t="s">
        <v>141</v>
      </c>
      <c r="L487" s="106" t="s">
        <v>147</v>
      </c>
      <c r="M487" s="106" t="s">
        <v>147</v>
      </c>
      <c r="N487" s="106" t="s">
        <v>147</v>
      </c>
      <c r="O487" s="106" t="s">
        <v>147</v>
      </c>
      <c r="P487" s="106" t="s">
        <v>147</v>
      </c>
      <c r="Q487" s="51" t="s">
        <v>147</v>
      </c>
      <c r="R487" s="106"/>
      <c r="S487" s="105">
        <v>0</v>
      </c>
      <c r="T487" s="106" t="s">
        <v>147</v>
      </c>
      <c r="U487" s="106" t="s">
        <v>138</v>
      </c>
      <c r="V487" s="105" t="s">
        <v>147</v>
      </c>
      <c r="W487" s="106" t="s">
        <v>147</v>
      </c>
      <c r="X487" s="106" t="s">
        <v>147</v>
      </c>
      <c r="Y487" s="106" t="s">
        <v>147</v>
      </c>
      <c r="Z487" s="106" t="s">
        <v>147</v>
      </c>
      <c r="AA487" s="106" t="s">
        <v>147</v>
      </c>
    </row>
    <row r="488" spans="1:27" ht="12.95" customHeight="1">
      <c r="A488" s="43">
        <v>472</v>
      </c>
      <c r="B488" s="127" t="s">
        <v>16</v>
      </c>
      <c r="C488" s="129" t="s">
        <v>12</v>
      </c>
      <c r="D488" s="62" t="s">
        <v>13</v>
      </c>
      <c r="E488" s="44" t="s">
        <v>65</v>
      </c>
      <c r="F488" s="106" t="s">
        <v>27</v>
      </c>
      <c r="G488" s="107">
        <v>355590</v>
      </c>
      <c r="H488" s="43" t="s">
        <v>26</v>
      </c>
      <c r="I488" s="106" t="s">
        <v>8</v>
      </c>
      <c r="J488" s="106" t="s">
        <v>15</v>
      </c>
      <c r="K488" s="106" t="s">
        <v>141</v>
      </c>
      <c r="L488" s="106" t="s">
        <v>147</v>
      </c>
      <c r="M488" s="106" t="s">
        <v>147</v>
      </c>
      <c r="N488" s="106" t="s">
        <v>147</v>
      </c>
      <c r="O488" s="106" t="s">
        <v>147</v>
      </c>
      <c r="P488" s="106" t="s">
        <v>147</v>
      </c>
      <c r="Q488" s="51" t="s">
        <v>147</v>
      </c>
      <c r="R488" s="106"/>
      <c r="S488" s="105">
        <v>0</v>
      </c>
      <c r="T488" s="106" t="s">
        <v>147</v>
      </c>
      <c r="U488" s="106" t="s">
        <v>138</v>
      </c>
      <c r="V488" s="105" t="s">
        <v>147</v>
      </c>
      <c r="W488" s="106" t="s">
        <v>147</v>
      </c>
      <c r="X488" s="106" t="s">
        <v>147</v>
      </c>
      <c r="Y488" s="106" t="s">
        <v>147</v>
      </c>
      <c r="Z488" s="106" t="s">
        <v>147</v>
      </c>
      <c r="AA488" s="106" t="s">
        <v>147</v>
      </c>
    </row>
    <row r="489" spans="1:27" ht="12.95" customHeight="1">
      <c r="A489" s="43">
        <v>312</v>
      </c>
      <c r="B489" s="127" t="s">
        <v>16</v>
      </c>
      <c r="C489" s="129" t="s">
        <v>12</v>
      </c>
      <c r="D489" s="62" t="s">
        <v>13</v>
      </c>
      <c r="E489" s="44" t="s">
        <v>65</v>
      </c>
      <c r="F489" s="106" t="s">
        <v>19</v>
      </c>
      <c r="G489" s="107">
        <v>379036</v>
      </c>
      <c r="H489" s="43" t="s">
        <v>26</v>
      </c>
      <c r="I489" s="106" t="s">
        <v>8</v>
      </c>
      <c r="J489" s="106" t="s">
        <v>15</v>
      </c>
      <c r="K489" s="106" t="s">
        <v>141</v>
      </c>
      <c r="L489" s="106" t="s">
        <v>147</v>
      </c>
      <c r="M489" s="106" t="s">
        <v>147</v>
      </c>
      <c r="N489" s="106" t="s">
        <v>147</v>
      </c>
      <c r="O489" s="106" t="s">
        <v>147</v>
      </c>
      <c r="P489" s="106" t="s">
        <v>147</v>
      </c>
      <c r="Q489" s="51" t="s">
        <v>147</v>
      </c>
      <c r="R489" s="106"/>
      <c r="S489" s="105">
        <v>0</v>
      </c>
      <c r="T489" s="106" t="s">
        <v>147</v>
      </c>
      <c r="U489" s="106" t="s">
        <v>138</v>
      </c>
      <c r="V489" s="105" t="s">
        <v>147</v>
      </c>
      <c r="W489" s="106" t="s">
        <v>147</v>
      </c>
      <c r="X489" s="106" t="s">
        <v>147</v>
      </c>
      <c r="Y489" s="106" t="s">
        <v>147</v>
      </c>
      <c r="Z489" s="106" t="s">
        <v>147</v>
      </c>
      <c r="AA489" s="106" t="s">
        <v>147</v>
      </c>
    </row>
    <row r="490" spans="1:27" ht="12.95" customHeight="1">
      <c r="A490" s="43">
        <v>333</v>
      </c>
      <c r="B490" s="127" t="s">
        <v>16</v>
      </c>
      <c r="C490" s="129" t="s">
        <v>12</v>
      </c>
      <c r="D490" s="62" t="s">
        <v>13</v>
      </c>
      <c r="E490" s="44" t="s">
        <v>65</v>
      </c>
      <c r="F490" s="106" t="s">
        <v>28</v>
      </c>
      <c r="G490" s="107">
        <v>562694</v>
      </c>
      <c r="H490" s="129" t="s">
        <v>26</v>
      </c>
      <c r="I490" s="106" t="s">
        <v>8</v>
      </c>
      <c r="J490" s="106" t="s">
        <v>15</v>
      </c>
      <c r="K490" s="106" t="s">
        <v>141</v>
      </c>
      <c r="L490" s="106" t="s">
        <v>147</v>
      </c>
      <c r="M490" s="106" t="s">
        <v>147</v>
      </c>
      <c r="N490" s="106" t="s">
        <v>147</v>
      </c>
      <c r="O490" s="106" t="s">
        <v>147</v>
      </c>
      <c r="P490" s="106" t="s">
        <v>147</v>
      </c>
      <c r="Q490" s="51" t="s">
        <v>147</v>
      </c>
      <c r="R490" s="106"/>
      <c r="S490" s="105">
        <v>0</v>
      </c>
      <c r="T490" s="106" t="s">
        <v>147</v>
      </c>
      <c r="U490" s="106" t="s">
        <v>138</v>
      </c>
      <c r="V490" s="105" t="s">
        <v>147</v>
      </c>
      <c r="W490" s="106" t="s">
        <v>147</v>
      </c>
      <c r="X490" s="106" t="s">
        <v>147</v>
      </c>
      <c r="Y490" s="106" t="s">
        <v>147</v>
      </c>
      <c r="Z490" s="106" t="s">
        <v>147</v>
      </c>
      <c r="AA490" s="106" t="s">
        <v>147</v>
      </c>
    </row>
    <row r="491" spans="1:27" ht="12.95" customHeight="1">
      <c r="A491" s="43">
        <v>358</v>
      </c>
      <c r="B491" s="127" t="s">
        <v>16</v>
      </c>
      <c r="C491" s="129" t="s">
        <v>12</v>
      </c>
      <c r="D491" s="62" t="s">
        <v>13</v>
      </c>
      <c r="E491" s="44" t="s">
        <v>65</v>
      </c>
      <c r="F491" s="106" t="s">
        <v>15</v>
      </c>
      <c r="G491" s="107">
        <v>253995</v>
      </c>
      <c r="H491" s="129" t="s">
        <v>26</v>
      </c>
      <c r="I491" s="106" t="s">
        <v>8</v>
      </c>
      <c r="J491" s="106" t="s">
        <v>15</v>
      </c>
      <c r="K491" s="106" t="s">
        <v>141</v>
      </c>
      <c r="L491" s="106" t="s">
        <v>147</v>
      </c>
      <c r="M491" s="106" t="s">
        <v>147</v>
      </c>
      <c r="N491" s="106" t="s">
        <v>147</v>
      </c>
      <c r="O491" s="106" t="s">
        <v>147</v>
      </c>
      <c r="P491" s="106" t="s">
        <v>147</v>
      </c>
      <c r="Q491" s="51" t="s">
        <v>147</v>
      </c>
      <c r="R491" s="106"/>
      <c r="S491" s="105">
        <v>0</v>
      </c>
      <c r="T491" s="106" t="s">
        <v>147</v>
      </c>
      <c r="U491" s="106" t="s">
        <v>138</v>
      </c>
      <c r="V491" s="105" t="s">
        <v>147</v>
      </c>
      <c r="W491" s="106" t="s">
        <v>147</v>
      </c>
      <c r="X491" s="106" t="s">
        <v>147</v>
      </c>
      <c r="Y491" s="106" t="s">
        <v>147</v>
      </c>
      <c r="Z491" s="106" t="s">
        <v>147</v>
      </c>
      <c r="AA491" s="106" t="s">
        <v>147</v>
      </c>
    </row>
    <row r="492" spans="1:27" ht="12.95" customHeight="1">
      <c r="A492" s="43">
        <v>584</v>
      </c>
      <c r="B492" s="127" t="s">
        <v>16</v>
      </c>
      <c r="C492" s="129" t="s">
        <v>12</v>
      </c>
      <c r="D492" s="62" t="s">
        <v>13</v>
      </c>
      <c r="E492" s="44" t="s">
        <v>65</v>
      </c>
      <c r="F492" s="106" t="s">
        <v>27</v>
      </c>
      <c r="G492" s="107">
        <v>492360</v>
      </c>
      <c r="H492" s="43" t="s">
        <v>26</v>
      </c>
      <c r="I492" s="106" t="s">
        <v>8</v>
      </c>
      <c r="J492" s="106" t="s">
        <v>15</v>
      </c>
      <c r="K492" s="106" t="s">
        <v>141</v>
      </c>
      <c r="L492" s="106" t="s">
        <v>147</v>
      </c>
      <c r="M492" s="106" t="s">
        <v>147</v>
      </c>
      <c r="N492" s="106" t="s">
        <v>147</v>
      </c>
      <c r="O492" s="106" t="s">
        <v>147</v>
      </c>
      <c r="P492" s="106" t="s">
        <v>147</v>
      </c>
      <c r="Q492" s="51" t="s">
        <v>147</v>
      </c>
      <c r="R492" s="106"/>
      <c r="S492" s="105">
        <v>0</v>
      </c>
      <c r="T492" s="106" t="s">
        <v>147</v>
      </c>
      <c r="U492" s="106" t="s">
        <v>138</v>
      </c>
      <c r="V492" s="105" t="s">
        <v>147</v>
      </c>
      <c r="W492" s="106" t="s">
        <v>147</v>
      </c>
      <c r="X492" s="106" t="s">
        <v>147</v>
      </c>
      <c r="Y492" s="106" t="s">
        <v>147</v>
      </c>
      <c r="Z492" s="106" t="s">
        <v>147</v>
      </c>
      <c r="AA492" s="106" t="s">
        <v>147</v>
      </c>
    </row>
    <row r="493" spans="1:27" ht="12.95" customHeight="1">
      <c r="A493" s="43">
        <v>320</v>
      </c>
      <c r="B493" s="127" t="s">
        <v>16</v>
      </c>
      <c r="C493" s="129" t="s">
        <v>12</v>
      </c>
      <c r="D493" s="62" t="s">
        <v>13</v>
      </c>
      <c r="E493" s="44" t="s">
        <v>65</v>
      </c>
      <c r="F493" s="106" t="s">
        <v>29</v>
      </c>
      <c r="G493" s="107">
        <v>296980</v>
      </c>
      <c r="H493" s="91" t="s">
        <v>20</v>
      </c>
      <c r="I493" s="106" t="s">
        <v>8</v>
      </c>
      <c r="J493" s="106" t="s">
        <v>20</v>
      </c>
      <c r="K493" s="106" t="s">
        <v>141</v>
      </c>
      <c r="L493" s="106" t="s">
        <v>147</v>
      </c>
      <c r="M493" s="106" t="s">
        <v>147</v>
      </c>
      <c r="N493" s="106" t="s">
        <v>147</v>
      </c>
      <c r="O493" s="106" t="s">
        <v>147</v>
      </c>
      <c r="P493" s="106" t="s">
        <v>147</v>
      </c>
      <c r="Q493" s="51" t="s">
        <v>147</v>
      </c>
      <c r="R493" s="106"/>
      <c r="S493" s="105">
        <v>0</v>
      </c>
      <c r="T493" s="106" t="s">
        <v>147</v>
      </c>
      <c r="U493" s="106" t="s">
        <v>138</v>
      </c>
      <c r="V493" s="105" t="s">
        <v>147</v>
      </c>
      <c r="W493" s="106" t="s">
        <v>147</v>
      </c>
      <c r="X493" s="106" t="s">
        <v>147</v>
      </c>
      <c r="Y493" s="106" t="s">
        <v>147</v>
      </c>
      <c r="Z493" s="106" t="s">
        <v>147</v>
      </c>
      <c r="AA493" s="106" t="s">
        <v>147</v>
      </c>
    </row>
    <row r="494" spans="1:27" ht="12.95" customHeight="1">
      <c r="A494" s="43">
        <v>597</v>
      </c>
      <c r="B494" s="127" t="s">
        <v>16</v>
      </c>
      <c r="C494" s="129" t="s">
        <v>12</v>
      </c>
      <c r="D494" s="62" t="s">
        <v>13</v>
      </c>
      <c r="E494" s="44" t="s">
        <v>65</v>
      </c>
      <c r="F494" s="106" t="s">
        <v>3</v>
      </c>
      <c r="G494" s="107">
        <v>242274</v>
      </c>
      <c r="H494" s="43" t="s">
        <v>26</v>
      </c>
      <c r="I494" s="106" t="s">
        <v>8</v>
      </c>
      <c r="J494" s="106" t="s">
        <v>15</v>
      </c>
      <c r="K494" s="106" t="s">
        <v>141</v>
      </c>
      <c r="L494" s="106" t="s">
        <v>134</v>
      </c>
      <c r="M494" s="106" t="s">
        <v>138</v>
      </c>
      <c r="N494" s="108">
        <v>46351</v>
      </c>
      <c r="O494" s="108">
        <v>46351</v>
      </c>
      <c r="P494" s="106" t="s">
        <v>132</v>
      </c>
      <c r="Q494" s="51" t="s">
        <v>132</v>
      </c>
      <c r="R494" s="106"/>
      <c r="S494" s="105">
        <v>169</v>
      </c>
      <c r="T494" s="50" t="s">
        <v>132</v>
      </c>
      <c r="U494" s="46" t="s">
        <v>137</v>
      </c>
      <c r="V494" s="105" t="s">
        <v>147</v>
      </c>
      <c r="W494" s="106" t="s">
        <v>147</v>
      </c>
      <c r="X494" s="106" t="s">
        <v>147</v>
      </c>
      <c r="Y494" s="106" t="s">
        <v>138</v>
      </c>
      <c r="Z494" s="106" t="s">
        <v>147</v>
      </c>
      <c r="AA494" s="106" t="s">
        <v>131</v>
      </c>
    </row>
    <row r="495" spans="1:27" ht="12.95" customHeight="1">
      <c r="A495" s="43">
        <v>296</v>
      </c>
      <c r="B495" s="127" t="s">
        <v>16</v>
      </c>
      <c r="C495" s="129" t="s">
        <v>12</v>
      </c>
      <c r="D495" s="62" t="s">
        <v>13</v>
      </c>
      <c r="E495" s="44" t="s">
        <v>65</v>
      </c>
      <c r="F495" s="106" t="s">
        <v>4</v>
      </c>
      <c r="G495" s="107">
        <v>515810</v>
      </c>
      <c r="H495" s="129" t="s">
        <v>26</v>
      </c>
      <c r="I495" s="106" t="s">
        <v>8</v>
      </c>
      <c r="J495" s="106" t="s">
        <v>15</v>
      </c>
      <c r="K495" s="106" t="s">
        <v>141</v>
      </c>
      <c r="L495" s="106" t="s">
        <v>147</v>
      </c>
      <c r="M495" s="106" t="s">
        <v>147</v>
      </c>
      <c r="N495" s="106" t="s">
        <v>147</v>
      </c>
      <c r="O495" s="106" t="s">
        <v>147</v>
      </c>
      <c r="P495" s="106" t="s">
        <v>147</v>
      </c>
      <c r="Q495" s="51" t="s">
        <v>147</v>
      </c>
      <c r="R495" s="106"/>
      <c r="S495" s="105">
        <v>0</v>
      </c>
      <c r="T495" s="106" t="s">
        <v>147</v>
      </c>
      <c r="U495" s="106" t="s">
        <v>138</v>
      </c>
      <c r="V495" s="105" t="s">
        <v>147</v>
      </c>
      <c r="W495" s="106" t="s">
        <v>147</v>
      </c>
      <c r="X495" s="106" t="s">
        <v>147</v>
      </c>
      <c r="Y495" s="106" t="s">
        <v>147</v>
      </c>
      <c r="Z495" s="106" t="s">
        <v>147</v>
      </c>
      <c r="AA495" s="106" t="s">
        <v>147</v>
      </c>
    </row>
    <row r="496" spans="1:27" ht="12.95" customHeight="1">
      <c r="A496" s="43">
        <v>589</v>
      </c>
      <c r="B496" s="127" t="s">
        <v>16</v>
      </c>
      <c r="C496" s="129" t="s">
        <v>12</v>
      </c>
      <c r="D496" s="62" t="s">
        <v>13</v>
      </c>
      <c r="E496" s="44" t="s">
        <v>65</v>
      </c>
      <c r="F496" s="106" t="s">
        <v>3</v>
      </c>
      <c r="G496" s="107">
        <v>238367</v>
      </c>
      <c r="H496" s="43" t="s">
        <v>26</v>
      </c>
      <c r="I496" s="106" t="s">
        <v>8</v>
      </c>
      <c r="J496" s="106" t="s">
        <v>15</v>
      </c>
      <c r="K496" s="106" t="s">
        <v>141</v>
      </c>
      <c r="L496" s="106" t="s">
        <v>134</v>
      </c>
      <c r="M496" s="106" t="s">
        <v>138</v>
      </c>
      <c r="N496" s="106" t="s">
        <v>148</v>
      </c>
      <c r="O496" s="106" t="s">
        <v>148</v>
      </c>
      <c r="P496" s="106" t="s">
        <v>132</v>
      </c>
      <c r="Q496" s="51" t="s">
        <v>132</v>
      </c>
      <c r="R496" s="106"/>
      <c r="S496" s="105">
        <v>99</v>
      </c>
      <c r="T496" s="50" t="s">
        <v>140</v>
      </c>
      <c r="U496" s="46" t="s">
        <v>141</v>
      </c>
      <c r="V496" s="105" t="s">
        <v>147</v>
      </c>
      <c r="W496" s="108">
        <v>46168</v>
      </c>
      <c r="X496" s="106" t="s">
        <v>131</v>
      </c>
      <c r="Y496" s="106" t="s">
        <v>147</v>
      </c>
      <c r="Z496" s="106" t="s">
        <v>147</v>
      </c>
      <c r="AA496" s="106" t="s">
        <v>147</v>
      </c>
    </row>
    <row r="497" spans="1:27" ht="12.95" customHeight="1">
      <c r="A497" s="43">
        <v>382</v>
      </c>
      <c r="B497" s="127" t="s">
        <v>16</v>
      </c>
      <c r="C497" s="129" t="s">
        <v>12</v>
      </c>
      <c r="D497" s="62" t="s">
        <v>13</v>
      </c>
      <c r="E497" s="44" t="s">
        <v>65</v>
      </c>
      <c r="F497" s="106" t="s">
        <v>30</v>
      </c>
      <c r="G497" s="107">
        <v>324337</v>
      </c>
      <c r="H497" s="129" t="s">
        <v>17</v>
      </c>
      <c r="I497" s="106" t="s">
        <v>8</v>
      </c>
      <c r="J497" s="106" t="s">
        <v>22</v>
      </c>
      <c r="K497" s="106" t="s">
        <v>141</v>
      </c>
      <c r="L497" s="106" t="s">
        <v>137</v>
      </c>
      <c r="M497" s="106" t="s">
        <v>131</v>
      </c>
      <c r="N497" s="106" t="s">
        <v>165</v>
      </c>
      <c r="O497" s="106" t="s">
        <v>166</v>
      </c>
      <c r="P497" s="106" t="s">
        <v>132</v>
      </c>
      <c r="Q497" s="51" t="s">
        <v>132</v>
      </c>
      <c r="R497" s="106"/>
      <c r="S497" s="105">
        <v>27</v>
      </c>
      <c r="T497" s="50" t="s">
        <v>139</v>
      </c>
      <c r="U497" s="46" t="s">
        <v>137</v>
      </c>
      <c r="V497" s="105" t="s">
        <v>147</v>
      </c>
      <c r="W497" s="106" t="s">
        <v>159</v>
      </c>
      <c r="X497" s="106" t="s">
        <v>147</v>
      </c>
      <c r="Y497" s="106" t="s">
        <v>131</v>
      </c>
      <c r="Z497" s="106" t="s">
        <v>147</v>
      </c>
      <c r="AA497" s="106" t="s">
        <v>137</v>
      </c>
    </row>
    <row r="498" spans="1:27" ht="12.95" customHeight="1">
      <c r="A498" s="43">
        <v>363</v>
      </c>
      <c r="B498" s="127" t="s">
        <v>16</v>
      </c>
      <c r="C498" s="129" t="s">
        <v>12</v>
      </c>
      <c r="D498" s="62" t="s">
        <v>13</v>
      </c>
      <c r="E498" s="44" t="s">
        <v>65</v>
      </c>
      <c r="F498" s="106" t="s">
        <v>3</v>
      </c>
      <c r="G498" s="107">
        <v>332154</v>
      </c>
      <c r="H498" s="43" t="s">
        <v>26</v>
      </c>
      <c r="I498" s="106" t="s">
        <v>8</v>
      </c>
      <c r="J498" s="106" t="s">
        <v>22</v>
      </c>
      <c r="K498" s="106" t="s">
        <v>141</v>
      </c>
      <c r="L498" s="106" t="s">
        <v>147</v>
      </c>
      <c r="M498" s="106" t="s">
        <v>147</v>
      </c>
      <c r="N498" s="106" t="s">
        <v>147</v>
      </c>
      <c r="O498" s="106" t="s">
        <v>147</v>
      </c>
      <c r="P498" s="106" t="s">
        <v>147</v>
      </c>
      <c r="Q498" s="51" t="s">
        <v>147</v>
      </c>
      <c r="R498" s="106"/>
      <c r="S498" s="105">
        <v>0</v>
      </c>
      <c r="T498" s="106" t="s">
        <v>147</v>
      </c>
      <c r="U498" s="106" t="s">
        <v>138</v>
      </c>
      <c r="V498" s="105" t="s">
        <v>147</v>
      </c>
      <c r="W498" s="106" t="s">
        <v>147</v>
      </c>
      <c r="X498" s="106" t="s">
        <v>147</v>
      </c>
      <c r="Y498" s="106" t="s">
        <v>147</v>
      </c>
      <c r="Z498" s="106" t="s">
        <v>147</v>
      </c>
      <c r="AA498" s="106" t="s">
        <v>147</v>
      </c>
    </row>
    <row r="499" spans="1:27" ht="12.95" customHeight="1">
      <c r="A499" s="43">
        <v>309</v>
      </c>
      <c r="B499" s="127" t="s">
        <v>16</v>
      </c>
      <c r="C499" s="129" t="s">
        <v>12</v>
      </c>
      <c r="D499" s="62" t="s">
        <v>13</v>
      </c>
      <c r="E499" s="44" t="s">
        <v>65</v>
      </c>
      <c r="F499" s="106" t="s">
        <v>9</v>
      </c>
      <c r="G499" s="107">
        <v>363416</v>
      </c>
      <c r="H499" s="129" t="s">
        <v>26</v>
      </c>
      <c r="I499" s="106" t="s">
        <v>8</v>
      </c>
      <c r="J499" s="106" t="s">
        <v>22</v>
      </c>
      <c r="K499" s="106" t="s">
        <v>141</v>
      </c>
      <c r="L499" s="106" t="s">
        <v>147</v>
      </c>
      <c r="M499" s="106" t="s">
        <v>147</v>
      </c>
      <c r="N499" s="106" t="s">
        <v>147</v>
      </c>
      <c r="O499" s="106" t="s">
        <v>147</v>
      </c>
      <c r="P499" s="106" t="s">
        <v>147</v>
      </c>
      <c r="Q499" s="51" t="s">
        <v>147</v>
      </c>
      <c r="R499" s="106"/>
      <c r="S499" s="105">
        <v>0</v>
      </c>
      <c r="T499" s="106" t="s">
        <v>147</v>
      </c>
      <c r="U499" s="106" t="s">
        <v>138</v>
      </c>
      <c r="V499" s="105" t="s">
        <v>147</v>
      </c>
      <c r="W499" s="106" t="s">
        <v>147</v>
      </c>
      <c r="X499" s="106" t="s">
        <v>147</v>
      </c>
      <c r="Y499" s="106" t="s">
        <v>147</v>
      </c>
      <c r="Z499" s="106" t="s">
        <v>147</v>
      </c>
      <c r="AA499" s="106" t="s">
        <v>147</v>
      </c>
    </row>
    <row r="500" spans="1:27" ht="12.95" customHeight="1">
      <c r="A500" s="43">
        <v>339</v>
      </c>
      <c r="B500" s="127" t="s">
        <v>16</v>
      </c>
      <c r="C500" s="129" t="s">
        <v>12</v>
      </c>
      <c r="D500" s="62" t="s">
        <v>13</v>
      </c>
      <c r="E500" s="44" t="s">
        <v>65</v>
      </c>
      <c r="F500" s="106" t="s">
        <v>33</v>
      </c>
      <c r="G500" s="107">
        <v>261817</v>
      </c>
      <c r="H500" s="129" t="s">
        <v>17</v>
      </c>
      <c r="I500" s="106" t="s">
        <v>8</v>
      </c>
      <c r="J500" s="106" t="s">
        <v>22</v>
      </c>
      <c r="K500" s="106" t="s">
        <v>141</v>
      </c>
      <c r="L500" s="106" t="s">
        <v>147</v>
      </c>
      <c r="M500" s="106" t="s">
        <v>147</v>
      </c>
      <c r="N500" s="106" t="s">
        <v>147</v>
      </c>
      <c r="O500" s="106" t="s">
        <v>147</v>
      </c>
      <c r="P500" s="106" t="s">
        <v>147</v>
      </c>
      <c r="Q500" s="51" t="s">
        <v>147</v>
      </c>
      <c r="R500" s="106"/>
      <c r="S500" s="105">
        <v>0</v>
      </c>
      <c r="T500" s="106" t="s">
        <v>147</v>
      </c>
      <c r="U500" s="106" t="s">
        <v>138</v>
      </c>
      <c r="V500" s="105" t="s">
        <v>147</v>
      </c>
      <c r="W500" s="106" t="s">
        <v>147</v>
      </c>
      <c r="X500" s="106" t="s">
        <v>147</v>
      </c>
      <c r="Y500" s="106" t="s">
        <v>147</v>
      </c>
      <c r="Z500" s="106" t="s">
        <v>147</v>
      </c>
      <c r="AA500" s="106" t="s">
        <v>147</v>
      </c>
    </row>
    <row r="501" spans="1:27" ht="12.95" customHeight="1">
      <c r="A501" s="43">
        <v>445</v>
      </c>
      <c r="B501" s="127" t="s">
        <v>16</v>
      </c>
      <c r="C501" s="129" t="s">
        <v>12</v>
      </c>
      <c r="D501" s="62" t="s">
        <v>13</v>
      </c>
      <c r="E501" s="44" t="s">
        <v>65</v>
      </c>
      <c r="F501" s="106" t="s">
        <v>9</v>
      </c>
      <c r="G501" s="107">
        <v>273540</v>
      </c>
      <c r="H501" s="129" t="s">
        <v>26</v>
      </c>
      <c r="I501" s="106" t="s">
        <v>8</v>
      </c>
      <c r="J501" s="106" t="s">
        <v>22</v>
      </c>
      <c r="K501" s="106" t="s">
        <v>141</v>
      </c>
      <c r="L501" s="106" t="s">
        <v>147</v>
      </c>
      <c r="M501" s="106" t="s">
        <v>147</v>
      </c>
      <c r="N501" s="106" t="s">
        <v>147</v>
      </c>
      <c r="O501" s="106" t="s">
        <v>147</v>
      </c>
      <c r="P501" s="106" t="s">
        <v>147</v>
      </c>
      <c r="Q501" s="51" t="s">
        <v>147</v>
      </c>
      <c r="R501" s="106"/>
      <c r="S501" s="105">
        <v>0</v>
      </c>
      <c r="T501" s="106" t="s">
        <v>147</v>
      </c>
      <c r="U501" s="106" t="s">
        <v>138</v>
      </c>
      <c r="V501" s="105" t="s">
        <v>147</v>
      </c>
      <c r="W501" s="106" t="s">
        <v>147</v>
      </c>
      <c r="X501" s="106" t="s">
        <v>147</v>
      </c>
      <c r="Y501" s="106" t="s">
        <v>147</v>
      </c>
      <c r="Z501" s="106" t="s">
        <v>147</v>
      </c>
      <c r="AA501" s="106" t="s">
        <v>147</v>
      </c>
    </row>
    <row r="502" spans="1:27" ht="12.95" customHeight="1">
      <c r="A502" s="43">
        <v>306</v>
      </c>
      <c r="B502" s="127" t="s">
        <v>16</v>
      </c>
      <c r="C502" s="129" t="s">
        <v>12</v>
      </c>
      <c r="D502" s="62" t="s">
        <v>13</v>
      </c>
      <c r="E502" s="44" t="s">
        <v>65</v>
      </c>
      <c r="F502" s="106" t="s">
        <v>21</v>
      </c>
      <c r="G502" s="107">
        <v>371234</v>
      </c>
      <c r="H502" s="129" t="s">
        <v>26</v>
      </c>
      <c r="I502" s="106" t="s">
        <v>8</v>
      </c>
      <c r="J502" s="106" t="s">
        <v>18</v>
      </c>
      <c r="K502" s="106" t="s">
        <v>141</v>
      </c>
      <c r="L502" s="106" t="s">
        <v>147</v>
      </c>
      <c r="M502" s="106" t="s">
        <v>147</v>
      </c>
      <c r="N502" s="106" t="s">
        <v>147</v>
      </c>
      <c r="O502" s="106" t="s">
        <v>147</v>
      </c>
      <c r="P502" s="106" t="s">
        <v>147</v>
      </c>
      <c r="Q502" s="51" t="s">
        <v>147</v>
      </c>
      <c r="R502" s="106"/>
      <c r="S502" s="105">
        <v>0</v>
      </c>
      <c r="T502" s="106" t="s">
        <v>147</v>
      </c>
      <c r="U502" s="106" t="s">
        <v>138</v>
      </c>
      <c r="V502" s="105" t="s">
        <v>147</v>
      </c>
      <c r="W502" s="106" t="s">
        <v>147</v>
      </c>
      <c r="X502" s="106" t="s">
        <v>139</v>
      </c>
      <c r="Y502" s="106" t="s">
        <v>147</v>
      </c>
      <c r="Z502" s="106" t="s">
        <v>147</v>
      </c>
      <c r="AA502" s="106" t="s">
        <v>147</v>
      </c>
    </row>
    <row r="503" spans="1:27" ht="12.95" customHeight="1">
      <c r="A503" s="43">
        <v>612</v>
      </c>
      <c r="B503" s="127" t="s">
        <v>16</v>
      </c>
      <c r="C503" s="129" t="s">
        <v>12</v>
      </c>
      <c r="D503" s="62" t="s">
        <v>13</v>
      </c>
      <c r="E503" s="44" t="s">
        <v>65</v>
      </c>
      <c r="F503" s="106" t="s">
        <v>21</v>
      </c>
      <c r="G503" s="107">
        <v>476744</v>
      </c>
      <c r="H503" s="129" t="s">
        <v>26</v>
      </c>
      <c r="I503" s="106" t="s">
        <v>8</v>
      </c>
      <c r="J503" s="106" t="s">
        <v>18</v>
      </c>
      <c r="K503" s="106" t="s">
        <v>141</v>
      </c>
      <c r="L503" s="106" t="s">
        <v>147</v>
      </c>
      <c r="M503" s="106" t="s">
        <v>147</v>
      </c>
      <c r="N503" s="106" t="s">
        <v>147</v>
      </c>
      <c r="O503" s="106" t="s">
        <v>147</v>
      </c>
      <c r="P503" s="106" t="s">
        <v>147</v>
      </c>
      <c r="Q503" s="51" t="s">
        <v>147</v>
      </c>
      <c r="R503" s="106"/>
      <c r="S503" s="105">
        <v>0</v>
      </c>
      <c r="T503" s="106" t="s">
        <v>147</v>
      </c>
      <c r="U503" s="106" t="s">
        <v>138</v>
      </c>
      <c r="V503" s="105" t="s">
        <v>147</v>
      </c>
      <c r="W503" s="106" t="s">
        <v>147</v>
      </c>
      <c r="X503" s="106" t="s">
        <v>139</v>
      </c>
      <c r="Y503" s="106" t="s">
        <v>147</v>
      </c>
      <c r="Z503" s="106" t="s">
        <v>147</v>
      </c>
      <c r="AA503" s="106" t="s">
        <v>147</v>
      </c>
    </row>
    <row r="504" spans="1:27" ht="12.95" customHeight="1">
      <c r="A504" s="43">
        <v>679</v>
      </c>
      <c r="B504" s="127" t="s">
        <v>16</v>
      </c>
      <c r="C504" s="129" t="s">
        <v>12</v>
      </c>
      <c r="D504" s="62" t="s">
        <v>13</v>
      </c>
      <c r="E504" s="44" t="s">
        <v>65</v>
      </c>
      <c r="F504" s="106" t="s">
        <v>21</v>
      </c>
      <c r="G504" s="107">
        <v>500192</v>
      </c>
      <c r="H504" s="129" t="s">
        <v>26</v>
      </c>
      <c r="I504" s="106" t="s">
        <v>8</v>
      </c>
      <c r="J504" s="106" t="s">
        <v>18</v>
      </c>
      <c r="K504" s="106" t="s">
        <v>141</v>
      </c>
      <c r="L504" s="106" t="s">
        <v>147</v>
      </c>
      <c r="M504" s="106" t="s">
        <v>147</v>
      </c>
      <c r="N504" s="106" t="s">
        <v>147</v>
      </c>
      <c r="O504" s="106" t="s">
        <v>147</v>
      </c>
      <c r="P504" s="106" t="s">
        <v>147</v>
      </c>
      <c r="Q504" s="51" t="s">
        <v>147</v>
      </c>
      <c r="R504" s="106"/>
      <c r="S504" s="105">
        <v>0</v>
      </c>
      <c r="T504" s="106" t="s">
        <v>147</v>
      </c>
      <c r="U504" s="106" t="s">
        <v>138</v>
      </c>
      <c r="V504" s="105" t="s">
        <v>147</v>
      </c>
      <c r="W504" s="106" t="s">
        <v>147</v>
      </c>
      <c r="X504" s="106" t="s">
        <v>139</v>
      </c>
      <c r="Y504" s="106" t="s">
        <v>147</v>
      </c>
      <c r="Z504" s="106" t="s">
        <v>147</v>
      </c>
      <c r="AA504" s="106" t="s">
        <v>147</v>
      </c>
    </row>
    <row r="505" spans="1:27" ht="12.95" customHeight="1">
      <c r="A505" s="43">
        <v>706</v>
      </c>
      <c r="B505" s="127" t="s">
        <v>16</v>
      </c>
      <c r="C505" s="129" t="s">
        <v>12</v>
      </c>
      <c r="D505" s="62" t="s">
        <v>13</v>
      </c>
      <c r="E505" s="44" t="s">
        <v>65</v>
      </c>
      <c r="F505" s="106" t="s">
        <v>21</v>
      </c>
      <c r="G505" s="107">
        <v>390776</v>
      </c>
      <c r="H505" s="129" t="s">
        <v>9</v>
      </c>
      <c r="I505" s="106" t="s">
        <v>8</v>
      </c>
      <c r="J505" s="106" t="s">
        <v>18</v>
      </c>
      <c r="K505" s="106" t="s">
        <v>141</v>
      </c>
      <c r="L505" s="106" t="s">
        <v>147</v>
      </c>
      <c r="M505" s="106" t="s">
        <v>147</v>
      </c>
      <c r="N505" s="106" t="s">
        <v>147</v>
      </c>
      <c r="O505" s="106" t="s">
        <v>147</v>
      </c>
      <c r="P505" s="106" t="s">
        <v>147</v>
      </c>
      <c r="Q505" s="51" t="s">
        <v>147</v>
      </c>
      <c r="R505" s="106"/>
      <c r="S505" s="105">
        <v>0</v>
      </c>
      <c r="T505" s="106" t="s">
        <v>147</v>
      </c>
      <c r="U505" s="106" t="s">
        <v>138</v>
      </c>
      <c r="V505" s="105" t="s">
        <v>147</v>
      </c>
      <c r="W505" s="106" t="s">
        <v>147</v>
      </c>
      <c r="X505" s="106" t="s">
        <v>139</v>
      </c>
      <c r="Y505" s="106" t="s">
        <v>147</v>
      </c>
      <c r="Z505" s="106" t="s">
        <v>147</v>
      </c>
      <c r="AA505" s="106" t="s">
        <v>147</v>
      </c>
    </row>
    <row r="506" spans="1:27" ht="12.95" customHeight="1">
      <c r="A506" s="43">
        <v>626</v>
      </c>
      <c r="B506" s="127" t="s">
        <v>16</v>
      </c>
      <c r="C506" s="129" t="s">
        <v>12</v>
      </c>
      <c r="D506" s="62" t="s">
        <v>13</v>
      </c>
      <c r="E506" s="44" t="s">
        <v>65</v>
      </c>
      <c r="F506" s="106" t="s">
        <v>26</v>
      </c>
      <c r="G506" s="107">
        <v>371238</v>
      </c>
      <c r="H506" s="129" t="s">
        <v>26</v>
      </c>
      <c r="I506" s="106" t="s">
        <v>8</v>
      </c>
      <c r="J506" s="106" t="s">
        <v>18</v>
      </c>
      <c r="K506" s="106" t="s">
        <v>141</v>
      </c>
      <c r="L506" s="106" t="s">
        <v>147</v>
      </c>
      <c r="M506" s="106" t="s">
        <v>147</v>
      </c>
      <c r="N506" s="106" t="s">
        <v>147</v>
      </c>
      <c r="O506" s="106" t="s">
        <v>147</v>
      </c>
      <c r="P506" s="106" t="s">
        <v>147</v>
      </c>
      <c r="Q506" s="51" t="s">
        <v>147</v>
      </c>
      <c r="R506" s="106"/>
      <c r="S506" s="105">
        <v>0</v>
      </c>
      <c r="T506" s="106" t="s">
        <v>147</v>
      </c>
      <c r="U506" s="106" t="s">
        <v>138</v>
      </c>
      <c r="V506" s="105" t="s">
        <v>147</v>
      </c>
      <c r="W506" s="106" t="s">
        <v>147</v>
      </c>
      <c r="X506" s="106" t="s">
        <v>139</v>
      </c>
      <c r="Y506" s="106" t="s">
        <v>147</v>
      </c>
      <c r="Z506" s="106" t="s">
        <v>147</v>
      </c>
      <c r="AA506" s="106" t="s">
        <v>147</v>
      </c>
    </row>
    <row r="507" spans="1:27" ht="12.95" customHeight="1">
      <c r="A507" s="43">
        <v>541</v>
      </c>
      <c r="B507" s="127" t="s">
        <v>16</v>
      </c>
      <c r="C507" s="129" t="s">
        <v>12</v>
      </c>
      <c r="D507" s="62" t="s">
        <v>13</v>
      </c>
      <c r="E507" s="44" t="s">
        <v>65</v>
      </c>
      <c r="F507" s="106" t="s">
        <v>26</v>
      </c>
      <c r="G507" s="107">
        <v>371239</v>
      </c>
      <c r="H507" s="129" t="s">
        <v>26</v>
      </c>
      <c r="I507" s="106" t="s">
        <v>8</v>
      </c>
      <c r="J507" s="106" t="s">
        <v>18</v>
      </c>
      <c r="K507" s="106" t="s">
        <v>141</v>
      </c>
      <c r="L507" s="106" t="s">
        <v>147</v>
      </c>
      <c r="M507" s="106" t="s">
        <v>147</v>
      </c>
      <c r="N507" s="106" t="s">
        <v>147</v>
      </c>
      <c r="O507" s="106" t="s">
        <v>147</v>
      </c>
      <c r="P507" s="106" t="s">
        <v>147</v>
      </c>
      <c r="Q507" s="51" t="s">
        <v>147</v>
      </c>
      <c r="R507" s="106"/>
      <c r="S507" s="105">
        <v>0</v>
      </c>
      <c r="T507" s="106" t="s">
        <v>147</v>
      </c>
      <c r="U507" s="106" t="s">
        <v>138</v>
      </c>
      <c r="V507" s="105" t="s">
        <v>147</v>
      </c>
      <c r="W507" s="106" t="s">
        <v>147</v>
      </c>
      <c r="X507" s="106" t="s">
        <v>139</v>
      </c>
      <c r="Y507" s="106" t="s">
        <v>147</v>
      </c>
      <c r="Z507" s="106" t="s">
        <v>147</v>
      </c>
      <c r="AA507" s="106" t="s">
        <v>147</v>
      </c>
    </row>
    <row r="508" spans="1:27" ht="12.95" customHeight="1">
      <c r="A508" s="43">
        <v>497</v>
      </c>
      <c r="B508" s="127" t="s">
        <v>16</v>
      </c>
      <c r="C508" s="129" t="s">
        <v>12</v>
      </c>
      <c r="D508" s="62" t="s">
        <v>13</v>
      </c>
      <c r="E508" s="44" t="s">
        <v>65</v>
      </c>
      <c r="F508" s="106" t="s">
        <v>26</v>
      </c>
      <c r="G508" s="107">
        <v>504105</v>
      </c>
      <c r="H508" s="129" t="s">
        <v>26</v>
      </c>
      <c r="I508" s="106" t="s">
        <v>8</v>
      </c>
      <c r="J508" s="106" t="s">
        <v>18</v>
      </c>
      <c r="K508" s="106" t="s">
        <v>141</v>
      </c>
      <c r="L508" s="106" t="s">
        <v>147</v>
      </c>
      <c r="M508" s="106" t="s">
        <v>147</v>
      </c>
      <c r="N508" s="106" t="s">
        <v>147</v>
      </c>
      <c r="O508" s="106" t="s">
        <v>147</v>
      </c>
      <c r="P508" s="106" t="s">
        <v>147</v>
      </c>
      <c r="Q508" s="51" t="s">
        <v>147</v>
      </c>
      <c r="R508" s="106"/>
      <c r="S508" s="105">
        <v>0</v>
      </c>
      <c r="T508" s="106" t="s">
        <v>147</v>
      </c>
      <c r="U508" s="106" t="s">
        <v>138</v>
      </c>
      <c r="V508" s="105" t="s">
        <v>147</v>
      </c>
      <c r="W508" s="106" t="s">
        <v>147</v>
      </c>
      <c r="X508" s="106" t="s">
        <v>139</v>
      </c>
      <c r="Y508" s="106" t="s">
        <v>147</v>
      </c>
      <c r="Z508" s="106" t="s">
        <v>147</v>
      </c>
      <c r="AA508" s="106" t="s">
        <v>147</v>
      </c>
    </row>
    <row r="509" spans="1:27" ht="12.95" customHeight="1">
      <c r="A509" s="43">
        <v>579</v>
      </c>
      <c r="B509" s="127" t="s">
        <v>16</v>
      </c>
      <c r="C509" s="129" t="s">
        <v>12</v>
      </c>
      <c r="D509" s="62" t="s">
        <v>13</v>
      </c>
      <c r="E509" s="44" t="s">
        <v>65</v>
      </c>
      <c r="F509" s="106" t="s">
        <v>3</v>
      </c>
      <c r="G509" s="107">
        <v>406411</v>
      </c>
      <c r="H509" s="129" t="s">
        <v>9</v>
      </c>
      <c r="I509" s="106" t="s">
        <v>8</v>
      </c>
      <c r="J509" s="106" t="s">
        <v>18</v>
      </c>
      <c r="K509" s="106" t="s">
        <v>141</v>
      </c>
      <c r="L509" s="106" t="s">
        <v>147</v>
      </c>
      <c r="M509" s="106" t="s">
        <v>147</v>
      </c>
      <c r="N509" s="106" t="s">
        <v>147</v>
      </c>
      <c r="O509" s="106" t="s">
        <v>147</v>
      </c>
      <c r="P509" s="106" t="s">
        <v>147</v>
      </c>
      <c r="Q509" s="51" t="s">
        <v>147</v>
      </c>
      <c r="R509" s="106"/>
      <c r="S509" s="105">
        <v>0</v>
      </c>
      <c r="T509" s="106" t="s">
        <v>147</v>
      </c>
      <c r="U509" s="106" t="s">
        <v>138</v>
      </c>
      <c r="V509" s="105" t="s">
        <v>147</v>
      </c>
      <c r="W509" s="106" t="s">
        <v>147</v>
      </c>
      <c r="X509" s="106" t="s">
        <v>139</v>
      </c>
      <c r="Y509" s="106" t="s">
        <v>147</v>
      </c>
      <c r="Z509" s="106" t="s">
        <v>147</v>
      </c>
      <c r="AA509" s="106" t="s">
        <v>147</v>
      </c>
    </row>
    <row r="510" spans="1:27" ht="12.95" customHeight="1">
      <c r="A510" s="43">
        <v>285</v>
      </c>
      <c r="B510" s="127" t="s">
        <v>16</v>
      </c>
      <c r="C510" s="129" t="s">
        <v>12</v>
      </c>
      <c r="D510" s="62" t="s">
        <v>13</v>
      </c>
      <c r="E510" s="44" t="s">
        <v>65</v>
      </c>
      <c r="F510" s="106" t="s">
        <v>13</v>
      </c>
      <c r="G510" s="107">
        <v>359519</v>
      </c>
      <c r="H510" s="129" t="s">
        <v>17</v>
      </c>
      <c r="I510" s="106" t="s">
        <v>8</v>
      </c>
      <c r="J510" s="106" t="s">
        <v>15</v>
      </c>
      <c r="K510" s="106" t="s">
        <v>141</v>
      </c>
      <c r="L510" s="106" t="s">
        <v>147</v>
      </c>
      <c r="M510" s="106" t="s">
        <v>147</v>
      </c>
      <c r="N510" s="106" t="s">
        <v>147</v>
      </c>
      <c r="O510" s="106" t="s">
        <v>147</v>
      </c>
      <c r="P510" s="106" t="s">
        <v>147</v>
      </c>
      <c r="Q510" s="51" t="s">
        <v>147</v>
      </c>
      <c r="R510" s="106"/>
      <c r="S510" s="105">
        <v>0</v>
      </c>
      <c r="T510" s="106" t="s">
        <v>147</v>
      </c>
      <c r="U510" s="106" t="s">
        <v>138</v>
      </c>
      <c r="V510" s="105" t="s">
        <v>147</v>
      </c>
      <c r="W510" s="106" t="s">
        <v>147</v>
      </c>
      <c r="X510" s="106" t="s">
        <v>147</v>
      </c>
      <c r="Y510" s="106" t="s">
        <v>147</v>
      </c>
      <c r="Z510" s="106" t="s">
        <v>147</v>
      </c>
      <c r="AA510" s="106" t="s">
        <v>147</v>
      </c>
    </row>
    <row r="511" spans="1:27" ht="12.95" customHeight="1">
      <c r="A511" s="43">
        <v>357</v>
      </c>
      <c r="B511" s="127" t="s">
        <v>16</v>
      </c>
      <c r="C511" s="129" t="s">
        <v>12</v>
      </c>
      <c r="D511" s="62" t="s">
        <v>13</v>
      </c>
      <c r="E511" s="44" t="s">
        <v>65</v>
      </c>
      <c r="F511" s="106" t="s">
        <v>3</v>
      </c>
      <c r="G511" s="107">
        <v>429860</v>
      </c>
      <c r="H511" s="91" t="s">
        <v>20</v>
      </c>
      <c r="I511" s="106" t="s">
        <v>8</v>
      </c>
      <c r="J511" s="106" t="s">
        <v>22</v>
      </c>
      <c r="K511" s="106" t="s">
        <v>141</v>
      </c>
      <c r="L511" s="106" t="s">
        <v>147</v>
      </c>
      <c r="M511" s="106" t="s">
        <v>147</v>
      </c>
      <c r="N511" s="106" t="s">
        <v>147</v>
      </c>
      <c r="O511" s="106" t="s">
        <v>147</v>
      </c>
      <c r="P511" s="106" t="s">
        <v>147</v>
      </c>
      <c r="Q511" s="51" t="s">
        <v>147</v>
      </c>
      <c r="R511" s="106"/>
      <c r="S511" s="105">
        <v>0</v>
      </c>
      <c r="T511" s="106" t="s">
        <v>147</v>
      </c>
      <c r="U511" s="106" t="s">
        <v>138</v>
      </c>
      <c r="V511" s="105" t="s">
        <v>147</v>
      </c>
      <c r="W511" s="106" t="s">
        <v>147</v>
      </c>
      <c r="X511" s="106" t="s">
        <v>147</v>
      </c>
      <c r="Y511" s="106" t="s">
        <v>147</v>
      </c>
      <c r="Z511" s="106" t="s">
        <v>147</v>
      </c>
      <c r="AA511" s="106" t="s">
        <v>147</v>
      </c>
    </row>
    <row r="512" spans="1:27" ht="12.95" customHeight="1">
      <c r="A512" s="43">
        <v>537</v>
      </c>
      <c r="B512" s="127" t="s">
        <v>16</v>
      </c>
      <c r="C512" s="129" t="s">
        <v>12</v>
      </c>
      <c r="D512" s="62" t="s">
        <v>13</v>
      </c>
      <c r="E512" s="44" t="s">
        <v>65</v>
      </c>
      <c r="F512" s="106" t="s">
        <v>8</v>
      </c>
      <c r="G512" s="107">
        <v>406414</v>
      </c>
      <c r="H512" s="129" t="s">
        <v>26</v>
      </c>
      <c r="I512" s="106" t="s">
        <v>8</v>
      </c>
      <c r="J512" s="106" t="s">
        <v>7</v>
      </c>
      <c r="K512" s="106" t="s">
        <v>141</v>
      </c>
      <c r="L512" s="106" t="s">
        <v>137</v>
      </c>
      <c r="M512" s="106" t="s">
        <v>138</v>
      </c>
      <c r="N512" s="108">
        <v>46090</v>
      </c>
      <c r="O512" s="108">
        <v>46090</v>
      </c>
      <c r="P512" s="106" t="s">
        <v>126</v>
      </c>
      <c r="Q512" s="51" t="s">
        <v>126</v>
      </c>
      <c r="R512" s="106"/>
      <c r="S512" s="105">
        <v>66</v>
      </c>
      <c r="T512" s="50" t="s">
        <v>140</v>
      </c>
      <c r="U512" s="46" t="s">
        <v>141</v>
      </c>
      <c r="V512" s="105" t="s">
        <v>147</v>
      </c>
      <c r="W512" s="106" t="s">
        <v>150</v>
      </c>
      <c r="X512" s="106" t="s">
        <v>139</v>
      </c>
      <c r="Y512" s="106" t="s">
        <v>147</v>
      </c>
      <c r="Z512" s="106" t="s">
        <v>147</v>
      </c>
      <c r="AA512" s="106" t="s">
        <v>147</v>
      </c>
    </row>
    <row r="513" spans="1:27" ht="12.95" customHeight="1">
      <c r="A513" s="43">
        <v>317</v>
      </c>
      <c r="B513" s="127" t="s">
        <v>16</v>
      </c>
      <c r="C513" s="129" t="s">
        <v>12</v>
      </c>
      <c r="D513" s="62" t="s">
        <v>13</v>
      </c>
      <c r="E513" s="44" t="s">
        <v>65</v>
      </c>
      <c r="F513" s="106" t="s">
        <v>8</v>
      </c>
      <c r="G513" s="107">
        <v>359521</v>
      </c>
      <c r="H513" s="129" t="s">
        <v>26</v>
      </c>
      <c r="I513" s="106" t="s">
        <v>8</v>
      </c>
      <c r="J513" s="106" t="s">
        <v>7</v>
      </c>
      <c r="K513" s="106" t="s">
        <v>141</v>
      </c>
      <c r="L513" s="106" t="s">
        <v>136</v>
      </c>
      <c r="M513" s="106" t="s">
        <v>133</v>
      </c>
      <c r="N513" s="106" t="s">
        <v>167</v>
      </c>
      <c r="O513" s="106" t="s">
        <v>167</v>
      </c>
      <c r="P513" s="106" t="s">
        <v>126</v>
      </c>
      <c r="Q513" s="51" t="s">
        <v>126</v>
      </c>
      <c r="R513" s="106"/>
      <c r="S513" s="105">
        <v>75</v>
      </c>
      <c r="T513" s="50" t="s">
        <v>140</v>
      </c>
      <c r="U513" s="46" t="s">
        <v>141</v>
      </c>
      <c r="V513" s="105" t="s">
        <v>147</v>
      </c>
      <c r="W513" s="106" t="s">
        <v>147</v>
      </c>
      <c r="X513" s="106" t="s">
        <v>138</v>
      </c>
      <c r="Y513" s="106" t="s">
        <v>138</v>
      </c>
      <c r="Z513" s="106" t="s">
        <v>147</v>
      </c>
      <c r="AA513" s="106" t="s">
        <v>140</v>
      </c>
    </row>
    <row r="514" spans="1:27" ht="12.95" customHeight="1">
      <c r="A514" s="43">
        <v>287</v>
      </c>
      <c r="B514" s="127" t="s">
        <v>16</v>
      </c>
      <c r="C514" s="129" t="s">
        <v>12</v>
      </c>
      <c r="D514" s="62" t="s">
        <v>13</v>
      </c>
      <c r="E514" s="44" t="s">
        <v>65</v>
      </c>
      <c r="F514" s="106" t="s">
        <v>23</v>
      </c>
      <c r="G514" s="107">
        <v>476758</v>
      </c>
      <c r="H514" s="129" t="s">
        <v>26</v>
      </c>
      <c r="I514" s="106" t="s">
        <v>8</v>
      </c>
      <c r="J514" s="106" t="s">
        <v>7</v>
      </c>
      <c r="K514" s="106" t="s">
        <v>141</v>
      </c>
      <c r="L514" s="106" t="s">
        <v>147</v>
      </c>
      <c r="M514" s="106" t="s">
        <v>147</v>
      </c>
      <c r="N514" s="106" t="s">
        <v>147</v>
      </c>
      <c r="O514" s="106" t="s">
        <v>147</v>
      </c>
      <c r="P514" s="106" t="s">
        <v>147</v>
      </c>
      <c r="Q514" s="51" t="s">
        <v>147</v>
      </c>
      <c r="R514" s="106"/>
      <c r="S514" s="105">
        <v>0</v>
      </c>
      <c r="T514" s="106" t="s">
        <v>147</v>
      </c>
      <c r="U514" s="106" t="s">
        <v>138</v>
      </c>
      <c r="V514" s="105" t="s">
        <v>147</v>
      </c>
      <c r="W514" s="106" t="s">
        <v>147</v>
      </c>
      <c r="X514" s="106" t="s">
        <v>147</v>
      </c>
      <c r="Y514" s="106" t="s">
        <v>147</v>
      </c>
      <c r="Z514" s="106" t="s">
        <v>147</v>
      </c>
      <c r="AA514" s="106" t="s">
        <v>147</v>
      </c>
    </row>
    <row r="515" spans="1:27" ht="12.95" customHeight="1">
      <c r="A515" s="43">
        <v>355</v>
      </c>
      <c r="B515" s="127" t="s">
        <v>16</v>
      </c>
      <c r="C515" s="129" t="s">
        <v>12</v>
      </c>
      <c r="D515" s="62" t="s">
        <v>13</v>
      </c>
      <c r="E515" s="44" t="s">
        <v>65</v>
      </c>
      <c r="F515" s="106" t="s">
        <v>7</v>
      </c>
      <c r="G515" s="107">
        <v>312629</v>
      </c>
      <c r="H515" s="43" t="s">
        <v>26</v>
      </c>
      <c r="I515" s="106" t="s">
        <v>8</v>
      </c>
      <c r="J515" s="106" t="s">
        <v>7</v>
      </c>
      <c r="K515" s="106" t="s">
        <v>141</v>
      </c>
      <c r="L515" s="106" t="s">
        <v>147</v>
      </c>
      <c r="M515" s="106" t="s">
        <v>147</v>
      </c>
      <c r="N515" s="106" t="s">
        <v>147</v>
      </c>
      <c r="O515" s="106" t="s">
        <v>147</v>
      </c>
      <c r="P515" s="106" t="s">
        <v>147</v>
      </c>
      <c r="Q515" s="51" t="s">
        <v>147</v>
      </c>
      <c r="R515" s="106"/>
      <c r="S515" s="105">
        <v>0</v>
      </c>
      <c r="T515" s="106" t="s">
        <v>147</v>
      </c>
      <c r="U515" s="106" t="s">
        <v>138</v>
      </c>
      <c r="V515" s="105" t="s">
        <v>147</v>
      </c>
      <c r="W515" s="106" t="s">
        <v>147</v>
      </c>
      <c r="X515" s="106" t="s">
        <v>147</v>
      </c>
      <c r="Y515" s="106" t="s">
        <v>147</v>
      </c>
      <c r="Z515" s="106" t="s">
        <v>147</v>
      </c>
      <c r="AA515" s="106" t="s">
        <v>147</v>
      </c>
    </row>
    <row r="516" spans="1:27" ht="12.95" customHeight="1">
      <c r="A516" s="43">
        <v>417</v>
      </c>
      <c r="B516" s="127" t="s">
        <v>16</v>
      </c>
      <c r="C516" s="129" t="s">
        <v>12</v>
      </c>
      <c r="D516" s="62" t="s">
        <v>13</v>
      </c>
      <c r="E516" s="44" t="s">
        <v>65</v>
      </c>
      <c r="F516" s="106" t="s">
        <v>7</v>
      </c>
      <c r="G516" s="107">
        <v>468944</v>
      </c>
      <c r="H516" s="43" t="s">
        <v>26</v>
      </c>
      <c r="I516" s="106" t="s">
        <v>8</v>
      </c>
      <c r="J516" s="106" t="s">
        <v>7</v>
      </c>
      <c r="K516" s="106" t="s">
        <v>141</v>
      </c>
      <c r="L516" s="106" t="s">
        <v>147</v>
      </c>
      <c r="M516" s="106" t="s">
        <v>147</v>
      </c>
      <c r="N516" s="106" t="s">
        <v>147</v>
      </c>
      <c r="O516" s="106" t="s">
        <v>147</v>
      </c>
      <c r="P516" s="106" t="s">
        <v>147</v>
      </c>
      <c r="Q516" s="51" t="s">
        <v>147</v>
      </c>
      <c r="R516" s="106"/>
      <c r="S516" s="105">
        <v>0</v>
      </c>
      <c r="T516" s="106" t="s">
        <v>147</v>
      </c>
      <c r="U516" s="106" t="s">
        <v>138</v>
      </c>
      <c r="V516" s="105" t="s">
        <v>147</v>
      </c>
      <c r="W516" s="106" t="s">
        <v>147</v>
      </c>
      <c r="X516" s="106" t="s">
        <v>147</v>
      </c>
      <c r="Y516" s="106" t="s">
        <v>147</v>
      </c>
      <c r="Z516" s="106" t="s">
        <v>147</v>
      </c>
      <c r="AA516" s="106" t="s">
        <v>147</v>
      </c>
    </row>
    <row r="517" spans="1:27" ht="12.95" customHeight="1">
      <c r="A517" s="43">
        <v>428</v>
      </c>
      <c r="B517" s="127" t="s">
        <v>16</v>
      </c>
      <c r="C517" s="129" t="s">
        <v>12</v>
      </c>
      <c r="D517" s="62" t="s">
        <v>13</v>
      </c>
      <c r="E517" s="44" t="s">
        <v>65</v>
      </c>
      <c r="F517" s="106" t="s">
        <v>7</v>
      </c>
      <c r="G517" s="107">
        <v>293091</v>
      </c>
      <c r="H517" s="129" t="s">
        <v>9</v>
      </c>
      <c r="I517" s="106" t="s">
        <v>8</v>
      </c>
      <c r="J517" s="106" t="s">
        <v>15</v>
      </c>
      <c r="K517" s="106" t="s">
        <v>141</v>
      </c>
      <c r="L517" s="106" t="s">
        <v>147</v>
      </c>
      <c r="M517" s="106" t="s">
        <v>147</v>
      </c>
      <c r="N517" s="106" t="s">
        <v>147</v>
      </c>
      <c r="O517" s="106" t="s">
        <v>147</v>
      </c>
      <c r="P517" s="106" t="s">
        <v>147</v>
      </c>
      <c r="Q517" s="51" t="s">
        <v>147</v>
      </c>
      <c r="R517" s="106"/>
      <c r="S517" s="105">
        <v>0</v>
      </c>
      <c r="T517" s="106" t="s">
        <v>147</v>
      </c>
      <c r="U517" s="106" t="s">
        <v>138</v>
      </c>
      <c r="V517" s="105" t="s">
        <v>147</v>
      </c>
      <c r="W517" s="106" t="s">
        <v>147</v>
      </c>
      <c r="X517" s="106" t="s">
        <v>147</v>
      </c>
      <c r="Y517" s="106" t="s">
        <v>147</v>
      </c>
      <c r="Z517" s="106" t="s">
        <v>147</v>
      </c>
      <c r="AA517" s="106" t="s">
        <v>147</v>
      </c>
    </row>
    <row r="518" spans="1:27" ht="12.95" customHeight="1">
      <c r="A518" s="43">
        <v>372</v>
      </c>
      <c r="B518" s="127" t="s">
        <v>16</v>
      </c>
      <c r="C518" s="129" t="s">
        <v>12</v>
      </c>
      <c r="D518" s="62" t="s">
        <v>13</v>
      </c>
      <c r="E518" s="44" t="s">
        <v>65</v>
      </c>
      <c r="F518" s="106" t="s">
        <v>7</v>
      </c>
      <c r="G518" s="107">
        <v>226658</v>
      </c>
      <c r="H518" s="129" t="s">
        <v>17</v>
      </c>
      <c r="I518" s="106" t="s">
        <v>8</v>
      </c>
      <c r="J518" s="106" t="s">
        <v>15</v>
      </c>
      <c r="K518" s="106" t="s">
        <v>141</v>
      </c>
      <c r="L518" s="106" t="s">
        <v>147</v>
      </c>
      <c r="M518" s="106" t="s">
        <v>147</v>
      </c>
      <c r="N518" s="106" t="s">
        <v>147</v>
      </c>
      <c r="O518" s="106" t="s">
        <v>147</v>
      </c>
      <c r="P518" s="106" t="s">
        <v>147</v>
      </c>
      <c r="Q518" s="51" t="s">
        <v>147</v>
      </c>
      <c r="R518" s="106"/>
      <c r="S518" s="105">
        <v>0</v>
      </c>
      <c r="T518" s="106" t="s">
        <v>147</v>
      </c>
      <c r="U518" s="106" t="s">
        <v>138</v>
      </c>
      <c r="V518" s="105" t="s">
        <v>147</v>
      </c>
      <c r="W518" s="106" t="s">
        <v>147</v>
      </c>
      <c r="X518" s="106" t="s">
        <v>147</v>
      </c>
      <c r="Y518" s="106" t="s">
        <v>147</v>
      </c>
      <c r="Z518" s="106" t="s">
        <v>147</v>
      </c>
      <c r="AA518" s="106" t="s">
        <v>147</v>
      </c>
    </row>
    <row r="519" spans="1:27" ht="12.95" customHeight="1">
      <c r="A519" s="43">
        <v>342</v>
      </c>
      <c r="B519" s="127" t="s">
        <v>16</v>
      </c>
      <c r="C519" s="129" t="s">
        <v>12</v>
      </c>
      <c r="D519" s="62" t="s">
        <v>13</v>
      </c>
      <c r="E519" s="44" t="s">
        <v>65</v>
      </c>
      <c r="F519" s="106" t="s">
        <v>27</v>
      </c>
      <c r="G519" s="107">
        <v>339987</v>
      </c>
      <c r="H519" s="43" t="s">
        <v>26</v>
      </c>
      <c r="I519" s="106" t="s">
        <v>8</v>
      </c>
      <c r="J519" s="106" t="s">
        <v>15</v>
      </c>
      <c r="K519" s="106" t="s">
        <v>141</v>
      </c>
      <c r="L519" s="106" t="s">
        <v>147</v>
      </c>
      <c r="M519" s="106" t="s">
        <v>147</v>
      </c>
      <c r="N519" s="106" t="s">
        <v>147</v>
      </c>
      <c r="O519" s="106" t="s">
        <v>147</v>
      </c>
      <c r="P519" s="106" t="s">
        <v>147</v>
      </c>
      <c r="Q519" s="51" t="s">
        <v>147</v>
      </c>
      <c r="R519" s="106"/>
      <c r="S519" s="105">
        <v>0</v>
      </c>
      <c r="T519" s="106" t="s">
        <v>147</v>
      </c>
      <c r="U519" s="106" t="s">
        <v>138</v>
      </c>
      <c r="V519" s="105" t="s">
        <v>147</v>
      </c>
      <c r="W519" s="106" t="s">
        <v>147</v>
      </c>
      <c r="X519" s="106" t="s">
        <v>147</v>
      </c>
      <c r="Y519" s="106" t="s">
        <v>147</v>
      </c>
      <c r="Z519" s="106" t="s">
        <v>147</v>
      </c>
      <c r="AA519" s="106" t="s">
        <v>147</v>
      </c>
    </row>
    <row r="520" spans="1:27" ht="12.95" customHeight="1">
      <c r="A520" s="43">
        <v>405</v>
      </c>
      <c r="B520" s="127" t="s">
        <v>16</v>
      </c>
      <c r="C520" s="129" t="s">
        <v>12</v>
      </c>
      <c r="D520" s="62" t="s">
        <v>13</v>
      </c>
      <c r="E520" s="44" t="s">
        <v>65</v>
      </c>
      <c r="F520" s="106" t="s">
        <v>27</v>
      </c>
      <c r="G520" s="107">
        <v>375159</v>
      </c>
      <c r="H520" s="43" t="s">
        <v>26</v>
      </c>
      <c r="I520" s="106" t="s">
        <v>8</v>
      </c>
      <c r="J520" s="106" t="s">
        <v>15</v>
      </c>
      <c r="K520" s="106" t="s">
        <v>141</v>
      </c>
      <c r="L520" s="106" t="s">
        <v>147</v>
      </c>
      <c r="M520" s="106" t="s">
        <v>147</v>
      </c>
      <c r="N520" s="106" t="s">
        <v>147</v>
      </c>
      <c r="O520" s="106" t="s">
        <v>147</v>
      </c>
      <c r="P520" s="106" t="s">
        <v>147</v>
      </c>
      <c r="Q520" s="51" t="s">
        <v>147</v>
      </c>
      <c r="R520" s="106"/>
      <c r="S520" s="105">
        <v>0</v>
      </c>
      <c r="T520" s="106" t="s">
        <v>147</v>
      </c>
      <c r="U520" s="106" t="s">
        <v>138</v>
      </c>
      <c r="V520" s="105" t="s">
        <v>147</v>
      </c>
      <c r="W520" s="106" t="s">
        <v>147</v>
      </c>
      <c r="X520" s="106" t="s">
        <v>147</v>
      </c>
      <c r="Y520" s="106" t="s">
        <v>147</v>
      </c>
      <c r="Z520" s="106" t="s">
        <v>147</v>
      </c>
      <c r="AA520" s="106" t="s">
        <v>147</v>
      </c>
    </row>
    <row r="521" spans="1:27" ht="12.95" customHeight="1">
      <c r="A521" s="43">
        <v>619</v>
      </c>
      <c r="B521" s="127" t="s">
        <v>16</v>
      </c>
      <c r="C521" s="129" t="s">
        <v>12</v>
      </c>
      <c r="D521" s="62" t="s">
        <v>13</v>
      </c>
      <c r="E521" s="44" t="s">
        <v>65</v>
      </c>
      <c r="F521" s="106" t="s">
        <v>27</v>
      </c>
      <c r="G521" s="107">
        <v>343897</v>
      </c>
      <c r="H521" s="129" t="s">
        <v>26</v>
      </c>
      <c r="I521" s="106" t="s">
        <v>8</v>
      </c>
      <c r="J521" s="106" t="s">
        <v>15</v>
      </c>
      <c r="K521" s="106" t="s">
        <v>141</v>
      </c>
      <c r="L521" s="106" t="s">
        <v>147</v>
      </c>
      <c r="M521" s="106" t="s">
        <v>147</v>
      </c>
      <c r="N521" s="106" t="s">
        <v>147</v>
      </c>
      <c r="O521" s="106" t="s">
        <v>147</v>
      </c>
      <c r="P521" s="106" t="s">
        <v>147</v>
      </c>
      <c r="Q521" s="51" t="s">
        <v>147</v>
      </c>
      <c r="R521" s="106"/>
      <c r="S521" s="105">
        <v>0</v>
      </c>
      <c r="T521" s="106" t="s">
        <v>147</v>
      </c>
      <c r="U521" s="106" t="s">
        <v>138</v>
      </c>
      <c r="V521" s="105" t="s">
        <v>147</v>
      </c>
      <c r="W521" s="106" t="s">
        <v>147</v>
      </c>
      <c r="X521" s="106" t="s">
        <v>147</v>
      </c>
      <c r="Y521" s="106" t="s">
        <v>147</v>
      </c>
      <c r="Z521" s="106" t="s">
        <v>147</v>
      </c>
      <c r="AA521" s="106" t="s">
        <v>147</v>
      </c>
    </row>
    <row r="522" spans="1:27" ht="12.95" customHeight="1">
      <c r="A522" s="43">
        <v>495</v>
      </c>
      <c r="B522" s="127" t="s">
        <v>16</v>
      </c>
      <c r="C522" s="129" t="s">
        <v>12</v>
      </c>
      <c r="D522" s="62" t="s">
        <v>13</v>
      </c>
      <c r="E522" s="44" t="s">
        <v>65</v>
      </c>
      <c r="F522" s="106" t="s">
        <v>27</v>
      </c>
      <c r="G522" s="107">
        <v>543202</v>
      </c>
      <c r="H522" s="43" t="s">
        <v>26</v>
      </c>
      <c r="I522" s="106" t="s">
        <v>8</v>
      </c>
      <c r="J522" s="106" t="s">
        <v>15</v>
      </c>
      <c r="K522" s="106" t="s">
        <v>141</v>
      </c>
      <c r="L522" s="106" t="s">
        <v>147</v>
      </c>
      <c r="M522" s="106" t="s">
        <v>147</v>
      </c>
      <c r="N522" s="106" t="s">
        <v>147</v>
      </c>
      <c r="O522" s="106" t="s">
        <v>147</v>
      </c>
      <c r="P522" s="106" t="s">
        <v>147</v>
      </c>
      <c r="Q522" s="51" t="s">
        <v>147</v>
      </c>
      <c r="R522" s="106"/>
      <c r="S522" s="105">
        <v>0</v>
      </c>
      <c r="T522" s="106" t="s">
        <v>147</v>
      </c>
      <c r="U522" s="106" t="s">
        <v>138</v>
      </c>
      <c r="V522" s="105" t="s">
        <v>147</v>
      </c>
      <c r="W522" s="106" t="s">
        <v>147</v>
      </c>
      <c r="X522" s="106" t="s">
        <v>147</v>
      </c>
      <c r="Y522" s="106" t="s">
        <v>147</v>
      </c>
      <c r="Z522" s="106" t="s">
        <v>147</v>
      </c>
      <c r="AA522" s="106" t="s">
        <v>147</v>
      </c>
    </row>
    <row r="523" spans="1:27" ht="12.95" customHeight="1">
      <c r="A523" s="43">
        <v>590</v>
      </c>
      <c r="B523" s="127" t="s">
        <v>16</v>
      </c>
      <c r="C523" s="129" t="s">
        <v>12</v>
      </c>
      <c r="D523" s="62" t="s">
        <v>13</v>
      </c>
      <c r="E523" s="44" t="s">
        <v>65</v>
      </c>
      <c r="F523" s="106" t="s">
        <v>21</v>
      </c>
      <c r="G523" s="107">
        <v>289188</v>
      </c>
      <c r="H523" s="129" t="s">
        <v>17</v>
      </c>
      <c r="I523" s="106" t="s">
        <v>8</v>
      </c>
      <c r="J523" s="106" t="s">
        <v>15</v>
      </c>
      <c r="K523" s="106" t="s">
        <v>141</v>
      </c>
      <c r="L523" s="106" t="s">
        <v>140</v>
      </c>
      <c r="M523" s="106" t="s">
        <v>140</v>
      </c>
      <c r="N523" s="106" t="s">
        <v>147</v>
      </c>
      <c r="O523" s="106" t="s">
        <v>147</v>
      </c>
      <c r="P523" s="106" t="s">
        <v>147</v>
      </c>
      <c r="Q523" s="51" t="s">
        <v>147</v>
      </c>
      <c r="R523" s="106"/>
      <c r="S523" s="105">
        <v>0</v>
      </c>
      <c r="T523" s="106" t="s">
        <v>147</v>
      </c>
      <c r="U523" s="49" t="s">
        <v>127</v>
      </c>
      <c r="V523" s="105" t="s">
        <v>147</v>
      </c>
      <c r="W523" s="106" t="s">
        <v>147</v>
      </c>
      <c r="X523" s="106" t="s">
        <v>131</v>
      </c>
      <c r="Y523" s="106" t="s">
        <v>147</v>
      </c>
      <c r="Z523" s="106" t="s">
        <v>147</v>
      </c>
      <c r="AA523" s="106" t="s">
        <v>139</v>
      </c>
    </row>
    <row r="524" spans="1:27" ht="12.95" customHeight="1">
      <c r="A524" s="43">
        <v>382</v>
      </c>
      <c r="B524" s="127" t="s">
        <v>16</v>
      </c>
      <c r="C524" s="129" t="s">
        <v>12</v>
      </c>
      <c r="D524" s="43" t="s">
        <v>19</v>
      </c>
      <c r="E524" s="44" t="s">
        <v>65</v>
      </c>
      <c r="F524" s="106" t="s">
        <v>7</v>
      </c>
      <c r="G524" s="107">
        <v>225693</v>
      </c>
      <c r="H524" s="129" t="s">
        <v>26</v>
      </c>
      <c r="I524" s="106" t="s">
        <v>8</v>
      </c>
      <c r="J524" s="106" t="s">
        <v>7</v>
      </c>
      <c r="K524" s="106" t="s">
        <v>141</v>
      </c>
      <c r="L524" s="106" t="s">
        <v>137</v>
      </c>
      <c r="M524" s="106" t="s">
        <v>140</v>
      </c>
      <c r="N524" s="108">
        <v>46090</v>
      </c>
      <c r="O524" s="108">
        <v>46090</v>
      </c>
      <c r="P524" s="106" t="s">
        <v>126</v>
      </c>
      <c r="Q524" s="51" t="s">
        <v>126</v>
      </c>
      <c r="R524" s="106"/>
      <c r="S524" s="105">
        <v>66</v>
      </c>
      <c r="T524" s="50" t="s">
        <v>140</v>
      </c>
      <c r="U524" s="46" t="s">
        <v>141</v>
      </c>
      <c r="V524" s="105" t="s">
        <v>147</v>
      </c>
      <c r="W524" s="106" t="s">
        <v>155</v>
      </c>
      <c r="X524" s="106" t="s">
        <v>127</v>
      </c>
      <c r="Y524" s="106" t="s">
        <v>147</v>
      </c>
      <c r="Z524" s="106" t="s">
        <v>147</v>
      </c>
      <c r="AA524" s="106" t="s">
        <v>147</v>
      </c>
    </row>
    <row r="525" spans="1:27" ht="12.95" customHeight="1">
      <c r="A525" s="43">
        <v>561</v>
      </c>
      <c r="B525" s="127" t="s">
        <v>16</v>
      </c>
      <c r="C525" s="129" t="s">
        <v>12</v>
      </c>
      <c r="D525" s="43" t="s">
        <v>19</v>
      </c>
      <c r="E525" s="44" t="s">
        <v>65</v>
      </c>
      <c r="F525" s="106" t="s">
        <v>25</v>
      </c>
      <c r="G525" s="107">
        <v>465178</v>
      </c>
      <c r="H525" s="129" t="s">
        <v>26</v>
      </c>
      <c r="I525" s="106" t="s">
        <v>8</v>
      </c>
      <c r="J525" s="106" t="s">
        <v>15</v>
      </c>
      <c r="K525" s="106" t="s">
        <v>141</v>
      </c>
      <c r="L525" s="106" t="s">
        <v>137</v>
      </c>
      <c r="M525" s="106" t="s">
        <v>137</v>
      </c>
      <c r="N525" s="106" t="s">
        <v>168</v>
      </c>
      <c r="O525" s="109">
        <v>45897</v>
      </c>
      <c r="P525" s="106" t="s">
        <v>132</v>
      </c>
      <c r="Q525" s="51" t="s">
        <v>132</v>
      </c>
      <c r="R525" s="106"/>
      <c r="S525" s="105">
        <v>251</v>
      </c>
      <c r="T525" s="50" t="s">
        <v>132</v>
      </c>
      <c r="U525" s="46" t="s">
        <v>137</v>
      </c>
      <c r="V525" s="113">
        <v>46073</v>
      </c>
      <c r="W525" s="106" t="s">
        <v>147</v>
      </c>
      <c r="X525" s="106" t="s">
        <v>147</v>
      </c>
      <c r="Y525" s="106" t="s">
        <v>131</v>
      </c>
      <c r="Z525" s="106" t="s">
        <v>147</v>
      </c>
      <c r="AA525" s="106" t="s">
        <v>136</v>
      </c>
    </row>
    <row r="526" spans="1:27" ht="12.95" customHeight="1">
      <c r="A526" s="43">
        <v>378</v>
      </c>
      <c r="B526" s="127" t="s">
        <v>16</v>
      </c>
      <c r="C526" s="129" t="s">
        <v>12</v>
      </c>
      <c r="D526" s="62" t="s">
        <v>13</v>
      </c>
      <c r="E526" s="44" t="s">
        <v>65</v>
      </c>
      <c r="F526" s="106" t="s">
        <v>30</v>
      </c>
      <c r="G526" s="107">
        <v>165570</v>
      </c>
      <c r="H526" s="130" t="s">
        <v>9</v>
      </c>
      <c r="I526" s="106" t="s">
        <v>8</v>
      </c>
      <c r="J526" s="106" t="s">
        <v>15</v>
      </c>
      <c r="K526" s="106" t="s">
        <v>141</v>
      </c>
      <c r="L526" s="106" t="s">
        <v>123</v>
      </c>
      <c r="M526" s="106" t="s">
        <v>123</v>
      </c>
      <c r="N526" s="106" t="s">
        <v>148</v>
      </c>
      <c r="O526" s="106" t="s">
        <v>148</v>
      </c>
      <c r="P526" s="106" t="s">
        <v>126</v>
      </c>
      <c r="Q526" s="51" t="s">
        <v>126</v>
      </c>
      <c r="R526" s="106"/>
      <c r="S526" s="105">
        <v>62</v>
      </c>
      <c r="T526" s="50" t="s">
        <v>140</v>
      </c>
      <c r="U526" s="46" t="s">
        <v>141</v>
      </c>
      <c r="V526" s="105" t="s">
        <v>147</v>
      </c>
      <c r="W526" s="106" t="s">
        <v>162</v>
      </c>
      <c r="X526" s="106" t="s">
        <v>126</v>
      </c>
      <c r="Y526" s="106" t="s">
        <v>147</v>
      </c>
      <c r="Z526" s="106" t="s">
        <v>147</v>
      </c>
      <c r="AA526" s="106" t="s">
        <v>132</v>
      </c>
    </row>
    <row r="527" spans="1:27" ht="12.95" customHeight="1">
      <c r="A527" s="43">
        <v>552</v>
      </c>
      <c r="B527" s="127" t="s">
        <v>16</v>
      </c>
      <c r="C527" s="129" t="s">
        <v>12</v>
      </c>
      <c r="D527" s="43" t="s">
        <v>19</v>
      </c>
      <c r="E527" s="106" t="s">
        <v>43</v>
      </c>
      <c r="F527" s="106" t="s">
        <v>23</v>
      </c>
      <c r="G527" s="107">
        <v>94464194</v>
      </c>
      <c r="H527" s="43" t="s">
        <v>26</v>
      </c>
      <c r="I527" s="106" t="s">
        <v>8</v>
      </c>
      <c r="J527" s="106" t="s">
        <v>15</v>
      </c>
      <c r="K527" s="106" t="s">
        <v>141</v>
      </c>
      <c r="L527" s="106" t="s">
        <v>134</v>
      </c>
      <c r="M527" s="106" t="s">
        <v>138</v>
      </c>
      <c r="N527" s="108">
        <v>46351</v>
      </c>
      <c r="O527" s="108">
        <v>46351</v>
      </c>
      <c r="P527" s="106" t="s">
        <v>132</v>
      </c>
      <c r="Q527" s="51" t="s">
        <v>132</v>
      </c>
      <c r="R527" s="106"/>
      <c r="S527" s="105">
        <v>169</v>
      </c>
      <c r="T527" s="50" t="s">
        <v>132</v>
      </c>
      <c r="U527" s="46" t="s">
        <v>137</v>
      </c>
      <c r="V527" s="113">
        <v>46309</v>
      </c>
      <c r="W527" s="106" t="s">
        <v>147</v>
      </c>
      <c r="X527" s="106" t="s">
        <v>147</v>
      </c>
      <c r="Y527" s="106" t="s">
        <v>138</v>
      </c>
      <c r="Z527" s="106" t="s">
        <v>147</v>
      </c>
      <c r="AA527" s="106" t="s">
        <v>147</v>
      </c>
    </row>
    <row r="528" spans="1:27" ht="12.95" customHeight="1">
      <c r="A528" s="43">
        <v>480</v>
      </c>
      <c r="B528" s="127" t="s">
        <v>16</v>
      </c>
      <c r="C528" s="129" t="s">
        <v>12</v>
      </c>
      <c r="D528" s="43" t="s">
        <v>19</v>
      </c>
      <c r="E528" s="106" t="s">
        <v>43</v>
      </c>
      <c r="F528" s="106" t="s">
        <v>23</v>
      </c>
      <c r="G528" s="107">
        <v>26205042</v>
      </c>
      <c r="H528" s="43" t="s">
        <v>26</v>
      </c>
      <c r="I528" s="106" t="s">
        <v>8</v>
      </c>
      <c r="J528" s="106" t="s">
        <v>15</v>
      </c>
      <c r="K528" s="106" t="s">
        <v>141</v>
      </c>
      <c r="L528" s="106" t="s">
        <v>137</v>
      </c>
      <c r="M528" s="106" t="s">
        <v>127</v>
      </c>
      <c r="N528" s="108">
        <v>46007</v>
      </c>
      <c r="O528" s="108">
        <v>46007</v>
      </c>
      <c r="P528" s="106" t="s">
        <v>126</v>
      </c>
      <c r="Q528" s="51" t="s">
        <v>126</v>
      </c>
      <c r="R528" s="106"/>
      <c r="S528" s="105">
        <v>65</v>
      </c>
      <c r="T528" s="50" t="s">
        <v>141</v>
      </c>
      <c r="U528" s="46" t="s">
        <v>141</v>
      </c>
      <c r="V528" s="105" t="s">
        <v>147</v>
      </c>
      <c r="W528" s="106" t="s">
        <v>147</v>
      </c>
      <c r="X528" s="106" t="s">
        <v>134</v>
      </c>
      <c r="Y528" s="106" t="s">
        <v>138</v>
      </c>
      <c r="Z528" s="106" t="s">
        <v>147</v>
      </c>
      <c r="AA528" s="106" t="s">
        <v>134</v>
      </c>
    </row>
    <row r="529" spans="1:27" ht="12.95" customHeight="1">
      <c r="A529" s="43">
        <v>422</v>
      </c>
      <c r="B529" s="127" t="s">
        <v>16</v>
      </c>
      <c r="C529" s="129" t="s">
        <v>12</v>
      </c>
      <c r="D529" s="62" t="s">
        <v>13</v>
      </c>
      <c r="E529" s="44" t="s">
        <v>65</v>
      </c>
      <c r="F529" s="106" t="s">
        <v>4</v>
      </c>
      <c r="G529" s="107">
        <v>253706</v>
      </c>
      <c r="H529" s="43" t="s">
        <v>26</v>
      </c>
      <c r="I529" s="106" t="s">
        <v>8</v>
      </c>
      <c r="J529" s="106" t="s">
        <v>15</v>
      </c>
      <c r="K529" s="106" t="s">
        <v>141</v>
      </c>
      <c r="L529" s="106" t="s">
        <v>134</v>
      </c>
      <c r="M529" s="111" t="s">
        <v>123</v>
      </c>
      <c r="N529" s="108">
        <v>46009</v>
      </c>
      <c r="O529" s="112">
        <v>46090</v>
      </c>
      <c r="P529" s="106" t="s">
        <v>132</v>
      </c>
      <c r="Q529" s="51" t="s">
        <v>132</v>
      </c>
      <c r="R529" s="106"/>
      <c r="S529" s="105">
        <v>24</v>
      </c>
      <c r="T529" s="50" t="s">
        <v>139</v>
      </c>
      <c r="U529" s="46" t="s">
        <v>137</v>
      </c>
      <c r="V529" s="113">
        <v>46309</v>
      </c>
      <c r="W529" s="106" t="s">
        <v>150</v>
      </c>
      <c r="X529" s="106" t="s">
        <v>147</v>
      </c>
      <c r="Y529" s="106" t="s">
        <v>131</v>
      </c>
      <c r="Z529" s="106" t="s">
        <v>147</v>
      </c>
      <c r="AA529" s="106" t="s">
        <v>138</v>
      </c>
    </row>
    <row r="530" spans="1:27" ht="12.95" customHeight="1">
      <c r="A530" s="43">
        <v>709</v>
      </c>
      <c r="B530" s="127" t="s">
        <v>16</v>
      </c>
      <c r="C530" s="129" t="s">
        <v>12</v>
      </c>
      <c r="D530" s="62" t="s">
        <v>13</v>
      </c>
      <c r="E530" s="44" t="s">
        <v>65</v>
      </c>
      <c r="F530" s="106" t="s">
        <v>18</v>
      </c>
      <c r="G530" s="107">
        <v>257630</v>
      </c>
      <c r="H530" s="129" t="s">
        <v>26</v>
      </c>
      <c r="I530" s="106" t="s">
        <v>8</v>
      </c>
      <c r="J530" s="106" t="s">
        <v>15</v>
      </c>
      <c r="K530" s="106" t="s">
        <v>141</v>
      </c>
      <c r="L530" s="106" t="s">
        <v>132</v>
      </c>
      <c r="M530" s="111" t="s">
        <v>123</v>
      </c>
      <c r="N530" s="108">
        <v>46009</v>
      </c>
      <c r="O530" s="112">
        <v>46090</v>
      </c>
      <c r="P530" s="106" t="s">
        <v>132</v>
      </c>
      <c r="Q530" s="51" t="s">
        <v>132</v>
      </c>
      <c r="R530" s="106"/>
      <c r="S530" s="105">
        <v>24</v>
      </c>
      <c r="T530" s="50" t="s">
        <v>139</v>
      </c>
      <c r="U530" s="46" t="s">
        <v>137</v>
      </c>
      <c r="V530" s="113">
        <v>46309</v>
      </c>
      <c r="W530" s="106" t="s">
        <v>150</v>
      </c>
      <c r="X530" s="106" t="s">
        <v>147</v>
      </c>
      <c r="Y530" s="106" t="s">
        <v>131</v>
      </c>
      <c r="Z530" s="106" t="s">
        <v>147</v>
      </c>
      <c r="AA530" s="106" t="s">
        <v>138</v>
      </c>
    </row>
    <row r="531" spans="1:27" ht="12.95" customHeight="1">
      <c r="A531" s="43">
        <v>297</v>
      </c>
      <c r="B531" s="127" t="s">
        <v>16</v>
      </c>
      <c r="C531" s="129" t="s">
        <v>12</v>
      </c>
      <c r="D531" s="62" t="s">
        <v>13</v>
      </c>
      <c r="E531" s="44" t="s">
        <v>65</v>
      </c>
      <c r="F531" s="106" t="s">
        <v>18</v>
      </c>
      <c r="G531" s="107">
        <v>351325</v>
      </c>
      <c r="H531" s="129" t="s">
        <v>26</v>
      </c>
      <c r="I531" s="106" t="s">
        <v>8</v>
      </c>
      <c r="J531" s="106" t="s">
        <v>15</v>
      </c>
      <c r="K531" s="106" t="s">
        <v>141</v>
      </c>
      <c r="L531" s="106" t="s">
        <v>137</v>
      </c>
      <c r="M531" s="111" t="s">
        <v>123</v>
      </c>
      <c r="N531" s="108">
        <v>46009</v>
      </c>
      <c r="O531" s="112">
        <v>46090</v>
      </c>
      <c r="P531" s="106" t="s">
        <v>132</v>
      </c>
      <c r="Q531" s="51" t="s">
        <v>132</v>
      </c>
      <c r="R531" s="106"/>
      <c r="S531" s="105">
        <v>24</v>
      </c>
      <c r="T531" s="50" t="s">
        <v>139</v>
      </c>
      <c r="U531" s="46" t="s">
        <v>137</v>
      </c>
      <c r="V531" s="113">
        <v>46309</v>
      </c>
      <c r="W531" s="106" t="s">
        <v>150</v>
      </c>
      <c r="X531" s="106" t="s">
        <v>147</v>
      </c>
      <c r="Y531" s="106" t="s">
        <v>131</v>
      </c>
      <c r="Z531" s="106" t="s">
        <v>147</v>
      </c>
      <c r="AA531" s="106" t="s">
        <v>138</v>
      </c>
    </row>
    <row r="532" spans="1:27" ht="12.95" customHeight="1">
      <c r="A532" s="43">
        <v>329</v>
      </c>
      <c r="B532" s="127" t="s">
        <v>16</v>
      </c>
      <c r="C532" s="129" t="s">
        <v>12</v>
      </c>
      <c r="D532" s="43" t="s">
        <v>19</v>
      </c>
      <c r="E532" s="106" t="s">
        <v>25</v>
      </c>
      <c r="F532" s="106" t="s">
        <v>5</v>
      </c>
      <c r="G532" s="107">
        <v>344459</v>
      </c>
      <c r="H532" s="129" t="s">
        <v>9</v>
      </c>
      <c r="I532" s="106" t="s">
        <v>8</v>
      </c>
      <c r="J532" s="106" t="s">
        <v>15</v>
      </c>
      <c r="K532" s="106" t="s">
        <v>141</v>
      </c>
      <c r="L532" s="106" t="s">
        <v>134</v>
      </c>
      <c r="M532" s="111" t="s">
        <v>123</v>
      </c>
      <c r="N532" s="108">
        <v>46009</v>
      </c>
      <c r="O532" s="108">
        <v>46009</v>
      </c>
      <c r="P532" s="106" t="s">
        <v>126</v>
      </c>
      <c r="Q532" s="51" t="s">
        <v>126</v>
      </c>
      <c r="R532" s="106"/>
      <c r="S532" s="105">
        <v>21</v>
      </c>
      <c r="T532" s="50" t="s">
        <v>139</v>
      </c>
      <c r="U532" s="46" t="s">
        <v>141</v>
      </c>
      <c r="V532" s="105" t="s">
        <v>147</v>
      </c>
      <c r="W532" s="106" t="s">
        <v>150</v>
      </c>
      <c r="X532" s="106" t="s">
        <v>127</v>
      </c>
      <c r="Y532" s="106" t="s">
        <v>138</v>
      </c>
      <c r="Z532" s="106" t="s">
        <v>147</v>
      </c>
      <c r="AA532" s="106" t="s">
        <v>127</v>
      </c>
    </row>
    <row r="533" spans="1:27" ht="12.95" customHeight="1">
      <c r="A533" s="43">
        <v>303</v>
      </c>
      <c r="B533" s="127" t="s">
        <v>16</v>
      </c>
      <c r="C533" s="129" t="s">
        <v>12</v>
      </c>
      <c r="D533" s="62" t="s">
        <v>13</v>
      </c>
      <c r="E533" s="44" t="s">
        <v>65</v>
      </c>
      <c r="F533" s="106" t="s">
        <v>23</v>
      </c>
      <c r="G533" s="107">
        <v>499720</v>
      </c>
      <c r="H533" s="129" t="s">
        <v>26</v>
      </c>
      <c r="I533" s="106" t="s">
        <v>8</v>
      </c>
      <c r="J533" s="106" t="s">
        <v>15</v>
      </c>
      <c r="K533" s="106" t="s">
        <v>141</v>
      </c>
      <c r="L533" s="106" t="s">
        <v>127</v>
      </c>
      <c r="M533" s="111" t="s">
        <v>138</v>
      </c>
      <c r="N533" s="108">
        <v>46242</v>
      </c>
      <c r="O533" s="109">
        <v>45973</v>
      </c>
      <c r="P533" s="106" t="s">
        <v>132</v>
      </c>
      <c r="Q533" s="51" t="s">
        <v>132</v>
      </c>
      <c r="R533" s="106"/>
      <c r="S533" s="105">
        <v>142</v>
      </c>
      <c r="T533" s="50" t="s">
        <v>132</v>
      </c>
      <c r="U533" s="46" t="s">
        <v>137</v>
      </c>
      <c r="V533" s="113">
        <v>46309</v>
      </c>
      <c r="W533" s="106" t="s">
        <v>147</v>
      </c>
      <c r="X533" s="106" t="s">
        <v>147</v>
      </c>
      <c r="Y533" s="106" t="s">
        <v>138</v>
      </c>
      <c r="Z533" s="106" t="s">
        <v>147</v>
      </c>
      <c r="AA533" s="106" t="s">
        <v>147</v>
      </c>
    </row>
    <row r="534" spans="1:27" ht="12.95" customHeight="1">
      <c r="A534" s="43">
        <v>453</v>
      </c>
      <c r="B534" s="127" t="s">
        <v>16</v>
      </c>
      <c r="C534" s="129" t="s">
        <v>12</v>
      </c>
      <c r="D534" s="43" t="s">
        <v>19</v>
      </c>
      <c r="E534" s="106" t="s">
        <v>43</v>
      </c>
      <c r="F534" s="106" t="s">
        <v>33</v>
      </c>
      <c r="G534" s="107">
        <v>45718568</v>
      </c>
      <c r="H534" s="91" t="s">
        <v>20</v>
      </c>
      <c r="I534" s="106" t="s">
        <v>8</v>
      </c>
      <c r="J534" s="106" t="s">
        <v>15</v>
      </c>
      <c r="K534" s="106" t="s">
        <v>135</v>
      </c>
      <c r="L534" s="106" t="s">
        <v>140</v>
      </c>
      <c r="M534" s="111" t="s">
        <v>131</v>
      </c>
      <c r="N534" s="108">
        <v>46061</v>
      </c>
      <c r="O534" s="108">
        <v>46061</v>
      </c>
      <c r="P534" s="106" t="s">
        <v>126</v>
      </c>
      <c r="Q534" s="51" t="s">
        <v>126</v>
      </c>
      <c r="R534" s="106"/>
      <c r="S534" s="105">
        <v>30</v>
      </c>
      <c r="T534" s="50" t="s">
        <v>139</v>
      </c>
      <c r="U534" s="46" t="s">
        <v>141</v>
      </c>
      <c r="V534" s="105" t="s">
        <v>147</v>
      </c>
      <c r="W534" s="106" t="s">
        <v>147</v>
      </c>
      <c r="X534" s="106" t="s">
        <v>133</v>
      </c>
      <c r="Y534" s="106" t="s">
        <v>138</v>
      </c>
      <c r="Z534" s="106" t="s">
        <v>147</v>
      </c>
      <c r="AA534" s="106" t="s">
        <v>126</v>
      </c>
    </row>
    <row r="535" spans="1:27" ht="12.95" customHeight="1">
      <c r="A535" s="43">
        <v>705</v>
      </c>
      <c r="B535" s="127" t="s">
        <v>16</v>
      </c>
      <c r="C535" s="129" t="s">
        <v>12</v>
      </c>
      <c r="D535" s="43" t="s">
        <v>19</v>
      </c>
      <c r="E535" s="106" t="s">
        <v>43</v>
      </c>
      <c r="F535" s="106" t="s">
        <v>7</v>
      </c>
      <c r="G535" s="107">
        <v>270625</v>
      </c>
      <c r="H535" s="129" t="s">
        <v>26</v>
      </c>
      <c r="I535" s="106" t="s">
        <v>8</v>
      </c>
      <c r="J535" s="106" t="s">
        <v>7</v>
      </c>
      <c r="K535" s="106" t="s">
        <v>141</v>
      </c>
      <c r="L535" s="106" t="s">
        <v>136</v>
      </c>
      <c r="M535" s="111" t="s">
        <v>133</v>
      </c>
      <c r="N535" s="106" t="s">
        <v>169</v>
      </c>
      <c r="O535" s="106" t="s">
        <v>169</v>
      </c>
      <c r="P535" s="106" t="s">
        <v>126</v>
      </c>
      <c r="Q535" s="51" t="s">
        <v>126</v>
      </c>
      <c r="R535" s="106"/>
      <c r="S535" s="105">
        <v>8</v>
      </c>
      <c r="T535" s="50" t="s">
        <v>139</v>
      </c>
      <c r="U535" s="46" t="s">
        <v>141</v>
      </c>
      <c r="V535" s="105" t="s">
        <v>147</v>
      </c>
      <c r="W535" s="106" t="s">
        <v>147</v>
      </c>
      <c r="X535" s="106" t="s">
        <v>131</v>
      </c>
      <c r="Y535" s="106" t="s">
        <v>138</v>
      </c>
      <c r="Z535" s="106" t="s">
        <v>126</v>
      </c>
      <c r="AA535" s="106" t="s">
        <v>136</v>
      </c>
    </row>
    <row r="536" spans="1:27" ht="12.95" customHeight="1">
      <c r="A536" s="43">
        <v>696</v>
      </c>
      <c r="B536" s="127" t="s">
        <v>16</v>
      </c>
      <c r="C536" s="129" t="s">
        <v>12</v>
      </c>
      <c r="D536" s="62" t="s">
        <v>13</v>
      </c>
      <c r="E536" s="106" t="s">
        <v>43</v>
      </c>
      <c r="F536" s="106" t="s">
        <v>19</v>
      </c>
      <c r="G536" s="107">
        <v>343167</v>
      </c>
      <c r="H536" s="129" t="s">
        <v>9</v>
      </c>
      <c r="I536" s="106" t="s">
        <v>8</v>
      </c>
      <c r="J536" s="106" t="s">
        <v>15</v>
      </c>
      <c r="K536" s="106" t="s">
        <v>141</v>
      </c>
      <c r="L536" s="106" t="s">
        <v>140</v>
      </c>
      <c r="M536" s="106" t="s">
        <v>141</v>
      </c>
      <c r="N536" s="106" t="s">
        <v>170</v>
      </c>
      <c r="O536" s="106" t="s">
        <v>171</v>
      </c>
      <c r="P536" s="106" t="s">
        <v>132</v>
      </c>
      <c r="Q536" s="51" t="s">
        <v>132</v>
      </c>
      <c r="R536" s="106"/>
      <c r="S536" s="105">
        <v>112</v>
      </c>
      <c r="T536" s="50" t="s">
        <v>135</v>
      </c>
      <c r="U536" s="46" t="s">
        <v>137</v>
      </c>
      <c r="V536" s="105" t="s">
        <v>160</v>
      </c>
      <c r="W536" s="106" t="s">
        <v>147</v>
      </c>
      <c r="X536" s="106" t="s">
        <v>147</v>
      </c>
      <c r="Y536" s="106" t="s">
        <v>138</v>
      </c>
      <c r="Z536" s="106" t="s">
        <v>147</v>
      </c>
      <c r="AA536" s="106" t="s">
        <v>138</v>
      </c>
    </row>
    <row r="537" spans="1:27" ht="12.95" customHeight="1">
      <c r="A537" s="43">
        <v>740</v>
      </c>
      <c r="B537" s="127" t="s">
        <v>16</v>
      </c>
      <c r="C537" s="129" t="s">
        <v>12</v>
      </c>
      <c r="D537" s="43" t="s">
        <v>19</v>
      </c>
      <c r="E537" s="106" t="s">
        <v>43</v>
      </c>
      <c r="F537" s="106" t="s">
        <v>20</v>
      </c>
      <c r="G537" s="107">
        <v>182813</v>
      </c>
      <c r="H537" s="43" t="s">
        <v>26</v>
      </c>
      <c r="I537" s="106" t="s">
        <v>8</v>
      </c>
      <c r="J537" s="106" t="s">
        <v>22</v>
      </c>
      <c r="K537" s="106" t="s">
        <v>141</v>
      </c>
      <c r="L537" s="106" t="s">
        <v>123</v>
      </c>
      <c r="M537" s="106" t="s">
        <v>134</v>
      </c>
      <c r="N537" s="106" t="s">
        <v>153</v>
      </c>
      <c r="O537" s="106" t="s">
        <v>153</v>
      </c>
      <c r="P537" s="106" t="s">
        <v>132</v>
      </c>
      <c r="Q537" s="51" t="s">
        <v>132</v>
      </c>
      <c r="R537" s="106"/>
      <c r="S537" s="105">
        <v>4</v>
      </c>
      <c r="T537" s="50" t="s">
        <v>139</v>
      </c>
      <c r="U537" s="46" t="s">
        <v>137</v>
      </c>
      <c r="V537" s="105" t="s">
        <v>172</v>
      </c>
      <c r="W537" s="106" t="s">
        <v>147</v>
      </c>
      <c r="X537" s="106" t="s">
        <v>147</v>
      </c>
      <c r="Y537" s="106" t="s">
        <v>131</v>
      </c>
      <c r="Z537" s="106" t="s">
        <v>147</v>
      </c>
      <c r="AA537" s="106" t="s">
        <v>141</v>
      </c>
    </row>
    <row r="538" spans="1:27" ht="12.95" customHeight="1">
      <c r="A538" s="43">
        <v>462</v>
      </c>
      <c r="B538" s="127" t="s">
        <v>16</v>
      </c>
      <c r="C538" s="129" t="s">
        <v>12</v>
      </c>
      <c r="D538" s="43" t="s">
        <v>19</v>
      </c>
      <c r="E538" s="106" t="s">
        <v>43</v>
      </c>
      <c r="F538" s="106" t="s">
        <v>12</v>
      </c>
      <c r="G538" s="107">
        <v>92187851</v>
      </c>
      <c r="H538" s="43" t="s">
        <v>26</v>
      </c>
      <c r="I538" s="106" t="s">
        <v>8</v>
      </c>
      <c r="J538" s="106" t="s">
        <v>15</v>
      </c>
      <c r="K538" s="106" t="s">
        <v>141</v>
      </c>
      <c r="L538" s="106" t="s">
        <v>140</v>
      </c>
      <c r="M538" s="106" t="s">
        <v>140</v>
      </c>
      <c r="N538" s="108">
        <v>45934</v>
      </c>
      <c r="O538" s="106" t="s">
        <v>163</v>
      </c>
      <c r="P538" s="106" t="s">
        <v>132</v>
      </c>
      <c r="Q538" s="51" t="s">
        <v>132</v>
      </c>
      <c r="R538" s="106"/>
      <c r="S538" s="105">
        <v>418</v>
      </c>
      <c r="T538" s="50" t="s">
        <v>132</v>
      </c>
      <c r="U538" s="46" t="s">
        <v>137</v>
      </c>
      <c r="V538" s="105" t="s">
        <v>159</v>
      </c>
      <c r="W538" s="106" t="s">
        <v>147</v>
      </c>
      <c r="X538" s="106" t="s">
        <v>147</v>
      </c>
      <c r="Y538" s="106" t="s">
        <v>138</v>
      </c>
      <c r="Z538" s="106" t="s">
        <v>147</v>
      </c>
      <c r="AA538" s="106" t="s">
        <v>140</v>
      </c>
    </row>
    <row r="539" spans="1:27" ht="12.95" customHeight="1">
      <c r="A539" s="43">
        <v>581</v>
      </c>
      <c r="B539" s="116" t="s">
        <v>16</v>
      </c>
      <c r="C539" s="115" t="s">
        <v>12</v>
      </c>
      <c r="D539" s="43" t="s">
        <v>19</v>
      </c>
      <c r="E539" s="44" t="s">
        <v>65</v>
      </c>
      <c r="F539" s="117" t="s">
        <v>3</v>
      </c>
      <c r="G539" s="115">
        <v>510295</v>
      </c>
      <c r="H539" s="115" t="s">
        <v>17</v>
      </c>
      <c r="I539" s="117" t="s">
        <v>7</v>
      </c>
      <c r="J539" s="117" t="s">
        <v>4</v>
      </c>
      <c r="K539" s="118" t="s">
        <v>134</v>
      </c>
      <c r="L539" s="118" t="s">
        <v>134</v>
      </c>
      <c r="M539" s="117" t="s">
        <v>138</v>
      </c>
      <c r="N539" s="122">
        <v>46170</v>
      </c>
      <c r="O539" s="123">
        <v>46170</v>
      </c>
      <c r="P539" s="117"/>
      <c r="Q539" s="117" t="s">
        <v>132</v>
      </c>
      <c r="R539" s="116">
        <v>61</v>
      </c>
      <c r="S539" s="124">
        <v>0</v>
      </c>
      <c r="T539" s="50" t="s">
        <v>139</v>
      </c>
      <c r="U539" s="46" t="s">
        <v>137</v>
      </c>
      <c r="V539" s="115"/>
      <c r="W539" s="117"/>
      <c r="X539" s="117"/>
      <c r="Y539" s="117"/>
      <c r="Z539" s="117"/>
      <c r="AA539" s="117"/>
    </row>
    <row r="540" spans="1:27" ht="12.95" customHeight="1">
      <c r="A540" s="43">
        <v>318</v>
      </c>
      <c r="B540" s="116" t="s">
        <v>16</v>
      </c>
      <c r="C540" s="115" t="s">
        <v>12</v>
      </c>
      <c r="D540" s="43" t="s">
        <v>19</v>
      </c>
      <c r="E540" s="44" t="s">
        <v>65</v>
      </c>
      <c r="F540" s="119" t="s">
        <v>13</v>
      </c>
      <c r="G540" s="115">
        <v>407575</v>
      </c>
      <c r="H540" s="115" t="s">
        <v>26</v>
      </c>
      <c r="I540" s="117" t="s">
        <v>7</v>
      </c>
      <c r="J540" s="117" t="s">
        <v>4</v>
      </c>
      <c r="K540" s="118" t="s">
        <v>134</v>
      </c>
      <c r="L540" s="118" t="s">
        <v>134</v>
      </c>
      <c r="M540" s="117" t="s">
        <v>135</v>
      </c>
      <c r="N540" s="122" t="s">
        <v>135</v>
      </c>
      <c r="O540" s="115"/>
      <c r="P540" s="117"/>
      <c r="Q540" s="117" t="s">
        <v>138</v>
      </c>
      <c r="R540" s="116">
        <v>74</v>
      </c>
      <c r="S540" s="124"/>
      <c r="T540" s="50" t="s">
        <v>139</v>
      </c>
      <c r="U540" s="117" t="s">
        <v>135</v>
      </c>
      <c r="V540" s="115"/>
      <c r="W540" s="117"/>
      <c r="X540" s="117"/>
      <c r="Y540" s="117"/>
      <c r="Z540" s="117"/>
      <c r="AA540" s="117"/>
    </row>
    <row r="541" spans="1:27" ht="12.95" customHeight="1">
      <c r="A541" s="43">
        <v>367</v>
      </c>
      <c r="B541" s="116" t="s">
        <v>16</v>
      </c>
      <c r="C541" s="115" t="s">
        <v>12</v>
      </c>
      <c r="D541" s="43" t="s">
        <v>19</v>
      </c>
      <c r="E541" s="117" t="s">
        <v>43</v>
      </c>
      <c r="F541" s="119" t="s">
        <v>6</v>
      </c>
      <c r="G541" s="115">
        <v>382097</v>
      </c>
      <c r="H541" s="115" t="s">
        <v>26</v>
      </c>
      <c r="I541" s="117" t="s">
        <v>7</v>
      </c>
      <c r="J541" s="117" t="s">
        <v>4</v>
      </c>
      <c r="K541" s="118" t="s">
        <v>134</v>
      </c>
      <c r="L541" s="118" t="s">
        <v>134</v>
      </c>
      <c r="M541" s="117" t="s">
        <v>141</v>
      </c>
      <c r="N541" s="122">
        <v>45897</v>
      </c>
      <c r="O541" s="123">
        <v>45897</v>
      </c>
      <c r="P541" s="117"/>
      <c r="Q541" s="117" t="s">
        <v>132</v>
      </c>
      <c r="R541" s="116">
        <v>61</v>
      </c>
      <c r="S541" s="124">
        <v>229</v>
      </c>
      <c r="T541" s="50" t="s">
        <v>135</v>
      </c>
      <c r="U541" s="46" t="s">
        <v>137</v>
      </c>
      <c r="V541" s="115"/>
      <c r="W541" s="117"/>
      <c r="X541" s="117"/>
      <c r="Y541" s="117"/>
      <c r="Z541" s="117"/>
      <c r="AA541" s="117"/>
    </row>
    <row r="542" spans="1:27" ht="12.95" customHeight="1">
      <c r="A542" s="43">
        <v>373</v>
      </c>
      <c r="B542" s="116" t="s">
        <v>16</v>
      </c>
      <c r="C542" s="115" t="s">
        <v>12</v>
      </c>
      <c r="D542" s="43" t="s">
        <v>19</v>
      </c>
      <c r="E542" s="44" t="s">
        <v>65</v>
      </c>
      <c r="F542" s="119" t="s">
        <v>13</v>
      </c>
      <c r="G542" s="115">
        <v>236534</v>
      </c>
      <c r="H542" s="115" t="s">
        <v>26</v>
      </c>
      <c r="I542" s="117" t="s">
        <v>7</v>
      </c>
      <c r="J542" s="117" t="s">
        <v>4</v>
      </c>
      <c r="K542" s="118" t="s">
        <v>134</v>
      </c>
      <c r="L542" s="118" t="s">
        <v>134</v>
      </c>
      <c r="M542" s="117" t="s">
        <v>135</v>
      </c>
      <c r="N542" s="122" t="s">
        <v>135</v>
      </c>
      <c r="O542" s="115"/>
      <c r="P542" s="117"/>
      <c r="Q542" s="117" t="s">
        <v>138</v>
      </c>
      <c r="R542" s="116">
        <v>74</v>
      </c>
      <c r="S542" s="124"/>
      <c r="T542" s="50" t="s">
        <v>139</v>
      </c>
      <c r="U542" s="117" t="s">
        <v>135</v>
      </c>
      <c r="V542" s="115"/>
      <c r="W542" s="117"/>
      <c r="X542" s="117"/>
      <c r="Y542" s="117"/>
      <c r="Z542" s="117"/>
      <c r="AA542" s="117"/>
    </row>
    <row r="543" spans="1:27" ht="12.95" customHeight="1">
      <c r="A543" s="43">
        <v>466</v>
      </c>
      <c r="B543" s="116" t="s">
        <v>16</v>
      </c>
      <c r="C543" s="115" t="s">
        <v>12</v>
      </c>
      <c r="D543" s="43" t="s">
        <v>19</v>
      </c>
      <c r="E543" s="117" t="s">
        <v>43</v>
      </c>
      <c r="F543" s="119" t="s">
        <v>6</v>
      </c>
      <c r="G543" s="115">
        <v>433037</v>
      </c>
      <c r="H543" s="115" t="s">
        <v>26</v>
      </c>
      <c r="I543" s="117" t="s">
        <v>7</v>
      </c>
      <c r="J543" s="117" t="s">
        <v>4</v>
      </c>
      <c r="K543" s="118" t="s">
        <v>134</v>
      </c>
      <c r="L543" s="118" t="s">
        <v>134</v>
      </c>
      <c r="M543" s="117" t="s">
        <v>141</v>
      </c>
      <c r="N543" s="122" t="s">
        <v>143</v>
      </c>
      <c r="O543" s="115"/>
      <c r="P543" s="117"/>
      <c r="Q543" s="117" t="s">
        <v>143</v>
      </c>
      <c r="R543" s="116">
        <v>46</v>
      </c>
      <c r="S543" s="124"/>
      <c r="T543" s="50" t="s">
        <v>139</v>
      </c>
      <c r="U543" s="117" t="s">
        <v>131</v>
      </c>
      <c r="V543" s="115"/>
      <c r="W543" s="117"/>
      <c r="X543" s="117" t="s">
        <v>123</v>
      </c>
      <c r="Y543" s="117"/>
      <c r="Z543" s="117"/>
      <c r="AA543" s="117"/>
    </row>
    <row r="544" spans="1:27" ht="12.95" customHeight="1">
      <c r="A544" s="43">
        <v>641</v>
      </c>
      <c r="B544" s="116" t="s">
        <v>16</v>
      </c>
      <c r="C544" s="115" t="s">
        <v>12</v>
      </c>
      <c r="D544" s="43" t="s">
        <v>19</v>
      </c>
      <c r="E544" s="44" t="s">
        <v>65</v>
      </c>
      <c r="F544" s="119" t="s">
        <v>20</v>
      </c>
      <c r="G544" s="115">
        <v>425741</v>
      </c>
      <c r="H544" s="115" t="s">
        <v>41</v>
      </c>
      <c r="I544" s="117" t="s">
        <v>9</v>
      </c>
      <c r="J544" s="117" t="s">
        <v>43</v>
      </c>
      <c r="K544" s="118" t="s">
        <v>134</v>
      </c>
      <c r="L544" s="118" t="s">
        <v>134</v>
      </c>
      <c r="M544" s="117" t="s">
        <v>131</v>
      </c>
      <c r="N544" s="122" t="s">
        <v>135</v>
      </c>
      <c r="O544" s="115"/>
      <c r="P544" s="117"/>
      <c r="Q544" s="117" t="s">
        <v>127</v>
      </c>
      <c r="R544" s="116">
        <v>40</v>
      </c>
      <c r="S544" s="124"/>
      <c r="T544" s="50" t="s">
        <v>139</v>
      </c>
      <c r="U544" s="117" t="s">
        <v>135</v>
      </c>
      <c r="V544" s="115"/>
      <c r="W544" s="117"/>
      <c r="X544" s="117"/>
      <c r="Y544" s="117"/>
      <c r="Z544" s="117"/>
      <c r="AA544" s="117"/>
    </row>
    <row r="545" spans="1:27" ht="12.95" customHeight="1">
      <c r="A545" s="43">
        <v>441</v>
      </c>
      <c r="B545" s="116" t="s">
        <v>16</v>
      </c>
      <c r="C545" s="115" t="s">
        <v>12</v>
      </c>
      <c r="D545" s="43" t="s">
        <v>19</v>
      </c>
      <c r="E545" s="44" t="s">
        <v>65</v>
      </c>
      <c r="F545" s="119" t="s">
        <v>20</v>
      </c>
      <c r="G545" s="115">
        <v>334770</v>
      </c>
      <c r="H545" s="115" t="s">
        <v>41</v>
      </c>
      <c r="I545" s="117" t="s">
        <v>9</v>
      </c>
      <c r="J545" s="117" t="s">
        <v>43</v>
      </c>
      <c r="K545" s="118" t="s">
        <v>134</v>
      </c>
      <c r="L545" s="118" t="s">
        <v>134</v>
      </c>
      <c r="M545" s="117" t="s">
        <v>131</v>
      </c>
      <c r="N545" s="122" t="s">
        <v>135</v>
      </c>
      <c r="O545" s="115"/>
      <c r="P545" s="117"/>
      <c r="Q545" s="117" t="s">
        <v>127</v>
      </c>
      <c r="R545" s="116">
        <v>40</v>
      </c>
      <c r="S545" s="124"/>
      <c r="T545" s="50" t="s">
        <v>139</v>
      </c>
      <c r="U545" s="117" t="s">
        <v>135</v>
      </c>
      <c r="V545" s="115"/>
      <c r="W545" s="117"/>
      <c r="X545" s="117"/>
      <c r="Y545" s="117"/>
      <c r="Z545" s="117"/>
      <c r="AA545" s="117"/>
    </row>
    <row r="546" spans="1:27" ht="12.95" customHeight="1">
      <c r="A546" s="43">
        <v>627</v>
      </c>
      <c r="B546" s="116" t="s">
        <v>16</v>
      </c>
      <c r="C546" s="115" t="s">
        <v>12</v>
      </c>
      <c r="D546" s="43" t="s">
        <v>19</v>
      </c>
      <c r="E546" s="117" t="s">
        <v>43</v>
      </c>
      <c r="F546" s="119" t="s">
        <v>26</v>
      </c>
      <c r="G546" s="115">
        <v>414635</v>
      </c>
      <c r="H546" s="115" t="s">
        <v>26</v>
      </c>
      <c r="I546" s="117" t="s">
        <v>7</v>
      </c>
      <c r="J546" s="117" t="s">
        <v>8</v>
      </c>
      <c r="K546" s="118" t="s">
        <v>131</v>
      </c>
      <c r="L546" s="117" t="s">
        <v>131</v>
      </c>
      <c r="M546" s="117" t="s">
        <v>140</v>
      </c>
      <c r="N546" s="122">
        <v>46141</v>
      </c>
      <c r="O546" s="123">
        <v>46141</v>
      </c>
      <c r="P546" s="117"/>
      <c r="Q546" s="117" t="s">
        <v>132</v>
      </c>
      <c r="R546" s="116">
        <v>61</v>
      </c>
      <c r="S546" s="124">
        <v>107</v>
      </c>
      <c r="T546" s="50" t="s">
        <v>140</v>
      </c>
      <c r="U546" s="117" t="s">
        <v>131</v>
      </c>
      <c r="V546" s="115"/>
      <c r="W546" s="117"/>
      <c r="X546" s="117" t="s">
        <v>136</v>
      </c>
      <c r="Y546" s="117"/>
      <c r="Z546" s="117"/>
      <c r="AA546" s="117"/>
    </row>
    <row r="547" spans="1:27" ht="12.95" customHeight="1">
      <c r="A547" s="43">
        <v>404</v>
      </c>
      <c r="B547" s="116" t="s">
        <v>16</v>
      </c>
      <c r="C547" s="115" t="s">
        <v>12</v>
      </c>
      <c r="D547" s="43" t="s">
        <v>19</v>
      </c>
      <c r="E547" s="44" t="s">
        <v>65</v>
      </c>
      <c r="F547" s="119" t="s">
        <v>20</v>
      </c>
      <c r="G547" s="115">
        <v>210907</v>
      </c>
      <c r="H547" s="115" t="s">
        <v>41</v>
      </c>
      <c r="I547" s="117" t="s">
        <v>9</v>
      </c>
      <c r="J547" s="117" t="s">
        <v>43</v>
      </c>
      <c r="K547" s="118" t="s">
        <v>134</v>
      </c>
      <c r="L547" s="118" t="s">
        <v>134</v>
      </c>
      <c r="M547" s="117" t="s">
        <v>131</v>
      </c>
      <c r="N547" s="122" t="s">
        <v>135</v>
      </c>
      <c r="O547" s="115"/>
      <c r="P547" s="117"/>
      <c r="Q547" s="117" t="s">
        <v>127</v>
      </c>
      <c r="R547" s="116">
        <v>40</v>
      </c>
      <c r="S547" s="124"/>
      <c r="T547" s="50" t="s">
        <v>139</v>
      </c>
      <c r="U547" s="117" t="s">
        <v>135</v>
      </c>
      <c r="V547" s="115"/>
      <c r="W547" s="117"/>
      <c r="X547" s="117"/>
      <c r="Y547" s="117"/>
      <c r="Z547" s="117"/>
      <c r="AA547" s="117"/>
    </row>
    <row r="548" spans="1:27" ht="12.95" customHeight="1">
      <c r="A548" s="43">
        <v>509</v>
      </c>
      <c r="B548" s="116" t="s">
        <v>16</v>
      </c>
      <c r="C548" s="115" t="s">
        <v>12</v>
      </c>
      <c r="D548" s="43" t="s">
        <v>19</v>
      </c>
      <c r="E548" s="44" t="s">
        <v>65</v>
      </c>
      <c r="F548" s="119" t="s">
        <v>20</v>
      </c>
      <c r="G548" s="115">
        <v>301814</v>
      </c>
      <c r="H548" s="115" t="s">
        <v>41</v>
      </c>
      <c r="I548" s="117" t="s">
        <v>9</v>
      </c>
      <c r="J548" s="117" t="s">
        <v>43</v>
      </c>
      <c r="K548" s="118" t="s">
        <v>134</v>
      </c>
      <c r="L548" s="118" t="s">
        <v>134</v>
      </c>
      <c r="M548" s="117" t="s">
        <v>131</v>
      </c>
      <c r="N548" s="122" t="s">
        <v>135</v>
      </c>
      <c r="O548" s="115"/>
      <c r="P548" s="117"/>
      <c r="Q548" s="117" t="s">
        <v>127</v>
      </c>
      <c r="R548" s="116">
        <v>40</v>
      </c>
      <c r="S548" s="124"/>
      <c r="T548" s="50" t="s">
        <v>139</v>
      </c>
      <c r="U548" s="117" t="s">
        <v>135</v>
      </c>
      <c r="V548" s="115"/>
      <c r="W548" s="117"/>
      <c r="X548" s="117"/>
      <c r="Y548" s="117"/>
      <c r="Z548" s="117"/>
      <c r="AA548" s="117"/>
    </row>
    <row r="549" spans="1:27" ht="12.95" customHeight="1">
      <c r="A549" s="43">
        <v>532</v>
      </c>
      <c r="B549" s="116" t="s">
        <v>16</v>
      </c>
      <c r="C549" s="115" t="s">
        <v>12</v>
      </c>
      <c r="D549" s="43" t="s">
        <v>19</v>
      </c>
      <c r="E549" s="44" t="s">
        <v>65</v>
      </c>
      <c r="F549" s="119" t="s">
        <v>20</v>
      </c>
      <c r="G549" s="115">
        <v>385448</v>
      </c>
      <c r="H549" s="115" t="s">
        <v>41</v>
      </c>
      <c r="I549" s="117" t="s">
        <v>9</v>
      </c>
      <c r="J549" s="117" t="s">
        <v>43</v>
      </c>
      <c r="K549" s="118" t="s">
        <v>134</v>
      </c>
      <c r="L549" s="118" t="s">
        <v>134</v>
      </c>
      <c r="M549" s="117" t="s">
        <v>131</v>
      </c>
      <c r="N549" s="122" t="s">
        <v>135</v>
      </c>
      <c r="O549" s="115"/>
      <c r="P549" s="117"/>
      <c r="Q549" s="117" t="s">
        <v>127</v>
      </c>
      <c r="R549" s="116">
        <v>40</v>
      </c>
      <c r="S549" s="124"/>
      <c r="T549" s="50" t="s">
        <v>139</v>
      </c>
      <c r="U549" s="117" t="s">
        <v>135</v>
      </c>
      <c r="V549" s="115"/>
      <c r="W549" s="117"/>
      <c r="X549" s="117"/>
      <c r="Y549" s="117"/>
      <c r="Z549" s="117"/>
      <c r="AA549" s="117"/>
    </row>
    <row r="550" spans="1:27" ht="12.95" customHeight="1">
      <c r="A550" s="43">
        <v>791</v>
      </c>
      <c r="B550" s="116" t="s">
        <v>16</v>
      </c>
      <c r="C550" s="115" t="s">
        <v>12</v>
      </c>
      <c r="D550" s="43" t="s">
        <v>19</v>
      </c>
      <c r="E550" s="44" t="s">
        <v>65</v>
      </c>
      <c r="F550" s="119" t="s">
        <v>20</v>
      </c>
      <c r="G550" s="115">
        <v>338175</v>
      </c>
      <c r="H550" s="115" t="s">
        <v>41</v>
      </c>
      <c r="I550" s="117" t="s">
        <v>9</v>
      </c>
      <c r="J550" s="117" t="s">
        <v>43</v>
      </c>
      <c r="K550" s="118" t="s">
        <v>134</v>
      </c>
      <c r="L550" s="118" t="s">
        <v>134</v>
      </c>
      <c r="M550" s="117" t="s">
        <v>131</v>
      </c>
      <c r="N550" s="122" t="s">
        <v>135</v>
      </c>
      <c r="O550" s="115"/>
      <c r="P550" s="117"/>
      <c r="Q550" s="117" t="s">
        <v>127</v>
      </c>
      <c r="R550" s="116">
        <v>40</v>
      </c>
      <c r="S550" s="124"/>
      <c r="T550" s="50" t="s">
        <v>139</v>
      </c>
      <c r="U550" s="117" t="s">
        <v>135</v>
      </c>
      <c r="V550" s="115"/>
      <c r="W550" s="117"/>
      <c r="X550" s="117"/>
      <c r="Y550" s="117"/>
      <c r="Z550" s="117"/>
      <c r="AA550" s="117"/>
    </row>
    <row r="551" spans="1:27" ht="12.95" customHeight="1">
      <c r="A551" s="43">
        <v>325</v>
      </c>
      <c r="B551" s="116" t="s">
        <v>16</v>
      </c>
      <c r="C551" s="115" t="s">
        <v>12</v>
      </c>
      <c r="D551" s="43" t="s">
        <v>19</v>
      </c>
      <c r="E551" s="44" t="s">
        <v>65</v>
      </c>
      <c r="F551" s="119" t="s">
        <v>21</v>
      </c>
      <c r="G551" s="115">
        <v>301810</v>
      </c>
      <c r="H551" s="115" t="s">
        <v>41</v>
      </c>
      <c r="I551" s="117" t="s">
        <v>16</v>
      </c>
      <c r="J551" s="117" t="s">
        <v>16</v>
      </c>
      <c r="K551" s="118" t="s">
        <v>134</v>
      </c>
      <c r="L551" s="118" t="s">
        <v>134</v>
      </c>
      <c r="M551" s="117" t="s">
        <v>137</v>
      </c>
      <c r="N551" s="122" t="s">
        <v>135</v>
      </c>
      <c r="O551" s="115"/>
      <c r="P551" s="117"/>
      <c r="Q551" s="117" t="s">
        <v>127</v>
      </c>
      <c r="R551" s="116">
        <v>40</v>
      </c>
      <c r="S551" s="124"/>
      <c r="T551" s="50" t="s">
        <v>139</v>
      </c>
      <c r="U551" s="117" t="s">
        <v>135</v>
      </c>
      <c r="V551" s="115"/>
      <c r="W551" s="117"/>
      <c r="X551" s="117"/>
      <c r="Y551" s="117"/>
      <c r="Z551" s="117"/>
      <c r="AA551" s="117"/>
    </row>
    <row r="552" spans="1:27" ht="12.95" customHeight="1">
      <c r="A552" s="43">
        <v>380</v>
      </c>
      <c r="B552" s="116" t="s">
        <v>16</v>
      </c>
      <c r="C552" s="115" t="s">
        <v>12</v>
      </c>
      <c r="D552" s="43" t="s">
        <v>19</v>
      </c>
      <c r="E552" s="44" t="s">
        <v>65</v>
      </c>
      <c r="F552" s="119" t="s">
        <v>22</v>
      </c>
      <c r="G552" s="115">
        <v>392715</v>
      </c>
      <c r="H552" s="115" t="s">
        <v>41</v>
      </c>
      <c r="I552" s="117" t="s">
        <v>7</v>
      </c>
      <c r="J552" s="117" t="s">
        <v>13</v>
      </c>
      <c r="K552" s="118" t="s">
        <v>134</v>
      </c>
      <c r="L552" s="118" t="s">
        <v>134</v>
      </c>
      <c r="M552" s="117" t="s">
        <v>141</v>
      </c>
      <c r="N552" s="122" t="s">
        <v>135</v>
      </c>
      <c r="O552" s="115"/>
      <c r="P552" s="117"/>
      <c r="Q552" s="117" t="s">
        <v>127</v>
      </c>
      <c r="R552" s="116">
        <v>40</v>
      </c>
      <c r="S552" s="124"/>
      <c r="T552" s="50" t="s">
        <v>139</v>
      </c>
      <c r="U552" s="117" t="s">
        <v>135</v>
      </c>
      <c r="V552" s="115"/>
      <c r="W552" s="117"/>
      <c r="X552" s="117"/>
      <c r="Y552" s="117"/>
      <c r="Z552" s="117"/>
      <c r="AA552" s="117"/>
    </row>
    <row r="553" spans="1:27" ht="12.95" customHeight="1">
      <c r="A553" s="43">
        <v>718</v>
      </c>
      <c r="B553" s="116" t="s">
        <v>16</v>
      </c>
      <c r="C553" s="115" t="s">
        <v>12</v>
      </c>
      <c r="D553" s="43" t="s">
        <v>19</v>
      </c>
      <c r="E553" s="44" t="s">
        <v>65</v>
      </c>
      <c r="F553" s="119" t="s">
        <v>22</v>
      </c>
      <c r="G553" s="115">
        <v>501801</v>
      </c>
      <c r="H553" s="115" t="s">
        <v>41</v>
      </c>
      <c r="I553" s="117" t="s">
        <v>7</v>
      </c>
      <c r="J553" s="117" t="s">
        <v>13</v>
      </c>
      <c r="K553" s="118" t="s">
        <v>134</v>
      </c>
      <c r="L553" s="118" t="s">
        <v>134</v>
      </c>
      <c r="M553" s="117" t="s">
        <v>141</v>
      </c>
      <c r="N553" s="122" t="s">
        <v>135</v>
      </c>
      <c r="O553" s="115"/>
      <c r="P553" s="117"/>
      <c r="Q553" s="117" t="s">
        <v>127</v>
      </c>
      <c r="R553" s="116">
        <v>40</v>
      </c>
      <c r="S553" s="124"/>
      <c r="T553" s="50" t="s">
        <v>139</v>
      </c>
      <c r="U553" s="117" t="s">
        <v>135</v>
      </c>
      <c r="V553" s="115"/>
      <c r="W553" s="117"/>
      <c r="X553" s="117"/>
      <c r="Y553" s="117"/>
      <c r="Z553" s="117"/>
      <c r="AA553" s="117"/>
    </row>
    <row r="554" spans="1:27" ht="12.95" customHeight="1">
      <c r="A554" s="43">
        <v>774</v>
      </c>
      <c r="B554" s="116" t="s">
        <v>16</v>
      </c>
      <c r="C554" s="115" t="s">
        <v>12</v>
      </c>
      <c r="D554" s="43" t="s">
        <v>19</v>
      </c>
      <c r="E554" s="44" t="s">
        <v>65</v>
      </c>
      <c r="F554" s="119" t="s">
        <v>20</v>
      </c>
      <c r="G554" s="115">
        <v>229082</v>
      </c>
      <c r="H554" s="115" t="s">
        <v>41</v>
      </c>
      <c r="I554" s="117" t="s">
        <v>9</v>
      </c>
      <c r="J554" s="117" t="s">
        <v>43</v>
      </c>
      <c r="K554" s="118" t="s">
        <v>134</v>
      </c>
      <c r="L554" s="118" t="s">
        <v>134</v>
      </c>
      <c r="M554" s="117" t="s">
        <v>131</v>
      </c>
      <c r="N554" s="122" t="s">
        <v>135</v>
      </c>
      <c r="O554" s="115"/>
      <c r="P554" s="117"/>
      <c r="Q554" s="117" t="s">
        <v>127</v>
      </c>
      <c r="R554" s="116">
        <v>40</v>
      </c>
      <c r="S554" s="124"/>
      <c r="T554" s="50" t="s">
        <v>139</v>
      </c>
      <c r="U554" s="117" t="s">
        <v>135</v>
      </c>
      <c r="V554" s="115"/>
      <c r="W554" s="117"/>
      <c r="X554" s="117"/>
      <c r="Y554" s="117"/>
      <c r="Z554" s="117"/>
      <c r="AA554" s="117"/>
    </row>
    <row r="555" spans="1:27" ht="12.95" customHeight="1">
      <c r="A555" s="43">
        <v>526</v>
      </c>
      <c r="B555" s="116" t="s">
        <v>16</v>
      </c>
      <c r="C555" s="115" t="s">
        <v>12</v>
      </c>
      <c r="D555" s="43" t="s">
        <v>19</v>
      </c>
      <c r="E555" s="44" t="s">
        <v>65</v>
      </c>
      <c r="F555" s="119" t="s">
        <v>20</v>
      </c>
      <c r="G555" s="115">
        <v>403620</v>
      </c>
      <c r="H555" s="115" t="s">
        <v>41</v>
      </c>
      <c r="I555" s="117" t="s">
        <v>9</v>
      </c>
      <c r="J555" s="117" t="s">
        <v>43</v>
      </c>
      <c r="K555" s="118" t="s">
        <v>134</v>
      </c>
      <c r="L555" s="118" t="s">
        <v>134</v>
      </c>
      <c r="M555" s="117" t="s">
        <v>131</v>
      </c>
      <c r="N555" s="122" t="s">
        <v>135</v>
      </c>
      <c r="O555" s="115"/>
      <c r="P555" s="117"/>
      <c r="Q555" s="117" t="s">
        <v>127</v>
      </c>
      <c r="R555" s="116">
        <v>40</v>
      </c>
      <c r="S555" s="124"/>
      <c r="T555" s="50" t="s">
        <v>139</v>
      </c>
      <c r="U555" s="117" t="s">
        <v>135</v>
      </c>
      <c r="V555" s="115"/>
      <c r="W555" s="117"/>
      <c r="X555" s="117"/>
      <c r="Y555" s="117"/>
      <c r="Z555" s="117"/>
      <c r="AA555" s="117"/>
    </row>
    <row r="556" spans="1:27" ht="12.95" customHeight="1">
      <c r="A556" s="43">
        <v>305</v>
      </c>
      <c r="B556" s="116" t="s">
        <v>16</v>
      </c>
      <c r="C556" s="115" t="s">
        <v>12</v>
      </c>
      <c r="D556" s="43" t="s">
        <v>19</v>
      </c>
      <c r="E556" s="44" t="s">
        <v>65</v>
      </c>
      <c r="F556" s="119" t="s">
        <v>20</v>
      </c>
      <c r="G556" s="115">
        <v>523614</v>
      </c>
      <c r="H556" s="115" t="s">
        <v>41</v>
      </c>
      <c r="I556" s="117" t="s">
        <v>9</v>
      </c>
      <c r="J556" s="117" t="s">
        <v>43</v>
      </c>
      <c r="K556" s="118" t="s">
        <v>134</v>
      </c>
      <c r="L556" s="118" t="s">
        <v>134</v>
      </c>
      <c r="M556" s="117" t="s">
        <v>131</v>
      </c>
      <c r="N556" s="122" t="s">
        <v>135</v>
      </c>
      <c r="O556" s="115"/>
      <c r="P556" s="117"/>
      <c r="Q556" s="117" t="s">
        <v>127</v>
      </c>
      <c r="R556" s="116">
        <v>40</v>
      </c>
      <c r="S556" s="124"/>
      <c r="T556" s="50" t="s">
        <v>139</v>
      </c>
      <c r="U556" s="117" t="s">
        <v>135</v>
      </c>
      <c r="V556" s="115"/>
      <c r="W556" s="117"/>
      <c r="X556" s="117"/>
      <c r="Y556" s="117"/>
      <c r="Z556" s="117"/>
      <c r="AA556" s="117"/>
    </row>
    <row r="557" spans="1:27" ht="12.95" customHeight="1">
      <c r="A557" s="43">
        <v>662</v>
      </c>
      <c r="B557" s="116" t="s">
        <v>16</v>
      </c>
      <c r="C557" s="115" t="s">
        <v>12</v>
      </c>
      <c r="D557" s="43" t="s">
        <v>19</v>
      </c>
      <c r="E557" s="44" t="s">
        <v>65</v>
      </c>
      <c r="F557" s="119" t="s">
        <v>20</v>
      </c>
      <c r="G557" s="115">
        <v>229081</v>
      </c>
      <c r="H557" s="115" t="s">
        <v>41</v>
      </c>
      <c r="I557" s="117" t="s">
        <v>9</v>
      </c>
      <c r="J557" s="117" t="s">
        <v>43</v>
      </c>
      <c r="K557" s="118" t="s">
        <v>134</v>
      </c>
      <c r="L557" s="118" t="s">
        <v>134</v>
      </c>
      <c r="M557" s="117" t="s">
        <v>131</v>
      </c>
      <c r="N557" s="122" t="s">
        <v>135</v>
      </c>
      <c r="O557" s="115"/>
      <c r="P557" s="117"/>
      <c r="Q557" s="117" t="s">
        <v>127</v>
      </c>
      <c r="R557" s="116">
        <v>40</v>
      </c>
      <c r="S557" s="124"/>
      <c r="T557" s="50" t="s">
        <v>139</v>
      </c>
      <c r="U557" s="117" t="s">
        <v>135</v>
      </c>
      <c r="V557" s="115"/>
      <c r="W557" s="117"/>
      <c r="X557" s="117"/>
      <c r="Y557" s="117"/>
      <c r="Z557" s="117"/>
      <c r="AA557" s="117"/>
    </row>
    <row r="558" spans="1:27" ht="12.95" customHeight="1">
      <c r="A558" s="43">
        <v>412</v>
      </c>
      <c r="B558" s="116" t="s">
        <v>16</v>
      </c>
      <c r="C558" s="115" t="s">
        <v>12</v>
      </c>
      <c r="D558" s="43" t="s">
        <v>19</v>
      </c>
      <c r="E558" s="44" t="s">
        <v>65</v>
      </c>
      <c r="F558" s="119" t="s">
        <v>20</v>
      </c>
      <c r="G558" s="115">
        <v>207263</v>
      </c>
      <c r="H558" s="115" t="s">
        <v>41</v>
      </c>
      <c r="I558" s="117" t="s">
        <v>9</v>
      </c>
      <c r="J558" s="117" t="s">
        <v>43</v>
      </c>
      <c r="K558" s="118" t="s">
        <v>134</v>
      </c>
      <c r="L558" s="118" t="s">
        <v>134</v>
      </c>
      <c r="M558" s="117" t="s">
        <v>131</v>
      </c>
      <c r="N558" s="122" t="s">
        <v>135</v>
      </c>
      <c r="O558" s="115"/>
      <c r="P558" s="117"/>
      <c r="Q558" s="117" t="s">
        <v>127</v>
      </c>
      <c r="R558" s="116">
        <v>40</v>
      </c>
      <c r="S558" s="124"/>
      <c r="T558" s="50" t="s">
        <v>139</v>
      </c>
      <c r="U558" s="117" t="s">
        <v>135</v>
      </c>
      <c r="V558" s="115"/>
      <c r="W558" s="117"/>
      <c r="X558" s="117"/>
      <c r="Y558" s="117"/>
      <c r="Z558" s="117"/>
      <c r="AA558" s="117"/>
    </row>
    <row r="559" spans="1:27" ht="12.95" customHeight="1">
      <c r="A559" s="43">
        <v>675</v>
      </c>
      <c r="B559" s="116" t="s">
        <v>16</v>
      </c>
      <c r="C559" s="115" t="s">
        <v>12</v>
      </c>
      <c r="D559" s="43" t="s">
        <v>19</v>
      </c>
      <c r="E559" s="44" t="s">
        <v>65</v>
      </c>
      <c r="F559" s="119" t="s">
        <v>20</v>
      </c>
      <c r="G559" s="115">
        <v>436342</v>
      </c>
      <c r="H559" s="115" t="s">
        <v>41</v>
      </c>
      <c r="I559" s="117" t="s">
        <v>9</v>
      </c>
      <c r="J559" s="117" t="s">
        <v>43</v>
      </c>
      <c r="K559" s="118" t="s">
        <v>134</v>
      </c>
      <c r="L559" s="118" t="s">
        <v>134</v>
      </c>
      <c r="M559" s="117" t="s">
        <v>131</v>
      </c>
      <c r="N559" s="122" t="s">
        <v>135</v>
      </c>
      <c r="O559" s="115"/>
      <c r="P559" s="117"/>
      <c r="Q559" s="117" t="s">
        <v>127</v>
      </c>
      <c r="R559" s="116">
        <v>40</v>
      </c>
      <c r="S559" s="124"/>
      <c r="T559" s="50" t="s">
        <v>139</v>
      </c>
      <c r="U559" s="117" t="s">
        <v>135</v>
      </c>
      <c r="V559" s="115"/>
      <c r="W559" s="117"/>
      <c r="X559" s="117"/>
      <c r="Y559" s="117"/>
      <c r="Z559" s="117"/>
      <c r="AA559" s="117"/>
    </row>
    <row r="560" spans="1:27" ht="12.95" customHeight="1">
      <c r="A560" s="43">
        <v>766</v>
      </c>
      <c r="B560" s="116" t="s">
        <v>16</v>
      </c>
      <c r="C560" s="115" t="s">
        <v>12</v>
      </c>
      <c r="D560" s="43" t="s">
        <v>19</v>
      </c>
      <c r="E560" s="44" t="s">
        <v>65</v>
      </c>
      <c r="F560" s="119" t="s">
        <v>20</v>
      </c>
      <c r="G560" s="115">
        <v>356345</v>
      </c>
      <c r="H560" s="115" t="s">
        <v>41</v>
      </c>
      <c r="I560" s="117" t="s">
        <v>9</v>
      </c>
      <c r="J560" s="117" t="s">
        <v>43</v>
      </c>
      <c r="K560" s="118" t="s">
        <v>134</v>
      </c>
      <c r="L560" s="118" t="s">
        <v>134</v>
      </c>
      <c r="M560" s="117" t="s">
        <v>131</v>
      </c>
      <c r="N560" s="122" t="s">
        <v>135</v>
      </c>
      <c r="O560" s="115"/>
      <c r="P560" s="117"/>
      <c r="Q560" s="117" t="s">
        <v>127</v>
      </c>
      <c r="R560" s="116">
        <v>40</v>
      </c>
      <c r="S560" s="124"/>
      <c r="T560" s="50" t="s">
        <v>139</v>
      </c>
      <c r="U560" s="117" t="s">
        <v>135</v>
      </c>
      <c r="V560" s="115"/>
      <c r="W560" s="117"/>
      <c r="X560" s="117"/>
      <c r="Y560" s="117"/>
      <c r="Z560" s="117"/>
      <c r="AA560" s="117"/>
    </row>
    <row r="561" spans="1:27" ht="12.95" customHeight="1">
      <c r="A561" s="43">
        <v>386</v>
      </c>
      <c r="B561" s="116" t="s">
        <v>16</v>
      </c>
      <c r="C561" s="115" t="s">
        <v>12</v>
      </c>
      <c r="D561" s="43" t="s">
        <v>19</v>
      </c>
      <c r="E561" s="44" t="s">
        <v>65</v>
      </c>
      <c r="F561" s="119" t="s">
        <v>20</v>
      </c>
      <c r="G561" s="115">
        <v>403614</v>
      </c>
      <c r="H561" s="115" t="s">
        <v>41</v>
      </c>
      <c r="I561" s="117" t="s">
        <v>9</v>
      </c>
      <c r="J561" s="117" t="s">
        <v>43</v>
      </c>
      <c r="K561" s="118" t="s">
        <v>134</v>
      </c>
      <c r="L561" s="118" t="s">
        <v>134</v>
      </c>
      <c r="M561" s="117" t="s">
        <v>131</v>
      </c>
      <c r="N561" s="122" t="s">
        <v>135</v>
      </c>
      <c r="O561" s="115"/>
      <c r="P561" s="117"/>
      <c r="Q561" s="117" t="s">
        <v>127</v>
      </c>
      <c r="R561" s="116">
        <v>40</v>
      </c>
      <c r="S561" s="124"/>
      <c r="T561" s="50" t="s">
        <v>139</v>
      </c>
      <c r="U561" s="117" t="s">
        <v>135</v>
      </c>
      <c r="V561" s="115"/>
      <c r="W561" s="117"/>
      <c r="X561" s="117"/>
      <c r="Y561" s="117"/>
      <c r="Z561" s="117"/>
      <c r="AA561" s="117"/>
    </row>
    <row r="562" spans="1:27" ht="12.95" customHeight="1">
      <c r="A562" s="43">
        <v>729</v>
      </c>
      <c r="B562" s="116" t="s">
        <v>16</v>
      </c>
      <c r="C562" s="115" t="s">
        <v>12</v>
      </c>
      <c r="D562" s="43" t="s">
        <v>19</v>
      </c>
      <c r="E562" s="44" t="s">
        <v>65</v>
      </c>
      <c r="F562" s="119" t="s">
        <v>20</v>
      </c>
      <c r="G562" s="115">
        <v>501789</v>
      </c>
      <c r="H562" s="115" t="s">
        <v>41</v>
      </c>
      <c r="I562" s="117" t="s">
        <v>9</v>
      </c>
      <c r="J562" s="117" t="s">
        <v>43</v>
      </c>
      <c r="K562" s="118" t="s">
        <v>134</v>
      </c>
      <c r="L562" s="118" t="s">
        <v>134</v>
      </c>
      <c r="M562" s="117" t="s">
        <v>131</v>
      </c>
      <c r="N562" s="122" t="s">
        <v>135</v>
      </c>
      <c r="O562" s="115"/>
      <c r="P562" s="117"/>
      <c r="Q562" s="117" t="s">
        <v>127</v>
      </c>
      <c r="R562" s="116">
        <v>40</v>
      </c>
      <c r="S562" s="124"/>
      <c r="T562" s="50" t="s">
        <v>139</v>
      </c>
      <c r="U562" s="117" t="s">
        <v>135</v>
      </c>
      <c r="V562" s="115"/>
      <c r="W562" s="117"/>
      <c r="X562" s="117"/>
      <c r="Y562" s="117"/>
      <c r="Z562" s="117"/>
      <c r="AA562" s="117"/>
    </row>
    <row r="563" spans="1:27" ht="12.95" customHeight="1">
      <c r="A563" s="43">
        <v>568</v>
      </c>
      <c r="B563" s="116" t="s">
        <v>16</v>
      </c>
      <c r="C563" s="115" t="s">
        <v>12</v>
      </c>
      <c r="D563" s="43" t="s">
        <v>19</v>
      </c>
      <c r="E563" s="44" t="s">
        <v>65</v>
      </c>
      <c r="F563" s="119" t="s">
        <v>20</v>
      </c>
      <c r="G563" s="115">
        <v>516332</v>
      </c>
      <c r="H563" s="115" t="s">
        <v>41</v>
      </c>
      <c r="I563" s="117" t="s">
        <v>9</v>
      </c>
      <c r="J563" s="117" t="s">
        <v>43</v>
      </c>
      <c r="K563" s="118" t="s">
        <v>134</v>
      </c>
      <c r="L563" s="118" t="s">
        <v>134</v>
      </c>
      <c r="M563" s="117" t="s">
        <v>131</v>
      </c>
      <c r="N563" s="122" t="s">
        <v>135</v>
      </c>
      <c r="O563" s="115"/>
      <c r="P563" s="117"/>
      <c r="Q563" s="117" t="s">
        <v>127</v>
      </c>
      <c r="R563" s="116">
        <v>40</v>
      </c>
      <c r="S563" s="124"/>
      <c r="T563" s="50" t="s">
        <v>139</v>
      </c>
      <c r="U563" s="117" t="s">
        <v>135</v>
      </c>
      <c r="V563" s="115"/>
      <c r="W563" s="117"/>
      <c r="X563" s="117"/>
      <c r="Y563" s="117"/>
      <c r="Z563" s="117"/>
      <c r="AA563" s="117"/>
    </row>
    <row r="564" spans="1:27" ht="12.95" customHeight="1">
      <c r="A564" s="43">
        <v>681</v>
      </c>
      <c r="B564" s="116" t="s">
        <v>16</v>
      </c>
      <c r="C564" s="115" t="s">
        <v>12</v>
      </c>
      <c r="D564" s="43" t="s">
        <v>19</v>
      </c>
      <c r="E564" s="44" t="s">
        <v>65</v>
      </c>
      <c r="F564" s="119" t="s">
        <v>20</v>
      </c>
      <c r="G564" s="115">
        <v>330888</v>
      </c>
      <c r="H564" s="115" t="s">
        <v>41</v>
      </c>
      <c r="I564" s="117" t="s">
        <v>9</v>
      </c>
      <c r="J564" s="117" t="s">
        <v>43</v>
      </c>
      <c r="K564" s="118" t="s">
        <v>134</v>
      </c>
      <c r="L564" s="118" t="s">
        <v>134</v>
      </c>
      <c r="M564" s="117" t="s">
        <v>131</v>
      </c>
      <c r="N564" s="122" t="s">
        <v>135</v>
      </c>
      <c r="O564" s="115"/>
      <c r="P564" s="117"/>
      <c r="Q564" s="117" t="s">
        <v>127</v>
      </c>
      <c r="R564" s="116">
        <v>40</v>
      </c>
      <c r="S564" s="124"/>
      <c r="T564" s="50" t="s">
        <v>139</v>
      </c>
      <c r="U564" s="117" t="s">
        <v>135</v>
      </c>
      <c r="V564" s="115"/>
      <c r="W564" s="117"/>
      <c r="X564" s="117"/>
      <c r="Y564" s="117"/>
      <c r="Z564" s="117"/>
      <c r="AA564" s="117"/>
    </row>
    <row r="565" spans="1:27" ht="12.95" customHeight="1">
      <c r="A565" s="43">
        <v>462</v>
      </c>
      <c r="B565" s="116" t="s">
        <v>16</v>
      </c>
      <c r="C565" s="115" t="s">
        <v>12</v>
      </c>
      <c r="D565" s="43" t="s">
        <v>19</v>
      </c>
      <c r="E565" s="44" t="s">
        <v>65</v>
      </c>
      <c r="F565" s="119" t="s">
        <v>20</v>
      </c>
      <c r="G565" s="115">
        <v>436334</v>
      </c>
      <c r="H565" s="115" t="s">
        <v>41</v>
      </c>
      <c r="I565" s="117" t="s">
        <v>9</v>
      </c>
      <c r="J565" s="117" t="s">
        <v>43</v>
      </c>
      <c r="K565" s="118" t="s">
        <v>134</v>
      </c>
      <c r="L565" s="118" t="s">
        <v>134</v>
      </c>
      <c r="M565" s="117" t="s">
        <v>131</v>
      </c>
      <c r="N565" s="122" t="s">
        <v>135</v>
      </c>
      <c r="O565" s="115"/>
      <c r="P565" s="117"/>
      <c r="Q565" s="117" t="s">
        <v>127</v>
      </c>
      <c r="R565" s="116">
        <v>40</v>
      </c>
      <c r="S565" s="124"/>
      <c r="T565" s="50" t="s">
        <v>139</v>
      </c>
      <c r="U565" s="117" t="s">
        <v>135</v>
      </c>
      <c r="V565" s="115"/>
      <c r="W565" s="117"/>
      <c r="X565" s="117"/>
      <c r="Y565" s="117"/>
      <c r="Z565" s="117"/>
      <c r="AA565" s="117"/>
    </row>
    <row r="566" spans="1:27" ht="12.95" customHeight="1">
      <c r="A566" s="43">
        <v>678</v>
      </c>
      <c r="B566" s="116" t="s">
        <v>16</v>
      </c>
      <c r="C566" s="115" t="s">
        <v>12</v>
      </c>
      <c r="D566" s="43" t="s">
        <v>19</v>
      </c>
      <c r="E566" s="44" t="s">
        <v>65</v>
      </c>
      <c r="F566" s="119" t="s">
        <v>20</v>
      </c>
      <c r="G566" s="115">
        <v>410880</v>
      </c>
      <c r="H566" s="115" t="s">
        <v>41</v>
      </c>
      <c r="I566" s="117" t="s">
        <v>9</v>
      </c>
      <c r="J566" s="117" t="s">
        <v>43</v>
      </c>
      <c r="K566" s="118" t="s">
        <v>134</v>
      </c>
      <c r="L566" s="118" t="s">
        <v>134</v>
      </c>
      <c r="M566" s="117" t="s">
        <v>131</v>
      </c>
      <c r="N566" s="122" t="s">
        <v>135</v>
      </c>
      <c r="O566" s="115"/>
      <c r="P566" s="117"/>
      <c r="Q566" s="117" t="s">
        <v>127</v>
      </c>
      <c r="R566" s="116">
        <v>40</v>
      </c>
      <c r="S566" s="124"/>
      <c r="T566" s="50" t="s">
        <v>139</v>
      </c>
      <c r="U566" s="117" t="s">
        <v>135</v>
      </c>
      <c r="V566" s="115"/>
      <c r="W566" s="117"/>
      <c r="X566" s="117"/>
      <c r="Y566" s="117"/>
      <c r="Z566" s="117"/>
      <c r="AA566" s="117"/>
    </row>
    <row r="567" spans="1:27" ht="12.95" customHeight="1">
      <c r="A567" s="43">
        <v>775</v>
      </c>
      <c r="B567" s="116" t="s">
        <v>16</v>
      </c>
      <c r="C567" s="115" t="s">
        <v>12</v>
      </c>
      <c r="D567" s="43" t="s">
        <v>19</v>
      </c>
      <c r="E567" s="44" t="s">
        <v>65</v>
      </c>
      <c r="F567" s="119" t="s">
        <v>20</v>
      </c>
      <c r="G567" s="115">
        <v>239983</v>
      </c>
      <c r="H567" s="115" t="s">
        <v>41</v>
      </c>
      <c r="I567" s="117" t="s">
        <v>9</v>
      </c>
      <c r="J567" s="117" t="s">
        <v>43</v>
      </c>
      <c r="K567" s="118" t="s">
        <v>134</v>
      </c>
      <c r="L567" s="118" t="s">
        <v>134</v>
      </c>
      <c r="M567" s="117" t="s">
        <v>131</v>
      </c>
      <c r="N567" s="122" t="s">
        <v>135</v>
      </c>
      <c r="O567" s="115"/>
      <c r="P567" s="117"/>
      <c r="Q567" s="117" t="s">
        <v>127</v>
      </c>
      <c r="R567" s="116">
        <v>40</v>
      </c>
      <c r="S567" s="124"/>
      <c r="T567" s="50" t="s">
        <v>139</v>
      </c>
      <c r="U567" s="117" t="s">
        <v>135</v>
      </c>
      <c r="V567" s="115"/>
      <c r="W567" s="117"/>
      <c r="X567" s="117"/>
      <c r="Y567" s="117"/>
      <c r="Z567" s="117"/>
      <c r="AA567" s="117"/>
    </row>
    <row r="568" spans="1:27" ht="12.95" customHeight="1">
      <c r="A568" s="43">
        <v>397</v>
      </c>
      <c r="B568" s="116" t="s">
        <v>16</v>
      </c>
      <c r="C568" s="115" t="s">
        <v>12</v>
      </c>
      <c r="D568" s="43" t="s">
        <v>19</v>
      </c>
      <c r="E568" s="44" t="s">
        <v>65</v>
      </c>
      <c r="F568" s="119" t="s">
        <v>20</v>
      </c>
      <c r="G568" s="115">
        <v>207257</v>
      </c>
      <c r="H568" s="115" t="s">
        <v>41</v>
      </c>
      <c r="I568" s="117" t="s">
        <v>9</v>
      </c>
      <c r="J568" s="117" t="s">
        <v>43</v>
      </c>
      <c r="K568" s="118" t="s">
        <v>134</v>
      </c>
      <c r="L568" s="118" t="s">
        <v>134</v>
      </c>
      <c r="M568" s="117" t="s">
        <v>131</v>
      </c>
      <c r="N568" s="122" t="s">
        <v>135</v>
      </c>
      <c r="O568" s="115"/>
      <c r="P568" s="117"/>
      <c r="Q568" s="117" t="s">
        <v>127</v>
      </c>
      <c r="R568" s="116">
        <v>40</v>
      </c>
      <c r="S568" s="124"/>
      <c r="T568" s="50" t="s">
        <v>139</v>
      </c>
      <c r="U568" s="117" t="s">
        <v>135</v>
      </c>
      <c r="V568" s="115"/>
      <c r="W568" s="117"/>
      <c r="X568" s="117"/>
      <c r="Y568" s="117"/>
      <c r="Z568" s="117"/>
      <c r="AA568" s="117"/>
    </row>
    <row r="569" spans="1:27" ht="12.95" customHeight="1">
      <c r="A569" s="43">
        <v>784</v>
      </c>
      <c r="B569" s="116" t="s">
        <v>16</v>
      </c>
      <c r="C569" s="115" t="s">
        <v>12</v>
      </c>
      <c r="D569" s="43" t="s">
        <v>19</v>
      </c>
      <c r="E569" s="44" t="s">
        <v>65</v>
      </c>
      <c r="F569" s="119" t="s">
        <v>20</v>
      </c>
      <c r="G569" s="115">
        <v>334519</v>
      </c>
      <c r="H569" s="115" t="s">
        <v>41</v>
      </c>
      <c r="I569" s="117" t="s">
        <v>9</v>
      </c>
      <c r="J569" s="117" t="s">
        <v>43</v>
      </c>
      <c r="K569" s="118" t="s">
        <v>134</v>
      </c>
      <c r="L569" s="118" t="s">
        <v>134</v>
      </c>
      <c r="M569" s="117" t="s">
        <v>131</v>
      </c>
      <c r="N569" s="122" t="s">
        <v>135</v>
      </c>
      <c r="O569" s="115"/>
      <c r="P569" s="117"/>
      <c r="Q569" s="117" t="s">
        <v>127</v>
      </c>
      <c r="R569" s="116">
        <v>40</v>
      </c>
      <c r="S569" s="124"/>
      <c r="T569" s="50" t="s">
        <v>139</v>
      </c>
      <c r="U569" s="117" t="s">
        <v>135</v>
      </c>
      <c r="V569" s="115"/>
      <c r="W569" s="117"/>
      <c r="X569" s="117"/>
      <c r="Y569" s="117"/>
      <c r="Z569" s="117"/>
      <c r="AA569" s="117"/>
    </row>
    <row r="570" spans="1:27" ht="12.95" customHeight="1">
      <c r="A570" s="43">
        <v>341</v>
      </c>
      <c r="B570" s="116" t="s">
        <v>16</v>
      </c>
      <c r="C570" s="115" t="s">
        <v>12</v>
      </c>
      <c r="D570" s="43" t="s">
        <v>19</v>
      </c>
      <c r="E570" s="44" t="s">
        <v>65</v>
      </c>
      <c r="F570" s="119" t="s">
        <v>20</v>
      </c>
      <c r="G570" s="115">
        <v>370879</v>
      </c>
      <c r="H570" s="115" t="s">
        <v>41</v>
      </c>
      <c r="I570" s="117" t="s">
        <v>9</v>
      </c>
      <c r="J570" s="117" t="s">
        <v>43</v>
      </c>
      <c r="K570" s="118" t="s">
        <v>134</v>
      </c>
      <c r="L570" s="118" t="s">
        <v>134</v>
      </c>
      <c r="M570" s="117" t="s">
        <v>131</v>
      </c>
      <c r="N570" s="122" t="s">
        <v>135</v>
      </c>
      <c r="O570" s="115"/>
      <c r="P570" s="117"/>
      <c r="Q570" s="117" t="s">
        <v>127</v>
      </c>
      <c r="R570" s="116">
        <v>40</v>
      </c>
      <c r="S570" s="124"/>
      <c r="T570" s="50" t="s">
        <v>139</v>
      </c>
      <c r="U570" s="117" t="s">
        <v>135</v>
      </c>
      <c r="V570" s="115"/>
      <c r="W570" s="117"/>
      <c r="X570" s="117"/>
      <c r="Y570" s="117"/>
      <c r="Z570" s="117"/>
      <c r="AA570" s="117"/>
    </row>
    <row r="571" spans="1:27" ht="12.95" customHeight="1">
      <c r="A571" s="43">
        <v>593</v>
      </c>
      <c r="B571" s="116" t="s">
        <v>16</v>
      </c>
      <c r="C571" s="115" t="s">
        <v>12</v>
      </c>
      <c r="D571" s="43" t="s">
        <v>19</v>
      </c>
      <c r="E571" s="44" t="s">
        <v>65</v>
      </c>
      <c r="F571" s="119" t="s">
        <v>22</v>
      </c>
      <c r="G571" s="115">
        <v>418146</v>
      </c>
      <c r="H571" s="115" t="s">
        <v>41</v>
      </c>
      <c r="I571" s="117" t="s">
        <v>7</v>
      </c>
      <c r="J571" s="117" t="s">
        <v>21</v>
      </c>
      <c r="K571" s="118" t="s">
        <v>127</v>
      </c>
      <c r="L571" s="117" t="s">
        <v>127</v>
      </c>
      <c r="M571" s="117" t="s">
        <v>136</v>
      </c>
      <c r="N571" s="122" t="s">
        <v>135</v>
      </c>
      <c r="O571" s="115"/>
      <c r="P571" s="117"/>
      <c r="Q571" s="117" t="s">
        <v>127</v>
      </c>
      <c r="R571" s="116">
        <v>40</v>
      </c>
      <c r="S571" s="124"/>
      <c r="T571" s="50" t="s">
        <v>139</v>
      </c>
      <c r="U571" s="117" t="s">
        <v>135</v>
      </c>
      <c r="V571" s="115"/>
      <c r="W571" s="117"/>
      <c r="X571" s="117"/>
      <c r="Y571" s="117"/>
      <c r="Z571" s="117"/>
      <c r="AA571" s="117"/>
    </row>
    <row r="572" spans="1:27" ht="12.95" customHeight="1">
      <c r="A572" s="43">
        <v>582</v>
      </c>
      <c r="B572" s="116" t="s">
        <v>16</v>
      </c>
      <c r="C572" s="115" t="s">
        <v>12</v>
      </c>
      <c r="D572" s="43" t="s">
        <v>19</v>
      </c>
      <c r="E572" s="44" t="s">
        <v>65</v>
      </c>
      <c r="F572" s="119" t="s">
        <v>22</v>
      </c>
      <c r="G572" s="115">
        <v>487228</v>
      </c>
      <c r="H572" s="115" t="s">
        <v>41</v>
      </c>
      <c r="I572" s="117" t="s">
        <v>7</v>
      </c>
      <c r="J572" s="117" t="s">
        <v>13</v>
      </c>
      <c r="K572" s="118" t="s">
        <v>134</v>
      </c>
      <c r="L572" s="118" t="s">
        <v>134</v>
      </c>
      <c r="M572" s="117" t="s">
        <v>141</v>
      </c>
      <c r="N572" s="122" t="s">
        <v>135</v>
      </c>
      <c r="O572" s="115"/>
      <c r="P572" s="117"/>
      <c r="Q572" s="117" t="s">
        <v>127</v>
      </c>
      <c r="R572" s="116">
        <v>40</v>
      </c>
      <c r="S572" s="124"/>
      <c r="T572" s="50" t="s">
        <v>139</v>
      </c>
      <c r="U572" s="117" t="s">
        <v>135</v>
      </c>
      <c r="V572" s="115"/>
      <c r="W572" s="117"/>
      <c r="X572" s="117"/>
      <c r="Y572" s="117"/>
      <c r="Z572" s="117"/>
      <c r="AA572" s="117"/>
    </row>
    <row r="573" spans="1:27" ht="12.95" customHeight="1">
      <c r="A573" s="43">
        <v>561</v>
      </c>
      <c r="B573" s="116" t="s">
        <v>16</v>
      </c>
      <c r="C573" s="115" t="s">
        <v>12</v>
      </c>
      <c r="D573" s="43" t="s">
        <v>19</v>
      </c>
      <c r="E573" s="44" t="s">
        <v>65</v>
      </c>
      <c r="F573" s="119" t="s">
        <v>22</v>
      </c>
      <c r="G573" s="115">
        <v>334514</v>
      </c>
      <c r="H573" s="115" t="s">
        <v>41</v>
      </c>
      <c r="I573" s="117" t="s">
        <v>7</v>
      </c>
      <c r="J573" s="117" t="s">
        <v>27</v>
      </c>
      <c r="K573" s="118" t="s">
        <v>132</v>
      </c>
      <c r="L573" s="117" t="s">
        <v>134</v>
      </c>
      <c r="M573" s="117" t="s">
        <v>135</v>
      </c>
      <c r="N573" s="122" t="s">
        <v>135</v>
      </c>
      <c r="O573" s="115"/>
      <c r="P573" s="117"/>
      <c r="Q573" s="117" t="s">
        <v>127</v>
      </c>
      <c r="R573" s="116">
        <v>40</v>
      </c>
      <c r="S573" s="124"/>
      <c r="T573" s="50" t="s">
        <v>139</v>
      </c>
      <c r="U573" s="117" t="s">
        <v>135</v>
      </c>
      <c r="V573" s="115"/>
      <c r="W573" s="117"/>
      <c r="X573" s="117"/>
      <c r="Y573" s="117"/>
      <c r="Z573" s="117"/>
      <c r="AA573" s="117"/>
    </row>
    <row r="574" spans="1:27" ht="12.95" customHeight="1">
      <c r="A574" s="43">
        <v>808</v>
      </c>
      <c r="B574" s="116" t="s">
        <v>16</v>
      </c>
      <c r="C574" s="115" t="s">
        <v>12</v>
      </c>
      <c r="D574" s="43" t="s">
        <v>19</v>
      </c>
      <c r="E574" s="44" t="s">
        <v>65</v>
      </c>
      <c r="F574" s="119" t="s">
        <v>22</v>
      </c>
      <c r="G574" s="115">
        <v>312697</v>
      </c>
      <c r="H574" s="115" t="s">
        <v>41</v>
      </c>
      <c r="I574" s="117" t="s">
        <v>7</v>
      </c>
      <c r="J574" s="117" t="s">
        <v>27</v>
      </c>
      <c r="K574" s="118" t="s">
        <v>138</v>
      </c>
      <c r="L574" s="117" t="s">
        <v>139</v>
      </c>
      <c r="M574" s="117" t="s">
        <v>135</v>
      </c>
      <c r="N574" s="122" t="s">
        <v>135</v>
      </c>
      <c r="O574" s="115"/>
      <c r="P574" s="117"/>
      <c r="Q574" s="117" t="s">
        <v>127</v>
      </c>
      <c r="R574" s="116">
        <v>40</v>
      </c>
      <c r="S574" s="124"/>
      <c r="T574" s="50" t="s">
        <v>139</v>
      </c>
      <c r="U574" s="117" t="s">
        <v>135</v>
      </c>
      <c r="V574" s="115"/>
      <c r="W574" s="117"/>
      <c r="X574" s="117"/>
      <c r="Y574" s="117"/>
      <c r="Z574" s="117"/>
      <c r="AA574" s="117"/>
    </row>
    <row r="575" spans="1:27" ht="12.95" customHeight="1">
      <c r="A575" s="43">
        <v>402</v>
      </c>
      <c r="B575" s="116" t="s">
        <v>16</v>
      </c>
      <c r="C575" s="115" t="s">
        <v>12</v>
      </c>
      <c r="D575" s="43" t="s">
        <v>19</v>
      </c>
      <c r="E575" s="44" t="s">
        <v>65</v>
      </c>
      <c r="F575" s="119" t="s">
        <v>41</v>
      </c>
      <c r="G575" s="115">
        <v>269703</v>
      </c>
      <c r="H575" s="115" t="s">
        <v>17</v>
      </c>
      <c r="I575" s="117" t="s">
        <v>23</v>
      </c>
      <c r="J575" s="117" t="s">
        <v>8</v>
      </c>
      <c r="K575" s="118" t="s">
        <v>141</v>
      </c>
      <c r="L575" s="117" t="s">
        <v>140</v>
      </c>
      <c r="M575" s="117" t="s">
        <v>127</v>
      </c>
      <c r="N575" s="122">
        <v>46170</v>
      </c>
      <c r="O575" s="123">
        <v>46170</v>
      </c>
      <c r="P575" s="117"/>
      <c r="Q575" s="117" t="s">
        <v>132</v>
      </c>
      <c r="R575" s="116">
        <v>61</v>
      </c>
      <c r="S575" s="124">
        <v>0</v>
      </c>
      <c r="T575" s="50" t="s">
        <v>139</v>
      </c>
      <c r="U575" s="46" t="s">
        <v>137</v>
      </c>
      <c r="V575" s="115"/>
      <c r="W575" s="117"/>
      <c r="X575" s="117"/>
      <c r="Y575" s="117"/>
      <c r="Z575" s="117"/>
      <c r="AA575" s="117"/>
    </row>
    <row r="576" spans="1:27" ht="12.95" customHeight="1">
      <c r="A576" s="43">
        <v>632</v>
      </c>
      <c r="B576" s="116" t="s">
        <v>16</v>
      </c>
      <c r="C576" s="115" t="s">
        <v>12</v>
      </c>
      <c r="D576" s="43" t="s">
        <v>19</v>
      </c>
      <c r="E576" s="117" t="s">
        <v>43</v>
      </c>
      <c r="F576" s="119" t="s">
        <v>19</v>
      </c>
      <c r="G576" s="115">
        <v>352082</v>
      </c>
      <c r="H576" s="115" t="s">
        <v>9</v>
      </c>
      <c r="I576" s="117" t="s">
        <v>12</v>
      </c>
      <c r="J576" s="117" t="s">
        <v>12</v>
      </c>
      <c r="K576" s="118" t="s">
        <v>134</v>
      </c>
      <c r="L576" s="118" t="s">
        <v>134</v>
      </c>
      <c r="M576" s="117" t="s">
        <v>141</v>
      </c>
      <c r="N576" s="122">
        <v>46136</v>
      </c>
      <c r="O576" s="123">
        <v>46136</v>
      </c>
      <c r="P576" s="117"/>
      <c r="Q576" s="117" t="s">
        <v>132</v>
      </c>
      <c r="R576" s="116">
        <v>61</v>
      </c>
      <c r="S576" s="124">
        <v>103</v>
      </c>
      <c r="T576" s="50" t="s">
        <v>135</v>
      </c>
      <c r="U576" s="117" t="s">
        <v>131</v>
      </c>
      <c r="V576" s="115"/>
      <c r="W576" s="117"/>
      <c r="X576" s="117" t="s">
        <v>126</v>
      </c>
      <c r="Y576" s="117"/>
      <c r="Z576" s="117"/>
      <c r="AA576" s="117"/>
    </row>
    <row r="577" spans="1:27" ht="12.95" customHeight="1">
      <c r="A577" s="43">
        <v>455</v>
      </c>
      <c r="B577" s="116" t="s">
        <v>16</v>
      </c>
      <c r="C577" s="115" t="s">
        <v>12</v>
      </c>
      <c r="D577" s="43" t="s">
        <v>19</v>
      </c>
      <c r="E577" s="44" t="s">
        <v>65</v>
      </c>
      <c r="F577" s="119" t="s">
        <v>3</v>
      </c>
      <c r="G577" s="115">
        <v>447488</v>
      </c>
      <c r="H577" s="115" t="s">
        <v>26</v>
      </c>
      <c r="I577" s="117" t="s">
        <v>9</v>
      </c>
      <c r="J577" s="117" t="s">
        <v>43</v>
      </c>
      <c r="K577" s="118" t="s">
        <v>134</v>
      </c>
      <c r="L577" s="118" t="s">
        <v>134</v>
      </c>
      <c r="M577" s="117" t="s">
        <v>131</v>
      </c>
      <c r="N577" s="122" t="s">
        <v>143</v>
      </c>
      <c r="O577" s="115"/>
      <c r="P577" s="117"/>
      <c r="Q577" s="117" t="s">
        <v>141</v>
      </c>
      <c r="R577" s="116">
        <v>54</v>
      </c>
      <c r="S577" s="124"/>
      <c r="T577" s="50" t="s">
        <v>139</v>
      </c>
      <c r="U577" s="117" t="s">
        <v>141</v>
      </c>
      <c r="V577" s="115"/>
      <c r="W577" s="117"/>
      <c r="X577" s="117"/>
      <c r="Y577" s="117"/>
      <c r="Z577" s="117"/>
      <c r="AA577" s="117"/>
    </row>
    <row r="578" spans="1:27" ht="12.95" customHeight="1">
      <c r="A578" s="43">
        <v>398</v>
      </c>
      <c r="B578" s="116" t="s">
        <v>16</v>
      </c>
      <c r="C578" s="115" t="s">
        <v>12</v>
      </c>
      <c r="D578" s="43" t="s">
        <v>19</v>
      </c>
      <c r="E578" s="117" t="s">
        <v>43</v>
      </c>
      <c r="F578" s="119" t="s">
        <v>20</v>
      </c>
      <c r="G578" s="115">
        <v>472066</v>
      </c>
      <c r="H578" s="115" t="s">
        <v>42</v>
      </c>
      <c r="I578" s="117" t="s">
        <v>7</v>
      </c>
      <c r="J578" s="117" t="s">
        <v>13</v>
      </c>
      <c r="K578" s="118" t="s">
        <v>134</v>
      </c>
      <c r="L578" s="118" t="s">
        <v>134</v>
      </c>
      <c r="M578" s="117" t="s">
        <v>138</v>
      </c>
      <c r="N578" s="122" t="s">
        <v>135</v>
      </c>
      <c r="O578" s="115"/>
      <c r="P578" s="117"/>
      <c r="Q578" s="117" t="s">
        <v>138</v>
      </c>
      <c r="R578" s="116">
        <v>74</v>
      </c>
      <c r="S578" s="124"/>
      <c r="T578" s="50" t="s">
        <v>139</v>
      </c>
      <c r="U578" s="117" t="s">
        <v>135</v>
      </c>
      <c r="V578" s="115"/>
      <c r="W578" s="117"/>
      <c r="X578" s="117"/>
      <c r="Y578" s="117"/>
      <c r="Z578" s="117"/>
      <c r="AA578" s="117"/>
    </row>
    <row r="579" spans="1:27" ht="12.95" customHeight="1">
      <c r="A579" s="43">
        <v>566</v>
      </c>
      <c r="B579" s="116" t="s">
        <v>16</v>
      </c>
      <c r="C579" s="115" t="s">
        <v>12</v>
      </c>
      <c r="D579" s="43" t="s">
        <v>19</v>
      </c>
      <c r="E579" s="117" t="s">
        <v>43</v>
      </c>
      <c r="F579" s="119" t="s">
        <v>4</v>
      </c>
      <c r="G579" s="115">
        <v>427572</v>
      </c>
      <c r="H579" s="115" t="s">
        <v>9</v>
      </c>
      <c r="I579" s="117" t="s">
        <v>7</v>
      </c>
      <c r="J579" s="117" t="s">
        <v>21</v>
      </c>
      <c r="K579" s="118" t="s">
        <v>140</v>
      </c>
      <c r="L579" s="117" t="s">
        <v>133</v>
      </c>
      <c r="M579" s="117" t="s">
        <v>138</v>
      </c>
      <c r="N579" s="122">
        <v>46036</v>
      </c>
      <c r="O579" s="123">
        <v>46036</v>
      </c>
      <c r="P579" s="117"/>
      <c r="Q579" s="117" t="s">
        <v>132</v>
      </c>
      <c r="R579" s="116">
        <v>61</v>
      </c>
      <c r="S579" s="124">
        <v>116</v>
      </c>
      <c r="T579" s="50" t="s">
        <v>140</v>
      </c>
      <c r="U579" s="46" t="s">
        <v>137</v>
      </c>
      <c r="V579" s="115"/>
      <c r="W579" s="117"/>
      <c r="X579" s="117"/>
      <c r="Y579" s="117"/>
      <c r="Z579" s="117"/>
      <c r="AA579" s="117"/>
    </row>
    <row r="580" spans="1:27" ht="12.95" customHeight="1">
      <c r="A580" s="43">
        <v>828</v>
      </c>
      <c r="B580" s="116" t="s">
        <v>16</v>
      </c>
      <c r="C580" s="115" t="s">
        <v>12</v>
      </c>
      <c r="D580" s="43" t="s">
        <v>19</v>
      </c>
      <c r="E580" s="44" t="s">
        <v>65</v>
      </c>
      <c r="F580" s="119" t="s">
        <v>43</v>
      </c>
      <c r="G580" s="115">
        <v>444361</v>
      </c>
      <c r="H580" s="115" t="s">
        <v>26</v>
      </c>
      <c r="I580" s="117" t="s">
        <v>16</v>
      </c>
      <c r="J580" s="117" t="s">
        <v>16</v>
      </c>
      <c r="K580" s="118" t="s">
        <v>134</v>
      </c>
      <c r="L580" s="118" t="s">
        <v>134</v>
      </c>
      <c r="M580" s="117" t="s">
        <v>131</v>
      </c>
      <c r="N580" s="122">
        <v>46062</v>
      </c>
      <c r="O580" s="123">
        <v>46062</v>
      </c>
      <c r="P580" s="117"/>
      <c r="Q580" s="117" t="s">
        <v>132</v>
      </c>
      <c r="R580" s="116">
        <v>61</v>
      </c>
      <c r="S580" s="124">
        <v>37</v>
      </c>
      <c r="T580" s="50" t="s">
        <v>141</v>
      </c>
      <c r="U580" s="46" t="s">
        <v>137</v>
      </c>
      <c r="V580" s="115"/>
      <c r="W580" s="117"/>
      <c r="X580" s="117"/>
      <c r="Y580" s="117"/>
      <c r="Z580" s="117"/>
      <c r="AA580" s="117"/>
    </row>
    <row r="581" spans="1:27" ht="12.95" customHeight="1">
      <c r="A581" s="43">
        <v>563</v>
      </c>
      <c r="B581" s="116" t="s">
        <v>16</v>
      </c>
      <c r="C581" s="115" t="s">
        <v>12</v>
      </c>
      <c r="D581" s="43" t="s">
        <v>19</v>
      </c>
      <c r="E581" s="117" t="s">
        <v>43</v>
      </c>
      <c r="F581" s="119" t="s">
        <v>17</v>
      </c>
      <c r="G581" s="115">
        <v>180965</v>
      </c>
      <c r="H581" s="115" t="s">
        <v>26</v>
      </c>
      <c r="I581" s="117" t="s">
        <v>9</v>
      </c>
      <c r="J581" s="117" t="s">
        <v>43</v>
      </c>
      <c r="K581" s="118" t="s">
        <v>134</v>
      </c>
      <c r="L581" s="118" t="s">
        <v>134</v>
      </c>
      <c r="M581" s="117" t="s">
        <v>131</v>
      </c>
      <c r="N581" s="122" t="s">
        <v>143</v>
      </c>
      <c r="O581" s="115"/>
      <c r="P581" s="117"/>
      <c r="Q581" s="117" t="s">
        <v>141</v>
      </c>
      <c r="R581" s="116">
        <v>54</v>
      </c>
      <c r="S581" s="124"/>
      <c r="T581" s="50" t="s">
        <v>139</v>
      </c>
      <c r="U581" s="117" t="s">
        <v>141</v>
      </c>
      <c r="V581" s="115"/>
      <c r="W581" s="117"/>
      <c r="X581" s="117"/>
      <c r="Y581" s="117"/>
      <c r="Z581" s="117"/>
      <c r="AA581" s="117"/>
    </row>
    <row r="582" spans="1:27" ht="12.95" customHeight="1">
      <c r="A582" s="43">
        <v>598</v>
      </c>
      <c r="B582" s="116" t="s">
        <v>16</v>
      </c>
      <c r="C582" s="115" t="s">
        <v>12</v>
      </c>
      <c r="D582" s="43" t="s">
        <v>19</v>
      </c>
      <c r="E582" s="44" t="s">
        <v>65</v>
      </c>
      <c r="F582" s="119" t="s">
        <v>42</v>
      </c>
      <c r="G582" s="115">
        <v>317998</v>
      </c>
      <c r="H582" s="115" t="s">
        <v>9</v>
      </c>
      <c r="I582" s="117" t="s">
        <v>7</v>
      </c>
      <c r="J582" s="117" t="s">
        <v>4</v>
      </c>
      <c r="K582" s="118" t="s">
        <v>134</v>
      </c>
      <c r="L582" s="118" t="s">
        <v>134</v>
      </c>
      <c r="M582" s="117" t="s">
        <v>127</v>
      </c>
      <c r="N582" s="122">
        <v>46170</v>
      </c>
      <c r="O582" s="123">
        <v>46170</v>
      </c>
      <c r="P582" s="117"/>
      <c r="Q582" s="117" t="s">
        <v>132</v>
      </c>
      <c r="R582" s="116">
        <v>61</v>
      </c>
      <c r="S582" s="124">
        <v>0</v>
      </c>
      <c r="T582" s="50" t="s">
        <v>139</v>
      </c>
      <c r="U582" s="46" t="s">
        <v>137</v>
      </c>
      <c r="V582" s="115"/>
      <c r="W582" s="117"/>
      <c r="X582" s="117"/>
      <c r="Y582" s="117"/>
      <c r="Z582" s="117"/>
      <c r="AA582" s="117"/>
    </row>
    <row r="583" spans="1:27" ht="12.95" customHeight="1">
      <c r="A583" s="43">
        <v>489</v>
      </c>
      <c r="B583" s="116" t="s">
        <v>16</v>
      </c>
      <c r="C583" s="115" t="s">
        <v>12</v>
      </c>
      <c r="D583" s="43" t="s">
        <v>19</v>
      </c>
      <c r="E583" s="117" t="s">
        <v>43</v>
      </c>
      <c r="F583" s="119" t="s">
        <v>33</v>
      </c>
      <c r="G583" s="115">
        <v>306822</v>
      </c>
      <c r="H583" s="115" t="s">
        <v>26</v>
      </c>
      <c r="I583" s="117" t="s">
        <v>7</v>
      </c>
      <c r="J583" s="117" t="s">
        <v>13</v>
      </c>
      <c r="K583" s="118" t="s">
        <v>140</v>
      </c>
      <c r="L583" s="117" t="s">
        <v>133</v>
      </c>
      <c r="M583" s="117" t="s">
        <v>138</v>
      </c>
      <c r="N583" s="122">
        <v>46036</v>
      </c>
      <c r="O583" s="123">
        <v>46036</v>
      </c>
      <c r="P583" s="117"/>
      <c r="Q583" s="117" t="s">
        <v>127</v>
      </c>
      <c r="R583" s="116">
        <v>40</v>
      </c>
      <c r="S583" s="124">
        <v>120</v>
      </c>
      <c r="T583" s="50" t="s">
        <v>140</v>
      </c>
      <c r="U583" s="46" t="s">
        <v>141</v>
      </c>
      <c r="V583" s="115"/>
      <c r="W583" s="117"/>
      <c r="X583" s="117" t="s">
        <v>133</v>
      </c>
      <c r="Y583" s="117"/>
      <c r="Z583" s="117"/>
      <c r="AA583" s="117"/>
    </row>
    <row r="584" spans="1:27" ht="12.95" customHeight="1">
      <c r="A584" s="43">
        <v>484</v>
      </c>
      <c r="B584" s="116" t="s">
        <v>16</v>
      </c>
      <c r="C584" s="115" t="s">
        <v>12</v>
      </c>
      <c r="D584" s="43" t="s">
        <v>19</v>
      </c>
      <c r="E584" s="117" t="s">
        <v>43</v>
      </c>
      <c r="F584" s="119" t="s">
        <v>28</v>
      </c>
      <c r="G584" s="115">
        <v>79660196</v>
      </c>
      <c r="H584" s="115" t="s">
        <v>26</v>
      </c>
      <c r="I584" s="117" t="s">
        <v>7</v>
      </c>
      <c r="J584" s="117" t="s">
        <v>13</v>
      </c>
      <c r="K584" s="118" t="s">
        <v>134</v>
      </c>
      <c r="L584" s="118" t="s">
        <v>134</v>
      </c>
      <c r="M584" s="117" t="s">
        <v>141</v>
      </c>
      <c r="N584" s="122">
        <v>46036</v>
      </c>
      <c r="O584" s="123">
        <v>46036</v>
      </c>
      <c r="P584" s="117"/>
      <c r="Q584" s="117" t="s">
        <v>132</v>
      </c>
      <c r="R584" s="116">
        <v>61</v>
      </c>
      <c r="S584" s="124">
        <v>116</v>
      </c>
      <c r="T584" s="50" t="s">
        <v>140</v>
      </c>
      <c r="U584" s="46" t="s">
        <v>141</v>
      </c>
      <c r="V584" s="115"/>
      <c r="W584" s="117"/>
      <c r="X584" s="117" t="s">
        <v>134</v>
      </c>
      <c r="Y584" s="117"/>
      <c r="Z584" s="117"/>
      <c r="AA584" s="117"/>
    </row>
    <row r="585" spans="1:27" ht="12.95" customHeight="1">
      <c r="A585" s="43">
        <v>607</v>
      </c>
      <c r="B585" s="116" t="s">
        <v>16</v>
      </c>
      <c r="C585" s="115" t="s">
        <v>12</v>
      </c>
      <c r="D585" s="43" t="s">
        <v>19</v>
      </c>
      <c r="E585" s="44" t="s">
        <v>65</v>
      </c>
      <c r="F585" s="117" t="s">
        <v>33</v>
      </c>
      <c r="G585" s="115">
        <v>412162</v>
      </c>
      <c r="H585" s="115" t="s">
        <v>9</v>
      </c>
      <c r="I585" s="117" t="s">
        <v>7</v>
      </c>
      <c r="J585" s="117" t="s">
        <v>21</v>
      </c>
      <c r="K585" s="118" t="s">
        <v>138</v>
      </c>
      <c r="L585" s="117" t="s">
        <v>123</v>
      </c>
      <c r="M585" s="117" t="s">
        <v>141</v>
      </c>
      <c r="N585" s="122">
        <v>46170</v>
      </c>
      <c r="O585" s="123">
        <v>46170</v>
      </c>
      <c r="P585" s="117"/>
      <c r="Q585" s="117" t="s">
        <v>132</v>
      </c>
      <c r="R585" s="116">
        <v>61</v>
      </c>
      <c r="S585" s="124">
        <v>0</v>
      </c>
      <c r="T585" s="50" t="s">
        <v>139</v>
      </c>
      <c r="U585" s="46" t="s">
        <v>137</v>
      </c>
      <c r="V585" s="115"/>
      <c r="W585" s="117"/>
      <c r="X585" s="117"/>
      <c r="Y585" s="117"/>
      <c r="Z585" s="117"/>
      <c r="AA585" s="117"/>
    </row>
    <row r="586" spans="1:27" ht="12.95" customHeight="1">
      <c r="A586" s="43">
        <v>725</v>
      </c>
      <c r="B586" s="116" t="s">
        <v>16</v>
      </c>
      <c r="C586" s="115" t="s">
        <v>12</v>
      </c>
      <c r="D586" s="43" t="s">
        <v>19</v>
      </c>
      <c r="E586" s="117" t="s">
        <v>43</v>
      </c>
      <c r="F586" s="119" t="s">
        <v>9</v>
      </c>
      <c r="G586" s="115">
        <v>241040</v>
      </c>
      <c r="H586" s="115" t="s">
        <v>26</v>
      </c>
      <c r="I586" s="117" t="s">
        <v>7</v>
      </c>
      <c r="J586" s="117" t="s">
        <v>8</v>
      </c>
      <c r="K586" s="118" t="s">
        <v>131</v>
      </c>
      <c r="L586" s="117" t="s">
        <v>131</v>
      </c>
      <c r="M586" s="117" t="s">
        <v>140</v>
      </c>
      <c r="N586" s="122">
        <v>46141</v>
      </c>
      <c r="O586" s="123">
        <v>46141</v>
      </c>
      <c r="P586" s="117"/>
      <c r="Q586" s="117" t="s">
        <v>132</v>
      </c>
      <c r="R586" s="116">
        <v>61</v>
      </c>
      <c r="S586" s="124">
        <v>107</v>
      </c>
      <c r="T586" s="50" t="s">
        <v>140</v>
      </c>
      <c r="U586" s="46" t="s">
        <v>141</v>
      </c>
      <c r="V586" s="115"/>
      <c r="W586" s="117"/>
      <c r="X586" s="117" t="s">
        <v>127</v>
      </c>
      <c r="Y586" s="117"/>
      <c r="Z586" s="117"/>
      <c r="AA586" s="117"/>
    </row>
    <row r="587" spans="1:27" ht="12.95" customHeight="1">
      <c r="A587" s="43">
        <v>809</v>
      </c>
      <c r="B587" s="116" t="s">
        <v>16</v>
      </c>
      <c r="C587" s="115" t="s">
        <v>12</v>
      </c>
      <c r="D587" s="43" t="s">
        <v>19</v>
      </c>
      <c r="E587" s="117" t="s">
        <v>43</v>
      </c>
      <c r="F587" s="119" t="s">
        <v>19</v>
      </c>
      <c r="G587" s="115">
        <v>381506</v>
      </c>
      <c r="H587" s="115" t="s">
        <v>26</v>
      </c>
      <c r="I587" s="117" t="s">
        <v>7</v>
      </c>
      <c r="J587" s="117" t="s">
        <v>8</v>
      </c>
      <c r="K587" s="118" t="s">
        <v>131</v>
      </c>
      <c r="L587" s="117" t="s">
        <v>131</v>
      </c>
      <c r="M587" s="117" t="s">
        <v>140</v>
      </c>
      <c r="N587" s="122">
        <v>46008</v>
      </c>
      <c r="O587" s="123">
        <v>46008</v>
      </c>
      <c r="P587" s="117"/>
      <c r="Q587" s="117" t="s">
        <v>132</v>
      </c>
      <c r="R587" s="116">
        <v>61</v>
      </c>
      <c r="S587" s="124">
        <v>102</v>
      </c>
      <c r="T587" s="50" t="s">
        <v>135</v>
      </c>
      <c r="U587" s="46" t="s">
        <v>141</v>
      </c>
      <c r="V587" s="115"/>
      <c r="W587" s="117"/>
      <c r="X587" s="117" t="s">
        <v>126</v>
      </c>
      <c r="Y587" s="117"/>
      <c r="Z587" s="117"/>
      <c r="AA587" s="117"/>
    </row>
    <row r="588" spans="1:27" ht="12.95" customHeight="1">
      <c r="A588" s="43">
        <v>810</v>
      </c>
      <c r="B588" s="116" t="s">
        <v>16</v>
      </c>
      <c r="C588" s="115" t="s">
        <v>12</v>
      </c>
      <c r="D588" s="43" t="s">
        <v>19</v>
      </c>
      <c r="E588" s="44" t="s">
        <v>65</v>
      </c>
      <c r="F588" s="119" t="s">
        <v>14</v>
      </c>
      <c r="G588" s="115">
        <v>295593</v>
      </c>
      <c r="H588" s="115" t="s">
        <v>9</v>
      </c>
      <c r="I588" s="117" t="s">
        <v>7</v>
      </c>
      <c r="J588" s="117" t="s">
        <v>4</v>
      </c>
      <c r="K588" s="118" t="s">
        <v>134</v>
      </c>
      <c r="L588" s="118" t="s">
        <v>134</v>
      </c>
      <c r="M588" s="117" t="s">
        <v>139</v>
      </c>
      <c r="N588" s="122">
        <v>46170</v>
      </c>
      <c r="O588" s="123">
        <v>46170</v>
      </c>
      <c r="P588" s="117"/>
      <c r="Q588" s="117" t="s">
        <v>132</v>
      </c>
      <c r="R588" s="116">
        <v>61</v>
      </c>
      <c r="S588" s="124">
        <v>0</v>
      </c>
      <c r="T588" s="50" t="s">
        <v>139</v>
      </c>
      <c r="U588" s="46" t="s">
        <v>137</v>
      </c>
      <c r="V588" s="115"/>
      <c r="W588" s="117"/>
      <c r="X588" s="117"/>
      <c r="Y588" s="117"/>
      <c r="Z588" s="117"/>
      <c r="AA588" s="117"/>
    </row>
    <row r="589" spans="1:27" ht="12.95" customHeight="1">
      <c r="A589" s="43">
        <v>647</v>
      </c>
      <c r="B589" s="116" t="s">
        <v>16</v>
      </c>
      <c r="C589" s="115" t="s">
        <v>12</v>
      </c>
      <c r="D589" s="43" t="s">
        <v>19</v>
      </c>
      <c r="E589" s="44" t="s">
        <v>65</v>
      </c>
      <c r="F589" s="119" t="s">
        <v>14</v>
      </c>
      <c r="G589" s="115">
        <v>241280</v>
      </c>
      <c r="H589" s="115" t="s">
        <v>9</v>
      </c>
      <c r="I589" s="117" t="s">
        <v>7</v>
      </c>
      <c r="J589" s="117" t="s">
        <v>4</v>
      </c>
      <c r="K589" s="118" t="s">
        <v>134</v>
      </c>
      <c r="L589" s="118" t="s">
        <v>134</v>
      </c>
      <c r="M589" s="117" t="s">
        <v>139</v>
      </c>
      <c r="N589" s="122">
        <v>46170</v>
      </c>
      <c r="O589" s="123">
        <v>46170</v>
      </c>
      <c r="P589" s="117"/>
      <c r="Q589" s="117" t="s">
        <v>132</v>
      </c>
      <c r="R589" s="116">
        <v>61</v>
      </c>
      <c r="S589" s="124">
        <v>0</v>
      </c>
      <c r="T589" s="50" t="s">
        <v>139</v>
      </c>
      <c r="U589" s="46" t="s">
        <v>137</v>
      </c>
      <c r="V589" s="115"/>
      <c r="W589" s="117"/>
      <c r="X589" s="117"/>
      <c r="Y589" s="117"/>
      <c r="Z589" s="117"/>
      <c r="AA589" s="117"/>
    </row>
    <row r="590" spans="1:27" ht="12.95" customHeight="1">
      <c r="A590" s="43">
        <v>754</v>
      </c>
      <c r="B590" s="116" t="s">
        <v>16</v>
      </c>
      <c r="C590" s="115" t="s">
        <v>12</v>
      </c>
      <c r="D590" s="43" t="s">
        <v>19</v>
      </c>
      <c r="E590" s="117" t="s">
        <v>43</v>
      </c>
      <c r="F590" s="119" t="s">
        <v>33</v>
      </c>
      <c r="G590" s="115">
        <v>277298</v>
      </c>
      <c r="H590" s="115" t="s">
        <v>9</v>
      </c>
      <c r="I590" s="117" t="s">
        <v>9</v>
      </c>
      <c r="J590" s="117" t="s">
        <v>41</v>
      </c>
      <c r="K590" s="118" t="s">
        <v>131</v>
      </c>
      <c r="L590" s="117" t="s">
        <v>131</v>
      </c>
      <c r="M590" s="117" t="s">
        <v>137</v>
      </c>
      <c r="N590" s="122">
        <v>46098</v>
      </c>
      <c r="O590" s="123">
        <v>46098</v>
      </c>
      <c r="P590" s="117"/>
      <c r="Q590" s="117" t="s">
        <v>132</v>
      </c>
      <c r="R590" s="116">
        <v>61</v>
      </c>
      <c r="S590" s="124">
        <v>30</v>
      </c>
      <c r="T590" s="50" t="s">
        <v>141</v>
      </c>
      <c r="U590" s="117" t="s">
        <v>141</v>
      </c>
      <c r="V590" s="115"/>
      <c r="W590" s="117"/>
      <c r="X590" s="117"/>
      <c r="Y590" s="117"/>
      <c r="Z590" s="117"/>
      <c r="AA590" s="117"/>
    </row>
    <row r="591" spans="1:27" ht="12.95" customHeight="1">
      <c r="A591" s="43">
        <v>608</v>
      </c>
      <c r="B591" s="116" t="s">
        <v>16</v>
      </c>
      <c r="C591" s="115" t="s">
        <v>12</v>
      </c>
      <c r="D591" s="43" t="s">
        <v>19</v>
      </c>
      <c r="E591" s="117" t="s">
        <v>43</v>
      </c>
      <c r="F591" s="119" t="s">
        <v>22</v>
      </c>
      <c r="G591" s="115">
        <v>273743</v>
      </c>
      <c r="H591" s="115" t="s">
        <v>9</v>
      </c>
      <c r="I591" s="117" t="s">
        <v>9</v>
      </c>
      <c r="J591" s="117" t="s">
        <v>43</v>
      </c>
      <c r="K591" s="118" t="s">
        <v>134</v>
      </c>
      <c r="L591" s="118" t="s">
        <v>134</v>
      </c>
      <c r="M591" s="117" t="s">
        <v>131</v>
      </c>
      <c r="N591" s="122" t="s">
        <v>135</v>
      </c>
      <c r="O591" s="115"/>
      <c r="P591" s="117"/>
      <c r="Q591" s="117" t="s">
        <v>141</v>
      </c>
      <c r="R591" s="116">
        <v>54</v>
      </c>
      <c r="S591" s="124"/>
      <c r="T591" s="50" t="s">
        <v>139</v>
      </c>
      <c r="U591" s="117" t="s">
        <v>141</v>
      </c>
      <c r="V591" s="115"/>
      <c r="W591" s="117"/>
      <c r="X591" s="117"/>
      <c r="Y591" s="117"/>
      <c r="Z591" s="117"/>
      <c r="AA591" s="117"/>
    </row>
    <row r="592" spans="1:27" ht="12.95" customHeight="1">
      <c r="A592" s="43">
        <v>526</v>
      </c>
      <c r="B592" s="116" t="s">
        <v>16</v>
      </c>
      <c r="C592" s="115" t="s">
        <v>12</v>
      </c>
      <c r="D592" s="43" t="s">
        <v>19</v>
      </c>
      <c r="E592" s="117" t="s">
        <v>43</v>
      </c>
      <c r="F592" s="119" t="s">
        <v>17</v>
      </c>
      <c r="G592" s="115">
        <v>318764</v>
      </c>
      <c r="H592" s="115" t="s">
        <v>9</v>
      </c>
      <c r="I592" s="117" t="s">
        <v>9</v>
      </c>
      <c r="J592" s="117" t="s">
        <v>43</v>
      </c>
      <c r="K592" s="118" t="s">
        <v>134</v>
      </c>
      <c r="L592" s="118" t="s">
        <v>134</v>
      </c>
      <c r="M592" s="117" t="s">
        <v>131</v>
      </c>
      <c r="N592" s="122" t="s">
        <v>143</v>
      </c>
      <c r="O592" s="115"/>
      <c r="P592" s="117"/>
      <c r="Q592" s="117" t="s">
        <v>141</v>
      </c>
      <c r="R592" s="116">
        <v>54</v>
      </c>
      <c r="S592" s="124"/>
      <c r="T592" s="50" t="s">
        <v>139</v>
      </c>
      <c r="U592" s="117" t="s">
        <v>141</v>
      </c>
      <c r="V592" s="115"/>
      <c r="W592" s="117"/>
      <c r="X592" s="117"/>
      <c r="Y592" s="117"/>
      <c r="Z592" s="117"/>
      <c r="AA592" s="117"/>
    </row>
    <row r="593" spans="1:27" ht="12.95" customHeight="1">
      <c r="A593" s="43">
        <v>521</v>
      </c>
      <c r="B593" s="116" t="s">
        <v>16</v>
      </c>
      <c r="C593" s="115" t="s">
        <v>12</v>
      </c>
      <c r="D593" s="43" t="s">
        <v>19</v>
      </c>
      <c r="E593" s="117" t="s">
        <v>43</v>
      </c>
      <c r="F593" s="119" t="s">
        <v>21</v>
      </c>
      <c r="G593" s="115">
        <v>252488</v>
      </c>
      <c r="H593" s="115" t="s">
        <v>41</v>
      </c>
      <c r="I593" s="117" t="s">
        <v>9</v>
      </c>
      <c r="J593" s="117" t="s">
        <v>43</v>
      </c>
      <c r="K593" s="118" t="s">
        <v>134</v>
      </c>
      <c r="L593" s="118" t="s">
        <v>134</v>
      </c>
      <c r="M593" s="117" t="s">
        <v>131</v>
      </c>
      <c r="N593" s="122" t="s">
        <v>143</v>
      </c>
      <c r="O593" s="115"/>
      <c r="P593" s="117"/>
      <c r="Q593" s="117" t="s">
        <v>141</v>
      </c>
      <c r="R593" s="116">
        <v>54</v>
      </c>
      <c r="S593" s="124"/>
      <c r="T593" s="50" t="s">
        <v>139</v>
      </c>
      <c r="U593" s="117" t="s">
        <v>141</v>
      </c>
      <c r="V593" s="115"/>
      <c r="W593" s="117"/>
      <c r="X593" s="117"/>
      <c r="Y593" s="117"/>
      <c r="Z593" s="117"/>
      <c r="AA593" s="117"/>
    </row>
    <row r="594" spans="1:27" ht="12.95" customHeight="1">
      <c r="A594" s="43">
        <v>842</v>
      </c>
      <c r="B594" s="116" t="s">
        <v>16</v>
      </c>
      <c r="C594" s="115" t="s">
        <v>12</v>
      </c>
      <c r="D594" s="43" t="s">
        <v>19</v>
      </c>
      <c r="E594" s="44" t="s">
        <v>65</v>
      </c>
      <c r="F594" s="117" t="s">
        <v>7</v>
      </c>
      <c r="G594" s="115">
        <v>266156</v>
      </c>
      <c r="H594" s="115" t="s">
        <v>17</v>
      </c>
      <c r="I594" s="117" t="s">
        <v>23</v>
      </c>
      <c r="J594" s="117" t="s">
        <v>8</v>
      </c>
      <c r="K594" s="118" t="s">
        <v>134</v>
      </c>
      <c r="L594" s="118" t="s">
        <v>134</v>
      </c>
      <c r="M594" s="117" t="s">
        <v>138</v>
      </c>
      <c r="N594" s="122">
        <v>46149</v>
      </c>
      <c r="O594" s="123">
        <v>46149</v>
      </c>
      <c r="P594" s="117"/>
      <c r="Q594" s="117" t="s">
        <v>132</v>
      </c>
      <c r="R594" s="116">
        <v>61</v>
      </c>
      <c r="S594" s="124">
        <v>94</v>
      </c>
      <c r="T594" s="50" t="s">
        <v>140</v>
      </c>
      <c r="U594" s="46" t="s">
        <v>137</v>
      </c>
      <c r="V594" s="115"/>
      <c r="W594" s="117"/>
      <c r="X594" s="117"/>
      <c r="Y594" s="117"/>
      <c r="Z594" s="117"/>
      <c r="AA594" s="117"/>
    </row>
    <row r="595" spans="1:27" ht="12.95" customHeight="1">
      <c r="A595" s="43">
        <v>511</v>
      </c>
      <c r="B595" s="116" t="s">
        <v>16</v>
      </c>
      <c r="C595" s="115" t="s">
        <v>12</v>
      </c>
      <c r="D595" s="43" t="s">
        <v>19</v>
      </c>
      <c r="E595" s="117" t="s">
        <v>43</v>
      </c>
      <c r="F595" s="119" t="s">
        <v>29</v>
      </c>
      <c r="G595" s="115">
        <v>280609</v>
      </c>
      <c r="H595" s="115" t="s">
        <v>26</v>
      </c>
      <c r="I595" s="117" t="s">
        <v>23</v>
      </c>
      <c r="J595" s="117" t="s">
        <v>25</v>
      </c>
      <c r="K595" s="118" t="s">
        <v>134</v>
      </c>
      <c r="L595" s="118" t="s">
        <v>134</v>
      </c>
      <c r="M595" s="117" t="s">
        <v>132</v>
      </c>
      <c r="N595" s="122">
        <v>46160</v>
      </c>
      <c r="O595" s="123">
        <v>46160</v>
      </c>
      <c r="P595" s="117"/>
      <c r="Q595" s="117" t="s">
        <v>132</v>
      </c>
      <c r="R595" s="116">
        <v>61</v>
      </c>
      <c r="S595" s="124">
        <v>24</v>
      </c>
      <c r="T595" s="50" t="s">
        <v>139</v>
      </c>
      <c r="U595" s="46" t="s">
        <v>141</v>
      </c>
      <c r="V595" s="115"/>
      <c r="W595" s="117"/>
      <c r="X595" s="117" t="s">
        <v>132</v>
      </c>
      <c r="Y595" s="117"/>
      <c r="Z595" s="117"/>
      <c r="AA595" s="117"/>
    </row>
    <row r="596" spans="1:27" ht="12.95" customHeight="1">
      <c r="A596" s="43">
        <v>827</v>
      </c>
      <c r="B596" s="116" t="s">
        <v>16</v>
      </c>
      <c r="C596" s="115" t="s">
        <v>12</v>
      </c>
      <c r="D596" s="43" t="s">
        <v>19</v>
      </c>
      <c r="E596" s="117" t="s">
        <v>43</v>
      </c>
      <c r="F596" s="119" t="s">
        <v>29</v>
      </c>
      <c r="G596" s="115">
        <v>41508235</v>
      </c>
      <c r="H596" s="43" t="s">
        <v>26</v>
      </c>
      <c r="I596" s="117" t="s">
        <v>23</v>
      </c>
      <c r="J596" s="117" t="s">
        <v>25</v>
      </c>
      <c r="K596" s="118" t="s">
        <v>134</v>
      </c>
      <c r="L596" s="118" t="s">
        <v>134</v>
      </c>
      <c r="M596" s="117" t="s">
        <v>132</v>
      </c>
      <c r="N596" s="122">
        <v>46126</v>
      </c>
      <c r="O596" s="123">
        <v>46126</v>
      </c>
      <c r="P596" s="117"/>
      <c r="Q596" s="117" t="s">
        <v>132</v>
      </c>
      <c r="R596" s="116">
        <v>61</v>
      </c>
      <c r="S596" s="124">
        <v>129</v>
      </c>
      <c r="T596" s="50" t="s">
        <v>135</v>
      </c>
      <c r="U596" s="46" t="s">
        <v>141</v>
      </c>
      <c r="V596" s="115"/>
      <c r="W596" s="117"/>
      <c r="X596" s="117" t="s">
        <v>133</v>
      </c>
      <c r="Y596" s="117"/>
      <c r="Z596" s="117"/>
      <c r="AA596" s="117"/>
    </row>
    <row r="597" spans="1:27" ht="12.95" customHeight="1">
      <c r="A597" s="43">
        <v>620</v>
      </c>
      <c r="B597" s="116" t="s">
        <v>16</v>
      </c>
      <c r="C597" s="115" t="s">
        <v>12</v>
      </c>
      <c r="D597" s="43" t="s">
        <v>19</v>
      </c>
      <c r="E597" s="117" t="s">
        <v>43</v>
      </c>
      <c r="F597" s="119" t="s">
        <v>26</v>
      </c>
      <c r="G597" s="115">
        <v>44411221</v>
      </c>
      <c r="H597" s="115" t="s">
        <v>26</v>
      </c>
      <c r="I597" s="117" t="s">
        <v>23</v>
      </c>
      <c r="J597" s="117" t="s">
        <v>25</v>
      </c>
      <c r="K597" s="118" t="s">
        <v>134</v>
      </c>
      <c r="L597" s="118" t="s">
        <v>134</v>
      </c>
      <c r="M597" s="117" t="s">
        <v>132</v>
      </c>
      <c r="N597" s="122">
        <v>46126</v>
      </c>
      <c r="O597" s="123">
        <v>46126</v>
      </c>
      <c r="P597" s="117"/>
      <c r="Q597" s="117" t="s">
        <v>132</v>
      </c>
      <c r="R597" s="116">
        <v>61</v>
      </c>
      <c r="S597" s="124">
        <v>129</v>
      </c>
      <c r="T597" s="50" t="s">
        <v>135</v>
      </c>
      <c r="U597" s="117" t="s">
        <v>131</v>
      </c>
      <c r="V597" s="115"/>
      <c r="W597" s="117"/>
      <c r="X597" s="117" t="s">
        <v>140</v>
      </c>
      <c r="Y597" s="117"/>
      <c r="Z597" s="117"/>
      <c r="AA597" s="117"/>
    </row>
    <row r="598" spans="1:27" ht="12.95" customHeight="1">
      <c r="A598" s="43">
        <v>466</v>
      </c>
      <c r="B598" s="116" t="s">
        <v>16</v>
      </c>
      <c r="C598" s="115" t="s">
        <v>12</v>
      </c>
      <c r="D598" s="43" t="s">
        <v>19</v>
      </c>
      <c r="E598" s="117" t="s">
        <v>43</v>
      </c>
      <c r="F598" s="119" t="s">
        <v>16</v>
      </c>
      <c r="G598" s="115">
        <v>277575</v>
      </c>
      <c r="H598" s="115" t="s">
        <v>41</v>
      </c>
      <c r="I598" s="117" t="s">
        <v>7</v>
      </c>
      <c r="J598" s="117" t="s">
        <v>8</v>
      </c>
      <c r="K598" s="118" t="s">
        <v>131</v>
      </c>
      <c r="L598" s="117" t="s">
        <v>131</v>
      </c>
      <c r="M598" s="117" t="s">
        <v>140</v>
      </c>
      <c r="N598" s="122" t="s">
        <v>135</v>
      </c>
      <c r="O598" s="115"/>
      <c r="P598" s="117"/>
      <c r="Q598" s="117" t="s">
        <v>127</v>
      </c>
      <c r="R598" s="116">
        <v>40</v>
      </c>
      <c r="S598" s="124"/>
      <c r="T598" s="50" t="s">
        <v>139</v>
      </c>
      <c r="U598" s="117" t="s">
        <v>135</v>
      </c>
      <c r="V598" s="115"/>
      <c r="W598" s="117"/>
      <c r="X598" s="117"/>
      <c r="Y598" s="117"/>
      <c r="Z598" s="117"/>
      <c r="AA598" s="117"/>
    </row>
    <row r="599" spans="1:27" ht="12.95" customHeight="1">
      <c r="A599" s="43">
        <v>401</v>
      </c>
      <c r="B599" s="116" t="s">
        <v>16</v>
      </c>
      <c r="C599" s="115" t="s">
        <v>12</v>
      </c>
      <c r="D599" s="43" t="s">
        <v>19</v>
      </c>
      <c r="E599" s="117" t="s">
        <v>43</v>
      </c>
      <c r="F599" s="119" t="s">
        <v>18</v>
      </c>
      <c r="G599" s="115">
        <v>419428</v>
      </c>
      <c r="H599" s="115" t="s">
        <v>17</v>
      </c>
      <c r="I599" s="117" t="s">
        <v>12</v>
      </c>
      <c r="J599" s="117" t="s">
        <v>12</v>
      </c>
      <c r="K599" s="118" t="s">
        <v>134</v>
      </c>
      <c r="L599" s="118" t="s">
        <v>134</v>
      </c>
      <c r="M599" s="117" t="s">
        <v>132</v>
      </c>
      <c r="N599" s="122">
        <v>46161</v>
      </c>
      <c r="O599" s="123">
        <v>46161</v>
      </c>
      <c r="P599" s="117"/>
      <c r="Q599" s="117" t="s">
        <v>132</v>
      </c>
      <c r="R599" s="116">
        <v>61</v>
      </c>
      <c r="S599" s="124">
        <v>113</v>
      </c>
      <c r="T599" s="50" t="s">
        <v>135</v>
      </c>
      <c r="U599" s="117" t="s">
        <v>131</v>
      </c>
      <c r="V599" s="115"/>
      <c r="W599" s="117"/>
      <c r="X599" s="117" t="s">
        <v>140</v>
      </c>
      <c r="Y599" s="117"/>
      <c r="Z599" s="117"/>
      <c r="AA599" s="117"/>
    </row>
    <row r="600" spans="1:27" ht="12.95" customHeight="1">
      <c r="A600" s="43">
        <v>407</v>
      </c>
      <c r="B600" s="116" t="s">
        <v>16</v>
      </c>
      <c r="C600" s="115" t="s">
        <v>12</v>
      </c>
      <c r="D600" s="43" t="s">
        <v>19</v>
      </c>
      <c r="E600" s="44" t="s">
        <v>65</v>
      </c>
      <c r="F600" s="119" t="s">
        <v>7</v>
      </c>
      <c r="G600" s="115">
        <v>424399</v>
      </c>
      <c r="H600" s="115" t="s">
        <v>27</v>
      </c>
      <c r="I600" s="117" t="s">
        <v>7</v>
      </c>
      <c r="J600" s="117" t="s">
        <v>4</v>
      </c>
      <c r="K600" s="118" t="s">
        <v>134</v>
      </c>
      <c r="L600" s="118" t="s">
        <v>134</v>
      </c>
      <c r="M600" s="117" t="s">
        <v>135</v>
      </c>
      <c r="N600" s="122" t="s">
        <v>135</v>
      </c>
      <c r="O600" s="115"/>
      <c r="P600" s="117"/>
      <c r="Q600" s="117" t="s">
        <v>138</v>
      </c>
      <c r="R600" s="116">
        <v>74</v>
      </c>
      <c r="S600" s="124"/>
      <c r="T600" s="50" t="s">
        <v>139</v>
      </c>
      <c r="U600" s="117" t="s">
        <v>135</v>
      </c>
      <c r="V600" s="115"/>
      <c r="W600" s="117"/>
      <c r="X600" s="117"/>
      <c r="Y600" s="117"/>
      <c r="Z600" s="117"/>
      <c r="AA600" s="117"/>
    </row>
    <row r="601" spans="1:27" ht="12.95" customHeight="1">
      <c r="A601" s="43">
        <v>588</v>
      </c>
      <c r="B601" s="116" t="s">
        <v>16</v>
      </c>
      <c r="C601" s="115" t="s">
        <v>12</v>
      </c>
      <c r="D601" s="43" t="s">
        <v>19</v>
      </c>
      <c r="E601" s="44" t="s">
        <v>65</v>
      </c>
      <c r="F601" s="119" t="s">
        <v>7</v>
      </c>
      <c r="G601" s="115">
        <v>396965</v>
      </c>
      <c r="H601" s="115" t="s">
        <v>27</v>
      </c>
      <c r="I601" s="117" t="s">
        <v>7</v>
      </c>
      <c r="J601" s="117" t="s">
        <v>4</v>
      </c>
      <c r="K601" s="118" t="s">
        <v>134</v>
      </c>
      <c r="L601" s="118" t="s">
        <v>134</v>
      </c>
      <c r="M601" s="117" t="s">
        <v>135</v>
      </c>
      <c r="N601" s="122" t="s">
        <v>135</v>
      </c>
      <c r="O601" s="115"/>
      <c r="P601" s="117"/>
      <c r="Q601" s="117" t="s">
        <v>138</v>
      </c>
      <c r="R601" s="116">
        <v>74</v>
      </c>
      <c r="S601" s="124"/>
      <c r="T601" s="50" t="s">
        <v>139</v>
      </c>
      <c r="U601" s="117" t="s">
        <v>135</v>
      </c>
      <c r="V601" s="115"/>
      <c r="W601" s="117"/>
      <c r="X601" s="117"/>
      <c r="Y601" s="117"/>
      <c r="Z601" s="117"/>
      <c r="AA601" s="117"/>
    </row>
    <row r="602" spans="1:27" ht="12.95" customHeight="1">
      <c r="A602" s="43">
        <v>697</v>
      </c>
      <c r="B602" s="116" t="s">
        <v>16</v>
      </c>
      <c r="C602" s="115" t="s">
        <v>12</v>
      </c>
      <c r="D602" s="43" t="s">
        <v>19</v>
      </c>
      <c r="E602" s="44" t="s">
        <v>65</v>
      </c>
      <c r="F602" s="119" t="s">
        <v>41</v>
      </c>
      <c r="G602" s="115">
        <v>259793</v>
      </c>
      <c r="H602" s="115" t="s">
        <v>17</v>
      </c>
      <c r="I602" s="117" t="s">
        <v>23</v>
      </c>
      <c r="J602" s="117" t="s">
        <v>8</v>
      </c>
      <c r="K602" s="118" t="s">
        <v>141</v>
      </c>
      <c r="L602" s="117" t="s">
        <v>140</v>
      </c>
      <c r="M602" s="117" t="s">
        <v>140</v>
      </c>
      <c r="N602" s="122">
        <v>46170</v>
      </c>
      <c r="O602" s="123">
        <v>46170</v>
      </c>
      <c r="P602" s="117"/>
      <c r="Q602" s="117" t="s">
        <v>132</v>
      </c>
      <c r="R602" s="116">
        <v>61</v>
      </c>
      <c r="S602" s="124">
        <v>0</v>
      </c>
      <c r="T602" s="50" t="s">
        <v>139</v>
      </c>
      <c r="U602" s="46" t="s">
        <v>137</v>
      </c>
      <c r="V602" s="115"/>
      <c r="W602" s="117"/>
      <c r="X602" s="117"/>
      <c r="Y602" s="117"/>
      <c r="Z602" s="117"/>
      <c r="AA602" s="117"/>
    </row>
    <row r="603" spans="1:27" ht="12.95" customHeight="1">
      <c r="A603" s="43">
        <v>445</v>
      </c>
      <c r="B603" s="116" t="s">
        <v>16</v>
      </c>
      <c r="C603" s="115" t="s">
        <v>12</v>
      </c>
      <c r="D603" s="43" t="s">
        <v>19</v>
      </c>
      <c r="E603" s="44" t="s">
        <v>65</v>
      </c>
      <c r="F603" s="119" t="s">
        <v>9</v>
      </c>
      <c r="G603" s="115">
        <v>76133696</v>
      </c>
      <c r="H603" s="115" t="s">
        <v>9</v>
      </c>
      <c r="I603" s="117" t="s">
        <v>7</v>
      </c>
      <c r="J603" s="117" t="s">
        <v>27</v>
      </c>
      <c r="K603" s="118" t="s">
        <v>132</v>
      </c>
      <c r="L603" s="117" t="s">
        <v>134</v>
      </c>
      <c r="M603" s="117" t="s">
        <v>135</v>
      </c>
      <c r="N603" s="122">
        <v>46135</v>
      </c>
      <c r="O603" s="123">
        <v>46135</v>
      </c>
      <c r="P603" s="117"/>
      <c r="Q603" s="117" t="s">
        <v>132</v>
      </c>
      <c r="R603" s="116">
        <v>61</v>
      </c>
      <c r="S603" s="124">
        <v>85</v>
      </c>
      <c r="T603" s="50" t="s">
        <v>140</v>
      </c>
      <c r="U603" s="46" t="s">
        <v>141</v>
      </c>
      <c r="V603" s="115"/>
      <c r="W603" s="117"/>
      <c r="X603" s="117" t="s">
        <v>138</v>
      </c>
      <c r="Y603" s="117"/>
      <c r="Z603" s="117"/>
      <c r="AA603" s="117"/>
    </row>
    <row r="604" spans="1:27" ht="12.95" customHeight="1">
      <c r="A604" s="43">
        <v>675</v>
      </c>
      <c r="B604" s="116" t="s">
        <v>16</v>
      </c>
      <c r="C604" s="115" t="s">
        <v>12</v>
      </c>
      <c r="D604" s="43" t="s">
        <v>19</v>
      </c>
      <c r="E604" s="117" t="s">
        <v>43</v>
      </c>
      <c r="F604" s="119" t="s">
        <v>33</v>
      </c>
      <c r="G604" s="115">
        <v>89229070</v>
      </c>
      <c r="H604" s="115" t="s">
        <v>26</v>
      </c>
      <c r="I604" s="117" t="s">
        <v>9</v>
      </c>
      <c r="J604" s="117" t="s">
        <v>43</v>
      </c>
      <c r="K604" s="118" t="s">
        <v>134</v>
      </c>
      <c r="L604" s="118" t="s">
        <v>134</v>
      </c>
      <c r="M604" s="117" t="s">
        <v>131</v>
      </c>
      <c r="N604" s="122" t="s">
        <v>143</v>
      </c>
      <c r="O604" s="115"/>
      <c r="P604" s="117"/>
      <c r="Q604" s="117" t="s">
        <v>141</v>
      </c>
      <c r="R604" s="116">
        <v>54</v>
      </c>
      <c r="S604" s="124"/>
      <c r="T604" s="50" t="s">
        <v>139</v>
      </c>
      <c r="U604" s="117" t="s">
        <v>141</v>
      </c>
      <c r="V604" s="115"/>
      <c r="W604" s="117"/>
      <c r="X604" s="117"/>
      <c r="Y604" s="117"/>
      <c r="Z604" s="117"/>
      <c r="AA604" s="117"/>
    </row>
    <row r="605" spans="1:27" ht="12.95" customHeight="1">
      <c r="A605" s="43">
        <v>513</v>
      </c>
      <c r="B605" s="116" t="s">
        <v>16</v>
      </c>
      <c r="C605" s="115" t="s">
        <v>12</v>
      </c>
      <c r="D605" s="43" t="s">
        <v>19</v>
      </c>
      <c r="E605" s="117" t="s">
        <v>43</v>
      </c>
      <c r="F605" s="119" t="s">
        <v>16</v>
      </c>
      <c r="G605" s="115">
        <v>100557044</v>
      </c>
      <c r="H605" s="115" t="s">
        <v>26</v>
      </c>
      <c r="I605" s="117" t="s">
        <v>9</v>
      </c>
      <c r="J605" s="117" t="s">
        <v>43</v>
      </c>
      <c r="K605" s="118" t="s">
        <v>134</v>
      </c>
      <c r="L605" s="118" t="s">
        <v>134</v>
      </c>
      <c r="M605" s="117" t="s">
        <v>131</v>
      </c>
      <c r="N605" s="122" t="s">
        <v>143</v>
      </c>
      <c r="O605" s="115"/>
      <c r="P605" s="117"/>
      <c r="Q605" s="117" t="s">
        <v>141</v>
      </c>
      <c r="R605" s="116">
        <v>54</v>
      </c>
      <c r="S605" s="124"/>
      <c r="T605" s="50" t="s">
        <v>139</v>
      </c>
      <c r="U605" s="117" t="s">
        <v>141</v>
      </c>
      <c r="V605" s="115"/>
      <c r="W605" s="117"/>
      <c r="X605" s="117"/>
      <c r="Y605" s="117"/>
      <c r="Z605" s="117"/>
      <c r="AA605" s="117"/>
    </row>
    <row r="606" spans="1:27" ht="12.95" customHeight="1">
      <c r="A606" s="43">
        <v>871</v>
      </c>
      <c r="B606" s="116" t="s">
        <v>16</v>
      </c>
      <c r="C606" s="115" t="s">
        <v>12</v>
      </c>
      <c r="D606" s="43" t="s">
        <v>19</v>
      </c>
      <c r="E606" s="117" t="s">
        <v>43</v>
      </c>
      <c r="F606" s="119" t="s">
        <v>16</v>
      </c>
      <c r="G606" s="115">
        <v>80797804</v>
      </c>
      <c r="H606" s="115" t="s">
        <v>26</v>
      </c>
      <c r="I606" s="117" t="s">
        <v>9</v>
      </c>
      <c r="J606" s="117" t="s">
        <v>27</v>
      </c>
      <c r="K606" s="118" t="s">
        <v>127</v>
      </c>
      <c r="L606" s="117" t="s">
        <v>127</v>
      </c>
      <c r="M606" s="117" t="s">
        <v>137</v>
      </c>
      <c r="N606" s="122" t="s">
        <v>135</v>
      </c>
      <c r="O606" s="115"/>
      <c r="P606" s="117"/>
      <c r="Q606" s="117" t="s">
        <v>138</v>
      </c>
      <c r="R606" s="116">
        <v>74</v>
      </c>
      <c r="S606" s="124"/>
      <c r="T606" s="50" t="s">
        <v>139</v>
      </c>
      <c r="U606" s="117" t="s">
        <v>135</v>
      </c>
      <c r="V606" s="115"/>
      <c r="W606" s="117"/>
      <c r="X606" s="117"/>
      <c r="Y606" s="117"/>
      <c r="Z606" s="117"/>
      <c r="AA606" s="117"/>
    </row>
    <row r="607" spans="1:27" ht="12.95" customHeight="1">
      <c r="A607" s="43">
        <v>782</v>
      </c>
      <c r="B607" s="116" t="s">
        <v>16</v>
      </c>
      <c r="C607" s="115" t="s">
        <v>12</v>
      </c>
      <c r="D607" s="43" t="s">
        <v>19</v>
      </c>
      <c r="E607" s="117" t="s">
        <v>43</v>
      </c>
      <c r="F607" s="119" t="s">
        <v>33</v>
      </c>
      <c r="G607" s="115">
        <v>62501727</v>
      </c>
      <c r="H607" s="115" t="s">
        <v>9</v>
      </c>
      <c r="I607" s="117" t="s">
        <v>9</v>
      </c>
      <c r="J607" s="117" t="s">
        <v>43</v>
      </c>
      <c r="K607" s="118" t="s">
        <v>134</v>
      </c>
      <c r="L607" s="118" t="s">
        <v>134</v>
      </c>
      <c r="M607" s="117" t="s">
        <v>131</v>
      </c>
      <c r="N607" s="122" t="s">
        <v>135</v>
      </c>
      <c r="O607" s="115"/>
      <c r="P607" s="117"/>
      <c r="Q607" s="117" t="s">
        <v>141</v>
      </c>
      <c r="R607" s="116">
        <v>54</v>
      </c>
      <c r="S607" s="124"/>
      <c r="T607" s="50" t="s">
        <v>139</v>
      </c>
      <c r="U607" s="117" t="s">
        <v>141</v>
      </c>
      <c r="V607" s="115"/>
      <c r="W607" s="117"/>
      <c r="X607" s="117"/>
      <c r="Y607" s="117"/>
      <c r="Z607" s="117"/>
      <c r="AA607" s="117"/>
    </row>
    <row r="608" spans="1:27" ht="12.95" customHeight="1">
      <c r="A608" s="43">
        <v>637</v>
      </c>
      <c r="B608" s="116" t="s">
        <v>16</v>
      </c>
      <c r="C608" s="115" t="s">
        <v>12</v>
      </c>
      <c r="D608" s="43" t="s">
        <v>19</v>
      </c>
      <c r="E608" s="117" t="s">
        <v>43</v>
      </c>
      <c r="F608" s="119" t="s">
        <v>41</v>
      </c>
      <c r="G608" s="115">
        <v>91634079</v>
      </c>
      <c r="H608" s="115" t="s">
        <v>22</v>
      </c>
      <c r="I608" s="117" t="s">
        <v>7</v>
      </c>
      <c r="J608" s="117" t="s">
        <v>13</v>
      </c>
      <c r="K608" s="118" t="s">
        <v>134</v>
      </c>
      <c r="L608" s="118" t="s">
        <v>134</v>
      </c>
      <c r="M608" s="117" t="s">
        <v>138</v>
      </c>
      <c r="N608" s="122" t="s">
        <v>135</v>
      </c>
      <c r="O608" s="115"/>
      <c r="P608" s="117"/>
      <c r="Q608" s="117" t="s">
        <v>138</v>
      </c>
      <c r="R608" s="116">
        <v>74</v>
      </c>
      <c r="S608" s="124"/>
      <c r="T608" s="50" t="s">
        <v>139</v>
      </c>
      <c r="U608" s="117" t="s">
        <v>135</v>
      </c>
      <c r="V608" s="115"/>
      <c r="W608" s="117"/>
      <c r="X608" s="117"/>
      <c r="Y608" s="117"/>
      <c r="Z608" s="117"/>
      <c r="AA608" s="117"/>
    </row>
    <row r="609" spans="1:27" ht="12.95" customHeight="1">
      <c r="A609" s="43">
        <v>371</v>
      </c>
      <c r="B609" s="116" t="s">
        <v>16</v>
      </c>
      <c r="C609" s="115" t="s">
        <v>12</v>
      </c>
      <c r="D609" s="62" t="s">
        <v>13</v>
      </c>
      <c r="E609" s="44" t="s">
        <v>65</v>
      </c>
      <c r="F609" s="119" t="s">
        <v>27</v>
      </c>
      <c r="G609" s="115">
        <v>359093</v>
      </c>
      <c r="H609" s="115" t="s">
        <v>26</v>
      </c>
      <c r="I609" s="117" t="s">
        <v>7</v>
      </c>
      <c r="J609" s="117" t="s">
        <v>21</v>
      </c>
      <c r="K609" s="118" t="s">
        <v>127</v>
      </c>
      <c r="L609" s="117" t="s">
        <v>127</v>
      </c>
      <c r="M609" s="117" t="s">
        <v>136</v>
      </c>
      <c r="N609" s="122" t="s">
        <v>135</v>
      </c>
      <c r="O609" s="115"/>
      <c r="P609" s="117"/>
      <c r="Q609" s="117" t="s">
        <v>141</v>
      </c>
      <c r="R609" s="116">
        <v>54</v>
      </c>
      <c r="S609" s="124"/>
      <c r="T609" s="50" t="s">
        <v>139</v>
      </c>
      <c r="U609" s="117" t="s">
        <v>135</v>
      </c>
      <c r="V609" s="115"/>
      <c r="W609" s="117"/>
      <c r="X609" s="117"/>
      <c r="Y609" s="117"/>
      <c r="Z609" s="117"/>
      <c r="AA609" s="117"/>
    </row>
    <row r="610" spans="1:27" ht="12.95" customHeight="1">
      <c r="A610" s="43">
        <v>810</v>
      </c>
      <c r="B610" s="116" t="s">
        <v>16</v>
      </c>
      <c r="C610" s="115" t="s">
        <v>12</v>
      </c>
      <c r="D610" s="62" t="s">
        <v>13</v>
      </c>
      <c r="E610" s="44" t="s">
        <v>65</v>
      </c>
      <c r="F610" s="119" t="s">
        <v>27</v>
      </c>
      <c r="G610" s="115">
        <v>534737</v>
      </c>
      <c r="H610" s="115" t="s">
        <v>26</v>
      </c>
      <c r="I610" s="117" t="s">
        <v>7</v>
      </c>
      <c r="J610" s="117" t="s">
        <v>21</v>
      </c>
      <c r="K610" s="118" t="s">
        <v>127</v>
      </c>
      <c r="L610" s="117" t="s">
        <v>127</v>
      </c>
      <c r="M610" s="117" t="s">
        <v>136</v>
      </c>
      <c r="N610" s="122" t="s">
        <v>135</v>
      </c>
      <c r="O610" s="115"/>
      <c r="P610" s="117"/>
      <c r="Q610" s="117" t="s">
        <v>141</v>
      </c>
      <c r="R610" s="116">
        <v>54</v>
      </c>
      <c r="S610" s="124"/>
      <c r="T610" s="50" t="s">
        <v>139</v>
      </c>
      <c r="U610" s="117" t="s">
        <v>135</v>
      </c>
      <c r="V610" s="115"/>
      <c r="W610" s="117"/>
      <c r="X610" s="117"/>
      <c r="Y610" s="117"/>
      <c r="Z610" s="117"/>
      <c r="AA610" s="117"/>
    </row>
    <row r="611" spans="1:27" ht="12.95" customHeight="1">
      <c r="A611" s="43">
        <v>671</v>
      </c>
      <c r="B611" s="116" t="s">
        <v>16</v>
      </c>
      <c r="C611" s="115" t="s">
        <v>12</v>
      </c>
      <c r="D611" s="62" t="s">
        <v>13</v>
      </c>
      <c r="E611" s="44" t="s">
        <v>65</v>
      </c>
      <c r="F611" s="119" t="s">
        <v>27</v>
      </c>
      <c r="G611" s="115">
        <v>316159</v>
      </c>
      <c r="H611" s="115" t="s">
        <v>26</v>
      </c>
      <c r="I611" s="117" t="s">
        <v>7</v>
      </c>
      <c r="J611" s="117" t="s">
        <v>13</v>
      </c>
      <c r="K611" s="118" t="s">
        <v>134</v>
      </c>
      <c r="L611" s="118" t="s">
        <v>134</v>
      </c>
      <c r="M611" s="117" t="s">
        <v>141</v>
      </c>
      <c r="N611" s="122" t="s">
        <v>135</v>
      </c>
      <c r="O611" s="115"/>
      <c r="P611" s="117"/>
      <c r="Q611" s="117" t="s">
        <v>141</v>
      </c>
      <c r="R611" s="116">
        <v>54</v>
      </c>
      <c r="S611" s="124"/>
      <c r="T611" s="50" t="s">
        <v>139</v>
      </c>
      <c r="U611" s="117" t="s">
        <v>135</v>
      </c>
      <c r="V611" s="115"/>
      <c r="W611" s="117"/>
      <c r="X611" s="117"/>
      <c r="Y611" s="117"/>
      <c r="Z611" s="117"/>
      <c r="AA611" s="117"/>
    </row>
    <row r="612" spans="1:27" ht="12.95" customHeight="1">
      <c r="A612" s="43">
        <v>464</v>
      </c>
      <c r="B612" s="116" t="s">
        <v>16</v>
      </c>
      <c r="C612" s="115" t="s">
        <v>12</v>
      </c>
      <c r="D612" s="62" t="s">
        <v>13</v>
      </c>
      <c r="E612" s="44" t="s">
        <v>65</v>
      </c>
      <c r="F612" s="119" t="s">
        <v>27</v>
      </c>
      <c r="G612" s="115">
        <v>413740</v>
      </c>
      <c r="H612" s="115" t="s">
        <v>26</v>
      </c>
      <c r="I612" s="117" t="s">
        <v>7</v>
      </c>
      <c r="J612" s="117" t="s">
        <v>4</v>
      </c>
      <c r="K612" s="118" t="s">
        <v>138</v>
      </c>
      <c r="L612" s="117" t="s">
        <v>137</v>
      </c>
      <c r="M612" s="117" t="s">
        <v>140</v>
      </c>
      <c r="N612" s="122" t="s">
        <v>135</v>
      </c>
      <c r="O612" s="115"/>
      <c r="P612" s="117"/>
      <c r="Q612" s="117" t="s">
        <v>141</v>
      </c>
      <c r="R612" s="116">
        <v>54</v>
      </c>
      <c r="S612" s="124"/>
      <c r="T612" s="50" t="s">
        <v>139</v>
      </c>
      <c r="U612" s="117" t="s">
        <v>135</v>
      </c>
      <c r="V612" s="115"/>
      <c r="W612" s="117"/>
      <c r="X612" s="117"/>
      <c r="Y612" s="117"/>
      <c r="Z612" s="117"/>
      <c r="AA612" s="117"/>
    </row>
    <row r="613" spans="1:27" ht="12.95" customHeight="1">
      <c r="A613" s="43">
        <v>734</v>
      </c>
      <c r="B613" s="116" t="s">
        <v>16</v>
      </c>
      <c r="C613" s="115" t="s">
        <v>12</v>
      </c>
      <c r="D613" s="62" t="s">
        <v>13</v>
      </c>
      <c r="E613" s="44" t="s">
        <v>65</v>
      </c>
      <c r="F613" s="119" t="s">
        <v>43</v>
      </c>
      <c r="G613" s="115">
        <v>238096</v>
      </c>
      <c r="H613" s="115" t="s">
        <v>26</v>
      </c>
      <c r="I613" s="117" t="s">
        <v>12</v>
      </c>
      <c r="J613" s="117" t="s">
        <v>12</v>
      </c>
      <c r="K613" s="118" t="s">
        <v>134</v>
      </c>
      <c r="L613" s="118" t="s">
        <v>134</v>
      </c>
      <c r="M613" s="117" t="s">
        <v>141</v>
      </c>
      <c r="N613" s="122">
        <v>46162</v>
      </c>
      <c r="O613" s="123">
        <v>46162</v>
      </c>
      <c r="P613" s="117"/>
      <c r="Q613" s="117" t="s">
        <v>132</v>
      </c>
      <c r="R613" s="116">
        <v>61</v>
      </c>
      <c r="S613" s="124">
        <v>19</v>
      </c>
      <c r="T613" s="50" t="s">
        <v>139</v>
      </c>
      <c r="U613" s="46" t="s">
        <v>137</v>
      </c>
      <c r="V613" s="115"/>
      <c r="W613" s="117"/>
      <c r="X613" s="117"/>
      <c r="Y613" s="117"/>
      <c r="Z613" s="117"/>
      <c r="AA613" s="117"/>
    </row>
    <row r="614" spans="1:27" ht="12.95" customHeight="1">
      <c r="A614" s="43">
        <v>760</v>
      </c>
      <c r="B614" s="116" t="s">
        <v>16</v>
      </c>
      <c r="C614" s="115" t="s">
        <v>12</v>
      </c>
      <c r="D614" s="62" t="s">
        <v>13</v>
      </c>
      <c r="E614" s="44" t="s">
        <v>65</v>
      </c>
      <c r="F614" s="119" t="s">
        <v>27</v>
      </c>
      <c r="G614" s="115">
        <v>331775</v>
      </c>
      <c r="H614" s="115" t="s">
        <v>26</v>
      </c>
      <c r="I614" s="117" t="s">
        <v>7</v>
      </c>
      <c r="J614" s="117" t="s">
        <v>21</v>
      </c>
      <c r="K614" s="118" t="s">
        <v>140</v>
      </c>
      <c r="L614" s="118" t="s">
        <v>140</v>
      </c>
      <c r="M614" s="117" t="s">
        <v>134</v>
      </c>
      <c r="N614" s="122" t="s">
        <v>135</v>
      </c>
      <c r="O614" s="115"/>
      <c r="P614" s="117"/>
      <c r="Q614" s="117" t="s">
        <v>141</v>
      </c>
      <c r="R614" s="116">
        <v>54</v>
      </c>
      <c r="S614" s="124"/>
      <c r="T614" s="50" t="s">
        <v>139</v>
      </c>
      <c r="U614" s="117" t="s">
        <v>135</v>
      </c>
      <c r="V614" s="115"/>
      <c r="W614" s="117"/>
      <c r="X614" s="117"/>
      <c r="Y614" s="117"/>
      <c r="Z614" s="117"/>
      <c r="AA614" s="117"/>
    </row>
    <row r="615" spans="1:27" ht="12.95" customHeight="1">
      <c r="A615" s="43">
        <v>626</v>
      </c>
      <c r="B615" s="116" t="s">
        <v>16</v>
      </c>
      <c r="C615" s="115" t="s">
        <v>12</v>
      </c>
      <c r="D615" s="62" t="s">
        <v>13</v>
      </c>
      <c r="E615" s="44" t="s">
        <v>65</v>
      </c>
      <c r="F615" s="119" t="s">
        <v>7</v>
      </c>
      <c r="G615" s="115">
        <v>448874</v>
      </c>
      <c r="H615" s="115" t="s">
        <v>26</v>
      </c>
      <c r="I615" s="117" t="s">
        <v>7</v>
      </c>
      <c r="J615" s="117" t="s">
        <v>21</v>
      </c>
      <c r="K615" s="118" t="s">
        <v>140</v>
      </c>
      <c r="L615" s="118" t="s">
        <v>140</v>
      </c>
      <c r="M615" s="117" t="s">
        <v>134</v>
      </c>
      <c r="N615" s="122" t="s">
        <v>135</v>
      </c>
      <c r="O615" s="115"/>
      <c r="P615" s="117"/>
      <c r="Q615" s="117" t="s">
        <v>141</v>
      </c>
      <c r="R615" s="116">
        <v>54</v>
      </c>
      <c r="S615" s="124"/>
      <c r="T615" s="50" t="s">
        <v>139</v>
      </c>
      <c r="U615" s="117" t="s">
        <v>135</v>
      </c>
      <c r="V615" s="115"/>
      <c r="W615" s="117"/>
      <c r="X615" s="117"/>
      <c r="Y615" s="117"/>
      <c r="Z615" s="117"/>
      <c r="AA615" s="117"/>
    </row>
    <row r="616" spans="1:27" ht="12.95" customHeight="1">
      <c r="A616" s="43">
        <v>781</v>
      </c>
      <c r="B616" s="116" t="s">
        <v>16</v>
      </c>
      <c r="C616" s="115" t="s">
        <v>12</v>
      </c>
      <c r="D616" s="62" t="s">
        <v>13</v>
      </c>
      <c r="E616" s="44" t="s">
        <v>65</v>
      </c>
      <c r="F616" s="119" t="s">
        <v>15</v>
      </c>
      <c r="G616" s="115">
        <v>347390</v>
      </c>
      <c r="H616" s="115" t="s">
        <v>17</v>
      </c>
      <c r="I616" s="117" t="s">
        <v>7</v>
      </c>
      <c r="J616" s="117" t="s">
        <v>21</v>
      </c>
      <c r="K616" s="118" t="s">
        <v>140</v>
      </c>
      <c r="L616" s="118" t="s">
        <v>140</v>
      </c>
      <c r="M616" s="117" t="s">
        <v>134</v>
      </c>
      <c r="N616" s="122">
        <v>45982</v>
      </c>
      <c r="O616" s="123">
        <v>45982</v>
      </c>
      <c r="P616" s="117"/>
      <c r="Q616" s="117" t="s">
        <v>132</v>
      </c>
      <c r="R616" s="116">
        <v>61</v>
      </c>
      <c r="S616" s="124">
        <v>203</v>
      </c>
      <c r="T616" s="50" t="s">
        <v>135</v>
      </c>
      <c r="U616" s="46" t="s">
        <v>137</v>
      </c>
      <c r="V616" s="115"/>
      <c r="W616" s="117"/>
      <c r="X616" s="117" t="s">
        <v>134</v>
      </c>
      <c r="Y616" s="117"/>
      <c r="Z616" s="117"/>
      <c r="AA616" s="117"/>
    </row>
    <row r="617" spans="1:27" ht="12.95" customHeight="1">
      <c r="A617" s="43">
        <v>628</v>
      </c>
      <c r="B617" s="116" t="s">
        <v>16</v>
      </c>
      <c r="C617" s="115" t="s">
        <v>12</v>
      </c>
      <c r="D617" s="62" t="s">
        <v>13</v>
      </c>
      <c r="E617" s="44" t="s">
        <v>65</v>
      </c>
      <c r="F617" s="119" t="s">
        <v>26</v>
      </c>
      <c r="G617" s="115">
        <v>398134</v>
      </c>
      <c r="H617" s="115" t="s">
        <v>26</v>
      </c>
      <c r="I617" s="117" t="s">
        <v>7</v>
      </c>
      <c r="J617" s="117" t="s">
        <v>21</v>
      </c>
      <c r="K617" s="118" t="s">
        <v>140</v>
      </c>
      <c r="L617" s="118" t="s">
        <v>140</v>
      </c>
      <c r="M617" s="117" t="s">
        <v>134</v>
      </c>
      <c r="N617" s="122">
        <v>46136</v>
      </c>
      <c r="O617" s="123">
        <v>46136</v>
      </c>
      <c r="P617" s="117"/>
      <c r="Q617" s="117" t="s">
        <v>132</v>
      </c>
      <c r="R617" s="116">
        <v>61</v>
      </c>
      <c r="S617" s="124">
        <v>103</v>
      </c>
      <c r="T617" s="50" t="s">
        <v>135</v>
      </c>
      <c r="U617" s="46" t="s">
        <v>141</v>
      </c>
      <c r="V617" s="115"/>
      <c r="W617" s="117"/>
      <c r="X617" s="117" t="s">
        <v>140</v>
      </c>
      <c r="Y617" s="117"/>
      <c r="Z617" s="117"/>
      <c r="AA617" s="117"/>
    </row>
    <row r="618" spans="1:27" ht="12.95" customHeight="1">
      <c r="A618" s="43">
        <v>339</v>
      </c>
      <c r="B618" s="116" t="s">
        <v>16</v>
      </c>
      <c r="C618" s="115" t="s">
        <v>12</v>
      </c>
      <c r="D618" s="62" t="s">
        <v>13</v>
      </c>
      <c r="E618" s="44" t="s">
        <v>65</v>
      </c>
      <c r="F618" s="119" t="s">
        <v>9</v>
      </c>
      <c r="G618" s="115">
        <v>437168</v>
      </c>
      <c r="H618" s="43" t="s">
        <v>26</v>
      </c>
      <c r="I618" s="117" t="s">
        <v>7</v>
      </c>
      <c r="J618" s="117" t="s">
        <v>21</v>
      </c>
      <c r="K618" s="118" t="s">
        <v>140</v>
      </c>
      <c r="L618" s="118" t="s">
        <v>140</v>
      </c>
      <c r="M618" s="117" t="s">
        <v>134</v>
      </c>
      <c r="N618" s="122">
        <v>46090</v>
      </c>
      <c r="O618" s="123">
        <v>46090</v>
      </c>
      <c r="P618" s="117"/>
      <c r="Q618" s="117" t="s">
        <v>132</v>
      </c>
      <c r="R618" s="116">
        <v>61</v>
      </c>
      <c r="S618" s="124">
        <v>13</v>
      </c>
      <c r="T618" s="50" t="s">
        <v>139</v>
      </c>
      <c r="U618" s="46" t="s">
        <v>137</v>
      </c>
      <c r="V618" s="115"/>
      <c r="W618" s="117"/>
      <c r="X618" s="117"/>
      <c r="Y618" s="117"/>
      <c r="Z618" s="117"/>
      <c r="AA618" s="117"/>
    </row>
    <row r="619" spans="1:27" ht="12.95" customHeight="1">
      <c r="A619" s="43">
        <v>748</v>
      </c>
      <c r="B619" s="116" t="s">
        <v>16</v>
      </c>
      <c r="C619" s="115" t="s">
        <v>12</v>
      </c>
      <c r="D619" s="62" t="s">
        <v>13</v>
      </c>
      <c r="E619" s="44" t="s">
        <v>65</v>
      </c>
      <c r="F619" s="119" t="s">
        <v>26</v>
      </c>
      <c r="G619" s="115">
        <v>300554</v>
      </c>
      <c r="H619" s="115" t="s">
        <v>9</v>
      </c>
      <c r="I619" s="117" t="s">
        <v>7</v>
      </c>
      <c r="J619" s="117" t="s">
        <v>21</v>
      </c>
      <c r="K619" s="118" t="s">
        <v>140</v>
      </c>
      <c r="L619" s="118" t="s">
        <v>140</v>
      </c>
      <c r="M619" s="117" t="s">
        <v>134</v>
      </c>
      <c r="N619" s="122" t="s">
        <v>135</v>
      </c>
      <c r="O619" s="115"/>
      <c r="P619" s="117"/>
      <c r="Q619" s="117" t="s">
        <v>138</v>
      </c>
      <c r="R619" s="116">
        <v>74</v>
      </c>
      <c r="S619" s="124"/>
      <c r="T619" s="50" t="s">
        <v>139</v>
      </c>
      <c r="U619" s="117" t="s">
        <v>135</v>
      </c>
      <c r="V619" s="115"/>
      <c r="W619" s="117"/>
      <c r="X619" s="117"/>
      <c r="Y619" s="117"/>
      <c r="Z619" s="117"/>
      <c r="AA619" s="117"/>
    </row>
    <row r="620" spans="1:27" ht="12.95" customHeight="1">
      <c r="A620" s="43">
        <v>638</v>
      </c>
      <c r="B620" s="116" t="s">
        <v>16</v>
      </c>
      <c r="C620" s="115" t="s">
        <v>12</v>
      </c>
      <c r="D620" s="62" t="s">
        <v>13</v>
      </c>
      <c r="E620" s="44" t="s">
        <v>65</v>
      </c>
      <c r="F620" s="117" t="s">
        <v>26</v>
      </c>
      <c r="G620" s="115">
        <v>526947</v>
      </c>
      <c r="H620" s="115" t="s">
        <v>26</v>
      </c>
      <c r="I620" s="117" t="s">
        <v>7</v>
      </c>
      <c r="J620" s="117" t="s">
        <v>21</v>
      </c>
      <c r="K620" s="118" t="s">
        <v>140</v>
      </c>
      <c r="L620" s="118" t="s">
        <v>140</v>
      </c>
      <c r="M620" s="117" t="s">
        <v>134</v>
      </c>
      <c r="N620" s="122">
        <v>46090</v>
      </c>
      <c r="O620" s="123">
        <v>46090</v>
      </c>
      <c r="P620" s="117"/>
      <c r="Q620" s="117" t="s">
        <v>132</v>
      </c>
      <c r="R620" s="116">
        <v>61</v>
      </c>
      <c r="S620" s="124">
        <v>13</v>
      </c>
      <c r="T620" s="50" t="s">
        <v>139</v>
      </c>
      <c r="U620" s="46" t="s">
        <v>137</v>
      </c>
      <c r="V620" s="115"/>
      <c r="W620" s="117"/>
      <c r="X620" s="117"/>
      <c r="Y620" s="117"/>
      <c r="Z620" s="117"/>
      <c r="AA620" s="117"/>
    </row>
    <row r="621" spans="1:27" ht="12.95" customHeight="1">
      <c r="A621" s="43">
        <v>887</v>
      </c>
      <c r="B621" s="116" t="s">
        <v>16</v>
      </c>
      <c r="C621" s="115" t="s">
        <v>12</v>
      </c>
      <c r="D621" s="62" t="s">
        <v>13</v>
      </c>
      <c r="E621" s="44" t="s">
        <v>65</v>
      </c>
      <c r="F621" s="119" t="s">
        <v>15</v>
      </c>
      <c r="G621" s="115">
        <v>355202</v>
      </c>
      <c r="H621" s="43" t="s">
        <v>26</v>
      </c>
      <c r="I621" s="117" t="s">
        <v>7</v>
      </c>
      <c r="J621" s="117" t="s">
        <v>21</v>
      </c>
      <c r="K621" s="118" t="s">
        <v>140</v>
      </c>
      <c r="L621" s="118" t="s">
        <v>140</v>
      </c>
      <c r="M621" s="117" t="s">
        <v>134</v>
      </c>
      <c r="N621" s="122">
        <v>46090</v>
      </c>
      <c r="O621" s="123">
        <v>46090</v>
      </c>
      <c r="P621" s="117"/>
      <c r="Q621" s="117" t="s">
        <v>132</v>
      </c>
      <c r="R621" s="116">
        <v>61</v>
      </c>
      <c r="S621" s="124">
        <v>13</v>
      </c>
      <c r="T621" s="50" t="s">
        <v>139</v>
      </c>
      <c r="U621" s="46" t="s">
        <v>137</v>
      </c>
      <c r="V621" s="115"/>
      <c r="W621" s="117"/>
      <c r="X621" s="117"/>
      <c r="Y621" s="117"/>
      <c r="Z621" s="117"/>
      <c r="AA621" s="117"/>
    </row>
    <row r="622" spans="1:27" ht="12.95" customHeight="1">
      <c r="A622" s="43">
        <v>453</v>
      </c>
      <c r="B622" s="116" t="s">
        <v>16</v>
      </c>
      <c r="C622" s="115" t="s">
        <v>12</v>
      </c>
      <c r="D622" s="62" t="s">
        <v>13</v>
      </c>
      <c r="E622" s="44" t="s">
        <v>65</v>
      </c>
      <c r="F622" s="119" t="s">
        <v>6</v>
      </c>
      <c r="G622" s="115">
        <v>257620</v>
      </c>
      <c r="H622" s="115" t="s">
        <v>26</v>
      </c>
      <c r="I622" s="117" t="s">
        <v>7</v>
      </c>
      <c r="J622" s="117" t="s">
        <v>21</v>
      </c>
      <c r="K622" s="118" t="s">
        <v>140</v>
      </c>
      <c r="L622" s="118" t="s">
        <v>140</v>
      </c>
      <c r="M622" s="117" t="s">
        <v>134</v>
      </c>
      <c r="N622" s="122" t="s">
        <v>135</v>
      </c>
      <c r="O622" s="115"/>
      <c r="P622" s="117"/>
      <c r="Q622" s="117" t="s">
        <v>141</v>
      </c>
      <c r="R622" s="116">
        <v>54</v>
      </c>
      <c r="S622" s="124"/>
      <c r="T622" s="50" t="s">
        <v>139</v>
      </c>
      <c r="U622" s="117" t="s">
        <v>135</v>
      </c>
      <c r="V622" s="115"/>
      <c r="W622" s="117"/>
      <c r="X622" s="117"/>
      <c r="Y622" s="117"/>
      <c r="Z622" s="117"/>
      <c r="AA622" s="117"/>
    </row>
    <row r="623" spans="1:27" ht="12.95" customHeight="1">
      <c r="A623" s="43">
        <v>373</v>
      </c>
      <c r="B623" s="116" t="s">
        <v>16</v>
      </c>
      <c r="C623" s="115" t="s">
        <v>12</v>
      </c>
      <c r="D623" s="62" t="s">
        <v>13</v>
      </c>
      <c r="E623" s="44" t="s">
        <v>65</v>
      </c>
      <c r="F623" s="119" t="s">
        <v>5</v>
      </c>
      <c r="G623" s="115">
        <v>421561</v>
      </c>
      <c r="H623" s="115" t="s">
        <v>22</v>
      </c>
      <c r="I623" s="117" t="s">
        <v>7</v>
      </c>
      <c r="J623" s="117" t="s">
        <v>21</v>
      </c>
      <c r="K623" s="118" t="s">
        <v>140</v>
      </c>
      <c r="L623" s="118" t="s">
        <v>140</v>
      </c>
      <c r="M623" s="117" t="s">
        <v>134</v>
      </c>
      <c r="N623" s="122" t="s">
        <v>135</v>
      </c>
      <c r="O623" s="115"/>
      <c r="P623" s="117"/>
      <c r="Q623" s="117" t="s">
        <v>138</v>
      </c>
      <c r="R623" s="116">
        <v>74</v>
      </c>
      <c r="S623" s="124"/>
      <c r="T623" s="50" t="s">
        <v>139</v>
      </c>
      <c r="U623" s="117" t="s">
        <v>135</v>
      </c>
      <c r="V623" s="115"/>
      <c r="W623" s="117"/>
      <c r="X623" s="117"/>
      <c r="Y623" s="117"/>
      <c r="Z623" s="117"/>
      <c r="AA623" s="117"/>
    </row>
    <row r="624" spans="1:27" ht="12.95" customHeight="1">
      <c r="A624" s="43">
        <v>386</v>
      </c>
      <c r="B624" s="116" t="s">
        <v>16</v>
      </c>
      <c r="C624" s="115" t="s">
        <v>12</v>
      </c>
      <c r="D624" s="62" t="s">
        <v>13</v>
      </c>
      <c r="E624" s="44" t="s">
        <v>65</v>
      </c>
      <c r="F624" s="119" t="s">
        <v>6</v>
      </c>
      <c r="G624" s="115">
        <v>253718</v>
      </c>
      <c r="H624" s="115" t="s">
        <v>26</v>
      </c>
      <c r="I624" s="117" t="s">
        <v>7</v>
      </c>
      <c r="J624" s="117" t="s">
        <v>21</v>
      </c>
      <c r="K624" s="118" t="s">
        <v>140</v>
      </c>
      <c r="L624" s="118" t="s">
        <v>140</v>
      </c>
      <c r="M624" s="117" t="s">
        <v>134</v>
      </c>
      <c r="N624" s="122" t="s">
        <v>135</v>
      </c>
      <c r="O624" s="115"/>
      <c r="P624" s="117"/>
      <c r="Q624" s="117" t="s">
        <v>141</v>
      </c>
      <c r="R624" s="116">
        <v>54</v>
      </c>
      <c r="S624" s="124"/>
      <c r="T624" s="50" t="s">
        <v>139</v>
      </c>
      <c r="U624" s="117" t="s">
        <v>135</v>
      </c>
      <c r="V624" s="115"/>
      <c r="W624" s="117"/>
      <c r="X624" s="117"/>
      <c r="Y624" s="117"/>
      <c r="Z624" s="117"/>
      <c r="AA624" s="117"/>
    </row>
    <row r="625" spans="1:27" ht="12.95" customHeight="1">
      <c r="A625" s="43">
        <v>761</v>
      </c>
      <c r="B625" s="116" t="s">
        <v>16</v>
      </c>
      <c r="C625" s="115" t="s">
        <v>12</v>
      </c>
      <c r="D625" s="62" t="s">
        <v>13</v>
      </c>
      <c r="E625" s="44" t="s">
        <v>65</v>
      </c>
      <c r="F625" s="119" t="s">
        <v>43</v>
      </c>
      <c r="G625" s="115">
        <v>351302</v>
      </c>
      <c r="H625" s="91" t="s">
        <v>20</v>
      </c>
      <c r="I625" s="117" t="s">
        <v>7</v>
      </c>
      <c r="J625" s="117" t="s">
        <v>21</v>
      </c>
      <c r="K625" s="118" t="s">
        <v>140</v>
      </c>
      <c r="L625" s="118" t="s">
        <v>140</v>
      </c>
      <c r="M625" s="117" t="s">
        <v>138</v>
      </c>
      <c r="N625" s="122">
        <v>45982</v>
      </c>
      <c r="O625" s="123">
        <v>45982</v>
      </c>
      <c r="P625" s="117"/>
      <c r="Q625" s="117" t="s">
        <v>132</v>
      </c>
      <c r="R625" s="116">
        <v>61</v>
      </c>
      <c r="S625" s="124">
        <v>203</v>
      </c>
      <c r="T625" s="50" t="s">
        <v>135</v>
      </c>
      <c r="U625" s="46" t="s">
        <v>141</v>
      </c>
      <c r="V625" s="115"/>
      <c r="W625" s="117"/>
      <c r="X625" s="117" t="s">
        <v>126</v>
      </c>
      <c r="Y625" s="117"/>
      <c r="Z625" s="117"/>
      <c r="AA625" s="117"/>
    </row>
    <row r="626" spans="1:27" ht="12.95" customHeight="1">
      <c r="A626" s="43">
        <v>750</v>
      </c>
      <c r="B626" s="116" t="s">
        <v>16</v>
      </c>
      <c r="C626" s="115" t="s">
        <v>12</v>
      </c>
      <c r="D626" s="62" t="s">
        <v>13</v>
      </c>
      <c r="E626" s="44" t="s">
        <v>65</v>
      </c>
      <c r="F626" s="119" t="s">
        <v>43</v>
      </c>
      <c r="G626" s="115">
        <v>339618</v>
      </c>
      <c r="H626" s="115" t="s">
        <v>9</v>
      </c>
      <c r="I626" s="117" t="s">
        <v>7</v>
      </c>
      <c r="J626" s="117" t="s">
        <v>13</v>
      </c>
      <c r="K626" s="118" t="s">
        <v>134</v>
      </c>
      <c r="L626" s="118" t="s">
        <v>134</v>
      </c>
      <c r="M626" s="117" t="s">
        <v>141</v>
      </c>
      <c r="N626" s="122">
        <v>46179</v>
      </c>
      <c r="O626" s="123">
        <v>46179</v>
      </c>
      <c r="P626" s="117"/>
      <c r="Q626" s="117" t="s">
        <v>132</v>
      </c>
      <c r="R626" s="116">
        <v>61</v>
      </c>
      <c r="S626" s="124">
        <v>138</v>
      </c>
      <c r="T626" s="50" t="s">
        <v>135</v>
      </c>
      <c r="U626" s="46" t="s">
        <v>141</v>
      </c>
      <c r="V626" s="115"/>
      <c r="W626" s="117"/>
      <c r="X626" s="117" t="s">
        <v>141</v>
      </c>
      <c r="Y626" s="117"/>
      <c r="Z626" s="117"/>
      <c r="AA626" s="117"/>
    </row>
    <row r="627" spans="1:27" ht="12.95" customHeight="1">
      <c r="A627" s="43">
        <v>751</v>
      </c>
      <c r="B627" s="116" t="s">
        <v>16</v>
      </c>
      <c r="C627" s="115" t="s">
        <v>12</v>
      </c>
      <c r="D627" s="62" t="s">
        <v>13</v>
      </c>
      <c r="E627" s="44" t="s">
        <v>65</v>
      </c>
      <c r="F627" s="119" t="s">
        <v>26</v>
      </c>
      <c r="G627" s="115">
        <v>242027</v>
      </c>
      <c r="H627" s="115" t="s">
        <v>9</v>
      </c>
      <c r="I627" s="117" t="s">
        <v>7</v>
      </c>
      <c r="J627" s="117" t="s">
        <v>13</v>
      </c>
      <c r="K627" s="118" t="s">
        <v>134</v>
      </c>
      <c r="L627" s="118" t="s">
        <v>134</v>
      </c>
      <c r="M627" s="117" t="s">
        <v>141</v>
      </c>
      <c r="N627" s="122">
        <v>46179</v>
      </c>
      <c r="O627" s="123">
        <v>46179</v>
      </c>
      <c r="P627" s="117"/>
      <c r="Q627" s="117" t="s">
        <v>132</v>
      </c>
      <c r="R627" s="116">
        <v>61</v>
      </c>
      <c r="S627" s="124">
        <v>138</v>
      </c>
      <c r="T627" s="50" t="s">
        <v>135</v>
      </c>
      <c r="U627" s="46" t="s">
        <v>141</v>
      </c>
      <c r="V627" s="115"/>
      <c r="W627" s="117"/>
      <c r="X627" s="117" t="s">
        <v>135</v>
      </c>
      <c r="Y627" s="117"/>
      <c r="Z627" s="117"/>
      <c r="AA627" s="117"/>
    </row>
    <row r="628" spans="1:27" ht="12.95" customHeight="1">
      <c r="A628" s="43">
        <v>897</v>
      </c>
      <c r="B628" s="116" t="s">
        <v>16</v>
      </c>
      <c r="C628" s="115" t="s">
        <v>12</v>
      </c>
      <c r="D628" s="62" t="s">
        <v>13</v>
      </c>
      <c r="E628" s="44" t="s">
        <v>65</v>
      </c>
      <c r="F628" s="119" t="s">
        <v>3</v>
      </c>
      <c r="G628" s="115">
        <v>390369</v>
      </c>
      <c r="H628" s="115" t="s">
        <v>17</v>
      </c>
      <c r="I628" s="117" t="s">
        <v>7</v>
      </c>
      <c r="J628" s="117" t="s">
        <v>27</v>
      </c>
      <c r="K628" s="118" t="s">
        <v>132</v>
      </c>
      <c r="L628" s="117" t="s">
        <v>134</v>
      </c>
      <c r="M628" s="117" t="s">
        <v>135</v>
      </c>
      <c r="N628" s="122" t="s">
        <v>135</v>
      </c>
      <c r="O628" s="115"/>
      <c r="P628" s="117"/>
      <c r="Q628" s="117" t="s">
        <v>138</v>
      </c>
      <c r="R628" s="116">
        <v>74</v>
      </c>
      <c r="S628" s="124"/>
      <c r="T628" s="50" t="s">
        <v>139</v>
      </c>
      <c r="U628" s="117" t="s">
        <v>135</v>
      </c>
      <c r="V628" s="115"/>
      <c r="W628" s="117"/>
      <c r="X628" s="117"/>
      <c r="Y628" s="117"/>
      <c r="Z628" s="117"/>
      <c r="AA628" s="117"/>
    </row>
    <row r="629" spans="1:27" ht="12.95" customHeight="1">
      <c r="A629" s="43">
        <v>421</v>
      </c>
      <c r="B629" s="116" t="s">
        <v>16</v>
      </c>
      <c r="C629" s="115" t="s">
        <v>12</v>
      </c>
      <c r="D629" s="62" t="s">
        <v>13</v>
      </c>
      <c r="E629" s="44" t="s">
        <v>65</v>
      </c>
      <c r="F629" s="119" t="s">
        <v>17</v>
      </c>
      <c r="G629" s="115">
        <v>452829</v>
      </c>
      <c r="H629" s="115" t="s">
        <v>26</v>
      </c>
      <c r="I629" s="117" t="s">
        <v>7</v>
      </c>
      <c r="J629" s="117" t="s">
        <v>27</v>
      </c>
      <c r="K629" s="118" t="s">
        <v>138</v>
      </c>
      <c r="L629" s="117" t="s">
        <v>139</v>
      </c>
      <c r="M629" s="117" t="s">
        <v>135</v>
      </c>
      <c r="N629" s="122" t="s">
        <v>135</v>
      </c>
      <c r="O629" s="115"/>
      <c r="P629" s="117"/>
      <c r="Q629" s="117" t="s">
        <v>138</v>
      </c>
      <c r="R629" s="116">
        <v>74</v>
      </c>
      <c r="S629" s="124"/>
      <c r="T629" s="50" t="s">
        <v>139</v>
      </c>
      <c r="U629" s="117" t="s">
        <v>135</v>
      </c>
      <c r="V629" s="115"/>
      <c r="W629" s="117"/>
      <c r="X629" s="117"/>
      <c r="Y629" s="117"/>
      <c r="Z629" s="117"/>
      <c r="AA629" s="117"/>
    </row>
    <row r="630" spans="1:27" ht="12.95" customHeight="1">
      <c r="A630" s="43">
        <v>730</v>
      </c>
      <c r="B630" s="116" t="s">
        <v>16</v>
      </c>
      <c r="C630" s="115" t="s">
        <v>12</v>
      </c>
      <c r="D630" s="62" t="s">
        <v>13</v>
      </c>
      <c r="E630" s="44" t="s">
        <v>65</v>
      </c>
      <c r="F630" s="119" t="s">
        <v>17</v>
      </c>
      <c r="G630" s="115">
        <v>382564</v>
      </c>
      <c r="H630" s="115" t="s">
        <v>9</v>
      </c>
      <c r="I630" s="117" t="s">
        <v>7</v>
      </c>
      <c r="J630" s="117" t="s">
        <v>8</v>
      </c>
      <c r="K630" s="118" t="s">
        <v>131</v>
      </c>
      <c r="L630" s="117" t="s">
        <v>131</v>
      </c>
      <c r="M630" s="117" t="s">
        <v>140</v>
      </c>
      <c r="N630" s="122" t="s">
        <v>135</v>
      </c>
      <c r="O630" s="115"/>
      <c r="P630" s="117"/>
      <c r="Q630" s="117" t="s">
        <v>138</v>
      </c>
      <c r="R630" s="116">
        <v>74</v>
      </c>
      <c r="S630" s="124"/>
      <c r="T630" s="50" t="s">
        <v>139</v>
      </c>
      <c r="U630" s="117" t="s">
        <v>135</v>
      </c>
      <c r="V630" s="115"/>
      <c r="W630" s="117"/>
      <c r="X630" s="117"/>
      <c r="Y630" s="117"/>
      <c r="Z630" s="117"/>
      <c r="AA630" s="117"/>
    </row>
    <row r="631" spans="1:27" ht="12.95" customHeight="1">
      <c r="A631" s="43">
        <v>548</v>
      </c>
      <c r="B631" s="116" t="s">
        <v>16</v>
      </c>
      <c r="C631" s="115" t="s">
        <v>12</v>
      </c>
      <c r="D631" s="62" t="s">
        <v>13</v>
      </c>
      <c r="E631" s="44" t="s">
        <v>65</v>
      </c>
      <c r="F631" s="119" t="s">
        <v>14</v>
      </c>
      <c r="G631" s="115">
        <v>324012</v>
      </c>
      <c r="H631" s="91" t="s">
        <v>20</v>
      </c>
      <c r="I631" s="117" t="s">
        <v>7</v>
      </c>
      <c r="J631" s="117" t="s">
        <v>21</v>
      </c>
      <c r="K631" s="118" t="s">
        <v>140</v>
      </c>
      <c r="L631" s="118" t="s">
        <v>140</v>
      </c>
      <c r="M631" s="117" t="s">
        <v>138</v>
      </c>
      <c r="N631" s="122">
        <v>45982</v>
      </c>
      <c r="O631" s="123">
        <v>45982</v>
      </c>
      <c r="P631" s="117"/>
      <c r="Q631" s="117" t="s">
        <v>132</v>
      </c>
      <c r="R631" s="116">
        <v>61</v>
      </c>
      <c r="S631" s="124">
        <v>203</v>
      </c>
      <c r="T631" s="50" t="s">
        <v>135</v>
      </c>
      <c r="U631" s="46" t="s">
        <v>137</v>
      </c>
      <c r="V631" s="115"/>
      <c r="W631" s="117"/>
      <c r="X631" s="117"/>
      <c r="Y631" s="117"/>
      <c r="Z631" s="117"/>
      <c r="AA631" s="117"/>
    </row>
    <row r="632" spans="1:27" ht="12.95" customHeight="1">
      <c r="A632" s="43">
        <v>864</v>
      </c>
      <c r="B632" s="116" t="s">
        <v>16</v>
      </c>
      <c r="C632" s="115" t="s">
        <v>12</v>
      </c>
      <c r="D632" s="62" t="s">
        <v>13</v>
      </c>
      <c r="E632" s="44" t="s">
        <v>65</v>
      </c>
      <c r="F632" s="119" t="s">
        <v>5</v>
      </c>
      <c r="G632" s="115">
        <v>253746</v>
      </c>
      <c r="H632" s="115" t="s">
        <v>17</v>
      </c>
      <c r="I632" s="117" t="s">
        <v>7</v>
      </c>
      <c r="J632" s="117" t="s">
        <v>21</v>
      </c>
      <c r="K632" s="118" t="s">
        <v>140</v>
      </c>
      <c r="L632" s="118" t="s">
        <v>140</v>
      </c>
      <c r="M632" s="117" t="s">
        <v>134</v>
      </c>
      <c r="N632" s="122">
        <v>46136</v>
      </c>
      <c r="O632" s="123">
        <v>46136</v>
      </c>
      <c r="P632" s="117"/>
      <c r="Q632" s="117" t="s">
        <v>132</v>
      </c>
      <c r="R632" s="116">
        <v>61</v>
      </c>
      <c r="S632" s="124">
        <v>103</v>
      </c>
      <c r="T632" s="50" t="s">
        <v>135</v>
      </c>
      <c r="U632" s="46" t="s">
        <v>137</v>
      </c>
      <c r="V632" s="115"/>
      <c r="W632" s="117"/>
      <c r="X632" s="117"/>
      <c r="Y632" s="117"/>
      <c r="Z632" s="117"/>
      <c r="AA632" s="117"/>
    </row>
    <row r="633" spans="1:27" ht="12.95" customHeight="1">
      <c r="A633" s="43">
        <v>569</v>
      </c>
      <c r="B633" s="116" t="s">
        <v>16</v>
      </c>
      <c r="C633" s="115" t="s">
        <v>12</v>
      </c>
      <c r="D633" s="62" t="s">
        <v>13</v>
      </c>
      <c r="E633" s="44" t="s">
        <v>65</v>
      </c>
      <c r="F633" s="119" t="s">
        <v>21</v>
      </c>
      <c r="G633" s="115">
        <v>542628</v>
      </c>
      <c r="H633" s="43" t="s">
        <v>26</v>
      </c>
      <c r="I633" s="117" t="s">
        <v>7</v>
      </c>
      <c r="J633" s="117" t="s">
        <v>21</v>
      </c>
      <c r="K633" s="118" t="s">
        <v>140</v>
      </c>
      <c r="L633" s="118" t="s">
        <v>140</v>
      </c>
      <c r="M633" s="117" t="s">
        <v>134</v>
      </c>
      <c r="N633" s="122">
        <v>46090</v>
      </c>
      <c r="O633" s="123">
        <v>46090</v>
      </c>
      <c r="P633" s="117"/>
      <c r="Q633" s="117" t="s">
        <v>132</v>
      </c>
      <c r="R633" s="116">
        <v>61</v>
      </c>
      <c r="S633" s="124">
        <v>13</v>
      </c>
      <c r="T633" s="50" t="s">
        <v>139</v>
      </c>
      <c r="U633" s="46" t="s">
        <v>137</v>
      </c>
      <c r="V633" s="115"/>
      <c r="W633" s="117"/>
      <c r="X633" s="117"/>
      <c r="Y633" s="117"/>
      <c r="Z633" s="117"/>
      <c r="AA633" s="117"/>
    </row>
    <row r="634" spans="1:27" ht="12.95" customHeight="1">
      <c r="A634" s="43">
        <v>842</v>
      </c>
      <c r="B634" s="116" t="s">
        <v>16</v>
      </c>
      <c r="C634" s="115" t="s">
        <v>12</v>
      </c>
      <c r="D634" s="62" t="s">
        <v>13</v>
      </c>
      <c r="E634" s="44" t="s">
        <v>65</v>
      </c>
      <c r="F634" s="119" t="s">
        <v>19</v>
      </c>
      <c r="G634" s="115">
        <v>546533</v>
      </c>
      <c r="H634" s="91" t="s">
        <v>20</v>
      </c>
      <c r="I634" s="117" t="s">
        <v>7</v>
      </c>
      <c r="J634" s="117" t="s">
        <v>21</v>
      </c>
      <c r="K634" s="118" t="s">
        <v>140</v>
      </c>
      <c r="L634" s="118" t="s">
        <v>140</v>
      </c>
      <c r="M634" s="117" t="s">
        <v>138</v>
      </c>
      <c r="N634" s="122">
        <v>45982</v>
      </c>
      <c r="O634" s="123">
        <v>45982</v>
      </c>
      <c r="P634" s="117"/>
      <c r="Q634" s="117" t="s">
        <v>132</v>
      </c>
      <c r="R634" s="116">
        <v>61</v>
      </c>
      <c r="S634" s="124">
        <v>203</v>
      </c>
      <c r="T634" s="50" t="s">
        <v>135</v>
      </c>
      <c r="U634" s="46" t="s">
        <v>137</v>
      </c>
      <c r="V634" s="115"/>
      <c r="W634" s="117"/>
      <c r="X634" s="117"/>
      <c r="Y634" s="117"/>
      <c r="Z634" s="117"/>
      <c r="AA634" s="117"/>
    </row>
    <row r="635" spans="1:27" ht="12.95" customHeight="1">
      <c r="A635" s="43">
        <v>900</v>
      </c>
      <c r="B635" s="116" t="s">
        <v>16</v>
      </c>
      <c r="C635" s="115" t="s">
        <v>12</v>
      </c>
      <c r="D635" s="62" t="s">
        <v>13</v>
      </c>
      <c r="E635" s="44" t="s">
        <v>65</v>
      </c>
      <c r="F635" s="119" t="s">
        <v>8</v>
      </c>
      <c r="G635" s="115">
        <v>441132</v>
      </c>
      <c r="H635" s="115" t="s">
        <v>17</v>
      </c>
      <c r="I635" s="117" t="s">
        <v>7</v>
      </c>
      <c r="J635" s="117" t="s">
        <v>21</v>
      </c>
      <c r="K635" s="118" t="s">
        <v>140</v>
      </c>
      <c r="L635" s="118" t="s">
        <v>140</v>
      </c>
      <c r="M635" s="117" t="s">
        <v>134</v>
      </c>
      <c r="N635" s="122" t="s">
        <v>135</v>
      </c>
      <c r="O635" s="115"/>
      <c r="P635" s="117"/>
      <c r="Q635" s="117" t="s">
        <v>138</v>
      </c>
      <c r="R635" s="116">
        <v>74</v>
      </c>
      <c r="S635" s="124"/>
      <c r="T635" s="50" t="s">
        <v>139</v>
      </c>
      <c r="U635" s="117" t="s">
        <v>135</v>
      </c>
      <c r="V635" s="115"/>
      <c r="W635" s="117"/>
      <c r="X635" s="117"/>
      <c r="Y635" s="117"/>
      <c r="Z635" s="117"/>
      <c r="AA635" s="117"/>
    </row>
    <row r="636" spans="1:27" ht="12.95" customHeight="1">
      <c r="A636" s="43">
        <v>368</v>
      </c>
      <c r="B636" s="116" t="s">
        <v>16</v>
      </c>
      <c r="C636" s="115" t="s">
        <v>12</v>
      </c>
      <c r="D636" s="62" t="s">
        <v>13</v>
      </c>
      <c r="E636" s="44" t="s">
        <v>65</v>
      </c>
      <c r="F636" s="119" t="s">
        <v>24</v>
      </c>
      <c r="G636" s="115">
        <v>491883</v>
      </c>
      <c r="H636" s="115" t="s">
        <v>9</v>
      </c>
      <c r="I636" s="117" t="s">
        <v>7</v>
      </c>
      <c r="J636" s="117" t="s">
        <v>21</v>
      </c>
      <c r="K636" s="118" t="s">
        <v>140</v>
      </c>
      <c r="L636" s="118" t="s">
        <v>140</v>
      </c>
      <c r="M636" s="117" t="s">
        <v>134</v>
      </c>
      <c r="N636" s="122" t="s">
        <v>135</v>
      </c>
      <c r="O636" s="115"/>
      <c r="P636" s="117"/>
      <c r="Q636" s="117" t="s">
        <v>138</v>
      </c>
      <c r="R636" s="116">
        <v>74</v>
      </c>
      <c r="S636" s="124"/>
      <c r="T636" s="50" t="s">
        <v>139</v>
      </c>
      <c r="U636" s="117" t="s">
        <v>135</v>
      </c>
      <c r="V636" s="115"/>
      <c r="W636" s="117"/>
      <c r="X636" s="117"/>
      <c r="Y636" s="117"/>
      <c r="Z636" s="117"/>
      <c r="AA636" s="117"/>
    </row>
    <row r="637" spans="1:27" ht="12.95" customHeight="1">
      <c r="A637" s="43">
        <v>452</v>
      </c>
      <c r="B637" s="116" t="s">
        <v>16</v>
      </c>
      <c r="C637" s="115" t="s">
        <v>12</v>
      </c>
      <c r="D637" s="62" t="s">
        <v>13</v>
      </c>
      <c r="E637" s="44" t="s">
        <v>65</v>
      </c>
      <c r="F637" s="119" t="s">
        <v>41</v>
      </c>
      <c r="G637" s="115">
        <v>312307</v>
      </c>
      <c r="H637" s="91" t="s">
        <v>20</v>
      </c>
      <c r="I637" s="117" t="s">
        <v>7</v>
      </c>
      <c r="J637" s="117" t="s">
        <v>21</v>
      </c>
      <c r="K637" s="118" t="s">
        <v>140</v>
      </c>
      <c r="L637" s="118" t="s">
        <v>140</v>
      </c>
      <c r="M637" s="117" t="s">
        <v>138</v>
      </c>
      <c r="N637" s="122">
        <v>45982</v>
      </c>
      <c r="O637" s="123">
        <v>45982</v>
      </c>
      <c r="P637" s="117"/>
      <c r="Q637" s="117" t="s">
        <v>132</v>
      </c>
      <c r="R637" s="116">
        <v>61</v>
      </c>
      <c r="S637" s="124">
        <v>203</v>
      </c>
      <c r="T637" s="50" t="s">
        <v>135</v>
      </c>
      <c r="U637" s="46" t="s">
        <v>137</v>
      </c>
      <c r="V637" s="115"/>
      <c r="W637" s="117"/>
      <c r="X637" s="117"/>
      <c r="Y637" s="117"/>
      <c r="Z637" s="117"/>
      <c r="AA637" s="117"/>
    </row>
    <row r="638" spans="1:27" ht="12.95" customHeight="1">
      <c r="A638" s="43">
        <v>586</v>
      </c>
      <c r="B638" s="116" t="s">
        <v>16</v>
      </c>
      <c r="C638" s="115" t="s">
        <v>12</v>
      </c>
      <c r="D638" s="62" t="s">
        <v>13</v>
      </c>
      <c r="E638" s="44" t="s">
        <v>65</v>
      </c>
      <c r="F638" s="119" t="s">
        <v>18</v>
      </c>
      <c r="G638" s="115">
        <v>355251</v>
      </c>
      <c r="H638" s="115" t="s">
        <v>9</v>
      </c>
      <c r="I638" s="117" t="s">
        <v>7</v>
      </c>
      <c r="J638" s="117" t="s">
        <v>21</v>
      </c>
      <c r="K638" s="118" t="s">
        <v>140</v>
      </c>
      <c r="L638" s="118" t="s">
        <v>140</v>
      </c>
      <c r="M638" s="117" t="s">
        <v>134</v>
      </c>
      <c r="N638" s="122" t="s">
        <v>135</v>
      </c>
      <c r="O638" s="115"/>
      <c r="P638" s="117"/>
      <c r="Q638" s="117" t="s">
        <v>138</v>
      </c>
      <c r="R638" s="116">
        <v>74</v>
      </c>
      <c r="S638" s="124"/>
      <c r="T638" s="50" t="s">
        <v>139</v>
      </c>
      <c r="U638" s="117" t="s">
        <v>135</v>
      </c>
      <c r="V638" s="115"/>
      <c r="W638" s="117"/>
      <c r="X638" s="117"/>
      <c r="Y638" s="117"/>
      <c r="Z638" s="117"/>
      <c r="AA638" s="117"/>
    </row>
    <row r="639" spans="1:27" ht="12.95" customHeight="1">
      <c r="A639" s="43">
        <v>498</v>
      </c>
      <c r="B639" s="116" t="s">
        <v>16</v>
      </c>
      <c r="C639" s="115" t="s">
        <v>12</v>
      </c>
      <c r="D639" s="62" t="s">
        <v>13</v>
      </c>
      <c r="E639" s="44" t="s">
        <v>65</v>
      </c>
      <c r="F639" s="119" t="s">
        <v>21</v>
      </c>
      <c r="G639" s="115">
        <v>550446</v>
      </c>
      <c r="H639" s="115" t="s">
        <v>9</v>
      </c>
      <c r="I639" s="117" t="s">
        <v>7</v>
      </c>
      <c r="J639" s="117" t="s">
        <v>21</v>
      </c>
      <c r="K639" s="118" t="s">
        <v>140</v>
      </c>
      <c r="L639" s="118" t="s">
        <v>140</v>
      </c>
      <c r="M639" s="117" t="s">
        <v>134</v>
      </c>
      <c r="N639" s="122" t="s">
        <v>135</v>
      </c>
      <c r="O639" s="115"/>
      <c r="P639" s="117"/>
      <c r="Q639" s="117" t="s">
        <v>138</v>
      </c>
      <c r="R639" s="116">
        <v>74</v>
      </c>
      <c r="S639" s="124"/>
      <c r="T639" s="50" t="s">
        <v>139</v>
      </c>
      <c r="U639" s="117" t="s">
        <v>135</v>
      </c>
      <c r="V639" s="115"/>
      <c r="W639" s="117"/>
      <c r="X639" s="117"/>
      <c r="Y639" s="117"/>
      <c r="Z639" s="117"/>
      <c r="AA639" s="117"/>
    </row>
    <row r="640" spans="1:27" ht="12.95" customHeight="1">
      <c r="A640" s="43">
        <v>728</v>
      </c>
      <c r="B640" s="116" t="s">
        <v>16</v>
      </c>
      <c r="C640" s="115" t="s">
        <v>12</v>
      </c>
      <c r="D640" s="62" t="s">
        <v>13</v>
      </c>
      <c r="E640" s="44" t="s">
        <v>65</v>
      </c>
      <c r="F640" s="119" t="s">
        <v>41</v>
      </c>
      <c r="G640" s="115">
        <v>218617</v>
      </c>
      <c r="H640" s="115" t="s">
        <v>17</v>
      </c>
      <c r="I640" s="117" t="s">
        <v>7</v>
      </c>
      <c r="J640" s="117" t="s">
        <v>21</v>
      </c>
      <c r="K640" s="118" t="s">
        <v>140</v>
      </c>
      <c r="L640" s="118" t="s">
        <v>140</v>
      </c>
      <c r="M640" s="117" t="s">
        <v>134</v>
      </c>
      <c r="N640" s="122">
        <v>46136</v>
      </c>
      <c r="O640" s="123">
        <v>46136</v>
      </c>
      <c r="P640" s="117"/>
      <c r="Q640" s="117" t="s">
        <v>132</v>
      </c>
      <c r="R640" s="116">
        <v>61</v>
      </c>
      <c r="S640" s="124">
        <v>103</v>
      </c>
      <c r="T640" s="50" t="s">
        <v>135</v>
      </c>
      <c r="U640" s="46" t="s">
        <v>137</v>
      </c>
      <c r="V640" s="115"/>
      <c r="W640" s="117"/>
      <c r="X640" s="117"/>
      <c r="Y640" s="117"/>
      <c r="Z640" s="117"/>
      <c r="AA640" s="117"/>
    </row>
    <row r="641" spans="1:27" ht="12.95" customHeight="1">
      <c r="A641" s="43">
        <v>922</v>
      </c>
      <c r="B641" s="116" t="s">
        <v>16</v>
      </c>
      <c r="C641" s="115" t="s">
        <v>12</v>
      </c>
      <c r="D641" s="62" t="s">
        <v>13</v>
      </c>
      <c r="E641" s="44" t="s">
        <v>65</v>
      </c>
      <c r="F641" s="119" t="s">
        <v>25</v>
      </c>
      <c r="G641" s="115">
        <v>335735</v>
      </c>
      <c r="H641" s="115" t="s">
        <v>9</v>
      </c>
      <c r="I641" s="117" t="s">
        <v>7</v>
      </c>
      <c r="J641" s="117" t="s">
        <v>21</v>
      </c>
      <c r="K641" s="118" t="s">
        <v>140</v>
      </c>
      <c r="L641" s="118" t="s">
        <v>140</v>
      </c>
      <c r="M641" s="117" t="s">
        <v>134</v>
      </c>
      <c r="N641" s="122" t="s">
        <v>135</v>
      </c>
      <c r="O641" s="115"/>
      <c r="P641" s="117"/>
      <c r="Q641" s="117" t="s">
        <v>138</v>
      </c>
      <c r="R641" s="116">
        <v>74</v>
      </c>
      <c r="S641" s="124"/>
      <c r="T641" s="50" t="s">
        <v>139</v>
      </c>
      <c r="U641" s="117" t="s">
        <v>135</v>
      </c>
      <c r="V641" s="115"/>
      <c r="W641" s="117"/>
      <c r="X641" s="117"/>
      <c r="Y641" s="117"/>
      <c r="Z641" s="117"/>
      <c r="AA641" s="117"/>
    </row>
    <row r="642" spans="1:27" ht="12.95" customHeight="1">
      <c r="A642" s="43">
        <v>577</v>
      </c>
      <c r="B642" s="116" t="s">
        <v>16</v>
      </c>
      <c r="C642" s="115" t="s">
        <v>12</v>
      </c>
      <c r="D642" s="62" t="s">
        <v>13</v>
      </c>
      <c r="E642" s="44" t="s">
        <v>65</v>
      </c>
      <c r="F642" s="119" t="s">
        <v>28</v>
      </c>
      <c r="G642" s="115">
        <v>316216</v>
      </c>
      <c r="H642" s="115" t="s">
        <v>17</v>
      </c>
      <c r="I642" s="117" t="s">
        <v>7</v>
      </c>
      <c r="J642" s="117" t="s">
        <v>21</v>
      </c>
      <c r="K642" s="118" t="s">
        <v>140</v>
      </c>
      <c r="L642" s="118" t="s">
        <v>140</v>
      </c>
      <c r="M642" s="117" t="s">
        <v>134</v>
      </c>
      <c r="N642" s="122" t="s">
        <v>135</v>
      </c>
      <c r="O642" s="115"/>
      <c r="P642" s="117"/>
      <c r="Q642" s="117" t="s">
        <v>138</v>
      </c>
      <c r="R642" s="116">
        <v>74</v>
      </c>
      <c r="S642" s="124"/>
      <c r="T642" s="50" t="s">
        <v>139</v>
      </c>
      <c r="U642" s="117" t="s">
        <v>135</v>
      </c>
      <c r="V642" s="115"/>
      <c r="W642" s="117"/>
      <c r="X642" s="117"/>
      <c r="Y642" s="117"/>
      <c r="Z642" s="117"/>
      <c r="AA642" s="117"/>
    </row>
    <row r="643" spans="1:27" ht="12.95" customHeight="1">
      <c r="A643" s="43">
        <v>905</v>
      </c>
      <c r="B643" s="116" t="s">
        <v>16</v>
      </c>
      <c r="C643" s="115" t="s">
        <v>12</v>
      </c>
      <c r="D643" s="62" t="s">
        <v>13</v>
      </c>
      <c r="E643" s="44" t="s">
        <v>65</v>
      </c>
      <c r="F643" s="119" t="s">
        <v>24</v>
      </c>
      <c r="G643" s="115">
        <v>519220</v>
      </c>
      <c r="H643" s="43" t="s">
        <v>26</v>
      </c>
      <c r="I643" s="117" t="s">
        <v>7</v>
      </c>
      <c r="J643" s="117" t="s">
        <v>21</v>
      </c>
      <c r="K643" s="118" t="s">
        <v>140</v>
      </c>
      <c r="L643" s="118" t="s">
        <v>140</v>
      </c>
      <c r="M643" s="117" t="s">
        <v>134</v>
      </c>
      <c r="N643" s="122">
        <v>46090</v>
      </c>
      <c r="O643" s="123">
        <v>46090</v>
      </c>
      <c r="P643" s="117"/>
      <c r="Q643" s="117" t="s">
        <v>132</v>
      </c>
      <c r="R643" s="116">
        <v>61</v>
      </c>
      <c r="S643" s="124">
        <v>13</v>
      </c>
      <c r="T643" s="50" t="s">
        <v>139</v>
      </c>
      <c r="U643" s="46" t="s">
        <v>137</v>
      </c>
      <c r="V643" s="115"/>
      <c r="W643" s="117"/>
      <c r="X643" s="117"/>
      <c r="Y643" s="117"/>
      <c r="Z643" s="117"/>
      <c r="AA643" s="117"/>
    </row>
    <row r="644" spans="1:27" ht="12.95" customHeight="1">
      <c r="A644" s="43">
        <v>881</v>
      </c>
      <c r="B644" s="116" t="s">
        <v>16</v>
      </c>
      <c r="C644" s="115" t="s">
        <v>12</v>
      </c>
      <c r="D644" s="62" t="s">
        <v>13</v>
      </c>
      <c r="E644" s="44" t="s">
        <v>65</v>
      </c>
      <c r="F644" s="119" t="s">
        <v>22</v>
      </c>
      <c r="G644" s="115">
        <v>308411</v>
      </c>
      <c r="H644" s="115" t="s">
        <v>9</v>
      </c>
      <c r="I644" s="117" t="s">
        <v>7</v>
      </c>
      <c r="J644" s="117" t="s">
        <v>21</v>
      </c>
      <c r="K644" s="118" t="s">
        <v>140</v>
      </c>
      <c r="L644" s="118" t="s">
        <v>140</v>
      </c>
      <c r="M644" s="117" t="s">
        <v>134</v>
      </c>
      <c r="N644" s="122" t="s">
        <v>135</v>
      </c>
      <c r="O644" s="115"/>
      <c r="P644" s="117"/>
      <c r="Q644" s="117" t="s">
        <v>138</v>
      </c>
      <c r="R644" s="116">
        <v>74</v>
      </c>
      <c r="S644" s="124"/>
      <c r="T644" s="50" t="s">
        <v>139</v>
      </c>
      <c r="U644" s="117" t="s">
        <v>135</v>
      </c>
      <c r="V644" s="115"/>
      <c r="W644" s="117"/>
      <c r="X644" s="117"/>
      <c r="Y644" s="117"/>
      <c r="Z644" s="117"/>
      <c r="AA644" s="117"/>
    </row>
    <row r="645" spans="1:27" ht="12.95" customHeight="1">
      <c r="A645" s="43">
        <v>805</v>
      </c>
      <c r="B645" s="116" t="s">
        <v>16</v>
      </c>
      <c r="C645" s="115" t="s">
        <v>12</v>
      </c>
      <c r="D645" s="62" t="s">
        <v>13</v>
      </c>
      <c r="E645" s="44" t="s">
        <v>65</v>
      </c>
      <c r="F645" s="119" t="s">
        <v>4</v>
      </c>
      <c r="G645" s="115">
        <v>308412</v>
      </c>
      <c r="H645" s="115" t="s">
        <v>9</v>
      </c>
      <c r="I645" s="117" t="s">
        <v>7</v>
      </c>
      <c r="J645" s="117" t="s">
        <v>21</v>
      </c>
      <c r="K645" s="118" t="s">
        <v>140</v>
      </c>
      <c r="L645" s="118" t="s">
        <v>140</v>
      </c>
      <c r="M645" s="117" t="s">
        <v>134</v>
      </c>
      <c r="N645" s="122" t="s">
        <v>135</v>
      </c>
      <c r="O645" s="115"/>
      <c r="P645" s="117"/>
      <c r="Q645" s="117" t="s">
        <v>138</v>
      </c>
      <c r="R645" s="116">
        <v>74</v>
      </c>
      <c r="S645" s="124"/>
      <c r="T645" s="50" t="s">
        <v>139</v>
      </c>
      <c r="U645" s="117" t="s">
        <v>135</v>
      </c>
      <c r="V645" s="115"/>
      <c r="W645" s="117"/>
      <c r="X645" s="117"/>
      <c r="Y645" s="117"/>
      <c r="Z645" s="117"/>
      <c r="AA645" s="117"/>
    </row>
    <row r="646" spans="1:27" ht="12.95" customHeight="1">
      <c r="A646" s="43">
        <v>568</v>
      </c>
      <c r="B646" s="116" t="s">
        <v>16</v>
      </c>
      <c r="C646" s="115" t="s">
        <v>12</v>
      </c>
      <c r="D646" s="62" t="s">
        <v>13</v>
      </c>
      <c r="E646" s="44" t="s">
        <v>65</v>
      </c>
      <c r="F646" s="119" t="s">
        <v>9</v>
      </c>
      <c r="G646" s="115">
        <v>359164</v>
      </c>
      <c r="H646" s="91" t="s">
        <v>20</v>
      </c>
      <c r="I646" s="117" t="s">
        <v>12</v>
      </c>
      <c r="J646" s="117" t="s">
        <v>12</v>
      </c>
      <c r="K646" s="118" t="s">
        <v>134</v>
      </c>
      <c r="L646" s="118" t="s">
        <v>134</v>
      </c>
      <c r="M646" s="117" t="s">
        <v>132</v>
      </c>
      <c r="N646" s="122" t="s">
        <v>135</v>
      </c>
      <c r="O646" s="115"/>
      <c r="P646" s="117"/>
      <c r="Q646" s="117" t="s">
        <v>138</v>
      </c>
      <c r="R646" s="116">
        <v>74</v>
      </c>
      <c r="S646" s="124"/>
      <c r="T646" s="50" t="s">
        <v>139</v>
      </c>
      <c r="U646" s="117" t="s">
        <v>135</v>
      </c>
      <c r="V646" s="115"/>
      <c r="W646" s="117"/>
      <c r="X646" s="117"/>
      <c r="Y646" s="117"/>
      <c r="Z646" s="117"/>
      <c r="AA646" s="117"/>
    </row>
    <row r="647" spans="1:27" ht="12.95" customHeight="1">
      <c r="A647" s="43">
        <v>659</v>
      </c>
      <c r="B647" s="116" t="s">
        <v>16</v>
      </c>
      <c r="C647" s="115" t="s">
        <v>12</v>
      </c>
      <c r="D647" s="62" t="s">
        <v>13</v>
      </c>
      <c r="E647" s="44" t="s">
        <v>65</v>
      </c>
      <c r="F647" s="119" t="s">
        <v>33</v>
      </c>
      <c r="G647" s="115">
        <v>324030</v>
      </c>
      <c r="H647" s="115" t="s">
        <v>41</v>
      </c>
      <c r="I647" s="117" t="s">
        <v>9</v>
      </c>
      <c r="J647" s="117" t="s">
        <v>43</v>
      </c>
      <c r="K647" s="118" t="s">
        <v>134</v>
      </c>
      <c r="L647" s="118" t="s">
        <v>134</v>
      </c>
      <c r="M647" s="117" t="s">
        <v>131</v>
      </c>
      <c r="N647" s="122" t="s">
        <v>135</v>
      </c>
      <c r="O647" s="115"/>
      <c r="P647" s="117"/>
      <c r="Q647" s="117" t="s">
        <v>127</v>
      </c>
      <c r="R647" s="116">
        <v>40</v>
      </c>
      <c r="S647" s="124"/>
      <c r="T647" s="50" t="s">
        <v>139</v>
      </c>
      <c r="U647" s="117" t="s">
        <v>135</v>
      </c>
      <c r="V647" s="115"/>
      <c r="W647" s="117"/>
      <c r="X647" s="117"/>
      <c r="Y647" s="117"/>
      <c r="Z647" s="117"/>
      <c r="AA647" s="117"/>
    </row>
    <row r="648" spans="1:27" ht="12.95" customHeight="1">
      <c r="A648" s="43">
        <v>537</v>
      </c>
      <c r="B648" s="116" t="s">
        <v>16</v>
      </c>
      <c r="C648" s="115" t="s">
        <v>12</v>
      </c>
      <c r="D648" s="62" t="s">
        <v>13</v>
      </c>
      <c r="E648" s="44" t="s">
        <v>65</v>
      </c>
      <c r="F648" s="119" t="s">
        <v>33</v>
      </c>
      <c r="G648" s="115">
        <v>437246</v>
      </c>
      <c r="H648" s="115" t="s">
        <v>41</v>
      </c>
      <c r="I648" s="117" t="s">
        <v>9</v>
      </c>
      <c r="J648" s="117" t="s">
        <v>43</v>
      </c>
      <c r="K648" s="118" t="s">
        <v>134</v>
      </c>
      <c r="L648" s="118" t="s">
        <v>134</v>
      </c>
      <c r="M648" s="117" t="s">
        <v>131</v>
      </c>
      <c r="N648" s="122" t="s">
        <v>135</v>
      </c>
      <c r="O648" s="115"/>
      <c r="P648" s="117"/>
      <c r="Q648" s="117" t="s">
        <v>127</v>
      </c>
      <c r="R648" s="116">
        <v>40</v>
      </c>
      <c r="S648" s="124"/>
      <c r="T648" s="50" t="s">
        <v>139</v>
      </c>
      <c r="U648" s="117" t="s">
        <v>135</v>
      </c>
      <c r="V648" s="115"/>
      <c r="W648" s="117"/>
      <c r="X648" s="117"/>
      <c r="Y648" s="117"/>
      <c r="Z648" s="117"/>
      <c r="AA648" s="117"/>
    </row>
    <row r="649" spans="1:27" ht="12.95" customHeight="1">
      <c r="A649" s="43">
        <v>402</v>
      </c>
      <c r="B649" s="116" t="s">
        <v>16</v>
      </c>
      <c r="C649" s="115" t="s">
        <v>12</v>
      </c>
      <c r="D649" s="62" t="s">
        <v>13</v>
      </c>
      <c r="E649" s="44" t="s">
        <v>65</v>
      </c>
      <c r="F649" s="119" t="s">
        <v>33</v>
      </c>
      <c r="G649" s="115">
        <v>292799</v>
      </c>
      <c r="H649" s="115" t="s">
        <v>41</v>
      </c>
      <c r="I649" s="117" t="s">
        <v>9</v>
      </c>
      <c r="J649" s="117" t="s">
        <v>43</v>
      </c>
      <c r="K649" s="118" t="s">
        <v>134</v>
      </c>
      <c r="L649" s="118" t="s">
        <v>134</v>
      </c>
      <c r="M649" s="117" t="s">
        <v>131</v>
      </c>
      <c r="N649" s="122" t="s">
        <v>135</v>
      </c>
      <c r="O649" s="115"/>
      <c r="P649" s="117"/>
      <c r="Q649" s="117" t="s">
        <v>127</v>
      </c>
      <c r="R649" s="116">
        <v>40</v>
      </c>
      <c r="S649" s="124"/>
      <c r="T649" s="50" t="s">
        <v>139</v>
      </c>
      <c r="U649" s="117" t="s">
        <v>135</v>
      </c>
      <c r="V649" s="115"/>
      <c r="W649" s="117"/>
      <c r="X649" s="117"/>
      <c r="Y649" s="117"/>
      <c r="Z649" s="117"/>
      <c r="AA649" s="117"/>
    </row>
    <row r="650" spans="1:27" ht="12.95" customHeight="1">
      <c r="A650" s="43">
        <v>857</v>
      </c>
      <c r="B650" s="116" t="s">
        <v>16</v>
      </c>
      <c r="C650" s="115" t="s">
        <v>12</v>
      </c>
      <c r="D650" s="62" t="s">
        <v>13</v>
      </c>
      <c r="E650" s="44" t="s">
        <v>65</v>
      </c>
      <c r="F650" s="119" t="s">
        <v>33</v>
      </c>
      <c r="G650" s="115">
        <v>226432</v>
      </c>
      <c r="H650" s="115" t="s">
        <v>41</v>
      </c>
      <c r="I650" s="117" t="s">
        <v>9</v>
      </c>
      <c r="J650" s="117" t="s">
        <v>43</v>
      </c>
      <c r="K650" s="118" t="s">
        <v>134</v>
      </c>
      <c r="L650" s="118" t="s">
        <v>134</v>
      </c>
      <c r="M650" s="117" t="s">
        <v>131</v>
      </c>
      <c r="N650" s="122" t="s">
        <v>135</v>
      </c>
      <c r="O650" s="115"/>
      <c r="P650" s="117"/>
      <c r="Q650" s="117" t="s">
        <v>127</v>
      </c>
      <c r="R650" s="116">
        <v>40</v>
      </c>
      <c r="S650" s="124"/>
      <c r="T650" s="50" t="s">
        <v>139</v>
      </c>
      <c r="U650" s="117" t="s">
        <v>135</v>
      </c>
      <c r="V650" s="115"/>
      <c r="W650" s="117"/>
      <c r="X650" s="117"/>
      <c r="Y650" s="117"/>
      <c r="Z650" s="117"/>
      <c r="AA650" s="117"/>
    </row>
    <row r="651" spans="1:27" ht="12.95" customHeight="1">
      <c r="A651" s="43">
        <v>715</v>
      </c>
      <c r="B651" s="116" t="s">
        <v>16</v>
      </c>
      <c r="C651" s="115" t="s">
        <v>12</v>
      </c>
      <c r="D651" s="62" t="s">
        <v>13</v>
      </c>
      <c r="E651" s="44" t="s">
        <v>65</v>
      </c>
      <c r="F651" s="119" t="s">
        <v>33</v>
      </c>
      <c r="G651" s="115">
        <v>413825</v>
      </c>
      <c r="H651" s="115" t="s">
        <v>41</v>
      </c>
      <c r="I651" s="117" t="s">
        <v>9</v>
      </c>
      <c r="J651" s="117" t="s">
        <v>43</v>
      </c>
      <c r="K651" s="118" t="s">
        <v>134</v>
      </c>
      <c r="L651" s="118" t="s">
        <v>134</v>
      </c>
      <c r="M651" s="117" t="s">
        <v>131</v>
      </c>
      <c r="N651" s="122" t="s">
        <v>135</v>
      </c>
      <c r="O651" s="115"/>
      <c r="P651" s="117"/>
      <c r="Q651" s="117" t="s">
        <v>127</v>
      </c>
      <c r="R651" s="116">
        <v>40</v>
      </c>
      <c r="S651" s="124"/>
      <c r="T651" s="50" t="s">
        <v>139</v>
      </c>
      <c r="U651" s="117" t="s">
        <v>135</v>
      </c>
      <c r="V651" s="115"/>
      <c r="W651" s="117"/>
      <c r="X651" s="117"/>
      <c r="Y651" s="117"/>
      <c r="Z651" s="117"/>
      <c r="AA651" s="117"/>
    </row>
    <row r="652" spans="1:27" ht="12.95" customHeight="1">
      <c r="A652" s="43">
        <v>879</v>
      </c>
      <c r="B652" s="116" t="s">
        <v>16</v>
      </c>
      <c r="C652" s="115" t="s">
        <v>12</v>
      </c>
      <c r="D652" s="62" t="s">
        <v>13</v>
      </c>
      <c r="E652" s="44" t="s">
        <v>65</v>
      </c>
      <c r="F652" s="119" t="s">
        <v>33</v>
      </c>
      <c r="G652" s="115">
        <v>409922</v>
      </c>
      <c r="H652" s="115" t="s">
        <v>41</v>
      </c>
      <c r="I652" s="117" t="s">
        <v>9</v>
      </c>
      <c r="J652" s="117" t="s">
        <v>43</v>
      </c>
      <c r="K652" s="118" t="s">
        <v>134</v>
      </c>
      <c r="L652" s="118" t="s">
        <v>134</v>
      </c>
      <c r="M652" s="117" t="s">
        <v>131</v>
      </c>
      <c r="N652" s="122" t="s">
        <v>135</v>
      </c>
      <c r="O652" s="115"/>
      <c r="P652" s="117"/>
      <c r="Q652" s="117" t="s">
        <v>127</v>
      </c>
      <c r="R652" s="116">
        <v>40</v>
      </c>
      <c r="S652" s="124"/>
      <c r="T652" s="50" t="s">
        <v>139</v>
      </c>
      <c r="U652" s="117" t="s">
        <v>135</v>
      </c>
      <c r="V652" s="115"/>
      <c r="W652" s="117"/>
      <c r="X652" s="117"/>
      <c r="Y652" s="117"/>
      <c r="Z652" s="117"/>
      <c r="AA652" s="117"/>
    </row>
    <row r="653" spans="1:27" ht="12.95" customHeight="1">
      <c r="A653" s="43">
        <v>717</v>
      </c>
      <c r="B653" s="116" t="s">
        <v>16</v>
      </c>
      <c r="C653" s="115" t="s">
        <v>12</v>
      </c>
      <c r="D653" s="62" t="s">
        <v>13</v>
      </c>
      <c r="E653" s="44" t="s">
        <v>65</v>
      </c>
      <c r="F653" s="119" t="s">
        <v>33</v>
      </c>
      <c r="G653" s="115">
        <v>484100</v>
      </c>
      <c r="H653" s="115" t="s">
        <v>41</v>
      </c>
      <c r="I653" s="117" t="s">
        <v>9</v>
      </c>
      <c r="J653" s="117" t="s">
        <v>43</v>
      </c>
      <c r="K653" s="118" t="s">
        <v>134</v>
      </c>
      <c r="L653" s="118" t="s">
        <v>134</v>
      </c>
      <c r="M653" s="117" t="s">
        <v>131</v>
      </c>
      <c r="N653" s="122" t="s">
        <v>135</v>
      </c>
      <c r="O653" s="115"/>
      <c r="P653" s="117"/>
      <c r="Q653" s="117" t="s">
        <v>127</v>
      </c>
      <c r="R653" s="116">
        <v>40</v>
      </c>
      <c r="S653" s="124"/>
      <c r="T653" s="50" t="s">
        <v>139</v>
      </c>
      <c r="U653" s="117" t="s">
        <v>135</v>
      </c>
      <c r="V653" s="115"/>
      <c r="W653" s="117"/>
      <c r="X653" s="117"/>
      <c r="Y653" s="117"/>
      <c r="Z653" s="117"/>
      <c r="AA653" s="117"/>
    </row>
    <row r="654" spans="1:27" ht="12.95" customHeight="1">
      <c r="A654" s="43">
        <v>640</v>
      </c>
      <c r="B654" s="116" t="s">
        <v>16</v>
      </c>
      <c r="C654" s="115" t="s">
        <v>12</v>
      </c>
      <c r="D654" s="62" t="s">
        <v>13</v>
      </c>
      <c r="E654" s="44" t="s">
        <v>65</v>
      </c>
      <c r="F654" s="119" t="s">
        <v>33</v>
      </c>
      <c r="G654" s="115">
        <v>312323</v>
      </c>
      <c r="H654" s="115" t="s">
        <v>41</v>
      </c>
      <c r="I654" s="117" t="s">
        <v>9</v>
      </c>
      <c r="J654" s="117" t="s">
        <v>43</v>
      </c>
      <c r="K654" s="118" t="s">
        <v>134</v>
      </c>
      <c r="L654" s="118" t="s">
        <v>134</v>
      </c>
      <c r="M654" s="117" t="s">
        <v>131</v>
      </c>
      <c r="N654" s="122" t="s">
        <v>135</v>
      </c>
      <c r="O654" s="115"/>
      <c r="P654" s="117"/>
      <c r="Q654" s="117" t="s">
        <v>127</v>
      </c>
      <c r="R654" s="116">
        <v>40</v>
      </c>
      <c r="S654" s="124"/>
      <c r="T654" s="50" t="s">
        <v>139</v>
      </c>
      <c r="U654" s="117" t="s">
        <v>135</v>
      </c>
      <c r="V654" s="115"/>
      <c r="W654" s="117"/>
      <c r="X654" s="117"/>
      <c r="Y654" s="117"/>
      <c r="Z654" s="117"/>
      <c r="AA654" s="117"/>
    </row>
    <row r="655" spans="1:27" ht="12.95" customHeight="1">
      <c r="A655" s="43">
        <v>791</v>
      </c>
      <c r="B655" s="116" t="s">
        <v>16</v>
      </c>
      <c r="C655" s="115" t="s">
        <v>12</v>
      </c>
      <c r="D655" s="62" t="s">
        <v>13</v>
      </c>
      <c r="E655" s="44" t="s">
        <v>65</v>
      </c>
      <c r="F655" s="119" t="s">
        <v>33</v>
      </c>
      <c r="G655" s="115">
        <v>320132</v>
      </c>
      <c r="H655" s="115" t="s">
        <v>41</v>
      </c>
      <c r="I655" s="117" t="s">
        <v>9</v>
      </c>
      <c r="J655" s="117" t="s">
        <v>43</v>
      </c>
      <c r="K655" s="118" t="s">
        <v>134</v>
      </c>
      <c r="L655" s="118" t="s">
        <v>134</v>
      </c>
      <c r="M655" s="117" t="s">
        <v>131</v>
      </c>
      <c r="N655" s="122" t="s">
        <v>135</v>
      </c>
      <c r="O655" s="115"/>
      <c r="P655" s="117"/>
      <c r="Q655" s="117" t="s">
        <v>127</v>
      </c>
      <c r="R655" s="116">
        <v>40</v>
      </c>
      <c r="S655" s="124"/>
      <c r="T655" s="50" t="s">
        <v>139</v>
      </c>
      <c r="U655" s="117" t="s">
        <v>135</v>
      </c>
      <c r="V655" s="115"/>
      <c r="W655" s="117"/>
      <c r="X655" s="117"/>
      <c r="Y655" s="117"/>
      <c r="Z655" s="117"/>
      <c r="AA655" s="117"/>
    </row>
    <row r="656" spans="1:27" ht="12.95" customHeight="1">
      <c r="A656" s="43">
        <v>852</v>
      </c>
      <c r="B656" s="116" t="s">
        <v>16</v>
      </c>
      <c r="C656" s="115" t="s">
        <v>12</v>
      </c>
      <c r="D656" s="62" t="s">
        <v>13</v>
      </c>
      <c r="E656" s="44" t="s">
        <v>65</v>
      </c>
      <c r="F656" s="119" t="s">
        <v>33</v>
      </c>
      <c r="G656" s="115">
        <v>339653</v>
      </c>
      <c r="H656" s="115" t="s">
        <v>41</v>
      </c>
      <c r="I656" s="117" t="s">
        <v>9</v>
      </c>
      <c r="J656" s="117" t="s">
        <v>43</v>
      </c>
      <c r="K656" s="118" t="s">
        <v>134</v>
      </c>
      <c r="L656" s="118" t="s">
        <v>134</v>
      </c>
      <c r="M656" s="117" t="s">
        <v>131</v>
      </c>
      <c r="N656" s="122" t="s">
        <v>135</v>
      </c>
      <c r="O656" s="115"/>
      <c r="P656" s="117"/>
      <c r="Q656" s="117" t="s">
        <v>127</v>
      </c>
      <c r="R656" s="116">
        <v>40</v>
      </c>
      <c r="S656" s="124"/>
      <c r="T656" s="50" t="s">
        <v>139</v>
      </c>
      <c r="U656" s="117" t="s">
        <v>135</v>
      </c>
      <c r="V656" s="115"/>
      <c r="W656" s="117"/>
      <c r="X656" s="117"/>
      <c r="Y656" s="117"/>
      <c r="Z656" s="117"/>
      <c r="AA656" s="117"/>
    </row>
    <row r="657" spans="1:27" ht="12.95" customHeight="1">
      <c r="A657" s="43">
        <v>715</v>
      </c>
      <c r="B657" s="116" t="s">
        <v>16</v>
      </c>
      <c r="C657" s="115" t="s">
        <v>12</v>
      </c>
      <c r="D657" s="62" t="s">
        <v>13</v>
      </c>
      <c r="E657" s="44" t="s">
        <v>65</v>
      </c>
      <c r="F657" s="119" t="s">
        <v>6</v>
      </c>
      <c r="G657" s="115">
        <v>374793</v>
      </c>
      <c r="H657" s="115" t="s">
        <v>26</v>
      </c>
      <c r="I657" s="117" t="s">
        <v>16</v>
      </c>
      <c r="J657" s="117" t="s">
        <v>16</v>
      </c>
      <c r="K657" s="118" t="s">
        <v>134</v>
      </c>
      <c r="L657" s="118" t="s">
        <v>134</v>
      </c>
      <c r="M657" s="117" t="s">
        <v>137</v>
      </c>
      <c r="N657" s="122" t="s">
        <v>135</v>
      </c>
      <c r="O657" s="115"/>
      <c r="P657" s="117"/>
      <c r="Q657" s="117" t="s">
        <v>141</v>
      </c>
      <c r="R657" s="116">
        <v>54</v>
      </c>
      <c r="S657" s="124"/>
      <c r="T657" s="50" t="s">
        <v>139</v>
      </c>
      <c r="U657" s="117" t="s">
        <v>135</v>
      </c>
      <c r="V657" s="115"/>
      <c r="W657" s="117"/>
      <c r="X657" s="117"/>
      <c r="Y657" s="117"/>
      <c r="Z657" s="117"/>
      <c r="AA657" s="117"/>
    </row>
    <row r="658" spans="1:27" ht="12.95" customHeight="1">
      <c r="A658" s="43">
        <v>841</v>
      </c>
      <c r="B658" s="116" t="s">
        <v>16</v>
      </c>
      <c r="C658" s="115" t="s">
        <v>12</v>
      </c>
      <c r="D658" s="62" t="s">
        <v>13</v>
      </c>
      <c r="E658" s="44" t="s">
        <v>65</v>
      </c>
      <c r="F658" s="119" t="s">
        <v>14</v>
      </c>
      <c r="G658" s="115">
        <v>339658</v>
      </c>
      <c r="H658" s="115" t="s">
        <v>26</v>
      </c>
      <c r="I658" s="117" t="s">
        <v>7</v>
      </c>
      <c r="J658" s="117" t="s">
        <v>21</v>
      </c>
      <c r="K658" s="118" t="s">
        <v>140</v>
      </c>
      <c r="L658" s="118" t="s">
        <v>140</v>
      </c>
      <c r="M658" s="117" t="s">
        <v>134</v>
      </c>
      <c r="N658" s="122" t="s">
        <v>135</v>
      </c>
      <c r="O658" s="115"/>
      <c r="P658" s="117"/>
      <c r="Q658" s="117" t="s">
        <v>141</v>
      </c>
      <c r="R658" s="116">
        <v>54</v>
      </c>
      <c r="S658" s="124"/>
      <c r="T658" s="50" t="s">
        <v>139</v>
      </c>
      <c r="U658" s="117" t="s">
        <v>135</v>
      </c>
      <c r="V658" s="115"/>
      <c r="W658" s="117"/>
      <c r="X658" s="117"/>
      <c r="Y658" s="117"/>
      <c r="Z658" s="117"/>
      <c r="AA658" s="117"/>
    </row>
    <row r="659" spans="1:27" ht="12.95" customHeight="1">
      <c r="A659" s="43">
        <v>822</v>
      </c>
      <c r="B659" s="116" t="s">
        <v>16</v>
      </c>
      <c r="C659" s="115" t="s">
        <v>12</v>
      </c>
      <c r="D659" s="62" t="s">
        <v>13</v>
      </c>
      <c r="E659" s="44" t="s">
        <v>65</v>
      </c>
      <c r="F659" s="119" t="s">
        <v>14</v>
      </c>
      <c r="G659" s="115">
        <v>242055</v>
      </c>
      <c r="H659" s="115" t="s">
        <v>26</v>
      </c>
      <c r="I659" s="117" t="s">
        <v>7</v>
      </c>
      <c r="J659" s="117" t="s">
        <v>21</v>
      </c>
      <c r="K659" s="118" t="s">
        <v>140</v>
      </c>
      <c r="L659" s="118" t="s">
        <v>140</v>
      </c>
      <c r="M659" s="117" t="s">
        <v>134</v>
      </c>
      <c r="N659" s="122" t="s">
        <v>135</v>
      </c>
      <c r="O659" s="115"/>
      <c r="P659" s="117"/>
      <c r="Q659" s="117" t="s">
        <v>141</v>
      </c>
      <c r="R659" s="116">
        <v>54</v>
      </c>
      <c r="S659" s="124"/>
      <c r="T659" s="50" t="s">
        <v>139</v>
      </c>
      <c r="U659" s="117" t="s">
        <v>135</v>
      </c>
      <c r="V659" s="115"/>
      <c r="W659" s="117"/>
      <c r="X659" s="117"/>
      <c r="Y659" s="117"/>
      <c r="Z659" s="117"/>
      <c r="AA659" s="117"/>
    </row>
    <row r="660" spans="1:27" ht="12.95" customHeight="1">
      <c r="A660" s="43">
        <v>600</v>
      </c>
      <c r="B660" s="116" t="s">
        <v>16</v>
      </c>
      <c r="C660" s="115" t="s">
        <v>12</v>
      </c>
      <c r="D660" s="62" t="s">
        <v>13</v>
      </c>
      <c r="E660" s="44" t="s">
        <v>65</v>
      </c>
      <c r="F660" s="119" t="s">
        <v>14</v>
      </c>
      <c r="G660" s="115">
        <v>456783</v>
      </c>
      <c r="H660" s="115" t="s">
        <v>26</v>
      </c>
      <c r="I660" s="117" t="s">
        <v>7</v>
      </c>
      <c r="J660" s="117" t="s">
        <v>21</v>
      </c>
      <c r="K660" s="118" t="s">
        <v>140</v>
      </c>
      <c r="L660" s="118" t="s">
        <v>140</v>
      </c>
      <c r="M660" s="117" t="s">
        <v>134</v>
      </c>
      <c r="N660" s="122" t="s">
        <v>135</v>
      </c>
      <c r="O660" s="115"/>
      <c r="P660" s="117"/>
      <c r="Q660" s="117" t="s">
        <v>141</v>
      </c>
      <c r="R660" s="116">
        <v>54</v>
      </c>
      <c r="S660" s="124"/>
      <c r="T660" s="50" t="s">
        <v>139</v>
      </c>
      <c r="U660" s="117" t="s">
        <v>135</v>
      </c>
      <c r="V660" s="115"/>
      <c r="W660" s="117"/>
      <c r="X660" s="117"/>
      <c r="Y660" s="117"/>
      <c r="Z660" s="117"/>
      <c r="AA660" s="117"/>
    </row>
    <row r="661" spans="1:27" ht="12.95" customHeight="1">
      <c r="A661" s="43">
        <v>713</v>
      </c>
      <c r="B661" s="116" t="s">
        <v>16</v>
      </c>
      <c r="C661" s="115" t="s">
        <v>12</v>
      </c>
      <c r="D661" s="62" t="s">
        <v>13</v>
      </c>
      <c r="E661" s="44" t="s">
        <v>65</v>
      </c>
      <c r="F661" s="119" t="s">
        <v>14</v>
      </c>
      <c r="G661" s="115">
        <v>226440</v>
      </c>
      <c r="H661" s="115" t="s">
        <v>26</v>
      </c>
      <c r="I661" s="117" t="s">
        <v>7</v>
      </c>
      <c r="J661" s="117" t="s">
        <v>21</v>
      </c>
      <c r="K661" s="118" t="s">
        <v>140</v>
      </c>
      <c r="L661" s="118" t="s">
        <v>140</v>
      </c>
      <c r="M661" s="117" t="s">
        <v>134</v>
      </c>
      <c r="N661" s="122" t="s">
        <v>135</v>
      </c>
      <c r="O661" s="115"/>
      <c r="P661" s="117"/>
      <c r="Q661" s="117" t="s">
        <v>141</v>
      </c>
      <c r="R661" s="116">
        <v>54</v>
      </c>
      <c r="S661" s="124"/>
      <c r="T661" s="50" t="s">
        <v>139</v>
      </c>
      <c r="U661" s="117" t="s">
        <v>135</v>
      </c>
      <c r="V661" s="115"/>
      <c r="W661" s="117"/>
      <c r="X661" s="117"/>
      <c r="Y661" s="117"/>
      <c r="Z661" s="117"/>
      <c r="AA661" s="117"/>
    </row>
    <row r="662" spans="1:27" ht="12.95" customHeight="1">
      <c r="A662" s="43">
        <v>707</v>
      </c>
      <c r="B662" s="116" t="s">
        <v>16</v>
      </c>
      <c r="C662" s="115" t="s">
        <v>12</v>
      </c>
      <c r="D662" s="62" t="s">
        <v>13</v>
      </c>
      <c r="E662" s="44" t="s">
        <v>65</v>
      </c>
      <c r="F662" s="119" t="s">
        <v>27</v>
      </c>
      <c r="G662" s="115">
        <v>292811</v>
      </c>
      <c r="H662" s="115" t="s">
        <v>26</v>
      </c>
      <c r="I662" s="117" t="s">
        <v>7</v>
      </c>
      <c r="J662" s="117" t="s">
        <v>13</v>
      </c>
      <c r="K662" s="118" t="s">
        <v>134</v>
      </c>
      <c r="L662" s="118" t="s">
        <v>134</v>
      </c>
      <c r="M662" s="117" t="s">
        <v>141</v>
      </c>
      <c r="N662" s="122" t="s">
        <v>135</v>
      </c>
      <c r="O662" s="115"/>
      <c r="P662" s="117"/>
      <c r="Q662" s="117" t="s">
        <v>141</v>
      </c>
      <c r="R662" s="116">
        <v>54</v>
      </c>
      <c r="S662" s="124"/>
      <c r="T662" s="50" t="s">
        <v>139</v>
      </c>
      <c r="U662" s="117" t="s">
        <v>135</v>
      </c>
      <c r="V662" s="115"/>
      <c r="W662" s="117"/>
      <c r="X662" s="117"/>
      <c r="Y662" s="117"/>
      <c r="Z662" s="117"/>
      <c r="AA662" s="117"/>
    </row>
    <row r="663" spans="1:27" ht="12.95" customHeight="1">
      <c r="A663" s="43">
        <v>616</v>
      </c>
      <c r="B663" s="116" t="s">
        <v>16</v>
      </c>
      <c r="C663" s="115" t="s">
        <v>12</v>
      </c>
      <c r="D663" s="62" t="s">
        <v>13</v>
      </c>
      <c r="E663" s="44" t="s">
        <v>65</v>
      </c>
      <c r="F663" s="119" t="s">
        <v>27</v>
      </c>
      <c r="G663" s="115">
        <v>507541</v>
      </c>
      <c r="H663" s="115" t="s">
        <v>26</v>
      </c>
      <c r="I663" s="117" t="s">
        <v>7</v>
      </c>
      <c r="J663" s="117" t="s">
        <v>13</v>
      </c>
      <c r="K663" s="118" t="s">
        <v>134</v>
      </c>
      <c r="L663" s="118" t="s">
        <v>134</v>
      </c>
      <c r="M663" s="117" t="s">
        <v>141</v>
      </c>
      <c r="N663" s="122" t="s">
        <v>135</v>
      </c>
      <c r="O663" s="115"/>
      <c r="P663" s="117"/>
      <c r="Q663" s="117" t="s">
        <v>141</v>
      </c>
      <c r="R663" s="116">
        <v>54</v>
      </c>
      <c r="S663" s="124"/>
      <c r="T663" s="50" t="s">
        <v>139</v>
      </c>
      <c r="U663" s="117" t="s">
        <v>135</v>
      </c>
      <c r="V663" s="115"/>
      <c r="W663" s="117"/>
      <c r="X663" s="117"/>
      <c r="Y663" s="117"/>
      <c r="Z663" s="117"/>
      <c r="AA663" s="117"/>
    </row>
    <row r="664" spans="1:27" ht="12.95" customHeight="1">
      <c r="A664" s="43">
        <v>537</v>
      </c>
      <c r="B664" s="116" t="s">
        <v>16</v>
      </c>
      <c r="C664" s="115" t="s">
        <v>12</v>
      </c>
      <c r="D664" s="62" t="s">
        <v>13</v>
      </c>
      <c r="E664" s="44" t="s">
        <v>65</v>
      </c>
      <c r="F664" s="119" t="s">
        <v>27</v>
      </c>
      <c r="G664" s="115">
        <v>429459</v>
      </c>
      <c r="H664" s="115" t="s">
        <v>26</v>
      </c>
      <c r="I664" s="117" t="s">
        <v>7</v>
      </c>
      <c r="J664" s="117" t="s">
        <v>27</v>
      </c>
      <c r="K664" s="118" t="s">
        <v>132</v>
      </c>
      <c r="L664" s="117" t="s">
        <v>134</v>
      </c>
      <c r="M664" s="117" t="s">
        <v>135</v>
      </c>
      <c r="N664" s="122" t="s">
        <v>135</v>
      </c>
      <c r="O664" s="115"/>
      <c r="P664" s="117"/>
      <c r="Q664" s="117" t="s">
        <v>141</v>
      </c>
      <c r="R664" s="116">
        <v>54</v>
      </c>
      <c r="S664" s="124"/>
      <c r="T664" s="50" t="s">
        <v>139</v>
      </c>
      <c r="U664" s="117" t="s">
        <v>135</v>
      </c>
      <c r="V664" s="115"/>
      <c r="W664" s="117"/>
      <c r="X664" s="117"/>
      <c r="Y664" s="117"/>
      <c r="Z664" s="117"/>
      <c r="AA664" s="117"/>
    </row>
    <row r="665" spans="1:27" ht="12.95" customHeight="1">
      <c r="A665" s="43">
        <v>657</v>
      </c>
      <c r="B665" s="116" t="s">
        <v>16</v>
      </c>
      <c r="C665" s="115" t="s">
        <v>12</v>
      </c>
      <c r="D665" s="62" t="s">
        <v>13</v>
      </c>
      <c r="E665" s="44" t="s">
        <v>65</v>
      </c>
      <c r="F665" s="119" t="s">
        <v>27</v>
      </c>
      <c r="G665" s="115">
        <v>417747</v>
      </c>
      <c r="H665" s="115" t="s">
        <v>26</v>
      </c>
      <c r="I665" s="117" t="s">
        <v>7</v>
      </c>
      <c r="J665" s="117" t="s">
        <v>27</v>
      </c>
      <c r="K665" s="118" t="s">
        <v>132</v>
      </c>
      <c r="L665" s="117" t="s">
        <v>134</v>
      </c>
      <c r="M665" s="117" t="s">
        <v>135</v>
      </c>
      <c r="N665" s="122" t="s">
        <v>135</v>
      </c>
      <c r="O665" s="115"/>
      <c r="P665" s="117"/>
      <c r="Q665" s="117" t="s">
        <v>141</v>
      </c>
      <c r="R665" s="116">
        <v>54</v>
      </c>
      <c r="S665" s="124"/>
      <c r="T665" s="50" t="s">
        <v>139</v>
      </c>
      <c r="U665" s="117" t="s">
        <v>135</v>
      </c>
      <c r="V665" s="115"/>
      <c r="W665" s="117"/>
      <c r="X665" s="117"/>
      <c r="Y665" s="117"/>
      <c r="Z665" s="117"/>
      <c r="AA665" s="117"/>
    </row>
    <row r="666" spans="1:27" ht="12.95" customHeight="1">
      <c r="A666" s="43">
        <v>412</v>
      </c>
      <c r="B666" s="116" t="s">
        <v>16</v>
      </c>
      <c r="C666" s="115" t="s">
        <v>12</v>
      </c>
      <c r="D666" s="62" t="s">
        <v>13</v>
      </c>
      <c r="E666" s="44" t="s">
        <v>65</v>
      </c>
      <c r="F666" s="119" t="s">
        <v>14</v>
      </c>
      <c r="G666" s="115">
        <v>519257</v>
      </c>
      <c r="H666" s="115" t="s">
        <v>26</v>
      </c>
      <c r="I666" s="117" t="s">
        <v>7</v>
      </c>
      <c r="J666" s="117" t="s">
        <v>21</v>
      </c>
      <c r="K666" s="118" t="s">
        <v>140</v>
      </c>
      <c r="L666" s="118" t="s">
        <v>140</v>
      </c>
      <c r="M666" s="117" t="s">
        <v>134</v>
      </c>
      <c r="N666" s="122" t="s">
        <v>135</v>
      </c>
      <c r="O666" s="115"/>
      <c r="P666" s="117"/>
      <c r="Q666" s="117" t="s">
        <v>141</v>
      </c>
      <c r="R666" s="116">
        <v>54</v>
      </c>
      <c r="S666" s="124"/>
      <c r="T666" s="50" t="s">
        <v>139</v>
      </c>
      <c r="U666" s="117" t="s">
        <v>135</v>
      </c>
      <c r="V666" s="115"/>
      <c r="W666" s="117"/>
      <c r="X666" s="117"/>
      <c r="Y666" s="117"/>
      <c r="Z666" s="117"/>
      <c r="AA666" s="117"/>
    </row>
    <row r="667" spans="1:27" ht="12.95" customHeight="1">
      <c r="A667" s="43">
        <v>733</v>
      </c>
      <c r="B667" s="116" t="s">
        <v>16</v>
      </c>
      <c r="C667" s="115" t="s">
        <v>12</v>
      </c>
      <c r="D667" s="62" t="s">
        <v>13</v>
      </c>
      <c r="E667" s="44" t="s">
        <v>65</v>
      </c>
      <c r="F667" s="119" t="s">
        <v>14</v>
      </c>
      <c r="G667" s="115">
        <v>363091</v>
      </c>
      <c r="H667" s="115" t="s">
        <v>26</v>
      </c>
      <c r="I667" s="117" t="s">
        <v>7</v>
      </c>
      <c r="J667" s="117" t="s">
        <v>21</v>
      </c>
      <c r="K667" s="118" t="s">
        <v>140</v>
      </c>
      <c r="L667" s="118" t="s">
        <v>140</v>
      </c>
      <c r="M667" s="117" t="s">
        <v>134</v>
      </c>
      <c r="N667" s="122" t="s">
        <v>135</v>
      </c>
      <c r="O667" s="115"/>
      <c r="P667" s="117"/>
      <c r="Q667" s="117" t="s">
        <v>141</v>
      </c>
      <c r="R667" s="116">
        <v>54</v>
      </c>
      <c r="S667" s="124"/>
      <c r="T667" s="50" t="s">
        <v>139</v>
      </c>
      <c r="U667" s="117" t="s">
        <v>135</v>
      </c>
      <c r="V667" s="115"/>
      <c r="W667" s="117"/>
      <c r="X667" s="117"/>
      <c r="Y667" s="117"/>
      <c r="Z667" s="117"/>
      <c r="AA667" s="117"/>
    </row>
    <row r="668" spans="1:27" ht="12.95" customHeight="1">
      <c r="A668" s="43">
        <v>754</v>
      </c>
      <c r="B668" s="116" t="s">
        <v>16</v>
      </c>
      <c r="C668" s="115" t="s">
        <v>12</v>
      </c>
      <c r="D668" s="62" t="s">
        <v>13</v>
      </c>
      <c r="E668" s="44" t="s">
        <v>65</v>
      </c>
      <c r="F668" s="119" t="s">
        <v>27</v>
      </c>
      <c r="G668" s="115">
        <v>429463</v>
      </c>
      <c r="H668" s="115" t="s">
        <v>26</v>
      </c>
      <c r="I668" s="117" t="s">
        <v>7</v>
      </c>
      <c r="J668" s="117" t="s">
        <v>13</v>
      </c>
      <c r="K668" s="118" t="s">
        <v>134</v>
      </c>
      <c r="L668" s="118" t="s">
        <v>134</v>
      </c>
      <c r="M668" s="117" t="s">
        <v>141</v>
      </c>
      <c r="N668" s="122" t="s">
        <v>135</v>
      </c>
      <c r="O668" s="115"/>
      <c r="P668" s="117"/>
      <c r="Q668" s="117" t="s">
        <v>141</v>
      </c>
      <c r="R668" s="116">
        <v>54</v>
      </c>
      <c r="S668" s="124"/>
      <c r="T668" s="50" t="s">
        <v>139</v>
      </c>
      <c r="U668" s="117" t="s">
        <v>135</v>
      </c>
      <c r="V668" s="115"/>
      <c r="W668" s="117"/>
      <c r="X668" s="117"/>
      <c r="Y668" s="117"/>
      <c r="Z668" s="117"/>
      <c r="AA668" s="117"/>
    </row>
    <row r="669" spans="1:27" ht="12.95" customHeight="1">
      <c r="A669" s="43">
        <v>635</v>
      </c>
      <c r="B669" s="116" t="s">
        <v>16</v>
      </c>
      <c r="C669" s="115" t="s">
        <v>12</v>
      </c>
      <c r="D669" s="62" t="s">
        <v>13</v>
      </c>
      <c r="E669" s="44" t="s">
        <v>65</v>
      </c>
      <c r="F669" s="119" t="s">
        <v>27</v>
      </c>
      <c r="G669" s="115">
        <v>394326</v>
      </c>
      <c r="H669" s="115" t="s">
        <v>26</v>
      </c>
      <c r="I669" s="117" t="s">
        <v>7</v>
      </c>
      <c r="J669" s="117" t="s">
        <v>13</v>
      </c>
      <c r="K669" s="118" t="s">
        <v>134</v>
      </c>
      <c r="L669" s="118" t="s">
        <v>134</v>
      </c>
      <c r="M669" s="117" t="s">
        <v>141</v>
      </c>
      <c r="N669" s="122" t="s">
        <v>135</v>
      </c>
      <c r="O669" s="115"/>
      <c r="P669" s="117"/>
      <c r="Q669" s="117" t="s">
        <v>141</v>
      </c>
      <c r="R669" s="116">
        <v>54</v>
      </c>
      <c r="S669" s="124"/>
      <c r="T669" s="50" t="s">
        <v>139</v>
      </c>
      <c r="U669" s="117" t="s">
        <v>135</v>
      </c>
      <c r="V669" s="115"/>
      <c r="W669" s="117"/>
      <c r="X669" s="117"/>
      <c r="Y669" s="117"/>
      <c r="Z669" s="117"/>
      <c r="AA669" s="117"/>
    </row>
    <row r="670" spans="1:27" ht="12.95" customHeight="1">
      <c r="A670" s="43">
        <v>455</v>
      </c>
      <c r="B670" s="116" t="s">
        <v>16</v>
      </c>
      <c r="C670" s="115" t="s">
        <v>12</v>
      </c>
      <c r="D670" s="62" t="s">
        <v>13</v>
      </c>
      <c r="E670" s="44" t="s">
        <v>65</v>
      </c>
      <c r="F670" s="119" t="s">
        <v>14</v>
      </c>
      <c r="G670" s="115">
        <v>292817</v>
      </c>
      <c r="H670" s="115" t="s">
        <v>26</v>
      </c>
      <c r="I670" s="117" t="s">
        <v>7</v>
      </c>
      <c r="J670" s="117" t="s">
        <v>21</v>
      </c>
      <c r="K670" s="118" t="s">
        <v>140</v>
      </c>
      <c r="L670" s="118" t="s">
        <v>140</v>
      </c>
      <c r="M670" s="117" t="s">
        <v>134</v>
      </c>
      <c r="N670" s="122" t="s">
        <v>135</v>
      </c>
      <c r="O670" s="115"/>
      <c r="P670" s="117"/>
      <c r="Q670" s="117" t="s">
        <v>141</v>
      </c>
      <c r="R670" s="116">
        <v>54</v>
      </c>
      <c r="S670" s="124"/>
      <c r="T670" s="50" t="s">
        <v>139</v>
      </c>
      <c r="U670" s="117" t="s">
        <v>135</v>
      </c>
      <c r="V670" s="115"/>
      <c r="W670" s="117"/>
      <c r="X670" s="117"/>
      <c r="Y670" s="117"/>
      <c r="Z670" s="117"/>
      <c r="AA670" s="117"/>
    </row>
    <row r="671" spans="1:27" ht="12.95" customHeight="1">
      <c r="A671" s="43">
        <v>375</v>
      </c>
      <c r="B671" s="116" t="s">
        <v>16</v>
      </c>
      <c r="C671" s="115" t="s">
        <v>12</v>
      </c>
      <c r="D671" s="62" t="s">
        <v>13</v>
      </c>
      <c r="E671" s="44" t="s">
        <v>65</v>
      </c>
      <c r="F671" s="119" t="s">
        <v>20</v>
      </c>
      <c r="G671" s="115">
        <v>312933</v>
      </c>
      <c r="H671" s="115" t="s">
        <v>33</v>
      </c>
      <c r="I671" s="117" t="s">
        <v>16</v>
      </c>
      <c r="J671" s="117" t="s">
        <v>16</v>
      </c>
      <c r="K671" s="118" t="s">
        <v>134</v>
      </c>
      <c r="L671" s="118" t="s">
        <v>134</v>
      </c>
      <c r="M671" s="117" t="s">
        <v>137</v>
      </c>
      <c r="N671" s="122" t="s">
        <v>135</v>
      </c>
      <c r="O671" s="115"/>
      <c r="P671" s="117"/>
      <c r="Q671" s="117" t="s">
        <v>139</v>
      </c>
      <c r="R671" s="116">
        <v>62</v>
      </c>
      <c r="S671" s="124"/>
      <c r="T671" s="50" t="s">
        <v>139</v>
      </c>
      <c r="U671" s="117" t="s">
        <v>135</v>
      </c>
      <c r="V671" s="115"/>
      <c r="W671" s="117"/>
      <c r="X671" s="117"/>
      <c r="Y671" s="117"/>
      <c r="Z671" s="117"/>
      <c r="AA671" s="117"/>
    </row>
    <row r="672" spans="1:27" ht="12.95" customHeight="1">
      <c r="A672" s="43">
        <v>564</v>
      </c>
      <c r="B672" s="116" t="s">
        <v>16</v>
      </c>
      <c r="C672" s="115" t="s">
        <v>12</v>
      </c>
      <c r="D672" s="62" t="s">
        <v>13</v>
      </c>
      <c r="E672" s="44" t="s">
        <v>65</v>
      </c>
      <c r="F672" s="119" t="s">
        <v>14</v>
      </c>
      <c r="G672" s="115">
        <v>438107</v>
      </c>
      <c r="H672" s="115" t="s">
        <v>33</v>
      </c>
      <c r="I672" s="117" t="s">
        <v>7</v>
      </c>
      <c r="J672" s="117" t="s">
        <v>21</v>
      </c>
      <c r="K672" s="118" t="s">
        <v>140</v>
      </c>
      <c r="L672" s="118" t="s">
        <v>140</v>
      </c>
      <c r="M672" s="117" t="s">
        <v>134</v>
      </c>
      <c r="N672" s="122" t="s">
        <v>135</v>
      </c>
      <c r="O672" s="115"/>
      <c r="P672" s="117"/>
      <c r="Q672" s="117" t="s">
        <v>139</v>
      </c>
      <c r="R672" s="116">
        <v>62</v>
      </c>
      <c r="S672" s="124"/>
      <c r="T672" s="50" t="s">
        <v>139</v>
      </c>
      <c r="U672" s="117" t="s">
        <v>135</v>
      </c>
      <c r="V672" s="115"/>
      <c r="W672" s="117"/>
      <c r="X672" s="117"/>
      <c r="Y672" s="117"/>
      <c r="Z672" s="117"/>
      <c r="AA672" s="117"/>
    </row>
    <row r="673" spans="1:27" ht="12.95" customHeight="1">
      <c r="A673" s="43">
        <v>780</v>
      </c>
      <c r="B673" s="116" t="s">
        <v>16</v>
      </c>
      <c r="C673" s="115" t="s">
        <v>12</v>
      </c>
      <c r="D673" s="62" t="s">
        <v>13</v>
      </c>
      <c r="E673" s="44" t="s">
        <v>65</v>
      </c>
      <c r="F673" s="119" t="s">
        <v>14</v>
      </c>
      <c r="G673" s="115">
        <v>418550</v>
      </c>
      <c r="H673" s="115" t="s">
        <v>33</v>
      </c>
      <c r="I673" s="117" t="s">
        <v>7</v>
      </c>
      <c r="J673" s="117" t="s">
        <v>21</v>
      </c>
      <c r="K673" s="118" t="s">
        <v>140</v>
      </c>
      <c r="L673" s="118" t="s">
        <v>140</v>
      </c>
      <c r="M673" s="117" t="s">
        <v>134</v>
      </c>
      <c r="N673" s="122" t="s">
        <v>135</v>
      </c>
      <c r="O673" s="115"/>
      <c r="P673" s="117"/>
      <c r="Q673" s="117" t="s">
        <v>139</v>
      </c>
      <c r="R673" s="116">
        <v>62</v>
      </c>
      <c r="S673" s="124"/>
      <c r="T673" s="50" t="s">
        <v>139</v>
      </c>
      <c r="U673" s="117" t="s">
        <v>135</v>
      </c>
      <c r="V673" s="115"/>
      <c r="W673" s="117"/>
      <c r="X673" s="117"/>
      <c r="Y673" s="117"/>
      <c r="Z673" s="117"/>
      <c r="AA673" s="117"/>
    </row>
    <row r="674" spans="1:27" ht="12.95" customHeight="1">
      <c r="A674" s="43">
        <v>868</v>
      </c>
      <c r="B674" s="116" t="s">
        <v>16</v>
      </c>
      <c r="C674" s="115" t="s">
        <v>12</v>
      </c>
      <c r="D674" s="62" t="s">
        <v>13</v>
      </c>
      <c r="E674" s="44" t="s">
        <v>65</v>
      </c>
      <c r="F674" s="119" t="s">
        <v>14</v>
      </c>
      <c r="G674" s="115">
        <v>406816</v>
      </c>
      <c r="H674" s="115" t="s">
        <v>33</v>
      </c>
      <c r="I674" s="117" t="s">
        <v>7</v>
      </c>
      <c r="J674" s="117" t="s">
        <v>21</v>
      </c>
      <c r="K674" s="118" t="s">
        <v>140</v>
      </c>
      <c r="L674" s="118" t="s">
        <v>140</v>
      </c>
      <c r="M674" s="117" t="s">
        <v>134</v>
      </c>
      <c r="N674" s="122" t="s">
        <v>135</v>
      </c>
      <c r="O674" s="115"/>
      <c r="P674" s="117"/>
      <c r="Q674" s="117" t="s">
        <v>139</v>
      </c>
      <c r="R674" s="116">
        <v>62</v>
      </c>
      <c r="S674" s="124"/>
      <c r="T674" s="50" t="s">
        <v>139</v>
      </c>
      <c r="U674" s="117" t="s">
        <v>135</v>
      </c>
      <c r="V674" s="115"/>
      <c r="W674" s="117"/>
      <c r="X674" s="117"/>
      <c r="Y674" s="117"/>
      <c r="Z674" s="117"/>
      <c r="AA674" s="117"/>
    </row>
    <row r="675" spans="1:27" ht="12.95" customHeight="1">
      <c r="A675" s="43">
        <v>923</v>
      </c>
      <c r="B675" s="116" t="s">
        <v>16</v>
      </c>
      <c r="C675" s="115" t="s">
        <v>12</v>
      </c>
      <c r="D675" s="62" t="s">
        <v>13</v>
      </c>
      <c r="E675" s="44" t="s">
        <v>65</v>
      </c>
      <c r="F675" s="119" t="s">
        <v>14</v>
      </c>
      <c r="G675" s="115">
        <v>246437</v>
      </c>
      <c r="H675" s="115" t="s">
        <v>33</v>
      </c>
      <c r="I675" s="117" t="s">
        <v>7</v>
      </c>
      <c r="J675" s="117" t="s">
        <v>21</v>
      </c>
      <c r="K675" s="118" t="s">
        <v>140</v>
      </c>
      <c r="L675" s="118" t="s">
        <v>140</v>
      </c>
      <c r="M675" s="117" t="s">
        <v>134</v>
      </c>
      <c r="N675" s="122" t="s">
        <v>135</v>
      </c>
      <c r="O675" s="115"/>
      <c r="P675" s="117"/>
      <c r="Q675" s="117" t="s">
        <v>139</v>
      </c>
      <c r="R675" s="116">
        <v>62</v>
      </c>
      <c r="S675" s="124"/>
      <c r="T675" s="50" t="s">
        <v>139</v>
      </c>
      <c r="U675" s="117" t="s">
        <v>135</v>
      </c>
      <c r="V675" s="115"/>
      <c r="W675" s="117"/>
      <c r="X675" s="117"/>
      <c r="Y675" s="117"/>
      <c r="Z675" s="117"/>
      <c r="AA675" s="117"/>
    </row>
    <row r="676" spans="1:27" ht="12.95" customHeight="1">
      <c r="A676" s="43">
        <v>446</v>
      </c>
      <c r="B676" s="116" t="s">
        <v>16</v>
      </c>
      <c r="C676" s="115" t="s">
        <v>12</v>
      </c>
      <c r="D676" s="62" t="s">
        <v>13</v>
      </c>
      <c r="E676" s="44" t="s">
        <v>65</v>
      </c>
      <c r="F676" s="119" t="s">
        <v>14</v>
      </c>
      <c r="G676" s="115">
        <v>254261</v>
      </c>
      <c r="H676" s="115" t="s">
        <v>33</v>
      </c>
      <c r="I676" s="117" t="s">
        <v>7</v>
      </c>
      <c r="J676" s="117" t="s">
        <v>21</v>
      </c>
      <c r="K676" s="118" t="s">
        <v>140</v>
      </c>
      <c r="L676" s="118" t="s">
        <v>140</v>
      </c>
      <c r="M676" s="117" t="s">
        <v>134</v>
      </c>
      <c r="N676" s="122" t="s">
        <v>135</v>
      </c>
      <c r="O676" s="115"/>
      <c r="P676" s="117"/>
      <c r="Q676" s="117" t="s">
        <v>139</v>
      </c>
      <c r="R676" s="116">
        <v>62</v>
      </c>
      <c r="S676" s="124"/>
      <c r="T676" s="50" t="s">
        <v>139</v>
      </c>
      <c r="U676" s="117" t="s">
        <v>135</v>
      </c>
      <c r="V676" s="115"/>
      <c r="W676" s="117"/>
      <c r="X676" s="117"/>
      <c r="Y676" s="117"/>
      <c r="Z676" s="117"/>
      <c r="AA676" s="117"/>
    </row>
    <row r="677" spans="1:27" ht="12.95" customHeight="1">
      <c r="A677" s="43">
        <v>798</v>
      </c>
      <c r="B677" s="116" t="s">
        <v>16</v>
      </c>
      <c r="C677" s="115" t="s">
        <v>12</v>
      </c>
      <c r="D677" s="62" t="s">
        <v>13</v>
      </c>
      <c r="E677" s="44" t="s">
        <v>65</v>
      </c>
      <c r="F677" s="119" t="s">
        <v>25</v>
      </c>
      <c r="G677" s="115">
        <v>344231</v>
      </c>
      <c r="H677" s="115" t="s">
        <v>33</v>
      </c>
      <c r="I677" s="117" t="s">
        <v>7</v>
      </c>
      <c r="J677" s="117" t="s">
        <v>13</v>
      </c>
      <c r="K677" s="118" t="s">
        <v>134</v>
      </c>
      <c r="L677" s="118" t="s">
        <v>134</v>
      </c>
      <c r="M677" s="117" t="s">
        <v>141</v>
      </c>
      <c r="N677" s="122" t="s">
        <v>135</v>
      </c>
      <c r="O677" s="115"/>
      <c r="P677" s="117"/>
      <c r="Q677" s="117" t="s">
        <v>139</v>
      </c>
      <c r="R677" s="116">
        <v>62</v>
      </c>
      <c r="S677" s="124"/>
      <c r="T677" s="50" t="s">
        <v>139</v>
      </c>
      <c r="U677" s="117" t="s">
        <v>135</v>
      </c>
      <c r="V677" s="115"/>
      <c r="W677" s="117"/>
      <c r="X677" s="117"/>
      <c r="Y677" s="117"/>
      <c r="Z677" s="117"/>
      <c r="AA677" s="117"/>
    </row>
    <row r="678" spans="1:27" ht="12.95" customHeight="1">
      <c r="A678" s="43">
        <v>785</v>
      </c>
      <c r="B678" s="116" t="s">
        <v>16</v>
      </c>
      <c r="C678" s="115" t="s">
        <v>12</v>
      </c>
      <c r="D678" s="62" t="s">
        <v>13</v>
      </c>
      <c r="E678" s="44" t="s">
        <v>65</v>
      </c>
      <c r="F678" s="119" t="s">
        <v>25</v>
      </c>
      <c r="G678" s="115">
        <v>258174</v>
      </c>
      <c r="H678" s="115" t="s">
        <v>33</v>
      </c>
      <c r="I678" s="117" t="s">
        <v>7</v>
      </c>
      <c r="J678" s="117" t="s">
        <v>13</v>
      </c>
      <c r="K678" s="118" t="s">
        <v>134</v>
      </c>
      <c r="L678" s="118" t="s">
        <v>134</v>
      </c>
      <c r="M678" s="117" t="s">
        <v>141</v>
      </c>
      <c r="N678" s="122" t="s">
        <v>135</v>
      </c>
      <c r="O678" s="115"/>
      <c r="P678" s="117"/>
      <c r="Q678" s="117" t="s">
        <v>139</v>
      </c>
      <c r="R678" s="116">
        <v>62</v>
      </c>
      <c r="S678" s="124"/>
      <c r="T678" s="50" t="s">
        <v>139</v>
      </c>
      <c r="U678" s="117" t="s">
        <v>135</v>
      </c>
      <c r="V678" s="115"/>
      <c r="W678" s="117"/>
      <c r="X678" s="117"/>
      <c r="Y678" s="117"/>
      <c r="Z678" s="117"/>
      <c r="AA678" s="117"/>
    </row>
    <row r="679" spans="1:27" ht="12.95" customHeight="1">
      <c r="A679" s="43">
        <v>631</v>
      </c>
      <c r="B679" s="116" t="s">
        <v>16</v>
      </c>
      <c r="C679" s="115" t="s">
        <v>12</v>
      </c>
      <c r="D679" s="62" t="s">
        <v>13</v>
      </c>
      <c r="E679" s="44" t="s">
        <v>65</v>
      </c>
      <c r="F679" s="119" t="s">
        <v>21</v>
      </c>
      <c r="G679" s="115">
        <v>305116</v>
      </c>
      <c r="H679" s="115" t="s">
        <v>33</v>
      </c>
      <c r="I679" s="117" t="s">
        <v>7</v>
      </c>
      <c r="J679" s="117" t="s">
        <v>27</v>
      </c>
      <c r="K679" s="118" t="s">
        <v>138</v>
      </c>
      <c r="L679" s="117" t="s">
        <v>126</v>
      </c>
      <c r="M679" s="117" t="s">
        <v>135</v>
      </c>
      <c r="N679" s="122" t="s">
        <v>135</v>
      </c>
      <c r="O679" s="115"/>
      <c r="P679" s="117"/>
      <c r="Q679" s="117" t="s">
        <v>139</v>
      </c>
      <c r="R679" s="116">
        <v>62</v>
      </c>
      <c r="S679" s="124"/>
      <c r="T679" s="50" t="s">
        <v>139</v>
      </c>
      <c r="U679" s="117" t="s">
        <v>135</v>
      </c>
      <c r="V679" s="115"/>
      <c r="W679" s="117"/>
      <c r="X679" s="117"/>
      <c r="Y679" s="117"/>
      <c r="Z679" s="117"/>
      <c r="AA679" s="117"/>
    </row>
    <row r="680" spans="1:27" ht="12.95" customHeight="1">
      <c r="A680" s="43">
        <v>407</v>
      </c>
      <c r="B680" s="116" t="s">
        <v>16</v>
      </c>
      <c r="C680" s="115" t="s">
        <v>12</v>
      </c>
      <c r="D680" s="62" t="s">
        <v>13</v>
      </c>
      <c r="E680" s="44" t="s">
        <v>65</v>
      </c>
      <c r="F680" s="119" t="s">
        <v>21</v>
      </c>
      <c r="G680" s="115">
        <v>265999</v>
      </c>
      <c r="H680" s="115" t="s">
        <v>33</v>
      </c>
      <c r="I680" s="117" t="s">
        <v>7</v>
      </c>
      <c r="J680" s="117" t="s">
        <v>27</v>
      </c>
      <c r="K680" s="118" t="s">
        <v>138</v>
      </c>
      <c r="L680" s="117" t="s">
        <v>126</v>
      </c>
      <c r="M680" s="117" t="s">
        <v>135</v>
      </c>
      <c r="N680" s="122" t="s">
        <v>135</v>
      </c>
      <c r="O680" s="115"/>
      <c r="P680" s="117"/>
      <c r="Q680" s="117" t="s">
        <v>139</v>
      </c>
      <c r="R680" s="116">
        <v>62</v>
      </c>
      <c r="S680" s="124"/>
      <c r="T680" s="50" t="s">
        <v>139</v>
      </c>
      <c r="U680" s="117" t="s">
        <v>135</v>
      </c>
      <c r="V680" s="115"/>
      <c r="W680" s="117"/>
      <c r="X680" s="117"/>
      <c r="Y680" s="117"/>
      <c r="Z680" s="117"/>
      <c r="AA680" s="117"/>
    </row>
    <row r="681" spans="1:27" ht="12.95" customHeight="1">
      <c r="A681" s="43">
        <v>836</v>
      </c>
      <c r="B681" s="116" t="s">
        <v>16</v>
      </c>
      <c r="C681" s="115" t="s">
        <v>12</v>
      </c>
      <c r="D681" s="62" t="s">
        <v>13</v>
      </c>
      <c r="E681" s="44" t="s">
        <v>65</v>
      </c>
      <c r="F681" s="119" t="s">
        <v>14</v>
      </c>
      <c r="G681" s="115">
        <v>492882</v>
      </c>
      <c r="H681" s="115" t="s">
        <v>33</v>
      </c>
      <c r="I681" s="117" t="s">
        <v>7</v>
      </c>
      <c r="J681" s="117" t="s">
        <v>21</v>
      </c>
      <c r="K681" s="118" t="s">
        <v>140</v>
      </c>
      <c r="L681" s="118" t="s">
        <v>140</v>
      </c>
      <c r="M681" s="117" t="s">
        <v>134</v>
      </c>
      <c r="N681" s="122" t="s">
        <v>135</v>
      </c>
      <c r="O681" s="115"/>
      <c r="P681" s="117"/>
      <c r="Q681" s="117" t="s">
        <v>139</v>
      </c>
      <c r="R681" s="116">
        <v>62</v>
      </c>
      <c r="S681" s="124"/>
      <c r="T681" s="50" t="s">
        <v>139</v>
      </c>
      <c r="U681" s="117" t="s">
        <v>135</v>
      </c>
      <c r="V681" s="115"/>
      <c r="W681" s="117"/>
      <c r="X681" s="117"/>
      <c r="Y681" s="117"/>
      <c r="Z681" s="117"/>
      <c r="AA681" s="117"/>
    </row>
    <row r="682" spans="1:27" ht="12.95" customHeight="1">
      <c r="A682" s="43">
        <v>436</v>
      </c>
      <c r="B682" s="116" t="s">
        <v>16</v>
      </c>
      <c r="C682" s="115" t="s">
        <v>12</v>
      </c>
      <c r="D682" s="62" t="s">
        <v>13</v>
      </c>
      <c r="E682" s="44" t="s">
        <v>65</v>
      </c>
      <c r="F682" s="119" t="s">
        <v>14</v>
      </c>
      <c r="G682" s="115">
        <v>563295</v>
      </c>
      <c r="H682" s="115" t="s">
        <v>33</v>
      </c>
      <c r="I682" s="117" t="s">
        <v>7</v>
      </c>
      <c r="J682" s="117" t="s">
        <v>21</v>
      </c>
      <c r="K682" s="118" t="s">
        <v>140</v>
      </c>
      <c r="L682" s="118" t="s">
        <v>140</v>
      </c>
      <c r="M682" s="117" t="s">
        <v>134</v>
      </c>
      <c r="N682" s="122" t="s">
        <v>135</v>
      </c>
      <c r="O682" s="115"/>
      <c r="P682" s="117"/>
      <c r="Q682" s="117" t="s">
        <v>139</v>
      </c>
      <c r="R682" s="116">
        <v>62</v>
      </c>
      <c r="S682" s="124"/>
      <c r="T682" s="50" t="s">
        <v>139</v>
      </c>
      <c r="U682" s="117" t="s">
        <v>135</v>
      </c>
      <c r="V682" s="115"/>
      <c r="W682" s="117"/>
      <c r="X682" s="117"/>
      <c r="Y682" s="117"/>
      <c r="Z682" s="117"/>
      <c r="AA682" s="117"/>
    </row>
    <row r="683" spans="1:27" ht="12.95" customHeight="1">
      <c r="A683" s="43">
        <v>634</v>
      </c>
      <c r="B683" s="116" t="s">
        <v>16</v>
      </c>
      <c r="C683" s="115" t="s">
        <v>12</v>
      </c>
      <c r="D683" s="62" t="s">
        <v>13</v>
      </c>
      <c r="E683" s="44" t="s">
        <v>65</v>
      </c>
      <c r="F683" s="119" t="s">
        <v>25</v>
      </c>
      <c r="G683" s="115">
        <v>485061</v>
      </c>
      <c r="H683" s="115" t="s">
        <v>33</v>
      </c>
      <c r="I683" s="117" t="s">
        <v>7</v>
      </c>
      <c r="J683" s="117" t="s">
        <v>13</v>
      </c>
      <c r="K683" s="118" t="s">
        <v>134</v>
      </c>
      <c r="L683" s="118" t="s">
        <v>134</v>
      </c>
      <c r="M683" s="117" t="s">
        <v>141</v>
      </c>
      <c r="N683" s="122" t="s">
        <v>135</v>
      </c>
      <c r="O683" s="115"/>
      <c r="P683" s="117"/>
      <c r="Q683" s="117" t="s">
        <v>139</v>
      </c>
      <c r="R683" s="116">
        <v>62</v>
      </c>
      <c r="S683" s="124"/>
      <c r="T683" s="50" t="s">
        <v>139</v>
      </c>
      <c r="U683" s="117" t="s">
        <v>135</v>
      </c>
      <c r="V683" s="115"/>
      <c r="W683" s="117"/>
      <c r="X683" s="117"/>
      <c r="Y683" s="117"/>
      <c r="Z683" s="117"/>
      <c r="AA683" s="117"/>
    </row>
    <row r="684" spans="1:27" ht="12.95" customHeight="1">
      <c r="A684" s="43">
        <v>546</v>
      </c>
      <c r="B684" s="116" t="s">
        <v>16</v>
      </c>
      <c r="C684" s="115" t="s">
        <v>12</v>
      </c>
      <c r="D684" s="62" t="s">
        <v>13</v>
      </c>
      <c r="E684" s="44" t="s">
        <v>65</v>
      </c>
      <c r="F684" s="119" t="s">
        <v>25</v>
      </c>
      <c r="G684" s="115">
        <v>528092</v>
      </c>
      <c r="H684" s="115" t="s">
        <v>33</v>
      </c>
      <c r="I684" s="117" t="s">
        <v>7</v>
      </c>
      <c r="J684" s="117" t="s">
        <v>13</v>
      </c>
      <c r="K684" s="118" t="s">
        <v>134</v>
      </c>
      <c r="L684" s="118" t="s">
        <v>134</v>
      </c>
      <c r="M684" s="117" t="s">
        <v>141</v>
      </c>
      <c r="N684" s="122" t="s">
        <v>135</v>
      </c>
      <c r="O684" s="115"/>
      <c r="P684" s="117"/>
      <c r="Q684" s="117" t="s">
        <v>139</v>
      </c>
      <c r="R684" s="116">
        <v>62</v>
      </c>
      <c r="S684" s="124"/>
      <c r="T684" s="50" t="s">
        <v>139</v>
      </c>
      <c r="U684" s="117" t="s">
        <v>135</v>
      </c>
      <c r="V684" s="115"/>
      <c r="W684" s="117"/>
      <c r="X684" s="117"/>
      <c r="Y684" s="117"/>
      <c r="Z684" s="117"/>
      <c r="AA684" s="117"/>
    </row>
    <row r="685" spans="1:27" ht="12.95" customHeight="1">
      <c r="A685" s="43">
        <v>814</v>
      </c>
      <c r="B685" s="116" t="s">
        <v>16</v>
      </c>
      <c r="C685" s="115" t="s">
        <v>12</v>
      </c>
      <c r="D685" s="62" t="s">
        <v>13</v>
      </c>
      <c r="E685" s="44" t="s">
        <v>65</v>
      </c>
      <c r="F685" s="119" t="s">
        <v>14</v>
      </c>
      <c r="G685" s="115">
        <v>379445</v>
      </c>
      <c r="H685" s="115" t="s">
        <v>33</v>
      </c>
      <c r="I685" s="117" t="s">
        <v>7</v>
      </c>
      <c r="J685" s="117" t="s">
        <v>21</v>
      </c>
      <c r="K685" s="118" t="s">
        <v>140</v>
      </c>
      <c r="L685" s="118" t="s">
        <v>140</v>
      </c>
      <c r="M685" s="117" t="s">
        <v>134</v>
      </c>
      <c r="N685" s="122" t="s">
        <v>135</v>
      </c>
      <c r="O685" s="115"/>
      <c r="P685" s="117"/>
      <c r="Q685" s="117" t="s">
        <v>139</v>
      </c>
      <c r="R685" s="116">
        <v>62</v>
      </c>
      <c r="S685" s="124"/>
      <c r="T685" s="50" t="s">
        <v>139</v>
      </c>
      <c r="U685" s="117" t="s">
        <v>135</v>
      </c>
      <c r="V685" s="115"/>
      <c r="W685" s="117"/>
      <c r="X685" s="117"/>
      <c r="Y685" s="117"/>
      <c r="Z685" s="117"/>
      <c r="AA685" s="117"/>
    </row>
    <row r="686" spans="1:27" ht="12.95" customHeight="1">
      <c r="A686" s="43">
        <v>911</v>
      </c>
      <c r="B686" s="116" t="s">
        <v>16</v>
      </c>
      <c r="C686" s="115" t="s">
        <v>12</v>
      </c>
      <c r="D686" s="62" t="s">
        <v>13</v>
      </c>
      <c r="E686" s="44" t="s">
        <v>65</v>
      </c>
      <c r="F686" s="119" t="s">
        <v>14</v>
      </c>
      <c r="G686" s="115">
        <v>512447</v>
      </c>
      <c r="H686" s="115" t="s">
        <v>33</v>
      </c>
      <c r="I686" s="117" t="s">
        <v>7</v>
      </c>
      <c r="J686" s="117" t="s">
        <v>21</v>
      </c>
      <c r="K686" s="118" t="s">
        <v>140</v>
      </c>
      <c r="L686" s="118" t="s">
        <v>140</v>
      </c>
      <c r="M686" s="117" t="s">
        <v>134</v>
      </c>
      <c r="N686" s="122" t="s">
        <v>135</v>
      </c>
      <c r="O686" s="115"/>
      <c r="P686" s="117"/>
      <c r="Q686" s="117" t="s">
        <v>139</v>
      </c>
      <c r="R686" s="116">
        <v>62</v>
      </c>
      <c r="S686" s="124"/>
      <c r="T686" s="50" t="s">
        <v>139</v>
      </c>
      <c r="U686" s="117" t="s">
        <v>135</v>
      </c>
      <c r="V686" s="115"/>
      <c r="W686" s="117"/>
      <c r="X686" s="117"/>
      <c r="Y686" s="117"/>
      <c r="Z686" s="117"/>
      <c r="AA686" s="117"/>
    </row>
    <row r="687" spans="1:27" ht="12.95" customHeight="1">
      <c r="A687" s="43">
        <v>549</v>
      </c>
      <c r="B687" s="116" t="s">
        <v>16</v>
      </c>
      <c r="C687" s="115" t="s">
        <v>12</v>
      </c>
      <c r="D687" s="62" t="s">
        <v>13</v>
      </c>
      <c r="E687" s="44" t="s">
        <v>65</v>
      </c>
      <c r="F687" s="119" t="s">
        <v>25</v>
      </c>
      <c r="G687" s="115">
        <v>500713</v>
      </c>
      <c r="H687" s="115" t="s">
        <v>33</v>
      </c>
      <c r="I687" s="117" t="s">
        <v>7</v>
      </c>
      <c r="J687" s="117" t="s">
        <v>21</v>
      </c>
      <c r="K687" s="118" t="s">
        <v>127</v>
      </c>
      <c r="L687" s="117" t="s">
        <v>127</v>
      </c>
      <c r="M687" s="117" t="s">
        <v>136</v>
      </c>
      <c r="N687" s="122" t="s">
        <v>135</v>
      </c>
      <c r="O687" s="115"/>
      <c r="P687" s="117"/>
      <c r="Q687" s="117" t="s">
        <v>139</v>
      </c>
      <c r="R687" s="116">
        <v>62</v>
      </c>
      <c r="S687" s="124"/>
      <c r="T687" s="50" t="s">
        <v>139</v>
      </c>
      <c r="U687" s="117" t="s">
        <v>135</v>
      </c>
      <c r="V687" s="115"/>
      <c r="W687" s="117"/>
      <c r="X687" s="117"/>
      <c r="Y687" s="117"/>
      <c r="Z687" s="117"/>
      <c r="AA687" s="117"/>
    </row>
    <row r="688" spans="1:27" ht="12.95" customHeight="1">
      <c r="A688" s="43">
        <v>907</v>
      </c>
      <c r="B688" s="116" t="s">
        <v>16</v>
      </c>
      <c r="C688" s="115" t="s">
        <v>12</v>
      </c>
      <c r="D688" s="62" t="s">
        <v>13</v>
      </c>
      <c r="E688" s="44" t="s">
        <v>65</v>
      </c>
      <c r="F688" s="119" t="s">
        <v>25</v>
      </c>
      <c r="G688" s="115">
        <v>410742</v>
      </c>
      <c r="H688" s="115" t="s">
        <v>33</v>
      </c>
      <c r="I688" s="117" t="s">
        <v>7</v>
      </c>
      <c r="J688" s="117" t="s">
        <v>21</v>
      </c>
      <c r="K688" s="118" t="s">
        <v>127</v>
      </c>
      <c r="L688" s="117" t="s">
        <v>127</v>
      </c>
      <c r="M688" s="117" t="s">
        <v>136</v>
      </c>
      <c r="N688" s="122" t="s">
        <v>135</v>
      </c>
      <c r="O688" s="115"/>
      <c r="P688" s="117"/>
      <c r="Q688" s="117" t="s">
        <v>139</v>
      </c>
      <c r="R688" s="116">
        <v>62</v>
      </c>
      <c r="S688" s="124"/>
      <c r="T688" s="50" t="s">
        <v>139</v>
      </c>
      <c r="U688" s="117" t="s">
        <v>135</v>
      </c>
      <c r="V688" s="115"/>
      <c r="W688" s="117"/>
      <c r="X688" s="117"/>
      <c r="Y688" s="117"/>
      <c r="Z688" s="117"/>
      <c r="AA688" s="117"/>
    </row>
    <row r="689" spans="1:27" ht="12.95" customHeight="1">
      <c r="A689" s="43">
        <v>757</v>
      </c>
      <c r="B689" s="116" t="s">
        <v>16</v>
      </c>
      <c r="C689" s="115" t="s">
        <v>12</v>
      </c>
      <c r="D689" s="62" t="s">
        <v>13</v>
      </c>
      <c r="E689" s="44" t="s">
        <v>65</v>
      </c>
      <c r="F689" s="119" t="s">
        <v>25</v>
      </c>
      <c r="G689" s="115">
        <v>352066</v>
      </c>
      <c r="H689" s="115" t="s">
        <v>33</v>
      </c>
      <c r="I689" s="117" t="s">
        <v>7</v>
      </c>
      <c r="J689" s="117" t="s">
        <v>13</v>
      </c>
      <c r="K689" s="118" t="s">
        <v>134</v>
      </c>
      <c r="L689" s="118" t="s">
        <v>134</v>
      </c>
      <c r="M689" s="117" t="s">
        <v>141</v>
      </c>
      <c r="N689" s="122" t="s">
        <v>135</v>
      </c>
      <c r="O689" s="115"/>
      <c r="P689" s="117"/>
      <c r="Q689" s="117" t="s">
        <v>139</v>
      </c>
      <c r="R689" s="116">
        <v>62</v>
      </c>
      <c r="S689" s="124"/>
      <c r="T689" s="50" t="s">
        <v>139</v>
      </c>
      <c r="U689" s="117" t="s">
        <v>135</v>
      </c>
      <c r="V689" s="115"/>
      <c r="W689" s="117"/>
      <c r="X689" s="117"/>
      <c r="Y689" s="117"/>
      <c r="Z689" s="117"/>
      <c r="AA689" s="117"/>
    </row>
    <row r="690" spans="1:27" ht="12.95" customHeight="1">
      <c r="A690" s="43">
        <v>827</v>
      </c>
      <c r="B690" s="116" t="s">
        <v>16</v>
      </c>
      <c r="C690" s="115" t="s">
        <v>12</v>
      </c>
      <c r="D690" s="62" t="s">
        <v>13</v>
      </c>
      <c r="E690" s="44" t="s">
        <v>65</v>
      </c>
      <c r="F690" s="119" t="s">
        <v>14</v>
      </c>
      <c r="G690" s="115">
        <v>512452</v>
      </c>
      <c r="H690" s="115" t="s">
        <v>33</v>
      </c>
      <c r="I690" s="117" t="s">
        <v>7</v>
      </c>
      <c r="J690" s="117" t="s">
        <v>4</v>
      </c>
      <c r="K690" s="118" t="s">
        <v>138</v>
      </c>
      <c r="L690" s="117" t="s">
        <v>137</v>
      </c>
      <c r="M690" s="117" t="s">
        <v>140</v>
      </c>
      <c r="N690" s="122" t="s">
        <v>135</v>
      </c>
      <c r="O690" s="115"/>
      <c r="P690" s="117"/>
      <c r="Q690" s="117" t="s">
        <v>139</v>
      </c>
      <c r="R690" s="116">
        <v>62</v>
      </c>
      <c r="S690" s="124"/>
      <c r="T690" s="50" t="s">
        <v>139</v>
      </c>
      <c r="U690" s="117" t="s">
        <v>135</v>
      </c>
      <c r="V690" s="115"/>
      <c r="W690" s="117"/>
      <c r="X690" s="117"/>
      <c r="Y690" s="117"/>
      <c r="Z690" s="117"/>
      <c r="AA690" s="117"/>
    </row>
    <row r="691" spans="1:27" ht="12.95" customHeight="1">
      <c r="A691" s="43">
        <v>386</v>
      </c>
      <c r="B691" s="116" t="s">
        <v>16</v>
      </c>
      <c r="C691" s="115" t="s">
        <v>12</v>
      </c>
      <c r="D691" s="62" t="s">
        <v>13</v>
      </c>
      <c r="E691" s="44" t="s">
        <v>65</v>
      </c>
      <c r="F691" s="119" t="s">
        <v>21</v>
      </c>
      <c r="G691" s="115">
        <v>516661</v>
      </c>
      <c r="H691" s="115" t="s">
        <v>19</v>
      </c>
      <c r="I691" s="117" t="s">
        <v>7</v>
      </c>
      <c r="J691" s="117" t="s">
        <v>21</v>
      </c>
      <c r="K691" s="118" t="s">
        <v>127</v>
      </c>
      <c r="L691" s="117" t="s">
        <v>127</v>
      </c>
      <c r="M691" s="117" t="s">
        <v>136</v>
      </c>
      <c r="N691" s="122" t="s">
        <v>135</v>
      </c>
      <c r="O691" s="115"/>
      <c r="P691" s="117"/>
      <c r="Q691" s="117" t="s">
        <v>132</v>
      </c>
      <c r="R691" s="116">
        <v>61</v>
      </c>
      <c r="S691" s="124"/>
      <c r="T691" s="50" t="s">
        <v>139</v>
      </c>
      <c r="U691" s="117" t="s">
        <v>135</v>
      </c>
      <c r="V691" s="115"/>
      <c r="W691" s="117"/>
      <c r="X691" s="117"/>
      <c r="Y691" s="117"/>
      <c r="Z691" s="117"/>
      <c r="AA691" s="117"/>
    </row>
    <row r="692" spans="1:27" ht="12.95" customHeight="1">
      <c r="A692" s="43">
        <v>408</v>
      </c>
      <c r="B692" s="116" t="s">
        <v>16</v>
      </c>
      <c r="C692" s="115" t="s">
        <v>12</v>
      </c>
      <c r="D692" s="62" t="s">
        <v>13</v>
      </c>
      <c r="E692" s="44" t="s">
        <v>65</v>
      </c>
      <c r="F692" s="119" t="s">
        <v>21</v>
      </c>
      <c r="G692" s="115">
        <v>559718</v>
      </c>
      <c r="H692" s="115" t="s">
        <v>19</v>
      </c>
      <c r="I692" s="117" t="s">
        <v>7</v>
      </c>
      <c r="J692" s="117" t="s">
        <v>21</v>
      </c>
      <c r="K692" s="118" t="s">
        <v>127</v>
      </c>
      <c r="L692" s="117" t="s">
        <v>127</v>
      </c>
      <c r="M692" s="117" t="s">
        <v>136</v>
      </c>
      <c r="N692" s="122" t="s">
        <v>135</v>
      </c>
      <c r="O692" s="115"/>
      <c r="P692" s="117"/>
      <c r="Q692" s="117" t="s">
        <v>132</v>
      </c>
      <c r="R692" s="116">
        <v>61</v>
      </c>
      <c r="S692" s="124"/>
      <c r="T692" s="50" t="s">
        <v>139</v>
      </c>
      <c r="U692" s="117" t="s">
        <v>135</v>
      </c>
      <c r="V692" s="115"/>
      <c r="W692" s="117"/>
      <c r="X692" s="117"/>
      <c r="Y692" s="117"/>
      <c r="Z692" s="117"/>
      <c r="AA692" s="117"/>
    </row>
    <row r="693" spans="1:27" ht="12.95" customHeight="1">
      <c r="A693" s="43">
        <v>976</v>
      </c>
      <c r="B693" s="116" t="s">
        <v>16</v>
      </c>
      <c r="C693" s="115" t="s">
        <v>12</v>
      </c>
      <c r="D693" s="62" t="s">
        <v>13</v>
      </c>
      <c r="E693" s="44" t="s">
        <v>65</v>
      </c>
      <c r="F693" s="119" t="s">
        <v>21</v>
      </c>
      <c r="G693" s="115">
        <v>536234</v>
      </c>
      <c r="H693" s="115" t="s">
        <v>19</v>
      </c>
      <c r="I693" s="117" t="s">
        <v>7</v>
      </c>
      <c r="J693" s="117" t="s">
        <v>21</v>
      </c>
      <c r="K693" s="118" t="s">
        <v>127</v>
      </c>
      <c r="L693" s="117" t="s">
        <v>127</v>
      </c>
      <c r="M693" s="117" t="s">
        <v>136</v>
      </c>
      <c r="N693" s="122" t="s">
        <v>135</v>
      </c>
      <c r="O693" s="115"/>
      <c r="P693" s="117"/>
      <c r="Q693" s="117" t="s">
        <v>132</v>
      </c>
      <c r="R693" s="116">
        <v>61</v>
      </c>
      <c r="S693" s="124"/>
      <c r="T693" s="50" t="s">
        <v>139</v>
      </c>
      <c r="U693" s="117" t="s">
        <v>135</v>
      </c>
      <c r="V693" s="115"/>
      <c r="W693" s="117"/>
      <c r="X693" s="117"/>
      <c r="Y693" s="117"/>
      <c r="Z693" s="117"/>
      <c r="AA693" s="117"/>
    </row>
    <row r="694" spans="1:27" ht="12.95" customHeight="1">
      <c r="A694" s="43">
        <v>679</v>
      </c>
      <c r="B694" s="116" t="s">
        <v>16</v>
      </c>
      <c r="C694" s="115" t="s">
        <v>12</v>
      </c>
      <c r="D694" s="62" t="s">
        <v>13</v>
      </c>
      <c r="E694" s="44" t="s">
        <v>65</v>
      </c>
      <c r="F694" s="119" t="s">
        <v>30</v>
      </c>
      <c r="G694" s="115">
        <v>281817</v>
      </c>
      <c r="H694" s="115" t="s">
        <v>19</v>
      </c>
      <c r="I694" s="117" t="s">
        <v>9</v>
      </c>
      <c r="J694" s="117" t="s">
        <v>27</v>
      </c>
      <c r="K694" s="118" t="s">
        <v>127</v>
      </c>
      <c r="L694" s="117" t="s">
        <v>127</v>
      </c>
      <c r="M694" s="117" t="s">
        <v>137</v>
      </c>
      <c r="N694" s="122" t="s">
        <v>135</v>
      </c>
      <c r="O694" s="115"/>
      <c r="P694" s="117"/>
      <c r="Q694" s="117" t="s">
        <v>132</v>
      </c>
      <c r="R694" s="116">
        <v>61</v>
      </c>
      <c r="S694" s="124"/>
      <c r="T694" s="50" t="s">
        <v>139</v>
      </c>
      <c r="U694" s="117" t="s">
        <v>135</v>
      </c>
      <c r="V694" s="115"/>
      <c r="W694" s="117"/>
      <c r="X694" s="117"/>
      <c r="Y694" s="117"/>
      <c r="Z694" s="117"/>
      <c r="AA694" s="117"/>
    </row>
    <row r="695" spans="1:27" ht="12.95" customHeight="1">
      <c r="A695" s="43">
        <v>597</v>
      </c>
      <c r="B695" s="116" t="s">
        <v>16</v>
      </c>
      <c r="C695" s="115" t="s">
        <v>12</v>
      </c>
      <c r="D695" s="62" t="s">
        <v>13</v>
      </c>
      <c r="E695" s="44" t="s">
        <v>65</v>
      </c>
      <c r="F695" s="119" t="s">
        <v>5</v>
      </c>
      <c r="G695" s="115">
        <v>544065</v>
      </c>
      <c r="H695" s="115" t="s">
        <v>19</v>
      </c>
      <c r="I695" s="117" t="s">
        <v>9</v>
      </c>
      <c r="J695" s="117" t="s">
        <v>22</v>
      </c>
      <c r="K695" s="117" t="s">
        <v>138</v>
      </c>
      <c r="L695" s="117" t="s">
        <v>137</v>
      </c>
      <c r="M695" s="117" t="s">
        <v>133</v>
      </c>
      <c r="N695" s="122" t="s">
        <v>135</v>
      </c>
      <c r="O695" s="115"/>
      <c r="P695" s="117"/>
      <c r="Q695" s="117" t="s">
        <v>132</v>
      </c>
      <c r="R695" s="116">
        <v>61</v>
      </c>
      <c r="S695" s="124"/>
      <c r="T695" s="50" t="s">
        <v>139</v>
      </c>
      <c r="U695" s="117" t="s">
        <v>135</v>
      </c>
      <c r="V695" s="115"/>
      <c r="W695" s="117"/>
      <c r="X695" s="117"/>
      <c r="Y695" s="117"/>
      <c r="Z695" s="117"/>
      <c r="AA695" s="117"/>
    </row>
    <row r="696" spans="1:27" ht="12.95" customHeight="1">
      <c r="A696" s="43">
        <v>417</v>
      </c>
      <c r="B696" s="116" t="s">
        <v>16</v>
      </c>
      <c r="C696" s="115" t="s">
        <v>12</v>
      </c>
      <c r="D696" s="43" t="s">
        <v>19</v>
      </c>
      <c r="E696" s="44" t="s">
        <v>65</v>
      </c>
      <c r="F696" s="119" t="s">
        <v>17</v>
      </c>
      <c r="G696" s="115">
        <v>339467</v>
      </c>
      <c r="H696" s="115" t="s">
        <v>26</v>
      </c>
      <c r="I696" s="117" t="s">
        <v>7</v>
      </c>
      <c r="J696" s="117" t="s">
        <v>27</v>
      </c>
      <c r="K696" s="118" t="s">
        <v>138</v>
      </c>
      <c r="L696" s="117" t="s">
        <v>139</v>
      </c>
      <c r="M696" s="117" t="s">
        <v>135</v>
      </c>
      <c r="N696" s="122">
        <v>46135</v>
      </c>
      <c r="O696" s="123">
        <v>46135</v>
      </c>
      <c r="P696" s="117"/>
      <c r="Q696" s="117" t="s">
        <v>132</v>
      </c>
      <c r="R696" s="116">
        <v>61</v>
      </c>
      <c r="S696" s="124">
        <v>85</v>
      </c>
      <c r="T696" s="50" t="s">
        <v>140</v>
      </c>
      <c r="U696" s="46" t="s">
        <v>137</v>
      </c>
      <c r="V696" s="115"/>
      <c r="W696" s="117"/>
      <c r="X696" s="117"/>
      <c r="Y696" s="117"/>
      <c r="Z696" s="117"/>
      <c r="AA696" s="117"/>
    </row>
    <row r="697" spans="1:27" ht="12.95" customHeight="1">
      <c r="A697" s="43">
        <v>752</v>
      </c>
      <c r="B697" s="116" t="s">
        <v>16</v>
      </c>
      <c r="C697" s="115" t="s">
        <v>12</v>
      </c>
      <c r="D697" s="43" t="s">
        <v>19</v>
      </c>
      <c r="E697" s="117" t="s">
        <v>43</v>
      </c>
      <c r="F697" s="119" t="s">
        <v>27</v>
      </c>
      <c r="G697" s="115">
        <v>280499</v>
      </c>
      <c r="H697" s="115" t="s">
        <v>26</v>
      </c>
      <c r="I697" s="117" t="s">
        <v>7</v>
      </c>
      <c r="J697" s="117" t="s">
        <v>13</v>
      </c>
      <c r="K697" s="118" t="s">
        <v>134</v>
      </c>
      <c r="L697" s="118" t="s">
        <v>134</v>
      </c>
      <c r="M697" s="117" t="s">
        <v>141</v>
      </c>
      <c r="N697" s="122" t="s">
        <v>135</v>
      </c>
      <c r="O697" s="115"/>
      <c r="P697" s="117"/>
      <c r="Q697" s="117" t="s">
        <v>138</v>
      </c>
      <c r="R697" s="116">
        <v>74</v>
      </c>
      <c r="S697" s="124"/>
      <c r="T697" s="50" t="s">
        <v>139</v>
      </c>
      <c r="U697" s="117" t="s">
        <v>135</v>
      </c>
      <c r="V697" s="115"/>
      <c r="W697" s="117"/>
      <c r="X697" s="117"/>
      <c r="Y697" s="117"/>
      <c r="Z697" s="117"/>
      <c r="AA697" s="117"/>
    </row>
    <row r="698" spans="1:27" ht="12.95" customHeight="1">
      <c r="A698" s="43">
        <v>990</v>
      </c>
      <c r="B698" s="116" t="s">
        <v>16</v>
      </c>
      <c r="C698" s="115" t="s">
        <v>12</v>
      </c>
      <c r="D698" s="43" t="s">
        <v>19</v>
      </c>
      <c r="E698" s="117" t="s">
        <v>43</v>
      </c>
      <c r="F698" s="119" t="s">
        <v>14</v>
      </c>
      <c r="G698" s="115">
        <v>281390</v>
      </c>
      <c r="H698" s="115" t="s">
        <v>26</v>
      </c>
      <c r="I698" s="117" t="s">
        <v>7</v>
      </c>
      <c r="J698" s="117" t="s">
        <v>4</v>
      </c>
      <c r="K698" s="118" t="s">
        <v>134</v>
      </c>
      <c r="L698" s="118" t="s">
        <v>134</v>
      </c>
      <c r="M698" s="117" t="s">
        <v>135</v>
      </c>
      <c r="N698" s="122" t="s">
        <v>135</v>
      </c>
      <c r="O698" s="115"/>
      <c r="P698" s="117"/>
      <c r="Q698" s="117" t="s">
        <v>138</v>
      </c>
      <c r="R698" s="116">
        <v>74</v>
      </c>
      <c r="S698" s="124"/>
      <c r="T698" s="50" t="s">
        <v>139</v>
      </c>
      <c r="U698" s="117" t="s">
        <v>135</v>
      </c>
      <c r="V698" s="115"/>
      <c r="W698" s="117"/>
      <c r="X698" s="117"/>
      <c r="Y698" s="117"/>
      <c r="Z698" s="117"/>
      <c r="AA698" s="117"/>
    </row>
    <row r="699" spans="1:27" ht="12.95" customHeight="1">
      <c r="A699" s="43">
        <v>579</v>
      </c>
      <c r="B699" s="116" t="s">
        <v>16</v>
      </c>
      <c r="C699" s="115" t="s">
        <v>12</v>
      </c>
      <c r="D699" s="43" t="s">
        <v>19</v>
      </c>
      <c r="E699" s="117" t="s">
        <v>43</v>
      </c>
      <c r="F699" s="119" t="s">
        <v>21</v>
      </c>
      <c r="G699" s="115">
        <v>272012</v>
      </c>
      <c r="H699" s="115" t="s">
        <v>26</v>
      </c>
      <c r="I699" s="117" t="s">
        <v>7</v>
      </c>
      <c r="J699" s="117" t="s">
        <v>4</v>
      </c>
      <c r="K699" s="118" t="s">
        <v>134</v>
      </c>
      <c r="L699" s="118" t="s">
        <v>134</v>
      </c>
      <c r="M699" s="117" t="s">
        <v>135</v>
      </c>
      <c r="N699" s="122" t="s">
        <v>135</v>
      </c>
      <c r="O699" s="115"/>
      <c r="P699" s="117"/>
      <c r="Q699" s="117" t="s">
        <v>138</v>
      </c>
      <c r="R699" s="116">
        <v>74</v>
      </c>
      <c r="S699" s="124"/>
      <c r="T699" s="50" t="s">
        <v>139</v>
      </c>
      <c r="U699" s="117" t="s">
        <v>135</v>
      </c>
      <c r="V699" s="115"/>
      <c r="W699" s="117"/>
      <c r="X699" s="117"/>
      <c r="Y699" s="117"/>
      <c r="Z699" s="117"/>
      <c r="AA699" s="117"/>
    </row>
    <row r="700" spans="1:27" ht="12.95" customHeight="1">
      <c r="A700" s="43">
        <v>580</v>
      </c>
      <c r="B700" s="116" t="s">
        <v>16</v>
      </c>
      <c r="C700" s="115" t="s">
        <v>12</v>
      </c>
      <c r="D700" s="43" t="s">
        <v>19</v>
      </c>
      <c r="E700" s="117" t="s">
        <v>43</v>
      </c>
      <c r="F700" s="119" t="s">
        <v>3</v>
      </c>
      <c r="G700" s="115">
        <v>397944</v>
      </c>
      <c r="H700" s="115" t="s">
        <v>17</v>
      </c>
      <c r="I700" s="117" t="s">
        <v>22</v>
      </c>
      <c r="J700" s="117" t="s">
        <v>22</v>
      </c>
      <c r="K700" s="118" t="s">
        <v>134</v>
      </c>
      <c r="L700" s="118" t="s">
        <v>134</v>
      </c>
      <c r="M700" s="117" t="s">
        <v>132</v>
      </c>
      <c r="N700" s="122">
        <v>45950</v>
      </c>
      <c r="O700" s="123">
        <v>45950</v>
      </c>
      <c r="P700" s="117"/>
      <c r="Q700" s="117" t="s">
        <v>132</v>
      </c>
      <c r="R700" s="116">
        <v>61</v>
      </c>
      <c r="S700" s="124">
        <v>223</v>
      </c>
      <c r="T700" s="50" t="s">
        <v>135</v>
      </c>
      <c r="U700" s="46" t="s">
        <v>137</v>
      </c>
      <c r="V700" s="115"/>
      <c r="W700" s="117"/>
      <c r="X700" s="117"/>
      <c r="Y700" s="117"/>
      <c r="Z700" s="117"/>
      <c r="AA700" s="117"/>
    </row>
    <row r="701" spans="1:27" ht="12.95" customHeight="1">
      <c r="A701" s="43">
        <v>441</v>
      </c>
      <c r="B701" s="116" t="s">
        <v>16</v>
      </c>
      <c r="C701" s="115" t="s">
        <v>12</v>
      </c>
      <c r="D701" s="43" t="s">
        <v>19</v>
      </c>
      <c r="E701" s="117" t="s">
        <v>43</v>
      </c>
      <c r="F701" s="119" t="s">
        <v>18</v>
      </c>
      <c r="G701" s="115">
        <v>301568</v>
      </c>
      <c r="H701" s="115" t="s">
        <v>17</v>
      </c>
      <c r="I701" s="117" t="s">
        <v>12</v>
      </c>
      <c r="J701" s="117" t="s">
        <v>12</v>
      </c>
      <c r="K701" s="118" t="s">
        <v>134</v>
      </c>
      <c r="L701" s="118" t="s">
        <v>134</v>
      </c>
      <c r="M701" s="117" t="s">
        <v>132</v>
      </c>
      <c r="N701" s="122" t="s">
        <v>135</v>
      </c>
      <c r="O701" s="115"/>
      <c r="P701" s="117"/>
      <c r="Q701" s="117" t="s">
        <v>138</v>
      </c>
      <c r="R701" s="116">
        <v>74</v>
      </c>
      <c r="S701" s="124"/>
      <c r="T701" s="50" t="s">
        <v>139</v>
      </c>
      <c r="U701" s="117" t="s">
        <v>135</v>
      </c>
      <c r="V701" s="115"/>
      <c r="W701" s="117"/>
      <c r="X701" s="117"/>
      <c r="Y701" s="117"/>
      <c r="Z701" s="117"/>
      <c r="AA701" s="117"/>
    </row>
    <row r="702" spans="1:27" ht="12.95" customHeight="1">
      <c r="A702" s="43">
        <v>631</v>
      </c>
      <c r="B702" s="116" t="s">
        <v>16</v>
      </c>
      <c r="C702" s="115" t="s">
        <v>12</v>
      </c>
      <c r="D702" s="43" t="s">
        <v>19</v>
      </c>
      <c r="E702" s="44" t="s">
        <v>65</v>
      </c>
      <c r="F702" s="119" t="s">
        <v>3</v>
      </c>
      <c r="G702" s="115">
        <v>75847493</v>
      </c>
      <c r="H702" s="43" t="s">
        <v>26</v>
      </c>
      <c r="I702" s="117" t="s">
        <v>22</v>
      </c>
      <c r="J702" s="117" t="s">
        <v>22</v>
      </c>
      <c r="K702" s="118" t="s">
        <v>134</v>
      </c>
      <c r="L702" s="118" t="s">
        <v>134</v>
      </c>
      <c r="M702" s="117" t="s">
        <v>132</v>
      </c>
      <c r="N702" s="122" t="s">
        <v>135</v>
      </c>
      <c r="O702" s="115"/>
      <c r="P702" s="117"/>
      <c r="Q702" s="117" t="s">
        <v>138</v>
      </c>
      <c r="R702" s="116">
        <v>74</v>
      </c>
      <c r="S702" s="124"/>
      <c r="T702" s="50" t="s">
        <v>139</v>
      </c>
      <c r="U702" s="117" t="s">
        <v>135</v>
      </c>
      <c r="V702" s="115"/>
      <c r="W702" s="117"/>
      <c r="X702" s="117"/>
      <c r="Y702" s="117"/>
      <c r="Z702" s="117"/>
      <c r="AA702" s="117"/>
    </row>
    <row r="703" spans="1:27" ht="12.95" customHeight="1">
      <c r="A703" s="43">
        <v>779</v>
      </c>
      <c r="B703" s="116" t="s">
        <v>16</v>
      </c>
      <c r="C703" s="115" t="s">
        <v>12</v>
      </c>
      <c r="D703" s="43" t="s">
        <v>19</v>
      </c>
      <c r="E703" s="117" t="s">
        <v>43</v>
      </c>
      <c r="F703" s="119" t="s">
        <v>43</v>
      </c>
      <c r="G703" s="115">
        <v>386870</v>
      </c>
      <c r="H703" s="115" t="s">
        <v>27</v>
      </c>
      <c r="I703" s="117" t="s">
        <v>17</v>
      </c>
      <c r="J703" s="117" t="s">
        <v>17</v>
      </c>
      <c r="K703" s="118" t="s">
        <v>132</v>
      </c>
      <c r="L703" s="117" t="s">
        <v>134</v>
      </c>
      <c r="M703" s="117" t="s">
        <v>141</v>
      </c>
      <c r="N703" s="122">
        <v>45934</v>
      </c>
      <c r="O703" s="123">
        <v>45934</v>
      </c>
      <c r="P703" s="117"/>
      <c r="Q703" s="117" t="s">
        <v>132</v>
      </c>
      <c r="R703" s="116">
        <v>61</v>
      </c>
      <c r="S703" s="124">
        <v>400</v>
      </c>
      <c r="T703" s="50" t="s">
        <v>135</v>
      </c>
      <c r="U703" s="46" t="s">
        <v>137</v>
      </c>
      <c r="V703" s="115"/>
      <c r="W703" s="117"/>
      <c r="X703" s="117"/>
      <c r="Y703" s="117"/>
      <c r="Z703" s="117"/>
      <c r="AA703" s="117"/>
    </row>
    <row r="704" spans="1:27" ht="12.95" customHeight="1">
      <c r="A704" s="43">
        <v>387</v>
      </c>
      <c r="B704" s="116" t="s">
        <v>16</v>
      </c>
      <c r="C704" s="115" t="s">
        <v>12</v>
      </c>
      <c r="D704" s="43" t="s">
        <v>19</v>
      </c>
      <c r="E704" s="44" t="s">
        <v>65</v>
      </c>
      <c r="F704" s="119" t="s">
        <v>16</v>
      </c>
      <c r="G704" s="115">
        <v>200664</v>
      </c>
      <c r="H704" s="115" t="s">
        <v>26</v>
      </c>
      <c r="I704" s="117" t="s">
        <v>17</v>
      </c>
      <c r="J704" s="117" t="s">
        <v>17</v>
      </c>
      <c r="K704" s="118" t="s">
        <v>127</v>
      </c>
      <c r="L704" s="118" t="s">
        <v>126</v>
      </c>
      <c r="M704" s="117" t="s">
        <v>141</v>
      </c>
      <c r="N704" s="122">
        <v>45934</v>
      </c>
      <c r="O704" s="123">
        <v>45934</v>
      </c>
      <c r="P704" s="117"/>
      <c r="Q704" s="117" t="s">
        <v>132</v>
      </c>
      <c r="R704" s="116">
        <v>61</v>
      </c>
      <c r="S704" s="124">
        <v>400</v>
      </c>
      <c r="T704" s="50" t="s">
        <v>135</v>
      </c>
      <c r="U704" s="46" t="s">
        <v>141</v>
      </c>
      <c r="V704" s="115"/>
      <c r="W704" s="117"/>
      <c r="X704" s="117" t="s">
        <v>132</v>
      </c>
      <c r="Y704" s="117"/>
      <c r="Z704" s="117"/>
      <c r="AA704" s="117"/>
    </row>
    <row r="705" spans="1:27" ht="12.95" customHeight="1">
      <c r="A705" s="43">
        <v>901</v>
      </c>
      <c r="B705" s="116" t="s">
        <v>16</v>
      </c>
      <c r="C705" s="115" t="s">
        <v>12</v>
      </c>
      <c r="D705" s="43" t="s">
        <v>19</v>
      </c>
      <c r="E705" s="117" t="s">
        <v>43</v>
      </c>
      <c r="F705" s="119" t="s">
        <v>25</v>
      </c>
      <c r="G705" s="115">
        <v>409348</v>
      </c>
      <c r="H705" s="43" t="s">
        <v>26</v>
      </c>
      <c r="I705" s="117" t="s">
        <v>17</v>
      </c>
      <c r="J705" s="117" t="s">
        <v>17</v>
      </c>
      <c r="K705" s="118" t="s">
        <v>141</v>
      </c>
      <c r="L705" s="117" t="s">
        <v>135</v>
      </c>
      <c r="M705" s="117" t="s">
        <v>141</v>
      </c>
      <c r="N705" s="122">
        <v>45934</v>
      </c>
      <c r="O705" s="123">
        <v>45934</v>
      </c>
      <c r="P705" s="117"/>
      <c r="Q705" s="117" t="s">
        <v>132</v>
      </c>
      <c r="R705" s="116">
        <v>61</v>
      </c>
      <c r="S705" s="124">
        <v>400</v>
      </c>
      <c r="T705" s="50" t="s">
        <v>135</v>
      </c>
      <c r="U705" s="46" t="s">
        <v>141</v>
      </c>
      <c r="V705" s="115"/>
      <c r="W705" s="117"/>
      <c r="X705" s="117" t="s">
        <v>138</v>
      </c>
      <c r="Y705" s="117"/>
      <c r="Z705" s="117"/>
      <c r="AA705" s="117"/>
    </row>
    <row r="706" spans="1:27" ht="12.95" customHeight="1">
      <c r="A706" s="43">
        <v>987</v>
      </c>
      <c r="B706" s="116" t="s">
        <v>16</v>
      </c>
      <c r="C706" s="115" t="s">
        <v>12</v>
      </c>
      <c r="D706" s="43" t="s">
        <v>19</v>
      </c>
      <c r="E706" s="44" t="s">
        <v>65</v>
      </c>
      <c r="F706" s="119" t="s">
        <v>23</v>
      </c>
      <c r="G706" s="115">
        <v>260070</v>
      </c>
      <c r="H706" s="115" t="s">
        <v>17</v>
      </c>
      <c r="I706" s="117" t="s">
        <v>17</v>
      </c>
      <c r="J706" s="117" t="s">
        <v>17</v>
      </c>
      <c r="K706" s="118" t="s">
        <v>141</v>
      </c>
      <c r="L706" s="117" t="s">
        <v>135</v>
      </c>
      <c r="M706" s="117" t="s">
        <v>141</v>
      </c>
      <c r="N706" s="122">
        <v>45934</v>
      </c>
      <c r="O706" s="123">
        <v>45934</v>
      </c>
      <c r="P706" s="117"/>
      <c r="Q706" s="117" t="s">
        <v>132</v>
      </c>
      <c r="R706" s="116">
        <v>61</v>
      </c>
      <c r="S706" s="124">
        <v>400</v>
      </c>
      <c r="T706" s="50" t="s">
        <v>135</v>
      </c>
      <c r="U706" s="46" t="s">
        <v>137</v>
      </c>
      <c r="V706" s="115"/>
      <c r="W706" s="117"/>
      <c r="X706" s="117"/>
      <c r="Y706" s="117"/>
      <c r="Z706" s="117"/>
      <c r="AA706" s="117"/>
    </row>
    <row r="707" spans="1:27" ht="12.95" customHeight="1">
      <c r="A707" s="43">
        <v>692</v>
      </c>
      <c r="B707" s="116" t="s">
        <v>16</v>
      </c>
      <c r="C707" s="115" t="s">
        <v>12</v>
      </c>
      <c r="D707" s="43" t="s">
        <v>19</v>
      </c>
      <c r="E707" s="44" t="s">
        <v>65</v>
      </c>
      <c r="F707" s="119" t="s">
        <v>26</v>
      </c>
      <c r="G707" s="115">
        <v>375211</v>
      </c>
      <c r="H707" s="115" t="s">
        <v>26</v>
      </c>
      <c r="I707" s="117" t="s">
        <v>17</v>
      </c>
      <c r="J707" s="117" t="s">
        <v>17</v>
      </c>
      <c r="K707" s="118" t="s">
        <v>134</v>
      </c>
      <c r="L707" s="117" t="s">
        <v>134</v>
      </c>
      <c r="M707" s="117" t="s">
        <v>126</v>
      </c>
      <c r="N707" s="122">
        <v>45950</v>
      </c>
      <c r="O707" s="123">
        <v>45950</v>
      </c>
      <c r="P707" s="117"/>
      <c r="Q707" s="117" t="s">
        <v>132</v>
      </c>
      <c r="R707" s="116">
        <v>61</v>
      </c>
      <c r="S707" s="124">
        <v>223</v>
      </c>
      <c r="T707" s="50" t="s">
        <v>135</v>
      </c>
      <c r="U707" s="46" t="s">
        <v>141</v>
      </c>
      <c r="V707" s="115"/>
      <c r="W707" s="117"/>
      <c r="X707" s="117" t="s">
        <v>133</v>
      </c>
      <c r="Y707" s="117"/>
      <c r="Z707" s="117"/>
      <c r="AA707" s="117"/>
    </row>
    <row r="708" spans="1:27" ht="12.95" customHeight="1">
      <c r="A708" s="43">
        <v>566</v>
      </c>
      <c r="B708" s="116" t="s">
        <v>16</v>
      </c>
      <c r="C708" s="115" t="s">
        <v>12</v>
      </c>
      <c r="D708" s="43" t="s">
        <v>19</v>
      </c>
      <c r="E708" s="44" t="s">
        <v>65</v>
      </c>
      <c r="F708" s="119" t="s">
        <v>15</v>
      </c>
      <c r="G708" s="115">
        <v>231947</v>
      </c>
      <c r="H708" s="115" t="s">
        <v>27</v>
      </c>
      <c r="I708" s="117" t="s">
        <v>17</v>
      </c>
      <c r="J708" s="117" t="s">
        <v>17</v>
      </c>
      <c r="K708" s="118" t="s">
        <v>141</v>
      </c>
      <c r="L708" s="118" t="s">
        <v>135</v>
      </c>
      <c r="M708" s="117" t="s">
        <v>141</v>
      </c>
      <c r="N708" s="125">
        <v>45950</v>
      </c>
      <c r="O708" s="123">
        <v>45950</v>
      </c>
      <c r="P708" s="117"/>
      <c r="Q708" s="117" t="s">
        <v>132</v>
      </c>
      <c r="R708" s="116">
        <v>61</v>
      </c>
      <c r="S708" s="124">
        <v>223</v>
      </c>
      <c r="T708" s="50" t="s">
        <v>135</v>
      </c>
      <c r="U708" s="46" t="s">
        <v>141</v>
      </c>
      <c r="V708" s="115"/>
      <c r="W708" s="117"/>
      <c r="X708" s="117" t="s">
        <v>140</v>
      </c>
      <c r="Y708" s="117"/>
      <c r="Z708" s="117"/>
      <c r="AA708" s="117"/>
    </row>
    <row r="709" spans="1:27" ht="12.95" customHeight="1">
      <c r="A709" s="43">
        <v>446</v>
      </c>
      <c r="B709" s="116" t="s">
        <v>16</v>
      </c>
      <c r="C709" s="115" t="s">
        <v>12</v>
      </c>
      <c r="D709" s="43" t="s">
        <v>19</v>
      </c>
      <c r="E709" s="44" t="s">
        <v>65</v>
      </c>
      <c r="F709" s="119" t="s">
        <v>6</v>
      </c>
      <c r="G709" s="115">
        <v>420301</v>
      </c>
      <c r="H709" s="115" t="s">
        <v>26</v>
      </c>
      <c r="I709" s="117" t="s">
        <v>17</v>
      </c>
      <c r="J709" s="117" t="s">
        <v>17</v>
      </c>
      <c r="K709" s="118" t="s">
        <v>132</v>
      </c>
      <c r="L709" s="117" t="s">
        <v>133</v>
      </c>
      <c r="M709" s="117" t="s">
        <v>141</v>
      </c>
      <c r="N709" s="122">
        <v>46037</v>
      </c>
      <c r="O709" s="123">
        <v>46037</v>
      </c>
      <c r="P709" s="117"/>
      <c r="Q709" s="117" t="s">
        <v>132</v>
      </c>
      <c r="R709" s="116">
        <v>61</v>
      </c>
      <c r="S709" s="124">
        <v>78</v>
      </c>
      <c r="T709" s="50" t="s">
        <v>135</v>
      </c>
      <c r="U709" s="46" t="s">
        <v>137</v>
      </c>
      <c r="V709" s="115"/>
      <c r="W709" s="117"/>
      <c r="X709" s="117"/>
      <c r="Y709" s="117"/>
      <c r="Z709" s="117"/>
      <c r="AA709" s="117"/>
    </row>
    <row r="710" spans="1:27" ht="12.95" customHeight="1">
      <c r="A710" s="43">
        <v>787</v>
      </c>
      <c r="B710" s="116" t="s">
        <v>16</v>
      </c>
      <c r="C710" s="115" t="s">
        <v>12</v>
      </c>
      <c r="D710" s="43" t="s">
        <v>19</v>
      </c>
      <c r="E710" s="117" t="s">
        <v>43</v>
      </c>
      <c r="F710" s="119" t="s">
        <v>43</v>
      </c>
      <c r="G710" s="115">
        <v>397943</v>
      </c>
      <c r="H710" s="115" t="s">
        <v>9</v>
      </c>
      <c r="I710" s="117" t="s">
        <v>22</v>
      </c>
      <c r="J710" s="117" t="s">
        <v>22</v>
      </c>
      <c r="K710" s="118" t="s">
        <v>134</v>
      </c>
      <c r="L710" s="117" t="s">
        <v>134</v>
      </c>
      <c r="M710" s="117" t="s">
        <v>132</v>
      </c>
      <c r="N710" s="122">
        <v>45950</v>
      </c>
      <c r="O710" s="123">
        <v>45950</v>
      </c>
      <c r="P710" s="117"/>
      <c r="Q710" s="117" t="s">
        <v>132</v>
      </c>
      <c r="R710" s="116">
        <v>61</v>
      </c>
      <c r="S710" s="124">
        <v>223</v>
      </c>
      <c r="T710" s="50" t="s">
        <v>135</v>
      </c>
      <c r="U710" s="117" t="s">
        <v>131</v>
      </c>
      <c r="V710" s="115"/>
      <c r="W710" s="117"/>
      <c r="X710" s="117" t="s">
        <v>123</v>
      </c>
      <c r="Y710" s="117"/>
      <c r="Z710" s="117"/>
      <c r="AA710" s="117"/>
    </row>
    <row r="711" spans="1:27" ht="12.95" customHeight="1">
      <c r="A711" s="43">
        <v>802</v>
      </c>
      <c r="B711" s="116" t="s">
        <v>16</v>
      </c>
      <c r="C711" s="115" t="s">
        <v>12</v>
      </c>
      <c r="D711" s="43" t="s">
        <v>19</v>
      </c>
      <c r="E711" s="44" t="s">
        <v>65</v>
      </c>
      <c r="F711" s="119" t="s">
        <v>3</v>
      </c>
      <c r="G711" s="115">
        <v>530819</v>
      </c>
      <c r="H711" s="115" t="s">
        <v>26</v>
      </c>
      <c r="I711" s="117" t="s">
        <v>22</v>
      </c>
      <c r="J711" s="117" t="s">
        <v>22</v>
      </c>
      <c r="K711" s="118" t="s">
        <v>134</v>
      </c>
      <c r="L711" s="118" t="s">
        <v>134</v>
      </c>
      <c r="M711" s="117" t="s">
        <v>132</v>
      </c>
      <c r="N711" s="122">
        <v>45950</v>
      </c>
      <c r="O711" s="123">
        <v>45950</v>
      </c>
      <c r="P711" s="117"/>
      <c r="Q711" s="117" t="s">
        <v>132</v>
      </c>
      <c r="R711" s="116">
        <v>61</v>
      </c>
      <c r="S711" s="124">
        <v>223</v>
      </c>
      <c r="T711" s="50" t="s">
        <v>135</v>
      </c>
      <c r="U711" s="46" t="s">
        <v>141</v>
      </c>
      <c r="V711" s="115"/>
      <c r="W711" s="117"/>
      <c r="X711" s="117" t="s">
        <v>140</v>
      </c>
      <c r="Y711" s="117"/>
      <c r="Z711" s="117"/>
      <c r="AA711" s="117"/>
    </row>
    <row r="712" spans="1:27" ht="12.95" customHeight="1">
      <c r="A712" s="43">
        <v>775</v>
      </c>
      <c r="B712" s="116" t="s">
        <v>16</v>
      </c>
      <c r="C712" s="115" t="s">
        <v>12</v>
      </c>
      <c r="D712" s="62" t="s">
        <v>13</v>
      </c>
      <c r="E712" s="44" t="s">
        <v>65</v>
      </c>
      <c r="F712" s="119" t="s">
        <v>14</v>
      </c>
      <c r="G712" s="115">
        <v>554378</v>
      </c>
      <c r="H712" s="91" t="s">
        <v>20</v>
      </c>
      <c r="I712" s="117" t="s">
        <v>17</v>
      </c>
      <c r="J712" s="117" t="s">
        <v>17</v>
      </c>
      <c r="K712" s="118" t="s">
        <v>140</v>
      </c>
      <c r="L712" s="118" t="s">
        <v>140</v>
      </c>
      <c r="M712" s="117" t="s">
        <v>141</v>
      </c>
      <c r="N712" s="122">
        <v>46167</v>
      </c>
      <c r="O712" s="123">
        <v>46167</v>
      </c>
      <c r="P712" s="117"/>
      <c r="Q712" s="117" t="s">
        <v>132</v>
      </c>
      <c r="R712" s="116">
        <v>61</v>
      </c>
      <c r="S712" s="124">
        <v>91</v>
      </c>
      <c r="T712" s="50" t="s">
        <v>140</v>
      </c>
      <c r="U712" s="46" t="s">
        <v>137</v>
      </c>
      <c r="V712" s="115"/>
      <c r="W712" s="117"/>
      <c r="X712" s="117"/>
      <c r="Y712" s="117"/>
      <c r="Z712" s="117"/>
      <c r="AA712" s="117"/>
    </row>
    <row r="713" spans="1:27" ht="12.95" customHeight="1">
      <c r="A713" s="43">
        <v>534</v>
      </c>
      <c r="B713" s="116" t="s">
        <v>16</v>
      </c>
      <c r="C713" s="115" t="s">
        <v>12</v>
      </c>
      <c r="D713" s="62" t="s">
        <v>13</v>
      </c>
      <c r="E713" s="44" t="s">
        <v>65</v>
      </c>
      <c r="F713" s="119" t="s">
        <v>27</v>
      </c>
      <c r="G713" s="115">
        <v>281094</v>
      </c>
      <c r="H713" s="115" t="s">
        <v>26</v>
      </c>
      <c r="I713" s="117" t="s">
        <v>17</v>
      </c>
      <c r="J713" s="117" t="s">
        <v>17</v>
      </c>
      <c r="K713" s="118" t="s">
        <v>140</v>
      </c>
      <c r="L713" s="118" t="s">
        <v>140</v>
      </c>
      <c r="M713" s="117" t="s">
        <v>141</v>
      </c>
      <c r="N713" s="122">
        <v>46167</v>
      </c>
      <c r="O713" s="123">
        <v>46167</v>
      </c>
      <c r="P713" s="117"/>
      <c r="Q713" s="117" t="s">
        <v>132</v>
      </c>
      <c r="R713" s="116">
        <v>61</v>
      </c>
      <c r="S713" s="124">
        <v>91</v>
      </c>
      <c r="T713" s="50" t="s">
        <v>140</v>
      </c>
      <c r="U713" s="46" t="s">
        <v>141</v>
      </c>
      <c r="V713" s="115"/>
      <c r="W713" s="117"/>
      <c r="X713" s="117" t="s">
        <v>131</v>
      </c>
      <c r="Y713" s="117"/>
      <c r="Z713" s="117"/>
      <c r="AA713" s="117"/>
    </row>
    <row r="714" spans="1:27" ht="12.95" customHeight="1">
      <c r="A714" s="43">
        <v>563</v>
      </c>
      <c r="B714" s="116" t="s">
        <v>16</v>
      </c>
      <c r="C714" s="115" t="s">
        <v>12</v>
      </c>
      <c r="D714" s="43" t="s">
        <v>19</v>
      </c>
      <c r="E714" s="44" t="s">
        <v>65</v>
      </c>
      <c r="F714" s="119" t="s">
        <v>7</v>
      </c>
      <c r="G714" s="115">
        <v>154487</v>
      </c>
      <c r="H714" s="115" t="s">
        <v>9</v>
      </c>
      <c r="I714" s="117" t="s">
        <v>7</v>
      </c>
      <c r="J714" s="117" t="s">
        <v>30</v>
      </c>
      <c r="K714" s="118" t="s">
        <v>134</v>
      </c>
      <c r="L714" s="118" t="s">
        <v>134</v>
      </c>
      <c r="M714" s="117" t="s">
        <v>139</v>
      </c>
      <c r="N714" s="122">
        <v>46170</v>
      </c>
      <c r="O714" s="123">
        <v>46170</v>
      </c>
      <c r="P714" s="117"/>
      <c r="Q714" s="117" t="s">
        <v>132</v>
      </c>
      <c r="R714" s="116">
        <v>61</v>
      </c>
      <c r="S714" s="124">
        <v>0</v>
      </c>
      <c r="T714" s="50" t="s">
        <v>139</v>
      </c>
      <c r="U714" s="46" t="s">
        <v>137</v>
      </c>
      <c r="V714" s="115"/>
      <c r="W714" s="117"/>
      <c r="X714" s="117"/>
      <c r="Y714" s="117"/>
      <c r="Z714" s="117"/>
      <c r="AA714" s="117"/>
    </row>
    <row r="715" spans="1:27" ht="12.95" customHeight="1">
      <c r="A715" s="43">
        <v>614</v>
      </c>
      <c r="B715" s="116" t="s">
        <v>16</v>
      </c>
      <c r="C715" s="115" t="s">
        <v>12</v>
      </c>
      <c r="D715" s="43" t="s">
        <v>19</v>
      </c>
      <c r="E715" s="117" t="s">
        <v>43</v>
      </c>
      <c r="F715" s="119" t="s">
        <v>21</v>
      </c>
      <c r="G715" s="115">
        <v>259904</v>
      </c>
      <c r="H715" s="115" t="s">
        <v>26</v>
      </c>
      <c r="I715" s="117" t="s">
        <v>23</v>
      </c>
      <c r="J715" s="117" t="s">
        <v>8</v>
      </c>
      <c r="K715" s="118" t="s">
        <v>134</v>
      </c>
      <c r="L715" s="118" t="s">
        <v>134</v>
      </c>
      <c r="M715" s="117" t="s">
        <v>141</v>
      </c>
      <c r="N715" s="122" t="s">
        <v>143</v>
      </c>
      <c r="O715" s="115"/>
      <c r="P715" s="117"/>
      <c r="Q715" s="117" t="s">
        <v>141</v>
      </c>
      <c r="R715" s="116">
        <v>54</v>
      </c>
      <c r="S715" s="124"/>
      <c r="T715" s="50" t="s">
        <v>139</v>
      </c>
      <c r="U715" s="117" t="s">
        <v>141</v>
      </c>
      <c r="V715" s="115"/>
      <c r="W715" s="117"/>
      <c r="X715" s="117"/>
      <c r="Y715" s="117"/>
      <c r="Z715" s="117"/>
      <c r="AA715" s="117"/>
    </row>
    <row r="716" spans="1:27" ht="12.95" customHeight="1">
      <c r="A716" s="43">
        <v>701</v>
      </c>
      <c r="B716" s="116" t="s">
        <v>16</v>
      </c>
      <c r="C716" s="115" t="s">
        <v>12</v>
      </c>
      <c r="D716" s="43" t="s">
        <v>19</v>
      </c>
      <c r="E716" s="117" t="s">
        <v>43</v>
      </c>
      <c r="F716" s="120" t="s">
        <v>14</v>
      </c>
      <c r="G716" s="115">
        <v>215166</v>
      </c>
      <c r="H716" s="115" t="s">
        <v>26</v>
      </c>
      <c r="I716" s="120" t="s">
        <v>9</v>
      </c>
      <c r="J716" s="117" t="s">
        <v>43</v>
      </c>
      <c r="K716" s="118" t="s">
        <v>134</v>
      </c>
      <c r="L716" s="118" t="s">
        <v>134</v>
      </c>
      <c r="M716" s="120" t="s">
        <v>131</v>
      </c>
      <c r="N716" s="122" t="s">
        <v>143</v>
      </c>
      <c r="O716" s="121"/>
      <c r="P716" s="120"/>
      <c r="Q716" s="117" t="s">
        <v>141</v>
      </c>
      <c r="R716" s="116">
        <v>54</v>
      </c>
      <c r="S716" s="124"/>
      <c r="T716" s="50" t="s">
        <v>139</v>
      </c>
      <c r="U716" s="117" t="s">
        <v>141</v>
      </c>
      <c r="V716" s="120"/>
      <c r="W716" s="120"/>
      <c r="X716" s="120"/>
      <c r="Y716" s="120"/>
      <c r="Z716" s="120"/>
      <c r="AA716" s="120"/>
    </row>
    <row r="717" spans="1:27" ht="12.95" customHeight="1">
      <c r="A717" s="43">
        <v>1010</v>
      </c>
      <c r="B717" s="116" t="s">
        <v>16</v>
      </c>
      <c r="C717" s="115" t="s">
        <v>12</v>
      </c>
      <c r="D717" s="43" t="s">
        <v>19</v>
      </c>
      <c r="E717" s="117" t="s">
        <v>43</v>
      </c>
      <c r="F717" s="120" t="s">
        <v>21</v>
      </c>
      <c r="G717" s="115">
        <v>194293</v>
      </c>
      <c r="H717" s="115" t="s">
        <v>17</v>
      </c>
      <c r="I717" s="120" t="s">
        <v>14</v>
      </c>
      <c r="J717" s="117" t="s">
        <v>4</v>
      </c>
      <c r="K717" s="118" t="s">
        <v>134</v>
      </c>
      <c r="L717" s="118" t="s">
        <v>134</v>
      </c>
      <c r="M717" s="120" t="s">
        <v>135</v>
      </c>
      <c r="N717" s="122" t="s">
        <v>135</v>
      </c>
      <c r="O717" s="121"/>
      <c r="P717" s="120"/>
      <c r="Q717" s="117" t="s">
        <v>138</v>
      </c>
      <c r="R717" s="116">
        <v>74</v>
      </c>
      <c r="S717" s="124"/>
      <c r="T717" s="50" t="s">
        <v>139</v>
      </c>
      <c r="U717" s="120" t="s">
        <v>135</v>
      </c>
      <c r="V717" s="120"/>
      <c r="W717" s="120"/>
      <c r="X717" s="120"/>
      <c r="Y717" s="120"/>
      <c r="Z717" s="120"/>
      <c r="AA717" s="120"/>
    </row>
    <row r="718" spans="1:27" ht="12.95" customHeight="1">
      <c r="A718" s="43">
        <v>495</v>
      </c>
      <c r="B718" s="116" t="s">
        <v>16</v>
      </c>
      <c r="C718" s="115" t="s">
        <v>12</v>
      </c>
      <c r="D718" s="43" t="s">
        <v>19</v>
      </c>
      <c r="E718" s="117" t="s">
        <v>43</v>
      </c>
      <c r="F718" s="120" t="s">
        <v>3</v>
      </c>
      <c r="G718" s="121">
        <v>310610</v>
      </c>
      <c r="H718" s="121" t="s">
        <v>9</v>
      </c>
      <c r="I718" s="120" t="s">
        <v>14</v>
      </c>
      <c r="J718" s="117" t="s">
        <v>21</v>
      </c>
      <c r="K718" s="120" t="s">
        <v>127</v>
      </c>
      <c r="L718" s="120" t="s">
        <v>140</v>
      </c>
      <c r="M718" s="120" t="s">
        <v>134</v>
      </c>
      <c r="N718" s="121" t="s">
        <v>135</v>
      </c>
      <c r="O718" s="121"/>
      <c r="P718" s="120"/>
      <c r="Q718" s="120" t="s">
        <v>138</v>
      </c>
      <c r="R718" s="116">
        <v>74</v>
      </c>
      <c r="S718" s="124"/>
      <c r="T718" s="50" t="s">
        <v>139</v>
      </c>
      <c r="U718" s="120" t="s">
        <v>135</v>
      </c>
      <c r="V718" s="120"/>
      <c r="W718" s="120"/>
      <c r="X718" s="120"/>
      <c r="Y718" s="120"/>
      <c r="Z718" s="120"/>
      <c r="AA718" s="120"/>
    </row>
    <row r="719" spans="1:27" ht="12.95" customHeight="1">
      <c r="A719" s="43">
        <v>653</v>
      </c>
      <c r="B719" s="116" t="s">
        <v>16</v>
      </c>
      <c r="C719" s="115" t="s">
        <v>12</v>
      </c>
      <c r="D719" s="43" t="s">
        <v>19</v>
      </c>
      <c r="E719" s="117" t="s">
        <v>43</v>
      </c>
      <c r="F719" s="120" t="s">
        <v>41</v>
      </c>
      <c r="G719" s="121">
        <v>307750</v>
      </c>
      <c r="H719" s="121" t="s">
        <v>26</v>
      </c>
      <c r="I719" s="120" t="s">
        <v>14</v>
      </c>
      <c r="J719" s="117" t="s">
        <v>21</v>
      </c>
      <c r="K719" s="120" t="s">
        <v>132</v>
      </c>
      <c r="L719" s="120" t="s">
        <v>133</v>
      </c>
      <c r="M719" s="120" t="s">
        <v>135</v>
      </c>
      <c r="N719" s="121" t="s">
        <v>135</v>
      </c>
      <c r="O719" s="121"/>
      <c r="P719" s="120"/>
      <c r="Q719" s="120" t="s">
        <v>138</v>
      </c>
      <c r="R719" s="116">
        <v>74</v>
      </c>
      <c r="S719" s="124"/>
      <c r="T719" s="50" t="s">
        <v>139</v>
      </c>
      <c r="U719" s="120" t="s">
        <v>135</v>
      </c>
      <c r="V719" s="120"/>
      <c r="W719" s="120"/>
      <c r="X719" s="120"/>
      <c r="Y719" s="120"/>
      <c r="Z719" s="120"/>
      <c r="AA719" s="120"/>
    </row>
    <row r="720" spans="1:27" ht="12.95" customHeight="1">
      <c r="A720" s="43">
        <v>410</v>
      </c>
      <c r="B720" s="116" t="s">
        <v>16</v>
      </c>
      <c r="C720" s="115" t="s">
        <v>12</v>
      </c>
      <c r="D720" s="43" t="s">
        <v>19</v>
      </c>
      <c r="E720" s="117" t="s">
        <v>43</v>
      </c>
      <c r="F720" s="120" t="s">
        <v>6</v>
      </c>
      <c r="G720" s="121">
        <v>394216</v>
      </c>
      <c r="H720" s="121" t="s">
        <v>26</v>
      </c>
      <c r="I720" s="120" t="s">
        <v>16</v>
      </c>
      <c r="J720" s="120" t="s">
        <v>16</v>
      </c>
      <c r="K720" s="120" t="s">
        <v>134</v>
      </c>
      <c r="L720" s="120" t="s">
        <v>134</v>
      </c>
      <c r="M720" s="120" t="s">
        <v>137</v>
      </c>
      <c r="N720" s="121" t="s">
        <v>135</v>
      </c>
      <c r="O720" s="121"/>
      <c r="P720" s="120"/>
      <c r="Q720" s="120" t="s">
        <v>138</v>
      </c>
      <c r="R720" s="116">
        <v>74</v>
      </c>
      <c r="S720" s="124"/>
      <c r="T720" s="50" t="s">
        <v>139</v>
      </c>
      <c r="U720" s="120" t="s">
        <v>135</v>
      </c>
      <c r="V720" s="120"/>
      <c r="W720" s="120"/>
      <c r="X720" s="120"/>
      <c r="Y720" s="120"/>
      <c r="Z720" s="120"/>
      <c r="AA720" s="120"/>
    </row>
  </sheetData>
  <conditionalFormatting sqref="F596:F619 F621:F643">
    <cfRule type="duplicateValues" dxfId="23" priority="1"/>
    <cfRule type="duplicateValues" dxfId="22" priority="2"/>
  </conditionalFormatting>
  <conditionalFormatting sqref="F721:F1048576">
    <cfRule type="duplicateValues" dxfId="21" priority="956"/>
    <cfRule type="duplicateValues" dxfId="20" priority="957"/>
    <cfRule type="duplicateValues" dxfId="19" priority="970"/>
  </conditionalFormatting>
  <conditionalFormatting sqref="G1">
    <cfRule type="duplicateValues" dxfId="18" priority="616"/>
    <cfRule type="duplicateValues" dxfId="17" priority="617"/>
    <cfRule type="duplicateValues" dxfId="16" priority="618"/>
  </conditionalFormatting>
  <conditionalFormatting sqref="G1:G231">
    <cfRule type="duplicateValues" dxfId="15" priority="610"/>
    <cfRule type="duplicateValues" dxfId="14" priority="611"/>
  </conditionalFormatting>
  <conditionalFormatting sqref="G195">
    <cfRule type="duplicateValues" dxfId="13" priority="612"/>
    <cfRule type="duplicateValues" dxfId="12" priority="613"/>
    <cfRule type="duplicateValues" dxfId="11" priority="614"/>
  </conditionalFormatting>
  <conditionalFormatting sqref="G45:G194 G196:G231">
    <cfRule type="duplicateValues" dxfId="10" priority="615"/>
  </conditionalFormatting>
  <conditionalFormatting sqref="G232:G430">
    <cfRule type="duplicateValues" dxfId="9" priority="541"/>
    <cfRule type="duplicateValues" dxfId="8" priority="542"/>
    <cfRule type="duplicateValues" dxfId="7" priority="543"/>
  </conditionalFormatting>
  <conditionalFormatting sqref="G539:G717">
    <cfRule type="duplicateValues" dxfId="6" priority="5"/>
    <cfRule type="duplicateValues" dxfId="5" priority="6"/>
  </conditionalFormatting>
  <conditionalFormatting sqref="G609:G717">
    <cfRule type="duplicateValues" dxfId="4" priority="4"/>
  </conditionalFormatting>
  <conditionalFormatting sqref="G714:G717">
    <cfRule type="duplicateValues" dxfId="3" priority="3"/>
  </conditionalFormatting>
  <pageMargins left="0.7" right="0.7" top="0.75" bottom="0.75" header="0.3" footer="0.3"/>
  <pageSetup paperSize="9" orientation="portrait"/>
  <headerFooter>
    <oddFooter>&amp;C&amp;"Calibri"&amp;8 &amp;K000000_x000D_#  ArcelorMittal proprietary information – all rights reserved for all countries.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/>
  <sheetData/>
  <pageMargins left="0.7" right="0.7" top="0.75" bottom="0.75" header="0.3" footer="0.3"/>
  <headerFooter>
    <oddFooter>&amp;C&amp;"Calibri"&amp;8 &amp;K000000_x000D_#  ArcelorMittal proprietary information – all rights reserved for all countries.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C138"/>
  <sheetViews>
    <sheetView workbookViewId="0">
      <selection activeCell="B4" sqref="B4"/>
    </sheetView>
  </sheetViews>
  <sheetFormatPr defaultRowHeight="15"/>
  <cols>
    <col min="1" max="1" width="28.42578125" customWidth="1"/>
    <col min="2" max="2" width="32.28515625" customWidth="1"/>
    <col min="3" max="3" width="54.5703125" bestFit="1" customWidth="1"/>
  </cols>
  <sheetData>
    <row r="4" spans="1:3">
      <c r="A4" s="5" t="s">
        <v>55</v>
      </c>
      <c r="B4" s="5" t="s">
        <v>36</v>
      </c>
      <c r="C4" s="5" t="s">
        <v>37</v>
      </c>
    </row>
    <row r="5" spans="1:3">
      <c r="A5" t="s">
        <v>67</v>
      </c>
      <c r="B5" t="s">
        <v>33</v>
      </c>
      <c r="C5" t="s">
        <v>33</v>
      </c>
    </row>
    <row r="6" spans="1:3">
      <c r="A6" t="s">
        <v>69</v>
      </c>
      <c r="B6" t="s">
        <v>29</v>
      </c>
      <c r="C6" t="s">
        <v>29</v>
      </c>
    </row>
    <row r="7" spans="1:3">
      <c r="C7" t="s">
        <v>5</v>
      </c>
    </row>
    <row r="8" spans="1:3">
      <c r="C8" t="s">
        <v>42</v>
      </c>
    </row>
    <row r="9" spans="1:3">
      <c r="B9" t="s">
        <v>20</v>
      </c>
      <c r="C9" t="s">
        <v>29</v>
      </c>
    </row>
    <row r="10" spans="1:3">
      <c r="C10" t="s">
        <v>8</v>
      </c>
    </row>
    <row r="11" spans="1:3">
      <c r="A11" t="s">
        <v>70</v>
      </c>
      <c r="B11" t="s">
        <v>12</v>
      </c>
      <c r="C11" t="s">
        <v>12</v>
      </c>
    </row>
    <row r="12" spans="1:3">
      <c r="A12" t="s">
        <v>71</v>
      </c>
      <c r="B12" t="s">
        <v>13</v>
      </c>
      <c r="C12" t="s">
        <v>13</v>
      </c>
    </row>
    <row r="13" spans="1:3">
      <c r="B13" t="s">
        <v>21</v>
      </c>
      <c r="C13" t="s">
        <v>13</v>
      </c>
    </row>
    <row r="14" spans="1:3">
      <c r="A14" t="s">
        <v>72</v>
      </c>
      <c r="B14" t="s">
        <v>5</v>
      </c>
      <c r="C14" t="s">
        <v>41</v>
      </c>
    </row>
    <row r="15" spans="1:3">
      <c r="A15" t="s">
        <v>73</v>
      </c>
      <c r="B15" t="s">
        <v>4</v>
      </c>
      <c r="C15" t="s">
        <v>16</v>
      </c>
    </row>
    <row r="16" spans="1:3">
      <c r="B16" t="s">
        <v>14</v>
      </c>
      <c r="C16" t="s">
        <v>14</v>
      </c>
    </row>
    <row r="17" spans="1:3">
      <c r="C17" t="s">
        <v>7</v>
      </c>
    </row>
    <row r="18" spans="1:3">
      <c r="B18" t="s">
        <v>13</v>
      </c>
      <c r="C18" t="s">
        <v>7</v>
      </c>
    </row>
    <row r="19" spans="1:3">
      <c r="A19" t="s">
        <v>75</v>
      </c>
      <c r="B19" t="s">
        <v>15</v>
      </c>
      <c r="C19" t="s">
        <v>15</v>
      </c>
    </row>
    <row r="20" spans="1:3">
      <c r="A20" t="s">
        <v>76</v>
      </c>
      <c r="B20" t="s">
        <v>42</v>
      </c>
      <c r="C20" t="s">
        <v>42</v>
      </c>
    </row>
    <row r="21" spans="1:3">
      <c r="A21" t="s">
        <v>77</v>
      </c>
      <c r="B21" t="s">
        <v>3</v>
      </c>
      <c r="C21" t="s">
        <v>3</v>
      </c>
    </row>
    <row r="22" spans="1:3">
      <c r="A22" t="s">
        <v>79</v>
      </c>
      <c r="B22" t="s">
        <v>16</v>
      </c>
      <c r="C22" t="s">
        <v>16</v>
      </c>
    </row>
    <row r="23" spans="1:3">
      <c r="A23" t="s">
        <v>80</v>
      </c>
      <c r="B23" t="s">
        <v>29</v>
      </c>
      <c r="C23" t="s">
        <v>29</v>
      </c>
    </row>
    <row r="24" spans="1:3">
      <c r="A24" t="s">
        <v>81</v>
      </c>
      <c r="B24" t="s">
        <v>17</v>
      </c>
      <c r="C24" t="s">
        <v>17</v>
      </c>
    </row>
    <row r="25" spans="1:3">
      <c r="C25" t="s">
        <v>25</v>
      </c>
    </row>
    <row r="26" spans="1:3">
      <c r="A26" t="s">
        <v>83</v>
      </c>
      <c r="B26" t="s">
        <v>18</v>
      </c>
      <c r="C26" t="s">
        <v>9</v>
      </c>
    </row>
    <row r="27" spans="1:3">
      <c r="C27" t="s">
        <v>25</v>
      </c>
    </row>
    <row r="28" spans="1:3">
      <c r="C28" t="s">
        <v>18</v>
      </c>
    </row>
    <row r="29" spans="1:3">
      <c r="A29" t="s">
        <v>84</v>
      </c>
      <c r="B29" t="s">
        <v>21</v>
      </c>
      <c r="C29" t="s">
        <v>21</v>
      </c>
    </row>
    <row r="30" spans="1:3">
      <c r="C30" t="s">
        <v>19</v>
      </c>
    </row>
    <row r="31" spans="1:3">
      <c r="C31" t="s">
        <v>24</v>
      </c>
    </row>
    <row r="32" spans="1:3">
      <c r="A32" t="s">
        <v>72</v>
      </c>
      <c r="B32" t="s">
        <v>5</v>
      </c>
      <c r="C32" t="s">
        <v>29</v>
      </c>
    </row>
    <row r="33" spans="1:3">
      <c r="C33" t="s">
        <v>41</v>
      </c>
    </row>
    <row r="34" spans="1:3">
      <c r="C34" t="s">
        <v>28</v>
      </c>
    </row>
    <row r="35" spans="1:3">
      <c r="C35" t="s">
        <v>12</v>
      </c>
    </row>
    <row r="36" spans="1:3">
      <c r="C36" t="s">
        <v>5</v>
      </c>
    </row>
    <row r="37" spans="1:3">
      <c r="C37" t="s">
        <v>3</v>
      </c>
    </row>
    <row r="38" spans="1:3">
      <c r="C38" t="s">
        <v>24</v>
      </c>
    </row>
    <row r="39" spans="1:3">
      <c r="C39" t="s">
        <v>8</v>
      </c>
    </row>
    <row r="40" spans="1:3">
      <c r="B40" t="s">
        <v>24</v>
      </c>
      <c r="C40" t="s">
        <v>25</v>
      </c>
    </row>
    <row r="41" spans="1:3">
      <c r="C41" t="s">
        <v>5</v>
      </c>
    </row>
    <row r="42" spans="1:3">
      <c r="C42" t="s">
        <v>24</v>
      </c>
    </row>
    <row r="43" spans="1:3">
      <c r="A43" t="s">
        <v>71</v>
      </c>
      <c r="B43" t="s">
        <v>18</v>
      </c>
      <c r="C43" t="s">
        <v>18</v>
      </c>
    </row>
    <row r="44" spans="1:3">
      <c r="A44" t="s">
        <v>75</v>
      </c>
      <c r="B44" t="s">
        <v>20</v>
      </c>
      <c r="C44" t="s">
        <v>28</v>
      </c>
    </row>
    <row r="45" spans="1:3">
      <c r="C45" t="s">
        <v>20</v>
      </c>
    </row>
    <row r="46" spans="1:3">
      <c r="C46" t="s">
        <v>23</v>
      </c>
    </row>
    <row r="47" spans="1:3">
      <c r="B47" t="s">
        <v>20</v>
      </c>
      <c r="C47" t="s">
        <v>29</v>
      </c>
    </row>
    <row r="48" spans="1:3">
      <c r="A48" t="s">
        <v>75</v>
      </c>
      <c r="B48" t="s">
        <v>21</v>
      </c>
      <c r="C48" t="s">
        <v>21</v>
      </c>
    </row>
    <row r="49" spans="1:3">
      <c r="A49" t="s">
        <v>68</v>
      </c>
      <c r="B49" t="s">
        <v>29</v>
      </c>
      <c r="C49" t="s">
        <v>29</v>
      </c>
    </row>
    <row r="50" spans="1:3">
      <c r="C50" t="s">
        <v>6</v>
      </c>
    </row>
    <row r="51" spans="1:3">
      <c r="A51" t="s">
        <v>75</v>
      </c>
      <c r="B51" t="s">
        <v>26</v>
      </c>
      <c r="C51" t="s">
        <v>26</v>
      </c>
    </row>
    <row r="52" spans="1:3">
      <c r="A52" t="s">
        <v>72</v>
      </c>
      <c r="B52" t="s">
        <v>22</v>
      </c>
      <c r="C52" t="s">
        <v>17</v>
      </c>
    </row>
    <row r="53" spans="1:3">
      <c r="C53" t="s">
        <v>22</v>
      </c>
    </row>
    <row r="54" spans="1:3">
      <c r="C54" t="s">
        <v>12</v>
      </c>
    </row>
    <row r="55" spans="1:3">
      <c r="A55" t="s">
        <v>82</v>
      </c>
      <c r="B55" t="s">
        <v>6</v>
      </c>
      <c r="C55" t="s">
        <v>6</v>
      </c>
    </row>
    <row r="56" spans="1:3">
      <c r="A56" t="s">
        <v>84</v>
      </c>
      <c r="B56" t="s">
        <v>7</v>
      </c>
      <c r="C56" t="s">
        <v>7</v>
      </c>
    </row>
    <row r="57" spans="1:3">
      <c r="B57" t="s">
        <v>23</v>
      </c>
      <c r="C57" t="s">
        <v>23</v>
      </c>
    </row>
    <row r="58" spans="1:3">
      <c r="B58" t="s">
        <v>7</v>
      </c>
      <c r="C58" t="s">
        <v>7</v>
      </c>
    </row>
    <row r="59" spans="1:3">
      <c r="A59" t="s">
        <v>69</v>
      </c>
      <c r="B59" t="s">
        <v>18</v>
      </c>
      <c r="C59" t="s">
        <v>18</v>
      </c>
    </row>
    <row r="60" spans="1:3">
      <c r="A60" t="s">
        <v>74</v>
      </c>
      <c r="B60" t="s">
        <v>8</v>
      </c>
      <c r="C60" t="s">
        <v>8</v>
      </c>
    </row>
    <row r="61" spans="1:3">
      <c r="B61" t="s">
        <v>25</v>
      </c>
      <c r="C61" t="s">
        <v>25</v>
      </c>
    </row>
    <row r="62" spans="1:3">
      <c r="B62" t="s">
        <v>6</v>
      </c>
      <c r="C62" t="s">
        <v>24</v>
      </c>
    </row>
    <row r="63" spans="1:3">
      <c r="B63" t="s">
        <v>7</v>
      </c>
      <c r="C63" t="s">
        <v>25</v>
      </c>
    </row>
    <row r="64" spans="1:3">
      <c r="C64" t="s">
        <v>7</v>
      </c>
    </row>
    <row r="65" spans="1:3">
      <c r="B65" t="s">
        <v>21</v>
      </c>
      <c r="C65" t="s">
        <v>7</v>
      </c>
    </row>
    <row r="66" spans="1:3">
      <c r="C66" t="s">
        <v>21</v>
      </c>
    </row>
    <row r="67" spans="1:3">
      <c r="B67" t="s">
        <v>27</v>
      </c>
      <c r="C67" t="s">
        <v>4</v>
      </c>
    </row>
    <row r="68" spans="1:3">
      <c r="C68" t="s">
        <v>27</v>
      </c>
    </row>
    <row r="69" spans="1:3">
      <c r="B69" t="s">
        <v>17</v>
      </c>
      <c r="C69" t="s">
        <v>17</v>
      </c>
    </row>
    <row r="70" spans="1:3">
      <c r="B70" t="s">
        <v>21</v>
      </c>
      <c r="C70" t="s">
        <v>21</v>
      </c>
    </row>
    <row r="71" spans="1:3">
      <c r="B71" t="s">
        <v>13</v>
      </c>
      <c r="C71" t="s">
        <v>7</v>
      </c>
    </row>
    <row r="72" spans="1:3">
      <c r="B72" t="s">
        <v>12</v>
      </c>
      <c r="C72" t="s">
        <v>7</v>
      </c>
    </row>
    <row r="73" spans="1:3">
      <c r="B73" t="s">
        <v>21</v>
      </c>
      <c r="C73" t="s">
        <v>21</v>
      </c>
    </row>
    <row r="74" spans="1:3">
      <c r="B74" t="s">
        <v>21</v>
      </c>
      <c r="C74" t="s">
        <v>21</v>
      </c>
    </row>
    <row r="75" spans="1:3">
      <c r="B75" t="s">
        <v>22</v>
      </c>
      <c r="C75" t="s">
        <v>7</v>
      </c>
    </row>
    <row r="76" spans="1:3">
      <c r="B76" t="s">
        <v>5</v>
      </c>
      <c r="C76" t="s">
        <v>5</v>
      </c>
    </row>
    <row r="77" spans="1:3">
      <c r="B77" t="s">
        <v>8</v>
      </c>
      <c r="C77" t="s">
        <v>8</v>
      </c>
    </row>
    <row r="78" spans="1:3">
      <c r="A78" t="s">
        <v>24</v>
      </c>
      <c r="B78" t="s">
        <v>3</v>
      </c>
      <c r="C78" t="s">
        <v>43</v>
      </c>
    </row>
    <row r="79" spans="1:3">
      <c r="C79" t="s">
        <v>29</v>
      </c>
    </row>
    <row r="80" spans="1:3">
      <c r="C80" t="s">
        <v>33</v>
      </c>
    </row>
    <row r="81" spans="1:3">
      <c r="A81" t="s">
        <v>17</v>
      </c>
      <c r="B81" t="s">
        <v>29</v>
      </c>
      <c r="C81" t="s">
        <v>17</v>
      </c>
    </row>
    <row r="82" spans="1:3">
      <c r="B82" t="s">
        <v>21</v>
      </c>
      <c r="C82" t="s">
        <v>17</v>
      </c>
    </row>
    <row r="83" spans="1:3">
      <c r="B83" t="s">
        <v>26</v>
      </c>
      <c r="C83" t="s">
        <v>17</v>
      </c>
    </row>
    <row r="84" spans="1:3">
      <c r="B84" t="s">
        <v>7</v>
      </c>
      <c r="C84" t="s">
        <v>17</v>
      </c>
    </row>
    <row r="85" spans="1:3">
      <c r="B85" t="s">
        <v>16</v>
      </c>
      <c r="C85" t="s">
        <v>17</v>
      </c>
    </row>
    <row r="86" spans="1:3">
      <c r="B86" t="s">
        <v>16</v>
      </c>
      <c r="C86" t="s">
        <v>17</v>
      </c>
    </row>
    <row r="87" spans="1:3">
      <c r="A87" t="s">
        <v>8</v>
      </c>
      <c r="B87" t="s">
        <v>21</v>
      </c>
      <c r="C87" t="s">
        <v>8</v>
      </c>
    </row>
    <row r="88" spans="1:3">
      <c r="B88" t="s">
        <v>26</v>
      </c>
      <c r="C88" t="s">
        <v>8</v>
      </c>
    </row>
    <row r="89" spans="1:3">
      <c r="B89" t="s">
        <v>8</v>
      </c>
      <c r="C89" t="s">
        <v>14</v>
      </c>
    </row>
    <row r="90" spans="1:3">
      <c r="A90" t="s">
        <v>16</v>
      </c>
      <c r="B90" t="s">
        <v>16</v>
      </c>
      <c r="C90" t="s">
        <v>16</v>
      </c>
    </row>
    <row r="91" spans="1:3">
      <c r="A91" t="s">
        <v>7</v>
      </c>
      <c r="B91" t="s">
        <v>7</v>
      </c>
      <c r="C91" t="s">
        <v>28</v>
      </c>
    </row>
    <row r="92" spans="1:3">
      <c r="C92" t="s">
        <v>6</v>
      </c>
    </row>
    <row r="93" spans="1:3">
      <c r="C93" t="s">
        <v>12</v>
      </c>
    </row>
    <row r="94" spans="1:3">
      <c r="C94" t="s">
        <v>7</v>
      </c>
    </row>
    <row r="95" spans="1:3">
      <c r="C95" t="s">
        <v>27</v>
      </c>
    </row>
    <row r="96" spans="1:3">
      <c r="C96" t="s">
        <v>12</v>
      </c>
    </row>
    <row r="97" spans="1:3">
      <c r="C97" t="s">
        <v>7</v>
      </c>
    </row>
    <row r="98" spans="1:3">
      <c r="A98" t="s">
        <v>26</v>
      </c>
      <c r="B98" t="s">
        <v>26</v>
      </c>
      <c r="C98" t="s">
        <v>26</v>
      </c>
    </row>
    <row r="99" spans="1:3">
      <c r="B99" t="s">
        <v>21</v>
      </c>
      <c r="C99" t="s">
        <v>21</v>
      </c>
    </row>
    <row r="100" spans="1:3">
      <c r="A100" t="s">
        <v>27</v>
      </c>
      <c r="B100" t="s">
        <v>27</v>
      </c>
      <c r="C100" t="s">
        <v>7</v>
      </c>
    </row>
    <row r="101" spans="1:3">
      <c r="C101" t="s">
        <v>27</v>
      </c>
    </row>
    <row r="102" spans="1:3">
      <c r="A102" t="s">
        <v>9</v>
      </c>
      <c r="B102" t="s">
        <v>7</v>
      </c>
      <c r="C102" t="s">
        <v>3</v>
      </c>
    </row>
    <row r="103" spans="1:3">
      <c r="B103" t="s">
        <v>21</v>
      </c>
      <c r="C103" t="s">
        <v>26</v>
      </c>
    </row>
    <row r="104" spans="1:3">
      <c r="B104" t="s">
        <v>9</v>
      </c>
      <c r="C104" t="s">
        <v>27</v>
      </c>
    </row>
    <row r="105" spans="1:3">
      <c r="C105" t="s">
        <v>22</v>
      </c>
    </row>
    <row r="106" spans="1:3">
      <c r="C106" t="s">
        <v>9</v>
      </c>
    </row>
    <row r="107" spans="1:3">
      <c r="B107" t="s">
        <v>42</v>
      </c>
      <c r="C107" t="s">
        <v>42</v>
      </c>
    </row>
    <row r="108" spans="1:3">
      <c r="B108" t="s">
        <v>15</v>
      </c>
      <c r="C108" t="s">
        <v>15</v>
      </c>
    </row>
    <row r="109" spans="1:3">
      <c r="B109" t="s">
        <v>22</v>
      </c>
      <c r="C109" t="s">
        <v>22</v>
      </c>
    </row>
    <row r="110" spans="1:3">
      <c r="A110" t="s">
        <v>21</v>
      </c>
      <c r="B110" t="s">
        <v>21</v>
      </c>
      <c r="C110" t="s">
        <v>13</v>
      </c>
    </row>
    <row r="111" spans="1:3">
      <c r="C111" t="s">
        <v>16</v>
      </c>
    </row>
    <row r="112" spans="1:3">
      <c r="C112" t="s">
        <v>26</v>
      </c>
    </row>
    <row r="113" spans="1:3">
      <c r="C113" t="s">
        <v>21</v>
      </c>
    </row>
    <row r="114" spans="1:3">
      <c r="A114" t="s">
        <v>22</v>
      </c>
      <c r="B114" t="s">
        <v>22</v>
      </c>
      <c r="C114" t="s">
        <v>22</v>
      </c>
    </row>
    <row r="115" spans="1:3">
      <c r="A115" t="s">
        <v>33</v>
      </c>
      <c r="B115" t="s">
        <v>33</v>
      </c>
      <c r="C115" t="s">
        <v>5</v>
      </c>
    </row>
    <row r="116" spans="1:3">
      <c r="C116" t="s">
        <v>42</v>
      </c>
    </row>
    <row r="117" spans="1:3">
      <c r="C117" t="s">
        <v>33</v>
      </c>
    </row>
    <row r="118" spans="1:3">
      <c r="A118" t="s">
        <v>20</v>
      </c>
      <c r="B118" t="s">
        <v>5</v>
      </c>
      <c r="C118" t="s">
        <v>5</v>
      </c>
    </row>
    <row r="119" spans="1:3">
      <c r="B119" t="s">
        <v>7</v>
      </c>
      <c r="C119" t="s">
        <v>7</v>
      </c>
    </row>
    <row r="120" spans="1:3">
      <c r="B120" t="s">
        <v>25</v>
      </c>
      <c r="C120" t="s">
        <v>25</v>
      </c>
    </row>
    <row r="121" spans="1:3">
      <c r="C121" t="s">
        <v>21</v>
      </c>
    </row>
    <row r="122" spans="1:3">
      <c r="B122" t="s">
        <v>15</v>
      </c>
      <c r="C122" t="s">
        <v>15</v>
      </c>
    </row>
    <row r="123" spans="1:3">
      <c r="B123" t="s">
        <v>6</v>
      </c>
      <c r="C123" t="s">
        <v>6</v>
      </c>
    </row>
    <row r="124" spans="1:3">
      <c r="B124" t="s">
        <v>15</v>
      </c>
      <c r="C124" t="s">
        <v>15</v>
      </c>
    </row>
    <row r="125" spans="1:3">
      <c r="B125" t="s">
        <v>41</v>
      </c>
      <c r="C125" t="s">
        <v>41</v>
      </c>
    </row>
    <row r="126" spans="1:3">
      <c r="B126" t="s">
        <v>17</v>
      </c>
      <c r="C126" t="s">
        <v>17</v>
      </c>
    </row>
    <row r="127" spans="1:3">
      <c r="B127" t="s">
        <v>24</v>
      </c>
      <c r="C127" t="s">
        <v>24</v>
      </c>
    </row>
    <row r="128" spans="1:3">
      <c r="B128" t="s">
        <v>17</v>
      </c>
      <c r="C128" t="s">
        <v>17</v>
      </c>
    </row>
    <row r="129" spans="1:3">
      <c r="A129" t="s">
        <v>24</v>
      </c>
      <c r="B129" t="s">
        <v>24</v>
      </c>
      <c r="C129" t="s">
        <v>21</v>
      </c>
    </row>
    <row r="130" spans="1:3">
      <c r="C130" t="s">
        <v>14</v>
      </c>
    </row>
    <row r="131" spans="1:3">
      <c r="C131" t="s">
        <v>25</v>
      </c>
    </row>
    <row r="132" spans="1:3">
      <c r="C132" t="s">
        <v>4</v>
      </c>
    </row>
    <row r="133" spans="1:3">
      <c r="C133" t="s">
        <v>6</v>
      </c>
    </row>
    <row r="134" spans="1:3">
      <c r="C134" t="s">
        <v>18</v>
      </c>
    </row>
    <row r="135" spans="1:3">
      <c r="C135" t="s">
        <v>30</v>
      </c>
    </row>
    <row r="136" spans="1:3">
      <c r="C136" t="s">
        <v>14</v>
      </c>
    </row>
    <row r="137" spans="1:3">
      <c r="C137" t="s">
        <v>24</v>
      </c>
    </row>
    <row r="138" spans="1:3">
      <c r="A138" t="s">
        <v>31</v>
      </c>
    </row>
  </sheetData>
  <pageMargins left="0.7" right="0.7" top="0.75" bottom="0.75" header="0.3" footer="0.3"/>
  <headerFooter>
    <oddFooter>&amp;C&amp;"Calibri"&amp;8 &amp;K000000_x000D_#  ArcelorMittal proprietary information – all rights reserved for all countries.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"/>
  <sheetViews>
    <sheetView topLeftCell="C1" workbookViewId="0"/>
  </sheetViews>
  <sheetFormatPr defaultRowHeight="15"/>
  <cols>
    <col min="1" max="1" width="3.42578125" bestFit="1" customWidth="1"/>
    <col min="2" max="2" width="8.140625" bestFit="1" customWidth="1"/>
    <col min="3" max="3" width="16.42578125" bestFit="1" customWidth="1"/>
    <col min="4" max="4" width="9.7109375" bestFit="1" customWidth="1"/>
    <col min="5" max="5" width="4.85546875" bestFit="1" customWidth="1"/>
    <col min="6" max="6" width="5.7109375" bestFit="1" customWidth="1"/>
    <col min="7" max="7" width="5.42578125" bestFit="1" customWidth="1"/>
    <col min="8" max="8" width="12.140625" bestFit="1" customWidth="1"/>
    <col min="9" max="9" width="14" bestFit="1" customWidth="1"/>
    <col min="10" max="10" width="34.5703125" bestFit="1" customWidth="1"/>
    <col min="11" max="11" width="14.42578125" bestFit="1" customWidth="1"/>
    <col min="12" max="12" width="31.85546875" bestFit="1" customWidth="1"/>
  </cols>
  <sheetData>
    <row r="1" spans="1:12">
      <c r="A1" s="133" t="s">
        <v>173</v>
      </c>
      <c r="B1" s="133" t="s">
        <v>174</v>
      </c>
      <c r="C1" s="133" t="s">
        <v>175</v>
      </c>
      <c r="D1" s="133" t="s">
        <v>44</v>
      </c>
      <c r="E1" s="36" t="s">
        <v>176</v>
      </c>
      <c r="F1" s="133" t="s">
        <v>177</v>
      </c>
      <c r="G1" s="133" t="s">
        <v>178</v>
      </c>
      <c r="H1" s="133" t="s">
        <v>179</v>
      </c>
      <c r="I1" s="36" t="s">
        <v>34</v>
      </c>
      <c r="J1" s="133" t="s">
        <v>55</v>
      </c>
      <c r="K1" s="133" t="s">
        <v>180</v>
      </c>
      <c r="L1" s="133" t="s">
        <v>181</v>
      </c>
    </row>
    <row r="2" spans="1:12">
      <c r="A2" s="2">
        <v>1</v>
      </c>
      <c r="B2" s="3">
        <v>65029835</v>
      </c>
      <c r="C2" s="3" t="s">
        <v>182</v>
      </c>
      <c r="D2" s="3" t="s">
        <v>2</v>
      </c>
      <c r="E2" s="4" t="s">
        <v>183</v>
      </c>
      <c r="F2" s="3" t="s">
        <v>25</v>
      </c>
      <c r="G2" s="3" t="s">
        <v>29</v>
      </c>
      <c r="H2" s="3" t="s">
        <v>138</v>
      </c>
      <c r="I2" s="4" t="s">
        <v>123</v>
      </c>
      <c r="J2" s="3" t="s">
        <v>123</v>
      </c>
      <c r="K2" s="3" t="s">
        <v>141</v>
      </c>
      <c r="L2" s="3" t="s">
        <v>184</v>
      </c>
    </row>
    <row r="3" spans="1:12">
      <c r="A3" s="2">
        <v>2</v>
      </c>
      <c r="B3" s="3">
        <v>19007727</v>
      </c>
      <c r="C3" s="3" t="s">
        <v>26</v>
      </c>
      <c r="D3" s="3" t="s">
        <v>2</v>
      </c>
      <c r="E3" s="4" t="s">
        <v>185</v>
      </c>
      <c r="F3" s="3" t="s">
        <v>41</v>
      </c>
      <c r="G3" s="3" t="s">
        <v>29</v>
      </c>
      <c r="H3" s="3" t="s">
        <v>141</v>
      </c>
      <c r="I3" s="4" t="s">
        <v>123</v>
      </c>
      <c r="J3" s="3" t="s">
        <v>123</v>
      </c>
      <c r="K3" s="3" t="s">
        <v>134</v>
      </c>
      <c r="L3" s="3" t="s">
        <v>136</v>
      </c>
    </row>
    <row r="4" spans="1:12">
      <c r="A4" s="2">
        <v>3</v>
      </c>
      <c r="B4" s="3">
        <v>53258376</v>
      </c>
      <c r="C4" s="3" t="s">
        <v>25</v>
      </c>
      <c r="D4" s="3" t="s">
        <v>2</v>
      </c>
      <c r="E4" s="4" t="s">
        <v>186</v>
      </c>
      <c r="F4" s="3" t="s">
        <v>33</v>
      </c>
      <c r="G4" s="3" t="s">
        <v>29</v>
      </c>
      <c r="H4" s="3" t="s">
        <v>138</v>
      </c>
      <c r="I4" s="4" t="s">
        <v>123</v>
      </c>
      <c r="J4" s="3" t="s">
        <v>123</v>
      </c>
      <c r="K4" s="3" t="s">
        <v>141</v>
      </c>
      <c r="L4" s="3" t="s">
        <v>132</v>
      </c>
    </row>
    <row r="5" spans="1:12">
      <c r="A5" s="2">
        <v>4</v>
      </c>
      <c r="B5" s="3">
        <v>30916603</v>
      </c>
      <c r="C5" s="3" t="s">
        <v>3</v>
      </c>
      <c r="D5" s="3" t="s">
        <v>2</v>
      </c>
      <c r="E5" s="4" t="s">
        <v>187</v>
      </c>
      <c r="F5" s="3" t="s">
        <v>41</v>
      </c>
      <c r="G5" s="3" t="s">
        <v>29</v>
      </c>
      <c r="H5" s="3" t="s">
        <v>141</v>
      </c>
      <c r="I5" s="4" t="s">
        <v>123</v>
      </c>
      <c r="J5" s="3" t="s">
        <v>123</v>
      </c>
      <c r="K5" s="3" t="s">
        <v>141</v>
      </c>
      <c r="L5" s="3" t="s">
        <v>126</v>
      </c>
    </row>
    <row r="6" spans="1:12">
      <c r="A6" s="2">
        <v>5</v>
      </c>
      <c r="B6" s="3">
        <v>26668863</v>
      </c>
      <c r="C6" s="3" t="s">
        <v>13</v>
      </c>
      <c r="D6" s="3" t="s">
        <v>2</v>
      </c>
      <c r="E6" s="4" t="s">
        <v>122</v>
      </c>
      <c r="F6" s="3" t="s">
        <v>33</v>
      </c>
      <c r="G6" s="3" t="s">
        <v>29</v>
      </c>
      <c r="H6" s="3" t="s">
        <v>141</v>
      </c>
      <c r="I6" s="4" t="s">
        <v>123</v>
      </c>
      <c r="J6" s="3" t="s">
        <v>135</v>
      </c>
      <c r="K6" s="3" t="s">
        <v>133</v>
      </c>
      <c r="L6" s="3" t="s">
        <v>127</v>
      </c>
    </row>
    <row r="7" spans="1:12">
      <c r="A7" s="2">
        <v>6</v>
      </c>
      <c r="B7" s="3">
        <v>54086113</v>
      </c>
      <c r="C7" s="3" t="s">
        <v>7</v>
      </c>
      <c r="D7" s="3" t="s">
        <v>2</v>
      </c>
      <c r="E7" s="4" t="s">
        <v>185</v>
      </c>
      <c r="F7" s="3" t="s">
        <v>41</v>
      </c>
      <c r="G7" s="3" t="s">
        <v>29</v>
      </c>
      <c r="H7" s="3" t="s">
        <v>141</v>
      </c>
      <c r="I7" s="4" t="s">
        <v>123</v>
      </c>
      <c r="J7" s="3" t="s">
        <v>135</v>
      </c>
      <c r="K7" s="3" t="s">
        <v>138</v>
      </c>
      <c r="L7" s="3" t="s">
        <v>132</v>
      </c>
    </row>
  </sheetData>
  <pageMargins left="0.7" right="0.7" top="0.75" bottom="0.75" header="0.3" footer="0.3"/>
  <headerFooter>
    <oddFooter>&amp;C&amp;"Calibri"&amp;8 &amp;K000000_x000D_#  ArcelorMittal proprietary information – all rights reserved for all countries.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7"/>
  <sheetViews>
    <sheetView topLeftCell="K1" workbookViewId="0"/>
  </sheetViews>
  <sheetFormatPr defaultRowHeight="15"/>
  <cols>
    <col min="1" max="2" width="30.140625" bestFit="1" customWidth="1"/>
    <col min="3" max="3" width="5" style="10" bestFit="1" customWidth="1"/>
    <col min="4" max="4" width="4.85546875" style="10" bestFit="1" customWidth="1"/>
    <col min="5" max="5" width="4.42578125" style="10" bestFit="1" customWidth="1"/>
    <col min="6" max="6" width="11.42578125" customWidth="1"/>
  </cols>
  <sheetData>
    <row r="1" spans="1:6" ht="29.1" customHeight="1">
      <c r="A1" s="16" t="s">
        <v>36</v>
      </c>
      <c r="B1" s="16" t="s">
        <v>37</v>
      </c>
      <c r="C1" s="16" t="s">
        <v>38</v>
      </c>
      <c r="D1" s="16" t="s">
        <v>188</v>
      </c>
      <c r="E1" s="16" t="s">
        <v>65</v>
      </c>
      <c r="F1" s="17" t="s">
        <v>189</v>
      </c>
    </row>
    <row r="2" spans="1:6">
      <c r="A2" s="12" t="s">
        <v>41</v>
      </c>
      <c r="B2" s="12" t="s">
        <v>41</v>
      </c>
      <c r="C2" s="114">
        <v>8</v>
      </c>
      <c r="D2" s="114">
        <v>2</v>
      </c>
      <c r="E2" s="114"/>
      <c r="F2" s="114">
        <f t="shared" ref="F2:F37" si="0">SUM(C2:E2)</f>
        <v>10</v>
      </c>
    </row>
    <row r="3" spans="1:6">
      <c r="A3" s="12" t="s">
        <v>42</v>
      </c>
      <c r="B3" s="12" t="s">
        <v>42</v>
      </c>
      <c r="C3" s="114">
        <v>2</v>
      </c>
      <c r="D3" s="114"/>
      <c r="E3" s="114"/>
      <c r="F3" s="114">
        <f t="shared" si="0"/>
        <v>2</v>
      </c>
    </row>
    <row r="4" spans="1:6">
      <c r="A4" s="12" t="s">
        <v>43</v>
      </c>
      <c r="B4" s="12" t="s">
        <v>29</v>
      </c>
      <c r="C4" s="114">
        <v>10</v>
      </c>
      <c r="D4" s="114"/>
      <c r="E4" s="114"/>
      <c r="F4" s="114">
        <f t="shared" si="0"/>
        <v>10</v>
      </c>
    </row>
    <row r="5" spans="1:6">
      <c r="A5" s="12" t="s">
        <v>6</v>
      </c>
      <c r="B5" s="12" t="s">
        <v>6</v>
      </c>
      <c r="C5" s="114">
        <v>11</v>
      </c>
      <c r="D5" s="114">
        <v>2</v>
      </c>
      <c r="E5" s="114"/>
      <c r="F5" s="114">
        <f t="shared" si="0"/>
        <v>13</v>
      </c>
    </row>
    <row r="6" spans="1:6">
      <c r="A6" s="12" t="s">
        <v>24</v>
      </c>
      <c r="B6" s="12" t="s">
        <v>24</v>
      </c>
      <c r="C6" s="114">
        <v>6</v>
      </c>
      <c r="D6" s="114">
        <v>1</v>
      </c>
      <c r="E6" s="114"/>
      <c r="F6" s="114">
        <f t="shared" si="0"/>
        <v>7</v>
      </c>
    </row>
    <row r="7" spans="1:6">
      <c r="A7" s="12" t="s">
        <v>17</v>
      </c>
      <c r="B7" s="12" t="s">
        <v>17</v>
      </c>
      <c r="C7" s="114">
        <v>6</v>
      </c>
      <c r="D7" s="114"/>
      <c r="E7" s="114">
        <v>1</v>
      </c>
      <c r="F7" s="114">
        <f t="shared" si="0"/>
        <v>7</v>
      </c>
    </row>
    <row r="8" spans="1:6">
      <c r="A8" s="12" t="s">
        <v>29</v>
      </c>
      <c r="B8" s="12" t="s">
        <v>29</v>
      </c>
      <c r="C8" s="114">
        <v>5</v>
      </c>
      <c r="D8" s="114">
        <v>1</v>
      </c>
      <c r="E8" s="114">
        <v>1</v>
      </c>
      <c r="F8" s="114">
        <f t="shared" si="0"/>
        <v>7</v>
      </c>
    </row>
    <row r="9" spans="1:6">
      <c r="A9" s="12"/>
      <c r="B9" s="12" t="s">
        <v>6</v>
      </c>
      <c r="C9" s="114">
        <v>4</v>
      </c>
      <c r="D9" s="114"/>
      <c r="E9" s="114"/>
      <c r="F9" s="114">
        <f t="shared" si="0"/>
        <v>4</v>
      </c>
    </row>
    <row r="10" spans="1:6">
      <c r="A10" s="12" t="s">
        <v>18</v>
      </c>
      <c r="B10" s="12" t="s">
        <v>18</v>
      </c>
      <c r="C10" s="114">
        <v>11</v>
      </c>
      <c r="D10" s="114">
        <v>3</v>
      </c>
      <c r="E10" s="114"/>
      <c r="F10" s="114">
        <f t="shared" si="0"/>
        <v>14</v>
      </c>
    </row>
    <row r="11" spans="1:6">
      <c r="A11" s="12" t="s">
        <v>21</v>
      </c>
      <c r="B11" s="12" t="s">
        <v>16</v>
      </c>
      <c r="C11" s="114">
        <v>7</v>
      </c>
      <c r="D11" s="114">
        <v>1</v>
      </c>
      <c r="E11" s="114">
        <v>3</v>
      </c>
      <c r="F11" s="114">
        <f t="shared" si="0"/>
        <v>11</v>
      </c>
    </row>
    <row r="12" spans="1:6">
      <c r="A12" s="12"/>
      <c r="B12" s="12" t="s">
        <v>21</v>
      </c>
      <c r="C12" s="114">
        <v>1</v>
      </c>
      <c r="D12" s="114"/>
      <c r="E12" s="114"/>
      <c r="F12" s="114">
        <f t="shared" si="0"/>
        <v>1</v>
      </c>
    </row>
    <row r="13" spans="1:6">
      <c r="A13" s="12"/>
      <c r="B13" s="12" t="s">
        <v>13</v>
      </c>
      <c r="C13" s="114">
        <v>15</v>
      </c>
      <c r="D13" s="114">
        <v>1</v>
      </c>
      <c r="E13" s="114"/>
      <c r="F13" s="114">
        <f t="shared" si="0"/>
        <v>16</v>
      </c>
    </row>
    <row r="14" spans="1:6">
      <c r="A14" s="12"/>
      <c r="B14" s="12" t="s">
        <v>26</v>
      </c>
      <c r="C14" s="114">
        <v>24</v>
      </c>
      <c r="D14" s="114">
        <v>2</v>
      </c>
      <c r="E14" s="114">
        <v>1</v>
      </c>
      <c r="F14" s="114">
        <f t="shared" si="0"/>
        <v>27</v>
      </c>
    </row>
    <row r="15" spans="1:6">
      <c r="A15" s="12" t="s">
        <v>33</v>
      </c>
      <c r="B15" s="12" t="s">
        <v>5</v>
      </c>
      <c r="C15" s="114">
        <v>3</v>
      </c>
      <c r="D15" s="114"/>
      <c r="E15" s="114">
        <v>1</v>
      </c>
      <c r="F15" s="114">
        <f t="shared" si="0"/>
        <v>4</v>
      </c>
    </row>
    <row r="16" spans="1:6">
      <c r="A16" s="12"/>
      <c r="B16" s="12" t="s">
        <v>42</v>
      </c>
      <c r="C16" s="114">
        <v>5</v>
      </c>
      <c r="D16" s="114">
        <v>1</v>
      </c>
      <c r="E16" s="114"/>
      <c r="F16" s="114">
        <f t="shared" si="0"/>
        <v>6</v>
      </c>
    </row>
    <row r="17" spans="1:7">
      <c r="A17" s="12"/>
      <c r="B17" s="12" t="s">
        <v>33</v>
      </c>
      <c r="C17" s="114">
        <v>6</v>
      </c>
      <c r="D17" s="114"/>
      <c r="E17" s="114"/>
      <c r="F17" s="114">
        <f t="shared" si="0"/>
        <v>6</v>
      </c>
    </row>
    <row r="18" spans="1:7">
      <c r="A18" s="12" t="s">
        <v>24</v>
      </c>
      <c r="B18" s="12" t="s">
        <v>21</v>
      </c>
      <c r="C18" s="114">
        <v>31</v>
      </c>
      <c r="D18" s="114"/>
      <c r="E18" s="114">
        <v>1</v>
      </c>
      <c r="F18" s="114">
        <f t="shared" si="0"/>
        <v>32</v>
      </c>
      <c r="G18" t="s">
        <v>190</v>
      </c>
    </row>
    <row r="19" spans="1:7">
      <c r="A19" s="12"/>
      <c r="B19" s="12" t="s">
        <v>25</v>
      </c>
      <c r="C19" s="114">
        <v>8</v>
      </c>
      <c r="D19" s="114"/>
      <c r="E19" s="114"/>
      <c r="F19" s="114">
        <f t="shared" si="0"/>
        <v>8</v>
      </c>
    </row>
    <row r="20" spans="1:7">
      <c r="A20" s="12"/>
      <c r="B20" s="12" t="s">
        <v>6</v>
      </c>
      <c r="C20" s="114">
        <v>9</v>
      </c>
      <c r="D20" s="114"/>
      <c r="E20" s="114"/>
      <c r="F20" s="114">
        <f t="shared" si="0"/>
        <v>9</v>
      </c>
    </row>
    <row r="21" spans="1:7">
      <c r="A21" s="12"/>
      <c r="B21" s="12" t="s">
        <v>18</v>
      </c>
      <c r="C21" s="114">
        <v>1</v>
      </c>
      <c r="D21" s="114"/>
      <c r="E21" s="114"/>
      <c r="F21" s="114">
        <f t="shared" si="0"/>
        <v>1</v>
      </c>
    </row>
    <row r="22" spans="1:7">
      <c r="A22" s="12"/>
      <c r="B22" s="12" t="s">
        <v>14</v>
      </c>
      <c r="C22" s="114">
        <v>9</v>
      </c>
      <c r="D22" s="114"/>
      <c r="E22" s="114"/>
      <c r="F22" s="114">
        <f t="shared" si="0"/>
        <v>9</v>
      </c>
    </row>
    <row r="23" spans="1:7">
      <c r="A23" s="12"/>
      <c r="B23" s="12" t="s">
        <v>24</v>
      </c>
      <c r="C23" s="114">
        <v>1</v>
      </c>
      <c r="D23" s="114"/>
      <c r="E23" s="114"/>
      <c r="F23" s="114">
        <f t="shared" si="0"/>
        <v>1</v>
      </c>
    </row>
    <row r="24" spans="1:7">
      <c r="A24" s="12"/>
      <c r="B24" s="12" t="s">
        <v>14</v>
      </c>
      <c r="C24" s="114">
        <v>2</v>
      </c>
      <c r="D24" s="114"/>
      <c r="E24" s="114">
        <v>1</v>
      </c>
      <c r="F24" s="114">
        <f t="shared" si="0"/>
        <v>3</v>
      </c>
      <c r="G24" t="s">
        <v>191</v>
      </c>
    </row>
    <row r="25" spans="1:7">
      <c r="A25" s="12"/>
      <c r="B25" s="12" t="s">
        <v>4</v>
      </c>
      <c r="C25" s="114">
        <v>2</v>
      </c>
      <c r="D25" s="114">
        <v>1</v>
      </c>
      <c r="E25" s="114"/>
      <c r="F25" s="114">
        <f t="shared" si="0"/>
        <v>3</v>
      </c>
    </row>
    <row r="26" spans="1:7">
      <c r="A26" s="12" t="s">
        <v>5</v>
      </c>
      <c r="B26" s="12" t="s">
        <v>5</v>
      </c>
      <c r="C26" s="114">
        <v>2</v>
      </c>
      <c r="D26" s="114"/>
      <c r="E26" s="114"/>
      <c r="F26" s="114">
        <f t="shared" si="0"/>
        <v>2</v>
      </c>
    </row>
    <row r="27" spans="1:7">
      <c r="A27" s="12" t="s">
        <v>15</v>
      </c>
      <c r="B27" s="12" t="s">
        <v>15</v>
      </c>
      <c r="C27" s="114">
        <v>3</v>
      </c>
      <c r="D27" s="114"/>
      <c r="E27" s="114"/>
      <c r="F27" s="114">
        <f t="shared" si="0"/>
        <v>3</v>
      </c>
    </row>
    <row r="28" spans="1:7">
      <c r="A28" s="12" t="s">
        <v>41</v>
      </c>
      <c r="B28" s="12" t="s">
        <v>41</v>
      </c>
      <c r="C28" s="114">
        <v>3</v>
      </c>
      <c r="D28" s="114"/>
      <c r="E28" s="114"/>
      <c r="F28" s="114">
        <f t="shared" si="0"/>
        <v>3</v>
      </c>
    </row>
    <row r="29" spans="1:7">
      <c r="A29" s="12" t="s">
        <v>17</v>
      </c>
      <c r="B29" s="12" t="s">
        <v>17</v>
      </c>
      <c r="C29" s="114">
        <v>1</v>
      </c>
      <c r="D29" s="114"/>
      <c r="E29" s="114"/>
      <c r="F29" s="114">
        <f t="shared" si="0"/>
        <v>1</v>
      </c>
    </row>
    <row r="30" spans="1:7">
      <c r="A30" s="12" t="s">
        <v>15</v>
      </c>
      <c r="B30" s="12" t="s">
        <v>15</v>
      </c>
      <c r="C30" s="114">
        <v>5</v>
      </c>
      <c r="D30" s="114"/>
      <c r="E30" s="114"/>
      <c r="F30" s="114">
        <f t="shared" si="0"/>
        <v>5</v>
      </c>
    </row>
    <row r="31" spans="1:7">
      <c r="A31" s="12" t="s">
        <v>25</v>
      </c>
      <c r="B31" s="12" t="s">
        <v>25</v>
      </c>
      <c r="C31" s="114">
        <v>19</v>
      </c>
      <c r="D31" s="114"/>
      <c r="E31" s="114">
        <v>2</v>
      </c>
      <c r="F31" s="114">
        <f t="shared" si="0"/>
        <v>21</v>
      </c>
    </row>
    <row r="32" spans="1:7">
      <c r="A32" s="12"/>
      <c r="B32" s="12" t="s">
        <v>21</v>
      </c>
      <c r="C32" s="114">
        <v>2</v>
      </c>
      <c r="D32" s="114"/>
      <c r="E32" s="114"/>
      <c r="F32" s="114">
        <f t="shared" si="0"/>
        <v>2</v>
      </c>
    </row>
    <row r="33" spans="1:6">
      <c r="A33" s="12" t="s">
        <v>7</v>
      </c>
      <c r="B33" s="12" t="s">
        <v>7</v>
      </c>
      <c r="C33" s="114">
        <v>22</v>
      </c>
      <c r="D33" s="114"/>
      <c r="E33" s="114">
        <v>1</v>
      </c>
      <c r="F33" s="114">
        <f t="shared" si="0"/>
        <v>23</v>
      </c>
    </row>
    <row r="34" spans="1:6">
      <c r="A34" s="12" t="s">
        <v>19</v>
      </c>
      <c r="B34" s="12" t="s">
        <v>43</v>
      </c>
      <c r="C34" s="114">
        <v>2</v>
      </c>
      <c r="D34" s="114"/>
      <c r="E34" s="114"/>
      <c r="F34" s="114">
        <f t="shared" si="0"/>
        <v>2</v>
      </c>
    </row>
    <row r="35" spans="1:6">
      <c r="A35" s="12"/>
      <c r="B35" s="12" t="s">
        <v>29</v>
      </c>
      <c r="C35" s="114">
        <v>2</v>
      </c>
      <c r="D35" s="114"/>
      <c r="E35" s="114">
        <v>1</v>
      </c>
      <c r="F35" s="114">
        <f t="shared" si="0"/>
        <v>3</v>
      </c>
    </row>
    <row r="36" spans="1:6">
      <c r="A36" s="12"/>
      <c r="B36" s="12" t="s">
        <v>33</v>
      </c>
      <c r="C36" s="114">
        <v>1</v>
      </c>
      <c r="D36" s="114"/>
      <c r="E36" s="114"/>
      <c r="F36" s="114">
        <f t="shared" si="0"/>
        <v>1</v>
      </c>
    </row>
    <row r="37" spans="1:6">
      <c r="A37" s="134" t="s">
        <v>31</v>
      </c>
      <c r="B37" s="135"/>
      <c r="C37" s="131">
        <f>SUM(C2:C36)</f>
        <v>249</v>
      </c>
      <c r="D37" s="131">
        <f>SUM(D2:D36)</f>
        <v>15</v>
      </c>
      <c r="E37" s="131">
        <f>SUM(E2:E36)</f>
        <v>13</v>
      </c>
      <c r="F37" s="131">
        <f t="shared" si="0"/>
        <v>277</v>
      </c>
    </row>
  </sheetData>
  <mergeCells count="1">
    <mergeCell ref="A37:B37"/>
  </mergeCells>
  <pageMargins left="0.7" right="0.7" top="0.75" bottom="0.75" header="0.3" footer="0.3"/>
  <pageSetup paperSize="9" orientation="portrait"/>
  <headerFooter>
    <oddFooter>&amp;C&amp;"Calibri"&amp;8 &amp;K000000_x000D_#  ArcelorMittal proprietary information – all rights reserved for all countries.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0"/>
  <sheetViews>
    <sheetView workbookViewId="0"/>
  </sheetViews>
  <sheetFormatPr defaultColWidth="8.7109375" defaultRowHeight="15"/>
  <cols>
    <col min="1" max="1" width="40.42578125" style="26" bestFit="1" customWidth="1"/>
    <col min="2" max="2" width="5.42578125" style="26" bestFit="1" customWidth="1"/>
    <col min="3" max="3" width="15.85546875" style="26" bestFit="1" customWidth="1"/>
    <col min="4" max="5" width="10.7109375" style="26" bestFit="1" customWidth="1"/>
    <col min="6" max="6" width="18.42578125" style="26" bestFit="1" customWidth="1"/>
    <col min="7" max="7" width="8.42578125" style="26" bestFit="1" customWidth="1"/>
    <col min="8" max="8" width="9.140625" style="26" bestFit="1" customWidth="1"/>
    <col min="9" max="10" width="22.42578125" style="26" customWidth="1"/>
    <col min="11" max="11" width="8.7109375" style="26" customWidth="1"/>
    <col min="12" max="16384" width="8.7109375" style="26"/>
  </cols>
  <sheetData>
    <row r="1" spans="1:10" ht="65.099999999999994" customHeight="1">
      <c r="A1" s="18" t="s">
        <v>101</v>
      </c>
      <c r="B1" s="19" t="s">
        <v>103</v>
      </c>
      <c r="C1" s="19" t="s">
        <v>104</v>
      </c>
      <c r="D1" s="19" t="s">
        <v>106</v>
      </c>
      <c r="E1" s="19" t="s">
        <v>107</v>
      </c>
      <c r="F1" s="18" t="s">
        <v>108</v>
      </c>
      <c r="G1" s="20" t="s">
        <v>192</v>
      </c>
      <c r="H1" s="20" t="s">
        <v>117</v>
      </c>
      <c r="I1" s="20" t="s">
        <v>118</v>
      </c>
      <c r="J1" s="20" t="s">
        <v>63</v>
      </c>
    </row>
    <row r="2" spans="1:10" ht="39.6" customHeight="1">
      <c r="A2" s="24" t="s">
        <v>193</v>
      </c>
      <c r="B2" s="21" t="s">
        <v>183</v>
      </c>
      <c r="C2" s="21" t="s">
        <v>35</v>
      </c>
      <c r="D2" s="21" t="s">
        <v>134</v>
      </c>
      <c r="E2" s="21" t="s">
        <v>194</v>
      </c>
      <c r="F2" s="24" t="s">
        <v>195</v>
      </c>
      <c r="G2" s="21" t="s">
        <v>93</v>
      </c>
      <c r="H2" s="21"/>
      <c r="I2" s="22" t="s">
        <v>196</v>
      </c>
      <c r="J2" s="22" t="s">
        <v>197</v>
      </c>
    </row>
    <row r="3" spans="1:10" ht="26.25">
      <c r="A3" s="24" t="s">
        <v>198</v>
      </c>
      <c r="B3" s="21" t="s">
        <v>122</v>
      </c>
      <c r="C3" s="21" t="s">
        <v>35</v>
      </c>
      <c r="D3" s="21" t="s">
        <v>134</v>
      </c>
      <c r="E3" s="21" t="s">
        <v>134</v>
      </c>
      <c r="F3" s="24" t="s">
        <v>123</v>
      </c>
      <c r="G3" s="21" t="s">
        <v>141</v>
      </c>
      <c r="H3" s="21"/>
      <c r="I3" s="22"/>
      <c r="J3" s="22" t="s">
        <v>133</v>
      </c>
    </row>
    <row r="4" spans="1:10" ht="26.45" customHeight="1">
      <c r="A4" s="24" t="s">
        <v>199</v>
      </c>
      <c r="B4" s="21" t="s">
        <v>122</v>
      </c>
      <c r="C4" s="21" t="s">
        <v>35</v>
      </c>
      <c r="D4" s="21" t="s">
        <v>137</v>
      </c>
      <c r="E4" s="21" t="s">
        <v>134</v>
      </c>
      <c r="F4" s="24" t="s">
        <v>123</v>
      </c>
      <c r="G4" s="21" t="s">
        <v>141</v>
      </c>
      <c r="H4" s="21"/>
      <c r="I4" s="22" t="s">
        <v>133</v>
      </c>
      <c r="J4" s="22" t="s">
        <v>127</v>
      </c>
    </row>
    <row r="5" spans="1:10" ht="26.25">
      <c r="A5" s="24" t="s">
        <v>200</v>
      </c>
      <c r="B5" s="21" t="s">
        <v>122</v>
      </c>
      <c r="C5" s="27" t="s">
        <v>35</v>
      </c>
      <c r="D5" s="21" t="s">
        <v>134</v>
      </c>
      <c r="E5" s="21" t="s">
        <v>134</v>
      </c>
      <c r="F5" s="24" t="s">
        <v>136</v>
      </c>
      <c r="G5" s="21" t="s">
        <v>141</v>
      </c>
      <c r="H5" s="21"/>
      <c r="I5" s="22" t="s">
        <v>131</v>
      </c>
      <c r="J5" s="22" t="s">
        <v>132</v>
      </c>
    </row>
    <row r="6" spans="1:10" ht="26.45" customHeight="1">
      <c r="A6" s="24" t="s">
        <v>201</v>
      </c>
      <c r="B6" s="21" t="s">
        <v>183</v>
      </c>
      <c r="C6" s="21" t="s">
        <v>35</v>
      </c>
      <c r="D6" s="21" t="s">
        <v>134</v>
      </c>
      <c r="E6" s="21" t="s">
        <v>134</v>
      </c>
      <c r="F6" s="24" t="s">
        <v>141</v>
      </c>
      <c r="G6" s="21" t="s">
        <v>141</v>
      </c>
      <c r="H6" s="21"/>
      <c r="I6" s="22" t="s">
        <v>132</v>
      </c>
      <c r="J6" s="22" t="s">
        <v>133</v>
      </c>
    </row>
    <row r="7" spans="1:10" ht="26.45" customHeight="1">
      <c r="A7" s="24" t="s">
        <v>202</v>
      </c>
      <c r="B7" s="21" t="s">
        <v>122</v>
      </c>
      <c r="C7" s="21" t="s">
        <v>35</v>
      </c>
      <c r="D7" s="21" t="s">
        <v>134</v>
      </c>
      <c r="E7" s="21" t="s">
        <v>134</v>
      </c>
      <c r="F7" s="24" t="s">
        <v>135</v>
      </c>
      <c r="G7" s="21" t="s">
        <v>141</v>
      </c>
      <c r="H7" s="21"/>
      <c r="I7" s="22"/>
      <c r="J7" s="22" t="s">
        <v>138</v>
      </c>
    </row>
    <row r="8" spans="1:10" ht="39.6" customHeight="1">
      <c r="A8" s="24" t="s">
        <v>203</v>
      </c>
      <c r="B8" s="21" t="s">
        <v>204</v>
      </c>
      <c r="C8" s="21" t="s">
        <v>35</v>
      </c>
      <c r="D8" s="21" t="s">
        <v>137</v>
      </c>
      <c r="E8" s="21" t="s">
        <v>137</v>
      </c>
      <c r="F8" s="24" t="s">
        <v>123</v>
      </c>
      <c r="G8" s="21" t="s">
        <v>141</v>
      </c>
      <c r="H8" s="21"/>
      <c r="I8" s="22" t="s">
        <v>138</v>
      </c>
      <c r="J8" s="22" t="s">
        <v>138</v>
      </c>
    </row>
    <row r="9" spans="1:10" ht="26.45" customHeight="1">
      <c r="A9" s="24" t="s">
        <v>205</v>
      </c>
      <c r="B9" s="21" t="s">
        <v>185</v>
      </c>
      <c r="C9" s="27" t="s">
        <v>35</v>
      </c>
      <c r="D9" s="21" t="s">
        <v>137</v>
      </c>
      <c r="E9" s="21" t="s">
        <v>137</v>
      </c>
      <c r="F9" s="24" t="s">
        <v>136</v>
      </c>
      <c r="G9" s="21" t="s">
        <v>141</v>
      </c>
      <c r="H9" s="21"/>
      <c r="I9" s="22" t="s">
        <v>133</v>
      </c>
      <c r="J9" s="22" t="s">
        <v>127</v>
      </c>
    </row>
    <row r="10" spans="1:10" ht="39.6" customHeight="1">
      <c r="A10" s="24" t="s">
        <v>206</v>
      </c>
      <c r="B10" s="21"/>
      <c r="C10" s="21" t="s">
        <v>35</v>
      </c>
      <c r="D10" s="21" t="s">
        <v>140</v>
      </c>
      <c r="E10" s="21" t="s">
        <v>140</v>
      </c>
      <c r="F10" s="24" t="s">
        <v>123</v>
      </c>
      <c r="G10" s="21" t="s">
        <v>141</v>
      </c>
      <c r="H10" s="21"/>
      <c r="I10" s="22"/>
      <c r="J10" s="22" t="s">
        <v>139</v>
      </c>
    </row>
    <row r="11" spans="1:10" ht="39.6" customHeight="1">
      <c r="A11" s="24" t="s">
        <v>207</v>
      </c>
      <c r="B11" s="21"/>
      <c r="C11" s="21" t="s">
        <v>35</v>
      </c>
      <c r="D11" s="21" t="s">
        <v>134</v>
      </c>
      <c r="E11" s="21" t="s">
        <v>134</v>
      </c>
      <c r="F11" s="24" t="s">
        <v>127</v>
      </c>
      <c r="G11" s="21" t="s">
        <v>141</v>
      </c>
      <c r="H11" s="21"/>
      <c r="I11" s="22"/>
      <c r="J11" s="22" t="s">
        <v>123</v>
      </c>
    </row>
    <row r="12" spans="1:10" ht="26.25">
      <c r="A12" s="24" t="s">
        <v>208</v>
      </c>
      <c r="B12" s="21"/>
      <c r="C12" s="21" t="s">
        <v>35</v>
      </c>
      <c r="D12" s="21" t="s">
        <v>134</v>
      </c>
      <c r="E12" s="21" t="s">
        <v>134</v>
      </c>
      <c r="F12" s="24" t="s">
        <v>140</v>
      </c>
      <c r="G12" s="21" t="s">
        <v>141</v>
      </c>
      <c r="H12" s="21"/>
      <c r="I12" s="22"/>
      <c r="J12" s="22" t="s">
        <v>139</v>
      </c>
    </row>
    <row r="13" spans="1:10" ht="39.6" customHeight="1">
      <c r="A13" s="24" t="s">
        <v>209</v>
      </c>
      <c r="B13" s="21"/>
      <c r="C13" s="21" t="s">
        <v>35</v>
      </c>
      <c r="D13" s="21" t="s">
        <v>134</v>
      </c>
      <c r="E13" s="21" t="s">
        <v>134</v>
      </c>
      <c r="F13" s="24" t="s">
        <v>137</v>
      </c>
      <c r="G13" s="21" t="s">
        <v>141</v>
      </c>
      <c r="H13" s="21"/>
      <c r="I13" s="22"/>
      <c r="J13" s="22" t="s">
        <v>137</v>
      </c>
    </row>
    <row r="14" spans="1:10" ht="26.45" customHeight="1">
      <c r="A14" s="24" t="s">
        <v>210</v>
      </c>
      <c r="B14" s="21" t="s">
        <v>122</v>
      </c>
      <c r="C14" s="21" t="s">
        <v>35</v>
      </c>
      <c r="D14" s="21" t="s">
        <v>134</v>
      </c>
      <c r="E14" s="21" t="s">
        <v>134</v>
      </c>
      <c r="F14" s="24" t="s">
        <v>123</v>
      </c>
      <c r="G14" s="21" t="s">
        <v>131</v>
      </c>
      <c r="H14" s="28">
        <v>45100</v>
      </c>
      <c r="I14" s="22" t="s">
        <v>135</v>
      </c>
      <c r="J14" s="22" t="s">
        <v>123</v>
      </c>
    </row>
    <row r="15" spans="1:10" ht="26.25">
      <c r="A15" s="24" t="s">
        <v>210</v>
      </c>
      <c r="B15" s="21" t="s">
        <v>122</v>
      </c>
      <c r="C15" s="21" t="s">
        <v>35</v>
      </c>
      <c r="D15" s="21" t="s">
        <v>134</v>
      </c>
      <c r="E15" s="21" t="s">
        <v>134</v>
      </c>
      <c r="F15" s="24" t="s">
        <v>123</v>
      </c>
      <c r="G15" s="21" t="s">
        <v>131</v>
      </c>
      <c r="H15" s="28">
        <v>45100</v>
      </c>
      <c r="I15" s="22" t="s">
        <v>140</v>
      </c>
      <c r="J15" s="22" t="s">
        <v>136</v>
      </c>
    </row>
    <row r="16" spans="1:10" ht="26.25">
      <c r="A16" s="24" t="s">
        <v>211</v>
      </c>
      <c r="B16" s="21" t="s">
        <v>122</v>
      </c>
      <c r="C16" s="21" t="s">
        <v>35</v>
      </c>
      <c r="D16" s="21" t="s">
        <v>134</v>
      </c>
      <c r="E16" s="21" t="s">
        <v>134</v>
      </c>
      <c r="F16" s="24" t="s">
        <v>123</v>
      </c>
      <c r="G16" s="21" t="s">
        <v>131</v>
      </c>
      <c r="H16" s="28">
        <v>45212</v>
      </c>
      <c r="I16" s="22" t="s">
        <v>141</v>
      </c>
      <c r="J16" s="24" t="s">
        <v>137</v>
      </c>
    </row>
    <row r="17" spans="1:10" ht="26.25">
      <c r="A17" s="24" t="s">
        <v>212</v>
      </c>
      <c r="B17" s="21" t="s">
        <v>122</v>
      </c>
      <c r="C17" s="21" t="s">
        <v>35</v>
      </c>
      <c r="D17" s="21" t="s">
        <v>134</v>
      </c>
      <c r="E17" s="21" t="s">
        <v>134</v>
      </c>
      <c r="F17" s="24" t="s">
        <v>136</v>
      </c>
      <c r="G17" s="21" t="s">
        <v>131</v>
      </c>
      <c r="H17" s="28">
        <v>45212</v>
      </c>
      <c r="I17" s="22" t="s">
        <v>134</v>
      </c>
      <c r="J17" s="24"/>
    </row>
    <row r="18" spans="1:10" ht="26.25">
      <c r="A18" s="24" t="s">
        <v>213</v>
      </c>
      <c r="B18" s="21" t="s">
        <v>183</v>
      </c>
      <c r="C18" s="21" t="s">
        <v>35</v>
      </c>
      <c r="D18" s="21" t="s">
        <v>141</v>
      </c>
      <c r="E18" s="21" t="s">
        <v>140</v>
      </c>
      <c r="F18" s="24" t="s">
        <v>131</v>
      </c>
      <c r="G18" s="21" t="s">
        <v>131</v>
      </c>
      <c r="H18" s="28">
        <v>45050</v>
      </c>
      <c r="I18" s="22" t="s">
        <v>132</v>
      </c>
      <c r="J18" s="24" t="s">
        <v>137</v>
      </c>
    </row>
    <row r="19" spans="1:10" ht="26.25">
      <c r="A19" s="24" t="s">
        <v>214</v>
      </c>
      <c r="B19" s="21" t="s">
        <v>183</v>
      </c>
      <c r="C19" s="21" t="s">
        <v>35</v>
      </c>
      <c r="D19" s="21" t="s">
        <v>134</v>
      </c>
      <c r="E19" s="21" t="s">
        <v>134</v>
      </c>
      <c r="F19" s="24" t="s">
        <v>123</v>
      </c>
      <c r="G19" s="21" t="s">
        <v>131</v>
      </c>
      <c r="H19" s="28">
        <v>45216</v>
      </c>
      <c r="I19" s="22" t="s">
        <v>131</v>
      </c>
      <c r="J19" s="24" t="s">
        <v>131</v>
      </c>
    </row>
    <row r="20" spans="1:10" ht="26.25">
      <c r="A20" s="24" t="s">
        <v>215</v>
      </c>
      <c r="B20" s="21" t="s">
        <v>122</v>
      </c>
      <c r="C20" s="27" t="s">
        <v>35</v>
      </c>
      <c r="D20" s="21" t="s">
        <v>134</v>
      </c>
      <c r="E20" s="21" t="s">
        <v>134</v>
      </c>
      <c r="F20" s="24" t="s">
        <v>133</v>
      </c>
      <c r="G20" s="21" t="s">
        <v>131</v>
      </c>
      <c r="H20" s="28">
        <v>45256</v>
      </c>
      <c r="I20" s="22" t="s">
        <v>127</v>
      </c>
      <c r="J20" s="22"/>
    </row>
    <row r="21" spans="1:10" ht="26.25">
      <c r="A21" s="24" t="s">
        <v>216</v>
      </c>
      <c r="B21" s="21" t="s">
        <v>122</v>
      </c>
      <c r="C21" s="21" t="s">
        <v>35</v>
      </c>
      <c r="D21" s="21" t="s">
        <v>134</v>
      </c>
      <c r="E21" s="21" t="s">
        <v>134</v>
      </c>
      <c r="F21" s="24" t="s">
        <v>133</v>
      </c>
      <c r="G21" s="21" t="s">
        <v>141</v>
      </c>
      <c r="H21" s="28" t="s">
        <v>152</v>
      </c>
      <c r="I21" s="22" t="s">
        <v>135</v>
      </c>
      <c r="J21" s="22"/>
    </row>
    <row r="22" spans="1:10" ht="26.25">
      <c r="A22" s="24" t="s">
        <v>210</v>
      </c>
      <c r="B22" s="21" t="s">
        <v>122</v>
      </c>
      <c r="C22" s="21" t="s">
        <v>35</v>
      </c>
      <c r="D22" s="21" t="s">
        <v>134</v>
      </c>
      <c r="E22" s="21" t="s">
        <v>134</v>
      </c>
      <c r="F22" s="24" t="s">
        <v>123</v>
      </c>
      <c r="G22" s="21" t="s">
        <v>141</v>
      </c>
      <c r="H22" s="28">
        <v>45178</v>
      </c>
      <c r="I22" s="23" t="s">
        <v>139</v>
      </c>
      <c r="J22" s="22" t="s">
        <v>140</v>
      </c>
    </row>
    <row r="23" spans="1:10" ht="26.45" customHeight="1">
      <c r="A23" s="24" t="s">
        <v>217</v>
      </c>
      <c r="B23" s="27" t="s">
        <v>122</v>
      </c>
      <c r="C23" s="27" t="s">
        <v>35</v>
      </c>
      <c r="D23" s="21" t="s">
        <v>134</v>
      </c>
      <c r="E23" s="21" t="s">
        <v>134</v>
      </c>
      <c r="F23" s="25" t="s">
        <v>137</v>
      </c>
      <c r="G23" s="21" t="s">
        <v>141</v>
      </c>
      <c r="H23" s="29">
        <v>45217</v>
      </c>
      <c r="I23" s="22" t="s">
        <v>126</v>
      </c>
      <c r="J23" s="25" t="s">
        <v>135</v>
      </c>
    </row>
    <row r="24" spans="1:10" ht="26.25">
      <c r="A24" s="24" t="s">
        <v>218</v>
      </c>
      <c r="B24" s="21" t="s">
        <v>185</v>
      </c>
      <c r="C24" s="21" t="s">
        <v>35</v>
      </c>
      <c r="D24" s="21" t="s">
        <v>132</v>
      </c>
      <c r="E24" s="21" t="s">
        <v>134</v>
      </c>
      <c r="F24" s="24" t="s">
        <v>140</v>
      </c>
      <c r="G24" s="21" t="s">
        <v>141</v>
      </c>
      <c r="H24" s="28">
        <v>45218</v>
      </c>
      <c r="I24" s="22" t="s">
        <v>134</v>
      </c>
      <c r="J24" s="22"/>
    </row>
    <row r="25" spans="1:10" ht="26.25">
      <c r="A25" s="24" t="s">
        <v>219</v>
      </c>
      <c r="B25" s="21" t="s">
        <v>183</v>
      </c>
      <c r="C25" s="21" t="s">
        <v>35</v>
      </c>
      <c r="D25" s="21" t="s">
        <v>132</v>
      </c>
      <c r="E25" s="21" t="s">
        <v>134</v>
      </c>
      <c r="F25" s="24" t="s">
        <v>140</v>
      </c>
      <c r="G25" s="21" t="s">
        <v>141</v>
      </c>
      <c r="H25" s="28">
        <v>45175</v>
      </c>
      <c r="I25" s="22" t="s">
        <v>132</v>
      </c>
      <c r="J25" s="22"/>
    </row>
    <row r="26" spans="1:10" ht="26.45" customHeight="1">
      <c r="A26" s="24" t="s">
        <v>220</v>
      </c>
      <c r="B26" s="21" t="s">
        <v>183</v>
      </c>
      <c r="C26" s="21" t="s">
        <v>35</v>
      </c>
      <c r="D26" s="21" t="s">
        <v>137</v>
      </c>
      <c r="E26" s="21" t="s">
        <v>137</v>
      </c>
      <c r="F26" s="24" t="s">
        <v>123</v>
      </c>
      <c r="G26" s="21" t="s">
        <v>141</v>
      </c>
      <c r="H26" s="28">
        <v>45150</v>
      </c>
      <c r="I26" s="22" t="s">
        <v>126</v>
      </c>
      <c r="J26" s="22" t="s">
        <v>133</v>
      </c>
    </row>
    <row r="27" spans="1:10" ht="26.45" customHeight="1">
      <c r="A27" s="24" t="s">
        <v>221</v>
      </c>
      <c r="B27" s="21" t="s">
        <v>183</v>
      </c>
      <c r="C27" s="21" t="s">
        <v>35</v>
      </c>
      <c r="D27" s="21" t="s">
        <v>134</v>
      </c>
      <c r="E27" s="21" t="s">
        <v>134</v>
      </c>
      <c r="F27" s="24" t="s">
        <v>136</v>
      </c>
      <c r="G27" s="21" t="s">
        <v>127</v>
      </c>
      <c r="H27" s="21"/>
      <c r="I27" s="22" t="s">
        <v>123</v>
      </c>
      <c r="J27" s="22" t="s">
        <v>134</v>
      </c>
    </row>
    <row r="28" spans="1:10" ht="39.6" customHeight="1">
      <c r="A28" s="24" t="s">
        <v>213</v>
      </c>
      <c r="B28" s="21" t="s">
        <v>183</v>
      </c>
      <c r="C28" s="21" t="s">
        <v>35</v>
      </c>
      <c r="D28" s="21" t="s">
        <v>141</v>
      </c>
      <c r="E28" s="21" t="s">
        <v>140</v>
      </c>
      <c r="F28" s="24" t="s">
        <v>131</v>
      </c>
      <c r="G28" s="21" t="s">
        <v>127</v>
      </c>
      <c r="H28" s="21"/>
      <c r="I28" s="22" t="s">
        <v>127</v>
      </c>
      <c r="J28" s="22" t="s">
        <v>133</v>
      </c>
    </row>
    <row r="29" spans="1:10" ht="26.45" customHeight="1">
      <c r="A29" s="24" t="s">
        <v>222</v>
      </c>
      <c r="B29" s="21" t="s">
        <v>122</v>
      </c>
      <c r="C29" s="21" t="s">
        <v>35</v>
      </c>
      <c r="D29" s="21" t="s">
        <v>134</v>
      </c>
      <c r="E29" s="21" t="s">
        <v>134</v>
      </c>
      <c r="F29" s="24" t="s">
        <v>135</v>
      </c>
      <c r="G29" s="21" t="s">
        <v>127</v>
      </c>
      <c r="H29" s="21"/>
      <c r="I29" s="22" t="s">
        <v>136</v>
      </c>
      <c r="J29" s="22" t="s">
        <v>123</v>
      </c>
    </row>
    <row r="30" spans="1:10" ht="26.45" customHeight="1">
      <c r="A30" s="24" t="s">
        <v>223</v>
      </c>
      <c r="B30" s="21" t="s">
        <v>224</v>
      </c>
      <c r="C30" s="21" t="s">
        <v>35</v>
      </c>
      <c r="D30" s="21" t="s">
        <v>134</v>
      </c>
      <c r="E30" s="21" t="s">
        <v>134</v>
      </c>
      <c r="F30" s="24" t="s">
        <v>135</v>
      </c>
      <c r="G30" s="21" t="s">
        <v>127</v>
      </c>
      <c r="H30" s="21"/>
      <c r="I30" s="22" t="s">
        <v>123</v>
      </c>
      <c r="J30" s="22" t="s">
        <v>123</v>
      </c>
    </row>
  </sheetData>
  <conditionalFormatting sqref="I20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headerFooter>
    <oddFooter>&amp;C&amp;"Calibri"&amp;8 &amp;K000000_x000D_#  ArcelorMittal proprietary information – all rights reserved for all countries.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21"/>
  <sheetViews>
    <sheetView topLeftCell="A349" workbookViewId="0">
      <selection sqref="A1:B956"/>
    </sheetView>
  </sheetViews>
  <sheetFormatPr defaultRowHeight="15"/>
  <cols>
    <col min="1" max="1" width="23.5703125" bestFit="1" customWidth="1"/>
    <col min="2" max="2" width="44" customWidth="1"/>
  </cols>
  <sheetData>
    <row r="1" spans="1:2">
      <c r="A1" s="1" t="s">
        <v>34</v>
      </c>
    </row>
    <row r="2" spans="1:2">
      <c r="A2" s="3" t="s">
        <v>70</v>
      </c>
      <c r="B2" t="e">
        <f>VLOOKUP(A2,#REF!,6,FALSE)</f>
        <v>#REF!</v>
      </c>
    </row>
    <row r="3" spans="1:2">
      <c r="A3" s="4" t="s">
        <v>79</v>
      </c>
      <c r="B3" t="e">
        <f>VLOOKUP(A3,#REF!,6,FALSE)</f>
        <v>#REF!</v>
      </c>
    </row>
    <row r="4" spans="1:2">
      <c r="A4" s="4" t="s">
        <v>81</v>
      </c>
      <c r="B4" t="e">
        <f>VLOOKUP(A4,#REF!,6,FALSE)</f>
        <v>#REF!</v>
      </c>
    </row>
    <row r="5" spans="1:2">
      <c r="A5" s="4" t="s">
        <v>68</v>
      </c>
      <c r="B5" t="e">
        <f>VLOOKUP(A5,#REF!,6,FALSE)</f>
        <v>#REF!</v>
      </c>
    </row>
    <row r="6" spans="1:2">
      <c r="A6" s="4" t="s">
        <v>74</v>
      </c>
      <c r="B6" t="e">
        <f>VLOOKUP(A6,#REF!,6,FALSE)</f>
        <v>#REF!</v>
      </c>
    </row>
    <row r="7" spans="1:2">
      <c r="A7" s="4" t="s">
        <v>79</v>
      </c>
      <c r="B7" t="e">
        <f>VLOOKUP(A7,#REF!,6,FALSE)</f>
        <v>#REF!</v>
      </c>
    </row>
    <row r="8" spans="1:2">
      <c r="A8" s="4" t="s">
        <v>84</v>
      </c>
      <c r="B8" t="e">
        <f>VLOOKUP(A8,#REF!,6,FALSE)</f>
        <v>#REF!</v>
      </c>
    </row>
    <row r="9" spans="1:2">
      <c r="A9" s="4" t="s">
        <v>75</v>
      </c>
      <c r="B9" t="e">
        <f>VLOOKUP(A9,#REF!,6,FALSE)</f>
        <v>#REF!</v>
      </c>
    </row>
    <row r="10" spans="1:2">
      <c r="A10" s="4" t="s">
        <v>69</v>
      </c>
      <c r="B10" t="e">
        <f>VLOOKUP(A10,#REF!,6,FALSE)</f>
        <v>#REF!</v>
      </c>
    </row>
    <row r="11" spans="1:2">
      <c r="A11" s="4" t="s">
        <v>79</v>
      </c>
      <c r="B11" t="e">
        <f>VLOOKUP(A11,#REF!,6,FALSE)</f>
        <v>#REF!</v>
      </c>
    </row>
    <row r="12" spans="1:2">
      <c r="A12" s="4" t="s">
        <v>83</v>
      </c>
      <c r="B12" t="e">
        <f>VLOOKUP(A12,#REF!,6,FALSE)</f>
        <v>#REF!</v>
      </c>
    </row>
    <row r="13" spans="1:2">
      <c r="A13" s="4" t="s">
        <v>71</v>
      </c>
      <c r="B13" t="e">
        <f>VLOOKUP(A13,#REF!,6,FALSE)</f>
        <v>#REF!</v>
      </c>
    </row>
    <row r="14" spans="1:2" hidden="1">
      <c r="A14" s="4" t="s">
        <v>79</v>
      </c>
    </row>
    <row r="15" spans="1:2">
      <c r="A15" s="4" t="s">
        <v>83</v>
      </c>
      <c r="B15" t="e">
        <f>VLOOKUP(A15,#REF!,6,FALSE)</f>
        <v>#REF!</v>
      </c>
    </row>
    <row r="16" spans="1:2">
      <c r="A16" s="3" t="s">
        <v>80</v>
      </c>
      <c r="B16" t="e">
        <f>VLOOKUP(A16,#REF!,6,FALSE)</f>
        <v>#REF!</v>
      </c>
    </row>
    <row r="17" spans="1:2">
      <c r="A17" s="4" t="s">
        <v>79</v>
      </c>
      <c r="B17" t="e">
        <f>VLOOKUP(A17,#REF!,6,FALSE)</f>
        <v>#REF!</v>
      </c>
    </row>
    <row r="18" spans="1:2" hidden="1">
      <c r="A18" s="4" t="s">
        <v>79</v>
      </c>
    </row>
    <row r="19" spans="1:2">
      <c r="A19" s="4" t="s">
        <v>68</v>
      </c>
      <c r="B19" t="e">
        <f>VLOOKUP(A19,#REF!,6,FALSE)</f>
        <v>#REF!</v>
      </c>
    </row>
    <row r="20" spans="1:2">
      <c r="A20" s="3" t="s">
        <v>67</v>
      </c>
      <c r="B20" t="e">
        <f>VLOOKUP(A20,#REF!,6,FALSE)</f>
        <v>#REF!</v>
      </c>
    </row>
    <row r="21" spans="1:2" hidden="1">
      <c r="A21" s="4" t="s">
        <v>68</v>
      </c>
    </row>
    <row r="22" spans="1:2" hidden="1">
      <c r="A22" s="4" t="s">
        <v>79</v>
      </c>
    </row>
    <row r="23" spans="1:2" hidden="1">
      <c r="A23" s="4" t="s">
        <v>83</v>
      </c>
    </row>
    <row r="24" spans="1:2">
      <c r="A24" s="3" t="s">
        <v>71</v>
      </c>
      <c r="B24" t="e">
        <f>VLOOKUP(A24,#REF!,6,FALSE)</f>
        <v>#REF!</v>
      </c>
    </row>
    <row r="25" spans="1:2">
      <c r="A25" s="3" t="s">
        <v>72</v>
      </c>
      <c r="B25" t="e">
        <f>VLOOKUP(A25,#REF!,6,FALSE)</f>
        <v>#REF!</v>
      </c>
    </row>
    <row r="26" spans="1:2">
      <c r="A26" s="4" t="s">
        <v>68</v>
      </c>
      <c r="B26" t="e">
        <f>VLOOKUP(A26,#REF!,6,FALSE)</f>
        <v>#REF!</v>
      </c>
    </row>
    <row r="27" spans="1:2">
      <c r="A27" s="4" t="s">
        <v>82</v>
      </c>
      <c r="B27" t="e">
        <f>VLOOKUP(A27,#REF!,6,FALSE)</f>
        <v>#REF!</v>
      </c>
    </row>
    <row r="28" spans="1:2" hidden="1">
      <c r="A28" s="4" t="s">
        <v>68</v>
      </c>
    </row>
    <row r="29" spans="1:2" hidden="1">
      <c r="A29" s="4" t="s">
        <v>83</v>
      </c>
    </row>
    <row r="30" spans="1:2" hidden="1">
      <c r="A30" s="4" t="s">
        <v>68</v>
      </c>
    </row>
    <row r="31" spans="1:2" hidden="1">
      <c r="A31" s="4" t="s">
        <v>79</v>
      </c>
    </row>
    <row r="32" spans="1:2" hidden="1">
      <c r="A32" s="4" t="s">
        <v>83</v>
      </c>
    </row>
    <row r="33" spans="1:2" hidden="1">
      <c r="A33" s="4" t="s">
        <v>68</v>
      </c>
    </row>
    <row r="34" spans="1:2">
      <c r="A34" s="3" t="s">
        <v>69</v>
      </c>
      <c r="B34" t="e">
        <f>VLOOKUP(A34,#REF!,6,FALSE)</f>
        <v>#REF!</v>
      </c>
    </row>
    <row r="35" spans="1:2">
      <c r="A35" s="3" t="s">
        <v>72</v>
      </c>
      <c r="B35" t="e">
        <f>VLOOKUP(A35,#REF!,6,FALSE)</f>
        <v>#REF!</v>
      </c>
    </row>
    <row r="36" spans="1:2" hidden="1">
      <c r="A36" s="4" t="s">
        <v>83</v>
      </c>
    </row>
    <row r="37" spans="1:2" hidden="1">
      <c r="A37" s="4" t="s">
        <v>69</v>
      </c>
    </row>
    <row r="38" spans="1:2" hidden="1">
      <c r="A38" s="4" t="s">
        <v>82</v>
      </c>
    </row>
    <row r="39" spans="1:2">
      <c r="A39" s="3" t="s">
        <v>73</v>
      </c>
      <c r="B39" t="e">
        <f>VLOOKUP(A39,#REF!,6,FALSE)</f>
        <v>#REF!</v>
      </c>
    </row>
    <row r="40" spans="1:2" hidden="1">
      <c r="A40" s="4" t="s">
        <v>82</v>
      </c>
    </row>
    <row r="41" spans="1:2">
      <c r="A41" s="4" t="s">
        <v>79</v>
      </c>
      <c r="B41" t="e">
        <f>VLOOKUP(A41,#REF!,6,FALSE)</f>
        <v>#REF!</v>
      </c>
    </row>
    <row r="42" spans="1:2" hidden="1">
      <c r="A42" s="4" t="s">
        <v>74</v>
      </c>
    </row>
    <row r="43" spans="1:2" hidden="1">
      <c r="A43" s="4" t="s">
        <v>79</v>
      </c>
    </row>
    <row r="44" spans="1:2">
      <c r="A44" s="3" t="s">
        <v>84</v>
      </c>
      <c r="B44" t="e">
        <f>VLOOKUP(A44,#REF!,6,FALSE)</f>
        <v>#REF!</v>
      </c>
    </row>
    <row r="45" spans="1:2">
      <c r="A45" s="3" t="s">
        <v>58</v>
      </c>
      <c r="B45" t="e">
        <f>VLOOKUP(A45,#REF!,6,FALSE)</f>
        <v>#REF!</v>
      </c>
    </row>
    <row r="46" spans="1:2" hidden="1">
      <c r="A46" s="3" t="s">
        <v>58</v>
      </c>
    </row>
    <row r="47" spans="1:2" hidden="1">
      <c r="A47" s="3" t="s">
        <v>58</v>
      </c>
    </row>
    <row r="48" spans="1:2" hidden="1">
      <c r="A48" s="4" t="s">
        <v>83</v>
      </c>
    </row>
    <row r="49" spans="1:2" hidden="1">
      <c r="A49" s="4" t="s">
        <v>84</v>
      </c>
    </row>
    <row r="50" spans="1:2" hidden="1">
      <c r="A50" s="4" t="s">
        <v>69</v>
      </c>
    </row>
    <row r="51" spans="1:2" hidden="1">
      <c r="A51" s="4" t="s">
        <v>79</v>
      </c>
    </row>
    <row r="52" spans="1:2" hidden="1">
      <c r="A52" s="3" t="s">
        <v>71</v>
      </c>
    </row>
    <row r="53" spans="1:2" hidden="1">
      <c r="A53" s="4" t="s">
        <v>79</v>
      </c>
    </row>
    <row r="54" spans="1:2" hidden="1">
      <c r="A54" s="3" t="s">
        <v>71</v>
      </c>
    </row>
    <row r="55" spans="1:2" hidden="1">
      <c r="A55" s="3">
        <f>I55</f>
        <v>0</v>
      </c>
    </row>
    <row r="56" spans="1:2" hidden="1">
      <c r="A56" s="4" t="s">
        <v>27</v>
      </c>
    </row>
    <row r="57" spans="1:2" hidden="1">
      <c r="A57" s="4" t="s">
        <v>22</v>
      </c>
    </row>
    <row r="58" spans="1:2" hidden="1">
      <c r="A58" s="4" t="s">
        <v>8</v>
      </c>
    </row>
    <row r="59" spans="1:2" hidden="1">
      <c r="A59" s="4" t="s">
        <v>22</v>
      </c>
    </row>
    <row r="60" spans="1:2" hidden="1">
      <c r="A60" s="4" t="s">
        <v>9</v>
      </c>
    </row>
    <row r="61" spans="1:2">
      <c r="A61" s="3" t="s">
        <v>3</v>
      </c>
      <c r="B61" t="e">
        <f>VLOOKUP(A61,#REF!,6,FALSE)</f>
        <v>#REF!</v>
      </c>
    </row>
    <row r="62" spans="1:2" hidden="1">
      <c r="A62" s="4" t="s">
        <v>22</v>
      </c>
    </row>
    <row r="63" spans="1:2">
      <c r="A63" s="4" t="s">
        <v>16</v>
      </c>
      <c r="B63" t="e">
        <f>VLOOKUP(A63,#REF!,6,FALSE)</f>
        <v>#REF!</v>
      </c>
    </row>
    <row r="64" spans="1:2">
      <c r="A64" s="4" t="s">
        <v>3</v>
      </c>
      <c r="B64" t="e">
        <f>VLOOKUP(A64,#REF!,6,FALSE)</f>
        <v>#REF!</v>
      </c>
    </row>
    <row r="65" spans="1:2" hidden="1">
      <c r="A65" s="4" t="s">
        <v>22</v>
      </c>
    </row>
    <row r="66" spans="1:2" hidden="1">
      <c r="A66" s="4" t="s">
        <v>21</v>
      </c>
    </row>
    <row r="67" spans="1:2" hidden="1">
      <c r="A67" s="4" t="s">
        <v>7</v>
      </c>
    </row>
    <row r="68" spans="1:2">
      <c r="A68" s="4" t="s">
        <v>22</v>
      </c>
      <c r="B68" t="e">
        <f>VLOOKUP(A68,#REF!,6,FALSE)</f>
        <v>#REF!</v>
      </c>
    </row>
    <row r="69" spans="1:2" hidden="1">
      <c r="A69" s="3">
        <f>I69</f>
        <v>0</v>
      </c>
    </row>
    <row r="70" spans="1:2" hidden="1">
      <c r="A70" s="4" t="s">
        <v>27</v>
      </c>
    </row>
    <row r="71" spans="1:2" hidden="1">
      <c r="A71" s="3" t="s">
        <v>18</v>
      </c>
    </row>
    <row r="72" spans="1:2" hidden="1">
      <c r="A72" s="4" t="s">
        <v>7</v>
      </c>
    </row>
    <row r="73" spans="1:2" hidden="1">
      <c r="A73" s="3" t="s">
        <v>18</v>
      </c>
    </row>
    <row r="74" spans="1:2" hidden="1">
      <c r="A74" s="4" t="s">
        <v>22</v>
      </c>
    </row>
    <row r="75" spans="1:2" hidden="1">
      <c r="A75" s="3" t="s">
        <v>22</v>
      </c>
    </row>
    <row r="76" spans="1:2" hidden="1">
      <c r="A76" s="4" t="s">
        <v>7</v>
      </c>
    </row>
    <row r="77" spans="1:2">
      <c r="A77" s="3" t="s">
        <v>26</v>
      </c>
      <c r="B77" t="e">
        <f>VLOOKUP(A77,#REF!,6,FALSE)</f>
        <v>#REF!</v>
      </c>
    </row>
    <row r="78" spans="1:2" hidden="1">
      <c r="A78" s="4" t="s">
        <v>16</v>
      </c>
    </row>
    <row r="79" spans="1:2">
      <c r="A79" s="3" t="s">
        <v>26</v>
      </c>
      <c r="B79" t="e">
        <f>VLOOKUP(A79,#REF!,6,FALSE)</f>
        <v>#REF!</v>
      </c>
    </row>
    <row r="80" spans="1:2" hidden="1">
      <c r="A80" s="4" t="s">
        <v>7</v>
      </c>
    </row>
    <row r="81" spans="1:2" hidden="1">
      <c r="A81" s="4" t="s">
        <v>22</v>
      </c>
    </row>
    <row r="82" spans="1:2" hidden="1">
      <c r="A82" s="4" t="s">
        <v>22</v>
      </c>
    </row>
    <row r="83" spans="1:2" hidden="1">
      <c r="A83" s="4" t="s">
        <v>9</v>
      </c>
    </row>
    <row r="84" spans="1:2" hidden="1">
      <c r="A84" s="4" t="s">
        <v>9</v>
      </c>
    </row>
    <row r="85" spans="1:2">
      <c r="A85" s="4" t="s">
        <v>25</v>
      </c>
      <c r="B85" t="e">
        <f>VLOOKUP(A85,#REF!,6,FALSE)</f>
        <v>#REF!</v>
      </c>
    </row>
    <row r="86" spans="1:2" hidden="1">
      <c r="A86" s="4" t="s">
        <v>21</v>
      </c>
    </row>
    <row r="87" spans="1:2" hidden="1">
      <c r="A87" s="4" t="s">
        <v>9</v>
      </c>
    </row>
    <row r="88" spans="1:2" hidden="1">
      <c r="A88" s="4" t="s">
        <v>9</v>
      </c>
    </row>
    <row r="89" spans="1:2" hidden="1">
      <c r="A89" s="4" t="s">
        <v>22</v>
      </c>
    </row>
    <row r="90" spans="1:2" hidden="1">
      <c r="A90" s="4" t="s">
        <v>7</v>
      </c>
    </row>
    <row r="91" spans="1:2" hidden="1">
      <c r="A91" s="4" t="s">
        <v>7</v>
      </c>
    </row>
    <row r="92" spans="1:2" hidden="1">
      <c r="A92" s="3">
        <f>I92</f>
        <v>0</v>
      </c>
    </row>
    <row r="93" spans="1:2" hidden="1">
      <c r="A93" s="4" t="s">
        <v>28</v>
      </c>
    </row>
    <row r="94" spans="1:2" hidden="1">
      <c r="A94" s="4" t="s">
        <v>9</v>
      </c>
    </row>
    <row r="95" spans="1:2" hidden="1">
      <c r="A95" s="3" t="s">
        <v>22</v>
      </c>
    </row>
    <row r="96" spans="1:2" hidden="1">
      <c r="A96" s="3" t="s">
        <v>3</v>
      </c>
    </row>
    <row r="97" spans="1:2" hidden="1">
      <c r="A97" s="4" t="s">
        <v>7</v>
      </c>
    </row>
    <row r="98" spans="1:2" hidden="1">
      <c r="A98" s="3" t="s">
        <v>18</v>
      </c>
    </row>
    <row r="99" spans="1:2" hidden="1">
      <c r="A99" s="4" t="s">
        <v>7</v>
      </c>
    </row>
    <row r="100" spans="1:2" hidden="1">
      <c r="A100" s="4" t="s">
        <v>21</v>
      </c>
    </row>
    <row r="101" spans="1:2" hidden="1">
      <c r="A101" s="4" t="s">
        <v>16</v>
      </c>
    </row>
    <row r="102" spans="1:2" hidden="1">
      <c r="A102" s="4" t="s">
        <v>22</v>
      </c>
    </row>
    <row r="103" spans="1:2" hidden="1">
      <c r="A103" s="3" t="s">
        <v>18</v>
      </c>
    </row>
    <row r="104" spans="1:2" hidden="1">
      <c r="A104" s="3" t="s">
        <v>17</v>
      </c>
    </row>
    <row r="105" spans="1:2" hidden="1">
      <c r="A105" s="4" t="s">
        <v>9</v>
      </c>
    </row>
    <row r="106" spans="1:2" hidden="1">
      <c r="A106" s="4" t="s">
        <v>25</v>
      </c>
    </row>
    <row r="107" spans="1:2" hidden="1">
      <c r="A107" s="3" t="s">
        <v>29</v>
      </c>
    </row>
    <row r="108" spans="1:2" hidden="1">
      <c r="A108" s="3" t="s">
        <v>21</v>
      </c>
    </row>
    <row r="109" spans="1:2" hidden="1">
      <c r="A109" s="3" t="s">
        <v>18</v>
      </c>
    </row>
    <row r="110" spans="1:2">
      <c r="A110" s="3" t="s">
        <v>16</v>
      </c>
      <c r="B110" t="e">
        <f>VLOOKUP(A110,#REF!,6,FALSE)</f>
        <v>#REF!</v>
      </c>
    </row>
    <row r="111" spans="1:2" hidden="1">
      <c r="A111" s="4" t="s">
        <v>21</v>
      </c>
    </row>
    <row r="112" spans="1:2" hidden="1">
      <c r="A112" s="4" t="s">
        <v>25</v>
      </c>
    </row>
    <row r="113" spans="1:2">
      <c r="A113" s="3" t="s">
        <v>12</v>
      </c>
      <c r="B113" t="e">
        <f>VLOOKUP(A113,#REF!,6,FALSE)</f>
        <v>#REF!</v>
      </c>
    </row>
    <row r="114" spans="1:2" hidden="1">
      <c r="A114" s="3" t="s">
        <v>22</v>
      </c>
    </row>
    <row r="115" spans="1:2" hidden="1">
      <c r="A115" s="4" t="s">
        <v>22</v>
      </c>
    </row>
    <row r="116" spans="1:2">
      <c r="A116" s="3" t="s">
        <v>12</v>
      </c>
      <c r="B116" t="e">
        <f>VLOOKUP(A116,#REF!,6,FALSE)</f>
        <v>#REF!</v>
      </c>
    </row>
    <row r="117" spans="1:2">
      <c r="A117" s="3" t="s">
        <v>6</v>
      </c>
      <c r="B117" t="e">
        <f>VLOOKUP(A117,#REF!,6,FALSE)</f>
        <v>#REF!</v>
      </c>
    </row>
    <row r="118" spans="1:2" hidden="1">
      <c r="A118" s="3" t="s">
        <v>18</v>
      </c>
    </row>
    <row r="119" spans="1:2" hidden="1">
      <c r="A119" s="3" t="s">
        <v>18</v>
      </c>
    </row>
    <row r="120" spans="1:2" hidden="1">
      <c r="A120" s="3" t="s">
        <v>18</v>
      </c>
    </row>
    <row r="121" spans="1:2" hidden="1">
      <c r="A121" s="3" t="s">
        <v>18</v>
      </c>
    </row>
    <row r="122" spans="1:2" hidden="1">
      <c r="A122" s="3" t="s">
        <v>18</v>
      </c>
    </row>
    <row r="123" spans="1:2" hidden="1">
      <c r="A123" s="4" t="s">
        <v>29</v>
      </c>
    </row>
    <row r="124" spans="1:2" hidden="1">
      <c r="A124" s="4" t="s">
        <v>7</v>
      </c>
    </row>
    <row r="125" spans="1:2" hidden="1">
      <c r="A125" s="4" t="s">
        <v>21</v>
      </c>
    </row>
    <row r="126" spans="1:2" hidden="1">
      <c r="A126" s="3" t="s">
        <v>18</v>
      </c>
    </row>
    <row r="127" spans="1:2" hidden="1">
      <c r="A127" s="3" t="s">
        <v>18</v>
      </c>
    </row>
    <row r="128" spans="1:2" hidden="1">
      <c r="A128" s="4" t="s">
        <v>8</v>
      </c>
    </row>
    <row r="129" spans="1:2" hidden="1">
      <c r="A129" s="3" t="s">
        <v>18</v>
      </c>
    </row>
    <row r="130" spans="1:2">
      <c r="A130" s="3" t="s">
        <v>7</v>
      </c>
      <c r="B130" t="e">
        <f>VLOOKUP(A130,#REF!,6,FALSE)</f>
        <v>#REF!</v>
      </c>
    </row>
    <row r="131" spans="1:2" hidden="1">
      <c r="A131" s="4" t="s">
        <v>6</v>
      </c>
    </row>
    <row r="132" spans="1:2" hidden="1">
      <c r="A132" s="4" t="s">
        <v>9</v>
      </c>
    </row>
    <row r="133" spans="1:2" hidden="1">
      <c r="A133" s="4" t="s">
        <v>9</v>
      </c>
    </row>
    <row r="134" spans="1:2" hidden="1">
      <c r="A134" s="4" t="s">
        <v>16</v>
      </c>
    </row>
    <row r="135" spans="1:2" hidden="1">
      <c r="A135" s="4" t="s">
        <v>21</v>
      </c>
    </row>
    <row r="136" spans="1:2" hidden="1">
      <c r="A136" s="3">
        <f>I136</f>
        <v>0</v>
      </c>
    </row>
    <row r="137" spans="1:2" hidden="1">
      <c r="A137" s="3">
        <f>I137</f>
        <v>0</v>
      </c>
    </row>
    <row r="138" spans="1:2" hidden="1">
      <c r="A138" s="4" t="s">
        <v>29</v>
      </c>
    </row>
    <row r="139" spans="1:2" hidden="1">
      <c r="A139" s="3">
        <f>I139</f>
        <v>0</v>
      </c>
    </row>
    <row r="140" spans="1:2">
      <c r="A140" s="4" t="s">
        <v>30</v>
      </c>
      <c r="B140" t="e">
        <f>VLOOKUP(A140,#REF!,6,FALSE)</f>
        <v>#REF!</v>
      </c>
    </row>
    <row r="141" spans="1:2" hidden="1">
      <c r="A141" s="3" t="s">
        <v>12</v>
      </c>
    </row>
    <row r="142" spans="1:2" hidden="1">
      <c r="A142" s="3" t="s">
        <v>3</v>
      </c>
    </row>
    <row r="143" spans="1:2" hidden="1">
      <c r="A143" s="3" t="s">
        <v>18</v>
      </c>
    </row>
    <row r="144" spans="1:2">
      <c r="A144" s="3" t="s">
        <v>29</v>
      </c>
      <c r="B144" t="e">
        <f>VLOOKUP(A144,#REF!,6,FALSE)</f>
        <v>#REF!</v>
      </c>
    </row>
    <row r="145" spans="1:1" hidden="1">
      <c r="A145" s="4" t="s">
        <v>21</v>
      </c>
    </row>
    <row r="146" spans="1:1" hidden="1">
      <c r="A146" s="4" t="s">
        <v>9</v>
      </c>
    </row>
    <row r="147" spans="1:1" hidden="1">
      <c r="A147" s="4" t="s">
        <v>7</v>
      </c>
    </row>
    <row r="148" spans="1:1" hidden="1">
      <c r="A148" s="4" t="s">
        <v>7</v>
      </c>
    </row>
    <row r="149" spans="1:1" hidden="1">
      <c r="A149" s="4" t="s">
        <v>21</v>
      </c>
    </row>
    <row r="150" spans="1:1" hidden="1">
      <c r="A150" s="3" t="s">
        <v>7</v>
      </c>
    </row>
    <row r="151" spans="1:1" hidden="1">
      <c r="A151" s="4" t="s">
        <v>6</v>
      </c>
    </row>
    <row r="152" spans="1:1" hidden="1">
      <c r="A152" s="4" t="s">
        <v>9</v>
      </c>
    </row>
    <row r="153" spans="1:1" hidden="1">
      <c r="A153" s="4" t="s">
        <v>22</v>
      </c>
    </row>
    <row r="154" spans="1:1" hidden="1">
      <c r="A154" s="3" t="s">
        <v>29</v>
      </c>
    </row>
    <row r="155" spans="1:1" hidden="1">
      <c r="A155" s="3" t="s">
        <v>3</v>
      </c>
    </row>
    <row r="156" spans="1:1" hidden="1">
      <c r="A156" s="4" t="s">
        <v>21</v>
      </c>
    </row>
    <row r="157" spans="1:1" hidden="1">
      <c r="A157" s="4" t="s">
        <v>7</v>
      </c>
    </row>
    <row r="158" spans="1:1" hidden="1">
      <c r="A158" s="3" t="s">
        <v>29</v>
      </c>
    </row>
    <row r="159" spans="1:1" hidden="1">
      <c r="A159" s="4" t="s">
        <v>21</v>
      </c>
    </row>
    <row r="160" spans="1:1" hidden="1">
      <c r="A160" s="4" t="s">
        <v>6</v>
      </c>
    </row>
    <row r="161" spans="1:2" hidden="1">
      <c r="A161" s="4" t="s">
        <v>16</v>
      </c>
    </row>
    <row r="162" spans="1:2" hidden="1">
      <c r="A162" s="4" t="s">
        <v>9</v>
      </c>
    </row>
    <row r="163" spans="1:2" hidden="1">
      <c r="A163" s="4" t="s">
        <v>6</v>
      </c>
    </row>
    <row r="164" spans="1:2" hidden="1">
      <c r="A164" s="4" t="s">
        <v>6</v>
      </c>
    </row>
    <row r="165" spans="1:2" hidden="1">
      <c r="A165" s="4" t="s">
        <v>9</v>
      </c>
    </row>
    <row r="166" spans="1:2" hidden="1">
      <c r="A166" s="4" t="s">
        <v>6</v>
      </c>
    </row>
    <row r="167" spans="1:2">
      <c r="A167" s="3" t="s">
        <v>42</v>
      </c>
      <c r="B167" t="e">
        <f>VLOOKUP(A167,#REF!,6,FALSE)</f>
        <v>#REF!</v>
      </c>
    </row>
    <row r="168" spans="1:2" hidden="1">
      <c r="A168" s="3" t="s">
        <v>29</v>
      </c>
    </row>
    <row r="169" spans="1:2" hidden="1">
      <c r="A169" s="4" t="s">
        <v>9</v>
      </c>
    </row>
    <row r="170" spans="1:2" hidden="1">
      <c r="A170" s="4" t="s">
        <v>9</v>
      </c>
    </row>
    <row r="171" spans="1:2" hidden="1">
      <c r="A171" s="3" t="s">
        <v>18</v>
      </c>
    </row>
    <row r="172" spans="1:2" hidden="1">
      <c r="A172" s="4" t="s">
        <v>16</v>
      </c>
    </row>
    <row r="173" spans="1:2" hidden="1">
      <c r="A173" s="4" t="s">
        <v>21</v>
      </c>
    </row>
    <row r="174" spans="1:2" hidden="1">
      <c r="A174" s="4" t="s">
        <v>9</v>
      </c>
    </row>
    <row r="175" spans="1:2" hidden="1">
      <c r="A175" s="4" t="s">
        <v>21</v>
      </c>
    </row>
    <row r="176" spans="1:2" hidden="1">
      <c r="A176" s="4" t="s">
        <v>21</v>
      </c>
    </row>
    <row r="177" spans="1:2" hidden="1">
      <c r="A177" s="4" t="s">
        <v>7</v>
      </c>
    </row>
    <row r="178" spans="1:2" hidden="1">
      <c r="A178" s="4" t="s">
        <v>9</v>
      </c>
    </row>
    <row r="179" spans="1:2">
      <c r="A179" s="4" t="s">
        <v>21</v>
      </c>
      <c r="B179" t="e">
        <f>VLOOKUP(A179,#REF!,6,FALSE)</f>
        <v>#REF!</v>
      </c>
    </row>
    <row r="180" spans="1:2" hidden="1">
      <c r="A180" s="3" t="s">
        <v>18</v>
      </c>
    </row>
    <row r="181" spans="1:2" hidden="1">
      <c r="A181" s="3" t="s">
        <v>6</v>
      </c>
    </row>
    <row r="182" spans="1:2" hidden="1">
      <c r="A182" s="4" t="s">
        <v>16</v>
      </c>
    </row>
    <row r="183" spans="1:2" hidden="1">
      <c r="A183" s="4" t="s">
        <v>7</v>
      </c>
    </row>
    <row r="184" spans="1:2" hidden="1">
      <c r="A184" s="4" t="s">
        <v>29</v>
      </c>
    </row>
    <row r="185" spans="1:2" hidden="1">
      <c r="A185" s="4" t="s">
        <v>7</v>
      </c>
    </row>
    <row r="186" spans="1:2" hidden="1">
      <c r="A186" s="3" t="s">
        <v>29</v>
      </c>
    </row>
    <row r="187" spans="1:2" hidden="1">
      <c r="A187" s="3" t="s">
        <v>16</v>
      </c>
    </row>
    <row r="188" spans="1:2" hidden="1">
      <c r="A188" s="4" t="s">
        <v>21</v>
      </c>
    </row>
    <row r="189" spans="1:2" hidden="1">
      <c r="A189" s="4" t="s">
        <v>8</v>
      </c>
    </row>
    <row r="190" spans="1:2" hidden="1">
      <c r="A190" s="4" t="s">
        <v>6</v>
      </c>
    </row>
    <row r="191" spans="1:2" hidden="1">
      <c r="A191" s="4" t="s">
        <v>29</v>
      </c>
    </row>
    <row r="192" spans="1:2" hidden="1">
      <c r="A192" s="4" t="s">
        <v>9</v>
      </c>
    </row>
    <row r="193" spans="1:2" hidden="1">
      <c r="A193" s="4" t="s">
        <v>9</v>
      </c>
    </row>
    <row r="194" spans="1:2">
      <c r="A194" s="3" t="s">
        <v>24</v>
      </c>
      <c r="B194" t="e">
        <f>VLOOKUP(A194,#REF!,6,FALSE)</f>
        <v>#REF!</v>
      </c>
    </row>
    <row r="195" spans="1:2" hidden="1">
      <c r="A195" s="3" t="s">
        <v>24</v>
      </c>
    </row>
    <row r="196" spans="1:2" hidden="1">
      <c r="A196" s="4" t="s">
        <v>9</v>
      </c>
    </row>
    <row r="197" spans="1:2">
      <c r="A197" s="4" t="s">
        <v>20</v>
      </c>
      <c r="B197" t="e">
        <f>VLOOKUP(A197,#REF!,6,FALSE)</f>
        <v>#REF!</v>
      </c>
    </row>
    <row r="198" spans="1:2">
      <c r="A198" s="3" t="s">
        <v>28</v>
      </c>
      <c r="B198" t="e">
        <f>VLOOKUP(A198,#REF!,6,FALSE)</f>
        <v>#REF!</v>
      </c>
    </row>
    <row r="199" spans="1:2" hidden="1">
      <c r="A199" s="4" t="s">
        <v>9</v>
      </c>
    </row>
    <row r="200" spans="1:2" hidden="1">
      <c r="A200" s="4" t="s">
        <v>9</v>
      </c>
    </row>
    <row r="201" spans="1:2" hidden="1">
      <c r="A201" s="4" t="s">
        <v>29</v>
      </c>
    </row>
    <row r="202" spans="1:2" hidden="1">
      <c r="A202" s="4" t="s">
        <v>7</v>
      </c>
    </row>
    <row r="203" spans="1:2" hidden="1">
      <c r="A203" s="4" t="s">
        <v>29</v>
      </c>
    </row>
    <row r="204" spans="1:2" hidden="1">
      <c r="A204" s="3" t="s">
        <v>24</v>
      </c>
    </row>
    <row r="205" spans="1:2" hidden="1">
      <c r="A205" s="4" t="s">
        <v>29</v>
      </c>
    </row>
    <row r="206" spans="1:2" hidden="1">
      <c r="A206" s="4" t="s">
        <v>9</v>
      </c>
    </row>
    <row r="207" spans="1:2" hidden="1">
      <c r="A207" s="4" t="s">
        <v>29</v>
      </c>
    </row>
    <row r="208" spans="1:2" hidden="1">
      <c r="A208" s="4" t="s">
        <v>29</v>
      </c>
    </row>
    <row r="209" spans="1:2" hidden="1">
      <c r="A209" s="4" t="s">
        <v>20</v>
      </c>
    </row>
    <row r="210" spans="1:2" hidden="1">
      <c r="A210" s="4" t="s">
        <v>21</v>
      </c>
    </row>
    <row r="211" spans="1:2" hidden="1">
      <c r="A211" s="3" t="s">
        <v>24</v>
      </c>
    </row>
    <row r="212" spans="1:2" hidden="1">
      <c r="A212" s="3" t="s">
        <v>24</v>
      </c>
    </row>
    <row r="213" spans="1:2" hidden="1">
      <c r="A213" s="3" t="s">
        <v>24</v>
      </c>
    </row>
    <row r="214" spans="1:2" hidden="1">
      <c r="A214" s="4" t="s">
        <v>9</v>
      </c>
    </row>
    <row r="215" spans="1:2" hidden="1">
      <c r="A215" s="4" t="s">
        <v>29</v>
      </c>
    </row>
    <row r="216" spans="1:2" hidden="1">
      <c r="A216" s="4" t="s">
        <v>9</v>
      </c>
    </row>
    <row r="217" spans="1:2" hidden="1">
      <c r="A217" s="4" t="s">
        <v>7</v>
      </c>
    </row>
    <row r="218" spans="1:2" hidden="1">
      <c r="A218" s="4" t="s">
        <v>21</v>
      </c>
    </row>
    <row r="219" spans="1:2" hidden="1">
      <c r="A219" s="4" t="s">
        <v>7</v>
      </c>
    </row>
    <row r="220" spans="1:2" hidden="1">
      <c r="A220" s="4" t="s">
        <v>21</v>
      </c>
    </row>
    <row r="221" spans="1:2" hidden="1">
      <c r="A221" s="4" t="s">
        <v>29</v>
      </c>
    </row>
    <row r="222" spans="1:2" hidden="1">
      <c r="A222" s="4" t="s">
        <v>29</v>
      </c>
    </row>
    <row r="223" spans="1:2" hidden="1">
      <c r="A223" s="4" t="s">
        <v>21</v>
      </c>
    </row>
    <row r="224" spans="1:2">
      <c r="A224" s="3" t="s">
        <v>26</v>
      </c>
      <c r="B224" t="e">
        <f>VLOOKUP(A224,#REF!,6,FALSE)</f>
        <v>#REF!</v>
      </c>
    </row>
    <row r="225" spans="1:2" hidden="1">
      <c r="A225" s="4" t="s">
        <v>21</v>
      </c>
    </row>
    <row r="226" spans="1:2" hidden="1">
      <c r="A226" s="4" t="s">
        <v>7</v>
      </c>
    </row>
    <row r="227" spans="1:2" hidden="1">
      <c r="A227" s="4" t="s">
        <v>21</v>
      </c>
    </row>
    <row r="228" spans="1:2" hidden="1">
      <c r="A228" s="3" t="s">
        <v>18</v>
      </c>
    </row>
    <row r="229" spans="1:2" hidden="1">
      <c r="A229" s="4" t="s">
        <v>9</v>
      </c>
    </row>
    <row r="230" spans="1:2" hidden="1">
      <c r="A230" s="4" t="s">
        <v>21</v>
      </c>
    </row>
    <row r="231" spans="1:2" hidden="1">
      <c r="A231" s="4" t="s">
        <v>21</v>
      </c>
    </row>
    <row r="232" spans="1:2" hidden="1">
      <c r="A232" s="4" t="s">
        <v>29</v>
      </c>
    </row>
    <row r="233" spans="1:2" hidden="1">
      <c r="A233" s="4" t="s">
        <v>20</v>
      </c>
    </row>
    <row r="234" spans="1:2" hidden="1">
      <c r="A234" s="4" t="s">
        <v>9</v>
      </c>
    </row>
    <row r="235" spans="1:2" hidden="1">
      <c r="A235" s="4" t="s">
        <v>29</v>
      </c>
    </row>
    <row r="236" spans="1:2" hidden="1">
      <c r="A236" s="4" t="s">
        <v>9</v>
      </c>
    </row>
    <row r="237" spans="1:2" hidden="1">
      <c r="A237" s="3" t="s">
        <v>18</v>
      </c>
    </row>
    <row r="238" spans="1:2" hidden="1">
      <c r="A238" s="4" t="s">
        <v>9</v>
      </c>
    </row>
    <row r="239" spans="1:2" hidden="1">
      <c r="A239" s="4" t="s">
        <v>7</v>
      </c>
    </row>
    <row r="240" spans="1:2">
      <c r="A240" s="3" t="s">
        <v>21</v>
      </c>
      <c r="B240" t="e">
        <f>VLOOKUP(A240,#REF!,6,FALSE)</f>
        <v>#REF!</v>
      </c>
    </row>
    <row r="241" spans="1:1" hidden="1">
      <c r="A241" s="4" t="s">
        <v>9</v>
      </c>
    </row>
    <row r="242" spans="1:1" hidden="1">
      <c r="A242" s="3" t="s">
        <v>18</v>
      </c>
    </row>
    <row r="243" spans="1:1" hidden="1">
      <c r="A243" s="3" t="s">
        <v>21</v>
      </c>
    </row>
    <row r="244" spans="1:1" hidden="1">
      <c r="A244" s="4" t="s">
        <v>7</v>
      </c>
    </row>
    <row r="245" spans="1:1" hidden="1">
      <c r="A245" s="3" t="s">
        <v>26</v>
      </c>
    </row>
    <row r="246" spans="1:1" hidden="1">
      <c r="A246" s="4" t="s">
        <v>25</v>
      </c>
    </row>
    <row r="247" spans="1:1" hidden="1">
      <c r="A247" s="3" t="s">
        <v>21</v>
      </c>
    </row>
    <row r="248" spans="1:1" hidden="1">
      <c r="A248" s="4" t="s">
        <v>6</v>
      </c>
    </row>
    <row r="249" spans="1:1" hidden="1">
      <c r="A249" s="3" t="s">
        <v>26</v>
      </c>
    </row>
    <row r="250" spans="1:1" hidden="1">
      <c r="A250" s="4" t="s">
        <v>29</v>
      </c>
    </row>
    <row r="251" spans="1:1" hidden="1">
      <c r="A251" s="4" t="s">
        <v>29</v>
      </c>
    </row>
    <row r="252" spans="1:1" hidden="1">
      <c r="A252" s="4" t="s">
        <v>29</v>
      </c>
    </row>
    <row r="253" spans="1:1" hidden="1">
      <c r="A253" s="4" t="s">
        <v>9</v>
      </c>
    </row>
    <row r="254" spans="1:1" hidden="1">
      <c r="A254" s="4" t="s">
        <v>29</v>
      </c>
    </row>
    <row r="255" spans="1:1" hidden="1">
      <c r="A255" s="4" t="s">
        <v>9</v>
      </c>
    </row>
    <row r="256" spans="1:1" hidden="1">
      <c r="A256" s="3" t="s">
        <v>24</v>
      </c>
    </row>
    <row r="257" spans="1:2" hidden="1">
      <c r="A257" s="4" t="s">
        <v>21</v>
      </c>
    </row>
    <row r="258" spans="1:2" hidden="1">
      <c r="A258" s="4" t="s">
        <v>29</v>
      </c>
    </row>
    <row r="259" spans="1:2" hidden="1">
      <c r="A259" s="4" t="s">
        <v>29</v>
      </c>
    </row>
    <row r="260" spans="1:2" hidden="1">
      <c r="A260" s="3" t="s">
        <v>24</v>
      </c>
    </row>
    <row r="261" spans="1:2" hidden="1">
      <c r="A261" s="4" t="s">
        <v>6</v>
      </c>
    </row>
    <row r="262" spans="1:2" hidden="1">
      <c r="A262" s="4" t="s">
        <v>7</v>
      </c>
    </row>
    <row r="263" spans="1:2" hidden="1">
      <c r="A263" s="4" t="s">
        <v>7</v>
      </c>
    </row>
    <row r="264" spans="1:2" hidden="1">
      <c r="A264" s="4" t="s">
        <v>17</v>
      </c>
    </row>
    <row r="265" spans="1:2" hidden="1">
      <c r="A265" s="4" t="s">
        <v>8</v>
      </c>
    </row>
    <row r="266" spans="1:2" hidden="1">
      <c r="A266" s="3" t="s">
        <v>29</v>
      </c>
    </row>
    <row r="267" spans="1:2" hidden="1">
      <c r="A267" s="3" t="s">
        <v>29</v>
      </c>
    </row>
    <row r="268" spans="1:2" hidden="1">
      <c r="A268" s="4" t="s">
        <v>6</v>
      </c>
    </row>
    <row r="269" spans="1:2">
      <c r="A269" s="4" t="s">
        <v>27</v>
      </c>
      <c r="B269" t="e">
        <f>VLOOKUP(A269,#REF!,6,FALSE)</f>
        <v>#REF!</v>
      </c>
    </row>
    <row r="270" spans="1:2" hidden="1">
      <c r="A270" s="4" t="s">
        <v>27</v>
      </c>
    </row>
    <row r="271" spans="1:2" hidden="1">
      <c r="A271" s="4" t="s">
        <v>21</v>
      </c>
    </row>
    <row r="272" spans="1:2" hidden="1">
      <c r="A272" s="4" t="s">
        <v>6</v>
      </c>
    </row>
    <row r="273" spans="1:2" hidden="1">
      <c r="A273" s="4" t="s">
        <v>29</v>
      </c>
    </row>
    <row r="274" spans="1:2" hidden="1">
      <c r="A274" s="3" t="s">
        <v>18</v>
      </c>
    </row>
    <row r="275" spans="1:2" hidden="1">
      <c r="A275" s="4" t="s">
        <v>8</v>
      </c>
    </row>
    <row r="276" spans="1:2" hidden="1">
      <c r="A276" s="3" t="s">
        <v>6</v>
      </c>
    </row>
    <row r="277" spans="1:2">
      <c r="A277" s="4" t="s">
        <v>14</v>
      </c>
      <c r="B277" t="e">
        <f>VLOOKUP(A277,#REF!,6,FALSE)</f>
        <v>#REF!</v>
      </c>
    </row>
    <row r="278" spans="1:2" hidden="1">
      <c r="A278" s="3" t="s">
        <v>18</v>
      </c>
    </row>
    <row r="279" spans="1:2" hidden="1">
      <c r="A279" s="4" t="s">
        <v>29</v>
      </c>
    </row>
    <row r="280" spans="1:2" hidden="1">
      <c r="A280" s="4" t="s">
        <v>29</v>
      </c>
    </row>
    <row r="281" spans="1:2" hidden="1">
      <c r="A281" s="3" t="s">
        <v>29</v>
      </c>
    </row>
    <row r="282" spans="1:2" hidden="1">
      <c r="A282" s="3" t="s">
        <v>16</v>
      </c>
    </row>
    <row r="283" spans="1:2" hidden="1">
      <c r="A283" s="3" t="s">
        <v>18</v>
      </c>
    </row>
    <row r="284" spans="1:2" hidden="1">
      <c r="A284" s="3" t="s">
        <v>16</v>
      </c>
    </row>
    <row r="285" spans="1:2" hidden="1">
      <c r="A285" s="3" t="s">
        <v>18</v>
      </c>
    </row>
    <row r="286" spans="1:2" hidden="1">
      <c r="A286" s="4" t="s">
        <v>25</v>
      </c>
    </row>
    <row r="287" spans="1:2" hidden="1">
      <c r="A287" s="4" t="s">
        <v>7</v>
      </c>
    </row>
    <row r="288" spans="1:2" hidden="1">
      <c r="A288" s="4" t="s">
        <v>27</v>
      </c>
    </row>
    <row r="289" spans="1:2" hidden="1">
      <c r="A289" s="4" t="s">
        <v>8</v>
      </c>
    </row>
    <row r="290" spans="1:2" hidden="1">
      <c r="A290" s="3" t="s">
        <v>18</v>
      </c>
    </row>
    <row r="291" spans="1:2" hidden="1">
      <c r="A291" s="4" t="s">
        <v>21</v>
      </c>
    </row>
    <row r="292" spans="1:2" hidden="1">
      <c r="A292" s="3" t="s">
        <v>29</v>
      </c>
    </row>
    <row r="293" spans="1:2" hidden="1">
      <c r="A293" s="4" t="s">
        <v>7</v>
      </c>
    </row>
    <row r="294" spans="1:2" hidden="1">
      <c r="A294" s="4" t="s">
        <v>7</v>
      </c>
    </row>
    <row r="295" spans="1:2" hidden="1">
      <c r="A295" s="4" t="s">
        <v>25</v>
      </c>
    </row>
    <row r="296" spans="1:2" hidden="1">
      <c r="A296" s="3" t="s">
        <v>6</v>
      </c>
    </row>
    <row r="297" spans="1:2" hidden="1">
      <c r="A297" s="4" t="s">
        <v>16</v>
      </c>
    </row>
    <row r="298" spans="1:2" hidden="1">
      <c r="A298" s="3" t="s">
        <v>29</v>
      </c>
    </row>
    <row r="299" spans="1:2" hidden="1">
      <c r="A299" s="3" t="s">
        <v>24</v>
      </c>
    </row>
    <row r="300" spans="1:2" hidden="1">
      <c r="A300" s="3">
        <f>I300</f>
        <v>0</v>
      </c>
    </row>
    <row r="301" spans="1:2">
      <c r="A301" s="3" t="s">
        <v>46</v>
      </c>
      <c r="B301" t="e">
        <f>VLOOKUP(A301,#REF!,6,FALSE)</f>
        <v>#REF!</v>
      </c>
    </row>
    <row r="302" spans="1:2">
      <c r="A302" s="4" t="s">
        <v>190</v>
      </c>
      <c r="B302" t="e">
        <f>VLOOKUP(A302,#REF!,6,FALSE)</f>
        <v>#REF!</v>
      </c>
    </row>
    <row r="303" spans="1:2" hidden="1">
      <c r="A303" s="3" t="s">
        <v>191</v>
      </c>
    </row>
    <row r="304" spans="1:2" hidden="1">
      <c r="A304" s="4" t="s">
        <v>225</v>
      </c>
    </row>
    <row r="305" spans="1:1" hidden="1">
      <c r="A305" s="3" t="s">
        <v>33</v>
      </c>
    </row>
    <row r="306" spans="1:1" hidden="1">
      <c r="A306" s="4" t="s">
        <v>8</v>
      </c>
    </row>
    <row r="307" spans="1:1" hidden="1">
      <c r="A307" s="3">
        <f>I307</f>
        <v>0</v>
      </c>
    </row>
    <row r="308" spans="1:1" hidden="1">
      <c r="A308" s="4" t="s">
        <v>29</v>
      </c>
    </row>
    <row r="309" spans="1:1" hidden="1">
      <c r="A309" s="4" t="s">
        <v>3</v>
      </c>
    </row>
    <row r="310" spans="1:1" hidden="1">
      <c r="A310" s="4" t="s">
        <v>22</v>
      </c>
    </row>
    <row r="311" spans="1:1" hidden="1">
      <c r="A311" s="3" t="s">
        <v>16</v>
      </c>
    </row>
    <row r="312" spans="1:1" hidden="1">
      <c r="A312" s="4" t="s">
        <v>14</v>
      </c>
    </row>
    <row r="313" spans="1:1" hidden="1">
      <c r="A313" s="3" t="s">
        <v>18</v>
      </c>
    </row>
    <row r="314" spans="1:1" hidden="1">
      <c r="A314" s="4" t="s">
        <v>21</v>
      </c>
    </row>
    <row r="315" spans="1:1" hidden="1">
      <c r="A315" s="4" t="s">
        <v>21</v>
      </c>
    </row>
    <row r="316" spans="1:1" hidden="1">
      <c r="A316" s="4" t="s">
        <v>22</v>
      </c>
    </row>
    <row r="317" spans="1:1" hidden="1">
      <c r="A317" s="4" t="s">
        <v>20</v>
      </c>
    </row>
    <row r="318" spans="1:1" hidden="1">
      <c r="A318" s="3" t="s">
        <v>6</v>
      </c>
    </row>
    <row r="319" spans="1:1" hidden="1">
      <c r="A319" s="3" t="s">
        <v>29</v>
      </c>
    </row>
    <row r="320" spans="1:1" hidden="1">
      <c r="A320" s="3" t="s">
        <v>17</v>
      </c>
    </row>
    <row r="321" spans="1:2" hidden="1">
      <c r="A321" s="4" t="s">
        <v>8</v>
      </c>
    </row>
    <row r="322" spans="1:2" hidden="1">
      <c r="A322" s="4" t="s">
        <v>14</v>
      </c>
    </row>
    <row r="323" spans="1:2" hidden="1">
      <c r="A323" s="3" t="s">
        <v>29</v>
      </c>
    </row>
    <row r="324" spans="1:2" hidden="1">
      <c r="A324" s="4" t="s">
        <v>7</v>
      </c>
    </row>
    <row r="325" spans="1:2" hidden="1">
      <c r="A325" s="3" t="s">
        <v>17</v>
      </c>
    </row>
    <row r="326" spans="1:2" hidden="1">
      <c r="A326" s="4" t="s">
        <v>22</v>
      </c>
    </row>
    <row r="327" spans="1:2">
      <c r="A327" s="4" t="s">
        <v>14</v>
      </c>
      <c r="B327" t="e">
        <f>VLOOKUP(A327,#REF!,6,FALSE)</f>
        <v>#REF!</v>
      </c>
    </row>
    <row r="328" spans="1:2" hidden="1">
      <c r="A328" s="4" t="s">
        <v>9</v>
      </c>
    </row>
    <row r="329" spans="1:2" hidden="1">
      <c r="A329" s="4" t="s">
        <v>14</v>
      </c>
    </row>
    <row r="330" spans="1:2" hidden="1">
      <c r="A330" s="3" t="s">
        <v>18</v>
      </c>
    </row>
    <row r="331" spans="1:2" hidden="1">
      <c r="A331" s="3" t="s">
        <v>6</v>
      </c>
    </row>
    <row r="332" spans="1:2" hidden="1">
      <c r="A332" s="4" t="s">
        <v>16</v>
      </c>
    </row>
    <row r="333" spans="1:2" hidden="1">
      <c r="A333" s="4" t="s">
        <v>6</v>
      </c>
    </row>
    <row r="334" spans="1:2" hidden="1">
      <c r="A334" s="4" t="s">
        <v>22</v>
      </c>
    </row>
    <row r="335" spans="1:2" hidden="1">
      <c r="A335" s="4" t="s">
        <v>16</v>
      </c>
    </row>
    <row r="336" spans="1:2" hidden="1">
      <c r="A336" s="4" t="s">
        <v>9</v>
      </c>
    </row>
    <row r="337" spans="1:2" hidden="1">
      <c r="A337" s="4" t="s">
        <v>9</v>
      </c>
    </row>
    <row r="338" spans="1:2" hidden="1">
      <c r="A338" s="4" t="s">
        <v>7</v>
      </c>
    </row>
    <row r="339" spans="1:2" hidden="1">
      <c r="A339" s="4" t="s">
        <v>6</v>
      </c>
    </row>
    <row r="340" spans="1:2" hidden="1">
      <c r="A340" s="4" t="s">
        <v>6</v>
      </c>
    </row>
    <row r="341" spans="1:2" hidden="1">
      <c r="A341" s="4" t="s">
        <v>7</v>
      </c>
    </row>
    <row r="342" spans="1:2" hidden="1">
      <c r="A342" s="4" t="s">
        <v>25</v>
      </c>
    </row>
    <row r="343" spans="1:2">
      <c r="A343" s="4" t="s">
        <v>33</v>
      </c>
      <c r="B343" t="e">
        <f>VLOOKUP(A343,#REF!,6,FALSE)</f>
        <v>#REF!</v>
      </c>
    </row>
    <row r="344" spans="1:2" hidden="1">
      <c r="A344" s="3" t="s">
        <v>22</v>
      </c>
    </row>
    <row r="345" spans="1:2" hidden="1">
      <c r="A345" s="3" t="s">
        <v>22</v>
      </c>
    </row>
    <row r="346" spans="1:2" hidden="1">
      <c r="A346" s="4" t="s">
        <v>14</v>
      </c>
    </row>
    <row r="347" spans="1:2" hidden="1">
      <c r="A347" s="3" t="s">
        <v>22</v>
      </c>
    </row>
    <row r="348" spans="1:2" hidden="1">
      <c r="A348" s="3" t="s">
        <v>18</v>
      </c>
    </row>
    <row r="349" spans="1:2">
      <c r="A349" s="4" t="s">
        <v>19</v>
      </c>
      <c r="B349" t="e">
        <f>VLOOKUP(A349,#REF!,6,FALSE)</f>
        <v>#REF!</v>
      </c>
    </row>
    <row r="350" spans="1:2" hidden="1">
      <c r="A350" s="4" t="s">
        <v>18</v>
      </c>
    </row>
    <row r="351" spans="1:2" hidden="1">
      <c r="A351" s="4" t="s">
        <v>22</v>
      </c>
    </row>
    <row r="352" spans="1:2">
      <c r="A352" s="4" t="s">
        <v>6</v>
      </c>
      <c r="B352" t="e">
        <f>VLOOKUP(A352,#REF!,6,FALSE)</f>
        <v>#REF!</v>
      </c>
    </row>
    <row r="353" spans="1:2" hidden="1">
      <c r="A353" s="4" t="s">
        <v>7</v>
      </c>
    </row>
    <row r="354" spans="1:2" hidden="1">
      <c r="A354" s="4" t="s">
        <v>15</v>
      </c>
    </row>
    <row r="355" spans="1:2">
      <c r="A355" s="4" t="s">
        <v>24</v>
      </c>
      <c r="B355" t="e">
        <f>VLOOKUP(A355,#REF!,6,FALSE)</f>
        <v>#REF!</v>
      </c>
    </row>
    <row r="356" spans="1:2" hidden="1">
      <c r="A356" s="4" t="s">
        <v>27</v>
      </c>
    </row>
    <row r="357" spans="1:2" hidden="1">
      <c r="A357" s="3" t="s">
        <v>21</v>
      </c>
    </row>
    <row r="358" spans="1:2" hidden="1">
      <c r="A358" s="3" t="s">
        <v>42</v>
      </c>
    </row>
    <row r="359" spans="1:2" hidden="1">
      <c r="A359" s="4" t="s">
        <v>22</v>
      </c>
    </row>
    <row r="360" spans="1:2" hidden="1">
      <c r="A360" s="4" t="s">
        <v>21</v>
      </c>
    </row>
    <row r="361" spans="1:2" hidden="1">
      <c r="A361" s="4" t="s">
        <v>13</v>
      </c>
    </row>
    <row r="362" spans="1:2" hidden="1">
      <c r="A362" s="3" t="s">
        <v>5</v>
      </c>
    </row>
    <row r="363" spans="1:2" hidden="1">
      <c r="A363" s="4" t="s">
        <v>20</v>
      </c>
    </row>
    <row r="364" spans="1:2" hidden="1">
      <c r="A364" s="4" t="s">
        <v>7</v>
      </c>
    </row>
    <row r="365" spans="1:2" hidden="1">
      <c r="A365" s="4" t="s">
        <v>6</v>
      </c>
    </row>
    <row r="366" spans="1:2" hidden="1">
      <c r="A366" s="4" t="s">
        <v>18</v>
      </c>
    </row>
    <row r="367" spans="1:2" hidden="1">
      <c r="A367" s="4" t="s">
        <v>6</v>
      </c>
    </row>
    <row r="368" spans="1:2" hidden="1">
      <c r="A368" s="4" t="s">
        <v>27</v>
      </c>
    </row>
    <row r="369" spans="1:2">
      <c r="A369" s="4" t="s">
        <v>12</v>
      </c>
      <c r="B369" t="e">
        <f>VLOOKUP(A369,#REF!,6,FALSE)</f>
        <v>#REF!</v>
      </c>
    </row>
    <row r="370" spans="1:2" hidden="1">
      <c r="A370" s="4" t="s">
        <v>12</v>
      </c>
    </row>
    <row r="371" spans="1:2" hidden="1">
      <c r="A371" s="4" t="s">
        <v>18</v>
      </c>
    </row>
    <row r="372" spans="1:2">
      <c r="A372" s="4" t="s">
        <v>24</v>
      </c>
      <c r="B372" t="e">
        <f>VLOOKUP(A372,#REF!,6,FALSE)</f>
        <v>#REF!</v>
      </c>
    </row>
    <row r="373" spans="1:2" hidden="1">
      <c r="A373" s="4" t="s">
        <v>6</v>
      </c>
    </row>
    <row r="374" spans="1:2">
      <c r="A374" s="3" t="s">
        <v>21</v>
      </c>
      <c r="B374" t="e">
        <f>VLOOKUP(A374,#REF!,6,FALSE)</f>
        <v>#REF!</v>
      </c>
    </row>
    <row r="375" spans="1:2" hidden="1">
      <c r="A375" s="3" t="s">
        <v>6</v>
      </c>
    </row>
    <row r="376" spans="1:2" hidden="1">
      <c r="A376" s="4" t="s">
        <v>6</v>
      </c>
    </row>
    <row r="377" spans="1:2" hidden="1">
      <c r="A377" s="4" t="s">
        <v>17</v>
      </c>
    </row>
    <row r="378" spans="1:2" hidden="1">
      <c r="A378" s="4" t="s">
        <v>17</v>
      </c>
    </row>
    <row r="379" spans="1:2" hidden="1">
      <c r="A379" s="4" t="s">
        <v>14</v>
      </c>
    </row>
    <row r="380" spans="1:2" hidden="1">
      <c r="A380" s="4" t="s">
        <v>22</v>
      </c>
    </row>
    <row r="381" spans="1:2" hidden="1">
      <c r="A381" s="4" t="s">
        <v>7</v>
      </c>
    </row>
    <row r="382" spans="1:2" hidden="1">
      <c r="A382" s="4" t="s">
        <v>6</v>
      </c>
    </row>
    <row r="383" spans="1:2" hidden="1">
      <c r="A383" s="3" t="s">
        <v>6</v>
      </c>
    </row>
    <row r="384" spans="1:2" hidden="1">
      <c r="A384" s="3" t="s">
        <v>16</v>
      </c>
    </row>
    <row r="385" spans="1:2" hidden="1">
      <c r="A385" s="4" t="s">
        <v>6</v>
      </c>
    </row>
    <row r="386" spans="1:2" hidden="1">
      <c r="A386" s="3" t="s">
        <v>21</v>
      </c>
    </row>
    <row r="387" spans="1:2">
      <c r="A387" s="3" t="s">
        <v>27</v>
      </c>
      <c r="B387" t="e">
        <f>VLOOKUP(A387,#REF!,6,FALSE)</f>
        <v>#REF!</v>
      </c>
    </row>
    <row r="388" spans="1:2" hidden="1">
      <c r="A388" s="3" t="s">
        <v>18</v>
      </c>
    </row>
    <row r="389" spans="1:2" hidden="1">
      <c r="A389" s="4" t="s">
        <v>21</v>
      </c>
    </row>
    <row r="390" spans="1:2" hidden="1">
      <c r="A390" s="3" t="s">
        <v>21</v>
      </c>
    </row>
    <row r="391" spans="1:2" hidden="1">
      <c r="A391" s="3" t="s">
        <v>26</v>
      </c>
    </row>
    <row r="392" spans="1:2" hidden="1">
      <c r="A392" s="4" t="s">
        <v>14</v>
      </c>
    </row>
    <row r="393" spans="1:2" hidden="1">
      <c r="A393" s="4" t="s">
        <v>14</v>
      </c>
    </row>
    <row r="394" spans="1:2" hidden="1">
      <c r="A394" s="4" t="s">
        <v>14</v>
      </c>
    </row>
    <row r="395" spans="1:2" hidden="1">
      <c r="A395" s="4" t="s">
        <v>18</v>
      </c>
    </row>
    <row r="396" spans="1:2" hidden="1">
      <c r="A396" s="4" t="s">
        <v>9</v>
      </c>
    </row>
    <row r="397" spans="1:2" hidden="1">
      <c r="A397" s="4" t="s">
        <v>12</v>
      </c>
    </row>
    <row r="398" spans="1:2" hidden="1">
      <c r="A398" s="4" t="s">
        <v>21</v>
      </c>
    </row>
    <row r="399" spans="1:2" hidden="1">
      <c r="A399" s="3" t="s">
        <v>29</v>
      </c>
    </row>
    <row r="400" spans="1:2">
      <c r="A400" s="4" t="s">
        <v>19</v>
      </c>
      <c r="B400" t="e">
        <f>VLOOKUP(A400,#REF!,6,FALSE)</f>
        <v>#REF!</v>
      </c>
    </row>
    <row r="401" spans="1:2" hidden="1">
      <c r="A401" s="4" t="s">
        <v>9</v>
      </c>
    </row>
    <row r="402" spans="1:2" hidden="1">
      <c r="A402" s="4" t="s">
        <v>14</v>
      </c>
    </row>
    <row r="403" spans="1:2" hidden="1">
      <c r="A403" s="4" t="s">
        <v>17</v>
      </c>
    </row>
    <row r="404" spans="1:2" hidden="1">
      <c r="A404" s="4" t="s">
        <v>21</v>
      </c>
    </row>
    <row r="405" spans="1:2" hidden="1">
      <c r="A405" s="4" t="s">
        <v>21</v>
      </c>
    </row>
    <row r="406" spans="1:2" hidden="1">
      <c r="A406" s="4" t="s">
        <v>22</v>
      </c>
    </row>
    <row r="407" spans="1:2" hidden="1">
      <c r="A407" s="3" t="s">
        <v>5</v>
      </c>
    </row>
    <row r="408" spans="1:2" hidden="1">
      <c r="A408" s="4" t="s">
        <v>22</v>
      </c>
    </row>
    <row r="409" spans="1:2">
      <c r="A409" s="4" t="s">
        <v>23</v>
      </c>
      <c r="B409" t="e">
        <f>VLOOKUP(A409,#REF!,6,FALSE)</f>
        <v>#REF!</v>
      </c>
    </row>
    <row r="410" spans="1:2" hidden="1">
      <c r="A410" s="4" t="s">
        <v>22</v>
      </c>
    </row>
    <row r="411" spans="1:2">
      <c r="A411" s="4" t="s">
        <v>26</v>
      </c>
      <c r="B411" t="e">
        <f>VLOOKUP(A411,#REF!,6,FALSE)</f>
        <v>#REF!</v>
      </c>
    </row>
    <row r="412" spans="1:2" hidden="1">
      <c r="A412" s="4" t="s">
        <v>6</v>
      </c>
    </row>
    <row r="413" spans="1:2" hidden="1">
      <c r="A413" s="3" t="s">
        <v>26</v>
      </c>
    </row>
    <row r="414" spans="1:2" hidden="1">
      <c r="A414" s="3" t="s">
        <v>26</v>
      </c>
    </row>
    <row r="415" spans="1:2">
      <c r="A415" s="3" t="s">
        <v>5</v>
      </c>
      <c r="B415" t="e">
        <f>VLOOKUP(A415,#REF!,6,FALSE)</f>
        <v>#REF!</v>
      </c>
    </row>
    <row r="416" spans="1:2" hidden="1">
      <c r="A416" s="4" t="s">
        <v>14</v>
      </c>
    </row>
    <row r="417" spans="1:2" hidden="1">
      <c r="A417" s="4" t="s">
        <v>18</v>
      </c>
    </row>
    <row r="418" spans="1:2" hidden="1">
      <c r="A418" s="4" t="s">
        <v>8</v>
      </c>
    </row>
    <row r="419" spans="1:2" hidden="1">
      <c r="A419" s="3" t="s">
        <v>17</v>
      </c>
    </row>
    <row r="420" spans="1:2" hidden="1">
      <c r="A420" s="4" t="s">
        <v>17</v>
      </c>
    </row>
    <row r="421" spans="1:2" hidden="1">
      <c r="A421" s="4" t="s">
        <v>23</v>
      </c>
    </row>
    <row r="422" spans="1:2" hidden="1">
      <c r="A422" s="4" t="s">
        <v>22</v>
      </c>
    </row>
    <row r="423" spans="1:2" hidden="1">
      <c r="A423" s="4" t="s">
        <v>21</v>
      </c>
    </row>
    <row r="424" spans="1:2" hidden="1">
      <c r="A424" s="3" t="s">
        <v>22</v>
      </c>
    </row>
    <row r="425" spans="1:2" hidden="1">
      <c r="A425" s="4" t="s">
        <v>21</v>
      </c>
    </row>
    <row r="426" spans="1:2" hidden="1">
      <c r="A426" s="4" t="s">
        <v>14</v>
      </c>
    </row>
    <row r="427" spans="1:2" hidden="1">
      <c r="A427" s="4" t="s">
        <v>14</v>
      </c>
    </row>
    <row r="428" spans="1:2" hidden="1">
      <c r="A428" s="4" t="s">
        <v>14</v>
      </c>
    </row>
    <row r="429" spans="1:2" hidden="1">
      <c r="A429" s="4" t="s">
        <v>17</v>
      </c>
    </row>
    <row r="430" spans="1:2">
      <c r="A430" s="3" t="s">
        <v>15</v>
      </c>
      <c r="B430" t="e">
        <f>VLOOKUP(A430,#REF!,6,FALSE)</f>
        <v>#REF!</v>
      </c>
    </row>
    <row r="431" spans="1:2" hidden="1">
      <c r="A431" s="4" t="s">
        <v>14</v>
      </c>
    </row>
    <row r="432" spans="1:2" hidden="1">
      <c r="A432" s="4" t="s">
        <v>14</v>
      </c>
    </row>
    <row r="433" spans="1:1" hidden="1">
      <c r="A433" s="4" t="s">
        <v>9</v>
      </c>
    </row>
    <row r="434" spans="1:1" hidden="1">
      <c r="A434" s="4" t="s">
        <v>25</v>
      </c>
    </row>
    <row r="435" spans="1:1" hidden="1">
      <c r="A435" s="4" t="s">
        <v>21</v>
      </c>
    </row>
    <row r="436" spans="1:1" hidden="1">
      <c r="A436" s="4" t="s">
        <v>21</v>
      </c>
    </row>
    <row r="437" spans="1:1" hidden="1">
      <c r="A437" s="4" t="s">
        <v>14</v>
      </c>
    </row>
    <row r="438" spans="1:1" hidden="1">
      <c r="A438" s="4" t="s">
        <v>33</v>
      </c>
    </row>
    <row r="439" spans="1:1" hidden="1">
      <c r="A439" s="3" t="s">
        <v>6</v>
      </c>
    </row>
    <row r="440" spans="1:1" hidden="1">
      <c r="A440" s="4" t="s">
        <v>21</v>
      </c>
    </row>
    <row r="441" spans="1:1" hidden="1">
      <c r="A441" s="4" t="s">
        <v>21</v>
      </c>
    </row>
    <row r="442" spans="1:1" hidden="1">
      <c r="A442" s="4" t="s">
        <v>12</v>
      </c>
    </row>
    <row r="443" spans="1:1" hidden="1">
      <c r="A443" s="4" t="s">
        <v>20</v>
      </c>
    </row>
    <row r="444" spans="1:1" hidden="1">
      <c r="A444" s="4" t="s">
        <v>21</v>
      </c>
    </row>
    <row r="445" spans="1:1" hidden="1">
      <c r="A445" s="4" t="s">
        <v>14</v>
      </c>
    </row>
    <row r="446" spans="1:1" hidden="1">
      <c r="A446" s="4" t="s">
        <v>14</v>
      </c>
    </row>
    <row r="447" spans="1:1" hidden="1">
      <c r="A447" s="4" t="s">
        <v>6</v>
      </c>
    </row>
    <row r="448" spans="1:1" hidden="1">
      <c r="A448" s="4" t="s">
        <v>14</v>
      </c>
    </row>
    <row r="449" spans="1:1" hidden="1">
      <c r="A449" s="3" t="s">
        <v>18</v>
      </c>
    </row>
    <row r="450" spans="1:1" hidden="1">
      <c r="A450" s="4" t="s">
        <v>7</v>
      </c>
    </row>
    <row r="451" spans="1:1" hidden="1">
      <c r="A451" s="4" t="s">
        <v>7</v>
      </c>
    </row>
    <row r="452" spans="1:1" hidden="1">
      <c r="A452" s="3" t="s">
        <v>27</v>
      </c>
    </row>
    <row r="453" spans="1:1" hidden="1">
      <c r="A453" s="3" t="s">
        <v>27</v>
      </c>
    </row>
    <row r="454" spans="1:1" hidden="1">
      <c r="A454" s="3" t="s">
        <v>18</v>
      </c>
    </row>
    <row r="455" spans="1:1" hidden="1">
      <c r="A455" s="4" t="s">
        <v>16</v>
      </c>
    </row>
    <row r="456" spans="1:1" hidden="1">
      <c r="A456" s="3" t="s">
        <v>26</v>
      </c>
    </row>
    <row r="457" spans="1:1" hidden="1">
      <c r="A457" s="3" t="s">
        <v>26</v>
      </c>
    </row>
    <row r="458" spans="1:1" hidden="1">
      <c r="A458" s="4" t="s">
        <v>7</v>
      </c>
    </row>
    <row r="459" spans="1:1" hidden="1">
      <c r="A459" s="4" t="s">
        <v>14</v>
      </c>
    </row>
    <row r="460" spans="1:1" hidden="1">
      <c r="A460" s="3" t="s">
        <v>22</v>
      </c>
    </row>
    <row r="461" spans="1:1" hidden="1">
      <c r="A461" s="4" t="s">
        <v>21</v>
      </c>
    </row>
    <row r="462" spans="1:1" hidden="1">
      <c r="A462" s="4" t="s">
        <v>29</v>
      </c>
    </row>
    <row r="463" spans="1:1" hidden="1">
      <c r="A463" s="4" t="s">
        <v>14</v>
      </c>
    </row>
    <row r="464" spans="1:1" hidden="1">
      <c r="A464" s="3" t="s">
        <v>22</v>
      </c>
    </row>
    <row r="465" spans="1:1" hidden="1">
      <c r="A465" s="3" t="s">
        <v>5</v>
      </c>
    </row>
    <row r="466" spans="1:1" hidden="1">
      <c r="A466" s="4" t="s">
        <v>21</v>
      </c>
    </row>
    <row r="467" spans="1:1" hidden="1">
      <c r="A467" s="4" t="s">
        <v>23</v>
      </c>
    </row>
    <row r="468" spans="1:1" hidden="1">
      <c r="A468" s="4" t="s">
        <v>23</v>
      </c>
    </row>
    <row r="469" spans="1:1" hidden="1">
      <c r="A469" s="4" t="s">
        <v>22</v>
      </c>
    </row>
    <row r="470" spans="1:1" hidden="1">
      <c r="A470" s="4" t="s">
        <v>22</v>
      </c>
    </row>
    <row r="471" spans="1:1" hidden="1">
      <c r="A471" s="4" t="s">
        <v>18</v>
      </c>
    </row>
    <row r="472" spans="1:1" hidden="1">
      <c r="A472" s="3" t="s">
        <v>27</v>
      </c>
    </row>
    <row r="473" spans="1:1" hidden="1">
      <c r="A473" s="3" t="s">
        <v>26</v>
      </c>
    </row>
    <row r="474" spans="1:1" hidden="1">
      <c r="A474" s="4" t="s">
        <v>21</v>
      </c>
    </row>
    <row r="475" spans="1:1" hidden="1">
      <c r="A475" s="4" t="s">
        <v>19</v>
      </c>
    </row>
    <row r="476" spans="1:1" hidden="1">
      <c r="A476" s="4" t="s">
        <v>9</v>
      </c>
    </row>
    <row r="477" spans="1:1" hidden="1">
      <c r="A477" s="4" t="s">
        <v>27</v>
      </c>
    </row>
    <row r="478" spans="1:1" hidden="1">
      <c r="A478" s="3" t="s">
        <v>18</v>
      </c>
    </row>
    <row r="479" spans="1:1" hidden="1">
      <c r="A479" s="3" t="s">
        <v>18</v>
      </c>
    </row>
    <row r="480" spans="1:1" hidden="1">
      <c r="A480" s="4" t="s">
        <v>21</v>
      </c>
    </row>
    <row r="481" spans="1:1" hidden="1">
      <c r="A481" s="3" t="s">
        <v>22</v>
      </c>
    </row>
    <row r="482" spans="1:1" hidden="1">
      <c r="A482" s="4" t="s">
        <v>22</v>
      </c>
    </row>
    <row r="483" spans="1:1" hidden="1">
      <c r="A483" s="4" t="s">
        <v>19</v>
      </c>
    </row>
    <row r="484" spans="1:1" hidden="1">
      <c r="A484" s="4" t="s">
        <v>21</v>
      </c>
    </row>
    <row r="485" spans="1:1" hidden="1">
      <c r="A485" s="4" t="s">
        <v>6</v>
      </c>
    </row>
    <row r="486" spans="1:1" hidden="1">
      <c r="A486" s="4" t="s">
        <v>19</v>
      </c>
    </row>
    <row r="487" spans="1:1" hidden="1">
      <c r="A487" s="3" t="s">
        <v>15</v>
      </c>
    </row>
    <row r="488" spans="1:1" hidden="1">
      <c r="A488" s="4" t="s">
        <v>14</v>
      </c>
    </row>
    <row r="489" spans="1:1" hidden="1">
      <c r="A489" s="3" t="s">
        <v>6</v>
      </c>
    </row>
    <row r="490" spans="1:1" hidden="1">
      <c r="A490" s="4" t="s">
        <v>21</v>
      </c>
    </row>
    <row r="491" spans="1:1" hidden="1">
      <c r="A491" s="4" t="s">
        <v>18</v>
      </c>
    </row>
    <row r="492" spans="1:1" hidden="1">
      <c r="A492" s="3" t="s">
        <v>3</v>
      </c>
    </row>
    <row r="493" spans="1:1" hidden="1">
      <c r="A493" s="4" t="s">
        <v>8</v>
      </c>
    </row>
    <row r="494" spans="1:1" hidden="1">
      <c r="A494" s="4" t="s">
        <v>14</v>
      </c>
    </row>
    <row r="495" spans="1:1" hidden="1">
      <c r="A495" s="4" t="s">
        <v>29</v>
      </c>
    </row>
    <row r="496" spans="1:1" hidden="1">
      <c r="A496" s="3" t="s">
        <v>5</v>
      </c>
    </row>
    <row r="497" spans="1:1" hidden="1">
      <c r="A497" s="4" t="s">
        <v>6</v>
      </c>
    </row>
    <row r="498" spans="1:1" hidden="1">
      <c r="A498" s="3" t="s">
        <v>18</v>
      </c>
    </row>
    <row r="499" spans="1:1" hidden="1">
      <c r="A499" s="3" t="s">
        <v>18</v>
      </c>
    </row>
    <row r="500" spans="1:1" hidden="1">
      <c r="A500" s="4" t="s">
        <v>14</v>
      </c>
    </row>
    <row r="501" spans="1:1" hidden="1">
      <c r="A501" s="4" t="s">
        <v>14</v>
      </c>
    </row>
    <row r="502" spans="1:1" hidden="1">
      <c r="A502" s="4" t="s">
        <v>21</v>
      </c>
    </row>
    <row r="503" spans="1:1" hidden="1">
      <c r="A503" s="4" t="s">
        <v>9</v>
      </c>
    </row>
    <row r="504" spans="1:1" hidden="1">
      <c r="A504" s="4" t="s">
        <v>21</v>
      </c>
    </row>
    <row r="505" spans="1:1" hidden="1">
      <c r="A505" s="4" t="s">
        <v>14</v>
      </c>
    </row>
    <row r="506" spans="1:1" hidden="1">
      <c r="A506" s="3" t="s">
        <v>18</v>
      </c>
    </row>
    <row r="507" spans="1:1" hidden="1">
      <c r="A507" s="4" t="s">
        <v>18</v>
      </c>
    </row>
    <row r="508" spans="1:1" hidden="1">
      <c r="A508" s="4" t="s">
        <v>7</v>
      </c>
    </row>
    <row r="509" spans="1:1" hidden="1">
      <c r="A509" s="3" t="s">
        <v>26</v>
      </c>
    </row>
    <row r="510" spans="1:1" hidden="1">
      <c r="A510" s="3" t="s">
        <v>6</v>
      </c>
    </row>
    <row r="511" spans="1:1" hidden="1">
      <c r="A511" s="4" t="s">
        <v>29</v>
      </c>
    </row>
    <row r="512" spans="1:1" hidden="1">
      <c r="A512" s="4" t="s">
        <v>26</v>
      </c>
    </row>
    <row r="513" spans="1:1" hidden="1">
      <c r="A513" s="4" t="s">
        <v>17</v>
      </c>
    </row>
    <row r="514" spans="1:1" hidden="1">
      <c r="A514" s="3" t="s">
        <v>5</v>
      </c>
    </row>
    <row r="515" spans="1:1" hidden="1">
      <c r="A515" s="4" t="s">
        <v>22</v>
      </c>
    </row>
    <row r="516" spans="1:1" hidden="1">
      <c r="A516" s="4" t="s">
        <v>29</v>
      </c>
    </row>
    <row r="517" spans="1:1" hidden="1">
      <c r="A517" s="3" t="s">
        <v>18</v>
      </c>
    </row>
    <row r="518" spans="1:1" hidden="1">
      <c r="A518" s="4" t="s">
        <v>8</v>
      </c>
    </row>
    <row r="519" spans="1:1" hidden="1">
      <c r="A519" s="4" t="s">
        <v>14</v>
      </c>
    </row>
    <row r="520" spans="1:1" hidden="1">
      <c r="A520" s="4" t="s">
        <v>14</v>
      </c>
    </row>
    <row r="521" spans="1:1" hidden="1">
      <c r="A521" s="4" t="s">
        <v>17</v>
      </c>
    </row>
    <row r="522" spans="1:1" hidden="1">
      <c r="A522" s="4" t="s">
        <v>14</v>
      </c>
    </row>
    <row r="523" spans="1:1" hidden="1">
      <c r="A523" s="4" t="s">
        <v>21</v>
      </c>
    </row>
    <row r="524" spans="1:1" hidden="1">
      <c r="A524" s="3" t="s">
        <v>22</v>
      </c>
    </row>
    <row r="525" spans="1:1" hidden="1">
      <c r="A525" s="3" t="s">
        <v>6</v>
      </c>
    </row>
    <row r="526" spans="1:1" hidden="1">
      <c r="A526" s="4" t="s">
        <v>6</v>
      </c>
    </row>
    <row r="527" spans="1:1" hidden="1">
      <c r="A527" s="4" t="s">
        <v>6</v>
      </c>
    </row>
    <row r="528" spans="1:1" hidden="1">
      <c r="A528" s="4" t="s">
        <v>14</v>
      </c>
    </row>
    <row r="529" spans="1:1" hidden="1">
      <c r="A529" s="4" t="s">
        <v>14</v>
      </c>
    </row>
    <row r="530" spans="1:1" hidden="1">
      <c r="A530" s="4" t="s">
        <v>20</v>
      </c>
    </row>
    <row r="531" spans="1:1" hidden="1">
      <c r="A531" s="4" t="s">
        <v>6</v>
      </c>
    </row>
    <row r="532" spans="1:1" hidden="1">
      <c r="A532" s="4" t="s">
        <v>25</v>
      </c>
    </row>
    <row r="533" spans="1:1" hidden="1">
      <c r="A533" s="4" t="s">
        <v>14</v>
      </c>
    </row>
    <row r="534" spans="1:1" hidden="1">
      <c r="A534" s="4" t="s">
        <v>7</v>
      </c>
    </row>
    <row r="535" spans="1:1" hidden="1">
      <c r="A535" s="4" t="s">
        <v>13</v>
      </c>
    </row>
    <row r="536" spans="1:1" hidden="1">
      <c r="A536" s="4" t="s">
        <v>14</v>
      </c>
    </row>
    <row r="537" spans="1:1" hidden="1">
      <c r="A537" s="4" t="s">
        <v>22</v>
      </c>
    </row>
    <row r="538" spans="1:1" hidden="1">
      <c r="A538" s="4" t="s">
        <v>22</v>
      </c>
    </row>
    <row r="539" spans="1:1" hidden="1">
      <c r="A539" s="3" t="s">
        <v>18</v>
      </c>
    </row>
    <row r="540" spans="1:1" hidden="1">
      <c r="A540" s="4" t="s">
        <v>19</v>
      </c>
    </row>
    <row r="541" spans="1:1" hidden="1">
      <c r="A541" s="4" t="s">
        <v>12</v>
      </c>
    </row>
    <row r="542" spans="1:1" hidden="1">
      <c r="A542" s="4" t="s">
        <v>14</v>
      </c>
    </row>
    <row r="543" spans="1:1" hidden="1">
      <c r="A543" s="3" t="s">
        <v>12</v>
      </c>
    </row>
    <row r="544" spans="1:1" hidden="1">
      <c r="A544" s="4" t="s">
        <v>27</v>
      </c>
    </row>
    <row r="545" spans="1:1" hidden="1">
      <c r="A545" s="3" t="s">
        <v>18</v>
      </c>
    </row>
    <row r="546" spans="1:1" hidden="1">
      <c r="A546" s="4" t="s">
        <v>6</v>
      </c>
    </row>
    <row r="547" spans="1:1" hidden="1">
      <c r="A547" s="4" t="s">
        <v>14</v>
      </c>
    </row>
    <row r="548" spans="1:1" hidden="1">
      <c r="A548" s="3" t="s">
        <v>18</v>
      </c>
    </row>
    <row r="549" spans="1:1" hidden="1">
      <c r="A549" s="4" t="s">
        <v>12</v>
      </c>
    </row>
    <row r="550" spans="1:1" hidden="1">
      <c r="A550" s="3" t="s">
        <v>6</v>
      </c>
    </row>
    <row r="551" spans="1:1" hidden="1">
      <c r="A551" s="4" t="s">
        <v>14</v>
      </c>
    </row>
    <row r="552" spans="1:1" hidden="1">
      <c r="A552" s="4" t="s">
        <v>29</v>
      </c>
    </row>
    <row r="553" spans="1:1" hidden="1">
      <c r="A553" s="4" t="s">
        <v>19</v>
      </c>
    </row>
    <row r="554" spans="1:1" hidden="1">
      <c r="A554" s="4" t="s">
        <v>22</v>
      </c>
    </row>
    <row r="555" spans="1:1" hidden="1">
      <c r="A555" s="4" t="s">
        <v>16</v>
      </c>
    </row>
    <row r="556" spans="1:1" hidden="1">
      <c r="A556" s="4" t="s">
        <v>22</v>
      </c>
    </row>
    <row r="557" spans="1:1" hidden="1">
      <c r="A557" s="3" t="s">
        <v>21</v>
      </c>
    </row>
    <row r="558" spans="1:1" hidden="1">
      <c r="A558" s="3" t="s">
        <v>21</v>
      </c>
    </row>
    <row r="559" spans="1:1" hidden="1">
      <c r="A559" s="3" t="s">
        <v>29</v>
      </c>
    </row>
    <row r="560" spans="1:1" hidden="1">
      <c r="A560" s="3">
        <f>I560</f>
        <v>0</v>
      </c>
    </row>
    <row r="561" spans="1:1" hidden="1">
      <c r="A561" s="4" t="s">
        <v>4</v>
      </c>
    </row>
    <row r="562" spans="1:1" hidden="1">
      <c r="A562" s="4" t="s">
        <v>16</v>
      </c>
    </row>
    <row r="563" spans="1:1" hidden="1">
      <c r="A563" s="4" t="s">
        <v>6</v>
      </c>
    </row>
    <row r="564" spans="1:1" hidden="1">
      <c r="A564" s="4" t="s">
        <v>12</v>
      </c>
    </row>
    <row r="565" spans="1:1" hidden="1">
      <c r="A565" s="4" t="s">
        <v>25</v>
      </c>
    </row>
    <row r="566" spans="1:1" hidden="1">
      <c r="A566" s="4" t="s">
        <v>6</v>
      </c>
    </row>
    <row r="567" spans="1:1" hidden="1">
      <c r="A567" s="4" t="s">
        <v>14</v>
      </c>
    </row>
    <row r="568" spans="1:1" hidden="1">
      <c r="A568" s="4" t="s">
        <v>9</v>
      </c>
    </row>
    <row r="569" spans="1:1" hidden="1">
      <c r="A569" s="4" t="s">
        <v>21</v>
      </c>
    </row>
    <row r="570" spans="1:1" hidden="1">
      <c r="A570" s="4" t="s">
        <v>26</v>
      </c>
    </row>
    <row r="571" spans="1:1" hidden="1">
      <c r="A571" s="4" t="s">
        <v>6</v>
      </c>
    </row>
    <row r="572" spans="1:1" hidden="1">
      <c r="A572" s="4" t="s">
        <v>22</v>
      </c>
    </row>
    <row r="573" spans="1:1" hidden="1">
      <c r="A573" s="3" t="s">
        <v>29</v>
      </c>
    </row>
    <row r="574" spans="1:1" hidden="1">
      <c r="A574" s="4" t="s">
        <v>22</v>
      </c>
    </row>
    <row r="575" spans="1:1" hidden="1">
      <c r="A575" s="4" t="s">
        <v>14</v>
      </c>
    </row>
    <row r="576" spans="1:1" hidden="1">
      <c r="A576" s="4" t="s">
        <v>19</v>
      </c>
    </row>
    <row r="577" spans="1:1" hidden="1">
      <c r="A577" s="4" t="s">
        <v>14</v>
      </c>
    </row>
    <row r="578" spans="1:1" hidden="1">
      <c r="A578" s="4" t="s">
        <v>16</v>
      </c>
    </row>
    <row r="579" spans="1:1" hidden="1">
      <c r="A579" s="4" t="s">
        <v>22</v>
      </c>
    </row>
    <row r="580" spans="1:1" hidden="1">
      <c r="A580" s="4" t="s">
        <v>16</v>
      </c>
    </row>
    <row r="581" spans="1:1" hidden="1">
      <c r="A581" s="4" t="s">
        <v>14</v>
      </c>
    </row>
    <row r="582" spans="1:1" hidden="1">
      <c r="A582" s="4" t="s">
        <v>16</v>
      </c>
    </row>
    <row r="583" spans="1:1" hidden="1">
      <c r="A583" s="4" t="s">
        <v>22</v>
      </c>
    </row>
    <row r="584" spans="1:1" hidden="1">
      <c r="A584" s="4" t="s">
        <v>25</v>
      </c>
    </row>
    <row r="585" spans="1:1" hidden="1">
      <c r="A585" s="4" t="s">
        <v>16</v>
      </c>
    </row>
    <row r="586" spans="1:1" hidden="1">
      <c r="A586" s="4" t="s">
        <v>6</v>
      </c>
    </row>
    <row r="587" spans="1:1" hidden="1">
      <c r="A587" s="3" t="s">
        <v>17</v>
      </c>
    </row>
    <row r="588" spans="1:1" hidden="1">
      <c r="A588" s="4" t="s">
        <v>20</v>
      </c>
    </row>
    <row r="589" spans="1:1" hidden="1">
      <c r="A589" s="4" t="s">
        <v>29</v>
      </c>
    </row>
    <row r="590" spans="1:1" hidden="1">
      <c r="A590" s="4" t="s">
        <v>9</v>
      </c>
    </row>
    <row r="591" spans="1:1" hidden="1">
      <c r="A591" s="4" t="s">
        <v>22</v>
      </c>
    </row>
    <row r="592" spans="1:1" hidden="1">
      <c r="A592" s="4" t="s">
        <v>15</v>
      </c>
    </row>
    <row r="593" spans="1:2">
      <c r="A593" s="4" t="s">
        <v>42</v>
      </c>
      <c r="B593" t="e">
        <f>VLOOKUP(A593,#REF!,6,FALSE)</f>
        <v>#REF!</v>
      </c>
    </row>
    <row r="594" spans="1:2" hidden="1">
      <c r="A594" s="4" t="s">
        <v>18</v>
      </c>
    </row>
    <row r="595" spans="1:2" hidden="1">
      <c r="A595" s="4" t="s">
        <v>42</v>
      </c>
    </row>
    <row r="596" spans="1:2" hidden="1">
      <c r="A596" s="4" t="s">
        <v>14</v>
      </c>
    </row>
    <row r="597" spans="1:2" hidden="1">
      <c r="A597" s="3" t="s">
        <v>26</v>
      </c>
    </row>
    <row r="598" spans="1:2" hidden="1">
      <c r="A598" s="3" t="s">
        <v>18</v>
      </c>
    </row>
    <row r="599" spans="1:2" hidden="1">
      <c r="A599" s="3" t="s">
        <v>18</v>
      </c>
    </row>
    <row r="600" spans="1:2" hidden="1">
      <c r="A600" s="4" t="s">
        <v>26</v>
      </c>
    </row>
    <row r="601" spans="1:2" hidden="1">
      <c r="A601" s="3" t="s">
        <v>18</v>
      </c>
    </row>
    <row r="602" spans="1:2" hidden="1">
      <c r="A602" s="4" t="s">
        <v>14</v>
      </c>
    </row>
    <row r="603" spans="1:2" hidden="1">
      <c r="A603" s="4" t="s">
        <v>14</v>
      </c>
    </row>
    <row r="604" spans="1:2" hidden="1">
      <c r="A604" s="4" t="s">
        <v>6</v>
      </c>
    </row>
    <row r="605" spans="1:2" hidden="1">
      <c r="A605" s="4" t="s">
        <v>14</v>
      </c>
    </row>
    <row r="606" spans="1:2" hidden="1">
      <c r="A606" s="4" t="s">
        <v>14</v>
      </c>
    </row>
    <row r="607" spans="1:2" hidden="1">
      <c r="A607" s="4" t="s">
        <v>7</v>
      </c>
    </row>
    <row r="608" spans="1:2" hidden="1">
      <c r="A608" s="3" t="s">
        <v>18</v>
      </c>
    </row>
    <row r="609" spans="1:1" hidden="1">
      <c r="A609" s="4" t="s">
        <v>7</v>
      </c>
    </row>
    <row r="610" spans="1:1" hidden="1">
      <c r="A610" s="4" t="s">
        <v>19</v>
      </c>
    </row>
    <row r="611" spans="1:1" hidden="1">
      <c r="A611" s="4" t="s">
        <v>19</v>
      </c>
    </row>
    <row r="612" spans="1:1" hidden="1">
      <c r="A612" s="3">
        <f>I612</f>
        <v>0</v>
      </c>
    </row>
    <row r="613" spans="1:1" hidden="1">
      <c r="A613" s="3" t="s">
        <v>33</v>
      </c>
    </row>
    <row r="614" spans="1:1" hidden="1">
      <c r="A614" s="3" t="s">
        <v>16</v>
      </c>
    </row>
    <row r="615" spans="1:1" hidden="1">
      <c r="A615" s="3" t="s">
        <v>16</v>
      </c>
    </row>
    <row r="616" spans="1:1" hidden="1">
      <c r="A616" s="3" t="s">
        <v>16</v>
      </c>
    </row>
    <row r="617" spans="1:1" hidden="1">
      <c r="A617" s="3" t="s">
        <v>16</v>
      </c>
    </row>
    <row r="618" spans="1:1" hidden="1">
      <c r="A618" s="3" t="s">
        <v>16</v>
      </c>
    </row>
    <row r="619" spans="1:1" hidden="1">
      <c r="A619" s="4" t="s">
        <v>21</v>
      </c>
    </row>
    <row r="620" spans="1:1" hidden="1">
      <c r="A620" s="4" t="s">
        <v>7</v>
      </c>
    </row>
    <row r="621" spans="1:1" hidden="1">
      <c r="A621" s="4" t="s">
        <v>21</v>
      </c>
    </row>
    <row r="622" spans="1:1" hidden="1">
      <c r="A622" s="4" t="s">
        <v>19</v>
      </c>
    </row>
    <row r="623" spans="1:1" hidden="1">
      <c r="A623" s="4" t="s">
        <v>19</v>
      </c>
    </row>
    <row r="624" spans="1:1" hidden="1">
      <c r="A624" s="4" t="s">
        <v>9</v>
      </c>
    </row>
    <row r="625" spans="1:1" hidden="1">
      <c r="A625" s="4" t="s">
        <v>6</v>
      </c>
    </row>
    <row r="626" spans="1:1" hidden="1">
      <c r="A626" s="4" t="s">
        <v>20</v>
      </c>
    </row>
    <row r="627" spans="1:1" hidden="1">
      <c r="A627" s="3" t="s">
        <v>22</v>
      </c>
    </row>
    <row r="628" spans="1:1" hidden="1">
      <c r="A628" s="3" t="s">
        <v>29</v>
      </c>
    </row>
    <row r="629" spans="1:1" hidden="1">
      <c r="A629" s="4" t="s">
        <v>6</v>
      </c>
    </row>
    <row r="630" spans="1:1" hidden="1">
      <c r="A630" s="3" t="s">
        <v>29</v>
      </c>
    </row>
    <row r="631" spans="1:1" hidden="1">
      <c r="A631" s="4" t="s">
        <v>12</v>
      </c>
    </row>
    <row r="632" spans="1:1" hidden="1">
      <c r="A632" s="4" t="s">
        <v>9</v>
      </c>
    </row>
    <row r="633" spans="1:1" hidden="1">
      <c r="A633" s="4" t="s">
        <v>6</v>
      </c>
    </row>
    <row r="634" spans="1:1" hidden="1">
      <c r="A634" s="4" t="s">
        <v>9</v>
      </c>
    </row>
    <row r="635" spans="1:1" hidden="1">
      <c r="A635" s="4" t="s">
        <v>21</v>
      </c>
    </row>
    <row r="636" spans="1:1" hidden="1">
      <c r="A636" s="4" t="s">
        <v>14</v>
      </c>
    </row>
    <row r="637" spans="1:1" hidden="1">
      <c r="A637" s="4" t="s">
        <v>21</v>
      </c>
    </row>
    <row r="638" spans="1:1" hidden="1">
      <c r="A638" s="4" t="s">
        <v>18</v>
      </c>
    </row>
    <row r="639" spans="1:1" hidden="1">
      <c r="A639" s="4" t="s">
        <v>7</v>
      </c>
    </row>
    <row r="640" spans="1:1" hidden="1">
      <c r="A640" s="4" t="s">
        <v>7</v>
      </c>
    </row>
    <row r="641" spans="1:1" hidden="1">
      <c r="A641" s="4" t="s">
        <v>16</v>
      </c>
    </row>
    <row r="642" spans="1:1" hidden="1">
      <c r="A642" s="4" t="s">
        <v>12</v>
      </c>
    </row>
    <row r="643" spans="1:1" hidden="1">
      <c r="A643" s="4" t="s">
        <v>29</v>
      </c>
    </row>
    <row r="644" spans="1:1" hidden="1">
      <c r="A644" s="4" t="s">
        <v>29</v>
      </c>
    </row>
    <row r="645" spans="1:1" hidden="1">
      <c r="A645" s="4" t="s">
        <v>29</v>
      </c>
    </row>
    <row r="646" spans="1:1" hidden="1">
      <c r="A646" s="4" t="s">
        <v>29</v>
      </c>
    </row>
    <row r="647" spans="1:1" hidden="1">
      <c r="A647" s="4" t="s">
        <v>29</v>
      </c>
    </row>
    <row r="648" spans="1:1" hidden="1">
      <c r="A648" s="4" t="s">
        <v>29</v>
      </c>
    </row>
    <row r="649" spans="1:1" hidden="1">
      <c r="A649" s="4" t="s">
        <v>29</v>
      </c>
    </row>
    <row r="650" spans="1:1" hidden="1">
      <c r="A650" s="4" t="s">
        <v>29</v>
      </c>
    </row>
    <row r="651" spans="1:1" hidden="1">
      <c r="A651" s="4" t="s">
        <v>29</v>
      </c>
    </row>
    <row r="652" spans="1:1" hidden="1">
      <c r="A652" s="4" t="s">
        <v>29</v>
      </c>
    </row>
    <row r="653" spans="1:1" hidden="1">
      <c r="A653" s="4" t="s">
        <v>29</v>
      </c>
    </row>
    <row r="654" spans="1:1" hidden="1">
      <c r="A654" s="4" t="s">
        <v>29</v>
      </c>
    </row>
    <row r="655" spans="1:1" hidden="1">
      <c r="A655" s="4" t="s">
        <v>29</v>
      </c>
    </row>
    <row r="656" spans="1:1" hidden="1">
      <c r="A656" s="4" t="s">
        <v>29</v>
      </c>
    </row>
    <row r="657" spans="1:1" hidden="1">
      <c r="A657" s="4" t="s">
        <v>21</v>
      </c>
    </row>
    <row r="658" spans="1:1" hidden="1">
      <c r="A658" s="3" t="s">
        <v>29</v>
      </c>
    </row>
    <row r="659" spans="1:1" hidden="1">
      <c r="A659" s="3" t="s">
        <v>18</v>
      </c>
    </row>
    <row r="660" spans="1:1" hidden="1">
      <c r="A660" s="4" t="s">
        <v>29</v>
      </c>
    </row>
    <row r="661" spans="1:1" hidden="1">
      <c r="A661" s="4" t="s">
        <v>13</v>
      </c>
    </row>
    <row r="662" spans="1:1" hidden="1">
      <c r="A662" s="4" t="s">
        <v>7</v>
      </c>
    </row>
    <row r="663" spans="1:1" hidden="1">
      <c r="A663" s="4" t="s">
        <v>17</v>
      </c>
    </row>
    <row r="664" spans="1:1" hidden="1">
      <c r="A664" s="3" t="s">
        <v>42</v>
      </c>
    </row>
    <row r="665" spans="1:1" hidden="1">
      <c r="A665" s="4" t="s">
        <v>6</v>
      </c>
    </row>
    <row r="666" spans="1:1" hidden="1">
      <c r="A666" s="3" t="s">
        <v>22</v>
      </c>
    </row>
    <row r="667" spans="1:1" hidden="1">
      <c r="A667" s="4" t="s">
        <v>7</v>
      </c>
    </row>
    <row r="668" spans="1:1" hidden="1">
      <c r="A668" s="4" t="s">
        <v>12</v>
      </c>
    </row>
    <row r="669" spans="1:1" hidden="1">
      <c r="A669" s="4" t="s">
        <v>25</v>
      </c>
    </row>
    <row r="670" spans="1:1" hidden="1">
      <c r="A670" s="4" t="s">
        <v>29</v>
      </c>
    </row>
    <row r="671" spans="1:1" hidden="1">
      <c r="A671" s="3" t="s">
        <v>29</v>
      </c>
    </row>
    <row r="672" spans="1:1" hidden="1">
      <c r="A672" s="3" t="s">
        <v>28</v>
      </c>
    </row>
    <row r="673" spans="1:2" hidden="1">
      <c r="A673" s="4" t="s">
        <v>21</v>
      </c>
    </row>
    <row r="674" spans="1:2" hidden="1">
      <c r="A674" s="4" t="s">
        <v>6</v>
      </c>
    </row>
    <row r="675" spans="1:2" hidden="1">
      <c r="A675" s="4" t="s">
        <v>12</v>
      </c>
    </row>
    <row r="676" spans="1:2" hidden="1">
      <c r="A676" s="4" t="s">
        <v>12</v>
      </c>
    </row>
    <row r="677" spans="1:2" hidden="1">
      <c r="A677" s="4" t="s">
        <v>21</v>
      </c>
    </row>
    <row r="678" spans="1:2" hidden="1">
      <c r="A678" s="4" t="s">
        <v>16</v>
      </c>
    </row>
    <row r="679" spans="1:2" hidden="1">
      <c r="A679" s="3" t="s">
        <v>26</v>
      </c>
    </row>
    <row r="680" spans="1:2" hidden="1">
      <c r="A680" s="3" t="s">
        <v>26</v>
      </c>
    </row>
    <row r="681" spans="1:2" hidden="1">
      <c r="A681" s="4" t="s">
        <v>6</v>
      </c>
    </row>
    <row r="682" spans="1:2" hidden="1">
      <c r="A682" s="4" t="s">
        <v>13</v>
      </c>
    </row>
    <row r="683" spans="1:2" hidden="1">
      <c r="A683" s="4" t="s">
        <v>6</v>
      </c>
    </row>
    <row r="684" spans="1:2" hidden="1">
      <c r="A684" s="4" t="s">
        <v>21</v>
      </c>
    </row>
    <row r="685" spans="1:2">
      <c r="A685" s="3" t="s">
        <v>41</v>
      </c>
      <c r="B685" t="e">
        <f>VLOOKUP(A685,#REF!,6,FALSE)</f>
        <v>#REF!</v>
      </c>
    </row>
    <row r="686" spans="1:2" hidden="1">
      <c r="A686" s="3" t="s">
        <v>41</v>
      </c>
    </row>
    <row r="687" spans="1:2" hidden="1">
      <c r="A687" s="4" t="s">
        <v>21</v>
      </c>
    </row>
    <row r="688" spans="1:2" hidden="1">
      <c r="A688" s="3" t="s">
        <v>41</v>
      </c>
    </row>
    <row r="689" spans="1:2" hidden="1">
      <c r="A689" s="4" t="s">
        <v>9</v>
      </c>
    </row>
    <row r="690" spans="1:2" hidden="1">
      <c r="A690" s="4" t="s">
        <v>22</v>
      </c>
    </row>
    <row r="691" spans="1:2" hidden="1">
      <c r="A691" s="4" t="s">
        <v>7</v>
      </c>
    </row>
    <row r="692" spans="1:2" hidden="1">
      <c r="A692" s="4" t="s">
        <v>9</v>
      </c>
    </row>
    <row r="693" spans="1:2" hidden="1">
      <c r="A693" s="4" t="s">
        <v>22</v>
      </c>
    </row>
    <row r="694" spans="1:2" hidden="1">
      <c r="A694" s="3">
        <f>I694</f>
        <v>0</v>
      </c>
    </row>
    <row r="695" spans="1:2" hidden="1">
      <c r="A695" s="4" t="s">
        <v>41</v>
      </c>
    </row>
    <row r="696" spans="1:2" hidden="1">
      <c r="A696" s="4" t="s">
        <v>22</v>
      </c>
    </row>
    <row r="697" spans="1:2">
      <c r="A697" s="3" t="s">
        <v>17</v>
      </c>
      <c r="B697" t="e">
        <f>VLOOKUP(A697,#REF!,6,FALSE)</f>
        <v>#REF!</v>
      </c>
    </row>
    <row r="698" spans="1:2">
      <c r="A698" s="3" t="s">
        <v>15</v>
      </c>
      <c r="B698" t="e">
        <f>VLOOKUP(A698,#REF!,6,FALSE)</f>
        <v>#REF!</v>
      </c>
    </row>
    <row r="699" spans="1:2" hidden="1">
      <c r="A699" s="4" t="s">
        <v>22</v>
      </c>
    </row>
    <row r="700" spans="1:2" hidden="1">
      <c r="A700" s="4" t="s">
        <v>6</v>
      </c>
    </row>
    <row r="701" spans="1:2" hidden="1">
      <c r="A701" s="4" t="s">
        <v>6</v>
      </c>
    </row>
    <row r="702" spans="1:2">
      <c r="A702" s="3" t="s">
        <v>25</v>
      </c>
      <c r="B702" t="e">
        <f>VLOOKUP(A702,#REF!,6,FALSE)</f>
        <v>#REF!</v>
      </c>
    </row>
    <row r="703" spans="1:2" hidden="1">
      <c r="A703" s="4" t="s">
        <v>3</v>
      </c>
    </row>
    <row r="704" spans="1:2" hidden="1">
      <c r="A704" s="4" t="s">
        <v>21</v>
      </c>
    </row>
    <row r="705" spans="1:1" hidden="1">
      <c r="A705" s="4" t="s">
        <v>22</v>
      </c>
    </row>
    <row r="706" spans="1:1" hidden="1">
      <c r="A706" s="4" t="s">
        <v>3</v>
      </c>
    </row>
    <row r="707" spans="1:1" hidden="1">
      <c r="A707" s="4" t="s">
        <v>9</v>
      </c>
    </row>
    <row r="708" spans="1:1" hidden="1">
      <c r="A708" s="4" t="s">
        <v>22</v>
      </c>
    </row>
    <row r="709" spans="1:1" hidden="1">
      <c r="A709" s="3" t="s">
        <v>15</v>
      </c>
    </row>
    <row r="710" spans="1:1" hidden="1">
      <c r="A710" s="3">
        <f>I710</f>
        <v>0</v>
      </c>
    </row>
    <row r="711" spans="1:1" hidden="1">
      <c r="A711" s="4" t="s">
        <v>41</v>
      </c>
    </row>
    <row r="712" spans="1:1" hidden="1">
      <c r="A712" s="3">
        <f>I712</f>
        <v>0</v>
      </c>
    </row>
    <row r="713" spans="1:1" hidden="1">
      <c r="A713" s="3" t="s">
        <v>49</v>
      </c>
    </row>
    <row r="714" spans="1:1" hidden="1">
      <c r="A714" s="4" t="s">
        <v>52</v>
      </c>
    </row>
    <row r="715" spans="1:1" hidden="1">
      <c r="A715" s="4" t="s">
        <v>197</v>
      </c>
    </row>
    <row r="716" spans="1:1" hidden="1">
      <c r="A716" s="3" t="s">
        <v>49</v>
      </c>
    </row>
    <row r="717" spans="1:1" hidden="1">
      <c r="A717" s="4" t="s">
        <v>197</v>
      </c>
    </row>
    <row r="718" spans="1:1" hidden="1">
      <c r="A718" s="3" t="s">
        <v>49</v>
      </c>
    </row>
    <row r="719" spans="1:1" hidden="1">
      <c r="A719" s="4" t="s">
        <v>197</v>
      </c>
    </row>
    <row r="720" spans="1:1" hidden="1">
      <c r="A720" s="4" t="s">
        <v>52</v>
      </c>
    </row>
    <row r="721" spans="1:1" hidden="1">
      <c r="A721" s="3" t="s">
        <v>49</v>
      </c>
    </row>
    <row r="722" spans="1:1" hidden="1">
      <c r="A722" s="4" t="s">
        <v>50</v>
      </c>
    </row>
    <row r="723" spans="1:1" hidden="1">
      <c r="A723" s="3">
        <f>I723</f>
        <v>0</v>
      </c>
    </row>
    <row r="724" spans="1:1" hidden="1">
      <c r="A724" s="4" t="s">
        <v>42</v>
      </c>
    </row>
    <row r="725" spans="1:1" hidden="1">
      <c r="A725" s="4" t="s">
        <v>22</v>
      </c>
    </row>
    <row r="726" spans="1:1" hidden="1">
      <c r="A726" s="3" t="s">
        <v>15</v>
      </c>
    </row>
    <row r="727" spans="1:1" hidden="1">
      <c r="A727" s="4" t="s">
        <v>7</v>
      </c>
    </row>
    <row r="728" spans="1:1" hidden="1">
      <c r="A728" s="4" t="s">
        <v>6</v>
      </c>
    </row>
    <row r="729" spans="1:1" hidden="1">
      <c r="A729" s="4" t="s">
        <v>22</v>
      </c>
    </row>
    <row r="730" spans="1:1" hidden="1">
      <c r="A730" s="4" t="s">
        <v>29</v>
      </c>
    </row>
    <row r="731" spans="1:1" hidden="1">
      <c r="A731" s="4" t="s">
        <v>29</v>
      </c>
    </row>
    <row r="732" spans="1:1" hidden="1">
      <c r="A732" s="4" t="s">
        <v>9</v>
      </c>
    </row>
    <row r="733" spans="1:1" hidden="1">
      <c r="A733" s="4" t="s">
        <v>21</v>
      </c>
    </row>
    <row r="734" spans="1:1" hidden="1">
      <c r="A734" s="4" t="s">
        <v>9</v>
      </c>
    </row>
    <row r="735" spans="1:1" hidden="1">
      <c r="A735" s="4" t="s">
        <v>9</v>
      </c>
    </row>
    <row r="736" spans="1:1" hidden="1">
      <c r="A736" s="3" t="s">
        <v>25</v>
      </c>
    </row>
    <row r="737" spans="1:1" hidden="1">
      <c r="A737" s="3" t="s">
        <v>25</v>
      </c>
    </row>
    <row r="738" spans="1:1" hidden="1">
      <c r="A738" s="4" t="s">
        <v>7</v>
      </c>
    </row>
    <row r="739" spans="1:1" hidden="1">
      <c r="A739" s="4" t="s">
        <v>6</v>
      </c>
    </row>
    <row r="740" spans="1:1" hidden="1">
      <c r="A740" s="4" t="s">
        <v>21</v>
      </c>
    </row>
    <row r="741" spans="1:1" hidden="1">
      <c r="A741" s="4" t="s">
        <v>9</v>
      </c>
    </row>
    <row r="742" spans="1:1" hidden="1">
      <c r="A742" s="4" t="s">
        <v>29</v>
      </c>
    </row>
    <row r="743" spans="1:1" hidden="1">
      <c r="A743" s="3" t="s">
        <v>25</v>
      </c>
    </row>
    <row r="744" spans="1:1" hidden="1">
      <c r="A744" s="4" t="s">
        <v>21</v>
      </c>
    </row>
    <row r="745" spans="1:1" hidden="1">
      <c r="A745" s="4" t="s">
        <v>29</v>
      </c>
    </row>
    <row r="746" spans="1:1" hidden="1">
      <c r="A746" s="4" t="s">
        <v>9</v>
      </c>
    </row>
    <row r="747" spans="1:1" hidden="1">
      <c r="A747" s="4" t="s">
        <v>29</v>
      </c>
    </row>
    <row r="748" spans="1:1" hidden="1">
      <c r="A748" s="4" t="s">
        <v>6</v>
      </c>
    </row>
    <row r="749" spans="1:1" hidden="1">
      <c r="A749" s="4" t="s">
        <v>29</v>
      </c>
    </row>
    <row r="750" spans="1:1" hidden="1">
      <c r="A750" s="4" t="s">
        <v>6</v>
      </c>
    </row>
    <row r="751" spans="1:1" hidden="1">
      <c r="A751" s="4" t="s">
        <v>22</v>
      </c>
    </row>
    <row r="752" spans="1:1" hidden="1">
      <c r="A752" s="3" t="s">
        <v>25</v>
      </c>
    </row>
    <row r="753" spans="1:1" hidden="1">
      <c r="A753" s="3" t="s">
        <v>25</v>
      </c>
    </row>
    <row r="754" spans="1:1" hidden="1">
      <c r="A754" s="3" t="s">
        <v>16</v>
      </c>
    </row>
    <row r="755" spans="1:1" hidden="1">
      <c r="A755" s="4" t="s">
        <v>9</v>
      </c>
    </row>
    <row r="756" spans="1:1" hidden="1">
      <c r="A756" s="4" t="s">
        <v>9</v>
      </c>
    </row>
    <row r="757" spans="1:1" hidden="1">
      <c r="A757" s="4" t="s">
        <v>9</v>
      </c>
    </row>
    <row r="758" spans="1:1" hidden="1">
      <c r="A758" s="4" t="s">
        <v>9</v>
      </c>
    </row>
    <row r="759" spans="1:1" hidden="1">
      <c r="A759" s="3" t="s">
        <v>16</v>
      </c>
    </row>
    <row r="760" spans="1:1" hidden="1">
      <c r="A760" s="3" t="s">
        <v>25</v>
      </c>
    </row>
    <row r="761" spans="1:1" hidden="1">
      <c r="A761" s="4" t="s">
        <v>7</v>
      </c>
    </row>
    <row r="762" spans="1:1" hidden="1">
      <c r="A762" s="3" t="s">
        <v>25</v>
      </c>
    </row>
    <row r="763" spans="1:1" hidden="1">
      <c r="A763" s="4" t="s">
        <v>9</v>
      </c>
    </row>
    <row r="764" spans="1:1" hidden="1">
      <c r="A764" s="4" t="s">
        <v>9</v>
      </c>
    </row>
    <row r="765" spans="1:1" hidden="1">
      <c r="A765" s="4" t="s">
        <v>9</v>
      </c>
    </row>
    <row r="766" spans="1:1" hidden="1">
      <c r="A766" s="4" t="s">
        <v>9</v>
      </c>
    </row>
    <row r="767" spans="1:1" hidden="1">
      <c r="A767" s="4" t="s">
        <v>9</v>
      </c>
    </row>
    <row r="768" spans="1:1" hidden="1">
      <c r="A768" s="4" t="s">
        <v>9</v>
      </c>
    </row>
    <row r="769" spans="1:1" hidden="1">
      <c r="A769" s="4" t="s">
        <v>9</v>
      </c>
    </row>
    <row r="770" spans="1:1" hidden="1">
      <c r="A770" s="3" t="s">
        <v>18</v>
      </c>
    </row>
    <row r="771" spans="1:1" hidden="1">
      <c r="A771" s="4" t="s">
        <v>9</v>
      </c>
    </row>
    <row r="772" spans="1:1" hidden="1">
      <c r="A772" s="4" t="s">
        <v>21</v>
      </c>
    </row>
    <row r="773" spans="1:1" hidden="1">
      <c r="A773" s="4" t="s">
        <v>9</v>
      </c>
    </row>
    <row r="774" spans="1:1" hidden="1">
      <c r="A774" s="3" t="s">
        <v>16</v>
      </c>
    </row>
    <row r="775" spans="1:1" hidden="1">
      <c r="A775" s="4" t="s">
        <v>21</v>
      </c>
    </row>
    <row r="776" spans="1:1" hidden="1">
      <c r="A776" s="4" t="s">
        <v>6</v>
      </c>
    </row>
    <row r="777" spans="1:1" hidden="1">
      <c r="A777" s="4" t="s">
        <v>29</v>
      </c>
    </row>
    <row r="778" spans="1:1" hidden="1">
      <c r="A778" s="4" t="s">
        <v>9</v>
      </c>
    </row>
    <row r="779" spans="1:1" hidden="1">
      <c r="A779" s="4" t="s">
        <v>7</v>
      </c>
    </row>
    <row r="780" spans="1:1" hidden="1">
      <c r="A780" s="4" t="s">
        <v>9</v>
      </c>
    </row>
    <row r="781" spans="1:1" hidden="1">
      <c r="A781" s="4" t="s">
        <v>9</v>
      </c>
    </row>
    <row r="782" spans="1:1" hidden="1">
      <c r="A782" s="4" t="s">
        <v>29</v>
      </c>
    </row>
    <row r="783" spans="1:1" hidden="1">
      <c r="A783" s="3" t="s">
        <v>16</v>
      </c>
    </row>
    <row r="784" spans="1:1" hidden="1">
      <c r="A784" s="3" t="s">
        <v>21</v>
      </c>
    </row>
    <row r="785" spans="1:1" hidden="1">
      <c r="A785" s="4" t="s">
        <v>9</v>
      </c>
    </row>
    <row r="786" spans="1:1" hidden="1">
      <c r="A786" s="4" t="s">
        <v>22</v>
      </c>
    </row>
    <row r="787" spans="1:1" hidden="1">
      <c r="A787" s="4" t="s">
        <v>7</v>
      </c>
    </row>
    <row r="788" spans="1:1" hidden="1">
      <c r="A788" s="4" t="s">
        <v>7</v>
      </c>
    </row>
    <row r="789" spans="1:1" hidden="1">
      <c r="A789" s="3" t="s">
        <v>16</v>
      </c>
    </row>
    <row r="790" spans="1:1" hidden="1">
      <c r="A790" s="3" t="s">
        <v>25</v>
      </c>
    </row>
    <row r="791" spans="1:1" hidden="1">
      <c r="A791" s="3" t="s">
        <v>25</v>
      </c>
    </row>
    <row r="792" spans="1:1" hidden="1">
      <c r="A792" s="3" t="s">
        <v>25</v>
      </c>
    </row>
    <row r="793" spans="1:1" hidden="1">
      <c r="A793" s="4" t="s">
        <v>25</v>
      </c>
    </row>
    <row r="794" spans="1:1" hidden="1">
      <c r="A794" s="3" t="s">
        <v>25</v>
      </c>
    </row>
    <row r="795" spans="1:1" hidden="1">
      <c r="A795" s="3">
        <f>I795</f>
        <v>0</v>
      </c>
    </row>
    <row r="796" spans="1:1" hidden="1">
      <c r="A796" s="3" t="s">
        <v>50</v>
      </c>
    </row>
    <row r="797" spans="1:1" hidden="1">
      <c r="A797" s="4" t="s">
        <v>226</v>
      </c>
    </row>
    <row r="798" spans="1:1" hidden="1">
      <c r="A798" s="4" t="s">
        <v>28</v>
      </c>
    </row>
    <row r="799" spans="1:1" hidden="1">
      <c r="A799" s="4" t="s">
        <v>29</v>
      </c>
    </row>
    <row r="800" spans="1:1" hidden="1">
      <c r="A800" s="3" t="s">
        <v>25</v>
      </c>
    </row>
    <row r="801" spans="1:1" hidden="1">
      <c r="A801" s="4" t="s">
        <v>21</v>
      </c>
    </row>
    <row r="802" spans="1:1" hidden="1">
      <c r="A802" s="4" t="s">
        <v>7</v>
      </c>
    </row>
    <row r="803" spans="1:1" hidden="1">
      <c r="A803" s="4" t="s">
        <v>7</v>
      </c>
    </row>
    <row r="804" spans="1:1" hidden="1">
      <c r="A804" s="3" t="s">
        <v>18</v>
      </c>
    </row>
    <row r="805" spans="1:1" hidden="1">
      <c r="A805" s="3" t="s">
        <v>21</v>
      </c>
    </row>
    <row r="806" spans="1:1" hidden="1">
      <c r="A806" s="3" t="s">
        <v>18</v>
      </c>
    </row>
    <row r="807" spans="1:1" hidden="1">
      <c r="A807" s="3" t="s">
        <v>18</v>
      </c>
    </row>
    <row r="808" spans="1:1" hidden="1">
      <c r="A808" s="3" t="s">
        <v>18</v>
      </c>
    </row>
    <row r="809" spans="1:1" hidden="1">
      <c r="A809" s="3" t="s">
        <v>21</v>
      </c>
    </row>
    <row r="810" spans="1:1" hidden="1">
      <c r="A810" s="4" t="s">
        <v>9</v>
      </c>
    </row>
    <row r="811" spans="1:1" hidden="1">
      <c r="A811" s="4" t="s">
        <v>21</v>
      </c>
    </row>
    <row r="812" spans="1:1" hidden="1">
      <c r="A812" s="4" t="s">
        <v>21</v>
      </c>
    </row>
    <row r="813" spans="1:1" hidden="1">
      <c r="A813" s="3" t="s">
        <v>25</v>
      </c>
    </row>
    <row r="814" spans="1:1" hidden="1">
      <c r="A814" s="3" t="s">
        <v>18</v>
      </c>
    </row>
    <row r="815" spans="1:1" hidden="1">
      <c r="A815" s="3" t="s">
        <v>21</v>
      </c>
    </row>
    <row r="816" spans="1:1" hidden="1">
      <c r="A816" s="3" t="s">
        <v>25</v>
      </c>
    </row>
    <row r="817" spans="1:1" hidden="1">
      <c r="A817" s="4" t="s">
        <v>7</v>
      </c>
    </row>
    <row r="818" spans="1:1" hidden="1">
      <c r="A818" s="3" t="s">
        <v>21</v>
      </c>
    </row>
    <row r="819" spans="1:1" hidden="1">
      <c r="A819" s="3" t="s">
        <v>16</v>
      </c>
    </row>
    <row r="820" spans="1:1" hidden="1">
      <c r="A820" s="4" t="s">
        <v>7</v>
      </c>
    </row>
    <row r="821" spans="1:1" hidden="1">
      <c r="A821" s="4" t="s">
        <v>21</v>
      </c>
    </row>
    <row r="822" spans="1:1" hidden="1">
      <c r="A822" s="4" t="s">
        <v>29</v>
      </c>
    </row>
    <row r="823" spans="1:1" hidden="1">
      <c r="A823" s="4" t="s">
        <v>7</v>
      </c>
    </row>
    <row r="824" spans="1:1" hidden="1">
      <c r="A824" s="4" t="s">
        <v>21</v>
      </c>
    </row>
    <row r="825" spans="1:1" hidden="1">
      <c r="A825" s="4" t="s">
        <v>21</v>
      </c>
    </row>
    <row r="826" spans="1:1" hidden="1">
      <c r="A826" s="3" t="s">
        <v>18</v>
      </c>
    </row>
    <row r="827" spans="1:1" hidden="1">
      <c r="A827" s="4" t="s">
        <v>9</v>
      </c>
    </row>
    <row r="828" spans="1:1" hidden="1">
      <c r="A828" s="4" t="s">
        <v>9</v>
      </c>
    </row>
    <row r="829" spans="1:1" hidden="1">
      <c r="A829" s="3" t="s">
        <v>18</v>
      </c>
    </row>
    <row r="830" spans="1:1" hidden="1">
      <c r="A830" s="3" t="s">
        <v>22</v>
      </c>
    </row>
    <row r="831" spans="1:1" hidden="1">
      <c r="A831" s="3" t="s">
        <v>21</v>
      </c>
    </row>
    <row r="832" spans="1:1" hidden="1">
      <c r="A832" s="3" t="s">
        <v>18</v>
      </c>
    </row>
    <row r="833" spans="1:1" hidden="1">
      <c r="A833" s="3" t="s">
        <v>18</v>
      </c>
    </row>
    <row r="834" spans="1:1" hidden="1">
      <c r="A834" s="3" t="s">
        <v>21</v>
      </c>
    </row>
    <row r="835" spans="1:1" hidden="1">
      <c r="A835" s="3">
        <f>I835</f>
        <v>0</v>
      </c>
    </row>
    <row r="836" spans="1:1" hidden="1">
      <c r="A836" s="4" t="s">
        <v>43</v>
      </c>
    </row>
    <row r="837" spans="1:1" hidden="1">
      <c r="A837" s="3" t="s">
        <v>25</v>
      </c>
    </row>
    <row r="838" spans="1:1" hidden="1">
      <c r="A838" s="3" t="s">
        <v>21</v>
      </c>
    </row>
    <row r="839" spans="1:1" hidden="1">
      <c r="A839" s="4" t="s">
        <v>29</v>
      </c>
    </row>
    <row r="840" spans="1:1" hidden="1">
      <c r="A840" s="3" t="s">
        <v>26</v>
      </c>
    </row>
    <row r="841" spans="1:1" hidden="1">
      <c r="A841" s="4" t="s">
        <v>7</v>
      </c>
    </row>
    <row r="842" spans="1:1" hidden="1">
      <c r="A842" s="4" t="s">
        <v>21</v>
      </c>
    </row>
    <row r="843" spans="1:1" hidden="1">
      <c r="A843" s="4" t="s">
        <v>7</v>
      </c>
    </row>
    <row r="844" spans="1:1" hidden="1">
      <c r="A844" s="4" t="s">
        <v>6</v>
      </c>
    </row>
    <row r="845" spans="1:1" hidden="1">
      <c r="A845" s="3" t="s">
        <v>25</v>
      </c>
    </row>
    <row r="846" spans="1:1" hidden="1">
      <c r="A846" s="4" t="s">
        <v>24</v>
      </c>
    </row>
    <row r="847" spans="1:1" hidden="1">
      <c r="A847" s="4" t="s">
        <v>6</v>
      </c>
    </row>
    <row r="848" spans="1:1" hidden="1">
      <c r="A848" s="4" t="s">
        <v>29</v>
      </c>
    </row>
    <row r="849" spans="1:1" hidden="1">
      <c r="A849" s="4" t="s">
        <v>6</v>
      </c>
    </row>
    <row r="850" spans="1:1" hidden="1">
      <c r="A850" s="4" t="s">
        <v>21</v>
      </c>
    </row>
    <row r="851" spans="1:1" hidden="1">
      <c r="A851" s="4" t="s">
        <v>14</v>
      </c>
    </row>
    <row r="852" spans="1:1" hidden="1">
      <c r="A852" s="4" t="s">
        <v>14</v>
      </c>
    </row>
    <row r="853" spans="1:1" hidden="1">
      <c r="A853" s="4" t="s">
        <v>29</v>
      </c>
    </row>
    <row r="854" spans="1:1" hidden="1">
      <c r="A854" s="4" t="s">
        <v>9</v>
      </c>
    </row>
    <row r="855" spans="1:1" hidden="1">
      <c r="A855" s="4" t="s">
        <v>29</v>
      </c>
    </row>
    <row r="856" spans="1:1" hidden="1">
      <c r="A856" s="4" t="s">
        <v>16</v>
      </c>
    </row>
    <row r="857" spans="1:1" hidden="1">
      <c r="A857" s="4" t="s">
        <v>14</v>
      </c>
    </row>
    <row r="858" spans="1:1" hidden="1">
      <c r="A858" s="4" t="s">
        <v>21</v>
      </c>
    </row>
    <row r="859" spans="1:1" hidden="1">
      <c r="A859" s="4" t="s">
        <v>12</v>
      </c>
    </row>
    <row r="860" spans="1:1" hidden="1">
      <c r="A860" s="4" t="s">
        <v>17</v>
      </c>
    </row>
    <row r="861" spans="1:1" hidden="1">
      <c r="A861" s="4" t="s">
        <v>6</v>
      </c>
    </row>
    <row r="862" spans="1:1" hidden="1">
      <c r="A862" s="3" t="s">
        <v>29</v>
      </c>
    </row>
    <row r="863" spans="1:1" hidden="1">
      <c r="A863" s="4" t="s">
        <v>19</v>
      </c>
    </row>
    <row r="864" spans="1:1" hidden="1">
      <c r="A864" s="4" t="s">
        <v>17</v>
      </c>
    </row>
    <row r="865" spans="1:1" hidden="1">
      <c r="A865" s="4" t="s">
        <v>12</v>
      </c>
    </row>
    <row r="866" spans="1:1" hidden="1">
      <c r="A866" s="4" t="s">
        <v>27</v>
      </c>
    </row>
    <row r="867" spans="1:1" hidden="1">
      <c r="A867" s="3" t="s">
        <v>18</v>
      </c>
    </row>
    <row r="868" spans="1:1" hidden="1">
      <c r="A868" s="3" t="s">
        <v>22</v>
      </c>
    </row>
    <row r="869" spans="1:1" hidden="1">
      <c r="A869" s="4" t="s">
        <v>14</v>
      </c>
    </row>
    <row r="870" spans="1:1" hidden="1">
      <c r="A870" s="4" t="s">
        <v>29</v>
      </c>
    </row>
    <row r="871" spans="1:1" hidden="1">
      <c r="A871" s="3" t="s">
        <v>18</v>
      </c>
    </row>
    <row r="872" spans="1:1" hidden="1">
      <c r="A872" s="4" t="s">
        <v>17</v>
      </c>
    </row>
    <row r="873" spans="1:1" hidden="1">
      <c r="A873" s="4" t="s">
        <v>19</v>
      </c>
    </row>
    <row r="874" spans="1:1" hidden="1">
      <c r="A874" s="3" t="s">
        <v>22</v>
      </c>
    </row>
    <row r="875" spans="1:1" hidden="1">
      <c r="A875" s="4" t="s">
        <v>12</v>
      </c>
    </row>
    <row r="876" spans="1:1" hidden="1">
      <c r="A876" s="3">
        <f>I876</f>
        <v>0</v>
      </c>
    </row>
    <row r="877" spans="1:1" hidden="1">
      <c r="A877" s="4" t="s">
        <v>3</v>
      </c>
    </row>
    <row r="878" spans="1:1" hidden="1">
      <c r="A878" s="4" t="s">
        <v>29</v>
      </c>
    </row>
    <row r="879" spans="1:1" hidden="1">
      <c r="A879" s="4" t="s">
        <v>29</v>
      </c>
    </row>
    <row r="880" spans="1:1" hidden="1">
      <c r="A880" s="4" t="s">
        <v>29</v>
      </c>
    </row>
    <row r="881" spans="1:2" hidden="1">
      <c r="A881" s="4" t="s">
        <v>29</v>
      </c>
    </row>
    <row r="882" spans="1:2" hidden="1">
      <c r="A882" s="4" t="s">
        <v>29</v>
      </c>
    </row>
    <row r="883" spans="1:2">
      <c r="A883" s="3" t="s">
        <v>7</v>
      </c>
      <c r="B883" t="e">
        <f>VLOOKUP(A883,#REF!,6,FALSE)</f>
        <v>#REF!</v>
      </c>
    </row>
    <row r="884" spans="1:2" hidden="1">
      <c r="A884" s="3" t="s">
        <v>7</v>
      </c>
    </row>
    <row r="885" spans="1:2" hidden="1">
      <c r="A885" s="3" t="s">
        <v>7</v>
      </c>
    </row>
    <row r="886" spans="1:2" hidden="1">
      <c r="A886" s="4" t="s">
        <v>21</v>
      </c>
    </row>
    <row r="887" spans="1:2" hidden="1">
      <c r="A887" s="3" t="s">
        <v>7</v>
      </c>
    </row>
    <row r="888" spans="1:2" hidden="1">
      <c r="A888" s="3" t="s">
        <v>7</v>
      </c>
    </row>
    <row r="889" spans="1:2" hidden="1">
      <c r="A889" s="3" t="s">
        <v>7</v>
      </c>
    </row>
    <row r="890" spans="1:2" hidden="1">
      <c r="A890" s="3" t="s">
        <v>7</v>
      </c>
    </row>
    <row r="891" spans="1:2" hidden="1">
      <c r="A891" s="4" t="s">
        <v>21</v>
      </c>
    </row>
    <row r="892" spans="1:2" hidden="1">
      <c r="A892" s="4" t="s">
        <v>29</v>
      </c>
    </row>
    <row r="893" spans="1:2" hidden="1">
      <c r="A893" s="3" t="s">
        <v>7</v>
      </c>
    </row>
    <row r="894" spans="1:2" hidden="1">
      <c r="A894" s="3" t="s">
        <v>7</v>
      </c>
    </row>
    <row r="895" spans="1:2" hidden="1">
      <c r="A895" s="4" t="s">
        <v>7</v>
      </c>
    </row>
    <row r="896" spans="1:2" hidden="1">
      <c r="A896" s="4" t="s">
        <v>7</v>
      </c>
    </row>
    <row r="897" spans="1:1" hidden="1">
      <c r="A897" s="3" t="s">
        <v>7</v>
      </c>
    </row>
    <row r="898" spans="1:1" hidden="1">
      <c r="A898" s="3" t="s">
        <v>7</v>
      </c>
    </row>
    <row r="899" spans="1:1" hidden="1">
      <c r="A899" s="4" t="s">
        <v>7</v>
      </c>
    </row>
    <row r="900" spans="1:1" hidden="1">
      <c r="A900" s="4" t="s">
        <v>14</v>
      </c>
    </row>
    <row r="901" spans="1:1" hidden="1">
      <c r="A901" s="4" t="s">
        <v>29</v>
      </c>
    </row>
    <row r="902" spans="1:1" hidden="1">
      <c r="A902" s="4" t="s">
        <v>7</v>
      </c>
    </row>
    <row r="903" spans="1:1" hidden="1">
      <c r="A903" s="3" t="s">
        <v>7</v>
      </c>
    </row>
    <row r="904" spans="1:1" hidden="1">
      <c r="A904" s="3" t="s">
        <v>7</v>
      </c>
    </row>
    <row r="905" spans="1:1" hidden="1">
      <c r="A905" s="4" t="s">
        <v>42</v>
      </c>
    </row>
    <row r="906" spans="1:1" hidden="1">
      <c r="A906" s="3" t="s">
        <v>7</v>
      </c>
    </row>
    <row r="907" spans="1:1" hidden="1">
      <c r="A907" s="3" t="s">
        <v>7</v>
      </c>
    </row>
    <row r="908" spans="1:1" hidden="1">
      <c r="A908" s="3" t="s">
        <v>7</v>
      </c>
    </row>
    <row r="909" spans="1:1" hidden="1">
      <c r="A909" s="4" t="s">
        <v>6</v>
      </c>
    </row>
    <row r="910" spans="1:1" hidden="1">
      <c r="A910" s="4" t="s">
        <v>6</v>
      </c>
    </row>
    <row r="911" spans="1:1" hidden="1">
      <c r="A911" s="4" t="s">
        <v>6</v>
      </c>
    </row>
    <row r="912" spans="1:1" hidden="1">
      <c r="A912" s="4" t="s">
        <v>6</v>
      </c>
    </row>
    <row r="913" spans="1:1" hidden="1">
      <c r="A913" s="4" t="s">
        <v>6</v>
      </c>
    </row>
    <row r="914" spans="1:1" hidden="1">
      <c r="A914" s="4" t="s">
        <v>21</v>
      </c>
    </row>
    <row r="915" spans="1:1" hidden="1">
      <c r="A915" s="4" t="s">
        <v>21</v>
      </c>
    </row>
    <row r="916" spans="1:1" hidden="1">
      <c r="A916" s="4" t="s">
        <v>21</v>
      </c>
    </row>
    <row r="917" spans="1:1" hidden="1">
      <c r="A917" s="4" t="s">
        <v>21</v>
      </c>
    </row>
    <row r="918" spans="1:1" hidden="1">
      <c r="A918" s="4" t="s">
        <v>21</v>
      </c>
    </row>
    <row r="919" spans="1:1" hidden="1">
      <c r="A919" s="4" t="s">
        <v>21</v>
      </c>
    </row>
    <row r="920" spans="1:1" hidden="1">
      <c r="A920" s="4" t="s">
        <v>21</v>
      </c>
    </row>
    <row r="921" spans="1:1" hidden="1">
      <c r="A921" s="3" t="s">
        <v>21</v>
      </c>
    </row>
    <row r="922" spans="1:1" hidden="1">
      <c r="A922" s="3" t="s">
        <v>21</v>
      </c>
    </row>
    <row r="923" spans="1:1" hidden="1">
      <c r="A923" s="3" t="s">
        <v>21</v>
      </c>
    </row>
    <row r="924" spans="1:1" hidden="1">
      <c r="A924" s="3" t="s">
        <v>21</v>
      </c>
    </row>
    <row r="925" spans="1:1" hidden="1">
      <c r="A925" s="3" t="s">
        <v>21</v>
      </c>
    </row>
    <row r="926" spans="1:1" hidden="1">
      <c r="A926" s="3" t="s">
        <v>21</v>
      </c>
    </row>
    <row r="927" spans="1:1" hidden="1">
      <c r="A927" s="3" t="s">
        <v>21</v>
      </c>
    </row>
    <row r="928" spans="1:1" hidden="1">
      <c r="A928" s="3" t="s">
        <v>21</v>
      </c>
    </row>
    <row r="929" spans="1:1" hidden="1">
      <c r="A929" s="3" t="s">
        <v>21</v>
      </c>
    </row>
    <row r="930" spans="1:1" hidden="1">
      <c r="A930" s="3" t="s">
        <v>21</v>
      </c>
    </row>
    <row r="931" spans="1:1" hidden="1">
      <c r="A931" s="3" t="s">
        <v>21</v>
      </c>
    </row>
    <row r="932" spans="1:1" hidden="1">
      <c r="A932" s="3" t="s">
        <v>21</v>
      </c>
    </row>
    <row r="933" spans="1:1" hidden="1">
      <c r="A933" s="3" t="s">
        <v>21</v>
      </c>
    </row>
    <row r="934" spans="1:1" hidden="1">
      <c r="A934" s="3" t="s">
        <v>21</v>
      </c>
    </row>
    <row r="935" spans="1:1" hidden="1">
      <c r="A935" s="3" t="s">
        <v>21</v>
      </c>
    </row>
    <row r="936" spans="1:1" hidden="1">
      <c r="A936" s="3" t="s">
        <v>21</v>
      </c>
    </row>
    <row r="937" spans="1:1" hidden="1">
      <c r="A937" s="3" t="s">
        <v>21</v>
      </c>
    </row>
    <row r="938" spans="1:1" hidden="1">
      <c r="A938" s="3" t="s">
        <v>21</v>
      </c>
    </row>
    <row r="939" spans="1:1" hidden="1">
      <c r="A939" s="3" t="s">
        <v>21</v>
      </c>
    </row>
    <row r="940" spans="1:1" hidden="1">
      <c r="A940" s="3" t="s">
        <v>21</v>
      </c>
    </row>
    <row r="941" spans="1:1" hidden="1">
      <c r="A941" s="4" t="s">
        <v>9</v>
      </c>
    </row>
    <row r="942" spans="1:1" hidden="1">
      <c r="A942" s="4" t="s">
        <v>9</v>
      </c>
    </row>
    <row r="943" spans="1:1" hidden="1">
      <c r="A943" s="4" t="s">
        <v>9</v>
      </c>
    </row>
    <row r="944" spans="1:1" hidden="1">
      <c r="A944" s="4" t="s">
        <v>9</v>
      </c>
    </row>
    <row r="945" spans="1:2" hidden="1">
      <c r="A945" s="4" t="s">
        <v>9</v>
      </c>
    </row>
    <row r="946" spans="1:2" hidden="1">
      <c r="A946" s="4" t="s">
        <v>9</v>
      </c>
    </row>
    <row r="947" spans="1:2" hidden="1">
      <c r="A947" s="4" t="s">
        <v>9</v>
      </c>
    </row>
    <row r="948" spans="1:2" hidden="1">
      <c r="A948" s="4" t="s">
        <v>6</v>
      </c>
    </row>
    <row r="949" spans="1:2" hidden="1">
      <c r="A949" s="4" t="s">
        <v>14</v>
      </c>
    </row>
    <row r="950" spans="1:2" hidden="1">
      <c r="A950" s="3" t="s">
        <v>18</v>
      </c>
    </row>
    <row r="951" spans="1:2" hidden="1">
      <c r="A951" s="4" t="s">
        <v>23</v>
      </c>
    </row>
    <row r="952" spans="1:2" hidden="1">
      <c r="A952" s="4" t="s">
        <v>24</v>
      </c>
    </row>
    <row r="953" spans="1:2" hidden="1">
      <c r="A953" s="4" t="s">
        <v>14</v>
      </c>
    </row>
    <row r="954" spans="1:2" hidden="1">
      <c r="A954" s="4" t="s">
        <v>29</v>
      </c>
    </row>
    <row r="955" spans="1:2" hidden="1">
      <c r="A955" s="4" t="s">
        <v>7</v>
      </c>
    </row>
    <row r="956" spans="1:2">
      <c r="A956" s="37" t="s">
        <v>8</v>
      </c>
      <c r="B956" t="e">
        <f>VLOOKUP(A956,#REF!,6,FALSE)</f>
        <v>#REF!</v>
      </c>
    </row>
    <row r="957" spans="1:2" hidden="1">
      <c r="A957" s="4" t="s">
        <v>24</v>
      </c>
    </row>
    <row r="958" spans="1:2" hidden="1">
      <c r="A958" s="4" t="s">
        <v>18</v>
      </c>
    </row>
    <row r="959" spans="1:2" hidden="1">
      <c r="A959" s="4" t="s">
        <v>22</v>
      </c>
    </row>
    <row r="960" spans="1:2" hidden="1">
      <c r="A960" s="4" t="s">
        <v>21</v>
      </c>
    </row>
    <row r="961" spans="1:1" hidden="1">
      <c r="A961" s="4" t="s">
        <v>21</v>
      </c>
    </row>
    <row r="962" spans="1:1" hidden="1">
      <c r="A962" s="4" t="s">
        <v>13</v>
      </c>
    </row>
    <row r="963" spans="1:1" hidden="1">
      <c r="A963" s="3" t="s">
        <v>29</v>
      </c>
    </row>
    <row r="964" spans="1:1" hidden="1">
      <c r="A964" s="4" t="s">
        <v>23</v>
      </c>
    </row>
    <row r="965" spans="1:1" hidden="1">
      <c r="A965" s="4" t="s">
        <v>18</v>
      </c>
    </row>
    <row r="966" spans="1:1" hidden="1">
      <c r="A966" s="4" t="s">
        <v>14</v>
      </c>
    </row>
    <row r="967" spans="1:1" hidden="1">
      <c r="A967" s="3" t="s">
        <v>16</v>
      </c>
    </row>
    <row r="968" spans="1:1" hidden="1">
      <c r="A968" s="4" t="s">
        <v>14</v>
      </c>
    </row>
    <row r="969" spans="1:1" hidden="1">
      <c r="A969" s="3" t="s">
        <v>25</v>
      </c>
    </row>
    <row r="970" spans="1:1" hidden="1">
      <c r="A970" s="4" t="s">
        <v>19</v>
      </c>
    </row>
    <row r="971" spans="1:1" hidden="1">
      <c r="A971" s="4" t="s">
        <v>22</v>
      </c>
    </row>
    <row r="972" spans="1:1" hidden="1">
      <c r="A972" s="4" t="s">
        <v>7</v>
      </c>
    </row>
    <row r="973" spans="1:1" hidden="1">
      <c r="A973" s="3" t="s">
        <v>29</v>
      </c>
    </row>
    <row r="974" spans="1:1" hidden="1">
      <c r="A974" s="4" t="s">
        <v>9</v>
      </c>
    </row>
    <row r="975" spans="1:1" hidden="1">
      <c r="A975" s="3" t="s">
        <v>29</v>
      </c>
    </row>
    <row r="976" spans="1:1" hidden="1">
      <c r="A976" s="4" t="s">
        <v>22</v>
      </c>
    </row>
    <row r="977" spans="1:1" hidden="1">
      <c r="A977" s="4" t="s">
        <v>14</v>
      </c>
    </row>
    <row r="978" spans="1:1" hidden="1">
      <c r="A978" s="4" t="s">
        <v>19</v>
      </c>
    </row>
    <row r="979" spans="1:1" hidden="1">
      <c r="A979" s="3" t="s">
        <v>26</v>
      </c>
    </row>
    <row r="980" spans="1:1" hidden="1">
      <c r="A980" s="4" t="s">
        <v>6</v>
      </c>
    </row>
    <row r="981" spans="1:1" hidden="1">
      <c r="A981" s="4" t="s">
        <v>17</v>
      </c>
    </row>
    <row r="982" spans="1:1" hidden="1">
      <c r="A982" s="3" t="s">
        <v>22</v>
      </c>
    </row>
    <row r="983" spans="1:1" hidden="1">
      <c r="A983" s="4" t="s">
        <v>14</v>
      </c>
    </row>
    <row r="984" spans="1:1" hidden="1">
      <c r="A984" s="4" t="s">
        <v>6</v>
      </c>
    </row>
    <row r="985" spans="1:1" hidden="1">
      <c r="A985" s="4" t="s">
        <v>6</v>
      </c>
    </row>
    <row r="986" spans="1:1" hidden="1">
      <c r="A986" s="4" t="s">
        <v>16</v>
      </c>
    </row>
    <row r="987" spans="1:1" hidden="1">
      <c r="A987" s="4" t="s">
        <v>22</v>
      </c>
    </row>
    <row r="988" spans="1:1" hidden="1">
      <c r="A988" s="4" t="s">
        <v>16</v>
      </c>
    </row>
    <row r="989" spans="1:1" hidden="1">
      <c r="A989" s="4" t="s">
        <v>22</v>
      </c>
    </row>
    <row r="990" spans="1:1" hidden="1">
      <c r="A990" s="3" t="s">
        <v>21</v>
      </c>
    </row>
    <row r="991" spans="1:1" hidden="1">
      <c r="A991" s="3" t="s">
        <v>18</v>
      </c>
    </row>
    <row r="992" spans="1:1" hidden="1">
      <c r="A992" s="4" t="s">
        <v>17</v>
      </c>
    </row>
    <row r="993" spans="1:1" hidden="1">
      <c r="A993" s="4" t="s">
        <v>29</v>
      </c>
    </row>
    <row r="994" spans="1:1" hidden="1">
      <c r="A994" s="4" t="s">
        <v>29</v>
      </c>
    </row>
    <row r="995" spans="1:1" hidden="1">
      <c r="A995" s="4" t="s">
        <v>29</v>
      </c>
    </row>
    <row r="996" spans="1:1" hidden="1">
      <c r="A996" s="4" t="s">
        <v>29</v>
      </c>
    </row>
    <row r="997" spans="1:1" hidden="1">
      <c r="A997" s="4" t="s">
        <v>22</v>
      </c>
    </row>
    <row r="998" spans="1:1" hidden="1">
      <c r="A998" s="4" t="s">
        <v>21</v>
      </c>
    </row>
    <row r="999" spans="1:1" hidden="1">
      <c r="A999" s="4" t="s">
        <v>8</v>
      </c>
    </row>
    <row r="1000" spans="1:1" hidden="1">
      <c r="A1000" s="4" t="s">
        <v>22</v>
      </c>
    </row>
    <row r="1001" spans="1:1" hidden="1">
      <c r="A1001" s="4" t="s">
        <v>22</v>
      </c>
    </row>
    <row r="1002" spans="1:1" hidden="1">
      <c r="A1002" s="4" t="s">
        <v>22</v>
      </c>
    </row>
    <row r="1003" spans="1:1" hidden="1">
      <c r="A1003" s="4" t="s">
        <v>22</v>
      </c>
    </row>
    <row r="1004" spans="1:1" hidden="1">
      <c r="A1004" s="4" t="s">
        <v>7</v>
      </c>
    </row>
    <row r="1005" spans="1:1" hidden="1">
      <c r="A1005" s="3" t="s">
        <v>24</v>
      </c>
    </row>
    <row r="1006" spans="1:1" hidden="1">
      <c r="A1006" s="3" t="s">
        <v>3</v>
      </c>
    </row>
    <row r="1007" spans="1:1" hidden="1">
      <c r="A1007" s="4" t="s">
        <v>9</v>
      </c>
    </row>
    <row r="1008" spans="1:1" hidden="1">
      <c r="A1008" s="4" t="s">
        <v>9</v>
      </c>
    </row>
    <row r="1009" spans="1:1" hidden="1">
      <c r="A1009" s="4" t="s">
        <v>24</v>
      </c>
    </row>
    <row r="1010" spans="1:1" hidden="1">
      <c r="A1010" s="4" t="s">
        <v>24</v>
      </c>
    </row>
    <row r="1011" spans="1:1" hidden="1">
      <c r="A1011" s="4" t="s">
        <v>22</v>
      </c>
    </row>
    <row r="1012" spans="1:1" hidden="1">
      <c r="A1012" s="4" t="s">
        <v>22</v>
      </c>
    </row>
    <row r="1013" spans="1:1" hidden="1">
      <c r="A1013" s="4" t="s">
        <v>29</v>
      </c>
    </row>
    <row r="1014" spans="1:1" hidden="1">
      <c r="A1014" s="4" t="s">
        <v>29</v>
      </c>
    </row>
    <row r="1015" spans="1:1" hidden="1">
      <c r="A1015" s="4" t="s">
        <v>29</v>
      </c>
    </row>
    <row r="1016" spans="1:1" hidden="1">
      <c r="A1016" s="4" t="s">
        <v>29</v>
      </c>
    </row>
    <row r="1017" spans="1:1" hidden="1">
      <c r="A1017" s="4" t="s">
        <v>13</v>
      </c>
    </row>
    <row r="1018" spans="1:1" hidden="1">
      <c r="A1018" s="4" t="s">
        <v>21</v>
      </c>
    </row>
    <row r="1019" spans="1:1" hidden="1">
      <c r="A1019" s="3" t="s">
        <v>29</v>
      </c>
    </row>
    <row r="1020" spans="1:1" hidden="1">
      <c r="A1020" s="4" t="s">
        <v>26</v>
      </c>
    </row>
    <row r="1021" spans="1:1" hidden="1">
      <c r="A1021" s="4" t="s">
        <v>14</v>
      </c>
    </row>
  </sheetData>
  <pageMargins left="0.7" right="0.7" top="0.75" bottom="0.75" header="0.3" footer="0.3"/>
  <headerFooter>
    <oddFooter>&amp;C&amp;"Calibri"&amp;8 &amp;K000000_x000D_#  ArcelorMittal proprietary information – all rights reserved for all countries.</oddFooter>
  </headerFooter>
</worksheet>
</file>

<file path=docMetadata/LabelInfo.xml><?xml version="1.0" encoding="utf-8"?>
<clbl:labelList xmlns:clbl="http://schemas.microsoft.com/office/2020/mipLabelMetadata">
  <clbl:label id="{df51f048-204e-4ea4-a812-f73ab854ff43}" enabled="1" method="Standard" siteId="{37cd273a-1cec-4aae-a297-41480ea54f8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Vyas, Dhruv - AM/NS India - HR (HAZ)</dc:creator>
  <cp:keywords/>
  <dc:description/>
  <cp:lastModifiedBy>X</cp:lastModifiedBy>
  <cp:revision/>
  <dcterms:created xsi:type="dcterms:W3CDTF">2015-06-05T18:17:20Z</dcterms:created>
  <dcterms:modified xsi:type="dcterms:W3CDTF">2026-06-25T08:46:58Z</dcterms:modified>
  <cp:category/>
  <cp:contentStatus/>
</cp:coreProperties>
</file>