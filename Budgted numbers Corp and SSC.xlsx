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5FCEFC44-8521-4DF6-8F9C-D27F47F67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hruv Summary" sheetId="1" r:id="rId1"/>
    <sheet name="Dhruv" sheetId="2" r:id="rId2"/>
    <sheet name="SSC OJT" sheetId="3" r:id="rId3"/>
    <sheet name="SHIJU Summary" sheetId="4" r:id="rId4"/>
    <sheet name="Shijumon" sheetId="5" r:id="rId5"/>
    <sheet name="Khyati Summary " sheetId="6" r:id="rId6"/>
    <sheet name="Khyati" sheetId="7" r:id="rId7"/>
    <sheet name="Chanchal Summary" sheetId="8" r:id="rId8"/>
    <sheet name="Chanchal " sheetId="9" r:id="rId9"/>
    <sheet name="Lincia Summary" sheetId="10" r:id="rId10"/>
    <sheet name="Lincia" sheetId="11" r:id="rId11"/>
  </sheets>
  <definedNames>
    <definedName name="_xlnm._FilterDatabase" localSheetId="1" hidden="1">Dhruv!$A$1:$P$1008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0" l="1"/>
  <c r="E17" i="10"/>
  <c r="D17" i="10"/>
  <c r="G17" i="10" s="1"/>
  <c r="B17" i="10"/>
  <c r="C17" i="10" s="1"/>
  <c r="F16" i="10"/>
  <c r="E16" i="10"/>
  <c r="D16" i="10"/>
  <c r="G16" i="10" s="1"/>
  <c r="B16" i="10"/>
  <c r="C16" i="10" s="1"/>
  <c r="F15" i="10"/>
  <c r="E15" i="10"/>
  <c r="D15" i="10"/>
  <c r="G15" i="10" s="1"/>
  <c r="B15" i="10"/>
  <c r="C15" i="10" s="1"/>
  <c r="F14" i="10"/>
  <c r="E14" i="10"/>
  <c r="D14" i="10"/>
  <c r="G14" i="10" s="1"/>
  <c r="B14" i="10"/>
  <c r="C14" i="10" s="1"/>
  <c r="F13" i="10"/>
  <c r="E13" i="10"/>
  <c r="D13" i="10"/>
  <c r="G13" i="10" s="1"/>
  <c r="B13" i="10"/>
  <c r="C13" i="10" s="1"/>
  <c r="F12" i="10"/>
  <c r="E12" i="10"/>
  <c r="D12" i="10"/>
  <c r="B12" i="10"/>
  <c r="F11" i="10"/>
  <c r="E11" i="10"/>
  <c r="D11" i="10"/>
  <c r="G11" i="10" s="1"/>
  <c r="B11" i="10"/>
  <c r="F10" i="10"/>
  <c r="E10" i="10"/>
  <c r="D10" i="10"/>
  <c r="G10" i="10" s="1"/>
  <c r="B10" i="10"/>
  <c r="C10" i="10" s="1"/>
  <c r="F9" i="10"/>
  <c r="E9" i="10"/>
  <c r="D9" i="10"/>
  <c r="G9" i="10" s="1"/>
  <c r="B9" i="10"/>
  <c r="F8" i="10"/>
  <c r="E8" i="10"/>
  <c r="D8" i="10"/>
  <c r="G8" i="10" s="1"/>
  <c r="B8" i="10"/>
  <c r="F7" i="10"/>
  <c r="E7" i="10"/>
  <c r="D7" i="10"/>
  <c r="G7" i="10" s="1"/>
  <c r="B7" i="10"/>
  <c r="C7" i="10" s="1"/>
  <c r="F6" i="10"/>
  <c r="E6" i="10"/>
  <c r="D6" i="10"/>
  <c r="G6" i="10" s="1"/>
  <c r="B6" i="10"/>
  <c r="F5" i="10"/>
  <c r="E5" i="10"/>
  <c r="D5" i="10"/>
  <c r="G5" i="10" s="1"/>
  <c r="B5" i="10"/>
  <c r="F4" i="10"/>
  <c r="F18" i="10" s="1"/>
  <c r="E4" i="10"/>
  <c r="E18" i="10" s="1"/>
  <c r="D4" i="10"/>
  <c r="D18" i="10" s="1"/>
  <c r="B4" i="10"/>
  <c r="B18" i="10" s="1"/>
  <c r="F17" i="8"/>
  <c r="E17" i="8"/>
  <c r="D17" i="8"/>
  <c r="G17" i="8" s="1"/>
  <c r="B17" i="8"/>
  <c r="F16" i="8"/>
  <c r="E16" i="8"/>
  <c r="D16" i="8"/>
  <c r="G16" i="8" s="1"/>
  <c r="B16" i="8"/>
  <c r="F15" i="8"/>
  <c r="E15" i="8"/>
  <c r="D15" i="8"/>
  <c r="G15" i="8" s="1"/>
  <c r="B15" i="8"/>
  <c r="C15" i="8" s="1"/>
  <c r="F14" i="8"/>
  <c r="E14" i="8"/>
  <c r="D14" i="8"/>
  <c r="G14" i="8" s="1"/>
  <c r="B14" i="8"/>
  <c r="F13" i="8"/>
  <c r="E13" i="8"/>
  <c r="D13" i="8"/>
  <c r="G13" i="8" s="1"/>
  <c r="B13" i="8"/>
  <c r="F12" i="8"/>
  <c r="E12" i="8"/>
  <c r="D12" i="8"/>
  <c r="G12" i="8" s="1"/>
  <c r="B12" i="8"/>
  <c r="C12" i="8" s="1"/>
  <c r="F11" i="8"/>
  <c r="E11" i="8"/>
  <c r="D11" i="8"/>
  <c r="G11" i="8" s="1"/>
  <c r="B11" i="8"/>
  <c r="F10" i="8"/>
  <c r="E10" i="8"/>
  <c r="D10" i="8"/>
  <c r="G10" i="8" s="1"/>
  <c r="B10" i="8"/>
  <c r="F9" i="8"/>
  <c r="E9" i="8"/>
  <c r="D9" i="8"/>
  <c r="G9" i="8" s="1"/>
  <c r="B9" i="8"/>
  <c r="C9" i="8" s="1"/>
  <c r="F8" i="8"/>
  <c r="E8" i="8"/>
  <c r="D8" i="8"/>
  <c r="G8" i="8" s="1"/>
  <c r="B8" i="8"/>
  <c r="F7" i="8"/>
  <c r="E7" i="8"/>
  <c r="D7" i="8"/>
  <c r="G7" i="8" s="1"/>
  <c r="B7" i="8"/>
  <c r="F6" i="8"/>
  <c r="E6" i="8"/>
  <c r="D6" i="8"/>
  <c r="G6" i="8" s="1"/>
  <c r="B6" i="8"/>
  <c r="C6" i="8" s="1"/>
  <c r="F5" i="8"/>
  <c r="E5" i="8"/>
  <c r="D5" i="8"/>
  <c r="G5" i="8" s="1"/>
  <c r="B5" i="8"/>
  <c r="F4" i="8"/>
  <c r="F18" i="8" s="1"/>
  <c r="E4" i="8"/>
  <c r="E18" i="8" s="1"/>
  <c r="D4" i="8"/>
  <c r="D18" i="8" s="1"/>
  <c r="B4" i="8"/>
  <c r="B18" i="8" s="1"/>
  <c r="G12" i="6"/>
  <c r="F12" i="6"/>
  <c r="E12" i="6"/>
  <c r="D12" i="6"/>
  <c r="H12" i="6" s="1"/>
  <c r="B12" i="6"/>
  <c r="G11" i="6"/>
  <c r="F11" i="6"/>
  <c r="E11" i="6"/>
  <c r="H11" i="6" s="1"/>
  <c r="D11" i="6"/>
  <c r="B11" i="6"/>
  <c r="C11" i="6" s="1"/>
  <c r="G10" i="6"/>
  <c r="F10" i="6"/>
  <c r="E10" i="6"/>
  <c r="D10" i="6"/>
  <c r="H10" i="6" s="1"/>
  <c r="C10" i="6" s="1"/>
  <c r="B10" i="6"/>
  <c r="G9" i="6"/>
  <c r="F9" i="6"/>
  <c r="E9" i="6"/>
  <c r="D9" i="6"/>
  <c r="H9" i="6" s="1"/>
  <c r="B9" i="6"/>
  <c r="G8" i="6"/>
  <c r="F8" i="6"/>
  <c r="E8" i="6"/>
  <c r="H8" i="6" s="1"/>
  <c r="D8" i="6"/>
  <c r="B8" i="6"/>
  <c r="C8" i="6" s="1"/>
  <c r="G7" i="6"/>
  <c r="F7" i="6"/>
  <c r="E7" i="6"/>
  <c r="D7" i="6"/>
  <c r="H7" i="6" s="1"/>
  <c r="C7" i="6" s="1"/>
  <c r="B7" i="6"/>
  <c r="G6" i="6"/>
  <c r="F6" i="6"/>
  <c r="E6" i="6"/>
  <c r="D6" i="6"/>
  <c r="H6" i="6" s="1"/>
  <c r="B6" i="6"/>
  <c r="G5" i="6"/>
  <c r="F5" i="6"/>
  <c r="E5" i="6"/>
  <c r="H5" i="6" s="1"/>
  <c r="D5" i="6"/>
  <c r="B5" i="6"/>
  <c r="G4" i="6"/>
  <c r="G13" i="6" s="1"/>
  <c r="F4" i="6"/>
  <c r="F13" i="6" s="1"/>
  <c r="E4" i="6"/>
  <c r="D4" i="6"/>
  <c r="B4" i="6"/>
  <c r="B13" i="6" s="1"/>
  <c r="F7" i="4"/>
  <c r="E7" i="4"/>
  <c r="D7" i="4"/>
  <c r="G7" i="4" s="1"/>
  <c r="C7" i="4" s="1"/>
  <c r="B7" i="4"/>
  <c r="F6" i="4"/>
  <c r="E6" i="4"/>
  <c r="D6" i="4"/>
  <c r="B6" i="4"/>
  <c r="F5" i="4"/>
  <c r="E5" i="4"/>
  <c r="D5" i="4"/>
  <c r="B5" i="4"/>
  <c r="F4" i="4"/>
  <c r="F8" i="4" s="1"/>
  <c r="E4" i="4"/>
  <c r="E8" i="4" s="1"/>
  <c r="D4" i="4"/>
  <c r="D8" i="4" s="1"/>
  <c r="B4" i="4"/>
  <c r="B8" i="4" s="1"/>
  <c r="K73" i="1"/>
  <c r="H73" i="1"/>
  <c r="G73" i="1"/>
  <c r="F73" i="1"/>
  <c r="D73" i="1"/>
  <c r="C73" i="1"/>
  <c r="I72" i="1"/>
  <c r="J72" i="1" s="1"/>
  <c r="L72" i="1" s="1"/>
  <c r="E72" i="1"/>
  <c r="J71" i="1"/>
  <c r="L71" i="1" s="1"/>
  <c r="I71" i="1"/>
  <c r="E71" i="1"/>
  <c r="L70" i="1"/>
  <c r="I70" i="1"/>
  <c r="E70" i="1"/>
  <c r="J70" i="1" s="1"/>
  <c r="I69" i="1"/>
  <c r="J69" i="1" s="1"/>
  <c r="L69" i="1" s="1"/>
  <c r="E69" i="1"/>
  <c r="J68" i="1"/>
  <c r="L68" i="1" s="1"/>
  <c r="I68" i="1"/>
  <c r="E68" i="1"/>
  <c r="L67" i="1"/>
  <c r="I67" i="1"/>
  <c r="E67" i="1"/>
  <c r="J67" i="1" s="1"/>
  <c r="I66" i="1"/>
  <c r="J66" i="1" s="1"/>
  <c r="L66" i="1" s="1"/>
  <c r="E66" i="1"/>
  <c r="I65" i="1"/>
  <c r="B65" i="1"/>
  <c r="E65" i="1" s="1"/>
  <c r="J65" i="1" s="1"/>
  <c r="L65" i="1" s="1"/>
  <c r="I64" i="1"/>
  <c r="E64" i="1"/>
  <c r="J63" i="1"/>
  <c r="I63" i="1"/>
  <c r="E63" i="1"/>
  <c r="H55" i="1"/>
  <c r="G55" i="1"/>
  <c r="F55" i="1"/>
  <c r="E55" i="1"/>
  <c r="D55" i="1"/>
  <c r="C55" i="1"/>
  <c r="I55" i="1" s="1"/>
  <c r="B55" i="1"/>
  <c r="I54" i="1"/>
  <c r="I53" i="1"/>
  <c r="I52" i="1"/>
  <c r="I51" i="1"/>
  <c r="I50" i="1"/>
  <c r="I49" i="1"/>
  <c r="F44" i="1"/>
  <c r="G44" i="1" s="1"/>
  <c r="D44" i="1"/>
  <c r="B44" i="1"/>
  <c r="C44" i="1" s="1"/>
  <c r="B31" i="1"/>
  <c r="F30" i="1"/>
  <c r="E30" i="1"/>
  <c r="D30" i="1"/>
  <c r="G30" i="1" s="1"/>
  <c r="B30" i="1"/>
  <c r="C30" i="1" s="1"/>
  <c r="F29" i="1"/>
  <c r="F31" i="1" s="1"/>
  <c r="E29" i="1"/>
  <c r="E31" i="1" s="1"/>
  <c r="D29" i="1"/>
  <c r="D31" i="1" s="1"/>
  <c r="B29" i="1"/>
  <c r="F20" i="1"/>
  <c r="E20" i="1"/>
  <c r="D20" i="1"/>
  <c r="B20" i="1"/>
  <c r="F19" i="1"/>
  <c r="E19" i="1"/>
  <c r="D19" i="1"/>
  <c r="B19" i="1"/>
  <c r="F18" i="1"/>
  <c r="E18" i="1"/>
  <c r="D18" i="1"/>
  <c r="G18" i="1" s="1"/>
  <c r="B18" i="1"/>
  <c r="C18" i="1" s="1"/>
  <c r="F17" i="1"/>
  <c r="E17" i="1"/>
  <c r="D17" i="1"/>
  <c r="B17" i="1"/>
  <c r="F16" i="1"/>
  <c r="E16" i="1"/>
  <c r="D16" i="1"/>
  <c r="B16" i="1"/>
  <c r="F15" i="1"/>
  <c r="E15" i="1"/>
  <c r="D15" i="1"/>
  <c r="G15" i="1" s="1"/>
  <c r="B15" i="1"/>
  <c r="C15" i="1" s="1"/>
  <c r="F14" i="1"/>
  <c r="E14" i="1"/>
  <c r="D14" i="1"/>
  <c r="B14" i="1"/>
  <c r="F13" i="1"/>
  <c r="E13" i="1"/>
  <c r="D13" i="1"/>
  <c r="B13" i="1"/>
  <c r="F12" i="1"/>
  <c r="E12" i="1"/>
  <c r="D12" i="1"/>
  <c r="G12" i="1" s="1"/>
  <c r="B12" i="1"/>
  <c r="C12" i="1" s="1"/>
  <c r="F11" i="1"/>
  <c r="E11" i="1"/>
  <c r="D11" i="1"/>
  <c r="B11" i="1"/>
  <c r="F10" i="1"/>
  <c r="E10" i="1"/>
  <c r="D10" i="1"/>
  <c r="B10" i="1"/>
  <c r="F9" i="1"/>
  <c r="E9" i="1"/>
  <c r="D9" i="1"/>
  <c r="G9" i="1" s="1"/>
  <c r="B9" i="1"/>
  <c r="C9" i="1" s="1"/>
  <c r="F8" i="1"/>
  <c r="E8" i="1"/>
  <c r="D8" i="1"/>
  <c r="B8" i="1"/>
  <c r="F7" i="1"/>
  <c r="E7" i="1"/>
  <c r="D7" i="1"/>
  <c r="B7" i="1"/>
  <c r="F6" i="1"/>
  <c r="E6" i="1"/>
  <c r="D6" i="1"/>
  <c r="G6" i="1" s="1"/>
  <c r="B6" i="1"/>
  <c r="C6" i="1" s="1"/>
  <c r="F5" i="1"/>
  <c r="E5" i="1"/>
  <c r="D5" i="1"/>
  <c r="B5" i="1"/>
  <c r="F4" i="1"/>
  <c r="F21" i="1" s="1"/>
  <c r="E4" i="1"/>
  <c r="E21" i="1" s="1"/>
  <c r="D4" i="1"/>
  <c r="D21" i="1" s="1"/>
  <c r="B4" i="1"/>
  <c r="B21" i="1" s="1"/>
  <c r="G5" i="4" l="1"/>
  <c r="C5" i="4" s="1"/>
  <c r="E13" i="6"/>
  <c r="C5" i="6"/>
  <c r="C6" i="6"/>
  <c r="C9" i="6"/>
  <c r="C12" i="6"/>
  <c r="C5" i="8"/>
  <c r="C8" i="8"/>
  <c r="C11" i="8"/>
  <c r="C14" i="8"/>
  <c r="C17" i="8"/>
  <c r="C6" i="10"/>
  <c r="C9" i="10"/>
  <c r="L63" i="1"/>
  <c r="B73" i="1"/>
  <c r="E73" i="1"/>
  <c r="G5" i="1"/>
  <c r="C5" i="1" s="1"/>
  <c r="G8" i="1"/>
  <c r="C8" i="1" s="1"/>
  <c r="G11" i="1"/>
  <c r="C11" i="1" s="1"/>
  <c r="G14" i="1"/>
  <c r="C14" i="1" s="1"/>
  <c r="G17" i="1"/>
  <c r="C17" i="1" s="1"/>
  <c r="G20" i="1"/>
  <c r="C20" i="1" s="1"/>
  <c r="G7" i="1"/>
  <c r="C7" i="1" s="1"/>
  <c r="G10" i="1"/>
  <c r="C10" i="1" s="1"/>
  <c r="G13" i="1"/>
  <c r="C13" i="1" s="1"/>
  <c r="G16" i="1"/>
  <c r="C16" i="1" s="1"/>
  <c r="G19" i="1"/>
  <c r="C19" i="1" s="1"/>
  <c r="I73" i="1"/>
  <c r="J64" i="1"/>
  <c r="L64" i="1" s="1"/>
  <c r="G6" i="4"/>
  <c r="C6" i="4" s="1"/>
  <c r="H4" i="6"/>
  <c r="C4" i="6" s="1"/>
  <c r="C7" i="8"/>
  <c r="C10" i="8"/>
  <c r="C13" i="8"/>
  <c r="C16" i="8"/>
  <c r="C5" i="10"/>
  <c r="C8" i="10"/>
  <c r="C11" i="10"/>
  <c r="G4" i="4"/>
  <c r="D13" i="6"/>
  <c r="H13" i="6" s="1"/>
  <c r="C13" i="6" s="1"/>
  <c r="G4" i="1"/>
  <c r="G21" i="1" s="1"/>
  <c r="G29" i="1"/>
  <c r="G4" i="8"/>
  <c r="G18" i="8" s="1"/>
  <c r="C18" i="8" s="1"/>
  <c r="G4" i="10"/>
  <c r="G18" i="10" s="1"/>
  <c r="G12" i="10"/>
  <c r="C12" i="10" s="1"/>
  <c r="G31" i="1" l="1"/>
  <c r="C29" i="1"/>
  <c r="C31" i="1" s="1"/>
  <c r="C4" i="8"/>
  <c r="J73" i="1"/>
  <c r="C4" i="10"/>
  <c r="C18" i="10" s="1"/>
  <c r="G8" i="4"/>
  <c r="C4" i="4"/>
  <c r="C8" i="4" s="1"/>
  <c r="C4" i="1"/>
  <c r="C21" i="1" s="1"/>
  <c r="L73" i="1"/>
</calcChain>
</file>

<file path=xl/sharedStrings.xml><?xml version="1.0" encoding="utf-8"?>
<sst xmlns="http://schemas.openxmlformats.org/spreadsheetml/2006/main" count="22257" uniqueCount="1024">
  <si>
    <t>Func Plant</t>
  </si>
  <si>
    <t>2026 Position Budget</t>
  </si>
  <si>
    <t>2026 Headcount</t>
  </si>
  <si>
    <t>Total Positions (Incl. Lateral, GET, MT &amp; OJT) (A)</t>
  </si>
  <si>
    <t>Vacant Position Count</t>
  </si>
  <si>
    <t>Actual Emp. (March 2026)</t>
  </si>
  <si>
    <t>GETs/MTs</t>
  </si>
  <si>
    <t>OJTs</t>
  </si>
  <si>
    <t>Total 2026 Headcount</t>
  </si>
  <si>
    <t>Department Alpha</t>
  </si>
  <si>
    <t>Department Beta</t>
  </si>
  <si>
    <t>Department Gamma</t>
  </si>
  <si>
    <t>Department Delta</t>
  </si>
  <si>
    <t>Department Epsilon</t>
  </si>
  <si>
    <t>Department Zeta</t>
  </si>
  <si>
    <t>Department Eta</t>
  </si>
  <si>
    <t>Department Theta</t>
  </si>
  <si>
    <t>Department Iota</t>
  </si>
  <si>
    <t>Department Kappa</t>
  </si>
  <si>
    <t>Department Lambda</t>
  </si>
  <si>
    <t>Department Mu</t>
  </si>
  <si>
    <t>Department Nu</t>
  </si>
  <si>
    <t>Department Xi</t>
  </si>
  <si>
    <t>Department Omicron</t>
  </si>
  <si>
    <t>Department Pi</t>
  </si>
  <si>
    <t>Department Rho</t>
  </si>
  <si>
    <t>Department Sigma</t>
  </si>
  <si>
    <t>Department Tau</t>
  </si>
  <si>
    <t>Department Upsilon</t>
  </si>
  <si>
    <t>Site Alpha</t>
  </si>
  <si>
    <t>Site Beta</t>
  </si>
  <si>
    <t>Site Gamma</t>
  </si>
  <si>
    <t>Site Delta</t>
  </si>
  <si>
    <t>Site Epsilon</t>
  </si>
  <si>
    <t>Site Zeta</t>
  </si>
  <si>
    <t>Site Eta</t>
  </si>
  <si>
    <t>Site Theta</t>
  </si>
  <si>
    <t>Input type</t>
  </si>
  <si>
    <t>Function Plant</t>
  </si>
  <si>
    <t>FUNCTION 1</t>
  </si>
  <si>
    <t>Department</t>
  </si>
  <si>
    <t>Position lvl</t>
  </si>
  <si>
    <t>POSITION ID</t>
  </si>
  <si>
    <t>Position Name</t>
  </si>
  <si>
    <t>Emp. Code</t>
  </si>
  <si>
    <t>Emp. Name</t>
  </si>
  <si>
    <t>Employee Grade</t>
  </si>
  <si>
    <t>Regular / Trainee</t>
  </si>
  <si>
    <t>Vacant/Occupied</t>
  </si>
  <si>
    <t>Remarks</t>
  </si>
  <si>
    <t>Remarks 1</t>
  </si>
  <si>
    <t>Active position Or Not</t>
  </si>
  <si>
    <t>SUB Department</t>
  </si>
  <si>
    <t>Position 2025</t>
  </si>
  <si>
    <t>Site Iota</t>
  </si>
  <si>
    <t>Function Alpha</t>
  </si>
  <si>
    <t>M-9</t>
  </si>
  <si>
    <t>Lead - Operations</t>
  </si>
  <si>
    <t>Aarav Sharma</t>
  </si>
  <si>
    <t>Regular</t>
  </si>
  <si>
    <t>Occupied</t>
  </si>
  <si>
    <t>Function Beta</t>
  </si>
  <si>
    <t>Senior Lead - Operations</t>
  </si>
  <si>
    <t>Vacant</t>
  </si>
  <si>
    <t>Site Kappa</t>
  </si>
  <si>
    <t>Function Gamma</t>
  </si>
  <si>
    <t>M-4</t>
  </si>
  <si>
    <t>Officer - Operations</t>
  </si>
  <si>
    <t>Vivaan Sharma</t>
  </si>
  <si>
    <t>M-5</t>
  </si>
  <si>
    <t>Executive - Operations</t>
  </si>
  <si>
    <t>Aditya Sharma</t>
  </si>
  <si>
    <t>M-10</t>
  </si>
  <si>
    <t>Incharge - Operations</t>
  </si>
  <si>
    <t>Vihaan Sharma</t>
  </si>
  <si>
    <t>Function Delta</t>
  </si>
  <si>
    <t>Arjun Sharma</t>
  </si>
  <si>
    <t>Sai Sharma</t>
  </si>
  <si>
    <t>Reyansh Sharma</t>
  </si>
  <si>
    <t>Ayaan Sharma</t>
  </si>
  <si>
    <t>Function Epsilon</t>
  </si>
  <si>
    <t>Krishna Sharma</t>
  </si>
  <si>
    <t>Ishaan Sharma</t>
  </si>
  <si>
    <t>Ananya Sharma</t>
  </si>
  <si>
    <t>Consultant - Operations</t>
  </si>
  <si>
    <t>Recruitment In-Process</t>
  </si>
  <si>
    <t>Diya Sharma</t>
  </si>
  <si>
    <t>Isha Sharma</t>
  </si>
  <si>
    <t>Kavya Sharma</t>
  </si>
  <si>
    <t>Meera Sharma</t>
  </si>
  <si>
    <t>Saanvi Sharma</t>
  </si>
  <si>
    <t>Function Zeta</t>
  </si>
  <si>
    <t>Analyst - Operations</t>
  </si>
  <si>
    <t>Aadhya Sharma</t>
  </si>
  <si>
    <t>Riya Sharma</t>
  </si>
  <si>
    <t>Kiara Sharma</t>
  </si>
  <si>
    <t>Function Eta</t>
  </si>
  <si>
    <t>Avni Sharma</t>
  </si>
  <si>
    <t>Function Theta</t>
  </si>
  <si>
    <t>M-7</t>
  </si>
  <si>
    <t>Manager - Operations</t>
  </si>
  <si>
    <t>Kabir Sharma</t>
  </si>
  <si>
    <t>Function Iota</t>
  </si>
  <si>
    <t>Engineer - Operations</t>
  </si>
  <si>
    <t>Rohan Sharma</t>
  </si>
  <si>
    <t>Nikhil Sharma</t>
  </si>
  <si>
    <t>Kunal Sharma</t>
  </si>
  <si>
    <t>Function Kappa</t>
  </si>
  <si>
    <t>Yash Sharma</t>
  </si>
  <si>
    <t>M-11</t>
  </si>
  <si>
    <t>Dev Sharma</t>
  </si>
  <si>
    <t>Head - Operations</t>
  </si>
  <si>
    <t>Aryan Sharma</t>
  </si>
  <si>
    <t>Lead - Commercial</t>
  </si>
  <si>
    <t>Neel Sharma</t>
  </si>
  <si>
    <t>Om Sharma</t>
  </si>
  <si>
    <t>Senior Lead - Commercial</t>
  </si>
  <si>
    <t>Ritvik Sharma</t>
  </si>
  <si>
    <t>Officer - Commercial</t>
  </si>
  <si>
    <t>Aditi Sharma</t>
  </si>
  <si>
    <t>Executive - Commercial</t>
  </si>
  <si>
    <t>Naina Sharma</t>
  </si>
  <si>
    <t>Tara Sharma</t>
  </si>
  <si>
    <t>Pooja Sharma</t>
  </si>
  <si>
    <t>Shruti Sharma</t>
  </si>
  <si>
    <t>Neha Sharma</t>
  </si>
  <si>
    <t>Incharge - Commercial</t>
  </si>
  <si>
    <t>Tanvi Sharma</t>
  </si>
  <si>
    <t>M-8</t>
  </si>
  <si>
    <t>Consultant - Commercial</t>
  </si>
  <si>
    <t>Rhea Sharma</t>
  </si>
  <si>
    <t>Analyst - Commercial</t>
  </si>
  <si>
    <t>Mitali Sharma</t>
  </si>
  <si>
    <t>Manager - Commercial</t>
  </si>
  <si>
    <t>Suhani Sharma</t>
  </si>
  <si>
    <t>Engineer - Commercial</t>
  </si>
  <si>
    <t>Aarav Patel</t>
  </si>
  <si>
    <t>Head - Commercial</t>
  </si>
  <si>
    <t>Vivaan Patel</t>
  </si>
  <si>
    <t>Sanitized Dummy Value 0001</t>
  </si>
  <si>
    <t>Aditya Patel</t>
  </si>
  <si>
    <t>Senior Lead - Procurement</t>
  </si>
  <si>
    <t>Sanitized Dummy Value 0002</t>
  </si>
  <si>
    <t>Vihaan Patel</t>
  </si>
  <si>
    <t>Sanitized Dummy Value 0003</t>
  </si>
  <si>
    <t>Arjun Patel</t>
  </si>
  <si>
    <t>Incharge - Procurement</t>
  </si>
  <si>
    <t>Sai Patel</t>
  </si>
  <si>
    <t>Consultant - Procurement</t>
  </si>
  <si>
    <t>Reyansh Patel</t>
  </si>
  <si>
    <t>Ayaan Patel</t>
  </si>
  <si>
    <t>Analyst - Procurement</t>
  </si>
  <si>
    <t>Krishna Patel</t>
  </si>
  <si>
    <t>Manager - Procurement</t>
  </si>
  <si>
    <t>Ishaan Patel</t>
  </si>
  <si>
    <t>Ananya Patel</t>
  </si>
  <si>
    <t>Diya Patel</t>
  </si>
  <si>
    <t>Sanitized Dummy Value 0004</t>
  </si>
  <si>
    <t>Isha Patel</t>
  </si>
  <si>
    <t>Kavya Patel</t>
  </si>
  <si>
    <t>Sanitized Dummy Value 0005</t>
  </si>
  <si>
    <t>Meera Patel</t>
  </si>
  <si>
    <t>Lead - Planning</t>
  </si>
  <si>
    <t>Saanvi Patel</t>
  </si>
  <si>
    <t>Aadhya Patel</t>
  </si>
  <si>
    <t>Senior Lead - Planning</t>
  </si>
  <si>
    <t>Officer - Planning</t>
  </si>
  <si>
    <t>Riya Patel</t>
  </si>
  <si>
    <t>Executive - Planning</t>
  </si>
  <si>
    <t>Kiara Patel</t>
  </si>
  <si>
    <t>Incharge - Planning</t>
  </si>
  <si>
    <t>Avni Patel</t>
  </si>
  <si>
    <t>Consultant - Planning</t>
  </si>
  <si>
    <t>Kabir Patel</t>
  </si>
  <si>
    <t>Analyst - Planning</t>
  </si>
  <si>
    <t>Rohan Patel</t>
  </si>
  <si>
    <t>Manager - Planning</t>
  </si>
  <si>
    <t>Nikhil Patel</t>
  </si>
  <si>
    <t>Engineer - Planning</t>
  </si>
  <si>
    <t>Head - Planning</t>
  </si>
  <si>
    <t>Kunal Patel</t>
  </si>
  <si>
    <t>Sanitized Dummy Value 0006</t>
  </si>
  <si>
    <t>Yash Patel</t>
  </si>
  <si>
    <t>Senior Lead - Projects</t>
  </si>
  <si>
    <t>Dev Patel</t>
  </si>
  <si>
    <t>Aryan Patel</t>
  </si>
  <si>
    <t>Officer - Projects</t>
  </si>
  <si>
    <t>Neel Patel</t>
  </si>
  <si>
    <t>Executive - Projects</t>
  </si>
  <si>
    <t>Om Patel</t>
  </si>
  <si>
    <t>Incharge - Projects</t>
  </si>
  <si>
    <t>Ritvik Patel</t>
  </si>
  <si>
    <t>Aditi Patel</t>
  </si>
  <si>
    <t>Consultant - Projects</t>
  </si>
  <si>
    <t>Naina Patel</t>
  </si>
  <si>
    <t>Analyst - Projects</t>
  </si>
  <si>
    <t>Tara Patel</t>
  </si>
  <si>
    <t>Manager - Projects</t>
  </si>
  <si>
    <t>Pooja Patel</t>
  </si>
  <si>
    <t>Engineer - Projects</t>
  </si>
  <si>
    <t>Shruti Patel</t>
  </si>
  <si>
    <t>Head - Projects</t>
  </si>
  <si>
    <t>Sanitized Dummy Value 0007</t>
  </si>
  <si>
    <t>Sanitized Dummy Value 0008</t>
  </si>
  <si>
    <t>Tanvi Patel</t>
  </si>
  <si>
    <t>Rhea Patel</t>
  </si>
  <si>
    <t>Mitali Patel</t>
  </si>
  <si>
    <t>Suhani Patel</t>
  </si>
  <si>
    <t>Aarav Rao</t>
  </si>
  <si>
    <t>Vivaan Rao</t>
  </si>
  <si>
    <t>M-6</t>
  </si>
  <si>
    <t>Senior Lead - Administration</t>
  </si>
  <si>
    <t>Aditya Rao</t>
  </si>
  <si>
    <t>Officer - Administration</t>
  </si>
  <si>
    <t>Vihaan Rao</t>
  </si>
  <si>
    <t>Executive - Administration</t>
  </si>
  <si>
    <t>Arjun Rao</t>
  </si>
  <si>
    <t>Incharge - Administration</t>
  </si>
  <si>
    <t>Sai Rao</t>
  </si>
  <si>
    <t>Reyansh Rao</t>
  </si>
  <si>
    <t>Consultant - Administration</t>
  </si>
  <si>
    <t>Analyst - Administration</t>
  </si>
  <si>
    <t>Ayaan Rao</t>
  </si>
  <si>
    <t>Position 2026</t>
  </si>
  <si>
    <t>Manager - Administration</t>
  </si>
  <si>
    <t>Krishna Rao</t>
  </si>
  <si>
    <t>Engineer - Administration</t>
  </si>
  <si>
    <t>Ishaan Rao</t>
  </si>
  <si>
    <t>Head - Administration</t>
  </si>
  <si>
    <t>Ananya Rao</t>
  </si>
  <si>
    <t>Lead - Support</t>
  </si>
  <si>
    <t>Diya Rao</t>
  </si>
  <si>
    <t>Senior Lead - Support</t>
  </si>
  <si>
    <t>Isha Rao</t>
  </si>
  <si>
    <t>Officer - Support</t>
  </si>
  <si>
    <t>Kavya Rao</t>
  </si>
  <si>
    <t>Executive - Support</t>
  </si>
  <si>
    <t>Meera Rao</t>
  </si>
  <si>
    <t>M-2</t>
  </si>
  <si>
    <t>Incharge - Support</t>
  </si>
  <si>
    <t>Saanvi Rao</t>
  </si>
  <si>
    <t>Consultant - Support</t>
  </si>
  <si>
    <t>Aadhya Rao</t>
  </si>
  <si>
    <t>Analyst - Support</t>
  </si>
  <si>
    <t>Riya Rao</t>
  </si>
  <si>
    <t>Manager - Support</t>
  </si>
  <si>
    <t>Kiara Rao</t>
  </si>
  <si>
    <t>Engineer - Support</t>
  </si>
  <si>
    <t>Avni Rao</t>
  </si>
  <si>
    <t>Head - Support</t>
  </si>
  <si>
    <t>Kabir Rao</t>
  </si>
  <si>
    <t>Lead - Analytics</t>
  </si>
  <si>
    <t>Rohan Rao</t>
  </si>
  <si>
    <t>Senior Lead - Analytics</t>
  </si>
  <si>
    <t>Nikhil Rao</t>
  </si>
  <si>
    <t>Kunal Rao</t>
  </si>
  <si>
    <t>Yash Rao</t>
  </si>
  <si>
    <t>Dev Rao</t>
  </si>
  <si>
    <t>Aryan Rao</t>
  </si>
  <si>
    <t>Neel Rao</t>
  </si>
  <si>
    <t>Officer - Analytics</t>
  </si>
  <si>
    <t>Om Rao</t>
  </si>
  <si>
    <t>Executive - Analytics</t>
  </si>
  <si>
    <t>Ritvik Rao</t>
  </si>
  <si>
    <t>Incharge - Analytics</t>
  </si>
  <si>
    <t>Aditi Rao</t>
  </si>
  <si>
    <t>Consultant - Analytics</t>
  </si>
  <si>
    <t>Analyst - Analytics</t>
  </si>
  <si>
    <t>Naina Rao</t>
  </si>
  <si>
    <t>Tara Rao</t>
  </si>
  <si>
    <t>Manager - Analytics</t>
  </si>
  <si>
    <t>Pooja Rao</t>
  </si>
  <si>
    <t>Engineer - Analytics</t>
  </si>
  <si>
    <t>Shruti Rao</t>
  </si>
  <si>
    <t>Head - Analytics</t>
  </si>
  <si>
    <t>Neha Rao</t>
  </si>
  <si>
    <t>Lead - Compliance</t>
  </si>
  <si>
    <t>Tanvi Rao</t>
  </si>
  <si>
    <t>Rhea Rao</t>
  </si>
  <si>
    <t>Mitali Rao</t>
  </si>
  <si>
    <t>Senior Lead - Compliance</t>
  </si>
  <si>
    <t>Suhani Rao</t>
  </si>
  <si>
    <t>Officer - Compliance</t>
  </si>
  <si>
    <t>Aarav Iyer</t>
  </si>
  <si>
    <t>Vivaan Iyer</t>
  </si>
  <si>
    <t>Executive - Compliance</t>
  </si>
  <si>
    <t>Aditya Iyer</t>
  </si>
  <si>
    <t>Incharge - Compliance</t>
  </si>
  <si>
    <t>Vihaan Iyer</t>
  </si>
  <si>
    <t>Arjun Iyer</t>
  </si>
  <si>
    <t>Sai Iyer</t>
  </si>
  <si>
    <t>Reyansh Iyer</t>
  </si>
  <si>
    <t>Ayaan Iyer</t>
  </si>
  <si>
    <t>Consultant - Compliance</t>
  </si>
  <si>
    <t>Krishna Iyer</t>
  </si>
  <si>
    <t>Ishaan Iyer</t>
  </si>
  <si>
    <t>Analyst - Compliance</t>
  </si>
  <si>
    <t>Ananya Iyer</t>
  </si>
  <si>
    <t>Manager - Compliance</t>
  </si>
  <si>
    <t>Diya Iyer</t>
  </si>
  <si>
    <t>Engineer - Compliance</t>
  </si>
  <si>
    <t>Isha Iyer</t>
  </si>
  <si>
    <t>Head - Compliance</t>
  </si>
  <si>
    <t>Kavya Iyer</t>
  </si>
  <si>
    <t>Meera Iyer</t>
  </si>
  <si>
    <t>Saanvi Iyer</t>
  </si>
  <si>
    <t>Lead - Coordination</t>
  </si>
  <si>
    <t>Aadhya Iyer</t>
  </si>
  <si>
    <t>Senior Lead - Coordination</t>
  </si>
  <si>
    <t>Riya Iyer</t>
  </si>
  <si>
    <t>Kiara Iyer</t>
  </si>
  <si>
    <t>Officer - Coordination</t>
  </si>
  <si>
    <t>Avni Iyer</t>
  </si>
  <si>
    <t>Kabir Iyer</t>
  </si>
  <si>
    <t>Rohan Iyer</t>
  </si>
  <si>
    <t>Executive - Coordination</t>
  </si>
  <si>
    <t>Nikhil Iyer</t>
  </si>
  <si>
    <t>Incharge - Coordination</t>
  </si>
  <si>
    <t>Kunal Iyer</t>
  </si>
  <si>
    <t>Consultant - Coordination</t>
  </si>
  <si>
    <t>Yash Iyer</t>
  </si>
  <si>
    <t>Analyst - Coordination</t>
  </si>
  <si>
    <t>Dev Iyer</t>
  </si>
  <si>
    <t>Aryan Iyer</t>
  </si>
  <si>
    <t>Neel Iyer</t>
  </si>
  <si>
    <t>Manager - Coordination</t>
  </si>
  <si>
    <t>Om Iyer</t>
  </si>
  <si>
    <t>Ritvik Iyer</t>
  </si>
  <si>
    <t>Aditi Iyer</t>
  </si>
  <si>
    <t>Engineer - Coordination</t>
  </si>
  <si>
    <t>Naina Iyer</t>
  </si>
  <si>
    <t>Head - Coordination</t>
  </si>
  <si>
    <t>Tara Iyer</t>
  </si>
  <si>
    <t>Pooja Iyer</t>
  </si>
  <si>
    <t>Shruti Iyer</t>
  </si>
  <si>
    <t>Neha Iyer</t>
  </si>
  <si>
    <t>Tanvi Iyer</t>
  </si>
  <si>
    <t>Rhea Iyer</t>
  </si>
  <si>
    <t>Mitali Iyer</t>
  </si>
  <si>
    <t>Suhani Iyer</t>
  </si>
  <si>
    <t>Aarav Nair</t>
  </si>
  <si>
    <t>Vivaan Nair</t>
  </si>
  <si>
    <t>Aditya Nair</t>
  </si>
  <si>
    <t>Vihaan Nair</t>
  </si>
  <si>
    <t>Arjun Nair</t>
  </si>
  <si>
    <t>Sai Nair</t>
  </si>
  <si>
    <t>Reyansh Nair</t>
  </si>
  <si>
    <t>Ayaan Nair</t>
  </si>
  <si>
    <t>Krishna Nair</t>
  </si>
  <si>
    <t>Ishaan Nair</t>
  </si>
  <si>
    <t>Ananya Nair</t>
  </si>
  <si>
    <t>Diya Nair</t>
  </si>
  <si>
    <t>Isha Nair</t>
  </si>
  <si>
    <t>Kavya Nair</t>
  </si>
  <si>
    <t>Meera Nair</t>
  </si>
  <si>
    <t>Saanvi Nair</t>
  </si>
  <si>
    <t>Aadhya Nair</t>
  </si>
  <si>
    <t>Riya Nair</t>
  </si>
  <si>
    <t>Kiara Nair</t>
  </si>
  <si>
    <t>Avni Nair</t>
  </si>
  <si>
    <t>Kabir Nair</t>
  </si>
  <si>
    <t>Rohan Nair</t>
  </si>
  <si>
    <t>Nikhil Nair</t>
  </si>
  <si>
    <t>Kunal Nair</t>
  </si>
  <si>
    <t>Yash Nair</t>
  </si>
  <si>
    <t>Dev Nair</t>
  </si>
  <si>
    <t>Aryan Nair</t>
  </si>
  <si>
    <t>Neel Nair</t>
  </si>
  <si>
    <t>Om Nair</t>
  </si>
  <si>
    <t>Ritvik Nair</t>
  </si>
  <si>
    <t>Aditi Nair</t>
  </si>
  <si>
    <t>Naina Nair</t>
  </si>
  <si>
    <t>Tara Nair</t>
  </si>
  <si>
    <t>Pooja Nair</t>
  </si>
  <si>
    <t>Shruti Nair</t>
  </si>
  <si>
    <t>Neha Nair</t>
  </si>
  <si>
    <t>Tanvi Nair</t>
  </si>
  <si>
    <t>Rhea Nair</t>
  </si>
  <si>
    <t>Mitali Nair</t>
  </si>
  <si>
    <t>Suhani Nair</t>
  </si>
  <si>
    <t>Aarav Mehta</t>
  </si>
  <si>
    <t>Vivaan Mehta</t>
  </si>
  <si>
    <t>Aditya Mehta</t>
  </si>
  <si>
    <t>Vihaan Mehta</t>
  </si>
  <si>
    <t>Arjun Mehta</t>
  </si>
  <si>
    <t>Sai Mehta</t>
  </si>
  <si>
    <t>Reyansh Mehta</t>
  </si>
  <si>
    <t>Ayaan Mehta</t>
  </si>
  <si>
    <t>Krishna Mehta</t>
  </si>
  <si>
    <t>Ishaan Mehta</t>
  </si>
  <si>
    <t>Ananya Mehta</t>
  </si>
  <si>
    <t>Diya Mehta</t>
  </si>
  <si>
    <t>Sanitized Dummy Value 0009</t>
  </si>
  <si>
    <t>Kavya Mehta</t>
  </si>
  <si>
    <t>Meera Mehta</t>
  </si>
  <si>
    <t>Saanvi Mehta</t>
  </si>
  <si>
    <t>Aadhya Mehta</t>
  </si>
  <si>
    <t>Riya Mehta</t>
  </si>
  <si>
    <t>Kiara Mehta</t>
  </si>
  <si>
    <t>Avni Mehta</t>
  </si>
  <si>
    <t>Kabir Mehta</t>
  </si>
  <si>
    <t>Rohan Mehta</t>
  </si>
  <si>
    <t>Nikhil Mehta</t>
  </si>
  <si>
    <t>Kunal Mehta</t>
  </si>
  <si>
    <t>Yash Mehta</t>
  </si>
  <si>
    <t>Dev Mehta</t>
  </si>
  <si>
    <t>Aryan Mehta</t>
  </si>
  <si>
    <t>Neel Mehta</t>
  </si>
  <si>
    <t>Om Mehta</t>
  </si>
  <si>
    <t>Ritvik Mehta</t>
  </si>
  <si>
    <t>Aditi Mehta</t>
  </si>
  <si>
    <t>Naina Mehta</t>
  </si>
  <si>
    <t>Tara Mehta</t>
  </si>
  <si>
    <t>Pooja Mehta</t>
  </si>
  <si>
    <t>Shruti Mehta</t>
  </si>
  <si>
    <t>Neha Mehta</t>
  </si>
  <si>
    <t>Tanvi Mehta</t>
  </si>
  <si>
    <t>Rhea Mehta</t>
  </si>
  <si>
    <t>Mitali Mehta</t>
  </si>
  <si>
    <t>Suhani Mehta</t>
  </si>
  <si>
    <t>Aarav Gupta</t>
  </si>
  <si>
    <t>Vivaan Gupta</t>
  </si>
  <si>
    <t>Aditya Gupta</t>
  </si>
  <si>
    <t>Vihaan Gupta</t>
  </si>
  <si>
    <t>Arjun Gupta</t>
  </si>
  <si>
    <t>Sai Gupta</t>
  </si>
  <si>
    <t>Reyansh Gupta</t>
  </si>
  <si>
    <t>Ayaan Gupta</t>
  </si>
  <si>
    <t>Krishna Gupta</t>
  </si>
  <si>
    <t>Ishaan Gupta</t>
  </si>
  <si>
    <t>Ananya Gupta</t>
  </si>
  <si>
    <t>Diya Gupta</t>
  </si>
  <si>
    <t>Isha Gupta</t>
  </si>
  <si>
    <t>Kavya Gupta</t>
  </si>
  <si>
    <t>Meera Gupta</t>
  </si>
  <si>
    <t>Saanvi Gupta</t>
  </si>
  <si>
    <t>Aadhya Gupta</t>
  </si>
  <si>
    <t>Riya Gupta</t>
  </si>
  <si>
    <t>Kiara Gupta</t>
  </si>
  <si>
    <t>Avni Gupta</t>
  </si>
  <si>
    <t>Kabir Gupta</t>
  </si>
  <si>
    <t>Rohan Gupta</t>
  </si>
  <si>
    <t>Nikhil Gupta</t>
  </si>
  <si>
    <t>Kunal Gupta</t>
  </si>
  <si>
    <t>Yash Gupta</t>
  </si>
  <si>
    <t>Dev Gupta</t>
  </si>
  <si>
    <t>Aryan Gupta</t>
  </si>
  <si>
    <t>Neel Gupta</t>
  </si>
  <si>
    <t>Om Gupta</t>
  </si>
  <si>
    <t>Ritvik Gupta</t>
  </si>
  <si>
    <t>L-01</t>
  </si>
  <si>
    <t>Aditi Gupta</t>
  </si>
  <si>
    <t>WC</t>
  </si>
  <si>
    <t>L-06</t>
  </si>
  <si>
    <t>Naina Gupta</t>
  </si>
  <si>
    <t>Tara Gupta</t>
  </si>
  <si>
    <t>L-04</t>
  </si>
  <si>
    <t>Pooja Gupta</t>
  </si>
  <si>
    <t>Shruti Gupta</t>
  </si>
  <si>
    <t>Neha Gupta</t>
  </si>
  <si>
    <t>Tanvi Gupta</t>
  </si>
  <si>
    <t>L-05</t>
  </si>
  <si>
    <t>Rhea Gupta</t>
  </si>
  <si>
    <t>Mitali Gupta</t>
  </si>
  <si>
    <t>Suhani Gupta</t>
  </si>
  <si>
    <t>Aarav Singh</t>
  </si>
  <si>
    <t>Vivaan Singh</t>
  </si>
  <si>
    <t>Aditya Singh</t>
  </si>
  <si>
    <t>Vihaan Singh</t>
  </si>
  <si>
    <t>Arjun Singh</t>
  </si>
  <si>
    <t>Sai Singh</t>
  </si>
  <si>
    <t>Reyansh Singh</t>
  </si>
  <si>
    <t>Ayaan Singh</t>
  </si>
  <si>
    <t>Under review</t>
  </si>
  <si>
    <t>Krishna Singh</t>
  </si>
  <si>
    <t>Ishaan Singh</t>
  </si>
  <si>
    <t>Ananya Singh</t>
  </si>
  <si>
    <t>Diya Singh</t>
  </si>
  <si>
    <t>Isha Singh</t>
  </si>
  <si>
    <t>Kavya Singh</t>
  </si>
  <si>
    <t>Meera Singh</t>
  </si>
  <si>
    <t>Saanvi Singh</t>
  </si>
  <si>
    <t>Aadhya Singh</t>
  </si>
  <si>
    <t>Riya Singh</t>
  </si>
  <si>
    <t>Kiara Singh</t>
  </si>
  <si>
    <t>Avni Singh</t>
  </si>
  <si>
    <t>Kabir Singh</t>
  </si>
  <si>
    <t>Rohan Singh</t>
  </si>
  <si>
    <t>Sanitized Dummy Value 0010</t>
  </si>
  <si>
    <t>Kunal Singh</t>
  </si>
  <si>
    <t>Mapped to dummy holder</t>
  </si>
  <si>
    <t>Yash Singh</t>
  </si>
  <si>
    <t>Dev Singh</t>
  </si>
  <si>
    <t>Aryan Singh</t>
  </si>
  <si>
    <t>Neel Singh</t>
  </si>
  <si>
    <t>M-3</t>
  </si>
  <si>
    <t>Om Singh</t>
  </si>
  <si>
    <t>Ritvik Singh</t>
  </si>
  <si>
    <t>L-02</t>
  </si>
  <si>
    <t>To be delimited</t>
  </si>
  <si>
    <t>Aditi Singh</t>
  </si>
  <si>
    <t>Naina Singh</t>
  </si>
  <si>
    <t>Tara Singh</t>
  </si>
  <si>
    <t>Pooja Singh</t>
  </si>
  <si>
    <t>Shruti Singh</t>
  </si>
  <si>
    <t>Neha Singh</t>
  </si>
  <si>
    <t>Tanvi Singh</t>
  </si>
  <si>
    <t>Rhea Singh</t>
  </si>
  <si>
    <t>Mitali Singh</t>
  </si>
  <si>
    <t>Suhani Singh</t>
  </si>
  <si>
    <t>Aarav Das</t>
  </si>
  <si>
    <t>Vivaan Das</t>
  </si>
  <si>
    <t>Aditya Das</t>
  </si>
  <si>
    <t>Vihaan Das</t>
  </si>
  <si>
    <t>Arjun Das</t>
  </si>
  <si>
    <t>Sai Das</t>
  </si>
  <si>
    <t>Reyansh Das</t>
  </si>
  <si>
    <t>Ayaan Das</t>
  </si>
  <si>
    <t>Krishna Das</t>
  </si>
  <si>
    <t>Ishaan Das</t>
  </si>
  <si>
    <t>Ananya Das</t>
  </si>
  <si>
    <t>Diya Das</t>
  </si>
  <si>
    <t>Isha Das</t>
  </si>
  <si>
    <t>Kavya Das</t>
  </si>
  <si>
    <t>Meera Das</t>
  </si>
  <si>
    <t>Saanvi Das</t>
  </si>
  <si>
    <t>Aadhya Das</t>
  </si>
  <si>
    <t>Riya Das</t>
  </si>
  <si>
    <t>Kiara Das</t>
  </si>
  <si>
    <t>Avni Das</t>
  </si>
  <si>
    <t>Kabir Das</t>
  </si>
  <si>
    <t>Rohan Das</t>
  </si>
  <si>
    <t>Nikhil Das</t>
  </si>
  <si>
    <t>Kunal Das</t>
  </si>
  <si>
    <t>Yash Das</t>
  </si>
  <si>
    <t>Dev Das</t>
  </si>
  <si>
    <t>Aryan Das</t>
  </si>
  <si>
    <t>Neel Das</t>
  </si>
  <si>
    <t>Om Das</t>
  </si>
  <si>
    <t>Ritvik Das</t>
  </si>
  <si>
    <t>Aditi Das</t>
  </si>
  <si>
    <t>Naina Das</t>
  </si>
  <si>
    <t>Tara Das</t>
  </si>
  <si>
    <t>Pooja Das</t>
  </si>
  <si>
    <t>Shruti Das</t>
  </si>
  <si>
    <t>Neha Das</t>
  </si>
  <si>
    <t>Tanvi Das</t>
  </si>
  <si>
    <t>Rhea Das</t>
  </si>
  <si>
    <t>Mitali Das</t>
  </si>
  <si>
    <t>MT 2025</t>
  </si>
  <si>
    <t>Sanitized Dummy Value 0011</t>
  </si>
  <si>
    <t>Suhani Das</t>
  </si>
  <si>
    <t>Trainee</t>
  </si>
  <si>
    <t>Aarav Verma</t>
  </si>
  <si>
    <t>OJT 2025</t>
  </si>
  <si>
    <t>Sanitized Dummy Value 0012</t>
  </si>
  <si>
    <t>Vivaan Verma</t>
  </si>
  <si>
    <t>Sanitized Dummy Value 0013</t>
  </si>
  <si>
    <t>Vihaan Verma</t>
  </si>
  <si>
    <t>Arjun Verma</t>
  </si>
  <si>
    <t>Sanitized Dummy Value 0014</t>
  </si>
  <si>
    <t>Sai Verma</t>
  </si>
  <si>
    <t>Reyansh Verma</t>
  </si>
  <si>
    <t>Ayaan Verma</t>
  </si>
  <si>
    <t>Krishna Verma</t>
  </si>
  <si>
    <t>Ishaan Verma</t>
  </si>
  <si>
    <t>Ananya Verma</t>
  </si>
  <si>
    <t>Diya Verma</t>
  </si>
  <si>
    <t>Isha Verma</t>
  </si>
  <si>
    <t>Kavya Verma</t>
  </si>
  <si>
    <t>Meera Verma</t>
  </si>
  <si>
    <t>Saanvi Verma</t>
  </si>
  <si>
    <t>Aadhya Verma</t>
  </si>
  <si>
    <t>Riya Verma</t>
  </si>
  <si>
    <t>Kiara Verma</t>
  </si>
  <si>
    <t>Avni Verma</t>
  </si>
  <si>
    <t>Kabir Verma</t>
  </si>
  <si>
    <t>Rohan Verma</t>
  </si>
  <si>
    <t>Nikhil Verma</t>
  </si>
  <si>
    <t>Kunal Verma</t>
  </si>
  <si>
    <t>Yash Verma</t>
  </si>
  <si>
    <t>Dev Verma</t>
  </si>
  <si>
    <t>Aryan Verma</t>
  </si>
  <si>
    <t>Neel Verma</t>
  </si>
  <si>
    <t>Om Verma</t>
  </si>
  <si>
    <t>Ritvik Verma</t>
  </si>
  <si>
    <t>Aditi Verma</t>
  </si>
  <si>
    <t>Naina Verma</t>
  </si>
  <si>
    <t>Tara Verma</t>
  </si>
  <si>
    <t>Pooja Verma</t>
  </si>
  <si>
    <t>Shruti Verma</t>
  </si>
  <si>
    <t>Neha Verma</t>
  </si>
  <si>
    <t>Tanvi Verma</t>
  </si>
  <si>
    <t>Rhea Verma</t>
  </si>
  <si>
    <t>Mitali Verma</t>
  </si>
  <si>
    <t>Suhani Verma</t>
  </si>
  <si>
    <t>Aarav Joshi</t>
  </si>
  <si>
    <t>Vivaan Joshi</t>
  </si>
  <si>
    <t>Sanitized Dummy Value 0015</t>
  </si>
  <si>
    <t>Vihaan Joshi</t>
  </si>
  <si>
    <t>Arjun Joshi</t>
  </si>
  <si>
    <t>Sai Joshi</t>
  </si>
  <si>
    <t>Reyansh Joshi</t>
  </si>
  <si>
    <t>Ayaan Joshi</t>
  </si>
  <si>
    <t>Krishna Joshi</t>
  </si>
  <si>
    <t>Ishaan Joshi</t>
  </si>
  <si>
    <t>Ananya Joshi</t>
  </si>
  <si>
    <t>Diya Joshi</t>
  </si>
  <si>
    <t>Isha Joshi</t>
  </si>
  <si>
    <t>Kavya Joshi</t>
  </si>
  <si>
    <t>GET 2026</t>
  </si>
  <si>
    <t>Sanitized Dummy Value 0016</t>
  </si>
  <si>
    <t>OJT 2026</t>
  </si>
  <si>
    <t>Meera Joshi</t>
  </si>
  <si>
    <t>Saanvi Joshi</t>
  </si>
  <si>
    <t>Aadhya Joshi</t>
  </si>
  <si>
    <t>Riya Joshi</t>
  </si>
  <si>
    <t>Kiara Joshi</t>
  </si>
  <si>
    <t>Avni Joshi</t>
  </si>
  <si>
    <t>Kabir Joshi</t>
  </si>
  <si>
    <t>Rohan Joshi</t>
  </si>
  <si>
    <t>Nikhil Joshi</t>
  </si>
  <si>
    <t>Sanitized Dummy Value 0017</t>
  </si>
  <si>
    <t>Yash Joshi</t>
  </si>
  <si>
    <t>Dev Joshi</t>
  </si>
  <si>
    <t>Aryan Joshi</t>
  </si>
  <si>
    <t>Neel Joshi</t>
  </si>
  <si>
    <t>M-4 / M-5</t>
  </si>
  <si>
    <t>Om Joshi</t>
  </si>
  <si>
    <t>Ritvik Joshi</t>
  </si>
  <si>
    <t>To be validated</t>
  </si>
  <si>
    <t>No action required</t>
  </si>
  <si>
    <t>Pending update</t>
  </si>
  <si>
    <t>Aditi Joshi</t>
  </si>
  <si>
    <t>Naina Joshi</t>
  </si>
  <si>
    <t>Tara Joshi</t>
  </si>
  <si>
    <t>Pooja Joshi</t>
  </si>
  <si>
    <t>Shruti Joshi</t>
  </si>
  <si>
    <t>Neha Joshi</t>
  </si>
  <si>
    <t>Tanvi Joshi</t>
  </si>
  <si>
    <t>Rhea Joshi</t>
  </si>
  <si>
    <t>Mitali Joshi</t>
  </si>
  <si>
    <t>Suhani Joshi</t>
  </si>
  <si>
    <t>Aarav Pillai</t>
  </si>
  <si>
    <t>Vivaan Pillai</t>
  </si>
  <si>
    <t>Aditya Pillai</t>
  </si>
  <si>
    <t>Vihaan Pillai</t>
  </si>
  <si>
    <t>Arjun Pillai</t>
  </si>
  <si>
    <t>Sai Pillai</t>
  </si>
  <si>
    <t>Reyansh Pillai</t>
  </si>
  <si>
    <t>Ayaan Pillai</t>
  </si>
  <si>
    <t>Krishna Pillai</t>
  </si>
  <si>
    <t>Ishaan Pillai</t>
  </si>
  <si>
    <t>Ananya Pillai</t>
  </si>
  <si>
    <t>Diya Pillai</t>
  </si>
  <si>
    <t>Advisor</t>
  </si>
  <si>
    <t>Isha Pillai</t>
  </si>
  <si>
    <t>Kavya Pillai</t>
  </si>
  <si>
    <t>Meera Pillai</t>
  </si>
  <si>
    <t>Saanvi Pillai</t>
  </si>
  <si>
    <t>SSC Operations</t>
  </si>
  <si>
    <t>Aadhya Pillai</t>
  </si>
  <si>
    <t>Riya Pillai</t>
  </si>
  <si>
    <t>Kiara Pillai</t>
  </si>
  <si>
    <t>Avni Pillai</t>
  </si>
  <si>
    <t>Kabir Pillai</t>
  </si>
  <si>
    <t>Rohan Pillai</t>
  </si>
  <si>
    <t>Nikhil Pillai</t>
  </si>
  <si>
    <t>Kunal Pillai</t>
  </si>
  <si>
    <t>Yash Pillai</t>
  </si>
  <si>
    <t>Dev Pillai</t>
  </si>
  <si>
    <t>Aryan Pillai</t>
  </si>
  <si>
    <t>Neel Pillai</t>
  </si>
  <si>
    <t>Om Pillai</t>
  </si>
  <si>
    <t>Ritvik Pillai</t>
  </si>
  <si>
    <t>Aditi Pillai</t>
  </si>
  <si>
    <t>Naina Pillai</t>
  </si>
  <si>
    <t>Tara Pillai</t>
  </si>
  <si>
    <t>Pooja Pillai</t>
  </si>
  <si>
    <t>Shruti Pillai</t>
  </si>
  <si>
    <t>Neha Pillai</t>
  </si>
  <si>
    <t>Projects</t>
  </si>
  <si>
    <t>Tanvi Pillai</t>
  </si>
  <si>
    <t>Rhea Pillai</t>
  </si>
  <si>
    <t>Mitali Pillai</t>
  </si>
  <si>
    <t>Suhani Pillai</t>
  </si>
  <si>
    <t>Aarav Reddy</t>
  </si>
  <si>
    <t>Vivaan Reddy</t>
  </si>
  <si>
    <t>Aditya Reddy</t>
  </si>
  <si>
    <t>Vihaan Reddy</t>
  </si>
  <si>
    <t>Arjun Reddy</t>
  </si>
  <si>
    <t>Sai Reddy</t>
  </si>
  <si>
    <t>Reyansh Reddy</t>
  </si>
  <si>
    <t>Ayaan Reddy</t>
  </si>
  <si>
    <t>Krishna Reddy</t>
  </si>
  <si>
    <t>Ishaan Reddy</t>
  </si>
  <si>
    <t>Ananya Reddy</t>
  </si>
  <si>
    <t>Diya Reddy</t>
  </si>
  <si>
    <t>Isha Reddy</t>
  </si>
  <si>
    <t>Kavya Reddy</t>
  </si>
  <si>
    <t>Meera Reddy</t>
  </si>
  <si>
    <t>Saanvi Reddy</t>
  </si>
  <si>
    <t>Aadhya Reddy</t>
  </si>
  <si>
    <t>Riya Reddy</t>
  </si>
  <si>
    <t>Kiara Reddy</t>
  </si>
  <si>
    <t>Avni Reddy</t>
  </si>
  <si>
    <t>Kabir Reddy</t>
  </si>
  <si>
    <t>Central Team</t>
  </si>
  <si>
    <t>Rohan Reddy</t>
  </si>
  <si>
    <t>Nikhil Reddy</t>
  </si>
  <si>
    <t>Kunal Reddy</t>
  </si>
  <si>
    <t>Yash Reddy</t>
  </si>
  <si>
    <t>Dev Reddy</t>
  </si>
  <si>
    <t>Aryan Reddy</t>
  </si>
  <si>
    <t>Neel Reddy</t>
  </si>
  <si>
    <t>Om Reddy</t>
  </si>
  <si>
    <t>Ritvik Reddy</t>
  </si>
  <si>
    <t>Aditi Reddy</t>
  </si>
  <si>
    <t>Naina Reddy</t>
  </si>
  <si>
    <t>Tara Reddy</t>
  </si>
  <si>
    <t>Pooja Reddy</t>
  </si>
  <si>
    <t>Shruti Reddy</t>
  </si>
  <si>
    <t>Neha Reddy</t>
  </si>
  <si>
    <t>Tanvi Reddy</t>
  </si>
  <si>
    <t>Rhea Reddy</t>
  </si>
  <si>
    <t>Mitali Reddy</t>
  </si>
  <si>
    <t>Suhani Reddy</t>
  </si>
  <si>
    <t>Aarav Bose</t>
  </si>
  <si>
    <t>Vivaan Bose</t>
  </si>
  <si>
    <t>Aditya Bose</t>
  </si>
  <si>
    <t>Vihaan Bose</t>
  </si>
  <si>
    <t>Arjun Bose</t>
  </si>
  <si>
    <t>Sai Bose</t>
  </si>
  <si>
    <t>Reyansh Bose</t>
  </si>
  <si>
    <t>Ayaan Bose</t>
  </si>
  <si>
    <t>Krishna Bose</t>
  </si>
  <si>
    <t>Ishaan Bose</t>
  </si>
  <si>
    <t>Ananya Bose</t>
  </si>
  <si>
    <t>Diya Bose</t>
  </si>
  <si>
    <t>Isha Bose</t>
  </si>
  <si>
    <t>Kavya Bose</t>
  </si>
  <si>
    <t>Meera Bose</t>
  </si>
  <si>
    <t>Saanvi Bose</t>
  </si>
  <si>
    <t>Aadhya Bose</t>
  </si>
  <si>
    <t>Riya Bose</t>
  </si>
  <si>
    <t>Kiara Bose</t>
  </si>
  <si>
    <t>Avni Bose</t>
  </si>
  <si>
    <t>Kabir Bose</t>
  </si>
  <si>
    <t>Rohan Bose</t>
  </si>
  <si>
    <t>Nikhil Bose</t>
  </si>
  <si>
    <t>Kunal Bose</t>
  </si>
  <si>
    <t>Yash Bose</t>
  </si>
  <si>
    <t>Dev Bose</t>
  </si>
  <si>
    <t>Aryan Bose</t>
  </si>
  <si>
    <t>Neel Bose</t>
  </si>
  <si>
    <t>Om Bose</t>
  </si>
  <si>
    <t>Ritvik Bose</t>
  </si>
  <si>
    <t>Aditi Bose</t>
  </si>
  <si>
    <t>Naina Bose</t>
  </si>
  <si>
    <t>Tara Bose</t>
  </si>
  <si>
    <t>Pooja Bose</t>
  </si>
  <si>
    <t>Shruti Bose</t>
  </si>
  <si>
    <t>Neha Bose</t>
  </si>
  <si>
    <t>Tanvi Bose</t>
  </si>
  <si>
    <t>Rhea Bose</t>
  </si>
  <si>
    <t>Mitali Bose</t>
  </si>
  <si>
    <t>Suhani Bose</t>
  </si>
  <si>
    <t>Aarav Kulkarni</t>
  </si>
  <si>
    <t>Vivaan Kulkarni</t>
  </si>
  <si>
    <t>Aditya Kulkarni</t>
  </si>
  <si>
    <t>Vihaan Kulkarni</t>
  </si>
  <si>
    <t>Arjun Kulkarni</t>
  </si>
  <si>
    <t>Sai Kulkarni</t>
  </si>
  <si>
    <t>Reyansh Kulkarni</t>
  </si>
  <si>
    <t>Ayaan Kulkarni</t>
  </si>
  <si>
    <t>Krishna Kulkarni</t>
  </si>
  <si>
    <t>Ishaan Kulkarni</t>
  </si>
  <si>
    <t>Ananya Kulkarni</t>
  </si>
  <si>
    <t>Diya Kulkarni</t>
  </si>
  <si>
    <t>Isha Kulkarni</t>
  </si>
  <si>
    <t>Kavya Kulkarni</t>
  </si>
  <si>
    <t>Meera Kulkarni</t>
  </si>
  <si>
    <t>Saanvi Kulkarni</t>
  </si>
  <si>
    <t>Aadhya Kulkarni</t>
  </si>
  <si>
    <t>Riya Kulkarni</t>
  </si>
  <si>
    <t>Kiara Kulkarni</t>
  </si>
  <si>
    <t>Avni Kulkarni</t>
  </si>
  <si>
    <t>Kabir Kulkarni</t>
  </si>
  <si>
    <t>Rohan Kulkarni</t>
  </si>
  <si>
    <t>Nikhil Kulkarni</t>
  </si>
  <si>
    <t>Kunal Kulkarni</t>
  </si>
  <si>
    <t>Yash Kulkarni</t>
  </si>
  <si>
    <t>Dev Kulkarni</t>
  </si>
  <si>
    <t>Aryan Kulkarni</t>
  </si>
  <si>
    <t>Neel Kulkarni</t>
  </si>
  <si>
    <t>Om Kulkarni</t>
  </si>
  <si>
    <t>Ritvik Kulkarni</t>
  </si>
  <si>
    <t>Aditi Kulkarni</t>
  </si>
  <si>
    <t>Naina Kulkarni</t>
  </si>
  <si>
    <t>Tara Kulkarni</t>
  </si>
  <si>
    <t>Pooja Kulkarni</t>
  </si>
  <si>
    <t>Shruti Kulkarni</t>
  </si>
  <si>
    <t>Neha Kulkarni</t>
  </si>
  <si>
    <t>Tanvi Kulkarni</t>
  </si>
  <si>
    <t>Rhea Kulkarni</t>
  </si>
  <si>
    <t>Mitali Kulkarni</t>
  </si>
  <si>
    <t>Suhani Kulkarni</t>
  </si>
  <si>
    <t>Aarav Chopra</t>
  </si>
  <si>
    <t>Vivaan Chopra</t>
  </si>
  <si>
    <t>Aditya Chopra</t>
  </si>
  <si>
    <t>Vihaan Chopra</t>
  </si>
  <si>
    <t>Arjun Chopra</t>
  </si>
  <si>
    <t>Sai Chopra</t>
  </si>
  <si>
    <t>Reyansh Chopra</t>
  </si>
  <si>
    <t>Ayaan Chopra</t>
  </si>
  <si>
    <t>Krishna Chopra</t>
  </si>
  <si>
    <t>Ishaan Chopra</t>
  </si>
  <si>
    <t>Ananya Chopra</t>
  </si>
  <si>
    <t>Diya Chopra</t>
  </si>
  <si>
    <t>Isha Chopra</t>
  </si>
  <si>
    <t>Kavya Chopra</t>
  </si>
  <si>
    <t>Meera Chopra</t>
  </si>
  <si>
    <t>Saanvi Chopra</t>
  </si>
  <si>
    <t>Aadhya Chopra</t>
  </si>
  <si>
    <t>Riya Chopra</t>
  </si>
  <si>
    <t>Kiara Chopra</t>
  </si>
  <si>
    <t>Avni Chopra</t>
  </si>
  <si>
    <t>Kabir Chopra</t>
  </si>
  <si>
    <t>Rohan Chopra</t>
  </si>
  <si>
    <t>Nikhil Chopra</t>
  </si>
  <si>
    <t>Kunal Chopra</t>
  </si>
  <si>
    <t>Yash Chopra</t>
  </si>
  <si>
    <t>Dev Chopra</t>
  </si>
  <si>
    <t>Aryan Chopra</t>
  </si>
  <si>
    <t>Neel Chopra</t>
  </si>
  <si>
    <t>Om Chopra</t>
  </si>
  <si>
    <t>Ritvik Chopra</t>
  </si>
  <si>
    <t>Aditi Chopra</t>
  </si>
  <si>
    <t>Naina Chopra</t>
  </si>
  <si>
    <t>Tara Chopra</t>
  </si>
  <si>
    <t>Pooja Chopra</t>
  </si>
  <si>
    <t>Shruti Chopra</t>
  </si>
  <si>
    <t>Neha Chopra</t>
  </si>
  <si>
    <t>Tanvi Chopra</t>
  </si>
  <si>
    <t>Rhea Chopra</t>
  </si>
  <si>
    <t>Mitali Chopra</t>
  </si>
  <si>
    <t>Suhani Chopra</t>
  </si>
  <si>
    <t>Aarav Menon</t>
  </si>
  <si>
    <t>Vivaan Menon</t>
  </si>
  <si>
    <t>Aditya Menon</t>
  </si>
  <si>
    <t>Vihaan Menon</t>
  </si>
  <si>
    <t>Arjun Menon</t>
  </si>
  <si>
    <t>Sai Menon</t>
  </si>
  <si>
    <t>Reyansh Menon</t>
  </si>
  <si>
    <t>Ayaan Menon</t>
  </si>
  <si>
    <t>Krishna Menon</t>
  </si>
  <si>
    <t>Ishaan Menon</t>
  </si>
  <si>
    <t>Ananya Menon</t>
  </si>
  <si>
    <t>Diya Menon</t>
  </si>
  <si>
    <t>Isha Menon</t>
  </si>
  <si>
    <t>Kavya Menon</t>
  </si>
  <si>
    <t>Meera Menon</t>
  </si>
  <si>
    <t>Saanvi Menon</t>
  </si>
  <si>
    <t>Aadhya Menon</t>
  </si>
  <si>
    <t>Riya Menon</t>
  </si>
  <si>
    <t>Kiara Menon</t>
  </si>
  <si>
    <t>Avni Menon</t>
  </si>
  <si>
    <t>Kabir Menon</t>
  </si>
  <si>
    <t>Rohan Menon</t>
  </si>
  <si>
    <t>Nikhil Menon</t>
  </si>
  <si>
    <t>Kunal Menon</t>
  </si>
  <si>
    <t>Yash Menon</t>
  </si>
  <si>
    <t>Dev Menon</t>
  </si>
  <si>
    <t>Aryan Menon</t>
  </si>
  <si>
    <t>Neel Menon</t>
  </si>
  <si>
    <t>Om Menon</t>
  </si>
  <si>
    <t>Ritvik Menon</t>
  </si>
  <si>
    <t>Aditi Menon</t>
  </si>
  <si>
    <t>Naina Menon</t>
  </si>
  <si>
    <t>Tara Menon</t>
  </si>
  <si>
    <t>Pooja Menon</t>
  </si>
  <si>
    <t>Shruti Menon</t>
  </si>
  <si>
    <t>Neha Menon</t>
  </si>
  <si>
    <t>Tanvi Menon</t>
  </si>
  <si>
    <t>Rhea Menon</t>
  </si>
  <si>
    <t>Mitali Menon</t>
  </si>
  <si>
    <t>Suhani Menon</t>
  </si>
  <si>
    <t>Aarav Trivedi</t>
  </si>
  <si>
    <t>Vivaan Trivedi</t>
  </si>
  <si>
    <t>Aditya Trivedi</t>
  </si>
  <si>
    <t>Vihaan Trivedi</t>
  </si>
  <si>
    <t>Arjun Trivedi</t>
  </si>
  <si>
    <t>Sai Trivedi</t>
  </si>
  <si>
    <t>Reyansh Trivedi</t>
  </si>
  <si>
    <t>Ayaan Trivedi</t>
  </si>
  <si>
    <t>Krishna Trivedi</t>
  </si>
  <si>
    <t>Ishaan Trivedi</t>
  </si>
  <si>
    <t>Ananya Trivedi</t>
  </si>
  <si>
    <t>Diya Trivedi</t>
  </si>
  <si>
    <t>Isha Trivedi</t>
  </si>
  <si>
    <t>Kavya Trivedi</t>
  </si>
  <si>
    <t>Meera Trivedi</t>
  </si>
  <si>
    <t>Saanvi Trivedi</t>
  </si>
  <si>
    <t>Aadhya Trivedi</t>
  </si>
  <si>
    <t>Riya Trivedi</t>
  </si>
  <si>
    <t>Kiara Trivedi</t>
  </si>
  <si>
    <t>Avni Trivedi</t>
  </si>
  <si>
    <t>Kabir Trivedi</t>
  </si>
  <si>
    <t>Rohan Trivedi</t>
  </si>
  <si>
    <t>Nikhil Trivedi</t>
  </si>
  <si>
    <t>Kunal Trivedi</t>
  </si>
  <si>
    <t>Sanitized Dummy Value 0018</t>
  </si>
  <si>
    <t>Dev Trivedi</t>
  </si>
  <si>
    <t>Aryan Trivedi</t>
  </si>
  <si>
    <t>Neel Trivedi</t>
  </si>
  <si>
    <t>Om Trivedi</t>
  </si>
  <si>
    <t>Ritvik Trivedi</t>
  </si>
  <si>
    <t>Aditi Trivedi</t>
  </si>
  <si>
    <t xml:space="preserve">Employee Grade </t>
  </si>
  <si>
    <t>Regular/Trainee</t>
  </si>
  <si>
    <t xml:space="preserve">Vacant </t>
  </si>
  <si>
    <t>Naina Trivedi</t>
  </si>
  <si>
    <t>L-1</t>
  </si>
  <si>
    <t>Tara Trivedi</t>
  </si>
  <si>
    <t>Pooja Trivedi</t>
  </si>
  <si>
    <t>Shruti Trivedi</t>
  </si>
  <si>
    <t>Neha Trivedi</t>
  </si>
  <si>
    <t>Tanvi Trivedi</t>
  </si>
  <si>
    <t>Rhea Trivedi</t>
  </si>
  <si>
    <t>Mitali Trivedi</t>
  </si>
  <si>
    <t>Suhani Trivedi</t>
  </si>
  <si>
    <t>Aarav Saxena</t>
  </si>
  <si>
    <t>Vivaan Saxena</t>
  </si>
  <si>
    <t>Aditya Saxena</t>
  </si>
  <si>
    <t>Vihaan Saxena</t>
  </si>
  <si>
    <t>Arjun Saxena</t>
  </si>
  <si>
    <t>Sai Saxena</t>
  </si>
  <si>
    <t>Reyansh Saxena</t>
  </si>
  <si>
    <t>Ayaan Saxena</t>
  </si>
  <si>
    <t>Krishna Saxena</t>
  </si>
  <si>
    <t>Ishaan Saxena</t>
  </si>
  <si>
    <t>Ananya Saxena</t>
  </si>
  <si>
    <t>Diya Saxena</t>
  </si>
  <si>
    <t>Isha Saxena</t>
  </si>
  <si>
    <t>Resigned</t>
  </si>
  <si>
    <t>Kavya Saxena</t>
  </si>
  <si>
    <t>Meera Saxena</t>
  </si>
  <si>
    <t>Saanvi Saxena</t>
  </si>
  <si>
    <t>Aadhya Saxena</t>
  </si>
  <si>
    <t>Riya Saxena</t>
  </si>
  <si>
    <t>Kiara Saxena</t>
  </si>
  <si>
    <t>Avni Saxena</t>
  </si>
  <si>
    <t>Kabir Saxena</t>
  </si>
  <si>
    <t>Rohan Saxena</t>
  </si>
  <si>
    <t>Nikhil Saxena</t>
  </si>
  <si>
    <t>MTs</t>
  </si>
  <si>
    <t>GETs</t>
  </si>
  <si>
    <t>ETs</t>
  </si>
  <si>
    <t>Occupied/Vacant</t>
  </si>
  <si>
    <t>Kunal Saxena</t>
  </si>
  <si>
    <t>Yash Saxena</t>
  </si>
  <si>
    <t>Dev Saxena</t>
  </si>
  <si>
    <t>Aryan Saxena</t>
  </si>
  <si>
    <t>Neel Saxena</t>
  </si>
  <si>
    <t>Om Saxena</t>
  </si>
  <si>
    <t>Ritvik Saxena</t>
  </si>
  <si>
    <t>Aditi Saxena</t>
  </si>
  <si>
    <t>Naina Saxena</t>
  </si>
  <si>
    <t>Tara Saxena</t>
  </si>
  <si>
    <t>Pooja Saxena</t>
  </si>
  <si>
    <t>Shruti Saxena</t>
  </si>
  <si>
    <t>Neha Saxena</t>
  </si>
  <si>
    <t>Tanvi Saxena</t>
  </si>
  <si>
    <t>Rhea Saxena</t>
  </si>
  <si>
    <t>Mitali Saxena</t>
  </si>
  <si>
    <t>Suhani Saxena</t>
  </si>
  <si>
    <t>Aarav Bhat</t>
  </si>
  <si>
    <t>Vivaan Bhat</t>
  </si>
  <si>
    <t>Aditya Bhat</t>
  </si>
  <si>
    <t>Vihaan Bhat</t>
  </si>
  <si>
    <t>Arjun Bhat</t>
  </si>
  <si>
    <t>PDA</t>
  </si>
  <si>
    <t>Sai Bhat</t>
  </si>
  <si>
    <t>Reyansh Bhat</t>
  </si>
  <si>
    <t>Ayaan Bhat</t>
  </si>
  <si>
    <t>Krishna Bhat</t>
  </si>
  <si>
    <t>Ishaan Bhat</t>
  </si>
  <si>
    <t>Ananya Bhat</t>
  </si>
  <si>
    <t>Diya Bhat</t>
  </si>
  <si>
    <t>Isha Bhat</t>
  </si>
  <si>
    <t>Kavya Bhat</t>
  </si>
  <si>
    <t>Meera Bhat</t>
  </si>
  <si>
    <t>Saanvi Bhat</t>
  </si>
  <si>
    <t>Aadhya Bhat</t>
  </si>
  <si>
    <t>Riya Bhat</t>
  </si>
  <si>
    <t>Kiara Bhat</t>
  </si>
  <si>
    <t>Avni Bhat</t>
  </si>
  <si>
    <t>Kabir Bhat</t>
  </si>
  <si>
    <t>Rohan Bhat</t>
  </si>
  <si>
    <t>Nikhil Bhat</t>
  </si>
  <si>
    <t>Kunal Bhat</t>
  </si>
  <si>
    <t>Yash Bhat</t>
  </si>
  <si>
    <t>Dev Bhat</t>
  </si>
  <si>
    <t>Aryan Bhat</t>
  </si>
  <si>
    <t>Neel Bhat</t>
  </si>
  <si>
    <t>Om Bhat</t>
  </si>
  <si>
    <t>Ritvik Bhat</t>
  </si>
  <si>
    <t>Aditi Bhat</t>
  </si>
  <si>
    <t>Naina Bhat</t>
  </si>
  <si>
    <t>Tara Bhat</t>
  </si>
  <si>
    <t>Pooja Bhat</t>
  </si>
  <si>
    <t>Shruti Bhat</t>
  </si>
  <si>
    <t>Neha Bhat</t>
  </si>
  <si>
    <t>Tanvi Bhat</t>
  </si>
  <si>
    <t>Rhea Bhat</t>
  </si>
  <si>
    <t>Mitali Bhat</t>
  </si>
  <si>
    <t>Suhani Bhat</t>
  </si>
  <si>
    <t>Unbudgeted Posn 2025</t>
  </si>
  <si>
    <t>Temp Pos Code</t>
  </si>
  <si>
    <t>GET 2025</t>
  </si>
  <si>
    <t>Function 1</t>
  </si>
  <si>
    <t xml:space="preserve">sr no </t>
  </si>
  <si>
    <t>Employee level</t>
  </si>
  <si>
    <t>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</si>
</sst>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>
    <font>
      <sz val="11"/>
      <color theme="1"/>
      <name val="Aptos Narrow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Aptos Narrow"/>
      <family val="2"/>
      <scheme val="minor"/>
    </font>
    <font>
      <sz val="10"/>
      <color rgb="FF000000"/>
      <name val="Cambria"/>
      <family val="1"/>
    </font>
    <font>
      <sz val="10"/>
      <name val="Cambria"/>
      <family val="1"/>
    </font>
    <font>
      <b/>
      <sz val="10"/>
      <color rgb="FF000000"/>
      <name val="Cambria"/>
      <family val="1"/>
    </font>
    <font>
      <b/>
      <sz val="10"/>
      <color theme="0"/>
      <name val="Cambria"/>
      <family val="1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name val="Cambria"/>
      <family val="1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43" fontId="12" fillId="0" borderId="0"/>
  </cellStyleXfs>
  <cellXfs count="12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readingOrder="1"/>
    </xf>
    <xf numFmtId="0" fontId="4" fillId="5" borderId="1" xfId="0" applyFont="1" applyFill="1" applyBorder="1" applyAlignment="1">
      <alignment horizontal="center" vertical="center" readingOrder="1"/>
    </xf>
    <xf numFmtId="0" fontId="4" fillId="6" borderId="1" xfId="0" applyFont="1" applyFill="1" applyBorder="1" applyAlignment="1">
      <alignment horizontal="center" vertical="center" readingOrder="1"/>
    </xf>
    <xf numFmtId="0" fontId="7" fillId="7" borderId="6" xfId="0" applyFont="1" applyFill="1" applyBorder="1" applyAlignment="1">
      <alignment horizontal="left" vertical="center" readingOrder="1"/>
    </xf>
    <xf numFmtId="0" fontId="7" fillId="7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8" fillId="3" borderId="1" xfId="0" applyFont="1" applyFill="1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0" fillId="11" borderId="1" xfId="0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12" borderId="1" xfId="0" applyFont="1" applyFill="1" applyBorder="1" applyAlignment="1">
      <alignment horizontal="left" vertical="center"/>
    </xf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2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readingOrder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7" fillId="14" borderId="11" xfId="0" applyFont="1" applyFill="1" applyBorder="1" applyAlignment="1">
      <alignment horizontal="center" vertical="center" wrapText="1" readingOrder="1"/>
    </xf>
    <xf numFmtId="0" fontId="18" fillId="0" borderId="11" xfId="0" applyFont="1" applyBorder="1" applyAlignment="1">
      <alignment horizontal="center" vertical="center" wrapText="1"/>
    </xf>
    <xf numFmtId="0" fontId="17" fillId="13" borderId="11" xfId="0" applyFont="1" applyFill="1" applyBorder="1" applyAlignment="1">
      <alignment horizontal="center" vertical="center" wrapText="1" readingOrder="1"/>
    </xf>
    <xf numFmtId="0" fontId="18" fillId="15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 readingOrder="1"/>
    </xf>
    <xf numFmtId="0" fontId="19" fillId="13" borderId="2" xfId="0" applyFont="1" applyFill="1" applyBorder="1" applyAlignment="1">
      <alignment horizontal="center" vertical="center" wrapText="1" readingOrder="1"/>
    </xf>
    <xf numFmtId="0" fontId="3" fillId="15" borderId="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 readingOrder="1"/>
    </xf>
    <xf numFmtId="0" fontId="3" fillId="15" borderId="1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0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left" wrapText="1" readingOrder="1"/>
    </xf>
    <xf numFmtId="0" fontId="22" fillId="0" borderId="17" xfId="0" applyFont="1" applyBorder="1" applyAlignment="1">
      <alignment horizontal="center" wrapText="1" readingOrder="1"/>
    </xf>
    <xf numFmtId="0" fontId="21" fillId="16" borderId="17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 vertical="center"/>
    </xf>
    <xf numFmtId="0" fontId="23" fillId="0" borderId="1" xfId="0" applyFont="1" applyBorder="1"/>
    <xf numFmtId="0" fontId="6" fillId="1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/>
    </xf>
    <xf numFmtId="0" fontId="11" fillId="0" borderId="0" xfId="0" applyFont="1"/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readingOrder="1"/>
    </xf>
    <xf numFmtId="0" fontId="6" fillId="5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0" fontId="6" fillId="5" borderId="1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6" borderId="8" xfId="0" applyFont="1" applyFill="1" applyBorder="1" applyAlignment="1">
      <alignment horizontal="center" vertical="center" readingOrder="1"/>
    </xf>
    <xf numFmtId="0" fontId="0" fillId="0" borderId="3" xfId="0" applyBorder="1" applyAlignment="1"/>
    <xf numFmtId="0" fontId="0" fillId="0" borderId="18" xfId="0" applyBorder="1" applyAlignment="1"/>
    <xf numFmtId="0" fontId="0" fillId="0" borderId="6" xfId="0" applyBorder="1" applyAlignment="1"/>
    <xf numFmtId="0" fontId="0" fillId="0" borderId="2" xfId="0" applyBorder="1" applyAlignment="1"/>
    <xf numFmtId="0" fontId="0" fillId="0" borderId="7" xfId="0" applyBorder="1" applyAlignment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zoomScale="85" zoomScaleNormal="85" workbookViewId="0">
      <pane xSplit="1" ySplit="3" topLeftCell="B4" activePane="bottomRight" state="frozen"/>
      <selection pane="bottomRight" activeCell="B1" sqref="B1:C1"/>
      <selection pane="bottomLeft" activeCell="D4" sqref="D4"/>
      <selection pane="topRight" activeCell="D4" sqref="D4"/>
    </sheetView>
  </sheetViews>
  <sheetFormatPr defaultRowHeight="14.45"/>
  <cols>
    <col min="1" max="1" width="27.85546875" bestFit="1" customWidth="1"/>
    <col min="2" max="2" width="17.42578125" style="9" customWidth="1"/>
    <col min="3" max="7" width="17.42578125" customWidth="1"/>
    <col min="8" max="9" width="13.5703125" customWidth="1"/>
    <col min="10" max="12" width="14" customWidth="1"/>
    <col min="13" max="13" width="3.5703125" bestFit="1" customWidth="1"/>
    <col min="14" max="14" width="11.140625" bestFit="1" customWidth="1"/>
    <col min="15" max="15" width="10.5703125" bestFit="1" customWidth="1"/>
    <col min="16" max="16" width="3.85546875" bestFit="1" customWidth="1"/>
    <col min="17" max="20" width="4.42578125" bestFit="1" customWidth="1"/>
    <col min="21" max="22" width="4.85546875" bestFit="1" customWidth="1"/>
    <col min="23" max="23" width="3.85546875" bestFit="1" customWidth="1"/>
    <col min="24" max="24" width="6.28515625" bestFit="1" customWidth="1"/>
    <col min="25" max="31" width="3.85546875" bestFit="1" customWidth="1"/>
    <col min="32" max="32" width="3.140625" bestFit="1" customWidth="1"/>
    <col min="33" max="33" width="3.5703125" bestFit="1" customWidth="1"/>
    <col min="34" max="34" width="13.42578125" bestFit="1" customWidth="1"/>
    <col min="35" max="35" width="10.42578125" bestFit="1" customWidth="1"/>
    <col min="36" max="36" width="12.28515625" bestFit="1" customWidth="1"/>
    <col min="37" max="37" width="8.85546875" bestFit="1" customWidth="1"/>
    <col min="38" max="38" width="12.28515625" bestFit="1" customWidth="1"/>
    <col min="39" max="39" width="8.85546875" bestFit="1" customWidth="1"/>
    <col min="40" max="40" width="12.28515625" bestFit="1" customWidth="1"/>
    <col min="41" max="41" width="8.85546875" bestFit="1" customWidth="1"/>
    <col min="42" max="42" width="12.28515625" bestFit="1" customWidth="1"/>
    <col min="43" max="43" width="8.85546875" bestFit="1" customWidth="1"/>
    <col min="44" max="44" width="12.28515625" bestFit="1" customWidth="1"/>
    <col min="45" max="45" width="8.5703125" bestFit="1" customWidth="1"/>
    <col min="46" max="46" width="12.28515625" bestFit="1" customWidth="1"/>
    <col min="47" max="47" width="8.85546875" bestFit="1" customWidth="1"/>
    <col min="48" max="48" width="12.28515625" bestFit="1" customWidth="1"/>
    <col min="49" max="49" width="8.85546875" bestFit="1" customWidth="1"/>
    <col min="50" max="50" width="12.28515625" bestFit="1" customWidth="1"/>
    <col min="51" max="51" width="8.85546875" bestFit="1" customWidth="1"/>
    <col min="52" max="52" width="12.28515625" bestFit="1" customWidth="1"/>
    <col min="53" max="53" width="8.85546875" bestFit="1" customWidth="1"/>
    <col min="54" max="54" width="12.28515625" bestFit="1" customWidth="1"/>
    <col min="55" max="55" width="8.5703125" bestFit="1" customWidth="1"/>
    <col min="56" max="56" width="12.28515625" bestFit="1" customWidth="1"/>
    <col min="57" max="57" width="8.85546875" bestFit="1" customWidth="1"/>
    <col min="58" max="58" width="12.28515625" bestFit="1" customWidth="1"/>
    <col min="59" max="59" width="8.85546875" bestFit="1" customWidth="1"/>
    <col min="60" max="60" width="12.28515625" bestFit="1" customWidth="1"/>
    <col min="61" max="61" width="8.85546875" bestFit="1" customWidth="1"/>
    <col min="62" max="62" width="12.28515625" bestFit="1" customWidth="1"/>
    <col min="63" max="63" width="8.85546875" bestFit="1" customWidth="1"/>
    <col min="64" max="64" width="12.28515625" bestFit="1" customWidth="1"/>
    <col min="65" max="65" width="8.85546875" bestFit="1" customWidth="1"/>
    <col min="66" max="66" width="12.28515625" bestFit="1" customWidth="1"/>
    <col min="67" max="67" width="8.85546875" bestFit="1" customWidth="1"/>
    <col min="68" max="68" width="12.28515625" bestFit="1" customWidth="1"/>
    <col min="69" max="69" width="8.85546875" bestFit="1" customWidth="1"/>
    <col min="70" max="70" width="12.28515625" bestFit="1" customWidth="1"/>
    <col min="71" max="71" width="8.85546875" bestFit="1" customWidth="1"/>
    <col min="72" max="72" width="12.28515625" bestFit="1" customWidth="1"/>
    <col min="73" max="73" width="8.5703125" bestFit="1" customWidth="1"/>
    <col min="74" max="74" width="12.28515625" bestFit="1" customWidth="1"/>
    <col min="75" max="75" width="8.85546875" bestFit="1" customWidth="1"/>
    <col min="76" max="76" width="12.28515625" bestFit="1" customWidth="1"/>
    <col min="77" max="77" width="8.85546875" bestFit="1" customWidth="1"/>
    <col min="78" max="78" width="12.28515625" bestFit="1" customWidth="1"/>
    <col min="79" max="79" width="8.85546875" bestFit="1" customWidth="1"/>
    <col min="80" max="80" width="12.28515625" bestFit="1" customWidth="1"/>
    <col min="81" max="81" width="8.85546875" bestFit="1" customWidth="1"/>
    <col min="82" max="82" width="12.28515625" bestFit="1" customWidth="1"/>
    <col min="83" max="83" width="8.85546875" bestFit="1" customWidth="1"/>
    <col min="84" max="84" width="12.28515625" bestFit="1" customWidth="1"/>
    <col min="85" max="85" width="8.85546875" bestFit="1" customWidth="1"/>
    <col min="86" max="86" width="12.28515625" bestFit="1" customWidth="1"/>
    <col min="87" max="87" width="8.85546875" bestFit="1" customWidth="1"/>
    <col min="88" max="88" width="12.28515625" bestFit="1" customWidth="1"/>
    <col min="89" max="89" width="8.85546875" bestFit="1" customWidth="1"/>
    <col min="90" max="90" width="12.28515625" bestFit="1" customWidth="1"/>
    <col min="91" max="91" width="8.85546875" bestFit="1" customWidth="1"/>
    <col min="92" max="92" width="12.28515625" bestFit="1" customWidth="1"/>
    <col min="93" max="93" width="8.85546875" bestFit="1" customWidth="1"/>
    <col min="94" max="94" width="12.28515625" bestFit="1" customWidth="1"/>
    <col min="95" max="95" width="8.5703125" bestFit="1" customWidth="1"/>
    <col min="96" max="96" width="12.28515625" bestFit="1" customWidth="1"/>
    <col min="97" max="97" width="8.85546875" bestFit="1" customWidth="1"/>
    <col min="98" max="98" width="12.28515625" bestFit="1" customWidth="1"/>
    <col min="99" max="99" width="8.85546875" bestFit="1" customWidth="1"/>
    <col min="100" max="100" width="12.28515625" bestFit="1" customWidth="1"/>
    <col min="101" max="101" width="8.85546875" bestFit="1" customWidth="1"/>
    <col min="102" max="102" width="12.28515625" bestFit="1" customWidth="1"/>
    <col min="103" max="103" width="8.85546875" bestFit="1" customWidth="1"/>
    <col min="104" max="104" width="12.28515625" bestFit="1" customWidth="1"/>
    <col min="105" max="105" width="8.85546875" bestFit="1" customWidth="1"/>
    <col min="106" max="106" width="12.28515625" bestFit="1" customWidth="1"/>
    <col min="107" max="107" width="8.85546875" bestFit="1" customWidth="1"/>
    <col min="108" max="108" width="12.28515625" bestFit="1" customWidth="1"/>
    <col min="109" max="109" width="8.85546875" bestFit="1" customWidth="1"/>
    <col min="110" max="110" width="12.28515625" bestFit="1" customWidth="1"/>
    <col min="111" max="111" width="8.85546875" bestFit="1" customWidth="1"/>
    <col min="112" max="112" width="12.28515625" bestFit="1" customWidth="1"/>
    <col min="113" max="113" width="8.85546875" bestFit="1" customWidth="1"/>
    <col min="114" max="114" width="12.28515625" bestFit="1" customWidth="1"/>
    <col min="115" max="115" width="8.85546875" bestFit="1" customWidth="1"/>
    <col min="116" max="116" width="12.28515625" bestFit="1" customWidth="1"/>
    <col min="117" max="117" width="8.85546875" bestFit="1" customWidth="1"/>
    <col min="118" max="118" width="12.28515625" bestFit="1" customWidth="1"/>
    <col min="119" max="119" width="8.85546875" bestFit="1" customWidth="1"/>
    <col min="120" max="120" width="12.28515625" bestFit="1" customWidth="1"/>
    <col min="121" max="121" width="8.5703125" bestFit="1" customWidth="1"/>
    <col min="122" max="122" width="12.28515625" bestFit="1" customWidth="1"/>
    <col min="123" max="123" width="8.85546875" bestFit="1" customWidth="1"/>
    <col min="124" max="124" width="12.28515625" bestFit="1" customWidth="1"/>
    <col min="125" max="125" width="8.5703125" bestFit="1" customWidth="1"/>
    <col min="126" max="126" width="12.28515625" bestFit="1" customWidth="1"/>
    <col min="127" max="127" width="8.85546875" bestFit="1" customWidth="1"/>
    <col min="128" max="128" width="12.28515625" bestFit="1" customWidth="1"/>
    <col min="129" max="129" width="8.85546875" bestFit="1" customWidth="1"/>
    <col min="130" max="130" width="12.28515625" bestFit="1" customWidth="1"/>
    <col min="131" max="131" width="8.85546875" bestFit="1" customWidth="1"/>
    <col min="132" max="132" width="12.28515625" bestFit="1" customWidth="1"/>
    <col min="133" max="133" width="8.5703125" bestFit="1" customWidth="1"/>
    <col min="134" max="134" width="12.28515625" bestFit="1" customWidth="1"/>
    <col min="135" max="135" width="8.85546875" bestFit="1" customWidth="1"/>
    <col min="136" max="136" width="12.28515625" bestFit="1" customWidth="1"/>
    <col min="137" max="137" width="8.85546875" bestFit="1" customWidth="1"/>
    <col min="138" max="138" width="12.28515625" bestFit="1" customWidth="1"/>
    <col min="139" max="139" width="8.85546875" bestFit="1" customWidth="1"/>
    <col min="140" max="140" width="12.28515625" bestFit="1" customWidth="1"/>
    <col min="141" max="141" width="8.85546875" bestFit="1" customWidth="1"/>
    <col min="142" max="142" width="12.28515625" bestFit="1" customWidth="1"/>
    <col min="143" max="143" width="8.85546875" bestFit="1" customWidth="1"/>
    <col min="144" max="144" width="12.28515625" bestFit="1" customWidth="1"/>
    <col min="145" max="145" width="8.85546875" bestFit="1" customWidth="1"/>
    <col min="146" max="146" width="12.28515625" bestFit="1" customWidth="1"/>
    <col min="147" max="147" width="8.85546875" bestFit="1" customWidth="1"/>
    <col min="148" max="148" width="12.28515625" bestFit="1" customWidth="1"/>
    <col min="149" max="149" width="8.85546875" bestFit="1" customWidth="1"/>
    <col min="150" max="150" width="12.28515625" bestFit="1" customWidth="1"/>
    <col min="151" max="151" width="8.85546875" bestFit="1" customWidth="1"/>
    <col min="152" max="152" width="12.28515625" bestFit="1" customWidth="1"/>
    <col min="153" max="153" width="8.5703125" bestFit="1" customWidth="1"/>
    <col min="154" max="154" width="12.28515625" bestFit="1" customWidth="1"/>
    <col min="155" max="155" width="8.85546875" bestFit="1" customWidth="1"/>
    <col min="156" max="156" width="12.28515625" bestFit="1" customWidth="1"/>
    <col min="157" max="157" width="8.5703125" bestFit="1" customWidth="1"/>
    <col min="158" max="158" width="12.28515625" bestFit="1" customWidth="1"/>
    <col min="159" max="159" width="8.85546875" bestFit="1" customWidth="1"/>
    <col min="160" max="160" width="12.28515625" bestFit="1" customWidth="1"/>
    <col min="161" max="161" width="8.85546875" bestFit="1" customWidth="1"/>
    <col min="162" max="162" width="12.28515625" bestFit="1" customWidth="1"/>
    <col min="163" max="163" width="8.85546875" bestFit="1" customWidth="1"/>
    <col min="164" max="164" width="12.28515625" bestFit="1" customWidth="1"/>
    <col min="165" max="165" width="8.85546875" bestFit="1" customWidth="1"/>
    <col min="166" max="166" width="12.28515625" bestFit="1" customWidth="1"/>
    <col min="167" max="167" width="8.85546875" bestFit="1" customWidth="1"/>
    <col min="168" max="168" width="12.28515625" bestFit="1" customWidth="1"/>
    <col min="169" max="169" width="8.5703125" bestFit="1" customWidth="1"/>
    <col min="170" max="170" width="12.28515625" bestFit="1" customWidth="1"/>
    <col min="171" max="171" width="8.5703125" bestFit="1" customWidth="1"/>
    <col min="172" max="172" width="12.28515625" bestFit="1" customWidth="1"/>
    <col min="173" max="173" width="8.85546875" bestFit="1" customWidth="1"/>
    <col min="174" max="174" width="12.28515625" bestFit="1" customWidth="1"/>
    <col min="175" max="175" width="8.5703125" bestFit="1" customWidth="1"/>
    <col min="176" max="176" width="12.28515625" bestFit="1" customWidth="1"/>
    <col min="177" max="177" width="8.85546875" bestFit="1" customWidth="1"/>
    <col min="178" max="178" width="12.28515625" bestFit="1" customWidth="1"/>
    <col min="179" max="179" width="8.85546875" bestFit="1" customWidth="1"/>
    <col min="180" max="180" width="12.28515625" bestFit="1" customWidth="1"/>
    <col min="181" max="181" width="8.5703125" bestFit="1" customWidth="1"/>
    <col min="182" max="182" width="12.28515625" bestFit="1" customWidth="1"/>
    <col min="183" max="183" width="8.85546875" bestFit="1" customWidth="1"/>
    <col min="184" max="184" width="12.28515625" bestFit="1" customWidth="1"/>
    <col min="185" max="185" width="8.85546875" bestFit="1" customWidth="1"/>
    <col min="186" max="186" width="12.28515625" bestFit="1" customWidth="1"/>
    <col min="187" max="187" width="8.85546875" bestFit="1" customWidth="1"/>
    <col min="188" max="188" width="12.28515625" bestFit="1" customWidth="1"/>
    <col min="189" max="189" width="8.5703125" bestFit="1" customWidth="1"/>
    <col min="190" max="190" width="12.28515625" bestFit="1" customWidth="1"/>
    <col min="191" max="191" width="8.85546875" bestFit="1" customWidth="1"/>
    <col min="192" max="192" width="12.28515625" bestFit="1" customWidth="1"/>
    <col min="193" max="193" width="8.85546875" bestFit="1" customWidth="1"/>
    <col min="194" max="194" width="12.28515625" bestFit="1" customWidth="1"/>
    <col min="195" max="195" width="8.5703125" bestFit="1" customWidth="1"/>
    <col min="196" max="196" width="12.28515625" bestFit="1" customWidth="1"/>
    <col min="197" max="197" width="8.85546875" bestFit="1" customWidth="1"/>
    <col min="198" max="198" width="12.28515625" bestFit="1" customWidth="1"/>
    <col min="199" max="199" width="8.85546875" bestFit="1" customWidth="1"/>
    <col min="200" max="200" width="12.28515625" bestFit="1" customWidth="1"/>
    <col min="201" max="201" width="8.85546875" bestFit="1" customWidth="1"/>
    <col min="202" max="202" width="12.28515625" bestFit="1" customWidth="1"/>
    <col min="203" max="203" width="8.85546875" bestFit="1" customWidth="1"/>
    <col min="204" max="204" width="12.28515625" bestFit="1" customWidth="1"/>
    <col min="205" max="205" width="8.85546875" bestFit="1" customWidth="1"/>
    <col min="206" max="206" width="12.28515625" bestFit="1" customWidth="1"/>
    <col min="207" max="207" width="8.85546875" bestFit="1" customWidth="1"/>
    <col min="208" max="208" width="12.28515625" bestFit="1" customWidth="1"/>
    <col min="209" max="209" width="8.85546875" bestFit="1" customWidth="1"/>
    <col min="210" max="210" width="12.28515625" bestFit="1" customWidth="1"/>
    <col min="211" max="211" width="8.85546875" bestFit="1" customWidth="1"/>
    <col min="212" max="212" width="12.28515625" bestFit="1" customWidth="1"/>
    <col min="213" max="213" width="8.85546875" bestFit="1" customWidth="1"/>
    <col min="214" max="214" width="12.28515625" bestFit="1" customWidth="1"/>
    <col min="215" max="215" width="8.85546875" bestFit="1" customWidth="1"/>
    <col min="216" max="216" width="12.28515625" bestFit="1" customWidth="1"/>
    <col min="217" max="217" width="8.85546875" bestFit="1" customWidth="1"/>
    <col min="218" max="218" width="12.28515625" bestFit="1" customWidth="1"/>
    <col min="219" max="219" width="8.85546875" bestFit="1" customWidth="1"/>
    <col min="220" max="220" width="12.28515625" bestFit="1" customWidth="1"/>
    <col min="221" max="221" width="8.85546875" bestFit="1" customWidth="1"/>
    <col min="222" max="222" width="12.28515625" bestFit="1" customWidth="1"/>
    <col min="223" max="223" width="8.85546875" bestFit="1" customWidth="1"/>
    <col min="224" max="224" width="12.28515625" bestFit="1" customWidth="1"/>
    <col min="225" max="225" width="8.85546875" bestFit="1" customWidth="1"/>
    <col min="226" max="226" width="12.28515625" bestFit="1" customWidth="1"/>
    <col min="227" max="227" width="8.85546875" bestFit="1" customWidth="1"/>
    <col min="228" max="228" width="12.28515625" bestFit="1" customWidth="1"/>
    <col min="229" max="229" width="8.85546875" bestFit="1" customWidth="1"/>
    <col min="230" max="230" width="12.28515625" bestFit="1" customWidth="1"/>
    <col min="231" max="231" width="8.85546875" bestFit="1" customWidth="1"/>
    <col min="232" max="232" width="12.28515625" bestFit="1" customWidth="1"/>
    <col min="233" max="233" width="8.85546875" bestFit="1" customWidth="1"/>
    <col min="234" max="234" width="12.28515625" bestFit="1" customWidth="1"/>
    <col min="235" max="235" width="8.85546875" bestFit="1" customWidth="1"/>
    <col min="236" max="236" width="12.28515625" bestFit="1" customWidth="1"/>
    <col min="237" max="237" width="8.85546875" bestFit="1" customWidth="1"/>
    <col min="238" max="238" width="12.28515625" bestFit="1" customWidth="1"/>
    <col min="239" max="239" width="8.85546875" bestFit="1" customWidth="1"/>
    <col min="240" max="240" width="12.28515625" bestFit="1" customWidth="1"/>
    <col min="241" max="241" width="8.85546875" bestFit="1" customWidth="1"/>
    <col min="242" max="242" width="12.28515625" bestFit="1" customWidth="1"/>
    <col min="243" max="243" width="8.85546875" bestFit="1" customWidth="1"/>
    <col min="244" max="244" width="12.28515625" bestFit="1" customWidth="1"/>
    <col min="245" max="245" width="8.85546875" bestFit="1" customWidth="1"/>
    <col min="246" max="246" width="12.28515625" bestFit="1" customWidth="1"/>
    <col min="247" max="247" width="8.85546875" bestFit="1" customWidth="1"/>
    <col min="248" max="248" width="12.28515625" bestFit="1" customWidth="1"/>
    <col min="249" max="249" width="8.85546875" bestFit="1" customWidth="1"/>
    <col min="250" max="250" width="12.28515625" bestFit="1" customWidth="1"/>
    <col min="251" max="251" width="8.85546875" bestFit="1" customWidth="1"/>
    <col min="252" max="252" width="12.28515625" bestFit="1" customWidth="1"/>
    <col min="253" max="253" width="8.85546875" bestFit="1" customWidth="1"/>
    <col min="254" max="254" width="12.28515625" bestFit="1" customWidth="1"/>
    <col min="255" max="255" width="8.85546875" bestFit="1" customWidth="1"/>
    <col min="256" max="256" width="12.28515625" bestFit="1" customWidth="1"/>
    <col min="257" max="257" width="8.85546875" bestFit="1" customWidth="1"/>
    <col min="258" max="258" width="12.28515625" bestFit="1" customWidth="1"/>
    <col min="259" max="259" width="8.5703125" bestFit="1" customWidth="1"/>
    <col min="260" max="260" width="12.28515625" bestFit="1" customWidth="1"/>
    <col min="261" max="261" width="8.85546875" bestFit="1" customWidth="1"/>
    <col min="262" max="262" width="12.28515625" bestFit="1" customWidth="1"/>
    <col min="263" max="263" width="8.85546875" bestFit="1" customWidth="1"/>
    <col min="264" max="264" width="12.28515625" bestFit="1" customWidth="1"/>
    <col min="265" max="265" width="8.85546875" bestFit="1" customWidth="1"/>
    <col min="266" max="266" width="12.28515625" bestFit="1" customWidth="1"/>
    <col min="267" max="267" width="8.85546875" bestFit="1" customWidth="1"/>
    <col min="268" max="268" width="12.28515625" bestFit="1" customWidth="1"/>
    <col min="269" max="269" width="8.85546875" bestFit="1" customWidth="1"/>
    <col min="270" max="270" width="12.28515625" bestFit="1" customWidth="1"/>
    <col min="271" max="271" width="8.85546875" bestFit="1" customWidth="1"/>
    <col min="272" max="272" width="12.28515625" bestFit="1" customWidth="1"/>
    <col min="273" max="273" width="8.85546875" bestFit="1" customWidth="1"/>
    <col min="274" max="274" width="12.28515625" bestFit="1" customWidth="1"/>
    <col min="275" max="275" width="8.85546875" bestFit="1" customWidth="1"/>
    <col min="276" max="276" width="12.28515625" bestFit="1" customWidth="1"/>
    <col min="277" max="277" width="8.85546875" bestFit="1" customWidth="1"/>
    <col min="278" max="278" width="12.28515625" bestFit="1" customWidth="1"/>
    <col min="279" max="279" width="8.85546875" bestFit="1" customWidth="1"/>
    <col min="280" max="280" width="12.28515625" bestFit="1" customWidth="1"/>
    <col min="281" max="281" width="8.85546875" bestFit="1" customWidth="1"/>
    <col min="282" max="282" width="12.28515625" bestFit="1" customWidth="1"/>
    <col min="283" max="283" width="8.5703125" bestFit="1" customWidth="1"/>
    <col min="284" max="284" width="12.28515625" bestFit="1" customWidth="1"/>
    <col min="285" max="285" width="8.85546875" bestFit="1" customWidth="1"/>
    <col min="286" max="286" width="12.28515625" bestFit="1" customWidth="1"/>
    <col min="287" max="287" width="8.85546875" bestFit="1" customWidth="1"/>
    <col min="288" max="288" width="12.28515625" bestFit="1" customWidth="1"/>
    <col min="289" max="289" width="8.85546875" bestFit="1" customWidth="1"/>
    <col min="290" max="290" width="12.28515625" bestFit="1" customWidth="1"/>
    <col min="291" max="291" width="8.85546875" bestFit="1" customWidth="1"/>
    <col min="292" max="292" width="12.28515625" bestFit="1" customWidth="1"/>
    <col min="293" max="293" width="8.85546875" bestFit="1" customWidth="1"/>
    <col min="294" max="294" width="12.28515625" bestFit="1" customWidth="1"/>
    <col min="295" max="295" width="8.85546875" bestFit="1" customWidth="1"/>
    <col min="296" max="296" width="12.28515625" bestFit="1" customWidth="1"/>
    <col min="297" max="297" width="8.85546875" bestFit="1" customWidth="1"/>
    <col min="298" max="298" width="12.28515625" bestFit="1" customWidth="1"/>
    <col min="299" max="299" width="8.85546875" bestFit="1" customWidth="1"/>
    <col min="300" max="300" width="12.28515625" bestFit="1" customWidth="1"/>
    <col min="301" max="301" width="8.85546875" bestFit="1" customWidth="1"/>
    <col min="302" max="302" width="12.28515625" bestFit="1" customWidth="1"/>
    <col min="303" max="303" width="8.5703125" bestFit="1" customWidth="1"/>
    <col min="304" max="304" width="12.28515625" bestFit="1" customWidth="1"/>
    <col min="305" max="305" width="8.85546875" bestFit="1" customWidth="1"/>
    <col min="306" max="306" width="12.28515625" bestFit="1" customWidth="1"/>
    <col min="307" max="307" width="8.85546875" bestFit="1" customWidth="1"/>
    <col min="308" max="308" width="12.28515625" bestFit="1" customWidth="1"/>
    <col min="309" max="309" width="8.5703125" bestFit="1" customWidth="1"/>
    <col min="310" max="310" width="12.28515625" bestFit="1" customWidth="1"/>
    <col min="311" max="311" width="8.85546875" bestFit="1" customWidth="1"/>
    <col min="312" max="312" width="12.28515625" bestFit="1" customWidth="1"/>
    <col min="313" max="313" width="8.85546875" bestFit="1" customWidth="1"/>
    <col min="314" max="314" width="12.28515625" bestFit="1" customWidth="1"/>
    <col min="315" max="315" width="8.5703125" bestFit="1" customWidth="1"/>
    <col min="316" max="316" width="12.28515625" bestFit="1" customWidth="1"/>
    <col min="317" max="317" width="8.85546875" bestFit="1" customWidth="1"/>
    <col min="318" max="318" width="12.28515625" bestFit="1" customWidth="1"/>
    <col min="319" max="319" width="8.85546875" bestFit="1" customWidth="1"/>
    <col min="320" max="320" width="12.28515625" bestFit="1" customWidth="1"/>
    <col min="321" max="321" width="8.85546875" bestFit="1" customWidth="1"/>
    <col min="322" max="322" width="12.28515625" bestFit="1" customWidth="1"/>
    <col min="323" max="323" width="8.85546875" bestFit="1" customWidth="1"/>
    <col min="324" max="324" width="12.28515625" bestFit="1" customWidth="1"/>
    <col min="325" max="325" width="8.85546875" bestFit="1" customWidth="1"/>
    <col min="326" max="326" width="12.28515625" bestFit="1" customWidth="1"/>
    <col min="327" max="327" width="8.85546875" bestFit="1" customWidth="1"/>
    <col min="328" max="328" width="12.28515625" bestFit="1" customWidth="1"/>
    <col min="329" max="329" width="8.85546875" bestFit="1" customWidth="1"/>
    <col min="330" max="330" width="12.28515625" bestFit="1" customWidth="1"/>
    <col min="331" max="331" width="8.85546875" bestFit="1" customWidth="1"/>
    <col min="332" max="332" width="12.28515625" bestFit="1" customWidth="1"/>
    <col min="333" max="333" width="8.85546875" bestFit="1" customWidth="1"/>
    <col min="334" max="334" width="12.28515625" bestFit="1" customWidth="1"/>
    <col min="335" max="335" width="8.85546875" bestFit="1" customWidth="1"/>
    <col min="336" max="336" width="12.28515625" bestFit="1" customWidth="1"/>
    <col min="337" max="337" width="8.85546875" bestFit="1" customWidth="1"/>
    <col min="338" max="338" width="12.28515625" bestFit="1" customWidth="1"/>
    <col min="339" max="339" width="8.85546875" bestFit="1" customWidth="1"/>
    <col min="340" max="340" width="12.28515625" bestFit="1" customWidth="1"/>
    <col min="341" max="341" width="8.85546875" bestFit="1" customWidth="1"/>
    <col min="342" max="342" width="12.28515625" bestFit="1" customWidth="1"/>
    <col min="343" max="343" width="8.85546875" bestFit="1" customWidth="1"/>
    <col min="344" max="344" width="12.28515625" bestFit="1" customWidth="1"/>
    <col min="345" max="345" width="8.85546875" bestFit="1" customWidth="1"/>
    <col min="346" max="346" width="12.28515625" bestFit="1" customWidth="1"/>
    <col min="347" max="347" width="8.85546875" bestFit="1" customWidth="1"/>
    <col min="348" max="348" width="12.28515625" bestFit="1" customWidth="1"/>
    <col min="349" max="349" width="8.85546875" bestFit="1" customWidth="1"/>
    <col min="350" max="350" width="12.28515625" bestFit="1" customWidth="1"/>
    <col min="351" max="351" width="8.85546875" bestFit="1" customWidth="1"/>
    <col min="352" max="352" width="12.28515625" bestFit="1" customWidth="1"/>
    <col min="353" max="353" width="8.85546875" bestFit="1" customWidth="1"/>
    <col min="354" max="354" width="12.28515625" bestFit="1" customWidth="1"/>
    <col min="355" max="355" width="8.85546875" bestFit="1" customWidth="1"/>
    <col min="356" max="356" width="12.28515625" bestFit="1" customWidth="1"/>
    <col min="357" max="357" width="8.85546875" bestFit="1" customWidth="1"/>
    <col min="358" max="358" width="12.28515625" bestFit="1" customWidth="1"/>
    <col min="359" max="359" width="8.85546875" bestFit="1" customWidth="1"/>
    <col min="360" max="360" width="12.28515625" bestFit="1" customWidth="1"/>
    <col min="361" max="361" width="8.85546875" bestFit="1" customWidth="1"/>
    <col min="362" max="362" width="12.28515625" bestFit="1" customWidth="1"/>
    <col min="363" max="363" width="8.85546875" bestFit="1" customWidth="1"/>
    <col min="364" max="364" width="12.28515625" bestFit="1" customWidth="1"/>
    <col min="365" max="365" width="8.5703125" bestFit="1" customWidth="1"/>
    <col min="366" max="366" width="12.28515625" bestFit="1" customWidth="1"/>
    <col min="367" max="367" width="8.85546875" bestFit="1" customWidth="1"/>
    <col min="368" max="368" width="12.28515625" bestFit="1" customWidth="1"/>
    <col min="369" max="369" width="8.5703125" bestFit="1" customWidth="1"/>
    <col min="370" max="370" width="12.28515625" bestFit="1" customWidth="1"/>
    <col min="371" max="371" width="8.5703125" bestFit="1" customWidth="1"/>
    <col min="372" max="372" width="12.28515625" bestFit="1" customWidth="1"/>
    <col min="373" max="373" width="8.85546875" bestFit="1" customWidth="1"/>
    <col min="374" max="374" width="12.28515625" bestFit="1" customWidth="1"/>
    <col min="375" max="375" width="8.5703125" bestFit="1" customWidth="1"/>
    <col min="376" max="376" width="12.28515625" bestFit="1" customWidth="1"/>
    <col min="377" max="377" width="8.5703125" bestFit="1" customWidth="1"/>
    <col min="378" max="378" width="12.28515625" bestFit="1" customWidth="1"/>
    <col min="379" max="379" width="8.5703125" bestFit="1" customWidth="1"/>
    <col min="380" max="380" width="12.28515625" bestFit="1" customWidth="1"/>
    <col min="381" max="381" width="8.85546875" bestFit="1" customWidth="1"/>
    <col min="382" max="382" width="12.28515625" bestFit="1" customWidth="1"/>
    <col min="383" max="383" width="8.85546875" bestFit="1" customWidth="1"/>
    <col min="384" max="384" width="12.28515625" bestFit="1" customWidth="1"/>
    <col min="385" max="385" width="8.5703125" bestFit="1" customWidth="1"/>
    <col min="386" max="386" width="12.28515625" bestFit="1" customWidth="1"/>
    <col min="387" max="387" width="8.85546875" bestFit="1" customWidth="1"/>
    <col min="388" max="388" width="12.28515625" bestFit="1" customWidth="1"/>
    <col min="389" max="389" width="8.85546875" bestFit="1" customWidth="1"/>
    <col min="390" max="390" width="12.28515625" bestFit="1" customWidth="1"/>
    <col min="391" max="391" width="8.85546875" bestFit="1" customWidth="1"/>
    <col min="392" max="392" width="12.28515625" bestFit="1" customWidth="1"/>
    <col min="393" max="393" width="8.85546875" bestFit="1" customWidth="1"/>
    <col min="394" max="394" width="12.28515625" bestFit="1" customWidth="1"/>
    <col min="395" max="395" width="8.85546875" bestFit="1" customWidth="1"/>
    <col min="396" max="396" width="12.28515625" bestFit="1" customWidth="1"/>
    <col min="397" max="397" width="8.85546875" bestFit="1" customWidth="1"/>
    <col min="398" max="398" width="12.28515625" bestFit="1" customWidth="1"/>
    <col min="399" max="399" width="8.85546875" bestFit="1" customWidth="1"/>
    <col min="400" max="400" width="12.28515625" bestFit="1" customWidth="1"/>
    <col min="401" max="401" width="8.85546875" bestFit="1" customWidth="1"/>
    <col min="402" max="402" width="12.28515625" bestFit="1" customWidth="1"/>
    <col min="403" max="403" width="8.85546875" bestFit="1" customWidth="1"/>
    <col min="404" max="404" width="12.28515625" bestFit="1" customWidth="1"/>
    <col min="405" max="405" width="8.5703125" bestFit="1" customWidth="1"/>
    <col min="406" max="406" width="12.28515625" bestFit="1" customWidth="1"/>
    <col min="407" max="407" width="8.85546875" bestFit="1" customWidth="1"/>
    <col min="408" max="408" width="12.28515625" bestFit="1" customWidth="1"/>
    <col min="409" max="409" width="8.5703125" bestFit="1" customWidth="1"/>
    <col min="410" max="410" width="12.28515625" bestFit="1" customWidth="1"/>
    <col min="411" max="411" width="8.5703125" bestFit="1" customWidth="1"/>
    <col min="412" max="412" width="12.28515625" bestFit="1" customWidth="1"/>
    <col min="413" max="413" width="8.85546875" bestFit="1" customWidth="1"/>
    <col min="414" max="414" width="12.28515625" bestFit="1" customWidth="1"/>
    <col min="415" max="415" width="8.85546875" bestFit="1" customWidth="1"/>
    <col min="416" max="416" width="12.28515625" bestFit="1" customWidth="1"/>
    <col min="417" max="417" width="8.85546875" bestFit="1" customWidth="1"/>
    <col min="418" max="418" width="12.28515625" bestFit="1" customWidth="1"/>
    <col min="419" max="419" width="8.85546875" bestFit="1" customWidth="1"/>
    <col min="420" max="420" width="12.28515625" bestFit="1" customWidth="1"/>
    <col min="421" max="421" width="8.85546875" bestFit="1" customWidth="1"/>
    <col min="422" max="422" width="12.28515625" bestFit="1" customWidth="1"/>
    <col min="423" max="423" width="8.85546875" bestFit="1" customWidth="1"/>
    <col min="424" max="424" width="12.28515625" bestFit="1" customWidth="1"/>
    <col min="425" max="425" width="8.85546875" bestFit="1" customWidth="1"/>
    <col min="426" max="426" width="12.28515625" bestFit="1" customWidth="1"/>
    <col min="427" max="427" width="8.85546875" bestFit="1" customWidth="1"/>
    <col min="428" max="428" width="12.28515625" bestFit="1" customWidth="1"/>
    <col min="429" max="429" width="8.85546875" bestFit="1" customWidth="1"/>
    <col min="430" max="430" width="12.28515625" bestFit="1" customWidth="1"/>
    <col min="431" max="431" width="8.85546875" bestFit="1" customWidth="1"/>
    <col min="432" max="432" width="12.28515625" bestFit="1" customWidth="1"/>
    <col min="433" max="433" width="8.85546875" bestFit="1" customWidth="1"/>
    <col min="434" max="434" width="12.28515625" bestFit="1" customWidth="1"/>
    <col min="435" max="435" width="8.5703125" bestFit="1" customWidth="1"/>
    <col min="436" max="436" width="12.28515625" bestFit="1" customWidth="1"/>
    <col min="437" max="437" width="8.85546875" bestFit="1" customWidth="1"/>
    <col min="438" max="438" width="12.28515625" bestFit="1" customWidth="1"/>
    <col min="439" max="439" width="8.85546875" bestFit="1" customWidth="1"/>
    <col min="440" max="440" width="12.28515625" bestFit="1" customWidth="1"/>
    <col min="441" max="441" width="8.85546875" bestFit="1" customWidth="1"/>
    <col min="442" max="442" width="12.28515625" bestFit="1" customWidth="1"/>
    <col min="443" max="443" width="8.85546875" bestFit="1" customWidth="1"/>
    <col min="444" max="444" width="12.28515625" bestFit="1" customWidth="1"/>
    <col min="445" max="445" width="8.85546875" bestFit="1" customWidth="1"/>
    <col min="446" max="446" width="12.28515625" bestFit="1" customWidth="1"/>
    <col min="447" max="447" width="8.85546875" bestFit="1" customWidth="1"/>
    <col min="448" max="448" width="12.28515625" bestFit="1" customWidth="1"/>
    <col min="449" max="449" width="8.5703125" bestFit="1" customWidth="1"/>
    <col min="450" max="450" width="12.28515625" bestFit="1" customWidth="1"/>
    <col min="451" max="451" width="8.85546875" bestFit="1" customWidth="1"/>
    <col min="452" max="452" width="12.28515625" bestFit="1" customWidth="1"/>
    <col min="453" max="453" width="8.85546875" bestFit="1" customWidth="1"/>
    <col min="454" max="454" width="12.28515625" bestFit="1" customWidth="1"/>
    <col min="455" max="455" width="8.85546875" bestFit="1" customWidth="1"/>
    <col min="456" max="456" width="12.28515625" bestFit="1" customWidth="1"/>
    <col min="457" max="457" width="8.85546875" bestFit="1" customWidth="1"/>
    <col min="458" max="458" width="12.28515625" bestFit="1" customWidth="1"/>
    <col min="459" max="459" width="8.85546875" bestFit="1" customWidth="1"/>
    <col min="460" max="460" width="12.28515625" bestFit="1" customWidth="1"/>
    <col min="461" max="461" width="8.85546875" bestFit="1" customWidth="1"/>
    <col min="462" max="462" width="12.28515625" bestFit="1" customWidth="1"/>
    <col min="463" max="463" width="8.85546875" bestFit="1" customWidth="1"/>
    <col min="464" max="464" width="12.28515625" bestFit="1" customWidth="1"/>
    <col min="465" max="465" width="8.5703125" bestFit="1" customWidth="1"/>
    <col min="466" max="466" width="12.28515625" bestFit="1" customWidth="1"/>
    <col min="467" max="467" width="8.85546875" bestFit="1" customWidth="1"/>
    <col min="468" max="468" width="12.28515625" bestFit="1" customWidth="1"/>
    <col min="469" max="469" width="8.85546875" bestFit="1" customWidth="1"/>
    <col min="470" max="470" width="12.28515625" bestFit="1" customWidth="1"/>
    <col min="471" max="471" width="8.85546875" bestFit="1" customWidth="1"/>
    <col min="472" max="472" width="12.28515625" bestFit="1" customWidth="1"/>
    <col min="473" max="473" width="8.85546875" bestFit="1" customWidth="1"/>
    <col min="474" max="474" width="12.28515625" bestFit="1" customWidth="1"/>
    <col min="475" max="475" width="8.5703125" bestFit="1" customWidth="1"/>
    <col min="476" max="476" width="12.28515625" bestFit="1" customWidth="1"/>
    <col min="477" max="477" width="8.85546875" bestFit="1" customWidth="1"/>
    <col min="478" max="478" width="12.28515625" bestFit="1" customWidth="1"/>
    <col min="479" max="479" width="8.5703125" bestFit="1" customWidth="1"/>
    <col min="480" max="480" width="12.28515625" bestFit="1" customWidth="1"/>
    <col min="481" max="481" width="8.85546875" bestFit="1" customWidth="1"/>
    <col min="482" max="482" width="12.28515625" bestFit="1" customWidth="1"/>
    <col min="483" max="483" width="8.85546875" bestFit="1" customWidth="1"/>
    <col min="484" max="484" width="12.28515625" bestFit="1" customWidth="1"/>
    <col min="485" max="485" width="8.85546875" bestFit="1" customWidth="1"/>
    <col min="486" max="486" width="12.28515625" bestFit="1" customWidth="1"/>
    <col min="487" max="487" width="8.85546875" bestFit="1" customWidth="1"/>
    <col min="488" max="488" width="12.28515625" bestFit="1" customWidth="1"/>
    <col min="489" max="489" width="8.85546875" bestFit="1" customWidth="1"/>
    <col min="490" max="490" width="12.28515625" bestFit="1" customWidth="1"/>
    <col min="491" max="491" width="8.85546875" bestFit="1" customWidth="1"/>
    <col min="492" max="492" width="12.28515625" bestFit="1" customWidth="1"/>
    <col min="493" max="493" width="8.85546875" bestFit="1" customWidth="1"/>
    <col min="494" max="494" width="12.28515625" bestFit="1" customWidth="1"/>
    <col min="495" max="495" width="8.85546875" bestFit="1" customWidth="1"/>
    <col min="496" max="496" width="12.28515625" bestFit="1" customWidth="1"/>
    <col min="497" max="497" width="8.85546875" bestFit="1" customWidth="1"/>
    <col min="498" max="498" width="12.28515625" bestFit="1" customWidth="1"/>
    <col min="499" max="499" width="8.85546875" bestFit="1" customWidth="1"/>
    <col min="500" max="500" width="12.28515625" bestFit="1" customWidth="1"/>
    <col min="501" max="501" width="8.85546875" bestFit="1" customWidth="1"/>
    <col min="502" max="502" width="12.28515625" bestFit="1" customWidth="1"/>
    <col min="503" max="503" width="8.85546875" bestFit="1" customWidth="1"/>
    <col min="504" max="504" width="12.28515625" bestFit="1" customWidth="1"/>
    <col min="505" max="505" width="8.85546875" bestFit="1" customWidth="1"/>
    <col min="506" max="506" width="12.28515625" bestFit="1" customWidth="1"/>
    <col min="507" max="507" width="8.85546875" bestFit="1" customWidth="1"/>
    <col min="508" max="508" width="12.28515625" bestFit="1" customWidth="1"/>
    <col min="509" max="509" width="8.5703125" bestFit="1" customWidth="1"/>
    <col min="510" max="510" width="12.28515625" bestFit="1" customWidth="1"/>
    <col min="511" max="511" width="8.5703125" bestFit="1" customWidth="1"/>
    <col min="512" max="512" width="12.28515625" bestFit="1" customWidth="1"/>
    <col min="513" max="513" width="8.5703125" bestFit="1" customWidth="1"/>
    <col min="514" max="514" width="12.28515625" bestFit="1" customWidth="1"/>
    <col min="515" max="515" width="8.85546875" bestFit="1" customWidth="1"/>
    <col min="516" max="516" width="12.28515625" bestFit="1" customWidth="1"/>
    <col min="517" max="517" width="8.85546875" bestFit="1" customWidth="1"/>
    <col min="518" max="518" width="12.28515625" bestFit="1" customWidth="1"/>
    <col min="519" max="519" width="8.85546875" bestFit="1" customWidth="1"/>
    <col min="520" max="520" width="12.28515625" bestFit="1" customWidth="1"/>
    <col min="521" max="521" width="8.85546875" bestFit="1" customWidth="1"/>
    <col min="522" max="522" width="12.28515625" bestFit="1" customWidth="1"/>
    <col min="523" max="523" width="8.85546875" bestFit="1" customWidth="1"/>
    <col min="524" max="524" width="12.28515625" bestFit="1" customWidth="1"/>
    <col min="525" max="525" width="8.85546875" bestFit="1" customWidth="1"/>
    <col min="526" max="526" width="12.28515625" bestFit="1" customWidth="1"/>
    <col min="527" max="527" width="8.85546875" bestFit="1" customWidth="1"/>
    <col min="528" max="528" width="12.28515625" bestFit="1" customWidth="1"/>
    <col min="529" max="529" width="8.85546875" bestFit="1" customWidth="1"/>
    <col min="530" max="530" width="12.28515625" bestFit="1" customWidth="1"/>
    <col min="531" max="531" width="8.85546875" bestFit="1" customWidth="1"/>
    <col min="532" max="532" width="12.28515625" bestFit="1" customWidth="1"/>
    <col min="533" max="533" width="8.85546875" bestFit="1" customWidth="1"/>
    <col min="534" max="534" width="12.28515625" bestFit="1" customWidth="1"/>
    <col min="535" max="535" width="8.85546875" bestFit="1" customWidth="1"/>
    <col min="536" max="536" width="12.28515625" bestFit="1" customWidth="1"/>
    <col min="537" max="537" width="8.85546875" bestFit="1" customWidth="1"/>
    <col min="538" max="538" width="12.28515625" bestFit="1" customWidth="1"/>
    <col min="539" max="539" width="8.85546875" bestFit="1" customWidth="1"/>
    <col min="540" max="540" width="12.28515625" bestFit="1" customWidth="1"/>
    <col min="541" max="541" width="8.85546875" bestFit="1" customWidth="1"/>
    <col min="542" max="542" width="12.28515625" bestFit="1" customWidth="1"/>
    <col min="543" max="543" width="8.85546875" bestFit="1" customWidth="1"/>
    <col min="544" max="544" width="12.28515625" bestFit="1" customWidth="1"/>
    <col min="545" max="545" width="8.85546875" bestFit="1" customWidth="1"/>
    <col min="546" max="546" width="12.28515625" bestFit="1" customWidth="1"/>
    <col min="547" max="547" width="8.85546875" bestFit="1" customWidth="1"/>
    <col min="548" max="548" width="12.28515625" bestFit="1" customWidth="1"/>
    <col min="549" max="549" width="8.85546875" bestFit="1" customWidth="1"/>
    <col min="550" max="550" width="12.28515625" bestFit="1" customWidth="1"/>
    <col min="551" max="551" width="8.85546875" bestFit="1" customWidth="1"/>
    <col min="552" max="552" width="12.28515625" bestFit="1" customWidth="1"/>
    <col min="553" max="553" width="8.85546875" bestFit="1" customWidth="1"/>
    <col min="554" max="554" width="12.28515625" bestFit="1" customWidth="1"/>
    <col min="555" max="555" width="8.85546875" bestFit="1" customWidth="1"/>
    <col min="556" max="556" width="12.28515625" bestFit="1" customWidth="1"/>
    <col min="557" max="557" width="8.85546875" bestFit="1" customWidth="1"/>
    <col min="558" max="558" width="12.28515625" bestFit="1" customWidth="1"/>
    <col min="559" max="559" width="8.85546875" bestFit="1" customWidth="1"/>
    <col min="560" max="560" width="12.28515625" bestFit="1" customWidth="1"/>
    <col min="561" max="561" width="8.85546875" bestFit="1" customWidth="1"/>
    <col min="562" max="562" width="12.28515625" bestFit="1" customWidth="1"/>
    <col min="563" max="563" width="8.85546875" bestFit="1" customWidth="1"/>
    <col min="564" max="564" width="12.28515625" bestFit="1" customWidth="1"/>
    <col min="565" max="565" width="8.85546875" bestFit="1" customWidth="1"/>
    <col min="566" max="566" width="12.28515625" bestFit="1" customWidth="1"/>
    <col min="567" max="567" width="8.85546875" bestFit="1" customWidth="1"/>
    <col min="568" max="568" width="12.28515625" bestFit="1" customWidth="1"/>
    <col min="569" max="569" width="8.85546875" bestFit="1" customWidth="1"/>
    <col min="570" max="570" width="12.28515625" bestFit="1" customWidth="1"/>
    <col min="571" max="571" width="8.85546875" bestFit="1" customWidth="1"/>
    <col min="572" max="572" width="12.28515625" bestFit="1" customWidth="1"/>
    <col min="573" max="573" width="8.85546875" bestFit="1" customWidth="1"/>
    <col min="574" max="574" width="12.28515625" bestFit="1" customWidth="1"/>
    <col min="575" max="575" width="8.85546875" bestFit="1" customWidth="1"/>
    <col min="576" max="576" width="12.28515625" bestFit="1" customWidth="1"/>
    <col min="577" max="577" width="8.85546875" bestFit="1" customWidth="1"/>
    <col min="578" max="578" width="12.28515625" bestFit="1" customWidth="1"/>
    <col min="579" max="579" width="8.85546875" bestFit="1" customWidth="1"/>
    <col min="580" max="580" width="12.28515625" bestFit="1" customWidth="1"/>
    <col min="581" max="581" width="8.85546875" bestFit="1" customWidth="1"/>
    <col min="582" max="582" width="12.28515625" bestFit="1" customWidth="1"/>
    <col min="583" max="583" width="8.85546875" bestFit="1" customWidth="1"/>
    <col min="584" max="584" width="12.28515625" bestFit="1" customWidth="1"/>
    <col min="585" max="585" width="8.85546875" bestFit="1" customWidth="1"/>
    <col min="586" max="586" width="12.28515625" bestFit="1" customWidth="1"/>
    <col min="587" max="587" width="8.85546875" bestFit="1" customWidth="1"/>
    <col min="588" max="588" width="12.28515625" bestFit="1" customWidth="1"/>
    <col min="589" max="589" width="8.85546875" bestFit="1" customWidth="1"/>
    <col min="590" max="590" width="12.28515625" bestFit="1" customWidth="1"/>
    <col min="591" max="591" width="8.85546875" bestFit="1" customWidth="1"/>
    <col min="592" max="592" width="12.28515625" bestFit="1" customWidth="1"/>
    <col min="593" max="593" width="8.85546875" bestFit="1" customWidth="1"/>
    <col min="594" max="594" width="12.28515625" bestFit="1" customWidth="1"/>
    <col min="595" max="595" width="8.5703125" bestFit="1" customWidth="1"/>
    <col min="596" max="596" width="12.28515625" bestFit="1" customWidth="1"/>
    <col min="597" max="597" width="8.85546875" bestFit="1" customWidth="1"/>
    <col min="598" max="598" width="12.28515625" bestFit="1" customWidth="1"/>
    <col min="599" max="599" width="8.85546875" bestFit="1" customWidth="1"/>
    <col min="600" max="600" width="12.28515625" bestFit="1" customWidth="1"/>
    <col min="601" max="601" width="8.85546875" bestFit="1" customWidth="1"/>
    <col min="602" max="602" width="12.28515625" bestFit="1" customWidth="1"/>
    <col min="603" max="603" width="8.85546875" bestFit="1" customWidth="1"/>
    <col min="604" max="604" width="12.28515625" bestFit="1" customWidth="1"/>
    <col min="605" max="605" width="8.85546875" bestFit="1" customWidth="1"/>
    <col min="606" max="606" width="12.28515625" bestFit="1" customWidth="1"/>
    <col min="607" max="607" width="8.85546875" bestFit="1" customWidth="1"/>
    <col min="608" max="608" width="12.28515625" bestFit="1" customWidth="1"/>
    <col min="609" max="609" width="8.85546875" bestFit="1" customWidth="1"/>
    <col min="610" max="610" width="12.28515625" bestFit="1" customWidth="1"/>
    <col min="611" max="611" width="8.85546875" bestFit="1" customWidth="1"/>
    <col min="612" max="612" width="12.28515625" bestFit="1" customWidth="1"/>
    <col min="613" max="613" width="8.85546875" bestFit="1" customWidth="1"/>
    <col min="614" max="614" width="12.28515625" bestFit="1" customWidth="1"/>
    <col min="615" max="615" width="8.85546875" bestFit="1" customWidth="1"/>
    <col min="616" max="616" width="12.28515625" bestFit="1" customWidth="1"/>
    <col min="617" max="617" width="8.85546875" bestFit="1" customWidth="1"/>
    <col min="618" max="618" width="12.28515625" bestFit="1" customWidth="1"/>
    <col min="619" max="619" width="8.85546875" bestFit="1" customWidth="1"/>
    <col min="620" max="620" width="12.28515625" bestFit="1" customWidth="1"/>
    <col min="621" max="621" width="8.85546875" bestFit="1" customWidth="1"/>
    <col min="622" max="622" width="12.28515625" bestFit="1" customWidth="1"/>
    <col min="623" max="623" width="8.85546875" bestFit="1" customWidth="1"/>
    <col min="624" max="624" width="12.28515625" bestFit="1" customWidth="1"/>
    <col min="625" max="625" width="8.85546875" bestFit="1" customWidth="1"/>
    <col min="626" max="626" width="12.28515625" bestFit="1" customWidth="1"/>
    <col min="627" max="627" width="8.85546875" bestFit="1" customWidth="1"/>
    <col min="628" max="628" width="12.28515625" bestFit="1" customWidth="1"/>
    <col min="629" max="629" width="8.85546875" bestFit="1" customWidth="1"/>
    <col min="630" max="630" width="12.28515625" bestFit="1" customWidth="1"/>
    <col min="631" max="631" width="8.85546875" bestFit="1" customWidth="1"/>
    <col min="632" max="632" width="12.28515625" bestFit="1" customWidth="1"/>
    <col min="633" max="633" width="8.85546875" bestFit="1" customWidth="1"/>
    <col min="634" max="634" width="12.28515625" bestFit="1" customWidth="1"/>
    <col min="635" max="635" width="8.85546875" bestFit="1" customWidth="1"/>
    <col min="636" max="636" width="12.28515625" bestFit="1" customWidth="1"/>
    <col min="637" max="637" width="8.85546875" bestFit="1" customWidth="1"/>
    <col min="638" max="638" width="12.28515625" bestFit="1" customWidth="1"/>
    <col min="639" max="639" width="8.85546875" bestFit="1" customWidth="1"/>
    <col min="640" max="640" width="12.28515625" bestFit="1" customWidth="1"/>
    <col min="641" max="641" width="8.5703125" bestFit="1" customWidth="1"/>
    <col min="642" max="642" width="12.28515625" bestFit="1" customWidth="1"/>
    <col min="643" max="643" width="8.5703125" bestFit="1" customWidth="1"/>
    <col min="644" max="644" width="12.28515625" bestFit="1" customWidth="1"/>
    <col min="645" max="645" width="8.5703125" bestFit="1" customWidth="1"/>
    <col min="646" max="646" width="12.28515625" bestFit="1" customWidth="1"/>
    <col min="647" max="647" width="8.5703125" bestFit="1" customWidth="1"/>
    <col min="648" max="648" width="12.28515625" bestFit="1" customWidth="1"/>
    <col min="649" max="649" width="8.85546875" bestFit="1" customWidth="1"/>
    <col min="650" max="650" width="12.28515625" bestFit="1" customWidth="1"/>
    <col min="651" max="651" width="8.5703125" bestFit="1" customWidth="1"/>
    <col min="652" max="652" width="12.28515625" bestFit="1" customWidth="1"/>
    <col min="653" max="653" width="8.85546875" bestFit="1" customWidth="1"/>
    <col min="654" max="654" width="12.28515625" bestFit="1" customWidth="1"/>
    <col min="655" max="655" width="8.5703125" bestFit="1" customWidth="1"/>
    <col min="656" max="656" width="12.28515625" bestFit="1" customWidth="1"/>
    <col min="657" max="657" width="8.5703125" bestFit="1" customWidth="1"/>
    <col min="658" max="658" width="12.28515625" bestFit="1" customWidth="1"/>
    <col min="659" max="659" width="8.5703125" bestFit="1" customWidth="1"/>
    <col min="660" max="660" width="12.28515625" bestFit="1" customWidth="1"/>
    <col min="661" max="661" width="8.5703125" bestFit="1" customWidth="1"/>
    <col min="662" max="662" width="12.28515625" bestFit="1" customWidth="1"/>
    <col min="663" max="663" width="8.5703125" bestFit="1" customWidth="1"/>
    <col min="664" max="664" width="12.28515625" bestFit="1" customWidth="1"/>
    <col min="665" max="665" width="8.5703125" bestFit="1" customWidth="1"/>
    <col min="666" max="666" width="12.28515625" bestFit="1" customWidth="1"/>
    <col min="667" max="667" width="8.5703125" bestFit="1" customWidth="1"/>
    <col min="668" max="668" width="12.28515625" bestFit="1" customWidth="1"/>
    <col min="669" max="669" width="8.5703125" bestFit="1" customWidth="1"/>
    <col min="670" max="670" width="12.28515625" bestFit="1" customWidth="1"/>
    <col min="671" max="671" width="8.5703125" bestFit="1" customWidth="1"/>
    <col min="672" max="672" width="12.28515625" bestFit="1" customWidth="1"/>
    <col min="673" max="673" width="8.5703125" bestFit="1" customWidth="1"/>
    <col min="674" max="674" width="12.28515625" bestFit="1" customWidth="1"/>
    <col min="675" max="675" width="8.5703125" bestFit="1" customWidth="1"/>
    <col min="676" max="676" width="12.28515625" bestFit="1" customWidth="1"/>
    <col min="677" max="677" width="8.5703125" bestFit="1" customWidth="1"/>
    <col min="678" max="678" width="12.28515625" bestFit="1" customWidth="1"/>
    <col min="679" max="679" width="8.5703125" bestFit="1" customWidth="1"/>
    <col min="680" max="680" width="12.28515625" bestFit="1" customWidth="1"/>
    <col min="681" max="681" width="8.5703125" bestFit="1" customWidth="1"/>
    <col min="682" max="682" width="12.28515625" bestFit="1" customWidth="1"/>
    <col min="683" max="683" width="8.5703125" bestFit="1" customWidth="1"/>
    <col min="684" max="684" width="12.28515625" bestFit="1" customWidth="1"/>
    <col min="685" max="685" width="8.5703125" bestFit="1" customWidth="1"/>
    <col min="686" max="686" width="12.28515625" bestFit="1" customWidth="1"/>
    <col min="687" max="687" width="8.5703125" bestFit="1" customWidth="1"/>
    <col min="688" max="688" width="12.28515625" bestFit="1" customWidth="1"/>
    <col min="689" max="689" width="8.5703125" bestFit="1" customWidth="1"/>
    <col min="690" max="690" width="12.28515625" bestFit="1" customWidth="1"/>
    <col min="691" max="691" width="8.5703125" bestFit="1" customWidth="1"/>
    <col min="692" max="692" width="12.28515625" bestFit="1" customWidth="1"/>
    <col min="693" max="693" width="8.5703125" bestFit="1" customWidth="1"/>
    <col min="694" max="694" width="12.28515625" bestFit="1" customWidth="1"/>
    <col min="695" max="695" width="8.85546875" bestFit="1" customWidth="1"/>
    <col min="696" max="696" width="12.28515625" bestFit="1" customWidth="1"/>
    <col min="697" max="697" width="8.85546875" bestFit="1" customWidth="1"/>
    <col min="698" max="698" width="12.28515625" bestFit="1" customWidth="1"/>
    <col min="699" max="699" width="8.5703125" bestFit="1" customWidth="1"/>
    <col min="700" max="700" width="12.28515625" bestFit="1" customWidth="1"/>
    <col min="701" max="701" width="8.5703125" bestFit="1" customWidth="1"/>
    <col min="702" max="702" width="12.28515625" bestFit="1" customWidth="1"/>
    <col min="703" max="703" width="8.5703125" bestFit="1" customWidth="1"/>
    <col min="704" max="704" width="12.28515625" bestFit="1" customWidth="1"/>
    <col min="705" max="705" width="8.5703125" bestFit="1" customWidth="1"/>
    <col min="706" max="706" width="12.28515625" bestFit="1" customWidth="1"/>
    <col min="707" max="707" width="8.85546875" bestFit="1" customWidth="1"/>
    <col min="708" max="708" width="12.28515625" bestFit="1" customWidth="1"/>
    <col min="709" max="709" width="8.85546875" bestFit="1" customWidth="1"/>
    <col min="710" max="710" width="12.28515625" bestFit="1" customWidth="1"/>
    <col min="711" max="711" width="8.85546875" bestFit="1" customWidth="1"/>
    <col min="712" max="712" width="12.28515625" bestFit="1" customWidth="1"/>
    <col min="713" max="713" width="8.85546875" bestFit="1" customWidth="1"/>
    <col min="714" max="714" width="12.28515625" bestFit="1" customWidth="1"/>
    <col min="715" max="715" width="8.5703125" bestFit="1" customWidth="1"/>
    <col min="716" max="716" width="12.28515625" bestFit="1" customWidth="1"/>
    <col min="717" max="717" width="8.85546875" bestFit="1" customWidth="1"/>
    <col min="718" max="718" width="12.28515625" bestFit="1" customWidth="1"/>
    <col min="719" max="719" width="8.85546875" bestFit="1" customWidth="1"/>
    <col min="720" max="720" width="12.28515625" bestFit="1" customWidth="1"/>
    <col min="721" max="721" width="8.5703125" bestFit="1" customWidth="1"/>
    <col min="722" max="722" width="12.28515625" bestFit="1" customWidth="1"/>
    <col min="723" max="723" width="8.5703125" bestFit="1" customWidth="1"/>
    <col min="724" max="724" width="12.28515625" bestFit="1" customWidth="1"/>
    <col min="725" max="725" width="8.85546875" bestFit="1" customWidth="1"/>
    <col min="726" max="726" width="12.28515625" bestFit="1" customWidth="1"/>
    <col min="727" max="727" width="8.85546875" bestFit="1" customWidth="1"/>
    <col min="728" max="728" width="12.28515625" bestFit="1" customWidth="1"/>
    <col min="729" max="729" width="8.85546875" bestFit="1" customWidth="1"/>
    <col min="730" max="730" width="12.28515625" bestFit="1" customWidth="1"/>
    <col min="731" max="731" width="8.85546875" bestFit="1" customWidth="1"/>
    <col min="732" max="732" width="12.28515625" bestFit="1" customWidth="1"/>
    <col min="733" max="733" width="8.85546875" bestFit="1" customWidth="1"/>
    <col min="734" max="734" width="12.28515625" bestFit="1" customWidth="1"/>
    <col min="735" max="735" width="8.85546875" bestFit="1" customWidth="1"/>
    <col min="736" max="736" width="12.28515625" bestFit="1" customWidth="1"/>
    <col min="737" max="737" width="8.85546875" bestFit="1" customWidth="1"/>
    <col min="738" max="738" width="12.28515625" bestFit="1" customWidth="1"/>
    <col min="739" max="739" width="8.85546875" bestFit="1" customWidth="1"/>
    <col min="740" max="740" width="12.28515625" bestFit="1" customWidth="1"/>
    <col min="741" max="741" width="8.85546875" bestFit="1" customWidth="1"/>
    <col min="742" max="742" width="12.28515625" bestFit="1" customWidth="1"/>
    <col min="743" max="743" width="8.85546875" bestFit="1" customWidth="1"/>
    <col min="744" max="744" width="12.28515625" bestFit="1" customWidth="1"/>
    <col min="745" max="745" width="8.85546875" bestFit="1" customWidth="1"/>
    <col min="746" max="746" width="12.28515625" bestFit="1" customWidth="1"/>
    <col min="747" max="747" width="8.85546875" bestFit="1" customWidth="1"/>
    <col min="748" max="748" width="12.28515625" bestFit="1" customWidth="1"/>
    <col min="749" max="749" width="8.5703125" bestFit="1" customWidth="1"/>
    <col min="750" max="750" width="12.28515625" bestFit="1" customWidth="1"/>
    <col min="751" max="751" width="8.5703125" bestFit="1" customWidth="1"/>
    <col min="752" max="752" width="12.28515625" bestFit="1" customWidth="1"/>
    <col min="753" max="753" width="8.85546875" bestFit="1" customWidth="1"/>
    <col min="754" max="754" width="12.28515625" bestFit="1" customWidth="1"/>
    <col min="755" max="755" width="8.85546875" bestFit="1" customWidth="1"/>
    <col min="756" max="756" width="12.28515625" bestFit="1" customWidth="1"/>
    <col min="757" max="757" width="8.85546875" bestFit="1" customWidth="1"/>
    <col min="758" max="758" width="12.28515625" bestFit="1" customWidth="1"/>
    <col min="759" max="759" width="8.5703125" bestFit="1" customWidth="1"/>
    <col min="760" max="760" width="12.28515625" bestFit="1" customWidth="1"/>
    <col min="761" max="761" width="8.85546875" bestFit="1" customWidth="1"/>
    <col min="762" max="762" width="12.28515625" bestFit="1" customWidth="1"/>
    <col min="763" max="763" width="8.85546875" bestFit="1" customWidth="1"/>
    <col min="764" max="764" width="12.28515625" bestFit="1" customWidth="1"/>
    <col min="765" max="765" width="8.85546875" bestFit="1" customWidth="1"/>
    <col min="766" max="766" width="12.28515625" bestFit="1" customWidth="1"/>
    <col min="767" max="767" width="8.5703125" bestFit="1" customWidth="1"/>
    <col min="768" max="768" width="12.28515625" bestFit="1" customWidth="1"/>
    <col min="769" max="769" width="8.85546875" bestFit="1" customWidth="1"/>
    <col min="770" max="770" width="12.28515625" bestFit="1" customWidth="1"/>
    <col min="771" max="771" width="8.85546875" bestFit="1" customWidth="1"/>
    <col min="772" max="772" width="12.28515625" bestFit="1" customWidth="1"/>
    <col min="773" max="773" width="8.85546875" bestFit="1" customWidth="1"/>
    <col min="774" max="774" width="12.28515625" bestFit="1" customWidth="1"/>
    <col min="775" max="775" width="8.85546875" bestFit="1" customWidth="1"/>
    <col min="776" max="776" width="12.28515625" bestFit="1" customWidth="1"/>
    <col min="777" max="777" width="8.85546875" bestFit="1" customWidth="1"/>
    <col min="778" max="778" width="12.28515625" bestFit="1" customWidth="1"/>
    <col min="779" max="779" width="8.85546875" bestFit="1" customWidth="1"/>
    <col min="780" max="780" width="12.28515625" bestFit="1" customWidth="1"/>
    <col min="781" max="781" width="8.5703125" bestFit="1" customWidth="1"/>
    <col min="782" max="782" width="12.28515625" bestFit="1" customWidth="1"/>
    <col min="783" max="783" width="8.5703125" bestFit="1" customWidth="1"/>
    <col min="784" max="784" width="12.28515625" bestFit="1" customWidth="1"/>
    <col min="785" max="785" width="8.85546875" bestFit="1" customWidth="1"/>
    <col min="786" max="786" width="12.28515625" bestFit="1" customWidth="1"/>
    <col min="787" max="787" width="8.85546875" bestFit="1" customWidth="1"/>
    <col min="788" max="788" width="12.28515625" bestFit="1" customWidth="1"/>
    <col min="789" max="789" width="8.85546875" bestFit="1" customWidth="1"/>
    <col min="790" max="790" width="12.28515625" bestFit="1" customWidth="1"/>
    <col min="791" max="791" width="8.5703125" bestFit="1" customWidth="1"/>
    <col min="792" max="792" width="12.28515625" bestFit="1" customWidth="1"/>
    <col min="793" max="793" width="8.85546875" bestFit="1" customWidth="1"/>
    <col min="794" max="794" width="12.28515625" bestFit="1" customWidth="1"/>
    <col min="795" max="795" width="8.5703125" bestFit="1" customWidth="1"/>
    <col min="796" max="796" width="12.28515625" bestFit="1" customWidth="1"/>
    <col min="797" max="797" width="8.5703125" bestFit="1" customWidth="1"/>
    <col min="798" max="798" width="12.28515625" bestFit="1" customWidth="1"/>
    <col min="799" max="799" width="8.5703125" bestFit="1" customWidth="1"/>
    <col min="800" max="800" width="12.28515625" bestFit="1" customWidth="1"/>
    <col min="801" max="801" width="8.5703125" bestFit="1" customWidth="1"/>
    <col min="802" max="802" width="12.28515625" bestFit="1" customWidth="1"/>
    <col min="803" max="803" width="8.5703125" bestFit="1" customWidth="1"/>
    <col min="804" max="804" width="12.28515625" bestFit="1" customWidth="1"/>
    <col min="805" max="805" width="8.5703125" bestFit="1" customWidth="1"/>
    <col min="806" max="806" width="12.28515625" bestFit="1" customWidth="1"/>
    <col min="807" max="807" width="8.5703125" bestFit="1" customWidth="1"/>
    <col min="808" max="808" width="12.28515625" bestFit="1" customWidth="1"/>
    <col min="809" max="809" width="8.5703125" bestFit="1" customWidth="1"/>
    <col min="810" max="810" width="12.28515625" bestFit="1" customWidth="1"/>
    <col min="811" max="811" width="8.5703125" bestFit="1" customWidth="1"/>
    <col min="812" max="812" width="12.28515625" bestFit="1" customWidth="1"/>
    <col min="813" max="813" width="8.5703125" bestFit="1" customWidth="1"/>
    <col min="814" max="814" width="12.28515625" bestFit="1" customWidth="1"/>
    <col min="815" max="815" width="8.5703125" bestFit="1" customWidth="1"/>
    <col min="816" max="816" width="12.28515625" bestFit="1" customWidth="1"/>
    <col min="817" max="817" width="8.5703125" bestFit="1" customWidth="1"/>
    <col min="818" max="818" width="12.28515625" bestFit="1" customWidth="1"/>
    <col min="819" max="819" width="8.5703125" bestFit="1" customWidth="1"/>
    <col min="820" max="820" width="12.28515625" bestFit="1" customWidth="1"/>
    <col min="821" max="821" width="8.5703125" bestFit="1" customWidth="1"/>
    <col min="822" max="822" width="12.28515625" bestFit="1" customWidth="1"/>
    <col min="823" max="823" width="8.5703125" bestFit="1" customWidth="1"/>
    <col min="824" max="824" width="12.28515625" bestFit="1" customWidth="1"/>
    <col min="825" max="825" width="8.5703125" bestFit="1" customWidth="1"/>
    <col min="826" max="826" width="12.28515625" bestFit="1" customWidth="1"/>
    <col min="827" max="827" width="8.5703125" bestFit="1" customWidth="1"/>
    <col min="828" max="828" width="12.28515625" bestFit="1" customWidth="1"/>
    <col min="829" max="829" width="8.5703125" bestFit="1" customWidth="1"/>
    <col min="830" max="830" width="12.28515625" bestFit="1" customWidth="1"/>
    <col min="831" max="831" width="8.5703125" bestFit="1" customWidth="1"/>
    <col min="832" max="832" width="12.28515625" bestFit="1" customWidth="1"/>
    <col min="833" max="833" width="8.5703125" bestFit="1" customWidth="1"/>
    <col min="834" max="834" width="12.28515625" bestFit="1" customWidth="1"/>
    <col min="835" max="835" width="8.5703125" bestFit="1" customWidth="1"/>
    <col min="836" max="836" width="12.28515625" bestFit="1" customWidth="1"/>
    <col min="837" max="837" width="8.5703125" bestFit="1" customWidth="1"/>
    <col min="838" max="838" width="12.28515625" bestFit="1" customWidth="1"/>
    <col min="839" max="839" width="8.5703125" bestFit="1" customWidth="1"/>
    <col min="840" max="840" width="12.28515625" bestFit="1" customWidth="1"/>
    <col min="841" max="841" width="8.5703125" bestFit="1" customWidth="1"/>
    <col min="842" max="842" width="12.28515625" bestFit="1" customWidth="1"/>
    <col min="843" max="843" width="8.5703125" bestFit="1" customWidth="1"/>
    <col min="844" max="844" width="12.28515625" bestFit="1" customWidth="1"/>
    <col min="845" max="845" width="8.85546875" bestFit="1" customWidth="1"/>
    <col min="846" max="846" width="12.28515625" bestFit="1" customWidth="1"/>
    <col min="847" max="847" width="8.85546875" bestFit="1" customWidth="1"/>
    <col min="848" max="848" width="12.28515625" bestFit="1" customWidth="1"/>
    <col min="849" max="849" width="8.85546875" bestFit="1" customWidth="1"/>
    <col min="850" max="850" width="12.28515625" bestFit="1" customWidth="1"/>
    <col min="851" max="851" width="8.5703125" bestFit="1" customWidth="1"/>
    <col min="852" max="852" width="12.28515625" bestFit="1" customWidth="1"/>
    <col min="853" max="853" width="8.5703125" bestFit="1" customWidth="1"/>
    <col min="854" max="854" width="12.28515625" bestFit="1" customWidth="1"/>
    <col min="855" max="855" width="8.85546875" bestFit="1" customWidth="1"/>
    <col min="856" max="856" width="12.28515625" bestFit="1" customWidth="1"/>
    <col min="857" max="857" width="8.5703125" bestFit="1" customWidth="1"/>
    <col min="858" max="858" width="12.28515625" bestFit="1" customWidth="1"/>
    <col min="859" max="859" width="8.5703125" bestFit="1" customWidth="1"/>
    <col min="860" max="860" width="12.28515625" bestFit="1" customWidth="1"/>
    <col min="861" max="861" width="8.5703125" bestFit="1" customWidth="1"/>
    <col min="862" max="862" width="12.28515625" bestFit="1" customWidth="1"/>
    <col min="863" max="863" width="8.5703125" bestFit="1" customWidth="1"/>
    <col min="864" max="864" width="12.28515625" bestFit="1" customWidth="1"/>
    <col min="865" max="865" width="8.5703125" bestFit="1" customWidth="1"/>
    <col min="866" max="866" width="12.28515625" bestFit="1" customWidth="1"/>
    <col min="867" max="867" width="8.5703125" bestFit="1" customWidth="1"/>
    <col min="868" max="868" width="12.28515625" bestFit="1" customWidth="1"/>
    <col min="869" max="869" width="8.5703125" bestFit="1" customWidth="1"/>
    <col min="870" max="870" width="12.28515625" bestFit="1" customWidth="1"/>
    <col min="871" max="871" width="8.5703125" bestFit="1" customWidth="1"/>
    <col min="872" max="872" width="12.28515625" bestFit="1" customWidth="1"/>
    <col min="873" max="873" width="8.5703125" bestFit="1" customWidth="1"/>
    <col min="874" max="874" width="12.28515625" bestFit="1" customWidth="1"/>
    <col min="875" max="875" width="8.5703125" bestFit="1" customWidth="1"/>
    <col min="876" max="876" width="12.28515625" bestFit="1" customWidth="1"/>
    <col min="877" max="877" width="8.5703125" bestFit="1" customWidth="1"/>
    <col min="878" max="878" width="12.28515625" bestFit="1" customWidth="1"/>
    <col min="879" max="879" width="8.5703125" bestFit="1" customWidth="1"/>
    <col min="880" max="880" width="12.28515625" bestFit="1" customWidth="1"/>
    <col min="881" max="881" width="8.5703125" bestFit="1" customWidth="1"/>
    <col min="882" max="882" width="12.28515625" bestFit="1" customWidth="1"/>
    <col min="883" max="883" width="8.5703125" bestFit="1" customWidth="1"/>
    <col min="884" max="884" width="12.28515625" bestFit="1" customWidth="1"/>
    <col min="885" max="885" width="8.85546875" bestFit="1" customWidth="1"/>
    <col min="886" max="886" width="12.28515625" bestFit="1" customWidth="1"/>
    <col min="887" max="887" width="8.85546875" bestFit="1" customWidth="1"/>
    <col min="888" max="888" width="12.28515625" bestFit="1" customWidth="1"/>
    <col min="889" max="889" width="8.5703125" bestFit="1" customWidth="1"/>
    <col min="890" max="890" width="12.28515625" bestFit="1" customWidth="1"/>
    <col min="891" max="891" width="8.5703125" bestFit="1" customWidth="1"/>
    <col min="892" max="892" width="12.28515625" bestFit="1" customWidth="1"/>
    <col min="893" max="893" width="8.5703125" bestFit="1" customWidth="1"/>
    <col min="894" max="894" width="12.28515625" bestFit="1" customWidth="1"/>
    <col min="895" max="895" width="8.5703125" bestFit="1" customWidth="1"/>
    <col min="896" max="896" width="12.28515625" bestFit="1" customWidth="1"/>
    <col min="897" max="897" width="8.5703125" bestFit="1" customWidth="1"/>
    <col min="898" max="898" width="12.28515625" bestFit="1" customWidth="1"/>
    <col min="899" max="899" width="8.5703125" bestFit="1" customWidth="1"/>
    <col min="900" max="900" width="12.28515625" bestFit="1" customWidth="1"/>
    <col min="901" max="901" width="8.5703125" bestFit="1" customWidth="1"/>
    <col min="902" max="902" width="12.28515625" bestFit="1" customWidth="1"/>
    <col min="903" max="903" width="8.5703125" bestFit="1" customWidth="1"/>
    <col min="904" max="904" width="12.28515625" bestFit="1" customWidth="1"/>
    <col min="905" max="905" width="8.5703125" bestFit="1" customWidth="1"/>
    <col min="906" max="906" width="12.28515625" bestFit="1" customWidth="1"/>
    <col min="907" max="907" width="8.5703125" bestFit="1" customWidth="1"/>
    <col min="908" max="908" width="12.28515625" bestFit="1" customWidth="1"/>
    <col min="909" max="909" width="8.5703125" bestFit="1" customWidth="1"/>
    <col min="910" max="910" width="12.28515625" bestFit="1" customWidth="1"/>
    <col min="911" max="911" width="8.5703125" bestFit="1" customWidth="1"/>
    <col min="912" max="912" width="12.28515625" bestFit="1" customWidth="1"/>
    <col min="913" max="913" width="8.5703125" bestFit="1" customWidth="1"/>
    <col min="914" max="914" width="12.28515625" bestFit="1" customWidth="1"/>
    <col min="915" max="915" width="8.5703125" bestFit="1" customWidth="1"/>
    <col min="916" max="916" width="12.28515625" bestFit="1" customWidth="1"/>
    <col min="917" max="917" width="8.5703125" bestFit="1" customWidth="1"/>
    <col min="918" max="918" width="12.28515625" bestFit="1" customWidth="1"/>
    <col min="919" max="919" width="8.5703125" bestFit="1" customWidth="1"/>
    <col min="920" max="920" width="12.28515625" bestFit="1" customWidth="1"/>
    <col min="921" max="921" width="8.85546875" bestFit="1" customWidth="1"/>
    <col min="922" max="922" width="12.28515625" bestFit="1" customWidth="1"/>
    <col min="923" max="923" width="8.5703125" bestFit="1" customWidth="1"/>
    <col min="924" max="924" width="12.28515625" bestFit="1" customWidth="1"/>
    <col min="925" max="925" width="8.5703125" bestFit="1" customWidth="1"/>
    <col min="926" max="926" width="12.28515625" bestFit="1" customWidth="1"/>
    <col min="927" max="927" width="8.5703125" bestFit="1" customWidth="1"/>
    <col min="928" max="928" width="12.28515625" bestFit="1" customWidth="1"/>
    <col min="929" max="929" width="8.5703125" bestFit="1" customWidth="1"/>
    <col min="930" max="930" width="12.28515625" bestFit="1" customWidth="1"/>
    <col min="931" max="931" width="8.5703125" bestFit="1" customWidth="1"/>
    <col min="932" max="932" width="12.28515625" bestFit="1" customWidth="1"/>
    <col min="933" max="933" width="8.5703125" bestFit="1" customWidth="1"/>
    <col min="934" max="934" width="12.28515625" bestFit="1" customWidth="1"/>
    <col min="935" max="935" width="8.5703125" bestFit="1" customWidth="1"/>
    <col min="936" max="936" width="12.28515625" bestFit="1" customWidth="1"/>
    <col min="937" max="937" width="8.5703125" bestFit="1" customWidth="1"/>
    <col min="938" max="938" width="12.28515625" bestFit="1" customWidth="1"/>
    <col min="939" max="939" width="8.5703125" bestFit="1" customWidth="1"/>
    <col min="940" max="940" width="12.28515625" bestFit="1" customWidth="1"/>
    <col min="941" max="941" width="8.5703125" bestFit="1" customWidth="1"/>
    <col min="942" max="942" width="12.28515625" bestFit="1" customWidth="1"/>
    <col min="943" max="943" width="8.5703125" bestFit="1" customWidth="1"/>
    <col min="944" max="944" width="12.28515625" bestFit="1" customWidth="1"/>
    <col min="945" max="945" width="8.5703125" bestFit="1" customWidth="1"/>
    <col min="946" max="946" width="12.28515625" bestFit="1" customWidth="1"/>
    <col min="947" max="947" width="8.5703125" bestFit="1" customWidth="1"/>
    <col min="948" max="948" width="12.28515625" bestFit="1" customWidth="1"/>
    <col min="949" max="949" width="8.5703125" bestFit="1" customWidth="1"/>
    <col min="950" max="950" width="12.28515625" bestFit="1" customWidth="1"/>
    <col min="951" max="951" width="8.5703125" bestFit="1" customWidth="1"/>
    <col min="952" max="952" width="12.28515625" bestFit="1" customWidth="1"/>
    <col min="953" max="953" width="8.5703125" bestFit="1" customWidth="1"/>
    <col min="954" max="954" width="12.28515625" bestFit="1" customWidth="1"/>
    <col min="955" max="955" width="8.5703125" bestFit="1" customWidth="1"/>
    <col min="956" max="956" width="12.28515625" bestFit="1" customWidth="1"/>
    <col min="957" max="957" width="8.5703125" bestFit="1" customWidth="1"/>
    <col min="958" max="958" width="12.28515625" bestFit="1" customWidth="1"/>
    <col min="959" max="959" width="8.5703125" bestFit="1" customWidth="1"/>
    <col min="960" max="960" width="12.28515625" bestFit="1" customWidth="1"/>
    <col min="961" max="961" width="8.5703125" bestFit="1" customWidth="1"/>
    <col min="962" max="962" width="12.28515625" bestFit="1" customWidth="1"/>
    <col min="963" max="963" width="8.5703125" bestFit="1" customWidth="1"/>
    <col min="964" max="964" width="12.28515625" bestFit="1" customWidth="1"/>
    <col min="965" max="965" width="8.5703125" bestFit="1" customWidth="1"/>
    <col min="966" max="966" width="12.28515625" bestFit="1" customWidth="1"/>
    <col min="967" max="967" width="8.5703125" bestFit="1" customWidth="1"/>
    <col min="968" max="968" width="12.28515625" bestFit="1" customWidth="1"/>
    <col min="969" max="969" width="8.5703125" bestFit="1" customWidth="1"/>
    <col min="970" max="970" width="12.28515625" bestFit="1" customWidth="1"/>
    <col min="971" max="971" width="8.5703125" bestFit="1" customWidth="1"/>
    <col min="972" max="972" width="12.28515625" bestFit="1" customWidth="1"/>
    <col min="973" max="973" width="8.5703125" bestFit="1" customWidth="1"/>
    <col min="974" max="974" width="12.28515625" bestFit="1" customWidth="1"/>
    <col min="975" max="975" width="8.5703125" bestFit="1" customWidth="1"/>
    <col min="976" max="976" width="12.28515625" bestFit="1" customWidth="1"/>
    <col min="977" max="977" width="8.5703125" bestFit="1" customWidth="1"/>
    <col min="978" max="978" width="12.28515625" bestFit="1" customWidth="1"/>
    <col min="979" max="979" width="8.5703125" bestFit="1" customWidth="1"/>
    <col min="980" max="980" width="12.28515625" bestFit="1" customWidth="1"/>
    <col min="981" max="981" width="8.5703125" bestFit="1" customWidth="1"/>
    <col min="982" max="982" width="12.28515625" bestFit="1" customWidth="1"/>
    <col min="983" max="983" width="8.5703125" bestFit="1" customWidth="1"/>
    <col min="984" max="984" width="12.28515625" bestFit="1" customWidth="1"/>
    <col min="985" max="985" width="8.5703125" bestFit="1" customWidth="1"/>
    <col min="986" max="986" width="12.28515625" bestFit="1" customWidth="1"/>
    <col min="987" max="987" width="8.5703125" bestFit="1" customWidth="1"/>
    <col min="988" max="988" width="12.28515625" bestFit="1" customWidth="1"/>
    <col min="989" max="989" width="8.5703125" bestFit="1" customWidth="1"/>
    <col min="990" max="990" width="12.28515625" bestFit="1" customWidth="1"/>
    <col min="991" max="991" width="8.5703125" bestFit="1" customWidth="1"/>
    <col min="992" max="992" width="12.28515625" bestFit="1" customWidth="1"/>
    <col min="993" max="993" width="8.5703125" bestFit="1" customWidth="1"/>
    <col min="994" max="994" width="12.28515625" bestFit="1" customWidth="1"/>
    <col min="995" max="995" width="8.5703125" bestFit="1" customWidth="1"/>
    <col min="996" max="996" width="12.28515625" bestFit="1" customWidth="1"/>
    <col min="997" max="997" width="8.5703125" bestFit="1" customWidth="1"/>
    <col min="998" max="998" width="12.28515625" bestFit="1" customWidth="1"/>
    <col min="999" max="999" width="8.5703125" bestFit="1" customWidth="1"/>
    <col min="1000" max="1000" width="12.28515625" bestFit="1" customWidth="1"/>
    <col min="1001" max="1001" width="10.5703125" bestFit="1" customWidth="1"/>
    <col min="1002" max="1002" width="14.42578125" bestFit="1" customWidth="1"/>
    <col min="1003" max="1003" width="10.5703125" bestFit="1" customWidth="1"/>
    <col min="1004" max="1004" width="14.42578125" bestFit="1" customWidth="1"/>
    <col min="1005" max="1005" width="10.5703125" bestFit="1" customWidth="1"/>
    <col min="1006" max="1006" width="14.42578125" bestFit="1" customWidth="1"/>
    <col min="1007" max="1007" width="10.5703125" bestFit="1" customWidth="1"/>
    <col min="1008" max="1008" width="14.42578125" bestFit="1" customWidth="1"/>
    <col min="1009" max="1009" width="10.5703125" bestFit="1" customWidth="1"/>
    <col min="1010" max="1010" width="14.42578125" bestFit="1" customWidth="1"/>
    <col min="1011" max="1011" width="10.5703125" bestFit="1" customWidth="1"/>
    <col min="1012" max="1012" width="14.42578125" bestFit="1" customWidth="1"/>
    <col min="1013" max="1013" width="10.5703125" bestFit="1" customWidth="1"/>
    <col min="1014" max="1014" width="14.42578125" bestFit="1" customWidth="1"/>
    <col min="1015" max="1015" width="10.5703125" bestFit="1" customWidth="1"/>
    <col min="1016" max="1016" width="14.42578125" bestFit="1" customWidth="1"/>
    <col min="1017" max="1017" width="10.5703125" bestFit="1" customWidth="1"/>
    <col min="1018" max="1018" width="14.42578125" bestFit="1" customWidth="1"/>
    <col min="1019" max="1019" width="10.5703125" bestFit="1" customWidth="1"/>
    <col min="1020" max="1020" width="14.42578125" bestFit="1" customWidth="1"/>
    <col min="1021" max="1021" width="10.5703125" bestFit="1" customWidth="1"/>
    <col min="1022" max="1022" width="14.42578125" bestFit="1" customWidth="1"/>
    <col min="1023" max="1023" width="10.5703125" bestFit="1" customWidth="1"/>
    <col min="1024" max="1024" width="14.42578125" bestFit="1" customWidth="1"/>
    <col min="1025" max="1025" width="10.5703125" bestFit="1" customWidth="1"/>
    <col min="1026" max="1026" width="14.42578125" bestFit="1" customWidth="1"/>
    <col min="1027" max="1027" width="10.5703125" bestFit="1" customWidth="1"/>
    <col min="1028" max="1028" width="14.42578125" bestFit="1" customWidth="1"/>
    <col min="1029" max="1029" width="10.5703125" bestFit="1" customWidth="1"/>
    <col min="1030" max="1030" width="14.42578125" bestFit="1" customWidth="1"/>
    <col min="1031" max="1031" width="10.5703125" bestFit="1" customWidth="1"/>
    <col min="1032" max="1032" width="14.42578125" bestFit="1" customWidth="1"/>
    <col min="1033" max="1033" width="10.5703125" bestFit="1" customWidth="1"/>
    <col min="1034" max="1034" width="14.42578125" bestFit="1" customWidth="1"/>
    <col min="1035" max="1035" width="10.5703125" bestFit="1" customWidth="1"/>
    <col min="1036" max="1036" width="14.42578125" bestFit="1" customWidth="1"/>
    <col min="1037" max="1037" width="10.5703125" bestFit="1" customWidth="1"/>
    <col min="1038" max="1038" width="14.42578125" bestFit="1" customWidth="1"/>
    <col min="1039" max="1039" width="10.5703125" bestFit="1" customWidth="1"/>
    <col min="1040" max="1040" width="14.42578125" bestFit="1" customWidth="1"/>
    <col min="1041" max="1041" width="10.5703125" bestFit="1" customWidth="1"/>
    <col min="1042" max="1042" width="14.42578125" bestFit="1" customWidth="1"/>
    <col min="1043" max="1043" width="10.5703125" bestFit="1" customWidth="1"/>
    <col min="1044" max="1044" width="14.42578125" bestFit="1" customWidth="1"/>
    <col min="1045" max="1045" width="10.5703125" bestFit="1" customWidth="1"/>
    <col min="1046" max="1046" width="14.42578125" bestFit="1" customWidth="1"/>
    <col min="1047" max="1047" width="10.5703125" bestFit="1" customWidth="1"/>
    <col min="1048" max="1048" width="14.42578125" bestFit="1" customWidth="1"/>
    <col min="1049" max="1049" width="10.5703125" bestFit="1" customWidth="1"/>
    <col min="1050" max="1050" width="14.42578125" bestFit="1" customWidth="1"/>
    <col min="1051" max="1051" width="10.5703125" bestFit="1" customWidth="1"/>
    <col min="1052" max="1052" width="14.42578125" bestFit="1" customWidth="1"/>
    <col min="1053" max="1053" width="10.5703125" bestFit="1" customWidth="1"/>
    <col min="1054" max="1054" width="14.42578125" bestFit="1" customWidth="1"/>
    <col min="1055" max="1055" width="10.5703125" bestFit="1" customWidth="1"/>
    <col min="1056" max="1056" width="14.42578125" bestFit="1" customWidth="1"/>
    <col min="1057" max="1057" width="10.5703125" bestFit="1" customWidth="1"/>
    <col min="1058" max="1058" width="14.42578125" bestFit="1" customWidth="1"/>
    <col min="1059" max="1059" width="10.5703125" bestFit="1" customWidth="1"/>
    <col min="1060" max="1060" width="14.42578125" bestFit="1" customWidth="1"/>
    <col min="1061" max="1061" width="10.5703125" bestFit="1" customWidth="1"/>
    <col min="1062" max="1062" width="14.42578125" bestFit="1" customWidth="1"/>
    <col min="1063" max="1063" width="10.5703125" bestFit="1" customWidth="1"/>
    <col min="1064" max="1064" width="14.42578125" bestFit="1" customWidth="1"/>
    <col min="1065" max="1065" width="10.5703125" bestFit="1" customWidth="1"/>
    <col min="1066" max="1066" width="14.42578125" bestFit="1" customWidth="1"/>
    <col min="1067" max="1067" width="10.5703125" bestFit="1" customWidth="1"/>
    <col min="1068" max="1068" width="14.42578125" bestFit="1" customWidth="1"/>
    <col min="1069" max="1069" width="10.5703125" bestFit="1" customWidth="1"/>
    <col min="1070" max="1070" width="14.42578125" bestFit="1" customWidth="1"/>
    <col min="1071" max="1071" width="10.5703125" bestFit="1" customWidth="1"/>
    <col min="1072" max="1072" width="14.42578125" bestFit="1" customWidth="1"/>
    <col min="1073" max="1073" width="10.5703125" bestFit="1" customWidth="1"/>
    <col min="1074" max="1074" width="14.42578125" bestFit="1" customWidth="1"/>
    <col min="1075" max="1075" width="10.5703125" bestFit="1" customWidth="1"/>
    <col min="1076" max="1076" width="14.42578125" bestFit="1" customWidth="1"/>
    <col min="1077" max="1077" width="10.5703125" bestFit="1" customWidth="1"/>
    <col min="1078" max="1078" width="14.42578125" bestFit="1" customWidth="1"/>
    <col min="1079" max="1079" width="10.5703125" bestFit="1" customWidth="1"/>
    <col min="1080" max="1080" width="14.42578125" bestFit="1" customWidth="1"/>
    <col min="1081" max="1081" width="10.5703125" bestFit="1" customWidth="1"/>
    <col min="1082" max="1082" width="14.42578125" bestFit="1" customWidth="1"/>
    <col min="1083" max="1083" width="10.5703125" bestFit="1" customWidth="1"/>
    <col min="1084" max="1084" width="14.42578125" bestFit="1" customWidth="1"/>
    <col min="1085" max="1085" width="10.5703125" bestFit="1" customWidth="1"/>
    <col min="1086" max="1086" width="14.42578125" bestFit="1" customWidth="1"/>
    <col min="1087" max="1087" width="10.5703125" bestFit="1" customWidth="1"/>
    <col min="1088" max="1088" width="14.42578125" bestFit="1" customWidth="1"/>
    <col min="1089" max="1089" width="10.5703125" bestFit="1" customWidth="1"/>
    <col min="1090" max="1090" width="14.42578125" bestFit="1" customWidth="1"/>
    <col min="1091" max="1091" width="10.5703125" bestFit="1" customWidth="1"/>
    <col min="1092" max="1092" width="14.42578125" bestFit="1" customWidth="1"/>
    <col min="1093" max="1093" width="10.5703125" bestFit="1" customWidth="1"/>
    <col min="1094" max="1094" width="14.42578125" bestFit="1" customWidth="1"/>
    <col min="1095" max="1095" width="10.5703125" bestFit="1" customWidth="1"/>
    <col min="1096" max="1096" width="14.42578125" bestFit="1" customWidth="1"/>
    <col min="1097" max="1097" width="10.5703125" bestFit="1" customWidth="1"/>
    <col min="1098" max="1098" width="14.42578125" bestFit="1" customWidth="1"/>
    <col min="1099" max="1099" width="10.5703125" bestFit="1" customWidth="1"/>
    <col min="1100" max="1100" width="14.42578125" bestFit="1" customWidth="1"/>
    <col min="1101" max="1101" width="10.5703125" bestFit="1" customWidth="1"/>
    <col min="1102" max="1102" width="14.42578125" bestFit="1" customWidth="1"/>
    <col min="1103" max="1103" width="10.5703125" bestFit="1" customWidth="1"/>
    <col min="1104" max="1104" width="14.42578125" bestFit="1" customWidth="1"/>
    <col min="1105" max="1105" width="10.5703125" bestFit="1" customWidth="1"/>
    <col min="1106" max="1106" width="14.42578125" bestFit="1" customWidth="1"/>
    <col min="1107" max="1107" width="10.5703125" bestFit="1" customWidth="1"/>
    <col min="1108" max="1108" width="14.42578125" bestFit="1" customWidth="1"/>
    <col min="1109" max="1109" width="10.5703125" bestFit="1" customWidth="1"/>
    <col min="1110" max="1110" width="14.42578125" bestFit="1" customWidth="1"/>
    <col min="1111" max="1111" width="10.5703125" bestFit="1" customWidth="1"/>
    <col min="1112" max="1112" width="14.42578125" bestFit="1" customWidth="1"/>
    <col min="1113" max="1113" width="10.5703125" bestFit="1" customWidth="1"/>
    <col min="1114" max="1114" width="14.42578125" bestFit="1" customWidth="1"/>
    <col min="1115" max="1115" width="10.5703125" bestFit="1" customWidth="1"/>
    <col min="1116" max="1116" width="14.42578125" bestFit="1" customWidth="1"/>
    <col min="1117" max="1117" width="10.5703125" bestFit="1" customWidth="1"/>
    <col min="1118" max="1118" width="14.42578125" bestFit="1" customWidth="1"/>
    <col min="1119" max="1119" width="10.5703125" bestFit="1" customWidth="1"/>
    <col min="1120" max="1120" width="14.42578125" bestFit="1" customWidth="1"/>
    <col min="1121" max="1121" width="10.5703125" bestFit="1" customWidth="1"/>
    <col min="1122" max="1122" width="14.42578125" bestFit="1" customWidth="1"/>
    <col min="1123" max="1123" width="10.5703125" bestFit="1" customWidth="1"/>
    <col min="1124" max="1124" width="14.42578125" bestFit="1" customWidth="1"/>
    <col min="1125" max="1125" width="10.5703125" bestFit="1" customWidth="1"/>
    <col min="1126" max="1126" width="14.42578125" bestFit="1" customWidth="1"/>
    <col min="1127" max="1127" width="10.5703125" bestFit="1" customWidth="1"/>
    <col min="1128" max="1128" width="14.42578125" bestFit="1" customWidth="1"/>
    <col min="1129" max="1129" width="10.5703125" bestFit="1" customWidth="1"/>
    <col min="1130" max="1130" width="14.42578125" bestFit="1" customWidth="1"/>
    <col min="1131" max="1131" width="10.5703125" bestFit="1" customWidth="1"/>
    <col min="1132" max="1132" width="14.42578125" bestFit="1" customWidth="1"/>
    <col min="1133" max="1133" width="10.5703125" bestFit="1" customWidth="1"/>
    <col min="1134" max="1134" width="14.42578125" bestFit="1" customWidth="1"/>
    <col min="1135" max="1135" width="10.5703125" bestFit="1" customWidth="1"/>
    <col min="1136" max="1136" width="14.42578125" bestFit="1" customWidth="1"/>
    <col min="1137" max="1137" width="10.5703125" bestFit="1" customWidth="1"/>
    <col min="1138" max="1138" width="14.42578125" bestFit="1" customWidth="1"/>
    <col min="1139" max="1139" width="10.5703125" bestFit="1" customWidth="1"/>
    <col min="1140" max="1140" width="14.42578125" bestFit="1" customWidth="1"/>
    <col min="1141" max="1141" width="10.5703125" bestFit="1" customWidth="1"/>
    <col min="1142" max="1142" width="14.42578125" bestFit="1" customWidth="1"/>
    <col min="1143" max="1143" width="10.5703125" bestFit="1" customWidth="1"/>
    <col min="1144" max="1144" width="14.42578125" bestFit="1" customWidth="1"/>
    <col min="1145" max="1145" width="10.5703125" bestFit="1" customWidth="1"/>
    <col min="1146" max="1146" width="14.42578125" bestFit="1" customWidth="1"/>
    <col min="1147" max="1147" width="10.5703125" bestFit="1" customWidth="1"/>
    <col min="1148" max="1148" width="14.42578125" bestFit="1" customWidth="1"/>
    <col min="1149" max="1149" width="10.5703125" bestFit="1" customWidth="1"/>
    <col min="1150" max="1150" width="14.42578125" bestFit="1" customWidth="1"/>
    <col min="1151" max="1151" width="10.5703125" bestFit="1" customWidth="1"/>
    <col min="1152" max="1152" width="14.42578125" bestFit="1" customWidth="1"/>
    <col min="1153" max="1153" width="10.5703125" bestFit="1" customWidth="1"/>
    <col min="1154" max="1154" width="14.42578125" bestFit="1" customWidth="1"/>
    <col min="1155" max="1155" width="10.5703125" bestFit="1" customWidth="1"/>
    <col min="1156" max="1156" width="14.42578125" bestFit="1" customWidth="1"/>
    <col min="1157" max="1157" width="10.5703125" bestFit="1" customWidth="1"/>
    <col min="1158" max="1158" width="14.42578125" bestFit="1" customWidth="1"/>
    <col min="1159" max="1159" width="10.5703125" bestFit="1" customWidth="1"/>
    <col min="1160" max="1160" width="14.42578125" bestFit="1" customWidth="1"/>
    <col min="1161" max="1161" width="10.5703125" bestFit="1" customWidth="1"/>
    <col min="1162" max="1162" width="14.42578125" bestFit="1" customWidth="1"/>
    <col min="1163" max="1163" width="10.5703125" bestFit="1" customWidth="1"/>
    <col min="1164" max="1164" width="14.42578125" bestFit="1" customWidth="1"/>
    <col min="1165" max="1165" width="10.5703125" bestFit="1" customWidth="1"/>
    <col min="1166" max="1166" width="14.42578125" bestFit="1" customWidth="1"/>
    <col min="1167" max="1167" width="10.5703125" bestFit="1" customWidth="1"/>
    <col min="1168" max="1168" width="14.42578125" bestFit="1" customWidth="1"/>
    <col min="1169" max="1169" width="10.5703125" bestFit="1" customWidth="1"/>
    <col min="1170" max="1170" width="14.42578125" bestFit="1" customWidth="1"/>
    <col min="1171" max="1171" width="10.5703125" bestFit="1" customWidth="1"/>
    <col min="1172" max="1172" width="14.42578125" bestFit="1" customWidth="1"/>
    <col min="1173" max="1173" width="10.5703125" bestFit="1" customWidth="1"/>
    <col min="1174" max="1174" width="14.42578125" bestFit="1" customWidth="1"/>
    <col min="1175" max="1175" width="10.5703125" bestFit="1" customWidth="1"/>
    <col min="1176" max="1176" width="14.42578125" bestFit="1" customWidth="1"/>
    <col min="1177" max="1177" width="10.5703125" bestFit="1" customWidth="1"/>
    <col min="1178" max="1178" width="14.42578125" bestFit="1" customWidth="1"/>
    <col min="1179" max="1179" width="10.5703125" bestFit="1" customWidth="1"/>
    <col min="1180" max="1180" width="14.42578125" bestFit="1" customWidth="1"/>
    <col min="1181" max="1181" width="10.5703125" bestFit="1" customWidth="1"/>
    <col min="1182" max="1182" width="14.42578125" bestFit="1" customWidth="1"/>
    <col min="1183" max="1183" width="10.5703125" bestFit="1" customWidth="1"/>
    <col min="1184" max="1184" width="14.42578125" bestFit="1" customWidth="1"/>
    <col min="1185" max="1185" width="10.5703125" bestFit="1" customWidth="1"/>
    <col min="1186" max="1186" width="14.42578125" bestFit="1" customWidth="1"/>
    <col min="1187" max="1187" width="10.5703125" bestFit="1" customWidth="1"/>
    <col min="1188" max="1188" width="14.42578125" bestFit="1" customWidth="1"/>
    <col min="1189" max="1189" width="10.5703125" bestFit="1" customWidth="1"/>
    <col min="1190" max="1190" width="14.42578125" bestFit="1" customWidth="1"/>
    <col min="1191" max="1191" width="10.5703125" bestFit="1" customWidth="1"/>
    <col min="1192" max="1192" width="14.42578125" bestFit="1" customWidth="1"/>
    <col min="1193" max="1193" width="10.5703125" bestFit="1" customWidth="1"/>
    <col min="1194" max="1194" width="14.42578125" bestFit="1" customWidth="1"/>
    <col min="1195" max="1195" width="10.5703125" bestFit="1" customWidth="1"/>
    <col min="1196" max="1196" width="14.42578125" bestFit="1" customWidth="1"/>
    <col min="1197" max="1197" width="10.5703125" bestFit="1" customWidth="1"/>
    <col min="1198" max="1198" width="14.42578125" bestFit="1" customWidth="1"/>
    <col min="1199" max="1199" width="10.5703125" bestFit="1" customWidth="1"/>
    <col min="1200" max="1200" width="14.42578125" bestFit="1" customWidth="1"/>
    <col min="1201" max="1201" width="10.5703125" bestFit="1" customWidth="1"/>
    <col min="1202" max="1202" width="14.42578125" bestFit="1" customWidth="1"/>
    <col min="1203" max="1203" width="10.5703125" bestFit="1" customWidth="1"/>
    <col min="1204" max="1204" width="14.42578125" bestFit="1" customWidth="1"/>
    <col min="1205" max="1205" width="10.5703125" bestFit="1" customWidth="1"/>
    <col min="1206" max="1206" width="14.42578125" bestFit="1" customWidth="1"/>
    <col min="1207" max="1207" width="10.5703125" bestFit="1" customWidth="1"/>
    <col min="1208" max="1208" width="14.42578125" bestFit="1" customWidth="1"/>
    <col min="1209" max="1209" width="10.5703125" bestFit="1" customWidth="1"/>
    <col min="1210" max="1210" width="14.42578125" bestFit="1" customWidth="1"/>
    <col min="1211" max="1211" width="10.5703125" bestFit="1" customWidth="1"/>
    <col min="1212" max="1212" width="14.42578125" bestFit="1" customWidth="1"/>
    <col min="1213" max="1213" width="10.5703125" bestFit="1" customWidth="1"/>
    <col min="1214" max="1214" width="14.42578125" bestFit="1" customWidth="1"/>
    <col min="1215" max="1215" width="10.5703125" bestFit="1" customWidth="1"/>
    <col min="1216" max="1216" width="14.42578125" bestFit="1" customWidth="1"/>
    <col min="1217" max="1217" width="10.5703125" bestFit="1" customWidth="1"/>
    <col min="1218" max="1218" width="14.42578125" bestFit="1" customWidth="1"/>
    <col min="1219" max="1219" width="10.5703125" bestFit="1" customWidth="1"/>
    <col min="1220" max="1220" width="14.42578125" bestFit="1" customWidth="1"/>
    <col min="1221" max="1221" width="10.5703125" bestFit="1" customWidth="1"/>
    <col min="1222" max="1222" width="14.42578125" bestFit="1" customWidth="1"/>
    <col min="1223" max="1223" width="10.5703125" bestFit="1" customWidth="1"/>
    <col min="1224" max="1224" width="14.42578125" bestFit="1" customWidth="1"/>
    <col min="1225" max="1225" width="10.5703125" bestFit="1" customWidth="1"/>
    <col min="1226" max="1226" width="14.42578125" bestFit="1" customWidth="1"/>
    <col min="1227" max="1227" width="10.5703125" bestFit="1" customWidth="1"/>
    <col min="1228" max="1228" width="14.42578125" bestFit="1" customWidth="1"/>
    <col min="1229" max="1229" width="10.5703125" bestFit="1" customWidth="1"/>
    <col min="1230" max="1230" width="14.42578125" bestFit="1" customWidth="1"/>
    <col min="1231" max="1231" width="10.5703125" bestFit="1" customWidth="1"/>
    <col min="1232" max="1232" width="14.42578125" bestFit="1" customWidth="1"/>
    <col min="1233" max="1233" width="10.5703125" bestFit="1" customWidth="1"/>
    <col min="1234" max="1234" width="14.42578125" bestFit="1" customWidth="1"/>
    <col min="1235" max="1235" width="10.5703125" bestFit="1" customWidth="1"/>
    <col min="1236" max="1236" width="14.42578125" bestFit="1" customWidth="1"/>
    <col min="1237" max="1237" width="10.5703125" bestFit="1" customWidth="1"/>
    <col min="1238" max="1238" width="14.42578125" bestFit="1" customWidth="1"/>
    <col min="1239" max="1239" width="10.5703125" bestFit="1" customWidth="1"/>
    <col min="1240" max="1240" width="14.42578125" bestFit="1" customWidth="1"/>
    <col min="1241" max="1241" width="10.5703125" bestFit="1" customWidth="1"/>
    <col min="1242" max="1242" width="14.42578125" bestFit="1" customWidth="1"/>
    <col min="1243" max="1243" width="10.5703125" bestFit="1" customWidth="1"/>
    <col min="1244" max="1244" width="14.42578125" bestFit="1" customWidth="1"/>
    <col min="1245" max="1245" width="10.5703125" bestFit="1" customWidth="1"/>
    <col min="1246" max="1246" width="14.42578125" bestFit="1" customWidth="1"/>
    <col min="1247" max="1247" width="10.5703125" bestFit="1" customWidth="1"/>
    <col min="1248" max="1248" width="14.42578125" bestFit="1" customWidth="1"/>
    <col min="1249" max="1249" width="10.5703125" bestFit="1" customWidth="1"/>
    <col min="1250" max="1250" width="14.42578125" bestFit="1" customWidth="1"/>
    <col min="1251" max="1251" width="10.5703125" bestFit="1" customWidth="1"/>
    <col min="1252" max="1252" width="14.42578125" bestFit="1" customWidth="1"/>
    <col min="1253" max="1253" width="10.5703125" bestFit="1" customWidth="1"/>
    <col min="1254" max="1254" width="14.42578125" bestFit="1" customWidth="1"/>
    <col min="1255" max="1255" width="10.5703125" bestFit="1" customWidth="1"/>
    <col min="1256" max="1256" width="14.42578125" bestFit="1" customWidth="1"/>
    <col min="1257" max="1257" width="10.5703125" bestFit="1" customWidth="1"/>
    <col min="1258" max="1258" width="14.42578125" bestFit="1" customWidth="1"/>
    <col min="1259" max="1259" width="10.5703125" bestFit="1" customWidth="1"/>
    <col min="1260" max="1260" width="14.42578125" bestFit="1" customWidth="1"/>
    <col min="1261" max="1261" width="10.5703125" bestFit="1" customWidth="1"/>
    <col min="1262" max="1262" width="14.42578125" bestFit="1" customWidth="1"/>
    <col min="1263" max="1263" width="10.5703125" bestFit="1" customWidth="1"/>
    <col min="1264" max="1264" width="14.42578125" bestFit="1" customWidth="1"/>
    <col min="1265" max="1265" width="10.5703125" bestFit="1" customWidth="1"/>
    <col min="1266" max="1266" width="14.42578125" bestFit="1" customWidth="1"/>
    <col min="1267" max="1267" width="10.5703125" bestFit="1" customWidth="1"/>
    <col min="1268" max="1268" width="14.42578125" bestFit="1" customWidth="1"/>
    <col min="1269" max="1269" width="10.5703125" bestFit="1" customWidth="1"/>
    <col min="1270" max="1270" width="14.42578125" bestFit="1" customWidth="1"/>
    <col min="1271" max="1271" width="10.5703125" bestFit="1" customWidth="1"/>
    <col min="1272" max="1272" width="14.42578125" bestFit="1" customWidth="1"/>
    <col min="1273" max="1273" width="10.5703125" bestFit="1" customWidth="1"/>
    <col min="1274" max="1274" width="14.42578125" bestFit="1" customWidth="1"/>
    <col min="1275" max="1275" width="10.5703125" bestFit="1" customWidth="1"/>
    <col min="1276" max="1276" width="14.42578125" bestFit="1" customWidth="1"/>
    <col min="1277" max="1277" width="10.5703125" bestFit="1" customWidth="1"/>
    <col min="1278" max="1278" width="14.42578125" bestFit="1" customWidth="1"/>
    <col min="1279" max="1279" width="10.5703125" bestFit="1" customWidth="1"/>
    <col min="1280" max="1280" width="14.42578125" bestFit="1" customWidth="1"/>
    <col min="1281" max="1281" width="10.5703125" bestFit="1" customWidth="1"/>
    <col min="1282" max="1282" width="14.42578125" bestFit="1" customWidth="1"/>
    <col min="1283" max="1283" width="10.5703125" bestFit="1" customWidth="1"/>
    <col min="1284" max="1284" width="14.42578125" bestFit="1" customWidth="1"/>
    <col min="1285" max="1285" width="10.5703125" bestFit="1" customWidth="1"/>
    <col min="1286" max="1286" width="14.42578125" bestFit="1" customWidth="1"/>
    <col min="1287" max="1287" width="10.5703125" bestFit="1" customWidth="1"/>
    <col min="1288" max="1288" width="14.42578125" bestFit="1" customWidth="1"/>
    <col min="1289" max="1289" width="10.5703125" bestFit="1" customWidth="1"/>
    <col min="1290" max="1290" width="14.42578125" bestFit="1" customWidth="1"/>
    <col min="1291" max="1291" width="10.5703125" bestFit="1" customWidth="1"/>
    <col min="1292" max="1292" width="14.42578125" bestFit="1" customWidth="1"/>
    <col min="1293" max="1293" width="10.5703125" bestFit="1" customWidth="1"/>
    <col min="1294" max="1294" width="14.42578125" bestFit="1" customWidth="1"/>
    <col min="1295" max="1295" width="10.5703125" bestFit="1" customWidth="1"/>
    <col min="1296" max="1296" width="14.42578125" bestFit="1" customWidth="1"/>
    <col min="1297" max="1297" width="10.5703125" bestFit="1" customWidth="1"/>
    <col min="1298" max="1298" width="14.42578125" bestFit="1" customWidth="1"/>
    <col min="1299" max="1299" width="10.5703125" bestFit="1" customWidth="1"/>
    <col min="1300" max="1300" width="14.42578125" bestFit="1" customWidth="1"/>
    <col min="1301" max="1301" width="10.5703125" bestFit="1" customWidth="1"/>
    <col min="1302" max="1302" width="14.42578125" bestFit="1" customWidth="1"/>
    <col min="1303" max="1303" width="10.5703125" bestFit="1" customWidth="1"/>
    <col min="1304" max="1304" width="14.42578125" bestFit="1" customWidth="1"/>
    <col min="1305" max="1305" width="10.5703125" bestFit="1" customWidth="1"/>
    <col min="1306" max="1306" width="14.42578125" bestFit="1" customWidth="1"/>
    <col min="1307" max="1307" width="10.5703125" bestFit="1" customWidth="1"/>
    <col min="1308" max="1308" width="14.42578125" bestFit="1" customWidth="1"/>
    <col min="1309" max="1309" width="10.5703125" bestFit="1" customWidth="1"/>
    <col min="1310" max="1310" width="14.42578125" bestFit="1" customWidth="1"/>
    <col min="1311" max="1311" width="10.5703125" bestFit="1" customWidth="1"/>
    <col min="1312" max="1312" width="14.42578125" bestFit="1" customWidth="1"/>
    <col min="1313" max="1313" width="10.42578125" bestFit="1" customWidth="1"/>
  </cols>
  <sheetData>
    <row r="1" spans="1:7">
      <c r="A1" s="114" t="s">
        <v>0</v>
      </c>
      <c r="B1" s="118" t="s">
        <v>1</v>
      </c>
      <c r="C1" s="122"/>
      <c r="D1" s="116" t="s">
        <v>2</v>
      </c>
      <c r="E1" s="123"/>
      <c r="F1" s="123"/>
      <c r="G1" s="122"/>
    </row>
    <row r="2" spans="1:7" ht="24.95" customHeight="1">
      <c r="A2" s="124"/>
      <c r="B2" s="115" t="s">
        <v>3</v>
      </c>
      <c r="C2" s="16" t="s">
        <v>4</v>
      </c>
      <c r="D2" s="17" t="s">
        <v>5</v>
      </c>
      <c r="E2" s="18" t="s">
        <v>6</v>
      </c>
      <c r="F2" s="18" t="s">
        <v>7</v>
      </c>
      <c r="G2" s="17" t="s">
        <v>8</v>
      </c>
    </row>
    <row r="3" spans="1:7">
      <c r="A3" s="125"/>
      <c r="B3" s="125"/>
      <c r="C3" s="19" t="s">
        <v>9</v>
      </c>
      <c r="D3" s="18" t="s">
        <v>10</v>
      </c>
      <c r="E3" s="18" t="s">
        <v>11</v>
      </c>
      <c r="F3" s="18" t="s">
        <v>12</v>
      </c>
      <c r="G3" s="18" t="s">
        <v>13</v>
      </c>
    </row>
    <row r="4" spans="1:7">
      <c r="A4" s="20" t="s">
        <v>14</v>
      </c>
      <c r="B4" s="21">
        <f>COUNTIFS(Dhruv!C:C,'Dhruv Summary'!A4)</f>
        <v>0</v>
      </c>
      <c r="C4" s="21">
        <f>B4-G4</f>
        <v>0</v>
      </c>
      <c r="D4" s="22">
        <f>COUNTIFS(Dhruv!C:C,'Dhruv Summary'!A4,Dhruv!K:K,"Regular")</f>
        <v>0</v>
      </c>
      <c r="E4" s="22">
        <f>COUNTIFS(Dhruv!C:C,'Dhruv Summary'!A4,Dhruv!J:J,"MT")</f>
        <v>0</v>
      </c>
      <c r="F4" s="22">
        <f>COUNTIFS(Dhruv!C:C,'Dhruv Summary'!A4,Dhruv!J:J,"OJT")</f>
        <v>0</v>
      </c>
      <c r="G4" s="22">
        <f>D4+E4+F4</f>
        <v>0</v>
      </c>
    </row>
    <row r="5" spans="1:7">
      <c r="A5" s="20" t="s">
        <v>15</v>
      </c>
      <c r="B5" s="21">
        <f>COUNTIFS(Dhruv!C:C,'Dhruv Summary'!A5)</f>
        <v>0</v>
      </c>
      <c r="C5" s="21">
        <f>B5-G5</f>
        <v>0</v>
      </c>
      <c r="D5" s="22">
        <f>COUNTIFS(Dhruv!C:C,'Dhruv Summary'!A5,Dhruv!K:K,"Regular")</f>
        <v>0</v>
      </c>
      <c r="E5" s="22">
        <f>COUNTIFS(Dhruv!C:C,'Dhruv Summary'!A5,Dhruv!J:J,"MT")</f>
        <v>0</v>
      </c>
      <c r="F5" s="22">
        <f>COUNTIFS(Dhruv!C:C,'Dhruv Summary'!A5,Dhruv!J:J,"OJT")</f>
        <v>0</v>
      </c>
      <c r="G5" s="22">
        <f>D5+E5+F5</f>
        <v>0</v>
      </c>
    </row>
    <row r="6" spans="1:7">
      <c r="A6" s="20" t="s">
        <v>16</v>
      </c>
      <c r="B6" s="21">
        <f>COUNTIFS(Dhruv!C:C,'Dhruv Summary'!A6)</f>
        <v>0</v>
      </c>
      <c r="C6" s="21">
        <f>B6-G6</f>
        <v>0</v>
      </c>
      <c r="D6" s="22">
        <f>COUNTIFS(Dhruv!C:C,'Dhruv Summary'!A6,Dhruv!K:K,"Regular")</f>
        <v>0</v>
      </c>
      <c r="E6" s="22">
        <f>COUNTIFS(Dhruv!C:C,'Dhruv Summary'!A6,Dhruv!J:J,"MT")</f>
        <v>0</v>
      </c>
      <c r="F6" s="22">
        <f>COUNTIFS(Dhruv!C:C,'Dhruv Summary'!A6,Dhruv!J:J,"OJT")</f>
        <v>0</v>
      </c>
      <c r="G6" s="22">
        <f>D6+E6+F6</f>
        <v>0</v>
      </c>
    </row>
    <row r="7" spans="1:7">
      <c r="A7" s="20" t="s">
        <v>17</v>
      </c>
      <c r="B7" s="21">
        <f>COUNTIFS(Dhruv!C:C,'Dhruv Summary'!A7)</f>
        <v>0</v>
      </c>
      <c r="C7" s="21">
        <f>B7-G7</f>
        <v>0</v>
      </c>
      <c r="D7" s="22">
        <f>COUNTIFS(Dhruv!C:C,'Dhruv Summary'!A7,Dhruv!K:K,"Regular")</f>
        <v>0</v>
      </c>
      <c r="E7" s="22">
        <f>COUNTIFS(Dhruv!C:C,'Dhruv Summary'!A7,Dhruv!J:J,"MT")</f>
        <v>0</v>
      </c>
      <c r="F7" s="22">
        <f>COUNTIFS(Dhruv!C:C,'Dhruv Summary'!A7,Dhruv!J:J,"OJT")</f>
        <v>0</v>
      </c>
      <c r="G7" s="22">
        <f>D7+E7+F7</f>
        <v>0</v>
      </c>
    </row>
    <row r="8" spans="1:7">
      <c r="A8" s="20" t="s">
        <v>18</v>
      </c>
      <c r="B8" s="21">
        <f>COUNTIFS(Dhruv!C:C,'Dhruv Summary'!A8)</f>
        <v>0</v>
      </c>
      <c r="C8" s="21">
        <f>B8-G8</f>
        <v>0</v>
      </c>
      <c r="D8" s="22">
        <f>COUNTIFS(Dhruv!C:C,'Dhruv Summary'!A8,Dhruv!K:K,"Regular")</f>
        <v>0</v>
      </c>
      <c r="E8" s="22">
        <f>COUNTIFS(Dhruv!C:C,'Dhruv Summary'!A8,Dhruv!J:J,"MT")</f>
        <v>0</v>
      </c>
      <c r="F8" s="22">
        <f>COUNTIFS(Dhruv!C:C,'Dhruv Summary'!A8,Dhruv!J:J,"OJT")</f>
        <v>0</v>
      </c>
      <c r="G8" s="22">
        <f>D8+E8+F8</f>
        <v>0</v>
      </c>
    </row>
    <row r="9" spans="1:7">
      <c r="A9" s="20" t="s">
        <v>19</v>
      </c>
      <c r="B9" s="21">
        <f>COUNTIFS(Dhruv!C:C,'Dhruv Summary'!A9)</f>
        <v>0</v>
      </c>
      <c r="C9" s="21">
        <f>B9-G9</f>
        <v>0</v>
      </c>
      <c r="D9" s="22">
        <f>COUNTIFS(Dhruv!C:C,'Dhruv Summary'!A9,Dhruv!K:K,"Regular")</f>
        <v>0</v>
      </c>
      <c r="E9" s="22">
        <f>COUNTIFS(Dhruv!C:C,'Dhruv Summary'!A9,Dhruv!J:J,"MT")</f>
        <v>0</v>
      </c>
      <c r="F9" s="22">
        <f>COUNTIFS(Dhruv!C:C,'Dhruv Summary'!A9,Dhruv!J:J,"OJT")</f>
        <v>0</v>
      </c>
      <c r="G9" s="22">
        <f>D9+E9+F9</f>
        <v>0</v>
      </c>
    </row>
    <row r="10" spans="1:7">
      <c r="A10" s="20" t="s">
        <v>20</v>
      </c>
      <c r="B10" s="21">
        <f>COUNTIFS(Dhruv!C:C,'Dhruv Summary'!A10)</f>
        <v>0</v>
      </c>
      <c r="C10" s="21">
        <f>B10-G10</f>
        <v>0</v>
      </c>
      <c r="D10" s="22">
        <f>COUNTIFS(Dhruv!C:C,'Dhruv Summary'!A10,Dhruv!K:K,"Regular")</f>
        <v>0</v>
      </c>
      <c r="E10" s="22">
        <f>COUNTIFS(Dhruv!C:C,'Dhruv Summary'!A10,Dhruv!J:J,"MT")</f>
        <v>0</v>
      </c>
      <c r="F10" s="22">
        <f>COUNTIFS(Dhruv!C:C,'Dhruv Summary'!A10,Dhruv!J:J,"OJT")</f>
        <v>0</v>
      </c>
      <c r="G10" s="22">
        <f>D10+E10+F10</f>
        <v>0</v>
      </c>
    </row>
    <row r="11" spans="1:7">
      <c r="A11" s="20" t="s">
        <v>21</v>
      </c>
      <c r="B11" s="21">
        <f>COUNTIFS(Dhruv!C:C,'Dhruv Summary'!A11)</f>
        <v>0</v>
      </c>
      <c r="C11" s="21">
        <f>B11-G11</f>
        <v>0</v>
      </c>
      <c r="D11" s="22">
        <f>COUNTIFS(Dhruv!C:C,'Dhruv Summary'!A11,Dhruv!K:K,"Regular")</f>
        <v>0</v>
      </c>
      <c r="E11" s="22">
        <f>COUNTIFS(Dhruv!C:C,'Dhruv Summary'!A11,Dhruv!J:J,"MT")</f>
        <v>0</v>
      </c>
      <c r="F11" s="22">
        <f>COUNTIFS(Dhruv!C:C,'Dhruv Summary'!A11,Dhruv!J:J,"OJT")</f>
        <v>0</v>
      </c>
      <c r="G11" s="22">
        <f>D11+E11+F11</f>
        <v>0</v>
      </c>
    </row>
    <row r="12" spans="1:7">
      <c r="A12" s="20" t="s">
        <v>22</v>
      </c>
      <c r="B12" s="21">
        <f>COUNTIFS(Dhruv!C:C,'Dhruv Summary'!A12)</f>
        <v>0</v>
      </c>
      <c r="C12" s="21">
        <f>B12-G12</f>
        <v>0</v>
      </c>
      <c r="D12" s="22">
        <f>COUNTIFS(Dhruv!C:C,'Dhruv Summary'!A12,Dhruv!K:K,"Regular")</f>
        <v>0</v>
      </c>
      <c r="E12" s="22">
        <f>COUNTIFS(Dhruv!C:C,'Dhruv Summary'!A12,Dhruv!J:J,"MT")</f>
        <v>0</v>
      </c>
      <c r="F12" s="22">
        <f>COUNTIFS(Dhruv!C:C,'Dhruv Summary'!A12,Dhruv!J:J,"OJT")</f>
        <v>0</v>
      </c>
      <c r="G12" s="22">
        <f>D12+E12+F12</f>
        <v>0</v>
      </c>
    </row>
    <row r="13" spans="1:7">
      <c r="A13" s="20" t="s">
        <v>23</v>
      </c>
      <c r="B13" s="21">
        <f>COUNTIFS(Dhruv!C:C,'Dhruv Summary'!A13)</f>
        <v>0</v>
      </c>
      <c r="C13" s="21">
        <f>B13-G13</f>
        <v>0</v>
      </c>
      <c r="D13" s="22">
        <f>COUNTIFS(Dhruv!C:C,'Dhruv Summary'!A13,Dhruv!K:K,"Regular")</f>
        <v>0</v>
      </c>
      <c r="E13" s="22">
        <f>COUNTIFS(Dhruv!C:C,'Dhruv Summary'!A13,Dhruv!J:J,"MT")</f>
        <v>0</v>
      </c>
      <c r="F13" s="22">
        <f>COUNTIFS(Dhruv!C:C,'Dhruv Summary'!A13,Dhruv!J:J,"OJT")</f>
        <v>0</v>
      </c>
      <c r="G13" s="22">
        <f>D13+E13+F13</f>
        <v>0</v>
      </c>
    </row>
    <row r="14" spans="1:7">
      <c r="A14" s="20" t="s">
        <v>24</v>
      </c>
      <c r="B14" s="21">
        <f>COUNTIFS(Dhruv!C:C,'Dhruv Summary'!A14)</f>
        <v>0</v>
      </c>
      <c r="C14" s="21">
        <f>B14-G14</f>
        <v>0</v>
      </c>
      <c r="D14" s="22">
        <f>COUNTIFS(Dhruv!C:C,'Dhruv Summary'!A14,Dhruv!K:K,"Regular")</f>
        <v>0</v>
      </c>
      <c r="E14" s="22">
        <f>COUNTIFS(Dhruv!C:C,'Dhruv Summary'!A14,Dhruv!J:J,"MT")</f>
        <v>0</v>
      </c>
      <c r="F14" s="22">
        <f>COUNTIFS(Dhruv!C:C,'Dhruv Summary'!A14,Dhruv!J:J,"OJT")</f>
        <v>0</v>
      </c>
      <c r="G14" s="22">
        <f>D14+E14+F14</f>
        <v>0</v>
      </c>
    </row>
    <row r="15" spans="1:7">
      <c r="A15" s="20" t="s">
        <v>25</v>
      </c>
      <c r="B15" s="21">
        <f>COUNTIFS(Dhruv!C:C,'Dhruv Summary'!A15)</f>
        <v>0</v>
      </c>
      <c r="C15" s="21">
        <f>B15-G15</f>
        <v>0</v>
      </c>
      <c r="D15" s="22">
        <f>COUNTIFS(Dhruv!C:C,'Dhruv Summary'!A15,Dhruv!K:K,"Regular")</f>
        <v>0</v>
      </c>
      <c r="E15" s="22">
        <f>COUNTIFS(Dhruv!C:C,'Dhruv Summary'!A15,Dhruv!J:J,"MT")</f>
        <v>0</v>
      </c>
      <c r="F15" s="22">
        <f>COUNTIFS(Dhruv!C:C,'Dhruv Summary'!A15,Dhruv!J:J,"OJT")</f>
        <v>0</v>
      </c>
      <c r="G15" s="22">
        <f>D15+E15+F15</f>
        <v>0</v>
      </c>
    </row>
    <row r="16" spans="1:7">
      <c r="A16" s="20" t="s">
        <v>26</v>
      </c>
      <c r="B16" s="21">
        <f>COUNTIFS(Dhruv!C:C,'Dhruv Summary'!A16)</f>
        <v>0</v>
      </c>
      <c r="C16" s="21">
        <f>B16-G16</f>
        <v>0</v>
      </c>
      <c r="D16" s="22">
        <f>COUNTIFS(Dhruv!C:C,'Dhruv Summary'!A16,Dhruv!K:K,"Regular")</f>
        <v>0</v>
      </c>
      <c r="E16" s="22">
        <f>COUNTIFS(Dhruv!C:C,'Dhruv Summary'!A16,Dhruv!J:J,"MT")</f>
        <v>0</v>
      </c>
      <c r="F16" s="22">
        <f>COUNTIFS(Dhruv!C:C,'Dhruv Summary'!A16,Dhruv!J:J,"OJT")</f>
        <v>0</v>
      </c>
      <c r="G16" s="22">
        <f>D16+E16+F16</f>
        <v>0</v>
      </c>
    </row>
    <row r="17" spans="1:7">
      <c r="A17" s="20" t="s">
        <v>27</v>
      </c>
      <c r="B17" s="21">
        <f>COUNTIFS(Dhruv!C:C,'Dhruv Summary'!A17)</f>
        <v>0</v>
      </c>
      <c r="C17" s="21">
        <f>B17-G17</f>
        <v>0</v>
      </c>
      <c r="D17" s="22">
        <f>COUNTIFS(Dhruv!C:C,'Dhruv Summary'!A17,Dhruv!K:K,"Regular")</f>
        <v>0</v>
      </c>
      <c r="E17" s="22">
        <f>COUNTIFS(Dhruv!C:C,'Dhruv Summary'!A17,Dhruv!J:J,"MT")</f>
        <v>0</v>
      </c>
      <c r="F17" s="22">
        <f>COUNTIFS(Dhruv!C:C,'Dhruv Summary'!A17,Dhruv!J:J,"OJT")</f>
        <v>0</v>
      </c>
      <c r="G17" s="22">
        <f>D17+E17+F17</f>
        <v>0</v>
      </c>
    </row>
    <row r="18" spans="1:7">
      <c r="A18" s="20" t="s">
        <v>28</v>
      </c>
      <c r="B18" s="21">
        <f>COUNTIFS(Dhruv!C:C,'Dhruv Summary'!A18)</f>
        <v>0</v>
      </c>
      <c r="C18" s="21">
        <f>B18-G18</f>
        <v>0</v>
      </c>
      <c r="D18" s="22">
        <f>COUNTIFS(Dhruv!C:C,'Dhruv Summary'!A18,Dhruv!K:K,"Regular")</f>
        <v>0</v>
      </c>
      <c r="E18" s="22">
        <f>COUNTIFS(Dhruv!C:C,'Dhruv Summary'!A18,Dhruv!J:J,"MT")</f>
        <v>0</v>
      </c>
      <c r="F18" s="22">
        <f>COUNTIFS(Dhruv!C:C,'Dhruv Summary'!A18,Dhruv!J:J,"OJT")</f>
        <v>0</v>
      </c>
      <c r="G18" s="22">
        <f>D18+E18+F18</f>
        <v>0</v>
      </c>
    </row>
    <row r="19" spans="1:7">
      <c r="A19" s="20" t="s">
        <v>9</v>
      </c>
      <c r="B19" s="21">
        <f>COUNTIFS(Dhruv!C:C,'Dhruv Summary'!A19)</f>
        <v>0</v>
      </c>
      <c r="C19" s="21">
        <f>B19-G19</f>
        <v>0</v>
      </c>
      <c r="D19" s="22">
        <f>COUNTIFS(Dhruv!C:C,'Dhruv Summary'!A19,Dhruv!K:K,"Regular")</f>
        <v>0</v>
      </c>
      <c r="E19" s="22">
        <f>COUNTIFS(Dhruv!C:C,'Dhruv Summary'!A19,Dhruv!J:J,"MT")</f>
        <v>0</v>
      </c>
      <c r="F19" s="22">
        <f>COUNTIFS(Dhruv!C:C,'Dhruv Summary'!A19,Dhruv!J:J,"OJT")</f>
        <v>0</v>
      </c>
      <c r="G19" s="22">
        <f>D19+E19+F19</f>
        <v>0</v>
      </c>
    </row>
    <row r="20" spans="1:7">
      <c r="A20" s="20" t="s">
        <v>10</v>
      </c>
      <c r="B20" s="21">
        <f>COUNTIFS(Dhruv!C:C,'Dhruv Summary'!A20)</f>
        <v>0</v>
      </c>
      <c r="C20" s="21">
        <f>B20-G20</f>
        <v>0</v>
      </c>
      <c r="D20" s="22">
        <f>COUNTIFS(Dhruv!C:C,'Dhruv Summary'!A20,Dhruv!K:K,"Regular")</f>
        <v>0</v>
      </c>
      <c r="E20" s="22">
        <f>COUNTIFS(Dhruv!C:C,'Dhruv Summary'!A20,Dhruv!J:J,"MT")</f>
        <v>0</v>
      </c>
      <c r="F20" s="22">
        <f>COUNTIFS(Dhruv!C:C,'Dhruv Summary'!A20,Dhruv!J:J,"OJT")</f>
        <v>0</v>
      </c>
      <c r="G20" s="22">
        <f>D20+E20+F20</f>
        <v>0</v>
      </c>
    </row>
    <row r="21" spans="1:7">
      <c r="A21" s="23" t="s">
        <v>11</v>
      </c>
      <c r="B21" s="24">
        <f>SUM(B4:B20)</f>
        <v>0</v>
      </c>
      <c r="C21" s="24">
        <f>SUM(C4:C20)</f>
        <v>0</v>
      </c>
      <c r="D21" s="24">
        <f>SUM(D4:D20)</f>
        <v>0</v>
      </c>
      <c r="E21" s="24">
        <f>SUM(E4:E20)</f>
        <v>0</v>
      </c>
      <c r="F21" s="24">
        <f>SUM(F4:F20)</f>
        <v>0</v>
      </c>
      <c r="G21" s="24">
        <f>SUM(G4:G20)</f>
        <v>0</v>
      </c>
    </row>
    <row r="26" spans="1:7">
      <c r="A26" s="114" t="s">
        <v>12</v>
      </c>
      <c r="B26" s="118" t="s">
        <v>13</v>
      </c>
      <c r="C26" s="122"/>
      <c r="D26" s="116" t="s">
        <v>14</v>
      </c>
      <c r="E26" s="123"/>
      <c r="F26" s="123"/>
      <c r="G26" s="122"/>
    </row>
    <row r="27" spans="1:7" ht="24.95" customHeight="1">
      <c r="A27" s="124"/>
      <c r="B27" s="115" t="s">
        <v>15</v>
      </c>
      <c r="C27" s="16" t="s">
        <v>16</v>
      </c>
      <c r="D27" s="17" t="s">
        <v>17</v>
      </c>
      <c r="E27" s="18" t="s">
        <v>18</v>
      </c>
      <c r="F27" s="18" t="s">
        <v>19</v>
      </c>
      <c r="G27" s="17" t="s">
        <v>20</v>
      </c>
    </row>
    <row r="28" spans="1:7">
      <c r="A28" s="125"/>
      <c r="B28" s="125"/>
      <c r="C28" s="19" t="s">
        <v>9</v>
      </c>
      <c r="D28" s="18" t="s">
        <v>10</v>
      </c>
      <c r="E28" s="18" t="s">
        <v>11</v>
      </c>
      <c r="F28" s="18" t="s">
        <v>12</v>
      </c>
      <c r="G28" s="18" t="s">
        <v>13</v>
      </c>
    </row>
    <row r="29" spans="1:7">
      <c r="A29" s="20" t="s">
        <v>21</v>
      </c>
      <c r="B29" s="21">
        <f>COUNTIFS(Dhruv!C:C,'Dhruv Summary'!A29)</f>
        <v>0</v>
      </c>
      <c r="C29" s="21">
        <f>B29-G29</f>
        <v>0</v>
      </c>
      <c r="D29" s="22">
        <f>COUNTIFS(Dhruv!C:C,'Dhruv Summary'!A29,Dhruv!K:K,"Regular")</f>
        <v>0</v>
      </c>
      <c r="E29" s="22">
        <f>COUNTIFS(Dhruv!C:C,'Dhruv Summary'!A29,Dhruv!J:J,"MT")</f>
        <v>0</v>
      </c>
      <c r="F29" s="22">
        <f>COUNTIFS(Dhruv!C:C,'Dhruv Summary'!A29,Dhruv!J:J,"OJT")</f>
        <v>0</v>
      </c>
      <c r="G29" s="22">
        <f>D29+E29+F29</f>
        <v>0</v>
      </c>
    </row>
    <row r="30" spans="1:7">
      <c r="A30" s="11" t="s">
        <v>22</v>
      </c>
      <c r="B30" s="21">
        <f>COUNTIFS(Dhruv!C:C,'Dhruv Summary'!A30)</f>
        <v>0</v>
      </c>
      <c r="C30" s="21">
        <f>B30-G30</f>
        <v>0</v>
      </c>
      <c r="D30" s="22">
        <f>COUNTIFS(Dhruv!C:C,'Dhruv Summary'!A30,Dhruv!K:K,"Regular")</f>
        <v>0</v>
      </c>
      <c r="E30" s="22">
        <f>COUNTIFS(Dhruv!C:C,'Dhruv Summary'!A30,Dhruv!J:J,"MT")</f>
        <v>0</v>
      </c>
      <c r="F30" s="22">
        <f>COUNTIFS(Dhruv!C:C,'Dhruv Summary'!A30,Dhruv!J:J,"OJT")</f>
        <v>0</v>
      </c>
      <c r="G30" s="22">
        <f>D30+E30+F30</f>
        <v>0</v>
      </c>
    </row>
    <row r="31" spans="1:7">
      <c r="A31" s="23" t="s">
        <v>11</v>
      </c>
      <c r="B31" s="24">
        <f>SUM(B29:B30)</f>
        <v>0</v>
      </c>
      <c r="C31" s="24">
        <f>SUM(C29:C30)</f>
        <v>0</v>
      </c>
      <c r="D31" s="24">
        <f>SUM(D29:D30)</f>
        <v>0</v>
      </c>
      <c r="E31" s="24">
        <f>SUM(E29:E30)</f>
        <v>0</v>
      </c>
      <c r="F31" s="24">
        <f>SUM(F29:F30)</f>
        <v>0</v>
      </c>
      <c r="G31" s="24">
        <f>SUM(G29:G30)</f>
        <v>0</v>
      </c>
    </row>
    <row r="34" spans="1:9">
      <c r="A34" s="117" t="s">
        <v>12</v>
      </c>
      <c r="B34" s="118" t="s">
        <v>13</v>
      </c>
      <c r="C34" s="122"/>
      <c r="D34" s="116" t="s">
        <v>14</v>
      </c>
      <c r="E34" s="123"/>
      <c r="F34" s="123"/>
      <c r="G34" s="122"/>
    </row>
    <row r="35" spans="1:9" ht="24.95" customHeight="1">
      <c r="A35" s="124"/>
      <c r="B35" s="115" t="s">
        <v>15</v>
      </c>
      <c r="C35" s="16" t="s">
        <v>16</v>
      </c>
      <c r="D35" s="17" t="s">
        <v>23</v>
      </c>
      <c r="E35" s="18" t="s">
        <v>18</v>
      </c>
      <c r="F35" s="18" t="s">
        <v>19</v>
      </c>
      <c r="G35" s="17" t="s">
        <v>20</v>
      </c>
    </row>
    <row r="36" spans="1:9">
      <c r="A36" s="125"/>
      <c r="B36" s="125"/>
      <c r="C36" s="19" t="s">
        <v>9</v>
      </c>
      <c r="D36" s="18" t="s">
        <v>10</v>
      </c>
      <c r="E36" s="18" t="s">
        <v>11</v>
      </c>
      <c r="F36" s="18" t="s">
        <v>12</v>
      </c>
      <c r="G36" s="18" t="s">
        <v>13</v>
      </c>
    </row>
    <row r="37" spans="1:9">
      <c r="A37" s="45" t="s">
        <v>29</v>
      </c>
      <c r="B37" s="21">
        <v>99</v>
      </c>
      <c r="C37" s="21">
        <v>59</v>
      </c>
      <c r="D37" s="22">
        <v>41</v>
      </c>
      <c r="E37" s="66">
        <v>0</v>
      </c>
      <c r="F37" s="66">
        <v>22</v>
      </c>
      <c r="G37" s="66">
        <v>61</v>
      </c>
    </row>
    <row r="38" spans="1:9">
      <c r="A38" s="45" t="s">
        <v>30</v>
      </c>
      <c r="B38" s="21">
        <v>52</v>
      </c>
      <c r="C38" s="21"/>
      <c r="D38" s="22">
        <v>23</v>
      </c>
      <c r="E38" s="66">
        <v>0</v>
      </c>
      <c r="F38" s="66">
        <v>18</v>
      </c>
      <c r="G38" s="66">
        <v>41</v>
      </c>
    </row>
    <row r="39" spans="1:9">
      <c r="A39" s="45" t="s">
        <v>31</v>
      </c>
      <c r="B39" s="21">
        <v>32</v>
      </c>
      <c r="C39" s="21">
        <v>2</v>
      </c>
      <c r="D39" s="22">
        <v>13</v>
      </c>
      <c r="E39" s="66">
        <v>0</v>
      </c>
      <c r="F39" s="66">
        <v>18</v>
      </c>
      <c r="G39" s="66">
        <v>28</v>
      </c>
    </row>
    <row r="40" spans="1:9">
      <c r="A40" s="45" t="s">
        <v>32</v>
      </c>
      <c r="B40" s="21">
        <v>79</v>
      </c>
      <c r="C40" s="21">
        <v>21</v>
      </c>
      <c r="D40" s="22">
        <v>35</v>
      </c>
      <c r="E40" s="66">
        <v>0</v>
      </c>
      <c r="F40" s="66">
        <v>22</v>
      </c>
      <c r="G40" s="66">
        <v>57</v>
      </c>
    </row>
    <row r="41" spans="1:9">
      <c r="A41" s="45" t="s">
        <v>33</v>
      </c>
      <c r="B41" s="21">
        <v>56</v>
      </c>
      <c r="C41" s="21">
        <v>14</v>
      </c>
      <c r="D41" s="22">
        <v>27</v>
      </c>
      <c r="E41" s="66">
        <v>0</v>
      </c>
      <c r="F41" s="66">
        <v>12</v>
      </c>
      <c r="G41" s="66">
        <v>41</v>
      </c>
    </row>
    <row r="42" spans="1:9">
      <c r="A42" s="45" t="s">
        <v>34</v>
      </c>
      <c r="B42" s="21">
        <v>45</v>
      </c>
      <c r="C42" s="21">
        <v>14</v>
      </c>
      <c r="D42" s="22">
        <v>17</v>
      </c>
      <c r="E42" s="66">
        <v>0</v>
      </c>
      <c r="F42" s="66">
        <v>18</v>
      </c>
      <c r="G42" s="66">
        <v>34</v>
      </c>
    </row>
    <row r="43" spans="1:9">
      <c r="A43" s="45" t="s">
        <v>35</v>
      </c>
      <c r="B43" s="21">
        <v>3</v>
      </c>
      <c r="C43" s="21">
        <v>0</v>
      </c>
      <c r="D43" s="22">
        <v>2</v>
      </c>
      <c r="E43" s="66">
        <v>0</v>
      </c>
      <c r="F43" s="66">
        <v>0</v>
      </c>
      <c r="G43" s="66">
        <v>3</v>
      </c>
    </row>
    <row r="44" spans="1:9">
      <c r="A44" s="36" t="s">
        <v>24</v>
      </c>
      <c r="B44" s="36">
        <f>SUM(B37:B43)</f>
        <v>366</v>
      </c>
      <c r="C44" s="36">
        <f>B44-G44</f>
        <v>98</v>
      </c>
      <c r="D44" s="36">
        <f>SUM(D37:D43)</f>
        <v>158</v>
      </c>
      <c r="E44" s="36">
        <v>0</v>
      </c>
      <c r="F44" s="36">
        <f>SUM(F37:F43)</f>
        <v>110</v>
      </c>
      <c r="G44" s="36">
        <f>D44+E44+F44</f>
        <v>268</v>
      </c>
    </row>
    <row r="47" spans="1:9">
      <c r="A47" t="s">
        <v>25</v>
      </c>
    </row>
    <row r="48" spans="1:9" ht="32.1" customHeight="1">
      <c r="A48" s="101" t="s">
        <v>26</v>
      </c>
      <c r="B48" s="101" t="s">
        <v>29</v>
      </c>
      <c r="C48" s="101" t="s">
        <v>32</v>
      </c>
      <c r="D48" s="101" t="s">
        <v>33</v>
      </c>
      <c r="E48" s="101" t="s">
        <v>30</v>
      </c>
      <c r="F48" s="101" t="s">
        <v>31</v>
      </c>
      <c r="G48" s="101" t="s">
        <v>27</v>
      </c>
      <c r="H48" s="101" t="s">
        <v>36</v>
      </c>
      <c r="I48" s="101" t="s">
        <v>28</v>
      </c>
    </row>
    <row r="49" spans="1:12" ht="15.95" customHeight="1">
      <c r="A49" s="99" t="s">
        <v>9</v>
      </c>
      <c r="B49" s="100">
        <v>0</v>
      </c>
      <c r="C49" s="100">
        <v>2</v>
      </c>
      <c r="D49" s="100">
        <v>5</v>
      </c>
      <c r="E49" s="100">
        <v>3</v>
      </c>
      <c r="F49" s="100">
        <v>6</v>
      </c>
      <c r="G49" s="100"/>
      <c r="H49" s="100">
        <v>1</v>
      </c>
      <c r="I49" s="100">
        <f>SUM(B49:H49)</f>
        <v>17</v>
      </c>
    </row>
    <row r="50" spans="1:12" ht="15.95" customHeight="1">
      <c r="A50" s="99" t="s">
        <v>10</v>
      </c>
      <c r="B50" s="100">
        <v>137</v>
      </c>
      <c r="C50" s="100">
        <v>164</v>
      </c>
      <c r="D50" s="100">
        <v>139</v>
      </c>
      <c r="E50" s="100">
        <v>129</v>
      </c>
      <c r="F50" s="100">
        <v>38</v>
      </c>
      <c r="G50" s="100">
        <v>7</v>
      </c>
      <c r="H50" s="100"/>
      <c r="I50" s="100">
        <f>SUM(B50:H50)</f>
        <v>614</v>
      </c>
    </row>
    <row r="51" spans="1:12" ht="15.95" customHeight="1">
      <c r="A51" s="99" t="s">
        <v>11</v>
      </c>
      <c r="B51" s="100"/>
      <c r="C51" s="100">
        <v>66</v>
      </c>
      <c r="D51" s="100"/>
      <c r="E51" s="100"/>
      <c r="F51" s="100"/>
      <c r="G51" s="100">
        <v>343</v>
      </c>
      <c r="H51" s="100"/>
      <c r="I51" s="100">
        <f>SUM(B51:H51)</f>
        <v>409</v>
      </c>
    </row>
    <row r="52" spans="1:12" ht="15.95" customHeight="1">
      <c r="A52" s="99" t="s">
        <v>12</v>
      </c>
      <c r="B52" s="100">
        <v>7</v>
      </c>
      <c r="C52" s="100">
        <v>16</v>
      </c>
      <c r="D52" s="100">
        <v>16</v>
      </c>
      <c r="E52" s="100">
        <v>12</v>
      </c>
      <c r="F52" s="100">
        <v>7</v>
      </c>
      <c r="G52" s="100"/>
      <c r="H52" s="100"/>
      <c r="I52" s="100">
        <f>SUM(B52:H52)</f>
        <v>58</v>
      </c>
    </row>
    <row r="53" spans="1:12" ht="15.95" customHeight="1">
      <c r="A53" s="99" t="s">
        <v>13</v>
      </c>
      <c r="B53" s="100">
        <v>0</v>
      </c>
      <c r="C53" s="100">
        <v>20</v>
      </c>
      <c r="D53" s="100">
        <v>17</v>
      </c>
      <c r="E53" s="100">
        <v>12</v>
      </c>
      <c r="F53" s="100">
        <v>12</v>
      </c>
      <c r="G53" s="100">
        <v>9</v>
      </c>
      <c r="H53" s="100">
        <v>7</v>
      </c>
      <c r="I53" s="100">
        <f>SUM(B53:H53)</f>
        <v>77</v>
      </c>
    </row>
    <row r="54" spans="1:12" ht="15.95" customHeight="1">
      <c r="A54" s="99" t="s">
        <v>14</v>
      </c>
      <c r="B54" s="100">
        <v>76</v>
      </c>
      <c r="C54" s="100">
        <v>62</v>
      </c>
      <c r="D54" s="100">
        <v>46</v>
      </c>
      <c r="E54" s="100">
        <v>66</v>
      </c>
      <c r="F54" s="100"/>
      <c r="G54" s="100"/>
      <c r="H54" s="100"/>
      <c r="I54" s="100">
        <f>SUM(B54:H54)</f>
        <v>250</v>
      </c>
    </row>
    <row r="55" spans="1:12">
      <c r="A55" s="24" t="s">
        <v>15</v>
      </c>
      <c r="B55" s="24">
        <f>SUM(B49:B54)</f>
        <v>220</v>
      </c>
      <c r="C55" s="24">
        <f>SUM(C49:C54)</f>
        <v>330</v>
      </c>
      <c r="D55" s="24">
        <f>SUM(D49:D54)</f>
        <v>223</v>
      </c>
      <c r="E55" s="24">
        <f>SUM(E49:E54)</f>
        <v>222</v>
      </c>
      <c r="F55" s="24">
        <f>SUM(F49:F54)</f>
        <v>63</v>
      </c>
      <c r="G55" s="24">
        <f>SUM(G49:G54)</f>
        <v>359</v>
      </c>
      <c r="H55" s="24">
        <f>SUM(H49:H54)</f>
        <v>8</v>
      </c>
      <c r="I55" s="24">
        <f>SUM(B55:H55)</f>
        <v>1425</v>
      </c>
    </row>
    <row r="61" spans="1:12" ht="15" customHeight="1" thickBot="1"/>
    <row r="62" spans="1:12" ht="104.45" customHeight="1" thickBot="1">
      <c r="A62" s="67" t="s">
        <v>16</v>
      </c>
      <c r="B62" s="68" t="s">
        <v>17</v>
      </c>
      <c r="C62" s="69" t="s">
        <v>18</v>
      </c>
      <c r="D62" s="69" t="s">
        <v>19</v>
      </c>
      <c r="E62" s="70" t="s">
        <v>20</v>
      </c>
      <c r="F62" s="71" t="s">
        <v>21</v>
      </c>
      <c r="G62" s="71" t="s">
        <v>22</v>
      </c>
      <c r="H62" s="71" t="s">
        <v>23</v>
      </c>
      <c r="I62" s="72" t="s">
        <v>24</v>
      </c>
      <c r="J62" s="71" t="s">
        <v>25</v>
      </c>
      <c r="K62" s="71" t="s">
        <v>26</v>
      </c>
      <c r="L62" s="73" t="s">
        <v>27</v>
      </c>
    </row>
    <row r="63" spans="1:12">
      <c r="A63" s="74" t="s">
        <v>28</v>
      </c>
      <c r="B63" s="75">
        <v>51</v>
      </c>
      <c r="C63" s="76"/>
      <c r="D63" s="76">
        <v>5</v>
      </c>
      <c r="E63" s="77">
        <f>SUM(B63:D63)</f>
        <v>56</v>
      </c>
      <c r="F63" s="76">
        <v>22</v>
      </c>
      <c r="G63" s="76"/>
      <c r="H63" s="76">
        <v>0</v>
      </c>
      <c r="I63" s="78">
        <f>SUM(F63:H63)</f>
        <v>22</v>
      </c>
      <c r="J63" s="76">
        <f>E63-I63</f>
        <v>34</v>
      </c>
      <c r="K63" s="76">
        <v>18</v>
      </c>
      <c r="L63" s="79">
        <f>J63-K63</f>
        <v>16</v>
      </c>
    </row>
    <row r="64" spans="1:12">
      <c r="A64" s="80" t="s">
        <v>9</v>
      </c>
      <c r="B64" s="81">
        <v>55</v>
      </c>
      <c r="C64" s="82"/>
      <c r="D64" s="82">
        <v>5</v>
      </c>
      <c r="E64" s="77">
        <f>SUM(B64:D64)</f>
        <v>60</v>
      </c>
      <c r="F64" s="82">
        <v>24</v>
      </c>
      <c r="G64" s="82"/>
      <c r="H64" s="82">
        <v>0</v>
      </c>
      <c r="I64" s="83">
        <f>SUM(F64:H64)</f>
        <v>24</v>
      </c>
      <c r="J64" s="82">
        <f>E64-I64</f>
        <v>36</v>
      </c>
      <c r="K64" s="82">
        <v>14</v>
      </c>
      <c r="L64" s="84">
        <f>J64-K64</f>
        <v>22</v>
      </c>
    </row>
    <row r="65" spans="1:12">
      <c r="A65" s="80" t="s">
        <v>10</v>
      </c>
      <c r="B65" s="81">
        <f>20+11+21+11+16</f>
        <v>79</v>
      </c>
      <c r="C65" s="82"/>
      <c r="D65" s="82">
        <v>2</v>
      </c>
      <c r="E65" s="77">
        <f>SUM(B65:D65)</f>
        <v>81</v>
      </c>
      <c r="F65" s="82">
        <v>32</v>
      </c>
      <c r="G65" s="82"/>
      <c r="H65" s="82">
        <v>0</v>
      </c>
      <c r="I65" s="83">
        <f>SUM(F65:H65)</f>
        <v>32</v>
      </c>
      <c r="J65" s="82">
        <f>E65-I65</f>
        <v>49</v>
      </c>
      <c r="K65" s="82">
        <v>18</v>
      </c>
      <c r="L65" s="84">
        <f>J65-K65</f>
        <v>31</v>
      </c>
    </row>
    <row r="66" spans="1:12">
      <c r="A66" s="80" t="s">
        <v>11</v>
      </c>
      <c r="B66" s="81">
        <v>32</v>
      </c>
      <c r="C66" s="82"/>
      <c r="D66" s="82">
        <v>0</v>
      </c>
      <c r="E66" s="77">
        <f>SUM(B66:D66)</f>
        <v>32</v>
      </c>
      <c r="F66" s="82">
        <v>12</v>
      </c>
      <c r="G66" s="82"/>
      <c r="H66" s="82"/>
      <c r="I66" s="83">
        <f>SUM(F66:H66)</f>
        <v>12</v>
      </c>
      <c r="J66" s="82">
        <f>E66-I66</f>
        <v>20</v>
      </c>
      <c r="K66" s="82">
        <v>16</v>
      </c>
      <c r="L66" s="84">
        <f>J66-K66</f>
        <v>4</v>
      </c>
    </row>
    <row r="67" spans="1:12">
      <c r="A67" s="80" t="s">
        <v>12</v>
      </c>
      <c r="B67" s="81">
        <v>70</v>
      </c>
      <c r="C67" s="82"/>
      <c r="D67" s="82">
        <v>8</v>
      </c>
      <c r="E67" s="77">
        <f>SUM(B67:D67)</f>
        <v>78</v>
      </c>
      <c r="F67" s="82">
        <v>32</v>
      </c>
      <c r="G67" s="82"/>
      <c r="H67" s="82">
        <v>4</v>
      </c>
      <c r="I67" s="83">
        <f>SUM(F67:H67)</f>
        <v>36</v>
      </c>
      <c r="J67" s="82">
        <f>E67-I67</f>
        <v>42</v>
      </c>
      <c r="K67" s="82">
        <v>19</v>
      </c>
      <c r="L67" s="84">
        <f>J67-K67</f>
        <v>23</v>
      </c>
    </row>
    <row r="68" spans="1:12">
      <c r="A68" s="80" t="s">
        <v>13</v>
      </c>
      <c r="B68" s="81">
        <v>45</v>
      </c>
      <c r="C68" s="82"/>
      <c r="D68" s="82">
        <v>4</v>
      </c>
      <c r="E68" s="77">
        <f>SUM(B68:D68)</f>
        <v>49</v>
      </c>
      <c r="F68" s="82">
        <v>12</v>
      </c>
      <c r="G68" s="82"/>
      <c r="H68" s="82">
        <v>0</v>
      </c>
      <c r="I68" s="83">
        <f>SUM(F68:H68)</f>
        <v>12</v>
      </c>
      <c r="J68" s="82">
        <f>E68-I68</f>
        <v>37</v>
      </c>
      <c r="K68" s="82">
        <v>18</v>
      </c>
      <c r="L68" s="84">
        <f>J68-K68</f>
        <v>19</v>
      </c>
    </row>
    <row r="69" spans="1:12">
      <c r="A69" s="80" t="s">
        <v>14</v>
      </c>
      <c r="B69" s="81"/>
      <c r="C69" s="82">
        <v>6</v>
      </c>
      <c r="D69" s="82"/>
      <c r="E69" s="77">
        <f>SUM(B69:D69)</f>
        <v>6</v>
      </c>
      <c r="F69" s="82"/>
      <c r="G69" s="82">
        <v>1</v>
      </c>
      <c r="H69" s="82"/>
      <c r="I69" s="83">
        <f>SUM(F69:H69)</f>
        <v>1</v>
      </c>
      <c r="J69" s="82">
        <f>E69-I69</f>
        <v>5</v>
      </c>
      <c r="K69" s="82">
        <v>1</v>
      </c>
      <c r="L69" s="84">
        <f>J69-K69</f>
        <v>4</v>
      </c>
    </row>
    <row r="70" spans="1:12">
      <c r="A70" s="80" t="s">
        <v>15</v>
      </c>
      <c r="B70" s="81"/>
      <c r="C70" s="82">
        <v>2</v>
      </c>
      <c r="D70" s="82"/>
      <c r="E70" s="77">
        <f>SUM(B70:D70)</f>
        <v>2</v>
      </c>
      <c r="F70" s="82"/>
      <c r="G70" s="82">
        <v>3</v>
      </c>
      <c r="H70" s="82"/>
      <c r="I70" s="83">
        <f>SUM(F70:H70)</f>
        <v>3</v>
      </c>
      <c r="J70" s="82">
        <f>E70-I70</f>
        <v>-1</v>
      </c>
      <c r="K70" s="82">
        <v>0</v>
      </c>
      <c r="L70" s="84">
        <f>J70-K70</f>
        <v>-1</v>
      </c>
    </row>
    <row r="71" spans="1:12">
      <c r="A71" s="80" t="s">
        <v>16</v>
      </c>
      <c r="B71" s="81"/>
      <c r="C71" s="82">
        <v>2</v>
      </c>
      <c r="D71" s="82"/>
      <c r="E71" s="77">
        <f>SUM(B71:D71)</f>
        <v>2</v>
      </c>
      <c r="F71" s="82"/>
      <c r="G71" s="82">
        <v>3</v>
      </c>
      <c r="H71" s="82"/>
      <c r="I71" s="83">
        <f>SUM(F71:H71)</f>
        <v>3</v>
      </c>
      <c r="J71" s="82">
        <f>E71-I71</f>
        <v>-1</v>
      </c>
      <c r="K71" s="82">
        <v>0</v>
      </c>
      <c r="L71" s="84">
        <f>J71-K71</f>
        <v>-1</v>
      </c>
    </row>
    <row r="72" spans="1:12">
      <c r="A72" s="80" t="s">
        <v>17</v>
      </c>
      <c r="B72" s="81"/>
      <c r="C72" s="82"/>
      <c r="D72" s="82">
        <v>14</v>
      </c>
      <c r="E72" s="77">
        <f>SUM(B72:D72)</f>
        <v>14</v>
      </c>
      <c r="F72" s="82"/>
      <c r="G72" s="82"/>
      <c r="H72" s="82">
        <v>7</v>
      </c>
      <c r="I72" s="83">
        <f>SUM(F72:H72)</f>
        <v>7</v>
      </c>
      <c r="J72" s="82">
        <f>E72-I72</f>
        <v>7</v>
      </c>
      <c r="K72" s="82">
        <v>0</v>
      </c>
      <c r="L72" s="84">
        <f>J72-K72</f>
        <v>7</v>
      </c>
    </row>
    <row r="73" spans="1:12" ht="15" customHeight="1" thickBot="1">
      <c r="A73" s="85"/>
      <c r="B73" s="86">
        <f>SUM(B63:B72)</f>
        <v>332</v>
      </c>
      <c r="C73" s="87">
        <f>SUM(C63:C72)</f>
        <v>10</v>
      </c>
      <c r="D73" s="87">
        <f>SUM(D63:D72)</f>
        <v>38</v>
      </c>
      <c r="E73" s="87">
        <f>SUM(E63:E72)</f>
        <v>380</v>
      </c>
      <c r="F73" s="88">
        <f>SUM(F63:F72)</f>
        <v>134</v>
      </c>
      <c r="G73" s="88">
        <f>SUM(G63:G72)</f>
        <v>7</v>
      </c>
      <c r="H73" s="88">
        <f>SUM(H63:H72)</f>
        <v>11</v>
      </c>
      <c r="I73" s="89">
        <f>SUM(I63:I72)</f>
        <v>152</v>
      </c>
      <c r="J73" s="88">
        <f>SUM(J63:J72)</f>
        <v>228</v>
      </c>
      <c r="K73" s="88">
        <f>SUM(K63:K72)</f>
        <v>104</v>
      </c>
      <c r="L73" s="90">
        <f>SUM(L63:L72)</f>
        <v>124</v>
      </c>
    </row>
  </sheetData>
  <mergeCells count="12">
    <mergeCell ref="A1:A3"/>
    <mergeCell ref="B27:B28"/>
    <mergeCell ref="D26:G26"/>
    <mergeCell ref="A26:A28"/>
    <mergeCell ref="A34:A36"/>
    <mergeCell ref="B34:C34"/>
    <mergeCell ref="D1:G1"/>
    <mergeCell ref="B2:B3"/>
    <mergeCell ref="D34:G34"/>
    <mergeCell ref="B26:C26"/>
    <mergeCell ref="B1:C1"/>
    <mergeCell ref="B35:B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8"/>
  <sheetViews>
    <sheetView zoomScaleNormal="100" workbookViewId="0">
      <pane ySplit="1" topLeftCell="A2" activePane="bottomLeft" state="frozen"/>
      <selection pane="bottomLeft"/>
      <selection activeCell="E1" sqref="E1"/>
    </sheetView>
  </sheetViews>
  <sheetFormatPr defaultRowHeight="14.45"/>
  <cols>
    <col min="1" max="1" width="11.7109375" style="4" bestFit="1" customWidth="1"/>
    <col min="2" max="2" width="17" style="4" bestFit="1" customWidth="1"/>
    <col min="3" max="3" width="26.42578125" style="4" bestFit="1" customWidth="1"/>
    <col min="4" max="4" width="28.85546875" style="4" bestFit="1" customWidth="1"/>
    <col min="5" max="5" width="14.5703125" style="9" bestFit="1" customWidth="1"/>
    <col min="6" max="6" width="15.85546875" style="9" bestFit="1" customWidth="1"/>
    <col min="7" max="7" width="36.42578125" style="4" bestFit="1" customWidth="1"/>
    <col min="8" max="8" width="14.140625" style="9" bestFit="1" customWidth="1"/>
    <col min="9" max="9" width="28.140625" style="3" bestFit="1" customWidth="1"/>
    <col min="10" max="10" width="17.42578125" style="3" bestFit="1" customWidth="1"/>
    <col min="11" max="11" width="18.5703125" style="3" bestFit="1" customWidth="1"/>
    <col min="12" max="12" width="18.140625" style="3" bestFit="1" customWidth="1"/>
    <col min="13" max="13" width="19.5703125" bestFit="1" customWidth="1"/>
    <col min="14" max="14" width="22.5703125" bestFit="1" customWidth="1"/>
    <col min="15" max="15" width="20.85546875" bestFit="1" customWidth="1"/>
  </cols>
  <sheetData>
    <row r="1" spans="1:16">
      <c r="A1" s="2" t="s">
        <v>37</v>
      </c>
      <c r="B1" s="2" t="s">
        <v>38</v>
      </c>
      <c r="C1" s="2" t="s">
        <v>39</v>
      </c>
      <c r="D1" s="2" t="s">
        <v>40</v>
      </c>
      <c r="E1" s="1" t="s">
        <v>41</v>
      </c>
      <c r="F1" s="1" t="s">
        <v>42</v>
      </c>
      <c r="G1" s="2" t="s">
        <v>43</v>
      </c>
      <c r="H1" s="1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12" t="s">
        <v>50</v>
      </c>
      <c r="O1" s="12" t="s">
        <v>51</v>
      </c>
      <c r="P1" s="91" t="s">
        <v>52</v>
      </c>
    </row>
    <row r="2" spans="1:16">
      <c r="A2" s="5" t="s">
        <v>53</v>
      </c>
      <c r="B2" s="5" t="s">
        <v>54</v>
      </c>
      <c r="C2" s="5" t="s">
        <v>55</v>
      </c>
      <c r="D2" s="5" t="s">
        <v>28</v>
      </c>
      <c r="E2" s="7" t="s">
        <v>56</v>
      </c>
      <c r="F2" s="7">
        <v>901000</v>
      </c>
      <c r="G2" s="5" t="s">
        <v>57</v>
      </c>
      <c r="H2" s="7">
        <v>28010000</v>
      </c>
      <c r="I2" s="5" t="s">
        <v>58</v>
      </c>
      <c r="J2" s="5" t="s">
        <v>56</v>
      </c>
      <c r="K2" s="5" t="s">
        <v>59</v>
      </c>
      <c r="L2" s="5" t="s">
        <v>60</v>
      </c>
      <c r="M2" s="5"/>
      <c r="N2" s="6"/>
      <c r="O2" s="6"/>
    </row>
    <row r="3" spans="1:16">
      <c r="A3" s="5" t="s">
        <v>53</v>
      </c>
      <c r="B3" s="5" t="s">
        <v>54</v>
      </c>
      <c r="C3" s="5" t="s">
        <v>61</v>
      </c>
      <c r="D3" s="5" t="s">
        <v>16</v>
      </c>
      <c r="E3" s="7" t="s">
        <v>56</v>
      </c>
      <c r="F3" s="7">
        <v>901001</v>
      </c>
      <c r="G3" s="5" t="s">
        <v>62</v>
      </c>
      <c r="H3" s="7"/>
      <c r="I3" s="5"/>
      <c r="J3" s="5"/>
      <c r="K3" s="5"/>
      <c r="L3" s="5" t="s">
        <v>63</v>
      </c>
      <c r="M3" s="5"/>
      <c r="N3" s="6"/>
      <c r="O3" s="6"/>
    </row>
    <row r="4" spans="1:16">
      <c r="A4" s="5" t="s">
        <v>53</v>
      </c>
      <c r="B4" s="5" t="s">
        <v>64</v>
      </c>
      <c r="C4" s="5" t="s">
        <v>65</v>
      </c>
      <c r="D4" s="5" t="s">
        <v>17</v>
      </c>
      <c r="E4" s="7" t="s">
        <v>66</v>
      </c>
      <c r="F4" s="7">
        <v>901002</v>
      </c>
      <c r="G4" s="5" t="s">
        <v>67</v>
      </c>
      <c r="H4" s="7">
        <v>28010001</v>
      </c>
      <c r="I4" s="6" t="s">
        <v>68</v>
      </c>
      <c r="J4" s="5" t="s">
        <v>69</v>
      </c>
      <c r="K4" s="5" t="s">
        <v>59</v>
      </c>
      <c r="L4" s="5" t="s">
        <v>60</v>
      </c>
      <c r="M4" s="5"/>
      <c r="N4" s="6"/>
      <c r="O4" s="6"/>
    </row>
    <row r="5" spans="1:16">
      <c r="A5" s="5" t="s">
        <v>53</v>
      </c>
      <c r="B5" s="5" t="s">
        <v>54</v>
      </c>
      <c r="C5" s="5" t="s">
        <v>61</v>
      </c>
      <c r="D5" s="5" t="s">
        <v>16</v>
      </c>
      <c r="E5" s="7" t="s">
        <v>56</v>
      </c>
      <c r="F5" s="7">
        <v>901003</v>
      </c>
      <c r="G5" s="5" t="s">
        <v>70</v>
      </c>
      <c r="H5" s="7">
        <v>28010002</v>
      </c>
      <c r="I5" s="5" t="s">
        <v>71</v>
      </c>
      <c r="J5" s="5" t="s">
        <v>56</v>
      </c>
      <c r="K5" s="5" t="s">
        <v>59</v>
      </c>
      <c r="L5" s="5" t="s">
        <v>60</v>
      </c>
      <c r="M5" s="5"/>
      <c r="N5" s="6"/>
      <c r="O5" s="6"/>
    </row>
    <row r="6" spans="1:16">
      <c r="A6" s="5" t="s">
        <v>53</v>
      </c>
      <c r="B6" s="5" t="s">
        <v>54</v>
      </c>
      <c r="C6" s="5" t="s">
        <v>61</v>
      </c>
      <c r="D6" s="5" t="s">
        <v>16</v>
      </c>
      <c r="E6" s="7" t="s">
        <v>72</v>
      </c>
      <c r="F6" s="7">
        <v>901004</v>
      </c>
      <c r="G6" s="5" t="s">
        <v>73</v>
      </c>
      <c r="H6" s="7">
        <v>28010003</v>
      </c>
      <c r="I6" s="5" t="s">
        <v>74</v>
      </c>
      <c r="J6" s="5" t="s">
        <v>72</v>
      </c>
      <c r="K6" s="5" t="s">
        <v>59</v>
      </c>
      <c r="L6" s="5" t="s">
        <v>60</v>
      </c>
      <c r="M6" s="5"/>
      <c r="N6" s="6"/>
      <c r="O6" s="6"/>
    </row>
    <row r="7" spans="1:16">
      <c r="A7" s="5" t="s">
        <v>53</v>
      </c>
      <c r="B7" s="5" t="s">
        <v>54</v>
      </c>
      <c r="C7" s="5" t="s">
        <v>75</v>
      </c>
      <c r="D7" s="5" t="s">
        <v>25</v>
      </c>
      <c r="E7" s="7" t="s">
        <v>72</v>
      </c>
      <c r="F7" s="7">
        <v>901005</v>
      </c>
      <c r="G7" s="5" t="s">
        <v>73</v>
      </c>
      <c r="H7" s="7">
        <v>28010004</v>
      </c>
      <c r="I7" s="5" t="s">
        <v>76</v>
      </c>
      <c r="J7" s="5" t="s">
        <v>72</v>
      </c>
      <c r="K7" s="5" t="s">
        <v>59</v>
      </c>
      <c r="L7" s="5" t="s">
        <v>60</v>
      </c>
      <c r="M7" s="5"/>
      <c r="N7" s="6"/>
      <c r="O7" s="6"/>
    </row>
    <row r="8" spans="1:16">
      <c r="A8" s="5" t="s">
        <v>53</v>
      </c>
      <c r="B8" s="5" t="s">
        <v>54</v>
      </c>
      <c r="C8" s="5" t="s">
        <v>61</v>
      </c>
      <c r="D8" s="5" t="s">
        <v>16</v>
      </c>
      <c r="E8" s="7" t="s">
        <v>72</v>
      </c>
      <c r="F8" s="7">
        <v>901006</v>
      </c>
      <c r="G8" s="5" t="s">
        <v>73</v>
      </c>
      <c r="H8" s="7">
        <v>28010005</v>
      </c>
      <c r="I8" s="5" t="s">
        <v>77</v>
      </c>
      <c r="J8" s="5" t="s">
        <v>72</v>
      </c>
      <c r="K8" s="5" t="s">
        <v>59</v>
      </c>
      <c r="L8" s="5" t="s">
        <v>60</v>
      </c>
      <c r="M8" s="5"/>
      <c r="N8" s="6"/>
      <c r="O8" s="6"/>
    </row>
    <row r="9" spans="1:16">
      <c r="A9" s="5" t="s">
        <v>53</v>
      </c>
      <c r="B9" s="5" t="s">
        <v>54</v>
      </c>
      <c r="C9" s="5" t="s">
        <v>61</v>
      </c>
      <c r="D9" s="5" t="s">
        <v>16</v>
      </c>
      <c r="E9" s="7" t="s">
        <v>72</v>
      </c>
      <c r="F9" s="7">
        <v>901007</v>
      </c>
      <c r="G9" s="5" t="s">
        <v>73</v>
      </c>
      <c r="H9" s="7">
        <v>28010006</v>
      </c>
      <c r="I9" s="5" t="s">
        <v>78</v>
      </c>
      <c r="J9" s="5" t="s">
        <v>72</v>
      </c>
      <c r="K9" s="5" t="s">
        <v>59</v>
      </c>
      <c r="L9" s="5" t="s">
        <v>60</v>
      </c>
      <c r="M9" s="5"/>
      <c r="N9" s="6"/>
      <c r="O9" s="6"/>
    </row>
    <row r="10" spans="1:16">
      <c r="A10" s="5" t="s">
        <v>53</v>
      </c>
      <c r="B10" s="5" t="s">
        <v>54</v>
      </c>
      <c r="C10" s="5" t="s">
        <v>61</v>
      </c>
      <c r="D10" s="5" t="s">
        <v>16</v>
      </c>
      <c r="E10" s="7" t="s">
        <v>72</v>
      </c>
      <c r="F10" s="7">
        <v>901008</v>
      </c>
      <c r="G10" s="5" t="s">
        <v>73</v>
      </c>
      <c r="H10" s="7">
        <v>28010007</v>
      </c>
      <c r="I10" s="5" t="s">
        <v>79</v>
      </c>
      <c r="J10" s="5" t="s">
        <v>72</v>
      </c>
      <c r="K10" s="5" t="s">
        <v>59</v>
      </c>
      <c r="L10" s="5" t="s">
        <v>60</v>
      </c>
      <c r="M10" s="5"/>
      <c r="N10" s="6"/>
      <c r="O10" s="6"/>
    </row>
    <row r="11" spans="1:16">
      <c r="A11" s="5" t="s">
        <v>53</v>
      </c>
      <c r="B11" s="5" t="s">
        <v>54</v>
      </c>
      <c r="C11" s="5" t="s">
        <v>61</v>
      </c>
      <c r="D11" s="5" t="s">
        <v>16</v>
      </c>
      <c r="E11" s="7" t="s">
        <v>72</v>
      </c>
      <c r="F11" s="7">
        <v>901009</v>
      </c>
      <c r="G11" s="5" t="s">
        <v>73</v>
      </c>
      <c r="H11" s="7"/>
      <c r="I11" s="5"/>
      <c r="J11" s="5"/>
      <c r="K11" s="5"/>
      <c r="L11" s="5" t="s">
        <v>63</v>
      </c>
      <c r="M11" s="5"/>
      <c r="N11" s="6"/>
      <c r="O11" s="6"/>
    </row>
    <row r="12" spans="1:16">
      <c r="A12" s="5" t="s">
        <v>53</v>
      </c>
      <c r="B12" s="5" t="s">
        <v>54</v>
      </c>
      <c r="C12" s="5" t="s">
        <v>80</v>
      </c>
      <c r="D12" s="5" t="s">
        <v>21</v>
      </c>
      <c r="E12" s="7" t="s">
        <v>72</v>
      </c>
      <c r="F12" s="7">
        <v>901010</v>
      </c>
      <c r="G12" s="5" t="s">
        <v>73</v>
      </c>
      <c r="H12" s="7">
        <v>28010008</v>
      </c>
      <c r="I12" s="5" t="s">
        <v>81</v>
      </c>
      <c r="J12" s="5" t="s">
        <v>72</v>
      </c>
      <c r="K12" s="5" t="s">
        <v>59</v>
      </c>
      <c r="L12" s="5" t="s">
        <v>60</v>
      </c>
      <c r="M12" s="5"/>
      <c r="N12" s="6"/>
      <c r="O12" s="6"/>
    </row>
    <row r="13" spans="1:16">
      <c r="A13" s="5" t="s">
        <v>53</v>
      </c>
      <c r="B13" s="5" t="s">
        <v>54</v>
      </c>
      <c r="C13" s="5" t="s">
        <v>61</v>
      </c>
      <c r="D13" s="5" t="s">
        <v>16</v>
      </c>
      <c r="E13" s="7" t="s">
        <v>72</v>
      </c>
      <c r="F13" s="7">
        <v>901011</v>
      </c>
      <c r="G13" s="5" t="s">
        <v>73</v>
      </c>
      <c r="H13" s="7">
        <v>28010009</v>
      </c>
      <c r="I13" s="5" t="s">
        <v>82</v>
      </c>
      <c r="J13" s="5" t="s">
        <v>72</v>
      </c>
      <c r="K13" s="5" t="s">
        <v>59</v>
      </c>
      <c r="L13" s="5" t="s">
        <v>60</v>
      </c>
      <c r="M13" s="5"/>
      <c r="N13" s="6"/>
      <c r="O13" s="6"/>
    </row>
    <row r="14" spans="1:16">
      <c r="A14" s="5" t="s">
        <v>53</v>
      </c>
      <c r="B14" s="5" t="s">
        <v>54</v>
      </c>
      <c r="C14" s="5" t="s">
        <v>61</v>
      </c>
      <c r="D14" s="5" t="s">
        <v>16</v>
      </c>
      <c r="E14" s="7" t="s">
        <v>72</v>
      </c>
      <c r="F14" s="7">
        <v>901012</v>
      </c>
      <c r="G14" s="5" t="s">
        <v>73</v>
      </c>
      <c r="H14" s="7">
        <v>28010010</v>
      </c>
      <c r="I14" s="5" t="s">
        <v>83</v>
      </c>
      <c r="J14" s="5" t="s">
        <v>72</v>
      </c>
      <c r="K14" s="5" t="s">
        <v>59</v>
      </c>
      <c r="L14" s="5" t="s">
        <v>60</v>
      </c>
      <c r="M14" s="5"/>
      <c r="N14" s="6"/>
      <c r="O14" s="6"/>
    </row>
    <row r="15" spans="1:16">
      <c r="A15" s="5" t="s">
        <v>53</v>
      </c>
      <c r="B15" s="5" t="s">
        <v>54</v>
      </c>
      <c r="C15" s="5" t="s">
        <v>61</v>
      </c>
      <c r="D15" s="5" t="s">
        <v>16</v>
      </c>
      <c r="E15" s="7" t="s">
        <v>72</v>
      </c>
      <c r="F15" s="7">
        <v>901013</v>
      </c>
      <c r="G15" s="5" t="s">
        <v>84</v>
      </c>
      <c r="H15" s="7"/>
      <c r="I15" s="5"/>
      <c r="J15" s="5"/>
      <c r="K15" s="5"/>
      <c r="L15" s="5" t="s">
        <v>63</v>
      </c>
      <c r="M15" s="5"/>
      <c r="N15" s="6" t="s">
        <v>85</v>
      </c>
      <c r="O15" s="6"/>
    </row>
    <row r="16" spans="1:16">
      <c r="A16" s="5" t="s">
        <v>53</v>
      </c>
      <c r="B16" s="5" t="s">
        <v>54</v>
      </c>
      <c r="C16" s="5" t="s">
        <v>80</v>
      </c>
      <c r="D16" s="5" t="s">
        <v>21</v>
      </c>
      <c r="E16" s="7" t="s">
        <v>72</v>
      </c>
      <c r="F16" s="7">
        <v>901014</v>
      </c>
      <c r="G16" s="5" t="s">
        <v>73</v>
      </c>
      <c r="H16" s="7">
        <v>28010011</v>
      </c>
      <c r="I16" s="5" t="s">
        <v>86</v>
      </c>
      <c r="J16" s="5" t="s">
        <v>72</v>
      </c>
      <c r="K16" s="5" t="s">
        <v>59</v>
      </c>
      <c r="L16" s="5" t="s">
        <v>60</v>
      </c>
      <c r="M16" s="5"/>
      <c r="N16" s="6"/>
      <c r="O16" s="6"/>
    </row>
    <row r="17" spans="1:15">
      <c r="A17" s="5" t="s">
        <v>53</v>
      </c>
      <c r="B17" s="5" t="s">
        <v>54</v>
      </c>
      <c r="C17" s="5" t="s">
        <v>61</v>
      </c>
      <c r="D17" s="5" t="s">
        <v>16</v>
      </c>
      <c r="E17" s="7" t="s">
        <v>72</v>
      </c>
      <c r="F17" s="7">
        <v>901015</v>
      </c>
      <c r="G17" s="5" t="s">
        <v>73</v>
      </c>
      <c r="H17" s="7">
        <v>28010012</v>
      </c>
      <c r="I17" s="5" t="s">
        <v>87</v>
      </c>
      <c r="J17" s="5" t="s">
        <v>72</v>
      </c>
      <c r="K17" s="5" t="s">
        <v>59</v>
      </c>
      <c r="L17" s="5" t="s">
        <v>60</v>
      </c>
      <c r="M17" s="5"/>
      <c r="N17" s="6"/>
      <c r="O17" s="6"/>
    </row>
    <row r="18" spans="1:15">
      <c r="A18" s="5" t="s">
        <v>53</v>
      </c>
      <c r="B18" s="5" t="s">
        <v>54</v>
      </c>
      <c r="C18" s="5" t="s">
        <v>61</v>
      </c>
      <c r="D18" s="5" t="s">
        <v>16</v>
      </c>
      <c r="E18" s="7" t="s">
        <v>72</v>
      </c>
      <c r="F18" s="7">
        <v>901016</v>
      </c>
      <c r="G18" s="5" t="s">
        <v>73</v>
      </c>
      <c r="H18" s="7">
        <v>28010013</v>
      </c>
      <c r="I18" s="5" t="s">
        <v>88</v>
      </c>
      <c r="J18" s="5" t="s">
        <v>72</v>
      </c>
      <c r="K18" s="5" t="s">
        <v>59</v>
      </c>
      <c r="L18" s="5" t="s">
        <v>60</v>
      </c>
      <c r="M18" s="5"/>
      <c r="N18" s="6"/>
      <c r="O18" s="6"/>
    </row>
    <row r="19" spans="1:15">
      <c r="A19" s="5" t="s">
        <v>53</v>
      </c>
      <c r="B19" s="5" t="s">
        <v>54</v>
      </c>
      <c r="C19" s="5" t="s">
        <v>61</v>
      </c>
      <c r="D19" s="5" t="s">
        <v>16</v>
      </c>
      <c r="E19" s="7" t="s">
        <v>72</v>
      </c>
      <c r="F19" s="7">
        <v>901017</v>
      </c>
      <c r="G19" s="5" t="s">
        <v>73</v>
      </c>
      <c r="H19" s="7"/>
      <c r="I19" s="5"/>
      <c r="J19" s="5"/>
      <c r="K19" s="5"/>
      <c r="L19" s="5" t="s">
        <v>63</v>
      </c>
      <c r="M19" s="5"/>
      <c r="N19" s="6"/>
      <c r="O19" s="6"/>
    </row>
    <row r="20" spans="1:15">
      <c r="A20" s="5" t="s">
        <v>53</v>
      </c>
      <c r="B20" s="5" t="s">
        <v>54</v>
      </c>
      <c r="C20" s="5" t="s">
        <v>61</v>
      </c>
      <c r="D20" s="5" t="s">
        <v>16</v>
      </c>
      <c r="E20" s="7" t="s">
        <v>72</v>
      </c>
      <c r="F20" s="7">
        <v>901018</v>
      </c>
      <c r="G20" s="5" t="s">
        <v>84</v>
      </c>
      <c r="H20" s="7">
        <v>28010014</v>
      </c>
      <c r="I20" s="65" t="s">
        <v>89</v>
      </c>
      <c r="J20" s="5" t="s">
        <v>72</v>
      </c>
      <c r="K20" s="5" t="s">
        <v>59</v>
      </c>
      <c r="L20" s="5" t="s">
        <v>60</v>
      </c>
      <c r="M20" s="5"/>
      <c r="N20" s="6"/>
      <c r="O20" s="6"/>
    </row>
    <row r="21" spans="1:15">
      <c r="A21" s="5" t="s">
        <v>53</v>
      </c>
      <c r="B21" s="5" t="s">
        <v>54</v>
      </c>
      <c r="C21" s="5" t="s">
        <v>61</v>
      </c>
      <c r="D21" s="5" t="s">
        <v>16</v>
      </c>
      <c r="E21" s="7" t="s">
        <v>72</v>
      </c>
      <c r="F21" s="7">
        <v>901019</v>
      </c>
      <c r="G21" s="5" t="s">
        <v>73</v>
      </c>
      <c r="H21" s="7">
        <v>28010015</v>
      </c>
      <c r="I21" s="5" t="s">
        <v>90</v>
      </c>
      <c r="J21" s="5" t="s">
        <v>72</v>
      </c>
      <c r="K21" s="5" t="s">
        <v>59</v>
      </c>
      <c r="L21" s="5" t="s">
        <v>60</v>
      </c>
      <c r="M21" s="5"/>
      <c r="N21" s="6"/>
      <c r="O21" s="6"/>
    </row>
    <row r="22" spans="1:15">
      <c r="A22" s="5" t="s">
        <v>53</v>
      </c>
      <c r="B22" s="5" t="s">
        <v>54</v>
      </c>
      <c r="C22" s="5" t="s">
        <v>91</v>
      </c>
      <c r="D22" s="5" t="s">
        <v>18</v>
      </c>
      <c r="E22" s="7" t="s">
        <v>72</v>
      </c>
      <c r="F22" s="7">
        <v>901020</v>
      </c>
      <c r="G22" s="5" t="s">
        <v>92</v>
      </c>
      <c r="H22" s="7">
        <v>28010016</v>
      </c>
      <c r="I22" s="5" t="s">
        <v>93</v>
      </c>
      <c r="J22" s="5" t="s">
        <v>72</v>
      </c>
      <c r="K22" s="5" t="s">
        <v>59</v>
      </c>
      <c r="L22" s="5" t="s">
        <v>60</v>
      </c>
      <c r="M22" s="5"/>
      <c r="N22" s="6"/>
      <c r="O22" s="6"/>
    </row>
    <row r="23" spans="1:15">
      <c r="A23" s="5" t="s">
        <v>53</v>
      </c>
      <c r="B23" s="5" t="s">
        <v>64</v>
      </c>
      <c r="C23" s="5" t="s">
        <v>65</v>
      </c>
      <c r="D23" s="5" t="s">
        <v>17</v>
      </c>
      <c r="E23" s="7" t="s">
        <v>72</v>
      </c>
      <c r="F23" s="7">
        <v>901021</v>
      </c>
      <c r="G23" s="5" t="s">
        <v>92</v>
      </c>
      <c r="H23" s="7">
        <v>28010017</v>
      </c>
      <c r="I23" s="5" t="s">
        <v>94</v>
      </c>
      <c r="J23" s="5" t="s">
        <v>72</v>
      </c>
      <c r="K23" s="5" t="s">
        <v>59</v>
      </c>
      <c r="L23" s="5" t="s">
        <v>60</v>
      </c>
      <c r="M23" s="5"/>
      <c r="N23" s="6"/>
      <c r="O23" s="6"/>
    </row>
    <row r="24" spans="1:15">
      <c r="A24" s="5" t="s">
        <v>53</v>
      </c>
      <c r="B24" s="5" t="s">
        <v>64</v>
      </c>
      <c r="C24" s="5" t="s">
        <v>65</v>
      </c>
      <c r="D24" s="5" t="s">
        <v>17</v>
      </c>
      <c r="E24" s="7" t="s">
        <v>72</v>
      </c>
      <c r="F24" s="7">
        <v>901022</v>
      </c>
      <c r="G24" s="5" t="s">
        <v>92</v>
      </c>
      <c r="H24" s="7">
        <v>28010018</v>
      </c>
      <c r="I24" s="5" t="s">
        <v>95</v>
      </c>
      <c r="J24" s="5" t="s">
        <v>72</v>
      </c>
      <c r="K24" s="5" t="s">
        <v>59</v>
      </c>
      <c r="L24" s="5" t="s">
        <v>60</v>
      </c>
      <c r="M24" s="5"/>
      <c r="N24" s="6"/>
      <c r="O24" s="6"/>
    </row>
    <row r="25" spans="1:15">
      <c r="A25" s="5" t="s">
        <v>53</v>
      </c>
      <c r="B25" s="5" t="s">
        <v>54</v>
      </c>
      <c r="C25" s="5" t="s">
        <v>96</v>
      </c>
      <c r="D25" s="5" t="s">
        <v>19</v>
      </c>
      <c r="E25" s="7" t="s">
        <v>72</v>
      </c>
      <c r="F25" s="7">
        <v>901023</v>
      </c>
      <c r="G25" s="5" t="s">
        <v>92</v>
      </c>
      <c r="H25" s="7">
        <v>28010019</v>
      </c>
      <c r="I25" s="5" t="s">
        <v>97</v>
      </c>
      <c r="J25" s="5" t="s">
        <v>72</v>
      </c>
      <c r="K25" s="5" t="s">
        <v>59</v>
      </c>
      <c r="L25" s="5" t="s">
        <v>60</v>
      </c>
      <c r="M25" s="5"/>
      <c r="N25" s="6"/>
      <c r="O25" s="6"/>
    </row>
    <row r="26" spans="1:15">
      <c r="A26" s="5" t="s">
        <v>53</v>
      </c>
      <c r="B26" s="5" t="s">
        <v>29</v>
      </c>
      <c r="C26" s="5" t="s">
        <v>98</v>
      </c>
      <c r="D26" s="5" t="s">
        <v>22</v>
      </c>
      <c r="E26" s="7" t="s">
        <v>99</v>
      </c>
      <c r="F26" s="7">
        <v>901024</v>
      </c>
      <c r="G26" s="5" t="s">
        <v>100</v>
      </c>
      <c r="H26" s="7">
        <v>28010020</v>
      </c>
      <c r="I26" s="5" t="s">
        <v>101</v>
      </c>
      <c r="J26" s="5" t="s">
        <v>99</v>
      </c>
      <c r="K26" s="5" t="s">
        <v>59</v>
      </c>
      <c r="L26" s="5" t="s">
        <v>60</v>
      </c>
      <c r="M26" s="5"/>
      <c r="N26" s="6"/>
      <c r="O26" s="6"/>
    </row>
    <row r="27" spans="1:15">
      <c r="A27" s="5" t="s">
        <v>53</v>
      </c>
      <c r="B27" s="5" t="s">
        <v>54</v>
      </c>
      <c r="C27" s="5" t="s">
        <v>102</v>
      </c>
      <c r="D27" s="5" t="s">
        <v>26</v>
      </c>
      <c r="E27" s="7" t="s">
        <v>72</v>
      </c>
      <c r="F27" s="7">
        <v>901025</v>
      </c>
      <c r="G27" s="5" t="s">
        <v>103</v>
      </c>
      <c r="H27" s="7">
        <v>28010021</v>
      </c>
      <c r="I27" s="5" t="s">
        <v>104</v>
      </c>
      <c r="J27" s="5" t="s">
        <v>72</v>
      </c>
      <c r="K27" s="5" t="s">
        <v>59</v>
      </c>
      <c r="L27" s="5" t="s">
        <v>60</v>
      </c>
      <c r="M27" s="5"/>
      <c r="N27" s="6"/>
      <c r="O27" s="6"/>
    </row>
    <row r="28" spans="1:15">
      <c r="A28" s="5" t="s">
        <v>53</v>
      </c>
      <c r="B28" s="5" t="s">
        <v>54</v>
      </c>
      <c r="C28" s="5" t="s">
        <v>102</v>
      </c>
      <c r="D28" s="5" t="s">
        <v>26</v>
      </c>
      <c r="E28" s="7" t="s">
        <v>72</v>
      </c>
      <c r="F28" s="7">
        <v>901026</v>
      </c>
      <c r="G28" s="5" t="s">
        <v>103</v>
      </c>
      <c r="H28" s="7">
        <v>28010022</v>
      </c>
      <c r="I28" s="5" t="s">
        <v>105</v>
      </c>
      <c r="J28" s="5" t="s">
        <v>72</v>
      </c>
      <c r="K28" s="5" t="s">
        <v>59</v>
      </c>
      <c r="L28" s="5" t="s">
        <v>60</v>
      </c>
      <c r="M28" s="5"/>
      <c r="N28" s="6" t="s">
        <v>85</v>
      </c>
      <c r="O28" s="6"/>
    </row>
    <row r="29" spans="1:15">
      <c r="A29" s="5" t="s">
        <v>53</v>
      </c>
      <c r="B29" s="5" t="s">
        <v>54</v>
      </c>
      <c r="C29" s="5" t="s">
        <v>102</v>
      </c>
      <c r="D29" s="5" t="s">
        <v>26</v>
      </c>
      <c r="E29" s="7" t="s">
        <v>72</v>
      </c>
      <c r="F29" s="7">
        <v>901027</v>
      </c>
      <c r="G29" s="5" t="s">
        <v>103</v>
      </c>
      <c r="H29" s="7">
        <v>28010023</v>
      </c>
      <c r="I29" s="5" t="s">
        <v>106</v>
      </c>
      <c r="J29" s="5" t="s">
        <v>72</v>
      </c>
      <c r="K29" s="5" t="s">
        <v>59</v>
      </c>
      <c r="L29" s="5" t="s">
        <v>60</v>
      </c>
      <c r="M29" s="5"/>
      <c r="N29" s="6"/>
      <c r="O29" s="6"/>
    </row>
    <row r="30" spans="1:15">
      <c r="A30" s="5" t="s">
        <v>53</v>
      </c>
      <c r="B30" s="5" t="s">
        <v>54</v>
      </c>
      <c r="C30" s="5" t="s">
        <v>107</v>
      </c>
      <c r="D30" s="5" t="s">
        <v>27</v>
      </c>
      <c r="E30" s="7" t="s">
        <v>72</v>
      </c>
      <c r="F30" s="7">
        <v>901028</v>
      </c>
      <c r="G30" s="5" t="s">
        <v>103</v>
      </c>
      <c r="H30" s="7">
        <v>28010024</v>
      </c>
      <c r="I30" s="5" t="s">
        <v>108</v>
      </c>
      <c r="J30" s="5" t="s">
        <v>72</v>
      </c>
      <c r="K30" s="5" t="s">
        <v>59</v>
      </c>
      <c r="L30" s="5" t="s">
        <v>60</v>
      </c>
      <c r="M30" s="5"/>
      <c r="N30" s="6"/>
      <c r="O30" s="6"/>
    </row>
    <row r="31" spans="1:15">
      <c r="A31" s="5" t="s">
        <v>53</v>
      </c>
      <c r="B31" s="5" t="s">
        <v>54</v>
      </c>
      <c r="C31" s="5" t="s">
        <v>55</v>
      </c>
      <c r="D31" s="5" t="s">
        <v>28</v>
      </c>
      <c r="E31" s="7" t="s">
        <v>109</v>
      </c>
      <c r="F31" s="7">
        <v>901029</v>
      </c>
      <c r="G31" s="5" t="s">
        <v>103</v>
      </c>
      <c r="H31" s="7">
        <v>28010025</v>
      </c>
      <c r="I31" s="6" t="s">
        <v>110</v>
      </c>
      <c r="J31" s="5" t="s">
        <v>109</v>
      </c>
      <c r="K31" s="5" t="s">
        <v>59</v>
      </c>
      <c r="L31" s="5" t="s">
        <v>60</v>
      </c>
      <c r="M31" s="5"/>
      <c r="N31" s="6"/>
      <c r="O31" s="6"/>
    </row>
    <row r="32" spans="1:15">
      <c r="A32" s="5" t="s">
        <v>53</v>
      </c>
      <c r="B32" s="5" t="s">
        <v>54</v>
      </c>
      <c r="C32" s="5" t="s">
        <v>55</v>
      </c>
      <c r="D32" s="5" t="s">
        <v>28</v>
      </c>
      <c r="E32" s="7" t="s">
        <v>109</v>
      </c>
      <c r="F32" s="7">
        <v>901030</v>
      </c>
      <c r="G32" s="5" t="s">
        <v>111</v>
      </c>
      <c r="H32" s="7">
        <v>28010026</v>
      </c>
      <c r="I32" s="5" t="s">
        <v>112</v>
      </c>
      <c r="J32" s="5" t="s">
        <v>109</v>
      </c>
      <c r="K32" s="5" t="s">
        <v>59</v>
      </c>
      <c r="L32" s="5" t="s">
        <v>60</v>
      </c>
      <c r="M32" s="5"/>
      <c r="N32" s="6"/>
      <c r="O32" s="6"/>
    </row>
    <row r="33" spans="1:15">
      <c r="A33" s="5" t="s">
        <v>53</v>
      </c>
      <c r="B33" s="5" t="s">
        <v>30</v>
      </c>
      <c r="C33" s="5" t="s">
        <v>107</v>
      </c>
      <c r="D33" s="5" t="s">
        <v>19</v>
      </c>
      <c r="E33" s="7" t="s">
        <v>109</v>
      </c>
      <c r="F33" s="7">
        <v>901031</v>
      </c>
      <c r="G33" s="5" t="s">
        <v>111</v>
      </c>
      <c r="H33" s="7"/>
      <c r="I33" s="5"/>
      <c r="J33" s="5"/>
      <c r="K33" s="5"/>
      <c r="L33" s="5" t="s">
        <v>63</v>
      </c>
      <c r="M33" s="5"/>
      <c r="N33" s="6"/>
      <c r="O33" s="6"/>
    </row>
    <row r="34" spans="1:15">
      <c r="A34" s="5" t="s">
        <v>53</v>
      </c>
      <c r="B34" s="5" t="s">
        <v>30</v>
      </c>
      <c r="C34" s="5" t="s">
        <v>107</v>
      </c>
      <c r="D34" s="5" t="s">
        <v>19</v>
      </c>
      <c r="E34" s="7" t="s">
        <v>109</v>
      </c>
      <c r="F34" s="7">
        <v>901032</v>
      </c>
      <c r="G34" s="5" t="s">
        <v>111</v>
      </c>
      <c r="H34" s="7"/>
      <c r="I34" s="5"/>
      <c r="J34" s="5"/>
      <c r="K34" s="5"/>
      <c r="L34" s="5" t="s">
        <v>63</v>
      </c>
      <c r="M34" s="5"/>
      <c r="N34" s="6"/>
      <c r="O34" s="6"/>
    </row>
    <row r="35" spans="1:15">
      <c r="A35" s="5" t="s">
        <v>53</v>
      </c>
      <c r="B35" s="5" t="s">
        <v>54</v>
      </c>
      <c r="C35" s="5" t="s">
        <v>107</v>
      </c>
      <c r="D35" s="5" t="s">
        <v>27</v>
      </c>
      <c r="E35" s="7" t="s">
        <v>72</v>
      </c>
      <c r="F35" s="7">
        <v>901033</v>
      </c>
      <c r="G35" s="5" t="s">
        <v>113</v>
      </c>
      <c r="H35" s="7">
        <v>28010027</v>
      </c>
      <c r="I35" s="5" t="s">
        <v>114</v>
      </c>
      <c r="J35" s="5" t="s">
        <v>72</v>
      </c>
      <c r="K35" s="5" t="s">
        <v>59</v>
      </c>
      <c r="L35" s="5" t="s">
        <v>60</v>
      </c>
      <c r="M35" s="5"/>
      <c r="N35" s="6"/>
      <c r="O35" s="6"/>
    </row>
    <row r="36" spans="1:15">
      <c r="A36" s="5" t="s">
        <v>53</v>
      </c>
      <c r="B36" s="5" t="s">
        <v>54</v>
      </c>
      <c r="C36" s="5" t="s">
        <v>55</v>
      </c>
      <c r="D36" s="5" t="s">
        <v>28</v>
      </c>
      <c r="E36" s="7" t="s">
        <v>72</v>
      </c>
      <c r="F36" s="7">
        <v>901034</v>
      </c>
      <c r="G36" s="5" t="s">
        <v>113</v>
      </c>
      <c r="H36" s="7">
        <v>28010028</v>
      </c>
      <c r="I36" s="5" t="s">
        <v>115</v>
      </c>
      <c r="J36" s="5" t="s">
        <v>72</v>
      </c>
      <c r="K36" s="5" t="s">
        <v>59</v>
      </c>
      <c r="L36" s="5" t="s">
        <v>60</v>
      </c>
      <c r="M36" s="5"/>
      <c r="N36" s="6"/>
      <c r="O36" s="6"/>
    </row>
    <row r="37" spans="1:15">
      <c r="A37" s="5" t="s">
        <v>53</v>
      </c>
      <c r="B37" s="5" t="s">
        <v>54</v>
      </c>
      <c r="C37" s="5" t="s">
        <v>91</v>
      </c>
      <c r="D37" s="5" t="s">
        <v>20</v>
      </c>
      <c r="E37" s="7" t="s">
        <v>72</v>
      </c>
      <c r="F37" s="7">
        <v>901035</v>
      </c>
      <c r="G37" s="5" t="s">
        <v>116</v>
      </c>
      <c r="H37" s="7"/>
      <c r="I37" s="5"/>
      <c r="J37" s="5"/>
      <c r="K37" s="5"/>
      <c r="L37" s="5" t="s">
        <v>63</v>
      </c>
      <c r="M37" s="5"/>
      <c r="N37" s="6" t="s">
        <v>85</v>
      </c>
      <c r="O37" s="6"/>
    </row>
    <row r="38" spans="1:15">
      <c r="A38" s="5" t="s">
        <v>53</v>
      </c>
      <c r="B38" s="5" t="s">
        <v>54</v>
      </c>
      <c r="C38" s="5" t="s">
        <v>107</v>
      </c>
      <c r="D38" s="5" t="s">
        <v>27</v>
      </c>
      <c r="E38" s="7" t="s">
        <v>72</v>
      </c>
      <c r="F38" s="7">
        <v>901036</v>
      </c>
      <c r="G38" s="5" t="s">
        <v>113</v>
      </c>
      <c r="H38" s="7">
        <v>28010029</v>
      </c>
      <c r="I38" s="5" t="s">
        <v>117</v>
      </c>
      <c r="J38" s="5" t="s">
        <v>72</v>
      </c>
      <c r="K38" s="5" t="s">
        <v>59</v>
      </c>
      <c r="L38" s="5" t="s">
        <v>60</v>
      </c>
      <c r="M38" s="5"/>
      <c r="N38" s="6"/>
      <c r="O38" s="6"/>
    </row>
    <row r="39" spans="1:15">
      <c r="A39" s="5" t="s">
        <v>53</v>
      </c>
      <c r="B39" s="5" t="s">
        <v>54</v>
      </c>
      <c r="C39" s="5" t="s">
        <v>107</v>
      </c>
      <c r="D39" s="5" t="s">
        <v>27</v>
      </c>
      <c r="E39" s="7" t="s">
        <v>72</v>
      </c>
      <c r="F39" s="7">
        <v>901037</v>
      </c>
      <c r="G39" s="5" t="s">
        <v>118</v>
      </c>
      <c r="H39" s="7">
        <v>28010030</v>
      </c>
      <c r="I39" s="6" t="s">
        <v>119</v>
      </c>
      <c r="J39" s="5" t="s">
        <v>72</v>
      </c>
      <c r="K39" s="5" t="s">
        <v>59</v>
      </c>
      <c r="L39" s="5" t="s">
        <v>60</v>
      </c>
      <c r="M39" s="5"/>
      <c r="N39" s="6"/>
      <c r="O39" s="6"/>
    </row>
    <row r="40" spans="1:15">
      <c r="A40" s="5" t="s">
        <v>53</v>
      </c>
      <c r="B40" s="5" t="s">
        <v>29</v>
      </c>
      <c r="C40" s="5" t="s">
        <v>55</v>
      </c>
      <c r="D40" s="5" t="s">
        <v>14</v>
      </c>
      <c r="E40" s="7" t="s">
        <v>99</v>
      </c>
      <c r="F40" s="7">
        <v>901038</v>
      </c>
      <c r="G40" s="5" t="s">
        <v>120</v>
      </c>
      <c r="H40" s="7">
        <v>28010031</v>
      </c>
      <c r="I40" s="5" t="s">
        <v>121</v>
      </c>
      <c r="J40" s="5" t="s">
        <v>99</v>
      </c>
      <c r="K40" s="5" t="s">
        <v>59</v>
      </c>
      <c r="L40" s="5" t="s">
        <v>60</v>
      </c>
      <c r="M40" s="5"/>
      <c r="N40" s="6"/>
      <c r="O40" s="6"/>
    </row>
    <row r="41" spans="1:15">
      <c r="A41" s="5" t="s">
        <v>53</v>
      </c>
      <c r="B41" s="5" t="s">
        <v>54</v>
      </c>
      <c r="C41" s="5" t="s">
        <v>107</v>
      </c>
      <c r="D41" s="5" t="s">
        <v>27</v>
      </c>
      <c r="E41" s="7" t="s">
        <v>72</v>
      </c>
      <c r="F41" s="7">
        <v>901039</v>
      </c>
      <c r="G41" s="5" t="s">
        <v>113</v>
      </c>
      <c r="H41" s="7">
        <v>28010032</v>
      </c>
      <c r="I41" s="5" t="s">
        <v>122</v>
      </c>
      <c r="J41" s="5" t="s">
        <v>72</v>
      </c>
      <c r="K41" s="5" t="s">
        <v>59</v>
      </c>
      <c r="L41" s="5" t="s">
        <v>60</v>
      </c>
      <c r="M41" s="5"/>
      <c r="N41" s="6"/>
      <c r="O41" s="6"/>
    </row>
    <row r="42" spans="1:15">
      <c r="A42" s="5" t="s">
        <v>53</v>
      </c>
      <c r="B42" s="5" t="s">
        <v>30</v>
      </c>
      <c r="C42" s="5" t="s">
        <v>107</v>
      </c>
      <c r="D42" s="5" t="s">
        <v>19</v>
      </c>
      <c r="E42" s="7" t="s">
        <v>109</v>
      </c>
      <c r="F42" s="7">
        <v>901040</v>
      </c>
      <c r="G42" s="5" t="s">
        <v>111</v>
      </c>
      <c r="H42" s="7"/>
      <c r="I42" s="5"/>
      <c r="J42" s="5"/>
      <c r="K42" s="5"/>
      <c r="L42" s="5" t="s">
        <v>63</v>
      </c>
      <c r="M42" s="5"/>
      <c r="N42" s="6"/>
      <c r="O42" s="6"/>
    </row>
    <row r="43" spans="1:15">
      <c r="A43" s="5" t="s">
        <v>53</v>
      </c>
      <c r="B43" s="5" t="s">
        <v>30</v>
      </c>
      <c r="C43" s="5" t="s">
        <v>107</v>
      </c>
      <c r="D43" s="5" t="s">
        <v>19</v>
      </c>
      <c r="E43" s="7" t="s">
        <v>109</v>
      </c>
      <c r="F43" s="7">
        <v>901041</v>
      </c>
      <c r="G43" s="5" t="s">
        <v>111</v>
      </c>
      <c r="H43" s="7"/>
      <c r="I43" s="5"/>
      <c r="J43" s="5"/>
      <c r="K43" s="5"/>
      <c r="L43" s="5" t="s">
        <v>63</v>
      </c>
      <c r="M43" s="5"/>
      <c r="N43" s="6"/>
      <c r="O43" s="6"/>
    </row>
    <row r="44" spans="1:15">
      <c r="A44" s="5" t="s">
        <v>53</v>
      </c>
      <c r="B44" s="5" t="s">
        <v>30</v>
      </c>
      <c r="C44" s="5" t="s">
        <v>107</v>
      </c>
      <c r="D44" s="5" t="s">
        <v>19</v>
      </c>
      <c r="E44" s="7" t="s">
        <v>109</v>
      </c>
      <c r="F44" s="7">
        <v>901042</v>
      </c>
      <c r="G44" s="5" t="s">
        <v>111</v>
      </c>
      <c r="H44" s="7"/>
      <c r="I44" s="5"/>
      <c r="J44" s="5"/>
      <c r="K44" s="5"/>
      <c r="L44" s="5" t="s">
        <v>63</v>
      </c>
      <c r="M44" s="5"/>
      <c r="N44" s="6"/>
      <c r="O44" s="6"/>
    </row>
    <row r="45" spans="1:15">
      <c r="A45" s="5" t="s">
        <v>53</v>
      </c>
      <c r="B45" s="5" t="s">
        <v>30</v>
      </c>
      <c r="C45" s="5" t="s">
        <v>107</v>
      </c>
      <c r="D45" s="5" t="s">
        <v>19</v>
      </c>
      <c r="E45" s="7" t="s">
        <v>109</v>
      </c>
      <c r="F45" s="7">
        <v>901043</v>
      </c>
      <c r="G45" s="5" t="s">
        <v>111</v>
      </c>
      <c r="H45" s="7"/>
      <c r="I45" s="5"/>
      <c r="J45" s="5"/>
      <c r="K45" s="5"/>
      <c r="L45" s="5" t="s">
        <v>63</v>
      </c>
      <c r="M45" s="5"/>
      <c r="N45" s="6"/>
      <c r="O45" s="6"/>
    </row>
    <row r="46" spans="1:15">
      <c r="A46" s="5" t="s">
        <v>53</v>
      </c>
      <c r="B46" s="5" t="s">
        <v>54</v>
      </c>
      <c r="C46" s="5" t="s">
        <v>107</v>
      </c>
      <c r="D46" s="5" t="s">
        <v>27</v>
      </c>
      <c r="E46" s="7" t="s">
        <v>109</v>
      </c>
      <c r="F46" s="7">
        <v>901044</v>
      </c>
      <c r="G46" s="5" t="s">
        <v>103</v>
      </c>
      <c r="H46" s="7">
        <v>28010033</v>
      </c>
      <c r="I46" s="6" t="s">
        <v>123</v>
      </c>
      <c r="J46" s="5" t="s">
        <v>72</v>
      </c>
      <c r="K46" s="5" t="s">
        <v>59</v>
      </c>
      <c r="L46" s="5" t="s">
        <v>60</v>
      </c>
      <c r="M46" s="5"/>
      <c r="N46" s="6"/>
      <c r="O46" s="6"/>
    </row>
    <row r="47" spans="1:15">
      <c r="A47" s="5" t="s">
        <v>53</v>
      </c>
      <c r="B47" s="5" t="s">
        <v>54</v>
      </c>
      <c r="C47" s="5" t="s">
        <v>107</v>
      </c>
      <c r="D47" s="5" t="s">
        <v>27</v>
      </c>
      <c r="E47" s="7" t="s">
        <v>72</v>
      </c>
      <c r="F47" s="7">
        <v>901045</v>
      </c>
      <c r="G47" s="5" t="s">
        <v>118</v>
      </c>
      <c r="H47" s="7">
        <v>28010034</v>
      </c>
      <c r="I47" s="5" t="s">
        <v>124</v>
      </c>
      <c r="J47" s="5" t="s">
        <v>72</v>
      </c>
      <c r="K47" s="5" t="s">
        <v>59</v>
      </c>
      <c r="L47" s="5" t="s">
        <v>60</v>
      </c>
      <c r="M47" s="5"/>
      <c r="N47" s="6"/>
      <c r="O47" s="6"/>
    </row>
    <row r="48" spans="1:15">
      <c r="A48" s="5" t="s">
        <v>53</v>
      </c>
      <c r="B48" s="5" t="s">
        <v>64</v>
      </c>
      <c r="C48" s="5" t="s">
        <v>65</v>
      </c>
      <c r="D48" s="5" t="s">
        <v>17</v>
      </c>
      <c r="E48" s="7" t="s">
        <v>109</v>
      </c>
      <c r="F48" s="7">
        <v>901046</v>
      </c>
      <c r="G48" s="5" t="s">
        <v>92</v>
      </c>
      <c r="H48" s="7"/>
      <c r="I48" s="5"/>
      <c r="J48" s="5"/>
      <c r="K48" s="5"/>
      <c r="L48" s="5" t="s">
        <v>63</v>
      </c>
      <c r="M48" s="5"/>
      <c r="N48" s="6"/>
      <c r="O48" s="6"/>
    </row>
    <row r="49" spans="1:15">
      <c r="A49" s="5" t="s">
        <v>53</v>
      </c>
      <c r="B49" s="5" t="s">
        <v>54</v>
      </c>
      <c r="C49" s="5" t="s">
        <v>107</v>
      </c>
      <c r="D49" s="5" t="s">
        <v>27</v>
      </c>
      <c r="E49" s="7" t="s">
        <v>109</v>
      </c>
      <c r="F49" s="7">
        <v>901047</v>
      </c>
      <c r="G49" s="5" t="s">
        <v>103</v>
      </c>
      <c r="H49" s="7"/>
      <c r="I49" s="5"/>
      <c r="J49" s="5"/>
      <c r="K49" s="5"/>
      <c r="L49" s="5" t="s">
        <v>63</v>
      </c>
      <c r="M49" s="5"/>
      <c r="N49" s="6"/>
      <c r="O49" s="6"/>
    </row>
    <row r="50" spans="1:15">
      <c r="A50" s="5" t="s">
        <v>53</v>
      </c>
      <c r="B50" s="5" t="s">
        <v>54</v>
      </c>
      <c r="C50" s="5" t="s">
        <v>107</v>
      </c>
      <c r="D50" s="5" t="s">
        <v>27</v>
      </c>
      <c r="E50" s="7" t="s">
        <v>109</v>
      </c>
      <c r="F50" s="7">
        <v>901048</v>
      </c>
      <c r="G50" s="5" t="s">
        <v>103</v>
      </c>
      <c r="H50" s="7"/>
      <c r="I50" s="5"/>
      <c r="J50" s="5"/>
      <c r="K50" s="5"/>
      <c r="L50" s="5" t="s">
        <v>63</v>
      </c>
      <c r="M50" s="5"/>
      <c r="N50" s="6"/>
      <c r="O50" s="6"/>
    </row>
    <row r="51" spans="1:15">
      <c r="A51" s="5" t="s">
        <v>53</v>
      </c>
      <c r="B51" s="5" t="s">
        <v>30</v>
      </c>
      <c r="C51" s="5" t="s">
        <v>107</v>
      </c>
      <c r="D51" s="5" t="s">
        <v>19</v>
      </c>
      <c r="E51" s="7" t="s">
        <v>109</v>
      </c>
      <c r="F51" s="7">
        <v>901049</v>
      </c>
      <c r="G51" s="5" t="s">
        <v>111</v>
      </c>
      <c r="H51" s="7"/>
      <c r="I51" s="5"/>
      <c r="J51" s="5"/>
      <c r="K51" s="5"/>
      <c r="L51" s="5" t="s">
        <v>63</v>
      </c>
      <c r="M51" s="5"/>
      <c r="N51" s="6"/>
      <c r="O51" s="6"/>
    </row>
    <row r="52" spans="1:15">
      <c r="A52" s="5" t="s">
        <v>53</v>
      </c>
      <c r="B52" s="5" t="s">
        <v>30</v>
      </c>
      <c r="C52" s="5" t="s">
        <v>107</v>
      </c>
      <c r="D52" s="5" t="s">
        <v>19</v>
      </c>
      <c r="E52" s="7" t="s">
        <v>109</v>
      </c>
      <c r="F52" s="7">
        <v>901050</v>
      </c>
      <c r="G52" s="5" t="s">
        <v>111</v>
      </c>
      <c r="H52" s="7"/>
      <c r="I52" s="5"/>
      <c r="J52" s="5"/>
      <c r="K52" s="5"/>
      <c r="L52" s="5" t="s">
        <v>63</v>
      </c>
      <c r="M52" s="5"/>
      <c r="N52" s="6"/>
      <c r="O52" s="6"/>
    </row>
    <row r="53" spans="1:15">
      <c r="A53" s="5" t="s">
        <v>53</v>
      </c>
      <c r="B53" s="5" t="s">
        <v>30</v>
      </c>
      <c r="C53" s="5" t="s">
        <v>107</v>
      </c>
      <c r="D53" s="5" t="s">
        <v>19</v>
      </c>
      <c r="E53" s="7" t="s">
        <v>109</v>
      </c>
      <c r="F53" s="7">
        <v>901051</v>
      </c>
      <c r="G53" s="5" t="s">
        <v>111</v>
      </c>
      <c r="H53" s="7"/>
      <c r="I53" s="5"/>
      <c r="J53" s="5"/>
      <c r="K53" s="5"/>
      <c r="L53" s="5" t="s">
        <v>63</v>
      </c>
      <c r="M53" s="5"/>
      <c r="N53" s="6"/>
      <c r="O53" s="6"/>
    </row>
    <row r="54" spans="1:15">
      <c r="A54" s="5" t="s">
        <v>53</v>
      </c>
      <c r="B54" s="5" t="s">
        <v>30</v>
      </c>
      <c r="C54" s="5" t="s">
        <v>107</v>
      </c>
      <c r="D54" s="5" t="s">
        <v>19</v>
      </c>
      <c r="E54" s="7" t="s">
        <v>109</v>
      </c>
      <c r="F54" s="7">
        <v>901052</v>
      </c>
      <c r="G54" s="5" t="s">
        <v>111</v>
      </c>
      <c r="H54" s="7"/>
      <c r="I54" s="5"/>
      <c r="J54" s="5"/>
      <c r="K54" s="5"/>
      <c r="L54" s="5" t="s">
        <v>63</v>
      </c>
      <c r="M54" s="5"/>
      <c r="N54" s="6"/>
      <c r="O54" s="6"/>
    </row>
    <row r="55" spans="1:15">
      <c r="A55" s="5" t="s">
        <v>53</v>
      </c>
      <c r="B55" s="5" t="s">
        <v>30</v>
      </c>
      <c r="C55" s="5" t="s">
        <v>107</v>
      </c>
      <c r="D55" s="5" t="s">
        <v>19</v>
      </c>
      <c r="E55" s="7" t="s">
        <v>109</v>
      </c>
      <c r="F55" s="7">
        <v>901053</v>
      </c>
      <c r="G55" s="5" t="s">
        <v>111</v>
      </c>
      <c r="H55" s="7"/>
      <c r="I55" s="5"/>
      <c r="J55" s="5"/>
      <c r="K55" s="5"/>
      <c r="L55" s="5" t="s">
        <v>63</v>
      </c>
      <c r="M55" s="5"/>
      <c r="N55" s="6"/>
      <c r="O55" s="6"/>
    </row>
    <row r="56" spans="1:15">
      <c r="A56" s="5" t="s">
        <v>53</v>
      </c>
      <c r="B56" s="5" t="s">
        <v>30</v>
      </c>
      <c r="C56" s="5" t="s">
        <v>107</v>
      </c>
      <c r="D56" s="5" t="s">
        <v>19</v>
      </c>
      <c r="E56" s="7" t="s">
        <v>109</v>
      </c>
      <c r="F56" s="7">
        <v>901054</v>
      </c>
      <c r="G56" s="5" t="s">
        <v>111</v>
      </c>
      <c r="H56" s="7"/>
      <c r="I56" s="5"/>
      <c r="J56" s="5"/>
      <c r="K56" s="5"/>
      <c r="L56" s="5" t="s">
        <v>63</v>
      </c>
      <c r="M56" s="5"/>
      <c r="N56" s="6"/>
      <c r="O56" s="6"/>
    </row>
    <row r="57" spans="1:15">
      <c r="A57" s="5" t="s">
        <v>53</v>
      </c>
      <c r="B57" s="5" t="s">
        <v>30</v>
      </c>
      <c r="C57" s="5" t="s">
        <v>107</v>
      </c>
      <c r="D57" s="5" t="s">
        <v>19</v>
      </c>
      <c r="E57" s="7" t="s">
        <v>109</v>
      </c>
      <c r="F57" s="7">
        <v>901055</v>
      </c>
      <c r="G57" s="5" t="s">
        <v>111</v>
      </c>
      <c r="H57" s="7"/>
      <c r="I57" s="5"/>
      <c r="J57" s="5"/>
      <c r="K57" s="5"/>
      <c r="L57" s="5" t="s">
        <v>63</v>
      </c>
      <c r="M57" s="5"/>
      <c r="N57" s="6"/>
      <c r="O57" s="6"/>
    </row>
    <row r="58" spans="1:15">
      <c r="A58" s="5" t="s">
        <v>53</v>
      </c>
      <c r="B58" s="5" t="s">
        <v>30</v>
      </c>
      <c r="C58" s="5" t="s">
        <v>107</v>
      </c>
      <c r="D58" s="5" t="s">
        <v>19</v>
      </c>
      <c r="E58" s="7" t="s">
        <v>109</v>
      </c>
      <c r="F58" s="7">
        <v>901056</v>
      </c>
      <c r="G58" s="5" t="s">
        <v>111</v>
      </c>
      <c r="H58" s="7"/>
      <c r="I58" s="5"/>
      <c r="J58" s="5"/>
      <c r="K58" s="5"/>
      <c r="L58" s="5" t="s">
        <v>63</v>
      </c>
      <c r="M58" s="5"/>
      <c r="N58" s="6"/>
      <c r="O58" s="6"/>
    </row>
    <row r="59" spans="1:15">
      <c r="A59" s="5" t="s">
        <v>53</v>
      </c>
      <c r="B59" s="5" t="s">
        <v>30</v>
      </c>
      <c r="C59" s="5" t="s">
        <v>107</v>
      </c>
      <c r="D59" s="5" t="s">
        <v>19</v>
      </c>
      <c r="E59" s="7" t="s">
        <v>109</v>
      </c>
      <c r="F59" s="7">
        <v>901057</v>
      </c>
      <c r="G59" s="5" t="s">
        <v>111</v>
      </c>
      <c r="H59" s="7"/>
      <c r="I59" s="5"/>
      <c r="J59" s="5"/>
      <c r="K59" s="5"/>
      <c r="L59" s="5" t="s">
        <v>63</v>
      </c>
      <c r="M59" s="5"/>
      <c r="N59" s="6"/>
      <c r="O59" s="6"/>
    </row>
    <row r="60" spans="1:15">
      <c r="A60" s="5" t="s">
        <v>53</v>
      </c>
      <c r="B60" s="5" t="s">
        <v>30</v>
      </c>
      <c r="C60" s="5" t="s">
        <v>107</v>
      </c>
      <c r="D60" s="5" t="s">
        <v>19</v>
      </c>
      <c r="E60" s="7" t="s">
        <v>109</v>
      </c>
      <c r="F60" s="7">
        <v>901058</v>
      </c>
      <c r="G60" s="5" t="s">
        <v>111</v>
      </c>
      <c r="H60" s="7"/>
      <c r="I60" s="5"/>
      <c r="J60" s="5"/>
      <c r="K60" s="5"/>
      <c r="L60" s="5" t="s">
        <v>63</v>
      </c>
      <c r="M60" s="5"/>
      <c r="N60" s="6"/>
      <c r="O60" s="6"/>
    </row>
    <row r="61" spans="1:15">
      <c r="A61" s="5" t="s">
        <v>53</v>
      </c>
      <c r="B61" s="5" t="s">
        <v>30</v>
      </c>
      <c r="C61" s="5" t="s">
        <v>107</v>
      </c>
      <c r="D61" s="5" t="s">
        <v>19</v>
      </c>
      <c r="E61" s="7" t="s">
        <v>109</v>
      </c>
      <c r="F61" s="7">
        <v>901059</v>
      </c>
      <c r="G61" s="5" t="s">
        <v>111</v>
      </c>
      <c r="H61" s="7"/>
      <c r="I61" s="5"/>
      <c r="J61" s="5"/>
      <c r="K61" s="5"/>
      <c r="L61" s="5" t="s">
        <v>63</v>
      </c>
      <c r="M61" s="5"/>
      <c r="N61" s="6"/>
      <c r="O61" s="6"/>
    </row>
    <row r="62" spans="1:15">
      <c r="A62" s="5" t="s">
        <v>53</v>
      </c>
      <c r="B62" s="5" t="s">
        <v>30</v>
      </c>
      <c r="C62" s="5" t="s">
        <v>107</v>
      </c>
      <c r="D62" s="5" t="s">
        <v>19</v>
      </c>
      <c r="E62" s="7" t="s">
        <v>109</v>
      </c>
      <c r="F62" s="7">
        <v>901060</v>
      </c>
      <c r="G62" s="5" t="s">
        <v>111</v>
      </c>
      <c r="H62" s="7"/>
      <c r="I62" s="5"/>
      <c r="J62" s="5"/>
      <c r="K62" s="5"/>
      <c r="L62" s="5" t="s">
        <v>63</v>
      </c>
      <c r="M62" s="5"/>
      <c r="N62" s="6"/>
      <c r="O62" s="6"/>
    </row>
    <row r="63" spans="1:15">
      <c r="A63" s="5" t="s">
        <v>53</v>
      </c>
      <c r="B63" s="5" t="s">
        <v>30</v>
      </c>
      <c r="C63" s="5" t="s">
        <v>107</v>
      </c>
      <c r="D63" s="5" t="s">
        <v>19</v>
      </c>
      <c r="E63" s="7" t="s">
        <v>109</v>
      </c>
      <c r="F63" s="7">
        <v>901061</v>
      </c>
      <c r="G63" s="5" t="s">
        <v>111</v>
      </c>
      <c r="H63" s="7"/>
      <c r="I63" s="5"/>
      <c r="J63" s="5"/>
      <c r="K63" s="5"/>
      <c r="L63" s="5" t="s">
        <v>63</v>
      </c>
      <c r="M63" s="5"/>
      <c r="N63" s="6"/>
      <c r="O63" s="6"/>
    </row>
    <row r="64" spans="1:15">
      <c r="A64" s="5" t="s">
        <v>53</v>
      </c>
      <c r="B64" s="5" t="s">
        <v>30</v>
      </c>
      <c r="C64" s="5" t="s">
        <v>107</v>
      </c>
      <c r="D64" s="5" t="s">
        <v>19</v>
      </c>
      <c r="E64" s="7" t="s">
        <v>109</v>
      </c>
      <c r="F64" s="7">
        <v>901062</v>
      </c>
      <c r="G64" s="5" t="s">
        <v>111</v>
      </c>
      <c r="H64" s="7"/>
      <c r="I64" s="5"/>
      <c r="J64" s="5"/>
      <c r="K64" s="5"/>
      <c r="L64" s="5" t="s">
        <v>63</v>
      </c>
      <c r="M64" s="5"/>
      <c r="N64" s="6"/>
      <c r="O64" s="6"/>
    </row>
    <row r="65" spans="1:15">
      <c r="A65" s="5" t="s">
        <v>53</v>
      </c>
      <c r="B65" s="5" t="s">
        <v>30</v>
      </c>
      <c r="C65" s="5" t="s">
        <v>107</v>
      </c>
      <c r="D65" s="5" t="s">
        <v>19</v>
      </c>
      <c r="E65" s="7" t="s">
        <v>109</v>
      </c>
      <c r="F65" s="7">
        <v>901063</v>
      </c>
      <c r="G65" s="5" t="s">
        <v>111</v>
      </c>
      <c r="H65" s="7"/>
      <c r="I65" s="5"/>
      <c r="J65" s="5"/>
      <c r="K65" s="5"/>
      <c r="L65" s="5" t="s">
        <v>63</v>
      </c>
      <c r="M65" s="5"/>
      <c r="N65" s="6"/>
      <c r="O65" s="6"/>
    </row>
    <row r="66" spans="1:15">
      <c r="A66" s="5" t="s">
        <v>53</v>
      </c>
      <c r="B66" s="5" t="s">
        <v>30</v>
      </c>
      <c r="C66" s="5" t="s">
        <v>107</v>
      </c>
      <c r="D66" s="5" t="s">
        <v>19</v>
      </c>
      <c r="E66" s="7" t="s">
        <v>109</v>
      </c>
      <c r="F66" s="7">
        <v>901064</v>
      </c>
      <c r="G66" s="5" t="s">
        <v>111</v>
      </c>
      <c r="H66" s="7"/>
      <c r="I66" s="5"/>
      <c r="J66" s="5"/>
      <c r="K66" s="5"/>
      <c r="L66" s="5" t="s">
        <v>63</v>
      </c>
      <c r="M66" s="5"/>
      <c r="N66" s="6"/>
      <c r="O66" s="6"/>
    </row>
    <row r="67" spans="1:15">
      <c r="A67" s="5" t="s">
        <v>53</v>
      </c>
      <c r="B67" s="5" t="s">
        <v>30</v>
      </c>
      <c r="C67" s="5" t="s">
        <v>107</v>
      </c>
      <c r="D67" s="5" t="s">
        <v>19</v>
      </c>
      <c r="E67" s="7" t="s">
        <v>109</v>
      </c>
      <c r="F67" s="7">
        <v>901065</v>
      </c>
      <c r="G67" s="5" t="s">
        <v>111</v>
      </c>
      <c r="H67" s="7"/>
      <c r="I67" s="5"/>
      <c r="J67" s="5"/>
      <c r="K67" s="5"/>
      <c r="L67" s="5" t="s">
        <v>63</v>
      </c>
      <c r="M67" s="5"/>
      <c r="N67" s="6"/>
      <c r="O67" s="6"/>
    </row>
    <row r="68" spans="1:15">
      <c r="A68" s="5" t="s">
        <v>53</v>
      </c>
      <c r="B68" s="5" t="s">
        <v>30</v>
      </c>
      <c r="C68" s="5" t="s">
        <v>107</v>
      </c>
      <c r="D68" s="5" t="s">
        <v>19</v>
      </c>
      <c r="E68" s="7" t="s">
        <v>109</v>
      </c>
      <c r="F68" s="7">
        <v>901066</v>
      </c>
      <c r="G68" s="5" t="s">
        <v>111</v>
      </c>
      <c r="H68" s="7">
        <v>28010035</v>
      </c>
      <c r="I68" s="5" t="s">
        <v>125</v>
      </c>
      <c r="J68" s="5" t="s">
        <v>109</v>
      </c>
      <c r="K68" s="5" t="s">
        <v>59</v>
      </c>
      <c r="L68" s="5" t="s">
        <v>60</v>
      </c>
      <c r="M68" s="5"/>
      <c r="N68" s="6"/>
      <c r="O68" s="6"/>
    </row>
    <row r="69" spans="1:15">
      <c r="A69" s="5" t="s">
        <v>53</v>
      </c>
      <c r="B69" s="5" t="s">
        <v>54</v>
      </c>
      <c r="C69" s="5" t="s">
        <v>55</v>
      </c>
      <c r="D69" s="5" t="s">
        <v>28</v>
      </c>
      <c r="E69" s="7" t="s">
        <v>109</v>
      </c>
      <c r="F69" s="7">
        <v>901067</v>
      </c>
      <c r="G69" s="5" t="s">
        <v>103</v>
      </c>
      <c r="H69" s="7"/>
      <c r="I69" s="5"/>
      <c r="J69" s="5"/>
      <c r="K69" s="5"/>
      <c r="L69" s="5" t="s">
        <v>63</v>
      </c>
      <c r="M69" s="5"/>
      <c r="N69" s="6"/>
      <c r="O69" s="6"/>
    </row>
    <row r="70" spans="1:15">
      <c r="A70" s="5" t="s">
        <v>53</v>
      </c>
      <c r="B70" s="5" t="s">
        <v>54</v>
      </c>
      <c r="C70" s="5" t="s">
        <v>55</v>
      </c>
      <c r="D70" s="5" t="s">
        <v>28</v>
      </c>
      <c r="E70" s="7" t="s">
        <v>72</v>
      </c>
      <c r="F70" s="7">
        <v>901068</v>
      </c>
      <c r="G70" s="5" t="s">
        <v>126</v>
      </c>
      <c r="H70" s="7">
        <v>28010036</v>
      </c>
      <c r="I70" s="5" t="s">
        <v>127</v>
      </c>
      <c r="J70" s="5" t="s">
        <v>72</v>
      </c>
      <c r="K70" s="5" t="s">
        <v>59</v>
      </c>
      <c r="L70" s="5" t="s">
        <v>60</v>
      </c>
      <c r="M70" s="5"/>
      <c r="N70" s="6"/>
      <c r="O70" s="6"/>
    </row>
    <row r="71" spans="1:15">
      <c r="A71" s="5" t="s">
        <v>53</v>
      </c>
      <c r="B71" s="5" t="s">
        <v>54</v>
      </c>
      <c r="C71" s="5" t="s">
        <v>107</v>
      </c>
      <c r="D71" s="5" t="s">
        <v>27</v>
      </c>
      <c r="E71" s="7" t="s">
        <v>109</v>
      </c>
      <c r="F71" s="7">
        <v>901069</v>
      </c>
      <c r="G71" s="5" t="s">
        <v>103</v>
      </c>
      <c r="H71" s="7"/>
      <c r="I71" s="5"/>
      <c r="J71" s="5"/>
      <c r="K71" s="5"/>
      <c r="L71" s="5" t="s">
        <v>63</v>
      </c>
      <c r="M71" s="5"/>
      <c r="N71" s="6"/>
      <c r="O71" s="6"/>
    </row>
    <row r="72" spans="1:15">
      <c r="A72" s="5" t="s">
        <v>53</v>
      </c>
      <c r="B72" s="5" t="s">
        <v>54</v>
      </c>
      <c r="C72" s="5" t="s">
        <v>102</v>
      </c>
      <c r="D72" s="5" t="s">
        <v>26</v>
      </c>
      <c r="E72" s="7" t="s">
        <v>109</v>
      </c>
      <c r="F72" s="7">
        <v>901070</v>
      </c>
      <c r="G72" s="5" t="s">
        <v>103</v>
      </c>
      <c r="H72" s="7"/>
      <c r="I72" s="5"/>
      <c r="J72" s="5"/>
      <c r="K72" s="5"/>
      <c r="L72" s="5" t="s">
        <v>63</v>
      </c>
      <c r="M72" s="5"/>
      <c r="N72" s="6"/>
      <c r="O72" s="6"/>
    </row>
    <row r="73" spans="1:15">
      <c r="A73" s="5" t="s">
        <v>53</v>
      </c>
      <c r="B73" s="5" t="s">
        <v>54</v>
      </c>
      <c r="C73" s="5" t="s">
        <v>102</v>
      </c>
      <c r="D73" s="5" t="s">
        <v>26</v>
      </c>
      <c r="E73" s="7" t="s">
        <v>109</v>
      </c>
      <c r="F73" s="7">
        <v>901071</v>
      </c>
      <c r="G73" s="5" t="s">
        <v>103</v>
      </c>
      <c r="H73" s="7"/>
      <c r="I73" s="5"/>
      <c r="J73" s="5"/>
      <c r="K73" s="5"/>
      <c r="L73" s="5" t="s">
        <v>63</v>
      </c>
      <c r="M73" s="5"/>
      <c r="N73" s="6"/>
      <c r="O73" s="6"/>
    </row>
    <row r="74" spans="1:15">
      <c r="A74" s="5" t="s">
        <v>53</v>
      </c>
      <c r="B74" s="5" t="s">
        <v>29</v>
      </c>
      <c r="C74" s="5" t="s">
        <v>55</v>
      </c>
      <c r="D74" s="5" t="s">
        <v>14</v>
      </c>
      <c r="E74" s="7" t="s">
        <v>128</v>
      </c>
      <c r="F74" s="7">
        <v>901072</v>
      </c>
      <c r="G74" s="5" t="s">
        <v>129</v>
      </c>
      <c r="H74" s="7">
        <v>28010037</v>
      </c>
      <c r="I74" s="5" t="s">
        <v>130</v>
      </c>
      <c r="J74" s="5" t="s">
        <v>128</v>
      </c>
      <c r="K74" s="5" t="s">
        <v>59</v>
      </c>
      <c r="L74" s="5" t="s">
        <v>60</v>
      </c>
      <c r="M74" s="5"/>
      <c r="N74" s="6"/>
      <c r="O74" s="6"/>
    </row>
    <row r="75" spans="1:15">
      <c r="A75" s="5" t="s">
        <v>53</v>
      </c>
      <c r="B75" s="5" t="s">
        <v>54</v>
      </c>
      <c r="C75" s="5" t="s">
        <v>61</v>
      </c>
      <c r="D75" s="5" t="s">
        <v>15</v>
      </c>
      <c r="E75" s="7" t="s">
        <v>128</v>
      </c>
      <c r="F75" s="7">
        <v>901073</v>
      </c>
      <c r="G75" s="5" t="s">
        <v>131</v>
      </c>
      <c r="H75" s="7">
        <v>28010038</v>
      </c>
      <c r="I75" s="5" t="s">
        <v>132</v>
      </c>
      <c r="J75" s="5" t="s">
        <v>128</v>
      </c>
      <c r="K75" s="5" t="s">
        <v>59</v>
      </c>
      <c r="L75" s="5" t="s">
        <v>60</v>
      </c>
      <c r="M75" s="5"/>
      <c r="N75" s="6"/>
      <c r="O75" s="6"/>
    </row>
    <row r="76" spans="1:15">
      <c r="A76" s="5" t="s">
        <v>53</v>
      </c>
      <c r="B76" s="5" t="s">
        <v>54</v>
      </c>
      <c r="C76" s="5" t="s">
        <v>55</v>
      </c>
      <c r="D76" s="5" t="s">
        <v>28</v>
      </c>
      <c r="E76" s="7" t="s">
        <v>72</v>
      </c>
      <c r="F76" s="7">
        <v>901074</v>
      </c>
      <c r="G76" s="5" t="s">
        <v>133</v>
      </c>
      <c r="H76" s="7">
        <v>28010039</v>
      </c>
      <c r="I76" s="5" t="s">
        <v>134</v>
      </c>
      <c r="J76" s="5" t="s">
        <v>72</v>
      </c>
      <c r="K76" s="5" t="s">
        <v>59</v>
      </c>
      <c r="L76" s="5" t="s">
        <v>60</v>
      </c>
      <c r="M76" s="5"/>
      <c r="N76" s="6"/>
      <c r="O76" s="6"/>
    </row>
    <row r="77" spans="1:15">
      <c r="A77" s="5" t="s">
        <v>53</v>
      </c>
      <c r="B77" s="5" t="s">
        <v>29</v>
      </c>
      <c r="C77" s="5" t="s">
        <v>98</v>
      </c>
      <c r="D77" s="5" t="s">
        <v>22</v>
      </c>
      <c r="E77" s="7" t="s">
        <v>72</v>
      </c>
      <c r="F77" s="7">
        <v>901075</v>
      </c>
      <c r="G77" s="5" t="s">
        <v>135</v>
      </c>
      <c r="H77" s="7">
        <v>28010040</v>
      </c>
      <c r="I77" s="6" t="s">
        <v>136</v>
      </c>
      <c r="J77" s="5" t="s">
        <v>72</v>
      </c>
      <c r="K77" s="5" t="s">
        <v>59</v>
      </c>
      <c r="L77" s="5" t="s">
        <v>60</v>
      </c>
      <c r="M77" s="5"/>
      <c r="N77" s="6"/>
      <c r="O77" s="6"/>
    </row>
    <row r="78" spans="1:15">
      <c r="A78" s="5" t="s">
        <v>53</v>
      </c>
      <c r="B78" s="5" t="s">
        <v>54</v>
      </c>
      <c r="C78" s="5" t="s">
        <v>61</v>
      </c>
      <c r="D78" s="5" t="s">
        <v>16</v>
      </c>
      <c r="E78" s="7" t="s">
        <v>128</v>
      </c>
      <c r="F78" s="7">
        <v>901076</v>
      </c>
      <c r="G78" s="5" t="s">
        <v>137</v>
      </c>
      <c r="H78" s="7">
        <v>28010041</v>
      </c>
      <c r="I78" s="5" t="s">
        <v>138</v>
      </c>
      <c r="J78" s="5" t="s">
        <v>128</v>
      </c>
      <c r="K78" s="5" t="s">
        <v>59</v>
      </c>
      <c r="L78" s="5" t="s">
        <v>60</v>
      </c>
      <c r="M78" s="5"/>
      <c r="N78" s="6"/>
      <c r="O78" s="6"/>
    </row>
    <row r="79" spans="1:15">
      <c r="A79" s="5" t="s">
        <v>53</v>
      </c>
      <c r="B79" s="5" t="s">
        <v>54</v>
      </c>
      <c r="C79" s="5" t="s">
        <v>61</v>
      </c>
      <c r="D79" s="5" t="s">
        <v>16</v>
      </c>
      <c r="E79" s="7" t="s">
        <v>56</v>
      </c>
      <c r="F79" s="7">
        <v>901077</v>
      </c>
      <c r="G79" s="5" t="s">
        <v>139</v>
      </c>
      <c r="H79" s="7">
        <v>28010042</v>
      </c>
      <c r="I79" s="6" t="s">
        <v>140</v>
      </c>
      <c r="J79" s="5" t="s">
        <v>56</v>
      </c>
      <c r="K79" s="5" t="s">
        <v>59</v>
      </c>
      <c r="L79" s="5" t="s">
        <v>60</v>
      </c>
      <c r="M79" s="5"/>
      <c r="N79" s="6"/>
      <c r="O79" s="6"/>
    </row>
    <row r="80" spans="1:15">
      <c r="A80" s="5" t="s">
        <v>53</v>
      </c>
      <c r="B80" s="5" t="s">
        <v>54</v>
      </c>
      <c r="C80" s="5" t="s">
        <v>91</v>
      </c>
      <c r="D80" s="5" t="s">
        <v>21</v>
      </c>
      <c r="E80" s="7" t="s">
        <v>56</v>
      </c>
      <c r="F80" s="7">
        <v>901078</v>
      </c>
      <c r="G80" s="5" t="s">
        <v>141</v>
      </c>
      <c r="H80" s="7"/>
      <c r="I80" s="5"/>
      <c r="J80" s="5"/>
      <c r="K80" s="5"/>
      <c r="L80" s="5" t="s">
        <v>63</v>
      </c>
      <c r="M80" s="5"/>
      <c r="N80" s="6"/>
      <c r="O80" s="6"/>
    </row>
    <row r="81" spans="1:15">
      <c r="A81" s="5" t="s">
        <v>53</v>
      </c>
      <c r="B81" s="5" t="s">
        <v>54</v>
      </c>
      <c r="C81" s="5" t="s">
        <v>61</v>
      </c>
      <c r="D81" s="5" t="s">
        <v>16</v>
      </c>
      <c r="E81" s="7" t="s">
        <v>56</v>
      </c>
      <c r="F81" s="7">
        <v>901079</v>
      </c>
      <c r="G81" s="5" t="s">
        <v>70</v>
      </c>
      <c r="H81" s="7"/>
      <c r="I81" s="5"/>
      <c r="J81" s="5"/>
      <c r="K81" s="5"/>
      <c r="L81" s="5" t="s">
        <v>63</v>
      </c>
      <c r="M81" s="5"/>
      <c r="N81" s="6"/>
      <c r="O81" s="6"/>
    </row>
    <row r="82" spans="1:15">
      <c r="A82" s="5" t="s">
        <v>53</v>
      </c>
      <c r="B82" s="5" t="s">
        <v>31</v>
      </c>
      <c r="C82" s="5" t="s">
        <v>65</v>
      </c>
      <c r="D82" s="5" t="s">
        <v>10</v>
      </c>
      <c r="E82" s="7" t="s">
        <v>128</v>
      </c>
      <c r="F82" s="7">
        <v>901080</v>
      </c>
      <c r="G82" s="5" t="s">
        <v>142</v>
      </c>
      <c r="H82" s="7">
        <v>28010043</v>
      </c>
      <c r="I82" s="5" t="s">
        <v>143</v>
      </c>
      <c r="J82" s="5" t="s">
        <v>128</v>
      </c>
      <c r="K82" s="5" t="s">
        <v>59</v>
      </c>
      <c r="L82" s="5" t="s">
        <v>60</v>
      </c>
      <c r="M82" s="5"/>
      <c r="N82" s="6"/>
      <c r="O82" s="6"/>
    </row>
    <row r="83" spans="1:15">
      <c r="A83" s="5" t="s">
        <v>53</v>
      </c>
      <c r="B83" s="5" t="s">
        <v>31</v>
      </c>
      <c r="C83" s="5" t="s">
        <v>65</v>
      </c>
      <c r="D83" s="5" t="s">
        <v>10</v>
      </c>
      <c r="E83" s="7" t="s">
        <v>56</v>
      </c>
      <c r="F83" s="7">
        <v>901081</v>
      </c>
      <c r="G83" s="5" t="s">
        <v>144</v>
      </c>
      <c r="H83" s="7">
        <v>28010044</v>
      </c>
      <c r="I83" s="5" t="s">
        <v>145</v>
      </c>
      <c r="J83" s="5" t="s">
        <v>56</v>
      </c>
      <c r="K83" s="5" t="s">
        <v>59</v>
      </c>
      <c r="L83" s="5" t="s">
        <v>60</v>
      </c>
      <c r="M83" s="5"/>
      <c r="N83" s="6"/>
      <c r="O83" s="6"/>
    </row>
    <row r="84" spans="1:15">
      <c r="A84" s="5" t="s">
        <v>53</v>
      </c>
      <c r="B84" s="5" t="s">
        <v>31</v>
      </c>
      <c r="C84" s="5" t="s">
        <v>75</v>
      </c>
      <c r="D84" s="5" t="s">
        <v>10</v>
      </c>
      <c r="E84" s="7" t="s">
        <v>72</v>
      </c>
      <c r="F84" s="7">
        <v>901082</v>
      </c>
      <c r="G84" s="5" t="s">
        <v>146</v>
      </c>
      <c r="H84" s="7">
        <v>28010045</v>
      </c>
      <c r="I84" s="6" t="s">
        <v>147</v>
      </c>
      <c r="J84" s="5" t="s">
        <v>72</v>
      </c>
      <c r="K84" s="5" t="s">
        <v>59</v>
      </c>
      <c r="L84" s="5" t="s">
        <v>60</v>
      </c>
      <c r="M84" s="5"/>
      <c r="N84" s="6"/>
      <c r="O84" s="6"/>
    </row>
    <row r="85" spans="1:15">
      <c r="A85" s="5" t="s">
        <v>53</v>
      </c>
      <c r="B85" s="5" t="s">
        <v>31</v>
      </c>
      <c r="C85" s="5" t="s">
        <v>75</v>
      </c>
      <c r="D85" s="5" t="s">
        <v>10</v>
      </c>
      <c r="E85" s="7" t="s">
        <v>128</v>
      </c>
      <c r="F85" s="7">
        <v>901083</v>
      </c>
      <c r="G85" s="5" t="s">
        <v>146</v>
      </c>
      <c r="H85" s="7"/>
      <c r="I85" s="5"/>
      <c r="J85" s="5"/>
      <c r="K85" s="5"/>
      <c r="L85" s="5" t="s">
        <v>63</v>
      </c>
      <c r="M85" s="5"/>
      <c r="N85" s="6" t="s">
        <v>85</v>
      </c>
      <c r="O85" s="6"/>
    </row>
    <row r="86" spans="1:15">
      <c r="A86" s="5" t="s">
        <v>53</v>
      </c>
      <c r="B86" s="5" t="s">
        <v>31</v>
      </c>
      <c r="C86" s="5" t="s">
        <v>75</v>
      </c>
      <c r="D86" s="5" t="s">
        <v>10</v>
      </c>
      <c r="E86" s="7" t="s">
        <v>99</v>
      </c>
      <c r="F86" s="7">
        <v>901084</v>
      </c>
      <c r="G86" s="5" t="s">
        <v>148</v>
      </c>
      <c r="H86" s="7">
        <v>28010046</v>
      </c>
      <c r="I86" s="5" t="s">
        <v>149</v>
      </c>
      <c r="J86" s="5" t="s">
        <v>99</v>
      </c>
      <c r="K86" s="5" t="s">
        <v>59</v>
      </c>
      <c r="L86" s="5" t="s">
        <v>60</v>
      </c>
      <c r="M86" s="5"/>
      <c r="N86" s="6"/>
      <c r="O86" s="6"/>
    </row>
    <row r="87" spans="1:15">
      <c r="A87" s="5" t="s">
        <v>53</v>
      </c>
      <c r="B87" s="5" t="s">
        <v>31</v>
      </c>
      <c r="C87" s="5" t="s">
        <v>75</v>
      </c>
      <c r="D87" s="5" t="s">
        <v>10</v>
      </c>
      <c r="E87" s="7" t="s">
        <v>56</v>
      </c>
      <c r="F87" s="7">
        <v>901085</v>
      </c>
      <c r="G87" s="5" t="s">
        <v>146</v>
      </c>
      <c r="H87" s="7">
        <v>28010047</v>
      </c>
      <c r="I87" s="5" t="s">
        <v>150</v>
      </c>
      <c r="J87" s="5" t="s">
        <v>56</v>
      </c>
      <c r="K87" s="5" t="s">
        <v>59</v>
      </c>
      <c r="L87" s="5" t="s">
        <v>60</v>
      </c>
      <c r="M87" s="5"/>
      <c r="N87" s="6"/>
      <c r="O87" s="6"/>
    </row>
    <row r="88" spans="1:15">
      <c r="A88" s="5" t="s">
        <v>53</v>
      </c>
      <c r="B88" s="5" t="s">
        <v>54</v>
      </c>
      <c r="C88" s="5" t="s">
        <v>91</v>
      </c>
      <c r="D88" s="5" t="s">
        <v>22</v>
      </c>
      <c r="E88" s="7" t="s">
        <v>72</v>
      </c>
      <c r="F88" s="7">
        <v>901086</v>
      </c>
      <c r="G88" s="5" t="s">
        <v>151</v>
      </c>
      <c r="H88" s="7">
        <v>28010048</v>
      </c>
      <c r="I88" s="5" t="s">
        <v>152</v>
      </c>
      <c r="J88" s="5" t="s">
        <v>72</v>
      </c>
      <c r="K88" s="5" t="s">
        <v>59</v>
      </c>
      <c r="L88" s="5" t="s">
        <v>60</v>
      </c>
      <c r="M88" s="5"/>
      <c r="N88" s="6"/>
      <c r="O88" s="6"/>
    </row>
    <row r="89" spans="1:15">
      <c r="A89" s="5" t="s">
        <v>53</v>
      </c>
      <c r="B89" s="5" t="s">
        <v>30</v>
      </c>
      <c r="C89" s="5" t="s">
        <v>107</v>
      </c>
      <c r="D89" s="5" t="s">
        <v>19</v>
      </c>
      <c r="E89" s="7" t="s">
        <v>72</v>
      </c>
      <c r="F89" s="7">
        <v>901087</v>
      </c>
      <c r="G89" s="5" t="s">
        <v>153</v>
      </c>
      <c r="H89" s="7">
        <v>28010049</v>
      </c>
      <c r="I89" s="5" t="s">
        <v>154</v>
      </c>
      <c r="J89" s="5" t="s">
        <v>72</v>
      </c>
      <c r="K89" s="5" t="s">
        <v>59</v>
      </c>
      <c r="L89" s="5" t="s">
        <v>60</v>
      </c>
      <c r="M89" s="5"/>
      <c r="N89" s="6"/>
      <c r="O89" s="6"/>
    </row>
    <row r="90" spans="1:15">
      <c r="A90" s="5" t="s">
        <v>53</v>
      </c>
      <c r="B90" s="5" t="s">
        <v>31</v>
      </c>
      <c r="C90" s="5" t="s">
        <v>75</v>
      </c>
      <c r="D90" s="5" t="s">
        <v>10</v>
      </c>
      <c r="E90" s="7" t="s">
        <v>56</v>
      </c>
      <c r="F90" s="7">
        <v>90001088</v>
      </c>
      <c r="G90" s="5" t="s">
        <v>148</v>
      </c>
      <c r="H90" s="7"/>
      <c r="I90" s="5"/>
      <c r="J90" s="5"/>
      <c r="K90" s="5"/>
      <c r="L90" s="5" t="s">
        <v>63</v>
      </c>
      <c r="M90" s="5"/>
      <c r="N90" s="6"/>
      <c r="O90" s="6"/>
    </row>
    <row r="91" spans="1:15">
      <c r="A91" s="5" t="s">
        <v>53</v>
      </c>
      <c r="B91" s="5" t="s">
        <v>30</v>
      </c>
      <c r="C91" s="5" t="s">
        <v>107</v>
      </c>
      <c r="D91" s="5" t="s">
        <v>19</v>
      </c>
      <c r="E91" s="7" t="s">
        <v>128</v>
      </c>
      <c r="F91" s="7">
        <v>901089</v>
      </c>
      <c r="G91" s="5" t="s">
        <v>153</v>
      </c>
      <c r="H91" s="7">
        <v>28010050</v>
      </c>
      <c r="I91" s="6" t="s">
        <v>155</v>
      </c>
      <c r="J91" s="5" t="s">
        <v>56</v>
      </c>
      <c r="K91" s="5" t="s">
        <v>59</v>
      </c>
      <c r="L91" s="5" t="s">
        <v>60</v>
      </c>
      <c r="M91" s="5"/>
      <c r="N91" s="6"/>
      <c r="O91" s="6"/>
    </row>
    <row r="92" spans="1:15">
      <c r="A92" s="5" t="s">
        <v>53</v>
      </c>
      <c r="B92" s="5" t="s">
        <v>30</v>
      </c>
      <c r="C92" s="5" t="s">
        <v>107</v>
      </c>
      <c r="D92" s="5" t="s">
        <v>19</v>
      </c>
      <c r="E92" s="7" t="s">
        <v>56</v>
      </c>
      <c r="F92" s="7">
        <v>901090</v>
      </c>
      <c r="G92" s="5" t="s">
        <v>153</v>
      </c>
      <c r="H92" s="7">
        <v>28010051</v>
      </c>
      <c r="I92" s="5" t="s">
        <v>156</v>
      </c>
      <c r="J92" s="5" t="s">
        <v>56</v>
      </c>
      <c r="K92" s="5" t="s">
        <v>59</v>
      </c>
      <c r="L92" s="5" t="s">
        <v>60</v>
      </c>
      <c r="M92" s="5"/>
      <c r="N92" s="6"/>
      <c r="O92" s="6"/>
    </row>
    <row r="93" spans="1:15">
      <c r="A93" s="5" t="s">
        <v>53</v>
      </c>
      <c r="B93" s="5" t="s">
        <v>30</v>
      </c>
      <c r="C93" s="5" t="s">
        <v>107</v>
      </c>
      <c r="D93" s="5" t="s">
        <v>19</v>
      </c>
      <c r="E93" s="7" t="s">
        <v>56</v>
      </c>
      <c r="F93" s="7">
        <v>901091</v>
      </c>
      <c r="G93" s="5" t="s">
        <v>157</v>
      </c>
      <c r="H93" s="7">
        <v>28010052</v>
      </c>
      <c r="I93" s="6" t="s">
        <v>158</v>
      </c>
      <c r="J93" s="5" t="s">
        <v>56</v>
      </c>
      <c r="K93" s="5" t="s">
        <v>59</v>
      </c>
      <c r="L93" s="5" t="s">
        <v>60</v>
      </c>
      <c r="M93" s="5"/>
      <c r="N93" s="6"/>
      <c r="O93" s="6"/>
    </row>
    <row r="94" spans="1:15">
      <c r="A94" s="5" t="s">
        <v>53</v>
      </c>
      <c r="B94" s="5" t="s">
        <v>30</v>
      </c>
      <c r="C94" s="5" t="s">
        <v>107</v>
      </c>
      <c r="D94" s="5" t="s">
        <v>19</v>
      </c>
      <c r="E94" s="7" t="s">
        <v>56</v>
      </c>
      <c r="F94" s="7">
        <v>901092</v>
      </c>
      <c r="G94" s="5" t="s">
        <v>157</v>
      </c>
      <c r="H94" s="7">
        <v>28010053</v>
      </c>
      <c r="I94" s="5" t="s">
        <v>159</v>
      </c>
      <c r="J94" s="5" t="s">
        <v>56</v>
      </c>
      <c r="K94" s="5" t="s">
        <v>59</v>
      </c>
      <c r="L94" s="5" t="s">
        <v>60</v>
      </c>
      <c r="M94" s="5"/>
      <c r="N94" s="6"/>
      <c r="O94" s="6"/>
    </row>
    <row r="95" spans="1:15">
      <c r="A95" s="5" t="s">
        <v>53</v>
      </c>
      <c r="B95" s="5" t="s">
        <v>54</v>
      </c>
      <c r="C95" s="5" t="s">
        <v>91</v>
      </c>
      <c r="D95" s="5" t="s">
        <v>21</v>
      </c>
      <c r="E95" s="7" t="s">
        <v>128</v>
      </c>
      <c r="F95" s="7">
        <v>901093</v>
      </c>
      <c r="G95" s="5" t="s">
        <v>160</v>
      </c>
      <c r="H95" s="7">
        <v>28010054</v>
      </c>
      <c r="I95" s="6" t="s">
        <v>161</v>
      </c>
      <c r="J95" s="5" t="s">
        <v>128</v>
      </c>
      <c r="K95" s="5" t="s">
        <v>59</v>
      </c>
      <c r="L95" s="5" t="s">
        <v>60</v>
      </c>
      <c r="M95" s="5"/>
      <c r="N95" s="6"/>
      <c r="O95" s="6"/>
    </row>
    <row r="96" spans="1:15">
      <c r="A96" s="5" t="s">
        <v>53</v>
      </c>
      <c r="B96" s="5" t="s">
        <v>54</v>
      </c>
      <c r="C96" s="5" t="s">
        <v>91</v>
      </c>
      <c r="D96" s="5" t="s">
        <v>22</v>
      </c>
      <c r="E96" s="7" t="s">
        <v>128</v>
      </c>
      <c r="F96" s="7">
        <v>901094</v>
      </c>
      <c r="G96" s="5" t="s">
        <v>162</v>
      </c>
      <c r="H96" s="7">
        <v>28010055</v>
      </c>
      <c r="I96" s="5" t="s">
        <v>163</v>
      </c>
      <c r="J96" s="5" t="s">
        <v>128</v>
      </c>
      <c r="K96" s="5" t="s">
        <v>59</v>
      </c>
      <c r="L96" s="5" t="s">
        <v>60</v>
      </c>
      <c r="M96" s="5"/>
      <c r="N96" s="6"/>
      <c r="O96" s="6"/>
    </row>
    <row r="97" spans="1:15">
      <c r="A97" s="5" t="s">
        <v>53</v>
      </c>
      <c r="B97" s="5" t="s">
        <v>30</v>
      </c>
      <c r="C97" s="5" t="s">
        <v>91</v>
      </c>
      <c r="D97" s="5" t="s">
        <v>23</v>
      </c>
      <c r="E97" s="7" t="s">
        <v>72</v>
      </c>
      <c r="F97" s="7">
        <v>90001095</v>
      </c>
      <c r="G97" s="5" t="s">
        <v>157</v>
      </c>
      <c r="H97" s="7">
        <v>28010056</v>
      </c>
      <c r="I97" s="5" t="s">
        <v>164</v>
      </c>
      <c r="J97" s="5" t="s">
        <v>72</v>
      </c>
      <c r="K97" s="5" t="s">
        <v>59</v>
      </c>
      <c r="L97" s="5" t="s">
        <v>60</v>
      </c>
      <c r="M97" s="5"/>
      <c r="N97" s="6"/>
      <c r="O97" s="6"/>
    </row>
    <row r="98" spans="1:15">
      <c r="A98" s="5" t="s">
        <v>53</v>
      </c>
      <c r="B98" s="5" t="s">
        <v>30</v>
      </c>
      <c r="C98" s="5" t="s">
        <v>107</v>
      </c>
      <c r="D98" s="5" t="s">
        <v>19</v>
      </c>
      <c r="E98" s="7" t="s">
        <v>56</v>
      </c>
      <c r="F98" s="7">
        <v>901096</v>
      </c>
      <c r="G98" s="5" t="s">
        <v>165</v>
      </c>
      <c r="H98" s="7"/>
      <c r="I98" s="5"/>
      <c r="J98" s="5"/>
      <c r="K98" s="5"/>
      <c r="L98" s="5" t="s">
        <v>63</v>
      </c>
      <c r="M98" s="5"/>
      <c r="N98" s="6"/>
      <c r="O98" s="6"/>
    </row>
    <row r="99" spans="1:15">
      <c r="A99" s="5" t="s">
        <v>53</v>
      </c>
      <c r="B99" s="5" t="s">
        <v>64</v>
      </c>
      <c r="C99" s="5" t="s">
        <v>80</v>
      </c>
      <c r="D99" s="5" t="s">
        <v>18</v>
      </c>
      <c r="E99" s="7" t="s">
        <v>66</v>
      </c>
      <c r="F99" s="7">
        <v>901097</v>
      </c>
      <c r="G99" s="5" t="s">
        <v>166</v>
      </c>
      <c r="H99" s="7">
        <v>28010057</v>
      </c>
      <c r="I99" s="5" t="s">
        <v>167</v>
      </c>
      <c r="J99" s="5" t="s">
        <v>66</v>
      </c>
      <c r="K99" s="5" t="s">
        <v>59</v>
      </c>
      <c r="L99" s="5" t="s">
        <v>60</v>
      </c>
      <c r="M99" s="5"/>
      <c r="N99" s="6"/>
      <c r="O99" s="6"/>
    </row>
    <row r="100" spans="1:15">
      <c r="A100" s="5" t="s">
        <v>53</v>
      </c>
      <c r="B100" s="5" t="s">
        <v>54</v>
      </c>
      <c r="C100" s="5" t="s">
        <v>91</v>
      </c>
      <c r="D100" s="5" t="s">
        <v>22</v>
      </c>
      <c r="E100" s="7" t="s">
        <v>69</v>
      </c>
      <c r="F100" s="7">
        <v>901098</v>
      </c>
      <c r="G100" s="5" t="s">
        <v>168</v>
      </c>
      <c r="H100" s="7">
        <v>28010058</v>
      </c>
      <c r="I100" s="5" t="s">
        <v>169</v>
      </c>
      <c r="J100" s="5" t="s">
        <v>69</v>
      </c>
      <c r="K100" s="5" t="s">
        <v>59</v>
      </c>
      <c r="L100" s="5" t="s">
        <v>60</v>
      </c>
      <c r="M100" s="5"/>
      <c r="N100" s="6"/>
      <c r="O100" s="6"/>
    </row>
    <row r="101" spans="1:15">
      <c r="A101" s="5" t="s">
        <v>53</v>
      </c>
      <c r="B101" s="5" t="s">
        <v>54</v>
      </c>
      <c r="C101" s="5" t="s">
        <v>61</v>
      </c>
      <c r="D101" s="5" t="s">
        <v>15</v>
      </c>
      <c r="E101" s="7" t="s">
        <v>128</v>
      </c>
      <c r="F101" s="7">
        <v>901099</v>
      </c>
      <c r="G101" s="5" t="s">
        <v>170</v>
      </c>
      <c r="H101" s="7">
        <v>28010059</v>
      </c>
      <c r="I101" s="5" t="s">
        <v>171</v>
      </c>
      <c r="J101" s="5" t="s">
        <v>128</v>
      </c>
      <c r="K101" s="5" t="s">
        <v>59</v>
      </c>
      <c r="L101" s="5" t="s">
        <v>60</v>
      </c>
      <c r="M101" s="5"/>
      <c r="N101" s="6"/>
      <c r="O101" s="6"/>
    </row>
    <row r="102" spans="1:15">
      <c r="A102" s="5" t="s">
        <v>53</v>
      </c>
      <c r="B102" s="5" t="s">
        <v>54</v>
      </c>
      <c r="C102" s="5" t="s">
        <v>61</v>
      </c>
      <c r="D102" s="5" t="s">
        <v>15</v>
      </c>
      <c r="E102" s="7" t="s">
        <v>56</v>
      </c>
      <c r="F102" s="7">
        <v>901100</v>
      </c>
      <c r="G102" s="5" t="s">
        <v>172</v>
      </c>
      <c r="H102" s="7">
        <v>28010060</v>
      </c>
      <c r="I102" s="5" t="s">
        <v>173</v>
      </c>
      <c r="J102" s="5" t="s">
        <v>56</v>
      </c>
      <c r="K102" s="5" t="s">
        <v>59</v>
      </c>
      <c r="L102" s="5" t="s">
        <v>60</v>
      </c>
      <c r="M102" s="5"/>
      <c r="N102" s="6"/>
      <c r="O102" s="6"/>
    </row>
    <row r="103" spans="1:15">
      <c r="A103" s="5" t="s">
        <v>53</v>
      </c>
      <c r="B103" s="5" t="s">
        <v>29</v>
      </c>
      <c r="C103" s="5" t="s">
        <v>55</v>
      </c>
      <c r="D103" s="5" t="s">
        <v>14</v>
      </c>
      <c r="E103" s="7" t="s">
        <v>72</v>
      </c>
      <c r="F103" s="7">
        <v>901101</v>
      </c>
      <c r="G103" s="5" t="s">
        <v>174</v>
      </c>
      <c r="H103" s="7">
        <v>28010061</v>
      </c>
      <c r="I103" s="5" t="s">
        <v>175</v>
      </c>
      <c r="J103" s="5" t="s">
        <v>72</v>
      </c>
      <c r="K103" s="5" t="s">
        <v>59</v>
      </c>
      <c r="L103" s="5" t="s">
        <v>60</v>
      </c>
      <c r="M103" s="5"/>
      <c r="N103" s="6"/>
      <c r="O103" s="6"/>
    </row>
    <row r="104" spans="1:15">
      <c r="A104" s="5" t="s">
        <v>53</v>
      </c>
      <c r="B104" s="5" t="s">
        <v>31</v>
      </c>
      <c r="C104" s="5" t="s">
        <v>65</v>
      </c>
      <c r="D104" s="5" t="s">
        <v>10</v>
      </c>
      <c r="E104" s="7" t="s">
        <v>128</v>
      </c>
      <c r="F104" s="7">
        <v>901102</v>
      </c>
      <c r="G104" s="5" t="s">
        <v>176</v>
      </c>
      <c r="H104" s="7">
        <v>28010062</v>
      </c>
      <c r="I104" s="5" t="s">
        <v>177</v>
      </c>
      <c r="J104" s="5" t="s">
        <v>128</v>
      </c>
      <c r="K104" s="5" t="s">
        <v>59</v>
      </c>
      <c r="L104" s="5" t="s">
        <v>60</v>
      </c>
      <c r="M104" s="5"/>
      <c r="N104" s="6"/>
      <c r="O104" s="6"/>
    </row>
    <row r="105" spans="1:15">
      <c r="A105" s="5" t="s">
        <v>53</v>
      </c>
      <c r="B105" s="5" t="s">
        <v>54</v>
      </c>
      <c r="C105" s="5" t="s">
        <v>91</v>
      </c>
      <c r="D105" s="5" t="s">
        <v>22</v>
      </c>
      <c r="E105" s="7" t="s">
        <v>56</v>
      </c>
      <c r="F105" s="7">
        <v>901103</v>
      </c>
      <c r="G105" s="5" t="s">
        <v>178</v>
      </c>
      <c r="H105" s="7"/>
      <c r="I105" s="5"/>
      <c r="J105" s="5"/>
      <c r="K105" s="5"/>
      <c r="L105" s="5" t="s">
        <v>63</v>
      </c>
      <c r="M105" s="5"/>
      <c r="N105" s="6" t="s">
        <v>85</v>
      </c>
      <c r="O105" s="6"/>
    </row>
    <row r="106" spans="1:15">
      <c r="A106" s="5" t="s">
        <v>53</v>
      </c>
      <c r="B106" s="5" t="s">
        <v>54</v>
      </c>
      <c r="C106" s="5" t="s">
        <v>107</v>
      </c>
      <c r="D106" s="5" t="s">
        <v>27</v>
      </c>
      <c r="E106" s="7" t="s">
        <v>99</v>
      </c>
      <c r="F106" s="7">
        <v>901104</v>
      </c>
      <c r="G106" s="5" t="s">
        <v>179</v>
      </c>
      <c r="H106" s="7">
        <v>28010063</v>
      </c>
      <c r="I106" s="5" t="s">
        <v>180</v>
      </c>
      <c r="J106" s="5" t="s">
        <v>99</v>
      </c>
      <c r="K106" s="5" t="s">
        <v>59</v>
      </c>
      <c r="L106" s="5" t="s">
        <v>60</v>
      </c>
      <c r="M106" s="5"/>
      <c r="N106" s="6"/>
      <c r="O106" s="6"/>
    </row>
    <row r="107" spans="1:15">
      <c r="A107" s="5" t="s">
        <v>53</v>
      </c>
      <c r="B107" s="5" t="s">
        <v>64</v>
      </c>
      <c r="C107" s="5" t="s">
        <v>80</v>
      </c>
      <c r="D107" s="5" t="s">
        <v>18</v>
      </c>
      <c r="E107" s="7" t="s">
        <v>128</v>
      </c>
      <c r="F107" s="7">
        <v>901105</v>
      </c>
      <c r="G107" s="5" t="s">
        <v>181</v>
      </c>
      <c r="H107" s="7">
        <v>28010064</v>
      </c>
      <c r="I107" s="5" t="s">
        <v>182</v>
      </c>
      <c r="J107" s="5" t="s">
        <v>128</v>
      </c>
      <c r="K107" s="5" t="s">
        <v>59</v>
      </c>
      <c r="L107" s="5" t="s">
        <v>60</v>
      </c>
      <c r="M107" s="5"/>
      <c r="N107" s="6"/>
      <c r="O107" s="6"/>
    </row>
    <row r="108" spans="1:15">
      <c r="A108" s="5" t="s">
        <v>53</v>
      </c>
      <c r="B108" s="5" t="s">
        <v>29</v>
      </c>
      <c r="C108" s="5" t="s">
        <v>98</v>
      </c>
      <c r="D108" s="5" t="s">
        <v>22</v>
      </c>
      <c r="E108" s="7" t="s">
        <v>128</v>
      </c>
      <c r="F108" s="7">
        <v>901106</v>
      </c>
      <c r="G108" s="5" t="s">
        <v>183</v>
      </c>
      <c r="H108" s="7">
        <v>28010065</v>
      </c>
      <c r="I108" s="5" t="s">
        <v>184</v>
      </c>
      <c r="J108" s="5" t="s">
        <v>128</v>
      </c>
      <c r="K108" s="5" t="s">
        <v>59</v>
      </c>
      <c r="L108" s="5" t="s">
        <v>60</v>
      </c>
      <c r="M108" s="5"/>
      <c r="N108" s="6"/>
      <c r="O108" s="6"/>
    </row>
    <row r="109" spans="1:15">
      <c r="A109" s="5" t="s">
        <v>53</v>
      </c>
      <c r="B109" s="5" t="s">
        <v>54</v>
      </c>
      <c r="C109" s="5" t="s">
        <v>55</v>
      </c>
      <c r="D109" s="5" t="s">
        <v>28</v>
      </c>
      <c r="E109" s="7" t="s">
        <v>72</v>
      </c>
      <c r="F109" s="7">
        <v>901107</v>
      </c>
      <c r="G109" s="5" t="s">
        <v>131</v>
      </c>
      <c r="H109" s="7">
        <v>28010066</v>
      </c>
      <c r="I109" s="5" t="s">
        <v>185</v>
      </c>
      <c r="J109" s="5" t="s">
        <v>72</v>
      </c>
      <c r="K109" s="5" t="s">
        <v>59</v>
      </c>
      <c r="L109" s="5" t="s">
        <v>60</v>
      </c>
      <c r="M109" s="5"/>
      <c r="N109" s="6"/>
      <c r="O109" s="6"/>
    </row>
    <row r="110" spans="1:15">
      <c r="A110" s="5" t="s">
        <v>53</v>
      </c>
      <c r="B110" s="5" t="s">
        <v>54</v>
      </c>
      <c r="C110" s="5" t="s">
        <v>91</v>
      </c>
      <c r="D110" s="5" t="s">
        <v>22</v>
      </c>
      <c r="E110" s="7" t="s">
        <v>128</v>
      </c>
      <c r="F110" s="7">
        <v>901108</v>
      </c>
      <c r="G110" s="5" t="s">
        <v>186</v>
      </c>
      <c r="H110" s="7">
        <v>28010067</v>
      </c>
      <c r="I110" s="5" t="s">
        <v>187</v>
      </c>
      <c r="J110" s="5" t="s">
        <v>128</v>
      </c>
      <c r="K110" s="5" t="s">
        <v>59</v>
      </c>
      <c r="L110" s="5" t="s">
        <v>60</v>
      </c>
      <c r="M110" s="5"/>
      <c r="N110" s="6"/>
      <c r="O110" s="6"/>
    </row>
    <row r="111" spans="1:15">
      <c r="A111" s="5" t="s">
        <v>53</v>
      </c>
      <c r="B111" s="5" t="s">
        <v>30</v>
      </c>
      <c r="C111" s="5" t="s">
        <v>107</v>
      </c>
      <c r="D111" s="5" t="s">
        <v>19</v>
      </c>
      <c r="E111" s="7" t="s">
        <v>99</v>
      </c>
      <c r="F111" s="7">
        <v>90001109</v>
      </c>
      <c r="G111" s="5" t="s">
        <v>188</v>
      </c>
      <c r="H111" s="7">
        <v>28010068</v>
      </c>
      <c r="I111" s="5" t="s">
        <v>189</v>
      </c>
      <c r="J111" s="5" t="s">
        <v>99</v>
      </c>
      <c r="K111" s="5" t="s">
        <v>59</v>
      </c>
      <c r="L111" s="5" t="s">
        <v>60</v>
      </c>
      <c r="M111" s="5"/>
      <c r="N111" s="6"/>
      <c r="O111" s="6"/>
    </row>
    <row r="112" spans="1:15">
      <c r="A112" s="5" t="s">
        <v>53</v>
      </c>
      <c r="B112" s="5" t="s">
        <v>54</v>
      </c>
      <c r="C112" s="5" t="s">
        <v>96</v>
      </c>
      <c r="D112" s="5" t="s">
        <v>19</v>
      </c>
      <c r="E112" s="7" t="s">
        <v>72</v>
      </c>
      <c r="F112" s="7">
        <v>901110</v>
      </c>
      <c r="G112" s="5" t="s">
        <v>190</v>
      </c>
      <c r="H112" s="7">
        <v>28010069</v>
      </c>
      <c r="I112" s="5" t="s">
        <v>191</v>
      </c>
      <c r="J112" s="5" t="s">
        <v>72</v>
      </c>
      <c r="K112" s="5" t="s">
        <v>59</v>
      </c>
      <c r="L112" s="5" t="s">
        <v>60</v>
      </c>
      <c r="M112" s="5"/>
      <c r="N112" s="6"/>
      <c r="O112" s="6"/>
    </row>
    <row r="113" spans="1:15">
      <c r="A113" s="5" t="s">
        <v>53</v>
      </c>
      <c r="B113" s="5" t="s">
        <v>54</v>
      </c>
      <c r="C113" s="5" t="s">
        <v>102</v>
      </c>
      <c r="D113" s="5" t="s">
        <v>26</v>
      </c>
      <c r="E113" s="7" t="s">
        <v>56</v>
      </c>
      <c r="F113" s="7">
        <v>901111</v>
      </c>
      <c r="G113" s="5" t="s">
        <v>131</v>
      </c>
      <c r="H113" s="7">
        <v>28010070</v>
      </c>
      <c r="I113" s="5" t="s">
        <v>192</v>
      </c>
      <c r="J113" s="5" t="s">
        <v>56</v>
      </c>
      <c r="K113" s="5" t="s">
        <v>59</v>
      </c>
      <c r="L113" s="5" t="s">
        <v>60</v>
      </c>
      <c r="M113" s="5"/>
      <c r="N113" s="6"/>
      <c r="O113" s="6"/>
    </row>
    <row r="114" spans="1:15">
      <c r="A114" s="5" t="s">
        <v>53</v>
      </c>
      <c r="B114" s="5" t="s">
        <v>64</v>
      </c>
      <c r="C114" s="5" t="s">
        <v>80</v>
      </c>
      <c r="D114" s="5" t="s">
        <v>18</v>
      </c>
      <c r="E114" s="7" t="s">
        <v>128</v>
      </c>
      <c r="F114" s="7">
        <v>901112</v>
      </c>
      <c r="G114" s="5" t="s">
        <v>193</v>
      </c>
      <c r="H114" s="7">
        <v>28010071</v>
      </c>
      <c r="I114" s="5" t="s">
        <v>194</v>
      </c>
      <c r="J114" s="5" t="s">
        <v>128</v>
      </c>
      <c r="K114" s="5" t="s">
        <v>59</v>
      </c>
      <c r="L114" s="5" t="s">
        <v>60</v>
      </c>
      <c r="M114" s="5"/>
      <c r="N114" s="6"/>
      <c r="O114" s="6"/>
    </row>
    <row r="115" spans="1:15">
      <c r="A115" s="5" t="s">
        <v>53</v>
      </c>
      <c r="B115" s="5" t="s">
        <v>31</v>
      </c>
      <c r="C115" s="5" t="s">
        <v>75</v>
      </c>
      <c r="D115" s="5" t="s">
        <v>10</v>
      </c>
      <c r="E115" s="7" t="s">
        <v>56</v>
      </c>
      <c r="F115" s="7">
        <v>901113</v>
      </c>
      <c r="G115" s="5" t="s">
        <v>195</v>
      </c>
      <c r="H115" s="7">
        <v>28010072</v>
      </c>
      <c r="I115" s="5" t="s">
        <v>196</v>
      </c>
      <c r="J115" s="5" t="s">
        <v>56</v>
      </c>
      <c r="K115" s="5" t="s">
        <v>59</v>
      </c>
      <c r="L115" s="5" t="s">
        <v>60</v>
      </c>
      <c r="M115" s="5"/>
      <c r="N115" s="6"/>
      <c r="O115" s="6"/>
    </row>
    <row r="116" spans="1:15">
      <c r="A116" s="5" t="s">
        <v>53</v>
      </c>
      <c r="B116" s="5" t="s">
        <v>54</v>
      </c>
      <c r="C116" s="5" t="s">
        <v>91</v>
      </c>
      <c r="D116" s="5" t="s">
        <v>18</v>
      </c>
      <c r="E116" s="7" t="s">
        <v>72</v>
      </c>
      <c r="F116" s="7">
        <v>901114</v>
      </c>
      <c r="G116" s="5" t="s">
        <v>197</v>
      </c>
      <c r="H116" s="7">
        <v>28010073</v>
      </c>
      <c r="I116" s="10" t="s">
        <v>198</v>
      </c>
      <c r="J116" s="5" t="s">
        <v>72</v>
      </c>
      <c r="K116" s="5" t="s">
        <v>59</v>
      </c>
      <c r="L116" s="5" t="s">
        <v>60</v>
      </c>
      <c r="M116" s="5"/>
      <c r="N116" s="6"/>
      <c r="O116" s="6"/>
    </row>
    <row r="117" spans="1:15">
      <c r="A117" s="5" t="s">
        <v>53</v>
      </c>
      <c r="B117" s="5" t="s">
        <v>30</v>
      </c>
      <c r="C117" s="5" t="s">
        <v>107</v>
      </c>
      <c r="D117" s="5" t="s">
        <v>19</v>
      </c>
      <c r="E117" s="7" t="s">
        <v>56</v>
      </c>
      <c r="F117" s="7">
        <v>901115</v>
      </c>
      <c r="G117" s="5" t="s">
        <v>199</v>
      </c>
      <c r="H117" s="7">
        <v>28010074</v>
      </c>
      <c r="I117" s="5" t="s">
        <v>200</v>
      </c>
      <c r="J117" s="5" t="s">
        <v>56</v>
      </c>
      <c r="K117" s="5" t="s">
        <v>59</v>
      </c>
      <c r="L117" s="5" t="s">
        <v>60</v>
      </c>
      <c r="M117" s="5"/>
      <c r="N117" s="6"/>
      <c r="O117" s="6"/>
    </row>
    <row r="118" spans="1:15">
      <c r="A118" s="5" t="s">
        <v>53</v>
      </c>
      <c r="B118" s="5" t="s">
        <v>30</v>
      </c>
      <c r="C118" s="5" t="s">
        <v>107</v>
      </c>
      <c r="D118" s="5" t="s">
        <v>19</v>
      </c>
      <c r="E118" s="7" t="s">
        <v>56</v>
      </c>
      <c r="F118" s="7">
        <v>901116</v>
      </c>
      <c r="G118" s="5" t="s">
        <v>201</v>
      </c>
      <c r="H118" s="7">
        <v>28010075</v>
      </c>
      <c r="I118" s="5" t="s">
        <v>202</v>
      </c>
      <c r="J118" s="5" t="s">
        <v>56</v>
      </c>
      <c r="K118" s="5" t="s">
        <v>59</v>
      </c>
      <c r="L118" s="5" t="s">
        <v>60</v>
      </c>
      <c r="M118" s="5"/>
      <c r="N118" s="6"/>
      <c r="O118" s="6"/>
    </row>
    <row r="119" spans="1:15">
      <c r="A119" s="5" t="s">
        <v>53</v>
      </c>
      <c r="B119" s="5" t="s">
        <v>30</v>
      </c>
      <c r="C119" s="5" t="s">
        <v>107</v>
      </c>
      <c r="D119" s="5" t="s">
        <v>19</v>
      </c>
      <c r="E119" s="7" t="s">
        <v>56</v>
      </c>
      <c r="F119" s="7">
        <v>901117</v>
      </c>
      <c r="G119" s="5" t="s">
        <v>203</v>
      </c>
      <c r="H119" s="7">
        <v>28010076</v>
      </c>
      <c r="I119" s="5" t="s">
        <v>204</v>
      </c>
      <c r="J119" s="5" t="s">
        <v>56</v>
      </c>
      <c r="K119" s="5" t="s">
        <v>59</v>
      </c>
      <c r="L119" s="5" t="s">
        <v>60</v>
      </c>
      <c r="M119" s="5"/>
      <c r="N119" s="6"/>
      <c r="O119" s="6"/>
    </row>
    <row r="120" spans="1:15">
      <c r="A120" s="5" t="s">
        <v>53</v>
      </c>
      <c r="B120" s="5" t="s">
        <v>54</v>
      </c>
      <c r="C120" s="5" t="s">
        <v>55</v>
      </c>
      <c r="D120" s="5" t="s">
        <v>28</v>
      </c>
      <c r="E120" s="7" t="s">
        <v>56</v>
      </c>
      <c r="F120" s="7">
        <v>901118</v>
      </c>
      <c r="G120" s="5" t="s">
        <v>199</v>
      </c>
      <c r="H120" s="7">
        <v>28010077</v>
      </c>
      <c r="I120" s="5" t="s">
        <v>205</v>
      </c>
      <c r="J120" s="5" t="s">
        <v>56</v>
      </c>
      <c r="K120" s="5" t="s">
        <v>59</v>
      </c>
      <c r="L120" s="5" t="s">
        <v>60</v>
      </c>
      <c r="M120" s="5"/>
      <c r="N120" s="6"/>
      <c r="O120" s="6"/>
    </row>
    <row r="121" spans="1:15">
      <c r="A121" s="5" t="s">
        <v>53</v>
      </c>
      <c r="B121" s="5" t="s">
        <v>54</v>
      </c>
      <c r="C121" s="5" t="s">
        <v>55</v>
      </c>
      <c r="D121" s="5" t="s">
        <v>28</v>
      </c>
      <c r="E121" s="7" t="s">
        <v>72</v>
      </c>
      <c r="F121" s="7">
        <v>901119</v>
      </c>
      <c r="G121" s="5" t="s">
        <v>199</v>
      </c>
      <c r="H121" s="7">
        <v>28010078</v>
      </c>
      <c r="I121" s="5" t="s">
        <v>206</v>
      </c>
      <c r="J121" s="5" t="s">
        <v>72</v>
      </c>
      <c r="K121" s="5" t="s">
        <v>59</v>
      </c>
      <c r="L121" s="5" t="s">
        <v>60</v>
      </c>
      <c r="M121" s="5"/>
      <c r="N121" s="6"/>
      <c r="O121" s="6"/>
    </row>
    <row r="122" spans="1:15">
      <c r="A122" s="5" t="s">
        <v>53</v>
      </c>
      <c r="B122" s="5" t="s">
        <v>29</v>
      </c>
      <c r="C122" s="5" t="s">
        <v>98</v>
      </c>
      <c r="D122" s="5" t="s">
        <v>22</v>
      </c>
      <c r="E122" s="7" t="s">
        <v>128</v>
      </c>
      <c r="F122" s="7">
        <v>901120</v>
      </c>
      <c r="G122" s="5" t="s">
        <v>135</v>
      </c>
      <c r="H122" s="7">
        <v>28010079</v>
      </c>
      <c r="I122" s="5" t="s">
        <v>207</v>
      </c>
      <c r="J122" s="5" t="s">
        <v>128</v>
      </c>
      <c r="K122" s="5" t="s">
        <v>59</v>
      </c>
      <c r="L122" s="5" t="s">
        <v>60</v>
      </c>
      <c r="M122" s="5"/>
      <c r="N122" s="6"/>
      <c r="O122" s="6"/>
    </row>
    <row r="123" spans="1:15">
      <c r="A123" s="5" t="s">
        <v>53</v>
      </c>
      <c r="B123" s="5" t="s">
        <v>29</v>
      </c>
      <c r="C123" s="5" t="s">
        <v>98</v>
      </c>
      <c r="D123" s="5" t="s">
        <v>22</v>
      </c>
      <c r="E123" s="7" t="s">
        <v>56</v>
      </c>
      <c r="F123" s="7">
        <v>901121</v>
      </c>
      <c r="G123" s="5" t="s">
        <v>135</v>
      </c>
      <c r="H123" s="7">
        <v>28010080</v>
      </c>
      <c r="I123" s="5" t="s">
        <v>208</v>
      </c>
      <c r="J123" s="5" t="s">
        <v>56</v>
      </c>
      <c r="K123" s="5" t="s">
        <v>59</v>
      </c>
      <c r="L123" s="5" t="s">
        <v>60</v>
      </c>
      <c r="M123" s="5"/>
      <c r="N123" s="6"/>
      <c r="O123" s="6"/>
    </row>
    <row r="124" spans="1:15">
      <c r="A124" s="5" t="s">
        <v>53</v>
      </c>
      <c r="B124" s="5" t="s">
        <v>29</v>
      </c>
      <c r="C124" s="5" t="s">
        <v>98</v>
      </c>
      <c r="D124" s="5" t="s">
        <v>22</v>
      </c>
      <c r="E124" s="7" t="s">
        <v>56</v>
      </c>
      <c r="F124" s="7">
        <v>901122</v>
      </c>
      <c r="G124" s="5" t="s">
        <v>135</v>
      </c>
      <c r="H124" s="7">
        <v>28010081</v>
      </c>
      <c r="I124" s="5" t="s">
        <v>209</v>
      </c>
      <c r="J124" s="5" t="s">
        <v>56</v>
      </c>
      <c r="K124" s="5" t="s">
        <v>59</v>
      </c>
      <c r="L124" s="5" t="s">
        <v>60</v>
      </c>
      <c r="M124" s="5"/>
      <c r="N124" s="6"/>
      <c r="O124" s="6"/>
    </row>
    <row r="125" spans="1:15">
      <c r="A125" s="5" t="s">
        <v>53</v>
      </c>
      <c r="B125" s="5" t="s">
        <v>29</v>
      </c>
      <c r="C125" s="5" t="s">
        <v>55</v>
      </c>
      <c r="D125" s="5" t="s">
        <v>14</v>
      </c>
      <c r="E125" s="7" t="s">
        <v>210</v>
      </c>
      <c r="F125" s="7">
        <v>901123</v>
      </c>
      <c r="G125" s="5" t="s">
        <v>211</v>
      </c>
      <c r="H125" s="7">
        <v>28010082</v>
      </c>
      <c r="I125" s="5" t="s">
        <v>212</v>
      </c>
      <c r="J125" s="5" t="s">
        <v>210</v>
      </c>
      <c r="K125" s="5" t="s">
        <v>59</v>
      </c>
      <c r="L125" s="5" t="s">
        <v>60</v>
      </c>
      <c r="M125" s="5"/>
      <c r="N125" s="6"/>
      <c r="O125" s="6"/>
    </row>
    <row r="126" spans="1:15">
      <c r="A126" s="5" t="s">
        <v>53</v>
      </c>
      <c r="B126" s="5" t="s">
        <v>31</v>
      </c>
      <c r="C126" s="5" t="s">
        <v>65</v>
      </c>
      <c r="D126" s="5" t="s">
        <v>10</v>
      </c>
      <c r="E126" s="7" t="s">
        <v>210</v>
      </c>
      <c r="F126" s="7">
        <v>901124</v>
      </c>
      <c r="G126" s="5" t="s">
        <v>213</v>
      </c>
      <c r="H126" s="7">
        <v>28010083</v>
      </c>
      <c r="I126" s="5" t="s">
        <v>214</v>
      </c>
      <c r="J126" s="5" t="s">
        <v>210</v>
      </c>
      <c r="K126" s="5" t="s">
        <v>59</v>
      </c>
      <c r="L126" s="5" t="s">
        <v>60</v>
      </c>
      <c r="M126" s="5"/>
      <c r="N126" s="6"/>
      <c r="O126" s="6"/>
    </row>
    <row r="127" spans="1:15">
      <c r="A127" s="5" t="s">
        <v>53</v>
      </c>
      <c r="B127" s="5" t="s">
        <v>30</v>
      </c>
      <c r="C127" s="5" t="s">
        <v>107</v>
      </c>
      <c r="D127" s="5" t="s">
        <v>19</v>
      </c>
      <c r="E127" s="7" t="s">
        <v>72</v>
      </c>
      <c r="F127" s="7">
        <v>901125</v>
      </c>
      <c r="G127" s="5" t="s">
        <v>215</v>
      </c>
      <c r="H127" s="7">
        <v>28010084</v>
      </c>
      <c r="I127" s="6" t="s">
        <v>216</v>
      </c>
      <c r="J127" s="5" t="s">
        <v>56</v>
      </c>
      <c r="K127" s="5" t="s">
        <v>59</v>
      </c>
      <c r="L127" s="5" t="s">
        <v>60</v>
      </c>
      <c r="M127" s="5"/>
      <c r="N127" s="6"/>
      <c r="O127" s="6"/>
    </row>
    <row r="128" spans="1:15">
      <c r="A128" s="5" t="s">
        <v>53</v>
      </c>
      <c r="B128" s="5" t="s">
        <v>30</v>
      </c>
      <c r="C128" s="5" t="s">
        <v>107</v>
      </c>
      <c r="D128" s="5" t="s">
        <v>19</v>
      </c>
      <c r="E128" s="7" t="s">
        <v>109</v>
      </c>
      <c r="F128" s="7">
        <v>901126</v>
      </c>
      <c r="G128" s="5" t="s">
        <v>217</v>
      </c>
      <c r="H128" s="7">
        <v>58010085</v>
      </c>
      <c r="I128" s="5" t="s">
        <v>218</v>
      </c>
      <c r="J128" s="5" t="s">
        <v>109</v>
      </c>
      <c r="K128" s="5" t="s">
        <v>59</v>
      </c>
      <c r="L128" s="5" t="s">
        <v>60</v>
      </c>
      <c r="M128" s="5"/>
      <c r="N128" s="6"/>
      <c r="O128" s="6"/>
    </row>
    <row r="129" spans="1:15">
      <c r="A129" s="5" t="s">
        <v>53</v>
      </c>
      <c r="B129" s="5" t="s">
        <v>54</v>
      </c>
      <c r="C129" s="5" t="s">
        <v>61</v>
      </c>
      <c r="D129" s="5" t="s">
        <v>16</v>
      </c>
      <c r="E129" s="7" t="s">
        <v>109</v>
      </c>
      <c r="F129" s="7">
        <v>901127</v>
      </c>
      <c r="G129" s="5" t="s">
        <v>217</v>
      </c>
      <c r="H129" s="7">
        <v>58010086</v>
      </c>
      <c r="I129" s="5" t="s">
        <v>219</v>
      </c>
      <c r="J129" s="5" t="s">
        <v>109</v>
      </c>
      <c r="K129" s="5" t="s">
        <v>59</v>
      </c>
      <c r="L129" s="5" t="s">
        <v>60</v>
      </c>
      <c r="M129" s="5"/>
      <c r="N129" s="6"/>
      <c r="O129" s="6"/>
    </row>
    <row r="130" spans="1:15">
      <c r="A130" s="5" t="s">
        <v>53</v>
      </c>
      <c r="B130" s="5" t="s">
        <v>64</v>
      </c>
      <c r="C130" s="5" t="s">
        <v>65</v>
      </c>
      <c r="D130" s="5" t="s">
        <v>17</v>
      </c>
      <c r="E130" s="7" t="s">
        <v>99</v>
      </c>
      <c r="F130" s="7">
        <v>901128</v>
      </c>
      <c r="G130" s="5" t="s">
        <v>220</v>
      </c>
      <c r="H130" s="7"/>
      <c r="I130" s="5"/>
      <c r="J130" s="5"/>
      <c r="K130" s="5"/>
      <c r="L130" s="5" t="s">
        <v>63</v>
      </c>
      <c r="M130" s="5"/>
      <c r="N130" s="6" t="s">
        <v>85</v>
      </c>
      <c r="O130" s="6"/>
    </row>
    <row r="131" spans="1:15">
      <c r="A131" s="5" t="s">
        <v>53</v>
      </c>
      <c r="B131" s="5" t="s">
        <v>29</v>
      </c>
      <c r="C131" s="5" t="s">
        <v>55</v>
      </c>
      <c r="D131" s="5" t="s">
        <v>14</v>
      </c>
      <c r="E131" s="7" t="s">
        <v>56</v>
      </c>
      <c r="F131" s="7">
        <v>901129</v>
      </c>
      <c r="G131" s="5" t="s">
        <v>221</v>
      </c>
      <c r="H131" s="7"/>
      <c r="I131" s="5"/>
      <c r="J131" s="5"/>
      <c r="K131" s="5"/>
      <c r="L131" s="5" t="s">
        <v>63</v>
      </c>
      <c r="M131" s="5"/>
      <c r="N131" s="6"/>
      <c r="O131" s="6"/>
    </row>
    <row r="132" spans="1:15">
      <c r="A132" s="5" t="s">
        <v>53</v>
      </c>
      <c r="B132" s="5" t="s">
        <v>30</v>
      </c>
      <c r="C132" s="5" t="s">
        <v>107</v>
      </c>
      <c r="D132" s="5" t="s">
        <v>19</v>
      </c>
      <c r="E132" s="7" t="s">
        <v>72</v>
      </c>
      <c r="F132" s="7">
        <v>901130</v>
      </c>
      <c r="G132" s="5" t="s">
        <v>157</v>
      </c>
      <c r="H132" s="7">
        <v>28010087</v>
      </c>
      <c r="I132" s="6" t="s">
        <v>222</v>
      </c>
      <c r="J132" s="5" t="s">
        <v>72</v>
      </c>
      <c r="K132" s="5" t="s">
        <v>59</v>
      </c>
      <c r="L132" s="5" t="s">
        <v>60</v>
      </c>
      <c r="M132" s="5"/>
      <c r="N132" s="6"/>
      <c r="O132" s="6"/>
    </row>
    <row r="133" spans="1:15">
      <c r="A133" s="5" t="s">
        <v>223</v>
      </c>
      <c r="B133" s="5" t="s">
        <v>54</v>
      </c>
      <c r="C133" s="5" t="s">
        <v>91</v>
      </c>
      <c r="D133" s="5" t="s">
        <v>20</v>
      </c>
      <c r="E133" s="7" t="s">
        <v>56</v>
      </c>
      <c r="F133" s="7">
        <v>901131</v>
      </c>
      <c r="G133" s="5" t="s">
        <v>118</v>
      </c>
      <c r="H133" s="7"/>
      <c r="I133" s="5"/>
      <c r="J133" s="5"/>
      <c r="K133" s="5"/>
      <c r="L133" s="5" t="s">
        <v>63</v>
      </c>
      <c r="M133" s="5"/>
      <c r="N133" s="6"/>
      <c r="O133" s="6"/>
    </row>
    <row r="134" spans="1:15">
      <c r="A134" s="5" t="s">
        <v>53</v>
      </c>
      <c r="B134" s="5" t="s">
        <v>30</v>
      </c>
      <c r="C134" s="5" t="s">
        <v>91</v>
      </c>
      <c r="D134" s="5" t="s">
        <v>24</v>
      </c>
      <c r="E134" s="7" t="s">
        <v>72</v>
      </c>
      <c r="F134" s="7">
        <v>901132</v>
      </c>
      <c r="G134" s="5" t="s">
        <v>224</v>
      </c>
      <c r="H134" s="7">
        <v>28010088</v>
      </c>
      <c r="I134" s="5" t="s">
        <v>225</v>
      </c>
      <c r="J134" s="5" t="s">
        <v>56</v>
      </c>
      <c r="K134" s="5" t="s">
        <v>59</v>
      </c>
      <c r="L134" s="5" t="s">
        <v>60</v>
      </c>
      <c r="M134" s="5"/>
      <c r="N134" s="6"/>
      <c r="O134" s="6"/>
    </row>
    <row r="135" spans="1:15">
      <c r="A135" s="5" t="s">
        <v>53</v>
      </c>
      <c r="B135" s="5" t="s">
        <v>30</v>
      </c>
      <c r="C135" s="5" t="s">
        <v>91</v>
      </c>
      <c r="D135" s="5" t="s">
        <v>24</v>
      </c>
      <c r="E135" s="7" t="s">
        <v>72</v>
      </c>
      <c r="F135" s="7">
        <v>901133</v>
      </c>
      <c r="G135" s="5" t="s">
        <v>226</v>
      </c>
      <c r="H135" s="7">
        <v>28010089</v>
      </c>
      <c r="I135" s="5" t="s">
        <v>227</v>
      </c>
      <c r="J135" s="5" t="s">
        <v>72</v>
      </c>
      <c r="K135" s="5" t="s">
        <v>59</v>
      </c>
      <c r="L135" s="5" t="s">
        <v>60</v>
      </c>
      <c r="M135" s="5"/>
      <c r="N135" s="6"/>
      <c r="O135" s="6"/>
    </row>
    <row r="136" spans="1:15">
      <c r="A136" s="5" t="s">
        <v>53</v>
      </c>
      <c r="B136" s="5" t="s">
        <v>30</v>
      </c>
      <c r="C136" s="5" t="s">
        <v>91</v>
      </c>
      <c r="D136" s="5" t="s">
        <v>24</v>
      </c>
      <c r="E136" s="7" t="s">
        <v>72</v>
      </c>
      <c r="F136" s="7">
        <v>901134</v>
      </c>
      <c r="G136" s="5" t="s">
        <v>228</v>
      </c>
      <c r="H136" s="7">
        <v>28010090</v>
      </c>
      <c r="I136" s="5" t="s">
        <v>229</v>
      </c>
      <c r="J136" s="5" t="s">
        <v>72</v>
      </c>
      <c r="K136" s="5" t="s">
        <v>59</v>
      </c>
      <c r="L136" s="5" t="s">
        <v>60</v>
      </c>
      <c r="M136" s="5"/>
      <c r="N136" s="6"/>
      <c r="O136" s="6"/>
    </row>
    <row r="137" spans="1:15">
      <c r="A137" s="5" t="s">
        <v>53</v>
      </c>
      <c r="B137" s="5" t="s">
        <v>30</v>
      </c>
      <c r="C137" s="5" t="s">
        <v>91</v>
      </c>
      <c r="D137" s="5" t="s">
        <v>24</v>
      </c>
      <c r="E137" s="7" t="s">
        <v>56</v>
      </c>
      <c r="F137" s="7">
        <v>901135</v>
      </c>
      <c r="G137" s="5" t="s">
        <v>230</v>
      </c>
      <c r="H137" s="7">
        <v>28010091</v>
      </c>
      <c r="I137" s="5" t="s">
        <v>231</v>
      </c>
      <c r="J137" s="5" t="s">
        <v>56</v>
      </c>
      <c r="K137" s="5" t="s">
        <v>59</v>
      </c>
      <c r="L137" s="5" t="s">
        <v>60</v>
      </c>
      <c r="M137" s="5"/>
      <c r="N137" s="6"/>
      <c r="O137" s="6"/>
    </row>
    <row r="138" spans="1:15">
      <c r="A138" s="5" t="s">
        <v>53</v>
      </c>
      <c r="B138" s="5" t="s">
        <v>30</v>
      </c>
      <c r="C138" s="5" t="s">
        <v>91</v>
      </c>
      <c r="D138" s="5" t="s">
        <v>24</v>
      </c>
      <c r="E138" s="7" t="s">
        <v>56</v>
      </c>
      <c r="F138" s="7">
        <v>901136</v>
      </c>
      <c r="G138" s="5" t="s">
        <v>232</v>
      </c>
      <c r="H138" s="7">
        <v>28010092</v>
      </c>
      <c r="I138" s="5" t="s">
        <v>233</v>
      </c>
      <c r="J138" s="5" t="s">
        <v>56</v>
      </c>
      <c r="K138" s="5" t="s">
        <v>59</v>
      </c>
      <c r="L138" s="5" t="s">
        <v>60</v>
      </c>
      <c r="M138" s="5"/>
      <c r="N138" s="6"/>
      <c r="O138" s="6"/>
    </row>
    <row r="139" spans="1:15">
      <c r="A139" s="5" t="s">
        <v>53</v>
      </c>
      <c r="B139" s="5" t="s">
        <v>30</v>
      </c>
      <c r="C139" s="5" t="s">
        <v>91</v>
      </c>
      <c r="D139" s="5" t="s">
        <v>24</v>
      </c>
      <c r="E139" s="7" t="s">
        <v>128</v>
      </c>
      <c r="F139" s="7">
        <v>901137</v>
      </c>
      <c r="G139" s="5" t="s">
        <v>234</v>
      </c>
      <c r="H139" s="7">
        <v>28010093</v>
      </c>
      <c r="I139" s="5" t="s">
        <v>235</v>
      </c>
      <c r="J139" s="5" t="s">
        <v>128</v>
      </c>
      <c r="K139" s="5" t="s">
        <v>59</v>
      </c>
      <c r="L139" s="5" t="s">
        <v>60</v>
      </c>
      <c r="M139" s="5"/>
      <c r="N139" s="6"/>
      <c r="O139" s="6"/>
    </row>
    <row r="140" spans="1:15">
      <c r="A140" s="5" t="s">
        <v>53</v>
      </c>
      <c r="B140" s="5" t="s">
        <v>30</v>
      </c>
      <c r="C140" s="5" t="s">
        <v>91</v>
      </c>
      <c r="D140" s="5" t="s">
        <v>24</v>
      </c>
      <c r="E140" s="7" t="s">
        <v>99</v>
      </c>
      <c r="F140" s="7">
        <v>901138</v>
      </c>
      <c r="G140" s="5" t="s">
        <v>236</v>
      </c>
      <c r="H140" s="7">
        <v>28010094</v>
      </c>
      <c r="I140" s="5" t="s">
        <v>237</v>
      </c>
      <c r="J140" s="5" t="s">
        <v>99</v>
      </c>
      <c r="K140" s="5" t="s">
        <v>59</v>
      </c>
      <c r="L140" s="5" t="s">
        <v>60</v>
      </c>
      <c r="M140" s="5"/>
      <c r="N140" s="6"/>
      <c r="O140" s="6"/>
    </row>
    <row r="141" spans="1:15">
      <c r="A141" s="5" t="s">
        <v>53</v>
      </c>
      <c r="B141" s="5" t="s">
        <v>54</v>
      </c>
      <c r="C141" s="5" t="s">
        <v>91</v>
      </c>
      <c r="D141" s="5" t="s">
        <v>23</v>
      </c>
      <c r="E141" s="7" t="s">
        <v>238</v>
      </c>
      <c r="F141" s="7">
        <v>90001139</v>
      </c>
      <c r="G141" s="5" t="s">
        <v>239</v>
      </c>
      <c r="H141" s="7">
        <v>28010095</v>
      </c>
      <c r="I141" s="5" t="s">
        <v>240</v>
      </c>
      <c r="J141" s="5" t="s">
        <v>238</v>
      </c>
      <c r="K141" s="5" t="s">
        <v>59</v>
      </c>
      <c r="L141" s="5" t="s">
        <v>60</v>
      </c>
      <c r="M141" s="5"/>
      <c r="N141" s="6"/>
      <c r="O141" s="6"/>
    </row>
    <row r="142" spans="1:15">
      <c r="A142" s="5" t="s">
        <v>53</v>
      </c>
      <c r="B142" s="5" t="s">
        <v>54</v>
      </c>
      <c r="C142" s="5" t="s">
        <v>107</v>
      </c>
      <c r="D142" s="5" t="s">
        <v>27</v>
      </c>
      <c r="E142" s="7" t="s">
        <v>210</v>
      </c>
      <c r="F142" s="7">
        <v>901140</v>
      </c>
      <c r="G142" s="5" t="s">
        <v>241</v>
      </c>
      <c r="H142" s="7">
        <v>28010096</v>
      </c>
      <c r="I142" s="5" t="s">
        <v>242</v>
      </c>
      <c r="J142" s="5" t="s">
        <v>210</v>
      </c>
      <c r="K142" s="5" t="s">
        <v>59</v>
      </c>
      <c r="L142" s="5" t="s">
        <v>60</v>
      </c>
      <c r="M142" s="5"/>
      <c r="N142" s="6"/>
      <c r="O142" s="6"/>
    </row>
    <row r="143" spans="1:15">
      <c r="A143" s="5" t="s">
        <v>53</v>
      </c>
      <c r="B143" s="5" t="s">
        <v>54</v>
      </c>
      <c r="C143" s="5" t="s">
        <v>102</v>
      </c>
      <c r="D143" s="5" t="s">
        <v>26</v>
      </c>
      <c r="E143" s="7" t="s">
        <v>69</v>
      </c>
      <c r="F143" s="7">
        <v>90001141</v>
      </c>
      <c r="G143" s="5" t="s">
        <v>243</v>
      </c>
      <c r="H143" s="7">
        <v>28010097</v>
      </c>
      <c r="I143" s="5" t="s">
        <v>244</v>
      </c>
      <c r="J143" s="5" t="s">
        <v>69</v>
      </c>
      <c r="K143" s="5" t="s">
        <v>59</v>
      </c>
      <c r="L143" s="5" t="s">
        <v>60</v>
      </c>
      <c r="M143" s="5"/>
      <c r="N143" s="6"/>
      <c r="O143" s="6"/>
    </row>
    <row r="144" spans="1:15">
      <c r="A144" s="5" t="s">
        <v>53</v>
      </c>
      <c r="B144" s="5" t="s">
        <v>54</v>
      </c>
      <c r="C144" s="5" t="s">
        <v>107</v>
      </c>
      <c r="D144" s="5" t="s">
        <v>27</v>
      </c>
      <c r="E144" s="7" t="s">
        <v>69</v>
      </c>
      <c r="F144" s="7">
        <v>90001142</v>
      </c>
      <c r="G144" s="5" t="s">
        <v>245</v>
      </c>
      <c r="H144" s="7">
        <v>28010098</v>
      </c>
      <c r="I144" s="5" t="s">
        <v>246</v>
      </c>
      <c r="J144" s="5" t="s">
        <v>69</v>
      </c>
      <c r="K144" s="5" t="s">
        <v>59</v>
      </c>
      <c r="L144" s="5" t="s">
        <v>60</v>
      </c>
      <c r="M144" s="5"/>
      <c r="N144" s="6"/>
      <c r="O144" s="6"/>
    </row>
    <row r="145" spans="1:15">
      <c r="A145" s="5" t="s">
        <v>53</v>
      </c>
      <c r="B145" s="5" t="s">
        <v>54</v>
      </c>
      <c r="C145" s="5" t="s">
        <v>91</v>
      </c>
      <c r="D145" s="5" t="s">
        <v>20</v>
      </c>
      <c r="E145" s="7" t="s">
        <v>69</v>
      </c>
      <c r="F145" s="7">
        <v>90001143</v>
      </c>
      <c r="G145" s="5" t="s">
        <v>247</v>
      </c>
      <c r="H145" s="7">
        <v>28010099</v>
      </c>
      <c r="I145" s="5" t="s">
        <v>248</v>
      </c>
      <c r="J145" s="5" t="s">
        <v>69</v>
      </c>
      <c r="K145" s="5" t="s">
        <v>59</v>
      </c>
      <c r="L145" s="5" t="s">
        <v>60</v>
      </c>
      <c r="M145" s="5"/>
      <c r="N145" s="6"/>
      <c r="O145" s="6"/>
    </row>
    <row r="146" spans="1:15">
      <c r="A146" s="5" t="s">
        <v>53</v>
      </c>
      <c r="B146" s="5" t="s">
        <v>54</v>
      </c>
      <c r="C146" s="5" t="s">
        <v>107</v>
      </c>
      <c r="D146" s="5" t="s">
        <v>27</v>
      </c>
      <c r="E146" s="7" t="s">
        <v>210</v>
      </c>
      <c r="F146" s="7">
        <v>901144</v>
      </c>
      <c r="G146" s="5" t="s">
        <v>249</v>
      </c>
      <c r="H146" s="7">
        <v>28010100</v>
      </c>
      <c r="I146" s="5" t="s">
        <v>250</v>
      </c>
      <c r="J146" s="5" t="s">
        <v>210</v>
      </c>
      <c r="K146" s="5" t="s">
        <v>59</v>
      </c>
      <c r="L146" s="5" t="s">
        <v>60</v>
      </c>
      <c r="M146" s="5"/>
      <c r="N146" s="6"/>
      <c r="O146" s="6"/>
    </row>
    <row r="147" spans="1:15">
      <c r="A147" s="5" t="s">
        <v>53</v>
      </c>
      <c r="B147" s="5" t="s">
        <v>54</v>
      </c>
      <c r="C147" s="5" t="s">
        <v>91</v>
      </c>
      <c r="D147" s="5" t="s">
        <v>25</v>
      </c>
      <c r="E147" s="7" t="s">
        <v>210</v>
      </c>
      <c r="F147" s="7">
        <v>90001145</v>
      </c>
      <c r="G147" s="5" t="s">
        <v>251</v>
      </c>
      <c r="H147" s="7">
        <v>28010101</v>
      </c>
      <c r="I147" s="5" t="s">
        <v>252</v>
      </c>
      <c r="J147" s="5" t="s">
        <v>69</v>
      </c>
      <c r="K147" s="5" t="s">
        <v>59</v>
      </c>
      <c r="L147" s="5" t="s">
        <v>60</v>
      </c>
      <c r="M147" s="5"/>
      <c r="N147" s="6"/>
      <c r="O147" s="6"/>
    </row>
    <row r="148" spans="1:15">
      <c r="A148" s="5" t="s">
        <v>53</v>
      </c>
      <c r="B148" s="5" t="s">
        <v>54</v>
      </c>
      <c r="C148" s="5" t="s">
        <v>107</v>
      </c>
      <c r="D148" s="5" t="s">
        <v>27</v>
      </c>
      <c r="E148" s="7" t="s">
        <v>210</v>
      </c>
      <c r="F148" s="7">
        <v>90001146</v>
      </c>
      <c r="G148" s="5" t="s">
        <v>253</v>
      </c>
      <c r="H148" s="7">
        <v>28010102</v>
      </c>
      <c r="I148" s="5" t="s">
        <v>254</v>
      </c>
      <c r="J148" s="5" t="s">
        <v>210</v>
      </c>
      <c r="K148" s="5" t="s">
        <v>59</v>
      </c>
      <c r="L148" s="5" t="s">
        <v>60</v>
      </c>
      <c r="M148" s="5"/>
      <c r="N148" s="6"/>
      <c r="O148" s="6"/>
    </row>
    <row r="149" spans="1:15">
      <c r="A149" s="5" t="s">
        <v>53</v>
      </c>
      <c r="B149" s="5" t="s">
        <v>54</v>
      </c>
      <c r="C149" s="5" t="s">
        <v>91</v>
      </c>
      <c r="D149" s="5" t="s">
        <v>22</v>
      </c>
      <c r="E149" s="7" t="s">
        <v>56</v>
      </c>
      <c r="F149" s="7">
        <v>901147</v>
      </c>
      <c r="G149" s="5" t="s">
        <v>131</v>
      </c>
      <c r="H149" s="7">
        <v>28010103</v>
      </c>
      <c r="I149" s="5" t="s">
        <v>255</v>
      </c>
      <c r="J149" s="5" t="s">
        <v>56</v>
      </c>
      <c r="K149" s="5" t="s">
        <v>59</v>
      </c>
      <c r="L149" s="5" t="s">
        <v>60</v>
      </c>
      <c r="M149" s="5"/>
      <c r="N149" s="6"/>
      <c r="O149" s="6"/>
    </row>
    <row r="150" spans="1:15">
      <c r="A150" s="5" t="s">
        <v>53</v>
      </c>
      <c r="B150" s="5" t="s">
        <v>54</v>
      </c>
      <c r="C150" s="5" t="s">
        <v>91</v>
      </c>
      <c r="D150" s="5" t="s">
        <v>22</v>
      </c>
      <c r="E150" s="7" t="s">
        <v>72</v>
      </c>
      <c r="F150" s="7">
        <v>901148</v>
      </c>
      <c r="G150" s="5" t="s">
        <v>197</v>
      </c>
      <c r="H150" s="7">
        <v>28010104</v>
      </c>
      <c r="I150" s="5" t="s">
        <v>256</v>
      </c>
      <c r="J150" s="5" t="s">
        <v>56</v>
      </c>
      <c r="K150" s="5" t="s">
        <v>59</v>
      </c>
      <c r="L150" s="5" t="s">
        <v>60</v>
      </c>
      <c r="M150" s="5"/>
      <c r="N150" s="6"/>
      <c r="O150" s="6"/>
    </row>
    <row r="151" spans="1:15">
      <c r="A151" s="5" t="s">
        <v>53</v>
      </c>
      <c r="B151" s="5" t="s">
        <v>54</v>
      </c>
      <c r="C151" s="5" t="s">
        <v>91</v>
      </c>
      <c r="D151" s="5" t="s">
        <v>22</v>
      </c>
      <c r="E151" s="7" t="s">
        <v>72</v>
      </c>
      <c r="F151" s="7">
        <v>901149</v>
      </c>
      <c r="G151" s="5" t="s">
        <v>197</v>
      </c>
      <c r="H151" s="7">
        <v>28010105</v>
      </c>
      <c r="I151" s="5" t="s">
        <v>257</v>
      </c>
      <c r="J151" s="5" t="s">
        <v>56</v>
      </c>
      <c r="K151" s="5" t="s">
        <v>59</v>
      </c>
      <c r="L151" s="5" t="s">
        <v>60</v>
      </c>
      <c r="M151" s="5"/>
      <c r="N151" s="6"/>
      <c r="O151" s="6"/>
    </row>
    <row r="152" spans="1:15">
      <c r="A152" s="5" t="s">
        <v>53</v>
      </c>
      <c r="B152" s="5" t="s">
        <v>54</v>
      </c>
      <c r="C152" s="5" t="s">
        <v>107</v>
      </c>
      <c r="D152" s="5" t="s">
        <v>27</v>
      </c>
      <c r="E152" s="7" t="s">
        <v>72</v>
      </c>
      <c r="F152" s="7">
        <v>901150</v>
      </c>
      <c r="G152" s="5" t="s">
        <v>197</v>
      </c>
      <c r="H152" s="7">
        <v>28010106</v>
      </c>
      <c r="I152" s="5" t="s">
        <v>258</v>
      </c>
      <c r="J152" s="5" t="s">
        <v>72</v>
      </c>
      <c r="K152" s="5" t="s">
        <v>59</v>
      </c>
      <c r="L152" s="5" t="s">
        <v>60</v>
      </c>
      <c r="M152" s="5"/>
      <c r="N152" s="6"/>
      <c r="O152" s="6"/>
    </row>
    <row r="153" spans="1:15">
      <c r="A153" s="5" t="s">
        <v>53</v>
      </c>
      <c r="B153" s="5" t="s">
        <v>54</v>
      </c>
      <c r="C153" s="5" t="s">
        <v>91</v>
      </c>
      <c r="D153" s="5" t="s">
        <v>22</v>
      </c>
      <c r="E153" s="7" t="s">
        <v>99</v>
      </c>
      <c r="F153" s="7">
        <v>901151</v>
      </c>
      <c r="G153" s="5" t="s">
        <v>131</v>
      </c>
      <c r="H153" s="7">
        <v>28010107</v>
      </c>
      <c r="I153" s="5" t="s">
        <v>259</v>
      </c>
      <c r="J153" s="5" t="s">
        <v>99</v>
      </c>
      <c r="K153" s="5" t="s">
        <v>59</v>
      </c>
      <c r="L153" s="5" t="s">
        <v>60</v>
      </c>
      <c r="M153" s="5"/>
      <c r="N153" s="6"/>
      <c r="O153" s="6"/>
    </row>
    <row r="154" spans="1:15">
      <c r="A154" s="5" t="s">
        <v>53</v>
      </c>
      <c r="B154" s="5" t="s">
        <v>54</v>
      </c>
      <c r="C154" s="5" t="s">
        <v>96</v>
      </c>
      <c r="D154" s="5" t="s">
        <v>19</v>
      </c>
      <c r="E154" s="7" t="s">
        <v>210</v>
      </c>
      <c r="F154" s="7">
        <v>90001152</v>
      </c>
      <c r="G154" s="5" t="s">
        <v>260</v>
      </c>
      <c r="H154" s="7">
        <v>28010108</v>
      </c>
      <c r="I154" s="5" t="s">
        <v>261</v>
      </c>
      <c r="J154" s="5" t="s">
        <v>210</v>
      </c>
      <c r="K154" s="5" t="s">
        <v>59</v>
      </c>
      <c r="L154" s="5" t="s">
        <v>60</v>
      </c>
      <c r="M154" s="5"/>
      <c r="N154" s="6"/>
      <c r="O154" s="6"/>
    </row>
    <row r="155" spans="1:15">
      <c r="A155" s="5" t="s">
        <v>53</v>
      </c>
      <c r="B155" s="5" t="s">
        <v>54</v>
      </c>
      <c r="C155" s="5" t="s">
        <v>107</v>
      </c>
      <c r="D155" s="5" t="s">
        <v>27</v>
      </c>
      <c r="E155" s="7" t="s">
        <v>210</v>
      </c>
      <c r="F155" s="7">
        <v>90001153</v>
      </c>
      <c r="G155" s="5" t="s">
        <v>262</v>
      </c>
      <c r="H155" s="7">
        <v>28010109</v>
      </c>
      <c r="I155" s="5" t="s">
        <v>263</v>
      </c>
      <c r="J155" s="5" t="s">
        <v>210</v>
      </c>
      <c r="K155" s="5" t="s">
        <v>59</v>
      </c>
      <c r="L155" s="5" t="s">
        <v>60</v>
      </c>
      <c r="M155" s="5"/>
      <c r="N155" s="6"/>
      <c r="O155" s="6"/>
    </row>
    <row r="156" spans="1:15">
      <c r="A156" s="5" t="s">
        <v>53</v>
      </c>
      <c r="B156" s="5" t="s">
        <v>54</v>
      </c>
      <c r="C156" s="5" t="s">
        <v>55</v>
      </c>
      <c r="D156" s="5" t="s">
        <v>28</v>
      </c>
      <c r="E156" s="7" t="s">
        <v>99</v>
      </c>
      <c r="F156" s="7">
        <v>90001154</v>
      </c>
      <c r="G156" s="5" t="s">
        <v>264</v>
      </c>
      <c r="H156" s="7">
        <v>28010110</v>
      </c>
      <c r="I156" s="5" t="s">
        <v>265</v>
      </c>
      <c r="J156" s="5" t="s">
        <v>99</v>
      </c>
      <c r="K156" s="5" t="s">
        <v>59</v>
      </c>
      <c r="L156" s="5" t="s">
        <v>60</v>
      </c>
      <c r="M156" s="5"/>
      <c r="N156" s="6"/>
      <c r="O156" s="6"/>
    </row>
    <row r="157" spans="1:15">
      <c r="A157" s="5" t="s">
        <v>53</v>
      </c>
      <c r="B157" s="5" t="s">
        <v>54</v>
      </c>
      <c r="C157" s="5" t="s">
        <v>107</v>
      </c>
      <c r="D157" s="5" t="s">
        <v>27</v>
      </c>
      <c r="E157" s="7" t="s">
        <v>99</v>
      </c>
      <c r="F157" s="7">
        <v>90001155</v>
      </c>
      <c r="G157" s="5" t="s">
        <v>266</v>
      </c>
      <c r="H157" s="7"/>
      <c r="I157" s="5"/>
      <c r="J157" s="5"/>
      <c r="K157" s="5"/>
      <c r="L157" s="5" t="s">
        <v>63</v>
      </c>
      <c r="M157" s="5"/>
      <c r="N157" s="6" t="s">
        <v>85</v>
      </c>
      <c r="O157" s="6"/>
    </row>
    <row r="158" spans="1:15">
      <c r="A158" s="5" t="s">
        <v>53</v>
      </c>
      <c r="B158" s="5" t="s">
        <v>29</v>
      </c>
      <c r="C158" s="5" t="s">
        <v>55</v>
      </c>
      <c r="D158" s="5" t="s">
        <v>14</v>
      </c>
      <c r="E158" s="7" t="s">
        <v>99</v>
      </c>
      <c r="F158" s="7">
        <v>901156</v>
      </c>
      <c r="G158" s="5" t="s">
        <v>267</v>
      </c>
      <c r="H158" s="7">
        <v>28010111</v>
      </c>
      <c r="I158" s="5" t="s">
        <v>268</v>
      </c>
      <c r="J158" s="5" t="s">
        <v>99</v>
      </c>
      <c r="K158" s="5" t="s">
        <v>59</v>
      </c>
      <c r="L158" s="5" t="s">
        <v>60</v>
      </c>
      <c r="M158" s="5"/>
      <c r="N158" s="6"/>
      <c r="O158" s="6"/>
    </row>
    <row r="159" spans="1:15">
      <c r="A159" s="5" t="s">
        <v>53</v>
      </c>
      <c r="B159" s="5" t="s">
        <v>54</v>
      </c>
      <c r="C159" s="5" t="s">
        <v>102</v>
      </c>
      <c r="D159" s="5" t="s">
        <v>26</v>
      </c>
      <c r="E159" s="7" t="s">
        <v>99</v>
      </c>
      <c r="F159" s="7">
        <v>90001157</v>
      </c>
      <c r="G159" s="5" t="s">
        <v>262</v>
      </c>
      <c r="H159" s="7">
        <v>28010112</v>
      </c>
      <c r="I159" s="5" t="s">
        <v>269</v>
      </c>
      <c r="J159" s="5" t="s">
        <v>99</v>
      </c>
      <c r="K159" s="5" t="s">
        <v>59</v>
      </c>
      <c r="L159" s="5" t="s">
        <v>60</v>
      </c>
      <c r="M159" s="5"/>
      <c r="N159" s="6"/>
      <c r="O159" s="6"/>
    </row>
    <row r="160" spans="1:15">
      <c r="A160" s="5" t="s">
        <v>53</v>
      </c>
      <c r="B160" s="5" t="s">
        <v>54</v>
      </c>
      <c r="C160" s="5" t="s">
        <v>107</v>
      </c>
      <c r="D160" s="5" t="s">
        <v>27</v>
      </c>
      <c r="E160" s="7" t="s">
        <v>128</v>
      </c>
      <c r="F160" s="7">
        <v>90001158</v>
      </c>
      <c r="G160" s="5" t="s">
        <v>270</v>
      </c>
      <c r="H160" s="7">
        <v>28010113</v>
      </c>
      <c r="I160" s="6" t="s">
        <v>271</v>
      </c>
      <c r="J160" s="5" t="s">
        <v>128</v>
      </c>
      <c r="K160" s="5" t="s">
        <v>59</v>
      </c>
      <c r="L160" s="5" t="s">
        <v>60</v>
      </c>
      <c r="M160" s="5"/>
      <c r="N160" s="6" t="s">
        <v>85</v>
      </c>
      <c r="O160" s="6"/>
    </row>
    <row r="161" spans="1:15">
      <c r="A161" s="5" t="s">
        <v>53</v>
      </c>
      <c r="B161" s="5" t="s">
        <v>54</v>
      </c>
      <c r="C161" s="5" t="s">
        <v>55</v>
      </c>
      <c r="D161" s="5" t="s">
        <v>28</v>
      </c>
      <c r="E161" s="7" t="s">
        <v>99</v>
      </c>
      <c r="F161" s="7">
        <v>90001159</v>
      </c>
      <c r="G161" s="5" t="s">
        <v>272</v>
      </c>
      <c r="H161" s="7">
        <v>28010114</v>
      </c>
      <c r="I161" s="5" t="s">
        <v>273</v>
      </c>
      <c r="J161" s="5" t="s">
        <v>99</v>
      </c>
      <c r="K161" s="5" t="s">
        <v>59</v>
      </c>
      <c r="L161" s="5" t="s">
        <v>60</v>
      </c>
      <c r="M161" s="5"/>
      <c r="N161" s="6"/>
      <c r="O161" s="6"/>
    </row>
    <row r="162" spans="1:15">
      <c r="A162" s="5" t="s">
        <v>53</v>
      </c>
      <c r="B162" s="5" t="s">
        <v>54</v>
      </c>
      <c r="C162" s="5" t="s">
        <v>107</v>
      </c>
      <c r="D162" s="5" t="s">
        <v>27</v>
      </c>
      <c r="E162" s="7" t="s">
        <v>99</v>
      </c>
      <c r="F162" s="7">
        <v>90001160</v>
      </c>
      <c r="G162" s="5" t="s">
        <v>274</v>
      </c>
      <c r="H162" s="7">
        <v>28010115</v>
      </c>
      <c r="I162" s="5" t="s">
        <v>275</v>
      </c>
      <c r="J162" s="5" t="s">
        <v>99</v>
      </c>
      <c r="K162" s="5" t="s">
        <v>59</v>
      </c>
      <c r="L162" s="5" t="s">
        <v>60</v>
      </c>
      <c r="M162" s="5"/>
      <c r="N162" s="6"/>
      <c r="O162" s="6"/>
    </row>
    <row r="163" spans="1:15">
      <c r="A163" s="5" t="s">
        <v>53</v>
      </c>
      <c r="B163" s="5" t="s">
        <v>54</v>
      </c>
      <c r="C163" s="5" t="s">
        <v>107</v>
      </c>
      <c r="D163" s="5" t="s">
        <v>27</v>
      </c>
      <c r="E163" s="7" t="s">
        <v>99</v>
      </c>
      <c r="F163" s="7">
        <v>90001161</v>
      </c>
      <c r="G163" s="5" t="s">
        <v>276</v>
      </c>
      <c r="H163" s="7">
        <v>28010116</v>
      </c>
      <c r="I163" s="5" t="s">
        <v>277</v>
      </c>
      <c r="J163" s="5" t="s">
        <v>99</v>
      </c>
      <c r="K163" s="5" t="s">
        <v>59</v>
      </c>
      <c r="L163" s="5" t="s">
        <v>60</v>
      </c>
      <c r="M163" s="5"/>
      <c r="N163" s="6"/>
      <c r="O163" s="6"/>
    </row>
    <row r="164" spans="1:15">
      <c r="A164" s="5" t="s">
        <v>53</v>
      </c>
      <c r="B164" s="5" t="s">
        <v>54</v>
      </c>
      <c r="C164" s="5" t="s">
        <v>91</v>
      </c>
      <c r="D164" s="5" t="s">
        <v>25</v>
      </c>
      <c r="E164" s="7" t="s">
        <v>128</v>
      </c>
      <c r="F164" s="7">
        <v>90001162</v>
      </c>
      <c r="G164" s="5" t="s">
        <v>262</v>
      </c>
      <c r="H164" s="7">
        <v>28010117</v>
      </c>
      <c r="I164" s="5" t="s">
        <v>278</v>
      </c>
      <c r="J164" s="5" t="s">
        <v>99</v>
      </c>
      <c r="K164" s="5" t="s">
        <v>59</v>
      </c>
      <c r="L164" s="5" t="s">
        <v>60</v>
      </c>
      <c r="M164" s="5"/>
      <c r="N164" s="6"/>
      <c r="O164" s="6"/>
    </row>
    <row r="165" spans="1:15">
      <c r="A165" s="5" t="s">
        <v>53</v>
      </c>
      <c r="B165" s="5" t="s">
        <v>54</v>
      </c>
      <c r="C165" s="5" t="s">
        <v>91</v>
      </c>
      <c r="D165" s="5" t="s">
        <v>25</v>
      </c>
      <c r="E165" s="7" t="s">
        <v>99</v>
      </c>
      <c r="F165" s="7">
        <v>90001163</v>
      </c>
      <c r="G165" s="5" t="s">
        <v>262</v>
      </c>
      <c r="H165" s="7">
        <v>28010118</v>
      </c>
      <c r="I165" s="5" t="s">
        <v>279</v>
      </c>
      <c r="J165" s="5" t="s">
        <v>99</v>
      </c>
      <c r="K165" s="5" t="s">
        <v>59</v>
      </c>
      <c r="L165" s="5" t="s">
        <v>60</v>
      </c>
      <c r="M165" s="5"/>
      <c r="N165" s="6"/>
      <c r="O165" s="6"/>
    </row>
    <row r="166" spans="1:15">
      <c r="A166" s="5" t="s">
        <v>53</v>
      </c>
      <c r="B166" s="5" t="s">
        <v>54</v>
      </c>
      <c r="C166" s="5" t="s">
        <v>102</v>
      </c>
      <c r="D166" s="5" t="s">
        <v>26</v>
      </c>
      <c r="E166" s="7" t="s">
        <v>99</v>
      </c>
      <c r="F166" s="7">
        <v>901164</v>
      </c>
      <c r="G166" s="5" t="s">
        <v>280</v>
      </c>
      <c r="H166" s="7">
        <v>28010119</v>
      </c>
      <c r="I166" s="5" t="s">
        <v>281</v>
      </c>
      <c r="J166" s="5" t="s">
        <v>210</v>
      </c>
      <c r="K166" s="5" t="s">
        <v>59</v>
      </c>
      <c r="L166" s="5" t="s">
        <v>60</v>
      </c>
      <c r="M166" s="5"/>
      <c r="N166" s="6"/>
      <c r="O166" s="6"/>
    </row>
    <row r="167" spans="1:15">
      <c r="A167" s="5" t="s">
        <v>53</v>
      </c>
      <c r="B167" s="5" t="s">
        <v>54</v>
      </c>
      <c r="C167" s="5" t="s">
        <v>102</v>
      </c>
      <c r="D167" s="5" t="s">
        <v>26</v>
      </c>
      <c r="E167" s="7" t="s">
        <v>99</v>
      </c>
      <c r="F167" s="7">
        <v>90001165</v>
      </c>
      <c r="G167" s="5" t="s">
        <v>282</v>
      </c>
      <c r="H167" s="7">
        <v>28010120</v>
      </c>
      <c r="I167" s="5" t="s">
        <v>283</v>
      </c>
      <c r="J167" s="5" t="s">
        <v>99</v>
      </c>
      <c r="K167" s="5" t="s">
        <v>59</v>
      </c>
      <c r="L167" s="5" t="s">
        <v>60</v>
      </c>
      <c r="M167" s="5"/>
      <c r="N167" s="6"/>
      <c r="O167" s="6"/>
    </row>
    <row r="168" spans="1:15">
      <c r="A168" s="5" t="s">
        <v>53</v>
      </c>
      <c r="B168" s="5" t="s">
        <v>54</v>
      </c>
      <c r="C168" s="5" t="s">
        <v>91</v>
      </c>
      <c r="D168" s="5" t="s">
        <v>21</v>
      </c>
      <c r="E168" s="7" t="s">
        <v>99</v>
      </c>
      <c r="F168" s="7">
        <v>90001166</v>
      </c>
      <c r="G168" s="5" t="s">
        <v>160</v>
      </c>
      <c r="H168" s="7">
        <v>28010121</v>
      </c>
      <c r="I168" s="5" t="s">
        <v>284</v>
      </c>
      <c r="J168" s="5" t="s">
        <v>99</v>
      </c>
      <c r="K168" s="5" t="s">
        <v>59</v>
      </c>
      <c r="L168" s="5" t="s">
        <v>60</v>
      </c>
      <c r="M168" s="5"/>
      <c r="N168" s="6"/>
      <c r="O168" s="6"/>
    </row>
    <row r="169" spans="1:15">
      <c r="A169" s="5" t="s">
        <v>53</v>
      </c>
      <c r="B169" s="5" t="s">
        <v>54</v>
      </c>
      <c r="C169" s="5" t="s">
        <v>91</v>
      </c>
      <c r="D169" s="5" t="s">
        <v>20</v>
      </c>
      <c r="E169" s="7" t="s">
        <v>99</v>
      </c>
      <c r="F169" s="7">
        <v>901167</v>
      </c>
      <c r="G169" s="5" t="s">
        <v>285</v>
      </c>
      <c r="H169" s="7">
        <v>28010122</v>
      </c>
      <c r="I169" s="5" t="s">
        <v>286</v>
      </c>
      <c r="J169" s="5" t="s">
        <v>99</v>
      </c>
      <c r="K169" s="5" t="s">
        <v>59</v>
      </c>
      <c r="L169" s="5" t="s">
        <v>60</v>
      </c>
      <c r="M169" s="5"/>
      <c r="N169" s="6"/>
      <c r="O169" s="6"/>
    </row>
    <row r="170" spans="1:15">
      <c r="A170" s="5" t="s">
        <v>53</v>
      </c>
      <c r="B170" s="5" t="s">
        <v>54</v>
      </c>
      <c r="C170" s="5" t="s">
        <v>91</v>
      </c>
      <c r="D170" s="5" t="s">
        <v>21</v>
      </c>
      <c r="E170" s="7" t="s">
        <v>99</v>
      </c>
      <c r="F170" s="7">
        <v>90001168</v>
      </c>
      <c r="G170" s="5" t="s">
        <v>287</v>
      </c>
      <c r="H170" s="7">
        <v>28010123</v>
      </c>
      <c r="I170" s="5" t="s">
        <v>288</v>
      </c>
      <c r="J170" s="5" t="s">
        <v>99</v>
      </c>
      <c r="K170" s="5" t="s">
        <v>59</v>
      </c>
      <c r="L170" s="5" t="s">
        <v>60</v>
      </c>
      <c r="M170" s="5"/>
      <c r="N170" s="6"/>
      <c r="O170" s="6"/>
    </row>
    <row r="171" spans="1:15">
      <c r="A171" s="5" t="s">
        <v>53</v>
      </c>
      <c r="B171" s="5" t="s">
        <v>54</v>
      </c>
      <c r="C171" s="5" t="s">
        <v>91</v>
      </c>
      <c r="D171" s="5" t="s">
        <v>21</v>
      </c>
      <c r="E171" s="7" t="s">
        <v>128</v>
      </c>
      <c r="F171" s="7">
        <v>901169</v>
      </c>
      <c r="G171" s="5" t="s">
        <v>280</v>
      </c>
      <c r="H171" s="7">
        <v>28010124</v>
      </c>
      <c r="I171" s="5" t="s">
        <v>289</v>
      </c>
      <c r="J171" s="5" t="s">
        <v>128</v>
      </c>
      <c r="K171" s="5" t="s">
        <v>59</v>
      </c>
      <c r="L171" s="5" t="s">
        <v>60</v>
      </c>
      <c r="M171" s="5"/>
      <c r="N171" s="6"/>
      <c r="O171" s="6"/>
    </row>
    <row r="172" spans="1:15">
      <c r="A172" s="5" t="s">
        <v>53</v>
      </c>
      <c r="B172" s="5" t="s">
        <v>54</v>
      </c>
      <c r="C172" s="5" t="s">
        <v>107</v>
      </c>
      <c r="D172" s="5" t="s">
        <v>27</v>
      </c>
      <c r="E172" s="7" t="s">
        <v>128</v>
      </c>
      <c r="F172" s="7">
        <v>901170</v>
      </c>
      <c r="G172" s="5" t="s">
        <v>131</v>
      </c>
      <c r="H172" s="7">
        <v>28010125</v>
      </c>
      <c r="I172" s="5" t="s">
        <v>290</v>
      </c>
      <c r="J172" s="5" t="s">
        <v>128</v>
      </c>
      <c r="K172" s="5" t="s">
        <v>59</v>
      </c>
      <c r="L172" s="5" t="s">
        <v>60</v>
      </c>
      <c r="M172" s="5"/>
      <c r="N172" s="6"/>
      <c r="O172" s="6"/>
    </row>
    <row r="173" spans="1:15">
      <c r="A173" s="5" t="s">
        <v>53</v>
      </c>
      <c r="B173" s="5" t="s">
        <v>54</v>
      </c>
      <c r="C173" s="5" t="s">
        <v>91</v>
      </c>
      <c r="D173" s="5" t="s">
        <v>25</v>
      </c>
      <c r="E173" s="7" t="s">
        <v>128</v>
      </c>
      <c r="F173" s="7">
        <v>90001171</v>
      </c>
      <c r="G173" s="5" t="s">
        <v>131</v>
      </c>
      <c r="H173" s="7">
        <v>28010126</v>
      </c>
      <c r="I173" s="5" t="s">
        <v>291</v>
      </c>
      <c r="J173" s="5" t="s">
        <v>128</v>
      </c>
      <c r="K173" s="5" t="s">
        <v>59</v>
      </c>
      <c r="L173" s="5" t="s">
        <v>60</v>
      </c>
      <c r="M173" s="5"/>
      <c r="N173" s="6"/>
      <c r="O173" s="6"/>
    </row>
    <row r="174" spans="1:15">
      <c r="A174" s="5" t="s">
        <v>53</v>
      </c>
      <c r="B174" s="5" t="s">
        <v>54</v>
      </c>
      <c r="C174" s="5" t="s">
        <v>91</v>
      </c>
      <c r="D174" s="5" t="s">
        <v>20</v>
      </c>
      <c r="E174" s="7" t="s">
        <v>128</v>
      </c>
      <c r="F174" s="7">
        <v>901172</v>
      </c>
      <c r="G174" s="5" t="s">
        <v>186</v>
      </c>
      <c r="H174" s="7">
        <v>28010127</v>
      </c>
      <c r="I174" s="5" t="s">
        <v>292</v>
      </c>
      <c r="J174" s="5" t="s">
        <v>128</v>
      </c>
      <c r="K174" s="5" t="s">
        <v>59</v>
      </c>
      <c r="L174" s="5" t="s">
        <v>60</v>
      </c>
      <c r="M174" s="5"/>
      <c r="N174" s="6"/>
      <c r="O174" s="6"/>
    </row>
    <row r="175" spans="1:15">
      <c r="A175" s="5" t="s">
        <v>53</v>
      </c>
      <c r="B175" s="5" t="s">
        <v>54</v>
      </c>
      <c r="C175" s="5" t="s">
        <v>91</v>
      </c>
      <c r="D175" s="5" t="s">
        <v>25</v>
      </c>
      <c r="E175" s="7" t="s">
        <v>128</v>
      </c>
      <c r="F175" s="7">
        <v>90001173</v>
      </c>
      <c r="G175" s="5" t="s">
        <v>293</v>
      </c>
      <c r="H175" s="7">
        <v>28010128</v>
      </c>
      <c r="I175" s="5" t="s">
        <v>294</v>
      </c>
      <c r="J175" s="5" t="s">
        <v>128</v>
      </c>
      <c r="K175" s="5" t="s">
        <v>59</v>
      </c>
      <c r="L175" s="5" t="s">
        <v>60</v>
      </c>
      <c r="M175" s="5"/>
      <c r="N175" s="6"/>
      <c r="O175" s="6"/>
    </row>
    <row r="176" spans="1:15">
      <c r="A176" s="5" t="s">
        <v>53</v>
      </c>
      <c r="B176" s="5" t="s">
        <v>54</v>
      </c>
      <c r="C176" s="5" t="s">
        <v>107</v>
      </c>
      <c r="D176" s="5" t="s">
        <v>27</v>
      </c>
      <c r="E176" s="7" t="s">
        <v>128</v>
      </c>
      <c r="F176" s="7">
        <v>901174</v>
      </c>
      <c r="G176" s="5" t="s">
        <v>249</v>
      </c>
      <c r="H176" s="7">
        <v>28010129</v>
      </c>
      <c r="I176" s="5" t="s">
        <v>295</v>
      </c>
      <c r="J176" s="5" t="s">
        <v>128</v>
      </c>
      <c r="K176" s="5" t="s">
        <v>59</v>
      </c>
      <c r="L176" s="5" t="s">
        <v>60</v>
      </c>
      <c r="M176" s="5"/>
      <c r="N176" s="6"/>
      <c r="O176" s="6"/>
    </row>
    <row r="177" spans="1:15">
      <c r="A177" s="5" t="s">
        <v>53</v>
      </c>
      <c r="B177" s="5" t="s">
        <v>54</v>
      </c>
      <c r="C177" s="5" t="s">
        <v>55</v>
      </c>
      <c r="D177" s="5" t="s">
        <v>28</v>
      </c>
      <c r="E177" s="7" t="s">
        <v>128</v>
      </c>
      <c r="F177" s="7">
        <v>901175</v>
      </c>
      <c r="G177" s="5" t="s">
        <v>296</v>
      </c>
      <c r="H177" s="7">
        <v>28010130</v>
      </c>
      <c r="I177" s="5" t="s">
        <v>297</v>
      </c>
      <c r="J177" s="5" t="s">
        <v>128</v>
      </c>
      <c r="K177" s="5" t="s">
        <v>59</v>
      </c>
      <c r="L177" s="5" t="s">
        <v>60</v>
      </c>
      <c r="M177" s="5"/>
      <c r="N177" s="6"/>
      <c r="O177" s="6"/>
    </row>
    <row r="178" spans="1:15">
      <c r="A178" s="5" t="s">
        <v>53</v>
      </c>
      <c r="B178" s="5" t="s">
        <v>54</v>
      </c>
      <c r="C178" s="5" t="s">
        <v>102</v>
      </c>
      <c r="D178" s="5" t="s">
        <v>26</v>
      </c>
      <c r="E178" s="7" t="s">
        <v>128</v>
      </c>
      <c r="F178" s="7">
        <v>90001176</v>
      </c>
      <c r="G178" s="5" t="s">
        <v>298</v>
      </c>
      <c r="H178" s="7">
        <v>28010131</v>
      </c>
      <c r="I178" s="5" t="s">
        <v>299</v>
      </c>
      <c r="J178" s="5" t="s">
        <v>128</v>
      </c>
      <c r="K178" s="5" t="s">
        <v>59</v>
      </c>
      <c r="L178" s="5" t="s">
        <v>60</v>
      </c>
      <c r="M178" s="5"/>
      <c r="N178" s="6"/>
      <c r="O178" s="6"/>
    </row>
    <row r="179" spans="1:15">
      <c r="A179" s="5" t="s">
        <v>53</v>
      </c>
      <c r="B179" s="5" t="s">
        <v>54</v>
      </c>
      <c r="C179" s="5" t="s">
        <v>80</v>
      </c>
      <c r="D179" s="5" t="s">
        <v>21</v>
      </c>
      <c r="E179" s="7" t="s">
        <v>128</v>
      </c>
      <c r="F179" s="7">
        <v>90001177</v>
      </c>
      <c r="G179" s="5" t="s">
        <v>300</v>
      </c>
      <c r="H179" s="7">
        <v>28010132</v>
      </c>
      <c r="I179" s="5" t="s">
        <v>301</v>
      </c>
      <c r="J179" s="5" t="s">
        <v>128</v>
      </c>
      <c r="K179" s="5" t="s">
        <v>59</v>
      </c>
      <c r="L179" s="5" t="s">
        <v>60</v>
      </c>
      <c r="M179" s="5"/>
      <c r="N179" s="6"/>
      <c r="O179" s="6"/>
    </row>
    <row r="180" spans="1:15">
      <c r="A180" s="5" t="s">
        <v>53</v>
      </c>
      <c r="B180" s="5" t="s">
        <v>54</v>
      </c>
      <c r="C180" s="5" t="s">
        <v>80</v>
      </c>
      <c r="D180" s="5" t="s">
        <v>21</v>
      </c>
      <c r="E180" s="7" t="s">
        <v>128</v>
      </c>
      <c r="F180" s="7">
        <v>901178</v>
      </c>
      <c r="G180" s="5" t="s">
        <v>302</v>
      </c>
      <c r="H180" s="7">
        <v>28010133</v>
      </c>
      <c r="I180" s="5" t="s">
        <v>219</v>
      </c>
      <c r="J180" s="5" t="s">
        <v>128</v>
      </c>
      <c r="K180" s="5" t="s">
        <v>59</v>
      </c>
      <c r="L180" s="5" t="s">
        <v>60</v>
      </c>
      <c r="M180" s="5"/>
      <c r="N180" s="6"/>
      <c r="O180" s="6"/>
    </row>
    <row r="181" spans="1:15">
      <c r="A181" s="5" t="s">
        <v>53</v>
      </c>
      <c r="B181" s="5" t="s">
        <v>54</v>
      </c>
      <c r="C181" s="5" t="s">
        <v>55</v>
      </c>
      <c r="D181" s="5" t="s">
        <v>28</v>
      </c>
      <c r="E181" s="7" t="s">
        <v>128</v>
      </c>
      <c r="F181" s="7">
        <v>901179</v>
      </c>
      <c r="G181" s="5" t="s">
        <v>264</v>
      </c>
      <c r="H181" s="7">
        <v>28010134</v>
      </c>
      <c r="I181" s="5" t="s">
        <v>303</v>
      </c>
      <c r="J181" s="5" t="s">
        <v>128</v>
      </c>
      <c r="K181" s="5" t="s">
        <v>59</v>
      </c>
      <c r="L181" s="5" t="s">
        <v>60</v>
      </c>
      <c r="M181" s="5"/>
      <c r="N181" s="6"/>
      <c r="O181" s="6"/>
    </row>
    <row r="182" spans="1:15">
      <c r="A182" s="5" t="s">
        <v>53</v>
      </c>
      <c r="B182" s="5" t="s">
        <v>54</v>
      </c>
      <c r="C182" s="5" t="s">
        <v>55</v>
      </c>
      <c r="D182" s="5" t="s">
        <v>28</v>
      </c>
      <c r="E182" s="7" t="s">
        <v>128</v>
      </c>
      <c r="F182" s="7">
        <v>90001180</v>
      </c>
      <c r="G182" s="5" t="s">
        <v>264</v>
      </c>
      <c r="H182" s="7">
        <v>28010135</v>
      </c>
      <c r="I182" s="5" t="s">
        <v>304</v>
      </c>
      <c r="J182" s="5" t="s">
        <v>128</v>
      </c>
      <c r="K182" s="5" t="s">
        <v>59</v>
      </c>
      <c r="L182" s="5" t="s">
        <v>60</v>
      </c>
      <c r="M182" s="5"/>
      <c r="N182" s="6"/>
      <c r="O182" s="6"/>
    </row>
    <row r="183" spans="1:15">
      <c r="A183" s="5" t="s">
        <v>53</v>
      </c>
      <c r="B183" s="5" t="s">
        <v>54</v>
      </c>
      <c r="C183" s="5" t="s">
        <v>102</v>
      </c>
      <c r="D183" s="5" t="s">
        <v>26</v>
      </c>
      <c r="E183" s="7" t="s">
        <v>128</v>
      </c>
      <c r="F183" s="7">
        <v>90001181</v>
      </c>
      <c r="G183" s="5" t="s">
        <v>131</v>
      </c>
      <c r="H183" s="7">
        <v>28010136</v>
      </c>
      <c r="I183" s="5" t="s">
        <v>305</v>
      </c>
      <c r="J183" s="5" t="s">
        <v>128</v>
      </c>
      <c r="K183" s="5" t="s">
        <v>59</v>
      </c>
      <c r="L183" s="5" t="s">
        <v>60</v>
      </c>
      <c r="M183" s="5"/>
      <c r="N183" s="6"/>
      <c r="O183" s="6"/>
    </row>
    <row r="184" spans="1:15">
      <c r="A184" s="5" t="s">
        <v>53</v>
      </c>
      <c r="B184" s="5" t="s">
        <v>54</v>
      </c>
      <c r="C184" s="5" t="s">
        <v>91</v>
      </c>
      <c r="D184" s="5" t="s">
        <v>20</v>
      </c>
      <c r="E184" s="7" t="s">
        <v>128</v>
      </c>
      <c r="F184" s="7">
        <v>901182</v>
      </c>
      <c r="G184" s="5" t="s">
        <v>306</v>
      </c>
      <c r="H184" s="7">
        <v>28010137</v>
      </c>
      <c r="I184" s="5" t="s">
        <v>307</v>
      </c>
      <c r="J184" s="5" t="s">
        <v>128</v>
      </c>
      <c r="K184" s="5" t="s">
        <v>59</v>
      </c>
      <c r="L184" s="5" t="s">
        <v>60</v>
      </c>
      <c r="M184" s="5"/>
      <c r="N184" s="6"/>
      <c r="O184" s="6"/>
    </row>
    <row r="185" spans="1:15">
      <c r="A185" s="5" t="s">
        <v>53</v>
      </c>
      <c r="B185" s="5" t="s">
        <v>54</v>
      </c>
      <c r="C185" s="5" t="s">
        <v>91</v>
      </c>
      <c r="D185" s="5" t="s">
        <v>20</v>
      </c>
      <c r="E185" s="7" t="s">
        <v>128</v>
      </c>
      <c r="F185" s="7">
        <v>901183</v>
      </c>
      <c r="G185" s="5" t="s">
        <v>308</v>
      </c>
      <c r="H185" s="7">
        <v>28010138</v>
      </c>
      <c r="I185" s="5" t="s">
        <v>309</v>
      </c>
      <c r="J185" s="5" t="s">
        <v>128</v>
      </c>
      <c r="K185" s="5" t="s">
        <v>59</v>
      </c>
      <c r="L185" s="5" t="s">
        <v>60</v>
      </c>
      <c r="M185" s="5"/>
      <c r="N185" s="6"/>
      <c r="O185" s="6"/>
    </row>
    <row r="186" spans="1:15">
      <c r="A186" s="5" t="s">
        <v>53</v>
      </c>
      <c r="B186" s="5" t="s">
        <v>54</v>
      </c>
      <c r="C186" s="5" t="s">
        <v>91</v>
      </c>
      <c r="D186" s="5" t="s">
        <v>25</v>
      </c>
      <c r="E186" s="7" t="s">
        <v>128</v>
      </c>
      <c r="F186" s="7">
        <v>90001184</v>
      </c>
      <c r="G186" s="5" t="s">
        <v>131</v>
      </c>
      <c r="H186" s="7">
        <v>28010139</v>
      </c>
      <c r="I186" s="5" t="s">
        <v>310</v>
      </c>
      <c r="J186" s="5" t="s">
        <v>128</v>
      </c>
      <c r="K186" s="5" t="s">
        <v>59</v>
      </c>
      <c r="L186" s="5" t="s">
        <v>60</v>
      </c>
      <c r="M186" s="5"/>
      <c r="N186" s="6"/>
      <c r="O186" s="6"/>
    </row>
    <row r="187" spans="1:15">
      <c r="A187" s="5" t="s">
        <v>53</v>
      </c>
      <c r="B187" s="5" t="s">
        <v>54</v>
      </c>
      <c r="C187" s="5" t="s">
        <v>91</v>
      </c>
      <c r="D187" s="5" t="s">
        <v>20</v>
      </c>
      <c r="E187" s="7" t="s">
        <v>128</v>
      </c>
      <c r="F187" s="7">
        <v>901185</v>
      </c>
      <c r="G187" s="5" t="s">
        <v>311</v>
      </c>
      <c r="H187" s="7">
        <v>28010140</v>
      </c>
      <c r="I187" s="5" t="s">
        <v>312</v>
      </c>
      <c r="J187" s="5" t="s">
        <v>128</v>
      </c>
      <c r="K187" s="5" t="s">
        <v>59</v>
      </c>
      <c r="L187" s="5" t="s">
        <v>60</v>
      </c>
      <c r="M187" s="5"/>
      <c r="N187" s="6"/>
      <c r="O187" s="6"/>
    </row>
    <row r="188" spans="1:15">
      <c r="A188" s="5" t="s">
        <v>53</v>
      </c>
      <c r="B188" s="5" t="s">
        <v>54</v>
      </c>
      <c r="C188" s="5" t="s">
        <v>107</v>
      </c>
      <c r="D188" s="5" t="s">
        <v>27</v>
      </c>
      <c r="E188" s="7" t="s">
        <v>56</v>
      </c>
      <c r="F188" s="7">
        <v>901186</v>
      </c>
      <c r="G188" s="5" t="s">
        <v>197</v>
      </c>
      <c r="H188" s="7">
        <v>28010141</v>
      </c>
      <c r="I188" s="5" t="s">
        <v>313</v>
      </c>
      <c r="J188" s="5" t="s">
        <v>128</v>
      </c>
      <c r="K188" s="5" t="s">
        <v>59</v>
      </c>
      <c r="L188" s="5" t="s">
        <v>60</v>
      </c>
      <c r="M188" s="5"/>
      <c r="N188" s="6"/>
      <c r="O188" s="6"/>
    </row>
    <row r="189" spans="1:15">
      <c r="A189" s="5" t="s">
        <v>53</v>
      </c>
      <c r="B189" s="5" t="s">
        <v>54</v>
      </c>
      <c r="C189" s="5" t="s">
        <v>91</v>
      </c>
      <c r="D189" s="5" t="s">
        <v>20</v>
      </c>
      <c r="E189" s="7" t="s">
        <v>56</v>
      </c>
      <c r="F189" s="7">
        <v>901187</v>
      </c>
      <c r="G189" s="5" t="s">
        <v>220</v>
      </c>
      <c r="H189" s="7">
        <v>28010142</v>
      </c>
      <c r="I189" s="5" t="s">
        <v>314</v>
      </c>
      <c r="J189" s="5" t="s">
        <v>56</v>
      </c>
      <c r="K189" s="5" t="s">
        <v>59</v>
      </c>
      <c r="L189" s="5" t="s">
        <v>60</v>
      </c>
      <c r="M189" s="5"/>
      <c r="N189" s="6"/>
      <c r="O189" s="6"/>
    </row>
    <row r="190" spans="1:15">
      <c r="A190" s="5" t="s">
        <v>53</v>
      </c>
      <c r="B190" s="5" t="s">
        <v>54</v>
      </c>
      <c r="C190" s="5" t="s">
        <v>107</v>
      </c>
      <c r="D190" s="5" t="s">
        <v>27</v>
      </c>
      <c r="E190" s="7" t="s">
        <v>56</v>
      </c>
      <c r="F190" s="7">
        <v>901188</v>
      </c>
      <c r="G190" s="5" t="s">
        <v>315</v>
      </c>
      <c r="H190" s="7">
        <v>28010143</v>
      </c>
      <c r="I190" s="5" t="s">
        <v>316</v>
      </c>
      <c r="J190" s="5" t="s">
        <v>56</v>
      </c>
      <c r="K190" s="5" t="s">
        <v>59</v>
      </c>
      <c r="L190" s="5" t="s">
        <v>60</v>
      </c>
      <c r="M190" s="5"/>
      <c r="N190" s="6"/>
      <c r="O190" s="6"/>
    </row>
    <row r="191" spans="1:15">
      <c r="A191" s="5" t="s">
        <v>53</v>
      </c>
      <c r="B191" s="5" t="s">
        <v>54</v>
      </c>
      <c r="C191" s="5" t="s">
        <v>91</v>
      </c>
      <c r="D191" s="5" t="s">
        <v>25</v>
      </c>
      <c r="E191" s="7" t="s">
        <v>56</v>
      </c>
      <c r="F191" s="7">
        <v>90001189</v>
      </c>
      <c r="G191" s="5" t="s">
        <v>317</v>
      </c>
      <c r="H191" s="7">
        <v>28010144</v>
      </c>
      <c r="I191" s="5" t="s">
        <v>318</v>
      </c>
      <c r="J191" s="5" t="s">
        <v>128</v>
      </c>
      <c r="K191" s="5" t="s">
        <v>59</v>
      </c>
      <c r="L191" s="5" t="s">
        <v>60</v>
      </c>
      <c r="M191" s="5"/>
      <c r="N191" s="6"/>
      <c r="O191" s="6"/>
    </row>
    <row r="192" spans="1:15">
      <c r="A192" s="5" t="s">
        <v>53</v>
      </c>
      <c r="B192" s="5" t="s">
        <v>54</v>
      </c>
      <c r="C192" s="5" t="s">
        <v>80</v>
      </c>
      <c r="D192" s="5" t="s">
        <v>21</v>
      </c>
      <c r="E192" s="7" t="s">
        <v>56</v>
      </c>
      <c r="F192" s="7">
        <v>901190</v>
      </c>
      <c r="G192" s="5" t="s">
        <v>319</v>
      </c>
      <c r="H192" s="7">
        <v>28010145</v>
      </c>
      <c r="I192" s="5" t="s">
        <v>320</v>
      </c>
      <c r="J192" s="5" t="s">
        <v>56</v>
      </c>
      <c r="K192" s="5" t="s">
        <v>59</v>
      </c>
      <c r="L192" s="5" t="s">
        <v>60</v>
      </c>
      <c r="M192" s="5"/>
      <c r="N192" s="6"/>
      <c r="O192" s="6"/>
    </row>
    <row r="193" spans="1:15">
      <c r="A193" s="5" t="s">
        <v>53</v>
      </c>
      <c r="B193" s="5" t="s">
        <v>54</v>
      </c>
      <c r="C193" s="5" t="s">
        <v>102</v>
      </c>
      <c r="D193" s="5" t="s">
        <v>26</v>
      </c>
      <c r="E193" s="7" t="s">
        <v>56</v>
      </c>
      <c r="F193" s="7">
        <v>901191</v>
      </c>
      <c r="G193" s="5" t="s">
        <v>321</v>
      </c>
      <c r="H193" s="7">
        <v>28010146</v>
      </c>
      <c r="I193" s="5" t="s">
        <v>322</v>
      </c>
      <c r="J193" s="5" t="s">
        <v>56</v>
      </c>
      <c r="K193" s="5" t="s">
        <v>59</v>
      </c>
      <c r="L193" s="5" t="s">
        <v>60</v>
      </c>
      <c r="M193" s="5"/>
      <c r="N193" s="6"/>
      <c r="O193" s="6"/>
    </row>
    <row r="194" spans="1:15">
      <c r="A194" s="5" t="s">
        <v>53</v>
      </c>
      <c r="B194" s="5" t="s">
        <v>54</v>
      </c>
      <c r="C194" s="5" t="s">
        <v>55</v>
      </c>
      <c r="D194" s="5" t="s">
        <v>28</v>
      </c>
      <c r="E194" s="7" t="s">
        <v>56</v>
      </c>
      <c r="F194" s="7">
        <v>901192</v>
      </c>
      <c r="G194" s="5" t="s">
        <v>157</v>
      </c>
      <c r="H194" s="7">
        <v>28010147</v>
      </c>
      <c r="I194" s="5" t="s">
        <v>323</v>
      </c>
      <c r="J194" s="5" t="s">
        <v>56</v>
      </c>
      <c r="K194" s="5" t="s">
        <v>59</v>
      </c>
      <c r="L194" s="5" t="s">
        <v>60</v>
      </c>
      <c r="M194" s="5"/>
      <c r="N194" s="6" t="s">
        <v>85</v>
      </c>
      <c r="O194" s="6"/>
    </row>
    <row r="195" spans="1:15">
      <c r="A195" s="5" t="s">
        <v>53</v>
      </c>
      <c r="B195" s="5" t="s">
        <v>54</v>
      </c>
      <c r="C195" s="5" t="s">
        <v>91</v>
      </c>
      <c r="D195" s="5" t="s">
        <v>25</v>
      </c>
      <c r="E195" s="7" t="s">
        <v>56</v>
      </c>
      <c r="F195" s="7">
        <v>90001193</v>
      </c>
      <c r="G195" s="5" t="s">
        <v>131</v>
      </c>
      <c r="H195" s="7">
        <v>28010148</v>
      </c>
      <c r="I195" s="5" t="s">
        <v>324</v>
      </c>
      <c r="J195" s="5" t="s">
        <v>56</v>
      </c>
      <c r="K195" s="5" t="s">
        <v>59</v>
      </c>
      <c r="L195" s="5" t="s">
        <v>60</v>
      </c>
      <c r="M195" s="5"/>
      <c r="N195" s="6"/>
      <c r="O195" s="6"/>
    </row>
    <row r="196" spans="1:15">
      <c r="A196" s="5" t="s">
        <v>53</v>
      </c>
      <c r="B196" s="5" t="s">
        <v>54</v>
      </c>
      <c r="C196" s="5" t="s">
        <v>91</v>
      </c>
      <c r="D196" s="5" t="s">
        <v>20</v>
      </c>
      <c r="E196" s="7" t="s">
        <v>56</v>
      </c>
      <c r="F196" s="7">
        <v>901194</v>
      </c>
      <c r="G196" s="5" t="s">
        <v>325</v>
      </c>
      <c r="H196" s="7">
        <v>28010149</v>
      </c>
      <c r="I196" s="5" t="s">
        <v>326</v>
      </c>
      <c r="J196" s="5" t="s">
        <v>56</v>
      </c>
      <c r="K196" s="5" t="s">
        <v>59</v>
      </c>
      <c r="L196" s="5" t="s">
        <v>60</v>
      </c>
      <c r="M196" s="5"/>
      <c r="N196" s="6"/>
      <c r="O196" s="6"/>
    </row>
    <row r="197" spans="1:15">
      <c r="A197" s="5" t="s">
        <v>53</v>
      </c>
      <c r="B197" s="5" t="s">
        <v>54</v>
      </c>
      <c r="C197" s="5" t="s">
        <v>91</v>
      </c>
      <c r="D197" s="5" t="s">
        <v>20</v>
      </c>
      <c r="E197" s="7" t="s">
        <v>56</v>
      </c>
      <c r="F197" s="7">
        <v>901195</v>
      </c>
      <c r="G197" s="5" t="s">
        <v>131</v>
      </c>
      <c r="H197" s="7">
        <v>28010150</v>
      </c>
      <c r="I197" s="5" t="s">
        <v>327</v>
      </c>
      <c r="J197" s="5" t="s">
        <v>56</v>
      </c>
      <c r="K197" s="5" t="s">
        <v>59</v>
      </c>
      <c r="L197" s="5" t="s">
        <v>60</v>
      </c>
      <c r="M197" s="5"/>
      <c r="N197" s="6" t="s">
        <v>85</v>
      </c>
      <c r="O197" s="6"/>
    </row>
    <row r="198" spans="1:15">
      <c r="A198" s="5" t="s">
        <v>53</v>
      </c>
      <c r="B198" s="5" t="s">
        <v>54</v>
      </c>
      <c r="C198" s="5" t="s">
        <v>91</v>
      </c>
      <c r="D198" s="5" t="s">
        <v>20</v>
      </c>
      <c r="E198" s="7" t="s">
        <v>56</v>
      </c>
      <c r="F198" s="7">
        <v>901196</v>
      </c>
      <c r="G198" s="5" t="s">
        <v>131</v>
      </c>
      <c r="H198" s="7">
        <v>28010151</v>
      </c>
      <c r="I198" s="5" t="s">
        <v>328</v>
      </c>
      <c r="J198" s="5" t="s">
        <v>56</v>
      </c>
      <c r="K198" s="5" t="s">
        <v>59</v>
      </c>
      <c r="L198" s="5" t="s">
        <v>60</v>
      </c>
      <c r="M198" s="5"/>
      <c r="N198" s="6"/>
      <c r="O198" s="6"/>
    </row>
    <row r="199" spans="1:15">
      <c r="A199" s="5" t="s">
        <v>53</v>
      </c>
      <c r="B199" s="5" t="s">
        <v>54</v>
      </c>
      <c r="C199" s="5" t="s">
        <v>91</v>
      </c>
      <c r="D199" s="5" t="s">
        <v>21</v>
      </c>
      <c r="E199" s="7" t="s">
        <v>56</v>
      </c>
      <c r="F199" s="7">
        <v>90001197</v>
      </c>
      <c r="G199" s="5" t="s">
        <v>329</v>
      </c>
      <c r="H199" s="7">
        <v>28010152</v>
      </c>
      <c r="I199" s="5" t="s">
        <v>330</v>
      </c>
      <c r="J199" s="5" t="s">
        <v>56</v>
      </c>
      <c r="K199" s="5" t="s">
        <v>59</v>
      </c>
      <c r="L199" s="5" t="s">
        <v>60</v>
      </c>
      <c r="M199" s="5"/>
      <c r="N199" s="6"/>
      <c r="O199" s="6"/>
    </row>
    <row r="200" spans="1:15">
      <c r="A200" s="5" t="s">
        <v>53</v>
      </c>
      <c r="B200" s="5" t="s">
        <v>54</v>
      </c>
      <c r="C200" s="5" t="s">
        <v>80</v>
      </c>
      <c r="D200" s="5" t="s">
        <v>21</v>
      </c>
      <c r="E200" s="7" t="s">
        <v>56</v>
      </c>
      <c r="F200" s="7">
        <v>901198</v>
      </c>
      <c r="G200" s="5" t="s">
        <v>331</v>
      </c>
      <c r="H200" s="7">
        <v>28010153</v>
      </c>
      <c r="I200" s="5" t="s">
        <v>332</v>
      </c>
      <c r="J200" s="5" t="s">
        <v>56</v>
      </c>
      <c r="K200" s="5" t="s">
        <v>59</v>
      </c>
      <c r="L200" s="5" t="s">
        <v>60</v>
      </c>
      <c r="M200" s="5"/>
      <c r="N200" s="6"/>
      <c r="O200" s="6"/>
    </row>
    <row r="201" spans="1:15">
      <c r="A201" s="5" t="s">
        <v>53</v>
      </c>
      <c r="B201" s="5" t="s">
        <v>54</v>
      </c>
      <c r="C201" s="5" t="s">
        <v>75</v>
      </c>
      <c r="D201" s="6" t="s">
        <v>25</v>
      </c>
      <c r="E201" s="7" t="s">
        <v>56</v>
      </c>
      <c r="F201" s="7">
        <v>901199</v>
      </c>
      <c r="G201" s="5" t="s">
        <v>57</v>
      </c>
      <c r="H201" s="8"/>
      <c r="I201" s="5"/>
      <c r="J201" s="5"/>
      <c r="K201" s="5"/>
      <c r="L201" s="5" t="s">
        <v>63</v>
      </c>
      <c r="M201" s="6"/>
      <c r="N201" s="6"/>
      <c r="O201" s="6"/>
    </row>
    <row r="202" spans="1:15">
      <c r="A202" s="5" t="s">
        <v>53</v>
      </c>
      <c r="B202" s="5" t="s">
        <v>54</v>
      </c>
      <c r="C202" s="5" t="s">
        <v>91</v>
      </c>
      <c r="D202" s="5" t="s">
        <v>25</v>
      </c>
      <c r="E202" s="7" t="s">
        <v>56</v>
      </c>
      <c r="F202" s="7">
        <v>90001200</v>
      </c>
      <c r="G202" s="5" t="s">
        <v>62</v>
      </c>
      <c r="H202" s="7">
        <v>28010154</v>
      </c>
      <c r="I202" s="5" t="s">
        <v>333</v>
      </c>
      <c r="J202" s="5" t="s">
        <v>128</v>
      </c>
      <c r="K202" s="5" t="s">
        <v>59</v>
      </c>
      <c r="L202" s="5" t="s">
        <v>60</v>
      </c>
      <c r="M202" s="5"/>
      <c r="N202" s="6"/>
      <c r="O202" s="6"/>
    </row>
    <row r="203" spans="1:15">
      <c r="A203" s="5" t="s">
        <v>53</v>
      </c>
      <c r="B203" s="5" t="s">
        <v>54</v>
      </c>
      <c r="C203" s="5" t="s">
        <v>61</v>
      </c>
      <c r="D203" s="5" t="s">
        <v>15</v>
      </c>
      <c r="E203" s="7" t="s">
        <v>72</v>
      </c>
      <c r="F203" s="7">
        <v>901201</v>
      </c>
      <c r="G203" s="5" t="s">
        <v>67</v>
      </c>
      <c r="H203" s="7">
        <v>28010155</v>
      </c>
      <c r="I203" s="5" t="s">
        <v>334</v>
      </c>
      <c r="J203" s="5" t="s">
        <v>72</v>
      </c>
      <c r="K203" s="5" t="s">
        <v>59</v>
      </c>
      <c r="L203" s="5" t="s">
        <v>60</v>
      </c>
      <c r="M203" s="5"/>
      <c r="N203" s="6"/>
      <c r="O203" s="6"/>
    </row>
    <row r="204" spans="1:15">
      <c r="A204" s="5" t="s">
        <v>53</v>
      </c>
      <c r="B204" s="5" t="s">
        <v>54</v>
      </c>
      <c r="C204" s="5" t="s">
        <v>102</v>
      </c>
      <c r="D204" s="5" t="s">
        <v>26</v>
      </c>
      <c r="E204" s="7" t="s">
        <v>72</v>
      </c>
      <c r="F204" s="7">
        <v>901202</v>
      </c>
      <c r="G204" s="5" t="s">
        <v>67</v>
      </c>
      <c r="H204" s="7">
        <v>28010156</v>
      </c>
      <c r="I204" s="5" t="s">
        <v>335</v>
      </c>
      <c r="J204" s="5" t="s">
        <v>72</v>
      </c>
      <c r="K204" s="5" t="s">
        <v>59</v>
      </c>
      <c r="L204" s="5" t="s">
        <v>60</v>
      </c>
      <c r="M204" s="5"/>
      <c r="N204" s="6"/>
      <c r="O204" s="6"/>
    </row>
    <row r="205" spans="1:15">
      <c r="A205" s="5" t="s">
        <v>53</v>
      </c>
      <c r="B205" s="5" t="s">
        <v>54</v>
      </c>
      <c r="C205" s="5" t="s">
        <v>96</v>
      </c>
      <c r="D205" s="5" t="s">
        <v>19</v>
      </c>
      <c r="E205" s="7" t="s">
        <v>72</v>
      </c>
      <c r="F205" s="7">
        <v>901203</v>
      </c>
      <c r="G205" s="5" t="s">
        <v>70</v>
      </c>
      <c r="H205" s="7">
        <v>28010157</v>
      </c>
      <c r="I205" s="5" t="s">
        <v>336</v>
      </c>
      <c r="J205" s="5" t="s">
        <v>72</v>
      </c>
      <c r="K205" s="5" t="s">
        <v>59</v>
      </c>
      <c r="L205" s="5" t="s">
        <v>60</v>
      </c>
      <c r="M205" s="5"/>
      <c r="N205" s="6"/>
      <c r="O205" s="6"/>
    </row>
    <row r="206" spans="1:15">
      <c r="A206" s="5" t="s">
        <v>53</v>
      </c>
      <c r="B206" s="5" t="s">
        <v>54</v>
      </c>
      <c r="C206" s="5" t="s">
        <v>91</v>
      </c>
      <c r="D206" s="5" t="s">
        <v>20</v>
      </c>
      <c r="E206" s="7" t="s">
        <v>72</v>
      </c>
      <c r="F206" s="7">
        <v>901204</v>
      </c>
      <c r="G206" s="5" t="s">
        <v>73</v>
      </c>
      <c r="H206" s="7"/>
      <c r="I206" s="5"/>
      <c r="J206" s="5"/>
      <c r="K206" s="5"/>
      <c r="L206" s="5" t="s">
        <v>63</v>
      </c>
      <c r="M206" s="5"/>
      <c r="N206" s="6" t="s">
        <v>85</v>
      </c>
      <c r="O206" s="6"/>
    </row>
    <row r="207" spans="1:15">
      <c r="A207" s="5" t="s">
        <v>53</v>
      </c>
      <c r="B207" s="5" t="s">
        <v>54</v>
      </c>
      <c r="C207" s="5" t="s">
        <v>107</v>
      </c>
      <c r="D207" s="5" t="s">
        <v>27</v>
      </c>
      <c r="E207" s="7" t="s">
        <v>72</v>
      </c>
      <c r="F207" s="7">
        <v>901205</v>
      </c>
      <c r="G207" s="5" t="s">
        <v>67</v>
      </c>
      <c r="H207" s="7">
        <v>28010158</v>
      </c>
      <c r="I207" s="5" t="s">
        <v>337</v>
      </c>
      <c r="J207" s="5" t="s">
        <v>72</v>
      </c>
      <c r="K207" s="5" t="s">
        <v>59</v>
      </c>
      <c r="L207" s="5" t="s">
        <v>60</v>
      </c>
      <c r="M207" s="5"/>
      <c r="N207" s="6"/>
      <c r="O207" s="6"/>
    </row>
    <row r="208" spans="1:15">
      <c r="A208" s="5" t="s">
        <v>53</v>
      </c>
      <c r="B208" s="5" t="s">
        <v>54</v>
      </c>
      <c r="C208" s="5" t="s">
        <v>107</v>
      </c>
      <c r="D208" s="5" t="s">
        <v>27</v>
      </c>
      <c r="E208" s="7" t="s">
        <v>72</v>
      </c>
      <c r="F208" s="7">
        <v>901206</v>
      </c>
      <c r="G208" s="5" t="s">
        <v>84</v>
      </c>
      <c r="H208" s="7">
        <v>28010159</v>
      </c>
      <c r="I208" s="5" t="s">
        <v>338</v>
      </c>
      <c r="J208" s="5" t="s">
        <v>72</v>
      </c>
      <c r="K208" s="5" t="s">
        <v>59</v>
      </c>
      <c r="L208" s="5" t="s">
        <v>60</v>
      </c>
      <c r="M208" s="5"/>
      <c r="N208" s="6"/>
      <c r="O208" s="6"/>
    </row>
    <row r="209" spans="1:15">
      <c r="A209" s="5" t="s">
        <v>53</v>
      </c>
      <c r="B209" s="5" t="s">
        <v>54</v>
      </c>
      <c r="C209" s="5" t="s">
        <v>91</v>
      </c>
      <c r="D209" s="5" t="s">
        <v>20</v>
      </c>
      <c r="E209" s="7" t="s">
        <v>72</v>
      </c>
      <c r="F209" s="7">
        <v>901207</v>
      </c>
      <c r="G209" s="5" t="s">
        <v>92</v>
      </c>
      <c r="H209" s="7"/>
      <c r="I209" s="5"/>
      <c r="J209" s="5"/>
      <c r="K209" s="5"/>
      <c r="L209" s="5" t="s">
        <v>63</v>
      </c>
      <c r="M209" s="5"/>
      <c r="N209" s="6" t="s">
        <v>85</v>
      </c>
      <c r="O209" s="6"/>
    </row>
    <row r="210" spans="1:15">
      <c r="A210" s="5" t="s">
        <v>53</v>
      </c>
      <c r="B210" s="5" t="s">
        <v>54</v>
      </c>
      <c r="C210" s="5" t="s">
        <v>102</v>
      </c>
      <c r="D210" s="5" t="s">
        <v>26</v>
      </c>
      <c r="E210" s="7" t="s">
        <v>72</v>
      </c>
      <c r="F210" s="7">
        <v>901208</v>
      </c>
      <c r="G210" s="5" t="s">
        <v>100</v>
      </c>
      <c r="H210" s="7">
        <v>28010160</v>
      </c>
      <c r="I210" s="5" t="s">
        <v>339</v>
      </c>
      <c r="J210" s="5" t="s">
        <v>72</v>
      </c>
      <c r="K210" s="5" t="s">
        <v>59</v>
      </c>
      <c r="L210" s="5" t="s">
        <v>60</v>
      </c>
      <c r="M210" s="5"/>
      <c r="N210" s="6"/>
      <c r="O210" s="6"/>
    </row>
    <row r="211" spans="1:15">
      <c r="A211" s="5" t="s">
        <v>53</v>
      </c>
      <c r="B211" s="5" t="s">
        <v>54</v>
      </c>
      <c r="C211" s="5" t="s">
        <v>96</v>
      </c>
      <c r="D211" s="5" t="s">
        <v>19</v>
      </c>
      <c r="E211" s="7" t="s">
        <v>72</v>
      </c>
      <c r="F211" s="7">
        <v>90001209</v>
      </c>
      <c r="G211" s="5" t="s">
        <v>70</v>
      </c>
      <c r="H211" s="7">
        <v>28010161</v>
      </c>
      <c r="I211" s="5" t="s">
        <v>340</v>
      </c>
      <c r="J211" s="5" t="s">
        <v>72</v>
      </c>
      <c r="K211" s="5" t="s">
        <v>59</v>
      </c>
      <c r="L211" s="5" t="s">
        <v>60</v>
      </c>
      <c r="M211" s="5"/>
      <c r="N211" s="6"/>
      <c r="O211" s="6"/>
    </row>
    <row r="212" spans="1:15">
      <c r="A212" s="5" t="s">
        <v>53</v>
      </c>
      <c r="B212" s="5" t="s">
        <v>54</v>
      </c>
      <c r="C212" s="5" t="s">
        <v>107</v>
      </c>
      <c r="D212" s="5" t="s">
        <v>27</v>
      </c>
      <c r="E212" s="7" t="s">
        <v>72</v>
      </c>
      <c r="F212" s="7">
        <v>901210</v>
      </c>
      <c r="G212" s="5" t="s">
        <v>103</v>
      </c>
      <c r="H212" s="7">
        <v>28010162</v>
      </c>
      <c r="I212" s="5" t="s">
        <v>341</v>
      </c>
      <c r="J212" s="5" t="s">
        <v>72</v>
      </c>
      <c r="K212" s="5" t="s">
        <v>59</v>
      </c>
      <c r="L212" s="5" t="s">
        <v>60</v>
      </c>
      <c r="M212" s="5"/>
      <c r="N212" s="6"/>
      <c r="O212" s="6"/>
    </row>
    <row r="213" spans="1:15">
      <c r="A213" s="5" t="s">
        <v>53</v>
      </c>
      <c r="B213" s="5" t="s">
        <v>54</v>
      </c>
      <c r="C213" s="5" t="s">
        <v>102</v>
      </c>
      <c r="D213" s="5" t="s">
        <v>26</v>
      </c>
      <c r="E213" s="7" t="s">
        <v>72</v>
      </c>
      <c r="F213" s="7">
        <v>90001211</v>
      </c>
      <c r="G213" s="5" t="s">
        <v>197</v>
      </c>
      <c r="H213" s="7">
        <v>28010163</v>
      </c>
      <c r="I213" s="5" t="s">
        <v>342</v>
      </c>
      <c r="J213" s="5" t="s">
        <v>72</v>
      </c>
      <c r="K213" s="5" t="s">
        <v>59</v>
      </c>
      <c r="L213" s="5" t="s">
        <v>60</v>
      </c>
      <c r="M213" s="5"/>
      <c r="N213" s="6"/>
      <c r="O213" s="6"/>
    </row>
    <row r="214" spans="1:15">
      <c r="A214" s="5" t="s">
        <v>53</v>
      </c>
      <c r="B214" s="5" t="s">
        <v>54</v>
      </c>
      <c r="C214" s="5" t="s">
        <v>107</v>
      </c>
      <c r="D214" s="5" t="s">
        <v>27</v>
      </c>
      <c r="E214" s="7" t="s">
        <v>72</v>
      </c>
      <c r="F214" s="7">
        <v>901212</v>
      </c>
      <c r="G214" s="5" t="s">
        <v>111</v>
      </c>
      <c r="H214" s="7">
        <v>28010164</v>
      </c>
      <c r="I214" s="5" t="s">
        <v>343</v>
      </c>
      <c r="J214" s="5" t="s">
        <v>72</v>
      </c>
      <c r="K214" s="5" t="s">
        <v>59</v>
      </c>
      <c r="L214" s="5" t="s">
        <v>60</v>
      </c>
      <c r="M214" s="5"/>
      <c r="N214" s="6"/>
      <c r="O214" s="6"/>
    </row>
    <row r="215" spans="1:15">
      <c r="A215" s="5" t="s">
        <v>53</v>
      </c>
      <c r="B215" s="5" t="s">
        <v>54</v>
      </c>
      <c r="C215" s="5" t="s">
        <v>91</v>
      </c>
      <c r="D215" s="5" t="s">
        <v>25</v>
      </c>
      <c r="E215" s="7" t="s">
        <v>72</v>
      </c>
      <c r="F215" s="7">
        <v>901213</v>
      </c>
      <c r="G215" s="5" t="s">
        <v>197</v>
      </c>
      <c r="H215" s="7">
        <v>28010165</v>
      </c>
      <c r="I215" s="5" t="s">
        <v>344</v>
      </c>
      <c r="J215" s="5" t="s">
        <v>72</v>
      </c>
      <c r="K215" s="5" t="s">
        <v>59</v>
      </c>
      <c r="L215" s="5" t="s">
        <v>60</v>
      </c>
      <c r="M215" s="5"/>
      <c r="N215" s="6"/>
      <c r="O215" s="6"/>
    </row>
    <row r="216" spans="1:15">
      <c r="A216" s="5" t="s">
        <v>53</v>
      </c>
      <c r="B216" s="5" t="s">
        <v>54</v>
      </c>
      <c r="C216" s="5" t="s">
        <v>91</v>
      </c>
      <c r="D216" s="5" t="s">
        <v>20</v>
      </c>
      <c r="E216" s="7" t="s">
        <v>109</v>
      </c>
      <c r="F216" s="7">
        <v>901214</v>
      </c>
      <c r="G216" s="5" t="s">
        <v>113</v>
      </c>
      <c r="H216" s="7">
        <v>28010166</v>
      </c>
      <c r="I216" s="5" t="s">
        <v>345</v>
      </c>
      <c r="J216" s="5" t="s">
        <v>109</v>
      </c>
      <c r="K216" s="5" t="s">
        <v>59</v>
      </c>
      <c r="L216" s="5" t="s">
        <v>60</v>
      </c>
      <c r="M216" s="5"/>
      <c r="N216" s="6"/>
      <c r="O216" s="6"/>
    </row>
    <row r="217" spans="1:15">
      <c r="A217" s="5" t="s">
        <v>53</v>
      </c>
      <c r="B217" s="5" t="s">
        <v>54</v>
      </c>
      <c r="C217" s="5" t="s">
        <v>91</v>
      </c>
      <c r="D217" s="5" t="s">
        <v>18</v>
      </c>
      <c r="E217" s="7" t="s">
        <v>72</v>
      </c>
      <c r="F217" s="7">
        <v>901215</v>
      </c>
      <c r="G217" s="5" t="s">
        <v>116</v>
      </c>
      <c r="H217" s="7">
        <v>28010167</v>
      </c>
      <c r="I217" s="6" t="s">
        <v>346</v>
      </c>
      <c r="J217" s="5" t="s">
        <v>72</v>
      </c>
      <c r="K217" s="5" t="s">
        <v>59</v>
      </c>
      <c r="L217" s="5" t="s">
        <v>60</v>
      </c>
      <c r="M217" s="5"/>
      <c r="N217" s="6"/>
      <c r="O217" s="6"/>
    </row>
    <row r="218" spans="1:15">
      <c r="A218" s="5" t="s">
        <v>53</v>
      </c>
      <c r="B218" s="5" t="s">
        <v>54</v>
      </c>
      <c r="C218" s="5" t="s">
        <v>107</v>
      </c>
      <c r="D218" s="5" t="s">
        <v>27</v>
      </c>
      <c r="E218" s="7" t="s">
        <v>109</v>
      </c>
      <c r="F218" s="7">
        <v>901216</v>
      </c>
      <c r="G218" s="5" t="s">
        <v>111</v>
      </c>
      <c r="H218" s="7">
        <v>28010168</v>
      </c>
      <c r="I218" s="5" t="s">
        <v>347</v>
      </c>
      <c r="J218" s="5" t="s">
        <v>109</v>
      </c>
      <c r="K218" s="5" t="s">
        <v>59</v>
      </c>
      <c r="L218" s="5" t="s">
        <v>60</v>
      </c>
      <c r="M218" s="5"/>
      <c r="N218" s="6"/>
      <c r="O218" s="6"/>
    </row>
    <row r="219" spans="1:15">
      <c r="A219" s="5" t="s">
        <v>53</v>
      </c>
      <c r="B219" s="5" t="s">
        <v>54</v>
      </c>
      <c r="C219" s="5" t="s">
        <v>61</v>
      </c>
      <c r="D219" s="5" t="s">
        <v>15</v>
      </c>
      <c r="E219" s="7" t="s">
        <v>66</v>
      </c>
      <c r="F219" s="7">
        <v>901217</v>
      </c>
      <c r="G219" s="5" t="s">
        <v>118</v>
      </c>
      <c r="H219" s="7">
        <v>28010169</v>
      </c>
      <c r="I219" s="5" t="s">
        <v>348</v>
      </c>
      <c r="J219" s="5" t="s">
        <v>66</v>
      </c>
      <c r="K219" s="5" t="s">
        <v>59</v>
      </c>
      <c r="L219" s="5" t="s">
        <v>60</v>
      </c>
      <c r="M219" s="5"/>
      <c r="N219" s="6"/>
      <c r="O219" s="6"/>
    </row>
    <row r="220" spans="1:15">
      <c r="A220" s="5" t="s">
        <v>53</v>
      </c>
      <c r="B220" s="5" t="s">
        <v>54</v>
      </c>
      <c r="C220" s="5" t="s">
        <v>61</v>
      </c>
      <c r="D220" s="5" t="s">
        <v>16</v>
      </c>
      <c r="E220" s="7" t="s">
        <v>69</v>
      </c>
      <c r="F220" s="7">
        <v>90001218</v>
      </c>
      <c r="G220" s="5" t="s">
        <v>120</v>
      </c>
      <c r="H220" s="7">
        <v>28010170</v>
      </c>
      <c r="I220" s="5" t="s">
        <v>349</v>
      </c>
      <c r="J220" s="5" t="s">
        <v>69</v>
      </c>
      <c r="K220" s="5" t="s">
        <v>59</v>
      </c>
      <c r="L220" s="5" t="s">
        <v>60</v>
      </c>
      <c r="M220" s="5"/>
      <c r="N220" s="6"/>
      <c r="O220" s="6"/>
    </row>
    <row r="221" spans="1:15">
      <c r="A221" s="5" t="s">
        <v>53</v>
      </c>
      <c r="B221" s="5" t="s">
        <v>54</v>
      </c>
      <c r="C221" s="5" t="s">
        <v>61</v>
      </c>
      <c r="D221" s="5" t="s">
        <v>16</v>
      </c>
      <c r="E221" s="7" t="s">
        <v>69</v>
      </c>
      <c r="F221" s="7">
        <v>901219</v>
      </c>
      <c r="G221" s="5" t="s">
        <v>126</v>
      </c>
      <c r="H221" s="7">
        <v>28010171</v>
      </c>
      <c r="I221" s="5" t="s">
        <v>350</v>
      </c>
      <c r="J221" s="5" t="s">
        <v>69</v>
      </c>
      <c r="K221" s="5" t="s">
        <v>59</v>
      </c>
      <c r="L221" s="5" t="s">
        <v>60</v>
      </c>
      <c r="M221" s="5"/>
      <c r="N221" s="6"/>
      <c r="O221" s="6"/>
    </row>
    <row r="222" spans="1:15">
      <c r="A222" s="5" t="s">
        <v>53</v>
      </c>
      <c r="B222" s="5" t="s">
        <v>54</v>
      </c>
      <c r="C222" s="5" t="s">
        <v>61</v>
      </c>
      <c r="D222" s="5" t="s">
        <v>16</v>
      </c>
      <c r="E222" s="7" t="s">
        <v>69</v>
      </c>
      <c r="F222" s="7">
        <v>901220</v>
      </c>
      <c r="G222" s="5" t="s">
        <v>129</v>
      </c>
      <c r="H222" s="7">
        <v>28010172</v>
      </c>
      <c r="I222" s="5" t="s">
        <v>351</v>
      </c>
      <c r="J222" s="5" t="s">
        <v>69</v>
      </c>
      <c r="K222" s="5" t="s">
        <v>59</v>
      </c>
      <c r="L222" s="5" t="s">
        <v>60</v>
      </c>
      <c r="M222" s="5"/>
      <c r="N222" s="6"/>
      <c r="O222" s="6"/>
    </row>
    <row r="223" spans="1:15">
      <c r="A223" s="5" t="s">
        <v>53</v>
      </c>
      <c r="B223" s="5" t="s">
        <v>54</v>
      </c>
      <c r="C223" s="5" t="s">
        <v>61</v>
      </c>
      <c r="D223" s="5" t="s">
        <v>15</v>
      </c>
      <c r="E223" s="7" t="s">
        <v>210</v>
      </c>
      <c r="F223" s="7">
        <v>901221</v>
      </c>
      <c r="G223" s="5" t="s">
        <v>118</v>
      </c>
      <c r="H223" s="7">
        <v>28010173</v>
      </c>
      <c r="I223" s="5" t="s">
        <v>352</v>
      </c>
      <c r="J223" s="5" t="s">
        <v>210</v>
      </c>
      <c r="K223" s="5" t="s">
        <v>59</v>
      </c>
      <c r="L223" s="5" t="s">
        <v>60</v>
      </c>
      <c r="M223" s="5"/>
      <c r="N223" s="6"/>
      <c r="O223" s="6"/>
    </row>
    <row r="224" spans="1:15">
      <c r="A224" s="5" t="s">
        <v>53</v>
      </c>
      <c r="B224" s="5" t="s">
        <v>54</v>
      </c>
      <c r="C224" s="5" t="s">
        <v>91</v>
      </c>
      <c r="D224" s="5" t="s">
        <v>21</v>
      </c>
      <c r="E224" s="7" t="s">
        <v>210</v>
      </c>
      <c r="F224" s="7">
        <v>901222</v>
      </c>
      <c r="G224" s="5" t="s">
        <v>131</v>
      </c>
      <c r="H224" s="7">
        <v>28010174</v>
      </c>
      <c r="I224" s="5" t="s">
        <v>353</v>
      </c>
      <c r="J224" s="5" t="s">
        <v>69</v>
      </c>
      <c r="K224" s="5" t="s">
        <v>59</v>
      </c>
      <c r="L224" s="5" t="s">
        <v>60</v>
      </c>
      <c r="M224" s="5"/>
      <c r="N224" s="6"/>
      <c r="O224" s="6"/>
    </row>
    <row r="225" spans="1:15">
      <c r="A225" s="5" t="s">
        <v>53</v>
      </c>
      <c r="B225" s="5" t="s">
        <v>54</v>
      </c>
      <c r="C225" s="5" t="s">
        <v>61</v>
      </c>
      <c r="D225" s="5" t="s">
        <v>16</v>
      </c>
      <c r="E225" s="7" t="s">
        <v>210</v>
      </c>
      <c r="F225" s="7">
        <v>901223</v>
      </c>
      <c r="G225" s="5" t="s">
        <v>133</v>
      </c>
      <c r="H225" s="7">
        <v>28010175</v>
      </c>
      <c r="I225" s="5" t="s">
        <v>354</v>
      </c>
      <c r="J225" s="5" t="s">
        <v>210</v>
      </c>
      <c r="K225" s="5" t="s">
        <v>59</v>
      </c>
      <c r="L225" s="5" t="s">
        <v>60</v>
      </c>
      <c r="M225" s="5"/>
      <c r="N225" s="6"/>
      <c r="O225" s="6"/>
    </row>
    <row r="226" spans="1:15">
      <c r="A226" s="5" t="s">
        <v>53</v>
      </c>
      <c r="B226" s="5" t="s">
        <v>54</v>
      </c>
      <c r="C226" s="5" t="s">
        <v>61</v>
      </c>
      <c r="D226" s="5" t="s">
        <v>16</v>
      </c>
      <c r="E226" s="7" t="s">
        <v>210</v>
      </c>
      <c r="F226" s="7">
        <v>90001224</v>
      </c>
      <c r="G226" s="5" t="s">
        <v>135</v>
      </c>
      <c r="H226" s="7">
        <v>28010176</v>
      </c>
      <c r="I226" s="5" t="s">
        <v>355</v>
      </c>
      <c r="J226" s="5" t="s">
        <v>210</v>
      </c>
      <c r="K226" s="5" t="s">
        <v>59</v>
      </c>
      <c r="L226" s="5" t="s">
        <v>60</v>
      </c>
      <c r="M226" s="5"/>
      <c r="N226" s="6"/>
      <c r="O226" s="6"/>
    </row>
    <row r="227" spans="1:15">
      <c r="A227" s="5" t="s">
        <v>53</v>
      </c>
      <c r="B227" s="5" t="s">
        <v>54</v>
      </c>
      <c r="C227" s="5" t="s">
        <v>61</v>
      </c>
      <c r="D227" s="5" t="s">
        <v>15</v>
      </c>
      <c r="E227" s="7" t="s">
        <v>210</v>
      </c>
      <c r="F227" s="7">
        <v>901225</v>
      </c>
      <c r="G227" s="5" t="s">
        <v>118</v>
      </c>
      <c r="H227" s="7"/>
      <c r="I227" s="5"/>
      <c r="J227" s="5"/>
      <c r="K227" s="5"/>
      <c r="L227" s="5" t="s">
        <v>63</v>
      </c>
      <c r="M227" s="5"/>
      <c r="N227" s="6"/>
      <c r="O227" s="6"/>
    </row>
    <row r="228" spans="1:15">
      <c r="A228" s="5" t="s">
        <v>53</v>
      </c>
      <c r="B228" s="5" t="s">
        <v>54</v>
      </c>
      <c r="C228" s="5" t="s">
        <v>61</v>
      </c>
      <c r="D228" s="5" t="s">
        <v>16</v>
      </c>
      <c r="E228" s="7" t="s">
        <v>210</v>
      </c>
      <c r="F228" s="7">
        <v>901226</v>
      </c>
      <c r="G228" s="5" t="s">
        <v>137</v>
      </c>
      <c r="H228" s="7">
        <v>28010177</v>
      </c>
      <c r="I228" s="5" t="s">
        <v>356</v>
      </c>
      <c r="J228" s="5" t="s">
        <v>210</v>
      </c>
      <c r="K228" s="5" t="s">
        <v>59</v>
      </c>
      <c r="L228" s="5" t="s">
        <v>60</v>
      </c>
      <c r="M228" s="5"/>
      <c r="N228" s="6"/>
      <c r="O228" s="6"/>
    </row>
    <row r="229" spans="1:15">
      <c r="A229" s="5" t="s">
        <v>53</v>
      </c>
      <c r="B229" s="5" t="s">
        <v>54</v>
      </c>
      <c r="C229" s="5" t="s">
        <v>61</v>
      </c>
      <c r="D229" s="5" t="s">
        <v>16</v>
      </c>
      <c r="E229" s="7" t="s">
        <v>99</v>
      </c>
      <c r="F229" s="7">
        <v>901227</v>
      </c>
      <c r="G229" s="5" t="s">
        <v>118</v>
      </c>
      <c r="H229" s="7">
        <v>28010178</v>
      </c>
      <c r="I229" s="5" t="s">
        <v>357</v>
      </c>
      <c r="J229" s="5" t="s">
        <v>99</v>
      </c>
      <c r="K229" s="5" t="s">
        <v>59</v>
      </c>
      <c r="L229" s="5" t="s">
        <v>60</v>
      </c>
      <c r="M229" s="5"/>
      <c r="N229" s="6"/>
      <c r="O229" s="6"/>
    </row>
    <row r="230" spans="1:15">
      <c r="A230" s="5" t="s">
        <v>53</v>
      </c>
      <c r="B230" s="5" t="s">
        <v>54</v>
      </c>
      <c r="C230" s="5" t="s">
        <v>61</v>
      </c>
      <c r="D230" s="5" t="s">
        <v>16</v>
      </c>
      <c r="E230" s="7" t="s">
        <v>210</v>
      </c>
      <c r="F230" s="7">
        <v>901228</v>
      </c>
      <c r="G230" s="5" t="s">
        <v>139</v>
      </c>
      <c r="H230" s="7">
        <v>28010179</v>
      </c>
      <c r="I230" s="5" t="s">
        <v>358</v>
      </c>
      <c r="J230" s="5" t="s">
        <v>210</v>
      </c>
      <c r="K230" s="5" t="s">
        <v>59</v>
      </c>
      <c r="L230" s="5" t="s">
        <v>60</v>
      </c>
      <c r="M230" s="5"/>
      <c r="N230" s="6"/>
      <c r="O230" s="6"/>
    </row>
    <row r="231" spans="1:15">
      <c r="A231" s="5" t="s">
        <v>53</v>
      </c>
      <c r="B231" s="5" t="s">
        <v>54</v>
      </c>
      <c r="C231" s="5" t="s">
        <v>61</v>
      </c>
      <c r="D231" s="5" t="s">
        <v>15</v>
      </c>
      <c r="E231" s="7" t="s">
        <v>99</v>
      </c>
      <c r="F231" s="7">
        <v>901229</v>
      </c>
      <c r="G231" s="5" t="s">
        <v>141</v>
      </c>
      <c r="H231" s="7">
        <v>28010180</v>
      </c>
      <c r="I231" s="5" t="s">
        <v>359</v>
      </c>
      <c r="J231" s="5" t="s">
        <v>99</v>
      </c>
      <c r="K231" s="5" t="s">
        <v>59</v>
      </c>
      <c r="L231" s="5" t="s">
        <v>60</v>
      </c>
      <c r="M231" s="5"/>
      <c r="N231" s="6"/>
      <c r="O231" s="6"/>
    </row>
    <row r="232" spans="1:15">
      <c r="A232" s="5" t="s">
        <v>53</v>
      </c>
      <c r="B232" s="5" t="s">
        <v>29</v>
      </c>
      <c r="C232" s="5" t="s">
        <v>55</v>
      </c>
      <c r="D232" s="5" t="s">
        <v>14</v>
      </c>
      <c r="E232" s="7" t="s">
        <v>99</v>
      </c>
      <c r="F232" s="7">
        <v>901230</v>
      </c>
      <c r="G232" s="5" t="s">
        <v>139</v>
      </c>
      <c r="H232" s="7">
        <v>28010181</v>
      </c>
      <c r="I232" s="5" t="s">
        <v>360</v>
      </c>
      <c r="J232" s="5" t="s">
        <v>99</v>
      </c>
      <c r="K232" s="5" t="s">
        <v>59</v>
      </c>
      <c r="L232" s="5" t="s">
        <v>60</v>
      </c>
      <c r="M232" s="5"/>
      <c r="N232" s="6"/>
      <c r="O232" s="6"/>
    </row>
    <row r="233" spans="1:15">
      <c r="A233" s="5" t="s">
        <v>53</v>
      </c>
      <c r="B233" s="5" t="s">
        <v>54</v>
      </c>
      <c r="C233" s="5" t="s">
        <v>61</v>
      </c>
      <c r="D233" s="5" t="s">
        <v>16</v>
      </c>
      <c r="E233" s="7" t="s">
        <v>99</v>
      </c>
      <c r="F233" s="7">
        <v>901231</v>
      </c>
      <c r="G233" s="5" t="s">
        <v>129</v>
      </c>
      <c r="H233" s="7">
        <v>28010182</v>
      </c>
      <c r="I233" s="5" t="s">
        <v>361</v>
      </c>
      <c r="J233" s="5" t="s">
        <v>99</v>
      </c>
      <c r="K233" s="5" t="s">
        <v>59</v>
      </c>
      <c r="L233" s="5" t="s">
        <v>60</v>
      </c>
      <c r="M233" s="5"/>
      <c r="N233" s="6"/>
      <c r="O233" s="6"/>
    </row>
    <row r="234" spans="1:15">
      <c r="A234" s="5" t="s">
        <v>53</v>
      </c>
      <c r="B234" s="5" t="s">
        <v>54</v>
      </c>
      <c r="C234" s="5" t="s">
        <v>107</v>
      </c>
      <c r="D234" s="5" t="s">
        <v>27</v>
      </c>
      <c r="E234" s="7" t="s">
        <v>99</v>
      </c>
      <c r="F234" s="7">
        <v>90001232</v>
      </c>
      <c r="G234" s="5" t="s">
        <v>142</v>
      </c>
      <c r="H234" s="7">
        <v>28010183</v>
      </c>
      <c r="I234" s="5" t="s">
        <v>362</v>
      </c>
      <c r="J234" s="5" t="s">
        <v>210</v>
      </c>
      <c r="K234" s="5" t="s">
        <v>59</v>
      </c>
      <c r="L234" s="5" t="s">
        <v>60</v>
      </c>
      <c r="M234" s="5"/>
      <c r="N234" s="6"/>
      <c r="O234" s="6"/>
    </row>
    <row r="235" spans="1:15">
      <c r="A235" s="5" t="s">
        <v>53</v>
      </c>
      <c r="B235" s="5" t="s">
        <v>54</v>
      </c>
      <c r="C235" s="5" t="s">
        <v>80</v>
      </c>
      <c r="D235" s="5" t="s">
        <v>21</v>
      </c>
      <c r="E235" s="7" t="s">
        <v>99</v>
      </c>
      <c r="F235" s="7">
        <v>901233</v>
      </c>
      <c r="G235" s="5" t="s">
        <v>144</v>
      </c>
      <c r="H235" s="7">
        <v>28010184</v>
      </c>
      <c r="I235" s="5" t="s">
        <v>363</v>
      </c>
      <c r="J235" s="5" t="s">
        <v>210</v>
      </c>
      <c r="K235" s="5" t="s">
        <v>59</v>
      </c>
      <c r="L235" s="5" t="s">
        <v>60</v>
      </c>
      <c r="M235" s="5"/>
      <c r="N235" s="6"/>
      <c r="O235" s="6"/>
    </row>
    <row r="236" spans="1:15">
      <c r="A236" s="5" t="s">
        <v>53</v>
      </c>
      <c r="B236" s="5" t="s">
        <v>54</v>
      </c>
      <c r="C236" s="5" t="s">
        <v>96</v>
      </c>
      <c r="D236" s="5" t="s">
        <v>19</v>
      </c>
      <c r="E236" s="7" t="s">
        <v>99</v>
      </c>
      <c r="F236" s="7">
        <v>901234</v>
      </c>
      <c r="G236" s="5" t="s">
        <v>139</v>
      </c>
      <c r="H236" s="7">
        <v>28010185</v>
      </c>
      <c r="I236" s="5" t="s">
        <v>364</v>
      </c>
      <c r="J236" s="5" t="s">
        <v>210</v>
      </c>
      <c r="K236" s="5" t="s">
        <v>59</v>
      </c>
      <c r="L236" s="5" t="s">
        <v>60</v>
      </c>
      <c r="M236" s="5"/>
      <c r="N236" s="6"/>
      <c r="O236" s="6"/>
    </row>
    <row r="237" spans="1:15">
      <c r="A237" s="5" t="s">
        <v>53</v>
      </c>
      <c r="B237" s="5" t="s">
        <v>54</v>
      </c>
      <c r="C237" s="5" t="s">
        <v>61</v>
      </c>
      <c r="D237" s="5" t="s">
        <v>16</v>
      </c>
      <c r="E237" s="7" t="s">
        <v>128</v>
      </c>
      <c r="F237" s="7">
        <v>90001235</v>
      </c>
      <c r="G237" s="5" t="s">
        <v>131</v>
      </c>
      <c r="H237" s="7">
        <v>28010186</v>
      </c>
      <c r="I237" s="5" t="s">
        <v>365</v>
      </c>
      <c r="J237" s="5" t="s">
        <v>128</v>
      </c>
      <c r="K237" s="5" t="s">
        <v>59</v>
      </c>
      <c r="L237" s="5" t="s">
        <v>60</v>
      </c>
      <c r="M237" s="5"/>
      <c r="N237" s="6"/>
      <c r="O237" s="6"/>
    </row>
    <row r="238" spans="1:15">
      <c r="A238" s="5" t="s">
        <v>53</v>
      </c>
      <c r="B238" s="5" t="s">
        <v>54</v>
      </c>
      <c r="C238" s="5" t="s">
        <v>61</v>
      </c>
      <c r="D238" s="5" t="s">
        <v>16</v>
      </c>
      <c r="E238" s="7" t="s">
        <v>128</v>
      </c>
      <c r="F238" s="7">
        <v>901236</v>
      </c>
      <c r="G238" s="5" t="s">
        <v>137</v>
      </c>
      <c r="H238" s="7">
        <v>28010187</v>
      </c>
      <c r="I238" s="5" t="s">
        <v>366</v>
      </c>
      <c r="J238" s="5" t="s">
        <v>128</v>
      </c>
      <c r="K238" s="5" t="s">
        <v>59</v>
      </c>
      <c r="L238" s="5" t="s">
        <v>60</v>
      </c>
      <c r="M238" s="5"/>
      <c r="N238" s="6"/>
      <c r="O238" s="6"/>
    </row>
    <row r="239" spans="1:15">
      <c r="A239" s="5" t="s">
        <v>53</v>
      </c>
      <c r="B239" s="5" t="s">
        <v>54</v>
      </c>
      <c r="C239" s="5" t="s">
        <v>61</v>
      </c>
      <c r="D239" s="5" t="s">
        <v>16</v>
      </c>
      <c r="E239" s="7" t="s">
        <v>128</v>
      </c>
      <c r="F239" s="7">
        <v>901237</v>
      </c>
      <c r="G239" s="5" t="s">
        <v>170</v>
      </c>
      <c r="H239" s="7">
        <v>28010188</v>
      </c>
      <c r="I239" s="5" t="s">
        <v>367</v>
      </c>
      <c r="J239" s="5" t="s">
        <v>128</v>
      </c>
      <c r="K239" s="5" t="s">
        <v>59</v>
      </c>
      <c r="L239" s="5" t="s">
        <v>60</v>
      </c>
      <c r="M239" s="5"/>
      <c r="N239" s="6"/>
      <c r="O239" s="6"/>
    </row>
    <row r="240" spans="1:15">
      <c r="A240" s="5" t="s">
        <v>53</v>
      </c>
      <c r="B240" s="5" t="s">
        <v>54</v>
      </c>
      <c r="C240" s="5" t="s">
        <v>61</v>
      </c>
      <c r="D240" s="5" t="s">
        <v>16</v>
      </c>
      <c r="E240" s="7" t="s">
        <v>128</v>
      </c>
      <c r="F240" s="7">
        <v>901238</v>
      </c>
      <c r="G240" s="5" t="s">
        <v>146</v>
      </c>
      <c r="H240" s="7">
        <v>28010189</v>
      </c>
      <c r="I240" s="5" t="s">
        <v>368</v>
      </c>
      <c r="J240" s="5" t="s">
        <v>128</v>
      </c>
      <c r="K240" s="5" t="s">
        <v>59</v>
      </c>
      <c r="L240" s="5" t="s">
        <v>60</v>
      </c>
      <c r="M240" s="5"/>
      <c r="N240" s="6"/>
      <c r="O240" s="6"/>
    </row>
    <row r="241" spans="1:15">
      <c r="A241" s="5" t="s">
        <v>53</v>
      </c>
      <c r="B241" s="5" t="s">
        <v>54</v>
      </c>
      <c r="C241" s="5" t="s">
        <v>61</v>
      </c>
      <c r="D241" s="5" t="s">
        <v>16</v>
      </c>
      <c r="E241" s="7" t="s">
        <v>128</v>
      </c>
      <c r="F241" s="7">
        <v>901239</v>
      </c>
      <c r="G241" s="5" t="s">
        <v>172</v>
      </c>
      <c r="H241" s="7">
        <v>28010190</v>
      </c>
      <c r="I241" s="5" t="s">
        <v>369</v>
      </c>
      <c r="J241" s="5" t="s">
        <v>128</v>
      </c>
      <c r="K241" s="5" t="s">
        <v>59</v>
      </c>
      <c r="L241" s="5" t="s">
        <v>60</v>
      </c>
      <c r="M241" s="5"/>
      <c r="N241" s="6"/>
      <c r="O241" s="6"/>
    </row>
    <row r="242" spans="1:15">
      <c r="A242" s="5" t="s">
        <v>53</v>
      </c>
      <c r="B242" s="5" t="s">
        <v>54</v>
      </c>
      <c r="C242" s="5" t="s">
        <v>61</v>
      </c>
      <c r="D242" s="5" t="s">
        <v>16</v>
      </c>
      <c r="E242" s="7" t="s">
        <v>128</v>
      </c>
      <c r="F242" s="7">
        <v>901240</v>
      </c>
      <c r="G242" s="5" t="s">
        <v>137</v>
      </c>
      <c r="H242" s="7">
        <v>28010191</v>
      </c>
      <c r="I242" s="5" t="s">
        <v>370</v>
      </c>
      <c r="J242" s="5" t="s">
        <v>128</v>
      </c>
      <c r="K242" s="5" t="s">
        <v>59</v>
      </c>
      <c r="L242" s="5" t="s">
        <v>60</v>
      </c>
      <c r="M242" s="5"/>
      <c r="N242" s="6"/>
      <c r="O242" s="6"/>
    </row>
    <row r="243" spans="1:15">
      <c r="A243" s="5" t="s">
        <v>53</v>
      </c>
      <c r="B243" s="5" t="s">
        <v>54</v>
      </c>
      <c r="C243" s="5" t="s">
        <v>80</v>
      </c>
      <c r="D243" s="5" t="s">
        <v>21</v>
      </c>
      <c r="E243" s="7" t="s">
        <v>128</v>
      </c>
      <c r="F243" s="7">
        <v>901241</v>
      </c>
      <c r="G243" s="5" t="s">
        <v>139</v>
      </c>
      <c r="H243" s="7">
        <v>28010192</v>
      </c>
      <c r="I243" s="5" t="s">
        <v>371</v>
      </c>
      <c r="J243" s="5" t="s">
        <v>99</v>
      </c>
      <c r="K243" s="5" t="s">
        <v>59</v>
      </c>
      <c r="L243" s="5" t="s">
        <v>60</v>
      </c>
      <c r="M243" s="5"/>
      <c r="N243" s="6"/>
      <c r="O243" s="6"/>
    </row>
    <row r="244" spans="1:15">
      <c r="A244" s="5" t="s">
        <v>53</v>
      </c>
      <c r="B244" s="5" t="s">
        <v>54</v>
      </c>
      <c r="C244" s="5" t="s">
        <v>61</v>
      </c>
      <c r="D244" s="5" t="s">
        <v>16</v>
      </c>
      <c r="E244" s="7" t="s">
        <v>128</v>
      </c>
      <c r="F244" s="7">
        <v>901242</v>
      </c>
      <c r="G244" s="5" t="s">
        <v>133</v>
      </c>
      <c r="H244" s="7">
        <v>28010193</v>
      </c>
      <c r="I244" s="5" t="s">
        <v>372</v>
      </c>
      <c r="J244" s="5" t="s">
        <v>128</v>
      </c>
      <c r="K244" s="5" t="s">
        <v>59</v>
      </c>
      <c r="L244" s="5" t="s">
        <v>60</v>
      </c>
      <c r="M244" s="5"/>
      <c r="N244" s="6"/>
      <c r="O244" s="6"/>
    </row>
    <row r="245" spans="1:15">
      <c r="A245" s="5" t="s">
        <v>53</v>
      </c>
      <c r="B245" s="5" t="s">
        <v>54</v>
      </c>
      <c r="C245" s="5" t="s">
        <v>61</v>
      </c>
      <c r="D245" s="5" t="s">
        <v>15</v>
      </c>
      <c r="E245" s="7" t="s">
        <v>128</v>
      </c>
      <c r="F245" s="7">
        <v>901243</v>
      </c>
      <c r="G245" s="5" t="s">
        <v>170</v>
      </c>
      <c r="H245" s="7"/>
      <c r="I245" s="5"/>
      <c r="J245" s="5"/>
      <c r="K245" s="5"/>
      <c r="L245" s="5" t="s">
        <v>63</v>
      </c>
      <c r="M245" s="5"/>
      <c r="N245" s="6"/>
      <c r="O245" s="6"/>
    </row>
    <row r="246" spans="1:15">
      <c r="A246" s="5" t="s">
        <v>53</v>
      </c>
      <c r="B246" s="5" t="s">
        <v>54</v>
      </c>
      <c r="C246" s="5" t="s">
        <v>75</v>
      </c>
      <c r="D246" s="5" t="s">
        <v>25</v>
      </c>
      <c r="E246" s="7" t="s">
        <v>128</v>
      </c>
      <c r="F246" s="7">
        <v>901244</v>
      </c>
      <c r="G246" s="5" t="s">
        <v>139</v>
      </c>
      <c r="H246" s="7">
        <v>28010194</v>
      </c>
      <c r="I246" s="5" t="s">
        <v>373</v>
      </c>
      <c r="J246" s="5" t="s">
        <v>99</v>
      </c>
      <c r="K246" s="5" t="s">
        <v>59</v>
      </c>
      <c r="L246" s="5" t="s">
        <v>60</v>
      </c>
      <c r="M246" s="5"/>
      <c r="N246" s="6"/>
      <c r="O246" s="6"/>
    </row>
    <row r="247" spans="1:15">
      <c r="A247" s="5" t="s">
        <v>53</v>
      </c>
      <c r="B247" s="5" t="s">
        <v>54</v>
      </c>
      <c r="C247" s="5" t="s">
        <v>61</v>
      </c>
      <c r="D247" s="5" t="s">
        <v>16</v>
      </c>
      <c r="E247" s="7" t="s">
        <v>56</v>
      </c>
      <c r="F247" s="7">
        <v>901245</v>
      </c>
      <c r="G247" s="5" t="s">
        <v>137</v>
      </c>
      <c r="H247" s="7">
        <v>28010195</v>
      </c>
      <c r="I247" s="5" t="s">
        <v>374</v>
      </c>
      <c r="J247" s="5" t="s">
        <v>128</v>
      </c>
      <c r="K247" s="5" t="s">
        <v>59</v>
      </c>
      <c r="L247" s="5" t="s">
        <v>60</v>
      </c>
      <c r="M247" s="5"/>
      <c r="N247" s="6"/>
      <c r="O247" s="6"/>
    </row>
    <row r="248" spans="1:15">
      <c r="A248" s="5" t="s">
        <v>53</v>
      </c>
      <c r="B248" s="5" t="s">
        <v>54</v>
      </c>
      <c r="C248" s="5" t="s">
        <v>61</v>
      </c>
      <c r="D248" s="5" t="s">
        <v>16</v>
      </c>
      <c r="E248" s="7" t="s">
        <v>56</v>
      </c>
      <c r="F248" s="7">
        <v>901246</v>
      </c>
      <c r="G248" s="5" t="s">
        <v>70</v>
      </c>
      <c r="H248" s="7">
        <v>28010196</v>
      </c>
      <c r="I248" s="5" t="s">
        <v>375</v>
      </c>
      <c r="J248" s="5" t="s">
        <v>56</v>
      </c>
      <c r="K248" s="5" t="s">
        <v>59</v>
      </c>
      <c r="L248" s="5" t="s">
        <v>60</v>
      </c>
      <c r="M248" s="5"/>
      <c r="N248" s="6"/>
      <c r="O248" s="6"/>
    </row>
    <row r="249" spans="1:15">
      <c r="A249" s="5" t="s">
        <v>53</v>
      </c>
      <c r="B249" s="5" t="s">
        <v>54</v>
      </c>
      <c r="C249" s="5" t="s">
        <v>61</v>
      </c>
      <c r="D249" s="5" t="s">
        <v>16</v>
      </c>
      <c r="E249" s="7" t="s">
        <v>56</v>
      </c>
      <c r="F249" s="7">
        <v>901247</v>
      </c>
      <c r="G249" s="5" t="s">
        <v>137</v>
      </c>
      <c r="H249" s="7">
        <v>28010197</v>
      </c>
      <c r="I249" s="5" t="s">
        <v>376</v>
      </c>
      <c r="J249" s="5" t="s">
        <v>56</v>
      </c>
      <c r="K249" s="5" t="s">
        <v>59</v>
      </c>
      <c r="L249" s="5" t="s">
        <v>60</v>
      </c>
      <c r="M249" s="5"/>
      <c r="N249" s="6"/>
      <c r="O249" s="6"/>
    </row>
    <row r="250" spans="1:15">
      <c r="A250" s="5" t="s">
        <v>53</v>
      </c>
      <c r="B250" s="5" t="s">
        <v>54</v>
      </c>
      <c r="C250" s="5" t="s">
        <v>61</v>
      </c>
      <c r="D250" s="5" t="s">
        <v>16</v>
      </c>
      <c r="E250" s="7" t="s">
        <v>56</v>
      </c>
      <c r="F250" s="7">
        <v>901248</v>
      </c>
      <c r="G250" s="5" t="s">
        <v>148</v>
      </c>
      <c r="H250" s="7">
        <v>28010198</v>
      </c>
      <c r="I250" s="5" t="s">
        <v>377</v>
      </c>
      <c r="J250" s="5" t="s">
        <v>56</v>
      </c>
      <c r="K250" s="5" t="s">
        <v>59</v>
      </c>
      <c r="L250" s="5" t="s">
        <v>60</v>
      </c>
      <c r="M250" s="5"/>
      <c r="N250" s="6"/>
      <c r="O250" s="6"/>
    </row>
    <row r="251" spans="1:15">
      <c r="A251" s="5" t="s">
        <v>53</v>
      </c>
      <c r="B251" s="5" t="s">
        <v>54</v>
      </c>
      <c r="C251" s="5" t="s">
        <v>61</v>
      </c>
      <c r="D251" s="5" t="s">
        <v>16</v>
      </c>
      <c r="E251" s="7" t="s">
        <v>56</v>
      </c>
      <c r="F251" s="7">
        <v>901249</v>
      </c>
      <c r="G251" s="5" t="s">
        <v>70</v>
      </c>
      <c r="H251" s="7">
        <v>28010199</v>
      </c>
      <c r="I251" s="5" t="s">
        <v>378</v>
      </c>
      <c r="J251" s="5" t="s">
        <v>56</v>
      </c>
      <c r="K251" s="5" t="s">
        <v>59</v>
      </c>
      <c r="L251" s="5" t="s">
        <v>60</v>
      </c>
      <c r="M251" s="5"/>
      <c r="N251" s="6"/>
      <c r="O251" s="6"/>
    </row>
    <row r="252" spans="1:15">
      <c r="A252" s="5" t="s">
        <v>53</v>
      </c>
      <c r="B252" s="5" t="s">
        <v>54</v>
      </c>
      <c r="C252" s="5" t="s">
        <v>61</v>
      </c>
      <c r="D252" s="5" t="s">
        <v>16</v>
      </c>
      <c r="E252" s="7" t="s">
        <v>56</v>
      </c>
      <c r="F252" s="7">
        <v>90001250</v>
      </c>
      <c r="G252" s="5" t="s">
        <v>172</v>
      </c>
      <c r="H252" s="7">
        <v>28010200</v>
      </c>
      <c r="I252" s="5" t="s">
        <v>379</v>
      </c>
      <c r="J252" s="5" t="s">
        <v>128</v>
      </c>
      <c r="K252" s="5" t="s">
        <v>59</v>
      </c>
      <c r="L252" s="5" t="s">
        <v>60</v>
      </c>
      <c r="M252" s="5"/>
      <c r="N252" s="6"/>
      <c r="O252" s="6"/>
    </row>
    <row r="253" spans="1:15">
      <c r="A253" s="5" t="s">
        <v>53</v>
      </c>
      <c r="B253" s="5" t="s">
        <v>54</v>
      </c>
      <c r="C253" s="5" t="s">
        <v>61</v>
      </c>
      <c r="D253" s="5" t="s">
        <v>16</v>
      </c>
      <c r="E253" s="7" t="s">
        <v>56</v>
      </c>
      <c r="F253" s="7">
        <v>901251</v>
      </c>
      <c r="G253" s="5" t="s">
        <v>151</v>
      </c>
      <c r="H253" s="7">
        <v>28010201</v>
      </c>
      <c r="I253" s="5" t="s">
        <v>380</v>
      </c>
      <c r="J253" s="5" t="s">
        <v>56</v>
      </c>
      <c r="K253" s="5" t="s">
        <v>59</v>
      </c>
      <c r="L253" s="5" t="s">
        <v>60</v>
      </c>
      <c r="M253" s="5"/>
      <c r="N253" s="6"/>
      <c r="O253" s="6"/>
    </row>
    <row r="254" spans="1:15">
      <c r="A254" s="5" t="s">
        <v>53</v>
      </c>
      <c r="B254" s="5" t="s">
        <v>54</v>
      </c>
      <c r="C254" s="5" t="s">
        <v>61</v>
      </c>
      <c r="D254" s="5" t="s">
        <v>16</v>
      </c>
      <c r="E254" s="7" t="s">
        <v>72</v>
      </c>
      <c r="F254" s="7">
        <v>901252</v>
      </c>
      <c r="G254" s="5" t="s">
        <v>62</v>
      </c>
      <c r="H254" s="7">
        <v>28010202</v>
      </c>
      <c r="I254" s="5" t="s">
        <v>381</v>
      </c>
      <c r="J254" s="5" t="s">
        <v>72</v>
      </c>
      <c r="K254" s="5" t="s">
        <v>59</v>
      </c>
      <c r="L254" s="5" t="s">
        <v>60</v>
      </c>
      <c r="M254" s="5"/>
      <c r="N254" s="6"/>
      <c r="O254" s="6"/>
    </row>
    <row r="255" spans="1:15">
      <c r="A255" s="5" t="s">
        <v>53</v>
      </c>
      <c r="B255" s="5" t="s">
        <v>29</v>
      </c>
      <c r="C255" s="5" t="s">
        <v>55</v>
      </c>
      <c r="D255" s="5" t="s">
        <v>14</v>
      </c>
      <c r="E255" s="98" t="s">
        <v>128</v>
      </c>
      <c r="F255" s="7">
        <v>901253</v>
      </c>
      <c r="G255" s="5" t="s">
        <v>153</v>
      </c>
      <c r="H255" s="7"/>
      <c r="I255" s="5"/>
      <c r="J255" s="5"/>
      <c r="K255" s="5"/>
      <c r="L255" s="5" t="s">
        <v>63</v>
      </c>
      <c r="M255" s="5"/>
      <c r="N255" s="6"/>
      <c r="O255" s="6"/>
    </row>
    <row r="256" spans="1:15">
      <c r="A256" s="5" t="s">
        <v>53</v>
      </c>
      <c r="B256" s="5" t="s">
        <v>54</v>
      </c>
      <c r="C256" s="5" t="s">
        <v>61</v>
      </c>
      <c r="D256" s="5" t="s">
        <v>16</v>
      </c>
      <c r="E256" s="7" t="s">
        <v>72</v>
      </c>
      <c r="F256" s="7">
        <v>901254</v>
      </c>
      <c r="G256" s="5" t="s">
        <v>70</v>
      </c>
      <c r="H256" s="7">
        <v>28010203</v>
      </c>
      <c r="I256" s="5" t="s">
        <v>382</v>
      </c>
      <c r="J256" s="5" t="s">
        <v>72</v>
      </c>
      <c r="K256" s="5" t="s">
        <v>59</v>
      </c>
      <c r="L256" s="5" t="s">
        <v>60</v>
      </c>
      <c r="M256" s="5"/>
      <c r="N256" s="6"/>
      <c r="O256" s="6"/>
    </row>
    <row r="257" spans="1:15">
      <c r="A257" s="5" t="s">
        <v>53</v>
      </c>
      <c r="B257" s="5" t="s">
        <v>54</v>
      </c>
      <c r="C257" s="5" t="s">
        <v>61</v>
      </c>
      <c r="D257" s="5" t="s">
        <v>16</v>
      </c>
      <c r="E257" s="7" t="s">
        <v>72</v>
      </c>
      <c r="F257" s="7">
        <v>901255</v>
      </c>
      <c r="G257" s="5" t="s">
        <v>70</v>
      </c>
      <c r="H257" s="7">
        <v>28010204</v>
      </c>
      <c r="I257" s="5" t="s">
        <v>383</v>
      </c>
      <c r="J257" s="5" t="s">
        <v>56</v>
      </c>
      <c r="K257" s="5" t="s">
        <v>59</v>
      </c>
      <c r="L257" s="5" t="s">
        <v>60</v>
      </c>
      <c r="M257" s="5"/>
      <c r="N257" s="6"/>
      <c r="O257" s="6"/>
    </row>
    <row r="258" spans="1:15">
      <c r="A258" s="5" t="s">
        <v>53</v>
      </c>
      <c r="B258" s="5" t="s">
        <v>30</v>
      </c>
      <c r="C258" s="5" t="s">
        <v>107</v>
      </c>
      <c r="D258" s="5" t="s">
        <v>19</v>
      </c>
      <c r="E258" s="7" t="s">
        <v>128</v>
      </c>
      <c r="F258" s="7">
        <v>901256</v>
      </c>
      <c r="G258" s="5" t="s">
        <v>153</v>
      </c>
      <c r="H258" s="7"/>
      <c r="I258" s="5"/>
      <c r="J258" s="5"/>
      <c r="K258" s="5"/>
      <c r="L258" s="5" t="s">
        <v>63</v>
      </c>
      <c r="M258" s="5"/>
      <c r="N258" s="6"/>
      <c r="O258" s="6"/>
    </row>
    <row r="259" spans="1:15">
      <c r="A259" s="5" t="s">
        <v>53</v>
      </c>
      <c r="B259" s="5" t="s">
        <v>54</v>
      </c>
      <c r="C259" s="5" t="s">
        <v>61</v>
      </c>
      <c r="D259" s="5" t="s">
        <v>16</v>
      </c>
      <c r="E259" s="7" t="s">
        <v>109</v>
      </c>
      <c r="F259" s="7">
        <v>901257</v>
      </c>
      <c r="G259" s="5" t="s">
        <v>111</v>
      </c>
      <c r="H259" s="7">
        <v>28010205</v>
      </c>
      <c r="I259" s="5" t="s">
        <v>384</v>
      </c>
      <c r="J259" s="5" t="s">
        <v>109</v>
      </c>
      <c r="K259" s="5" t="s">
        <v>59</v>
      </c>
      <c r="L259" s="5" t="s">
        <v>60</v>
      </c>
      <c r="M259" s="5"/>
      <c r="N259" s="6"/>
      <c r="O259" s="6"/>
    </row>
    <row r="260" spans="1:15">
      <c r="A260" s="5" t="s">
        <v>53</v>
      </c>
      <c r="B260" s="5" t="s">
        <v>64</v>
      </c>
      <c r="C260" s="5" t="s">
        <v>65</v>
      </c>
      <c r="D260" s="5" t="s">
        <v>17</v>
      </c>
      <c r="E260" s="7" t="s">
        <v>128</v>
      </c>
      <c r="F260" s="7">
        <v>901258</v>
      </c>
      <c r="G260" s="5" t="s">
        <v>220</v>
      </c>
      <c r="H260" s="7">
        <v>28010206</v>
      </c>
      <c r="I260" s="5" t="s">
        <v>385</v>
      </c>
      <c r="J260" s="5" t="s">
        <v>99</v>
      </c>
      <c r="K260" s="5" t="s">
        <v>59</v>
      </c>
      <c r="L260" s="5" t="s">
        <v>60</v>
      </c>
      <c r="M260" s="5"/>
      <c r="N260" s="6"/>
      <c r="O260" s="6"/>
    </row>
    <row r="261" spans="1:15">
      <c r="A261" s="5" t="s">
        <v>53</v>
      </c>
      <c r="B261" s="5" t="s">
        <v>54</v>
      </c>
      <c r="C261" s="5" t="s">
        <v>80</v>
      </c>
      <c r="D261" s="5" t="s">
        <v>21</v>
      </c>
      <c r="E261" s="7" t="s">
        <v>56</v>
      </c>
      <c r="F261" s="7">
        <v>901259</v>
      </c>
      <c r="G261" s="5" t="s">
        <v>157</v>
      </c>
      <c r="H261" s="7">
        <v>28010207</v>
      </c>
      <c r="I261" s="5" t="s">
        <v>386</v>
      </c>
      <c r="J261" s="5" t="s">
        <v>56</v>
      </c>
      <c r="K261" s="5" t="s">
        <v>59</v>
      </c>
      <c r="L261" s="5" t="s">
        <v>60</v>
      </c>
      <c r="M261" s="5"/>
      <c r="N261" s="6"/>
      <c r="O261" s="6"/>
    </row>
    <row r="262" spans="1:15">
      <c r="A262" s="5" t="s">
        <v>53</v>
      </c>
      <c r="B262" s="5" t="s">
        <v>29</v>
      </c>
      <c r="C262" s="5" t="s">
        <v>55</v>
      </c>
      <c r="D262" s="5" t="s">
        <v>14</v>
      </c>
      <c r="E262" s="7" t="s">
        <v>69</v>
      </c>
      <c r="F262" s="7">
        <v>90001260</v>
      </c>
      <c r="G262" s="5" t="s">
        <v>160</v>
      </c>
      <c r="H262" s="7">
        <v>28010208</v>
      </c>
      <c r="I262" s="5" t="s">
        <v>387</v>
      </c>
      <c r="J262" s="5" t="s">
        <v>69</v>
      </c>
      <c r="K262" s="5" t="s">
        <v>59</v>
      </c>
      <c r="L262" s="5" t="s">
        <v>60</v>
      </c>
      <c r="M262" s="5"/>
      <c r="N262" s="6"/>
      <c r="O262" s="6"/>
    </row>
    <row r="263" spans="1:15">
      <c r="A263" s="5" t="s">
        <v>53</v>
      </c>
      <c r="B263" s="5" t="s">
        <v>29</v>
      </c>
      <c r="C263" s="5" t="s">
        <v>55</v>
      </c>
      <c r="D263" s="5" t="s">
        <v>14</v>
      </c>
      <c r="E263" s="7" t="s">
        <v>69</v>
      </c>
      <c r="F263" s="7">
        <v>90001261</v>
      </c>
      <c r="G263" s="5" t="s">
        <v>162</v>
      </c>
      <c r="H263" s="7">
        <v>28010209</v>
      </c>
      <c r="I263" s="5" t="s">
        <v>388</v>
      </c>
      <c r="J263" s="5" t="s">
        <v>69</v>
      </c>
      <c r="K263" s="5" t="s">
        <v>59</v>
      </c>
      <c r="L263" s="5" t="s">
        <v>60</v>
      </c>
      <c r="M263" s="5"/>
      <c r="N263" s="6"/>
      <c r="O263" s="6"/>
    </row>
    <row r="264" spans="1:15">
      <c r="A264" s="5" t="s">
        <v>53</v>
      </c>
      <c r="B264" s="5" t="s">
        <v>31</v>
      </c>
      <c r="C264" s="5" t="s">
        <v>65</v>
      </c>
      <c r="D264" s="5" t="s">
        <v>10</v>
      </c>
      <c r="E264" s="7" t="s">
        <v>69</v>
      </c>
      <c r="F264" s="7">
        <v>901262</v>
      </c>
      <c r="G264" s="5" t="s">
        <v>165</v>
      </c>
      <c r="H264" s="7">
        <v>28010210</v>
      </c>
      <c r="I264" s="5" t="s">
        <v>389</v>
      </c>
      <c r="J264" s="5" t="s">
        <v>69</v>
      </c>
      <c r="K264" s="5" t="s">
        <v>59</v>
      </c>
      <c r="L264" s="5" t="s">
        <v>60</v>
      </c>
      <c r="M264" s="5"/>
      <c r="N264" s="6"/>
      <c r="O264" s="6"/>
    </row>
    <row r="265" spans="1:15">
      <c r="A265" s="5" t="s">
        <v>53</v>
      </c>
      <c r="B265" s="5" t="s">
        <v>31</v>
      </c>
      <c r="C265" s="5" t="s">
        <v>65</v>
      </c>
      <c r="D265" s="5" t="s">
        <v>10</v>
      </c>
      <c r="E265" s="7" t="s">
        <v>69</v>
      </c>
      <c r="F265" s="7">
        <v>90001263</v>
      </c>
      <c r="G265" s="5" t="s">
        <v>166</v>
      </c>
      <c r="H265" s="7">
        <v>28010211</v>
      </c>
      <c r="I265" s="5" t="s">
        <v>390</v>
      </c>
      <c r="J265" s="5" t="s">
        <v>69</v>
      </c>
      <c r="K265" s="5" t="s">
        <v>59</v>
      </c>
      <c r="L265" s="5" t="s">
        <v>60</v>
      </c>
      <c r="M265" s="5"/>
      <c r="N265" s="6"/>
      <c r="O265" s="6"/>
    </row>
    <row r="266" spans="1:15">
      <c r="A266" s="5" t="s">
        <v>53</v>
      </c>
      <c r="B266" s="5" t="s">
        <v>31</v>
      </c>
      <c r="C266" s="5" t="s">
        <v>65</v>
      </c>
      <c r="D266" s="5" t="s">
        <v>10</v>
      </c>
      <c r="E266" s="7" t="s">
        <v>210</v>
      </c>
      <c r="F266" s="7">
        <v>901264</v>
      </c>
      <c r="G266" s="5" t="s">
        <v>168</v>
      </c>
      <c r="H266" s="7">
        <v>28010212</v>
      </c>
      <c r="I266" s="5" t="s">
        <v>391</v>
      </c>
      <c r="J266" s="5" t="s">
        <v>210</v>
      </c>
      <c r="K266" s="5" t="s">
        <v>59</v>
      </c>
      <c r="L266" s="5" t="s">
        <v>60</v>
      </c>
      <c r="M266" s="5"/>
      <c r="N266" s="6"/>
      <c r="O266" s="6"/>
    </row>
    <row r="267" spans="1:15">
      <c r="A267" s="5" t="s">
        <v>53</v>
      </c>
      <c r="B267" s="5" t="s">
        <v>64</v>
      </c>
      <c r="C267" s="5" t="s">
        <v>80</v>
      </c>
      <c r="D267" s="5" t="s">
        <v>18</v>
      </c>
      <c r="E267" s="7" t="s">
        <v>210</v>
      </c>
      <c r="F267" s="7">
        <v>90001265</v>
      </c>
      <c r="G267" s="5" t="s">
        <v>170</v>
      </c>
      <c r="H267" s="7">
        <v>28010213</v>
      </c>
      <c r="I267" s="5" t="s">
        <v>392</v>
      </c>
      <c r="J267" s="5" t="s">
        <v>210</v>
      </c>
      <c r="K267" s="5" t="s">
        <v>59</v>
      </c>
      <c r="L267" s="5" t="s">
        <v>60</v>
      </c>
      <c r="M267" s="5"/>
      <c r="N267" s="6"/>
      <c r="O267" s="6"/>
    </row>
    <row r="268" spans="1:15">
      <c r="A268" s="5" t="s">
        <v>53</v>
      </c>
      <c r="B268" s="5" t="s">
        <v>31</v>
      </c>
      <c r="C268" s="5" t="s">
        <v>65</v>
      </c>
      <c r="D268" s="5" t="s">
        <v>10</v>
      </c>
      <c r="E268" s="7" t="s">
        <v>128</v>
      </c>
      <c r="F268" s="7">
        <v>901266</v>
      </c>
      <c r="G268" s="5" t="s">
        <v>172</v>
      </c>
      <c r="H268" s="7">
        <v>28010214</v>
      </c>
      <c r="I268" s="5" t="s">
        <v>393</v>
      </c>
      <c r="J268" s="5" t="s">
        <v>128</v>
      </c>
      <c r="K268" s="5" t="s">
        <v>59</v>
      </c>
      <c r="L268" s="5" t="s">
        <v>60</v>
      </c>
      <c r="M268" s="5"/>
      <c r="N268" s="6"/>
      <c r="O268" s="6"/>
    </row>
    <row r="269" spans="1:15">
      <c r="A269" s="5" t="s">
        <v>53</v>
      </c>
      <c r="B269" s="5" t="s">
        <v>64</v>
      </c>
      <c r="C269" s="5" t="s">
        <v>65</v>
      </c>
      <c r="D269" s="5" t="s">
        <v>17</v>
      </c>
      <c r="E269" s="7" t="s">
        <v>210</v>
      </c>
      <c r="F269" s="7">
        <v>90001267</v>
      </c>
      <c r="G269" s="5" t="s">
        <v>174</v>
      </c>
      <c r="H269" s="7">
        <v>28010215</v>
      </c>
      <c r="I269" s="5" t="s">
        <v>394</v>
      </c>
      <c r="J269" s="5" t="s">
        <v>210</v>
      </c>
      <c r="K269" s="5" t="s">
        <v>59</v>
      </c>
      <c r="L269" s="5" t="s">
        <v>60</v>
      </c>
      <c r="M269" s="5"/>
      <c r="N269" s="6"/>
      <c r="O269" s="6"/>
    </row>
    <row r="270" spans="1:15">
      <c r="A270" s="5" t="s">
        <v>53</v>
      </c>
      <c r="B270" s="5" t="s">
        <v>64</v>
      </c>
      <c r="C270" s="5" t="s">
        <v>65</v>
      </c>
      <c r="D270" s="5" t="s">
        <v>17</v>
      </c>
      <c r="E270" s="7" t="s">
        <v>99</v>
      </c>
      <c r="F270" s="7">
        <v>90001268</v>
      </c>
      <c r="G270" s="5" t="s">
        <v>176</v>
      </c>
      <c r="H270" s="7">
        <v>28010216</v>
      </c>
      <c r="I270" s="5" t="s">
        <v>395</v>
      </c>
      <c r="J270" s="5" t="s">
        <v>99</v>
      </c>
      <c r="K270" s="5" t="s">
        <v>59</v>
      </c>
      <c r="L270" s="5" t="s">
        <v>60</v>
      </c>
      <c r="M270" s="5"/>
      <c r="N270" s="6"/>
      <c r="O270" s="6"/>
    </row>
    <row r="271" spans="1:15">
      <c r="A271" s="5" t="s">
        <v>53</v>
      </c>
      <c r="B271" s="5" t="s">
        <v>64</v>
      </c>
      <c r="C271" s="5" t="s">
        <v>65</v>
      </c>
      <c r="D271" s="5" t="s">
        <v>17</v>
      </c>
      <c r="E271" s="7" t="s">
        <v>99</v>
      </c>
      <c r="F271" s="7">
        <v>90001269</v>
      </c>
      <c r="G271" s="5" t="s">
        <v>220</v>
      </c>
      <c r="H271" s="7">
        <v>28010217</v>
      </c>
      <c r="I271" s="5" t="s">
        <v>396</v>
      </c>
      <c r="J271" s="5" t="s">
        <v>99</v>
      </c>
      <c r="K271" s="5" t="s">
        <v>59</v>
      </c>
      <c r="L271" s="5" t="s">
        <v>60</v>
      </c>
      <c r="M271" s="5"/>
      <c r="N271" s="6"/>
      <c r="O271" s="6"/>
    </row>
    <row r="272" spans="1:15">
      <c r="A272" s="5" t="s">
        <v>53</v>
      </c>
      <c r="B272" s="5" t="s">
        <v>64</v>
      </c>
      <c r="C272" s="5" t="s">
        <v>65</v>
      </c>
      <c r="D272" s="5" t="s">
        <v>17</v>
      </c>
      <c r="E272" s="7" t="s">
        <v>99</v>
      </c>
      <c r="F272" s="7">
        <v>90001270</v>
      </c>
      <c r="G272" s="5" t="s">
        <v>220</v>
      </c>
      <c r="H272" s="7">
        <v>28010218</v>
      </c>
      <c r="I272" s="5" t="s">
        <v>397</v>
      </c>
      <c r="J272" s="5" t="s">
        <v>99</v>
      </c>
      <c r="K272" s="5" t="s">
        <v>59</v>
      </c>
      <c r="L272" s="5" t="s">
        <v>60</v>
      </c>
      <c r="M272" s="5"/>
      <c r="N272" s="6"/>
      <c r="O272" s="6"/>
    </row>
    <row r="273" spans="1:15">
      <c r="A273" s="5" t="s">
        <v>53</v>
      </c>
      <c r="B273" s="5" t="s">
        <v>64</v>
      </c>
      <c r="C273" s="5" t="s">
        <v>65</v>
      </c>
      <c r="D273" s="5" t="s">
        <v>17</v>
      </c>
      <c r="E273" s="7" t="s">
        <v>99</v>
      </c>
      <c r="F273" s="7">
        <v>90001271</v>
      </c>
      <c r="G273" s="5" t="s">
        <v>220</v>
      </c>
      <c r="H273" s="7">
        <v>28010219</v>
      </c>
      <c r="I273" s="5" t="s">
        <v>398</v>
      </c>
      <c r="J273" s="5" t="s">
        <v>210</v>
      </c>
      <c r="K273" s="5" t="s">
        <v>59</v>
      </c>
      <c r="L273" s="5" t="s">
        <v>60</v>
      </c>
      <c r="M273" s="5"/>
      <c r="N273" s="6"/>
      <c r="O273" s="6"/>
    </row>
    <row r="274" spans="1:15">
      <c r="A274" s="5" t="s">
        <v>53</v>
      </c>
      <c r="B274" s="5" t="s">
        <v>64</v>
      </c>
      <c r="C274" s="5" t="s">
        <v>65</v>
      </c>
      <c r="D274" s="5" t="s">
        <v>17</v>
      </c>
      <c r="E274" s="7" t="s">
        <v>56</v>
      </c>
      <c r="F274" s="7">
        <v>901272</v>
      </c>
      <c r="G274" s="5" t="s">
        <v>67</v>
      </c>
      <c r="H274" s="7">
        <v>28010220</v>
      </c>
      <c r="I274" s="5" t="s">
        <v>399</v>
      </c>
      <c r="J274" s="5" t="s">
        <v>56</v>
      </c>
      <c r="K274" s="5" t="s">
        <v>59</v>
      </c>
      <c r="L274" s="5" t="s">
        <v>60</v>
      </c>
      <c r="M274" s="5"/>
      <c r="N274" s="6"/>
      <c r="O274" s="6"/>
    </row>
    <row r="275" spans="1:15">
      <c r="A275" s="5" t="s">
        <v>53</v>
      </c>
      <c r="B275" s="5" t="s">
        <v>64</v>
      </c>
      <c r="C275" s="5" t="s">
        <v>65</v>
      </c>
      <c r="D275" s="5" t="s">
        <v>17</v>
      </c>
      <c r="E275" s="7" t="s">
        <v>56</v>
      </c>
      <c r="F275" s="7">
        <v>901273</v>
      </c>
      <c r="G275" s="5" t="s">
        <v>220</v>
      </c>
      <c r="H275" s="7">
        <v>28010221</v>
      </c>
      <c r="I275" s="5" t="s">
        <v>400</v>
      </c>
      <c r="J275" s="5" t="s">
        <v>56</v>
      </c>
      <c r="K275" s="5" t="s">
        <v>59</v>
      </c>
      <c r="L275" s="5" t="s">
        <v>60</v>
      </c>
      <c r="M275" s="5"/>
      <c r="N275" s="6"/>
      <c r="O275" s="6"/>
    </row>
    <row r="276" spans="1:15">
      <c r="A276" s="5" t="s">
        <v>53</v>
      </c>
      <c r="B276" s="5" t="s">
        <v>64</v>
      </c>
      <c r="C276" s="5" t="s">
        <v>65</v>
      </c>
      <c r="D276" s="5" t="s">
        <v>17</v>
      </c>
      <c r="E276" s="7" t="s">
        <v>72</v>
      </c>
      <c r="F276" s="7">
        <v>901274</v>
      </c>
      <c r="G276" s="5" t="s">
        <v>178</v>
      </c>
      <c r="H276" s="7">
        <v>28010222</v>
      </c>
      <c r="I276" s="5" t="s">
        <v>401</v>
      </c>
      <c r="J276" s="5" t="s">
        <v>72</v>
      </c>
      <c r="K276" s="5" t="s">
        <v>59</v>
      </c>
      <c r="L276" s="5" t="s">
        <v>60</v>
      </c>
      <c r="M276" s="5"/>
      <c r="N276" s="6"/>
      <c r="O276" s="6"/>
    </row>
    <row r="277" spans="1:15">
      <c r="A277" s="5" t="s">
        <v>53</v>
      </c>
      <c r="B277" s="5" t="s">
        <v>64</v>
      </c>
      <c r="C277" s="5" t="s">
        <v>65</v>
      </c>
      <c r="D277" s="5" t="s">
        <v>17</v>
      </c>
      <c r="E277" s="7" t="s">
        <v>72</v>
      </c>
      <c r="F277" s="7">
        <v>901275</v>
      </c>
      <c r="G277" s="5" t="s">
        <v>179</v>
      </c>
      <c r="H277" s="7">
        <v>28010223</v>
      </c>
      <c r="I277" s="5" t="s">
        <v>402</v>
      </c>
      <c r="J277" s="5" t="s">
        <v>72</v>
      </c>
      <c r="K277" s="5" t="s">
        <v>59</v>
      </c>
      <c r="L277" s="5" t="s">
        <v>60</v>
      </c>
      <c r="M277" s="5"/>
      <c r="N277" s="6"/>
      <c r="O277" s="6"/>
    </row>
    <row r="278" spans="1:15">
      <c r="A278" s="5" t="s">
        <v>53</v>
      </c>
      <c r="B278" s="5" t="s">
        <v>64</v>
      </c>
      <c r="C278" s="5" t="s">
        <v>65</v>
      </c>
      <c r="D278" s="5" t="s">
        <v>17</v>
      </c>
      <c r="E278" s="7" t="s">
        <v>72</v>
      </c>
      <c r="F278" s="7">
        <v>901276</v>
      </c>
      <c r="G278" s="5" t="s">
        <v>67</v>
      </c>
      <c r="H278" s="7">
        <v>28010224</v>
      </c>
      <c r="I278" s="5" t="s">
        <v>403</v>
      </c>
      <c r="J278" s="5" t="s">
        <v>72</v>
      </c>
      <c r="K278" s="5" t="s">
        <v>59</v>
      </c>
      <c r="L278" s="5" t="s">
        <v>60</v>
      </c>
      <c r="M278" s="5"/>
      <c r="N278" s="6"/>
      <c r="O278" s="6"/>
    </row>
    <row r="279" spans="1:15">
      <c r="A279" s="5" t="s">
        <v>53</v>
      </c>
      <c r="B279" s="5" t="s">
        <v>64</v>
      </c>
      <c r="C279" s="5" t="s">
        <v>65</v>
      </c>
      <c r="D279" s="5" t="s">
        <v>17</v>
      </c>
      <c r="E279" s="7" t="s">
        <v>109</v>
      </c>
      <c r="F279" s="7">
        <v>901277</v>
      </c>
      <c r="G279" s="5" t="s">
        <v>111</v>
      </c>
      <c r="H279" s="7">
        <v>28010225</v>
      </c>
      <c r="I279" s="5" t="s">
        <v>404</v>
      </c>
      <c r="J279" s="5" t="s">
        <v>109</v>
      </c>
      <c r="K279" s="5" t="s">
        <v>59</v>
      </c>
      <c r="L279" s="5" t="s">
        <v>60</v>
      </c>
      <c r="M279" s="5"/>
      <c r="N279" s="6"/>
      <c r="O279" s="6"/>
    </row>
    <row r="280" spans="1:15">
      <c r="A280" s="5" t="s">
        <v>53</v>
      </c>
      <c r="B280" s="5" t="s">
        <v>31</v>
      </c>
      <c r="C280" s="5" t="s">
        <v>75</v>
      </c>
      <c r="D280" s="5" t="s">
        <v>10</v>
      </c>
      <c r="E280" s="7" t="s">
        <v>66</v>
      </c>
      <c r="F280" s="7">
        <v>90001278</v>
      </c>
      <c r="G280" s="5" t="s">
        <v>181</v>
      </c>
      <c r="H280" s="7">
        <v>28010226</v>
      </c>
      <c r="I280" s="6" t="s">
        <v>405</v>
      </c>
      <c r="J280" s="5" t="s">
        <v>210</v>
      </c>
      <c r="K280" s="5" t="s">
        <v>59</v>
      </c>
      <c r="L280" s="5" t="s">
        <v>60</v>
      </c>
      <c r="M280" s="5"/>
      <c r="N280" s="6"/>
      <c r="O280" s="6"/>
    </row>
    <row r="281" spans="1:15">
      <c r="A281" s="5" t="s">
        <v>53</v>
      </c>
      <c r="B281" s="5" t="s">
        <v>54</v>
      </c>
      <c r="C281" s="5" t="s">
        <v>61</v>
      </c>
      <c r="D281" s="5" t="s">
        <v>16</v>
      </c>
      <c r="E281" s="7" t="s">
        <v>128</v>
      </c>
      <c r="F281" s="7">
        <v>901279</v>
      </c>
      <c r="G281" s="5" t="s">
        <v>70</v>
      </c>
      <c r="H281" s="7"/>
      <c r="I281" s="5"/>
      <c r="J281" s="5"/>
      <c r="K281" s="5"/>
      <c r="L281" s="5" t="s">
        <v>63</v>
      </c>
      <c r="M281" s="5"/>
      <c r="N281" s="6"/>
      <c r="O281" s="6"/>
    </row>
    <row r="282" spans="1:15">
      <c r="A282" s="5" t="s">
        <v>53</v>
      </c>
      <c r="B282" s="5" t="s">
        <v>31</v>
      </c>
      <c r="C282" s="5" t="s">
        <v>75</v>
      </c>
      <c r="D282" s="5" t="s">
        <v>10</v>
      </c>
      <c r="E282" s="7" t="s">
        <v>99</v>
      </c>
      <c r="F282" s="7">
        <v>901280</v>
      </c>
      <c r="G282" s="5" t="s">
        <v>183</v>
      </c>
      <c r="H282" s="7">
        <v>28010227</v>
      </c>
      <c r="I282" s="5" t="s">
        <v>406</v>
      </c>
      <c r="J282" s="5" t="s">
        <v>99</v>
      </c>
      <c r="K282" s="5" t="s">
        <v>59</v>
      </c>
      <c r="L282" s="5" t="s">
        <v>60</v>
      </c>
      <c r="M282" s="5"/>
      <c r="N282" s="6"/>
      <c r="O282" s="6"/>
    </row>
    <row r="283" spans="1:15">
      <c r="A283" s="5" t="s">
        <v>53</v>
      </c>
      <c r="B283" s="5" t="s">
        <v>31</v>
      </c>
      <c r="C283" s="5" t="s">
        <v>75</v>
      </c>
      <c r="D283" s="5" t="s">
        <v>10</v>
      </c>
      <c r="E283" s="7" t="s">
        <v>210</v>
      </c>
      <c r="F283" s="7">
        <v>90001281</v>
      </c>
      <c r="G283" s="5" t="s">
        <v>186</v>
      </c>
      <c r="H283" s="7">
        <v>28010228</v>
      </c>
      <c r="I283" s="5" t="s">
        <v>407</v>
      </c>
      <c r="J283" s="5" t="s">
        <v>210</v>
      </c>
      <c r="K283" s="5" t="s">
        <v>59</v>
      </c>
      <c r="L283" s="5" t="s">
        <v>60</v>
      </c>
      <c r="M283" s="5"/>
      <c r="N283" s="6"/>
      <c r="O283" s="6"/>
    </row>
    <row r="284" spans="1:15">
      <c r="A284" s="5" t="s">
        <v>53</v>
      </c>
      <c r="B284" s="5" t="s">
        <v>31</v>
      </c>
      <c r="C284" s="5" t="s">
        <v>75</v>
      </c>
      <c r="D284" s="5" t="s">
        <v>10</v>
      </c>
      <c r="E284" s="7" t="s">
        <v>128</v>
      </c>
      <c r="F284" s="7">
        <v>90001282</v>
      </c>
      <c r="G284" s="5" t="s">
        <v>188</v>
      </c>
      <c r="H284" s="7">
        <v>28010229</v>
      </c>
      <c r="I284" s="5" t="s">
        <v>408</v>
      </c>
      <c r="J284" s="5" t="s">
        <v>128</v>
      </c>
      <c r="K284" s="5" t="s">
        <v>59</v>
      </c>
      <c r="L284" s="5" t="s">
        <v>60</v>
      </c>
      <c r="M284" s="5"/>
      <c r="N284" s="6"/>
      <c r="O284" s="6"/>
    </row>
    <row r="285" spans="1:15">
      <c r="A285" s="5" t="s">
        <v>53</v>
      </c>
      <c r="B285" s="5" t="s">
        <v>29</v>
      </c>
      <c r="C285" s="5" t="s">
        <v>55</v>
      </c>
      <c r="D285" s="5" t="s">
        <v>14</v>
      </c>
      <c r="E285" s="98" t="s">
        <v>128</v>
      </c>
      <c r="F285" s="7">
        <v>901283</v>
      </c>
      <c r="G285" s="5" t="s">
        <v>190</v>
      </c>
      <c r="H285" s="7"/>
      <c r="I285" s="5"/>
      <c r="J285" s="5"/>
      <c r="K285" s="5"/>
      <c r="L285" s="5" t="s">
        <v>63</v>
      </c>
      <c r="M285" s="5"/>
      <c r="N285" s="6"/>
      <c r="O285" s="6"/>
    </row>
    <row r="286" spans="1:15">
      <c r="A286" s="5" t="s">
        <v>53</v>
      </c>
      <c r="B286" s="5" t="s">
        <v>30</v>
      </c>
      <c r="C286" s="5" t="s">
        <v>91</v>
      </c>
      <c r="D286" s="5" t="s">
        <v>26</v>
      </c>
      <c r="E286" s="7" t="s">
        <v>99</v>
      </c>
      <c r="F286" s="7">
        <v>901284</v>
      </c>
      <c r="G286" s="5" t="s">
        <v>193</v>
      </c>
      <c r="H286" s="7">
        <v>28010230</v>
      </c>
      <c r="I286" s="5" t="s">
        <v>409</v>
      </c>
      <c r="J286" s="5" t="s">
        <v>99</v>
      </c>
      <c r="K286" s="5" t="s">
        <v>59</v>
      </c>
      <c r="L286" s="5" t="s">
        <v>60</v>
      </c>
      <c r="M286" s="5"/>
      <c r="N286" s="6"/>
      <c r="O286" s="6"/>
    </row>
    <row r="287" spans="1:15">
      <c r="A287" s="5" t="s">
        <v>53</v>
      </c>
      <c r="B287" s="5" t="s">
        <v>30</v>
      </c>
      <c r="C287" s="5" t="s">
        <v>107</v>
      </c>
      <c r="D287" s="5" t="s">
        <v>19</v>
      </c>
      <c r="E287" s="7" t="s">
        <v>128</v>
      </c>
      <c r="F287" s="7">
        <v>90001285</v>
      </c>
      <c r="G287" s="5" t="s">
        <v>195</v>
      </c>
      <c r="H287" s="7">
        <v>28010231</v>
      </c>
      <c r="I287" s="5" t="s">
        <v>410</v>
      </c>
      <c r="J287" s="5" t="s">
        <v>128</v>
      </c>
      <c r="K287" s="5" t="s">
        <v>59</v>
      </c>
      <c r="L287" s="5" t="s">
        <v>60</v>
      </c>
      <c r="M287" s="5"/>
      <c r="N287" s="6"/>
      <c r="O287" s="6"/>
    </row>
    <row r="288" spans="1:15">
      <c r="A288" s="5" t="s">
        <v>53</v>
      </c>
      <c r="B288" s="5" t="s">
        <v>30</v>
      </c>
      <c r="C288" s="5" t="s">
        <v>91</v>
      </c>
      <c r="D288" s="5" t="s">
        <v>26</v>
      </c>
      <c r="E288" s="7" t="s">
        <v>128</v>
      </c>
      <c r="F288" s="7">
        <v>901286</v>
      </c>
      <c r="G288" s="5" t="s">
        <v>197</v>
      </c>
      <c r="H288" s="7">
        <v>28010232</v>
      </c>
      <c r="I288" s="5" t="s">
        <v>411</v>
      </c>
      <c r="J288" s="5" t="s">
        <v>128</v>
      </c>
      <c r="K288" s="5" t="s">
        <v>59</v>
      </c>
      <c r="L288" s="5" t="s">
        <v>60</v>
      </c>
      <c r="M288" s="5"/>
      <c r="N288" s="6"/>
      <c r="O288" s="6"/>
    </row>
    <row r="289" spans="1:15">
      <c r="A289" s="5" t="s">
        <v>53</v>
      </c>
      <c r="B289" s="5" t="s">
        <v>30</v>
      </c>
      <c r="C289" s="5" t="s">
        <v>91</v>
      </c>
      <c r="D289" s="5" t="s">
        <v>23</v>
      </c>
      <c r="E289" s="7" t="s">
        <v>128</v>
      </c>
      <c r="F289" s="7">
        <v>90001287</v>
      </c>
      <c r="G289" s="5" t="s">
        <v>199</v>
      </c>
      <c r="H289" s="7">
        <v>28010233</v>
      </c>
      <c r="I289" s="5" t="s">
        <v>412</v>
      </c>
      <c r="J289" s="5" t="s">
        <v>128</v>
      </c>
      <c r="K289" s="5" t="s">
        <v>59</v>
      </c>
      <c r="L289" s="5" t="s">
        <v>60</v>
      </c>
      <c r="M289" s="5"/>
      <c r="N289" s="6"/>
      <c r="O289" s="6"/>
    </row>
    <row r="290" spans="1:15">
      <c r="A290" s="5" t="s">
        <v>53</v>
      </c>
      <c r="B290" s="5" t="s">
        <v>30</v>
      </c>
      <c r="C290" s="5" t="s">
        <v>61</v>
      </c>
      <c r="D290" s="5" t="s">
        <v>27</v>
      </c>
      <c r="E290" s="7" t="s">
        <v>128</v>
      </c>
      <c r="F290" s="7">
        <v>901288</v>
      </c>
      <c r="G290" s="5" t="s">
        <v>201</v>
      </c>
      <c r="H290" s="7">
        <v>28010234</v>
      </c>
      <c r="I290" s="5" t="s">
        <v>413</v>
      </c>
      <c r="J290" s="5" t="s">
        <v>128</v>
      </c>
      <c r="K290" s="5" t="s">
        <v>59</v>
      </c>
      <c r="L290" s="5" t="s">
        <v>60</v>
      </c>
      <c r="M290" s="5"/>
      <c r="N290" s="6"/>
      <c r="O290" s="6"/>
    </row>
    <row r="291" spans="1:15">
      <c r="A291" s="5" t="s">
        <v>53</v>
      </c>
      <c r="B291" s="5" t="s">
        <v>30</v>
      </c>
      <c r="C291" s="5" t="s">
        <v>91</v>
      </c>
      <c r="D291" s="5" t="s">
        <v>23</v>
      </c>
      <c r="E291" s="7" t="s">
        <v>128</v>
      </c>
      <c r="F291" s="7">
        <v>90001289</v>
      </c>
      <c r="G291" s="5" t="s">
        <v>199</v>
      </c>
      <c r="H291" s="7">
        <v>28010235</v>
      </c>
      <c r="I291" s="6" t="s">
        <v>414</v>
      </c>
      <c r="J291" s="5" t="s">
        <v>109</v>
      </c>
      <c r="K291" s="5" t="s">
        <v>59</v>
      </c>
      <c r="L291" s="5" t="s">
        <v>60</v>
      </c>
      <c r="M291" s="5"/>
      <c r="N291" s="6"/>
      <c r="O291" s="6"/>
    </row>
    <row r="292" spans="1:15">
      <c r="A292" s="5" t="s">
        <v>53</v>
      </c>
      <c r="B292" s="5" t="s">
        <v>30</v>
      </c>
      <c r="C292" s="5" t="s">
        <v>107</v>
      </c>
      <c r="D292" s="5" t="s">
        <v>19</v>
      </c>
      <c r="E292" s="7" t="s">
        <v>128</v>
      </c>
      <c r="F292" s="7">
        <v>90001290</v>
      </c>
      <c r="G292" s="5" t="s">
        <v>195</v>
      </c>
      <c r="H292" s="7">
        <v>28010236</v>
      </c>
      <c r="I292" s="5" t="s">
        <v>415</v>
      </c>
      <c r="J292" s="5" t="s">
        <v>128</v>
      </c>
      <c r="K292" s="5" t="s">
        <v>59</v>
      </c>
      <c r="L292" s="5" t="s">
        <v>60</v>
      </c>
      <c r="M292" s="5"/>
      <c r="N292" s="6"/>
      <c r="O292" s="6"/>
    </row>
    <row r="293" spans="1:15">
      <c r="A293" s="5" t="s">
        <v>53</v>
      </c>
      <c r="B293" s="5" t="s">
        <v>30</v>
      </c>
      <c r="C293" s="5" t="s">
        <v>107</v>
      </c>
      <c r="D293" s="5" t="s">
        <v>19</v>
      </c>
      <c r="E293" s="7" t="s">
        <v>128</v>
      </c>
      <c r="F293" s="7">
        <v>90001291</v>
      </c>
      <c r="G293" s="5" t="s">
        <v>195</v>
      </c>
      <c r="H293" s="7">
        <v>28010237</v>
      </c>
      <c r="I293" s="5" t="s">
        <v>416</v>
      </c>
      <c r="J293" s="5" t="s">
        <v>128</v>
      </c>
      <c r="K293" s="5" t="s">
        <v>59</v>
      </c>
      <c r="L293" s="5" t="s">
        <v>60</v>
      </c>
      <c r="M293" s="5"/>
      <c r="N293" s="6"/>
      <c r="O293" s="6"/>
    </row>
    <row r="294" spans="1:15">
      <c r="A294" s="5" t="s">
        <v>53</v>
      </c>
      <c r="B294" s="5" t="s">
        <v>30</v>
      </c>
      <c r="C294" s="5" t="s">
        <v>107</v>
      </c>
      <c r="D294" s="5" t="s">
        <v>19</v>
      </c>
      <c r="E294" s="7" t="s">
        <v>128</v>
      </c>
      <c r="F294" s="7">
        <v>90001292</v>
      </c>
      <c r="G294" s="5" t="s">
        <v>203</v>
      </c>
      <c r="H294" s="7">
        <v>28010238</v>
      </c>
      <c r="I294" s="5" t="s">
        <v>417</v>
      </c>
      <c r="J294" s="5" t="s">
        <v>128</v>
      </c>
      <c r="K294" s="5" t="s">
        <v>59</v>
      </c>
      <c r="L294" s="5" t="s">
        <v>60</v>
      </c>
      <c r="M294" s="5"/>
      <c r="N294" s="6"/>
      <c r="O294" s="6"/>
    </row>
    <row r="295" spans="1:15">
      <c r="A295" s="5" t="s">
        <v>53</v>
      </c>
      <c r="B295" s="5" t="s">
        <v>30</v>
      </c>
      <c r="C295" s="5" t="s">
        <v>107</v>
      </c>
      <c r="D295" s="5" t="s">
        <v>19</v>
      </c>
      <c r="E295" s="7" t="s">
        <v>128</v>
      </c>
      <c r="F295" s="7">
        <v>90001293</v>
      </c>
      <c r="G295" s="5" t="s">
        <v>195</v>
      </c>
      <c r="H295" s="7">
        <v>28010239</v>
      </c>
      <c r="I295" s="5" t="s">
        <v>418</v>
      </c>
      <c r="J295" s="5" t="s">
        <v>128</v>
      </c>
      <c r="K295" s="5" t="s">
        <v>59</v>
      </c>
      <c r="L295" s="5" t="s">
        <v>60</v>
      </c>
      <c r="M295" s="5"/>
      <c r="N295" s="6"/>
      <c r="O295" s="6"/>
    </row>
    <row r="296" spans="1:15">
      <c r="A296" s="5" t="s">
        <v>53</v>
      </c>
      <c r="B296" s="5" t="s">
        <v>30</v>
      </c>
      <c r="C296" s="5" t="s">
        <v>107</v>
      </c>
      <c r="D296" s="5" t="s">
        <v>19</v>
      </c>
      <c r="E296" s="7" t="s">
        <v>128</v>
      </c>
      <c r="F296" s="7">
        <v>901294</v>
      </c>
      <c r="G296" s="5" t="s">
        <v>211</v>
      </c>
      <c r="H296" s="7">
        <v>28010240</v>
      </c>
      <c r="I296" s="5" t="s">
        <v>419</v>
      </c>
      <c r="J296" s="5" t="s">
        <v>128</v>
      </c>
      <c r="K296" s="5" t="s">
        <v>59</v>
      </c>
      <c r="L296" s="5" t="s">
        <v>60</v>
      </c>
      <c r="M296" s="5"/>
      <c r="N296" s="6"/>
      <c r="O296" s="6"/>
    </row>
    <row r="297" spans="1:15">
      <c r="A297" s="5" t="s">
        <v>53</v>
      </c>
      <c r="B297" s="5" t="s">
        <v>30</v>
      </c>
      <c r="C297" s="5" t="s">
        <v>107</v>
      </c>
      <c r="D297" s="5" t="s">
        <v>19</v>
      </c>
      <c r="E297" s="7" t="s">
        <v>56</v>
      </c>
      <c r="F297" s="7">
        <v>90001295</v>
      </c>
      <c r="G297" s="5" t="s">
        <v>213</v>
      </c>
      <c r="H297" s="7">
        <v>28010241</v>
      </c>
      <c r="I297" s="5" t="s">
        <v>420</v>
      </c>
      <c r="J297" s="5" t="s">
        <v>56</v>
      </c>
      <c r="K297" s="5" t="s">
        <v>59</v>
      </c>
      <c r="L297" s="5" t="s">
        <v>60</v>
      </c>
      <c r="M297" s="5"/>
      <c r="N297" s="6"/>
      <c r="O297" s="6"/>
    </row>
    <row r="298" spans="1:15">
      <c r="A298" s="5" t="s">
        <v>53</v>
      </c>
      <c r="B298" s="5" t="s">
        <v>30</v>
      </c>
      <c r="C298" s="5" t="s">
        <v>91</v>
      </c>
      <c r="D298" s="5" t="s">
        <v>23</v>
      </c>
      <c r="E298" s="7" t="s">
        <v>56</v>
      </c>
      <c r="F298" s="7">
        <v>90001296</v>
      </c>
      <c r="G298" s="5" t="s">
        <v>199</v>
      </c>
      <c r="H298" s="7">
        <v>28010242</v>
      </c>
      <c r="I298" s="5" t="s">
        <v>421</v>
      </c>
      <c r="J298" s="5" t="s">
        <v>56</v>
      </c>
      <c r="K298" s="5" t="s">
        <v>59</v>
      </c>
      <c r="L298" s="5" t="s">
        <v>60</v>
      </c>
      <c r="M298" s="5"/>
      <c r="N298" s="6"/>
      <c r="O298" s="6"/>
    </row>
    <row r="299" spans="1:15">
      <c r="A299" s="5" t="s">
        <v>53</v>
      </c>
      <c r="B299" s="5" t="s">
        <v>30</v>
      </c>
      <c r="C299" s="5" t="s">
        <v>91</v>
      </c>
      <c r="D299" s="5" t="s">
        <v>26</v>
      </c>
      <c r="E299" s="7" t="s">
        <v>56</v>
      </c>
      <c r="F299" s="7">
        <v>901297</v>
      </c>
      <c r="G299" s="5" t="s">
        <v>157</v>
      </c>
      <c r="H299" s="7"/>
      <c r="I299" s="5"/>
      <c r="J299" s="5"/>
      <c r="K299" s="5"/>
      <c r="L299" s="5" t="s">
        <v>63</v>
      </c>
      <c r="M299" s="5"/>
      <c r="N299" s="6" t="s">
        <v>85</v>
      </c>
      <c r="O299" s="6"/>
    </row>
    <row r="300" spans="1:15">
      <c r="A300" s="5" t="s">
        <v>53</v>
      </c>
      <c r="B300" s="5" t="s">
        <v>30</v>
      </c>
      <c r="C300" s="5" t="s">
        <v>107</v>
      </c>
      <c r="D300" s="5" t="s">
        <v>19</v>
      </c>
      <c r="E300" s="7" t="s">
        <v>56</v>
      </c>
      <c r="F300" s="7">
        <v>901298</v>
      </c>
      <c r="G300" s="5" t="s">
        <v>215</v>
      </c>
      <c r="H300" s="7"/>
      <c r="I300" s="5"/>
      <c r="J300" s="5"/>
      <c r="K300" s="5"/>
      <c r="L300" s="5" t="s">
        <v>63</v>
      </c>
      <c r="M300" s="5"/>
      <c r="N300" s="6" t="s">
        <v>85</v>
      </c>
      <c r="O300" s="6"/>
    </row>
    <row r="301" spans="1:15">
      <c r="A301" s="5" t="s">
        <v>53</v>
      </c>
      <c r="B301" s="5" t="s">
        <v>30</v>
      </c>
      <c r="C301" s="5" t="s">
        <v>107</v>
      </c>
      <c r="D301" s="5" t="s">
        <v>19</v>
      </c>
      <c r="E301" s="7" t="s">
        <v>56</v>
      </c>
      <c r="F301" s="7">
        <v>90001299</v>
      </c>
      <c r="G301" s="5" t="s">
        <v>217</v>
      </c>
      <c r="H301" s="7">
        <v>28010243</v>
      </c>
      <c r="I301" s="5" t="s">
        <v>422</v>
      </c>
      <c r="J301" s="5" t="s">
        <v>56</v>
      </c>
      <c r="K301" s="5" t="s">
        <v>59</v>
      </c>
      <c r="L301" s="5" t="s">
        <v>60</v>
      </c>
      <c r="M301" s="5"/>
      <c r="N301" s="6"/>
      <c r="O301" s="6"/>
    </row>
    <row r="302" spans="1:15">
      <c r="A302" s="5" t="s">
        <v>53</v>
      </c>
      <c r="B302" s="5" t="s">
        <v>30</v>
      </c>
      <c r="C302" s="5" t="s">
        <v>91</v>
      </c>
      <c r="D302" s="5" t="s">
        <v>26</v>
      </c>
      <c r="E302" s="7" t="s">
        <v>72</v>
      </c>
      <c r="F302" s="7">
        <v>901300</v>
      </c>
      <c r="G302" s="5" t="s">
        <v>220</v>
      </c>
      <c r="H302" s="7">
        <v>28010244</v>
      </c>
      <c r="I302" s="5" t="s">
        <v>423</v>
      </c>
      <c r="J302" s="5" t="s">
        <v>56</v>
      </c>
      <c r="K302" s="5" t="s">
        <v>59</v>
      </c>
      <c r="L302" s="5" t="s">
        <v>60</v>
      </c>
      <c r="M302" s="5"/>
      <c r="N302" s="6"/>
      <c r="O302" s="6"/>
    </row>
    <row r="303" spans="1:15">
      <c r="A303" s="5" t="s">
        <v>53</v>
      </c>
      <c r="B303" s="5" t="s">
        <v>30</v>
      </c>
      <c r="C303" s="5" t="s">
        <v>91</v>
      </c>
      <c r="D303" s="5" t="s">
        <v>26</v>
      </c>
      <c r="E303" s="7" t="s">
        <v>72</v>
      </c>
      <c r="F303" s="7">
        <v>901301</v>
      </c>
      <c r="G303" s="5" t="s">
        <v>220</v>
      </c>
      <c r="H303" s="7">
        <v>28010245</v>
      </c>
      <c r="I303" s="5" t="s">
        <v>424</v>
      </c>
      <c r="J303" s="5" t="s">
        <v>72</v>
      </c>
      <c r="K303" s="5" t="s">
        <v>59</v>
      </c>
      <c r="L303" s="5" t="s">
        <v>60</v>
      </c>
      <c r="M303" s="5"/>
      <c r="N303" s="6"/>
      <c r="O303" s="6"/>
    </row>
    <row r="304" spans="1:15">
      <c r="A304" s="5" t="s">
        <v>53</v>
      </c>
      <c r="B304" s="5" t="s">
        <v>30</v>
      </c>
      <c r="C304" s="5" t="s">
        <v>107</v>
      </c>
      <c r="D304" s="5" t="s">
        <v>19</v>
      </c>
      <c r="E304" s="7" t="s">
        <v>72</v>
      </c>
      <c r="F304" s="7">
        <v>901302</v>
      </c>
      <c r="G304" s="5" t="s">
        <v>201</v>
      </c>
      <c r="H304" s="7">
        <v>28010246</v>
      </c>
      <c r="I304" s="5" t="s">
        <v>425</v>
      </c>
      <c r="J304" s="5" t="s">
        <v>72</v>
      </c>
      <c r="K304" s="5" t="s">
        <v>59</v>
      </c>
      <c r="L304" s="5" t="s">
        <v>60</v>
      </c>
      <c r="M304" s="5"/>
      <c r="N304" s="6"/>
      <c r="O304" s="6"/>
    </row>
    <row r="305" spans="1:15">
      <c r="A305" s="5" t="s">
        <v>53</v>
      </c>
      <c r="B305" s="5" t="s">
        <v>30</v>
      </c>
      <c r="C305" s="5" t="s">
        <v>91</v>
      </c>
      <c r="D305" s="5" t="s">
        <v>26</v>
      </c>
      <c r="E305" s="7" t="s">
        <v>72</v>
      </c>
      <c r="F305" s="7">
        <v>901303</v>
      </c>
      <c r="G305" s="5" t="s">
        <v>157</v>
      </c>
      <c r="H305" s="7">
        <v>28010247</v>
      </c>
      <c r="I305" s="5" t="s">
        <v>426</v>
      </c>
      <c r="J305" s="5" t="s">
        <v>72</v>
      </c>
      <c r="K305" s="5" t="s">
        <v>59</v>
      </c>
      <c r="L305" s="5" t="s">
        <v>60</v>
      </c>
      <c r="M305" s="5"/>
      <c r="N305" s="6"/>
      <c r="O305" s="6"/>
    </row>
    <row r="306" spans="1:15">
      <c r="A306" s="5" t="s">
        <v>53</v>
      </c>
      <c r="B306" s="5" t="s">
        <v>30</v>
      </c>
      <c r="C306" s="5" t="s">
        <v>107</v>
      </c>
      <c r="D306" s="5" t="s">
        <v>19</v>
      </c>
      <c r="E306" s="7" t="s">
        <v>72</v>
      </c>
      <c r="F306" s="7">
        <v>901304</v>
      </c>
      <c r="G306" s="5" t="s">
        <v>111</v>
      </c>
      <c r="H306" s="7">
        <v>28010248</v>
      </c>
      <c r="I306" s="5" t="s">
        <v>207</v>
      </c>
      <c r="J306" s="5" t="s">
        <v>72</v>
      </c>
      <c r="K306" s="5" t="s">
        <v>59</v>
      </c>
      <c r="L306" s="5" t="s">
        <v>60</v>
      </c>
      <c r="M306" s="5"/>
      <c r="N306" s="6"/>
      <c r="O306" s="6"/>
    </row>
    <row r="307" spans="1:15">
      <c r="A307" s="5" t="s">
        <v>53</v>
      </c>
      <c r="B307" s="5" t="s">
        <v>30</v>
      </c>
      <c r="C307" s="5" t="s">
        <v>91</v>
      </c>
      <c r="D307" s="5" t="s">
        <v>26</v>
      </c>
      <c r="E307" s="7" t="s">
        <v>72</v>
      </c>
      <c r="F307" s="7">
        <v>901305</v>
      </c>
      <c r="G307" s="5" t="s">
        <v>220</v>
      </c>
      <c r="H307" s="7">
        <v>28010249</v>
      </c>
      <c r="I307" s="5" t="s">
        <v>427</v>
      </c>
      <c r="J307" s="5" t="s">
        <v>72</v>
      </c>
      <c r="K307" s="5" t="s">
        <v>59</v>
      </c>
      <c r="L307" s="5" t="s">
        <v>60</v>
      </c>
      <c r="M307" s="5"/>
      <c r="N307" s="6"/>
      <c r="O307" s="6"/>
    </row>
    <row r="308" spans="1:15">
      <c r="A308" s="5" t="s">
        <v>53</v>
      </c>
      <c r="B308" s="5" t="s">
        <v>30</v>
      </c>
      <c r="C308" s="5" t="s">
        <v>91</v>
      </c>
      <c r="D308" s="5" t="s">
        <v>26</v>
      </c>
      <c r="E308" s="7" t="s">
        <v>72</v>
      </c>
      <c r="F308" s="7">
        <v>901306</v>
      </c>
      <c r="G308" s="5" t="s">
        <v>221</v>
      </c>
      <c r="H308" s="7">
        <v>28010250</v>
      </c>
      <c r="I308" s="5" t="s">
        <v>428</v>
      </c>
      <c r="J308" s="5" t="s">
        <v>72</v>
      </c>
      <c r="K308" s="5" t="s">
        <v>59</v>
      </c>
      <c r="L308" s="5" t="s">
        <v>60</v>
      </c>
      <c r="M308" s="5"/>
      <c r="N308" s="6"/>
      <c r="O308" s="6"/>
    </row>
    <row r="309" spans="1:15">
      <c r="A309" s="5" t="s">
        <v>53</v>
      </c>
      <c r="B309" s="5" t="s">
        <v>30</v>
      </c>
      <c r="C309" s="5" t="s">
        <v>91</v>
      </c>
      <c r="D309" s="5" t="s">
        <v>26</v>
      </c>
      <c r="E309" s="7" t="s">
        <v>72</v>
      </c>
      <c r="F309" s="7">
        <v>901307</v>
      </c>
      <c r="G309" s="5" t="s">
        <v>220</v>
      </c>
      <c r="H309" s="7">
        <v>28010251</v>
      </c>
      <c r="I309" s="5" t="s">
        <v>429</v>
      </c>
      <c r="J309" s="5" t="s">
        <v>72</v>
      </c>
      <c r="K309" s="5" t="s">
        <v>59</v>
      </c>
      <c r="L309" s="5" t="s">
        <v>60</v>
      </c>
      <c r="M309" s="5"/>
      <c r="N309" s="6"/>
      <c r="O309" s="6"/>
    </row>
    <row r="310" spans="1:15">
      <c r="A310" s="5" t="s">
        <v>53</v>
      </c>
      <c r="B310" s="5" t="s">
        <v>30</v>
      </c>
      <c r="C310" s="5" t="s">
        <v>107</v>
      </c>
      <c r="D310" s="5" t="s">
        <v>19</v>
      </c>
      <c r="E310" s="7" t="s">
        <v>72</v>
      </c>
      <c r="F310" s="7">
        <v>901308</v>
      </c>
      <c r="G310" s="5" t="s">
        <v>224</v>
      </c>
      <c r="H310" s="7">
        <v>28010252</v>
      </c>
      <c r="I310" s="5" t="s">
        <v>430</v>
      </c>
      <c r="J310" s="5" t="s">
        <v>72</v>
      </c>
      <c r="K310" s="5" t="s">
        <v>59</v>
      </c>
      <c r="L310" s="5" t="s">
        <v>60</v>
      </c>
      <c r="M310" s="5"/>
      <c r="N310" s="6"/>
      <c r="O310" s="6"/>
    </row>
    <row r="311" spans="1:15">
      <c r="A311" s="5" t="s">
        <v>53</v>
      </c>
      <c r="B311" s="5" t="s">
        <v>30</v>
      </c>
      <c r="C311" s="5" t="s">
        <v>91</v>
      </c>
      <c r="D311" s="5" t="s">
        <v>26</v>
      </c>
      <c r="E311" s="7" t="s">
        <v>72</v>
      </c>
      <c r="F311" s="7">
        <v>901309</v>
      </c>
      <c r="G311" s="5" t="s">
        <v>220</v>
      </c>
      <c r="H311" s="7">
        <v>28010253</v>
      </c>
      <c r="I311" s="5" t="s">
        <v>431</v>
      </c>
      <c r="J311" s="5" t="s">
        <v>72</v>
      </c>
      <c r="K311" s="5" t="s">
        <v>59</v>
      </c>
      <c r="L311" s="5" t="s">
        <v>60</v>
      </c>
      <c r="M311" s="5"/>
      <c r="N311" s="6"/>
      <c r="O311" s="6"/>
    </row>
    <row r="312" spans="1:15">
      <c r="A312" s="5" t="s">
        <v>53</v>
      </c>
      <c r="B312" s="5" t="s">
        <v>30</v>
      </c>
      <c r="C312" s="5" t="s">
        <v>91</v>
      </c>
      <c r="D312" s="5" t="s">
        <v>26</v>
      </c>
      <c r="E312" s="7" t="s">
        <v>72</v>
      </c>
      <c r="F312" s="7">
        <v>901310</v>
      </c>
      <c r="G312" s="5" t="s">
        <v>220</v>
      </c>
      <c r="H312" s="7">
        <v>28010254</v>
      </c>
      <c r="I312" s="5" t="s">
        <v>432</v>
      </c>
      <c r="J312" s="5" t="s">
        <v>72</v>
      </c>
      <c r="K312" s="5" t="s">
        <v>59</v>
      </c>
      <c r="L312" s="5" t="s">
        <v>60</v>
      </c>
      <c r="M312" s="5"/>
      <c r="N312" s="6"/>
      <c r="O312" s="6"/>
    </row>
    <row r="313" spans="1:15">
      <c r="A313" s="5" t="s">
        <v>53</v>
      </c>
      <c r="B313" s="5" t="s">
        <v>30</v>
      </c>
      <c r="C313" s="5" t="s">
        <v>91</v>
      </c>
      <c r="D313" s="5" t="s">
        <v>26</v>
      </c>
      <c r="E313" s="7" t="s">
        <v>72</v>
      </c>
      <c r="F313" s="7">
        <v>901311</v>
      </c>
      <c r="G313" s="5" t="s">
        <v>220</v>
      </c>
      <c r="H313" s="7">
        <v>28010255</v>
      </c>
      <c r="I313" s="5" t="s">
        <v>433</v>
      </c>
      <c r="J313" s="5" t="s">
        <v>72</v>
      </c>
      <c r="K313" s="5" t="s">
        <v>59</v>
      </c>
      <c r="L313" s="5" t="s">
        <v>60</v>
      </c>
      <c r="M313" s="5"/>
      <c r="N313" s="6"/>
      <c r="O313" s="6"/>
    </row>
    <row r="314" spans="1:15">
      <c r="A314" s="5" t="s">
        <v>53</v>
      </c>
      <c r="B314" s="5" t="s">
        <v>30</v>
      </c>
      <c r="C314" s="5" t="s">
        <v>91</v>
      </c>
      <c r="D314" s="5" t="s">
        <v>26</v>
      </c>
      <c r="E314" s="7" t="s">
        <v>72</v>
      </c>
      <c r="F314" s="7">
        <v>901312</v>
      </c>
      <c r="G314" s="5" t="s">
        <v>220</v>
      </c>
      <c r="H314" s="7">
        <v>28010256</v>
      </c>
      <c r="I314" s="5" t="s">
        <v>434</v>
      </c>
      <c r="J314" s="5" t="s">
        <v>72</v>
      </c>
      <c r="K314" s="5" t="s">
        <v>59</v>
      </c>
      <c r="L314" s="5" t="s">
        <v>60</v>
      </c>
      <c r="M314" s="5"/>
      <c r="N314" s="6"/>
      <c r="O314" s="6"/>
    </row>
    <row r="315" spans="1:15">
      <c r="A315" s="5" t="s">
        <v>53</v>
      </c>
      <c r="B315" s="5" t="s">
        <v>30</v>
      </c>
      <c r="C315" s="5" t="s">
        <v>91</v>
      </c>
      <c r="D315" s="5" t="s">
        <v>26</v>
      </c>
      <c r="E315" s="7" t="s">
        <v>72</v>
      </c>
      <c r="F315" s="7">
        <v>901313</v>
      </c>
      <c r="G315" s="5" t="s">
        <v>226</v>
      </c>
      <c r="H315" s="7">
        <v>28010257</v>
      </c>
      <c r="I315" s="5" t="s">
        <v>435</v>
      </c>
      <c r="J315" s="5" t="s">
        <v>72</v>
      </c>
      <c r="K315" s="5" t="s">
        <v>59</v>
      </c>
      <c r="L315" s="5" t="s">
        <v>60</v>
      </c>
      <c r="M315" s="5"/>
      <c r="N315" s="6"/>
      <c r="O315" s="6"/>
    </row>
    <row r="316" spans="1:15">
      <c r="A316" s="5" t="s">
        <v>53</v>
      </c>
      <c r="B316" s="5" t="s">
        <v>30</v>
      </c>
      <c r="C316" s="5" t="s">
        <v>91</v>
      </c>
      <c r="D316" s="5" t="s">
        <v>26</v>
      </c>
      <c r="E316" s="7" t="s">
        <v>72</v>
      </c>
      <c r="F316" s="7">
        <v>901314</v>
      </c>
      <c r="G316" s="5" t="s">
        <v>220</v>
      </c>
      <c r="H316" s="7">
        <v>28010258</v>
      </c>
      <c r="I316" s="5" t="s">
        <v>436</v>
      </c>
      <c r="J316" s="5" t="s">
        <v>72</v>
      </c>
      <c r="K316" s="5" t="s">
        <v>59</v>
      </c>
      <c r="L316" s="5" t="s">
        <v>60</v>
      </c>
      <c r="M316" s="5"/>
      <c r="N316" s="6"/>
      <c r="O316" s="6"/>
    </row>
    <row r="317" spans="1:15">
      <c r="A317" s="5" t="s">
        <v>53</v>
      </c>
      <c r="B317" s="5" t="s">
        <v>30</v>
      </c>
      <c r="C317" s="5" t="s">
        <v>107</v>
      </c>
      <c r="D317" s="5" t="s">
        <v>19</v>
      </c>
      <c r="E317" s="7" t="s">
        <v>72</v>
      </c>
      <c r="F317" s="7">
        <v>90001315</v>
      </c>
      <c r="G317" s="5" t="s">
        <v>195</v>
      </c>
      <c r="H317" s="7">
        <v>28010259</v>
      </c>
      <c r="I317" s="5" t="s">
        <v>437</v>
      </c>
      <c r="J317" s="5" t="s">
        <v>72</v>
      </c>
      <c r="K317" s="5" t="s">
        <v>59</v>
      </c>
      <c r="L317" s="5" t="s">
        <v>60</v>
      </c>
      <c r="M317" s="5"/>
      <c r="N317" s="6"/>
      <c r="O317" s="6"/>
    </row>
    <row r="318" spans="1:15">
      <c r="A318" s="5" t="s">
        <v>53</v>
      </c>
      <c r="B318" s="5" t="s">
        <v>30</v>
      </c>
      <c r="C318" s="5" t="s">
        <v>91</v>
      </c>
      <c r="D318" s="5" t="s">
        <v>26</v>
      </c>
      <c r="E318" s="7" t="s">
        <v>109</v>
      </c>
      <c r="F318" s="7">
        <v>901316</v>
      </c>
      <c r="G318" s="5" t="s">
        <v>226</v>
      </c>
      <c r="H318" s="7">
        <v>28010260</v>
      </c>
      <c r="I318" s="5" t="s">
        <v>438</v>
      </c>
      <c r="J318" s="5" t="s">
        <v>109</v>
      </c>
      <c r="K318" s="5" t="s">
        <v>59</v>
      </c>
      <c r="L318" s="5" t="s">
        <v>60</v>
      </c>
      <c r="M318" s="5"/>
      <c r="N318" s="6"/>
      <c r="O318" s="6"/>
    </row>
    <row r="319" spans="1:15">
      <c r="A319" s="5" t="s">
        <v>53</v>
      </c>
      <c r="B319" s="5" t="s">
        <v>30</v>
      </c>
      <c r="C319" s="5" t="s">
        <v>107</v>
      </c>
      <c r="D319" s="5" t="s">
        <v>19</v>
      </c>
      <c r="E319" s="7" t="s">
        <v>109</v>
      </c>
      <c r="F319" s="7">
        <v>901317</v>
      </c>
      <c r="G319" s="5" t="s">
        <v>111</v>
      </c>
      <c r="H319" s="7">
        <v>28010261</v>
      </c>
      <c r="I319" s="5" t="s">
        <v>439</v>
      </c>
      <c r="J319" s="5" t="s">
        <v>109</v>
      </c>
      <c r="K319" s="5" t="s">
        <v>59</v>
      </c>
      <c r="L319" s="5" t="s">
        <v>60</v>
      </c>
      <c r="M319" s="5"/>
      <c r="N319" s="6"/>
      <c r="O319" s="6"/>
    </row>
    <row r="320" spans="1:15">
      <c r="A320" s="5" t="s">
        <v>53</v>
      </c>
      <c r="B320" s="5" t="s">
        <v>30</v>
      </c>
      <c r="C320" s="5" t="s">
        <v>107</v>
      </c>
      <c r="D320" s="5" t="s">
        <v>19</v>
      </c>
      <c r="E320" s="7" t="s">
        <v>128</v>
      </c>
      <c r="F320" s="7">
        <v>90001318</v>
      </c>
      <c r="G320" s="5" t="s">
        <v>157</v>
      </c>
      <c r="H320" s="7"/>
      <c r="I320" s="5"/>
      <c r="J320" s="5"/>
      <c r="K320" s="5"/>
      <c r="L320" s="5" t="s">
        <v>63</v>
      </c>
      <c r="M320" s="5"/>
      <c r="N320" s="6"/>
      <c r="O320" s="6"/>
    </row>
    <row r="321" spans="1:15">
      <c r="A321" s="5" t="s">
        <v>53</v>
      </c>
      <c r="B321" s="5" t="s">
        <v>30</v>
      </c>
      <c r="C321" s="5" t="s">
        <v>91</v>
      </c>
      <c r="D321" s="5" t="s">
        <v>23</v>
      </c>
      <c r="E321" s="7" t="s">
        <v>109</v>
      </c>
      <c r="F321" s="7">
        <v>901319</v>
      </c>
      <c r="G321" s="5" t="s">
        <v>111</v>
      </c>
      <c r="H321" s="7"/>
      <c r="I321" s="5"/>
      <c r="J321" s="5"/>
      <c r="K321" s="5"/>
      <c r="L321" s="5" t="s">
        <v>63</v>
      </c>
      <c r="M321" s="5"/>
      <c r="N321" s="6"/>
      <c r="O321" s="6"/>
    </row>
    <row r="322" spans="1:15">
      <c r="A322" s="5" t="s">
        <v>53</v>
      </c>
      <c r="B322" s="5" t="s">
        <v>30</v>
      </c>
      <c r="C322" s="5" t="s">
        <v>91</v>
      </c>
      <c r="D322" s="5" t="s">
        <v>26</v>
      </c>
      <c r="E322" s="7" t="s">
        <v>109</v>
      </c>
      <c r="F322" s="7">
        <v>901320</v>
      </c>
      <c r="G322" s="5" t="s">
        <v>226</v>
      </c>
      <c r="H322" s="7">
        <v>28010262</v>
      </c>
      <c r="I322" s="5" t="s">
        <v>440</v>
      </c>
      <c r="J322" s="5" t="s">
        <v>109</v>
      </c>
      <c r="K322" s="5" t="s">
        <v>59</v>
      </c>
      <c r="L322" s="5" t="s">
        <v>60</v>
      </c>
      <c r="M322" s="5"/>
      <c r="N322" s="6"/>
      <c r="O322" s="6"/>
    </row>
    <row r="323" spans="1:15">
      <c r="A323" s="5" t="s">
        <v>53</v>
      </c>
      <c r="B323" s="5" t="s">
        <v>30</v>
      </c>
      <c r="C323" s="5" t="s">
        <v>107</v>
      </c>
      <c r="D323" s="5" t="s">
        <v>19</v>
      </c>
      <c r="E323" s="7" t="s">
        <v>109</v>
      </c>
      <c r="F323" s="7">
        <v>901321</v>
      </c>
      <c r="G323" s="5" t="s">
        <v>111</v>
      </c>
      <c r="H323" s="7">
        <v>28010263</v>
      </c>
      <c r="I323" s="5" t="s">
        <v>441</v>
      </c>
      <c r="J323" s="5" t="s">
        <v>109</v>
      </c>
      <c r="K323" s="5" t="s">
        <v>59</v>
      </c>
      <c r="L323" s="5" t="s">
        <v>60</v>
      </c>
      <c r="M323" s="5"/>
      <c r="N323" s="6"/>
      <c r="O323" s="6"/>
    </row>
    <row r="324" spans="1:15">
      <c r="A324" s="5" t="s">
        <v>53</v>
      </c>
      <c r="B324" s="5" t="s">
        <v>30</v>
      </c>
      <c r="C324" s="5" t="s">
        <v>91</v>
      </c>
      <c r="D324" s="5" t="s">
        <v>26</v>
      </c>
      <c r="E324" s="7" t="s">
        <v>109</v>
      </c>
      <c r="F324" s="7">
        <v>901322</v>
      </c>
      <c r="G324" s="5" t="s">
        <v>226</v>
      </c>
      <c r="H324" s="7">
        <v>28010264</v>
      </c>
      <c r="I324" s="5" t="s">
        <v>442</v>
      </c>
      <c r="J324" s="5" t="s">
        <v>109</v>
      </c>
      <c r="K324" s="5" t="s">
        <v>59</v>
      </c>
      <c r="L324" s="5" t="s">
        <v>60</v>
      </c>
      <c r="M324" s="5"/>
      <c r="N324" s="6"/>
      <c r="O324" s="6"/>
    </row>
    <row r="325" spans="1:15">
      <c r="A325" s="5" t="s">
        <v>53</v>
      </c>
      <c r="B325" s="5" t="s">
        <v>30</v>
      </c>
      <c r="C325" s="5" t="s">
        <v>91</v>
      </c>
      <c r="D325" s="5" t="s">
        <v>26</v>
      </c>
      <c r="E325" s="7" t="s">
        <v>109</v>
      </c>
      <c r="F325" s="7">
        <v>901323</v>
      </c>
      <c r="G325" s="5" t="s">
        <v>226</v>
      </c>
      <c r="H325" s="7">
        <v>28010265</v>
      </c>
      <c r="I325" s="5" t="s">
        <v>443</v>
      </c>
      <c r="J325" s="5" t="s">
        <v>109</v>
      </c>
      <c r="K325" s="5" t="s">
        <v>59</v>
      </c>
      <c r="L325" s="5" t="s">
        <v>60</v>
      </c>
      <c r="M325" s="5"/>
      <c r="N325" s="6"/>
      <c r="O325" s="6"/>
    </row>
    <row r="326" spans="1:15">
      <c r="A326" s="5" t="s">
        <v>53</v>
      </c>
      <c r="B326" s="5" t="s">
        <v>30</v>
      </c>
      <c r="C326" s="5" t="s">
        <v>91</v>
      </c>
      <c r="D326" s="5" t="s">
        <v>26</v>
      </c>
      <c r="E326" s="7" t="s">
        <v>109</v>
      </c>
      <c r="F326" s="7">
        <v>901324</v>
      </c>
      <c r="G326" s="5" t="s">
        <v>157</v>
      </c>
      <c r="H326" s="7">
        <v>28010266</v>
      </c>
      <c r="I326" s="5" t="s">
        <v>444</v>
      </c>
      <c r="J326" s="5" t="s">
        <v>109</v>
      </c>
      <c r="K326" s="5" t="s">
        <v>59</v>
      </c>
      <c r="L326" s="5" t="s">
        <v>60</v>
      </c>
      <c r="M326" s="5"/>
      <c r="N326" s="6"/>
      <c r="O326" s="6"/>
    </row>
    <row r="327" spans="1:15">
      <c r="A327" s="5" t="s">
        <v>53</v>
      </c>
      <c r="B327" s="5" t="s">
        <v>30</v>
      </c>
      <c r="C327" s="5" t="s">
        <v>91</v>
      </c>
      <c r="D327" s="5" t="s">
        <v>26</v>
      </c>
      <c r="E327" s="7" t="s">
        <v>109</v>
      </c>
      <c r="F327" s="7">
        <v>901325</v>
      </c>
      <c r="G327" s="5" t="s">
        <v>226</v>
      </c>
      <c r="H327" s="7">
        <v>28010267</v>
      </c>
      <c r="I327" s="5" t="s">
        <v>445</v>
      </c>
      <c r="J327" s="5" t="s">
        <v>109</v>
      </c>
      <c r="K327" s="5" t="s">
        <v>59</v>
      </c>
      <c r="L327" s="5" t="s">
        <v>60</v>
      </c>
      <c r="M327" s="5"/>
      <c r="N327" s="6"/>
      <c r="O327" s="6"/>
    </row>
    <row r="328" spans="1:15">
      <c r="A328" s="5" t="s">
        <v>53</v>
      </c>
      <c r="B328" s="5" t="s">
        <v>30</v>
      </c>
      <c r="C328" s="5" t="s">
        <v>91</v>
      </c>
      <c r="D328" s="5" t="s">
        <v>23</v>
      </c>
      <c r="E328" s="7" t="s">
        <v>109</v>
      </c>
      <c r="F328" s="7">
        <v>90001326</v>
      </c>
      <c r="G328" s="5" t="s">
        <v>228</v>
      </c>
      <c r="H328" s="7">
        <v>28010268</v>
      </c>
      <c r="I328" s="5" t="s">
        <v>446</v>
      </c>
      <c r="J328" s="5" t="s">
        <v>109</v>
      </c>
      <c r="K328" s="5" t="s">
        <v>59</v>
      </c>
      <c r="L328" s="5" t="s">
        <v>60</v>
      </c>
      <c r="M328" s="5"/>
      <c r="N328" s="6"/>
      <c r="O328" s="6"/>
    </row>
    <row r="329" spans="1:15">
      <c r="A329" s="5" t="s">
        <v>53</v>
      </c>
      <c r="B329" s="5" t="s">
        <v>30</v>
      </c>
      <c r="C329" s="5" t="s">
        <v>91</v>
      </c>
      <c r="D329" s="5" t="s">
        <v>26</v>
      </c>
      <c r="E329" s="7" t="s">
        <v>109</v>
      </c>
      <c r="F329" s="7">
        <v>901327</v>
      </c>
      <c r="G329" s="5" t="s">
        <v>226</v>
      </c>
      <c r="H329" s="7">
        <v>28010269</v>
      </c>
      <c r="I329" s="5" t="s">
        <v>447</v>
      </c>
      <c r="J329" s="5" t="s">
        <v>109</v>
      </c>
      <c r="K329" s="5" t="s">
        <v>59</v>
      </c>
      <c r="L329" s="5" t="s">
        <v>60</v>
      </c>
      <c r="M329" s="5"/>
      <c r="N329" s="6"/>
      <c r="O329" s="6"/>
    </row>
    <row r="330" spans="1:15">
      <c r="A330" s="5" t="s">
        <v>53</v>
      </c>
      <c r="B330" s="5" t="s">
        <v>30</v>
      </c>
      <c r="C330" s="5" t="s">
        <v>91</v>
      </c>
      <c r="D330" s="5" t="s">
        <v>26</v>
      </c>
      <c r="E330" s="7" t="s">
        <v>109</v>
      </c>
      <c r="F330" s="7">
        <v>901328</v>
      </c>
      <c r="G330" s="5" t="s">
        <v>226</v>
      </c>
      <c r="H330" s="7">
        <v>28010270</v>
      </c>
      <c r="I330" s="5" t="s">
        <v>448</v>
      </c>
      <c r="J330" s="5" t="s">
        <v>109</v>
      </c>
      <c r="K330" s="5" t="s">
        <v>59</v>
      </c>
      <c r="L330" s="5" t="s">
        <v>60</v>
      </c>
      <c r="M330" s="5"/>
      <c r="N330" s="6"/>
      <c r="O330" s="6"/>
    </row>
    <row r="331" spans="1:15">
      <c r="A331" s="5" t="s">
        <v>53</v>
      </c>
      <c r="B331" s="5" t="s">
        <v>30</v>
      </c>
      <c r="C331" s="5" t="s">
        <v>107</v>
      </c>
      <c r="D331" s="5" t="s">
        <v>19</v>
      </c>
      <c r="E331" s="7" t="s">
        <v>109</v>
      </c>
      <c r="F331" s="7">
        <v>901329</v>
      </c>
      <c r="G331" s="5" t="s">
        <v>111</v>
      </c>
      <c r="H331" s="7">
        <v>28010271</v>
      </c>
      <c r="I331" s="5" t="s">
        <v>449</v>
      </c>
      <c r="J331" s="5" t="s">
        <v>109</v>
      </c>
      <c r="K331" s="5" t="s">
        <v>59</v>
      </c>
      <c r="L331" s="5" t="s">
        <v>60</v>
      </c>
      <c r="M331" s="5"/>
      <c r="N331" s="6"/>
      <c r="O331" s="6"/>
    </row>
    <row r="332" spans="1:15">
      <c r="A332" s="5" t="s">
        <v>53</v>
      </c>
      <c r="B332" s="5" t="s">
        <v>30</v>
      </c>
      <c r="C332" s="5" t="s">
        <v>91</v>
      </c>
      <c r="D332" s="5" t="s">
        <v>23</v>
      </c>
      <c r="E332" s="7" t="s">
        <v>450</v>
      </c>
      <c r="F332" s="7">
        <v>90001330</v>
      </c>
      <c r="G332" s="5" t="s">
        <v>230</v>
      </c>
      <c r="H332" s="7">
        <v>28010272</v>
      </c>
      <c r="I332" s="5" t="s">
        <v>451</v>
      </c>
      <c r="J332" s="5" t="s">
        <v>452</v>
      </c>
      <c r="K332" s="5" t="s">
        <v>59</v>
      </c>
      <c r="L332" s="5" t="s">
        <v>60</v>
      </c>
      <c r="M332" s="5"/>
      <c r="N332" s="6"/>
      <c r="O332" s="6"/>
    </row>
    <row r="333" spans="1:15">
      <c r="A333" s="5" t="s">
        <v>53</v>
      </c>
      <c r="B333" s="5" t="s">
        <v>30</v>
      </c>
      <c r="C333" s="5" t="s">
        <v>91</v>
      </c>
      <c r="D333" s="5" t="s">
        <v>23</v>
      </c>
      <c r="E333" s="7" t="s">
        <v>453</v>
      </c>
      <c r="F333" s="7">
        <v>90001331</v>
      </c>
      <c r="G333" s="5" t="s">
        <v>232</v>
      </c>
      <c r="H333" s="7">
        <v>28010273</v>
      </c>
      <c r="I333" s="5" t="s">
        <v>454</v>
      </c>
      <c r="J333" s="5" t="s">
        <v>452</v>
      </c>
      <c r="K333" s="5" t="s">
        <v>59</v>
      </c>
      <c r="L333" s="5" t="s">
        <v>60</v>
      </c>
      <c r="M333" s="5"/>
      <c r="N333" s="6"/>
      <c r="O333" s="6"/>
    </row>
    <row r="334" spans="1:15">
      <c r="A334" s="5" t="s">
        <v>53</v>
      </c>
      <c r="B334" s="5" t="s">
        <v>30</v>
      </c>
      <c r="C334" s="5" t="s">
        <v>91</v>
      </c>
      <c r="D334" s="5" t="s">
        <v>23</v>
      </c>
      <c r="E334" s="7" t="s">
        <v>450</v>
      </c>
      <c r="F334" s="7">
        <v>90001332</v>
      </c>
      <c r="G334" s="5" t="s">
        <v>234</v>
      </c>
      <c r="H334" s="7">
        <v>28010274</v>
      </c>
      <c r="I334" s="5" t="s">
        <v>455</v>
      </c>
      <c r="J334" s="5" t="s">
        <v>452</v>
      </c>
      <c r="K334" s="5" t="s">
        <v>59</v>
      </c>
      <c r="L334" s="5" t="s">
        <v>60</v>
      </c>
      <c r="M334" s="5"/>
      <c r="N334" s="6"/>
      <c r="O334" s="6"/>
    </row>
    <row r="335" spans="1:15">
      <c r="A335" s="5" t="s">
        <v>53</v>
      </c>
      <c r="B335" s="5" t="s">
        <v>30</v>
      </c>
      <c r="C335" s="5" t="s">
        <v>91</v>
      </c>
      <c r="D335" s="5" t="s">
        <v>23</v>
      </c>
      <c r="E335" s="7" t="s">
        <v>456</v>
      </c>
      <c r="F335" s="7">
        <v>90001333</v>
      </c>
      <c r="G335" s="5" t="s">
        <v>236</v>
      </c>
      <c r="H335" s="7">
        <v>28010275</v>
      </c>
      <c r="I335" s="5" t="s">
        <v>457</v>
      </c>
      <c r="J335" s="5" t="s">
        <v>452</v>
      </c>
      <c r="K335" s="5" t="s">
        <v>59</v>
      </c>
      <c r="L335" s="5" t="s">
        <v>60</v>
      </c>
      <c r="M335" s="5"/>
      <c r="N335" s="6"/>
      <c r="O335" s="6"/>
    </row>
    <row r="336" spans="1:15">
      <c r="A336" s="5" t="s">
        <v>53</v>
      </c>
      <c r="B336" s="5" t="s">
        <v>30</v>
      </c>
      <c r="C336" s="5" t="s">
        <v>91</v>
      </c>
      <c r="D336" s="5" t="s">
        <v>23</v>
      </c>
      <c r="E336" s="7" t="s">
        <v>453</v>
      </c>
      <c r="F336" s="7">
        <v>90001334</v>
      </c>
      <c r="G336" s="5" t="s">
        <v>317</v>
      </c>
      <c r="H336" s="7">
        <v>28010276</v>
      </c>
      <c r="I336" s="5" t="s">
        <v>458</v>
      </c>
      <c r="J336" s="5" t="s">
        <v>452</v>
      </c>
      <c r="K336" s="5" t="s">
        <v>59</v>
      </c>
      <c r="L336" s="5" t="s">
        <v>60</v>
      </c>
      <c r="M336" s="5"/>
      <c r="N336" s="6"/>
      <c r="O336" s="6"/>
    </row>
    <row r="337" spans="1:15">
      <c r="A337" s="5" t="s">
        <v>53</v>
      </c>
      <c r="B337" s="5" t="s">
        <v>30</v>
      </c>
      <c r="C337" s="5" t="s">
        <v>91</v>
      </c>
      <c r="D337" s="5" t="s">
        <v>23</v>
      </c>
      <c r="E337" s="7" t="s">
        <v>453</v>
      </c>
      <c r="F337" s="7">
        <v>90001335</v>
      </c>
      <c r="G337" s="5" t="s">
        <v>239</v>
      </c>
      <c r="H337" s="7">
        <v>28010277</v>
      </c>
      <c r="I337" s="5" t="s">
        <v>459</v>
      </c>
      <c r="J337" s="5" t="s">
        <v>452</v>
      </c>
      <c r="K337" s="5" t="s">
        <v>59</v>
      </c>
      <c r="L337" s="5" t="s">
        <v>60</v>
      </c>
      <c r="M337" s="5"/>
      <c r="N337" s="6"/>
      <c r="O337" s="6"/>
    </row>
    <row r="338" spans="1:15">
      <c r="A338" s="5" t="s">
        <v>53</v>
      </c>
      <c r="B338" s="5" t="s">
        <v>30</v>
      </c>
      <c r="C338" s="5" t="s">
        <v>91</v>
      </c>
      <c r="D338" s="5" t="s">
        <v>23</v>
      </c>
      <c r="E338" s="7" t="s">
        <v>453</v>
      </c>
      <c r="F338" s="7">
        <v>90001336</v>
      </c>
      <c r="G338" s="5" t="s">
        <v>317</v>
      </c>
      <c r="H338" s="7">
        <v>28010278</v>
      </c>
      <c r="I338" s="5" t="s">
        <v>460</v>
      </c>
      <c r="J338" s="5" t="s">
        <v>452</v>
      </c>
      <c r="K338" s="5" t="s">
        <v>59</v>
      </c>
      <c r="L338" s="5" t="s">
        <v>60</v>
      </c>
      <c r="M338" s="5"/>
      <c r="N338" s="6"/>
      <c r="O338" s="6"/>
    </row>
    <row r="339" spans="1:15">
      <c r="A339" s="5" t="s">
        <v>53</v>
      </c>
      <c r="B339" s="5" t="s">
        <v>30</v>
      </c>
      <c r="C339" s="5" t="s">
        <v>91</v>
      </c>
      <c r="D339" s="5" t="s">
        <v>23</v>
      </c>
      <c r="E339" s="7" t="s">
        <v>461</v>
      </c>
      <c r="F339" s="7">
        <v>90001337</v>
      </c>
      <c r="G339" s="5" t="s">
        <v>241</v>
      </c>
      <c r="H339" s="7">
        <v>28010279</v>
      </c>
      <c r="I339" s="5" t="s">
        <v>462</v>
      </c>
      <c r="J339" s="5" t="s">
        <v>452</v>
      </c>
      <c r="K339" s="5" t="s">
        <v>59</v>
      </c>
      <c r="L339" s="5" t="s">
        <v>60</v>
      </c>
      <c r="M339" s="5"/>
      <c r="N339" s="6"/>
      <c r="O339" s="6"/>
    </row>
    <row r="340" spans="1:15">
      <c r="A340" s="5" t="s">
        <v>53</v>
      </c>
      <c r="B340" s="5" t="s">
        <v>29</v>
      </c>
      <c r="C340" s="5" t="s">
        <v>55</v>
      </c>
      <c r="D340" s="5" t="s">
        <v>14</v>
      </c>
      <c r="E340" s="7" t="s">
        <v>69</v>
      </c>
      <c r="F340" s="7">
        <v>90001338</v>
      </c>
      <c r="G340" s="5" t="s">
        <v>243</v>
      </c>
      <c r="H340" s="7">
        <v>28010280</v>
      </c>
      <c r="I340" s="5" t="s">
        <v>463</v>
      </c>
      <c r="J340" s="5" t="s">
        <v>69</v>
      </c>
      <c r="K340" s="5" t="s">
        <v>59</v>
      </c>
      <c r="L340" s="5" t="s">
        <v>60</v>
      </c>
      <c r="M340" s="5"/>
      <c r="N340" s="6"/>
      <c r="O340" s="6"/>
    </row>
    <row r="341" spans="1:15">
      <c r="A341" s="5" t="s">
        <v>53</v>
      </c>
      <c r="B341" s="5" t="s">
        <v>29</v>
      </c>
      <c r="C341" s="5" t="s">
        <v>55</v>
      </c>
      <c r="D341" s="5" t="s">
        <v>14</v>
      </c>
      <c r="E341" s="7" t="s">
        <v>210</v>
      </c>
      <c r="F341" s="7">
        <v>90001339</v>
      </c>
      <c r="G341" s="5" t="s">
        <v>245</v>
      </c>
      <c r="H341" s="7">
        <v>28010281</v>
      </c>
      <c r="I341" s="5" t="s">
        <v>464</v>
      </c>
      <c r="J341" s="5" t="s">
        <v>210</v>
      </c>
      <c r="K341" s="5" t="s">
        <v>59</v>
      </c>
      <c r="L341" s="5" t="s">
        <v>60</v>
      </c>
      <c r="M341" s="5"/>
      <c r="N341" s="6"/>
      <c r="O341" s="6"/>
    </row>
    <row r="342" spans="1:15">
      <c r="A342" s="5" t="s">
        <v>53</v>
      </c>
      <c r="B342" s="5" t="s">
        <v>29</v>
      </c>
      <c r="C342" s="5" t="s">
        <v>55</v>
      </c>
      <c r="D342" s="5" t="s">
        <v>14</v>
      </c>
      <c r="E342" s="7" t="s">
        <v>210</v>
      </c>
      <c r="F342" s="7">
        <v>90001340</v>
      </c>
      <c r="G342" s="5" t="s">
        <v>247</v>
      </c>
      <c r="H342" s="7">
        <v>28010282</v>
      </c>
      <c r="I342" s="5" t="s">
        <v>465</v>
      </c>
      <c r="J342" s="5" t="s">
        <v>210</v>
      </c>
      <c r="K342" s="5" t="s">
        <v>59</v>
      </c>
      <c r="L342" s="5" t="s">
        <v>60</v>
      </c>
      <c r="M342" s="5"/>
      <c r="N342" s="6"/>
      <c r="O342" s="6"/>
    </row>
    <row r="343" spans="1:15">
      <c r="A343" s="5" t="s">
        <v>53</v>
      </c>
      <c r="B343" s="5" t="s">
        <v>54</v>
      </c>
      <c r="C343" s="5" t="s">
        <v>91</v>
      </c>
      <c r="D343" s="5" t="s">
        <v>20</v>
      </c>
      <c r="E343" s="7" t="s">
        <v>99</v>
      </c>
      <c r="F343" s="7">
        <v>901341</v>
      </c>
      <c r="G343" s="5" t="s">
        <v>249</v>
      </c>
      <c r="H343" s="7">
        <v>28010283</v>
      </c>
      <c r="I343" s="6" t="s">
        <v>466</v>
      </c>
      <c r="J343" s="5" t="s">
        <v>99</v>
      </c>
      <c r="K343" s="5" t="s">
        <v>59</v>
      </c>
      <c r="L343" s="5" t="s">
        <v>60</v>
      </c>
      <c r="M343" s="5"/>
      <c r="N343" s="6"/>
      <c r="O343" s="6"/>
    </row>
    <row r="344" spans="1:15">
      <c r="A344" s="5" t="s">
        <v>53</v>
      </c>
      <c r="B344" s="5" t="s">
        <v>29</v>
      </c>
      <c r="C344" s="5" t="s">
        <v>55</v>
      </c>
      <c r="D344" s="5" t="s">
        <v>14</v>
      </c>
      <c r="E344" s="7" t="s">
        <v>99</v>
      </c>
      <c r="F344" s="7">
        <v>90001342</v>
      </c>
      <c r="G344" s="5" t="s">
        <v>251</v>
      </c>
      <c r="H344" s="7">
        <v>28010284</v>
      </c>
      <c r="I344" s="5" t="s">
        <v>467</v>
      </c>
      <c r="J344" s="5" t="s">
        <v>99</v>
      </c>
      <c r="K344" s="5" t="s">
        <v>59</v>
      </c>
      <c r="L344" s="5" t="s">
        <v>60</v>
      </c>
      <c r="M344" s="5"/>
      <c r="N344" s="6"/>
      <c r="O344" s="6"/>
    </row>
    <row r="345" spans="1:15">
      <c r="A345" s="5" t="s">
        <v>53</v>
      </c>
      <c r="B345" s="5" t="s">
        <v>30</v>
      </c>
      <c r="C345" s="5" t="s">
        <v>107</v>
      </c>
      <c r="D345" s="5" t="s">
        <v>19</v>
      </c>
      <c r="E345" s="7" t="s">
        <v>128</v>
      </c>
      <c r="F345" s="7">
        <v>90001343</v>
      </c>
      <c r="G345" s="5" t="s">
        <v>253</v>
      </c>
      <c r="H345" s="7"/>
      <c r="I345" s="5"/>
      <c r="J345" s="5"/>
      <c r="K345" s="5"/>
      <c r="L345" s="5" t="s">
        <v>63</v>
      </c>
      <c r="M345" s="5"/>
      <c r="N345" s="6"/>
      <c r="O345" s="6"/>
    </row>
    <row r="346" spans="1:15">
      <c r="A346" s="5" t="s">
        <v>53</v>
      </c>
      <c r="B346" s="5" t="s">
        <v>29</v>
      </c>
      <c r="C346" s="5" t="s">
        <v>55</v>
      </c>
      <c r="D346" s="5" t="s">
        <v>14</v>
      </c>
      <c r="E346" s="7" t="s">
        <v>56</v>
      </c>
      <c r="F346" s="7">
        <v>90001344</v>
      </c>
      <c r="G346" s="5" t="s">
        <v>251</v>
      </c>
      <c r="H346" s="7">
        <v>28010285</v>
      </c>
      <c r="I346" s="5" t="s">
        <v>468</v>
      </c>
      <c r="J346" s="5" t="s">
        <v>56</v>
      </c>
      <c r="K346" s="5" t="s">
        <v>59</v>
      </c>
      <c r="L346" s="5" t="s">
        <v>60</v>
      </c>
      <c r="M346" s="5"/>
      <c r="N346" s="6"/>
      <c r="O346" s="6"/>
    </row>
    <row r="347" spans="1:15">
      <c r="A347" s="5" t="s">
        <v>53</v>
      </c>
      <c r="B347" s="5" t="s">
        <v>29</v>
      </c>
      <c r="C347" s="5" t="s">
        <v>55</v>
      </c>
      <c r="D347" s="5" t="s">
        <v>14</v>
      </c>
      <c r="E347" s="7" t="s">
        <v>72</v>
      </c>
      <c r="F347" s="7">
        <v>90001345</v>
      </c>
      <c r="G347" s="5" t="s">
        <v>260</v>
      </c>
      <c r="H347" s="7">
        <v>28010286</v>
      </c>
      <c r="I347" s="5" t="s">
        <v>469</v>
      </c>
      <c r="J347" s="5" t="s">
        <v>72</v>
      </c>
      <c r="K347" s="5" t="s">
        <v>59</v>
      </c>
      <c r="L347" s="5" t="s">
        <v>60</v>
      </c>
      <c r="M347" s="5"/>
      <c r="N347" s="6"/>
      <c r="O347" s="6"/>
    </row>
    <row r="348" spans="1:15">
      <c r="A348" s="5" t="s">
        <v>53</v>
      </c>
      <c r="B348" s="5" t="s">
        <v>29</v>
      </c>
      <c r="C348" s="5" t="s">
        <v>98</v>
      </c>
      <c r="D348" s="5" t="s">
        <v>22</v>
      </c>
      <c r="E348" s="7" t="s">
        <v>210</v>
      </c>
      <c r="F348" s="7">
        <v>901346</v>
      </c>
      <c r="G348" s="5" t="s">
        <v>262</v>
      </c>
      <c r="H348" s="7"/>
      <c r="I348" s="5"/>
      <c r="J348" s="5"/>
      <c r="K348" s="5"/>
      <c r="L348" s="5" t="s">
        <v>63</v>
      </c>
      <c r="M348" s="5"/>
      <c r="N348" s="6" t="s">
        <v>85</v>
      </c>
      <c r="O348" s="6"/>
    </row>
    <row r="349" spans="1:15">
      <c r="A349" s="5" t="s">
        <v>53</v>
      </c>
      <c r="B349" s="5" t="s">
        <v>29</v>
      </c>
      <c r="C349" s="5" t="s">
        <v>98</v>
      </c>
      <c r="D349" s="5" t="s">
        <v>22</v>
      </c>
      <c r="E349" s="7" t="s">
        <v>210</v>
      </c>
      <c r="F349" s="7">
        <v>901347</v>
      </c>
      <c r="G349" s="5" t="s">
        <v>264</v>
      </c>
      <c r="H349" s="7">
        <v>28010287</v>
      </c>
      <c r="I349" s="5" t="s">
        <v>470</v>
      </c>
      <c r="J349" s="5" t="s">
        <v>69</v>
      </c>
      <c r="K349" s="5" t="s">
        <v>59</v>
      </c>
      <c r="L349" s="5" t="s">
        <v>60</v>
      </c>
      <c r="M349" s="5"/>
      <c r="N349" s="6"/>
      <c r="O349" s="6"/>
    </row>
    <row r="350" spans="1:15">
      <c r="A350" s="5" t="s">
        <v>53</v>
      </c>
      <c r="B350" s="5" t="s">
        <v>29</v>
      </c>
      <c r="C350" s="5" t="s">
        <v>98</v>
      </c>
      <c r="D350" s="5" t="s">
        <v>22</v>
      </c>
      <c r="E350" s="7" t="s">
        <v>210</v>
      </c>
      <c r="F350" s="7">
        <v>901348</v>
      </c>
      <c r="G350" s="5" t="s">
        <v>266</v>
      </c>
      <c r="H350" s="7">
        <v>28010288</v>
      </c>
      <c r="I350" s="5" t="s">
        <v>471</v>
      </c>
      <c r="J350" s="5" t="s">
        <v>210</v>
      </c>
      <c r="K350" s="5" t="s">
        <v>59</v>
      </c>
      <c r="L350" s="5" t="s">
        <v>60</v>
      </c>
      <c r="M350" s="5"/>
      <c r="N350" s="6"/>
      <c r="O350" s="6"/>
    </row>
    <row r="351" spans="1:15">
      <c r="A351" s="5" t="s">
        <v>53</v>
      </c>
      <c r="B351" s="5" t="s">
        <v>29</v>
      </c>
      <c r="C351" s="5" t="s">
        <v>98</v>
      </c>
      <c r="D351" s="5" t="s">
        <v>22</v>
      </c>
      <c r="E351" s="7" t="s">
        <v>99</v>
      </c>
      <c r="F351" s="7">
        <v>90001349</v>
      </c>
      <c r="G351" s="5" t="s">
        <v>262</v>
      </c>
      <c r="H351" s="7"/>
      <c r="I351" s="5"/>
      <c r="J351" s="5"/>
      <c r="K351" s="5"/>
      <c r="L351" s="5" t="s">
        <v>63</v>
      </c>
      <c r="M351" s="5"/>
      <c r="N351" s="6" t="s">
        <v>85</v>
      </c>
      <c r="O351" s="6"/>
    </row>
    <row r="352" spans="1:15">
      <c r="A352" s="5" t="s">
        <v>53</v>
      </c>
      <c r="B352" s="5" t="s">
        <v>29</v>
      </c>
      <c r="C352" s="5" t="s">
        <v>98</v>
      </c>
      <c r="D352" s="5" t="s">
        <v>22</v>
      </c>
      <c r="E352" s="7" t="s">
        <v>128</v>
      </c>
      <c r="F352" s="7">
        <v>90001350</v>
      </c>
      <c r="G352" s="5" t="s">
        <v>267</v>
      </c>
      <c r="H352" s="7"/>
      <c r="I352" s="5"/>
      <c r="J352" s="5"/>
      <c r="K352" s="5"/>
      <c r="L352" s="5" t="s">
        <v>63</v>
      </c>
      <c r="M352" s="5"/>
      <c r="N352" s="6" t="s">
        <v>85</v>
      </c>
      <c r="O352" s="6"/>
    </row>
    <row r="353" spans="1:15">
      <c r="A353" s="5" t="s">
        <v>53</v>
      </c>
      <c r="B353" s="5" t="s">
        <v>64</v>
      </c>
      <c r="C353" s="5" t="s">
        <v>80</v>
      </c>
      <c r="D353" s="5" t="s">
        <v>18</v>
      </c>
      <c r="E353" s="7" t="s">
        <v>56</v>
      </c>
      <c r="F353" s="7">
        <v>901351</v>
      </c>
      <c r="G353" s="5" t="s">
        <v>270</v>
      </c>
      <c r="H353" s="7">
        <v>28010289</v>
      </c>
      <c r="I353" s="5" t="s">
        <v>472</v>
      </c>
      <c r="J353" s="5" t="s">
        <v>56</v>
      </c>
      <c r="K353" s="5" t="s">
        <v>59</v>
      </c>
      <c r="L353" s="5" t="s">
        <v>60</v>
      </c>
      <c r="M353" s="5"/>
      <c r="N353" s="6"/>
      <c r="O353" s="6"/>
    </row>
    <row r="354" spans="1:15">
      <c r="A354" s="5" t="s">
        <v>53</v>
      </c>
      <c r="B354" s="5" t="s">
        <v>54</v>
      </c>
      <c r="C354" s="5" t="s">
        <v>91</v>
      </c>
      <c r="D354" s="5" t="s">
        <v>20</v>
      </c>
      <c r="E354" s="7" t="s">
        <v>109</v>
      </c>
      <c r="F354" s="7">
        <v>901352</v>
      </c>
      <c r="G354" s="5" t="s">
        <v>113</v>
      </c>
      <c r="H354" s="7"/>
      <c r="I354" s="5"/>
      <c r="J354" s="5"/>
      <c r="K354" s="5"/>
      <c r="L354" s="5" t="s">
        <v>63</v>
      </c>
      <c r="M354" s="6" t="s">
        <v>473</v>
      </c>
      <c r="N354" s="6"/>
      <c r="O354" s="6"/>
    </row>
    <row r="355" spans="1:15">
      <c r="A355" s="5" t="s">
        <v>53</v>
      </c>
      <c r="B355" s="5" t="s">
        <v>54</v>
      </c>
      <c r="C355" s="5" t="s">
        <v>91</v>
      </c>
      <c r="D355" s="5" t="s">
        <v>26</v>
      </c>
      <c r="E355" s="7" t="s">
        <v>72</v>
      </c>
      <c r="F355" s="7">
        <v>901353</v>
      </c>
      <c r="G355" s="5" t="s">
        <v>220</v>
      </c>
      <c r="H355" s="7">
        <v>28010290</v>
      </c>
      <c r="I355" s="5" t="s">
        <v>474</v>
      </c>
      <c r="J355" s="5" t="s">
        <v>72</v>
      </c>
      <c r="K355" s="5" t="s">
        <v>59</v>
      </c>
      <c r="L355" s="5" t="s">
        <v>60</v>
      </c>
      <c r="M355" s="5"/>
      <c r="N355" s="6"/>
      <c r="O355" s="6"/>
    </row>
    <row r="356" spans="1:15">
      <c r="A356" s="5" t="s">
        <v>53</v>
      </c>
      <c r="B356" s="5" t="s">
        <v>54</v>
      </c>
      <c r="C356" s="5" t="s">
        <v>107</v>
      </c>
      <c r="D356" s="5" t="s">
        <v>27</v>
      </c>
      <c r="E356" s="7" t="s">
        <v>56</v>
      </c>
      <c r="F356" s="7">
        <v>901354</v>
      </c>
      <c r="G356" s="5" t="s">
        <v>272</v>
      </c>
      <c r="H356" s="7">
        <v>28010291</v>
      </c>
      <c r="I356" s="5" t="s">
        <v>475</v>
      </c>
      <c r="J356" s="5" t="s">
        <v>128</v>
      </c>
      <c r="K356" s="5" t="s">
        <v>59</v>
      </c>
      <c r="L356" s="5" t="s">
        <v>60</v>
      </c>
      <c r="M356" s="5"/>
      <c r="N356" s="6"/>
      <c r="O356" s="6"/>
    </row>
    <row r="357" spans="1:15">
      <c r="A357" s="5" t="s">
        <v>53</v>
      </c>
      <c r="B357" s="5" t="s">
        <v>54</v>
      </c>
      <c r="C357" s="5" t="s">
        <v>107</v>
      </c>
      <c r="D357" s="5" t="s">
        <v>27</v>
      </c>
      <c r="E357" s="7" t="s">
        <v>210</v>
      </c>
      <c r="F357" s="7">
        <v>901355</v>
      </c>
      <c r="G357" s="5" t="s">
        <v>274</v>
      </c>
      <c r="H357" s="7">
        <v>28010292</v>
      </c>
      <c r="I357" s="5" t="s">
        <v>476</v>
      </c>
      <c r="J357" s="5" t="s">
        <v>210</v>
      </c>
      <c r="K357" s="5" t="s">
        <v>59</v>
      </c>
      <c r="L357" s="5" t="s">
        <v>60</v>
      </c>
      <c r="M357" s="5"/>
      <c r="N357" s="6"/>
      <c r="O357" s="6"/>
    </row>
    <row r="358" spans="1:15">
      <c r="A358" s="5" t="s">
        <v>53</v>
      </c>
      <c r="B358" s="5" t="s">
        <v>54</v>
      </c>
      <c r="C358" s="5" t="s">
        <v>107</v>
      </c>
      <c r="D358" s="5" t="s">
        <v>27</v>
      </c>
      <c r="E358" s="7" t="s">
        <v>56</v>
      </c>
      <c r="F358" s="7">
        <v>901356</v>
      </c>
      <c r="G358" s="5" t="s">
        <v>272</v>
      </c>
      <c r="H358" s="7">
        <v>28010293</v>
      </c>
      <c r="I358" s="5" t="s">
        <v>477</v>
      </c>
      <c r="J358" s="5" t="s">
        <v>56</v>
      </c>
      <c r="K358" s="5" t="s">
        <v>59</v>
      </c>
      <c r="L358" s="5" t="s">
        <v>60</v>
      </c>
      <c r="M358" s="5"/>
      <c r="N358" s="6"/>
      <c r="O358" s="6"/>
    </row>
    <row r="359" spans="1:15">
      <c r="A359" s="5" t="s">
        <v>53</v>
      </c>
      <c r="B359" s="5" t="s">
        <v>54</v>
      </c>
      <c r="C359" s="5" t="s">
        <v>107</v>
      </c>
      <c r="D359" s="5" t="s">
        <v>27</v>
      </c>
      <c r="E359" s="7" t="s">
        <v>72</v>
      </c>
      <c r="F359" s="7">
        <v>901357</v>
      </c>
      <c r="G359" s="5" t="s">
        <v>272</v>
      </c>
      <c r="H359" s="7">
        <v>28010294</v>
      </c>
      <c r="I359" s="5" t="s">
        <v>478</v>
      </c>
      <c r="J359" s="5" t="s">
        <v>72</v>
      </c>
      <c r="K359" s="5" t="s">
        <v>59</v>
      </c>
      <c r="L359" s="5" t="s">
        <v>60</v>
      </c>
      <c r="M359" s="5"/>
      <c r="N359" s="6"/>
      <c r="O359" s="6"/>
    </row>
    <row r="360" spans="1:15">
      <c r="A360" s="5" t="s">
        <v>53</v>
      </c>
      <c r="B360" s="5" t="s">
        <v>30</v>
      </c>
      <c r="C360" s="5" t="s">
        <v>107</v>
      </c>
      <c r="D360" s="5" t="s">
        <v>19</v>
      </c>
      <c r="E360" s="7" t="s">
        <v>72</v>
      </c>
      <c r="F360" s="7">
        <v>901358</v>
      </c>
      <c r="G360" s="5" t="s">
        <v>157</v>
      </c>
      <c r="H360" s="7">
        <v>28010295</v>
      </c>
      <c r="I360" s="5" t="s">
        <v>479</v>
      </c>
      <c r="J360" s="5" t="s">
        <v>72</v>
      </c>
      <c r="K360" s="5" t="s">
        <v>59</v>
      </c>
      <c r="L360" s="5" t="s">
        <v>60</v>
      </c>
      <c r="M360" s="5"/>
      <c r="N360" s="6"/>
      <c r="O360" s="6"/>
    </row>
    <row r="361" spans="1:15">
      <c r="A361" s="5" t="s">
        <v>53</v>
      </c>
      <c r="B361" s="5" t="s">
        <v>54</v>
      </c>
      <c r="C361" s="5" t="s">
        <v>107</v>
      </c>
      <c r="D361" s="5" t="s">
        <v>27</v>
      </c>
      <c r="E361" s="7" t="s">
        <v>56</v>
      </c>
      <c r="F361" s="7">
        <v>901359</v>
      </c>
      <c r="G361" s="5" t="s">
        <v>276</v>
      </c>
      <c r="H361" s="7">
        <v>28010296</v>
      </c>
      <c r="I361" s="5" t="s">
        <v>480</v>
      </c>
      <c r="J361" s="5" t="s">
        <v>56</v>
      </c>
      <c r="K361" s="5" t="s">
        <v>59</v>
      </c>
      <c r="L361" s="5" t="s">
        <v>60</v>
      </c>
      <c r="M361" s="5"/>
      <c r="N361" s="6"/>
      <c r="O361" s="6"/>
    </row>
    <row r="362" spans="1:15">
      <c r="A362" s="5" t="s">
        <v>53</v>
      </c>
      <c r="B362" s="5" t="s">
        <v>54</v>
      </c>
      <c r="C362" s="5" t="s">
        <v>107</v>
      </c>
      <c r="D362" s="5" t="s">
        <v>27</v>
      </c>
      <c r="E362" s="7" t="s">
        <v>69</v>
      </c>
      <c r="F362" s="7">
        <v>901360</v>
      </c>
      <c r="G362" s="5" t="s">
        <v>280</v>
      </c>
      <c r="H362" s="7">
        <v>28010297</v>
      </c>
      <c r="I362" s="5" t="s">
        <v>481</v>
      </c>
      <c r="J362" s="5" t="s">
        <v>69</v>
      </c>
      <c r="K362" s="5" t="s">
        <v>59</v>
      </c>
      <c r="L362" s="5" t="s">
        <v>60</v>
      </c>
      <c r="M362" s="5"/>
      <c r="N362" s="6"/>
      <c r="O362" s="6"/>
    </row>
    <row r="363" spans="1:15">
      <c r="A363" s="5" t="s">
        <v>53</v>
      </c>
      <c r="B363" s="5" t="s">
        <v>30</v>
      </c>
      <c r="C363" s="5" t="s">
        <v>107</v>
      </c>
      <c r="D363" s="5" t="s">
        <v>19</v>
      </c>
      <c r="E363" s="7" t="s">
        <v>56</v>
      </c>
      <c r="F363" s="7">
        <v>901361</v>
      </c>
      <c r="G363" s="5" t="s">
        <v>282</v>
      </c>
      <c r="H363" s="7">
        <v>28010298</v>
      </c>
      <c r="I363" s="5" t="s">
        <v>482</v>
      </c>
      <c r="J363" s="5" t="s">
        <v>56</v>
      </c>
      <c r="K363" s="5" t="s">
        <v>59</v>
      </c>
      <c r="L363" s="5" t="s">
        <v>60</v>
      </c>
      <c r="M363" s="5"/>
      <c r="N363" s="6"/>
      <c r="O363" s="6"/>
    </row>
    <row r="364" spans="1:15">
      <c r="A364" s="5" t="s">
        <v>53</v>
      </c>
      <c r="B364" s="5" t="s">
        <v>54</v>
      </c>
      <c r="C364" s="5" t="s">
        <v>107</v>
      </c>
      <c r="D364" s="5" t="s">
        <v>27</v>
      </c>
      <c r="E364" s="7" t="s">
        <v>99</v>
      </c>
      <c r="F364" s="7">
        <v>901362</v>
      </c>
      <c r="G364" s="5" t="s">
        <v>285</v>
      </c>
      <c r="H364" s="7">
        <v>28010299</v>
      </c>
      <c r="I364" s="5" t="s">
        <v>483</v>
      </c>
      <c r="J364" s="5" t="s">
        <v>99</v>
      </c>
      <c r="K364" s="5" t="s">
        <v>59</v>
      </c>
      <c r="L364" s="5" t="s">
        <v>60</v>
      </c>
      <c r="M364" s="5"/>
      <c r="N364" s="6"/>
      <c r="O364" s="6"/>
    </row>
    <row r="365" spans="1:15">
      <c r="A365" s="5" t="s">
        <v>53</v>
      </c>
      <c r="B365" s="5" t="s">
        <v>54</v>
      </c>
      <c r="C365" s="5" t="s">
        <v>102</v>
      </c>
      <c r="D365" s="5" t="s">
        <v>26</v>
      </c>
      <c r="E365" s="7" t="s">
        <v>56</v>
      </c>
      <c r="F365" s="7">
        <v>901363</v>
      </c>
      <c r="G365" s="5" t="s">
        <v>272</v>
      </c>
      <c r="H365" s="7">
        <v>28010300</v>
      </c>
      <c r="I365" s="5" t="s">
        <v>484</v>
      </c>
      <c r="J365" s="5" t="s">
        <v>56</v>
      </c>
      <c r="K365" s="5" t="s">
        <v>59</v>
      </c>
      <c r="L365" s="5" t="s">
        <v>60</v>
      </c>
      <c r="M365" s="5"/>
      <c r="N365" s="6"/>
      <c r="O365" s="6"/>
    </row>
    <row r="366" spans="1:15">
      <c r="A366" s="5" t="s">
        <v>53</v>
      </c>
      <c r="B366" s="5" t="s">
        <v>54</v>
      </c>
      <c r="C366" s="5" t="s">
        <v>102</v>
      </c>
      <c r="D366" s="5" t="s">
        <v>26</v>
      </c>
      <c r="E366" s="7" t="s">
        <v>56</v>
      </c>
      <c r="F366" s="7">
        <v>901364</v>
      </c>
      <c r="G366" s="5" t="s">
        <v>157</v>
      </c>
      <c r="H366" s="7">
        <v>28010301</v>
      </c>
      <c r="I366" s="5" t="s">
        <v>485</v>
      </c>
      <c r="J366" s="5" t="s">
        <v>128</v>
      </c>
      <c r="K366" s="5" t="s">
        <v>59</v>
      </c>
      <c r="L366" s="5" t="s">
        <v>60</v>
      </c>
      <c r="M366" s="5"/>
      <c r="N366" s="6"/>
      <c r="O366" s="6"/>
    </row>
    <row r="367" spans="1:15">
      <c r="A367" s="5" t="s">
        <v>53</v>
      </c>
      <c r="B367" s="5" t="s">
        <v>54</v>
      </c>
      <c r="C367" s="5" t="s">
        <v>80</v>
      </c>
      <c r="D367" s="5" t="s">
        <v>21</v>
      </c>
      <c r="E367" s="7" t="s">
        <v>210</v>
      </c>
      <c r="F367" s="7">
        <v>901365</v>
      </c>
      <c r="G367" s="5" t="s">
        <v>262</v>
      </c>
      <c r="H367" s="7">
        <v>28010302</v>
      </c>
      <c r="I367" s="5" t="s">
        <v>486</v>
      </c>
      <c r="J367" s="5" t="s">
        <v>210</v>
      </c>
      <c r="K367" s="5" t="s">
        <v>59</v>
      </c>
      <c r="L367" s="5" t="s">
        <v>60</v>
      </c>
      <c r="M367" s="5"/>
      <c r="N367" s="6"/>
      <c r="O367" s="6"/>
    </row>
    <row r="368" spans="1:15">
      <c r="A368" s="5" t="s">
        <v>53</v>
      </c>
      <c r="B368" s="5" t="s">
        <v>54</v>
      </c>
      <c r="C368" s="5" t="s">
        <v>91</v>
      </c>
      <c r="D368" s="5" t="s">
        <v>22</v>
      </c>
      <c r="E368" s="7" t="s">
        <v>128</v>
      </c>
      <c r="F368" s="7">
        <v>901366</v>
      </c>
      <c r="G368" s="5" t="s">
        <v>131</v>
      </c>
      <c r="H368" s="7">
        <v>28010303</v>
      </c>
      <c r="I368" s="5" t="s">
        <v>487</v>
      </c>
      <c r="J368" s="5" t="s">
        <v>128</v>
      </c>
      <c r="K368" s="5" t="s">
        <v>59</v>
      </c>
      <c r="L368" s="5" t="s">
        <v>60</v>
      </c>
      <c r="M368" s="5"/>
      <c r="N368" s="6"/>
      <c r="O368" s="6"/>
    </row>
    <row r="369" spans="1:15">
      <c r="A369" s="5" t="s">
        <v>53</v>
      </c>
      <c r="B369" s="5" t="s">
        <v>54</v>
      </c>
      <c r="C369" s="5" t="s">
        <v>91</v>
      </c>
      <c r="D369" s="5" t="s">
        <v>22</v>
      </c>
      <c r="E369" s="7" t="s">
        <v>128</v>
      </c>
      <c r="F369" s="7">
        <v>901367</v>
      </c>
      <c r="G369" s="5" t="s">
        <v>131</v>
      </c>
      <c r="H369" s="7">
        <v>28010304</v>
      </c>
      <c r="I369" s="5" t="s">
        <v>488</v>
      </c>
      <c r="J369" s="5" t="s">
        <v>128</v>
      </c>
      <c r="K369" s="5" t="s">
        <v>59</v>
      </c>
      <c r="L369" s="5" t="s">
        <v>60</v>
      </c>
      <c r="M369" s="5"/>
      <c r="N369" s="6"/>
      <c r="O369" s="6"/>
    </row>
    <row r="370" spans="1:15">
      <c r="A370" s="5" t="s">
        <v>53</v>
      </c>
      <c r="B370" s="5" t="s">
        <v>31</v>
      </c>
      <c r="C370" s="5" t="s">
        <v>75</v>
      </c>
      <c r="D370" s="5" t="s">
        <v>10</v>
      </c>
      <c r="E370" s="7" t="s">
        <v>128</v>
      </c>
      <c r="F370" s="7">
        <v>901368</v>
      </c>
      <c r="G370" s="5" t="s">
        <v>287</v>
      </c>
      <c r="H370" s="7">
        <v>28010305</v>
      </c>
      <c r="I370" s="5" t="s">
        <v>489</v>
      </c>
      <c r="J370" s="5" t="s">
        <v>128</v>
      </c>
      <c r="K370" s="5" t="s">
        <v>59</v>
      </c>
      <c r="L370" s="5" t="s">
        <v>60</v>
      </c>
      <c r="M370" s="5"/>
      <c r="N370" s="6"/>
      <c r="O370" s="6"/>
    </row>
    <row r="371" spans="1:15">
      <c r="A371" s="5" t="s">
        <v>53</v>
      </c>
      <c r="B371" s="5" t="s">
        <v>30</v>
      </c>
      <c r="C371" s="5" t="s">
        <v>55</v>
      </c>
      <c r="D371" s="5" t="s">
        <v>28</v>
      </c>
      <c r="E371" s="7" t="s">
        <v>128</v>
      </c>
      <c r="F371" s="7">
        <v>90001369</v>
      </c>
      <c r="G371" s="5" t="s">
        <v>293</v>
      </c>
      <c r="H371" s="7"/>
      <c r="I371" s="5"/>
      <c r="J371" s="5"/>
      <c r="K371" s="5"/>
      <c r="L371" s="5" t="s">
        <v>63</v>
      </c>
      <c r="M371" s="5"/>
      <c r="N371" s="6" t="s">
        <v>490</v>
      </c>
      <c r="O371" s="6"/>
    </row>
    <row r="372" spans="1:15">
      <c r="A372" s="5" t="s">
        <v>53</v>
      </c>
      <c r="B372" s="5" t="s">
        <v>54</v>
      </c>
      <c r="C372" s="5" t="s">
        <v>61</v>
      </c>
      <c r="D372" s="5" t="s">
        <v>16</v>
      </c>
      <c r="E372" s="7" t="s">
        <v>56</v>
      </c>
      <c r="F372" s="7">
        <v>901370</v>
      </c>
      <c r="G372" s="5" t="s">
        <v>70</v>
      </c>
      <c r="H372" s="7">
        <v>28010306</v>
      </c>
      <c r="I372" s="6" t="s">
        <v>491</v>
      </c>
      <c r="J372" s="5" t="s">
        <v>56</v>
      </c>
      <c r="K372" s="5" t="s">
        <v>59</v>
      </c>
      <c r="L372" s="5" t="s">
        <v>60</v>
      </c>
      <c r="M372" s="5"/>
      <c r="N372" s="6"/>
      <c r="O372" s="6"/>
    </row>
    <row r="373" spans="1:15">
      <c r="A373" s="5" t="s">
        <v>223</v>
      </c>
      <c r="B373" s="5" t="s">
        <v>54</v>
      </c>
      <c r="C373" s="5" t="s">
        <v>102</v>
      </c>
      <c r="D373" s="5" t="s">
        <v>26</v>
      </c>
      <c r="E373" s="7" t="s">
        <v>128</v>
      </c>
      <c r="F373" s="7">
        <v>901371</v>
      </c>
      <c r="G373" s="5" t="s">
        <v>193</v>
      </c>
      <c r="H373" s="7"/>
      <c r="I373" s="5"/>
      <c r="J373" s="5"/>
      <c r="K373" s="5"/>
      <c r="L373" s="5" t="s">
        <v>63</v>
      </c>
      <c r="M373" s="5"/>
      <c r="N373" s="6"/>
      <c r="O373" s="6"/>
    </row>
    <row r="374" spans="1:15">
      <c r="A374" s="5" t="s">
        <v>223</v>
      </c>
      <c r="B374" s="5" t="s">
        <v>31</v>
      </c>
      <c r="C374" s="5" t="s">
        <v>65</v>
      </c>
      <c r="D374" s="5" t="s">
        <v>10</v>
      </c>
      <c r="E374" s="7" t="s">
        <v>128</v>
      </c>
      <c r="F374" s="7">
        <v>901372</v>
      </c>
      <c r="G374" s="5" t="s">
        <v>296</v>
      </c>
      <c r="H374" s="7"/>
      <c r="I374" s="5"/>
      <c r="J374" s="5"/>
      <c r="K374" s="5"/>
      <c r="L374" s="5" t="s">
        <v>63</v>
      </c>
      <c r="M374" s="5"/>
      <c r="N374" s="6"/>
      <c r="O374" s="6"/>
    </row>
    <row r="375" spans="1:15">
      <c r="A375" s="5" t="s">
        <v>53</v>
      </c>
      <c r="B375" s="5" t="s">
        <v>54</v>
      </c>
      <c r="C375" s="5" t="s">
        <v>55</v>
      </c>
      <c r="D375" s="5" t="s">
        <v>28</v>
      </c>
      <c r="E375" s="7" t="s">
        <v>72</v>
      </c>
      <c r="F375" s="7">
        <v>901373</v>
      </c>
      <c r="G375" s="5" t="s">
        <v>298</v>
      </c>
      <c r="H375" s="7">
        <v>28010307</v>
      </c>
      <c r="I375" s="5" t="s">
        <v>492</v>
      </c>
      <c r="J375" s="5" t="s">
        <v>72</v>
      </c>
      <c r="K375" s="5" t="s">
        <v>59</v>
      </c>
      <c r="L375" s="5" t="s">
        <v>60</v>
      </c>
      <c r="M375" s="5"/>
      <c r="N375" s="6"/>
      <c r="O375" s="6"/>
    </row>
    <row r="376" spans="1:15">
      <c r="A376" s="5" t="s">
        <v>53</v>
      </c>
      <c r="B376" s="5" t="s">
        <v>29</v>
      </c>
      <c r="C376" s="5" t="s">
        <v>55</v>
      </c>
      <c r="D376" s="5" t="s">
        <v>14</v>
      </c>
      <c r="E376" s="7" t="s">
        <v>99</v>
      </c>
      <c r="F376" s="7">
        <v>901374</v>
      </c>
      <c r="G376" s="5" t="s">
        <v>300</v>
      </c>
      <c r="H376" s="7"/>
      <c r="I376" s="5"/>
      <c r="J376" s="5"/>
      <c r="K376" s="5"/>
      <c r="L376" s="5" t="s">
        <v>63</v>
      </c>
      <c r="M376" s="5"/>
      <c r="N376" s="6"/>
      <c r="O376" s="6"/>
    </row>
    <row r="377" spans="1:15">
      <c r="A377" s="5" t="s">
        <v>53</v>
      </c>
      <c r="B377" s="5" t="s">
        <v>54</v>
      </c>
      <c r="C377" s="5" t="s">
        <v>80</v>
      </c>
      <c r="D377" s="5" t="s">
        <v>21</v>
      </c>
      <c r="E377" s="7" t="s">
        <v>72</v>
      </c>
      <c r="F377" s="7">
        <v>901375</v>
      </c>
      <c r="G377" s="5" t="s">
        <v>67</v>
      </c>
      <c r="H377" s="7">
        <v>28010308</v>
      </c>
      <c r="I377" s="5" t="s">
        <v>493</v>
      </c>
      <c r="J377" s="5" t="s">
        <v>72</v>
      </c>
      <c r="K377" s="5" t="s">
        <v>59</v>
      </c>
      <c r="L377" s="5" t="s">
        <v>60</v>
      </c>
      <c r="M377" s="5"/>
      <c r="N377" s="6"/>
      <c r="O377" s="6"/>
    </row>
    <row r="378" spans="1:15">
      <c r="A378" s="5" t="s">
        <v>53</v>
      </c>
      <c r="B378" s="5" t="s">
        <v>54</v>
      </c>
      <c r="C378" s="5" t="s">
        <v>102</v>
      </c>
      <c r="D378" s="5" t="s">
        <v>26</v>
      </c>
      <c r="E378" s="7" t="s">
        <v>56</v>
      </c>
      <c r="F378" s="7">
        <v>90001376</v>
      </c>
      <c r="G378" s="5" t="s">
        <v>199</v>
      </c>
      <c r="H378" s="7"/>
      <c r="I378" s="5"/>
      <c r="J378" s="5"/>
      <c r="K378" s="5"/>
      <c r="L378" s="5" t="s">
        <v>63</v>
      </c>
      <c r="M378" s="5"/>
      <c r="N378" s="6" t="s">
        <v>85</v>
      </c>
      <c r="O378" s="6"/>
    </row>
    <row r="379" spans="1:15">
      <c r="A379" s="5" t="s">
        <v>53</v>
      </c>
      <c r="B379" s="5" t="s">
        <v>54</v>
      </c>
      <c r="C379" s="5" t="s">
        <v>55</v>
      </c>
      <c r="D379" s="5" t="s">
        <v>28</v>
      </c>
      <c r="E379" s="7" t="s">
        <v>72</v>
      </c>
      <c r="F379" s="7">
        <v>90001377</v>
      </c>
      <c r="G379" s="5" t="s">
        <v>197</v>
      </c>
      <c r="H379" s="7">
        <v>28010309</v>
      </c>
      <c r="I379" s="5" t="s">
        <v>494</v>
      </c>
      <c r="J379" s="5" t="s">
        <v>72</v>
      </c>
      <c r="K379" s="5" t="s">
        <v>59</v>
      </c>
      <c r="L379" s="5" t="s">
        <v>60</v>
      </c>
      <c r="M379" s="5"/>
      <c r="N379" s="6"/>
      <c r="O379" s="6"/>
    </row>
    <row r="380" spans="1:15">
      <c r="A380" s="5" t="s">
        <v>53</v>
      </c>
      <c r="B380" s="5" t="s">
        <v>54</v>
      </c>
      <c r="C380" s="5" t="s">
        <v>61</v>
      </c>
      <c r="D380" s="5" t="s">
        <v>16</v>
      </c>
      <c r="E380" s="7" t="s">
        <v>495</v>
      </c>
      <c r="F380" s="7">
        <v>90001378</v>
      </c>
      <c r="G380" s="5" t="s">
        <v>302</v>
      </c>
      <c r="H380" s="7">
        <v>28010310</v>
      </c>
      <c r="I380" s="5" t="s">
        <v>496</v>
      </c>
      <c r="J380" s="5" t="s">
        <v>495</v>
      </c>
      <c r="K380" s="5" t="s">
        <v>59</v>
      </c>
      <c r="L380" s="5" t="s">
        <v>60</v>
      </c>
      <c r="M380" s="5"/>
      <c r="N380" s="6"/>
      <c r="O380" s="6"/>
    </row>
    <row r="381" spans="1:15">
      <c r="A381" s="5" t="s">
        <v>53</v>
      </c>
      <c r="B381" s="5" t="s">
        <v>54</v>
      </c>
      <c r="C381" s="5" t="s">
        <v>102</v>
      </c>
      <c r="D381" s="5" t="s">
        <v>26</v>
      </c>
      <c r="E381" s="7" t="s">
        <v>56</v>
      </c>
      <c r="F381" s="7">
        <v>90001379</v>
      </c>
      <c r="G381" s="5" t="s">
        <v>306</v>
      </c>
      <c r="H381" s="7">
        <v>28010311</v>
      </c>
      <c r="I381" s="6" t="s">
        <v>497</v>
      </c>
      <c r="J381" s="5" t="s">
        <v>56</v>
      </c>
      <c r="K381" s="5" t="s">
        <v>59</v>
      </c>
      <c r="L381" s="5" t="s">
        <v>60</v>
      </c>
      <c r="M381" s="5"/>
      <c r="N381" s="6"/>
      <c r="O381" s="6"/>
    </row>
    <row r="382" spans="1:15">
      <c r="A382" s="5" t="s">
        <v>53</v>
      </c>
      <c r="B382" s="5" t="s">
        <v>30</v>
      </c>
      <c r="C382" s="5" t="s">
        <v>91</v>
      </c>
      <c r="D382" s="5" t="s">
        <v>23</v>
      </c>
      <c r="E382" s="7" t="s">
        <v>498</v>
      </c>
      <c r="F382" s="7">
        <v>90001380</v>
      </c>
      <c r="G382" s="5" t="s">
        <v>308</v>
      </c>
      <c r="H382" s="7"/>
      <c r="I382" s="6"/>
      <c r="J382" s="5"/>
      <c r="K382" s="5"/>
      <c r="L382" s="5" t="s">
        <v>63</v>
      </c>
      <c r="M382" s="6"/>
      <c r="N382" s="6" t="s">
        <v>499</v>
      </c>
      <c r="O382" s="6"/>
    </row>
    <row r="383" spans="1:15">
      <c r="A383" s="5" t="s">
        <v>53</v>
      </c>
      <c r="B383" s="5" t="s">
        <v>30</v>
      </c>
      <c r="C383" s="5" t="s">
        <v>107</v>
      </c>
      <c r="D383" s="5" t="s">
        <v>19</v>
      </c>
      <c r="E383" s="7" t="s">
        <v>99</v>
      </c>
      <c r="F383" s="7">
        <v>90001381</v>
      </c>
      <c r="G383" s="5" t="s">
        <v>311</v>
      </c>
      <c r="H383" s="7">
        <v>28010312</v>
      </c>
      <c r="I383" s="5" t="s">
        <v>500</v>
      </c>
      <c r="J383" s="5" t="s">
        <v>99</v>
      </c>
      <c r="K383" s="5" t="s">
        <v>59</v>
      </c>
      <c r="L383" s="5" t="s">
        <v>60</v>
      </c>
      <c r="M383" s="5"/>
      <c r="N383" s="6"/>
      <c r="O383" s="6"/>
    </row>
    <row r="384" spans="1:15">
      <c r="A384" s="5" t="s">
        <v>53</v>
      </c>
      <c r="B384" s="5" t="s">
        <v>54</v>
      </c>
      <c r="C384" s="5" t="s">
        <v>55</v>
      </c>
      <c r="D384" s="5" t="s">
        <v>28</v>
      </c>
      <c r="E384" s="7" t="s">
        <v>99</v>
      </c>
      <c r="F384" s="7">
        <v>90001382</v>
      </c>
      <c r="G384" s="5" t="s">
        <v>315</v>
      </c>
      <c r="H384" s="7">
        <v>28010313</v>
      </c>
      <c r="I384" s="5" t="s">
        <v>501</v>
      </c>
      <c r="J384" s="5" t="s">
        <v>210</v>
      </c>
      <c r="K384" s="5" t="s">
        <v>59</v>
      </c>
      <c r="L384" s="5" t="s">
        <v>60</v>
      </c>
      <c r="M384" s="5"/>
      <c r="N384" s="6"/>
      <c r="O384" s="6"/>
    </row>
    <row r="385" spans="1:15">
      <c r="A385" s="5" t="s">
        <v>53</v>
      </c>
      <c r="B385" s="5" t="s">
        <v>30</v>
      </c>
      <c r="C385" s="5" t="s">
        <v>107</v>
      </c>
      <c r="D385" s="5" t="s">
        <v>19</v>
      </c>
      <c r="E385" s="7" t="s">
        <v>210</v>
      </c>
      <c r="F385" s="7">
        <v>90001383</v>
      </c>
      <c r="G385" s="5" t="s">
        <v>317</v>
      </c>
      <c r="H385" s="7">
        <v>28010314</v>
      </c>
      <c r="I385" s="5" t="s">
        <v>502</v>
      </c>
      <c r="J385" s="5" t="s">
        <v>210</v>
      </c>
      <c r="K385" s="5" t="s">
        <v>59</v>
      </c>
      <c r="L385" s="5" t="s">
        <v>60</v>
      </c>
      <c r="M385" s="5"/>
      <c r="N385" s="6"/>
      <c r="O385" s="6"/>
    </row>
    <row r="386" spans="1:15">
      <c r="A386" s="5" t="s">
        <v>53</v>
      </c>
      <c r="B386" s="5" t="s">
        <v>30</v>
      </c>
      <c r="C386" s="5" t="s">
        <v>107</v>
      </c>
      <c r="D386" s="5" t="s">
        <v>19</v>
      </c>
      <c r="E386" s="7" t="s">
        <v>99</v>
      </c>
      <c r="F386" s="7">
        <v>90001384</v>
      </c>
      <c r="G386" s="5" t="s">
        <v>319</v>
      </c>
      <c r="H386" s="7">
        <v>28010315</v>
      </c>
      <c r="I386" s="5" t="s">
        <v>503</v>
      </c>
      <c r="J386" s="5" t="s">
        <v>99</v>
      </c>
      <c r="K386" s="5" t="s">
        <v>59</v>
      </c>
      <c r="L386" s="5" t="s">
        <v>60</v>
      </c>
      <c r="M386" s="5"/>
      <c r="N386" s="6"/>
      <c r="O386" s="6"/>
    </row>
    <row r="387" spans="1:15">
      <c r="A387" s="5" t="s">
        <v>53</v>
      </c>
      <c r="B387" s="5" t="s">
        <v>54</v>
      </c>
      <c r="C387" s="5" t="s">
        <v>55</v>
      </c>
      <c r="D387" s="5" t="s">
        <v>28</v>
      </c>
      <c r="E387" s="7" t="s">
        <v>128</v>
      </c>
      <c r="F387" s="7">
        <v>90001385</v>
      </c>
      <c r="G387" s="5" t="s">
        <v>264</v>
      </c>
      <c r="H387" s="7">
        <v>28010316</v>
      </c>
      <c r="I387" s="5" t="s">
        <v>504</v>
      </c>
      <c r="J387" s="5" t="s">
        <v>128</v>
      </c>
      <c r="K387" s="5" t="s">
        <v>59</v>
      </c>
      <c r="L387" s="5" t="s">
        <v>60</v>
      </c>
      <c r="M387" s="5"/>
      <c r="N387" s="6"/>
      <c r="O387" s="6"/>
    </row>
    <row r="388" spans="1:15">
      <c r="A388" s="5" t="s">
        <v>53</v>
      </c>
      <c r="B388" s="5" t="s">
        <v>54</v>
      </c>
      <c r="C388" s="5" t="s">
        <v>102</v>
      </c>
      <c r="D388" s="5" t="s">
        <v>26</v>
      </c>
      <c r="E388" s="7" t="s">
        <v>210</v>
      </c>
      <c r="F388" s="7">
        <v>90001386</v>
      </c>
      <c r="G388" s="5" t="s">
        <v>321</v>
      </c>
      <c r="H388" s="7">
        <v>28010317</v>
      </c>
      <c r="I388" s="5" t="s">
        <v>505</v>
      </c>
      <c r="J388" s="5" t="s">
        <v>210</v>
      </c>
      <c r="K388" s="5" t="s">
        <v>59</v>
      </c>
      <c r="L388" s="5" t="s">
        <v>60</v>
      </c>
      <c r="M388" s="5"/>
      <c r="N388" s="6"/>
      <c r="O388" s="6"/>
    </row>
    <row r="389" spans="1:15">
      <c r="A389" s="5" t="s">
        <v>53</v>
      </c>
      <c r="B389" s="5" t="s">
        <v>54</v>
      </c>
      <c r="C389" s="5" t="s">
        <v>91</v>
      </c>
      <c r="D389" s="5" t="s">
        <v>18</v>
      </c>
      <c r="E389" s="7" t="s">
        <v>56</v>
      </c>
      <c r="F389" s="7">
        <v>90001387</v>
      </c>
      <c r="G389" s="5" t="s">
        <v>325</v>
      </c>
      <c r="H389" s="7">
        <v>28010318</v>
      </c>
      <c r="I389" s="5" t="s">
        <v>336</v>
      </c>
      <c r="J389" s="5" t="s">
        <v>56</v>
      </c>
      <c r="K389" s="5" t="s">
        <v>59</v>
      </c>
      <c r="L389" s="5" t="s">
        <v>60</v>
      </c>
      <c r="M389" s="5"/>
      <c r="N389" s="6"/>
      <c r="O389" s="6"/>
    </row>
    <row r="390" spans="1:15">
      <c r="A390" s="5" t="s">
        <v>53</v>
      </c>
      <c r="B390" s="5" t="s">
        <v>30</v>
      </c>
      <c r="C390" s="5" t="s">
        <v>107</v>
      </c>
      <c r="D390" s="5" t="s">
        <v>19</v>
      </c>
      <c r="E390" s="7" t="s">
        <v>56</v>
      </c>
      <c r="F390" s="7">
        <v>90001388</v>
      </c>
      <c r="G390" s="5" t="s">
        <v>329</v>
      </c>
      <c r="H390" s="7">
        <v>28010319</v>
      </c>
      <c r="I390" s="5" t="s">
        <v>506</v>
      </c>
      <c r="J390" s="5" t="s">
        <v>56</v>
      </c>
      <c r="K390" s="5" t="s">
        <v>59</v>
      </c>
      <c r="L390" s="5" t="s">
        <v>60</v>
      </c>
      <c r="M390" s="5"/>
      <c r="N390" s="6"/>
      <c r="O390" s="6"/>
    </row>
    <row r="391" spans="1:15">
      <c r="A391" s="5" t="s">
        <v>53</v>
      </c>
      <c r="B391" s="5" t="s">
        <v>29</v>
      </c>
      <c r="C391" s="5" t="s">
        <v>98</v>
      </c>
      <c r="D391" s="5" t="s">
        <v>22</v>
      </c>
      <c r="E391" s="7" t="s">
        <v>495</v>
      </c>
      <c r="F391" s="7">
        <v>90001389</v>
      </c>
      <c r="G391" s="5" t="s">
        <v>331</v>
      </c>
      <c r="H391" s="7">
        <v>28010320</v>
      </c>
      <c r="I391" s="5" t="s">
        <v>507</v>
      </c>
      <c r="J391" s="5" t="s">
        <v>495</v>
      </c>
      <c r="K391" s="5" t="s">
        <v>59</v>
      </c>
      <c r="L391" s="5" t="s">
        <v>60</v>
      </c>
      <c r="M391" s="5"/>
      <c r="N391" s="6"/>
      <c r="O391" s="6"/>
    </row>
    <row r="392" spans="1:15">
      <c r="A392" s="5" t="s">
        <v>53</v>
      </c>
      <c r="B392" s="5" t="s">
        <v>54</v>
      </c>
      <c r="C392" s="5" t="s">
        <v>55</v>
      </c>
      <c r="D392" s="5" t="s">
        <v>28</v>
      </c>
      <c r="E392" s="7" t="s">
        <v>210</v>
      </c>
      <c r="F392" s="7">
        <v>90001390</v>
      </c>
      <c r="G392" s="5" t="s">
        <v>272</v>
      </c>
      <c r="H392" s="7">
        <v>28010321</v>
      </c>
      <c r="I392" s="5" t="s">
        <v>508</v>
      </c>
      <c r="J392" s="5" t="s">
        <v>210</v>
      </c>
      <c r="K392" s="5" t="s">
        <v>59</v>
      </c>
      <c r="L392" s="5" t="s">
        <v>60</v>
      </c>
      <c r="M392" s="5"/>
      <c r="N392" s="6"/>
      <c r="O392" s="6"/>
    </row>
    <row r="393" spans="1:15">
      <c r="A393" s="5" t="s">
        <v>53</v>
      </c>
      <c r="B393" s="5" t="s">
        <v>54</v>
      </c>
      <c r="C393" s="5" t="s">
        <v>61</v>
      </c>
      <c r="D393" s="5" t="s">
        <v>16</v>
      </c>
      <c r="E393" s="7" t="s">
        <v>99</v>
      </c>
      <c r="F393" s="7">
        <v>90001391</v>
      </c>
      <c r="G393" s="5" t="s">
        <v>57</v>
      </c>
      <c r="H393" s="7"/>
      <c r="I393" s="5"/>
      <c r="J393" s="5"/>
      <c r="K393" s="5"/>
      <c r="L393" s="5" t="s">
        <v>63</v>
      </c>
      <c r="M393" s="5"/>
      <c r="N393" s="6"/>
      <c r="O393" s="6"/>
    </row>
    <row r="394" spans="1:15">
      <c r="A394" s="5" t="s">
        <v>53</v>
      </c>
      <c r="B394" s="5" t="s">
        <v>54</v>
      </c>
      <c r="C394" s="5" t="s">
        <v>55</v>
      </c>
      <c r="D394" s="5" t="s">
        <v>28</v>
      </c>
      <c r="E394" s="7" t="s">
        <v>69</v>
      </c>
      <c r="F394" s="7">
        <v>90001392</v>
      </c>
      <c r="G394" s="5" t="s">
        <v>62</v>
      </c>
      <c r="H394" s="7">
        <v>28010322</v>
      </c>
      <c r="I394" s="5" t="s">
        <v>509</v>
      </c>
      <c r="J394" s="5" t="s">
        <v>69</v>
      </c>
      <c r="K394" s="5" t="s">
        <v>59</v>
      </c>
      <c r="L394" s="5" t="s">
        <v>60</v>
      </c>
      <c r="M394" s="5"/>
      <c r="N394" s="6"/>
      <c r="O394" s="6"/>
    </row>
    <row r="395" spans="1:15">
      <c r="A395" s="5" t="s">
        <v>53</v>
      </c>
      <c r="B395" s="5" t="s">
        <v>54</v>
      </c>
      <c r="C395" s="5" t="s">
        <v>55</v>
      </c>
      <c r="D395" s="5" t="s">
        <v>28</v>
      </c>
      <c r="E395" s="7" t="s">
        <v>210</v>
      </c>
      <c r="F395" s="7">
        <v>90001393</v>
      </c>
      <c r="G395" s="5" t="s">
        <v>67</v>
      </c>
      <c r="H395" s="7">
        <v>28010323</v>
      </c>
      <c r="I395" s="5" t="s">
        <v>510</v>
      </c>
      <c r="J395" s="5" t="s">
        <v>210</v>
      </c>
      <c r="K395" s="5" t="s">
        <v>59</v>
      </c>
      <c r="L395" s="5" t="s">
        <v>60</v>
      </c>
      <c r="M395" s="5"/>
      <c r="N395" s="6"/>
      <c r="O395" s="6"/>
    </row>
    <row r="396" spans="1:15">
      <c r="A396" s="5" t="s">
        <v>53</v>
      </c>
      <c r="B396" s="5" t="s">
        <v>64</v>
      </c>
      <c r="C396" s="5" t="s">
        <v>65</v>
      </c>
      <c r="D396" s="5" t="s">
        <v>17</v>
      </c>
      <c r="E396" s="7" t="s">
        <v>99</v>
      </c>
      <c r="F396" s="7">
        <v>90001394</v>
      </c>
      <c r="G396" s="5" t="s">
        <v>70</v>
      </c>
      <c r="H396" s="7">
        <v>28010324</v>
      </c>
      <c r="I396" s="5" t="s">
        <v>511</v>
      </c>
      <c r="J396" s="5" t="s">
        <v>99</v>
      </c>
      <c r="K396" s="5" t="s">
        <v>59</v>
      </c>
      <c r="L396" s="5" t="s">
        <v>60</v>
      </c>
      <c r="M396" s="5"/>
      <c r="N396" s="6"/>
      <c r="O396" s="6"/>
    </row>
    <row r="397" spans="1:15">
      <c r="A397" s="5" t="s">
        <v>53</v>
      </c>
      <c r="B397" s="5" t="s">
        <v>30</v>
      </c>
      <c r="C397" s="5" t="s">
        <v>107</v>
      </c>
      <c r="D397" s="5" t="s">
        <v>19</v>
      </c>
      <c r="E397" s="7" t="s">
        <v>99</v>
      </c>
      <c r="F397" s="7">
        <v>90001395</v>
      </c>
      <c r="G397" s="5" t="s">
        <v>73</v>
      </c>
      <c r="H397" s="7">
        <v>28010325</v>
      </c>
      <c r="I397" s="5" t="s">
        <v>512</v>
      </c>
      <c r="J397" s="5" t="s">
        <v>99</v>
      </c>
      <c r="K397" s="5" t="s">
        <v>59</v>
      </c>
      <c r="L397" s="5" t="s">
        <v>60</v>
      </c>
      <c r="M397" s="5"/>
      <c r="N397" s="6"/>
      <c r="O397" s="6"/>
    </row>
    <row r="398" spans="1:15">
      <c r="A398" s="5" t="s">
        <v>53</v>
      </c>
      <c r="B398" s="5" t="s">
        <v>54</v>
      </c>
      <c r="C398" s="5" t="s">
        <v>75</v>
      </c>
      <c r="D398" s="5" t="s">
        <v>25</v>
      </c>
      <c r="E398" s="7" t="s">
        <v>99</v>
      </c>
      <c r="F398" s="7">
        <v>90001396</v>
      </c>
      <c r="G398" s="5" t="s">
        <v>84</v>
      </c>
      <c r="H398" s="7">
        <v>28010326</v>
      </c>
      <c r="I398" s="5" t="s">
        <v>384</v>
      </c>
      <c r="J398" s="5" t="s">
        <v>99</v>
      </c>
      <c r="K398" s="5" t="s">
        <v>59</v>
      </c>
      <c r="L398" s="5" t="s">
        <v>60</v>
      </c>
      <c r="M398" s="5"/>
      <c r="N398" s="6"/>
      <c r="O398" s="6"/>
    </row>
    <row r="399" spans="1:15">
      <c r="A399" s="5" t="s">
        <v>53</v>
      </c>
      <c r="B399" s="5" t="s">
        <v>29</v>
      </c>
      <c r="C399" s="5" t="s">
        <v>55</v>
      </c>
      <c r="D399" s="5" t="s">
        <v>14</v>
      </c>
      <c r="E399" s="7" t="s">
        <v>69</v>
      </c>
      <c r="F399" s="7">
        <v>90001397</v>
      </c>
      <c r="G399" s="5" t="s">
        <v>92</v>
      </c>
      <c r="H399" s="7">
        <v>28010327</v>
      </c>
      <c r="I399" s="5" t="s">
        <v>513</v>
      </c>
      <c r="J399" s="5" t="s">
        <v>69</v>
      </c>
      <c r="K399" s="5" t="s">
        <v>59</v>
      </c>
      <c r="L399" s="5" t="s">
        <v>60</v>
      </c>
      <c r="M399" s="5"/>
      <c r="N399" s="6"/>
      <c r="O399" s="6"/>
    </row>
    <row r="400" spans="1:15">
      <c r="A400" s="5" t="s">
        <v>53</v>
      </c>
      <c r="B400" s="5" t="s">
        <v>54</v>
      </c>
      <c r="C400" s="5" t="s">
        <v>107</v>
      </c>
      <c r="D400" s="5" t="s">
        <v>27</v>
      </c>
      <c r="E400" s="7" t="s">
        <v>210</v>
      </c>
      <c r="F400" s="7">
        <v>90001398</v>
      </c>
      <c r="G400" s="5" t="s">
        <v>100</v>
      </c>
      <c r="H400" s="7">
        <v>28010328</v>
      </c>
      <c r="I400" s="5" t="s">
        <v>514</v>
      </c>
      <c r="J400" s="5" t="s">
        <v>210</v>
      </c>
      <c r="K400" s="5" t="s">
        <v>59</v>
      </c>
      <c r="L400" s="5" t="s">
        <v>60</v>
      </c>
      <c r="M400" s="5"/>
      <c r="N400" s="6"/>
      <c r="O400" s="6"/>
    </row>
    <row r="401" spans="1:15">
      <c r="A401" s="5" t="s">
        <v>53</v>
      </c>
      <c r="B401" s="5" t="s">
        <v>54</v>
      </c>
      <c r="C401" s="5" t="s">
        <v>91</v>
      </c>
      <c r="D401" s="5" t="s">
        <v>20</v>
      </c>
      <c r="E401" s="7" t="s">
        <v>99</v>
      </c>
      <c r="F401" s="7">
        <v>90001399</v>
      </c>
      <c r="G401" s="5" t="s">
        <v>160</v>
      </c>
      <c r="H401" s="7">
        <v>28010329</v>
      </c>
      <c r="I401" s="5" t="s">
        <v>515</v>
      </c>
      <c r="J401" s="5" t="s">
        <v>210</v>
      </c>
      <c r="K401" s="5" t="s">
        <v>59</v>
      </c>
      <c r="L401" s="5" t="s">
        <v>60</v>
      </c>
      <c r="M401" s="5"/>
      <c r="N401" s="6"/>
      <c r="O401" s="6"/>
    </row>
    <row r="402" spans="1:15">
      <c r="A402" s="5" t="s">
        <v>53</v>
      </c>
      <c r="B402" s="5" t="s">
        <v>30</v>
      </c>
      <c r="C402" s="5" t="s">
        <v>107</v>
      </c>
      <c r="D402" s="5" t="s">
        <v>19</v>
      </c>
      <c r="E402" s="7" t="s">
        <v>56</v>
      </c>
      <c r="F402" s="7">
        <v>90001400</v>
      </c>
      <c r="G402" s="5" t="s">
        <v>199</v>
      </c>
      <c r="H402" s="7">
        <v>28010330</v>
      </c>
      <c r="I402" s="5" t="s">
        <v>516</v>
      </c>
      <c r="J402" s="5" t="s">
        <v>56</v>
      </c>
      <c r="K402" s="5" t="s">
        <v>59</v>
      </c>
      <c r="L402" s="5" t="s">
        <v>60</v>
      </c>
      <c r="M402" s="5"/>
      <c r="N402" s="6"/>
      <c r="O402" s="6"/>
    </row>
    <row r="403" spans="1:15">
      <c r="A403" s="5" t="s">
        <v>53</v>
      </c>
      <c r="B403" s="5" t="s">
        <v>54</v>
      </c>
      <c r="C403" s="5" t="s">
        <v>61</v>
      </c>
      <c r="D403" s="5" t="s">
        <v>16</v>
      </c>
      <c r="E403" s="7" t="s">
        <v>210</v>
      </c>
      <c r="F403" s="7">
        <v>901401</v>
      </c>
      <c r="G403" s="5" t="s">
        <v>103</v>
      </c>
      <c r="H403" s="7"/>
      <c r="I403" s="5"/>
      <c r="J403" s="5"/>
      <c r="K403" s="5"/>
      <c r="L403" s="5" t="s">
        <v>63</v>
      </c>
      <c r="M403" s="5"/>
      <c r="N403" s="6"/>
      <c r="O403" s="6"/>
    </row>
    <row r="404" spans="1:15">
      <c r="A404" s="5" t="s">
        <v>53</v>
      </c>
      <c r="B404" s="5" t="s">
        <v>54</v>
      </c>
      <c r="C404" s="5" t="s">
        <v>91</v>
      </c>
      <c r="D404" s="5" t="s">
        <v>24</v>
      </c>
      <c r="E404" s="7" t="s">
        <v>66</v>
      </c>
      <c r="F404" s="7">
        <v>90001402</v>
      </c>
      <c r="G404" s="5" t="s">
        <v>111</v>
      </c>
      <c r="H404" s="7">
        <v>28010331</v>
      </c>
      <c r="I404" s="5" t="s">
        <v>517</v>
      </c>
      <c r="J404" s="5" t="s">
        <v>66</v>
      </c>
      <c r="K404" s="5" t="s">
        <v>59</v>
      </c>
      <c r="L404" s="5" t="s">
        <v>60</v>
      </c>
      <c r="M404" s="5"/>
      <c r="N404" s="6"/>
      <c r="O404" s="6"/>
    </row>
    <row r="405" spans="1:15">
      <c r="A405" s="5" t="s">
        <v>53</v>
      </c>
      <c r="B405" s="5" t="s">
        <v>54</v>
      </c>
      <c r="C405" s="5" t="s">
        <v>107</v>
      </c>
      <c r="D405" s="5" t="s">
        <v>27</v>
      </c>
      <c r="E405" s="7" t="s">
        <v>210</v>
      </c>
      <c r="F405" s="7">
        <v>90001403</v>
      </c>
      <c r="G405" s="5" t="s">
        <v>113</v>
      </c>
      <c r="H405" s="7">
        <v>28010332</v>
      </c>
      <c r="I405" s="5" t="s">
        <v>518</v>
      </c>
      <c r="J405" s="5" t="s">
        <v>210</v>
      </c>
      <c r="K405" s="5" t="s">
        <v>59</v>
      </c>
      <c r="L405" s="5" t="s">
        <v>60</v>
      </c>
      <c r="M405" s="5"/>
      <c r="N405" s="6"/>
      <c r="O405" s="6"/>
    </row>
    <row r="406" spans="1:15">
      <c r="A406" s="5" t="s">
        <v>53</v>
      </c>
      <c r="B406" s="5" t="s">
        <v>30</v>
      </c>
      <c r="C406" s="5" t="s">
        <v>107</v>
      </c>
      <c r="D406" s="5" t="s">
        <v>19</v>
      </c>
      <c r="E406" s="7" t="s">
        <v>210</v>
      </c>
      <c r="F406" s="7">
        <v>901404</v>
      </c>
      <c r="G406" s="5" t="s">
        <v>116</v>
      </c>
      <c r="H406" s="7"/>
      <c r="I406" s="5"/>
      <c r="J406" s="5"/>
      <c r="K406" s="5"/>
      <c r="L406" s="5" t="s">
        <v>63</v>
      </c>
      <c r="M406" s="5"/>
      <c r="N406" s="6"/>
      <c r="O406" s="6"/>
    </row>
    <row r="407" spans="1:15">
      <c r="A407" s="5" t="s">
        <v>53</v>
      </c>
      <c r="B407" s="5" t="s">
        <v>30</v>
      </c>
      <c r="C407" s="5" t="s">
        <v>107</v>
      </c>
      <c r="D407" s="5" t="s">
        <v>19</v>
      </c>
      <c r="E407" s="7" t="s">
        <v>210</v>
      </c>
      <c r="F407" s="7">
        <v>90001405</v>
      </c>
      <c r="G407" s="5" t="s">
        <v>118</v>
      </c>
      <c r="H407" s="7">
        <v>28010333</v>
      </c>
      <c r="I407" s="5" t="s">
        <v>519</v>
      </c>
      <c r="J407" s="5" t="s">
        <v>210</v>
      </c>
      <c r="K407" s="5" t="s">
        <v>59</v>
      </c>
      <c r="L407" s="5" t="s">
        <v>60</v>
      </c>
      <c r="M407" s="5"/>
      <c r="N407" s="6"/>
      <c r="O407" s="6"/>
    </row>
    <row r="408" spans="1:15">
      <c r="A408" s="5" t="s">
        <v>53</v>
      </c>
      <c r="B408" s="5" t="s">
        <v>54</v>
      </c>
      <c r="C408" s="5" t="s">
        <v>91</v>
      </c>
      <c r="D408" s="5" t="s">
        <v>21</v>
      </c>
      <c r="E408" s="7" t="s">
        <v>128</v>
      </c>
      <c r="F408" s="7">
        <v>90001406</v>
      </c>
      <c r="G408" s="5" t="s">
        <v>160</v>
      </c>
      <c r="H408" s="7">
        <v>28010334</v>
      </c>
      <c r="I408" s="5" t="s">
        <v>520</v>
      </c>
      <c r="J408" s="5" t="s">
        <v>99</v>
      </c>
      <c r="K408" s="5" t="s">
        <v>59</v>
      </c>
      <c r="L408" s="5" t="s">
        <v>60</v>
      </c>
      <c r="M408" s="5"/>
      <c r="N408" s="6"/>
      <c r="O408" s="6"/>
    </row>
    <row r="409" spans="1:15">
      <c r="A409" s="5" t="s">
        <v>53</v>
      </c>
      <c r="B409" s="5" t="s">
        <v>29</v>
      </c>
      <c r="C409" s="5" t="s">
        <v>98</v>
      </c>
      <c r="D409" s="5" t="s">
        <v>22</v>
      </c>
      <c r="E409" s="7" t="s">
        <v>56</v>
      </c>
      <c r="F409" s="7">
        <v>90001407</v>
      </c>
      <c r="G409" s="5" t="s">
        <v>120</v>
      </c>
      <c r="H409" s="7">
        <v>28010335</v>
      </c>
      <c r="I409" s="5" t="s">
        <v>521</v>
      </c>
      <c r="J409" s="5" t="s">
        <v>56</v>
      </c>
      <c r="K409" s="5" t="s">
        <v>59</v>
      </c>
      <c r="L409" s="5" t="s">
        <v>60</v>
      </c>
      <c r="M409" s="5"/>
      <c r="N409" s="6"/>
      <c r="O409" s="6"/>
    </row>
    <row r="410" spans="1:15">
      <c r="A410" s="5" t="s">
        <v>53</v>
      </c>
      <c r="B410" s="5" t="s">
        <v>54</v>
      </c>
      <c r="C410" s="5" t="s">
        <v>75</v>
      </c>
      <c r="D410" s="5" t="s">
        <v>25</v>
      </c>
      <c r="E410" s="7" t="s">
        <v>72</v>
      </c>
      <c r="F410" s="7">
        <v>90001408</v>
      </c>
      <c r="G410" s="5" t="s">
        <v>157</v>
      </c>
      <c r="H410" s="7">
        <v>28010336</v>
      </c>
      <c r="I410" s="5" t="s">
        <v>522</v>
      </c>
      <c r="J410" s="5" t="s">
        <v>72</v>
      </c>
      <c r="K410" s="5" t="s">
        <v>59</v>
      </c>
      <c r="L410" s="5" t="s">
        <v>60</v>
      </c>
      <c r="M410" s="5"/>
      <c r="N410" s="6"/>
      <c r="O410" s="6"/>
    </row>
    <row r="411" spans="1:15">
      <c r="A411" s="5" t="s">
        <v>53</v>
      </c>
      <c r="B411" s="5" t="s">
        <v>54</v>
      </c>
      <c r="C411" s="5" t="s">
        <v>107</v>
      </c>
      <c r="D411" s="5" t="s">
        <v>27</v>
      </c>
      <c r="E411" s="7" t="s">
        <v>210</v>
      </c>
      <c r="F411" s="7">
        <v>90001409</v>
      </c>
      <c r="G411" s="5" t="s">
        <v>126</v>
      </c>
      <c r="H411" s="7">
        <v>28010337</v>
      </c>
      <c r="I411" s="5" t="s">
        <v>523</v>
      </c>
      <c r="J411" s="5" t="s">
        <v>210</v>
      </c>
      <c r="K411" s="5" t="s">
        <v>59</v>
      </c>
      <c r="L411" s="5" t="s">
        <v>60</v>
      </c>
      <c r="M411" s="5"/>
      <c r="N411" s="6"/>
      <c r="O411" s="6"/>
    </row>
    <row r="412" spans="1:15">
      <c r="A412" s="5" t="s">
        <v>53</v>
      </c>
      <c r="B412" s="5" t="s">
        <v>54</v>
      </c>
      <c r="C412" s="5" t="s">
        <v>107</v>
      </c>
      <c r="D412" s="5" t="s">
        <v>27</v>
      </c>
      <c r="E412" s="7" t="s">
        <v>210</v>
      </c>
      <c r="F412" s="7">
        <v>90001410</v>
      </c>
      <c r="G412" s="5" t="s">
        <v>100</v>
      </c>
      <c r="H412" s="7">
        <v>28010338</v>
      </c>
      <c r="I412" s="5" t="s">
        <v>524</v>
      </c>
      <c r="J412" s="5" t="s">
        <v>210</v>
      </c>
      <c r="K412" s="5" t="s">
        <v>59</v>
      </c>
      <c r="L412" s="5" t="s">
        <v>60</v>
      </c>
      <c r="M412" s="5"/>
      <c r="N412" s="6"/>
      <c r="O412" s="6"/>
    </row>
    <row r="413" spans="1:15">
      <c r="A413" s="5" t="s">
        <v>53</v>
      </c>
      <c r="B413" s="5" t="s">
        <v>54</v>
      </c>
      <c r="C413" s="5" t="s">
        <v>107</v>
      </c>
      <c r="D413" s="5" t="s">
        <v>27</v>
      </c>
      <c r="E413" s="7" t="s">
        <v>210</v>
      </c>
      <c r="F413" s="7">
        <v>90001411</v>
      </c>
      <c r="G413" s="5" t="s">
        <v>129</v>
      </c>
      <c r="H413" s="7">
        <v>28010339</v>
      </c>
      <c r="I413" s="5" t="s">
        <v>525</v>
      </c>
      <c r="J413" s="5" t="s">
        <v>210</v>
      </c>
      <c r="K413" s="5" t="s">
        <v>59</v>
      </c>
      <c r="L413" s="5" t="s">
        <v>60</v>
      </c>
      <c r="M413" s="5"/>
      <c r="N413" s="6"/>
      <c r="O413" s="6"/>
    </row>
    <row r="414" spans="1:15">
      <c r="A414" s="5" t="s">
        <v>53</v>
      </c>
      <c r="B414" s="5" t="s">
        <v>30</v>
      </c>
      <c r="C414" s="5" t="s">
        <v>107</v>
      </c>
      <c r="D414" s="5" t="s">
        <v>19</v>
      </c>
      <c r="E414" s="7" t="s">
        <v>56</v>
      </c>
      <c r="F414" s="7">
        <v>90001412</v>
      </c>
      <c r="G414" s="5" t="s">
        <v>131</v>
      </c>
      <c r="H414" s="7">
        <v>28010340</v>
      </c>
      <c r="I414" s="5" t="s">
        <v>526</v>
      </c>
      <c r="J414" s="5" t="s">
        <v>56</v>
      </c>
      <c r="K414" s="5" t="s">
        <v>59</v>
      </c>
      <c r="L414" s="5" t="s">
        <v>60</v>
      </c>
      <c r="M414" s="5"/>
      <c r="N414" s="6"/>
      <c r="O414" s="6"/>
    </row>
    <row r="415" spans="1:15">
      <c r="A415" s="5" t="s">
        <v>53</v>
      </c>
      <c r="B415" s="5" t="s">
        <v>54</v>
      </c>
      <c r="C415" s="5" t="s">
        <v>55</v>
      </c>
      <c r="D415" s="5" t="s">
        <v>28</v>
      </c>
      <c r="E415" s="7" t="s">
        <v>128</v>
      </c>
      <c r="F415" s="7">
        <v>90001413</v>
      </c>
      <c r="G415" s="5" t="s">
        <v>264</v>
      </c>
      <c r="H415" s="7">
        <v>28010341</v>
      </c>
      <c r="I415" s="5" t="s">
        <v>527</v>
      </c>
      <c r="J415" s="5" t="s">
        <v>99</v>
      </c>
      <c r="K415" s="5" t="s">
        <v>59</v>
      </c>
      <c r="L415" s="5" t="s">
        <v>60</v>
      </c>
      <c r="M415" s="5"/>
      <c r="N415" s="6"/>
      <c r="O415" s="6"/>
    </row>
    <row r="416" spans="1:15">
      <c r="A416" s="5" t="s">
        <v>53</v>
      </c>
      <c r="B416" s="5" t="s">
        <v>54</v>
      </c>
      <c r="C416" s="5" t="s">
        <v>107</v>
      </c>
      <c r="D416" s="5" t="s">
        <v>27</v>
      </c>
      <c r="E416" s="7" t="s">
        <v>210</v>
      </c>
      <c r="F416" s="7">
        <v>90001414</v>
      </c>
      <c r="G416" s="5" t="s">
        <v>133</v>
      </c>
      <c r="H416" s="7">
        <v>28010342</v>
      </c>
      <c r="I416" s="5" t="s">
        <v>528</v>
      </c>
      <c r="J416" s="5" t="s">
        <v>210</v>
      </c>
      <c r="K416" s="5" t="s">
        <v>59</v>
      </c>
      <c r="L416" s="5" t="s">
        <v>60</v>
      </c>
      <c r="M416" s="5"/>
      <c r="N416" s="6"/>
      <c r="O416" s="6"/>
    </row>
    <row r="417" spans="1:15">
      <c r="A417" s="5" t="s">
        <v>53</v>
      </c>
      <c r="B417" s="5" t="s">
        <v>54</v>
      </c>
      <c r="C417" s="5" t="s">
        <v>107</v>
      </c>
      <c r="D417" s="5" t="s">
        <v>27</v>
      </c>
      <c r="E417" s="7" t="s">
        <v>210</v>
      </c>
      <c r="F417" s="7">
        <v>90001415</v>
      </c>
      <c r="G417" s="5" t="s">
        <v>135</v>
      </c>
      <c r="H417" s="7">
        <v>28010343</v>
      </c>
      <c r="I417" s="5" t="s">
        <v>529</v>
      </c>
      <c r="J417" s="5" t="s">
        <v>210</v>
      </c>
      <c r="K417" s="5" t="s">
        <v>59</v>
      </c>
      <c r="L417" s="5" t="s">
        <v>60</v>
      </c>
      <c r="M417" s="5"/>
      <c r="N417" s="6"/>
      <c r="O417" s="6"/>
    </row>
    <row r="418" spans="1:15">
      <c r="A418" s="5" t="s">
        <v>53</v>
      </c>
      <c r="B418" s="5" t="s">
        <v>30</v>
      </c>
      <c r="C418" s="5" t="s">
        <v>107</v>
      </c>
      <c r="D418" s="5" t="s">
        <v>19</v>
      </c>
      <c r="E418" s="7" t="s">
        <v>128</v>
      </c>
      <c r="F418" s="7">
        <v>90001416</v>
      </c>
      <c r="G418" s="5" t="s">
        <v>137</v>
      </c>
      <c r="H418" s="7">
        <v>28010344</v>
      </c>
      <c r="I418" s="5" t="s">
        <v>530</v>
      </c>
      <c r="J418" s="5" t="s">
        <v>128</v>
      </c>
      <c r="K418" s="5" t="s">
        <v>59</v>
      </c>
      <c r="L418" s="5" t="s">
        <v>60</v>
      </c>
      <c r="M418" s="5"/>
      <c r="N418" s="6" t="s">
        <v>85</v>
      </c>
      <c r="O418" s="6"/>
    </row>
    <row r="419" spans="1:15">
      <c r="A419" s="5" t="s">
        <v>53</v>
      </c>
      <c r="B419" s="5" t="s">
        <v>54</v>
      </c>
      <c r="C419" s="5" t="s">
        <v>61</v>
      </c>
      <c r="D419" s="5" t="s">
        <v>15</v>
      </c>
      <c r="E419" s="7" t="s">
        <v>210</v>
      </c>
      <c r="F419" s="7">
        <v>90001417</v>
      </c>
      <c r="G419" s="5" t="s">
        <v>139</v>
      </c>
      <c r="H419" s="7">
        <v>28010345</v>
      </c>
      <c r="I419" s="5" t="s">
        <v>531</v>
      </c>
      <c r="J419" s="5" t="s">
        <v>210</v>
      </c>
      <c r="K419" s="5" t="s">
        <v>59</v>
      </c>
      <c r="L419" s="5" t="s">
        <v>60</v>
      </c>
      <c r="M419" s="5"/>
      <c r="N419" s="6"/>
      <c r="O419" s="6"/>
    </row>
    <row r="420" spans="1:15">
      <c r="A420" s="5" t="s">
        <v>53</v>
      </c>
      <c r="B420" s="5" t="s">
        <v>29</v>
      </c>
      <c r="C420" s="5" t="s">
        <v>55</v>
      </c>
      <c r="D420" s="5" t="s">
        <v>14</v>
      </c>
      <c r="E420" s="7" t="s">
        <v>210</v>
      </c>
      <c r="F420" s="7">
        <v>90001418</v>
      </c>
      <c r="G420" s="5" t="s">
        <v>141</v>
      </c>
      <c r="H420" s="7">
        <v>28010346</v>
      </c>
      <c r="I420" s="5" t="s">
        <v>532</v>
      </c>
      <c r="J420" s="5" t="s">
        <v>210</v>
      </c>
      <c r="K420" s="5" t="s">
        <v>59</v>
      </c>
      <c r="L420" s="5" t="s">
        <v>60</v>
      </c>
      <c r="M420" s="5"/>
      <c r="N420" s="6"/>
      <c r="O420" s="6"/>
    </row>
    <row r="421" spans="1:15">
      <c r="A421" s="5" t="s">
        <v>53</v>
      </c>
      <c r="B421" s="5" t="s">
        <v>31</v>
      </c>
      <c r="C421" s="5" t="s">
        <v>96</v>
      </c>
      <c r="D421" s="5" t="s">
        <v>10</v>
      </c>
      <c r="E421" s="7" t="s">
        <v>66</v>
      </c>
      <c r="F421" s="7">
        <v>90001419</v>
      </c>
      <c r="G421" s="5" t="s">
        <v>142</v>
      </c>
      <c r="H421" s="7">
        <v>28010347</v>
      </c>
      <c r="I421" s="5" t="s">
        <v>533</v>
      </c>
      <c r="J421" s="5" t="s">
        <v>66</v>
      </c>
      <c r="K421" s="5" t="s">
        <v>59</v>
      </c>
      <c r="L421" s="5" t="s">
        <v>60</v>
      </c>
      <c r="M421" s="5"/>
      <c r="N421" s="6"/>
      <c r="O421" s="6"/>
    </row>
    <row r="422" spans="1:15">
      <c r="A422" s="5" t="s">
        <v>53</v>
      </c>
      <c r="B422" s="5" t="s">
        <v>30</v>
      </c>
      <c r="C422" s="5" t="s">
        <v>107</v>
      </c>
      <c r="D422" s="5" t="s">
        <v>19</v>
      </c>
      <c r="E422" s="7" t="s">
        <v>99</v>
      </c>
      <c r="F422" s="7">
        <v>90001420</v>
      </c>
      <c r="G422" s="5" t="s">
        <v>144</v>
      </c>
      <c r="H422" s="7">
        <v>28010348</v>
      </c>
      <c r="I422" s="5" t="s">
        <v>534</v>
      </c>
      <c r="J422" s="5" t="s">
        <v>99</v>
      </c>
      <c r="K422" s="5" t="s">
        <v>59</v>
      </c>
      <c r="L422" s="5" t="s">
        <v>60</v>
      </c>
      <c r="M422" s="5"/>
      <c r="N422" s="6"/>
      <c r="O422" s="6"/>
    </row>
    <row r="423" spans="1:15">
      <c r="A423" s="5" t="s">
        <v>53</v>
      </c>
      <c r="B423" s="5" t="s">
        <v>54</v>
      </c>
      <c r="C423" s="5" t="s">
        <v>107</v>
      </c>
      <c r="D423" s="5" t="s">
        <v>27</v>
      </c>
      <c r="E423" s="7" t="s">
        <v>210</v>
      </c>
      <c r="F423" s="7">
        <v>90001421</v>
      </c>
      <c r="G423" s="5" t="s">
        <v>146</v>
      </c>
      <c r="H423" s="7">
        <v>28010349</v>
      </c>
      <c r="I423" s="5" t="s">
        <v>535</v>
      </c>
      <c r="J423" s="5" t="s">
        <v>210</v>
      </c>
      <c r="K423" s="5" t="s">
        <v>59</v>
      </c>
      <c r="L423" s="5" t="s">
        <v>60</v>
      </c>
      <c r="M423" s="5"/>
      <c r="N423" s="6"/>
      <c r="O423" s="6"/>
    </row>
    <row r="424" spans="1:15">
      <c r="A424" s="5" t="s">
        <v>53</v>
      </c>
      <c r="B424" s="5" t="s">
        <v>29</v>
      </c>
      <c r="C424" s="5" t="s">
        <v>55</v>
      </c>
      <c r="D424" s="5" t="s">
        <v>14</v>
      </c>
      <c r="E424" s="7" t="s">
        <v>66</v>
      </c>
      <c r="F424" s="7">
        <v>90001422</v>
      </c>
      <c r="G424" s="5" t="s">
        <v>148</v>
      </c>
      <c r="H424" s="7">
        <v>28010350</v>
      </c>
      <c r="I424" s="5" t="s">
        <v>536</v>
      </c>
      <c r="J424" s="5" t="s">
        <v>66</v>
      </c>
      <c r="K424" s="5" t="s">
        <v>59</v>
      </c>
      <c r="L424" s="5" t="s">
        <v>60</v>
      </c>
      <c r="M424" s="5"/>
      <c r="N424" s="6"/>
      <c r="O424" s="6"/>
    </row>
    <row r="425" spans="1:15">
      <c r="A425" s="5" t="s">
        <v>53</v>
      </c>
      <c r="B425" s="5" t="s">
        <v>31</v>
      </c>
      <c r="C425" s="5" t="s">
        <v>75</v>
      </c>
      <c r="D425" s="5" t="s">
        <v>10</v>
      </c>
      <c r="E425" s="7" t="s">
        <v>210</v>
      </c>
      <c r="F425" s="7">
        <v>901423</v>
      </c>
      <c r="G425" s="5" t="s">
        <v>151</v>
      </c>
      <c r="H425" s="7"/>
      <c r="I425" s="5"/>
      <c r="J425" s="5"/>
      <c r="K425" s="5"/>
      <c r="L425" s="5" t="s">
        <v>63</v>
      </c>
      <c r="M425" s="5"/>
      <c r="N425" s="6"/>
      <c r="O425" s="6"/>
    </row>
    <row r="426" spans="1:15">
      <c r="A426" s="5" t="s">
        <v>53</v>
      </c>
      <c r="B426" s="5" t="s">
        <v>54</v>
      </c>
      <c r="C426" s="5" t="s">
        <v>107</v>
      </c>
      <c r="D426" s="5" t="s">
        <v>27</v>
      </c>
      <c r="E426" s="7" t="s">
        <v>66</v>
      </c>
      <c r="F426" s="7">
        <v>90001424</v>
      </c>
      <c r="G426" s="5" t="s">
        <v>153</v>
      </c>
      <c r="H426" s="7">
        <v>28010351</v>
      </c>
      <c r="I426" s="5" t="s">
        <v>537</v>
      </c>
      <c r="J426" s="5" t="s">
        <v>66</v>
      </c>
      <c r="K426" s="5" t="s">
        <v>59</v>
      </c>
      <c r="L426" s="5" t="s">
        <v>60</v>
      </c>
      <c r="M426" s="5"/>
      <c r="N426" s="6"/>
      <c r="O426" s="6"/>
    </row>
    <row r="427" spans="1:15">
      <c r="A427" s="5" t="s">
        <v>53</v>
      </c>
      <c r="B427" s="5" t="s">
        <v>54</v>
      </c>
      <c r="C427" s="5" t="s">
        <v>91</v>
      </c>
      <c r="D427" s="5" t="s">
        <v>20</v>
      </c>
      <c r="E427" s="7" t="s">
        <v>210</v>
      </c>
      <c r="F427" s="7">
        <v>90001425</v>
      </c>
      <c r="G427" s="5" t="s">
        <v>157</v>
      </c>
      <c r="H427" s="7">
        <v>28010352</v>
      </c>
      <c r="I427" s="5" t="s">
        <v>538</v>
      </c>
      <c r="J427" s="5" t="s">
        <v>210</v>
      </c>
      <c r="K427" s="5" t="s">
        <v>59</v>
      </c>
      <c r="L427" s="5" t="s">
        <v>60</v>
      </c>
      <c r="M427" s="5"/>
      <c r="N427" s="6"/>
      <c r="O427" s="6"/>
    </row>
    <row r="428" spans="1:15">
      <c r="A428" s="5" t="s">
        <v>53</v>
      </c>
      <c r="B428" s="5" t="s">
        <v>30</v>
      </c>
      <c r="C428" s="5" t="s">
        <v>107</v>
      </c>
      <c r="D428" s="5" t="s">
        <v>19</v>
      </c>
      <c r="E428" s="7" t="s">
        <v>69</v>
      </c>
      <c r="F428" s="7">
        <v>90001426</v>
      </c>
      <c r="G428" s="5" t="s">
        <v>160</v>
      </c>
      <c r="H428" s="8">
        <v>28010353</v>
      </c>
      <c r="I428" s="6" t="s">
        <v>539</v>
      </c>
      <c r="J428" s="5" t="s">
        <v>210</v>
      </c>
      <c r="K428" s="5" t="s">
        <v>59</v>
      </c>
      <c r="L428" s="5" t="s">
        <v>60</v>
      </c>
      <c r="M428" s="5"/>
      <c r="N428" s="6"/>
      <c r="O428" s="6"/>
    </row>
    <row r="429" spans="1:15">
      <c r="A429" s="5" t="s">
        <v>53</v>
      </c>
      <c r="B429" s="5" t="s">
        <v>30</v>
      </c>
      <c r="C429" s="5" t="s">
        <v>107</v>
      </c>
      <c r="D429" s="5" t="s">
        <v>19</v>
      </c>
      <c r="E429" s="7" t="s">
        <v>69</v>
      </c>
      <c r="F429" s="7">
        <v>90001427</v>
      </c>
      <c r="G429" s="5" t="s">
        <v>162</v>
      </c>
      <c r="H429" s="7">
        <v>28010354</v>
      </c>
      <c r="I429" s="5" t="s">
        <v>540</v>
      </c>
      <c r="J429" s="5" t="s">
        <v>69</v>
      </c>
      <c r="K429" s="5" t="s">
        <v>59</v>
      </c>
      <c r="L429" s="5" t="s">
        <v>60</v>
      </c>
      <c r="M429" s="5"/>
      <c r="N429" s="6"/>
      <c r="O429" s="6"/>
    </row>
    <row r="430" spans="1:15">
      <c r="A430" s="5" t="s">
        <v>53</v>
      </c>
      <c r="B430" s="5" t="s">
        <v>30</v>
      </c>
      <c r="C430" s="5" t="s">
        <v>107</v>
      </c>
      <c r="D430" s="5" t="s">
        <v>19</v>
      </c>
      <c r="E430" s="7" t="s">
        <v>109</v>
      </c>
      <c r="F430" s="7">
        <v>90001428</v>
      </c>
      <c r="G430" s="5" t="s">
        <v>165</v>
      </c>
      <c r="H430" s="7">
        <v>28010355</v>
      </c>
      <c r="I430" s="5" t="s">
        <v>541</v>
      </c>
      <c r="J430" s="5" t="s">
        <v>109</v>
      </c>
      <c r="K430" s="5" t="s">
        <v>59</v>
      </c>
      <c r="L430" s="5" t="s">
        <v>60</v>
      </c>
      <c r="M430" s="5"/>
      <c r="N430" s="6"/>
      <c r="O430" s="6"/>
    </row>
    <row r="431" spans="1:15">
      <c r="A431" s="5" t="s">
        <v>53</v>
      </c>
      <c r="B431" s="5" t="s">
        <v>30</v>
      </c>
      <c r="C431" s="5" t="s">
        <v>107</v>
      </c>
      <c r="D431" s="5" t="s">
        <v>19</v>
      </c>
      <c r="E431" s="7" t="s">
        <v>69</v>
      </c>
      <c r="F431" s="7">
        <v>90001429</v>
      </c>
      <c r="G431" s="5" t="s">
        <v>166</v>
      </c>
      <c r="H431" s="7">
        <v>28010356</v>
      </c>
      <c r="I431" s="5" t="s">
        <v>542</v>
      </c>
      <c r="J431" s="5" t="s">
        <v>69</v>
      </c>
      <c r="K431" s="5" t="s">
        <v>59</v>
      </c>
      <c r="L431" s="5" t="s">
        <v>60</v>
      </c>
      <c r="M431" s="5"/>
      <c r="N431" s="6"/>
      <c r="O431" s="6"/>
    </row>
    <row r="432" spans="1:15">
      <c r="A432" s="5" t="s">
        <v>53</v>
      </c>
      <c r="B432" s="5" t="s">
        <v>54</v>
      </c>
      <c r="C432" s="5" t="s">
        <v>107</v>
      </c>
      <c r="D432" s="5" t="s">
        <v>27</v>
      </c>
      <c r="E432" s="7" t="s">
        <v>66</v>
      </c>
      <c r="F432" s="7">
        <v>90001430</v>
      </c>
      <c r="G432" s="5" t="s">
        <v>168</v>
      </c>
      <c r="H432" s="7">
        <v>28010357</v>
      </c>
      <c r="I432" s="5" t="s">
        <v>543</v>
      </c>
      <c r="J432" s="5" t="s">
        <v>66</v>
      </c>
      <c r="K432" s="5" t="s">
        <v>59</v>
      </c>
      <c r="L432" s="5" t="s">
        <v>60</v>
      </c>
      <c r="M432" s="5"/>
      <c r="N432" s="6"/>
      <c r="O432" s="6"/>
    </row>
    <row r="433" spans="1:15">
      <c r="A433" s="5" t="s">
        <v>53</v>
      </c>
      <c r="B433" s="5" t="s">
        <v>64</v>
      </c>
      <c r="C433" s="5" t="s">
        <v>65</v>
      </c>
      <c r="D433" s="5" t="s">
        <v>17</v>
      </c>
      <c r="E433" s="7" t="s">
        <v>66</v>
      </c>
      <c r="F433" s="7">
        <v>90001431</v>
      </c>
      <c r="G433" s="5" t="s">
        <v>170</v>
      </c>
      <c r="H433" s="7">
        <v>28010358</v>
      </c>
      <c r="I433" s="5" t="s">
        <v>544</v>
      </c>
      <c r="J433" s="5" t="s">
        <v>66</v>
      </c>
      <c r="K433" s="5" t="s">
        <v>59</v>
      </c>
      <c r="L433" s="5" t="s">
        <v>60</v>
      </c>
      <c r="M433" s="5"/>
      <c r="N433" s="6"/>
      <c r="O433" s="6"/>
    </row>
    <row r="434" spans="1:15">
      <c r="A434" s="5" t="s">
        <v>53</v>
      </c>
      <c r="B434" s="5" t="s">
        <v>64</v>
      </c>
      <c r="C434" s="5" t="s">
        <v>65</v>
      </c>
      <c r="D434" s="5" t="s">
        <v>17</v>
      </c>
      <c r="E434" s="7" t="s">
        <v>210</v>
      </c>
      <c r="F434" s="7">
        <v>90001432</v>
      </c>
      <c r="G434" s="5" t="s">
        <v>70</v>
      </c>
      <c r="H434" s="7">
        <v>28010359</v>
      </c>
      <c r="I434" s="5" t="s">
        <v>545</v>
      </c>
      <c r="J434" s="5" t="s">
        <v>210</v>
      </c>
      <c r="K434" s="5" t="s">
        <v>59</v>
      </c>
      <c r="L434" s="5" t="s">
        <v>60</v>
      </c>
      <c r="M434" s="5"/>
      <c r="N434" s="6"/>
      <c r="O434" s="6"/>
    </row>
    <row r="435" spans="1:15">
      <c r="A435" s="5" t="s">
        <v>53</v>
      </c>
      <c r="B435" s="5" t="s">
        <v>54</v>
      </c>
      <c r="C435" s="5" t="s">
        <v>107</v>
      </c>
      <c r="D435" s="5" t="s">
        <v>27</v>
      </c>
      <c r="E435" s="7" t="s">
        <v>128</v>
      </c>
      <c r="F435" s="7">
        <v>90001433</v>
      </c>
      <c r="G435" s="5" t="s">
        <v>274</v>
      </c>
      <c r="H435" s="7">
        <v>28010360</v>
      </c>
      <c r="I435" s="5" t="s">
        <v>546</v>
      </c>
      <c r="J435" s="5" t="s">
        <v>128</v>
      </c>
      <c r="K435" s="5" t="s">
        <v>59</v>
      </c>
      <c r="L435" s="5" t="s">
        <v>60</v>
      </c>
      <c r="M435" s="5"/>
      <c r="N435" s="6"/>
      <c r="O435" s="6"/>
    </row>
    <row r="436" spans="1:15">
      <c r="A436" s="5" t="s">
        <v>53</v>
      </c>
      <c r="B436" s="5" t="s">
        <v>30</v>
      </c>
      <c r="C436" s="5" t="s">
        <v>107</v>
      </c>
      <c r="D436" s="5" t="s">
        <v>19</v>
      </c>
      <c r="E436" s="7" t="s">
        <v>56</v>
      </c>
      <c r="F436" s="7">
        <v>90001434</v>
      </c>
      <c r="G436" s="5" t="s">
        <v>157</v>
      </c>
      <c r="H436" s="7"/>
      <c r="I436" s="5"/>
      <c r="J436" s="5"/>
      <c r="K436" s="5"/>
      <c r="L436" s="5" t="s">
        <v>63</v>
      </c>
      <c r="M436" s="5"/>
      <c r="N436" s="6" t="s">
        <v>85</v>
      </c>
      <c r="O436" s="6"/>
    </row>
    <row r="437" spans="1:15">
      <c r="A437" s="5" t="s">
        <v>53</v>
      </c>
      <c r="B437" s="5" t="s">
        <v>29</v>
      </c>
      <c r="C437" s="5" t="s">
        <v>55</v>
      </c>
      <c r="D437" s="5" t="s">
        <v>14</v>
      </c>
      <c r="E437" s="7" t="s">
        <v>495</v>
      </c>
      <c r="F437" s="7">
        <v>90001435</v>
      </c>
      <c r="G437" s="5" t="s">
        <v>172</v>
      </c>
      <c r="H437" s="7">
        <v>28010361</v>
      </c>
      <c r="I437" s="5" t="s">
        <v>547</v>
      </c>
      <c r="J437" s="5" t="s">
        <v>495</v>
      </c>
      <c r="K437" s="5" t="s">
        <v>59</v>
      </c>
      <c r="L437" s="5" t="s">
        <v>60</v>
      </c>
      <c r="M437" s="5"/>
      <c r="N437" s="6"/>
      <c r="O437" s="6"/>
    </row>
    <row r="438" spans="1:15">
      <c r="A438" s="5" t="s">
        <v>223</v>
      </c>
      <c r="B438" s="5" t="s">
        <v>54</v>
      </c>
      <c r="C438" s="5" t="s">
        <v>102</v>
      </c>
      <c r="D438" s="5" t="s">
        <v>26</v>
      </c>
      <c r="E438" s="7" t="s">
        <v>210</v>
      </c>
      <c r="F438" s="7">
        <v>901436</v>
      </c>
      <c r="G438" s="5" t="s">
        <v>174</v>
      </c>
      <c r="H438" s="7"/>
      <c r="I438" s="5"/>
      <c r="J438" s="5"/>
      <c r="K438" s="5"/>
      <c r="L438" s="5" t="s">
        <v>63</v>
      </c>
      <c r="M438" s="5"/>
      <c r="N438" s="6"/>
      <c r="O438" s="6"/>
    </row>
    <row r="439" spans="1:15">
      <c r="A439" s="5" t="s">
        <v>53</v>
      </c>
      <c r="B439" s="5" t="s">
        <v>54</v>
      </c>
      <c r="C439" s="5" t="s">
        <v>55</v>
      </c>
      <c r="D439" s="5" t="s">
        <v>28</v>
      </c>
      <c r="E439" s="7" t="s">
        <v>56</v>
      </c>
      <c r="F439" s="7">
        <v>90001437</v>
      </c>
      <c r="G439" s="5" t="s">
        <v>131</v>
      </c>
      <c r="H439" s="7">
        <v>28010362</v>
      </c>
      <c r="I439" s="5" t="s">
        <v>548</v>
      </c>
      <c r="J439" s="5" t="s">
        <v>56</v>
      </c>
      <c r="K439" s="5" t="s">
        <v>59</v>
      </c>
      <c r="L439" s="5" t="s">
        <v>60</v>
      </c>
      <c r="M439" s="5"/>
      <c r="N439" s="6"/>
      <c r="O439" s="6"/>
    </row>
    <row r="440" spans="1:15">
      <c r="A440" s="5" t="s">
        <v>549</v>
      </c>
      <c r="B440" s="5" t="s">
        <v>29</v>
      </c>
      <c r="C440" s="5" t="s">
        <v>98</v>
      </c>
      <c r="D440" s="5" t="s">
        <v>22</v>
      </c>
      <c r="E440" s="7" t="s">
        <v>550</v>
      </c>
      <c r="F440" s="7">
        <v>901438</v>
      </c>
      <c r="G440" s="5" t="s">
        <v>176</v>
      </c>
      <c r="H440" s="7">
        <v>28010363</v>
      </c>
      <c r="I440" s="5" t="s">
        <v>551</v>
      </c>
      <c r="J440" s="5" t="s">
        <v>550</v>
      </c>
      <c r="K440" s="5" t="s">
        <v>552</v>
      </c>
      <c r="L440" s="5" t="s">
        <v>60</v>
      </c>
      <c r="M440" s="5"/>
      <c r="N440" s="6"/>
      <c r="O440" s="6"/>
    </row>
    <row r="441" spans="1:15">
      <c r="A441" s="5" t="s">
        <v>549</v>
      </c>
      <c r="B441" s="5" t="s">
        <v>29</v>
      </c>
      <c r="C441" s="5" t="s">
        <v>55</v>
      </c>
      <c r="D441" s="5" t="s">
        <v>14</v>
      </c>
      <c r="E441" s="7" t="s">
        <v>550</v>
      </c>
      <c r="F441" s="7">
        <v>901439</v>
      </c>
      <c r="G441" s="5" t="s">
        <v>176</v>
      </c>
      <c r="H441" s="7">
        <v>28010364</v>
      </c>
      <c r="I441" s="5" t="s">
        <v>553</v>
      </c>
      <c r="J441" s="5" t="s">
        <v>550</v>
      </c>
      <c r="K441" s="5" t="s">
        <v>552</v>
      </c>
      <c r="L441" s="5" t="s">
        <v>60</v>
      </c>
      <c r="M441" s="5"/>
      <c r="N441" s="6"/>
      <c r="O441" s="6"/>
    </row>
    <row r="442" spans="1:15">
      <c r="A442" s="5" t="s">
        <v>554</v>
      </c>
      <c r="B442" s="5" t="s">
        <v>54</v>
      </c>
      <c r="C442" s="5" t="s">
        <v>107</v>
      </c>
      <c r="D442" s="5" t="s">
        <v>27</v>
      </c>
      <c r="E442" s="7" t="s">
        <v>555</v>
      </c>
      <c r="F442" s="7">
        <v>901440</v>
      </c>
      <c r="G442" s="5" t="s">
        <v>178</v>
      </c>
      <c r="H442" s="7">
        <v>78010365</v>
      </c>
      <c r="I442" s="5" t="s">
        <v>556</v>
      </c>
      <c r="J442" s="5" t="s">
        <v>555</v>
      </c>
      <c r="K442" s="5" t="s">
        <v>552</v>
      </c>
      <c r="L442" s="5" t="s">
        <v>60</v>
      </c>
      <c r="M442" s="5"/>
      <c r="N442" s="6"/>
      <c r="O442" s="6"/>
    </row>
    <row r="443" spans="1:15">
      <c r="A443" s="5" t="s">
        <v>554</v>
      </c>
      <c r="B443" s="5" t="s">
        <v>54</v>
      </c>
      <c r="C443" s="5" t="s">
        <v>55</v>
      </c>
      <c r="D443" s="5" t="s">
        <v>28</v>
      </c>
      <c r="E443" s="7" t="s">
        <v>555</v>
      </c>
      <c r="F443" s="7">
        <v>901441</v>
      </c>
      <c r="G443" s="5" t="s">
        <v>178</v>
      </c>
      <c r="H443" s="7">
        <v>78010366</v>
      </c>
      <c r="I443" s="5" t="s">
        <v>557</v>
      </c>
      <c r="J443" s="5" t="s">
        <v>555</v>
      </c>
      <c r="K443" s="5" t="s">
        <v>552</v>
      </c>
      <c r="L443" s="5" t="s">
        <v>60</v>
      </c>
      <c r="M443" s="5"/>
      <c r="N443" s="6"/>
      <c r="O443" s="6"/>
    </row>
    <row r="444" spans="1:15">
      <c r="A444" s="5" t="s">
        <v>554</v>
      </c>
      <c r="B444" s="5" t="s">
        <v>54</v>
      </c>
      <c r="C444" s="5" t="s">
        <v>107</v>
      </c>
      <c r="D444" s="5" t="s">
        <v>27</v>
      </c>
      <c r="E444" s="7" t="s">
        <v>555</v>
      </c>
      <c r="F444" s="7">
        <v>901442</v>
      </c>
      <c r="G444" s="5" t="s">
        <v>178</v>
      </c>
      <c r="H444" s="7">
        <v>78010367</v>
      </c>
      <c r="I444" s="5" t="s">
        <v>558</v>
      </c>
      <c r="J444" s="5" t="s">
        <v>555</v>
      </c>
      <c r="K444" s="5" t="s">
        <v>552</v>
      </c>
      <c r="L444" s="5" t="s">
        <v>60</v>
      </c>
      <c r="M444" s="5"/>
      <c r="N444" s="6"/>
      <c r="O444" s="6"/>
    </row>
    <row r="445" spans="1:15">
      <c r="A445" s="5" t="s">
        <v>554</v>
      </c>
      <c r="B445" s="5" t="s">
        <v>54</v>
      </c>
      <c r="C445" s="5" t="s">
        <v>80</v>
      </c>
      <c r="D445" s="5" t="s">
        <v>21</v>
      </c>
      <c r="E445" s="7" t="s">
        <v>555</v>
      </c>
      <c r="F445" s="7">
        <v>901443</v>
      </c>
      <c r="G445" s="5" t="s">
        <v>178</v>
      </c>
      <c r="H445" s="7">
        <v>78010368</v>
      </c>
      <c r="I445" s="5" t="s">
        <v>559</v>
      </c>
      <c r="J445" s="5" t="s">
        <v>555</v>
      </c>
      <c r="K445" s="5" t="s">
        <v>552</v>
      </c>
      <c r="L445" s="5" t="s">
        <v>60</v>
      </c>
      <c r="M445" s="5"/>
      <c r="N445" s="6"/>
      <c r="O445" s="6"/>
    </row>
    <row r="446" spans="1:15">
      <c r="A446" s="5" t="s">
        <v>554</v>
      </c>
      <c r="B446" s="5" t="s">
        <v>54</v>
      </c>
      <c r="C446" s="5" t="s">
        <v>55</v>
      </c>
      <c r="D446" s="5" t="s">
        <v>28</v>
      </c>
      <c r="E446" s="7" t="s">
        <v>560</v>
      </c>
      <c r="F446" s="7">
        <v>901444</v>
      </c>
      <c r="G446" s="5" t="s">
        <v>179</v>
      </c>
      <c r="H446" s="7"/>
      <c r="I446" s="5"/>
      <c r="J446" s="5"/>
      <c r="K446" s="5"/>
      <c r="L446" s="5" t="s">
        <v>63</v>
      </c>
      <c r="M446" s="5"/>
      <c r="N446" s="6" t="s">
        <v>499</v>
      </c>
      <c r="O446" s="6"/>
    </row>
    <row r="447" spans="1:15">
      <c r="A447" s="5" t="s">
        <v>554</v>
      </c>
      <c r="B447" s="5" t="s">
        <v>54</v>
      </c>
      <c r="C447" s="5" t="s">
        <v>80</v>
      </c>
      <c r="D447" s="5" t="s">
        <v>21</v>
      </c>
      <c r="E447" s="7" t="s">
        <v>555</v>
      </c>
      <c r="F447" s="7">
        <v>901445</v>
      </c>
      <c r="G447" s="5" t="s">
        <v>178</v>
      </c>
      <c r="H447" s="7">
        <v>78010369</v>
      </c>
      <c r="I447" s="5" t="s">
        <v>561</v>
      </c>
      <c r="J447" s="5" t="s">
        <v>555</v>
      </c>
      <c r="K447" s="5" t="s">
        <v>552</v>
      </c>
      <c r="L447" s="5" t="s">
        <v>60</v>
      </c>
      <c r="M447" s="5"/>
      <c r="N447" s="6"/>
      <c r="O447" s="6"/>
    </row>
    <row r="448" spans="1:15">
      <c r="A448" s="5" t="s">
        <v>554</v>
      </c>
      <c r="B448" s="5" t="s">
        <v>54</v>
      </c>
      <c r="C448" s="5" t="s">
        <v>107</v>
      </c>
      <c r="D448" s="5" t="s">
        <v>27</v>
      </c>
      <c r="E448" s="7" t="s">
        <v>555</v>
      </c>
      <c r="F448" s="7">
        <v>901446</v>
      </c>
      <c r="G448" s="5" t="s">
        <v>178</v>
      </c>
      <c r="H448" s="7">
        <v>78010370</v>
      </c>
      <c r="I448" s="5" t="s">
        <v>562</v>
      </c>
      <c r="J448" s="5" t="s">
        <v>555</v>
      </c>
      <c r="K448" s="5" t="s">
        <v>552</v>
      </c>
      <c r="L448" s="5" t="s">
        <v>60</v>
      </c>
      <c r="M448" s="5"/>
      <c r="N448" s="6"/>
      <c r="O448" s="6"/>
    </row>
    <row r="449" spans="1:15">
      <c r="A449" s="5" t="s">
        <v>554</v>
      </c>
      <c r="B449" s="5" t="s">
        <v>54</v>
      </c>
      <c r="C449" s="5" t="s">
        <v>61</v>
      </c>
      <c r="D449" s="5" t="s">
        <v>16</v>
      </c>
      <c r="E449" s="7" t="s">
        <v>555</v>
      </c>
      <c r="F449" s="7">
        <v>901447</v>
      </c>
      <c r="G449" s="5" t="s">
        <v>178</v>
      </c>
      <c r="H449" s="7">
        <v>78010371</v>
      </c>
      <c r="I449" s="5" t="s">
        <v>563</v>
      </c>
      <c r="J449" s="5" t="s">
        <v>555</v>
      </c>
      <c r="K449" s="5" t="s">
        <v>552</v>
      </c>
      <c r="L449" s="5" t="s">
        <v>60</v>
      </c>
      <c r="M449" s="5"/>
      <c r="N449" s="6"/>
      <c r="O449" s="6"/>
    </row>
    <row r="450" spans="1:15">
      <c r="A450" s="5" t="s">
        <v>554</v>
      </c>
      <c r="B450" s="5" t="s">
        <v>54</v>
      </c>
      <c r="C450" s="5" t="s">
        <v>102</v>
      </c>
      <c r="D450" s="5" t="s">
        <v>26</v>
      </c>
      <c r="E450" s="7" t="s">
        <v>555</v>
      </c>
      <c r="F450" s="7">
        <v>901448</v>
      </c>
      <c r="G450" s="5" t="s">
        <v>178</v>
      </c>
      <c r="H450" s="7">
        <v>78010372</v>
      </c>
      <c r="I450" s="5" t="s">
        <v>564</v>
      </c>
      <c r="J450" s="5" t="s">
        <v>555</v>
      </c>
      <c r="K450" s="5" t="s">
        <v>552</v>
      </c>
      <c r="L450" s="5" t="s">
        <v>60</v>
      </c>
      <c r="M450" s="5"/>
      <c r="N450" s="6"/>
      <c r="O450" s="6"/>
    </row>
    <row r="451" spans="1:15">
      <c r="A451" s="5" t="s">
        <v>554</v>
      </c>
      <c r="B451" s="5" t="s">
        <v>54</v>
      </c>
      <c r="C451" s="5" t="s">
        <v>107</v>
      </c>
      <c r="D451" s="5" t="s">
        <v>27</v>
      </c>
      <c r="E451" s="7" t="s">
        <v>555</v>
      </c>
      <c r="F451" s="7">
        <v>901449</v>
      </c>
      <c r="G451" s="5" t="s">
        <v>178</v>
      </c>
      <c r="H451" s="7">
        <v>78010373</v>
      </c>
      <c r="I451" s="5" t="s">
        <v>565</v>
      </c>
      <c r="J451" s="5" t="s">
        <v>555</v>
      </c>
      <c r="K451" s="5" t="s">
        <v>552</v>
      </c>
      <c r="L451" s="5" t="s">
        <v>60</v>
      </c>
      <c r="M451" s="5"/>
      <c r="N451" s="6"/>
      <c r="O451" s="6"/>
    </row>
    <row r="452" spans="1:15">
      <c r="A452" s="5" t="s">
        <v>554</v>
      </c>
      <c r="B452" s="5" t="s">
        <v>54</v>
      </c>
      <c r="C452" s="5" t="s">
        <v>61</v>
      </c>
      <c r="D452" s="5" t="s">
        <v>16</v>
      </c>
      <c r="E452" s="7" t="s">
        <v>555</v>
      </c>
      <c r="F452" s="7">
        <v>901450</v>
      </c>
      <c r="G452" s="5" t="s">
        <v>178</v>
      </c>
      <c r="H452" s="7">
        <v>78010374</v>
      </c>
      <c r="I452" s="5" t="s">
        <v>566</v>
      </c>
      <c r="J452" s="5" t="s">
        <v>555</v>
      </c>
      <c r="K452" s="5" t="s">
        <v>552</v>
      </c>
      <c r="L452" s="5" t="s">
        <v>60</v>
      </c>
      <c r="M452" s="5"/>
      <c r="N452" s="6"/>
      <c r="O452" s="6"/>
    </row>
    <row r="453" spans="1:15">
      <c r="A453" s="5" t="s">
        <v>554</v>
      </c>
      <c r="B453" s="5" t="s">
        <v>64</v>
      </c>
      <c r="C453" s="5" t="s">
        <v>65</v>
      </c>
      <c r="D453" s="5" t="s">
        <v>17</v>
      </c>
      <c r="E453" s="7" t="s">
        <v>555</v>
      </c>
      <c r="F453" s="7">
        <v>901451</v>
      </c>
      <c r="G453" s="5" t="s">
        <v>178</v>
      </c>
      <c r="H453" s="7">
        <v>78010375</v>
      </c>
      <c r="I453" s="5" t="s">
        <v>567</v>
      </c>
      <c r="J453" s="5" t="s">
        <v>555</v>
      </c>
      <c r="K453" s="5" t="s">
        <v>552</v>
      </c>
      <c r="L453" s="5" t="s">
        <v>60</v>
      </c>
      <c r="M453" s="5"/>
      <c r="N453" s="6"/>
      <c r="O453" s="6"/>
    </row>
    <row r="454" spans="1:15">
      <c r="A454" s="5" t="s">
        <v>554</v>
      </c>
      <c r="B454" s="5" t="s">
        <v>54</v>
      </c>
      <c r="C454" s="5" t="s">
        <v>91</v>
      </c>
      <c r="D454" s="5" t="s">
        <v>18</v>
      </c>
      <c r="E454" s="7" t="s">
        <v>555</v>
      </c>
      <c r="F454" s="7">
        <v>901452</v>
      </c>
      <c r="G454" s="5" t="s">
        <v>178</v>
      </c>
      <c r="H454" s="7">
        <v>78010376</v>
      </c>
      <c r="I454" s="5" t="s">
        <v>568</v>
      </c>
      <c r="J454" s="5" t="s">
        <v>555</v>
      </c>
      <c r="K454" s="5" t="s">
        <v>552</v>
      </c>
      <c r="L454" s="5" t="s">
        <v>60</v>
      </c>
      <c r="M454" s="5"/>
      <c r="N454" s="6"/>
      <c r="O454" s="6"/>
    </row>
    <row r="455" spans="1:15">
      <c r="A455" s="5" t="s">
        <v>554</v>
      </c>
      <c r="B455" s="5" t="s">
        <v>30</v>
      </c>
      <c r="C455" s="5" t="s">
        <v>91</v>
      </c>
      <c r="D455" s="5" t="s">
        <v>24</v>
      </c>
      <c r="E455" s="7" t="s">
        <v>555</v>
      </c>
      <c r="F455" s="7">
        <v>901453</v>
      </c>
      <c r="G455" s="5" t="s">
        <v>178</v>
      </c>
      <c r="H455" s="7">
        <v>78010377</v>
      </c>
      <c r="I455" s="5" t="s">
        <v>569</v>
      </c>
      <c r="J455" s="5" t="s">
        <v>555</v>
      </c>
      <c r="K455" s="5" t="s">
        <v>552</v>
      </c>
      <c r="L455" s="5" t="s">
        <v>60</v>
      </c>
      <c r="M455" s="5"/>
      <c r="N455" s="6"/>
      <c r="O455" s="6"/>
    </row>
    <row r="456" spans="1:15">
      <c r="A456" s="5" t="s">
        <v>554</v>
      </c>
      <c r="B456" s="5" t="s">
        <v>30</v>
      </c>
      <c r="C456" s="5" t="s">
        <v>107</v>
      </c>
      <c r="D456" s="5" t="s">
        <v>19</v>
      </c>
      <c r="E456" s="7" t="s">
        <v>555</v>
      </c>
      <c r="F456" s="7">
        <v>901454</v>
      </c>
      <c r="G456" s="5" t="s">
        <v>178</v>
      </c>
      <c r="H456" s="7">
        <v>78010378</v>
      </c>
      <c r="I456" s="5" t="s">
        <v>570</v>
      </c>
      <c r="J456" s="5" t="s">
        <v>555</v>
      </c>
      <c r="K456" s="5" t="s">
        <v>552</v>
      </c>
      <c r="L456" s="5" t="s">
        <v>60</v>
      </c>
      <c r="M456" s="5"/>
      <c r="N456" s="6"/>
      <c r="O456" s="6"/>
    </row>
    <row r="457" spans="1:15">
      <c r="A457" s="5" t="s">
        <v>554</v>
      </c>
      <c r="B457" s="5" t="s">
        <v>30</v>
      </c>
      <c r="C457" s="5" t="s">
        <v>107</v>
      </c>
      <c r="D457" s="5" t="s">
        <v>19</v>
      </c>
      <c r="E457" s="7" t="s">
        <v>555</v>
      </c>
      <c r="F457" s="7">
        <v>901455</v>
      </c>
      <c r="G457" s="5" t="s">
        <v>178</v>
      </c>
      <c r="H457" s="7">
        <v>78010379</v>
      </c>
      <c r="I457" s="5" t="s">
        <v>571</v>
      </c>
      <c r="J457" s="5" t="s">
        <v>555</v>
      </c>
      <c r="K457" s="5" t="s">
        <v>552</v>
      </c>
      <c r="L457" s="5" t="s">
        <v>60</v>
      </c>
      <c r="M457" s="5"/>
      <c r="N457" s="6"/>
      <c r="O457" s="6"/>
    </row>
    <row r="458" spans="1:15">
      <c r="A458" s="5" t="s">
        <v>554</v>
      </c>
      <c r="B458" s="5" t="s">
        <v>30</v>
      </c>
      <c r="C458" s="5" t="s">
        <v>107</v>
      </c>
      <c r="D458" s="5" t="s">
        <v>19</v>
      </c>
      <c r="E458" s="7" t="s">
        <v>555</v>
      </c>
      <c r="F458" s="7">
        <v>901456</v>
      </c>
      <c r="G458" s="5" t="s">
        <v>178</v>
      </c>
      <c r="H458" s="7">
        <v>78010380</v>
      </c>
      <c r="I458" s="5" t="s">
        <v>572</v>
      </c>
      <c r="J458" s="5" t="s">
        <v>555</v>
      </c>
      <c r="K458" s="5" t="s">
        <v>552</v>
      </c>
      <c r="L458" s="5" t="s">
        <v>60</v>
      </c>
      <c r="M458" s="5"/>
      <c r="N458" s="6"/>
      <c r="O458" s="6"/>
    </row>
    <row r="459" spans="1:15">
      <c r="A459" s="5" t="s">
        <v>554</v>
      </c>
      <c r="B459" s="5" t="s">
        <v>30</v>
      </c>
      <c r="C459" s="5" t="s">
        <v>107</v>
      </c>
      <c r="D459" s="5" t="s">
        <v>19</v>
      </c>
      <c r="E459" s="7" t="s">
        <v>555</v>
      </c>
      <c r="F459" s="7">
        <v>901457</v>
      </c>
      <c r="G459" s="5" t="s">
        <v>178</v>
      </c>
      <c r="H459" s="7">
        <v>78010381</v>
      </c>
      <c r="I459" s="5" t="s">
        <v>573</v>
      </c>
      <c r="J459" s="5" t="s">
        <v>555</v>
      </c>
      <c r="K459" s="5" t="s">
        <v>552</v>
      </c>
      <c r="L459" s="5" t="s">
        <v>60</v>
      </c>
      <c r="M459" s="5"/>
      <c r="N459" s="6"/>
      <c r="O459" s="6"/>
    </row>
    <row r="460" spans="1:15">
      <c r="A460" s="5" t="s">
        <v>554</v>
      </c>
      <c r="B460" s="5" t="s">
        <v>30</v>
      </c>
      <c r="C460" s="5" t="s">
        <v>107</v>
      </c>
      <c r="D460" s="5" t="s">
        <v>19</v>
      </c>
      <c r="E460" s="7" t="s">
        <v>555</v>
      </c>
      <c r="F460" s="7">
        <v>901458</v>
      </c>
      <c r="G460" s="5" t="s">
        <v>178</v>
      </c>
      <c r="H460" s="7">
        <v>78010382</v>
      </c>
      <c r="I460" s="5" t="s">
        <v>574</v>
      </c>
      <c r="J460" s="5" t="s">
        <v>555</v>
      </c>
      <c r="K460" s="5" t="s">
        <v>552</v>
      </c>
      <c r="L460" s="5" t="s">
        <v>60</v>
      </c>
      <c r="M460" s="5"/>
      <c r="N460" s="6"/>
      <c r="O460" s="6"/>
    </row>
    <row r="461" spans="1:15">
      <c r="A461" s="5" t="s">
        <v>554</v>
      </c>
      <c r="B461" s="5" t="s">
        <v>30</v>
      </c>
      <c r="C461" s="5" t="s">
        <v>91</v>
      </c>
      <c r="D461" s="5" t="s">
        <v>24</v>
      </c>
      <c r="E461" s="7" t="s">
        <v>555</v>
      </c>
      <c r="F461" s="7">
        <v>901459</v>
      </c>
      <c r="G461" s="5" t="s">
        <v>178</v>
      </c>
      <c r="H461" s="7">
        <v>78010383</v>
      </c>
      <c r="I461" s="5" t="s">
        <v>575</v>
      </c>
      <c r="J461" s="5" t="s">
        <v>555</v>
      </c>
      <c r="K461" s="5" t="s">
        <v>552</v>
      </c>
      <c r="L461" s="5" t="s">
        <v>60</v>
      </c>
      <c r="M461" s="5"/>
      <c r="N461" s="6"/>
      <c r="O461" s="6"/>
    </row>
    <row r="462" spans="1:15">
      <c r="A462" s="5" t="s">
        <v>554</v>
      </c>
      <c r="B462" s="5" t="s">
        <v>30</v>
      </c>
      <c r="C462" s="5" t="s">
        <v>107</v>
      </c>
      <c r="D462" s="5" t="s">
        <v>19</v>
      </c>
      <c r="E462" s="7" t="s">
        <v>560</v>
      </c>
      <c r="F462" s="7">
        <v>901460</v>
      </c>
      <c r="G462" s="5" t="s">
        <v>179</v>
      </c>
      <c r="H462" s="7">
        <v>78010384</v>
      </c>
      <c r="I462" s="5" t="s">
        <v>576</v>
      </c>
      <c r="J462" s="5" t="s">
        <v>555</v>
      </c>
      <c r="K462" s="5" t="s">
        <v>552</v>
      </c>
      <c r="L462" s="5" t="s">
        <v>60</v>
      </c>
      <c r="M462" s="5"/>
      <c r="N462" s="6"/>
      <c r="O462" s="6"/>
    </row>
    <row r="463" spans="1:15">
      <c r="A463" s="5" t="s">
        <v>554</v>
      </c>
      <c r="B463" s="5" t="s">
        <v>30</v>
      </c>
      <c r="C463" s="5" t="s">
        <v>107</v>
      </c>
      <c r="D463" s="5" t="s">
        <v>19</v>
      </c>
      <c r="E463" s="7" t="s">
        <v>555</v>
      </c>
      <c r="F463" s="7">
        <v>901461</v>
      </c>
      <c r="G463" s="5" t="s">
        <v>178</v>
      </c>
      <c r="H463" s="7">
        <v>78010385</v>
      </c>
      <c r="I463" s="5" t="s">
        <v>577</v>
      </c>
      <c r="J463" s="5" t="s">
        <v>555</v>
      </c>
      <c r="K463" s="5" t="s">
        <v>552</v>
      </c>
      <c r="L463" s="5" t="s">
        <v>60</v>
      </c>
      <c r="M463" s="5"/>
      <c r="N463" s="6"/>
      <c r="O463" s="6"/>
    </row>
    <row r="464" spans="1:15">
      <c r="A464" s="5" t="s">
        <v>554</v>
      </c>
      <c r="B464" s="5" t="s">
        <v>30</v>
      </c>
      <c r="C464" s="5" t="s">
        <v>91</v>
      </c>
      <c r="D464" s="5" t="s">
        <v>24</v>
      </c>
      <c r="E464" s="7" t="s">
        <v>555</v>
      </c>
      <c r="F464" s="7">
        <v>901462</v>
      </c>
      <c r="G464" s="5" t="s">
        <v>178</v>
      </c>
      <c r="H464" s="7">
        <v>78010386</v>
      </c>
      <c r="I464" s="5" t="s">
        <v>578</v>
      </c>
      <c r="J464" s="5" t="s">
        <v>555</v>
      </c>
      <c r="K464" s="5" t="s">
        <v>552</v>
      </c>
      <c r="L464" s="5" t="s">
        <v>60</v>
      </c>
      <c r="M464" s="5"/>
      <c r="N464" s="6"/>
      <c r="O464" s="6"/>
    </row>
    <row r="465" spans="1:15">
      <c r="A465" s="5" t="s">
        <v>554</v>
      </c>
      <c r="B465" s="5" t="s">
        <v>54</v>
      </c>
      <c r="C465" s="5" t="s">
        <v>75</v>
      </c>
      <c r="D465" s="5" t="s">
        <v>25</v>
      </c>
      <c r="E465" s="7" t="s">
        <v>555</v>
      </c>
      <c r="F465" s="7">
        <v>901463</v>
      </c>
      <c r="G465" s="5" t="s">
        <v>178</v>
      </c>
      <c r="H465" s="7">
        <v>78010387</v>
      </c>
      <c r="I465" s="5" t="s">
        <v>579</v>
      </c>
      <c r="J465" s="5" t="s">
        <v>555</v>
      </c>
      <c r="K465" s="5" t="s">
        <v>552</v>
      </c>
      <c r="L465" s="5" t="s">
        <v>60</v>
      </c>
      <c r="M465" s="5"/>
      <c r="N465" s="6"/>
      <c r="O465" s="6"/>
    </row>
    <row r="466" spans="1:15">
      <c r="A466" s="5" t="s">
        <v>554</v>
      </c>
      <c r="B466" s="5" t="s">
        <v>30</v>
      </c>
      <c r="C466" s="5" t="s">
        <v>91</v>
      </c>
      <c r="D466" s="5" t="s">
        <v>24</v>
      </c>
      <c r="E466" s="7" t="s">
        <v>555</v>
      </c>
      <c r="F466" s="7">
        <v>901464</v>
      </c>
      <c r="G466" s="5" t="s">
        <v>178</v>
      </c>
      <c r="H466" s="7">
        <v>78010388</v>
      </c>
      <c r="I466" s="5" t="s">
        <v>580</v>
      </c>
      <c r="J466" s="5" t="s">
        <v>555</v>
      </c>
      <c r="K466" s="5" t="s">
        <v>552</v>
      </c>
      <c r="L466" s="5" t="s">
        <v>60</v>
      </c>
      <c r="M466" s="5"/>
      <c r="N466" s="6"/>
      <c r="O466" s="6"/>
    </row>
    <row r="467" spans="1:15">
      <c r="A467" s="5" t="s">
        <v>554</v>
      </c>
      <c r="B467" s="5" t="s">
        <v>30</v>
      </c>
      <c r="C467" s="5" t="s">
        <v>107</v>
      </c>
      <c r="D467" s="5" t="s">
        <v>19</v>
      </c>
      <c r="E467" s="7" t="s">
        <v>555</v>
      </c>
      <c r="F467" s="7">
        <v>901465</v>
      </c>
      <c r="G467" s="5" t="s">
        <v>178</v>
      </c>
      <c r="H467" s="7">
        <v>78010389</v>
      </c>
      <c r="I467" s="5" t="s">
        <v>581</v>
      </c>
      <c r="J467" s="5" t="s">
        <v>555</v>
      </c>
      <c r="K467" s="5" t="s">
        <v>552</v>
      </c>
      <c r="L467" s="5" t="s">
        <v>60</v>
      </c>
      <c r="M467" s="5"/>
      <c r="N467" s="6"/>
      <c r="O467" s="6"/>
    </row>
    <row r="468" spans="1:15">
      <c r="A468" s="5" t="s">
        <v>554</v>
      </c>
      <c r="B468" s="5" t="s">
        <v>30</v>
      </c>
      <c r="C468" s="5" t="s">
        <v>107</v>
      </c>
      <c r="D468" s="5" t="s">
        <v>19</v>
      </c>
      <c r="E468" s="7" t="s">
        <v>555</v>
      </c>
      <c r="F468" s="7">
        <v>901466</v>
      </c>
      <c r="G468" s="5" t="s">
        <v>178</v>
      </c>
      <c r="H468" s="7">
        <v>78010390</v>
      </c>
      <c r="I468" s="5" t="s">
        <v>582</v>
      </c>
      <c r="J468" s="5" t="s">
        <v>555</v>
      </c>
      <c r="K468" s="5" t="s">
        <v>552</v>
      </c>
      <c r="L468" s="5" t="s">
        <v>60</v>
      </c>
      <c r="M468" s="5"/>
      <c r="N468" s="6"/>
      <c r="O468" s="6"/>
    </row>
    <row r="469" spans="1:15">
      <c r="A469" s="5" t="s">
        <v>554</v>
      </c>
      <c r="B469" s="5" t="s">
        <v>30</v>
      </c>
      <c r="C469" s="5" t="s">
        <v>107</v>
      </c>
      <c r="D469" s="5" t="s">
        <v>19</v>
      </c>
      <c r="E469" s="7" t="s">
        <v>555</v>
      </c>
      <c r="F469" s="7">
        <v>901467</v>
      </c>
      <c r="G469" s="5" t="s">
        <v>178</v>
      </c>
      <c r="H469" s="7">
        <v>78010391</v>
      </c>
      <c r="I469" s="5" t="s">
        <v>583</v>
      </c>
      <c r="J469" s="5" t="s">
        <v>555</v>
      </c>
      <c r="K469" s="5" t="s">
        <v>552</v>
      </c>
      <c r="L469" s="5" t="s">
        <v>60</v>
      </c>
      <c r="M469" s="5"/>
      <c r="N469" s="6"/>
      <c r="O469" s="6"/>
    </row>
    <row r="470" spans="1:15">
      <c r="A470" s="5" t="s">
        <v>554</v>
      </c>
      <c r="B470" s="5" t="s">
        <v>30</v>
      </c>
      <c r="C470" s="5" t="s">
        <v>107</v>
      </c>
      <c r="D470" s="5" t="s">
        <v>19</v>
      </c>
      <c r="E470" s="7" t="s">
        <v>555</v>
      </c>
      <c r="F470" s="7">
        <v>901468</v>
      </c>
      <c r="G470" s="5" t="s">
        <v>178</v>
      </c>
      <c r="H470" s="7">
        <v>78010392</v>
      </c>
      <c r="I470" s="5" t="s">
        <v>584</v>
      </c>
      <c r="J470" s="5" t="s">
        <v>555</v>
      </c>
      <c r="K470" s="5" t="s">
        <v>552</v>
      </c>
      <c r="L470" s="5" t="s">
        <v>60</v>
      </c>
      <c r="M470" s="5"/>
      <c r="N470" s="6"/>
      <c r="O470" s="6"/>
    </row>
    <row r="471" spans="1:15">
      <c r="A471" s="5" t="s">
        <v>554</v>
      </c>
      <c r="B471" s="5" t="s">
        <v>30</v>
      </c>
      <c r="C471" s="5" t="s">
        <v>107</v>
      </c>
      <c r="D471" s="5" t="s">
        <v>19</v>
      </c>
      <c r="E471" s="7" t="s">
        <v>555</v>
      </c>
      <c r="F471" s="7">
        <v>901469</v>
      </c>
      <c r="G471" s="5" t="s">
        <v>178</v>
      </c>
      <c r="H471" s="7">
        <v>78010393</v>
      </c>
      <c r="I471" s="5" t="s">
        <v>585</v>
      </c>
      <c r="J471" s="5" t="s">
        <v>555</v>
      </c>
      <c r="K471" s="5" t="s">
        <v>552</v>
      </c>
      <c r="L471" s="5" t="s">
        <v>60</v>
      </c>
      <c r="M471" s="5"/>
      <c r="N471" s="6"/>
      <c r="O471" s="6"/>
    </row>
    <row r="472" spans="1:15">
      <c r="A472" s="5" t="s">
        <v>554</v>
      </c>
      <c r="B472" s="5" t="s">
        <v>30</v>
      </c>
      <c r="C472" s="5" t="s">
        <v>107</v>
      </c>
      <c r="D472" s="5" t="s">
        <v>19</v>
      </c>
      <c r="E472" s="7" t="s">
        <v>555</v>
      </c>
      <c r="F472" s="7">
        <v>901470</v>
      </c>
      <c r="G472" s="5" t="s">
        <v>178</v>
      </c>
      <c r="H472" s="7">
        <v>78010394</v>
      </c>
      <c r="I472" s="5" t="s">
        <v>586</v>
      </c>
      <c r="J472" s="5" t="s">
        <v>555</v>
      </c>
      <c r="K472" s="5" t="s">
        <v>552</v>
      </c>
      <c r="L472" s="5" t="s">
        <v>60</v>
      </c>
      <c r="M472" s="5"/>
      <c r="N472" s="6"/>
      <c r="O472" s="6"/>
    </row>
    <row r="473" spans="1:15">
      <c r="A473" s="5" t="s">
        <v>554</v>
      </c>
      <c r="B473" s="5" t="s">
        <v>30</v>
      </c>
      <c r="C473" s="5" t="s">
        <v>107</v>
      </c>
      <c r="D473" s="5" t="s">
        <v>19</v>
      </c>
      <c r="E473" s="7" t="s">
        <v>555</v>
      </c>
      <c r="F473" s="7">
        <v>901471</v>
      </c>
      <c r="G473" s="5" t="s">
        <v>178</v>
      </c>
      <c r="H473" s="7">
        <v>78010395</v>
      </c>
      <c r="I473" s="5" t="s">
        <v>587</v>
      </c>
      <c r="J473" s="5" t="s">
        <v>555</v>
      </c>
      <c r="K473" s="5" t="s">
        <v>552</v>
      </c>
      <c r="L473" s="5" t="s">
        <v>60</v>
      </c>
      <c r="M473" s="5"/>
      <c r="N473" s="6"/>
      <c r="O473" s="6"/>
    </row>
    <row r="474" spans="1:15">
      <c r="A474" s="5" t="s">
        <v>554</v>
      </c>
      <c r="B474" s="5" t="s">
        <v>30</v>
      </c>
      <c r="C474" s="5" t="s">
        <v>107</v>
      </c>
      <c r="D474" s="5" t="s">
        <v>19</v>
      </c>
      <c r="E474" s="7" t="s">
        <v>555</v>
      </c>
      <c r="F474" s="7">
        <v>901472</v>
      </c>
      <c r="G474" s="5" t="s">
        <v>178</v>
      </c>
      <c r="H474" s="7">
        <v>78010396</v>
      </c>
      <c r="I474" s="5" t="s">
        <v>588</v>
      </c>
      <c r="J474" s="5" t="s">
        <v>555</v>
      </c>
      <c r="K474" s="5" t="s">
        <v>552</v>
      </c>
      <c r="L474" s="5" t="s">
        <v>60</v>
      </c>
      <c r="M474" s="5"/>
      <c r="N474" s="6"/>
      <c r="O474" s="6"/>
    </row>
    <row r="475" spans="1:15">
      <c r="A475" s="5" t="s">
        <v>554</v>
      </c>
      <c r="B475" s="5" t="s">
        <v>30</v>
      </c>
      <c r="C475" s="5" t="s">
        <v>107</v>
      </c>
      <c r="D475" s="5" t="s">
        <v>19</v>
      </c>
      <c r="E475" s="7" t="s">
        <v>555</v>
      </c>
      <c r="F475" s="7">
        <v>901473</v>
      </c>
      <c r="G475" s="5" t="s">
        <v>178</v>
      </c>
      <c r="H475" s="7">
        <v>78010397</v>
      </c>
      <c r="I475" s="5" t="s">
        <v>589</v>
      </c>
      <c r="J475" s="5" t="s">
        <v>555</v>
      </c>
      <c r="K475" s="5" t="s">
        <v>552</v>
      </c>
      <c r="L475" s="5" t="s">
        <v>60</v>
      </c>
      <c r="M475" s="5"/>
      <c r="N475" s="6"/>
      <c r="O475" s="6"/>
    </row>
    <row r="476" spans="1:15">
      <c r="A476" s="5" t="s">
        <v>554</v>
      </c>
      <c r="B476" s="5" t="s">
        <v>30</v>
      </c>
      <c r="C476" s="5" t="s">
        <v>107</v>
      </c>
      <c r="D476" s="5" t="s">
        <v>19</v>
      </c>
      <c r="E476" s="7" t="s">
        <v>555</v>
      </c>
      <c r="F476" s="7">
        <v>901474</v>
      </c>
      <c r="G476" s="5" t="s">
        <v>178</v>
      </c>
      <c r="H476" s="7">
        <v>78010398</v>
      </c>
      <c r="I476" s="5" t="s">
        <v>590</v>
      </c>
      <c r="J476" s="5" t="s">
        <v>555</v>
      </c>
      <c r="K476" s="5" t="s">
        <v>552</v>
      </c>
      <c r="L476" s="5" t="s">
        <v>60</v>
      </c>
      <c r="M476" s="5"/>
      <c r="N476" s="6"/>
      <c r="O476" s="6"/>
    </row>
    <row r="477" spans="1:15">
      <c r="A477" s="5" t="s">
        <v>554</v>
      </c>
      <c r="B477" s="5" t="s">
        <v>30</v>
      </c>
      <c r="C477" s="5" t="s">
        <v>107</v>
      </c>
      <c r="D477" s="5" t="s">
        <v>19</v>
      </c>
      <c r="E477" s="7" t="s">
        <v>555</v>
      </c>
      <c r="F477" s="7">
        <v>901475</v>
      </c>
      <c r="G477" s="5" t="s">
        <v>178</v>
      </c>
      <c r="H477" s="7">
        <v>78010399</v>
      </c>
      <c r="I477" s="5" t="s">
        <v>591</v>
      </c>
      <c r="J477" s="5" t="s">
        <v>555</v>
      </c>
      <c r="K477" s="5" t="s">
        <v>552</v>
      </c>
      <c r="L477" s="5" t="s">
        <v>60</v>
      </c>
      <c r="M477" s="5"/>
      <c r="N477" s="6"/>
      <c r="O477" s="6"/>
    </row>
    <row r="478" spans="1:15">
      <c r="A478" s="5" t="s">
        <v>554</v>
      </c>
      <c r="B478" s="5" t="s">
        <v>30</v>
      </c>
      <c r="C478" s="5" t="s">
        <v>107</v>
      </c>
      <c r="D478" s="5" t="s">
        <v>19</v>
      </c>
      <c r="E478" s="7" t="s">
        <v>555</v>
      </c>
      <c r="F478" s="7">
        <v>901476</v>
      </c>
      <c r="G478" s="5" t="s">
        <v>178</v>
      </c>
      <c r="H478" s="7">
        <v>78010400</v>
      </c>
      <c r="I478" s="5" t="s">
        <v>592</v>
      </c>
      <c r="J478" s="5" t="s">
        <v>555</v>
      </c>
      <c r="K478" s="5" t="s">
        <v>552</v>
      </c>
      <c r="L478" s="5" t="s">
        <v>60</v>
      </c>
      <c r="M478" s="5"/>
      <c r="N478" s="6"/>
      <c r="O478" s="6"/>
    </row>
    <row r="479" spans="1:15">
      <c r="A479" s="5" t="s">
        <v>554</v>
      </c>
      <c r="B479" s="5" t="s">
        <v>54</v>
      </c>
      <c r="C479" s="5" t="s">
        <v>75</v>
      </c>
      <c r="D479" s="5" t="s">
        <v>25</v>
      </c>
      <c r="E479" s="7" t="s">
        <v>555</v>
      </c>
      <c r="F479" s="7">
        <v>901477</v>
      </c>
      <c r="G479" s="5" t="s">
        <v>178</v>
      </c>
      <c r="H479" s="7">
        <v>78010401</v>
      </c>
      <c r="I479" s="5" t="s">
        <v>593</v>
      </c>
      <c r="J479" s="5" t="s">
        <v>555</v>
      </c>
      <c r="K479" s="5" t="s">
        <v>552</v>
      </c>
      <c r="L479" s="5" t="s">
        <v>60</v>
      </c>
      <c r="M479" s="5"/>
      <c r="N479" s="6"/>
      <c r="O479" s="6"/>
    </row>
    <row r="480" spans="1:15">
      <c r="A480" s="5" t="s">
        <v>554</v>
      </c>
      <c r="B480" s="5" t="s">
        <v>30</v>
      </c>
      <c r="C480" s="5" t="s">
        <v>107</v>
      </c>
      <c r="D480" s="5" t="s">
        <v>19</v>
      </c>
      <c r="E480" s="7" t="s">
        <v>555</v>
      </c>
      <c r="F480" s="7">
        <v>901478</v>
      </c>
      <c r="G480" s="5" t="s">
        <v>178</v>
      </c>
      <c r="H480" s="7">
        <v>78010402</v>
      </c>
      <c r="I480" s="5" t="s">
        <v>594</v>
      </c>
      <c r="J480" s="5" t="s">
        <v>555</v>
      </c>
      <c r="K480" s="5" t="s">
        <v>552</v>
      </c>
      <c r="L480" s="5" t="s">
        <v>60</v>
      </c>
      <c r="M480" s="5"/>
      <c r="N480" s="6"/>
      <c r="O480" s="6"/>
    </row>
    <row r="481" spans="1:15">
      <c r="A481" s="5" t="s">
        <v>554</v>
      </c>
      <c r="B481" s="5" t="s">
        <v>30</v>
      </c>
      <c r="C481" s="5" t="s">
        <v>107</v>
      </c>
      <c r="D481" s="5" t="s">
        <v>19</v>
      </c>
      <c r="E481" s="7" t="s">
        <v>555</v>
      </c>
      <c r="F481" s="7">
        <v>901479</v>
      </c>
      <c r="G481" s="5" t="s">
        <v>178</v>
      </c>
      <c r="H481" s="7">
        <v>78010403</v>
      </c>
      <c r="I481" s="5" t="s">
        <v>595</v>
      </c>
      <c r="J481" s="5" t="s">
        <v>555</v>
      </c>
      <c r="K481" s="5" t="s">
        <v>552</v>
      </c>
      <c r="L481" s="5" t="s">
        <v>60</v>
      </c>
      <c r="M481" s="5"/>
      <c r="N481" s="6"/>
      <c r="O481" s="6"/>
    </row>
    <row r="482" spans="1:15">
      <c r="A482" s="5" t="s">
        <v>554</v>
      </c>
      <c r="B482" s="5" t="s">
        <v>30</v>
      </c>
      <c r="C482" s="5" t="s">
        <v>107</v>
      </c>
      <c r="D482" s="5" t="s">
        <v>19</v>
      </c>
      <c r="E482" s="7" t="s">
        <v>555</v>
      </c>
      <c r="F482" s="7">
        <v>901480</v>
      </c>
      <c r="G482" s="5" t="s">
        <v>178</v>
      </c>
      <c r="H482" s="7">
        <v>78010404</v>
      </c>
      <c r="I482" s="5" t="s">
        <v>596</v>
      </c>
      <c r="J482" s="5" t="s">
        <v>555</v>
      </c>
      <c r="K482" s="5" t="s">
        <v>552</v>
      </c>
      <c r="L482" s="5" t="s">
        <v>60</v>
      </c>
      <c r="M482" s="5"/>
      <c r="N482" s="6"/>
      <c r="O482" s="6"/>
    </row>
    <row r="483" spans="1:15">
      <c r="A483" s="5" t="s">
        <v>554</v>
      </c>
      <c r="B483" s="5" t="s">
        <v>30</v>
      </c>
      <c r="C483" s="5" t="s">
        <v>107</v>
      </c>
      <c r="D483" s="5" t="s">
        <v>19</v>
      </c>
      <c r="E483" s="7" t="s">
        <v>555</v>
      </c>
      <c r="F483" s="7">
        <v>901481</v>
      </c>
      <c r="G483" s="5" t="s">
        <v>178</v>
      </c>
      <c r="H483" s="7">
        <v>78010405</v>
      </c>
      <c r="I483" s="5" t="s">
        <v>597</v>
      </c>
      <c r="J483" s="5" t="s">
        <v>555</v>
      </c>
      <c r="K483" s="5" t="s">
        <v>552</v>
      </c>
      <c r="L483" s="5" t="s">
        <v>60</v>
      </c>
      <c r="M483" s="5"/>
      <c r="N483" s="6"/>
      <c r="O483" s="6"/>
    </row>
    <row r="484" spans="1:15">
      <c r="A484" s="5" t="s">
        <v>554</v>
      </c>
      <c r="B484" s="5" t="s">
        <v>30</v>
      </c>
      <c r="C484" s="5" t="s">
        <v>107</v>
      </c>
      <c r="D484" s="5" t="s">
        <v>19</v>
      </c>
      <c r="E484" s="7" t="s">
        <v>555</v>
      </c>
      <c r="F484" s="7">
        <v>901482</v>
      </c>
      <c r="G484" s="5" t="s">
        <v>178</v>
      </c>
      <c r="H484" s="7">
        <v>78010406</v>
      </c>
      <c r="I484" s="5" t="s">
        <v>598</v>
      </c>
      <c r="J484" s="5" t="s">
        <v>555</v>
      </c>
      <c r="K484" s="5" t="s">
        <v>552</v>
      </c>
      <c r="L484" s="5" t="s">
        <v>60</v>
      </c>
      <c r="M484" s="5"/>
      <c r="N484" s="6"/>
      <c r="O484" s="6"/>
    </row>
    <row r="485" spans="1:15">
      <c r="A485" s="5" t="s">
        <v>554</v>
      </c>
      <c r="B485" s="5" t="s">
        <v>54</v>
      </c>
      <c r="C485" s="5" t="s">
        <v>91</v>
      </c>
      <c r="D485" s="5" t="s">
        <v>22</v>
      </c>
      <c r="E485" s="7" t="s">
        <v>555</v>
      </c>
      <c r="F485" s="7">
        <v>901483</v>
      </c>
      <c r="G485" s="5" t="s">
        <v>178</v>
      </c>
      <c r="H485" s="7">
        <v>78010407</v>
      </c>
      <c r="I485" s="5" t="s">
        <v>599</v>
      </c>
      <c r="J485" s="5" t="s">
        <v>555</v>
      </c>
      <c r="K485" s="5" t="s">
        <v>552</v>
      </c>
      <c r="L485" s="5" t="s">
        <v>60</v>
      </c>
      <c r="M485" s="5"/>
      <c r="N485" s="6"/>
      <c r="O485" s="6"/>
    </row>
    <row r="486" spans="1:15">
      <c r="A486" s="5" t="s">
        <v>554</v>
      </c>
      <c r="B486" s="5" t="s">
        <v>54</v>
      </c>
      <c r="C486" s="5" t="s">
        <v>91</v>
      </c>
      <c r="D486" s="5" t="s">
        <v>22</v>
      </c>
      <c r="E486" s="7" t="s">
        <v>555</v>
      </c>
      <c r="F486" s="7">
        <v>901484</v>
      </c>
      <c r="G486" s="5" t="s">
        <v>178</v>
      </c>
      <c r="H486" s="7">
        <v>78010408</v>
      </c>
      <c r="I486" s="5" t="s">
        <v>600</v>
      </c>
      <c r="J486" s="5" t="s">
        <v>555</v>
      </c>
      <c r="K486" s="5" t="s">
        <v>552</v>
      </c>
      <c r="L486" s="5" t="s">
        <v>60</v>
      </c>
      <c r="M486" s="5"/>
      <c r="N486" s="6"/>
      <c r="O486" s="6"/>
    </row>
    <row r="487" spans="1:15">
      <c r="A487" s="5" t="s">
        <v>554</v>
      </c>
      <c r="B487" s="5" t="s">
        <v>54</v>
      </c>
      <c r="C487" s="5" t="s">
        <v>91</v>
      </c>
      <c r="D487" s="5" t="s">
        <v>22</v>
      </c>
      <c r="E487" s="7" t="s">
        <v>555</v>
      </c>
      <c r="F487" s="7">
        <v>901485</v>
      </c>
      <c r="G487" s="5" t="s">
        <v>178</v>
      </c>
      <c r="H487" s="7">
        <v>78010409</v>
      </c>
      <c r="I487" s="5" t="s">
        <v>601</v>
      </c>
      <c r="J487" s="5" t="s">
        <v>555</v>
      </c>
      <c r="K487" s="5" t="s">
        <v>552</v>
      </c>
      <c r="L487" s="5" t="s">
        <v>60</v>
      </c>
      <c r="M487" s="5"/>
      <c r="N487" s="6"/>
      <c r="O487" s="6"/>
    </row>
    <row r="488" spans="1:15">
      <c r="A488" s="5" t="s">
        <v>554</v>
      </c>
      <c r="B488" s="5" t="s">
        <v>54</v>
      </c>
      <c r="C488" s="5" t="s">
        <v>102</v>
      </c>
      <c r="D488" s="5" t="s">
        <v>26</v>
      </c>
      <c r="E488" s="7" t="s">
        <v>555</v>
      </c>
      <c r="F488" s="7">
        <v>901486</v>
      </c>
      <c r="G488" s="5" t="s">
        <v>178</v>
      </c>
      <c r="H488" s="7">
        <v>78010410</v>
      </c>
      <c r="I488" s="5" t="s">
        <v>602</v>
      </c>
      <c r="J488" s="5" t="s">
        <v>555</v>
      </c>
      <c r="K488" s="5" t="s">
        <v>552</v>
      </c>
      <c r="L488" s="5" t="s">
        <v>60</v>
      </c>
      <c r="M488" s="5"/>
      <c r="N488" s="6"/>
      <c r="O488" s="6"/>
    </row>
    <row r="489" spans="1:15">
      <c r="A489" s="5" t="s">
        <v>223</v>
      </c>
      <c r="B489" s="5" t="s">
        <v>54</v>
      </c>
      <c r="C489" s="5" t="s">
        <v>55</v>
      </c>
      <c r="D489" s="5" t="s">
        <v>28</v>
      </c>
      <c r="E489" s="7" t="s">
        <v>72</v>
      </c>
      <c r="F489" s="7">
        <v>901487</v>
      </c>
      <c r="G489" s="5" t="s">
        <v>181</v>
      </c>
      <c r="H489" s="7"/>
      <c r="I489" s="5"/>
      <c r="J489" s="5"/>
      <c r="K489" s="5"/>
      <c r="L489" s="5" t="s">
        <v>63</v>
      </c>
      <c r="M489" s="5"/>
      <c r="N489" s="6"/>
      <c r="O489" s="6"/>
    </row>
    <row r="490" spans="1:15">
      <c r="A490" s="5" t="s">
        <v>223</v>
      </c>
      <c r="B490" s="5" t="s">
        <v>54</v>
      </c>
      <c r="C490" s="5" t="s">
        <v>55</v>
      </c>
      <c r="D490" s="5" t="s">
        <v>28</v>
      </c>
      <c r="E490" s="7" t="s">
        <v>72</v>
      </c>
      <c r="F490" s="7">
        <v>901488</v>
      </c>
      <c r="G490" s="5" t="s">
        <v>181</v>
      </c>
      <c r="H490" s="7"/>
      <c r="I490" s="5"/>
      <c r="J490" s="5"/>
      <c r="K490" s="5"/>
      <c r="L490" s="5" t="s">
        <v>63</v>
      </c>
      <c r="M490" s="5"/>
      <c r="N490" s="6"/>
      <c r="O490" s="6"/>
    </row>
    <row r="491" spans="1:15">
      <c r="A491" s="5" t="s">
        <v>223</v>
      </c>
      <c r="B491" s="5" t="s">
        <v>54</v>
      </c>
      <c r="C491" s="5" t="s">
        <v>107</v>
      </c>
      <c r="D491" s="5" t="s">
        <v>27</v>
      </c>
      <c r="E491" s="7" t="s">
        <v>72</v>
      </c>
      <c r="F491" s="7">
        <v>901489</v>
      </c>
      <c r="G491" s="5" t="s">
        <v>181</v>
      </c>
      <c r="H491" s="7"/>
      <c r="I491" s="5"/>
      <c r="J491" s="5"/>
      <c r="K491" s="5"/>
      <c r="L491" s="5" t="s">
        <v>63</v>
      </c>
      <c r="M491" s="5"/>
      <c r="N491" s="6"/>
      <c r="O491" s="6"/>
    </row>
    <row r="492" spans="1:15">
      <c r="A492" s="5" t="s">
        <v>223</v>
      </c>
      <c r="B492" s="5" t="s">
        <v>54</v>
      </c>
      <c r="C492" s="5" t="s">
        <v>91</v>
      </c>
      <c r="D492" s="5" t="s">
        <v>25</v>
      </c>
      <c r="E492" s="7" t="s">
        <v>72</v>
      </c>
      <c r="F492" s="7">
        <v>901490</v>
      </c>
      <c r="G492" s="5" t="s">
        <v>181</v>
      </c>
      <c r="H492" s="7"/>
      <c r="I492" s="5"/>
      <c r="J492" s="5"/>
      <c r="K492" s="5"/>
      <c r="L492" s="5" t="s">
        <v>63</v>
      </c>
      <c r="M492" s="5"/>
      <c r="N492" s="6"/>
      <c r="O492" s="6"/>
    </row>
    <row r="493" spans="1:15">
      <c r="A493" s="5" t="s">
        <v>223</v>
      </c>
      <c r="B493" s="5" t="s">
        <v>31</v>
      </c>
      <c r="C493" s="5" t="s">
        <v>65</v>
      </c>
      <c r="D493" s="5" t="s">
        <v>10</v>
      </c>
      <c r="E493" s="7" t="s">
        <v>99</v>
      </c>
      <c r="F493" s="7">
        <v>901491</v>
      </c>
      <c r="G493" s="5" t="s">
        <v>296</v>
      </c>
      <c r="H493" s="7"/>
      <c r="I493" s="5"/>
      <c r="J493" s="5"/>
      <c r="K493" s="5"/>
      <c r="L493" s="5" t="s">
        <v>63</v>
      </c>
      <c r="M493" s="5"/>
      <c r="N493" s="6" t="s">
        <v>85</v>
      </c>
      <c r="O493" s="6"/>
    </row>
    <row r="494" spans="1:15">
      <c r="A494" s="5" t="s">
        <v>223</v>
      </c>
      <c r="B494" s="5" t="s">
        <v>54</v>
      </c>
      <c r="C494" s="5" t="s">
        <v>61</v>
      </c>
      <c r="D494" s="5" t="s">
        <v>15</v>
      </c>
      <c r="E494" s="7" t="s">
        <v>128</v>
      </c>
      <c r="F494" s="7">
        <v>901492</v>
      </c>
      <c r="G494" s="5" t="s">
        <v>183</v>
      </c>
      <c r="H494" s="7"/>
      <c r="I494" s="5"/>
      <c r="J494" s="5"/>
      <c r="K494" s="5"/>
      <c r="L494" s="5" t="s">
        <v>63</v>
      </c>
      <c r="M494" s="5"/>
      <c r="N494" s="6"/>
      <c r="O494" s="6"/>
    </row>
    <row r="495" spans="1:15">
      <c r="A495" s="5" t="s">
        <v>223</v>
      </c>
      <c r="B495" s="5" t="s">
        <v>54</v>
      </c>
      <c r="C495" s="5" t="s">
        <v>61</v>
      </c>
      <c r="D495" s="5" t="s">
        <v>15</v>
      </c>
      <c r="E495" s="7" t="s">
        <v>72</v>
      </c>
      <c r="F495" s="7">
        <v>901493</v>
      </c>
      <c r="G495" s="5" t="s">
        <v>186</v>
      </c>
      <c r="H495" s="7"/>
      <c r="I495" s="5"/>
      <c r="J495" s="5"/>
      <c r="K495" s="5"/>
      <c r="L495" s="5" t="s">
        <v>63</v>
      </c>
      <c r="M495" s="5"/>
      <c r="N495" s="6"/>
      <c r="O495" s="6"/>
    </row>
    <row r="496" spans="1:15">
      <c r="A496" s="5" t="s">
        <v>223</v>
      </c>
      <c r="B496" s="5" t="s">
        <v>54</v>
      </c>
      <c r="C496" s="5" t="s">
        <v>61</v>
      </c>
      <c r="D496" s="5" t="s">
        <v>15</v>
      </c>
      <c r="E496" s="7" t="s">
        <v>72</v>
      </c>
      <c r="F496" s="7">
        <v>901494</v>
      </c>
      <c r="G496" s="5" t="s">
        <v>188</v>
      </c>
      <c r="H496" s="7"/>
      <c r="I496" s="5"/>
      <c r="J496" s="5"/>
      <c r="K496" s="5"/>
      <c r="L496" s="5" t="s">
        <v>63</v>
      </c>
      <c r="M496" s="5"/>
      <c r="N496" s="6"/>
      <c r="O496" s="6"/>
    </row>
    <row r="497" spans="1:15">
      <c r="A497" s="5" t="s">
        <v>223</v>
      </c>
      <c r="B497" s="5" t="s">
        <v>54</v>
      </c>
      <c r="C497" s="5" t="s">
        <v>61</v>
      </c>
      <c r="D497" s="5" t="s">
        <v>15</v>
      </c>
      <c r="E497" s="7" t="s">
        <v>210</v>
      </c>
      <c r="F497" s="7">
        <v>901495</v>
      </c>
      <c r="G497" s="5" t="s">
        <v>190</v>
      </c>
      <c r="H497" s="7"/>
      <c r="I497" s="5"/>
      <c r="J497" s="5"/>
      <c r="K497" s="5"/>
      <c r="L497" s="5" t="s">
        <v>63</v>
      </c>
      <c r="M497" s="5"/>
      <c r="N497" s="6" t="s">
        <v>85</v>
      </c>
      <c r="O497" s="6"/>
    </row>
    <row r="498" spans="1:15">
      <c r="A498" s="5" t="s">
        <v>223</v>
      </c>
      <c r="B498" s="5" t="s">
        <v>54</v>
      </c>
      <c r="C498" s="5" t="s">
        <v>61</v>
      </c>
      <c r="D498" s="5" t="s">
        <v>15</v>
      </c>
      <c r="E498" s="7" t="s">
        <v>210</v>
      </c>
      <c r="F498" s="7">
        <v>901496</v>
      </c>
      <c r="G498" s="5" t="s">
        <v>193</v>
      </c>
      <c r="H498" s="7"/>
      <c r="I498" s="5"/>
      <c r="J498" s="5"/>
      <c r="K498" s="5"/>
      <c r="L498" s="5" t="s">
        <v>63</v>
      </c>
      <c r="M498" s="5"/>
      <c r="N498" s="6" t="s">
        <v>85</v>
      </c>
      <c r="O498" s="6"/>
    </row>
    <row r="499" spans="1:15">
      <c r="A499" s="5" t="s">
        <v>223</v>
      </c>
      <c r="B499" s="5" t="s">
        <v>54</v>
      </c>
      <c r="C499" s="5" t="s">
        <v>61</v>
      </c>
      <c r="D499" s="5" t="s">
        <v>15</v>
      </c>
      <c r="E499" s="7" t="s">
        <v>56</v>
      </c>
      <c r="F499" s="7">
        <v>901497</v>
      </c>
      <c r="G499" s="5" t="s">
        <v>193</v>
      </c>
      <c r="H499" s="7"/>
      <c r="I499" s="5"/>
      <c r="J499" s="5"/>
      <c r="K499" s="5"/>
      <c r="L499" s="5" t="s">
        <v>63</v>
      </c>
      <c r="M499" s="5"/>
      <c r="N499" s="6"/>
      <c r="O499" s="6"/>
    </row>
    <row r="500" spans="1:15">
      <c r="A500" s="5" t="s">
        <v>223</v>
      </c>
      <c r="B500" s="5" t="s">
        <v>54</v>
      </c>
      <c r="C500" s="5" t="s">
        <v>61</v>
      </c>
      <c r="D500" s="5" t="s">
        <v>15</v>
      </c>
      <c r="E500" s="7" t="s">
        <v>56</v>
      </c>
      <c r="F500" s="7">
        <v>901498</v>
      </c>
      <c r="G500" s="5" t="s">
        <v>193</v>
      </c>
      <c r="H500" s="7"/>
      <c r="I500" s="5"/>
      <c r="J500" s="5"/>
      <c r="K500" s="5"/>
      <c r="L500" s="5" t="s">
        <v>63</v>
      </c>
      <c r="M500" s="5"/>
      <c r="N500" s="6"/>
      <c r="O500" s="6"/>
    </row>
    <row r="501" spans="1:15">
      <c r="A501" s="5" t="s">
        <v>223</v>
      </c>
      <c r="B501" s="5" t="s">
        <v>54</v>
      </c>
      <c r="C501" s="5" t="s">
        <v>61</v>
      </c>
      <c r="D501" s="5" t="s">
        <v>15</v>
      </c>
      <c r="E501" s="7" t="s">
        <v>56</v>
      </c>
      <c r="F501" s="7">
        <v>901499</v>
      </c>
      <c r="G501" s="5" t="s">
        <v>193</v>
      </c>
      <c r="H501" s="7"/>
      <c r="I501" s="5"/>
      <c r="J501" s="5"/>
      <c r="K501" s="5"/>
      <c r="L501" s="5" t="s">
        <v>63</v>
      </c>
      <c r="M501" s="5"/>
      <c r="N501" s="6"/>
      <c r="O501" s="6"/>
    </row>
    <row r="502" spans="1:15">
      <c r="A502" s="5" t="s">
        <v>223</v>
      </c>
      <c r="B502" s="5" t="s">
        <v>54</v>
      </c>
      <c r="C502" s="5" t="s">
        <v>61</v>
      </c>
      <c r="D502" s="5" t="s">
        <v>15</v>
      </c>
      <c r="E502" s="7" t="s">
        <v>56</v>
      </c>
      <c r="F502" s="7">
        <v>901500</v>
      </c>
      <c r="G502" s="5" t="s">
        <v>193</v>
      </c>
      <c r="H502" s="7"/>
      <c r="I502" s="5"/>
      <c r="J502" s="5"/>
      <c r="K502" s="5"/>
      <c r="L502" s="5" t="s">
        <v>63</v>
      </c>
      <c r="M502" s="5"/>
      <c r="N502" s="6"/>
      <c r="O502" s="6"/>
    </row>
    <row r="503" spans="1:15">
      <c r="A503" s="5" t="s">
        <v>223</v>
      </c>
      <c r="B503" s="5" t="s">
        <v>54</v>
      </c>
      <c r="C503" s="5" t="s">
        <v>61</v>
      </c>
      <c r="D503" s="5" t="s">
        <v>15</v>
      </c>
      <c r="E503" s="7" t="s">
        <v>72</v>
      </c>
      <c r="F503" s="7">
        <v>901501</v>
      </c>
      <c r="G503" s="5" t="s">
        <v>84</v>
      </c>
      <c r="H503" s="7"/>
      <c r="I503" s="5"/>
      <c r="J503" s="5"/>
      <c r="K503" s="5"/>
      <c r="L503" s="5" t="s">
        <v>63</v>
      </c>
      <c r="M503" s="5"/>
      <c r="N503" s="6"/>
      <c r="O503" s="6"/>
    </row>
    <row r="504" spans="1:15">
      <c r="A504" s="5" t="s">
        <v>223</v>
      </c>
      <c r="B504" s="5" t="s">
        <v>54</v>
      </c>
      <c r="C504" s="5" t="s">
        <v>61</v>
      </c>
      <c r="D504" s="5" t="s">
        <v>15</v>
      </c>
      <c r="E504" s="7" t="s">
        <v>495</v>
      </c>
      <c r="F504" s="7">
        <v>901502</v>
      </c>
      <c r="G504" s="5" t="s">
        <v>195</v>
      </c>
      <c r="H504" s="7"/>
      <c r="I504" s="5"/>
      <c r="J504" s="5"/>
      <c r="K504" s="5"/>
      <c r="L504" s="5" t="s">
        <v>63</v>
      </c>
      <c r="M504" s="5"/>
      <c r="N504" s="6"/>
      <c r="O504" s="6"/>
    </row>
    <row r="505" spans="1:15">
      <c r="A505" s="5" t="s">
        <v>223</v>
      </c>
      <c r="B505" s="5" t="s">
        <v>54</v>
      </c>
      <c r="C505" s="5" t="s">
        <v>61</v>
      </c>
      <c r="D505" s="5" t="s">
        <v>15</v>
      </c>
      <c r="E505" s="7" t="s">
        <v>72</v>
      </c>
      <c r="F505" s="7">
        <v>901503</v>
      </c>
      <c r="G505" s="5" t="s">
        <v>84</v>
      </c>
      <c r="H505" s="7"/>
      <c r="I505" s="5"/>
      <c r="J505" s="5"/>
      <c r="K505" s="5"/>
      <c r="L505" s="5" t="s">
        <v>63</v>
      </c>
      <c r="M505" s="5"/>
      <c r="N505" s="6"/>
      <c r="O505" s="6"/>
    </row>
    <row r="506" spans="1:15">
      <c r="A506" s="5" t="s">
        <v>223</v>
      </c>
      <c r="B506" s="5" t="s">
        <v>54</v>
      </c>
      <c r="C506" s="5" t="s">
        <v>61</v>
      </c>
      <c r="D506" s="5" t="s">
        <v>15</v>
      </c>
      <c r="E506" s="7" t="s">
        <v>69</v>
      </c>
      <c r="F506" s="7">
        <v>901504</v>
      </c>
      <c r="G506" s="5" t="s">
        <v>197</v>
      </c>
      <c r="H506" s="7"/>
      <c r="I506" s="5"/>
      <c r="J506" s="5"/>
      <c r="K506" s="5"/>
      <c r="L506" s="5" t="s">
        <v>63</v>
      </c>
      <c r="M506" s="5"/>
      <c r="N506" s="6" t="s">
        <v>85</v>
      </c>
      <c r="O506" s="6"/>
    </row>
    <row r="507" spans="1:15">
      <c r="A507" s="5" t="s">
        <v>223</v>
      </c>
      <c r="B507" s="5" t="s">
        <v>54</v>
      </c>
      <c r="C507" s="5" t="s">
        <v>96</v>
      </c>
      <c r="D507" s="5" t="s">
        <v>19</v>
      </c>
      <c r="E507" s="7" t="s">
        <v>99</v>
      </c>
      <c r="F507" s="7">
        <v>901505</v>
      </c>
      <c r="G507" s="5" t="s">
        <v>199</v>
      </c>
      <c r="H507" s="7"/>
      <c r="I507" s="5"/>
      <c r="J507" s="5"/>
      <c r="K507" s="5"/>
      <c r="L507" s="5" t="s">
        <v>63</v>
      </c>
      <c r="M507" s="5"/>
      <c r="N507" s="6" t="s">
        <v>85</v>
      </c>
      <c r="O507" s="6"/>
    </row>
    <row r="508" spans="1:15">
      <c r="A508" s="5" t="s">
        <v>223</v>
      </c>
      <c r="B508" s="5" t="s">
        <v>54</v>
      </c>
      <c r="C508" s="5" t="s">
        <v>96</v>
      </c>
      <c r="D508" s="5" t="s">
        <v>19</v>
      </c>
      <c r="E508" s="7" t="s">
        <v>56</v>
      </c>
      <c r="F508" s="7">
        <v>901506</v>
      </c>
      <c r="G508" s="5" t="s">
        <v>201</v>
      </c>
      <c r="H508" s="7"/>
      <c r="I508" s="5"/>
      <c r="J508" s="5"/>
      <c r="K508" s="5"/>
      <c r="L508" s="5" t="s">
        <v>63</v>
      </c>
      <c r="M508" s="5"/>
      <c r="N508" s="6" t="s">
        <v>85</v>
      </c>
      <c r="O508" s="6"/>
    </row>
    <row r="509" spans="1:15">
      <c r="A509" s="5" t="s">
        <v>53</v>
      </c>
      <c r="B509" s="5" t="s">
        <v>31</v>
      </c>
      <c r="C509" s="5" t="s">
        <v>75</v>
      </c>
      <c r="D509" s="5" t="s">
        <v>10</v>
      </c>
      <c r="E509" s="7" t="s">
        <v>69</v>
      </c>
      <c r="F509" s="7">
        <v>90001507</v>
      </c>
      <c r="G509" s="5" t="s">
        <v>203</v>
      </c>
      <c r="H509" s="7"/>
      <c r="I509" s="5"/>
      <c r="J509" s="5"/>
      <c r="K509" s="5"/>
      <c r="L509" s="5" t="s">
        <v>63</v>
      </c>
      <c r="M509" s="5"/>
      <c r="N509" s="6"/>
      <c r="O509" s="6"/>
    </row>
    <row r="510" spans="1:15">
      <c r="A510" s="5" t="s">
        <v>223</v>
      </c>
      <c r="B510" s="5" t="s">
        <v>31</v>
      </c>
      <c r="C510" s="5" t="s">
        <v>75</v>
      </c>
      <c r="D510" s="5" t="s">
        <v>10</v>
      </c>
      <c r="E510" s="7" t="s">
        <v>69</v>
      </c>
      <c r="F510" s="7">
        <v>901508</v>
      </c>
      <c r="G510" s="5" t="s">
        <v>183</v>
      </c>
      <c r="H510" s="7"/>
      <c r="I510" s="5"/>
      <c r="J510" s="5"/>
      <c r="K510" s="5"/>
      <c r="L510" s="5" t="s">
        <v>63</v>
      </c>
      <c r="M510" s="5"/>
      <c r="N510" s="6"/>
      <c r="O510" s="6"/>
    </row>
    <row r="511" spans="1:15">
      <c r="A511" s="5" t="s">
        <v>53</v>
      </c>
      <c r="B511" s="5" t="s">
        <v>54</v>
      </c>
      <c r="C511" s="5" t="s">
        <v>61</v>
      </c>
      <c r="D511" s="5" t="s">
        <v>16</v>
      </c>
      <c r="E511" s="7" t="s">
        <v>66</v>
      </c>
      <c r="F511" s="7">
        <v>901509</v>
      </c>
      <c r="G511" s="5" t="s">
        <v>211</v>
      </c>
      <c r="H511" s="7"/>
      <c r="I511" s="5"/>
      <c r="J511" s="5"/>
      <c r="K511" s="5"/>
      <c r="L511" s="5" t="s">
        <v>63</v>
      </c>
      <c r="M511" s="5"/>
      <c r="N511" s="6"/>
      <c r="O511" s="6"/>
    </row>
    <row r="512" spans="1:15">
      <c r="A512" s="5" t="s">
        <v>223</v>
      </c>
      <c r="B512" s="5" t="s">
        <v>54</v>
      </c>
      <c r="C512" s="5" t="s">
        <v>91</v>
      </c>
      <c r="D512" s="5" t="s">
        <v>21</v>
      </c>
      <c r="E512" s="7" t="s">
        <v>99</v>
      </c>
      <c r="F512" s="7">
        <v>901510</v>
      </c>
      <c r="G512" s="5" t="s">
        <v>213</v>
      </c>
      <c r="H512" s="7">
        <v>28010411</v>
      </c>
      <c r="I512" s="5" t="s">
        <v>603</v>
      </c>
      <c r="J512" s="5" t="s">
        <v>56</v>
      </c>
      <c r="K512" s="5" t="s">
        <v>59</v>
      </c>
      <c r="L512" s="5" t="s">
        <v>60</v>
      </c>
      <c r="M512" s="5"/>
      <c r="N512" s="6"/>
      <c r="O512" s="6"/>
    </row>
    <row r="513" spans="1:15">
      <c r="A513" s="5" t="s">
        <v>223</v>
      </c>
      <c r="B513" s="5" t="s">
        <v>54</v>
      </c>
      <c r="C513" s="5" t="s">
        <v>61</v>
      </c>
      <c r="D513" s="5" t="s">
        <v>16</v>
      </c>
      <c r="E513" s="7" t="s">
        <v>72</v>
      </c>
      <c r="F513" s="7">
        <v>901511</v>
      </c>
      <c r="G513" s="5" t="s">
        <v>215</v>
      </c>
      <c r="H513" s="7">
        <v>28010412</v>
      </c>
      <c r="I513" s="5" t="s">
        <v>604</v>
      </c>
      <c r="J513" s="5" t="s">
        <v>72</v>
      </c>
      <c r="K513" s="5" t="s">
        <v>59</v>
      </c>
      <c r="L513" s="5" t="s">
        <v>60</v>
      </c>
      <c r="M513" s="5"/>
      <c r="N513" s="6"/>
      <c r="O513" s="6"/>
    </row>
    <row r="514" spans="1:15">
      <c r="A514" s="5" t="s">
        <v>223</v>
      </c>
      <c r="B514" s="5" t="s">
        <v>54</v>
      </c>
      <c r="C514" s="5" t="s">
        <v>61</v>
      </c>
      <c r="D514" s="5" t="s">
        <v>16</v>
      </c>
      <c r="E514" s="7" t="s">
        <v>56</v>
      </c>
      <c r="F514" s="7">
        <v>901512</v>
      </c>
      <c r="G514" s="5" t="s">
        <v>215</v>
      </c>
      <c r="H514" s="8">
        <v>28010413</v>
      </c>
      <c r="I514" s="6" t="s">
        <v>605</v>
      </c>
      <c r="J514" s="5" t="s">
        <v>72</v>
      </c>
      <c r="K514" s="5" t="s">
        <v>59</v>
      </c>
      <c r="L514" s="5" t="s">
        <v>60</v>
      </c>
      <c r="M514" s="5"/>
      <c r="N514" s="6"/>
      <c r="O514" s="6"/>
    </row>
    <row r="515" spans="1:15">
      <c r="A515" s="5" t="s">
        <v>53</v>
      </c>
      <c r="B515" s="5" t="s">
        <v>54</v>
      </c>
      <c r="C515" s="5" t="s">
        <v>61</v>
      </c>
      <c r="D515" s="5" t="s">
        <v>16</v>
      </c>
      <c r="E515" s="7" t="s">
        <v>66</v>
      </c>
      <c r="F515" s="7">
        <v>901513</v>
      </c>
      <c r="G515" s="5" t="s">
        <v>211</v>
      </c>
      <c r="H515" s="7"/>
      <c r="I515" s="5"/>
      <c r="J515" s="5"/>
      <c r="K515" s="5"/>
      <c r="L515" s="5" t="s">
        <v>63</v>
      </c>
      <c r="M515" s="5"/>
      <c r="N515" s="6"/>
      <c r="O515" s="6"/>
    </row>
    <row r="516" spans="1:15">
      <c r="A516" s="5" t="s">
        <v>223</v>
      </c>
      <c r="B516" s="5" t="s">
        <v>54</v>
      </c>
      <c r="C516" s="5" t="s">
        <v>61</v>
      </c>
      <c r="D516" s="5" t="s">
        <v>15</v>
      </c>
      <c r="E516" s="7" t="s">
        <v>69</v>
      </c>
      <c r="F516" s="7">
        <v>901514</v>
      </c>
      <c r="G516" s="5" t="s">
        <v>217</v>
      </c>
      <c r="H516" s="7"/>
      <c r="I516" s="5"/>
      <c r="J516" s="5"/>
      <c r="K516" s="5"/>
      <c r="L516" s="5" t="s">
        <v>63</v>
      </c>
      <c r="M516" s="5"/>
      <c r="N516" s="6" t="s">
        <v>85</v>
      </c>
      <c r="O516" s="6"/>
    </row>
    <row r="517" spans="1:15">
      <c r="A517" s="5" t="s">
        <v>223</v>
      </c>
      <c r="B517" s="5" t="s">
        <v>54</v>
      </c>
      <c r="C517" s="5" t="s">
        <v>61</v>
      </c>
      <c r="D517" s="5" t="s">
        <v>15</v>
      </c>
      <c r="E517" s="7" t="s">
        <v>210</v>
      </c>
      <c r="F517" s="7">
        <v>901515</v>
      </c>
      <c r="G517" s="5" t="s">
        <v>220</v>
      </c>
      <c r="H517" s="7">
        <v>28010414</v>
      </c>
      <c r="I517" s="5" t="s">
        <v>606</v>
      </c>
      <c r="J517" s="5" t="s">
        <v>210</v>
      </c>
      <c r="K517" s="5" t="s">
        <v>59</v>
      </c>
      <c r="L517" s="5" t="s">
        <v>60</v>
      </c>
      <c r="M517" s="5"/>
      <c r="N517" s="6"/>
      <c r="O517" s="6"/>
    </row>
    <row r="518" spans="1:15">
      <c r="A518" s="5" t="s">
        <v>223</v>
      </c>
      <c r="B518" s="5" t="s">
        <v>54</v>
      </c>
      <c r="C518" s="5" t="s">
        <v>61</v>
      </c>
      <c r="D518" s="5" t="s">
        <v>15</v>
      </c>
      <c r="E518" s="7" t="s">
        <v>210</v>
      </c>
      <c r="F518" s="7">
        <v>901516</v>
      </c>
      <c r="G518" s="5" t="s">
        <v>221</v>
      </c>
      <c r="H518" s="7"/>
      <c r="I518" s="5"/>
      <c r="J518" s="5"/>
      <c r="K518" s="5"/>
      <c r="L518" s="5" t="s">
        <v>63</v>
      </c>
      <c r="M518" s="5"/>
      <c r="N518" s="6" t="s">
        <v>85</v>
      </c>
      <c r="O518" s="6"/>
    </row>
    <row r="519" spans="1:15">
      <c r="A519" s="5" t="s">
        <v>223</v>
      </c>
      <c r="B519" s="5" t="s">
        <v>54</v>
      </c>
      <c r="C519" s="5" t="s">
        <v>61</v>
      </c>
      <c r="D519" s="5" t="s">
        <v>15</v>
      </c>
      <c r="E519" s="7" t="s">
        <v>210</v>
      </c>
      <c r="F519" s="7">
        <v>901517</v>
      </c>
      <c r="G519" s="5" t="s">
        <v>224</v>
      </c>
      <c r="H519" s="7"/>
      <c r="I519" s="5"/>
      <c r="J519" s="5"/>
      <c r="K519" s="5"/>
      <c r="L519" s="5" t="s">
        <v>63</v>
      </c>
      <c r="M519" s="5"/>
      <c r="N519" s="6"/>
      <c r="O519" s="6"/>
    </row>
    <row r="520" spans="1:15">
      <c r="A520" s="5" t="s">
        <v>223</v>
      </c>
      <c r="B520" s="5" t="s">
        <v>54</v>
      </c>
      <c r="C520" s="5" t="s">
        <v>61</v>
      </c>
      <c r="D520" s="5" t="s">
        <v>15</v>
      </c>
      <c r="E520" s="7" t="s">
        <v>99</v>
      </c>
      <c r="F520" s="7">
        <v>901518</v>
      </c>
      <c r="G520" s="5" t="s">
        <v>224</v>
      </c>
      <c r="H520" s="7"/>
      <c r="I520" s="5"/>
      <c r="J520" s="5"/>
      <c r="K520" s="5"/>
      <c r="L520" s="5" t="s">
        <v>63</v>
      </c>
      <c r="M520" s="5"/>
      <c r="N520" s="6"/>
      <c r="O520" s="6"/>
    </row>
    <row r="521" spans="1:15">
      <c r="A521" s="5" t="s">
        <v>223</v>
      </c>
      <c r="B521" s="5" t="s">
        <v>54</v>
      </c>
      <c r="C521" s="5" t="s">
        <v>61</v>
      </c>
      <c r="D521" s="5" t="s">
        <v>15</v>
      </c>
      <c r="E521" s="7" t="s">
        <v>69</v>
      </c>
      <c r="F521" s="7">
        <v>901519</v>
      </c>
      <c r="G521" s="5" t="s">
        <v>226</v>
      </c>
      <c r="H521" s="7"/>
      <c r="I521" s="5"/>
      <c r="J521" s="5"/>
      <c r="K521" s="5"/>
      <c r="L521" s="5" t="s">
        <v>63</v>
      </c>
      <c r="M521" s="5"/>
      <c r="N521" s="6" t="s">
        <v>85</v>
      </c>
      <c r="O521" s="6"/>
    </row>
    <row r="522" spans="1:15">
      <c r="A522" s="5" t="s">
        <v>223</v>
      </c>
      <c r="B522" s="5" t="s">
        <v>54</v>
      </c>
      <c r="C522" s="5" t="s">
        <v>61</v>
      </c>
      <c r="D522" s="5" t="s">
        <v>15</v>
      </c>
      <c r="E522" s="7" t="s">
        <v>210</v>
      </c>
      <c r="F522" s="7">
        <v>901520</v>
      </c>
      <c r="G522" s="5" t="s">
        <v>228</v>
      </c>
      <c r="H522" s="7"/>
      <c r="I522" s="5"/>
      <c r="J522" s="5"/>
      <c r="K522" s="5"/>
      <c r="L522" s="5" t="s">
        <v>63</v>
      </c>
      <c r="M522" s="5"/>
      <c r="N522" s="6"/>
      <c r="O522" s="6"/>
    </row>
    <row r="523" spans="1:15">
      <c r="A523" s="5" t="s">
        <v>223</v>
      </c>
      <c r="B523" s="5" t="s">
        <v>54</v>
      </c>
      <c r="C523" s="5" t="s">
        <v>61</v>
      </c>
      <c r="D523" s="5" t="s">
        <v>15</v>
      </c>
      <c r="E523" s="7" t="s">
        <v>56</v>
      </c>
      <c r="F523" s="7">
        <v>901521</v>
      </c>
      <c r="G523" s="5" t="s">
        <v>230</v>
      </c>
      <c r="H523" s="7"/>
      <c r="I523" s="5"/>
      <c r="J523" s="5"/>
      <c r="K523" s="5"/>
      <c r="L523" s="5" t="s">
        <v>63</v>
      </c>
      <c r="M523" s="5"/>
      <c r="N523" s="6"/>
      <c r="O523" s="6"/>
    </row>
    <row r="524" spans="1:15">
      <c r="A524" s="5" t="s">
        <v>223</v>
      </c>
      <c r="B524" s="5" t="s">
        <v>54</v>
      </c>
      <c r="C524" s="5" t="s">
        <v>61</v>
      </c>
      <c r="D524" s="5" t="s">
        <v>15</v>
      </c>
      <c r="E524" s="7" t="s">
        <v>69</v>
      </c>
      <c r="F524" s="7">
        <v>901522</v>
      </c>
      <c r="G524" s="5" t="s">
        <v>232</v>
      </c>
      <c r="H524" s="7"/>
      <c r="I524" s="5"/>
      <c r="J524" s="5"/>
      <c r="K524" s="5"/>
      <c r="L524" s="5" t="s">
        <v>63</v>
      </c>
      <c r="M524" s="5"/>
      <c r="N524" s="6" t="s">
        <v>85</v>
      </c>
      <c r="O524" s="6"/>
    </row>
    <row r="525" spans="1:15">
      <c r="A525" s="5" t="s">
        <v>223</v>
      </c>
      <c r="B525" s="5" t="s">
        <v>54</v>
      </c>
      <c r="C525" s="5" t="s">
        <v>61</v>
      </c>
      <c r="D525" s="5" t="s">
        <v>15</v>
      </c>
      <c r="E525" s="7" t="s">
        <v>56</v>
      </c>
      <c r="F525" s="7">
        <v>901523</v>
      </c>
      <c r="G525" s="5" t="s">
        <v>234</v>
      </c>
      <c r="H525" s="7"/>
      <c r="I525" s="5"/>
      <c r="J525" s="5"/>
      <c r="K525" s="5"/>
      <c r="L525" s="5" t="s">
        <v>63</v>
      </c>
      <c r="M525" s="5"/>
      <c r="N525" s="6"/>
      <c r="O525" s="6"/>
    </row>
    <row r="526" spans="1:15">
      <c r="A526" s="5" t="s">
        <v>223</v>
      </c>
      <c r="B526" s="5" t="s">
        <v>54</v>
      </c>
      <c r="C526" s="5" t="s">
        <v>61</v>
      </c>
      <c r="D526" s="5" t="s">
        <v>15</v>
      </c>
      <c r="E526" s="7" t="s">
        <v>56</v>
      </c>
      <c r="F526" s="7">
        <v>901524</v>
      </c>
      <c r="G526" s="5" t="s">
        <v>234</v>
      </c>
      <c r="H526" s="7"/>
      <c r="I526" s="5"/>
      <c r="J526" s="5"/>
      <c r="K526" s="5"/>
      <c r="L526" s="5" t="s">
        <v>63</v>
      </c>
      <c r="M526" s="5"/>
      <c r="N526" s="6"/>
      <c r="O526" s="6"/>
    </row>
    <row r="527" spans="1:15">
      <c r="A527" s="5" t="s">
        <v>223</v>
      </c>
      <c r="B527" s="5" t="s">
        <v>54</v>
      </c>
      <c r="C527" s="5" t="s">
        <v>61</v>
      </c>
      <c r="D527" s="5" t="s">
        <v>15</v>
      </c>
      <c r="E527" s="7" t="s">
        <v>56</v>
      </c>
      <c r="F527" s="7">
        <v>901525</v>
      </c>
      <c r="G527" s="5" t="s">
        <v>236</v>
      </c>
      <c r="H527" s="7"/>
      <c r="I527" s="5"/>
      <c r="J527" s="5"/>
      <c r="K527" s="5"/>
      <c r="L527" s="5" t="s">
        <v>63</v>
      </c>
      <c r="M527" s="5"/>
      <c r="N527" s="6"/>
      <c r="O527" s="6"/>
    </row>
    <row r="528" spans="1:15">
      <c r="A528" s="5" t="s">
        <v>223</v>
      </c>
      <c r="B528" s="5" t="s">
        <v>54</v>
      </c>
      <c r="C528" s="5" t="s">
        <v>61</v>
      </c>
      <c r="D528" s="5" t="s">
        <v>15</v>
      </c>
      <c r="E528" s="7" t="s">
        <v>210</v>
      </c>
      <c r="F528" s="7">
        <v>901526</v>
      </c>
      <c r="G528" s="5" t="s">
        <v>239</v>
      </c>
      <c r="H528" s="7"/>
      <c r="I528" s="5"/>
      <c r="J528" s="5"/>
      <c r="K528" s="5"/>
      <c r="L528" s="5" t="s">
        <v>63</v>
      </c>
      <c r="M528" s="5"/>
      <c r="N528" s="6" t="s">
        <v>85</v>
      </c>
      <c r="O528" s="6"/>
    </row>
    <row r="529" spans="1:15">
      <c r="A529" s="5" t="s">
        <v>223</v>
      </c>
      <c r="B529" s="5" t="s">
        <v>54</v>
      </c>
      <c r="C529" s="5" t="s">
        <v>61</v>
      </c>
      <c r="D529" s="5" t="s">
        <v>15</v>
      </c>
      <c r="E529" s="7" t="s">
        <v>56</v>
      </c>
      <c r="F529" s="7">
        <v>901527</v>
      </c>
      <c r="G529" s="5" t="s">
        <v>241</v>
      </c>
      <c r="H529" s="7"/>
      <c r="I529" s="5"/>
      <c r="J529" s="5"/>
      <c r="K529" s="5"/>
      <c r="L529" s="5" t="s">
        <v>63</v>
      </c>
      <c r="M529" s="5"/>
      <c r="N529" s="6"/>
      <c r="O529" s="6"/>
    </row>
    <row r="530" spans="1:15">
      <c r="A530" s="5" t="s">
        <v>223</v>
      </c>
      <c r="B530" s="5" t="s">
        <v>54</v>
      </c>
      <c r="C530" s="5" t="s">
        <v>61</v>
      </c>
      <c r="D530" s="5" t="s">
        <v>15</v>
      </c>
      <c r="E530" s="7" t="s">
        <v>210</v>
      </c>
      <c r="F530" s="7">
        <v>901528</v>
      </c>
      <c r="G530" s="5" t="s">
        <v>243</v>
      </c>
      <c r="H530" s="7"/>
      <c r="I530" s="5"/>
      <c r="J530" s="5"/>
      <c r="K530" s="5"/>
      <c r="L530" s="5" t="s">
        <v>63</v>
      </c>
      <c r="M530" s="5"/>
      <c r="N530" s="6"/>
      <c r="O530" s="6"/>
    </row>
    <row r="531" spans="1:15">
      <c r="A531" s="5" t="s">
        <v>223</v>
      </c>
      <c r="B531" s="5" t="s">
        <v>54</v>
      </c>
      <c r="C531" s="5" t="s">
        <v>61</v>
      </c>
      <c r="D531" s="5" t="s">
        <v>15</v>
      </c>
      <c r="E531" s="7" t="s">
        <v>99</v>
      </c>
      <c r="F531" s="7">
        <v>901529</v>
      </c>
      <c r="G531" s="5" t="s">
        <v>245</v>
      </c>
      <c r="H531" s="7"/>
      <c r="I531" s="5"/>
      <c r="J531" s="5"/>
      <c r="K531" s="5"/>
      <c r="L531" s="5" t="s">
        <v>63</v>
      </c>
      <c r="M531" s="5"/>
      <c r="N531" s="6"/>
      <c r="O531" s="6"/>
    </row>
    <row r="532" spans="1:15">
      <c r="A532" s="5" t="s">
        <v>223</v>
      </c>
      <c r="B532" s="5" t="s">
        <v>54</v>
      </c>
      <c r="C532" s="5" t="s">
        <v>61</v>
      </c>
      <c r="D532" s="5" t="s">
        <v>15</v>
      </c>
      <c r="E532" s="7" t="s">
        <v>99</v>
      </c>
      <c r="F532" s="7">
        <v>901530</v>
      </c>
      <c r="G532" s="5" t="s">
        <v>247</v>
      </c>
      <c r="H532" s="14">
        <v>28010415</v>
      </c>
      <c r="I532" s="15" t="s">
        <v>607</v>
      </c>
      <c r="J532" s="5" t="s">
        <v>99</v>
      </c>
      <c r="K532" s="5" t="s">
        <v>59</v>
      </c>
      <c r="L532" s="5" t="s">
        <v>60</v>
      </c>
      <c r="M532" s="5"/>
      <c r="N532" s="6"/>
      <c r="O532" s="6"/>
    </row>
    <row r="533" spans="1:15">
      <c r="A533" s="5" t="s">
        <v>223</v>
      </c>
      <c r="B533" s="5" t="s">
        <v>54</v>
      </c>
      <c r="C533" s="5" t="s">
        <v>61</v>
      </c>
      <c r="D533" s="5" t="s">
        <v>15</v>
      </c>
      <c r="E533" s="7" t="s">
        <v>99</v>
      </c>
      <c r="F533" s="7">
        <v>901531</v>
      </c>
      <c r="G533" s="5" t="s">
        <v>249</v>
      </c>
      <c r="H533" s="7">
        <v>28010416</v>
      </c>
      <c r="I533" s="5" t="s">
        <v>608</v>
      </c>
      <c r="J533" s="5" t="s">
        <v>128</v>
      </c>
      <c r="K533" s="5" t="s">
        <v>59</v>
      </c>
      <c r="L533" s="5" t="s">
        <v>60</v>
      </c>
      <c r="M533" s="5"/>
      <c r="N533" s="6"/>
      <c r="O533" s="6"/>
    </row>
    <row r="534" spans="1:15">
      <c r="A534" s="5" t="s">
        <v>223</v>
      </c>
      <c r="B534" s="5" t="s">
        <v>54</v>
      </c>
      <c r="C534" s="5" t="s">
        <v>61</v>
      </c>
      <c r="D534" s="5" t="s">
        <v>15</v>
      </c>
      <c r="E534" s="7" t="s">
        <v>56</v>
      </c>
      <c r="F534" s="7">
        <v>901532</v>
      </c>
      <c r="G534" s="5" t="s">
        <v>251</v>
      </c>
      <c r="H534" s="7"/>
      <c r="I534" s="5"/>
      <c r="J534" s="5"/>
      <c r="K534" s="5"/>
      <c r="L534" s="5" t="s">
        <v>63</v>
      </c>
      <c r="M534" s="5"/>
      <c r="N534" s="6"/>
      <c r="O534" s="6"/>
    </row>
    <row r="535" spans="1:15">
      <c r="A535" s="5" t="s">
        <v>223</v>
      </c>
      <c r="B535" s="5" t="s">
        <v>54</v>
      </c>
      <c r="C535" s="5" t="s">
        <v>61</v>
      </c>
      <c r="D535" s="5" t="s">
        <v>15</v>
      </c>
      <c r="E535" s="7" t="s">
        <v>56</v>
      </c>
      <c r="F535" s="7">
        <v>901533</v>
      </c>
      <c r="G535" s="5" t="s">
        <v>253</v>
      </c>
      <c r="H535" s="7"/>
      <c r="I535" s="5"/>
      <c r="J535" s="5"/>
      <c r="K535" s="5"/>
      <c r="L535" s="5" t="s">
        <v>63</v>
      </c>
      <c r="M535" s="5"/>
      <c r="N535" s="6"/>
      <c r="O535" s="6"/>
    </row>
    <row r="536" spans="1:15">
      <c r="A536" s="5" t="s">
        <v>53</v>
      </c>
      <c r="B536" s="5" t="s">
        <v>54</v>
      </c>
      <c r="C536" s="5" t="s">
        <v>107</v>
      </c>
      <c r="D536" s="5" t="s">
        <v>27</v>
      </c>
      <c r="E536" s="7" t="s">
        <v>495</v>
      </c>
      <c r="F536" s="7">
        <v>90001534</v>
      </c>
      <c r="G536" s="5" t="s">
        <v>260</v>
      </c>
      <c r="H536" s="7"/>
      <c r="I536" s="5"/>
      <c r="J536" s="5"/>
      <c r="K536" s="5"/>
      <c r="L536" s="5" t="s">
        <v>63</v>
      </c>
      <c r="M536" s="5"/>
      <c r="N536" s="6"/>
      <c r="O536" s="6"/>
    </row>
    <row r="537" spans="1:15">
      <c r="A537" s="5" t="s">
        <v>223</v>
      </c>
      <c r="B537" s="5" t="s">
        <v>30</v>
      </c>
      <c r="C537" s="5" t="s">
        <v>107</v>
      </c>
      <c r="D537" s="5" t="s">
        <v>19</v>
      </c>
      <c r="E537" s="7" t="s">
        <v>109</v>
      </c>
      <c r="F537" s="7">
        <v>901535</v>
      </c>
      <c r="G537" s="5" t="s">
        <v>157</v>
      </c>
      <c r="H537" s="7"/>
      <c r="I537" s="5"/>
      <c r="J537" s="5"/>
      <c r="K537" s="5"/>
      <c r="L537" s="5" t="s">
        <v>63</v>
      </c>
      <c r="M537" s="5"/>
      <c r="N537" s="6"/>
      <c r="O537" s="6"/>
    </row>
    <row r="538" spans="1:15">
      <c r="A538" s="5" t="s">
        <v>223</v>
      </c>
      <c r="B538" s="5" t="s">
        <v>30</v>
      </c>
      <c r="C538" s="5" t="s">
        <v>107</v>
      </c>
      <c r="D538" s="5" t="s">
        <v>19</v>
      </c>
      <c r="E538" s="7" t="s">
        <v>109</v>
      </c>
      <c r="F538" s="7">
        <v>901536</v>
      </c>
      <c r="G538" s="5" t="s">
        <v>157</v>
      </c>
      <c r="H538" s="7"/>
      <c r="I538" s="5"/>
      <c r="J538" s="5"/>
      <c r="K538" s="5"/>
      <c r="L538" s="5" t="s">
        <v>63</v>
      </c>
      <c r="M538" s="5"/>
      <c r="N538" s="6"/>
      <c r="O538" s="6"/>
    </row>
    <row r="539" spans="1:15">
      <c r="A539" s="5" t="s">
        <v>223</v>
      </c>
      <c r="B539" s="5" t="s">
        <v>30</v>
      </c>
      <c r="C539" s="5" t="s">
        <v>107</v>
      </c>
      <c r="D539" s="5" t="s">
        <v>19</v>
      </c>
      <c r="E539" s="7" t="s">
        <v>109</v>
      </c>
      <c r="F539" s="7">
        <v>901537</v>
      </c>
      <c r="G539" s="5" t="s">
        <v>157</v>
      </c>
      <c r="H539" s="7"/>
      <c r="I539" s="5"/>
      <c r="J539" s="5"/>
      <c r="K539" s="5"/>
      <c r="L539" s="5" t="s">
        <v>63</v>
      </c>
      <c r="M539" s="5"/>
      <c r="N539" s="6"/>
      <c r="O539" s="6"/>
    </row>
    <row r="540" spans="1:15">
      <c r="A540" s="5" t="s">
        <v>223</v>
      </c>
      <c r="B540" s="5" t="s">
        <v>30</v>
      </c>
      <c r="C540" s="5" t="s">
        <v>107</v>
      </c>
      <c r="D540" s="5" t="s">
        <v>19</v>
      </c>
      <c r="E540" s="7" t="s">
        <v>109</v>
      </c>
      <c r="F540" s="7">
        <v>901538</v>
      </c>
      <c r="G540" s="5" t="s">
        <v>157</v>
      </c>
      <c r="H540" s="7"/>
      <c r="I540" s="5"/>
      <c r="J540" s="5"/>
      <c r="K540" s="5"/>
      <c r="L540" s="5" t="s">
        <v>63</v>
      </c>
      <c r="M540" s="5"/>
      <c r="N540" s="6"/>
      <c r="O540" s="6"/>
    </row>
    <row r="541" spans="1:15">
      <c r="A541" s="5" t="s">
        <v>223</v>
      </c>
      <c r="B541" s="5" t="s">
        <v>30</v>
      </c>
      <c r="C541" s="5" t="s">
        <v>107</v>
      </c>
      <c r="D541" s="5" t="s">
        <v>19</v>
      </c>
      <c r="E541" s="7" t="s">
        <v>109</v>
      </c>
      <c r="F541" s="7">
        <v>901539</v>
      </c>
      <c r="G541" s="5" t="s">
        <v>157</v>
      </c>
      <c r="H541" s="7"/>
      <c r="I541" s="5"/>
      <c r="J541" s="5"/>
      <c r="K541" s="5"/>
      <c r="L541" s="5" t="s">
        <v>63</v>
      </c>
      <c r="M541" s="5"/>
      <c r="N541" s="6"/>
      <c r="O541" s="6"/>
    </row>
    <row r="542" spans="1:15">
      <c r="A542" s="5" t="s">
        <v>223</v>
      </c>
      <c r="B542" s="5" t="s">
        <v>30</v>
      </c>
      <c r="C542" s="5" t="s">
        <v>107</v>
      </c>
      <c r="D542" s="5" t="s">
        <v>19</v>
      </c>
      <c r="E542" s="7" t="s">
        <v>109</v>
      </c>
      <c r="F542" s="7">
        <v>901540</v>
      </c>
      <c r="G542" s="5" t="s">
        <v>157</v>
      </c>
      <c r="H542" s="7"/>
      <c r="I542" s="5"/>
      <c r="J542" s="5"/>
      <c r="K542" s="5"/>
      <c r="L542" s="5" t="s">
        <v>63</v>
      </c>
      <c r="M542" s="5"/>
      <c r="N542" s="6"/>
      <c r="O542" s="6"/>
    </row>
    <row r="543" spans="1:15">
      <c r="A543" s="5" t="s">
        <v>223</v>
      </c>
      <c r="B543" s="5" t="s">
        <v>30</v>
      </c>
      <c r="C543" s="5" t="s">
        <v>107</v>
      </c>
      <c r="D543" s="5" t="s">
        <v>19</v>
      </c>
      <c r="E543" s="7" t="s">
        <v>109</v>
      </c>
      <c r="F543" s="7">
        <v>901541</v>
      </c>
      <c r="G543" s="5" t="s">
        <v>157</v>
      </c>
      <c r="H543" s="7"/>
      <c r="I543" s="5"/>
      <c r="J543" s="5"/>
      <c r="K543" s="5"/>
      <c r="L543" s="5" t="s">
        <v>63</v>
      </c>
      <c r="M543" s="5"/>
      <c r="N543" s="6"/>
      <c r="O543" s="6"/>
    </row>
    <row r="544" spans="1:15">
      <c r="A544" s="5" t="s">
        <v>223</v>
      </c>
      <c r="B544" s="5" t="s">
        <v>30</v>
      </c>
      <c r="C544" s="5" t="s">
        <v>107</v>
      </c>
      <c r="D544" s="5" t="s">
        <v>19</v>
      </c>
      <c r="E544" s="7" t="s">
        <v>109</v>
      </c>
      <c r="F544" s="7">
        <v>901542</v>
      </c>
      <c r="G544" s="5" t="s">
        <v>157</v>
      </c>
      <c r="H544" s="7"/>
      <c r="I544" s="5"/>
      <c r="J544" s="5"/>
      <c r="K544" s="5"/>
      <c r="L544" s="5" t="s">
        <v>63</v>
      </c>
      <c r="M544" s="5"/>
      <c r="N544" s="6"/>
      <c r="O544" s="6"/>
    </row>
    <row r="545" spans="1:15">
      <c r="A545" s="5" t="s">
        <v>223</v>
      </c>
      <c r="B545" s="5" t="s">
        <v>30</v>
      </c>
      <c r="C545" s="5" t="s">
        <v>107</v>
      </c>
      <c r="D545" s="5" t="s">
        <v>19</v>
      </c>
      <c r="E545" s="7" t="s">
        <v>109</v>
      </c>
      <c r="F545" s="7">
        <v>901543</v>
      </c>
      <c r="G545" s="5" t="s">
        <v>157</v>
      </c>
      <c r="H545" s="7"/>
      <c r="I545" s="5"/>
      <c r="J545" s="5"/>
      <c r="K545" s="5"/>
      <c r="L545" s="5" t="s">
        <v>63</v>
      </c>
      <c r="M545" s="5"/>
      <c r="N545" s="6"/>
      <c r="O545" s="6"/>
    </row>
    <row r="546" spans="1:15">
      <c r="A546" s="5" t="s">
        <v>223</v>
      </c>
      <c r="B546" s="5" t="s">
        <v>30</v>
      </c>
      <c r="C546" s="5" t="s">
        <v>107</v>
      </c>
      <c r="D546" s="5" t="s">
        <v>19</v>
      </c>
      <c r="E546" s="7" t="s">
        <v>109</v>
      </c>
      <c r="F546" s="7">
        <v>901544</v>
      </c>
      <c r="G546" s="5" t="s">
        <v>157</v>
      </c>
      <c r="H546" s="7"/>
      <c r="I546" s="5"/>
      <c r="J546" s="5"/>
      <c r="K546" s="5"/>
      <c r="L546" s="5" t="s">
        <v>63</v>
      </c>
      <c r="M546" s="5"/>
      <c r="N546" s="6"/>
      <c r="O546" s="6"/>
    </row>
    <row r="547" spans="1:15">
      <c r="A547" s="5" t="s">
        <v>223</v>
      </c>
      <c r="B547" s="5" t="s">
        <v>64</v>
      </c>
      <c r="C547" s="5" t="s">
        <v>65</v>
      </c>
      <c r="D547" s="5" t="s">
        <v>17</v>
      </c>
      <c r="E547" s="7" t="s">
        <v>72</v>
      </c>
      <c r="F547" s="7">
        <v>901545</v>
      </c>
      <c r="G547" s="5" t="s">
        <v>262</v>
      </c>
      <c r="H547" s="7"/>
      <c r="I547" s="5"/>
      <c r="J547" s="5"/>
      <c r="K547" s="5"/>
      <c r="L547" s="5" t="s">
        <v>63</v>
      </c>
      <c r="M547" s="5"/>
      <c r="N547" s="6"/>
      <c r="O547" s="6"/>
    </row>
    <row r="548" spans="1:15">
      <c r="A548" s="5" t="s">
        <v>223</v>
      </c>
      <c r="B548" s="5" t="s">
        <v>54</v>
      </c>
      <c r="C548" s="5" t="s">
        <v>61</v>
      </c>
      <c r="D548" s="5" t="s">
        <v>15</v>
      </c>
      <c r="E548" s="7" t="s">
        <v>72</v>
      </c>
      <c r="F548" s="7">
        <v>901546</v>
      </c>
      <c r="G548" s="5" t="s">
        <v>70</v>
      </c>
      <c r="H548" s="7">
        <v>28010417</v>
      </c>
      <c r="I548" s="5" t="s">
        <v>609</v>
      </c>
      <c r="J548" s="5" t="s">
        <v>72</v>
      </c>
      <c r="K548" s="5" t="s">
        <v>59</v>
      </c>
      <c r="L548" s="5" t="s">
        <v>60</v>
      </c>
      <c r="M548" s="5"/>
      <c r="N548" s="6"/>
      <c r="O548" s="6"/>
    </row>
    <row r="549" spans="1:15">
      <c r="A549" s="5" t="s">
        <v>223</v>
      </c>
      <c r="B549" s="5" t="s">
        <v>54</v>
      </c>
      <c r="C549" s="5" t="s">
        <v>61</v>
      </c>
      <c r="D549" s="5" t="s">
        <v>15</v>
      </c>
      <c r="E549" s="7" t="s">
        <v>72</v>
      </c>
      <c r="F549" s="7">
        <v>901547</v>
      </c>
      <c r="G549" s="5" t="s">
        <v>70</v>
      </c>
      <c r="H549" s="7"/>
      <c r="I549" s="5"/>
      <c r="J549" s="5"/>
      <c r="K549" s="5"/>
      <c r="L549" s="5" t="s">
        <v>63</v>
      </c>
      <c r="M549" s="5"/>
      <c r="N549" s="6"/>
      <c r="O549" s="6"/>
    </row>
    <row r="550" spans="1:15">
      <c r="A550" s="5" t="s">
        <v>223</v>
      </c>
      <c r="B550" s="5" t="s">
        <v>54</v>
      </c>
      <c r="C550" s="5" t="s">
        <v>61</v>
      </c>
      <c r="D550" s="5" t="s">
        <v>15</v>
      </c>
      <c r="E550" s="7" t="s">
        <v>72</v>
      </c>
      <c r="F550" s="7">
        <v>901548</v>
      </c>
      <c r="G550" s="5" t="s">
        <v>70</v>
      </c>
      <c r="H550" s="7"/>
      <c r="I550" s="5"/>
      <c r="J550" s="5"/>
      <c r="K550" s="5"/>
      <c r="L550" s="5" t="s">
        <v>63</v>
      </c>
      <c r="M550" s="5"/>
      <c r="N550" s="6"/>
      <c r="O550" s="6"/>
    </row>
    <row r="551" spans="1:15">
      <c r="A551" s="5" t="s">
        <v>223</v>
      </c>
      <c r="B551" s="5" t="s">
        <v>54</v>
      </c>
      <c r="C551" s="5" t="s">
        <v>61</v>
      </c>
      <c r="D551" s="5" t="s">
        <v>15</v>
      </c>
      <c r="E551" s="7" t="s">
        <v>72</v>
      </c>
      <c r="F551" s="7">
        <v>901549</v>
      </c>
      <c r="G551" s="5" t="s">
        <v>70</v>
      </c>
      <c r="H551" s="7"/>
      <c r="I551" s="5"/>
      <c r="J551" s="5"/>
      <c r="K551" s="5"/>
      <c r="L551" s="5" t="s">
        <v>63</v>
      </c>
      <c r="M551" s="5"/>
      <c r="N551" s="6"/>
      <c r="O551" s="6"/>
    </row>
    <row r="552" spans="1:15">
      <c r="A552" s="5" t="s">
        <v>223</v>
      </c>
      <c r="B552" s="5" t="s">
        <v>54</v>
      </c>
      <c r="C552" s="5" t="s">
        <v>61</v>
      </c>
      <c r="D552" s="5" t="s">
        <v>15</v>
      </c>
      <c r="E552" s="7" t="s">
        <v>72</v>
      </c>
      <c r="F552" s="7">
        <v>901550</v>
      </c>
      <c r="G552" s="5" t="s">
        <v>70</v>
      </c>
      <c r="H552" s="7"/>
      <c r="I552" s="5"/>
      <c r="J552" s="5"/>
      <c r="K552" s="5"/>
      <c r="L552" s="5" t="s">
        <v>63</v>
      </c>
      <c r="M552" s="5"/>
      <c r="N552" s="6"/>
      <c r="O552" s="6"/>
    </row>
    <row r="553" spans="1:15">
      <c r="A553" s="5" t="s">
        <v>223</v>
      </c>
      <c r="B553" s="5" t="s">
        <v>54</v>
      </c>
      <c r="C553" s="5" t="s">
        <v>107</v>
      </c>
      <c r="D553" s="5" t="s">
        <v>27</v>
      </c>
      <c r="E553" s="7" t="s">
        <v>72</v>
      </c>
      <c r="F553" s="7">
        <v>901551</v>
      </c>
      <c r="G553" s="5" t="s">
        <v>181</v>
      </c>
      <c r="H553" s="7"/>
      <c r="I553" s="5"/>
      <c r="J553" s="5"/>
      <c r="K553" s="5"/>
      <c r="L553" s="5" t="s">
        <v>63</v>
      </c>
      <c r="M553" s="5"/>
      <c r="N553" s="6"/>
      <c r="O553" s="6"/>
    </row>
    <row r="554" spans="1:15">
      <c r="A554" s="5" t="s">
        <v>223</v>
      </c>
      <c r="B554" s="5" t="s">
        <v>54</v>
      </c>
      <c r="C554" s="5" t="s">
        <v>107</v>
      </c>
      <c r="D554" s="5" t="s">
        <v>27</v>
      </c>
      <c r="E554" s="7" t="s">
        <v>72</v>
      </c>
      <c r="F554" s="7">
        <v>901552</v>
      </c>
      <c r="G554" s="5" t="s">
        <v>181</v>
      </c>
      <c r="H554" s="7"/>
      <c r="I554" s="5"/>
      <c r="J554" s="5"/>
      <c r="K554" s="5"/>
      <c r="L554" s="5" t="s">
        <v>63</v>
      </c>
      <c r="M554" s="5"/>
      <c r="N554" s="6"/>
      <c r="O554" s="6"/>
    </row>
    <row r="555" spans="1:15">
      <c r="A555" s="5" t="s">
        <v>223</v>
      </c>
      <c r="B555" s="5" t="s">
        <v>54</v>
      </c>
      <c r="C555" s="5" t="s">
        <v>102</v>
      </c>
      <c r="D555" s="5" t="s">
        <v>26</v>
      </c>
      <c r="E555" s="7" t="s">
        <v>72</v>
      </c>
      <c r="F555" s="7">
        <v>901553</v>
      </c>
      <c r="G555" s="5" t="s">
        <v>181</v>
      </c>
      <c r="H555" s="7"/>
      <c r="I555" s="5"/>
      <c r="J555" s="5"/>
      <c r="K555" s="5"/>
      <c r="L555" s="5" t="s">
        <v>63</v>
      </c>
      <c r="M555" s="5"/>
      <c r="N555" s="6"/>
      <c r="O555" s="6"/>
    </row>
    <row r="556" spans="1:15">
      <c r="A556" s="5" t="s">
        <v>223</v>
      </c>
      <c r="B556" s="5" t="s">
        <v>54</v>
      </c>
      <c r="C556" s="5" t="s">
        <v>102</v>
      </c>
      <c r="D556" s="5" t="s">
        <v>26</v>
      </c>
      <c r="E556" s="7" t="s">
        <v>72</v>
      </c>
      <c r="F556" s="7">
        <v>901554</v>
      </c>
      <c r="G556" s="5" t="s">
        <v>181</v>
      </c>
      <c r="H556" s="7"/>
      <c r="I556" s="5"/>
      <c r="J556" s="5"/>
      <c r="K556" s="5"/>
      <c r="L556" s="5" t="s">
        <v>63</v>
      </c>
      <c r="M556" s="5"/>
      <c r="N556" s="6"/>
      <c r="O556" s="6"/>
    </row>
    <row r="557" spans="1:15">
      <c r="A557" s="5" t="s">
        <v>223</v>
      </c>
      <c r="B557" s="5" t="s">
        <v>54</v>
      </c>
      <c r="C557" s="5" t="s">
        <v>61</v>
      </c>
      <c r="D557" s="5" t="s">
        <v>15</v>
      </c>
      <c r="E557" s="7" t="s">
        <v>72</v>
      </c>
      <c r="F557" s="7">
        <v>901555</v>
      </c>
      <c r="G557" s="5" t="s">
        <v>70</v>
      </c>
      <c r="H557" s="7"/>
      <c r="I557" s="5"/>
      <c r="J557" s="5"/>
      <c r="K557" s="5"/>
      <c r="L557" s="5" t="s">
        <v>63</v>
      </c>
      <c r="M557" s="5"/>
      <c r="N557" s="6"/>
      <c r="O557" s="6"/>
    </row>
    <row r="558" spans="1:15">
      <c r="A558" s="5" t="s">
        <v>223</v>
      </c>
      <c r="B558" s="5" t="s">
        <v>54</v>
      </c>
      <c r="C558" s="5" t="s">
        <v>61</v>
      </c>
      <c r="D558" s="5" t="s">
        <v>15</v>
      </c>
      <c r="E558" s="7" t="s">
        <v>72</v>
      </c>
      <c r="F558" s="7">
        <v>901556</v>
      </c>
      <c r="G558" s="5" t="s">
        <v>70</v>
      </c>
      <c r="H558" s="7"/>
      <c r="I558" s="5"/>
      <c r="J558" s="5"/>
      <c r="K558" s="5"/>
      <c r="L558" s="5" t="s">
        <v>63</v>
      </c>
      <c r="M558" s="5"/>
      <c r="N558" s="6"/>
      <c r="O558" s="6"/>
    </row>
    <row r="559" spans="1:15">
      <c r="A559" s="5" t="s">
        <v>223</v>
      </c>
      <c r="B559" s="5" t="s">
        <v>54</v>
      </c>
      <c r="C559" s="5" t="s">
        <v>107</v>
      </c>
      <c r="D559" s="5" t="s">
        <v>27</v>
      </c>
      <c r="E559" s="7" t="s">
        <v>72</v>
      </c>
      <c r="F559" s="7">
        <v>901557</v>
      </c>
      <c r="G559" s="5" t="s">
        <v>181</v>
      </c>
      <c r="H559" s="7"/>
      <c r="I559" s="5"/>
      <c r="J559" s="5"/>
      <c r="K559" s="5"/>
      <c r="L559" s="5" t="s">
        <v>63</v>
      </c>
      <c r="M559" s="5"/>
      <c r="N559" s="6"/>
      <c r="O559" s="6"/>
    </row>
    <row r="560" spans="1:15">
      <c r="A560" s="5" t="s">
        <v>223</v>
      </c>
      <c r="B560" s="5" t="s">
        <v>54</v>
      </c>
      <c r="C560" s="5" t="s">
        <v>107</v>
      </c>
      <c r="D560" s="5" t="s">
        <v>27</v>
      </c>
      <c r="E560" s="7" t="s">
        <v>72</v>
      </c>
      <c r="F560" s="7">
        <v>901558</v>
      </c>
      <c r="G560" s="5" t="s">
        <v>181</v>
      </c>
      <c r="H560" s="7"/>
      <c r="I560" s="5"/>
      <c r="J560" s="5"/>
      <c r="K560" s="5"/>
      <c r="L560" s="5" t="s">
        <v>63</v>
      </c>
      <c r="M560" s="5"/>
      <c r="N560" s="6"/>
      <c r="O560" s="6"/>
    </row>
    <row r="561" spans="1:15">
      <c r="A561" s="5" t="s">
        <v>223</v>
      </c>
      <c r="B561" s="5" t="s">
        <v>54</v>
      </c>
      <c r="C561" s="5" t="s">
        <v>61</v>
      </c>
      <c r="D561" s="5" t="s">
        <v>15</v>
      </c>
      <c r="E561" s="7" t="s">
        <v>72</v>
      </c>
      <c r="F561" s="7">
        <v>901559</v>
      </c>
      <c r="G561" s="5" t="s">
        <v>70</v>
      </c>
      <c r="H561" s="7"/>
      <c r="I561" s="5"/>
      <c r="J561" s="5"/>
      <c r="K561" s="5"/>
      <c r="L561" s="5" t="s">
        <v>63</v>
      </c>
      <c r="M561" s="5"/>
      <c r="N561" s="6"/>
      <c r="O561" s="6"/>
    </row>
    <row r="562" spans="1:15">
      <c r="A562" s="5" t="s">
        <v>223</v>
      </c>
      <c r="B562" s="5" t="s">
        <v>54</v>
      </c>
      <c r="C562" s="5" t="s">
        <v>61</v>
      </c>
      <c r="D562" s="5" t="s">
        <v>15</v>
      </c>
      <c r="E562" s="7" t="s">
        <v>72</v>
      </c>
      <c r="F562" s="7">
        <v>901560</v>
      </c>
      <c r="G562" s="5" t="s">
        <v>70</v>
      </c>
      <c r="H562" s="7"/>
      <c r="I562" s="5"/>
      <c r="J562" s="5"/>
      <c r="K562" s="5"/>
      <c r="L562" s="5" t="s">
        <v>63</v>
      </c>
      <c r="M562" s="5"/>
      <c r="N562" s="6"/>
      <c r="O562" s="6"/>
    </row>
    <row r="563" spans="1:15">
      <c r="A563" s="5" t="s">
        <v>610</v>
      </c>
      <c r="B563" s="5" t="s">
        <v>64</v>
      </c>
      <c r="C563" s="5" t="s">
        <v>65</v>
      </c>
      <c r="D563" s="5" t="s">
        <v>17</v>
      </c>
      <c r="E563" s="7" t="s">
        <v>611</v>
      </c>
      <c r="F563" s="7">
        <v>901561</v>
      </c>
      <c r="G563" s="5" t="s">
        <v>264</v>
      </c>
      <c r="H563" s="7"/>
      <c r="I563" s="5"/>
      <c r="J563" s="5"/>
      <c r="K563" s="5"/>
      <c r="L563" s="5" t="s">
        <v>63</v>
      </c>
      <c r="M563" s="5"/>
      <c r="N563" s="6"/>
      <c r="O563" s="6"/>
    </row>
    <row r="564" spans="1:15">
      <c r="A564" s="5" t="s">
        <v>610</v>
      </c>
      <c r="B564" s="5" t="s">
        <v>54</v>
      </c>
      <c r="C564" s="5" t="s">
        <v>61</v>
      </c>
      <c r="D564" s="5" t="s">
        <v>15</v>
      </c>
      <c r="E564" s="7" t="s">
        <v>611</v>
      </c>
      <c r="F564" s="7">
        <v>901562</v>
      </c>
      <c r="G564" s="5" t="s">
        <v>266</v>
      </c>
      <c r="H564" s="7"/>
      <c r="I564" s="5"/>
      <c r="J564" s="5"/>
      <c r="K564" s="5"/>
      <c r="L564" s="5" t="s">
        <v>63</v>
      </c>
      <c r="M564" s="5"/>
      <c r="N564" s="6"/>
      <c r="O564" s="6"/>
    </row>
    <row r="565" spans="1:15">
      <c r="A565" s="5" t="s">
        <v>610</v>
      </c>
      <c r="B565" s="5" t="s">
        <v>54</v>
      </c>
      <c r="C565" s="5" t="s">
        <v>61</v>
      </c>
      <c r="D565" s="5" t="s">
        <v>15</v>
      </c>
      <c r="E565" s="7" t="s">
        <v>611</v>
      </c>
      <c r="F565" s="7">
        <v>901563</v>
      </c>
      <c r="G565" s="5" t="s">
        <v>266</v>
      </c>
      <c r="H565" s="7"/>
      <c r="I565" s="5"/>
      <c r="J565" s="5"/>
      <c r="K565" s="5"/>
      <c r="L565" s="5" t="s">
        <v>63</v>
      </c>
      <c r="M565" s="5"/>
      <c r="N565" s="6"/>
      <c r="O565" s="6"/>
    </row>
    <row r="566" spans="1:15">
      <c r="A566" s="5" t="s">
        <v>610</v>
      </c>
      <c r="B566" s="5" t="s">
        <v>54</v>
      </c>
      <c r="C566" s="5" t="s">
        <v>61</v>
      </c>
      <c r="D566" s="5" t="s">
        <v>15</v>
      </c>
      <c r="E566" s="7" t="s">
        <v>611</v>
      </c>
      <c r="F566" s="7">
        <v>901564</v>
      </c>
      <c r="G566" s="5" t="s">
        <v>266</v>
      </c>
      <c r="H566" s="7"/>
      <c r="I566" s="5"/>
      <c r="J566" s="5"/>
      <c r="K566" s="5"/>
      <c r="L566" s="5" t="s">
        <v>63</v>
      </c>
      <c r="M566" s="5"/>
      <c r="N566" s="6"/>
      <c r="O566" s="6"/>
    </row>
    <row r="567" spans="1:15">
      <c r="A567" s="5" t="s">
        <v>610</v>
      </c>
      <c r="B567" s="5" t="s">
        <v>54</v>
      </c>
      <c r="C567" s="5" t="s">
        <v>61</v>
      </c>
      <c r="D567" s="5" t="s">
        <v>15</v>
      </c>
      <c r="E567" s="7" t="s">
        <v>611</v>
      </c>
      <c r="F567" s="7">
        <v>901565</v>
      </c>
      <c r="G567" s="5" t="s">
        <v>266</v>
      </c>
      <c r="H567" s="7"/>
      <c r="I567" s="5"/>
      <c r="J567" s="5"/>
      <c r="K567" s="5"/>
      <c r="L567" s="5" t="s">
        <v>63</v>
      </c>
      <c r="M567" s="5"/>
      <c r="N567" s="6"/>
      <c r="O567" s="6"/>
    </row>
    <row r="568" spans="1:15">
      <c r="A568" s="5" t="s">
        <v>610</v>
      </c>
      <c r="B568" s="5" t="s">
        <v>54</v>
      </c>
      <c r="C568" s="5" t="s">
        <v>61</v>
      </c>
      <c r="D568" s="5" t="s">
        <v>15</v>
      </c>
      <c r="E568" s="7" t="s">
        <v>611</v>
      </c>
      <c r="F568" s="7">
        <v>901566</v>
      </c>
      <c r="G568" s="5" t="s">
        <v>266</v>
      </c>
      <c r="H568" s="7"/>
      <c r="I568" s="5"/>
      <c r="J568" s="5"/>
      <c r="K568" s="5"/>
      <c r="L568" s="5" t="s">
        <v>63</v>
      </c>
      <c r="M568" s="5"/>
      <c r="N568" s="6"/>
      <c r="O568" s="6"/>
    </row>
    <row r="569" spans="1:15">
      <c r="A569" s="5" t="s">
        <v>610</v>
      </c>
      <c r="B569" s="5" t="s">
        <v>54</v>
      </c>
      <c r="C569" s="5" t="s">
        <v>107</v>
      </c>
      <c r="D569" s="5" t="s">
        <v>27</v>
      </c>
      <c r="E569" s="7" t="s">
        <v>611</v>
      </c>
      <c r="F569" s="7">
        <v>901567</v>
      </c>
      <c r="G569" s="5" t="s">
        <v>267</v>
      </c>
      <c r="H569" s="7"/>
      <c r="I569" s="5"/>
      <c r="J569" s="5"/>
      <c r="K569" s="5"/>
      <c r="L569" s="5" t="s">
        <v>63</v>
      </c>
      <c r="M569" s="5"/>
      <c r="N569" s="6"/>
      <c r="O569" s="6"/>
    </row>
    <row r="570" spans="1:15">
      <c r="A570" s="5" t="s">
        <v>610</v>
      </c>
      <c r="B570" s="5" t="s">
        <v>54</v>
      </c>
      <c r="C570" s="5" t="s">
        <v>107</v>
      </c>
      <c r="D570" s="5" t="s">
        <v>27</v>
      </c>
      <c r="E570" s="7" t="s">
        <v>611</v>
      </c>
      <c r="F570" s="7">
        <v>901568</v>
      </c>
      <c r="G570" s="5" t="s">
        <v>267</v>
      </c>
      <c r="H570" s="7"/>
      <c r="I570" s="5"/>
      <c r="J570" s="5"/>
      <c r="K570" s="5"/>
      <c r="L570" s="5" t="s">
        <v>63</v>
      </c>
      <c r="M570" s="5"/>
      <c r="N570" s="6"/>
      <c r="O570" s="6"/>
    </row>
    <row r="571" spans="1:15">
      <c r="A571" s="5" t="s">
        <v>610</v>
      </c>
      <c r="B571" s="5" t="s">
        <v>54</v>
      </c>
      <c r="C571" s="5" t="s">
        <v>102</v>
      </c>
      <c r="D571" s="5" t="s">
        <v>26</v>
      </c>
      <c r="E571" s="7" t="s">
        <v>611</v>
      </c>
      <c r="F571" s="7">
        <v>901569</v>
      </c>
      <c r="G571" s="5" t="s">
        <v>270</v>
      </c>
      <c r="H571" s="7"/>
      <c r="I571" s="5"/>
      <c r="J571" s="5"/>
      <c r="K571" s="5"/>
      <c r="L571" s="5" t="s">
        <v>63</v>
      </c>
      <c r="M571" s="5"/>
      <c r="N571" s="6"/>
      <c r="O571" s="6"/>
    </row>
    <row r="572" spans="1:15">
      <c r="A572" s="5" t="s">
        <v>610</v>
      </c>
      <c r="B572" s="5" t="s">
        <v>54</v>
      </c>
      <c r="C572" s="5" t="s">
        <v>102</v>
      </c>
      <c r="D572" s="5" t="s">
        <v>26</v>
      </c>
      <c r="E572" s="7" t="s">
        <v>611</v>
      </c>
      <c r="F572" s="7">
        <v>901570</v>
      </c>
      <c r="G572" s="5" t="s">
        <v>270</v>
      </c>
      <c r="H572" s="7"/>
      <c r="I572" s="5"/>
      <c r="J572" s="5"/>
      <c r="K572" s="5"/>
      <c r="L572" s="5" t="s">
        <v>63</v>
      </c>
      <c r="M572" s="5"/>
      <c r="N572" s="6"/>
      <c r="O572" s="6"/>
    </row>
    <row r="573" spans="1:15">
      <c r="A573" s="5" t="s">
        <v>610</v>
      </c>
      <c r="B573" s="5" t="s">
        <v>54</v>
      </c>
      <c r="C573" s="5" t="s">
        <v>61</v>
      </c>
      <c r="D573" s="5" t="s">
        <v>15</v>
      </c>
      <c r="E573" s="7" t="s">
        <v>611</v>
      </c>
      <c r="F573" s="7">
        <v>901571</v>
      </c>
      <c r="G573" s="5" t="s">
        <v>266</v>
      </c>
      <c r="H573" s="7"/>
      <c r="I573" s="5"/>
      <c r="J573" s="5"/>
      <c r="K573" s="5"/>
      <c r="L573" s="5" t="s">
        <v>63</v>
      </c>
      <c r="M573" s="5"/>
      <c r="N573" s="6"/>
      <c r="O573" s="6"/>
    </row>
    <row r="574" spans="1:15">
      <c r="A574" s="5" t="s">
        <v>610</v>
      </c>
      <c r="B574" s="5" t="s">
        <v>54</v>
      </c>
      <c r="C574" s="5" t="s">
        <v>61</v>
      </c>
      <c r="D574" s="5" t="s">
        <v>15</v>
      </c>
      <c r="E574" s="7" t="s">
        <v>611</v>
      </c>
      <c r="F574" s="7">
        <v>901572</v>
      </c>
      <c r="G574" s="5" t="s">
        <v>266</v>
      </c>
      <c r="H574" s="7"/>
      <c r="I574" s="5"/>
      <c r="J574" s="5"/>
      <c r="K574" s="5"/>
      <c r="L574" s="5" t="s">
        <v>63</v>
      </c>
      <c r="M574" s="5"/>
      <c r="N574" s="6"/>
      <c r="O574" s="6"/>
    </row>
    <row r="575" spans="1:15">
      <c r="A575" s="5" t="s">
        <v>610</v>
      </c>
      <c r="B575" s="5" t="s">
        <v>54</v>
      </c>
      <c r="C575" s="5" t="s">
        <v>107</v>
      </c>
      <c r="D575" s="5" t="s">
        <v>27</v>
      </c>
      <c r="E575" s="7" t="s">
        <v>611</v>
      </c>
      <c r="F575" s="7">
        <v>901573</v>
      </c>
      <c r="G575" s="5" t="s">
        <v>267</v>
      </c>
      <c r="H575" s="7"/>
      <c r="I575" s="5"/>
      <c r="J575" s="5"/>
      <c r="K575" s="5"/>
      <c r="L575" s="5" t="s">
        <v>63</v>
      </c>
      <c r="M575" s="5"/>
      <c r="N575" s="6"/>
      <c r="O575" s="6"/>
    </row>
    <row r="576" spans="1:15">
      <c r="A576" s="5" t="s">
        <v>610</v>
      </c>
      <c r="B576" s="5" t="s">
        <v>54</v>
      </c>
      <c r="C576" s="5" t="s">
        <v>107</v>
      </c>
      <c r="D576" s="5" t="s">
        <v>27</v>
      </c>
      <c r="E576" s="7" t="s">
        <v>611</v>
      </c>
      <c r="F576" s="7">
        <v>901574</v>
      </c>
      <c r="G576" s="5" t="s">
        <v>267</v>
      </c>
      <c r="H576" s="7"/>
      <c r="I576" s="5"/>
      <c r="J576" s="5"/>
      <c r="K576" s="5"/>
      <c r="L576" s="5" t="s">
        <v>63</v>
      </c>
      <c r="M576" s="5"/>
      <c r="N576" s="6"/>
      <c r="O576" s="6"/>
    </row>
    <row r="577" spans="1:15">
      <c r="A577" s="5" t="s">
        <v>610</v>
      </c>
      <c r="B577" s="5" t="s">
        <v>54</v>
      </c>
      <c r="C577" s="5" t="s">
        <v>61</v>
      </c>
      <c r="D577" s="5" t="s">
        <v>15</v>
      </c>
      <c r="E577" s="7" t="s">
        <v>611</v>
      </c>
      <c r="F577" s="7">
        <v>901575</v>
      </c>
      <c r="G577" s="5" t="s">
        <v>266</v>
      </c>
      <c r="H577" s="7"/>
      <c r="I577" s="5"/>
      <c r="J577" s="5"/>
      <c r="K577" s="5"/>
      <c r="L577" s="5" t="s">
        <v>63</v>
      </c>
      <c r="M577" s="5"/>
      <c r="N577" s="6"/>
      <c r="O577" s="6"/>
    </row>
    <row r="578" spans="1:15">
      <c r="A578" s="5" t="s">
        <v>610</v>
      </c>
      <c r="B578" s="5" t="s">
        <v>54</v>
      </c>
      <c r="C578" s="5" t="s">
        <v>61</v>
      </c>
      <c r="D578" s="5" t="s">
        <v>15</v>
      </c>
      <c r="E578" s="7" t="s">
        <v>611</v>
      </c>
      <c r="F578" s="7">
        <v>901576</v>
      </c>
      <c r="G578" s="5" t="s">
        <v>266</v>
      </c>
      <c r="H578" s="7"/>
      <c r="I578" s="5"/>
      <c r="J578" s="5"/>
      <c r="K578" s="5"/>
      <c r="L578" s="5" t="s">
        <v>63</v>
      </c>
      <c r="M578" s="5"/>
      <c r="N578" s="6"/>
      <c r="O578" s="6"/>
    </row>
    <row r="579" spans="1:15">
      <c r="A579" s="5" t="s">
        <v>610</v>
      </c>
      <c r="B579" s="5" t="s">
        <v>54</v>
      </c>
      <c r="C579" s="5" t="s">
        <v>55</v>
      </c>
      <c r="D579" s="5" t="s">
        <v>28</v>
      </c>
      <c r="E579" s="7" t="s">
        <v>611</v>
      </c>
      <c r="F579" s="7">
        <v>901577</v>
      </c>
      <c r="G579" s="5" t="s">
        <v>267</v>
      </c>
      <c r="H579" s="7"/>
      <c r="I579" s="5"/>
      <c r="J579" s="5"/>
      <c r="K579" s="5"/>
      <c r="L579" s="5" t="s">
        <v>63</v>
      </c>
      <c r="M579" s="5"/>
      <c r="N579" s="6"/>
      <c r="O579" s="6"/>
    </row>
    <row r="580" spans="1:15">
      <c r="A580" s="5" t="s">
        <v>610</v>
      </c>
      <c r="B580" s="5" t="s">
        <v>54</v>
      </c>
      <c r="C580" s="5" t="s">
        <v>55</v>
      </c>
      <c r="D580" s="5" t="s">
        <v>28</v>
      </c>
      <c r="E580" s="7" t="s">
        <v>611</v>
      </c>
      <c r="F580" s="7">
        <v>901578</v>
      </c>
      <c r="G580" s="5" t="s">
        <v>267</v>
      </c>
      <c r="H580" s="7"/>
      <c r="I580" s="5"/>
      <c r="J580" s="5"/>
      <c r="K580" s="5"/>
      <c r="L580" s="5" t="s">
        <v>63</v>
      </c>
      <c r="M580" s="5"/>
      <c r="N580" s="6"/>
      <c r="O580" s="6"/>
    </row>
    <row r="581" spans="1:15">
      <c r="A581" s="5" t="s">
        <v>610</v>
      </c>
      <c r="B581" s="5" t="s">
        <v>54</v>
      </c>
      <c r="C581" s="5" t="s">
        <v>107</v>
      </c>
      <c r="D581" s="5" t="s">
        <v>27</v>
      </c>
      <c r="E581" s="7" t="s">
        <v>611</v>
      </c>
      <c r="F581" s="7">
        <v>901579</v>
      </c>
      <c r="G581" s="5" t="s">
        <v>267</v>
      </c>
      <c r="H581" s="7"/>
      <c r="I581" s="5"/>
      <c r="J581" s="5"/>
      <c r="K581" s="5"/>
      <c r="L581" s="5" t="s">
        <v>63</v>
      </c>
      <c r="M581" s="5"/>
      <c r="N581" s="6"/>
      <c r="O581" s="6"/>
    </row>
    <row r="582" spans="1:15">
      <c r="A582" s="5" t="s">
        <v>610</v>
      </c>
      <c r="B582" s="5" t="s">
        <v>54</v>
      </c>
      <c r="C582" s="5" t="s">
        <v>91</v>
      </c>
      <c r="D582" s="5" t="s">
        <v>25</v>
      </c>
      <c r="E582" s="7" t="s">
        <v>611</v>
      </c>
      <c r="F582" s="7">
        <v>901580</v>
      </c>
      <c r="G582" s="5" t="s">
        <v>272</v>
      </c>
      <c r="H582" s="7"/>
      <c r="I582" s="5"/>
      <c r="J582" s="5"/>
      <c r="K582" s="5"/>
      <c r="L582" s="5" t="s">
        <v>63</v>
      </c>
      <c r="M582" s="5"/>
      <c r="N582" s="6"/>
      <c r="O582" s="6"/>
    </row>
    <row r="583" spans="1:15">
      <c r="A583" s="5" t="s">
        <v>612</v>
      </c>
      <c r="B583" s="5" t="s">
        <v>54</v>
      </c>
      <c r="C583" s="5" t="s">
        <v>55</v>
      </c>
      <c r="D583" s="5" t="s">
        <v>28</v>
      </c>
      <c r="E583" s="7" t="s">
        <v>555</v>
      </c>
      <c r="F583" s="7">
        <v>901581</v>
      </c>
      <c r="G583" s="5" t="s">
        <v>274</v>
      </c>
      <c r="H583" s="7"/>
      <c r="I583" s="5"/>
      <c r="J583" s="5"/>
      <c r="K583" s="5"/>
      <c r="L583" s="5" t="s">
        <v>63</v>
      </c>
      <c r="M583" s="5"/>
      <c r="N583" s="6"/>
      <c r="O583" s="6"/>
    </row>
    <row r="584" spans="1:15">
      <c r="A584" s="5" t="s">
        <v>612</v>
      </c>
      <c r="B584" s="5" t="s">
        <v>54</v>
      </c>
      <c r="C584" s="5" t="s">
        <v>55</v>
      </c>
      <c r="D584" s="5" t="s">
        <v>28</v>
      </c>
      <c r="E584" s="7" t="s">
        <v>555</v>
      </c>
      <c r="F584" s="7">
        <v>901582</v>
      </c>
      <c r="G584" s="5" t="s">
        <v>274</v>
      </c>
      <c r="H584" s="7"/>
      <c r="I584" s="5"/>
      <c r="J584" s="5"/>
      <c r="K584" s="5"/>
      <c r="L584" s="5" t="s">
        <v>63</v>
      </c>
      <c r="M584" s="5"/>
      <c r="N584" s="6"/>
      <c r="O584" s="6"/>
    </row>
    <row r="585" spans="1:15">
      <c r="A585" s="5" t="s">
        <v>612</v>
      </c>
      <c r="B585" s="5" t="s">
        <v>54</v>
      </c>
      <c r="C585" s="5" t="s">
        <v>55</v>
      </c>
      <c r="D585" s="5" t="s">
        <v>28</v>
      </c>
      <c r="E585" s="7" t="s">
        <v>555</v>
      </c>
      <c r="F585" s="7">
        <v>901583</v>
      </c>
      <c r="G585" s="5" t="s">
        <v>274</v>
      </c>
      <c r="H585" s="7"/>
      <c r="I585" s="5"/>
      <c r="J585" s="5"/>
      <c r="K585" s="5"/>
      <c r="L585" s="5" t="s">
        <v>63</v>
      </c>
      <c r="M585" s="5"/>
      <c r="N585" s="6"/>
      <c r="O585" s="6"/>
    </row>
    <row r="586" spans="1:15">
      <c r="A586" s="5" t="s">
        <v>612</v>
      </c>
      <c r="B586" s="5" t="s">
        <v>30</v>
      </c>
      <c r="C586" s="5" t="s">
        <v>55</v>
      </c>
      <c r="D586" s="5" t="s">
        <v>28</v>
      </c>
      <c r="E586" s="7" t="s">
        <v>555</v>
      </c>
      <c r="F586" s="25">
        <v>901584</v>
      </c>
      <c r="G586" s="5" t="s">
        <v>276</v>
      </c>
      <c r="H586" s="7"/>
      <c r="I586" s="5"/>
      <c r="J586" s="5"/>
      <c r="K586" s="5"/>
      <c r="L586" s="5" t="s">
        <v>63</v>
      </c>
      <c r="M586" s="5"/>
      <c r="N586" s="6"/>
      <c r="O586" s="6" t="s">
        <v>9</v>
      </c>
    </row>
    <row r="587" spans="1:15">
      <c r="A587" s="5" t="s">
        <v>612</v>
      </c>
      <c r="B587" s="5" t="s">
        <v>30</v>
      </c>
      <c r="C587" s="5" t="s">
        <v>91</v>
      </c>
      <c r="D587" s="5" t="s">
        <v>23</v>
      </c>
      <c r="E587" s="7" t="s">
        <v>555</v>
      </c>
      <c r="F587" s="25">
        <v>901585</v>
      </c>
      <c r="G587" s="5" t="s">
        <v>280</v>
      </c>
      <c r="H587" s="7"/>
      <c r="I587" s="5"/>
      <c r="J587" s="5"/>
      <c r="K587" s="5"/>
      <c r="L587" s="5" t="s">
        <v>63</v>
      </c>
      <c r="M587" s="5"/>
      <c r="N587" s="6"/>
      <c r="O587" s="6" t="s">
        <v>9</v>
      </c>
    </row>
    <row r="588" spans="1:15">
      <c r="A588" s="5" t="s">
        <v>53</v>
      </c>
      <c r="B588" s="5" t="s">
        <v>54</v>
      </c>
      <c r="C588" s="5" t="s">
        <v>102</v>
      </c>
      <c r="D588" s="5" t="s">
        <v>26</v>
      </c>
      <c r="E588" s="7" t="s">
        <v>56</v>
      </c>
      <c r="F588" s="7">
        <v>901586</v>
      </c>
      <c r="G588" s="5" t="s">
        <v>193</v>
      </c>
      <c r="H588" s="7"/>
      <c r="I588" s="5"/>
      <c r="J588" s="5"/>
      <c r="K588" s="5"/>
      <c r="L588" s="5" t="s">
        <v>63</v>
      </c>
      <c r="M588" s="5"/>
      <c r="N588" s="6" t="s">
        <v>85</v>
      </c>
      <c r="O588" s="6"/>
    </row>
    <row r="589" spans="1:15">
      <c r="A589" s="5" t="s">
        <v>53</v>
      </c>
      <c r="B589" s="5" t="s">
        <v>54</v>
      </c>
      <c r="C589" s="5" t="s">
        <v>102</v>
      </c>
      <c r="D589" s="5" t="s">
        <v>26</v>
      </c>
      <c r="E589" s="7" t="s">
        <v>99</v>
      </c>
      <c r="F589" s="7">
        <v>90001587</v>
      </c>
      <c r="G589" s="5" t="s">
        <v>282</v>
      </c>
      <c r="H589" s="7">
        <v>28010418</v>
      </c>
      <c r="I589" s="5" t="s">
        <v>613</v>
      </c>
      <c r="J589" s="5" t="s">
        <v>99</v>
      </c>
      <c r="K589" s="5" t="s">
        <v>59</v>
      </c>
      <c r="L589" s="5" t="s">
        <v>60</v>
      </c>
      <c r="M589" s="5"/>
      <c r="N589" s="6"/>
      <c r="O589" s="6"/>
    </row>
    <row r="590" spans="1:15">
      <c r="A590" s="5" t="s">
        <v>53</v>
      </c>
      <c r="B590" s="5" t="s">
        <v>30</v>
      </c>
      <c r="C590" s="5" t="s">
        <v>107</v>
      </c>
      <c r="D590" s="5" t="s">
        <v>19</v>
      </c>
      <c r="E590" s="7" t="s">
        <v>128</v>
      </c>
      <c r="F590" s="7">
        <v>90001588</v>
      </c>
      <c r="G590" s="5" t="s">
        <v>195</v>
      </c>
      <c r="H590" s="7">
        <v>28010419</v>
      </c>
      <c r="I590" s="5" t="s">
        <v>614</v>
      </c>
      <c r="J590" s="5" t="s">
        <v>128</v>
      </c>
      <c r="K590" s="5" t="s">
        <v>59</v>
      </c>
      <c r="L590" s="5" t="s">
        <v>60</v>
      </c>
      <c r="M590" s="5"/>
      <c r="N590" s="6"/>
      <c r="O590" s="6"/>
    </row>
    <row r="591" spans="1:15">
      <c r="A591" s="5" t="s">
        <v>53</v>
      </c>
      <c r="B591" s="5" t="s">
        <v>30</v>
      </c>
      <c r="C591" s="5" t="s">
        <v>107</v>
      </c>
      <c r="D591" s="5" t="s">
        <v>19</v>
      </c>
      <c r="E591" s="7" t="s">
        <v>109</v>
      </c>
      <c r="F591" s="7">
        <v>901589</v>
      </c>
      <c r="G591" s="5" t="s">
        <v>217</v>
      </c>
      <c r="H591" s="7">
        <v>28010420</v>
      </c>
      <c r="I591" s="5" t="s">
        <v>615</v>
      </c>
      <c r="J591" s="5" t="s">
        <v>109</v>
      </c>
      <c r="K591" s="5" t="s">
        <v>59</v>
      </c>
      <c r="L591" s="5" t="s">
        <v>60</v>
      </c>
      <c r="M591" s="5"/>
      <c r="N591" s="6"/>
      <c r="O591" s="6"/>
    </row>
    <row r="592" spans="1:15">
      <c r="A592" s="5" t="s">
        <v>53</v>
      </c>
      <c r="B592" s="5" t="s">
        <v>64</v>
      </c>
      <c r="C592" s="5" t="s">
        <v>80</v>
      </c>
      <c r="D592" s="5" t="s">
        <v>18</v>
      </c>
      <c r="E592" s="7" t="s">
        <v>210</v>
      </c>
      <c r="F592" s="7">
        <v>90001590</v>
      </c>
      <c r="G592" s="5" t="s">
        <v>285</v>
      </c>
      <c r="H592" s="7">
        <v>28010421</v>
      </c>
      <c r="I592" s="5" t="s">
        <v>616</v>
      </c>
      <c r="J592" s="5" t="s">
        <v>210</v>
      </c>
      <c r="K592" s="5" t="s">
        <v>59</v>
      </c>
      <c r="L592" s="5" t="s">
        <v>60</v>
      </c>
      <c r="M592" s="5"/>
      <c r="N592" s="6"/>
      <c r="O592" s="6"/>
    </row>
    <row r="593" spans="1:15">
      <c r="A593" s="5" t="s">
        <v>53</v>
      </c>
      <c r="B593" s="5" t="s">
        <v>54</v>
      </c>
      <c r="C593" s="5" t="s">
        <v>61</v>
      </c>
      <c r="D593" s="5" t="s">
        <v>16</v>
      </c>
      <c r="E593" s="7" t="s">
        <v>109</v>
      </c>
      <c r="F593" s="7">
        <v>901591</v>
      </c>
      <c r="G593" s="5" t="s">
        <v>217</v>
      </c>
      <c r="H593" s="7">
        <v>28010422</v>
      </c>
      <c r="I593" s="5" t="s">
        <v>617</v>
      </c>
      <c r="J593" s="5" t="s">
        <v>109</v>
      </c>
      <c r="K593" s="5" t="s">
        <v>59</v>
      </c>
      <c r="L593" s="5" t="s">
        <v>60</v>
      </c>
      <c r="M593" s="5"/>
      <c r="N593" s="6"/>
      <c r="O593" s="6"/>
    </row>
    <row r="594" spans="1:15">
      <c r="A594" s="5" t="s">
        <v>223</v>
      </c>
      <c r="B594" s="5" t="s">
        <v>54</v>
      </c>
      <c r="C594" s="5" t="s">
        <v>61</v>
      </c>
      <c r="D594" s="5" t="s">
        <v>16</v>
      </c>
      <c r="E594" s="7" t="s">
        <v>109</v>
      </c>
      <c r="F594" s="7">
        <v>901592</v>
      </c>
      <c r="G594" s="5" t="s">
        <v>217</v>
      </c>
      <c r="H594" s="7">
        <v>28010423</v>
      </c>
      <c r="I594" s="5" t="s">
        <v>618</v>
      </c>
      <c r="J594" s="5" t="s">
        <v>109</v>
      </c>
      <c r="K594" s="5" t="s">
        <v>59</v>
      </c>
      <c r="L594" s="5" t="s">
        <v>60</v>
      </c>
      <c r="M594" s="5"/>
      <c r="N594" s="6"/>
      <c r="O594" s="6"/>
    </row>
    <row r="595" spans="1:15">
      <c r="A595" s="5" t="s">
        <v>223</v>
      </c>
      <c r="B595" s="5" t="s">
        <v>54</v>
      </c>
      <c r="C595" s="5" t="s">
        <v>61</v>
      </c>
      <c r="D595" s="5" t="s">
        <v>16</v>
      </c>
      <c r="E595" s="7" t="s">
        <v>109</v>
      </c>
      <c r="F595" s="7">
        <v>901593</v>
      </c>
      <c r="G595" s="5" t="s">
        <v>217</v>
      </c>
      <c r="H595" s="7">
        <v>28010424</v>
      </c>
      <c r="I595" s="5" t="s">
        <v>619</v>
      </c>
      <c r="J595" s="5" t="s">
        <v>109</v>
      </c>
      <c r="K595" s="5" t="s">
        <v>59</v>
      </c>
      <c r="L595" s="5" t="s">
        <v>60</v>
      </c>
      <c r="M595" s="5"/>
      <c r="N595" s="6"/>
      <c r="O595" s="6"/>
    </row>
    <row r="596" spans="1:15">
      <c r="A596" s="5" t="s">
        <v>223</v>
      </c>
      <c r="B596" s="5" t="s">
        <v>54</v>
      </c>
      <c r="C596" s="5" t="s">
        <v>61</v>
      </c>
      <c r="D596" s="5" t="s">
        <v>16</v>
      </c>
      <c r="E596" s="7" t="s">
        <v>109</v>
      </c>
      <c r="F596" s="7">
        <v>901594</v>
      </c>
      <c r="G596" s="5" t="s">
        <v>217</v>
      </c>
      <c r="H596" s="7">
        <v>28010425</v>
      </c>
      <c r="I596" s="5" t="s">
        <v>620</v>
      </c>
      <c r="J596" s="5" t="s">
        <v>109</v>
      </c>
      <c r="K596" s="5" t="s">
        <v>59</v>
      </c>
      <c r="L596" s="5" t="s">
        <v>60</v>
      </c>
      <c r="M596" s="5"/>
      <c r="N596" s="6"/>
      <c r="O596" s="6"/>
    </row>
    <row r="597" spans="1:15">
      <c r="A597" s="5" t="s">
        <v>223</v>
      </c>
      <c r="B597" s="5" t="s">
        <v>54</v>
      </c>
      <c r="C597" s="5" t="s">
        <v>61</v>
      </c>
      <c r="D597" s="5" t="s">
        <v>16</v>
      </c>
      <c r="E597" s="7" t="s">
        <v>109</v>
      </c>
      <c r="F597" s="7">
        <v>901595</v>
      </c>
      <c r="G597" s="5" t="s">
        <v>217</v>
      </c>
      <c r="H597" s="7">
        <v>28010426</v>
      </c>
      <c r="I597" s="5" t="s">
        <v>621</v>
      </c>
      <c r="J597" s="5" t="s">
        <v>109</v>
      </c>
      <c r="K597" s="5" t="s">
        <v>59</v>
      </c>
      <c r="L597" s="5" t="s">
        <v>60</v>
      </c>
      <c r="M597" s="5"/>
      <c r="N597" s="6"/>
      <c r="O597" s="6"/>
    </row>
    <row r="598" spans="1:15">
      <c r="A598" s="5" t="s">
        <v>53</v>
      </c>
      <c r="B598" s="5" t="s">
        <v>54</v>
      </c>
      <c r="C598" s="5" t="s">
        <v>61</v>
      </c>
      <c r="D598" s="5" t="s">
        <v>16</v>
      </c>
      <c r="E598" s="7" t="s">
        <v>109</v>
      </c>
      <c r="F598" s="7">
        <v>901596</v>
      </c>
      <c r="G598" s="5" t="s">
        <v>287</v>
      </c>
      <c r="H598" s="7">
        <v>28010427</v>
      </c>
      <c r="I598" s="5" t="s">
        <v>622</v>
      </c>
      <c r="J598" s="5" t="s">
        <v>109</v>
      </c>
      <c r="K598" s="5" t="s">
        <v>59</v>
      </c>
      <c r="L598" s="5" t="s">
        <v>60</v>
      </c>
      <c r="M598" s="5"/>
      <c r="N598" s="6"/>
      <c r="O598" s="6"/>
    </row>
    <row r="599" spans="1:15">
      <c r="A599" s="5" t="s">
        <v>53</v>
      </c>
      <c r="B599" s="5" t="s">
        <v>30</v>
      </c>
      <c r="C599" s="5" t="s">
        <v>107</v>
      </c>
      <c r="D599" s="5" t="s">
        <v>19</v>
      </c>
      <c r="E599" s="7" t="s">
        <v>109</v>
      </c>
      <c r="F599" s="7">
        <v>901597</v>
      </c>
      <c r="G599" s="5" t="s">
        <v>217</v>
      </c>
      <c r="H599" s="7">
        <v>28010428</v>
      </c>
      <c r="I599" s="5" t="s">
        <v>623</v>
      </c>
      <c r="J599" s="5" t="s">
        <v>109</v>
      </c>
      <c r="K599" s="5" t="s">
        <v>59</v>
      </c>
      <c r="L599" s="5" t="s">
        <v>60</v>
      </c>
      <c r="M599" s="5"/>
      <c r="N599" s="6"/>
      <c r="O599" s="6"/>
    </row>
    <row r="600" spans="1:15">
      <c r="A600" s="5" t="s">
        <v>223</v>
      </c>
      <c r="B600" s="5" t="s">
        <v>31</v>
      </c>
      <c r="C600" s="5" t="s">
        <v>65</v>
      </c>
      <c r="D600" s="5" t="s">
        <v>10</v>
      </c>
      <c r="E600" s="7" t="s">
        <v>109</v>
      </c>
      <c r="F600" s="7">
        <v>901598</v>
      </c>
      <c r="G600" s="5" t="s">
        <v>217</v>
      </c>
      <c r="H600" s="7">
        <v>28010429</v>
      </c>
      <c r="I600" s="5" t="s">
        <v>624</v>
      </c>
      <c r="J600" s="5" t="s">
        <v>109</v>
      </c>
      <c r="K600" s="5" t="s">
        <v>59</v>
      </c>
      <c r="L600" s="5" t="s">
        <v>60</v>
      </c>
      <c r="M600" s="5"/>
      <c r="N600" s="6"/>
      <c r="O600" s="6"/>
    </row>
    <row r="601" spans="1:15">
      <c r="A601" s="5" t="s">
        <v>223</v>
      </c>
      <c r="B601" s="5" t="s">
        <v>30</v>
      </c>
      <c r="C601" s="5" t="s">
        <v>107</v>
      </c>
      <c r="D601" s="5" t="s">
        <v>19</v>
      </c>
      <c r="E601" s="7" t="s">
        <v>109</v>
      </c>
      <c r="F601" s="7">
        <v>901599</v>
      </c>
      <c r="G601" s="5" t="s">
        <v>217</v>
      </c>
      <c r="H601" s="7">
        <v>28010430</v>
      </c>
      <c r="I601" s="5" t="s">
        <v>625</v>
      </c>
      <c r="J601" s="5" t="s">
        <v>109</v>
      </c>
      <c r="K601" s="5" t="s">
        <v>59</v>
      </c>
      <c r="L601" s="5" t="s">
        <v>60</v>
      </c>
      <c r="M601" s="5"/>
      <c r="N601" s="6"/>
      <c r="O601" s="6"/>
    </row>
    <row r="602" spans="1:15">
      <c r="A602" s="5" t="s">
        <v>53</v>
      </c>
      <c r="B602" s="5" t="s">
        <v>32</v>
      </c>
      <c r="C602" s="5" t="s">
        <v>98</v>
      </c>
      <c r="D602" s="6" t="s">
        <v>21</v>
      </c>
      <c r="E602" s="7" t="s">
        <v>210</v>
      </c>
      <c r="F602" s="7">
        <v>901600</v>
      </c>
      <c r="G602" s="5" t="s">
        <v>293</v>
      </c>
      <c r="H602" s="8"/>
      <c r="I602" s="5"/>
      <c r="J602" s="5"/>
      <c r="K602" s="5"/>
      <c r="L602" s="5" t="s">
        <v>63</v>
      </c>
      <c r="M602" s="5"/>
      <c r="N602" s="6" t="s">
        <v>85</v>
      </c>
      <c r="O602" s="6" t="s">
        <v>9</v>
      </c>
    </row>
    <row r="603" spans="1:15">
      <c r="A603" s="5" t="s">
        <v>53</v>
      </c>
      <c r="B603" s="5" t="s">
        <v>32</v>
      </c>
      <c r="C603" s="5" t="s">
        <v>98</v>
      </c>
      <c r="D603" s="6" t="s">
        <v>21</v>
      </c>
      <c r="E603" s="7" t="s">
        <v>99</v>
      </c>
      <c r="F603" s="25">
        <v>90001601</v>
      </c>
      <c r="G603" s="5" t="s">
        <v>296</v>
      </c>
      <c r="H603" s="8"/>
      <c r="I603" s="5"/>
      <c r="J603" s="5"/>
      <c r="K603" s="5"/>
      <c r="L603" s="5" t="s">
        <v>63</v>
      </c>
      <c r="M603" s="5"/>
      <c r="N603" s="6" t="s">
        <v>473</v>
      </c>
      <c r="O603" s="6" t="s">
        <v>9</v>
      </c>
    </row>
    <row r="604" spans="1:15">
      <c r="A604" s="5" t="s">
        <v>53</v>
      </c>
      <c r="B604" s="6" t="s">
        <v>33</v>
      </c>
      <c r="C604" s="6" t="s">
        <v>102</v>
      </c>
      <c r="D604" s="6" t="s">
        <v>22</v>
      </c>
      <c r="E604" s="7" t="s">
        <v>69</v>
      </c>
      <c r="F604" s="7">
        <v>901602</v>
      </c>
      <c r="G604" s="6" t="s">
        <v>298</v>
      </c>
      <c r="H604" s="7">
        <v>28010431</v>
      </c>
      <c r="I604" s="5" t="s">
        <v>626</v>
      </c>
      <c r="J604" s="5" t="s">
        <v>69</v>
      </c>
      <c r="K604" s="5" t="s">
        <v>59</v>
      </c>
      <c r="L604" s="5" t="s">
        <v>60</v>
      </c>
      <c r="M604" s="6"/>
      <c r="N604" s="6" t="s">
        <v>473</v>
      </c>
      <c r="O604" s="6"/>
    </row>
    <row r="605" spans="1:15">
      <c r="A605" s="5" t="s">
        <v>53</v>
      </c>
      <c r="B605" s="6" t="s">
        <v>33</v>
      </c>
      <c r="C605" s="6" t="s">
        <v>102</v>
      </c>
      <c r="D605" s="6" t="s">
        <v>22</v>
      </c>
      <c r="E605" s="7" t="s">
        <v>627</v>
      </c>
      <c r="F605" s="7">
        <v>901603</v>
      </c>
      <c r="G605" s="6" t="s">
        <v>300</v>
      </c>
      <c r="H605" s="7"/>
      <c r="I605" s="5"/>
      <c r="J605" s="5"/>
      <c r="K605" s="5"/>
      <c r="L605" s="5" t="s">
        <v>63</v>
      </c>
      <c r="M605" s="13" t="s">
        <v>85</v>
      </c>
      <c r="N605" s="6"/>
      <c r="O605" s="6"/>
    </row>
    <row r="606" spans="1:15">
      <c r="A606" s="5" t="s">
        <v>53</v>
      </c>
      <c r="B606" s="6" t="s">
        <v>33</v>
      </c>
      <c r="C606" s="6" t="s">
        <v>102</v>
      </c>
      <c r="D606" s="6" t="s">
        <v>22</v>
      </c>
      <c r="E606" s="7" t="s">
        <v>69</v>
      </c>
      <c r="F606" s="7">
        <v>901604</v>
      </c>
      <c r="G606" s="6" t="s">
        <v>302</v>
      </c>
      <c r="H606" s="7">
        <v>28010432</v>
      </c>
      <c r="I606" s="5" t="s">
        <v>628</v>
      </c>
      <c r="J606" s="5" t="s">
        <v>210</v>
      </c>
      <c r="K606" s="5" t="s">
        <v>59</v>
      </c>
      <c r="L606" s="5" t="s">
        <v>60</v>
      </c>
      <c r="M606" s="6"/>
      <c r="N606" s="6" t="s">
        <v>490</v>
      </c>
      <c r="O606" s="6"/>
    </row>
    <row r="607" spans="1:15">
      <c r="A607" s="5" t="s">
        <v>53</v>
      </c>
      <c r="B607" s="6" t="s">
        <v>33</v>
      </c>
      <c r="C607" s="6" t="s">
        <v>102</v>
      </c>
      <c r="D607" s="6" t="s">
        <v>22</v>
      </c>
      <c r="E607" s="7" t="s">
        <v>128</v>
      </c>
      <c r="F607" s="7">
        <v>901605</v>
      </c>
      <c r="G607" s="6" t="s">
        <v>306</v>
      </c>
      <c r="H607" s="7">
        <v>28010433</v>
      </c>
      <c r="I607" s="5" t="s">
        <v>629</v>
      </c>
      <c r="J607" s="5" t="s">
        <v>128</v>
      </c>
      <c r="K607" s="5" t="s">
        <v>59</v>
      </c>
      <c r="L607" s="5" t="s">
        <v>60</v>
      </c>
      <c r="M607" s="6"/>
      <c r="N607" s="6" t="s">
        <v>630</v>
      </c>
      <c r="O607" s="6"/>
    </row>
    <row r="608" spans="1:15">
      <c r="A608" s="5" t="s">
        <v>53</v>
      </c>
      <c r="B608" s="6" t="s">
        <v>33</v>
      </c>
      <c r="C608" s="6" t="s">
        <v>102</v>
      </c>
      <c r="D608" s="6" t="s">
        <v>22</v>
      </c>
      <c r="E608" s="7" t="s">
        <v>128</v>
      </c>
      <c r="F608" s="7">
        <v>901606</v>
      </c>
      <c r="G608" s="6" t="s">
        <v>308</v>
      </c>
      <c r="H608" s="8"/>
      <c r="I608" s="5"/>
      <c r="J608" s="5"/>
      <c r="K608" s="5"/>
      <c r="L608" s="5" t="s">
        <v>63</v>
      </c>
      <c r="M608" s="13" t="s">
        <v>85</v>
      </c>
      <c r="N608" s="6" t="s">
        <v>630</v>
      </c>
      <c r="O608" s="6"/>
    </row>
    <row r="609" spans="1:15">
      <c r="A609" s="5" t="s">
        <v>53</v>
      </c>
      <c r="B609" s="6" t="s">
        <v>33</v>
      </c>
      <c r="C609" s="6" t="s">
        <v>102</v>
      </c>
      <c r="D609" s="6" t="s">
        <v>22</v>
      </c>
      <c r="E609" s="7" t="s">
        <v>99</v>
      </c>
      <c r="F609" s="7">
        <v>901607</v>
      </c>
      <c r="G609" s="6" t="s">
        <v>311</v>
      </c>
      <c r="H609" s="8"/>
      <c r="I609" s="5"/>
      <c r="J609" s="5"/>
      <c r="K609" s="5"/>
      <c r="L609" s="5" t="s">
        <v>63</v>
      </c>
      <c r="M609" s="13" t="s">
        <v>85</v>
      </c>
      <c r="N609" s="6" t="s">
        <v>631</v>
      </c>
      <c r="O609" s="6"/>
    </row>
    <row r="610" spans="1:15">
      <c r="A610" s="5" t="s">
        <v>53</v>
      </c>
      <c r="B610" s="6" t="s">
        <v>33</v>
      </c>
      <c r="C610" s="6" t="s">
        <v>102</v>
      </c>
      <c r="D610" s="6" t="s">
        <v>22</v>
      </c>
      <c r="E610" s="7" t="s">
        <v>210</v>
      </c>
      <c r="F610" s="7">
        <v>901608</v>
      </c>
      <c r="G610" s="6" t="s">
        <v>315</v>
      </c>
      <c r="H610" s="8"/>
      <c r="I610" s="5"/>
      <c r="J610" s="5"/>
      <c r="K610" s="5"/>
      <c r="L610" s="5" t="s">
        <v>63</v>
      </c>
      <c r="M610" s="13" t="s">
        <v>85</v>
      </c>
      <c r="N610" s="6"/>
      <c r="O610" s="6"/>
    </row>
    <row r="611" spans="1:15">
      <c r="A611" s="5" t="s">
        <v>53</v>
      </c>
      <c r="B611" s="6" t="s">
        <v>33</v>
      </c>
      <c r="C611" s="6" t="s">
        <v>102</v>
      </c>
      <c r="D611" s="6" t="s">
        <v>22</v>
      </c>
      <c r="E611" s="7" t="s">
        <v>128</v>
      </c>
      <c r="F611" s="7">
        <v>901609</v>
      </c>
      <c r="G611" s="6" t="s">
        <v>317</v>
      </c>
      <c r="H611" s="8"/>
      <c r="I611" s="5"/>
      <c r="J611" s="5"/>
      <c r="K611" s="5"/>
      <c r="L611" s="5" t="s">
        <v>63</v>
      </c>
      <c r="M611" s="13" t="s">
        <v>85</v>
      </c>
      <c r="N611" s="6" t="s">
        <v>630</v>
      </c>
      <c r="O611" s="6"/>
    </row>
    <row r="612" spans="1:15">
      <c r="A612" s="5" t="s">
        <v>53</v>
      </c>
      <c r="B612" s="6" t="s">
        <v>33</v>
      </c>
      <c r="C612" s="6" t="s">
        <v>102</v>
      </c>
      <c r="D612" s="6" t="s">
        <v>22</v>
      </c>
      <c r="E612" s="7" t="s">
        <v>66</v>
      </c>
      <c r="F612" s="7">
        <v>901610</v>
      </c>
      <c r="G612" s="6" t="s">
        <v>319</v>
      </c>
      <c r="H612" s="8"/>
      <c r="I612" s="5"/>
      <c r="J612" s="5"/>
      <c r="K612" s="5"/>
      <c r="L612" s="5" t="s">
        <v>63</v>
      </c>
      <c r="M612" s="13" t="s">
        <v>85</v>
      </c>
      <c r="N612" s="6" t="s">
        <v>631</v>
      </c>
      <c r="O612" s="6"/>
    </row>
    <row r="613" spans="1:15">
      <c r="A613" s="5" t="s">
        <v>53</v>
      </c>
      <c r="B613" s="6" t="s">
        <v>33</v>
      </c>
      <c r="C613" s="6" t="s">
        <v>102</v>
      </c>
      <c r="D613" s="6" t="s">
        <v>22</v>
      </c>
      <c r="E613" s="7" t="s">
        <v>128</v>
      </c>
      <c r="F613" s="7">
        <v>901611</v>
      </c>
      <c r="G613" s="6" t="s">
        <v>321</v>
      </c>
      <c r="H613" s="8"/>
      <c r="I613" s="5"/>
      <c r="J613" s="5"/>
      <c r="K613" s="5"/>
      <c r="L613" s="5" t="s">
        <v>63</v>
      </c>
      <c r="M613" s="13" t="s">
        <v>85</v>
      </c>
      <c r="N613" s="6"/>
      <c r="O613" s="6"/>
    </row>
    <row r="614" spans="1:15">
      <c r="A614" s="5" t="s">
        <v>53</v>
      </c>
      <c r="B614" s="6" t="s">
        <v>32</v>
      </c>
      <c r="C614" s="6" t="s">
        <v>98</v>
      </c>
      <c r="D614" s="6" t="s">
        <v>21</v>
      </c>
      <c r="E614" s="7" t="s">
        <v>10</v>
      </c>
      <c r="F614" s="7">
        <v>901612</v>
      </c>
      <c r="G614" s="6" t="s">
        <v>325</v>
      </c>
      <c r="H614" s="8"/>
      <c r="I614" s="5"/>
      <c r="J614" s="5"/>
      <c r="K614" s="5"/>
      <c r="L614" s="5" t="s">
        <v>63</v>
      </c>
      <c r="M614" s="6"/>
      <c r="N614" s="6" t="s">
        <v>630</v>
      </c>
      <c r="O614" s="6"/>
    </row>
    <row r="615" spans="1:15">
      <c r="A615" s="5" t="s">
        <v>53</v>
      </c>
      <c r="B615" s="6" t="s">
        <v>32</v>
      </c>
      <c r="C615" s="6" t="s">
        <v>98</v>
      </c>
      <c r="D615" s="6" t="s">
        <v>21</v>
      </c>
      <c r="E615" s="7" t="s">
        <v>56</v>
      </c>
      <c r="F615" s="7">
        <v>901613</v>
      </c>
      <c r="G615" s="6" t="s">
        <v>296</v>
      </c>
      <c r="H615" s="8"/>
      <c r="I615" s="5"/>
      <c r="J615" s="5"/>
      <c r="K615" s="5"/>
      <c r="L615" s="5" t="s">
        <v>63</v>
      </c>
      <c r="M615" s="6"/>
      <c r="N615" s="6" t="s">
        <v>473</v>
      </c>
      <c r="O615" s="6"/>
    </row>
    <row r="616" spans="1:15">
      <c r="A616" s="5" t="s">
        <v>223</v>
      </c>
      <c r="B616" s="6" t="s">
        <v>33</v>
      </c>
      <c r="C616" s="6" t="s">
        <v>102</v>
      </c>
      <c r="D616" s="6" t="s">
        <v>22</v>
      </c>
      <c r="E616" s="7" t="s">
        <v>69</v>
      </c>
      <c r="F616" s="7">
        <v>901614</v>
      </c>
      <c r="G616" s="6" t="s">
        <v>329</v>
      </c>
      <c r="H616" s="8"/>
      <c r="I616" s="5"/>
      <c r="J616" s="5"/>
      <c r="K616" s="5"/>
      <c r="L616" s="5" t="s">
        <v>63</v>
      </c>
      <c r="M616" s="13" t="s">
        <v>85</v>
      </c>
      <c r="N616" s="6"/>
      <c r="O616" s="6"/>
    </row>
    <row r="617" spans="1:15">
      <c r="A617" s="5" t="s">
        <v>223</v>
      </c>
      <c r="B617" s="6" t="s">
        <v>33</v>
      </c>
      <c r="C617" s="6" t="s">
        <v>102</v>
      </c>
      <c r="D617" s="6" t="s">
        <v>22</v>
      </c>
      <c r="E617" s="7" t="s">
        <v>128</v>
      </c>
      <c r="F617" s="7">
        <v>901615</v>
      </c>
      <c r="G617" s="6" t="s">
        <v>331</v>
      </c>
      <c r="H617" s="8"/>
      <c r="I617" s="5"/>
      <c r="J617" s="5"/>
      <c r="K617" s="5"/>
      <c r="L617" s="5" t="s">
        <v>63</v>
      </c>
      <c r="M617" s="13" t="s">
        <v>85</v>
      </c>
      <c r="N617" s="6" t="s">
        <v>632</v>
      </c>
      <c r="O617" s="6"/>
    </row>
    <row r="618" spans="1:15">
      <c r="A618" s="5" t="s">
        <v>53</v>
      </c>
      <c r="B618" s="5" t="s">
        <v>54</v>
      </c>
      <c r="C618" s="5" t="s">
        <v>107</v>
      </c>
      <c r="D618" s="5" t="s">
        <v>27</v>
      </c>
      <c r="E618" s="7" t="s">
        <v>238</v>
      </c>
      <c r="F618" s="7">
        <v>901616</v>
      </c>
      <c r="G618" s="5" t="s">
        <v>57</v>
      </c>
      <c r="H618" s="7"/>
      <c r="I618" s="5"/>
      <c r="J618" s="5"/>
      <c r="K618" s="5"/>
      <c r="L618" s="5" t="s">
        <v>63</v>
      </c>
      <c r="M618" s="5"/>
      <c r="N618" s="6"/>
      <c r="O618" s="6"/>
    </row>
    <row r="619" spans="1:15">
      <c r="A619" s="5" t="s">
        <v>53</v>
      </c>
      <c r="B619" s="6" t="s">
        <v>33</v>
      </c>
      <c r="C619" s="6" t="s">
        <v>102</v>
      </c>
      <c r="D619" s="6" t="s">
        <v>22</v>
      </c>
      <c r="E619" s="7" t="s">
        <v>69</v>
      </c>
      <c r="F619" s="7">
        <v>90001617</v>
      </c>
      <c r="G619" s="6" t="s">
        <v>62</v>
      </c>
      <c r="H619" s="8">
        <v>28010434</v>
      </c>
      <c r="I619" s="5" t="s">
        <v>633</v>
      </c>
      <c r="J619" s="5" t="s">
        <v>69</v>
      </c>
      <c r="K619" s="5" t="s">
        <v>59</v>
      </c>
      <c r="L619" s="5" t="s">
        <v>60</v>
      </c>
      <c r="M619" s="6"/>
      <c r="N619" s="6"/>
      <c r="O619" s="6"/>
    </row>
    <row r="620" spans="1:15">
      <c r="A620" s="5" t="s">
        <v>53</v>
      </c>
      <c r="B620" s="6" t="s">
        <v>32</v>
      </c>
      <c r="C620" s="6" t="s">
        <v>98</v>
      </c>
      <c r="D620" s="6" t="s">
        <v>21</v>
      </c>
      <c r="E620" s="7" t="s">
        <v>128</v>
      </c>
      <c r="F620" s="7">
        <v>90001618</v>
      </c>
      <c r="G620" s="6" t="s">
        <v>296</v>
      </c>
      <c r="H620" s="8">
        <v>28010435</v>
      </c>
      <c r="I620" s="5" t="s">
        <v>634</v>
      </c>
      <c r="J620" s="5" t="s">
        <v>128</v>
      </c>
      <c r="K620" s="5" t="s">
        <v>59</v>
      </c>
      <c r="L620" s="5" t="s">
        <v>60</v>
      </c>
      <c r="M620" s="6"/>
      <c r="N620" s="6"/>
      <c r="O620" s="6"/>
    </row>
    <row r="621" spans="1:15">
      <c r="A621" s="5" t="s">
        <v>53</v>
      </c>
      <c r="B621" s="6" t="s">
        <v>33</v>
      </c>
      <c r="C621" s="6" t="s">
        <v>102</v>
      </c>
      <c r="D621" s="6" t="s">
        <v>22</v>
      </c>
      <c r="E621" s="7" t="s">
        <v>66</v>
      </c>
      <c r="F621" s="7">
        <v>90001619</v>
      </c>
      <c r="G621" s="6" t="s">
        <v>62</v>
      </c>
      <c r="H621" s="8">
        <v>28010436</v>
      </c>
      <c r="I621" s="5" t="s">
        <v>635</v>
      </c>
      <c r="J621" s="5" t="s">
        <v>66</v>
      </c>
      <c r="K621" s="5" t="s">
        <v>59</v>
      </c>
      <c r="L621" s="5" t="s">
        <v>60</v>
      </c>
      <c r="M621" s="6"/>
      <c r="N621" s="6"/>
      <c r="O621" s="6"/>
    </row>
    <row r="622" spans="1:15">
      <c r="A622" s="5" t="s">
        <v>53</v>
      </c>
      <c r="B622" s="6" t="s">
        <v>33</v>
      </c>
      <c r="C622" s="6" t="s">
        <v>102</v>
      </c>
      <c r="D622" s="6" t="s">
        <v>22</v>
      </c>
      <c r="E622" s="7" t="s">
        <v>495</v>
      </c>
      <c r="F622" s="7">
        <v>90001620</v>
      </c>
      <c r="G622" s="6" t="s">
        <v>67</v>
      </c>
      <c r="H622" s="8">
        <v>28010437</v>
      </c>
      <c r="I622" s="5" t="s">
        <v>636</v>
      </c>
      <c r="J622" s="5" t="s">
        <v>495</v>
      </c>
      <c r="K622" s="5" t="s">
        <v>59</v>
      </c>
      <c r="L622" s="5" t="s">
        <v>60</v>
      </c>
      <c r="M622" s="6"/>
      <c r="N622" s="6"/>
      <c r="O622" s="6"/>
    </row>
    <row r="623" spans="1:15">
      <c r="A623" s="5" t="s">
        <v>53</v>
      </c>
      <c r="B623" s="6" t="s">
        <v>33</v>
      </c>
      <c r="C623" s="6" t="s">
        <v>102</v>
      </c>
      <c r="D623" s="6" t="s">
        <v>22</v>
      </c>
      <c r="E623" s="7" t="s">
        <v>69</v>
      </c>
      <c r="F623" s="7">
        <v>90001621</v>
      </c>
      <c r="G623" s="6" t="s">
        <v>70</v>
      </c>
      <c r="H623" s="8">
        <v>28010438</v>
      </c>
      <c r="I623" s="5" t="s">
        <v>637</v>
      </c>
      <c r="J623" s="5" t="s">
        <v>69</v>
      </c>
      <c r="K623" s="5" t="s">
        <v>59</v>
      </c>
      <c r="L623" s="5" t="s">
        <v>60</v>
      </c>
      <c r="M623" s="6"/>
      <c r="N623" s="6"/>
      <c r="O623" s="6"/>
    </row>
    <row r="624" spans="1:15">
      <c r="A624" s="5" t="s">
        <v>53</v>
      </c>
      <c r="B624" s="6" t="s">
        <v>33</v>
      </c>
      <c r="C624" s="6" t="s">
        <v>102</v>
      </c>
      <c r="D624" s="6" t="s">
        <v>22</v>
      </c>
      <c r="E624" s="7" t="s">
        <v>128</v>
      </c>
      <c r="F624" s="7">
        <v>90001622</v>
      </c>
      <c r="G624" s="6" t="s">
        <v>73</v>
      </c>
      <c r="H624" s="8">
        <v>28010439</v>
      </c>
      <c r="I624" s="5" t="s">
        <v>638</v>
      </c>
      <c r="J624" s="5" t="s">
        <v>128</v>
      </c>
      <c r="K624" s="5" t="s">
        <v>59</v>
      </c>
      <c r="L624" s="5" t="s">
        <v>60</v>
      </c>
      <c r="M624" s="6"/>
      <c r="N624" s="6"/>
      <c r="O624" s="6"/>
    </row>
    <row r="625" spans="1:15">
      <c r="A625" s="5" t="s">
        <v>53</v>
      </c>
      <c r="B625" s="6" t="s">
        <v>32</v>
      </c>
      <c r="C625" s="6" t="s">
        <v>98</v>
      </c>
      <c r="D625" s="6" t="s">
        <v>21</v>
      </c>
      <c r="E625" s="7" t="s">
        <v>495</v>
      </c>
      <c r="F625" s="7">
        <v>901623</v>
      </c>
      <c r="G625" s="6" t="s">
        <v>84</v>
      </c>
      <c r="H625" s="8">
        <v>28010440</v>
      </c>
      <c r="I625" s="5" t="s">
        <v>639</v>
      </c>
      <c r="J625" s="5" t="s">
        <v>495</v>
      </c>
      <c r="K625" s="5" t="s">
        <v>59</v>
      </c>
      <c r="L625" s="5" t="s">
        <v>60</v>
      </c>
      <c r="M625" s="6"/>
      <c r="N625" s="6"/>
      <c r="O625" s="6"/>
    </row>
    <row r="626" spans="1:15">
      <c r="A626" s="5" t="s">
        <v>53</v>
      </c>
      <c r="B626" s="6" t="s">
        <v>33</v>
      </c>
      <c r="C626" s="6" t="s">
        <v>102</v>
      </c>
      <c r="D626" s="6" t="s">
        <v>22</v>
      </c>
      <c r="E626" s="7" t="s">
        <v>210</v>
      </c>
      <c r="F626" s="7">
        <v>901624</v>
      </c>
      <c r="G626" s="6" t="s">
        <v>331</v>
      </c>
      <c r="H626" s="8">
        <v>28010441</v>
      </c>
      <c r="I626" s="5" t="s">
        <v>640</v>
      </c>
      <c r="J626" s="5" t="s">
        <v>210</v>
      </c>
      <c r="K626" s="5" t="s">
        <v>59</v>
      </c>
      <c r="L626" s="5" t="s">
        <v>60</v>
      </c>
      <c r="M626" s="6"/>
      <c r="N626" s="6"/>
      <c r="O626" s="6"/>
    </row>
    <row r="627" spans="1:15">
      <c r="A627" s="5" t="s">
        <v>53</v>
      </c>
      <c r="B627" s="6" t="s">
        <v>32</v>
      </c>
      <c r="C627" s="6" t="s">
        <v>98</v>
      </c>
      <c r="D627" s="6" t="s">
        <v>21</v>
      </c>
      <c r="E627" s="7" t="s">
        <v>99</v>
      </c>
      <c r="F627" s="7">
        <v>901625</v>
      </c>
      <c r="G627" s="6" t="s">
        <v>92</v>
      </c>
      <c r="H627" s="8">
        <v>28010442</v>
      </c>
      <c r="I627" s="5" t="s">
        <v>641</v>
      </c>
      <c r="J627" s="5" t="s">
        <v>99</v>
      </c>
      <c r="K627" s="5" t="s">
        <v>59</v>
      </c>
      <c r="L627" s="5" t="s">
        <v>60</v>
      </c>
      <c r="M627" s="6"/>
      <c r="N627" s="6"/>
      <c r="O627" s="6"/>
    </row>
    <row r="628" spans="1:15">
      <c r="A628" s="5" t="s">
        <v>53</v>
      </c>
      <c r="B628" s="6" t="s">
        <v>32</v>
      </c>
      <c r="C628" s="6" t="s">
        <v>98</v>
      </c>
      <c r="D628" s="6" t="s">
        <v>21</v>
      </c>
      <c r="E628" s="7" t="s">
        <v>210</v>
      </c>
      <c r="F628" s="7">
        <v>901626</v>
      </c>
      <c r="G628" s="6" t="s">
        <v>100</v>
      </c>
      <c r="H628" s="8">
        <v>28010443</v>
      </c>
      <c r="I628" s="5" t="s">
        <v>642</v>
      </c>
      <c r="J628" s="5" t="s">
        <v>210</v>
      </c>
      <c r="K628" s="5" t="s">
        <v>59</v>
      </c>
      <c r="L628" s="5" t="s">
        <v>60</v>
      </c>
      <c r="M628" s="6"/>
      <c r="N628" s="6"/>
      <c r="O628" s="6"/>
    </row>
    <row r="629" spans="1:15">
      <c r="A629" s="5" t="s">
        <v>53</v>
      </c>
      <c r="B629" s="6" t="s">
        <v>32</v>
      </c>
      <c r="C629" s="6" t="s">
        <v>98</v>
      </c>
      <c r="D629" s="6" t="s">
        <v>21</v>
      </c>
      <c r="E629" s="7" t="s">
        <v>128</v>
      </c>
      <c r="F629" s="7">
        <v>901627</v>
      </c>
      <c r="G629" s="6" t="s">
        <v>103</v>
      </c>
      <c r="H629" s="8">
        <v>28010444</v>
      </c>
      <c r="I629" s="5" t="s">
        <v>643</v>
      </c>
      <c r="J629" s="5" t="s">
        <v>128</v>
      </c>
      <c r="K629" s="5" t="s">
        <v>59</v>
      </c>
      <c r="L629" s="5" t="s">
        <v>60</v>
      </c>
      <c r="M629" s="6"/>
      <c r="N629" s="6"/>
      <c r="O629" s="6"/>
    </row>
    <row r="630" spans="1:15">
      <c r="A630" s="5" t="s">
        <v>53</v>
      </c>
      <c r="B630" s="6" t="s">
        <v>33</v>
      </c>
      <c r="C630" s="6" t="s">
        <v>102</v>
      </c>
      <c r="D630" s="6" t="s">
        <v>22</v>
      </c>
      <c r="E630" s="7" t="s">
        <v>210</v>
      </c>
      <c r="F630" s="7">
        <v>901628</v>
      </c>
      <c r="G630" s="6" t="s">
        <v>111</v>
      </c>
      <c r="H630" s="8">
        <v>28010445</v>
      </c>
      <c r="I630" s="5" t="s">
        <v>644</v>
      </c>
      <c r="J630" s="5" t="s">
        <v>210</v>
      </c>
      <c r="K630" s="5" t="s">
        <v>59</v>
      </c>
      <c r="L630" s="5" t="s">
        <v>60</v>
      </c>
      <c r="M630" s="6"/>
      <c r="N630" s="6"/>
      <c r="O630" s="6"/>
    </row>
    <row r="631" spans="1:15">
      <c r="A631" s="5" t="s">
        <v>53</v>
      </c>
      <c r="B631" s="6" t="s">
        <v>33</v>
      </c>
      <c r="C631" s="6" t="s">
        <v>102</v>
      </c>
      <c r="D631" s="6" t="s">
        <v>22</v>
      </c>
      <c r="E631" s="7" t="s">
        <v>210</v>
      </c>
      <c r="F631" s="7">
        <v>901629</v>
      </c>
      <c r="G631" s="6" t="s">
        <v>113</v>
      </c>
      <c r="H631" s="8">
        <v>28010446</v>
      </c>
      <c r="I631" s="5" t="s">
        <v>645</v>
      </c>
      <c r="J631" s="5" t="s">
        <v>210</v>
      </c>
      <c r="K631" s="5" t="s">
        <v>59</v>
      </c>
      <c r="L631" s="5" t="s">
        <v>60</v>
      </c>
      <c r="M631" s="6"/>
      <c r="N631" s="6"/>
      <c r="O631" s="6"/>
    </row>
    <row r="632" spans="1:15">
      <c r="A632" s="5" t="s">
        <v>53</v>
      </c>
      <c r="B632" s="6" t="s">
        <v>32</v>
      </c>
      <c r="C632" s="6" t="s">
        <v>98</v>
      </c>
      <c r="D632" s="6" t="s">
        <v>21</v>
      </c>
      <c r="E632" s="7" t="s">
        <v>99</v>
      </c>
      <c r="F632" s="7">
        <v>901630</v>
      </c>
      <c r="G632" s="6" t="s">
        <v>116</v>
      </c>
      <c r="H632" s="8">
        <v>28010447</v>
      </c>
      <c r="I632" s="5" t="s">
        <v>646</v>
      </c>
      <c r="J632" s="5" t="s">
        <v>99</v>
      </c>
      <c r="K632" s="5" t="s">
        <v>59</v>
      </c>
      <c r="L632" s="5" t="s">
        <v>60</v>
      </c>
      <c r="M632" s="6"/>
      <c r="N632" s="6"/>
      <c r="O632" s="6"/>
    </row>
    <row r="633" spans="1:15">
      <c r="A633" s="5" t="s">
        <v>53</v>
      </c>
      <c r="B633" s="6" t="s">
        <v>32</v>
      </c>
      <c r="C633" s="6" t="s">
        <v>98</v>
      </c>
      <c r="D633" s="6" t="s">
        <v>21</v>
      </c>
      <c r="E633" s="7" t="s">
        <v>66</v>
      </c>
      <c r="F633" s="7">
        <v>901631</v>
      </c>
      <c r="G633" s="6" t="s">
        <v>118</v>
      </c>
      <c r="H633" s="8">
        <v>28010448</v>
      </c>
      <c r="I633" s="5" t="s">
        <v>647</v>
      </c>
      <c r="J633" s="5" t="s">
        <v>66</v>
      </c>
      <c r="K633" s="5" t="s">
        <v>59</v>
      </c>
      <c r="L633" s="5" t="s">
        <v>60</v>
      </c>
      <c r="M633" s="6"/>
      <c r="N633" s="6"/>
      <c r="O633" s="6"/>
    </row>
    <row r="634" spans="1:15">
      <c r="A634" s="5" t="s">
        <v>53</v>
      </c>
      <c r="B634" s="6" t="s">
        <v>32</v>
      </c>
      <c r="C634" s="6" t="s">
        <v>98</v>
      </c>
      <c r="D634" s="6" t="s">
        <v>21</v>
      </c>
      <c r="E634" s="7" t="s">
        <v>128</v>
      </c>
      <c r="F634" s="7">
        <v>901632</v>
      </c>
      <c r="G634" s="6" t="s">
        <v>120</v>
      </c>
      <c r="H634" s="8">
        <v>28010449</v>
      </c>
      <c r="I634" s="5" t="s">
        <v>648</v>
      </c>
      <c r="J634" s="5" t="s">
        <v>128</v>
      </c>
      <c r="K634" s="5" t="s">
        <v>59</v>
      </c>
      <c r="L634" s="5" t="s">
        <v>60</v>
      </c>
      <c r="M634" s="6"/>
      <c r="N634" s="6"/>
      <c r="O634" s="6"/>
    </row>
    <row r="635" spans="1:15">
      <c r="A635" s="5" t="s">
        <v>53</v>
      </c>
      <c r="B635" s="6" t="s">
        <v>33</v>
      </c>
      <c r="C635" s="6" t="s">
        <v>102</v>
      </c>
      <c r="D635" s="6" t="s">
        <v>22</v>
      </c>
      <c r="E635" s="7" t="s">
        <v>210</v>
      </c>
      <c r="F635" s="7">
        <v>901633</v>
      </c>
      <c r="G635" s="6" t="s">
        <v>73</v>
      </c>
      <c r="H635" s="8">
        <v>28010450</v>
      </c>
      <c r="I635" s="5" t="s">
        <v>649</v>
      </c>
      <c r="J635" s="5" t="s">
        <v>210</v>
      </c>
      <c r="K635" s="5" t="s">
        <v>59</v>
      </c>
      <c r="L635" s="5" t="s">
        <v>60</v>
      </c>
      <c r="M635" s="6"/>
      <c r="N635" s="6"/>
      <c r="O635" s="6"/>
    </row>
    <row r="636" spans="1:15">
      <c r="A636" s="5" t="s">
        <v>53</v>
      </c>
      <c r="B636" s="6" t="s">
        <v>33</v>
      </c>
      <c r="C636" s="6" t="s">
        <v>102</v>
      </c>
      <c r="D636" s="6" t="s">
        <v>22</v>
      </c>
      <c r="E636" s="7" t="s">
        <v>128</v>
      </c>
      <c r="F636" s="7">
        <v>901634</v>
      </c>
      <c r="G636" s="6" t="s">
        <v>73</v>
      </c>
      <c r="H636" s="8">
        <v>28010451</v>
      </c>
      <c r="I636" s="5" t="s">
        <v>650</v>
      </c>
      <c r="J636" s="5" t="s">
        <v>128</v>
      </c>
      <c r="K636" s="5" t="s">
        <v>59</v>
      </c>
      <c r="L636" s="5" t="s">
        <v>60</v>
      </c>
      <c r="M636" s="6"/>
      <c r="N636" s="6"/>
      <c r="O636" s="6"/>
    </row>
    <row r="637" spans="1:15">
      <c r="A637" s="5" t="s">
        <v>53</v>
      </c>
      <c r="B637" s="6" t="s">
        <v>33</v>
      </c>
      <c r="C637" s="6" t="s">
        <v>102</v>
      </c>
      <c r="D637" s="6" t="s">
        <v>22</v>
      </c>
      <c r="E637" s="7" t="s">
        <v>66</v>
      </c>
      <c r="F637" s="7">
        <v>901635</v>
      </c>
      <c r="G637" s="6" t="s">
        <v>126</v>
      </c>
      <c r="H637" s="8">
        <v>28010452</v>
      </c>
      <c r="I637" s="5" t="s">
        <v>651</v>
      </c>
      <c r="J637" s="5" t="s">
        <v>66</v>
      </c>
      <c r="K637" s="5" t="s">
        <v>59</v>
      </c>
      <c r="L637" s="5" t="s">
        <v>60</v>
      </c>
      <c r="M637" s="6"/>
      <c r="N637" s="6"/>
      <c r="O637" s="6"/>
    </row>
    <row r="638" spans="1:15">
      <c r="A638" s="5" t="s">
        <v>53</v>
      </c>
      <c r="B638" s="6" t="s">
        <v>33</v>
      </c>
      <c r="C638" s="6" t="s">
        <v>102</v>
      </c>
      <c r="D638" s="6" t="s">
        <v>22</v>
      </c>
      <c r="E638" s="7" t="s">
        <v>210</v>
      </c>
      <c r="F638" s="7">
        <v>901636</v>
      </c>
      <c r="G638" s="6" t="s">
        <v>73</v>
      </c>
      <c r="H638" s="8">
        <v>28010453</v>
      </c>
      <c r="I638" s="5" t="s">
        <v>652</v>
      </c>
      <c r="J638" s="5" t="s">
        <v>210</v>
      </c>
      <c r="K638" s="5" t="s">
        <v>59</v>
      </c>
      <c r="L638" s="5" t="s">
        <v>60</v>
      </c>
      <c r="M638" s="6"/>
      <c r="N638" s="6"/>
      <c r="O638" s="6"/>
    </row>
    <row r="639" spans="1:15">
      <c r="A639" s="5" t="s">
        <v>53</v>
      </c>
      <c r="B639" s="6" t="s">
        <v>33</v>
      </c>
      <c r="C639" s="6" t="s">
        <v>102</v>
      </c>
      <c r="D639" s="6" t="s">
        <v>22</v>
      </c>
      <c r="E639" s="7" t="s">
        <v>11</v>
      </c>
      <c r="F639" s="7">
        <v>901637</v>
      </c>
      <c r="G639" s="6" t="s">
        <v>129</v>
      </c>
      <c r="H639" s="8">
        <v>28010454</v>
      </c>
      <c r="I639" s="5" t="s">
        <v>653</v>
      </c>
      <c r="J639" s="5" t="s">
        <v>11</v>
      </c>
      <c r="K639" s="5" t="s">
        <v>59</v>
      </c>
      <c r="L639" s="5" t="s">
        <v>60</v>
      </c>
      <c r="M639" s="6"/>
      <c r="N639" s="6"/>
      <c r="O639" s="6"/>
    </row>
    <row r="640" spans="1:15">
      <c r="A640" s="5" t="s">
        <v>53</v>
      </c>
      <c r="B640" s="6" t="s">
        <v>32</v>
      </c>
      <c r="C640" s="6" t="s">
        <v>98</v>
      </c>
      <c r="D640" s="6" t="s">
        <v>21</v>
      </c>
      <c r="E640" s="7" t="s">
        <v>109</v>
      </c>
      <c r="F640" s="7">
        <v>901638</v>
      </c>
      <c r="G640" s="6" t="s">
        <v>287</v>
      </c>
      <c r="H640" s="8">
        <v>28010455</v>
      </c>
      <c r="I640" s="5" t="s">
        <v>654</v>
      </c>
      <c r="J640" s="5" t="s">
        <v>109</v>
      </c>
      <c r="K640" s="5" t="s">
        <v>59</v>
      </c>
      <c r="L640" s="5" t="s">
        <v>60</v>
      </c>
      <c r="M640" s="6"/>
      <c r="N640" s="6"/>
      <c r="O640" s="6"/>
    </row>
    <row r="641" spans="1:16">
      <c r="A641" s="5" t="s">
        <v>53</v>
      </c>
      <c r="B641" s="6" t="s">
        <v>32</v>
      </c>
      <c r="C641" s="6" t="s">
        <v>98</v>
      </c>
      <c r="D641" s="6" t="s">
        <v>21</v>
      </c>
      <c r="E641" s="7" t="s">
        <v>655</v>
      </c>
      <c r="F641" s="7">
        <v>90001639</v>
      </c>
      <c r="G641" s="6" t="s">
        <v>131</v>
      </c>
      <c r="H641" s="8">
        <v>48010456</v>
      </c>
      <c r="I641" s="5" t="s">
        <v>656</v>
      </c>
      <c r="J641" s="5" t="s">
        <v>655</v>
      </c>
      <c r="K641" s="5" t="s">
        <v>59</v>
      </c>
      <c r="L641" s="5" t="s">
        <v>60</v>
      </c>
      <c r="M641" s="6"/>
      <c r="N641" s="6"/>
      <c r="O641" s="6"/>
    </row>
    <row r="642" spans="1:16">
      <c r="A642" s="5" t="s">
        <v>53</v>
      </c>
      <c r="B642" s="6" t="s">
        <v>32</v>
      </c>
      <c r="C642" s="6" t="s">
        <v>98</v>
      </c>
      <c r="D642" s="6" t="s">
        <v>21</v>
      </c>
      <c r="E642" s="7" t="s">
        <v>655</v>
      </c>
      <c r="F642" s="7">
        <v>901640</v>
      </c>
      <c r="G642" s="6" t="s">
        <v>133</v>
      </c>
      <c r="H642" s="8">
        <v>48010457</v>
      </c>
      <c r="I642" s="5" t="s">
        <v>657</v>
      </c>
      <c r="J642" s="5" t="s">
        <v>655</v>
      </c>
      <c r="K642" s="5" t="s">
        <v>59</v>
      </c>
      <c r="L642" s="5" t="s">
        <v>60</v>
      </c>
      <c r="M642" s="6"/>
      <c r="N642" s="6"/>
      <c r="O642" s="6"/>
    </row>
    <row r="643" spans="1:16">
      <c r="A643" s="5" t="s">
        <v>53</v>
      </c>
      <c r="B643" s="6" t="s">
        <v>32</v>
      </c>
      <c r="C643" s="6" t="s">
        <v>98</v>
      </c>
      <c r="D643" s="6" t="s">
        <v>21</v>
      </c>
      <c r="E643" s="7" t="s">
        <v>655</v>
      </c>
      <c r="F643" s="7">
        <v>90001641</v>
      </c>
      <c r="G643" s="6" t="s">
        <v>135</v>
      </c>
      <c r="H643" s="8">
        <v>48010458</v>
      </c>
      <c r="I643" s="5" t="s">
        <v>658</v>
      </c>
      <c r="J643" s="5" t="s">
        <v>655</v>
      </c>
      <c r="K643" s="5" t="s">
        <v>59</v>
      </c>
      <c r="L643" s="5" t="s">
        <v>60</v>
      </c>
      <c r="M643" s="6"/>
      <c r="N643" s="6"/>
      <c r="O643" s="6"/>
    </row>
    <row r="644" spans="1:16">
      <c r="A644" s="15" t="s">
        <v>53</v>
      </c>
      <c r="B644" s="15" t="s">
        <v>29</v>
      </c>
      <c r="C644" s="15" t="s">
        <v>107</v>
      </c>
      <c r="D644" s="15" t="s">
        <v>12</v>
      </c>
      <c r="E644" s="14" t="s">
        <v>56</v>
      </c>
      <c r="F644" s="14">
        <v>901642</v>
      </c>
      <c r="G644" s="15" t="s">
        <v>137</v>
      </c>
      <c r="H644" s="14">
        <v>28010459</v>
      </c>
      <c r="I644" s="15" t="s">
        <v>659</v>
      </c>
      <c r="J644" s="14" t="s">
        <v>72</v>
      </c>
      <c r="K644" s="15" t="s">
        <v>59</v>
      </c>
      <c r="L644" s="15" t="s">
        <v>60</v>
      </c>
      <c r="M644" s="15"/>
      <c r="N644" s="92"/>
      <c r="P644" s="15" t="s">
        <v>660</v>
      </c>
    </row>
    <row r="645" spans="1:16">
      <c r="A645" s="15" t="s">
        <v>53</v>
      </c>
      <c r="B645" s="15" t="s">
        <v>30</v>
      </c>
      <c r="C645" s="15" t="s">
        <v>107</v>
      </c>
      <c r="D645" s="15" t="s">
        <v>12</v>
      </c>
      <c r="E645" s="14" t="s">
        <v>56</v>
      </c>
      <c r="F645" s="14">
        <v>901643</v>
      </c>
      <c r="G645" s="95" t="s">
        <v>139</v>
      </c>
      <c r="H645" s="14">
        <v>28010460</v>
      </c>
      <c r="I645" s="15" t="s">
        <v>661</v>
      </c>
      <c r="J645" s="14" t="s">
        <v>128</v>
      </c>
      <c r="K645" s="15" t="s">
        <v>59</v>
      </c>
      <c r="L645" s="15" t="s">
        <v>60</v>
      </c>
      <c r="M645" s="15"/>
      <c r="N645" s="92"/>
      <c r="P645" s="15" t="s">
        <v>660</v>
      </c>
    </row>
    <row r="646" spans="1:16">
      <c r="A646" s="15" t="s">
        <v>53</v>
      </c>
      <c r="B646" s="15" t="s">
        <v>31</v>
      </c>
      <c r="C646" s="15" t="s">
        <v>107</v>
      </c>
      <c r="D646" s="15" t="s">
        <v>12</v>
      </c>
      <c r="E646" s="14" t="s">
        <v>72</v>
      </c>
      <c r="F646" s="14">
        <v>901644</v>
      </c>
      <c r="G646" s="15" t="s">
        <v>141</v>
      </c>
      <c r="H646" s="14">
        <v>28010461</v>
      </c>
      <c r="I646" s="15" t="s">
        <v>662</v>
      </c>
      <c r="J646" s="14" t="s">
        <v>72</v>
      </c>
      <c r="K646" s="15" t="s">
        <v>59</v>
      </c>
      <c r="L646" s="15" t="s">
        <v>60</v>
      </c>
      <c r="M646" s="15"/>
      <c r="N646" s="92"/>
      <c r="P646" s="15" t="s">
        <v>660</v>
      </c>
    </row>
    <row r="647" spans="1:16">
      <c r="A647" s="15" t="s">
        <v>53</v>
      </c>
      <c r="B647" s="15" t="s">
        <v>32</v>
      </c>
      <c r="C647" s="15" t="s">
        <v>107</v>
      </c>
      <c r="D647" s="15" t="s">
        <v>12</v>
      </c>
      <c r="E647" s="14" t="s">
        <v>56</v>
      </c>
      <c r="F647" s="14">
        <v>901645</v>
      </c>
      <c r="G647" s="15" t="s">
        <v>141</v>
      </c>
      <c r="H647" s="14">
        <v>28010462</v>
      </c>
      <c r="I647" s="15" t="s">
        <v>663</v>
      </c>
      <c r="J647" s="14" t="s">
        <v>56</v>
      </c>
      <c r="K647" s="15" t="s">
        <v>59</v>
      </c>
      <c r="L647" s="15" t="s">
        <v>60</v>
      </c>
      <c r="M647" s="15"/>
      <c r="N647" s="92"/>
      <c r="P647" s="15" t="s">
        <v>660</v>
      </c>
    </row>
    <row r="648" spans="1:16">
      <c r="A648" s="15" t="s">
        <v>53</v>
      </c>
      <c r="B648" s="15" t="s">
        <v>33</v>
      </c>
      <c r="C648" s="15" t="s">
        <v>107</v>
      </c>
      <c r="D648" s="15" t="s">
        <v>12</v>
      </c>
      <c r="E648" s="14" t="s">
        <v>128</v>
      </c>
      <c r="F648" s="14">
        <v>901646</v>
      </c>
      <c r="G648" s="15" t="s">
        <v>141</v>
      </c>
      <c r="H648" s="14">
        <v>28010463</v>
      </c>
      <c r="I648" s="15" t="s">
        <v>664</v>
      </c>
      <c r="J648" s="14" t="s">
        <v>128</v>
      </c>
      <c r="K648" s="15" t="s">
        <v>59</v>
      </c>
      <c r="L648" s="15" t="s">
        <v>60</v>
      </c>
      <c r="M648" s="15"/>
      <c r="N648" s="92"/>
      <c r="P648" s="15" t="s">
        <v>660</v>
      </c>
    </row>
    <row r="649" spans="1:16">
      <c r="A649" s="15" t="s">
        <v>53</v>
      </c>
      <c r="B649" s="15" t="s">
        <v>32</v>
      </c>
      <c r="C649" s="15" t="s">
        <v>107</v>
      </c>
      <c r="D649" s="15" t="s">
        <v>12</v>
      </c>
      <c r="E649" s="14" t="s">
        <v>56</v>
      </c>
      <c r="F649" s="14">
        <v>901647</v>
      </c>
      <c r="G649" s="15" t="s">
        <v>142</v>
      </c>
      <c r="H649" s="14">
        <v>28010464</v>
      </c>
      <c r="I649" s="15" t="s">
        <v>665</v>
      </c>
      <c r="J649" s="14" t="s">
        <v>56</v>
      </c>
      <c r="K649" s="15" t="s">
        <v>59</v>
      </c>
      <c r="L649" s="15" t="s">
        <v>60</v>
      </c>
      <c r="M649" s="15"/>
      <c r="N649" s="92"/>
      <c r="P649" s="15" t="s">
        <v>660</v>
      </c>
    </row>
    <row r="650" spans="1:16">
      <c r="A650" s="15" t="s">
        <v>53</v>
      </c>
      <c r="B650" s="15" t="s">
        <v>34</v>
      </c>
      <c r="C650" s="15" t="s">
        <v>107</v>
      </c>
      <c r="D650" s="15" t="s">
        <v>12</v>
      </c>
      <c r="E650" s="14" t="s">
        <v>72</v>
      </c>
      <c r="F650" s="14">
        <v>901648</v>
      </c>
      <c r="G650" s="15" t="s">
        <v>142</v>
      </c>
      <c r="H650" s="14">
        <v>28010465</v>
      </c>
      <c r="I650" s="15" t="s">
        <v>666</v>
      </c>
      <c r="J650" s="14" t="s">
        <v>72</v>
      </c>
      <c r="K650" s="15" t="s">
        <v>59</v>
      </c>
      <c r="L650" s="15" t="s">
        <v>60</v>
      </c>
      <c r="M650" s="15"/>
      <c r="N650" s="92"/>
      <c r="P650" s="15" t="s">
        <v>660</v>
      </c>
    </row>
    <row r="651" spans="1:16">
      <c r="A651" s="15" t="s">
        <v>53</v>
      </c>
      <c r="B651" s="15" t="s">
        <v>33</v>
      </c>
      <c r="C651" s="15" t="s">
        <v>107</v>
      </c>
      <c r="D651" s="15" t="s">
        <v>12</v>
      </c>
      <c r="E651" s="14" t="s">
        <v>56</v>
      </c>
      <c r="F651" s="14">
        <v>901649</v>
      </c>
      <c r="G651" s="15" t="s">
        <v>142</v>
      </c>
      <c r="H651" s="14">
        <v>28010466</v>
      </c>
      <c r="I651" s="15" t="s">
        <v>667</v>
      </c>
      <c r="J651" s="14" t="s">
        <v>56</v>
      </c>
      <c r="K651" s="15" t="s">
        <v>59</v>
      </c>
      <c r="L651" s="15" t="s">
        <v>60</v>
      </c>
      <c r="M651" s="15"/>
      <c r="N651" s="92"/>
      <c r="P651" s="15" t="s">
        <v>660</v>
      </c>
    </row>
    <row r="652" spans="1:16">
      <c r="A652" s="15" t="s">
        <v>53</v>
      </c>
      <c r="B652" s="15" t="s">
        <v>34</v>
      </c>
      <c r="C652" s="15" t="s">
        <v>107</v>
      </c>
      <c r="D652" s="15" t="s">
        <v>12</v>
      </c>
      <c r="E652" s="14" t="s">
        <v>56</v>
      </c>
      <c r="F652" s="14">
        <v>901650</v>
      </c>
      <c r="G652" s="15" t="s">
        <v>142</v>
      </c>
      <c r="H652" s="14">
        <v>28010467</v>
      </c>
      <c r="I652" s="15" t="s">
        <v>192</v>
      </c>
      <c r="J652" s="14" t="s">
        <v>56</v>
      </c>
      <c r="K652" s="15" t="s">
        <v>59</v>
      </c>
      <c r="L652" s="15" t="s">
        <v>60</v>
      </c>
      <c r="M652" s="15"/>
      <c r="N652" s="92"/>
      <c r="P652" s="15" t="s">
        <v>660</v>
      </c>
    </row>
    <row r="653" spans="1:16">
      <c r="A653" s="15" t="s">
        <v>53</v>
      </c>
      <c r="B653" s="15" t="s">
        <v>34</v>
      </c>
      <c r="C653" s="15" t="s">
        <v>107</v>
      </c>
      <c r="D653" s="15" t="s">
        <v>12</v>
      </c>
      <c r="E653" s="14" t="s">
        <v>56</v>
      </c>
      <c r="F653" s="14">
        <v>901651</v>
      </c>
      <c r="G653" s="15" t="s">
        <v>144</v>
      </c>
      <c r="H653" s="14">
        <v>28010468</v>
      </c>
      <c r="I653" s="15" t="s">
        <v>668</v>
      </c>
      <c r="J653" s="14" t="s">
        <v>56</v>
      </c>
      <c r="K653" s="15" t="s">
        <v>59</v>
      </c>
      <c r="L653" s="15" t="s">
        <v>60</v>
      </c>
      <c r="M653" s="15"/>
      <c r="N653" s="92"/>
      <c r="P653" s="15" t="s">
        <v>660</v>
      </c>
    </row>
    <row r="654" spans="1:16">
      <c r="A654" s="15" t="s">
        <v>53</v>
      </c>
      <c r="B654" s="15" t="s">
        <v>29</v>
      </c>
      <c r="C654" s="15" t="s">
        <v>107</v>
      </c>
      <c r="D654" s="15" t="s">
        <v>12</v>
      </c>
      <c r="E654" s="14" t="s">
        <v>99</v>
      </c>
      <c r="F654" s="14">
        <v>90001652</v>
      </c>
      <c r="G654" s="15" t="s">
        <v>146</v>
      </c>
      <c r="H654" s="14">
        <v>28010469</v>
      </c>
      <c r="I654" s="15" t="s">
        <v>669</v>
      </c>
      <c r="J654" s="14" t="s">
        <v>99</v>
      </c>
      <c r="K654" s="15" t="s">
        <v>59</v>
      </c>
      <c r="L654" s="15" t="s">
        <v>60</v>
      </c>
      <c r="M654" s="15"/>
      <c r="N654" s="92"/>
      <c r="P654" s="15" t="s">
        <v>660</v>
      </c>
    </row>
    <row r="655" spans="1:16">
      <c r="A655" s="15" t="s">
        <v>53</v>
      </c>
      <c r="B655" s="15" t="s">
        <v>30</v>
      </c>
      <c r="C655" s="15" t="s">
        <v>107</v>
      </c>
      <c r="D655" s="15" t="s">
        <v>12</v>
      </c>
      <c r="E655" s="14" t="s">
        <v>56</v>
      </c>
      <c r="F655" s="14">
        <v>901653</v>
      </c>
      <c r="G655" s="15" t="s">
        <v>144</v>
      </c>
      <c r="H655" s="14">
        <v>28010470</v>
      </c>
      <c r="I655" s="15" t="s">
        <v>670</v>
      </c>
      <c r="J655" s="94" t="s">
        <v>56</v>
      </c>
      <c r="K655" s="15" t="s">
        <v>59</v>
      </c>
      <c r="L655" s="15" t="s">
        <v>60</v>
      </c>
      <c r="M655" s="15"/>
      <c r="N655" s="92"/>
      <c r="P655" s="15" t="s">
        <v>660</v>
      </c>
    </row>
    <row r="656" spans="1:16">
      <c r="A656" s="15" t="s">
        <v>53</v>
      </c>
      <c r="B656" s="15" t="s">
        <v>29</v>
      </c>
      <c r="C656" s="15" t="s">
        <v>107</v>
      </c>
      <c r="D656" s="15" t="s">
        <v>12</v>
      </c>
      <c r="E656" s="14" t="s">
        <v>56</v>
      </c>
      <c r="F656" s="14">
        <v>901654</v>
      </c>
      <c r="G656" s="15" t="s">
        <v>144</v>
      </c>
      <c r="H656" s="14">
        <v>28010471</v>
      </c>
      <c r="I656" s="15" t="s">
        <v>671</v>
      </c>
      <c r="J656" s="14" t="s">
        <v>56</v>
      </c>
      <c r="K656" s="15" t="s">
        <v>59</v>
      </c>
      <c r="L656" s="15" t="s">
        <v>60</v>
      </c>
      <c r="M656" s="15"/>
      <c r="N656" s="92"/>
      <c r="P656" s="15" t="s">
        <v>660</v>
      </c>
    </row>
    <row r="657" spans="1:16">
      <c r="A657" s="15" t="s">
        <v>53</v>
      </c>
      <c r="B657" s="15" t="s">
        <v>30</v>
      </c>
      <c r="C657" s="15" t="s">
        <v>107</v>
      </c>
      <c r="D657" s="15" t="s">
        <v>12</v>
      </c>
      <c r="E657" s="14" t="s">
        <v>56</v>
      </c>
      <c r="F657" s="14">
        <v>901655</v>
      </c>
      <c r="G657" s="15" t="s">
        <v>141</v>
      </c>
      <c r="H657" s="14">
        <v>28010472</v>
      </c>
      <c r="I657" s="15" t="s">
        <v>672</v>
      </c>
      <c r="J657" s="14" t="s">
        <v>56</v>
      </c>
      <c r="K657" s="15" t="s">
        <v>59</v>
      </c>
      <c r="L657" s="15" t="s">
        <v>60</v>
      </c>
      <c r="M657" s="15"/>
      <c r="N657" s="92"/>
      <c r="P657" s="15" t="s">
        <v>660</v>
      </c>
    </row>
    <row r="658" spans="1:16">
      <c r="A658" s="15" t="s">
        <v>53</v>
      </c>
      <c r="B658" s="15" t="s">
        <v>30</v>
      </c>
      <c r="C658" s="15" t="s">
        <v>107</v>
      </c>
      <c r="D658" s="15" t="s">
        <v>12</v>
      </c>
      <c r="E658" s="14" t="s">
        <v>109</v>
      </c>
      <c r="F658" s="14">
        <v>901656</v>
      </c>
      <c r="G658" s="15" t="s">
        <v>148</v>
      </c>
      <c r="H658" s="14">
        <v>28010473</v>
      </c>
      <c r="I658" s="15" t="s">
        <v>673</v>
      </c>
      <c r="J658" s="14" t="s">
        <v>109</v>
      </c>
      <c r="K658" s="15" t="s">
        <v>59</v>
      </c>
      <c r="L658" s="15" t="s">
        <v>60</v>
      </c>
      <c r="M658" s="15"/>
      <c r="N658" s="92"/>
      <c r="P658" s="15" t="s">
        <v>660</v>
      </c>
    </row>
    <row r="659" spans="1:16">
      <c r="A659" s="15" t="s">
        <v>53</v>
      </c>
      <c r="B659" s="15" t="s">
        <v>34</v>
      </c>
      <c r="C659" s="15" t="s">
        <v>107</v>
      </c>
      <c r="D659" s="15" t="s">
        <v>12</v>
      </c>
      <c r="E659" s="14" t="s">
        <v>109</v>
      </c>
      <c r="F659" s="14">
        <v>901657</v>
      </c>
      <c r="G659" s="15" t="s">
        <v>151</v>
      </c>
      <c r="H659" s="14">
        <v>28010474</v>
      </c>
      <c r="I659" s="15" t="s">
        <v>674</v>
      </c>
      <c r="J659" s="14" t="s">
        <v>109</v>
      </c>
      <c r="K659" s="15" t="s">
        <v>59</v>
      </c>
      <c r="L659" s="15" t="s">
        <v>60</v>
      </c>
      <c r="M659" s="15"/>
      <c r="N659" s="92"/>
      <c r="P659" s="15" t="s">
        <v>660</v>
      </c>
    </row>
    <row r="660" spans="1:16">
      <c r="A660" s="15" t="s">
        <v>223</v>
      </c>
      <c r="B660" s="15" t="s">
        <v>29</v>
      </c>
      <c r="C660" s="15" t="s">
        <v>107</v>
      </c>
      <c r="D660" s="15" t="s">
        <v>12</v>
      </c>
      <c r="E660" s="14" t="s">
        <v>109</v>
      </c>
      <c r="F660" s="14">
        <v>901658</v>
      </c>
      <c r="G660" s="15" t="s">
        <v>151</v>
      </c>
      <c r="H660" s="14">
        <v>28010475</v>
      </c>
      <c r="I660" s="15" t="s">
        <v>675</v>
      </c>
      <c r="J660" s="14" t="s">
        <v>109</v>
      </c>
      <c r="K660" s="15" t="s">
        <v>59</v>
      </c>
      <c r="L660" s="15" t="s">
        <v>60</v>
      </c>
      <c r="M660" s="15"/>
      <c r="N660" s="92"/>
      <c r="P660" s="15" t="s">
        <v>660</v>
      </c>
    </row>
    <row r="661" spans="1:16">
      <c r="A661" s="15" t="s">
        <v>53</v>
      </c>
      <c r="B661" s="15" t="s">
        <v>32</v>
      </c>
      <c r="C661" s="15" t="s">
        <v>107</v>
      </c>
      <c r="D661" s="15" t="s">
        <v>12</v>
      </c>
      <c r="E661" s="14" t="s">
        <v>109</v>
      </c>
      <c r="F661" s="14">
        <v>901659</v>
      </c>
      <c r="G661" s="15" t="s">
        <v>153</v>
      </c>
      <c r="H661" s="14">
        <v>28010476</v>
      </c>
      <c r="I661" s="15" t="s">
        <v>676</v>
      </c>
      <c r="J661" s="14" t="s">
        <v>109</v>
      </c>
      <c r="K661" s="15" t="s">
        <v>59</v>
      </c>
      <c r="L661" s="15" t="s">
        <v>60</v>
      </c>
      <c r="M661" s="15"/>
      <c r="N661" s="92"/>
      <c r="P661" s="15" t="s">
        <v>660</v>
      </c>
    </row>
    <row r="662" spans="1:16">
      <c r="A662" s="15" t="s">
        <v>53</v>
      </c>
      <c r="B662" s="15" t="s">
        <v>31</v>
      </c>
      <c r="C662" s="15" t="s">
        <v>107</v>
      </c>
      <c r="D662" s="15" t="s">
        <v>12</v>
      </c>
      <c r="E662" s="14" t="s">
        <v>109</v>
      </c>
      <c r="F662" s="14">
        <v>901660</v>
      </c>
      <c r="G662" s="15" t="s">
        <v>142</v>
      </c>
      <c r="H662" s="14">
        <v>28010477</v>
      </c>
      <c r="I662" s="15" t="s">
        <v>677</v>
      </c>
      <c r="J662" s="14" t="s">
        <v>109</v>
      </c>
      <c r="K662" s="15" t="s">
        <v>59</v>
      </c>
      <c r="L662" s="15" t="s">
        <v>60</v>
      </c>
      <c r="M662" s="15"/>
      <c r="N662" s="92"/>
      <c r="P662" s="15" t="s">
        <v>660</v>
      </c>
    </row>
    <row r="663" spans="1:16">
      <c r="A663" s="15" t="s">
        <v>53</v>
      </c>
      <c r="B663" s="15" t="s">
        <v>32</v>
      </c>
      <c r="C663" s="15" t="s">
        <v>107</v>
      </c>
      <c r="D663" s="15" t="s">
        <v>12</v>
      </c>
      <c r="E663" s="14" t="s">
        <v>109</v>
      </c>
      <c r="F663" s="14">
        <v>901661</v>
      </c>
      <c r="G663" s="15" t="s">
        <v>141</v>
      </c>
      <c r="H663" s="14">
        <v>28010478</v>
      </c>
      <c r="I663" s="15" t="s">
        <v>678</v>
      </c>
      <c r="J663" s="14" t="s">
        <v>109</v>
      </c>
      <c r="K663" s="15" t="s">
        <v>59</v>
      </c>
      <c r="L663" s="15" t="s">
        <v>60</v>
      </c>
      <c r="M663" s="15"/>
      <c r="N663" s="92"/>
      <c r="P663" s="15" t="s">
        <v>660</v>
      </c>
    </row>
    <row r="664" spans="1:16">
      <c r="A664" s="15" t="s">
        <v>53</v>
      </c>
      <c r="B664" s="15" t="s">
        <v>31</v>
      </c>
      <c r="C664" s="15" t="s">
        <v>107</v>
      </c>
      <c r="D664" s="15" t="s">
        <v>12</v>
      </c>
      <c r="E664" s="14" t="s">
        <v>109</v>
      </c>
      <c r="F664" s="14">
        <v>901662</v>
      </c>
      <c r="G664" s="15" t="s">
        <v>141</v>
      </c>
      <c r="H664" s="14">
        <v>28010479</v>
      </c>
      <c r="I664" s="15" t="s">
        <v>679</v>
      </c>
      <c r="J664" s="14" t="s">
        <v>109</v>
      </c>
      <c r="K664" s="15" t="s">
        <v>59</v>
      </c>
      <c r="L664" s="15" t="s">
        <v>60</v>
      </c>
      <c r="M664" s="15"/>
      <c r="N664" s="92"/>
      <c r="P664" s="15" t="s">
        <v>660</v>
      </c>
    </row>
    <row r="665" spans="1:16">
      <c r="A665" s="15" t="s">
        <v>53</v>
      </c>
      <c r="B665" s="15" t="s">
        <v>33</v>
      </c>
      <c r="C665" s="15" t="s">
        <v>107</v>
      </c>
      <c r="D665" s="15" t="s">
        <v>12</v>
      </c>
      <c r="E665" s="14" t="s">
        <v>109</v>
      </c>
      <c r="F665" s="14">
        <v>901663</v>
      </c>
      <c r="G665" s="15" t="s">
        <v>157</v>
      </c>
      <c r="H665" s="14">
        <v>28010480</v>
      </c>
      <c r="I665" s="15" t="s">
        <v>680</v>
      </c>
      <c r="J665" s="14" t="s">
        <v>109</v>
      </c>
      <c r="K665" s="15" t="s">
        <v>59</v>
      </c>
      <c r="L665" s="15" t="s">
        <v>60</v>
      </c>
      <c r="M665" s="15"/>
      <c r="N665" s="92"/>
      <c r="P665" s="14" t="s">
        <v>681</v>
      </c>
    </row>
    <row r="666" spans="1:16">
      <c r="A666" s="15" t="s">
        <v>53</v>
      </c>
      <c r="B666" s="15" t="s">
        <v>32</v>
      </c>
      <c r="C666" s="15" t="s">
        <v>107</v>
      </c>
      <c r="D666" s="15" t="s">
        <v>12</v>
      </c>
      <c r="E666" s="14" t="s">
        <v>56</v>
      </c>
      <c r="F666" s="14">
        <v>901664</v>
      </c>
      <c r="G666" s="15" t="s">
        <v>142</v>
      </c>
      <c r="H666" s="14">
        <v>28010481</v>
      </c>
      <c r="I666" s="15" t="s">
        <v>682</v>
      </c>
      <c r="J666" s="14" t="s">
        <v>56</v>
      </c>
      <c r="K666" s="15" t="s">
        <v>59</v>
      </c>
      <c r="L666" s="15" t="s">
        <v>60</v>
      </c>
      <c r="M666" s="15"/>
      <c r="N666" s="92"/>
      <c r="P666" s="15" t="s">
        <v>660</v>
      </c>
    </row>
    <row r="667" spans="1:16">
      <c r="A667" s="15" t="s">
        <v>53</v>
      </c>
      <c r="B667" s="15" t="s">
        <v>29</v>
      </c>
      <c r="C667" s="15" t="s">
        <v>107</v>
      </c>
      <c r="D667" s="15" t="s">
        <v>12</v>
      </c>
      <c r="E667" s="14" t="s">
        <v>56</v>
      </c>
      <c r="F667" s="14">
        <v>901665</v>
      </c>
      <c r="G667" s="15" t="s">
        <v>142</v>
      </c>
      <c r="H667" s="14">
        <v>28010482</v>
      </c>
      <c r="I667" s="15" t="s">
        <v>683</v>
      </c>
      <c r="J667" s="14" t="s">
        <v>56</v>
      </c>
      <c r="K667" s="15" t="s">
        <v>59</v>
      </c>
      <c r="L667" s="15" t="s">
        <v>60</v>
      </c>
      <c r="M667" s="15"/>
      <c r="N667" s="92"/>
      <c r="P667" s="15" t="s">
        <v>660</v>
      </c>
    </row>
    <row r="668" spans="1:16">
      <c r="A668" s="15" t="s">
        <v>53</v>
      </c>
      <c r="B668" s="15" t="s">
        <v>29</v>
      </c>
      <c r="C668" s="15" t="s">
        <v>107</v>
      </c>
      <c r="D668" s="15" t="s">
        <v>12</v>
      </c>
      <c r="E668" s="14" t="s">
        <v>99</v>
      </c>
      <c r="F668" s="14">
        <v>901666</v>
      </c>
      <c r="G668" s="15" t="s">
        <v>160</v>
      </c>
      <c r="H668" s="14">
        <v>28010483</v>
      </c>
      <c r="I668" s="15" t="s">
        <v>684</v>
      </c>
      <c r="J668" s="14" t="s">
        <v>99</v>
      </c>
      <c r="K668" s="15" t="s">
        <v>59</v>
      </c>
      <c r="L668" s="15" t="s">
        <v>60</v>
      </c>
      <c r="M668" s="15"/>
      <c r="N668" s="92"/>
      <c r="P668" s="14" t="s">
        <v>681</v>
      </c>
    </row>
    <row r="669" spans="1:16">
      <c r="A669" s="15" t="s">
        <v>53</v>
      </c>
      <c r="B669" s="15" t="s">
        <v>29</v>
      </c>
      <c r="C669" s="15" t="s">
        <v>107</v>
      </c>
      <c r="D669" s="15" t="s">
        <v>12</v>
      </c>
      <c r="E669" s="14" t="s">
        <v>99</v>
      </c>
      <c r="F669" s="14">
        <v>901667</v>
      </c>
      <c r="G669" s="15" t="s">
        <v>162</v>
      </c>
      <c r="H669" s="14">
        <v>28010484</v>
      </c>
      <c r="I669" s="15" t="s">
        <v>685</v>
      </c>
      <c r="J669" s="14" t="s">
        <v>99</v>
      </c>
      <c r="K669" s="15" t="s">
        <v>59</v>
      </c>
      <c r="L669" s="15" t="s">
        <v>60</v>
      </c>
      <c r="M669" s="15"/>
      <c r="N669" s="92"/>
      <c r="P669" s="14" t="s">
        <v>681</v>
      </c>
    </row>
    <row r="670" spans="1:16">
      <c r="A670" s="15" t="s">
        <v>53</v>
      </c>
      <c r="B670" s="15" t="s">
        <v>32</v>
      </c>
      <c r="C670" s="15" t="s">
        <v>107</v>
      </c>
      <c r="D670" s="15" t="s">
        <v>12</v>
      </c>
      <c r="E670" s="14" t="s">
        <v>128</v>
      </c>
      <c r="F670" s="14">
        <v>90001668</v>
      </c>
      <c r="G670" s="15" t="s">
        <v>165</v>
      </c>
      <c r="H670" s="14">
        <v>28010485</v>
      </c>
      <c r="I670" s="15" t="s">
        <v>686</v>
      </c>
      <c r="J670" s="14" t="s">
        <v>128</v>
      </c>
      <c r="K670" s="15" t="s">
        <v>59</v>
      </c>
      <c r="L670" s="15" t="s">
        <v>60</v>
      </c>
      <c r="M670" s="15"/>
      <c r="N670" s="92"/>
      <c r="P670" s="15" t="s">
        <v>660</v>
      </c>
    </row>
    <row r="671" spans="1:16">
      <c r="A671" s="15" t="s">
        <v>53</v>
      </c>
      <c r="B671" s="15" t="s">
        <v>29</v>
      </c>
      <c r="C671" s="15" t="s">
        <v>107</v>
      </c>
      <c r="D671" s="15" t="s">
        <v>12</v>
      </c>
      <c r="E671" s="14" t="s">
        <v>72</v>
      </c>
      <c r="F671" s="14">
        <v>901669</v>
      </c>
      <c r="G671" s="15" t="s">
        <v>142</v>
      </c>
      <c r="H671" s="14">
        <v>28010486</v>
      </c>
      <c r="I671" s="15" t="s">
        <v>687</v>
      </c>
      <c r="J671" s="14" t="s">
        <v>72</v>
      </c>
      <c r="K671" s="15" t="s">
        <v>59</v>
      </c>
      <c r="L671" s="15" t="s">
        <v>60</v>
      </c>
      <c r="M671" s="15"/>
      <c r="N671" s="92"/>
      <c r="P671" s="15" t="s">
        <v>660</v>
      </c>
    </row>
    <row r="672" spans="1:16">
      <c r="A672" s="15" t="s">
        <v>53</v>
      </c>
      <c r="B672" s="15" t="s">
        <v>29</v>
      </c>
      <c r="C672" s="15" t="s">
        <v>107</v>
      </c>
      <c r="D672" s="15" t="s">
        <v>12</v>
      </c>
      <c r="E672" s="14" t="s">
        <v>72</v>
      </c>
      <c r="F672" s="14">
        <v>901670</v>
      </c>
      <c r="G672" s="15" t="s">
        <v>144</v>
      </c>
      <c r="H672" s="14">
        <v>28010487</v>
      </c>
      <c r="I672" s="15" t="s">
        <v>688</v>
      </c>
      <c r="J672" s="14" t="s">
        <v>72</v>
      </c>
      <c r="K672" s="15" t="s">
        <v>59</v>
      </c>
      <c r="L672" s="15" t="s">
        <v>60</v>
      </c>
      <c r="M672" s="15"/>
      <c r="N672" s="92"/>
      <c r="P672" s="15" t="s">
        <v>660</v>
      </c>
    </row>
    <row r="673" spans="1:16">
      <c r="A673" s="15" t="s">
        <v>53</v>
      </c>
      <c r="B673" s="15" t="s">
        <v>29</v>
      </c>
      <c r="C673" s="15" t="s">
        <v>107</v>
      </c>
      <c r="D673" s="15" t="s">
        <v>12</v>
      </c>
      <c r="E673" s="14" t="s">
        <v>210</v>
      </c>
      <c r="F673" s="14">
        <v>90001671</v>
      </c>
      <c r="G673" s="15" t="s">
        <v>166</v>
      </c>
      <c r="H673" s="14">
        <v>28010488</v>
      </c>
      <c r="I673" s="15" t="s">
        <v>689</v>
      </c>
      <c r="J673" s="14" t="s">
        <v>210</v>
      </c>
      <c r="K673" s="15" t="s">
        <v>59</v>
      </c>
      <c r="L673" s="15" t="s">
        <v>60</v>
      </c>
      <c r="M673" s="15"/>
      <c r="N673" s="92"/>
      <c r="P673" s="15" t="s">
        <v>660</v>
      </c>
    </row>
    <row r="674" spans="1:16">
      <c r="A674" s="15" t="s">
        <v>53</v>
      </c>
      <c r="B674" s="15" t="s">
        <v>32</v>
      </c>
      <c r="C674" s="15" t="s">
        <v>107</v>
      </c>
      <c r="D674" s="15" t="s">
        <v>12</v>
      </c>
      <c r="E674" s="14" t="s">
        <v>99</v>
      </c>
      <c r="F674" s="14">
        <v>90001672</v>
      </c>
      <c r="G674" s="15" t="s">
        <v>168</v>
      </c>
      <c r="H674" s="14">
        <v>28010489</v>
      </c>
      <c r="I674" s="15" t="s">
        <v>690</v>
      </c>
      <c r="J674" s="14" t="s">
        <v>99</v>
      </c>
      <c r="K674" s="15" t="s">
        <v>59</v>
      </c>
      <c r="L674" s="15" t="s">
        <v>60</v>
      </c>
      <c r="M674" s="15"/>
      <c r="N674" s="92"/>
      <c r="P674" s="15" t="s">
        <v>660</v>
      </c>
    </row>
    <row r="675" spans="1:16">
      <c r="A675" s="15" t="s">
        <v>53</v>
      </c>
      <c r="B675" s="15" t="s">
        <v>34</v>
      </c>
      <c r="C675" s="15" t="s">
        <v>107</v>
      </c>
      <c r="D675" s="15" t="s">
        <v>12</v>
      </c>
      <c r="E675" s="14" t="s">
        <v>128</v>
      </c>
      <c r="F675" s="14">
        <v>901673</v>
      </c>
      <c r="G675" s="15" t="s">
        <v>146</v>
      </c>
      <c r="H675" s="14">
        <v>28010490</v>
      </c>
      <c r="I675" s="15" t="s">
        <v>691</v>
      </c>
      <c r="J675" s="14" t="s">
        <v>128</v>
      </c>
      <c r="K675" s="15" t="s">
        <v>59</v>
      </c>
      <c r="L675" s="15" t="s">
        <v>60</v>
      </c>
      <c r="M675" s="15"/>
      <c r="N675" s="92"/>
      <c r="P675" s="15" t="s">
        <v>660</v>
      </c>
    </row>
    <row r="676" spans="1:16">
      <c r="A676" s="15" t="s">
        <v>53</v>
      </c>
      <c r="B676" s="15" t="s">
        <v>32</v>
      </c>
      <c r="C676" s="15" t="s">
        <v>107</v>
      </c>
      <c r="D676" s="15" t="s">
        <v>12</v>
      </c>
      <c r="E676" s="14" t="s">
        <v>56</v>
      </c>
      <c r="F676" s="14">
        <v>901674</v>
      </c>
      <c r="G676" s="15" t="s">
        <v>142</v>
      </c>
      <c r="H676" s="14">
        <v>28010491</v>
      </c>
      <c r="I676" s="15" t="s">
        <v>692</v>
      </c>
      <c r="J676" s="14" t="s">
        <v>56</v>
      </c>
      <c r="K676" s="15" t="s">
        <v>59</v>
      </c>
      <c r="L676" s="15" t="s">
        <v>60</v>
      </c>
      <c r="M676" s="15"/>
      <c r="N676" s="92"/>
      <c r="P676" s="15" t="s">
        <v>660</v>
      </c>
    </row>
    <row r="677" spans="1:16">
      <c r="A677" s="15" t="s">
        <v>53</v>
      </c>
      <c r="B677" s="15" t="s">
        <v>31</v>
      </c>
      <c r="C677" s="15" t="s">
        <v>107</v>
      </c>
      <c r="D677" s="15" t="s">
        <v>12</v>
      </c>
      <c r="E677" s="14" t="s">
        <v>128</v>
      </c>
      <c r="F677" s="14">
        <v>90001675</v>
      </c>
      <c r="G677" s="15" t="s">
        <v>170</v>
      </c>
      <c r="H677" s="14">
        <v>28010492</v>
      </c>
      <c r="I677" s="15" t="s">
        <v>693</v>
      </c>
      <c r="J677" s="14" t="s">
        <v>128</v>
      </c>
      <c r="K677" s="15" t="s">
        <v>59</v>
      </c>
      <c r="L677" s="15" t="s">
        <v>60</v>
      </c>
      <c r="M677" s="15"/>
      <c r="N677" s="92"/>
      <c r="P677" s="15" t="s">
        <v>660</v>
      </c>
    </row>
    <row r="678" spans="1:16">
      <c r="A678" s="15" t="s">
        <v>53</v>
      </c>
      <c r="B678" s="15" t="s">
        <v>32</v>
      </c>
      <c r="C678" s="15" t="s">
        <v>107</v>
      </c>
      <c r="D678" s="15" t="s">
        <v>12</v>
      </c>
      <c r="E678" s="14" t="s">
        <v>56</v>
      </c>
      <c r="F678" s="14">
        <v>901676</v>
      </c>
      <c r="G678" s="15" t="s">
        <v>153</v>
      </c>
      <c r="H678" s="14">
        <v>28010493</v>
      </c>
      <c r="I678" s="15" t="s">
        <v>694</v>
      </c>
      <c r="J678" s="14" t="s">
        <v>56</v>
      </c>
      <c r="K678" s="15" t="s">
        <v>59</v>
      </c>
      <c r="L678" s="15" t="s">
        <v>60</v>
      </c>
      <c r="M678" s="15"/>
      <c r="N678" s="92"/>
      <c r="P678" s="15" t="s">
        <v>660</v>
      </c>
    </row>
    <row r="679" spans="1:16">
      <c r="A679" s="15" t="s">
        <v>53</v>
      </c>
      <c r="B679" s="15" t="s">
        <v>34</v>
      </c>
      <c r="C679" s="15" t="s">
        <v>107</v>
      </c>
      <c r="D679" s="15" t="s">
        <v>12</v>
      </c>
      <c r="E679" s="14" t="s">
        <v>128</v>
      </c>
      <c r="F679" s="14">
        <v>901677</v>
      </c>
      <c r="G679" s="15" t="s">
        <v>170</v>
      </c>
      <c r="H679" s="14">
        <v>28010494</v>
      </c>
      <c r="I679" s="15" t="s">
        <v>695</v>
      </c>
      <c r="J679" s="14" t="s">
        <v>128</v>
      </c>
      <c r="K679" s="15" t="s">
        <v>59</v>
      </c>
      <c r="L679" s="15" t="s">
        <v>60</v>
      </c>
      <c r="M679" s="15"/>
      <c r="N679" s="92"/>
      <c r="P679" s="15" t="s">
        <v>660</v>
      </c>
    </row>
    <row r="680" spans="1:16">
      <c r="A680" s="15" t="s">
        <v>53</v>
      </c>
      <c r="B680" s="15" t="s">
        <v>29</v>
      </c>
      <c r="C680" s="15" t="s">
        <v>107</v>
      </c>
      <c r="D680" s="15" t="s">
        <v>12</v>
      </c>
      <c r="E680" s="14" t="s">
        <v>56</v>
      </c>
      <c r="F680" s="14">
        <v>901678</v>
      </c>
      <c r="G680" s="15" t="s">
        <v>144</v>
      </c>
      <c r="H680" s="14">
        <v>28010495</v>
      </c>
      <c r="I680" s="15" t="s">
        <v>696</v>
      </c>
      <c r="J680" s="14" t="s">
        <v>56</v>
      </c>
      <c r="K680" s="15" t="s">
        <v>59</v>
      </c>
      <c r="L680" s="15" t="s">
        <v>60</v>
      </c>
      <c r="M680" s="15"/>
      <c r="N680" s="92"/>
      <c r="P680" s="15" t="s">
        <v>660</v>
      </c>
    </row>
    <row r="681" spans="1:16">
      <c r="A681" s="15" t="s">
        <v>53</v>
      </c>
      <c r="B681" s="15" t="s">
        <v>34</v>
      </c>
      <c r="C681" s="15" t="s">
        <v>107</v>
      </c>
      <c r="D681" s="15" t="s">
        <v>12</v>
      </c>
      <c r="E681" s="14" t="s">
        <v>56</v>
      </c>
      <c r="F681" s="14">
        <v>901679</v>
      </c>
      <c r="G681" s="15" t="s">
        <v>144</v>
      </c>
      <c r="H681" s="14">
        <v>28010496</v>
      </c>
      <c r="I681" s="15" t="s">
        <v>697</v>
      </c>
      <c r="J681" s="14" t="s">
        <v>56</v>
      </c>
      <c r="K681" s="15" t="s">
        <v>59</v>
      </c>
      <c r="L681" s="15" t="s">
        <v>60</v>
      </c>
      <c r="M681" s="15"/>
      <c r="N681" s="92"/>
      <c r="P681" s="15" t="s">
        <v>660</v>
      </c>
    </row>
    <row r="682" spans="1:16">
      <c r="A682" s="15" t="s">
        <v>53</v>
      </c>
      <c r="B682" s="15" t="s">
        <v>32</v>
      </c>
      <c r="C682" s="15" t="s">
        <v>107</v>
      </c>
      <c r="D682" s="15" t="s">
        <v>12</v>
      </c>
      <c r="E682" s="14" t="s">
        <v>56</v>
      </c>
      <c r="F682" s="14">
        <v>901680</v>
      </c>
      <c r="G682" s="15" t="s">
        <v>153</v>
      </c>
      <c r="H682" s="14">
        <v>28010497</v>
      </c>
      <c r="I682" s="15" t="s">
        <v>698</v>
      </c>
      <c r="J682" s="14" t="s">
        <v>56</v>
      </c>
      <c r="K682" s="15" t="s">
        <v>59</v>
      </c>
      <c r="L682" s="15" t="s">
        <v>60</v>
      </c>
      <c r="M682" s="15"/>
      <c r="N682" s="92"/>
      <c r="P682" s="15" t="s">
        <v>660</v>
      </c>
    </row>
    <row r="683" spans="1:16">
      <c r="A683" s="15" t="s">
        <v>53</v>
      </c>
      <c r="B683" s="15" t="s">
        <v>29</v>
      </c>
      <c r="C683" s="15" t="s">
        <v>107</v>
      </c>
      <c r="D683" s="15" t="s">
        <v>12</v>
      </c>
      <c r="E683" s="14" t="s">
        <v>72</v>
      </c>
      <c r="F683" s="14">
        <v>901681</v>
      </c>
      <c r="G683" s="15" t="s">
        <v>142</v>
      </c>
      <c r="H683" s="14">
        <v>28010498</v>
      </c>
      <c r="I683" s="15" t="s">
        <v>699</v>
      </c>
      <c r="J683" s="14" t="s">
        <v>72</v>
      </c>
      <c r="K683" s="15" t="s">
        <v>59</v>
      </c>
      <c r="L683" s="15" t="s">
        <v>60</v>
      </c>
      <c r="M683" s="15"/>
      <c r="N683" s="92"/>
      <c r="P683" s="15" t="s">
        <v>660</v>
      </c>
    </row>
    <row r="684" spans="1:16">
      <c r="A684" s="15" t="s">
        <v>53</v>
      </c>
      <c r="B684" s="15" t="s">
        <v>32</v>
      </c>
      <c r="C684" s="15" t="s">
        <v>107</v>
      </c>
      <c r="D684" s="15" t="s">
        <v>12</v>
      </c>
      <c r="E684" s="14" t="s">
        <v>72</v>
      </c>
      <c r="F684" s="14">
        <v>901682</v>
      </c>
      <c r="G684" s="15" t="s">
        <v>153</v>
      </c>
      <c r="H684" s="14">
        <v>28010499</v>
      </c>
      <c r="I684" s="15" t="s">
        <v>700</v>
      </c>
      <c r="J684" s="14" t="s">
        <v>72</v>
      </c>
      <c r="K684" s="15" t="s">
        <v>59</v>
      </c>
      <c r="L684" s="15" t="s">
        <v>60</v>
      </c>
      <c r="M684" s="15"/>
      <c r="N684" s="92"/>
      <c r="P684" s="15" t="s">
        <v>660</v>
      </c>
    </row>
    <row r="685" spans="1:16">
      <c r="A685" s="15" t="s">
        <v>53</v>
      </c>
      <c r="B685" s="15" t="s">
        <v>29</v>
      </c>
      <c r="C685" s="15" t="s">
        <v>107</v>
      </c>
      <c r="D685" s="15" t="s">
        <v>12</v>
      </c>
      <c r="E685" s="14" t="s">
        <v>56</v>
      </c>
      <c r="F685" s="14">
        <v>901683</v>
      </c>
      <c r="G685" s="15" t="s">
        <v>142</v>
      </c>
      <c r="H685" s="14">
        <v>28010500</v>
      </c>
      <c r="I685" s="15" t="s">
        <v>701</v>
      </c>
      <c r="J685" s="14" t="s">
        <v>56</v>
      </c>
      <c r="K685" s="15" t="s">
        <v>59</v>
      </c>
      <c r="L685" s="15" t="s">
        <v>60</v>
      </c>
      <c r="M685" s="15"/>
      <c r="N685" s="92"/>
      <c r="P685" s="15" t="s">
        <v>660</v>
      </c>
    </row>
    <row r="686" spans="1:16">
      <c r="A686" s="15" t="s">
        <v>53</v>
      </c>
      <c r="B686" s="15" t="s">
        <v>32</v>
      </c>
      <c r="C686" s="15" t="s">
        <v>107</v>
      </c>
      <c r="D686" s="15" t="s">
        <v>12</v>
      </c>
      <c r="E686" s="14" t="s">
        <v>72</v>
      </c>
      <c r="F686" s="14">
        <v>901684</v>
      </c>
      <c r="G686" s="15" t="s">
        <v>172</v>
      </c>
      <c r="H686" s="14">
        <v>28010501</v>
      </c>
      <c r="I686" s="15" t="s">
        <v>702</v>
      </c>
      <c r="J686" s="14" t="s">
        <v>72</v>
      </c>
      <c r="K686" s="15" t="s">
        <v>59</v>
      </c>
      <c r="L686" s="15" t="s">
        <v>60</v>
      </c>
      <c r="M686" s="15"/>
      <c r="N686" s="92"/>
      <c r="P686" s="15" t="s">
        <v>660</v>
      </c>
    </row>
    <row r="687" spans="1:16">
      <c r="A687" s="15" t="s">
        <v>53</v>
      </c>
      <c r="B687" s="15" t="s">
        <v>29</v>
      </c>
      <c r="C687" s="15" t="s">
        <v>107</v>
      </c>
      <c r="D687" s="15" t="s">
        <v>12</v>
      </c>
      <c r="E687" s="14" t="s">
        <v>72</v>
      </c>
      <c r="F687" s="14">
        <v>901685</v>
      </c>
      <c r="G687" s="15" t="s">
        <v>141</v>
      </c>
      <c r="H687" s="14">
        <v>28010502</v>
      </c>
      <c r="I687" s="15" t="s">
        <v>703</v>
      </c>
      <c r="J687" s="14" t="s">
        <v>72</v>
      </c>
      <c r="K687" s="15" t="s">
        <v>59</v>
      </c>
      <c r="L687" s="15" t="s">
        <v>60</v>
      </c>
      <c r="M687" s="15"/>
      <c r="N687" s="92"/>
      <c r="P687" s="15" t="s">
        <v>660</v>
      </c>
    </row>
    <row r="688" spans="1:16">
      <c r="A688" s="15" t="s">
        <v>53</v>
      </c>
      <c r="B688" s="15" t="s">
        <v>29</v>
      </c>
      <c r="C688" s="15" t="s">
        <v>107</v>
      </c>
      <c r="D688" s="15" t="s">
        <v>12</v>
      </c>
      <c r="E688" s="14" t="s">
        <v>72</v>
      </c>
      <c r="F688" s="14">
        <v>901686</v>
      </c>
      <c r="G688" s="15" t="s">
        <v>144</v>
      </c>
      <c r="H688" s="14">
        <v>28010503</v>
      </c>
      <c r="I688" s="15" t="s">
        <v>704</v>
      </c>
      <c r="J688" s="14" t="s">
        <v>72</v>
      </c>
      <c r="K688" s="15" t="s">
        <v>59</v>
      </c>
      <c r="L688" s="15" t="s">
        <v>60</v>
      </c>
      <c r="M688" s="15"/>
      <c r="N688" s="92"/>
      <c r="P688" s="15" t="s">
        <v>660</v>
      </c>
    </row>
    <row r="689" spans="1:16">
      <c r="A689" s="15" t="s">
        <v>53</v>
      </c>
      <c r="B689" s="15" t="s">
        <v>30</v>
      </c>
      <c r="C689" s="15" t="s">
        <v>107</v>
      </c>
      <c r="D689" s="15" t="s">
        <v>12</v>
      </c>
      <c r="E689" s="14" t="s">
        <v>72</v>
      </c>
      <c r="F689" s="14">
        <v>901687</v>
      </c>
      <c r="G689" s="15" t="s">
        <v>172</v>
      </c>
      <c r="H689" s="14">
        <v>28010504</v>
      </c>
      <c r="I689" s="15" t="s">
        <v>369</v>
      </c>
      <c r="J689" s="14" t="s">
        <v>72</v>
      </c>
      <c r="K689" s="15" t="s">
        <v>59</v>
      </c>
      <c r="L689" s="15" t="s">
        <v>60</v>
      </c>
      <c r="M689" s="15"/>
      <c r="N689" s="92"/>
      <c r="P689" s="15" t="s">
        <v>660</v>
      </c>
    </row>
    <row r="690" spans="1:16">
      <c r="A690" s="15" t="s">
        <v>53</v>
      </c>
      <c r="B690" s="15" t="s">
        <v>29</v>
      </c>
      <c r="C690" s="15" t="s">
        <v>107</v>
      </c>
      <c r="D690" s="15" t="s">
        <v>12</v>
      </c>
      <c r="E690" s="14" t="s">
        <v>72</v>
      </c>
      <c r="F690" s="14">
        <v>901688</v>
      </c>
      <c r="G690" s="15" t="s">
        <v>142</v>
      </c>
      <c r="H690" s="14">
        <v>28010505</v>
      </c>
      <c r="I690" s="15" t="s">
        <v>705</v>
      </c>
      <c r="J690" s="14" t="s">
        <v>72</v>
      </c>
      <c r="K690" s="15" t="s">
        <v>59</v>
      </c>
      <c r="L690" s="15" t="s">
        <v>60</v>
      </c>
      <c r="M690" s="15"/>
      <c r="N690" s="92"/>
      <c r="P690" s="15" t="s">
        <v>660</v>
      </c>
    </row>
    <row r="691" spans="1:16">
      <c r="A691" s="15" t="s">
        <v>53</v>
      </c>
      <c r="B691" s="15" t="s">
        <v>29</v>
      </c>
      <c r="C691" s="15" t="s">
        <v>107</v>
      </c>
      <c r="D691" s="15" t="s">
        <v>12</v>
      </c>
      <c r="E691" s="14" t="s">
        <v>72</v>
      </c>
      <c r="F691" s="14">
        <v>901689</v>
      </c>
      <c r="G691" s="15" t="s">
        <v>174</v>
      </c>
      <c r="H691" s="14">
        <v>28010506</v>
      </c>
      <c r="I691" s="15" t="s">
        <v>706</v>
      </c>
      <c r="J691" s="14" t="s">
        <v>72</v>
      </c>
      <c r="K691" s="15" t="s">
        <v>59</v>
      </c>
      <c r="L691" s="15" t="s">
        <v>60</v>
      </c>
      <c r="M691" s="15"/>
      <c r="N691" s="92"/>
      <c r="P691" s="14" t="s">
        <v>707</v>
      </c>
    </row>
    <row r="692" spans="1:16">
      <c r="A692" s="15" t="s">
        <v>53</v>
      </c>
      <c r="B692" s="15" t="s">
        <v>34</v>
      </c>
      <c r="C692" s="15" t="s">
        <v>107</v>
      </c>
      <c r="D692" s="15" t="s">
        <v>12</v>
      </c>
      <c r="E692" s="14" t="s">
        <v>72</v>
      </c>
      <c r="F692" s="14">
        <v>901690</v>
      </c>
      <c r="G692" s="15" t="s">
        <v>142</v>
      </c>
      <c r="H692" s="14">
        <v>28010507</v>
      </c>
      <c r="I692" s="15" t="s">
        <v>708</v>
      </c>
      <c r="J692" s="14" t="s">
        <v>72</v>
      </c>
      <c r="K692" s="15" t="s">
        <v>59</v>
      </c>
      <c r="L692" s="15" t="s">
        <v>60</v>
      </c>
      <c r="M692" s="15"/>
      <c r="N692" s="92"/>
      <c r="P692" s="15" t="s">
        <v>660</v>
      </c>
    </row>
    <row r="693" spans="1:16">
      <c r="A693" s="15" t="s">
        <v>53</v>
      </c>
      <c r="B693" s="15" t="s">
        <v>32</v>
      </c>
      <c r="C693" s="15" t="s">
        <v>107</v>
      </c>
      <c r="D693" s="15" t="s">
        <v>12</v>
      </c>
      <c r="E693" s="14" t="s">
        <v>72</v>
      </c>
      <c r="F693" s="14">
        <v>901691</v>
      </c>
      <c r="G693" s="15" t="s">
        <v>176</v>
      </c>
      <c r="H693" s="14">
        <v>28010508</v>
      </c>
      <c r="I693" s="15" t="s">
        <v>709</v>
      </c>
      <c r="J693" s="14" t="s">
        <v>72</v>
      </c>
      <c r="K693" s="15" t="s">
        <v>59</v>
      </c>
      <c r="L693" s="15" t="s">
        <v>60</v>
      </c>
      <c r="M693" s="15"/>
      <c r="N693" s="92"/>
      <c r="P693" s="14" t="s">
        <v>681</v>
      </c>
    </row>
    <row r="694" spans="1:16">
      <c r="A694" s="15" t="s">
        <v>53</v>
      </c>
      <c r="B694" s="15" t="s">
        <v>29</v>
      </c>
      <c r="C694" s="15" t="s">
        <v>107</v>
      </c>
      <c r="D694" s="15" t="s">
        <v>12</v>
      </c>
      <c r="E694" s="14" t="s">
        <v>128</v>
      </c>
      <c r="F694" s="14">
        <v>901692</v>
      </c>
      <c r="G694" s="15" t="s">
        <v>146</v>
      </c>
      <c r="H694" s="14">
        <v>28010509</v>
      </c>
      <c r="I694" s="15" t="s">
        <v>710</v>
      </c>
      <c r="J694" s="14" t="s">
        <v>128</v>
      </c>
      <c r="K694" s="15" t="s">
        <v>59</v>
      </c>
      <c r="L694" s="15" t="s">
        <v>60</v>
      </c>
      <c r="M694" s="15"/>
      <c r="N694" s="92"/>
      <c r="P694" s="15" t="s">
        <v>660</v>
      </c>
    </row>
    <row r="695" spans="1:16">
      <c r="A695" s="15" t="s">
        <v>53</v>
      </c>
      <c r="B695" s="15" t="s">
        <v>33</v>
      </c>
      <c r="C695" s="15" t="s">
        <v>107</v>
      </c>
      <c r="D695" s="15" t="s">
        <v>12</v>
      </c>
      <c r="E695" s="14" t="s">
        <v>72</v>
      </c>
      <c r="F695" s="14">
        <v>901693</v>
      </c>
      <c r="G695" s="15" t="s">
        <v>178</v>
      </c>
      <c r="H695" s="14">
        <v>28010510</v>
      </c>
      <c r="I695" s="15" t="s">
        <v>711</v>
      </c>
      <c r="J695" s="14" t="s">
        <v>72</v>
      </c>
      <c r="K695" s="15" t="s">
        <v>59</v>
      </c>
      <c r="L695" s="15" t="s">
        <v>60</v>
      </c>
      <c r="M695" s="15"/>
      <c r="N695" s="92"/>
      <c r="P695" s="15" t="s">
        <v>660</v>
      </c>
    </row>
    <row r="696" spans="1:16">
      <c r="A696" s="15" t="s">
        <v>53</v>
      </c>
      <c r="B696" s="15" t="s">
        <v>33</v>
      </c>
      <c r="C696" s="15" t="s">
        <v>107</v>
      </c>
      <c r="D696" s="15" t="s">
        <v>12</v>
      </c>
      <c r="E696" s="14" t="s">
        <v>72</v>
      </c>
      <c r="F696" s="14">
        <v>901694</v>
      </c>
      <c r="G696" s="15" t="s">
        <v>141</v>
      </c>
      <c r="H696" s="14">
        <v>28010511</v>
      </c>
      <c r="I696" s="15" t="s">
        <v>712</v>
      </c>
      <c r="J696" s="14" t="s">
        <v>72</v>
      </c>
      <c r="K696" s="15" t="s">
        <v>59</v>
      </c>
      <c r="L696" s="15" t="s">
        <v>60</v>
      </c>
      <c r="M696" s="15"/>
      <c r="N696" s="92"/>
      <c r="P696" s="15" t="s">
        <v>660</v>
      </c>
    </row>
    <row r="697" spans="1:16">
      <c r="A697" s="15" t="s">
        <v>53</v>
      </c>
      <c r="B697" s="15" t="s">
        <v>33</v>
      </c>
      <c r="C697" s="15" t="s">
        <v>107</v>
      </c>
      <c r="D697" s="15" t="s">
        <v>12</v>
      </c>
      <c r="E697" s="14" t="s">
        <v>72</v>
      </c>
      <c r="F697" s="14">
        <v>901695</v>
      </c>
      <c r="G697" s="15" t="s">
        <v>172</v>
      </c>
      <c r="H697" s="14">
        <v>28010512</v>
      </c>
      <c r="I697" s="15" t="s">
        <v>713</v>
      </c>
      <c r="J697" s="14" t="s">
        <v>72</v>
      </c>
      <c r="K697" s="15" t="s">
        <v>59</v>
      </c>
      <c r="L697" s="15" t="s">
        <v>60</v>
      </c>
      <c r="M697" s="15"/>
      <c r="N697" s="92"/>
      <c r="P697" s="15" t="s">
        <v>660</v>
      </c>
    </row>
    <row r="698" spans="1:16">
      <c r="A698" s="15" t="s">
        <v>53</v>
      </c>
      <c r="B698" s="15" t="s">
        <v>29</v>
      </c>
      <c r="C698" s="15" t="s">
        <v>107</v>
      </c>
      <c r="D698" s="15" t="s">
        <v>12</v>
      </c>
      <c r="E698" s="14" t="s">
        <v>72</v>
      </c>
      <c r="F698" s="14">
        <v>901696</v>
      </c>
      <c r="G698" s="15" t="s">
        <v>141</v>
      </c>
      <c r="H698" s="14">
        <v>28010513</v>
      </c>
      <c r="I698" s="15" t="s">
        <v>714</v>
      </c>
      <c r="J698" s="14" t="s">
        <v>72</v>
      </c>
      <c r="K698" s="15" t="s">
        <v>59</v>
      </c>
      <c r="L698" s="15" t="s">
        <v>60</v>
      </c>
      <c r="M698" s="15"/>
      <c r="N698" s="92"/>
      <c r="P698" s="15" t="s">
        <v>660</v>
      </c>
    </row>
    <row r="699" spans="1:16">
      <c r="A699" s="15" t="s">
        <v>53</v>
      </c>
      <c r="B699" s="15" t="s">
        <v>34</v>
      </c>
      <c r="C699" s="15" t="s">
        <v>107</v>
      </c>
      <c r="D699" s="15" t="s">
        <v>12</v>
      </c>
      <c r="E699" s="14" t="s">
        <v>72</v>
      </c>
      <c r="F699" s="14">
        <v>901697</v>
      </c>
      <c r="G699" s="15" t="s">
        <v>179</v>
      </c>
      <c r="H699" s="14">
        <v>28010514</v>
      </c>
      <c r="I699" s="15" t="s">
        <v>715</v>
      </c>
      <c r="J699" s="14" t="s">
        <v>72</v>
      </c>
      <c r="K699" s="15" t="s">
        <v>59</v>
      </c>
      <c r="L699" s="15" t="s">
        <v>60</v>
      </c>
      <c r="M699" s="15"/>
      <c r="N699" s="92"/>
      <c r="P699" s="14" t="s">
        <v>681</v>
      </c>
    </row>
    <row r="700" spans="1:16">
      <c r="A700" s="15" t="s">
        <v>53</v>
      </c>
      <c r="B700" s="15" t="s">
        <v>29</v>
      </c>
      <c r="C700" s="15" t="s">
        <v>107</v>
      </c>
      <c r="D700" s="15" t="s">
        <v>12</v>
      </c>
      <c r="E700" s="14" t="s">
        <v>72</v>
      </c>
      <c r="F700" s="14">
        <v>901698</v>
      </c>
      <c r="G700" s="15" t="s">
        <v>181</v>
      </c>
      <c r="H700" s="14">
        <v>28010515</v>
      </c>
      <c r="I700" s="15" t="s">
        <v>716</v>
      </c>
      <c r="J700" s="14" t="s">
        <v>72</v>
      </c>
      <c r="K700" s="15" t="s">
        <v>59</v>
      </c>
      <c r="L700" s="15" t="s">
        <v>60</v>
      </c>
      <c r="M700" s="15"/>
      <c r="N700" s="92"/>
      <c r="P700" s="14" t="s">
        <v>707</v>
      </c>
    </row>
    <row r="701" spans="1:16">
      <c r="A701" s="15" t="s">
        <v>53</v>
      </c>
      <c r="B701" s="15" t="s">
        <v>33</v>
      </c>
      <c r="C701" s="15" t="s">
        <v>107</v>
      </c>
      <c r="D701" s="15" t="s">
        <v>12</v>
      </c>
      <c r="E701" s="14" t="s">
        <v>72</v>
      </c>
      <c r="F701" s="14">
        <v>901699</v>
      </c>
      <c r="G701" s="15" t="s">
        <v>142</v>
      </c>
      <c r="H701" s="14">
        <v>28010516</v>
      </c>
      <c r="I701" s="15" t="s">
        <v>717</v>
      </c>
      <c r="J701" s="14" t="s">
        <v>72</v>
      </c>
      <c r="K701" s="15" t="s">
        <v>59</v>
      </c>
      <c r="L701" s="15" t="s">
        <v>60</v>
      </c>
      <c r="M701" s="15"/>
      <c r="N701" s="92"/>
      <c r="P701" s="15" t="s">
        <v>660</v>
      </c>
    </row>
    <row r="702" spans="1:16">
      <c r="A702" s="15" t="s">
        <v>53</v>
      </c>
      <c r="B702" s="15" t="s">
        <v>31</v>
      </c>
      <c r="C702" s="15" t="s">
        <v>107</v>
      </c>
      <c r="D702" s="15" t="s">
        <v>12</v>
      </c>
      <c r="E702" s="14" t="s">
        <v>56</v>
      </c>
      <c r="F702" s="14">
        <v>901700</v>
      </c>
      <c r="G702" s="15" t="s">
        <v>137</v>
      </c>
      <c r="H702" s="14">
        <v>28010517</v>
      </c>
      <c r="I702" s="15" t="s">
        <v>718</v>
      </c>
      <c r="J702" s="14" t="s">
        <v>109</v>
      </c>
      <c r="K702" s="15" t="s">
        <v>59</v>
      </c>
      <c r="L702" s="15" t="s">
        <v>60</v>
      </c>
      <c r="M702" s="15"/>
      <c r="N702" s="92"/>
      <c r="P702" s="15" t="s">
        <v>660</v>
      </c>
    </row>
    <row r="703" spans="1:16">
      <c r="A703" s="15" t="s">
        <v>53</v>
      </c>
      <c r="B703" s="15" t="s">
        <v>30</v>
      </c>
      <c r="C703" s="15" t="s">
        <v>107</v>
      </c>
      <c r="D703" s="15" t="s">
        <v>12</v>
      </c>
      <c r="E703" s="14" t="s">
        <v>72</v>
      </c>
      <c r="F703" s="14">
        <v>901701</v>
      </c>
      <c r="G703" s="15" t="s">
        <v>141</v>
      </c>
      <c r="H703" s="14">
        <v>28010518</v>
      </c>
      <c r="I703" s="15" t="s">
        <v>719</v>
      </c>
      <c r="J703" s="14" t="s">
        <v>72</v>
      </c>
      <c r="K703" s="15" t="s">
        <v>59</v>
      </c>
      <c r="L703" s="15" t="s">
        <v>60</v>
      </c>
      <c r="M703" s="15"/>
      <c r="N703" s="92"/>
      <c r="P703" s="15" t="s">
        <v>660</v>
      </c>
    </row>
    <row r="704" spans="1:16">
      <c r="A704" s="15" t="s">
        <v>53</v>
      </c>
      <c r="B704" s="15" t="s">
        <v>32</v>
      </c>
      <c r="C704" s="15" t="s">
        <v>107</v>
      </c>
      <c r="D704" s="15" t="s">
        <v>12</v>
      </c>
      <c r="E704" s="14" t="s">
        <v>128</v>
      </c>
      <c r="F704" s="14">
        <v>90001702</v>
      </c>
      <c r="G704" s="15" t="s">
        <v>170</v>
      </c>
      <c r="H704" s="14">
        <v>28010519</v>
      </c>
      <c r="I704" s="15" t="s">
        <v>720</v>
      </c>
      <c r="J704" s="14" t="s">
        <v>128</v>
      </c>
      <c r="K704" s="15" t="s">
        <v>59</v>
      </c>
      <c r="L704" s="15" t="s">
        <v>60</v>
      </c>
      <c r="M704" s="15"/>
      <c r="N704" s="92"/>
      <c r="P704" s="15" t="s">
        <v>660</v>
      </c>
    </row>
    <row r="705" spans="1:16">
      <c r="A705" s="15" t="s">
        <v>53</v>
      </c>
      <c r="B705" s="15" t="s">
        <v>29</v>
      </c>
      <c r="C705" s="15" t="s">
        <v>107</v>
      </c>
      <c r="D705" s="15" t="s">
        <v>12</v>
      </c>
      <c r="E705" s="14" t="s">
        <v>72</v>
      </c>
      <c r="F705" s="14">
        <v>901703</v>
      </c>
      <c r="G705" s="15" t="s">
        <v>142</v>
      </c>
      <c r="H705" s="14">
        <v>28010520</v>
      </c>
      <c r="I705" s="15" t="s">
        <v>721</v>
      </c>
      <c r="J705" s="14" t="s">
        <v>72</v>
      </c>
      <c r="K705" s="15" t="s">
        <v>59</v>
      </c>
      <c r="L705" s="15" t="s">
        <v>60</v>
      </c>
      <c r="M705" s="15"/>
      <c r="N705" s="92"/>
      <c r="P705" s="15" t="s">
        <v>660</v>
      </c>
    </row>
    <row r="706" spans="1:16">
      <c r="A706" s="15" t="s">
        <v>53</v>
      </c>
      <c r="B706" s="15" t="s">
        <v>29</v>
      </c>
      <c r="C706" s="15" t="s">
        <v>107</v>
      </c>
      <c r="D706" s="15" t="s">
        <v>12</v>
      </c>
      <c r="E706" s="14" t="s">
        <v>72</v>
      </c>
      <c r="F706" s="14">
        <v>901704</v>
      </c>
      <c r="G706" s="15" t="s">
        <v>144</v>
      </c>
      <c r="H706" s="14">
        <v>28010521</v>
      </c>
      <c r="I706" s="15" t="s">
        <v>722</v>
      </c>
      <c r="J706" s="14" t="s">
        <v>72</v>
      </c>
      <c r="K706" s="15" t="s">
        <v>59</v>
      </c>
      <c r="L706" s="15" t="s">
        <v>60</v>
      </c>
      <c r="M706" s="15"/>
      <c r="N706" s="92"/>
      <c r="P706" s="15" t="s">
        <v>660</v>
      </c>
    </row>
    <row r="707" spans="1:16">
      <c r="A707" s="15" t="s">
        <v>53</v>
      </c>
      <c r="B707" s="15" t="s">
        <v>29</v>
      </c>
      <c r="C707" s="15" t="s">
        <v>107</v>
      </c>
      <c r="D707" s="15" t="s">
        <v>12</v>
      </c>
      <c r="E707" s="14" t="s">
        <v>72</v>
      </c>
      <c r="F707" s="14">
        <v>901705</v>
      </c>
      <c r="G707" s="15" t="s">
        <v>137</v>
      </c>
      <c r="H707" s="14">
        <v>28010522</v>
      </c>
      <c r="I707" s="15" t="s">
        <v>723</v>
      </c>
      <c r="J707" s="14" t="s">
        <v>72</v>
      </c>
      <c r="K707" s="15" t="s">
        <v>59</v>
      </c>
      <c r="L707" s="15" t="s">
        <v>60</v>
      </c>
      <c r="M707" s="15"/>
      <c r="N707" s="92"/>
      <c r="P707" s="15" t="s">
        <v>660</v>
      </c>
    </row>
    <row r="708" spans="1:16">
      <c r="A708" s="15" t="s">
        <v>53</v>
      </c>
      <c r="B708" s="15" t="s">
        <v>32</v>
      </c>
      <c r="C708" s="15" t="s">
        <v>107</v>
      </c>
      <c r="D708" s="15" t="s">
        <v>12</v>
      </c>
      <c r="E708" s="14" t="s">
        <v>128</v>
      </c>
      <c r="F708" s="14">
        <v>901706</v>
      </c>
      <c r="G708" s="15" t="s">
        <v>183</v>
      </c>
      <c r="H708" s="14">
        <v>28010523</v>
      </c>
      <c r="I708" s="15" t="s">
        <v>724</v>
      </c>
      <c r="J708" s="14" t="s">
        <v>128</v>
      </c>
      <c r="K708" s="15" t="s">
        <v>59</v>
      </c>
      <c r="L708" s="15" t="s">
        <v>60</v>
      </c>
      <c r="M708" s="15"/>
      <c r="N708" s="92"/>
      <c r="P708" s="15" t="s">
        <v>660</v>
      </c>
    </row>
    <row r="709" spans="1:16">
      <c r="A709" s="15" t="s">
        <v>53</v>
      </c>
      <c r="B709" s="15" t="s">
        <v>29</v>
      </c>
      <c r="C709" s="15" t="s">
        <v>107</v>
      </c>
      <c r="D709" s="15" t="s">
        <v>12</v>
      </c>
      <c r="E709" s="14" t="s">
        <v>72</v>
      </c>
      <c r="F709" s="14">
        <v>901707</v>
      </c>
      <c r="G709" s="15" t="s">
        <v>137</v>
      </c>
      <c r="H709" s="14">
        <v>28010524</v>
      </c>
      <c r="I709" s="15" t="s">
        <v>725</v>
      </c>
      <c r="J709" s="14" t="s">
        <v>72</v>
      </c>
      <c r="K709" s="15" t="s">
        <v>59</v>
      </c>
      <c r="L709" s="15" t="s">
        <v>60</v>
      </c>
      <c r="M709" s="15"/>
      <c r="N709" s="92"/>
      <c r="P709" s="15" t="s">
        <v>660</v>
      </c>
    </row>
    <row r="710" spans="1:16">
      <c r="A710" s="15" t="s">
        <v>53</v>
      </c>
      <c r="B710" s="15" t="s">
        <v>32</v>
      </c>
      <c r="C710" s="15" t="s">
        <v>107</v>
      </c>
      <c r="D710" s="15" t="s">
        <v>12</v>
      </c>
      <c r="E710" s="14" t="s">
        <v>72</v>
      </c>
      <c r="F710" s="14">
        <v>901708</v>
      </c>
      <c r="G710" s="15" t="s">
        <v>141</v>
      </c>
      <c r="H710" s="14">
        <v>28010525</v>
      </c>
      <c r="I710" s="15" t="s">
        <v>726</v>
      </c>
      <c r="J710" s="14" t="s">
        <v>72</v>
      </c>
      <c r="K710" s="15" t="s">
        <v>59</v>
      </c>
      <c r="L710" s="15" t="s">
        <v>60</v>
      </c>
      <c r="M710" s="15"/>
      <c r="N710" s="92"/>
      <c r="P710" s="15" t="s">
        <v>660</v>
      </c>
    </row>
    <row r="711" spans="1:16">
      <c r="A711" s="15" t="s">
        <v>53</v>
      </c>
      <c r="B711" s="15" t="s">
        <v>34</v>
      </c>
      <c r="C711" s="15" t="s">
        <v>107</v>
      </c>
      <c r="D711" s="15" t="s">
        <v>12</v>
      </c>
      <c r="E711" s="14" t="s">
        <v>128</v>
      </c>
      <c r="F711" s="14">
        <v>901709</v>
      </c>
      <c r="G711" s="15" t="s">
        <v>183</v>
      </c>
      <c r="H711" s="14">
        <v>28010526</v>
      </c>
      <c r="I711" s="15" t="s">
        <v>727</v>
      </c>
      <c r="J711" s="14" t="s">
        <v>128</v>
      </c>
      <c r="K711" s="15" t="s">
        <v>59</v>
      </c>
      <c r="L711" s="15" t="s">
        <v>60</v>
      </c>
      <c r="M711" s="15"/>
      <c r="N711" s="92"/>
      <c r="P711" s="15" t="s">
        <v>660</v>
      </c>
    </row>
    <row r="712" spans="1:16">
      <c r="A712" s="15" t="s">
        <v>53</v>
      </c>
      <c r="B712" s="15" t="s">
        <v>32</v>
      </c>
      <c r="C712" s="15" t="s">
        <v>107</v>
      </c>
      <c r="D712" s="15" t="s">
        <v>12</v>
      </c>
      <c r="E712" s="14" t="s">
        <v>56</v>
      </c>
      <c r="F712" s="14">
        <v>901710</v>
      </c>
      <c r="G712" s="15" t="s">
        <v>172</v>
      </c>
      <c r="H712" s="14">
        <v>28010527</v>
      </c>
      <c r="I712" s="15" t="s">
        <v>728</v>
      </c>
      <c r="J712" s="14" t="s">
        <v>56</v>
      </c>
      <c r="K712" s="15" t="s">
        <v>59</v>
      </c>
      <c r="L712" s="15" t="s">
        <v>60</v>
      </c>
      <c r="M712" s="15"/>
      <c r="N712" s="92"/>
      <c r="P712" s="15" t="s">
        <v>660</v>
      </c>
    </row>
    <row r="713" spans="1:16">
      <c r="A713" s="15" t="s">
        <v>53</v>
      </c>
      <c r="B713" s="15" t="s">
        <v>29</v>
      </c>
      <c r="C713" s="15" t="s">
        <v>107</v>
      </c>
      <c r="D713" s="15" t="s">
        <v>12</v>
      </c>
      <c r="E713" s="14" t="s">
        <v>72</v>
      </c>
      <c r="F713" s="14">
        <v>901711</v>
      </c>
      <c r="G713" s="15" t="s">
        <v>137</v>
      </c>
      <c r="H713" s="14">
        <v>28010528</v>
      </c>
      <c r="I713" s="15" t="s">
        <v>729</v>
      </c>
      <c r="J713" s="14" t="s">
        <v>72</v>
      </c>
      <c r="K713" s="15" t="s">
        <v>59</v>
      </c>
      <c r="L713" s="15" t="s">
        <v>60</v>
      </c>
      <c r="M713" s="15"/>
      <c r="N713" s="92"/>
      <c r="P713" s="15" t="s">
        <v>660</v>
      </c>
    </row>
    <row r="714" spans="1:16">
      <c r="A714" s="15" t="s">
        <v>53</v>
      </c>
      <c r="B714" s="15" t="s">
        <v>34</v>
      </c>
      <c r="C714" s="15" t="s">
        <v>107</v>
      </c>
      <c r="D714" s="15" t="s">
        <v>12</v>
      </c>
      <c r="E714" s="14" t="s">
        <v>56</v>
      </c>
      <c r="F714" s="14">
        <v>901712</v>
      </c>
      <c r="G714" s="15" t="s">
        <v>142</v>
      </c>
      <c r="H714" s="14">
        <v>28010529</v>
      </c>
      <c r="I714" s="15" t="s">
        <v>730</v>
      </c>
      <c r="J714" s="14" t="s">
        <v>56</v>
      </c>
      <c r="K714" s="15" t="s">
        <v>59</v>
      </c>
      <c r="L714" s="15" t="s">
        <v>60</v>
      </c>
      <c r="M714" s="15"/>
      <c r="N714" s="92"/>
      <c r="P714" s="15" t="s">
        <v>660</v>
      </c>
    </row>
    <row r="715" spans="1:16">
      <c r="A715" s="15" t="s">
        <v>53</v>
      </c>
      <c r="B715" s="15" t="s">
        <v>33</v>
      </c>
      <c r="C715" s="15" t="s">
        <v>107</v>
      </c>
      <c r="D715" s="15" t="s">
        <v>12</v>
      </c>
      <c r="E715" s="14" t="s">
        <v>56</v>
      </c>
      <c r="F715" s="14">
        <v>901713</v>
      </c>
      <c r="G715" s="15" t="s">
        <v>153</v>
      </c>
      <c r="H715" s="14">
        <v>28010530</v>
      </c>
      <c r="I715" s="15" t="s">
        <v>731</v>
      </c>
      <c r="J715" s="14" t="s">
        <v>56</v>
      </c>
      <c r="K715" s="15" t="s">
        <v>59</v>
      </c>
      <c r="L715" s="15" t="s">
        <v>60</v>
      </c>
      <c r="M715" s="15"/>
      <c r="N715" s="92"/>
      <c r="P715" s="15" t="s">
        <v>660</v>
      </c>
    </row>
    <row r="716" spans="1:16">
      <c r="A716" s="15" t="s">
        <v>53</v>
      </c>
      <c r="B716" s="15" t="s">
        <v>30</v>
      </c>
      <c r="C716" s="15" t="s">
        <v>107</v>
      </c>
      <c r="D716" s="15" t="s">
        <v>12</v>
      </c>
      <c r="E716" s="14" t="s">
        <v>56</v>
      </c>
      <c r="F716" s="14">
        <v>901714</v>
      </c>
      <c r="G716" s="15" t="s">
        <v>186</v>
      </c>
      <c r="H716" s="14">
        <v>28010531</v>
      </c>
      <c r="I716" s="15" t="s">
        <v>732</v>
      </c>
      <c r="J716" s="14" t="s">
        <v>56</v>
      </c>
      <c r="K716" s="15" t="s">
        <v>59</v>
      </c>
      <c r="L716" s="15" t="s">
        <v>60</v>
      </c>
      <c r="M716" s="15"/>
      <c r="N716" s="92"/>
      <c r="P716" s="14" t="s">
        <v>681</v>
      </c>
    </row>
    <row r="717" spans="1:16">
      <c r="A717" s="15" t="s">
        <v>53</v>
      </c>
      <c r="B717" s="15" t="s">
        <v>30</v>
      </c>
      <c r="C717" s="15" t="s">
        <v>107</v>
      </c>
      <c r="D717" s="15" t="s">
        <v>12</v>
      </c>
      <c r="E717" s="14" t="s">
        <v>210</v>
      </c>
      <c r="F717" s="14">
        <v>90001715</v>
      </c>
      <c r="G717" s="15" t="s">
        <v>188</v>
      </c>
      <c r="H717" s="14">
        <v>28010532</v>
      </c>
      <c r="I717" s="15" t="s">
        <v>733</v>
      </c>
      <c r="J717" s="14" t="s">
        <v>210</v>
      </c>
      <c r="K717" s="15" t="s">
        <v>59</v>
      </c>
      <c r="L717" s="15" t="s">
        <v>60</v>
      </c>
      <c r="M717" s="15"/>
      <c r="N717" s="92"/>
      <c r="P717" s="15" t="s">
        <v>660</v>
      </c>
    </row>
    <row r="718" spans="1:16">
      <c r="A718" s="15" t="s">
        <v>53</v>
      </c>
      <c r="B718" s="15" t="s">
        <v>32</v>
      </c>
      <c r="C718" s="15" t="s">
        <v>107</v>
      </c>
      <c r="D718" s="15" t="s">
        <v>12</v>
      </c>
      <c r="E718" s="14" t="s">
        <v>56</v>
      </c>
      <c r="F718" s="14">
        <v>901716</v>
      </c>
      <c r="G718" s="15" t="s">
        <v>186</v>
      </c>
      <c r="H718" s="14">
        <v>28010533</v>
      </c>
      <c r="I718" s="15" t="s">
        <v>734</v>
      </c>
      <c r="J718" s="14" t="s">
        <v>56</v>
      </c>
      <c r="K718" s="15" t="s">
        <v>59</v>
      </c>
      <c r="L718" s="15" t="s">
        <v>60</v>
      </c>
      <c r="M718" s="15"/>
      <c r="N718" s="92"/>
      <c r="P718" s="14" t="s">
        <v>681</v>
      </c>
    </row>
    <row r="719" spans="1:16">
      <c r="A719" s="15" t="s">
        <v>53</v>
      </c>
      <c r="B719" s="15" t="s">
        <v>30</v>
      </c>
      <c r="C719" s="15" t="s">
        <v>107</v>
      </c>
      <c r="D719" s="15" t="s">
        <v>12</v>
      </c>
      <c r="E719" s="14" t="s">
        <v>56</v>
      </c>
      <c r="F719" s="14">
        <v>901717</v>
      </c>
      <c r="G719" s="15" t="s">
        <v>142</v>
      </c>
      <c r="H719" s="14">
        <v>28010534</v>
      </c>
      <c r="I719" s="15" t="s">
        <v>735</v>
      </c>
      <c r="J719" s="14" t="s">
        <v>56</v>
      </c>
      <c r="K719" s="15" t="s">
        <v>59</v>
      </c>
      <c r="L719" s="15" t="s">
        <v>60</v>
      </c>
      <c r="M719" s="15"/>
      <c r="N719" s="92"/>
      <c r="P719" s="15" t="s">
        <v>660</v>
      </c>
    </row>
    <row r="720" spans="1:16">
      <c r="A720" s="15" t="s">
        <v>53</v>
      </c>
      <c r="B720" s="15" t="s">
        <v>32</v>
      </c>
      <c r="C720" s="15" t="s">
        <v>107</v>
      </c>
      <c r="D720" s="15" t="s">
        <v>12</v>
      </c>
      <c r="E720" s="14" t="s">
        <v>109</v>
      </c>
      <c r="F720" s="14">
        <v>901718</v>
      </c>
      <c r="G720" s="15" t="s">
        <v>190</v>
      </c>
      <c r="H720" s="14">
        <v>28010535</v>
      </c>
      <c r="I720" s="15" t="s">
        <v>736</v>
      </c>
      <c r="J720" s="14" t="s">
        <v>109</v>
      </c>
      <c r="K720" s="15" t="s">
        <v>59</v>
      </c>
      <c r="L720" s="15" t="s">
        <v>60</v>
      </c>
      <c r="M720" s="15"/>
      <c r="N720" s="92"/>
      <c r="P720" s="15" t="s">
        <v>660</v>
      </c>
    </row>
    <row r="721" spans="1:16">
      <c r="A721" s="15" t="s">
        <v>53</v>
      </c>
      <c r="B721" s="15" t="s">
        <v>32</v>
      </c>
      <c r="C721" s="15" t="s">
        <v>107</v>
      </c>
      <c r="D721" s="15" t="s">
        <v>12</v>
      </c>
      <c r="E721" s="14" t="s">
        <v>109</v>
      </c>
      <c r="F721" s="14">
        <v>901719</v>
      </c>
      <c r="G721" s="15" t="s">
        <v>190</v>
      </c>
      <c r="H721" s="14">
        <v>28010536</v>
      </c>
      <c r="I721" s="15" t="s">
        <v>737</v>
      </c>
      <c r="J721" s="14" t="s">
        <v>109</v>
      </c>
      <c r="K721" s="15" t="s">
        <v>59</v>
      </c>
      <c r="L721" s="15" t="s">
        <v>60</v>
      </c>
      <c r="M721" s="15"/>
      <c r="N721" s="92"/>
      <c r="P721" s="15" t="s">
        <v>660</v>
      </c>
    </row>
    <row r="722" spans="1:16">
      <c r="A722" s="15" t="s">
        <v>53</v>
      </c>
      <c r="B722" s="15" t="s">
        <v>32</v>
      </c>
      <c r="C722" s="15" t="s">
        <v>107</v>
      </c>
      <c r="D722" s="15" t="s">
        <v>12</v>
      </c>
      <c r="E722" s="14" t="s">
        <v>109</v>
      </c>
      <c r="F722" s="14">
        <v>901720</v>
      </c>
      <c r="G722" s="15" t="s">
        <v>190</v>
      </c>
      <c r="H722" s="14">
        <v>28010537</v>
      </c>
      <c r="I722" s="15" t="s">
        <v>738</v>
      </c>
      <c r="J722" s="14" t="s">
        <v>109</v>
      </c>
      <c r="K722" s="15" t="s">
        <v>59</v>
      </c>
      <c r="L722" s="15" t="s">
        <v>60</v>
      </c>
      <c r="M722" s="15"/>
      <c r="N722" s="92"/>
      <c r="P722" s="15" t="s">
        <v>660</v>
      </c>
    </row>
    <row r="723" spans="1:16">
      <c r="A723" s="15" t="s">
        <v>53</v>
      </c>
      <c r="B723" s="15" t="s">
        <v>32</v>
      </c>
      <c r="C723" s="15" t="s">
        <v>107</v>
      </c>
      <c r="D723" s="15" t="s">
        <v>12</v>
      </c>
      <c r="E723" s="14" t="s">
        <v>109</v>
      </c>
      <c r="F723" s="14">
        <v>901721</v>
      </c>
      <c r="G723" s="15" t="s">
        <v>190</v>
      </c>
      <c r="H723" s="14">
        <v>28010538</v>
      </c>
      <c r="I723" s="15" t="s">
        <v>739</v>
      </c>
      <c r="J723" s="14" t="s">
        <v>109</v>
      </c>
      <c r="K723" s="15" t="s">
        <v>59</v>
      </c>
      <c r="L723" s="15" t="s">
        <v>60</v>
      </c>
      <c r="M723" s="15"/>
      <c r="N723" s="92"/>
      <c r="P723" s="15" t="s">
        <v>660</v>
      </c>
    </row>
    <row r="724" spans="1:16">
      <c r="A724" s="15" t="s">
        <v>53</v>
      </c>
      <c r="B724" s="15" t="s">
        <v>32</v>
      </c>
      <c r="C724" s="15" t="s">
        <v>107</v>
      </c>
      <c r="D724" s="15" t="s">
        <v>12</v>
      </c>
      <c r="E724" s="14" t="s">
        <v>109</v>
      </c>
      <c r="F724" s="14">
        <v>901722</v>
      </c>
      <c r="G724" s="15" t="s">
        <v>190</v>
      </c>
      <c r="H724" s="14">
        <v>28010539</v>
      </c>
      <c r="I724" s="15" t="s">
        <v>740</v>
      </c>
      <c r="J724" s="14" t="s">
        <v>109</v>
      </c>
      <c r="K724" s="15" t="s">
        <v>59</v>
      </c>
      <c r="L724" s="15" t="s">
        <v>60</v>
      </c>
      <c r="M724" s="15"/>
      <c r="N724" s="92"/>
      <c r="P724" s="15" t="s">
        <v>660</v>
      </c>
    </row>
    <row r="725" spans="1:16">
      <c r="A725" s="15" t="s">
        <v>53</v>
      </c>
      <c r="B725" s="15" t="s">
        <v>32</v>
      </c>
      <c r="C725" s="15" t="s">
        <v>107</v>
      </c>
      <c r="D725" s="15" t="s">
        <v>12</v>
      </c>
      <c r="E725" s="14" t="s">
        <v>109</v>
      </c>
      <c r="F725" s="14">
        <v>901723</v>
      </c>
      <c r="G725" s="15" t="s">
        <v>190</v>
      </c>
      <c r="H725" s="14">
        <v>28010540</v>
      </c>
      <c r="I725" s="15" t="s">
        <v>741</v>
      </c>
      <c r="J725" s="14" t="s">
        <v>109</v>
      </c>
      <c r="K725" s="15" t="s">
        <v>59</v>
      </c>
      <c r="L725" s="15" t="s">
        <v>60</v>
      </c>
      <c r="M725" s="15"/>
      <c r="N725" s="92"/>
      <c r="P725" s="15" t="s">
        <v>660</v>
      </c>
    </row>
    <row r="726" spans="1:16">
      <c r="A726" s="15" t="s">
        <v>53</v>
      </c>
      <c r="B726" s="15" t="s">
        <v>32</v>
      </c>
      <c r="C726" s="15" t="s">
        <v>107</v>
      </c>
      <c r="D726" s="15" t="s">
        <v>12</v>
      </c>
      <c r="E726" s="14" t="s">
        <v>109</v>
      </c>
      <c r="F726" s="14">
        <v>901724</v>
      </c>
      <c r="G726" s="15" t="s">
        <v>193</v>
      </c>
      <c r="H726" s="14">
        <v>28010541</v>
      </c>
      <c r="I726" s="15" t="s">
        <v>742</v>
      </c>
      <c r="J726" s="14" t="s">
        <v>109</v>
      </c>
      <c r="K726" s="15" t="s">
        <v>59</v>
      </c>
      <c r="L726" s="15" t="s">
        <v>60</v>
      </c>
      <c r="M726" s="15"/>
      <c r="N726" s="92"/>
      <c r="P726" s="14" t="s">
        <v>681</v>
      </c>
    </row>
    <row r="727" spans="1:16">
      <c r="A727" s="15" t="s">
        <v>53</v>
      </c>
      <c r="B727" s="15" t="s">
        <v>32</v>
      </c>
      <c r="C727" s="15" t="s">
        <v>107</v>
      </c>
      <c r="D727" s="15" t="s">
        <v>12</v>
      </c>
      <c r="E727" s="14" t="s">
        <v>109</v>
      </c>
      <c r="F727" s="14">
        <v>901725</v>
      </c>
      <c r="G727" s="15" t="s">
        <v>188</v>
      </c>
      <c r="H727" s="14">
        <v>28010542</v>
      </c>
      <c r="I727" s="15" t="s">
        <v>743</v>
      </c>
      <c r="J727" s="14" t="s">
        <v>109</v>
      </c>
      <c r="K727" s="15" t="s">
        <v>59</v>
      </c>
      <c r="L727" s="15" t="s">
        <v>60</v>
      </c>
      <c r="M727" s="15"/>
      <c r="N727" s="92"/>
      <c r="P727" s="15" t="s">
        <v>660</v>
      </c>
    </row>
    <row r="728" spans="1:16">
      <c r="A728" s="15" t="s">
        <v>53</v>
      </c>
      <c r="B728" s="15" t="s">
        <v>32</v>
      </c>
      <c r="C728" s="15" t="s">
        <v>107</v>
      </c>
      <c r="D728" s="15" t="s">
        <v>12</v>
      </c>
      <c r="E728" s="14" t="s">
        <v>109</v>
      </c>
      <c r="F728" s="14">
        <v>901726</v>
      </c>
      <c r="G728" s="15" t="s">
        <v>188</v>
      </c>
      <c r="H728" s="14">
        <v>28010543</v>
      </c>
      <c r="I728" s="15" t="s">
        <v>744</v>
      </c>
      <c r="J728" s="14" t="s">
        <v>109</v>
      </c>
      <c r="K728" s="15" t="s">
        <v>59</v>
      </c>
      <c r="L728" s="15" t="s">
        <v>60</v>
      </c>
      <c r="M728" s="15"/>
      <c r="N728" s="92"/>
      <c r="P728" s="15" t="s">
        <v>660</v>
      </c>
    </row>
    <row r="729" spans="1:16">
      <c r="A729" s="15" t="s">
        <v>53</v>
      </c>
      <c r="B729" s="15" t="s">
        <v>32</v>
      </c>
      <c r="C729" s="15" t="s">
        <v>107</v>
      </c>
      <c r="D729" s="15" t="s">
        <v>12</v>
      </c>
      <c r="E729" s="14" t="s">
        <v>109</v>
      </c>
      <c r="F729" s="14">
        <v>901727</v>
      </c>
      <c r="G729" s="15" t="s">
        <v>190</v>
      </c>
      <c r="H729" s="14">
        <v>28010544</v>
      </c>
      <c r="I729" s="15" t="s">
        <v>745</v>
      </c>
      <c r="J729" s="14" t="s">
        <v>109</v>
      </c>
      <c r="K729" s="15" t="s">
        <v>59</v>
      </c>
      <c r="L729" s="15" t="s">
        <v>60</v>
      </c>
      <c r="M729" s="15"/>
      <c r="N729" s="92"/>
      <c r="P729" s="15" t="s">
        <v>660</v>
      </c>
    </row>
    <row r="730" spans="1:16">
      <c r="A730" s="15" t="s">
        <v>53</v>
      </c>
      <c r="B730" s="15" t="s">
        <v>32</v>
      </c>
      <c r="C730" s="15" t="s">
        <v>107</v>
      </c>
      <c r="D730" s="15" t="s">
        <v>12</v>
      </c>
      <c r="E730" s="14" t="s">
        <v>109</v>
      </c>
      <c r="F730" s="14">
        <v>901728</v>
      </c>
      <c r="G730" s="15" t="s">
        <v>188</v>
      </c>
      <c r="H730" s="14">
        <v>28010545</v>
      </c>
      <c r="I730" s="15" t="s">
        <v>746</v>
      </c>
      <c r="J730" s="14" t="s">
        <v>109</v>
      </c>
      <c r="K730" s="15" t="s">
        <v>59</v>
      </c>
      <c r="L730" s="15" t="s">
        <v>60</v>
      </c>
      <c r="M730" s="15"/>
      <c r="N730" s="92"/>
      <c r="P730" s="15" t="s">
        <v>660</v>
      </c>
    </row>
    <row r="731" spans="1:16">
      <c r="A731" s="15" t="s">
        <v>53</v>
      </c>
      <c r="B731" s="15" t="s">
        <v>32</v>
      </c>
      <c r="C731" s="15" t="s">
        <v>107</v>
      </c>
      <c r="D731" s="15" t="s">
        <v>12</v>
      </c>
      <c r="E731" s="14" t="s">
        <v>109</v>
      </c>
      <c r="F731" s="14">
        <v>901729</v>
      </c>
      <c r="G731" s="15" t="s">
        <v>190</v>
      </c>
      <c r="H731" s="14">
        <v>28010546</v>
      </c>
      <c r="I731" s="15" t="s">
        <v>747</v>
      </c>
      <c r="J731" s="14" t="s">
        <v>109</v>
      </c>
      <c r="K731" s="15" t="s">
        <v>59</v>
      </c>
      <c r="L731" s="15" t="s">
        <v>60</v>
      </c>
      <c r="M731" s="15"/>
      <c r="N731" s="92"/>
      <c r="P731" s="15" t="s">
        <v>660</v>
      </c>
    </row>
    <row r="732" spans="1:16">
      <c r="A732" s="15" t="s">
        <v>53</v>
      </c>
      <c r="B732" s="15" t="s">
        <v>30</v>
      </c>
      <c r="C732" s="15" t="s">
        <v>107</v>
      </c>
      <c r="D732" s="15" t="s">
        <v>12</v>
      </c>
      <c r="E732" s="14" t="s">
        <v>128</v>
      </c>
      <c r="F732" s="14">
        <v>90001730</v>
      </c>
      <c r="G732" s="15" t="s">
        <v>165</v>
      </c>
      <c r="H732" s="14">
        <v>28010547</v>
      </c>
      <c r="I732" s="15" t="s">
        <v>748</v>
      </c>
      <c r="J732" s="14" t="s">
        <v>128</v>
      </c>
      <c r="K732" s="15" t="s">
        <v>59</v>
      </c>
      <c r="L732" s="15" t="s">
        <v>60</v>
      </c>
      <c r="M732" s="15"/>
      <c r="N732" s="92"/>
      <c r="P732" s="15" t="s">
        <v>660</v>
      </c>
    </row>
    <row r="733" spans="1:16">
      <c r="A733" s="15" t="s">
        <v>53</v>
      </c>
      <c r="B733" s="15" t="s">
        <v>30</v>
      </c>
      <c r="C733" s="15" t="s">
        <v>107</v>
      </c>
      <c r="D733" s="15" t="s">
        <v>12</v>
      </c>
      <c r="E733" s="14" t="s">
        <v>128</v>
      </c>
      <c r="F733" s="14">
        <v>901731</v>
      </c>
      <c r="G733" s="15" t="s">
        <v>183</v>
      </c>
      <c r="H733" s="14">
        <v>28010548</v>
      </c>
      <c r="I733" s="15" t="s">
        <v>749</v>
      </c>
      <c r="J733" s="14" t="s">
        <v>128</v>
      </c>
      <c r="K733" s="15" t="s">
        <v>59</v>
      </c>
      <c r="L733" s="15" t="s">
        <v>60</v>
      </c>
      <c r="M733" s="15"/>
      <c r="N733" s="92"/>
      <c r="P733" s="15" t="s">
        <v>660</v>
      </c>
    </row>
    <row r="734" spans="1:16">
      <c r="A734" s="15" t="s">
        <v>53</v>
      </c>
      <c r="B734" s="15" t="s">
        <v>33</v>
      </c>
      <c r="C734" s="15" t="s">
        <v>107</v>
      </c>
      <c r="D734" s="15" t="s">
        <v>12</v>
      </c>
      <c r="E734" s="14" t="s">
        <v>72</v>
      </c>
      <c r="F734" s="14">
        <v>901732</v>
      </c>
      <c r="G734" s="15" t="s">
        <v>153</v>
      </c>
      <c r="H734" s="14">
        <v>28010549</v>
      </c>
      <c r="I734" s="15" t="s">
        <v>750</v>
      </c>
      <c r="J734" s="14" t="s">
        <v>72</v>
      </c>
      <c r="K734" s="15" t="s">
        <v>59</v>
      </c>
      <c r="L734" s="15" t="s">
        <v>60</v>
      </c>
      <c r="M734" s="15"/>
      <c r="N734" s="92"/>
      <c r="P734" s="15" t="s">
        <v>660</v>
      </c>
    </row>
    <row r="735" spans="1:16">
      <c r="A735" s="15" t="s">
        <v>53</v>
      </c>
      <c r="B735" s="15" t="s">
        <v>33</v>
      </c>
      <c r="C735" s="15" t="s">
        <v>107</v>
      </c>
      <c r="D735" s="15" t="s">
        <v>12</v>
      </c>
      <c r="E735" s="14" t="s">
        <v>72</v>
      </c>
      <c r="F735" s="14">
        <v>901733</v>
      </c>
      <c r="G735" s="15" t="s">
        <v>137</v>
      </c>
      <c r="H735" s="14">
        <v>28010550</v>
      </c>
      <c r="I735" s="15" t="s">
        <v>751</v>
      </c>
      <c r="J735" s="14" t="s">
        <v>72</v>
      </c>
      <c r="K735" s="15" t="s">
        <v>59</v>
      </c>
      <c r="L735" s="15" t="s">
        <v>60</v>
      </c>
      <c r="M735" s="15"/>
      <c r="N735" s="92"/>
      <c r="P735" s="15" t="s">
        <v>660</v>
      </c>
    </row>
    <row r="736" spans="1:16">
      <c r="A736" s="15" t="s">
        <v>53</v>
      </c>
      <c r="B736" s="15" t="s">
        <v>30</v>
      </c>
      <c r="C736" s="15" t="s">
        <v>107</v>
      </c>
      <c r="D736" s="15" t="s">
        <v>12</v>
      </c>
      <c r="E736" s="14" t="s">
        <v>109</v>
      </c>
      <c r="F736" s="14">
        <v>901734</v>
      </c>
      <c r="G736" s="15" t="s">
        <v>172</v>
      </c>
      <c r="H736" s="14">
        <v>28010551</v>
      </c>
      <c r="I736" s="15" t="s">
        <v>752</v>
      </c>
      <c r="J736" s="14" t="s">
        <v>109</v>
      </c>
      <c r="K736" s="15" t="s">
        <v>59</v>
      </c>
      <c r="L736" s="15" t="s">
        <v>60</v>
      </c>
      <c r="M736" s="15"/>
      <c r="N736" s="92"/>
      <c r="P736" s="15" t="s">
        <v>660</v>
      </c>
    </row>
    <row r="737" spans="1:16">
      <c r="A737" s="15" t="s">
        <v>53</v>
      </c>
      <c r="B737" s="15" t="s">
        <v>31</v>
      </c>
      <c r="C737" s="15" t="s">
        <v>107</v>
      </c>
      <c r="D737" s="15" t="s">
        <v>12</v>
      </c>
      <c r="E737" s="14" t="s">
        <v>56</v>
      </c>
      <c r="F737" s="14">
        <v>901735</v>
      </c>
      <c r="G737" s="15" t="s">
        <v>141</v>
      </c>
      <c r="H737" s="14">
        <v>28010552</v>
      </c>
      <c r="I737" s="15" t="s">
        <v>753</v>
      </c>
      <c r="J737" s="14" t="s">
        <v>56</v>
      </c>
      <c r="K737" s="15" t="s">
        <v>59</v>
      </c>
      <c r="L737" s="15" t="s">
        <v>60</v>
      </c>
      <c r="M737" s="15"/>
      <c r="N737" s="92"/>
      <c r="P737" s="15" t="s">
        <v>660</v>
      </c>
    </row>
    <row r="738" spans="1:16">
      <c r="A738" s="15" t="s">
        <v>53</v>
      </c>
      <c r="B738" s="15" t="s">
        <v>33</v>
      </c>
      <c r="C738" s="15" t="s">
        <v>107</v>
      </c>
      <c r="D738" s="15" t="s">
        <v>12</v>
      </c>
      <c r="E738" s="14" t="s">
        <v>72</v>
      </c>
      <c r="F738" s="14">
        <v>901736</v>
      </c>
      <c r="G738" s="15" t="s">
        <v>137</v>
      </c>
      <c r="H738" s="14">
        <v>28010553</v>
      </c>
      <c r="I738" s="15" t="s">
        <v>754</v>
      </c>
      <c r="J738" s="14" t="s">
        <v>72</v>
      </c>
      <c r="K738" s="15" t="s">
        <v>59</v>
      </c>
      <c r="L738" s="15" t="s">
        <v>60</v>
      </c>
      <c r="M738" s="15"/>
      <c r="N738" s="92"/>
      <c r="P738" s="15" t="s">
        <v>660</v>
      </c>
    </row>
    <row r="739" spans="1:16">
      <c r="A739" s="15" t="s">
        <v>53</v>
      </c>
      <c r="B739" s="15" t="s">
        <v>30</v>
      </c>
      <c r="C739" s="15" t="s">
        <v>107</v>
      </c>
      <c r="D739" s="15" t="s">
        <v>12</v>
      </c>
      <c r="E739" s="14" t="s">
        <v>72</v>
      </c>
      <c r="F739" s="14">
        <v>901737</v>
      </c>
      <c r="G739" s="15" t="s">
        <v>153</v>
      </c>
      <c r="H739" s="14">
        <v>28010554</v>
      </c>
      <c r="I739" s="15" t="s">
        <v>755</v>
      </c>
      <c r="J739" s="14" t="s">
        <v>72</v>
      </c>
      <c r="K739" s="15" t="s">
        <v>59</v>
      </c>
      <c r="L739" s="15" t="s">
        <v>60</v>
      </c>
      <c r="M739" s="15"/>
      <c r="N739" s="92"/>
      <c r="P739" s="15" t="s">
        <v>660</v>
      </c>
    </row>
    <row r="740" spans="1:16">
      <c r="A740" s="15" t="s">
        <v>53</v>
      </c>
      <c r="B740" s="15" t="s">
        <v>29</v>
      </c>
      <c r="C740" s="15" t="s">
        <v>107</v>
      </c>
      <c r="D740" s="15" t="s">
        <v>12</v>
      </c>
      <c r="E740" s="14" t="s">
        <v>99</v>
      </c>
      <c r="F740" s="14">
        <v>901738</v>
      </c>
      <c r="G740" s="15" t="s">
        <v>195</v>
      </c>
      <c r="H740" s="14">
        <v>28010555</v>
      </c>
      <c r="I740" s="15" t="s">
        <v>756</v>
      </c>
      <c r="J740" s="14" t="s">
        <v>99</v>
      </c>
      <c r="K740" s="15" t="s">
        <v>59</v>
      </c>
      <c r="L740" s="15" t="s">
        <v>60</v>
      </c>
      <c r="M740" s="15"/>
      <c r="N740" s="92"/>
      <c r="P740" s="14" t="s">
        <v>681</v>
      </c>
    </row>
    <row r="741" spans="1:16">
      <c r="A741" s="15" t="s">
        <v>53</v>
      </c>
      <c r="B741" s="15" t="s">
        <v>32</v>
      </c>
      <c r="C741" s="15" t="s">
        <v>107</v>
      </c>
      <c r="D741" s="15" t="s">
        <v>12</v>
      </c>
      <c r="E741" s="14" t="s">
        <v>72</v>
      </c>
      <c r="F741" s="14">
        <v>901739</v>
      </c>
      <c r="G741" s="15" t="s">
        <v>142</v>
      </c>
      <c r="H741" s="14">
        <v>28010556</v>
      </c>
      <c r="I741" s="15" t="s">
        <v>757</v>
      </c>
      <c r="J741" s="14" t="s">
        <v>72</v>
      </c>
      <c r="K741" s="15" t="s">
        <v>59</v>
      </c>
      <c r="L741" s="15" t="s">
        <v>60</v>
      </c>
      <c r="M741" s="15"/>
      <c r="N741" s="92"/>
      <c r="P741" s="15" t="s">
        <v>660</v>
      </c>
    </row>
    <row r="742" spans="1:16">
      <c r="A742" s="15" t="s">
        <v>53</v>
      </c>
      <c r="B742" s="15" t="s">
        <v>29</v>
      </c>
      <c r="C742" s="15" t="s">
        <v>107</v>
      </c>
      <c r="D742" s="15" t="s">
        <v>12</v>
      </c>
      <c r="E742" s="14" t="s">
        <v>128</v>
      </c>
      <c r="F742" s="14">
        <v>901740</v>
      </c>
      <c r="G742" s="15" t="s">
        <v>197</v>
      </c>
      <c r="H742" s="14">
        <v>28010557</v>
      </c>
      <c r="I742" s="15" t="s">
        <v>758</v>
      </c>
      <c r="J742" s="14" t="s">
        <v>128</v>
      </c>
      <c r="K742" s="15" t="s">
        <v>59</v>
      </c>
      <c r="L742" s="15" t="s">
        <v>60</v>
      </c>
      <c r="M742" s="15"/>
      <c r="N742" s="92"/>
      <c r="P742" s="14" t="s">
        <v>681</v>
      </c>
    </row>
    <row r="743" spans="1:16">
      <c r="A743" s="15" t="s">
        <v>53</v>
      </c>
      <c r="B743" s="15" t="s">
        <v>33</v>
      </c>
      <c r="C743" s="15" t="s">
        <v>107</v>
      </c>
      <c r="D743" s="15" t="s">
        <v>12</v>
      </c>
      <c r="E743" s="14" t="s">
        <v>72</v>
      </c>
      <c r="F743" s="14">
        <v>901741</v>
      </c>
      <c r="G743" s="15" t="s">
        <v>172</v>
      </c>
      <c r="H743" s="14">
        <v>28010558</v>
      </c>
      <c r="I743" s="15" t="s">
        <v>759</v>
      </c>
      <c r="J743" s="14" t="s">
        <v>72</v>
      </c>
      <c r="K743" s="15" t="s">
        <v>59</v>
      </c>
      <c r="L743" s="15" t="s">
        <v>60</v>
      </c>
      <c r="M743" s="15"/>
      <c r="N743" s="92"/>
      <c r="P743" s="15" t="s">
        <v>660</v>
      </c>
    </row>
    <row r="744" spans="1:16">
      <c r="A744" s="15" t="s">
        <v>53</v>
      </c>
      <c r="B744" s="15" t="s">
        <v>33</v>
      </c>
      <c r="C744" s="15" t="s">
        <v>107</v>
      </c>
      <c r="D744" s="15" t="s">
        <v>12</v>
      </c>
      <c r="E744" s="14" t="s">
        <v>72</v>
      </c>
      <c r="F744" s="14">
        <v>901742</v>
      </c>
      <c r="G744" s="15" t="s">
        <v>141</v>
      </c>
      <c r="H744" s="14">
        <v>28010559</v>
      </c>
      <c r="I744" s="15" t="s">
        <v>760</v>
      </c>
      <c r="J744" s="14" t="s">
        <v>72</v>
      </c>
      <c r="K744" s="15" t="s">
        <v>59</v>
      </c>
      <c r="L744" s="15" t="s">
        <v>60</v>
      </c>
      <c r="M744" s="15"/>
      <c r="N744" s="92"/>
      <c r="P744" s="15" t="s">
        <v>660</v>
      </c>
    </row>
    <row r="745" spans="1:16">
      <c r="A745" s="15" t="s">
        <v>53</v>
      </c>
      <c r="B745" s="15" t="s">
        <v>30</v>
      </c>
      <c r="C745" s="15" t="s">
        <v>107</v>
      </c>
      <c r="D745" s="15" t="s">
        <v>12</v>
      </c>
      <c r="E745" s="14" t="s">
        <v>72</v>
      </c>
      <c r="F745" s="14">
        <v>901743</v>
      </c>
      <c r="G745" s="15" t="s">
        <v>137</v>
      </c>
      <c r="H745" s="14">
        <v>28010560</v>
      </c>
      <c r="I745" s="15" t="s">
        <v>761</v>
      </c>
      <c r="J745" s="14" t="s">
        <v>72</v>
      </c>
      <c r="K745" s="15" t="s">
        <v>59</v>
      </c>
      <c r="L745" s="15" t="s">
        <v>60</v>
      </c>
      <c r="M745" s="15"/>
      <c r="N745" s="92"/>
      <c r="P745" s="15" t="s">
        <v>660</v>
      </c>
    </row>
    <row r="746" spans="1:16">
      <c r="A746" s="15" t="s">
        <v>53</v>
      </c>
      <c r="B746" s="15" t="s">
        <v>30</v>
      </c>
      <c r="C746" s="15" t="s">
        <v>107</v>
      </c>
      <c r="D746" s="15" t="s">
        <v>12</v>
      </c>
      <c r="E746" s="14" t="s">
        <v>72</v>
      </c>
      <c r="F746" s="14">
        <v>901744</v>
      </c>
      <c r="G746" s="15" t="s">
        <v>142</v>
      </c>
      <c r="H746" s="14">
        <v>28010561</v>
      </c>
      <c r="I746" s="15" t="s">
        <v>762</v>
      </c>
      <c r="J746" s="14" t="s">
        <v>72</v>
      </c>
      <c r="K746" s="15" t="s">
        <v>59</v>
      </c>
      <c r="L746" s="15" t="s">
        <v>60</v>
      </c>
      <c r="M746" s="15"/>
      <c r="N746" s="92"/>
      <c r="P746" s="15" t="s">
        <v>660</v>
      </c>
    </row>
    <row r="747" spans="1:16">
      <c r="A747" s="15" t="s">
        <v>53</v>
      </c>
      <c r="B747" s="15" t="s">
        <v>30</v>
      </c>
      <c r="C747" s="15" t="s">
        <v>107</v>
      </c>
      <c r="D747" s="15" t="s">
        <v>12</v>
      </c>
      <c r="E747" s="14" t="s">
        <v>72</v>
      </c>
      <c r="F747" s="14">
        <v>90001745</v>
      </c>
      <c r="G747" s="15" t="s">
        <v>172</v>
      </c>
      <c r="H747" s="14">
        <v>28010562</v>
      </c>
      <c r="I747" s="15" t="s">
        <v>763</v>
      </c>
      <c r="J747" s="14" t="s">
        <v>72</v>
      </c>
      <c r="K747" s="15" t="s">
        <v>59</v>
      </c>
      <c r="L747" s="15" t="s">
        <v>60</v>
      </c>
      <c r="M747" s="15"/>
      <c r="N747" s="92"/>
      <c r="P747" s="15" t="s">
        <v>660</v>
      </c>
    </row>
    <row r="748" spans="1:16">
      <c r="A748" s="15" t="s">
        <v>53</v>
      </c>
      <c r="B748" s="15" t="s">
        <v>33</v>
      </c>
      <c r="C748" s="15" t="s">
        <v>107</v>
      </c>
      <c r="D748" s="15" t="s">
        <v>12</v>
      </c>
      <c r="E748" s="14" t="s">
        <v>72</v>
      </c>
      <c r="F748" s="14">
        <v>901746</v>
      </c>
      <c r="G748" s="15" t="s">
        <v>172</v>
      </c>
      <c r="H748" s="14">
        <v>28010563</v>
      </c>
      <c r="I748" s="15" t="s">
        <v>764</v>
      </c>
      <c r="J748" s="14" t="s">
        <v>72</v>
      </c>
      <c r="K748" s="15" t="s">
        <v>59</v>
      </c>
      <c r="L748" s="15" t="s">
        <v>60</v>
      </c>
      <c r="M748" s="15"/>
      <c r="N748" s="92"/>
      <c r="P748" s="15" t="s">
        <v>660</v>
      </c>
    </row>
    <row r="749" spans="1:16">
      <c r="A749" s="15" t="s">
        <v>53</v>
      </c>
      <c r="B749" s="15" t="s">
        <v>30</v>
      </c>
      <c r="C749" s="15" t="s">
        <v>107</v>
      </c>
      <c r="D749" s="15" t="s">
        <v>12</v>
      </c>
      <c r="E749" s="14" t="s">
        <v>72</v>
      </c>
      <c r="F749" s="14">
        <v>901747</v>
      </c>
      <c r="G749" s="15" t="s">
        <v>142</v>
      </c>
      <c r="H749" s="14">
        <v>28010564</v>
      </c>
      <c r="I749" s="15" t="s">
        <v>765</v>
      </c>
      <c r="J749" s="14" t="s">
        <v>72</v>
      </c>
      <c r="K749" s="15" t="s">
        <v>59</v>
      </c>
      <c r="L749" s="15" t="s">
        <v>60</v>
      </c>
      <c r="M749" s="15"/>
      <c r="N749" s="92"/>
      <c r="P749" s="15" t="s">
        <v>660</v>
      </c>
    </row>
    <row r="750" spans="1:16">
      <c r="A750" s="15" t="s">
        <v>53</v>
      </c>
      <c r="B750" s="15" t="s">
        <v>31</v>
      </c>
      <c r="C750" s="15" t="s">
        <v>107</v>
      </c>
      <c r="D750" s="15" t="s">
        <v>12</v>
      </c>
      <c r="E750" s="14" t="s">
        <v>72</v>
      </c>
      <c r="F750" s="14">
        <v>901748</v>
      </c>
      <c r="G750" s="15" t="s">
        <v>165</v>
      </c>
      <c r="H750" s="14">
        <v>28010565</v>
      </c>
      <c r="I750" s="15" t="s">
        <v>766</v>
      </c>
      <c r="J750" s="14" t="s">
        <v>72</v>
      </c>
      <c r="K750" s="15" t="s">
        <v>59</v>
      </c>
      <c r="L750" s="15" t="s">
        <v>60</v>
      </c>
      <c r="M750" s="15"/>
      <c r="N750" s="92"/>
      <c r="P750" s="15" t="s">
        <v>660</v>
      </c>
    </row>
    <row r="751" spans="1:16">
      <c r="A751" s="15" t="s">
        <v>53</v>
      </c>
      <c r="B751" s="15" t="s">
        <v>30</v>
      </c>
      <c r="C751" s="15" t="s">
        <v>107</v>
      </c>
      <c r="D751" s="15" t="s">
        <v>12</v>
      </c>
      <c r="E751" s="14" t="s">
        <v>56</v>
      </c>
      <c r="F751" s="14">
        <v>901749</v>
      </c>
      <c r="G751" s="15" t="s">
        <v>153</v>
      </c>
      <c r="H751" s="14">
        <v>28010566</v>
      </c>
      <c r="I751" s="15" t="s">
        <v>767</v>
      </c>
      <c r="J751" s="14" t="s">
        <v>56</v>
      </c>
      <c r="K751" s="15" t="s">
        <v>59</v>
      </c>
      <c r="L751" s="15" t="s">
        <v>60</v>
      </c>
      <c r="M751" s="15"/>
      <c r="N751" s="92"/>
      <c r="P751" s="15" t="s">
        <v>660</v>
      </c>
    </row>
    <row r="752" spans="1:16">
      <c r="A752" s="15" t="s">
        <v>53</v>
      </c>
      <c r="B752" s="15" t="s">
        <v>33</v>
      </c>
      <c r="C752" s="15" t="s">
        <v>107</v>
      </c>
      <c r="D752" s="15" t="s">
        <v>12</v>
      </c>
      <c r="E752" s="14" t="s">
        <v>128</v>
      </c>
      <c r="F752" s="14">
        <v>901750</v>
      </c>
      <c r="G752" s="15" t="s">
        <v>146</v>
      </c>
      <c r="H752" s="14">
        <v>28010567</v>
      </c>
      <c r="I752" s="15" t="s">
        <v>768</v>
      </c>
      <c r="J752" s="14" t="s">
        <v>128</v>
      </c>
      <c r="K752" s="15" t="s">
        <v>59</v>
      </c>
      <c r="L752" s="15" t="s">
        <v>60</v>
      </c>
      <c r="M752" s="15"/>
      <c r="N752" s="92"/>
      <c r="P752" s="15" t="s">
        <v>660</v>
      </c>
    </row>
    <row r="753" spans="1:16">
      <c r="A753" s="15" t="s">
        <v>53</v>
      </c>
      <c r="B753" s="15" t="s">
        <v>33</v>
      </c>
      <c r="C753" s="15" t="s">
        <v>107</v>
      </c>
      <c r="D753" s="15" t="s">
        <v>12</v>
      </c>
      <c r="E753" s="14" t="s">
        <v>72</v>
      </c>
      <c r="F753" s="14">
        <v>901751</v>
      </c>
      <c r="G753" s="15" t="s">
        <v>142</v>
      </c>
      <c r="H753" s="14">
        <v>28010568</v>
      </c>
      <c r="I753" s="15" t="s">
        <v>769</v>
      </c>
      <c r="J753" s="14" t="s">
        <v>72</v>
      </c>
      <c r="K753" s="15" t="s">
        <v>59</v>
      </c>
      <c r="L753" s="15" t="s">
        <v>60</v>
      </c>
      <c r="M753" s="15"/>
      <c r="N753" s="92"/>
      <c r="P753" s="15" t="s">
        <v>660</v>
      </c>
    </row>
    <row r="754" spans="1:16">
      <c r="A754" s="15" t="s">
        <v>53</v>
      </c>
      <c r="B754" s="15" t="s">
        <v>33</v>
      </c>
      <c r="C754" s="15" t="s">
        <v>107</v>
      </c>
      <c r="D754" s="15" t="s">
        <v>12</v>
      </c>
      <c r="E754" s="14" t="s">
        <v>72</v>
      </c>
      <c r="F754" s="14">
        <v>901752</v>
      </c>
      <c r="G754" s="15" t="s">
        <v>142</v>
      </c>
      <c r="H754" s="14">
        <v>28010569</v>
      </c>
      <c r="I754" s="15" t="s">
        <v>770</v>
      </c>
      <c r="J754" s="14" t="s">
        <v>72</v>
      </c>
      <c r="K754" s="15" t="s">
        <v>59</v>
      </c>
      <c r="L754" s="15" t="s">
        <v>60</v>
      </c>
      <c r="M754" s="15"/>
      <c r="N754" s="92"/>
      <c r="P754" s="15" t="s">
        <v>660</v>
      </c>
    </row>
    <row r="755" spans="1:16">
      <c r="A755" s="15" t="s">
        <v>53</v>
      </c>
      <c r="B755" s="15" t="s">
        <v>32</v>
      </c>
      <c r="C755" s="15" t="s">
        <v>107</v>
      </c>
      <c r="D755" s="15" t="s">
        <v>12</v>
      </c>
      <c r="E755" s="14" t="s">
        <v>72</v>
      </c>
      <c r="F755" s="14">
        <v>901753</v>
      </c>
      <c r="G755" s="15" t="s">
        <v>141</v>
      </c>
      <c r="H755" s="14">
        <v>28010570</v>
      </c>
      <c r="I755" s="15" t="s">
        <v>771</v>
      </c>
      <c r="J755" s="14" t="s">
        <v>72</v>
      </c>
      <c r="K755" s="15" t="s">
        <v>59</v>
      </c>
      <c r="L755" s="15" t="s">
        <v>60</v>
      </c>
      <c r="M755" s="15"/>
      <c r="N755" s="92"/>
      <c r="P755" s="15" t="s">
        <v>660</v>
      </c>
    </row>
    <row r="756" spans="1:16">
      <c r="A756" s="15" t="s">
        <v>53</v>
      </c>
      <c r="B756" s="15" t="s">
        <v>33</v>
      </c>
      <c r="C756" s="15" t="s">
        <v>107</v>
      </c>
      <c r="D756" s="15" t="s">
        <v>12</v>
      </c>
      <c r="E756" s="14" t="s">
        <v>99</v>
      </c>
      <c r="F756" s="14">
        <v>901754</v>
      </c>
      <c r="G756" s="15" t="s">
        <v>170</v>
      </c>
      <c r="H756" s="14">
        <v>28010571</v>
      </c>
      <c r="I756" s="15" t="s">
        <v>772</v>
      </c>
      <c r="J756" s="14" t="s">
        <v>99</v>
      </c>
      <c r="K756" s="15" t="s">
        <v>59</v>
      </c>
      <c r="L756" s="15" t="s">
        <v>60</v>
      </c>
      <c r="M756" s="15"/>
      <c r="N756" s="92"/>
      <c r="P756" s="15" t="s">
        <v>660</v>
      </c>
    </row>
    <row r="757" spans="1:16">
      <c r="A757" s="15" t="s">
        <v>53</v>
      </c>
      <c r="B757" s="15" t="s">
        <v>33</v>
      </c>
      <c r="C757" s="15" t="s">
        <v>107</v>
      </c>
      <c r="D757" s="15" t="s">
        <v>12</v>
      </c>
      <c r="E757" s="14" t="s">
        <v>72</v>
      </c>
      <c r="F757" s="14">
        <v>901755</v>
      </c>
      <c r="G757" s="15" t="s">
        <v>172</v>
      </c>
      <c r="H757" s="14">
        <v>28010572</v>
      </c>
      <c r="I757" s="15" t="s">
        <v>773</v>
      </c>
      <c r="J757" s="14" t="s">
        <v>72</v>
      </c>
      <c r="K757" s="15" t="s">
        <v>59</v>
      </c>
      <c r="L757" s="15" t="s">
        <v>60</v>
      </c>
      <c r="M757" s="15"/>
      <c r="N757" s="92"/>
      <c r="P757" s="15" t="s">
        <v>660</v>
      </c>
    </row>
    <row r="758" spans="1:16">
      <c r="A758" s="15" t="s">
        <v>53</v>
      </c>
      <c r="B758" s="15" t="s">
        <v>33</v>
      </c>
      <c r="C758" s="15" t="s">
        <v>107</v>
      </c>
      <c r="D758" s="15" t="s">
        <v>12</v>
      </c>
      <c r="E758" s="14" t="s">
        <v>72</v>
      </c>
      <c r="F758" s="14">
        <v>901756</v>
      </c>
      <c r="G758" s="15" t="s">
        <v>172</v>
      </c>
      <c r="H758" s="14">
        <v>28010573</v>
      </c>
      <c r="I758" s="15" t="s">
        <v>774</v>
      </c>
      <c r="J758" s="14" t="s">
        <v>72</v>
      </c>
      <c r="K758" s="15" t="s">
        <v>59</v>
      </c>
      <c r="L758" s="15" t="s">
        <v>60</v>
      </c>
      <c r="M758" s="15"/>
      <c r="N758" s="92"/>
      <c r="P758" s="15" t="s">
        <v>660</v>
      </c>
    </row>
    <row r="759" spans="1:16">
      <c r="A759" s="15" t="s">
        <v>53</v>
      </c>
      <c r="B759" s="15" t="s">
        <v>34</v>
      </c>
      <c r="C759" s="15" t="s">
        <v>107</v>
      </c>
      <c r="D759" s="15" t="s">
        <v>12</v>
      </c>
      <c r="E759" s="14" t="s">
        <v>56</v>
      </c>
      <c r="F759" s="14">
        <v>901757</v>
      </c>
      <c r="G759" s="15" t="s">
        <v>137</v>
      </c>
      <c r="H759" s="14">
        <v>28010574</v>
      </c>
      <c r="I759" s="15" t="s">
        <v>775</v>
      </c>
      <c r="J759" s="14" t="s">
        <v>56</v>
      </c>
      <c r="K759" s="15" t="s">
        <v>59</v>
      </c>
      <c r="L759" s="15" t="s">
        <v>60</v>
      </c>
      <c r="M759" s="15"/>
      <c r="N759" s="92"/>
      <c r="P759" s="15" t="s">
        <v>660</v>
      </c>
    </row>
    <row r="760" spans="1:16">
      <c r="A760" s="15" t="s">
        <v>53</v>
      </c>
      <c r="B760" s="15" t="s">
        <v>33</v>
      </c>
      <c r="C760" s="15" t="s">
        <v>107</v>
      </c>
      <c r="D760" s="15" t="s">
        <v>12</v>
      </c>
      <c r="E760" s="14" t="s">
        <v>99</v>
      </c>
      <c r="F760" s="14">
        <v>90001758</v>
      </c>
      <c r="G760" s="15" t="s">
        <v>183</v>
      </c>
      <c r="H760" s="14">
        <v>28010575</v>
      </c>
      <c r="I760" s="15" t="s">
        <v>776</v>
      </c>
      <c r="J760" s="14" t="s">
        <v>99</v>
      </c>
      <c r="K760" s="15" t="s">
        <v>59</v>
      </c>
      <c r="L760" s="15" t="s">
        <v>60</v>
      </c>
      <c r="M760" s="15"/>
      <c r="N760" s="92"/>
      <c r="P760" s="15" t="s">
        <v>660</v>
      </c>
    </row>
    <row r="761" spans="1:16">
      <c r="A761" s="15" t="s">
        <v>53</v>
      </c>
      <c r="B761" s="15" t="s">
        <v>29</v>
      </c>
      <c r="C761" s="15" t="s">
        <v>107</v>
      </c>
      <c r="D761" s="15" t="s">
        <v>12</v>
      </c>
      <c r="E761" s="14" t="s">
        <v>56</v>
      </c>
      <c r="F761" s="14">
        <v>901759</v>
      </c>
      <c r="G761" s="15" t="s">
        <v>199</v>
      </c>
      <c r="H761" s="14">
        <v>28010576</v>
      </c>
      <c r="I761" s="15" t="s">
        <v>777</v>
      </c>
      <c r="J761" s="14" t="s">
        <v>56</v>
      </c>
      <c r="K761" s="15" t="s">
        <v>59</v>
      </c>
      <c r="L761" s="15" t="s">
        <v>60</v>
      </c>
      <c r="M761" s="15"/>
      <c r="N761" s="92"/>
      <c r="P761" s="14" t="s">
        <v>681</v>
      </c>
    </row>
    <row r="762" spans="1:16">
      <c r="A762" s="15" t="s">
        <v>53</v>
      </c>
      <c r="B762" s="15" t="s">
        <v>30</v>
      </c>
      <c r="C762" s="15" t="s">
        <v>107</v>
      </c>
      <c r="D762" s="15" t="s">
        <v>12</v>
      </c>
      <c r="E762" s="14" t="s">
        <v>72</v>
      </c>
      <c r="F762" s="14">
        <v>901760</v>
      </c>
      <c r="G762" s="15" t="s">
        <v>142</v>
      </c>
      <c r="H762" s="14">
        <v>28010577</v>
      </c>
      <c r="I762" s="15" t="s">
        <v>778</v>
      </c>
      <c r="J762" s="14" t="s">
        <v>72</v>
      </c>
      <c r="K762" s="15" t="s">
        <v>59</v>
      </c>
      <c r="L762" s="15" t="s">
        <v>60</v>
      </c>
      <c r="M762" s="15"/>
      <c r="N762" s="92"/>
      <c r="P762" s="15" t="s">
        <v>660</v>
      </c>
    </row>
    <row r="763" spans="1:16">
      <c r="A763" s="15" t="s">
        <v>53</v>
      </c>
      <c r="B763" s="15" t="s">
        <v>33</v>
      </c>
      <c r="C763" s="15" t="s">
        <v>107</v>
      </c>
      <c r="D763" s="15" t="s">
        <v>12</v>
      </c>
      <c r="E763" s="14" t="s">
        <v>72</v>
      </c>
      <c r="F763" s="14">
        <v>901761</v>
      </c>
      <c r="G763" s="15" t="s">
        <v>141</v>
      </c>
      <c r="H763" s="14">
        <v>28010578</v>
      </c>
      <c r="I763" s="15" t="s">
        <v>779</v>
      </c>
      <c r="J763" s="14" t="s">
        <v>72</v>
      </c>
      <c r="K763" s="15" t="s">
        <v>59</v>
      </c>
      <c r="L763" s="15" t="s">
        <v>60</v>
      </c>
      <c r="M763" s="15"/>
      <c r="N763" s="92"/>
      <c r="P763" s="15" t="s">
        <v>660</v>
      </c>
    </row>
    <row r="764" spans="1:16">
      <c r="A764" s="15" t="s">
        <v>53</v>
      </c>
      <c r="B764" s="15" t="s">
        <v>32</v>
      </c>
      <c r="C764" s="15" t="s">
        <v>107</v>
      </c>
      <c r="D764" s="15" t="s">
        <v>12</v>
      </c>
      <c r="E764" s="14" t="s">
        <v>99</v>
      </c>
      <c r="F764" s="14">
        <v>901762</v>
      </c>
      <c r="G764" s="15" t="s">
        <v>146</v>
      </c>
      <c r="H764" s="14">
        <v>28010579</v>
      </c>
      <c r="I764" s="15" t="s">
        <v>780</v>
      </c>
      <c r="J764" s="14" t="s">
        <v>99</v>
      </c>
      <c r="K764" s="15" t="s">
        <v>59</v>
      </c>
      <c r="L764" s="15" t="s">
        <v>60</v>
      </c>
      <c r="M764" s="15"/>
      <c r="N764" s="92"/>
      <c r="P764" s="15" t="s">
        <v>660</v>
      </c>
    </row>
    <row r="765" spans="1:16">
      <c r="A765" s="15" t="s">
        <v>53</v>
      </c>
      <c r="B765" s="15" t="s">
        <v>33</v>
      </c>
      <c r="C765" s="15" t="s">
        <v>107</v>
      </c>
      <c r="D765" s="15" t="s">
        <v>12</v>
      </c>
      <c r="E765" s="14" t="s">
        <v>72</v>
      </c>
      <c r="F765" s="14">
        <v>901763</v>
      </c>
      <c r="G765" s="15" t="s">
        <v>141</v>
      </c>
      <c r="H765" s="14">
        <v>28010580</v>
      </c>
      <c r="I765" s="15" t="s">
        <v>781</v>
      </c>
      <c r="J765" s="14" t="s">
        <v>72</v>
      </c>
      <c r="K765" s="15" t="s">
        <v>59</v>
      </c>
      <c r="L765" s="15" t="s">
        <v>60</v>
      </c>
      <c r="M765" s="15"/>
      <c r="N765" s="92"/>
      <c r="P765" s="15" t="s">
        <v>660</v>
      </c>
    </row>
    <row r="766" spans="1:16">
      <c r="A766" s="15" t="s">
        <v>53</v>
      </c>
      <c r="B766" s="15" t="s">
        <v>34</v>
      </c>
      <c r="C766" s="15" t="s">
        <v>107</v>
      </c>
      <c r="D766" s="15" t="s">
        <v>12</v>
      </c>
      <c r="E766" s="14" t="s">
        <v>128</v>
      </c>
      <c r="F766" s="14">
        <v>901764</v>
      </c>
      <c r="G766" s="15" t="s">
        <v>165</v>
      </c>
      <c r="H766" s="14">
        <v>28010581</v>
      </c>
      <c r="I766" s="15" t="s">
        <v>772</v>
      </c>
      <c r="J766" s="14" t="s">
        <v>128</v>
      </c>
      <c r="K766" s="15" t="s">
        <v>59</v>
      </c>
      <c r="L766" s="15" t="s">
        <v>60</v>
      </c>
      <c r="M766" s="15"/>
      <c r="N766" s="92"/>
      <c r="P766" s="15" t="s">
        <v>660</v>
      </c>
    </row>
    <row r="767" spans="1:16">
      <c r="A767" s="15" t="s">
        <v>53</v>
      </c>
      <c r="B767" s="15" t="s">
        <v>30</v>
      </c>
      <c r="C767" s="15" t="s">
        <v>107</v>
      </c>
      <c r="D767" s="15" t="s">
        <v>12</v>
      </c>
      <c r="E767" s="14" t="s">
        <v>99</v>
      </c>
      <c r="F767" s="14">
        <v>901765</v>
      </c>
      <c r="G767" s="15" t="s">
        <v>168</v>
      </c>
      <c r="H767" s="14">
        <v>28010582</v>
      </c>
      <c r="I767" s="15" t="s">
        <v>782</v>
      </c>
      <c r="J767" s="14" t="s">
        <v>99</v>
      </c>
      <c r="K767" s="15" t="s">
        <v>59</v>
      </c>
      <c r="L767" s="15" t="s">
        <v>60</v>
      </c>
      <c r="M767" s="15"/>
      <c r="N767" s="92"/>
      <c r="P767" s="15" t="s">
        <v>660</v>
      </c>
    </row>
    <row r="768" spans="1:16">
      <c r="A768" s="15" t="s">
        <v>53</v>
      </c>
      <c r="B768" s="15" t="s">
        <v>30</v>
      </c>
      <c r="C768" s="15" t="s">
        <v>107</v>
      </c>
      <c r="D768" s="15" t="s">
        <v>12</v>
      </c>
      <c r="E768" s="14" t="s">
        <v>128</v>
      </c>
      <c r="F768" s="14">
        <v>901766</v>
      </c>
      <c r="G768" s="15" t="s">
        <v>141</v>
      </c>
      <c r="H768" s="14">
        <v>28010583</v>
      </c>
      <c r="I768" s="15" t="s">
        <v>783</v>
      </c>
      <c r="J768" s="14" t="s">
        <v>128</v>
      </c>
      <c r="K768" s="15" t="s">
        <v>59</v>
      </c>
      <c r="L768" s="15" t="s">
        <v>60</v>
      </c>
      <c r="M768" s="15"/>
      <c r="N768" s="92"/>
      <c r="P768" s="15" t="s">
        <v>660</v>
      </c>
    </row>
    <row r="769" spans="1:16">
      <c r="A769" s="15" t="s">
        <v>53</v>
      </c>
      <c r="B769" s="15" t="s">
        <v>31</v>
      </c>
      <c r="C769" s="15" t="s">
        <v>107</v>
      </c>
      <c r="D769" s="15" t="s">
        <v>12</v>
      </c>
      <c r="E769" s="14" t="s">
        <v>210</v>
      </c>
      <c r="F769" s="14">
        <v>90001767</v>
      </c>
      <c r="G769" s="15" t="s">
        <v>201</v>
      </c>
      <c r="H769" s="14">
        <v>28010584</v>
      </c>
      <c r="I769" s="15" t="s">
        <v>784</v>
      </c>
      <c r="J769" s="14" t="s">
        <v>210</v>
      </c>
      <c r="K769" s="15" t="s">
        <v>59</v>
      </c>
      <c r="L769" s="15" t="s">
        <v>60</v>
      </c>
      <c r="M769" s="15"/>
      <c r="N769" s="92"/>
      <c r="P769" s="15" t="s">
        <v>660</v>
      </c>
    </row>
    <row r="770" spans="1:16">
      <c r="A770" s="15" t="s">
        <v>53</v>
      </c>
      <c r="B770" s="15" t="s">
        <v>34</v>
      </c>
      <c r="C770" s="15" t="s">
        <v>107</v>
      </c>
      <c r="D770" s="15" t="s">
        <v>12</v>
      </c>
      <c r="E770" s="14" t="s">
        <v>128</v>
      </c>
      <c r="F770" s="14">
        <v>901768</v>
      </c>
      <c r="G770" s="15" t="s">
        <v>168</v>
      </c>
      <c r="H770" s="14">
        <v>28010585</v>
      </c>
      <c r="I770" s="15" t="s">
        <v>785</v>
      </c>
      <c r="J770" s="14" t="s">
        <v>128</v>
      </c>
      <c r="K770" s="15" t="s">
        <v>59</v>
      </c>
      <c r="L770" s="15" t="s">
        <v>60</v>
      </c>
      <c r="M770" s="15"/>
      <c r="N770" s="92"/>
      <c r="P770" s="15" t="s">
        <v>660</v>
      </c>
    </row>
    <row r="771" spans="1:16">
      <c r="A771" s="15" t="s">
        <v>53</v>
      </c>
      <c r="B771" s="15" t="s">
        <v>33</v>
      </c>
      <c r="C771" s="15" t="s">
        <v>107</v>
      </c>
      <c r="D771" s="15" t="s">
        <v>12</v>
      </c>
      <c r="E771" s="14" t="s">
        <v>69</v>
      </c>
      <c r="F771" s="14">
        <v>901769</v>
      </c>
      <c r="G771" s="15" t="s">
        <v>203</v>
      </c>
      <c r="H771" s="14">
        <v>28010586</v>
      </c>
      <c r="I771" s="15" t="s">
        <v>786</v>
      </c>
      <c r="J771" s="14" t="s">
        <v>69</v>
      </c>
      <c r="K771" s="15" t="s">
        <v>59</v>
      </c>
      <c r="L771" s="15" t="s">
        <v>60</v>
      </c>
      <c r="M771" s="15"/>
      <c r="N771" s="92"/>
      <c r="P771" s="15" t="s">
        <v>660</v>
      </c>
    </row>
    <row r="772" spans="1:16">
      <c r="A772" s="15" t="s">
        <v>53</v>
      </c>
      <c r="B772" s="15" t="s">
        <v>30</v>
      </c>
      <c r="C772" s="15" t="s">
        <v>107</v>
      </c>
      <c r="D772" s="15" t="s">
        <v>12</v>
      </c>
      <c r="E772" s="14" t="s">
        <v>56</v>
      </c>
      <c r="F772" s="14">
        <v>901770</v>
      </c>
      <c r="G772" s="15" t="s">
        <v>141</v>
      </c>
      <c r="H772" s="14">
        <v>28010587</v>
      </c>
      <c r="I772" s="15" t="s">
        <v>787</v>
      </c>
      <c r="J772" s="14" t="s">
        <v>56</v>
      </c>
      <c r="K772" s="15" t="s">
        <v>59</v>
      </c>
      <c r="L772" s="15" t="s">
        <v>60</v>
      </c>
      <c r="M772" s="15"/>
      <c r="N772" s="92"/>
      <c r="P772" s="15" t="s">
        <v>660</v>
      </c>
    </row>
    <row r="773" spans="1:16">
      <c r="A773" s="15" t="s">
        <v>53</v>
      </c>
      <c r="B773" s="15" t="s">
        <v>32</v>
      </c>
      <c r="C773" s="15" t="s">
        <v>107</v>
      </c>
      <c r="D773" s="15" t="s">
        <v>12</v>
      </c>
      <c r="E773" s="14" t="s">
        <v>56</v>
      </c>
      <c r="F773" s="14">
        <v>90001771</v>
      </c>
      <c r="G773" s="15" t="s">
        <v>172</v>
      </c>
      <c r="H773" s="14">
        <v>28010588</v>
      </c>
      <c r="I773" s="15" t="s">
        <v>788</v>
      </c>
      <c r="J773" s="14" t="s">
        <v>56</v>
      </c>
      <c r="K773" s="15" t="s">
        <v>59</v>
      </c>
      <c r="L773" s="15" t="s">
        <v>60</v>
      </c>
      <c r="M773" s="15"/>
      <c r="N773" s="92"/>
      <c r="P773" s="15" t="s">
        <v>660</v>
      </c>
    </row>
    <row r="774" spans="1:16">
      <c r="A774" s="15" t="s">
        <v>53</v>
      </c>
      <c r="B774" s="15" t="s">
        <v>33</v>
      </c>
      <c r="C774" s="15" t="s">
        <v>107</v>
      </c>
      <c r="D774" s="15" t="s">
        <v>12</v>
      </c>
      <c r="E774" s="14" t="s">
        <v>128</v>
      </c>
      <c r="F774" s="14">
        <v>90001772</v>
      </c>
      <c r="G774" s="15" t="s">
        <v>165</v>
      </c>
      <c r="H774" s="14">
        <v>28010589</v>
      </c>
      <c r="I774" s="15" t="s">
        <v>789</v>
      </c>
      <c r="J774" s="14" t="s">
        <v>128</v>
      </c>
      <c r="K774" s="15" t="s">
        <v>59</v>
      </c>
      <c r="L774" s="15" t="s">
        <v>60</v>
      </c>
      <c r="M774" s="15"/>
      <c r="N774" s="92"/>
      <c r="P774" s="15" t="s">
        <v>660</v>
      </c>
    </row>
    <row r="775" spans="1:16">
      <c r="A775" s="15" t="s">
        <v>53</v>
      </c>
      <c r="B775" s="15" t="s">
        <v>29</v>
      </c>
      <c r="C775" s="15" t="s">
        <v>107</v>
      </c>
      <c r="D775" s="15" t="s">
        <v>12</v>
      </c>
      <c r="E775" s="14" t="s">
        <v>210</v>
      </c>
      <c r="F775" s="14">
        <v>901773</v>
      </c>
      <c r="G775" s="15" t="s">
        <v>170</v>
      </c>
      <c r="H775" s="14">
        <v>28010590</v>
      </c>
      <c r="I775" s="15" t="s">
        <v>790</v>
      </c>
      <c r="J775" s="14" t="s">
        <v>210</v>
      </c>
      <c r="K775" s="15" t="s">
        <v>59</v>
      </c>
      <c r="L775" s="15" t="s">
        <v>60</v>
      </c>
      <c r="M775" s="15"/>
      <c r="N775" s="92"/>
      <c r="P775" s="15" t="s">
        <v>660</v>
      </c>
    </row>
    <row r="776" spans="1:16">
      <c r="A776" s="15" t="s">
        <v>53</v>
      </c>
      <c r="B776" s="15" t="s">
        <v>32</v>
      </c>
      <c r="C776" s="15" t="s">
        <v>107</v>
      </c>
      <c r="D776" s="15" t="s">
        <v>12</v>
      </c>
      <c r="E776" s="14" t="s">
        <v>109</v>
      </c>
      <c r="F776" s="14">
        <v>90001774</v>
      </c>
      <c r="G776" s="15" t="s">
        <v>141</v>
      </c>
      <c r="H776" s="14">
        <v>28010591</v>
      </c>
      <c r="I776" s="15" t="s">
        <v>791</v>
      </c>
      <c r="J776" s="14" t="s">
        <v>109</v>
      </c>
      <c r="K776" s="15" t="s">
        <v>59</v>
      </c>
      <c r="L776" s="15" t="s">
        <v>60</v>
      </c>
      <c r="M776" s="15"/>
      <c r="N776" s="92"/>
      <c r="P776" s="15" t="s">
        <v>660</v>
      </c>
    </row>
    <row r="777" spans="1:16">
      <c r="A777" s="15" t="s">
        <v>53</v>
      </c>
      <c r="B777" s="15" t="s">
        <v>31</v>
      </c>
      <c r="C777" s="15" t="s">
        <v>107</v>
      </c>
      <c r="D777" s="15" t="s">
        <v>12</v>
      </c>
      <c r="E777" s="14" t="s">
        <v>56</v>
      </c>
      <c r="F777" s="14">
        <v>90001775</v>
      </c>
      <c r="G777" s="15" t="s">
        <v>141</v>
      </c>
      <c r="H777" s="14">
        <v>28010592</v>
      </c>
      <c r="I777" s="15" t="s">
        <v>792</v>
      </c>
      <c r="J777" s="14" t="s">
        <v>56</v>
      </c>
      <c r="K777" s="15" t="s">
        <v>59</v>
      </c>
      <c r="L777" s="15" t="s">
        <v>60</v>
      </c>
      <c r="M777" s="15"/>
      <c r="N777" s="92"/>
      <c r="P777" s="15" t="s">
        <v>660</v>
      </c>
    </row>
    <row r="778" spans="1:16">
      <c r="A778" s="15" t="s">
        <v>53</v>
      </c>
      <c r="B778" s="15" t="s">
        <v>29</v>
      </c>
      <c r="C778" s="15" t="s">
        <v>107</v>
      </c>
      <c r="D778" s="15" t="s">
        <v>12</v>
      </c>
      <c r="E778" s="14" t="s">
        <v>99</v>
      </c>
      <c r="F778" s="14">
        <v>901776</v>
      </c>
      <c r="G778" s="15" t="s">
        <v>186</v>
      </c>
      <c r="H778" s="14">
        <v>28010593</v>
      </c>
      <c r="I778" s="15" t="s">
        <v>793</v>
      </c>
      <c r="J778" s="14" t="s">
        <v>99</v>
      </c>
      <c r="K778" s="15" t="s">
        <v>59</v>
      </c>
      <c r="L778" s="15" t="s">
        <v>60</v>
      </c>
      <c r="M778" s="15"/>
      <c r="N778" s="92"/>
      <c r="P778" s="14" t="s">
        <v>681</v>
      </c>
    </row>
    <row r="779" spans="1:16">
      <c r="A779" s="15" t="s">
        <v>53</v>
      </c>
      <c r="B779" s="15" t="s">
        <v>35</v>
      </c>
      <c r="C779" s="15" t="s">
        <v>107</v>
      </c>
      <c r="D779" s="15" t="s">
        <v>12</v>
      </c>
      <c r="E779" s="14" t="s">
        <v>99</v>
      </c>
      <c r="F779" s="14">
        <v>90001777</v>
      </c>
      <c r="G779" s="15" t="s">
        <v>211</v>
      </c>
      <c r="H779" s="14">
        <v>28010594</v>
      </c>
      <c r="I779" s="15" t="s">
        <v>794</v>
      </c>
      <c r="J779" s="14" t="s">
        <v>99</v>
      </c>
      <c r="K779" s="15" t="s">
        <v>59</v>
      </c>
      <c r="L779" s="15" t="s">
        <v>60</v>
      </c>
      <c r="M779" s="15"/>
      <c r="N779" s="92"/>
      <c r="P779" s="14" t="s">
        <v>707</v>
      </c>
    </row>
    <row r="780" spans="1:16">
      <c r="A780" s="15" t="s">
        <v>53</v>
      </c>
      <c r="B780" s="15" t="s">
        <v>29</v>
      </c>
      <c r="C780" s="15" t="s">
        <v>107</v>
      </c>
      <c r="D780" s="15" t="s">
        <v>12</v>
      </c>
      <c r="E780" s="14" t="s">
        <v>210</v>
      </c>
      <c r="F780" s="14">
        <v>901778</v>
      </c>
      <c r="G780" s="15" t="s">
        <v>213</v>
      </c>
      <c r="H780" s="14">
        <v>28010595</v>
      </c>
      <c r="I780" s="15" t="s">
        <v>795</v>
      </c>
      <c r="J780" s="14" t="s">
        <v>210</v>
      </c>
      <c r="K780" s="15" t="s">
        <v>59</v>
      </c>
      <c r="L780" s="15" t="s">
        <v>60</v>
      </c>
      <c r="M780" s="15"/>
      <c r="N780" s="92"/>
      <c r="P780" s="14" t="s">
        <v>681</v>
      </c>
    </row>
    <row r="781" spans="1:16">
      <c r="A781" s="15" t="s">
        <v>53</v>
      </c>
      <c r="B781" s="15" t="s">
        <v>31</v>
      </c>
      <c r="C781" s="15" t="s">
        <v>107</v>
      </c>
      <c r="D781" s="15" t="s">
        <v>12</v>
      </c>
      <c r="E781" s="14" t="s">
        <v>128</v>
      </c>
      <c r="F781" s="14">
        <v>90001779</v>
      </c>
      <c r="G781" s="15" t="s">
        <v>146</v>
      </c>
      <c r="H781" s="14">
        <v>28010596</v>
      </c>
      <c r="I781" s="15" t="s">
        <v>796</v>
      </c>
      <c r="J781" s="14" t="s">
        <v>128</v>
      </c>
      <c r="K781" s="15" t="s">
        <v>59</v>
      </c>
      <c r="L781" s="15" t="s">
        <v>60</v>
      </c>
      <c r="M781" s="15"/>
      <c r="N781" s="92"/>
      <c r="P781" s="15" t="s">
        <v>660</v>
      </c>
    </row>
    <row r="782" spans="1:16">
      <c r="A782" s="15" t="s">
        <v>53</v>
      </c>
      <c r="B782" s="15" t="s">
        <v>29</v>
      </c>
      <c r="C782" s="15" t="s">
        <v>107</v>
      </c>
      <c r="D782" s="15" t="s">
        <v>12</v>
      </c>
      <c r="E782" s="14" t="s">
        <v>69</v>
      </c>
      <c r="F782" s="14">
        <v>90001780</v>
      </c>
      <c r="G782" s="15" t="s">
        <v>215</v>
      </c>
      <c r="H782" s="14">
        <v>28010597</v>
      </c>
      <c r="I782" s="15" t="s">
        <v>797</v>
      </c>
      <c r="J782" s="14" t="s">
        <v>69</v>
      </c>
      <c r="K782" s="15" t="s">
        <v>59</v>
      </c>
      <c r="L782" s="15" t="s">
        <v>60</v>
      </c>
      <c r="M782" s="15"/>
      <c r="N782" s="92"/>
      <c r="P782" s="14" t="s">
        <v>681</v>
      </c>
    </row>
    <row r="783" spans="1:16">
      <c r="A783" s="15" t="s">
        <v>53</v>
      </c>
      <c r="B783" s="15" t="s">
        <v>29</v>
      </c>
      <c r="C783" s="15" t="s">
        <v>107</v>
      </c>
      <c r="D783" s="15" t="s">
        <v>12</v>
      </c>
      <c r="E783" s="14" t="s">
        <v>128</v>
      </c>
      <c r="F783" s="14">
        <v>90001781</v>
      </c>
      <c r="G783" s="15" t="s">
        <v>217</v>
      </c>
      <c r="H783" s="14">
        <v>28010598</v>
      </c>
      <c r="I783" s="15" t="s">
        <v>798</v>
      </c>
      <c r="J783" s="14" t="s">
        <v>128</v>
      </c>
      <c r="K783" s="15" t="s">
        <v>59</v>
      </c>
      <c r="L783" s="15" t="s">
        <v>60</v>
      </c>
      <c r="M783" s="15"/>
      <c r="N783" s="92"/>
      <c r="P783" s="14" t="s">
        <v>707</v>
      </c>
    </row>
    <row r="784" spans="1:16">
      <c r="A784" s="15" t="s">
        <v>53</v>
      </c>
      <c r="B784" s="15" t="s">
        <v>32</v>
      </c>
      <c r="C784" s="15" t="s">
        <v>107</v>
      </c>
      <c r="D784" s="15" t="s">
        <v>12</v>
      </c>
      <c r="E784" s="14" t="s">
        <v>210</v>
      </c>
      <c r="F784" s="14">
        <v>90001782</v>
      </c>
      <c r="G784" s="15" t="s">
        <v>220</v>
      </c>
      <c r="H784" s="14">
        <v>28010599</v>
      </c>
      <c r="I784" s="15" t="s">
        <v>799</v>
      </c>
      <c r="J784" s="14" t="s">
        <v>210</v>
      </c>
      <c r="K784" s="15" t="s">
        <v>59</v>
      </c>
      <c r="L784" s="15" t="s">
        <v>60</v>
      </c>
      <c r="M784" s="15"/>
      <c r="N784" s="92"/>
      <c r="P784" s="15" t="s">
        <v>660</v>
      </c>
    </row>
    <row r="785" spans="1:16">
      <c r="A785" s="15" t="s">
        <v>53</v>
      </c>
      <c r="B785" s="15" t="s">
        <v>34</v>
      </c>
      <c r="C785" s="15" t="s">
        <v>107</v>
      </c>
      <c r="D785" s="15" t="s">
        <v>12</v>
      </c>
      <c r="E785" s="14" t="s">
        <v>210</v>
      </c>
      <c r="F785" s="14">
        <v>901783</v>
      </c>
      <c r="G785" s="15" t="s">
        <v>221</v>
      </c>
      <c r="H785" s="14">
        <v>28010600</v>
      </c>
      <c r="I785" s="15" t="s">
        <v>800</v>
      </c>
      <c r="J785" s="14" t="s">
        <v>210</v>
      </c>
      <c r="K785" s="15" t="s">
        <v>59</v>
      </c>
      <c r="L785" s="15" t="s">
        <v>60</v>
      </c>
      <c r="M785" s="15"/>
      <c r="N785" s="92"/>
      <c r="P785" s="15" t="s">
        <v>660</v>
      </c>
    </row>
    <row r="786" spans="1:16">
      <c r="A786" s="15" t="s">
        <v>53</v>
      </c>
      <c r="B786" s="15" t="s">
        <v>33</v>
      </c>
      <c r="C786" s="15" t="s">
        <v>107</v>
      </c>
      <c r="D786" s="15" t="s">
        <v>12</v>
      </c>
      <c r="E786" s="14" t="s">
        <v>128</v>
      </c>
      <c r="F786" s="14">
        <v>90001784</v>
      </c>
      <c r="G786" s="15" t="s">
        <v>153</v>
      </c>
      <c r="H786" s="14">
        <v>28010601</v>
      </c>
      <c r="I786" s="15" t="s">
        <v>801</v>
      </c>
      <c r="J786" s="14" t="s">
        <v>128</v>
      </c>
      <c r="K786" s="15" t="s">
        <v>59</v>
      </c>
      <c r="L786" s="15" t="s">
        <v>60</v>
      </c>
      <c r="M786" s="15"/>
      <c r="N786" s="92"/>
      <c r="P786" s="15" t="s">
        <v>660</v>
      </c>
    </row>
    <row r="787" spans="1:16">
      <c r="A787" s="15" t="s">
        <v>53</v>
      </c>
      <c r="B787" s="15" t="s">
        <v>32</v>
      </c>
      <c r="C787" s="15" t="s">
        <v>107</v>
      </c>
      <c r="D787" s="15" t="s">
        <v>12</v>
      </c>
      <c r="E787" s="14" t="s">
        <v>66</v>
      </c>
      <c r="F787" s="14">
        <v>90001785</v>
      </c>
      <c r="G787" s="15" t="s">
        <v>224</v>
      </c>
      <c r="H787" s="14">
        <v>28010602</v>
      </c>
      <c r="I787" s="15" t="s">
        <v>802</v>
      </c>
      <c r="J787" s="14" t="s">
        <v>66</v>
      </c>
      <c r="K787" s="15" t="s">
        <v>59</v>
      </c>
      <c r="L787" s="15" t="s">
        <v>60</v>
      </c>
      <c r="M787" s="15"/>
      <c r="N787" s="92"/>
      <c r="P787" s="14" t="s">
        <v>707</v>
      </c>
    </row>
    <row r="788" spans="1:16">
      <c r="A788" s="15" t="s">
        <v>53</v>
      </c>
      <c r="B788" s="15" t="s">
        <v>29</v>
      </c>
      <c r="C788" s="15" t="s">
        <v>107</v>
      </c>
      <c r="D788" s="15" t="s">
        <v>12</v>
      </c>
      <c r="E788" s="14" t="s">
        <v>128</v>
      </c>
      <c r="F788" s="14">
        <v>90001786</v>
      </c>
      <c r="G788" s="15" t="s">
        <v>141</v>
      </c>
      <c r="H788" s="14">
        <v>28010603</v>
      </c>
      <c r="I788" s="15" t="s">
        <v>347</v>
      </c>
      <c r="J788" s="14" t="s">
        <v>128</v>
      </c>
      <c r="K788" s="15" t="s">
        <v>59</v>
      </c>
      <c r="L788" s="15" t="s">
        <v>60</v>
      </c>
      <c r="M788" s="15"/>
      <c r="N788" s="92"/>
      <c r="P788" s="15" t="s">
        <v>660</v>
      </c>
    </row>
    <row r="789" spans="1:16">
      <c r="A789" s="15" t="s">
        <v>53</v>
      </c>
      <c r="B789" s="15" t="s">
        <v>29</v>
      </c>
      <c r="C789" s="15" t="s">
        <v>107</v>
      </c>
      <c r="D789" s="15" t="s">
        <v>12</v>
      </c>
      <c r="E789" s="14" t="s">
        <v>128</v>
      </c>
      <c r="F789" s="14">
        <v>90001787</v>
      </c>
      <c r="G789" s="15" t="s">
        <v>141</v>
      </c>
      <c r="H789" s="14">
        <v>28010604</v>
      </c>
      <c r="I789" s="15" t="s">
        <v>803</v>
      </c>
      <c r="J789" s="14" t="s">
        <v>128</v>
      </c>
      <c r="K789" s="15" t="s">
        <v>59</v>
      </c>
      <c r="L789" s="15" t="s">
        <v>60</v>
      </c>
      <c r="M789" s="15"/>
      <c r="N789" s="92"/>
      <c r="P789" s="15" t="s">
        <v>660</v>
      </c>
    </row>
    <row r="790" spans="1:16">
      <c r="A790" s="15" t="s">
        <v>53</v>
      </c>
      <c r="B790" s="15" t="s">
        <v>33</v>
      </c>
      <c r="C790" s="15" t="s">
        <v>107</v>
      </c>
      <c r="D790" s="15" t="s">
        <v>12</v>
      </c>
      <c r="E790" s="14" t="s">
        <v>99</v>
      </c>
      <c r="F790" s="14">
        <v>901788</v>
      </c>
      <c r="G790" s="15" t="s">
        <v>168</v>
      </c>
      <c r="H790" s="14">
        <v>28010605</v>
      </c>
      <c r="I790" s="15" t="s">
        <v>804</v>
      </c>
      <c r="J790" s="14" t="s">
        <v>99</v>
      </c>
      <c r="K790" s="15" t="s">
        <v>59</v>
      </c>
      <c r="L790" s="15" t="s">
        <v>60</v>
      </c>
      <c r="M790" s="15"/>
      <c r="N790" s="92"/>
      <c r="P790" s="15" t="s">
        <v>660</v>
      </c>
    </row>
    <row r="791" spans="1:16">
      <c r="A791" s="15" t="s">
        <v>53</v>
      </c>
      <c r="B791" s="15" t="s">
        <v>29</v>
      </c>
      <c r="C791" s="15" t="s">
        <v>107</v>
      </c>
      <c r="D791" s="15" t="s">
        <v>12</v>
      </c>
      <c r="E791" s="14" t="s">
        <v>128</v>
      </c>
      <c r="F791" s="14">
        <v>901789</v>
      </c>
      <c r="G791" s="15" t="s">
        <v>141</v>
      </c>
      <c r="H791" s="14">
        <v>28010606</v>
      </c>
      <c r="I791" s="15" t="s">
        <v>805</v>
      </c>
      <c r="J791" s="14" t="s">
        <v>128</v>
      </c>
      <c r="K791" s="15" t="s">
        <v>59</v>
      </c>
      <c r="L791" s="15" t="s">
        <v>60</v>
      </c>
      <c r="M791" s="15"/>
      <c r="N791" s="92"/>
      <c r="P791" s="15" t="s">
        <v>660</v>
      </c>
    </row>
    <row r="792" spans="1:16">
      <c r="A792" s="15" t="s">
        <v>53</v>
      </c>
      <c r="B792" s="15" t="s">
        <v>31</v>
      </c>
      <c r="C792" s="15" t="s">
        <v>107</v>
      </c>
      <c r="D792" s="15" t="s">
        <v>12</v>
      </c>
      <c r="E792" s="14" t="s">
        <v>128</v>
      </c>
      <c r="F792" s="14">
        <v>90001790</v>
      </c>
      <c r="G792" s="15" t="s">
        <v>168</v>
      </c>
      <c r="H792" s="14">
        <v>28010607</v>
      </c>
      <c r="I792" s="15" t="s">
        <v>806</v>
      </c>
      <c r="J792" s="14" t="s">
        <v>128</v>
      </c>
      <c r="K792" s="15" t="s">
        <v>59</v>
      </c>
      <c r="L792" s="15" t="s">
        <v>60</v>
      </c>
      <c r="M792" s="15"/>
      <c r="N792" s="92"/>
      <c r="P792" s="15" t="s">
        <v>660</v>
      </c>
    </row>
    <row r="793" spans="1:16">
      <c r="A793" s="15" t="s">
        <v>53</v>
      </c>
      <c r="B793" s="15" t="s">
        <v>29</v>
      </c>
      <c r="C793" s="15" t="s">
        <v>107</v>
      </c>
      <c r="D793" s="15" t="s">
        <v>12</v>
      </c>
      <c r="E793" s="14" t="s">
        <v>99</v>
      </c>
      <c r="F793" s="14">
        <v>90001791</v>
      </c>
      <c r="G793" s="15" t="s">
        <v>141</v>
      </c>
      <c r="H793" s="14">
        <v>28010608</v>
      </c>
      <c r="I793" s="15" t="s">
        <v>807</v>
      </c>
      <c r="J793" s="14" t="s">
        <v>99</v>
      </c>
      <c r="K793" s="15" t="s">
        <v>59</v>
      </c>
      <c r="L793" s="15" t="s">
        <v>60</v>
      </c>
      <c r="M793" s="15"/>
      <c r="N793" s="92"/>
      <c r="P793" s="15" t="s">
        <v>660</v>
      </c>
    </row>
    <row r="794" spans="1:16">
      <c r="A794" s="15" t="s">
        <v>53</v>
      </c>
      <c r="B794" s="15" t="s">
        <v>29</v>
      </c>
      <c r="C794" s="15" t="s">
        <v>107</v>
      </c>
      <c r="D794" s="15" t="s">
        <v>12</v>
      </c>
      <c r="E794" s="14" t="s">
        <v>99</v>
      </c>
      <c r="F794" s="14">
        <v>90001792</v>
      </c>
      <c r="G794" s="15" t="s">
        <v>141</v>
      </c>
      <c r="H794" s="14">
        <v>28010609</v>
      </c>
      <c r="I794" s="15" t="s">
        <v>808</v>
      </c>
      <c r="J794" s="14" t="s">
        <v>99</v>
      </c>
      <c r="K794" s="15" t="s">
        <v>59</v>
      </c>
      <c r="L794" s="15" t="s">
        <v>60</v>
      </c>
      <c r="M794" s="15"/>
      <c r="N794" s="92"/>
      <c r="P794" s="15" t="s">
        <v>660</v>
      </c>
    </row>
    <row r="795" spans="1:16">
      <c r="A795" s="15" t="s">
        <v>53</v>
      </c>
      <c r="B795" s="15" t="s">
        <v>29</v>
      </c>
      <c r="C795" s="15" t="s">
        <v>107</v>
      </c>
      <c r="D795" s="15" t="s">
        <v>12</v>
      </c>
      <c r="E795" s="14" t="s">
        <v>99</v>
      </c>
      <c r="F795" s="14">
        <v>90001793</v>
      </c>
      <c r="G795" s="15" t="s">
        <v>165</v>
      </c>
      <c r="H795" s="14">
        <v>28010610</v>
      </c>
      <c r="I795" s="15" t="s">
        <v>809</v>
      </c>
      <c r="J795" s="14" t="s">
        <v>99</v>
      </c>
      <c r="K795" s="15" t="s">
        <v>59</v>
      </c>
      <c r="L795" s="15" t="s">
        <v>60</v>
      </c>
      <c r="M795" s="15"/>
      <c r="N795" s="92"/>
      <c r="P795" s="15" t="s">
        <v>660</v>
      </c>
    </row>
    <row r="796" spans="1:16">
      <c r="A796" s="15" t="s">
        <v>53</v>
      </c>
      <c r="B796" s="15" t="s">
        <v>29</v>
      </c>
      <c r="C796" s="15" t="s">
        <v>107</v>
      </c>
      <c r="D796" s="15" t="s">
        <v>12</v>
      </c>
      <c r="E796" s="14" t="s">
        <v>210</v>
      </c>
      <c r="F796" s="14">
        <v>90001794</v>
      </c>
      <c r="G796" s="15" t="s">
        <v>168</v>
      </c>
      <c r="H796" s="14">
        <v>28010611</v>
      </c>
      <c r="I796" s="15" t="s">
        <v>810</v>
      </c>
      <c r="J796" s="14" t="s">
        <v>210</v>
      </c>
      <c r="K796" s="15" t="s">
        <v>59</v>
      </c>
      <c r="L796" s="15" t="s">
        <v>60</v>
      </c>
      <c r="M796" s="15"/>
      <c r="N796" s="92"/>
      <c r="P796" s="15" t="s">
        <v>660</v>
      </c>
    </row>
    <row r="797" spans="1:16">
      <c r="A797" s="15" t="s">
        <v>53</v>
      </c>
      <c r="B797" s="15" t="s">
        <v>30</v>
      </c>
      <c r="C797" s="15" t="s">
        <v>107</v>
      </c>
      <c r="D797" s="15" t="s">
        <v>12</v>
      </c>
      <c r="E797" s="94" t="s">
        <v>128</v>
      </c>
      <c r="F797" s="94">
        <v>901795</v>
      </c>
      <c r="G797" s="95" t="s">
        <v>226</v>
      </c>
      <c r="H797" s="14"/>
      <c r="I797" s="15"/>
      <c r="J797" s="14"/>
      <c r="K797" s="15"/>
      <c r="L797" s="15" t="s">
        <v>63</v>
      </c>
      <c r="M797" s="15"/>
      <c r="N797" s="92"/>
      <c r="P797" s="15" t="s">
        <v>660</v>
      </c>
    </row>
    <row r="798" spans="1:16">
      <c r="A798" s="15" t="s">
        <v>53</v>
      </c>
      <c r="B798" s="95" t="s">
        <v>34</v>
      </c>
      <c r="C798" s="15" t="s">
        <v>107</v>
      </c>
      <c r="D798" s="15" t="s">
        <v>12</v>
      </c>
      <c r="E798" s="94" t="s">
        <v>128</v>
      </c>
      <c r="F798" s="94">
        <v>901796</v>
      </c>
      <c r="G798" s="95" t="s">
        <v>226</v>
      </c>
      <c r="H798" s="14"/>
      <c r="I798" s="15"/>
      <c r="J798" s="14"/>
      <c r="K798" s="15"/>
      <c r="L798" s="15" t="s">
        <v>63</v>
      </c>
      <c r="M798" s="15"/>
      <c r="N798" s="92"/>
      <c r="P798" s="15" t="s">
        <v>660</v>
      </c>
    </row>
    <row r="799" spans="1:16">
      <c r="A799" s="15" t="s">
        <v>53</v>
      </c>
      <c r="B799" s="15" t="s">
        <v>30</v>
      </c>
      <c r="C799" s="15" t="s">
        <v>107</v>
      </c>
      <c r="D799" s="15" t="s">
        <v>12</v>
      </c>
      <c r="E799" s="14" t="s">
        <v>128</v>
      </c>
      <c r="F799" s="14">
        <v>90001797</v>
      </c>
      <c r="G799" s="15" t="s">
        <v>170</v>
      </c>
      <c r="H799" s="14"/>
      <c r="I799" s="15"/>
      <c r="J799" s="14"/>
      <c r="K799" s="15"/>
      <c r="L799" s="15" t="s">
        <v>63</v>
      </c>
      <c r="M799" s="15"/>
      <c r="N799" s="92"/>
      <c r="P799" s="15" t="s">
        <v>660</v>
      </c>
    </row>
    <row r="800" spans="1:16">
      <c r="A800" s="15" t="s">
        <v>53</v>
      </c>
      <c r="B800" s="15" t="s">
        <v>32</v>
      </c>
      <c r="C800" s="15" t="s">
        <v>107</v>
      </c>
      <c r="D800" s="15" t="s">
        <v>12</v>
      </c>
      <c r="E800" s="94" t="s">
        <v>99</v>
      </c>
      <c r="F800" s="94">
        <v>901798</v>
      </c>
      <c r="G800" s="95" t="s">
        <v>226</v>
      </c>
      <c r="H800" s="14"/>
      <c r="I800" s="15"/>
      <c r="J800" s="14"/>
      <c r="K800" s="15"/>
      <c r="L800" s="15" t="s">
        <v>63</v>
      </c>
      <c r="M800" s="15"/>
      <c r="N800" s="92"/>
      <c r="P800" s="15" t="s">
        <v>660</v>
      </c>
    </row>
    <row r="801" spans="1:16">
      <c r="A801" s="15" t="s">
        <v>53</v>
      </c>
      <c r="B801" s="15" t="s">
        <v>32</v>
      </c>
      <c r="C801" s="15" t="s">
        <v>107</v>
      </c>
      <c r="D801" s="15" t="s">
        <v>12</v>
      </c>
      <c r="E801" s="14" t="s">
        <v>72</v>
      </c>
      <c r="F801" s="14">
        <v>901799</v>
      </c>
      <c r="G801" s="15" t="s">
        <v>153</v>
      </c>
      <c r="H801" s="14"/>
      <c r="I801" s="15"/>
      <c r="J801" s="14"/>
      <c r="K801" s="15"/>
      <c r="L801" s="15" t="s">
        <v>63</v>
      </c>
      <c r="M801" s="15"/>
      <c r="N801" s="92"/>
      <c r="P801" s="15" t="s">
        <v>660</v>
      </c>
    </row>
    <row r="802" spans="1:16">
      <c r="A802" s="15" t="s">
        <v>53</v>
      </c>
      <c r="B802" s="15" t="s">
        <v>33</v>
      </c>
      <c r="C802" s="15" t="s">
        <v>107</v>
      </c>
      <c r="D802" s="15" t="s">
        <v>12</v>
      </c>
      <c r="E802" s="14" t="s">
        <v>72</v>
      </c>
      <c r="F802" s="14">
        <v>901800</v>
      </c>
      <c r="G802" s="15" t="s">
        <v>142</v>
      </c>
      <c r="H802" s="14"/>
      <c r="I802" s="15"/>
      <c r="J802" s="14"/>
      <c r="K802" s="15"/>
      <c r="L802" s="15" t="s">
        <v>63</v>
      </c>
      <c r="M802" s="15"/>
      <c r="N802" s="92"/>
      <c r="P802" s="15" t="s">
        <v>660</v>
      </c>
    </row>
    <row r="803" spans="1:16">
      <c r="A803" s="15" t="s">
        <v>53</v>
      </c>
      <c r="B803" s="15" t="s">
        <v>32</v>
      </c>
      <c r="C803" s="15" t="s">
        <v>107</v>
      </c>
      <c r="D803" s="15" t="s">
        <v>12</v>
      </c>
      <c r="E803" s="14" t="s">
        <v>128</v>
      </c>
      <c r="F803" s="14">
        <v>901801</v>
      </c>
      <c r="G803" s="15" t="s">
        <v>228</v>
      </c>
      <c r="H803" s="14"/>
      <c r="I803" s="15"/>
      <c r="J803" s="14"/>
      <c r="K803" s="15"/>
      <c r="L803" s="15" t="s">
        <v>63</v>
      </c>
      <c r="M803" s="15"/>
      <c r="N803" s="92"/>
      <c r="P803" s="14" t="s">
        <v>707</v>
      </c>
    </row>
    <row r="804" spans="1:16">
      <c r="A804" s="15" t="s">
        <v>53</v>
      </c>
      <c r="B804" s="15" t="s">
        <v>33</v>
      </c>
      <c r="C804" s="15" t="s">
        <v>107</v>
      </c>
      <c r="D804" s="15" t="s">
        <v>12</v>
      </c>
      <c r="E804" s="14" t="s">
        <v>72</v>
      </c>
      <c r="F804" s="14">
        <v>901802</v>
      </c>
      <c r="G804" s="15" t="s">
        <v>137</v>
      </c>
      <c r="H804" s="14"/>
      <c r="I804" s="15"/>
      <c r="J804" s="14"/>
      <c r="K804" s="15"/>
      <c r="L804" s="15" t="s">
        <v>63</v>
      </c>
      <c r="M804" s="15"/>
      <c r="N804" s="92"/>
      <c r="P804" s="15" t="s">
        <v>660</v>
      </c>
    </row>
    <row r="805" spans="1:16">
      <c r="A805" s="15" t="s">
        <v>53</v>
      </c>
      <c r="B805" s="15" t="s">
        <v>30</v>
      </c>
      <c r="C805" s="15" t="s">
        <v>107</v>
      </c>
      <c r="D805" s="15" t="s">
        <v>12</v>
      </c>
      <c r="E805" s="14" t="s">
        <v>128</v>
      </c>
      <c r="F805" s="14">
        <v>901803</v>
      </c>
      <c r="G805" s="15" t="s">
        <v>230</v>
      </c>
      <c r="H805" s="14"/>
      <c r="I805" s="15"/>
      <c r="J805" s="14"/>
      <c r="K805" s="15"/>
      <c r="L805" s="15" t="s">
        <v>63</v>
      </c>
      <c r="M805" s="15"/>
      <c r="N805" s="92"/>
      <c r="P805" s="14" t="s">
        <v>681</v>
      </c>
    </row>
    <row r="806" spans="1:16">
      <c r="A806" s="15" t="s">
        <v>53</v>
      </c>
      <c r="B806" s="15" t="s">
        <v>32</v>
      </c>
      <c r="C806" s="15" t="s">
        <v>107</v>
      </c>
      <c r="D806" s="15" t="s">
        <v>12</v>
      </c>
      <c r="E806" s="94" t="s">
        <v>128</v>
      </c>
      <c r="F806" s="94">
        <v>901804</v>
      </c>
      <c r="G806" s="95" t="s">
        <v>232</v>
      </c>
      <c r="H806" s="14"/>
      <c r="I806" s="15"/>
      <c r="J806" s="14"/>
      <c r="K806" s="15"/>
      <c r="L806" s="15" t="s">
        <v>63</v>
      </c>
      <c r="M806" s="15"/>
      <c r="N806" s="92"/>
      <c r="P806" s="15" t="s">
        <v>660</v>
      </c>
    </row>
    <row r="807" spans="1:16">
      <c r="A807" s="15" t="s">
        <v>53</v>
      </c>
      <c r="B807" s="15" t="s">
        <v>30</v>
      </c>
      <c r="C807" s="15" t="s">
        <v>107</v>
      </c>
      <c r="D807" s="15" t="s">
        <v>12</v>
      </c>
      <c r="E807" s="14" t="s">
        <v>109</v>
      </c>
      <c r="F807" s="14">
        <v>901805</v>
      </c>
      <c r="G807" s="15" t="s">
        <v>148</v>
      </c>
      <c r="H807" s="14"/>
      <c r="I807" s="15"/>
      <c r="J807" s="14"/>
      <c r="K807" s="15"/>
      <c r="L807" s="15" t="s">
        <v>63</v>
      </c>
      <c r="M807" s="15"/>
      <c r="N807" s="92"/>
      <c r="P807" s="15" t="s">
        <v>660</v>
      </c>
    </row>
    <row r="808" spans="1:16">
      <c r="A808" s="15" t="s">
        <v>53</v>
      </c>
      <c r="B808" s="15" t="s">
        <v>30</v>
      </c>
      <c r="C808" s="15" t="s">
        <v>107</v>
      </c>
      <c r="D808" s="15" t="s">
        <v>12</v>
      </c>
      <c r="E808" s="14" t="s">
        <v>109</v>
      </c>
      <c r="F808" s="14">
        <v>901806</v>
      </c>
      <c r="G808" s="15" t="s">
        <v>148</v>
      </c>
      <c r="H808" s="14"/>
      <c r="I808" s="15"/>
      <c r="J808" s="14"/>
      <c r="K808" s="15"/>
      <c r="L808" s="15" t="s">
        <v>63</v>
      </c>
      <c r="M808" s="15"/>
      <c r="N808" s="92"/>
      <c r="P808" s="15" t="s">
        <v>660</v>
      </c>
    </row>
    <row r="809" spans="1:16">
      <c r="A809" s="15" t="s">
        <v>53</v>
      </c>
      <c r="B809" s="15" t="s">
        <v>32</v>
      </c>
      <c r="C809" s="15" t="s">
        <v>107</v>
      </c>
      <c r="D809" s="15" t="s">
        <v>12</v>
      </c>
      <c r="E809" s="14" t="s">
        <v>72</v>
      </c>
      <c r="F809" s="14">
        <v>901807</v>
      </c>
      <c r="G809" s="15" t="s">
        <v>141</v>
      </c>
      <c r="H809" s="14"/>
      <c r="I809" s="15"/>
      <c r="J809" s="14"/>
      <c r="K809" s="15"/>
      <c r="L809" s="15" t="s">
        <v>63</v>
      </c>
      <c r="M809" s="15"/>
      <c r="N809" s="92"/>
      <c r="P809" s="15" t="s">
        <v>660</v>
      </c>
    </row>
    <row r="810" spans="1:16">
      <c r="A810" s="15" t="s">
        <v>53</v>
      </c>
      <c r="B810" s="15" t="s">
        <v>31</v>
      </c>
      <c r="C810" s="15" t="s">
        <v>107</v>
      </c>
      <c r="D810" s="15" t="s">
        <v>12</v>
      </c>
      <c r="E810" s="14" t="s">
        <v>56</v>
      </c>
      <c r="F810" s="14">
        <v>901808</v>
      </c>
      <c r="G810" s="15" t="s">
        <v>153</v>
      </c>
      <c r="H810" s="14"/>
      <c r="I810" s="15"/>
      <c r="J810" s="14"/>
      <c r="K810" s="15"/>
      <c r="L810" s="15" t="s">
        <v>63</v>
      </c>
      <c r="M810" s="15"/>
      <c r="N810" s="92"/>
      <c r="P810" s="15" t="s">
        <v>660</v>
      </c>
    </row>
    <row r="811" spans="1:16">
      <c r="A811" s="15" t="s">
        <v>53</v>
      </c>
      <c r="B811" s="15" t="s">
        <v>30</v>
      </c>
      <c r="C811" s="15" t="s">
        <v>107</v>
      </c>
      <c r="D811" s="15" t="s">
        <v>12</v>
      </c>
      <c r="E811" s="14" t="s">
        <v>109</v>
      </c>
      <c r="F811" s="14">
        <v>901809</v>
      </c>
      <c r="G811" s="15" t="s">
        <v>148</v>
      </c>
      <c r="H811" s="14"/>
      <c r="I811" s="15"/>
      <c r="J811" s="14"/>
      <c r="K811" s="15"/>
      <c r="L811" s="15" t="s">
        <v>63</v>
      </c>
      <c r="M811" s="15"/>
      <c r="N811" s="92"/>
      <c r="P811" s="15" t="s">
        <v>660</v>
      </c>
    </row>
    <row r="812" spans="1:16">
      <c r="A812" s="15" t="s">
        <v>53</v>
      </c>
      <c r="B812" s="15" t="s">
        <v>30</v>
      </c>
      <c r="C812" s="15" t="s">
        <v>107</v>
      </c>
      <c r="D812" s="15" t="s">
        <v>12</v>
      </c>
      <c r="E812" s="14" t="s">
        <v>109</v>
      </c>
      <c r="F812" s="14">
        <v>901810</v>
      </c>
      <c r="G812" s="15" t="s">
        <v>148</v>
      </c>
      <c r="H812" s="14"/>
      <c r="I812" s="15"/>
      <c r="J812" s="14"/>
      <c r="K812" s="15"/>
      <c r="L812" s="15" t="s">
        <v>63</v>
      </c>
      <c r="M812" s="15"/>
      <c r="N812" s="92"/>
      <c r="P812" s="15" t="s">
        <v>660</v>
      </c>
    </row>
    <row r="813" spans="1:16">
      <c r="A813" s="15" t="s">
        <v>53</v>
      </c>
      <c r="B813" s="15" t="s">
        <v>32</v>
      </c>
      <c r="C813" s="15" t="s">
        <v>107</v>
      </c>
      <c r="D813" s="15" t="s">
        <v>12</v>
      </c>
      <c r="E813" s="14" t="s">
        <v>72</v>
      </c>
      <c r="F813" s="14">
        <v>901811</v>
      </c>
      <c r="G813" s="15" t="s">
        <v>142</v>
      </c>
      <c r="H813" s="14"/>
      <c r="I813" s="15"/>
      <c r="J813" s="14"/>
      <c r="K813" s="15"/>
      <c r="L813" s="15" t="s">
        <v>63</v>
      </c>
      <c r="M813" s="15"/>
      <c r="N813" s="92"/>
      <c r="P813" s="15" t="s">
        <v>660</v>
      </c>
    </row>
    <row r="814" spans="1:16">
      <c r="A814" s="15" t="s">
        <v>53</v>
      </c>
      <c r="B814" s="15" t="s">
        <v>30</v>
      </c>
      <c r="C814" s="15" t="s">
        <v>107</v>
      </c>
      <c r="D814" s="15" t="s">
        <v>12</v>
      </c>
      <c r="E814" s="14" t="s">
        <v>109</v>
      </c>
      <c r="F814" s="14">
        <v>901812</v>
      </c>
      <c r="G814" s="15" t="s">
        <v>148</v>
      </c>
      <c r="H814" s="14"/>
      <c r="I814" s="15"/>
      <c r="J814" s="14"/>
      <c r="K814" s="15"/>
      <c r="L814" s="15" t="s">
        <v>63</v>
      </c>
      <c r="M814" s="15"/>
      <c r="N814" s="92"/>
      <c r="P814" s="15" t="s">
        <v>660</v>
      </c>
    </row>
    <row r="815" spans="1:16">
      <c r="A815" s="15" t="s">
        <v>53</v>
      </c>
      <c r="B815" s="15" t="s">
        <v>30</v>
      </c>
      <c r="C815" s="15" t="s">
        <v>107</v>
      </c>
      <c r="D815" s="15" t="s">
        <v>12</v>
      </c>
      <c r="E815" s="14" t="s">
        <v>109</v>
      </c>
      <c r="F815" s="14">
        <v>901813</v>
      </c>
      <c r="G815" s="15" t="s">
        <v>148</v>
      </c>
      <c r="H815" s="14"/>
      <c r="I815" s="15"/>
      <c r="J815" s="14"/>
      <c r="K815" s="15"/>
      <c r="L815" s="15" t="s">
        <v>63</v>
      </c>
      <c r="M815" s="15"/>
      <c r="N815" s="92"/>
      <c r="P815" s="15" t="s">
        <v>660</v>
      </c>
    </row>
    <row r="816" spans="1:16">
      <c r="A816" s="15" t="s">
        <v>53</v>
      </c>
      <c r="B816" s="15" t="s">
        <v>30</v>
      </c>
      <c r="C816" s="15" t="s">
        <v>107</v>
      </c>
      <c r="D816" s="15" t="s">
        <v>12</v>
      </c>
      <c r="E816" s="14" t="s">
        <v>109</v>
      </c>
      <c r="F816" s="14">
        <v>901814</v>
      </c>
      <c r="G816" s="15" t="s">
        <v>234</v>
      </c>
      <c r="H816" s="14"/>
      <c r="I816" s="15"/>
      <c r="J816" s="14"/>
      <c r="K816" s="15"/>
      <c r="L816" s="15" t="s">
        <v>63</v>
      </c>
      <c r="M816" s="15"/>
      <c r="N816" s="92"/>
      <c r="P816" s="15" t="s">
        <v>660</v>
      </c>
    </row>
    <row r="817" spans="1:16">
      <c r="A817" s="15" t="s">
        <v>53</v>
      </c>
      <c r="B817" s="15" t="s">
        <v>32</v>
      </c>
      <c r="C817" s="15" t="s">
        <v>107</v>
      </c>
      <c r="D817" s="15" t="s">
        <v>12</v>
      </c>
      <c r="E817" s="14" t="s">
        <v>56</v>
      </c>
      <c r="F817" s="14">
        <v>901815</v>
      </c>
      <c r="G817" s="15" t="s">
        <v>137</v>
      </c>
      <c r="H817" s="14"/>
      <c r="I817" s="15"/>
      <c r="J817" s="14"/>
      <c r="K817" s="15"/>
      <c r="L817" s="15" t="s">
        <v>63</v>
      </c>
      <c r="M817" s="15"/>
      <c r="N817" s="92"/>
      <c r="P817" s="15" t="s">
        <v>660</v>
      </c>
    </row>
    <row r="818" spans="1:16">
      <c r="A818" s="15" t="s">
        <v>53</v>
      </c>
      <c r="B818" s="15" t="s">
        <v>32</v>
      </c>
      <c r="C818" s="15" t="s">
        <v>107</v>
      </c>
      <c r="D818" s="15" t="s">
        <v>12</v>
      </c>
      <c r="E818" s="14" t="s">
        <v>56</v>
      </c>
      <c r="F818" s="14">
        <v>901816</v>
      </c>
      <c r="G818" s="15" t="s">
        <v>137</v>
      </c>
      <c r="H818" s="14"/>
      <c r="I818" s="15"/>
      <c r="J818" s="14"/>
      <c r="K818" s="15"/>
      <c r="L818" s="15" t="s">
        <v>63</v>
      </c>
      <c r="M818" s="15"/>
      <c r="N818" s="92"/>
      <c r="P818" s="15" t="s">
        <v>660</v>
      </c>
    </row>
    <row r="819" spans="1:16">
      <c r="A819" s="15" t="s">
        <v>53</v>
      </c>
      <c r="B819" s="15" t="s">
        <v>33</v>
      </c>
      <c r="C819" s="15" t="s">
        <v>107</v>
      </c>
      <c r="D819" s="15" t="s">
        <v>12</v>
      </c>
      <c r="E819" s="14" t="s">
        <v>56</v>
      </c>
      <c r="F819" s="14">
        <v>901817</v>
      </c>
      <c r="G819" s="15" t="s">
        <v>186</v>
      </c>
      <c r="H819" s="14"/>
      <c r="I819" s="15"/>
      <c r="J819" s="14"/>
      <c r="K819" s="15"/>
      <c r="L819" s="15" t="s">
        <v>63</v>
      </c>
      <c r="M819" s="15"/>
      <c r="N819" s="92"/>
      <c r="P819" s="14" t="s">
        <v>681</v>
      </c>
    </row>
    <row r="820" spans="1:16">
      <c r="A820" s="15" t="s">
        <v>53</v>
      </c>
      <c r="B820" s="15" t="s">
        <v>30</v>
      </c>
      <c r="C820" s="15" t="s">
        <v>107</v>
      </c>
      <c r="D820" s="15" t="s">
        <v>12</v>
      </c>
      <c r="E820" s="14" t="s">
        <v>109</v>
      </c>
      <c r="F820" s="14">
        <v>901818</v>
      </c>
      <c r="G820" s="15" t="s">
        <v>234</v>
      </c>
      <c r="H820" s="14"/>
      <c r="I820" s="15"/>
      <c r="J820" s="14"/>
      <c r="K820" s="15"/>
      <c r="L820" s="15" t="s">
        <v>63</v>
      </c>
      <c r="M820" s="15"/>
      <c r="N820" s="92"/>
      <c r="P820" s="15" t="s">
        <v>660</v>
      </c>
    </row>
    <row r="821" spans="1:16">
      <c r="A821" s="15" t="s">
        <v>53</v>
      </c>
      <c r="B821" s="15" t="s">
        <v>29</v>
      </c>
      <c r="C821" s="15" t="s">
        <v>107</v>
      </c>
      <c r="D821" s="15" t="s">
        <v>12</v>
      </c>
      <c r="E821" s="14" t="s">
        <v>128</v>
      </c>
      <c r="F821" s="14">
        <v>901819</v>
      </c>
      <c r="G821" s="15" t="s">
        <v>183</v>
      </c>
      <c r="H821" s="14"/>
      <c r="I821" s="15"/>
      <c r="J821" s="14"/>
      <c r="K821" s="15"/>
      <c r="L821" s="15" t="s">
        <v>63</v>
      </c>
      <c r="M821" s="15"/>
      <c r="N821" s="92"/>
      <c r="P821" s="15" t="s">
        <v>660</v>
      </c>
    </row>
    <row r="822" spans="1:16">
      <c r="A822" s="15" t="s">
        <v>53</v>
      </c>
      <c r="B822" s="15" t="s">
        <v>33</v>
      </c>
      <c r="C822" s="15" t="s">
        <v>107</v>
      </c>
      <c r="D822" s="15" t="s">
        <v>12</v>
      </c>
      <c r="E822" s="14" t="s">
        <v>56</v>
      </c>
      <c r="F822" s="14">
        <v>901820</v>
      </c>
      <c r="G822" s="15" t="s">
        <v>172</v>
      </c>
      <c r="H822" s="14"/>
      <c r="I822" s="15"/>
      <c r="J822" s="14"/>
      <c r="K822" s="15"/>
      <c r="L822" s="15" t="s">
        <v>63</v>
      </c>
      <c r="M822" s="15"/>
      <c r="N822" s="92"/>
      <c r="P822" s="15" t="s">
        <v>660</v>
      </c>
    </row>
    <row r="823" spans="1:16">
      <c r="A823" s="15" t="s">
        <v>53</v>
      </c>
      <c r="B823" s="15" t="s">
        <v>33</v>
      </c>
      <c r="C823" s="15" t="s">
        <v>107</v>
      </c>
      <c r="D823" s="15" t="s">
        <v>12</v>
      </c>
      <c r="E823" s="14" t="s">
        <v>56</v>
      </c>
      <c r="F823" s="14">
        <v>901821</v>
      </c>
      <c r="G823" s="15" t="s">
        <v>172</v>
      </c>
      <c r="H823" s="14"/>
      <c r="I823" s="15"/>
      <c r="J823" s="14"/>
      <c r="K823" s="15"/>
      <c r="L823" s="15" t="s">
        <v>63</v>
      </c>
      <c r="M823" s="15"/>
      <c r="N823" s="92"/>
      <c r="P823" s="15" t="s">
        <v>660</v>
      </c>
    </row>
    <row r="824" spans="1:16">
      <c r="A824" s="15" t="s">
        <v>53</v>
      </c>
      <c r="B824" s="15" t="s">
        <v>33</v>
      </c>
      <c r="C824" s="15" t="s">
        <v>107</v>
      </c>
      <c r="D824" s="15" t="s">
        <v>12</v>
      </c>
      <c r="E824" s="14" t="s">
        <v>56</v>
      </c>
      <c r="F824" s="14">
        <v>901822</v>
      </c>
      <c r="G824" s="15" t="s">
        <v>172</v>
      </c>
      <c r="H824" s="14"/>
      <c r="I824" s="15"/>
      <c r="J824" s="14"/>
      <c r="K824" s="15"/>
      <c r="L824" s="15" t="s">
        <v>63</v>
      </c>
      <c r="M824" s="15"/>
      <c r="N824" s="92"/>
      <c r="P824" s="15" t="s">
        <v>660</v>
      </c>
    </row>
    <row r="825" spans="1:16">
      <c r="A825" s="15" t="s">
        <v>53</v>
      </c>
      <c r="B825" s="15" t="s">
        <v>33</v>
      </c>
      <c r="C825" s="15" t="s">
        <v>107</v>
      </c>
      <c r="D825" s="15" t="s">
        <v>12</v>
      </c>
      <c r="E825" s="14" t="s">
        <v>56</v>
      </c>
      <c r="F825" s="14">
        <v>901823</v>
      </c>
      <c r="G825" s="15" t="s">
        <v>172</v>
      </c>
      <c r="H825" s="14"/>
      <c r="I825" s="15"/>
      <c r="J825" s="14"/>
      <c r="K825" s="15"/>
      <c r="L825" s="15" t="s">
        <v>63</v>
      </c>
      <c r="M825" s="15"/>
      <c r="N825" s="92"/>
      <c r="P825" s="15" t="s">
        <v>660</v>
      </c>
    </row>
    <row r="826" spans="1:16">
      <c r="A826" s="15" t="s">
        <v>53</v>
      </c>
      <c r="B826" s="15" t="s">
        <v>32</v>
      </c>
      <c r="C826" s="15" t="s">
        <v>107</v>
      </c>
      <c r="D826" s="15" t="s">
        <v>12</v>
      </c>
      <c r="E826" s="14" t="s">
        <v>109</v>
      </c>
      <c r="F826" s="14">
        <v>901824</v>
      </c>
      <c r="G826" s="15" t="s">
        <v>141</v>
      </c>
      <c r="H826" s="14"/>
      <c r="I826" s="15"/>
      <c r="J826" s="14"/>
      <c r="K826" s="15"/>
      <c r="L826" s="15" t="s">
        <v>63</v>
      </c>
      <c r="M826" s="15"/>
      <c r="N826" s="92"/>
      <c r="P826" s="15" t="s">
        <v>660</v>
      </c>
    </row>
    <row r="827" spans="1:16">
      <c r="A827" s="15" t="s">
        <v>53</v>
      </c>
      <c r="B827" s="15" t="s">
        <v>32</v>
      </c>
      <c r="C827" s="15" t="s">
        <v>107</v>
      </c>
      <c r="D827" s="15" t="s">
        <v>12</v>
      </c>
      <c r="E827" s="14" t="s">
        <v>56</v>
      </c>
      <c r="F827" s="14">
        <v>901825</v>
      </c>
      <c r="G827" s="15" t="s">
        <v>137</v>
      </c>
      <c r="H827" s="14"/>
      <c r="I827" s="15"/>
      <c r="J827" s="14"/>
      <c r="K827" s="15"/>
      <c r="L827" s="15" t="s">
        <v>63</v>
      </c>
      <c r="M827" s="15"/>
      <c r="N827" s="92"/>
      <c r="P827" s="15" t="s">
        <v>660</v>
      </c>
    </row>
    <row r="828" spans="1:16">
      <c r="A828" s="15" t="s">
        <v>53</v>
      </c>
      <c r="B828" s="15" t="s">
        <v>32</v>
      </c>
      <c r="C828" s="15" t="s">
        <v>107</v>
      </c>
      <c r="D828" s="15" t="s">
        <v>12</v>
      </c>
      <c r="E828" s="14" t="s">
        <v>56</v>
      </c>
      <c r="F828" s="14">
        <v>901826</v>
      </c>
      <c r="G828" s="15" t="s">
        <v>137</v>
      </c>
      <c r="H828" s="14"/>
      <c r="I828" s="15"/>
      <c r="J828" s="14"/>
      <c r="K828" s="15"/>
      <c r="L828" s="15" t="s">
        <v>63</v>
      </c>
      <c r="M828" s="15"/>
      <c r="N828" s="92"/>
      <c r="P828" s="15" t="s">
        <v>660</v>
      </c>
    </row>
    <row r="829" spans="1:16">
      <c r="A829" s="15" t="s">
        <v>53</v>
      </c>
      <c r="B829" s="15" t="s">
        <v>32</v>
      </c>
      <c r="C829" s="15" t="s">
        <v>107</v>
      </c>
      <c r="D829" s="15" t="s">
        <v>12</v>
      </c>
      <c r="E829" s="14" t="s">
        <v>56</v>
      </c>
      <c r="F829" s="14">
        <v>901827</v>
      </c>
      <c r="G829" s="15" t="s">
        <v>137</v>
      </c>
      <c r="H829" s="14"/>
      <c r="I829" s="15"/>
      <c r="J829" s="14"/>
      <c r="K829" s="15"/>
      <c r="L829" s="15" t="s">
        <v>63</v>
      </c>
      <c r="M829" s="15"/>
      <c r="N829" s="92"/>
      <c r="P829" s="15" t="s">
        <v>660</v>
      </c>
    </row>
    <row r="830" spans="1:16">
      <c r="A830" s="15" t="s">
        <v>53</v>
      </c>
      <c r="B830" s="15" t="s">
        <v>29</v>
      </c>
      <c r="C830" s="15" t="s">
        <v>107</v>
      </c>
      <c r="D830" s="15" t="s">
        <v>12</v>
      </c>
      <c r="E830" s="14" t="s">
        <v>128</v>
      </c>
      <c r="F830" s="14">
        <v>901828</v>
      </c>
      <c r="G830" s="15" t="s">
        <v>141</v>
      </c>
      <c r="H830" s="14"/>
      <c r="I830" s="15"/>
      <c r="J830" s="14"/>
      <c r="K830" s="15"/>
      <c r="L830" s="15" t="s">
        <v>63</v>
      </c>
      <c r="M830" s="15"/>
      <c r="N830" s="92"/>
      <c r="P830" s="15" t="s">
        <v>660</v>
      </c>
    </row>
    <row r="831" spans="1:16">
      <c r="A831" s="15" t="s">
        <v>53</v>
      </c>
      <c r="B831" s="15" t="s">
        <v>29</v>
      </c>
      <c r="C831" s="15" t="s">
        <v>107</v>
      </c>
      <c r="D831" s="15" t="s">
        <v>12</v>
      </c>
      <c r="E831" s="14" t="s">
        <v>128</v>
      </c>
      <c r="F831" s="14">
        <v>901829</v>
      </c>
      <c r="G831" s="15" t="s">
        <v>183</v>
      </c>
      <c r="H831" s="14"/>
      <c r="I831" s="15"/>
      <c r="J831" s="14"/>
      <c r="K831" s="15"/>
      <c r="L831" s="15" t="s">
        <v>63</v>
      </c>
      <c r="M831" s="15"/>
      <c r="N831" s="92"/>
      <c r="P831" s="15" t="s">
        <v>660</v>
      </c>
    </row>
    <row r="832" spans="1:16">
      <c r="A832" s="15" t="s">
        <v>53</v>
      </c>
      <c r="B832" s="15" t="s">
        <v>29</v>
      </c>
      <c r="C832" s="15" t="s">
        <v>107</v>
      </c>
      <c r="D832" s="15" t="s">
        <v>12</v>
      </c>
      <c r="E832" s="14" t="s">
        <v>128</v>
      </c>
      <c r="F832" s="14">
        <v>901830</v>
      </c>
      <c r="G832" s="15" t="s">
        <v>146</v>
      </c>
      <c r="H832" s="14"/>
      <c r="I832" s="15"/>
      <c r="J832" s="14"/>
      <c r="K832" s="15"/>
      <c r="L832" s="15" t="s">
        <v>63</v>
      </c>
      <c r="M832" s="15"/>
      <c r="N832" s="92"/>
      <c r="P832" s="15" t="s">
        <v>660</v>
      </c>
    </row>
    <row r="833" spans="1:16">
      <c r="A833" s="15" t="s">
        <v>53</v>
      </c>
      <c r="B833" s="15" t="s">
        <v>29</v>
      </c>
      <c r="C833" s="15" t="s">
        <v>107</v>
      </c>
      <c r="D833" s="15" t="s">
        <v>12</v>
      </c>
      <c r="E833" s="14" t="s">
        <v>128</v>
      </c>
      <c r="F833" s="14">
        <v>901831</v>
      </c>
      <c r="G833" s="15" t="s">
        <v>170</v>
      </c>
      <c r="H833" s="14"/>
      <c r="I833" s="15"/>
      <c r="J833" s="14"/>
      <c r="K833" s="15"/>
      <c r="L833" s="15" t="s">
        <v>63</v>
      </c>
      <c r="M833" s="15"/>
      <c r="N833" s="92"/>
      <c r="P833" s="15" t="s">
        <v>660</v>
      </c>
    </row>
    <row r="834" spans="1:16">
      <c r="A834" s="15" t="s">
        <v>53</v>
      </c>
      <c r="B834" s="15" t="s">
        <v>29</v>
      </c>
      <c r="C834" s="15" t="s">
        <v>107</v>
      </c>
      <c r="D834" s="15" t="s">
        <v>12</v>
      </c>
      <c r="E834" s="14" t="s">
        <v>128</v>
      </c>
      <c r="F834" s="14">
        <v>901832</v>
      </c>
      <c r="G834" s="15" t="s">
        <v>165</v>
      </c>
      <c r="H834" s="14"/>
      <c r="I834" s="15"/>
      <c r="J834" s="14"/>
      <c r="K834" s="15"/>
      <c r="L834" s="15" t="s">
        <v>63</v>
      </c>
      <c r="M834" s="15"/>
      <c r="N834" s="92"/>
      <c r="P834" s="15" t="s">
        <v>660</v>
      </c>
    </row>
    <row r="835" spans="1:16">
      <c r="A835" s="15" t="s">
        <v>53</v>
      </c>
      <c r="B835" s="15" t="s">
        <v>31</v>
      </c>
      <c r="C835" s="15" t="s">
        <v>107</v>
      </c>
      <c r="D835" s="15" t="s">
        <v>12</v>
      </c>
      <c r="E835" s="14" t="s">
        <v>128</v>
      </c>
      <c r="F835" s="14">
        <v>901833</v>
      </c>
      <c r="G835" s="15" t="s">
        <v>183</v>
      </c>
      <c r="H835" s="14"/>
      <c r="I835" s="15"/>
      <c r="J835" s="14"/>
      <c r="K835" s="15"/>
      <c r="L835" s="15" t="s">
        <v>63</v>
      </c>
      <c r="M835" s="15"/>
      <c r="N835" s="92"/>
      <c r="P835" s="15" t="s">
        <v>660</v>
      </c>
    </row>
    <row r="836" spans="1:16">
      <c r="A836" s="15" t="s">
        <v>53</v>
      </c>
      <c r="B836" s="15" t="s">
        <v>33</v>
      </c>
      <c r="C836" s="15" t="s">
        <v>107</v>
      </c>
      <c r="D836" s="15" t="s">
        <v>12</v>
      </c>
      <c r="E836" s="94" t="s">
        <v>128</v>
      </c>
      <c r="F836" s="94">
        <v>901834</v>
      </c>
      <c r="G836" s="95" t="s">
        <v>226</v>
      </c>
      <c r="H836" s="14"/>
      <c r="I836" s="15"/>
      <c r="J836" s="14"/>
      <c r="K836" s="15"/>
      <c r="L836" s="15" t="s">
        <v>63</v>
      </c>
      <c r="M836" s="15"/>
      <c r="N836" s="92"/>
      <c r="P836" s="15" t="s">
        <v>660</v>
      </c>
    </row>
    <row r="837" spans="1:16">
      <c r="A837" s="15" t="s">
        <v>53</v>
      </c>
      <c r="B837" s="15" t="s">
        <v>30</v>
      </c>
      <c r="C837" s="15" t="s">
        <v>107</v>
      </c>
      <c r="D837" s="15" t="s">
        <v>12</v>
      </c>
      <c r="E837" s="94" t="s">
        <v>128</v>
      </c>
      <c r="F837" s="94">
        <v>901835</v>
      </c>
      <c r="G837" s="15" t="s">
        <v>236</v>
      </c>
      <c r="H837" s="14"/>
      <c r="I837" s="15"/>
      <c r="J837" s="14"/>
      <c r="K837" s="15"/>
      <c r="L837" s="15" t="s">
        <v>63</v>
      </c>
      <c r="M837" s="15"/>
      <c r="N837" s="92"/>
      <c r="P837" s="14" t="s">
        <v>681</v>
      </c>
    </row>
    <row r="838" spans="1:16">
      <c r="A838" s="15" t="s">
        <v>53</v>
      </c>
      <c r="B838" s="15" t="s">
        <v>34</v>
      </c>
      <c r="C838" s="15" t="s">
        <v>107</v>
      </c>
      <c r="D838" s="15" t="s">
        <v>12</v>
      </c>
      <c r="E838" s="14" t="s">
        <v>128</v>
      </c>
      <c r="F838" s="14">
        <v>901836</v>
      </c>
      <c r="G838" s="15" t="s">
        <v>230</v>
      </c>
      <c r="H838" s="14"/>
      <c r="I838" s="15"/>
      <c r="J838" s="14"/>
      <c r="K838" s="15"/>
      <c r="L838" s="15" t="s">
        <v>63</v>
      </c>
      <c r="M838" s="15"/>
      <c r="N838" s="92"/>
      <c r="P838" s="14" t="s">
        <v>681</v>
      </c>
    </row>
    <row r="839" spans="1:16">
      <c r="A839" s="15" t="s">
        <v>53</v>
      </c>
      <c r="B839" s="15" t="s">
        <v>29</v>
      </c>
      <c r="C839" s="15" t="s">
        <v>107</v>
      </c>
      <c r="D839" s="15" t="s">
        <v>12</v>
      </c>
      <c r="E839" s="14" t="s">
        <v>56</v>
      </c>
      <c r="F839" s="14">
        <v>901837</v>
      </c>
      <c r="G839" s="15" t="s">
        <v>153</v>
      </c>
      <c r="H839" s="14"/>
      <c r="I839" s="15"/>
      <c r="J839" s="94"/>
      <c r="K839" s="15"/>
      <c r="L839" s="15" t="s">
        <v>63</v>
      </c>
      <c r="M839" s="15"/>
      <c r="N839" s="92"/>
      <c r="P839" s="15" t="s">
        <v>660</v>
      </c>
    </row>
    <row r="840" spans="1:16">
      <c r="A840" s="15" t="s">
        <v>53</v>
      </c>
      <c r="B840" s="15" t="s">
        <v>29</v>
      </c>
      <c r="C840" s="15" t="s">
        <v>107</v>
      </c>
      <c r="D840" s="15" t="s">
        <v>12</v>
      </c>
      <c r="E840" s="14" t="s">
        <v>56</v>
      </c>
      <c r="F840" s="14">
        <v>901838</v>
      </c>
      <c r="G840" s="15" t="s">
        <v>172</v>
      </c>
      <c r="H840" s="14"/>
      <c r="I840" s="15"/>
      <c r="J840" s="14"/>
      <c r="K840" s="15"/>
      <c r="L840" s="15" t="s">
        <v>63</v>
      </c>
      <c r="M840" s="15"/>
      <c r="N840" s="92"/>
      <c r="P840" s="15" t="s">
        <v>660</v>
      </c>
    </row>
    <row r="841" spans="1:16">
      <c r="A841" s="15" t="s">
        <v>53</v>
      </c>
      <c r="B841" s="15" t="s">
        <v>29</v>
      </c>
      <c r="C841" s="15" t="s">
        <v>107</v>
      </c>
      <c r="D841" s="15" t="s">
        <v>12</v>
      </c>
      <c r="E841" s="14" t="s">
        <v>56</v>
      </c>
      <c r="F841" s="14">
        <v>901839</v>
      </c>
      <c r="G841" s="15" t="s">
        <v>172</v>
      </c>
      <c r="H841" s="14"/>
      <c r="I841" s="15"/>
      <c r="J841" s="14"/>
      <c r="K841" s="15"/>
      <c r="L841" s="15" t="s">
        <v>63</v>
      </c>
      <c r="M841" s="15"/>
      <c r="N841" s="92"/>
      <c r="P841" s="15" t="s">
        <v>660</v>
      </c>
    </row>
    <row r="842" spans="1:16">
      <c r="A842" s="15" t="s">
        <v>53</v>
      </c>
      <c r="B842" s="15" t="s">
        <v>29</v>
      </c>
      <c r="C842" s="15" t="s">
        <v>107</v>
      </c>
      <c r="D842" s="15" t="s">
        <v>12</v>
      </c>
      <c r="E842" s="14" t="s">
        <v>56</v>
      </c>
      <c r="F842" s="14">
        <v>901840</v>
      </c>
      <c r="G842" s="15" t="s">
        <v>172</v>
      </c>
      <c r="H842" s="14"/>
      <c r="I842" s="15"/>
      <c r="J842" s="14"/>
      <c r="K842" s="15"/>
      <c r="L842" s="15" t="s">
        <v>63</v>
      </c>
      <c r="M842" s="15"/>
      <c r="N842" s="92"/>
      <c r="P842" s="15" t="s">
        <v>660</v>
      </c>
    </row>
    <row r="843" spans="1:16">
      <c r="A843" s="15" t="s">
        <v>53</v>
      </c>
      <c r="B843" s="15" t="s">
        <v>32</v>
      </c>
      <c r="C843" s="15" t="s">
        <v>107</v>
      </c>
      <c r="D843" s="15" t="s">
        <v>12</v>
      </c>
      <c r="E843" s="14" t="s">
        <v>56</v>
      </c>
      <c r="F843" s="14">
        <v>901841</v>
      </c>
      <c r="G843" s="15" t="s">
        <v>172</v>
      </c>
      <c r="H843" s="14"/>
      <c r="I843" s="15"/>
      <c r="J843" s="14"/>
      <c r="K843" s="15"/>
      <c r="L843" s="15" t="s">
        <v>63</v>
      </c>
      <c r="M843" s="15"/>
      <c r="N843" s="92"/>
      <c r="P843" s="15" t="s">
        <v>660</v>
      </c>
    </row>
    <row r="844" spans="1:16">
      <c r="A844" s="15" t="s">
        <v>53</v>
      </c>
      <c r="B844" s="15" t="s">
        <v>30</v>
      </c>
      <c r="C844" s="15" t="s">
        <v>107</v>
      </c>
      <c r="D844" s="15" t="s">
        <v>12</v>
      </c>
      <c r="E844" s="94" t="s">
        <v>128</v>
      </c>
      <c r="F844" s="94">
        <v>901842</v>
      </c>
      <c r="G844" s="95" t="s">
        <v>239</v>
      </c>
      <c r="H844" s="14"/>
      <c r="I844" s="15"/>
      <c r="J844" s="14"/>
      <c r="K844" s="15"/>
      <c r="L844" s="15" t="s">
        <v>63</v>
      </c>
      <c r="M844" s="15"/>
      <c r="N844" s="92"/>
      <c r="P844" s="15" t="s">
        <v>660</v>
      </c>
    </row>
    <row r="845" spans="1:16">
      <c r="A845" s="15" t="s">
        <v>53</v>
      </c>
      <c r="B845" s="15" t="s">
        <v>29</v>
      </c>
      <c r="C845" s="15" t="s">
        <v>107</v>
      </c>
      <c r="D845" s="15" t="s">
        <v>12</v>
      </c>
      <c r="E845" s="14" t="s">
        <v>56</v>
      </c>
      <c r="F845" s="14">
        <v>901843</v>
      </c>
      <c r="G845" s="15" t="s">
        <v>144</v>
      </c>
      <c r="H845" s="14"/>
      <c r="I845" s="15"/>
      <c r="J845" s="14"/>
      <c r="K845" s="15"/>
      <c r="L845" s="15" t="s">
        <v>63</v>
      </c>
      <c r="M845" s="15"/>
      <c r="N845" s="92"/>
      <c r="P845" s="15" t="s">
        <v>660</v>
      </c>
    </row>
    <row r="846" spans="1:16">
      <c r="A846" s="15" t="s">
        <v>53</v>
      </c>
      <c r="B846" s="15" t="s">
        <v>30</v>
      </c>
      <c r="C846" s="15" t="s">
        <v>107</v>
      </c>
      <c r="D846" s="15" t="s">
        <v>12</v>
      </c>
      <c r="E846" s="14" t="s">
        <v>109</v>
      </c>
      <c r="F846" s="14">
        <v>901844</v>
      </c>
      <c r="G846" s="15" t="s">
        <v>234</v>
      </c>
      <c r="H846" s="14"/>
      <c r="I846" s="15"/>
      <c r="J846" s="14"/>
      <c r="K846" s="15"/>
      <c r="L846" s="15" t="s">
        <v>63</v>
      </c>
      <c r="M846" s="15"/>
      <c r="N846" s="92"/>
      <c r="P846" s="15" t="s">
        <v>660</v>
      </c>
    </row>
    <row r="847" spans="1:16">
      <c r="A847" s="15" t="s">
        <v>53</v>
      </c>
      <c r="B847" s="15" t="s">
        <v>29</v>
      </c>
      <c r="C847" s="15" t="s">
        <v>107</v>
      </c>
      <c r="D847" s="15" t="s">
        <v>12</v>
      </c>
      <c r="E847" s="14" t="s">
        <v>56</v>
      </c>
      <c r="F847" s="14">
        <v>901845</v>
      </c>
      <c r="G847" s="15" t="s">
        <v>137</v>
      </c>
      <c r="H847" s="14"/>
      <c r="I847" s="15"/>
      <c r="J847" s="14"/>
      <c r="K847" s="15"/>
      <c r="L847" s="15" t="s">
        <v>63</v>
      </c>
      <c r="M847" s="15"/>
      <c r="N847" s="92"/>
      <c r="P847" s="15" t="s">
        <v>660</v>
      </c>
    </row>
    <row r="848" spans="1:16">
      <c r="A848" s="15" t="s">
        <v>53</v>
      </c>
      <c r="B848" s="15" t="s">
        <v>29</v>
      </c>
      <c r="C848" s="15" t="s">
        <v>107</v>
      </c>
      <c r="D848" s="15" t="s">
        <v>12</v>
      </c>
      <c r="E848" s="14" t="s">
        <v>56</v>
      </c>
      <c r="F848" s="14">
        <v>901846</v>
      </c>
      <c r="G848" s="15" t="s">
        <v>137</v>
      </c>
      <c r="H848" s="14"/>
      <c r="I848" s="15"/>
      <c r="J848" s="14"/>
      <c r="K848" s="15"/>
      <c r="L848" s="15" t="s">
        <v>63</v>
      </c>
      <c r="M848" s="15"/>
      <c r="N848" s="92"/>
      <c r="P848" s="15" t="s">
        <v>660</v>
      </c>
    </row>
    <row r="849" spans="1:16">
      <c r="A849" s="15" t="s">
        <v>53</v>
      </c>
      <c r="B849" s="15" t="s">
        <v>30</v>
      </c>
      <c r="C849" s="15" t="s">
        <v>107</v>
      </c>
      <c r="D849" s="15" t="s">
        <v>12</v>
      </c>
      <c r="E849" s="14" t="s">
        <v>109</v>
      </c>
      <c r="F849" s="14">
        <v>901847</v>
      </c>
      <c r="G849" s="15" t="s">
        <v>241</v>
      </c>
      <c r="H849" s="14"/>
      <c r="I849" s="15"/>
      <c r="J849" s="14"/>
      <c r="K849" s="15"/>
      <c r="L849" s="15" t="s">
        <v>63</v>
      </c>
      <c r="M849" s="15"/>
      <c r="N849" s="92"/>
      <c r="P849" s="15" t="s">
        <v>660</v>
      </c>
    </row>
    <row r="850" spans="1:16">
      <c r="A850" s="15" t="s">
        <v>53</v>
      </c>
      <c r="B850" s="95" t="s">
        <v>34</v>
      </c>
      <c r="C850" s="15" t="s">
        <v>107</v>
      </c>
      <c r="D850" s="15" t="s">
        <v>12</v>
      </c>
      <c r="E850" s="94" t="s">
        <v>99</v>
      </c>
      <c r="F850" s="94">
        <v>901848</v>
      </c>
      <c r="G850" s="95" t="s">
        <v>166</v>
      </c>
      <c r="H850" s="14"/>
      <c r="I850" s="15"/>
      <c r="J850" s="14"/>
      <c r="K850" s="15"/>
      <c r="L850" s="15" t="s">
        <v>63</v>
      </c>
      <c r="M850" s="15"/>
      <c r="N850" s="92"/>
      <c r="P850" s="15" t="s">
        <v>660</v>
      </c>
    </row>
    <row r="851" spans="1:16">
      <c r="A851" s="15" t="s">
        <v>53</v>
      </c>
      <c r="B851" s="15" t="s">
        <v>34</v>
      </c>
      <c r="C851" s="15" t="s">
        <v>107</v>
      </c>
      <c r="D851" s="15" t="s">
        <v>12</v>
      </c>
      <c r="E851" s="14" t="s">
        <v>109</v>
      </c>
      <c r="F851" s="14">
        <v>901849</v>
      </c>
      <c r="G851" s="15" t="s">
        <v>148</v>
      </c>
      <c r="H851" s="14"/>
      <c r="I851" s="15"/>
      <c r="J851" s="14"/>
      <c r="K851" s="15"/>
      <c r="L851" s="15" t="s">
        <v>63</v>
      </c>
      <c r="M851" s="15"/>
      <c r="N851" s="92"/>
      <c r="P851" s="15" t="s">
        <v>660</v>
      </c>
    </row>
    <row r="852" spans="1:16">
      <c r="A852" s="15" t="s">
        <v>53</v>
      </c>
      <c r="B852" s="15" t="s">
        <v>34</v>
      </c>
      <c r="C852" s="15" t="s">
        <v>107</v>
      </c>
      <c r="D852" s="15" t="s">
        <v>12</v>
      </c>
      <c r="E852" s="14" t="s">
        <v>109</v>
      </c>
      <c r="F852" s="14">
        <v>901850</v>
      </c>
      <c r="G852" s="15" t="s">
        <v>148</v>
      </c>
      <c r="H852" s="14"/>
      <c r="I852" s="15"/>
      <c r="J852" s="14"/>
      <c r="K852" s="15"/>
      <c r="L852" s="15" t="s">
        <v>63</v>
      </c>
      <c r="M852" s="15"/>
      <c r="N852" s="92"/>
      <c r="P852" s="15" t="s">
        <v>660</v>
      </c>
    </row>
    <row r="853" spans="1:16">
      <c r="A853" s="15" t="s">
        <v>53</v>
      </c>
      <c r="B853" s="15" t="s">
        <v>33</v>
      </c>
      <c r="C853" s="15" t="s">
        <v>107</v>
      </c>
      <c r="D853" s="15" t="s">
        <v>12</v>
      </c>
      <c r="E853" s="14" t="s">
        <v>56</v>
      </c>
      <c r="F853" s="14">
        <v>901851</v>
      </c>
      <c r="G853" s="15" t="s">
        <v>153</v>
      </c>
      <c r="H853" s="14"/>
      <c r="I853" s="15"/>
      <c r="J853" s="14"/>
      <c r="K853" s="15"/>
      <c r="L853" s="15" t="s">
        <v>63</v>
      </c>
      <c r="M853" s="15"/>
      <c r="N853" s="92"/>
      <c r="P853" s="15" t="s">
        <v>660</v>
      </c>
    </row>
    <row r="854" spans="1:16">
      <c r="A854" s="15" t="s">
        <v>53</v>
      </c>
      <c r="B854" s="15" t="s">
        <v>34</v>
      </c>
      <c r="C854" s="15" t="s">
        <v>107</v>
      </c>
      <c r="D854" s="15" t="s">
        <v>12</v>
      </c>
      <c r="E854" s="14" t="s">
        <v>109</v>
      </c>
      <c r="F854" s="14">
        <v>901852</v>
      </c>
      <c r="G854" s="15" t="s">
        <v>241</v>
      </c>
      <c r="H854" s="14"/>
      <c r="I854" s="15"/>
      <c r="J854" s="14"/>
      <c r="K854" s="15"/>
      <c r="L854" s="15" t="s">
        <v>63</v>
      </c>
      <c r="M854" s="15"/>
      <c r="N854" s="92"/>
      <c r="P854" s="15" t="s">
        <v>660</v>
      </c>
    </row>
    <row r="855" spans="1:16">
      <c r="A855" s="15" t="s">
        <v>53</v>
      </c>
      <c r="B855" s="15" t="s">
        <v>34</v>
      </c>
      <c r="C855" s="15" t="s">
        <v>107</v>
      </c>
      <c r="D855" s="15" t="s">
        <v>12</v>
      </c>
      <c r="E855" s="14" t="s">
        <v>109</v>
      </c>
      <c r="F855" s="14">
        <v>901853</v>
      </c>
      <c r="G855" s="15" t="s">
        <v>241</v>
      </c>
      <c r="H855" s="14"/>
      <c r="I855" s="15"/>
      <c r="J855" s="14"/>
      <c r="K855" s="15"/>
      <c r="L855" s="15" t="s">
        <v>63</v>
      </c>
      <c r="M855" s="15"/>
      <c r="N855" s="92"/>
      <c r="P855" s="15" t="s">
        <v>660</v>
      </c>
    </row>
    <row r="856" spans="1:16">
      <c r="A856" s="15" t="s">
        <v>53</v>
      </c>
      <c r="B856" s="15" t="s">
        <v>34</v>
      </c>
      <c r="C856" s="15" t="s">
        <v>107</v>
      </c>
      <c r="D856" s="15" t="s">
        <v>12</v>
      </c>
      <c r="E856" s="14" t="s">
        <v>109</v>
      </c>
      <c r="F856" s="14">
        <v>901854</v>
      </c>
      <c r="G856" s="15" t="s">
        <v>151</v>
      </c>
      <c r="H856" s="14"/>
      <c r="I856" s="15"/>
      <c r="J856" s="14"/>
      <c r="K856" s="15"/>
      <c r="L856" s="15" t="s">
        <v>63</v>
      </c>
      <c r="M856" s="15"/>
      <c r="N856" s="92"/>
      <c r="P856" s="15" t="s">
        <v>660</v>
      </c>
    </row>
    <row r="857" spans="1:16">
      <c r="A857" s="15" t="s">
        <v>53</v>
      </c>
      <c r="B857" s="15" t="s">
        <v>34</v>
      </c>
      <c r="C857" s="15" t="s">
        <v>107</v>
      </c>
      <c r="D857" s="15" t="s">
        <v>12</v>
      </c>
      <c r="E857" s="14" t="s">
        <v>109</v>
      </c>
      <c r="F857" s="14">
        <v>901855</v>
      </c>
      <c r="G857" s="15" t="s">
        <v>151</v>
      </c>
      <c r="H857" s="14"/>
      <c r="I857" s="15"/>
      <c r="J857" s="14"/>
      <c r="K857" s="15"/>
      <c r="L857" s="15" t="s">
        <v>63</v>
      </c>
      <c r="M857" s="15"/>
      <c r="N857" s="92"/>
      <c r="P857" s="15" t="s">
        <v>660</v>
      </c>
    </row>
    <row r="858" spans="1:16">
      <c r="A858" s="15" t="s">
        <v>53</v>
      </c>
      <c r="B858" s="15" t="s">
        <v>34</v>
      </c>
      <c r="C858" s="15" t="s">
        <v>107</v>
      </c>
      <c r="D858" s="15" t="s">
        <v>12</v>
      </c>
      <c r="E858" s="14" t="s">
        <v>109</v>
      </c>
      <c r="F858" s="14">
        <v>901856</v>
      </c>
      <c r="G858" s="15" t="s">
        <v>151</v>
      </c>
      <c r="H858" s="14"/>
      <c r="I858" s="15"/>
      <c r="J858" s="14"/>
      <c r="K858" s="15"/>
      <c r="L858" s="15" t="s">
        <v>63</v>
      </c>
      <c r="M858" s="15"/>
      <c r="N858" s="92"/>
      <c r="P858" s="15" t="s">
        <v>660</v>
      </c>
    </row>
    <row r="859" spans="1:16">
      <c r="A859" s="15" t="s">
        <v>53</v>
      </c>
      <c r="B859" s="15" t="s">
        <v>34</v>
      </c>
      <c r="C859" s="15" t="s">
        <v>107</v>
      </c>
      <c r="D859" s="15" t="s">
        <v>12</v>
      </c>
      <c r="E859" s="14" t="s">
        <v>109</v>
      </c>
      <c r="F859" s="14">
        <v>901857</v>
      </c>
      <c r="G859" s="15" t="s">
        <v>243</v>
      </c>
      <c r="H859" s="14"/>
      <c r="I859" s="15"/>
      <c r="J859" s="14"/>
      <c r="K859" s="15"/>
      <c r="L859" s="15" t="s">
        <v>63</v>
      </c>
      <c r="M859" s="15"/>
      <c r="N859" s="92"/>
      <c r="P859" s="15" t="s">
        <v>660</v>
      </c>
    </row>
    <row r="860" spans="1:16">
      <c r="A860" s="15" t="s">
        <v>53</v>
      </c>
      <c r="B860" s="15" t="s">
        <v>34</v>
      </c>
      <c r="C860" s="15" t="s">
        <v>107</v>
      </c>
      <c r="D860" s="15" t="s">
        <v>12</v>
      </c>
      <c r="E860" s="14" t="s">
        <v>109</v>
      </c>
      <c r="F860" s="14">
        <v>901858</v>
      </c>
      <c r="G860" s="15" t="s">
        <v>243</v>
      </c>
      <c r="H860" s="14"/>
      <c r="I860" s="15"/>
      <c r="J860" s="14"/>
      <c r="K860" s="15"/>
      <c r="L860" s="15" t="s">
        <v>63</v>
      </c>
      <c r="M860" s="15"/>
      <c r="N860" s="92"/>
      <c r="P860" s="15" t="s">
        <v>660</v>
      </c>
    </row>
    <row r="861" spans="1:16">
      <c r="A861" s="15" t="s">
        <v>53</v>
      </c>
      <c r="B861" s="15" t="s">
        <v>34</v>
      </c>
      <c r="C861" s="15" t="s">
        <v>107</v>
      </c>
      <c r="D861" s="15" t="s">
        <v>12</v>
      </c>
      <c r="E861" s="14" t="s">
        <v>56</v>
      </c>
      <c r="F861" s="14">
        <v>901859</v>
      </c>
      <c r="G861" s="15" t="s">
        <v>153</v>
      </c>
      <c r="H861" s="14"/>
      <c r="I861" s="15"/>
      <c r="J861" s="14"/>
      <c r="K861" s="15"/>
      <c r="L861" s="15" t="s">
        <v>63</v>
      </c>
      <c r="M861" s="15"/>
      <c r="N861" s="92"/>
      <c r="P861" s="15" t="s">
        <v>660</v>
      </c>
    </row>
    <row r="862" spans="1:16">
      <c r="A862" s="15" t="s">
        <v>53</v>
      </c>
      <c r="B862" s="15" t="s">
        <v>34</v>
      </c>
      <c r="C862" s="15" t="s">
        <v>107</v>
      </c>
      <c r="D862" s="15" t="s">
        <v>12</v>
      </c>
      <c r="E862" s="14" t="s">
        <v>56</v>
      </c>
      <c r="F862" s="14">
        <v>901860</v>
      </c>
      <c r="G862" s="15" t="s">
        <v>153</v>
      </c>
      <c r="H862" s="14"/>
      <c r="I862" s="15"/>
      <c r="J862" s="14"/>
      <c r="K862" s="15"/>
      <c r="L862" s="15" t="s">
        <v>63</v>
      </c>
      <c r="M862" s="15"/>
      <c r="N862" s="92"/>
      <c r="P862" s="15" t="s">
        <v>660</v>
      </c>
    </row>
    <row r="863" spans="1:16">
      <c r="A863" s="15" t="s">
        <v>53</v>
      </c>
      <c r="B863" s="15" t="s">
        <v>34</v>
      </c>
      <c r="C863" s="15" t="s">
        <v>107</v>
      </c>
      <c r="D863" s="15" t="s">
        <v>12</v>
      </c>
      <c r="E863" s="14" t="s">
        <v>56</v>
      </c>
      <c r="F863" s="14">
        <v>901861</v>
      </c>
      <c r="G863" s="15" t="s">
        <v>137</v>
      </c>
      <c r="H863" s="14"/>
      <c r="I863" s="15"/>
      <c r="J863" s="14"/>
      <c r="K863" s="15"/>
      <c r="L863" s="15" t="s">
        <v>63</v>
      </c>
      <c r="M863" s="15"/>
      <c r="N863" s="92"/>
      <c r="P863" s="15" t="s">
        <v>660</v>
      </c>
    </row>
    <row r="864" spans="1:16">
      <c r="A864" s="15" t="s">
        <v>53</v>
      </c>
      <c r="B864" s="15" t="s">
        <v>34</v>
      </c>
      <c r="C864" s="15" t="s">
        <v>107</v>
      </c>
      <c r="D864" s="15" t="s">
        <v>12</v>
      </c>
      <c r="E864" s="14" t="s">
        <v>56</v>
      </c>
      <c r="F864" s="14">
        <v>901862</v>
      </c>
      <c r="G864" s="15" t="s">
        <v>137</v>
      </c>
      <c r="H864" s="14"/>
      <c r="I864" s="15"/>
      <c r="J864" s="14"/>
      <c r="K864" s="15"/>
      <c r="L864" s="15" t="s">
        <v>63</v>
      </c>
      <c r="M864" s="15"/>
      <c r="N864" s="92"/>
      <c r="P864" s="15" t="s">
        <v>660</v>
      </c>
    </row>
    <row r="865" spans="1:16">
      <c r="A865" s="15" t="s">
        <v>53</v>
      </c>
      <c r="B865" s="15" t="s">
        <v>29</v>
      </c>
      <c r="C865" s="15" t="s">
        <v>107</v>
      </c>
      <c r="D865" s="15" t="s">
        <v>12</v>
      </c>
      <c r="E865" s="14" t="s">
        <v>56</v>
      </c>
      <c r="F865" s="14">
        <v>901863</v>
      </c>
      <c r="G865" s="15" t="s">
        <v>141</v>
      </c>
      <c r="H865" s="14"/>
      <c r="I865" s="15"/>
      <c r="J865" s="14"/>
      <c r="K865" s="15"/>
      <c r="L865" s="15" t="s">
        <v>63</v>
      </c>
      <c r="M865" s="15"/>
      <c r="N865" s="92"/>
      <c r="P865" s="15" t="s">
        <v>660</v>
      </c>
    </row>
    <row r="866" spans="1:16">
      <c r="A866" s="15" t="s">
        <v>53</v>
      </c>
      <c r="B866" s="15" t="s">
        <v>29</v>
      </c>
      <c r="C866" s="15" t="s">
        <v>107</v>
      </c>
      <c r="D866" s="15" t="s">
        <v>12</v>
      </c>
      <c r="E866" s="14" t="s">
        <v>56</v>
      </c>
      <c r="F866" s="14">
        <v>901864</v>
      </c>
      <c r="G866" s="15" t="s">
        <v>141</v>
      </c>
      <c r="H866" s="14"/>
      <c r="I866" s="15"/>
      <c r="J866" s="14"/>
      <c r="K866" s="15"/>
      <c r="L866" s="15" t="s">
        <v>63</v>
      </c>
      <c r="M866" s="15"/>
      <c r="N866" s="92"/>
      <c r="P866" s="15" t="s">
        <v>660</v>
      </c>
    </row>
    <row r="867" spans="1:16">
      <c r="A867" s="15" t="s">
        <v>53</v>
      </c>
      <c r="B867" s="15" t="s">
        <v>30</v>
      </c>
      <c r="C867" s="15" t="s">
        <v>107</v>
      </c>
      <c r="D867" s="15" t="s">
        <v>12</v>
      </c>
      <c r="E867" s="14" t="s">
        <v>109</v>
      </c>
      <c r="F867" s="14">
        <v>901865</v>
      </c>
      <c r="G867" s="15" t="s">
        <v>241</v>
      </c>
      <c r="H867" s="14"/>
      <c r="I867" s="15"/>
      <c r="J867" s="14"/>
      <c r="K867" s="15"/>
      <c r="L867" s="15" t="s">
        <v>63</v>
      </c>
      <c r="M867" s="15"/>
      <c r="N867" s="92"/>
      <c r="P867" s="15" t="s">
        <v>660</v>
      </c>
    </row>
    <row r="868" spans="1:16">
      <c r="A868" s="15" t="s">
        <v>53</v>
      </c>
      <c r="B868" s="15" t="s">
        <v>32</v>
      </c>
      <c r="C868" s="15" t="s">
        <v>107</v>
      </c>
      <c r="D868" s="15" t="s">
        <v>12</v>
      </c>
      <c r="E868" s="14" t="s">
        <v>128</v>
      </c>
      <c r="F868" s="14">
        <v>901866</v>
      </c>
      <c r="G868" s="15" t="s">
        <v>230</v>
      </c>
      <c r="H868" s="14"/>
      <c r="I868" s="15"/>
      <c r="J868" s="14"/>
      <c r="K868" s="15"/>
      <c r="L868" s="15" t="s">
        <v>63</v>
      </c>
      <c r="M868" s="15"/>
      <c r="N868" s="92"/>
      <c r="P868" s="14" t="s">
        <v>681</v>
      </c>
    </row>
    <row r="869" spans="1:16">
      <c r="A869" s="15" t="s">
        <v>53</v>
      </c>
      <c r="B869" s="15" t="s">
        <v>29</v>
      </c>
      <c r="C869" s="15" t="s">
        <v>107</v>
      </c>
      <c r="D869" s="15" t="s">
        <v>12</v>
      </c>
      <c r="E869" s="14" t="s">
        <v>128</v>
      </c>
      <c r="F869" s="14">
        <v>901867</v>
      </c>
      <c r="G869" s="15" t="s">
        <v>230</v>
      </c>
      <c r="H869" s="14"/>
      <c r="I869" s="15"/>
      <c r="J869" s="14"/>
      <c r="K869" s="15"/>
      <c r="L869" s="15" t="s">
        <v>63</v>
      </c>
      <c r="M869" s="15"/>
      <c r="N869" s="92"/>
      <c r="P869" s="14" t="s">
        <v>681</v>
      </c>
    </row>
    <row r="870" spans="1:16">
      <c r="A870" s="15" t="s">
        <v>53</v>
      </c>
      <c r="B870" s="15" t="s">
        <v>33</v>
      </c>
      <c r="C870" s="15" t="s">
        <v>107</v>
      </c>
      <c r="D870" s="15" t="s">
        <v>12</v>
      </c>
      <c r="E870" s="14" t="s">
        <v>128</v>
      </c>
      <c r="F870" s="14">
        <v>901868</v>
      </c>
      <c r="G870" s="15" t="s">
        <v>230</v>
      </c>
      <c r="H870" s="14"/>
      <c r="I870" s="15"/>
      <c r="J870" s="14"/>
      <c r="K870" s="15"/>
      <c r="L870" s="15" t="s">
        <v>63</v>
      </c>
      <c r="M870" s="15"/>
      <c r="N870" s="92"/>
      <c r="P870" s="14" t="s">
        <v>681</v>
      </c>
    </row>
    <row r="871" spans="1:16">
      <c r="A871" s="15" t="s">
        <v>53</v>
      </c>
      <c r="B871" s="15" t="s">
        <v>32</v>
      </c>
      <c r="C871" s="15" t="s">
        <v>107</v>
      </c>
      <c r="D871" s="15" t="s">
        <v>12</v>
      </c>
      <c r="E871" s="14" t="s">
        <v>109</v>
      </c>
      <c r="F871" s="14">
        <v>901869</v>
      </c>
      <c r="G871" s="15" t="s">
        <v>142</v>
      </c>
      <c r="H871" s="14"/>
      <c r="I871" s="15"/>
      <c r="J871" s="14"/>
      <c r="K871" s="15"/>
      <c r="L871" s="15" t="s">
        <v>63</v>
      </c>
      <c r="M871" s="15"/>
      <c r="N871" s="92"/>
      <c r="P871" s="15" t="s">
        <v>660</v>
      </c>
    </row>
    <row r="872" spans="1:16">
      <c r="A872" s="15" t="s">
        <v>53</v>
      </c>
      <c r="B872" s="15" t="s">
        <v>32</v>
      </c>
      <c r="C872" s="15" t="s">
        <v>107</v>
      </c>
      <c r="D872" s="15" t="s">
        <v>12</v>
      </c>
      <c r="E872" s="14" t="s">
        <v>109</v>
      </c>
      <c r="F872" s="14">
        <v>901870</v>
      </c>
      <c r="G872" s="15" t="s">
        <v>241</v>
      </c>
      <c r="H872" s="14"/>
      <c r="I872" s="15"/>
      <c r="J872" s="14"/>
      <c r="K872" s="15"/>
      <c r="L872" s="15" t="s">
        <v>63</v>
      </c>
      <c r="M872" s="15"/>
      <c r="N872" s="92"/>
      <c r="P872" s="15" t="s">
        <v>660</v>
      </c>
    </row>
    <row r="873" spans="1:16">
      <c r="A873" s="15" t="s">
        <v>53</v>
      </c>
      <c r="B873" s="15" t="s">
        <v>32</v>
      </c>
      <c r="C873" s="15" t="s">
        <v>107</v>
      </c>
      <c r="D873" s="15" t="s">
        <v>12</v>
      </c>
      <c r="E873" s="14" t="s">
        <v>109</v>
      </c>
      <c r="F873" s="14">
        <v>901871</v>
      </c>
      <c r="G873" s="15" t="s">
        <v>241</v>
      </c>
      <c r="H873" s="14"/>
      <c r="I873" s="15"/>
      <c r="J873" s="14"/>
      <c r="K873" s="15"/>
      <c r="L873" s="15" t="s">
        <v>63</v>
      </c>
      <c r="M873" s="15"/>
      <c r="N873" s="92"/>
      <c r="P873" s="15" t="s">
        <v>660</v>
      </c>
    </row>
    <row r="874" spans="1:16">
      <c r="A874" s="15" t="s">
        <v>53</v>
      </c>
      <c r="B874" s="15" t="s">
        <v>32</v>
      </c>
      <c r="C874" s="15" t="s">
        <v>107</v>
      </c>
      <c r="D874" s="15" t="s">
        <v>12</v>
      </c>
      <c r="E874" s="14" t="s">
        <v>109</v>
      </c>
      <c r="F874" s="14">
        <v>901872</v>
      </c>
      <c r="G874" s="15" t="s">
        <v>241</v>
      </c>
      <c r="H874" s="14"/>
      <c r="I874" s="15"/>
      <c r="J874" s="14"/>
      <c r="K874" s="15"/>
      <c r="L874" s="15" t="s">
        <v>63</v>
      </c>
      <c r="M874" s="15"/>
      <c r="N874" s="92"/>
      <c r="P874" s="15" t="s">
        <v>660</v>
      </c>
    </row>
    <row r="875" spans="1:16">
      <c r="A875" s="15" t="s">
        <v>53</v>
      </c>
      <c r="B875" s="15" t="s">
        <v>32</v>
      </c>
      <c r="C875" s="15" t="s">
        <v>107</v>
      </c>
      <c r="D875" s="15" t="s">
        <v>12</v>
      </c>
      <c r="E875" s="14" t="s">
        <v>109</v>
      </c>
      <c r="F875" s="14">
        <v>901873</v>
      </c>
      <c r="G875" s="15" t="s">
        <v>241</v>
      </c>
      <c r="H875" s="14"/>
      <c r="I875" s="15"/>
      <c r="J875" s="14"/>
      <c r="K875" s="15"/>
      <c r="L875" s="15" t="s">
        <v>63</v>
      </c>
      <c r="M875" s="15"/>
      <c r="N875" s="92"/>
      <c r="P875" s="15" t="s">
        <v>660</v>
      </c>
    </row>
    <row r="876" spans="1:16">
      <c r="A876" s="15" t="s">
        <v>53</v>
      </c>
      <c r="B876" s="15" t="s">
        <v>33</v>
      </c>
      <c r="C876" s="15" t="s">
        <v>107</v>
      </c>
      <c r="D876" s="15" t="s">
        <v>12</v>
      </c>
      <c r="E876" s="14" t="s">
        <v>109</v>
      </c>
      <c r="F876" s="14">
        <v>901874</v>
      </c>
      <c r="G876" s="15" t="s">
        <v>243</v>
      </c>
      <c r="H876" s="14"/>
      <c r="I876" s="15"/>
      <c r="J876" s="14"/>
      <c r="K876" s="15"/>
      <c r="L876" s="15" t="s">
        <v>63</v>
      </c>
      <c r="M876" s="15"/>
      <c r="N876" s="92"/>
      <c r="P876" s="15" t="s">
        <v>660</v>
      </c>
    </row>
    <row r="877" spans="1:16">
      <c r="A877" s="15" t="s">
        <v>53</v>
      </c>
      <c r="B877" s="15" t="s">
        <v>33</v>
      </c>
      <c r="C877" s="15" t="s">
        <v>107</v>
      </c>
      <c r="D877" s="15" t="s">
        <v>12</v>
      </c>
      <c r="E877" s="14" t="s">
        <v>109</v>
      </c>
      <c r="F877" s="14">
        <v>901875</v>
      </c>
      <c r="G877" s="15" t="s">
        <v>243</v>
      </c>
      <c r="H877" s="14"/>
      <c r="I877" s="15"/>
      <c r="J877" s="14"/>
      <c r="K877" s="15"/>
      <c r="L877" s="15" t="s">
        <v>63</v>
      </c>
      <c r="M877" s="15"/>
      <c r="N877" s="92"/>
      <c r="P877" s="15" t="s">
        <v>660</v>
      </c>
    </row>
    <row r="878" spans="1:16">
      <c r="A878" s="15" t="s">
        <v>53</v>
      </c>
      <c r="B878" s="15" t="s">
        <v>33</v>
      </c>
      <c r="C878" s="15" t="s">
        <v>107</v>
      </c>
      <c r="D878" s="15" t="s">
        <v>12</v>
      </c>
      <c r="E878" s="14" t="s">
        <v>109</v>
      </c>
      <c r="F878" s="14">
        <v>901876</v>
      </c>
      <c r="G878" s="15" t="s">
        <v>243</v>
      </c>
      <c r="H878" s="14"/>
      <c r="I878" s="15"/>
      <c r="J878" s="14"/>
      <c r="K878" s="15"/>
      <c r="L878" s="15" t="s">
        <v>63</v>
      </c>
      <c r="M878" s="15"/>
      <c r="N878" s="92"/>
      <c r="P878" s="15" t="s">
        <v>660</v>
      </c>
    </row>
    <row r="879" spans="1:16">
      <c r="A879" s="15" t="s">
        <v>53</v>
      </c>
      <c r="B879" s="15" t="s">
        <v>30</v>
      </c>
      <c r="C879" s="15" t="s">
        <v>107</v>
      </c>
      <c r="D879" s="15" t="s">
        <v>12</v>
      </c>
      <c r="E879" s="14" t="s">
        <v>109</v>
      </c>
      <c r="F879" s="14">
        <v>901877</v>
      </c>
      <c r="G879" s="15" t="s">
        <v>241</v>
      </c>
      <c r="H879" s="14"/>
      <c r="I879" s="15"/>
      <c r="J879" s="14"/>
      <c r="K879" s="15"/>
      <c r="L879" s="15" t="s">
        <v>63</v>
      </c>
      <c r="M879" s="15"/>
      <c r="N879" s="92"/>
      <c r="P879" s="15" t="s">
        <v>660</v>
      </c>
    </row>
    <row r="880" spans="1:16">
      <c r="A880" s="15" t="s">
        <v>53</v>
      </c>
      <c r="B880" s="15" t="s">
        <v>30</v>
      </c>
      <c r="C880" s="15" t="s">
        <v>107</v>
      </c>
      <c r="D880" s="15" t="s">
        <v>12</v>
      </c>
      <c r="E880" s="14" t="s">
        <v>109</v>
      </c>
      <c r="F880" s="14">
        <v>901878</v>
      </c>
      <c r="G880" s="15" t="s">
        <v>241</v>
      </c>
      <c r="H880" s="14"/>
      <c r="I880" s="15"/>
      <c r="J880" s="14"/>
      <c r="K880" s="15"/>
      <c r="L880" s="15" t="s">
        <v>63</v>
      </c>
      <c r="M880" s="15"/>
      <c r="N880" s="92"/>
      <c r="P880" s="15" t="s">
        <v>660</v>
      </c>
    </row>
    <row r="881" spans="1:16">
      <c r="A881" s="15" t="s">
        <v>53</v>
      </c>
      <c r="B881" s="15" t="s">
        <v>30</v>
      </c>
      <c r="C881" s="15" t="s">
        <v>107</v>
      </c>
      <c r="D881" s="15" t="s">
        <v>12</v>
      </c>
      <c r="E881" s="14" t="s">
        <v>109</v>
      </c>
      <c r="F881" s="14">
        <v>901879</v>
      </c>
      <c r="G881" s="15" t="s">
        <v>241</v>
      </c>
      <c r="H881" s="14"/>
      <c r="I881" s="15"/>
      <c r="J881" s="14"/>
      <c r="K881" s="15"/>
      <c r="L881" s="15" t="s">
        <v>63</v>
      </c>
      <c r="M881" s="15"/>
      <c r="N881" s="92"/>
      <c r="P881" s="15" t="s">
        <v>660</v>
      </c>
    </row>
    <row r="882" spans="1:16">
      <c r="A882" s="15" t="s">
        <v>53</v>
      </c>
      <c r="B882" s="15" t="s">
        <v>31</v>
      </c>
      <c r="C882" s="15" t="s">
        <v>107</v>
      </c>
      <c r="D882" s="15" t="s">
        <v>12</v>
      </c>
      <c r="E882" s="14" t="s">
        <v>109</v>
      </c>
      <c r="F882" s="14">
        <v>901880</v>
      </c>
      <c r="G882" s="15" t="s">
        <v>243</v>
      </c>
      <c r="H882" s="14"/>
      <c r="I882" s="15"/>
      <c r="J882" s="14"/>
      <c r="K882" s="15"/>
      <c r="L882" s="15" t="s">
        <v>63</v>
      </c>
      <c r="M882" s="15"/>
      <c r="N882" s="92"/>
      <c r="P882" s="15" t="s">
        <v>660</v>
      </c>
    </row>
    <row r="883" spans="1:16">
      <c r="A883" s="15" t="s">
        <v>53</v>
      </c>
      <c r="B883" s="15" t="s">
        <v>31</v>
      </c>
      <c r="C883" s="15" t="s">
        <v>107</v>
      </c>
      <c r="D883" s="15" t="s">
        <v>12</v>
      </c>
      <c r="E883" s="14" t="s">
        <v>109</v>
      </c>
      <c r="F883" s="14">
        <v>901881</v>
      </c>
      <c r="G883" s="15" t="s">
        <v>243</v>
      </c>
      <c r="H883" s="14"/>
      <c r="I883" s="15"/>
      <c r="J883" s="14"/>
      <c r="K883" s="15"/>
      <c r="L883" s="15" t="s">
        <v>63</v>
      </c>
      <c r="M883" s="15"/>
      <c r="N883" s="92"/>
      <c r="P883" s="15" t="s">
        <v>660</v>
      </c>
    </row>
    <row r="884" spans="1:16">
      <c r="A884" s="15" t="s">
        <v>53</v>
      </c>
      <c r="B884" s="15" t="s">
        <v>31</v>
      </c>
      <c r="C884" s="15" t="s">
        <v>107</v>
      </c>
      <c r="D884" s="15" t="s">
        <v>12</v>
      </c>
      <c r="E884" s="14" t="s">
        <v>109</v>
      </c>
      <c r="F884" s="14">
        <v>901882</v>
      </c>
      <c r="G884" s="15" t="s">
        <v>243</v>
      </c>
      <c r="H884" s="14"/>
      <c r="I884" s="15"/>
      <c r="J884" s="14"/>
      <c r="K884" s="15"/>
      <c r="L884" s="15" t="s">
        <v>63</v>
      </c>
      <c r="M884" s="15"/>
      <c r="N884" s="92"/>
      <c r="P884" s="15" t="s">
        <v>660</v>
      </c>
    </row>
    <row r="885" spans="1:16">
      <c r="A885" s="15" t="s">
        <v>53</v>
      </c>
      <c r="B885" s="15" t="s">
        <v>31</v>
      </c>
      <c r="C885" s="15" t="s">
        <v>107</v>
      </c>
      <c r="D885" s="15" t="s">
        <v>12</v>
      </c>
      <c r="E885" s="14" t="s">
        <v>109</v>
      </c>
      <c r="F885" s="14">
        <v>901883</v>
      </c>
      <c r="G885" s="15" t="s">
        <v>148</v>
      </c>
      <c r="H885" s="14"/>
      <c r="I885" s="15"/>
      <c r="J885" s="14"/>
      <c r="K885" s="15"/>
      <c r="L885" s="15" t="s">
        <v>63</v>
      </c>
      <c r="M885" s="15"/>
      <c r="N885" s="92"/>
      <c r="P885" s="15" t="s">
        <v>660</v>
      </c>
    </row>
    <row r="886" spans="1:16">
      <c r="A886" s="15" t="s">
        <v>53</v>
      </c>
      <c r="B886" s="15" t="s">
        <v>34</v>
      </c>
      <c r="C886" s="15" t="s">
        <v>107</v>
      </c>
      <c r="D886" s="15" t="s">
        <v>12</v>
      </c>
      <c r="E886" s="14" t="s">
        <v>56</v>
      </c>
      <c r="F886" s="14">
        <v>901884</v>
      </c>
      <c r="G886" s="15" t="s">
        <v>137</v>
      </c>
      <c r="H886" s="14"/>
      <c r="I886" s="15"/>
      <c r="J886" s="14"/>
      <c r="K886" s="15"/>
      <c r="L886" s="15" t="s">
        <v>63</v>
      </c>
      <c r="M886" s="15"/>
      <c r="N886" s="92"/>
      <c r="P886" s="15" t="s">
        <v>660</v>
      </c>
    </row>
    <row r="887" spans="1:16">
      <c r="A887" s="15" t="s">
        <v>53</v>
      </c>
      <c r="B887" s="15" t="s">
        <v>29</v>
      </c>
      <c r="C887" s="15" t="s">
        <v>107</v>
      </c>
      <c r="D887" s="15" t="s">
        <v>12</v>
      </c>
      <c r="E887" s="14" t="s">
        <v>109</v>
      </c>
      <c r="F887" s="14">
        <v>901885</v>
      </c>
      <c r="G887" s="15" t="s">
        <v>148</v>
      </c>
      <c r="H887" s="14"/>
      <c r="I887" s="15"/>
      <c r="J887" s="14"/>
      <c r="K887" s="15"/>
      <c r="L887" s="15" t="s">
        <v>63</v>
      </c>
      <c r="M887" s="15"/>
      <c r="N887" s="92"/>
      <c r="P887" s="15" t="s">
        <v>660</v>
      </c>
    </row>
    <row r="888" spans="1:16">
      <c r="A888" s="15" t="s">
        <v>53</v>
      </c>
      <c r="B888" s="15" t="s">
        <v>29</v>
      </c>
      <c r="C888" s="15" t="s">
        <v>107</v>
      </c>
      <c r="D888" s="15" t="s">
        <v>12</v>
      </c>
      <c r="E888" s="14" t="s">
        <v>109</v>
      </c>
      <c r="F888" s="14">
        <v>901886</v>
      </c>
      <c r="G888" s="15" t="s">
        <v>148</v>
      </c>
      <c r="H888" s="14"/>
      <c r="I888" s="15"/>
      <c r="J888" s="14"/>
      <c r="K888" s="15"/>
      <c r="L888" s="15" t="s">
        <v>63</v>
      </c>
      <c r="M888" s="15"/>
      <c r="N888" s="92"/>
      <c r="P888" s="15" t="s">
        <v>660</v>
      </c>
    </row>
    <row r="889" spans="1:16">
      <c r="A889" s="15" t="s">
        <v>53</v>
      </c>
      <c r="B889" s="15" t="s">
        <v>29</v>
      </c>
      <c r="C889" s="15" t="s">
        <v>107</v>
      </c>
      <c r="D889" s="15" t="s">
        <v>12</v>
      </c>
      <c r="E889" s="14" t="s">
        <v>109</v>
      </c>
      <c r="F889" s="14">
        <v>901887</v>
      </c>
      <c r="G889" s="15" t="s">
        <v>148</v>
      </c>
      <c r="H889" s="14"/>
      <c r="I889" s="15"/>
      <c r="J889" s="14"/>
      <c r="K889" s="15"/>
      <c r="L889" s="15" t="s">
        <v>63</v>
      </c>
      <c r="M889" s="15"/>
      <c r="N889" s="92"/>
      <c r="P889" s="15" t="s">
        <v>660</v>
      </c>
    </row>
    <row r="890" spans="1:16">
      <c r="A890" s="15" t="s">
        <v>53</v>
      </c>
      <c r="B890" s="15" t="s">
        <v>29</v>
      </c>
      <c r="C890" s="15" t="s">
        <v>107</v>
      </c>
      <c r="D890" s="15" t="s">
        <v>12</v>
      </c>
      <c r="E890" s="14" t="s">
        <v>109</v>
      </c>
      <c r="F890" s="14">
        <v>901888</v>
      </c>
      <c r="G890" s="15" t="s">
        <v>148</v>
      </c>
      <c r="H890" s="14"/>
      <c r="I890" s="15"/>
      <c r="J890" s="14"/>
      <c r="K890" s="15"/>
      <c r="L890" s="15" t="s">
        <v>63</v>
      </c>
      <c r="M890" s="15"/>
      <c r="N890" s="92"/>
      <c r="P890" s="15" t="s">
        <v>660</v>
      </c>
    </row>
    <row r="891" spans="1:16">
      <c r="A891" s="15" t="s">
        <v>53</v>
      </c>
      <c r="B891" s="15" t="s">
        <v>32</v>
      </c>
      <c r="C891" s="15" t="s">
        <v>107</v>
      </c>
      <c r="D891" s="15" t="s">
        <v>12</v>
      </c>
      <c r="E891" s="14" t="s">
        <v>109</v>
      </c>
      <c r="F891" s="14">
        <v>901889</v>
      </c>
      <c r="G891" s="15" t="s">
        <v>151</v>
      </c>
      <c r="H891" s="14"/>
      <c r="I891" s="15"/>
      <c r="J891" s="14"/>
      <c r="K891" s="15"/>
      <c r="L891" s="15" t="s">
        <v>63</v>
      </c>
      <c r="M891" s="15"/>
      <c r="N891" s="92"/>
      <c r="P891" s="15" t="s">
        <v>660</v>
      </c>
    </row>
    <row r="892" spans="1:16">
      <c r="A892" s="15" t="s">
        <v>53</v>
      </c>
      <c r="B892" s="15" t="s">
        <v>32</v>
      </c>
      <c r="C892" s="15" t="s">
        <v>107</v>
      </c>
      <c r="D892" s="15" t="s">
        <v>12</v>
      </c>
      <c r="E892" s="14" t="s">
        <v>109</v>
      </c>
      <c r="F892" s="14">
        <v>901890</v>
      </c>
      <c r="G892" s="15" t="s">
        <v>151</v>
      </c>
      <c r="H892" s="14"/>
      <c r="I892" s="15"/>
      <c r="J892" s="14"/>
      <c r="K892" s="15"/>
      <c r="L892" s="15" t="s">
        <v>63</v>
      </c>
      <c r="M892" s="15"/>
      <c r="N892" s="92"/>
      <c r="P892" s="15" t="s">
        <v>660</v>
      </c>
    </row>
    <row r="893" spans="1:16">
      <c r="A893" s="15" t="s">
        <v>53</v>
      </c>
      <c r="B893" s="15" t="s">
        <v>32</v>
      </c>
      <c r="C893" s="15" t="s">
        <v>107</v>
      </c>
      <c r="D893" s="15" t="s">
        <v>12</v>
      </c>
      <c r="E893" s="14" t="s">
        <v>109</v>
      </c>
      <c r="F893" s="14">
        <v>901891</v>
      </c>
      <c r="G893" s="15" t="s">
        <v>151</v>
      </c>
      <c r="H893" s="14"/>
      <c r="I893" s="15"/>
      <c r="J893" s="14"/>
      <c r="K893" s="15"/>
      <c r="L893" s="15" t="s">
        <v>63</v>
      </c>
      <c r="M893" s="15"/>
      <c r="N893" s="92"/>
      <c r="P893" s="15" t="s">
        <v>660</v>
      </c>
    </row>
    <row r="894" spans="1:16">
      <c r="A894" s="15" t="s">
        <v>53</v>
      </c>
      <c r="B894" s="15" t="s">
        <v>32</v>
      </c>
      <c r="C894" s="15" t="s">
        <v>107</v>
      </c>
      <c r="D894" s="15" t="s">
        <v>12</v>
      </c>
      <c r="E894" s="14" t="s">
        <v>109</v>
      </c>
      <c r="F894" s="14">
        <v>901892</v>
      </c>
      <c r="G894" s="15" t="s">
        <v>151</v>
      </c>
      <c r="H894" s="14"/>
      <c r="I894" s="15"/>
      <c r="J894" s="14"/>
      <c r="K894" s="15"/>
      <c r="L894" s="15" t="s">
        <v>63</v>
      </c>
      <c r="M894" s="15"/>
      <c r="N894" s="92"/>
      <c r="P894" s="15" t="s">
        <v>660</v>
      </c>
    </row>
    <row r="895" spans="1:16">
      <c r="A895" s="15" t="s">
        <v>53</v>
      </c>
      <c r="B895" s="15" t="s">
        <v>31</v>
      </c>
      <c r="C895" s="15" t="s">
        <v>107</v>
      </c>
      <c r="D895" s="15" t="s">
        <v>12</v>
      </c>
      <c r="E895" s="14" t="s">
        <v>109</v>
      </c>
      <c r="F895" s="14">
        <v>901893</v>
      </c>
      <c r="G895" s="15" t="s">
        <v>234</v>
      </c>
      <c r="H895" s="14"/>
      <c r="I895" s="15"/>
      <c r="J895" s="14"/>
      <c r="K895" s="15"/>
      <c r="L895" s="15" t="s">
        <v>63</v>
      </c>
      <c r="M895" s="15"/>
      <c r="N895" s="92"/>
      <c r="P895" s="15" t="s">
        <v>660</v>
      </c>
    </row>
    <row r="896" spans="1:16">
      <c r="A896" s="15" t="s">
        <v>53</v>
      </c>
      <c r="B896" s="15" t="s">
        <v>31</v>
      </c>
      <c r="C896" s="15" t="s">
        <v>107</v>
      </c>
      <c r="D896" s="15" t="s">
        <v>12</v>
      </c>
      <c r="E896" s="14" t="s">
        <v>109</v>
      </c>
      <c r="F896" s="14">
        <v>901894</v>
      </c>
      <c r="G896" s="15" t="s">
        <v>234</v>
      </c>
      <c r="H896" s="14"/>
      <c r="I896" s="15"/>
      <c r="J896" s="14"/>
      <c r="K896" s="15"/>
      <c r="L896" s="15" t="s">
        <v>63</v>
      </c>
      <c r="M896" s="15"/>
      <c r="N896" s="92"/>
      <c r="P896" s="15" t="s">
        <v>660</v>
      </c>
    </row>
    <row r="897" spans="1:16">
      <c r="A897" s="15" t="s">
        <v>53</v>
      </c>
      <c r="B897" s="15" t="s">
        <v>31</v>
      </c>
      <c r="C897" s="15" t="s">
        <v>107</v>
      </c>
      <c r="D897" s="15" t="s">
        <v>12</v>
      </c>
      <c r="E897" s="14" t="s">
        <v>109</v>
      </c>
      <c r="F897" s="14">
        <v>901895</v>
      </c>
      <c r="G897" s="15" t="s">
        <v>148</v>
      </c>
      <c r="H897" s="14"/>
      <c r="I897" s="15"/>
      <c r="J897" s="14"/>
      <c r="K897" s="15"/>
      <c r="L897" s="15" t="s">
        <v>63</v>
      </c>
      <c r="M897" s="15"/>
      <c r="N897" s="92"/>
      <c r="P897" s="15" t="s">
        <v>660</v>
      </c>
    </row>
    <row r="898" spans="1:16">
      <c r="A898" s="15" t="s">
        <v>53</v>
      </c>
      <c r="B898" s="15" t="s">
        <v>31</v>
      </c>
      <c r="C898" s="15" t="s">
        <v>107</v>
      </c>
      <c r="D898" s="15" t="s">
        <v>12</v>
      </c>
      <c r="E898" s="14" t="s">
        <v>109</v>
      </c>
      <c r="F898" s="14">
        <v>901896</v>
      </c>
      <c r="G898" s="15" t="s">
        <v>148</v>
      </c>
      <c r="H898" s="14"/>
      <c r="I898" s="15"/>
      <c r="J898" s="14"/>
      <c r="K898" s="15"/>
      <c r="L898" s="15" t="s">
        <v>63</v>
      </c>
      <c r="M898" s="15"/>
      <c r="N898" s="92"/>
      <c r="P898" s="15" t="s">
        <v>660</v>
      </c>
    </row>
    <row r="899" spans="1:16">
      <c r="A899" s="15" t="s">
        <v>53</v>
      </c>
      <c r="B899" s="15" t="s">
        <v>30</v>
      </c>
      <c r="C899" s="15" t="s">
        <v>107</v>
      </c>
      <c r="D899" s="15" t="s">
        <v>12</v>
      </c>
      <c r="E899" s="14" t="s">
        <v>109</v>
      </c>
      <c r="F899" s="14">
        <v>901897</v>
      </c>
      <c r="G899" s="15" t="s">
        <v>241</v>
      </c>
      <c r="H899" s="14"/>
      <c r="I899" s="15"/>
      <c r="J899" s="14"/>
      <c r="K899" s="15"/>
      <c r="L899" s="15" t="s">
        <v>63</v>
      </c>
      <c r="M899" s="15"/>
      <c r="N899" s="92"/>
      <c r="P899" s="15" t="s">
        <v>660</v>
      </c>
    </row>
    <row r="900" spans="1:16">
      <c r="A900" s="15" t="s">
        <v>53</v>
      </c>
      <c r="B900" s="15" t="s">
        <v>30</v>
      </c>
      <c r="C900" s="15" t="s">
        <v>107</v>
      </c>
      <c r="D900" s="15" t="s">
        <v>12</v>
      </c>
      <c r="E900" s="14" t="s">
        <v>109</v>
      </c>
      <c r="F900" s="14">
        <v>901898</v>
      </c>
      <c r="G900" s="15" t="s">
        <v>241</v>
      </c>
      <c r="H900" s="14"/>
      <c r="I900" s="15"/>
      <c r="J900" s="14"/>
      <c r="K900" s="15"/>
      <c r="L900" s="15" t="s">
        <v>63</v>
      </c>
      <c r="M900" s="15"/>
      <c r="N900" s="92"/>
      <c r="P900" s="15" t="s">
        <v>660</v>
      </c>
    </row>
    <row r="901" spans="1:16">
      <c r="A901" s="15" t="s">
        <v>53</v>
      </c>
      <c r="B901" s="15" t="s">
        <v>30</v>
      </c>
      <c r="C901" s="15" t="s">
        <v>107</v>
      </c>
      <c r="D901" s="15" t="s">
        <v>12</v>
      </c>
      <c r="E901" s="14" t="s">
        <v>109</v>
      </c>
      <c r="F901" s="14">
        <v>901899</v>
      </c>
      <c r="G901" s="15" t="s">
        <v>151</v>
      </c>
      <c r="H901" s="14"/>
      <c r="I901" s="15"/>
      <c r="J901" s="14"/>
      <c r="K901" s="15"/>
      <c r="L901" s="15" t="s">
        <v>63</v>
      </c>
      <c r="M901" s="15"/>
      <c r="N901" s="92"/>
      <c r="P901" s="15" t="s">
        <v>660</v>
      </c>
    </row>
    <row r="902" spans="1:16">
      <c r="A902" s="15" t="s">
        <v>53</v>
      </c>
      <c r="B902" s="15" t="s">
        <v>30</v>
      </c>
      <c r="C902" s="15" t="s">
        <v>107</v>
      </c>
      <c r="D902" s="15" t="s">
        <v>12</v>
      </c>
      <c r="E902" s="14" t="s">
        <v>109</v>
      </c>
      <c r="F902" s="14">
        <v>901900</v>
      </c>
      <c r="G902" s="15" t="s">
        <v>151</v>
      </c>
      <c r="H902" s="14"/>
      <c r="I902" s="15"/>
      <c r="J902" s="14"/>
      <c r="K902" s="15"/>
      <c r="L902" s="15" t="s">
        <v>63</v>
      </c>
      <c r="M902" s="15"/>
      <c r="N902" s="92"/>
      <c r="P902" s="15" t="s">
        <v>660</v>
      </c>
    </row>
    <row r="903" spans="1:16">
      <c r="A903" s="15" t="s">
        <v>53</v>
      </c>
      <c r="B903" s="15" t="s">
        <v>30</v>
      </c>
      <c r="C903" s="15" t="s">
        <v>107</v>
      </c>
      <c r="D903" s="15" t="s">
        <v>12</v>
      </c>
      <c r="E903" s="14" t="s">
        <v>109</v>
      </c>
      <c r="F903" s="14">
        <v>901901</v>
      </c>
      <c r="G903" s="15" t="s">
        <v>151</v>
      </c>
      <c r="H903" s="14"/>
      <c r="I903" s="15"/>
      <c r="J903" s="14"/>
      <c r="K903" s="15"/>
      <c r="L903" s="15" t="s">
        <v>63</v>
      </c>
      <c r="M903" s="15"/>
      <c r="N903" s="92"/>
      <c r="P903" s="15" t="s">
        <v>660</v>
      </c>
    </row>
    <row r="904" spans="1:16">
      <c r="A904" s="15" t="s">
        <v>53</v>
      </c>
      <c r="B904" s="15" t="s">
        <v>30</v>
      </c>
      <c r="C904" s="15" t="s">
        <v>107</v>
      </c>
      <c r="D904" s="15" t="s">
        <v>12</v>
      </c>
      <c r="E904" s="14" t="s">
        <v>109</v>
      </c>
      <c r="F904" s="14">
        <v>901902</v>
      </c>
      <c r="G904" s="15" t="s">
        <v>151</v>
      </c>
      <c r="H904" s="14"/>
      <c r="I904" s="15"/>
      <c r="J904" s="14"/>
      <c r="K904" s="15"/>
      <c r="L904" s="15" t="s">
        <v>63</v>
      </c>
      <c r="M904" s="15"/>
      <c r="N904" s="92"/>
      <c r="P904" s="15" t="s">
        <v>660</v>
      </c>
    </row>
    <row r="905" spans="1:16">
      <c r="A905" s="15" t="s">
        <v>53</v>
      </c>
      <c r="B905" s="15" t="s">
        <v>29</v>
      </c>
      <c r="C905" s="15" t="s">
        <v>107</v>
      </c>
      <c r="D905" s="15" t="s">
        <v>12</v>
      </c>
      <c r="E905" s="14" t="s">
        <v>109</v>
      </c>
      <c r="F905" s="14">
        <v>901903</v>
      </c>
      <c r="G905" s="15" t="s">
        <v>148</v>
      </c>
      <c r="H905" s="14"/>
      <c r="I905" s="15"/>
      <c r="J905" s="14"/>
      <c r="K905" s="15"/>
      <c r="L905" s="15" t="s">
        <v>63</v>
      </c>
      <c r="M905" s="15"/>
      <c r="N905" s="92"/>
      <c r="P905" s="15" t="s">
        <v>660</v>
      </c>
    </row>
    <row r="906" spans="1:16">
      <c r="A906" s="15" t="s">
        <v>53</v>
      </c>
      <c r="B906" s="15" t="s">
        <v>29</v>
      </c>
      <c r="C906" s="15" t="s">
        <v>107</v>
      </c>
      <c r="D906" s="15" t="s">
        <v>12</v>
      </c>
      <c r="E906" s="14" t="s">
        <v>109</v>
      </c>
      <c r="F906" s="14">
        <v>901904</v>
      </c>
      <c r="G906" s="15" t="s">
        <v>148</v>
      </c>
      <c r="H906" s="14"/>
      <c r="I906" s="15"/>
      <c r="J906" s="14"/>
      <c r="K906" s="15"/>
      <c r="L906" s="15" t="s">
        <v>63</v>
      </c>
      <c r="M906" s="15"/>
      <c r="N906" s="92"/>
      <c r="P906" s="15" t="s">
        <v>660</v>
      </c>
    </row>
    <row r="907" spans="1:16">
      <c r="A907" s="15" t="s">
        <v>53</v>
      </c>
      <c r="B907" s="15" t="s">
        <v>29</v>
      </c>
      <c r="C907" s="15" t="s">
        <v>107</v>
      </c>
      <c r="D907" s="15" t="s">
        <v>12</v>
      </c>
      <c r="E907" s="14" t="s">
        <v>109</v>
      </c>
      <c r="F907" s="14">
        <v>901905</v>
      </c>
      <c r="G907" s="15" t="s">
        <v>148</v>
      </c>
      <c r="H907" s="14"/>
      <c r="I907" s="15"/>
      <c r="J907" s="14"/>
      <c r="K907" s="15"/>
      <c r="L907" s="15" t="s">
        <v>63</v>
      </c>
      <c r="M907" s="15"/>
      <c r="N907" s="92"/>
      <c r="P907" s="15" t="s">
        <v>660</v>
      </c>
    </row>
    <row r="908" spans="1:16">
      <c r="A908" s="15" t="s">
        <v>53</v>
      </c>
      <c r="B908" s="15" t="s">
        <v>29</v>
      </c>
      <c r="C908" s="15" t="s">
        <v>107</v>
      </c>
      <c r="D908" s="15" t="s">
        <v>12</v>
      </c>
      <c r="E908" s="14" t="s">
        <v>109</v>
      </c>
      <c r="F908" s="14">
        <v>901906</v>
      </c>
      <c r="G908" s="15" t="s">
        <v>148</v>
      </c>
      <c r="H908" s="14"/>
      <c r="I908" s="15"/>
      <c r="J908" s="14"/>
      <c r="K908" s="15"/>
      <c r="L908" s="15" t="s">
        <v>63</v>
      </c>
      <c r="M908" s="15"/>
      <c r="N908" s="92"/>
      <c r="P908" s="15" t="s">
        <v>660</v>
      </c>
    </row>
    <row r="909" spans="1:16">
      <c r="A909" s="15" t="s">
        <v>53</v>
      </c>
      <c r="B909" s="15" t="s">
        <v>29</v>
      </c>
      <c r="C909" s="15" t="s">
        <v>107</v>
      </c>
      <c r="D909" s="15" t="s">
        <v>12</v>
      </c>
      <c r="E909" s="14" t="s">
        <v>109</v>
      </c>
      <c r="F909" s="14">
        <v>901907</v>
      </c>
      <c r="G909" s="15" t="s">
        <v>241</v>
      </c>
      <c r="H909" s="14"/>
      <c r="I909" s="15"/>
      <c r="J909" s="14"/>
      <c r="K909" s="15"/>
      <c r="L909" s="15" t="s">
        <v>63</v>
      </c>
      <c r="M909" s="15"/>
      <c r="N909" s="92"/>
      <c r="P909" s="15" t="s">
        <v>660</v>
      </c>
    </row>
    <row r="910" spans="1:16">
      <c r="A910" s="15" t="s">
        <v>53</v>
      </c>
      <c r="B910" s="15" t="s">
        <v>33</v>
      </c>
      <c r="C910" s="15" t="s">
        <v>107</v>
      </c>
      <c r="D910" s="15" t="s">
        <v>12</v>
      </c>
      <c r="E910" s="14" t="s">
        <v>109</v>
      </c>
      <c r="F910" s="14">
        <v>901908</v>
      </c>
      <c r="G910" s="15" t="s">
        <v>148</v>
      </c>
      <c r="H910" s="14"/>
      <c r="I910" s="15"/>
      <c r="J910" s="14"/>
      <c r="K910" s="15"/>
      <c r="L910" s="15" t="s">
        <v>63</v>
      </c>
      <c r="M910" s="15"/>
      <c r="N910" s="92"/>
      <c r="P910" s="15" t="s">
        <v>660</v>
      </c>
    </row>
    <row r="911" spans="1:16">
      <c r="A911" s="15" t="s">
        <v>53</v>
      </c>
      <c r="B911" s="15" t="s">
        <v>33</v>
      </c>
      <c r="C911" s="15" t="s">
        <v>107</v>
      </c>
      <c r="D911" s="15" t="s">
        <v>12</v>
      </c>
      <c r="E911" s="14" t="s">
        <v>109</v>
      </c>
      <c r="F911" s="14">
        <v>901909</v>
      </c>
      <c r="G911" s="15" t="s">
        <v>148</v>
      </c>
      <c r="H911" s="14"/>
      <c r="I911" s="15"/>
      <c r="J911" s="14"/>
      <c r="K911" s="15"/>
      <c r="L911" s="15" t="s">
        <v>63</v>
      </c>
      <c r="M911" s="15"/>
      <c r="N911" s="92"/>
      <c r="P911" s="15" t="s">
        <v>660</v>
      </c>
    </row>
    <row r="912" spans="1:16">
      <c r="A912" s="15" t="s">
        <v>53</v>
      </c>
      <c r="B912" s="15" t="s">
        <v>33</v>
      </c>
      <c r="C912" s="15" t="s">
        <v>107</v>
      </c>
      <c r="D912" s="15" t="s">
        <v>12</v>
      </c>
      <c r="E912" s="14" t="s">
        <v>109</v>
      </c>
      <c r="F912" s="14">
        <v>901910</v>
      </c>
      <c r="G912" s="15" t="s">
        <v>148</v>
      </c>
      <c r="H912" s="14"/>
      <c r="I912" s="15"/>
      <c r="J912" s="14"/>
      <c r="K912" s="15"/>
      <c r="L912" s="15" t="s">
        <v>63</v>
      </c>
      <c r="M912" s="15"/>
      <c r="N912" s="92"/>
      <c r="P912" s="15" t="s">
        <v>660</v>
      </c>
    </row>
    <row r="913" spans="1:16">
      <c r="A913" s="15" t="s">
        <v>53</v>
      </c>
      <c r="B913" s="15" t="s">
        <v>33</v>
      </c>
      <c r="C913" s="15" t="s">
        <v>107</v>
      </c>
      <c r="D913" s="15" t="s">
        <v>12</v>
      </c>
      <c r="E913" s="14" t="s">
        <v>109</v>
      </c>
      <c r="F913" s="14">
        <v>901911</v>
      </c>
      <c r="G913" s="15" t="s">
        <v>148</v>
      </c>
      <c r="H913" s="14"/>
      <c r="I913" s="15"/>
      <c r="J913" s="14"/>
      <c r="K913" s="15"/>
      <c r="L913" s="15" t="s">
        <v>63</v>
      </c>
      <c r="M913" s="15"/>
      <c r="N913" s="92"/>
      <c r="P913" s="15" t="s">
        <v>660</v>
      </c>
    </row>
    <row r="914" spans="1:16">
      <c r="A914" s="15" t="s">
        <v>53</v>
      </c>
      <c r="B914" s="15" t="s">
        <v>32</v>
      </c>
      <c r="C914" s="15" t="s">
        <v>107</v>
      </c>
      <c r="D914" s="15" t="s">
        <v>12</v>
      </c>
      <c r="E914" s="14" t="s">
        <v>109</v>
      </c>
      <c r="F914" s="14">
        <v>901912</v>
      </c>
      <c r="G914" s="15" t="s">
        <v>148</v>
      </c>
      <c r="H914" s="14"/>
      <c r="I914" s="15"/>
      <c r="J914" s="14"/>
      <c r="K914" s="15"/>
      <c r="L914" s="15" t="s">
        <v>63</v>
      </c>
      <c r="M914" s="15"/>
      <c r="N914" s="92"/>
      <c r="P914" s="15" t="s">
        <v>660</v>
      </c>
    </row>
    <row r="915" spans="1:16">
      <c r="A915" s="15" t="s">
        <v>53</v>
      </c>
      <c r="B915" s="15" t="s">
        <v>32</v>
      </c>
      <c r="C915" s="15" t="s">
        <v>107</v>
      </c>
      <c r="D915" s="15" t="s">
        <v>12</v>
      </c>
      <c r="E915" s="14" t="s">
        <v>109</v>
      </c>
      <c r="F915" s="14">
        <v>901913</v>
      </c>
      <c r="G915" s="15" t="s">
        <v>148</v>
      </c>
      <c r="H915" s="14"/>
      <c r="I915" s="15"/>
      <c r="J915" s="14"/>
      <c r="K915" s="15"/>
      <c r="L915" s="15" t="s">
        <v>63</v>
      </c>
      <c r="M915" s="15"/>
      <c r="N915" s="92"/>
      <c r="P915" s="15" t="s">
        <v>660</v>
      </c>
    </row>
    <row r="916" spans="1:16">
      <c r="A916" s="15" t="s">
        <v>53</v>
      </c>
      <c r="B916" s="15" t="s">
        <v>32</v>
      </c>
      <c r="C916" s="15" t="s">
        <v>107</v>
      </c>
      <c r="D916" s="15" t="s">
        <v>12</v>
      </c>
      <c r="E916" s="14" t="s">
        <v>109</v>
      </c>
      <c r="F916" s="14">
        <v>901914</v>
      </c>
      <c r="G916" s="15" t="s">
        <v>148</v>
      </c>
      <c r="H916" s="14"/>
      <c r="I916" s="15"/>
      <c r="J916" s="14"/>
      <c r="K916" s="15"/>
      <c r="L916" s="15" t="s">
        <v>63</v>
      </c>
      <c r="M916" s="15"/>
      <c r="N916" s="92"/>
      <c r="P916" s="15" t="s">
        <v>660</v>
      </c>
    </row>
    <row r="917" spans="1:16">
      <c r="A917" s="15" t="s">
        <v>53</v>
      </c>
      <c r="B917" s="15" t="s">
        <v>32</v>
      </c>
      <c r="C917" s="15" t="s">
        <v>107</v>
      </c>
      <c r="D917" s="15" t="s">
        <v>12</v>
      </c>
      <c r="E917" s="14" t="s">
        <v>109</v>
      </c>
      <c r="F917" s="14">
        <v>901915</v>
      </c>
      <c r="G917" s="15" t="s">
        <v>148</v>
      </c>
      <c r="H917" s="14"/>
      <c r="I917" s="15"/>
      <c r="J917" s="14"/>
      <c r="K917" s="15"/>
      <c r="L917" s="15" t="s">
        <v>63</v>
      </c>
      <c r="M917" s="15"/>
      <c r="N917" s="92"/>
      <c r="P917" s="15" t="s">
        <v>660</v>
      </c>
    </row>
    <row r="918" spans="1:16">
      <c r="A918" s="15" t="s">
        <v>53</v>
      </c>
      <c r="B918" s="15" t="s">
        <v>32</v>
      </c>
      <c r="C918" s="15" t="s">
        <v>107</v>
      </c>
      <c r="D918" s="15" t="s">
        <v>12</v>
      </c>
      <c r="E918" s="14" t="s">
        <v>109</v>
      </c>
      <c r="F918" s="14">
        <v>901916</v>
      </c>
      <c r="G918" s="15" t="s">
        <v>151</v>
      </c>
      <c r="H918" s="14"/>
      <c r="I918" s="15"/>
      <c r="J918" s="14"/>
      <c r="K918" s="15"/>
      <c r="L918" s="15" t="s">
        <v>63</v>
      </c>
      <c r="M918" s="15"/>
      <c r="N918" s="92"/>
      <c r="P918" s="15" t="s">
        <v>660</v>
      </c>
    </row>
    <row r="919" spans="1:16">
      <c r="A919" s="15" t="s">
        <v>53</v>
      </c>
      <c r="B919" s="15" t="s">
        <v>32</v>
      </c>
      <c r="C919" s="15" t="s">
        <v>107</v>
      </c>
      <c r="D919" s="15" t="s">
        <v>12</v>
      </c>
      <c r="E919" s="14" t="s">
        <v>109</v>
      </c>
      <c r="F919" s="14">
        <v>901917</v>
      </c>
      <c r="G919" s="15" t="s">
        <v>151</v>
      </c>
      <c r="H919" s="14"/>
      <c r="I919" s="15"/>
      <c r="J919" s="14"/>
      <c r="K919" s="15"/>
      <c r="L919" s="15" t="s">
        <v>63</v>
      </c>
      <c r="M919" s="15"/>
      <c r="N919" s="92"/>
      <c r="P919" s="15" t="s">
        <v>660</v>
      </c>
    </row>
    <row r="920" spans="1:16">
      <c r="A920" s="15" t="s">
        <v>53</v>
      </c>
      <c r="B920" s="15" t="s">
        <v>32</v>
      </c>
      <c r="C920" s="15" t="s">
        <v>107</v>
      </c>
      <c r="D920" s="15" t="s">
        <v>12</v>
      </c>
      <c r="E920" s="14" t="s">
        <v>109</v>
      </c>
      <c r="F920" s="14">
        <v>901918</v>
      </c>
      <c r="G920" s="15" t="s">
        <v>151</v>
      </c>
      <c r="H920" s="14"/>
      <c r="I920" s="15"/>
      <c r="J920" s="14"/>
      <c r="K920" s="15"/>
      <c r="L920" s="15" t="s">
        <v>63</v>
      </c>
      <c r="M920" s="15"/>
      <c r="N920" s="92"/>
      <c r="P920" s="15" t="s">
        <v>660</v>
      </c>
    </row>
    <row r="921" spans="1:16">
      <c r="A921" s="15" t="s">
        <v>53</v>
      </c>
      <c r="B921" s="15" t="s">
        <v>32</v>
      </c>
      <c r="C921" s="15" t="s">
        <v>107</v>
      </c>
      <c r="D921" s="15" t="s">
        <v>12</v>
      </c>
      <c r="E921" s="14" t="s">
        <v>109</v>
      </c>
      <c r="F921" s="14">
        <v>901919</v>
      </c>
      <c r="G921" s="15" t="s">
        <v>151</v>
      </c>
      <c r="H921" s="14"/>
      <c r="I921" s="15"/>
      <c r="J921" s="14"/>
      <c r="K921" s="15"/>
      <c r="L921" s="15" t="s">
        <v>63</v>
      </c>
      <c r="M921" s="15"/>
      <c r="N921" s="92"/>
      <c r="P921" s="15" t="s">
        <v>660</v>
      </c>
    </row>
    <row r="922" spans="1:16">
      <c r="A922" s="15" t="s">
        <v>53</v>
      </c>
      <c r="B922" s="15" t="s">
        <v>32</v>
      </c>
      <c r="C922" s="15" t="s">
        <v>107</v>
      </c>
      <c r="D922" s="15" t="s">
        <v>12</v>
      </c>
      <c r="E922" s="14" t="s">
        <v>109</v>
      </c>
      <c r="F922" s="14">
        <v>901920</v>
      </c>
      <c r="G922" s="15" t="s">
        <v>234</v>
      </c>
      <c r="H922" s="14"/>
      <c r="I922" s="15"/>
      <c r="J922" s="14"/>
      <c r="K922" s="15"/>
      <c r="L922" s="15" t="s">
        <v>63</v>
      </c>
      <c r="M922" s="15"/>
      <c r="N922" s="92"/>
      <c r="P922" s="15" t="s">
        <v>660</v>
      </c>
    </row>
    <row r="923" spans="1:16">
      <c r="A923" s="15" t="s">
        <v>53</v>
      </c>
      <c r="B923" s="15" t="s">
        <v>32</v>
      </c>
      <c r="C923" s="15" t="s">
        <v>107</v>
      </c>
      <c r="D923" s="15" t="s">
        <v>12</v>
      </c>
      <c r="E923" s="14" t="s">
        <v>109</v>
      </c>
      <c r="F923" s="14">
        <v>901921</v>
      </c>
      <c r="G923" s="15" t="s">
        <v>234</v>
      </c>
      <c r="H923" s="14"/>
      <c r="I923" s="15"/>
      <c r="J923" s="14"/>
      <c r="K923" s="15"/>
      <c r="L923" s="15" t="s">
        <v>63</v>
      </c>
      <c r="M923" s="15"/>
      <c r="N923" s="92"/>
      <c r="P923" s="15" t="s">
        <v>660</v>
      </c>
    </row>
    <row r="924" spans="1:16">
      <c r="A924" s="15" t="s">
        <v>53</v>
      </c>
      <c r="B924" s="15" t="s">
        <v>32</v>
      </c>
      <c r="C924" s="15" t="s">
        <v>107</v>
      </c>
      <c r="D924" s="15" t="s">
        <v>12</v>
      </c>
      <c r="E924" s="14" t="s">
        <v>109</v>
      </c>
      <c r="F924" s="14">
        <v>901922</v>
      </c>
      <c r="G924" s="15" t="s">
        <v>234</v>
      </c>
      <c r="H924" s="14"/>
      <c r="I924" s="15"/>
      <c r="J924" s="14"/>
      <c r="K924" s="15"/>
      <c r="L924" s="15" t="s">
        <v>63</v>
      </c>
      <c r="M924" s="15"/>
      <c r="N924" s="92"/>
      <c r="P924" s="15" t="s">
        <v>660</v>
      </c>
    </row>
    <row r="925" spans="1:16">
      <c r="A925" s="15" t="s">
        <v>53</v>
      </c>
      <c r="B925" s="15" t="s">
        <v>31</v>
      </c>
      <c r="C925" s="15" t="s">
        <v>107</v>
      </c>
      <c r="D925" s="15" t="s">
        <v>12</v>
      </c>
      <c r="E925" s="14" t="s">
        <v>109</v>
      </c>
      <c r="F925" s="14">
        <v>901923</v>
      </c>
      <c r="G925" s="15" t="s">
        <v>151</v>
      </c>
      <c r="H925" s="14"/>
      <c r="I925" s="15"/>
      <c r="J925" s="14"/>
      <c r="K925" s="15"/>
      <c r="L925" s="15" t="s">
        <v>63</v>
      </c>
      <c r="M925" s="15"/>
      <c r="N925" s="92"/>
      <c r="P925" s="15" t="s">
        <v>660</v>
      </c>
    </row>
    <row r="926" spans="1:16">
      <c r="A926" s="15" t="s">
        <v>53</v>
      </c>
      <c r="B926" s="15" t="s">
        <v>31</v>
      </c>
      <c r="C926" s="15" t="s">
        <v>107</v>
      </c>
      <c r="D926" s="15" t="s">
        <v>12</v>
      </c>
      <c r="E926" s="14" t="s">
        <v>109</v>
      </c>
      <c r="F926" s="14">
        <v>901924</v>
      </c>
      <c r="G926" s="15" t="s">
        <v>151</v>
      </c>
      <c r="H926" s="14"/>
      <c r="I926" s="15"/>
      <c r="J926" s="14"/>
      <c r="K926" s="15"/>
      <c r="L926" s="15" t="s">
        <v>63</v>
      </c>
      <c r="M926" s="15"/>
      <c r="N926" s="92"/>
      <c r="P926" s="15" t="s">
        <v>660</v>
      </c>
    </row>
    <row r="927" spans="1:16">
      <c r="A927" s="15" t="s">
        <v>53</v>
      </c>
      <c r="B927" s="15" t="s">
        <v>31</v>
      </c>
      <c r="C927" s="15" t="s">
        <v>107</v>
      </c>
      <c r="D927" s="15" t="s">
        <v>12</v>
      </c>
      <c r="E927" s="14" t="s">
        <v>109</v>
      </c>
      <c r="F927" s="14">
        <v>901925</v>
      </c>
      <c r="G927" s="15" t="s">
        <v>151</v>
      </c>
      <c r="H927" s="14"/>
      <c r="I927" s="15"/>
      <c r="J927" s="14"/>
      <c r="K927" s="15"/>
      <c r="L927" s="15" t="s">
        <v>63</v>
      </c>
      <c r="M927" s="15"/>
      <c r="N927" s="92"/>
      <c r="P927" s="15" t="s">
        <v>660</v>
      </c>
    </row>
    <row r="928" spans="1:16">
      <c r="A928" s="15" t="s">
        <v>53</v>
      </c>
      <c r="B928" s="15" t="s">
        <v>31</v>
      </c>
      <c r="C928" s="15" t="s">
        <v>107</v>
      </c>
      <c r="D928" s="15" t="s">
        <v>12</v>
      </c>
      <c r="E928" s="14" t="s">
        <v>109</v>
      </c>
      <c r="F928" s="14">
        <v>901926</v>
      </c>
      <c r="G928" s="15" t="s">
        <v>151</v>
      </c>
      <c r="H928" s="14"/>
      <c r="I928" s="15"/>
      <c r="J928" s="14"/>
      <c r="K928" s="15"/>
      <c r="L928" s="15" t="s">
        <v>63</v>
      </c>
      <c r="M928" s="15"/>
      <c r="N928" s="92"/>
      <c r="P928" s="15" t="s">
        <v>660</v>
      </c>
    </row>
    <row r="929" spans="1:16">
      <c r="A929" s="15" t="s">
        <v>53</v>
      </c>
      <c r="B929" s="15" t="s">
        <v>31</v>
      </c>
      <c r="C929" s="15" t="s">
        <v>107</v>
      </c>
      <c r="D929" s="15" t="s">
        <v>12</v>
      </c>
      <c r="E929" s="14" t="s">
        <v>109</v>
      </c>
      <c r="F929" s="14">
        <v>901927</v>
      </c>
      <c r="G929" s="15" t="s">
        <v>241</v>
      </c>
      <c r="H929" s="14"/>
      <c r="I929" s="15"/>
      <c r="J929" s="14"/>
      <c r="K929" s="15"/>
      <c r="L929" s="15" t="s">
        <v>63</v>
      </c>
      <c r="M929" s="15"/>
      <c r="N929" s="92"/>
      <c r="P929" s="15" t="s">
        <v>660</v>
      </c>
    </row>
    <row r="930" spans="1:16">
      <c r="A930" s="15" t="s">
        <v>53</v>
      </c>
      <c r="B930" s="15" t="s">
        <v>31</v>
      </c>
      <c r="C930" s="15" t="s">
        <v>107</v>
      </c>
      <c r="D930" s="15" t="s">
        <v>12</v>
      </c>
      <c r="E930" s="14" t="s">
        <v>109</v>
      </c>
      <c r="F930" s="14">
        <v>901928</v>
      </c>
      <c r="G930" s="15" t="s">
        <v>241</v>
      </c>
      <c r="H930" s="14"/>
      <c r="I930" s="15"/>
      <c r="J930" s="14"/>
      <c r="K930" s="15"/>
      <c r="L930" s="15" t="s">
        <v>63</v>
      </c>
      <c r="M930" s="15"/>
      <c r="N930" s="92"/>
      <c r="P930" s="15" t="s">
        <v>660</v>
      </c>
    </row>
    <row r="931" spans="1:16">
      <c r="A931" s="15" t="s">
        <v>53</v>
      </c>
      <c r="B931" s="15" t="s">
        <v>31</v>
      </c>
      <c r="C931" s="15" t="s">
        <v>107</v>
      </c>
      <c r="D931" s="15" t="s">
        <v>12</v>
      </c>
      <c r="E931" s="14" t="s">
        <v>109</v>
      </c>
      <c r="F931" s="14">
        <v>901929</v>
      </c>
      <c r="G931" s="15" t="s">
        <v>241</v>
      </c>
      <c r="H931" s="14"/>
      <c r="I931" s="15"/>
      <c r="J931" s="14"/>
      <c r="K931" s="15"/>
      <c r="L931" s="15" t="s">
        <v>63</v>
      </c>
      <c r="M931" s="15"/>
      <c r="N931" s="92"/>
      <c r="P931" s="15" t="s">
        <v>660</v>
      </c>
    </row>
    <row r="932" spans="1:16">
      <c r="A932" s="15" t="s">
        <v>53</v>
      </c>
      <c r="B932" s="15" t="s">
        <v>31</v>
      </c>
      <c r="C932" s="15" t="s">
        <v>107</v>
      </c>
      <c r="D932" s="15" t="s">
        <v>12</v>
      </c>
      <c r="E932" s="14" t="s">
        <v>109</v>
      </c>
      <c r="F932" s="14">
        <v>901930</v>
      </c>
      <c r="G932" s="15" t="s">
        <v>241</v>
      </c>
      <c r="H932" s="14"/>
      <c r="I932" s="15"/>
      <c r="J932" s="14"/>
      <c r="K932" s="15"/>
      <c r="L932" s="15" t="s">
        <v>63</v>
      </c>
      <c r="M932" s="15"/>
      <c r="N932" s="92"/>
      <c r="P932" s="15" t="s">
        <v>660</v>
      </c>
    </row>
    <row r="933" spans="1:16">
      <c r="A933" s="15" t="s">
        <v>53</v>
      </c>
      <c r="B933" s="15" t="s">
        <v>31</v>
      </c>
      <c r="C933" s="15" t="s">
        <v>107</v>
      </c>
      <c r="D933" s="15" t="s">
        <v>12</v>
      </c>
      <c r="E933" s="14" t="s">
        <v>109</v>
      </c>
      <c r="F933" s="14">
        <v>901931</v>
      </c>
      <c r="G933" s="15" t="s">
        <v>234</v>
      </c>
      <c r="H933" s="14"/>
      <c r="I933" s="15"/>
      <c r="J933" s="14"/>
      <c r="K933" s="15"/>
      <c r="L933" s="15" t="s">
        <v>63</v>
      </c>
      <c r="M933" s="15"/>
      <c r="N933" s="92"/>
      <c r="P933" s="15" t="s">
        <v>660</v>
      </c>
    </row>
    <row r="934" spans="1:16">
      <c r="A934" s="15" t="s">
        <v>53</v>
      </c>
      <c r="B934" s="15" t="s">
        <v>34</v>
      </c>
      <c r="C934" s="15" t="s">
        <v>107</v>
      </c>
      <c r="D934" s="15" t="s">
        <v>12</v>
      </c>
      <c r="E934" s="14" t="s">
        <v>56</v>
      </c>
      <c r="F934" s="14">
        <v>901932</v>
      </c>
      <c r="G934" s="15" t="s">
        <v>142</v>
      </c>
      <c r="H934" s="14"/>
      <c r="I934" s="15"/>
      <c r="J934" s="14"/>
      <c r="K934" s="15"/>
      <c r="L934" s="15" t="s">
        <v>63</v>
      </c>
      <c r="M934" s="15"/>
      <c r="N934" s="92"/>
      <c r="P934" s="15" t="s">
        <v>660</v>
      </c>
    </row>
    <row r="935" spans="1:16">
      <c r="A935" s="15" t="s">
        <v>53</v>
      </c>
      <c r="B935" s="15" t="s">
        <v>34</v>
      </c>
      <c r="C935" s="15" t="s">
        <v>107</v>
      </c>
      <c r="D935" s="15" t="s">
        <v>12</v>
      </c>
      <c r="E935" s="14" t="s">
        <v>56</v>
      </c>
      <c r="F935" s="14">
        <v>901933</v>
      </c>
      <c r="G935" s="15" t="s">
        <v>142</v>
      </c>
      <c r="H935" s="14"/>
      <c r="I935" s="15"/>
      <c r="J935" s="14"/>
      <c r="K935" s="15"/>
      <c r="L935" s="15" t="s">
        <v>63</v>
      </c>
      <c r="M935" s="15"/>
      <c r="N935" s="92"/>
      <c r="P935" s="15" t="s">
        <v>660</v>
      </c>
    </row>
    <row r="936" spans="1:16">
      <c r="A936" s="15" t="s">
        <v>53</v>
      </c>
      <c r="B936" s="15" t="s">
        <v>34</v>
      </c>
      <c r="C936" s="15" t="s">
        <v>107</v>
      </c>
      <c r="D936" s="15" t="s">
        <v>12</v>
      </c>
      <c r="E936" s="14" t="s">
        <v>56</v>
      </c>
      <c r="F936" s="14">
        <v>901934</v>
      </c>
      <c r="G936" s="15" t="s">
        <v>142</v>
      </c>
      <c r="H936" s="14"/>
      <c r="I936" s="15"/>
      <c r="J936" s="14"/>
      <c r="K936" s="15"/>
      <c r="L936" s="15" t="s">
        <v>63</v>
      </c>
      <c r="M936" s="15"/>
      <c r="N936" s="92"/>
      <c r="P936" s="15" t="s">
        <v>660</v>
      </c>
    </row>
    <row r="937" spans="1:16">
      <c r="A937" s="15" t="s">
        <v>53</v>
      </c>
      <c r="B937" s="15" t="s">
        <v>34</v>
      </c>
      <c r="C937" s="15" t="s">
        <v>107</v>
      </c>
      <c r="D937" s="15" t="s">
        <v>12</v>
      </c>
      <c r="E937" s="14" t="s">
        <v>56</v>
      </c>
      <c r="F937" s="14">
        <v>901935</v>
      </c>
      <c r="G937" s="15" t="s">
        <v>141</v>
      </c>
      <c r="H937" s="14"/>
      <c r="I937" s="15"/>
      <c r="J937" s="14"/>
      <c r="K937" s="15"/>
      <c r="L937" s="15" t="s">
        <v>63</v>
      </c>
      <c r="M937" s="15"/>
      <c r="N937" s="92"/>
      <c r="P937" s="15" t="s">
        <v>660</v>
      </c>
    </row>
    <row r="938" spans="1:16">
      <c r="A938" s="15" t="s">
        <v>53</v>
      </c>
      <c r="B938" s="15" t="s">
        <v>34</v>
      </c>
      <c r="C938" s="15" t="s">
        <v>107</v>
      </c>
      <c r="D938" s="15" t="s">
        <v>12</v>
      </c>
      <c r="E938" s="14" t="s">
        <v>56</v>
      </c>
      <c r="F938" s="14">
        <v>901936</v>
      </c>
      <c r="G938" s="15" t="s">
        <v>141</v>
      </c>
      <c r="H938" s="14"/>
      <c r="I938" s="15"/>
      <c r="J938" s="14"/>
      <c r="K938" s="15"/>
      <c r="L938" s="15" t="s">
        <v>63</v>
      </c>
      <c r="M938" s="15"/>
      <c r="N938" s="92"/>
      <c r="P938" s="15" t="s">
        <v>660</v>
      </c>
    </row>
    <row r="939" spans="1:16">
      <c r="A939" s="15" t="s">
        <v>53</v>
      </c>
      <c r="B939" s="15" t="s">
        <v>30</v>
      </c>
      <c r="C939" s="15" t="s">
        <v>107</v>
      </c>
      <c r="D939" s="15" t="s">
        <v>12</v>
      </c>
      <c r="E939" s="14" t="s">
        <v>109</v>
      </c>
      <c r="F939" s="14">
        <v>901937</v>
      </c>
      <c r="G939" s="15" t="s">
        <v>151</v>
      </c>
      <c r="H939" s="14"/>
      <c r="I939" s="15"/>
      <c r="J939" s="14"/>
      <c r="K939" s="15"/>
      <c r="L939" s="15" t="s">
        <v>63</v>
      </c>
      <c r="M939" s="15"/>
      <c r="N939" s="92"/>
      <c r="P939" s="15" t="s">
        <v>660</v>
      </c>
    </row>
    <row r="940" spans="1:16">
      <c r="A940" s="15" t="s">
        <v>53</v>
      </c>
      <c r="B940" s="15" t="s">
        <v>30</v>
      </c>
      <c r="C940" s="15" t="s">
        <v>107</v>
      </c>
      <c r="D940" s="15" t="s">
        <v>12</v>
      </c>
      <c r="E940" s="14" t="s">
        <v>109</v>
      </c>
      <c r="F940" s="14">
        <v>901938</v>
      </c>
      <c r="G940" s="15" t="s">
        <v>151</v>
      </c>
      <c r="H940" s="14"/>
      <c r="I940" s="15"/>
      <c r="J940" s="14"/>
      <c r="K940" s="15"/>
      <c r="L940" s="15" t="s">
        <v>63</v>
      </c>
      <c r="M940" s="15"/>
      <c r="N940" s="92"/>
      <c r="P940" s="15" t="s">
        <v>660</v>
      </c>
    </row>
    <row r="941" spans="1:16">
      <c r="A941" s="15" t="s">
        <v>53</v>
      </c>
      <c r="B941" s="15" t="s">
        <v>30</v>
      </c>
      <c r="C941" s="15" t="s">
        <v>107</v>
      </c>
      <c r="D941" s="15" t="s">
        <v>12</v>
      </c>
      <c r="E941" s="14" t="s">
        <v>56</v>
      </c>
      <c r="F941" s="14">
        <v>901939</v>
      </c>
      <c r="G941" s="15" t="s">
        <v>153</v>
      </c>
      <c r="H941" s="14"/>
      <c r="I941" s="15"/>
      <c r="J941" s="14"/>
      <c r="K941" s="15"/>
      <c r="L941" s="15" t="s">
        <v>63</v>
      </c>
      <c r="M941" s="15"/>
      <c r="N941" s="92"/>
      <c r="P941" s="15" t="s">
        <v>660</v>
      </c>
    </row>
    <row r="942" spans="1:16">
      <c r="A942" s="15" t="s">
        <v>53</v>
      </c>
      <c r="B942" s="15" t="s">
        <v>30</v>
      </c>
      <c r="C942" s="15" t="s">
        <v>107</v>
      </c>
      <c r="D942" s="15" t="s">
        <v>12</v>
      </c>
      <c r="E942" s="14" t="s">
        <v>72</v>
      </c>
      <c r="F942" s="14">
        <v>901940</v>
      </c>
      <c r="G942" s="15" t="s">
        <v>137</v>
      </c>
      <c r="H942" s="14"/>
      <c r="I942" s="15"/>
      <c r="J942" s="14"/>
      <c r="K942" s="15"/>
      <c r="L942" s="15" t="s">
        <v>63</v>
      </c>
      <c r="M942" s="15"/>
      <c r="N942" s="92"/>
      <c r="P942" s="15" t="s">
        <v>660</v>
      </c>
    </row>
    <row r="943" spans="1:16">
      <c r="A943" s="15" t="s">
        <v>53</v>
      </c>
      <c r="B943" s="15" t="s">
        <v>30</v>
      </c>
      <c r="C943" s="15" t="s">
        <v>107</v>
      </c>
      <c r="D943" s="15" t="s">
        <v>12</v>
      </c>
      <c r="E943" s="14" t="s">
        <v>72</v>
      </c>
      <c r="F943" s="14">
        <v>901941</v>
      </c>
      <c r="G943" s="15" t="s">
        <v>137</v>
      </c>
      <c r="H943" s="14"/>
      <c r="I943" s="15"/>
      <c r="J943" s="14"/>
      <c r="K943" s="15"/>
      <c r="L943" s="15" t="s">
        <v>63</v>
      </c>
      <c r="M943" s="15"/>
      <c r="N943" s="92"/>
      <c r="P943" s="15" t="s">
        <v>660</v>
      </c>
    </row>
    <row r="944" spans="1:16">
      <c r="A944" s="15" t="s">
        <v>53</v>
      </c>
      <c r="B944" s="15" t="s">
        <v>29</v>
      </c>
      <c r="C944" s="15" t="s">
        <v>107</v>
      </c>
      <c r="D944" s="15" t="s">
        <v>12</v>
      </c>
      <c r="E944" s="14" t="s">
        <v>109</v>
      </c>
      <c r="F944" s="14">
        <v>901942</v>
      </c>
      <c r="G944" s="15" t="s">
        <v>241</v>
      </c>
      <c r="H944" s="14"/>
      <c r="I944" s="15"/>
      <c r="J944" s="14"/>
      <c r="K944" s="15"/>
      <c r="L944" s="15" t="s">
        <v>63</v>
      </c>
      <c r="M944" s="15"/>
      <c r="N944" s="92"/>
      <c r="P944" s="15" t="s">
        <v>660</v>
      </c>
    </row>
    <row r="945" spans="1:16">
      <c r="A945" s="15" t="s">
        <v>53</v>
      </c>
      <c r="B945" s="15" t="s">
        <v>29</v>
      </c>
      <c r="C945" s="15" t="s">
        <v>107</v>
      </c>
      <c r="D945" s="15" t="s">
        <v>12</v>
      </c>
      <c r="E945" s="14" t="s">
        <v>109</v>
      </c>
      <c r="F945" s="14">
        <v>901943</v>
      </c>
      <c r="G945" s="15" t="s">
        <v>241</v>
      </c>
      <c r="H945" s="14"/>
      <c r="I945" s="15"/>
      <c r="J945" s="14"/>
      <c r="K945" s="15"/>
      <c r="L945" s="15" t="s">
        <v>63</v>
      </c>
      <c r="M945" s="15"/>
      <c r="N945" s="92"/>
      <c r="P945" s="15" t="s">
        <v>660</v>
      </c>
    </row>
    <row r="946" spans="1:16">
      <c r="A946" s="15" t="s">
        <v>53</v>
      </c>
      <c r="B946" s="15" t="s">
        <v>29</v>
      </c>
      <c r="C946" s="15" t="s">
        <v>107</v>
      </c>
      <c r="D946" s="15" t="s">
        <v>12</v>
      </c>
      <c r="E946" s="14" t="s">
        <v>109</v>
      </c>
      <c r="F946" s="14">
        <v>901944</v>
      </c>
      <c r="G946" s="15" t="s">
        <v>241</v>
      </c>
      <c r="H946" s="14"/>
      <c r="I946" s="15"/>
      <c r="J946" s="14"/>
      <c r="K946" s="15"/>
      <c r="L946" s="15" t="s">
        <v>63</v>
      </c>
      <c r="M946" s="15"/>
      <c r="N946" s="92"/>
      <c r="P946" s="15" t="s">
        <v>660</v>
      </c>
    </row>
    <row r="947" spans="1:16">
      <c r="A947" s="15" t="s">
        <v>53</v>
      </c>
      <c r="B947" s="15" t="s">
        <v>29</v>
      </c>
      <c r="C947" s="15" t="s">
        <v>107</v>
      </c>
      <c r="D947" s="15" t="s">
        <v>12</v>
      </c>
      <c r="E947" s="14" t="s">
        <v>109</v>
      </c>
      <c r="F947" s="14">
        <v>901945</v>
      </c>
      <c r="G947" s="15" t="s">
        <v>243</v>
      </c>
      <c r="H947" s="14"/>
      <c r="I947" s="15"/>
      <c r="J947" s="14"/>
      <c r="K947" s="15"/>
      <c r="L947" s="15" t="s">
        <v>63</v>
      </c>
      <c r="M947" s="15"/>
      <c r="N947" s="92"/>
      <c r="P947" s="15" t="s">
        <v>660</v>
      </c>
    </row>
    <row r="948" spans="1:16">
      <c r="A948" s="15" t="s">
        <v>53</v>
      </c>
      <c r="B948" s="15" t="s">
        <v>29</v>
      </c>
      <c r="C948" s="15" t="s">
        <v>107</v>
      </c>
      <c r="D948" s="15" t="s">
        <v>12</v>
      </c>
      <c r="E948" s="14" t="s">
        <v>109</v>
      </c>
      <c r="F948" s="14">
        <v>901946</v>
      </c>
      <c r="G948" s="15" t="s">
        <v>243</v>
      </c>
      <c r="H948" s="14"/>
      <c r="I948" s="15"/>
      <c r="J948" s="14"/>
      <c r="K948" s="15"/>
      <c r="L948" s="15" t="s">
        <v>63</v>
      </c>
      <c r="M948" s="15"/>
      <c r="N948" s="92"/>
      <c r="P948" s="15" t="s">
        <v>660</v>
      </c>
    </row>
    <row r="949" spans="1:16">
      <c r="A949" s="15" t="s">
        <v>53</v>
      </c>
      <c r="B949" s="15" t="s">
        <v>29</v>
      </c>
      <c r="C949" s="15" t="s">
        <v>107</v>
      </c>
      <c r="D949" s="15" t="s">
        <v>12</v>
      </c>
      <c r="E949" s="14" t="s">
        <v>109</v>
      </c>
      <c r="F949" s="14">
        <v>901947</v>
      </c>
      <c r="G949" s="15" t="s">
        <v>243</v>
      </c>
      <c r="H949" s="14"/>
      <c r="I949" s="15"/>
      <c r="J949" s="14"/>
      <c r="K949" s="15"/>
      <c r="L949" s="15" t="s">
        <v>63</v>
      </c>
      <c r="M949" s="15"/>
      <c r="N949" s="92"/>
      <c r="P949" s="15" t="s">
        <v>660</v>
      </c>
    </row>
    <row r="950" spans="1:16">
      <c r="A950" s="15" t="s">
        <v>53</v>
      </c>
      <c r="B950" s="15" t="s">
        <v>29</v>
      </c>
      <c r="C950" s="15" t="s">
        <v>107</v>
      </c>
      <c r="D950" s="15" t="s">
        <v>12</v>
      </c>
      <c r="E950" s="14" t="s">
        <v>109</v>
      </c>
      <c r="F950" s="14">
        <v>901948</v>
      </c>
      <c r="G950" s="15" t="s">
        <v>234</v>
      </c>
      <c r="H950" s="14"/>
      <c r="I950" s="15"/>
      <c r="J950" s="14"/>
      <c r="K950" s="15"/>
      <c r="L950" s="15" t="s">
        <v>63</v>
      </c>
      <c r="M950" s="15"/>
      <c r="N950" s="92"/>
      <c r="P950" s="15" t="s">
        <v>660</v>
      </c>
    </row>
    <row r="951" spans="1:16">
      <c r="A951" s="15" t="s">
        <v>223</v>
      </c>
      <c r="B951" s="15" t="s">
        <v>29</v>
      </c>
      <c r="C951" s="15" t="s">
        <v>107</v>
      </c>
      <c r="D951" s="15" t="s">
        <v>12</v>
      </c>
      <c r="E951" s="14" t="s">
        <v>109</v>
      </c>
      <c r="F951" s="14">
        <v>901949</v>
      </c>
      <c r="G951" s="15" t="s">
        <v>234</v>
      </c>
      <c r="H951" s="14"/>
      <c r="I951" s="15"/>
      <c r="J951" s="14"/>
      <c r="K951" s="15"/>
      <c r="L951" s="15" t="s">
        <v>63</v>
      </c>
      <c r="M951" s="15"/>
      <c r="N951" s="92"/>
      <c r="P951" s="15" t="s">
        <v>660</v>
      </c>
    </row>
    <row r="952" spans="1:16">
      <c r="A952" s="15" t="s">
        <v>223</v>
      </c>
      <c r="B952" s="15" t="s">
        <v>29</v>
      </c>
      <c r="C952" s="15" t="s">
        <v>107</v>
      </c>
      <c r="D952" s="15" t="s">
        <v>12</v>
      </c>
      <c r="E952" s="14" t="s">
        <v>109</v>
      </c>
      <c r="F952" s="14">
        <v>901950</v>
      </c>
      <c r="G952" s="15" t="s">
        <v>234</v>
      </c>
      <c r="H952" s="14"/>
      <c r="I952" s="15"/>
      <c r="J952" s="14"/>
      <c r="K952" s="15"/>
      <c r="L952" s="15" t="s">
        <v>63</v>
      </c>
      <c r="M952" s="15"/>
      <c r="N952" s="92"/>
      <c r="P952" s="15" t="s">
        <v>660</v>
      </c>
    </row>
    <row r="953" spans="1:16">
      <c r="A953" s="15" t="s">
        <v>223</v>
      </c>
      <c r="B953" s="15" t="s">
        <v>29</v>
      </c>
      <c r="C953" s="15" t="s">
        <v>107</v>
      </c>
      <c r="D953" s="15" t="s">
        <v>12</v>
      </c>
      <c r="E953" s="14" t="s">
        <v>109</v>
      </c>
      <c r="F953" s="14">
        <v>901951</v>
      </c>
      <c r="G953" s="15" t="s">
        <v>234</v>
      </c>
      <c r="H953" s="14"/>
      <c r="I953" s="15"/>
      <c r="J953" s="14"/>
      <c r="K953" s="15"/>
      <c r="L953" s="15" t="s">
        <v>63</v>
      </c>
      <c r="M953" s="15"/>
      <c r="N953" s="92"/>
      <c r="P953" s="15" t="s">
        <v>660</v>
      </c>
    </row>
    <row r="954" spans="1:16">
      <c r="A954" s="15" t="s">
        <v>223</v>
      </c>
      <c r="B954" s="15" t="s">
        <v>29</v>
      </c>
      <c r="C954" s="15" t="s">
        <v>107</v>
      </c>
      <c r="D954" s="15" t="s">
        <v>12</v>
      </c>
      <c r="E954" s="14" t="s">
        <v>109</v>
      </c>
      <c r="F954" s="14">
        <v>901952</v>
      </c>
      <c r="G954" s="15" t="s">
        <v>151</v>
      </c>
      <c r="H954" s="14"/>
      <c r="I954" s="15"/>
      <c r="J954" s="14"/>
      <c r="K954" s="15"/>
      <c r="L954" s="15" t="s">
        <v>63</v>
      </c>
      <c r="M954" s="15"/>
      <c r="N954" s="92"/>
      <c r="P954" s="15" t="s">
        <v>660</v>
      </c>
    </row>
    <row r="955" spans="1:16">
      <c r="A955" s="15" t="s">
        <v>223</v>
      </c>
      <c r="B955" s="15" t="s">
        <v>29</v>
      </c>
      <c r="C955" s="15" t="s">
        <v>107</v>
      </c>
      <c r="D955" s="15" t="s">
        <v>12</v>
      </c>
      <c r="E955" s="14" t="s">
        <v>109</v>
      </c>
      <c r="F955" s="14">
        <v>901953</v>
      </c>
      <c r="G955" s="15" t="s">
        <v>151</v>
      </c>
      <c r="H955" s="14"/>
      <c r="I955" s="15"/>
      <c r="J955" s="14"/>
      <c r="K955" s="15"/>
      <c r="L955" s="15" t="s">
        <v>63</v>
      </c>
      <c r="M955" s="15"/>
      <c r="N955" s="92"/>
      <c r="P955" s="15" t="s">
        <v>660</v>
      </c>
    </row>
    <row r="956" spans="1:16">
      <c r="A956" s="15" t="s">
        <v>223</v>
      </c>
      <c r="B956" s="15" t="s">
        <v>29</v>
      </c>
      <c r="C956" s="15" t="s">
        <v>107</v>
      </c>
      <c r="D956" s="15" t="s">
        <v>12</v>
      </c>
      <c r="E956" s="14" t="s">
        <v>109</v>
      </c>
      <c r="F956" s="14">
        <v>901954</v>
      </c>
      <c r="G956" s="15" t="s">
        <v>151</v>
      </c>
      <c r="H956" s="14"/>
      <c r="I956" s="15"/>
      <c r="J956" s="14"/>
      <c r="K956" s="15"/>
      <c r="L956" s="15" t="s">
        <v>63</v>
      </c>
      <c r="M956" s="15"/>
      <c r="N956" s="92"/>
      <c r="P956" s="15" t="s">
        <v>660</v>
      </c>
    </row>
    <row r="957" spans="1:16">
      <c r="A957" s="15" t="s">
        <v>223</v>
      </c>
      <c r="B957" s="15" t="s">
        <v>29</v>
      </c>
      <c r="C957" s="15" t="s">
        <v>107</v>
      </c>
      <c r="D957" s="15" t="s">
        <v>12</v>
      </c>
      <c r="E957" s="14" t="s">
        <v>109</v>
      </c>
      <c r="F957" s="14">
        <v>901955</v>
      </c>
      <c r="G957" s="15" t="s">
        <v>151</v>
      </c>
      <c r="H957" s="14"/>
      <c r="I957" s="15"/>
      <c r="J957" s="14"/>
      <c r="K957" s="15"/>
      <c r="L957" s="15" t="s">
        <v>63</v>
      </c>
      <c r="M957" s="15"/>
      <c r="N957" s="92"/>
      <c r="P957" s="15" t="s">
        <v>660</v>
      </c>
    </row>
    <row r="958" spans="1:16">
      <c r="A958" s="15" t="s">
        <v>53</v>
      </c>
      <c r="B958" s="15" t="s">
        <v>29</v>
      </c>
      <c r="C958" s="15" t="s">
        <v>107</v>
      </c>
      <c r="D958" s="15" t="s">
        <v>12</v>
      </c>
      <c r="E958" s="14" t="s">
        <v>109</v>
      </c>
      <c r="F958" s="14">
        <v>901956</v>
      </c>
      <c r="G958" s="15" t="s">
        <v>151</v>
      </c>
      <c r="H958" s="14"/>
      <c r="I958" s="15"/>
      <c r="J958" s="14"/>
      <c r="K958" s="15"/>
      <c r="L958" s="15" t="s">
        <v>63</v>
      </c>
      <c r="M958" s="15"/>
      <c r="N958" s="92"/>
      <c r="P958" s="15" t="s">
        <v>660</v>
      </c>
    </row>
    <row r="959" spans="1:16">
      <c r="A959" s="15" t="s">
        <v>223</v>
      </c>
      <c r="B959" s="15" t="s">
        <v>29</v>
      </c>
      <c r="C959" s="15" t="s">
        <v>107</v>
      </c>
      <c r="D959" s="15" t="s">
        <v>12</v>
      </c>
      <c r="E959" s="14" t="s">
        <v>109</v>
      </c>
      <c r="F959" s="14">
        <v>901957</v>
      </c>
      <c r="G959" s="15" t="s">
        <v>151</v>
      </c>
      <c r="H959" s="14"/>
      <c r="I959" s="15"/>
      <c r="J959" s="14"/>
      <c r="K959" s="15"/>
      <c r="L959" s="15" t="s">
        <v>63</v>
      </c>
      <c r="M959" s="15"/>
      <c r="N959" s="92"/>
      <c r="P959" s="15" t="s">
        <v>660</v>
      </c>
    </row>
    <row r="960" spans="1:16">
      <c r="A960" s="15" t="s">
        <v>223</v>
      </c>
      <c r="B960" s="15" t="s">
        <v>29</v>
      </c>
      <c r="C960" s="15" t="s">
        <v>107</v>
      </c>
      <c r="D960" s="15" t="s">
        <v>12</v>
      </c>
      <c r="E960" s="14" t="s">
        <v>109</v>
      </c>
      <c r="F960" s="14">
        <v>901958</v>
      </c>
      <c r="G960" s="15" t="s">
        <v>151</v>
      </c>
      <c r="H960" s="14"/>
      <c r="I960" s="15"/>
      <c r="J960" s="14"/>
      <c r="K960" s="15"/>
      <c r="L960" s="15" t="s">
        <v>63</v>
      </c>
      <c r="M960" s="15"/>
      <c r="N960" s="92"/>
      <c r="P960" s="15" t="s">
        <v>660</v>
      </c>
    </row>
    <row r="961" spans="1:16">
      <c r="A961" s="15" t="s">
        <v>223</v>
      </c>
      <c r="B961" s="15" t="s">
        <v>29</v>
      </c>
      <c r="C961" s="15" t="s">
        <v>107</v>
      </c>
      <c r="D961" s="15" t="s">
        <v>12</v>
      </c>
      <c r="E961" s="14" t="s">
        <v>109</v>
      </c>
      <c r="F961" s="14">
        <v>901959</v>
      </c>
      <c r="G961" s="15" t="s">
        <v>151</v>
      </c>
      <c r="H961" s="14"/>
      <c r="I961" s="15"/>
      <c r="J961" s="14"/>
      <c r="K961" s="15"/>
      <c r="L961" s="15" t="s">
        <v>63</v>
      </c>
      <c r="M961" s="15"/>
      <c r="N961" s="92"/>
      <c r="P961" s="15" t="s">
        <v>660</v>
      </c>
    </row>
    <row r="962" spans="1:16">
      <c r="A962" s="15" t="s">
        <v>223</v>
      </c>
      <c r="B962" s="15" t="s">
        <v>29</v>
      </c>
      <c r="C962" s="15" t="s">
        <v>107</v>
      </c>
      <c r="D962" s="15" t="s">
        <v>12</v>
      </c>
      <c r="E962" s="14" t="s">
        <v>109</v>
      </c>
      <c r="F962" s="14">
        <v>901960</v>
      </c>
      <c r="G962" s="15" t="s">
        <v>151</v>
      </c>
      <c r="H962" s="14"/>
      <c r="I962" s="15"/>
      <c r="J962" s="14"/>
      <c r="K962" s="15"/>
      <c r="L962" s="15" t="s">
        <v>63</v>
      </c>
      <c r="M962" s="15"/>
      <c r="N962" s="92"/>
      <c r="P962" s="15" t="s">
        <v>660</v>
      </c>
    </row>
    <row r="963" spans="1:16">
      <c r="A963" s="15" t="s">
        <v>223</v>
      </c>
      <c r="B963" s="15" t="s">
        <v>29</v>
      </c>
      <c r="C963" s="15" t="s">
        <v>107</v>
      </c>
      <c r="D963" s="15" t="s">
        <v>12</v>
      </c>
      <c r="E963" s="14" t="s">
        <v>109</v>
      </c>
      <c r="F963" s="14">
        <v>901961</v>
      </c>
      <c r="G963" s="15" t="s">
        <v>151</v>
      </c>
      <c r="H963" s="14"/>
      <c r="I963" s="15"/>
      <c r="J963" s="14"/>
      <c r="K963" s="15"/>
      <c r="L963" s="15" t="s">
        <v>63</v>
      </c>
      <c r="M963" s="15"/>
      <c r="N963" s="92"/>
      <c r="P963" s="15" t="s">
        <v>660</v>
      </c>
    </row>
    <row r="964" spans="1:16">
      <c r="A964" s="15" t="s">
        <v>223</v>
      </c>
      <c r="B964" s="15" t="s">
        <v>33</v>
      </c>
      <c r="C964" s="15" t="s">
        <v>107</v>
      </c>
      <c r="D964" s="15" t="s">
        <v>12</v>
      </c>
      <c r="E964" s="14" t="s">
        <v>109</v>
      </c>
      <c r="F964" s="14">
        <v>901962</v>
      </c>
      <c r="G964" s="15" t="s">
        <v>151</v>
      </c>
      <c r="H964" s="14"/>
      <c r="I964" s="15"/>
      <c r="J964" s="14"/>
      <c r="K964" s="15"/>
      <c r="L964" s="15" t="s">
        <v>63</v>
      </c>
      <c r="M964" s="15"/>
      <c r="N964" s="92"/>
      <c r="P964" s="15" t="s">
        <v>660</v>
      </c>
    </row>
    <row r="965" spans="1:16">
      <c r="A965" s="15" t="s">
        <v>223</v>
      </c>
      <c r="B965" s="15" t="s">
        <v>33</v>
      </c>
      <c r="C965" s="15" t="s">
        <v>107</v>
      </c>
      <c r="D965" s="15" t="s">
        <v>12</v>
      </c>
      <c r="E965" s="14" t="s">
        <v>109</v>
      </c>
      <c r="F965" s="14">
        <v>901963</v>
      </c>
      <c r="G965" s="15" t="s">
        <v>151</v>
      </c>
      <c r="H965" s="14"/>
      <c r="I965" s="15"/>
      <c r="J965" s="14"/>
      <c r="K965" s="15"/>
      <c r="L965" s="15" t="s">
        <v>63</v>
      </c>
      <c r="M965" s="15"/>
      <c r="N965" s="92"/>
      <c r="P965" s="15" t="s">
        <v>660</v>
      </c>
    </row>
    <row r="966" spans="1:16">
      <c r="A966" s="15" t="s">
        <v>223</v>
      </c>
      <c r="B966" s="15" t="s">
        <v>33</v>
      </c>
      <c r="C966" s="15" t="s">
        <v>107</v>
      </c>
      <c r="D966" s="15" t="s">
        <v>12</v>
      </c>
      <c r="E966" s="14" t="s">
        <v>109</v>
      </c>
      <c r="F966" s="14">
        <v>901964</v>
      </c>
      <c r="G966" s="15" t="s">
        <v>151</v>
      </c>
      <c r="H966" s="14"/>
      <c r="I966" s="15"/>
      <c r="J966" s="14"/>
      <c r="K966" s="15"/>
      <c r="L966" s="15" t="s">
        <v>63</v>
      </c>
      <c r="M966" s="15"/>
      <c r="N966" s="92"/>
      <c r="P966" s="15" t="s">
        <v>660</v>
      </c>
    </row>
    <row r="967" spans="1:16">
      <c r="A967" s="15" t="s">
        <v>223</v>
      </c>
      <c r="B967" s="15" t="s">
        <v>33</v>
      </c>
      <c r="C967" s="15" t="s">
        <v>107</v>
      </c>
      <c r="D967" s="15" t="s">
        <v>12</v>
      </c>
      <c r="E967" s="14" t="s">
        <v>109</v>
      </c>
      <c r="F967" s="14">
        <v>901965</v>
      </c>
      <c r="G967" s="15" t="s">
        <v>151</v>
      </c>
      <c r="H967" s="14"/>
      <c r="I967" s="15"/>
      <c r="J967" s="14"/>
      <c r="K967" s="15"/>
      <c r="L967" s="15" t="s">
        <v>63</v>
      </c>
      <c r="M967" s="15"/>
      <c r="N967" s="92"/>
      <c r="P967" s="15" t="s">
        <v>660</v>
      </c>
    </row>
    <row r="968" spans="1:16">
      <c r="A968" s="15" t="s">
        <v>223</v>
      </c>
      <c r="B968" s="15" t="s">
        <v>33</v>
      </c>
      <c r="C968" s="15" t="s">
        <v>107</v>
      </c>
      <c r="D968" s="15" t="s">
        <v>12</v>
      </c>
      <c r="E968" s="14" t="s">
        <v>109</v>
      </c>
      <c r="F968" s="14">
        <v>901966</v>
      </c>
      <c r="G968" s="15" t="s">
        <v>151</v>
      </c>
      <c r="H968" s="14"/>
      <c r="I968" s="15"/>
      <c r="J968" s="14"/>
      <c r="K968" s="15"/>
      <c r="L968" s="15" t="s">
        <v>63</v>
      </c>
      <c r="M968" s="15"/>
      <c r="N968" s="92"/>
      <c r="P968" s="15" t="s">
        <v>660</v>
      </c>
    </row>
    <row r="969" spans="1:16">
      <c r="A969" s="15" t="s">
        <v>223</v>
      </c>
      <c r="B969" s="15" t="s">
        <v>33</v>
      </c>
      <c r="C969" s="15" t="s">
        <v>107</v>
      </c>
      <c r="D969" s="15" t="s">
        <v>12</v>
      </c>
      <c r="E969" s="14" t="s">
        <v>109</v>
      </c>
      <c r="F969" s="14">
        <v>901967</v>
      </c>
      <c r="G969" s="15" t="s">
        <v>241</v>
      </c>
      <c r="H969" s="14"/>
      <c r="I969" s="15"/>
      <c r="J969" s="14"/>
      <c r="K969" s="15"/>
      <c r="L969" s="15" t="s">
        <v>63</v>
      </c>
      <c r="M969" s="15"/>
      <c r="N969" s="92"/>
      <c r="P969" s="15" t="s">
        <v>660</v>
      </c>
    </row>
    <row r="970" spans="1:16">
      <c r="A970" s="15" t="s">
        <v>223</v>
      </c>
      <c r="B970" s="15" t="s">
        <v>33</v>
      </c>
      <c r="C970" s="15" t="s">
        <v>107</v>
      </c>
      <c r="D970" s="15" t="s">
        <v>12</v>
      </c>
      <c r="E970" s="14" t="s">
        <v>109</v>
      </c>
      <c r="F970" s="14">
        <v>901968</v>
      </c>
      <c r="G970" s="15" t="s">
        <v>241</v>
      </c>
      <c r="H970" s="14"/>
      <c r="I970" s="15"/>
      <c r="J970" s="14"/>
      <c r="K970" s="15"/>
      <c r="L970" s="15" t="s">
        <v>63</v>
      </c>
      <c r="M970" s="15"/>
      <c r="N970" s="92"/>
      <c r="P970" s="15" t="s">
        <v>660</v>
      </c>
    </row>
    <row r="971" spans="1:16">
      <c r="A971" s="15" t="s">
        <v>223</v>
      </c>
      <c r="B971" s="15" t="s">
        <v>33</v>
      </c>
      <c r="C971" s="15" t="s">
        <v>107</v>
      </c>
      <c r="D971" s="15" t="s">
        <v>12</v>
      </c>
      <c r="E971" s="14" t="s">
        <v>109</v>
      </c>
      <c r="F971" s="14">
        <v>901969</v>
      </c>
      <c r="G971" s="15" t="s">
        <v>241</v>
      </c>
      <c r="H971" s="14"/>
      <c r="I971" s="15"/>
      <c r="J971" s="14"/>
      <c r="K971" s="15"/>
      <c r="L971" s="15" t="s">
        <v>63</v>
      </c>
      <c r="M971" s="15"/>
      <c r="N971" s="92"/>
      <c r="P971" s="15" t="s">
        <v>660</v>
      </c>
    </row>
    <row r="972" spans="1:16">
      <c r="A972" s="15" t="s">
        <v>223</v>
      </c>
      <c r="B972" s="15" t="s">
        <v>33</v>
      </c>
      <c r="C972" s="15" t="s">
        <v>107</v>
      </c>
      <c r="D972" s="15" t="s">
        <v>12</v>
      </c>
      <c r="E972" s="14" t="s">
        <v>109</v>
      </c>
      <c r="F972" s="14">
        <v>901970</v>
      </c>
      <c r="G972" s="15" t="s">
        <v>241</v>
      </c>
      <c r="H972" s="14"/>
      <c r="I972" s="15"/>
      <c r="J972" s="14"/>
      <c r="K972" s="15"/>
      <c r="L972" s="15" t="s">
        <v>63</v>
      </c>
      <c r="M972" s="15"/>
      <c r="N972" s="92"/>
      <c r="P972" s="15" t="s">
        <v>660</v>
      </c>
    </row>
    <row r="973" spans="1:16">
      <c r="A973" s="15" t="s">
        <v>223</v>
      </c>
      <c r="B973" s="15" t="s">
        <v>33</v>
      </c>
      <c r="C973" s="15" t="s">
        <v>107</v>
      </c>
      <c r="D973" s="15" t="s">
        <v>12</v>
      </c>
      <c r="E973" s="14" t="s">
        <v>109</v>
      </c>
      <c r="F973" s="14">
        <v>901971</v>
      </c>
      <c r="G973" s="15" t="s">
        <v>234</v>
      </c>
      <c r="H973" s="14"/>
      <c r="I973" s="15"/>
      <c r="J973" s="14"/>
      <c r="K973" s="15"/>
      <c r="L973" s="15" t="s">
        <v>63</v>
      </c>
      <c r="M973" s="15"/>
      <c r="N973" s="92"/>
      <c r="P973" s="15" t="s">
        <v>660</v>
      </c>
    </row>
    <row r="974" spans="1:16">
      <c r="A974" s="15" t="s">
        <v>53</v>
      </c>
      <c r="B974" s="15" t="s">
        <v>33</v>
      </c>
      <c r="C974" s="15" t="s">
        <v>107</v>
      </c>
      <c r="D974" s="15" t="s">
        <v>12</v>
      </c>
      <c r="E974" s="14" t="s">
        <v>109</v>
      </c>
      <c r="F974" s="14">
        <v>901972</v>
      </c>
      <c r="G974" s="15" t="s">
        <v>234</v>
      </c>
      <c r="H974" s="14"/>
      <c r="I974" s="15"/>
      <c r="J974" s="14"/>
      <c r="K974" s="15"/>
      <c r="L974" s="15" t="s">
        <v>63</v>
      </c>
      <c r="M974" s="15"/>
      <c r="N974" s="92"/>
      <c r="P974" s="15" t="s">
        <v>660</v>
      </c>
    </row>
    <row r="975" spans="1:16">
      <c r="A975" s="15" t="s">
        <v>223</v>
      </c>
      <c r="B975" s="15" t="s">
        <v>33</v>
      </c>
      <c r="C975" s="15" t="s">
        <v>107</v>
      </c>
      <c r="D975" s="15" t="s">
        <v>12</v>
      </c>
      <c r="E975" s="14" t="s">
        <v>109</v>
      </c>
      <c r="F975" s="14">
        <v>901973</v>
      </c>
      <c r="G975" s="15" t="s">
        <v>234</v>
      </c>
      <c r="H975" s="14"/>
      <c r="I975" s="15"/>
      <c r="J975" s="14"/>
      <c r="K975" s="15"/>
      <c r="L975" s="15" t="s">
        <v>63</v>
      </c>
      <c r="M975" s="15"/>
      <c r="N975" s="92"/>
      <c r="P975" s="15" t="s">
        <v>660</v>
      </c>
    </row>
    <row r="976" spans="1:16">
      <c r="A976" s="15" t="s">
        <v>53</v>
      </c>
      <c r="B976" s="95" t="s">
        <v>34</v>
      </c>
      <c r="C976" s="15" t="s">
        <v>107</v>
      </c>
      <c r="D976" s="15" t="s">
        <v>12</v>
      </c>
      <c r="E976" s="94" t="s">
        <v>99</v>
      </c>
      <c r="F976" s="94">
        <v>901974</v>
      </c>
      <c r="G976" s="95" t="s">
        <v>168</v>
      </c>
      <c r="H976" s="14"/>
      <c r="I976" s="15"/>
      <c r="J976" s="14"/>
      <c r="K976" s="15"/>
      <c r="L976" s="15" t="s">
        <v>63</v>
      </c>
      <c r="M976" s="15"/>
      <c r="N976" s="92"/>
      <c r="P976" s="15" t="s">
        <v>660</v>
      </c>
    </row>
    <row r="977" spans="1:16">
      <c r="A977" s="15" t="s">
        <v>53</v>
      </c>
      <c r="B977" s="95" t="s">
        <v>34</v>
      </c>
      <c r="C977" s="15" t="s">
        <v>107</v>
      </c>
      <c r="D977" s="15" t="s">
        <v>12</v>
      </c>
      <c r="E977" s="94" t="s">
        <v>99</v>
      </c>
      <c r="F977" s="94">
        <v>901975</v>
      </c>
      <c r="G977" s="95" t="s">
        <v>183</v>
      </c>
      <c r="H977" s="14"/>
      <c r="I977" s="15"/>
      <c r="J977" s="14"/>
      <c r="K977" s="15"/>
      <c r="L977" s="15" t="s">
        <v>63</v>
      </c>
      <c r="M977" s="15"/>
      <c r="N977" s="92"/>
      <c r="P977" s="15" t="s">
        <v>660</v>
      </c>
    </row>
    <row r="978" spans="1:16">
      <c r="A978" s="15" t="s">
        <v>223</v>
      </c>
      <c r="B978" s="95" t="s">
        <v>34</v>
      </c>
      <c r="C978" s="15" t="s">
        <v>107</v>
      </c>
      <c r="D978" s="15" t="s">
        <v>12</v>
      </c>
      <c r="E978" s="94" t="s">
        <v>128</v>
      </c>
      <c r="F978" s="94">
        <v>901976</v>
      </c>
      <c r="G978" s="95" t="s">
        <v>245</v>
      </c>
      <c r="H978" s="14"/>
      <c r="I978" s="15"/>
      <c r="J978" s="14"/>
      <c r="K978" s="15"/>
      <c r="L978" s="15" t="s">
        <v>63</v>
      </c>
      <c r="M978" s="15"/>
      <c r="N978" s="92"/>
      <c r="P978" s="15" t="s">
        <v>660</v>
      </c>
    </row>
    <row r="979" spans="1:16">
      <c r="A979" s="15" t="s">
        <v>53</v>
      </c>
      <c r="B979" s="15" t="s">
        <v>34</v>
      </c>
      <c r="C979" s="15" t="s">
        <v>107</v>
      </c>
      <c r="D979" s="15" t="s">
        <v>12</v>
      </c>
      <c r="E979" s="14" t="s">
        <v>56</v>
      </c>
      <c r="F979" s="14">
        <v>901977</v>
      </c>
      <c r="G979" s="15" t="s">
        <v>141</v>
      </c>
      <c r="H979" s="14"/>
      <c r="I979" s="15"/>
      <c r="J979" s="14"/>
      <c r="K979" s="15"/>
      <c r="L979" s="15" t="s">
        <v>63</v>
      </c>
      <c r="M979" s="15"/>
      <c r="N979" s="92"/>
      <c r="P979" s="15" t="s">
        <v>660</v>
      </c>
    </row>
    <row r="980" spans="1:16">
      <c r="A980" s="15" t="s">
        <v>53</v>
      </c>
      <c r="B980" s="15" t="s">
        <v>29</v>
      </c>
      <c r="C980" s="15" t="s">
        <v>107</v>
      </c>
      <c r="D980" s="15" t="s">
        <v>12</v>
      </c>
      <c r="E980" s="94" t="s">
        <v>69</v>
      </c>
      <c r="F980" s="94">
        <v>901978</v>
      </c>
      <c r="G980" s="95" t="s">
        <v>247</v>
      </c>
      <c r="H980" s="14"/>
      <c r="I980" s="15"/>
      <c r="J980" s="14"/>
      <c r="K980" s="15"/>
      <c r="L980" s="15" t="s">
        <v>63</v>
      </c>
      <c r="M980" s="15"/>
      <c r="N980" s="92"/>
      <c r="P980" s="14" t="s">
        <v>707</v>
      </c>
    </row>
    <row r="981" spans="1:16">
      <c r="A981" s="15" t="s">
        <v>53</v>
      </c>
      <c r="B981" s="15" t="s">
        <v>29</v>
      </c>
      <c r="C981" s="15" t="s">
        <v>107</v>
      </c>
      <c r="D981" s="15" t="s">
        <v>12</v>
      </c>
      <c r="E981" s="94" t="s">
        <v>69</v>
      </c>
      <c r="F981" s="94">
        <v>901979</v>
      </c>
      <c r="G981" s="95" t="s">
        <v>249</v>
      </c>
      <c r="H981" s="14"/>
      <c r="I981" s="15"/>
      <c r="J981" s="14"/>
      <c r="K981" s="15"/>
      <c r="L981" s="15" t="s">
        <v>63</v>
      </c>
      <c r="M981" s="15"/>
      <c r="N981" s="92"/>
      <c r="P981" s="14" t="s">
        <v>707</v>
      </c>
    </row>
    <row r="982" spans="1:16">
      <c r="A982" s="15" t="s">
        <v>223</v>
      </c>
      <c r="B982" s="15" t="s">
        <v>29</v>
      </c>
      <c r="C982" s="15" t="s">
        <v>107</v>
      </c>
      <c r="D982" s="15" t="s">
        <v>12</v>
      </c>
      <c r="E982" s="94" t="s">
        <v>99</v>
      </c>
      <c r="F982" s="94">
        <v>901980</v>
      </c>
      <c r="G982" s="95" t="s">
        <v>251</v>
      </c>
      <c r="H982" s="14"/>
      <c r="I982" s="15"/>
      <c r="J982" s="14"/>
      <c r="K982" s="15"/>
      <c r="L982" s="15" t="s">
        <v>63</v>
      </c>
      <c r="M982" s="15"/>
      <c r="N982" s="92"/>
      <c r="P982" s="15" t="s">
        <v>660</v>
      </c>
    </row>
    <row r="983" spans="1:16">
      <c r="A983" s="15" t="s">
        <v>223</v>
      </c>
      <c r="B983" s="15" t="s">
        <v>32</v>
      </c>
      <c r="C983" s="15" t="s">
        <v>107</v>
      </c>
      <c r="D983" s="15" t="s">
        <v>12</v>
      </c>
      <c r="E983" s="94" t="s">
        <v>128</v>
      </c>
      <c r="F983" s="94">
        <v>901981</v>
      </c>
      <c r="G983" s="95" t="s">
        <v>239</v>
      </c>
      <c r="H983" s="14"/>
      <c r="I983" s="15"/>
      <c r="J983" s="14"/>
      <c r="K983" s="15"/>
      <c r="L983" s="15" t="s">
        <v>63</v>
      </c>
      <c r="M983" s="15"/>
      <c r="N983" s="92"/>
      <c r="P983" s="15" t="s">
        <v>660</v>
      </c>
    </row>
    <row r="984" spans="1:16">
      <c r="A984" s="15" t="s">
        <v>53</v>
      </c>
      <c r="B984" s="15" t="s">
        <v>29</v>
      </c>
      <c r="C984" s="15" t="s">
        <v>107</v>
      </c>
      <c r="D984" s="15" t="s">
        <v>12</v>
      </c>
      <c r="E984" s="94" t="s">
        <v>128</v>
      </c>
      <c r="F984" s="94">
        <v>901982</v>
      </c>
      <c r="G984" s="15" t="s">
        <v>144</v>
      </c>
      <c r="H984" s="14"/>
      <c r="I984" s="15"/>
      <c r="J984" s="14"/>
      <c r="K984" s="15"/>
      <c r="L984" s="15" t="s">
        <v>63</v>
      </c>
      <c r="M984" s="15"/>
      <c r="N984" s="92"/>
      <c r="P984" s="15" t="s">
        <v>660</v>
      </c>
    </row>
    <row r="985" spans="1:16">
      <c r="A985" s="15" t="s">
        <v>53</v>
      </c>
      <c r="B985" s="15" t="s">
        <v>29</v>
      </c>
      <c r="C985" s="15" t="s">
        <v>107</v>
      </c>
      <c r="D985" s="15" t="s">
        <v>12</v>
      </c>
      <c r="E985" s="94" t="s">
        <v>128</v>
      </c>
      <c r="F985" s="94">
        <v>901983</v>
      </c>
      <c r="G985" s="15" t="s">
        <v>142</v>
      </c>
      <c r="H985" s="14"/>
      <c r="I985" s="15"/>
      <c r="J985" s="14"/>
      <c r="K985" s="15"/>
      <c r="L985" s="15" t="s">
        <v>63</v>
      </c>
      <c r="M985" s="15"/>
      <c r="N985" s="92"/>
      <c r="P985" s="15" t="s">
        <v>660</v>
      </c>
    </row>
    <row r="986" spans="1:16">
      <c r="A986" s="15" t="s">
        <v>53</v>
      </c>
      <c r="B986" s="15" t="s">
        <v>29</v>
      </c>
      <c r="C986" s="15" t="s">
        <v>107</v>
      </c>
      <c r="D986" s="15" t="s">
        <v>12</v>
      </c>
      <c r="E986" s="94" t="s">
        <v>128</v>
      </c>
      <c r="F986" s="94">
        <v>901984</v>
      </c>
      <c r="G986" s="15" t="s">
        <v>253</v>
      </c>
      <c r="H986" s="14"/>
      <c r="I986" s="15"/>
      <c r="J986" s="14"/>
      <c r="K986" s="15"/>
      <c r="L986" s="15" t="s">
        <v>63</v>
      </c>
      <c r="M986" s="15"/>
      <c r="N986" s="92"/>
      <c r="P986" s="14" t="s">
        <v>707</v>
      </c>
    </row>
    <row r="987" spans="1:16">
      <c r="A987" s="15" t="s">
        <v>53</v>
      </c>
      <c r="B987" s="15" t="s">
        <v>32</v>
      </c>
      <c r="C987" s="15" t="s">
        <v>107</v>
      </c>
      <c r="D987" s="15" t="s">
        <v>12</v>
      </c>
      <c r="E987" s="94" t="s">
        <v>69</v>
      </c>
      <c r="F987" s="94">
        <v>901985</v>
      </c>
      <c r="G987" s="95" t="s">
        <v>220</v>
      </c>
      <c r="H987" s="14"/>
      <c r="I987" s="15"/>
      <c r="J987" s="14"/>
      <c r="K987" s="15"/>
      <c r="L987" s="15" t="s">
        <v>63</v>
      </c>
      <c r="M987" s="15"/>
      <c r="N987" s="92"/>
      <c r="P987" s="15" t="s">
        <v>660</v>
      </c>
    </row>
    <row r="988" spans="1:16">
      <c r="A988" s="15" t="s">
        <v>53</v>
      </c>
      <c r="B988" s="15" t="s">
        <v>29</v>
      </c>
      <c r="C988" s="15" t="s">
        <v>107</v>
      </c>
      <c r="D988" s="15" t="s">
        <v>12</v>
      </c>
      <c r="E988" s="94" t="s">
        <v>210</v>
      </c>
      <c r="F988" s="94">
        <v>901986</v>
      </c>
      <c r="G988" s="95" t="s">
        <v>260</v>
      </c>
      <c r="H988" s="14"/>
      <c r="I988" s="15"/>
      <c r="J988" s="14"/>
      <c r="K988" s="15"/>
      <c r="L988" s="15" t="s">
        <v>63</v>
      </c>
      <c r="M988" s="15"/>
      <c r="N988" s="92"/>
      <c r="P988" s="14" t="s">
        <v>681</v>
      </c>
    </row>
    <row r="989" spans="1:16">
      <c r="A989" s="15" t="s">
        <v>53</v>
      </c>
      <c r="B989" s="15" t="s">
        <v>29</v>
      </c>
      <c r="C989" s="15" t="s">
        <v>107</v>
      </c>
      <c r="D989" s="15" t="s">
        <v>12</v>
      </c>
      <c r="E989" s="94" t="s">
        <v>210</v>
      </c>
      <c r="F989" s="94">
        <v>901987</v>
      </c>
      <c r="G989" s="95" t="s">
        <v>262</v>
      </c>
      <c r="H989" s="14"/>
      <c r="I989" s="15"/>
      <c r="J989" s="14"/>
      <c r="K989" s="15"/>
      <c r="L989" s="15" t="s">
        <v>63</v>
      </c>
      <c r="M989" s="15"/>
      <c r="N989" s="92"/>
      <c r="P989" s="15" t="s">
        <v>660</v>
      </c>
    </row>
    <row r="990" spans="1:16">
      <c r="A990" s="15" t="s">
        <v>223</v>
      </c>
      <c r="B990" s="15" t="s">
        <v>29</v>
      </c>
      <c r="C990" s="15" t="s">
        <v>107</v>
      </c>
      <c r="D990" s="15" t="s">
        <v>12</v>
      </c>
      <c r="E990" s="94" t="s">
        <v>210</v>
      </c>
      <c r="F990" s="94">
        <v>901988</v>
      </c>
      <c r="G990" s="95" t="s">
        <v>264</v>
      </c>
      <c r="H990" s="14"/>
      <c r="I990" s="15"/>
      <c r="J990" s="14"/>
      <c r="K990" s="15"/>
      <c r="L990" s="15" t="s">
        <v>63</v>
      </c>
      <c r="M990" s="15"/>
      <c r="N990" s="92"/>
      <c r="P990" s="15" t="s">
        <v>660</v>
      </c>
    </row>
    <row r="991" spans="1:16">
      <c r="A991" s="15" t="s">
        <v>223</v>
      </c>
      <c r="B991" s="15" t="s">
        <v>34</v>
      </c>
      <c r="C991" s="15" t="s">
        <v>107</v>
      </c>
      <c r="D991" s="15" t="s">
        <v>12</v>
      </c>
      <c r="E991" s="14" t="s">
        <v>56</v>
      </c>
      <c r="F991" s="14">
        <v>901989</v>
      </c>
      <c r="G991" s="15" t="s">
        <v>172</v>
      </c>
      <c r="H991" s="14"/>
      <c r="I991" s="15"/>
      <c r="J991" s="14"/>
      <c r="K991" s="15"/>
      <c r="L991" s="15" t="s">
        <v>63</v>
      </c>
      <c r="M991" s="15"/>
      <c r="N991" s="92"/>
      <c r="P991" s="15" t="s">
        <v>660</v>
      </c>
    </row>
    <row r="992" spans="1:16">
      <c r="A992" s="15" t="s">
        <v>223</v>
      </c>
      <c r="B992" s="15" t="s">
        <v>32</v>
      </c>
      <c r="C992" s="15" t="s">
        <v>107</v>
      </c>
      <c r="D992" s="15" t="s">
        <v>12</v>
      </c>
      <c r="E992" s="94" t="s">
        <v>99</v>
      </c>
      <c r="F992" s="94">
        <v>901990</v>
      </c>
      <c r="G992" s="95" t="s">
        <v>168</v>
      </c>
      <c r="H992" s="14"/>
      <c r="I992" s="15"/>
      <c r="J992" s="14"/>
      <c r="K992" s="15"/>
      <c r="L992" s="15" t="s">
        <v>63</v>
      </c>
      <c r="M992" s="15"/>
      <c r="N992" s="92"/>
      <c r="P992" s="15" t="s">
        <v>660</v>
      </c>
    </row>
    <row r="993" spans="1:16">
      <c r="A993" s="15" t="s">
        <v>223</v>
      </c>
      <c r="B993" s="15" t="s">
        <v>29</v>
      </c>
      <c r="C993" s="15" t="s">
        <v>107</v>
      </c>
      <c r="D993" s="15" t="s">
        <v>12</v>
      </c>
      <c r="E993" s="94" t="s">
        <v>99</v>
      </c>
      <c r="F993" s="94">
        <v>901991</v>
      </c>
      <c r="G993" s="15" t="s">
        <v>183</v>
      </c>
      <c r="H993" s="14"/>
      <c r="I993" s="15"/>
      <c r="J993" s="14"/>
      <c r="K993" s="15"/>
      <c r="L993" s="15" t="s">
        <v>63</v>
      </c>
      <c r="M993" s="15"/>
      <c r="N993" s="92"/>
      <c r="P993" s="14" t="s">
        <v>707</v>
      </c>
    </row>
    <row r="994" spans="1:16">
      <c r="A994" s="15" t="s">
        <v>223</v>
      </c>
      <c r="B994" s="95" t="s">
        <v>34</v>
      </c>
      <c r="C994" s="15" t="s">
        <v>107</v>
      </c>
      <c r="D994" s="15" t="s">
        <v>12</v>
      </c>
      <c r="E994" s="94" t="s">
        <v>128</v>
      </c>
      <c r="F994" s="94">
        <v>901992</v>
      </c>
      <c r="G994" s="15" t="s">
        <v>141</v>
      </c>
      <c r="H994" s="14"/>
      <c r="I994" s="15"/>
      <c r="J994" s="14"/>
      <c r="K994" s="15"/>
      <c r="L994" s="15" t="s">
        <v>63</v>
      </c>
      <c r="M994" s="15"/>
      <c r="N994" s="92"/>
      <c r="P994" s="15" t="s">
        <v>660</v>
      </c>
    </row>
    <row r="995" spans="1:16">
      <c r="A995" s="15" t="s">
        <v>223</v>
      </c>
      <c r="B995" s="15" t="s">
        <v>32</v>
      </c>
      <c r="C995" s="15" t="s">
        <v>107</v>
      </c>
      <c r="D995" s="15" t="s">
        <v>12</v>
      </c>
      <c r="E995" s="94" t="s">
        <v>99</v>
      </c>
      <c r="F995" s="94">
        <v>901993</v>
      </c>
      <c r="G995" s="95" t="s">
        <v>170</v>
      </c>
      <c r="H995" s="14"/>
      <c r="I995" s="15"/>
      <c r="J995" s="14"/>
      <c r="K995" s="15"/>
      <c r="L995" s="15" t="s">
        <v>63</v>
      </c>
      <c r="M995" s="15"/>
      <c r="N995" s="92"/>
      <c r="P995" s="15" t="s">
        <v>660</v>
      </c>
    </row>
    <row r="996" spans="1:16">
      <c r="A996" s="15" t="s">
        <v>53</v>
      </c>
      <c r="B996" s="15" t="s">
        <v>32</v>
      </c>
      <c r="C996" s="15" t="s">
        <v>107</v>
      </c>
      <c r="D996" s="15" t="s">
        <v>12</v>
      </c>
      <c r="E996" s="94" t="s">
        <v>99</v>
      </c>
      <c r="F996" s="94">
        <v>901994</v>
      </c>
      <c r="G996" s="95" t="s">
        <v>146</v>
      </c>
      <c r="H996" s="14"/>
      <c r="I996" s="15"/>
      <c r="J996" s="14"/>
      <c r="K996" s="15"/>
      <c r="L996" s="15" t="s">
        <v>63</v>
      </c>
      <c r="M996" s="15"/>
      <c r="N996" s="92"/>
      <c r="P996" s="15" t="s">
        <v>660</v>
      </c>
    </row>
    <row r="997" spans="1:16">
      <c r="A997" s="15" t="s">
        <v>223</v>
      </c>
      <c r="B997" s="15" t="s">
        <v>32</v>
      </c>
      <c r="C997" s="15" t="s">
        <v>107</v>
      </c>
      <c r="D997" s="15" t="s">
        <v>12</v>
      </c>
      <c r="E997" s="94" t="s">
        <v>210</v>
      </c>
      <c r="F997" s="94">
        <v>901995</v>
      </c>
      <c r="G997" s="95" t="s">
        <v>266</v>
      </c>
      <c r="H997" s="14"/>
      <c r="I997" s="15"/>
      <c r="J997" s="14"/>
      <c r="K997" s="15"/>
      <c r="L997" s="15" t="s">
        <v>63</v>
      </c>
      <c r="M997" s="15"/>
      <c r="N997" s="92"/>
      <c r="P997" s="14" t="s">
        <v>707</v>
      </c>
    </row>
    <row r="998" spans="1:16">
      <c r="A998" s="15" t="s">
        <v>53</v>
      </c>
      <c r="B998" s="15" t="s">
        <v>33</v>
      </c>
      <c r="C998" s="15" t="s">
        <v>107</v>
      </c>
      <c r="D998" s="15" t="s">
        <v>12</v>
      </c>
      <c r="E998" s="94" t="s">
        <v>128</v>
      </c>
      <c r="F998" s="94">
        <v>901996</v>
      </c>
      <c r="G998" s="95" t="s">
        <v>239</v>
      </c>
      <c r="H998" s="14"/>
      <c r="I998" s="15"/>
      <c r="J998" s="14"/>
      <c r="K998" s="15"/>
      <c r="L998" s="15" t="s">
        <v>63</v>
      </c>
      <c r="M998" s="15"/>
      <c r="N998" s="92"/>
      <c r="P998" s="15" t="s">
        <v>660</v>
      </c>
    </row>
    <row r="999" spans="1:16">
      <c r="A999" s="15" t="s">
        <v>53</v>
      </c>
      <c r="B999" s="15" t="s">
        <v>32</v>
      </c>
      <c r="C999" s="15" t="s">
        <v>107</v>
      </c>
      <c r="D999" s="15" t="s">
        <v>12</v>
      </c>
      <c r="E999" s="94" t="s">
        <v>128</v>
      </c>
      <c r="F999" s="94">
        <v>901997</v>
      </c>
      <c r="G999" s="95" t="s">
        <v>267</v>
      </c>
      <c r="H999" s="14"/>
      <c r="I999" s="15"/>
      <c r="J999" s="14"/>
      <c r="K999" s="15"/>
      <c r="L999" s="15" t="s">
        <v>63</v>
      </c>
      <c r="M999" s="15"/>
      <c r="N999" s="92"/>
      <c r="P999" s="14" t="s">
        <v>681</v>
      </c>
    </row>
    <row r="1000" spans="1:16">
      <c r="A1000" s="15" t="s">
        <v>53</v>
      </c>
      <c r="B1000" s="15" t="s">
        <v>32</v>
      </c>
      <c r="C1000" s="15" t="s">
        <v>107</v>
      </c>
      <c r="D1000" s="15" t="s">
        <v>12</v>
      </c>
      <c r="E1000" s="94" t="s">
        <v>128</v>
      </c>
      <c r="F1000" s="94">
        <v>901998</v>
      </c>
      <c r="G1000" s="95" t="s">
        <v>270</v>
      </c>
      <c r="H1000" s="14"/>
      <c r="I1000" s="15"/>
      <c r="J1000" s="14"/>
      <c r="K1000" s="15"/>
      <c r="L1000" s="15" t="s">
        <v>63</v>
      </c>
      <c r="M1000" s="15"/>
      <c r="N1000" s="92"/>
      <c r="P1000" s="14" t="s">
        <v>681</v>
      </c>
    </row>
    <row r="1001" spans="1:16">
      <c r="A1001" s="15" t="s">
        <v>53</v>
      </c>
      <c r="B1001" s="15" t="s">
        <v>29</v>
      </c>
      <c r="C1001" s="15" t="s">
        <v>107</v>
      </c>
      <c r="D1001" s="15" t="s">
        <v>12</v>
      </c>
      <c r="E1001" s="94" t="s">
        <v>128</v>
      </c>
      <c r="F1001" s="94">
        <v>901999</v>
      </c>
      <c r="G1001" s="15" t="s">
        <v>272</v>
      </c>
      <c r="H1001" s="14"/>
      <c r="I1001" s="15"/>
      <c r="J1001" s="14"/>
      <c r="K1001" s="15"/>
      <c r="L1001" s="15" t="s">
        <v>63</v>
      </c>
      <c r="M1001" s="15"/>
      <c r="N1001" s="92"/>
      <c r="P1001" s="14" t="s">
        <v>681</v>
      </c>
    </row>
    <row r="1002" spans="1:16">
      <c r="A1002" s="15" t="s">
        <v>53</v>
      </c>
      <c r="B1002" s="15" t="s">
        <v>29</v>
      </c>
      <c r="C1002" s="15" t="s">
        <v>107</v>
      </c>
      <c r="D1002" s="15" t="s">
        <v>12</v>
      </c>
      <c r="E1002" s="94" t="s">
        <v>128</v>
      </c>
      <c r="F1002" s="94">
        <v>902000</v>
      </c>
      <c r="G1002" s="15" t="s">
        <v>274</v>
      </c>
      <c r="H1002" s="14"/>
      <c r="I1002" s="15"/>
      <c r="J1002" s="14"/>
      <c r="K1002" s="15"/>
      <c r="L1002" s="15" t="s">
        <v>63</v>
      </c>
      <c r="M1002" s="15"/>
      <c r="N1002" s="92"/>
      <c r="P1002" s="14" t="s">
        <v>681</v>
      </c>
    </row>
    <row r="1003" spans="1:16">
      <c r="A1003" s="15" t="s">
        <v>53</v>
      </c>
      <c r="B1003" s="15" t="s">
        <v>29</v>
      </c>
      <c r="C1003" s="15" t="s">
        <v>107</v>
      </c>
      <c r="D1003" s="15" t="s">
        <v>12</v>
      </c>
      <c r="E1003" s="94" t="s">
        <v>128</v>
      </c>
      <c r="F1003" s="94">
        <v>902001</v>
      </c>
      <c r="G1003" s="15" t="s">
        <v>236</v>
      </c>
      <c r="H1003" s="14"/>
      <c r="I1003" s="15"/>
      <c r="J1003" s="14"/>
      <c r="K1003" s="15"/>
      <c r="L1003" s="15" t="s">
        <v>63</v>
      </c>
      <c r="M1003" s="15"/>
      <c r="N1003" s="92"/>
      <c r="P1003" s="14" t="s">
        <v>681</v>
      </c>
    </row>
    <row r="1004" spans="1:16">
      <c r="A1004" s="15" t="s">
        <v>53</v>
      </c>
      <c r="B1004" s="15" t="s">
        <v>34</v>
      </c>
      <c r="C1004" s="15" t="s">
        <v>107</v>
      </c>
      <c r="D1004" s="15" t="s">
        <v>12</v>
      </c>
      <c r="E1004" s="14" t="s">
        <v>56</v>
      </c>
      <c r="F1004" s="14">
        <v>902002</v>
      </c>
      <c r="G1004" s="15" t="s">
        <v>172</v>
      </c>
      <c r="H1004" s="14"/>
      <c r="I1004" s="15"/>
      <c r="J1004" s="14"/>
      <c r="K1004" s="15"/>
      <c r="L1004" s="15" t="s">
        <v>63</v>
      </c>
      <c r="M1004" s="15"/>
      <c r="N1004" s="92"/>
      <c r="P1004" s="15" t="s">
        <v>660</v>
      </c>
    </row>
    <row r="1005" spans="1:16">
      <c r="A1005" s="15" t="s">
        <v>53</v>
      </c>
      <c r="B1005" s="15" t="s">
        <v>34</v>
      </c>
      <c r="C1005" s="15" t="s">
        <v>107</v>
      </c>
      <c r="D1005" s="15" t="s">
        <v>12</v>
      </c>
      <c r="E1005" s="14" t="s">
        <v>56</v>
      </c>
      <c r="F1005" s="14">
        <v>902003</v>
      </c>
      <c r="G1005" s="15" t="s">
        <v>172</v>
      </c>
      <c r="H1005" s="14"/>
      <c r="I1005" s="15"/>
      <c r="J1005" s="14"/>
      <c r="K1005" s="15"/>
      <c r="L1005" s="15" t="s">
        <v>63</v>
      </c>
      <c r="M1005" s="15"/>
      <c r="N1005" s="92"/>
      <c r="P1005" s="15" t="s">
        <v>660</v>
      </c>
    </row>
    <row r="1006" spans="1:16">
      <c r="A1006" s="15" t="s">
        <v>53</v>
      </c>
      <c r="B1006" s="15" t="s">
        <v>34</v>
      </c>
      <c r="C1006" s="15" t="s">
        <v>107</v>
      </c>
      <c r="D1006" s="15" t="s">
        <v>12</v>
      </c>
      <c r="E1006" s="14" t="s">
        <v>56</v>
      </c>
      <c r="F1006" s="14">
        <v>902004</v>
      </c>
      <c r="G1006" s="15" t="s">
        <v>172</v>
      </c>
      <c r="H1006" s="14"/>
      <c r="I1006" s="15"/>
      <c r="J1006" s="14"/>
      <c r="K1006" s="15"/>
      <c r="L1006" s="15" t="s">
        <v>63</v>
      </c>
      <c r="M1006" s="15"/>
      <c r="N1006" s="92"/>
      <c r="P1006" s="15" t="s">
        <v>660</v>
      </c>
    </row>
    <row r="1007" spans="1:16">
      <c r="A1007" s="15" t="s">
        <v>53</v>
      </c>
      <c r="B1007" s="15" t="s">
        <v>29</v>
      </c>
      <c r="C1007" s="15" t="s">
        <v>107</v>
      </c>
      <c r="D1007" s="15" t="s">
        <v>12</v>
      </c>
      <c r="E1007" s="14" t="s">
        <v>99</v>
      </c>
      <c r="F1007" s="14">
        <v>90002005</v>
      </c>
      <c r="G1007" s="15" t="s">
        <v>276</v>
      </c>
      <c r="H1007" s="14"/>
      <c r="I1007" s="15"/>
      <c r="J1007" s="14"/>
      <c r="K1007" s="15"/>
      <c r="L1007" s="15" t="s">
        <v>63</v>
      </c>
      <c r="M1007" s="15"/>
      <c r="N1007" s="92"/>
      <c r="P1007" s="14" t="s">
        <v>707</v>
      </c>
    </row>
    <row r="1008" spans="1:16">
      <c r="A1008" s="15" t="s">
        <v>53</v>
      </c>
      <c r="B1008" s="15" t="s">
        <v>30</v>
      </c>
      <c r="C1008" s="15" t="s">
        <v>107</v>
      </c>
      <c r="D1008" s="15" t="s">
        <v>12</v>
      </c>
      <c r="E1008" s="14" t="s">
        <v>56</v>
      </c>
      <c r="F1008" s="14">
        <v>902006</v>
      </c>
      <c r="G1008" s="15" t="s">
        <v>172</v>
      </c>
      <c r="H1008" s="14"/>
      <c r="I1008" s="15"/>
      <c r="J1008" s="14"/>
      <c r="K1008" s="15"/>
      <c r="L1008" s="15" t="s">
        <v>63</v>
      </c>
      <c r="M1008" s="15"/>
      <c r="N1008" s="92"/>
      <c r="P1008" s="15" t="s">
        <v>660</v>
      </c>
    </row>
  </sheetData>
  <autoFilter ref="A1:P1008" xr:uid="{00000000-0009-0000-0000-000001000000}"/>
  <conditionalFormatting sqref="F1">
    <cfRule type="duplicateValues" dxfId="95" priority="286"/>
  </conditionalFormatting>
  <conditionalFormatting sqref="F598">
    <cfRule type="duplicateValues" dxfId="94" priority="289"/>
  </conditionalFormatting>
  <conditionalFormatting sqref="F1:F597 F599:F643">
    <cfRule type="duplicateValues" dxfId="93" priority="291"/>
    <cfRule type="duplicateValues" dxfId="92" priority="290"/>
  </conditionalFormatting>
  <conditionalFormatting sqref="F2:F597 F599:F643">
    <cfRule type="duplicateValues" dxfId="91" priority="294"/>
    <cfRule type="duplicateValues" dxfId="90" priority="295"/>
  </conditionalFormatting>
  <conditionalFormatting sqref="F489:F597 F599:F643">
    <cfRule type="duplicateValues" dxfId="89" priority="298"/>
  </conditionalFormatting>
  <conditionalFormatting sqref="F618">
    <cfRule type="duplicateValues" dxfId="88" priority="300"/>
  </conditionalFormatting>
  <conditionalFormatting sqref="F644:F959 F961:F1008">
    <cfRule type="duplicateValues" dxfId="87" priority="7"/>
  </conditionalFormatting>
  <conditionalFormatting sqref="F644:F1008">
    <cfRule type="duplicateValues" dxfId="86" priority="304"/>
  </conditionalFormatting>
  <conditionalFormatting sqref="F960">
    <cfRule type="duplicateValues" dxfId="85" priority="4"/>
    <cfRule type="duplicateValues" dxfId="84" priority="5"/>
    <cfRule type="duplicateValues" dxfId="83" priority="6"/>
  </conditionalFormatting>
  <conditionalFormatting sqref="F1:F643 F1009:F1048576">
    <cfRule type="duplicateValues" dxfId="82" priority="287"/>
    <cfRule type="duplicateValues" dxfId="81" priority="288"/>
  </conditionalFormatting>
  <conditionalFormatting sqref="H2">
    <cfRule type="duplicateValues" dxfId="80" priority="61"/>
    <cfRule type="duplicateValues" dxfId="79" priority="62"/>
  </conditionalFormatting>
  <conditionalFormatting sqref="H198">
    <cfRule type="duplicateValues" dxfId="78" priority="38"/>
  </conditionalFormatting>
  <conditionalFormatting sqref="H517">
    <cfRule type="duplicateValues" dxfId="77" priority="21"/>
  </conditionalFormatting>
  <conditionalFormatting sqref="H532">
    <cfRule type="duplicateValues" dxfId="76" priority="22"/>
  </conditionalFormatting>
  <conditionalFormatting sqref="H533">
    <cfRule type="duplicateValues" dxfId="75" priority="23"/>
  </conditionalFormatting>
  <conditionalFormatting sqref="H591">
    <cfRule type="duplicateValues" dxfId="74" priority="48"/>
    <cfRule type="duplicateValues" dxfId="73" priority="49"/>
    <cfRule type="duplicateValues" dxfId="72" priority="50"/>
  </conditionalFormatting>
  <conditionalFormatting sqref="H593">
    <cfRule type="duplicateValues" dxfId="71" priority="58"/>
  </conditionalFormatting>
  <conditionalFormatting sqref="H594">
    <cfRule type="duplicateValues" dxfId="70" priority="59"/>
  </conditionalFormatting>
  <conditionalFormatting sqref="H595">
    <cfRule type="duplicateValues" dxfId="69" priority="55"/>
  </conditionalFormatting>
  <conditionalFormatting sqref="H596">
    <cfRule type="duplicateValues" dxfId="68" priority="57"/>
  </conditionalFormatting>
  <conditionalFormatting sqref="H597">
    <cfRule type="duplicateValues" dxfId="67" priority="56"/>
  </conditionalFormatting>
  <conditionalFormatting sqref="H598">
    <cfRule type="duplicateValues" dxfId="66" priority="53"/>
  </conditionalFormatting>
  <conditionalFormatting sqref="H599">
    <cfRule type="duplicateValues" dxfId="65" priority="43"/>
    <cfRule type="duplicateValues" dxfId="64" priority="44"/>
    <cfRule type="duplicateValues" dxfId="63" priority="45"/>
    <cfRule type="duplicateValues" dxfId="62" priority="46"/>
  </conditionalFormatting>
  <conditionalFormatting sqref="H601">
    <cfRule type="duplicateValues" dxfId="61" priority="41"/>
  </conditionalFormatting>
  <conditionalFormatting sqref="H604:H607">
    <cfRule type="duplicateValues" dxfId="60" priority="20"/>
  </conditionalFormatting>
  <conditionalFormatting sqref="H1:H643 H1009:H1048576">
    <cfRule type="duplicateValues" dxfId="59" priority="17"/>
  </conditionalFormatting>
  <conditionalFormatting sqref="I2">
    <cfRule type="duplicateValues" dxfId="58" priority="60"/>
  </conditionalFormatting>
  <conditionalFormatting sqref="I198">
    <cfRule type="duplicateValues" dxfId="57" priority="39"/>
  </conditionalFormatting>
  <conditionalFormatting sqref="I591">
    <cfRule type="duplicateValues" dxfId="56" priority="51"/>
  </conditionalFormatting>
  <conditionalFormatting sqref="I599">
    <cfRule type="duplicateValues" dxfId="55" priority="47"/>
  </conditionalFormatting>
  <conditionalFormatting sqref="I601">
    <cfRule type="duplicateValues" dxfId="54" priority="42"/>
  </conditionalFormatting>
  <dataValidations count="1">
    <dataValidation type="list" allowBlank="1" showInputMessage="1" showErrorMessage="1" sqref="A2" xr:uid="{00000000-0002-0000-0100-000000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"/>
  <sheetViews>
    <sheetView workbookViewId="0">
      <selection activeCell="B1" sqref="B1"/>
    </sheetView>
  </sheetViews>
  <sheetFormatPr defaultRowHeight="14.45"/>
  <cols>
    <col min="1" max="1" width="11.7109375" bestFit="1" customWidth="1"/>
    <col min="2" max="2" width="15.140625" bestFit="1" customWidth="1"/>
    <col min="3" max="4" width="21.42578125" bestFit="1" customWidth="1"/>
    <col min="5" max="5" width="12.28515625" style="9" bestFit="1" customWidth="1"/>
    <col min="6" max="6" width="13.5703125" style="9" bestFit="1" customWidth="1"/>
    <col min="7" max="7" width="15.140625" style="9" bestFit="1" customWidth="1"/>
    <col min="8" max="8" width="11.85546875" style="9" bestFit="1" customWidth="1"/>
    <col min="9" max="9" width="22.5703125" style="4" bestFit="1" customWidth="1"/>
    <col min="10" max="10" width="17" style="9" bestFit="1" customWidth="1"/>
    <col min="11" max="11" width="18" bestFit="1" customWidth="1"/>
    <col min="12" max="12" width="17.5703125" bestFit="1" customWidth="1"/>
    <col min="13" max="13" width="10.5703125" bestFit="1" customWidth="1"/>
    <col min="14" max="14" width="10.140625" bestFit="1" customWidth="1"/>
  </cols>
  <sheetData>
    <row r="1" spans="1:13">
      <c r="A1" s="96" t="s">
        <v>37</v>
      </c>
      <c r="B1" s="96" t="s">
        <v>38</v>
      </c>
      <c r="C1" s="96" t="s">
        <v>39</v>
      </c>
      <c r="D1" s="96" t="s">
        <v>40</v>
      </c>
      <c r="E1" s="97" t="s">
        <v>41</v>
      </c>
      <c r="F1" s="97" t="s">
        <v>42</v>
      </c>
      <c r="G1" s="97" t="s">
        <v>43</v>
      </c>
      <c r="H1" s="97" t="s">
        <v>44</v>
      </c>
      <c r="I1" s="91" t="s">
        <v>45</v>
      </c>
      <c r="J1" s="97" t="s">
        <v>46</v>
      </c>
      <c r="K1" s="96" t="s">
        <v>47</v>
      </c>
      <c r="L1" s="91" t="s">
        <v>48</v>
      </c>
      <c r="M1" s="91" t="s">
        <v>49</v>
      </c>
    </row>
    <row r="2" spans="1:13">
      <c r="A2" s="93" t="s">
        <v>53</v>
      </c>
      <c r="B2" s="93" t="s">
        <v>30</v>
      </c>
      <c r="C2" s="93" t="s">
        <v>107</v>
      </c>
      <c r="D2" s="93" t="s">
        <v>12</v>
      </c>
      <c r="E2" s="14" t="s">
        <v>555</v>
      </c>
      <c r="F2" s="14">
        <v>902007</v>
      </c>
      <c r="G2" s="14" t="s">
        <v>555</v>
      </c>
      <c r="H2" s="14">
        <v>78010612</v>
      </c>
      <c r="I2" s="15" t="s">
        <v>811</v>
      </c>
      <c r="J2" s="14" t="s">
        <v>555</v>
      </c>
      <c r="K2" s="93" t="s">
        <v>552</v>
      </c>
      <c r="L2" s="15" t="s">
        <v>60</v>
      </c>
      <c r="M2" s="15"/>
    </row>
    <row r="3" spans="1:13">
      <c r="A3" s="93" t="s">
        <v>53</v>
      </c>
      <c r="B3" s="93" t="s">
        <v>30</v>
      </c>
      <c r="C3" s="93" t="s">
        <v>107</v>
      </c>
      <c r="D3" s="93" t="s">
        <v>12</v>
      </c>
      <c r="E3" s="14" t="s">
        <v>555</v>
      </c>
      <c r="F3" s="14">
        <v>902008</v>
      </c>
      <c r="G3" s="14" t="s">
        <v>555</v>
      </c>
      <c r="H3" s="14">
        <v>78010613</v>
      </c>
      <c r="I3" s="15" t="s">
        <v>812</v>
      </c>
      <c r="J3" s="14" t="s">
        <v>555</v>
      </c>
      <c r="K3" s="93" t="s">
        <v>552</v>
      </c>
      <c r="L3" s="15" t="s">
        <v>60</v>
      </c>
      <c r="M3" s="15"/>
    </row>
    <row r="4" spans="1:13">
      <c r="A4" s="93" t="s">
        <v>53</v>
      </c>
      <c r="B4" s="93" t="s">
        <v>30</v>
      </c>
      <c r="C4" s="93" t="s">
        <v>107</v>
      </c>
      <c r="D4" s="93" t="s">
        <v>12</v>
      </c>
      <c r="E4" s="14" t="s">
        <v>555</v>
      </c>
      <c r="F4" s="14">
        <v>902009</v>
      </c>
      <c r="G4" s="14" t="s">
        <v>555</v>
      </c>
      <c r="H4" s="14">
        <v>78010614</v>
      </c>
      <c r="I4" s="15" t="s">
        <v>813</v>
      </c>
      <c r="J4" s="14" t="s">
        <v>555</v>
      </c>
      <c r="K4" s="93" t="s">
        <v>552</v>
      </c>
      <c r="L4" s="15" t="s">
        <v>60</v>
      </c>
      <c r="M4" s="15"/>
    </row>
    <row r="5" spans="1:13">
      <c r="A5" s="93" t="s">
        <v>53</v>
      </c>
      <c r="B5" s="93" t="s">
        <v>33</v>
      </c>
      <c r="C5" s="93" t="s">
        <v>107</v>
      </c>
      <c r="D5" s="93" t="s">
        <v>12</v>
      </c>
      <c r="E5" s="14" t="s">
        <v>555</v>
      </c>
      <c r="F5" s="14">
        <v>902010</v>
      </c>
      <c r="G5" s="14" t="s">
        <v>555</v>
      </c>
      <c r="H5" s="14">
        <v>78010615</v>
      </c>
      <c r="I5" s="15" t="s">
        <v>814</v>
      </c>
      <c r="J5" s="14" t="s">
        <v>555</v>
      </c>
      <c r="K5" s="93" t="s">
        <v>552</v>
      </c>
      <c r="L5" s="15" t="s">
        <v>60</v>
      </c>
      <c r="M5" s="15"/>
    </row>
    <row r="6" spans="1:13">
      <c r="A6" s="93" t="s">
        <v>53</v>
      </c>
      <c r="B6" s="93" t="s">
        <v>33</v>
      </c>
      <c r="C6" s="93" t="s">
        <v>107</v>
      </c>
      <c r="D6" s="93" t="s">
        <v>12</v>
      </c>
      <c r="E6" s="14" t="s">
        <v>555</v>
      </c>
      <c r="F6" s="14">
        <v>902011</v>
      </c>
      <c r="G6" s="14" t="s">
        <v>555</v>
      </c>
      <c r="H6" s="14">
        <v>78010616</v>
      </c>
      <c r="I6" s="15" t="s">
        <v>815</v>
      </c>
      <c r="J6" s="14" t="s">
        <v>555</v>
      </c>
      <c r="K6" s="93" t="s">
        <v>552</v>
      </c>
      <c r="L6" s="15" t="s">
        <v>60</v>
      </c>
      <c r="M6" s="15"/>
    </row>
    <row r="7" spans="1:13">
      <c r="A7" s="93" t="s">
        <v>53</v>
      </c>
      <c r="B7" s="93" t="s">
        <v>33</v>
      </c>
      <c r="C7" s="93" t="s">
        <v>107</v>
      </c>
      <c r="D7" s="93" t="s">
        <v>12</v>
      </c>
      <c r="E7" s="14" t="s">
        <v>555</v>
      </c>
      <c r="F7" s="14">
        <v>902012</v>
      </c>
      <c r="G7" s="14" t="s">
        <v>555</v>
      </c>
      <c r="H7" s="14">
        <v>78010617</v>
      </c>
      <c r="I7" s="15" t="s">
        <v>816</v>
      </c>
      <c r="J7" s="14" t="s">
        <v>555</v>
      </c>
      <c r="K7" s="93" t="s">
        <v>552</v>
      </c>
      <c r="L7" s="15" t="s">
        <v>60</v>
      </c>
      <c r="M7" s="15"/>
    </row>
    <row r="8" spans="1:13">
      <c r="A8" s="93" t="s">
        <v>53</v>
      </c>
      <c r="B8" s="93" t="s">
        <v>33</v>
      </c>
      <c r="C8" s="93" t="s">
        <v>107</v>
      </c>
      <c r="D8" s="93" t="s">
        <v>12</v>
      </c>
      <c r="E8" s="14" t="s">
        <v>555</v>
      </c>
      <c r="F8" s="14">
        <v>902013</v>
      </c>
      <c r="G8" s="14" t="s">
        <v>555</v>
      </c>
      <c r="H8" s="14">
        <v>78010618</v>
      </c>
      <c r="I8" s="15" t="s">
        <v>817</v>
      </c>
      <c r="J8" s="14" t="s">
        <v>555</v>
      </c>
      <c r="K8" s="93" t="s">
        <v>552</v>
      </c>
      <c r="L8" s="15" t="s">
        <v>60</v>
      </c>
      <c r="M8" s="15"/>
    </row>
    <row r="9" spans="1:13">
      <c r="A9" s="93" t="s">
        <v>53</v>
      </c>
      <c r="B9" s="93" t="s">
        <v>33</v>
      </c>
      <c r="C9" s="93" t="s">
        <v>107</v>
      </c>
      <c r="D9" s="93" t="s">
        <v>12</v>
      </c>
      <c r="E9" s="14" t="s">
        <v>555</v>
      </c>
      <c r="F9" s="14">
        <v>902014</v>
      </c>
      <c r="G9" s="14" t="s">
        <v>555</v>
      </c>
      <c r="H9" s="14">
        <v>78010619</v>
      </c>
      <c r="I9" s="15" t="s">
        <v>818</v>
      </c>
      <c r="J9" s="14" t="s">
        <v>555</v>
      </c>
      <c r="K9" s="93" t="s">
        <v>552</v>
      </c>
      <c r="L9" s="15" t="s">
        <v>60</v>
      </c>
      <c r="M9" s="15"/>
    </row>
    <row r="10" spans="1:13">
      <c r="A10" s="93" t="s">
        <v>53</v>
      </c>
      <c r="B10" s="93" t="s">
        <v>33</v>
      </c>
      <c r="C10" s="93" t="s">
        <v>107</v>
      </c>
      <c r="D10" s="93" t="s">
        <v>12</v>
      </c>
      <c r="E10" s="14" t="s">
        <v>555</v>
      </c>
      <c r="F10" s="14">
        <v>902015</v>
      </c>
      <c r="G10" s="14" t="s">
        <v>555</v>
      </c>
      <c r="H10" s="14">
        <v>78010620</v>
      </c>
      <c r="I10" s="15" t="s">
        <v>819</v>
      </c>
      <c r="J10" s="14" t="s">
        <v>555</v>
      </c>
      <c r="K10" s="93" t="s">
        <v>552</v>
      </c>
      <c r="L10" s="15" t="s">
        <v>60</v>
      </c>
      <c r="M10" s="15"/>
    </row>
    <row r="11" spans="1:13">
      <c r="A11" s="93" t="s">
        <v>53</v>
      </c>
      <c r="B11" s="93" t="s">
        <v>29</v>
      </c>
      <c r="C11" s="93" t="s">
        <v>107</v>
      </c>
      <c r="D11" s="93" t="s">
        <v>12</v>
      </c>
      <c r="E11" s="14" t="s">
        <v>555</v>
      </c>
      <c r="F11" s="14">
        <v>902016</v>
      </c>
      <c r="G11" s="14" t="s">
        <v>555</v>
      </c>
      <c r="H11" s="14">
        <v>78010621</v>
      </c>
      <c r="I11" s="15" t="s">
        <v>820</v>
      </c>
      <c r="J11" s="14" t="s">
        <v>555</v>
      </c>
      <c r="K11" s="93" t="s">
        <v>552</v>
      </c>
      <c r="L11" s="15" t="s">
        <v>60</v>
      </c>
      <c r="M11" s="15"/>
    </row>
    <row r="12" spans="1:13">
      <c r="A12" s="93" t="s">
        <v>53</v>
      </c>
      <c r="B12" s="93" t="s">
        <v>29</v>
      </c>
      <c r="C12" s="93" t="s">
        <v>107</v>
      </c>
      <c r="D12" s="93" t="s">
        <v>12</v>
      </c>
      <c r="E12" s="14" t="s">
        <v>555</v>
      </c>
      <c r="F12" s="14">
        <v>902017</v>
      </c>
      <c r="G12" s="14" t="s">
        <v>555</v>
      </c>
      <c r="H12" s="14">
        <v>78010622</v>
      </c>
      <c r="I12" s="15" t="s">
        <v>821</v>
      </c>
      <c r="J12" s="14" t="s">
        <v>555</v>
      </c>
      <c r="K12" s="93" t="s">
        <v>552</v>
      </c>
      <c r="L12" s="15" t="s">
        <v>60</v>
      </c>
      <c r="M12" s="15"/>
    </row>
    <row r="13" spans="1:13">
      <c r="A13" s="93" t="s">
        <v>53</v>
      </c>
      <c r="B13" s="93" t="s">
        <v>29</v>
      </c>
      <c r="C13" s="93" t="s">
        <v>107</v>
      </c>
      <c r="D13" s="93" t="s">
        <v>12</v>
      </c>
      <c r="E13" s="14" t="s">
        <v>555</v>
      </c>
      <c r="F13" s="14">
        <v>902018</v>
      </c>
      <c r="G13" s="14" t="s">
        <v>555</v>
      </c>
      <c r="H13" s="14">
        <v>78010623</v>
      </c>
      <c r="I13" s="15" t="s">
        <v>822</v>
      </c>
      <c r="J13" s="14" t="s">
        <v>555</v>
      </c>
      <c r="K13" s="93" t="s">
        <v>552</v>
      </c>
      <c r="L13" s="15" t="s">
        <v>60</v>
      </c>
      <c r="M13" s="15"/>
    </row>
    <row r="14" spans="1:13">
      <c r="A14" s="93" t="s">
        <v>53</v>
      </c>
      <c r="B14" s="93" t="s">
        <v>29</v>
      </c>
      <c r="C14" s="93" t="s">
        <v>107</v>
      </c>
      <c r="D14" s="93" t="s">
        <v>12</v>
      </c>
      <c r="E14" s="14" t="s">
        <v>555</v>
      </c>
      <c r="F14" s="14">
        <v>902019</v>
      </c>
      <c r="G14" s="14" t="s">
        <v>555</v>
      </c>
      <c r="H14" s="14">
        <v>78010624</v>
      </c>
      <c r="I14" s="15" t="s">
        <v>823</v>
      </c>
      <c r="J14" s="14" t="s">
        <v>555</v>
      </c>
      <c r="K14" s="93" t="s">
        <v>552</v>
      </c>
      <c r="L14" s="15" t="s">
        <v>60</v>
      </c>
      <c r="M14" s="15"/>
    </row>
    <row r="15" spans="1:13">
      <c r="A15" s="93" t="s">
        <v>53</v>
      </c>
      <c r="B15" s="93" t="s">
        <v>29</v>
      </c>
      <c r="C15" s="93" t="s">
        <v>107</v>
      </c>
      <c r="D15" s="93" t="s">
        <v>12</v>
      </c>
      <c r="E15" s="14" t="s">
        <v>555</v>
      </c>
      <c r="F15" s="14">
        <v>902020</v>
      </c>
      <c r="G15" s="14" t="s">
        <v>555</v>
      </c>
      <c r="H15" s="14">
        <v>78010625</v>
      </c>
      <c r="I15" s="15" t="s">
        <v>824</v>
      </c>
      <c r="J15" s="14" t="s">
        <v>555</v>
      </c>
      <c r="K15" s="93" t="s">
        <v>552</v>
      </c>
      <c r="L15" s="15" t="s">
        <v>60</v>
      </c>
      <c r="M15" s="15"/>
    </row>
    <row r="16" spans="1:13">
      <c r="A16" s="93" t="s">
        <v>53</v>
      </c>
      <c r="B16" s="93" t="s">
        <v>29</v>
      </c>
      <c r="C16" s="93" t="s">
        <v>107</v>
      </c>
      <c r="D16" s="93" t="s">
        <v>12</v>
      </c>
      <c r="E16" s="14" t="s">
        <v>555</v>
      </c>
      <c r="F16" s="14">
        <v>902021</v>
      </c>
      <c r="G16" s="14" t="s">
        <v>555</v>
      </c>
      <c r="H16" s="14">
        <v>78010626</v>
      </c>
      <c r="I16" s="15" t="s">
        <v>825</v>
      </c>
      <c r="J16" s="14" t="s">
        <v>555</v>
      </c>
      <c r="K16" s="93" t="s">
        <v>552</v>
      </c>
      <c r="L16" s="15" t="s">
        <v>60</v>
      </c>
      <c r="M16" s="15"/>
    </row>
    <row r="17" spans="1:13">
      <c r="A17" s="93" t="s">
        <v>53</v>
      </c>
      <c r="B17" s="93" t="s">
        <v>29</v>
      </c>
      <c r="C17" s="93" t="s">
        <v>107</v>
      </c>
      <c r="D17" s="93" t="s">
        <v>12</v>
      </c>
      <c r="E17" s="14" t="s">
        <v>555</v>
      </c>
      <c r="F17" s="14">
        <v>902022</v>
      </c>
      <c r="G17" s="14" t="s">
        <v>555</v>
      </c>
      <c r="H17" s="14">
        <v>78010627</v>
      </c>
      <c r="I17" s="15" t="s">
        <v>826</v>
      </c>
      <c r="J17" s="14" t="s">
        <v>555</v>
      </c>
      <c r="K17" s="93" t="s">
        <v>552</v>
      </c>
      <c r="L17" s="15" t="s">
        <v>60</v>
      </c>
      <c r="M17" s="15"/>
    </row>
    <row r="18" spans="1:13">
      <c r="A18" s="93" t="s">
        <v>53</v>
      </c>
      <c r="B18" s="93" t="s">
        <v>29</v>
      </c>
      <c r="C18" s="93" t="s">
        <v>107</v>
      </c>
      <c r="D18" s="93" t="s">
        <v>12</v>
      </c>
      <c r="E18" s="14" t="s">
        <v>555</v>
      </c>
      <c r="F18" s="14">
        <v>902023</v>
      </c>
      <c r="G18" s="14" t="s">
        <v>555</v>
      </c>
      <c r="H18" s="14">
        <v>78010628</v>
      </c>
      <c r="I18" s="15" t="s">
        <v>827</v>
      </c>
      <c r="J18" s="14" t="s">
        <v>555</v>
      </c>
      <c r="K18" s="93" t="s">
        <v>552</v>
      </c>
      <c r="L18" s="15" t="s">
        <v>60</v>
      </c>
      <c r="M18" s="15"/>
    </row>
    <row r="19" spans="1:13">
      <c r="A19" s="93" t="s">
        <v>53</v>
      </c>
      <c r="B19" s="93" t="s">
        <v>32</v>
      </c>
      <c r="C19" s="93" t="s">
        <v>107</v>
      </c>
      <c r="D19" s="93" t="s">
        <v>12</v>
      </c>
      <c r="E19" s="14" t="s">
        <v>555</v>
      </c>
      <c r="F19" s="14">
        <v>902024</v>
      </c>
      <c r="G19" s="14" t="s">
        <v>555</v>
      </c>
      <c r="H19" s="14">
        <v>78010629</v>
      </c>
      <c r="I19" s="15" t="s">
        <v>828</v>
      </c>
      <c r="J19" s="14" t="s">
        <v>555</v>
      </c>
      <c r="K19" s="93" t="s">
        <v>552</v>
      </c>
      <c r="L19" s="15" t="s">
        <v>60</v>
      </c>
      <c r="M19" s="15"/>
    </row>
    <row r="20" spans="1:13">
      <c r="A20" s="93" t="s">
        <v>53</v>
      </c>
      <c r="B20" s="93" t="s">
        <v>32</v>
      </c>
      <c r="C20" s="93" t="s">
        <v>107</v>
      </c>
      <c r="D20" s="93" t="s">
        <v>12</v>
      </c>
      <c r="E20" s="14" t="s">
        <v>555</v>
      </c>
      <c r="F20" s="14">
        <v>902025</v>
      </c>
      <c r="G20" s="14" t="s">
        <v>555</v>
      </c>
      <c r="H20" s="14">
        <v>78010630</v>
      </c>
      <c r="I20" s="15" t="s">
        <v>829</v>
      </c>
      <c r="J20" s="14" t="s">
        <v>555</v>
      </c>
      <c r="K20" s="93" t="s">
        <v>552</v>
      </c>
      <c r="L20" s="15" t="s">
        <v>60</v>
      </c>
      <c r="M20" s="15"/>
    </row>
    <row r="21" spans="1:13">
      <c r="A21" s="93" t="s">
        <v>53</v>
      </c>
      <c r="B21" s="93" t="s">
        <v>32</v>
      </c>
      <c r="C21" s="93" t="s">
        <v>107</v>
      </c>
      <c r="D21" s="93" t="s">
        <v>12</v>
      </c>
      <c r="E21" s="14" t="s">
        <v>555</v>
      </c>
      <c r="F21" s="14">
        <v>902026</v>
      </c>
      <c r="G21" s="14" t="s">
        <v>555</v>
      </c>
      <c r="H21" s="14">
        <v>78010631</v>
      </c>
      <c r="I21" s="15" t="s">
        <v>830</v>
      </c>
      <c r="J21" s="14" t="s">
        <v>555</v>
      </c>
      <c r="K21" s="93" t="s">
        <v>552</v>
      </c>
      <c r="L21" s="15" t="s">
        <v>60</v>
      </c>
      <c r="M21" s="15"/>
    </row>
    <row r="22" spans="1:13">
      <c r="A22" s="93" t="s">
        <v>53</v>
      </c>
      <c r="B22" s="93" t="s">
        <v>32</v>
      </c>
      <c r="C22" s="93" t="s">
        <v>107</v>
      </c>
      <c r="D22" s="93" t="s">
        <v>12</v>
      </c>
      <c r="E22" s="14" t="s">
        <v>555</v>
      </c>
      <c r="F22" s="14">
        <v>902027</v>
      </c>
      <c r="G22" s="14" t="s">
        <v>555</v>
      </c>
      <c r="H22" s="14">
        <v>78010632</v>
      </c>
      <c r="I22" s="15" t="s">
        <v>831</v>
      </c>
      <c r="J22" s="14" t="s">
        <v>555</v>
      </c>
      <c r="K22" s="93" t="s">
        <v>552</v>
      </c>
      <c r="L22" s="15" t="s">
        <v>60</v>
      </c>
      <c r="M22" s="15"/>
    </row>
    <row r="23" spans="1:13">
      <c r="A23" s="93" t="s">
        <v>53</v>
      </c>
      <c r="B23" s="93" t="s">
        <v>34</v>
      </c>
      <c r="C23" s="93" t="s">
        <v>107</v>
      </c>
      <c r="D23" s="93" t="s">
        <v>12</v>
      </c>
      <c r="E23" s="14" t="s">
        <v>555</v>
      </c>
      <c r="F23" s="14">
        <v>902028</v>
      </c>
      <c r="G23" s="14" t="s">
        <v>555</v>
      </c>
      <c r="H23" s="14">
        <v>78010633</v>
      </c>
      <c r="I23" s="15" t="s">
        <v>832</v>
      </c>
      <c r="J23" s="14" t="s">
        <v>555</v>
      </c>
      <c r="K23" s="93" t="s">
        <v>552</v>
      </c>
      <c r="L23" s="15" t="s">
        <v>60</v>
      </c>
      <c r="M23" s="15"/>
    </row>
    <row r="24" spans="1:13">
      <c r="A24" s="93" t="s">
        <v>53</v>
      </c>
      <c r="B24" s="93" t="s">
        <v>34</v>
      </c>
      <c r="C24" s="93" t="s">
        <v>107</v>
      </c>
      <c r="D24" s="93" t="s">
        <v>12</v>
      </c>
      <c r="E24" s="14" t="s">
        <v>555</v>
      </c>
      <c r="F24" s="14">
        <v>902029</v>
      </c>
      <c r="G24" s="14" t="s">
        <v>555</v>
      </c>
      <c r="H24" s="14">
        <v>78010634</v>
      </c>
      <c r="I24" s="15" t="s">
        <v>833</v>
      </c>
      <c r="J24" s="14" t="s">
        <v>555</v>
      </c>
      <c r="K24" s="93" t="s">
        <v>552</v>
      </c>
      <c r="L24" s="15" t="s">
        <v>60</v>
      </c>
      <c r="M24" s="15"/>
    </row>
    <row r="25" spans="1:13">
      <c r="A25" s="93" t="s">
        <v>53</v>
      </c>
      <c r="B25" s="93" t="s">
        <v>30</v>
      </c>
      <c r="C25" s="93" t="s">
        <v>107</v>
      </c>
      <c r="D25" s="93" t="s">
        <v>12</v>
      </c>
      <c r="E25" s="14" t="s">
        <v>560</v>
      </c>
      <c r="F25" s="14">
        <v>902030</v>
      </c>
      <c r="G25" s="14" t="s">
        <v>560</v>
      </c>
      <c r="H25" s="14">
        <v>78010635</v>
      </c>
      <c r="I25" s="15" t="s">
        <v>834</v>
      </c>
      <c r="J25" s="14" t="s">
        <v>560</v>
      </c>
      <c r="K25" s="93" t="s">
        <v>552</v>
      </c>
      <c r="L25" s="15" t="s">
        <v>60</v>
      </c>
      <c r="M25" s="15"/>
    </row>
    <row r="26" spans="1:13">
      <c r="A26" s="93" t="s">
        <v>53</v>
      </c>
      <c r="B26" s="93" t="s">
        <v>30</v>
      </c>
      <c r="C26" s="93" t="s">
        <v>107</v>
      </c>
      <c r="D26" s="93" t="s">
        <v>12</v>
      </c>
      <c r="E26" s="14" t="s">
        <v>555</v>
      </c>
      <c r="F26" s="14">
        <v>902031</v>
      </c>
      <c r="G26" s="14" t="s">
        <v>555</v>
      </c>
      <c r="H26" s="14">
        <v>78010636</v>
      </c>
      <c r="I26" s="15" t="s">
        <v>835</v>
      </c>
      <c r="J26" s="14" t="s">
        <v>555</v>
      </c>
      <c r="K26" s="93" t="s">
        <v>552</v>
      </c>
      <c r="L26" s="15" t="s">
        <v>60</v>
      </c>
      <c r="M26" s="15"/>
    </row>
    <row r="27" spans="1:13">
      <c r="A27" s="93" t="s">
        <v>53</v>
      </c>
      <c r="B27" s="93" t="s">
        <v>30</v>
      </c>
      <c r="C27" s="93" t="s">
        <v>107</v>
      </c>
      <c r="D27" s="93" t="s">
        <v>12</v>
      </c>
      <c r="E27" s="14" t="s">
        <v>555</v>
      </c>
      <c r="F27" s="14">
        <v>902032</v>
      </c>
      <c r="G27" s="14" t="s">
        <v>555</v>
      </c>
      <c r="H27" s="14">
        <v>78010637</v>
      </c>
      <c r="I27" s="15" t="s">
        <v>836</v>
      </c>
      <c r="J27" s="14" t="s">
        <v>555</v>
      </c>
      <c r="K27" s="93" t="s">
        <v>552</v>
      </c>
      <c r="L27" s="15" t="s">
        <v>60</v>
      </c>
      <c r="M27" s="15"/>
    </row>
    <row r="28" spans="1:13">
      <c r="A28" s="93" t="s">
        <v>53</v>
      </c>
      <c r="B28" s="93" t="s">
        <v>30</v>
      </c>
      <c r="C28" s="93" t="s">
        <v>107</v>
      </c>
      <c r="D28" s="93" t="s">
        <v>12</v>
      </c>
      <c r="E28" s="14" t="s">
        <v>555</v>
      </c>
      <c r="F28" s="14">
        <v>902033</v>
      </c>
      <c r="G28" s="14" t="s">
        <v>555</v>
      </c>
      <c r="H28" s="14">
        <v>78010638</v>
      </c>
      <c r="I28" s="15" t="s">
        <v>837</v>
      </c>
      <c r="J28" s="14" t="s">
        <v>555</v>
      </c>
      <c r="K28" s="93" t="s">
        <v>552</v>
      </c>
      <c r="L28" s="15" t="s">
        <v>60</v>
      </c>
      <c r="M28" s="15"/>
    </row>
    <row r="29" spans="1:13">
      <c r="A29" s="93" t="s">
        <v>53</v>
      </c>
      <c r="B29" s="93" t="s">
        <v>30</v>
      </c>
      <c r="C29" s="93" t="s">
        <v>107</v>
      </c>
      <c r="D29" s="93" t="s">
        <v>12</v>
      </c>
      <c r="E29" s="14" t="s">
        <v>555</v>
      </c>
      <c r="F29" s="14">
        <v>902034</v>
      </c>
      <c r="G29" s="14" t="s">
        <v>555</v>
      </c>
      <c r="H29" s="14">
        <v>78010639</v>
      </c>
      <c r="I29" s="15" t="s">
        <v>838</v>
      </c>
      <c r="J29" s="14" t="s">
        <v>555</v>
      </c>
      <c r="K29" s="93" t="s">
        <v>552</v>
      </c>
      <c r="L29" s="15" t="s">
        <v>60</v>
      </c>
      <c r="M29" s="15"/>
    </row>
    <row r="30" spans="1:13">
      <c r="A30" s="93" t="s">
        <v>53</v>
      </c>
      <c r="B30" s="93" t="s">
        <v>30</v>
      </c>
      <c r="C30" s="93" t="s">
        <v>107</v>
      </c>
      <c r="D30" s="93" t="s">
        <v>12</v>
      </c>
      <c r="E30" s="14" t="s">
        <v>555</v>
      </c>
      <c r="F30" s="14">
        <v>902035</v>
      </c>
      <c r="G30" s="14" t="s">
        <v>555</v>
      </c>
      <c r="H30" s="14">
        <v>78010640</v>
      </c>
      <c r="I30" s="15" t="s">
        <v>839</v>
      </c>
      <c r="J30" s="14" t="s">
        <v>555</v>
      </c>
      <c r="K30" s="93" t="s">
        <v>552</v>
      </c>
      <c r="L30" s="15" t="s">
        <v>60</v>
      </c>
      <c r="M30" s="15"/>
    </row>
    <row r="31" spans="1:13">
      <c r="A31" s="93" t="s">
        <v>53</v>
      </c>
      <c r="B31" s="93" t="s">
        <v>30</v>
      </c>
      <c r="C31" s="93" t="s">
        <v>107</v>
      </c>
      <c r="D31" s="93" t="s">
        <v>12</v>
      </c>
      <c r="E31" s="14" t="s">
        <v>555</v>
      </c>
      <c r="F31" s="14">
        <v>902036</v>
      </c>
      <c r="G31" s="14" t="s">
        <v>555</v>
      </c>
      <c r="H31" s="14">
        <v>78010641</v>
      </c>
      <c r="I31" s="15" t="s">
        <v>840</v>
      </c>
      <c r="J31" s="14" t="s">
        <v>555</v>
      </c>
      <c r="K31" s="93" t="s">
        <v>552</v>
      </c>
      <c r="L31" s="15" t="s">
        <v>60</v>
      </c>
      <c r="M31" s="15"/>
    </row>
    <row r="32" spans="1:13">
      <c r="A32" s="93" t="s">
        <v>53</v>
      </c>
      <c r="B32" s="93" t="s">
        <v>30</v>
      </c>
      <c r="C32" s="93" t="s">
        <v>107</v>
      </c>
      <c r="D32" s="93" t="s">
        <v>12</v>
      </c>
      <c r="E32" s="14" t="s">
        <v>555</v>
      </c>
      <c r="F32" s="14">
        <v>902037</v>
      </c>
      <c r="G32" s="14" t="s">
        <v>555</v>
      </c>
      <c r="H32" s="14">
        <v>78010642</v>
      </c>
      <c r="I32" s="15" t="s">
        <v>841</v>
      </c>
      <c r="J32" s="14" t="s">
        <v>555</v>
      </c>
      <c r="K32" s="93" t="s">
        <v>552</v>
      </c>
      <c r="L32" s="15" t="s">
        <v>60</v>
      </c>
      <c r="M32" s="15"/>
    </row>
    <row r="33" spans="1:13">
      <c r="A33" s="93" t="s">
        <v>53</v>
      </c>
      <c r="B33" s="93" t="s">
        <v>30</v>
      </c>
      <c r="C33" s="93" t="s">
        <v>107</v>
      </c>
      <c r="D33" s="93" t="s">
        <v>12</v>
      </c>
      <c r="E33" s="14" t="s">
        <v>555</v>
      </c>
      <c r="F33" s="14">
        <v>902038</v>
      </c>
      <c r="G33" s="14" t="s">
        <v>555</v>
      </c>
      <c r="H33" s="14">
        <v>78010643</v>
      </c>
      <c r="I33" s="15" t="s">
        <v>842</v>
      </c>
      <c r="J33" s="14" t="s">
        <v>555</v>
      </c>
      <c r="K33" s="93" t="s">
        <v>552</v>
      </c>
      <c r="L33" s="15" t="s">
        <v>60</v>
      </c>
      <c r="M33" s="15"/>
    </row>
    <row r="34" spans="1:13">
      <c r="A34" s="93" t="s">
        <v>53</v>
      </c>
      <c r="B34" s="93" t="s">
        <v>30</v>
      </c>
      <c r="C34" s="93" t="s">
        <v>107</v>
      </c>
      <c r="D34" s="93" t="s">
        <v>12</v>
      </c>
      <c r="E34" s="14" t="s">
        <v>555</v>
      </c>
      <c r="F34" s="14">
        <v>902039</v>
      </c>
      <c r="G34" s="14" t="s">
        <v>555</v>
      </c>
      <c r="H34" s="14">
        <v>78010644</v>
      </c>
      <c r="I34" s="15" t="s">
        <v>843</v>
      </c>
      <c r="J34" s="14" t="s">
        <v>555</v>
      </c>
      <c r="K34" s="93" t="s">
        <v>552</v>
      </c>
      <c r="L34" s="15" t="s">
        <v>60</v>
      </c>
      <c r="M34" s="15"/>
    </row>
    <row r="35" spans="1:13">
      <c r="A35" s="93" t="s">
        <v>53</v>
      </c>
      <c r="B35" s="93" t="s">
        <v>30</v>
      </c>
      <c r="C35" s="93" t="s">
        <v>107</v>
      </c>
      <c r="D35" s="93" t="s">
        <v>12</v>
      </c>
      <c r="E35" s="14" t="s">
        <v>555</v>
      </c>
      <c r="F35" s="14">
        <v>902040</v>
      </c>
      <c r="G35" s="14" t="s">
        <v>555</v>
      </c>
      <c r="H35" s="14">
        <v>78010645</v>
      </c>
      <c r="I35" s="15" t="s">
        <v>844</v>
      </c>
      <c r="J35" s="14" t="s">
        <v>555</v>
      </c>
      <c r="K35" s="93" t="s">
        <v>552</v>
      </c>
      <c r="L35" s="15" t="s">
        <v>60</v>
      </c>
      <c r="M35" s="15"/>
    </row>
    <row r="36" spans="1:13">
      <c r="A36" s="93" t="s">
        <v>53</v>
      </c>
      <c r="B36" s="93" t="s">
        <v>30</v>
      </c>
      <c r="C36" s="93" t="s">
        <v>107</v>
      </c>
      <c r="D36" s="93" t="s">
        <v>12</v>
      </c>
      <c r="E36" s="14" t="s">
        <v>555</v>
      </c>
      <c r="F36" s="14">
        <v>902041</v>
      </c>
      <c r="G36" s="14" t="s">
        <v>555</v>
      </c>
      <c r="H36" s="14">
        <v>78010646</v>
      </c>
      <c r="I36" s="15" t="s">
        <v>845</v>
      </c>
      <c r="J36" s="14" t="s">
        <v>555</v>
      </c>
      <c r="K36" s="93" t="s">
        <v>552</v>
      </c>
      <c r="L36" s="15" t="s">
        <v>60</v>
      </c>
      <c r="M36" s="15"/>
    </row>
    <row r="37" spans="1:13">
      <c r="A37" s="93" t="s">
        <v>53</v>
      </c>
      <c r="B37" s="93" t="s">
        <v>30</v>
      </c>
      <c r="C37" s="93" t="s">
        <v>107</v>
      </c>
      <c r="D37" s="93" t="s">
        <v>12</v>
      </c>
      <c r="E37" s="14" t="s">
        <v>555</v>
      </c>
      <c r="F37" s="14">
        <v>902042</v>
      </c>
      <c r="G37" s="14" t="s">
        <v>555</v>
      </c>
      <c r="H37" s="14">
        <v>78010647</v>
      </c>
      <c r="I37" s="15" t="s">
        <v>846</v>
      </c>
      <c r="J37" s="14" t="s">
        <v>555</v>
      </c>
      <c r="K37" s="93" t="s">
        <v>552</v>
      </c>
      <c r="L37" s="15" t="s">
        <v>60</v>
      </c>
      <c r="M37" s="15"/>
    </row>
    <row r="38" spans="1:13">
      <c r="A38" s="93" t="s">
        <v>53</v>
      </c>
      <c r="B38" s="93" t="s">
        <v>30</v>
      </c>
      <c r="C38" s="93" t="s">
        <v>107</v>
      </c>
      <c r="D38" s="93" t="s">
        <v>12</v>
      </c>
      <c r="E38" s="14" t="s">
        <v>555</v>
      </c>
      <c r="F38" s="14">
        <v>902043</v>
      </c>
      <c r="G38" s="14" t="s">
        <v>555</v>
      </c>
      <c r="H38" s="14">
        <v>78010648</v>
      </c>
      <c r="I38" s="15" t="s">
        <v>847</v>
      </c>
      <c r="J38" s="14" t="s">
        <v>555</v>
      </c>
      <c r="K38" s="93" t="s">
        <v>552</v>
      </c>
      <c r="L38" s="15" t="s">
        <v>60</v>
      </c>
      <c r="M38" s="15"/>
    </row>
    <row r="39" spans="1:13">
      <c r="A39" s="93" t="s">
        <v>53</v>
      </c>
      <c r="B39" s="93" t="s">
        <v>30</v>
      </c>
      <c r="C39" s="93" t="s">
        <v>107</v>
      </c>
      <c r="D39" s="93" t="s">
        <v>12</v>
      </c>
      <c r="E39" s="14" t="s">
        <v>555</v>
      </c>
      <c r="F39" s="14">
        <v>902044</v>
      </c>
      <c r="G39" s="14" t="s">
        <v>555</v>
      </c>
      <c r="H39" s="14">
        <v>78010649</v>
      </c>
      <c r="I39" s="15" t="s">
        <v>848</v>
      </c>
      <c r="J39" s="14" t="s">
        <v>555</v>
      </c>
      <c r="K39" s="93" t="s">
        <v>552</v>
      </c>
      <c r="L39" s="15" t="s">
        <v>60</v>
      </c>
      <c r="M39" s="15"/>
    </row>
    <row r="40" spans="1:13">
      <c r="A40" s="93" t="s">
        <v>53</v>
      </c>
      <c r="B40" s="93" t="s">
        <v>30</v>
      </c>
      <c r="C40" s="93" t="s">
        <v>107</v>
      </c>
      <c r="D40" s="93" t="s">
        <v>12</v>
      </c>
      <c r="E40" s="14" t="s">
        <v>555</v>
      </c>
      <c r="F40" s="14">
        <v>902045</v>
      </c>
      <c r="G40" s="14" t="s">
        <v>555</v>
      </c>
      <c r="H40" s="14">
        <v>78010650</v>
      </c>
      <c r="I40" s="15" t="s">
        <v>849</v>
      </c>
      <c r="J40" s="14" t="s">
        <v>555</v>
      </c>
      <c r="K40" s="93" t="s">
        <v>552</v>
      </c>
      <c r="L40" s="15" t="s">
        <v>60</v>
      </c>
      <c r="M40" s="15"/>
    </row>
    <row r="41" spans="1:13">
      <c r="A41" s="93" t="s">
        <v>53</v>
      </c>
      <c r="B41" s="93" t="s">
        <v>33</v>
      </c>
      <c r="C41" s="93" t="s">
        <v>107</v>
      </c>
      <c r="D41" s="93" t="s">
        <v>12</v>
      </c>
      <c r="E41" s="14" t="s">
        <v>555</v>
      </c>
      <c r="F41" s="14">
        <v>902046</v>
      </c>
      <c r="G41" s="14" t="s">
        <v>555</v>
      </c>
      <c r="H41" s="14">
        <v>78010651</v>
      </c>
      <c r="I41" s="15" t="s">
        <v>850</v>
      </c>
      <c r="J41" s="14" t="s">
        <v>555</v>
      </c>
      <c r="K41" s="93" t="s">
        <v>552</v>
      </c>
      <c r="L41" s="15" t="s">
        <v>60</v>
      </c>
      <c r="M41" s="15"/>
    </row>
    <row r="42" spans="1:13">
      <c r="A42" s="93" t="s">
        <v>53</v>
      </c>
      <c r="B42" s="93" t="s">
        <v>33</v>
      </c>
      <c r="C42" s="93" t="s">
        <v>107</v>
      </c>
      <c r="D42" s="93" t="s">
        <v>12</v>
      </c>
      <c r="E42" s="14" t="s">
        <v>555</v>
      </c>
      <c r="F42" s="14">
        <v>902047</v>
      </c>
      <c r="G42" s="14" t="s">
        <v>555</v>
      </c>
      <c r="H42" s="14">
        <v>78010652</v>
      </c>
      <c r="I42" s="15" t="s">
        <v>851</v>
      </c>
      <c r="J42" s="14" t="s">
        <v>555</v>
      </c>
      <c r="K42" s="93" t="s">
        <v>552</v>
      </c>
      <c r="L42" s="15" t="s">
        <v>60</v>
      </c>
      <c r="M42" s="15"/>
    </row>
    <row r="43" spans="1:13">
      <c r="A43" s="93" t="s">
        <v>53</v>
      </c>
      <c r="B43" s="93" t="s">
        <v>33</v>
      </c>
      <c r="C43" s="93" t="s">
        <v>107</v>
      </c>
      <c r="D43" s="93" t="s">
        <v>12</v>
      </c>
      <c r="E43" s="14" t="s">
        <v>555</v>
      </c>
      <c r="F43" s="14">
        <v>902048</v>
      </c>
      <c r="G43" s="14" t="s">
        <v>555</v>
      </c>
      <c r="H43" s="14">
        <v>78010653</v>
      </c>
      <c r="I43" s="15" t="s">
        <v>852</v>
      </c>
      <c r="J43" s="14" t="s">
        <v>555</v>
      </c>
      <c r="K43" s="93" t="s">
        <v>552</v>
      </c>
      <c r="L43" s="15" t="s">
        <v>60</v>
      </c>
      <c r="M43" s="15"/>
    </row>
    <row r="44" spans="1:13">
      <c r="A44" s="93" t="s">
        <v>53</v>
      </c>
      <c r="B44" s="93" t="s">
        <v>33</v>
      </c>
      <c r="C44" s="93" t="s">
        <v>107</v>
      </c>
      <c r="D44" s="93" t="s">
        <v>12</v>
      </c>
      <c r="E44" s="14" t="s">
        <v>555</v>
      </c>
      <c r="F44" s="14">
        <v>902049</v>
      </c>
      <c r="G44" s="14" t="s">
        <v>555</v>
      </c>
      <c r="H44" s="14">
        <v>78010654</v>
      </c>
      <c r="I44" s="15" t="s">
        <v>853</v>
      </c>
      <c r="J44" s="14" t="s">
        <v>555</v>
      </c>
      <c r="K44" s="93" t="s">
        <v>552</v>
      </c>
      <c r="L44" s="15" t="s">
        <v>60</v>
      </c>
      <c r="M44" s="15"/>
    </row>
    <row r="45" spans="1:13">
      <c r="A45" s="93" t="s">
        <v>53</v>
      </c>
      <c r="B45" s="93" t="s">
        <v>33</v>
      </c>
      <c r="C45" s="93" t="s">
        <v>107</v>
      </c>
      <c r="D45" s="93" t="s">
        <v>12</v>
      </c>
      <c r="E45" s="14" t="s">
        <v>555</v>
      </c>
      <c r="F45" s="14">
        <v>902050</v>
      </c>
      <c r="G45" s="14" t="s">
        <v>555</v>
      </c>
      <c r="H45" s="14">
        <v>78010655</v>
      </c>
      <c r="I45" s="15" t="s">
        <v>854</v>
      </c>
      <c r="J45" s="14" t="s">
        <v>555</v>
      </c>
      <c r="K45" s="93" t="s">
        <v>552</v>
      </c>
      <c r="L45" s="15" t="s">
        <v>60</v>
      </c>
      <c r="M45" s="15"/>
    </row>
    <row r="46" spans="1:13">
      <c r="A46" s="93" t="s">
        <v>53</v>
      </c>
      <c r="B46" s="93" t="s">
        <v>33</v>
      </c>
      <c r="C46" s="93" t="s">
        <v>107</v>
      </c>
      <c r="D46" s="93" t="s">
        <v>12</v>
      </c>
      <c r="E46" s="14" t="s">
        <v>555</v>
      </c>
      <c r="F46" s="14">
        <v>902051</v>
      </c>
      <c r="G46" s="14" t="s">
        <v>555</v>
      </c>
      <c r="H46" s="14">
        <v>78010656</v>
      </c>
      <c r="I46" s="15" t="s">
        <v>855</v>
      </c>
      <c r="J46" s="14" t="s">
        <v>555</v>
      </c>
      <c r="K46" s="93" t="s">
        <v>552</v>
      </c>
      <c r="L46" s="15" t="s">
        <v>60</v>
      </c>
      <c r="M46" s="15"/>
    </row>
    <row r="47" spans="1:13">
      <c r="A47" s="93" t="s">
        <v>53</v>
      </c>
      <c r="B47" s="93" t="s">
        <v>33</v>
      </c>
      <c r="C47" s="93" t="s">
        <v>107</v>
      </c>
      <c r="D47" s="93" t="s">
        <v>12</v>
      </c>
      <c r="E47" s="14" t="s">
        <v>555</v>
      </c>
      <c r="F47" s="14">
        <v>902052</v>
      </c>
      <c r="G47" s="14" t="s">
        <v>555</v>
      </c>
      <c r="H47" s="14">
        <v>78010657</v>
      </c>
      <c r="I47" s="15" t="s">
        <v>856</v>
      </c>
      <c r="J47" s="14" t="s">
        <v>555</v>
      </c>
      <c r="K47" s="93" t="s">
        <v>552</v>
      </c>
      <c r="L47" s="15" t="s">
        <v>60</v>
      </c>
      <c r="M47" s="15"/>
    </row>
    <row r="48" spans="1:13">
      <c r="A48" s="93" t="s">
        <v>53</v>
      </c>
      <c r="B48" s="93" t="s">
        <v>33</v>
      </c>
      <c r="C48" s="93" t="s">
        <v>107</v>
      </c>
      <c r="D48" s="93" t="s">
        <v>12</v>
      </c>
      <c r="E48" s="14" t="s">
        <v>555</v>
      </c>
      <c r="F48" s="14">
        <v>902053</v>
      </c>
      <c r="G48" s="14" t="s">
        <v>555</v>
      </c>
      <c r="H48" s="14">
        <v>78010658</v>
      </c>
      <c r="I48" s="15" t="s">
        <v>857</v>
      </c>
      <c r="J48" s="14" t="s">
        <v>555</v>
      </c>
      <c r="K48" s="93" t="s">
        <v>552</v>
      </c>
      <c r="L48" s="15" t="s">
        <v>60</v>
      </c>
      <c r="M48" s="15"/>
    </row>
    <row r="49" spans="1:13">
      <c r="A49" s="93" t="s">
        <v>53</v>
      </c>
      <c r="B49" s="93" t="s">
        <v>29</v>
      </c>
      <c r="C49" s="93" t="s">
        <v>107</v>
      </c>
      <c r="D49" s="93" t="s">
        <v>12</v>
      </c>
      <c r="E49" s="14" t="s">
        <v>555</v>
      </c>
      <c r="F49" s="14">
        <v>902054</v>
      </c>
      <c r="G49" s="14" t="s">
        <v>555</v>
      </c>
      <c r="H49" s="14">
        <v>78010659</v>
      </c>
      <c r="I49" s="15" t="s">
        <v>858</v>
      </c>
      <c r="J49" s="14" t="s">
        <v>555</v>
      </c>
      <c r="K49" s="93" t="s">
        <v>552</v>
      </c>
      <c r="L49" s="15" t="s">
        <v>60</v>
      </c>
      <c r="M49" s="15"/>
    </row>
    <row r="50" spans="1:13">
      <c r="A50" s="93" t="s">
        <v>53</v>
      </c>
      <c r="B50" s="93" t="s">
        <v>29</v>
      </c>
      <c r="C50" s="93" t="s">
        <v>107</v>
      </c>
      <c r="D50" s="93" t="s">
        <v>12</v>
      </c>
      <c r="E50" s="14" t="s">
        <v>555</v>
      </c>
      <c r="F50" s="14">
        <v>902055</v>
      </c>
      <c r="G50" s="14" t="s">
        <v>555</v>
      </c>
      <c r="H50" s="14">
        <v>78010660</v>
      </c>
      <c r="I50" s="15" t="s">
        <v>859</v>
      </c>
      <c r="J50" s="14" t="s">
        <v>555</v>
      </c>
      <c r="K50" s="93" t="s">
        <v>552</v>
      </c>
      <c r="L50" s="15" t="s">
        <v>60</v>
      </c>
      <c r="M50" s="15"/>
    </row>
    <row r="51" spans="1:13">
      <c r="A51" s="93" t="s">
        <v>53</v>
      </c>
      <c r="B51" s="93" t="s">
        <v>29</v>
      </c>
      <c r="C51" s="93" t="s">
        <v>107</v>
      </c>
      <c r="D51" s="93" t="s">
        <v>12</v>
      </c>
      <c r="E51" s="14" t="s">
        <v>555</v>
      </c>
      <c r="F51" s="14">
        <v>902056</v>
      </c>
      <c r="G51" s="14" t="s">
        <v>555</v>
      </c>
      <c r="H51" s="14">
        <v>78010661</v>
      </c>
      <c r="I51" s="15" t="s">
        <v>860</v>
      </c>
      <c r="J51" s="14" t="s">
        <v>555</v>
      </c>
      <c r="K51" s="93" t="s">
        <v>552</v>
      </c>
      <c r="L51" s="15" t="s">
        <v>60</v>
      </c>
      <c r="M51" s="15"/>
    </row>
    <row r="52" spans="1:13">
      <c r="A52" s="93" t="s">
        <v>53</v>
      </c>
      <c r="B52" s="93" t="s">
        <v>29</v>
      </c>
      <c r="C52" s="93" t="s">
        <v>107</v>
      </c>
      <c r="D52" s="93" t="s">
        <v>12</v>
      </c>
      <c r="E52" s="14" t="s">
        <v>555</v>
      </c>
      <c r="F52" s="14">
        <v>902057</v>
      </c>
      <c r="G52" s="14" t="s">
        <v>555</v>
      </c>
      <c r="H52" s="14">
        <v>78010662</v>
      </c>
      <c r="I52" s="15" t="s">
        <v>861</v>
      </c>
      <c r="J52" s="14" t="s">
        <v>555</v>
      </c>
      <c r="K52" s="93" t="s">
        <v>552</v>
      </c>
      <c r="L52" s="15" t="s">
        <v>60</v>
      </c>
      <c r="M52" s="15"/>
    </row>
    <row r="53" spans="1:13">
      <c r="A53" s="93" t="s">
        <v>53</v>
      </c>
      <c r="B53" s="93" t="s">
        <v>29</v>
      </c>
      <c r="C53" s="93" t="s">
        <v>107</v>
      </c>
      <c r="D53" s="93" t="s">
        <v>12</v>
      </c>
      <c r="E53" s="14" t="s">
        <v>555</v>
      </c>
      <c r="F53" s="14">
        <v>902058</v>
      </c>
      <c r="G53" s="14" t="s">
        <v>555</v>
      </c>
      <c r="H53" s="14">
        <v>78010663</v>
      </c>
      <c r="I53" s="15" t="s">
        <v>862</v>
      </c>
      <c r="J53" s="14" t="s">
        <v>555</v>
      </c>
      <c r="K53" s="93" t="s">
        <v>552</v>
      </c>
      <c r="L53" s="15" t="s">
        <v>60</v>
      </c>
      <c r="M53" s="15"/>
    </row>
    <row r="54" spans="1:13">
      <c r="A54" s="93" t="s">
        <v>53</v>
      </c>
      <c r="B54" s="93" t="s">
        <v>29</v>
      </c>
      <c r="C54" s="93" t="s">
        <v>107</v>
      </c>
      <c r="D54" s="93" t="s">
        <v>12</v>
      </c>
      <c r="E54" s="14" t="s">
        <v>555</v>
      </c>
      <c r="F54" s="14">
        <v>902059</v>
      </c>
      <c r="G54" s="14" t="s">
        <v>555</v>
      </c>
      <c r="H54" s="14">
        <v>78010664</v>
      </c>
      <c r="I54" s="15" t="s">
        <v>863</v>
      </c>
      <c r="J54" s="14" t="s">
        <v>555</v>
      </c>
      <c r="K54" s="93" t="s">
        <v>552</v>
      </c>
      <c r="L54" s="15" t="s">
        <v>60</v>
      </c>
      <c r="M54" s="15"/>
    </row>
    <row r="55" spans="1:13">
      <c r="A55" s="93" t="s">
        <v>53</v>
      </c>
      <c r="B55" s="93" t="s">
        <v>29</v>
      </c>
      <c r="C55" s="93" t="s">
        <v>107</v>
      </c>
      <c r="D55" s="93" t="s">
        <v>12</v>
      </c>
      <c r="E55" s="14" t="s">
        <v>555</v>
      </c>
      <c r="F55" s="14">
        <v>902060</v>
      </c>
      <c r="G55" s="14" t="s">
        <v>555</v>
      </c>
      <c r="H55" s="14">
        <v>78010665</v>
      </c>
      <c r="I55" s="15" t="s">
        <v>864</v>
      </c>
      <c r="J55" s="14" t="s">
        <v>555</v>
      </c>
      <c r="K55" s="93" t="s">
        <v>552</v>
      </c>
      <c r="L55" s="15" t="s">
        <v>60</v>
      </c>
      <c r="M55" s="15"/>
    </row>
    <row r="56" spans="1:13">
      <c r="A56" s="93" t="s">
        <v>53</v>
      </c>
      <c r="B56" s="93" t="s">
        <v>29</v>
      </c>
      <c r="C56" s="93" t="s">
        <v>107</v>
      </c>
      <c r="D56" s="93" t="s">
        <v>12</v>
      </c>
      <c r="E56" s="14" t="s">
        <v>555</v>
      </c>
      <c r="F56" s="14">
        <v>902061</v>
      </c>
      <c r="G56" s="14" t="s">
        <v>555</v>
      </c>
      <c r="H56" s="14">
        <v>78010666</v>
      </c>
      <c r="I56" s="15" t="s">
        <v>865</v>
      </c>
      <c r="J56" s="14" t="s">
        <v>555</v>
      </c>
      <c r="K56" s="93" t="s">
        <v>552</v>
      </c>
      <c r="L56" s="15" t="s">
        <v>60</v>
      </c>
      <c r="M56" s="15"/>
    </row>
    <row r="57" spans="1:13">
      <c r="A57" s="93" t="s">
        <v>53</v>
      </c>
      <c r="B57" s="93" t="s">
        <v>29</v>
      </c>
      <c r="C57" s="93" t="s">
        <v>107</v>
      </c>
      <c r="D57" s="93" t="s">
        <v>12</v>
      </c>
      <c r="E57" s="14" t="s">
        <v>555</v>
      </c>
      <c r="F57" s="14">
        <v>902062</v>
      </c>
      <c r="G57" s="14" t="s">
        <v>555</v>
      </c>
      <c r="H57" s="14">
        <v>78010667</v>
      </c>
      <c r="I57" s="15" t="s">
        <v>866</v>
      </c>
      <c r="J57" s="14" t="s">
        <v>555</v>
      </c>
      <c r="K57" s="93" t="s">
        <v>552</v>
      </c>
      <c r="L57" s="15" t="s">
        <v>60</v>
      </c>
      <c r="M57" s="15"/>
    </row>
    <row r="58" spans="1:13">
      <c r="A58" s="93" t="s">
        <v>53</v>
      </c>
      <c r="B58" s="93" t="s">
        <v>29</v>
      </c>
      <c r="C58" s="93" t="s">
        <v>107</v>
      </c>
      <c r="D58" s="93" t="s">
        <v>12</v>
      </c>
      <c r="E58" s="14" t="s">
        <v>555</v>
      </c>
      <c r="F58" s="14">
        <v>902063</v>
      </c>
      <c r="G58" s="14" t="s">
        <v>555</v>
      </c>
      <c r="H58" s="14">
        <v>78010668</v>
      </c>
      <c r="I58" s="15" t="s">
        <v>867</v>
      </c>
      <c r="J58" s="14" t="s">
        <v>555</v>
      </c>
      <c r="K58" s="93" t="s">
        <v>552</v>
      </c>
      <c r="L58" s="15" t="s">
        <v>60</v>
      </c>
      <c r="M58" s="15"/>
    </row>
    <row r="59" spans="1:13">
      <c r="A59" s="93" t="s">
        <v>53</v>
      </c>
      <c r="B59" s="93" t="s">
        <v>29</v>
      </c>
      <c r="C59" s="93" t="s">
        <v>107</v>
      </c>
      <c r="D59" s="93" t="s">
        <v>12</v>
      </c>
      <c r="E59" s="14" t="s">
        <v>555</v>
      </c>
      <c r="F59" s="14">
        <v>902064</v>
      </c>
      <c r="G59" s="14" t="s">
        <v>555</v>
      </c>
      <c r="H59" s="14">
        <v>78010669</v>
      </c>
      <c r="I59" s="15" t="s">
        <v>868</v>
      </c>
      <c r="J59" s="14" t="s">
        <v>555</v>
      </c>
      <c r="K59" s="93" t="s">
        <v>552</v>
      </c>
      <c r="L59" s="15" t="s">
        <v>60</v>
      </c>
      <c r="M59" s="15"/>
    </row>
    <row r="60" spans="1:13">
      <c r="A60" s="93" t="s">
        <v>53</v>
      </c>
      <c r="B60" s="93" t="s">
        <v>29</v>
      </c>
      <c r="C60" s="93" t="s">
        <v>107</v>
      </c>
      <c r="D60" s="93" t="s">
        <v>12</v>
      </c>
      <c r="E60" s="14" t="s">
        <v>555</v>
      </c>
      <c r="F60" s="14">
        <v>902065</v>
      </c>
      <c r="G60" s="14" t="s">
        <v>555</v>
      </c>
      <c r="H60" s="14">
        <v>78010670</v>
      </c>
      <c r="I60" s="15" t="s">
        <v>869</v>
      </c>
      <c r="J60" s="14" t="s">
        <v>555</v>
      </c>
      <c r="K60" s="93" t="s">
        <v>552</v>
      </c>
      <c r="L60" s="15" t="s">
        <v>60</v>
      </c>
      <c r="M60" s="15"/>
    </row>
    <row r="61" spans="1:13">
      <c r="A61" s="93" t="s">
        <v>53</v>
      </c>
      <c r="B61" s="93" t="s">
        <v>29</v>
      </c>
      <c r="C61" s="93" t="s">
        <v>107</v>
      </c>
      <c r="D61" s="93" t="s">
        <v>12</v>
      </c>
      <c r="E61" s="14" t="s">
        <v>555</v>
      </c>
      <c r="F61" s="14">
        <v>902066</v>
      </c>
      <c r="G61" s="14" t="s">
        <v>555</v>
      </c>
      <c r="H61" s="14">
        <v>78010671</v>
      </c>
      <c r="I61" s="15" t="s">
        <v>870</v>
      </c>
      <c r="J61" s="14" t="s">
        <v>555</v>
      </c>
      <c r="K61" s="93" t="s">
        <v>552</v>
      </c>
      <c r="L61" s="15" t="s">
        <v>60</v>
      </c>
      <c r="M61" s="15"/>
    </row>
    <row r="62" spans="1:13">
      <c r="A62" s="93" t="s">
        <v>53</v>
      </c>
      <c r="B62" s="93" t="s">
        <v>31</v>
      </c>
      <c r="C62" s="93" t="s">
        <v>107</v>
      </c>
      <c r="D62" s="93" t="s">
        <v>12</v>
      </c>
      <c r="E62" s="14" t="s">
        <v>555</v>
      </c>
      <c r="F62" s="14">
        <v>902067</v>
      </c>
      <c r="G62" s="14" t="s">
        <v>555</v>
      </c>
      <c r="H62" s="14">
        <v>78010672</v>
      </c>
      <c r="I62" s="15" t="s">
        <v>871</v>
      </c>
      <c r="J62" s="14" t="s">
        <v>555</v>
      </c>
      <c r="K62" s="93" t="s">
        <v>552</v>
      </c>
      <c r="L62" s="15" t="s">
        <v>60</v>
      </c>
      <c r="M62" s="15"/>
    </row>
    <row r="63" spans="1:13">
      <c r="A63" s="93" t="s">
        <v>53</v>
      </c>
      <c r="B63" s="93" t="s">
        <v>31</v>
      </c>
      <c r="C63" s="93" t="s">
        <v>107</v>
      </c>
      <c r="D63" s="93" t="s">
        <v>12</v>
      </c>
      <c r="E63" s="14" t="s">
        <v>555</v>
      </c>
      <c r="F63" s="14">
        <v>902068</v>
      </c>
      <c r="G63" s="14" t="s">
        <v>555</v>
      </c>
      <c r="H63" s="14">
        <v>78010673</v>
      </c>
      <c r="I63" s="15" t="s">
        <v>872</v>
      </c>
      <c r="J63" s="14" t="s">
        <v>555</v>
      </c>
      <c r="K63" s="93" t="s">
        <v>552</v>
      </c>
      <c r="L63" s="15" t="s">
        <v>60</v>
      </c>
      <c r="M63" s="15"/>
    </row>
    <row r="64" spans="1:13">
      <c r="A64" s="93" t="s">
        <v>53</v>
      </c>
      <c r="B64" s="93" t="s">
        <v>31</v>
      </c>
      <c r="C64" s="93" t="s">
        <v>107</v>
      </c>
      <c r="D64" s="93" t="s">
        <v>12</v>
      </c>
      <c r="E64" s="14" t="s">
        <v>555</v>
      </c>
      <c r="F64" s="14">
        <v>902069</v>
      </c>
      <c r="G64" s="14" t="s">
        <v>555</v>
      </c>
      <c r="H64" s="14">
        <v>78010674</v>
      </c>
      <c r="I64" s="15" t="s">
        <v>873</v>
      </c>
      <c r="J64" s="14" t="s">
        <v>555</v>
      </c>
      <c r="K64" s="93" t="s">
        <v>552</v>
      </c>
      <c r="L64" s="15" t="s">
        <v>60</v>
      </c>
      <c r="M64" s="15"/>
    </row>
    <row r="65" spans="1:13">
      <c r="A65" s="93" t="s">
        <v>53</v>
      </c>
      <c r="B65" s="93" t="s">
        <v>31</v>
      </c>
      <c r="C65" s="93" t="s">
        <v>107</v>
      </c>
      <c r="D65" s="93" t="s">
        <v>12</v>
      </c>
      <c r="E65" s="14" t="s">
        <v>555</v>
      </c>
      <c r="F65" s="14">
        <v>902070</v>
      </c>
      <c r="G65" s="14" t="s">
        <v>555</v>
      </c>
      <c r="H65" s="14">
        <v>78010675</v>
      </c>
      <c r="I65" s="15" t="s">
        <v>874</v>
      </c>
      <c r="J65" s="14" t="s">
        <v>555</v>
      </c>
      <c r="K65" s="93" t="s">
        <v>552</v>
      </c>
      <c r="L65" s="15" t="s">
        <v>60</v>
      </c>
      <c r="M65" s="15"/>
    </row>
    <row r="66" spans="1:13">
      <c r="A66" s="93" t="s">
        <v>53</v>
      </c>
      <c r="B66" s="93" t="s">
        <v>31</v>
      </c>
      <c r="C66" s="93" t="s">
        <v>107</v>
      </c>
      <c r="D66" s="93" t="s">
        <v>12</v>
      </c>
      <c r="E66" s="14" t="s">
        <v>555</v>
      </c>
      <c r="F66" s="14">
        <v>902071</v>
      </c>
      <c r="G66" s="14" t="s">
        <v>555</v>
      </c>
      <c r="H66" s="14">
        <v>78010676</v>
      </c>
      <c r="I66" s="15" t="s">
        <v>875</v>
      </c>
      <c r="J66" s="14" t="s">
        <v>555</v>
      </c>
      <c r="K66" s="93" t="s">
        <v>552</v>
      </c>
      <c r="L66" s="15" t="s">
        <v>60</v>
      </c>
      <c r="M66" s="15"/>
    </row>
    <row r="67" spans="1:13">
      <c r="A67" s="93" t="s">
        <v>53</v>
      </c>
      <c r="B67" s="93" t="s">
        <v>31</v>
      </c>
      <c r="C67" s="93" t="s">
        <v>107</v>
      </c>
      <c r="D67" s="93" t="s">
        <v>12</v>
      </c>
      <c r="E67" s="14" t="s">
        <v>555</v>
      </c>
      <c r="F67" s="14">
        <v>902072</v>
      </c>
      <c r="G67" s="14" t="s">
        <v>555</v>
      </c>
      <c r="H67" s="14">
        <v>78010677</v>
      </c>
      <c r="I67" s="15" t="s">
        <v>275</v>
      </c>
      <c r="J67" s="14" t="s">
        <v>555</v>
      </c>
      <c r="K67" s="93" t="s">
        <v>552</v>
      </c>
      <c r="L67" s="15" t="s">
        <v>60</v>
      </c>
      <c r="M67" s="15"/>
    </row>
    <row r="68" spans="1:13">
      <c r="A68" s="93" t="s">
        <v>53</v>
      </c>
      <c r="B68" s="93" t="s">
        <v>31</v>
      </c>
      <c r="C68" s="93" t="s">
        <v>107</v>
      </c>
      <c r="D68" s="93" t="s">
        <v>12</v>
      </c>
      <c r="E68" s="14" t="s">
        <v>555</v>
      </c>
      <c r="F68" s="14">
        <v>902073</v>
      </c>
      <c r="G68" s="14" t="s">
        <v>555</v>
      </c>
      <c r="H68" s="14">
        <v>78010678</v>
      </c>
      <c r="I68" s="15" t="s">
        <v>876</v>
      </c>
      <c r="J68" s="14" t="s">
        <v>555</v>
      </c>
      <c r="K68" s="93" t="s">
        <v>552</v>
      </c>
      <c r="L68" s="15" t="s">
        <v>60</v>
      </c>
      <c r="M68" s="15"/>
    </row>
    <row r="69" spans="1:13">
      <c r="A69" s="93" t="s">
        <v>53</v>
      </c>
      <c r="B69" s="93" t="s">
        <v>31</v>
      </c>
      <c r="C69" s="93" t="s">
        <v>107</v>
      </c>
      <c r="D69" s="93" t="s">
        <v>12</v>
      </c>
      <c r="E69" s="14" t="s">
        <v>555</v>
      </c>
      <c r="F69" s="14">
        <v>902074</v>
      </c>
      <c r="G69" s="14" t="s">
        <v>555</v>
      </c>
      <c r="H69" s="14">
        <v>78010679</v>
      </c>
      <c r="I69" s="15" t="s">
        <v>877</v>
      </c>
      <c r="J69" s="14" t="s">
        <v>555</v>
      </c>
      <c r="K69" s="93" t="s">
        <v>552</v>
      </c>
      <c r="L69" s="15" t="s">
        <v>60</v>
      </c>
      <c r="M69" s="15"/>
    </row>
    <row r="70" spans="1:13">
      <c r="A70" s="93" t="s">
        <v>53</v>
      </c>
      <c r="B70" s="93" t="s">
        <v>31</v>
      </c>
      <c r="C70" s="93" t="s">
        <v>107</v>
      </c>
      <c r="D70" s="93" t="s">
        <v>12</v>
      </c>
      <c r="E70" s="14" t="s">
        <v>555</v>
      </c>
      <c r="F70" s="14">
        <v>902075</v>
      </c>
      <c r="G70" s="14" t="s">
        <v>555</v>
      </c>
      <c r="H70" s="14">
        <v>78010680</v>
      </c>
      <c r="I70" s="15" t="s">
        <v>878</v>
      </c>
      <c r="J70" s="14" t="s">
        <v>555</v>
      </c>
      <c r="K70" s="93" t="s">
        <v>552</v>
      </c>
      <c r="L70" s="15" t="s">
        <v>60</v>
      </c>
      <c r="M70" s="15"/>
    </row>
    <row r="71" spans="1:13">
      <c r="A71" s="93" t="s">
        <v>53</v>
      </c>
      <c r="B71" s="93" t="s">
        <v>31</v>
      </c>
      <c r="C71" s="93" t="s">
        <v>107</v>
      </c>
      <c r="D71" s="93" t="s">
        <v>12</v>
      </c>
      <c r="E71" s="14" t="s">
        <v>555</v>
      </c>
      <c r="F71" s="14">
        <v>902076</v>
      </c>
      <c r="G71" s="14" t="s">
        <v>555</v>
      </c>
      <c r="H71" s="14">
        <v>78010681</v>
      </c>
      <c r="I71" s="15" t="s">
        <v>879</v>
      </c>
      <c r="J71" s="14" t="s">
        <v>555</v>
      </c>
      <c r="K71" s="93" t="s">
        <v>552</v>
      </c>
      <c r="L71" s="15" t="s">
        <v>60</v>
      </c>
      <c r="M71" s="15"/>
    </row>
    <row r="72" spans="1:13">
      <c r="A72" s="93" t="s">
        <v>53</v>
      </c>
      <c r="B72" s="93" t="s">
        <v>31</v>
      </c>
      <c r="C72" s="93" t="s">
        <v>107</v>
      </c>
      <c r="D72" s="93" t="s">
        <v>12</v>
      </c>
      <c r="E72" s="14" t="s">
        <v>555</v>
      </c>
      <c r="F72" s="14">
        <v>902077</v>
      </c>
      <c r="G72" s="14" t="s">
        <v>555</v>
      </c>
      <c r="H72" s="14">
        <v>78010682</v>
      </c>
      <c r="I72" s="15" t="s">
        <v>880</v>
      </c>
      <c r="J72" s="14" t="s">
        <v>555</v>
      </c>
      <c r="K72" s="93" t="s">
        <v>552</v>
      </c>
      <c r="L72" s="15" t="s">
        <v>60</v>
      </c>
      <c r="M72" s="15"/>
    </row>
    <row r="73" spans="1:13">
      <c r="A73" s="93" t="s">
        <v>53</v>
      </c>
      <c r="B73" s="93" t="s">
        <v>31</v>
      </c>
      <c r="C73" s="93" t="s">
        <v>107</v>
      </c>
      <c r="D73" s="93" t="s">
        <v>12</v>
      </c>
      <c r="E73" s="14" t="s">
        <v>555</v>
      </c>
      <c r="F73" s="14">
        <v>902078</v>
      </c>
      <c r="G73" s="14" t="s">
        <v>555</v>
      </c>
      <c r="H73" s="14">
        <v>78010683</v>
      </c>
      <c r="I73" s="15" t="s">
        <v>881</v>
      </c>
      <c r="J73" s="14" t="s">
        <v>555</v>
      </c>
      <c r="K73" s="93" t="s">
        <v>552</v>
      </c>
      <c r="L73" s="15" t="s">
        <v>60</v>
      </c>
      <c r="M73" s="15"/>
    </row>
    <row r="74" spans="1:13">
      <c r="A74" s="93" t="s">
        <v>53</v>
      </c>
      <c r="B74" s="93" t="s">
        <v>31</v>
      </c>
      <c r="C74" s="93" t="s">
        <v>107</v>
      </c>
      <c r="D74" s="93" t="s">
        <v>12</v>
      </c>
      <c r="E74" s="14" t="s">
        <v>555</v>
      </c>
      <c r="F74" s="14">
        <v>902079</v>
      </c>
      <c r="G74" s="14" t="s">
        <v>555</v>
      </c>
      <c r="H74" s="14">
        <v>78010684</v>
      </c>
      <c r="I74" s="15" t="s">
        <v>882</v>
      </c>
      <c r="J74" s="14" t="s">
        <v>555</v>
      </c>
      <c r="K74" s="93" t="s">
        <v>552</v>
      </c>
      <c r="L74" s="15" t="s">
        <v>60</v>
      </c>
      <c r="M74" s="15"/>
    </row>
    <row r="75" spans="1:13">
      <c r="A75" s="93" t="s">
        <v>53</v>
      </c>
      <c r="B75" s="93" t="s">
        <v>31</v>
      </c>
      <c r="C75" s="93" t="s">
        <v>107</v>
      </c>
      <c r="D75" s="93" t="s">
        <v>12</v>
      </c>
      <c r="E75" s="14" t="s">
        <v>555</v>
      </c>
      <c r="F75" s="14">
        <v>902080</v>
      </c>
      <c r="G75" s="14" t="s">
        <v>555</v>
      </c>
      <c r="H75" s="14">
        <v>78010685</v>
      </c>
      <c r="I75" s="15" t="s">
        <v>883</v>
      </c>
      <c r="J75" s="14" t="s">
        <v>555</v>
      </c>
      <c r="K75" s="93" t="s">
        <v>552</v>
      </c>
      <c r="L75" s="15" t="s">
        <v>60</v>
      </c>
      <c r="M75" s="15"/>
    </row>
    <row r="76" spans="1:13">
      <c r="A76" s="93" t="s">
        <v>53</v>
      </c>
      <c r="B76" s="93" t="s">
        <v>31</v>
      </c>
      <c r="C76" s="93" t="s">
        <v>107</v>
      </c>
      <c r="D76" s="93" t="s">
        <v>12</v>
      </c>
      <c r="E76" s="14" t="s">
        <v>555</v>
      </c>
      <c r="F76" s="14">
        <v>902081</v>
      </c>
      <c r="G76" s="14" t="s">
        <v>555</v>
      </c>
      <c r="H76" s="14">
        <v>78010686</v>
      </c>
      <c r="I76" s="15" t="s">
        <v>884</v>
      </c>
      <c r="J76" s="14" t="s">
        <v>555</v>
      </c>
      <c r="K76" s="93" t="s">
        <v>552</v>
      </c>
      <c r="L76" s="15" t="s">
        <v>60</v>
      </c>
      <c r="M76" s="15"/>
    </row>
    <row r="77" spans="1:13">
      <c r="A77" s="93" t="s">
        <v>53</v>
      </c>
      <c r="B77" s="93" t="s">
        <v>31</v>
      </c>
      <c r="C77" s="93" t="s">
        <v>107</v>
      </c>
      <c r="D77" s="93" t="s">
        <v>12</v>
      </c>
      <c r="E77" s="14" t="s">
        <v>555</v>
      </c>
      <c r="F77" s="14">
        <v>902082</v>
      </c>
      <c r="G77" s="14" t="s">
        <v>555</v>
      </c>
      <c r="H77" s="14">
        <v>78010687</v>
      </c>
      <c r="I77" s="15" t="s">
        <v>885</v>
      </c>
      <c r="J77" s="14" t="s">
        <v>555</v>
      </c>
      <c r="K77" s="93" t="s">
        <v>552</v>
      </c>
      <c r="L77" s="15" t="s">
        <v>60</v>
      </c>
      <c r="M77" s="15"/>
    </row>
    <row r="78" spans="1:13">
      <c r="A78" s="93" t="s">
        <v>53</v>
      </c>
      <c r="B78" s="93" t="s">
        <v>32</v>
      </c>
      <c r="C78" s="93" t="s">
        <v>107</v>
      </c>
      <c r="D78" s="93" t="s">
        <v>12</v>
      </c>
      <c r="E78" s="14" t="s">
        <v>555</v>
      </c>
      <c r="F78" s="14">
        <v>902083</v>
      </c>
      <c r="G78" s="14" t="s">
        <v>555</v>
      </c>
      <c r="H78" s="14">
        <v>78010688</v>
      </c>
      <c r="I78" s="15" t="s">
        <v>886</v>
      </c>
      <c r="J78" s="14" t="s">
        <v>555</v>
      </c>
      <c r="K78" s="93" t="s">
        <v>552</v>
      </c>
      <c r="L78" s="15" t="s">
        <v>60</v>
      </c>
      <c r="M78" s="15"/>
    </row>
    <row r="79" spans="1:13">
      <c r="A79" s="93" t="s">
        <v>53</v>
      </c>
      <c r="B79" s="93" t="s">
        <v>32</v>
      </c>
      <c r="C79" s="93" t="s">
        <v>107</v>
      </c>
      <c r="D79" s="93" t="s">
        <v>12</v>
      </c>
      <c r="E79" s="14" t="s">
        <v>555</v>
      </c>
      <c r="F79" s="14">
        <v>902084</v>
      </c>
      <c r="G79" s="14" t="s">
        <v>555</v>
      </c>
      <c r="H79" s="14">
        <v>78010689</v>
      </c>
      <c r="I79" s="15" t="s">
        <v>887</v>
      </c>
      <c r="J79" s="14" t="s">
        <v>555</v>
      </c>
      <c r="K79" s="93" t="s">
        <v>552</v>
      </c>
      <c r="L79" s="15" t="s">
        <v>60</v>
      </c>
      <c r="M79" s="15"/>
    </row>
    <row r="80" spans="1:13">
      <c r="A80" s="93" t="s">
        <v>53</v>
      </c>
      <c r="B80" s="93" t="s">
        <v>32</v>
      </c>
      <c r="C80" s="93" t="s">
        <v>107</v>
      </c>
      <c r="D80" s="93" t="s">
        <v>12</v>
      </c>
      <c r="E80" s="14" t="s">
        <v>555</v>
      </c>
      <c r="F80" s="14">
        <v>902085</v>
      </c>
      <c r="G80" s="14" t="s">
        <v>555</v>
      </c>
      <c r="H80" s="14">
        <v>78010690</v>
      </c>
      <c r="I80" s="15" t="s">
        <v>888</v>
      </c>
      <c r="J80" s="14" t="s">
        <v>555</v>
      </c>
      <c r="K80" s="93" t="s">
        <v>552</v>
      </c>
      <c r="L80" s="15" t="s">
        <v>60</v>
      </c>
      <c r="M80" s="15"/>
    </row>
    <row r="81" spans="1:13">
      <c r="A81" s="93" t="s">
        <v>53</v>
      </c>
      <c r="B81" s="93" t="s">
        <v>32</v>
      </c>
      <c r="C81" s="93" t="s">
        <v>107</v>
      </c>
      <c r="D81" s="93" t="s">
        <v>12</v>
      </c>
      <c r="E81" s="14" t="s">
        <v>560</v>
      </c>
      <c r="F81" s="14">
        <v>902086</v>
      </c>
      <c r="G81" s="14" t="s">
        <v>560</v>
      </c>
      <c r="H81" s="14">
        <v>78010691</v>
      </c>
      <c r="I81" s="15" t="s">
        <v>889</v>
      </c>
      <c r="J81" s="14" t="s">
        <v>560</v>
      </c>
      <c r="K81" s="93" t="s">
        <v>552</v>
      </c>
      <c r="L81" s="15" t="s">
        <v>60</v>
      </c>
      <c r="M81" s="15"/>
    </row>
    <row r="82" spans="1:13">
      <c r="A82" s="93" t="s">
        <v>53</v>
      </c>
      <c r="B82" s="93" t="s">
        <v>32</v>
      </c>
      <c r="C82" s="93" t="s">
        <v>107</v>
      </c>
      <c r="D82" s="93" t="s">
        <v>12</v>
      </c>
      <c r="E82" s="14" t="s">
        <v>555</v>
      </c>
      <c r="F82" s="14">
        <v>902087</v>
      </c>
      <c r="G82" s="14" t="s">
        <v>555</v>
      </c>
      <c r="H82" s="14">
        <v>78010692</v>
      </c>
      <c r="I82" s="15" t="s">
        <v>890</v>
      </c>
      <c r="J82" s="14" t="s">
        <v>555</v>
      </c>
      <c r="K82" s="93" t="s">
        <v>552</v>
      </c>
      <c r="L82" s="15" t="s">
        <v>60</v>
      </c>
      <c r="M82" s="15"/>
    </row>
    <row r="83" spans="1:13">
      <c r="A83" s="93" t="s">
        <v>53</v>
      </c>
      <c r="B83" s="93" t="s">
        <v>32</v>
      </c>
      <c r="C83" s="93" t="s">
        <v>107</v>
      </c>
      <c r="D83" s="93" t="s">
        <v>12</v>
      </c>
      <c r="E83" s="14" t="s">
        <v>555</v>
      </c>
      <c r="F83" s="14">
        <v>902088</v>
      </c>
      <c r="G83" s="14" t="s">
        <v>555</v>
      </c>
      <c r="H83" s="14">
        <v>78010693</v>
      </c>
      <c r="I83" s="15" t="s">
        <v>891</v>
      </c>
      <c r="J83" s="14" t="s">
        <v>555</v>
      </c>
      <c r="K83" s="93" t="s">
        <v>552</v>
      </c>
      <c r="L83" s="15" t="s">
        <v>60</v>
      </c>
      <c r="M83" s="15"/>
    </row>
    <row r="84" spans="1:13">
      <c r="A84" s="93" t="s">
        <v>53</v>
      </c>
      <c r="B84" s="93" t="s">
        <v>32</v>
      </c>
      <c r="C84" s="93" t="s">
        <v>107</v>
      </c>
      <c r="D84" s="93" t="s">
        <v>12</v>
      </c>
      <c r="E84" s="14" t="s">
        <v>555</v>
      </c>
      <c r="F84" s="14">
        <v>902089</v>
      </c>
      <c r="G84" s="14" t="s">
        <v>555</v>
      </c>
      <c r="H84" s="14">
        <v>78010694</v>
      </c>
      <c r="I84" s="15" t="s">
        <v>892</v>
      </c>
      <c r="J84" s="14" t="s">
        <v>555</v>
      </c>
      <c r="K84" s="93" t="s">
        <v>552</v>
      </c>
      <c r="L84" s="15" t="s">
        <v>60</v>
      </c>
      <c r="M84" s="15"/>
    </row>
    <row r="85" spans="1:13">
      <c r="A85" s="93" t="s">
        <v>53</v>
      </c>
      <c r="B85" s="93" t="s">
        <v>32</v>
      </c>
      <c r="C85" s="93" t="s">
        <v>107</v>
      </c>
      <c r="D85" s="93" t="s">
        <v>12</v>
      </c>
      <c r="E85" s="14" t="s">
        <v>555</v>
      </c>
      <c r="F85" s="14">
        <v>902090</v>
      </c>
      <c r="G85" s="14" t="s">
        <v>555</v>
      </c>
      <c r="H85" s="14">
        <v>78010695</v>
      </c>
      <c r="I85" s="15" t="s">
        <v>893</v>
      </c>
      <c r="J85" s="14" t="s">
        <v>555</v>
      </c>
      <c r="K85" s="93" t="s">
        <v>552</v>
      </c>
      <c r="L85" s="15" t="s">
        <v>60</v>
      </c>
      <c r="M85" s="15"/>
    </row>
    <row r="86" spans="1:13">
      <c r="A86" s="93" t="s">
        <v>53</v>
      </c>
      <c r="B86" s="93" t="s">
        <v>32</v>
      </c>
      <c r="C86" s="93" t="s">
        <v>107</v>
      </c>
      <c r="D86" s="93" t="s">
        <v>12</v>
      </c>
      <c r="E86" s="14" t="s">
        <v>555</v>
      </c>
      <c r="F86" s="14">
        <v>902091</v>
      </c>
      <c r="G86" s="14" t="s">
        <v>555</v>
      </c>
      <c r="H86" s="14">
        <v>78010696</v>
      </c>
      <c r="I86" s="15" t="s">
        <v>894</v>
      </c>
      <c r="J86" s="14" t="s">
        <v>555</v>
      </c>
      <c r="K86" s="93" t="s">
        <v>552</v>
      </c>
      <c r="L86" s="15" t="s">
        <v>60</v>
      </c>
      <c r="M86" s="15"/>
    </row>
    <row r="87" spans="1:13">
      <c r="A87" s="93" t="s">
        <v>53</v>
      </c>
      <c r="B87" s="93" t="s">
        <v>32</v>
      </c>
      <c r="C87" s="93" t="s">
        <v>107</v>
      </c>
      <c r="D87" s="93" t="s">
        <v>12</v>
      </c>
      <c r="E87" s="14" t="s">
        <v>555</v>
      </c>
      <c r="F87" s="14">
        <v>902092</v>
      </c>
      <c r="G87" s="14" t="s">
        <v>555</v>
      </c>
      <c r="H87" s="14">
        <v>78010697</v>
      </c>
      <c r="I87" s="15" t="s">
        <v>895</v>
      </c>
      <c r="J87" s="14" t="s">
        <v>555</v>
      </c>
      <c r="K87" s="93" t="s">
        <v>552</v>
      </c>
      <c r="L87" s="15" t="s">
        <v>60</v>
      </c>
      <c r="M87" s="15"/>
    </row>
    <row r="88" spans="1:13">
      <c r="A88" s="93" t="s">
        <v>53</v>
      </c>
      <c r="B88" s="93" t="s">
        <v>32</v>
      </c>
      <c r="C88" s="93" t="s">
        <v>107</v>
      </c>
      <c r="D88" s="93" t="s">
        <v>12</v>
      </c>
      <c r="E88" s="14" t="s">
        <v>555</v>
      </c>
      <c r="F88" s="14">
        <v>902093</v>
      </c>
      <c r="G88" s="14" t="s">
        <v>555</v>
      </c>
      <c r="H88" s="14">
        <v>78010698</v>
      </c>
      <c r="I88" s="15" t="s">
        <v>896</v>
      </c>
      <c r="J88" s="14" t="s">
        <v>555</v>
      </c>
      <c r="K88" s="93" t="s">
        <v>552</v>
      </c>
      <c r="L88" s="15" t="s">
        <v>60</v>
      </c>
      <c r="M88" s="15"/>
    </row>
    <row r="89" spans="1:13">
      <c r="A89" s="93" t="s">
        <v>53</v>
      </c>
      <c r="B89" s="93" t="s">
        <v>32</v>
      </c>
      <c r="C89" s="93" t="s">
        <v>107</v>
      </c>
      <c r="D89" s="93" t="s">
        <v>12</v>
      </c>
      <c r="E89" s="14" t="s">
        <v>555</v>
      </c>
      <c r="F89" s="14">
        <v>902094</v>
      </c>
      <c r="G89" s="14" t="s">
        <v>555</v>
      </c>
      <c r="H89" s="14">
        <v>78010699</v>
      </c>
      <c r="I89" s="15" t="s">
        <v>897</v>
      </c>
      <c r="J89" s="14" t="s">
        <v>555</v>
      </c>
      <c r="K89" s="93" t="s">
        <v>552</v>
      </c>
      <c r="L89" s="15" t="s">
        <v>60</v>
      </c>
      <c r="M89" s="15"/>
    </row>
    <row r="90" spans="1:13">
      <c r="A90" s="93" t="s">
        <v>53</v>
      </c>
      <c r="B90" s="93" t="s">
        <v>32</v>
      </c>
      <c r="C90" s="93" t="s">
        <v>107</v>
      </c>
      <c r="D90" s="93" t="s">
        <v>12</v>
      </c>
      <c r="E90" s="14" t="s">
        <v>555</v>
      </c>
      <c r="F90" s="14">
        <v>902095</v>
      </c>
      <c r="G90" s="14" t="s">
        <v>555</v>
      </c>
      <c r="H90" s="14">
        <v>78010700</v>
      </c>
      <c r="I90" s="15" t="s">
        <v>898</v>
      </c>
      <c r="J90" s="14" t="s">
        <v>555</v>
      </c>
      <c r="K90" s="93" t="s">
        <v>552</v>
      </c>
      <c r="L90" s="15" t="s">
        <v>60</v>
      </c>
      <c r="M90" s="15"/>
    </row>
    <row r="91" spans="1:13">
      <c r="A91" s="93" t="s">
        <v>53</v>
      </c>
      <c r="B91" s="93" t="s">
        <v>32</v>
      </c>
      <c r="C91" s="93" t="s">
        <v>107</v>
      </c>
      <c r="D91" s="93" t="s">
        <v>12</v>
      </c>
      <c r="E91" s="14" t="s">
        <v>555</v>
      </c>
      <c r="F91" s="14">
        <v>902096</v>
      </c>
      <c r="G91" s="14" t="s">
        <v>555</v>
      </c>
      <c r="H91" s="14">
        <v>78010701</v>
      </c>
      <c r="I91" s="15" t="s">
        <v>899</v>
      </c>
      <c r="J91" s="14" t="s">
        <v>555</v>
      </c>
      <c r="K91" s="93" t="s">
        <v>552</v>
      </c>
      <c r="L91" s="15" t="s">
        <v>60</v>
      </c>
      <c r="M91" s="15"/>
    </row>
    <row r="92" spans="1:13">
      <c r="A92" s="93" t="s">
        <v>53</v>
      </c>
      <c r="B92" s="93" t="s">
        <v>32</v>
      </c>
      <c r="C92" s="93" t="s">
        <v>107</v>
      </c>
      <c r="D92" s="93" t="s">
        <v>12</v>
      </c>
      <c r="E92" s="14" t="s">
        <v>555</v>
      </c>
      <c r="F92" s="14">
        <v>902097</v>
      </c>
      <c r="G92" s="14" t="s">
        <v>555</v>
      </c>
      <c r="H92" s="14">
        <v>78010702</v>
      </c>
      <c r="I92" s="15" t="s">
        <v>900</v>
      </c>
      <c r="J92" s="14" t="s">
        <v>555</v>
      </c>
      <c r="K92" s="93" t="s">
        <v>552</v>
      </c>
      <c r="L92" s="15" t="s">
        <v>60</v>
      </c>
      <c r="M92" s="15"/>
    </row>
    <row r="93" spans="1:13">
      <c r="A93" s="93" t="s">
        <v>53</v>
      </c>
      <c r="B93" s="93" t="s">
        <v>32</v>
      </c>
      <c r="C93" s="93" t="s">
        <v>107</v>
      </c>
      <c r="D93" s="93" t="s">
        <v>12</v>
      </c>
      <c r="E93" s="14" t="s">
        <v>555</v>
      </c>
      <c r="F93" s="14">
        <v>902098</v>
      </c>
      <c r="G93" s="14" t="s">
        <v>555</v>
      </c>
      <c r="H93" s="14">
        <v>78010703</v>
      </c>
      <c r="I93" s="15" t="s">
        <v>901</v>
      </c>
      <c r="J93" s="14" t="s">
        <v>555</v>
      </c>
      <c r="K93" s="93" t="s">
        <v>552</v>
      </c>
      <c r="L93" s="15" t="s">
        <v>60</v>
      </c>
      <c r="M93" s="15"/>
    </row>
    <row r="94" spans="1:13">
      <c r="A94" s="93" t="s">
        <v>53</v>
      </c>
      <c r="B94" s="93" t="s">
        <v>32</v>
      </c>
      <c r="C94" s="93" t="s">
        <v>107</v>
      </c>
      <c r="D94" s="93" t="s">
        <v>12</v>
      </c>
      <c r="E94" s="14" t="s">
        <v>555</v>
      </c>
      <c r="F94" s="14">
        <v>902099</v>
      </c>
      <c r="G94" s="14" t="s">
        <v>555</v>
      </c>
      <c r="H94" s="14">
        <v>78010704</v>
      </c>
      <c r="I94" s="15" t="s">
        <v>902</v>
      </c>
      <c r="J94" s="14" t="s">
        <v>555</v>
      </c>
      <c r="K94" s="93" t="s">
        <v>552</v>
      </c>
      <c r="L94" s="15" t="s">
        <v>60</v>
      </c>
      <c r="M94" s="15"/>
    </row>
    <row r="95" spans="1:13">
      <c r="A95" s="93" t="s">
        <v>53</v>
      </c>
      <c r="B95" s="93" t="s">
        <v>34</v>
      </c>
      <c r="C95" s="93" t="s">
        <v>107</v>
      </c>
      <c r="D95" s="93" t="s">
        <v>12</v>
      </c>
      <c r="E95" s="14" t="s">
        <v>555</v>
      </c>
      <c r="F95" s="14">
        <v>902100</v>
      </c>
      <c r="G95" s="14" t="s">
        <v>555</v>
      </c>
      <c r="H95" s="14">
        <v>78010705</v>
      </c>
      <c r="I95" s="15" t="s">
        <v>845</v>
      </c>
      <c r="J95" s="14" t="s">
        <v>555</v>
      </c>
      <c r="K95" s="93" t="s">
        <v>552</v>
      </c>
      <c r="L95" s="15" t="s">
        <v>60</v>
      </c>
      <c r="M95" s="15"/>
    </row>
    <row r="96" spans="1:13">
      <c r="A96" s="93" t="s">
        <v>53</v>
      </c>
      <c r="B96" s="93" t="s">
        <v>34</v>
      </c>
      <c r="C96" s="93" t="s">
        <v>107</v>
      </c>
      <c r="D96" s="93" t="s">
        <v>12</v>
      </c>
      <c r="E96" s="14" t="s">
        <v>555</v>
      </c>
      <c r="F96" s="14">
        <v>902101</v>
      </c>
      <c r="G96" s="14" t="s">
        <v>555</v>
      </c>
      <c r="H96" s="14">
        <v>78010706</v>
      </c>
      <c r="I96" s="15" t="s">
        <v>903</v>
      </c>
      <c r="J96" s="14" t="s">
        <v>555</v>
      </c>
      <c r="K96" s="93" t="s">
        <v>552</v>
      </c>
      <c r="L96" s="15" t="s">
        <v>60</v>
      </c>
      <c r="M96" s="15"/>
    </row>
    <row r="97" spans="1:13">
      <c r="A97" s="93" t="s">
        <v>53</v>
      </c>
      <c r="B97" s="93" t="s">
        <v>34</v>
      </c>
      <c r="C97" s="93" t="s">
        <v>107</v>
      </c>
      <c r="D97" s="93" t="s">
        <v>12</v>
      </c>
      <c r="E97" s="14" t="s">
        <v>555</v>
      </c>
      <c r="F97" s="14">
        <v>902102</v>
      </c>
      <c r="G97" s="14" t="s">
        <v>555</v>
      </c>
      <c r="H97" s="14">
        <v>78010707</v>
      </c>
      <c r="I97" s="15" t="s">
        <v>904</v>
      </c>
      <c r="J97" s="14" t="s">
        <v>555</v>
      </c>
      <c r="K97" s="93" t="s">
        <v>552</v>
      </c>
      <c r="L97" s="15" t="s">
        <v>60</v>
      </c>
      <c r="M97" s="15"/>
    </row>
    <row r="98" spans="1:13">
      <c r="A98" s="93" t="s">
        <v>53</v>
      </c>
      <c r="B98" s="93" t="s">
        <v>34</v>
      </c>
      <c r="C98" s="93" t="s">
        <v>107</v>
      </c>
      <c r="D98" s="93" t="s">
        <v>12</v>
      </c>
      <c r="E98" s="14" t="s">
        <v>555</v>
      </c>
      <c r="F98" s="14">
        <v>902103</v>
      </c>
      <c r="G98" s="14" t="s">
        <v>555</v>
      </c>
      <c r="H98" s="14">
        <v>78010708</v>
      </c>
      <c r="I98" s="15" t="s">
        <v>905</v>
      </c>
      <c r="J98" s="14" t="s">
        <v>555</v>
      </c>
      <c r="K98" s="93" t="s">
        <v>552</v>
      </c>
      <c r="L98" s="15" t="s">
        <v>60</v>
      </c>
      <c r="M98" s="15"/>
    </row>
    <row r="99" spans="1:13">
      <c r="A99" s="93" t="s">
        <v>53</v>
      </c>
      <c r="B99" s="93" t="s">
        <v>34</v>
      </c>
      <c r="C99" s="93" t="s">
        <v>107</v>
      </c>
      <c r="D99" s="93" t="s">
        <v>12</v>
      </c>
      <c r="E99" s="14" t="s">
        <v>555</v>
      </c>
      <c r="F99" s="14">
        <v>902104</v>
      </c>
      <c r="G99" s="14" t="s">
        <v>555</v>
      </c>
      <c r="H99" s="14">
        <v>78010709</v>
      </c>
      <c r="I99" s="15" t="s">
        <v>906</v>
      </c>
      <c r="J99" s="14" t="s">
        <v>555</v>
      </c>
      <c r="K99" s="93" t="s">
        <v>552</v>
      </c>
      <c r="L99" s="15" t="s">
        <v>60</v>
      </c>
      <c r="M99" s="15"/>
    </row>
    <row r="100" spans="1:13">
      <c r="A100" s="93" t="s">
        <v>53</v>
      </c>
      <c r="B100" s="93" t="s">
        <v>34</v>
      </c>
      <c r="C100" s="93" t="s">
        <v>107</v>
      </c>
      <c r="D100" s="93" t="s">
        <v>12</v>
      </c>
      <c r="E100" s="14" t="s">
        <v>555</v>
      </c>
      <c r="F100" s="14">
        <v>902105</v>
      </c>
      <c r="G100" s="14" t="s">
        <v>555</v>
      </c>
      <c r="H100" s="14">
        <v>78010710</v>
      </c>
      <c r="I100" s="15" t="s">
        <v>907</v>
      </c>
      <c r="J100" s="14" t="s">
        <v>555</v>
      </c>
      <c r="K100" s="93" t="s">
        <v>552</v>
      </c>
      <c r="L100" s="15" t="s">
        <v>60</v>
      </c>
      <c r="M100" s="15"/>
    </row>
    <row r="101" spans="1:13">
      <c r="A101" s="93" t="s">
        <v>53</v>
      </c>
      <c r="B101" s="93" t="s">
        <v>34</v>
      </c>
      <c r="C101" s="93" t="s">
        <v>107</v>
      </c>
      <c r="D101" s="93" t="s">
        <v>12</v>
      </c>
      <c r="E101" s="14" t="s">
        <v>555</v>
      </c>
      <c r="F101" s="14">
        <v>902106</v>
      </c>
      <c r="G101" s="14" t="s">
        <v>555</v>
      </c>
      <c r="H101" s="14">
        <v>78010711</v>
      </c>
      <c r="I101" s="15" t="s">
        <v>894</v>
      </c>
      <c r="J101" s="14" t="s">
        <v>555</v>
      </c>
      <c r="K101" s="93" t="s">
        <v>552</v>
      </c>
      <c r="L101" s="15" t="s">
        <v>60</v>
      </c>
      <c r="M101" s="15"/>
    </row>
    <row r="102" spans="1:13">
      <c r="A102" s="93" t="s">
        <v>53</v>
      </c>
      <c r="B102" s="93" t="s">
        <v>34</v>
      </c>
      <c r="C102" s="93" t="s">
        <v>107</v>
      </c>
      <c r="D102" s="93" t="s">
        <v>12</v>
      </c>
      <c r="E102" s="14" t="s">
        <v>555</v>
      </c>
      <c r="F102" s="14">
        <v>902107</v>
      </c>
      <c r="G102" s="14" t="s">
        <v>555</v>
      </c>
      <c r="H102" s="14">
        <v>78010712</v>
      </c>
      <c r="I102" s="15" t="s">
        <v>908</v>
      </c>
      <c r="J102" s="14" t="s">
        <v>555</v>
      </c>
      <c r="K102" s="93" t="s">
        <v>552</v>
      </c>
      <c r="L102" s="15" t="s">
        <v>60</v>
      </c>
      <c r="M102" s="15"/>
    </row>
    <row r="103" spans="1:13">
      <c r="A103" s="93" t="s">
        <v>53</v>
      </c>
      <c r="B103" s="93" t="s">
        <v>34</v>
      </c>
      <c r="C103" s="93" t="s">
        <v>107</v>
      </c>
      <c r="D103" s="93" t="s">
        <v>12</v>
      </c>
      <c r="E103" s="14" t="s">
        <v>555</v>
      </c>
      <c r="F103" s="14">
        <v>902108</v>
      </c>
      <c r="G103" s="14" t="s">
        <v>555</v>
      </c>
      <c r="H103" s="14">
        <v>78010713</v>
      </c>
      <c r="I103" s="15" t="s">
        <v>909</v>
      </c>
      <c r="J103" s="14" t="s">
        <v>555</v>
      </c>
      <c r="K103" s="93" t="s">
        <v>552</v>
      </c>
      <c r="L103" s="15" t="s">
        <v>60</v>
      </c>
      <c r="M103" s="15"/>
    </row>
    <row r="104" spans="1:13">
      <c r="A104" s="93" t="s">
        <v>53</v>
      </c>
      <c r="B104" s="93" t="s">
        <v>34</v>
      </c>
      <c r="C104" s="93" t="s">
        <v>107</v>
      </c>
      <c r="D104" s="93" t="s">
        <v>12</v>
      </c>
      <c r="E104" s="14" t="s">
        <v>555</v>
      </c>
      <c r="F104" s="14">
        <v>902109</v>
      </c>
      <c r="G104" s="14" t="s">
        <v>555</v>
      </c>
      <c r="H104" s="14">
        <v>78010714</v>
      </c>
      <c r="I104" s="15" t="s">
        <v>910</v>
      </c>
      <c r="J104" s="14" t="s">
        <v>555</v>
      </c>
      <c r="K104" s="93" t="s">
        <v>552</v>
      </c>
      <c r="L104" s="15" t="s">
        <v>60</v>
      </c>
      <c r="M104" s="15"/>
    </row>
    <row r="105" spans="1:13">
      <c r="A105" s="93" t="s">
        <v>53</v>
      </c>
      <c r="B105" s="93" t="s">
        <v>34</v>
      </c>
      <c r="C105" s="93" t="s">
        <v>107</v>
      </c>
      <c r="D105" s="93" t="s">
        <v>12</v>
      </c>
      <c r="E105" s="14" t="s">
        <v>555</v>
      </c>
      <c r="F105" s="14">
        <v>902110</v>
      </c>
      <c r="G105" s="14" t="s">
        <v>555</v>
      </c>
      <c r="H105" s="14">
        <v>78010715</v>
      </c>
      <c r="I105" s="15" t="s">
        <v>911</v>
      </c>
      <c r="J105" s="14" t="s">
        <v>555</v>
      </c>
      <c r="K105" s="93" t="s">
        <v>552</v>
      </c>
      <c r="L105" s="15" t="s">
        <v>60</v>
      </c>
      <c r="M105" s="15"/>
    </row>
    <row r="106" spans="1:13">
      <c r="A106" s="93" t="s">
        <v>53</v>
      </c>
      <c r="B106" s="93" t="s">
        <v>34</v>
      </c>
      <c r="C106" s="93" t="s">
        <v>107</v>
      </c>
      <c r="D106" s="93" t="s">
        <v>12</v>
      </c>
      <c r="E106" s="14" t="s">
        <v>555</v>
      </c>
      <c r="F106" s="14">
        <v>902111</v>
      </c>
      <c r="G106" s="14" t="s">
        <v>555</v>
      </c>
      <c r="H106" s="14">
        <v>78010716</v>
      </c>
      <c r="I106" s="15" t="s">
        <v>912</v>
      </c>
      <c r="J106" s="14" t="s">
        <v>555</v>
      </c>
      <c r="K106" s="93" t="s">
        <v>552</v>
      </c>
      <c r="L106" s="15" t="s">
        <v>60</v>
      </c>
      <c r="M106" s="15"/>
    </row>
    <row r="107" spans="1:13">
      <c r="A107" s="93" t="s">
        <v>53</v>
      </c>
      <c r="B107" s="93" t="s">
        <v>34</v>
      </c>
      <c r="C107" s="93" t="s">
        <v>107</v>
      </c>
      <c r="D107" s="93" t="s">
        <v>12</v>
      </c>
      <c r="E107" s="14" t="s">
        <v>555</v>
      </c>
      <c r="F107" s="14">
        <v>902112</v>
      </c>
      <c r="G107" s="14" t="s">
        <v>555</v>
      </c>
      <c r="H107" s="14">
        <v>78010717</v>
      </c>
      <c r="I107" s="15" t="s">
        <v>913</v>
      </c>
      <c r="J107" s="14" t="s">
        <v>555</v>
      </c>
      <c r="K107" s="93" t="s">
        <v>552</v>
      </c>
      <c r="L107" s="15" t="s">
        <v>60</v>
      </c>
      <c r="M107" s="15"/>
    </row>
    <row r="108" spans="1:13">
      <c r="A108" s="93" t="s">
        <v>53</v>
      </c>
      <c r="B108" s="93" t="s">
        <v>34</v>
      </c>
      <c r="C108" s="93" t="s">
        <v>107</v>
      </c>
      <c r="D108" s="93" t="s">
        <v>12</v>
      </c>
      <c r="E108" s="14" t="s">
        <v>560</v>
      </c>
      <c r="F108" s="14">
        <v>902113</v>
      </c>
      <c r="G108" s="14" t="s">
        <v>560</v>
      </c>
      <c r="H108" s="14">
        <v>78010718</v>
      </c>
      <c r="I108" s="15" t="s">
        <v>914</v>
      </c>
      <c r="J108" s="14" t="s">
        <v>560</v>
      </c>
      <c r="K108" s="93" t="s">
        <v>552</v>
      </c>
      <c r="L108" s="15" t="s">
        <v>60</v>
      </c>
      <c r="M108" s="15"/>
    </row>
    <row r="109" spans="1:13">
      <c r="A109" s="93" t="s">
        <v>53</v>
      </c>
      <c r="B109" s="93" t="s">
        <v>34</v>
      </c>
      <c r="C109" s="93" t="s">
        <v>107</v>
      </c>
      <c r="D109" s="93" t="s">
        <v>12</v>
      </c>
      <c r="E109" s="14" t="s">
        <v>555</v>
      </c>
      <c r="F109" s="14">
        <v>902114</v>
      </c>
      <c r="G109" s="14" t="s">
        <v>555</v>
      </c>
      <c r="H109" s="14">
        <v>78010719</v>
      </c>
      <c r="I109" s="15" t="s">
        <v>915</v>
      </c>
      <c r="J109" s="14" t="s">
        <v>555</v>
      </c>
      <c r="K109" s="93" t="s">
        <v>552</v>
      </c>
      <c r="L109" s="15" t="s">
        <v>60</v>
      </c>
      <c r="M109" s="15"/>
    </row>
    <row r="110" spans="1:13">
      <c r="A110" s="93" t="s">
        <v>53</v>
      </c>
      <c r="B110" s="93" t="s">
        <v>34</v>
      </c>
      <c r="C110" s="93" t="s">
        <v>107</v>
      </c>
      <c r="D110" s="93" t="s">
        <v>12</v>
      </c>
      <c r="E110" s="14" t="s">
        <v>555</v>
      </c>
      <c r="F110" s="14">
        <v>902115</v>
      </c>
      <c r="G110" s="14" t="s">
        <v>555</v>
      </c>
      <c r="H110" s="14">
        <v>78010720</v>
      </c>
      <c r="I110" s="15" t="s">
        <v>916</v>
      </c>
      <c r="J110" s="14" t="s">
        <v>555</v>
      </c>
      <c r="K110" s="93" t="s">
        <v>552</v>
      </c>
      <c r="L110" s="15" t="s">
        <v>60</v>
      </c>
      <c r="M110" s="15"/>
    </row>
    <row r="111" spans="1:13">
      <c r="A111" s="93" t="s">
        <v>53</v>
      </c>
      <c r="B111" s="93" t="s">
        <v>34</v>
      </c>
      <c r="C111" s="93" t="s">
        <v>107</v>
      </c>
      <c r="D111" s="93" t="s">
        <v>12</v>
      </c>
      <c r="E111" s="14" t="s">
        <v>555</v>
      </c>
      <c r="F111" s="14">
        <v>902116</v>
      </c>
      <c r="G111" s="14" t="s">
        <v>555</v>
      </c>
      <c r="H111" s="14">
        <v>78010721</v>
      </c>
      <c r="I111" s="15" t="s">
        <v>917</v>
      </c>
      <c r="J111" s="14" t="s">
        <v>555</v>
      </c>
      <c r="K111" s="93" t="s">
        <v>552</v>
      </c>
      <c r="L111" s="15" t="s">
        <v>60</v>
      </c>
      <c r="M111" s="15"/>
    </row>
  </sheetData>
  <conditionalFormatting sqref="F1">
    <cfRule type="duplicateValues" dxfId="53" priority="5"/>
    <cfRule type="duplicateValues" dxfId="52" priority="6"/>
    <cfRule type="duplicateValues" dxfId="51" priority="7"/>
  </conditionalFormatting>
  <conditionalFormatting sqref="F2:F164 F166:F213">
    <cfRule type="duplicateValues" dxfId="50" priority="4"/>
  </conditionalFormatting>
  <conditionalFormatting sqref="F165">
    <cfRule type="duplicateValues" dxfId="49" priority="1"/>
    <cfRule type="duplicateValues" dxfId="48" priority="2"/>
    <cfRule type="duplicateValues" dxfId="4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sqref="A1:A3"/>
    </sheetView>
  </sheetViews>
  <sheetFormatPr defaultRowHeight="14.45"/>
  <cols>
    <col min="1" max="1" width="20.85546875" customWidth="1"/>
    <col min="2" max="2" width="22.85546875" bestFit="1" customWidth="1"/>
    <col min="3" max="3" width="15" customWidth="1"/>
    <col min="4" max="4" width="10.42578125" bestFit="1" customWidth="1"/>
    <col min="6" max="6" width="13.42578125" bestFit="1" customWidth="1"/>
    <col min="7" max="7" width="22.85546875" bestFit="1" customWidth="1"/>
  </cols>
  <sheetData>
    <row r="1" spans="1:7">
      <c r="A1" s="114" t="s">
        <v>0</v>
      </c>
      <c r="B1" s="118" t="s">
        <v>1</v>
      </c>
      <c r="C1" s="122"/>
      <c r="D1" s="116" t="s">
        <v>2</v>
      </c>
      <c r="E1" s="123"/>
      <c r="F1" s="123"/>
      <c r="G1" s="122"/>
    </row>
    <row r="2" spans="1:7" ht="50.1" customHeight="1">
      <c r="A2" s="124"/>
      <c r="B2" s="115" t="s">
        <v>3</v>
      </c>
      <c r="C2" s="16" t="s">
        <v>4</v>
      </c>
      <c r="D2" s="17" t="s">
        <v>5</v>
      </c>
      <c r="E2" s="18" t="s">
        <v>6</v>
      </c>
      <c r="F2" s="18" t="s">
        <v>7</v>
      </c>
      <c r="G2" s="17" t="s">
        <v>8</v>
      </c>
    </row>
    <row r="3" spans="1:7">
      <c r="A3" s="125"/>
      <c r="B3" s="125"/>
      <c r="C3" s="19" t="s">
        <v>9</v>
      </c>
      <c r="D3" s="18" t="s">
        <v>10</v>
      </c>
      <c r="E3" s="18" t="s">
        <v>11</v>
      </c>
      <c r="F3" s="18" t="s">
        <v>12</v>
      </c>
      <c r="G3" s="18" t="s">
        <v>13</v>
      </c>
    </row>
    <row r="4" spans="1:7">
      <c r="A4" s="45" t="s">
        <v>13</v>
      </c>
      <c r="B4" s="30">
        <f>COUNTIFS(Shijumon!B:B,'SHIJU Summary'!A4)</f>
        <v>0</v>
      </c>
      <c r="C4" s="30">
        <f>B4-G4</f>
        <v>0</v>
      </c>
      <c r="D4" s="30">
        <f>COUNTIFS(Shijumon!B:B,'SHIJU Summary'!A4,Shijumon!K:K,"Regular")</f>
        <v>0</v>
      </c>
      <c r="E4" s="30">
        <f>COUNTIFS(Shijumon!B:B,'SHIJU Summary'!A4,Shijumon!K:K,"GET")</f>
        <v>0</v>
      </c>
      <c r="F4" s="30">
        <f>COUNTIFS(Shijumon!B:B,'SHIJU Summary'!A4,Shijumon!K:K,"OJT")</f>
        <v>0</v>
      </c>
      <c r="G4" s="30">
        <f>D4+E4+F4</f>
        <v>0</v>
      </c>
    </row>
    <row r="5" spans="1:7">
      <c r="A5" s="45" t="s">
        <v>14</v>
      </c>
      <c r="B5" s="30">
        <f>COUNTIFS(Shijumon!B:B,'SHIJU Summary'!A5)</f>
        <v>0</v>
      </c>
      <c r="C5" s="30">
        <f>B5-G5</f>
        <v>0</v>
      </c>
      <c r="D5" s="30">
        <f>COUNTIFS(Shijumon!B:B,'SHIJU Summary'!A5,Shijumon!K:K,"Regular")</f>
        <v>0</v>
      </c>
      <c r="E5" s="30">
        <f>COUNTIFS(Shijumon!B:B,'SHIJU Summary'!A5,Shijumon!K:K,"GET")</f>
        <v>0</v>
      </c>
      <c r="F5" s="30">
        <f>COUNTIFS(Shijumon!B:B,'SHIJU Summary'!A5,Shijumon!K:K,"OJT")</f>
        <v>0</v>
      </c>
      <c r="G5" s="30">
        <f>D5+E5+F5</f>
        <v>0</v>
      </c>
    </row>
    <row r="6" spans="1:7">
      <c r="A6" s="45" t="s">
        <v>15</v>
      </c>
      <c r="B6" s="30">
        <f>COUNTIFS(Shijumon!B:B,'SHIJU Summary'!A6)</f>
        <v>0</v>
      </c>
      <c r="C6" s="30">
        <f>B6-G6</f>
        <v>0</v>
      </c>
      <c r="D6" s="30">
        <f>COUNTIFS(Shijumon!B:B,'SHIJU Summary'!A6,Shijumon!K:K,"Regular")</f>
        <v>0</v>
      </c>
      <c r="E6" s="30">
        <f>COUNTIFS(Shijumon!B:B,'SHIJU Summary'!A6,Shijumon!K:K,"GET")</f>
        <v>0</v>
      </c>
      <c r="F6" s="30">
        <f>COUNTIFS(Shijumon!B:B,'SHIJU Summary'!A6,Shijumon!K:K,"OJT")</f>
        <v>0</v>
      </c>
      <c r="G6" s="30">
        <f>D6+E6+F6</f>
        <v>0</v>
      </c>
    </row>
    <row r="7" spans="1:7">
      <c r="A7" s="45" t="s">
        <v>16</v>
      </c>
      <c r="B7" s="30">
        <f>COUNTIFS(Shijumon!B:B,'SHIJU Summary'!A7)</f>
        <v>0</v>
      </c>
      <c r="C7" s="30">
        <f>B7-G7</f>
        <v>0</v>
      </c>
      <c r="D7" s="30">
        <f>COUNTIFS(Shijumon!B:B,'SHIJU Summary'!A7,Shijumon!K:K,"Regular")</f>
        <v>0</v>
      </c>
      <c r="E7" s="30">
        <f>COUNTIFS(Shijumon!B:B,'SHIJU Summary'!A7,Shijumon!K:K,"GET")</f>
        <v>0</v>
      </c>
      <c r="F7" s="30">
        <f>COUNTIFS(Shijumon!B:B,'SHIJU Summary'!A7,Shijumon!K:K,"OJT")</f>
        <v>0</v>
      </c>
      <c r="G7" s="30">
        <f>D7+E7+F7</f>
        <v>0</v>
      </c>
    </row>
    <row r="8" spans="1:7">
      <c r="A8" s="107" t="s">
        <v>15</v>
      </c>
      <c r="B8" s="36">
        <f>SUM(B4:B7)</f>
        <v>0</v>
      </c>
      <c r="C8" s="36">
        <f>SUM(C4:C7)</f>
        <v>0</v>
      </c>
      <c r="D8" s="36">
        <f>SUM(D4:D7)</f>
        <v>0</v>
      </c>
      <c r="E8" s="36">
        <f>SUM(E4:E7)</f>
        <v>0</v>
      </c>
      <c r="F8" s="36">
        <f>SUM(F4:F7)</f>
        <v>0</v>
      </c>
      <c r="G8" s="36">
        <f>SUM(G4:G7)</f>
        <v>0</v>
      </c>
    </row>
  </sheetData>
  <mergeCells count="4">
    <mergeCell ref="B1:C1"/>
    <mergeCell ref="A1:A3"/>
    <mergeCell ref="D1:G1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9"/>
  <sheetViews>
    <sheetView workbookViewId="0"/>
  </sheetViews>
  <sheetFormatPr defaultRowHeight="14.45"/>
  <cols>
    <col min="1" max="1" width="13.140625" bestFit="1" customWidth="1"/>
    <col min="2" max="2" width="17.85546875" bestFit="1" customWidth="1"/>
    <col min="3" max="3" width="23.85546875" bestFit="1" customWidth="1"/>
    <col min="4" max="4" width="22.85546875" bestFit="1" customWidth="1"/>
    <col min="5" max="5" width="10.5703125" bestFit="1" customWidth="1"/>
    <col min="6" max="6" width="12" bestFit="1" customWidth="1"/>
    <col min="7" max="7" width="31.7109375" bestFit="1" customWidth="1"/>
    <col min="8" max="8" width="10" bestFit="1" customWidth="1"/>
    <col min="9" max="9" width="26.85546875" bestFit="1" customWidth="1"/>
    <col min="10" max="11" width="15.7109375" bestFit="1" customWidth="1"/>
    <col min="12" max="12" width="16" bestFit="1" customWidth="1"/>
    <col min="13" max="13" width="8.85546875" bestFit="1" customWidth="1"/>
  </cols>
  <sheetData>
    <row r="1" spans="1:13">
      <c r="A1" s="106" t="s">
        <v>37</v>
      </c>
      <c r="B1" s="106" t="s">
        <v>38</v>
      </c>
      <c r="C1" s="106" t="s">
        <v>39</v>
      </c>
      <c r="D1" s="106" t="s">
        <v>40</v>
      </c>
      <c r="E1" s="106" t="s">
        <v>41</v>
      </c>
      <c r="F1" s="106" t="s">
        <v>42</v>
      </c>
      <c r="G1" s="106" t="s">
        <v>43</v>
      </c>
      <c r="H1" s="106" t="s">
        <v>44</v>
      </c>
      <c r="I1" s="106" t="s">
        <v>45</v>
      </c>
      <c r="J1" s="106" t="s">
        <v>918</v>
      </c>
      <c r="K1" s="106" t="s">
        <v>919</v>
      </c>
      <c r="L1" s="106" t="s">
        <v>48</v>
      </c>
      <c r="M1" s="106" t="s">
        <v>49</v>
      </c>
    </row>
    <row r="2" spans="1:13" s="108" customFormat="1">
      <c r="A2" s="15" t="s">
        <v>53</v>
      </c>
      <c r="B2" s="15" t="s">
        <v>34</v>
      </c>
      <c r="C2" s="15" t="s">
        <v>35</v>
      </c>
      <c r="D2" s="15" t="s">
        <v>15</v>
      </c>
      <c r="E2" s="14" t="s">
        <v>450</v>
      </c>
      <c r="F2" s="14">
        <v>902117</v>
      </c>
      <c r="G2" s="15" t="s">
        <v>280</v>
      </c>
      <c r="H2" s="14"/>
      <c r="I2" s="15"/>
      <c r="J2" s="14"/>
      <c r="K2" s="15"/>
      <c r="L2" s="15" t="s">
        <v>920</v>
      </c>
      <c r="M2" s="14"/>
    </row>
    <row r="3" spans="1:13" s="108" customFormat="1">
      <c r="A3" s="15" t="s">
        <v>53</v>
      </c>
      <c r="B3" s="15" t="s">
        <v>34</v>
      </c>
      <c r="C3" s="15" t="s">
        <v>35</v>
      </c>
      <c r="D3" s="15" t="s">
        <v>15</v>
      </c>
      <c r="E3" s="14" t="s">
        <v>450</v>
      </c>
      <c r="F3" s="14">
        <v>902118</v>
      </c>
      <c r="G3" s="15" t="s">
        <v>282</v>
      </c>
      <c r="H3" s="14">
        <v>48010722</v>
      </c>
      <c r="I3" s="15" t="s">
        <v>921</v>
      </c>
      <c r="J3" s="14" t="s">
        <v>922</v>
      </c>
      <c r="K3" s="15" t="s">
        <v>59</v>
      </c>
      <c r="L3" s="15" t="s">
        <v>60</v>
      </c>
      <c r="M3" s="14"/>
    </row>
    <row r="4" spans="1:13" s="108" customFormat="1">
      <c r="A4" s="15" t="s">
        <v>53</v>
      </c>
      <c r="B4" s="15" t="s">
        <v>34</v>
      </c>
      <c r="C4" s="15" t="s">
        <v>35</v>
      </c>
      <c r="D4" s="15" t="s">
        <v>15</v>
      </c>
      <c r="E4" s="14" t="s">
        <v>450</v>
      </c>
      <c r="F4" s="14">
        <v>902119</v>
      </c>
      <c r="G4" s="15" t="s">
        <v>285</v>
      </c>
      <c r="H4" s="14">
        <v>48010723</v>
      </c>
      <c r="I4" s="15" t="s">
        <v>923</v>
      </c>
      <c r="J4" s="14" t="s">
        <v>922</v>
      </c>
      <c r="K4" s="15" t="s">
        <v>59</v>
      </c>
      <c r="L4" s="15" t="s">
        <v>60</v>
      </c>
      <c r="M4" s="14"/>
    </row>
    <row r="5" spans="1:13" s="108" customFormat="1">
      <c r="A5" s="15" t="s">
        <v>53</v>
      </c>
      <c r="B5" s="15" t="s">
        <v>34</v>
      </c>
      <c r="C5" s="15" t="s">
        <v>35</v>
      </c>
      <c r="D5" s="15" t="s">
        <v>15</v>
      </c>
      <c r="E5" s="14" t="s">
        <v>450</v>
      </c>
      <c r="F5" s="14">
        <v>902120</v>
      </c>
      <c r="G5" s="15" t="s">
        <v>287</v>
      </c>
      <c r="H5" s="14"/>
      <c r="I5" s="15"/>
      <c r="J5" s="14"/>
      <c r="K5" s="15"/>
      <c r="L5" s="15" t="s">
        <v>920</v>
      </c>
      <c r="M5" s="14"/>
    </row>
    <row r="6" spans="1:13" s="108" customFormat="1">
      <c r="A6" s="15" t="s">
        <v>53</v>
      </c>
      <c r="B6" s="15" t="s">
        <v>34</v>
      </c>
      <c r="C6" s="15" t="s">
        <v>35</v>
      </c>
      <c r="D6" s="15" t="s">
        <v>15</v>
      </c>
      <c r="E6" s="14" t="s">
        <v>498</v>
      </c>
      <c r="F6" s="14">
        <v>902121</v>
      </c>
      <c r="G6" s="15" t="s">
        <v>293</v>
      </c>
      <c r="H6" s="14"/>
      <c r="I6" s="15"/>
      <c r="J6" s="14"/>
      <c r="K6" s="15"/>
      <c r="L6" s="15" t="s">
        <v>920</v>
      </c>
      <c r="M6" s="14"/>
    </row>
    <row r="7" spans="1:13" s="108" customFormat="1">
      <c r="A7" s="15" t="s">
        <v>53</v>
      </c>
      <c r="B7" s="15" t="s">
        <v>34</v>
      </c>
      <c r="C7" s="15" t="s">
        <v>35</v>
      </c>
      <c r="D7" s="15" t="s">
        <v>15</v>
      </c>
      <c r="E7" s="14" t="s">
        <v>450</v>
      </c>
      <c r="F7" s="14">
        <v>902122</v>
      </c>
      <c r="G7" s="15" t="s">
        <v>282</v>
      </c>
      <c r="H7" s="14"/>
      <c r="I7" s="15"/>
      <c r="J7" s="14"/>
      <c r="K7" s="15"/>
      <c r="L7" s="15" t="s">
        <v>920</v>
      </c>
      <c r="M7" s="14"/>
    </row>
    <row r="8" spans="1:13" s="108" customFormat="1">
      <c r="A8" s="15" t="s">
        <v>53</v>
      </c>
      <c r="B8" s="15" t="s">
        <v>34</v>
      </c>
      <c r="C8" s="15" t="s">
        <v>35</v>
      </c>
      <c r="D8" s="15" t="s">
        <v>15</v>
      </c>
      <c r="E8" s="14" t="s">
        <v>450</v>
      </c>
      <c r="F8" s="14">
        <v>902123</v>
      </c>
      <c r="G8" s="15" t="s">
        <v>282</v>
      </c>
      <c r="H8" s="14"/>
      <c r="I8" s="15"/>
      <c r="J8" s="14"/>
      <c r="K8" s="15"/>
      <c r="L8" s="15" t="s">
        <v>920</v>
      </c>
      <c r="M8" s="14"/>
    </row>
    <row r="9" spans="1:13" s="108" customFormat="1">
      <c r="A9" s="15" t="s">
        <v>53</v>
      </c>
      <c r="B9" s="15" t="s">
        <v>34</v>
      </c>
      <c r="C9" s="15" t="s">
        <v>35</v>
      </c>
      <c r="D9" s="15" t="s">
        <v>15</v>
      </c>
      <c r="E9" s="14" t="s">
        <v>450</v>
      </c>
      <c r="F9" s="14">
        <v>902124</v>
      </c>
      <c r="G9" s="15" t="s">
        <v>296</v>
      </c>
      <c r="H9" s="14"/>
      <c r="I9" s="15"/>
      <c r="J9" s="14"/>
      <c r="K9" s="15"/>
      <c r="L9" s="15" t="s">
        <v>920</v>
      </c>
      <c r="M9" s="14"/>
    </row>
    <row r="10" spans="1:13" s="108" customFormat="1">
      <c r="A10" s="15" t="s">
        <v>53</v>
      </c>
      <c r="B10" s="15" t="s">
        <v>34</v>
      </c>
      <c r="C10" s="109" t="s">
        <v>35</v>
      </c>
      <c r="D10" s="15" t="s">
        <v>15</v>
      </c>
      <c r="E10" s="14" t="s">
        <v>450</v>
      </c>
      <c r="F10" s="14">
        <v>902125</v>
      </c>
      <c r="G10" s="15" t="s">
        <v>296</v>
      </c>
      <c r="H10" s="14"/>
      <c r="I10" s="15"/>
      <c r="J10" s="14"/>
      <c r="K10" s="15"/>
      <c r="L10" s="15" t="s">
        <v>920</v>
      </c>
      <c r="M10" s="14"/>
    </row>
    <row r="11" spans="1:13" s="108" customFormat="1">
      <c r="A11" s="15" t="s">
        <v>53</v>
      </c>
      <c r="B11" s="110" t="s">
        <v>34</v>
      </c>
      <c r="C11" s="15" t="s">
        <v>35</v>
      </c>
      <c r="D11" s="111" t="s">
        <v>15</v>
      </c>
      <c r="E11" s="14" t="s">
        <v>450</v>
      </c>
      <c r="F11" s="14">
        <v>902126</v>
      </c>
      <c r="G11" s="15" t="s">
        <v>298</v>
      </c>
      <c r="H11" s="14"/>
      <c r="I11" s="15"/>
      <c r="J11" s="14"/>
      <c r="K11" s="15"/>
      <c r="L11" s="15" t="s">
        <v>920</v>
      </c>
      <c r="M11" s="14"/>
    </row>
    <row r="12" spans="1:13" s="108" customFormat="1">
      <c r="A12" s="15" t="s">
        <v>53</v>
      </c>
      <c r="B12" s="15" t="s">
        <v>34</v>
      </c>
      <c r="C12" s="112" t="s">
        <v>35</v>
      </c>
      <c r="D12" s="15" t="s">
        <v>15</v>
      </c>
      <c r="E12" s="14" t="s">
        <v>450</v>
      </c>
      <c r="F12" s="14">
        <v>902127</v>
      </c>
      <c r="G12" s="15" t="s">
        <v>300</v>
      </c>
      <c r="H12" s="14"/>
      <c r="I12" s="15"/>
      <c r="J12" s="14"/>
      <c r="K12" s="15"/>
      <c r="L12" s="15" t="s">
        <v>920</v>
      </c>
      <c r="M12" s="14"/>
    </row>
    <row r="13" spans="1:13" s="108" customFormat="1">
      <c r="A13" s="15" t="s">
        <v>53</v>
      </c>
      <c r="B13" s="15" t="s">
        <v>34</v>
      </c>
      <c r="C13" s="15" t="s">
        <v>35</v>
      </c>
      <c r="D13" s="15" t="s">
        <v>15</v>
      </c>
      <c r="E13" s="14" t="s">
        <v>450</v>
      </c>
      <c r="F13" s="14">
        <v>902128</v>
      </c>
      <c r="G13" s="15" t="s">
        <v>302</v>
      </c>
      <c r="H13" s="14"/>
      <c r="I13" s="15"/>
      <c r="J13" s="14"/>
      <c r="K13" s="15"/>
      <c r="L13" s="15" t="s">
        <v>920</v>
      </c>
      <c r="M13" s="14"/>
    </row>
    <row r="14" spans="1:13" s="108" customFormat="1">
      <c r="A14" s="15" t="s">
        <v>53</v>
      </c>
      <c r="B14" s="15" t="s">
        <v>34</v>
      </c>
      <c r="C14" s="15" t="s">
        <v>35</v>
      </c>
      <c r="D14" s="15" t="s">
        <v>15</v>
      </c>
      <c r="E14" s="14" t="s">
        <v>450</v>
      </c>
      <c r="F14" s="14">
        <v>902129</v>
      </c>
      <c r="G14" s="15" t="s">
        <v>302</v>
      </c>
      <c r="H14" s="14"/>
      <c r="I14" s="15"/>
      <c r="J14" s="14"/>
      <c r="K14" s="15"/>
      <c r="L14" s="15" t="s">
        <v>920</v>
      </c>
      <c r="M14" s="14"/>
    </row>
    <row r="15" spans="1:13" s="108" customFormat="1">
      <c r="A15" s="15" t="s">
        <v>53</v>
      </c>
      <c r="B15" s="15" t="s">
        <v>34</v>
      </c>
      <c r="C15" s="15" t="s">
        <v>35</v>
      </c>
      <c r="D15" s="15" t="s">
        <v>15</v>
      </c>
      <c r="E15" s="14" t="s">
        <v>450</v>
      </c>
      <c r="F15" s="14">
        <v>902130</v>
      </c>
      <c r="G15" s="15" t="s">
        <v>302</v>
      </c>
      <c r="H15" s="14"/>
      <c r="I15" s="15"/>
      <c r="J15" s="14"/>
      <c r="K15" s="15"/>
      <c r="L15" s="15" t="s">
        <v>920</v>
      </c>
      <c r="M15" s="14"/>
    </row>
    <row r="16" spans="1:13" s="108" customFormat="1">
      <c r="A16" s="15" t="s">
        <v>53</v>
      </c>
      <c r="B16" s="15" t="s">
        <v>34</v>
      </c>
      <c r="C16" s="15" t="s">
        <v>35</v>
      </c>
      <c r="D16" s="15" t="s">
        <v>15</v>
      </c>
      <c r="E16" s="14" t="s">
        <v>498</v>
      </c>
      <c r="F16" s="14">
        <v>902131</v>
      </c>
      <c r="G16" s="15" t="s">
        <v>293</v>
      </c>
      <c r="H16" s="14"/>
      <c r="I16" s="15"/>
      <c r="J16" s="14"/>
      <c r="K16" s="15"/>
      <c r="L16" s="15" t="s">
        <v>920</v>
      </c>
      <c r="M16" s="14"/>
    </row>
    <row r="17" spans="1:13" s="108" customFormat="1">
      <c r="A17" s="15" t="s">
        <v>53</v>
      </c>
      <c r="B17" s="15" t="s">
        <v>34</v>
      </c>
      <c r="C17" s="15" t="s">
        <v>35</v>
      </c>
      <c r="D17" s="15" t="s">
        <v>15</v>
      </c>
      <c r="E17" s="14" t="s">
        <v>498</v>
      </c>
      <c r="F17" s="14">
        <v>902132</v>
      </c>
      <c r="G17" s="15" t="s">
        <v>293</v>
      </c>
      <c r="H17" s="14"/>
      <c r="I17" s="15"/>
      <c r="J17" s="14"/>
      <c r="K17" s="15"/>
      <c r="L17" s="15" t="s">
        <v>920</v>
      </c>
      <c r="M17" s="14"/>
    </row>
    <row r="18" spans="1:13" s="108" customFormat="1">
      <c r="A18" s="15" t="s">
        <v>53</v>
      </c>
      <c r="B18" s="15" t="s">
        <v>34</v>
      </c>
      <c r="C18" s="15" t="s">
        <v>35</v>
      </c>
      <c r="D18" s="15" t="s">
        <v>15</v>
      </c>
      <c r="E18" s="14" t="s">
        <v>450</v>
      </c>
      <c r="F18" s="14">
        <v>902133</v>
      </c>
      <c r="G18" s="15" t="s">
        <v>306</v>
      </c>
      <c r="H18" s="14">
        <v>48010724</v>
      </c>
      <c r="I18" s="15" t="s">
        <v>924</v>
      </c>
      <c r="J18" s="14" t="s">
        <v>922</v>
      </c>
      <c r="K18" s="15" t="s">
        <v>59</v>
      </c>
      <c r="L18" s="15" t="s">
        <v>60</v>
      </c>
      <c r="M18" s="14"/>
    </row>
    <row r="19" spans="1:13" s="108" customFormat="1">
      <c r="A19" s="15" t="s">
        <v>53</v>
      </c>
      <c r="B19" s="15" t="s">
        <v>34</v>
      </c>
      <c r="C19" s="15" t="s">
        <v>35</v>
      </c>
      <c r="D19" s="15" t="s">
        <v>15</v>
      </c>
      <c r="E19" s="14" t="s">
        <v>498</v>
      </c>
      <c r="F19" s="14">
        <v>902134</v>
      </c>
      <c r="G19" s="15" t="s">
        <v>293</v>
      </c>
      <c r="H19" s="14"/>
      <c r="I19" s="15"/>
      <c r="J19" s="14"/>
      <c r="K19" s="15"/>
      <c r="L19" s="15" t="s">
        <v>920</v>
      </c>
      <c r="M19" s="14"/>
    </row>
    <row r="20" spans="1:13" s="108" customFormat="1">
      <c r="A20" s="15" t="s">
        <v>53</v>
      </c>
      <c r="B20" s="15" t="s">
        <v>34</v>
      </c>
      <c r="C20" s="15" t="s">
        <v>35</v>
      </c>
      <c r="D20" s="15" t="s">
        <v>15</v>
      </c>
      <c r="E20" s="14" t="s">
        <v>450</v>
      </c>
      <c r="F20" s="14">
        <v>902135</v>
      </c>
      <c r="G20" s="15" t="s">
        <v>293</v>
      </c>
      <c r="H20" s="14">
        <v>48010725</v>
      </c>
      <c r="I20" s="15" t="s">
        <v>925</v>
      </c>
      <c r="J20" s="14" t="s">
        <v>922</v>
      </c>
      <c r="K20" s="15" t="s">
        <v>59</v>
      </c>
      <c r="L20" s="15" t="s">
        <v>60</v>
      </c>
      <c r="M20" s="14"/>
    </row>
    <row r="21" spans="1:13" s="108" customFormat="1">
      <c r="A21" s="15" t="s">
        <v>53</v>
      </c>
      <c r="B21" s="15" t="s">
        <v>34</v>
      </c>
      <c r="C21" s="15" t="s">
        <v>35</v>
      </c>
      <c r="D21" s="15" t="s">
        <v>15</v>
      </c>
      <c r="E21" s="14" t="s">
        <v>450</v>
      </c>
      <c r="F21" s="14">
        <v>902136</v>
      </c>
      <c r="G21" s="15" t="s">
        <v>282</v>
      </c>
      <c r="H21" s="14">
        <v>48010726</v>
      </c>
      <c r="I21" s="15" t="s">
        <v>926</v>
      </c>
      <c r="J21" s="14" t="s">
        <v>922</v>
      </c>
      <c r="K21" s="15" t="s">
        <v>59</v>
      </c>
      <c r="L21" s="15" t="s">
        <v>60</v>
      </c>
      <c r="M21" s="14"/>
    </row>
    <row r="22" spans="1:13" s="108" customFormat="1">
      <c r="A22" s="15" t="s">
        <v>53</v>
      </c>
      <c r="B22" s="15" t="s">
        <v>34</v>
      </c>
      <c r="C22" s="15" t="s">
        <v>35</v>
      </c>
      <c r="D22" s="15" t="s">
        <v>15</v>
      </c>
      <c r="E22" s="14" t="s">
        <v>450</v>
      </c>
      <c r="F22" s="14">
        <v>902137</v>
      </c>
      <c r="G22" s="15" t="s">
        <v>282</v>
      </c>
      <c r="H22" s="14">
        <v>48010727</v>
      </c>
      <c r="I22" s="15" t="s">
        <v>927</v>
      </c>
      <c r="J22" s="14" t="s">
        <v>922</v>
      </c>
      <c r="K22" s="15" t="s">
        <v>59</v>
      </c>
      <c r="L22" s="15" t="s">
        <v>60</v>
      </c>
      <c r="M22" s="14"/>
    </row>
    <row r="23" spans="1:13" s="108" customFormat="1">
      <c r="A23" s="15" t="s">
        <v>53</v>
      </c>
      <c r="B23" s="15" t="s">
        <v>34</v>
      </c>
      <c r="C23" s="15" t="s">
        <v>35</v>
      </c>
      <c r="D23" s="15" t="s">
        <v>15</v>
      </c>
      <c r="E23" s="14" t="s">
        <v>498</v>
      </c>
      <c r="F23" s="14">
        <v>902138</v>
      </c>
      <c r="G23" s="15" t="s">
        <v>293</v>
      </c>
      <c r="H23" s="14"/>
      <c r="I23" s="15"/>
      <c r="J23" s="14"/>
      <c r="K23" s="15"/>
      <c r="L23" s="15" t="s">
        <v>920</v>
      </c>
      <c r="M23" s="14"/>
    </row>
    <row r="24" spans="1:13" s="108" customFormat="1">
      <c r="A24" s="15" t="s">
        <v>53</v>
      </c>
      <c r="B24" s="15" t="s">
        <v>34</v>
      </c>
      <c r="C24" s="15" t="s">
        <v>35</v>
      </c>
      <c r="D24" s="15" t="s">
        <v>15</v>
      </c>
      <c r="E24" s="14" t="s">
        <v>498</v>
      </c>
      <c r="F24" s="14">
        <v>902139</v>
      </c>
      <c r="G24" s="15" t="s">
        <v>298</v>
      </c>
      <c r="H24" s="14"/>
      <c r="I24" s="15"/>
      <c r="J24" s="14"/>
      <c r="K24" s="15"/>
      <c r="L24" s="15" t="s">
        <v>920</v>
      </c>
      <c r="M24" s="14"/>
    </row>
    <row r="25" spans="1:13" s="108" customFormat="1">
      <c r="A25" s="15" t="s">
        <v>53</v>
      </c>
      <c r="B25" s="15" t="s">
        <v>34</v>
      </c>
      <c r="C25" s="15" t="s">
        <v>35</v>
      </c>
      <c r="D25" s="15" t="s">
        <v>15</v>
      </c>
      <c r="E25" s="14" t="s">
        <v>498</v>
      </c>
      <c r="F25" s="14">
        <v>902140</v>
      </c>
      <c r="G25" s="15" t="s">
        <v>308</v>
      </c>
      <c r="H25" s="14"/>
      <c r="I25" s="15"/>
      <c r="J25" s="14"/>
      <c r="K25" s="15"/>
      <c r="L25" s="15" t="s">
        <v>920</v>
      </c>
      <c r="M25" s="14"/>
    </row>
    <row r="26" spans="1:13" s="108" customFormat="1">
      <c r="A26" s="15" t="s">
        <v>53</v>
      </c>
      <c r="B26" s="15" t="s">
        <v>34</v>
      </c>
      <c r="C26" s="15" t="s">
        <v>35</v>
      </c>
      <c r="D26" s="15" t="s">
        <v>15</v>
      </c>
      <c r="E26" s="14" t="s">
        <v>450</v>
      </c>
      <c r="F26" s="14">
        <v>902141</v>
      </c>
      <c r="G26" s="15" t="s">
        <v>311</v>
      </c>
      <c r="H26" s="14"/>
      <c r="I26" s="15"/>
      <c r="J26" s="14"/>
      <c r="K26" s="15"/>
      <c r="L26" s="15" t="s">
        <v>920</v>
      </c>
      <c r="M26" s="14"/>
    </row>
    <row r="27" spans="1:13" s="108" customFormat="1">
      <c r="A27" s="15" t="s">
        <v>53</v>
      </c>
      <c r="B27" s="15" t="s">
        <v>34</v>
      </c>
      <c r="C27" s="15" t="s">
        <v>35</v>
      </c>
      <c r="D27" s="15" t="s">
        <v>15</v>
      </c>
      <c r="E27" s="14" t="s">
        <v>450</v>
      </c>
      <c r="F27" s="14">
        <v>902142</v>
      </c>
      <c r="G27" s="15" t="s">
        <v>311</v>
      </c>
      <c r="H27" s="14"/>
      <c r="I27" s="15"/>
      <c r="J27" s="14"/>
      <c r="K27" s="15"/>
      <c r="L27" s="15" t="s">
        <v>920</v>
      </c>
      <c r="M27" s="14"/>
    </row>
    <row r="28" spans="1:13" s="108" customFormat="1">
      <c r="A28" s="15" t="s">
        <v>53</v>
      </c>
      <c r="B28" s="15" t="s">
        <v>34</v>
      </c>
      <c r="C28" s="15" t="s">
        <v>35</v>
      </c>
      <c r="D28" s="15" t="s">
        <v>15</v>
      </c>
      <c r="E28" s="14" t="s">
        <v>450</v>
      </c>
      <c r="F28" s="14">
        <v>902143</v>
      </c>
      <c r="G28" s="15" t="s">
        <v>311</v>
      </c>
      <c r="H28" s="14">
        <v>48010728</v>
      </c>
      <c r="I28" s="15" t="s">
        <v>928</v>
      </c>
      <c r="J28" s="14" t="s">
        <v>922</v>
      </c>
      <c r="K28" s="15" t="s">
        <v>59</v>
      </c>
      <c r="L28" s="15" t="s">
        <v>60</v>
      </c>
      <c r="M28" s="14"/>
    </row>
    <row r="29" spans="1:13" s="108" customFormat="1">
      <c r="A29" s="15" t="s">
        <v>53</v>
      </c>
      <c r="B29" s="15" t="s">
        <v>34</v>
      </c>
      <c r="C29" s="15" t="s">
        <v>55</v>
      </c>
      <c r="D29" s="15" t="s">
        <v>13</v>
      </c>
      <c r="E29" s="14" t="s">
        <v>128</v>
      </c>
      <c r="F29" s="14">
        <v>902144</v>
      </c>
      <c r="G29" s="15" t="s">
        <v>280</v>
      </c>
      <c r="H29" s="14"/>
      <c r="I29" s="15"/>
      <c r="J29" s="14"/>
      <c r="K29" s="15"/>
      <c r="L29" s="15" t="s">
        <v>920</v>
      </c>
      <c r="M29" s="14"/>
    </row>
    <row r="30" spans="1:13" s="108" customFormat="1">
      <c r="A30" s="15" t="s">
        <v>53</v>
      </c>
      <c r="B30" s="15" t="s">
        <v>34</v>
      </c>
      <c r="C30" s="15" t="s">
        <v>35</v>
      </c>
      <c r="D30" s="15" t="s">
        <v>15</v>
      </c>
      <c r="E30" s="14" t="s">
        <v>450</v>
      </c>
      <c r="F30" s="14">
        <v>902145</v>
      </c>
      <c r="G30" s="15" t="s">
        <v>315</v>
      </c>
      <c r="H30" s="14">
        <v>48010729</v>
      </c>
      <c r="I30" s="15" t="s">
        <v>929</v>
      </c>
      <c r="J30" s="14" t="s">
        <v>922</v>
      </c>
      <c r="K30" s="15" t="s">
        <v>59</v>
      </c>
      <c r="L30" s="15" t="s">
        <v>60</v>
      </c>
      <c r="M30" s="14"/>
    </row>
    <row r="31" spans="1:13" s="108" customFormat="1">
      <c r="A31" s="15" t="s">
        <v>53</v>
      </c>
      <c r="B31" s="15" t="s">
        <v>34</v>
      </c>
      <c r="C31" s="15" t="s">
        <v>35</v>
      </c>
      <c r="D31" s="15" t="s">
        <v>16</v>
      </c>
      <c r="E31" s="14" t="s">
        <v>128</v>
      </c>
      <c r="F31" s="14">
        <v>902146</v>
      </c>
      <c r="G31" s="15" t="s">
        <v>317</v>
      </c>
      <c r="H31" s="14">
        <v>28010730</v>
      </c>
      <c r="I31" s="15" t="s">
        <v>930</v>
      </c>
      <c r="J31" s="14" t="s">
        <v>128</v>
      </c>
      <c r="K31" s="15" t="s">
        <v>59</v>
      </c>
      <c r="L31" s="15" t="s">
        <v>60</v>
      </c>
      <c r="M31" s="14"/>
    </row>
    <row r="32" spans="1:13" s="108" customFormat="1">
      <c r="A32" s="15" t="s">
        <v>53</v>
      </c>
      <c r="B32" s="15" t="s">
        <v>34</v>
      </c>
      <c r="C32" s="15" t="s">
        <v>35</v>
      </c>
      <c r="D32" s="15" t="s">
        <v>16</v>
      </c>
      <c r="E32" s="14" t="s">
        <v>128</v>
      </c>
      <c r="F32" s="14">
        <v>902147</v>
      </c>
      <c r="G32" s="15" t="s">
        <v>319</v>
      </c>
      <c r="H32" s="14">
        <v>28010731</v>
      </c>
      <c r="I32" s="15" t="s">
        <v>931</v>
      </c>
      <c r="J32" s="14" t="s">
        <v>128</v>
      </c>
      <c r="K32" s="15" t="s">
        <v>59</v>
      </c>
      <c r="L32" s="15" t="s">
        <v>60</v>
      </c>
      <c r="M32" s="14"/>
    </row>
    <row r="33" spans="1:13" s="108" customFormat="1">
      <c r="A33" s="15" t="s">
        <v>53</v>
      </c>
      <c r="B33" s="15" t="s">
        <v>34</v>
      </c>
      <c r="C33" s="15" t="s">
        <v>35</v>
      </c>
      <c r="D33" s="15" t="s">
        <v>16</v>
      </c>
      <c r="E33" s="14" t="s">
        <v>128</v>
      </c>
      <c r="F33" s="14">
        <v>902148</v>
      </c>
      <c r="G33" s="15" t="s">
        <v>321</v>
      </c>
      <c r="H33" s="14">
        <v>28010732</v>
      </c>
      <c r="I33" s="15" t="s">
        <v>932</v>
      </c>
      <c r="J33" s="14" t="s">
        <v>128</v>
      </c>
      <c r="K33" s="15" t="s">
        <v>59</v>
      </c>
      <c r="L33" s="15" t="s">
        <v>60</v>
      </c>
      <c r="M33" s="14"/>
    </row>
    <row r="34" spans="1:13" s="108" customFormat="1">
      <c r="A34" s="15" t="s">
        <v>53</v>
      </c>
      <c r="B34" s="15" t="s">
        <v>34</v>
      </c>
      <c r="C34" s="15" t="s">
        <v>35</v>
      </c>
      <c r="D34" s="15" t="s">
        <v>16</v>
      </c>
      <c r="E34" s="14" t="s">
        <v>210</v>
      </c>
      <c r="F34" s="14">
        <v>902149</v>
      </c>
      <c r="G34" s="15" t="s">
        <v>325</v>
      </c>
      <c r="H34" s="14">
        <v>28010733</v>
      </c>
      <c r="I34" s="15" t="s">
        <v>933</v>
      </c>
      <c r="J34" s="14" t="s">
        <v>210</v>
      </c>
      <c r="K34" s="15" t="s">
        <v>59</v>
      </c>
      <c r="L34" s="15" t="s">
        <v>60</v>
      </c>
      <c r="M34" s="14"/>
    </row>
    <row r="35" spans="1:13" s="108" customFormat="1">
      <c r="A35" s="15" t="s">
        <v>53</v>
      </c>
      <c r="B35" s="15" t="s">
        <v>34</v>
      </c>
      <c r="C35" s="15" t="s">
        <v>35</v>
      </c>
      <c r="D35" s="15" t="s">
        <v>15</v>
      </c>
      <c r="E35" s="14" t="s">
        <v>450</v>
      </c>
      <c r="F35" s="14">
        <v>902150</v>
      </c>
      <c r="G35" s="15" t="s">
        <v>329</v>
      </c>
      <c r="H35" s="14">
        <v>48010734</v>
      </c>
      <c r="I35" s="15" t="s">
        <v>934</v>
      </c>
      <c r="J35" s="14" t="s">
        <v>922</v>
      </c>
      <c r="K35" s="15" t="s">
        <v>59</v>
      </c>
      <c r="L35" s="15" t="s">
        <v>60</v>
      </c>
      <c r="M35" s="14"/>
    </row>
    <row r="36" spans="1:13" s="108" customFormat="1">
      <c r="A36" s="15" t="s">
        <v>53</v>
      </c>
      <c r="B36" s="15" t="s">
        <v>34</v>
      </c>
      <c r="C36" s="15" t="s">
        <v>35</v>
      </c>
      <c r="D36" s="15" t="s">
        <v>15</v>
      </c>
      <c r="E36" s="14" t="s">
        <v>450</v>
      </c>
      <c r="F36" s="14">
        <v>902151</v>
      </c>
      <c r="G36" s="15" t="s">
        <v>329</v>
      </c>
      <c r="H36" s="14">
        <v>48010735</v>
      </c>
      <c r="I36" s="15" t="s">
        <v>935</v>
      </c>
      <c r="J36" s="14" t="s">
        <v>922</v>
      </c>
      <c r="K36" s="15" t="s">
        <v>59</v>
      </c>
      <c r="L36" s="15" t="s">
        <v>60</v>
      </c>
      <c r="M36" s="14"/>
    </row>
    <row r="37" spans="1:13" s="108" customFormat="1">
      <c r="A37" s="15" t="s">
        <v>53</v>
      </c>
      <c r="B37" s="15" t="s">
        <v>34</v>
      </c>
      <c r="C37" s="15" t="s">
        <v>35</v>
      </c>
      <c r="D37" s="15" t="s">
        <v>15</v>
      </c>
      <c r="E37" s="14" t="s">
        <v>450</v>
      </c>
      <c r="F37" s="14">
        <v>902152</v>
      </c>
      <c r="G37" s="15" t="s">
        <v>329</v>
      </c>
      <c r="H37" s="14">
        <v>48010736</v>
      </c>
      <c r="I37" s="15" t="s">
        <v>936</v>
      </c>
      <c r="J37" s="14" t="s">
        <v>922</v>
      </c>
      <c r="K37" s="15" t="s">
        <v>59</v>
      </c>
      <c r="L37" s="15" t="s">
        <v>60</v>
      </c>
      <c r="M37" s="14"/>
    </row>
    <row r="38" spans="1:13" s="108" customFormat="1">
      <c r="A38" s="15" t="s">
        <v>53</v>
      </c>
      <c r="B38" s="15" t="s">
        <v>34</v>
      </c>
      <c r="C38" s="15" t="s">
        <v>35</v>
      </c>
      <c r="D38" s="15" t="s">
        <v>15</v>
      </c>
      <c r="E38" s="14" t="s">
        <v>450</v>
      </c>
      <c r="F38" s="14">
        <v>902153</v>
      </c>
      <c r="G38" s="15" t="s">
        <v>329</v>
      </c>
      <c r="H38" s="14">
        <v>48010737</v>
      </c>
      <c r="I38" s="15" t="s">
        <v>937</v>
      </c>
      <c r="J38" s="14" t="s">
        <v>922</v>
      </c>
      <c r="K38" s="15" t="s">
        <v>59</v>
      </c>
      <c r="L38" s="15" t="s">
        <v>60</v>
      </c>
      <c r="M38" s="14"/>
    </row>
    <row r="39" spans="1:13" s="108" customFormat="1">
      <c r="A39" s="15" t="s">
        <v>53</v>
      </c>
      <c r="B39" s="15" t="s">
        <v>34</v>
      </c>
      <c r="C39" s="15" t="s">
        <v>35</v>
      </c>
      <c r="D39" s="15" t="s">
        <v>15</v>
      </c>
      <c r="E39" s="14" t="s">
        <v>450</v>
      </c>
      <c r="F39" s="14">
        <v>902154</v>
      </c>
      <c r="G39" s="15" t="s">
        <v>329</v>
      </c>
      <c r="H39" s="14">
        <v>48010738</v>
      </c>
      <c r="I39" s="15" t="s">
        <v>938</v>
      </c>
      <c r="J39" s="14" t="s">
        <v>922</v>
      </c>
      <c r="K39" s="15" t="s">
        <v>59</v>
      </c>
      <c r="L39" s="15" t="s">
        <v>60</v>
      </c>
      <c r="M39" s="14"/>
    </row>
    <row r="40" spans="1:13" s="108" customFormat="1">
      <c r="A40" s="15" t="s">
        <v>53</v>
      </c>
      <c r="B40" s="15" t="s">
        <v>34</v>
      </c>
      <c r="C40" s="15" t="s">
        <v>35</v>
      </c>
      <c r="D40" s="15" t="s">
        <v>15</v>
      </c>
      <c r="E40" s="14" t="s">
        <v>450</v>
      </c>
      <c r="F40" s="14">
        <v>902155</v>
      </c>
      <c r="G40" s="15" t="s">
        <v>329</v>
      </c>
      <c r="H40" s="14">
        <v>48010739</v>
      </c>
      <c r="I40" s="15" t="s">
        <v>939</v>
      </c>
      <c r="J40" s="14" t="s">
        <v>922</v>
      </c>
      <c r="K40" s="15" t="s">
        <v>59</v>
      </c>
      <c r="L40" s="15" t="s">
        <v>60</v>
      </c>
      <c r="M40" s="14"/>
    </row>
    <row r="41" spans="1:13" s="108" customFormat="1">
      <c r="A41" s="15" t="s">
        <v>53</v>
      </c>
      <c r="B41" s="15" t="s">
        <v>34</v>
      </c>
      <c r="C41" s="15" t="s">
        <v>35</v>
      </c>
      <c r="D41" s="15" t="s">
        <v>16</v>
      </c>
      <c r="E41" s="14" t="s">
        <v>109</v>
      </c>
      <c r="F41" s="14">
        <v>902156</v>
      </c>
      <c r="G41" s="15" t="s">
        <v>331</v>
      </c>
      <c r="H41" s="14">
        <v>48010740</v>
      </c>
      <c r="I41" s="15" t="s">
        <v>940</v>
      </c>
      <c r="J41" s="14" t="s">
        <v>109</v>
      </c>
      <c r="K41" s="15" t="s">
        <v>59</v>
      </c>
      <c r="L41" s="15" t="s">
        <v>60</v>
      </c>
      <c r="M41" s="14"/>
    </row>
    <row r="42" spans="1:13" s="108" customFormat="1">
      <c r="A42" s="15" t="s">
        <v>53</v>
      </c>
      <c r="B42" s="15" t="s">
        <v>34</v>
      </c>
      <c r="C42" s="15" t="s">
        <v>35</v>
      </c>
      <c r="D42" s="15" t="s">
        <v>15</v>
      </c>
      <c r="E42" s="14" t="s">
        <v>450</v>
      </c>
      <c r="F42" s="14">
        <v>902157</v>
      </c>
      <c r="G42" s="15" t="s">
        <v>329</v>
      </c>
      <c r="H42" s="14">
        <v>48010741</v>
      </c>
      <c r="I42" s="15" t="s">
        <v>941</v>
      </c>
      <c r="J42" s="14" t="s">
        <v>922</v>
      </c>
      <c r="K42" s="15" t="s">
        <v>59</v>
      </c>
      <c r="L42" s="15" t="s">
        <v>60</v>
      </c>
      <c r="M42" s="14"/>
    </row>
    <row r="43" spans="1:13" s="108" customFormat="1">
      <c r="A43" s="15" t="s">
        <v>53</v>
      </c>
      <c r="B43" s="15" t="s">
        <v>34</v>
      </c>
      <c r="C43" s="15" t="s">
        <v>35</v>
      </c>
      <c r="D43" s="15" t="s">
        <v>15</v>
      </c>
      <c r="E43" s="14" t="s">
        <v>450</v>
      </c>
      <c r="F43" s="14">
        <v>902158</v>
      </c>
      <c r="G43" s="15" t="s">
        <v>329</v>
      </c>
      <c r="H43" s="14">
        <v>48010742</v>
      </c>
      <c r="I43" s="15" t="s">
        <v>942</v>
      </c>
      <c r="J43" s="14" t="s">
        <v>922</v>
      </c>
      <c r="K43" s="15" t="s">
        <v>59</v>
      </c>
      <c r="L43" s="15" t="s">
        <v>60</v>
      </c>
      <c r="M43" s="14"/>
    </row>
    <row r="44" spans="1:13" s="108" customFormat="1">
      <c r="A44" s="15" t="s">
        <v>53</v>
      </c>
      <c r="B44" s="15" t="s">
        <v>34</v>
      </c>
      <c r="C44" s="15" t="s">
        <v>61</v>
      </c>
      <c r="D44" s="15" t="s">
        <v>16</v>
      </c>
      <c r="E44" s="14" t="s">
        <v>210</v>
      </c>
      <c r="F44" s="14">
        <v>90002159</v>
      </c>
      <c r="G44" s="15" t="s">
        <v>57</v>
      </c>
      <c r="H44" s="14"/>
      <c r="I44" s="15"/>
      <c r="J44" s="14"/>
      <c r="K44" s="15"/>
      <c r="L44" s="15" t="s">
        <v>920</v>
      </c>
      <c r="M44" s="14"/>
    </row>
    <row r="45" spans="1:13" s="108" customFormat="1">
      <c r="A45" s="15" t="s">
        <v>53</v>
      </c>
      <c r="B45" s="15" t="s">
        <v>36</v>
      </c>
      <c r="C45" s="15" t="s">
        <v>61</v>
      </c>
      <c r="D45" s="15" t="s">
        <v>16</v>
      </c>
      <c r="E45" s="14" t="s">
        <v>99</v>
      </c>
      <c r="F45" s="14">
        <v>90002160</v>
      </c>
      <c r="G45" s="15" t="s">
        <v>62</v>
      </c>
      <c r="H45" s="14">
        <v>28010743</v>
      </c>
      <c r="I45" s="15" t="s">
        <v>943</v>
      </c>
      <c r="J45" s="14" t="s">
        <v>99</v>
      </c>
      <c r="K45" s="15" t="s">
        <v>59</v>
      </c>
      <c r="L45" s="15" t="s">
        <v>60</v>
      </c>
      <c r="M45" s="14"/>
    </row>
    <row r="46" spans="1:13" s="108" customFormat="1">
      <c r="A46" s="15" t="s">
        <v>53</v>
      </c>
      <c r="B46" s="15" t="s">
        <v>36</v>
      </c>
      <c r="C46" s="15" t="s">
        <v>61</v>
      </c>
      <c r="D46" s="15" t="s">
        <v>16</v>
      </c>
      <c r="E46" s="14" t="s">
        <v>128</v>
      </c>
      <c r="F46" s="14">
        <v>902161</v>
      </c>
      <c r="G46" s="15" t="s">
        <v>67</v>
      </c>
      <c r="H46" s="14"/>
      <c r="I46" s="15"/>
      <c r="J46" s="14"/>
      <c r="K46" s="15"/>
      <c r="L46" s="15" t="s">
        <v>920</v>
      </c>
      <c r="M46" s="14" t="s">
        <v>944</v>
      </c>
    </row>
    <row r="47" spans="1:13" s="108" customFormat="1">
      <c r="A47" s="15" t="s">
        <v>53</v>
      </c>
      <c r="B47" s="15" t="s">
        <v>36</v>
      </c>
      <c r="C47" s="15" t="s">
        <v>61</v>
      </c>
      <c r="D47" s="15" t="s">
        <v>16</v>
      </c>
      <c r="E47" s="14" t="s">
        <v>56</v>
      </c>
      <c r="F47" s="14">
        <v>902162</v>
      </c>
      <c r="G47" s="15" t="s">
        <v>67</v>
      </c>
      <c r="H47" s="14">
        <v>28010744</v>
      </c>
      <c r="I47" s="15" t="s">
        <v>945</v>
      </c>
      <c r="J47" s="14" t="s">
        <v>56</v>
      </c>
      <c r="K47" s="15" t="s">
        <v>59</v>
      </c>
      <c r="L47" s="15" t="s">
        <v>60</v>
      </c>
      <c r="M47" s="14"/>
    </row>
    <row r="48" spans="1:13" s="108" customFormat="1">
      <c r="A48" s="15" t="s">
        <v>53</v>
      </c>
      <c r="B48" s="15" t="s">
        <v>36</v>
      </c>
      <c r="C48" s="15" t="s">
        <v>61</v>
      </c>
      <c r="D48" s="15" t="s">
        <v>16</v>
      </c>
      <c r="E48" s="14" t="s">
        <v>66</v>
      </c>
      <c r="F48" s="14">
        <v>90002163</v>
      </c>
      <c r="G48" s="15" t="s">
        <v>70</v>
      </c>
      <c r="H48" s="14">
        <v>28010745</v>
      </c>
      <c r="I48" s="15" t="s">
        <v>946</v>
      </c>
      <c r="J48" s="14" t="s">
        <v>66</v>
      </c>
      <c r="K48" s="15" t="s">
        <v>59</v>
      </c>
      <c r="L48" s="15" t="s">
        <v>60</v>
      </c>
      <c r="M48" s="14"/>
    </row>
    <row r="49" spans="1:13" s="108" customFormat="1">
      <c r="A49" s="15" t="s">
        <v>53</v>
      </c>
      <c r="B49" s="15" t="s">
        <v>36</v>
      </c>
      <c r="C49" s="15" t="s">
        <v>61</v>
      </c>
      <c r="D49" s="15" t="s">
        <v>16</v>
      </c>
      <c r="E49" s="14" t="s">
        <v>56</v>
      </c>
      <c r="F49" s="14">
        <v>90002164</v>
      </c>
      <c r="G49" s="15" t="s">
        <v>73</v>
      </c>
      <c r="H49" s="14">
        <v>28010746</v>
      </c>
      <c r="I49" s="15" t="s">
        <v>947</v>
      </c>
      <c r="J49" s="14" t="s">
        <v>56</v>
      </c>
      <c r="K49" s="15" t="s">
        <v>59</v>
      </c>
      <c r="L49" s="15" t="s">
        <v>60</v>
      </c>
      <c r="M49" s="14"/>
    </row>
    <row r="50" spans="1:13" s="108" customFormat="1">
      <c r="A50" s="15" t="s">
        <v>53</v>
      </c>
      <c r="B50" s="15" t="s">
        <v>36</v>
      </c>
      <c r="C50" s="15" t="s">
        <v>61</v>
      </c>
      <c r="D50" s="15" t="s">
        <v>16</v>
      </c>
      <c r="E50" s="14" t="s">
        <v>69</v>
      </c>
      <c r="F50" s="14">
        <v>90002165</v>
      </c>
      <c r="G50" s="15" t="s">
        <v>84</v>
      </c>
      <c r="H50" s="14">
        <v>28010747</v>
      </c>
      <c r="I50" s="15" t="s">
        <v>948</v>
      </c>
      <c r="J50" s="14" t="s">
        <v>69</v>
      </c>
      <c r="K50" s="15" t="s">
        <v>59</v>
      </c>
      <c r="L50" s="15" t="s">
        <v>60</v>
      </c>
      <c r="M50" s="14"/>
    </row>
    <row r="51" spans="1:13" s="108" customFormat="1">
      <c r="A51" s="15" t="s">
        <v>53</v>
      </c>
      <c r="B51" s="15" t="s">
        <v>34</v>
      </c>
      <c r="C51" s="15" t="s">
        <v>61</v>
      </c>
      <c r="D51" s="15" t="s">
        <v>16</v>
      </c>
      <c r="E51" s="14" t="s">
        <v>69</v>
      </c>
      <c r="F51" s="14">
        <v>902166</v>
      </c>
      <c r="G51" s="15" t="s">
        <v>92</v>
      </c>
      <c r="H51" s="14">
        <v>28010748</v>
      </c>
      <c r="I51" s="15" t="s">
        <v>949</v>
      </c>
      <c r="J51" s="14" t="s">
        <v>69</v>
      </c>
      <c r="K51" s="15" t="s">
        <v>59</v>
      </c>
      <c r="L51" s="15" t="s">
        <v>60</v>
      </c>
      <c r="M51" s="14"/>
    </row>
    <row r="52" spans="1:13" s="108" customFormat="1">
      <c r="A52" s="15" t="s">
        <v>53</v>
      </c>
      <c r="B52" s="15" t="s">
        <v>54</v>
      </c>
      <c r="C52" s="15" t="s">
        <v>55</v>
      </c>
      <c r="D52" s="15" t="s">
        <v>16</v>
      </c>
      <c r="E52" s="14" t="s">
        <v>210</v>
      </c>
      <c r="F52" s="14">
        <v>90002167</v>
      </c>
      <c r="G52" s="15" t="s">
        <v>100</v>
      </c>
      <c r="H52" s="14">
        <v>28010749</v>
      </c>
      <c r="I52" s="15" t="s">
        <v>950</v>
      </c>
      <c r="J52" s="14" t="s">
        <v>210</v>
      </c>
      <c r="K52" s="15" t="s">
        <v>59</v>
      </c>
      <c r="L52" s="15" t="s">
        <v>60</v>
      </c>
      <c r="M52" s="14"/>
    </row>
    <row r="53" spans="1:13" s="108" customFormat="1">
      <c r="A53" s="15" t="s">
        <v>53</v>
      </c>
      <c r="B53" s="15" t="s">
        <v>54</v>
      </c>
      <c r="C53" s="15" t="s">
        <v>55</v>
      </c>
      <c r="D53" s="15" t="s">
        <v>13</v>
      </c>
      <c r="E53" s="14" t="s">
        <v>128</v>
      </c>
      <c r="F53" s="14">
        <v>90002168</v>
      </c>
      <c r="G53" s="15" t="s">
        <v>103</v>
      </c>
      <c r="H53" s="14">
        <v>28010750</v>
      </c>
      <c r="I53" s="15" t="s">
        <v>951</v>
      </c>
      <c r="J53" s="14" t="s">
        <v>128</v>
      </c>
      <c r="K53" s="15" t="s">
        <v>59</v>
      </c>
      <c r="L53" s="15" t="s">
        <v>60</v>
      </c>
      <c r="M53" s="14"/>
    </row>
    <row r="54" spans="1:13" s="108" customFormat="1">
      <c r="A54" s="15" t="s">
        <v>53</v>
      </c>
      <c r="B54" s="15" t="s">
        <v>64</v>
      </c>
      <c r="C54" s="15" t="s">
        <v>65</v>
      </c>
      <c r="D54" s="15" t="s">
        <v>17</v>
      </c>
      <c r="E54" s="14" t="s">
        <v>128</v>
      </c>
      <c r="F54" s="14">
        <v>902169</v>
      </c>
      <c r="G54" s="15" t="s">
        <v>111</v>
      </c>
      <c r="H54" s="14">
        <v>28010751</v>
      </c>
      <c r="I54" s="15" t="s">
        <v>952</v>
      </c>
      <c r="J54" s="14" t="s">
        <v>128</v>
      </c>
      <c r="K54" s="15" t="s">
        <v>59</v>
      </c>
      <c r="L54" s="15" t="s">
        <v>60</v>
      </c>
      <c r="M54" s="14"/>
    </row>
    <row r="55" spans="1:13" s="108" customFormat="1">
      <c r="A55" s="15" t="s">
        <v>53</v>
      </c>
      <c r="B55" s="15" t="s">
        <v>34</v>
      </c>
      <c r="C55" s="15" t="s">
        <v>35</v>
      </c>
      <c r="D55" s="15" t="s">
        <v>15</v>
      </c>
      <c r="E55" s="14" t="s">
        <v>450</v>
      </c>
      <c r="F55" s="14">
        <v>902170</v>
      </c>
      <c r="G55" s="15" t="s">
        <v>329</v>
      </c>
      <c r="H55" s="14">
        <v>48010752</v>
      </c>
      <c r="I55" s="15" t="s">
        <v>953</v>
      </c>
      <c r="J55" s="14" t="s">
        <v>922</v>
      </c>
      <c r="K55" s="15" t="s">
        <v>59</v>
      </c>
      <c r="L55" s="15" t="s">
        <v>60</v>
      </c>
      <c r="M55" s="14"/>
    </row>
    <row r="56" spans="1:13" s="108" customFormat="1">
      <c r="A56" s="15" t="s">
        <v>53</v>
      </c>
      <c r="B56" s="15" t="s">
        <v>34</v>
      </c>
      <c r="C56" s="15" t="s">
        <v>35</v>
      </c>
      <c r="D56" s="15" t="s">
        <v>15</v>
      </c>
      <c r="E56" s="14" t="s">
        <v>450</v>
      </c>
      <c r="F56" s="14">
        <v>902171</v>
      </c>
      <c r="G56" s="15" t="s">
        <v>329</v>
      </c>
      <c r="H56" s="14">
        <v>48010753</v>
      </c>
      <c r="I56" s="15" t="s">
        <v>954</v>
      </c>
      <c r="J56" s="14" t="s">
        <v>922</v>
      </c>
      <c r="K56" s="15" t="s">
        <v>59</v>
      </c>
      <c r="L56" s="15" t="s">
        <v>60</v>
      </c>
      <c r="M56" s="14"/>
    </row>
    <row r="57" spans="1:13" s="108" customFormat="1">
      <c r="A57" s="113" t="s">
        <v>223</v>
      </c>
      <c r="B57" s="15" t="s">
        <v>36</v>
      </c>
      <c r="C57" s="15" t="s">
        <v>61</v>
      </c>
      <c r="D57" s="15" t="s">
        <v>16</v>
      </c>
      <c r="E57" s="14" t="s">
        <v>210</v>
      </c>
      <c r="F57" s="14">
        <v>902172</v>
      </c>
      <c r="G57" s="15" t="s">
        <v>84</v>
      </c>
      <c r="H57" s="14"/>
      <c r="I57" s="15"/>
      <c r="J57" s="14"/>
      <c r="K57" s="15"/>
      <c r="L57" s="15" t="s">
        <v>920</v>
      </c>
      <c r="M57" s="14"/>
    </row>
    <row r="58" spans="1:13" s="108" customFormat="1">
      <c r="A58" s="113" t="s">
        <v>223</v>
      </c>
      <c r="B58" s="15" t="s">
        <v>36</v>
      </c>
      <c r="C58" s="15" t="s">
        <v>61</v>
      </c>
      <c r="D58" s="15" t="s">
        <v>16</v>
      </c>
      <c r="E58" s="14" t="s">
        <v>128</v>
      </c>
      <c r="F58" s="14">
        <v>902173</v>
      </c>
      <c r="G58" s="15" t="s">
        <v>73</v>
      </c>
      <c r="H58" s="14"/>
      <c r="I58" s="15"/>
      <c r="J58" s="14"/>
      <c r="K58" s="15"/>
      <c r="L58" s="15" t="s">
        <v>920</v>
      </c>
      <c r="M58" s="14"/>
    </row>
    <row r="59" spans="1:13" s="108" customFormat="1">
      <c r="A59" s="113" t="s">
        <v>223</v>
      </c>
      <c r="B59" s="15" t="s">
        <v>36</v>
      </c>
      <c r="C59" s="15" t="s">
        <v>61</v>
      </c>
      <c r="D59" s="15" t="s">
        <v>16</v>
      </c>
      <c r="E59" s="14" t="s">
        <v>128</v>
      </c>
      <c r="F59" s="14">
        <v>902174</v>
      </c>
      <c r="G59" s="15" t="s">
        <v>73</v>
      </c>
      <c r="H59" s="14"/>
      <c r="I59" s="15"/>
      <c r="J59" s="14"/>
      <c r="K59" s="15"/>
      <c r="L59" s="15" t="s">
        <v>920</v>
      </c>
      <c r="M5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C4" sqref="C4"/>
    </sheetView>
  </sheetViews>
  <sheetFormatPr defaultRowHeight="14.45"/>
  <cols>
    <col min="1" max="1" width="25.42578125" bestFit="1" customWidth="1"/>
    <col min="2" max="2" width="23.85546875" bestFit="1" customWidth="1"/>
    <col min="3" max="3" width="14.140625" bestFit="1" customWidth="1"/>
    <col min="4" max="4" width="12.28515625" bestFit="1" customWidth="1"/>
    <col min="5" max="5" width="4.42578125" bestFit="1" customWidth="1"/>
    <col min="6" max="6" width="5.140625" bestFit="1" customWidth="1"/>
    <col min="7" max="7" width="3.85546875" bestFit="1" customWidth="1"/>
    <col min="8" max="8" width="12.140625" bestFit="1" customWidth="1"/>
  </cols>
  <sheetData>
    <row r="1" spans="1:8">
      <c r="A1" s="117" t="s">
        <v>0</v>
      </c>
      <c r="B1" s="119" t="s">
        <v>1</v>
      </c>
      <c r="C1" s="122"/>
      <c r="D1" s="121" t="s">
        <v>2</v>
      </c>
      <c r="E1" s="126"/>
      <c r="F1" s="126"/>
      <c r="G1" s="126"/>
      <c r="H1" s="126"/>
    </row>
    <row r="2" spans="1:8" ht="24.95" customHeight="1">
      <c r="A2" s="124"/>
      <c r="B2" s="120" t="s">
        <v>3</v>
      </c>
      <c r="C2" s="38" t="s">
        <v>4</v>
      </c>
      <c r="D2" s="17" t="s">
        <v>5</v>
      </c>
      <c r="E2" s="18" t="s">
        <v>955</v>
      </c>
      <c r="F2" s="18" t="s">
        <v>956</v>
      </c>
      <c r="G2" s="18" t="s">
        <v>957</v>
      </c>
      <c r="H2" s="17" t="s">
        <v>8</v>
      </c>
    </row>
    <row r="3" spans="1:8">
      <c r="A3" s="125"/>
      <c r="B3" s="125"/>
      <c r="C3" s="39" t="s">
        <v>18</v>
      </c>
      <c r="D3" s="18" t="s">
        <v>10</v>
      </c>
      <c r="E3" s="18" t="s">
        <v>11</v>
      </c>
      <c r="F3" s="18" t="s">
        <v>12</v>
      </c>
      <c r="G3" s="18" t="s">
        <v>19</v>
      </c>
      <c r="H3" s="18" t="s">
        <v>20</v>
      </c>
    </row>
    <row r="4" spans="1:8">
      <c r="A4" s="35" t="s">
        <v>21</v>
      </c>
      <c r="B4" s="41">
        <f>COUNTIFS(Khyati!B:B,'Khyati Summary '!A4)</f>
        <v>0</v>
      </c>
      <c r="C4" s="41">
        <f>B4-H4</f>
        <v>0</v>
      </c>
      <c r="D4" s="8">
        <f>COUNTIFS(Khyati!B:B,A4,Khyati!K:K,"regular")</f>
        <v>0</v>
      </c>
      <c r="E4" s="8">
        <f>COUNTIFS(Khyati!B:B,A4,Khyati!J:J,"MT")</f>
        <v>0</v>
      </c>
      <c r="F4" s="8">
        <f>COUNTIFS(Khyati!B:B,A4,Khyati!J:J,"GET")</f>
        <v>0</v>
      </c>
      <c r="G4" s="8">
        <f>COUNTIFS(Khyati!B:B,A4,Khyati!J:J,"Executive Trainee")</f>
        <v>0</v>
      </c>
      <c r="H4" s="8">
        <f>D4+E4+F4+G4</f>
        <v>0</v>
      </c>
    </row>
    <row r="5" spans="1:8">
      <c r="A5" s="35" t="s">
        <v>22</v>
      </c>
      <c r="B5" s="41">
        <f>COUNTIFS(Khyati!B:B,'Khyati Summary '!A5)</f>
        <v>0</v>
      </c>
      <c r="C5" s="41">
        <f>B5-H5</f>
        <v>0</v>
      </c>
      <c r="D5" s="8">
        <f>COUNTIFS(Khyati!B:B,A5,Khyati!K:K,"regular")</f>
        <v>0</v>
      </c>
      <c r="E5" s="8">
        <f>COUNTIFS(Khyati!B:B,A5,Khyati!J:J,"MT")</f>
        <v>0</v>
      </c>
      <c r="F5" s="8">
        <f>COUNTIFS(Khyati!B:B,A5,Khyati!J:J,"GET")</f>
        <v>0</v>
      </c>
      <c r="G5" s="8">
        <f>COUNTIFS(Khyati!B:B,A5,Khyati!J:J,"Executive Trainee")</f>
        <v>0</v>
      </c>
      <c r="H5" s="8">
        <f>D5+E5+F5+G5</f>
        <v>0</v>
      </c>
    </row>
    <row r="6" spans="1:8">
      <c r="A6" s="35" t="s">
        <v>23</v>
      </c>
      <c r="B6" s="41">
        <f>COUNTIFS(Khyati!B:B,'Khyati Summary '!A6)</f>
        <v>0</v>
      </c>
      <c r="C6" s="41">
        <f>B6-H6</f>
        <v>0</v>
      </c>
      <c r="D6" s="8">
        <f>COUNTIFS(Khyati!B:B,A6,Khyati!K:K,"regular")</f>
        <v>0</v>
      </c>
      <c r="E6" s="8">
        <f>COUNTIFS(Khyati!B:B,A6,Khyati!J:J,"MT")</f>
        <v>0</v>
      </c>
      <c r="F6" s="8">
        <f>COUNTIFS(Khyati!B:B,A6,Khyati!J:J,"GET")</f>
        <v>0</v>
      </c>
      <c r="G6" s="8">
        <f>COUNTIFS(Khyati!B:B,A6,Khyati!J:J,"Executive Trainee")</f>
        <v>0</v>
      </c>
      <c r="H6" s="8">
        <f>D6+E6+F6+G6</f>
        <v>0</v>
      </c>
    </row>
    <row r="7" spans="1:8">
      <c r="A7" s="35" t="s">
        <v>24</v>
      </c>
      <c r="B7" s="41">
        <f>COUNTIFS(Khyati!B:B,'Khyati Summary '!A7)</f>
        <v>0</v>
      </c>
      <c r="C7" s="41">
        <f>B7-H7</f>
        <v>0</v>
      </c>
      <c r="D7" s="8">
        <f>COUNTIFS(Khyati!B:B,A7,Khyati!K:K,"regular")</f>
        <v>0</v>
      </c>
      <c r="E7" s="8">
        <f>COUNTIFS(Khyati!B:B,A7,Khyati!J:J,"MT")</f>
        <v>0</v>
      </c>
      <c r="F7" s="8">
        <f>COUNTIFS(Khyati!B:B,A7,Khyati!J:J,"GET")</f>
        <v>0</v>
      </c>
      <c r="G7" s="8">
        <f>COUNTIFS(Khyati!B:B,A7,Khyati!J:J,"Executive Trainee")</f>
        <v>0</v>
      </c>
      <c r="H7" s="8">
        <f>D7+E7+F7+G7</f>
        <v>0</v>
      </c>
    </row>
    <row r="8" spans="1:8">
      <c r="A8" s="35" t="s">
        <v>25</v>
      </c>
      <c r="B8" s="41">
        <f>COUNTIFS(Khyati!B:B,'Khyati Summary '!A8)</f>
        <v>0</v>
      </c>
      <c r="C8" s="41">
        <f>B8-H8</f>
        <v>0</v>
      </c>
      <c r="D8" s="8">
        <f>COUNTIFS(Khyati!B:B,A8,Khyati!K:K,"regular")</f>
        <v>0</v>
      </c>
      <c r="E8" s="8">
        <f>COUNTIFS(Khyati!B:B,A8,Khyati!J:J,"MT")</f>
        <v>0</v>
      </c>
      <c r="F8" s="8">
        <f>COUNTIFS(Khyati!B:B,A8,Khyati!J:J,"GET")</f>
        <v>0</v>
      </c>
      <c r="G8" s="8">
        <f>COUNTIFS(Khyati!B:B,A8,Khyati!J:J,"Executive Trainee")</f>
        <v>0</v>
      </c>
      <c r="H8" s="8">
        <f>D8+E8+F8+G8</f>
        <v>0</v>
      </c>
    </row>
    <row r="9" spans="1:8">
      <c r="A9" s="35" t="s">
        <v>26</v>
      </c>
      <c r="B9" s="41">
        <f>COUNTIFS(Khyati!B:B,'Khyati Summary '!A9)</f>
        <v>0</v>
      </c>
      <c r="C9" s="41">
        <f>B9-H9</f>
        <v>0</v>
      </c>
      <c r="D9" s="8">
        <f>COUNTIFS(Khyati!B:B,A9,Khyati!K:K,"regular")</f>
        <v>0</v>
      </c>
      <c r="E9" s="8">
        <f>COUNTIFS(Khyati!B:B,A9,Khyati!J:J,"MT")</f>
        <v>0</v>
      </c>
      <c r="F9" s="8">
        <f>COUNTIFS(Khyati!B:B,A9,Khyati!J:J,"GET")</f>
        <v>0</v>
      </c>
      <c r="G9" s="8">
        <f>COUNTIFS(Khyati!B:B,A9,Khyati!J:J,"Executive Trainee")</f>
        <v>0</v>
      </c>
      <c r="H9" s="8">
        <f>D9+E9+F9+G9</f>
        <v>0</v>
      </c>
    </row>
    <row r="10" spans="1:8">
      <c r="A10" s="35" t="s">
        <v>27</v>
      </c>
      <c r="B10" s="41">
        <f>COUNTIFS(Khyati!B:B,'Khyati Summary '!A10)</f>
        <v>0</v>
      </c>
      <c r="C10" s="41">
        <f>B10-H10</f>
        <v>0</v>
      </c>
      <c r="D10" s="8">
        <f>COUNTIFS(Khyati!B:B,A10,Khyati!K:K,"regular")</f>
        <v>0</v>
      </c>
      <c r="E10" s="8">
        <f>COUNTIFS(Khyati!B:B,A10,Khyati!J:J,"MT")</f>
        <v>0</v>
      </c>
      <c r="F10" s="8">
        <f>COUNTIFS(Khyati!B:B,A10,Khyati!J:J,"GET")</f>
        <v>0</v>
      </c>
      <c r="G10" s="8">
        <f>COUNTIFS(Khyati!B:B,A10,Khyati!J:J,"Executive Trainee")</f>
        <v>0</v>
      </c>
      <c r="H10" s="8">
        <f>D10+E10+F10+G10</f>
        <v>0</v>
      </c>
    </row>
    <row r="11" spans="1:8">
      <c r="A11" s="35" t="s">
        <v>28</v>
      </c>
      <c r="B11" s="41">
        <f>COUNTIFS(Khyati!B:B,'Khyati Summary '!A11)</f>
        <v>0</v>
      </c>
      <c r="C11" s="41">
        <f>B11-H11</f>
        <v>0</v>
      </c>
      <c r="D11" s="8">
        <f>COUNTIFS(Khyati!B:B,A11,Khyati!K:K,"regular")</f>
        <v>0</v>
      </c>
      <c r="E11" s="8">
        <f>COUNTIFS(Khyati!B:B,A11,Khyati!J:J,"MT")</f>
        <v>0</v>
      </c>
      <c r="F11" s="8">
        <f>COUNTIFS(Khyati!B:B,A11,Khyati!J:J,"GET")</f>
        <v>0</v>
      </c>
      <c r="G11" s="8">
        <f>COUNTIFS(Khyati!B:B,A11,Khyati!J:J,"Executive Trainee")</f>
        <v>0</v>
      </c>
      <c r="H11" s="8">
        <f>D11+E11+F11+G11</f>
        <v>0</v>
      </c>
    </row>
    <row r="12" spans="1:8">
      <c r="A12" s="35" t="s">
        <v>9</v>
      </c>
      <c r="B12" s="41">
        <f>COUNTIFS(Khyati!B:B,'Khyati Summary '!A12)</f>
        <v>0</v>
      </c>
      <c r="C12" s="41">
        <f>B12-H12</f>
        <v>0</v>
      </c>
      <c r="D12" s="8">
        <f>COUNTIFS(Khyati!B:B,A12,Khyati!K:K,"regular")</f>
        <v>0</v>
      </c>
      <c r="E12" s="8">
        <f>COUNTIFS(Khyati!B:B,A12,Khyati!J:J,"MT")</f>
        <v>0</v>
      </c>
      <c r="F12" s="8">
        <f>COUNTIFS(Khyati!B:B,A12,Khyati!J:J,"GET")</f>
        <v>0</v>
      </c>
      <c r="G12" s="8">
        <f>COUNTIFS(Khyati!B:B,A12,Khyati!J:J,"Executive Trainee")</f>
        <v>0</v>
      </c>
      <c r="H12" s="8">
        <f>D12+E12+F12+G12</f>
        <v>0</v>
      </c>
    </row>
    <row r="13" spans="1:8">
      <c r="A13" s="37" t="s">
        <v>15</v>
      </c>
      <c r="B13" s="36">
        <f>SUM(B4:B12)</f>
        <v>0</v>
      </c>
      <c r="C13" s="36">
        <f>B13-H13</f>
        <v>0</v>
      </c>
      <c r="D13" s="36">
        <f>SUM(D4:D12)</f>
        <v>0</v>
      </c>
      <c r="E13" s="36">
        <f>SUM(E4:E12)</f>
        <v>0</v>
      </c>
      <c r="F13" s="36">
        <f>SUM(F4:F12)</f>
        <v>0</v>
      </c>
      <c r="G13" s="36">
        <f>SUM(G4:G12)</f>
        <v>0</v>
      </c>
      <c r="H13" s="36">
        <f>D13+E13+F13+G13</f>
        <v>0</v>
      </c>
    </row>
  </sheetData>
  <mergeCells count="4">
    <mergeCell ref="B1:C1"/>
    <mergeCell ref="A1:A3"/>
    <mergeCell ref="B2:B3"/>
    <mergeCell ref="D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62"/>
  <sheetViews>
    <sheetView zoomScaleNormal="100" workbookViewId="0"/>
  </sheetViews>
  <sheetFormatPr defaultRowHeight="14.45"/>
  <cols>
    <col min="1" max="1" width="19.5703125" bestFit="1" customWidth="1"/>
    <col min="2" max="2" width="25.85546875" bestFit="1" customWidth="1"/>
    <col min="3" max="3" width="26.140625" bestFit="1" customWidth="1"/>
    <col min="4" max="4" width="38.140625" bestFit="1" customWidth="1"/>
    <col min="5" max="5" width="13.85546875" style="9" bestFit="1" customWidth="1"/>
    <col min="6" max="6" width="13.28515625" bestFit="1" customWidth="1"/>
    <col min="7" max="7" width="36" style="4" bestFit="1" customWidth="1"/>
    <col min="8" max="8" width="12.140625" bestFit="1" customWidth="1"/>
    <col min="9" max="9" width="31.28515625" style="4" bestFit="1" customWidth="1"/>
    <col min="10" max="10" width="16.7109375" bestFit="1" customWidth="1"/>
    <col min="11" max="11" width="16.42578125" bestFit="1" customWidth="1"/>
    <col min="12" max="12" width="17.85546875" bestFit="1" customWidth="1"/>
    <col min="13" max="13" width="31.5703125" customWidth="1"/>
    <col min="14" max="14" width="8.42578125" bestFit="1" customWidth="1"/>
    <col min="15" max="15" width="10.42578125" bestFit="1" customWidth="1"/>
    <col min="16" max="16" width="8.42578125" bestFit="1" customWidth="1"/>
    <col min="17" max="17" width="14.85546875" bestFit="1" customWidth="1"/>
    <col min="18" max="18" width="11.42578125" bestFit="1" customWidth="1"/>
  </cols>
  <sheetData>
    <row r="1" spans="1:12" s="29" customFormat="1">
      <c r="A1" s="33" t="s">
        <v>37</v>
      </c>
      <c r="B1" s="33" t="s">
        <v>38</v>
      </c>
      <c r="C1" s="33" t="s">
        <v>39</v>
      </c>
      <c r="D1" s="33" t="s">
        <v>40</v>
      </c>
      <c r="E1" s="42" t="s">
        <v>41</v>
      </c>
      <c r="F1" s="33" t="s">
        <v>42</v>
      </c>
      <c r="G1" s="42" t="s">
        <v>43</v>
      </c>
      <c r="H1" s="33" t="s">
        <v>44</v>
      </c>
      <c r="I1" s="42" t="s">
        <v>45</v>
      </c>
      <c r="J1" s="33" t="s">
        <v>46</v>
      </c>
      <c r="K1" s="33" t="s">
        <v>919</v>
      </c>
      <c r="L1" s="33" t="s">
        <v>958</v>
      </c>
    </row>
    <row r="2" spans="1:12">
      <c r="A2" s="26" t="s">
        <v>53</v>
      </c>
      <c r="B2" s="26" t="s">
        <v>29</v>
      </c>
      <c r="C2" s="26" t="s">
        <v>75</v>
      </c>
      <c r="D2" s="26" t="s">
        <v>21</v>
      </c>
      <c r="E2" s="30" t="s">
        <v>72</v>
      </c>
      <c r="F2" s="30">
        <v>902175</v>
      </c>
      <c r="G2" s="45" t="s">
        <v>113</v>
      </c>
      <c r="H2" s="34">
        <v>28010754</v>
      </c>
      <c r="I2" s="45" t="s">
        <v>959</v>
      </c>
      <c r="J2" s="34" t="s">
        <v>56</v>
      </c>
      <c r="K2" s="26" t="s">
        <v>59</v>
      </c>
      <c r="L2" s="26" t="s">
        <v>60</v>
      </c>
    </row>
    <row r="3" spans="1:12">
      <c r="A3" s="26" t="s">
        <v>53</v>
      </c>
      <c r="B3" s="26" t="s">
        <v>30</v>
      </c>
      <c r="C3" s="26" t="s">
        <v>75</v>
      </c>
      <c r="D3" s="26" t="s">
        <v>28</v>
      </c>
      <c r="E3" s="30" t="s">
        <v>56</v>
      </c>
      <c r="F3" s="30">
        <v>902176</v>
      </c>
      <c r="G3" s="45" t="s">
        <v>116</v>
      </c>
      <c r="H3" s="34">
        <v>28010755</v>
      </c>
      <c r="I3" s="45" t="s">
        <v>960</v>
      </c>
      <c r="J3" s="34" t="s">
        <v>99</v>
      </c>
      <c r="K3" s="26" t="s">
        <v>59</v>
      </c>
      <c r="L3" s="26" t="s">
        <v>60</v>
      </c>
    </row>
    <row r="4" spans="1:12">
      <c r="A4" s="26" t="s">
        <v>53</v>
      </c>
      <c r="B4" s="26" t="s">
        <v>31</v>
      </c>
      <c r="C4" s="26" t="s">
        <v>75</v>
      </c>
      <c r="D4" s="26" t="s">
        <v>10</v>
      </c>
      <c r="E4" s="30" t="s">
        <v>72</v>
      </c>
      <c r="F4" s="30">
        <v>902177</v>
      </c>
      <c r="G4" s="45" t="s">
        <v>118</v>
      </c>
      <c r="H4" s="34">
        <v>28010756</v>
      </c>
      <c r="I4" s="45" t="s">
        <v>961</v>
      </c>
      <c r="J4" s="34" t="s">
        <v>99</v>
      </c>
      <c r="K4" s="26" t="s">
        <v>59</v>
      </c>
      <c r="L4" s="26" t="s">
        <v>60</v>
      </c>
    </row>
    <row r="5" spans="1:12">
      <c r="A5" s="26" t="s">
        <v>53</v>
      </c>
      <c r="B5" s="26" t="s">
        <v>31</v>
      </c>
      <c r="C5" s="26" t="s">
        <v>75</v>
      </c>
      <c r="D5" s="26" t="s">
        <v>10</v>
      </c>
      <c r="E5" s="30" t="s">
        <v>72</v>
      </c>
      <c r="F5" s="30">
        <v>902178</v>
      </c>
      <c r="G5" s="45" t="s">
        <v>120</v>
      </c>
      <c r="H5" s="34">
        <v>28010757</v>
      </c>
      <c r="I5" s="45" t="s">
        <v>962</v>
      </c>
      <c r="J5" s="34" t="s">
        <v>56</v>
      </c>
      <c r="K5" s="26" t="s">
        <v>59</v>
      </c>
      <c r="L5" s="26" t="s">
        <v>60</v>
      </c>
    </row>
    <row r="6" spans="1:12">
      <c r="A6" s="26" t="s">
        <v>53</v>
      </c>
      <c r="B6" s="26" t="s">
        <v>31</v>
      </c>
      <c r="C6" s="26" t="s">
        <v>75</v>
      </c>
      <c r="D6" s="26" t="s">
        <v>11</v>
      </c>
      <c r="E6" s="30" t="s">
        <v>56</v>
      </c>
      <c r="F6" s="30">
        <v>902179</v>
      </c>
      <c r="G6" s="45" t="s">
        <v>126</v>
      </c>
      <c r="H6" s="34">
        <v>28010758</v>
      </c>
      <c r="I6" s="45" t="s">
        <v>963</v>
      </c>
      <c r="J6" s="34" t="s">
        <v>69</v>
      </c>
      <c r="K6" s="26" t="s">
        <v>59</v>
      </c>
      <c r="L6" s="26" t="s">
        <v>60</v>
      </c>
    </row>
    <row r="7" spans="1:12">
      <c r="A7" s="26" t="s">
        <v>53</v>
      </c>
      <c r="B7" s="26" t="s">
        <v>31</v>
      </c>
      <c r="C7" s="26" t="s">
        <v>75</v>
      </c>
      <c r="D7" s="26" t="s">
        <v>10</v>
      </c>
      <c r="E7" s="30" t="s">
        <v>72</v>
      </c>
      <c r="F7" s="30">
        <v>902180</v>
      </c>
      <c r="G7" s="45" t="s">
        <v>120</v>
      </c>
      <c r="H7" s="34">
        <v>28010759</v>
      </c>
      <c r="I7" s="45" t="s">
        <v>964</v>
      </c>
      <c r="J7" s="34" t="s">
        <v>128</v>
      </c>
      <c r="K7" s="26" t="s">
        <v>59</v>
      </c>
      <c r="L7" s="26" t="s">
        <v>60</v>
      </c>
    </row>
    <row r="8" spans="1:12">
      <c r="A8" s="26" t="s">
        <v>53</v>
      </c>
      <c r="B8" s="26" t="s">
        <v>31</v>
      </c>
      <c r="C8" s="26" t="s">
        <v>75</v>
      </c>
      <c r="D8" s="26" t="s">
        <v>10</v>
      </c>
      <c r="E8" s="30" t="s">
        <v>69</v>
      </c>
      <c r="F8" s="30">
        <v>902181</v>
      </c>
      <c r="G8" s="45" t="s">
        <v>120</v>
      </c>
      <c r="H8" s="34">
        <v>28010760</v>
      </c>
      <c r="I8" s="45" t="s">
        <v>965</v>
      </c>
      <c r="J8" s="34" t="s">
        <v>128</v>
      </c>
      <c r="K8" s="26" t="s">
        <v>59</v>
      </c>
      <c r="L8" s="26" t="s">
        <v>60</v>
      </c>
    </row>
    <row r="9" spans="1:12">
      <c r="A9" s="26" t="s">
        <v>53</v>
      </c>
      <c r="B9" s="26" t="s">
        <v>31</v>
      </c>
      <c r="C9" s="26" t="s">
        <v>75</v>
      </c>
      <c r="D9" s="26" t="s">
        <v>12</v>
      </c>
      <c r="E9" s="30" t="s">
        <v>56</v>
      </c>
      <c r="F9" s="30">
        <v>902182</v>
      </c>
      <c r="G9" s="45" t="s">
        <v>129</v>
      </c>
      <c r="H9" s="34">
        <v>28010761</v>
      </c>
      <c r="I9" s="45" t="s">
        <v>337</v>
      </c>
      <c r="J9" s="34" t="s">
        <v>69</v>
      </c>
      <c r="K9" s="26" t="s">
        <v>59</v>
      </c>
      <c r="L9" s="26" t="s">
        <v>60</v>
      </c>
    </row>
    <row r="10" spans="1:12">
      <c r="A10" s="26" t="s">
        <v>53</v>
      </c>
      <c r="B10" s="26" t="s">
        <v>31</v>
      </c>
      <c r="C10" s="26" t="s">
        <v>75</v>
      </c>
      <c r="D10" s="26" t="s">
        <v>10</v>
      </c>
      <c r="E10" s="30" t="s">
        <v>72</v>
      </c>
      <c r="F10" s="30">
        <v>902183</v>
      </c>
      <c r="G10" s="45" t="s">
        <v>131</v>
      </c>
      <c r="H10" s="34">
        <v>28010762</v>
      </c>
      <c r="I10" s="45" t="s">
        <v>966</v>
      </c>
      <c r="J10" s="34" t="s">
        <v>99</v>
      </c>
      <c r="K10" s="26" t="s">
        <v>59</v>
      </c>
      <c r="L10" s="26" t="s">
        <v>60</v>
      </c>
    </row>
    <row r="11" spans="1:12">
      <c r="A11" s="26" t="s">
        <v>53</v>
      </c>
      <c r="B11" s="26" t="s">
        <v>31</v>
      </c>
      <c r="C11" s="26" t="s">
        <v>75</v>
      </c>
      <c r="D11" s="26" t="s">
        <v>12</v>
      </c>
      <c r="E11" s="30" t="s">
        <v>72</v>
      </c>
      <c r="F11" s="30">
        <v>902184</v>
      </c>
      <c r="G11" s="45" t="s">
        <v>133</v>
      </c>
      <c r="H11" s="34"/>
      <c r="I11" s="45"/>
      <c r="J11" s="34"/>
      <c r="K11" s="26"/>
      <c r="L11" s="26" t="s">
        <v>63</v>
      </c>
    </row>
    <row r="12" spans="1:12">
      <c r="A12" s="26" t="s">
        <v>53</v>
      </c>
      <c r="B12" s="26" t="s">
        <v>31</v>
      </c>
      <c r="C12" s="26" t="s">
        <v>75</v>
      </c>
      <c r="D12" s="26" t="s">
        <v>10</v>
      </c>
      <c r="E12" s="30" t="s">
        <v>72</v>
      </c>
      <c r="F12" s="30">
        <v>902185</v>
      </c>
      <c r="G12" s="45" t="s">
        <v>120</v>
      </c>
      <c r="H12" s="34">
        <v>28010763</v>
      </c>
      <c r="I12" s="45" t="s">
        <v>967</v>
      </c>
      <c r="J12" s="34" t="s">
        <v>56</v>
      </c>
      <c r="K12" s="26" t="s">
        <v>59</v>
      </c>
      <c r="L12" s="26" t="s">
        <v>60</v>
      </c>
    </row>
    <row r="13" spans="1:12">
      <c r="A13" s="26" t="s">
        <v>53</v>
      </c>
      <c r="B13" s="26" t="s">
        <v>31</v>
      </c>
      <c r="C13" s="26" t="s">
        <v>75</v>
      </c>
      <c r="D13" s="26" t="s">
        <v>12</v>
      </c>
      <c r="E13" s="30" t="s">
        <v>72</v>
      </c>
      <c r="F13" s="30">
        <v>902186</v>
      </c>
      <c r="G13" s="45" t="s">
        <v>135</v>
      </c>
      <c r="H13" s="34">
        <v>28010764</v>
      </c>
      <c r="I13" s="45" t="s">
        <v>968</v>
      </c>
      <c r="J13" s="34" t="s">
        <v>210</v>
      </c>
      <c r="K13" s="26" t="s">
        <v>59</v>
      </c>
      <c r="L13" s="26" t="s">
        <v>60</v>
      </c>
    </row>
    <row r="14" spans="1:12">
      <c r="A14" s="26" t="s">
        <v>53</v>
      </c>
      <c r="B14" s="26" t="s">
        <v>31</v>
      </c>
      <c r="C14" s="26" t="s">
        <v>75</v>
      </c>
      <c r="D14" s="26" t="s">
        <v>10</v>
      </c>
      <c r="E14" s="30" t="s">
        <v>72</v>
      </c>
      <c r="F14" s="30">
        <v>902187</v>
      </c>
      <c r="G14" s="45" t="s">
        <v>137</v>
      </c>
      <c r="H14" s="34">
        <v>28010765</v>
      </c>
      <c r="I14" s="45" t="s">
        <v>969</v>
      </c>
      <c r="J14" s="34" t="s">
        <v>56</v>
      </c>
      <c r="K14" s="26" t="s">
        <v>59</v>
      </c>
      <c r="L14" s="26" t="s">
        <v>60</v>
      </c>
    </row>
    <row r="15" spans="1:12">
      <c r="A15" s="26" t="s">
        <v>53</v>
      </c>
      <c r="B15" s="26" t="s">
        <v>31</v>
      </c>
      <c r="C15" s="26" t="s">
        <v>75</v>
      </c>
      <c r="D15" s="26" t="s">
        <v>13</v>
      </c>
      <c r="E15" s="30" t="s">
        <v>72</v>
      </c>
      <c r="F15" s="30">
        <v>902188</v>
      </c>
      <c r="G15" s="45" t="s">
        <v>139</v>
      </c>
      <c r="H15" s="34"/>
      <c r="I15" s="45"/>
      <c r="J15" s="34"/>
      <c r="K15" s="26"/>
      <c r="L15" s="26" t="s">
        <v>63</v>
      </c>
    </row>
    <row r="16" spans="1:12">
      <c r="A16" s="26" t="s">
        <v>53</v>
      </c>
      <c r="B16" s="26" t="s">
        <v>31</v>
      </c>
      <c r="C16" s="26" t="s">
        <v>75</v>
      </c>
      <c r="D16" s="26" t="s">
        <v>28</v>
      </c>
      <c r="E16" s="30" t="s">
        <v>72</v>
      </c>
      <c r="F16" s="30">
        <v>902189</v>
      </c>
      <c r="G16" s="45" t="s">
        <v>120</v>
      </c>
      <c r="H16" s="34">
        <v>28010766</v>
      </c>
      <c r="I16" s="45" t="s">
        <v>970</v>
      </c>
      <c r="J16" s="34" t="s">
        <v>210</v>
      </c>
      <c r="K16" s="26" t="s">
        <v>59</v>
      </c>
      <c r="L16" s="26" t="s">
        <v>60</v>
      </c>
    </row>
    <row r="17" spans="1:12">
      <c r="A17" s="26" t="s">
        <v>53</v>
      </c>
      <c r="B17" s="26" t="s">
        <v>31</v>
      </c>
      <c r="C17" s="26" t="s">
        <v>75</v>
      </c>
      <c r="D17" s="26" t="s">
        <v>10</v>
      </c>
      <c r="E17" s="30" t="s">
        <v>72</v>
      </c>
      <c r="F17" s="30">
        <v>902190</v>
      </c>
      <c r="G17" s="45" t="s">
        <v>120</v>
      </c>
      <c r="H17" s="34">
        <v>28010767</v>
      </c>
      <c r="I17" s="45" t="s">
        <v>971</v>
      </c>
      <c r="J17" s="34" t="s">
        <v>128</v>
      </c>
      <c r="K17" s="26" t="s">
        <v>59</v>
      </c>
      <c r="L17" s="26" t="s">
        <v>60</v>
      </c>
    </row>
    <row r="18" spans="1:12">
      <c r="A18" s="26" t="s">
        <v>53</v>
      </c>
      <c r="B18" s="26" t="s">
        <v>31</v>
      </c>
      <c r="C18" s="26" t="s">
        <v>75</v>
      </c>
      <c r="D18" s="26" t="s">
        <v>10</v>
      </c>
      <c r="E18" s="30" t="s">
        <v>72</v>
      </c>
      <c r="F18" s="30">
        <v>902191</v>
      </c>
      <c r="G18" s="45" t="s">
        <v>141</v>
      </c>
      <c r="H18" s="34">
        <v>28010768</v>
      </c>
      <c r="I18" s="45" t="s">
        <v>972</v>
      </c>
      <c r="J18" s="34" t="s">
        <v>56</v>
      </c>
      <c r="K18" s="26" t="s">
        <v>59</v>
      </c>
      <c r="L18" s="26" t="s">
        <v>60</v>
      </c>
    </row>
    <row r="19" spans="1:12">
      <c r="A19" s="26" t="s">
        <v>53</v>
      </c>
      <c r="B19" s="26" t="s">
        <v>31</v>
      </c>
      <c r="C19" s="26" t="s">
        <v>75</v>
      </c>
      <c r="D19" s="26" t="s">
        <v>12</v>
      </c>
      <c r="E19" s="30" t="s">
        <v>72</v>
      </c>
      <c r="F19" s="30">
        <v>902192</v>
      </c>
      <c r="G19" s="45" t="s">
        <v>142</v>
      </c>
      <c r="H19" s="34">
        <v>28010769</v>
      </c>
      <c r="I19" s="45" t="s">
        <v>973</v>
      </c>
      <c r="J19" s="34" t="s">
        <v>56</v>
      </c>
      <c r="K19" s="26" t="s">
        <v>59</v>
      </c>
      <c r="L19" s="26" t="s">
        <v>60</v>
      </c>
    </row>
    <row r="20" spans="1:12">
      <c r="A20" s="26" t="s">
        <v>53</v>
      </c>
      <c r="B20" s="26" t="s">
        <v>31</v>
      </c>
      <c r="C20" s="26" t="s">
        <v>75</v>
      </c>
      <c r="D20" s="26" t="s">
        <v>10</v>
      </c>
      <c r="E20" s="30" t="s">
        <v>72</v>
      </c>
      <c r="F20" s="30">
        <v>902193</v>
      </c>
      <c r="G20" s="45" t="s">
        <v>144</v>
      </c>
      <c r="H20" s="34">
        <v>28010770</v>
      </c>
      <c r="I20" s="45" t="s">
        <v>974</v>
      </c>
      <c r="J20" s="34" t="s">
        <v>56</v>
      </c>
      <c r="K20" s="26" t="s">
        <v>59</v>
      </c>
      <c r="L20" s="26" t="s">
        <v>60</v>
      </c>
    </row>
    <row r="21" spans="1:12">
      <c r="A21" s="26" t="s">
        <v>53</v>
      </c>
      <c r="B21" s="26" t="s">
        <v>31</v>
      </c>
      <c r="C21" s="26" t="s">
        <v>75</v>
      </c>
      <c r="D21" s="26" t="s">
        <v>13</v>
      </c>
      <c r="E21" s="30" t="s">
        <v>56</v>
      </c>
      <c r="F21" s="30">
        <v>902194</v>
      </c>
      <c r="G21" s="45" t="s">
        <v>146</v>
      </c>
      <c r="H21" s="34">
        <v>28010771</v>
      </c>
      <c r="I21" s="45" t="s">
        <v>975</v>
      </c>
      <c r="J21" s="34" t="s">
        <v>128</v>
      </c>
      <c r="K21" s="26" t="s">
        <v>59</v>
      </c>
      <c r="L21" s="26" t="s">
        <v>60</v>
      </c>
    </row>
    <row r="22" spans="1:12">
      <c r="A22" s="26" t="s">
        <v>53</v>
      </c>
      <c r="B22" s="26" t="s">
        <v>30</v>
      </c>
      <c r="C22" s="26" t="s">
        <v>75</v>
      </c>
      <c r="D22" s="26" t="s">
        <v>28</v>
      </c>
      <c r="E22" s="30" t="s">
        <v>72</v>
      </c>
      <c r="F22" s="30">
        <v>902195</v>
      </c>
      <c r="G22" s="45" t="s">
        <v>148</v>
      </c>
      <c r="H22" s="34">
        <v>28010772</v>
      </c>
      <c r="I22" s="45" t="s">
        <v>976</v>
      </c>
      <c r="J22" s="34" t="s">
        <v>99</v>
      </c>
      <c r="K22" s="26" t="s">
        <v>59</v>
      </c>
      <c r="L22" s="26" t="s">
        <v>60</v>
      </c>
    </row>
    <row r="23" spans="1:12">
      <c r="A23" s="26" t="s">
        <v>53</v>
      </c>
      <c r="B23" s="26" t="s">
        <v>31</v>
      </c>
      <c r="C23" s="26" t="s">
        <v>75</v>
      </c>
      <c r="D23" s="26" t="s">
        <v>12</v>
      </c>
      <c r="E23" s="30" t="s">
        <v>72</v>
      </c>
      <c r="F23" s="30">
        <v>902196</v>
      </c>
      <c r="G23" s="45" t="s">
        <v>151</v>
      </c>
      <c r="H23" s="34">
        <v>28010773</v>
      </c>
      <c r="I23" s="45" t="s">
        <v>977</v>
      </c>
      <c r="J23" s="34" t="s">
        <v>128</v>
      </c>
      <c r="K23" s="26" t="s">
        <v>59</v>
      </c>
      <c r="L23" s="26" t="s">
        <v>60</v>
      </c>
    </row>
    <row r="24" spans="1:12">
      <c r="A24" s="26" t="s">
        <v>53</v>
      </c>
      <c r="B24" s="26" t="s">
        <v>31</v>
      </c>
      <c r="C24" s="26" t="s">
        <v>75</v>
      </c>
      <c r="D24" s="26" t="s">
        <v>12</v>
      </c>
      <c r="E24" s="30" t="s">
        <v>128</v>
      </c>
      <c r="F24" s="30">
        <v>902197</v>
      </c>
      <c r="G24" s="45" t="s">
        <v>153</v>
      </c>
      <c r="H24" s="34">
        <v>28010774</v>
      </c>
      <c r="I24" s="45" t="s">
        <v>978</v>
      </c>
      <c r="J24" s="34" t="s">
        <v>69</v>
      </c>
      <c r="K24" s="26" t="s">
        <v>59</v>
      </c>
      <c r="L24" s="26" t="s">
        <v>60</v>
      </c>
    </row>
    <row r="25" spans="1:12">
      <c r="A25" s="26" t="s">
        <v>53</v>
      </c>
      <c r="B25" s="26" t="s">
        <v>30</v>
      </c>
      <c r="C25" s="26" t="s">
        <v>75</v>
      </c>
      <c r="D25" s="26" t="s">
        <v>28</v>
      </c>
      <c r="E25" s="30" t="s">
        <v>128</v>
      </c>
      <c r="F25" s="30">
        <v>902198</v>
      </c>
      <c r="G25" s="45" t="s">
        <v>157</v>
      </c>
      <c r="H25" s="34">
        <v>28010775</v>
      </c>
      <c r="I25" s="45" t="s">
        <v>979</v>
      </c>
      <c r="J25" s="34" t="s">
        <v>128</v>
      </c>
      <c r="K25" s="26" t="s">
        <v>59</v>
      </c>
      <c r="L25" s="26" t="s">
        <v>60</v>
      </c>
    </row>
    <row r="26" spans="1:12">
      <c r="A26" s="26" t="s">
        <v>53</v>
      </c>
      <c r="B26" s="26" t="s">
        <v>31</v>
      </c>
      <c r="C26" s="26" t="s">
        <v>75</v>
      </c>
      <c r="D26" s="26" t="s">
        <v>14</v>
      </c>
      <c r="E26" s="30" t="s">
        <v>56</v>
      </c>
      <c r="F26" s="30">
        <v>902199</v>
      </c>
      <c r="G26" s="45" t="s">
        <v>160</v>
      </c>
      <c r="H26" s="34">
        <v>28010776</v>
      </c>
      <c r="I26" s="45" t="s">
        <v>980</v>
      </c>
      <c r="J26" s="34" t="s">
        <v>981</v>
      </c>
      <c r="K26" s="26" t="s">
        <v>59</v>
      </c>
      <c r="L26" s="26" t="s">
        <v>60</v>
      </c>
    </row>
    <row r="27" spans="1:12">
      <c r="A27" s="26" t="s">
        <v>53</v>
      </c>
      <c r="B27" s="26" t="s">
        <v>31</v>
      </c>
      <c r="C27" s="26" t="s">
        <v>75</v>
      </c>
      <c r="D27" s="26" t="s">
        <v>10</v>
      </c>
      <c r="E27" s="30" t="s">
        <v>56</v>
      </c>
      <c r="F27" s="30">
        <v>902200</v>
      </c>
      <c r="G27" s="45" t="s">
        <v>162</v>
      </c>
      <c r="H27" s="34">
        <v>28010777</v>
      </c>
      <c r="I27" s="45" t="s">
        <v>982</v>
      </c>
      <c r="J27" s="34" t="s">
        <v>128</v>
      </c>
      <c r="K27" s="26" t="s">
        <v>59</v>
      </c>
      <c r="L27" s="26" t="s">
        <v>60</v>
      </c>
    </row>
    <row r="28" spans="1:12">
      <c r="A28" s="26" t="s">
        <v>53</v>
      </c>
      <c r="B28" s="26" t="s">
        <v>31</v>
      </c>
      <c r="C28" s="26" t="s">
        <v>75</v>
      </c>
      <c r="D28" s="26" t="s">
        <v>10</v>
      </c>
      <c r="E28" s="30" t="s">
        <v>72</v>
      </c>
      <c r="F28" s="30">
        <v>902201</v>
      </c>
      <c r="G28" s="45" t="s">
        <v>120</v>
      </c>
      <c r="H28" s="34">
        <v>28010778</v>
      </c>
      <c r="I28" s="45" t="s">
        <v>983</v>
      </c>
      <c r="J28" s="34" t="s">
        <v>128</v>
      </c>
      <c r="K28" s="26" t="s">
        <v>59</v>
      </c>
      <c r="L28" s="26" t="s">
        <v>60</v>
      </c>
    </row>
    <row r="29" spans="1:12">
      <c r="A29" s="26" t="s">
        <v>53</v>
      </c>
      <c r="B29" s="26" t="s">
        <v>31</v>
      </c>
      <c r="C29" s="26" t="s">
        <v>75</v>
      </c>
      <c r="D29" s="26" t="s">
        <v>14</v>
      </c>
      <c r="E29" s="30" t="s">
        <v>72</v>
      </c>
      <c r="F29" s="30">
        <v>902202</v>
      </c>
      <c r="G29" s="45" t="s">
        <v>165</v>
      </c>
      <c r="H29" s="34">
        <v>28010779</v>
      </c>
      <c r="I29" s="45" t="s">
        <v>984</v>
      </c>
      <c r="J29" s="34" t="s">
        <v>56</v>
      </c>
      <c r="K29" s="26" t="s">
        <v>59</v>
      </c>
      <c r="L29" s="26" t="s">
        <v>60</v>
      </c>
    </row>
    <row r="30" spans="1:12">
      <c r="A30" s="26" t="s">
        <v>53</v>
      </c>
      <c r="B30" s="26" t="s">
        <v>31</v>
      </c>
      <c r="C30" s="26" t="s">
        <v>75</v>
      </c>
      <c r="D30" s="26" t="s">
        <v>10</v>
      </c>
      <c r="E30" s="30" t="s">
        <v>128</v>
      </c>
      <c r="F30" s="30">
        <v>90002203</v>
      </c>
      <c r="G30" s="45" t="s">
        <v>166</v>
      </c>
      <c r="H30" s="34">
        <v>28010780</v>
      </c>
      <c r="I30" s="45" t="s">
        <v>985</v>
      </c>
      <c r="J30" s="34" t="s">
        <v>210</v>
      </c>
      <c r="K30" s="26" t="s">
        <v>59</v>
      </c>
      <c r="L30" s="26" t="s">
        <v>60</v>
      </c>
    </row>
    <row r="31" spans="1:12">
      <c r="A31" s="26" t="s">
        <v>53</v>
      </c>
      <c r="B31" s="26" t="s">
        <v>31</v>
      </c>
      <c r="C31" s="26" t="s">
        <v>75</v>
      </c>
      <c r="D31" s="26" t="s">
        <v>10</v>
      </c>
      <c r="E31" s="30" t="s">
        <v>56</v>
      </c>
      <c r="F31" s="30">
        <v>902204</v>
      </c>
      <c r="G31" s="45" t="s">
        <v>168</v>
      </c>
      <c r="H31" s="34">
        <v>28010781</v>
      </c>
      <c r="I31" s="45" t="s">
        <v>986</v>
      </c>
      <c r="J31" s="34" t="s">
        <v>56</v>
      </c>
      <c r="K31" s="26" t="s">
        <v>59</v>
      </c>
      <c r="L31" s="26" t="s">
        <v>60</v>
      </c>
    </row>
    <row r="32" spans="1:12">
      <c r="A32" s="26" t="s">
        <v>53</v>
      </c>
      <c r="B32" s="26" t="s">
        <v>31</v>
      </c>
      <c r="C32" s="26" t="s">
        <v>75</v>
      </c>
      <c r="D32" s="26" t="s">
        <v>12</v>
      </c>
      <c r="E32" s="30" t="s">
        <v>56</v>
      </c>
      <c r="F32" s="30">
        <v>902205</v>
      </c>
      <c r="G32" s="45" t="s">
        <v>170</v>
      </c>
      <c r="H32" s="34">
        <v>28010782</v>
      </c>
      <c r="I32" s="45" t="s">
        <v>987</v>
      </c>
      <c r="J32" s="34" t="s">
        <v>56</v>
      </c>
      <c r="K32" s="26" t="s">
        <v>59</v>
      </c>
      <c r="L32" s="26" t="s">
        <v>60</v>
      </c>
    </row>
    <row r="33" spans="1:12">
      <c r="A33" s="26" t="s">
        <v>53</v>
      </c>
      <c r="B33" s="26" t="s">
        <v>31</v>
      </c>
      <c r="C33" s="26" t="s">
        <v>75</v>
      </c>
      <c r="D33" s="26" t="s">
        <v>28</v>
      </c>
      <c r="E33" s="30" t="s">
        <v>99</v>
      </c>
      <c r="F33" s="30">
        <v>902206</v>
      </c>
      <c r="G33" s="45" t="s">
        <v>172</v>
      </c>
      <c r="H33" s="34"/>
      <c r="I33" s="45"/>
      <c r="J33" s="34"/>
      <c r="K33" s="26"/>
      <c r="L33" s="26" t="s">
        <v>63</v>
      </c>
    </row>
    <row r="34" spans="1:12">
      <c r="A34" s="26" t="s">
        <v>53</v>
      </c>
      <c r="B34" s="26" t="s">
        <v>31</v>
      </c>
      <c r="C34" s="26" t="s">
        <v>75</v>
      </c>
      <c r="D34" s="26" t="s">
        <v>10</v>
      </c>
      <c r="E34" s="30" t="s">
        <v>128</v>
      </c>
      <c r="F34" s="30">
        <v>902207</v>
      </c>
      <c r="G34" s="45" t="s">
        <v>141</v>
      </c>
      <c r="H34" s="34">
        <v>28010783</v>
      </c>
      <c r="I34" s="45" t="s">
        <v>988</v>
      </c>
      <c r="J34" s="34" t="s">
        <v>128</v>
      </c>
      <c r="K34" s="26" t="s">
        <v>59</v>
      </c>
      <c r="L34" s="26" t="s">
        <v>60</v>
      </c>
    </row>
    <row r="35" spans="1:12">
      <c r="A35" s="26" t="s">
        <v>53</v>
      </c>
      <c r="B35" s="26" t="s">
        <v>31</v>
      </c>
      <c r="C35" s="26" t="s">
        <v>75</v>
      </c>
      <c r="D35" s="26" t="s">
        <v>12</v>
      </c>
      <c r="E35" s="30" t="s">
        <v>128</v>
      </c>
      <c r="F35" s="30">
        <v>902208</v>
      </c>
      <c r="G35" s="45" t="s">
        <v>174</v>
      </c>
      <c r="H35" s="34">
        <v>28010784</v>
      </c>
      <c r="I35" s="45" t="s">
        <v>989</v>
      </c>
      <c r="J35" s="34" t="s">
        <v>210</v>
      </c>
      <c r="K35" s="26" t="s">
        <v>59</v>
      </c>
      <c r="L35" s="26" t="s">
        <v>60</v>
      </c>
    </row>
    <row r="36" spans="1:12">
      <c r="A36" s="26" t="s">
        <v>53</v>
      </c>
      <c r="B36" s="26" t="s">
        <v>31</v>
      </c>
      <c r="C36" s="26" t="s">
        <v>75</v>
      </c>
      <c r="D36" s="26" t="s">
        <v>13</v>
      </c>
      <c r="E36" s="30" t="s">
        <v>128</v>
      </c>
      <c r="F36" s="30">
        <v>902209</v>
      </c>
      <c r="G36" s="45" t="s">
        <v>176</v>
      </c>
      <c r="H36" s="34">
        <v>28010785</v>
      </c>
      <c r="I36" s="45" t="s">
        <v>990</v>
      </c>
      <c r="J36" s="34" t="s">
        <v>210</v>
      </c>
      <c r="K36" s="26" t="s">
        <v>59</v>
      </c>
      <c r="L36" s="26" t="s">
        <v>60</v>
      </c>
    </row>
    <row r="37" spans="1:12">
      <c r="A37" s="26" t="s">
        <v>53</v>
      </c>
      <c r="B37" s="26" t="s">
        <v>31</v>
      </c>
      <c r="C37" s="26" t="s">
        <v>75</v>
      </c>
      <c r="D37" s="26" t="s">
        <v>12</v>
      </c>
      <c r="E37" s="30" t="s">
        <v>210</v>
      </c>
      <c r="F37" s="30">
        <v>902210</v>
      </c>
      <c r="G37" s="45" t="s">
        <v>178</v>
      </c>
      <c r="H37" s="34">
        <v>28010786</v>
      </c>
      <c r="I37" s="45" t="s">
        <v>991</v>
      </c>
      <c r="J37" s="34" t="s">
        <v>99</v>
      </c>
      <c r="K37" s="26" t="s">
        <v>59</v>
      </c>
      <c r="L37" s="26" t="s">
        <v>60</v>
      </c>
    </row>
    <row r="38" spans="1:12">
      <c r="A38" s="26" t="s">
        <v>53</v>
      </c>
      <c r="B38" s="26" t="s">
        <v>31</v>
      </c>
      <c r="C38" s="26" t="s">
        <v>75</v>
      </c>
      <c r="D38" s="26" t="s">
        <v>10</v>
      </c>
      <c r="E38" s="30" t="s">
        <v>128</v>
      </c>
      <c r="F38" s="30">
        <v>902211</v>
      </c>
      <c r="G38" s="45" t="s">
        <v>179</v>
      </c>
      <c r="H38" s="34">
        <v>28010787</v>
      </c>
      <c r="I38" s="45" t="s">
        <v>992</v>
      </c>
      <c r="J38" s="34" t="s">
        <v>99</v>
      </c>
      <c r="K38" s="26" t="s">
        <v>59</v>
      </c>
      <c r="L38" s="26" t="s">
        <v>60</v>
      </c>
    </row>
    <row r="39" spans="1:12">
      <c r="A39" s="26" t="s">
        <v>53</v>
      </c>
      <c r="B39" s="26" t="s">
        <v>31</v>
      </c>
      <c r="C39" s="26" t="s">
        <v>75</v>
      </c>
      <c r="D39" s="26" t="s">
        <v>12</v>
      </c>
      <c r="E39" s="30" t="s">
        <v>128</v>
      </c>
      <c r="F39" s="30">
        <v>902212</v>
      </c>
      <c r="G39" s="45" t="s">
        <v>181</v>
      </c>
      <c r="H39" s="34">
        <v>28010788</v>
      </c>
      <c r="I39" s="45" t="s">
        <v>993</v>
      </c>
      <c r="J39" s="34" t="s">
        <v>128</v>
      </c>
      <c r="K39" s="26" t="s">
        <v>59</v>
      </c>
      <c r="L39" s="26" t="s">
        <v>60</v>
      </c>
    </row>
    <row r="40" spans="1:12">
      <c r="A40" s="26" t="s">
        <v>53</v>
      </c>
      <c r="B40" s="26" t="s">
        <v>31</v>
      </c>
      <c r="C40" s="26" t="s">
        <v>75</v>
      </c>
      <c r="D40" s="26" t="s">
        <v>13</v>
      </c>
      <c r="E40" s="30" t="s">
        <v>69</v>
      </c>
      <c r="F40" s="30">
        <v>902213</v>
      </c>
      <c r="G40" s="45" t="s">
        <v>120</v>
      </c>
      <c r="H40" s="34">
        <v>28010789</v>
      </c>
      <c r="I40" s="45" t="s">
        <v>994</v>
      </c>
      <c r="J40" s="34" t="s">
        <v>128</v>
      </c>
      <c r="K40" s="26" t="s">
        <v>59</v>
      </c>
      <c r="L40" s="26" t="s">
        <v>60</v>
      </c>
    </row>
    <row r="41" spans="1:12">
      <c r="A41" s="26" t="s">
        <v>53</v>
      </c>
      <c r="B41" s="26" t="s">
        <v>31</v>
      </c>
      <c r="C41" s="26" t="s">
        <v>75</v>
      </c>
      <c r="D41" s="26" t="s">
        <v>10</v>
      </c>
      <c r="E41" s="30" t="s">
        <v>56</v>
      </c>
      <c r="F41" s="30">
        <v>902214</v>
      </c>
      <c r="G41" s="45" t="s">
        <v>183</v>
      </c>
      <c r="H41" s="34">
        <v>28010790</v>
      </c>
      <c r="I41" s="45" t="s">
        <v>995</v>
      </c>
      <c r="J41" s="34" t="s">
        <v>210</v>
      </c>
      <c r="K41" s="26" t="s">
        <v>59</v>
      </c>
      <c r="L41" s="26" t="s">
        <v>60</v>
      </c>
    </row>
    <row r="42" spans="1:12">
      <c r="A42" s="26" t="s">
        <v>53</v>
      </c>
      <c r="B42" s="26" t="s">
        <v>31</v>
      </c>
      <c r="C42" s="26" t="s">
        <v>75</v>
      </c>
      <c r="D42" s="26" t="s">
        <v>10</v>
      </c>
      <c r="E42" s="30" t="s">
        <v>128</v>
      </c>
      <c r="F42" s="30">
        <v>902215</v>
      </c>
      <c r="G42" s="45" t="s">
        <v>120</v>
      </c>
      <c r="H42" s="34">
        <v>28010791</v>
      </c>
      <c r="I42" s="45" t="s">
        <v>996</v>
      </c>
      <c r="J42" s="34" t="s">
        <v>99</v>
      </c>
      <c r="K42" s="26" t="s">
        <v>59</v>
      </c>
      <c r="L42" s="26" t="s">
        <v>60</v>
      </c>
    </row>
    <row r="43" spans="1:12">
      <c r="A43" s="26" t="s">
        <v>53</v>
      </c>
      <c r="B43" s="26" t="s">
        <v>31</v>
      </c>
      <c r="C43" s="26" t="s">
        <v>75</v>
      </c>
      <c r="D43" s="26" t="s">
        <v>10</v>
      </c>
      <c r="E43" s="30" t="s">
        <v>56</v>
      </c>
      <c r="F43" s="30">
        <v>902216</v>
      </c>
      <c r="G43" s="45" t="s">
        <v>111</v>
      </c>
      <c r="H43" s="34">
        <v>28010792</v>
      </c>
      <c r="I43" s="45" t="s">
        <v>997</v>
      </c>
      <c r="J43" s="34" t="s">
        <v>56</v>
      </c>
      <c r="K43" s="26" t="s">
        <v>59</v>
      </c>
      <c r="L43" s="26" t="s">
        <v>60</v>
      </c>
    </row>
    <row r="44" spans="1:12">
      <c r="A44" s="26" t="s">
        <v>53</v>
      </c>
      <c r="B44" s="26" t="s">
        <v>31</v>
      </c>
      <c r="C44" s="26" t="s">
        <v>75</v>
      </c>
      <c r="D44" s="26" t="s">
        <v>10</v>
      </c>
      <c r="E44" s="30" t="s">
        <v>99</v>
      </c>
      <c r="F44" s="30">
        <v>902217</v>
      </c>
      <c r="G44" s="45" t="s">
        <v>186</v>
      </c>
      <c r="H44" s="34">
        <v>28010793</v>
      </c>
      <c r="I44" s="45" t="s">
        <v>998</v>
      </c>
      <c r="J44" s="34" t="s">
        <v>99</v>
      </c>
      <c r="K44" s="26" t="s">
        <v>59</v>
      </c>
      <c r="L44" s="26" t="s">
        <v>60</v>
      </c>
    </row>
    <row r="45" spans="1:12">
      <c r="A45" s="26" t="s">
        <v>53</v>
      </c>
      <c r="B45" s="26" t="s">
        <v>31</v>
      </c>
      <c r="C45" s="26" t="s">
        <v>75</v>
      </c>
      <c r="D45" s="26" t="s">
        <v>10</v>
      </c>
      <c r="E45" s="30" t="s">
        <v>56</v>
      </c>
      <c r="F45" s="30">
        <v>902218</v>
      </c>
      <c r="G45" s="45" t="s">
        <v>188</v>
      </c>
      <c r="H45" s="34">
        <v>28010794</v>
      </c>
      <c r="I45" s="45" t="s">
        <v>999</v>
      </c>
      <c r="J45" s="34" t="s">
        <v>56</v>
      </c>
      <c r="K45" s="26" t="s">
        <v>59</v>
      </c>
      <c r="L45" s="26" t="s">
        <v>60</v>
      </c>
    </row>
    <row r="46" spans="1:12">
      <c r="A46" s="26" t="s">
        <v>53</v>
      </c>
      <c r="B46" s="26" t="s">
        <v>31</v>
      </c>
      <c r="C46" s="26" t="s">
        <v>75</v>
      </c>
      <c r="D46" s="26" t="s">
        <v>11</v>
      </c>
      <c r="E46" s="30" t="s">
        <v>210</v>
      </c>
      <c r="F46" s="30">
        <v>902219</v>
      </c>
      <c r="G46" s="45" t="s">
        <v>190</v>
      </c>
      <c r="H46" s="34">
        <v>28010795</v>
      </c>
      <c r="I46" s="45" t="s">
        <v>1000</v>
      </c>
      <c r="J46" s="34" t="s">
        <v>56</v>
      </c>
      <c r="K46" s="26" t="s">
        <v>59</v>
      </c>
      <c r="L46" s="26" t="s">
        <v>60</v>
      </c>
    </row>
    <row r="47" spans="1:12">
      <c r="A47" s="26" t="s">
        <v>53</v>
      </c>
      <c r="B47" s="26" t="s">
        <v>30</v>
      </c>
      <c r="C47" s="26" t="s">
        <v>75</v>
      </c>
      <c r="D47" s="26" t="s">
        <v>28</v>
      </c>
      <c r="E47" s="30" t="s">
        <v>99</v>
      </c>
      <c r="F47" s="30">
        <v>902220</v>
      </c>
      <c r="G47" s="45" t="s">
        <v>193</v>
      </c>
      <c r="H47" s="34">
        <v>28010796</v>
      </c>
      <c r="I47" s="45" t="s">
        <v>1001</v>
      </c>
      <c r="J47" s="34" t="s">
        <v>56</v>
      </c>
      <c r="K47" s="26" t="s">
        <v>59</v>
      </c>
      <c r="L47" s="26" t="s">
        <v>60</v>
      </c>
    </row>
    <row r="48" spans="1:12">
      <c r="A48" s="26" t="s">
        <v>53</v>
      </c>
      <c r="B48" s="26" t="s">
        <v>30</v>
      </c>
      <c r="C48" s="26" t="s">
        <v>75</v>
      </c>
      <c r="D48" s="26" t="s">
        <v>28</v>
      </c>
      <c r="E48" s="30" t="s">
        <v>72</v>
      </c>
      <c r="F48" s="30">
        <v>902221</v>
      </c>
      <c r="G48" s="45" t="s">
        <v>193</v>
      </c>
      <c r="H48" s="34">
        <v>28010797</v>
      </c>
      <c r="I48" s="45" t="s">
        <v>1002</v>
      </c>
      <c r="J48" s="34" t="s">
        <v>56</v>
      </c>
      <c r="K48" s="26" t="s">
        <v>59</v>
      </c>
      <c r="L48" s="26" t="s">
        <v>60</v>
      </c>
    </row>
    <row r="49" spans="1:12">
      <c r="A49" s="26" t="s">
        <v>53</v>
      </c>
      <c r="B49" s="26" t="s">
        <v>30</v>
      </c>
      <c r="C49" s="26" t="s">
        <v>75</v>
      </c>
      <c r="D49" s="26" t="s">
        <v>28</v>
      </c>
      <c r="E49" s="30" t="s">
        <v>56</v>
      </c>
      <c r="F49" s="30">
        <v>902222</v>
      </c>
      <c r="G49" s="45" t="s">
        <v>195</v>
      </c>
      <c r="H49" s="34"/>
      <c r="I49" s="45"/>
      <c r="J49" s="34"/>
      <c r="K49" s="26"/>
      <c r="L49" s="26" t="s">
        <v>63</v>
      </c>
    </row>
    <row r="50" spans="1:12">
      <c r="A50" s="26" t="s">
        <v>53</v>
      </c>
      <c r="B50" s="26" t="s">
        <v>31</v>
      </c>
      <c r="C50" s="26" t="s">
        <v>75</v>
      </c>
      <c r="D50" s="26" t="s">
        <v>13</v>
      </c>
      <c r="E50" s="30" t="s">
        <v>56</v>
      </c>
      <c r="F50" s="30">
        <v>90002223</v>
      </c>
      <c r="G50" s="45" t="s">
        <v>197</v>
      </c>
      <c r="H50" s="34">
        <v>28010798</v>
      </c>
      <c r="I50" s="45" t="s">
        <v>1003</v>
      </c>
      <c r="J50" s="34" t="s">
        <v>128</v>
      </c>
      <c r="K50" s="26" t="s">
        <v>59</v>
      </c>
      <c r="L50" s="26" t="s">
        <v>60</v>
      </c>
    </row>
    <row r="51" spans="1:12">
      <c r="A51" s="26" t="s">
        <v>53</v>
      </c>
      <c r="B51" s="26" t="s">
        <v>30</v>
      </c>
      <c r="C51" s="26" t="s">
        <v>75</v>
      </c>
      <c r="D51" s="26" t="s">
        <v>13</v>
      </c>
      <c r="E51" s="30" t="s">
        <v>210</v>
      </c>
      <c r="F51" s="30">
        <v>90002224</v>
      </c>
      <c r="G51" s="45" t="s">
        <v>199</v>
      </c>
      <c r="H51" s="34">
        <v>28010799</v>
      </c>
      <c r="I51" s="45" t="s">
        <v>1004</v>
      </c>
      <c r="J51" s="34" t="s">
        <v>128</v>
      </c>
      <c r="K51" s="26" t="s">
        <v>59</v>
      </c>
      <c r="L51" s="26" t="s">
        <v>60</v>
      </c>
    </row>
    <row r="52" spans="1:12">
      <c r="A52" s="26" t="s">
        <v>53</v>
      </c>
      <c r="B52" s="26" t="s">
        <v>30</v>
      </c>
      <c r="C52" s="26" t="s">
        <v>75</v>
      </c>
      <c r="D52" s="26" t="s">
        <v>28</v>
      </c>
      <c r="E52" s="30" t="s">
        <v>72</v>
      </c>
      <c r="F52" s="30">
        <v>90002225</v>
      </c>
      <c r="G52" s="45" t="s">
        <v>157</v>
      </c>
      <c r="H52" s="34">
        <v>28010800</v>
      </c>
      <c r="I52" s="45" t="s">
        <v>1005</v>
      </c>
      <c r="J52" s="34" t="s">
        <v>210</v>
      </c>
      <c r="K52" s="26" t="s">
        <v>59</v>
      </c>
      <c r="L52" s="26" t="s">
        <v>60</v>
      </c>
    </row>
    <row r="53" spans="1:12">
      <c r="A53" s="26" t="s">
        <v>53</v>
      </c>
      <c r="B53" s="26" t="s">
        <v>30</v>
      </c>
      <c r="C53" s="26" t="s">
        <v>75</v>
      </c>
      <c r="D53" s="26" t="s">
        <v>28</v>
      </c>
      <c r="E53" s="30" t="s">
        <v>56</v>
      </c>
      <c r="F53" s="30">
        <v>902226</v>
      </c>
      <c r="G53" s="45" t="s">
        <v>193</v>
      </c>
      <c r="H53" s="34">
        <v>28010801</v>
      </c>
      <c r="I53" s="45" t="s">
        <v>1006</v>
      </c>
      <c r="J53" s="34" t="s">
        <v>56</v>
      </c>
      <c r="K53" s="26" t="s">
        <v>59</v>
      </c>
      <c r="L53" s="26" t="s">
        <v>60</v>
      </c>
    </row>
    <row r="54" spans="1:12">
      <c r="A54" s="26" t="s">
        <v>53</v>
      </c>
      <c r="B54" s="26" t="s">
        <v>31</v>
      </c>
      <c r="C54" s="26" t="s">
        <v>75</v>
      </c>
      <c r="D54" s="26" t="s">
        <v>10</v>
      </c>
      <c r="E54" s="30" t="s">
        <v>72</v>
      </c>
      <c r="F54" s="30">
        <v>902227</v>
      </c>
      <c r="G54" s="45" t="s">
        <v>199</v>
      </c>
      <c r="H54" s="34">
        <v>28010802</v>
      </c>
      <c r="I54" s="45" t="s">
        <v>1007</v>
      </c>
      <c r="J54" s="34" t="s">
        <v>128</v>
      </c>
      <c r="K54" s="26" t="s">
        <v>59</v>
      </c>
      <c r="L54" s="26" t="s">
        <v>60</v>
      </c>
    </row>
    <row r="55" spans="1:12">
      <c r="A55" s="26" t="s">
        <v>53</v>
      </c>
      <c r="B55" s="26" t="s">
        <v>31</v>
      </c>
      <c r="C55" s="26" t="s">
        <v>75</v>
      </c>
      <c r="D55" s="26" t="s">
        <v>11</v>
      </c>
      <c r="E55" s="30" t="s">
        <v>56</v>
      </c>
      <c r="F55" s="30">
        <v>902228</v>
      </c>
      <c r="G55" s="45" t="s">
        <v>201</v>
      </c>
      <c r="H55" s="34">
        <v>28010803</v>
      </c>
      <c r="I55" s="45" t="s">
        <v>1008</v>
      </c>
      <c r="J55" s="34" t="s">
        <v>109</v>
      </c>
      <c r="K55" s="26" t="s">
        <v>59</v>
      </c>
      <c r="L55" s="26" t="s">
        <v>60</v>
      </c>
    </row>
    <row r="56" spans="1:12">
      <c r="A56" s="26" t="s">
        <v>53</v>
      </c>
      <c r="B56" s="26" t="s">
        <v>29</v>
      </c>
      <c r="C56" s="26" t="s">
        <v>75</v>
      </c>
      <c r="D56" s="26" t="s">
        <v>21</v>
      </c>
      <c r="E56" s="30" t="s">
        <v>72</v>
      </c>
      <c r="F56" s="30">
        <v>902229</v>
      </c>
      <c r="G56" s="45" t="s">
        <v>201</v>
      </c>
      <c r="H56" s="34">
        <v>28010804</v>
      </c>
      <c r="I56" s="45" t="s">
        <v>1009</v>
      </c>
      <c r="J56" s="34" t="s">
        <v>109</v>
      </c>
      <c r="K56" s="26" t="s">
        <v>59</v>
      </c>
      <c r="L56" s="26" t="s">
        <v>60</v>
      </c>
    </row>
    <row r="57" spans="1:12">
      <c r="A57" s="26" t="s">
        <v>53</v>
      </c>
      <c r="B57" s="26" t="s">
        <v>29</v>
      </c>
      <c r="C57" s="26" t="s">
        <v>75</v>
      </c>
      <c r="D57" s="26" t="s">
        <v>21</v>
      </c>
      <c r="E57" s="30" t="s">
        <v>99</v>
      </c>
      <c r="F57" s="30">
        <v>902230</v>
      </c>
      <c r="G57" s="45" t="s">
        <v>201</v>
      </c>
      <c r="H57" s="34">
        <v>28010805</v>
      </c>
      <c r="I57" s="45" t="s">
        <v>1010</v>
      </c>
      <c r="J57" s="34" t="s">
        <v>109</v>
      </c>
      <c r="K57" s="26" t="s">
        <v>59</v>
      </c>
      <c r="L57" s="26" t="s">
        <v>60</v>
      </c>
    </row>
    <row r="58" spans="1:12">
      <c r="A58" s="26" t="s">
        <v>53</v>
      </c>
      <c r="B58" s="26" t="s">
        <v>29</v>
      </c>
      <c r="C58" s="26" t="s">
        <v>75</v>
      </c>
      <c r="D58" s="26" t="s">
        <v>21</v>
      </c>
      <c r="E58" s="30" t="s">
        <v>72</v>
      </c>
      <c r="F58" s="30">
        <v>902231</v>
      </c>
      <c r="G58" s="45" t="s">
        <v>201</v>
      </c>
      <c r="H58" s="34">
        <v>28010806</v>
      </c>
      <c r="I58" s="45" t="s">
        <v>1011</v>
      </c>
      <c r="J58" s="34" t="s">
        <v>109</v>
      </c>
      <c r="K58" s="26" t="s">
        <v>59</v>
      </c>
      <c r="L58" s="26" t="s">
        <v>60</v>
      </c>
    </row>
    <row r="59" spans="1:12">
      <c r="A59" s="26" t="s">
        <v>53</v>
      </c>
      <c r="B59" s="26" t="s">
        <v>29</v>
      </c>
      <c r="C59" s="26" t="s">
        <v>75</v>
      </c>
      <c r="D59" s="26" t="s">
        <v>21</v>
      </c>
      <c r="E59" s="30" t="s">
        <v>56</v>
      </c>
      <c r="F59" s="30">
        <v>902232</v>
      </c>
      <c r="G59" s="45" t="s">
        <v>203</v>
      </c>
      <c r="H59" s="34">
        <v>28010807</v>
      </c>
      <c r="I59" s="45" t="s">
        <v>1012</v>
      </c>
      <c r="J59" s="34" t="s">
        <v>72</v>
      </c>
      <c r="K59" s="26" t="s">
        <v>59</v>
      </c>
      <c r="L59" s="26" t="s">
        <v>60</v>
      </c>
    </row>
    <row r="60" spans="1:12">
      <c r="A60" s="26" t="s">
        <v>53</v>
      </c>
      <c r="B60" s="26" t="s">
        <v>29</v>
      </c>
      <c r="C60" s="26" t="s">
        <v>75</v>
      </c>
      <c r="D60" s="26" t="s">
        <v>21</v>
      </c>
      <c r="E60" s="30" t="s">
        <v>72</v>
      </c>
      <c r="F60" s="30">
        <v>902233</v>
      </c>
      <c r="G60" s="45" t="s">
        <v>211</v>
      </c>
      <c r="H60" s="34">
        <v>28010808</v>
      </c>
      <c r="I60" s="45" t="s">
        <v>1013</v>
      </c>
      <c r="J60" s="34" t="s">
        <v>128</v>
      </c>
      <c r="K60" s="26" t="s">
        <v>59</v>
      </c>
      <c r="L60" s="26" t="s">
        <v>60</v>
      </c>
    </row>
    <row r="61" spans="1:12">
      <c r="A61" s="26" t="s">
        <v>53</v>
      </c>
      <c r="B61" s="26" t="s">
        <v>31</v>
      </c>
      <c r="C61" s="26" t="s">
        <v>75</v>
      </c>
      <c r="D61" s="26" t="s">
        <v>12</v>
      </c>
      <c r="E61" s="30" t="s">
        <v>72</v>
      </c>
      <c r="F61" s="30">
        <v>902234</v>
      </c>
      <c r="G61" s="45" t="s">
        <v>213</v>
      </c>
      <c r="H61" s="34"/>
      <c r="I61" s="45"/>
      <c r="J61" s="34"/>
      <c r="K61" s="26"/>
      <c r="L61" s="26" t="s">
        <v>63</v>
      </c>
    </row>
    <row r="62" spans="1:12">
      <c r="A62" s="26" t="s">
        <v>53</v>
      </c>
      <c r="B62" s="26" t="s">
        <v>29</v>
      </c>
      <c r="C62" s="26" t="s">
        <v>75</v>
      </c>
      <c r="D62" s="26" t="s">
        <v>21</v>
      </c>
      <c r="E62" s="30" t="s">
        <v>72</v>
      </c>
      <c r="F62" s="30">
        <v>902235</v>
      </c>
      <c r="G62" s="45" t="s">
        <v>215</v>
      </c>
      <c r="H62" s="34">
        <v>28010809</v>
      </c>
      <c r="I62" s="45" t="s">
        <v>1014</v>
      </c>
      <c r="J62" s="34" t="s">
        <v>56</v>
      </c>
      <c r="K62" s="26" t="s">
        <v>59</v>
      </c>
      <c r="L62" s="26" t="s">
        <v>60</v>
      </c>
    </row>
    <row r="63" spans="1:12">
      <c r="A63" s="26" t="s">
        <v>53</v>
      </c>
      <c r="B63" s="26" t="s">
        <v>29</v>
      </c>
      <c r="C63" s="26" t="s">
        <v>75</v>
      </c>
      <c r="D63" s="26" t="s">
        <v>21</v>
      </c>
      <c r="E63" s="30" t="s">
        <v>72</v>
      </c>
      <c r="F63" s="30">
        <v>902236</v>
      </c>
      <c r="G63" s="45" t="s">
        <v>217</v>
      </c>
      <c r="H63" s="34">
        <v>28010810</v>
      </c>
      <c r="I63" s="45" t="s">
        <v>1015</v>
      </c>
      <c r="J63" s="34" t="s">
        <v>56</v>
      </c>
      <c r="K63" s="26" t="s">
        <v>59</v>
      </c>
      <c r="L63" s="26" t="s">
        <v>60</v>
      </c>
    </row>
    <row r="64" spans="1:12">
      <c r="A64" s="26" t="s">
        <v>53</v>
      </c>
      <c r="B64" s="26" t="s">
        <v>29</v>
      </c>
      <c r="C64" s="26" t="s">
        <v>75</v>
      </c>
      <c r="D64" s="26" t="s">
        <v>21</v>
      </c>
      <c r="E64" s="30" t="s">
        <v>72</v>
      </c>
      <c r="F64" s="30">
        <v>902237</v>
      </c>
      <c r="G64" s="45" t="s">
        <v>220</v>
      </c>
      <c r="H64" s="34">
        <v>28010811</v>
      </c>
      <c r="I64" s="45" t="s">
        <v>1016</v>
      </c>
      <c r="J64" s="34" t="s">
        <v>56</v>
      </c>
      <c r="K64" s="26" t="s">
        <v>59</v>
      </c>
      <c r="L64" s="26" t="s">
        <v>60</v>
      </c>
    </row>
    <row r="65" spans="1:12">
      <c r="A65" s="26" t="s">
        <v>53</v>
      </c>
      <c r="B65" s="26" t="s">
        <v>29</v>
      </c>
      <c r="C65" s="26" t="s">
        <v>75</v>
      </c>
      <c r="D65" s="26" t="s">
        <v>21</v>
      </c>
      <c r="E65" s="30" t="s">
        <v>99</v>
      </c>
      <c r="F65" s="30">
        <v>902238</v>
      </c>
      <c r="G65" s="45" t="s">
        <v>220</v>
      </c>
      <c r="H65" s="34">
        <v>28010812</v>
      </c>
      <c r="I65" s="45" t="s">
        <v>58</v>
      </c>
      <c r="J65" s="34" t="s">
        <v>56</v>
      </c>
      <c r="K65" s="26" t="s">
        <v>59</v>
      </c>
      <c r="L65" s="26" t="s">
        <v>60</v>
      </c>
    </row>
    <row r="66" spans="1:12">
      <c r="A66" s="26" t="s">
        <v>53</v>
      </c>
      <c r="B66" s="26" t="s">
        <v>29</v>
      </c>
      <c r="C66" s="26" t="s">
        <v>75</v>
      </c>
      <c r="D66" s="26" t="s">
        <v>21</v>
      </c>
      <c r="E66" s="30" t="s">
        <v>99</v>
      </c>
      <c r="F66" s="30">
        <v>902239</v>
      </c>
      <c r="G66" s="45" t="s">
        <v>221</v>
      </c>
      <c r="H66" s="34">
        <v>28010813</v>
      </c>
      <c r="I66" s="45" t="s">
        <v>68</v>
      </c>
      <c r="J66" s="34" t="s">
        <v>56</v>
      </c>
      <c r="K66" s="26" t="s">
        <v>59</v>
      </c>
      <c r="L66" s="26" t="s">
        <v>60</v>
      </c>
    </row>
    <row r="67" spans="1:12">
      <c r="A67" s="26" t="s">
        <v>53</v>
      </c>
      <c r="B67" s="26" t="s">
        <v>31</v>
      </c>
      <c r="C67" s="26" t="s">
        <v>75</v>
      </c>
      <c r="D67" s="26" t="s">
        <v>10</v>
      </c>
      <c r="E67" s="30" t="s">
        <v>99</v>
      </c>
      <c r="F67" s="30">
        <v>902240</v>
      </c>
      <c r="G67" s="45" t="s">
        <v>224</v>
      </c>
      <c r="H67" s="34">
        <v>28010814</v>
      </c>
      <c r="I67" s="45" t="s">
        <v>71</v>
      </c>
      <c r="J67" s="34" t="s">
        <v>128</v>
      </c>
      <c r="K67" s="26" t="s">
        <v>59</v>
      </c>
      <c r="L67" s="26" t="s">
        <v>60</v>
      </c>
    </row>
    <row r="68" spans="1:12">
      <c r="A68" s="26" t="s">
        <v>53</v>
      </c>
      <c r="B68" s="26" t="s">
        <v>31</v>
      </c>
      <c r="C68" s="26" t="s">
        <v>75</v>
      </c>
      <c r="D68" s="26" t="s">
        <v>10</v>
      </c>
      <c r="E68" s="30" t="s">
        <v>99</v>
      </c>
      <c r="F68" s="30">
        <v>902241</v>
      </c>
      <c r="G68" s="45" t="s">
        <v>226</v>
      </c>
      <c r="H68" s="34">
        <v>28010815</v>
      </c>
      <c r="I68" s="45" t="s">
        <v>74</v>
      </c>
      <c r="J68" s="34" t="s">
        <v>128</v>
      </c>
      <c r="K68" s="26" t="s">
        <v>59</v>
      </c>
      <c r="L68" s="26" t="s">
        <v>60</v>
      </c>
    </row>
    <row r="69" spans="1:12">
      <c r="A69" s="26" t="s">
        <v>53</v>
      </c>
      <c r="B69" s="26" t="s">
        <v>31</v>
      </c>
      <c r="C69" s="26" t="s">
        <v>75</v>
      </c>
      <c r="D69" s="26" t="s">
        <v>12</v>
      </c>
      <c r="E69" s="30" t="s">
        <v>72</v>
      </c>
      <c r="F69" s="30">
        <v>902242</v>
      </c>
      <c r="G69" s="45" t="s">
        <v>120</v>
      </c>
      <c r="H69" s="34">
        <v>28010816</v>
      </c>
      <c r="I69" s="45" t="s">
        <v>76</v>
      </c>
      <c r="J69" s="34" t="s">
        <v>56</v>
      </c>
      <c r="K69" s="26" t="s">
        <v>59</v>
      </c>
      <c r="L69" s="26" t="s">
        <v>60</v>
      </c>
    </row>
    <row r="70" spans="1:12">
      <c r="A70" s="26" t="s">
        <v>53</v>
      </c>
      <c r="B70" s="26" t="s">
        <v>31</v>
      </c>
      <c r="C70" s="26" t="s">
        <v>75</v>
      </c>
      <c r="D70" s="26" t="s">
        <v>10</v>
      </c>
      <c r="E70" s="30" t="s">
        <v>99</v>
      </c>
      <c r="F70" s="30">
        <v>902243</v>
      </c>
      <c r="G70" s="45" t="s">
        <v>228</v>
      </c>
      <c r="H70" s="34">
        <v>28010817</v>
      </c>
      <c r="I70" s="45" t="s">
        <v>77</v>
      </c>
      <c r="J70" s="34" t="s">
        <v>99</v>
      </c>
      <c r="K70" s="26" t="s">
        <v>59</v>
      </c>
      <c r="L70" s="26" t="s">
        <v>60</v>
      </c>
    </row>
    <row r="71" spans="1:12">
      <c r="A71" s="26" t="s">
        <v>53</v>
      </c>
      <c r="B71" s="26" t="s">
        <v>30</v>
      </c>
      <c r="C71" s="26" t="s">
        <v>75</v>
      </c>
      <c r="D71" s="26" t="s">
        <v>28</v>
      </c>
      <c r="E71" s="30" t="s">
        <v>99</v>
      </c>
      <c r="F71" s="30">
        <v>902244</v>
      </c>
      <c r="G71" s="45" t="s">
        <v>157</v>
      </c>
      <c r="H71" s="34"/>
      <c r="I71" s="45"/>
      <c r="J71" s="34"/>
      <c r="K71" s="26"/>
      <c r="L71" s="26" t="s">
        <v>63</v>
      </c>
    </row>
    <row r="72" spans="1:12">
      <c r="A72" s="26" t="s">
        <v>53</v>
      </c>
      <c r="B72" s="26" t="s">
        <v>31</v>
      </c>
      <c r="C72" s="26" t="s">
        <v>75</v>
      </c>
      <c r="D72" s="26" t="s">
        <v>10</v>
      </c>
      <c r="E72" s="30" t="s">
        <v>128</v>
      </c>
      <c r="F72" s="30">
        <v>902245</v>
      </c>
      <c r="G72" s="45" t="s">
        <v>230</v>
      </c>
      <c r="H72" s="34">
        <v>28010818</v>
      </c>
      <c r="I72" s="45" t="s">
        <v>78</v>
      </c>
      <c r="J72" s="34" t="s">
        <v>99</v>
      </c>
      <c r="K72" s="26" t="s">
        <v>59</v>
      </c>
      <c r="L72" s="26" t="s">
        <v>60</v>
      </c>
    </row>
    <row r="73" spans="1:12">
      <c r="A73" s="26" t="s">
        <v>53</v>
      </c>
      <c r="B73" s="26" t="s">
        <v>31</v>
      </c>
      <c r="C73" s="26" t="s">
        <v>75</v>
      </c>
      <c r="D73" s="26" t="s">
        <v>12</v>
      </c>
      <c r="E73" s="30" t="s">
        <v>128</v>
      </c>
      <c r="F73" s="30">
        <v>902246</v>
      </c>
      <c r="G73" s="45" t="s">
        <v>232</v>
      </c>
      <c r="H73" s="34">
        <v>28010819</v>
      </c>
      <c r="I73" s="45" t="s">
        <v>79</v>
      </c>
      <c r="J73" s="34" t="s">
        <v>109</v>
      </c>
      <c r="K73" s="26" t="s">
        <v>59</v>
      </c>
      <c r="L73" s="26" t="s">
        <v>60</v>
      </c>
    </row>
    <row r="74" spans="1:12">
      <c r="A74" s="26" t="s">
        <v>53</v>
      </c>
      <c r="B74" s="26" t="s">
        <v>31</v>
      </c>
      <c r="C74" s="26" t="s">
        <v>75</v>
      </c>
      <c r="D74" s="26" t="s">
        <v>14</v>
      </c>
      <c r="E74" s="34" t="s">
        <v>69</v>
      </c>
      <c r="F74" s="30">
        <v>902247</v>
      </c>
      <c r="G74" s="45" t="s">
        <v>234</v>
      </c>
      <c r="H74" s="34">
        <v>28010820</v>
      </c>
      <c r="I74" s="45" t="s">
        <v>81</v>
      </c>
      <c r="J74" s="34" t="s">
        <v>99</v>
      </c>
      <c r="K74" s="26" t="s">
        <v>59</v>
      </c>
      <c r="L74" s="26" t="s">
        <v>60</v>
      </c>
    </row>
    <row r="75" spans="1:12">
      <c r="A75" s="26" t="s">
        <v>53</v>
      </c>
      <c r="B75" s="26" t="s">
        <v>31</v>
      </c>
      <c r="C75" s="26" t="s">
        <v>75</v>
      </c>
      <c r="D75" s="26" t="s">
        <v>12</v>
      </c>
      <c r="E75" s="34" t="s">
        <v>99</v>
      </c>
      <c r="F75" s="30">
        <v>902248</v>
      </c>
      <c r="G75" s="45" t="s">
        <v>236</v>
      </c>
      <c r="H75" s="34">
        <v>28010821</v>
      </c>
      <c r="I75" s="45" t="s">
        <v>82</v>
      </c>
      <c r="J75" s="34" t="s">
        <v>210</v>
      </c>
      <c r="K75" s="26" t="s">
        <v>59</v>
      </c>
      <c r="L75" s="26" t="s">
        <v>60</v>
      </c>
    </row>
    <row r="76" spans="1:12">
      <c r="A76" s="26" t="s">
        <v>53</v>
      </c>
      <c r="B76" s="26" t="s">
        <v>31</v>
      </c>
      <c r="C76" s="26" t="s">
        <v>75</v>
      </c>
      <c r="D76" s="26" t="s">
        <v>12</v>
      </c>
      <c r="E76" s="34" t="s">
        <v>128</v>
      </c>
      <c r="F76" s="30">
        <v>902249</v>
      </c>
      <c r="G76" s="45" t="s">
        <v>239</v>
      </c>
      <c r="H76" s="34">
        <v>28010822</v>
      </c>
      <c r="I76" s="45" t="s">
        <v>83</v>
      </c>
      <c r="J76" s="34" t="s">
        <v>128</v>
      </c>
      <c r="K76" s="26" t="s">
        <v>59</v>
      </c>
      <c r="L76" s="26" t="s">
        <v>60</v>
      </c>
    </row>
    <row r="77" spans="1:12">
      <c r="A77" s="26" t="s">
        <v>53</v>
      </c>
      <c r="B77" s="26" t="s">
        <v>31</v>
      </c>
      <c r="C77" s="26" t="s">
        <v>75</v>
      </c>
      <c r="D77" s="26" t="s">
        <v>12</v>
      </c>
      <c r="E77" s="30"/>
      <c r="F77" s="30">
        <v>902250</v>
      </c>
      <c r="G77" s="45" t="s">
        <v>241</v>
      </c>
      <c r="H77" s="34">
        <v>28010823</v>
      </c>
      <c r="I77" s="45" t="s">
        <v>86</v>
      </c>
      <c r="J77" s="34" t="s">
        <v>56</v>
      </c>
      <c r="K77" s="26" t="s">
        <v>59</v>
      </c>
      <c r="L77" s="26" t="s">
        <v>60</v>
      </c>
    </row>
    <row r="78" spans="1:12">
      <c r="A78" s="26" t="s">
        <v>53</v>
      </c>
      <c r="B78" s="26" t="s">
        <v>31</v>
      </c>
      <c r="C78" s="26" t="s">
        <v>75</v>
      </c>
      <c r="D78" s="26" t="s">
        <v>13</v>
      </c>
      <c r="E78" s="30"/>
      <c r="F78" s="30">
        <v>902251</v>
      </c>
      <c r="G78" s="45" t="s">
        <v>226</v>
      </c>
      <c r="H78" s="34">
        <v>28010824</v>
      </c>
      <c r="I78" s="45" t="s">
        <v>87</v>
      </c>
      <c r="J78" s="34" t="s">
        <v>128</v>
      </c>
      <c r="K78" s="26" t="s">
        <v>59</v>
      </c>
      <c r="L78" s="26" t="s">
        <v>60</v>
      </c>
    </row>
    <row r="79" spans="1:12">
      <c r="A79" s="26" t="s">
        <v>53</v>
      </c>
      <c r="B79" s="26" t="s">
        <v>31</v>
      </c>
      <c r="C79" s="26" t="s">
        <v>75</v>
      </c>
      <c r="D79" s="26" t="s">
        <v>14</v>
      </c>
      <c r="E79" s="30"/>
      <c r="F79" s="30">
        <v>902252</v>
      </c>
      <c r="G79" s="45" t="s">
        <v>243</v>
      </c>
      <c r="H79" s="34">
        <v>28010825</v>
      </c>
      <c r="I79" s="45" t="s">
        <v>369</v>
      </c>
      <c r="J79" s="34" t="s">
        <v>56</v>
      </c>
      <c r="K79" s="26" t="s">
        <v>59</v>
      </c>
      <c r="L79" s="26" t="s">
        <v>60</v>
      </c>
    </row>
    <row r="80" spans="1:12">
      <c r="A80" s="26" t="s">
        <v>53</v>
      </c>
      <c r="B80" s="26" t="s">
        <v>30</v>
      </c>
      <c r="C80" s="26" t="s">
        <v>75</v>
      </c>
      <c r="D80" s="26" t="s">
        <v>28</v>
      </c>
      <c r="E80" s="30"/>
      <c r="F80" s="30">
        <v>902253</v>
      </c>
      <c r="G80" s="45" t="s">
        <v>245</v>
      </c>
      <c r="H80" s="34">
        <v>28010826</v>
      </c>
      <c r="I80" s="45" t="s">
        <v>88</v>
      </c>
      <c r="J80" s="34" t="s">
        <v>210</v>
      </c>
      <c r="K80" s="26" t="s">
        <v>59</v>
      </c>
      <c r="L80" s="26" t="s">
        <v>60</v>
      </c>
    </row>
    <row r="81" spans="1:12">
      <c r="A81" s="26" t="s">
        <v>53</v>
      </c>
      <c r="B81" s="26" t="s">
        <v>31</v>
      </c>
      <c r="C81" s="26" t="s">
        <v>75</v>
      </c>
      <c r="D81" s="26" t="s">
        <v>12</v>
      </c>
      <c r="E81" s="30"/>
      <c r="F81" s="30">
        <v>902254</v>
      </c>
      <c r="G81" s="45" t="s">
        <v>247</v>
      </c>
      <c r="H81" s="34">
        <v>28010827</v>
      </c>
      <c r="I81" s="45" t="s">
        <v>89</v>
      </c>
      <c r="J81" s="34" t="s">
        <v>99</v>
      </c>
      <c r="K81" s="26" t="s">
        <v>59</v>
      </c>
      <c r="L81" s="26" t="s">
        <v>60</v>
      </c>
    </row>
    <row r="82" spans="1:12">
      <c r="A82" s="26" t="s">
        <v>53</v>
      </c>
      <c r="B82" s="26" t="s">
        <v>30</v>
      </c>
      <c r="C82" s="26" t="s">
        <v>75</v>
      </c>
      <c r="D82" s="26" t="s">
        <v>10</v>
      </c>
      <c r="E82" s="30"/>
      <c r="F82" s="30">
        <v>902255</v>
      </c>
      <c r="G82" s="45" t="s">
        <v>249</v>
      </c>
      <c r="H82" s="34">
        <v>28010828</v>
      </c>
      <c r="I82" s="45" t="s">
        <v>90</v>
      </c>
      <c r="J82" s="34" t="s">
        <v>56</v>
      </c>
      <c r="K82" s="26" t="s">
        <v>59</v>
      </c>
      <c r="L82" s="26" t="s">
        <v>60</v>
      </c>
    </row>
    <row r="83" spans="1:12">
      <c r="A83" s="26" t="s">
        <v>53</v>
      </c>
      <c r="B83" s="26" t="s">
        <v>30</v>
      </c>
      <c r="C83" s="26" t="s">
        <v>75</v>
      </c>
      <c r="D83" s="26" t="s">
        <v>28</v>
      </c>
      <c r="E83" s="30"/>
      <c r="F83" s="30">
        <v>902256</v>
      </c>
      <c r="G83" s="45" t="s">
        <v>251</v>
      </c>
      <c r="H83" s="34">
        <v>28010829</v>
      </c>
      <c r="I83" s="45" t="s">
        <v>93</v>
      </c>
      <c r="J83" s="34" t="s">
        <v>99</v>
      </c>
      <c r="K83" s="26" t="s">
        <v>59</v>
      </c>
      <c r="L83" s="26" t="s">
        <v>60</v>
      </c>
    </row>
    <row r="84" spans="1:12">
      <c r="A84" s="26" t="s">
        <v>53</v>
      </c>
      <c r="B84" s="26" t="s">
        <v>31</v>
      </c>
      <c r="C84" s="26" t="s">
        <v>75</v>
      </c>
      <c r="D84" s="26" t="s">
        <v>11</v>
      </c>
      <c r="E84" s="30"/>
      <c r="F84" s="30">
        <v>902257</v>
      </c>
      <c r="G84" s="45" t="s">
        <v>190</v>
      </c>
      <c r="H84" s="34">
        <v>28010830</v>
      </c>
      <c r="I84" s="45" t="s">
        <v>94</v>
      </c>
      <c r="J84" s="34" t="s">
        <v>128</v>
      </c>
      <c r="K84" s="26" t="s">
        <v>59</v>
      </c>
      <c r="L84" s="26" t="s">
        <v>60</v>
      </c>
    </row>
    <row r="85" spans="1:12">
      <c r="A85" s="26" t="s">
        <v>53</v>
      </c>
      <c r="B85" s="26" t="s">
        <v>31</v>
      </c>
      <c r="C85" s="26" t="s">
        <v>75</v>
      </c>
      <c r="D85" s="26" t="s">
        <v>10</v>
      </c>
      <c r="E85" s="30"/>
      <c r="F85" s="30">
        <v>902258</v>
      </c>
      <c r="G85" s="45" t="s">
        <v>253</v>
      </c>
      <c r="H85" s="34">
        <v>28010831</v>
      </c>
      <c r="I85" s="45" t="s">
        <v>95</v>
      </c>
      <c r="J85" s="34" t="s">
        <v>128</v>
      </c>
      <c r="K85" s="26" t="s">
        <v>59</v>
      </c>
      <c r="L85" s="26" t="s">
        <v>60</v>
      </c>
    </row>
    <row r="86" spans="1:12">
      <c r="A86" s="26" t="s">
        <v>53</v>
      </c>
      <c r="B86" s="26" t="s">
        <v>31</v>
      </c>
      <c r="C86" s="26" t="s">
        <v>75</v>
      </c>
      <c r="D86" s="26" t="s">
        <v>10</v>
      </c>
      <c r="E86" s="30"/>
      <c r="F86" s="30">
        <v>902259</v>
      </c>
      <c r="G86" s="45" t="s">
        <v>226</v>
      </c>
      <c r="H86" s="34"/>
      <c r="I86" s="45"/>
      <c r="J86" s="34"/>
      <c r="K86" s="26"/>
      <c r="L86" s="26" t="s">
        <v>63</v>
      </c>
    </row>
    <row r="87" spans="1:12">
      <c r="A87" s="26" t="s">
        <v>53</v>
      </c>
      <c r="B87" s="26" t="s">
        <v>31</v>
      </c>
      <c r="C87" s="26" t="s">
        <v>75</v>
      </c>
      <c r="D87" s="26" t="s">
        <v>10</v>
      </c>
      <c r="E87" s="30"/>
      <c r="F87" s="30">
        <v>902260</v>
      </c>
      <c r="G87" s="45" t="s">
        <v>118</v>
      </c>
      <c r="H87" s="34"/>
      <c r="I87" s="45"/>
      <c r="J87" s="34"/>
      <c r="K87" s="26"/>
      <c r="L87" s="26" t="s">
        <v>63</v>
      </c>
    </row>
    <row r="88" spans="1:12">
      <c r="A88" s="26" t="s">
        <v>53</v>
      </c>
      <c r="B88" s="26" t="s">
        <v>31</v>
      </c>
      <c r="C88" s="26" t="s">
        <v>75</v>
      </c>
      <c r="D88" s="26" t="s">
        <v>10</v>
      </c>
      <c r="E88" s="30"/>
      <c r="F88" s="30">
        <v>902261</v>
      </c>
      <c r="G88" s="45" t="s">
        <v>260</v>
      </c>
      <c r="H88" s="34"/>
      <c r="I88" s="45"/>
      <c r="J88" s="34"/>
      <c r="K88" s="26"/>
      <c r="L88" s="26" t="s">
        <v>63</v>
      </c>
    </row>
    <row r="89" spans="1:12">
      <c r="A89" s="26" t="s">
        <v>53</v>
      </c>
      <c r="B89" s="26" t="s">
        <v>31</v>
      </c>
      <c r="C89" s="26" t="s">
        <v>75</v>
      </c>
      <c r="D89" s="26" t="s">
        <v>10</v>
      </c>
      <c r="E89" s="30"/>
      <c r="F89" s="30">
        <v>902262</v>
      </c>
      <c r="G89" s="45" t="s">
        <v>262</v>
      </c>
      <c r="H89" s="34">
        <v>28010832</v>
      </c>
      <c r="I89" s="45" t="s">
        <v>97</v>
      </c>
      <c r="J89" s="34" t="s">
        <v>128</v>
      </c>
      <c r="K89" s="26" t="s">
        <v>59</v>
      </c>
      <c r="L89" s="26" t="s">
        <v>60</v>
      </c>
    </row>
    <row r="90" spans="1:12">
      <c r="A90" s="26" t="s">
        <v>53</v>
      </c>
      <c r="B90" s="26" t="s">
        <v>29</v>
      </c>
      <c r="C90" s="26" t="s">
        <v>75</v>
      </c>
      <c r="D90" s="26" t="s">
        <v>21</v>
      </c>
      <c r="E90" s="30"/>
      <c r="F90" s="30">
        <v>902263</v>
      </c>
      <c r="G90" s="45" t="s">
        <v>264</v>
      </c>
      <c r="H90" s="34">
        <v>28010833</v>
      </c>
      <c r="I90" s="45" t="s">
        <v>101</v>
      </c>
      <c r="J90" s="34" t="s">
        <v>109</v>
      </c>
      <c r="K90" s="26" t="s">
        <v>59</v>
      </c>
      <c r="L90" s="26" t="s">
        <v>60</v>
      </c>
    </row>
    <row r="91" spans="1:12">
      <c r="A91" s="26" t="s">
        <v>53</v>
      </c>
      <c r="B91" s="26" t="s">
        <v>29</v>
      </c>
      <c r="C91" s="26" t="s">
        <v>75</v>
      </c>
      <c r="D91" s="26" t="s">
        <v>21</v>
      </c>
      <c r="E91" s="30"/>
      <c r="F91" s="30">
        <v>902264</v>
      </c>
      <c r="G91" s="45" t="s">
        <v>266</v>
      </c>
      <c r="H91" s="34">
        <v>28010834</v>
      </c>
      <c r="I91" s="45" t="s">
        <v>104</v>
      </c>
      <c r="J91" s="34" t="s">
        <v>72</v>
      </c>
      <c r="K91" s="26" t="s">
        <v>59</v>
      </c>
      <c r="L91" s="26" t="s">
        <v>60</v>
      </c>
    </row>
    <row r="92" spans="1:12">
      <c r="A92" s="26" t="s">
        <v>53</v>
      </c>
      <c r="B92" s="26" t="s">
        <v>29</v>
      </c>
      <c r="C92" s="26" t="s">
        <v>75</v>
      </c>
      <c r="D92" s="26" t="s">
        <v>21</v>
      </c>
      <c r="E92" s="30"/>
      <c r="F92" s="30">
        <v>902265</v>
      </c>
      <c r="G92" s="45" t="s">
        <v>266</v>
      </c>
      <c r="H92" s="34">
        <v>28010835</v>
      </c>
      <c r="I92" s="45" t="s">
        <v>105</v>
      </c>
      <c r="J92" s="34" t="s">
        <v>72</v>
      </c>
      <c r="K92" s="26" t="s">
        <v>59</v>
      </c>
      <c r="L92" s="26" t="s">
        <v>60</v>
      </c>
    </row>
    <row r="93" spans="1:12">
      <c r="A93" s="26" t="s">
        <v>53</v>
      </c>
      <c r="B93" s="26" t="s">
        <v>29</v>
      </c>
      <c r="C93" s="26" t="s">
        <v>75</v>
      </c>
      <c r="D93" s="26" t="s">
        <v>21</v>
      </c>
      <c r="E93" s="30"/>
      <c r="F93" s="30">
        <v>902266</v>
      </c>
      <c r="G93" s="45" t="s">
        <v>267</v>
      </c>
      <c r="H93" s="34">
        <v>28010836</v>
      </c>
      <c r="I93" s="45" t="s">
        <v>106</v>
      </c>
      <c r="J93" s="34" t="s">
        <v>56</v>
      </c>
      <c r="K93" s="26" t="s">
        <v>59</v>
      </c>
      <c r="L93" s="26" t="s">
        <v>60</v>
      </c>
    </row>
    <row r="94" spans="1:12">
      <c r="A94" s="26" t="s">
        <v>53</v>
      </c>
      <c r="B94" s="26" t="s">
        <v>29</v>
      </c>
      <c r="C94" s="26" t="s">
        <v>75</v>
      </c>
      <c r="D94" s="26" t="s">
        <v>21</v>
      </c>
      <c r="E94" s="30"/>
      <c r="F94" s="30">
        <v>902267</v>
      </c>
      <c r="G94" s="45" t="s">
        <v>270</v>
      </c>
      <c r="H94" s="34">
        <v>28010837</v>
      </c>
      <c r="I94" s="45" t="s">
        <v>108</v>
      </c>
      <c r="J94" s="34" t="s">
        <v>128</v>
      </c>
      <c r="K94" s="26" t="s">
        <v>59</v>
      </c>
      <c r="L94" s="26" t="s">
        <v>60</v>
      </c>
    </row>
    <row r="95" spans="1:12">
      <c r="A95" s="26" t="s">
        <v>53</v>
      </c>
      <c r="B95" s="26" t="s">
        <v>29</v>
      </c>
      <c r="C95" s="26" t="s">
        <v>75</v>
      </c>
      <c r="D95" s="26" t="s">
        <v>21</v>
      </c>
      <c r="E95" s="30"/>
      <c r="F95" s="30">
        <v>902268</v>
      </c>
      <c r="G95" s="45" t="s">
        <v>272</v>
      </c>
      <c r="H95" s="34">
        <v>28010838</v>
      </c>
      <c r="I95" s="45" t="s">
        <v>110</v>
      </c>
      <c r="J95" s="34" t="s">
        <v>56</v>
      </c>
      <c r="K95" s="26" t="s">
        <v>59</v>
      </c>
      <c r="L95" s="26" t="s">
        <v>60</v>
      </c>
    </row>
    <row r="96" spans="1:12">
      <c r="A96" s="26" t="s">
        <v>53</v>
      </c>
      <c r="B96" s="26" t="s">
        <v>29</v>
      </c>
      <c r="C96" s="26" t="s">
        <v>75</v>
      </c>
      <c r="D96" s="26" t="s">
        <v>21</v>
      </c>
      <c r="E96" s="30"/>
      <c r="F96" s="30">
        <v>902269</v>
      </c>
      <c r="G96" s="45" t="s">
        <v>221</v>
      </c>
      <c r="H96" s="34">
        <v>28010839</v>
      </c>
      <c r="I96" s="45" t="s">
        <v>112</v>
      </c>
      <c r="J96" s="34" t="s">
        <v>128</v>
      </c>
      <c r="K96" s="26" t="s">
        <v>59</v>
      </c>
      <c r="L96" s="26" t="s">
        <v>60</v>
      </c>
    </row>
    <row r="97" spans="1:12">
      <c r="A97" s="26" t="s">
        <v>53</v>
      </c>
      <c r="B97" s="26" t="s">
        <v>29</v>
      </c>
      <c r="C97" s="26" t="s">
        <v>75</v>
      </c>
      <c r="D97" s="26" t="s">
        <v>21</v>
      </c>
      <c r="E97" s="30"/>
      <c r="F97" s="30">
        <v>902270</v>
      </c>
      <c r="G97" s="45" t="s">
        <v>274</v>
      </c>
      <c r="H97" s="34">
        <v>28010840</v>
      </c>
      <c r="I97" s="45" t="s">
        <v>114</v>
      </c>
      <c r="J97" s="34" t="s">
        <v>128</v>
      </c>
      <c r="K97" s="26" t="s">
        <v>59</v>
      </c>
      <c r="L97" s="26" t="s">
        <v>60</v>
      </c>
    </row>
    <row r="98" spans="1:12">
      <c r="A98" s="26" t="s">
        <v>53</v>
      </c>
      <c r="B98" s="26" t="s">
        <v>29</v>
      </c>
      <c r="C98" s="26" t="s">
        <v>75</v>
      </c>
      <c r="D98" s="26" t="s">
        <v>21</v>
      </c>
      <c r="E98" s="30"/>
      <c r="F98" s="30">
        <v>902271</v>
      </c>
      <c r="G98" s="45" t="s">
        <v>217</v>
      </c>
      <c r="H98" s="34">
        <v>28010841</v>
      </c>
      <c r="I98" s="45" t="s">
        <v>115</v>
      </c>
      <c r="J98" s="34" t="s">
        <v>56</v>
      </c>
      <c r="K98" s="26" t="s">
        <v>59</v>
      </c>
      <c r="L98" s="26" t="s">
        <v>60</v>
      </c>
    </row>
    <row r="99" spans="1:12">
      <c r="A99" s="26" t="s">
        <v>53</v>
      </c>
      <c r="B99" s="26" t="s">
        <v>31</v>
      </c>
      <c r="C99" s="26" t="s">
        <v>75</v>
      </c>
      <c r="D99" s="26" t="s">
        <v>12</v>
      </c>
      <c r="E99" s="30"/>
      <c r="F99" s="30">
        <v>902272</v>
      </c>
      <c r="G99" s="45" t="s">
        <v>276</v>
      </c>
      <c r="H99" s="34">
        <v>28010842</v>
      </c>
      <c r="I99" s="45" t="s">
        <v>117</v>
      </c>
      <c r="J99" s="34" t="s">
        <v>69</v>
      </c>
      <c r="K99" s="26" t="s">
        <v>59</v>
      </c>
      <c r="L99" s="26" t="s">
        <v>60</v>
      </c>
    </row>
    <row r="100" spans="1:12">
      <c r="A100" s="26" t="s">
        <v>53</v>
      </c>
      <c r="B100" s="26" t="s">
        <v>29</v>
      </c>
      <c r="C100" s="26" t="s">
        <v>75</v>
      </c>
      <c r="D100" s="26" t="s">
        <v>21</v>
      </c>
      <c r="E100" s="30"/>
      <c r="F100" s="30">
        <v>902273</v>
      </c>
      <c r="G100" s="45" t="s">
        <v>280</v>
      </c>
      <c r="H100" s="34"/>
      <c r="I100" s="45"/>
      <c r="J100" s="34"/>
      <c r="K100" s="26"/>
      <c r="L100" s="26" t="s">
        <v>63</v>
      </c>
    </row>
    <row r="101" spans="1:12">
      <c r="A101" s="26" t="s">
        <v>53</v>
      </c>
      <c r="B101" s="26" t="s">
        <v>29</v>
      </c>
      <c r="C101" s="26" t="s">
        <v>75</v>
      </c>
      <c r="D101" s="26" t="s">
        <v>21</v>
      </c>
      <c r="E101" s="30"/>
      <c r="F101" s="30">
        <v>902274</v>
      </c>
      <c r="G101" s="45" t="s">
        <v>221</v>
      </c>
      <c r="H101" s="34">
        <v>28010843</v>
      </c>
      <c r="I101" s="45" t="s">
        <v>119</v>
      </c>
      <c r="J101" s="34" t="s">
        <v>56</v>
      </c>
      <c r="K101" s="26" t="s">
        <v>59</v>
      </c>
      <c r="L101" s="26" t="s">
        <v>60</v>
      </c>
    </row>
    <row r="102" spans="1:12">
      <c r="A102" s="26" t="s">
        <v>53</v>
      </c>
      <c r="B102" s="26" t="s">
        <v>29</v>
      </c>
      <c r="C102" s="26" t="s">
        <v>75</v>
      </c>
      <c r="D102" s="26" t="s">
        <v>21</v>
      </c>
      <c r="E102" s="30"/>
      <c r="F102" s="30">
        <v>902275</v>
      </c>
      <c r="G102" s="45" t="s">
        <v>217</v>
      </c>
      <c r="H102" s="34">
        <v>28010844</v>
      </c>
      <c r="I102" s="45" t="s">
        <v>121</v>
      </c>
      <c r="J102" s="34" t="s">
        <v>128</v>
      </c>
      <c r="K102" s="26" t="s">
        <v>59</v>
      </c>
      <c r="L102" s="26" t="s">
        <v>60</v>
      </c>
    </row>
    <row r="103" spans="1:12">
      <c r="A103" s="26" t="s">
        <v>53</v>
      </c>
      <c r="B103" s="26" t="s">
        <v>29</v>
      </c>
      <c r="C103" s="26" t="s">
        <v>75</v>
      </c>
      <c r="D103" s="26" t="s">
        <v>21</v>
      </c>
      <c r="E103" s="30"/>
      <c r="F103" s="30">
        <v>902276</v>
      </c>
      <c r="G103" s="45" t="s">
        <v>217</v>
      </c>
      <c r="H103" s="34">
        <v>28010845</v>
      </c>
      <c r="I103" s="45" t="s">
        <v>122</v>
      </c>
      <c r="J103" s="34" t="s">
        <v>56</v>
      </c>
      <c r="K103" s="26" t="s">
        <v>59</v>
      </c>
      <c r="L103" s="26" t="s">
        <v>60</v>
      </c>
    </row>
    <row r="104" spans="1:12">
      <c r="A104" s="26" t="s">
        <v>53</v>
      </c>
      <c r="B104" s="26" t="s">
        <v>29</v>
      </c>
      <c r="C104" s="26" t="s">
        <v>75</v>
      </c>
      <c r="D104" s="26" t="s">
        <v>21</v>
      </c>
      <c r="E104" s="30"/>
      <c r="F104" s="30">
        <v>902277</v>
      </c>
      <c r="G104" s="45" t="s">
        <v>282</v>
      </c>
      <c r="H104" s="34">
        <v>28010846</v>
      </c>
      <c r="I104" s="45" t="s">
        <v>123</v>
      </c>
      <c r="J104" s="34" t="s">
        <v>128</v>
      </c>
      <c r="K104" s="26" t="s">
        <v>59</v>
      </c>
      <c r="L104" s="26" t="s">
        <v>60</v>
      </c>
    </row>
    <row r="105" spans="1:12">
      <c r="A105" s="26" t="s">
        <v>53</v>
      </c>
      <c r="B105" s="26" t="s">
        <v>29</v>
      </c>
      <c r="C105" s="26" t="s">
        <v>75</v>
      </c>
      <c r="D105" s="26" t="s">
        <v>21</v>
      </c>
      <c r="E105" s="30"/>
      <c r="F105" s="30">
        <v>902278</v>
      </c>
      <c r="G105" s="45" t="s">
        <v>285</v>
      </c>
      <c r="H105" s="34">
        <v>28010847</v>
      </c>
      <c r="I105" s="45" t="s">
        <v>124</v>
      </c>
      <c r="J105" s="34" t="s">
        <v>128</v>
      </c>
      <c r="K105" s="26" t="s">
        <v>59</v>
      </c>
      <c r="L105" s="26" t="s">
        <v>60</v>
      </c>
    </row>
    <row r="106" spans="1:12">
      <c r="A106" s="26" t="s">
        <v>53</v>
      </c>
      <c r="B106" s="26" t="s">
        <v>29</v>
      </c>
      <c r="C106" s="26" t="s">
        <v>75</v>
      </c>
      <c r="D106" s="26" t="s">
        <v>21</v>
      </c>
      <c r="E106" s="30"/>
      <c r="F106" s="30">
        <v>902279</v>
      </c>
      <c r="G106" s="45" t="s">
        <v>287</v>
      </c>
      <c r="H106" s="34">
        <v>28010848</v>
      </c>
      <c r="I106" s="45" t="s">
        <v>125</v>
      </c>
      <c r="J106" s="34" t="s">
        <v>99</v>
      </c>
      <c r="K106" s="26" t="s">
        <v>59</v>
      </c>
      <c r="L106" s="26" t="s">
        <v>60</v>
      </c>
    </row>
    <row r="107" spans="1:12">
      <c r="A107" s="26" t="s">
        <v>53</v>
      </c>
      <c r="B107" s="26" t="s">
        <v>29</v>
      </c>
      <c r="C107" s="26" t="s">
        <v>75</v>
      </c>
      <c r="D107" s="26" t="s">
        <v>21</v>
      </c>
      <c r="E107" s="30"/>
      <c r="F107" s="30">
        <v>902280</v>
      </c>
      <c r="G107" s="45" t="s">
        <v>293</v>
      </c>
      <c r="H107" s="34">
        <v>28010849</v>
      </c>
      <c r="I107" s="45" t="s">
        <v>127</v>
      </c>
      <c r="J107" s="34" t="s">
        <v>210</v>
      </c>
      <c r="K107" s="26" t="s">
        <v>59</v>
      </c>
      <c r="L107" s="26" t="s">
        <v>60</v>
      </c>
    </row>
    <row r="108" spans="1:12">
      <c r="A108" s="26" t="s">
        <v>53</v>
      </c>
      <c r="B108" s="26" t="s">
        <v>31</v>
      </c>
      <c r="C108" s="26" t="s">
        <v>75</v>
      </c>
      <c r="D108" s="26" t="s">
        <v>28</v>
      </c>
      <c r="E108" s="30"/>
      <c r="F108" s="30">
        <v>902281</v>
      </c>
      <c r="G108" s="45" t="s">
        <v>296</v>
      </c>
      <c r="H108" s="34">
        <v>28010850</v>
      </c>
      <c r="I108" s="45" t="s">
        <v>130</v>
      </c>
      <c r="J108" s="34" t="s">
        <v>210</v>
      </c>
      <c r="K108" s="26" t="s">
        <v>59</v>
      </c>
      <c r="L108" s="26" t="s">
        <v>60</v>
      </c>
    </row>
    <row r="109" spans="1:12">
      <c r="A109" s="26" t="s">
        <v>53</v>
      </c>
      <c r="B109" s="26" t="s">
        <v>31</v>
      </c>
      <c r="C109" s="26" t="s">
        <v>75</v>
      </c>
      <c r="D109" s="26" t="s">
        <v>12</v>
      </c>
      <c r="E109" s="30"/>
      <c r="F109" s="43">
        <v>902282</v>
      </c>
      <c r="G109" s="46" t="s">
        <v>298</v>
      </c>
      <c r="H109" s="34"/>
      <c r="I109" s="45"/>
      <c r="J109" s="34"/>
      <c r="K109" s="26"/>
      <c r="L109" s="26" t="s">
        <v>63</v>
      </c>
    </row>
    <row r="110" spans="1:12">
      <c r="A110" s="26" t="s">
        <v>53</v>
      </c>
      <c r="B110" s="26" t="s">
        <v>31</v>
      </c>
      <c r="C110" s="26" t="s">
        <v>75</v>
      </c>
      <c r="D110" s="26" t="s">
        <v>10</v>
      </c>
      <c r="E110" s="30"/>
      <c r="F110" s="30">
        <v>902283</v>
      </c>
      <c r="G110" s="45" t="s">
        <v>300</v>
      </c>
      <c r="H110" s="34">
        <v>28010851</v>
      </c>
      <c r="I110" s="45" t="s">
        <v>132</v>
      </c>
      <c r="J110" s="34" t="s">
        <v>495</v>
      </c>
      <c r="K110" s="26" t="s">
        <v>59</v>
      </c>
      <c r="L110" s="26" t="s">
        <v>60</v>
      </c>
    </row>
    <row r="111" spans="1:12">
      <c r="A111" s="26" t="s">
        <v>53</v>
      </c>
      <c r="B111" s="26" t="s">
        <v>31</v>
      </c>
      <c r="C111" s="26" t="s">
        <v>75</v>
      </c>
      <c r="D111" s="26" t="s">
        <v>10</v>
      </c>
      <c r="E111" s="30"/>
      <c r="F111" s="30">
        <v>902284</v>
      </c>
      <c r="G111" s="45" t="s">
        <v>302</v>
      </c>
      <c r="H111" s="34">
        <v>28010852</v>
      </c>
      <c r="I111" s="45" t="s">
        <v>134</v>
      </c>
      <c r="J111" s="34" t="s">
        <v>210</v>
      </c>
      <c r="K111" s="26" t="s">
        <v>59</v>
      </c>
      <c r="L111" s="26" t="s">
        <v>60</v>
      </c>
    </row>
    <row r="112" spans="1:12">
      <c r="A112" s="26" t="s">
        <v>53</v>
      </c>
      <c r="B112" s="26" t="s">
        <v>31</v>
      </c>
      <c r="C112" s="26" t="s">
        <v>75</v>
      </c>
      <c r="D112" s="26" t="s">
        <v>13</v>
      </c>
      <c r="E112" s="30"/>
      <c r="F112" s="30">
        <v>902285</v>
      </c>
      <c r="G112" s="45" t="s">
        <v>306</v>
      </c>
      <c r="H112" s="34">
        <v>28010853</v>
      </c>
      <c r="I112" s="45" t="s">
        <v>136</v>
      </c>
      <c r="J112" s="34" t="s">
        <v>210</v>
      </c>
      <c r="K112" s="26" t="s">
        <v>59</v>
      </c>
      <c r="L112" s="26" t="s">
        <v>60</v>
      </c>
    </row>
    <row r="113" spans="1:12">
      <c r="A113" s="26" t="s">
        <v>53</v>
      </c>
      <c r="B113" s="26" t="s">
        <v>31</v>
      </c>
      <c r="C113" s="26" t="s">
        <v>75</v>
      </c>
      <c r="D113" s="26" t="s">
        <v>12</v>
      </c>
      <c r="E113" s="30"/>
      <c r="F113" s="30">
        <v>902286</v>
      </c>
      <c r="G113" s="45" t="s">
        <v>308</v>
      </c>
      <c r="H113" s="34">
        <v>28010854</v>
      </c>
      <c r="I113" s="45" t="s">
        <v>138</v>
      </c>
      <c r="J113" s="34" t="s">
        <v>99</v>
      </c>
      <c r="K113" s="26" t="s">
        <v>59</v>
      </c>
      <c r="L113" s="26" t="s">
        <v>60</v>
      </c>
    </row>
    <row r="114" spans="1:12">
      <c r="A114" s="26" t="s">
        <v>53</v>
      </c>
      <c r="B114" s="26" t="s">
        <v>31</v>
      </c>
      <c r="C114" s="26" t="s">
        <v>75</v>
      </c>
      <c r="D114" s="26" t="s">
        <v>28</v>
      </c>
      <c r="E114" s="30"/>
      <c r="F114" s="30">
        <v>902287</v>
      </c>
      <c r="G114" s="45" t="s">
        <v>120</v>
      </c>
      <c r="H114" s="34">
        <v>28010855</v>
      </c>
      <c r="I114" s="45" t="s">
        <v>140</v>
      </c>
      <c r="J114" s="34" t="s">
        <v>128</v>
      </c>
      <c r="K114" s="26" t="s">
        <v>59</v>
      </c>
      <c r="L114" s="26" t="s">
        <v>60</v>
      </c>
    </row>
    <row r="115" spans="1:12">
      <c r="A115" s="26" t="s">
        <v>53</v>
      </c>
      <c r="B115" s="26" t="s">
        <v>31</v>
      </c>
      <c r="C115" s="26" t="s">
        <v>75</v>
      </c>
      <c r="D115" s="26" t="s">
        <v>28</v>
      </c>
      <c r="E115" s="30"/>
      <c r="F115" s="30">
        <v>902288</v>
      </c>
      <c r="G115" s="45" t="s">
        <v>120</v>
      </c>
      <c r="H115" s="34">
        <v>28010856</v>
      </c>
      <c r="I115" s="45" t="s">
        <v>143</v>
      </c>
      <c r="J115" s="34" t="s">
        <v>128</v>
      </c>
      <c r="K115" s="26" t="s">
        <v>59</v>
      </c>
      <c r="L115" s="26" t="s">
        <v>60</v>
      </c>
    </row>
    <row r="116" spans="1:12">
      <c r="A116" s="26" t="s">
        <v>53</v>
      </c>
      <c r="B116" s="26" t="s">
        <v>31</v>
      </c>
      <c r="C116" s="26" t="s">
        <v>75</v>
      </c>
      <c r="D116" s="26" t="s">
        <v>13</v>
      </c>
      <c r="E116" s="30"/>
      <c r="F116" s="30">
        <v>902289</v>
      </c>
      <c r="G116" s="45" t="s">
        <v>311</v>
      </c>
      <c r="H116" s="34">
        <v>28010857</v>
      </c>
      <c r="I116" s="45" t="s">
        <v>145</v>
      </c>
      <c r="J116" s="34" t="s">
        <v>56</v>
      </c>
      <c r="K116" s="26" t="s">
        <v>59</v>
      </c>
      <c r="L116" s="26" t="s">
        <v>60</v>
      </c>
    </row>
    <row r="117" spans="1:12">
      <c r="A117" s="26" t="s">
        <v>53</v>
      </c>
      <c r="B117" s="26" t="s">
        <v>31</v>
      </c>
      <c r="C117" s="26" t="s">
        <v>75</v>
      </c>
      <c r="D117" s="26" t="s">
        <v>13</v>
      </c>
      <c r="E117" s="30"/>
      <c r="F117" s="30">
        <v>902290</v>
      </c>
      <c r="G117" s="45" t="s">
        <v>188</v>
      </c>
      <c r="H117" s="34"/>
      <c r="I117" s="45"/>
      <c r="J117" s="34"/>
      <c r="K117" s="26"/>
      <c r="L117" s="26" t="s">
        <v>63</v>
      </c>
    </row>
    <row r="118" spans="1:12">
      <c r="A118" s="26" t="s">
        <v>53</v>
      </c>
      <c r="B118" s="26" t="s">
        <v>31</v>
      </c>
      <c r="C118" s="26" t="s">
        <v>75</v>
      </c>
      <c r="D118" s="26" t="s">
        <v>12</v>
      </c>
      <c r="E118" s="30"/>
      <c r="F118" s="30">
        <v>902291</v>
      </c>
      <c r="G118" s="45" t="s">
        <v>113</v>
      </c>
      <c r="H118" s="34">
        <v>28010858</v>
      </c>
      <c r="I118" s="45" t="s">
        <v>147</v>
      </c>
      <c r="J118" s="34" t="s">
        <v>56</v>
      </c>
      <c r="K118" s="26" t="s">
        <v>59</v>
      </c>
      <c r="L118" s="26" t="s">
        <v>60</v>
      </c>
    </row>
    <row r="119" spans="1:12">
      <c r="A119" s="26" t="s">
        <v>53</v>
      </c>
      <c r="B119" s="26" t="s">
        <v>31</v>
      </c>
      <c r="C119" s="26" t="s">
        <v>75</v>
      </c>
      <c r="D119" s="26" t="s">
        <v>10</v>
      </c>
      <c r="E119" s="30"/>
      <c r="F119" s="30">
        <v>90002292</v>
      </c>
      <c r="G119" s="45" t="s">
        <v>315</v>
      </c>
      <c r="H119" s="34">
        <v>28010859</v>
      </c>
      <c r="I119" s="45" t="s">
        <v>149</v>
      </c>
      <c r="J119" s="34" t="s">
        <v>495</v>
      </c>
      <c r="K119" s="26" t="s">
        <v>59</v>
      </c>
      <c r="L119" s="26" t="s">
        <v>60</v>
      </c>
    </row>
    <row r="120" spans="1:12">
      <c r="A120" s="26" t="s">
        <v>53</v>
      </c>
      <c r="B120" s="26" t="s">
        <v>30</v>
      </c>
      <c r="C120" s="26" t="s">
        <v>75</v>
      </c>
      <c r="D120" s="26" t="s">
        <v>28</v>
      </c>
      <c r="E120" s="30"/>
      <c r="F120" s="30">
        <v>902293</v>
      </c>
      <c r="G120" s="45" t="s">
        <v>317</v>
      </c>
      <c r="H120" s="34">
        <v>28010860</v>
      </c>
      <c r="I120" s="45" t="s">
        <v>150</v>
      </c>
      <c r="J120" s="34" t="s">
        <v>72</v>
      </c>
      <c r="K120" s="26" t="s">
        <v>59</v>
      </c>
      <c r="L120" s="26" t="s">
        <v>60</v>
      </c>
    </row>
    <row r="121" spans="1:12">
      <c r="A121" s="26" t="s">
        <v>53</v>
      </c>
      <c r="B121" s="26" t="s">
        <v>31</v>
      </c>
      <c r="C121" s="26" t="s">
        <v>75</v>
      </c>
      <c r="D121" s="26" t="s">
        <v>10</v>
      </c>
      <c r="E121" s="30"/>
      <c r="F121" s="30">
        <v>90002294</v>
      </c>
      <c r="G121" s="45" t="s">
        <v>319</v>
      </c>
      <c r="H121" s="34">
        <v>28010861</v>
      </c>
      <c r="I121" s="45" t="s">
        <v>152</v>
      </c>
      <c r="J121" s="34" t="s">
        <v>69</v>
      </c>
      <c r="K121" s="26" t="s">
        <v>59</v>
      </c>
      <c r="L121" s="26" t="s">
        <v>60</v>
      </c>
    </row>
    <row r="122" spans="1:12">
      <c r="A122" s="26" t="s">
        <v>53</v>
      </c>
      <c r="B122" s="26" t="s">
        <v>31</v>
      </c>
      <c r="C122" s="26" t="s">
        <v>75</v>
      </c>
      <c r="D122" s="26" t="s">
        <v>10</v>
      </c>
      <c r="E122" s="30"/>
      <c r="F122" s="30">
        <v>902295</v>
      </c>
      <c r="G122" s="45" t="s">
        <v>321</v>
      </c>
      <c r="H122" s="34">
        <v>28010862</v>
      </c>
      <c r="I122" s="45" t="s">
        <v>154</v>
      </c>
      <c r="J122" s="34" t="s">
        <v>56</v>
      </c>
      <c r="K122" s="26" t="s">
        <v>59</v>
      </c>
      <c r="L122" s="26" t="s">
        <v>60</v>
      </c>
    </row>
    <row r="123" spans="1:12">
      <c r="A123" s="26" t="s">
        <v>53</v>
      </c>
      <c r="B123" s="26" t="s">
        <v>31</v>
      </c>
      <c r="C123" s="26" t="s">
        <v>75</v>
      </c>
      <c r="D123" s="26" t="s">
        <v>13</v>
      </c>
      <c r="E123" s="30"/>
      <c r="F123" s="30">
        <v>902296</v>
      </c>
      <c r="G123" s="45" t="s">
        <v>111</v>
      </c>
      <c r="H123" s="34">
        <v>28010863</v>
      </c>
      <c r="I123" s="45" t="s">
        <v>155</v>
      </c>
      <c r="J123" s="34" t="s">
        <v>72</v>
      </c>
      <c r="K123" s="26" t="s">
        <v>59</v>
      </c>
      <c r="L123" s="26" t="s">
        <v>60</v>
      </c>
    </row>
    <row r="124" spans="1:12">
      <c r="A124" s="26" t="s">
        <v>53</v>
      </c>
      <c r="B124" s="26" t="s">
        <v>31</v>
      </c>
      <c r="C124" s="26" t="s">
        <v>75</v>
      </c>
      <c r="D124" s="26" t="s">
        <v>10</v>
      </c>
      <c r="E124" s="30"/>
      <c r="F124" s="30">
        <v>902297</v>
      </c>
      <c r="G124" s="45" t="s">
        <v>325</v>
      </c>
      <c r="H124" s="34">
        <v>28010864</v>
      </c>
      <c r="I124" s="45" t="s">
        <v>156</v>
      </c>
      <c r="J124" s="34" t="s">
        <v>11</v>
      </c>
      <c r="K124" s="26" t="s">
        <v>59</v>
      </c>
      <c r="L124" s="26" t="s">
        <v>60</v>
      </c>
    </row>
    <row r="125" spans="1:12">
      <c r="A125" s="26" t="s">
        <v>53</v>
      </c>
      <c r="B125" s="26" t="s">
        <v>31</v>
      </c>
      <c r="C125" s="26" t="s">
        <v>75</v>
      </c>
      <c r="D125" s="26" t="s">
        <v>10</v>
      </c>
      <c r="E125" s="30"/>
      <c r="F125" s="30">
        <v>902298</v>
      </c>
      <c r="G125" s="45" t="s">
        <v>329</v>
      </c>
      <c r="H125" s="34">
        <v>28010865</v>
      </c>
      <c r="I125" s="45" t="s">
        <v>158</v>
      </c>
      <c r="J125" s="34" t="s">
        <v>495</v>
      </c>
      <c r="K125" s="26" t="s">
        <v>59</v>
      </c>
      <c r="L125" s="26" t="s">
        <v>60</v>
      </c>
    </row>
    <row r="126" spans="1:12">
      <c r="A126" s="26" t="s">
        <v>53</v>
      </c>
      <c r="B126" s="26" t="s">
        <v>31</v>
      </c>
      <c r="C126" s="26" t="s">
        <v>75</v>
      </c>
      <c r="D126" s="26" t="s">
        <v>28</v>
      </c>
      <c r="E126" s="30"/>
      <c r="F126" s="30">
        <v>902299</v>
      </c>
      <c r="G126" s="45" t="s">
        <v>331</v>
      </c>
      <c r="H126" s="34">
        <v>28010866</v>
      </c>
      <c r="I126" s="45" t="s">
        <v>159</v>
      </c>
      <c r="J126" s="34" t="s">
        <v>69</v>
      </c>
      <c r="K126" s="26" t="s">
        <v>59</v>
      </c>
      <c r="L126" s="26" t="s">
        <v>60</v>
      </c>
    </row>
    <row r="127" spans="1:12">
      <c r="A127" s="26" t="s">
        <v>53</v>
      </c>
      <c r="B127" s="26" t="s">
        <v>31</v>
      </c>
      <c r="C127" s="26" t="s">
        <v>75</v>
      </c>
      <c r="D127" s="26" t="s">
        <v>13</v>
      </c>
      <c r="E127" s="30"/>
      <c r="F127" s="30">
        <v>902300</v>
      </c>
      <c r="G127" s="45" t="s">
        <v>57</v>
      </c>
      <c r="H127" s="34">
        <v>28010867</v>
      </c>
      <c r="I127" s="45" t="s">
        <v>161</v>
      </c>
      <c r="J127" s="34" t="s">
        <v>56</v>
      </c>
      <c r="K127" s="26" t="s">
        <v>59</v>
      </c>
      <c r="L127" s="26" t="s">
        <v>60</v>
      </c>
    </row>
    <row r="128" spans="1:12">
      <c r="A128" s="26" t="s">
        <v>53</v>
      </c>
      <c r="B128" s="26" t="s">
        <v>31</v>
      </c>
      <c r="C128" s="26" t="s">
        <v>75</v>
      </c>
      <c r="D128" s="26" t="s">
        <v>10</v>
      </c>
      <c r="E128" s="30"/>
      <c r="F128" s="30">
        <v>902301</v>
      </c>
      <c r="G128" s="45" t="s">
        <v>176</v>
      </c>
      <c r="H128" s="34"/>
      <c r="I128" s="45"/>
      <c r="J128" s="34"/>
      <c r="K128" s="26"/>
      <c r="L128" s="26" t="s">
        <v>63</v>
      </c>
    </row>
    <row r="129" spans="1:12">
      <c r="A129" s="26" t="s">
        <v>53</v>
      </c>
      <c r="B129" s="26" t="s">
        <v>31</v>
      </c>
      <c r="C129" s="26" t="s">
        <v>75</v>
      </c>
      <c r="D129" s="26" t="s">
        <v>12</v>
      </c>
      <c r="E129" s="30"/>
      <c r="F129" s="30">
        <v>902302</v>
      </c>
      <c r="G129" s="45" t="s">
        <v>113</v>
      </c>
      <c r="H129" s="34"/>
      <c r="I129" s="45"/>
      <c r="J129" s="34"/>
      <c r="K129" s="26"/>
      <c r="L129" s="26" t="s">
        <v>63</v>
      </c>
    </row>
    <row r="130" spans="1:12">
      <c r="A130" s="26" t="s">
        <v>53</v>
      </c>
      <c r="B130" s="26" t="s">
        <v>31</v>
      </c>
      <c r="C130" s="26" t="s">
        <v>75</v>
      </c>
      <c r="D130" s="26" t="s">
        <v>10</v>
      </c>
      <c r="E130" s="30"/>
      <c r="F130" s="30">
        <v>90002303</v>
      </c>
      <c r="G130" s="45" t="s">
        <v>120</v>
      </c>
      <c r="H130" s="34">
        <v>28010868</v>
      </c>
      <c r="I130" s="45" t="s">
        <v>163</v>
      </c>
      <c r="J130" s="34" t="s">
        <v>56</v>
      </c>
      <c r="K130" s="26" t="s">
        <v>59</v>
      </c>
      <c r="L130" s="26" t="s">
        <v>60</v>
      </c>
    </row>
    <row r="131" spans="1:12">
      <c r="A131" s="26" t="s">
        <v>53</v>
      </c>
      <c r="B131" s="26" t="s">
        <v>31</v>
      </c>
      <c r="C131" s="26" t="s">
        <v>75</v>
      </c>
      <c r="D131" s="26" t="s">
        <v>10</v>
      </c>
      <c r="E131" s="30"/>
      <c r="F131" s="30">
        <v>902304</v>
      </c>
      <c r="G131" s="45" t="s">
        <v>62</v>
      </c>
      <c r="H131" s="34"/>
      <c r="I131" s="45"/>
      <c r="J131" s="34"/>
      <c r="K131" s="26"/>
      <c r="L131" s="26" t="s">
        <v>63</v>
      </c>
    </row>
    <row r="132" spans="1:12">
      <c r="A132" s="26" t="s">
        <v>1017</v>
      </c>
      <c r="B132" s="26" t="s">
        <v>30</v>
      </c>
      <c r="C132" s="26" t="s">
        <v>75</v>
      </c>
      <c r="D132" s="26" t="s">
        <v>28</v>
      </c>
      <c r="E132" s="30"/>
      <c r="F132" s="30">
        <v>902305</v>
      </c>
      <c r="G132" s="45" t="s">
        <v>245</v>
      </c>
      <c r="H132" s="34">
        <v>28010869</v>
      </c>
      <c r="I132" s="45" t="s">
        <v>164</v>
      </c>
      <c r="J132" s="34" t="s">
        <v>69</v>
      </c>
      <c r="K132" s="26" t="s">
        <v>59</v>
      </c>
      <c r="L132" s="26" t="s">
        <v>60</v>
      </c>
    </row>
    <row r="133" spans="1:12">
      <c r="A133" s="26" t="s">
        <v>1017</v>
      </c>
      <c r="B133" s="26" t="s">
        <v>29</v>
      </c>
      <c r="C133" s="26" t="s">
        <v>75</v>
      </c>
      <c r="D133" s="26" t="s">
        <v>21</v>
      </c>
      <c r="E133" s="30"/>
      <c r="F133" s="30">
        <v>902306</v>
      </c>
      <c r="G133" s="45" t="s">
        <v>67</v>
      </c>
      <c r="H133" s="34">
        <v>48010870</v>
      </c>
      <c r="I133" s="45" t="s">
        <v>167</v>
      </c>
      <c r="J133" s="34" t="s">
        <v>655</v>
      </c>
      <c r="K133" s="26" t="s">
        <v>59</v>
      </c>
      <c r="L133" s="26" t="s">
        <v>60</v>
      </c>
    </row>
    <row r="134" spans="1:12">
      <c r="A134" s="26" t="s">
        <v>53</v>
      </c>
      <c r="B134" s="26" t="s">
        <v>31</v>
      </c>
      <c r="C134" s="26" t="s">
        <v>75</v>
      </c>
      <c r="D134" s="26" t="s">
        <v>10</v>
      </c>
      <c r="E134" s="30"/>
      <c r="F134" s="30">
        <v>902169</v>
      </c>
      <c r="G134" s="45" t="s">
        <v>111</v>
      </c>
      <c r="H134" s="34">
        <v>28010751</v>
      </c>
      <c r="I134" s="45" t="s">
        <v>952</v>
      </c>
      <c r="J134" s="34" t="s">
        <v>128</v>
      </c>
      <c r="K134" s="26" t="s">
        <v>59</v>
      </c>
      <c r="L134" s="26" t="s">
        <v>60</v>
      </c>
    </row>
    <row r="135" spans="1:12">
      <c r="A135" s="26" t="s">
        <v>53</v>
      </c>
      <c r="B135" s="26" t="s">
        <v>29</v>
      </c>
      <c r="C135" s="26" t="s">
        <v>75</v>
      </c>
      <c r="D135" s="26" t="s">
        <v>21</v>
      </c>
      <c r="E135" s="30"/>
      <c r="F135" s="30">
        <v>902307</v>
      </c>
      <c r="G135" s="45" t="s">
        <v>215</v>
      </c>
      <c r="H135" s="34"/>
      <c r="I135" s="45"/>
      <c r="J135" s="34"/>
      <c r="K135" s="26"/>
      <c r="L135" s="26" t="s">
        <v>63</v>
      </c>
    </row>
    <row r="136" spans="1:12">
      <c r="A136" s="26" t="s">
        <v>53</v>
      </c>
      <c r="B136" s="26" t="s">
        <v>31</v>
      </c>
      <c r="C136" s="26" t="s">
        <v>75</v>
      </c>
      <c r="D136" s="26" t="s">
        <v>10</v>
      </c>
      <c r="E136" s="30"/>
      <c r="F136" s="30">
        <v>902308</v>
      </c>
      <c r="G136" s="45" t="s">
        <v>70</v>
      </c>
      <c r="H136" s="34">
        <v>28010871</v>
      </c>
      <c r="I136" s="45" t="s">
        <v>169</v>
      </c>
      <c r="J136" s="34" t="s">
        <v>99</v>
      </c>
      <c r="K136" s="26" t="s">
        <v>59</v>
      </c>
      <c r="L136" s="26" t="s">
        <v>60</v>
      </c>
    </row>
    <row r="137" spans="1:12">
      <c r="A137" s="26" t="s">
        <v>53</v>
      </c>
      <c r="B137" s="26" t="s">
        <v>31</v>
      </c>
      <c r="C137" s="26" t="s">
        <v>75</v>
      </c>
      <c r="D137" s="26" t="s">
        <v>10</v>
      </c>
      <c r="E137" s="30"/>
      <c r="F137" s="30">
        <v>90002309</v>
      </c>
      <c r="G137" s="45" t="s">
        <v>73</v>
      </c>
      <c r="H137" s="34">
        <v>28010872</v>
      </c>
      <c r="I137" s="45" t="s">
        <v>171</v>
      </c>
      <c r="J137" s="34" t="s">
        <v>69</v>
      </c>
      <c r="K137" s="26" t="s">
        <v>59</v>
      </c>
      <c r="L137" s="26" t="s">
        <v>60</v>
      </c>
    </row>
    <row r="138" spans="1:12">
      <c r="A138" s="26" t="s">
        <v>53</v>
      </c>
      <c r="B138" s="26" t="s">
        <v>31</v>
      </c>
      <c r="C138" s="26" t="s">
        <v>75</v>
      </c>
      <c r="D138" s="26" t="s">
        <v>13</v>
      </c>
      <c r="E138" s="30"/>
      <c r="F138" s="30">
        <v>90002310</v>
      </c>
      <c r="G138" s="45" t="s">
        <v>84</v>
      </c>
      <c r="H138" s="34">
        <v>28010873</v>
      </c>
      <c r="I138" s="45" t="s">
        <v>173</v>
      </c>
      <c r="J138" s="34" t="s">
        <v>128</v>
      </c>
      <c r="K138" s="26" t="s">
        <v>59</v>
      </c>
      <c r="L138" s="26" t="s">
        <v>60</v>
      </c>
    </row>
    <row r="139" spans="1:12">
      <c r="A139" s="26" t="s">
        <v>53</v>
      </c>
      <c r="B139" s="26" t="s">
        <v>30</v>
      </c>
      <c r="C139" s="26" t="s">
        <v>75</v>
      </c>
      <c r="D139" s="26" t="s">
        <v>28</v>
      </c>
      <c r="E139" s="30"/>
      <c r="F139" s="30">
        <v>90002311</v>
      </c>
      <c r="G139" s="45" t="s">
        <v>317</v>
      </c>
      <c r="H139" s="34">
        <v>28010874</v>
      </c>
      <c r="I139" s="45" t="s">
        <v>175</v>
      </c>
      <c r="J139" s="34" t="s">
        <v>128</v>
      </c>
      <c r="K139" s="26" t="s">
        <v>59</v>
      </c>
      <c r="L139" s="26" t="s">
        <v>60</v>
      </c>
    </row>
    <row r="140" spans="1:12">
      <c r="A140" s="26" t="s">
        <v>53</v>
      </c>
      <c r="B140" s="26" t="s">
        <v>31</v>
      </c>
      <c r="C140" s="26" t="s">
        <v>75</v>
      </c>
      <c r="D140" s="26" t="s">
        <v>13</v>
      </c>
      <c r="E140" s="30"/>
      <c r="F140" s="30">
        <v>90002312</v>
      </c>
      <c r="G140" s="45" t="s">
        <v>120</v>
      </c>
      <c r="H140" s="34">
        <v>28010875</v>
      </c>
      <c r="I140" s="45" t="s">
        <v>177</v>
      </c>
      <c r="J140" s="34" t="s">
        <v>56</v>
      </c>
      <c r="K140" s="26" t="s">
        <v>59</v>
      </c>
      <c r="L140" s="26" t="s">
        <v>60</v>
      </c>
    </row>
    <row r="141" spans="1:12">
      <c r="A141" s="26" t="s">
        <v>53</v>
      </c>
      <c r="B141" s="26" t="s">
        <v>31</v>
      </c>
      <c r="C141" s="26" t="s">
        <v>75</v>
      </c>
      <c r="D141" s="26" t="s">
        <v>10</v>
      </c>
      <c r="E141" s="30"/>
      <c r="F141" s="30">
        <v>90002313</v>
      </c>
      <c r="G141" s="45" t="s">
        <v>92</v>
      </c>
      <c r="H141" s="34">
        <v>28010876</v>
      </c>
      <c r="I141" s="45" t="s">
        <v>180</v>
      </c>
      <c r="J141" s="34" t="s">
        <v>69</v>
      </c>
      <c r="K141" s="26" t="s">
        <v>59</v>
      </c>
      <c r="L141" s="26" t="s">
        <v>60</v>
      </c>
    </row>
    <row r="142" spans="1:12">
      <c r="A142" s="26" t="s">
        <v>53</v>
      </c>
      <c r="B142" s="26" t="s">
        <v>30</v>
      </c>
      <c r="C142" s="26" t="s">
        <v>75</v>
      </c>
      <c r="D142" s="26" t="s">
        <v>28</v>
      </c>
      <c r="E142" s="30"/>
      <c r="F142" s="30">
        <v>90002314</v>
      </c>
      <c r="G142" s="45" t="s">
        <v>157</v>
      </c>
      <c r="H142" s="34">
        <v>28010877</v>
      </c>
      <c r="I142" s="45" t="s">
        <v>182</v>
      </c>
      <c r="J142" s="34" t="s">
        <v>210</v>
      </c>
      <c r="K142" s="26" t="s">
        <v>59</v>
      </c>
      <c r="L142" s="26" t="s">
        <v>60</v>
      </c>
    </row>
    <row r="143" spans="1:12">
      <c r="A143" s="26" t="s">
        <v>53</v>
      </c>
      <c r="B143" s="26" t="s">
        <v>31</v>
      </c>
      <c r="C143" s="26" t="s">
        <v>75</v>
      </c>
      <c r="D143" s="26" t="s">
        <v>10</v>
      </c>
      <c r="E143" s="30"/>
      <c r="F143" s="30">
        <v>90002315</v>
      </c>
      <c r="G143" s="45" t="s">
        <v>100</v>
      </c>
      <c r="H143" s="34">
        <v>28010878</v>
      </c>
      <c r="I143" s="45" t="s">
        <v>184</v>
      </c>
      <c r="J143" s="34" t="s">
        <v>69</v>
      </c>
      <c r="K143" s="26" t="s">
        <v>59</v>
      </c>
      <c r="L143" s="26" t="s">
        <v>60</v>
      </c>
    </row>
    <row r="144" spans="1:12">
      <c r="A144" s="26" t="s">
        <v>53</v>
      </c>
      <c r="B144" s="26" t="s">
        <v>31</v>
      </c>
      <c r="C144" s="26" t="s">
        <v>75</v>
      </c>
      <c r="D144" s="26" t="s">
        <v>12</v>
      </c>
      <c r="E144" s="30"/>
      <c r="F144" s="30">
        <v>90002316</v>
      </c>
      <c r="G144" s="45" t="s">
        <v>103</v>
      </c>
      <c r="H144" s="34">
        <v>28010879</v>
      </c>
      <c r="I144" s="45" t="s">
        <v>185</v>
      </c>
      <c r="J144" s="34" t="s">
        <v>66</v>
      </c>
      <c r="K144" s="26" t="s">
        <v>59</v>
      </c>
      <c r="L144" s="26" t="s">
        <v>60</v>
      </c>
    </row>
    <row r="145" spans="1:12">
      <c r="A145" s="26" t="s">
        <v>53</v>
      </c>
      <c r="B145" s="26" t="s">
        <v>31</v>
      </c>
      <c r="C145" s="26" t="s">
        <v>75</v>
      </c>
      <c r="D145" s="26" t="s">
        <v>10</v>
      </c>
      <c r="E145" s="30"/>
      <c r="F145" s="30">
        <v>90002317</v>
      </c>
      <c r="G145" s="45" t="s">
        <v>111</v>
      </c>
      <c r="H145" s="34">
        <v>28010880</v>
      </c>
      <c r="I145" s="45" t="s">
        <v>187</v>
      </c>
      <c r="J145" s="34" t="s">
        <v>99</v>
      </c>
      <c r="K145" s="26" t="s">
        <v>59</v>
      </c>
      <c r="L145" s="26" t="s">
        <v>60</v>
      </c>
    </row>
    <row r="146" spans="1:12">
      <c r="A146" s="26" t="s">
        <v>53</v>
      </c>
      <c r="B146" s="26" t="s">
        <v>31</v>
      </c>
      <c r="C146" s="26" t="s">
        <v>75</v>
      </c>
      <c r="D146" s="26" t="s">
        <v>13</v>
      </c>
      <c r="E146" s="30"/>
      <c r="F146" s="30">
        <v>90002318</v>
      </c>
      <c r="G146" s="45" t="s">
        <v>131</v>
      </c>
      <c r="H146" s="34">
        <v>28010881</v>
      </c>
      <c r="I146" s="45" t="s">
        <v>189</v>
      </c>
      <c r="J146" s="34" t="s">
        <v>210</v>
      </c>
      <c r="K146" s="26" t="s">
        <v>59</v>
      </c>
      <c r="L146" s="26" t="s">
        <v>60</v>
      </c>
    </row>
    <row r="147" spans="1:12">
      <c r="A147" s="26" t="s">
        <v>53</v>
      </c>
      <c r="B147" s="26" t="s">
        <v>31</v>
      </c>
      <c r="C147" s="26" t="s">
        <v>75</v>
      </c>
      <c r="D147" s="26" t="s">
        <v>12</v>
      </c>
      <c r="E147" s="30"/>
      <c r="F147" s="30">
        <v>90002319</v>
      </c>
      <c r="G147" s="45" t="s">
        <v>113</v>
      </c>
      <c r="H147" s="34">
        <v>28010882</v>
      </c>
      <c r="I147" s="45" t="s">
        <v>191</v>
      </c>
      <c r="J147" s="34" t="s">
        <v>210</v>
      </c>
      <c r="K147" s="26" t="s">
        <v>59</v>
      </c>
      <c r="L147" s="26" t="s">
        <v>60</v>
      </c>
    </row>
    <row r="148" spans="1:12">
      <c r="A148" s="26" t="s">
        <v>53</v>
      </c>
      <c r="B148" s="26" t="s">
        <v>31</v>
      </c>
      <c r="C148" s="26" t="s">
        <v>75</v>
      </c>
      <c r="D148" s="26" t="s">
        <v>11</v>
      </c>
      <c r="E148" s="30"/>
      <c r="F148" s="30">
        <v>90002320</v>
      </c>
      <c r="G148" s="45" t="s">
        <v>116</v>
      </c>
      <c r="H148" s="34">
        <v>28010883</v>
      </c>
      <c r="I148" s="45" t="s">
        <v>192</v>
      </c>
      <c r="J148" s="34" t="s">
        <v>99</v>
      </c>
      <c r="K148" s="26" t="s">
        <v>59</v>
      </c>
      <c r="L148" s="26" t="s">
        <v>60</v>
      </c>
    </row>
    <row r="149" spans="1:12">
      <c r="A149" s="26" t="s">
        <v>53</v>
      </c>
      <c r="B149" s="26" t="s">
        <v>30</v>
      </c>
      <c r="C149" s="26" t="s">
        <v>75</v>
      </c>
      <c r="D149" s="26" t="s">
        <v>28</v>
      </c>
      <c r="E149" s="30"/>
      <c r="F149" s="30">
        <v>90002321</v>
      </c>
      <c r="G149" s="45" t="s">
        <v>157</v>
      </c>
      <c r="H149" s="34">
        <v>28010884</v>
      </c>
      <c r="I149" s="45" t="s">
        <v>194</v>
      </c>
      <c r="J149" s="34" t="s">
        <v>99</v>
      </c>
      <c r="K149" s="26" t="s">
        <v>59</v>
      </c>
      <c r="L149" s="26" t="s">
        <v>60</v>
      </c>
    </row>
    <row r="150" spans="1:12">
      <c r="A150" s="26" t="s">
        <v>53</v>
      </c>
      <c r="B150" s="26" t="s">
        <v>31</v>
      </c>
      <c r="C150" s="26" t="s">
        <v>75</v>
      </c>
      <c r="D150" s="26" t="s">
        <v>12</v>
      </c>
      <c r="E150" s="30"/>
      <c r="F150" s="30">
        <v>90002322</v>
      </c>
      <c r="G150" s="45" t="s">
        <v>118</v>
      </c>
      <c r="H150" s="34">
        <v>28010885</v>
      </c>
      <c r="I150" s="45" t="s">
        <v>196</v>
      </c>
      <c r="J150" s="34" t="s">
        <v>11</v>
      </c>
      <c r="K150" s="26" t="s">
        <v>59</v>
      </c>
      <c r="L150" s="26" t="s">
        <v>60</v>
      </c>
    </row>
    <row r="151" spans="1:12">
      <c r="A151" s="26" t="s">
        <v>53</v>
      </c>
      <c r="B151" s="26" t="s">
        <v>31</v>
      </c>
      <c r="C151" s="26" t="s">
        <v>75</v>
      </c>
      <c r="D151" s="26" t="s">
        <v>10</v>
      </c>
      <c r="E151" s="30"/>
      <c r="F151" s="30">
        <v>90002323</v>
      </c>
      <c r="G151" s="45" t="s">
        <v>120</v>
      </c>
      <c r="H151" s="34">
        <v>28010886</v>
      </c>
      <c r="I151" s="45" t="s">
        <v>198</v>
      </c>
      <c r="J151" s="34" t="s">
        <v>210</v>
      </c>
      <c r="K151" s="26" t="s">
        <v>59</v>
      </c>
      <c r="L151" s="26" t="s">
        <v>60</v>
      </c>
    </row>
    <row r="152" spans="1:12">
      <c r="A152" s="26" t="s">
        <v>53</v>
      </c>
      <c r="B152" s="26" t="s">
        <v>31</v>
      </c>
      <c r="C152" s="26" t="s">
        <v>75</v>
      </c>
      <c r="D152" s="26" t="s">
        <v>13</v>
      </c>
      <c r="E152" s="30"/>
      <c r="F152" s="30">
        <v>90002324</v>
      </c>
      <c r="G152" s="45" t="s">
        <v>126</v>
      </c>
      <c r="H152" s="34">
        <v>28010887</v>
      </c>
      <c r="I152" s="45" t="s">
        <v>200</v>
      </c>
      <c r="J152" s="34" t="s">
        <v>69</v>
      </c>
      <c r="K152" s="26" t="s">
        <v>59</v>
      </c>
      <c r="L152" s="26" t="s">
        <v>60</v>
      </c>
    </row>
    <row r="153" spans="1:12">
      <c r="A153" s="26" t="s">
        <v>53</v>
      </c>
      <c r="B153" s="26" t="s">
        <v>31</v>
      </c>
      <c r="C153" s="26" t="s">
        <v>75</v>
      </c>
      <c r="D153" s="26" t="s">
        <v>12</v>
      </c>
      <c r="E153" s="30"/>
      <c r="F153" s="30">
        <v>90002325</v>
      </c>
      <c r="G153" s="45" t="s">
        <v>129</v>
      </c>
      <c r="H153" s="34">
        <v>28010888</v>
      </c>
      <c r="I153" s="45" t="s">
        <v>202</v>
      </c>
      <c r="J153" s="34" t="s">
        <v>69</v>
      </c>
      <c r="K153" s="26" t="s">
        <v>59</v>
      </c>
      <c r="L153" s="26" t="s">
        <v>60</v>
      </c>
    </row>
    <row r="154" spans="1:12">
      <c r="A154" s="26" t="s">
        <v>53</v>
      </c>
      <c r="B154" s="26" t="s">
        <v>31</v>
      </c>
      <c r="C154" s="26" t="s">
        <v>75</v>
      </c>
      <c r="D154" s="26" t="s">
        <v>13</v>
      </c>
      <c r="E154" s="30"/>
      <c r="F154" s="30">
        <v>90002326</v>
      </c>
      <c r="G154" s="45" t="s">
        <v>131</v>
      </c>
      <c r="H154" s="34">
        <v>28010889</v>
      </c>
      <c r="I154" s="45" t="s">
        <v>204</v>
      </c>
      <c r="J154" s="34" t="s">
        <v>69</v>
      </c>
      <c r="K154" s="26" t="s">
        <v>59</v>
      </c>
      <c r="L154" s="26" t="s">
        <v>60</v>
      </c>
    </row>
    <row r="155" spans="1:12">
      <c r="A155" s="26" t="s">
        <v>53</v>
      </c>
      <c r="B155" s="26" t="s">
        <v>31</v>
      </c>
      <c r="C155" s="26" t="s">
        <v>75</v>
      </c>
      <c r="D155" s="26" t="s">
        <v>13</v>
      </c>
      <c r="E155" s="30"/>
      <c r="F155" s="30">
        <v>90002327</v>
      </c>
      <c r="G155" s="45" t="s">
        <v>120</v>
      </c>
      <c r="H155" s="34">
        <v>28010890</v>
      </c>
      <c r="I155" s="45" t="s">
        <v>205</v>
      </c>
      <c r="J155" s="34" t="s">
        <v>210</v>
      </c>
      <c r="K155" s="26" t="s">
        <v>59</v>
      </c>
      <c r="L155" s="26" t="s">
        <v>60</v>
      </c>
    </row>
    <row r="156" spans="1:12">
      <c r="A156" s="26" t="s">
        <v>1017</v>
      </c>
      <c r="B156" s="26" t="s">
        <v>31</v>
      </c>
      <c r="C156" s="26" t="s">
        <v>75</v>
      </c>
      <c r="D156" s="26" t="s">
        <v>12</v>
      </c>
      <c r="E156" s="30"/>
      <c r="F156" s="30">
        <v>902328</v>
      </c>
      <c r="G156" s="45" t="s">
        <v>133</v>
      </c>
      <c r="H156" s="34">
        <v>28010891</v>
      </c>
      <c r="I156" s="45" t="s">
        <v>206</v>
      </c>
      <c r="J156" s="34" t="s">
        <v>66</v>
      </c>
      <c r="K156" s="26" t="s">
        <v>59</v>
      </c>
      <c r="L156" s="26" t="s">
        <v>60</v>
      </c>
    </row>
    <row r="157" spans="1:12">
      <c r="A157" s="26" t="s">
        <v>53</v>
      </c>
      <c r="B157" s="26" t="s">
        <v>31</v>
      </c>
      <c r="C157" s="26" t="s">
        <v>75</v>
      </c>
      <c r="D157" s="26" t="s">
        <v>10</v>
      </c>
      <c r="E157" s="30"/>
      <c r="F157" s="30">
        <v>902329</v>
      </c>
      <c r="G157" s="45" t="s">
        <v>135</v>
      </c>
      <c r="H157" s="34"/>
      <c r="I157" s="45"/>
      <c r="J157" s="34"/>
      <c r="K157" s="26"/>
      <c r="L157" s="26" t="s">
        <v>63</v>
      </c>
    </row>
    <row r="158" spans="1:12">
      <c r="A158" s="26" t="s">
        <v>53</v>
      </c>
      <c r="B158" s="26" t="s">
        <v>31</v>
      </c>
      <c r="C158" s="26" t="s">
        <v>75</v>
      </c>
      <c r="D158" s="26" t="s">
        <v>10</v>
      </c>
      <c r="E158" s="30"/>
      <c r="F158" s="30">
        <v>902330</v>
      </c>
      <c r="G158" s="45" t="s">
        <v>137</v>
      </c>
      <c r="H158" s="34"/>
      <c r="I158" s="45"/>
      <c r="J158" s="34"/>
      <c r="K158" s="26"/>
      <c r="L158" s="26" t="s">
        <v>63</v>
      </c>
    </row>
    <row r="159" spans="1:12">
      <c r="A159" s="26" t="s">
        <v>53</v>
      </c>
      <c r="B159" s="26" t="s">
        <v>31</v>
      </c>
      <c r="C159" s="26" t="s">
        <v>75</v>
      </c>
      <c r="D159" s="26" t="s">
        <v>10</v>
      </c>
      <c r="E159" s="30"/>
      <c r="F159" s="30">
        <v>90002331</v>
      </c>
      <c r="G159" s="45" t="s">
        <v>120</v>
      </c>
      <c r="H159" s="34"/>
      <c r="I159" s="45"/>
      <c r="J159" s="34"/>
      <c r="K159" s="26"/>
      <c r="L159" s="26" t="s">
        <v>63</v>
      </c>
    </row>
    <row r="160" spans="1:12">
      <c r="A160" s="26" t="s">
        <v>53</v>
      </c>
      <c r="B160" s="26" t="s">
        <v>30</v>
      </c>
      <c r="C160" s="26" t="s">
        <v>75</v>
      </c>
      <c r="D160" s="26" t="s">
        <v>28</v>
      </c>
      <c r="E160" s="30"/>
      <c r="F160" s="30">
        <v>90002332</v>
      </c>
      <c r="G160" s="45" t="s">
        <v>245</v>
      </c>
      <c r="H160" s="34"/>
      <c r="I160" s="45"/>
      <c r="J160" s="34"/>
      <c r="K160" s="26"/>
      <c r="L160" s="26" t="s">
        <v>63</v>
      </c>
    </row>
    <row r="161" spans="1:12">
      <c r="A161" s="26" t="s">
        <v>223</v>
      </c>
      <c r="B161" s="26" t="s">
        <v>31</v>
      </c>
      <c r="C161" s="26" t="s">
        <v>75</v>
      </c>
      <c r="D161" s="26" t="s">
        <v>10</v>
      </c>
      <c r="E161" s="30"/>
      <c r="F161" s="30">
        <v>902333</v>
      </c>
      <c r="G161" s="45" t="s">
        <v>139</v>
      </c>
      <c r="H161" s="34"/>
      <c r="I161" s="45"/>
      <c r="J161" s="34"/>
      <c r="K161" s="26"/>
      <c r="L161" s="26" t="s">
        <v>63</v>
      </c>
    </row>
    <row r="162" spans="1:12">
      <c r="A162" s="26" t="s">
        <v>223</v>
      </c>
      <c r="B162" s="26" t="s">
        <v>31</v>
      </c>
      <c r="C162" s="26" t="s">
        <v>75</v>
      </c>
      <c r="D162" s="26" t="s">
        <v>13</v>
      </c>
      <c r="E162" s="30"/>
      <c r="F162" s="30">
        <v>902334</v>
      </c>
      <c r="G162" s="45" t="s">
        <v>141</v>
      </c>
      <c r="H162" s="34"/>
      <c r="I162" s="45"/>
      <c r="J162" s="34"/>
      <c r="K162" s="26"/>
      <c r="L162" s="26" t="s">
        <v>63</v>
      </c>
    </row>
    <row r="163" spans="1:12">
      <c r="A163" s="26" t="s">
        <v>223</v>
      </c>
      <c r="B163" s="26" t="s">
        <v>31</v>
      </c>
      <c r="C163" s="26" t="s">
        <v>75</v>
      </c>
      <c r="D163" s="26" t="s">
        <v>13</v>
      </c>
      <c r="E163" s="30"/>
      <c r="F163" s="30">
        <v>902335</v>
      </c>
      <c r="G163" s="45" t="s">
        <v>142</v>
      </c>
      <c r="H163" s="34"/>
      <c r="I163" s="45"/>
      <c r="J163" s="34"/>
      <c r="K163" s="26"/>
      <c r="L163" s="26" t="s">
        <v>63</v>
      </c>
    </row>
    <row r="164" spans="1:12">
      <c r="A164" s="26" t="s">
        <v>223</v>
      </c>
      <c r="B164" s="26" t="s">
        <v>31</v>
      </c>
      <c r="C164" s="26" t="s">
        <v>75</v>
      </c>
      <c r="D164" s="26" t="s">
        <v>13</v>
      </c>
      <c r="E164" s="30"/>
      <c r="F164" s="30">
        <v>902336</v>
      </c>
      <c r="G164" s="45" t="s">
        <v>144</v>
      </c>
      <c r="H164" s="34"/>
      <c r="I164" s="45"/>
      <c r="J164" s="34"/>
      <c r="K164" s="26"/>
      <c r="L164" s="26" t="s">
        <v>63</v>
      </c>
    </row>
    <row r="165" spans="1:12">
      <c r="A165" s="26" t="s">
        <v>223</v>
      </c>
      <c r="B165" s="26" t="s">
        <v>31</v>
      </c>
      <c r="C165" s="26" t="s">
        <v>75</v>
      </c>
      <c r="D165" s="26" t="s">
        <v>13</v>
      </c>
      <c r="E165" s="30"/>
      <c r="F165" s="30">
        <v>902337</v>
      </c>
      <c r="G165" s="45" t="s">
        <v>144</v>
      </c>
      <c r="H165" s="34"/>
      <c r="I165" s="45"/>
      <c r="J165" s="34"/>
      <c r="K165" s="26"/>
      <c r="L165" s="26" t="s">
        <v>63</v>
      </c>
    </row>
    <row r="166" spans="1:12">
      <c r="A166" s="26" t="s">
        <v>223</v>
      </c>
      <c r="B166" s="26" t="s">
        <v>31</v>
      </c>
      <c r="C166" s="26" t="s">
        <v>75</v>
      </c>
      <c r="D166" s="26" t="s">
        <v>12</v>
      </c>
      <c r="E166" s="30"/>
      <c r="F166" s="30">
        <v>902338</v>
      </c>
      <c r="G166" s="45" t="s">
        <v>146</v>
      </c>
      <c r="H166" s="34"/>
      <c r="I166" s="45"/>
      <c r="J166" s="34"/>
      <c r="K166" s="26"/>
      <c r="L166" s="26" t="s">
        <v>63</v>
      </c>
    </row>
    <row r="167" spans="1:12">
      <c r="A167" s="26" t="s">
        <v>223</v>
      </c>
      <c r="B167" s="26" t="s">
        <v>31</v>
      </c>
      <c r="C167" s="26" t="s">
        <v>75</v>
      </c>
      <c r="D167" s="26" t="s">
        <v>12</v>
      </c>
      <c r="E167" s="30"/>
      <c r="F167" s="30">
        <v>902339</v>
      </c>
      <c r="G167" s="45" t="s">
        <v>148</v>
      </c>
      <c r="H167" s="34"/>
      <c r="I167" s="45"/>
      <c r="J167" s="34"/>
      <c r="K167" s="26"/>
      <c r="L167" s="26" t="s">
        <v>63</v>
      </c>
    </row>
    <row r="168" spans="1:12">
      <c r="A168" s="26" t="s">
        <v>223</v>
      </c>
      <c r="B168" s="26" t="s">
        <v>31</v>
      </c>
      <c r="C168" s="26" t="s">
        <v>75</v>
      </c>
      <c r="D168" s="26" t="s">
        <v>10</v>
      </c>
      <c r="E168" s="30"/>
      <c r="F168" s="30">
        <v>902340</v>
      </c>
      <c r="G168" s="47" t="s">
        <v>151</v>
      </c>
      <c r="H168" s="34"/>
      <c r="I168" s="45"/>
      <c r="J168" s="34"/>
      <c r="K168" s="26"/>
      <c r="L168" s="26" t="s">
        <v>63</v>
      </c>
    </row>
    <row r="169" spans="1:12">
      <c r="A169" s="26" t="s">
        <v>223</v>
      </c>
      <c r="B169" s="26" t="s">
        <v>31</v>
      </c>
      <c r="C169" s="26" t="s">
        <v>75</v>
      </c>
      <c r="D169" s="26" t="s">
        <v>13</v>
      </c>
      <c r="E169" s="30"/>
      <c r="F169" s="30">
        <v>902341</v>
      </c>
      <c r="G169" s="47" t="s">
        <v>153</v>
      </c>
      <c r="H169" s="34"/>
      <c r="I169" s="45"/>
      <c r="J169" s="34"/>
      <c r="K169" s="26"/>
      <c r="L169" s="26" t="s">
        <v>63</v>
      </c>
    </row>
    <row r="170" spans="1:12">
      <c r="A170" s="26" t="s">
        <v>223</v>
      </c>
      <c r="B170" s="26" t="s">
        <v>29</v>
      </c>
      <c r="C170" s="26" t="s">
        <v>75</v>
      </c>
      <c r="D170" s="26" t="s">
        <v>21</v>
      </c>
      <c r="E170" s="30"/>
      <c r="F170" s="30">
        <v>902342</v>
      </c>
      <c r="G170" s="45" t="s">
        <v>157</v>
      </c>
      <c r="H170" s="34"/>
      <c r="I170" s="45"/>
      <c r="J170" s="34"/>
      <c r="K170" s="26"/>
      <c r="L170" s="26" t="s">
        <v>63</v>
      </c>
    </row>
    <row r="171" spans="1:12">
      <c r="A171" s="26" t="s">
        <v>223</v>
      </c>
      <c r="B171" s="26" t="s">
        <v>31</v>
      </c>
      <c r="C171" s="26" t="s">
        <v>75</v>
      </c>
      <c r="D171" s="26" t="s">
        <v>12</v>
      </c>
      <c r="E171" s="30"/>
      <c r="F171" s="30">
        <v>902343</v>
      </c>
      <c r="G171" s="45" t="s">
        <v>160</v>
      </c>
      <c r="H171" s="34"/>
      <c r="I171" s="45"/>
      <c r="J171" s="34"/>
      <c r="K171" s="26"/>
      <c r="L171" s="26" t="s">
        <v>63</v>
      </c>
    </row>
    <row r="172" spans="1:12">
      <c r="A172" s="26" t="s">
        <v>223</v>
      </c>
      <c r="B172" s="26" t="s">
        <v>31</v>
      </c>
      <c r="C172" s="26" t="s">
        <v>75</v>
      </c>
      <c r="D172" s="26" t="s">
        <v>12</v>
      </c>
      <c r="E172" s="30"/>
      <c r="F172" s="30">
        <v>902344</v>
      </c>
      <c r="G172" s="45" t="s">
        <v>160</v>
      </c>
      <c r="H172" s="34"/>
      <c r="I172" s="45"/>
      <c r="J172" s="34"/>
      <c r="K172" s="26"/>
      <c r="L172" s="26" t="s">
        <v>63</v>
      </c>
    </row>
    <row r="173" spans="1:12">
      <c r="A173" s="26" t="s">
        <v>223</v>
      </c>
      <c r="B173" s="26" t="s">
        <v>31</v>
      </c>
      <c r="C173" s="26" t="s">
        <v>75</v>
      </c>
      <c r="D173" s="26" t="s">
        <v>12</v>
      </c>
      <c r="E173" s="30"/>
      <c r="F173" s="30">
        <v>902345</v>
      </c>
      <c r="G173" s="45" t="s">
        <v>160</v>
      </c>
      <c r="H173" s="34"/>
      <c r="I173" s="45"/>
      <c r="J173" s="34"/>
      <c r="K173" s="26"/>
      <c r="L173" s="26" t="s">
        <v>63</v>
      </c>
    </row>
    <row r="174" spans="1:12">
      <c r="A174" s="26" t="s">
        <v>223</v>
      </c>
      <c r="B174" s="26" t="s">
        <v>31</v>
      </c>
      <c r="C174" s="26" t="s">
        <v>75</v>
      </c>
      <c r="D174" s="26" t="s">
        <v>12</v>
      </c>
      <c r="E174" s="30"/>
      <c r="F174" s="30">
        <v>902346</v>
      </c>
      <c r="G174" s="45" t="s">
        <v>162</v>
      </c>
      <c r="H174" s="34">
        <v>28010892</v>
      </c>
      <c r="I174" s="45" t="s">
        <v>207</v>
      </c>
      <c r="J174" s="34" t="s">
        <v>128</v>
      </c>
      <c r="K174" s="26" t="s">
        <v>59</v>
      </c>
      <c r="L174" s="26" t="s">
        <v>60</v>
      </c>
    </row>
    <row r="175" spans="1:12">
      <c r="A175" s="26" t="s">
        <v>223</v>
      </c>
      <c r="B175" s="26" t="s">
        <v>31</v>
      </c>
      <c r="C175" s="26" t="s">
        <v>75</v>
      </c>
      <c r="D175" s="26" t="s">
        <v>10</v>
      </c>
      <c r="E175" s="30"/>
      <c r="F175" s="30">
        <v>902347</v>
      </c>
      <c r="G175" s="45" t="s">
        <v>144</v>
      </c>
      <c r="H175" s="34"/>
      <c r="I175" s="45"/>
      <c r="J175" s="34"/>
      <c r="K175" s="26"/>
      <c r="L175" s="26" t="s">
        <v>63</v>
      </c>
    </row>
    <row r="176" spans="1:12">
      <c r="A176" s="26" t="s">
        <v>223</v>
      </c>
      <c r="B176" s="26" t="s">
        <v>31</v>
      </c>
      <c r="C176" s="26" t="s">
        <v>75</v>
      </c>
      <c r="D176" s="26" t="s">
        <v>12</v>
      </c>
      <c r="E176" s="30"/>
      <c r="F176" s="30">
        <v>902348</v>
      </c>
      <c r="G176" s="45" t="s">
        <v>165</v>
      </c>
      <c r="H176" s="34"/>
      <c r="I176" s="45"/>
      <c r="J176" s="34"/>
      <c r="K176" s="26"/>
      <c r="L176" s="26" t="s">
        <v>63</v>
      </c>
    </row>
    <row r="177" spans="1:12">
      <c r="A177" s="26" t="s">
        <v>223</v>
      </c>
      <c r="B177" s="26" t="s">
        <v>31</v>
      </c>
      <c r="C177" s="26" t="s">
        <v>75</v>
      </c>
      <c r="D177" s="26" t="s">
        <v>12</v>
      </c>
      <c r="E177" s="30"/>
      <c r="F177" s="30">
        <v>902349</v>
      </c>
      <c r="G177" s="45" t="s">
        <v>166</v>
      </c>
      <c r="H177" s="34">
        <v>28010893</v>
      </c>
      <c r="I177" s="45" t="s">
        <v>208</v>
      </c>
      <c r="J177" s="34" t="s">
        <v>99</v>
      </c>
      <c r="K177" s="26" t="s">
        <v>59</v>
      </c>
      <c r="L177" s="26" t="s">
        <v>60</v>
      </c>
    </row>
    <row r="178" spans="1:12">
      <c r="A178" s="26" t="s">
        <v>53</v>
      </c>
      <c r="B178" s="26" t="s">
        <v>31</v>
      </c>
      <c r="C178" s="26" t="s">
        <v>75</v>
      </c>
      <c r="D178" s="26" t="s">
        <v>28</v>
      </c>
      <c r="E178" s="30"/>
      <c r="F178" s="30">
        <v>902350</v>
      </c>
      <c r="G178" s="45" t="s">
        <v>168</v>
      </c>
      <c r="H178" s="34">
        <v>28010894</v>
      </c>
      <c r="I178" s="45" t="s">
        <v>209</v>
      </c>
      <c r="J178" s="34" t="s">
        <v>109</v>
      </c>
      <c r="K178" s="26" t="s">
        <v>59</v>
      </c>
      <c r="L178" s="26" t="s">
        <v>60</v>
      </c>
    </row>
    <row r="179" spans="1:12">
      <c r="A179" s="26" t="s">
        <v>1018</v>
      </c>
      <c r="B179" s="26" t="s">
        <v>31</v>
      </c>
      <c r="C179" s="26" t="s">
        <v>75</v>
      </c>
      <c r="D179" s="26" t="s">
        <v>13</v>
      </c>
      <c r="E179" s="30"/>
      <c r="F179" s="31">
        <v>902351</v>
      </c>
      <c r="G179" s="32" t="s">
        <v>170</v>
      </c>
      <c r="H179" s="34">
        <v>28010895</v>
      </c>
      <c r="I179" s="45" t="s">
        <v>212</v>
      </c>
      <c r="J179" s="34" t="s">
        <v>69</v>
      </c>
      <c r="K179" s="26" t="s">
        <v>59</v>
      </c>
      <c r="L179" s="26" t="s">
        <v>60</v>
      </c>
    </row>
    <row r="180" spans="1:12">
      <c r="A180" s="26" t="s">
        <v>1018</v>
      </c>
      <c r="B180" s="26" t="s">
        <v>31</v>
      </c>
      <c r="C180" s="26" t="s">
        <v>75</v>
      </c>
      <c r="D180" s="26" t="s">
        <v>13</v>
      </c>
      <c r="E180" s="30"/>
      <c r="F180" s="44">
        <v>902352</v>
      </c>
      <c r="G180" s="48" t="s">
        <v>172</v>
      </c>
      <c r="H180" s="34">
        <v>28010896</v>
      </c>
      <c r="I180" s="45" t="s">
        <v>214</v>
      </c>
      <c r="J180" s="34" t="s">
        <v>495</v>
      </c>
      <c r="K180" s="26" t="s">
        <v>59</v>
      </c>
      <c r="L180" s="26" t="s">
        <v>60</v>
      </c>
    </row>
    <row r="181" spans="1:12">
      <c r="A181" s="26" t="s">
        <v>53</v>
      </c>
      <c r="B181" s="26" t="s">
        <v>31</v>
      </c>
      <c r="C181" s="26" t="s">
        <v>75</v>
      </c>
      <c r="D181" s="26" t="s">
        <v>14</v>
      </c>
      <c r="E181" s="30"/>
      <c r="F181" s="30">
        <v>902353</v>
      </c>
      <c r="G181" s="45" t="s">
        <v>174</v>
      </c>
      <c r="H181" s="34">
        <v>28010897</v>
      </c>
      <c r="I181" s="45" t="s">
        <v>216</v>
      </c>
      <c r="J181" s="34" t="s">
        <v>981</v>
      </c>
      <c r="K181" s="26" t="s">
        <v>59</v>
      </c>
      <c r="L181" s="26" t="s">
        <v>60</v>
      </c>
    </row>
    <row r="182" spans="1:12">
      <c r="A182" s="26" t="s">
        <v>53</v>
      </c>
      <c r="B182" s="26" t="s">
        <v>32</v>
      </c>
      <c r="C182" s="26" t="s">
        <v>80</v>
      </c>
      <c r="D182" s="26" t="s">
        <v>15</v>
      </c>
      <c r="E182" s="30"/>
      <c r="F182" s="30">
        <v>902354</v>
      </c>
      <c r="G182" s="45" t="s">
        <v>176</v>
      </c>
      <c r="H182" s="34"/>
      <c r="I182" s="45"/>
      <c r="J182" s="34"/>
      <c r="K182" s="26"/>
      <c r="L182" s="26" t="s">
        <v>63</v>
      </c>
    </row>
    <row r="183" spans="1:12">
      <c r="A183" s="26" t="s">
        <v>53</v>
      </c>
      <c r="B183" s="26" t="s">
        <v>32</v>
      </c>
      <c r="C183" s="26" t="s">
        <v>80</v>
      </c>
      <c r="D183" s="26" t="s">
        <v>15</v>
      </c>
      <c r="E183" s="30"/>
      <c r="F183" s="30">
        <v>902355</v>
      </c>
      <c r="G183" s="45" t="s">
        <v>178</v>
      </c>
      <c r="H183" s="34">
        <v>28010898</v>
      </c>
      <c r="I183" s="45" t="s">
        <v>218</v>
      </c>
      <c r="J183" s="34" t="s">
        <v>66</v>
      </c>
      <c r="K183" s="26" t="s">
        <v>59</v>
      </c>
      <c r="L183" s="26" t="s">
        <v>60</v>
      </c>
    </row>
    <row r="184" spans="1:12">
      <c r="A184" s="26" t="s">
        <v>53</v>
      </c>
      <c r="B184" s="26" t="s">
        <v>32</v>
      </c>
      <c r="C184" s="26" t="s">
        <v>80</v>
      </c>
      <c r="D184" s="26" t="s">
        <v>16</v>
      </c>
      <c r="E184" s="30"/>
      <c r="F184" s="30">
        <v>902356</v>
      </c>
      <c r="G184" s="45" t="s">
        <v>179</v>
      </c>
      <c r="H184" s="34">
        <v>28010899</v>
      </c>
      <c r="I184" s="45" t="s">
        <v>219</v>
      </c>
      <c r="J184" s="34" t="s">
        <v>56</v>
      </c>
      <c r="K184" s="26" t="s">
        <v>59</v>
      </c>
      <c r="L184" s="26" t="s">
        <v>60</v>
      </c>
    </row>
    <row r="185" spans="1:12">
      <c r="A185" s="26" t="s">
        <v>53</v>
      </c>
      <c r="B185" s="26" t="s">
        <v>32</v>
      </c>
      <c r="C185" s="26" t="s">
        <v>80</v>
      </c>
      <c r="D185" s="26" t="s">
        <v>15</v>
      </c>
      <c r="E185" s="30"/>
      <c r="F185" s="30">
        <v>902357</v>
      </c>
      <c r="G185" s="45" t="s">
        <v>181</v>
      </c>
      <c r="H185" s="34">
        <v>28010900</v>
      </c>
      <c r="I185" s="45" t="s">
        <v>222</v>
      </c>
      <c r="J185" s="34" t="s">
        <v>56</v>
      </c>
      <c r="K185" s="26" t="s">
        <v>59</v>
      </c>
      <c r="L185" s="26" t="s">
        <v>60</v>
      </c>
    </row>
    <row r="186" spans="1:12">
      <c r="A186" s="26" t="s">
        <v>53</v>
      </c>
      <c r="B186" s="26" t="s">
        <v>32</v>
      </c>
      <c r="C186" s="26" t="s">
        <v>80</v>
      </c>
      <c r="D186" s="26" t="s">
        <v>15</v>
      </c>
      <c r="E186" s="30"/>
      <c r="F186" s="30">
        <v>902358</v>
      </c>
      <c r="G186" s="45" t="s">
        <v>183</v>
      </c>
      <c r="H186" s="34">
        <v>28010901</v>
      </c>
      <c r="I186" s="45" t="s">
        <v>225</v>
      </c>
      <c r="J186" s="34" t="s">
        <v>210</v>
      </c>
      <c r="K186" s="26" t="s">
        <v>59</v>
      </c>
      <c r="L186" s="26" t="s">
        <v>60</v>
      </c>
    </row>
    <row r="187" spans="1:12">
      <c r="A187" s="26" t="s">
        <v>53</v>
      </c>
      <c r="B187" s="26" t="s">
        <v>32</v>
      </c>
      <c r="C187" s="26" t="s">
        <v>80</v>
      </c>
      <c r="D187" s="26" t="s">
        <v>15</v>
      </c>
      <c r="E187" s="30"/>
      <c r="F187" s="30">
        <v>902359</v>
      </c>
      <c r="G187" s="45" t="s">
        <v>186</v>
      </c>
      <c r="H187" s="34">
        <v>28010902</v>
      </c>
      <c r="I187" s="45" t="s">
        <v>227</v>
      </c>
      <c r="J187" s="34" t="s">
        <v>128</v>
      </c>
      <c r="K187" s="26" t="s">
        <v>59</v>
      </c>
      <c r="L187" s="26" t="s">
        <v>60</v>
      </c>
    </row>
    <row r="188" spans="1:12">
      <c r="A188" s="26" t="s">
        <v>53</v>
      </c>
      <c r="B188" s="26" t="s">
        <v>32</v>
      </c>
      <c r="C188" s="26" t="s">
        <v>80</v>
      </c>
      <c r="D188" s="26" t="s">
        <v>17</v>
      </c>
      <c r="E188" s="30"/>
      <c r="F188" s="30">
        <v>902360</v>
      </c>
      <c r="G188" s="45" t="s">
        <v>186</v>
      </c>
      <c r="H188" s="34">
        <v>28010903</v>
      </c>
      <c r="I188" s="45" t="s">
        <v>229</v>
      </c>
      <c r="J188" s="34" t="s">
        <v>128</v>
      </c>
      <c r="K188" s="26" t="s">
        <v>59</v>
      </c>
      <c r="L188" s="26" t="s">
        <v>60</v>
      </c>
    </row>
    <row r="189" spans="1:12">
      <c r="A189" s="26" t="s">
        <v>53</v>
      </c>
      <c r="B189" s="26" t="s">
        <v>32</v>
      </c>
      <c r="C189" s="26" t="s">
        <v>80</v>
      </c>
      <c r="D189" s="26" t="s">
        <v>15</v>
      </c>
      <c r="E189" s="30"/>
      <c r="F189" s="30">
        <v>902361</v>
      </c>
      <c r="G189" s="45" t="s">
        <v>188</v>
      </c>
      <c r="H189" s="34">
        <v>28010904</v>
      </c>
      <c r="I189" s="45" t="s">
        <v>231</v>
      </c>
      <c r="J189" s="34" t="s">
        <v>99</v>
      </c>
      <c r="K189" s="26" t="s">
        <v>59</v>
      </c>
      <c r="L189" s="26" t="s">
        <v>60</v>
      </c>
    </row>
    <row r="190" spans="1:12">
      <c r="A190" s="26" t="s">
        <v>53</v>
      </c>
      <c r="B190" s="26" t="s">
        <v>32</v>
      </c>
      <c r="C190" s="26" t="s">
        <v>80</v>
      </c>
      <c r="D190" s="26" t="s">
        <v>16</v>
      </c>
      <c r="E190" s="30"/>
      <c r="F190" s="30">
        <v>902362</v>
      </c>
      <c r="G190" s="45" t="s">
        <v>190</v>
      </c>
      <c r="H190" s="34">
        <v>28010905</v>
      </c>
      <c r="I190" s="45" t="s">
        <v>233</v>
      </c>
      <c r="J190" s="34" t="s">
        <v>210</v>
      </c>
      <c r="K190" s="26" t="s">
        <v>59</v>
      </c>
      <c r="L190" s="26" t="s">
        <v>60</v>
      </c>
    </row>
    <row r="191" spans="1:12">
      <c r="A191" s="26" t="s">
        <v>53</v>
      </c>
      <c r="B191" s="26" t="s">
        <v>32</v>
      </c>
      <c r="C191" s="26" t="s">
        <v>80</v>
      </c>
      <c r="D191" s="26" t="s">
        <v>17</v>
      </c>
      <c r="E191" s="30"/>
      <c r="F191" s="30">
        <v>902363</v>
      </c>
      <c r="G191" s="45" t="s">
        <v>193</v>
      </c>
      <c r="H191" s="34">
        <v>28010906</v>
      </c>
      <c r="I191" s="45" t="s">
        <v>235</v>
      </c>
      <c r="J191" s="34" t="s">
        <v>99</v>
      </c>
      <c r="K191" s="26" t="s">
        <v>59</v>
      </c>
      <c r="L191" s="26" t="s">
        <v>60</v>
      </c>
    </row>
    <row r="192" spans="1:12">
      <c r="A192" s="26" t="s">
        <v>53</v>
      </c>
      <c r="B192" s="26" t="s">
        <v>32</v>
      </c>
      <c r="C192" s="26" t="s">
        <v>80</v>
      </c>
      <c r="D192" s="26" t="s">
        <v>15</v>
      </c>
      <c r="E192" s="30"/>
      <c r="F192" s="30">
        <v>90002364</v>
      </c>
      <c r="G192" s="45" t="s">
        <v>195</v>
      </c>
      <c r="H192" s="34">
        <v>28010907</v>
      </c>
      <c r="I192" s="45" t="s">
        <v>237</v>
      </c>
      <c r="J192" s="34" t="s">
        <v>56</v>
      </c>
      <c r="K192" s="26" t="s">
        <v>59</v>
      </c>
      <c r="L192" s="26" t="s">
        <v>60</v>
      </c>
    </row>
    <row r="193" spans="1:12">
      <c r="A193" s="26" t="s">
        <v>53</v>
      </c>
      <c r="B193" s="26" t="s">
        <v>32</v>
      </c>
      <c r="C193" s="26" t="s">
        <v>80</v>
      </c>
      <c r="D193" s="26" t="s">
        <v>18</v>
      </c>
      <c r="E193" s="30"/>
      <c r="F193" s="30">
        <v>90002365</v>
      </c>
      <c r="G193" s="45" t="s">
        <v>197</v>
      </c>
      <c r="H193" s="34">
        <v>28010908</v>
      </c>
      <c r="I193" s="45" t="s">
        <v>240</v>
      </c>
      <c r="J193" s="34" t="s">
        <v>210</v>
      </c>
      <c r="K193" s="26" t="s">
        <v>59</v>
      </c>
      <c r="L193" s="26" t="s">
        <v>60</v>
      </c>
    </row>
    <row r="194" spans="1:12">
      <c r="A194" s="26" t="s">
        <v>53</v>
      </c>
      <c r="B194" s="26" t="s">
        <v>32</v>
      </c>
      <c r="C194" s="26" t="s">
        <v>80</v>
      </c>
      <c r="D194" s="26" t="s">
        <v>25</v>
      </c>
      <c r="E194" s="30"/>
      <c r="F194" s="30">
        <v>90002366</v>
      </c>
      <c r="G194" s="45" t="s">
        <v>199</v>
      </c>
      <c r="H194" s="34">
        <v>28010909</v>
      </c>
      <c r="I194" s="45" t="s">
        <v>242</v>
      </c>
      <c r="J194" s="34" t="s">
        <v>495</v>
      </c>
      <c r="K194" s="26" t="s">
        <v>59</v>
      </c>
      <c r="L194" s="26" t="s">
        <v>60</v>
      </c>
    </row>
    <row r="195" spans="1:12">
      <c r="A195" s="26" t="s">
        <v>53</v>
      </c>
      <c r="B195" s="26" t="s">
        <v>32</v>
      </c>
      <c r="C195" s="26" t="s">
        <v>80</v>
      </c>
      <c r="D195" s="26" t="s">
        <v>18</v>
      </c>
      <c r="E195" s="30"/>
      <c r="F195" s="30">
        <v>90002367</v>
      </c>
      <c r="G195" s="45" t="s">
        <v>201</v>
      </c>
      <c r="H195" s="34">
        <v>28010910</v>
      </c>
      <c r="I195" s="45" t="s">
        <v>244</v>
      </c>
      <c r="J195" s="34" t="s">
        <v>210</v>
      </c>
      <c r="K195" s="26" t="s">
        <v>59</v>
      </c>
      <c r="L195" s="26" t="s">
        <v>60</v>
      </c>
    </row>
    <row r="196" spans="1:12">
      <c r="A196" s="26" t="s">
        <v>53</v>
      </c>
      <c r="B196" s="26" t="s">
        <v>32</v>
      </c>
      <c r="C196" s="26" t="s">
        <v>80</v>
      </c>
      <c r="D196" s="26" t="s">
        <v>15</v>
      </c>
      <c r="E196" s="30"/>
      <c r="F196" s="30">
        <v>902368</v>
      </c>
      <c r="G196" s="45" t="s">
        <v>203</v>
      </c>
      <c r="H196" s="34"/>
      <c r="I196" s="45"/>
      <c r="J196" s="34"/>
      <c r="K196" s="26"/>
      <c r="L196" s="26" t="s">
        <v>63</v>
      </c>
    </row>
    <row r="197" spans="1:12">
      <c r="A197" s="26" t="s">
        <v>53</v>
      </c>
      <c r="B197" s="26" t="s">
        <v>32</v>
      </c>
      <c r="C197" s="26" t="s">
        <v>80</v>
      </c>
      <c r="D197" s="26" t="s">
        <v>17</v>
      </c>
      <c r="E197" s="30"/>
      <c r="F197" s="30">
        <v>902369</v>
      </c>
      <c r="G197" s="45" t="s">
        <v>211</v>
      </c>
      <c r="H197" s="34"/>
      <c r="I197" s="45"/>
      <c r="J197" s="34"/>
      <c r="K197" s="26"/>
      <c r="L197" s="26" t="s">
        <v>63</v>
      </c>
    </row>
    <row r="198" spans="1:12">
      <c r="A198" s="26" t="s">
        <v>53</v>
      </c>
      <c r="B198" s="26" t="s">
        <v>32</v>
      </c>
      <c r="C198" s="26" t="s">
        <v>80</v>
      </c>
      <c r="D198" s="26" t="s">
        <v>15</v>
      </c>
      <c r="E198" s="30"/>
      <c r="F198" s="30">
        <v>902370</v>
      </c>
      <c r="G198" s="45" t="s">
        <v>213</v>
      </c>
      <c r="H198" s="34"/>
      <c r="I198" s="45"/>
      <c r="J198" s="34"/>
      <c r="K198" s="26"/>
      <c r="L198" s="26" t="s">
        <v>63</v>
      </c>
    </row>
    <row r="199" spans="1:12">
      <c r="A199" s="26" t="s">
        <v>53</v>
      </c>
      <c r="B199" s="26" t="s">
        <v>32</v>
      </c>
      <c r="C199" s="26" t="s">
        <v>80</v>
      </c>
      <c r="D199" s="26" t="s">
        <v>19</v>
      </c>
      <c r="E199" s="30"/>
      <c r="F199" s="30">
        <v>902371</v>
      </c>
      <c r="G199" s="45" t="s">
        <v>197</v>
      </c>
      <c r="H199" s="34"/>
      <c r="I199" s="45"/>
      <c r="J199" s="34"/>
      <c r="K199" s="26"/>
      <c r="L199" s="26" t="s">
        <v>63</v>
      </c>
    </row>
    <row r="200" spans="1:12">
      <c r="A200" s="26" t="s">
        <v>223</v>
      </c>
      <c r="B200" s="26" t="s">
        <v>32</v>
      </c>
      <c r="C200" s="26" t="s">
        <v>80</v>
      </c>
      <c r="D200" s="26" t="s">
        <v>15</v>
      </c>
      <c r="E200" s="30"/>
      <c r="F200" s="30">
        <v>902372</v>
      </c>
      <c r="G200" s="45" t="s">
        <v>215</v>
      </c>
      <c r="H200" s="34"/>
      <c r="I200" s="45"/>
      <c r="J200" s="34"/>
      <c r="K200" s="26"/>
      <c r="L200" s="26" t="s">
        <v>63</v>
      </c>
    </row>
    <row r="201" spans="1:12">
      <c r="A201" s="26" t="s">
        <v>223</v>
      </c>
      <c r="B201" s="26" t="s">
        <v>32</v>
      </c>
      <c r="C201" s="26" t="s">
        <v>80</v>
      </c>
      <c r="D201" s="26" t="s">
        <v>15</v>
      </c>
      <c r="E201" s="30"/>
      <c r="F201" s="30">
        <v>902373</v>
      </c>
      <c r="G201" s="45" t="s">
        <v>215</v>
      </c>
      <c r="H201" s="34"/>
      <c r="I201" s="45"/>
      <c r="J201" s="34"/>
      <c r="K201" s="26"/>
      <c r="L201" s="26" t="s">
        <v>63</v>
      </c>
    </row>
    <row r="202" spans="1:12">
      <c r="A202" s="26" t="s">
        <v>53</v>
      </c>
      <c r="B202" s="26" t="s">
        <v>33</v>
      </c>
      <c r="C202" s="26" t="s">
        <v>91</v>
      </c>
      <c r="D202" s="26" t="s">
        <v>22</v>
      </c>
      <c r="E202" s="30"/>
      <c r="F202" s="30">
        <v>902374</v>
      </c>
      <c r="G202" s="45" t="s">
        <v>217</v>
      </c>
      <c r="H202" s="34">
        <v>28010911</v>
      </c>
      <c r="I202" s="45" t="s">
        <v>246</v>
      </c>
      <c r="J202" s="34" t="s">
        <v>66</v>
      </c>
      <c r="K202" s="26" t="s">
        <v>59</v>
      </c>
      <c r="L202" s="26" t="s">
        <v>60</v>
      </c>
    </row>
    <row r="203" spans="1:12">
      <c r="A203" s="26" t="s">
        <v>53</v>
      </c>
      <c r="B203" s="26" t="s">
        <v>34</v>
      </c>
      <c r="C203" s="26" t="s">
        <v>96</v>
      </c>
      <c r="D203" s="26" t="s">
        <v>23</v>
      </c>
      <c r="E203" s="30"/>
      <c r="F203" s="30">
        <v>902375</v>
      </c>
      <c r="G203" s="45" t="s">
        <v>220</v>
      </c>
      <c r="H203" s="34">
        <v>28010912</v>
      </c>
      <c r="I203" s="45" t="s">
        <v>248</v>
      </c>
      <c r="J203" s="34" t="s">
        <v>99</v>
      </c>
      <c r="K203" s="26" t="s">
        <v>59</v>
      </c>
      <c r="L203" s="26" t="s">
        <v>60</v>
      </c>
    </row>
    <row r="204" spans="1:12">
      <c r="A204" s="26" t="s">
        <v>53</v>
      </c>
      <c r="B204" s="26" t="s">
        <v>35</v>
      </c>
      <c r="C204" s="26" t="s">
        <v>98</v>
      </c>
      <c r="D204" s="26" t="s">
        <v>24</v>
      </c>
      <c r="E204" s="30"/>
      <c r="F204" s="30">
        <v>902376</v>
      </c>
      <c r="G204" s="45" t="s">
        <v>221</v>
      </c>
      <c r="H204" s="34">
        <v>28010913</v>
      </c>
      <c r="I204" s="45" t="s">
        <v>250</v>
      </c>
      <c r="J204" s="34" t="s">
        <v>210</v>
      </c>
      <c r="K204" s="26" t="s">
        <v>59</v>
      </c>
      <c r="L204" s="26" t="s">
        <v>60</v>
      </c>
    </row>
    <row r="205" spans="1:12">
      <c r="A205" s="26" t="s">
        <v>53</v>
      </c>
      <c r="B205" s="26" t="s">
        <v>33</v>
      </c>
      <c r="C205" s="26" t="s">
        <v>91</v>
      </c>
      <c r="D205" s="26" t="s">
        <v>22</v>
      </c>
      <c r="E205" s="30"/>
      <c r="F205" s="30">
        <v>902377</v>
      </c>
      <c r="G205" s="45" t="s">
        <v>224</v>
      </c>
      <c r="H205" s="34">
        <v>28010914</v>
      </c>
      <c r="I205" s="45" t="s">
        <v>252</v>
      </c>
      <c r="J205" s="34" t="s">
        <v>128</v>
      </c>
      <c r="K205" s="26" t="s">
        <v>59</v>
      </c>
      <c r="L205" s="26" t="s">
        <v>60</v>
      </c>
    </row>
    <row r="206" spans="1:12">
      <c r="A206" s="26" t="s">
        <v>53</v>
      </c>
      <c r="B206" s="26" t="s">
        <v>33</v>
      </c>
      <c r="C206" s="26" t="s">
        <v>91</v>
      </c>
      <c r="D206" s="26" t="s">
        <v>22</v>
      </c>
      <c r="E206" s="30"/>
      <c r="F206" s="30">
        <v>902378</v>
      </c>
      <c r="G206" s="45" t="s">
        <v>224</v>
      </c>
      <c r="H206" s="34">
        <v>28010915</v>
      </c>
      <c r="I206" s="45" t="s">
        <v>254</v>
      </c>
      <c r="J206" s="34" t="s">
        <v>128</v>
      </c>
      <c r="K206" s="26" t="s">
        <v>59</v>
      </c>
      <c r="L206" s="26" t="s">
        <v>60</v>
      </c>
    </row>
    <row r="207" spans="1:12">
      <c r="A207" s="26" t="s">
        <v>53</v>
      </c>
      <c r="B207" s="26" t="s">
        <v>33</v>
      </c>
      <c r="C207" s="26" t="s">
        <v>91</v>
      </c>
      <c r="D207" s="26" t="s">
        <v>22</v>
      </c>
      <c r="E207" s="30"/>
      <c r="F207" s="30">
        <v>902379</v>
      </c>
      <c r="G207" s="45" t="s">
        <v>224</v>
      </c>
      <c r="H207" s="34">
        <v>28010916</v>
      </c>
      <c r="I207" s="45" t="s">
        <v>255</v>
      </c>
      <c r="J207" s="34" t="s">
        <v>210</v>
      </c>
      <c r="K207" s="26" t="s">
        <v>59</v>
      </c>
      <c r="L207" s="26" t="s">
        <v>60</v>
      </c>
    </row>
    <row r="208" spans="1:12">
      <c r="A208" s="26" t="s">
        <v>53</v>
      </c>
      <c r="B208" s="26" t="s">
        <v>33</v>
      </c>
      <c r="C208" s="26" t="s">
        <v>91</v>
      </c>
      <c r="D208" s="26" t="s">
        <v>22</v>
      </c>
      <c r="E208" s="30"/>
      <c r="F208" s="30">
        <v>902380</v>
      </c>
      <c r="G208" s="45" t="s">
        <v>226</v>
      </c>
      <c r="H208" s="34">
        <v>28010917</v>
      </c>
      <c r="I208" s="45" t="s">
        <v>256</v>
      </c>
      <c r="J208" s="34" t="s">
        <v>210</v>
      </c>
      <c r="K208" s="26" t="s">
        <v>59</v>
      </c>
      <c r="L208" s="26" t="s">
        <v>60</v>
      </c>
    </row>
    <row r="209" spans="1:12">
      <c r="A209" s="26" t="s">
        <v>53</v>
      </c>
      <c r="B209" s="26" t="s">
        <v>35</v>
      </c>
      <c r="C209" s="26" t="s">
        <v>98</v>
      </c>
      <c r="D209" s="26" t="s">
        <v>24</v>
      </c>
      <c r="E209" s="30"/>
      <c r="F209" s="30">
        <v>902381</v>
      </c>
      <c r="G209" s="45" t="s">
        <v>228</v>
      </c>
      <c r="H209" s="34">
        <v>28010918</v>
      </c>
      <c r="I209" s="45" t="s">
        <v>257</v>
      </c>
      <c r="J209" s="34" t="s">
        <v>99</v>
      </c>
      <c r="K209" s="26" t="s">
        <v>59</v>
      </c>
      <c r="L209" s="26" t="s">
        <v>60</v>
      </c>
    </row>
    <row r="210" spans="1:12">
      <c r="A210" s="26" t="s">
        <v>53</v>
      </c>
      <c r="B210" s="26" t="s">
        <v>35</v>
      </c>
      <c r="C210" s="26" t="s">
        <v>98</v>
      </c>
      <c r="D210" s="26" t="s">
        <v>24</v>
      </c>
      <c r="E210" s="30"/>
      <c r="F210" s="30">
        <v>902382</v>
      </c>
      <c r="G210" s="45" t="s">
        <v>221</v>
      </c>
      <c r="H210" s="34">
        <v>28010919</v>
      </c>
      <c r="I210" s="45" t="s">
        <v>258</v>
      </c>
      <c r="J210" s="34" t="s">
        <v>99</v>
      </c>
      <c r="K210" s="26" t="s">
        <v>59</v>
      </c>
      <c r="L210" s="26" t="s">
        <v>60</v>
      </c>
    </row>
    <row r="211" spans="1:12">
      <c r="A211" s="26" t="s">
        <v>53</v>
      </c>
      <c r="B211" s="26" t="s">
        <v>34</v>
      </c>
      <c r="C211" s="26" t="s">
        <v>96</v>
      </c>
      <c r="D211" s="26" t="s">
        <v>23</v>
      </c>
      <c r="E211" s="30"/>
      <c r="F211" s="30">
        <v>902383</v>
      </c>
      <c r="G211" s="45" t="s">
        <v>230</v>
      </c>
      <c r="H211" s="34"/>
      <c r="I211" s="45"/>
      <c r="J211" s="34"/>
      <c r="K211" s="26"/>
      <c r="L211" s="26" t="s">
        <v>63</v>
      </c>
    </row>
    <row r="212" spans="1:12">
      <c r="A212" s="26" t="s">
        <v>53</v>
      </c>
      <c r="B212" s="26" t="s">
        <v>34</v>
      </c>
      <c r="C212" s="26" t="s">
        <v>96</v>
      </c>
      <c r="D212" s="26" t="s">
        <v>23</v>
      </c>
      <c r="E212" s="30"/>
      <c r="F212" s="30">
        <v>902384</v>
      </c>
      <c r="G212" s="45" t="s">
        <v>232</v>
      </c>
      <c r="H212" s="34"/>
      <c r="I212" s="45" t="s">
        <v>259</v>
      </c>
      <c r="J212" s="34"/>
      <c r="K212" s="26"/>
      <c r="L212" s="26" t="s">
        <v>63</v>
      </c>
    </row>
    <row r="213" spans="1:12">
      <c r="A213" s="26" t="s">
        <v>53</v>
      </c>
      <c r="B213" s="26" t="s">
        <v>34</v>
      </c>
      <c r="C213" s="26" t="s">
        <v>96</v>
      </c>
      <c r="D213" s="26" t="s">
        <v>23</v>
      </c>
      <c r="E213" s="30"/>
      <c r="F213" s="30">
        <v>90002385</v>
      </c>
      <c r="G213" s="45" t="s">
        <v>234</v>
      </c>
      <c r="H213" s="34">
        <v>28010920</v>
      </c>
      <c r="I213" s="45" t="s">
        <v>261</v>
      </c>
      <c r="J213" s="34" t="s">
        <v>11</v>
      </c>
      <c r="K213" s="26" t="s">
        <v>59</v>
      </c>
      <c r="L213" s="26" t="s">
        <v>60</v>
      </c>
    </row>
    <row r="214" spans="1:12">
      <c r="A214" s="26" t="s">
        <v>53</v>
      </c>
      <c r="B214" s="26" t="s">
        <v>33</v>
      </c>
      <c r="C214" s="26" t="s">
        <v>91</v>
      </c>
      <c r="D214" s="26" t="s">
        <v>22</v>
      </c>
      <c r="E214" s="30"/>
      <c r="F214" s="30">
        <v>90002386</v>
      </c>
      <c r="G214" s="45" t="s">
        <v>236</v>
      </c>
      <c r="H214" s="34">
        <v>28010921</v>
      </c>
      <c r="I214" s="45" t="s">
        <v>263</v>
      </c>
      <c r="J214" s="34" t="s">
        <v>981</v>
      </c>
      <c r="K214" s="26" t="s">
        <v>59</v>
      </c>
      <c r="L214" s="26" t="s">
        <v>60</v>
      </c>
    </row>
    <row r="215" spans="1:12">
      <c r="A215" s="26" t="s">
        <v>53</v>
      </c>
      <c r="B215" s="26" t="s">
        <v>33</v>
      </c>
      <c r="C215" s="26" t="s">
        <v>91</v>
      </c>
      <c r="D215" s="26" t="s">
        <v>22</v>
      </c>
      <c r="E215" s="30"/>
      <c r="F215" s="30">
        <v>90002387</v>
      </c>
      <c r="G215" s="45" t="s">
        <v>217</v>
      </c>
      <c r="H215" s="34">
        <v>28010922</v>
      </c>
      <c r="I215" s="45" t="s">
        <v>265</v>
      </c>
      <c r="J215" s="34" t="s">
        <v>66</v>
      </c>
      <c r="K215" s="26" t="s">
        <v>59</v>
      </c>
      <c r="L215" s="26" t="s">
        <v>60</v>
      </c>
    </row>
    <row r="216" spans="1:12">
      <c r="A216" s="26" t="s">
        <v>53</v>
      </c>
      <c r="B216" s="26" t="s">
        <v>34</v>
      </c>
      <c r="C216" s="26" t="s">
        <v>96</v>
      </c>
      <c r="D216" s="26" t="s">
        <v>23</v>
      </c>
      <c r="E216" s="30"/>
      <c r="F216" s="30">
        <v>90002388</v>
      </c>
      <c r="G216" s="45" t="s">
        <v>239</v>
      </c>
      <c r="H216" s="34">
        <v>28010923</v>
      </c>
      <c r="I216" s="45" t="s">
        <v>268</v>
      </c>
      <c r="J216" s="34" t="s">
        <v>69</v>
      </c>
      <c r="K216" s="26" t="s">
        <v>59</v>
      </c>
      <c r="L216" s="26" t="s">
        <v>60</v>
      </c>
    </row>
    <row r="217" spans="1:12">
      <c r="A217" s="26" t="s">
        <v>53</v>
      </c>
      <c r="B217" s="26" t="s">
        <v>35</v>
      </c>
      <c r="C217" s="26" t="s">
        <v>98</v>
      </c>
      <c r="D217" s="26" t="s">
        <v>24</v>
      </c>
      <c r="E217" s="30"/>
      <c r="F217" s="30">
        <v>90002389</v>
      </c>
      <c r="G217" s="45" t="s">
        <v>241</v>
      </c>
      <c r="H217" s="34">
        <v>28010924</v>
      </c>
      <c r="I217" s="45" t="s">
        <v>269</v>
      </c>
      <c r="J217" s="34" t="s">
        <v>981</v>
      </c>
      <c r="K217" s="26" t="s">
        <v>59</v>
      </c>
      <c r="L217" s="26" t="s">
        <v>60</v>
      </c>
    </row>
    <row r="218" spans="1:12">
      <c r="A218" s="26" t="s">
        <v>53</v>
      </c>
      <c r="B218" s="26" t="s">
        <v>33</v>
      </c>
      <c r="C218" s="26" t="s">
        <v>91</v>
      </c>
      <c r="D218" s="26" t="s">
        <v>22</v>
      </c>
      <c r="E218" s="30"/>
      <c r="F218" s="30">
        <v>902390</v>
      </c>
      <c r="G218" s="45" t="s">
        <v>243</v>
      </c>
      <c r="H218" s="34"/>
      <c r="I218" s="45"/>
      <c r="J218" s="34"/>
      <c r="K218" s="26"/>
      <c r="L218" s="26" t="s">
        <v>63</v>
      </c>
    </row>
    <row r="219" spans="1:12">
      <c r="A219" s="26" t="s">
        <v>53</v>
      </c>
      <c r="B219" s="26" t="s">
        <v>35</v>
      </c>
      <c r="C219" s="26" t="s">
        <v>98</v>
      </c>
      <c r="D219" s="26" t="s">
        <v>24</v>
      </c>
      <c r="E219" s="30"/>
      <c r="F219" s="30">
        <v>902391</v>
      </c>
      <c r="G219" s="45" t="s">
        <v>221</v>
      </c>
      <c r="H219" s="34"/>
      <c r="I219" s="45"/>
      <c r="J219" s="34"/>
      <c r="K219" s="26"/>
      <c r="L219" s="26" t="s">
        <v>63</v>
      </c>
    </row>
    <row r="220" spans="1:12">
      <c r="A220" s="26" t="s">
        <v>53</v>
      </c>
      <c r="B220" s="26" t="s">
        <v>36</v>
      </c>
      <c r="C220" s="26" t="s">
        <v>102</v>
      </c>
      <c r="D220" s="26" t="s">
        <v>20</v>
      </c>
      <c r="E220" s="30"/>
      <c r="F220" s="30">
        <v>902392</v>
      </c>
      <c r="G220" s="45" t="s">
        <v>245</v>
      </c>
      <c r="H220" s="34">
        <v>28010925</v>
      </c>
      <c r="I220" s="45" t="s">
        <v>271</v>
      </c>
      <c r="J220" s="34" t="s">
        <v>128</v>
      </c>
      <c r="K220" s="26" t="s">
        <v>59</v>
      </c>
      <c r="L220" s="26" t="s">
        <v>60</v>
      </c>
    </row>
    <row r="221" spans="1:12">
      <c r="A221" s="26" t="s">
        <v>53</v>
      </c>
      <c r="B221" s="26" t="s">
        <v>36</v>
      </c>
      <c r="C221" s="26" t="s">
        <v>102</v>
      </c>
      <c r="D221" s="26" t="s">
        <v>20</v>
      </c>
      <c r="E221" s="30"/>
      <c r="F221" s="30">
        <v>902393</v>
      </c>
      <c r="G221" s="45" t="s">
        <v>247</v>
      </c>
      <c r="H221" s="34">
        <v>28010926</v>
      </c>
      <c r="I221" s="45" t="s">
        <v>273</v>
      </c>
      <c r="J221" s="34" t="s">
        <v>128</v>
      </c>
      <c r="K221" s="26" t="s">
        <v>59</v>
      </c>
      <c r="L221" s="26" t="s">
        <v>60</v>
      </c>
    </row>
    <row r="222" spans="1:12">
      <c r="A222" s="26" t="s">
        <v>53</v>
      </c>
      <c r="B222" s="26" t="s">
        <v>36</v>
      </c>
      <c r="C222" s="26" t="s">
        <v>102</v>
      </c>
      <c r="D222" s="26" t="s">
        <v>20</v>
      </c>
      <c r="E222" s="30"/>
      <c r="F222" s="30">
        <v>902394</v>
      </c>
      <c r="G222" s="45" t="s">
        <v>249</v>
      </c>
      <c r="H222" s="34">
        <v>28010927</v>
      </c>
      <c r="I222" s="45" t="s">
        <v>275</v>
      </c>
      <c r="J222" s="34" t="s">
        <v>128</v>
      </c>
      <c r="K222" s="26" t="s">
        <v>59</v>
      </c>
      <c r="L222" s="26" t="s">
        <v>60</v>
      </c>
    </row>
    <row r="223" spans="1:12">
      <c r="A223" s="26" t="s">
        <v>53</v>
      </c>
      <c r="B223" s="26" t="s">
        <v>36</v>
      </c>
      <c r="C223" s="26" t="s">
        <v>102</v>
      </c>
      <c r="D223" s="26" t="s">
        <v>20</v>
      </c>
      <c r="E223" s="30"/>
      <c r="F223" s="30">
        <v>902395</v>
      </c>
      <c r="G223" s="45" t="s">
        <v>245</v>
      </c>
      <c r="H223" s="34">
        <v>28010928</v>
      </c>
      <c r="I223" s="45" t="s">
        <v>277</v>
      </c>
      <c r="J223" s="34" t="s">
        <v>128</v>
      </c>
      <c r="K223" s="26" t="s">
        <v>59</v>
      </c>
      <c r="L223" s="26" t="s">
        <v>60</v>
      </c>
    </row>
    <row r="224" spans="1:12">
      <c r="A224" s="26" t="s">
        <v>53</v>
      </c>
      <c r="B224" s="26" t="s">
        <v>36</v>
      </c>
      <c r="C224" s="26" t="s">
        <v>102</v>
      </c>
      <c r="D224" s="26" t="s">
        <v>20</v>
      </c>
      <c r="E224" s="30"/>
      <c r="F224" s="30">
        <v>902396</v>
      </c>
      <c r="G224" s="45" t="s">
        <v>251</v>
      </c>
      <c r="H224" s="34">
        <v>28010929</v>
      </c>
      <c r="I224" s="45" t="s">
        <v>278</v>
      </c>
      <c r="J224" s="34" t="s">
        <v>99</v>
      </c>
      <c r="K224" s="26" t="s">
        <v>59</v>
      </c>
      <c r="L224" s="26" t="s">
        <v>60</v>
      </c>
    </row>
    <row r="225" spans="1:12">
      <c r="A225" s="26" t="s">
        <v>53</v>
      </c>
      <c r="B225" s="26" t="s">
        <v>36</v>
      </c>
      <c r="C225" s="26" t="s">
        <v>102</v>
      </c>
      <c r="D225" s="26" t="s">
        <v>20</v>
      </c>
      <c r="E225" s="30"/>
      <c r="F225" s="30">
        <v>902397</v>
      </c>
      <c r="G225" s="45" t="s">
        <v>253</v>
      </c>
      <c r="H225" s="34">
        <v>28010930</v>
      </c>
      <c r="I225" s="45" t="s">
        <v>279</v>
      </c>
      <c r="J225" s="34" t="s">
        <v>128</v>
      </c>
      <c r="K225" s="26" t="s">
        <v>59</v>
      </c>
      <c r="L225" s="26" t="s">
        <v>60</v>
      </c>
    </row>
    <row r="226" spans="1:12">
      <c r="A226" s="26" t="s">
        <v>53</v>
      </c>
      <c r="B226" s="26" t="s">
        <v>36</v>
      </c>
      <c r="C226" s="26" t="s">
        <v>102</v>
      </c>
      <c r="D226" s="26" t="s">
        <v>20</v>
      </c>
      <c r="E226" s="30"/>
      <c r="F226" s="30">
        <v>902398</v>
      </c>
      <c r="G226" s="45" t="s">
        <v>245</v>
      </c>
      <c r="H226" s="34">
        <v>28010931</v>
      </c>
      <c r="I226" s="45" t="s">
        <v>281</v>
      </c>
      <c r="J226" s="34" t="s">
        <v>128</v>
      </c>
      <c r="K226" s="26" t="s">
        <v>59</v>
      </c>
      <c r="L226" s="26" t="s">
        <v>60</v>
      </c>
    </row>
    <row r="227" spans="1:12">
      <c r="A227" s="26" t="s">
        <v>53</v>
      </c>
      <c r="B227" s="26" t="s">
        <v>36</v>
      </c>
      <c r="C227" s="26" t="s">
        <v>102</v>
      </c>
      <c r="D227" s="26" t="s">
        <v>20</v>
      </c>
      <c r="E227" s="30"/>
      <c r="F227" s="30">
        <v>902399</v>
      </c>
      <c r="G227" s="45" t="s">
        <v>245</v>
      </c>
      <c r="H227" s="34">
        <v>28010932</v>
      </c>
      <c r="I227" s="45" t="s">
        <v>283</v>
      </c>
      <c r="J227" s="34" t="s">
        <v>56</v>
      </c>
      <c r="K227" s="26" t="s">
        <v>59</v>
      </c>
      <c r="L227" s="26" t="s">
        <v>60</v>
      </c>
    </row>
    <row r="228" spans="1:12">
      <c r="A228" s="26" t="s">
        <v>53</v>
      </c>
      <c r="B228" s="26" t="s">
        <v>36</v>
      </c>
      <c r="C228" s="26" t="s">
        <v>102</v>
      </c>
      <c r="D228" s="26" t="s">
        <v>20</v>
      </c>
      <c r="E228" s="30"/>
      <c r="F228" s="30">
        <v>902400</v>
      </c>
      <c r="G228" s="45" t="s">
        <v>245</v>
      </c>
      <c r="H228" s="34"/>
      <c r="I228" s="45"/>
      <c r="J228" s="34"/>
      <c r="K228" s="26"/>
      <c r="L228" s="26" t="s">
        <v>63</v>
      </c>
    </row>
    <row r="229" spans="1:12">
      <c r="A229" s="26" t="s">
        <v>53</v>
      </c>
      <c r="B229" s="26" t="s">
        <v>36</v>
      </c>
      <c r="C229" s="26" t="s">
        <v>102</v>
      </c>
      <c r="D229" s="26" t="s">
        <v>20</v>
      </c>
      <c r="E229" s="30"/>
      <c r="F229" s="30">
        <v>902401</v>
      </c>
      <c r="G229" s="45" t="s">
        <v>260</v>
      </c>
      <c r="H229" s="34">
        <v>28010933</v>
      </c>
      <c r="I229" s="45" t="s">
        <v>284</v>
      </c>
      <c r="J229" s="34" t="s">
        <v>56</v>
      </c>
      <c r="K229" s="26" t="s">
        <v>59</v>
      </c>
      <c r="L229" s="26" t="s">
        <v>60</v>
      </c>
    </row>
    <row r="230" spans="1:12">
      <c r="A230" s="26" t="s">
        <v>53</v>
      </c>
      <c r="B230" s="26" t="s">
        <v>36</v>
      </c>
      <c r="C230" s="26" t="s">
        <v>102</v>
      </c>
      <c r="D230" s="26" t="s">
        <v>20</v>
      </c>
      <c r="E230" s="30"/>
      <c r="F230" s="30">
        <v>902402</v>
      </c>
      <c r="G230" s="45" t="s">
        <v>251</v>
      </c>
      <c r="H230" s="34">
        <v>28010934</v>
      </c>
      <c r="I230" s="45" t="s">
        <v>286</v>
      </c>
      <c r="J230" s="34" t="s">
        <v>128</v>
      </c>
      <c r="K230" s="26" t="s">
        <v>59</v>
      </c>
      <c r="L230" s="26" t="s">
        <v>60</v>
      </c>
    </row>
    <row r="231" spans="1:12">
      <c r="A231" s="26" t="s">
        <v>53</v>
      </c>
      <c r="B231" s="26" t="s">
        <v>36</v>
      </c>
      <c r="C231" s="26" t="s">
        <v>102</v>
      </c>
      <c r="D231" s="26" t="s">
        <v>20</v>
      </c>
      <c r="E231" s="30"/>
      <c r="F231" s="30">
        <v>90002403</v>
      </c>
      <c r="G231" s="45" t="s">
        <v>262</v>
      </c>
      <c r="H231" s="34">
        <v>28010935</v>
      </c>
      <c r="I231" s="45" t="s">
        <v>288</v>
      </c>
      <c r="J231" s="34" t="s">
        <v>66</v>
      </c>
      <c r="K231" s="26" t="s">
        <v>59</v>
      </c>
      <c r="L231" s="26" t="s">
        <v>60</v>
      </c>
    </row>
    <row r="232" spans="1:12">
      <c r="A232" s="26" t="s">
        <v>53</v>
      </c>
      <c r="B232" s="26" t="s">
        <v>36</v>
      </c>
      <c r="C232" s="26" t="s">
        <v>102</v>
      </c>
      <c r="D232" s="26" t="s">
        <v>20</v>
      </c>
      <c r="E232" s="30"/>
      <c r="F232" s="30">
        <v>902404</v>
      </c>
      <c r="G232" s="45" t="s">
        <v>264</v>
      </c>
      <c r="H232" s="34"/>
      <c r="I232" s="45"/>
      <c r="J232" s="34"/>
      <c r="K232" s="26"/>
      <c r="L232" s="26" t="s">
        <v>63</v>
      </c>
    </row>
    <row r="233" spans="1:12">
      <c r="A233" s="26" t="s">
        <v>53</v>
      </c>
      <c r="B233" s="26" t="s">
        <v>36</v>
      </c>
      <c r="C233" s="26" t="s">
        <v>102</v>
      </c>
      <c r="D233" s="26" t="s">
        <v>20</v>
      </c>
      <c r="E233" s="30"/>
      <c r="F233" s="30">
        <v>902405</v>
      </c>
      <c r="G233" s="45" t="s">
        <v>266</v>
      </c>
      <c r="H233" s="34"/>
      <c r="I233" s="45"/>
      <c r="J233" s="34"/>
      <c r="K233" s="26"/>
      <c r="L233" s="26" t="s">
        <v>63</v>
      </c>
    </row>
    <row r="234" spans="1:12">
      <c r="A234" s="26" t="s">
        <v>53</v>
      </c>
      <c r="B234" s="26" t="s">
        <v>36</v>
      </c>
      <c r="C234" s="26" t="s">
        <v>102</v>
      </c>
      <c r="D234" s="26" t="s">
        <v>20</v>
      </c>
      <c r="E234" s="30"/>
      <c r="F234" s="30">
        <v>902406</v>
      </c>
      <c r="G234" s="45" t="s">
        <v>266</v>
      </c>
      <c r="H234" s="34"/>
      <c r="I234" s="45"/>
      <c r="J234" s="34"/>
      <c r="K234" s="26"/>
      <c r="L234" s="26" t="s">
        <v>63</v>
      </c>
    </row>
    <row r="235" spans="1:12">
      <c r="A235" s="26" t="s">
        <v>53</v>
      </c>
      <c r="B235" s="26" t="s">
        <v>36</v>
      </c>
      <c r="C235" s="26" t="s">
        <v>102</v>
      </c>
      <c r="D235" s="26" t="s">
        <v>20</v>
      </c>
      <c r="E235" s="30"/>
      <c r="F235" s="30">
        <v>902407</v>
      </c>
      <c r="G235" s="45" t="s">
        <v>266</v>
      </c>
      <c r="H235" s="34"/>
      <c r="I235" s="45"/>
      <c r="J235" s="34"/>
      <c r="K235" s="26"/>
      <c r="L235" s="26" t="s">
        <v>63</v>
      </c>
    </row>
    <row r="236" spans="1:12">
      <c r="A236" s="26" t="s">
        <v>223</v>
      </c>
      <c r="B236" s="26" t="s">
        <v>36</v>
      </c>
      <c r="C236" s="26" t="s">
        <v>102</v>
      </c>
      <c r="D236" s="26" t="s">
        <v>20</v>
      </c>
      <c r="E236" s="30"/>
      <c r="F236" s="30">
        <v>902408</v>
      </c>
      <c r="G236" s="45" t="s">
        <v>264</v>
      </c>
      <c r="H236" s="34"/>
      <c r="I236" s="45"/>
      <c r="J236" s="34"/>
      <c r="K236" s="26"/>
      <c r="L236" s="26" t="s">
        <v>63</v>
      </c>
    </row>
    <row r="237" spans="1:12">
      <c r="A237" s="26" t="s">
        <v>223</v>
      </c>
      <c r="B237" s="26" t="s">
        <v>36</v>
      </c>
      <c r="C237" s="26" t="s">
        <v>102</v>
      </c>
      <c r="D237" s="26" t="s">
        <v>20</v>
      </c>
      <c r="E237" s="30"/>
      <c r="F237" s="30">
        <v>902409</v>
      </c>
      <c r="G237" s="45" t="s">
        <v>266</v>
      </c>
      <c r="H237" s="34"/>
      <c r="I237" s="45"/>
      <c r="J237" s="34"/>
      <c r="K237" s="26"/>
      <c r="L237" s="26" t="s">
        <v>63</v>
      </c>
    </row>
    <row r="238" spans="1:12">
      <c r="A238" s="26" t="s">
        <v>223</v>
      </c>
      <c r="B238" s="26" t="s">
        <v>36</v>
      </c>
      <c r="C238" s="26" t="s">
        <v>102</v>
      </c>
      <c r="D238" s="26" t="s">
        <v>20</v>
      </c>
      <c r="E238" s="30"/>
      <c r="F238" s="30">
        <v>902410</v>
      </c>
      <c r="G238" s="45" t="s">
        <v>266</v>
      </c>
      <c r="H238" s="34"/>
      <c r="I238" s="45"/>
      <c r="J238" s="34"/>
      <c r="K238" s="26"/>
      <c r="L238" s="26" t="s">
        <v>63</v>
      </c>
    </row>
    <row r="239" spans="1:12">
      <c r="A239" s="26" t="s">
        <v>223</v>
      </c>
      <c r="B239" s="26" t="s">
        <v>36</v>
      </c>
      <c r="C239" s="26" t="s">
        <v>102</v>
      </c>
      <c r="D239" s="26" t="s">
        <v>20</v>
      </c>
      <c r="E239" s="30"/>
      <c r="F239" s="30">
        <v>902411</v>
      </c>
      <c r="G239" s="45" t="s">
        <v>267</v>
      </c>
      <c r="H239" s="34"/>
      <c r="I239" s="45"/>
      <c r="J239" s="34"/>
      <c r="K239" s="26"/>
      <c r="L239" s="26" t="s">
        <v>63</v>
      </c>
    </row>
    <row r="240" spans="1:12">
      <c r="A240" s="26" t="s">
        <v>53</v>
      </c>
      <c r="B240" s="26" t="s">
        <v>54</v>
      </c>
      <c r="C240" s="26" t="s">
        <v>107</v>
      </c>
      <c r="D240" s="26" t="s">
        <v>21</v>
      </c>
      <c r="E240" s="30"/>
      <c r="F240" s="30">
        <v>902412</v>
      </c>
      <c r="G240" s="45" t="s">
        <v>270</v>
      </c>
      <c r="H240" s="34">
        <v>28010936</v>
      </c>
      <c r="I240" s="45" t="s">
        <v>289</v>
      </c>
      <c r="J240" s="34" t="s">
        <v>56</v>
      </c>
      <c r="K240" s="26" t="s">
        <v>59</v>
      </c>
      <c r="L240" s="26" t="s">
        <v>60</v>
      </c>
    </row>
    <row r="241" spans="1:12">
      <c r="A241" s="26" t="s">
        <v>53</v>
      </c>
      <c r="B241" s="26" t="s">
        <v>54</v>
      </c>
      <c r="C241" s="26" t="s">
        <v>107</v>
      </c>
      <c r="D241" s="26" t="s">
        <v>21</v>
      </c>
      <c r="E241" s="30"/>
      <c r="F241" s="30">
        <v>902413</v>
      </c>
      <c r="G241" s="45" t="s">
        <v>272</v>
      </c>
      <c r="H241" s="34">
        <v>28010937</v>
      </c>
      <c r="I241" s="45" t="s">
        <v>290</v>
      </c>
      <c r="J241" s="34" t="s">
        <v>56</v>
      </c>
      <c r="K241" s="26" t="s">
        <v>59</v>
      </c>
      <c r="L241" s="26" t="s">
        <v>60</v>
      </c>
    </row>
    <row r="242" spans="1:12">
      <c r="A242" s="26" t="s">
        <v>53</v>
      </c>
      <c r="B242" s="26" t="s">
        <v>54</v>
      </c>
      <c r="C242" s="26" t="s">
        <v>107</v>
      </c>
      <c r="D242" s="26" t="s">
        <v>21</v>
      </c>
      <c r="E242" s="30"/>
      <c r="F242" s="30">
        <v>902414</v>
      </c>
      <c r="G242" s="45" t="s">
        <v>274</v>
      </c>
      <c r="H242" s="34">
        <v>28010938</v>
      </c>
      <c r="I242" s="45" t="s">
        <v>291</v>
      </c>
      <c r="J242" s="34" t="s">
        <v>72</v>
      </c>
      <c r="K242" s="26" t="s">
        <v>59</v>
      </c>
      <c r="L242" s="26" t="s">
        <v>60</v>
      </c>
    </row>
    <row r="243" spans="1:12">
      <c r="A243" s="26" t="s">
        <v>53</v>
      </c>
      <c r="B243" s="26" t="s">
        <v>54</v>
      </c>
      <c r="C243" s="26" t="s">
        <v>107</v>
      </c>
      <c r="D243" s="26" t="s">
        <v>21</v>
      </c>
      <c r="E243" s="30"/>
      <c r="F243" s="30">
        <v>902415</v>
      </c>
      <c r="G243" s="45" t="s">
        <v>276</v>
      </c>
      <c r="H243" s="34">
        <v>28010939</v>
      </c>
      <c r="I243" s="45" t="s">
        <v>292</v>
      </c>
      <c r="J243" s="34" t="s">
        <v>56</v>
      </c>
      <c r="K243" s="26" t="s">
        <v>59</v>
      </c>
      <c r="L243" s="26" t="s">
        <v>60</v>
      </c>
    </row>
    <row r="244" spans="1:12">
      <c r="A244" s="26" t="s">
        <v>53</v>
      </c>
      <c r="B244" s="26" t="s">
        <v>54</v>
      </c>
      <c r="C244" s="26" t="s">
        <v>107</v>
      </c>
      <c r="D244" s="26" t="s">
        <v>22</v>
      </c>
      <c r="E244" s="30"/>
      <c r="F244" s="30">
        <v>902416</v>
      </c>
      <c r="G244" s="45" t="s">
        <v>111</v>
      </c>
      <c r="H244" s="34">
        <v>28010940</v>
      </c>
      <c r="I244" s="45" t="s">
        <v>294</v>
      </c>
      <c r="J244" s="34" t="s">
        <v>72</v>
      </c>
      <c r="K244" s="26" t="s">
        <v>59</v>
      </c>
      <c r="L244" s="26" t="s">
        <v>60</v>
      </c>
    </row>
    <row r="245" spans="1:12">
      <c r="A245" s="26" t="s">
        <v>53</v>
      </c>
      <c r="B245" s="26" t="s">
        <v>54</v>
      </c>
      <c r="C245" s="26" t="s">
        <v>107</v>
      </c>
      <c r="D245" s="26" t="s">
        <v>23</v>
      </c>
      <c r="E245" s="30"/>
      <c r="F245" s="30">
        <v>902417</v>
      </c>
      <c r="G245" s="45" t="s">
        <v>280</v>
      </c>
      <c r="H245" s="34">
        <v>28010941</v>
      </c>
      <c r="I245" s="45" t="s">
        <v>295</v>
      </c>
      <c r="J245" s="34" t="s">
        <v>495</v>
      </c>
      <c r="K245" s="26" t="s">
        <v>59</v>
      </c>
      <c r="L245" s="26" t="s">
        <v>60</v>
      </c>
    </row>
    <row r="246" spans="1:12">
      <c r="A246" s="26" t="s">
        <v>53</v>
      </c>
      <c r="B246" s="26" t="s">
        <v>54</v>
      </c>
      <c r="C246" s="26" t="s">
        <v>107</v>
      </c>
      <c r="D246" s="26" t="s">
        <v>21</v>
      </c>
      <c r="E246" s="30"/>
      <c r="F246" s="30">
        <v>902418</v>
      </c>
      <c r="G246" s="45" t="s">
        <v>282</v>
      </c>
      <c r="H246" s="34">
        <v>28010942</v>
      </c>
      <c r="I246" s="45" t="s">
        <v>297</v>
      </c>
      <c r="J246" s="34" t="s">
        <v>128</v>
      </c>
      <c r="K246" s="26" t="s">
        <v>59</v>
      </c>
      <c r="L246" s="26" t="s">
        <v>60</v>
      </c>
    </row>
    <row r="247" spans="1:12">
      <c r="A247" s="26" t="s">
        <v>53</v>
      </c>
      <c r="B247" s="26" t="s">
        <v>54</v>
      </c>
      <c r="C247" s="26" t="s">
        <v>107</v>
      </c>
      <c r="D247" s="26" t="s">
        <v>21</v>
      </c>
      <c r="E247" s="30"/>
      <c r="F247" s="30">
        <v>902419</v>
      </c>
      <c r="G247" s="45" t="s">
        <v>285</v>
      </c>
      <c r="H247" s="34">
        <v>28010943</v>
      </c>
      <c r="I247" s="45" t="s">
        <v>299</v>
      </c>
      <c r="J247" s="34" t="s">
        <v>56</v>
      </c>
      <c r="K247" s="26" t="s">
        <v>59</v>
      </c>
      <c r="L247" s="26" t="s">
        <v>60</v>
      </c>
    </row>
    <row r="248" spans="1:12">
      <c r="A248" s="26" t="s">
        <v>53</v>
      </c>
      <c r="B248" s="26" t="s">
        <v>54</v>
      </c>
      <c r="C248" s="26" t="s">
        <v>107</v>
      </c>
      <c r="D248" s="26" t="s">
        <v>22</v>
      </c>
      <c r="E248" s="30"/>
      <c r="F248" s="30">
        <v>902420</v>
      </c>
      <c r="G248" s="45" t="s">
        <v>287</v>
      </c>
      <c r="H248" s="34">
        <v>28010944</v>
      </c>
      <c r="I248" s="45" t="s">
        <v>301</v>
      </c>
      <c r="J248" s="34" t="s">
        <v>128</v>
      </c>
      <c r="K248" s="26" t="s">
        <v>59</v>
      </c>
      <c r="L248" s="26" t="s">
        <v>60</v>
      </c>
    </row>
    <row r="249" spans="1:12">
      <c r="A249" s="26" t="s">
        <v>53</v>
      </c>
      <c r="B249" s="26" t="s">
        <v>54</v>
      </c>
      <c r="C249" s="26" t="s">
        <v>107</v>
      </c>
      <c r="D249" s="26" t="s">
        <v>21</v>
      </c>
      <c r="E249" s="30"/>
      <c r="F249" s="30">
        <v>902421</v>
      </c>
      <c r="G249" s="45" t="s">
        <v>293</v>
      </c>
      <c r="H249" s="34">
        <v>28010945</v>
      </c>
      <c r="I249" s="45" t="s">
        <v>303</v>
      </c>
      <c r="J249" s="34" t="s">
        <v>66</v>
      </c>
      <c r="K249" s="26" t="s">
        <v>59</v>
      </c>
      <c r="L249" s="26" t="s">
        <v>60</v>
      </c>
    </row>
    <row r="250" spans="1:12">
      <c r="A250" s="26" t="s">
        <v>53</v>
      </c>
      <c r="B250" s="26" t="s">
        <v>54</v>
      </c>
      <c r="C250" s="26" t="s">
        <v>107</v>
      </c>
      <c r="D250" s="26" t="s">
        <v>21</v>
      </c>
      <c r="E250" s="30"/>
      <c r="F250" s="30">
        <v>902422</v>
      </c>
      <c r="G250" s="45" t="s">
        <v>296</v>
      </c>
      <c r="H250" s="34">
        <v>28010946</v>
      </c>
      <c r="I250" s="45" t="s">
        <v>304</v>
      </c>
      <c r="J250" s="34" t="s">
        <v>128</v>
      </c>
      <c r="K250" s="26" t="s">
        <v>59</v>
      </c>
      <c r="L250" s="26" t="s">
        <v>60</v>
      </c>
    </row>
    <row r="251" spans="1:12">
      <c r="A251" s="26" t="s">
        <v>53</v>
      </c>
      <c r="B251" s="26" t="s">
        <v>54</v>
      </c>
      <c r="C251" s="26" t="s">
        <v>107</v>
      </c>
      <c r="D251" s="26" t="s">
        <v>21</v>
      </c>
      <c r="E251" s="30"/>
      <c r="F251" s="30">
        <v>902423</v>
      </c>
      <c r="G251" s="45" t="s">
        <v>298</v>
      </c>
      <c r="H251" s="34">
        <v>28010947</v>
      </c>
      <c r="I251" s="45" t="s">
        <v>305</v>
      </c>
      <c r="J251" s="34" t="s">
        <v>72</v>
      </c>
      <c r="K251" s="26" t="s">
        <v>59</v>
      </c>
      <c r="L251" s="26" t="s">
        <v>60</v>
      </c>
    </row>
    <row r="252" spans="1:12">
      <c r="A252" s="26" t="s">
        <v>53</v>
      </c>
      <c r="B252" s="26" t="s">
        <v>54</v>
      </c>
      <c r="C252" s="26" t="s">
        <v>107</v>
      </c>
      <c r="D252" s="26" t="s">
        <v>22</v>
      </c>
      <c r="E252" s="30"/>
      <c r="F252" s="30">
        <v>902424</v>
      </c>
      <c r="G252" s="45" t="s">
        <v>300</v>
      </c>
      <c r="H252" s="34">
        <v>28010948</v>
      </c>
      <c r="I252" s="45" t="s">
        <v>307</v>
      </c>
      <c r="J252" s="34" t="s">
        <v>56</v>
      </c>
      <c r="K252" s="26" t="s">
        <v>59</v>
      </c>
      <c r="L252" s="26" t="s">
        <v>60</v>
      </c>
    </row>
    <row r="253" spans="1:12">
      <c r="A253" s="26" t="s">
        <v>53</v>
      </c>
      <c r="B253" s="26" t="s">
        <v>54</v>
      </c>
      <c r="C253" s="26" t="s">
        <v>107</v>
      </c>
      <c r="D253" s="26" t="s">
        <v>22</v>
      </c>
      <c r="E253" s="30"/>
      <c r="F253" s="30">
        <v>902425</v>
      </c>
      <c r="G253" s="45" t="s">
        <v>300</v>
      </c>
      <c r="H253" s="34">
        <v>28010949</v>
      </c>
      <c r="I253" s="45" t="s">
        <v>309</v>
      </c>
      <c r="J253" s="34" t="s">
        <v>56</v>
      </c>
      <c r="K253" s="26" t="s">
        <v>59</v>
      </c>
      <c r="L253" s="26" t="s">
        <v>60</v>
      </c>
    </row>
    <row r="254" spans="1:12">
      <c r="A254" s="26" t="s">
        <v>53</v>
      </c>
      <c r="B254" s="26" t="s">
        <v>54</v>
      </c>
      <c r="C254" s="26" t="s">
        <v>107</v>
      </c>
      <c r="D254" s="26" t="s">
        <v>22</v>
      </c>
      <c r="E254" s="30"/>
      <c r="F254" s="30">
        <v>902426</v>
      </c>
      <c r="G254" s="45" t="s">
        <v>302</v>
      </c>
      <c r="H254" s="34">
        <v>28010950</v>
      </c>
      <c r="I254" s="45" t="s">
        <v>310</v>
      </c>
      <c r="J254" s="34" t="s">
        <v>72</v>
      </c>
      <c r="K254" s="26" t="s">
        <v>59</v>
      </c>
      <c r="L254" s="26" t="s">
        <v>60</v>
      </c>
    </row>
    <row r="255" spans="1:12">
      <c r="A255" s="26" t="s">
        <v>53</v>
      </c>
      <c r="B255" s="26" t="s">
        <v>54</v>
      </c>
      <c r="C255" s="26" t="s">
        <v>107</v>
      </c>
      <c r="D255" s="26" t="s">
        <v>22</v>
      </c>
      <c r="E255" s="30"/>
      <c r="F255" s="30">
        <v>902427</v>
      </c>
      <c r="G255" s="45" t="s">
        <v>306</v>
      </c>
      <c r="H255" s="34">
        <v>28010951</v>
      </c>
      <c r="I255" s="45" t="s">
        <v>312</v>
      </c>
      <c r="J255" s="34" t="s">
        <v>56</v>
      </c>
      <c r="K255" s="26" t="s">
        <v>59</v>
      </c>
      <c r="L255" s="26" t="s">
        <v>60</v>
      </c>
    </row>
    <row r="256" spans="1:12">
      <c r="A256" s="26" t="s">
        <v>53</v>
      </c>
      <c r="B256" s="26" t="s">
        <v>54</v>
      </c>
      <c r="C256" s="26" t="s">
        <v>107</v>
      </c>
      <c r="D256" s="26" t="s">
        <v>22</v>
      </c>
      <c r="E256" s="30"/>
      <c r="F256" s="30">
        <v>902428</v>
      </c>
      <c r="G256" s="45" t="s">
        <v>308</v>
      </c>
      <c r="H256" s="34">
        <v>28010952</v>
      </c>
      <c r="I256" s="45" t="s">
        <v>313</v>
      </c>
      <c r="J256" s="34" t="s">
        <v>72</v>
      </c>
      <c r="K256" s="26" t="s">
        <v>59</v>
      </c>
      <c r="L256" s="26" t="s">
        <v>60</v>
      </c>
    </row>
    <row r="257" spans="1:12">
      <c r="A257" s="26" t="s">
        <v>53</v>
      </c>
      <c r="B257" s="26" t="s">
        <v>54</v>
      </c>
      <c r="C257" s="26" t="s">
        <v>107</v>
      </c>
      <c r="D257" s="26" t="s">
        <v>22</v>
      </c>
      <c r="E257" s="30"/>
      <c r="F257" s="30">
        <v>902429</v>
      </c>
      <c r="G257" s="45" t="s">
        <v>311</v>
      </c>
      <c r="H257" s="34"/>
      <c r="I257" s="45"/>
      <c r="J257" s="34"/>
      <c r="K257" s="26"/>
      <c r="L257" s="26" t="s">
        <v>63</v>
      </c>
    </row>
    <row r="258" spans="1:12">
      <c r="A258" s="26" t="s">
        <v>53</v>
      </c>
      <c r="B258" s="26" t="s">
        <v>54</v>
      </c>
      <c r="C258" s="26" t="s">
        <v>107</v>
      </c>
      <c r="D258" s="26" t="s">
        <v>21</v>
      </c>
      <c r="E258" s="30"/>
      <c r="F258" s="30">
        <v>902430</v>
      </c>
      <c r="G258" s="45" t="s">
        <v>315</v>
      </c>
      <c r="H258" s="34">
        <v>28010953</v>
      </c>
      <c r="I258" s="45" t="s">
        <v>314</v>
      </c>
      <c r="J258" s="34" t="s">
        <v>611</v>
      </c>
      <c r="K258" s="26" t="s">
        <v>552</v>
      </c>
      <c r="L258" s="26" t="s">
        <v>60</v>
      </c>
    </row>
    <row r="259" spans="1:12">
      <c r="A259" s="26" t="s">
        <v>53</v>
      </c>
      <c r="B259" s="26" t="s">
        <v>54</v>
      </c>
      <c r="C259" s="26" t="s">
        <v>107</v>
      </c>
      <c r="D259" s="26" t="s">
        <v>22</v>
      </c>
      <c r="E259" s="30"/>
      <c r="F259" s="30">
        <v>902431</v>
      </c>
      <c r="G259" s="45" t="s">
        <v>317</v>
      </c>
      <c r="H259" s="34">
        <v>28010954</v>
      </c>
      <c r="I259" s="45" t="s">
        <v>316</v>
      </c>
      <c r="J259" s="34" t="s">
        <v>128</v>
      </c>
      <c r="K259" s="26" t="s">
        <v>59</v>
      </c>
      <c r="L259" s="26" t="s">
        <v>60</v>
      </c>
    </row>
    <row r="260" spans="1:12">
      <c r="A260" s="26" t="s">
        <v>53</v>
      </c>
      <c r="B260" s="26" t="s">
        <v>54</v>
      </c>
      <c r="C260" s="26" t="s">
        <v>107</v>
      </c>
      <c r="D260" s="26" t="s">
        <v>22</v>
      </c>
      <c r="E260" s="30"/>
      <c r="F260" s="30">
        <v>902432</v>
      </c>
      <c r="G260" s="45" t="s">
        <v>306</v>
      </c>
      <c r="H260" s="34">
        <v>28010955</v>
      </c>
      <c r="I260" s="45" t="s">
        <v>318</v>
      </c>
      <c r="J260" s="34" t="s">
        <v>72</v>
      </c>
      <c r="K260" s="26" t="s">
        <v>59</v>
      </c>
      <c r="L260" s="26" t="s">
        <v>60</v>
      </c>
    </row>
    <row r="261" spans="1:12">
      <c r="A261" s="26" t="s">
        <v>53</v>
      </c>
      <c r="B261" s="26" t="s">
        <v>54</v>
      </c>
      <c r="C261" s="26" t="s">
        <v>107</v>
      </c>
      <c r="D261" s="26" t="s">
        <v>21</v>
      </c>
      <c r="E261" s="30"/>
      <c r="F261" s="30">
        <v>902433</v>
      </c>
      <c r="G261" s="45" t="s">
        <v>298</v>
      </c>
      <c r="H261" s="34">
        <v>28010956</v>
      </c>
      <c r="I261" s="45" t="s">
        <v>320</v>
      </c>
      <c r="J261" s="34" t="s">
        <v>72</v>
      </c>
      <c r="K261" s="26" t="s">
        <v>59</v>
      </c>
      <c r="L261" s="26" t="s">
        <v>60</v>
      </c>
    </row>
    <row r="262" spans="1:12">
      <c r="A262" s="26" t="s">
        <v>53</v>
      </c>
      <c r="B262" s="26" t="s">
        <v>54</v>
      </c>
      <c r="C262" s="26" t="s">
        <v>107</v>
      </c>
      <c r="D262" s="26" t="s">
        <v>22</v>
      </c>
      <c r="E262" s="30"/>
      <c r="F262" s="30">
        <v>902434</v>
      </c>
      <c r="G262" s="45" t="s">
        <v>319</v>
      </c>
      <c r="H262" s="34">
        <v>28010957</v>
      </c>
      <c r="I262" s="45" t="s">
        <v>322</v>
      </c>
      <c r="J262" s="34" t="s">
        <v>56</v>
      </c>
      <c r="K262" s="26" t="s">
        <v>59</v>
      </c>
      <c r="L262" s="26" t="s">
        <v>60</v>
      </c>
    </row>
    <row r="263" spans="1:12">
      <c r="A263" s="26" t="s">
        <v>53</v>
      </c>
      <c r="B263" s="26" t="s">
        <v>54</v>
      </c>
      <c r="C263" s="26" t="s">
        <v>107</v>
      </c>
      <c r="D263" s="26" t="s">
        <v>22</v>
      </c>
      <c r="E263" s="30"/>
      <c r="F263" s="30">
        <v>902435</v>
      </c>
      <c r="G263" s="45" t="s">
        <v>321</v>
      </c>
      <c r="H263" s="34"/>
      <c r="I263" s="45"/>
      <c r="J263" s="34"/>
      <c r="K263" s="26"/>
      <c r="L263" s="26" t="s">
        <v>63</v>
      </c>
    </row>
    <row r="264" spans="1:12">
      <c r="A264" s="26" t="s">
        <v>53</v>
      </c>
      <c r="B264" s="26" t="s">
        <v>54</v>
      </c>
      <c r="C264" s="26" t="s">
        <v>107</v>
      </c>
      <c r="D264" s="26" t="s">
        <v>22</v>
      </c>
      <c r="E264" s="30"/>
      <c r="F264" s="30">
        <v>902436</v>
      </c>
      <c r="G264" s="45" t="s">
        <v>325</v>
      </c>
      <c r="H264" s="34">
        <v>28010958</v>
      </c>
      <c r="I264" s="45" t="s">
        <v>323</v>
      </c>
      <c r="J264" s="34" t="s">
        <v>56</v>
      </c>
      <c r="K264" s="26" t="s">
        <v>59</v>
      </c>
      <c r="L264" s="26" t="s">
        <v>60</v>
      </c>
    </row>
    <row r="265" spans="1:12">
      <c r="A265" s="26" t="s">
        <v>53</v>
      </c>
      <c r="B265" s="26" t="s">
        <v>54</v>
      </c>
      <c r="C265" s="26" t="s">
        <v>107</v>
      </c>
      <c r="D265" s="26" t="s">
        <v>21</v>
      </c>
      <c r="E265" s="30"/>
      <c r="F265" s="30">
        <v>902437</v>
      </c>
      <c r="G265" s="45" t="s">
        <v>329</v>
      </c>
      <c r="H265" s="34">
        <v>28010959</v>
      </c>
      <c r="I265" s="45" t="s">
        <v>324</v>
      </c>
      <c r="J265" s="34" t="s">
        <v>56</v>
      </c>
      <c r="K265" s="26" t="s">
        <v>59</v>
      </c>
      <c r="L265" s="26" t="s">
        <v>60</v>
      </c>
    </row>
    <row r="266" spans="1:12">
      <c r="A266" s="26" t="s">
        <v>53</v>
      </c>
      <c r="B266" s="26" t="s">
        <v>54</v>
      </c>
      <c r="C266" s="26" t="s">
        <v>107</v>
      </c>
      <c r="D266" s="26" t="s">
        <v>22</v>
      </c>
      <c r="E266" s="30"/>
      <c r="F266" s="30">
        <v>902438</v>
      </c>
      <c r="G266" s="45" t="s">
        <v>331</v>
      </c>
      <c r="H266" s="34">
        <v>28010960</v>
      </c>
      <c r="I266" s="45" t="s">
        <v>326</v>
      </c>
      <c r="J266" s="34" t="s">
        <v>56</v>
      </c>
      <c r="K266" s="26" t="s">
        <v>59</v>
      </c>
      <c r="L266" s="26" t="s">
        <v>60</v>
      </c>
    </row>
    <row r="267" spans="1:12">
      <c r="A267" s="26" t="s">
        <v>53</v>
      </c>
      <c r="B267" s="26" t="s">
        <v>54</v>
      </c>
      <c r="C267" s="26" t="s">
        <v>107</v>
      </c>
      <c r="D267" s="26" t="s">
        <v>22</v>
      </c>
      <c r="E267" s="30"/>
      <c r="F267" s="30">
        <v>902439</v>
      </c>
      <c r="G267" s="45" t="s">
        <v>57</v>
      </c>
      <c r="H267" s="34">
        <v>28010961</v>
      </c>
      <c r="I267" s="45" t="s">
        <v>327</v>
      </c>
      <c r="J267" s="34" t="s">
        <v>72</v>
      </c>
      <c r="K267" s="26" t="s">
        <v>59</v>
      </c>
      <c r="L267" s="26" t="s">
        <v>60</v>
      </c>
    </row>
    <row r="268" spans="1:12">
      <c r="A268" s="26" t="s">
        <v>53</v>
      </c>
      <c r="B268" s="26" t="s">
        <v>54</v>
      </c>
      <c r="C268" s="26" t="s">
        <v>107</v>
      </c>
      <c r="D268" s="26" t="s">
        <v>22</v>
      </c>
      <c r="E268" s="30"/>
      <c r="F268" s="30">
        <v>902440</v>
      </c>
      <c r="G268" s="45" t="s">
        <v>62</v>
      </c>
      <c r="H268" s="34">
        <v>28010962</v>
      </c>
      <c r="I268" s="45" t="s">
        <v>328</v>
      </c>
      <c r="J268" s="34" t="s">
        <v>128</v>
      </c>
      <c r="K268" s="26" t="s">
        <v>59</v>
      </c>
      <c r="L268" s="26" t="s">
        <v>60</v>
      </c>
    </row>
    <row r="269" spans="1:12">
      <c r="A269" s="26" t="s">
        <v>53</v>
      </c>
      <c r="B269" s="26" t="s">
        <v>54</v>
      </c>
      <c r="C269" s="26" t="s">
        <v>107</v>
      </c>
      <c r="D269" s="26" t="s">
        <v>22</v>
      </c>
      <c r="E269" s="30"/>
      <c r="F269" s="30">
        <v>902441</v>
      </c>
      <c r="G269" s="45" t="s">
        <v>57</v>
      </c>
      <c r="H269" s="34">
        <v>28010963</v>
      </c>
      <c r="I269" s="45" t="s">
        <v>336</v>
      </c>
      <c r="J269" s="34" t="s">
        <v>56</v>
      </c>
      <c r="K269" s="26" t="s">
        <v>59</v>
      </c>
      <c r="L269" s="26" t="s">
        <v>60</v>
      </c>
    </row>
    <row r="270" spans="1:12">
      <c r="A270" s="26" t="s">
        <v>53</v>
      </c>
      <c r="B270" s="26" t="s">
        <v>54</v>
      </c>
      <c r="C270" s="26" t="s">
        <v>107</v>
      </c>
      <c r="D270" s="26" t="s">
        <v>22</v>
      </c>
      <c r="E270" s="30"/>
      <c r="F270" s="30">
        <v>902442</v>
      </c>
      <c r="G270" s="45" t="s">
        <v>57</v>
      </c>
      <c r="H270" s="34">
        <v>28010964</v>
      </c>
      <c r="I270" s="45" t="s">
        <v>330</v>
      </c>
      <c r="J270" s="34" t="s">
        <v>56</v>
      </c>
      <c r="K270" s="26" t="s">
        <v>59</v>
      </c>
      <c r="L270" s="26" t="s">
        <v>60</v>
      </c>
    </row>
    <row r="271" spans="1:12">
      <c r="A271" s="26" t="s">
        <v>53</v>
      </c>
      <c r="B271" s="26" t="s">
        <v>54</v>
      </c>
      <c r="C271" s="26" t="s">
        <v>107</v>
      </c>
      <c r="D271" s="26" t="s">
        <v>22</v>
      </c>
      <c r="E271" s="30"/>
      <c r="F271" s="30">
        <v>902443</v>
      </c>
      <c r="G271" s="49" t="s">
        <v>67</v>
      </c>
      <c r="H271" s="34"/>
      <c r="I271" s="45"/>
      <c r="J271" s="34"/>
      <c r="K271" s="26"/>
      <c r="L271" s="26" t="s">
        <v>63</v>
      </c>
    </row>
    <row r="272" spans="1:12">
      <c r="A272" s="26" t="s">
        <v>53</v>
      </c>
      <c r="B272" s="26" t="s">
        <v>54</v>
      </c>
      <c r="C272" s="26" t="s">
        <v>107</v>
      </c>
      <c r="D272" s="26" t="s">
        <v>22</v>
      </c>
      <c r="E272" s="30"/>
      <c r="F272" s="30">
        <v>902444</v>
      </c>
      <c r="G272" s="45" t="s">
        <v>57</v>
      </c>
      <c r="H272" s="34">
        <v>28010965</v>
      </c>
      <c r="I272" s="45" t="s">
        <v>332</v>
      </c>
      <c r="J272" s="34" t="s">
        <v>56</v>
      </c>
      <c r="K272" s="26" t="s">
        <v>59</v>
      </c>
      <c r="L272" s="26" t="s">
        <v>60</v>
      </c>
    </row>
    <row r="273" spans="1:12">
      <c r="A273" s="26" t="s">
        <v>53</v>
      </c>
      <c r="B273" s="26" t="s">
        <v>54</v>
      </c>
      <c r="C273" s="26" t="s">
        <v>107</v>
      </c>
      <c r="D273" s="26" t="s">
        <v>22</v>
      </c>
      <c r="E273" s="30"/>
      <c r="F273" s="30">
        <v>902445</v>
      </c>
      <c r="G273" s="45" t="s">
        <v>70</v>
      </c>
      <c r="H273" s="34">
        <v>28010966</v>
      </c>
      <c r="I273" s="45" t="s">
        <v>333</v>
      </c>
      <c r="J273" s="34" t="s">
        <v>99</v>
      </c>
      <c r="K273" s="26" t="s">
        <v>59</v>
      </c>
      <c r="L273" s="26" t="s">
        <v>60</v>
      </c>
    </row>
    <row r="274" spans="1:12">
      <c r="A274" s="26" t="s">
        <v>53</v>
      </c>
      <c r="B274" s="26" t="s">
        <v>54</v>
      </c>
      <c r="C274" s="26" t="s">
        <v>107</v>
      </c>
      <c r="D274" s="26" t="s">
        <v>21</v>
      </c>
      <c r="E274" s="30"/>
      <c r="F274" s="30">
        <v>902446</v>
      </c>
      <c r="G274" s="45" t="s">
        <v>73</v>
      </c>
      <c r="H274" s="34">
        <v>28010967</v>
      </c>
      <c r="I274" s="45" t="s">
        <v>334</v>
      </c>
      <c r="J274" s="34" t="s">
        <v>72</v>
      </c>
      <c r="K274" s="26" t="s">
        <v>59</v>
      </c>
      <c r="L274" s="26" t="s">
        <v>60</v>
      </c>
    </row>
    <row r="275" spans="1:12">
      <c r="A275" s="26" t="s">
        <v>53</v>
      </c>
      <c r="B275" s="26" t="s">
        <v>54</v>
      </c>
      <c r="C275" s="26" t="s">
        <v>107</v>
      </c>
      <c r="D275" s="26" t="s">
        <v>22</v>
      </c>
      <c r="E275" s="30"/>
      <c r="F275" s="30">
        <v>902447</v>
      </c>
      <c r="G275" s="45" t="s">
        <v>84</v>
      </c>
      <c r="H275" s="34">
        <v>28010968</v>
      </c>
      <c r="I275" s="45" t="s">
        <v>335</v>
      </c>
      <c r="J275" s="34" t="s">
        <v>99</v>
      </c>
      <c r="K275" s="26" t="s">
        <v>59</v>
      </c>
      <c r="L275" s="26" t="s">
        <v>60</v>
      </c>
    </row>
    <row r="276" spans="1:12">
      <c r="A276" s="26" t="s">
        <v>53</v>
      </c>
      <c r="B276" s="26" t="s">
        <v>54</v>
      </c>
      <c r="C276" s="26" t="s">
        <v>107</v>
      </c>
      <c r="D276" s="26" t="s">
        <v>21</v>
      </c>
      <c r="E276" s="30"/>
      <c r="F276" s="30">
        <v>902448</v>
      </c>
      <c r="G276" s="45" t="s">
        <v>92</v>
      </c>
      <c r="H276" s="34">
        <v>28010969</v>
      </c>
      <c r="I276" s="45" t="s">
        <v>336</v>
      </c>
      <c r="J276" s="34" t="s">
        <v>72</v>
      </c>
      <c r="K276" s="26" t="s">
        <v>59</v>
      </c>
      <c r="L276" s="26" t="s">
        <v>60</v>
      </c>
    </row>
    <row r="277" spans="1:12">
      <c r="A277" s="26" t="s">
        <v>53</v>
      </c>
      <c r="B277" s="26" t="s">
        <v>54</v>
      </c>
      <c r="C277" s="26" t="s">
        <v>107</v>
      </c>
      <c r="D277" s="26" t="s">
        <v>22</v>
      </c>
      <c r="E277" s="30"/>
      <c r="F277" s="30">
        <v>902449</v>
      </c>
      <c r="G277" s="45" t="s">
        <v>100</v>
      </c>
      <c r="H277" s="34">
        <v>28010970</v>
      </c>
      <c r="I277" s="45" t="s">
        <v>337</v>
      </c>
      <c r="J277" s="34" t="s">
        <v>56</v>
      </c>
      <c r="K277" s="26" t="s">
        <v>59</v>
      </c>
      <c r="L277" s="26" t="s">
        <v>60</v>
      </c>
    </row>
    <row r="278" spans="1:12">
      <c r="A278" s="26" t="s">
        <v>53</v>
      </c>
      <c r="B278" s="26" t="s">
        <v>54</v>
      </c>
      <c r="C278" s="26" t="s">
        <v>107</v>
      </c>
      <c r="D278" s="26" t="s">
        <v>22</v>
      </c>
      <c r="E278" s="30"/>
      <c r="F278" s="30">
        <v>902450</v>
      </c>
      <c r="G278" s="50" t="s">
        <v>103</v>
      </c>
      <c r="H278" s="34"/>
      <c r="I278" s="45"/>
      <c r="J278" s="34"/>
      <c r="K278" s="26"/>
      <c r="L278" s="26" t="s">
        <v>63</v>
      </c>
    </row>
    <row r="279" spans="1:12">
      <c r="A279" s="26" t="s">
        <v>53</v>
      </c>
      <c r="B279" s="26" t="s">
        <v>54</v>
      </c>
      <c r="C279" s="26" t="s">
        <v>107</v>
      </c>
      <c r="D279" s="26" t="s">
        <v>22</v>
      </c>
      <c r="E279" s="30"/>
      <c r="F279" s="30">
        <v>902451</v>
      </c>
      <c r="G279" s="45" t="s">
        <v>111</v>
      </c>
      <c r="H279" s="34">
        <v>28010971</v>
      </c>
      <c r="I279" s="45" t="s">
        <v>338</v>
      </c>
      <c r="J279" s="34" t="s">
        <v>56</v>
      </c>
      <c r="K279" s="26" t="s">
        <v>59</v>
      </c>
      <c r="L279" s="26" t="s">
        <v>60</v>
      </c>
    </row>
    <row r="280" spans="1:12">
      <c r="A280" s="26" t="s">
        <v>53</v>
      </c>
      <c r="B280" s="26" t="s">
        <v>54</v>
      </c>
      <c r="C280" s="26" t="s">
        <v>107</v>
      </c>
      <c r="D280" s="26" t="s">
        <v>21</v>
      </c>
      <c r="E280" s="30"/>
      <c r="F280" s="30">
        <v>902452</v>
      </c>
      <c r="G280" s="45" t="s">
        <v>113</v>
      </c>
      <c r="H280" s="34"/>
      <c r="I280" s="45"/>
      <c r="J280" s="34"/>
      <c r="K280" s="26"/>
      <c r="L280" s="26" t="s">
        <v>63</v>
      </c>
    </row>
    <row r="281" spans="1:12">
      <c r="A281" s="26" t="s">
        <v>53</v>
      </c>
      <c r="B281" s="26" t="s">
        <v>54</v>
      </c>
      <c r="C281" s="26" t="s">
        <v>107</v>
      </c>
      <c r="D281" s="26" t="s">
        <v>22</v>
      </c>
      <c r="E281" s="30"/>
      <c r="F281" s="30">
        <v>902453</v>
      </c>
      <c r="G281" s="45" t="s">
        <v>111</v>
      </c>
      <c r="H281" s="34">
        <v>28010972</v>
      </c>
      <c r="I281" s="45" t="s">
        <v>339</v>
      </c>
      <c r="J281" s="34" t="s">
        <v>72</v>
      </c>
      <c r="K281" s="26" t="s">
        <v>59</v>
      </c>
      <c r="L281" s="26" t="s">
        <v>60</v>
      </c>
    </row>
    <row r="282" spans="1:12">
      <c r="A282" s="26" t="s">
        <v>53</v>
      </c>
      <c r="B282" s="26" t="s">
        <v>54</v>
      </c>
      <c r="C282" s="26" t="s">
        <v>107</v>
      </c>
      <c r="D282" s="26" t="s">
        <v>21</v>
      </c>
      <c r="E282" s="30"/>
      <c r="F282" s="30">
        <v>902454</v>
      </c>
      <c r="G282" s="45" t="s">
        <v>116</v>
      </c>
      <c r="H282" s="34">
        <v>28010973</v>
      </c>
      <c r="I282" s="45" t="s">
        <v>340</v>
      </c>
      <c r="J282" s="34" t="s">
        <v>72</v>
      </c>
      <c r="K282" s="26" t="s">
        <v>59</v>
      </c>
      <c r="L282" s="26" t="s">
        <v>60</v>
      </c>
    </row>
    <row r="283" spans="1:12">
      <c r="A283" s="26" t="s">
        <v>53</v>
      </c>
      <c r="B283" s="26" t="s">
        <v>54</v>
      </c>
      <c r="C283" s="26" t="s">
        <v>107</v>
      </c>
      <c r="D283" s="26" t="s">
        <v>22</v>
      </c>
      <c r="E283" s="30"/>
      <c r="F283" s="30">
        <v>902455</v>
      </c>
      <c r="G283" s="45" t="s">
        <v>118</v>
      </c>
      <c r="H283" s="34">
        <v>28010974</v>
      </c>
      <c r="I283" s="45" t="s">
        <v>341</v>
      </c>
      <c r="J283" s="34" t="s">
        <v>56</v>
      </c>
      <c r="K283" s="26" t="s">
        <v>59</v>
      </c>
      <c r="L283" s="26" t="s">
        <v>60</v>
      </c>
    </row>
    <row r="284" spans="1:12">
      <c r="A284" s="26" t="s">
        <v>53</v>
      </c>
      <c r="B284" s="26" t="s">
        <v>54</v>
      </c>
      <c r="C284" s="26" t="s">
        <v>107</v>
      </c>
      <c r="D284" s="26" t="s">
        <v>21</v>
      </c>
      <c r="E284" s="30"/>
      <c r="F284" s="30">
        <v>902456</v>
      </c>
      <c r="G284" s="45" t="s">
        <v>120</v>
      </c>
      <c r="H284" s="34">
        <v>28010975</v>
      </c>
      <c r="I284" s="45" t="s">
        <v>342</v>
      </c>
      <c r="J284" s="34" t="s">
        <v>72</v>
      </c>
      <c r="K284" s="26" t="s">
        <v>59</v>
      </c>
      <c r="L284" s="26" t="s">
        <v>60</v>
      </c>
    </row>
    <row r="285" spans="1:12">
      <c r="A285" s="26" t="s">
        <v>53</v>
      </c>
      <c r="B285" s="26" t="s">
        <v>54</v>
      </c>
      <c r="C285" s="26" t="s">
        <v>107</v>
      </c>
      <c r="D285" s="26" t="s">
        <v>21</v>
      </c>
      <c r="E285" s="30"/>
      <c r="F285" s="30">
        <v>902457</v>
      </c>
      <c r="G285" s="45" t="s">
        <v>126</v>
      </c>
      <c r="H285" s="34">
        <v>28010976</v>
      </c>
      <c r="I285" s="45" t="s">
        <v>343</v>
      </c>
      <c r="J285" s="34" t="s">
        <v>72</v>
      </c>
      <c r="K285" s="26" t="s">
        <v>59</v>
      </c>
      <c r="L285" s="26" t="s">
        <v>60</v>
      </c>
    </row>
    <row r="286" spans="1:12">
      <c r="A286" s="26" t="s">
        <v>53</v>
      </c>
      <c r="B286" s="26" t="s">
        <v>54</v>
      </c>
      <c r="C286" s="26" t="s">
        <v>107</v>
      </c>
      <c r="D286" s="26" t="s">
        <v>22</v>
      </c>
      <c r="E286" s="30"/>
      <c r="F286" s="30">
        <v>902458</v>
      </c>
      <c r="G286" s="45" t="s">
        <v>129</v>
      </c>
      <c r="H286" s="34">
        <v>28010977</v>
      </c>
      <c r="I286" s="45" t="s">
        <v>344</v>
      </c>
      <c r="J286" s="34" t="s">
        <v>56</v>
      </c>
      <c r="K286" s="26" t="s">
        <v>59</v>
      </c>
      <c r="L286" s="26" t="s">
        <v>60</v>
      </c>
    </row>
    <row r="287" spans="1:12">
      <c r="A287" s="26" t="s">
        <v>53</v>
      </c>
      <c r="B287" s="26" t="s">
        <v>54</v>
      </c>
      <c r="C287" s="26" t="s">
        <v>107</v>
      </c>
      <c r="D287" s="26" t="s">
        <v>21</v>
      </c>
      <c r="E287" s="30"/>
      <c r="F287" s="30">
        <v>902459</v>
      </c>
      <c r="G287" s="45" t="s">
        <v>131</v>
      </c>
      <c r="H287" s="34">
        <v>28010978</v>
      </c>
      <c r="I287" s="45" t="s">
        <v>345</v>
      </c>
      <c r="J287" s="34" t="s">
        <v>72</v>
      </c>
      <c r="K287" s="26" t="s">
        <v>59</v>
      </c>
      <c r="L287" s="26" t="s">
        <v>60</v>
      </c>
    </row>
    <row r="288" spans="1:12">
      <c r="A288" s="26" t="s">
        <v>53</v>
      </c>
      <c r="B288" s="26" t="s">
        <v>54</v>
      </c>
      <c r="C288" s="26" t="s">
        <v>107</v>
      </c>
      <c r="D288" s="26" t="s">
        <v>22</v>
      </c>
      <c r="E288" s="30"/>
      <c r="F288" s="30">
        <v>902460</v>
      </c>
      <c r="G288" s="45" t="s">
        <v>133</v>
      </c>
      <c r="H288" s="34">
        <v>28010979</v>
      </c>
      <c r="I288" s="45" t="s">
        <v>346</v>
      </c>
      <c r="J288" s="34" t="s">
        <v>72</v>
      </c>
      <c r="K288" s="26" t="s">
        <v>59</v>
      </c>
      <c r="L288" s="26" t="s">
        <v>60</v>
      </c>
    </row>
    <row r="289" spans="1:12">
      <c r="A289" s="26" t="s">
        <v>53</v>
      </c>
      <c r="B289" s="26" t="s">
        <v>54</v>
      </c>
      <c r="C289" s="26" t="s">
        <v>107</v>
      </c>
      <c r="D289" s="26" t="s">
        <v>22</v>
      </c>
      <c r="E289" s="30"/>
      <c r="F289" s="30">
        <v>902461</v>
      </c>
      <c r="G289" s="45" t="s">
        <v>135</v>
      </c>
      <c r="H289" s="34">
        <v>28010980</v>
      </c>
      <c r="I289" s="45" t="s">
        <v>347</v>
      </c>
      <c r="J289" s="34" t="s">
        <v>72</v>
      </c>
      <c r="K289" s="26" t="s">
        <v>59</v>
      </c>
      <c r="L289" s="26" t="s">
        <v>60</v>
      </c>
    </row>
    <row r="290" spans="1:12">
      <c r="A290" s="26" t="s">
        <v>53</v>
      </c>
      <c r="B290" s="26" t="s">
        <v>54</v>
      </c>
      <c r="C290" s="26" t="s">
        <v>107</v>
      </c>
      <c r="D290" s="26" t="s">
        <v>21</v>
      </c>
      <c r="E290" s="30"/>
      <c r="F290" s="30">
        <v>902462</v>
      </c>
      <c r="G290" s="45" t="s">
        <v>137</v>
      </c>
      <c r="H290" s="34">
        <v>28010981</v>
      </c>
      <c r="I290" s="45" t="s">
        <v>348</v>
      </c>
      <c r="J290" s="34" t="s">
        <v>56</v>
      </c>
      <c r="K290" s="26" t="s">
        <v>59</v>
      </c>
      <c r="L290" s="26" t="s">
        <v>60</v>
      </c>
    </row>
    <row r="291" spans="1:12">
      <c r="A291" s="26" t="s">
        <v>53</v>
      </c>
      <c r="B291" s="26" t="s">
        <v>54</v>
      </c>
      <c r="C291" s="26" t="s">
        <v>107</v>
      </c>
      <c r="D291" s="26" t="s">
        <v>22</v>
      </c>
      <c r="E291" s="30"/>
      <c r="F291" s="30">
        <v>902463</v>
      </c>
      <c r="G291" s="45" t="s">
        <v>139</v>
      </c>
      <c r="H291" s="34">
        <v>28010982</v>
      </c>
      <c r="I291" s="45" t="s">
        <v>349</v>
      </c>
      <c r="J291" s="34" t="s">
        <v>72</v>
      </c>
      <c r="K291" s="26" t="s">
        <v>59</v>
      </c>
      <c r="L291" s="26" t="s">
        <v>60</v>
      </c>
    </row>
    <row r="292" spans="1:12">
      <c r="A292" s="26" t="s">
        <v>53</v>
      </c>
      <c r="B292" s="26" t="s">
        <v>54</v>
      </c>
      <c r="C292" s="26" t="s">
        <v>107</v>
      </c>
      <c r="D292" s="26" t="s">
        <v>24</v>
      </c>
      <c r="E292" s="30"/>
      <c r="F292" s="30">
        <v>902464</v>
      </c>
      <c r="G292" s="45" t="s">
        <v>141</v>
      </c>
      <c r="H292" s="34">
        <v>28010983</v>
      </c>
      <c r="I292" s="45" t="s">
        <v>350</v>
      </c>
      <c r="J292" s="34" t="s">
        <v>56</v>
      </c>
      <c r="K292" s="26" t="s">
        <v>59</v>
      </c>
      <c r="L292" s="26" t="s">
        <v>60</v>
      </c>
    </row>
    <row r="293" spans="1:12">
      <c r="A293" s="26" t="s">
        <v>53</v>
      </c>
      <c r="B293" s="26" t="s">
        <v>54</v>
      </c>
      <c r="C293" s="26" t="s">
        <v>107</v>
      </c>
      <c r="D293" s="26" t="s">
        <v>22</v>
      </c>
      <c r="E293" s="30"/>
      <c r="F293" s="30">
        <v>902465</v>
      </c>
      <c r="G293" s="45" t="s">
        <v>142</v>
      </c>
      <c r="H293" s="34">
        <v>28010984</v>
      </c>
      <c r="I293" s="45" t="s">
        <v>351</v>
      </c>
      <c r="J293" s="34" t="s">
        <v>72</v>
      </c>
      <c r="K293" s="26" t="s">
        <v>59</v>
      </c>
      <c r="L293" s="26" t="s">
        <v>60</v>
      </c>
    </row>
    <row r="294" spans="1:12">
      <c r="A294" s="26" t="s">
        <v>53</v>
      </c>
      <c r="B294" s="26" t="s">
        <v>54</v>
      </c>
      <c r="C294" s="26" t="s">
        <v>107</v>
      </c>
      <c r="D294" s="26" t="s">
        <v>21</v>
      </c>
      <c r="E294" s="30"/>
      <c r="F294" s="30">
        <v>902466</v>
      </c>
      <c r="G294" s="49" t="s">
        <v>144</v>
      </c>
      <c r="H294" s="34"/>
      <c r="I294" s="45"/>
      <c r="J294" s="34"/>
      <c r="K294" s="26"/>
      <c r="L294" s="26" t="s">
        <v>63</v>
      </c>
    </row>
    <row r="295" spans="1:12">
      <c r="A295" s="26" t="s">
        <v>53</v>
      </c>
      <c r="B295" s="26" t="s">
        <v>54</v>
      </c>
      <c r="C295" s="26" t="s">
        <v>107</v>
      </c>
      <c r="D295" s="26" t="s">
        <v>22</v>
      </c>
      <c r="E295" s="30"/>
      <c r="F295" s="30">
        <v>902467</v>
      </c>
      <c r="G295" s="45" t="s">
        <v>146</v>
      </c>
      <c r="H295" s="34">
        <v>28010985</v>
      </c>
      <c r="I295" s="45" t="s">
        <v>352</v>
      </c>
      <c r="J295" s="34" t="s">
        <v>72</v>
      </c>
      <c r="K295" s="26" t="s">
        <v>59</v>
      </c>
      <c r="L295" s="26" t="s">
        <v>60</v>
      </c>
    </row>
    <row r="296" spans="1:12">
      <c r="A296" s="26" t="s">
        <v>53</v>
      </c>
      <c r="B296" s="26" t="s">
        <v>54</v>
      </c>
      <c r="C296" s="26" t="s">
        <v>107</v>
      </c>
      <c r="D296" s="26" t="s">
        <v>21</v>
      </c>
      <c r="E296" s="30"/>
      <c r="F296" s="30">
        <v>902468</v>
      </c>
      <c r="G296" s="45" t="s">
        <v>148</v>
      </c>
      <c r="H296" s="34">
        <v>28010986</v>
      </c>
      <c r="I296" s="45" t="s">
        <v>353</v>
      </c>
      <c r="J296" s="34" t="s">
        <v>56</v>
      </c>
      <c r="K296" s="26" t="s">
        <v>59</v>
      </c>
      <c r="L296" s="26" t="s">
        <v>60</v>
      </c>
    </row>
    <row r="297" spans="1:12">
      <c r="A297" s="26" t="s">
        <v>53</v>
      </c>
      <c r="B297" s="26" t="s">
        <v>54</v>
      </c>
      <c r="C297" s="26" t="s">
        <v>107</v>
      </c>
      <c r="D297" s="26" t="s">
        <v>22</v>
      </c>
      <c r="E297" s="30"/>
      <c r="F297" s="30">
        <v>902469</v>
      </c>
      <c r="G297" s="45" t="s">
        <v>151</v>
      </c>
      <c r="H297" s="34">
        <v>28010987</v>
      </c>
      <c r="I297" s="45" t="s">
        <v>354</v>
      </c>
      <c r="J297" s="34" t="s">
        <v>128</v>
      </c>
      <c r="K297" s="26" t="s">
        <v>59</v>
      </c>
      <c r="L297" s="26" t="s">
        <v>60</v>
      </c>
    </row>
    <row r="298" spans="1:12">
      <c r="A298" s="26" t="s">
        <v>53</v>
      </c>
      <c r="B298" s="26" t="s">
        <v>54</v>
      </c>
      <c r="C298" s="26" t="s">
        <v>107</v>
      </c>
      <c r="D298" s="26" t="s">
        <v>21</v>
      </c>
      <c r="E298" s="30"/>
      <c r="F298" s="30">
        <v>902470</v>
      </c>
      <c r="G298" s="45" t="s">
        <v>153</v>
      </c>
      <c r="H298" s="34">
        <v>28010988</v>
      </c>
      <c r="I298" s="45" t="s">
        <v>355</v>
      </c>
      <c r="J298" s="34" t="s">
        <v>72</v>
      </c>
      <c r="K298" s="26" t="s">
        <v>59</v>
      </c>
      <c r="L298" s="26" t="s">
        <v>60</v>
      </c>
    </row>
    <row r="299" spans="1:12">
      <c r="A299" s="26" t="s">
        <v>53</v>
      </c>
      <c r="B299" s="26" t="s">
        <v>54</v>
      </c>
      <c r="C299" s="26" t="s">
        <v>107</v>
      </c>
      <c r="D299" s="26" t="s">
        <v>22</v>
      </c>
      <c r="E299" s="30"/>
      <c r="F299" s="30">
        <v>902471</v>
      </c>
      <c r="G299" s="45" t="s">
        <v>157</v>
      </c>
      <c r="H299" s="34">
        <v>28010989</v>
      </c>
      <c r="I299" s="45" t="s">
        <v>356</v>
      </c>
      <c r="J299" s="34" t="s">
        <v>72</v>
      </c>
      <c r="K299" s="26" t="s">
        <v>59</v>
      </c>
      <c r="L299" s="26" t="s">
        <v>60</v>
      </c>
    </row>
    <row r="300" spans="1:12">
      <c r="A300" s="26" t="s">
        <v>53</v>
      </c>
      <c r="B300" s="26" t="s">
        <v>54</v>
      </c>
      <c r="C300" s="26" t="s">
        <v>107</v>
      </c>
      <c r="D300" s="26" t="s">
        <v>22</v>
      </c>
      <c r="E300" s="30"/>
      <c r="F300" s="30">
        <v>902472</v>
      </c>
      <c r="G300" s="51" t="s">
        <v>160</v>
      </c>
      <c r="H300" s="34"/>
      <c r="I300" s="45"/>
      <c r="J300" s="34"/>
      <c r="K300" s="26"/>
      <c r="L300" s="26" t="s">
        <v>63</v>
      </c>
    </row>
    <row r="301" spans="1:12">
      <c r="A301" s="26" t="s">
        <v>53</v>
      </c>
      <c r="B301" s="26" t="s">
        <v>54</v>
      </c>
      <c r="C301" s="26" t="s">
        <v>107</v>
      </c>
      <c r="D301" s="26" t="s">
        <v>24</v>
      </c>
      <c r="E301" s="30"/>
      <c r="F301" s="30">
        <v>902473</v>
      </c>
      <c r="G301" s="45" t="s">
        <v>162</v>
      </c>
      <c r="H301" s="34">
        <v>28010990</v>
      </c>
      <c r="I301" s="45" t="s">
        <v>357</v>
      </c>
      <c r="J301" s="34" t="s">
        <v>69</v>
      </c>
      <c r="K301" s="26" t="s">
        <v>59</v>
      </c>
      <c r="L301" s="26" t="s">
        <v>60</v>
      </c>
    </row>
    <row r="302" spans="1:12">
      <c r="A302" s="26" t="s">
        <v>53</v>
      </c>
      <c r="B302" s="26" t="s">
        <v>54</v>
      </c>
      <c r="C302" s="26" t="s">
        <v>107</v>
      </c>
      <c r="D302" s="26" t="s">
        <v>21</v>
      </c>
      <c r="E302" s="30"/>
      <c r="F302" s="30">
        <v>902474</v>
      </c>
      <c r="G302" s="45" t="s">
        <v>165</v>
      </c>
      <c r="H302" s="34"/>
      <c r="I302" s="45"/>
      <c r="J302" s="34"/>
      <c r="K302" s="26"/>
      <c r="L302" s="26" t="s">
        <v>63</v>
      </c>
    </row>
    <row r="303" spans="1:12">
      <c r="A303" s="26" t="s">
        <v>53</v>
      </c>
      <c r="B303" s="26" t="s">
        <v>54</v>
      </c>
      <c r="C303" s="26" t="s">
        <v>107</v>
      </c>
      <c r="D303" s="26" t="s">
        <v>21</v>
      </c>
      <c r="E303" s="30"/>
      <c r="F303" s="30">
        <v>902475</v>
      </c>
      <c r="G303" s="45" t="s">
        <v>166</v>
      </c>
      <c r="H303" s="34">
        <v>28010991</v>
      </c>
      <c r="I303" s="45" t="s">
        <v>358</v>
      </c>
      <c r="J303" s="34" t="s">
        <v>72</v>
      </c>
      <c r="K303" s="26" t="s">
        <v>59</v>
      </c>
      <c r="L303" s="26" t="s">
        <v>60</v>
      </c>
    </row>
    <row r="304" spans="1:12">
      <c r="A304" s="26" t="s">
        <v>53</v>
      </c>
      <c r="B304" s="26" t="s">
        <v>54</v>
      </c>
      <c r="C304" s="26" t="s">
        <v>107</v>
      </c>
      <c r="D304" s="26" t="s">
        <v>21</v>
      </c>
      <c r="E304" s="30"/>
      <c r="F304" s="30">
        <v>902476</v>
      </c>
      <c r="G304" s="45" t="s">
        <v>168</v>
      </c>
      <c r="H304" s="34">
        <v>28010992</v>
      </c>
      <c r="I304" s="45" t="s">
        <v>359</v>
      </c>
      <c r="J304" s="34" t="s">
        <v>72</v>
      </c>
      <c r="K304" s="26" t="s">
        <v>59</v>
      </c>
      <c r="L304" s="26" t="s">
        <v>60</v>
      </c>
    </row>
    <row r="305" spans="1:12">
      <c r="A305" s="26" t="s">
        <v>53</v>
      </c>
      <c r="B305" s="26" t="s">
        <v>54</v>
      </c>
      <c r="C305" s="26" t="s">
        <v>107</v>
      </c>
      <c r="D305" s="26" t="s">
        <v>21</v>
      </c>
      <c r="E305" s="30"/>
      <c r="F305" s="30">
        <v>902477</v>
      </c>
      <c r="G305" s="45" t="s">
        <v>170</v>
      </c>
      <c r="H305" s="34">
        <v>28010993</v>
      </c>
      <c r="I305" s="45" t="s">
        <v>360</v>
      </c>
      <c r="J305" s="34" t="s">
        <v>56</v>
      </c>
      <c r="K305" s="26" t="s">
        <v>59</v>
      </c>
      <c r="L305" s="26" t="s">
        <v>60</v>
      </c>
    </row>
    <row r="306" spans="1:12">
      <c r="A306" s="26" t="s">
        <v>53</v>
      </c>
      <c r="B306" s="26" t="s">
        <v>54</v>
      </c>
      <c r="C306" s="26" t="s">
        <v>107</v>
      </c>
      <c r="D306" s="26" t="s">
        <v>22</v>
      </c>
      <c r="E306" s="30"/>
      <c r="F306" s="30">
        <v>902478</v>
      </c>
      <c r="G306" s="45" t="s">
        <v>306</v>
      </c>
      <c r="H306" s="34">
        <v>28010994</v>
      </c>
      <c r="I306" s="45" t="s">
        <v>361</v>
      </c>
      <c r="J306" s="34" t="s">
        <v>72</v>
      </c>
      <c r="K306" s="26" t="s">
        <v>59</v>
      </c>
      <c r="L306" s="26" t="s">
        <v>60</v>
      </c>
    </row>
    <row r="307" spans="1:12">
      <c r="A307" s="26" t="s">
        <v>53</v>
      </c>
      <c r="B307" s="26" t="s">
        <v>54</v>
      </c>
      <c r="C307" s="26" t="s">
        <v>107</v>
      </c>
      <c r="D307" s="26" t="s">
        <v>22</v>
      </c>
      <c r="E307" s="30"/>
      <c r="F307" s="30">
        <v>902479</v>
      </c>
      <c r="G307" s="45" t="s">
        <v>172</v>
      </c>
      <c r="H307" s="34">
        <v>28010995</v>
      </c>
      <c r="I307" s="45" t="s">
        <v>362</v>
      </c>
      <c r="J307" s="34" t="s">
        <v>56</v>
      </c>
      <c r="K307" s="26" t="s">
        <v>59</v>
      </c>
      <c r="L307" s="26" t="s">
        <v>60</v>
      </c>
    </row>
    <row r="308" spans="1:12">
      <c r="A308" s="26" t="s">
        <v>53</v>
      </c>
      <c r="B308" s="26" t="s">
        <v>54</v>
      </c>
      <c r="C308" s="26" t="s">
        <v>107</v>
      </c>
      <c r="D308" s="26" t="s">
        <v>21</v>
      </c>
      <c r="E308" s="30"/>
      <c r="F308" s="30">
        <v>902480</v>
      </c>
      <c r="G308" s="45" t="s">
        <v>174</v>
      </c>
      <c r="H308" s="34"/>
      <c r="I308" s="45"/>
      <c r="J308" s="34"/>
      <c r="K308" s="26"/>
      <c r="L308" s="26" t="s">
        <v>63</v>
      </c>
    </row>
    <row r="309" spans="1:12">
      <c r="A309" s="26" t="s">
        <v>53</v>
      </c>
      <c r="B309" s="26" t="s">
        <v>54</v>
      </c>
      <c r="C309" s="26" t="s">
        <v>107</v>
      </c>
      <c r="D309" s="26" t="s">
        <v>22</v>
      </c>
      <c r="E309" s="30"/>
      <c r="F309" s="30">
        <v>902481</v>
      </c>
      <c r="G309" s="45" t="s">
        <v>176</v>
      </c>
      <c r="H309" s="34">
        <v>28010996</v>
      </c>
      <c r="I309" s="45" t="s">
        <v>363</v>
      </c>
      <c r="J309" s="34" t="s">
        <v>72</v>
      </c>
      <c r="K309" s="26" t="s">
        <v>59</v>
      </c>
      <c r="L309" s="26" t="s">
        <v>60</v>
      </c>
    </row>
    <row r="310" spans="1:12">
      <c r="A310" s="26" t="s">
        <v>53</v>
      </c>
      <c r="B310" s="26" t="s">
        <v>54</v>
      </c>
      <c r="C310" s="26" t="s">
        <v>107</v>
      </c>
      <c r="D310" s="26" t="s">
        <v>24</v>
      </c>
      <c r="E310" s="30"/>
      <c r="F310" s="30">
        <v>902482</v>
      </c>
      <c r="G310" s="45" t="s">
        <v>276</v>
      </c>
      <c r="H310" s="34">
        <v>28010997</v>
      </c>
      <c r="I310" s="45" t="s">
        <v>364</v>
      </c>
      <c r="J310" s="34" t="s">
        <v>128</v>
      </c>
      <c r="K310" s="26" t="s">
        <v>59</v>
      </c>
      <c r="L310" s="26" t="s">
        <v>60</v>
      </c>
    </row>
    <row r="311" spans="1:12">
      <c r="A311" s="26" t="s">
        <v>53</v>
      </c>
      <c r="B311" s="26" t="s">
        <v>54</v>
      </c>
      <c r="C311" s="26" t="s">
        <v>107</v>
      </c>
      <c r="D311" s="26" t="s">
        <v>21</v>
      </c>
      <c r="E311" s="30"/>
      <c r="F311" s="30">
        <v>902483</v>
      </c>
      <c r="G311" s="45" t="s">
        <v>178</v>
      </c>
      <c r="H311" s="34">
        <v>28010998</v>
      </c>
      <c r="I311" s="45" t="s">
        <v>365</v>
      </c>
      <c r="J311" s="34" t="s">
        <v>99</v>
      </c>
      <c r="K311" s="26" t="s">
        <v>59</v>
      </c>
      <c r="L311" s="26" t="s">
        <v>60</v>
      </c>
    </row>
    <row r="312" spans="1:12">
      <c r="A312" s="26" t="s">
        <v>53</v>
      </c>
      <c r="B312" s="26" t="s">
        <v>54</v>
      </c>
      <c r="C312" s="26" t="s">
        <v>107</v>
      </c>
      <c r="D312" s="26" t="s">
        <v>24</v>
      </c>
      <c r="E312" s="30"/>
      <c r="F312" s="30">
        <v>902484</v>
      </c>
      <c r="G312" s="45" t="s">
        <v>179</v>
      </c>
      <c r="H312" s="34">
        <v>28010999</v>
      </c>
      <c r="I312" s="45" t="s">
        <v>366</v>
      </c>
      <c r="J312" s="34" t="s">
        <v>72</v>
      </c>
      <c r="K312" s="26" t="s">
        <v>59</v>
      </c>
      <c r="L312" s="26" t="s">
        <v>60</v>
      </c>
    </row>
    <row r="313" spans="1:12">
      <c r="A313" s="26" t="s">
        <v>53</v>
      </c>
      <c r="B313" s="26" t="s">
        <v>54</v>
      </c>
      <c r="C313" s="26" t="s">
        <v>107</v>
      </c>
      <c r="D313" s="26" t="s">
        <v>21</v>
      </c>
      <c r="E313" s="30"/>
      <c r="F313" s="30">
        <v>902485</v>
      </c>
      <c r="G313" s="45" t="s">
        <v>181</v>
      </c>
      <c r="H313" s="34"/>
      <c r="I313" s="45"/>
      <c r="J313" s="34"/>
      <c r="K313" s="26"/>
      <c r="L313" s="26" t="s">
        <v>63</v>
      </c>
    </row>
    <row r="314" spans="1:12">
      <c r="A314" s="26" t="s">
        <v>53</v>
      </c>
      <c r="B314" s="26" t="s">
        <v>54</v>
      </c>
      <c r="C314" s="26" t="s">
        <v>107</v>
      </c>
      <c r="D314" s="26" t="s">
        <v>22</v>
      </c>
      <c r="E314" s="30"/>
      <c r="F314" s="30">
        <v>902486</v>
      </c>
      <c r="G314" s="45" t="s">
        <v>276</v>
      </c>
      <c r="H314" s="34">
        <v>28011000</v>
      </c>
      <c r="I314" s="45" t="s">
        <v>367</v>
      </c>
      <c r="J314" s="34" t="s">
        <v>72</v>
      </c>
      <c r="K314" s="26" t="s">
        <v>59</v>
      </c>
      <c r="L314" s="26" t="s">
        <v>60</v>
      </c>
    </row>
    <row r="315" spans="1:12">
      <c r="A315" s="26" t="s">
        <v>53</v>
      </c>
      <c r="B315" s="26" t="s">
        <v>54</v>
      </c>
      <c r="C315" s="26" t="s">
        <v>107</v>
      </c>
      <c r="D315" s="26" t="s">
        <v>24</v>
      </c>
      <c r="E315" s="30"/>
      <c r="F315" s="30">
        <v>902487</v>
      </c>
      <c r="G315" s="45" t="s">
        <v>183</v>
      </c>
      <c r="H315" s="34">
        <v>28011001</v>
      </c>
      <c r="I315" s="45" t="s">
        <v>368</v>
      </c>
      <c r="J315" s="34" t="s">
        <v>72</v>
      </c>
      <c r="K315" s="26" t="s">
        <v>59</v>
      </c>
      <c r="L315" s="26" t="s">
        <v>60</v>
      </c>
    </row>
    <row r="316" spans="1:12">
      <c r="A316" s="26" t="s">
        <v>53</v>
      </c>
      <c r="B316" s="26" t="s">
        <v>54</v>
      </c>
      <c r="C316" s="26" t="s">
        <v>107</v>
      </c>
      <c r="D316" s="26" t="s">
        <v>21</v>
      </c>
      <c r="E316" s="30"/>
      <c r="F316" s="30">
        <v>902488</v>
      </c>
      <c r="G316" s="45" t="s">
        <v>186</v>
      </c>
      <c r="H316" s="34">
        <v>28011002</v>
      </c>
      <c r="I316" s="45" t="s">
        <v>369</v>
      </c>
      <c r="J316" s="34" t="s">
        <v>72</v>
      </c>
      <c r="K316" s="26" t="s">
        <v>59</v>
      </c>
      <c r="L316" s="26" t="s">
        <v>60</v>
      </c>
    </row>
    <row r="317" spans="1:12">
      <c r="A317" s="26" t="s">
        <v>53</v>
      </c>
      <c r="B317" s="26" t="s">
        <v>54</v>
      </c>
      <c r="C317" s="26" t="s">
        <v>107</v>
      </c>
      <c r="D317" s="26" t="s">
        <v>24</v>
      </c>
      <c r="E317" s="30"/>
      <c r="F317" s="30">
        <v>902489</v>
      </c>
      <c r="G317" s="45" t="s">
        <v>276</v>
      </c>
      <c r="H317" s="34">
        <v>28011003</v>
      </c>
      <c r="I317" s="45" t="s">
        <v>370</v>
      </c>
      <c r="J317" s="34" t="s">
        <v>72</v>
      </c>
      <c r="K317" s="26" t="s">
        <v>59</v>
      </c>
      <c r="L317" s="26" t="s">
        <v>60</v>
      </c>
    </row>
    <row r="318" spans="1:12">
      <c r="A318" s="26" t="s">
        <v>53</v>
      </c>
      <c r="B318" s="26" t="s">
        <v>54</v>
      </c>
      <c r="C318" s="26" t="s">
        <v>107</v>
      </c>
      <c r="D318" s="26" t="s">
        <v>21</v>
      </c>
      <c r="E318" s="30"/>
      <c r="F318" s="30">
        <v>902490</v>
      </c>
      <c r="G318" s="45" t="s">
        <v>188</v>
      </c>
      <c r="H318" s="34">
        <v>28011004</v>
      </c>
      <c r="I318" s="45" t="s">
        <v>371</v>
      </c>
      <c r="J318" s="34" t="s">
        <v>56</v>
      </c>
      <c r="K318" s="26" t="s">
        <v>59</v>
      </c>
      <c r="L318" s="26" t="s">
        <v>60</v>
      </c>
    </row>
    <row r="319" spans="1:12">
      <c r="A319" s="26" t="s">
        <v>53</v>
      </c>
      <c r="B319" s="26" t="s">
        <v>54</v>
      </c>
      <c r="C319" s="26" t="s">
        <v>107</v>
      </c>
      <c r="D319" s="26" t="s">
        <v>22</v>
      </c>
      <c r="E319" s="30"/>
      <c r="F319" s="30">
        <v>902491</v>
      </c>
      <c r="G319" s="45" t="s">
        <v>276</v>
      </c>
      <c r="H319" s="34">
        <v>28011005</v>
      </c>
      <c r="I319" s="45" t="s">
        <v>372</v>
      </c>
      <c r="J319" s="34" t="s">
        <v>56</v>
      </c>
      <c r="K319" s="26" t="s">
        <v>59</v>
      </c>
      <c r="L319" s="26" t="s">
        <v>60</v>
      </c>
    </row>
    <row r="320" spans="1:12">
      <c r="A320" s="26" t="s">
        <v>53</v>
      </c>
      <c r="B320" s="26" t="s">
        <v>54</v>
      </c>
      <c r="C320" s="26" t="s">
        <v>107</v>
      </c>
      <c r="D320" s="26" t="s">
        <v>21</v>
      </c>
      <c r="E320" s="30"/>
      <c r="F320" s="30">
        <v>90002492</v>
      </c>
      <c r="G320" s="45" t="s">
        <v>190</v>
      </c>
      <c r="H320" s="34">
        <v>28011006</v>
      </c>
      <c r="I320" s="45" t="s">
        <v>373</v>
      </c>
      <c r="J320" s="34" t="s">
        <v>99</v>
      </c>
      <c r="K320" s="26" t="s">
        <v>59</v>
      </c>
      <c r="L320" s="26" t="s">
        <v>60</v>
      </c>
    </row>
    <row r="321" spans="1:12">
      <c r="A321" s="26" t="s">
        <v>53</v>
      </c>
      <c r="B321" s="26" t="s">
        <v>54</v>
      </c>
      <c r="C321" s="26" t="s">
        <v>107</v>
      </c>
      <c r="D321" s="26" t="s">
        <v>22</v>
      </c>
      <c r="E321" s="30"/>
      <c r="F321" s="30">
        <v>902493</v>
      </c>
      <c r="G321" s="45" t="s">
        <v>276</v>
      </c>
      <c r="H321" s="34">
        <v>28011007</v>
      </c>
      <c r="I321" s="45" t="s">
        <v>374</v>
      </c>
      <c r="J321" s="34" t="s">
        <v>72</v>
      </c>
      <c r="K321" s="26" t="s">
        <v>59</v>
      </c>
      <c r="L321" s="26" t="s">
        <v>60</v>
      </c>
    </row>
    <row r="322" spans="1:12">
      <c r="A322" s="26" t="s">
        <v>53</v>
      </c>
      <c r="B322" s="26" t="s">
        <v>54</v>
      </c>
      <c r="C322" s="26" t="s">
        <v>107</v>
      </c>
      <c r="D322" s="26" t="s">
        <v>24</v>
      </c>
      <c r="E322" s="30"/>
      <c r="F322" s="30">
        <v>902494</v>
      </c>
      <c r="G322" s="45" t="s">
        <v>276</v>
      </c>
      <c r="H322" s="34">
        <v>28011008</v>
      </c>
      <c r="I322" s="45" t="s">
        <v>375</v>
      </c>
      <c r="J322" s="34" t="s">
        <v>72</v>
      </c>
      <c r="K322" s="26" t="s">
        <v>59</v>
      </c>
      <c r="L322" s="26" t="s">
        <v>60</v>
      </c>
    </row>
    <row r="323" spans="1:12">
      <c r="A323" s="26" t="s">
        <v>53</v>
      </c>
      <c r="B323" s="26" t="s">
        <v>54</v>
      </c>
      <c r="C323" s="26" t="s">
        <v>107</v>
      </c>
      <c r="D323" s="26" t="s">
        <v>24</v>
      </c>
      <c r="E323" s="30"/>
      <c r="F323" s="30">
        <v>902495</v>
      </c>
      <c r="G323" s="45" t="s">
        <v>276</v>
      </c>
      <c r="H323" s="34">
        <v>28011009</v>
      </c>
      <c r="I323" s="45" t="s">
        <v>376</v>
      </c>
      <c r="J323" s="34" t="s">
        <v>72</v>
      </c>
      <c r="K323" s="26" t="s">
        <v>59</v>
      </c>
      <c r="L323" s="26" t="s">
        <v>60</v>
      </c>
    </row>
    <row r="324" spans="1:12">
      <c r="A324" s="26" t="s">
        <v>53</v>
      </c>
      <c r="B324" s="26" t="s">
        <v>54</v>
      </c>
      <c r="C324" s="26" t="s">
        <v>107</v>
      </c>
      <c r="D324" s="26" t="s">
        <v>22</v>
      </c>
      <c r="E324" s="30"/>
      <c r="F324" s="30">
        <v>902496</v>
      </c>
      <c r="G324" s="45" t="s">
        <v>193</v>
      </c>
      <c r="H324" s="34">
        <v>28011010</v>
      </c>
      <c r="I324" s="45" t="s">
        <v>377</v>
      </c>
      <c r="J324" s="34" t="s">
        <v>128</v>
      </c>
      <c r="K324" s="26" t="s">
        <v>59</v>
      </c>
      <c r="L324" s="26" t="s">
        <v>60</v>
      </c>
    </row>
    <row r="325" spans="1:12">
      <c r="A325" s="26" t="s">
        <v>53</v>
      </c>
      <c r="B325" s="26" t="s">
        <v>54</v>
      </c>
      <c r="C325" s="26" t="s">
        <v>107</v>
      </c>
      <c r="D325" s="26" t="s">
        <v>24</v>
      </c>
      <c r="E325" s="30"/>
      <c r="F325" s="30">
        <v>902497</v>
      </c>
      <c r="G325" s="45" t="s">
        <v>276</v>
      </c>
      <c r="H325" s="34">
        <v>28011011</v>
      </c>
      <c r="I325" s="45" t="s">
        <v>378</v>
      </c>
      <c r="J325" s="34" t="s">
        <v>56</v>
      </c>
      <c r="K325" s="26" t="s">
        <v>59</v>
      </c>
      <c r="L325" s="26" t="s">
        <v>60</v>
      </c>
    </row>
    <row r="326" spans="1:12">
      <c r="A326" s="26" t="s">
        <v>53</v>
      </c>
      <c r="B326" s="26" t="s">
        <v>54</v>
      </c>
      <c r="C326" s="26" t="s">
        <v>107</v>
      </c>
      <c r="D326" s="26" t="s">
        <v>21</v>
      </c>
      <c r="E326" s="30"/>
      <c r="F326" s="30">
        <v>902498</v>
      </c>
      <c r="G326" s="45" t="s">
        <v>195</v>
      </c>
      <c r="H326" s="34"/>
      <c r="I326" s="45"/>
      <c r="J326" s="34"/>
      <c r="K326" s="26"/>
      <c r="L326" s="26" t="s">
        <v>63</v>
      </c>
    </row>
    <row r="327" spans="1:12">
      <c r="A327" s="26" t="s">
        <v>53</v>
      </c>
      <c r="B327" s="26" t="s">
        <v>54</v>
      </c>
      <c r="C327" s="26" t="s">
        <v>107</v>
      </c>
      <c r="D327" s="26" t="s">
        <v>21</v>
      </c>
      <c r="E327" s="30"/>
      <c r="F327" s="30">
        <v>902499</v>
      </c>
      <c r="G327" s="45" t="s">
        <v>197</v>
      </c>
      <c r="H327" s="34">
        <v>28011012</v>
      </c>
      <c r="I327" s="45" t="s">
        <v>379</v>
      </c>
      <c r="J327" s="34" t="s">
        <v>56</v>
      </c>
      <c r="K327" s="26" t="s">
        <v>59</v>
      </c>
      <c r="L327" s="26" t="s">
        <v>60</v>
      </c>
    </row>
    <row r="328" spans="1:12">
      <c r="A328" s="26" t="s">
        <v>53</v>
      </c>
      <c r="B328" s="26" t="s">
        <v>54</v>
      </c>
      <c r="C328" s="26" t="s">
        <v>107</v>
      </c>
      <c r="D328" s="26" t="s">
        <v>21</v>
      </c>
      <c r="E328" s="30"/>
      <c r="F328" s="30">
        <v>902500</v>
      </c>
      <c r="G328" s="45" t="s">
        <v>199</v>
      </c>
      <c r="H328" s="34">
        <v>28011013</v>
      </c>
      <c r="I328" s="45" t="s">
        <v>380</v>
      </c>
      <c r="J328" s="34" t="s">
        <v>99</v>
      </c>
      <c r="K328" s="26" t="s">
        <v>59</v>
      </c>
      <c r="L328" s="26" t="s">
        <v>60</v>
      </c>
    </row>
    <row r="329" spans="1:12">
      <c r="A329" s="26" t="s">
        <v>53</v>
      </c>
      <c r="B329" s="26" t="s">
        <v>54</v>
      </c>
      <c r="C329" s="26" t="s">
        <v>107</v>
      </c>
      <c r="D329" s="26" t="s">
        <v>21</v>
      </c>
      <c r="E329" s="30"/>
      <c r="F329" s="30">
        <v>902501</v>
      </c>
      <c r="G329" s="45" t="s">
        <v>201</v>
      </c>
      <c r="H329" s="34">
        <v>28011014</v>
      </c>
      <c r="I329" s="45" t="s">
        <v>381</v>
      </c>
      <c r="J329" s="34" t="s">
        <v>56</v>
      </c>
      <c r="K329" s="26" t="s">
        <v>59</v>
      </c>
      <c r="L329" s="26" t="s">
        <v>60</v>
      </c>
    </row>
    <row r="330" spans="1:12">
      <c r="A330" s="26" t="s">
        <v>53</v>
      </c>
      <c r="B330" s="26" t="s">
        <v>54</v>
      </c>
      <c r="C330" s="26" t="s">
        <v>107</v>
      </c>
      <c r="D330" s="26" t="s">
        <v>22</v>
      </c>
      <c r="E330" s="30"/>
      <c r="F330" s="30">
        <v>902502</v>
      </c>
      <c r="G330" s="45" t="s">
        <v>203</v>
      </c>
      <c r="H330" s="34"/>
      <c r="I330" s="45"/>
      <c r="J330" s="34"/>
      <c r="K330" s="26"/>
      <c r="L330" s="26" t="s">
        <v>63</v>
      </c>
    </row>
    <row r="331" spans="1:12">
      <c r="A331" s="26" t="s">
        <v>53</v>
      </c>
      <c r="B331" s="26" t="s">
        <v>54</v>
      </c>
      <c r="C331" s="26" t="s">
        <v>107</v>
      </c>
      <c r="D331" s="26" t="s">
        <v>21</v>
      </c>
      <c r="E331" s="30"/>
      <c r="F331" s="30">
        <v>902503</v>
      </c>
      <c r="G331" s="45" t="s">
        <v>211</v>
      </c>
      <c r="H331" s="34">
        <v>28011015</v>
      </c>
      <c r="I331" s="45" t="s">
        <v>382</v>
      </c>
      <c r="J331" s="34" t="s">
        <v>56</v>
      </c>
      <c r="K331" s="26" t="s">
        <v>59</v>
      </c>
      <c r="L331" s="26" t="s">
        <v>60</v>
      </c>
    </row>
    <row r="332" spans="1:12">
      <c r="A332" s="26" t="s">
        <v>53</v>
      </c>
      <c r="B332" s="26" t="s">
        <v>54</v>
      </c>
      <c r="C332" s="26" t="s">
        <v>107</v>
      </c>
      <c r="D332" s="26" t="s">
        <v>21</v>
      </c>
      <c r="E332" s="30"/>
      <c r="F332" s="30">
        <v>902504</v>
      </c>
      <c r="G332" s="45" t="s">
        <v>213</v>
      </c>
      <c r="H332" s="34">
        <v>28011016</v>
      </c>
      <c r="I332" s="45" t="s">
        <v>383</v>
      </c>
      <c r="J332" s="34" t="s">
        <v>128</v>
      </c>
      <c r="K332" s="26" t="s">
        <v>59</v>
      </c>
      <c r="L332" s="26" t="s">
        <v>60</v>
      </c>
    </row>
    <row r="333" spans="1:12">
      <c r="A333" s="26" t="s">
        <v>53</v>
      </c>
      <c r="B333" s="26" t="s">
        <v>54</v>
      </c>
      <c r="C333" s="26" t="s">
        <v>107</v>
      </c>
      <c r="D333" s="26" t="s">
        <v>21</v>
      </c>
      <c r="E333" s="30"/>
      <c r="F333" s="30">
        <v>902505</v>
      </c>
      <c r="G333" s="45" t="s">
        <v>215</v>
      </c>
      <c r="H333" s="34"/>
      <c r="I333" s="45"/>
      <c r="J333" s="34"/>
      <c r="K333" s="26"/>
      <c r="L333" s="26" t="s">
        <v>63</v>
      </c>
    </row>
    <row r="334" spans="1:12">
      <c r="A334" s="26" t="s">
        <v>53</v>
      </c>
      <c r="B334" s="26" t="s">
        <v>54</v>
      </c>
      <c r="C334" s="26" t="s">
        <v>107</v>
      </c>
      <c r="D334" s="26" t="s">
        <v>21</v>
      </c>
      <c r="E334" s="30"/>
      <c r="F334" s="30">
        <v>902506</v>
      </c>
      <c r="G334" s="45" t="s">
        <v>217</v>
      </c>
      <c r="H334" s="34"/>
      <c r="I334" s="45"/>
      <c r="J334" s="34"/>
      <c r="K334" s="26"/>
      <c r="L334" s="26" t="s">
        <v>63</v>
      </c>
    </row>
    <row r="335" spans="1:12">
      <c r="A335" s="26" t="s">
        <v>53</v>
      </c>
      <c r="B335" s="26" t="s">
        <v>54</v>
      </c>
      <c r="C335" s="26" t="s">
        <v>107</v>
      </c>
      <c r="D335" s="26" t="s">
        <v>22</v>
      </c>
      <c r="E335" s="30"/>
      <c r="F335" s="30">
        <v>902507</v>
      </c>
      <c r="G335" s="45" t="s">
        <v>220</v>
      </c>
      <c r="H335" s="34">
        <v>28011017</v>
      </c>
      <c r="I335" s="45" t="s">
        <v>384</v>
      </c>
      <c r="J335" s="34" t="s">
        <v>56</v>
      </c>
      <c r="K335" s="26" t="s">
        <v>59</v>
      </c>
      <c r="L335" s="26" t="s">
        <v>60</v>
      </c>
    </row>
    <row r="336" spans="1:12">
      <c r="A336" s="26" t="s">
        <v>53</v>
      </c>
      <c r="B336" s="26" t="s">
        <v>54</v>
      </c>
      <c r="C336" s="26" t="s">
        <v>107</v>
      </c>
      <c r="D336" s="26" t="s">
        <v>9</v>
      </c>
      <c r="E336" s="30"/>
      <c r="F336" s="30">
        <v>902508</v>
      </c>
      <c r="G336" s="45" t="s">
        <v>221</v>
      </c>
      <c r="H336" s="34">
        <v>28011018</v>
      </c>
      <c r="I336" s="45" t="s">
        <v>385</v>
      </c>
      <c r="J336" s="34" t="s">
        <v>56</v>
      </c>
      <c r="K336" s="26" t="s">
        <v>59</v>
      </c>
      <c r="L336" s="26" t="s">
        <v>60</v>
      </c>
    </row>
    <row r="337" spans="1:12">
      <c r="A337" s="26" t="s">
        <v>53</v>
      </c>
      <c r="B337" s="26" t="s">
        <v>54</v>
      </c>
      <c r="C337" s="26" t="s">
        <v>107</v>
      </c>
      <c r="D337" s="26" t="s">
        <v>22</v>
      </c>
      <c r="E337" s="30"/>
      <c r="F337" s="30">
        <v>902509</v>
      </c>
      <c r="G337" s="45" t="s">
        <v>224</v>
      </c>
      <c r="H337" s="34"/>
      <c r="I337" s="45"/>
      <c r="J337" s="34"/>
      <c r="K337" s="26"/>
      <c r="L337" s="26" t="s">
        <v>63</v>
      </c>
    </row>
    <row r="338" spans="1:12">
      <c r="A338" s="26" t="s">
        <v>53</v>
      </c>
      <c r="B338" s="26" t="s">
        <v>54</v>
      </c>
      <c r="C338" s="26" t="s">
        <v>107</v>
      </c>
      <c r="D338" s="26" t="s">
        <v>9</v>
      </c>
      <c r="E338" s="30"/>
      <c r="F338" s="30">
        <v>902510</v>
      </c>
      <c r="G338" s="45" t="s">
        <v>226</v>
      </c>
      <c r="H338" s="34">
        <v>28011019</v>
      </c>
      <c r="I338" s="45" t="s">
        <v>386</v>
      </c>
      <c r="J338" s="34" t="s">
        <v>128</v>
      </c>
      <c r="K338" s="26" t="s">
        <v>59</v>
      </c>
      <c r="L338" s="26" t="s">
        <v>60</v>
      </c>
    </row>
    <row r="339" spans="1:12">
      <c r="A339" s="26" t="s">
        <v>53</v>
      </c>
      <c r="B339" s="26" t="s">
        <v>54</v>
      </c>
      <c r="C339" s="26" t="s">
        <v>107</v>
      </c>
      <c r="D339" s="26" t="s">
        <v>22</v>
      </c>
      <c r="E339" s="30"/>
      <c r="F339" s="30">
        <v>902511</v>
      </c>
      <c r="G339" s="45" t="s">
        <v>228</v>
      </c>
      <c r="H339" s="34">
        <v>28011020</v>
      </c>
      <c r="I339" s="45" t="s">
        <v>387</v>
      </c>
      <c r="J339" s="34" t="s">
        <v>72</v>
      </c>
      <c r="K339" s="26" t="s">
        <v>59</v>
      </c>
      <c r="L339" s="26" t="s">
        <v>60</v>
      </c>
    </row>
    <row r="340" spans="1:12">
      <c r="A340" s="26" t="s">
        <v>53</v>
      </c>
      <c r="B340" s="26" t="s">
        <v>54</v>
      </c>
      <c r="C340" s="26" t="s">
        <v>107</v>
      </c>
      <c r="D340" s="26" t="s">
        <v>24</v>
      </c>
      <c r="E340" s="30"/>
      <c r="F340" s="30">
        <v>902512</v>
      </c>
      <c r="G340" s="45" t="s">
        <v>230</v>
      </c>
      <c r="H340" s="34">
        <v>28011021</v>
      </c>
      <c r="I340" s="45" t="s">
        <v>388</v>
      </c>
      <c r="J340" s="34" t="s">
        <v>72</v>
      </c>
      <c r="K340" s="26" t="s">
        <v>59</v>
      </c>
      <c r="L340" s="26" t="s">
        <v>60</v>
      </c>
    </row>
    <row r="341" spans="1:12">
      <c r="A341" s="26" t="s">
        <v>53</v>
      </c>
      <c r="B341" s="26" t="s">
        <v>54</v>
      </c>
      <c r="C341" s="26" t="s">
        <v>107</v>
      </c>
      <c r="D341" s="26" t="s">
        <v>22</v>
      </c>
      <c r="E341" s="30"/>
      <c r="F341" s="30">
        <v>902513</v>
      </c>
      <c r="G341" s="45" t="s">
        <v>329</v>
      </c>
      <c r="H341" s="34">
        <v>28011022</v>
      </c>
      <c r="I341" s="45" t="s">
        <v>389</v>
      </c>
      <c r="J341" s="34" t="s">
        <v>72</v>
      </c>
      <c r="K341" s="26" t="s">
        <v>59</v>
      </c>
      <c r="L341" s="26" t="s">
        <v>60</v>
      </c>
    </row>
    <row r="342" spans="1:12">
      <c r="A342" s="26" t="s">
        <v>53</v>
      </c>
      <c r="B342" s="26" t="s">
        <v>54</v>
      </c>
      <c r="C342" s="26" t="s">
        <v>107</v>
      </c>
      <c r="D342" s="26" t="s">
        <v>22</v>
      </c>
      <c r="E342" s="30"/>
      <c r="F342" s="30">
        <v>902514</v>
      </c>
      <c r="G342" s="45" t="s">
        <v>232</v>
      </c>
      <c r="H342" s="34">
        <v>28011023</v>
      </c>
      <c r="I342" s="45" t="s">
        <v>390</v>
      </c>
      <c r="J342" s="34" t="s">
        <v>56</v>
      </c>
      <c r="K342" s="26" t="s">
        <v>59</v>
      </c>
      <c r="L342" s="26" t="s">
        <v>60</v>
      </c>
    </row>
    <row r="343" spans="1:12">
      <c r="A343" s="26" t="s">
        <v>53</v>
      </c>
      <c r="B343" s="26" t="s">
        <v>54</v>
      </c>
      <c r="C343" s="26" t="s">
        <v>107</v>
      </c>
      <c r="D343" s="26" t="s">
        <v>22</v>
      </c>
      <c r="E343" s="30"/>
      <c r="F343" s="30">
        <v>902515</v>
      </c>
      <c r="G343" s="45" t="s">
        <v>234</v>
      </c>
      <c r="H343" s="34">
        <v>28011024</v>
      </c>
      <c r="I343" s="45" t="s">
        <v>391</v>
      </c>
      <c r="J343" s="34" t="s">
        <v>56</v>
      </c>
      <c r="K343" s="26" t="s">
        <v>59</v>
      </c>
      <c r="L343" s="26" t="s">
        <v>60</v>
      </c>
    </row>
    <row r="344" spans="1:12">
      <c r="A344" s="26" t="s">
        <v>53</v>
      </c>
      <c r="B344" s="26" t="s">
        <v>54</v>
      </c>
      <c r="C344" s="26" t="s">
        <v>107</v>
      </c>
      <c r="D344" s="26" t="s">
        <v>22</v>
      </c>
      <c r="E344" s="30"/>
      <c r="F344" s="30">
        <v>902516</v>
      </c>
      <c r="G344" s="45" t="s">
        <v>236</v>
      </c>
      <c r="H344" s="34">
        <v>28011025</v>
      </c>
      <c r="I344" s="45" t="s">
        <v>392</v>
      </c>
      <c r="J344" s="34" t="s">
        <v>72</v>
      </c>
      <c r="K344" s="26" t="s">
        <v>59</v>
      </c>
      <c r="L344" s="26" t="s">
        <v>60</v>
      </c>
    </row>
    <row r="345" spans="1:12">
      <c r="A345" s="26" t="s">
        <v>53</v>
      </c>
      <c r="B345" s="26" t="s">
        <v>54</v>
      </c>
      <c r="C345" s="26" t="s">
        <v>107</v>
      </c>
      <c r="D345" s="26" t="s">
        <v>22</v>
      </c>
      <c r="E345" s="30"/>
      <c r="F345" s="30">
        <v>90002517</v>
      </c>
      <c r="G345" s="45" t="s">
        <v>239</v>
      </c>
      <c r="H345" s="34">
        <v>28011026</v>
      </c>
      <c r="I345" s="45" t="s">
        <v>393</v>
      </c>
      <c r="J345" s="34" t="s">
        <v>99</v>
      </c>
      <c r="K345" s="26" t="s">
        <v>59</v>
      </c>
      <c r="L345" s="26" t="s">
        <v>60</v>
      </c>
    </row>
    <row r="346" spans="1:12">
      <c r="A346" s="26" t="s">
        <v>53</v>
      </c>
      <c r="B346" s="26" t="s">
        <v>54</v>
      </c>
      <c r="C346" s="26" t="s">
        <v>107</v>
      </c>
      <c r="D346" s="26" t="s">
        <v>24</v>
      </c>
      <c r="E346" s="30"/>
      <c r="F346" s="30">
        <v>902518</v>
      </c>
      <c r="G346" s="45" t="s">
        <v>241</v>
      </c>
      <c r="H346" s="34">
        <v>28011027</v>
      </c>
      <c r="I346" s="45" t="s">
        <v>394</v>
      </c>
      <c r="J346" s="34" t="s">
        <v>128</v>
      </c>
      <c r="K346" s="26" t="s">
        <v>59</v>
      </c>
      <c r="L346" s="26" t="s">
        <v>60</v>
      </c>
    </row>
    <row r="347" spans="1:12">
      <c r="A347" s="26" t="s">
        <v>53</v>
      </c>
      <c r="B347" s="26" t="s">
        <v>54</v>
      </c>
      <c r="C347" s="26" t="s">
        <v>107</v>
      </c>
      <c r="D347" s="26" t="s">
        <v>21</v>
      </c>
      <c r="E347" s="30"/>
      <c r="F347" s="30">
        <v>902519</v>
      </c>
      <c r="G347" s="45" t="s">
        <v>243</v>
      </c>
      <c r="H347" s="34">
        <v>28011028</v>
      </c>
      <c r="I347" s="45" t="s">
        <v>395</v>
      </c>
      <c r="J347" s="34" t="s">
        <v>56</v>
      </c>
      <c r="K347" s="26" t="s">
        <v>59</v>
      </c>
      <c r="L347" s="26" t="s">
        <v>60</v>
      </c>
    </row>
    <row r="348" spans="1:12">
      <c r="A348" s="26" t="s">
        <v>53</v>
      </c>
      <c r="B348" s="26" t="s">
        <v>54</v>
      </c>
      <c r="C348" s="26" t="s">
        <v>107</v>
      </c>
      <c r="D348" s="26" t="s">
        <v>24</v>
      </c>
      <c r="E348" s="30"/>
      <c r="F348" s="30">
        <v>90002520</v>
      </c>
      <c r="G348" s="45" t="s">
        <v>241</v>
      </c>
      <c r="H348" s="34">
        <v>28011029</v>
      </c>
      <c r="I348" s="45" t="s">
        <v>396</v>
      </c>
      <c r="J348" s="34" t="s">
        <v>128</v>
      </c>
      <c r="K348" s="26" t="s">
        <v>59</v>
      </c>
      <c r="L348" s="26" t="s">
        <v>60</v>
      </c>
    </row>
    <row r="349" spans="1:12">
      <c r="A349" s="26" t="s">
        <v>53</v>
      </c>
      <c r="B349" s="26" t="s">
        <v>54</v>
      </c>
      <c r="C349" s="26" t="s">
        <v>107</v>
      </c>
      <c r="D349" s="26" t="s">
        <v>25</v>
      </c>
      <c r="E349" s="30"/>
      <c r="F349" s="30">
        <v>902521</v>
      </c>
      <c r="G349" s="45" t="s">
        <v>245</v>
      </c>
      <c r="H349" s="34">
        <v>28011030</v>
      </c>
      <c r="I349" s="45" t="s">
        <v>397</v>
      </c>
      <c r="J349" s="34" t="s">
        <v>56</v>
      </c>
      <c r="K349" s="26" t="s">
        <v>59</v>
      </c>
      <c r="L349" s="26" t="s">
        <v>60</v>
      </c>
    </row>
    <row r="350" spans="1:12">
      <c r="A350" s="26" t="s">
        <v>53</v>
      </c>
      <c r="B350" s="26" t="s">
        <v>54</v>
      </c>
      <c r="C350" s="26" t="s">
        <v>107</v>
      </c>
      <c r="D350" s="26" t="s">
        <v>21</v>
      </c>
      <c r="E350" s="30"/>
      <c r="F350" s="30">
        <v>902522</v>
      </c>
      <c r="G350" s="45" t="s">
        <v>247</v>
      </c>
      <c r="H350" s="34">
        <v>28011031</v>
      </c>
      <c r="I350" s="45" t="s">
        <v>398</v>
      </c>
      <c r="J350" s="34" t="s">
        <v>99</v>
      </c>
      <c r="K350" s="26" t="s">
        <v>59</v>
      </c>
      <c r="L350" s="26" t="s">
        <v>60</v>
      </c>
    </row>
    <row r="351" spans="1:12">
      <c r="A351" s="26" t="s">
        <v>53</v>
      </c>
      <c r="B351" s="26" t="s">
        <v>54</v>
      </c>
      <c r="C351" s="26" t="s">
        <v>107</v>
      </c>
      <c r="D351" s="26" t="s">
        <v>21</v>
      </c>
      <c r="E351" s="30"/>
      <c r="F351" s="30">
        <v>902523</v>
      </c>
      <c r="G351" s="45" t="s">
        <v>249</v>
      </c>
      <c r="H351" s="34">
        <v>28011032</v>
      </c>
      <c r="I351" s="45" t="s">
        <v>399</v>
      </c>
      <c r="J351" s="34" t="s">
        <v>72</v>
      </c>
      <c r="K351" s="26" t="s">
        <v>59</v>
      </c>
      <c r="L351" s="26" t="s">
        <v>60</v>
      </c>
    </row>
    <row r="352" spans="1:12">
      <c r="A352" s="26" t="s">
        <v>53</v>
      </c>
      <c r="B352" s="26" t="s">
        <v>54</v>
      </c>
      <c r="C352" s="26" t="s">
        <v>107</v>
      </c>
      <c r="D352" s="26" t="s">
        <v>22</v>
      </c>
      <c r="E352" s="30"/>
      <c r="F352" s="30">
        <v>902524</v>
      </c>
      <c r="G352" s="45" t="s">
        <v>251</v>
      </c>
      <c r="H352" s="34">
        <v>28011033</v>
      </c>
      <c r="I352" s="45" t="s">
        <v>400</v>
      </c>
      <c r="J352" s="34" t="s">
        <v>72</v>
      </c>
      <c r="K352" s="26" t="s">
        <v>59</v>
      </c>
      <c r="L352" s="26" t="s">
        <v>60</v>
      </c>
    </row>
    <row r="353" spans="1:12">
      <c r="A353" s="26" t="s">
        <v>53</v>
      </c>
      <c r="B353" s="26" t="s">
        <v>54</v>
      </c>
      <c r="C353" s="26" t="s">
        <v>107</v>
      </c>
      <c r="D353" s="26" t="s">
        <v>22</v>
      </c>
      <c r="E353" s="30"/>
      <c r="F353" s="30">
        <v>902525</v>
      </c>
      <c r="G353" s="45" t="s">
        <v>253</v>
      </c>
      <c r="H353" s="34">
        <v>28011034</v>
      </c>
      <c r="I353" s="45" t="s">
        <v>401</v>
      </c>
      <c r="J353" s="34" t="s">
        <v>72</v>
      </c>
      <c r="K353" s="26" t="s">
        <v>59</v>
      </c>
      <c r="L353" s="26" t="s">
        <v>60</v>
      </c>
    </row>
    <row r="354" spans="1:12">
      <c r="A354" s="26" t="s">
        <v>53</v>
      </c>
      <c r="B354" s="26" t="s">
        <v>54</v>
      </c>
      <c r="C354" s="26" t="s">
        <v>107</v>
      </c>
      <c r="D354" s="26" t="s">
        <v>25</v>
      </c>
      <c r="E354" s="30"/>
      <c r="F354" s="30">
        <v>902526</v>
      </c>
      <c r="G354" s="45" t="s">
        <v>260</v>
      </c>
      <c r="H354" s="34"/>
      <c r="I354" s="45"/>
      <c r="J354" s="34"/>
      <c r="K354" s="26"/>
      <c r="L354" s="26" t="s">
        <v>63</v>
      </c>
    </row>
    <row r="355" spans="1:12">
      <c r="A355" s="26" t="s">
        <v>53</v>
      </c>
      <c r="B355" s="26" t="s">
        <v>54</v>
      </c>
      <c r="C355" s="26" t="s">
        <v>107</v>
      </c>
      <c r="D355" s="26" t="s">
        <v>24</v>
      </c>
      <c r="E355" s="30"/>
      <c r="F355" s="30">
        <v>902527</v>
      </c>
      <c r="G355" s="45" t="s">
        <v>262</v>
      </c>
      <c r="H355" s="34">
        <v>28011035</v>
      </c>
      <c r="I355" s="45" t="s">
        <v>402</v>
      </c>
      <c r="J355" s="34" t="s">
        <v>56</v>
      </c>
      <c r="K355" s="26" t="s">
        <v>59</v>
      </c>
      <c r="L355" s="26" t="s">
        <v>60</v>
      </c>
    </row>
    <row r="356" spans="1:12">
      <c r="A356" s="26" t="s">
        <v>53</v>
      </c>
      <c r="B356" s="26" t="s">
        <v>54</v>
      </c>
      <c r="C356" s="26" t="s">
        <v>107</v>
      </c>
      <c r="D356" s="26" t="s">
        <v>24</v>
      </c>
      <c r="E356" s="30"/>
      <c r="F356" s="30">
        <v>902528</v>
      </c>
      <c r="G356" s="45" t="s">
        <v>264</v>
      </c>
      <c r="H356" s="34">
        <v>28011036</v>
      </c>
      <c r="I356" s="45" t="s">
        <v>403</v>
      </c>
      <c r="J356" s="34" t="s">
        <v>56</v>
      </c>
      <c r="K356" s="26" t="s">
        <v>59</v>
      </c>
      <c r="L356" s="26" t="s">
        <v>60</v>
      </c>
    </row>
    <row r="357" spans="1:12">
      <c r="A357" s="26" t="s">
        <v>53</v>
      </c>
      <c r="B357" s="26" t="s">
        <v>54</v>
      </c>
      <c r="C357" s="26" t="s">
        <v>107</v>
      </c>
      <c r="D357" s="26" t="s">
        <v>24</v>
      </c>
      <c r="E357" s="30"/>
      <c r="F357" s="30">
        <v>902529</v>
      </c>
      <c r="G357" s="45" t="s">
        <v>262</v>
      </c>
      <c r="H357" s="34">
        <v>28011037</v>
      </c>
      <c r="I357" s="45" t="s">
        <v>404</v>
      </c>
      <c r="J357" s="34" t="s">
        <v>72</v>
      </c>
      <c r="K357" s="26" t="s">
        <v>59</v>
      </c>
      <c r="L357" s="26" t="s">
        <v>60</v>
      </c>
    </row>
    <row r="358" spans="1:12">
      <c r="A358" s="26" t="s">
        <v>53</v>
      </c>
      <c r="B358" s="26" t="s">
        <v>54</v>
      </c>
      <c r="C358" s="26" t="s">
        <v>107</v>
      </c>
      <c r="D358" s="26" t="s">
        <v>22</v>
      </c>
      <c r="E358" s="30"/>
      <c r="F358" s="30">
        <v>902530</v>
      </c>
      <c r="G358" s="45" t="s">
        <v>262</v>
      </c>
      <c r="H358" s="34">
        <v>28011038</v>
      </c>
      <c r="I358" s="45" t="s">
        <v>890</v>
      </c>
      <c r="J358" s="34" t="s">
        <v>72</v>
      </c>
      <c r="K358" s="26" t="s">
        <v>59</v>
      </c>
      <c r="L358" s="26" t="s">
        <v>60</v>
      </c>
    </row>
    <row r="359" spans="1:12">
      <c r="A359" s="26" t="s">
        <v>53</v>
      </c>
      <c r="B359" s="26" t="s">
        <v>54</v>
      </c>
      <c r="C359" s="26" t="s">
        <v>107</v>
      </c>
      <c r="D359" s="26" t="s">
        <v>24</v>
      </c>
      <c r="E359" s="30"/>
      <c r="F359" s="30">
        <v>902531</v>
      </c>
      <c r="G359" s="45" t="s">
        <v>266</v>
      </c>
      <c r="H359" s="34">
        <v>28011039</v>
      </c>
      <c r="I359" s="45" t="s">
        <v>405</v>
      </c>
      <c r="J359" s="34" t="s">
        <v>72</v>
      </c>
      <c r="K359" s="26" t="s">
        <v>59</v>
      </c>
      <c r="L359" s="26" t="s">
        <v>60</v>
      </c>
    </row>
    <row r="360" spans="1:12">
      <c r="A360" s="26" t="s">
        <v>53</v>
      </c>
      <c r="B360" s="26" t="s">
        <v>54</v>
      </c>
      <c r="C360" s="26" t="s">
        <v>107</v>
      </c>
      <c r="D360" s="26" t="s">
        <v>24</v>
      </c>
      <c r="E360" s="30"/>
      <c r="F360" s="30">
        <v>90002532</v>
      </c>
      <c r="G360" s="45" t="s">
        <v>267</v>
      </c>
      <c r="H360" s="34">
        <v>28011040</v>
      </c>
      <c r="I360" s="45" t="s">
        <v>406</v>
      </c>
      <c r="J360" s="34" t="s">
        <v>128</v>
      </c>
      <c r="K360" s="26" t="s">
        <v>59</v>
      </c>
      <c r="L360" s="26" t="s">
        <v>60</v>
      </c>
    </row>
    <row r="361" spans="1:12">
      <c r="A361" s="26" t="s">
        <v>53</v>
      </c>
      <c r="B361" s="26" t="s">
        <v>54</v>
      </c>
      <c r="C361" s="26" t="s">
        <v>107</v>
      </c>
      <c r="D361" s="26" t="s">
        <v>22</v>
      </c>
      <c r="E361" s="30"/>
      <c r="F361" s="30">
        <v>90002533</v>
      </c>
      <c r="G361" s="45" t="s">
        <v>270</v>
      </c>
      <c r="H361" s="34">
        <v>28011041</v>
      </c>
      <c r="I361" s="45" t="s">
        <v>407</v>
      </c>
      <c r="J361" s="34" t="s">
        <v>210</v>
      </c>
      <c r="K361" s="26" t="s">
        <v>59</v>
      </c>
      <c r="L361" s="26" t="s">
        <v>60</v>
      </c>
    </row>
    <row r="362" spans="1:12">
      <c r="A362" s="26" t="s">
        <v>53</v>
      </c>
      <c r="B362" s="26" t="s">
        <v>54</v>
      </c>
      <c r="C362" s="26" t="s">
        <v>107</v>
      </c>
      <c r="D362" s="26" t="s">
        <v>22</v>
      </c>
      <c r="E362" s="30"/>
      <c r="F362" s="30">
        <v>90002534</v>
      </c>
      <c r="G362" s="45" t="s">
        <v>270</v>
      </c>
      <c r="H362" s="34">
        <v>28011042</v>
      </c>
      <c r="I362" s="45" t="s">
        <v>408</v>
      </c>
      <c r="J362" s="34" t="s">
        <v>69</v>
      </c>
      <c r="K362" s="26" t="s">
        <v>59</v>
      </c>
      <c r="L362" s="26" t="s">
        <v>60</v>
      </c>
    </row>
    <row r="363" spans="1:12">
      <c r="A363" s="26" t="s">
        <v>53</v>
      </c>
      <c r="B363" s="26" t="s">
        <v>54</v>
      </c>
      <c r="C363" s="26" t="s">
        <v>107</v>
      </c>
      <c r="D363" s="26" t="s">
        <v>22</v>
      </c>
      <c r="E363" s="30"/>
      <c r="F363" s="30">
        <v>90002535</v>
      </c>
      <c r="G363" s="45" t="s">
        <v>272</v>
      </c>
      <c r="H363" s="34">
        <v>28011043</v>
      </c>
      <c r="I363" s="45" t="s">
        <v>409</v>
      </c>
      <c r="J363" s="34" t="s">
        <v>66</v>
      </c>
      <c r="K363" s="26" t="s">
        <v>59</v>
      </c>
      <c r="L363" s="26" t="s">
        <v>60</v>
      </c>
    </row>
    <row r="364" spans="1:12">
      <c r="A364" s="26" t="s">
        <v>53</v>
      </c>
      <c r="B364" s="26" t="s">
        <v>54</v>
      </c>
      <c r="C364" s="26" t="s">
        <v>107</v>
      </c>
      <c r="D364" s="26" t="s">
        <v>21</v>
      </c>
      <c r="E364" s="30"/>
      <c r="F364" s="30">
        <v>90002536</v>
      </c>
      <c r="G364" s="45" t="s">
        <v>270</v>
      </c>
      <c r="H364" s="34">
        <v>28011044</v>
      </c>
      <c r="I364" s="45" t="s">
        <v>410</v>
      </c>
      <c r="J364" s="34" t="s">
        <v>69</v>
      </c>
      <c r="K364" s="26" t="s">
        <v>59</v>
      </c>
      <c r="L364" s="26" t="s">
        <v>60</v>
      </c>
    </row>
    <row r="365" spans="1:12">
      <c r="A365" s="26" t="s">
        <v>53</v>
      </c>
      <c r="B365" s="26" t="s">
        <v>54</v>
      </c>
      <c r="C365" s="26" t="s">
        <v>107</v>
      </c>
      <c r="D365" s="26" t="s">
        <v>22</v>
      </c>
      <c r="E365" s="30"/>
      <c r="F365" s="30">
        <v>90002537</v>
      </c>
      <c r="G365" s="45" t="s">
        <v>270</v>
      </c>
      <c r="H365" s="34">
        <v>28011045</v>
      </c>
      <c r="I365" s="45" t="s">
        <v>411</v>
      </c>
      <c r="J365" s="34" t="s">
        <v>69</v>
      </c>
      <c r="K365" s="26" t="s">
        <v>59</v>
      </c>
      <c r="L365" s="26" t="s">
        <v>60</v>
      </c>
    </row>
    <row r="366" spans="1:12">
      <c r="A366" s="26" t="s">
        <v>53</v>
      </c>
      <c r="B366" s="26" t="s">
        <v>54</v>
      </c>
      <c r="C366" s="26" t="s">
        <v>107</v>
      </c>
      <c r="D366" s="26" t="s">
        <v>22</v>
      </c>
      <c r="E366" s="30"/>
      <c r="F366" s="30">
        <v>90002538</v>
      </c>
      <c r="G366" s="45" t="s">
        <v>274</v>
      </c>
      <c r="H366" s="34">
        <v>28011046</v>
      </c>
      <c r="I366" s="45" t="s">
        <v>412</v>
      </c>
      <c r="J366" s="34" t="s">
        <v>69</v>
      </c>
      <c r="K366" s="26" t="s">
        <v>59</v>
      </c>
      <c r="L366" s="26" t="s">
        <v>60</v>
      </c>
    </row>
    <row r="367" spans="1:12">
      <c r="A367" s="26" t="s">
        <v>53</v>
      </c>
      <c r="B367" s="26" t="s">
        <v>54</v>
      </c>
      <c r="C367" s="26" t="s">
        <v>107</v>
      </c>
      <c r="D367" s="26" t="s">
        <v>22</v>
      </c>
      <c r="E367" s="30"/>
      <c r="F367" s="30">
        <v>90002539</v>
      </c>
      <c r="G367" s="45" t="s">
        <v>270</v>
      </c>
      <c r="H367" s="34">
        <v>28011047</v>
      </c>
      <c r="I367" s="45" t="s">
        <v>413</v>
      </c>
      <c r="J367" s="34" t="s">
        <v>210</v>
      </c>
      <c r="K367" s="26" t="s">
        <v>59</v>
      </c>
      <c r="L367" s="26" t="s">
        <v>60</v>
      </c>
    </row>
    <row r="368" spans="1:12">
      <c r="A368" s="26" t="s">
        <v>53</v>
      </c>
      <c r="B368" s="26" t="s">
        <v>54</v>
      </c>
      <c r="C368" s="26" t="s">
        <v>107</v>
      </c>
      <c r="D368" s="26" t="s">
        <v>22</v>
      </c>
      <c r="E368" s="30"/>
      <c r="F368" s="30">
        <v>90002540</v>
      </c>
      <c r="G368" s="45" t="s">
        <v>239</v>
      </c>
      <c r="H368" s="34">
        <v>28011048</v>
      </c>
      <c r="I368" s="45" t="s">
        <v>414</v>
      </c>
      <c r="J368" s="34" t="s">
        <v>210</v>
      </c>
      <c r="K368" s="26" t="s">
        <v>59</v>
      </c>
      <c r="L368" s="26" t="s">
        <v>60</v>
      </c>
    </row>
    <row r="369" spans="1:12">
      <c r="A369" s="26" t="s">
        <v>53</v>
      </c>
      <c r="B369" s="26" t="s">
        <v>54</v>
      </c>
      <c r="C369" s="26" t="s">
        <v>107</v>
      </c>
      <c r="D369" s="26" t="s">
        <v>22</v>
      </c>
      <c r="E369" s="30"/>
      <c r="F369" s="30">
        <v>90002541</v>
      </c>
      <c r="G369" s="45" t="s">
        <v>239</v>
      </c>
      <c r="H369" s="34">
        <v>28011049</v>
      </c>
      <c r="I369" s="45" t="s">
        <v>415</v>
      </c>
      <c r="J369" s="34" t="s">
        <v>210</v>
      </c>
      <c r="K369" s="26" t="s">
        <v>59</v>
      </c>
      <c r="L369" s="26" t="s">
        <v>60</v>
      </c>
    </row>
    <row r="370" spans="1:12">
      <c r="A370" s="26" t="s">
        <v>53</v>
      </c>
      <c r="B370" s="26" t="s">
        <v>54</v>
      </c>
      <c r="C370" s="26" t="s">
        <v>107</v>
      </c>
      <c r="D370" s="26" t="s">
        <v>22</v>
      </c>
      <c r="E370" s="30"/>
      <c r="F370" s="30">
        <v>90002542</v>
      </c>
      <c r="G370" s="45" t="s">
        <v>276</v>
      </c>
      <c r="H370" s="34"/>
      <c r="I370" s="45"/>
      <c r="J370" s="34"/>
      <c r="K370" s="26"/>
      <c r="L370" s="26" t="s">
        <v>63</v>
      </c>
    </row>
    <row r="371" spans="1:12">
      <c r="A371" s="26" t="s">
        <v>53</v>
      </c>
      <c r="B371" s="26" t="s">
        <v>54</v>
      </c>
      <c r="C371" s="26" t="s">
        <v>107</v>
      </c>
      <c r="D371" s="26" t="s">
        <v>22</v>
      </c>
      <c r="E371" s="30"/>
      <c r="F371" s="30">
        <v>90002543</v>
      </c>
      <c r="G371" s="45" t="s">
        <v>270</v>
      </c>
      <c r="H371" s="34">
        <v>28011050</v>
      </c>
      <c r="I371" s="45" t="s">
        <v>416</v>
      </c>
      <c r="J371" s="34" t="s">
        <v>69</v>
      </c>
      <c r="K371" s="26" t="s">
        <v>59</v>
      </c>
      <c r="L371" s="26" t="s">
        <v>60</v>
      </c>
    </row>
    <row r="372" spans="1:12">
      <c r="A372" s="26" t="s">
        <v>53</v>
      </c>
      <c r="B372" s="26" t="s">
        <v>54</v>
      </c>
      <c r="C372" s="26" t="s">
        <v>107</v>
      </c>
      <c r="D372" s="26" t="s">
        <v>22</v>
      </c>
      <c r="E372" s="30"/>
      <c r="F372" s="30">
        <v>90002544</v>
      </c>
      <c r="G372" s="45" t="s">
        <v>239</v>
      </c>
      <c r="H372" s="34">
        <v>88011051</v>
      </c>
      <c r="I372" s="45" t="s">
        <v>417</v>
      </c>
      <c r="J372" s="34" t="s">
        <v>210</v>
      </c>
      <c r="K372" s="26" t="s">
        <v>59</v>
      </c>
      <c r="L372" s="26" t="s">
        <v>60</v>
      </c>
    </row>
    <row r="373" spans="1:12">
      <c r="A373" s="26" t="s">
        <v>53</v>
      </c>
      <c r="B373" s="26" t="s">
        <v>54</v>
      </c>
      <c r="C373" s="26" t="s">
        <v>107</v>
      </c>
      <c r="D373" s="26" t="s">
        <v>24</v>
      </c>
      <c r="E373" s="30"/>
      <c r="F373" s="30">
        <v>90002545</v>
      </c>
      <c r="G373" s="45" t="s">
        <v>280</v>
      </c>
      <c r="H373" s="34">
        <v>28011052</v>
      </c>
      <c r="I373" s="45" t="s">
        <v>418</v>
      </c>
      <c r="J373" s="34" t="s">
        <v>56</v>
      </c>
      <c r="K373" s="26" t="s">
        <v>59</v>
      </c>
      <c r="L373" s="26" t="s">
        <v>60</v>
      </c>
    </row>
    <row r="374" spans="1:12">
      <c r="A374" s="26" t="s">
        <v>53</v>
      </c>
      <c r="B374" s="26" t="s">
        <v>54</v>
      </c>
      <c r="C374" s="26" t="s">
        <v>107</v>
      </c>
      <c r="D374" s="26" t="s">
        <v>22</v>
      </c>
      <c r="E374" s="30"/>
      <c r="F374" s="30">
        <v>90002546</v>
      </c>
      <c r="G374" s="45" t="s">
        <v>239</v>
      </c>
      <c r="H374" s="34">
        <v>28011053</v>
      </c>
      <c r="I374" s="45" t="s">
        <v>419</v>
      </c>
      <c r="J374" s="34" t="s">
        <v>99</v>
      </c>
      <c r="K374" s="26" t="s">
        <v>59</v>
      </c>
      <c r="L374" s="26" t="s">
        <v>60</v>
      </c>
    </row>
    <row r="375" spans="1:12">
      <c r="A375" s="26" t="s">
        <v>53</v>
      </c>
      <c r="B375" s="26" t="s">
        <v>54</v>
      </c>
      <c r="C375" s="26" t="s">
        <v>107</v>
      </c>
      <c r="D375" s="26" t="s">
        <v>22</v>
      </c>
      <c r="E375" s="30"/>
      <c r="F375" s="30">
        <v>90002547</v>
      </c>
      <c r="G375" s="45" t="s">
        <v>282</v>
      </c>
      <c r="H375" s="34">
        <v>28011054</v>
      </c>
      <c r="I375" s="45" t="s">
        <v>420</v>
      </c>
      <c r="J375" s="34" t="s">
        <v>72</v>
      </c>
      <c r="K375" s="26" t="s">
        <v>59</v>
      </c>
      <c r="L375" s="26" t="s">
        <v>60</v>
      </c>
    </row>
    <row r="376" spans="1:12">
      <c r="A376" s="26" t="s">
        <v>53</v>
      </c>
      <c r="B376" s="26" t="s">
        <v>54</v>
      </c>
      <c r="C376" s="26" t="s">
        <v>107</v>
      </c>
      <c r="D376" s="26" t="s">
        <v>22</v>
      </c>
      <c r="E376" s="30"/>
      <c r="F376" s="30">
        <v>90002548</v>
      </c>
      <c r="G376" s="45" t="s">
        <v>285</v>
      </c>
      <c r="H376" s="34"/>
      <c r="I376" s="45"/>
      <c r="J376" s="34"/>
      <c r="K376" s="26"/>
      <c r="L376" s="26" t="s">
        <v>63</v>
      </c>
    </row>
    <row r="377" spans="1:12">
      <c r="A377" s="26" t="s">
        <v>53</v>
      </c>
      <c r="B377" s="26" t="s">
        <v>54</v>
      </c>
      <c r="C377" s="26" t="s">
        <v>107</v>
      </c>
      <c r="D377" s="26" t="s">
        <v>22</v>
      </c>
      <c r="E377" s="30"/>
      <c r="F377" s="30">
        <v>90002549</v>
      </c>
      <c r="G377" s="45" t="s">
        <v>287</v>
      </c>
      <c r="H377" s="34">
        <v>28011055</v>
      </c>
      <c r="I377" s="45" t="s">
        <v>421</v>
      </c>
      <c r="J377" s="34" t="s">
        <v>99</v>
      </c>
      <c r="K377" s="26" t="s">
        <v>59</v>
      </c>
      <c r="L377" s="26" t="s">
        <v>60</v>
      </c>
    </row>
    <row r="378" spans="1:12">
      <c r="A378" s="26" t="s">
        <v>53</v>
      </c>
      <c r="B378" s="26" t="s">
        <v>54</v>
      </c>
      <c r="C378" s="26" t="s">
        <v>107</v>
      </c>
      <c r="D378" s="26" t="s">
        <v>21</v>
      </c>
      <c r="E378" s="30"/>
      <c r="F378" s="30">
        <v>90002550</v>
      </c>
      <c r="G378" s="45" t="s">
        <v>239</v>
      </c>
      <c r="H378" s="34">
        <v>28011056</v>
      </c>
      <c r="I378" s="45" t="s">
        <v>422</v>
      </c>
      <c r="J378" s="34" t="s">
        <v>99</v>
      </c>
      <c r="K378" s="26" t="s">
        <v>59</v>
      </c>
      <c r="L378" s="26" t="s">
        <v>60</v>
      </c>
    </row>
    <row r="379" spans="1:12">
      <c r="A379" s="26" t="s">
        <v>53</v>
      </c>
      <c r="B379" s="26" t="s">
        <v>54</v>
      </c>
      <c r="C379" s="26" t="s">
        <v>107</v>
      </c>
      <c r="D379" s="26" t="s">
        <v>22</v>
      </c>
      <c r="E379" s="30"/>
      <c r="F379" s="30">
        <v>90002551</v>
      </c>
      <c r="G379" s="45" t="s">
        <v>293</v>
      </c>
      <c r="H379" s="34">
        <v>28011057</v>
      </c>
      <c r="I379" s="45" t="s">
        <v>423</v>
      </c>
      <c r="J379" s="34" t="s">
        <v>56</v>
      </c>
      <c r="K379" s="26" t="s">
        <v>59</v>
      </c>
      <c r="L379" s="26" t="s">
        <v>60</v>
      </c>
    </row>
    <row r="380" spans="1:12">
      <c r="A380" s="26" t="s">
        <v>53</v>
      </c>
      <c r="B380" s="26" t="s">
        <v>54</v>
      </c>
      <c r="C380" s="26" t="s">
        <v>107</v>
      </c>
      <c r="D380" s="26" t="s">
        <v>21</v>
      </c>
      <c r="E380" s="30"/>
      <c r="F380" s="30">
        <v>90002552</v>
      </c>
      <c r="G380" s="45" t="s">
        <v>131</v>
      </c>
      <c r="H380" s="34">
        <v>28011058</v>
      </c>
      <c r="I380" s="45" t="s">
        <v>424</v>
      </c>
      <c r="J380" s="34" t="s">
        <v>56</v>
      </c>
      <c r="K380" s="26" t="s">
        <v>59</v>
      </c>
      <c r="L380" s="26" t="s">
        <v>60</v>
      </c>
    </row>
    <row r="381" spans="1:12">
      <c r="A381" s="26" t="s">
        <v>53</v>
      </c>
      <c r="B381" s="26" t="s">
        <v>54</v>
      </c>
      <c r="C381" s="26" t="s">
        <v>107</v>
      </c>
      <c r="D381" s="26" t="s">
        <v>22</v>
      </c>
      <c r="E381" s="30"/>
      <c r="F381" s="30">
        <v>90002553</v>
      </c>
      <c r="G381" s="45" t="s">
        <v>239</v>
      </c>
      <c r="H381" s="34">
        <v>28011059</v>
      </c>
      <c r="I381" s="45" t="s">
        <v>425</v>
      </c>
      <c r="J381" s="34" t="s">
        <v>128</v>
      </c>
      <c r="K381" s="26" t="s">
        <v>59</v>
      </c>
      <c r="L381" s="26" t="s">
        <v>60</v>
      </c>
    </row>
    <row r="382" spans="1:12">
      <c r="A382" s="26" t="s">
        <v>53</v>
      </c>
      <c r="B382" s="26" t="s">
        <v>54</v>
      </c>
      <c r="C382" s="26" t="s">
        <v>107</v>
      </c>
      <c r="D382" s="26" t="s">
        <v>22</v>
      </c>
      <c r="E382" s="30"/>
      <c r="F382" s="30">
        <v>90002554</v>
      </c>
      <c r="G382" s="45" t="s">
        <v>296</v>
      </c>
      <c r="H382" s="34">
        <v>28011060</v>
      </c>
      <c r="I382" s="45" t="s">
        <v>426</v>
      </c>
      <c r="J382" s="34" t="s">
        <v>99</v>
      </c>
      <c r="K382" s="26" t="s">
        <v>59</v>
      </c>
      <c r="L382" s="26" t="s">
        <v>60</v>
      </c>
    </row>
    <row r="383" spans="1:12">
      <c r="A383" s="26" t="s">
        <v>53</v>
      </c>
      <c r="B383" s="26" t="s">
        <v>54</v>
      </c>
      <c r="C383" s="26" t="s">
        <v>107</v>
      </c>
      <c r="D383" s="26" t="s">
        <v>21</v>
      </c>
      <c r="E383" s="30"/>
      <c r="F383" s="30">
        <v>90002555</v>
      </c>
      <c r="G383" s="45" t="s">
        <v>239</v>
      </c>
      <c r="H383" s="34">
        <v>28011061</v>
      </c>
      <c r="I383" s="45" t="s">
        <v>427</v>
      </c>
      <c r="J383" s="34" t="s">
        <v>128</v>
      </c>
      <c r="K383" s="26" t="s">
        <v>59</v>
      </c>
      <c r="L383" s="26" t="s">
        <v>60</v>
      </c>
    </row>
    <row r="384" spans="1:12">
      <c r="A384" s="26" t="s">
        <v>53</v>
      </c>
      <c r="B384" s="26" t="s">
        <v>54</v>
      </c>
      <c r="C384" s="26" t="s">
        <v>107</v>
      </c>
      <c r="D384" s="26" t="s">
        <v>22</v>
      </c>
      <c r="E384" s="30"/>
      <c r="F384" s="30">
        <v>90002556</v>
      </c>
      <c r="G384" s="45" t="s">
        <v>239</v>
      </c>
      <c r="H384" s="34">
        <v>28011062</v>
      </c>
      <c r="I384" s="45" t="s">
        <v>428</v>
      </c>
      <c r="J384" s="34" t="s">
        <v>128</v>
      </c>
      <c r="K384" s="26" t="s">
        <v>59</v>
      </c>
      <c r="L384" s="26" t="s">
        <v>60</v>
      </c>
    </row>
    <row r="385" spans="1:12">
      <c r="A385" s="26" t="s">
        <v>53</v>
      </c>
      <c r="B385" s="26" t="s">
        <v>54</v>
      </c>
      <c r="C385" s="26" t="s">
        <v>107</v>
      </c>
      <c r="D385" s="26" t="s">
        <v>21</v>
      </c>
      <c r="E385" s="30"/>
      <c r="F385" s="30">
        <v>90002557</v>
      </c>
      <c r="G385" s="45" t="s">
        <v>239</v>
      </c>
      <c r="H385" s="34">
        <v>28011063</v>
      </c>
      <c r="I385" s="45" t="s">
        <v>429</v>
      </c>
      <c r="J385" s="34" t="s">
        <v>128</v>
      </c>
      <c r="K385" s="26" t="s">
        <v>59</v>
      </c>
      <c r="L385" s="26" t="s">
        <v>60</v>
      </c>
    </row>
    <row r="386" spans="1:12">
      <c r="A386" s="26" t="s">
        <v>53</v>
      </c>
      <c r="B386" s="26" t="s">
        <v>54</v>
      </c>
      <c r="C386" s="26" t="s">
        <v>107</v>
      </c>
      <c r="D386" s="26" t="s">
        <v>24</v>
      </c>
      <c r="E386" s="30"/>
      <c r="F386" s="30">
        <v>90002558</v>
      </c>
      <c r="G386" s="45" t="s">
        <v>179</v>
      </c>
      <c r="H386" s="34">
        <v>28011064</v>
      </c>
      <c r="I386" s="45" t="s">
        <v>430</v>
      </c>
      <c r="J386" s="34" t="s">
        <v>56</v>
      </c>
      <c r="K386" s="26" t="s">
        <v>59</v>
      </c>
      <c r="L386" s="26" t="s">
        <v>60</v>
      </c>
    </row>
    <row r="387" spans="1:12">
      <c r="A387" s="26" t="s">
        <v>53</v>
      </c>
      <c r="B387" s="26" t="s">
        <v>54</v>
      </c>
      <c r="C387" s="26" t="s">
        <v>107</v>
      </c>
      <c r="D387" s="26" t="s">
        <v>22</v>
      </c>
      <c r="E387" s="30"/>
      <c r="F387" s="30">
        <v>90002559</v>
      </c>
      <c r="G387" s="45" t="s">
        <v>270</v>
      </c>
      <c r="H387" s="34">
        <v>28011065</v>
      </c>
      <c r="I387" s="45" t="s">
        <v>431</v>
      </c>
      <c r="J387" s="34" t="s">
        <v>69</v>
      </c>
      <c r="K387" s="26" t="s">
        <v>59</v>
      </c>
      <c r="L387" s="26" t="s">
        <v>60</v>
      </c>
    </row>
    <row r="388" spans="1:12">
      <c r="A388" s="26" t="s">
        <v>53</v>
      </c>
      <c r="B388" s="26" t="s">
        <v>54</v>
      </c>
      <c r="C388" s="26" t="s">
        <v>107</v>
      </c>
      <c r="D388" s="26" t="s">
        <v>22</v>
      </c>
      <c r="E388" s="30"/>
      <c r="F388" s="30">
        <v>90002560</v>
      </c>
      <c r="G388" s="45" t="s">
        <v>298</v>
      </c>
      <c r="H388" s="34"/>
      <c r="I388" s="45"/>
      <c r="J388" s="34"/>
      <c r="K388" s="26"/>
      <c r="L388" s="26" t="s">
        <v>63</v>
      </c>
    </row>
    <row r="389" spans="1:12">
      <c r="A389" s="26" t="s">
        <v>53</v>
      </c>
      <c r="B389" s="26" t="s">
        <v>54</v>
      </c>
      <c r="C389" s="26" t="s">
        <v>107</v>
      </c>
      <c r="D389" s="26" t="s">
        <v>24</v>
      </c>
      <c r="E389" s="30"/>
      <c r="F389" s="30">
        <v>90002561</v>
      </c>
      <c r="G389" s="45" t="s">
        <v>300</v>
      </c>
      <c r="H389" s="34">
        <v>28011066</v>
      </c>
      <c r="I389" s="45" t="s">
        <v>432</v>
      </c>
      <c r="J389" s="34" t="s">
        <v>128</v>
      </c>
      <c r="K389" s="26" t="s">
        <v>59</v>
      </c>
      <c r="L389" s="26" t="s">
        <v>60</v>
      </c>
    </row>
    <row r="390" spans="1:12">
      <c r="A390" s="26" t="s">
        <v>53</v>
      </c>
      <c r="B390" s="26" t="s">
        <v>54</v>
      </c>
      <c r="C390" s="26" t="s">
        <v>107</v>
      </c>
      <c r="D390" s="26" t="s">
        <v>21</v>
      </c>
      <c r="E390" s="30"/>
      <c r="F390" s="30">
        <v>90002562</v>
      </c>
      <c r="G390" s="45" t="s">
        <v>270</v>
      </c>
      <c r="H390" s="34">
        <v>28011067</v>
      </c>
      <c r="I390" s="45" t="s">
        <v>433</v>
      </c>
      <c r="J390" s="34" t="s">
        <v>210</v>
      </c>
      <c r="K390" s="26" t="s">
        <v>59</v>
      </c>
      <c r="L390" s="26" t="s">
        <v>60</v>
      </c>
    </row>
    <row r="391" spans="1:12">
      <c r="A391" s="26" t="s">
        <v>53</v>
      </c>
      <c r="B391" s="26" t="s">
        <v>54</v>
      </c>
      <c r="C391" s="26" t="s">
        <v>107</v>
      </c>
      <c r="D391" s="26" t="s">
        <v>22</v>
      </c>
      <c r="E391" s="30"/>
      <c r="F391" s="30">
        <v>90002563</v>
      </c>
      <c r="G391" s="45" t="s">
        <v>282</v>
      </c>
      <c r="H391" s="34">
        <v>28011068</v>
      </c>
      <c r="I391" s="45" t="s">
        <v>434</v>
      </c>
      <c r="J391" s="34" t="s">
        <v>56</v>
      </c>
      <c r="K391" s="26" t="s">
        <v>59</v>
      </c>
      <c r="L391" s="26" t="s">
        <v>60</v>
      </c>
    </row>
    <row r="392" spans="1:12">
      <c r="A392" s="26" t="s">
        <v>53</v>
      </c>
      <c r="B392" s="26" t="s">
        <v>54</v>
      </c>
      <c r="C392" s="26" t="s">
        <v>107</v>
      </c>
      <c r="D392" s="26" t="s">
        <v>22</v>
      </c>
      <c r="E392" s="30"/>
      <c r="F392" s="30">
        <v>90002564</v>
      </c>
      <c r="G392" s="45" t="s">
        <v>331</v>
      </c>
      <c r="H392" s="34">
        <v>28011069</v>
      </c>
      <c r="I392" s="45" t="s">
        <v>435</v>
      </c>
      <c r="J392" s="34" t="s">
        <v>128</v>
      </c>
      <c r="K392" s="26" t="s">
        <v>59</v>
      </c>
      <c r="L392" s="26" t="s">
        <v>60</v>
      </c>
    </row>
    <row r="393" spans="1:12">
      <c r="A393" s="26" t="s">
        <v>53</v>
      </c>
      <c r="B393" s="26" t="s">
        <v>54</v>
      </c>
      <c r="C393" s="26" t="s">
        <v>107</v>
      </c>
      <c r="D393" s="26" t="s">
        <v>21</v>
      </c>
      <c r="E393" s="30"/>
      <c r="F393" s="30">
        <v>90002565</v>
      </c>
      <c r="G393" s="45" t="s">
        <v>285</v>
      </c>
      <c r="H393" s="34">
        <v>28011070</v>
      </c>
      <c r="I393" s="45" t="s">
        <v>436</v>
      </c>
      <c r="J393" s="34" t="s">
        <v>72</v>
      </c>
      <c r="K393" s="26" t="s">
        <v>59</v>
      </c>
      <c r="L393" s="26" t="s">
        <v>60</v>
      </c>
    </row>
    <row r="394" spans="1:12">
      <c r="A394" s="26" t="s">
        <v>53</v>
      </c>
      <c r="B394" s="26" t="s">
        <v>54</v>
      </c>
      <c r="C394" s="26" t="s">
        <v>107</v>
      </c>
      <c r="D394" s="26" t="s">
        <v>21</v>
      </c>
      <c r="E394" s="30"/>
      <c r="F394" s="30">
        <v>90002566</v>
      </c>
      <c r="G394" s="45" t="s">
        <v>302</v>
      </c>
      <c r="H394" s="34">
        <v>28011071</v>
      </c>
      <c r="I394" s="45" t="s">
        <v>437</v>
      </c>
      <c r="J394" s="34" t="s">
        <v>128</v>
      </c>
      <c r="K394" s="26" t="s">
        <v>59</v>
      </c>
      <c r="L394" s="26" t="s">
        <v>60</v>
      </c>
    </row>
    <row r="395" spans="1:12">
      <c r="A395" s="26" t="s">
        <v>1017</v>
      </c>
      <c r="B395" s="26" t="s">
        <v>54</v>
      </c>
      <c r="C395" s="26" t="s">
        <v>107</v>
      </c>
      <c r="D395" s="26" t="s">
        <v>21</v>
      </c>
      <c r="E395" s="30"/>
      <c r="F395" s="30">
        <v>90002567</v>
      </c>
      <c r="G395" s="45" t="s">
        <v>239</v>
      </c>
      <c r="H395" s="34">
        <v>28011072</v>
      </c>
      <c r="I395" s="45" t="s">
        <v>438</v>
      </c>
      <c r="J395" s="34" t="s">
        <v>72</v>
      </c>
      <c r="K395" s="26" t="s">
        <v>59</v>
      </c>
      <c r="L395" s="26" t="s">
        <v>60</v>
      </c>
    </row>
    <row r="396" spans="1:12">
      <c r="A396" s="26" t="s">
        <v>53</v>
      </c>
      <c r="B396" s="26" t="s">
        <v>54</v>
      </c>
      <c r="C396" s="26" t="s">
        <v>107</v>
      </c>
      <c r="D396" s="26" t="s">
        <v>21</v>
      </c>
      <c r="E396" s="30"/>
      <c r="F396" s="30">
        <v>90002568</v>
      </c>
      <c r="G396" s="45" t="s">
        <v>306</v>
      </c>
      <c r="H396" s="34">
        <v>28011073</v>
      </c>
      <c r="I396" s="45" t="s">
        <v>439</v>
      </c>
      <c r="J396" s="34" t="s">
        <v>128</v>
      </c>
      <c r="K396" s="26" t="s">
        <v>59</v>
      </c>
      <c r="L396" s="26" t="s">
        <v>60</v>
      </c>
    </row>
    <row r="397" spans="1:12">
      <c r="A397" s="26" t="s">
        <v>53</v>
      </c>
      <c r="B397" s="26" t="s">
        <v>54</v>
      </c>
      <c r="C397" s="26" t="s">
        <v>107</v>
      </c>
      <c r="D397" s="26" t="s">
        <v>21</v>
      </c>
      <c r="E397" s="30"/>
      <c r="F397" s="30">
        <v>90002569</v>
      </c>
      <c r="G397" s="49" t="s">
        <v>308</v>
      </c>
      <c r="H397" s="34"/>
      <c r="I397" s="45"/>
      <c r="J397" s="34"/>
      <c r="K397" s="26"/>
      <c r="L397" s="26" t="s">
        <v>63</v>
      </c>
    </row>
    <row r="398" spans="1:12">
      <c r="A398" s="26" t="s">
        <v>53</v>
      </c>
      <c r="B398" s="26" t="s">
        <v>54</v>
      </c>
      <c r="C398" s="26" t="s">
        <v>107</v>
      </c>
      <c r="D398" s="26" t="s">
        <v>22</v>
      </c>
      <c r="E398" s="30"/>
      <c r="F398" s="30">
        <v>90002570</v>
      </c>
      <c r="G398" s="45" t="s">
        <v>311</v>
      </c>
      <c r="H398" s="34">
        <v>28011074</v>
      </c>
      <c r="I398" s="45" t="s">
        <v>440</v>
      </c>
      <c r="J398" s="34" t="s">
        <v>72</v>
      </c>
      <c r="K398" s="26" t="s">
        <v>59</v>
      </c>
      <c r="L398" s="26" t="s">
        <v>60</v>
      </c>
    </row>
    <row r="399" spans="1:12">
      <c r="A399" s="26" t="s">
        <v>53</v>
      </c>
      <c r="B399" s="26" t="s">
        <v>54</v>
      </c>
      <c r="C399" s="26" t="s">
        <v>107</v>
      </c>
      <c r="D399" s="26" t="s">
        <v>22</v>
      </c>
      <c r="E399" s="30"/>
      <c r="F399" s="30">
        <v>90002571</v>
      </c>
      <c r="G399" s="45" t="s">
        <v>317</v>
      </c>
      <c r="H399" s="34">
        <v>28011075</v>
      </c>
      <c r="I399" s="45" t="s">
        <v>441</v>
      </c>
      <c r="J399" s="34" t="s">
        <v>72</v>
      </c>
      <c r="K399" s="26" t="s">
        <v>59</v>
      </c>
      <c r="L399" s="26" t="s">
        <v>60</v>
      </c>
    </row>
    <row r="400" spans="1:12">
      <c r="A400" s="26" t="s">
        <v>53</v>
      </c>
      <c r="B400" s="26" t="s">
        <v>54</v>
      </c>
      <c r="C400" s="26" t="s">
        <v>107</v>
      </c>
      <c r="D400" s="26" t="s">
        <v>9</v>
      </c>
      <c r="E400" s="30"/>
      <c r="F400" s="30">
        <v>90002572</v>
      </c>
      <c r="G400" s="45" t="s">
        <v>315</v>
      </c>
      <c r="H400" s="34">
        <v>28011076</v>
      </c>
      <c r="I400" s="45" t="s">
        <v>442</v>
      </c>
      <c r="J400" s="34" t="s">
        <v>69</v>
      </c>
      <c r="K400" s="26" t="s">
        <v>59</v>
      </c>
      <c r="L400" s="26" t="s">
        <v>60</v>
      </c>
    </row>
    <row r="401" spans="1:12">
      <c r="A401" s="26" t="s">
        <v>53</v>
      </c>
      <c r="B401" s="26" t="s">
        <v>54</v>
      </c>
      <c r="C401" s="26" t="s">
        <v>107</v>
      </c>
      <c r="D401" s="26" t="s">
        <v>9</v>
      </c>
      <c r="E401" s="30"/>
      <c r="F401" s="30">
        <v>90002573</v>
      </c>
      <c r="G401" s="45" t="s">
        <v>239</v>
      </c>
      <c r="H401" s="34">
        <v>28011077</v>
      </c>
      <c r="I401" s="45" t="s">
        <v>443</v>
      </c>
      <c r="J401" s="34" t="s">
        <v>56</v>
      </c>
      <c r="K401" s="26" t="s">
        <v>59</v>
      </c>
      <c r="L401" s="26" t="s">
        <v>60</v>
      </c>
    </row>
    <row r="402" spans="1:12">
      <c r="A402" s="26" t="s">
        <v>53</v>
      </c>
      <c r="B402" s="26" t="s">
        <v>54</v>
      </c>
      <c r="C402" s="26" t="s">
        <v>107</v>
      </c>
      <c r="D402" s="26" t="s">
        <v>22</v>
      </c>
      <c r="E402" s="30"/>
      <c r="F402" s="30">
        <v>90002574</v>
      </c>
      <c r="G402" s="50" t="s">
        <v>293</v>
      </c>
      <c r="H402" s="34"/>
      <c r="I402" s="45"/>
      <c r="J402" s="34"/>
      <c r="K402" s="26"/>
      <c r="L402" s="26" t="s">
        <v>63</v>
      </c>
    </row>
    <row r="403" spans="1:12">
      <c r="A403" s="26" t="s">
        <v>53</v>
      </c>
      <c r="B403" s="26" t="s">
        <v>54</v>
      </c>
      <c r="C403" s="26" t="s">
        <v>107</v>
      </c>
      <c r="D403" s="26" t="s">
        <v>21</v>
      </c>
      <c r="E403" s="30"/>
      <c r="F403" s="30">
        <v>90002575</v>
      </c>
      <c r="G403" s="45" t="s">
        <v>317</v>
      </c>
      <c r="H403" s="34">
        <v>28011078</v>
      </c>
      <c r="I403" s="45" t="s">
        <v>444</v>
      </c>
      <c r="J403" s="34" t="s">
        <v>210</v>
      </c>
      <c r="K403" s="26" t="s">
        <v>59</v>
      </c>
      <c r="L403" s="26" t="s">
        <v>60</v>
      </c>
    </row>
    <row r="404" spans="1:12">
      <c r="A404" s="26" t="s">
        <v>53</v>
      </c>
      <c r="B404" s="26" t="s">
        <v>54</v>
      </c>
      <c r="C404" s="26" t="s">
        <v>107</v>
      </c>
      <c r="D404" s="26" t="s">
        <v>21</v>
      </c>
      <c r="E404" s="30"/>
      <c r="F404" s="30">
        <v>90002576</v>
      </c>
      <c r="G404" s="45" t="s">
        <v>319</v>
      </c>
      <c r="H404" s="34">
        <v>28011079</v>
      </c>
      <c r="I404" s="45" t="s">
        <v>445</v>
      </c>
      <c r="J404" s="34" t="s">
        <v>72</v>
      </c>
      <c r="K404" s="26" t="s">
        <v>59</v>
      </c>
      <c r="L404" s="26" t="s">
        <v>60</v>
      </c>
    </row>
    <row r="405" spans="1:12">
      <c r="A405" s="26" t="s">
        <v>53</v>
      </c>
      <c r="B405" s="26" t="s">
        <v>54</v>
      </c>
      <c r="C405" s="26" t="s">
        <v>107</v>
      </c>
      <c r="D405" s="26" t="s">
        <v>22</v>
      </c>
      <c r="E405" s="30"/>
      <c r="F405" s="30">
        <v>90002577</v>
      </c>
      <c r="G405" s="45" t="s">
        <v>239</v>
      </c>
      <c r="H405" s="34">
        <v>28011080</v>
      </c>
      <c r="I405" s="45" t="s">
        <v>446</v>
      </c>
      <c r="J405" s="34" t="s">
        <v>210</v>
      </c>
      <c r="K405" s="26" t="s">
        <v>59</v>
      </c>
      <c r="L405" s="26" t="s">
        <v>60</v>
      </c>
    </row>
    <row r="406" spans="1:12">
      <c r="A406" s="26" t="s">
        <v>53</v>
      </c>
      <c r="B406" s="26" t="s">
        <v>54</v>
      </c>
      <c r="C406" s="26" t="s">
        <v>107</v>
      </c>
      <c r="D406" s="26" t="s">
        <v>21</v>
      </c>
      <c r="E406" s="30"/>
      <c r="F406" s="30">
        <v>90002578</v>
      </c>
      <c r="G406" s="45" t="s">
        <v>321</v>
      </c>
      <c r="H406" s="34">
        <v>28011081</v>
      </c>
      <c r="I406" s="45" t="s">
        <v>447</v>
      </c>
      <c r="J406" s="34" t="s">
        <v>56</v>
      </c>
      <c r="K406" s="26" t="s">
        <v>59</v>
      </c>
      <c r="L406" s="26" t="s">
        <v>60</v>
      </c>
    </row>
    <row r="407" spans="1:12">
      <c r="A407" s="26" t="s">
        <v>53</v>
      </c>
      <c r="B407" s="26" t="s">
        <v>54</v>
      </c>
      <c r="C407" s="26" t="s">
        <v>107</v>
      </c>
      <c r="D407" s="26" t="s">
        <v>21</v>
      </c>
      <c r="E407" s="30"/>
      <c r="F407" s="30">
        <v>90002579</v>
      </c>
      <c r="G407" s="45" t="s">
        <v>325</v>
      </c>
      <c r="H407" s="34">
        <v>28011082</v>
      </c>
      <c r="I407" s="45" t="s">
        <v>448</v>
      </c>
      <c r="J407" s="34" t="s">
        <v>72</v>
      </c>
      <c r="K407" s="26" t="s">
        <v>59</v>
      </c>
      <c r="L407" s="26" t="s">
        <v>60</v>
      </c>
    </row>
    <row r="408" spans="1:12">
      <c r="A408" s="26" t="s">
        <v>53</v>
      </c>
      <c r="B408" s="26" t="s">
        <v>54</v>
      </c>
      <c r="C408" s="26" t="s">
        <v>107</v>
      </c>
      <c r="D408" s="26" t="s">
        <v>9</v>
      </c>
      <c r="E408" s="30"/>
      <c r="F408" s="30">
        <v>90002580</v>
      </c>
      <c r="G408" s="45" t="s">
        <v>329</v>
      </c>
      <c r="H408" s="34">
        <v>28011083</v>
      </c>
      <c r="I408" s="45" t="s">
        <v>449</v>
      </c>
      <c r="J408" s="34" t="s">
        <v>56</v>
      </c>
      <c r="K408" s="26" t="s">
        <v>59</v>
      </c>
      <c r="L408" s="26" t="s">
        <v>60</v>
      </c>
    </row>
    <row r="409" spans="1:12">
      <c r="A409" s="26" t="s">
        <v>53</v>
      </c>
      <c r="B409" s="26" t="s">
        <v>54</v>
      </c>
      <c r="C409" s="26" t="s">
        <v>107</v>
      </c>
      <c r="D409" s="26" t="s">
        <v>21</v>
      </c>
      <c r="E409" s="30"/>
      <c r="F409" s="30">
        <v>90002581</v>
      </c>
      <c r="G409" s="45" t="s">
        <v>331</v>
      </c>
      <c r="H409" s="34">
        <v>28011084</v>
      </c>
      <c r="I409" s="45" t="s">
        <v>451</v>
      </c>
      <c r="J409" s="34" t="s">
        <v>56</v>
      </c>
      <c r="K409" s="26" t="s">
        <v>59</v>
      </c>
      <c r="L409" s="26" t="s">
        <v>60</v>
      </c>
    </row>
    <row r="410" spans="1:12">
      <c r="A410" s="26" t="s">
        <v>53</v>
      </c>
      <c r="B410" s="26" t="s">
        <v>54</v>
      </c>
      <c r="C410" s="26" t="s">
        <v>107</v>
      </c>
      <c r="D410" s="26" t="s">
        <v>21</v>
      </c>
      <c r="E410" s="30"/>
      <c r="F410" s="30">
        <v>90002582</v>
      </c>
      <c r="G410" s="45" t="s">
        <v>329</v>
      </c>
      <c r="H410" s="34">
        <v>28011085</v>
      </c>
      <c r="I410" s="45" t="s">
        <v>454</v>
      </c>
      <c r="J410" s="34" t="s">
        <v>72</v>
      </c>
      <c r="K410" s="26" t="s">
        <v>59</v>
      </c>
      <c r="L410" s="26" t="s">
        <v>60</v>
      </c>
    </row>
    <row r="411" spans="1:12">
      <c r="A411" s="26" t="s">
        <v>53</v>
      </c>
      <c r="B411" s="26" t="s">
        <v>54</v>
      </c>
      <c r="C411" s="26" t="s">
        <v>107</v>
      </c>
      <c r="D411" s="26" t="s">
        <v>22</v>
      </c>
      <c r="E411" s="30"/>
      <c r="F411" s="30">
        <v>90002583</v>
      </c>
      <c r="G411" s="45" t="s">
        <v>57</v>
      </c>
      <c r="H411" s="34"/>
      <c r="I411" s="45"/>
      <c r="J411" s="34"/>
      <c r="K411" s="26"/>
      <c r="L411" s="26" t="s">
        <v>63</v>
      </c>
    </row>
    <row r="412" spans="1:12">
      <c r="A412" s="26" t="s">
        <v>53</v>
      </c>
      <c r="B412" s="26" t="s">
        <v>54</v>
      </c>
      <c r="C412" s="26" t="s">
        <v>107</v>
      </c>
      <c r="D412" s="26" t="s">
        <v>22</v>
      </c>
      <c r="E412" s="30"/>
      <c r="F412" s="30">
        <v>90002584</v>
      </c>
      <c r="G412" s="45" t="s">
        <v>62</v>
      </c>
      <c r="H412" s="34">
        <v>28011086</v>
      </c>
      <c r="I412" s="45" t="s">
        <v>455</v>
      </c>
      <c r="J412" s="34" t="s">
        <v>99</v>
      </c>
      <c r="K412" s="26" t="s">
        <v>59</v>
      </c>
      <c r="L412" s="26" t="s">
        <v>60</v>
      </c>
    </row>
    <row r="413" spans="1:12">
      <c r="A413" s="26" t="s">
        <v>53</v>
      </c>
      <c r="B413" s="26" t="s">
        <v>54</v>
      </c>
      <c r="C413" s="26" t="s">
        <v>107</v>
      </c>
      <c r="D413" s="26" t="s">
        <v>22</v>
      </c>
      <c r="E413" s="30"/>
      <c r="F413" s="30">
        <v>90002585</v>
      </c>
      <c r="G413" s="45" t="s">
        <v>67</v>
      </c>
      <c r="H413" s="34">
        <v>28011087</v>
      </c>
      <c r="I413" s="45" t="s">
        <v>457</v>
      </c>
      <c r="J413" s="34" t="s">
        <v>210</v>
      </c>
      <c r="K413" s="26" t="s">
        <v>59</v>
      </c>
      <c r="L413" s="26" t="s">
        <v>60</v>
      </c>
    </row>
    <row r="414" spans="1:12">
      <c r="A414" s="26" t="s">
        <v>53</v>
      </c>
      <c r="B414" s="26" t="s">
        <v>54</v>
      </c>
      <c r="C414" s="26" t="s">
        <v>107</v>
      </c>
      <c r="D414" s="26" t="s">
        <v>22</v>
      </c>
      <c r="E414" s="30"/>
      <c r="F414" s="30">
        <v>90002586</v>
      </c>
      <c r="G414" s="45" t="s">
        <v>228</v>
      </c>
      <c r="H414" s="34">
        <v>28011088</v>
      </c>
      <c r="I414" s="45" t="s">
        <v>458</v>
      </c>
      <c r="J414" s="34" t="s">
        <v>72</v>
      </c>
      <c r="K414" s="26" t="s">
        <v>59</v>
      </c>
      <c r="L414" s="26" t="s">
        <v>60</v>
      </c>
    </row>
    <row r="415" spans="1:12">
      <c r="A415" s="26" t="s">
        <v>53</v>
      </c>
      <c r="B415" s="26" t="s">
        <v>54</v>
      </c>
      <c r="C415" s="26" t="s">
        <v>107</v>
      </c>
      <c r="D415" s="26" t="s">
        <v>22</v>
      </c>
      <c r="E415" s="30"/>
      <c r="F415" s="30">
        <v>90002587</v>
      </c>
      <c r="G415" s="45" t="s">
        <v>228</v>
      </c>
      <c r="H415" s="34">
        <v>28011089</v>
      </c>
      <c r="I415" s="45" t="s">
        <v>459</v>
      </c>
      <c r="J415" s="34" t="s">
        <v>72</v>
      </c>
      <c r="K415" s="26" t="s">
        <v>59</v>
      </c>
      <c r="L415" s="26" t="s">
        <v>60</v>
      </c>
    </row>
    <row r="416" spans="1:12">
      <c r="A416" s="26" t="s">
        <v>53</v>
      </c>
      <c r="B416" s="26" t="s">
        <v>54</v>
      </c>
      <c r="C416" s="26" t="s">
        <v>107</v>
      </c>
      <c r="D416" s="26" t="s">
        <v>22</v>
      </c>
      <c r="E416" s="30"/>
      <c r="F416" s="30">
        <v>90002588</v>
      </c>
      <c r="G416" s="45" t="s">
        <v>67</v>
      </c>
      <c r="H416" s="34">
        <v>28011090</v>
      </c>
      <c r="I416" s="45" t="s">
        <v>460</v>
      </c>
      <c r="J416" s="34" t="s">
        <v>72</v>
      </c>
      <c r="K416" s="26" t="s">
        <v>59</v>
      </c>
      <c r="L416" s="26" t="s">
        <v>60</v>
      </c>
    </row>
    <row r="417" spans="1:12">
      <c r="A417" s="26" t="s">
        <v>53</v>
      </c>
      <c r="B417" s="26" t="s">
        <v>54</v>
      </c>
      <c r="C417" s="26" t="s">
        <v>107</v>
      </c>
      <c r="D417" s="26" t="s">
        <v>22</v>
      </c>
      <c r="E417" s="30"/>
      <c r="F417" s="30">
        <v>90002589</v>
      </c>
      <c r="G417" s="49" t="s">
        <v>293</v>
      </c>
      <c r="H417" s="34"/>
      <c r="I417" s="45"/>
      <c r="J417" s="34"/>
      <c r="K417" s="26"/>
      <c r="L417" s="26" t="s">
        <v>63</v>
      </c>
    </row>
    <row r="418" spans="1:12">
      <c r="A418" s="26" t="s">
        <v>53</v>
      </c>
      <c r="B418" s="26" t="s">
        <v>54</v>
      </c>
      <c r="C418" s="26" t="s">
        <v>107</v>
      </c>
      <c r="D418" s="26" t="s">
        <v>21</v>
      </c>
      <c r="E418" s="30"/>
      <c r="F418" s="30">
        <v>90002590</v>
      </c>
      <c r="G418" s="45" t="s">
        <v>70</v>
      </c>
      <c r="H418" s="34">
        <v>28011091</v>
      </c>
      <c r="I418" s="45" t="s">
        <v>462</v>
      </c>
      <c r="J418" s="34" t="s">
        <v>56</v>
      </c>
      <c r="K418" s="26" t="s">
        <v>59</v>
      </c>
      <c r="L418" s="26" t="s">
        <v>60</v>
      </c>
    </row>
    <row r="419" spans="1:12">
      <c r="A419" s="26" t="s">
        <v>53</v>
      </c>
      <c r="B419" s="26" t="s">
        <v>54</v>
      </c>
      <c r="C419" s="26" t="s">
        <v>107</v>
      </c>
      <c r="D419" s="26" t="s">
        <v>21</v>
      </c>
      <c r="E419" s="30"/>
      <c r="F419" s="30">
        <v>90002591</v>
      </c>
      <c r="G419" s="45" t="s">
        <v>73</v>
      </c>
      <c r="H419" s="34">
        <v>28011092</v>
      </c>
      <c r="I419" s="45" t="s">
        <v>463</v>
      </c>
      <c r="J419" s="34" t="s">
        <v>56</v>
      </c>
      <c r="K419" s="26" t="s">
        <v>59</v>
      </c>
      <c r="L419" s="26" t="s">
        <v>60</v>
      </c>
    </row>
    <row r="420" spans="1:12">
      <c r="A420" s="26" t="s">
        <v>53</v>
      </c>
      <c r="B420" s="26" t="s">
        <v>54</v>
      </c>
      <c r="C420" s="26" t="s">
        <v>107</v>
      </c>
      <c r="D420" s="26" t="s">
        <v>22</v>
      </c>
      <c r="E420" s="30"/>
      <c r="F420" s="30">
        <v>90002592</v>
      </c>
      <c r="G420" s="45" t="s">
        <v>84</v>
      </c>
      <c r="H420" s="34">
        <v>28011093</v>
      </c>
      <c r="I420" s="45" t="s">
        <v>464</v>
      </c>
      <c r="J420" s="34" t="s">
        <v>56</v>
      </c>
      <c r="K420" s="26" t="s">
        <v>59</v>
      </c>
      <c r="L420" s="26" t="s">
        <v>60</v>
      </c>
    </row>
    <row r="421" spans="1:12">
      <c r="A421" s="26" t="s">
        <v>53</v>
      </c>
      <c r="B421" s="26" t="s">
        <v>54</v>
      </c>
      <c r="C421" s="26" t="s">
        <v>107</v>
      </c>
      <c r="D421" s="26" t="s">
        <v>22</v>
      </c>
      <c r="E421" s="30"/>
      <c r="F421" s="30">
        <v>90002593</v>
      </c>
      <c r="G421" s="45" t="s">
        <v>239</v>
      </c>
      <c r="H421" s="34">
        <v>28011094</v>
      </c>
      <c r="I421" s="45" t="s">
        <v>465</v>
      </c>
      <c r="J421" s="34" t="s">
        <v>128</v>
      </c>
      <c r="K421" s="26" t="s">
        <v>59</v>
      </c>
      <c r="L421" s="26" t="s">
        <v>60</v>
      </c>
    </row>
    <row r="422" spans="1:12">
      <c r="A422" s="26" t="s">
        <v>53</v>
      </c>
      <c r="B422" s="26" t="s">
        <v>54</v>
      </c>
      <c r="C422" s="26" t="s">
        <v>107</v>
      </c>
      <c r="D422" s="26" t="s">
        <v>22</v>
      </c>
      <c r="E422" s="30"/>
      <c r="F422" s="30">
        <v>90002594</v>
      </c>
      <c r="G422" s="45" t="s">
        <v>92</v>
      </c>
      <c r="H422" s="34">
        <v>28011095</v>
      </c>
      <c r="I422" s="45" t="s">
        <v>466</v>
      </c>
      <c r="J422" s="34" t="s">
        <v>128</v>
      </c>
      <c r="K422" s="26" t="s">
        <v>59</v>
      </c>
      <c r="L422" s="26" t="s">
        <v>60</v>
      </c>
    </row>
    <row r="423" spans="1:12">
      <c r="A423" s="26" t="s">
        <v>53</v>
      </c>
      <c r="B423" s="26" t="s">
        <v>54</v>
      </c>
      <c r="C423" s="26" t="s">
        <v>107</v>
      </c>
      <c r="D423" s="26" t="s">
        <v>21</v>
      </c>
      <c r="E423" s="30"/>
      <c r="F423" s="30">
        <v>90002595</v>
      </c>
      <c r="G423" s="45" t="s">
        <v>100</v>
      </c>
      <c r="H423" s="34">
        <v>28011096</v>
      </c>
      <c r="I423" s="45" t="s">
        <v>467</v>
      </c>
      <c r="J423" s="34" t="s">
        <v>210</v>
      </c>
      <c r="K423" s="26" t="s">
        <v>59</v>
      </c>
      <c r="L423" s="26" t="s">
        <v>60</v>
      </c>
    </row>
    <row r="424" spans="1:12">
      <c r="A424" s="26" t="s">
        <v>53</v>
      </c>
      <c r="B424" s="26" t="s">
        <v>54</v>
      </c>
      <c r="C424" s="26" t="s">
        <v>107</v>
      </c>
      <c r="D424" s="26" t="s">
        <v>21</v>
      </c>
      <c r="E424" s="30"/>
      <c r="F424" s="30">
        <v>90002596</v>
      </c>
      <c r="G424" s="45" t="s">
        <v>103</v>
      </c>
      <c r="H424" s="34">
        <v>28011097</v>
      </c>
      <c r="I424" s="45" t="s">
        <v>468</v>
      </c>
      <c r="J424" s="34" t="s">
        <v>210</v>
      </c>
      <c r="K424" s="26" t="s">
        <v>59</v>
      </c>
      <c r="L424" s="26" t="s">
        <v>60</v>
      </c>
    </row>
    <row r="425" spans="1:12">
      <c r="A425" s="26" t="s">
        <v>53</v>
      </c>
      <c r="B425" s="26" t="s">
        <v>54</v>
      </c>
      <c r="C425" s="26" t="s">
        <v>107</v>
      </c>
      <c r="D425" s="26" t="s">
        <v>23</v>
      </c>
      <c r="E425" s="30"/>
      <c r="F425" s="30">
        <v>90002597</v>
      </c>
      <c r="G425" s="45" t="s">
        <v>111</v>
      </c>
      <c r="H425" s="34">
        <v>28011098</v>
      </c>
      <c r="I425" s="45" t="s">
        <v>469</v>
      </c>
      <c r="J425" s="34" t="s">
        <v>495</v>
      </c>
      <c r="K425" s="26" t="s">
        <v>59</v>
      </c>
      <c r="L425" s="26" t="s">
        <v>60</v>
      </c>
    </row>
    <row r="426" spans="1:12">
      <c r="A426" s="26" t="s">
        <v>53</v>
      </c>
      <c r="B426" s="26" t="s">
        <v>54</v>
      </c>
      <c r="C426" s="26" t="s">
        <v>107</v>
      </c>
      <c r="D426" s="26" t="s">
        <v>22</v>
      </c>
      <c r="E426" s="30"/>
      <c r="F426" s="30">
        <v>90002598</v>
      </c>
      <c r="G426" s="45" t="s">
        <v>317</v>
      </c>
      <c r="H426" s="34">
        <v>28011099</v>
      </c>
      <c r="I426" s="45" t="s">
        <v>470</v>
      </c>
      <c r="J426" s="34" t="s">
        <v>56</v>
      </c>
      <c r="K426" s="26" t="s">
        <v>59</v>
      </c>
      <c r="L426" s="26" t="s">
        <v>60</v>
      </c>
    </row>
    <row r="427" spans="1:12">
      <c r="A427" s="26" t="s">
        <v>53</v>
      </c>
      <c r="B427" s="26" t="s">
        <v>54</v>
      </c>
      <c r="C427" s="26" t="s">
        <v>107</v>
      </c>
      <c r="D427" s="26" t="s">
        <v>22</v>
      </c>
      <c r="E427" s="30"/>
      <c r="F427" s="30">
        <v>90002599</v>
      </c>
      <c r="G427" s="45" t="s">
        <v>239</v>
      </c>
      <c r="H427" s="34">
        <v>28011100</v>
      </c>
      <c r="I427" s="45" t="s">
        <v>471</v>
      </c>
      <c r="J427" s="34" t="s">
        <v>99</v>
      </c>
      <c r="K427" s="26" t="s">
        <v>59</v>
      </c>
      <c r="L427" s="26" t="s">
        <v>60</v>
      </c>
    </row>
    <row r="428" spans="1:12">
      <c r="A428" s="26" t="s">
        <v>53</v>
      </c>
      <c r="B428" s="26" t="s">
        <v>54</v>
      </c>
      <c r="C428" s="26" t="s">
        <v>107</v>
      </c>
      <c r="D428" s="26" t="s">
        <v>21</v>
      </c>
      <c r="E428" s="30"/>
      <c r="F428" s="30">
        <v>90002600</v>
      </c>
      <c r="G428" s="45" t="s">
        <v>239</v>
      </c>
      <c r="H428" s="34">
        <v>28011101</v>
      </c>
      <c r="I428" s="45" t="s">
        <v>472</v>
      </c>
      <c r="J428" s="34" t="s">
        <v>210</v>
      </c>
      <c r="K428" s="26" t="s">
        <v>59</v>
      </c>
      <c r="L428" s="26" t="s">
        <v>60</v>
      </c>
    </row>
    <row r="429" spans="1:12">
      <c r="A429" s="26" t="s">
        <v>53</v>
      </c>
      <c r="B429" s="26" t="s">
        <v>54</v>
      </c>
      <c r="C429" s="26" t="s">
        <v>107</v>
      </c>
      <c r="D429" s="26" t="s">
        <v>21</v>
      </c>
      <c r="E429" s="30"/>
      <c r="F429" s="30">
        <v>902601</v>
      </c>
      <c r="G429" s="45" t="s">
        <v>113</v>
      </c>
      <c r="H429" s="34"/>
      <c r="I429" s="45"/>
      <c r="J429" s="34"/>
      <c r="K429" s="26"/>
      <c r="L429" s="26" t="s">
        <v>63</v>
      </c>
    </row>
    <row r="430" spans="1:12">
      <c r="A430" s="26" t="s">
        <v>53</v>
      </c>
      <c r="B430" s="26" t="s">
        <v>54</v>
      </c>
      <c r="C430" s="26" t="s">
        <v>107</v>
      </c>
      <c r="D430" s="26" t="s">
        <v>22</v>
      </c>
      <c r="E430" s="30"/>
      <c r="F430" s="30">
        <v>902602</v>
      </c>
      <c r="G430" s="45" t="s">
        <v>116</v>
      </c>
      <c r="H430" s="34"/>
      <c r="I430" s="45"/>
      <c r="J430" s="34"/>
      <c r="K430" s="26"/>
      <c r="L430" s="26" t="s">
        <v>63</v>
      </c>
    </row>
    <row r="431" spans="1:12">
      <c r="A431" s="26" t="s">
        <v>53</v>
      </c>
      <c r="B431" s="26" t="s">
        <v>54</v>
      </c>
      <c r="C431" s="26" t="s">
        <v>107</v>
      </c>
      <c r="D431" s="26" t="s">
        <v>22</v>
      </c>
      <c r="E431" s="30"/>
      <c r="F431" s="30">
        <v>902603</v>
      </c>
      <c r="G431" s="45" t="s">
        <v>118</v>
      </c>
      <c r="H431" s="34"/>
      <c r="I431" s="45"/>
      <c r="J431" s="34"/>
      <c r="K431" s="26"/>
      <c r="L431" s="26" t="s">
        <v>63</v>
      </c>
    </row>
    <row r="432" spans="1:12">
      <c r="A432" s="26" t="s">
        <v>53</v>
      </c>
      <c r="B432" s="26" t="s">
        <v>54</v>
      </c>
      <c r="C432" s="26" t="s">
        <v>107</v>
      </c>
      <c r="D432" s="26" t="s">
        <v>22</v>
      </c>
      <c r="E432" s="30"/>
      <c r="F432" s="30">
        <v>902604</v>
      </c>
      <c r="G432" s="45" t="s">
        <v>120</v>
      </c>
      <c r="H432" s="34"/>
      <c r="I432" s="45"/>
      <c r="J432" s="34"/>
      <c r="K432" s="26"/>
      <c r="L432" s="26" t="s">
        <v>63</v>
      </c>
    </row>
    <row r="433" spans="1:12">
      <c r="A433" s="26" t="s">
        <v>53</v>
      </c>
      <c r="B433" s="26" t="s">
        <v>54</v>
      </c>
      <c r="C433" s="26" t="s">
        <v>107</v>
      </c>
      <c r="D433" s="26" t="s">
        <v>24</v>
      </c>
      <c r="E433" s="30"/>
      <c r="F433" s="30">
        <v>902605</v>
      </c>
      <c r="G433" s="45" t="s">
        <v>126</v>
      </c>
      <c r="H433" s="34"/>
      <c r="I433" s="45"/>
      <c r="J433" s="34"/>
      <c r="K433" s="26"/>
      <c r="L433" s="26" t="s">
        <v>63</v>
      </c>
    </row>
    <row r="434" spans="1:12">
      <c r="A434" s="26" t="s">
        <v>53</v>
      </c>
      <c r="B434" s="26" t="s">
        <v>54</v>
      </c>
      <c r="C434" s="26" t="s">
        <v>107</v>
      </c>
      <c r="D434" s="26" t="s">
        <v>22</v>
      </c>
      <c r="E434" s="30"/>
      <c r="F434" s="30">
        <v>902606</v>
      </c>
      <c r="G434" s="45" t="s">
        <v>129</v>
      </c>
      <c r="H434" s="34"/>
      <c r="I434" s="45"/>
      <c r="J434" s="34"/>
      <c r="K434" s="26"/>
      <c r="L434" s="26" t="s">
        <v>63</v>
      </c>
    </row>
    <row r="435" spans="1:12">
      <c r="A435" s="26" t="s">
        <v>53</v>
      </c>
      <c r="B435" s="26" t="s">
        <v>54</v>
      </c>
      <c r="C435" s="26" t="s">
        <v>107</v>
      </c>
      <c r="D435" s="26" t="s">
        <v>24</v>
      </c>
      <c r="E435" s="30"/>
      <c r="F435" s="30">
        <v>902607</v>
      </c>
      <c r="G435" s="45" t="s">
        <v>131</v>
      </c>
      <c r="H435" s="34"/>
      <c r="I435" s="45"/>
      <c r="J435" s="34"/>
      <c r="K435" s="26"/>
      <c r="L435" s="26" t="s">
        <v>63</v>
      </c>
    </row>
    <row r="436" spans="1:12">
      <c r="A436" s="26" t="s">
        <v>53</v>
      </c>
      <c r="B436" s="26" t="s">
        <v>54</v>
      </c>
      <c r="C436" s="26" t="s">
        <v>107</v>
      </c>
      <c r="D436" s="26" t="s">
        <v>22</v>
      </c>
      <c r="E436" s="30"/>
      <c r="F436" s="30">
        <v>902608</v>
      </c>
      <c r="G436" s="45" t="s">
        <v>133</v>
      </c>
      <c r="H436" s="34"/>
      <c r="I436" s="45"/>
      <c r="J436" s="34"/>
      <c r="K436" s="26"/>
      <c r="L436" s="26" t="s">
        <v>63</v>
      </c>
    </row>
    <row r="437" spans="1:12">
      <c r="A437" s="26" t="s">
        <v>53</v>
      </c>
      <c r="B437" s="26" t="s">
        <v>54</v>
      </c>
      <c r="C437" s="26" t="s">
        <v>107</v>
      </c>
      <c r="D437" s="26" t="s">
        <v>22</v>
      </c>
      <c r="E437" s="30"/>
      <c r="F437" s="30">
        <v>902609</v>
      </c>
      <c r="G437" s="45" t="s">
        <v>135</v>
      </c>
      <c r="H437" s="34"/>
      <c r="I437" s="45"/>
      <c r="J437" s="34"/>
      <c r="K437" s="26"/>
      <c r="L437" s="26" t="s">
        <v>63</v>
      </c>
    </row>
    <row r="438" spans="1:12">
      <c r="A438" s="26" t="s">
        <v>53</v>
      </c>
      <c r="B438" s="26" t="s">
        <v>54</v>
      </c>
      <c r="C438" s="26" t="s">
        <v>107</v>
      </c>
      <c r="D438" s="26" t="s">
        <v>24</v>
      </c>
      <c r="E438" s="30"/>
      <c r="F438" s="30">
        <v>902610</v>
      </c>
      <c r="G438" s="45" t="s">
        <v>137</v>
      </c>
      <c r="H438" s="34"/>
      <c r="I438" s="45"/>
      <c r="J438" s="34"/>
      <c r="K438" s="26"/>
      <c r="L438" s="26" t="s">
        <v>63</v>
      </c>
    </row>
    <row r="439" spans="1:12">
      <c r="A439" s="26" t="s">
        <v>53</v>
      </c>
      <c r="B439" s="26" t="s">
        <v>54</v>
      </c>
      <c r="C439" s="26" t="s">
        <v>107</v>
      </c>
      <c r="D439" s="26" t="s">
        <v>21</v>
      </c>
      <c r="E439" s="30"/>
      <c r="F439" s="30">
        <v>902611</v>
      </c>
      <c r="G439" s="49" t="s">
        <v>144</v>
      </c>
      <c r="H439" s="34"/>
      <c r="I439" s="45"/>
      <c r="J439" s="34"/>
      <c r="K439" s="26"/>
      <c r="L439" s="26" t="s">
        <v>63</v>
      </c>
    </row>
    <row r="440" spans="1:12">
      <c r="A440" s="26" t="s">
        <v>53</v>
      </c>
      <c r="B440" s="26" t="s">
        <v>54</v>
      </c>
      <c r="C440" s="26" t="s">
        <v>107</v>
      </c>
      <c r="D440" s="26" t="s">
        <v>24</v>
      </c>
      <c r="E440" s="30"/>
      <c r="F440" s="30">
        <v>90002612</v>
      </c>
      <c r="G440" s="45" t="s">
        <v>139</v>
      </c>
      <c r="H440" s="34">
        <v>28011102</v>
      </c>
      <c r="I440" s="45" t="s">
        <v>474</v>
      </c>
      <c r="J440" s="34" t="s">
        <v>66</v>
      </c>
      <c r="K440" s="26" t="s">
        <v>59</v>
      </c>
      <c r="L440" s="26" t="s">
        <v>60</v>
      </c>
    </row>
    <row r="441" spans="1:12">
      <c r="A441" s="26" t="s">
        <v>223</v>
      </c>
      <c r="B441" s="26" t="s">
        <v>54</v>
      </c>
      <c r="C441" s="26" t="s">
        <v>107</v>
      </c>
      <c r="D441" s="26" t="s">
        <v>24</v>
      </c>
      <c r="E441" s="30"/>
      <c r="F441" s="30">
        <v>902613</v>
      </c>
      <c r="G441" s="45" t="s">
        <v>141</v>
      </c>
      <c r="H441" s="34"/>
      <c r="I441" s="45"/>
      <c r="J441" s="34"/>
      <c r="K441" s="26"/>
      <c r="L441" s="26" t="s">
        <v>63</v>
      </c>
    </row>
    <row r="442" spans="1:12">
      <c r="A442" s="26" t="s">
        <v>223</v>
      </c>
      <c r="B442" s="26" t="s">
        <v>54</v>
      </c>
      <c r="C442" s="26" t="s">
        <v>107</v>
      </c>
      <c r="D442" s="26" t="s">
        <v>21</v>
      </c>
      <c r="E442" s="30"/>
      <c r="F442" s="30">
        <v>902614</v>
      </c>
      <c r="G442" s="45" t="s">
        <v>142</v>
      </c>
      <c r="H442" s="34"/>
      <c r="I442" s="45"/>
      <c r="J442" s="34"/>
      <c r="K442" s="26"/>
      <c r="L442" s="26" t="s">
        <v>63</v>
      </c>
    </row>
    <row r="443" spans="1:12">
      <c r="A443" s="26" t="s">
        <v>223</v>
      </c>
      <c r="B443" s="26" t="s">
        <v>54</v>
      </c>
      <c r="C443" s="26" t="s">
        <v>107</v>
      </c>
      <c r="D443" s="26" t="s">
        <v>21</v>
      </c>
      <c r="E443" s="30"/>
      <c r="F443" s="30">
        <v>902615</v>
      </c>
      <c r="G443" s="45" t="s">
        <v>142</v>
      </c>
      <c r="H443" s="34"/>
      <c r="I443" s="45"/>
      <c r="J443" s="34"/>
      <c r="K443" s="26"/>
      <c r="L443" s="26" t="s">
        <v>63</v>
      </c>
    </row>
    <row r="444" spans="1:12">
      <c r="A444" s="26" t="s">
        <v>223</v>
      </c>
      <c r="B444" s="26" t="s">
        <v>54</v>
      </c>
      <c r="C444" s="26" t="s">
        <v>107</v>
      </c>
      <c r="D444" s="26" t="s">
        <v>21</v>
      </c>
      <c r="E444" s="30"/>
      <c r="F444" s="30">
        <v>902616</v>
      </c>
      <c r="G444" s="45" t="s">
        <v>142</v>
      </c>
      <c r="H444" s="34"/>
      <c r="I444" s="45"/>
      <c r="J444" s="34"/>
      <c r="K444" s="26"/>
      <c r="L444" s="26" t="s">
        <v>63</v>
      </c>
    </row>
    <row r="445" spans="1:12">
      <c r="A445" s="26" t="s">
        <v>223</v>
      </c>
      <c r="B445" s="26" t="s">
        <v>54</v>
      </c>
      <c r="C445" s="26" t="s">
        <v>107</v>
      </c>
      <c r="D445" s="26" t="s">
        <v>21</v>
      </c>
      <c r="E445" s="30"/>
      <c r="F445" s="30">
        <v>902617</v>
      </c>
      <c r="G445" s="45" t="s">
        <v>142</v>
      </c>
      <c r="H445" s="34"/>
      <c r="I445" s="45"/>
      <c r="J445" s="34"/>
      <c r="K445" s="26"/>
      <c r="L445" s="26" t="s">
        <v>63</v>
      </c>
    </row>
    <row r="446" spans="1:12">
      <c r="A446" s="26" t="s">
        <v>223</v>
      </c>
      <c r="B446" s="26" t="s">
        <v>54</v>
      </c>
      <c r="C446" s="26" t="s">
        <v>107</v>
      </c>
      <c r="D446" s="26" t="s">
        <v>9</v>
      </c>
      <c r="E446" s="30"/>
      <c r="F446" s="30" t="s">
        <v>26</v>
      </c>
      <c r="G446" s="52" t="s">
        <v>144</v>
      </c>
      <c r="H446" s="34"/>
      <c r="I446" s="45"/>
      <c r="J446" s="34"/>
      <c r="K446" s="26"/>
      <c r="L446" s="26" t="s">
        <v>63</v>
      </c>
    </row>
    <row r="447" spans="1:12">
      <c r="A447" s="26" t="s">
        <v>223</v>
      </c>
      <c r="B447" s="26" t="s">
        <v>54</v>
      </c>
      <c r="C447" s="26" t="s">
        <v>107</v>
      </c>
      <c r="D447" s="26" t="s">
        <v>24</v>
      </c>
      <c r="E447" s="30"/>
      <c r="F447" s="30" t="s">
        <v>27</v>
      </c>
      <c r="G447" s="52" t="s">
        <v>146</v>
      </c>
      <c r="H447" s="34"/>
      <c r="I447" s="45"/>
      <c r="J447" s="34"/>
      <c r="K447" s="26"/>
      <c r="L447" s="26" t="s">
        <v>63</v>
      </c>
    </row>
    <row r="448" spans="1:12">
      <c r="A448" s="26" t="s">
        <v>223</v>
      </c>
      <c r="B448" s="26" t="s">
        <v>54</v>
      </c>
      <c r="C448" s="26" t="s">
        <v>107</v>
      </c>
      <c r="D448" s="26" t="s">
        <v>24</v>
      </c>
      <c r="E448" s="30"/>
      <c r="F448" s="30" t="s">
        <v>28</v>
      </c>
      <c r="G448" s="52" t="s">
        <v>148</v>
      </c>
      <c r="H448" s="34"/>
      <c r="I448" s="45"/>
      <c r="J448" s="34"/>
      <c r="K448" s="26"/>
      <c r="L448" s="26" t="s">
        <v>63</v>
      </c>
    </row>
    <row r="449" spans="1:12">
      <c r="A449" s="26" t="s">
        <v>223</v>
      </c>
      <c r="B449" s="26" t="s">
        <v>54</v>
      </c>
      <c r="C449" s="26" t="s">
        <v>107</v>
      </c>
      <c r="D449" s="26" t="s">
        <v>21</v>
      </c>
      <c r="E449" s="30"/>
      <c r="F449" s="30" t="s">
        <v>9</v>
      </c>
      <c r="G449" s="52" t="s">
        <v>151</v>
      </c>
      <c r="H449" s="34"/>
      <c r="I449" s="45"/>
      <c r="J449" s="34"/>
      <c r="K449" s="26"/>
      <c r="L449" s="26" t="s">
        <v>63</v>
      </c>
    </row>
    <row r="450" spans="1:12">
      <c r="A450" s="26" t="s">
        <v>223</v>
      </c>
      <c r="B450" s="26" t="s">
        <v>54</v>
      </c>
      <c r="C450" s="26" t="s">
        <v>107</v>
      </c>
      <c r="D450" s="26" t="s">
        <v>21</v>
      </c>
      <c r="E450" s="30"/>
      <c r="F450" s="30" t="s">
        <v>10</v>
      </c>
      <c r="G450" s="52" t="s">
        <v>153</v>
      </c>
      <c r="H450" s="34"/>
      <c r="I450" s="45"/>
      <c r="J450" s="34"/>
      <c r="K450" s="26"/>
      <c r="L450" s="26" t="s">
        <v>63</v>
      </c>
    </row>
    <row r="451" spans="1:12">
      <c r="A451" s="26" t="s">
        <v>223</v>
      </c>
      <c r="B451" s="26" t="s">
        <v>54</v>
      </c>
      <c r="C451" s="26" t="s">
        <v>107</v>
      </c>
      <c r="D451" s="26" t="s">
        <v>21</v>
      </c>
      <c r="E451" s="30"/>
      <c r="F451" s="30" t="s">
        <v>11</v>
      </c>
      <c r="G451" s="52" t="s">
        <v>157</v>
      </c>
      <c r="H451" s="34"/>
      <c r="I451" s="45"/>
      <c r="J451" s="34"/>
      <c r="K451" s="26"/>
      <c r="L451" s="26" t="s">
        <v>63</v>
      </c>
    </row>
    <row r="452" spans="1:12">
      <c r="A452" s="26" t="s">
        <v>223</v>
      </c>
      <c r="B452" s="26" t="s">
        <v>54</v>
      </c>
      <c r="C452" s="26" t="s">
        <v>107</v>
      </c>
      <c r="D452" s="26" t="s">
        <v>22</v>
      </c>
      <c r="E452" s="30"/>
      <c r="F452" s="30" t="s">
        <v>12</v>
      </c>
      <c r="G452" s="52" t="s">
        <v>160</v>
      </c>
      <c r="H452" s="34"/>
      <c r="I452" s="45"/>
      <c r="J452" s="34"/>
      <c r="K452" s="26"/>
      <c r="L452" s="26" t="s">
        <v>63</v>
      </c>
    </row>
    <row r="453" spans="1:12">
      <c r="A453" s="26" t="s">
        <v>223</v>
      </c>
      <c r="B453" s="26" t="s">
        <v>54</v>
      </c>
      <c r="C453" s="26" t="s">
        <v>107</v>
      </c>
      <c r="D453" s="26" t="s">
        <v>22</v>
      </c>
      <c r="E453" s="30"/>
      <c r="F453" s="30" t="s">
        <v>13</v>
      </c>
      <c r="G453" s="52" t="s">
        <v>162</v>
      </c>
      <c r="H453" s="34"/>
      <c r="I453" s="45"/>
      <c r="J453" s="34"/>
      <c r="K453" s="26"/>
      <c r="L453" s="26" t="s">
        <v>63</v>
      </c>
    </row>
    <row r="454" spans="1:12">
      <c r="A454" s="26" t="s">
        <v>549</v>
      </c>
      <c r="B454" s="26" t="s">
        <v>31</v>
      </c>
      <c r="C454" s="26" t="s">
        <v>55</v>
      </c>
      <c r="D454" s="26" t="s">
        <v>552</v>
      </c>
      <c r="E454" s="30"/>
      <c r="F454" s="30">
        <v>902618</v>
      </c>
      <c r="G454" s="45" t="s">
        <v>550</v>
      </c>
      <c r="H454" s="34">
        <v>28011103</v>
      </c>
      <c r="I454" s="45" t="s">
        <v>475</v>
      </c>
      <c r="J454" s="34" t="s">
        <v>550</v>
      </c>
      <c r="K454" s="26" t="s">
        <v>552</v>
      </c>
      <c r="L454" s="26" t="s">
        <v>60</v>
      </c>
    </row>
    <row r="455" spans="1:12">
      <c r="A455" s="26" t="s">
        <v>549</v>
      </c>
      <c r="B455" s="26" t="s">
        <v>31</v>
      </c>
      <c r="C455" s="26" t="s">
        <v>55</v>
      </c>
      <c r="D455" s="26" t="s">
        <v>552</v>
      </c>
      <c r="E455" s="30"/>
      <c r="F455" s="30">
        <v>902619</v>
      </c>
      <c r="G455" s="45" t="s">
        <v>550</v>
      </c>
      <c r="H455" s="34">
        <v>28011104</v>
      </c>
      <c r="I455" s="45" t="s">
        <v>476</v>
      </c>
      <c r="J455" s="34" t="s">
        <v>550</v>
      </c>
      <c r="K455" s="26" t="s">
        <v>552</v>
      </c>
      <c r="L455" s="26" t="s">
        <v>60</v>
      </c>
    </row>
    <row r="456" spans="1:12">
      <c r="A456" s="26" t="s">
        <v>14</v>
      </c>
      <c r="B456" s="26" t="s">
        <v>31</v>
      </c>
      <c r="C456" s="26" t="s">
        <v>55</v>
      </c>
      <c r="D456" s="26" t="s">
        <v>552</v>
      </c>
      <c r="E456" s="30"/>
      <c r="F456" s="30">
        <v>902620</v>
      </c>
      <c r="G456" s="45" t="s">
        <v>165</v>
      </c>
      <c r="H456" s="34">
        <v>28011105</v>
      </c>
      <c r="I456" s="45" t="s">
        <v>477</v>
      </c>
      <c r="J456" s="34" t="s">
        <v>15</v>
      </c>
      <c r="K456" s="26" t="s">
        <v>552</v>
      </c>
      <c r="L456" s="26" t="s">
        <v>60</v>
      </c>
    </row>
    <row r="457" spans="1:12">
      <c r="A457" s="26" t="s">
        <v>14</v>
      </c>
      <c r="B457" s="26" t="s">
        <v>31</v>
      </c>
      <c r="C457" s="26" t="s">
        <v>55</v>
      </c>
      <c r="D457" s="26" t="s">
        <v>552</v>
      </c>
      <c r="E457" s="30"/>
      <c r="F457" s="30">
        <v>902621</v>
      </c>
      <c r="G457" s="45" t="s">
        <v>165</v>
      </c>
      <c r="H457" s="34">
        <v>28011106</v>
      </c>
      <c r="I457" s="45" t="s">
        <v>478</v>
      </c>
      <c r="J457" s="34" t="s">
        <v>15</v>
      </c>
      <c r="K457" s="26" t="s">
        <v>552</v>
      </c>
      <c r="L457" s="26" t="s">
        <v>60</v>
      </c>
    </row>
    <row r="458" spans="1:12">
      <c r="A458" s="26" t="s">
        <v>14</v>
      </c>
      <c r="B458" s="26" t="s">
        <v>31</v>
      </c>
      <c r="C458" s="26" t="s">
        <v>55</v>
      </c>
      <c r="D458" s="26" t="s">
        <v>552</v>
      </c>
      <c r="E458" s="30"/>
      <c r="F458" s="30">
        <v>902622</v>
      </c>
      <c r="G458" s="45" t="s">
        <v>165</v>
      </c>
      <c r="H458" s="34">
        <v>28011107</v>
      </c>
      <c r="I458" s="45" t="s">
        <v>479</v>
      </c>
      <c r="J458" s="34" t="s">
        <v>15</v>
      </c>
      <c r="K458" s="26" t="s">
        <v>552</v>
      </c>
      <c r="L458" s="26" t="s">
        <v>60</v>
      </c>
    </row>
    <row r="459" spans="1:12">
      <c r="A459" s="26" t="s">
        <v>1019</v>
      </c>
      <c r="B459" s="26" t="s">
        <v>54</v>
      </c>
      <c r="C459" s="26" t="s">
        <v>107</v>
      </c>
      <c r="D459" s="26" t="s">
        <v>552</v>
      </c>
      <c r="E459" s="30"/>
      <c r="F459" s="30">
        <v>902623</v>
      </c>
      <c r="G459" s="45" t="s">
        <v>611</v>
      </c>
      <c r="H459" s="34">
        <v>28011108</v>
      </c>
      <c r="I459" s="45" t="s">
        <v>480</v>
      </c>
      <c r="J459" s="34" t="s">
        <v>611</v>
      </c>
      <c r="K459" s="26" t="s">
        <v>552</v>
      </c>
      <c r="L459" s="26" t="s">
        <v>60</v>
      </c>
    </row>
    <row r="460" spans="1:12">
      <c r="A460" s="26" t="s">
        <v>1019</v>
      </c>
      <c r="B460" s="26" t="s">
        <v>54</v>
      </c>
      <c r="C460" s="26" t="s">
        <v>107</v>
      </c>
      <c r="D460" s="26" t="s">
        <v>552</v>
      </c>
      <c r="E460" s="30"/>
      <c r="F460" s="30">
        <v>902624</v>
      </c>
      <c r="G460" s="45" t="s">
        <v>611</v>
      </c>
      <c r="H460" s="34">
        <v>28011109</v>
      </c>
      <c r="I460" s="45" t="s">
        <v>481</v>
      </c>
      <c r="J460" s="34" t="s">
        <v>611</v>
      </c>
      <c r="K460" s="26" t="s">
        <v>552</v>
      </c>
      <c r="L460" s="26" t="s">
        <v>60</v>
      </c>
    </row>
    <row r="461" spans="1:12">
      <c r="A461" s="26" t="s">
        <v>1019</v>
      </c>
      <c r="B461" s="26" t="s">
        <v>54</v>
      </c>
      <c r="C461" s="26" t="s">
        <v>107</v>
      </c>
      <c r="D461" s="26" t="s">
        <v>552</v>
      </c>
      <c r="E461" s="30"/>
      <c r="F461" s="30">
        <v>902625</v>
      </c>
      <c r="G461" s="45" t="s">
        <v>611</v>
      </c>
      <c r="H461" s="34">
        <v>28011110</v>
      </c>
      <c r="I461" s="45" t="s">
        <v>482</v>
      </c>
      <c r="J461" s="34" t="s">
        <v>611</v>
      </c>
      <c r="K461" s="26" t="s">
        <v>552</v>
      </c>
      <c r="L461" s="26" t="s">
        <v>60</v>
      </c>
    </row>
    <row r="462" spans="1:12">
      <c r="A462" s="26" t="s">
        <v>1019</v>
      </c>
      <c r="B462" s="26" t="s">
        <v>54</v>
      </c>
      <c r="C462" s="26" t="s">
        <v>107</v>
      </c>
      <c r="D462" s="26" t="s">
        <v>552</v>
      </c>
      <c r="E462" s="30"/>
      <c r="F462" s="30">
        <v>902626</v>
      </c>
      <c r="G462" s="45" t="s">
        <v>611</v>
      </c>
      <c r="H462" s="34">
        <v>28011111</v>
      </c>
      <c r="I462" s="45" t="s">
        <v>483</v>
      </c>
      <c r="J462" s="34" t="s">
        <v>611</v>
      </c>
      <c r="K462" s="26" t="s">
        <v>552</v>
      </c>
      <c r="L462" s="26" t="s">
        <v>60</v>
      </c>
    </row>
  </sheetData>
  <conditionalFormatting sqref="F2:F178">
    <cfRule type="duplicateValues" dxfId="46" priority="22"/>
  </conditionalFormatting>
  <conditionalFormatting sqref="F179">
    <cfRule type="duplicateValues" dxfId="45" priority="20"/>
    <cfRule type="duplicateValues" dxfId="44" priority="21"/>
  </conditionalFormatting>
  <conditionalFormatting sqref="F181">
    <cfRule type="duplicateValues" dxfId="43" priority="19" stopIfTrue="1"/>
  </conditionalFormatting>
  <conditionalFormatting sqref="F240:F445">
    <cfRule type="duplicateValues" dxfId="42" priority="6"/>
  </conditionalFormatting>
  <conditionalFormatting sqref="F240:F453">
    <cfRule type="duplicateValues" dxfId="41" priority="23"/>
    <cfRule type="duplicateValues" dxfId="40" priority="45"/>
    <cfRule type="duplicateValues" dxfId="39" priority="46"/>
  </conditionalFormatting>
  <conditionalFormatting sqref="F449:F453">
    <cfRule type="duplicateValues" dxfId="38" priority="30"/>
    <cfRule type="duplicateValues" dxfId="37" priority="31"/>
    <cfRule type="duplicateValues" dxfId="36" priority="32"/>
    <cfRule type="duplicateValues" dxfId="35" priority="33"/>
    <cfRule type="duplicateValues" dxfId="34" priority="24"/>
    <cfRule type="duplicateValues" dxfId="33" priority="34"/>
    <cfRule type="duplicateValues" dxfId="32" priority="35"/>
    <cfRule type="duplicateValues" dxfId="31" priority="37"/>
    <cfRule type="duplicateValues" dxfId="30" priority="38"/>
    <cfRule type="duplicateValues" dxfId="29" priority="39"/>
    <cfRule type="duplicateValues" dxfId="28" priority="40"/>
    <cfRule type="duplicateValues" dxfId="27" priority="42"/>
    <cfRule type="duplicateValues" dxfId="26" priority="43"/>
    <cfRule type="duplicateValues" dxfId="25" priority="44"/>
    <cfRule type="duplicateValues" dxfId="24" priority="41"/>
    <cfRule type="duplicateValues" dxfId="23" priority="36"/>
    <cfRule type="duplicateValues" dxfId="22" priority="25"/>
    <cfRule type="duplicateValues" dxfId="21" priority="26"/>
    <cfRule type="duplicateValues" dxfId="20" priority="27"/>
    <cfRule type="duplicateValues" dxfId="19" priority="28"/>
    <cfRule type="duplicateValues" dxfId="18" priority="29"/>
  </conditionalFormatting>
  <conditionalFormatting sqref="F2:F459 F461:F462">
    <cfRule type="duplicateValues" dxfId="17" priority="5"/>
  </conditionalFormatting>
  <conditionalFormatting sqref="H24">
    <cfRule type="duplicateValues" dxfId="16" priority="18" stopIfTrue="1"/>
  </conditionalFormatting>
  <conditionalFormatting sqref="H72">
    <cfRule type="duplicateValues" dxfId="15" priority="17" stopIfTrue="1"/>
  </conditionalFormatting>
  <conditionalFormatting sqref="H74">
    <cfRule type="duplicateValues" dxfId="14" priority="16" stopIfTrue="1"/>
  </conditionalFormatting>
  <conditionalFormatting sqref="H125">
    <cfRule type="duplicateValues" dxfId="13" priority="15" stopIfTrue="1"/>
  </conditionalFormatting>
  <conditionalFormatting sqref="H156">
    <cfRule type="duplicateValues" dxfId="12" priority="14" stopIfTrue="1"/>
  </conditionalFormatting>
  <conditionalFormatting sqref="H174">
    <cfRule type="duplicateValues" dxfId="11" priority="13" stopIfTrue="1"/>
  </conditionalFormatting>
  <conditionalFormatting sqref="H178">
    <cfRule type="duplicateValues" dxfId="10" priority="3" stopIfTrue="1"/>
    <cfRule type="duplicateValues" dxfId="9" priority="4" stopIfTrue="1"/>
  </conditionalFormatting>
  <conditionalFormatting sqref="H179">
    <cfRule type="duplicateValues" dxfId="8" priority="12"/>
    <cfRule type="duplicateValues" dxfId="7" priority="11"/>
  </conditionalFormatting>
  <conditionalFormatting sqref="H180">
    <cfRule type="duplicateValues" dxfId="6" priority="9"/>
    <cfRule type="duplicateValues" dxfId="5" priority="10"/>
  </conditionalFormatting>
  <conditionalFormatting sqref="H181">
    <cfRule type="duplicateValues" dxfId="4" priority="7"/>
    <cfRule type="duplicateValues" dxfId="3" priority="8"/>
  </conditionalFormatting>
  <conditionalFormatting sqref="H454:H462">
    <cfRule type="duplicateValues" dxfId="2" priority="2" stopIfTrue="1"/>
    <cfRule type="duplicateValues" dxfId="1" priority="1" stopIfTrue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>
      <selection sqref="A1:A3"/>
    </sheetView>
  </sheetViews>
  <sheetFormatPr defaultRowHeight="14.45"/>
  <cols>
    <col min="1" max="1" width="31.140625" customWidth="1"/>
    <col min="2" max="6" width="17.42578125" customWidth="1"/>
    <col min="7" max="7" width="19.42578125" bestFit="1" customWidth="1"/>
  </cols>
  <sheetData>
    <row r="1" spans="1:7">
      <c r="A1" s="117" t="s">
        <v>1020</v>
      </c>
      <c r="B1" s="119" t="s">
        <v>1</v>
      </c>
      <c r="C1" s="122"/>
      <c r="D1" s="121" t="s">
        <v>2</v>
      </c>
      <c r="E1" s="126"/>
      <c r="F1" s="126"/>
      <c r="G1" s="126"/>
    </row>
    <row r="2" spans="1:7" ht="24.95" customHeight="1">
      <c r="A2" s="124"/>
      <c r="B2" s="120" t="s">
        <v>3</v>
      </c>
      <c r="C2" s="38" t="s">
        <v>4</v>
      </c>
      <c r="D2" s="17" t="s">
        <v>5</v>
      </c>
      <c r="E2" s="18" t="s">
        <v>6</v>
      </c>
      <c r="F2" s="18" t="s">
        <v>7</v>
      </c>
      <c r="G2" s="18" t="s">
        <v>8</v>
      </c>
    </row>
    <row r="3" spans="1:7">
      <c r="A3" s="125"/>
      <c r="B3" s="125"/>
      <c r="C3" s="39" t="s">
        <v>9</v>
      </c>
      <c r="D3" s="18" t="s">
        <v>10</v>
      </c>
      <c r="E3" s="18" t="s">
        <v>11</v>
      </c>
      <c r="F3" s="18" t="s">
        <v>12</v>
      </c>
      <c r="G3" s="18" t="s">
        <v>13</v>
      </c>
    </row>
    <row r="4" spans="1:7">
      <c r="A4" s="45" t="s">
        <v>16</v>
      </c>
      <c r="B4" s="40">
        <f>COUNTIFS('Chanchal '!C:C,'Chanchal Summary'!A4)</f>
        <v>0</v>
      </c>
      <c r="C4" s="40">
        <f>B4-G4</f>
        <v>0</v>
      </c>
      <c r="D4" s="22">
        <f>COUNTIFS('Chanchal '!C:C,'Chanchal Summary'!A4,'Chanchal '!K:K,"Regular")</f>
        <v>0</v>
      </c>
      <c r="E4" s="22">
        <f>COUNTIFS('Chanchal '!C:C,'Chanchal Summary'!A4,'Chanchal '!J:J,"MT")</f>
        <v>0</v>
      </c>
      <c r="F4" s="22">
        <f>COUNTIFS('Chanchal '!C:C,'Chanchal Summary'!A4,'Chanchal '!J:J,"ET")</f>
        <v>0</v>
      </c>
      <c r="G4" s="22">
        <f>D4+E4+F4</f>
        <v>0</v>
      </c>
    </row>
    <row r="5" spans="1:7">
      <c r="A5" s="45" t="s">
        <v>17</v>
      </c>
      <c r="B5" s="40">
        <f>COUNTIFS('Chanchal '!C:C,'Chanchal Summary'!A5)</f>
        <v>0</v>
      </c>
      <c r="C5" s="40">
        <f>B5-G5</f>
        <v>0</v>
      </c>
      <c r="D5" s="22">
        <f>COUNTIFS('Chanchal '!C:C,'Chanchal Summary'!A5,'Chanchal '!K:K,"Regular")</f>
        <v>0</v>
      </c>
      <c r="E5" s="22">
        <f>COUNTIFS('Chanchal '!C:C,'Chanchal Summary'!A5,'Chanchal '!J:J,"MT")</f>
        <v>0</v>
      </c>
      <c r="F5" s="22">
        <f>COUNTIFS('Chanchal '!C:C,'Chanchal Summary'!A5,'Chanchal '!J:J,"ET")</f>
        <v>0</v>
      </c>
      <c r="G5" s="22">
        <f>D5+E5+F5</f>
        <v>0</v>
      </c>
    </row>
    <row r="6" spans="1:7">
      <c r="A6" s="45" t="s">
        <v>18</v>
      </c>
      <c r="B6" s="40">
        <f>COUNTIFS('Chanchal '!C:C,'Chanchal Summary'!A6)</f>
        <v>0</v>
      </c>
      <c r="C6" s="40">
        <f>B6-G6</f>
        <v>0</v>
      </c>
      <c r="D6" s="22">
        <f>COUNTIFS('Chanchal '!C:C,'Chanchal Summary'!A6,'Chanchal '!K:K,"Regular")</f>
        <v>0</v>
      </c>
      <c r="E6" s="22">
        <f>COUNTIFS('Chanchal '!C:C,'Chanchal Summary'!A6,'Chanchal '!J:J,"MT")</f>
        <v>0</v>
      </c>
      <c r="F6" s="22">
        <f>COUNTIFS('Chanchal '!C:C,'Chanchal Summary'!A6,'Chanchal '!J:J,"ET")</f>
        <v>0</v>
      </c>
      <c r="G6" s="22">
        <f>D6+E6+F6</f>
        <v>0</v>
      </c>
    </row>
    <row r="7" spans="1:7">
      <c r="A7" s="45" t="s">
        <v>19</v>
      </c>
      <c r="B7" s="40">
        <f>COUNTIFS('Chanchal '!C:C,'Chanchal Summary'!A7)</f>
        <v>0</v>
      </c>
      <c r="C7" s="40">
        <f>B7-G7</f>
        <v>0</v>
      </c>
      <c r="D7" s="22">
        <f>COUNTIFS('Chanchal '!C:C,'Chanchal Summary'!A7,'Chanchal '!K:K,"Regular")</f>
        <v>0</v>
      </c>
      <c r="E7" s="22">
        <f>COUNTIFS('Chanchal '!C:C,'Chanchal Summary'!A7,'Chanchal '!J:J,"MT")</f>
        <v>0</v>
      </c>
      <c r="F7" s="22">
        <f>COUNTIFS('Chanchal '!C:C,'Chanchal Summary'!A7,'Chanchal '!J:J,"ET")</f>
        <v>0</v>
      </c>
      <c r="G7" s="22">
        <f>D7+E7+F7</f>
        <v>0</v>
      </c>
    </row>
    <row r="8" spans="1:7">
      <c r="A8" s="45" t="s">
        <v>20</v>
      </c>
      <c r="B8" s="40">
        <f>COUNTIFS('Chanchal '!C:C,'Chanchal Summary'!A8)</f>
        <v>0</v>
      </c>
      <c r="C8" s="40">
        <f>B8-G8</f>
        <v>0</v>
      </c>
      <c r="D8" s="22">
        <f>COUNTIFS('Chanchal '!C:C,'Chanchal Summary'!A8,'Chanchal '!K:K,"Regular")</f>
        <v>0</v>
      </c>
      <c r="E8" s="22">
        <f>COUNTIFS('Chanchal '!C:C,'Chanchal Summary'!A8,'Chanchal '!J:J,"MT")</f>
        <v>0</v>
      </c>
      <c r="F8" s="22">
        <f>COUNTIFS('Chanchal '!C:C,'Chanchal Summary'!A8,'Chanchal '!J:J,"ET")</f>
        <v>0</v>
      </c>
      <c r="G8" s="22">
        <f>D8+E8+F8</f>
        <v>0</v>
      </c>
    </row>
    <row r="9" spans="1:7">
      <c r="A9" s="45" t="s">
        <v>21</v>
      </c>
      <c r="B9" s="40">
        <f>COUNTIFS('Chanchal '!C:C,'Chanchal Summary'!A9)</f>
        <v>0</v>
      </c>
      <c r="C9" s="40">
        <f>B9-G9</f>
        <v>0</v>
      </c>
      <c r="D9" s="22">
        <f>COUNTIFS('Chanchal '!C:C,'Chanchal Summary'!A9,'Chanchal '!K:K,"Regular")</f>
        <v>0</v>
      </c>
      <c r="E9" s="22">
        <f>COUNTIFS('Chanchal '!C:C,'Chanchal Summary'!A9,'Chanchal '!J:J,"MT")</f>
        <v>0</v>
      </c>
      <c r="F9" s="22">
        <f>COUNTIFS('Chanchal '!C:C,'Chanchal Summary'!A9,'Chanchal '!J:J,"ET")</f>
        <v>0</v>
      </c>
      <c r="G9" s="22">
        <f>D9+E9+F9</f>
        <v>0</v>
      </c>
    </row>
    <row r="10" spans="1:7">
      <c r="A10" s="45" t="s">
        <v>22</v>
      </c>
      <c r="B10" s="40">
        <f>COUNTIFS('Chanchal '!C:C,'Chanchal Summary'!A10)</f>
        <v>0</v>
      </c>
      <c r="C10" s="40">
        <f>B10-G10</f>
        <v>0</v>
      </c>
      <c r="D10" s="22">
        <f>COUNTIFS('Chanchal '!C:C,'Chanchal Summary'!A10,'Chanchal '!K:K,"Regular")</f>
        <v>0</v>
      </c>
      <c r="E10" s="22">
        <f>COUNTIFS('Chanchal '!C:C,'Chanchal Summary'!A10,'Chanchal '!J:J,"MT")</f>
        <v>0</v>
      </c>
      <c r="F10" s="22">
        <f>COUNTIFS('Chanchal '!C:C,'Chanchal Summary'!A10,'Chanchal '!J:J,"ET")</f>
        <v>0</v>
      </c>
      <c r="G10" s="22">
        <f>D10+E10+F10</f>
        <v>0</v>
      </c>
    </row>
    <row r="11" spans="1:7">
      <c r="A11" s="45" t="s">
        <v>23</v>
      </c>
      <c r="B11" s="40">
        <f>COUNTIFS('Chanchal '!C:C,'Chanchal Summary'!A11)</f>
        <v>0</v>
      </c>
      <c r="C11" s="40">
        <f>B11-G11</f>
        <v>0</v>
      </c>
      <c r="D11" s="22">
        <f>COUNTIFS('Chanchal '!C:C,'Chanchal Summary'!A11,'Chanchal '!K:K,"Regular")</f>
        <v>0</v>
      </c>
      <c r="E11" s="22">
        <f>COUNTIFS('Chanchal '!C:C,'Chanchal Summary'!A11,'Chanchal '!J:J,"MT")</f>
        <v>0</v>
      </c>
      <c r="F11" s="22">
        <f>COUNTIFS('Chanchal '!C:C,'Chanchal Summary'!A11,'Chanchal '!J:J,"ET")</f>
        <v>0</v>
      </c>
      <c r="G11" s="22">
        <f>D11+E11+F11</f>
        <v>0</v>
      </c>
    </row>
    <row r="12" spans="1:7">
      <c r="A12" s="45" t="s">
        <v>24</v>
      </c>
      <c r="B12" s="40">
        <f>COUNTIFS('Chanchal '!C:C,'Chanchal Summary'!A12)</f>
        <v>0</v>
      </c>
      <c r="C12" s="40">
        <f>B12-G12</f>
        <v>0</v>
      </c>
      <c r="D12" s="22">
        <f>COUNTIFS('Chanchal '!C:C,'Chanchal Summary'!A12,'Chanchal '!K:K,"Regular")</f>
        <v>0</v>
      </c>
      <c r="E12" s="22">
        <f>COUNTIFS('Chanchal '!C:C,'Chanchal Summary'!A12,'Chanchal '!J:J,"MT")</f>
        <v>0</v>
      </c>
      <c r="F12" s="22">
        <f>COUNTIFS('Chanchal '!C:C,'Chanchal Summary'!A12,'Chanchal '!J:J,"ET")</f>
        <v>0</v>
      </c>
      <c r="G12" s="22">
        <f>D12+E12+F12</f>
        <v>0</v>
      </c>
    </row>
    <row r="13" spans="1:7">
      <c r="A13" s="45" t="s">
        <v>25</v>
      </c>
      <c r="B13" s="40">
        <f>COUNTIFS('Chanchal '!C:C,'Chanchal Summary'!A13)</f>
        <v>0</v>
      </c>
      <c r="C13" s="40">
        <f>B13-G13</f>
        <v>0</v>
      </c>
      <c r="D13" s="22">
        <f>COUNTIFS('Chanchal '!C:C,'Chanchal Summary'!A13,'Chanchal '!K:K,"Regular")</f>
        <v>0</v>
      </c>
      <c r="E13" s="22">
        <f>COUNTIFS('Chanchal '!C:C,'Chanchal Summary'!A13,'Chanchal '!J:J,"MT")</f>
        <v>0</v>
      </c>
      <c r="F13" s="22">
        <f>COUNTIFS('Chanchal '!C:C,'Chanchal Summary'!A13,'Chanchal '!J:J,"ET")</f>
        <v>0</v>
      </c>
      <c r="G13" s="22">
        <f>D13+E13+F13</f>
        <v>0</v>
      </c>
    </row>
    <row r="14" spans="1:7">
      <c r="A14" s="45" t="s">
        <v>26</v>
      </c>
      <c r="B14" s="40">
        <f>COUNTIFS('Chanchal '!C:C,'Chanchal Summary'!A14)</f>
        <v>0</v>
      </c>
      <c r="C14" s="40">
        <f>B14-G14</f>
        <v>0</v>
      </c>
      <c r="D14" s="22">
        <f>COUNTIFS('Chanchal '!C:C,'Chanchal Summary'!A14,'Chanchal '!K:K,"Regular")</f>
        <v>0</v>
      </c>
      <c r="E14" s="22">
        <f>COUNTIFS('Chanchal '!C:C,'Chanchal Summary'!A14,'Chanchal '!J:J,"MT")</f>
        <v>0</v>
      </c>
      <c r="F14" s="22">
        <f>COUNTIFS('Chanchal '!C:C,'Chanchal Summary'!A14,'Chanchal '!J:J,"ET")</f>
        <v>0</v>
      </c>
      <c r="G14" s="22">
        <f>D14+E14+F14</f>
        <v>0</v>
      </c>
    </row>
    <row r="15" spans="1:7">
      <c r="A15" s="45" t="s">
        <v>27</v>
      </c>
      <c r="B15" s="40">
        <f>COUNTIFS('Chanchal '!C:C,'Chanchal Summary'!A15)</f>
        <v>0</v>
      </c>
      <c r="C15" s="40">
        <f>B15-G15</f>
        <v>0</v>
      </c>
      <c r="D15" s="22">
        <f>COUNTIFS('Chanchal '!C:C,'Chanchal Summary'!A15,'Chanchal '!K:K,"Regular")</f>
        <v>0</v>
      </c>
      <c r="E15" s="22">
        <f>COUNTIFS('Chanchal '!C:C,'Chanchal Summary'!A15,'Chanchal '!J:J,"MT")</f>
        <v>0</v>
      </c>
      <c r="F15" s="22">
        <f>COUNTIFS('Chanchal '!C:C,'Chanchal Summary'!A15,'Chanchal '!J:J,"ET")</f>
        <v>0</v>
      </c>
      <c r="G15" s="22">
        <f>D15+E15+F15</f>
        <v>0</v>
      </c>
    </row>
    <row r="16" spans="1:7">
      <c r="A16" s="45" t="s">
        <v>28</v>
      </c>
      <c r="B16" s="40">
        <f>COUNTIFS('Chanchal '!C:C,'Chanchal Summary'!A16)</f>
        <v>0</v>
      </c>
      <c r="C16" s="40">
        <f>B16-G16</f>
        <v>0</v>
      </c>
      <c r="D16" s="22">
        <f>COUNTIFS('Chanchal '!C:C,'Chanchal Summary'!A16,'Chanchal '!K:K,"Regular")</f>
        <v>0</v>
      </c>
      <c r="E16" s="22">
        <f>COUNTIFS('Chanchal '!C:C,'Chanchal Summary'!A16,'Chanchal '!J:J,"MT")</f>
        <v>0</v>
      </c>
      <c r="F16" s="22">
        <f>COUNTIFS('Chanchal '!C:C,'Chanchal Summary'!A16,'Chanchal '!J:J,"ET")</f>
        <v>0</v>
      </c>
      <c r="G16" s="22">
        <f>D16+E16+F16</f>
        <v>0</v>
      </c>
    </row>
    <row r="17" spans="1:7">
      <c r="A17" s="45" t="s">
        <v>9</v>
      </c>
      <c r="B17" s="40">
        <f>COUNTIFS('Chanchal '!C:C,'Chanchal Summary'!A17)</f>
        <v>0</v>
      </c>
      <c r="C17" s="40">
        <f>B17-G17</f>
        <v>0</v>
      </c>
      <c r="D17" s="22">
        <f>COUNTIFS('Chanchal '!C:C,'Chanchal Summary'!A17,'Chanchal '!K:K,"Regular")</f>
        <v>0</v>
      </c>
      <c r="E17" s="22">
        <f>COUNTIFS('Chanchal '!C:C,'Chanchal Summary'!A17,'Chanchal '!J:J,"MT")</f>
        <v>0</v>
      </c>
      <c r="F17" s="22">
        <f>COUNTIFS('Chanchal '!C:C,'Chanchal Summary'!A17,'Chanchal '!J:J,"ET")</f>
        <v>0</v>
      </c>
      <c r="G17" s="22">
        <f>D17+E17+F17</f>
        <v>0</v>
      </c>
    </row>
    <row r="18" spans="1:7">
      <c r="A18" s="37" t="s">
        <v>15</v>
      </c>
      <c r="B18" s="36">
        <f>SUM(B4:B17)</f>
        <v>0</v>
      </c>
      <c r="C18" s="36">
        <f>B18-G18</f>
        <v>0</v>
      </c>
      <c r="D18" s="36">
        <f>SUM(D4:D17)</f>
        <v>0</v>
      </c>
      <c r="E18" s="36">
        <f>SUM(E4:E17)</f>
        <v>0</v>
      </c>
      <c r="F18" s="36">
        <f>SUM(F4:F17)</f>
        <v>0</v>
      </c>
      <c r="G18" s="36">
        <f>SUM(G4:G17)</f>
        <v>0</v>
      </c>
    </row>
  </sheetData>
  <mergeCells count="4">
    <mergeCell ref="B1:C1"/>
    <mergeCell ref="A1:A3"/>
    <mergeCell ref="D1:G1"/>
    <mergeCell ref="B2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1"/>
  <sheetViews>
    <sheetView zoomScaleNormal="100" workbookViewId="0"/>
  </sheetViews>
  <sheetFormatPr defaultColWidth="8.7109375" defaultRowHeight="14.45"/>
  <cols>
    <col min="1" max="1" width="17.42578125" bestFit="1" customWidth="1"/>
    <col min="2" max="2" width="32.140625" bestFit="1" customWidth="1"/>
    <col min="3" max="3" width="23.7109375" bestFit="1" customWidth="1"/>
    <col min="4" max="4" width="17" bestFit="1" customWidth="1"/>
    <col min="5" max="5" width="10" bestFit="1" customWidth="1"/>
    <col min="6" max="6" width="11" style="9" bestFit="1" customWidth="1"/>
    <col min="7" max="7" width="37.140625" bestFit="1" customWidth="1"/>
    <col min="8" max="8" width="9.85546875" style="9" bestFit="1" customWidth="1"/>
    <col min="9" max="9" width="27.7109375" bestFit="1" customWidth="1"/>
    <col min="10" max="10" width="14.42578125" bestFit="1" customWidth="1"/>
    <col min="11" max="11" width="14.140625" bestFit="1" customWidth="1"/>
    <col min="12" max="12" width="15.5703125" bestFit="1" customWidth="1"/>
    <col min="13" max="13" width="8.42578125" bestFit="1" customWidth="1"/>
    <col min="14" max="14" width="14.85546875" bestFit="1" customWidth="1"/>
    <col min="15" max="15" width="11.42578125" bestFit="1" customWidth="1"/>
    <col min="16" max="16" width="8.7109375" customWidth="1"/>
  </cols>
  <sheetData>
    <row r="1" spans="1:12" s="29" customFormat="1">
      <c r="A1" s="28" t="s">
        <v>37</v>
      </c>
      <c r="B1" s="28" t="s">
        <v>38</v>
      </c>
      <c r="C1" s="28" t="s">
        <v>39</v>
      </c>
      <c r="D1" s="28" t="s">
        <v>40</v>
      </c>
      <c r="E1" s="28" t="s">
        <v>41</v>
      </c>
      <c r="F1" s="28" t="s">
        <v>42</v>
      </c>
      <c r="G1" s="28" t="s">
        <v>43</v>
      </c>
      <c r="H1" s="28" t="s">
        <v>44</v>
      </c>
      <c r="I1" s="28" t="s">
        <v>45</v>
      </c>
      <c r="J1" s="28" t="s">
        <v>46</v>
      </c>
      <c r="K1" s="28" t="s">
        <v>919</v>
      </c>
      <c r="L1" s="28" t="s">
        <v>958</v>
      </c>
    </row>
    <row r="2" spans="1:12">
      <c r="A2" s="26" t="s">
        <v>10</v>
      </c>
      <c r="B2" s="26" t="s">
        <v>64</v>
      </c>
      <c r="C2" s="26" t="s">
        <v>61</v>
      </c>
      <c r="D2" s="26" t="s">
        <v>13</v>
      </c>
      <c r="E2" s="26" t="s">
        <v>450</v>
      </c>
      <c r="F2" s="30">
        <v>90002627</v>
      </c>
      <c r="G2" s="26" t="s">
        <v>166</v>
      </c>
      <c r="H2" s="30">
        <v>28011112</v>
      </c>
      <c r="I2" s="26" t="s">
        <v>484</v>
      </c>
      <c r="J2" s="26" t="s">
        <v>450</v>
      </c>
      <c r="K2" s="26" t="s">
        <v>59</v>
      </c>
      <c r="L2" s="26" t="s">
        <v>60</v>
      </c>
    </row>
    <row r="3" spans="1:12">
      <c r="A3" s="26" t="s">
        <v>10</v>
      </c>
      <c r="B3" s="26" t="s">
        <v>29</v>
      </c>
      <c r="C3" s="26" t="s">
        <v>65</v>
      </c>
      <c r="D3" s="26" t="s">
        <v>13</v>
      </c>
      <c r="E3" s="26" t="s">
        <v>461</v>
      </c>
      <c r="F3" s="30">
        <v>90002628</v>
      </c>
      <c r="G3" s="26" t="s">
        <v>168</v>
      </c>
      <c r="H3" s="30">
        <v>28011113</v>
      </c>
      <c r="I3" s="26" t="s">
        <v>485</v>
      </c>
      <c r="J3" s="26" t="s">
        <v>461</v>
      </c>
      <c r="K3" s="26" t="s">
        <v>59</v>
      </c>
      <c r="L3" s="26" t="s">
        <v>60</v>
      </c>
    </row>
    <row r="4" spans="1:12">
      <c r="A4" s="26" t="s">
        <v>10</v>
      </c>
      <c r="B4" s="26" t="s">
        <v>29</v>
      </c>
      <c r="C4" s="26" t="s">
        <v>65</v>
      </c>
      <c r="D4" s="26" t="s">
        <v>13</v>
      </c>
      <c r="E4" s="26" t="s">
        <v>461</v>
      </c>
      <c r="F4" s="30">
        <v>90002629</v>
      </c>
      <c r="G4" s="26" t="s">
        <v>168</v>
      </c>
      <c r="H4" s="30">
        <v>28011114</v>
      </c>
      <c r="I4" s="26" t="s">
        <v>486</v>
      </c>
      <c r="J4" s="26" t="s">
        <v>461</v>
      </c>
      <c r="K4" s="26" t="s">
        <v>59</v>
      </c>
      <c r="L4" s="26" t="s">
        <v>60</v>
      </c>
    </row>
    <row r="5" spans="1:12">
      <c r="A5" s="26" t="s">
        <v>10</v>
      </c>
      <c r="B5" s="26" t="s">
        <v>29</v>
      </c>
      <c r="C5" s="26" t="s">
        <v>65</v>
      </c>
      <c r="D5" s="26" t="s">
        <v>13</v>
      </c>
      <c r="E5" s="26" t="s">
        <v>461</v>
      </c>
      <c r="F5" s="30">
        <v>90002630</v>
      </c>
      <c r="G5" s="26" t="s">
        <v>228</v>
      </c>
      <c r="H5" s="30">
        <v>28011115</v>
      </c>
      <c r="I5" s="26" t="s">
        <v>487</v>
      </c>
      <c r="J5" s="26" t="s">
        <v>461</v>
      </c>
      <c r="K5" s="26" t="s">
        <v>59</v>
      </c>
      <c r="L5" s="26" t="s">
        <v>60</v>
      </c>
    </row>
    <row r="6" spans="1:12">
      <c r="A6" s="26" t="s">
        <v>10</v>
      </c>
      <c r="B6" s="26" t="s">
        <v>30</v>
      </c>
      <c r="C6" s="26" t="s">
        <v>75</v>
      </c>
      <c r="D6" s="26" t="s">
        <v>13</v>
      </c>
      <c r="E6" s="26" t="s">
        <v>72</v>
      </c>
      <c r="F6" s="30">
        <v>902631</v>
      </c>
      <c r="G6" s="26" t="s">
        <v>170</v>
      </c>
      <c r="H6" s="30">
        <v>28011116</v>
      </c>
      <c r="I6" s="26" t="s">
        <v>488</v>
      </c>
      <c r="J6" s="26" t="s">
        <v>72</v>
      </c>
      <c r="K6" s="26" t="s">
        <v>59</v>
      </c>
      <c r="L6" s="26" t="s">
        <v>60</v>
      </c>
    </row>
    <row r="7" spans="1:12">
      <c r="A7" s="26" t="s">
        <v>10</v>
      </c>
      <c r="B7" s="26" t="s">
        <v>31</v>
      </c>
      <c r="C7" s="26" t="s">
        <v>61</v>
      </c>
      <c r="D7" s="26" t="s">
        <v>13</v>
      </c>
      <c r="E7" s="26" t="s">
        <v>72</v>
      </c>
      <c r="F7" s="30">
        <v>902632</v>
      </c>
      <c r="G7" s="26" t="s">
        <v>172</v>
      </c>
      <c r="H7" s="30">
        <v>28011117</v>
      </c>
      <c r="I7" s="26" t="s">
        <v>489</v>
      </c>
      <c r="J7" s="26" t="s">
        <v>56</v>
      </c>
      <c r="K7" s="26" t="s">
        <v>59</v>
      </c>
      <c r="L7" s="26" t="s">
        <v>60</v>
      </c>
    </row>
    <row r="8" spans="1:12">
      <c r="A8" s="26" t="s">
        <v>10</v>
      </c>
      <c r="B8" s="26" t="s">
        <v>32</v>
      </c>
      <c r="C8" s="26" t="s">
        <v>80</v>
      </c>
      <c r="D8" s="26" t="s">
        <v>13</v>
      </c>
      <c r="E8" s="26" t="s">
        <v>72</v>
      </c>
      <c r="F8" s="30">
        <v>902633</v>
      </c>
      <c r="G8" s="26" t="s">
        <v>174</v>
      </c>
      <c r="H8" s="30">
        <v>28011118</v>
      </c>
      <c r="I8" s="26" t="s">
        <v>491</v>
      </c>
      <c r="J8" s="26" t="s">
        <v>72</v>
      </c>
      <c r="K8" s="26" t="s">
        <v>59</v>
      </c>
      <c r="L8" s="26" t="s">
        <v>60</v>
      </c>
    </row>
    <row r="9" spans="1:12">
      <c r="A9" s="26" t="s">
        <v>10</v>
      </c>
      <c r="B9" s="26" t="s">
        <v>33</v>
      </c>
      <c r="C9" s="26" t="s">
        <v>91</v>
      </c>
      <c r="D9" s="26" t="s">
        <v>13</v>
      </c>
      <c r="E9" s="26" t="s">
        <v>72</v>
      </c>
      <c r="F9" s="30">
        <v>902634</v>
      </c>
      <c r="G9" s="26" t="s">
        <v>176</v>
      </c>
      <c r="H9" s="30">
        <v>28011119</v>
      </c>
      <c r="I9" s="26" t="s">
        <v>492</v>
      </c>
      <c r="J9" s="26" t="s">
        <v>56</v>
      </c>
      <c r="K9" s="26" t="s">
        <v>59</v>
      </c>
      <c r="L9" s="26" t="s">
        <v>60</v>
      </c>
    </row>
    <row r="10" spans="1:12">
      <c r="A10" s="26" t="s">
        <v>10</v>
      </c>
      <c r="B10" s="26" t="s">
        <v>29</v>
      </c>
      <c r="C10" s="26" t="s">
        <v>65</v>
      </c>
      <c r="D10" s="26" t="s">
        <v>13</v>
      </c>
      <c r="E10" s="26" t="s">
        <v>72</v>
      </c>
      <c r="F10" s="30">
        <v>902635</v>
      </c>
      <c r="G10" s="26" t="s">
        <v>178</v>
      </c>
      <c r="H10" s="30">
        <v>28011120</v>
      </c>
      <c r="I10" s="26" t="s">
        <v>493</v>
      </c>
      <c r="J10" s="26" t="s">
        <v>72</v>
      </c>
      <c r="K10" s="26" t="s">
        <v>59</v>
      </c>
      <c r="L10" s="26" t="s">
        <v>60</v>
      </c>
    </row>
    <row r="11" spans="1:12">
      <c r="A11" s="26" t="s">
        <v>10</v>
      </c>
      <c r="B11" s="26" t="s">
        <v>29</v>
      </c>
      <c r="C11" s="26" t="s">
        <v>65</v>
      </c>
      <c r="D11" s="26" t="s">
        <v>13</v>
      </c>
      <c r="E11" s="26" t="s">
        <v>72</v>
      </c>
      <c r="F11" s="30">
        <v>902636</v>
      </c>
      <c r="G11" s="26" t="s">
        <v>178</v>
      </c>
      <c r="H11" s="30">
        <v>28011121</v>
      </c>
      <c r="I11" s="26" t="s">
        <v>494</v>
      </c>
      <c r="J11" s="26" t="s">
        <v>72</v>
      </c>
      <c r="K11" s="26" t="s">
        <v>59</v>
      </c>
      <c r="L11" s="26" t="s">
        <v>60</v>
      </c>
    </row>
    <row r="12" spans="1:12">
      <c r="A12" s="26" t="s">
        <v>10</v>
      </c>
      <c r="B12" s="26" t="s">
        <v>32</v>
      </c>
      <c r="C12" s="26" t="s">
        <v>80</v>
      </c>
      <c r="D12" s="26" t="s">
        <v>13</v>
      </c>
      <c r="E12" s="26" t="s">
        <v>72</v>
      </c>
      <c r="F12" s="30">
        <v>902637</v>
      </c>
      <c r="G12" s="26" t="s">
        <v>172</v>
      </c>
      <c r="H12" s="30">
        <v>28011122</v>
      </c>
      <c r="I12" s="26" t="s">
        <v>496</v>
      </c>
      <c r="J12" s="26" t="s">
        <v>72</v>
      </c>
      <c r="K12" s="26" t="s">
        <v>59</v>
      </c>
      <c r="L12" s="26" t="s">
        <v>60</v>
      </c>
    </row>
    <row r="13" spans="1:12">
      <c r="A13" s="26" t="s">
        <v>10</v>
      </c>
      <c r="B13" s="26" t="s">
        <v>29</v>
      </c>
      <c r="C13" s="26" t="s">
        <v>65</v>
      </c>
      <c r="D13" s="26" t="s">
        <v>13</v>
      </c>
      <c r="E13" s="26" t="s">
        <v>72</v>
      </c>
      <c r="F13" s="30">
        <v>902638</v>
      </c>
      <c r="G13" s="26" t="s">
        <v>179</v>
      </c>
      <c r="H13" s="30">
        <v>28011123</v>
      </c>
      <c r="I13" s="26" t="s">
        <v>497</v>
      </c>
      <c r="J13" s="26" t="s">
        <v>72</v>
      </c>
      <c r="K13" s="26" t="s">
        <v>59</v>
      </c>
      <c r="L13" s="26" t="s">
        <v>60</v>
      </c>
    </row>
    <row r="14" spans="1:12">
      <c r="A14" s="26" t="s">
        <v>10</v>
      </c>
      <c r="B14" s="26" t="s">
        <v>34</v>
      </c>
      <c r="C14" s="26" t="s">
        <v>61</v>
      </c>
      <c r="D14" s="26" t="s">
        <v>13</v>
      </c>
      <c r="E14" s="26" t="s">
        <v>72</v>
      </c>
      <c r="F14" s="30">
        <v>902639</v>
      </c>
      <c r="G14" s="26" t="s">
        <v>181</v>
      </c>
      <c r="H14" s="30">
        <v>28011124</v>
      </c>
      <c r="I14" s="26" t="s">
        <v>500</v>
      </c>
      <c r="J14" s="26" t="s">
        <v>56</v>
      </c>
      <c r="K14" s="26" t="s">
        <v>59</v>
      </c>
      <c r="L14" s="26" t="s">
        <v>60</v>
      </c>
    </row>
    <row r="15" spans="1:12">
      <c r="A15" s="26" t="s">
        <v>10</v>
      </c>
      <c r="B15" s="26" t="s">
        <v>34</v>
      </c>
      <c r="C15" s="26" t="s">
        <v>61</v>
      </c>
      <c r="D15" s="26" t="s">
        <v>13</v>
      </c>
      <c r="E15" s="26" t="s">
        <v>72</v>
      </c>
      <c r="F15" s="30">
        <v>902640</v>
      </c>
      <c r="G15" s="26" t="s">
        <v>183</v>
      </c>
      <c r="H15" s="30">
        <v>28011125</v>
      </c>
      <c r="I15" s="26" t="s">
        <v>501</v>
      </c>
      <c r="J15" s="26" t="s">
        <v>72</v>
      </c>
      <c r="K15" s="26" t="s">
        <v>59</v>
      </c>
      <c r="L15" s="26" t="s">
        <v>60</v>
      </c>
    </row>
    <row r="16" spans="1:12">
      <c r="A16" s="26" t="s">
        <v>10</v>
      </c>
      <c r="B16" s="26" t="s">
        <v>35</v>
      </c>
      <c r="C16" s="26" t="s">
        <v>61</v>
      </c>
      <c r="D16" s="26" t="s">
        <v>13</v>
      </c>
      <c r="E16" s="26" t="s">
        <v>72</v>
      </c>
      <c r="F16" s="30">
        <v>902641</v>
      </c>
      <c r="G16" s="26" t="s">
        <v>186</v>
      </c>
      <c r="H16" s="30">
        <v>28011126</v>
      </c>
      <c r="I16" s="26" t="s">
        <v>502</v>
      </c>
      <c r="J16" s="26" t="s">
        <v>72</v>
      </c>
      <c r="K16" s="26" t="s">
        <v>59</v>
      </c>
      <c r="L16" s="26" t="s">
        <v>60</v>
      </c>
    </row>
    <row r="17" spans="1:12">
      <c r="A17" s="26" t="s">
        <v>10</v>
      </c>
      <c r="B17" s="26" t="s">
        <v>35</v>
      </c>
      <c r="C17" s="26" t="s">
        <v>61</v>
      </c>
      <c r="D17" s="26" t="s">
        <v>13</v>
      </c>
      <c r="E17" s="26" t="s">
        <v>72</v>
      </c>
      <c r="F17" s="30">
        <v>902642</v>
      </c>
      <c r="G17" s="26" t="s">
        <v>170</v>
      </c>
      <c r="H17" s="30">
        <v>28011127</v>
      </c>
      <c r="I17" s="26" t="s">
        <v>503</v>
      </c>
      <c r="J17" s="26" t="s">
        <v>128</v>
      </c>
      <c r="K17" s="26" t="s">
        <v>59</v>
      </c>
      <c r="L17" s="26" t="s">
        <v>60</v>
      </c>
    </row>
    <row r="18" spans="1:12">
      <c r="A18" s="26" t="s">
        <v>10</v>
      </c>
      <c r="B18" s="26" t="s">
        <v>36</v>
      </c>
      <c r="C18" s="26" t="s">
        <v>96</v>
      </c>
      <c r="D18" s="26" t="s">
        <v>13</v>
      </c>
      <c r="E18" s="26" t="s">
        <v>72</v>
      </c>
      <c r="F18" s="30">
        <v>90002643</v>
      </c>
      <c r="G18" s="26" t="s">
        <v>188</v>
      </c>
      <c r="H18" s="30">
        <v>28011128</v>
      </c>
      <c r="I18" s="26" t="s">
        <v>504</v>
      </c>
      <c r="J18" s="26" t="s">
        <v>56</v>
      </c>
      <c r="K18" s="26" t="s">
        <v>59</v>
      </c>
      <c r="L18" s="26" t="s">
        <v>60</v>
      </c>
    </row>
    <row r="19" spans="1:12">
      <c r="A19" s="26" t="s">
        <v>10</v>
      </c>
      <c r="B19" s="26" t="s">
        <v>64</v>
      </c>
      <c r="C19" s="26" t="s">
        <v>61</v>
      </c>
      <c r="D19" s="26" t="s">
        <v>13</v>
      </c>
      <c r="E19" s="26" t="s">
        <v>72</v>
      </c>
      <c r="F19" s="30">
        <v>90002644</v>
      </c>
      <c r="G19" s="26" t="s">
        <v>190</v>
      </c>
      <c r="H19" s="30">
        <v>28011129</v>
      </c>
      <c r="I19" s="26" t="s">
        <v>505</v>
      </c>
      <c r="J19" s="26" t="s">
        <v>56</v>
      </c>
      <c r="K19" s="26" t="s">
        <v>59</v>
      </c>
      <c r="L19" s="26" t="s">
        <v>60</v>
      </c>
    </row>
    <row r="20" spans="1:12">
      <c r="A20" s="26" t="s">
        <v>10</v>
      </c>
      <c r="B20" s="26" t="s">
        <v>64</v>
      </c>
      <c r="C20" s="26" t="s">
        <v>61</v>
      </c>
      <c r="D20" s="26" t="s">
        <v>13</v>
      </c>
      <c r="E20" s="26" t="s">
        <v>72</v>
      </c>
      <c r="F20" s="30">
        <v>90002645</v>
      </c>
      <c r="G20" s="26" t="s">
        <v>103</v>
      </c>
      <c r="H20" s="30">
        <v>88011130</v>
      </c>
      <c r="I20" s="26" t="s">
        <v>506</v>
      </c>
      <c r="J20" s="26" t="s">
        <v>56</v>
      </c>
      <c r="K20" s="26" t="s">
        <v>59</v>
      </c>
      <c r="L20" s="26" t="s">
        <v>60</v>
      </c>
    </row>
    <row r="21" spans="1:12">
      <c r="A21" s="26" t="s">
        <v>10</v>
      </c>
      <c r="B21" s="26" t="s">
        <v>64</v>
      </c>
      <c r="C21" s="26" t="s">
        <v>61</v>
      </c>
      <c r="D21" s="26" t="s">
        <v>13</v>
      </c>
      <c r="E21" s="26" t="s">
        <v>72</v>
      </c>
      <c r="F21" s="30">
        <v>902646</v>
      </c>
      <c r="G21" s="26" t="s">
        <v>176</v>
      </c>
      <c r="H21" s="30">
        <v>28011131</v>
      </c>
      <c r="I21" s="26" t="s">
        <v>507</v>
      </c>
      <c r="J21" s="26" t="s">
        <v>56</v>
      </c>
      <c r="K21" s="26" t="s">
        <v>59</v>
      </c>
      <c r="L21" s="26" t="s">
        <v>60</v>
      </c>
    </row>
    <row r="22" spans="1:12">
      <c r="A22" s="26" t="s">
        <v>10</v>
      </c>
      <c r="B22" s="26" t="s">
        <v>54</v>
      </c>
      <c r="C22" s="26" t="s">
        <v>61</v>
      </c>
      <c r="D22" s="26" t="s">
        <v>13</v>
      </c>
      <c r="E22" s="26" t="s">
        <v>72</v>
      </c>
      <c r="F22" s="30">
        <v>902647</v>
      </c>
      <c r="G22" s="26" t="s">
        <v>193</v>
      </c>
      <c r="H22" s="30">
        <v>28011132</v>
      </c>
      <c r="I22" s="26" t="s">
        <v>508</v>
      </c>
      <c r="J22" s="26" t="s">
        <v>56</v>
      </c>
      <c r="K22" s="26" t="s">
        <v>59</v>
      </c>
      <c r="L22" s="26" t="s">
        <v>60</v>
      </c>
    </row>
    <row r="23" spans="1:12">
      <c r="A23" s="26" t="s">
        <v>10</v>
      </c>
      <c r="B23" s="26" t="s">
        <v>29</v>
      </c>
      <c r="C23" s="26" t="s">
        <v>65</v>
      </c>
      <c r="D23" s="26" t="s">
        <v>13</v>
      </c>
      <c r="E23" s="26" t="s">
        <v>72</v>
      </c>
      <c r="F23" s="30">
        <v>902648</v>
      </c>
      <c r="G23" s="26" t="s">
        <v>195</v>
      </c>
      <c r="H23" s="30">
        <v>28011133</v>
      </c>
      <c r="I23" s="26" t="s">
        <v>509</v>
      </c>
      <c r="J23" s="26" t="s">
        <v>56</v>
      </c>
      <c r="K23" s="26" t="s">
        <v>59</v>
      </c>
      <c r="L23" s="26" t="s">
        <v>60</v>
      </c>
    </row>
    <row r="24" spans="1:12">
      <c r="A24" s="26" t="s">
        <v>10</v>
      </c>
      <c r="B24" s="26" t="s">
        <v>32</v>
      </c>
      <c r="C24" s="26" t="s">
        <v>80</v>
      </c>
      <c r="D24" s="26" t="s">
        <v>13</v>
      </c>
      <c r="E24" s="26" t="s">
        <v>72</v>
      </c>
      <c r="F24" s="30">
        <v>902649</v>
      </c>
      <c r="G24" s="26" t="s">
        <v>197</v>
      </c>
      <c r="H24" s="30">
        <v>28011134</v>
      </c>
      <c r="I24" s="26" t="s">
        <v>510</v>
      </c>
      <c r="J24" s="26" t="s">
        <v>72</v>
      </c>
      <c r="K24" s="26" t="s">
        <v>59</v>
      </c>
      <c r="L24" s="26" t="s">
        <v>60</v>
      </c>
    </row>
    <row r="25" spans="1:12">
      <c r="A25" s="26" t="s">
        <v>10</v>
      </c>
      <c r="B25" s="26" t="s">
        <v>64</v>
      </c>
      <c r="C25" s="26" t="s">
        <v>65</v>
      </c>
      <c r="D25" s="26" t="s">
        <v>13</v>
      </c>
      <c r="E25" s="26" t="s">
        <v>72</v>
      </c>
      <c r="F25" s="30">
        <v>902650</v>
      </c>
      <c r="G25" s="26" t="s">
        <v>199</v>
      </c>
      <c r="H25" s="30">
        <v>28011135</v>
      </c>
      <c r="I25" s="26" t="s">
        <v>511</v>
      </c>
      <c r="J25" s="26" t="s">
        <v>72</v>
      </c>
      <c r="K25" s="26" t="s">
        <v>59</v>
      </c>
      <c r="L25" s="26" t="s">
        <v>60</v>
      </c>
    </row>
    <row r="26" spans="1:12">
      <c r="A26" s="26" t="s">
        <v>10</v>
      </c>
      <c r="B26" s="26" t="s">
        <v>29</v>
      </c>
      <c r="C26" s="26" t="s">
        <v>91</v>
      </c>
      <c r="D26" s="26" t="s">
        <v>13</v>
      </c>
      <c r="E26" s="26" t="s">
        <v>72</v>
      </c>
      <c r="F26" s="30">
        <v>902651</v>
      </c>
      <c r="G26" s="26" t="s">
        <v>176</v>
      </c>
      <c r="H26" s="30">
        <v>28011136</v>
      </c>
      <c r="I26" s="26" t="s">
        <v>512</v>
      </c>
      <c r="J26" s="26" t="s">
        <v>56</v>
      </c>
      <c r="K26" s="26" t="s">
        <v>59</v>
      </c>
      <c r="L26" s="26" t="s">
        <v>60</v>
      </c>
    </row>
    <row r="27" spans="1:12">
      <c r="A27" s="26" t="s">
        <v>10</v>
      </c>
      <c r="B27" s="26" t="s">
        <v>30</v>
      </c>
      <c r="C27" s="26" t="s">
        <v>75</v>
      </c>
      <c r="D27" s="26" t="s">
        <v>13</v>
      </c>
      <c r="E27" s="26" t="s">
        <v>72</v>
      </c>
      <c r="F27" s="30">
        <v>90002652</v>
      </c>
      <c r="G27" s="26" t="s">
        <v>201</v>
      </c>
      <c r="H27" s="30">
        <v>28011137</v>
      </c>
      <c r="I27" s="26" t="s">
        <v>513</v>
      </c>
      <c r="J27" s="26" t="s">
        <v>56</v>
      </c>
      <c r="K27" s="26" t="s">
        <v>59</v>
      </c>
      <c r="L27" s="26" t="s">
        <v>60</v>
      </c>
    </row>
    <row r="28" spans="1:12">
      <c r="A28" s="26" t="s">
        <v>10</v>
      </c>
      <c r="B28" s="26" t="s">
        <v>30</v>
      </c>
      <c r="C28" s="26" t="s">
        <v>75</v>
      </c>
      <c r="D28" s="26" t="s">
        <v>13</v>
      </c>
      <c r="E28" s="26" t="s">
        <v>72</v>
      </c>
      <c r="F28" s="30">
        <v>902653</v>
      </c>
      <c r="G28" s="26" t="s">
        <v>203</v>
      </c>
      <c r="H28" s="30">
        <v>28011138</v>
      </c>
      <c r="I28" s="26" t="s">
        <v>514</v>
      </c>
      <c r="J28" s="26" t="s">
        <v>72</v>
      </c>
      <c r="K28" s="26" t="s">
        <v>59</v>
      </c>
      <c r="L28" s="26" t="s">
        <v>60</v>
      </c>
    </row>
    <row r="29" spans="1:12">
      <c r="A29" s="26" t="s">
        <v>10</v>
      </c>
      <c r="B29" s="26" t="s">
        <v>30</v>
      </c>
      <c r="C29" s="26" t="s">
        <v>75</v>
      </c>
      <c r="D29" s="26" t="s">
        <v>13</v>
      </c>
      <c r="E29" s="26" t="s">
        <v>72</v>
      </c>
      <c r="F29" s="30">
        <v>902654</v>
      </c>
      <c r="G29" s="26" t="s">
        <v>203</v>
      </c>
      <c r="H29" s="30">
        <v>28011139</v>
      </c>
      <c r="I29" s="26" t="s">
        <v>515</v>
      </c>
      <c r="J29" s="26" t="s">
        <v>72</v>
      </c>
      <c r="K29" s="26" t="s">
        <v>59</v>
      </c>
      <c r="L29" s="26" t="s">
        <v>60</v>
      </c>
    </row>
    <row r="30" spans="1:12">
      <c r="A30" s="26" t="s">
        <v>10</v>
      </c>
      <c r="B30" s="26" t="s">
        <v>30</v>
      </c>
      <c r="C30" s="26" t="s">
        <v>75</v>
      </c>
      <c r="D30" s="26" t="s">
        <v>13</v>
      </c>
      <c r="E30" s="26" t="s">
        <v>72</v>
      </c>
      <c r="F30" s="30">
        <v>902655</v>
      </c>
      <c r="G30" s="26" t="s">
        <v>211</v>
      </c>
      <c r="H30" s="30">
        <v>28011140</v>
      </c>
      <c r="I30" s="26" t="s">
        <v>516</v>
      </c>
      <c r="J30" s="26" t="s">
        <v>72</v>
      </c>
      <c r="K30" s="26" t="s">
        <v>59</v>
      </c>
      <c r="L30" s="26" t="s">
        <v>60</v>
      </c>
    </row>
    <row r="31" spans="1:12">
      <c r="A31" s="26" t="s">
        <v>10</v>
      </c>
      <c r="B31" s="26" t="s">
        <v>30</v>
      </c>
      <c r="C31" s="26" t="s">
        <v>75</v>
      </c>
      <c r="D31" s="26" t="s">
        <v>13</v>
      </c>
      <c r="E31" s="26" t="s">
        <v>72</v>
      </c>
      <c r="F31" s="30">
        <v>902656</v>
      </c>
      <c r="G31" s="26" t="s">
        <v>203</v>
      </c>
      <c r="H31" s="30">
        <v>28011141</v>
      </c>
      <c r="I31" s="26" t="s">
        <v>517</v>
      </c>
      <c r="J31" s="26" t="s">
        <v>72</v>
      </c>
      <c r="K31" s="26" t="s">
        <v>59</v>
      </c>
      <c r="L31" s="26" t="s">
        <v>60</v>
      </c>
    </row>
    <row r="32" spans="1:12">
      <c r="A32" s="26" t="s">
        <v>10</v>
      </c>
      <c r="B32" s="26" t="s">
        <v>30</v>
      </c>
      <c r="C32" s="26" t="s">
        <v>75</v>
      </c>
      <c r="D32" s="26" t="s">
        <v>13</v>
      </c>
      <c r="E32" s="26" t="s">
        <v>72</v>
      </c>
      <c r="F32" s="30">
        <v>902657</v>
      </c>
      <c r="G32" s="26" t="s">
        <v>172</v>
      </c>
      <c r="H32" s="30">
        <v>28011142</v>
      </c>
      <c r="I32" s="26" t="s">
        <v>518</v>
      </c>
      <c r="J32" s="26" t="s">
        <v>56</v>
      </c>
      <c r="K32" s="26" t="s">
        <v>59</v>
      </c>
      <c r="L32" s="26" t="s">
        <v>60</v>
      </c>
    </row>
    <row r="33" spans="1:12">
      <c r="A33" s="26" t="s">
        <v>10</v>
      </c>
      <c r="B33" s="26" t="s">
        <v>30</v>
      </c>
      <c r="C33" s="26" t="s">
        <v>75</v>
      </c>
      <c r="D33" s="26" t="s">
        <v>13</v>
      </c>
      <c r="E33" s="26" t="s">
        <v>72</v>
      </c>
      <c r="F33" s="30">
        <v>902658</v>
      </c>
      <c r="G33" s="26" t="s">
        <v>172</v>
      </c>
      <c r="H33" s="30">
        <v>28011143</v>
      </c>
      <c r="I33" s="26" t="s">
        <v>519</v>
      </c>
      <c r="J33" s="26" t="s">
        <v>72</v>
      </c>
      <c r="K33" s="26" t="s">
        <v>59</v>
      </c>
      <c r="L33" s="26" t="s">
        <v>60</v>
      </c>
    </row>
    <row r="34" spans="1:12">
      <c r="A34" s="26" t="s">
        <v>10</v>
      </c>
      <c r="B34" s="26" t="s">
        <v>31</v>
      </c>
      <c r="C34" s="26" t="s">
        <v>75</v>
      </c>
      <c r="D34" s="26" t="s">
        <v>13</v>
      </c>
      <c r="E34" s="26" t="s">
        <v>72</v>
      </c>
      <c r="F34" s="30">
        <v>902659</v>
      </c>
      <c r="G34" s="26" t="s">
        <v>186</v>
      </c>
      <c r="H34" s="30">
        <v>28011144</v>
      </c>
      <c r="I34" s="26" t="s">
        <v>347</v>
      </c>
      <c r="J34" s="26" t="s">
        <v>56</v>
      </c>
      <c r="K34" s="26" t="s">
        <v>59</v>
      </c>
      <c r="L34" s="26" t="s">
        <v>60</v>
      </c>
    </row>
    <row r="35" spans="1:12">
      <c r="A35" s="26" t="s">
        <v>10</v>
      </c>
      <c r="B35" s="26" t="s">
        <v>32</v>
      </c>
      <c r="C35" s="26" t="s">
        <v>98</v>
      </c>
      <c r="D35" s="26" t="s">
        <v>22</v>
      </c>
      <c r="E35" s="26" t="s">
        <v>56</v>
      </c>
      <c r="F35" s="30">
        <v>902660</v>
      </c>
      <c r="G35" s="26" t="s">
        <v>213</v>
      </c>
      <c r="H35" s="30">
        <v>28011145</v>
      </c>
      <c r="I35" s="26" t="s">
        <v>520</v>
      </c>
      <c r="J35" s="26" t="s">
        <v>128</v>
      </c>
      <c r="K35" s="26" t="s">
        <v>59</v>
      </c>
      <c r="L35" s="26" t="s">
        <v>60</v>
      </c>
    </row>
    <row r="36" spans="1:12">
      <c r="A36" s="26" t="s">
        <v>10</v>
      </c>
      <c r="B36" s="26" t="s">
        <v>34</v>
      </c>
      <c r="C36" s="26" t="s">
        <v>61</v>
      </c>
      <c r="D36" s="26" t="s">
        <v>13</v>
      </c>
      <c r="E36" s="26" t="s">
        <v>109</v>
      </c>
      <c r="F36" s="30">
        <v>902661</v>
      </c>
      <c r="G36" s="26" t="s">
        <v>215</v>
      </c>
      <c r="H36" s="30">
        <v>28011146</v>
      </c>
      <c r="I36" s="26" t="s">
        <v>521</v>
      </c>
      <c r="J36" s="26" t="s">
        <v>99</v>
      </c>
      <c r="K36" s="26" t="s">
        <v>59</v>
      </c>
      <c r="L36" s="26" t="s">
        <v>60</v>
      </c>
    </row>
    <row r="37" spans="1:12">
      <c r="A37" s="26" t="s">
        <v>10</v>
      </c>
      <c r="B37" s="26" t="s">
        <v>32</v>
      </c>
      <c r="C37" s="26" t="s">
        <v>98</v>
      </c>
      <c r="D37" s="26" t="s">
        <v>22</v>
      </c>
      <c r="E37" s="26" t="s">
        <v>128</v>
      </c>
      <c r="F37" s="30">
        <v>902662</v>
      </c>
      <c r="G37" s="26" t="s">
        <v>213</v>
      </c>
      <c r="H37" s="30">
        <v>28011147</v>
      </c>
      <c r="I37" s="26" t="s">
        <v>522</v>
      </c>
      <c r="J37" s="26" t="s">
        <v>99</v>
      </c>
      <c r="K37" s="26" t="s">
        <v>59</v>
      </c>
      <c r="L37" s="26" t="s">
        <v>60</v>
      </c>
    </row>
    <row r="38" spans="1:12">
      <c r="A38" s="26" t="s">
        <v>10</v>
      </c>
      <c r="B38" s="26" t="s">
        <v>32</v>
      </c>
      <c r="C38" s="26" t="s">
        <v>98</v>
      </c>
      <c r="D38" s="26" t="s">
        <v>22</v>
      </c>
      <c r="E38" s="26" t="s">
        <v>210</v>
      </c>
      <c r="F38" s="30">
        <v>902663</v>
      </c>
      <c r="G38" s="26" t="s">
        <v>217</v>
      </c>
      <c r="H38" s="30">
        <v>28011148</v>
      </c>
      <c r="I38" s="26" t="s">
        <v>523</v>
      </c>
      <c r="J38" s="26" t="s">
        <v>128</v>
      </c>
      <c r="K38" s="26" t="s">
        <v>59</v>
      </c>
      <c r="L38" s="26" t="s">
        <v>60</v>
      </c>
    </row>
    <row r="39" spans="1:12">
      <c r="A39" s="26" t="s">
        <v>10</v>
      </c>
      <c r="B39" s="26" t="s">
        <v>32</v>
      </c>
      <c r="C39" s="26" t="s">
        <v>98</v>
      </c>
      <c r="D39" s="26" t="s">
        <v>22</v>
      </c>
      <c r="E39" s="26" t="s">
        <v>210</v>
      </c>
      <c r="F39" s="30">
        <v>902664</v>
      </c>
      <c r="G39" s="26" t="s">
        <v>220</v>
      </c>
      <c r="H39" s="30">
        <v>28011149</v>
      </c>
      <c r="I39" s="26" t="s">
        <v>524</v>
      </c>
      <c r="J39" s="26" t="s">
        <v>69</v>
      </c>
      <c r="K39" s="26" t="s">
        <v>59</v>
      </c>
      <c r="L39" s="26" t="s">
        <v>60</v>
      </c>
    </row>
    <row r="40" spans="1:12">
      <c r="A40" s="26" t="s">
        <v>10</v>
      </c>
      <c r="B40" s="26" t="s">
        <v>32</v>
      </c>
      <c r="C40" s="26" t="s">
        <v>98</v>
      </c>
      <c r="D40" s="26" t="s">
        <v>22</v>
      </c>
      <c r="E40" s="26" t="s">
        <v>99</v>
      </c>
      <c r="F40" s="30">
        <v>902665</v>
      </c>
      <c r="G40" s="26" t="s">
        <v>221</v>
      </c>
      <c r="H40" s="30">
        <v>28011150</v>
      </c>
      <c r="I40" s="26" t="s">
        <v>525</v>
      </c>
      <c r="J40" s="26" t="s">
        <v>210</v>
      </c>
      <c r="K40" s="26" t="s">
        <v>59</v>
      </c>
      <c r="L40" s="26" t="s">
        <v>60</v>
      </c>
    </row>
    <row r="41" spans="1:12">
      <c r="A41" s="26" t="s">
        <v>10</v>
      </c>
      <c r="B41" s="26" t="s">
        <v>34</v>
      </c>
      <c r="C41" s="26" t="s">
        <v>61</v>
      </c>
      <c r="D41" s="26" t="s">
        <v>13</v>
      </c>
      <c r="E41" s="26" t="s">
        <v>109</v>
      </c>
      <c r="F41" s="30">
        <v>902666</v>
      </c>
      <c r="G41" s="26" t="s">
        <v>224</v>
      </c>
      <c r="H41" s="30">
        <v>28011151</v>
      </c>
      <c r="I41" s="26" t="s">
        <v>526</v>
      </c>
      <c r="J41" s="26" t="s">
        <v>109</v>
      </c>
      <c r="K41" s="26" t="s">
        <v>59</v>
      </c>
      <c r="L41" s="26" t="s">
        <v>60</v>
      </c>
    </row>
    <row r="42" spans="1:12">
      <c r="A42" s="26" t="s">
        <v>10</v>
      </c>
      <c r="B42" s="26" t="s">
        <v>34</v>
      </c>
      <c r="C42" s="26" t="s">
        <v>61</v>
      </c>
      <c r="D42" s="26" t="s">
        <v>13</v>
      </c>
      <c r="E42" s="26" t="s">
        <v>109</v>
      </c>
      <c r="F42" s="30">
        <v>902667</v>
      </c>
      <c r="G42" s="26" t="s">
        <v>215</v>
      </c>
      <c r="H42" s="30">
        <v>28011152</v>
      </c>
      <c r="I42" s="26" t="s">
        <v>527</v>
      </c>
      <c r="J42" s="26" t="s">
        <v>109</v>
      </c>
      <c r="K42" s="26" t="s">
        <v>59</v>
      </c>
      <c r="L42" s="26" t="s">
        <v>60</v>
      </c>
    </row>
    <row r="43" spans="1:12">
      <c r="A43" s="26" t="s">
        <v>10</v>
      </c>
      <c r="B43" s="26" t="s">
        <v>31</v>
      </c>
      <c r="C43" s="26" t="s">
        <v>75</v>
      </c>
      <c r="D43" s="26" t="s">
        <v>13</v>
      </c>
      <c r="E43" s="26" t="s">
        <v>109</v>
      </c>
      <c r="F43" s="30">
        <v>902668</v>
      </c>
      <c r="G43" s="26" t="s">
        <v>226</v>
      </c>
      <c r="H43" s="30">
        <v>28011153</v>
      </c>
      <c r="I43" s="26" t="s">
        <v>528</v>
      </c>
      <c r="J43" s="26" t="s">
        <v>109</v>
      </c>
      <c r="K43" s="26" t="s">
        <v>59</v>
      </c>
      <c r="L43" s="26" t="s">
        <v>60</v>
      </c>
    </row>
    <row r="44" spans="1:12">
      <c r="A44" s="26" t="s">
        <v>10</v>
      </c>
      <c r="B44" s="26" t="s">
        <v>33</v>
      </c>
      <c r="C44" s="26" t="s">
        <v>102</v>
      </c>
      <c r="D44" s="26" t="s">
        <v>13</v>
      </c>
      <c r="E44" s="26" t="s">
        <v>238</v>
      </c>
      <c r="F44" s="30">
        <v>90002669</v>
      </c>
      <c r="G44" s="26" t="s">
        <v>228</v>
      </c>
      <c r="H44" s="30">
        <v>28011154</v>
      </c>
      <c r="I44" s="26" t="s">
        <v>529</v>
      </c>
      <c r="J44" s="26" t="s">
        <v>981</v>
      </c>
      <c r="K44" s="26" t="s">
        <v>59</v>
      </c>
      <c r="L44" s="26" t="s">
        <v>60</v>
      </c>
    </row>
    <row r="45" spans="1:12">
      <c r="A45" s="26" t="s">
        <v>10</v>
      </c>
      <c r="B45" s="26" t="s">
        <v>35</v>
      </c>
      <c r="C45" s="26" t="s">
        <v>61</v>
      </c>
      <c r="D45" s="26" t="s">
        <v>13</v>
      </c>
      <c r="E45" s="26" t="s">
        <v>238</v>
      </c>
      <c r="F45" s="30">
        <v>902670</v>
      </c>
      <c r="G45" s="26" t="s">
        <v>230</v>
      </c>
      <c r="H45" s="30">
        <v>28011155</v>
      </c>
      <c r="I45" s="26" t="s">
        <v>530</v>
      </c>
      <c r="J45" s="26" t="s">
        <v>11</v>
      </c>
      <c r="K45" s="26" t="s">
        <v>59</v>
      </c>
      <c r="L45" s="26" t="s">
        <v>60</v>
      </c>
    </row>
    <row r="46" spans="1:12">
      <c r="A46" s="26" t="s">
        <v>10</v>
      </c>
      <c r="B46" s="26" t="s">
        <v>34</v>
      </c>
      <c r="C46" s="26" t="s">
        <v>65</v>
      </c>
      <c r="D46" s="26" t="s">
        <v>13</v>
      </c>
      <c r="E46" s="26" t="s">
        <v>238</v>
      </c>
      <c r="F46" s="30">
        <v>90002671</v>
      </c>
      <c r="G46" s="26" t="s">
        <v>232</v>
      </c>
      <c r="H46" s="30">
        <v>28011156</v>
      </c>
      <c r="I46" s="26" t="s">
        <v>531</v>
      </c>
      <c r="J46" s="26" t="s">
        <v>11</v>
      </c>
      <c r="K46" s="26" t="s">
        <v>59</v>
      </c>
      <c r="L46" s="26" t="s">
        <v>60</v>
      </c>
    </row>
    <row r="47" spans="1:12">
      <c r="A47" s="26" t="s">
        <v>10</v>
      </c>
      <c r="B47" s="26" t="s">
        <v>32</v>
      </c>
      <c r="C47" s="26" t="s">
        <v>98</v>
      </c>
      <c r="D47" s="26" t="s">
        <v>22</v>
      </c>
      <c r="E47" s="26" t="s">
        <v>56</v>
      </c>
      <c r="F47" s="30">
        <v>902672</v>
      </c>
      <c r="G47" s="26" t="s">
        <v>213</v>
      </c>
      <c r="H47" s="30">
        <v>28011157</v>
      </c>
      <c r="I47" s="26" t="s">
        <v>532</v>
      </c>
      <c r="J47" s="26" t="s">
        <v>128</v>
      </c>
      <c r="K47" s="26" t="s">
        <v>59</v>
      </c>
      <c r="L47" s="26" t="s">
        <v>60</v>
      </c>
    </row>
    <row r="48" spans="1:12">
      <c r="A48" s="26" t="s">
        <v>10</v>
      </c>
      <c r="B48" s="26" t="s">
        <v>35</v>
      </c>
      <c r="C48" s="26" t="s">
        <v>107</v>
      </c>
      <c r="D48" s="26" t="s">
        <v>13</v>
      </c>
      <c r="E48" s="26" t="s">
        <v>238</v>
      </c>
      <c r="F48" s="30">
        <v>90002673</v>
      </c>
      <c r="G48" s="26" t="s">
        <v>234</v>
      </c>
      <c r="H48" s="30">
        <v>28011158</v>
      </c>
      <c r="I48" s="26" t="s">
        <v>533</v>
      </c>
      <c r="J48" s="26" t="s">
        <v>981</v>
      </c>
      <c r="K48" s="26" t="s">
        <v>59</v>
      </c>
      <c r="L48" s="26" t="s">
        <v>60</v>
      </c>
    </row>
    <row r="49" spans="1:12">
      <c r="A49" s="26" t="s">
        <v>10</v>
      </c>
      <c r="B49" s="26" t="s">
        <v>36</v>
      </c>
      <c r="C49" s="26" t="s">
        <v>96</v>
      </c>
      <c r="D49" s="26" t="s">
        <v>13</v>
      </c>
      <c r="E49" s="26" t="s">
        <v>495</v>
      </c>
      <c r="F49" s="30">
        <v>90002674</v>
      </c>
      <c r="G49" s="26" t="s">
        <v>236</v>
      </c>
      <c r="H49" s="30">
        <v>28011159</v>
      </c>
      <c r="I49" s="26" t="s">
        <v>534</v>
      </c>
      <c r="J49" s="26" t="s">
        <v>11</v>
      </c>
      <c r="K49" s="26" t="s">
        <v>59</v>
      </c>
      <c r="L49" s="26" t="s">
        <v>60</v>
      </c>
    </row>
    <row r="50" spans="1:12">
      <c r="A50" s="26" t="s">
        <v>10</v>
      </c>
      <c r="B50" s="26" t="s">
        <v>36</v>
      </c>
      <c r="C50" s="26" t="s">
        <v>61</v>
      </c>
      <c r="D50" s="26" t="s">
        <v>13</v>
      </c>
      <c r="E50" s="26" t="s">
        <v>495</v>
      </c>
      <c r="F50" s="30">
        <v>90002675</v>
      </c>
      <c r="G50" s="26" t="s">
        <v>239</v>
      </c>
      <c r="H50" s="30">
        <v>28011160</v>
      </c>
      <c r="I50" s="26" t="s">
        <v>535</v>
      </c>
      <c r="J50" s="26" t="s">
        <v>495</v>
      </c>
      <c r="K50" s="26" t="s">
        <v>59</v>
      </c>
      <c r="L50" s="26" t="s">
        <v>60</v>
      </c>
    </row>
    <row r="51" spans="1:12">
      <c r="A51" s="26" t="s">
        <v>10</v>
      </c>
      <c r="B51" s="26" t="s">
        <v>29</v>
      </c>
      <c r="C51" s="26" t="s">
        <v>65</v>
      </c>
      <c r="D51" s="26" t="s">
        <v>13</v>
      </c>
      <c r="E51" s="26" t="s">
        <v>66</v>
      </c>
      <c r="F51" s="30">
        <v>902676</v>
      </c>
      <c r="G51" s="26" t="s">
        <v>241</v>
      </c>
      <c r="H51" s="30">
        <v>28011161</v>
      </c>
      <c r="I51" s="26" t="s">
        <v>536</v>
      </c>
      <c r="J51" s="26" t="s">
        <v>66</v>
      </c>
      <c r="K51" s="26" t="s">
        <v>59</v>
      </c>
      <c r="L51" s="26" t="s">
        <v>60</v>
      </c>
    </row>
    <row r="52" spans="1:12">
      <c r="A52" s="26" t="s">
        <v>10</v>
      </c>
      <c r="B52" s="26" t="s">
        <v>54</v>
      </c>
      <c r="C52" s="26" t="s">
        <v>61</v>
      </c>
      <c r="D52" s="26" t="s">
        <v>13</v>
      </c>
      <c r="E52" s="26" t="s">
        <v>66</v>
      </c>
      <c r="F52" s="30">
        <v>902677</v>
      </c>
      <c r="G52" s="26" t="s">
        <v>243</v>
      </c>
      <c r="H52" s="30">
        <v>28011162</v>
      </c>
      <c r="I52" s="26" t="s">
        <v>537</v>
      </c>
      <c r="J52" s="26" t="s">
        <v>495</v>
      </c>
      <c r="K52" s="26" t="s">
        <v>59</v>
      </c>
      <c r="L52" s="26" t="s">
        <v>60</v>
      </c>
    </row>
    <row r="53" spans="1:12">
      <c r="A53" s="26" t="s">
        <v>10</v>
      </c>
      <c r="B53" s="26" t="s">
        <v>64</v>
      </c>
      <c r="C53" s="26" t="s">
        <v>55</v>
      </c>
      <c r="D53" s="26" t="s">
        <v>24</v>
      </c>
      <c r="E53" s="26" t="s">
        <v>99</v>
      </c>
      <c r="F53" s="30">
        <v>902678</v>
      </c>
      <c r="G53" s="26" t="s">
        <v>266</v>
      </c>
      <c r="H53" s="30">
        <v>48011163</v>
      </c>
      <c r="I53" s="26" t="s">
        <v>538</v>
      </c>
      <c r="J53" s="26" t="s">
        <v>655</v>
      </c>
      <c r="K53" s="26" t="s">
        <v>59</v>
      </c>
      <c r="L53" s="26" t="s">
        <v>60</v>
      </c>
    </row>
    <row r="54" spans="1:12">
      <c r="A54" s="26" t="s">
        <v>10</v>
      </c>
      <c r="B54" s="26" t="s">
        <v>29</v>
      </c>
      <c r="C54" s="26" t="s">
        <v>91</v>
      </c>
      <c r="D54" s="26" t="s">
        <v>13</v>
      </c>
      <c r="E54" s="26" t="s">
        <v>66</v>
      </c>
      <c r="F54" s="30">
        <v>90002679</v>
      </c>
      <c r="G54" s="26" t="s">
        <v>245</v>
      </c>
      <c r="H54" s="30">
        <v>28011164</v>
      </c>
      <c r="I54" s="26" t="s">
        <v>539</v>
      </c>
      <c r="J54" s="26" t="s">
        <v>66</v>
      </c>
      <c r="K54" s="26" t="s">
        <v>59</v>
      </c>
      <c r="L54" s="26" t="s">
        <v>60</v>
      </c>
    </row>
    <row r="55" spans="1:12">
      <c r="A55" s="26" t="s">
        <v>10</v>
      </c>
      <c r="B55" s="26" t="s">
        <v>29</v>
      </c>
      <c r="C55" s="26" t="s">
        <v>65</v>
      </c>
      <c r="D55" s="26" t="s">
        <v>13</v>
      </c>
      <c r="E55" s="26" t="s">
        <v>66</v>
      </c>
      <c r="F55" s="30">
        <v>90002680</v>
      </c>
      <c r="G55" s="26" t="s">
        <v>247</v>
      </c>
      <c r="H55" s="30">
        <v>28011165</v>
      </c>
      <c r="I55" s="26" t="s">
        <v>540</v>
      </c>
      <c r="J55" s="26" t="s">
        <v>66</v>
      </c>
      <c r="K55" s="26" t="s">
        <v>59</v>
      </c>
      <c r="L55" s="26" t="s">
        <v>60</v>
      </c>
    </row>
    <row r="56" spans="1:12">
      <c r="A56" s="26" t="s">
        <v>10</v>
      </c>
      <c r="B56" s="26" t="s">
        <v>30</v>
      </c>
      <c r="C56" s="26" t="s">
        <v>61</v>
      </c>
      <c r="D56" s="26" t="s">
        <v>13</v>
      </c>
      <c r="E56" s="26" t="s">
        <v>66</v>
      </c>
      <c r="F56" s="30">
        <v>90002681</v>
      </c>
      <c r="G56" s="26" t="s">
        <v>249</v>
      </c>
      <c r="H56" s="30">
        <v>28011166</v>
      </c>
      <c r="I56" s="26" t="s">
        <v>541</v>
      </c>
      <c r="J56" s="26" t="s">
        <v>66</v>
      </c>
      <c r="K56" s="26" t="s">
        <v>59</v>
      </c>
      <c r="L56" s="26" t="s">
        <v>60</v>
      </c>
    </row>
    <row r="57" spans="1:12">
      <c r="A57" s="26" t="s">
        <v>10</v>
      </c>
      <c r="B57" s="26" t="s">
        <v>35</v>
      </c>
      <c r="C57" s="26" t="s">
        <v>61</v>
      </c>
      <c r="D57" s="26" t="s">
        <v>13</v>
      </c>
      <c r="E57" s="26" t="s">
        <v>66</v>
      </c>
      <c r="F57" s="30">
        <v>90002682</v>
      </c>
      <c r="G57" s="26" t="s">
        <v>251</v>
      </c>
      <c r="H57" s="30">
        <v>28011167</v>
      </c>
      <c r="I57" s="26" t="s">
        <v>542</v>
      </c>
      <c r="J57" s="26" t="s">
        <v>66</v>
      </c>
      <c r="K57" s="26" t="s">
        <v>59</v>
      </c>
      <c r="L57" s="26" t="s">
        <v>60</v>
      </c>
    </row>
    <row r="58" spans="1:12">
      <c r="A58" s="26" t="s">
        <v>10</v>
      </c>
      <c r="B58" s="26" t="s">
        <v>64</v>
      </c>
      <c r="C58" s="26" t="s">
        <v>65</v>
      </c>
      <c r="D58" s="26" t="s">
        <v>13</v>
      </c>
      <c r="E58" s="26" t="s">
        <v>66</v>
      </c>
      <c r="F58" s="30">
        <v>90002683</v>
      </c>
      <c r="G58" s="26" t="s">
        <v>253</v>
      </c>
      <c r="H58" s="30">
        <v>28011168</v>
      </c>
      <c r="I58" s="26" t="s">
        <v>543</v>
      </c>
      <c r="J58" s="26" t="s">
        <v>66</v>
      </c>
      <c r="K58" s="26" t="s">
        <v>59</v>
      </c>
      <c r="L58" s="26" t="s">
        <v>60</v>
      </c>
    </row>
    <row r="59" spans="1:12">
      <c r="A59" s="26" t="s">
        <v>10</v>
      </c>
      <c r="B59" s="26" t="s">
        <v>30</v>
      </c>
      <c r="C59" s="26" t="s">
        <v>61</v>
      </c>
      <c r="D59" s="26" t="s">
        <v>13</v>
      </c>
      <c r="E59" s="26" t="s">
        <v>66</v>
      </c>
      <c r="F59" s="30">
        <v>90002684</v>
      </c>
      <c r="G59" s="26" t="s">
        <v>260</v>
      </c>
      <c r="H59" s="30">
        <v>28011169</v>
      </c>
      <c r="I59" s="26" t="s">
        <v>544</v>
      </c>
      <c r="J59" s="26" t="s">
        <v>495</v>
      </c>
      <c r="K59" s="26" t="s">
        <v>59</v>
      </c>
      <c r="L59" s="26" t="s">
        <v>60</v>
      </c>
    </row>
    <row r="60" spans="1:12">
      <c r="A60" s="26" t="s">
        <v>10</v>
      </c>
      <c r="B60" s="26" t="s">
        <v>64</v>
      </c>
      <c r="C60" s="26" t="s">
        <v>55</v>
      </c>
      <c r="D60" s="26" t="s">
        <v>24</v>
      </c>
      <c r="E60" s="26" t="s">
        <v>128</v>
      </c>
      <c r="F60" s="30">
        <v>902685</v>
      </c>
      <c r="G60" s="26" t="s">
        <v>262</v>
      </c>
      <c r="H60" s="30">
        <v>28011170</v>
      </c>
      <c r="I60" s="26" t="s">
        <v>545</v>
      </c>
      <c r="J60" s="26" t="s">
        <v>128</v>
      </c>
      <c r="K60" s="26" t="s">
        <v>59</v>
      </c>
      <c r="L60" s="26" t="s">
        <v>60</v>
      </c>
    </row>
    <row r="61" spans="1:12">
      <c r="A61" s="26" t="s">
        <v>10</v>
      </c>
      <c r="B61" s="26" t="s">
        <v>31</v>
      </c>
      <c r="C61" s="26" t="s">
        <v>61</v>
      </c>
      <c r="D61" s="26" t="s">
        <v>13</v>
      </c>
      <c r="E61" s="26" t="s">
        <v>66</v>
      </c>
      <c r="F61" s="30">
        <v>90002686</v>
      </c>
      <c r="G61" s="26" t="s">
        <v>264</v>
      </c>
      <c r="H61" s="30">
        <v>28011171</v>
      </c>
      <c r="I61" s="26" t="s">
        <v>546</v>
      </c>
      <c r="J61" s="26" t="s">
        <v>66</v>
      </c>
      <c r="K61" s="26" t="s">
        <v>59</v>
      </c>
      <c r="L61" s="26" t="s">
        <v>60</v>
      </c>
    </row>
    <row r="62" spans="1:12">
      <c r="A62" s="26" t="s">
        <v>10</v>
      </c>
      <c r="B62" s="26" t="s">
        <v>32</v>
      </c>
      <c r="C62" s="26" t="s">
        <v>91</v>
      </c>
      <c r="D62" s="26" t="s">
        <v>13</v>
      </c>
      <c r="E62" s="26" t="s">
        <v>66</v>
      </c>
      <c r="F62" s="30">
        <v>902687</v>
      </c>
      <c r="G62" s="26" t="s">
        <v>266</v>
      </c>
      <c r="H62" s="30">
        <v>28011172</v>
      </c>
      <c r="I62" s="26" t="s">
        <v>547</v>
      </c>
      <c r="J62" s="26" t="s">
        <v>66</v>
      </c>
      <c r="K62" s="26" t="s">
        <v>59</v>
      </c>
      <c r="L62" s="26" t="s">
        <v>60</v>
      </c>
    </row>
    <row r="63" spans="1:12">
      <c r="A63" s="26" t="s">
        <v>10</v>
      </c>
      <c r="B63" s="26" t="s">
        <v>33</v>
      </c>
      <c r="C63" s="26" t="s">
        <v>102</v>
      </c>
      <c r="D63" s="26" t="s">
        <v>13</v>
      </c>
      <c r="E63" s="26" t="s">
        <v>66</v>
      </c>
      <c r="F63" s="30">
        <v>902688</v>
      </c>
      <c r="G63" s="26" t="s">
        <v>267</v>
      </c>
      <c r="H63" s="30">
        <v>28011173</v>
      </c>
      <c r="I63" s="26" t="s">
        <v>548</v>
      </c>
      <c r="J63" s="26" t="s">
        <v>69</v>
      </c>
      <c r="K63" s="26" t="s">
        <v>59</v>
      </c>
      <c r="L63" s="26" t="s">
        <v>60</v>
      </c>
    </row>
    <row r="64" spans="1:12">
      <c r="A64" s="26" t="s">
        <v>10</v>
      </c>
      <c r="B64" s="26" t="s">
        <v>33</v>
      </c>
      <c r="C64" s="26" t="s">
        <v>65</v>
      </c>
      <c r="D64" s="26" t="s">
        <v>20</v>
      </c>
      <c r="E64" s="26" t="s">
        <v>66</v>
      </c>
      <c r="F64" s="30">
        <v>902689</v>
      </c>
      <c r="G64" s="26" t="s">
        <v>270</v>
      </c>
      <c r="H64" s="30">
        <v>28011174</v>
      </c>
      <c r="I64" s="26" t="s">
        <v>551</v>
      </c>
      <c r="J64" s="26" t="s">
        <v>66</v>
      </c>
      <c r="K64" s="26" t="s">
        <v>59</v>
      </c>
      <c r="L64" s="26" t="s">
        <v>60</v>
      </c>
    </row>
    <row r="65" spans="1:12">
      <c r="A65" s="26" t="s">
        <v>10</v>
      </c>
      <c r="B65" s="26" t="s">
        <v>34</v>
      </c>
      <c r="C65" s="26" t="s">
        <v>75</v>
      </c>
      <c r="D65" s="26" t="s">
        <v>13</v>
      </c>
      <c r="E65" s="26" t="s">
        <v>69</v>
      </c>
      <c r="F65" s="30">
        <v>90002690</v>
      </c>
      <c r="G65" s="26" t="s">
        <v>272</v>
      </c>
      <c r="H65" s="30">
        <v>28011175</v>
      </c>
      <c r="I65" s="26" t="s">
        <v>369</v>
      </c>
      <c r="J65" s="26" t="s">
        <v>210</v>
      </c>
      <c r="K65" s="26" t="s">
        <v>59</v>
      </c>
      <c r="L65" s="26" t="s">
        <v>60</v>
      </c>
    </row>
    <row r="66" spans="1:12">
      <c r="A66" s="26" t="s">
        <v>10</v>
      </c>
      <c r="B66" s="26" t="s">
        <v>36</v>
      </c>
      <c r="C66" s="26" t="s">
        <v>96</v>
      </c>
      <c r="D66" s="26" t="s">
        <v>13</v>
      </c>
      <c r="E66" s="26" t="s">
        <v>69</v>
      </c>
      <c r="F66" s="30">
        <v>902691</v>
      </c>
      <c r="G66" s="26" t="s">
        <v>274</v>
      </c>
      <c r="H66" s="30">
        <v>28011176</v>
      </c>
      <c r="I66" s="26" t="s">
        <v>553</v>
      </c>
      <c r="J66" s="26" t="s">
        <v>210</v>
      </c>
      <c r="K66" s="26" t="s">
        <v>59</v>
      </c>
      <c r="L66" s="26" t="s">
        <v>60</v>
      </c>
    </row>
    <row r="67" spans="1:12">
      <c r="A67" s="26" t="s">
        <v>10</v>
      </c>
      <c r="B67" s="26" t="s">
        <v>34</v>
      </c>
      <c r="C67" s="26" t="s">
        <v>61</v>
      </c>
      <c r="D67" s="26" t="s">
        <v>13</v>
      </c>
      <c r="E67" s="26" t="s">
        <v>69</v>
      </c>
      <c r="F67" s="30">
        <v>902692</v>
      </c>
      <c r="G67" s="26" t="s">
        <v>276</v>
      </c>
      <c r="H67" s="30">
        <v>28011177</v>
      </c>
      <c r="I67" s="26" t="s">
        <v>556</v>
      </c>
      <c r="J67" s="26" t="s">
        <v>69</v>
      </c>
      <c r="K67" s="26" t="s">
        <v>59</v>
      </c>
      <c r="L67" s="26" t="s">
        <v>60</v>
      </c>
    </row>
    <row r="68" spans="1:12">
      <c r="A68" s="26" t="s">
        <v>10</v>
      </c>
      <c r="B68" s="26" t="s">
        <v>64</v>
      </c>
      <c r="C68" s="26" t="s">
        <v>55</v>
      </c>
      <c r="D68" s="26" t="s">
        <v>24</v>
      </c>
      <c r="E68" s="26" t="s">
        <v>210</v>
      </c>
      <c r="F68" s="30">
        <v>902693</v>
      </c>
      <c r="G68" s="26" t="s">
        <v>280</v>
      </c>
      <c r="H68" s="30">
        <v>28011178</v>
      </c>
      <c r="I68" s="26" t="s">
        <v>557</v>
      </c>
      <c r="J68" s="26" t="s">
        <v>69</v>
      </c>
      <c r="K68" s="26" t="s">
        <v>59</v>
      </c>
      <c r="L68" s="26" t="s">
        <v>60</v>
      </c>
    </row>
    <row r="69" spans="1:12">
      <c r="A69" s="26" t="s">
        <v>10</v>
      </c>
      <c r="B69" s="26" t="s">
        <v>36</v>
      </c>
      <c r="C69" s="26" t="s">
        <v>96</v>
      </c>
      <c r="D69" s="26" t="s">
        <v>13</v>
      </c>
      <c r="E69" s="26" t="s">
        <v>69</v>
      </c>
      <c r="F69" s="30">
        <v>902694</v>
      </c>
      <c r="G69" s="26" t="s">
        <v>282</v>
      </c>
      <c r="H69" s="30">
        <v>28011179</v>
      </c>
      <c r="I69" s="26" t="s">
        <v>558</v>
      </c>
      <c r="J69" s="26" t="s">
        <v>69</v>
      </c>
      <c r="K69" s="26" t="s">
        <v>59</v>
      </c>
      <c r="L69" s="26" t="s">
        <v>60</v>
      </c>
    </row>
    <row r="70" spans="1:12">
      <c r="A70" s="26" t="s">
        <v>10</v>
      </c>
      <c r="B70" s="26" t="s">
        <v>54</v>
      </c>
      <c r="C70" s="26" t="s">
        <v>61</v>
      </c>
      <c r="D70" s="26" t="s">
        <v>13</v>
      </c>
      <c r="E70" s="26" t="s">
        <v>69</v>
      </c>
      <c r="F70" s="30">
        <v>90002695</v>
      </c>
      <c r="G70" s="26" t="s">
        <v>285</v>
      </c>
      <c r="H70" s="30">
        <v>28011180</v>
      </c>
      <c r="I70" s="26" t="s">
        <v>559</v>
      </c>
      <c r="J70" s="26" t="s">
        <v>69</v>
      </c>
      <c r="K70" s="26" t="s">
        <v>59</v>
      </c>
      <c r="L70" s="26" t="s">
        <v>60</v>
      </c>
    </row>
    <row r="71" spans="1:12">
      <c r="A71" s="26" t="s">
        <v>10</v>
      </c>
      <c r="B71" s="26" t="s">
        <v>36</v>
      </c>
      <c r="C71" s="26" t="s">
        <v>96</v>
      </c>
      <c r="D71" s="26" t="s">
        <v>13</v>
      </c>
      <c r="E71" s="26" t="s">
        <v>69</v>
      </c>
      <c r="F71" s="30">
        <v>90002696</v>
      </c>
      <c r="G71" s="26" t="s">
        <v>287</v>
      </c>
      <c r="H71" s="30">
        <v>28011181</v>
      </c>
      <c r="I71" s="26" t="s">
        <v>561</v>
      </c>
      <c r="J71" s="26" t="s">
        <v>69</v>
      </c>
      <c r="K71" s="26" t="s">
        <v>59</v>
      </c>
      <c r="L71" s="26" t="s">
        <v>60</v>
      </c>
    </row>
    <row r="72" spans="1:12">
      <c r="A72" s="26" t="s">
        <v>10</v>
      </c>
      <c r="B72" s="26" t="s">
        <v>35</v>
      </c>
      <c r="C72" s="26" t="s">
        <v>61</v>
      </c>
      <c r="D72" s="26" t="s">
        <v>13</v>
      </c>
      <c r="E72" s="26" t="s">
        <v>69</v>
      </c>
      <c r="F72" s="30">
        <v>902697</v>
      </c>
      <c r="G72" s="26" t="s">
        <v>293</v>
      </c>
      <c r="H72" s="30">
        <v>28011182</v>
      </c>
      <c r="I72" s="26" t="s">
        <v>562</v>
      </c>
      <c r="J72" s="26" t="s">
        <v>66</v>
      </c>
      <c r="K72" s="26" t="s">
        <v>59</v>
      </c>
      <c r="L72" s="26" t="s">
        <v>60</v>
      </c>
    </row>
    <row r="73" spans="1:12">
      <c r="A73" s="26" t="s">
        <v>10</v>
      </c>
      <c r="B73" s="26" t="s">
        <v>30</v>
      </c>
      <c r="C73" s="26" t="s">
        <v>61</v>
      </c>
      <c r="D73" s="26" t="s">
        <v>13</v>
      </c>
      <c r="E73" s="26" t="s">
        <v>69</v>
      </c>
      <c r="F73" s="30">
        <v>90002698</v>
      </c>
      <c r="G73" s="26" t="s">
        <v>296</v>
      </c>
      <c r="H73" s="30">
        <v>28011183</v>
      </c>
      <c r="I73" s="26" t="s">
        <v>563</v>
      </c>
      <c r="J73" s="26" t="s">
        <v>69</v>
      </c>
      <c r="K73" s="26" t="s">
        <v>59</v>
      </c>
      <c r="L73" s="26" t="s">
        <v>60</v>
      </c>
    </row>
    <row r="74" spans="1:12">
      <c r="A74" s="26" t="s">
        <v>10</v>
      </c>
      <c r="B74" s="26" t="s">
        <v>30</v>
      </c>
      <c r="C74" s="26" t="s">
        <v>61</v>
      </c>
      <c r="D74" s="26" t="s">
        <v>13</v>
      </c>
      <c r="E74" s="26" t="s">
        <v>69</v>
      </c>
      <c r="F74" s="30">
        <v>90002699</v>
      </c>
      <c r="G74" s="26" t="s">
        <v>298</v>
      </c>
      <c r="H74" s="30">
        <v>28011184</v>
      </c>
      <c r="I74" s="26" t="s">
        <v>564</v>
      </c>
      <c r="J74" s="26" t="s">
        <v>69</v>
      </c>
      <c r="K74" s="26" t="s">
        <v>59</v>
      </c>
      <c r="L74" s="26" t="s">
        <v>60</v>
      </c>
    </row>
    <row r="75" spans="1:12">
      <c r="A75" s="26" t="s">
        <v>10</v>
      </c>
      <c r="B75" s="26" t="s">
        <v>33</v>
      </c>
      <c r="C75" s="26" t="s">
        <v>91</v>
      </c>
      <c r="D75" s="26" t="s">
        <v>13</v>
      </c>
      <c r="E75" s="26" t="s">
        <v>69</v>
      </c>
      <c r="F75" s="30">
        <v>90002700</v>
      </c>
      <c r="G75" s="26" t="s">
        <v>300</v>
      </c>
      <c r="H75" s="30">
        <v>28011185</v>
      </c>
      <c r="I75" s="26" t="s">
        <v>565</v>
      </c>
      <c r="J75" s="26" t="s">
        <v>66</v>
      </c>
      <c r="K75" s="26" t="s">
        <v>59</v>
      </c>
      <c r="L75" s="26" t="s">
        <v>60</v>
      </c>
    </row>
    <row r="76" spans="1:12">
      <c r="A76" s="26" t="s">
        <v>10</v>
      </c>
      <c r="B76" s="26" t="s">
        <v>35</v>
      </c>
      <c r="C76" s="26" t="s">
        <v>91</v>
      </c>
      <c r="D76" s="26" t="s">
        <v>13</v>
      </c>
      <c r="E76" s="26" t="s">
        <v>69</v>
      </c>
      <c r="F76" s="30">
        <v>90002701</v>
      </c>
      <c r="G76" s="26" t="s">
        <v>302</v>
      </c>
      <c r="H76" s="30">
        <v>28011186</v>
      </c>
      <c r="I76" s="26" t="s">
        <v>566</v>
      </c>
      <c r="J76" s="26" t="s">
        <v>69</v>
      </c>
      <c r="K76" s="26" t="s">
        <v>59</v>
      </c>
      <c r="L76" s="26" t="s">
        <v>60</v>
      </c>
    </row>
    <row r="77" spans="1:12">
      <c r="A77" s="26" t="s">
        <v>10</v>
      </c>
      <c r="B77" s="26" t="s">
        <v>31</v>
      </c>
      <c r="C77" s="26" t="s">
        <v>61</v>
      </c>
      <c r="D77" s="26" t="s">
        <v>13</v>
      </c>
      <c r="E77" s="26" t="s">
        <v>69</v>
      </c>
      <c r="F77" s="30">
        <v>90002702</v>
      </c>
      <c r="G77" s="26" t="s">
        <v>306</v>
      </c>
      <c r="H77" s="30">
        <v>28011187</v>
      </c>
      <c r="I77" s="26" t="s">
        <v>567</v>
      </c>
      <c r="J77" s="26" t="s">
        <v>210</v>
      </c>
      <c r="K77" s="26" t="s">
        <v>59</v>
      </c>
      <c r="L77" s="26" t="s">
        <v>60</v>
      </c>
    </row>
    <row r="78" spans="1:12">
      <c r="A78" s="26" t="s">
        <v>10</v>
      </c>
      <c r="B78" s="26" t="s">
        <v>34</v>
      </c>
      <c r="C78" s="26" t="s">
        <v>75</v>
      </c>
      <c r="D78" s="26" t="s">
        <v>13</v>
      </c>
      <c r="E78" s="26" t="s">
        <v>69</v>
      </c>
      <c r="F78" s="30">
        <v>902703</v>
      </c>
      <c r="G78" s="26" t="s">
        <v>308</v>
      </c>
      <c r="H78" s="30">
        <v>28011188</v>
      </c>
      <c r="I78" s="26" t="s">
        <v>568</v>
      </c>
      <c r="J78" s="26" t="s">
        <v>69</v>
      </c>
      <c r="K78" s="26" t="s">
        <v>59</v>
      </c>
      <c r="L78" s="26" t="s">
        <v>60</v>
      </c>
    </row>
    <row r="79" spans="1:12">
      <c r="A79" s="26" t="s">
        <v>10</v>
      </c>
      <c r="B79" s="26" t="s">
        <v>29</v>
      </c>
      <c r="C79" s="26" t="s">
        <v>91</v>
      </c>
      <c r="D79" s="26" t="s">
        <v>13</v>
      </c>
      <c r="E79" s="26" t="s">
        <v>69</v>
      </c>
      <c r="F79" s="30">
        <v>90002704</v>
      </c>
      <c r="G79" s="26" t="s">
        <v>311</v>
      </c>
      <c r="H79" s="30">
        <v>28011189</v>
      </c>
      <c r="I79" s="26" t="s">
        <v>569</v>
      </c>
      <c r="J79" s="26" t="s">
        <v>66</v>
      </c>
      <c r="K79" s="26" t="s">
        <v>59</v>
      </c>
      <c r="L79" s="26" t="s">
        <v>60</v>
      </c>
    </row>
    <row r="80" spans="1:12">
      <c r="A80" s="26" t="s">
        <v>10</v>
      </c>
      <c r="B80" s="26" t="s">
        <v>64</v>
      </c>
      <c r="C80" s="26" t="s">
        <v>55</v>
      </c>
      <c r="D80" s="26" t="s">
        <v>24</v>
      </c>
      <c r="E80" s="26" t="s">
        <v>210</v>
      </c>
      <c r="F80" s="30">
        <v>902705</v>
      </c>
      <c r="G80" s="26" t="s">
        <v>315</v>
      </c>
      <c r="H80" s="30">
        <v>28011190</v>
      </c>
      <c r="I80" s="26" t="s">
        <v>570</v>
      </c>
      <c r="J80" s="26" t="s">
        <v>69</v>
      </c>
      <c r="K80" s="26" t="s">
        <v>59</v>
      </c>
      <c r="L80" s="26" t="s">
        <v>60</v>
      </c>
    </row>
    <row r="81" spans="1:12">
      <c r="A81" s="26" t="s">
        <v>10</v>
      </c>
      <c r="B81" s="26" t="s">
        <v>36</v>
      </c>
      <c r="C81" s="26" t="s">
        <v>61</v>
      </c>
      <c r="D81" s="26" t="s">
        <v>13</v>
      </c>
      <c r="E81" s="26" t="s">
        <v>69</v>
      </c>
      <c r="F81" s="30">
        <v>90002706</v>
      </c>
      <c r="G81" s="26" t="s">
        <v>317</v>
      </c>
      <c r="H81" s="30">
        <v>28011191</v>
      </c>
      <c r="I81" s="26" t="s">
        <v>571</v>
      </c>
      <c r="J81" s="26" t="s">
        <v>69</v>
      </c>
      <c r="K81" s="26" t="s">
        <v>59</v>
      </c>
      <c r="L81" s="26" t="s">
        <v>60</v>
      </c>
    </row>
    <row r="82" spans="1:12">
      <c r="A82" s="26" t="s">
        <v>10</v>
      </c>
      <c r="B82" s="26" t="s">
        <v>35</v>
      </c>
      <c r="C82" s="26" t="s">
        <v>107</v>
      </c>
      <c r="D82" s="26" t="s">
        <v>13</v>
      </c>
      <c r="E82" s="26" t="s">
        <v>69</v>
      </c>
      <c r="F82" s="30">
        <v>90002707</v>
      </c>
      <c r="G82" s="26" t="s">
        <v>319</v>
      </c>
      <c r="H82" s="30">
        <v>28011192</v>
      </c>
      <c r="I82" s="26" t="s">
        <v>572</v>
      </c>
      <c r="J82" s="26" t="s">
        <v>981</v>
      </c>
      <c r="K82" s="26" t="s">
        <v>59</v>
      </c>
      <c r="L82" s="26" t="s">
        <v>60</v>
      </c>
    </row>
    <row r="83" spans="1:12">
      <c r="A83" s="26" t="s">
        <v>10</v>
      </c>
      <c r="B83" s="26" t="s">
        <v>36</v>
      </c>
      <c r="C83" s="26" t="s">
        <v>61</v>
      </c>
      <c r="D83" s="26" t="s">
        <v>13</v>
      </c>
      <c r="E83" s="26" t="s">
        <v>69</v>
      </c>
      <c r="F83" s="30">
        <v>90002708</v>
      </c>
      <c r="G83" s="26" t="s">
        <v>321</v>
      </c>
      <c r="H83" s="30">
        <v>28011193</v>
      </c>
      <c r="I83" s="26" t="s">
        <v>573</v>
      </c>
      <c r="J83" s="26" t="s">
        <v>69</v>
      </c>
      <c r="K83" s="26" t="s">
        <v>59</v>
      </c>
      <c r="L83" s="26" t="s">
        <v>60</v>
      </c>
    </row>
    <row r="84" spans="1:12">
      <c r="A84" s="26" t="s">
        <v>10</v>
      </c>
      <c r="B84" s="26" t="s">
        <v>54</v>
      </c>
      <c r="C84" s="26" t="s">
        <v>75</v>
      </c>
      <c r="D84" s="26" t="s">
        <v>13</v>
      </c>
      <c r="E84" s="26" t="s">
        <v>69</v>
      </c>
      <c r="F84" s="30">
        <v>90002709</v>
      </c>
      <c r="G84" s="26" t="s">
        <v>325</v>
      </c>
      <c r="H84" s="30">
        <v>28011194</v>
      </c>
      <c r="I84" s="26" t="s">
        <v>574</v>
      </c>
      <c r="J84" s="26" t="s">
        <v>66</v>
      </c>
      <c r="K84" s="26" t="s">
        <v>59</v>
      </c>
      <c r="L84" s="26" t="s">
        <v>60</v>
      </c>
    </row>
    <row r="85" spans="1:12">
      <c r="A85" s="26" t="s">
        <v>10</v>
      </c>
      <c r="B85" s="26" t="s">
        <v>64</v>
      </c>
      <c r="C85" s="26" t="s">
        <v>55</v>
      </c>
      <c r="D85" s="26" t="s">
        <v>24</v>
      </c>
      <c r="E85" s="26" t="s">
        <v>99</v>
      </c>
      <c r="F85" s="30">
        <v>902710</v>
      </c>
      <c r="G85" s="26" t="s">
        <v>329</v>
      </c>
      <c r="H85" s="30">
        <v>28011195</v>
      </c>
      <c r="I85" s="26" t="s">
        <v>575</v>
      </c>
      <c r="J85" s="26" t="s">
        <v>99</v>
      </c>
      <c r="K85" s="26" t="s">
        <v>59</v>
      </c>
      <c r="L85" s="26" t="s">
        <v>60</v>
      </c>
    </row>
    <row r="86" spans="1:12">
      <c r="A86" s="26" t="s">
        <v>10</v>
      </c>
      <c r="B86" s="26" t="s">
        <v>64</v>
      </c>
      <c r="C86" s="26" t="s">
        <v>55</v>
      </c>
      <c r="D86" s="26" t="s">
        <v>24</v>
      </c>
      <c r="E86" s="26" t="s">
        <v>210</v>
      </c>
      <c r="F86" s="30">
        <v>902711</v>
      </c>
      <c r="G86" s="26" t="s">
        <v>331</v>
      </c>
      <c r="H86" s="30">
        <v>28011196</v>
      </c>
      <c r="I86" s="26" t="s">
        <v>576</v>
      </c>
      <c r="J86" s="26" t="s">
        <v>69</v>
      </c>
      <c r="K86" s="26" t="s">
        <v>59</v>
      </c>
      <c r="L86" s="26" t="s">
        <v>60</v>
      </c>
    </row>
    <row r="87" spans="1:12">
      <c r="A87" s="26" t="s">
        <v>11</v>
      </c>
      <c r="B87" s="26" t="s">
        <v>35</v>
      </c>
      <c r="C87" s="26" t="s">
        <v>91</v>
      </c>
      <c r="D87" s="26" t="s">
        <v>13</v>
      </c>
      <c r="E87" s="26" t="s">
        <v>69</v>
      </c>
      <c r="F87" s="30">
        <v>902712</v>
      </c>
      <c r="G87" s="26" t="s">
        <v>57</v>
      </c>
      <c r="H87" s="30">
        <v>28011197</v>
      </c>
      <c r="I87" s="26" t="s">
        <v>577</v>
      </c>
      <c r="J87" s="26" t="s">
        <v>69</v>
      </c>
      <c r="K87" s="26" t="s">
        <v>59</v>
      </c>
      <c r="L87" s="26" t="s">
        <v>60</v>
      </c>
    </row>
    <row r="88" spans="1:12">
      <c r="A88" s="26" t="s">
        <v>10</v>
      </c>
      <c r="B88" s="26" t="s">
        <v>29</v>
      </c>
      <c r="C88" s="26" t="s">
        <v>91</v>
      </c>
      <c r="D88" s="26" t="s">
        <v>13</v>
      </c>
      <c r="E88" s="26" t="s">
        <v>210</v>
      </c>
      <c r="F88" s="30">
        <v>90002713</v>
      </c>
      <c r="G88" s="26" t="s">
        <v>62</v>
      </c>
      <c r="H88" s="30">
        <v>28011198</v>
      </c>
      <c r="I88" s="26" t="s">
        <v>578</v>
      </c>
      <c r="J88" s="26" t="s">
        <v>210</v>
      </c>
      <c r="K88" s="26" t="s">
        <v>59</v>
      </c>
      <c r="L88" s="26" t="s">
        <v>60</v>
      </c>
    </row>
    <row r="89" spans="1:12">
      <c r="A89" s="26" t="s">
        <v>10</v>
      </c>
      <c r="B89" s="26" t="s">
        <v>31</v>
      </c>
      <c r="C89" s="26" t="s">
        <v>61</v>
      </c>
      <c r="D89" s="26" t="s">
        <v>13</v>
      </c>
      <c r="E89" s="26" t="s">
        <v>210</v>
      </c>
      <c r="F89" s="30">
        <v>902714</v>
      </c>
      <c r="G89" s="26" t="s">
        <v>67</v>
      </c>
      <c r="H89" s="30">
        <v>28011199</v>
      </c>
      <c r="I89" s="26" t="s">
        <v>579</v>
      </c>
      <c r="J89" s="26" t="s">
        <v>210</v>
      </c>
      <c r="K89" s="26" t="s">
        <v>59</v>
      </c>
      <c r="L89" s="26" t="s">
        <v>60</v>
      </c>
    </row>
    <row r="90" spans="1:12">
      <c r="A90" s="26" t="s">
        <v>10</v>
      </c>
      <c r="B90" s="26" t="s">
        <v>31</v>
      </c>
      <c r="C90" s="26" t="s">
        <v>61</v>
      </c>
      <c r="D90" s="26" t="s">
        <v>13</v>
      </c>
      <c r="E90" s="26" t="s">
        <v>210</v>
      </c>
      <c r="F90" s="30">
        <v>902715</v>
      </c>
      <c r="G90" s="26" t="s">
        <v>70</v>
      </c>
      <c r="H90" s="30">
        <v>28011200</v>
      </c>
      <c r="I90" s="26" t="s">
        <v>580</v>
      </c>
      <c r="J90" s="26" t="s">
        <v>210</v>
      </c>
      <c r="K90" s="26" t="s">
        <v>59</v>
      </c>
      <c r="L90" s="26" t="s">
        <v>60</v>
      </c>
    </row>
    <row r="91" spans="1:12">
      <c r="A91" s="26" t="s">
        <v>10</v>
      </c>
      <c r="B91" s="26" t="s">
        <v>31</v>
      </c>
      <c r="C91" s="26" t="s">
        <v>61</v>
      </c>
      <c r="D91" s="26" t="s">
        <v>13</v>
      </c>
      <c r="E91" s="26" t="s">
        <v>210</v>
      </c>
      <c r="F91" s="30">
        <v>902716</v>
      </c>
      <c r="G91" s="26" t="s">
        <v>73</v>
      </c>
      <c r="H91" s="30">
        <v>28011201</v>
      </c>
      <c r="I91" s="26" t="s">
        <v>581</v>
      </c>
      <c r="J91" s="26" t="s">
        <v>210</v>
      </c>
      <c r="K91" s="26" t="s">
        <v>59</v>
      </c>
      <c r="L91" s="26" t="s">
        <v>60</v>
      </c>
    </row>
    <row r="92" spans="1:12">
      <c r="A92" s="26" t="s">
        <v>10</v>
      </c>
      <c r="B92" s="26" t="s">
        <v>34</v>
      </c>
      <c r="C92" s="26" t="s">
        <v>61</v>
      </c>
      <c r="D92" s="26" t="s">
        <v>13</v>
      </c>
      <c r="E92" s="26" t="s">
        <v>210</v>
      </c>
      <c r="F92" s="30">
        <v>90002717</v>
      </c>
      <c r="G92" s="26" t="s">
        <v>84</v>
      </c>
      <c r="H92" s="30">
        <v>28011202</v>
      </c>
      <c r="I92" s="26" t="s">
        <v>582</v>
      </c>
      <c r="J92" s="26" t="s">
        <v>69</v>
      </c>
      <c r="K92" s="26" t="s">
        <v>59</v>
      </c>
      <c r="L92" s="26" t="s">
        <v>60</v>
      </c>
    </row>
    <row r="93" spans="1:12">
      <c r="A93" s="26" t="s">
        <v>10</v>
      </c>
      <c r="B93" s="26" t="s">
        <v>34</v>
      </c>
      <c r="C93" s="26" t="s">
        <v>61</v>
      </c>
      <c r="D93" s="26" t="s">
        <v>13</v>
      </c>
      <c r="E93" s="26" t="s">
        <v>210</v>
      </c>
      <c r="F93" s="30">
        <v>902718</v>
      </c>
      <c r="G93" s="26" t="s">
        <v>92</v>
      </c>
      <c r="H93" s="30">
        <v>28011203</v>
      </c>
      <c r="I93" s="26" t="s">
        <v>583</v>
      </c>
      <c r="J93" s="26" t="s">
        <v>210</v>
      </c>
      <c r="K93" s="26" t="s">
        <v>59</v>
      </c>
      <c r="L93" s="26" t="s">
        <v>60</v>
      </c>
    </row>
    <row r="94" spans="1:12">
      <c r="A94" s="26" t="s">
        <v>10</v>
      </c>
      <c r="B94" s="26" t="s">
        <v>64</v>
      </c>
      <c r="C94" s="26" t="s">
        <v>65</v>
      </c>
      <c r="D94" s="26" t="s">
        <v>13</v>
      </c>
      <c r="E94" s="26" t="s">
        <v>210</v>
      </c>
      <c r="F94" s="30">
        <v>902719</v>
      </c>
      <c r="G94" s="26" t="s">
        <v>100</v>
      </c>
      <c r="H94" s="30">
        <v>28011204</v>
      </c>
      <c r="I94" s="26" t="s">
        <v>584</v>
      </c>
      <c r="J94" s="26" t="s">
        <v>69</v>
      </c>
      <c r="K94" s="26" t="s">
        <v>59</v>
      </c>
      <c r="L94" s="26" t="s">
        <v>60</v>
      </c>
    </row>
    <row r="95" spans="1:12">
      <c r="A95" s="26" t="s">
        <v>10</v>
      </c>
      <c r="B95" s="26" t="s">
        <v>64</v>
      </c>
      <c r="C95" s="26" t="s">
        <v>65</v>
      </c>
      <c r="D95" s="26" t="s">
        <v>13</v>
      </c>
      <c r="E95" s="26" t="s">
        <v>210</v>
      </c>
      <c r="F95" s="30">
        <v>902720</v>
      </c>
      <c r="G95" s="26" t="s">
        <v>103</v>
      </c>
      <c r="H95" s="30">
        <v>28011205</v>
      </c>
      <c r="I95" s="26" t="s">
        <v>585</v>
      </c>
      <c r="J95" s="26" t="s">
        <v>210</v>
      </c>
      <c r="K95" s="26" t="s">
        <v>59</v>
      </c>
      <c r="L95" s="26" t="s">
        <v>60</v>
      </c>
    </row>
    <row r="96" spans="1:12">
      <c r="A96" s="26" t="s">
        <v>10</v>
      </c>
      <c r="B96" s="26" t="s">
        <v>64</v>
      </c>
      <c r="C96" s="26" t="s">
        <v>65</v>
      </c>
      <c r="D96" s="26" t="s">
        <v>13</v>
      </c>
      <c r="E96" s="26" t="s">
        <v>210</v>
      </c>
      <c r="F96" s="30">
        <v>902721</v>
      </c>
      <c r="G96" s="26" t="s">
        <v>103</v>
      </c>
      <c r="H96" s="30">
        <v>28011206</v>
      </c>
      <c r="I96" s="26" t="s">
        <v>586</v>
      </c>
      <c r="J96" s="26" t="s">
        <v>69</v>
      </c>
      <c r="K96" s="26" t="s">
        <v>59</v>
      </c>
      <c r="L96" s="26" t="s">
        <v>60</v>
      </c>
    </row>
    <row r="97" spans="1:12">
      <c r="A97" s="26" t="s">
        <v>10</v>
      </c>
      <c r="B97" s="26" t="s">
        <v>29</v>
      </c>
      <c r="C97" s="26" t="s">
        <v>65</v>
      </c>
      <c r="D97" s="26" t="s">
        <v>13</v>
      </c>
      <c r="E97" s="26" t="s">
        <v>210</v>
      </c>
      <c r="F97" s="30">
        <v>902722</v>
      </c>
      <c r="G97" s="26" t="s">
        <v>111</v>
      </c>
      <c r="H97" s="30">
        <v>28011207</v>
      </c>
      <c r="I97" s="26" t="s">
        <v>587</v>
      </c>
      <c r="J97" s="26" t="s">
        <v>210</v>
      </c>
      <c r="K97" s="26" t="s">
        <v>59</v>
      </c>
      <c r="L97" s="26" t="s">
        <v>60</v>
      </c>
    </row>
    <row r="98" spans="1:12">
      <c r="A98" s="26" t="s">
        <v>10</v>
      </c>
      <c r="B98" s="26" t="s">
        <v>34</v>
      </c>
      <c r="C98" s="26" t="s">
        <v>61</v>
      </c>
      <c r="D98" s="26" t="s">
        <v>13</v>
      </c>
      <c r="E98" s="26" t="s">
        <v>210</v>
      </c>
      <c r="F98" s="30">
        <v>902723</v>
      </c>
      <c r="G98" s="26" t="s">
        <v>113</v>
      </c>
      <c r="H98" s="30">
        <v>28011208</v>
      </c>
      <c r="I98" s="26" t="s">
        <v>588</v>
      </c>
      <c r="J98" s="26" t="s">
        <v>99</v>
      </c>
      <c r="K98" s="26" t="s">
        <v>59</v>
      </c>
      <c r="L98" s="26" t="s">
        <v>60</v>
      </c>
    </row>
    <row r="99" spans="1:12">
      <c r="A99" s="26" t="s">
        <v>10</v>
      </c>
      <c r="B99" s="26" t="s">
        <v>29</v>
      </c>
      <c r="C99" s="26" t="s">
        <v>65</v>
      </c>
      <c r="D99" s="26" t="s">
        <v>13</v>
      </c>
      <c r="E99" s="26" t="s">
        <v>210</v>
      </c>
      <c r="F99" s="30">
        <v>90002724</v>
      </c>
      <c r="G99" s="26" t="s">
        <v>116</v>
      </c>
      <c r="H99" s="30">
        <v>28011209</v>
      </c>
      <c r="I99" s="26" t="s">
        <v>589</v>
      </c>
      <c r="J99" s="26" t="s">
        <v>69</v>
      </c>
      <c r="K99" s="26" t="s">
        <v>59</v>
      </c>
      <c r="L99" s="26" t="s">
        <v>60</v>
      </c>
    </row>
    <row r="100" spans="1:12">
      <c r="A100" s="26" t="s">
        <v>10</v>
      </c>
      <c r="B100" s="26" t="s">
        <v>54</v>
      </c>
      <c r="C100" s="26" t="s">
        <v>61</v>
      </c>
      <c r="D100" s="26" t="s">
        <v>13</v>
      </c>
      <c r="E100" s="26" t="s">
        <v>210</v>
      </c>
      <c r="F100" s="30">
        <v>90002725</v>
      </c>
      <c r="G100" s="26" t="s">
        <v>118</v>
      </c>
      <c r="H100" s="30">
        <v>28011210</v>
      </c>
      <c r="I100" s="26" t="s">
        <v>590</v>
      </c>
      <c r="J100" s="26" t="s">
        <v>69</v>
      </c>
      <c r="K100" s="26" t="s">
        <v>59</v>
      </c>
      <c r="L100" s="26" t="s">
        <v>60</v>
      </c>
    </row>
    <row r="101" spans="1:12">
      <c r="A101" s="26" t="s">
        <v>10</v>
      </c>
      <c r="B101" s="26" t="s">
        <v>54</v>
      </c>
      <c r="C101" s="26" t="s">
        <v>61</v>
      </c>
      <c r="D101" s="26" t="s">
        <v>13</v>
      </c>
      <c r="E101" s="26" t="s">
        <v>210</v>
      </c>
      <c r="F101" s="30">
        <v>90002726</v>
      </c>
      <c r="G101" s="26" t="s">
        <v>120</v>
      </c>
      <c r="H101" s="30">
        <v>28011211</v>
      </c>
      <c r="I101" s="26" t="s">
        <v>591</v>
      </c>
      <c r="J101" s="26" t="s">
        <v>210</v>
      </c>
      <c r="K101" s="26" t="s">
        <v>59</v>
      </c>
      <c r="L101" s="26" t="s">
        <v>60</v>
      </c>
    </row>
    <row r="102" spans="1:12">
      <c r="A102" s="26" t="s">
        <v>10</v>
      </c>
      <c r="B102" s="26" t="s">
        <v>35</v>
      </c>
      <c r="C102" s="26" t="s">
        <v>107</v>
      </c>
      <c r="D102" s="26" t="s">
        <v>13</v>
      </c>
      <c r="E102" s="26" t="s">
        <v>210</v>
      </c>
      <c r="F102" s="30">
        <v>90002727</v>
      </c>
      <c r="G102" s="26" t="s">
        <v>126</v>
      </c>
      <c r="H102" s="30">
        <v>28011212</v>
      </c>
      <c r="I102" s="26" t="s">
        <v>592</v>
      </c>
      <c r="J102" s="26" t="s">
        <v>69</v>
      </c>
      <c r="K102" s="26" t="s">
        <v>59</v>
      </c>
      <c r="L102" s="26" t="s">
        <v>60</v>
      </c>
    </row>
    <row r="103" spans="1:12">
      <c r="A103" s="26" t="s">
        <v>10</v>
      </c>
      <c r="B103" s="26" t="s">
        <v>33</v>
      </c>
      <c r="C103" s="26" t="s">
        <v>91</v>
      </c>
      <c r="D103" s="26" t="s">
        <v>13</v>
      </c>
      <c r="E103" s="26" t="s">
        <v>210</v>
      </c>
      <c r="F103" s="30">
        <v>90002728</v>
      </c>
      <c r="G103" s="26" t="s">
        <v>129</v>
      </c>
      <c r="H103" s="30">
        <v>28011213</v>
      </c>
      <c r="I103" s="26" t="s">
        <v>593</v>
      </c>
      <c r="J103" s="26" t="s">
        <v>69</v>
      </c>
      <c r="K103" s="26" t="s">
        <v>59</v>
      </c>
      <c r="L103" s="26" t="s">
        <v>60</v>
      </c>
    </row>
    <row r="104" spans="1:12">
      <c r="A104" s="26" t="s">
        <v>10</v>
      </c>
      <c r="B104" s="26" t="s">
        <v>29</v>
      </c>
      <c r="C104" s="26" t="s">
        <v>91</v>
      </c>
      <c r="D104" s="26" t="s">
        <v>13</v>
      </c>
      <c r="E104" s="26" t="s">
        <v>210</v>
      </c>
      <c r="F104" s="30">
        <v>90002729</v>
      </c>
      <c r="G104" s="26" t="s">
        <v>131</v>
      </c>
      <c r="H104" s="30">
        <v>28011214</v>
      </c>
      <c r="I104" s="26" t="s">
        <v>594</v>
      </c>
      <c r="J104" s="26" t="s">
        <v>210</v>
      </c>
      <c r="K104" s="26" t="s">
        <v>59</v>
      </c>
      <c r="L104" s="26" t="s">
        <v>60</v>
      </c>
    </row>
    <row r="105" spans="1:12">
      <c r="A105" s="26" t="s">
        <v>12</v>
      </c>
      <c r="B105" s="26" t="s">
        <v>30</v>
      </c>
      <c r="C105" s="26" t="s">
        <v>61</v>
      </c>
      <c r="D105" s="26" t="s">
        <v>13</v>
      </c>
      <c r="E105" s="26" t="s">
        <v>210</v>
      </c>
      <c r="F105" s="30">
        <v>902730</v>
      </c>
      <c r="G105" s="26" t="s">
        <v>133</v>
      </c>
      <c r="H105" s="30">
        <v>28011215</v>
      </c>
      <c r="I105" s="26" t="s">
        <v>595</v>
      </c>
      <c r="J105" s="26" t="s">
        <v>210</v>
      </c>
      <c r="K105" s="26" t="s">
        <v>59</v>
      </c>
      <c r="L105" s="26" t="s">
        <v>60</v>
      </c>
    </row>
    <row r="106" spans="1:12">
      <c r="A106" s="26" t="s">
        <v>10</v>
      </c>
      <c r="B106" s="26" t="s">
        <v>29</v>
      </c>
      <c r="C106" s="26" t="s">
        <v>65</v>
      </c>
      <c r="D106" s="26" t="s">
        <v>13</v>
      </c>
      <c r="E106" s="26" t="s">
        <v>210</v>
      </c>
      <c r="F106" s="30">
        <v>90002731</v>
      </c>
      <c r="G106" s="26" t="s">
        <v>135</v>
      </c>
      <c r="H106" s="30">
        <v>28011216</v>
      </c>
      <c r="I106" s="26" t="s">
        <v>596</v>
      </c>
      <c r="J106" s="26" t="s">
        <v>69</v>
      </c>
      <c r="K106" s="26" t="s">
        <v>59</v>
      </c>
      <c r="L106" s="26" t="s">
        <v>60</v>
      </c>
    </row>
    <row r="107" spans="1:12">
      <c r="A107" s="26" t="s">
        <v>10</v>
      </c>
      <c r="B107" s="26" t="s">
        <v>35</v>
      </c>
      <c r="C107" s="26" t="s">
        <v>61</v>
      </c>
      <c r="D107" s="26" t="s">
        <v>13</v>
      </c>
      <c r="E107" s="26" t="s">
        <v>210</v>
      </c>
      <c r="F107" s="30">
        <v>902732</v>
      </c>
      <c r="G107" s="26" t="s">
        <v>137</v>
      </c>
      <c r="H107" s="30">
        <v>28011217</v>
      </c>
      <c r="I107" s="26" t="s">
        <v>597</v>
      </c>
      <c r="J107" s="26" t="s">
        <v>210</v>
      </c>
      <c r="K107" s="26" t="s">
        <v>59</v>
      </c>
      <c r="L107" s="26" t="s">
        <v>60</v>
      </c>
    </row>
    <row r="108" spans="1:12">
      <c r="A108" s="26" t="s">
        <v>10</v>
      </c>
      <c r="B108" s="26" t="s">
        <v>29</v>
      </c>
      <c r="C108" s="26" t="s">
        <v>91</v>
      </c>
      <c r="D108" s="26" t="s">
        <v>13</v>
      </c>
      <c r="E108" s="26" t="s">
        <v>210</v>
      </c>
      <c r="F108" s="30">
        <v>90002733</v>
      </c>
      <c r="G108" s="26" t="s">
        <v>139</v>
      </c>
      <c r="H108" s="30">
        <v>28011218</v>
      </c>
      <c r="I108" s="26" t="s">
        <v>598</v>
      </c>
      <c r="J108" s="26" t="s">
        <v>210</v>
      </c>
      <c r="K108" s="26" t="s">
        <v>59</v>
      </c>
      <c r="L108" s="26" t="s">
        <v>60</v>
      </c>
    </row>
    <row r="109" spans="1:12">
      <c r="A109" s="26" t="s">
        <v>10</v>
      </c>
      <c r="B109" s="26" t="s">
        <v>29</v>
      </c>
      <c r="C109" s="26" t="s">
        <v>65</v>
      </c>
      <c r="D109" s="26" t="s">
        <v>13</v>
      </c>
      <c r="E109" s="26" t="s">
        <v>210</v>
      </c>
      <c r="F109" s="30">
        <v>90002734</v>
      </c>
      <c r="G109" s="26" t="s">
        <v>141</v>
      </c>
      <c r="H109" s="30">
        <v>28011219</v>
      </c>
      <c r="I109" s="26" t="s">
        <v>599</v>
      </c>
      <c r="J109" s="26" t="s">
        <v>69</v>
      </c>
      <c r="K109" s="26" t="s">
        <v>59</v>
      </c>
      <c r="L109" s="26" t="s">
        <v>60</v>
      </c>
    </row>
    <row r="110" spans="1:12">
      <c r="A110" s="26" t="s">
        <v>10</v>
      </c>
      <c r="B110" s="26" t="s">
        <v>29</v>
      </c>
      <c r="C110" s="26" t="s">
        <v>65</v>
      </c>
      <c r="D110" s="26" t="s">
        <v>13</v>
      </c>
      <c r="E110" s="26" t="s">
        <v>210</v>
      </c>
      <c r="F110" s="30">
        <v>90002735</v>
      </c>
      <c r="G110" s="26" t="s">
        <v>135</v>
      </c>
      <c r="H110" s="30">
        <v>28011220</v>
      </c>
      <c r="I110" s="26" t="s">
        <v>600</v>
      </c>
      <c r="J110" s="26" t="s">
        <v>69</v>
      </c>
      <c r="K110" s="26" t="s">
        <v>59</v>
      </c>
      <c r="L110" s="26" t="s">
        <v>60</v>
      </c>
    </row>
    <row r="111" spans="1:12">
      <c r="A111" s="26" t="s">
        <v>10</v>
      </c>
      <c r="B111" s="26" t="s">
        <v>35</v>
      </c>
      <c r="C111" s="26" t="s">
        <v>61</v>
      </c>
      <c r="D111" s="26" t="s">
        <v>13</v>
      </c>
      <c r="E111" s="26" t="s">
        <v>210</v>
      </c>
      <c r="F111" s="30">
        <v>902736</v>
      </c>
      <c r="G111" s="26" t="s">
        <v>142</v>
      </c>
      <c r="H111" s="30">
        <v>28011221</v>
      </c>
      <c r="I111" s="26" t="s">
        <v>601</v>
      </c>
      <c r="J111" s="26" t="s">
        <v>210</v>
      </c>
      <c r="K111" s="26" t="s">
        <v>59</v>
      </c>
      <c r="L111" s="26" t="s">
        <v>60</v>
      </c>
    </row>
    <row r="112" spans="1:12">
      <c r="A112" s="26" t="s">
        <v>10</v>
      </c>
      <c r="B112" s="26" t="s">
        <v>35</v>
      </c>
      <c r="C112" s="26" t="s">
        <v>61</v>
      </c>
      <c r="D112" s="26" t="s">
        <v>13</v>
      </c>
      <c r="E112" s="26" t="s">
        <v>210</v>
      </c>
      <c r="F112" s="30">
        <v>902737</v>
      </c>
      <c r="G112" s="26" t="s">
        <v>144</v>
      </c>
      <c r="H112" s="30">
        <v>28011222</v>
      </c>
      <c r="I112" s="26" t="s">
        <v>602</v>
      </c>
      <c r="J112" s="26" t="s">
        <v>210</v>
      </c>
      <c r="K112" s="26" t="s">
        <v>59</v>
      </c>
      <c r="L112" s="26" t="s">
        <v>60</v>
      </c>
    </row>
    <row r="113" spans="1:12">
      <c r="A113" s="26" t="s">
        <v>10</v>
      </c>
      <c r="B113" s="26" t="s">
        <v>64</v>
      </c>
      <c r="C113" s="26" t="s">
        <v>91</v>
      </c>
      <c r="D113" s="26" t="s">
        <v>13</v>
      </c>
      <c r="E113" s="26" t="s">
        <v>210</v>
      </c>
      <c r="F113" s="30">
        <v>90002738</v>
      </c>
      <c r="G113" s="26" t="s">
        <v>146</v>
      </c>
      <c r="H113" s="30">
        <v>88011223</v>
      </c>
      <c r="I113" s="26" t="s">
        <v>603</v>
      </c>
      <c r="J113" s="26" t="s">
        <v>69</v>
      </c>
      <c r="K113" s="26" t="s">
        <v>59</v>
      </c>
      <c r="L113" s="26" t="s">
        <v>60</v>
      </c>
    </row>
    <row r="114" spans="1:12">
      <c r="A114" s="26" t="s">
        <v>10</v>
      </c>
      <c r="B114" s="26" t="s">
        <v>64</v>
      </c>
      <c r="C114" s="26" t="s">
        <v>61</v>
      </c>
      <c r="D114" s="26" t="s">
        <v>13</v>
      </c>
      <c r="E114" s="26" t="s">
        <v>210</v>
      </c>
      <c r="F114" s="30">
        <v>90002739</v>
      </c>
      <c r="G114" s="26" t="s">
        <v>148</v>
      </c>
      <c r="H114" s="30">
        <v>28011224</v>
      </c>
      <c r="I114" s="26" t="s">
        <v>604</v>
      </c>
      <c r="J114" s="26" t="s">
        <v>69</v>
      </c>
      <c r="K114" s="26" t="s">
        <v>59</v>
      </c>
      <c r="L114" s="26" t="s">
        <v>60</v>
      </c>
    </row>
    <row r="115" spans="1:12">
      <c r="A115" s="26" t="s">
        <v>10</v>
      </c>
      <c r="B115" s="26" t="s">
        <v>29</v>
      </c>
      <c r="C115" s="26" t="s">
        <v>65</v>
      </c>
      <c r="D115" s="26" t="s">
        <v>13</v>
      </c>
      <c r="E115" s="26" t="s">
        <v>210</v>
      </c>
      <c r="F115" s="30">
        <v>90002740</v>
      </c>
      <c r="G115" s="26" t="s">
        <v>151</v>
      </c>
      <c r="H115" s="30">
        <v>28011225</v>
      </c>
      <c r="I115" s="26" t="s">
        <v>605</v>
      </c>
      <c r="J115" s="26" t="s">
        <v>69</v>
      </c>
      <c r="K115" s="26" t="s">
        <v>59</v>
      </c>
      <c r="L115" s="26" t="s">
        <v>60</v>
      </c>
    </row>
    <row r="116" spans="1:12">
      <c r="A116" s="26" t="s">
        <v>10</v>
      </c>
      <c r="B116" s="26" t="s">
        <v>34</v>
      </c>
      <c r="C116" s="26" t="s">
        <v>75</v>
      </c>
      <c r="D116" s="26" t="s">
        <v>13</v>
      </c>
      <c r="E116" s="26" t="s">
        <v>210</v>
      </c>
      <c r="F116" s="30">
        <v>90002741</v>
      </c>
      <c r="G116" s="26" t="s">
        <v>153</v>
      </c>
      <c r="H116" s="30">
        <v>28011226</v>
      </c>
      <c r="I116" s="26" t="s">
        <v>606</v>
      </c>
      <c r="J116" s="26" t="s">
        <v>99</v>
      </c>
      <c r="K116" s="26" t="s">
        <v>59</v>
      </c>
      <c r="L116" s="26" t="s">
        <v>60</v>
      </c>
    </row>
    <row r="117" spans="1:12">
      <c r="A117" s="26" t="s">
        <v>10</v>
      </c>
      <c r="B117" s="26" t="s">
        <v>34</v>
      </c>
      <c r="C117" s="26" t="s">
        <v>75</v>
      </c>
      <c r="D117" s="26" t="s">
        <v>13</v>
      </c>
      <c r="E117" s="26" t="s">
        <v>210</v>
      </c>
      <c r="F117" s="30">
        <v>90002742</v>
      </c>
      <c r="G117" s="26" t="s">
        <v>137</v>
      </c>
      <c r="H117" s="30">
        <v>28011227</v>
      </c>
      <c r="I117" s="26" t="s">
        <v>607</v>
      </c>
      <c r="J117" s="26" t="s">
        <v>99</v>
      </c>
      <c r="K117" s="26" t="s">
        <v>59</v>
      </c>
      <c r="L117" s="26" t="s">
        <v>60</v>
      </c>
    </row>
    <row r="118" spans="1:12">
      <c r="A118" s="26" t="s">
        <v>10</v>
      </c>
      <c r="B118" s="26" t="s">
        <v>30</v>
      </c>
      <c r="C118" s="26" t="s">
        <v>75</v>
      </c>
      <c r="D118" s="26" t="s">
        <v>13</v>
      </c>
      <c r="E118" s="26" t="s">
        <v>210</v>
      </c>
      <c r="F118" s="30">
        <v>90002743</v>
      </c>
      <c r="G118" s="26" t="s">
        <v>137</v>
      </c>
      <c r="H118" s="30">
        <v>28011228</v>
      </c>
      <c r="I118" s="26" t="s">
        <v>608</v>
      </c>
      <c r="J118" s="26" t="s">
        <v>69</v>
      </c>
      <c r="K118" s="26" t="s">
        <v>59</v>
      </c>
      <c r="L118" s="26" t="s">
        <v>60</v>
      </c>
    </row>
    <row r="119" spans="1:12">
      <c r="A119" s="26" t="s">
        <v>10</v>
      </c>
      <c r="B119" s="26" t="s">
        <v>30</v>
      </c>
      <c r="C119" s="26" t="s">
        <v>61</v>
      </c>
      <c r="D119" s="26" t="s">
        <v>13</v>
      </c>
      <c r="E119" s="26" t="s">
        <v>210</v>
      </c>
      <c r="F119" s="30">
        <v>902744</v>
      </c>
      <c r="G119" s="26" t="s">
        <v>157</v>
      </c>
      <c r="H119" s="30">
        <v>28011229</v>
      </c>
      <c r="I119" s="26" t="s">
        <v>609</v>
      </c>
      <c r="J119" s="26" t="s">
        <v>210</v>
      </c>
      <c r="K119" s="26" t="s">
        <v>59</v>
      </c>
      <c r="L119" s="26" t="s">
        <v>60</v>
      </c>
    </row>
    <row r="120" spans="1:12">
      <c r="A120" s="26" t="s">
        <v>10</v>
      </c>
      <c r="B120" s="26" t="s">
        <v>29</v>
      </c>
      <c r="C120" s="26" t="s">
        <v>91</v>
      </c>
      <c r="D120" s="26" t="s">
        <v>13</v>
      </c>
      <c r="E120" s="26" t="s">
        <v>210</v>
      </c>
      <c r="F120" s="30">
        <v>90002745</v>
      </c>
      <c r="G120" s="26" t="s">
        <v>160</v>
      </c>
      <c r="H120" s="30">
        <v>28011230</v>
      </c>
      <c r="I120" s="26" t="s">
        <v>613</v>
      </c>
      <c r="J120" s="26" t="s">
        <v>210</v>
      </c>
      <c r="K120" s="26" t="s">
        <v>59</v>
      </c>
      <c r="L120" s="26" t="s">
        <v>60</v>
      </c>
    </row>
    <row r="121" spans="1:12">
      <c r="A121" s="26" t="s">
        <v>10</v>
      </c>
      <c r="B121" s="26" t="s">
        <v>31</v>
      </c>
      <c r="C121" s="26" t="s">
        <v>75</v>
      </c>
      <c r="D121" s="26" t="s">
        <v>13</v>
      </c>
      <c r="E121" s="26" t="s">
        <v>210</v>
      </c>
      <c r="F121" s="30">
        <v>90002746</v>
      </c>
      <c r="G121" s="26" t="s">
        <v>162</v>
      </c>
      <c r="H121" s="30">
        <v>28011231</v>
      </c>
      <c r="I121" s="26" t="s">
        <v>614</v>
      </c>
      <c r="J121" s="26" t="s">
        <v>210</v>
      </c>
      <c r="K121" s="26" t="s">
        <v>59</v>
      </c>
      <c r="L121" s="26" t="s">
        <v>60</v>
      </c>
    </row>
    <row r="122" spans="1:12">
      <c r="A122" s="26" t="s">
        <v>10</v>
      </c>
      <c r="B122" s="26" t="s">
        <v>30</v>
      </c>
      <c r="C122" s="26" t="s">
        <v>75</v>
      </c>
      <c r="D122" s="26" t="s">
        <v>13</v>
      </c>
      <c r="E122" s="26" t="s">
        <v>210</v>
      </c>
      <c r="F122" s="30">
        <v>90002747</v>
      </c>
      <c r="G122" s="26" t="s">
        <v>165</v>
      </c>
      <c r="H122" s="30">
        <v>28011232</v>
      </c>
      <c r="I122" s="26" t="s">
        <v>615</v>
      </c>
      <c r="J122" s="26" t="s">
        <v>210</v>
      </c>
      <c r="K122" s="26" t="s">
        <v>59</v>
      </c>
      <c r="L122" s="26" t="s">
        <v>60</v>
      </c>
    </row>
    <row r="123" spans="1:12">
      <c r="A123" s="26" t="s">
        <v>10</v>
      </c>
      <c r="B123" s="26" t="s">
        <v>33</v>
      </c>
      <c r="C123" s="26" t="s">
        <v>65</v>
      </c>
      <c r="D123" s="26" t="s">
        <v>20</v>
      </c>
      <c r="E123" s="26" t="s">
        <v>210</v>
      </c>
      <c r="F123" s="30">
        <v>902748</v>
      </c>
      <c r="G123" s="26" t="s">
        <v>166</v>
      </c>
      <c r="H123" s="30">
        <v>28011233</v>
      </c>
      <c r="I123" s="26" t="s">
        <v>616</v>
      </c>
      <c r="J123" s="26" t="s">
        <v>210</v>
      </c>
      <c r="K123" s="26" t="s">
        <v>59</v>
      </c>
      <c r="L123" s="26" t="s">
        <v>60</v>
      </c>
    </row>
    <row r="124" spans="1:12">
      <c r="A124" s="26" t="s">
        <v>10</v>
      </c>
      <c r="B124" s="26" t="s">
        <v>29</v>
      </c>
      <c r="C124" s="26" t="s">
        <v>91</v>
      </c>
      <c r="D124" s="26" t="s">
        <v>13</v>
      </c>
      <c r="E124" s="26" t="s">
        <v>99</v>
      </c>
      <c r="F124" s="30">
        <v>90002749</v>
      </c>
      <c r="G124" s="26" t="s">
        <v>168</v>
      </c>
      <c r="H124" s="30">
        <v>28011234</v>
      </c>
      <c r="I124" s="26" t="s">
        <v>617</v>
      </c>
      <c r="J124" s="26" t="s">
        <v>99</v>
      </c>
      <c r="K124" s="26" t="s">
        <v>59</v>
      </c>
      <c r="L124" s="26" t="s">
        <v>60</v>
      </c>
    </row>
    <row r="125" spans="1:12">
      <c r="A125" s="26" t="s">
        <v>10</v>
      </c>
      <c r="B125" s="26" t="s">
        <v>34</v>
      </c>
      <c r="C125" s="26" t="s">
        <v>75</v>
      </c>
      <c r="D125" s="26" t="s">
        <v>13</v>
      </c>
      <c r="E125" s="26" t="s">
        <v>99</v>
      </c>
      <c r="F125" s="30">
        <v>90002750</v>
      </c>
      <c r="G125" s="26" t="s">
        <v>170</v>
      </c>
      <c r="H125" s="30">
        <v>28011235</v>
      </c>
      <c r="I125" s="26" t="s">
        <v>618</v>
      </c>
      <c r="J125" s="26" t="s">
        <v>128</v>
      </c>
      <c r="K125" s="26" t="s">
        <v>59</v>
      </c>
      <c r="L125" s="26" t="s">
        <v>60</v>
      </c>
    </row>
    <row r="126" spans="1:12">
      <c r="A126" s="26" t="s">
        <v>10</v>
      </c>
      <c r="B126" s="26" t="s">
        <v>30</v>
      </c>
      <c r="C126" s="26" t="s">
        <v>75</v>
      </c>
      <c r="D126" s="26" t="s">
        <v>13</v>
      </c>
      <c r="E126" s="26" t="s">
        <v>99</v>
      </c>
      <c r="F126" s="30">
        <v>902751</v>
      </c>
      <c r="G126" s="26" t="s">
        <v>172</v>
      </c>
      <c r="H126" s="30">
        <v>28011236</v>
      </c>
      <c r="I126" s="26" t="s">
        <v>619</v>
      </c>
      <c r="J126" s="26" t="s">
        <v>128</v>
      </c>
      <c r="K126" s="26" t="s">
        <v>59</v>
      </c>
      <c r="L126" s="26" t="s">
        <v>60</v>
      </c>
    </row>
    <row r="127" spans="1:12">
      <c r="A127" s="26" t="s">
        <v>10</v>
      </c>
      <c r="B127" s="26" t="s">
        <v>29</v>
      </c>
      <c r="C127" s="26" t="s">
        <v>65</v>
      </c>
      <c r="D127" s="26" t="s">
        <v>13</v>
      </c>
      <c r="E127" s="26" t="s">
        <v>99</v>
      </c>
      <c r="F127" s="30">
        <v>902752</v>
      </c>
      <c r="G127" s="26" t="s">
        <v>174</v>
      </c>
      <c r="H127" s="30">
        <v>28011237</v>
      </c>
      <c r="I127" s="26" t="s">
        <v>620</v>
      </c>
      <c r="J127" s="26" t="s">
        <v>128</v>
      </c>
      <c r="K127" s="26" t="s">
        <v>59</v>
      </c>
      <c r="L127" s="26" t="s">
        <v>60</v>
      </c>
    </row>
    <row r="128" spans="1:12">
      <c r="A128" s="26" t="s">
        <v>10</v>
      </c>
      <c r="B128" s="26" t="s">
        <v>31</v>
      </c>
      <c r="C128" s="26" t="s">
        <v>61</v>
      </c>
      <c r="D128" s="26" t="s">
        <v>13</v>
      </c>
      <c r="E128" s="26" t="s">
        <v>99</v>
      </c>
      <c r="F128" s="30">
        <v>902753</v>
      </c>
      <c r="G128" s="26" t="s">
        <v>176</v>
      </c>
      <c r="H128" s="30">
        <v>28011238</v>
      </c>
      <c r="I128" s="26" t="s">
        <v>369</v>
      </c>
      <c r="J128" s="26" t="s">
        <v>99</v>
      </c>
      <c r="K128" s="26" t="s">
        <v>59</v>
      </c>
      <c r="L128" s="26" t="s">
        <v>60</v>
      </c>
    </row>
    <row r="129" spans="1:12">
      <c r="A129" s="26" t="s">
        <v>10</v>
      </c>
      <c r="B129" s="26" t="s">
        <v>34</v>
      </c>
      <c r="C129" s="26" t="s">
        <v>61</v>
      </c>
      <c r="D129" s="26" t="s">
        <v>13</v>
      </c>
      <c r="E129" s="26" t="s">
        <v>99</v>
      </c>
      <c r="F129" s="30">
        <v>902754</v>
      </c>
      <c r="G129" s="26" t="s">
        <v>178</v>
      </c>
      <c r="H129" s="30">
        <v>28011239</v>
      </c>
      <c r="I129" s="26" t="s">
        <v>621</v>
      </c>
      <c r="J129" s="26" t="s">
        <v>210</v>
      </c>
      <c r="K129" s="26" t="s">
        <v>59</v>
      </c>
      <c r="L129" s="26" t="s">
        <v>60</v>
      </c>
    </row>
    <row r="130" spans="1:12">
      <c r="A130" s="26" t="s">
        <v>10</v>
      </c>
      <c r="B130" s="26" t="s">
        <v>34</v>
      </c>
      <c r="C130" s="26" t="s">
        <v>61</v>
      </c>
      <c r="D130" s="26" t="s">
        <v>13</v>
      </c>
      <c r="E130" s="26" t="s">
        <v>99</v>
      </c>
      <c r="F130" s="30">
        <v>902755</v>
      </c>
      <c r="G130" s="26" t="s">
        <v>179</v>
      </c>
      <c r="H130" s="30">
        <v>28011240</v>
      </c>
      <c r="I130" s="26" t="s">
        <v>622</v>
      </c>
      <c r="J130" s="26" t="s">
        <v>99</v>
      </c>
      <c r="K130" s="26" t="s">
        <v>59</v>
      </c>
      <c r="L130" s="26" t="s">
        <v>60</v>
      </c>
    </row>
    <row r="131" spans="1:12">
      <c r="A131" s="26" t="s">
        <v>10</v>
      </c>
      <c r="B131" s="26" t="s">
        <v>34</v>
      </c>
      <c r="C131" s="26" t="s">
        <v>61</v>
      </c>
      <c r="D131" s="26" t="s">
        <v>13</v>
      </c>
      <c r="E131" s="26" t="s">
        <v>99</v>
      </c>
      <c r="F131" s="30">
        <v>902756</v>
      </c>
      <c r="G131" s="26" t="s">
        <v>179</v>
      </c>
      <c r="H131" s="30">
        <v>28011241</v>
      </c>
      <c r="I131" s="26" t="s">
        <v>623</v>
      </c>
      <c r="J131" s="26" t="s">
        <v>210</v>
      </c>
      <c r="K131" s="26" t="s">
        <v>59</v>
      </c>
      <c r="L131" s="26" t="s">
        <v>60</v>
      </c>
    </row>
    <row r="132" spans="1:12">
      <c r="A132" s="26" t="s">
        <v>10</v>
      </c>
      <c r="B132" s="26" t="s">
        <v>64</v>
      </c>
      <c r="C132" s="26" t="s">
        <v>91</v>
      </c>
      <c r="D132" s="26" t="s">
        <v>13</v>
      </c>
      <c r="E132" s="26" t="s">
        <v>99</v>
      </c>
      <c r="F132" s="30">
        <v>902757</v>
      </c>
      <c r="G132" s="26" t="s">
        <v>181</v>
      </c>
      <c r="H132" s="30">
        <v>28011242</v>
      </c>
      <c r="I132" s="26" t="s">
        <v>624</v>
      </c>
      <c r="J132" s="26" t="s">
        <v>56</v>
      </c>
      <c r="K132" s="26" t="s">
        <v>59</v>
      </c>
      <c r="L132" s="26" t="s">
        <v>60</v>
      </c>
    </row>
    <row r="133" spans="1:12">
      <c r="A133" s="26" t="s">
        <v>10</v>
      </c>
      <c r="B133" s="26" t="s">
        <v>32</v>
      </c>
      <c r="C133" s="26" t="s">
        <v>80</v>
      </c>
      <c r="D133" s="26" t="s">
        <v>13</v>
      </c>
      <c r="E133" s="26" t="s">
        <v>99</v>
      </c>
      <c r="F133" s="30">
        <v>902758</v>
      </c>
      <c r="G133" s="26" t="s">
        <v>183</v>
      </c>
      <c r="H133" s="30">
        <v>28011243</v>
      </c>
      <c r="I133" s="26" t="s">
        <v>625</v>
      </c>
      <c r="J133" s="26" t="s">
        <v>69</v>
      </c>
      <c r="K133" s="26" t="s">
        <v>59</v>
      </c>
      <c r="L133" s="26" t="s">
        <v>60</v>
      </c>
    </row>
    <row r="134" spans="1:12">
      <c r="A134" s="26" t="s">
        <v>10</v>
      </c>
      <c r="B134" s="26" t="s">
        <v>29</v>
      </c>
      <c r="C134" s="26" t="s">
        <v>65</v>
      </c>
      <c r="D134" s="26" t="s">
        <v>13</v>
      </c>
      <c r="E134" s="26" t="s">
        <v>99</v>
      </c>
      <c r="F134" s="30">
        <v>902759</v>
      </c>
      <c r="G134" s="26" t="s">
        <v>186</v>
      </c>
      <c r="H134" s="30">
        <v>28011244</v>
      </c>
      <c r="I134" s="26" t="s">
        <v>626</v>
      </c>
      <c r="J134" s="26" t="s">
        <v>99</v>
      </c>
      <c r="K134" s="26" t="s">
        <v>59</v>
      </c>
      <c r="L134" s="26" t="s">
        <v>60</v>
      </c>
    </row>
    <row r="135" spans="1:12">
      <c r="A135" s="26" t="s">
        <v>10</v>
      </c>
      <c r="B135" s="26" t="s">
        <v>64</v>
      </c>
      <c r="C135" s="26" t="s">
        <v>65</v>
      </c>
      <c r="D135" s="26" t="s">
        <v>13</v>
      </c>
      <c r="E135" s="26" t="s">
        <v>99</v>
      </c>
      <c r="F135" s="30">
        <v>902760</v>
      </c>
      <c r="G135" s="26" t="s">
        <v>188</v>
      </c>
      <c r="H135" s="30">
        <v>28011245</v>
      </c>
      <c r="I135" s="26" t="s">
        <v>628</v>
      </c>
      <c r="J135" s="26" t="s">
        <v>210</v>
      </c>
      <c r="K135" s="26" t="s">
        <v>59</v>
      </c>
      <c r="L135" s="26" t="s">
        <v>60</v>
      </c>
    </row>
    <row r="136" spans="1:12">
      <c r="A136" s="26" t="s">
        <v>10</v>
      </c>
      <c r="B136" s="26" t="s">
        <v>34</v>
      </c>
      <c r="C136" s="26" t="s">
        <v>61</v>
      </c>
      <c r="D136" s="26" t="s">
        <v>13</v>
      </c>
      <c r="E136" s="26" t="s">
        <v>99</v>
      </c>
      <c r="F136" s="30">
        <v>902761</v>
      </c>
      <c r="G136" s="26" t="s">
        <v>176</v>
      </c>
      <c r="H136" s="30">
        <v>28011246</v>
      </c>
      <c r="I136" s="26" t="s">
        <v>629</v>
      </c>
      <c r="J136" s="26" t="s">
        <v>210</v>
      </c>
      <c r="K136" s="26" t="s">
        <v>59</v>
      </c>
      <c r="L136" s="26" t="s">
        <v>60</v>
      </c>
    </row>
    <row r="137" spans="1:12">
      <c r="A137" s="26" t="s">
        <v>10</v>
      </c>
      <c r="B137" s="26" t="s">
        <v>35</v>
      </c>
      <c r="C137" s="26" t="s">
        <v>91</v>
      </c>
      <c r="D137" s="26" t="s">
        <v>13</v>
      </c>
      <c r="E137" s="26" t="s">
        <v>99</v>
      </c>
      <c r="F137" s="30">
        <v>902762</v>
      </c>
      <c r="G137" s="26" t="s">
        <v>190</v>
      </c>
      <c r="H137" s="30">
        <v>28011247</v>
      </c>
      <c r="I137" s="26" t="s">
        <v>633</v>
      </c>
      <c r="J137" s="26" t="s">
        <v>99</v>
      </c>
      <c r="K137" s="26" t="s">
        <v>59</v>
      </c>
      <c r="L137" s="26" t="s">
        <v>60</v>
      </c>
    </row>
    <row r="138" spans="1:12">
      <c r="A138" s="26" t="s">
        <v>10</v>
      </c>
      <c r="B138" s="26" t="s">
        <v>29</v>
      </c>
      <c r="C138" s="26" t="s">
        <v>65</v>
      </c>
      <c r="D138" s="26" t="s">
        <v>13</v>
      </c>
      <c r="E138" s="26" t="s">
        <v>99</v>
      </c>
      <c r="F138" s="30">
        <v>90002763</v>
      </c>
      <c r="G138" s="26" t="s">
        <v>193</v>
      </c>
      <c r="H138" s="30">
        <v>28011248</v>
      </c>
      <c r="I138" s="26" t="s">
        <v>634</v>
      </c>
      <c r="J138" s="26" t="s">
        <v>99</v>
      </c>
      <c r="K138" s="26" t="s">
        <v>59</v>
      </c>
      <c r="L138" s="26" t="s">
        <v>60</v>
      </c>
    </row>
    <row r="139" spans="1:12">
      <c r="A139" s="26" t="s">
        <v>10</v>
      </c>
      <c r="B139" s="26" t="s">
        <v>54</v>
      </c>
      <c r="C139" s="26" t="s">
        <v>61</v>
      </c>
      <c r="D139" s="26" t="s">
        <v>13</v>
      </c>
      <c r="E139" s="26" t="s">
        <v>99</v>
      </c>
      <c r="F139" s="30">
        <v>902764</v>
      </c>
      <c r="G139" s="26" t="s">
        <v>103</v>
      </c>
      <c r="H139" s="30">
        <v>28011249</v>
      </c>
      <c r="I139" s="26" t="s">
        <v>635</v>
      </c>
      <c r="J139" s="26" t="s">
        <v>99</v>
      </c>
      <c r="K139" s="26" t="s">
        <v>59</v>
      </c>
      <c r="L139" s="26" t="s">
        <v>60</v>
      </c>
    </row>
    <row r="140" spans="1:12">
      <c r="A140" s="26" t="s">
        <v>10</v>
      </c>
      <c r="B140" s="26" t="s">
        <v>33</v>
      </c>
      <c r="C140" s="26" t="s">
        <v>102</v>
      </c>
      <c r="D140" s="26" t="s">
        <v>13</v>
      </c>
      <c r="E140" s="26" t="s">
        <v>99</v>
      </c>
      <c r="F140" s="30">
        <v>90002765</v>
      </c>
      <c r="G140" s="26" t="s">
        <v>195</v>
      </c>
      <c r="H140" s="30">
        <v>28011250</v>
      </c>
      <c r="I140" s="26" t="s">
        <v>636</v>
      </c>
      <c r="J140" s="26" t="s">
        <v>210</v>
      </c>
      <c r="K140" s="26" t="s">
        <v>59</v>
      </c>
      <c r="L140" s="26" t="s">
        <v>60</v>
      </c>
    </row>
    <row r="141" spans="1:12">
      <c r="A141" s="26" t="s">
        <v>10</v>
      </c>
      <c r="B141" s="26" t="s">
        <v>64</v>
      </c>
      <c r="C141" s="26" t="s">
        <v>65</v>
      </c>
      <c r="D141" s="26" t="s">
        <v>13</v>
      </c>
      <c r="E141" s="26" t="s">
        <v>99</v>
      </c>
      <c r="F141" s="30">
        <v>90002766</v>
      </c>
      <c r="G141" s="26" t="s">
        <v>197</v>
      </c>
      <c r="H141" s="30">
        <v>28011251</v>
      </c>
      <c r="I141" s="26" t="s">
        <v>637</v>
      </c>
      <c r="J141" s="26" t="s">
        <v>99</v>
      </c>
      <c r="K141" s="26" t="s">
        <v>59</v>
      </c>
      <c r="L141" s="26" t="s">
        <v>60</v>
      </c>
    </row>
    <row r="142" spans="1:12">
      <c r="A142" s="26" t="s">
        <v>10</v>
      </c>
      <c r="B142" s="26" t="s">
        <v>33</v>
      </c>
      <c r="C142" s="26" t="s">
        <v>91</v>
      </c>
      <c r="D142" s="26" t="s">
        <v>13</v>
      </c>
      <c r="E142" s="26" t="s">
        <v>99</v>
      </c>
      <c r="F142" s="30">
        <v>90002767</v>
      </c>
      <c r="G142" s="26" t="s">
        <v>199</v>
      </c>
      <c r="H142" s="30">
        <v>28011252</v>
      </c>
      <c r="I142" s="26" t="s">
        <v>638</v>
      </c>
      <c r="J142" s="26" t="s">
        <v>210</v>
      </c>
      <c r="K142" s="26" t="s">
        <v>59</v>
      </c>
      <c r="L142" s="26" t="s">
        <v>60</v>
      </c>
    </row>
    <row r="143" spans="1:12">
      <c r="A143" s="26" t="s">
        <v>10</v>
      </c>
      <c r="B143" s="26" t="s">
        <v>35</v>
      </c>
      <c r="C143" s="26" t="s">
        <v>61</v>
      </c>
      <c r="D143" s="26" t="s">
        <v>13</v>
      </c>
      <c r="E143" s="26" t="s">
        <v>99</v>
      </c>
      <c r="F143" s="30">
        <v>902768</v>
      </c>
      <c r="G143" s="26" t="s">
        <v>201</v>
      </c>
      <c r="H143" s="30">
        <v>28011253</v>
      </c>
      <c r="I143" s="26" t="s">
        <v>639</v>
      </c>
      <c r="J143" s="26" t="s">
        <v>128</v>
      </c>
      <c r="K143" s="26" t="s">
        <v>59</v>
      </c>
      <c r="L143" s="26" t="s">
        <v>60</v>
      </c>
    </row>
    <row r="144" spans="1:12">
      <c r="A144" s="26" t="s">
        <v>10</v>
      </c>
      <c r="B144" s="26" t="s">
        <v>29</v>
      </c>
      <c r="C144" s="26" t="s">
        <v>65</v>
      </c>
      <c r="D144" s="26" t="s">
        <v>13</v>
      </c>
      <c r="E144" s="26" t="s">
        <v>99</v>
      </c>
      <c r="F144" s="30">
        <v>90002769</v>
      </c>
      <c r="G144" s="26" t="s">
        <v>203</v>
      </c>
      <c r="H144" s="30">
        <v>28011254</v>
      </c>
      <c r="I144" s="26" t="s">
        <v>640</v>
      </c>
      <c r="J144" s="26" t="s">
        <v>99</v>
      </c>
      <c r="K144" s="26" t="s">
        <v>59</v>
      </c>
      <c r="L144" s="26" t="s">
        <v>60</v>
      </c>
    </row>
    <row r="145" spans="1:12">
      <c r="A145" s="26" t="s">
        <v>10</v>
      </c>
      <c r="B145" s="26" t="s">
        <v>36</v>
      </c>
      <c r="C145" s="26" t="s">
        <v>96</v>
      </c>
      <c r="D145" s="26" t="s">
        <v>13</v>
      </c>
      <c r="E145" s="26" t="s">
        <v>99</v>
      </c>
      <c r="F145" s="30">
        <v>90002770</v>
      </c>
      <c r="G145" s="26" t="s">
        <v>211</v>
      </c>
      <c r="H145" s="30">
        <v>28011255</v>
      </c>
      <c r="I145" s="26" t="s">
        <v>641</v>
      </c>
      <c r="J145" s="26" t="s">
        <v>210</v>
      </c>
      <c r="K145" s="26" t="s">
        <v>59</v>
      </c>
      <c r="L145" s="26" t="s">
        <v>60</v>
      </c>
    </row>
    <row r="146" spans="1:12">
      <c r="A146" s="26" t="s">
        <v>10</v>
      </c>
      <c r="B146" s="26" t="s">
        <v>29</v>
      </c>
      <c r="C146" s="26" t="s">
        <v>65</v>
      </c>
      <c r="D146" s="26" t="s">
        <v>13</v>
      </c>
      <c r="E146" s="26" t="s">
        <v>99</v>
      </c>
      <c r="F146" s="30">
        <v>90002771</v>
      </c>
      <c r="G146" s="26" t="s">
        <v>213</v>
      </c>
      <c r="H146" s="30">
        <v>28011256</v>
      </c>
      <c r="I146" s="26" t="s">
        <v>642</v>
      </c>
      <c r="J146" s="26" t="s">
        <v>99</v>
      </c>
      <c r="K146" s="26" t="s">
        <v>59</v>
      </c>
      <c r="L146" s="26" t="s">
        <v>60</v>
      </c>
    </row>
    <row r="147" spans="1:12">
      <c r="A147" s="26" t="s">
        <v>10</v>
      </c>
      <c r="B147" s="26" t="s">
        <v>30</v>
      </c>
      <c r="C147" s="26" t="s">
        <v>61</v>
      </c>
      <c r="D147" s="26" t="s">
        <v>13</v>
      </c>
      <c r="E147" s="26" t="s">
        <v>99</v>
      </c>
      <c r="F147" s="30">
        <v>90002772</v>
      </c>
      <c r="G147" s="26" t="s">
        <v>215</v>
      </c>
      <c r="H147" s="30">
        <v>28011257</v>
      </c>
      <c r="I147" s="26" t="s">
        <v>643</v>
      </c>
      <c r="J147" s="26" t="s">
        <v>99</v>
      </c>
      <c r="K147" s="26" t="s">
        <v>59</v>
      </c>
      <c r="L147" s="26" t="s">
        <v>60</v>
      </c>
    </row>
    <row r="148" spans="1:12">
      <c r="A148" s="26" t="s">
        <v>10</v>
      </c>
      <c r="B148" s="26" t="s">
        <v>32</v>
      </c>
      <c r="C148" s="26" t="s">
        <v>98</v>
      </c>
      <c r="D148" s="26" t="s">
        <v>22</v>
      </c>
      <c r="E148" s="26" t="s">
        <v>128</v>
      </c>
      <c r="F148" s="30">
        <v>90002773</v>
      </c>
      <c r="G148" s="26" t="s">
        <v>213</v>
      </c>
      <c r="H148" s="30">
        <v>28011258</v>
      </c>
      <c r="I148" s="26" t="s">
        <v>644</v>
      </c>
      <c r="J148" s="26" t="s">
        <v>99</v>
      </c>
      <c r="K148" s="26" t="s">
        <v>59</v>
      </c>
      <c r="L148" s="26" t="s">
        <v>60</v>
      </c>
    </row>
    <row r="149" spans="1:12">
      <c r="A149" s="26" t="s">
        <v>10</v>
      </c>
      <c r="B149" s="26" t="s">
        <v>33</v>
      </c>
      <c r="C149" s="26" t="s">
        <v>91</v>
      </c>
      <c r="D149" s="26" t="s">
        <v>13</v>
      </c>
      <c r="E149" s="26" t="s">
        <v>99</v>
      </c>
      <c r="F149" s="30">
        <v>90002774</v>
      </c>
      <c r="G149" s="26" t="s">
        <v>217</v>
      </c>
      <c r="H149" s="30">
        <v>28011259</v>
      </c>
      <c r="I149" s="26" t="s">
        <v>645</v>
      </c>
      <c r="J149" s="26" t="s">
        <v>99</v>
      </c>
      <c r="K149" s="26" t="s">
        <v>59</v>
      </c>
      <c r="L149" s="26" t="s">
        <v>60</v>
      </c>
    </row>
    <row r="150" spans="1:12">
      <c r="A150" s="26" t="s">
        <v>10</v>
      </c>
      <c r="B150" s="26" t="s">
        <v>33</v>
      </c>
      <c r="C150" s="26" t="s">
        <v>91</v>
      </c>
      <c r="D150" s="26" t="s">
        <v>13</v>
      </c>
      <c r="E150" s="26" t="s">
        <v>99</v>
      </c>
      <c r="F150" s="30">
        <v>90002775</v>
      </c>
      <c r="G150" s="26" t="s">
        <v>220</v>
      </c>
      <c r="H150" s="30">
        <v>28011260</v>
      </c>
      <c r="I150" s="26" t="s">
        <v>646</v>
      </c>
      <c r="J150" s="26" t="s">
        <v>99</v>
      </c>
      <c r="K150" s="26" t="s">
        <v>59</v>
      </c>
      <c r="L150" s="26" t="s">
        <v>60</v>
      </c>
    </row>
    <row r="151" spans="1:12">
      <c r="A151" s="26" t="s">
        <v>10</v>
      </c>
      <c r="B151" s="26" t="s">
        <v>29</v>
      </c>
      <c r="C151" s="26" t="s">
        <v>75</v>
      </c>
      <c r="D151" s="26" t="s">
        <v>24</v>
      </c>
      <c r="E151" s="26" t="s">
        <v>66</v>
      </c>
      <c r="F151" s="30">
        <v>90002776</v>
      </c>
      <c r="G151" s="26" t="s">
        <v>221</v>
      </c>
      <c r="H151" s="30">
        <v>28011261</v>
      </c>
      <c r="I151" s="26" t="s">
        <v>647</v>
      </c>
      <c r="J151" s="26" t="s">
        <v>66</v>
      </c>
      <c r="K151" s="26" t="s">
        <v>59</v>
      </c>
      <c r="L151" s="26" t="s">
        <v>60</v>
      </c>
    </row>
    <row r="152" spans="1:12">
      <c r="A152" s="26" t="s">
        <v>10</v>
      </c>
      <c r="B152" s="26" t="s">
        <v>64</v>
      </c>
      <c r="C152" s="26" t="s">
        <v>65</v>
      </c>
      <c r="D152" s="26" t="s">
        <v>13</v>
      </c>
      <c r="E152" s="26" t="s">
        <v>99</v>
      </c>
      <c r="F152" s="30">
        <v>90002777</v>
      </c>
      <c r="G152" s="26" t="s">
        <v>224</v>
      </c>
      <c r="H152" s="30">
        <v>28011262</v>
      </c>
      <c r="I152" s="26" t="s">
        <v>648</v>
      </c>
      <c r="J152" s="26" t="s">
        <v>99</v>
      </c>
      <c r="K152" s="26" t="s">
        <v>59</v>
      </c>
      <c r="L152" s="26" t="s">
        <v>60</v>
      </c>
    </row>
    <row r="153" spans="1:12">
      <c r="A153" s="26" t="s">
        <v>10</v>
      </c>
      <c r="B153" s="26" t="s">
        <v>31</v>
      </c>
      <c r="C153" s="26" t="s">
        <v>61</v>
      </c>
      <c r="D153" s="26" t="s">
        <v>13</v>
      </c>
      <c r="E153" s="26" t="s">
        <v>99</v>
      </c>
      <c r="F153" s="30">
        <v>90002778</v>
      </c>
      <c r="G153" s="26" t="s">
        <v>226</v>
      </c>
      <c r="H153" s="30">
        <v>28011263</v>
      </c>
      <c r="I153" s="26" t="s">
        <v>649</v>
      </c>
      <c r="J153" s="26" t="s">
        <v>210</v>
      </c>
      <c r="K153" s="26" t="s">
        <v>59</v>
      </c>
      <c r="L153" s="26" t="s">
        <v>60</v>
      </c>
    </row>
    <row r="154" spans="1:12">
      <c r="A154" s="26" t="s">
        <v>10</v>
      </c>
      <c r="B154" s="26" t="s">
        <v>54</v>
      </c>
      <c r="C154" s="26" t="s">
        <v>61</v>
      </c>
      <c r="D154" s="26" t="s">
        <v>13</v>
      </c>
      <c r="E154" s="26" t="s">
        <v>99</v>
      </c>
      <c r="F154" s="30">
        <v>90002779</v>
      </c>
      <c r="G154" s="26" t="s">
        <v>228</v>
      </c>
      <c r="H154" s="30">
        <v>28011264</v>
      </c>
      <c r="I154" s="26" t="s">
        <v>650</v>
      </c>
      <c r="J154" s="26" t="s">
        <v>99</v>
      </c>
      <c r="K154" s="26" t="s">
        <v>59</v>
      </c>
      <c r="L154" s="26" t="s">
        <v>60</v>
      </c>
    </row>
    <row r="155" spans="1:12">
      <c r="A155" s="26" t="s">
        <v>10</v>
      </c>
      <c r="B155" s="26" t="s">
        <v>34</v>
      </c>
      <c r="C155" s="26" t="s">
        <v>75</v>
      </c>
      <c r="D155" s="26" t="s">
        <v>13</v>
      </c>
      <c r="E155" s="26" t="s">
        <v>99</v>
      </c>
      <c r="F155" s="30">
        <v>90002780</v>
      </c>
      <c r="G155" s="26" t="s">
        <v>230</v>
      </c>
      <c r="H155" s="30">
        <v>28011265</v>
      </c>
      <c r="I155" s="26" t="s">
        <v>651</v>
      </c>
      <c r="J155" s="26" t="s">
        <v>99</v>
      </c>
      <c r="K155" s="26" t="s">
        <v>59</v>
      </c>
      <c r="L155" s="26" t="s">
        <v>60</v>
      </c>
    </row>
    <row r="156" spans="1:12">
      <c r="A156" s="26" t="s">
        <v>10</v>
      </c>
      <c r="B156" s="26" t="s">
        <v>33</v>
      </c>
      <c r="C156" s="26" t="s">
        <v>91</v>
      </c>
      <c r="D156" s="26" t="s">
        <v>13</v>
      </c>
      <c r="E156" s="26" t="s">
        <v>99</v>
      </c>
      <c r="F156" s="30">
        <v>902781</v>
      </c>
      <c r="G156" s="26" t="s">
        <v>232</v>
      </c>
      <c r="H156" s="30">
        <v>28011266</v>
      </c>
      <c r="I156" s="26" t="s">
        <v>652</v>
      </c>
      <c r="J156" s="26" t="s">
        <v>69</v>
      </c>
      <c r="K156" s="26" t="s">
        <v>59</v>
      </c>
      <c r="L156" s="26" t="s">
        <v>60</v>
      </c>
    </row>
    <row r="157" spans="1:12">
      <c r="A157" s="26" t="s">
        <v>10</v>
      </c>
      <c r="B157" s="26" t="s">
        <v>30</v>
      </c>
      <c r="C157" s="26" t="s">
        <v>75</v>
      </c>
      <c r="D157" s="26" t="s">
        <v>13</v>
      </c>
      <c r="E157" s="26" t="s">
        <v>99</v>
      </c>
      <c r="F157" s="30">
        <v>902782</v>
      </c>
      <c r="G157" s="26" t="s">
        <v>234</v>
      </c>
      <c r="H157" s="30">
        <v>28011267</v>
      </c>
      <c r="I157" s="26" t="s">
        <v>653</v>
      </c>
      <c r="J157" s="26" t="s">
        <v>128</v>
      </c>
      <c r="K157" s="26" t="s">
        <v>59</v>
      </c>
      <c r="L157" s="26" t="s">
        <v>60</v>
      </c>
    </row>
    <row r="158" spans="1:12">
      <c r="A158" s="26" t="s">
        <v>10</v>
      </c>
      <c r="B158" s="26" t="s">
        <v>36</v>
      </c>
      <c r="C158" s="26" t="s">
        <v>61</v>
      </c>
      <c r="D158" s="26" t="s">
        <v>13</v>
      </c>
      <c r="E158" s="26" t="s">
        <v>99</v>
      </c>
      <c r="F158" s="30">
        <v>90002783</v>
      </c>
      <c r="G158" s="26" t="s">
        <v>170</v>
      </c>
      <c r="H158" s="30">
        <v>28011268</v>
      </c>
      <c r="I158" s="26" t="s">
        <v>654</v>
      </c>
      <c r="J158" s="26" t="s">
        <v>210</v>
      </c>
      <c r="K158" s="26" t="s">
        <v>59</v>
      </c>
      <c r="L158" s="26" t="s">
        <v>60</v>
      </c>
    </row>
    <row r="159" spans="1:12">
      <c r="A159" s="26" t="s">
        <v>10</v>
      </c>
      <c r="B159" s="26" t="s">
        <v>29</v>
      </c>
      <c r="C159" s="26" t="s">
        <v>91</v>
      </c>
      <c r="D159" s="26" t="s">
        <v>13</v>
      </c>
      <c r="E159" s="26" t="s">
        <v>99</v>
      </c>
      <c r="F159" s="30">
        <v>902784</v>
      </c>
      <c r="G159" s="26" t="s">
        <v>236</v>
      </c>
      <c r="H159" s="30">
        <v>28011269</v>
      </c>
      <c r="I159" s="26" t="s">
        <v>656</v>
      </c>
      <c r="J159" s="26" t="s">
        <v>99</v>
      </c>
      <c r="K159" s="26" t="s">
        <v>59</v>
      </c>
      <c r="L159" s="26" t="s">
        <v>60</v>
      </c>
    </row>
    <row r="160" spans="1:12">
      <c r="A160" s="26" t="s">
        <v>10</v>
      </c>
      <c r="B160" s="26" t="s">
        <v>31</v>
      </c>
      <c r="C160" s="26" t="s">
        <v>75</v>
      </c>
      <c r="D160" s="26" t="s">
        <v>13</v>
      </c>
      <c r="E160" s="26" t="s">
        <v>99</v>
      </c>
      <c r="F160" s="30">
        <v>902785</v>
      </c>
      <c r="G160" s="26" t="s">
        <v>239</v>
      </c>
      <c r="H160" s="30">
        <v>28011270</v>
      </c>
      <c r="I160" s="26" t="s">
        <v>657</v>
      </c>
      <c r="J160" s="26" t="s">
        <v>210</v>
      </c>
      <c r="K160" s="26" t="s">
        <v>59</v>
      </c>
      <c r="L160" s="26" t="s">
        <v>60</v>
      </c>
    </row>
    <row r="161" spans="1:12">
      <c r="A161" s="26" t="s">
        <v>10</v>
      </c>
      <c r="B161" s="26" t="s">
        <v>31</v>
      </c>
      <c r="C161" s="26" t="s">
        <v>75</v>
      </c>
      <c r="D161" s="26" t="s">
        <v>13</v>
      </c>
      <c r="E161" s="26" t="s">
        <v>99</v>
      </c>
      <c r="F161" s="30">
        <v>90002786</v>
      </c>
      <c r="G161" s="26" t="s">
        <v>241</v>
      </c>
      <c r="H161" s="30">
        <v>28011271</v>
      </c>
      <c r="I161" s="26" t="s">
        <v>658</v>
      </c>
      <c r="J161" s="26" t="s">
        <v>210</v>
      </c>
      <c r="K161" s="26" t="s">
        <v>59</v>
      </c>
      <c r="L161" s="26" t="s">
        <v>60</v>
      </c>
    </row>
    <row r="162" spans="1:12">
      <c r="A162" s="26" t="s">
        <v>10</v>
      </c>
      <c r="B162" s="26" t="s">
        <v>31</v>
      </c>
      <c r="C162" s="26" t="s">
        <v>75</v>
      </c>
      <c r="D162" s="26" t="s">
        <v>13</v>
      </c>
      <c r="E162" s="26" t="s">
        <v>99</v>
      </c>
      <c r="F162" s="30">
        <v>90002787</v>
      </c>
      <c r="G162" s="26" t="s">
        <v>243</v>
      </c>
      <c r="H162" s="30">
        <v>28011272</v>
      </c>
      <c r="I162" s="26" t="s">
        <v>659</v>
      </c>
      <c r="J162" s="26" t="s">
        <v>99</v>
      </c>
      <c r="K162" s="26" t="s">
        <v>59</v>
      </c>
      <c r="L162" s="26" t="s">
        <v>60</v>
      </c>
    </row>
    <row r="163" spans="1:12">
      <c r="A163" s="26" t="s">
        <v>10</v>
      </c>
      <c r="B163" s="26" t="s">
        <v>64</v>
      </c>
      <c r="C163" s="26" t="s">
        <v>55</v>
      </c>
      <c r="D163" s="26" t="s">
        <v>24</v>
      </c>
      <c r="E163" s="26" t="s">
        <v>128</v>
      </c>
      <c r="F163" s="30">
        <v>902788</v>
      </c>
      <c r="G163" s="26" t="s">
        <v>245</v>
      </c>
      <c r="H163" s="30">
        <v>28011273</v>
      </c>
      <c r="I163" s="26" t="s">
        <v>661</v>
      </c>
      <c r="J163" s="26" t="s">
        <v>128</v>
      </c>
      <c r="K163" s="26" t="s">
        <v>59</v>
      </c>
      <c r="L163" s="26" t="s">
        <v>60</v>
      </c>
    </row>
    <row r="164" spans="1:12">
      <c r="A164" s="26" t="s">
        <v>10</v>
      </c>
      <c r="B164" s="26" t="s">
        <v>31</v>
      </c>
      <c r="C164" s="26" t="s">
        <v>75</v>
      </c>
      <c r="D164" s="26" t="s">
        <v>13</v>
      </c>
      <c r="E164" s="26" t="s">
        <v>99</v>
      </c>
      <c r="F164" s="30">
        <v>90002789</v>
      </c>
      <c r="G164" s="26" t="s">
        <v>247</v>
      </c>
      <c r="H164" s="30">
        <v>28011274</v>
      </c>
      <c r="I164" s="26" t="s">
        <v>662</v>
      </c>
      <c r="J164" s="26" t="s">
        <v>99</v>
      </c>
      <c r="K164" s="26" t="s">
        <v>59</v>
      </c>
      <c r="L164" s="26" t="s">
        <v>60</v>
      </c>
    </row>
    <row r="165" spans="1:12">
      <c r="A165" s="26" t="s">
        <v>10</v>
      </c>
      <c r="B165" s="26" t="s">
        <v>64</v>
      </c>
      <c r="C165" s="26" t="s">
        <v>55</v>
      </c>
      <c r="D165" s="26" t="s">
        <v>24</v>
      </c>
      <c r="E165" s="26" t="s">
        <v>99</v>
      </c>
      <c r="F165" s="30">
        <v>902790</v>
      </c>
      <c r="G165" s="26" t="s">
        <v>249</v>
      </c>
      <c r="H165" s="30">
        <v>28011275</v>
      </c>
      <c r="I165" s="26" t="s">
        <v>663</v>
      </c>
      <c r="J165" s="26" t="s">
        <v>99</v>
      </c>
      <c r="K165" s="26" t="s">
        <v>59</v>
      </c>
      <c r="L165" s="26" t="s">
        <v>60</v>
      </c>
    </row>
    <row r="166" spans="1:12">
      <c r="A166" s="26" t="s">
        <v>10</v>
      </c>
      <c r="B166" s="26" t="s">
        <v>64</v>
      </c>
      <c r="C166" s="26" t="s">
        <v>55</v>
      </c>
      <c r="D166" s="26" t="s">
        <v>24</v>
      </c>
      <c r="E166" s="26" t="s">
        <v>99</v>
      </c>
      <c r="F166" s="30">
        <v>902791</v>
      </c>
      <c r="G166" s="26" t="s">
        <v>251</v>
      </c>
      <c r="H166" s="30">
        <v>28011276</v>
      </c>
      <c r="I166" s="26" t="s">
        <v>664</v>
      </c>
      <c r="J166" s="26" t="s">
        <v>128</v>
      </c>
      <c r="K166" s="26" t="s">
        <v>59</v>
      </c>
      <c r="L166" s="26" t="s">
        <v>60</v>
      </c>
    </row>
    <row r="167" spans="1:12">
      <c r="A167" s="26" t="s">
        <v>10</v>
      </c>
      <c r="B167" s="26" t="s">
        <v>64</v>
      </c>
      <c r="C167" s="26" t="s">
        <v>55</v>
      </c>
      <c r="D167" s="26" t="s">
        <v>24</v>
      </c>
      <c r="E167" s="26" t="s">
        <v>210</v>
      </c>
      <c r="F167" s="30">
        <v>90002792</v>
      </c>
      <c r="G167" s="26" t="s">
        <v>331</v>
      </c>
      <c r="H167" s="30">
        <v>28011277</v>
      </c>
      <c r="I167" s="26" t="s">
        <v>665</v>
      </c>
      <c r="J167" s="26" t="s">
        <v>69</v>
      </c>
      <c r="K167" s="26" t="s">
        <v>59</v>
      </c>
      <c r="L167" s="26" t="s">
        <v>60</v>
      </c>
    </row>
    <row r="168" spans="1:12">
      <c r="A168" s="26" t="s">
        <v>10</v>
      </c>
      <c r="B168" s="26" t="s">
        <v>64</v>
      </c>
      <c r="C168" s="26" t="s">
        <v>55</v>
      </c>
      <c r="D168" s="26" t="s">
        <v>24</v>
      </c>
      <c r="E168" s="26" t="s">
        <v>128</v>
      </c>
      <c r="F168" s="30">
        <v>90002793</v>
      </c>
      <c r="G168" s="26" t="s">
        <v>253</v>
      </c>
      <c r="H168" s="30">
        <v>28011278</v>
      </c>
      <c r="I168" s="26" t="s">
        <v>666</v>
      </c>
      <c r="J168" s="26" t="s">
        <v>99</v>
      </c>
      <c r="K168" s="26" t="s">
        <v>59</v>
      </c>
      <c r="L168" s="26" t="s">
        <v>60</v>
      </c>
    </row>
    <row r="169" spans="1:12">
      <c r="A169" s="26" t="s">
        <v>10</v>
      </c>
      <c r="B169" s="26" t="s">
        <v>64</v>
      </c>
      <c r="C169" s="26" t="s">
        <v>55</v>
      </c>
      <c r="D169" s="26" t="s">
        <v>24</v>
      </c>
      <c r="E169" s="26" t="s">
        <v>210</v>
      </c>
      <c r="F169" s="30">
        <v>90002794</v>
      </c>
      <c r="G169" s="26" t="s">
        <v>331</v>
      </c>
      <c r="H169" s="30">
        <v>28011279</v>
      </c>
      <c r="I169" s="26" t="s">
        <v>667</v>
      </c>
      <c r="J169" s="26" t="s">
        <v>69</v>
      </c>
      <c r="K169" s="26" t="s">
        <v>59</v>
      </c>
      <c r="L169" s="26" t="s">
        <v>60</v>
      </c>
    </row>
    <row r="170" spans="1:12">
      <c r="A170" s="26" t="s">
        <v>10</v>
      </c>
      <c r="B170" s="26" t="s">
        <v>31</v>
      </c>
      <c r="C170" s="26" t="s">
        <v>75</v>
      </c>
      <c r="D170" s="26" t="s">
        <v>13</v>
      </c>
      <c r="E170" s="26" t="s">
        <v>99</v>
      </c>
      <c r="F170" s="30">
        <v>902795</v>
      </c>
      <c r="G170" s="26" t="s">
        <v>260</v>
      </c>
      <c r="H170" s="30">
        <v>28011280</v>
      </c>
      <c r="I170" s="26" t="s">
        <v>668</v>
      </c>
      <c r="J170" s="26" t="s">
        <v>128</v>
      </c>
      <c r="K170" s="26" t="s">
        <v>59</v>
      </c>
      <c r="L170" s="26" t="s">
        <v>60</v>
      </c>
    </row>
    <row r="171" spans="1:12">
      <c r="A171" s="26" t="s">
        <v>13</v>
      </c>
      <c r="B171" s="26" t="s">
        <v>30</v>
      </c>
      <c r="C171" s="26" t="s">
        <v>80</v>
      </c>
      <c r="D171" s="26" t="s">
        <v>13</v>
      </c>
      <c r="E171" s="26" t="s">
        <v>99</v>
      </c>
      <c r="F171" s="30">
        <v>902796</v>
      </c>
      <c r="G171" s="26" t="s">
        <v>262</v>
      </c>
      <c r="H171" s="30">
        <v>28011281</v>
      </c>
      <c r="I171" s="26" t="s">
        <v>669</v>
      </c>
      <c r="J171" s="26" t="s">
        <v>99</v>
      </c>
      <c r="K171" s="26" t="s">
        <v>59</v>
      </c>
      <c r="L171" s="26" t="s">
        <v>60</v>
      </c>
    </row>
    <row r="172" spans="1:12">
      <c r="A172" s="26" t="s">
        <v>10</v>
      </c>
      <c r="B172" s="26" t="s">
        <v>64</v>
      </c>
      <c r="C172" s="26" t="s">
        <v>55</v>
      </c>
      <c r="D172" s="26" t="s">
        <v>24</v>
      </c>
      <c r="E172" s="26" t="s">
        <v>66</v>
      </c>
      <c r="F172" s="30">
        <v>90002797</v>
      </c>
      <c r="G172" s="26" t="s">
        <v>264</v>
      </c>
      <c r="H172" s="30">
        <v>28011282</v>
      </c>
      <c r="I172" s="26" t="s">
        <v>670</v>
      </c>
      <c r="J172" s="26" t="s">
        <v>66</v>
      </c>
      <c r="K172" s="26" t="s">
        <v>59</v>
      </c>
      <c r="L172" s="26" t="s">
        <v>60</v>
      </c>
    </row>
    <row r="173" spans="1:12">
      <c r="A173" s="26" t="s">
        <v>10</v>
      </c>
      <c r="B173" s="26" t="s">
        <v>31</v>
      </c>
      <c r="C173" s="26" t="s">
        <v>61</v>
      </c>
      <c r="D173" s="26" t="s">
        <v>13</v>
      </c>
      <c r="E173" s="26" t="s">
        <v>128</v>
      </c>
      <c r="F173" s="30">
        <v>902798</v>
      </c>
      <c r="G173" s="26" t="s">
        <v>266</v>
      </c>
      <c r="H173" s="30">
        <v>28011283</v>
      </c>
      <c r="I173" s="26" t="s">
        <v>671</v>
      </c>
      <c r="J173" s="26" t="s">
        <v>99</v>
      </c>
      <c r="K173" s="26" t="s">
        <v>59</v>
      </c>
      <c r="L173" s="26" t="s">
        <v>60</v>
      </c>
    </row>
    <row r="174" spans="1:12">
      <c r="A174" s="26" t="s">
        <v>10</v>
      </c>
      <c r="B174" s="26" t="s">
        <v>32</v>
      </c>
      <c r="C174" s="26" t="s">
        <v>98</v>
      </c>
      <c r="D174" s="26" t="s">
        <v>22</v>
      </c>
      <c r="E174" s="26" t="s">
        <v>495</v>
      </c>
      <c r="F174" s="30">
        <v>90002799</v>
      </c>
      <c r="G174" s="26" t="s">
        <v>267</v>
      </c>
      <c r="H174" s="30">
        <v>28011284</v>
      </c>
      <c r="I174" s="26" t="s">
        <v>672</v>
      </c>
      <c r="J174" s="26" t="s">
        <v>11</v>
      </c>
      <c r="K174" s="26" t="s">
        <v>59</v>
      </c>
      <c r="L174" s="26" t="s">
        <v>60</v>
      </c>
    </row>
    <row r="175" spans="1:12">
      <c r="A175" s="26" t="s">
        <v>10</v>
      </c>
      <c r="B175" s="26" t="s">
        <v>29</v>
      </c>
      <c r="C175" s="26" t="s">
        <v>65</v>
      </c>
      <c r="D175" s="26" t="s">
        <v>13</v>
      </c>
      <c r="E175" s="26" t="s">
        <v>128</v>
      </c>
      <c r="F175" s="30">
        <v>90002800</v>
      </c>
      <c r="G175" s="26" t="s">
        <v>213</v>
      </c>
      <c r="H175" s="30">
        <v>28011285</v>
      </c>
      <c r="I175" s="26" t="s">
        <v>673</v>
      </c>
      <c r="J175" s="26" t="s">
        <v>128</v>
      </c>
      <c r="K175" s="26" t="s">
        <v>59</v>
      </c>
      <c r="L175" s="26" t="s">
        <v>60</v>
      </c>
    </row>
    <row r="176" spans="1:12">
      <c r="A176" s="26" t="s">
        <v>10</v>
      </c>
      <c r="B176" s="26" t="s">
        <v>36</v>
      </c>
      <c r="C176" s="26" t="s">
        <v>61</v>
      </c>
      <c r="D176" s="26" t="s">
        <v>13</v>
      </c>
      <c r="E176" s="26" t="s">
        <v>128</v>
      </c>
      <c r="F176" s="30">
        <v>90002801</v>
      </c>
      <c r="G176" s="26" t="s">
        <v>203</v>
      </c>
      <c r="H176" s="30">
        <v>28011286</v>
      </c>
      <c r="I176" s="26" t="s">
        <v>674</v>
      </c>
      <c r="J176" s="26" t="s">
        <v>210</v>
      </c>
      <c r="K176" s="26" t="s">
        <v>59</v>
      </c>
      <c r="L176" s="26" t="s">
        <v>60</v>
      </c>
    </row>
    <row r="177" spans="1:12">
      <c r="A177" s="26" t="s">
        <v>10</v>
      </c>
      <c r="B177" s="26" t="s">
        <v>64</v>
      </c>
      <c r="C177" s="26" t="s">
        <v>61</v>
      </c>
      <c r="D177" s="26" t="s">
        <v>13</v>
      </c>
      <c r="E177" s="26" t="s">
        <v>128</v>
      </c>
      <c r="F177" s="30">
        <v>902802</v>
      </c>
      <c r="G177" s="26" t="s">
        <v>270</v>
      </c>
      <c r="H177" s="30">
        <v>28011287</v>
      </c>
      <c r="I177" s="26" t="s">
        <v>675</v>
      </c>
      <c r="J177" s="26" t="s">
        <v>99</v>
      </c>
      <c r="K177" s="26" t="s">
        <v>59</v>
      </c>
      <c r="L177" s="26" t="s">
        <v>60</v>
      </c>
    </row>
    <row r="178" spans="1:12">
      <c r="A178" s="26" t="s">
        <v>10</v>
      </c>
      <c r="B178" s="26" t="s">
        <v>33</v>
      </c>
      <c r="C178" s="26" t="s">
        <v>102</v>
      </c>
      <c r="D178" s="26" t="s">
        <v>13</v>
      </c>
      <c r="E178" s="26" t="s">
        <v>128</v>
      </c>
      <c r="F178" s="30">
        <v>902803</v>
      </c>
      <c r="G178" s="26" t="s">
        <v>272</v>
      </c>
      <c r="H178" s="30">
        <v>28011288</v>
      </c>
      <c r="I178" s="26" t="s">
        <v>676</v>
      </c>
      <c r="J178" s="26" t="s">
        <v>128</v>
      </c>
      <c r="K178" s="26" t="s">
        <v>59</v>
      </c>
      <c r="L178" s="26" t="s">
        <v>60</v>
      </c>
    </row>
    <row r="179" spans="1:12">
      <c r="A179" s="26" t="s">
        <v>10</v>
      </c>
      <c r="B179" s="26" t="s">
        <v>64</v>
      </c>
      <c r="C179" s="26" t="s">
        <v>65</v>
      </c>
      <c r="D179" s="26" t="s">
        <v>13</v>
      </c>
      <c r="E179" s="26" t="s">
        <v>128</v>
      </c>
      <c r="F179" s="30">
        <v>902804</v>
      </c>
      <c r="G179" s="26" t="s">
        <v>274</v>
      </c>
      <c r="H179" s="30">
        <v>28011289</v>
      </c>
      <c r="I179" s="26" t="s">
        <v>677</v>
      </c>
      <c r="J179" s="26" t="s">
        <v>128</v>
      </c>
      <c r="K179" s="26" t="s">
        <v>59</v>
      </c>
      <c r="L179" s="26" t="s">
        <v>60</v>
      </c>
    </row>
    <row r="180" spans="1:12">
      <c r="A180" s="26" t="s">
        <v>10</v>
      </c>
      <c r="B180" s="26" t="s">
        <v>31</v>
      </c>
      <c r="C180" s="26" t="s">
        <v>61</v>
      </c>
      <c r="D180" s="26" t="s">
        <v>13</v>
      </c>
      <c r="E180" s="26" t="s">
        <v>128</v>
      </c>
      <c r="F180" s="30">
        <v>902805</v>
      </c>
      <c r="G180" s="26" t="s">
        <v>276</v>
      </c>
      <c r="H180" s="30">
        <v>28011290</v>
      </c>
      <c r="I180" s="26" t="s">
        <v>678</v>
      </c>
      <c r="J180" s="26" t="s">
        <v>128</v>
      </c>
      <c r="K180" s="26" t="s">
        <v>59</v>
      </c>
      <c r="L180" s="26" t="s">
        <v>60</v>
      </c>
    </row>
    <row r="181" spans="1:12">
      <c r="A181" s="26" t="s">
        <v>10</v>
      </c>
      <c r="B181" s="26" t="s">
        <v>30</v>
      </c>
      <c r="C181" s="26" t="s">
        <v>75</v>
      </c>
      <c r="D181" s="26" t="s">
        <v>13</v>
      </c>
      <c r="E181" s="26" t="s">
        <v>128</v>
      </c>
      <c r="F181" s="30">
        <v>902806</v>
      </c>
      <c r="G181" s="26" t="s">
        <v>266</v>
      </c>
      <c r="H181" s="30">
        <v>28011291</v>
      </c>
      <c r="I181" s="26" t="s">
        <v>679</v>
      </c>
      <c r="J181" s="26" t="s">
        <v>128</v>
      </c>
      <c r="K181" s="26" t="s">
        <v>59</v>
      </c>
      <c r="L181" s="26" t="s">
        <v>60</v>
      </c>
    </row>
    <row r="182" spans="1:12">
      <c r="A182" s="26" t="s">
        <v>10</v>
      </c>
      <c r="B182" s="26" t="s">
        <v>34</v>
      </c>
      <c r="C182" s="26" t="s">
        <v>61</v>
      </c>
      <c r="D182" s="26" t="s">
        <v>13</v>
      </c>
      <c r="E182" s="26" t="s">
        <v>128</v>
      </c>
      <c r="F182" s="30">
        <v>902807</v>
      </c>
      <c r="G182" s="26" t="s">
        <v>103</v>
      </c>
      <c r="H182" s="30">
        <v>28011292</v>
      </c>
      <c r="I182" s="26" t="s">
        <v>680</v>
      </c>
      <c r="J182" s="26" t="s">
        <v>128</v>
      </c>
      <c r="K182" s="26" t="s">
        <v>59</v>
      </c>
      <c r="L182" s="26" t="s">
        <v>60</v>
      </c>
    </row>
    <row r="183" spans="1:12">
      <c r="A183" s="26" t="s">
        <v>10</v>
      </c>
      <c r="B183" s="26" t="s">
        <v>32</v>
      </c>
      <c r="C183" s="26" t="s">
        <v>80</v>
      </c>
      <c r="D183" s="26" t="s">
        <v>13</v>
      </c>
      <c r="E183" s="26" t="s">
        <v>128</v>
      </c>
      <c r="F183" s="30">
        <v>902808</v>
      </c>
      <c r="G183" s="26" t="s">
        <v>280</v>
      </c>
      <c r="H183" s="30">
        <v>28011293</v>
      </c>
      <c r="I183" s="26" t="s">
        <v>682</v>
      </c>
      <c r="J183" s="26" t="s">
        <v>56</v>
      </c>
      <c r="K183" s="26" t="s">
        <v>59</v>
      </c>
      <c r="L183" s="26" t="s">
        <v>60</v>
      </c>
    </row>
    <row r="184" spans="1:12">
      <c r="A184" s="26" t="s">
        <v>10</v>
      </c>
      <c r="B184" s="26" t="s">
        <v>34</v>
      </c>
      <c r="C184" s="26" t="s">
        <v>61</v>
      </c>
      <c r="D184" s="26" t="s">
        <v>13</v>
      </c>
      <c r="E184" s="26" t="s">
        <v>128</v>
      </c>
      <c r="F184" s="30">
        <v>902809</v>
      </c>
      <c r="G184" s="26" t="s">
        <v>193</v>
      </c>
      <c r="H184" s="30">
        <v>28011294</v>
      </c>
      <c r="I184" s="26" t="s">
        <v>683</v>
      </c>
      <c r="J184" s="26" t="s">
        <v>99</v>
      </c>
      <c r="K184" s="26" t="s">
        <v>59</v>
      </c>
      <c r="L184" s="26" t="s">
        <v>60</v>
      </c>
    </row>
    <row r="185" spans="1:12">
      <c r="A185" s="26" t="s">
        <v>10</v>
      </c>
      <c r="B185" s="26" t="s">
        <v>29</v>
      </c>
      <c r="C185" s="26" t="s">
        <v>65</v>
      </c>
      <c r="D185" s="26" t="s">
        <v>13</v>
      </c>
      <c r="E185" s="26" t="s">
        <v>128</v>
      </c>
      <c r="F185" s="30">
        <v>902810</v>
      </c>
      <c r="G185" s="26" t="s">
        <v>282</v>
      </c>
      <c r="H185" s="30">
        <v>28011295</v>
      </c>
      <c r="I185" s="26" t="s">
        <v>684</v>
      </c>
      <c r="J185" s="26" t="s">
        <v>128</v>
      </c>
      <c r="K185" s="26" t="s">
        <v>59</v>
      </c>
      <c r="L185" s="26" t="s">
        <v>60</v>
      </c>
    </row>
    <row r="186" spans="1:12">
      <c r="A186" s="26" t="s">
        <v>10</v>
      </c>
      <c r="B186" s="26" t="s">
        <v>29</v>
      </c>
      <c r="C186" s="26" t="s">
        <v>65</v>
      </c>
      <c r="D186" s="26" t="s">
        <v>13</v>
      </c>
      <c r="E186" s="26" t="s">
        <v>128</v>
      </c>
      <c r="F186" s="30">
        <v>902811</v>
      </c>
      <c r="G186" s="26" t="s">
        <v>282</v>
      </c>
      <c r="H186" s="30">
        <v>28011296</v>
      </c>
      <c r="I186" s="26" t="s">
        <v>685</v>
      </c>
      <c r="J186" s="26" t="s">
        <v>128</v>
      </c>
      <c r="K186" s="26" t="s">
        <v>59</v>
      </c>
      <c r="L186" s="26" t="s">
        <v>60</v>
      </c>
    </row>
    <row r="187" spans="1:12">
      <c r="A187" s="26" t="s">
        <v>10</v>
      </c>
      <c r="B187" s="26" t="s">
        <v>32</v>
      </c>
      <c r="C187" s="26" t="s">
        <v>80</v>
      </c>
      <c r="D187" s="26" t="s">
        <v>13</v>
      </c>
      <c r="E187" s="26" t="s">
        <v>128</v>
      </c>
      <c r="F187" s="30">
        <v>902812</v>
      </c>
      <c r="G187" s="26" t="s">
        <v>285</v>
      </c>
      <c r="H187" s="30">
        <v>28011297</v>
      </c>
      <c r="I187" s="26" t="s">
        <v>686</v>
      </c>
      <c r="J187" s="26" t="s">
        <v>56</v>
      </c>
      <c r="K187" s="26" t="s">
        <v>59</v>
      </c>
      <c r="L187" s="26" t="s">
        <v>60</v>
      </c>
    </row>
    <row r="188" spans="1:12">
      <c r="A188" s="26" t="s">
        <v>10</v>
      </c>
      <c r="B188" s="26" t="s">
        <v>36</v>
      </c>
      <c r="C188" s="26" t="s">
        <v>96</v>
      </c>
      <c r="D188" s="26" t="s">
        <v>13</v>
      </c>
      <c r="E188" s="26" t="s">
        <v>128</v>
      </c>
      <c r="F188" s="30">
        <v>902813</v>
      </c>
      <c r="G188" s="26" t="s">
        <v>287</v>
      </c>
      <c r="H188" s="30">
        <v>28011298</v>
      </c>
      <c r="I188" s="26" t="s">
        <v>687</v>
      </c>
      <c r="J188" s="26" t="s">
        <v>99</v>
      </c>
      <c r="K188" s="26" t="s">
        <v>59</v>
      </c>
      <c r="L188" s="26" t="s">
        <v>60</v>
      </c>
    </row>
    <row r="189" spans="1:12">
      <c r="A189" s="26" t="s">
        <v>10</v>
      </c>
      <c r="B189" s="26" t="s">
        <v>35</v>
      </c>
      <c r="C189" s="26" t="s">
        <v>107</v>
      </c>
      <c r="D189" s="26" t="s">
        <v>13</v>
      </c>
      <c r="E189" s="26" t="s">
        <v>128</v>
      </c>
      <c r="F189" s="30">
        <v>902814</v>
      </c>
      <c r="G189" s="26" t="s">
        <v>293</v>
      </c>
      <c r="H189" s="30">
        <v>28011299</v>
      </c>
      <c r="I189" s="26" t="s">
        <v>688</v>
      </c>
      <c r="J189" s="26" t="s">
        <v>128</v>
      </c>
      <c r="K189" s="26" t="s">
        <v>59</v>
      </c>
      <c r="L189" s="26" t="s">
        <v>60</v>
      </c>
    </row>
    <row r="190" spans="1:12">
      <c r="A190" s="26" t="s">
        <v>10</v>
      </c>
      <c r="B190" s="26" t="s">
        <v>30</v>
      </c>
      <c r="C190" s="26" t="s">
        <v>61</v>
      </c>
      <c r="D190" s="26" t="s">
        <v>13</v>
      </c>
      <c r="E190" s="26" t="s">
        <v>128</v>
      </c>
      <c r="F190" s="30">
        <v>902815</v>
      </c>
      <c r="G190" s="26" t="s">
        <v>193</v>
      </c>
      <c r="H190" s="30">
        <v>28011300</v>
      </c>
      <c r="I190" s="26" t="s">
        <v>689</v>
      </c>
      <c r="J190" s="26" t="s">
        <v>99</v>
      </c>
      <c r="K190" s="26" t="s">
        <v>59</v>
      </c>
      <c r="L190" s="26" t="s">
        <v>60</v>
      </c>
    </row>
    <row r="191" spans="1:12">
      <c r="A191" s="26" t="s">
        <v>10</v>
      </c>
      <c r="B191" s="26" t="s">
        <v>30</v>
      </c>
      <c r="C191" s="26" t="s">
        <v>61</v>
      </c>
      <c r="D191" s="26" t="s">
        <v>13</v>
      </c>
      <c r="E191" s="26" t="s">
        <v>128</v>
      </c>
      <c r="F191" s="30">
        <v>902816</v>
      </c>
      <c r="G191" s="26" t="s">
        <v>193</v>
      </c>
      <c r="H191" s="30">
        <v>28011301</v>
      </c>
      <c r="I191" s="26" t="s">
        <v>690</v>
      </c>
      <c r="J191" s="26" t="s">
        <v>128</v>
      </c>
      <c r="K191" s="26" t="s">
        <v>59</v>
      </c>
      <c r="L191" s="26" t="s">
        <v>60</v>
      </c>
    </row>
    <row r="192" spans="1:12">
      <c r="A192" s="26" t="s">
        <v>10</v>
      </c>
      <c r="B192" s="26" t="s">
        <v>31</v>
      </c>
      <c r="C192" s="26" t="s">
        <v>61</v>
      </c>
      <c r="D192" s="26" t="s">
        <v>13</v>
      </c>
      <c r="E192" s="26" t="s">
        <v>128</v>
      </c>
      <c r="F192" s="30">
        <v>902817</v>
      </c>
      <c r="G192" s="26" t="s">
        <v>296</v>
      </c>
      <c r="H192" s="30">
        <v>28011302</v>
      </c>
      <c r="I192" s="26" t="s">
        <v>691</v>
      </c>
      <c r="J192" s="26" t="s">
        <v>128</v>
      </c>
      <c r="K192" s="26" t="s">
        <v>59</v>
      </c>
      <c r="L192" s="26" t="s">
        <v>60</v>
      </c>
    </row>
    <row r="193" spans="1:12">
      <c r="A193" s="26" t="s">
        <v>10</v>
      </c>
      <c r="B193" s="26" t="s">
        <v>54</v>
      </c>
      <c r="C193" s="26" t="s">
        <v>61</v>
      </c>
      <c r="D193" s="26" t="s">
        <v>13</v>
      </c>
      <c r="E193" s="26" t="s">
        <v>128</v>
      </c>
      <c r="F193" s="30">
        <v>902818</v>
      </c>
      <c r="G193" s="26" t="s">
        <v>298</v>
      </c>
      <c r="H193" s="30">
        <v>28011303</v>
      </c>
      <c r="I193" s="26" t="s">
        <v>692</v>
      </c>
      <c r="J193" s="26" t="s">
        <v>99</v>
      </c>
      <c r="K193" s="26" t="s">
        <v>59</v>
      </c>
      <c r="L193" s="26" t="s">
        <v>60</v>
      </c>
    </row>
    <row r="194" spans="1:12">
      <c r="A194" s="26" t="s">
        <v>10</v>
      </c>
      <c r="B194" s="26" t="s">
        <v>54</v>
      </c>
      <c r="C194" s="26" t="s">
        <v>61</v>
      </c>
      <c r="D194" s="26" t="s">
        <v>13</v>
      </c>
      <c r="E194" s="26" t="s">
        <v>128</v>
      </c>
      <c r="F194" s="30">
        <v>902819</v>
      </c>
      <c r="G194" s="26" t="s">
        <v>300</v>
      </c>
      <c r="H194" s="30">
        <v>28011304</v>
      </c>
      <c r="I194" s="26" t="s">
        <v>693</v>
      </c>
      <c r="J194" s="26" t="s">
        <v>128</v>
      </c>
      <c r="K194" s="26" t="s">
        <v>59</v>
      </c>
      <c r="L194" s="26" t="s">
        <v>60</v>
      </c>
    </row>
    <row r="195" spans="1:12">
      <c r="A195" s="26" t="s">
        <v>10</v>
      </c>
      <c r="B195" s="26" t="s">
        <v>64</v>
      </c>
      <c r="C195" s="26" t="s">
        <v>65</v>
      </c>
      <c r="D195" s="26" t="s">
        <v>13</v>
      </c>
      <c r="E195" s="26" t="s">
        <v>128</v>
      </c>
      <c r="F195" s="30">
        <v>902820</v>
      </c>
      <c r="G195" s="26" t="s">
        <v>302</v>
      </c>
      <c r="H195" s="30">
        <v>28011305</v>
      </c>
      <c r="I195" s="26" t="s">
        <v>694</v>
      </c>
      <c r="J195" s="26" t="s">
        <v>128</v>
      </c>
      <c r="K195" s="26" t="s">
        <v>59</v>
      </c>
      <c r="L195" s="26" t="s">
        <v>60</v>
      </c>
    </row>
    <row r="196" spans="1:12">
      <c r="A196" s="26" t="s">
        <v>10</v>
      </c>
      <c r="B196" s="26" t="s">
        <v>30</v>
      </c>
      <c r="C196" s="26" t="s">
        <v>61</v>
      </c>
      <c r="D196" s="26" t="s">
        <v>13</v>
      </c>
      <c r="E196" s="26" t="s">
        <v>128</v>
      </c>
      <c r="F196" s="30">
        <v>90002821</v>
      </c>
      <c r="G196" s="26" t="s">
        <v>215</v>
      </c>
      <c r="H196" s="30">
        <v>28011306</v>
      </c>
      <c r="I196" s="26" t="s">
        <v>695</v>
      </c>
      <c r="J196" s="26" t="s">
        <v>128</v>
      </c>
      <c r="K196" s="26" t="s">
        <v>59</v>
      </c>
      <c r="L196" s="26" t="s">
        <v>60</v>
      </c>
    </row>
    <row r="197" spans="1:12">
      <c r="A197" s="26" t="s">
        <v>10</v>
      </c>
      <c r="B197" s="26" t="s">
        <v>54</v>
      </c>
      <c r="C197" s="26" t="s">
        <v>61</v>
      </c>
      <c r="D197" s="26" t="s">
        <v>13</v>
      </c>
      <c r="E197" s="26" t="s">
        <v>128</v>
      </c>
      <c r="F197" s="30">
        <v>90002822</v>
      </c>
      <c r="G197" s="26" t="s">
        <v>193</v>
      </c>
      <c r="H197" s="30">
        <v>28011307</v>
      </c>
      <c r="I197" s="26" t="s">
        <v>696</v>
      </c>
      <c r="J197" s="26" t="s">
        <v>128</v>
      </c>
      <c r="K197" s="26" t="s">
        <v>59</v>
      </c>
      <c r="L197" s="26" t="s">
        <v>60</v>
      </c>
    </row>
    <row r="198" spans="1:12">
      <c r="A198" s="26" t="s">
        <v>10</v>
      </c>
      <c r="B198" s="26" t="s">
        <v>35</v>
      </c>
      <c r="C198" s="26" t="s">
        <v>61</v>
      </c>
      <c r="D198" s="26" t="s">
        <v>13</v>
      </c>
      <c r="E198" s="26" t="s">
        <v>128</v>
      </c>
      <c r="F198" s="30">
        <v>90002823</v>
      </c>
      <c r="G198" s="26" t="s">
        <v>306</v>
      </c>
      <c r="H198" s="30">
        <v>28011308</v>
      </c>
      <c r="I198" s="26" t="s">
        <v>697</v>
      </c>
      <c r="J198" s="26" t="s">
        <v>128</v>
      </c>
      <c r="K198" s="26" t="s">
        <v>59</v>
      </c>
      <c r="L198" s="26" t="s">
        <v>60</v>
      </c>
    </row>
    <row r="199" spans="1:12">
      <c r="A199" s="26" t="s">
        <v>10</v>
      </c>
      <c r="B199" s="26" t="s">
        <v>35</v>
      </c>
      <c r="C199" s="26" t="s">
        <v>61</v>
      </c>
      <c r="D199" s="26" t="s">
        <v>13</v>
      </c>
      <c r="E199" s="26" t="s">
        <v>128</v>
      </c>
      <c r="F199" s="30">
        <v>902824</v>
      </c>
      <c r="G199" s="26" t="s">
        <v>308</v>
      </c>
      <c r="H199" s="30">
        <v>28011309</v>
      </c>
      <c r="I199" s="26" t="s">
        <v>698</v>
      </c>
      <c r="J199" s="26" t="s">
        <v>210</v>
      </c>
      <c r="K199" s="26" t="s">
        <v>59</v>
      </c>
      <c r="L199" s="26" t="s">
        <v>60</v>
      </c>
    </row>
    <row r="200" spans="1:12">
      <c r="A200" s="26" t="s">
        <v>10</v>
      </c>
      <c r="B200" s="26" t="s">
        <v>29</v>
      </c>
      <c r="C200" s="26" t="s">
        <v>65</v>
      </c>
      <c r="D200" s="26" t="s">
        <v>13</v>
      </c>
      <c r="E200" s="26" t="s">
        <v>128</v>
      </c>
      <c r="F200" s="30">
        <v>90002825</v>
      </c>
      <c r="G200" s="26" t="s">
        <v>282</v>
      </c>
      <c r="H200" s="30">
        <v>28011310</v>
      </c>
      <c r="I200" s="26" t="s">
        <v>699</v>
      </c>
      <c r="J200" s="26" t="s">
        <v>128</v>
      </c>
      <c r="K200" s="26" t="s">
        <v>59</v>
      </c>
      <c r="L200" s="26" t="s">
        <v>60</v>
      </c>
    </row>
    <row r="201" spans="1:12">
      <c r="A201" s="26" t="s">
        <v>10</v>
      </c>
      <c r="B201" s="26" t="s">
        <v>29</v>
      </c>
      <c r="C201" s="26" t="s">
        <v>65</v>
      </c>
      <c r="D201" s="26" t="s">
        <v>13</v>
      </c>
      <c r="E201" s="26" t="s">
        <v>128</v>
      </c>
      <c r="F201" s="30">
        <v>90002826</v>
      </c>
      <c r="G201" s="26" t="s">
        <v>203</v>
      </c>
      <c r="H201" s="30">
        <v>28011311</v>
      </c>
      <c r="I201" s="26" t="s">
        <v>700</v>
      </c>
      <c r="J201" s="26" t="s">
        <v>128</v>
      </c>
      <c r="K201" s="26" t="s">
        <v>59</v>
      </c>
      <c r="L201" s="26" t="s">
        <v>60</v>
      </c>
    </row>
    <row r="202" spans="1:12">
      <c r="A202" s="26" t="s">
        <v>10</v>
      </c>
      <c r="B202" s="26" t="s">
        <v>29</v>
      </c>
      <c r="C202" s="26" t="s">
        <v>75</v>
      </c>
      <c r="D202" s="26" t="s">
        <v>24</v>
      </c>
      <c r="E202" s="26" t="s">
        <v>128</v>
      </c>
      <c r="F202" s="30">
        <v>902827</v>
      </c>
      <c r="G202" s="26" t="s">
        <v>311</v>
      </c>
      <c r="H202" s="30">
        <v>28011312</v>
      </c>
      <c r="I202" s="26" t="s">
        <v>701</v>
      </c>
      <c r="J202" s="26" t="s">
        <v>99</v>
      </c>
      <c r="K202" s="26" t="s">
        <v>59</v>
      </c>
      <c r="L202" s="26" t="s">
        <v>60</v>
      </c>
    </row>
    <row r="203" spans="1:12">
      <c r="A203" s="26" t="s">
        <v>10</v>
      </c>
      <c r="B203" s="26" t="s">
        <v>64</v>
      </c>
      <c r="C203" s="26" t="s">
        <v>55</v>
      </c>
      <c r="D203" s="26" t="s">
        <v>24</v>
      </c>
      <c r="E203" s="26" t="s">
        <v>210</v>
      </c>
      <c r="F203" s="30">
        <v>90002828</v>
      </c>
      <c r="G203" s="26" t="s">
        <v>315</v>
      </c>
      <c r="H203" s="30">
        <v>28011313</v>
      </c>
      <c r="I203" s="26" t="s">
        <v>702</v>
      </c>
      <c r="J203" s="26" t="s">
        <v>210</v>
      </c>
      <c r="K203" s="26" t="s">
        <v>59</v>
      </c>
      <c r="L203" s="26" t="s">
        <v>60</v>
      </c>
    </row>
    <row r="204" spans="1:12">
      <c r="A204" s="26" t="s">
        <v>10</v>
      </c>
      <c r="B204" s="26" t="s">
        <v>29</v>
      </c>
      <c r="C204" s="26" t="s">
        <v>65</v>
      </c>
      <c r="D204" s="26" t="s">
        <v>13</v>
      </c>
      <c r="E204" s="26" t="s">
        <v>128</v>
      </c>
      <c r="F204" s="30">
        <v>90002829</v>
      </c>
      <c r="G204" s="26" t="s">
        <v>282</v>
      </c>
      <c r="H204" s="30">
        <v>28011314</v>
      </c>
      <c r="I204" s="26" t="s">
        <v>703</v>
      </c>
      <c r="J204" s="26" t="s">
        <v>128</v>
      </c>
      <c r="K204" s="26" t="s">
        <v>59</v>
      </c>
      <c r="L204" s="26" t="s">
        <v>60</v>
      </c>
    </row>
    <row r="205" spans="1:12">
      <c r="A205" s="26" t="s">
        <v>10</v>
      </c>
      <c r="B205" s="26" t="s">
        <v>64</v>
      </c>
      <c r="C205" s="26" t="s">
        <v>61</v>
      </c>
      <c r="D205" s="26" t="s">
        <v>13</v>
      </c>
      <c r="E205" s="26" t="s">
        <v>128</v>
      </c>
      <c r="F205" s="30">
        <v>90002830</v>
      </c>
      <c r="G205" s="26" t="s">
        <v>203</v>
      </c>
      <c r="H205" s="30">
        <v>28011315</v>
      </c>
      <c r="I205" s="26" t="s">
        <v>704</v>
      </c>
      <c r="J205" s="26" t="s">
        <v>128</v>
      </c>
      <c r="K205" s="26" t="s">
        <v>59</v>
      </c>
      <c r="L205" s="26" t="s">
        <v>60</v>
      </c>
    </row>
    <row r="206" spans="1:12">
      <c r="A206" s="26" t="s">
        <v>10</v>
      </c>
      <c r="B206" s="26" t="s">
        <v>64</v>
      </c>
      <c r="C206" s="26" t="s">
        <v>61</v>
      </c>
      <c r="D206" s="26" t="s">
        <v>13</v>
      </c>
      <c r="E206" s="26" t="s">
        <v>128</v>
      </c>
      <c r="F206" s="30">
        <v>90002831</v>
      </c>
      <c r="G206" s="26" t="s">
        <v>203</v>
      </c>
      <c r="H206" s="30">
        <v>28011316</v>
      </c>
      <c r="I206" s="26" t="s">
        <v>705</v>
      </c>
      <c r="J206" s="26" t="s">
        <v>128</v>
      </c>
      <c r="K206" s="26" t="s">
        <v>59</v>
      </c>
      <c r="L206" s="26" t="s">
        <v>60</v>
      </c>
    </row>
    <row r="207" spans="1:12">
      <c r="A207" s="26" t="s">
        <v>10</v>
      </c>
      <c r="B207" s="26" t="s">
        <v>29</v>
      </c>
      <c r="C207" s="26" t="s">
        <v>65</v>
      </c>
      <c r="D207" s="26" t="s">
        <v>13</v>
      </c>
      <c r="E207" s="26" t="s">
        <v>128</v>
      </c>
      <c r="F207" s="30">
        <v>90002832</v>
      </c>
      <c r="G207" s="26" t="s">
        <v>317</v>
      </c>
      <c r="H207" s="30">
        <v>28011317</v>
      </c>
      <c r="I207" s="26" t="s">
        <v>706</v>
      </c>
      <c r="J207" s="26" t="s">
        <v>99</v>
      </c>
      <c r="K207" s="26" t="s">
        <v>59</v>
      </c>
      <c r="L207" s="26" t="s">
        <v>60</v>
      </c>
    </row>
    <row r="208" spans="1:12">
      <c r="A208" s="26" t="s">
        <v>10</v>
      </c>
      <c r="B208" s="26" t="s">
        <v>64</v>
      </c>
      <c r="C208" s="26" t="s">
        <v>61</v>
      </c>
      <c r="D208" s="26" t="s">
        <v>13</v>
      </c>
      <c r="E208" s="26" t="s">
        <v>128</v>
      </c>
      <c r="F208" s="30">
        <v>90002833</v>
      </c>
      <c r="G208" s="26" t="s">
        <v>203</v>
      </c>
      <c r="H208" s="30">
        <v>28011318</v>
      </c>
      <c r="I208" s="26" t="s">
        <v>708</v>
      </c>
      <c r="J208" s="26" t="s">
        <v>128</v>
      </c>
      <c r="K208" s="26" t="s">
        <v>59</v>
      </c>
      <c r="L208" s="26" t="s">
        <v>60</v>
      </c>
    </row>
    <row r="209" spans="1:12">
      <c r="A209" s="26" t="s">
        <v>10</v>
      </c>
      <c r="B209" s="26" t="s">
        <v>64</v>
      </c>
      <c r="C209" s="26" t="s">
        <v>61</v>
      </c>
      <c r="D209" s="26" t="s">
        <v>13</v>
      </c>
      <c r="E209" s="26" t="s">
        <v>128</v>
      </c>
      <c r="F209" s="30">
        <v>90002834</v>
      </c>
      <c r="G209" s="26" t="s">
        <v>203</v>
      </c>
      <c r="H209" s="30">
        <v>28011319</v>
      </c>
      <c r="I209" s="26" t="s">
        <v>709</v>
      </c>
      <c r="J209" s="26" t="s">
        <v>128</v>
      </c>
      <c r="K209" s="26" t="s">
        <v>59</v>
      </c>
      <c r="L209" s="26" t="s">
        <v>60</v>
      </c>
    </row>
    <row r="210" spans="1:12">
      <c r="A210" s="26" t="s">
        <v>10</v>
      </c>
      <c r="B210" s="26" t="s">
        <v>33</v>
      </c>
      <c r="C210" s="26" t="s">
        <v>102</v>
      </c>
      <c r="D210" s="26" t="s">
        <v>13</v>
      </c>
      <c r="E210" s="26" t="s">
        <v>56</v>
      </c>
      <c r="F210" s="30">
        <v>902835</v>
      </c>
      <c r="G210" s="26" t="s">
        <v>319</v>
      </c>
      <c r="H210" s="30">
        <v>28011320</v>
      </c>
      <c r="I210" s="26" t="s">
        <v>710</v>
      </c>
      <c r="J210" s="26" t="s">
        <v>56</v>
      </c>
      <c r="K210" s="26" t="s">
        <v>59</v>
      </c>
      <c r="L210" s="26" t="s">
        <v>60</v>
      </c>
    </row>
    <row r="211" spans="1:12">
      <c r="A211" s="26" t="s">
        <v>10</v>
      </c>
      <c r="B211" s="26" t="s">
        <v>36</v>
      </c>
      <c r="C211" s="26" t="s">
        <v>96</v>
      </c>
      <c r="D211" s="26" t="s">
        <v>13</v>
      </c>
      <c r="E211" s="26" t="s">
        <v>128</v>
      </c>
      <c r="F211" s="30">
        <v>90002836</v>
      </c>
      <c r="G211" s="26" t="s">
        <v>321</v>
      </c>
      <c r="H211" s="30">
        <v>28011321</v>
      </c>
      <c r="I211" s="26" t="s">
        <v>711</v>
      </c>
      <c r="J211" s="26" t="s">
        <v>99</v>
      </c>
      <c r="K211" s="26" t="s">
        <v>59</v>
      </c>
      <c r="L211" s="26" t="s">
        <v>60</v>
      </c>
    </row>
    <row r="212" spans="1:12">
      <c r="A212" s="26" t="s">
        <v>10</v>
      </c>
      <c r="B212" s="26" t="s">
        <v>32</v>
      </c>
      <c r="C212" s="26" t="s">
        <v>98</v>
      </c>
      <c r="D212" s="26" t="s">
        <v>22</v>
      </c>
      <c r="E212" s="26" t="s">
        <v>56</v>
      </c>
      <c r="F212" s="30">
        <v>902837</v>
      </c>
      <c r="G212" s="26" t="s">
        <v>325</v>
      </c>
      <c r="H212" s="30">
        <v>28011322</v>
      </c>
      <c r="I212" s="26" t="s">
        <v>712</v>
      </c>
      <c r="J212" s="26" t="s">
        <v>56</v>
      </c>
      <c r="K212" s="26" t="s">
        <v>59</v>
      </c>
      <c r="L212" s="26" t="s">
        <v>60</v>
      </c>
    </row>
    <row r="213" spans="1:12">
      <c r="A213" s="26" t="s">
        <v>10</v>
      </c>
      <c r="B213" s="26" t="s">
        <v>36</v>
      </c>
      <c r="C213" s="26" t="s">
        <v>96</v>
      </c>
      <c r="D213" s="26" t="s">
        <v>13</v>
      </c>
      <c r="E213" s="26" t="s">
        <v>128</v>
      </c>
      <c r="F213" s="30">
        <v>90002838</v>
      </c>
      <c r="G213" s="26" t="s">
        <v>329</v>
      </c>
      <c r="H213" s="30">
        <v>28011323</v>
      </c>
      <c r="I213" s="26" t="s">
        <v>713</v>
      </c>
      <c r="J213" s="26" t="s">
        <v>128</v>
      </c>
      <c r="K213" s="26" t="s">
        <v>59</v>
      </c>
      <c r="L213" s="26" t="s">
        <v>60</v>
      </c>
    </row>
    <row r="214" spans="1:12">
      <c r="A214" s="26" t="s">
        <v>10</v>
      </c>
      <c r="B214" s="26" t="s">
        <v>30</v>
      </c>
      <c r="C214" s="26" t="s">
        <v>61</v>
      </c>
      <c r="D214" s="26" t="s">
        <v>13</v>
      </c>
      <c r="E214" s="26" t="s">
        <v>128</v>
      </c>
      <c r="F214" s="30">
        <v>90002839</v>
      </c>
      <c r="G214" s="26" t="s">
        <v>331</v>
      </c>
      <c r="H214" s="30">
        <v>28011324</v>
      </c>
      <c r="I214" s="26" t="s">
        <v>714</v>
      </c>
      <c r="J214" s="26" t="s">
        <v>128</v>
      </c>
      <c r="K214" s="26" t="s">
        <v>59</v>
      </c>
      <c r="L214" s="26" t="s">
        <v>60</v>
      </c>
    </row>
    <row r="215" spans="1:12">
      <c r="A215" s="26" t="s">
        <v>10</v>
      </c>
      <c r="B215" s="26" t="s">
        <v>31</v>
      </c>
      <c r="C215" s="26" t="s">
        <v>61</v>
      </c>
      <c r="D215" s="26" t="s">
        <v>13</v>
      </c>
      <c r="E215" s="26" t="s">
        <v>128</v>
      </c>
      <c r="F215" s="30">
        <v>90002840</v>
      </c>
      <c r="G215" s="26" t="s">
        <v>226</v>
      </c>
      <c r="H215" s="30">
        <v>28011325</v>
      </c>
      <c r="I215" s="26" t="s">
        <v>715</v>
      </c>
      <c r="J215" s="26" t="s">
        <v>128</v>
      </c>
      <c r="K215" s="26" t="s">
        <v>59</v>
      </c>
      <c r="L215" s="26" t="s">
        <v>60</v>
      </c>
    </row>
    <row r="216" spans="1:12">
      <c r="A216" s="26" t="s">
        <v>10</v>
      </c>
      <c r="B216" s="26" t="s">
        <v>30</v>
      </c>
      <c r="C216" s="26" t="s">
        <v>75</v>
      </c>
      <c r="D216" s="26" t="s">
        <v>13</v>
      </c>
      <c r="E216" s="26" t="s">
        <v>128</v>
      </c>
      <c r="F216" s="30">
        <v>90002841</v>
      </c>
      <c r="G216" s="26" t="s">
        <v>57</v>
      </c>
      <c r="H216" s="30">
        <v>28011326</v>
      </c>
      <c r="I216" s="26" t="s">
        <v>716</v>
      </c>
      <c r="J216" s="26" t="s">
        <v>128</v>
      </c>
      <c r="K216" s="26" t="s">
        <v>59</v>
      </c>
      <c r="L216" s="26" t="s">
        <v>60</v>
      </c>
    </row>
    <row r="217" spans="1:12">
      <c r="A217" s="26" t="s">
        <v>10</v>
      </c>
      <c r="B217" s="26" t="s">
        <v>54</v>
      </c>
      <c r="C217" s="26" t="s">
        <v>61</v>
      </c>
      <c r="D217" s="26" t="s">
        <v>13</v>
      </c>
      <c r="E217" s="26" t="s">
        <v>128</v>
      </c>
      <c r="F217" s="30">
        <v>902842</v>
      </c>
      <c r="G217" s="26" t="s">
        <v>62</v>
      </c>
      <c r="H217" s="30">
        <v>28011327</v>
      </c>
      <c r="I217" s="26" t="s">
        <v>717</v>
      </c>
      <c r="J217" s="26" t="s">
        <v>210</v>
      </c>
      <c r="K217" s="26" t="s">
        <v>59</v>
      </c>
      <c r="L217" s="26" t="s">
        <v>60</v>
      </c>
    </row>
    <row r="218" spans="1:12">
      <c r="A218" s="26" t="s">
        <v>10</v>
      </c>
      <c r="B218" s="26" t="s">
        <v>64</v>
      </c>
      <c r="C218" s="26" t="s">
        <v>91</v>
      </c>
      <c r="D218" s="26" t="s">
        <v>13</v>
      </c>
      <c r="E218" s="26" t="s">
        <v>128</v>
      </c>
      <c r="F218" s="30">
        <v>902843</v>
      </c>
      <c r="G218" s="26" t="s">
        <v>230</v>
      </c>
      <c r="H218" s="30">
        <v>28011328</v>
      </c>
      <c r="I218" s="26" t="s">
        <v>718</v>
      </c>
      <c r="J218" s="26" t="s">
        <v>128</v>
      </c>
      <c r="K218" s="26" t="s">
        <v>59</v>
      </c>
      <c r="L218" s="26" t="s">
        <v>60</v>
      </c>
    </row>
    <row r="219" spans="1:12">
      <c r="A219" s="26" t="s">
        <v>10</v>
      </c>
      <c r="B219" s="26" t="s">
        <v>54</v>
      </c>
      <c r="C219" s="26" t="s">
        <v>61</v>
      </c>
      <c r="D219" s="26" t="s">
        <v>13</v>
      </c>
      <c r="E219" s="26" t="s">
        <v>128</v>
      </c>
      <c r="F219" s="30">
        <v>90002844</v>
      </c>
      <c r="G219" s="26" t="s">
        <v>103</v>
      </c>
      <c r="H219" s="30">
        <v>28011329</v>
      </c>
      <c r="I219" s="26" t="s">
        <v>719</v>
      </c>
      <c r="J219" s="26" t="s">
        <v>128</v>
      </c>
      <c r="K219" s="26" t="s">
        <v>59</v>
      </c>
      <c r="L219" s="26" t="s">
        <v>60</v>
      </c>
    </row>
    <row r="220" spans="1:12">
      <c r="A220" s="26" t="s">
        <v>10</v>
      </c>
      <c r="B220" s="26" t="s">
        <v>54</v>
      </c>
      <c r="C220" s="26" t="s">
        <v>61</v>
      </c>
      <c r="D220" s="26" t="s">
        <v>13</v>
      </c>
      <c r="E220" s="26" t="s">
        <v>128</v>
      </c>
      <c r="F220" s="30">
        <v>90002845</v>
      </c>
      <c r="G220" s="26" t="s">
        <v>306</v>
      </c>
      <c r="H220" s="30">
        <v>28011330</v>
      </c>
      <c r="I220" s="26" t="s">
        <v>720</v>
      </c>
      <c r="J220" s="26" t="s">
        <v>128</v>
      </c>
      <c r="K220" s="26" t="s">
        <v>59</v>
      </c>
      <c r="L220" s="26" t="s">
        <v>60</v>
      </c>
    </row>
    <row r="221" spans="1:12">
      <c r="A221" s="26" t="s">
        <v>10</v>
      </c>
      <c r="B221" s="26" t="s">
        <v>29</v>
      </c>
      <c r="C221" s="26" t="s">
        <v>65</v>
      </c>
      <c r="D221" s="26" t="s">
        <v>13</v>
      </c>
      <c r="E221" s="26" t="s">
        <v>128</v>
      </c>
      <c r="F221" s="30">
        <v>902846</v>
      </c>
      <c r="G221" s="26" t="s">
        <v>226</v>
      </c>
      <c r="H221" s="30">
        <v>28011331</v>
      </c>
      <c r="I221" s="26" t="s">
        <v>721</v>
      </c>
      <c r="J221" s="26" t="s">
        <v>128</v>
      </c>
      <c r="K221" s="26" t="s">
        <v>59</v>
      </c>
      <c r="L221" s="26" t="s">
        <v>60</v>
      </c>
    </row>
    <row r="222" spans="1:12">
      <c r="A222" s="26" t="s">
        <v>10</v>
      </c>
      <c r="B222" s="26" t="s">
        <v>34</v>
      </c>
      <c r="C222" s="26" t="s">
        <v>75</v>
      </c>
      <c r="D222" s="26" t="s">
        <v>13</v>
      </c>
      <c r="E222" s="26" t="s">
        <v>128</v>
      </c>
      <c r="F222" s="30">
        <v>90002847</v>
      </c>
      <c r="G222" s="26" t="s">
        <v>67</v>
      </c>
      <c r="H222" s="30">
        <v>28011332</v>
      </c>
      <c r="I222" s="26" t="s">
        <v>722</v>
      </c>
      <c r="J222" s="26" t="s">
        <v>99</v>
      </c>
      <c r="K222" s="26" t="s">
        <v>59</v>
      </c>
      <c r="L222" s="26" t="s">
        <v>60</v>
      </c>
    </row>
    <row r="223" spans="1:12">
      <c r="A223" s="26" t="s">
        <v>10</v>
      </c>
      <c r="B223" s="26" t="s">
        <v>29</v>
      </c>
      <c r="C223" s="26" t="s">
        <v>65</v>
      </c>
      <c r="D223" s="26" t="s">
        <v>13</v>
      </c>
      <c r="E223" s="26" t="s">
        <v>128</v>
      </c>
      <c r="F223" s="30">
        <v>902848</v>
      </c>
      <c r="G223" s="26" t="s">
        <v>226</v>
      </c>
      <c r="H223" s="30">
        <v>28011333</v>
      </c>
      <c r="I223" s="26" t="s">
        <v>723</v>
      </c>
      <c r="J223" s="26" t="s">
        <v>128</v>
      </c>
      <c r="K223" s="26" t="s">
        <v>59</v>
      </c>
      <c r="L223" s="26" t="s">
        <v>60</v>
      </c>
    </row>
    <row r="224" spans="1:12">
      <c r="A224" s="26" t="s">
        <v>10</v>
      </c>
      <c r="B224" s="26" t="s">
        <v>30</v>
      </c>
      <c r="C224" s="26" t="s">
        <v>75</v>
      </c>
      <c r="D224" s="26" t="s">
        <v>13</v>
      </c>
      <c r="E224" s="26" t="s">
        <v>128</v>
      </c>
      <c r="F224" s="30">
        <v>902849</v>
      </c>
      <c r="G224" s="26" t="s">
        <v>201</v>
      </c>
      <c r="H224" s="30">
        <v>28011334</v>
      </c>
      <c r="I224" s="26" t="s">
        <v>724</v>
      </c>
      <c r="J224" s="26" t="s">
        <v>128</v>
      </c>
      <c r="K224" s="26" t="s">
        <v>59</v>
      </c>
      <c r="L224" s="26" t="s">
        <v>60</v>
      </c>
    </row>
    <row r="225" spans="1:12">
      <c r="A225" s="26" t="s">
        <v>10</v>
      </c>
      <c r="B225" s="26" t="s">
        <v>29</v>
      </c>
      <c r="C225" s="26" t="s">
        <v>75</v>
      </c>
      <c r="D225" s="26" t="s">
        <v>24</v>
      </c>
      <c r="E225" s="26" t="s">
        <v>210</v>
      </c>
      <c r="F225" s="30">
        <v>902850</v>
      </c>
      <c r="G225" s="26" t="s">
        <v>70</v>
      </c>
      <c r="H225" s="30">
        <v>28011335</v>
      </c>
      <c r="I225" s="26" t="s">
        <v>725</v>
      </c>
      <c r="J225" s="26" t="s">
        <v>210</v>
      </c>
      <c r="K225" s="26" t="s">
        <v>59</v>
      </c>
      <c r="L225" s="26" t="s">
        <v>60</v>
      </c>
    </row>
    <row r="226" spans="1:12">
      <c r="A226" s="26" t="s">
        <v>10</v>
      </c>
      <c r="B226" s="26" t="s">
        <v>30</v>
      </c>
      <c r="C226" s="26" t="s">
        <v>75</v>
      </c>
      <c r="D226" s="26" t="s">
        <v>13</v>
      </c>
      <c r="E226" s="26" t="s">
        <v>128</v>
      </c>
      <c r="F226" s="30">
        <v>90002851</v>
      </c>
      <c r="G226" s="26" t="s">
        <v>73</v>
      </c>
      <c r="H226" s="30">
        <v>28011336</v>
      </c>
      <c r="I226" s="26" t="s">
        <v>726</v>
      </c>
      <c r="J226" s="26" t="s">
        <v>128</v>
      </c>
      <c r="K226" s="26" t="s">
        <v>59</v>
      </c>
      <c r="L226" s="26" t="s">
        <v>60</v>
      </c>
    </row>
    <row r="227" spans="1:12">
      <c r="A227" s="26" t="s">
        <v>10</v>
      </c>
      <c r="B227" s="26" t="s">
        <v>32</v>
      </c>
      <c r="C227" s="26" t="s">
        <v>98</v>
      </c>
      <c r="D227" s="26" t="s">
        <v>22</v>
      </c>
      <c r="E227" s="26" t="s">
        <v>69</v>
      </c>
      <c r="F227" s="30">
        <v>902852</v>
      </c>
      <c r="G227" s="26" t="s">
        <v>84</v>
      </c>
      <c r="H227" s="30">
        <v>28011337</v>
      </c>
      <c r="I227" s="26" t="s">
        <v>727</v>
      </c>
      <c r="J227" s="26" t="s">
        <v>69</v>
      </c>
      <c r="K227" s="26" t="s">
        <v>59</v>
      </c>
      <c r="L227" s="26" t="s">
        <v>60</v>
      </c>
    </row>
    <row r="228" spans="1:12">
      <c r="A228" s="26" t="s">
        <v>10</v>
      </c>
      <c r="B228" s="26" t="s">
        <v>30</v>
      </c>
      <c r="C228" s="26" t="s">
        <v>75</v>
      </c>
      <c r="D228" s="26" t="s">
        <v>13</v>
      </c>
      <c r="E228" s="26" t="s">
        <v>128</v>
      </c>
      <c r="F228" s="30">
        <v>902853</v>
      </c>
      <c r="G228" s="26" t="s">
        <v>92</v>
      </c>
      <c r="H228" s="30">
        <v>28011338</v>
      </c>
      <c r="I228" s="26" t="s">
        <v>728</v>
      </c>
      <c r="J228" s="26" t="s">
        <v>128</v>
      </c>
      <c r="K228" s="26" t="s">
        <v>59</v>
      </c>
      <c r="L228" s="26" t="s">
        <v>60</v>
      </c>
    </row>
    <row r="229" spans="1:12">
      <c r="A229" s="26" t="s">
        <v>10</v>
      </c>
      <c r="B229" s="26" t="s">
        <v>36</v>
      </c>
      <c r="C229" s="26" t="s">
        <v>96</v>
      </c>
      <c r="D229" s="26" t="s">
        <v>13</v>
      </c>
      <c r="E229" s="26" t="s">
        <v>128</v>
      </c>
      <c r="F229" s="30">
        <v>902854</v>
      </c>
      <c r="G229" s="26" t="s">
        <v>100</v>
      </c>
      <c r="H229" s="30">
        <v>28011339</v>
      </c>
      <c r="I229" s="26" t="s">
        <v>729</v>
      </c>
      <c r="J229" s="26" t="s">
        <v>56</v>
      </c>
      <c r="K229" s="26" t="s">
        <v>59</v>
      </c>
      <c r="L229" s="26" t="s">
        <v>60</v>
      </c>
    </row>
    <row r="230" spans="1:12">
      <c r="A230" s="26" t="s">
        <v>10</v>
      </c>
      <c r="B230" s="26" t="s">
        <v>31</v>
      </c>
      <c r="C230" s="26" t="s">
        <v>75</v>
      </c>
      <c r="D230" s="26" t="s">
        <v>13</v>
      </c>
      <c r="E230" s="26" t="s">
        <v>128</v>
      </c>
      <c r="F230" s="30">
        <v>90002855</v>
      </c>
      <c r="G230" s="26" t="s">
        <v>103</v>
      </c>
      <c r="H230" s="30">
        <v>28011340</v>
      </c>
      <c r="I230" s="26" t="s">
        <v>730</v>
      </c>
      <c r="J230" s="26" t="s">
        <v>128</v>
      </c>
      <c r="K230" s="26" t="s">
        <v>59</v>
      </c>
      <c r="L230" s="26" t="s">
        <v>60</v>
      </c>
    </row>
    <row r="231" spans="1:12">
      <c r="A231" s="26" t="s">
        <v>10</v>
      </c>
      <c r="B231" s="26" t="s">
        <v>32</v>
      </c>
      <c r="C231" s="26" t="s">
        <v>80</v>
      </c>
      <c r="D231" s="26" t="s">
        <v>13</v>
      </c>
      <c r="E231" s="26" t="s">
        <v>128</v>
      </c>
      <c r="F231" s="30">
        <v>90002856</v>
      </c>
      <c r="G231" s="26" t="s">
        <v>280</v>
      </c>
      <c r="H231" s="30">
        <v>28011341</v>
      </c>
      <c r="I231" s="26" t="s">
        <v>731</v>
      </c>
      <c r="J231" s="26" t="s">
        <v>128</v>
      </c>
      <c r="K231" s="26" t="s">
        <v>59</v>
      </c>
      <c r="L231" s="26" t="s">
        <v>60</v>
      </c>
    </row>
    <row r="232" spans="1:12">
      <c r="A232" s="26" t="s">
        <v>10</v>
      </c>
      <c r="B232" s="26" t="s">
        <v>30</v>
      </c>
      <c r="C232" s="26" t="s">
        <v>61</v>
      </c>
      <c r="D232" s="26" t="s">
        <v>13</v>
      </c>
      <c r="E232" s="26" t="s">
        <v>128</v>
      </c>
      <c r="F232" s="30">
        <v>902857</v>
      </c>
      <c r="G232" s="26" t="s">
        <v>111</v>
      </c>
      <c r="H232" s="30">
        <v>28011342</v>
      </c>
      <c r="I232" s="26" t="s">
        <v>732</v>
      </c>
      <c r="J232" s="26" t="s">
        <v>128</v>
      </c>
      <c r="K232" s="26" t="s">
        <v>59</v>
      </c>
      <c r="L232" s="26" t="s">
        <v>60</v>
      </c>
    </row>
    <row r="233" spans="1:12">
      <c r="A233" s="26" t="s">
        <v>10</v>
      </c>
      <c r="B233" s="26" t="s">
        <v>36</v>
      </c>
      <c r="C233" s="26" t="s">
        <v>61</v>
      </c>
      <c r="D233" s="26" t="s">
        <v>13</v>
      </c>
      <c r="E233" s="26" t="s">
        <v>128</v>
      </c>
      <c r="F233" s="30">
        <v>902858</v>
      </c>
      <c r="G233" s="26" t="s">
        <v>113</v>
      </c>
      <c r="H233" s="30">
        <v>28011343</v>
      </c>
      <c r="I233" s="26" t="s">
        <v>733</v>
      </c>
      <c r="J233" s="26" t="s">
        <v>99</v>
      </c>
      <c r="K233" s="26" t="s">
        <v>59</v>
      </c>
      <c r="L233" s="26" t="s">
        <v>60</v>
      </c>
    </row>
    <row r="234" spans="1:12">
      <c r="A234" s="26" t="s">
        <v>10</v>
      </c>
      <c r="B234" s="26" t="s">
        <v>33</v>
      </c>
      <c r="C234" s="26" t="s">
        <v>102</v>
      </c>
      <c r="D234" s="26" t="s">
        <v>13</v>
      </c>
      <c r="E234" s="26" t="s">
        <v>56</v>
      </c>
      <c r="F234" s="30">
        <v>902859</v>
      </c>
      <c r="G234" s="26" t="s">
        <v>116</v>
      </c>
      <c r="H234" s="30">
        <v>28011344</v>
      </c>
      <c r="I234" s="26" t="s">
        <v>734</v>
      </c>
      <c r="J234" s="26" t="s">
        <v>56</v>
      </c>
      <c r="K234" s="26" t="s">
        <v>59</v>
      </c>
      <c r="L234" s="26" t="s">
        <v>60</v>
      </c>
    </row>
    <row r="235" spans="1:12">
      <c r="A235" s="26" t="s">
        <v>12</v>
      </c>
      <c r="B235" s="26" t="s">
        <v>33</v>
      </c>
      <c r="C235" s="26" t="s">
        <v>65</v>
      </c>
      <c r="D235" s="26" t="s">
        <v>20</v>
      </c>
      <c r="E235" s="26" t="s">
        <v>128</v>
      </c>
      <c r="F235" s="30">
        <v>902860</v>
      </c>
      <c r="G235" s="26" t="s">
        <v>118</v>
      </c>
      <c r="H235" s="30">
        <v>28011345</v>
      </c>
      <c r="I235" s="26" t="s">
        <v>735</v>
      </c>
      <c r="J235" s="26" t="s">
        <v>128</v>
      </c>
      <c r="K235" s="26" t="s">
        <v>59</v>
      </c>
      <c r="L235" s="26" t="s">
        <v>60</v>
      </c>
    </row>
    <row r="236" spans="1:12">
      <c r="A236" s="26" t="s">
        <v>12</v>
      </c>
      <c r="B236" s="26" t="s">
        <v>33</v>
      </c>
      <c r="C236" s="26" t="s">
        <v>65</v>
      </c>
      <c r="D236" s="26" t="s">
        <v>20</v>
      </c>
      <c r="E236" s="26" t="s">
        <v>128</v>
      </c>
      <c r="F236" s="30">
        <v>902861</v>
      </c>
      <c r="G236" s="26" t="s">
        <v>236</v>
      </c>
      <c r="H236" s="30">
        <v>28011346</v>
      </c>
      <c r="I236" s="26" t="s">
        <v>736</v>
      </c>
      <c r="J236" s="26" t="s">
        <v>128</v>
      </c>
      <c r="K236" s="26" t="s">
        <v>59</v>
      </c>
      <c r="L236" s="26" t="s">
        <v>60</v>
      </c>
    </row>
    <row r="237" spans="1:12">
      <c r="A237" s="26" t="s">
        <v>10</v>
      </c>
      <c r="B237" s="26" t="s">
        <v>29</v>
      </c>
      <c r="C237" s="26" t="s">
        <v>91</v>
      </c>
      <c r="D237" s="26" t="s">
        <v>13</v>
      </c>
      <c r="E237" s="26" t="s">
        <v>56</v>
      </c>
      <c r="F237" s="30">
        <v>902862</v>
      </c>
      <c r="G237" s="26" t="s">
        <v>120</v>
      </c>
      <c r="H237" s="30">
        <v>28011347</v>
      </c>
      <c r="I237" s="26" t="s">
        <v>737</v>
      </c>
      <c r="J237" s="26" t="s">
        <v>56</v>
      </c>
      <c r="K237" s="26" t="s">
        <v>59</v>
      </c>
      <c r="L237" s="26" t="s">
        <v>60</v>
      </c>
    </row>
    <row r="238" spans="1:12">
      <c r="A238" s="26" t="s">
        <v>13</v>
      </c>
      <c r="B238" s="26" t="s">
        <v>33</v>
      </c>
      <c r="C238" s="26" t="s">
        <v>102</v>
      </c>
      <c r="D238" s="26" t="s">
        <v>13</v>
      </c>
      <c r="E238" s="26" t="s">
        <v>66</v>
      </c>
      <c r="F238" s="30">
        <v>902863</v>
      </c>
      <c r="G238" s="26" t="s">
        <v>126</v>
      </c>
      <c r="H238" s="30">
        <v>28011348</v>
      </c>
      <c r="I238" s="26" t="s">
        <v>738</v>
      </c>
      <c r="J238" s="26" t="s">
        <v>69</v>
      </c>
      <c r="K238" s="26" t="s">
        <v>59</v>
      </c>
      <c r="L238" s="26" t="s">
        <v>60</v>
      </c>
    </row>
    <row r="239" spans="1:12">
      <c r="A239" s="26" t="s">
        <v>13</v>
      </c>
      <c r="B239" s="26" t="s">
        <v>33</v>
      </c>
      <c r="C239" s="26" t="s">
        <v>102</v>
      </c>
      <c r="D239" s="26" t="s">
        <v>13</v>
      </c>
      <c r="E239" s="26" t="s">
        <v>128</v>
      </c>
      <c r="F239" s="30">
        <v>902864</v>
      </c>
      <c r="G239" s="26" t="s">
        <v>129</v>
      </c>
      <c r="H239" s="30">
        <v>28011349</v>
      </c>
      <c r="I239" s="26" t="s">
        <v>739</v>
      </c>
      <c r="J239" s="26" t="s">
        <v>99</v>
      </c>
      <c r="K239" s="26" t="s">
        <v>59</v>
      </c>
      <c r="L239" s="26" t="s">
        <v>60</v>
      </c>
    </row>
    <row r="240" spans="1:12">
      <c r="A240" s="26" t="s">
        <v>10</v>
      </c>
      <c r="B240" s="26" t="s">
        <v>36</v>
      </c>
      <c r="C240" s="26" t="s">
        <v>96</v>
      </c>
      <c r="D240" s="26" t="s">
        <v>13</v>
      </c>
      <c r="E240" s="26" t="s">
        <v>56</v>
      </c>
      <c r="F240" s="30">
        <v>902865</v>
      </c>
      <c r="G240" s="26" t="s">
        <v>131</v>
      </c>
      <c r="H240" s="30">
        <v>28011350</v>
      </c>
      <c r="I240" s="26" t="s">
        <v>740</v>
      </c>
      <c r="J240" s="26" t="s">
        <v>56</v>
      </c>
      <c r="K240" s="26" t="s">
        <v>59</v>
      </c>
      <c r="L240" s="26" t="s">
        <v>60</v>
      </c>
    </row>
    <row r="241" spans="1:12">
      <c r="A241" s="26" t="s">
        <v>10</v>
      </c>
      <c r="B241" s="26" t="s">
        <v>64</v>
      </c>
      <c r="C241" s="26" t="s">
        <v>91</v>
      </c>
      <c r="D241" s="26" t="s">
        <v>13</v>
      </c>
      <c r="E241" s="26" t="s">
        <v>56</v>
      </c>
      <c r="F241" s="30">
        <v>902866</v>
      </c>
      <c r="G241" s="26" t="s">
        <v>181</v>
      </c>
      <c r="H241" s="30">
        <v>28011351</v>
      </c>
      <c r="I241" s="26" t="s">
        <v>741</v>
      </c>
      <c r="J241" s="26" t="s">
        <v>56</v>
      </c>
      <c r="K241" s="26" t="s">
        <v>59</v>
      </c>
      <c r="L241" s="26" t="s">
        <v>60</v>
      </c>
    </row>
    <row r="242" spans="1:12">
      <c r="A242" s="26" t="s">
        <v>10</v>
      </c>
      <c r="B242" s="26" t="s">
        <v>32</v>
      </c>
      <c r="C242" s="26" t="s">
        <v>98</v>
      </c>
      <c r="D242" s="26" t="s">
        <v>22</v>
      </c>
      <c r="E242" s="26" t="s">
        <v>128</v>
      </c>
      <c r="F242" s="30">
        <v>902867</v>
      </c>
      <c r="G242" s="26" t="s">
        <v>213</v>
      </c>
      <c r="H242" s="30">
        <v>28011352</v>
      </c>
      <c r="I242" s="26" t="s">
        <v>742</v>
      </c>
      <c r="J242" s="26" t="s">
        <v>128</v>
      </c>
      <c r="K242" s="26" t="s">
        <v>59</v>
      </c>
      <c r="L242" s="26" t="s">
        <v>60</v>
      </c>
    </row>
    <row r="243" spans="1:12">
      <c r="A243" s="26" t="s">
        <v>10</v>
      </c>
      <c r="B243" s="26" t="s">
        <v>31</v>
      </c>
      <c r="C243" s="26" t="s">
        <v>61</v>
      </c>
      <c r="D243" s="26" t="s">
        <v>13</v>
      </c>
      <c r="E243" s="26" t="s">
        <v>56</v>
      </c>
      <c r="F243" s="30">
        <v>902868</v>
      </c>
      <c r="G243" s="26" t="s">
        <v>133</v>
      </c>
      <c r="H243" s="30">
        <v>28011353</v>
      </c>
      <c r="I243" s="26" t="s">
        <v>743</v>
      </c>
      <c r="J243" s="26" t="s">
        <v>128</v>
      </c>
      <c r="K243" s="26" t="s">
        <v>59</v>
      </c>
      <c r="L243" s="26" t="s">
        <v>60</v>
      </c>
    </row>
    <row r="244" spans="1:12">
      <c r="A244" s="26" t="s">
        <v>10</v>
      </c>
      <c r="B244" s="26" t="s">
        <v>29</v>
      </c>
      <c r="C244" s="26" t="s">
        <v>75</v>
      </c>
      <c r="D244" s="26" t="s">
        <v>24</v>
      </c>
      <c r="E244" s="26" t="s">
        <v>99</v>
      </c>
      <c r="F244" s="30">
        <v>902869</v>
      </c>
      <c r="G244" s="26" t="s">
        <v>135</v>
      </c>
      <c r="H244" s="30">
        <v>28011354</v>
      </c>
      <c r="I244" s="26" t="s">
        <v>744</v>
      </c>
      <c r="J244" s="26" t="s">
        <v>210</v>
      </c>
      <c r="K244" s="26" t="s">
        <v>59</v>
      </c>
      <c r="L244" s="26" t="s">
        <v>60</v>
      </c>
    </row>
    <row r="245" spans="1:12">
      <c r="A245" s="26" t="s">
        <v>10</v>
      </c>
      <c r="B245" s="26" t="s">
        <v>31</v>
      </c>
      <c r="C245" s="26" t="s">
        <v>61</v>
      </c>
      <c r="D245" s="26" t="s">
        <v>13</v>
      </c>
      <c r="E245" s="26" t="s">
        <v>56</v>
      </c>
      <c r="F245" s="30">
        <v>902870</v>
      </c>
      <c r="G245" s="26" t="s">
        <v>172</v>
      </c>
      <c r="H245" s="30">
        <v>28011355</v>
      </c>
      <c r="I245" s="26" t="s">
        <v>745</v>
      </c>
      <c r="J245" s="26" t="s">
        <v>56</v>
      </c>
      <c r="K245" s="26" t="s">
        <v>59</v>
      </c>
      <c r="L245" s="26" t="s">
        <v>60</v>
      </c>
    </row>
    <row r="246" spans="1:12">
      <c r="A246" s="26" t="s">
        <v>10</v>
      </c>
      <c r="B246" s="26" t="s">
        <v>34</v>
      </c>
      <c r="C246" s="26" t="s">
        <v>61</v>
      </c>
      <c r="D246" s="26" t="s">
        <v>13</v>
      </c>
      <c r="E246" s="26" t="s">
        <v>56</v>
      </c>
      <c r="F246" s="30">
        <v>902871</v>
      </c>
      <c r="G246" s="26" t="s">
        <v>137</v>
      </c>
      <c r="H246" s="30">
        <v>28011356</v>
      </c>
      <c r="I246" s="26" t="s">
        <v>746</v>
      </c>
      <c r="J246" s="26" t="s">
        <v>128</v>
      </c>
      <c r="K246" s="26" t="s">
        <v>59</v>
      </c>
      <c r="L246" s="26" t="s">
        <v>60</v>
      </c>
    </row>
    <row r="247" spans="1:12">
      <c r="A247" s="26" t="s">
        <v>10</v>
      </c>
      <c r="B247" s="26" t="s">
        <v>34</v>
      </c>
      <c r="C247" s="26" t="s">
        <v>61</v>
      </c>
      <c r="D247" s="26" t="s">
        <v>13</v>
      </c>
      <c r="E247" s="26" t="s">
        <v>56</v>
      </c>
      <c r="F247" s="30">
        <v>902872</v>
      </c>
      <c r="G247" s="26" t="s">
        <v>139</v>
      </c>
      <c r="H247" s="30">
        <v>28011357</v>
      </c>
      <c r="I247" s="26" t="s">
        <v>747</v>
      </c>
      <c r="J247" s="26" t="s">
        <v>56</v>
      </c>
      <c r="K247" s="26" t="s">
        <v>59</v>
      </c>
      <c r="L247" s="26" t="s">
        <v>60</v>
      </c>
    </row>
    <row r="248" spans="1:12">
      <c r="A248" s="26" t="s">
        <v>10</v>
      </c>
      <c r="B248" s="26" t="s">
        <v>34</v>
      </c>
      <c r="C248" s="26" t="s">
        <v>61</v>
      </c>
      <c r="D248" s="26" t="s">
        <v>13</v>
      </c>
      <c r="E248" s="26" t="s">
        <v>56</v>
      </c>
      <c r="F248" s="30">
        <v>902873</v>
      </c>
      <c r="G248" s="26" t="s">
        <v>141</v>
      </c>
      <c r="H248" s="30">
        <v>28011358</v>
      </c>
      <c r="I248" s="26" t="s">
        <v>748</v>
      </c>
      <c r="J248" s="26" t="s">
        <v>56</v>
      </c>
      <c r="K248" s="26" t="s">
        <v>59</v>
      </c>
      <c r="L248" s="26" t="s">
        <v>60</v>
      </c>
    </row>
    <row r="249" spans="1:12">
      <c r="A249" s="26" t="s">
        <v>10</v>
      </c>
      <c r="B249" s="26" t="s">
        <v>29</v>
      </c>
      <c r="C249" s="26" t="s">
        <v>65</v>
      </c>
      <c r="D249" s="26" t="s">
        <v>13</v>
      </c>
      <c r="E249" s="26" t="s">
        <v>56</v>
      </c>
      <c r="F249" s="30">
        <v>902874</v>
      </c>
      <c r="G249" s="26" t="s">
        <v>142</v>
      </c>
      <c r="H249" s="30">
        <v>28011359</v>
      </c>
      <c r="I249" s="26" t="s">
        <v>749</v>
      </c>
      <c r="J249" s="26" t="s">
        <v>56</v>
      </c>
      <c r="K249" s="26" t="s">
        <v>59</v>
      </c>
      <c r="L249" s="26" t="s">
        <v>60</v>
      </c>
    </row>
    <row r="250" spans="1:12">
      <c r="A250" s="26" t="s">
        <v>10</v>
      </c>
      <c r="B250" s="26" t="s">
        <v>34</v>
      </c>
      <c r="C250" s="26" t="s">
        <v>61</v>
      </c>
      <c r="D250" s="26" t="s">
        <v>13</v>
      </c>
      <c r="E250" s="26" t="s">
        <v>56</v>
      </c>
      <c r="F250" s="30">
        <v>902875</v>
      </c>
      <c r="G250" s="26" t="s">
        <v>103</v>
      </c>
      <c r="H250" s="30">
        <v>28011360</v>
      </c>
      <c r="I250" s="26" t="s">
        <v>750</v>
      </c>
      <c r="J250" s="26" t="s">
        <v>128</v>
      </c>
      <c r="K250" s="26" t="s">
        <v>59</v>
      </c>
      <c r="L250" s="26" t="s">
        <v>60</v>
      </c>
    </row>
    <row r="251" spans="1:12">
      <c r="A251" s="26" t="s">
        <v>10</v>
      </c>
      <c r="B251" s="26" t="s">
        <v>29</v>
      </c>
      <c r="C251" s="26" t="s">
        <v>65</v>
      </c>
      <c r="D251" s="26" t="s">
        <v>13</v>
      </c>
      <c r="E251" s="26" t="s">
        <v>56</v>
      </c>
      <c r="F251" s="30">
        <v>902876</v>
      </c>
      <c r="G251" s="26" t="s">
        <v>144</v>
      </c>
      <c r="H251" s="30">
        <v>28011361</v>
      </c>
      <c r="I251" s="26" t="s">
        <v>751</v>
      </c>
      <c r="J251" s="26" t="s">
        <v>128</v>
      </c>
      <c r="K251" s="26" t="s">
        <v>59</v>
      </c>
      <c r="L251" s="26" t="s">
        <v>60</v>
      </c>
    </row>
    <row r="252" spans="1:12">
      <c r="A252" s="26" t="s">
        <v>10</v>
      </c>
      <c r="B252" s="26" t="s">
        <v>64</v>
      </c>
      <c r="C252" s="26" t="s">
        <v>65</v>
      </c>
      <c r="D252" s="26" t="s">
        <v>13</v>
      </c>
      <c r="E252" s="26" t="s">
        <v>56</v>
      </c>
      <c r="F252" s="30">
        <v>902877</v>
      </c>
      <c r="G252" s="26" t="s">
        <v>146</v>
      </c>
      <c r="H252" s="30">
        <v>28011362</v>
      </c>
      <c r="I252" s="26" t="s">
        <v>752</v>
      </c>
      <c r="J252" s="26" t="s">
        <v>128</v>
      </c>
      <c r="K252" s="26" t="s">
        <v>59</v>
      </c>
      <c r="L252" s="26" t="s">
        <v>60</v>
      </c>
    </row>
    <row r="253" spans="1:12">
      <c r="A253" s="26" t="s">
        <v>10</v>
      </c>
      <c r="B253" s="26" t="s">
        <v>36</v>
      </c>
      <c r="C253" s="26" t="s">
        <v>96</v>
      </c>
      <c r="D253" s="26" t="s">
        <v>13</v>
      </c>
      <c r="E253" s="26" t="s">
        <v>56</v>
      </c>
      <c r="F253" s="30">
        <v>902878</v>
      </c>
      <c r="G253" s="26" t="s">
        <v>131</v>
      </c>
      <c r="H253" s="30">
        <v>28011363</v>
      </c>
      <c r="I253" s="26" t="s">
        <v>753</v>
      </c>
      <c r="J253" s="26" t="s">
        <v>56</v>
      </c>
      <c r="K253" s="26" t="s">
        <v>59</v>
      </c>
      <c r="L253" s="26" t="s">
        <v>60</v>
      </c>
    </row>
    <row r="254" spans="1:12">
      <c r="A254" s="26" t="s">
        <v>10</v>
      </c>
      <c r="B254" s="26" t="s">
        <v>36</v>
      </c>
      <c r="C254" s="26" t="s">
        <v>96</v>
      </c>
      <c r="D254" s="26" t="s">
        <v>13</v>
      </c>
      <c r="E254" s="26" t="s">
        <v>56</v>
      </c>
      <c r="F254" s="30">
        <v>902879</v>
      </c>
      <c r="G254" s="26" t="s">
        <v>148</v>
      </c>
      <c r="H254" s="30">
        <v>28011364</v>
      </c>
      <c r="I254" s="26" t="s">
        <v>754</v>
      </c>
      <c r="J254" s="26" t="s">
        <v>56</v>
      </c>
      <c r="K254" s="26" t="s">
        <v>59</v>
      </c>
      <c r="L254" s="26" t="s">
        <v>60</v>
      </c>
    </row>
    <row r="255" spans="1:12">
      <c r="A255" s="26" t="s">
        <v>10</v>
      </c>
      <c r="B255" s="26" t="s">
        <v>54</v>
      </c>
      <c r="C255" s="26" t="s">
        <v>61</v>
      </c>
      <c r="D255" s="26" t="s">
        <v>13</v>
      </c>
      <c r="E255" s="26" t="s">
        <v>56</v>
      </c>
      <c r="F255" s="30">
        <v>902880</v>
      </c>
      <c r="G255" s="26" t="s">
        <v>103</v>
      </c>
      <c r="H255" s="30">
        <v>28011365</v>
      </c>
      <c r="I255" s="26" t="s">
        <v>755</v>
      </c>
      <c r="J255" s="26" t="s">
        <v>128</v>
      </c>
      <c r="K255" s="26" t="s">
        <v>59</v>
      </c>
      <c r="L255" s="26" t="s">
        <v>60</v>
      </c>
    </row>
    <row r="256" spans="1:12">
      <c r="A256" s="26" t="s">
        <v>10</v>
      </c>
      <c r="B256" s="26" t="s">
        <v>32</v>
      </c>
      <c r="C256" s="26" t="s">
        <v>98</v>
      </c>
      <c r="D256" s="26" t="s">
        <v>22</v>
      </c>
      <c r="E256" s="26" t="s">
        <v>56</v>
      </c>
      <c r="F256" s="30">
        <v>902881</v>
      </c>
      <c r="G256" s="26" t="s">
        <v>151</v>
      </c>
      <c r="H256" s="30">
        <v>28011366</v>
      </c>
      <c r="I256" s="26" t="s">
        <v>756</v>
      </c>
      <c r="J256" s="26" t="s">
        <v>56</v>
      </c>
      <c r="K256" s="26" t="s">
        <v>59</v>
      </c>
      <c r="L256" s="26" t="s">
        <v>60</v>
      </c>
    </row>
    <row r="257" spans="1:12">
      <c r="A257" s="26" t="s">
        <v>10</v>
      </c>
      <c r="B257" s="26" t="s">
        <v>32</v>
      </c>
      <c r="C257" s="26" t="s">
        <v>98</v>
      </c>
      <c r="D257" s="26" t="s">
        <v>22</v>
      </c>
      <c r="E257" s="26" t="s">
        <v>56</v>
      </c>
      <c r="F257" s="30">
        <v>902882</v>
      </c>
      <c r="G257" s="26" t="s">
        <v>153</v>
      </c>
      <c r="H257" s="30">
        <v>28011367</v>
      </c>
      <c r="I257" s="26" t="s">
        <v>757</v>
      </c>
      <c r="J257" s="26" t="s">
        <v>56</v>
      </c>
      <c r="K257" s="26" t="s">
        <v>59</v>
      </c>
      <c r="L257" s="26" t="s">
        <v>60</v>
      </c>
    </row>
    <row r="258" spans="1:12">
      <c r="A258" s="26" t="s">
        <v>10</v>
      </c>
      <c r="B258" s="26" t="s">
        <v>32</v>
      </c>
      <c r="C258" s="26" t="s">
        <v>98</v>
      </c>
      <c r="D258" s="26" t="s">
        <v>22</v>
      </c>
      <c r="E258" s="26" t="s">
        <v>66</v>
      </c>
      <c r="F258" s="30">
        <v>902883</v>
      </c>
      <c r="G258" s="26" t="s">
        <v>157</v>
      </c>
      <c r="H258" s="30">
        <v>28011368</v>
      </c>
      <c r="I258" s="26" t="s">
        <v>758</v>
      </c>
      <c r="J258" s="26" t="s">
        <v>66</v>
      </c>
      <c r="K258" s="26" t="s">
        <v>59</v>
      </c>
      <c r="L258" s="26" t="s">
        <v>60</v>
      </c>
    </row>
    <row r="259" spans="1:12">
      <c r="A259" s="26" t="s">
        <v>10</v>
      </c>
      <c r="B259" s="26" t="s">
        <v>32</v>
      </c>
      <c r="C259" s="26" t="s">
        <v>80</v>
      </c>
      <c r="D259" s="26" t="s">
        <v>13</v>
      </c>
      <c r="E259" s="26" t="s">
        <v>56</v>
      </c>
      <c r="F259" s="30">
        <v>902884</v>
      </c>
      <c r="G259" s="26" t="s">
        <v>160</v>
      </c>
      <c r="H259" s="30">
        <v>28011369</v>
      </c>
      <c r="I259" s="26" t="s">
        <v>759</v>
      </c>
      <c r="J259" s="26" t="s">
        <v>128</v>
      </c>
      <c r="K259" s="26" t="s">
        <v>59</v>
      </c>
      <c r="L259" s="26" t="s">
        <v>60</v>
      </c>
    </row>
    <row r="260" spans="1:12">
      <c r="A260" s="26" t="s">
        <v>10</v>
      </c>
      <c r="B260" s="26" t="s">
        <v>54</v>
      </c>
      <c r="C260" s="26" t="s">
        <v>61</v>
      </c>
      <c r="D260" s="26" t="s">
        <v>13</v>
      </c>
      <c r="E260" s="26" t="s">
        <v>56</v>
      </c>
      <c r="F260" s="30">
        <v>90002885</v>
      </c>
      <c r="G260" s="26" t="s">
        <v>226</v>
      </c>
      <c r="H260" s="30">
        <v>28011370</v>
      </c>
      <c r="I260" s="26" t="s">
        <v>760</v>
      </c>
      <c r="J260" s="26" t="s">
        <v>56</v>
      </c>
      <c r="K260" s="26" t="s">
        <v>59</v>
      </c>
      <c r="L260" s="26" t="s">
        <v>60</v>
      </c>
    </row>
    <row r="261" spans="1:12">
      <c r="A261" s="26" t="s">
        <v>10</v>
      </c>
      <c r="B261" s="26" t="s">
        <v>29</v>
      </c>
      <c r="C261" s="26" t="s">
        <v>65</v>
      </c>
      <c r="D261" s="26" t="s">
        <v>13</v>
      </c>
      <c r="E261" s="26" t="s">
        <v>56</v>
      </c>
      <c r="F261" s="30">
        <v>90002886</v>
      </c>
      <c r="G261" s="26" t="s">
        <v>213</v>
      </c>
      <c r="H261" s="30">
        <v>28011371</v>
      </c>
      <c r="I261" s="26" t="s">
        <v>761</v>
      </c>
      <c r="J261" s="26" t="s">
        <v>56</v>
      </c>
      <c r="K261" s="26" t="s">
        <v>59</v>
      </c>
      <c r="L261" s="26" t="s">
        <v>60</v>
      </c>
    </row>
    <row r="262" spans="1:12">
      <c r="A262" s="26" t="s">
        <v>10</v>
      </c>
      <c r="B262" s="26" t="s">
        <v>35</v>
      </c>
      <c r="C262" s="26" t="s">
        <v>61</v>
      </c>
      <c r="D262" s="26" t="s">
        <v>13</v>
      </c>
      <c r="E262" s="26" t="s">
        <v>56</v>
      </c>
      <c r="F262" s="30">
        <v>902887</v>
      </c>
      <c r="G262" s="26" t="s">
        <v>308</v>
      </c>
      <c r="H262" s="30">
        <v>28011372</v>
      </c>
      <c r="I262" s="26" t="s">
        <v>762</v>
      </c>
      <c r="J262" s="26" t="s">
        <v>128</v>
      </c>
      <c r="K262" s="26" t="s">
        <v>59</v>
      </c>
      <c r="L262" s="26" t="s">
        <v>60</v>
      </c>
    </row>
    <row r="263" spans="1:12">
      <c r="A263" s="26" t="s">
        <v>10</v>
      </c>
      <c r="B263" s="26" t="s">
        <v>36</v>
      </c>
      <c r="C263" s="26" t="s">
        <v>96</v>
      </c>
      <c r="D263" s="26" t="s">
        <v>13</v>
      </c>
      <c r="E263" s="26" t="s">
        <v>56</v>
      </c>
      <c r="F263" s="30">
        <v>90002888</v>
      </c>
      <c r="G263" s="26" t="s">
        <v>100</v>
      </c>
      <c r="H263" s="30">
        <v>28011373</v>
      </c>
      <c r="I263" s="26" t="s">
        <v>763</v>
      </c>
      <c r="J263" s="26" t="s">
        <v>56</v>
      </c>
      <c r="K263" s="26" t="s">
        <v>59</v>
      </c>
      <c r="L263" s="26" t="s">
        <v>60</v>
      </c>
    </row>
    <row r="264" spans="1:12">
      <c r="A264" s="26" t="s">
        <v>12</v>
      </c>
      <c r="B264" s="26" t="s">
        <v>36</v>
      </c>
      <c r="C264" s="26" t="s">
        <v>96</v>
      </c>
      <c r="D264" s="26" t="s">
        <v>13</v>
      </c>
      <c r="E264" s="26" t="s">
        <v>56</v>
      </c>
      <c r="F264" s="30">
        <v>902889</v>
      </c>
      <c r="G264" s="26" t="s">
        <v>162</v>
      </c>
      <c r="H264" s="30">
        <v>28011374</v>
      </c>
      <c r="I264" s="26" t="s">
        <v>764</v>
      </c>
      <c r="J264" s="26" t="s">
        <v>56</v>
      </c>
      <c r="K264" s="26" t="s">
        <v>59</v>
      </c>
      <c r="L264" s="26" t="s">
        <v>60</v>
      </c>
    </row>
    <row r="265" spans="1:12">
      <c r="A265" s="26" t="s">
        <v>10</v>
      </c>
      <c r="B265" s="26" t="s">
        <v>35</v>
      </c>
      <c r="C265" s="26" t="s">
        <v>61</v>
      </c>
      <c r="D265" s="26" t="s">
        <v>13</v>
      </c>
      <c r="E265" s="26" t="s">
        <v>56</v>
      </c>
      <c r="F265" s="30">
        <v>902890</v>
      </c>
      <c r="G265" s="26" t="s">
        <v>308</v>
      </c>
      <c r="H265" s="30">
        <v>28011375</v>
      </c>
      <c r="I265" s="26" t="s">
        <v>765</v>
      </c>
      <c r="J265" s="26" t="s">
        <v>128</v>
      </c>
      <c r="K265" s="26" t="s">
        <v>59</v>
      </c>
      <c r="L265" s="26" t="s">
        <v>60</v>
      </c>
    </row>
    <row r="266" spans="1:12">
      <c r="A266" s="26" t="s">
        <v>10</v>
      </c>
      <c r="B266" s="26" t="s">
        <v>29</v>
      </c>
      <c r="C266" s="26" t="s">
        <v>91</v>
      </c>
      <c r="D266" s="26" t="s">
        <v>13</v>
      </c>
      <c r="E266" s="26" t="s">
        <v>56</v>
      </c>
      <c r="F266" s="30">
        <v>90002891</v>
      </c>
      <c r="G266" s="26" t="s">
        <v>236</v>
      </c>
      <c r="H266" s="30">
        <v>28011376</v>
      </c>
      <c r="I266" s="26" t="s">
        <v>766</v>
      </c>
      <c r="J266" s="26" t="s">
        <v>128</v>
      </c>
      <c r="K266" s="26" t="s">
        <v>59</v>
      </c>
      <c r="L266" s="26" t="s">
        <v>60</v>
      </c>
    </row>
    <row r="267" spans="1:12">
      <c r="A267" s="26" t="s">
        <v>10</v>
      </c>
      <c r="B267" s="26" t="s">
        <v>32</v>
      </c>
      <c r="C267" s="26" t="s">
        <v>98</v>
      </c>
      <c r="D267" s="26" t="s">
        <v>22</v>
      </c>
      <c r="E267" s="26" t="s">
        <v>66</v>
      </c>
      <c r="F267" s="30">
        <v>902892</v>
      </c>
      <c r="G267" s="26" t="s">
        <v>165</v>
      </c>
      <c r="H267" s="30">
        <v>28011377</v>
      </c>
      <c r="I267" s="26" t="s">
        <v>767</v>
      </c>
      <c r="J267" s="26" t="s">
        <v>66</v>
      </c>
      <c r="K267" s="26" t="s">
        <v>59</v>
      </c>
      <c r="L267" s="26" t="s">
        <v>60</v>
      </c>
    </row>
    <row r="268" spans="1:12">
      <c r="A268" s="26" t="s">
        <v>10</v>
      </c>
      <c r="B268" s="26" t="s">
        <v>35</v>
      </c>
      <c r="C268" s="26" t="s">
        <v>61</v>
      </c>
      <c r="D268" s="26" t="s">
        <v>13</v>
      </c>
      <c r="E268" s="26" t="s">
        <v>56</v>
      </c>
      <c r="F268" s="30">
        <v>902893</v>
      </c>
      <c r="G268" s="26" t="s">
        <v>170</v>
      </c>
      <c r="H268" s="30">
        <v>28011378</v>
      </c>
      <c r="I268" s="26" t="s">
        <v>768</v>
      </c>
      <c r="J268" s="26" t="s">
        <v>128</v>
      </c>
      <c r="K268" s="26" t="s">
        <v>59</v>
      </c>
      <c r="L268" s="26" t="s">
        <v>60</v>
      </c>
    </row>
    <row r="269" spans="1:12">
      <c r="A269" s="26" t="s">
        <v>10</v>
      </c>
      <c r="B269" s="26" t="s">
        <v>32</v>
      </c>
      <c r="C269" s="26" t="s">
        <v>98</v>
      </c>
      <c r="D269" s="26" t="s">
        <v>22</v>
      </c>
      <c r="E269" s="26" t="s">
        <v>66</v>
      </c>
      <c r="F269" s="30">
        <v>902894</v>
      </c>
      <c r="G269" s="26" t="s">
        <v>166</v>
      </c>
      <c r="H269" s="30">
        <v>28011379</v>
      </c>
      <c r="I269" s="26" t="s">
        <v>769</v>
      </c>
      <c r="J269" s="26" t="s">
        <v>66</v>
      </c>
      <c r="K269" s="26" t="s">
        <v>59</v>
      </c>
      <c r="L269" s="26" t="s">
        <v>60</v>
      </c>
    </row>
    <row r="270" spans="1:12">
      <c r="A270" s="26" t="s">
        <v>10</v>
      </c>
      <c r="B270" s="26" t="s">
        <v>64</v>
      </c>
      <c r="C270" s="26" t="s">
        <v>55</v>
      </c>
      <c r="D270" s="26" t="s">
        <v>24</v>
      </c>
      <c r="E270" s="26" t="s">
        <v>72</v>
      </c>
      <c r="F270" s="30">
        <v>902895</v>
      </c>
      <c r="G270" s="26" t="s">
        <v>168</v>
      </c>
      <c r="H270" s="30">
        <v>28011380</v>
      </c>
      <c r="I270" s="26" t="s">
        <v>770</v>
      </c>
      <c r="J270" s="26" t="s">
        <v>56</v>
      </c>
      <c r="K270" s="26" t="s">
        <v>59</v>
      </c>
      <c r="L270" s="26" t="s">
        <v>60</v>
      </c>
    </row>
    <row r="271" spans="1:12">
      <c r="A271" s="26" t="s">
        <v>10</v>
      </c>
      <c r="B271" s="26" t="s">
        <v>35</v>
      </c>
      <c r="C271" s="26" t="s">
        <v>61</v>
      </c>
      <c r="D271" s="26" t="s">
        <v>13</v>
      </c>
      <c r="E271" s="26" t="s">
        <v>56</v>
      </c>
      <c r="F271" s="30">
        <v>902896</v>
      </c>
      <c r="G271" s="26" t="s">
        <v>170</v>
      </c>
      <c r="H271" s="30">
        <v>28011381</v>
      </c>
      <c r="I271" s="26" t="s">
        <v>771</v>
      </c>
      <c r="J271" s="26" t="s">
        <v>56</v>
      </c>
      <c r="K271" s="26" t="s">
        <v>59</v>
      </c>
      <c r="L271" s="26" t="s">
        <v>60</v>
      </c>
    </row>
    <row r="272" spans="1:12">
      <c r="A272" s="26" t="s">
        <v>10</v>
      </c>
      <c r="B272" s="26" t="s">
        <v>32</v>
      </c>
      <c r="C272" s="26" t="s">
        <v>98</v>
      </c>
      <c r="D272" s="26" t="s">
        <v>22</v>
      </c>
      <c r="E272" s="26" t="s">
        <v>128</v>
      </c>
      <c r="F272" s="30">
        <v>902897</v>
      </c>
      <c r="G272" s="26" t="s">
        <v>170</v>
      </c>
      <c r="H272" s="30">
        <v>28011382</v>
      </c>
      <c r="I272" s="26" t="s">
        <v>772</v>
      </c>
      <c r="J272" s="26" t="s">
        <v>56</v>
      </c>
      <c r="K272" s="26" t="s">
        <v>59</v>
      </c>
      <c r="L272" s="26" t="s">
        <v>60</v>
      </c>
    </row>
    <row r="273" spans="1:12">
      <c r="A273" s="26" t="s">
        <v>10</v>
      </c>
      <c r="B273" s="26" t="s">
        <v>32</v>
      </c>
      <c r="C273" s="26" t="s">
        <v>98</v>
      </c>
      <c r="D273" s="26" t="s">
        <v>22</v>
      </c>
      <c r="E273" s="26" t="s">
        <v>128</v>
      </c>
      <c r="F273" s="30">
        <v>902898</v>
      </c>
      <c r="G273" s="26" t="s">
        <v>172</v>
      </c>
      <c r="H273" s="30">
        <v>28011383</v>
      </c>
      <c r="I273" s="26" t="s">
        <v>773</v>
      </c>
      <c r="J273" s="26" t="s">
        <v>128</v>
      </c>
      <c r="K273" s="26" t="s">
        <v>59</v>
      </c>
      <c r="L273" s="26" t="s">
        <v>60</v>
      </c>
    </row>
    <row r="274" spans="1:12">
      <c r="A274" s="26" t="s">
        <v>10</v>
      </c>
      <c r="B274" s="26" t="s">
        <v>29</v>
      </c>
      <c r="C274" s="26" t="s">
        <v>75</v>
      </c>
      <c r="D274" s="26" t="s">
        <v>24</v>
      </c>
      <c r="E274" s="26" t="s">
        <v>56</v>
      </c>
      <c r="F274" s="30">
        <v>902899</v>
      </c>
      <c r="G274" s="26" t="s">
        <v>174</v>
      </c>
      <c r="H274" s="30">
        <v>28011384</v>
      </c>
      <c r="I274" s="26" t="s">
        <v>774</v>
      </c>
      <c r="J274" s="26" t="s">
        <v>56</v>
      </c>
      <c r="K274" s="26" t="s">
        <v>59</v>
      </c>
      <c r="L274" s="26" t="s">
        <v>60</v>
      </c>
    </row>
    <row r="275" spans="1:12">
      <c r="A275" s="26" t="s">
        <v>10</v>
      </c>
      <c r="B275" s="26" t="s">
        <v>64</v>
      </c>
      <c r="C275" s="26" t="s">
        <v>55</v>
      </c>
      <c r="D275" s="26" t="s">
        <v>24</v>
      </c>
      <c r="E275" s="26" t="s">
        <v>99</v>
      </c>
      <c r="F275" s="30">
        <v>902900</v>
      </c>
      <c r="G275" s="26" t="s">
        <v>266</v>
      </c>
      <c r="H275" s="30">
        <v>28011385</v>
      </c>
      <c r="I275" s="26" t="s">
        <v>775</v>
      </c>
      <c r="J275" s="26" t="s">
        <v>56</v>
      </c>
      <c r="K275" s="26" t="s">
        <v>59</v>
      </c>
      <c r="L275" s="26" t="s">
        <v>60</v>
      </c>
    </row>
    <row r="276" spans="1:12">
      <c r="A276" s="26" t="s">
        <v>10</v>
      </c>
      <c r="B276" s="26" t="s">
        <v>32</v>
      </c>
      <c r="C276" s="26" t="s">
        <v>98</v>
      </c>
      <c r="D276" s="26" t="s">
        <v>22</v>
      </c>
      <c r="E276" s="26" t="s">
        <v>128</v>
      </c>
      <c r="F276" s="30">
        <v>902901</v>
      </c>
      <c r="G276" s="26" t="s">
        <v>172</v>
      </c>
      <c r="H276" s="30">
        <v>28011386</v>
      </c>
      <c r="I276" s="26" t="s">
        <v>776</v>
      </c>
      <c r="J276" s="26" t="s">
        <v>128</v>
      </c>
      <c r="K276" s="26" t="s">
        <v>59</v>
      </c>
      <c r="L276" s="26" t="s">
        <v>60</v>
      </c>
    </row>
    <row r="277" spans="1:12">
      <c r="A277" s="26" t="s">
        <v>10</v>
      </c>
      <c r="B277" s="26" t="s">
        <v>32</v>
      </c>
      <c r="C277" s="26" t="s">
        <v>98</v>
      </c>
      <c r="D277" s="26" t="s">
        <v>22</v>
      </c>
      <c r="E277" s="26" t="s">
        <v>128</v>
      </c>
      <c r="F277" s="30">
        <v>902902</v>
      </c>
      <c r="G277" s="26" t="s">
        <v>176</v>
      </c>
      <c r="H277" s="30">
        <v>28011387</v>
      </c>
      <c r="I277" s="26" t="s">
        <v>777</v>
      </c>
      <c r="J277" s="26" t="s">
        <v>99</v>
      </c>
      <c r="K277" s="26" t="s">
        <v>59</v>
      </c>
      <c r="L277" s="26" t="s">
        <v>60</v>
      </c>
    </row>
    <row r="278" spans="1:12">
      <c r="A278" s="26" t="s">
        <v>10</v>
      </c>
      <c r="B278" s="26" t="s">
        <v>32</v>
      </c>
      <c r="C278" s="26" t="s">
        <v>98</v>
      </c>
      <c r="D278" s="26" t="s">
        <v>22</v>
      </c>
      <c r="E278" s="26" t="s">
        <v>128</v>
      </c>
      <c r="F278" s="30">
        <v>902903</v>
      </c>
      <c r="G278" s="26" t="s">
        <v>178</v>
      </c>
      <c r="H278" s="30">
        <v>28011388</v>
      </c>
      <c r="I278" s="26" t="s">
        <v>778</v>
      </c>
      <c r="J278" s="26" t="s">
        <v>128</v>
      </c>
      <c r="K278" s="26" t="s">
        <v>59</v>
      </c>
      <c r="L278" s="26" t="s">
        <v>60</v>
      </c>
    </row>
    <row r="279" spans="1:12">
      <c r="A279" s="26" t="s">
        <v>10</v>
      </c>
      <c r="B279" s="26" t="s">
        <v>32</v>
      </c>
      <c r="C279" s="26" t="s">
        <v>98</v>
      </c>
      <c r="D279" s="26" t="s">
        <v>22</v>
      </c>
      <c r="E279" s="26" t="s">
        <v>66</v>
      </c>
      <c r="F279" s="30">
        <v>902904</v>
      </c>
      <c r="G279" s="26" t="s">
        <v>179</v>
      </c>
      <c r="H279" s="30">
        <v>28011389</v>
      </c>
      <c r="I279" s="26" t="s">
        <v>779</v>
      </c>
      <c r="J279" s="26" t="s">
        <v>69</v>
      </c>
      <c r="K279" s="26" t="s">
        <v>59</v>
      </c>
      <c r="L279" s="26" t="s">
        <v>60</v>
      </c>
    </row>
    <row r="280" spans="1:12">
      <c r="A280" s="26" t="s">
        <v>10</v>
      </c>
      <c r="B280" s="26" t="s">
        <v>32</v>
      </c>
      <c r="C280" s="26" t="s">
        <v>98</v>
      </c>
      <c r="D280" s="26" t="s">
        <v>22</v>
      </c>
      <c r="E280" s="26" t="s">
        <v>128</v>
      </c>
      <c r="F280" s="30">
        <v>902905</v>
      </c>
      <c r="G280" s="26" t="s">
        <v>213</v>
      </c>
      <c r="H280" s="30">
        <v>28011390</v>
      </c>
      <c r="I280" s="26" t="s">
        <v>780</v>
      </c>
      <c r="J280" s="26" t="s">
        <v>128</v>
      </c>
      <c r="K280" s="26" t="s">
        <v>59</v>
      </c>
      <c r="L280" s="26" t="s">
        <v>60</v>
      </c>
    </row>
    <row r="281" spans="1:12">
      <c r="A281" s="26" t="s">
        <v>10</v>
      </c>
      <c r="B281" s="26" t="s">
        <v>32</v>
      </c>
      <c r="C281" s="26" t="s">
        <v>98</v>
      </c>
      <c r="D281" s="26" t="s">
        <v>22</v>
      </c>
      <c r="E281" s="26" t="s">
        <v>128</v>
      </c>
      <c r="F281" s="30">
        <v>902906</v>
      </c>
      <c r="G281" s="26" t="s">
        <v>178</v>
      </c>
      <c r="H281" s="30">
        <v>28011391</v>
      </c>
      <c r="I281" s="26" t="s">
        <v>781</v>
      </c>
      <c r="J281" s="26" t="s">
        <v>128</v>
      </c>
      <c r="K281" s="26" t="s">
        <v>59</v>
      </c>
      <c r="L281" s="26" t="s">
        <v>60</v>
      </c>
    </row>
    <row r="282" spans="1:12">
      <c r="A282" s="26" t="s">
        <v>10</v>
      </c>
      <c r="B282" s="26" t="s">
        <v>32</v>
      </c>
      <c r="C282" s="26" t="s">
        <v>98</v>
      </c>
      <c r="D282" s="26" t="s">
        <v>22</v>
      </c>
      <c r="E282" s="26" t="s">
        <v>69</v>
      </c>
      <c r="F282" s="30">
        <v>902907</v>
      </c>
      <c r="G282" s="26" t="s">
        <v>181</v>
      </c>
      <c r="H282" s="30">
        <v>28011392</v>
      </c>
      <c r="I282" s="26" t="s">
        <v>782</v>
      </c>
      <c r="J282" s="26" t="s">
        <v>210</v>
      </c>
      <c r="K282" s="26" t="s">
        <v>59</v>
      </c>
      <c r="L282" s="26" t="s">
        <v>60</v>
      </c>
    </row>
    <row r="283" spans="1:12">
      <c r="A283" s="26" t="s">
        <v>10</v>
      </c>
      <c r="B283" s="26" t="s">
        <v>32</v>
      </c>
      <c r="C283" s="26" t="s">
        <v>98</v>
      </c>
      <c r="D283" s="26" t="s">
        <v>22</v>
      </c>
      <c r="E283" s="26" t="s">
        <v>128</v>
      </c>
      <c r="F283" s="30">
        <v>902908</v>
      </c>
      <c r="G283" s="26" t="s">
        <v>183</v>
      </c>
      <c r="H283" s="30">
        <v>28011393</v>
      </c>
      <c r="I283" s="26" t="s">
        <v>783</v>
      </c>
      <c r="J283" s="26" t="s">
        <v>128</v>
      </c>
      <c r="K283" s="26" t="s">
        <v>59</v>
      </c>
      <c r="L283" s="26" t="s">
        <v>60</v>
      </c>
    </row>
    <row r="284" spans="1:12">
      <c r="A284" s="26" t="s">
        <v>10</v>
      </c>
      <c r="B284" s="26" t="s">
        <v>32</v>
      </c>
      <c r="C284" s="26" t="s">
        <v>98</v>
      </c>
      <c r="D284" s="26" t="s">
        <v>22</v>
      </c>
      <c r="E284" s="26" t="s">
        <v>128</v>
      </c>
      <c r="F284" s="30">
        <v>902909</v>
      </c>
      <c r="G284" s="26" t="s">
        <v>186</v>
      </c>
      <c r="H284" s="30">
        <v>28011394</v>
      </c>
      <c r="I284" s="26" t="s">
        <v>784</v>
      </c>
      <c r="J284" s="26" t="s">
        <v>128</v>
      </c>
      <c r="K284" s="26" t="s">
        <v>59</v>
      </c>
      <c r="L284" s="26" t="s">
        <v>60</v>
      </c>
    </row>
    <row r="285" spans="1:12">
      <c r="A285" s="26" t="s">
        <v>10</v>
      </c>
      <c r="B285" s="26" t="s">
        <v>32</v>
      </c>
      <c r="C285" s="26" t="s">
        <v>98</v>
      </c>
      <c r="D285" s="26" t="s">
        <v>22</v>
      </c>
      <c r="E285" s="26" t="s">
        <v>128</v>
      </c>
      <c r="F285" s="30">
        <v>902910</v>
      </c>
      <c r="G285" s="26" t="s">
        <v>186</v>
      </c>
      <c r="H285" s="30">
        <v>28011395</v>
      </c>
      <c r="I285" s="26" t="s">
        <v>785</v>
      </c>
      <c r="J285" s="26" t="s">
        <v>99</v>
      </c>
      <c r="K285" s="26" t="s">
        <v>59</v>
      </c>
      <c r="L285" s="26" t="s">
        <v>60</v>
      </c>
    </row>
    <row r="286" spans="1:12">
      <c r="A286" s="26" t="s">
        <v>10</v>
      </c>
      <c r="B286" s="26" t="s">
        <v>32</v>
      </c>
      <c r="C286" s="26" t="s">
        <v>98</v>
      </c>
      <c r="D286" s="26" t="s">
        <v>22</v>
      </c>
      <c r="E286" s="26" t="s">
        <v>128</v>
      </c>
      <c r="F286" s="30">
        <v>902911</v>
      </c>
      <c r="G286" s="26" t="s">
        <v>172</v>
      </c>
      <c r="H286" s="30">
        <v>28011396</v>
      </c>
      <c r="I286" s="26" t="s">
        <v>786</v>
      </c>
      <c r="J286" s="26" t="s">
        <v>128</v>
      </c>
      <c r="K286" s="26" t="s">
        <v>59</v>
      </c>
      <c r="L286" s="26" t="s">
        <v>60</v>
      </c>
    </row>
    <row r="287" spans="1:12">
      <c r="A287" s="26" t="s">
        <v>10</v>
      </c>
      <c r="B287" s="26" t="s">
        <v>64</v>
      </c>
      <c r="C287" s="26" t="s">
        <v>55</v>
      </c>
      <c r="D287" s="26" t="s">
        <v>24</v>
      </c>
      <c r="E287" s="26" t="s">
        <v>128</v>
      </c>
      <c r="F287" s="30">
        <v>902912</v>
      </c>
      <c r="G287" s="26" t="s">
        <v>331</v>
      </c>
      <c r="H287" s="30">
        <v>28011397</v>
      </c>
      <c r="I287" s="26" t="s">
        <v>787</v>
      </c>
      <c r="J287" s="26" t="s">
        <v>128</v>
      </c>
      <c r="K287" s="26" t="s">
        <v>59</v>
      </c>
      <c r="L287" s="26" t="s">
        <v>60</v>
      </c>
    </row>
    <row r="288" spans="1:12">
      <c r="A288" s="26" t="s">
        <v>10</v>
      </c>
      <c r="B288" s="26" t="s">
        <v>64</v>
      </c>
      <c r="C288" s="26" t="s">
        <v>61</v>
      </c>
      <c r="D288" s="26" t="s">
        <v>13</v>
      </c>
      <c r="E288" s="26" t="s">
        <v>56</v>
      </c>
      <c r="F288" s="30">
        <v>902913</v>
      </c>
      <c r="G288" s="26" t="s">
        <v>188</v>
      </c>
      <c r="H288" s="30">
        <v>28011398</v>
      </c>
      <c r="I288" s="26" t="s">
        <v>788</v>
      </c>
      <c r="J288" s="26" t="s">
        <v>56</v>
      </c>
      <c r="K288" s="26" t="s">
        <v>59</v>
      </c>
      <c r="L288" s="26" t="s">
        <v>60</v>
      </c>
    </row>
    <row r="289" spans="1:12">
      <c r="A289" s="26" t="s">
        <v>10</v>
      </c>
      <c r="B289" s="26" t="s">
        <v>30</v>
      </c>
      <c r="C289" s="26" t="s">
        <v>75</v>
      </c>
      <c r="D289" s="26" t="s">
        <v>13</v>
      </c>
      <c r="E289" s="26" t="s">
        <v>56</v>
      </c>
      <c r="F289" s="30">
        <v>902914</v>
      </c>
      <c r="G289" s="26" t="s">
        <v>190</v>
      </c>
      <c r="H289" s="30">
        <v>28011399</v>
      </c>
      <c r="I289" s="26" t="s">
        <v>789</v>
      </c>
      <c r="J289" s="26" t="s">
        <v>56</v>
      </c>
      <c r="K289" s="26" t="s">
        <v>59</v>
      </c>
      <c r="L289" s="26" t="s">
        <v>60</v>
      </c>
    </row>
    <row r="290" spans="1:12">
      <c r="A290" s="26" t="s">
        <v>10</v>
      </c>
      <c r="B290" s="26" t="s">
        <v>31</v>
      </c>
      <c r="C290" s="26" t="s">
        <v>61</v>
      </c>
      <c r="D290" s="26" t="s">
        <v>13</v>
      </c>
      <c r="E290" s="26" t="s">
        <v>56</v>
      </c>
      <c r="F290" s="30">
        <v>902915</v>
      </c>
      <c r="G290" s="26" t="s">
        <v>193</v>
      </c>
      <c r="H290" s="30">
        <v>28011400</v>
      </c>
      <c r="I290" s="26" t="s">
        <v>790</v>
      </c>
      <c r="J290" s="26" t="s">
        <v>128</v>
      </c>
      <c r="K290" s="26" t="s">
        <v>59</v>
      </c>
      <c r="L290" s="26" t="s">
        <v>60</v>
      </c>
    </row>
    <row r="291" spans="1:12">
      <c r="A291" s="26" t="s">
        <v>10</v>
      </c>
      <c r="B291" s="26" t="s">
        <v>31</v>
      </c>
      <c r="C291" s="26" t="s">
        <v>61</v>
      </c>
      <c r="D291" s="26" t="s">
        <v>13</v>
      </c>
      <c r="E291" s="26" t="s">
        <v>56</v>
      </c>
      <c r="F291" s="30">
        <v>90002916</v>
      </c>
      <c r="G291" s="26" t="s">
        <v>195</v>
      </c>
      <c r="H291" s="30">
        <v>28011401</v>
      </c>
      <c r="I291" s="26" t="s">
        <v>791</v>
      </c>
      <c r="J291" s="26" t="s">
        <v>128</v>
      </c>
      <c r="K291" s="26" t="s">
        <v>59</v>
      </c>
      <c r="L291" s="26" t="s">
        <v>60</v>
      </c>
    </row>
    <row r="292" spans="1:12">
      <c r="A292" s="26" t="s">
        <v>10</v>
      </c>
      <c r="B292" s="26" t="s">
        <v>64</v>
      </c>
      <c r="C292" s="26" t="s">
        <v>65</v>
      </c>
      <c r="D292" s="26" t="s">
        <v>13</v>
      </c>
      <c r="E292" s="26" t="s">
        <v>56</v>
      </c>
      <c r="F292" s="30">
        <v>902917</v>
      </c>
      <c r="G292" s="26" t="s">
        <v>188</v>
      </c>
      <c r="H292" s="30">
        <v>28011402</v>
      </c>
      <c r="I292" s="26" t="s">
        <v>819</v>
      </c>
      <c r="J292" s="26" t="s">
        <v>128</v>
      </c>
      <c r="K292" s="26" t="s">
        <v>59</v>
      </c>
      <c r="L292" s="26" t="s">
        <v>60</v>
      </c>
    </row>
    <row r="293" spans="1:12">
      <c r="A293" s="26" t="s">
        <v>10</v>
      </c>
      <c r="B293" s="26" t="s">
        <v>36</v>
      </c>
      <c r="C293" s="26" t="s">
        <v>61</v>
      </c>
      <c r="D293" s="26" t="s">
        <v>13</v>
      </c>
      <c r="E293" s="26" t="s">
        <v>56</v>
      </c>
      <c r="F293" s="30">
        <v>902918</v>
      </c>
      <c r="G293" s="26" t="s">
        <v>197</v>
      </c>
      <c r="H293" s="30">
        <v>28011403</v>
      </c>
      <c r="I293" s="26" t="s">
        <v>792</v>
      </c>
      <c r="J293" s="26" t="s">
        <v>56</v>
      </c>
      <c r="K293" s="26" t="s">
        <v>59</v>
      </c>
      <c r="L293" s="26" t="s">
        <v>60</v>
      </c>
    </row>
    <row r="294" spans="1:12">
      <c r="A294" s="26" t="s">
        <v>10</v>
      </c>
      <c r="B294" s="26" t="s">
        <v>29</v>
      </c>
      <c r="C294" s="26" t="s">
        <v>65</v>
      </c>
      <c r="D294" s="26" t="s">
        <v>13</v>
      </c>
      <c r="E294" s="26" t="s">
        <v>56</v>
      </c>
      <c r="F294" s="30">
        <v>902919</v>
      </c>
      <c r="G294" s="26" t="s">
        <v>199</v>
      </c>
      <c r="H294" s="30">
        <v>28011404</v>
      </c>
      <c r="I294" s="26" t="s">
        <v>793</v>
      </c>
      <c r="J294" s="26" t="s">
        <v>56</v>
      </c>
      <c r="K294" s="26" t="s">
        <v>59</v>
      </c>
      <c r="L294" s="26" t="s">
        <v>60</v>
      </c>
    </row>
    <row r="295" spans="1:12">
      <c r="A295" s="26" t="s">
        <v>10</v>
      </c>
      <c r="B295" s="26" t="s">
        <v>64</v>
      </c>
      <c r="C295" s="26" t="s">
        <v>55</v>
      </c>
      <c r="D295" s="26" t="s">
        <v>24</v>
      </c>
      <c r="E295" s="26" t="s">
        <v>99</v>
      </c>
      <c r="F295" s="30">
        <v>902920</v>
      </c>
      <c r="G295" s="26" t="s">
        <v>201</v>
      </c>
      <c r="H295" s="30">
        <v>28011405</v>
      </c>
      <c r="I295" s="26" t="s">
        <v>794</v>
      </c>
      <c r="J295" s="26" t="s">
        <v>99</v>
      </c>
      <c r="K295" s="26" t="s">
        <v>59</v>
      </c>
      <c r="L295" s="26" t="s">
        <v>60</v>
      </c>
    </row>
    <row r="296" spans="1:12">
      <c r="A296" s="26" t="s">
        <v>10</v>
      </c>
      <c r="B296" s="26" t="s">
        <v>29</v>
      </c>
      <c r="C296" s="26" t="s">
        <v>65</v>
      </c>
      <c r="D296" s="26" t="s">
        <v>13</v>
      </c>
      <c r="E296" s="26" t="s">
        <v>56</v>
      </c>
      <c r="F296" s="30">
        <v>902921</v>
      </c>
      <c r="G296" s="26" t="s">
        <v>199</v>
      </c>
      <c r="H296" s="30">
        <v>28011406</v>
      </c>
      <c r="I296" s="26" t="s">
        <v>795</v>
      </c>
      <c r="J296" s="26" t="s">
        <v>56</v>
      </c>
      <c r="K296" s="26" t="s">
        <v>59</v>
      </c>
      <c r="L296" s="26" t="s">
        <v>60</v>
      </c>
    </row>
    <row r="297" spans="1:12">
      <c r="A297" s="26" t="s">
        <v>10</v>
      </c>
      <c r="B297" s="26" t="s">
        <v>29</v>
      </c>
      <c r="C297" s="26" t="s">
        <v>65</v>
      </c>
      <c r="D297" s="26" t="s">
        <v>13</v>
      </c>
      <c r="E297" s="26" t="s">
        <v>56</v>
      </c>
      <c r="F297" s="30">
        <v>902922</v>
      </c>
      <c r="G297" s="26" t="s">
        <v>199</v>
      </c>
      <c r="H297" s="30">
        <v>28011407</v>
      </c>
      <c r="I297" s="26" t="s">
        <v>796</v>
      </c>
      <c r="J297" s="26" t="s">
        <v>128</v>
      </c>
      <c r="K297" s="26" t="s">
        <v>59</v>
      </c>
      <c r="L297" s="26" t="s">
        <v>60</v>
      </c>
    </row>
    <row r="298" spans="1:12">
      <c r="A298" s="26" t="s">
        <v>10</v>
      </c>
      <c r="B298" s="26" t="s">
        <v>36</v>
      </c>
      <c r="C298" s="26" t="s">
        <v>61</v>
      </c>
      <c r="D298" s="26" t="s">
        <v>13</v>
      </c>
      <c r="E298" s="26" t="s">
        <v>56</v>
      </c>
      <c r="F298" s="30">
        <v>902923</v>
      </c>
      <c r="G298" s="26" t="s">
        <v>103</v>
      </c>
      <c r="H298" s="30">
        <v>28011408</v>
      </c>
      <c r="I298" s="26" t="s">
        <v>797</v>
      </c>
      <c r="J298" s="26" t="s">
        <v>128</v>
      </c>
      <c r="K298" s="26" t="s">
        <v>59</v>
      </c>
      <c r="L298" s="26" t="s">
        <v>60</v>
      </c>
    </row>
    <row r="299" spans="1:12">
      <c r="A299" s="26" t="s">
        <v>10</v>
      </c>
      <c r="B299" s="26" t="s">
        <v>36</v>
      </c>
      <c r="C299" s="26" t="s">
        <v>61</v>
      </c>
      <c r="D299" s="26" t="s">
        <v>13</v>
      </c>
      <c r="E299" s="26" t="s">
        <v>56</v>
      </c>
      <c r="F299" s="30">
        <v>902924</v>
      </c>
      <c r="G299" s="26" t="s">
        <v>203</v>
      </c>
      <c r="H299" s="30">
        <v>28011409</v>
      </c>
      <c r="I299" s="26" t="s">
        <v>798</v>
      </c>
      <c r="J299" s="26" t="s">
        <v>128</v>
      </c>
      <c r="K299" s="26" t="s">
        <v>59</v>
      </c>
      <c r="L299" s="26" t="s">
        <v>60</v>
      </c>
    </row>
    <row r="300" spans="1:12">
      <c r="A300" s="26" t="s">
        <v>12</v>
      </c>
      <c r="B300" s="26" t="s">
        <v>29</v>
      </c>
      <c r="C300" s="26" t="s">
        <v>91</v>
      </c>
      <c r="D300" s="26" t="s">
        <v>13</v>
      </c>
      <c r="E300" s="26" t="s">
        <v>56</v>
      </c>
      <c r="F300" s="30">
        <v>902925</v>
      </c>
      <c r="G300" s="26" t="s">
        <v>211</v>
      </c>
      <c r="H300" s="30">
        <v>28011410</v>
      </c>
      <c r="I300" s="26" t="s">
        <v>799</v>
      </c>
      <c r="J300" s="26" t="s">
        <v>72</v>
      </c>
      <c r="K300" s="26" t="s">
        <v>59</v>
      </c>
      <c r="L300" s="26" t="s">
        <v>60</v>
      </c>
    </row>
    <row r="301" spans="1:12">
      <c r="A301" s="26" t="s">
        <v>10</v>
      </c>
      <c r="B301" s="26" t="s">
        <v>33</v>
      </c>
      <c r="C301" s="26" t="s">
        <v>91</v>
      </c>
      <c r="D301" s="26" t="s">
        <v>13</v>
      </c>
      <c r="E301" s="26" t="s">
        <v>56</v>
      </c>
      <c r="F301" s="30">
        <v>902926</v>
      </c>
      <c r="G301" s="26" t="s">
        <v>213</v>
      </c>
      <c r="H301" s="30">
        <v>28011411</v>
      </c>
      <c r="I301" s="26" t="s">
        <v>800</v>
      </c>
      <c r="J301" s="26" t="s">
        <v>128</v>
      </c>
      <c r="K301" s="26" t="s">
        <v>59</v>
      </c>
      <c r="L301" s="26" t="s">
        <v>60</v>
      </c>
    </row>
    <row r="302" spans="1:12">
      <c r="A302" s="26" t="s">
        <v>12</v>
      </c>
      <c r="B302" s="26" t="s">
        <v>29</v>
      </c>
      <c r="C302" s="26" t="s">
        <v>91</v>
      </c>
      <c r="D302" s="26" t="s">
        <v>13</v>
      </c>
      <c r="E302" s="26" t="s">
        <v>56</v>
      </c>
      <c r="F302" s="30">
        <v>902927</v>
      </c>
      <c r="G302" s="26" t="s">
        <v>211</v>
      </c>
      <c r="H302" s="30">
        <v>28011412</v>
      </c>
      <c r="I302" s="26" t="s">
        <v>801</v>
      </c>
      <c r="J302" s="26" t="s">
        <v>72</v>
      </c>
      <c r="K302" s="26" t="s">
        <v>59</v>
      </c>
      <c r="L302" s="26" t="s">
        <v>60</v>
      </c>
    </row>
    <row r="303" spans="1:12">
      <c r="A303" s="26" t="s">
        <v>10</v>
      </c>
      <c r="B303" s="26" t="s">
        <v>34</v>
      </c>
      <c r="C303" s="26" t="s">
        <v>75</v>
      </c>
      <c r="D303" s="26" t="s">
        <v>13</v>
      </c>
      <c r="E303" s="26" t="s">
        <v>56</v>
      </c>
      <c r="F303" s="30">
        <v>902928</v>
      </c>
      <c r="G303" s="26" t="s">
        <v>92</v>
      </c>
      <c r="H303" s="30">
        <v>28011413</v>
      </c>
      <c r="I303" s="26" t="s">
        <v>802</v>
      </c>
      <c r="J303" s="26" t="s">
        <v>128</v>
      </c>
      <c r="K303" s="26" t="s">
        <v>59</v>
      </c>
      <c r="L303" s="26" t="s">
        <v>60</v>
      </c>
    </row>
    <row r="304" spans="1:12">
      <c r="A304" s="26" t="s">
        <v>12</v>
      </c>
      <c r="B304" s="26" t="s">
        <v>64</v>
      </c>
      <c r="C304" s="26" t="s">
        <v>55</v>
      </c>
      <c r="D304" s="26" t="s">
        <v>24</v>
      </c>
      <c r="E304" s="26" t="s">
        <v>128</v>
      </c>
      <c r="F304" s="30">
        <v>902929</v>
      </c>
      <c r="G304" s="26" t="s">
        <v>215</v>
      </c>
      <c r="H304" s="30">
        <v>28011414</v>
      </c>
      <c r="I304" s="26" t="s">
        <v>803</v>
      </c>
      <c r="J304" s="26" t="s">
        <v>56</v>
      </c>
      <c r="K304" s="26" t="s">
        <v>59</v>
      </c>
      <c r="L304" s="26" t="s">
        <v>60</v>
      </c>
    </row>
    <row r="305" spans="1:12">
      <c r="A305" s="26" t="s">
        <v>12</v>
      </c>
      <c r="B305" s="26" t="s">
        <v>29</v>
      </c>
      <c r="C305" s="26" t="s">
        <v>75</v>
      </c>
      <c r="D305" s="26" t="s">
        <v>24</v>
      </c>
      <c r="E305" s="26" t="s">
        <v>128</v>
      </c>
      <c r="F305" s="30">
        <v>902930</v>
      </c>
      <c r="G305" s="26" t="s">
        <v>217</v>
      </c>
      <c r="H305" s="30">
        <v>28011415</v>
      </c>
      <c r="I305" s="26" t="s">
        <v>804</v>
      </c>
      <c r="J305" s="26" t="s">
        <v>99</v>
      </c>
      <c r="K305" s="26" t="s">
        <v>59</v>
      </c>
      <c r="L305" s="26" t="s">
        <v>60</v>
      </c>
    </row>
    <row r="306" spans="1:12">
      <c r="A306" s="26" t="s">
        <v>12</v>
      </c>
      <c r="B306" s="26" t="s">
        <v>29</v>
      </c>
      <c r="C306" s="26" t="s">
        <v>75</v>
      </c>
      <c r="D306" s="26" t="s">
        <v>24</v>
      </c>
      <c r="E306" s="26" t="s">
        <v>69</v>
      </c>
      <c r="F306" s="30">
        <v>902931</v>
      </c>
      <c r="G306" s="26" t="s">
        <v>220</v>
      </c>
      <c r="H306" s="30">
        <v>28011416</v>
      </c>
      <c r="I306" s="26" t="s">
        <v>805</v>
      </c>
      <c r="J306" s="26" t="s">
        <v>69</v>
      </c>
      <c r="K306" s="26" t="s">
        <v>59</v>
      </c>
      <c r="L306" s="26" t="s">
        <v>60</v>
      </c>
    </row>
    <row r="307" spans="1:12">
      <c r="A307" s="26" t="s">
        <v>10</v>
      </c>
      <c r="B307" s="26" t="s">
        <v>34</v>
      </c>
      <c r="C307" s="26" t="s">
        <v>75</v>
      </c>
      <c r="D307" s="26" t="s">
        <v>13</v>
      </c>
      <c r="E307" s="26" t="s">
        <v>56</v>
      </c>
      <c r="F307" s="30">
        <v>902932</v>
      </c>
      <c r="G307" s="26" t="s">
        <v>172</v>
      </c>
      <c r="H307" s="30">
        <v>28011417</v>
      </c>
      <c r="I307" s="26" t="s">
        <v>806</v>
      </c>
      <c r="J307" s="26" t="s">
        <v>72</v>
      </c>
      <c r="K307" s="26" t="s">
        <v>59</v>
      </c>
      <c r="L307" s="26" t="s">
        <v>60</v>
      </c>
    </row>
    <row r="308" spans="1:12">
      <c r="A308" s="26" t="s">
        <v>10</v>
      </c>
      <c r="B308" s="26" t="s">
        <v>30</v>
      </c>
      <c r="C308" s="26" t="s">
        <v>75</v>
      </c>
      <c r="D308" s="26" t="s">
        <v>13</v>
      </c>
      <c r="E308" s="26" t="s">
        <v>56</v>
      </c>
      <c r="F308" s="30">
        <v>902933</v>
      </c>
      <c r="G308" s="26" t="s">
        <v>221</v>
      </c>
      <c r="H308" s="30">
        <v>28011418</v>
      </c>
      <c r="I308" s="26" t="s">
        <v>807</v>
      </c>
      <c r="J308" s="26" t="s">
        <v>56</v>
      </c>
      <c r="K308" s="26" t="s">
        <v>59</v>
      </c>
      <c r="L308" s="26" t="s">
        <v>60</v>
      </c>
    </row>
    <row r="309" spans="1:12">
      <c r="A309" s="26" t="s">
        <v>10</v>
      </c>
      <c r="B309" s="26" t="s">
        <v>29</v>
      </c>
      <c r="C309" s="26" t="s">
        <v>91</v>
      </c>
      <c r="D309" s="26" t="s">
        <v>13</v>
      </c>
      <c r="E309" s="26" t="s">
        <v>56</v>
      </c>
      <c r="F309" s="30">
        <v>902934</v>
      </c>
      <c r="G309" s="26" t="s">
        <v>236</v>
      </c>
      <c r="H309" s="30">
        <v>28011419</v>
      </c>
      <c r="I309" s="26" t="s">
        <v>808</v>
      </c>
      <c r="J309" s="26" t="s">
        <v>128</v>
      </c>
      <c r="K309" s="26" t="s">
        <v>59</v>
      </c>
      <c r="L309" s="26" t="s">
        <v>60</v>
      </c>
    </row>
    <row r="310" spans="1:12">
      <c r="A310" s="26" t="s">
        <v>10</v>
      </c>
      <c r="B310" s="26" t="s">
        <v>30</v>
      </c>
      <c r="C310" s="26" t="s">
        <v>75</v>
      </c>
      <c r="D310" s="26" t="s">
        <v>13</v>
      </c>
      <c r="E310" s="26" t="s">
        <v>56</v>
      </c>
      <c r="F310" s="30">
        <v>902935</v>
      </c>
      <c r="G310" s="26" t="s">
        <v>201</v>
      </c>
      <c r="H310" s="30">
        <v>28011420</v>
      </c>
      <c r="I310" s="26" t="s">
        <v>809</v>
      </c>
      <c r="J310" s="26" t="s">
        <v>56</v>
      </c>
      <c r="K310" s="26" t="s">
        <v>59</v>
      </c>
      <c r="L310" s="26" t="s">
        <v>60</v>
      </c>
    </row>
    <row r="311" spans="1:12">
      <c r="A311" s="26" t="s">
        <v>10</v>
      </c>
      <c r="B311" s="26" t="s">
        <v>30</v>
      </c>
      <c r="C311" s="26" t="s">
        <v>75</v>
      </c>
      <c r="D311" s="26" t="s">
        <v>13</v>
      </c>
      <c r="E311" s="26" t="s">
        <v>56</v>
      </c>
      <c r="F311" s="30">
        <v>902936</v>
      </c>
      <c r="G311" s="26" t="s">
        <v>550</v>
      </c>
      <c r="H311" s="30">
        <v>28011421</v>
      </c>
      <c r="I311" s="26" t="s">
        <v>810</v>
      </c>
      <c r="J311" s="26" t="s">
        <v>128</v>
      </c>
      <c r="K311" s="26" t="s">
        <v>59</v>
      </c>
      <c r="L311" s="26" t="s">
        <v>60</v>
      </c>
    </row>
    <row r="312" spans="1:12">
      <c r="A312" s="26" t="s">
        <v>12</v>
      </c>
      <c r="B312" s="26" t="s">
        <v>33</v>
      </c>
      <c r="C312" s="26" t="s">
        <v>65</v>
      </c>
      <c r="D312" s="26" t="s">
        <v>20</v>
      </c>
      <c r="E312" s="26" t="s">
        <v>56</v>
      </c>
      <c r="F312" s="30">
        <v>902937</v>
      </c>
      <c r="G312" s="26" t="s">
        <v>311</v>
      </c>
      <c r="H312" s="30">
        <v>28011422</v>
      </c>
      <c r="I312" s="26" t="s">
        <v>811</v>
      </c>
      <c r="J312" s="26" t="s">
        <v>56</v>
      </c>
      <c r="K312" s="26" t="s">
        <v>59</v>
      </c>
      <c r="L312" s="26" t="s">
        <v>60</v>
      </c>
    </row>
    <row r="313" spans="1:12">
      <c r="A313" s="26" t="s">
        <v>10</v>
      </c>
      <c r="B313" s="26" t="s">
        <v>30</v>
      </c>
      <c r="C313" s="26" t="s">
        <v>61</v>
      </c>
      <c r="D313" s="26" t="s">
        <v>13</v>
      </c>
      <c r="E313" s="26" t="s">
        <v>56</v>
      </c>
      <c r="F313" s="30">
        <v>902938</v>
      </c>
      <c r="G313" s="26" t="s">
        <v>224</v>
      </c>
      <c r="H313" s="30">
        <v>28011423</v>
      </c>
      <c r="I313" s="26" t="s">
        <v>812</v>
      </c>
      <c r="J313" s="26" t="s">
        <v>99</v>
      </c>
      <c r="K313" s="26" t="s">
        <v>59</v>
      </c>
      <c r="L313" s="26" t="s">
        <v>60</v>
      </c>
    </row>
    <row r="314" spans="1:12">
      <c r="A314" s="26" t="s">
        <v>10</v>
      </c>
      <c r="B314" s="26" t="s">
        <v>29</v>
      </c>
      <c r="C314" s="26" t="s">
        <v>91</v>
      </c>
      <c r="D314" s="26" t="s">
        <v>13</v>
      </c>
      <c r="E314" s="26" t="s">
        <v>56</v>
      </c>
      <c r="F314" s="30">
        <v>902939</v>
      </c>
      <c r="G314" s="26" t="s">
        <v>226</v>
      </c>
      <c r="H314" s="30">
        <v>28011424</v>
      </c>
      <c r="I314" s="26" t="s">
        <v>813</v>
      </c>
      <c r="J314" s="26" t="s">
        <v>128</v>
      </c>
      <c r="K314" s="26" t="s">
        <v>59</v>
      </c>
      <c r="L314" s="26" t="s">
        <v>60</v>
      </c>
    </row>
    <row r="315" spans="1:12">
      <c r="A315" s="26" t="s">
        <v>10</v>
      </c>
      <c r="B315" s="26" t="s">
        <v>31</v>
      </c>
      <c r="C315" s="26" t="s">
        <v>75</v>
      </c>
      <c r="D315" s="26" t="s">
        <v>13</v>
      </c>
      <c r="E315" s="26" t="s">
        <v>56</v>
      </c>
      <c r="F315" s="30">
        <v>90002940</v>
      </c>
      <c r="G315" s="26" t="s">
        <v>228</v>
      </c>
      <c r="H315" s="30">
        <v>28011425</v>
      </c>
      <c r="I315" s="26" t="s">
        <v>814</v>
      </c>
      <c r="J315" s="26" t="s">
        <v>56</v>
      </c>
      <c r="K315" s="26" t="s">
        <v>59</v>
      </c>
      <c r="L315" s="26" t="s">
        <v>60</v>
      </c>
    </row>
    <row r="316" spans="1:12">
      <c r="A316" s="26" t="s">
        <v>10</v>
      </c>
      <c r="B316" s="26" t="s">
        <v>31</v>
      </c>
      <c r="C316" s="26" t="s">
        <v>75</v>
      </c>
      <c r="D316" s="26" t="s">
        <v>13</v>
      </c>
      <c r="E316" s="26" t="s">
        <v>56</v>
      </c>
      <c r="F316" s="30">
        <v>90002941</v>
      </c>
      <c r="G316" s="26" t="s">
        <v>230</v>
      </c>
      <c r="H316" s="30">
        <v>28011426</v>
      </c>
      <c r="I316" s="26" t="s">
        <v>815</v>
      </c>
      <c r="J316" s="26" t="s">
        <v>128</v>
      </c>
      <c r="K316" s="26" t="s">
        <v>59</v>
      </c>
      <c r="L316" s="26" t="s">
        <v>60</v>
      </c>
    </row>
    <row r="317" spans="1:12">
      <c r="A317" s="26" t="s">
        <v>13</v>
      </c>
      <c r="B317" s="26" t="s">
        <v>36</v>
      </c>
      <c r="C317" s="26" t="s">
        <v>96</v>
      </c>
      <c r="D317" s="26" t="s">
        <v>13</v>
      </c>
      <c r="E317" s="26" t="s">
        <v>69</v>
      </c>
      <c r="F317" s="30">
        <v>902942</v>
      </c>
      <c r="G317" s="26" t="s">
        <v>274</v>
      </c>
      <c r="H317" s="30">
        <v>28011427</v>
      </c>
      <c r="I317" s="26" t="s">
        <v>816</v>
      </c>
      <c r="J317" s="26" t="s">
        <v>981</v>
      </c>
      <c r="K317" s="26" t="s">
        <v>59</v>
      </c>
      <c r="L317" s="26" t="s">
        <v>60</v>
      </c>
    </row>
    <row r="318" spans="1:12">
      <c r="A318" s="26" t="s">
        <v>10</v>
      </c>
      <c r="B318" s="26" t="s">
        <v>64</v>
      </c>
      <c r="C318" s="26" t="s">
        <v>55</v>
      </c>
      <c r="D318" s="26" t="s">
        <v>24</v>
      </c>
      <c r="E318" s="26" t="s">
        <v>238</v>
      </c>
      <c r="F318" s="30">
        <v>902943</v>
      </c>
      <c r="G318" s="26" t="s">
        <v>232</v>
      </c>
      <c r="H318" s="30">
        <v>28011428</v>
      </c>
      <c r="I318" s="26" t="s">
        <v>337</v>
      </c>
      <c r="J318" s="26" t="s">
        <v>11</v>
      </c>
      <c r="K318" s="26" t="s">
        <v>59</v>
      </c>
      <c r="L318" s="26" t="s">
        <v>60</v>
      </c>
    </row>
    <row r="319" spans="1:12">
      <c r="A319" s="26" t="s">
        <v>12</v>
      </c>
      <c r="B319" s="26" t="s">
        <v>29</v>
      </c>
      <c r="C319" s="26" t="s">
        <v>65</v>
      </c>
      <c r="D319" s="26" t="s">
        <v>13</v>
      </c>
      <c r="E319" s="26" t="s">
        <v>99</v>
      </c>
      <c r="F319" s="30">
        <v>902944</v>
      </c>
      <c r="G319" s="26" t="s">
        <v>234</v>
      </c>
      <c r="H319" s="30">
        <v>28011429</v>
      </c>
      <c r="I319" s="26" t="s">
        <v>817</v>
      </c>
      <c r="J319" s="26" t="s">
        <v>99</v>
      </c>
      <c r="K319" s="26" t="s">
        <v>59</v>
      </c>
      <c r="L319" s="26" t="s">
        <v>60</v>
      </c>
    </row>
    <row r="320" spans="1:12">
      <c r="A320" s="26" t="s">
        <v>10</v>
      </c>
      <c r="B320" s="26" t="s">
        <v>54</v>
      </c>
      <c r="C320" s="26" t="s">
        <v>61</v>
      </c>
      <c r="D320" s="26" t="s">
        <v>13</v>
      </c>
      <c r="E320" s="26" t="s">
        <v>56</v>
      </c>
      <c r="F320" s="30">
        <v>902945</v>
      </c>
      <c r="G320" s="26" t="s">
        <v>100</v>
      </c>
      <c r="H320" s="30">
        <v>28011430</v>
      </c>
      <c r="I320" s="26" t="s">
        <v>818</v>
      </c>
      <c r="J320" s="26" t="s">
        <v>69</v>
      </c>
      <c r="K320" s="26" t="s">
        <v>59</v>
      </c>
      <c r="L320" s="26" t="s">
        <v>60</v>
      </c>
    </row>
    <row r="321" spans="1:12">
      <c r="A321" s="26" t="s">
        <v>10</v>
      </c>
      <c r="B321" s="26" t="s">
        <v>30</v>
      </c>
      <c r="C321" s="26" t="s">
        <v>61</v>
      </c>
      <c r="D321" s="26" t="s">
        <v>13</v>
      </c>
      <c r="E321" s="26" t="s">
        <v>56</v>
      </c>
      <c r="F321" s="30">
        <v>90002946</v>
      </c>
      <c r="G321" s="26" t="s">
        <v>331</v>
      </c>
      <c r="H321" s="30">
        <v>28011431</v>
      </c>
      <c r="I321" s="26" t="s">
        <v>819</v>
      </c>
      <c r="J321" s="26" t="s">
        <v>128</v>
      </c>
      <c r="K321" s="26" t="s">
        <v>59</v>
      </c>
      <c r="L321" s="26" t="s">
        <v>60</v>
      </c>
    </row>
    <row r="322" spans="1:12">
      <c r="A322" s="26" t="s">
        <v>10</v>
      </c>
      <c r="B322" s="26" t="s">
        <v>36</v>
      </c>
      <c r="C322" s="26" t="s">
        <v>61</v>
      </c>
      <c r="D322" s="26" t="s">
        <v>13</v>
      </c>
      <c r="E322" s="26" t="s">
        <v>56</v>
      </c>
      <c r="F322" s="30">
        <v>902947</v>
      </c>
      <c r="G322" s="26" t="s">
        <v>236</v>
      </c>
      <c r="H322" s="30">
        <v>28011432</v>
      </c>
      <c r="I322" s="26" t="s">
        <v>820</v>
      </c>
      <c r="J322" s="26" t="s">
        <v>99</v>
      </c>
      <c r="K322" s="26" t="s">
        <v>59</v>
      </c>
      <c r="L322" s="26" t="s">
        <v>60</v>
      </c>
    </row>
    <row r="323" spans="1:12">
      <c r="A323" s="26" t="s">
        <v>10</v>
      </c>
      <c r="B323" s="26" t="s">
        <v>33</v>
      </c>
      <c r="C323" s="26" t="s">
        <v>102</v>
      </c>
      <c r="D323" s="26" t="s">
        <v>13</v>
      </c>
      <c r="E323" s="26" t="s">
        <v>128</v>
      </c>
      <c r="F323" s="30">
        <v>90002948</v>
      </c>
      <c r="G323" s="26" t="s">
        <v>239</v>
      </c>
      <c r="H323" s="30">
        <v>28011433</v>
      </c>
      <c r="I323" s="26" t="s">
        <v>821</v>
      </c>
      <c r="J323" s="26" t="s">
        <v>210</v>
      </c>
      <c r="K323" s="26" t="s">
        <v>59</v>
      </c>
      <c r="L323" s="26" t="s">
        <v>60</v>
      </c>
    </row>
    <row r="324" spans="1:12">
      <c r="A324" s="26" t="s">
        <v>14</v>
      </c>
      <c r="B324" s="26" t="s">
        <v>33</v>
      </c>
      <c r="C324" s="26" t="s">
        <v>102</v>
      </c>
      <c r="D324" s="26" t="s">
        <v>13</v>
      </c>
      <c r="E324" s="26" t="s">
        <v>56</v>
      </c>
      <c r="F324" s="30">
        <v>902949</v>
      </c>
      <c r="G324" s="26" t="s">
        <v>116</v>
      </c>
      <c r="H324" s="30">
        <v>28011434</v>
      </c>
      <c r="I324" s="26" t="s">
        <v>822</v>
      </c>
      <c r="J324" s="26" t="s">
        <v>72</v>
      </c>
      <c r="K324" s="26" t="s">
        <v>59</v>
      </c>
      <c r="L324" s="26" t="s">
        <v>60</v>
      </c>
    </row>
    <row r="325" spans="1:12">
      <c r="A325" s="26" t="s">
        <v>14</v>
      </c>
      <c r="B325" s="26" t="s">
        <v>36</v>
      </c>
      <c r="C325" s="26" t="s">
        <v>96</v>
      </c>
      <c r="D325" s="26" t="s">
        <v>13</v>
      </c>
      <c r="E325" s="26" t="s">
        <v>99</v>
      </c>
      <c r="F325" s="30">
        <v>902950</v>
      </c>
      <c r="G325" s="26" t="s">
        <v>100</v>
      </c>
      <c r="H325" s="30">
        <v>28011435</v>
      </c>
      <c r="I325" s="26" t="s">
        <v>823</v>
      </c>
      <c r="J325" s="26" t="s">
        <v>99</v>
      </c>
      <c r="K325" s="26" t="s">
        <v>59</v>
      </c>
      <c r="L325" s="26" t="s">
        <v>60</v>
      </c>
    </row>
    <row r="326" spans="1:12">
      <c r="A326" s="26" t="s">
        <v>14</v>
      </c>
      <c r="B326" s="26" t="s">
        <v>31</v>
      </c>
      <c r="C326" s="26" t="s">
        <v>61</v>
      </c>
      <c r="D326" s="26" t="s">
        <v>13</v>
      </c>
      <c r="E326" s="26" t="s">
        <v>128</v>
      </c>
      <c r="F326" s="30">
        <v>902951</v>
      </c>
      <c r="G326" s="26" t="s">
        <v>103</v>
      </c>
      <c r="H326" s="30">
        <v>28011436</v>
      </c>
      <c r="I326" s="26" t="s">
        <v>824</v>
      </c>
      <c r="J326" s="26" t="s">
        <v>128</v>
      </c>
      <c r="K326" s="26" t="s">
        <v>59</v>
      </c>
      <c r="L326" s="26" t="s">
        <v>60</v>
      </c>
    </row>
    <row r="327" spans="1:12">
      <c r="A327" s="26" t="s">
        <v>15</v>
      </c>
      <c r="B327" s="26" t="s">
        <v>32</v>
      </c>
      <c r="C327" s="26" t="s">
        <v>61</v>
      </c>
      <c r="D327" s="26" t="s">
        <v>13</v>
      </c>
      <c r="E327" s="26" t="s">
        <v>16</v>
      </c>
      <c r="F327" s="30">
        <v>902952</v>
      </c>
      <c r="G327" s="26" t="s">
        <v>241</v>
      </c>
      <c r="H327" s="30">
        <v>28011437</v>
      </c>
      <c r="I327" s="26" t="s">
        <v>825</v>
      </c>
      <c r="J327" s="26" t="s">
        <v>16</v>
      </c>
      <c r="K327" s="26" t="s">
        <v>552</v>
      </c>
      <c r="L327" s="26" t="s">
        <v>60</v>
      </c>
    </row>
    <row r="328" spans="1:12">
      <c r="A328" s="26" t="s">
        <v>15</v>
      </c>
      <c r="B328" s="26" t="s">
        <v>32</v>
      </c>
      <c r="C328" s="26" t="s">
        <v>61</v>
      </c>
      <c r="D328" s="26" t="s">
        <v>13</v>
      </c>
      <c r="E328" s="26" t="s">
        <v>550</v>
      </c>
      <c r="F328" s="30">
        <v>902953</v>
      </c>
      <c r="G328" s="26" t="s">
        <v>176</v>
      </c>
      <c r="H328" s="30">
        <v>28011438</v>
      </c>
      <c r="I328" s="26" t="s">
        <v>826</v>
      </c>
      <c r="J328" s="26" t="s">
        <v>550</v>
      </c>
      <c r="K328" s="26" t="s">
        <v>552</v>
      </c>
      <c r="L328" s="26" t="s">
        <v>60</v>
      </c>
    </row>
    <row r="329" spans="1:12">
      <c r="A329" s="26" t="s">
        <v>15</v>
      </c>
      <c r="B329" s="26" t="s">
        <v>31</v>
      </c>
      <c r="C329" s="26" t="s">
        <v>61</v>
      </c>
      <c r="D329" s="26" t="s">
        <v>13</v>
      </c>
      <c r="E329" s="26" t="s">
        <v>16</v>
      </c>
      <c r="F329" s="30">
        <v>902954</v>
      </c>
      <c r="G329" s="26" t="s">
        <v>243</v>
      </c>
      <c r="H329" s="30">
        <v>28011439</v>
      </c>
      <c r="I329" s="26" t="s">
        <v>827</v>
      </c>
      <c r="J329" s="26" t="s">
        <v>16</v>
      </c>
      <c r="K329" s="26" t="s">
        <v>552</v>
      </c>
      <c r="L329" s="26" t="s">
        <v>60</v>
      </c>
    </row>
    <row r="330" spans="1:12">
      <c r="A330" s="26" t="s">
        <v>15</v>
      </c>
      <c r="B330" s="26" t="s">
        <v>36</v>
      </c>
      <c r="C330" s="26" t="s">
        <v>96</v>
      </c>
      <c r="D330" s="26" t="s">
        <v>13</v>
      </c>
      <c r="E330" s="26" t="s">
        <v>16</v>
      </c>
      <c r="F330" s="30">
        <v>902955</v>
      </c>
      <c r="G330" s="26" t="s">
        <v>241</v>
      </c>
      <c r="H330" s="30">
        <v>28011440</v>
      </c>
      <c r="I330" s="26" t="s">
        <v>828</v>
      </c>
      <c r="J330" s="26" t="s">
        <v>16</v>
      </c>
      <c r="K330" s="26" t="s">
        <v>552</v>
      </c>
      <c r="L330" s="26" t="s">
        <v>60</v>
      </c>
    </row>
    <row r="331" spans="1:12">
      <c r="A331" s="26" t="s">
        <v>12</v>
      </c>
      <c r="B331" s="26" t="s">
        <v>33</v>
      </c>
      <c r="C331" s="26" t="s">
        <v>102</v>
      </c>
      <c r="D331" s="26" t="s">
        <v>13</v>
      </c>
      <c r="E331" s="26" t="s">
        <v>128</v>
      </c>
      <c r="F331" s="30">
        <v>902956</v>
      </c>
      <c r="G331" s="26" t="s">
        <v>245</v>
      </c>
      <c r="H331" s="30">
        <v>28011441</v>
      </c>
      <c r="I331" s="26" t="s">
        <v>829</v>
      </c>
      <c r="J331" s="26" t="s">
        <v>128</v>
      </c>
      <c r="K331" s="26" t="s">
        <v>59</v>
      </c>
      <c r="L331" s="26" t="s">
        <v>60</v>
      </c>
    </row>
    <row r="332" spans="1:12">
      <c r="A332" s="26" t="s">
        <v>14</v>
      </c>
      <c r="B332" s="26" t="s">
        <v>33</v>
      </c>
      <c r="C332" s="26" t="s">
        <v>102</v>
      </c>
      <c r="D332" s="26" t="s">
        <v>13</v>
      </c>
      <c r="E332" s="26" t="s">
        <v>56</v>
      </c>
      <c r="F332" s="30">
        <v>902957</v>
      </c>
      <c r="G332" s="26" t="s">
        <v>116</v>
      </c>
      <c r="H332" s="30">
        <v>28011442</v>
      </c>
      <c r="I332" s="26" t="s">
        <v>830</v>
      </c>
      <c r="J332" s="26" t="s">
        <v>56</v>
      </c>
      <c r="K332" s="26" t="s">
        <v>59</v>
      </c>
      <c r="L332" s="26" t="s">
        <v>60</v>
      </c>
    </row>
    <row r="333" spans="1:12">
      <c r="A333" s="26" t="s">
        <v>14</v>
      </c>
      <c r="B333" s="26" t="s">
        <v>31</v>
      </c>
      <c r="C333" s="26" t="s">
        <v>61</v>
      </c>
      <c r="D333" s="26" t="s">
        <v>13</v>
      </c>
      <c r="E333" s="26" t="s">
        <v>99</v>
      </c>
      <c r="F333" s="30">
        <v>902958</v>
      </c>
      <c r="G333" s="26" t="s">
        <v>103</v>
      </c>
      <c r="H333" s="30">
        <v>28011443</v>
      </c>
      <c r="I333" s="26" t="s">
        <v>831</v>
      </c>
      <c r="J333" s="26" t="s">
        <v>56</v>
      </c>
      <c r="K333" s="26" t="s">
        <v>59</v>
      </c>
      <c r="L333" s="26" t="s">
        <v>60</v>
      </c>
    </row>
    <row r="334" spans="1:12">
      <c r="A334" s="26" t="s">
        <v>14</v>
      </c>
      <c r="B334" s="26" t="s">
        <v>33</v>
      </c>
      <c r="C334" s="26" t="s">
        <v>102</v>
      </c>
      <c r="D334" s="26" t="s">
        <v>13</v>
      </c>
      <c r="E334" s="26" t="s">
        <v>99</v>
      </c>
      <c r="F334" s="30">
        <v>902959</v>
      </c>
      <c r="G334" s="26" t="s">
        <v>195</v>
      </c>
      <c r="H334" s="30">
        <v>28011444</v>
      </c>
      <c r="I334" s="26" t="s">
        <v>832</v>
      </c>
      <c r="J334" s="26" t="s">
        <v>128</v>
      </c>
      <c r="K334" s="26" t="s">
        <v>59</v>
      </c>
      <c r="L334" s="26" t="s">
        <v>60</v>
      </c>
    </row>
    <row r="335" spans="1:12">
      <c r="A335" s="26" t="s">
        <v>10</v>
      </c>
      <c r="B335" s="26" t="s">
        <v>32</v>
      </c>
      <c r="C335" s="26" t="s">
        <v>98</v>
      </c>
      <c r="D335" s="26" t="s">
        <v>22</v>
      </c>
      <c r="E335" s="26" t="s">
        <v>210</v>
      </c>
      <c r="F335" s="30">
        <v>902960</v>
      </c>
      <c r="G335" s="26" t="s">
        <v>247</v>
      </c>
      <c r="H335" s="30"/>
      <c r="I335" s="26"/>
      <c r="J335" s="26"/>
      <c r="K335" s="26"/>
      <c r="L335" s="26" t="s">
        <v>63</v>
      </c>
    </row>
    <row r="336" spans="1:12">
      <c r="A336" s="26" t="s">
        <v>10</v>
      </c>
      <c r="B336" s="26" t="s">
        <v>32</v>
      </c>
      <c r="C336" s="26" t="s">
        <v>98</v>
      </c>
      <c r="D336" s="26" t="s">
        <v>22</v>
      </c>
      <c r="E336" s="26" t="s">
        <v>128</v>
      </c>
      <c r="F336" s="30">
        <v>902961</v>
      </c>
      <c r="G336" s="26" t="s">
        <v>213</v>
      </c>
      <c r="H336" s="30"/>
      <c r="I336" s="26"/>
      <c r="J336" s="26"/>
      <c r="K336" s="26"/>
      <c r="L336" s="26" t="s">
        <v>63</v>
      </c>
    </row>
    <row r="337" spans="1:12">
      <c r="A337" s="26" t="s">
        <v>10</v>
      </c>
      <c r="B337" s="26" t="s">
        <v>32</v>
      </c>
      <c r="C337" s="26" t="s">
        <v>98</v>
      </c>
      <c r="D337" s="26" t="s">
        <v>22</v>
      </c>
      <c r="E337" s="26" t="s">
        <v>128</v>
      </c>
      <c r="F337" s="30">
        <v>902962</v>
      </c>
      <c r="G337" s="26" t="s">
        <v>249</v>
      </c>
      <c r="H337" s="30"/>
      <c r="I337" s="26"/>
      <c r="J337" s="26"/>
      <c r="K337" s="26"/>
      <c r="L337" s="26" t="s">
        <v>63</v>
      </c>
    </row>
    <row r="338" spans="1:12">
      <c r="A338" s="26" t="s">
        <v>10</v>
      </c>
      <c r="B338" s="26" t="s">
        <v>32</v>
      </c>
      <c r="C338" s="26" t="s">
        <v>98</v>
      </c>
      <c r="D338" s="26" t="s">
        <v>22</v>
      </c>
      <c r="E338" s="26" t="s">
        <v>128</v>
      </c>
      <c r="F338" s="30">
        <v>90002963</v>
      </c>
      <c r="G338" s="26" t="s">
        <v>213</v>
      </c>
      <c r="H338" s="30"/>
      <c r="I338" s="26"/>
      <c r="J338" s="26"/>
      <c r="K338" s="26"/>
      <c r="L338" s="26" t="s">
        <v>63</v>
      </c>
    </row>
    <row r="339" spans="1:12">
      <c r="A339" s="26" t="s">
        <v>10</v>
      </c>
      <c r="B339" s="26" t="s">
        <v>32</v>
      </c>
      <c r="C339" s="26" t="s">
        <v>98</v>
      </c>
      <c r="D339" s="26" t="s">
        <v>22</v>
      </c>
      <c r="E339" s="26" t="s">
        <v>210</v>
      </c>
      <c r="F339" s="30">
        <v>902964</v>
      </c>
      <c r="G339" s="26" t="s">
        <v>251</v>
      </c>
      <c r="H339" s="30"/>
      <c r="I339" s="26"/>
      <c r="J339" s="26"/>
      <c r="K339" s="26"/>
      <c r="L339" s="26" t="s">
        <v>63</v>
      </c>
    </row>
    <row r="340" spans="1:12">
      <c r="A340" s="26" t="s">
        <v>10</v>
      </c>
      <c r="B340" s="26" t="s">
        <v>32</v>
      </c>
      <c r="C340" s="26" t="s">
        <v>98</v>
      </c>
      <c r="D340" s="26" t="s">
        <v>22</v>
      </c>
      <c r="E340" s="26" t="s">
        <v>56</v>
      </c>
      <c r="F340" s="30">
        <v>902965</v>
      </c>
      <c r="G340" s="26" t="s">
        <v>253</v>
      </c>
      <c r="H340" s="30"/>
      <c r="I340" s="26"/>
      <c r="J340" s="26"/>
      <c r="K340" s="26"/>
      <c r="L340" s="26" t="s">
        <v>63</v>
      </c>
    </row>
    <row r="341" spans="1:12">
      <c r="A341" s="26" t="s">
        <v>10</v>
      </c>
      <c r="B341" s="26" t="s">
        <v>32</v>
      </c>
      <c r="C341" s="26" t="s">
        <v>98</v>
      </c>
      <c r="D341" s="26" t="s">
        <v>22</v>
      </c>
      <c r="E341" s="26" t="s">
        <v>128</v>
      </c>
      <c r="F341" s="30">
        <v>902966</v>
      </c>
      <c r="G341" s="26" t="s">
        <v>170</v>
      </c>
      <c r="H341" s="30"/>
      <c r="I341" s="26"/>
      <c r="J341" s="26"/>
      <c r="K341" s="26"/>
      <c r="L341" s="26" t="s">
        <v>63</v>
      </c>
    </row>
    <row r="342" spans="1:12">
      <c r="A342" s="26" t="s">
        <v>10</v>
      </c>
      <c r="B342" s="26" t="s">
        <v>32</v>
      </c>
      <c r="C342" s="26" t="s">
        <v>98</v>
      </c>
      <c r="D342" s="26" t="s">
        <v>22</v>
      </c>
      <c r="E342" s="26" t="s">
        <v>128</v>
      </c>
      <c r="F342" s="30">
        <v>902967</v>
      </c>
      <c r="G342" s="26" t="s">
        <v>178</v>
      </c>
      <c r="H342" s="30"/>
      <c r="I342" s="26"/>
      <c r="J342" s="26"/>
      <c r="K342" s="26"/>
      <c r="L342" s="26" t="s">
        <v>63</v>
      </c>
    </row>
    <row r="343" spans="1:12">
      <c r="A343" s="26" t="s">
        <v>10</v>
      </c>
      <c r="B343" s="26" t="s">
        <v>31</v>
      </c>
      <c r="C343" s="26" t="s">
        <v>61</v>
      </c>
      <c r="D343" s="26" t="s">
        <v>13</v>
      </c>
      <c r="E343" s="26" t="s">
        <v>109</v>
      </c>
      <c r="F343" s="30">
        <v>902968</v>
      </c>
      <c r="G343" s="26" t="s">
        <v>172</v>
      </c>
      <c r="H343" s="30"/>
      <c r="I343" s="26"/>
      <c r="J343" s="26"/>
      <c r="K343" s="26"/>
      <c r="L343" s="26" t="s">
        <v>63</v>
      </c>
    </row>
    <row r="344" spans="1:12">
      <c r="A344" s="26" t="s">
        <v>10</v>
      </c>
      <c r="B344" s="26" t="s">
        <v>30</v>
      </c>
      <c r="C344" s="26" t="s">
        <v>75</v>
      </c>
      <c r="D344" s="26" t="s">
        <v>13</v>
      </c>
      <c r="E344" s="26" t="s">
        <v>72</v>
      </c>
      <c r="F344" s="30">
        <v>902969</v>
      </c>
      <c r="G344" s="26" t="s">
        <v>172</v>
      </c>
      <c r="H344" s="30"/>
      <c r="I344" s="26"/>
      <c r="J344" s="26"/>
      <c r="K344" s="26"/>
      <c r="L344" s="26" t="s">
        <v>63</v>
      </c>
    </row>
    <row r="345" spans="1:12">
      <c r="A345" s="26" t="s">
        <v>10</v>
      </c>
      <c r="B345" s="26" t="s">
        <v>31</v>
      </c>
      <c r="C345" s="26" t="s">
        <v>75</v>
      </c>
      <c r="D345" s="26" t="s">
        <v>13</v>
      </c>
      <c r="E345" s="26" t="s">
        <v>72</v>
      </c>
      <c r="F345" s="30">
        <v>902970</v>
      </c>
      <c r="G345" s="26" t="s">
        <v>260</v>
      </c>
      <c r="H345" s="30"/>
      <c r="I345" s="26"/>
      <c r="J345" s="26"/>
      <c r="K345" s="26"/>
      <c r="L345" s="26" t="s">
        <v>63</v>
      </c>
    </row>
    <row r="346" spans="1:12">
      <c r="A346" s="26" t="s">
        <v>10</v>
      </c>
      <c r="B346" s="26" t="s">
        <v>33</v>
      </c>
      <c r="C346" s="26" t="s">
        <v>91</v>
      </c>
      <c r="D346" s="26" t="s">
        <v>13</v>
      </c>
      <c r="E346" s="26" t="s">
        <v>495</v>
      </c>
      <c r="F346" s="30">
        <v>90002971</v>
      </c>
      <c r="G346" s="26" t="s">
        <v>262</v>
      </c>
      <c r="H346" s="30"/>
      <c r="I346" s="26"/>
      <c r="J346" s="26"/>
      <c r="K346" s="26"/>
      <c r="L346" s="26" t="s">
        <v>63</v>
      </c>
    </row>
    <row r="347" spans="1:12">
      <c r="A347" s="26" t="s">
        <v>12</v>
      </c>
      <c r="B347" s="26" t="s">
        <v>30</v>
      </c>
      <c r="C347" s="26" t="s">
        <v>75</v>
      </c>
      <c r="D347" s="26" t="s">
        <v>13</v>
      </c>
      <c r="E347" s="26" t="s">
        <v>99</v>
      </c>
      <c r="F347" s="30">
        <v>902972</v>
      </c>
      <c r="G347" s="26" t="s">
        <v>264</v>
      </c>
      <c r="H347" s="30"/>
      <c r="I347" s="26"/>
      <c r="J347" s="26"/>
      <c r="K347" s="26"/>
      <c r="L347" s="26" t="s">
        <v>63</v>
      </c>
    </row>
    <row r="348" spans="1:12">
      <c r="A348" s="26" t="s">
        <v>10</v>
      </c>
      <c r="B348" s="26" t="s">
        <v>31</v>
      </c>
      <c r="C348" s="26" t="s">
        <v>61</v>
      </c>
      <c r="D348" s="26" t="s">
        <v>13</v>
      </c>
      <c r="E348" s="26" t="s">
        <v>99</v>
      </c>
      <c r="F348" s="30">
        <v>902973</v>
      </c>
      <c r="G348" s="26" t="s">
        <v>133</v>
      </c>
      <c r="H348" s="30"/>
      <c r="I348" s="26"/>
      <c r="J348" s="26"/>
      <c r="K348" s="26"/>
      <c r="L348" s="26" t="s">
        <v>63</v>
      </c>
    </row>
    <row r="349" spans="1:12">
      <c r="A349" s="26" t="s">
        <v>10</v>
      </c>
      <c r="B349" s="26" t="s">
        <v>32</v>
      </c>
      <c r="C349" s="26" t="s">
        <v>98</v>
      </c>
      <c r="D349" s="26" t="s">
        <v>22</v>
      </c>
      <c r="E349" s="26" t="s">
        <v>69</v>
      </c>
      <c r="F349" s="30">
        <v>90002974</v>
      </c>
      <c r="G349" s="26" t="s">
        <v>266</v>
      </c>
      <c r="H349" s="30"/>
      <c r="I349" s="26"/>
      <c r="J349" s="26"/>
      <c r="K349" s="26"/>
      <c r="L349" s="26" t="s">
        <v>63</v>
      </c>
    </row>
    <row r="350" spans="1:12">
      <c r="A350" s="26" t="s">
        <v>10</v>
      </c>
      <c r="B350" s="26" t="s">
        <v>34</v>
      </c>
      <c r="C350" s="26" t="s">
        <v>61</v>
      </c>
      <c r="D350" s="26" t="s">
        <v>13</v>
      </c>
      <c r="E350" s="26" t="s">
        <v>128</v>
      </c>
      <c r="F350" s="30">
        <v>902975</v>
      </c>
      <c r="G350" s="26" t="s">
        <v>103</v>
      </c>
      <c r="H350" s="30"/>
      <c r="I350" s="26"/>
      <c r="J350" s="26"/>
      <c r="K350" s="26"/>
      <c r="L350" s="26" t="s">
        <v>63</v>
      </c>
    </row>
    <row r="351" spans="1:12">
      <c r="A351" s="26" t="s">
        <v>10</v>
      </c>
      <c r="B351" s="26" t="s">
        <v>64</v>
      </c>
      <c r="C351" s="26" t="s">
        <v>55</v>
      </c>
      <c r="D351" s="26" t="s">
        <v>24</v>
      </c>
      <c r="E351" s="26" t="s">
        <v>238</v>
      </c>
      <c r="F351" s="30">
        <v>90002976</v>
      </c>
      <c r="G351" s="26" t="s">
        <v>232</v>
      </c>
      <c r="H351" s="30"/>
      <c r="I351" s="26"/>
      <c r="J351" s="26"/>
      <c r="K351" s="26"/>
      <c r="L351" s="26" t="s">
        <v>63</v>
      </c>
    </row>
    <row r="352" spans="1:12">
      <c r="A352" s="26" t="s">
        <v>10</v>
      </c>
      <c r="B352" s="26" t="s">
        <v>32</v>
      </c>
      <c r="C352" s="26" t="s">
        <v>80</v>
      </c>
      <c r="D352" s="26" t="s">
        <v>13</v>
      </c>
      <c r="E352" s="26" t="s">
        <v>56</v>
      </c>
      <c r="F352" s="30">
        <v>902977</v>
      </c>
      <c r="G352" s="26" t="s">
        <v>120</v>
      </c>
      <c r="H352" s="30"/>
      <c r="I352" s="26"/>
      <c r="J352" s="26"/>
      <c r="K352" s="26"/>
      <c r="L352" s="26" t="s">
        <v>63</v>
      </c>
    </row>
    <row r="353" spans="1:12">
      <c r="A353" s="26" t="s">
        <v>10</v>
      </c>
      <c r="B353" s="26" t="s">
        <v>32</v>
      </c>
      <c r="C353" s="26" t="s">
        <v>98</v>
      </c>
      <c r="D353" s="26" t="s">
        <v>22</v>
      </c>
      <c r="E353" s="26" t="s">
        <v>128</v>
      </c>
      <c r="F353" s="30">
        <v>902978</v>
      </c>
      <c r="G353" s="26" t="s">
        <v>172</v>
      </c>
      <c r="H353" s="30"/>
      <c r="I353" s="26"/>
      <c r="J353" s="26"/>
      <c r="K353" s="26"/>
      <c r="L353" s="26" t="s">
        <v>63</v>
      </c>
    </row>
    <row r="354" spans="1:12">
      <c r="A354" s="26" t="s">
        <v>10</v>
      </c>
      <c r="B354" s="26" t="s">
        <v>32</v>
      </c>
      <c r="C354" s="26" t="s">
        <v>98</v>
      </c>
      <c r="D354" s="26" t="s">
        <v>22</v>
      </c>
      <c r="E354" s="26" t="s">
        <v>66</v>
      </c>
      <c r="F354" s="30">
        <v>902979</v>
      </c>
      <c r="G354" s="26" t="s">
        <v>267</v>
      </c>
      <c r="H354" s="30"/>
      <c r="I354" s="26"/>
      <c r="J354" s="26"/>
      <c r="K354" s="26"/>
      <c r="L354" s="26" t="s">
        <v>63</v>
      </c>
    </row>
    <row r="355" spans="1:12">
      <c r="A355" s="26" t="s">
        <v>10</v>
      </c>
      <c r="B355" s="26" t="s">
        <v>64</v>
      </c>
      <c r="C355" s="26" t="s">
        <v>55</v>
      </c>
      <c r="D355" s="26" t="s">
        <v>24</v>
      </c>
      <c r="E355" s="26" t="s">
        <v>69</v>
      </c>
      <c r="F355" s="30">
        <v>902980</v>
      </c>
      <c r="G355" s="26" t="s">
        <v>331</v>
      </c>
      <c r="H355" s="30"/>
      <c r="I355" s="26"/>
      <c r="J355" s="26"/>
      <c r="K355" s="26"/>
      <c r="L355" s="26" t="s">
        <v>63</v>
      </c>
    </row>
    <row r="356" spans="1:12">
      <c r="A356" s="26" t="s">
        <v>10</v>
      </c>
      <c r="B356" s="26" t="s">
        <v>31</v>
      </c>
      <c r="C356" s="26" t="s">
        <v>61</v>
      </c>
      <c r="D356" s="26" t="s">
        <v>13</v>
      </c>
      <c r="E356" s="26" t="s">
        <v>72</v>
      </c>
      <c r="F356" s="30">
        <v>902981</v>
      </c>
      <c r="G356" s="26" t="s">
        <v>270</v>
      </c>
      <c r="H356" s="30"/>
      <c r="I356" s="26"/>
      <c r="J356" s="26"/>
      <c r="K356" s="26"/>
      <c r="L356" s="26" t="s">
        <v>63</v>
      </c>
    </row>
    <row r="357" spans="1:12">
      <c r="A357" s="26" t="s">
        <v>12</v>
      </c>
      <c r="B357" s="26" t="s">
        <v>64</v>
      </c>
      <c r="C357" s="26" t="s">
        <v>55</v>
      </c>
      <c r="D357" s="26" t="s">
        <v>24</v>
      </c>
      <c r="E357" s="26" t="s">
        <v>99</v>
      </c>
      <c r="F357" s="30">
        <v>902982</v>
      </c>
      <c r="G357" s="26" t="s">
        <v>272</v>
      </c>
      <c r="H357" s="30"/>
      <c r="I357" s="26"/>
      <c r="J357" s="26"/>
      <c r="K357" s="26"/>
      <c r="L357" s="26" t="s">
        <v>63</v>
      </c>
    </row>
    <row r="358" spans="1:12">
      <c r="A358" s="26" t="s">
        <v>12</v>
      </c>
      <c r="B358" s="26" t="s">
        <v>64</v>
      </c>
      <c r="C358" s="26" t="s">
        <v>55</v>
      </c>
      <c r="D358" s="26" t="s">
        <v>24</v>
      </c>
      <c r="E358" s="26" t="s">
        <v>128</v>
      </c>
      <c r="F358" s="30">
        <v>902983</v>
      </c>
      <c r="G358" s="26" t="s">
        <v>274</v>
      </c>
      <c r="H358" s="30"/>
      <c r="I358" s="26"/>
      <c r="J358" s="26"/>
      <c r="K358" s="26"/>
      <c r="L358" s="26" t="s">
        <v>63</v>
      </c>
    </row>
    <row r="359" spans="1:12">
      <c r="A359" s="26" t="s">
        <v>12</v>
      </c>
      <c r="B359" s="26" t="s">
        <v>64</v>
      </c>
      <c r="C359" s="26" t="s">
        <v>55</v>
      </c>
      <c r="D359" s="26" t="s">
        <v>24</v>
      </c>
      <c r="E359" s="26" t="s">
        <v>99</v>
      </c>
      <c r="F359" s="30">
        <v>902984</v>
      </c>
      <c r="G359" s="26" t="s">
        <v>276</v>
      </c>
      <c r="H359" s="30"/>
      <c r="I359" s="26"/>
      <c r="J359" s="26"/>
      <c r="K359" s="26"/>
      <c r="L359" s="26" t="s">
        <v>63</v>
      </c>
    </row>
    <row r="360" spans="1:12">
      <c r="A360" s="26" t="s">
        <v>13</v>
      </c>
      <c r="B360" s="26" t="s">
        <v>31</v>
      </c>
      <c r="C360" s="26" t="s">
        <v>61</v>
      </c>
      <c r="D360" s="26" t="s">
        <v>13</v>
      </c>
      <c r="E360" s="26" t="s">
        <v>72</v>
      </c>
      <c r="F360" s="30">
        <v>902985</v>
      </c>
      <c r="G360" s="26" t="s">
        <v>203</v>
      </c>
      <c r="H360" s="30"/>
      <c r="I360" s="26"/>
      <c r="J360" s="26"/>
      <c r="K360" s="26"/>
      <c r="L360" s="26" t="s">
        <v>63</v>
      </c>
    </row>
    <row r="361" spans="1:12">
      <c r="A361" s="26" t="s">
        <v>10</v>
      </c>
      <c r="B361" s="26" t="s">
        <v>31</v>
      </c>
      <c r="C361" s="26" t="s">
        <v>61</v>
      </c>
      <c r="D361" s="26" t="s">
        <v>13</v>
      </c>
      <c r="E361" s="26" t="s">
        <v>109</v>
      </c>
      <c r="F361" s="30">
        <v>902986</v>
      </c>
      <c r="G361" s="26" t="s">
        <v>203</v>
      </c>
      <c r="H361" s="30"/>
      <c r="I361" s="26"/>
      <c r="J361" s="26"/>
      <c r="K361" s="26"/>
      <c r="L361" s="26" t="s">
        <v>63</v>
      </c>
    </row>
    <row r="362" spans="1:12">
      <c r="A362" s="26" t="s">
        <v>10</v>
      </c>
      <c r="B362" s="26" t="s">
        <v>64</v>
      </c>
      <c r="C362" s="26" t="s">
        <v>55</v>
      </c>
      <c r="D362" s="26" t="s">
        <v>24</v>
      </c>
      <c r="E362" s="26" t="s">
        <v>99</v>
      </c>
      <c r="F362" s="30">
        <v>902987</v>
      </c>
      <c r="G362" s="26" t="s">
        <v>280</v>
      </c>
      <c r="H362" s="30"/>
      <c r="I362" s="26"/>
      <c r="J362" s="26"/>
      <c r="K362" s="26"/>
      <c r="L362" s="26" t="s">
        <v>63</v>
      </c>
    </row>
    <row r="363" spans="1:12">
      <c r="A363" s="26" t="s">
        <v>10</v>
      </c>
      <c r="B363" s="26" t="s">
        <v>35</v>
      </c>
      <c r="C363" s="26" t="s">
        <v>61</v>
      </c>
      <c r="D363" s="26" t="s">
        <v>13</v>
      </c>
      <c r="E363" s="26" t="s">
        <v>495</v>
      </c>
      <c r="F363" s="30">
        <v>902988</v>
      </c>
      <c r="G363" s="26" t="s">
        <v>282</v>
      </c>
      <c r="H363" s="30"/>
      <c r="I363" s="26"/>
      <c r="J363" s="26"/>
      <c r="K363" s="26"/>
      <c r="L363" s="26" t="s">
        <v>63</v>
      </c>
    </row>
    <row r="364" spans="1:12">
      <c r="A364" s="26" t="s">
        <v>10</v>
      </c>
      <c r="B364" s="26" t="s">
        <v>32</v>
      </c>
      <c r="C364" s="26" t="s">
        <v>80</v>
      </c>
      <c r="D364" s="26" t="s">
        <v>13</v>
      </c>
      <c r="E364" s="26" t="s">
        <v>66</v>
      </c>
      <c r="F364" s="30">
        <v>90002989</v>
      </c>
      <c r="G364" s="26" t="s">
        <v>285</v>
      </c>
      <c r="H364" s="30"/>
      <c r="I364" s="26"/>
      <c r="J364" s="26"/>
      <c r="K364" s="26"/>
      <c r="L364" s="26" t="s">
        <v>63</v>
      </c>
    </row>
    <row r="365" spans="1:12">
      <c r="A365" s="26" t="s">
        <v>10</v>
      </c>
      <c r="B365" s="26" t="s">
        <v>31</v>
      </c>
      <c r="C365" s="26" t="s">
        <v>75</v>
      </c>
      <c r="D365" s="26" t="s">
        <v>13</v>
      </c>
      <c r="E365" s="26" t="s">
        <v>210</v>
      </c>
      <c r="F365" s="30">
        <v>90002990</v>
      </c>
      <c r="G365" s="26" t="s">
        <v>287</v>
      </c>
      <c r="H365" s="30"/>
      <c r="I365" s="26"/>
      <c r="J365" s="26"/>
      <c r="K365" s="26"/>
      <c r="L365" s="26" t="s">
        <v>63</v>
      </c>
    </row>
    <row r="366" spans="1:12">
      <c r="A366" s="26" t="s">
        <v>10</v>
      </c>
      <c r="B366" s="26" t="s">
        <v>30</v>
      </c>
      <c r="C366" s="26" t="s">
        <v>75</v>
      </c>
      <c r="D366" s="26" t="s">
        <v>13</v>
      </c>
      <c r="E366" s="26" t="s">
        <v>99</v>
      </c>
      <c r="F366" s="30">
        <v>902991</v>
      </c>
      <c r="G366" s="26" t="s">
        <v>293</v>
      </c>
      <c r="H366" s="30"/>
      <c r="I366" s="26"/>
      <c r="J366" s="26"/>
      <c r="K366" s="26"/>
      <c r="L366" s="26" t="s">
        <v>63</v>
      </c>
    </row>
    <row r="367" spans="1:12">
      <c r="A367" s="26" t="s">
        <v>10</v>
      </c>
      <c r="B367" s="26" t="s">
        <v>32</v>
      </c>
      <c r="C367" s="26" t="s">
        <v>80</v>
      </c>
      <c r="D367" s="26" t="s">
        <v>13</v>
      </c>
      <c r="E367" s="26" t="s">
        <v>99</v>
      </c>
      <c r="F367" s="30">
        <v>902992</v>
      </c>
      <c r="G367" s="26" t="s">
        <v>183</v>
      </c>
      <c r="H367" s="30"/>
      <c r="I367" s="26"/>
      <c r="J367" s="26"/>
      <c r="K367" s="26"/>
      <c r="L367" s="26" t="s">
        <v>63</v>
      </c>
    </row>
    <row r="368" spans="1:12">
      <c r="A368" s="26" t="s">
        <v>10</v>
      </c>
      <c r="B368" s="26" t="s">
        <v>64</v>
      </c>
      <c r="C368" s="26" t="s">
        <v>65</v>
      </c>
      <c r="D368" s="26" t="s">
        <v>13</v>
      </c>
      <c r="E368" s="26" t="s">
        <v>99</v>
      </c>
      <c r="F368" s="30">
        <v>902993</v>
      </c>
      <c r="G368" s="26" t="s">
        <v>274</v>
      </c>
      <c r="H368" s="30"/>
      <c r="I368" s="26"/>
      <c r="J368" s="26"/>
      <c r="K368" s="26"/>
      <c r="L368" s="26" t="s">
        <v>63</v>
      </c>
    </row>
    <row r="369" spans="1:12">
      <c r="A369" s="26" t="s">
        <v>12</v>
      </c>
      <c r="B369" s="26" t="s">
        <v>30</v>
      </c>
      <c r="C369" s="26" t="s">
        <v>61</v>
      </c>
      <c r="D369" s="26" t="s">
        <v>13</v>
      </c>
      <c r="E369" s="26" t="s">
        <v>99</v>
      </c>
      <c r="F369" s="30">
        <v>902994</v>
      </c>
      <c r="G369" s="26" t="s">
        <v>296</v>
      </c>
      <c r="H369" s="30"/>
      <c r="I369" s="26"/>
      <c r="J369" s="26"/>
      <c r="K369" s="26"/>
      <c r="L369" s="26" t="s">
        <v>63</v>
      </c>
    </row>
    <row r="370" spans="1:12">
      <c r="A370" s="26" t="s">
        <v>12</v>
      </c>
      <c r="B370" s="26" t="s">
        <v>33</v>
      </c>
      <c r="C370" s="26" t="s">
        <v>91</v>
      </c>
      <c r="D370" s="26" t="s">
        <v>13</v>
      </c>
      <c r="E370" s="26" t="s">
        <v>99</v>
      </c>
      <c r="F370" s="30">
        <v>902995</v>
      </c>
      <c r="G370" s="26" t="s">
        <v>298</v>
      </c>
      <c r="H370" s="30"/>
      <c r="I370" s="26"/>
      <c r="J370" s="26"/>
      <c r="K370" s="26"/>
      <c r="L370" s="26" t="s">
        <v>63</v>
      </c>
    </row>
    <row r="371" spans="1:12">
      <c r="A371" s="26" t="s">
        <v>14</v>
      </c>
      <c r="B371" s="26" t="s">
        <v>33</v>
      </c>
      <c r="C371" s="26" t="s">
        <v>65</v>
      </c>
      <c r="D371" s="26" t="s">
        <v>20</v>
      </c>
      <c r="E371" s="26" t="s">
        <v>99</v>
      </c>
      <c r="F371" s="30">
        <v>902996</v>
      </c>
      <c r="G371" s="26" t="s">
        <v>160</v>
      </c>
      <c r="H371" s="30"/>
      <c r="I371" s="26"/>
      <c r="J371" s="26"/>
      <c r="K371" s="26"/>
      <c r="L371" s="26" t="s">
        <v>63</v>
      </c>
    </row>
    <row r="372" spans="1:12">
      <c r="A372" s="26" t="s">
        <v>10</v>
      </c>
      <c r="B372" s="26" t="s">
        <v>35</v>
      </c>
      <c r="C372" s="26" t="s">
        <v>91</v>
      </c>
      <c r="D372" s="26" t="s">
        <v>13</v>
      </c>
      <c r="E372" s="26" t="s">
        <v>128</v>
      </c>
      <c r="F372" s="30">
        <v>902997</v>
      </c>
      <c r="G372" s="26" t="s">
        <v>300</v>
      </c>
      <c r="H372" s="30"/>
      <c r="I372" s="26"/>
      <c r="J372" s="26"/>
      <c r="K372" s="26"/>
      <c r="L372" s="26" t="s">
        <v>63</v>
      </c>
    </row>
    <row r="373" spans="1:12">
      <c r="A373" s="26" t="s">
        <v>10</v>
      </c>
      <c r="B373" s="26" t="s">
        <v>36</v>
      </c>
      <c r="C373" s="26" t="s">
        <v>96</v>
      </c>
      <c r="D373" s="26" t="s">
        <v>13</v>
      </c>
      <c r="E373" s="26" t="s">
        <v>128</v>
      </c>
      <c r="F373" s="30">
        <v>902998</v>
      </c>
      <c r="G373" s="26" t="s">
        <v>287</v>
      </c>
      <c r="H373" s="30"/>
      <c r="I373" s="26"/>
      <c r="J373" s="26"/>
      <c r="K373" s="26"/>
      <c r="L373" s="26" t="s">
        <v>63</v>
      </c>
    </row>
    <row r="374" spans="1:12">
      <c r="A374" s="26" t="s">
        <v>10</v>
      </c>
      <c r="B374" s="26" t="s">
        <v>29</v>
      </c>
      <c r="C374" s="26" t="s">
        <v>65</v>
      </c>
      <c r="D374" s="26" t="s">
        <v>13</v>
      </c>
      <c r="E374" s="26" t="s">
        <v>128</v>
      </c>
      <c r="F374" s="30">
        <v>902999</v>
      </c>
      <c r="G374" s="26" t="s">
        <v>226</v>
      </c>
      <c r="H374" s="30"/>
      <c r="I374" s="26"/>
      <c r="J374" s="26"/>
      <c r="K374" s="26"/>
      <c r="L374" s="26" t="s">
        <v>63</v>
      </c>
    </row>
    <row r="375" spans="1:12">
      <c r="A375" s="26" t="s">
        <v>12</v>
      </c>
      <c r="B375" s="26" t="s">
        <v>54</v>
      </c>
      <c r="C375" s="26" t="s">
        <v>61</v>
      </c>
      <c r="D375" s="26" t="s">
        <v>13</v>
      </c>
      <c r="E375" s="26" t="s">
        <v>128</v>
      </c>
      <c r="F375" s="30">
        <v>903000</v>
      </c>
      <c r="G375" s="26" t="s">
        <v>302</v>
      </c>
      <c r="H375" s="30"/>
      <c r="I375" s="26"/>
      <c r="J375" s="26"/>
      <c r="K375" s="26"/>
      <c r="L375" s="26" t="s">
        <v>63</v>
      </c>
    </row>
    <row r="376" spans="1:12">
      <c r="A376" s="26" t="s">
        <v>12</v>
      </c>
      <c r="B376" s="26" t="s">
        <v>36</v>
      </c>
      <c r="C376" s="26" t="s">
        <v>61</v>
      </c>
      <c r="D376" s="26" t="s">
        <v>13</v>
      </c>
      <c r="E376" s="26" t="s">
        <v>128</v>
      </c>
      <c r="F376" s="30">
        <v>903001</v>
      </c>
      <c r="G376" s="26" t="s">
        <v>306</v>
      </c>
      <c r="H376" s="30"/>
      <c r="I376" s="26"/>
      <c r="J376" s="26"/>
      <c r="K376" s="26"/>
      <c r="L376" s="26" t="s">
        <v>63</v>
      </c>
    </row>
    <row r="377" spans="1:12">
      <c r="A377" s="26" t="s">
        <v>14</v>
      </c>
      <c r="B377" s="26" t="s">
        <v>33</v>
      </c>
      <c r="C377" s="26" t="s">
        <v>65</v>
      </c>
      <c r="D377" s="26" t="s">
        <v>20</v>
      </c>
      <c r="E377" s="26" t="s">
        <v>56</v>
      </c>
      <c r="F377" s="30">
        <v>903002</v>
      </c>
      <c r="G377" s="26" t="s">
        <v>236</v>
      </c>
      <c r="H377" s="30"/>
      <c r="I377" s="26"/>
      <c r="J377" s="26"/>
      <c r="K377" s="26"/>
      <c r="L377" s="26" t="s">
        <v>63</v>
      </c>
    </row>
    <row r="378" spans="1:12">
      <c r="A378" s="26" t="s">
        <v>14</v>
      </c>
      <c r="B378" s="26" t="s">
        <v>33</v>
      </c>
      <c r="C378" s="26" t="s">
        <v>65</v>
      </c>
      <c r="D378" s="26" t="s">
        <v>20</v>
      </c>
      <c r="E378" s="26" t="s">
        <v>56</v>
      </c>
      <c r="F378" s="30">
        <v>903003</v>
      </c>
      <c r="G378" s="26" t="s">
        <v>236</v>
      </c>
      <c r="H378" s="30"/>
      <c r="I378" s="26"/>
      <c r="J378" s="26"/>
      <c r="K378" s="26"/>
      <c r="L378" s="26" t="s">
        <v>63</v>
      </c>
    </row>
    <row r="379" spans="1:12">
      <c r="A379" s="26" t="s">
        <v>10</v>
      </c>
      <c r="B379" s="26" t="s">
        <v>33</v>
      </c>
      <c r="C379" s="26" t="s">
        <v>102</v>
      </c>
      <c r="D379" s="26" t="s">
        <v>13</v>
      </c>
      <c r="E379" s="26" t="s">
        <v>56</v>
      </c>
      <c r="F379" s="30">
        <v>903004</v>
      </c>
      <c r="G379" s="26" t="s">
        <v>308</v>
      </c>
      <c r="H379" s="30"/>
      <c r="I379" s="26"/>
      <c r="J379" s="26"/>
      <c r="K379" s="26"/>
      <c r="L379" s="26" t="s">
        <v>63</v>
      </c>
    </row>
    <row r="380" spans="1:12">
      <c r="A380" s="26" t="s">
        <v>10</v>
      </c>
      <c r="B380" s="26" t="s">
        <v>32</v>
      </c>
      <c r="C380" s="26" t="s">
        <v>98</v>
      </c>
      <c r="D380" s="26" t="s">
        <v>22</v>
      </c>
      <c r="E380" s="26" t="s">
        <v>210</v>
      </c>
      <c r="F380" s="30">
        <v>903005</v>
      </c>
      <c r="G380" s="26" t="s">
        <v>311</v>
      </c>
      <c r="H380" s="30"/>
      <c r="I380" s="26"/>
      <c r="J380" s="26"/>
      <c r="K380" s="26"/>
      <c r="L380" s="26" t="s">
        <v>63</v>
      </c>
    </row>
    <row r="381" spans="1:12">
      <c r="A381" s="26" t="s">
        <v>10</v>
      </c>
      <c r="B381" s="26" t="s">
        <v>32</v>
      </c>
      <c r="C381" s="26" t="s">
        <v>98</v>
      </c>
      <c r="D381" s="26" t="s">
        <v>22</v>
      </c>
      <c r="E381" s="26" t="s">
        <v>128</v>
      </c>
      <c r="F381" s="30">
        <v>903006</v>
      </c>
      <c r="G381" s="26" t="s">
        <v>183</v>
      </c>
      <c r="H381" s="30"/>
      <c r="I381" s="26"/>
      <c r="J381" s="26"/>
      <c r="K381" s="26"/>
      <c r="L381" s="26" t="s">
        <v>63</v>
      </c>
    </row>
    <row r="382" spans="1:12">
      <c r="A382" s="26" t="s">
        <v>10</v>
      </c>
      <c r="B382" s="26" t="s">
        <v>32</v>
      </c>
      <c r="C382" s="26" t="s">
        <v>98</v>
      </c>
      <c r="D382" s="26" t="s">
        <v>22</v>
      </c>
      <c r="E382" s="26" t="s">
        <v>128</v>
      </c>
      <c r="F382" s="30">
        <v>903007</v>
      </c>
      <c r="G382" s="26" t="s">
        <v>186</v>
      </c>
      <c r="H382" s="30"/>
      <c r="I382" s="26"/>
      <c r="J382" s="26"/>
      <c r="K382" s="26"/>
      <c r="L382" s="26" t="s">
        <v>63</v>
      </c>
    </row>
    <row r="383" spans="1:12">
      <c r="A383" s="26" t="s">
        <v>10</v>
      </c>
      <c r="B383" s="26" t="s">
        <v>32</v>
      </c>
      <c r="C383" s="26" t="s">
        <v>98</v>
      </c>
      <c r="D383" s="26" t="s">
        <v>22</v>
      </c>
      <c r="E383" s="26" t="s">
        <v>128</v>
      </c>
      <c r="F383" s="30">
        <v>903008</v>
      </c>
      <c r="G383" s="26" t="s">
        <v>186</v>
      </c>
      <c r="H383" s="30"/>
      <c r="I383" s="26"/>
      <c r="J383" s="26"/>
      <c r="K383" s="26"/>
      <c r="L383" s="26" t="s">
        <v>63</v>
      </c>
    </row>
    <row r="384" spans="1:12">
      <c r="A384" s="26" t="s">
        <v>10</v>
      </c>
      <c r="B384" s="26" t="s">
        <v>32</v>
      </c>
      <c r="C384" s="26" t="s">
        <v>98</v>
      </c>
      <c r="D384" s="26" t="s">
        <v>22</v>
      </c>
      <c r="E384" s="26" t="s">
        <v>128</v>
      </c>
      <c r="F384" s="30">
        <v>903009</v>
      </c>
      <c r="G384" s="26" t="s">
        <v>186</v>
      </c>
      <c r="H384" s="30"/>
      <c r="I384" s="26"/>
      <c r="J384" s="26"/>
      <c r="K384" s="26"/>
      <c r="L384" s="26" t="s">
        <v>63</v>
      </c>
    </row>
    <row r="385" spans="1:12">
      <c r="A385" s="26" t="s">
        <v>12</v>
      </c>
      <c r="B385" s="26" t="s">
        <v>64</v>
      </c>
      <c r="C385" s="26" t="s">
        <v>65</v>
      </c>
      <c r="D385" s="26" t="s">
        <v>13</v>
      </c>
      <c r="E385" s="26" t="s">
        <v>56</v>
      </c>
      <c r="F385" s="30">
        <v>903010</v>
      </c>
      <c r="G385" s="26" t="s">
        <v>315</v>
      </c>
      <c r="H385" s="30"/>
      <c r="I385" s="26"/>
      <c r="J385" s="26"/>
      <c r="K385" s="26"/>
      <c r="L385" s="26" t="s">
        <v>63</v>
      </c>
    </row>
    <row r="386" spans="1:12">
      <c r="A386" s="26" t="s">
        <v>10</v>
      </c>
      <c r="B386" s="26" t="s">
        <v>64</v>
      </c>
      <c r="C386" s="26" t="s">
        <v>55</v>
      </c>
      <c r="D386" s="26" t="s">
        <v>24</v>
      </c>
      <c r="E386" s="26" t="s">
        <v>69</v>
      </c>
      <c r="F386" s="30">
        <v>90003011</v>
      </c>
      <c r="G386" s="26" t="s">
        <v>317</v>
      </c>
      <c r="H386" s="30"/>
      <c r="I386" s="26"/>
      <c r="J386" s="26"/>
      <c r="K386" s="26"/>
      <c r="L386" s="26" t="s">
        <v>63</v>
      </c>
    </row>
    <row r="387" spans="1:12">
      <c r="A387" s="26" t="s">
        <v>12</v>
      </c>
      <c r="B387" s="26" t="s">
        <v>64</v>
      </c>
      <c r="C387" s="26" t="s">
        <v>55</v>
      </c>
      <c r="D387" s="26" t="s">
        <v>24</v>
      </c>
      <c r="E387" s="26" t="s">
        <v>210</v>
      </c>
      <c r="F387" s="30">
        <v>903012</v>
      </c>
      <c r="G387" s="26" t="s">
        <v>319</v>
      </c>
      <c r="H387" s="30"/>
      <c r="I387" s="26"/>
      <c r="J387" s="26"/>
      <c r="K387" s="26"/>
      <c r="L387" s="26" t="s">
        <v>63</v>
      </c>
    </row>
    <row r="388" spans="1:12">
      <c r="A388" s="26" t="s">
        <v>10</v>
      </c>
      <c r="B388" s="26" t="s">
        <v>64</v>
      </c>
      <c r="C388" s="26" t="s">
        <v>55</v>
      </c>
      <c r="D388" s="26" t="s">
        <v>24</v>
      </c>
      <c r="E388" s="26" t="s">
        <v>66</v>
      </c>
      <c r="F388" s="30">
        <v>90003013</v>
      </c>
      <c r="G388" s="26" t="s">
        <v>321</v>
      </c>
      <c r="H388" s="30"/>
      <c r="I388" s="26"/>
      <c r="J388" s="26"/>
      <c r="K388" s="26"/>
      <c r="L388" s="26" t="s">
        <v>63</v>
      </c>
    </row>
    <row r="389" spans="1:12">
      <c r="A389" s="26" t="s">
        <v>12</v>
      </c>
      <c r="B389" s="26" t="s">
        <v>64</v>
      </c>
      <c r="C389" s="26" t="s">
        <v>55</v>
      </c>
      <c r="D389" s="26" t="s">
        <v>24</v>
      </c>
      <c r="E389" s="26" t="s">
        <v>69</v>
      </c>
      <c r="F389" s="30">
        <v>903014</v>
      </c>
      <c r="G389" s="26" t="s">
        <v>325</v>
      </c>
      <c r="H389" s="30"/>
      <c r="I389" s="26"/>
      <c r="J389" s="26"/>
      <c r="K389" s="26"/>
      <c r="L389" s="26" t="s">
        <v>63</v>
      </c>
    </row>
    <row r="390" spans="1:12">
      <c r="A390" s="26" t="s">
        <v>10</v>
      </c>
      <c r="B390" s="26" t="s">
        <v>33</v>
      </c>
      <c r="C390" s="26" t="s">
        <v>102</v>
      </c>
      <c r="D390" s="26" t="s">
        <v>13</v>
      </c>
      <c r="E390" s="26" t="s">
        <v>56</v>
      </c>
      <c r="F390" s="30">
        <v>903015</v>
      </c>
      <c r="G390" s="26" t="s">
        <v>116</v>
      </c>
      <c r="H390" s="30"/>
      <c r="I390" s="26"/>
      <c r="J390" s="26"/>
      <c r="K390" s="26"/>
      <c r="L390" s="26" t="s">
        <v>63</v>
      </c>
    </row>
    <row r="391" spans="1:12">
      <c r="A391" s="26" t="s">
        <v>14</v>
      </c>
      <c r="B391" s="26" t="s">
        <v>29</v>
      </c>
      <c r="C391" s="26" t="s">
        <v>65</v>
      </c>
      <c r="D391" s="26" t="s">
        <v>13</v>
      </c>
      <c r="E391" s="26" t="s">
        <v>128</v>
      </c>
      <c r="F391" s="30">
        <v>903016</v>
      </c>
      <c r="G391" s="26" t="s">
        <v>213</v>
      </c>
      <c r="H391" s="30"/>
      <c r="I391" s="26"/>
      <c r="J391" s="26"/>
      <c r="K391" s="26"/>
      <c r="L391" s="26" t="s">
        <v>63</v>
      </c>
    </row>
    <row r="392" spans="1:12">
      <c r="A392" s="26" t="s">
        <v>14</v>
      </c>
      <c r="B392" s="26" t="s">
        <v>34</v>
      </c>
      <c r="C392" s="26" t="s">
        <v>75</v>
      </c>
      <c r="D392" s="26" t="s">
        <v>13</v>
      </c>
      <c r="E392" s="26" t="s">
        <v>99</v>
      </c>
      <c r="F392" s="30">
        <v>903017</v>
      </c>
      <c r="G392" s="26" t="s">
        <v>234</v>
      </c>
      <c r="H392" s="30"/>
      <c r="I392" s="26"/>
      <c r="J392" s="26"/>
      <c r="K392" s="26"/>
      <c r="L392" s="26" t="s">
        <v>63</v>
      </c>
    </row>
    <row r="393" spans="1:12">
      <c r="A393" s="26" t="s">
        <v>14</v>
      </c>
      <c r="B393" s="26" t="s">
        <v>29</v>
      </c>
      <c r="C393" s="26" t="s">
        <v>75</v>
      </c>
      <c r="D393" s="26" t="s">
        <v>24</v>
      </c>
      <c r="E393" s="26" t="s">
        <v>128</v>
      </c>
      <c r="F393" s="30">
        <v>903018</v>
      </c>
      <c r="G393" s="26" t="s">
        <v>135</v>
      </c>
      <c r="H393" s="30"/>
      <c r="I393" s="26"/>
      <c r="J393" s="26"/>
      <c r="K393" s="26"/>
      <c r="L393" s="26" t="s">
        <v>63</v>
      </c>
    </row>
    <row r="394" spans="1:12">
      <c r="A394" s="26" t="s">
        <v>14</v>
      </c>
      <c r="B394" s="26" t="s">
        <v>36</v>
      </c>
      <c r="C394" s="26" t="s">
        <v>96</v>
      </c>
      <c r="D394" s="26" t="s">
        <v>13</v>
      </c>
      <c r="E394" s="26" t="s">
        <v>56</v>
      </c>
      <c r="F394" s="30">
        <v>903019</v>
      </c>
      <c r="G394" s="26" t="s">
        <v>131</v>
      </c>
      <c r="H394" s="30"/>
      <c r="I394" s="26"/>
      <c r="J394" s="26"/>
      <c r="K394" s="26"/>
      <c r="L394" s="26" t="s">
        <v>63</v>
      </c>
    </row>
    <row r="395" spans="1:12">
      <c r="A395" s="26" t="s">
        <v>14</v>
      </c>
      <c r="B395" s="26" t="s">
        <v>36</v>
      </c>
      <c r="C395" s="26" t="s">
        <v>96</v>
      </c>
      <c r="D395" s="26" t="s">
        <v>13</v>
      </c>
      <c r="E395" s="26" t="s">
        <v>99</v>
      </c>
      <c r="F395" s="30">
        <v>903020</v>
      </c>
      <c r="G395" s="26" t="s">
        <v>100</v>
      </c>
      <c r="H395" s="30"/>
      <c r="I395" s="26"/>
      <c r="J395" s="26"/>
      <c r="K395" s="26"/>
      <c r="L395" s="26" t="s">
        <v>63</v>
      </c>
    </row>
    <row r="396" spans="1:12">
      <c r="A396" s="26" t="s">
        <v>14</v>
      </c>
      <c r="B396" s="26" t="s">
        <v>32</v>
      </c>
      <c r="C396" s="26" t="s">
        <v>98</v>
      </c>
      <c r="D396" s="26" t="s">
        <v>22</v>
      </c>
      <c r="E396" s="26" t="s">
        <v>128</v>
      </c>
      <c r="F396" s="30">
        <v>903021</v>
      </c>
      <c r="G396" s="26" t="s">
        <v>183</v>
      </c>
      <c r="H396" s="30"/>
      <c r="I396" s="26"/>
      <c r="J396" s="26"/>
      <c r="K396" s="26"/>
      <c r="L396" s="26" t="s">
        <v>63</v>
      </c>
    </row>
    <row r="397" spans="1:12">
      <c r="A397" s="26" t="s">
        <v>14</v>
      </c>
      <c r="B397" s="26" t="s">
        <v>32</v>
      </c>
      <c r="C397" s="26" t="s">
        <v>98</v>
      </c>
      <c r="D397" s="26" t="s">
        <v>22</v>
      </c>
      <c r="E397" s="26" t="s">
        <v>210</v>
      </c>
      <c r="F397" s="30">
        <v>903022</v>
      </c>
      <c r="G397" s="26" t="s">
        <v>329</v>
      </c>
      <c r="H397" s="30"/>
      <c r="I397" s="26"/>
      <c r="J397" s="26"/>
      <c r="K397" s="26"/>
      <c r="L397" s="26" t="s">
        <v>63</v>
      </c>
    </row>
    <row r="398" spans="1:12">
      <c r="A398" s="26" t="s">
        <v>14</v>
      </c>
      <c r="B398" s="26" t="s">
        <v>32</v>
      </c>
      <c r="C398" s="26" t="s">
        <v>98</v>
      </c>
      <c r="D398" s="26" t="s">
        <v>22</v>
      </c>
      <c r="E398" s="26" t="s">
        <v>128</v>
      </c>
      <c r="F398" s="30">
        <v>903023</v>
      </c>
      <c r="G398" s="26" t="s">
        <v>331</v>
      </c>
      <c r="H398" s="30"/>
      <c r="I398" s="26"/>
      <c r="J398" s="26"/>
      <c r="K398" s="26"/>
      <c r="L398" s="26" t="s">
        <v>63</v>
      </c>
    </row>
    <row r="399" spans="1:12">
      <c r="A399" s="26" t="s">
        <v>14</v>
      </c>
      <c r="B399" s="26" t="s">
        <v>32</v>
      </c>
      <c r="C399" s="26" t="s">
        <v>98</v>
      </c>
      <c r="D399" s="26" t="s">
        <v>22</v>
      </c>
      <c r="E399" s="26" t="s">
        <v>128</v>
      </c>
      <c r="F399" s="30">
        <v>903024</v>
      </c>
      <c r="G399" s="26" t="s">
        <v>331</v>
      </c>
      <c r="H399" s="30"/>
      <c r="I399" s="26"/>
      <c r="J399" s="26"/>
      <c r="K399" s="26"/>
      <c r="L399" s="26" t="s">
        <v>63</v>
      </c>
    </row>
    <row r="400" spans="1:12">
      <c r="A400" s="26" t="s">
        <v>14</v>
      </c>
      <c r="B400" s="26" t="s">
        <v>32</v>
      </c>
      <c r="C400" s="26" t="s">
        <v>98</v>
      </c>
      <c r="D400" s="26" t="s">
        <v>22</v>
      </c>
      <c r="E400" s="26" t="s">
        <v>128</v>
      </c>
      <c r="F400" s="30">
        <v>903025</v>
      </c>
      <c r="G400" s="26" t="s">
        <v>57</v>
      </c>
      <c r="H400" s="30"/>
      <c r="I400" s="26"/>
      <c r="J400" s="26"/>
      <c r="K400" s="26"/>
      <c r="L400" s="26" t="s">
        <v>63</v>
      </c>
    </row>
    <row r="401" spans="1:12">
      <c r="A401" s="26" t="s">
        <v>14</v>
      </c>
      <c r="B401" s="26" t="s">
        <v>32</v>
      </c>
      <c r="C401" s="26" t="s">
        <v>98</v>
      </c>
      <c r="D401" s="26" t="s">
        <v>22</v>
      </c>
      <c r="E401" s="26" t="s">
        <v>128</v>
      </c>
      <c r="F401" s="30">
        <v>903026</v>
      </c>
      <c r="G401" s="26" t="s">
        <v>62</v>
      </c>
      <c r="H401" s="30"/>
      <c r="I401" s="26"/>
      <c r="J401" s="26"/>
      <c r="K401" s="26"/>
      <c r="L401" s="26" t="s">
        <v>63</v>
      </c>
    </row>
    <row r="402" spans="1:12">
      <c r="A402" s="26" t="s">
        <v>14</v>
      </c>
      <c r="B402" s="26" t="s">
        <v>30</v>
      </c>
      <c r="C402" s="26" t="s">
        <v>61</v>
      </c>
      <c r="D402" s="26" t="s">
        <v>13</v>
      </c>
      <c r="E402" s="26" t="s">
        <v>56</v>
      </c>
      <c r="F402" s="30">
        <v>903027</v>
      </c>
      <c r="G402" s="26" t="s">
        <v>331</v>
      </c>
      <c r="H402" s="30"/>
      <c r="I402" s="26"/>
      <c r="J402" s="26"/>
      <c r="K402" s="26"/>
      <c r="L402" s="26" t="s">
        <v>63</v>
      </c>
    </row>
    <row r="403" spans="1:12">
      <c r="A403" s="26" t="s">
        <v>14</v>
      </c>
      <c r="B403" s="26" t="s">
        <v>32</v>
      </c>
      <c r="C403" s="26" t="s">
        <v>61</v>
      </c>
      <c r="D403" s="26" t="s">
        <v>13</v>
      </c>
      <c r="E403" s="26" t="s">
        <v>56</v>
      </c>
      <c r="F403" s="30">
        <v>903028</v>
      </c>
      <c r="G403" s="26" t="s">
        <v>203</v>
      </c>
      <c r="H403" s="30"/>
      <c r="I403" s="26"/>
      <c r="J403" s="26"/>
      <c r="K403" s="26"/>
      <c r="L403" s="26" t="s">
        <v>63</v>
      </c>
    </row>
    <row r="404" spans="1:12">
      <c r="A404" s="27" t="s">
        <v>14</v>
      </c>
      <c r="B404" s="27" t="s">
        <v>33</v>
      </c>
      <c r="C404" s="27" t="s">
        <v>91</v>
      </c>
      <c r="D404" s="27" t="s">
        <v>13</v>
      </c>
      <c r="E404" s="27" t="s">
        <v>56</v>
      </c>
      <c r="F404" s="102">
        <v>903029</v>
      </c>
      <c r="G404" s="27" t="s">
        <v>181</v>
      </c>
      <c r="H404" s="102"/>
      <c r="I404" s="27"/>
      <c r="J404" s="27"/>
      <c r="K404" s="27"/>
      <c r="L404" s="27" t="s">
        <v>63</v>
      </c>
    </row>
    <row r="405" spans="1:12">
      <c r="A405" s="26" t="s">
        <v>14</v>
      </c>
      <c r="B405" s="26" t="s">
        <v>29</v>
      </c>
      <c r="C405" s="26" t="s">
        <v>65</v>
      </c>
      <c r="D405" s="26" t="s">
        <v>13</v>
      </c>
      <c r="E405" s="26" t="s">
        <v>210</v>
      </c>
      <c r="F405" s="30">
        <v>903030</v>
      </c>
      <c r="G405" s="26" t="s">
        <v>67</v>
      </c>
      <c r="H405" s="30"/>
      <c r="I405" s="26"/>
      <c r="J405" s="26"/>
      <c r="K405" s="26"/>
      <c r="L405" s="26" t="s">
        <v>63</v>
      </c>
    </row>
    <row r="406" spans="1:12">
      <c r="A406" s="26" t="s">
        <v>14</v>
      </c>
      <c r="B406" s="26" t="s">
        <v>29</v>
      </c>
      <c r="C406" s="26" t="s">
        <v>65</v>
      </c>
      <c r="D406" s="26" t="s">
        <v>13</v>
      </c>
      <c r="E406" s="26" t="s">
        <v>128</v>
      </c>
      <c r="F406" s="30">
        <v>903031</v>
      </c>
      <c r="G406" s="26" t="s">
        <v>317</v>
      </c>
      <c r="H406" s="30"/>
      <c r="I406" s="26"/>
      <c r="J406" s="26"/>
      <c r="K406" s="26"/>
      <c r="L406" s="26" t="s">
        <v>63</v>
      </c>
    </row>
    <row r="407" spans="1:12">
      <c r="A407" s="26" t="s">
        <v>14</v>
      </c>
      <c r="B407" s="26" t="s">
        <v>35</v>
      </c>
      <c r="C407" s="26" t="s">
        <v>75</v>
      </c>
      <c r="D407" s="26" t="s">
        <v>13</v>
      </c>
      <c r="E407" s="26" t="s">
        <v>99</v>
      </c>
      <c r="F407" s="30">
        <v>903032</v>
      </c>
      <c r="G407" s="26" t="s">
        <v>70</v>
      </c>
      <c r="H407" s="30"/>
      <c r="I407" s="26"/>
      <c r="J407" s="26"/>
      <c r="K407" s="26"/>
      <c r="L407" s="26" t="s">
        <v>63</v>
      </c>
    </row>
    <row r="408" spans="1:12">
      <c r="A408" s="26" t="s">
        <v>14</v>
      </c>
      <c r="B408" s="26" t="s">
        <v>33</v>
      </c>
      <c r="C408" s="26" t="s">
        <v>102</v>
      </c>
      <c r="D408" s="26" t="s">
        <v>13</v>
      </c>
      <c r="E408" s="26" t="s">
        <v>128</v>
      </c>
      <c r="F408" s="30">
        <v>903033</v>
      </c>
      <c r="G408" s="26" t="s">
        <v>195</v>
      </c>
      <c r="H408" s="30"/>
      <c r="I408" s="26"/>
      <c r="J408" s="26"/>
      <c r="K408" s="26"/>
      <c r="L408" s="26" t="s">
        <v>63</v>
      </c>
    </row>
    <row r="409" spans="1:12">
      <c r="A409" s="26" t="s">
        <v>14</v>
      </c>
      <c r="B409" s="26" t="s">
        <v>32</v>
      </c>
      <c r="C409" s="26" t="s">
        <v>61</v>
      </c>
      <c r="D409" s="26" t="s">
        <v>13</v>
      </c>
      <c r="E409" s="26" t="s">
        <v>99</v>
      </c>
      <c r="F409" s="30">
        <v>903034</v>
      </c>
      <c r="G409" s="26" t="s">
        <v>103</v>
      </c>
      <c r="H409" s="30"/>
      <c r="I409" s="26"/>
      <c r="J409" s="26"/>
      <c r="K409" s="26"/>
      <c r="L409" s="26" t="s">
        <v>63</v>
      </c>
    </row>
    <row r="410" spans="1:12">
      <c r="A410" s="26" t="s">
        <v>14</v>
      </c>
      <c r="B410" s="26" t="s">
        <v>31</v>
      </c>
      <c r="C410" s="26" t="s">
        <v>61</v>
      </c>
      <c r="D410" s="26" t="s">
        <v>13</v>
      </c>
      <c r="E410" s="26" t="s">
        <v>128</v>
      </c>
      <c r="F410" s="30">
        <v>903035</v>
      </c>
      <c r="G410" s="26" t="s">
        <v>103</v>
      </c>
      <c r="H410" s="30"/>
      <c r="I410" s="26"/>
      <c r="J410" s="26"/>
      <c r="K410" s="26"/>
      <c r="L410" s="26" t="s">
        <v>63</v>
      </c>
    </row>
    <row r="411" spans="1:12">
      <c r="A411" s="26" t="s">
        <v>14</v>
      </c>
      <c r="B411" s="26" t="s">
        <v>64</v>
      </c>
      <c r="C411" s="26" t="s">
        <v>65</v>
      </c>
      <c r="D411" s="26" t="s">
        <v>13</v>
      </c>
      <c r="E411" s="26" t="s">
        <v>128</v>
      </c>
      <c r="F411" s="30">
        <v>903036</v>
      </c>
      <c r="G411" s="26" t="s">
        <v>197</v>
      </c>
      <c r="H411" s="30"/>
      <c r="I411" s="26"/>
      <c r="J411" s="26"/>
      <c r="K411" s="26"/>
      <c r="L411" s="26" t="s">
        <v>63</v>
      </c>
    </row>
  </sheetData>
  <conditionalFormatting sqref="I1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"/>
  <sheetViews>
    <sheetView topLeftCell="A2" workbookViewId="0">
      <selection activeCell="A18" sqref="A18"/>
    </sheetView>
  </sheetViews>
  <sheetFormatPr defaultRowHeight="14.45"/>
  <cols>
    <col min="1" max="1" width="28.42578125" bestFit="1" customWidth="1"/>
    <col min="2" max="2" width="13.42578125" style="9" bestFit="1" customWidth="1"/>
    <col min="3" max="3" width="9.42578125" style="9" customWidth="1"/>
    <col min="4" max="4" width="8.5703125" style="9" customWidth="1"/>
    <col min="5" max="5" width="9.5703125" bestFit="1" customWidth="1"/>
    <col min="6" max="6" width="4.7109375" bestFit="1" customWidth="1"/>
    <col min="7" max="7" width="9.85546875" bestFit="1" customWidth="1"/>
  </cols>
  <sheetData>
    <row r="1" spans="1:7">
      <c r="A1" s="117" t="s">
        <v>1020</v>
      </c>
      <c r="B1" s="119" t="s">
        <v>1</v>
      </c>
      <c r="C1" s="122"/>
      <c r="D1" s="116" t="s">
        <v>2</v>
      </c>
      <c r="E1" s="123"/>
      <c r="F1" s="123"/>
      <c r="G1" s="122"/>
    </row>
    <row r="2" spans="1:7" ht="50.1" customHeight="1">
      <c r="A2" s="124"/>
      <c r="B2" s="120" t="s">
        <v>3</v>
      </c>
      <c r="C2" s="38" t="s">
        <v>4</v>
      </c>
      <c r="D2" s="17" t="s">
        <v>5</v>
      </c>
      <c r="E2" s="18" t="s">
        <v>6</v>
      </c>
      <c r="F2" s="18" t="s">
        <v>7</v>
      </c>
      <c r="G2" s="17" t="s">
        <v>8</v>
      </c>
    </row>
    <row r="3" spans="1:7">
      <c r="A3" s="125"/>
      <c r="B3" s="125"/>
      <c r="C3" s="39" t="s">
        <v>9</v>
      </c>
      <c r="D3" s="18" t="s">
        <v>10</v>
      </c>
      <c r="E3" s="18" t="s">
        <v>11</v>
      </c>
      <c r="F3" s="18" t="s">
        <v>12</v>
      </c>
      <c r="G3" s="18" t="s">
        <v>13</v>
      </c>
    </row>
    <row r="4" spans="1:7">
      <c r="A4" s="4" t="s">
        <v>17</v>
      </c>
      <c r="B4" s="30">
        <f>COUNTIFS(Lincia!C:C,'Lincia Summary'!A4)</f>
        <v>0</v>
      </c>
      <c r="C4" s="30">
        <f>B4-G4</f>
        <v>0</v>
      </c>
      <c r="D4" s="30">
        <f>COUNTIFS(Lincia!C:C,'Lincia Summary'!A4,Lincia!L:L,"Regular")</f>
        <v>0</v>
      </c>
      <c r="E4" s="30">
        <f>COUNTIFS(Lincia!C:C,'Lincia Summary'!A4,Lincia!L:L,"GET")</f>
        <v>0</v>
      </c>
      <c r="F4" s="30">
        <f>COUNTIFS(Lincia!C:C,'Lincia Summary'!A4,Lincia!L:L,"Trainee")</f>
        <v>0</v>
      </c>
      <c r="G4" s="30">
        <f>D4+E4+F4</f>
        <v>0</v>
      </c>
    </row>
    <row r="5" spans="1:7">
      <c r="A5" s="4" t="s">
        <v>18</v>
      </c>
      <c r="B5" s="30">
        <f>COUNTIFS(Lincia!C:C,'Lincia Summary'!A5)</f>
        <v>0</v>
      </c>
      <c r="C5" s="30">
        <f>B5-G5</f>
        <v>0</v>
      </c>
      <c r="D5" s="30">
        <f>COUNTIFS(Lincia!C:C,'Lincia Summary'!A5,Lincia!L:L,"Regular")</f>
        <v>0</v>
      </c>
      <c r="E5" s="30">
        <f>COUNTIFS(Lincia!C:C,'Lincia Summary'!A5,Lincia!L:L,"GET")</f>
        <v>0</v>
      </c>
      <c r="F5" s="30">
        <f>COUNTIFS(Lincia!C:C,'Lincia Summary'!A5,Lincia!L:L,"Trainee")</f>
        <v>0</v>
      </c>
      <c r="G5" s="30">
        <f>D5+E5+F5</f>
        <v>0</v>
      </c>
    </row>
    <row r="6" spans="1:7">
      <c r="A6" s="4" t="s">
        <v>19</v>
      </c>
      <c r="B6" s="30">
        <f>COUNTIFS(Lincia!C:C,'Lincia Summary'!A6)</f>
        <v>0</v>
      </c>
      <c r="C6" s="30">
        <f>B6-G6</f>
        <v>0</v>
      </c>
      <c r="D6" s="30">
        <f>COUNTIFS(Lincia!C:C,'Lincia Summary'!A6,Lincia!L:L,"Regular")</f>
        <v>0</v>
      </c>
      <c r="E6" s="30">
        <f>COUNTIFS(Lincia!C:C,'Lincia Summary'!A6,Lincia!L:L,"GET")</f>
        <v>0</v>
      </c>
      <c r="F6" s="30">
        <f>COUNTIFS(Lincia!C:C,'Lincia Summary'!A6,Lincia!L:L,"Trainee")</f>
        <v>0</v>
      </c>
      <c r="G6" s="30">
        <f>D6+E6+F6</f>
        <v>0</v>
      </c>
    </row>
    <row r="7" spans="1:7">
      <c r="A7" s="4" t="s">
        <v>20</v>
      </c>
      <c r="B7" s="30">
        <f>COUNTIFS(Lincia!C:C,'Lincia Summary'!A7)</f>
        <v>0</v>
      </c>
      <c r="C7" s="30">
        <f>B7-G7</f>
        <v>0</v>
      </c>
      <c r="D7" s="30">
        <f>COUNTIFS(Lincia!C:C,'Lincia Summary'!A7,Lincia!L:L,"Regular")</f>
        <v>0</v>
      </c>
      <c r="E7" s="30">
        <f>COUNTIFS(Lincia!C:C,'Lincia Summary'!A7,Lincia!L:L,"GET")</f>
        <v>0</v>
      </c>
      <c r="F7" s="30">
        <f>COUNTIFS(Lincia!C:C,'Lincia Summary'!A7,Lincia!L:L,"Trainee")</f>
        <v>0</v>
      </c>
      <c r="G7" s="30">
        <f>D7+E7+F7</f>
        <v>0</v>
      </c>
    </row>
    <row r="8" spans="1:7">
      <c r="A8" s="4" t="s">
        <v>21</v>
      </c>
      <c r="B8" s="30">
        <f>COUNTIFS(Lincia!C:C,'Lincia Summary'!A8)</f>
        <v>0</v>
      </c>
      <c r="C8" s="30">
        <f>B8-G8</f>
        <v>0</v>
      </c>
      <c r="D8" s="30">
        <f>COUNTIFS(Lincia!C:C,'Lincia Summary'!A8,Lincia!L:L,"Regular")</f>
        <v>0</v>
      </c>
      <c r="E8" s="30">
        <f>COUNTIFS(Lincia!C:C,'Lincia Summary'!A8,Lincia!L:L,"GET")</f>
        <v>0</v>
      </c>
      <c r="F8" s="30">
        <f>COUNTIFS(Lincia!C:C,'Lincia Summary'!A8,Lincia!L:L,"Trainee")</f>
        <v>0</v>
      </c>
      <c r="G8" s="30">
        <f>D8+E8+F8</f>
        <v>0</v>
      </c>
    </row>
    <row r="9" spans="1:7">
      <c r="A9" s="4" t="s">
        <v>22</v>
      </c>
      <c r="B9" s="30">
        <f>COUNTIFS(Lincia!C:C,'Lincia Summary'!A9)</f>
        <v>0</v>
      </c>
      <c r="C9" s="30">
        <f>B9-G9</f>
        <v>0</v>
      </c>
      <c r="D9" s="30">
        <f>COUNTIFS(Lincia!C:C,'Lincia Summary'!A9,Lincia!L:L,"Regular")</f>
        <v>0</v>
      </c>
      <c r="E9" s="30">
        <f>COUNTIFS(Lincia!C:C,'Lincia Summary'!A9,Lincia!L:L,"GET")</f>
        <v>0</v>
      </c>
      <c r="F9" s="30">
        <f>COUNTIFS(Lincia!C:C,'Lincia Summary'!A9,Lincia!L:L,"Trainee")</f>
        <v>0</v>
      </c>
      <c r="G9" s="30">
        <f>D9+E9+F9</f>
        <v>0</v>
      </c>
    </row>
    <row r="10" spans="1:7">
      <c r="A10" s="4" t="s">
        <v>23</v>
      </c>
      <c r="B10" s="30">
        <f>COUNTIFS(Lincia!C:C,'Lincia Summary'!A10)</f>
        <v>0</v>
      </c>
      <c r="C10" s="30">
        <f>B10-G10</f>
        <v>0</v>
      </c>
      <c r="D10" s="30">
        <f>COUNTIFS(Lincia!C:C,'Lincia Summary'!A10,Lincia!L:L,"Regular")</f>
        <v>0</v>
      </c>
      <c r="E10" s="30">
        <f>COUNTIFS(Lincia!C:C,'Lincia Summary'!A10,Lincia!L:L,"GET")</f>
        <v>0</v>
      </c>
      <c r="F10" s="30">
        <f>COUNTIFS(Lincia!C:C,'Lincia Summary'!A10,Lincia!L:L,"Trainee")</f>
        <v>0</v>
      </c>
      <c r="G10" s="30">
        <f>D10+E10+F10</f>
        <v>0</v>
      </c>
    </row>
    <row r="11" spans="1:7">
      <c r="A11" s="4" t="s">
        <v>24</v>
      </c>
      <c r="B11" s="30">
        <f>COUNTIFS(Lincia!C:C,'Lincia Summary'!A11)</f>
        <v>0</v>
      </c>
      <c r="C11" s="30">
        <f>B11-G11</f>
        <v>0</v>
      </c>
      <c r="D11" s="30">
        <f>COUNTIFS(Lincia!C:C,'Lincia Summary'!A11,Lincia!L:L,"Regular")</f>
        <v>0</v>
      </c>
      <c r="E11" s="30">
        <f>COUNTIFS(Lincia!C:C,'Lincia Summary'!A11,Lincia!L:L,"GET")</f>
        <v>0</v>
      </c>
      <c r="F11" s="30">
        <f>COUNTIFS(Lincia!C:C,'Lincia Summary'!A11,Lincia!L:L,"Trainee")</f>
        <v>0</v>
      </c>
      <c r="G11" s="30">
        <f>D11+E11+F11</f>
        <v>0</v>
      </c>
    </row>
    <row r="12" spans="1:7">
      <c r="A12" s="4" t="s">
        <v>25</v>
      </c>
      <c r="B12" s="30">
        <f>COUNTIFS(Lincia!C:C,'Lincia Summary'!A12)</f>
        <v>0</v>
      </c>
      <c r="C12" s="30">
        <f>B12-G12</f>
        <v>0</v>
      </c>
      <c r="D12" s="30">
        <f>COUNTIFS(Lincia!C:C,'Lincia Summary'!A12,Lincia!L:L,"Regular")</f>
        <v>0</v>
      </c>
      <c r="E12" s="30">
        <f>COUNTIFS(Lincia!C:C,'Lincia Summary'!A12,Lincia!L:L,"GET")</f>
        <v>0</v>
      </c>
      <c r="F12" s="30">
        <f>COUNTIFS(Lincia!C:C,'Lincia Summary'!A12,Lincia!L:L,"Trainee")</f>
        <v>0</v>
      </c>
      <c r="G12" s="30">
        <f>D12+E12+F12</f>
        <v>0</v>
      </c>
    </row>
    <row r="13" spans="1:7">
      <c r="A13" s="4" t="s">
        <v>26</v>
      </c>
      <c r="B13" s="30">
        <f>COUNTIFS(Lincia!C:C,'Lincia Summary'!A13)</f>
        <v>0</v>
      </c>
      <c r="C13" s="30">
        <f>B13-G13</f>
        <v>0</v>
      </c>
      <c r="D13" s="30">
        <f>COUNTIFS(Lincia!C:C,'Lincia Summary'!A13,Lincia!L:L,"Regular")</f>
        <v>0</v>
      </c>
      <c r="E13" s="30">
        <f>COUNTIFS(Lincia!C:C,'Lincia Summary'!A13,Lincia!L:L,"GET")</f>
        <v>0</v>
      </c>
      <c r="F13" s="30">
        <f>COUNTIFS(Lincia!C:C,'Lincia Summary'!A13,Lincia!L:L,"Trainee")</f>
        <v>0</v>
      </c>
      <c r="G13" s="30">
        <f>D13+E13+F13</f>
        <v>0</v>
      </c>
    </row>
    <row r="14" spans="1:7">
      <c r="A14" s="4" t="s">
        <v>27</v>
      </c>
      <c r="B14" s="30">
        <f>COUNTIFS(Lincia!C:C,'Lincia Summary'!A14)</f>
        <v>0</v>
      </c>
      <c r="C14" s="30">
        <f>B14-G14</f>
        <v>0</v>
      </c>
      <c r="D14" s="30">
        <f>COUNTIFS(Lincia!C:C,'Lincia Summary'!A14,Lincia!L:L,"Regular")</f>
        <v>0</v>
      </c>
      <c r="E14" s="30">
        <f>COUNTIFS(Lincia!C:C,'Lincia Summary'!A14,Lincia!L:L,"GET")</f>
        <v>0</v>
      </c>
      <c r="F14" s="30">
        <f>COUNTIFS(Lincia!C:C,'Lincia Summary'!A14,Lincia!L:L,"Trainee")</f>
        <v>0</v>
      </c>
      <c r="G14" s="30">
        <f>D14+E14+F14</f>
        <v>0</v>
      </c>
    </row>
    <row r="15" spans="1:7">
      <c r="A15" s="4" t="s">
        <v>28</v>
      </c>
      <c r="B15" s="30">
        <f>COUNTIFS(Lincia!C:C,'Lincia Summary'!A15)</f>
        <v>0</v>
      </c>
      <c r="C15" s="30">
        <f>B15-G15</f>
        <v>0</v>
      </c>
      <c r="D15" s="30">
        <f>COUNTIFS(Lincia!C:C,'Lincia Summary'!A15,Lincia!L:L,"Regular")</f>
        <v>0</v>
      </c>
      <c r="E15" s="30">
        <f>COUNTIFS(Lincia!C:C,'Lincia Summary'!A15,Lincia!L:L,"GET")</f>
        <v>0</v>
      </c>
      <c r="F15" s="30">
        <f>COUNTIFS(Lincia!C:C,'Lincia Summary'!A15,Lincia!L:L,"Trainee")</f>
        <v>0</v>
      </c>
      <c r="G15" s="30">
        <f>D15+E15+F15</f>
        <v>0</v>
      </c>
    </row>
    <row r="16" spans="1:7">
      <c r="A16" s="4" t="s">
        <v>9</v>
      </c>
      <c r="B16" s="30">
        <f>COUNTIFS(Lincia!C:C,'Lincia Summary'!A16)</f>
        <v>0</v>
      </c>
      <c r="C16" s="30">
        <f>B16-G16</f>
        <v>0</v>
      </c>
      <c r="D16" s="30">
        <f>COUNTIFS(Lincia!C:C,'Lincia Summary'!A16,Lincia!L:L,"Regular")</f>
        <v>0</v>
      </c>
      <c r="E16" s="30">
        <f>COUNTIFS(Lincia!C:C,'Lincia Summary'!A16,Lincia!L:L,"GET")</f>
        <v>0</v>
      </c>
      <c r="F16" s="30">
        <f>COUNTIFS(Lincia!C:C,'Lincia Summary'!A16,Lincia!L:L,"Trainee")</f>
        <v>0</v>
      </c>
      <c r="G16" s="30">
        <f>D16+E16+F16</f>
        <v>0</v>
      </c>
    </row>
    <row r="17" spans="1:7">
      <c r="A17" s="4" t="s">
        <v>10</v>
      </c>
      <c r="B17" s="30">
        <f>COUNTIFS(Lincia!C:C,'Lincia Summary'!A17)</f>
        <v>0</v>
      </c>
      <c r="C17" s="30">
        <f>B17-G17</f>
        <v>0</v>
      </c>
      <c r="D17" s="30">
        <f>COUNTIFS(Lincia!C:C,'Lincia Summary'!A17,Lincia!L:L,"Regular")</f>
        <v>0</v>
      </c>
      <c r="E17" s="30">
        <f>COUNTIFS(Lincia!C:C,'Lincia Summary'!A17,Lincia!L:L,"GET")</f>
        <v>0</v>
      </c>
      <c r="F17" s="30">
        <f>COUNTIFS(Lincia!C:C,'Lincia Summary'!A17,Lincia!L:L,"Trainee")</f>
        <v>0</v>
      </c>
      <c r="G17" s="30">
        <f>D17+E17+F17</f>
        <v>0</v>
      </c>
    </row>
    <row r="18" spans="1:7">
      <c r="A18" s="23" t="s">
        <v>15</v>
      </c>
      <c r="B18" s="24">
        <f>SUM(B4:B17)</f>
        <v>0</v>
      </c>
      <c r="C18" s="24">
        <f>SUM(C4:C17)</f>
        <v>0</v>
      </c>
      <c r="D18" s="24">
        <f>SUM(D4:D17)</f>
        <v>0</v>
      </c>
      <c r="E18" s="24">
        <f>SUM(E4:E17)</f>
        <v>0</v>
      </c>
      <c r="F18" s="24">
        <f>SUM(F4:F17)</f>
        <v>0</v>
      </c>
      <c r="G18" s="24">
        <f>SUM(G4:G17)</f>
        <v>0</v>
      </c>
    </row>
  </sheetData>
  <mergeCells count="4">
    <mergeCell ref="B1:C1"/>
    <mergeCell ref="A1:A3"/>
    <mergeCell ref="D1:G1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63"/>
  <sheetViews>
    <sheetView zoomScaleNormal="100" workbookViewId="0">
      <pane xSplit="2" ySplit="1" topLeftCell="C321" activePane="bottomRight" state="frozen"/>
      <selection pane="bottomRight" activeCell="F1" sqref="F1"/>
      <selection pane="bottomLeft" activeCell="A2" sqref="A2"/>
      <selection pane="topRight" activeCell="C1" sqref="C1"/>
    </sheetView>
  </sheetViews>
  <sheetFormatPr defaultRowHeight="14.45"/>
  <cols>
    <col min="1" max="1" width="6.140625" bestFit="1" customWidth="1"/>
    <col min="2" max="2" width="19.7109375" bestFit="1" customWidth="1"/>
    <col min="3" max="3" width="28.42578125" bestFit="1" customWidth="1"/>
    <col min="4" max="5" width="16.85546875" bestFit="1" customWidth="1"/>
    <col min="6" max="6" width="11.5703125" bestFit="1" customWidth="1"/>
    <col min="7" max="7" width="12.7109375" bestFit="1" customWidth="1"/>
    <col min="8" max="8" width="43.7109375" bestFit="1" customWidth="1"/>
    <col min="9" max="9" width="10.7109375" bestFit="1" customWidth="1"/>
    <col min="10" max="10" width="30.5703125" bestFit="1" customWidth="1"/>
    <col min="11" max="11" width="15.42578125" bestFit="1" customWidth="1"/>
    <col min="12" max="12" width="16.5703125" bestFit="1" customWidth="1"/>
    <col min="13" max="13" width="10.28515625" bestFit="1" customWidth="1"/>
    <col min="14" max="14" width="14.85546875" bestFit="1" customWidth="1"/>
    <col min="15" max="15" width="11.42578125" bestFit="1" customWidth="1"/>
    <col min="16" max="16" width="17.85546875" bestFit="1" customWidth="1"/>
    <col min="17" max="17" width="8" bestFit="1" customWidth="1"/>
    <col min="18" max="18" width="7.7109375" bestFit="1" customWidth="1"/>
    <col min="19" max="19" width="4.5703125" bestFit="1" customWidth="1"/>
    <col min="20" max="20" width="3.85546875" bestFit="1" customWidth="1"/>
    <col min="21" max="21" width="4" bestFit="1" customWidth="1"/>
    <col min="22" max="22" width="7" bestFit="1" customWidth="1"/>
    <col min="23" max="23" width="15.5703125" bestFit="1" customWidth="1"/>
    <col min="24" max="24" width="11.140625" bestFit="1" customWidth="1"/>
    <col min="25" max="25" width="11.5703125" bestFit="1" customWidth="1"/>
    <col min="26" max="26" width="6.85546875" bestFit="1" customWidth="1"/>
    <col min="27" max="27" width="8.85546875" bestFit="1" customWidth="1"/>
    <col min="28" max="28" width="8.42578125" bestFit="1" customWidth="1"/>
    <col min="29" max="29" width="10.42578125" bestFit="1" customWidth="1"/>
    <col min="30" max="30" width="8.5703125" bestFit="1" customWidth="1"/>
    <col min="31" max="31" width="9.85546875" bestFit="1" customWidth="1"/>
    <col min="32" max="32" width="11.7109375" bestFit="1" customWidth="1"/>
    <col min="33" max="33" width="11.140625" bestFit="1" customWidth="1"/>
    <col min="34" max="34" width="10.140625" bestFit="1" customWidth="1"/>
    <col min="35" max="35" width="13.7109375" bestFit="1" customWidth="1"/>
    <col min="36" max="36" width="14.28515625" bestFit="1" customWidth="1"/>
    <col min="37" max="37" width="15.28515625" bestFit="1" customWidth="1"/>
    <col min="38" max="38" width="4.42578125" bestFit="1" customWidth="1"/>
    <col min="39" max="39" width="6.5703125" bestFit="1" customWidth="1"/>
    <col min="40" max="40" width="5.28515625" bestFit="1" customWidth="1"/>
    <col min="41" max="41" width="8.42578125" bestFit="1" customWidth="1"/>
    <col min="42" max="42" width="10.85546875" bestFit="1" customWidth="1"/>
  </cols>
  <sheetData>
    <row r="1" spans="1:13">
      <c r="A1" s="57" t="s">
        <v>1021</v>
      </c>
      <c r="B1" s="58" t="s">
        <v>37</v>
      </c>
      <c r="C1" s="59" t="s">
        <v>38</v>
      </c>
      <c r="D1" s="58" t="s">
        <v>39</v>
      </c>
      <c r="E1" s="58" t="s">
        <v>40</v>
      </c>
      <c r="F1" s="59" t="s">
        <v>41</v>
      </c>
      <c r="G1" s="59" t="s">
        <v>42</v>
      </c>
      <c r="H1" s="57" t="s">
        <v>43</v>
      </c>
      <c r="I1" s="59" t="s">
        <v>44</v>
      </c>
      <c r="J1" s="57" t="s">
        <v>45</v>
      </c>
      <c r="K1" s="57" t="s">
        <v>1022</v>
      </c>
      <c r="L1" s="57" t="s">
        <v>919</v>
      </c>
      <c r="M1" s="60" t="s">
        <v>49</v>
      </c>
    </row>
    <row r="2" spans="1:13">
      <c r="A2" s="53">
        <v>3</v>
      </c>
      <c r="B2" s="53" t="s">
        <v>53</v>
      </c>
      <c r="C2" s="54" t="s">
        <v>36</v>
      </c>
      <c r="D2" s="53" t="s">
        <v>61</v>
      </c>
      <c r="E2" s="53" t="s">
        <v>16</v>
      </c>
      <c r="F2" s="55" t="s">
        <v>210</v>
      </c>
      <c r="G2" s="61">
        <v>903037</v>
      </c>
      <c r="H2" s="54" t="s">
        <v>73</v>
      </c>
      <c r="I2" s="55">
        <v>28011445</v>
      </c>
      <c r="J2" s="54" t="s">
        <v>833</v>
      </c>
      <c r="K2" s="55" t="s">
        <v>210</v>
      </c>
      <c r="L2" s="54" t="s">
        <v>59</v>
      </c>
      <c r="M2" s="54" t="s">
        <v>632</v>
      </c>
    </row>
    <row r="3" spans="1:13">
      <c r="A3" s="53">
        <v>0</v>
      </c>
      <c r="B3" s="53" t="s">
        <v>53</v>
      </c>
      <c r="C3" s="54" t="s">
        <v>54</v>
      </c>
      <c r="D3" s="53" t="s">
        <v>61</v>
      </c>
      <c r="E3" s="53" t="s">
        <v>16</v>
      </c>
      <c r="F3" s="55" t="s">
        <v>210</v>
      </c>
      <c r="G3" s="61">
        <v>903038</v>
      </c>
      <c r="H3" s="54" t="s">
        <v>84</v>
      </c>
      <c r="I3" s="55">
        <v>28011446</v>
      </c>
      <c r="J3" s="54" t="s">
        <v>834</v>
      </c>
      <c r="K3" s="55" t="s">
        <v>210</v>
      </c>
      <c r="L3" s="54" t="s">
        <v>59</v>
      </c>
      <c r="M3" s="54" t="s">
        <v>632</v>
      </c>
    </row>
    <row r="4" spans="1:13">
      <c r="A4" s="53">
        <v>4</v>
      </c>
      <c r="B4" s="53" t="s">
        <v>53</v>
      </c>
      <c r="C4" s="54" t="s">
        <v>64</v>
      </c>
      <c r="D4" s="53" t="s">
        <v>61</v>
      </c>
      <c r="E4" s="53" t="s">
        <v>16</v>
      </c>
      <c r="F4" s="55" t="s">
        <v>99</v>
      </c>
      <c r="G4" s="61">
        <v>903039</v>
      </c>
      <c r="H4" s="54" t="s">
        <v>92</v>
      </c>
      <c r="I4" s="55">
        <v>28011447</v>
      </c>
      <c r="J4" s="54" t="s">
        <v>835</v>
      </c>
      <c r="K4" s="55" t="s">
        <v>99</v>
      </c>
      <c r="L4" s="54" t="s">
        <v>59</v>
      </c>
      <c r="M4" s="54" t="s">
        <v>632</v>
      </c>
    </row>
    <row r="5" spans="1:13">
      <c r="A5" s="53">
        <v>3</v>
      </c>
      <c r="B5" s="53" t="s">
        <v>53</v>
      </c>
      <c r="C5" s="54" t="s">
        <v>54</v>
      </c>
      <c r="D5" s="53" t="s">
        <v>61</v>
      </c>
      <c r="E5" s="53" t="s">
        <v>16</v>
      </c>
      <c r="F5" s="55" t="s">
        <v>128</v>
      </c>
      <c r="G5" s="61">
        <v>903040</v>
      </c>
      <c r="H5" s="54" t="s">
        <v>100</v>
      </c>
      <c r="I5" s="55">
        <v>28011448</v>
      </c>
      <c r="J5" s="54" t="s">
        <v>836</v>
      </c>
      <c r="K5" s="55" t="s">
        <v>128</v>
      </c>
      <c r="L5" s="54" t="s">
        <v>59</v>
      </c>
      <c r="M5" s="54" t="s">
        <v>632</v>
      </c>
    </row>
    <row r="6" spans="1:13">
      <c r="A6" s="53">
        <v>6</v>
      </c>
      <c r="B6" s="53" t="s">
        <v>53</v>
      </c>
      <c r="C6" s="54" t="s">
        <v>64</v>
      </c>
      <c r="D6" s="53" t="s">
        <v>61</v>
      </c>
      <c r="E6" s="53" t="s">
        <v>16</v>
      </c>
      <c r="F6" s="55" t="s">
        <v>128</v>
      </c>
      <c r="G6" s="61">
        <v>903041</v>
      </c>
      <c r="H6" s="54" t="s">
        <v>103</v>
      </c>
      <c r="I6" s="55">
        <v>28011449</v>
      </c>
      <c r="J6" s="54" t="s">
        <v>837</v>
      </c>
      <c r="K6" s="55" t="s">
        <v>128</v>
      </c>
      <c r="L6" s="54" t="s">
        <v>59</v>
      </c>
      <c r="M6" s="54" t="s">
        <v>632</v>
      </c>
    </row>
    <row r="7" spans="1:13">
      <c r="A7" s="53">
        <v>7</v>
      </c>
      <c r="B7" s="53" t="s">
        <v>53</v>
      </c>
      <c r="C7" s="54" t="s">
        <v>29</v>
      </c>
      <c r="D7" s="53" t="s">
        <v>61</v>
      </c>
      <c r="E7" s="53" t="s">
        <v>16</v>
      </c>
      <c r="F7" s="55" t="s">
        <v>56</v>
      </c>
      <c r="G7" s="61">
        <v>903042</v>
      </c>
      <c r="H7" s="54" t="s">
        <v>92</v>
      </c>
      <c r="I7" s="55">
        <v>28011450</v>
      </c>
      <c r="J7" s="54" t="s">
        <v>838</v>
      </c>
      <c r="K7" s="55" t="s">
        <v>128</v>
      </c>
      <c r="L7" s="54" t="s">
        <v>59</v>
      </c>
      <c r="M7" s="54" t="s">
        <v>632</v>
      </c>
    </row>
    <row r="8" spans="1:13">
      <c r="A8" s="53">
        <v>9</v>
      </c>
      <c r="B8" s="53" t="s">
        <v>53</v>
      </c>
      <c r="C8" s="54" t="s">
        <v>30</v>
      </c>
      <c r="D8" s="53" t="s">
        <v>61</v>
      </c>
      <c r="E8" s="53" t="s">
        <v>16</v>
      </c>
      <c r="F8" s="55" t="s">
        <v>56</v>
      </c>
      <c r="G8" s="61">
        <v>903043</v>
      </c>
      <c r="H8" s="54" t="s">
        <v>111</v>
      </c>
      <c r="I8" s="55">
        <v>28011451</v>
      </c>
      <c r="J8" s="54" t="s">
        <v>839</v>
      </c>
      <c r="K8" s="55" t="s">
        <v>56</v>
      </c>
      <c r="L8" s="54" t="s">
        <v>59</v>
      </c>
      <c r="M8" s="54" t="s">
        <v>632</v>
      </c>
    </row>
    <row r="9" spans="1:13">
      <c r="A9" s="53">
        <v>10</v>
      </c>
      <c r="B9" s="53" t="s">
        <v>53</v>
      </c>
      <c r="C9" s="54" t="s">
        <v>54</v>
      </c>
      <c r="D9" s="53" t="s">
        <v>61</v>
      </c>
      <c r="E9" s="53" t="s">
        <v>16</v>
      </c>
      <c r="F9" s="55" t="s">
        <v>72</v>
      </c>
      <c r="G9" s="61">
        <v>903044</v>
      </c>
      <c r="H9" s="54" t="s">
        <v>266</v>
      </c>
      <c r="I9" s="55">
        <v>28011452</v>
      </c>
      <c r="J9" s="54" t="s">
        <v>840</v>
      </c>
      <c r="K9" s="55" t="s">
        <v>128</v>
      </c>
      <c r="L9" s="54" t="s">
        <v>59</v>
      </c>
      <c r="M9" s="54" t="s">
        <v>632</v>
      </c>
    </row>
    <row r="10" spans="1:13">
      <c r="A10" s="53">
        <v>7</v>
      </c>
      <c r="B10" s="53" t="s">
        <v>53</v>
      </c>
      <c r="C10" s="54" t="s">
        <v>30</v>
      </c>
      <c r="D10" s="53" t="s">
        <v>61</v>
      </c>
      <c r="E10" s="53" t="s">
        <v>16</v>
      </c>
      <c r="F10" s="55" t="s">
        <v>56</v>
      </c>
      <c r="G10" s="61">
        <v>903045</v>
      </c>
      <c r="H10" s="54" t="s">
        <v>111</v>
      </c>
      <c r="I10" s="55">
        <v>28011453</v>
      </c>
      <c r="J10" s="54" t="s">
        <v>841</v>
      </c>
      <c r="K10" s="55" t="s">
        <v>56</v>
      </c>
      <c r="L10" s="54" t="s">
        <v>59</v>
      </c>
      <c r="M10" s="54" t="s">
        <v>632</v>
      </c>
    </row>
    <row r="11" spans="1:13">
      <c r="A11" s="53">
        <v>10</v>
      </c>
      <c r="B11" s="53" t="s">
        <v>53</v>
      </c>
      <c r="C11" s="54" t="s">
        <v>54</v>
      </c>
      <c r="D11" s="53" t="s">
        <v>61</v>
      </c>
      <c r="E11" s="53" t="s">
        <v>16</v>
      </c>
      <c r="F11" s="55" t="s">
        <v>56</v>
      </c>
      <c r="G11" s="61">
        <v>903046</v>
      </c>
      <c r="H11" s="54" t="s">
        <v>113</v>
      </c>
      <c r="I11" s="55">
        <v>28011454</v>
      </c>
      <c r="J11" s="54" t="s">
        <v>842</v>
      </c>
      <c r="K11" s="55" t="s">
        <v>56</v>
      </c>
      <c r="L11" s="54" t="s">
        <v>59</v>
      </c>
      <c r="M11" s="54" t="s">
        <v>632</v>
      </c>
    </row>
    <row r="12" spans="1:13">
      <c r="A12" s="53">
        <v>10</v>
      </c>
      <c r="B12" s="53" t="s">
        <v>53</v>
      </c>
      <c r="C12" s="54" t="s">
        <v>54</v>
      </c>
      <c r="D12" s="53" t="s">
        <v>61</v>
      </c>
      <c r="E12" s="53" t="s">
        <v>16</v>
      </c>
      <c r="F12" s="55" t="s">
        <v>72</v>
      </c>
      <c r="G12" s="61">
        <v>903047</v>
      </c>
      <c r="H12" s="54" t="s">
        <v>100</v>
      </c>
      <c r="I12" s="55">
        <v>28011455</v>
      </c>
      <c r="J12" s="54" t="s">
        <v>263</v>
      </c>
      <c r="K12" s="55" t="s">
        <v>72</v>
      </c>
      <c r="L12" s="54" t="s">
        <v>59</v>
      </c>
      <c r="M12" s="54" t="s">
        <v>632</v>
      </c>
    </row>
    <row r="13" spans="1:13">
      <c r="A13" s="53">
        <v>10</v>
      </c>
      <c r="B13" s="53" t="s">
        <v>53</v>
      </c>
      <c r="C13" s="54" t="s">
        <v>54</v>
      </c>
      <c r="D13" s="53" t="s">
        <v>61</v>
      </c>
      <c r="E13" s="53" t="s">
        <v>16</v>
      </c>
      <c r="F13" s="55" t="s">
        <v>56</v>
      </c>
      <c r="G13" s="61">
        <v>903048</v>
      </c>
      <c r="H13" s="54" t="s">
        <v>100</v>
      </c>
      <c r="I13" s="55">
        <v>28011456</v>
      </c>
      <c r="J13" s="54" t="s">
        <v>843</v>
      </c>
      <c r="K13" s="55" t="s">
        <v>56</v>
      </c>
      <c r="L13" s="54" t="s">
        <v>59</v>
      </c>
      <c r="M13" s="54" t="s">
        <v>632</v>
      </c>
    </row>
    <row r="14" spans="1:13">
      <c r="A14" s="53">
        <v>14</v>
      </c>
      <c r="B14" s="53" t="s">
        <v>53</v>
      </c>
      <c r="C14" s="54" t="s">
        <v>54</v>
      </c>
      <c r="D14" s="53" t="s">
        <v>61</v>
      </c>
      <c r="E14" s="53" t="s">
        <v>16</v>
      </c>
      <c r="F14" s="55" t="s">
        <v>109</v>
      </c>
      <c r="G14" s="61">
        <v>903049</v>
      </c>
      <c r="H14" s="54" t="s">
        <v>100</v>
      </c>
      <c r="I14" s="55">
        <v>28011457</v>
      </c>
      <c r="J14" s="54" t="s">
        <v>844</v>
      </c>
      <c r="K14" s="55" t="s">
        <v>109</v>
      </c>
      <c r="L14" s="54" t="s">
        <v>59</v>
      </c>
      <c r="M14" s="54" t="s">
        <v>632</v>
      </c>
    </row>
    <row r="15" spans="1:13">
      <c r="A15" s="53">
        <v>12</v>
      </c>
      <c r="B15" s="53" t="s">
        <v>53</v>
      </c>
      <c r="C15" s="54" t="s">
        <v>36</v>
      </c>
      <c r="D15" s="53" t="s">
        <v>61</v>
      </c>
      <c r="E15" s="53" t="s">
        <v>16</v>
      </c>
      <c r="F15" s="55" t="s">
        <v>56</v>
      </c>
      <c r="G15" s="61">
        <v>903050</v>
      </c>
      <c r="H15" s="54" t="s">
        <v>116</v>
      </c>
      <c r="I15" s="55">
        <v>28011458</v>
      </c>
      <c r="J15" s="54" t="s">
        <v>845</v>
      </c>
      <c r="K15" s="55" t="s">
        <v>72</v>
      </c>
      <c r="L15" s="54" t="s">
        <v>59</v>
      </c>
      <c r="M15" s="54" t="s">
        <v>632</v>
      </c>
    </row>
    <row r="16" spans="1:13">
      <c r="A16" s="53">
        <v>16</v>
      </c>
      <c r="B16" s="53" t="s">
        <v>53</v>
      </c>
      <c r="C16" s="54" t="s">
        <v>36</v>
      </c>
      <c r="D16" s="53" t="s">
        <v>61</v>
      </c>
      <c r="E16" s="53" t="s">
        <v>16</v>
      </c>
      <c r="F16" s="55" t="s">
        <v>128</v>
      </c>
      <c r="G16" s="61">
        <v>903051</v>
      </c>
      <c r="H16" s="54" t="s">
        <v>118</v>
      </c>
      <c r="I16" s="55">
        <v>28011459</v>
      </c>
      <c r="J16" s="54" t="s">
        <v>846</v>
      </c>
      <c r="K16" s="55" t="s">
        <v>99</v>
      </c>
      <c r="L16" s="54" t="s">
        <v>59</v>
      </c>
      <c r="M16" s="54" t="s">
        <v>632</v>
      </c>
    </row>
    <row r="17" spans="1:13">
      <c r="A17" s="53">
        <v>15</v>
      </c>
      <c r="B17" s="53" t="s">
        <v>53</v>
      </c>
      <c r="C17" s="54" t="s">
        <v>64</v>
      </c>
      <c r="D17" s="53" t="s">
        <v>61</v>
      </c>
      <c r="E17" s="53" t="s">
        <v>16</v>
      </c>
      <c r="F17" s="55" t="s">
        <v>128</v>
      </c>
      <c r="G17" s="61">
        <v>903052</v>
      </c>
      <c r="H17" s="54" t="s">
        <v>120</v>
      </c>
      <c r="I17" s="55">
        <v>28011460</v>
      </c>
      <c r="J17" s="54" t="s">
        <v>847</v>
      </c>
      <c r="K17" s="55" t="s">
        <v>128</v>
      </c>
      <c r="L17" s="54" t="s">
        <v>59</v>
      </c>
      <c r="M17" s="54" t="s">
        <v>632</v>
      </c>
    </row>
    <row r="18" spans="1:13">
      <c r="A18" s="53">
        <v>19</v>
      </c>
      <c r="B18" s="53" t="s">
        <v>53</v>
      </c>
      <c r="C18" s="54" t="s">
        <v>29</v>
      </c>
      <c r="D18" s="53" t="s">
        <v>61</v>
      </c>
      <c r="E18" s="53" t="s">
        <v>16</v>
      </c>
      <c r="F18" s="55" t="s">
        <v>128</v>
      </c>
      <c r="G18" s="61">
        <v>903053</v>
      </c>
      <c r="H18" s="54" t="s">
        <v>118</v>
      </c>
      <c r="I18" s="55">
        <v>28011461</v>
      </c>
      <c r="J18" s="54" t="s">
        <v>848</v>
      </c>
      <c r="K18" s="55" t="s">
        <v>128</v>
      </c>
      <c r="L18" s="54" t="s">
        <v>59</v>
      </c>
      <c r="M18" s="54" t="s">
        <v>632</v>
      </c>
    </row>
    <row r="19" spans="1:13">
      <c r="A19" s="53">
        <v>18</v>
      </c>
      <c r="B19" s="53" t="s">
        <v>53</v>
      </c>
      <c r="C19" s="54" t="s">
        <v>64</v>
      </c>
      <c r="D19" s="53" t="s">
        <v>61</v>
      </c>
      <c r="E19" s="53" t="s">
        <v>16</v>
      </c>
      <c r="F19" s="55" t="s">
        <v>128</v>
      </c>
      <c r="G19" s="61">
        <v>903054</v>
      </c>
      <c r="H19" s="54" t="s">
        <v>126</v>
      </c>
      <c r="I19" s="55">
        <v>28011462</v>
      </c>
      <c r="J19" s="54" t="s">
        <v>849</v>
      </c>
      <c r="K19" s="55" t="s">
        <v>128</v>
      </c>
      <c r="L19" s="54" t="s">
        <v>59</v>
      </c>
      <c r="M19" s="54" t="s">
        <v>632</v>
      </c>
    </row>
    <row r="20" spans="1:13">
      <c r="A20" s="53">
        <v>21</v>
      </c>
      <c r="B20" s="53" t="s">
        <v>53</v>
      </c>
      <c r="C20" s="54" t="s">
        <v>30</v>
      </c>
      <c r="D20" s="53" t="s">
        <v>61</v>
      </c>
      <c r="E20" s="53" t="s">
        <v>16</v>
      </c>
      <c r="F20" s="55" t="s">
        <v>128</v>
      </c>
      <c r="G20" s="62">
        <v>903055</v>
      </c>
      <c r="H20" s="54" t="s">
        <v>129</v>
      </c>
      <c r="I20" s="63">
        <v>28011463</v>
      </c>
      <c r="J20" s="64" t="s">
        <v>850</v>
      </c>
      <c r="K20" s="55" t="s">
        <v>128</v>
      </c>
      <c r="L20" s="54" t="s">
        <v>59</v>
      </c>
      <c r="M20" s="54" t="s">
        <v>632</v>
      </c>
    </row>
    <row r="21" spans="1:13">
      <c r="A21" s="53">
        <v>22</v>
      </c>
      <c r="B21" s="53" t="s">
        <v>53</v>
      </c>
      <c r="C21" s="54" t="s">
        <v>30</v>
      </c>
      <c r="D21" s="53" t="s">
        <v>61</v>
      </c>
      <c r="E21" s="53" t="s">
        <v>16</v>
      </c>
      <c r="F21" s="55" t="s">
        <v>128</v>
      </c>
      <c r="G21" s="61">
        <v>903056</v>
      </c>
      <c r="H21" s="54" t="s">
        <v>129</v>
      </c>
      <c r="I21" s="55">
        <v>28011464</v>
      </c>
      <c r="J21" s="54" t="s">
        <v>851</v>
      </c>
      <c r="K21" s="55" t="s">
        <v>99</v>
      </c>
      <c r="L21" s="54" t="s">
        <v>59</v>
      </c>
      <c r="M21" s="54" t="s">
        <v>632</v>
      </c>
    </row>
    <row r="22" spans="1:13">
      <c r="A22" s="53">
        <v>19</v>
      </c>
      <c r="B22" s="53" t="s">
        <v>53</v>
      </c>
      <c r="C22" s="54" t="s">
        <v>64</v>
      </c>
      <c r="D22" s="53" t="s">
        <v>61</v>
      </c>
      <c r="E22" s="53" t="s">
        <v>16</v>
      </c>
      <c r="F22" s="55" t="s">
        <v>128</v>
      </c>
      <c r="G22" s="61">
        <v>903057</v>
      </c>
      <c r="H22" s="54" t="s">
        <v>126</v>
      </c>
      <c r="I22" s="55">
        <v>28011465</v>
      </c>
      <c r="J22" s="54" t="s">
        <v>852</v>
      </c>
      <c r="K22" s="55" t="s">
        <v>99</v>
      </c>
      <c r="L22" s="54" t="s">
        <v>59</v>
      </c>
      <c r="M22" s="54" t="s">
        <v>632</v>
      </c>
    </row>
    <row r="23" spans="1:13">
      <c r="A23" s="53">
        <v>24</v>
      </c>
      <c r="B23" s="53" t="s">
        <v>53</v>
      </c>
      <c r="C23" s="54" t="s">
        <v>30</v>
      </c>
      <c r="D23" s="53" t="s">
        <v>61</v>
      </c>
      <c r="E23" s="53" t="s">
        <v>16</v>
      </c>
      <c r="F23" s="55" t="s">
        <v>99</v>
      </c>
      <c r="G23" s="61">
        <v>903058</v>
      </c>
      <c r="H23" s="54" t="s">
        <v>131</v>
      </c>
      <c r="I23" s="55">
        <v>28011466</v>
      </c>
      <c r="J23" s="54" t="s">
        <v>853</v>
      </c>
      <c r="K23" s="55" t="s">
        <v>210</v>
      </c>
      <c r="L23" s="54" t="s">
        <v>59</v>
      </c>
      <c r="M23" s="54" t="s">
        <v>632</v>
      </c>
    </row>
    <row r="24" spans="1:13">
      <c r="A24" s="53">
        <v>21</v>
      </c>
      <c r="B24" s="53" t="s">
        <v>53</v>
      </c>
      <c r="C24" s="54" t="s">
        <v>30</v>
      </c>
      <c r="D24" s="53" t="s">
        <v>61</v>
      </c>
      <c r="E24" s="53" t="s">
        <v>16</v>
      </c>
      <c r="F24" s="55" t="s">
        <v>99</v>
      </c>
      <c r="G24" s="61">
        <v>903059</v>
      </c>
      <c r="H24" s="54" t="s">
        <v>133</v>
      </c>
      <c r="I24" s="55">
        <v>28011467</v>
      </c>
      <c r="J24" s="54" t="s">
        <v>854</v>
      </c>
      <c r="K24" s="55" t="s">
        <v>128</v>
      </c>
      <c r="L24" s="54" t="s">
        <v>59</v>
      </c>
      <c r="M24" s="54" t="s">
        <v>632</v>
      </c>
    </row>
    <row r="25" spans="1:13">
      <c r="A25" s="53">
        <v>25</v>
      </c>
      <c r="B25" s="53" t="s">
        <v>53</v>
      </c>
      <c r="C25" s="54" t="s">
        <v>31</v>
      </c>
      <c r="D25" s="53" t="s">
        <v>61</v>
      </c>
      <c r="E25" s="53" t="s">
        <v>16</v>
      </c>
      <c r="F25" s="55" t="s">
        <v>69</v>
      </c>
      <c r="G25" s="61">
        <v>903060</v>
      </c>
      <c r="H25" s="64" t="s">
        <v>135</v>
      </c>
      <c r="I25" s="55">
        <v>28011468</v>
      </c>
      <c r="J25" s="54" t="s">
        <v>855</v>
      </c>
      <c r="K25" s="55" t="s">
        <v>69</v>
      </c>
      <c r="L25" s="54" t="s">
        <v>59</v>
      </c>
      <c r="M25" s="54" t="s">
        <v>632</v>
      </c>
    </row>
    <row r="26" spans="1:13">
      <c r="A26" s="53">
        <v>24</v>
      </c>
      <c r="B26" s="53" t="s">
        <v>53</v>
      </c>
      <c r="C26" s="54" t="s">
        <v>32</v>
      </c>
      <c r="D26" s="53" t="s">
        <v>61</v>
      </c>
      <c r="E26" s="53" t="s">
        <v>16</v>
      </c>
      <c r="F26" s="55" t="s">
        <v>128</v>
      </c>
      <c r="G26" s="61">
        <v>903061</v>
      </c>
      <c r="H26" s="54" t="s">
        <v>137</v>
      </c>
      <c r="I26" s="55">
        <v>28011469</v>
      </c>
      <c r="J26" s="54" t="s">
        <v>856</v>
      </c>
      <c r="K26" s="55" t="s">
        <v>99</v>
      </c>
      <c r="L26" s="54" t="s">
        <v>59</v>
      </c>
      <c r="M26" s="54" t="s">
        <v>632</v>
      </c>
    </row>
    <row r="27" spans="1:13">
      <c r="A27" s="53">
        <v>27</v>
      </c>
      <c r="B27" s="53" t="s">
        <v>53</v>
      </c>
      <c r="C27" s="54" t="s">
        <v>30</v>
      </c>
      <c r="D27" s="53" t="s">
        <v>61</v>
      </c>
      <c r="E27" s="53" t="s">
        <v>16</v>
      </c>
      <c r="F27" s="55" t="s">
        <v>210</v>
      </c>
      <c r="G27" s="61">
        <v>903062</v>
      </c>
      <c r="H27" s="54" t="s">
        <v>139</v>
      </c>
      <c r="I27" s="55">
        <v>28011470</v>
      </c>
      <c r="J27" s="54" t="s">
        <v>857</v>
      </c>
      <c r="K27" s="55" t="s">
        <v>69</v>
      </c>
      <c r="L27" s="54" t="s">
        <v>59</v>
      </c>
      <c r="M27" s="54" t="s">
        <v>632</v>
      </c>
    </row>
    <row r="28" spans="1:13">
      <c r="A28" s="53">
        <v>25</v>
      </c>
      <c r="B28" s="53" t="s">
        <v>53</v>
      </c>
      <c r="C28" s="54" t="s">
        <v>54</v>
      </c>
      <c r="D28" s="53" t="s">
        <v>61</v>
      </c>
      <c r="E28" s="53" t="s">
        <v>16</v>
      </c>
      <c r="F28" s="55" t="s">
        <v>56</v>
      </c>
      <c r="G28" s="61">
        <v>903063</v>
      </c>
      <c r="H28" s="54" t="s">
        <v>100</v>
      </c>
      <c r="I28" s="55">
        <v>28011471</v>
      </c>
      <c r="J28" s="54" t="s">
        <v>858</v>
      </c>
      <c r="K28" s="55" t="s">
        <v>128</v>
      </c>
      <c r="L28" s="54" t="s">
        <v>59</v>
      </c>
      <c r="M28" s="54" t="s">
        <v>632</v>
      </c>
    </row>
    <row r="29" spans="1:13">
      <c r="A29" s="53">
        <v>30</v>
      </c>
      <c r="B29" s="53" t="s">
        <v>53</v>
      </c>
      <c r="C29" s="54" t="s">
        <v>32</v>
      </c>
      <c r="D29" s="53" t="s">
        <v>61</v>
      </c>
      <c r="E29" s="53" t="s">
        <v>16</v>
      </c>
      <c r="F29" s="55" t="s">
        <v>69</v>
      </c>
      <c r="G29" s="61">
        <v>903064</v>
      </c>
      <c r="H29" s="54" t="s">
        <v>141</v>
      </c>
      <c r="I29" s="55">
        <v>28011472</v>
      </c>
      <c r="J29" s="54" t="s">
        <v>859</v>
      </c>
      <c r="K29" s="55" t="s">
        <v>69</v>
      </c>
      <c r="L29" s="54" t="s">
        <v>59</v>
      </c>
      <c r="M29" s="54" t="s">
        <v>632</v>
      </c>
    </row>
    <row r="30" spans="1:13">
      <c r="A30" s="53">
        <v>29</v>
      </c>
      <c r="B30" s="53" t="s">
        <v>53</v>
      </c>
      <c r="C30" s="54" t="s">
        <v>54</v>
      </c>
      <c r="D30" s="53" t="s">
        <v>61</v>
      </c>
      <c r="E30" s="53" t="s">
        <v>16</v>
      </c>
      <c r="F30" s="55" t="s">
        <v>210</v>
      </c>
      <c r="G30" s="61">
        <v>903065</v>
      </c>
      <c r="H30" s="54" t="s">
        <v>142</v>
      </c>
      <c r="I30" s="55">
        <v>28011473</v>
      </c>
      <c r="J30" s="54" t="s">
        <v>860</v>
      </c>
      <c r="K30" s="55" t="s">
        <v>210</v>
      </c>
      <c r="L30" s="54" t="s">
        <v>59</v>
      </c>
      <c r="M30" s="54" t="s">
        <v>632</v>
      </c>
    </row>
    <row r="31" spans="1:13">
      <c r="A31" s="53">
        <v>30</v>
      </c>
      <c r="B31" s="53" t="s">
        <v>53</v>
      </c>
      <c r="C31" s="54" t="s">
        <v>54</v>
      </c>
      <c r="D31" s="53" t="s">
        <v>61</v>
      </c>
      <c r="E31" s="53" t="s">
        <v>16</v>
      </c>
      <c r="F31" s="55" t="s">
        <v>56</v>
      </c>
      <c r="G31" s="61">
        <v>903066</v>
      </c>
      <c r="H31" s="54" t="s">
        <v>100</v>
      </c>
      <c r="I31" s="55">
        <v>28011474</v>
      </c>
      <c r="J31" s="54" t="s">
        <v>861</v>
      </c>
      <c r="K31" s="55" t="s">
        <v>128</v>
      </c>
      <c r="L31" s="54" t="s">
        <v>59</v>
      </c>
      <c r="M31" s="54" t="s">
        <v>632</v>
      </c>
    </row>
    <row r="32" spans="1:13">
      <c r="A32" s="53">
        <v>33</v>
      </c>
      <c r="B32" s="53" t="s">
        <v>53</v>
      </c>
      <c r="C32" s="54" t="s">
        <v>32</v>
      </c>
      <c r="D32" s="53" t="s">
        <v>61</v>
      </c>
      <c r="E32" s="53" t="s">
        <v>16</v>
      </c>
      <c r="F32" s="55" t="s">
        <v>69</v>
      </c>
      <c r="G32" s="61">
        <v>903067</v>
      </c>
      <c r="H32" s="54" t="s">
        <v>144</v>
      </c>
      <c r="I32" s="55">
        <v>28011475</v>
      </c>
      <c r="J32" s="54" t="s">
        <v>862</v>
      </c>
      <c r="K32" s="55" t="s">
        <v>69</v>
      </c>
      <c r="L32" s="54" t="s">
        <v>59</v>
      </c>
      <c r="M32" s="54" t="s">
        <v>632</v>
      </c>
    </row>
    <row r="33" spans="1:13">
      <c r="A33" s="53">
        <v>34</v>
      </c>
      <c r="B33" s="53" t="s">
        <v>53</v>
      </c>
      <c r="C33" s="54" t="s">
        <v>29</v>
      </c>
      <c r="D33" s="53" t="s">
        <v>61</v>
      </c>
      <c r="E33" s="53" t="s">
        <v>16</v>
      </c>
      <c r="F33" s="55" t="s">
        <v>56</v>
      </c>
      <c r="G33" s="61">
        <v>903068</v>
      </c>
      <c r="H33" s="54" t="s">
        <v>146</v>
      </c>
      <c r="I33" s="55">
        <v>28011476</v>
      </c>
      <c r="J33" s="54" t="s">
        <v>863</v>
      </c>
      <c r="K33" s="55" t="s">
        <v>128</v>
      </c>
      <c r="L33" s="54" t="s">
        <v>59</v>
      </c>
      <c r="M33" s="54" t="s">
        <v>632</v>
      </c>
    </row>
    <row r="34" spans="1:13">
      <c r="A34" s="53">
        <v>34</v>
      </c>
      <c r="B34" s="53" t="s">
        <v>53</v>
      </c>
      <c r="C34" s="54" t="s">
        <v>54</v>
      </c>
      <c r="D34" s="53" t="s">
        <v>61</v>
      </c>
      <c r="E34" s="53" t="s">
        <v>16</v>
      </c>
      <c r="F34" s="55" t="s">
        <v>56</v>
      </c>
      <c r="G34" s="61">
        <v>903069</v>
      </c>
      <c r="H34" s="54" t="s">
        <v>100</v>
      </c>
      <c r="I34" s="55"/>
      <c r="J34" s="103"/>
      <c r="K34" s="55"/>
      <c r="L34" s="54"/>
      <c r="M34" s="54" t="s">
        <v>63</v>
      </c>
    </row>
    <row r="35" spans="1:13">
      <c r="A35" s="53">
        <v>35</v>
      </c>
      <c r="B35" s="53" t="s">
        <v>53</v>
      </c>
      <c r="C35" s="54" t="s">
        <v>54</v>
      </c>
      <c r="D35" s="53" t="s">
        <v>61</v>
      </c>
      <c r="E35" s="53" t="s">
        <v>16</v>
      </c>
      <c r="F35" s="55" t="s">
        <v>56</v>
      </c>
      <c r="G35" s="61">
        <v>903070</v>
      </c>
      <c r="H35" s="54" t="s">
        <v>100</v>
      </c>
      <c r="I35" s="55">
        <v>28011477</v>
      </c>
      <c r="J35" s="54" t="s">
        <v>864</v>
      </c>
      <c r="K35" s="55" t="s">
        <v>56</v>
      </c>
      <c r="L35" s="54" t="s">
        <v>59</v>
      </c>
      <c r="M35" s="54" t="s">
        <v>632</v>
      </c>
    </row>
    <row r="36" spans="1:13">
      <c r="A36" s="53">
        <v>36</v>
      </c>
      <c r="B36" s="53" t="s">
        <v>53</v>
      </c>
      <c r="C36" s="54" t="s">
        <v>30</v>
      </c>
      <c r="D36" s="53" t="s">
        <v>61</v>
      </c>
      <c r="E36" s="53" t="s">
        <v>16</v>
      </c>
      <c r="F36" s="55" t="s">
        <v>72</v>
      </c>
      <c r="G36" s="61">
        <v>903071</v>
      </c>
      <c r="H36" s="54" t="s">
        <v>148</v>
      </c>
      <c r="I36" s="55">
        <v>28011478</v>
      </c>
      <c r="J36" s="54" t="s">
        <v>865</v>
      </c>
      <c r="K36" s="55" t="s">
        <v>56</v>
      </c>
      <c r="L36" s="54" t="s">
        <v>59</v>
      </c>
      <c r="M36" s="54" t="s">
        <v>632</v>
      </c>
    </row>
    <row r="37" spans="1:13">
      <c r="A37" s="53">
        <v>37</v>
      </c>
      <c r="B37" s="53" t="s">
        <v>53</v>
      </c>
      <c r="C37" s="54" t="s">
        <v>30</v>
      </c>
      <c r="D37" s="53" t="s">
        <v>61</v>
      </c>
      <c r="E37" s="53" t="s">
        <v>16</v>
      </c>
      <c r="F37" s="55" t="s">
        <v>72</v>
      </c>
      <c r="G37" s="61">
        <v>903072</v>
      </c>
      <c r="H37" s="54" t="s">
        <v>148</v>
      </c>
      <c r="I37" s="55">
        <v>28011479</v>
      </c>
      <c r="J37" s="54" t="s">
        <v>866</v>
      </c>
      <c r="K37" s="55" t="s">
        <v>72</v>
      </c>
      <c r="L37" s="54" t="s">
        <v>59</v>
      </c>
      <c r="M37" s="54" t="s">
        <v>632</v>
      </c>
    </row>
    <row r="38" spans="1:13">
      <c r="A38" s="53">
        <v>39</v>
      </c>
      <c r="B38" s="53" t="s">
        <v>53</v>
      </c>
      <c r="C38" s="54" t="s">
        <v>30</v>
      </c>
      <c r="D38" s="53" t="s">
        <v>61</v>
      </c>
      <c r="E38" s="53" t="s">
        <v>16</v>
      </c>
      <c r="F38" s="55" t="s">
        <v>56</v>
      </c>
      <c r="G38" s="61">
        <v>903073</v>
      </c>
      <c r="H38" s="54" t="s">
        <v>111</v>
      </c>
      <c r="I38" s="55"/>
      <c r="J38" s="103"/>
      <c r="K38" s="55"/>
      <c r="L38" s="54"/>
      <c r="M38" s="54" t="s">
        <v>63</v>
      </c>
    </row>
    <row r="39" spans="1:13">
      <c r="A39" s="53">
        <v>40</v>
      </c>
      <c r="B39" s="53" t="s">
        <v>53</v>
      </c>
      <c r="C39" s="54" t="s">
        <v>30</v>
      </c>
      <c r="D39" s="53" t="s">
        <v>61</v>
      </c>
      <c r="E39" s="53" t="s">
        <v>16</v>
      </c>
      <c r="F39" s="55" t="s">
        <v>56</v>
      </c>
      <c r="G39" s="61">
        <v>903074</v>
      </c>
      <c r="H39" s="54" t="s">
        <v>111</v>
      </c>
      <c r="I39" s="55">
        <v>28011480</v>
      </c>
      <c r="J39" s="54" t="s">
        <v>867</v>
      </c>
      <c r="K39" s="55" t="s">
        <v>56</v>
      </c>
      <c r="L39" s="54" t="s">
        <v>59</v>
      </c>
      <c r="M39" s="54" t="s">
        <v>632</v>
      </c>
    </row>
    <row r="40" spans="1:13">
      <c r="A40" s="53">
        <v>37</v>
      </c>
      <c r="B40" s="53" t="s">
        <v>53</v>
      </c>
      <c r="C40" s="54" t="s">
        <v>30</v>
      </c>
      <c r="D40" s="53" t="s">
        <v>61</v>
      </c>
      <c r="E40" s="53" t="s">
        <v>16</v>
      </c>
      <c r="F40" s="55" t="s">
        <v>56</v>
      </c>
      <c r="G40" s="61">
        <v>903075</v>
      </c>
      <c r="H40" s="54" t="s">
        <v>111</v>
      </c>
      <c r="I40" s="55">
        <v>28011481</v>
      </c>
      <c r="J40" s="54" t="s">
        <v>868</v>
      </c>
      <c r="K40" s="55" t="s">
        <v>128</v>
      </c>
      <c r="L40" s="54" t="s">
        <v>59</v>
      </c>
      <c r="M40" s="54" t="s">
        <v>632</v>
      </c>
    </row>
    <row r="41" spans="1:13">
      <c r="A41" s="53">
        <v>42</v>
      </c>
      <c r="B41" s="53" t="s">
        <v>53</v>
      </c>
      <c r="C41" s="54" t="s">
        <v>64</v>
      </c>
      <c r="D41" s="53" t="s">
        <v>61</v>
      </c>
      <c r="E41" s="53" t="s">
        <v>16</v>
      </c>
      <c r="F41" s="55" t="s">
        <v>128</v>
      </c>
      <c r="G41" s="61">
        <v>903076</v>
      </c>
      <c r="H41" s="54" t="s">
        <v>151</v>
      </c>
      <c r="I41" s="55">
        <v>28011482</v>
      </c>
      <c r="J41" s="54" t="s">
        <v>869</v>
      </c>
      <c r="K41" s="55" t="s">
        <v>128</v>
      </c>
      <c r="L41" s="54" t="s">
        <v>59</v>
      </c>
      <c r="M41" s="54" t="s">
        <v>632</v>
      </c>
    </row>
    <row r="42" spans="1:13">
      <c r="A42" s="53">
        <v>43</v>
      </c>
      <c r="B42" s="53" t="s">
        <v>53</v>
      </c>
      <c r="C42" s="54" t="s">
        <v>64</v>
      </c>
      <c r="D42" s="53" t="s">
        <v>61</v>
      </c>
      <c r="E42" s="53" t="s">
        <v>16</v>
      </c>
      <c r="F42" s="55" t="s">
        <v>128</v>
      </c>
      <c r="G42" s="61">
        <v>903077</v>
      </c>
      <c r="H42" s="54" t="s">
        <v>153</v>
      </c>
      <c r="I42" s="55">
        <v>28011483</v>
      </c>
      <c r="J42" s="54" t="s">
        <v>870</v>
      </c>
      <c r="K42" s="55" t="s">
        <v>99</v>
      </c>
      <c r="L42" s="54" t="s">
        <v>59</v>
      </c>
      <c r="M42" s="54" t="s">
        <v>632</v>
      </c>
    </row>
    <row r="43" spans="1:13">
      <c r="A43" s="53">
        <v>40</v>
      </c>
      <c r="B43" s="53" t="s">
        <v>53</v>
      </c>
      <c r="C43" s="54" t="s">
        <v>36</v>
      </c>
      <c r="D43" s="53" t="s">
        <v>61</v>
      </c>
      <c r="E43" s="53" t="s">
        <v>16</v>
      </c>
      <c r="F43" s="55" t="s">
        <v>72</v>
      </c>
      <c r="G43" s="61">
        <v>903078</v>
      </c>
      <c r="H43" s="54" t="s">
        <v>67</v>
      </c>
      <c r="I43" s="55">
        <v>28011484</v>
      </c>
      <c r="J43" s="54" t="s">
        <v>871</v>
      </c>
      <c r="K43" s="55" t="s">
        <v>72</v>
      </c>
      <c r="L43" s="54" t="s">
        <v>59</v>
      </c>
      <c r="M43" s="54" t="s">
        <v>632</v>
      </c>
    </row>
    <row r="44" spans="1:13">
      <c r="A44" s="53">
        <v>45</v>
      </c>
      <c r="B44" s="53" t="s">
        <v>53</v>
      </c>
      <c r="C44" s="54" t="s">
        <v>36</v>
      </c>
      <c r="D44" s="53" t="s">
        <v>61</v>
      </c>
      <c r="E44" s="53" t="s">
        <v>16</v>
      </c>
      <c r="F44" s="55" t="s">
        <v>56</v>
      </c>
      <c r="G44" s="61">
        <v>903079</v>
      </c>
      <c r="H44" s="54" t="s">
        <v>157</v>
      </c>
      <c r="I44" s="55">
        <v>28011485</v>
      </c>
      <c r="J44" s="54" t="s">
        <v>872</v>
      </c>
      <c r="K44" s="55" t="s">
        <v>56</v>
      </c>
      <c r="L44" s="54" t="s">
        <v>59</v>
      </c>
      <c r="M44" s="54" t="s">
        <v>632</v>
      </c>
    </row>
    <row r="45" spans="1:13">
      <c r="A45" s="53">
        <v>45</v>
      </c>
      <c r="B45" s="53" t="s">
        <v>53</v>
      </c>
      <c r="C45" s="54" t="s">
        <v>36</v>
      </c>
      <c r="D45" s="53" t="s">
        <v>61</v>
      </c>
      <c r="E45" s="53" t="s">
        <v>16</v>
      </c>
      <c r="F45" s="55" t="s">
        <v>128</v>
      </c>
      <c r="G45" s="61">
        <v>903080</v>
      </c>
      <c r="H45" s="54" t="s">
        <v>160</v>
      </c>
      <c r="I45" s="55">
        <v>28011486</v>
      </c>
      <c r="J45" s="54" t="s">
        <v>873</v>
      </c>
      <c r="K45" s="55" t="s">
        <v>99</v>
      </c>
      <c r="L45" s="54" t="s">
        <v>59</v>
      </c>
      <c r="M45" s="54" t="s">
        <v>632</v>
      </c>
    </row>
    <row r="46" spans="1:13">
      <c r="A46" s="53">
        <v>46</v>
      </c>
      <c r="B46" s="53" t="s">
        <v>53</v>
      </c>
      <c r="C46" s="54" t="s">
        <v>36</v>
      </c>
      <c r="D46" s="53" t="s">
        <v>61</v>
      </c>
      <c r="E46" s="53" t="s">
        <v>16</v>
      </c>
      <c r="F46" s="55" t="s">
        <v>99</v>
      </c>
      <c r="G46" s="61">
        <v>903081</v>
      </c>
      <c r="H46" s="54" t="s">
        <v>120</v>
      </c>
      <c r="I46" s="55">
        <v>28011487</v>
      </c>
      <c r="J46" s="54" t="s">
        <v>874</v>
      </c>
      <c r="K46" s="55" t="s">
        <v>210</v>
      </c>
      <c r="L46" s="54" t="s">
        <v>59</v>
      </c>
      <c r="M46" s="54" t="s">
        <v>632</v>
      </c>
    </row>
    <row r="47" spans="1:13">
      <c r="A47" s="53">
        <v>44</v>
      </c>
      <c r="B47" s="53" t="s">
        <v>53</v>
      </c>
      <c r="C47" s="54" t="s">
        <v>54</v>
      </c>
      <c r="D47" s="53" t="s">
        <v>61</v>
      </c>
      <c r="E47" s="53" t="s">
        <v>16</v>
      </c>
      <c r="F47" s="55" t="s">
        <v>128</v>
      </c>
      <c r="G47" s="61">
        <v>903082</v>
      </c>
      <c r="H47" s="54" t="s">
        <v>100</v>
      </c>
      <c r="I47" s="55">
        <v>28011488</v>
      </c>
      <c r="J47" s="54" t="s">
        <v>875</v>
      </c>
      <c r="K47" s="55" t="s">
        <v>99</v>
      </c>
      <c r="L47" s="54" t="s">
        <v>59</v>
      </c>
      <c r="M47" s="54" t="s">
        <v>632</v>
      </c>
    </row>
    <row r="48" spans="1:13">
      <c r="A48" s="53">
        <v>48</v>
      </c>
      <c r="B48" s="53" t="s">
        <v>53</v>
      </c>
      <c r="C48" s="54" t="s">
        <v>54</v>
      </c>
      <c r="D48" s="53" t="s">
        <v>61</v>
      </c>
      <c r="E48" s="53" t="s">
        <v>16</v>
      </c>
      <c r="F48" s="55" t="s">
        <v>210</v>
      </c>
      <c r="G48" s="61">
        <v>903083</v>
      </c>
      <c r="H48" s="54" t="s">
        <v>162</v>
      </c>
      <c r="I48" s="55">
        <v>28011489</v>
      </c>
      <c r="J48" s="54" t="s">
        <v>876</v>
      </c>
      <c r="K48" s="55" t="s">
        <v>69</v>
      </c>
      <c r="L48" s="54" t="s">
        <v>59</v>
      </c>
      <c r="M48" s="54" t="s">
        <v>632</v>
      </c>
    </row>
    <row r="49" spans="1:13">
      <c r="A49" s="53">
        <v>46</v>
      </c>
      <c r="B49" s="53" t="s">
        <v>53</v>
      </c>
      <c r="C49" s="54" t="s">
        <v>54</v>
      </c>
      <c r="D49" s="53" t="s">
        <v>61</v>
      </c>
      <c r="E49" s="53" t="s">
        <v>16</v>
      </c>
      <c r="F49" s="55" t="s">
        <v>128</v>
      </c>
      <c r="G49" s="61">
        <v>903084</v>
      </c>
      <c r="H49" s="54" t="s">
        <v>100</v>
      </c>
      <c r="I49" s="55">
        <v>28011490</v>
      </c>
      <c r="J49" s="54" t="s">
        <v>877</v>
      </c>
      <c r="K49" s="55" t="s">
        <v>128</v>
      </c>
      <c r="L49" s="54" t="s">
        <v>59</v>
      </c>
      <c r="M49" s="54" t="s">
        <v>632</v>
      </c>
    </row>
    <row r="50" spans="1:13">
      <c r="A50" s="53">
        <v>51</v>
      </c>
      <c r="B50" s="53" t="s">
        <v>53</v>
      </c>
      <c r="C50" s="54" t="s">
        <v>29</v>
      </c>
      <c r="D50" s="53" t="s">
        <v>61</v>
      </c>
      <c r="E50" s="53" t="s">
        <v>16</v>
      </c>
      <c r="F50" s="55" t="s">
        <v>210</v>
      </c>
      <c r="G50" s="61">
        <v>903085</v>
      </c>
      <c r="H50" s="54" t="s">
        <v>165</v>
      </c>
      <c r="I50" s="55">
        <v>28011491</v>
      </c>
      <c r="J50" s="54" t="s">
        <v>878</v>
      </c>
      <c r="K50" s="55" t="s">
        <v>210</v>
      </c>
      <c r="L50" s="54" t="s">
        <v>59</v>
      </c>
      <c r="M50" s="54" t="s">
        <v>632</v>
      </c>
    </row>
    <row r="51" spans="1:13">
      <c r="A51" s="53">
        <v>50</v>
      </c>
      <c r="B51" s="53" t="s">
        <v>53</v>
      </c>
      <c r="C51" s="54" t="s">
        <v>36</v>
      </c>
      <c r="D51" s="53" t="s">
        <v>61</v>
      </c>
      <c r="E51" s="53" t="s">
        <v>16</v>
      </c>
      <c r="F51" s="55" t="s">
        <v>128</v>
      </c>
      <c r="G51" s="61">
        <v>903086</v>
      </c>
      <c r="H51" s="54" t="s">
        <v>160</v>
      </c>
      <c r="I51" s="55">
        <v>28011492</v>
      </c>
      <c r="J51" s="54" t="s">
        <v>879</v>
      </c>
      <c r="K51" s="55" t="s">
        <v>128</v>
      </c>
      <c r="L51" s="54" t="s">
        <v>59</v>
      </c>
      <c r="M51" s="54" t="s">
        <v>632</v>
      </c>
    </row>
    <row r="52" spans="1:13">
      <c r="A52" s="53">
        <v>52</v>
      </c>
      <c r="B52" s="53" t="s">
        <v>53</v>
      </c>
      <c r="C52" s="54" t="s">
        <v>36</v>
      </c>
      <c r="D52" s="53" t="s">
        <v>61</v>
      </c>
      <c r="E52" s="53" t="s">
        <v>16</v>
      </c>
      <c r="F52" s="55" t="s">
        <v>72</v>
      </c>
      <c r="G52" s="61">
        <v>903087</v>
      </c>
      <c r="H52" s="54" t="s">
        <v>166</v>
      </c>
      <c r="I52" s="55">
        <v>28011493</v>
      </c>
      <c r="J52" s="54" t="s">
        <v>880</v>
      </c>
      <c r="K52" s="55" t="s">
        <v>56</v>
      </c>
      <c r="L52" s="54" t="s">
        <v>59</v>
      </c>
      <c r="M52" s="54" t="s">
        <v>632</v>
      </c>
    </row>
    <row r="53" spans="1:13">
      <c r="A53" s="53">
        <v>54</v>
      </c>
      <c r="B53" s="53" t="s">
        <v>53</v>
      </c>
      <c r="C53" s="54" t="s">
        <v>54</v>
      </c>
      <c r="D53" s="53" t="s">
        <v>61</v>
      </c>
      <c r="E53" s="53" t="s">
        <v>16</v>
      </c>
      <c r="F53" s="55" t="s">
        <v>210</v>
      </c>
      <c r="G53" s="61">
        <v>903088</v>
      </c>
      <c r="H53" s="54" t="s">
        <v>168</v>
      </c>
      <c r="I53" s="55">
        <v>28011494</v>
      </c>
      <c r="J53" s="54" t="s">
        <v>881</v>
      </c>
      <c r="K53" s="55" t="s">
        <v>210</v>
      </c>
      <c r="L53" s="54" t="s">
        <v>59</v>
      </c>
      <c r="M53" s="54" t="s">
        <v>632</v>
      </c>
    </row>
    <row r="54" spans="1:13">
      <c r="A54" s="53">
        <v>52</v>
      </c>
      <c r="B54" s="53" t="s">
        <v>53</v>
      </c>
      <c r="C54" s="54" t="s">
        <v>32</v>
      </c>
      <c r="D54" s="53" t="s">
        <v>61</v>
      </c>
      <c r="E54" s="53" t="s">
        <v>16</v>
      </c>
      <c r="F54" s="55" t="s">
        <v>210</v>
      </c>
      <c r="G54" s="61">
        <v>903089</v>
      </c>
      <c r="H54" s="54" t="s">
        <v>170</v>
      </c>
      <c r="I54" s="55">
        <v>28011495</v>
      </c>
      <c r="J54" s="54" t="s">
        <v>882</v>
      </c>
      <c r="K54" s="55" t="s">
        <v>210</v>
      </c>
      <c r="L54" s="54" t="s">
        <v>59</v>
      </c>
      <c r="M54" s="54" t="s">
        <v>632</v>
      </c>
    </row>
    <row r="55" spans="1:13">
      <c r="A55" s="53">
        <v>55</v>
      </c>
      <c r="B55" s="53" t="s">
        <v>53</v>
      </c>
      <c r="C55" s="54" t="s">
        <v>64</v>
      </c>
      <c r="D55" s="53" t="s">
        <v>61</v>
      </c>
      <c r="E55" s="53" t="s">
        <v>16</v>
      </c>
      <c r="F55" s="55" t="s">
        <v>99</v>
      </c>
      <c r="G55" s="61">
        <v>903090</v>
      </c>
      <c r="H55" s="54" t="s">
        <v>126</v>
      </c>
      <c r="I55" s="55">
        <v>28011496</v>
      </c>
      <c r="J55" s="54" t="s">
        <v>883</v>
      </c>
      <c r="K55" s="55" t="s">
        <v>99</v>
      </c>
      <c r="L55" s="54" t="s">
        <v>59</v>
      </c>
      <c r="M55" s="54" t="s">
        <v>632</v>
      </c>
    </row>
    <row r="56" spans="1:13">
      <c r="A56" s="53">
        <v>57</v>
      </c>
      <c r="B56" s="53" t="s">
        <v>53</v>
      </c>
      <c r="C56" s="54" t="s">
        <v>30</v>
      </c>
      <c r="D56" s="53" t="s">
        <v>61</v>
      </c>
      <c r="E56" s="53" t="s">
        <v>16</v>
      </c>
      <c r="F56" s="55" t="s">
        <v>56</v>
      </c>
      <c r="G56" s="61">
        <v>903091</v>
      </c>
      <c r="H56" s="54" t="s">
        <v>172</v>
      </c>
      <c r="I56" s="55">
        <v>28011497</v>
      </c>
      <c r="J56" s="54" t="s">
        <v>884</v>
      </c>
      <c r="K56" s="55" t="s">
        <v>56</v>
      </c>
      <c r="L56" s="54" t="s">
        <v>59</v>
      </c>
      <c r="M56" s="54" t="s">
        <v>632</v>
      </c>
    </row>
    <row r="57" spans="1:13">
      <c r="A57" s="53">
        <v>57</v>
      </c>
      <c r="B57" s="53" t="s">
        <v>53</v>
      </c>
      <c r="C57" s="54" t="s">
        <v>30</v>
      </c>
      <c r="D57" s="53" t="s">
        <v>61</v>
      </c>
      <c r="E57" s="53" t="s">
        <v>16</v>
      </c>
      <c r="F57" s="55" t="s">
        <v>99</v>
      </c>
      <c r="G57" s="61">
        <v>903092</v>
      </c>
      <c r="H57" s="54" t="s">
        <v>174</v>
      </c>
      <c r="I57" s="55">
        <v>28011498</v>
      </c>
      <c r="J57" s="54" t="s">
        <v>885</v>
      </c>
      <c r="K57" s="55" t="s">
        <v>99</v>
      </c>
      <c r="L57" s="54" t="s">
        <v>59</v>
      </c>
      <c r="M57" s="54" t="s">
        <v>632</v>
      </c>
    </row>
    <row r="58" spans="1:13">
      <c r="A58" s="53">
        <v>55</v>
      </c>
      <c r="B58" s="53" t="s">
        <v>53</v>
      </c>
      <c r="C58" s="54" t="s">
        <v>33</v>
      </c>
      <c r="D58" s="53" t="s">
        <v>61</v>
      </c>
      <c r="E58" s="53" t="s">
        <v>16</v>
      </c>
      <c r="F58" s="55" t="s">
        <v>128</v>
      </c>
      <c r="G58" s="61">
        <v>903093</v>
      </c>
      <c r="H58" s="54" t="s">
        <v>176</v>
      </c>
      <c r="I58" s="55">
        <v>28011499</v>
      </c>
      <c r="J58" s="54" t="s">
        <v>886</v>
      </c>
      <c r="K58" s="55" t="s">
        <v>128</v>
      </c>
      <c r="L58" s="54" t="s">
        <v>59</v>
      </c>
      <c r="M58" s="54" t="s">
        <v>632</v>
      </c>
    </row>
    <row r="59" spans="1:13">
      <c r="A59" s="53">
        <v>56</v>
      </c>
      <c r="B59" s="53" t="s">
        <v>53</v>
      </c>
      <c r="C59" s="54" t="s">
        <v>29</v>
      </c>
      <c r="D59" s="53" t="s">
        <v>61</v>
      </c>
      <c r="E59" s="53" t="s">
        <v>16</v>
      </c>
      <c r="F59" s="55" t="s">
        <v>128</v>
      </c>
      <c r="G59" s="61">
        <v>903094</v>
      </c>
      <c r="H59" s="54" t="s">
        <v>178</v>
      </c>
      <c r="I59" s="55"/>
      <c r="J59" s="103"/>
      <c r="K59" s="55"/>
      <c r="L59" s="54"/>
      <c r="M59" s="54" t="s">
        <v>63</v>
      </c>
    </row>
    <row r="60" spans="1:13">
      <c r="A60" s="53">
        <v>59</v>
      </c>
      <c r="B60" s="53" t="s">
        <v>53</v>
      </c>
      <c r="C60" s="54" t="s">
        <v>36</v>
      </c>
      <c r="D60" s="53" t="s">
        <v>61</v>
      </c>
      <c r="E60" s="53" t="s">
        <v>16</v>
      </c>
      <c r="F60" s="55" t="s">
        <v>99</v>
      </c>
      <c r="G60" s="61">
        <v>903095</v>
      </c>
      <c r="H60" s="54" t="s">
        <v>179</v>
      </c>
      <c r="I60" s="55">
        <v>28011500</v>
      </c>
      <c r="J60" s="54" t="s">
        <v>887</v>
      </c>
      <c r="K60" s="55" t="s">
        <v>99</v>
      </c>
      <c r="L60" s="54" t="s">
        <v>59</v>
      </c>
      <c r="M60" s="54" t="s">
        <v>632</v>
      </c>
    </row>
    <row r="61" spans="1:13">
      <c r="A61" s="53">
        <v>61</v>
      </c>
      <c r="B61" s="53" t="s">
        <v>53</v>
      </c>
      <c r="C61" s="54" t="s">
        <v>29</v>
      </c>
      <c r="D61" s="53" t="s">
        <v>61</v>
      </c>
      <c r="E61" s="53" t="s">
        <v>16</v>
      </c>
      <c r="F61" s="55" t="s">
        <v>128</v>
      </c>
      <c r="G61" s="61">
        <v>903096</v>
      </c>
      <c r="H61" s="54" t="s">
        <v>165</v>
      </c>
      <c r="I61" s="55">
        <v>28011501</v>
      </c>
      <c r="J61" s="54" t="s">
        <v>888</v>
      </c>
      <c r="K61" s="55" t="s">
        <v>99</v>
      </c>
      <c r="L61" s="54" t="s">
        <v>59</v>
      </c>
      <c r="M61" s="54" t="s">
        <v>632</v>
      </c>
    </row>
    <row r="62" spans="1:13">
      <c r="A62" s="53">
        <v>63</v>
      </c>
      <c r="B62" s="53" t="s">
        <v>53</v>
      </c>
      <c r="C62" s="54" t="s">
        <v>54</v>
      </c>
      <c r="D62" s="53" t="s">
        <v>61</v>
      </c>
      <c r="E62" s="53" t="s">
        <v>16</v>
      </c>
      <c r="F62" s="55" t="s">
        <v>56</v>
      </c>
      <c r="G62" s="61">
        <v>903097</v>
      </c>
      <c r="H62" s="54" t="s">
        <v>100</v>
      </c>
      <c r="I62" s="55">
        <v>28011502</v>
      </c>
      <c r="J62" s="54" t="s">
        <v>889</v>
      </c>
      <c r="K62" s="55" t="s">
        <v>56</v>
      </c>
      <c r="L62" s="54" t="s">
        <v>59</v>
      </c>
      <c r="M62" s="54" t="s">
        <v>632</v>
      </c>
    </row>
    <row r="63" spans="1:13">
      <c r="A63" s="53">
        <v>61</v>
      </c>
      <c r="B63" s="53" t="s">
        <v>53</v>
      </c>
      <c r="C63" s="54" t="s">
        <v>32</v>
      </c>
      <c r="D63" s="53" t="s">
        <v>61</v>
      </c>
      <c r="E63" s="53" t="s">
        <v>16</v>
      </c>
      <c r="F63" s="55" t="s">
        <v>210</v>
      </c>
      <c r="G63" s="61">
        <v>903098</v>
      </c>
      <c r="H63" s="54" t="s">
        <v>170</v>
      </c>
      <c r="I63" s="55">
        <v>28011503</v>
      </c>
      <c r="J63" s="54" t="s">
        <v>890</v>
      </c>
      <c r="K63" s="55" t="s">
        <v>210</v>
      </c>
      <c r="L63" s="54" t="s">
        <v>59</v>
      </c>
      <c r="M63" s="54" t="s">
        <v>632</v>
      </c>
    </row>
    <row r="64" spans="1:13">
      <c r="A64" s="53">
        <v>64</v>
      </c>
      <c r="B64" s="53" t="s">
        <v>53</v>
      </c>
      <c r="C64" s="54" t="s">
        <v>32</v>
      </c>
      <c r="D64" s="53" t="s">
        <v>61</v>
      </c>
      <c r="E64" s="53" t="s">
        <v>16</v>
      </c>
      <c r="F64" s="55" t="s">
        <v>99</v>
      </c>
      <c r="G64" s="61">
        <v>903099</v>
      </c>
      <c r="H64" s="54" t="s">
        <v>170</v>
      </c>
      <c r="I64" s="55">
        <v>28011504</v>
      </c>
      <c r="J64" s="54" t="s">
        <v>891</v>
      </c>
      <c r="K64" s="55" t="s">
        <v>99</v>
      </c>
      <c r="L64" s="54" t="s">
        <v>59</v>
      </c>
      <c r="M64" s="54" t="s">
        <v>632</v>
      </c>
    </row>
    <row r="65" spans="1:13">
      <c r="A65" s="53">
        <v>66</v>
      </c>
      <c r="B65" s="53" t="s">
        <v>53</v>
      </c>
      <c r="C65" s="54" t="s">
        <v>54</v>
      </c>
      <c r="D65" s="53" t="s">
        <v>61</v>
      </c>
      <c r="E65" s="53" t="s">
        <v>16</v>
      </c>
      <c r="F65" s="55" t="s">
        <v>99</v>
      </c>
      <c r="G65" s="61">
        <v>903100</v>
      </c>
      <c r="H65" s="54" t="s">
        <v>181</v>
      </c>
      <c r="I65" s="55">
        <v>28011505</v>
      </c>
      <c r="J65" s="54" t="s">
        <v>892</v>
      </c>
      <c r="K65" s="55" t="s">
        <v>99</v>
      </c>
      <c r="L65" s="54" t="s">
        <v>59</v>
      </c>
      <c r="M65" s="54" t="s">
        <v>632</v>
      </c>
    </row>
    <row r="66" spans="1:13">
      <c r="A66" s="53">
        <v>64</v>
      </c>
      <c r="B66" s="53" t="s">
        <v>53</v>
      </c>
      <c r="C66" s="54" t="s">
        <v>64</v>
      </c>
      <c r="D66" s="53" t="s">
        <v>61</v>
      </c>
      <c r="E66" s="53" t="s">
        <v>16</v>
      </c>
      <c r="F66" s="55" t="s">
        <v>56</v>
      </c>
      <c r="G66" s="61">
        <v>903101</v>
      </c>
      <c r="H66" s="54" t="s">
        <v>183</v>
      </c>
      <c r="I66" s="55">
        <v>28011506</v>
      </c>
      <c r="J66" s="54" t="s">
        <v>893</v>
      </c>
      <c r="K66" s="55" t="s">
        <v>56</v>
      </c>
      <c r="L66" s="54" t="s">
        <v>59</v>
      </c>
      <c r="M66" s="54" t="s">
        <v>632</v>
      </c>
    </row>
    <row r="67" spans="1:13">
      <c r="A67" s="53">
        <v>64</v>
      </c>
      <c r="B67" s="53" t="s">
        <v>53</v>
      </c>
      <c r="C67" s="54" t="s">
        <v>32</v>
      </c>
      <c r="D67" s="53" t="s">
        <v>61</v>
      </c>
      <c r="E67" s="53" t="s">
        <v>16</v>
      </c>
      <c r="F67" s="55" t="s">
        <v>210</v>
      </c>
      <c r="G67" s="61">
        <v>903102</v>
      </c>
      <c r="H67" s="54" t="s">
        <v>137</v>
      </c>
      <c r="I67" s="55">
        <v>28011507</v>
      </c>
      <c r="J67" s="54" t="s">
        <v>894</v>
      </c>
      <c r="K67" s="55" t="s">
        <v>210</v>
      </c>
      <c r="L67" s="54" t="s">
        <v>59</v>
      </c>
      <c r="M67" s="54" t="s">
        <v>632</v>
      </c>
    </row>
    <row r="68" spans="1:13">
      <c r="A68" s="53">
        <v>65</v>
      </c>
      <c r="B68" s="53" t="s">
        <v>53</v>
      </c>
      <c r="C68" s="54" t="s">
        <v>32</v>
      </c>
      <c r="D68" s="53" t="s">
        <v>61</v>
      </c>
      <c r="E68" s="53" t="s">
        <v>16</v>
      </c>
      <c r="F68" s="55" t="s">
        <v>210</v>
      </c>
      <c r="G68" s="61">
        <v>903103</v>
      </c>
      <c r="H68" s="54" t="s">
        <v>137</v>
      </c>
      <c r="I68" s="55">
        <v>28011508</v>
      </c>
      <c r="J68" s="54" t="s">
        <v>895</v>
      </c>
      <c r="K68" s="55" t="s">
        <v>128</v>
      </c>
      <c r="L68" s="54" t="s">
        <v>59</v>
      </c>
      <c r="M68" s="54" t="s">
        <v>632</v>
      </c>
    </row>
    <row r="69" spans="1:13">
      <c r="A69" s="53">
        <v>66</v>
      </c>
      <c r="B69" s="53" t="s">
        <v>53</v>
      </c>
      <c r="C69" s="54" t="s">
        <v>64</v>
      </c>
      <c r="D69" s="53" t="s">
        <v>61</v>
      </c>
      <c r="E69" s="53" t="s">
        <v>16</v>
      </c>
      <c r="F69" s="55" t="s">
        <v>210</v>
      </c>
      <c r="G69" s="61">
        <v>903104</v>
      </c>
      <c r="H69" s="54" t="s">
        <v>186</v>
      </c>
      <c r="I69" s="55">
        <v>28011509</v>
      </c>
      <c r="J69" s="54" t="s">
        <v>896</v>
      </c>
      <c r="K69" s="55" t="s">
        <v>69</v>
      </c>
      <c r="L69" s="54" t="s">
        <v>59</v>
      </c>
      <c r="M69" s="54" t="s">
        <v>632</v>
      </c>
    </row>
    <row r="70" spans="1:13">
      <c r="A70" s="53">
        <v>67</v>
      </c>
      <c r="B70" s="53" t="s">
        <v>53</v>
      </c>
      <c r="C70" s="54" t="s">
        <v>54</v>
      </c>
      <c r="D70" s="53" t="s">
        <v>61</v>
      </c>
      <c r="E70" s="53" t="s">
        <v>16</v>
      </c>
      <c r="F70" s="55" t="s">
        <v>210</v>
      </c>
      <c r="G70" s="61">
        <v>903105</v>
      </c>
      <c r="H70" s="54" t="s">
        <v>188</v>
      </c>
      <c r="I70" s="55">
        <v>28011510</v>
      </c>
      <c r="J70" s="54" t="s">
        <v>897</v>
      </c>
      <c r="K70" s="55" t="s">
        <v>69</v>
      </c>
      <c r="L70" s="54" t="s">
        <v>59</v>
      </c>
      <c r="M70" s="54" t="s">
        <v>632</v>
      </c>
    </row>
    <row r="71" spans="1:13">
      <c r="A71" s="53">
        <v>72</v>
      </c>
      <c r="B71" s="53" t="s">
        <v>53</v>
      </c>
      <c r="C71" s="54" t="s">
        <v>29</v>
      </c>
      <c r="D71" s="53" t="s">
        <v>61</v>
      </c>
      <c r="E71" s="53" t="s">
        <v>16</v>
      </c>
      <c r="F71" s="55" t="s">
        <v>210</v>
      </c>
      <c r="G71" s="61">
        <v>903106</v>
      </c>
      <c r="H71" s="54" t="s">
        <v>165</v>
      </c>
      <c r="I71" s="55">
        <v>28011511</v>
      </c>
      <c r="J71" s="54" t="s">
        <v>898</v>
      </c>
      <c r="K71" s="55" t="s">
        <v>210</v>
      </c>
      <c r="L71" s="54" t="s">
        <v>59</v>
      </c>
      <c r="M71" s="54" t="s">
        <v>632</v>
      </c>
    </row>
    <row r="72" spans="1:13">
      <c r="A72" s="53">
        <v>71</v>
      </c>
      <c r="B72" s="53" t="s">
        <v>53</v>
      </c>
      <c r="C72" s="54" t="s">
        <v>29</v>
      </c>
      <c r="D72" s="53" t="s">
        <v>61</v>
      </c>
      <c r="E72" s="53" t="s">
        <v>16</v>
      </c>
      <c r="F72" s="55" t="s">
        <v>210</v>
      </c>
      <c r="G72" s="61">
        <v>903107</v>
      </c>
      <c r="H72" s="54" t="s">
        <v>165</v>
      </c>
      <c r="I72" s="55"/>
      <c r="J72" s="103"/>
      <c r="K72" s="55"/>
      <c r="L72" s="54"/>
      <c r="M72" s="54" t="s">
        <v>473</v>
      </c>
    </row>
    <row r="73" spans="1:13">
      <c r="A73" s="53">
        <v>73</v>
      </c>
      <c r="B73" s="53" t="s">
        <v>53</v>
      </c>
      <c r="C73" s="54" t="s">
        <v>29</v>
      </c>
      <c r="D73" s="53" t="s">
        <v>61</v>
      </c>
      <c r="E73" s="53" t="s">
        <v>16</v>
      </c>
      <c r="F73" s="55" t="s">
        <v>69</v>
      </c>
      <c r="G73" s="61">
        <v>903108</v>
      </c>
      <c r="H73" s="54" t="s">
        <v>190</v>
      </c>
      <c r="I73" s="55">
        <v>28011512</v>
      </c>
      <c r="J73" s="54" t="s">
        <v>899</v>
      </c>
      <c r="K73" s="55" t="s">
        <v>210</v>
      </c>
      <c r="L73" s="54" t="s">
        <v>59</v>
      </c>
      <c r="M73" s="54" t="s">
        <v>632</v>
      </c>
    </row>
    <row r="74" spans="1:13">
      <c r="A74" s="53">
        <v>75</v>
      </c>
      <c r="B74" s="53" t="s">
        <v>53</v>
      </c>
      <c r="C74" s="54" t="s">
        <v>29</v>
      </c>
      <c r="D74" s="53" t="s">
        <v>61</v>
      </c>
      <c r="E74" s="53" t="s">
        <v>16</v>
      </c>
      <c r="F74" s="55" t="s">
        <v>69</v>
      </c>
      <c r="G74" s="61">
        <v>903109</v>
      </c>
      <c r="H74" s="54" t="s">
        <v>193</v>
      </c>
      <c r="I74" s="55">
        <v>28011513</v>
      </c>
      <c r="J74" s="54" t="s">
        <v>900</v>
      </c>
      <c r="K74" s="55" t="s">
        <v>210</v>
      </c>
      <c r="L74" s="54" t="s">
        <v>59</v>
      </c>
      <c r="M74" s="54" t="s">
        <v>632</v>
      </c>
    </row>
    <row r="75" spans="1:13">
      <c r="A75" s="53">
        <v>73</v>
      </c>
      <c r="B75" s="53" t="s">
        <v>53</v>
      </c>
      <c r="C75" s="54" t="s">
        <v>36</v>
      </c>
      <c r="D75" s="53" t="s">
        <v>61</v>
      </c>
      <c r="E75" s="53" t="s">
        <v>16</v>
      </c>
      <c r="F75" s="55" t="s">
        <v>210</v>
      </c>
      <c r="G75" s="61">
        <v>903110</v>
      </c>
      <c r="H75" s="54" t="s">
        <v>195</v>
      </c>
      <c r="I75" s="55">
        <v>28011514</v>
      </c>
      <c r="J75" s="54" t="s">
        <v>901</v>
      </c>
      <c r="K75" s="55" t="s">
        <v>210</v>
      </c>
      <c r="L75" s="54" t="s">
        <v>59</v>
      </c>
      <c r="M75" s="54" t="s">
        <v>632</v>
      </c>
    </row>
    <row r="76" spans="1:13">
      <c r="A76" s="53">
        <v>76</v>
      </c>
      <c r="B76" s="53" t="s">
        <v>53</v>
      </c>
      <c r="C76" s="54" t="s">
        <v>30</v>
      </c>
      <c r="D76" s="53" t="s">
        <v>61</v>
      </c>
      <c r="E76" s="53" t="s">
        <v>16</v>
      </c>
      <c r="F76" s="55" t="s">
        <v>128</v>
      </c>
      <c r="G76" s="61">
        <v>903111</v>
      </c>
      <c r="H76" s="54"/>
      <c r="I76" s="55"/>
      <c r="J76" s="103"/>
      <c r="K76" s="55"/>
      <c r="L76" s="54"/>
      <c r="M76" s="54" t="s">
        <v>920</v>
      </c>
    </row>
    <row r="77" spans="1:13">
      <c r="A77" s="53">
        <v>78</v>
      </c>
      <c r="B77" s="53" t="s">
        <v>53</v>
      </c>
      <c r="C77" s="54" t="s">
        <v>29</v>
      </c>
      <c r="D77" s="53" t="s">
        <v>61</v>
      </c>
      <c r="E77" s="53" t="s">
        <v>16</v>
      </c>
      <c r="F77" s="55" t="s">
        <v>210</v>
      </c>
      <c r="G77" s="61">
        <v>903112</v>
      </c>
      <c r="H77" s="54" t="s">
        <v>197</v>
      </c>
      <c r="I77" s="55">
        <v>28011515</v>
      </c>
      <c r="J77" s="54" t="s">
        <v>902</v>
      </c>
      <c r="K77" s="55" t="s">
        <v>210</v>
      </c>
      <c r="L77" s="54" t="s">
        <v>59</v>
      </c>
      <c r="M77" s="54" t="s">
        <v>632</v>
      </c>
    </row>
    <row r="78" spans="1:13">
      <c r="A78" s="53">
        <v>77</v>
      </c>
      <c r="B78" s="53" t="s">
        <v>53</v>
      </c>
      <c r="C78" s="54" t="s">
        <v>29</v>
      </c>
      <c r="D78" s="53" t="s">
        <v>61</v>
      </c>
      <c r="E78" s="53" t="s">
        <v>16</v>
      </c>
      <c r="F78" s="55" t="s">
        <v>99</v>
      </c>
      <c r="G78" s="61">
        <v>903113</v>
      </c>
      <c r="H78" s="54" t="s">
        <v>165</v>
      </c>
      <c r="I78" s="55">
        <v>28011516</v>
      </c>
      <c r="J78" s="54" t="s">
        <v>903</v>
      </c>
      <c r="K78" s="55" t="s">
        <v>99</v>
      </c>
      <c r="L78" s="54" t="s">
        <v>59</v>
      </c>
      <c r="M78" s="54" t="s">
        <v>632</v>
      </c>
    </row>
    <row r="79" spans="1:13">
      <c r="A79" s="53">
        <v>76</v>
      </c>
      <c r="B79" s="53" t="s">
        <v>53</v>
      </c>
      <c r="C79" s="54" t="s">
        <v>30</v>
      </c>
      <c r="D79" s="53" t="s">
        <v>61</v>
      </c>
      <c r="E79" s="53" t="s">
        <v>16</v>
      </c>
      <c r="F79" s="55" t="s">
        <v>72</v>
      </c>
      <c r="G79" s="61">
        <v>903114</v>
      </c>
      <c r="H79" s="54" t="s">
        <v>199</v>
      </c>
      <c r="I79" s="55">
        <v>28011517</v>
      </c>
      <c r="J79" s="54" t="s">
        <v>904</v>
      </c>
      <c r="K79" s="55" t="s">
        <v>72</v>
      </c>
      <c r="L79" s="54" t="s">
        <v>59</v>
      </c>
      <c r="M79" s="54" t="s">
        <v>632</v>
      </c>
    </row>
    <row r="80" spans="1:13">
      <c r="A80" s="53">
        <v>79</v>
      </c>
      <c r="B80" s="53" t="s">
        <v>53</v>
      </c>
      <c r="C80" s="54" t="s">
        <v>30</v>
      </c>
      <c r="D80" s="53" t="s">
        <v>61</v>
      </c>
      <c r="E80" s="53" t="s">
        <v>16</v>
      </c>
      <c r="F80" s="55" t="s">
        <v>99</v>
      </c>
      <c r="G80" s="61">
        <v>903115</v>
      </c>
      <c r="H80" s="54" t="s">
        <v>201</v>
      </c>
      <c r="I80" s="55">
        <v>28011518</v>
      </c>
      <c r="J80" s="54" t="s">
        <v>905</v>
      </c>
      <c r="K80" s="55" t="s">
        <v>210</v>
      </c>
      <c r="L80" s="54" t="s">
        <v>59</v>
      </c>
      <c r="M80" s="54" t="s">
        <v>632</v>
      </c>
    </row>
    <row r="81" spans="1:13">
      <c r="A81" s="53">
        <v>78</v>
      </c>
      <c r="B81" s="53" t="s">
        <v>53</v>
      </c>
      <c r="C81" s="54" t="s">
        <v>64</v>
      </c>
      <c r="D81" s="53" t="s">
        <v>61</v>
      </c>
      <c r="E81" s="53" t="s">
        <v>16</v>
      </c>
      <c r="F81" s="55" t="s">
        <v>66</v>
      </c>
      <c r="G81" s="61">
        <v>903116</v>
      </c>
      <c r="H81" s="54" t="s">
        <v>203</v>
      </c>
      <c r="I81" s="55">
        <v>28011519</v>
      </c>
      <c r="J81" s="54" t="s">
        <v>906</v>
      </c>
      <c r="K81" s="55" t="s">
        <v>66</v>
      </c>
      <c r="L81" s="54" t="s">
        <v>59</v>
      </c>
      <c r="M81" s="54" t="s">
        <v>632</v>
      </c>
    </row>
    <row r="82" spans="1:13">
      <c r="A82" s="53">
        <v>82</v>
      </c>
      <c r="B82" s="53" t="s">
        <v>53</v>
      </c>
      <c r="C82" s="54" t="s">
        <v>32</v>
      </c>
      <c r="D82" s="53" t="s">
        <v>61</v>
      </c>
      <c r="E82" s="53" t="s">
        <v>16</v>
      </c>
      <c r="F82" s="55" t="s">
        <v>128</v>
      </c>
      <c r="G82" s="61">
        <v>903117</v>
      </c>
      <c r="H82" s="54" t="s">
        <v>137</v>
      </c>
      <c r="I82" s="55">
        <v>28011520</v>
      </c>
      <c r="J82" s="54" t="s">
        <v>907</v>
      </c>
      <c r="K82" s="55" t="s">
        <v>99</v>
      </c>
      <c r="L82" s="54" t="s">
        <v>59</v>
      </c>
      <c r="M82" s="54" t="s">
        <v>632</v>
      </c>
    </row>
    <row r="83" spans="1:13">
      <c r="A83" s="53">
        <v>84</v>
      </c>
      <c r="B83" s="53" t="s">
        <v>53</v>
      </c>
      <c r="C83" s="54" t="s">
        <v>36</v>
      </c>
      <c r="D83" s="53" t="s">
        <v>61</v>
      </c>
      <c r="E83" s="53" t="s">
        <v>16</v>
      </c>
      <c r="F83" s="55" t="s">
        <v>210</v>
      </c>
      <c r="G83" s="61">
        <v>90003118</v>
      </c>
      <c r="H83" s="54" t="s">
        <v>211</v>
      </c>
      <c r="I83" s="55">
        <v>28011521</v>
      </c>
      <c r="J83" s="54" t="s">
        <v>908</v>
      </c>
      <c r="K83" s="55" t="s">
        <v>210</v>
      </c>
      <c r="L83" s="54" t="s">
        <v>59</v>
      </c>
      <c r="M83" s="54" t="s">
        <v>632</v>
      </c>
    </row>
    <row r="84" spans="1:13">
      <c r="A84" s="53">
        <v>82</v>
      </c>
      <c r="B84" s="53" t="s">
        <v>53</v>
      </c>
      <c r="C84" s="54" t="s">
        <v>30</v>
      </c>
      <c r="D84" s="53" t="s">
        <v>61</v>
      </c>
      <c r="E84" s="53" t="s">
        <v>16</v>
      </c>
      <c r="F84" s="55" t="s">
        <v>69</v>
      </c>
      <c r="G84" s="61">
        <v>90003119</v>
      </c>
      <c r="H84" s="54" t="s">
        <v>213</v>
      </c>
      <c r="I84" s="55">
        <v>28011522</v>
      </c>
      <c r="J84" s="54" t="s">
        <v>909</v>
      </c>
      <c r="K84" s="55" t="s">
        <v>69</v>
      </c>
      <c r="L84" s="54" t="s">
        <v>59</v>
      </c>
      <c r="M84" s="54" t="s">
        <v>632</v>
      </c>
    </row>
    <row r="85" spans="1:13">
      <c r="A85" s="53">
        <v>85</v>
      </c>
      <c r="B85" s="53" t="s">
        <v>53</v>
      </c>
      <c r="C85" s="54" t="s">
        <v>36</v>
      </c>
      <c r="D85" s="53" t="s">
        <v>61</v>
      </c>
      <c r="E85" s="53" t="s">
        <v>16</v>
      </c>
      <c r="F85" s="55" t="s">
        <v>99</v>
      </c>
      <c r="G85" s="61">
        <v>90003120</v>
      </c>
      <c r="H85" s="54" t="s">
        <v>215</v>
      </c>
      <c r="I85" s="55">
        <v>28011523</v>
      </c>
      <c r="J85" s="54" t="s">
        <v>910</v>
      </c>
      <c r="K85" s="55" t="s">
        <v>99</v>
      </c>
      <c r="L85" s="54" t="s">
        <v>59</v>
      </c>
      <c r="M85" s="54" t="s">
        <v>632</v>
      </c>
    </row>
    <row r="86" spans="1:13">
      <c r="A86" s="53">
        <v>87</v>
      </c>
      <c r="B86" s="53" t="s">
        <v>53</v>
      </c>
      <c r="C86" s="54" t="s">
        <v>36</v>
      </c>
      <c r="D86" s="53" t="s">
        <v>61</v>
      </c>
      <c r="E86" s="53" t="s">
        <v>16</v>
      </c>
      <c r="F86" s="55" t="s">
        <v>99</v>
      </c>
      <c r="G86" s="61">
        <v>90003121</v>
      </c>
      <c r="H86" s="54" t="s">
        <v>215</v>
      </c>
      <c r="I86" s="55">
        <v>28011524</v>
      </c>
      <c r="J86" s="54" t="s">
        <v>911</v>
      </c>
      <c r="K86" s="55" t="s">
        <v>210</v>
      </c>
      <c r="L86" s="54" t="s">
        <v>59</v>
      </c>
      <c r="M86" s="54" t="s">
        <v>632</v>
      </c>
    </row>
    <row r="87" spans="1:13">
      <c r="A87" s="53">
        <v>86</v>
      </c>
      <c r="B87" s="53" t="s">
        <v>53</v>
      </c>
      <c r="C87" s="54" t="s">
        <v>64</v>
      </c>
      <c r="D87" s="53" t="s">
        <v>61</v>
      </c>
      <c r="E87" s="53" t="s">
        <v>16</v>
      </c>
      <c r="F87" s="55" t="s">
        <v>99</v>
      </c>
      <c r="G87" s="61">
        <v>90003122</v>
      </c>
      <c r="H87" s="54" t="s">
        <v>126</v>
      </c>
      <c r="I87" s="55">
        <v>28011525</v>
      </c>
      <c r="J87" s="54" t="s">
        <v>912</v>
      </c>
      <c r="K87" s="55" t="s">
        <v>99</v>
      </c>
      <c r="L87" s="54" t="s">
        <v>59</v>
      </c>
      <c r="M87" s="54" t="s">
        <v>632</v>
      </c>
    </row>
    <row r="88" spans="1:13">
      <c r="A88" s="53">
        <v>85</v>
      </c>
      <c r="B88" s="53" t="s">
        <v>53</v>
      </c>
      <c r="C88" s="54" t="s">
        <v>36</v>
      </c>
      <c r="D88" s="53" t="s">
        <v>61</v>
      </c>
      <c r="E88" s="53" t="s">
        <v>16</v>
      </c>
      <c r="F88" s="55" t="s">
        <v>99</v>
      </c>
      <c r="G88" s="61">
        <v>90003123</v>
      </c>
      <c r="H88" s="54" t="s">
        <v>217</v>
      </c>
      <c r="I88" s="55">
        <v>28011526</v>
      </c>
      <c r="J88" s="54" t="s">
        <v>913</v>
      </c>
      <c r="K88" s="55" t="s">
        <v>99</v>
      </c>
      <c r="L88" s="54" t="s">
        <v>59</v>
      </c>
      <c r="M88" s="54" t="s">
        <v>632</v>
      </c>
    </row>
    <row r="89" spans="1:13">
      <c r="A89" s="53">
        <v>88</v>
      </c>
      <c r="B89" s="53" t="s">
        <v>53</v>
      </c>
      <c r="C89" s="54" t="s">
        <v>36</v>
      </c>
      <c r="D89" s="53" t="s">
        <v>61</v>
      </c>
      <c r="E89" s="53" t="s">
        <v>16</v>
      </c>
      <c r="F89" s="55" t="s">
        <v>66</v>
      </c>
      <c r="G89" s="61">
        <v>90003124</v>
      </c>
      <c r="H89" s="54" t="s">
        <v>220</v>
      </c>
      <c r="I89" s="55">
        <v>28011527</v>
      </c>
      <c r="J89" s="54" t="s">
        <v>914</v>
      </c>
      <c r="K89" s="55" t="s">
        <v>1023</v>
      </c>
      <c r="L89" s="54" t="s">
        <v>59</v>
      </c>
      <c r="M89" s="54" t="s">
        <v>632</v>
      </c>
    </row>
    <row r="90" spans="1:13">
      <c r="A90" s="53">
        <v>87</v>
      </c>
      <c r="B90" s="53" t="s">
        <v>53</v>
      </c>
      <c r="C90" s="54" t="s">
        <v>54</v>
      </c>
      <c r="D90" s="53" t="s">
        <v>61</v>
      </c>
      <c r="E90" s="53" t="s">
        <v>16</v>
      </c>
      <c r="F90" s="55" t="s">
        <v>210</v>
      </c>
      <c r="G90" s="61">
        <v>90003125</v>
      </c>
      <c r="H90" s="54" t="s">
        <v>126</v>
      </c>
      <c r="I90" s="55">
        <v>28011528</v>
      </c>
      <c r="J90" s="54" t="s">
        <v>915</v>
      </c>
      <c r="K90" s="55" t="s">
        <v>69</v>
      </c>
      <c r="L90" s="54" t="s">
        <v>59</v>
      </c>
      <c r="M90" s="54" t="s">
        <v>632</v>
      </c>
    </row>
    <row r="91" spans="1:13">
      <c r="A91" s="53">
        <v>91</v>
      </c>
      <c r="B91" s="53" t="s">
        <v>53</v>
      </c>
      <c r="C91" s="54" t="s">
        <v>34</v>
      </c>
      <c r="D91" s="53" t="s">
        <v>61</v>
      </c>
      <c r="E91" s="53" t="s">
        <v>16</v>
      </c>
      <c r="F91" s="55" t="s">
        <v>69</v>
      </c>
      <c r="G91" s="61">
        <v>90003126</v>
      </c>
      <c r="H91" s="54" t="s">
        <v>221</v>
      </c>
      <c r="I91" s="55">
        <v>28011529</v>
      </c>
      <c r="J91" s="54" t="s">
        <v>916</v>
      </c>
      <c r="K91" s="55" t="s">
        <v>66</v>
      </c>
      <c r="L91" s="54" t="s">
        <v>59</v>
      </c>
      <c r="M91" s="54" t="s">
        <v>632</v>
      </c>
    </row>
    <row r="92" spans="1:13">
      <c r="A92" s="53">
        <v>91</v>
      </c>
      <c r="B92" s="53" t="s">
        <v>53</v>
      </c>
      <c r="C92" s="54" t="s">
        <v>32</v>
      </c>
      <c r="D92" s="53" t="s">
        <v>61</v>
      </c>
      <c r="E92" s="53" t="s">
        <v>16</v>
      </c>
      <c r="F92" s="55" t="s">
        <v>210</v>
      </c>
      <c r="G92" s="61">
        <v>90003127</v>
      </c>
      <c r="H92" s="54" t="s">
        <v>135</v>
      </c>
      <c r="I92" s="55">
        <v>28011468</v>
      </c>
      <c r="J92" s="54" t="s">
        <v>855</v>
      </c>
      <c r="K92" s="55" t="s">
        <v>69</v>
      </c>
      <c r="L92" s="54" t="s">
        <v>59</v>
      </c>
      <c r="M92" s="54" t="s">
        <v>632</v>
      </c>
    </row>
    <row r="93" spans="1:13">
      <c r="A93" s="53">
        <v>91</v>
      </c>
      <c r="B93" s="53" t="s">
        <v>53</v>
      </c>
      <c r="C93" s="54" t="s">
        <v>54</v>
      </c>
      <c r="D93" s="53" t="s">
        <v>61</v>
      </c>
      <c r="E93" s="53" t="s">
        <v>16</v>
      </c>
      <c r="F93" s="55" t="s">
        <v>99</v>
      </c>
      <c r="G93" s="61">
        <v>90003128</v>
      </c>
      <c r="H93" s="54" t="s">
        <v>100</v>
      </c>
      <c r="I93" s="55">
        <v>28011530</v>
      </c>
      <c r="J93" s="54" t="s">
        <v>917</v>
      </c>
      <c r="K93" s="55" t="s">
        <v>210</v>
      </c>
      <c r="L93" s="54" t="s">
        <v>59</v>
      </c>
      <c r="M93" s="54" t="s">
        <v>632</v>
      </c>
    </row>
    <row r="94" spans="1:13">
      <c r="A94" s="53">
        <v>92</v>
      </c>
      <c r="B94" s="53" t="s">
        <v>53</v>
      </c>
      <c r="C94" s="54" t="s">
        <v>54</v>
      </c>
      <c r="D94" s="53" t="s">
        <v>61</v>
      </c>
      <c r="E94" s="53" t="s">
        <v>16</v>
      </c>
      <c r="F94" s="55" t="s">
        <v>99</v>
      </c>
      <c r="G94" s="61">
        <v>90003129</v>
      </c>
      <c r="H94" s="54" t="s">
        <v>100</v>
      </c>
      <c r="I94" s="55">
        <v>28011531</v>
      </c>
      <c r="J94" s="54" t="s">
        <v>921</v>
      </c>
      <c r="K94" s="55" t="s">
        <v>99</v>
      </c>
      <c r="L94" s="54" t="s">
        <v>59</v>
      </c>
      <c r="M94" s="54" t="s">
        <v>632</v>
      </c>
    </row>
    <row r="95" spans="1:13">
      <c r="A95" s="53">
        <v>93</v>
      </c>
      <c r="B95" s="53" t="s">
        <v>53</v>
      </c>
      <c r="C95" s="54" t="s">
        <v>54</v>
      </c>
      <c r="D95" s="53" t="s">
        <v>61</v>
      </c>
      <c r="E95" s="53" t="s">
        <v>16</v>
      </c>
      <c r="F95" s="55" t="s">
        <v>99</v>
      </c>
      <c r="G95" s="61">
        <v>90003130</v>
      </c>
      <c r="H95" s="54" t="s">
        <v>100</v>
      </c>
      <c r="I95" s="55">
        <v>28011532</v>
      </c>
      <c r="J95" s="54" t="s">
        <v>923</v>
      </c>
      <c r="K95" s="55" t="s">
        <v>99</v>
      </c>
      <c r="L95" s="54" t="s">
        <v>59</v>
      </c>
      <c r="M95" s="54" t="s">
        <v>632</v>
      </c>
    </row>
    <row r="96" spans="1:13">
      <c r="A96" s="53">
        <v>94</v>
      </c>
      <c r="B96" s="53" t="s">
        <v>53</v>
      </c>
      <c r="C96" s="54" t="s">
        <v>54</v>
      </c>
      <c r="D96" s="53" t="s">
        <v>61</v>
      </c>
      <c r="E96" s="53" t="s">
        <v>16</v>
      </c>
      <c r="F96" s="55" t="s">
        <v>99</v>
      </c>
      <c r="G96" s="61">
        <v>90003131</v>
      </c>
      <c r="H96" s="54" t="s">
        <v>100</v>
      </c>
      <c r="I96" s="55">
        <v>28011533</v>
      </c>
      <c r="J96" s="54" t="s">
        <v>924</v>
      </c>
      <c r="K96" s="55" t="s">
        <v>99</v>
      </c>
      <c r="L96" s="54" t="s">
        <v>59</v>
      </c>
      <c r="M96" s="54" t="s">
        <v>632</v>
      </c>
    </row>
    <row r="97" spans="1:13">
      <c r="A97" s="53">
        <v>97</v>
      </c>
      <c r="B97" s="53" t="s">
        <v>53</v>
      </c>
      <c r="C97" s="54" t="s">
        <v>36</v>
      </c>
      <c r="D97" s="53" t="s">
        <v>61</v>
      </c>
      <c r="E97" s="53" t="s">
        <v>16</v>
      </c>
      <c r="F97" s="55" t="s">
        <v>99</v>
      </c>
      <c r="G97" s="61">
        <v>90003132</v>
      </c>
      <c r="H97" s="54" t="s">
        <v>118</v>
      </c>
      <c r="I97" s="55">
        <v>28011534</v>
      </c>
      <c r="J97" s="54" t="s">
        <v>925</v>
      </c>
      <c r="K97" s="55" t="s">
        <v>99</v>
      </c>
      <c r="L97" s="54" t="s">
        <v>59</v>
      </c>
      <c r="M97" s="54" t="s">
        <v>632</v>
      </c>
    </row>
    <row r="98" spans="1:13">
      <c r="A98" s="53">
        <v>97</v>
      </c>
      <c r="B98" s="53" t="s">
        <v>53</v>
      </c>
      <c r="C98" s="54" t="s">
        <v>36</v>
      </c>
      <c r="D98" s="53" t="s">
        <v>61</v>
      </c>
      <c r="E98" s="53" t="s">
        <v>16</v>
      </c>
      <c r="F98" s="55" t="s">
        <v>128</v>
      </c>
      <c r="G98" s="61">
        <v>90003133</v>
      </c>
      <c r="H98" s="54" t="s">
        <v>215</v>
      </c>
      <c r="I98" s="55">
        <v>28011535</v>
      </c>
      <c r="J98" s="54" t="s">
        <v>926</v>
      </c>
      <c r="K98" s="55" t="s">
        <v>99</v>
      </c>
      <c r="L98" s="54" t="s">
        <v>59</v>
      </c>
      <c r="M98" s="54" t="s">
        <v>632</v>
      </c>
    </row>
    <row r="99" spans="1:13">
      <c r="A99" s="53">
        <v>98</v>
      </c>
      <c r="B99" s="53" t="s">
        <v>53</v>
      </c>
      <c r="C99" s="54" t="s">
        <v>54</v>
      </c>
      <c r="D99" s="53" t="s">
        <v>61</v>
      </c>
      <c r="E99" s="53" t="s">
        <v>16</v>
      </c>
      <c r="F99" s="55" t="s">
        <v>210</v>
      </c>
      <c r="G99" s="61">
        <v>90003134</v>
      </c>
      <c r="H99" s="54" t="s">
        <v>100</v>
      </c>
      <c r="I99" s="55"/>
      <c r="J99" s="103"/>
      <c r="K99" s="55"/>
      <c r="L99" s="54"/>
      <c r="M99" s="54" t="s">
        <v>63</v>
      </c>
    </row>
    <row r="100" spans="1:13">
      <c r="A100" s="53">
        <v>97</v>
      </c>
      <c r="B100" s="53" t="s">
        <v>53</v>
      </c>
      <c r="C100" s="54" t="s">
        <v>54</v>
      </c>
      <c r="D100" s="53" t="s">
        <v>61</v>
      </c>
      <c r="E100" s="53" t="s">
        <v>16</v>
      </c>
      <c r="F100" s="55" t="s">
        <v>210</v>
      </c>
      <c r="G100" s="61">
        <v>90003135</v>
      </c>
      <c r="H100" s="54" t="s">
        <v>224</v>
      </c>
      <c r="I100" s="55">
        <v>28011536</v>
      </c>
      <c r="J100" s="54" t="s">
        <v>927</v>
      </c>
      <c r="K100" s="55" t="s">
        <v>99</v>
      </c>
      <c r="L100" s="54" t="s">
        <v>59</v>
      </c>
      <c r="M100" s="54" t="s">
        <v>632</v>
      </c>
    </row>
    <row r="101" spans="1:13">
      <c r="A101" s="53">
        <v>100</v>
      </c>
      <c r="B101" s="53" t="s">
        <v>53</v>
      </c>
      <c r="C101" s="54" t="s">
        <v>36</v>
      </c>
      <c r="D101" s="53" t="s">
        <v>61</v>
      </c>
      <c r="E101" s="53" t="s">
        <v>16</v>
      </c>
      <c r="F101" s="55" t="s">
        <v>128</v>
      </c>
      <c r="G101" s="61">
        <v>90003136</v>
      </c>
      <c r="H101" s="54" t="s">
        <v>226</v>
      </c>
      <c r="I101" s="55">
        <v>28011537</v>
      </c>
      <c r="J101" s="54" t="s">
        <v>928</v>
      </c>
      <c r="K101" s="55" t="s">
        <v>128</v>
      </c>
      <c r="L101" s="54" t="s">
        <v>59</v>
      </c>
      <c r="M101" s="54" t="s">
        <v>632</v>
      </c>
    </row>
    <row r="102" spans="1:13">
      <c r="A102" s="53">
        <v>102</v>
      </c>
      <c r="B102" s="53" t="s">
        <v>53</v>
      </c>
      <c r="C102" s="54" t="s">
        <v>54</v>
      </c>
      <c r="D102" s="53" t="s">
        <v>61</v>
      </c>
      <c r="E102" s="53" t="s">
        <v>16</v>
      </c>
      <c r="F102" s="55" t="s">
        <v>128</v>
      </c>
      <c r="G102" s="61">
        <v>90003137</v>
      </c>
      <c r="H102" s="54" t="s">
        <v>228</v>
      </c>
      <c r="I102" s="55">
        <v>28011538</v>
      </c>
      <c r="J102" s="54" t="s">
        <v>929</v>
      </c>
      <c r="K102" s="55" t="s">
        <v>99</v>
      </c>
      <c r="L102" s="54" t="s">
        <v>59</v>
      </c>
      <c r="M102" s="54" t="s">
        <v>632</v>
      </c>
    </row>
    <row r="103" spans="1:13">
      <c r="A103" s="53">
        <v>103</v>
      </c>
      <c r="B103" s="53" t="s">
        <v>53</v>
      </c>
      <c r="C103" s="54" t="s">
        <v>54</v>
      </c>
      <c r="D103" s="53" t="s">
        <v>61</v>
      </c>
      <c r="E103" s="53" t="s">
        <v>16</v>
      </c>
      <c r="F103" s="55" t="s">
        <v>128</v>
      </c>
      <c r="G103" s="61">
        <v>90003138</v>
      </c>
      <c r="H103" s="54" t="s">
        <v>100</v>
      </c>
      <c r="I103" s="55">
        <v>28011539</v>
      </c>
      <c r="J103" s="54" t="s">
        <v>930</v>
      </c>
      <c r="K103" s="55" t="s">
        <v>99</v>
      </c>
      <c r="L103" s="54" t="s">
        <v>59</v>
      </c>
      <c r="M103" s="54" t="s">
        <v>632</v>
      </c>
    </row>
    <row r="104" spans="1:13">
      <c r="A104" s="53">
        <v>102</v>
      </c>
      <c r="B104" s="53" t="s">
        <v>53</v>
      </c>
      <c r="C104" s="54" t="s">
        <v>29</v>
      </c>
      <c r="D104" s="53" t="s">
        <v>61</v>
      </c>
      <c r="E104" s="53" t="s">
        <v>16</v>
      </c>
      <c r="F104" s="55" t="s">
        <v>128</v>
      </c>
      <c r="G104" s="61">
        <v>90003139</v>
      </c>
      <c r="H104" s="54" t="s">
        <v>165</v>
      </c>
      <c r="I104" s="55">
        <v>28011540</v>
      </c>
      <c r="J104" s="54" t="s">
        <v>931</v>
      </c>
      <c r="K104" s="55" t="s">
        <v>99</v>
      </c>
      <c r="L104" s="54" t="s">
        <v>59</v>
      </c>
      <c r="M104" s="54" t="s">
        <v>632</v>
      </c>
    </row>
    <row r="105" spans="1:13">
      <c r="A105" s="53">
        <v>103</v>
      </c>
      <c r="B105" s="53" t="s">
        <v>53</v>
      </c>
      <c r="C105" s="54" t="s">
        <v>54</v>
      </c>
      <c r="D105" s="53" t="s">
        <v>61</v>
      </c>
      <c r="E105" s="53" t="s">
        <v>16</v>
      </c>
      <c r="F105" s="55" t="s">
        <v>56</v>
      </c>
      <c r="G105" s="61">
        <v>90003140</v>
      </c>
      <c r="H105" s="54" t="s">
        <v>100</v>
      </c>
      <c r="I105" s="55">
        <v>28011541</v>
      </c>
      <c r="J105" s="54" t="s">
        <v>932</v>
      </c>
      <c r="K105" s="55" t="s">
        <v>128</v>
      </c>
      <c r="L105" s="54" t="s">
        <v>59</v>
      </c>
      <c r="M105" s="54" t="s">
        <v>632</v>
      </c>
    </row>
    <row r="106" spans="1:13">
      <c r="A106" s="53">
        <v>106</v>
      </c>
      <c r="B106" s="53" t="s">
        <v>53</v>
      </c>
      <c r="C106" s="54" t="s">
        <v>36</v>
      </c>
      <c r="D106" s="53" t="s">
        <v>61</v>
      </c>
      <c r="E106" s="53" t="s">
        <v>16</v>
      </c>
      <c r="F106" s="55" t="s">
        <v>99</v>
      </c>
      <c r="G106" s="61">
        <v>90003141</v>
      </c>
      <c r="H106" s="54" t="s">
        <v>230</v>
      </c>
      <c r="I106" s="55">
        <v>28011542</v>
      </c>
      <c r="J106" s="54" t="s">
        <v>933</v>
      </c>
      <c r="K106" s="55" t="s">
        <v>210</v>
      </c>
      <c r="L106" s="54" t="s">
        <v>59</v>
      </c>
      <c r="M106" s="54" t="s">
        <v>632</v>
      </c>
    </row>
    <row r="107" spans="1:13">
      <c r="A107" s="53">
        <v>108</v>
      </c>
      <c r="B107" s="53" t="s">
        <v>53</v>
      </c>
      <c r="C107" s="54" t="s">
        <v>32</v>
      </c>
      <c r="D107" s="53" t="s">
        <v>61</v>
      </c>
      <c r="E107" s="53" t="s">
        <v>16</v>
      </c>
      <c r="F107" s="55" t="s">
        <v>210</v>
      </c>
      <c r="G107" s="61">
        <v>90003142</v>
      </c>
      <c r="H107" s="54" t="s">
        <v>232</v>
      </c>
      <c r="I107" s="55">
        <v>28011543</v>
      </c>
      <c r="J107" s="54" t="s">
        <v>934</v>
      </c>
      <c r="K107" s="55" t="s">
        <v>69</v>
      </c>
      <c r="L107" s="54" t="s">
        <v>59</v>
      </c>
      <c r="M107" s="54" t="s">
        <v>632</v>
      </c>
    </row>
    <row r="108" spans="1:13">
      <c r="A108" s="53">
        <v>107</v>
      </c>
      <c r="B108" s="53" t="s">
        <v>53</v>
      </c>
      <c r="C108" s="54" t="s">
        <v>54</v>
      </c>
      <c r="D108" s="53" t="s">
        <v>61</v>
      </c>
      <c r="E108" s="53" t="s">
        <v>16</v>
      </c>
      <c r="F108" s="55" t="s">
        <v>128</v>
      </c>
      <c r="G108" s="61">
        <v>90003143</v>
      </c>
      <c r="H108" s="54" t="s">
        <v>100</v>
      </c>
      <c r="I108" s="55">
        <v>28011544</v>
      </c>
      <c r="J108" s="54" t="s">
        <v>935</v>
      </c>
      <c r="K108" s="55" t="s">
        <v>99</v>
      </c>
      <c r="L108" s="54" t="s">
        <v>59</v>
      </c>
      <c r="M108" s="54" t="s">
        <v>632</v>
      </c>
    </row>
    <row r="109" spans="1:13">
      <c r="A109" s="53">
        <v>106</v>
      </c>
      <c r="B109" s="53" t="s">
        <v>53</v>
      </c>
      <c r="C109" s="54" t="s">
        <v>64</v>
      </c>
      <c r="D109" s="53" t="s">
        <v>61</v>
      </c>
      <c r="E109" s="53" t="s">
        <v>16</v>
      </c>
      <c r="F109" s="55" t="s">
        <v>99</v>
      </c>
      <c r="G109" s="61">
        <v>90003144</v>
      </c>
      <c r="H109" s="54" t="s">
        <v>118</v>
      </c>
      <c r="I109" s="55"/>
      <c r="J109" s="103"/>
      <c r="K109" s="55"/>
      <c r="L109" s="54"/>
      <c r="M109" s="54" t="s">
        <v>63</v>
      </c>
    </row>
    <row r="110" spans="1:13">
      <c r="A110" s="53">
        <v>109</v>
      </c>
      <c r="B110" s="53" t="s">
        <v>53</v>
      </c>
      <c r="C110" s="54" t="s">
        <v>54</v>
      </c>
      <c r="D110" s="53" t="s">
        <v>61</v>
      </c>
      <c r="E110" s="53" t="s">
        <v>16</v>
      </c>
      <c r="F110" s="55" t="s">
        <v>99</v>
      </c>
      <c r="G110" s="61">
        <v>90003145</v>
      </c>
      <c r="H110" s="54" t="s">
        <v>100</v>
      </c>
      <c r="I110" s="55">
        <v>28011545</v>
      </c>
      <c r="J110" s="54" t="s">
        <v>936</v>
      </c>
      <c r="K110" s="55" t="s">
        <v>210</v>
      </c>
      <c r="L110" s="54" t="s">
        <v>59</v>
      </c>
      <c r="M110" s="54" t="s">
        <v>632</v>
      </c>
    </row>
    <row r="111" spans="1:13">
      <c r="A111" s="53">
        <v>109</v>
      </c>
      <c r="B111" s="53" t="s">
        <v>53</v>
      </c>
      <c r="C111" s="54" t="s">
        <v>36</v>
      </c>
      <c r="D111" s="53" t="s">
        <v>61</v>
      </c>
      <c r="E111" s="53" t="s">
        <v>16</v>
      </c>
      <c r="F111" s="55" t="s">
        <v>99</v>
      </c>
      <c r="G111" s="61">
        <v>90003146</v>
      </c>
      <c r="H111" s="54" t="s">
        <v>234</v>
      </c>
      <c r="I111" s="55">
        <v>28011546</v>
      </c>
      <c r="J111" s="54" t="s">
        <v>937</v>
      </c>
      <c r="K111" s="55" t="s">
        <v>99</v>
      </c>
      <c r="L111" s="54" t="s">
        <v>59</v>
      </c>
      <c r="M111" s="54" t="s">
        <v>632</v>
      </c>
    </row>
    <row r="112" spans="1:13">
      <c r="A112" s="53">
        <v>112</v>
      </c>
      <c r="B112" s="53" t="s">
        <v>53</v>
      </c>
      <c r="C112" s="54" t="s">
        <v>34</v>
      </c>
      <c r="D112" s="53" t="s">
        <v>61</v>
      </c>
      <c r="E112" s="53" t="s">
        <v>16</v>
      </c>
      <c r="F112" s="55" t="s">
        <v>66</v>
      </c>
      <c r="G112" s="61">
        <v>90003147</v>
      </c>
      <c r="H112" s="54" t="s">
        <v>236</v>
      </c>
      <c r="I112" s="55">
        <v>28011547</v>
      </c>
      <c r="J112" s="54" t="s">
        <v>938</v>
      </c>
      <c r="K112" s="55" t="s">
        <v>210</v>
      </c>
      <c r="L112" s="54" t="s">
        <v>59</v>
      </c>
      <c r="M112" s="54" t="s">
        <v>632</v>
      </c>
    </row>
    <row r="113" spans="1:13">
      <c r="A113" s="53">
        <v>111</v>
      </c>
      <c r="B113" s="53" t="s">
        <v>53</v>
      </c>
      <c r="C113" s="54" t="s">
        <v>54</v>
      </c>
      <c r="D113" s="53" t="s">
        <v>61</v>
      </c>
      <c r="E113" s="53" t="s">
        <v>16</v>
      </c>
      <c r="F113" s="55" t="s">
        <v>99</v>
      </c>
      <c r="G113" s="61">
        <v>90003148</v>
      </c>
      <c r="H113" s="54" t="s">
        <v>100</v>
      </c>
      <c r="I113" s="55">
        <v>28011548</v>
      </c>
      <c r="J113" s="54" t="s">
        <v>939</v>
      </c>
      <c r="K113" s="55" t="s">
        <v>99</v>
      </c>
      <c r="L113" s="54" t="s">
        <v>59</v>
      </c>
      <c r="M113" s="54" t="s">
        <v>632</v>
      </c>
    </row>
    <row r="114" spans="1:13">
      <c r="A114" s="53">
        <v>112</v>
      </c>
      <c r="B114" s="53" t="s">
        <v>53</v>
      </c>
      <c r="C114" s="54" t="s">
        <v>64</v>
      </c>
      <c r="D114" s="53" t="s">
        <v>61</v>
      </c>
      <c r="E114" s="53" t="s">
        <v>16</v>
      </c>
      <c r="F114" s="55" t="s">
        <v>210</v>
      </c>
      <c r="G114" s="61">
        <v>90003149</v>
      </c>
      <c r="H114" s="54" t="s">
        <v>239</v>
      </c>
      <c r="I114" s="55">
        <v>28011549</v>
      </c>
      <c r="J114" s="54" t="s">
        <v>940</v>
      </c>
      <c r="K114" s="55" t="s">
        <v>210</v>
      </c>
      <c r="L114" s="54" t="s">
        <v>59</v>
      </c>
      <c r="M114" s="54" t="s">
        <v>632</v>
      </c>
    </row>
    <row r="115" spans="1:13">
      <c r="A115" s="53">
        <v>113</v>
      </c>
      <c r="B115" s="53" t="s">
        <v>53</v>
      </c>
      <c r="C115" s="54" t="s">
        <v>54</v>
      </c>
      <c r="D115" s="53" t="s">
        <v>61</v>
      </c>
      <c r="E115" s="53" t="s">
        <v>16</v>
      </c>
      <c r="F115" s="55" t="s">
        <v>99</v>
      </c>
      <c r="G115" s="61">
        <v>90003150</v>
      </c>
      <c r="H115" s="54" t="s">
        <v>100</v>
      </c>
      <c r="I115" s="55">
        <v>28011550</v>
      </c>
      <c r="J115" s="54" t="s">
        <v>941</v>
      </c>
      <c r="K115" s="55" t="s">
        <v>210</v>
      </c>
      <c r="L115" s="54" t="s">
        <v>59</v>
      </c>
      <c r="M115" s="54" t="s">
        <v>632</v>
      </c>
    </row>
    <row r="116" spans="1:13">
      <c r="A116" s="53">
        <v>114</v>
      </c>
      <c r="B116" s="53" t="s">
        <v>53</v>
      </c>
      <c r="C116" s="54" t="s">
        <v>54</v>
      </c>
      <c r="D116" s="53" t="s">
        <v>61</v>
      </c>
      <c r="E116" s="53" t="s">
        <v>16</v>
      </c>
      <c r="F116" s="55" t="s">
        <v>128</v>
      </c>
      <c r="G116" s="61">
        <v>90003151</v>
      </c>
      <c r="H116" s="54" t="s">
        <v>241</v>
      </c>
      <c r="I116" s="55">
        <v>28011551</v>
      </c>
      <c r="J116" s="54" t="s">
        <v>942</v>
      </c>
      <c r="K116" s="55" t="s">
        <v>128</v>
      </c>
      <c r="L116" s="54" t="s">
        <v>59</v>
      </c>
      <c r="M116" s="54" t="s">
        <v>632</v>
      </c>
    </row>
    <row r="117" spans="1:13">
      <c r="A117" s="53">
        <v>116</v>
      </c>
      <c r="B117" s="53" t="s">
        <v>53</v>
      </c>
      <c r="C117" s="54" t="s">
        <v>64</v>
      </c>
      <c r="D117" s="53" t="s">
        <v>61</v>
      </c>
      <c r="E117" s="53" t="s">
        <v>16</v>
      </c>
      <c r="F117" s="55" t="s">
        <v>99</v>
      </c>
      <c r="G117" s="61">
        <v>90003152</v>
      </c>
      <c r="H117" s="54" t="s">
        <v>243</v>
      </c>
      <c r="I117" s="55">
        <v>28011552</v>
      </c>
      <c r="J117" s="54" t="s">
        <v>943</v>
      </c>
      <c r="K117" s="55" t="s">
        <v>99</v>
      </c>
      <c r="L117" s="54" t="s">
        <v>59</v>
      </c>
      <c r="M117" s="54" t="s">
        <v>632</v>
      </c>
    </row>
    <row r="118" spans="1:13">
      <c r="A118" s="53">
        <v>118</v>
      </c>
      <c r="B118" s="53" t="s">
        <v>53</v>
      </c>
      <c r="C118" s="54" t="s">
        <v>36</v>
      </c>
      <c r="D118" s="53" t="s">
        <v>61</v>
      </c>
      <c r="E118" s="53" t="s">
        <v>16</v>
      </c>
      <c r="F118" s="55" t="s">
        <v>210</v>
      </c>
      <c r="G118" s="61">
        <v>90003153</v>
      </c>
      <c r="H118" s="54" t="s">
        <v>120</v>
      </c>
      <c r="I118" s="55">
        <v>28011553</v>
      </c>
      <c r="J118" s="54" t="s">
        <v>945</v>
      </c>
      <c r="K118" s="55" t="s">
        <v>69</v>
      </c>
      <c r="L118" s="54" t="s">
        <v>59</v>
      </c>
      <c r="M118" s="54" t="s">
        <v>632</v>
      </c>
    </row>
    <row r="119" spans="1:13">
      <c r="A119" s="53">
        <v>118</v>
      </c>
      <c r="B119" s="53" t="s">
        <v>53</v>
      </c>
      <c r="C119" s="54" t="s">
        <v>36</v>
      </c>
      <c r="D119" s="53" t="s">
        <v>61</v>
      </c>
      <c r="E119" s="53" t="s">
        <v>16</v>
      </c>
      <c r="F119" s="55" t="s">
        <v>99</v>
      </c>
      <c r="G119" s="61">
        <v>90003154</v>
      </c>
      <c r="H119" s="54" t="s">
        <v>120</v>
      </c>
      <c r="I119" s="55">
        <v>28011554</v>
      </c>
      <c r="J119" s="54" t="s">
        <v>946</v>
      </c>
      <c r="K119" s="55" t="s">
        <v>210</v>
      </c>
      <c r="L119" s="54" t="s">
        <v>59</v>
      </c>
      <c r="M119" s="54" t="s">
        <v>632</v>
      </c>
    </row>
    <row r="120" spans="1:13">
      <c r="A120" s="53">
        <v>117</v>
      </c>
      <c r="B120" s="53" t="s">
        <v>53</v>
      </c>
      <c r="C120" s="54" t="s">
        <v>29</v>
      </c>
      <c r="D120" s="53" t="s">
        <v>61</v>
      </c>
      <c r="E120" s="53" t="s">
        <v>16</v>
      </c>
      <c r="F120" s="55" t="s">
        <v>69</v>
      </c>
      <c r="G120" s="61">
        <v>90003155</v>
      </c>
      <c r="H120" s="54" t="s">
        <v>245</v>
      </c>
      <c r="I120" s="55">
        <v>28011555</v>
      </c>
      <c r="J120" s="54" t="s">
        <v>947</v>
      </c>
      <c r="K120" s="55" t="s">
        <v>69</v>
      </c>
      <c r="L120" s="54" t="s">
        <v>59</v>
      </c>
      <c r="M120" s="54" t="s">
        <v>632</v>
      </c>
    </row>
    <row r="121" spans="1:13">
      <c r="A121" s="53">
        <v>120</v>
      </c>
      <c r="B121" s="53" t="s">
        <v>53</v>
      </c>
      <c r="C121" s="54" t="s">
        <v>54</v>
      </c>
      <c r="D121" s="53" t="s">
        <v>61</v>
      </c>
      <c r="E121" s="53" t="s">
        <v>16</v>
      </c>
      <c r="F121" s="55" t="s">
        <v>66</v>
      </c>
      <c r="G121" s="61">
        <v>90003156</v>
      </c>
      <c r="H121" s="54" t="s">
        <v>247</v>
      </c>
      <c r="I121" s="55">
        <v>28011556</v>
      </c>
      <c r="J121" s="54" t="s">
        <v>948</v>
      </c>
      <c r="K121" s="55" t="s">
        <v>495</v>
      </c>
      <c r="L121" s="54" t="s">
        <v>59</v>
      </c>
      <c r="M121" s="54" t="s">
        <v>632</v>
      </c>
    </row>
    <row r="122" spans="1:13">
      <c r="A122" s="53">
        <v>121</v>
      </c>
      <c r="B122" s="53" t="s">
        <v>53</v>
      </c>
      <c r="C122" s="54" t="s">
        <v>36</v>
      </c>
      <c r="D122" s="53" t="s">
        <v>61</v>
      </c>
      <c r="E122" s="53" t="s">
        <v>16</v>
      </c>
      <c r="F122" s="55" t="s">
        <v>99</v>
      </c>
      <c r="G122" s="61">
        <v>90003157</v>
      </c>
      <c r="H122" s="54" t="s">
        <v>118</v>
      </c>
      <c r="I122" s="55">
        <v>28011557</v>
      </c>
      <c r="J122" s="54" t="s">
        <v>496</v>
      </c>
      <c r="K122" s="55" t="s">
        <v>99</v>
      </c>
      <c r="L122" s="54" t="s">
        <v>59</v>
      </c>
      <c r="M122" s="54" t="s">
        <v>632</v>
      </c>
    </row>
    <row r="123" spans="1:13">
      <c r="A123" s="53">
        <v>121</v>
      </c>
      <c r="B123" s="53" t="s">
        <v>53</v>
      </c>
      <c r="C123" s="54" t="s">
        <v>64</v>
      </c>
      <c r="D123" s="53" t="s">
        <v>61</v>
      </c>
      <c r="E123" s="53" t="s">
        <v>16</v>
      </c>
      <c r="F123" s="55" t="s">
        <v>69</v>
      </c>
      <c r="G123" s="61">
        <v>90003158</v>
      </c>
      <c r="H123" s="54" t="s">
        <v>245</v>
      </c>
      <c r="I123" s="55">
        <v>28011558</v>
      </c>
      <c r="J123" s="54" t="s">
        <v>949</v>
      </c>
      <c r="K123" s="55" t="s">
        <v>69</v>
      </c>
      <c r="L123" s="54" t="s">
        <v>59</v>
      </c>
      <c r="M123" s="54" t="s">
        <v>632</v>
      </c>
    </row>
    <row r="124" spans="1:13">
      <c r="A124" s="53">
        <v>122</v>
      </c>
      <c r="B124" s="53" t="s">
        <v>53</v>
      </c>
      <c r="C124" s="54" t="s">
        <v>36</v>
      </c>
      <c r="D124" s="53" t="s">
        <v>61</v>
      </c>
      <c r="E124" s="53" t="s">
        <v>16</v>
      </c>
      <c r="F124" s="55" t="s">
        <v>210</v>
      </c>
      <c r="G124" s="61">
        <v>90003159</v>
      </c>
      <c r="H124" s="54" t="s">
        <v>249</v>
      </c>
      <c r="I124" s="55">
        <v>28011559</v>
      </c>
      <c r="J124" s="54" t="s">
        <v>950</v>
      </c>
      <c r="K124" s="55" t="s">
        <v>69</v>
      </c>
      <c r="L124" s="54" t="s">
        <v>59</v>
      </c>
      <c r="M124" s="54" t="s">
        <v>632</v>
      </c>
    </row>
    <row r="125" spans="1:13">
      <c r="A125" s="53">
        <v>123</v>
      </c>
      <c r="B125" s="53" t="s">
        <v>53</v>
      </c>
      <c r="C125" s="54" t="s">
        <v>35</v>
      </c>
      <c r="D125" s="53" t="s">
        <v>61</v>
      </c>
      <c r="E125" s="53" t="s">
        <v>16</v>
      </c>
      <c r="F125" s="55" t="s">
        <v>66</v>
      </c>
      <c r="G125" s="61">
        <v>90003160</v>
      </c>
      <c r="H125" s="54" t="s">
        <v>251</v>
      </c>
      <c r="I125" s="55">
        <v>28011560</v>
      </c>
      <c r="J125" s="54" t="s">
        <v>951</v>
      </c>
      <c r="K125" s="55" t="s">
        <v>66</v>
      </c>
      <c r="L125" s="54" t="s">
        <v>59</v>
      </c>
      <c r="M125" s="54" t="s">
        <v>632</v>
      </c>
    </row>
    <row r="126" spans="1:13">
      <c r="A126" s="53">
        <v>126</v>
      </c>
      <c r="B126" s="53" t="s">
        <v>53</v>
      </c>
      <c r="C126" s="54" t="s">
        <v>36</v>
      </c>
      <c r="D126" s="53" t="s">
        <v>61</v>
      </c>
      <c r="E126" s="53" t="s">
        <v>16</v>
      </c>
      <c r="F126" s="55" t="s">
        <v>69</v>
      </c>
      <c r="G126" s="61">
        <v>90003161</v>
      </c>
      <c r="H126" s="54" t="s">
        <v>253</v>
      </c>
      <c r="I126" s="55">
        <v>28011561</v>
      </c>
      <c r="J126" s="54" t="s">
        <v>952</v>
      </c>
      <c r="K126" s="55" t="s">
        <v>69</v>
      </c>
      <c r="L126" s="54" t="s">
        <v>59</v>
      </c>
      <c r="M126" s="54" t="s">
        <v>632</v>
      </c>
    </row>
    <row r="127" spans="1:13">
      <c r="A127" s="53">
        <v>124</v>
      </c>
      <c r="B127" s="53" t="s">
        <v>53</v>
      </c>
      <c r="C127" s="54" t="s">
        <v>32</v>
      </c>
      <c r="D127" s="53" t="s">
        <v>61</v>
      </c>
      <c r="E127" s="53" t="s">
        <v>16</v>
      </c>
      <c r="F127" s="55" t="s">
        <v>66</v>
      </c>
      <c r="G127" s="61">
        <v>90003162</v>
      </c>
      <c r="H127" s="54" t="s">
        <v>260</v>
      </c>
      <c r="I127" s="55">
        <v>28011562</v>
      </c>
      <c r="J127" s="54" t="s">
        <v>953</v>
      </c>
      <c r="K127" s="55" t="s">
        <v>495</v>
      </c>
      <c r="L127" s="54" t="s">
        <v>59</v>
      </c>
      <c r="M127" s="54" t="s">
        <v>632</v>
      </c>
    </row>
    <row r="128" spans="1:13">
      <c r="A128" s="53">
        <v>127</v>
      </c>
      <c r="B128" s="53" t="s">
        <v>53</v>
      </c>
      <c r="C128" s="54" t="s">
        <v>64</v>
      </c>
      <c r="D128" s="53" t="s">
        <v>61</v>
      </c>
      <c r="E128" s="53" t="s">
        <v>16</v>
      </c>
      <c r="F128" s="55" t="s">
        <v>66</v>
      </c>
      <c r="G128" s="61">
        <v>90003163</v>
      </c>
      <c r="H128" s="54" t="s">
        <v>262</v>
      </c>
      <c r="I128" s="55">
        <v>28011563</v>
      </c>
      <c r="J128" s="54" t="s">
        <v>954</v>
      </c>
      <c r="K128" s="55" t="s">
        <v>495</v>
      </c>
      <c r="L128" s="54" t="s">
        <v>59</v>
      </c>
      <c r="M128" s="54" t="s">
        <v>632</v>
      </c>
    </row>
    <row r="129" spans="1:13">
      <c r="A129" s="53">
        <v>128</v>
      </c>
      <c r="B129" s="53" t="s">
        <v>53</v>
      </c>
      <c r="C129" s="54" t="s">
        <v>36</v>
      </c>
      <c r="D129" s="53" t="s">
        <v>61</v>
      </c>
      <c r="E129" s="53" t="s">
        <v>16</v>
      </c>
      <c r="F129" s="55" t="s">
        <v>210</v>
      </c>
      <c r="G129" s="61">
        <v>90003164</v>
      </c>
      <c r="H129" s="54" t="s">
        <v>120</v>
      </c>
      <c r="I129" s="55">
        <v>28011564</v>
      </c>
      <c r="J129" s="54" t="s">
        <v>959</v>
      </c>
      <c r="K129" s="55" t="s">
        <v>210</v>
      </c>
      <c r="L129" s="54" t="s">
        <v>59</v>
      </c>
      <c r="M129" s="54" t="s">
        <v>632</v>
      </c>
    </row>
    <row r="130" spans="1:13">
      <c r="A130" s="53">
        <v>127</v>
      </c>
      <c r="B130" s="53" t="s">
        <v>53</v>
      </c>
      <c r="C130" s="54" t="s">
        <v>64</v>
      </c>
      <c r="D130" s="53" t="s">
        <v>61</v>
      </c>
      <c r="E130" s="53" t="s">
        <v>16</v>
      </c>
      <c r="F130" s="55" t="s">
        <v>128</v>
      </c>
      <c r="G130" s="61">
        <v>90003165</v>
      </c>
      <c r="H130" s="54" t="s">
        <v>264</v>
      </c>
      <c r="I130" s="55">
        <v>28011565</v>
      </c>
      <c r="J130" s="54" t="s">
        <v>960</v>
      </c>
      <c r="K130" s="55" t="s">
        <v>99</v>
      </c>
      <c r="L130" s="54" t="s">
        <v>59</v>
      </c>
      <c r="M130" s="54" t="s">
        <v>632</v>
      </c>
    </row>
    <row r="131" spans="1:13">
      <c r="A131" s="53">
        <v>130</v>
      </c>
      <c r="B131" s="53" t="s">
        <v>53</v>
      </c>
      <c r="C131" s="54" t="s">
        <v>36</v>
      </c>
      <c r="D131" s="53" t="s">
        <v>61</v>
      </c>
      <c r="E131" s="53" t="s">
        <v>16</v>
      </c>
      <c r="F131" s="55" t="s">
        <v>69</v>
      </c>
      <c r="G131" s="61">
        <v>90003166</v>
      </c>
      <c r="H131" s="54" t="s">
        <v>266</v>
      </c>
      <c r="I131" s="55">
        <v>28011566</v>
      </c>
      <c r="J131" s="54" t="s">
        <v>961</v>
      </c>
      <c r="K131" s="55" t="s">
        <v>210</v>
      </c>
      <c r="L131" s="54" t="s">
        <v>59</v>
      </c>
      <c r="M131" s="54" t="s">
        <v>632</v>
      </c>
    </row>
    <row r="132" spans="1:13">
      <c r="A132" s="53">
        <v>130</v>
      </c>
      <c r="B132" s="53" t="s">
        <v>53</v>
      </c>
      <c r="C132" s="54" t="s">
        <v>54</v>
      </c>
      <c r="D132" s="53" t="s">
        <v>61</v>
      </c>
      <c r="E132" s="53" t="s">
        <v>16</v>
      </c>
      <c r="F132" s="55" t="s">
        <v>128</v>
      </c>
      <c r="G132" s="61">
        <v>90003167</v>
      </c>
      <c r="H132" s="54" t="s">
        <v>100</v>
      </c>
      <c r="I132" s="55">
        <v>28011567</v>
      </c>
      <c r="J132" s="54" t="s">
        <v>962</v>
      </c>
      <c r="K132" s="55" t="s">
        <v>128</v>
      </c>
      <c r="L132" s="54" t="s">
        <v>59</v>
      </c>
      <c r="M132" s="54" t="s">
        <v>632</v>
      </c>
    </row>
    <row r="133" spans="1:13">
      <c r="A133" s="53">
        <v>133</v>
      </c>
      <c r="B133" s="53" t="s">
        <v>53</v>
      </c>
      <c r="C133" s="54" t="s">
        <v>36</v>
      </c>
      <c r="D133" s="53" t="s">
        <v>61</v>
      </c>
      <c r="E133" s="53" t="s">
        <v>16</v>
      </c>
      <c r="F133" s="55" t="s">
        <v>210</v>
      </c>
      <c r="G133" s="61">
        <v>90003168</v>
      </c>
      <c r="H133" s="54" t="s">
        <v>267</v>
      </c>
      <c r="I133" s="55">
        <v>28011568</v>
      </c>
      <c r="J133" s="54" t="s">
        <v>963</v>
      </c>
      <c r="K133" s="55" t="s">
        <v>210</v>
      </c>
      <c r="L133" s="54" t="s">
        <v>59</v>
      </c>
      <c r="M133" s="54" t="s">
        <v>632</v>
      </c>
    </row>
    <row r="134" spans="1:13">
      <c r="A134" s="53">
        <v>132</v>
      </c>
      <c r="B134" s="53" t="s">
        <v>53</v>
      </c>
      <c r="C134" s="54" t="s">
        <v>54</v>
      </c>
      <c r="D134" s="53" t="s">
        <v>61</v>
      </c>
      <c r="E134" s="53" t="s">
        <v>16</v>
      </c>
      <c r="F134" s="55" t="s">
        <v>128</v>
      </c>
      <c r="G134" s="61">
        <v>90003169</v>
      </c>
      <c r="H134" s="54" t="s">
        <v>100</v>
      </c>
      <c r="I134" s="55">
        <v>28011569</v>
      </c>
      <c r="J134" s="54" t="s">
        <v>964</v>
      </c>
      <c r="K134" s="55" t="s">
        <v>128</v>
      </c>
      <c r="L134" s="54" t="s">
        <v>59</v>
      </c>
      <c r="M134" s="54" t="s">
        <v>632</v>
      </c>
    </row>
    <row r="135" spans="1:13">
      <c r="A135" s="53">
        <v>133</v>
      </c>
      <c r="B135" s="53" t="s">
        <v>53</v>
      </c>
      <c r="C135" s="54" t="s">
        <v>36</v>
      </c>
      <c r="D135" s="53" t="s">
        <v>61</v>
      </c>
      <c r="E135" s="53" t="s">
        <v>16</v>
      </c>
      <c r="F135" s="55" t="s">
        <v>210</v>
      </c>
      <c r="G135" s="61">
        <v>90003170</v>
      </c>
      <c r="H135" s="54" t="s">
        <v>120</v>
      </c>
      <c r="I135" s="55">
        <v>28011570</v>
      </c>
      <c r="J135" s="54" t="s">
        <v>965</v>
      </c>
      <c r="K135" s="55" t="s">
        <v>210</v>
      </c>
      <c r="L135" s="54" t="s">
        <v>59</v>
      </c>
      <c r="M135" s="54" t="s">
        <v>632</v>
      </c>
    </row>
    <row r="136" spans="1:13">
      <c r="A136" s="53">
        <v>134</v>
      </c>
      <c r="B136" s="53" t="s">
        <v>53</v>
      </c>
      <c r="C136" s="54" t="s">
        <v>30</v>
      </c>
      <c r="D136" s="53" t="s">
        <v>61</v>
      </c>
      <c r="E136" s="53" t="s">
        <v>16</v>
      </c>
      <c r="F136" s="55" t="s">
        <v>99</v>
      </c>
      <c r="G136" s="61">
        <v>90003171</v>
      </c>
      <c r="H136" s="54" t="s">
        <v>270</v>
      </c>
      <c r="I136" s="55">
        <v>28011571</v>
      </c>
      <c r="J136" s="54" t="s">
        <v>966</v>
      </c>
      <c r="K136" s="55" t="s">
        <v>210</v>
      </c>
      <c r="L136" s="54" t="s">
        <v>59</v>
      </c>
      <c r="M136" s="54" t="s">
        <v>632</v>
      </c>
    </row>
    <row r="137" spans="1:13">
      <c r="A137" s="53">
        <v>136</v>
      </c>
      <c r="B137" s="53" t="s">
        <v>53</v>
      </c>
      <c r="C137" s="54" t="s">
        <v>29</v>
      </c>
      <c r="D137" s="53" t="s">
        <v>61</v>
      </c>
      <c r="E137" s="53" t="s">
        <v>16</v>
      </c>
      <c r="F137" s="55" t="s">
        <v>66</v>
      </c>
      <c r="G137" s="61">
        <v>90003172</v>
      </c>
      <c r="H137" s="54" t="s">
        <v>272</v>
      </c>
      <c r="I137" s="55">
        <v>28011572</v>
      </c>
      <c r="J137" s="54" t="s">
        <v>967</v>
      </c>
      <c r="K137" s="55" t="s">
        <v>495</v>
      </c>
      <c r="L137" s="54" t="s">
        <v>59</v>
      </c>
      <c r="M137" s="54" t="s">
        <v>632</v>
      </c>
    </row>
    <row r="138" spans="1:13">
      <c r="A138" s="53">
        <v>137</v>
      </c>
      <c r="B138" s="53" t="s">
        <v>53</v>
      </c>
      <c r="C138" s="54" t="s">
        <v>54</v>
      </c>
      <c r="D138" s="53" t="s">
        <v>61</v>
      </c>
      <c r="E138" s="53" t="s">
        <v>16</v>
      </c>
      <c r="F138" s="55" t="s">
        <v>128</v>
      </c>
      <c r="G138" s="61">
        <v>90003173</v>
      </c>
      <c r="H138" s="54" t="s">
        <v>100</v>
      </c>
      <c r="I138" s="55">
        <v>28011573</v>
      </c>
      <c r="J138" s="54" t="s">
        <v>968</v>
      </c>
      <c r="K138" s="55" t="s">
        <v>99</v>
      </c>
      <c r="L138" s="54" t="s">
        <v>59</v>
      </c>
      <c r="M138" s="54" t="s">
        <v>632</v>
      </c>
    </row>
    <row r="139" spans="1:13">
      <c r="A139" s="53">
        <v>136</v>
      </c>
      <c r="B139" s="53" t="s">
        <v>53</v>
      </c>
      <c r="C139" s="54" t="s">
        <v>36</v>
      </c>
      <c r="D139" s="53" t="s">
        <v>61</v>
      </c>
      <c r="E139" s="53" t="s">
        <v>16</v>
      </c>
      <c r="F139" s="55" t="s">
        <v>128</v>
      </c>
      <c r="G139" s="61">
        <v>90003174</v>
      </c>
      <c r="H139" s="54" t="s">
        <v>116</v>
      </c>
      <c r="I139" s="55">
        <v>28011574</v>
      </c>
      <c r="J139" s="54" t="s">
        <v>969</v>
      </c>
      <c r="K139" s="55" t="s">
        <v>128</v>
      </c>
      <c r="L139" s="54" t="s">
        <v>59</v>
      </c>
      <c r="M139" s="54" t="s">
        <v>632</v>
      </c>
    </row>
    <row r="140" spans="1:13">
      <c r="A140" s="53">
        <v>139</v>
      </c>
      <c r="B140" s="53" t="s">
        <v>53</v>
      </c>
      <c r="C140" s="54" t="s">
        <v>54</v>
      </c>
      <c r="D140" s="53" t="s">
        <v>61</v>
      </c>
      <c r="E140" s="53" t="s">
        <v>16</v>
      </c>
      <c r="F140" s="55" t="s">
        <v>128</v>
      </c>
      <c r="G140" s="61">
        <v>90003175</v>
      </c>
      <c r="H140" s="54" t="s">
        <v>100</v>
      </c>
      <c r="I140" s="55">
        <v>28011575</v>
      </c>
      <c r="J140" s="54" t="s">
        <v>970</v>
      </c>
      <c r="K140" s="55" t="s">
        <v>99</v>
      </c>
      <c r="L140" s="54" t="s">
        <v>59</v>
      </c>
      <c r="M140" s="54" t="s">
        <v>632</v>
      </c>
    </row>
    <row r="141" spans="1:13">
      <c r="A141" s="53">
        <v>138</v>
      </c>
      <c r="B141" s="53" t="s">
        <v>53</v>
      </c>
      <c r="C141" s="54" t="s">
        <v>34</v>
      </c>
      <c r="D141" s="53" t="s">
        <v>61</v>
      </c>
      <c r="E141" s="53" t="s">
        <v>16</v>
      </c>
      <c r="F141" s="55" t="s">
        <v>99</v>
      </c>
      <c r="G141" s="61">
        <v>90003176</v>
      </c>
      <c r="H141" s="54" t="s">
        <v>274</v>
      </c>
      <c r="I141" s="55">
        <v>28011576</v>
      </c>
      <c r="J141" s="54" t="s">
        <v>971</v>
      </c>
      <c r="K141" s="55" t="s">
        <v>99</v>
      </c>
      <c r="L141" s="54" t="s">
        <v>59</v>
      </c>
      <c r="M141" s="54" t="s">
        <v>632</v>
      </c>
    </row>
    <row r="142" spans="1:13">
      <c r="A142" s="53">
        <v>142</v>
      </c>
      <c r="B142" s="53" t="s">
        <v>53</v>
      </c>
      <c r="C142" s="54" t="s">
        <v>34</v>
      </c>
      <c r="D142" s="53" t="s">
        <v>61</v>
      </c>
      <c r="E142" s="53" t="s">
        <v>16</v>
      </c>
      <c r="F142" s="55" t="s">
        <v>210</v>
      </c>
      <c r="G142" s="61">
        <v>90003177</v>
      </c>
      <c r="H142" s="54" t="s">
        <v>276</v>
      </c>
      <c r="I142" s="55">
        <v>28011577</v>
      </c>
      <c r="J142" s="54" t="s">
        <v>972</v>
      </c>
      <c r="K142" s="55" t="s">
        <v>69</v>
      </c>
      <c r="L142" s="54" t="s">
        <v>59</v>
      </c>
      <c r="M142" s="54" t="s">
        <v>632</v>
      </c>
    </row>
    <row r="143" spans="1:13">
      <c r="A143" s="53">
        <v>141</v>
      </c>
      <c r="B143" s="53" t="s">
        <v>53</v>
      </c>
      <c r="C143" s="54" t="s">
        <v>34</v>
      </c>
      <c r="D143" s="53" t="s">
        <v>61</v>
      </c>
      <c r="E143" s="53" t="s">
        <v>16</v>
      </c>
      <c r="F143" s="55" t="s">
        <v>69</v>
      </c>
      <c r="G143" s="61">
        <v>90003178</v>
      </c>
      <c r="H143" s="54" t="s">
        <v>280</v>
      </c>
      <c r="I143" s="55">
        <v>28011578</v>
      </c>
      <c r="J143" s="54" t="s">
        <v>973</v>
      </c>
      <c r="K143" s="55" t="s">
        <v>66</v>
      </c>
      <c r="L143" s="54" t="s">
        <v>59</v>
      </c>
      <c r="M143" s="54" t="s">
        <v>632</v>
      </c>
    </row>
    <row r="144" spans="1:13">
      <c r="A144" s="53">
        <v>144</v>
      </c>
      <c r="B144" s="53" t="s">
        <v>53</v>
      </c>
      <c r="C144" s="54" t="s">
        <v>54</v>
      </c>
      <c r="D144" s="53" t="s">
        <v>61</v>
      </c>
      <c r="E144" s="53" t="s">
        <v>16</v>
      </c>
      <c r="F144" s="55" t="s">
        <v>69</v>
      </c>
      <c r="G144" s="61">
        <v>90003179</v>
      </c>
      <c r="H144" s="54" t="s">
        <v>282</v>
      </c>
      <c r="I144" s="55">
        <v>28011579</v>
      </c>
      <c r="J144" s="54" t="s">
        <v>974</v>
      </c>
      <c r="K144" s="55" t="s">
        <v>69</v>
      </c>
      <c r="L144" s="54" t="s">
        <v>59</v>
      </c>
      <c r="M144" s="54" t="s">
        <v>632</v>
      </c>
    </row>
    <row r="145" spans="1:13">
      <c r="A145" s="53">
        <v>143</v>
      </c>
      <c r="B145" s="53" t="s">
        <v>53</v>
      </c>
      <c r="C145" s="54" t="s">
        <v>30</v>
      </c>
      <c r="D145" s="53" t="s">
        <v>61</v>
      </c>
      <c r="E145" s="53" t="s">
        <v>16</v>
      </c>
      <c r="F145" s="55" t="s">
        <v>66</v>
      </c>
      <c r="G145" s="61">
        <v>90003180</v>
      </c>
      <c r="H145" s="54" t="s">
        <v>285</v>
      </c>
      <c r="I145" s="55">
        <v>28011580</v>
      </c>
      <c r="J145" s="54" t="s">
        <v>975</v>
      </c>
      <c r="K145" s="55" t="s">
        <v>495</v>
      </c>
      <c r="L145" s="54" t="s">
        <v>59</v>
      </c>
      <c r="M145" s="54" t="s">
        <v>632</v>
      </c>
    </row>
    <row r="146" spans="1:13">
      <c r="A146" s="53">
        <v>147</v>
      </c>
      <c r="B146" s="53" t="s">
        <v>53</v>
      </c>
      <c r="C146" s="54" t="s">
        <v>36</v>
      </c>
      <c r="D146" s="53" t="s">
        <v>61</v>
      </c>
      <c r="E146" s="53" t="s">
        <v>16</v>
      </c>
      <c r="F146" s="55" t="s">
        <v>66</v>
      </c>
      <c r="G146" s="61">
        <v>90003181</v>
      </c>
      <c r="H146" s="54" t="s">
        <v>287</v>
      </c>
      <c r="I146" s="55">
        <v>28011581</v>
      </c>
      <c r="J146" s="54" t="s">
        <v>976</v>
      </c>
      <c r="K146" s="55" t="s">
        <v>66</v>
      </c>
      <c r="L146" s="54" t="s">
        <v>59</v>
      </c>
      <c r="M146" s="54" t="s">
        <v>632</v>
      </c>
    </row>
    <row r="147" spans="1:13">
      <c r="A147" s="53">
        <v>147</v>
      </c>
      <c r="B147" s="53" t="s">
        <v>53</v>
      </c>
      <c r="C147" s="54" t="s">
        <v>34</v>
      </c>
      <c r="D147" s="53" t="s">
        <v>61</v>
      </c>
      <c r="E147" s="53" t="s">
        <v>16</v>
      </c>
      <c r="F147" s="55" t="s">
        <v>69</v>
      </c>
      <c r="G147" s="61">
        <v>90003182</v>
      </c>
      <c r="H147" s="54" t="s">
        <v>293</v>
      </c>
      <c r="I147" s="55"/>
      <c r="J147" s="103"/>
      <c r="K147" s="55"/>
      <c r="L147" s="54"/>
      <c r="M147" s="54" t="s">
        <v>63</v>
      </c>
    </row>
    <row r="148" spans="1:13">
      <c r="A148" s="53">
        <v>147</v>
      </c>
      <c r="B148" s="53" t="s">
        <v>53</v>
      </c>
      <c r="C148" s="54" t="s">
        <v>34</v>
      </c>
      <c r="D148" s="53" t="s">
        <v>61</v>
      </c>
      <c r="E148" s="53" t="s">
        <v>16</v>
      </c>
      <c r="F148" s="55" t="s">
        <v>69</v>
      </c>
      <c r="G148" s="61">
        <v>90003183</v>
      </c>
      <c r="H148" s="54" t="s">
        <v>296</v>
      </c>
      <c r="I148" s="55">
        <v>28011582</v>
      </c>
      <c r="J148" s="54" t="s">
        <v>977</v>
      </c>
      <c r="K148" s="55" t="s">
        <v>66</v>
      </c>
      <c r="L148" s="54" t="s">
        <v>59</v>
      </c>
      <c r="M148" s="54" t="s">
        <v>632</v>
      </c>
    </row>
    <row r="149" spans="1:13">
      <c r="A149" s="53">
        <v>148</v>
      </c>
      <c r="B149" s="53" t="s">
        <v>53</v>
      </c>
      <c r="C149" s="54" t="s">
        <v>30</v>
      </c>
      <c r="D149" s="53" t="s">
        <v>61</v>
      </c>
      <c r="E149" s="53" t="s">
        <v>16</v>
      </c>
      <c r="F149" s="55" t="s">
        <v>210</v>
      </c>
      <c r="G149" s="61">
        <v>90003184</v>
      </c>
      <c r="H149" s="54" t="s">
        <v>298</v>
      </c>
      <c r="I149" s="55">
        <v>28011583</v>
      </c>
      <c r="J149" s="54" t="s">
        <v>978</v>
      </c>
      <c r="K149" s="55" t="s">
        <v>210</v>
      </c>
      <c r="L149" s="54" t="s">
        <v>59</v>
      </c>
      <c r="M149" s="54" t="s">
        <v>632</v>
      </c>
    </row>
    <row r="150" spans="1:13">
      <c r="A150" s="53">
        <v>147</v>
      </c>
      <c r="B150" s="53" t="s">
        <v>53</v>
      </c>
      <c r="C150" s="54" t="s">
        <v>32</v>
      </c>
      <c r="D150" s="53" t="s">
        <v>61</v>
      </c>
      <c r="E150" s="53" t="s">
        <v>16</v>
      </c>
      <c r="F150" s="55" t="s">
        <v>69</v>
      </c>
      <c r="G150" s="61">
        <v>90003185</v>
      </c>
      <c r="H150" s="54" t="s">
        <v>300</v>
      </c>
      <c r="I150" s="55">
        <v>28011584</v>
      </c>
      <c r="J150" s="54" t="s">
        <v>979</v>
      </c>
      <c r="K150" s="55" t="s">
        <v>69</v>
      </c>
      <c r="L150" s="54" t="s">
        <v>59</v>
      </c>
      <c r="M150" s="54" t="s">
        <v>632</v>
      </c>
    </row>
    <row r="151" spans="1:13">
      <c r="A151" s="53">
        <v>148</v>
      </c>
      <c r="B151" s="53" t="s">
        <v>53</v>
      </c>
      <c r="C151" s="54" t="s">
        <v>36</v>
      </c>
      <c r="D151" s="53" t="s">
        <v>61</v>
      </c>
      <c r="E151" s="53" t="s">
        <v>16</v>
      </c>
      <c r="F151" s="55" t="s">
        <v>69</v>
      </c>
      <c r="G151" s="61">
        <v>90003186</v>
      </c>
      <c r="H151" s="54" t="s">
        <v>92</v>
      </c>
      <c r="I151" s="55">
        <v>28011585</v>
      </c>
      <c r="J151" s="54" t="s">
        <v>980</v>
      </c>
      <c r="K151" s="55" t="s">
        <v>66</v>
      </c>
      <c r="L151" s="54" t="s">
        <v>59</v>
      </c>
      <c r="M151" s="54" t="s">
        <v>632</v>
      </c>
    </row>
    <row r="152" spans="1:13">
      <c r="A152" s="53">
        <v>150</v>
      </c>
      <c r="B152" s="53" t="s">
        <v>53</v>
      </c>
      <c r="C152" s="54" t="s">
        <v>64</v>
      </c>
      <c r="D152" s="53" t="s">
        <v>61</v>
      </c>
      <c r="E152" s="53" t="s">
        <v>16</v>
      </c>
      <c r="F152" s="55" t="s">
        <v>210</v>
      </c>
      <c r="G152" s="61">
        <v>90003187</v>
      </c>
      <c r="H152" s="54" t="s">
        <v>126</v>
      </c>
      <c r="I152" s="55">
        <v>28011586</v>
      </c>
      <c r="J152" s="54" t="s">
        <v>982</v>
      </c>
      <c r="K152" s="55" t="s">
        <v>69</v>
      </c>
      <c r="L152" s="54" t="s">
        <v>59</v>
      </c>
      <c r="M152" s="54" t="s">
        <v>632</v>
      </c>
    </row>
    <row r="153" spans="1:13">
      <c r="A153" s="53">
        <v>151</v>
      </c>
      <c r="B153" s="53" t="s">
        <v>53</v>
      </c>
      <c r="C153" s="54" t="s">
        <v>54</v>
      </c>
      <c r="D153" s="53" t="s">
        <v>61</v>
      </c>
      <c r="E153" s="53" t="s">
        <v>16</v>
      </c>
      <c r="F153" s="55" t="s">
        <v>99</v>
      </c>
      <c r="G153" s="61">
        <v>90003188</v>
      </c>
      <c r="H153" s="54" t="s">
        <v>100</v>
      </c>
      <c r="I153" s="55">
        <v>28011587</v>
      </c>
      <c r="J153" s="54" t="s">
        <v>983</v>
      </c>
      <c r="K153" s="55" t="s">
        <v>99</v>
      </c>
      <c r="L153" s="54" t="s">
        <v>59</v>
      </c>
      <c r="M153" s="54" t="s">
        <v>632</v>
      </c>
    </row>
    <row r="154" spans="1:13">
      <c r="A154" s="53">
        <v>152</v>
      </c>
      <c r="B154" s="53" t="s">
        <v>53</v>
      </c>
      <c r="C154" s="54" t="s">
        <v>36</v>
      </c>
      <c r="D154" s="53" t="s">
        <v>61</v>
      </c>
      <c r="E154" s="53" t="s">
        <v>16</v>
      </c>
      <c r="F154" s="55" t="s">
        <v>128</v>
      </c>
      <c r="G154" s="61">
        <v>90003189</v>
      </c>
      <c r="H154" s="54" t="s">
        <v>234</v>
      </c>
      <c r="I154" s="55">
        <v>28011588</v>
      </c>
      <c r="J154" s="54" t="s">
        <v>984</v>
      </c>
      <c r="K154" s="55" t="s">
        <v>99</v>
      </c>
      <c r="L154" s="54" t="s">
        <v>59</v>
      </c>
      <c r="M154" s="54" t="s">
        <v>632</v>
      </c>
    </row>
    <row r="155" spans="1:13">
      <c r="A155" s="53">
        <v>153</v>
      </c>
      <c r="B155" s="53" t="s">
        <v>53</v>
      </c>
      <c r="C155" s="54" t="s">
        <v>34</v>
      </c>
      <c r="D155" s="53" t="s">
        <v>61</v>
      </c>
      <c r="E155" s="53" t="s">
        <v>16</v>
      </c>
      <c r="F155" s="55" t="s">
        <v>238</v>
      </c>
      <c r="G155" s="61">
        <v>90003190</v>
      </c>
      <c r="H155" s="54" t="s">
        <v>302</v>
      </c>
      <c r="I155" s="55">
        <v>28011589</v>
      </c>
      <c r="J155" s="54" t="s">
        <v>985</v>
      </c>
      <c r="K155" s="55" t="s">
        <v>981</v>
      </c>
      <c r="L155" s="54" t="s">
        <v>59</v>
      </c>
      <c r="M155" s="54" t="s">
        <v>632</v>
      </c>
    </row>
    <row r="156" spans="1:13">
      <c r="A156" s="53">
        <v>157</v>
      </c>
      <c r="B156" s="53" t="s">
        <v>53</v>
      </c>
      <c r="C156" s="54" t="s">
        <v>36</v>
      </c>
      <c r="D156" s="53" t="s">
        <v>61</v>
      </c>
      <c r="E156" s="53" t="s">
        <v>16</v>
      </c>
      <c r="F156" s="55" t="s">
        <v>99</v>
      </c>
      <c r="G156" s="61">
        <v>90003191</v>
      </c>
      <c r="H156" s="54" t="s">
        <v>306</v>
      </c>
      <c r="I156" s="55"/>
      <c r="J156" s="103"/>
      <c r="K156" s="55"/>
      <c r="L156" s="54"/>
      <c r="M156" s="54" t="s">
        <v>63</v>
      </c>
    </row>
    <row r="157" spans="1:13">
      <c r="A157" s="53">
        <v>156</v>
      </c>
      <c r="B157" s="53" t="s">
        <v>53</v>
      </c>
      <c r="C157" s="54" t="s">
        <v>36</v>
      </c>
      <c r="D157" s="53" t="s">
        <v>61</v>
      </c>
      <c r="E157" s="53" t="s">
        <v>16</v>
      </c>
      <c r="F157" s="55" t="s">
        <v>210</v>
      </c>
      <c r="G157" s="61">
        <v>90003192</v>
      </c>
      <c r="H157" s="54" t="s">
        <v>308</v>
      </c>
      <c r="I157" s="55">
        <v>28011590</v>
      </c>
      <c r="J157" s="54" t="s">
        <v>986</v>
      </c>
      <c r="K157" s="55" t="s">
        <v>210</v>
      </c>
      <c r="L157" s="54" t="s">
        <v>59</v>
      </c>
      <c r="M157" s="54" t="s">
        <v>632</v>
      </c>
    </row>
    <row r="158" spans="1:13">
      <c r="A158" s="53">
        <v>157</v>
      </c>
      <c r="B158" s="53" t="s">
        <v>53</v>
      </c>
      <c r="C158" s="54" t="s">
        <v>30</v>
      </c>
      <c r="D158" s="53" t="s">
        <v>61</v>
      </c>
      <c r="E158" s="53" t="s">
        <v>16</v>
      </c>
      <c r="F158" s="55" t="s">
        <v>69</v>
      </c>
      <c r="G158" s="61">
        <v>90003193</v>
      </c>
      <c r="H158" s="54" t="s">
        <v>311</v>
      </c>
      <c r="I158" s="55">
        <v>28011591</v>
      </c>
      <c r="J158" s="54" t="s">
        <v>987</v>
      </c>
      <c r="K158" s="55" t="s">
        <v>69</v>
      </c>
      <c r="L158" s="54" t="s">
        <v>59</v>
      </c>
      <c r="M158" s="54" t="s">
        <v>632</v>
      </c>
    </row>
    <row r="159" spans="1:13">
      <c r="A159" s="53">
        <v>158</v>
      </c>
      <c r="B159" s="53" t="s">
        <v>53</v>
      </c>
      <c r="C159" s="54" t="s">
        <v>29</v>
      </c>
      <c r="D159" s="53" t="s">
        <v>61</v>
      </c>
      <c r="E159" s="53" t="s">
        <v>16</v>
      </c>
      <c r="F159" s="55" t="s">
        <v>69</v>
      </c>
      <c r="G159" s="61">
        <v>90003194</v>
      </c>
      <c r="H159" s="54" t="s">
        <v>315</v>
      </c>
      <c r="I159" s="55">
        <v>28011592</v>
      </c>
      <c r="J159" s="54" t="s">
        <v>988</v>
      </c>
      <c r="K159" s="55" t="s">
        <v>69</v>
      </c>
      <c r="L159" s="54" t="s">
        <v>59</v>
      </c>
      <c r="M159" s="54" t="s">
        <v>632</v>
      </c>
    </row>
    <row r="160" spans="1:13">
      <c r="A160" s="53">
        <v>157</v>
      </c>
      <c r="B160" s="53" t="s">
        <v>53</v>
      </c>
      <c r="C160" s="54" t="s">
        <v>29</v>
      </c>
      <c r="D160" s="53" t="s">
        <v>61</v>
      </c>
      <c r="E160" s="53" t="s">
        <v>16</v>
      </c>
      <c r="F160" s="55" t="s">
        <v>69</v>
      </c>
      <c r="G160" s="61">
        <v>90003195</v>
      </c>
      <c r="H160" s="54" t="s">
        <v>317</v>
      </c>
      <c r="I160" s="55">
        <v>28011593</v>
      </c>
      <c r="J160" s="54" t="s">
        <v>989</v>
      </c>
      <c r="K160" s="55" t="s">
        <v>69</v>
      </c>
      <c r="L160" s="54" t="s">
        <v>59</v>
      </c>
      <c r="M160" s="54" t="s">
        <v>632</v>
      </c>
    </row>
    <row r="161" spans="1:13">
      <c r="A161" s="53">
        <v>159</v>
      </c>
      <c r="B161" s="53" t="s">
        <v>53</v>
      </c>
      <c r="C161" s="54" t="s">
        <v>54</v>
      </c>
      <c r="D161" s="53" t="s">
        <v>61</v>
      </c>
      <c r="E161" s="53" t="s">
        <v>16</v>
      </c>
      <c r="F161" s="55" t="s">
        <v>128</v>
      </c>
      <c r="G161" s="61">
        <v>90003196</v>
      </c>
      <c r="H161" s="54" t="s">
        <v>100</v>
      </c>
      <c r="I161" s="55">
        <v>28011594</v>
      </c>
      <c r="J161" s="54" t="s">
        <v>990</v>
      </c>
      <c r="K161" s="55" t="s">
        <v>128</v>
      </c>
      <c r="L161" s="54" t="s">
        <v>59</v>
      </c>
      <c r="M161" s="54" t="s">
        <v>632</v>
      </c>
    </row>
    <row r="162" spans="1:13">
      <c r="A162" s="53">
        <v>159</v>
      </c>
      <c r="B162" s="53" t="s">
        <v>53</v>
      </c>
      <c r="C162" s="54" t="s">
        <v>64</v>
      </c>
      <c r="D162" s="53" t="s">
        <v>61</v>
      </c>
      <c r="E162" s="53" t="s">
        <v>16</v>
      </c>
      <c r="F162" s="55" t="s">
        <v>210</v>
      </c>
      <c r="G162" s="61">
        <v>90003197</v>
      </c>
      <c r="H162" s="54" t="s">
        <v>103</v>
      </c>
      <c r="I162" s="55"/>
      <c r="J162" s="103"/>
      <c r="K162" s="55"/>
      <c r="L162" s="54"/>
      <c r="M162" s="54" t="s">
        <v>63</v>
      </c>
    </row>
    <row r="163" spans="1:13">
      <c r="A163" s="53">
        <v>163</v>
      </c>
      <c r="B163" s="53" t="s">
        <v>53</v>
      </c>
      <c r="C163" s="54" t="s">
        <v>54</v>
      </c>
      <c r="D163" s="53" t="s">
        <v>61</v>
      </c>
      <c r="E163" s="53" t="s">
        <v>16</v>
      </c>
      <c r="F163" s="55" t="s">
        <v>128</v>
      </c>
      <c r="G163" s="61">
        <v>90003198</v>
      </c>
      <c r="H163" s="54" t="s">
        <v>100</v>
      </c>
      <c r="I163" s="55">
        <v>28011595</v>
      </c>
      <c r="J163" s="54" t="s">
        <v>991</v>
      </c>
      <c r="K163" s="55" t="s">
        <v>128</v>
      </c>
      <c r="L163" s="54" t="s">
        <v>59</v>
      </c>
      <c r="M163" s="54" t="s">
        <v>632</v>
      </c>
    </row>
    <row r="164" spans="1:13">
      <c r="A164" s="53">
        <v>162</v>
      </c>
      <c r="B164" s="53" t="s">
        <v>53</v>
      </c>
      <c r="C164" s="54" t="s">
        <v>36</v>
      </c>
      <c r="D164" s="53" t="s">
        <v>61</v>
      </c>
      <c r="E164" s="53" t="s">
        <v>16</v>
      </c>
      <c r="F164" s="55" t="s">
        <v>99</v>
      </c>
      <c r="G164" s="61">
        <v>90003199</v>
      </c>
      <c r="H164" s="54" t="s">
        <v>319</v>
      </c>
      <c r="I164" s="55">
        <v>28011596</v>
      </c>
      <c r="J164" s="54" t="s">
        <v>992</v>
      </c>
      <c r="K164" s="55" t="s">
        <v>99</v>
      </c>
      <c r="L164" s="54" t="s">
        <v>59</v>
      </c>
      <c r="M164" s="54" t="s">
        <v>632</v>
      </c>
    </row>
    <row r="165" spans="1:13">
      <c r="A165" s="53">
        <v>165</v>
      </c>
      <c r="B165" s="53" t="s">
        <v>53</v>
      </c>
      <c r="C165" s="54" t="s">
        <v>54</v>
      </c>
      <c r="D165" s="53" t="s">
        <v>61</v>
      </c>
      <c r="E165" s="53" t="s">
        <v>16</v>
      </c>
      <c r="F165" s="55" t="s">
        <v>56</v>
      </c>
      <c r="G165" s="61">
        <v>90003200</v>
      </c>
      <c r="H165" s="54" t="s">
        <v>100</v>
      </c>
      <c r="I165" s="55"/>
      <c r="J165" s="103"/>
      <c r="K165" s="55"/>
      <c r="L165" s="54"/>
      <c r="M165" s="54" t="s">
        <v>63</v>
      </c>
    </row>
    <row r="166" spans="1:13">
      <c r="A166" s="53">
        <v>164</v>
      </c>
      <c r="B166" s="53" t="s">
        <v>53</v>
      </c>
      <c r="C166" s="54" t="s">
        <v>64</v>
      </c>
      <c r="D166" s="53" t="s">
        <v>61</v>
      </c>
      <c r="E166" s="53" t="s">
        <v>16</v>
      </c>
      <c r="F166" s="55" t="s">
        <v>99</v>
      </c>
      <c r="G166" s="61">
        <v>90003201</v>
      </c>
      <c r="H166" s="54" t="s">
        <v>126</v>
      </c>
      <c r="I166" s="55">
        <v>28011597</v>
      </c>
      <c r="J166" s="54" t="s">
        <v>993</v>
      </c>
      <c r="K166" s="55" t="s">
        <v>210</v>
      </c>
      <c r="L166" s="54" t="s">
        <v>59</v>
      </c>
      <c r="M166" s="54" t="s">
        <v>632</v>
      </c>
    </row>
    <row r="167" spans="1:13">
      <c r="A167" s="53">
        <v>168</v>
      </c>
      <c r="B167" s="53" t="s">
        <v>53</v>
      </c>
      <c r="C167" s="54" t="s">
        <v>64</v>
      </c>
      <c r="D167" s="53" t="s">
        <v>61</v>
      </c>
      <c r="E167" s="53" t="s">
        <v>16</v>
      </c>
      <c r="F167" s="55" t="s">
        <v>210</v>
      </c>
      <c r="G167" s="61">
        <v>90003202</v>
      </c>
      <c r="H167" s="54" t="s">
        <v>120</v>
      </c>
      <c r="I167" s="55">
        <v>28011598</v>
      </c>
      <c r="J167" s="54" t="s">
        <v>994</v>
      </c>
      <c r="K167" s="55" t="s">
        <v>210</v>
      </c>
      <c r="L167" s="54" t="s">
        <v>59</v>
      </c>
      <c r="M167" s="54" t="s">
        <v>632</v>
      </c>
    </row>
    <row r="168" spans="1:13">
      <c r="A168" s="53">
        <v>169</v>
      </c>
      <c r="B168" s="53" t="s">
        <v>53</v>
      </c>
      <c r="C168" s="54" t="s">
        <v>64</v>
      </c>
      <c r="D168" s="53" t="s">
        <v>61</v>
      </c>
      <c r="E168" s="53" t="s">
        <v>16</v>
      </c>
      <c r="F168" s="55" t="s">
        <v>128</v>
      </c>
      <c r="G168" s="61">
        <v>90003203</v>
      </c>
      <c r="H168" s="54" t="s">
        <v>118</v>
      </c>
      <c r="I168" s="55">
        <v>28011599</v>
      </c>
      <c r="J168" s="54" t="s">
        <v>995</v>
      </c>
      <c r="K168" s="55" t="s">
        <v>99</v>
      </c>
      <c r="L168" s="54" t="s">
        <v>59</v>
      </c>
      <c r="M168" s="54" t="s">
        <v>632</v>
      </c>
    </row>
    <row r="169" spans="1:13">
      <c r="A169" s="53">
        <v>168</v>
      </c>
      <c r="B169" s="53" t="s">
        <v>53</v>
      </c>
      <c r="C169" s="54" t="s">
        <v>64</v>
      </c>
      <c r="D169" s="53" t="s">
        <v>61</v>
      </c>
      <c r="E169" s="53" t="s">
        <v>16</v>
      </c>
      <c r="F169" s="55" t="s">
        <v>56</v>
      </c>
      <c r="G169" s="61">
        <v>90003204</v>
      </c>
      <c r="H169" s="54" t="s">
        <v>118</v>
      </c>
      <c r="I169" s="55">
        <v>28011600</v>
      </c>
      <c r="J169" s="54" t="s">
        <v>996</v>
      </c>
      <c r="K169" s="55" t="s">
        <v>56</v>
      </c>
      <c r="L169" s="54" t="s">
        <v>59</v>
      </c>
      <c r="M169" s="54" t="s">
        <v>632</v>
      </c>
    </row>
    <row r="170" spans="1:13">
      <c r="A170" s="53">
        <v>171</v>
      </c>
      <c r="B170" s="53" t="s">
        <v>53</v>
      </c>
      <c r="C170" s="54" t="s">
        <v>32</v>
      </c>
      <c r="D170" s="53" t="s">
        <v>61</v>
      </c>
      <c r="E170" s="53" t="s">
        <v>16</v>
      </c>
      <c r="F170" s="55" t="s">
        <v>56</v>
      </c>
      <c r="G170" s="61">
        <v>90003205</v>
      </c>
      <c r="H170" s="54" t="s">
        <v>137</v>
      </c>
      <c r="I170" s="55">
        <v>28011601</v>
      </c>
      <c r="J170" s="54" t="s">
        <v>997</v>
      </c>
      <c r="K170" s="55" t="s">
        <v>128</v>
      </c>
      <c r="L170" s="54" t="s">
        <v>59</v>
      </c>
      <c r="M170" s="54" t="s">
        <v>632</v>
      </c>
    </row>
    <row r="171" spans="1:13">
      <c r="A171" s="53">
        <v>168</v>
      </c>
      <c r="B171" s="53" t="s">
        <v>53</v>
      </c>
      <c r="C171" s="54" t="s">
        <v>32</v>
      </c>
      <c r="D171" s="53" t="s">
        <v>61</v>
      </c>
      <c r="E171" s="53" t="s">
        <v>16</v>
      </c>
      <c r="F171" s="55" t="s">
        <v>56</v>
      </c>
      <c r="G171" s="61">
        <v>90003206</v>
      </c>
      <c r="H171" s="54" t="s">
        <v>137</v>
      </c>
      <c r="I171" s="55">
        <v>28011602</v>
      </c>
      <c r="J171" s="54" t="s">
        <v>946</v>
      </c>
      <c r="K171" s="55" t="s">
        <v>128</v>
      </c>
      <c r="L171" s="54" t="s">
        <v>59</v>
      </c>
      <c r="M171" s="54" t="s">
        <v>632</v>
      </c>
    </row>
    <row r="172" spans="1:13">
      <c r="A172" s="53">
        <v>172</v>
      </c>
      <c r="B172" s="53" t="s">
        <v>53</v>
      </c>
      <c r="C172" s="54" t="s">
        <v>32</v>
      </c>
      <c r="D172" s="53" t="s">
        <v>61</v>
      </c>
      <c r="E172" s="53" t="s">
        <v>16</v>
      </c>
      <c r="F172" s="55" t="s">
        <v>56</v>
      </c>
      <c r="G172" s="61">
        <v>90003207</v>
      </c>
      <c r="H172" s="54" t="s">
        <v>137</v>
      </c>
      <c r="I172" s="55">
        <v>28011603</v>
      </c>
      <c r="J172" s="54" t="s">
        <v>998</v>
      </c>
      <c r="K172" s="55" t="s">
        <v>128</v>
      </c>
      <c r="L172" s="54" t="s">
        <v>59</v>
      </c>
      <c r="M172" s="54" t="s">
        <v>632</v>
      </c>
    </row>
    <row r="173" spans="1:13">
      <c r="A173" s="53">
        <v>171</v>
      </c>
      <c r="B173" s="53" t="s">
        <v>53</v>
      </c>
      <c r="C173" s="54" t="s">
        <v>54</v>
      </c>
      <c r="D173" s="53" t="s">
        <v>61</v>
      </c>
      <c r="E173" s="53" t="s">
        <v>16</v>
      </c>
      <c r="F173" s="55" t="s">
        <v>128</v>
      </c>
      <c r="G173" s="61">
        <v>90003208</v>
      </c>
      <c r="H173" s="54" t="s">
        <v>100</v>
      </c>
      <c r="I173" s="55">
        <v>28011604</v>
      </c>
      <c r="J173" s="54" t="s">
        <v>999</v>
      </c>
      <c r="K173" s="55" t="s">
        <v>128</v>
      </c>
      <c r="L173" s="54" t="s">
        <v>59</v>
      </c>
      <c r="M173" s="54" t="s">
        <v>632</v>
      </c>
    </row>
    <row r="174" spans="1:13">
      <c r="A174" s="53">
        <v>174</v>
      </c>
      <c r="B174" s="53" t="s">
        <v>53</v>
      </c>
      <c r="C174" s="54" t="s">
        <v>64</v>
      </c>
      <c r="D174" s="53" t="s">
        <v>61</v>
      </c>
      <c r="E174" s="53" t="s">
        <v>16</v>
      </c>
      <c r="F174" s="55" t="s">
        <v>128</v>
      </c>
      <c r="G174" s="61">
        <v>90003209</v>
      </c>
      <c r="H174" s="54" t="s">
        <v>118</v>
      </c>
      <c r="I174" s="55">
        <v>28011605</v>
      </c>
      <c r="J174" s="54" t="s">
        <v>1000</v>
      </c>
      <c r="K174" s="55" t="s">
        <v>128</v>
      </c>
      <c r="L174" s="54" t="s">
        <v>59</v>
      </c>
      <c r="M174" s="54" t="s">
        <v>632</v>
      </c>
    </row>
    <row r="175" spans="1:13">
      <c r="A175" s="53">
        <v>175</v>
      </c>
      <c r="B175" s="53" t="s">
        <v>53</v>
      </c>
      <c r="C175" s="54" t="s">
        <v>30</v>
      </c>
      <c r="D175" s="53" t="s">
        <v>61</v>
      </c>
      <c r="E175" s="53" t="s">
        <v>16</v>
      </c>
      <c r="F175" s="55" t="s">
        <v>99</v>
      </c>
      <c r="G175" s="61">
        <v>90003210</v>
      </c>
      <c r="H175" s="54" t="s">
        <v>298</v>
      </c>
      <c r="I175" s="55">
        <v>28011606</v>
      </c>
      <c r="J175" s="54" t="s">
        <v>1001</v>
      </c>
      <c r="K175" s="55" t="s">
        <v>99</v>
      </c>
      <c r="L175" s="54" t="s">
        <v>59</v>
      </c>
      <c r="M175" s="54" t="s">
        <v>632</v>
      </c>
    </row>
    <row r="176" spans="1:13">
      <c r="A176" s="53">
        <v>177</v>
      </c>
      <c r="B176" s="53" t="s">
        <v>53</v>
      </c>
      <c r="C176" s="54" t="s">
        <v>64</v>
      </c>
      <c r="D176" s="53" t="s">
        <v>61</v>
      </c>
      <c r="E176" s="53" t="s">
        <v>16</v>
      </c>
      <c r="F176" s="55" t="s">
        <v>56</v>
      </c>
      <c r="G176" s="61">
        <v>90003211</v>
      </c>
      <c r="H176" s="54" t="s">
        <v>153</v>
      </c>
      <c r="I176" s="55">
        <v>28011607</v>
      </c>
      <c r="J176" s="54" t="s">
        <v>1002</v>
      </c>
      <c r="K176" s="55" t="s">
        <v>128</v>
      </c>
      <c r="L176" s="54" t="s">
        <v>59</v>
      </c>
      <c r="M176" s="54" t="s">
        <v>632</v>
      </c>
    </row>
    <row r="177" spans="1:13">
      <c r="A177" s="53">
        <v>178</v>
      </c>
      <c r="B177" s="53" t="s">
        <v>53</v>
      </c>
      <c r="C177" s="54" t="s">
        <v>30</v>
      </c>
      <c r="D177" s="53" t="s">
        <v>61</v>
      </c>
      <c r="E177" s="53" t="s">
        <v>16</v>
      </c>
      <c r="F177" s="55" t="s">
        <v>210</v>
      </c>
      <c r="G177" s="61">
        <v>90003212</v>
      </c>
      <c r="H177" s="54" t="s">
        <v>321</v>
      </c>
      <c r="I177" s="55"/>
      <c r="J177" s="103"/>
      <c r="K177" s="55"/>
      <c r="L177" s="54"/>
      <c r="M177" s="54" t="s">
        <v>63</v>
      </c>
    </row>
    <row r="178" spans="1:13">
      <c r="A178" s="53">
        <v>177</v>
      </c>
      <c r="B178" s="53" t="s">
        <v>53</v>
      </c>
      <c r="C178" s="54" t="s">
        <v>36</v>
      </c>
      <c r="D178" s="53" t="s">
        <v>61</v>
      </c>
      <c r="E178" s="53" t="s">
        <v>16</v>
      </c>
      <c r="F178" s="55" t="s">
        <v>128</v>
      </c>
      <c r="G178" s="61">
        <v>90003213</v>
      </c>
      <c r="H178" s="54" t="s">
        <v>325</v>
      </c>
      <c r="I178" s="55">
        <v>28011608</v>
      </c>
      <c r="J178" s="54" t="s">
        <v>1003</v>
      </c>
      <c r="K178" s="55" t="s">
        <v>99</v>
      </c>
      <c r="L178" s="54" t="s">
        <v>59</v>
      </c>
      <c r="M178" s="54" t="s">
        <v>632</v>
      </c>
    </row>
    <row r="179" spans="1:13">
      <c r="A179" s="53">
        <v>180</v>
      </c>
      <c r="B179" s="53" t="s">
        <v>53</v>
      </c>
      <c r="C179" s="54" t="s">
        <v>64</v>
      </c>
      <c r="D179" s="53" t="s">
        <v>61</v>
      </c>
      <c r="E179" s="53" t="s">
        <v>16</v>
      </c>
      <c r="F179" s="55" t="s">
        <v>56</v>
      </c>
      <c r="G179" s="61">
        <v>90003214</v>
      </c>
      <c r="H179" s="54" t="s">
        <v>126</v>
      </c>
      <c r="I179" s="55"/>
      <c r="J179" s="103"/>
      <c r="K179" s="55"/>
      <c r="L179" s="54"/>
      <c r="M179" s="54" t="s">
        <v>63</v>
      </c>
    </row>
    <row r="180" spans="1:13">
      <c r="A180" s="53">
        <v>177</v>
      </c>
      <c r="B180" s="53" t="s">
        <v>53</v>
      </c>
      <c r="C180" s="54" t="s">
        <v>30</v>
      </c>
      <c r="D180" s="53" t="s">
        <v>61</v>
      </c>
      <c r="E180" s="53" t="s">
        <v>16</v>
      </c>
      <c r="F180" s="55" t="s">
        <v>72</v>
      </c>
      <c r="G180" s="61">
        <v>90003215</v>
      </c>
      <c r="H180" s="54" t="s">
        <v>329</v>
      </c>
      <c r="I180" s="55">
        <v>28011609</v>
      </c>
      <c r="J180" s="54" t="s">
        <v>1004</v>
      </c>
      <c r="K180" s="55" t="s">
        <v>56</v>
      </c>
      <c r="L180" s="54" t="s">
        <v>59</v>
      </c>
      <c r="M180" s="54" t="s">
        <v>632</v>
      </c>
    </row>
    <row r="181" spans="1:13">
      <c r="A181" s="53">
        <v>178</v>
      </c>
      <c r="B181" s="53" t="s">
        <v>53</v>
      </c>
      <c r="C181" s="54" t="s">
        <v>29</v>
      </c>
      <c r="D181" s="53" t="s">
        <v>61</v>
      </c>
      <c r="E181" s="53" t="s">
        <v>16</v>
      </c>
      <c r="F181" s="55" t="s">
        <v>128</v>
      </c>
      <c r="G181" s="61">
        <v>90003216</v>
      </c>
      <c r="H181" s="54" t="s">
        <v>165</v>
      </c>
      <c r="I181" s="55"/>
      <c r="J181" s="103"/>
      <c r="K181" s="55"/>
      <c r="L181" s="54"/>
      <c r="M181" s="54" t="s">
        <v>63</v>
      </c>
    </row>
    <row r="182" spans="1:13">
      <c r="A182" s="53">
        <v>183</v>
      </c>
      <c r="B182" s="53" t="s">
        <v>53</v>
      </c>
      <c r="C182" s="54" t="s">
        <v>30</v>
      </c>
      <c r="D182" s="53" t="s">
        <v>61</v>
      </c>
      <c r="E182" s="53" t="s">
        <v>16</v>
      </c>
      <c r="F182" s="55" t="s">
        <v>128</v>
      </c>
      <c r="G182" s="61">
        <v>90003217</v>
      </c>
      <c r="H182" s="54" t="s">
        <v>129</v>
      </c>
      <c r="I182" s="55">
        <v>28011610</v>
      </c>
      <c r="J182" s="54" t="s">
        <v>1005</v>
      </c>
      <c r="K182" s="55" t="s">
        <v>99</v>
      </c>
      <c r="L182" s="54" t="s">
        <v>59</v>
      </c>
      <c r="M182" s="54" t="s">
        <v>632</v>
      </c>
    </row>
    <row r="183" spans="1:13">
      <c r="A183" s="53">
        <v>183</v>
      </c>
      <c r="B183" s="53" t="s">
        <v>53</v>
      </c>
      <c r="C183" s="54" t="s">
        <v>54</v>
      </c>
      <c r="D183" s="53" t="s">
        <v>61</v>
      </c>
      <c r="E183" s="53" t="s">
        <v>16</v>
      </c>
      <c r="F183" s="55" t="s">
        <v>72</v>
      </c>
      <c r="G183" s="61">
        <v>90003218</v>
      </c>
      <c r="H183" s="54" t="s">
        <v>165</v>
      </c>
      <c r="I183" s="55">
        <v>28011611</v>
      </c>
      <c r="J183" s="54" t="s">
        <v>1006</v>
      </c>
      <c r="K183" s="55" t="s">
        <v>56</v>
      </c>
      <c r="L183" s="54" t="s">
        <v>59</v>
      </c>
      <c r="M183" s="54" t="s">
        <v>632</v>
      </c>
    </row>
    <row r="184" spans="1:13">
      <c r="A184" s="53">
        <v>184</v>
      </c>
      <c r="B184" s="53" t="s">
        <v>53</v>
      </c>
      <c r="C184" s="54" t="s">
        <v>36</v>
      </c>
      <c r="D184" s="53" t="s">
        <v>61</v>
      </c>
      <c r="E184" s="53" t="s">
        <v>16</v>
      </c>
      <c r="F184" s="55" t="s">
        <v>128</v>
      </c>
      <c r="G184" s="61">
        <v>90003219</v>
      </c>
      <c r="H184" s="54" t="s">
        <v>226</v>
      </c>
      <c r="I184" s="55">
        <v>28011612</v>
      </c>
      <c r="J184" s="54" t="s">
        <v>1007</v>
      </c>
      <c r="K184" s="55" t="s">
        <v>128</v>
      </c>
      <c r="L184" s="54" t="s">
        <v>59</v>
      </c>
      <c r="M184" s="54" t="s">
        <v>632</v>
      </c>
    </row>
    <row r="185" spans="1:13">
      <c r="A185" s="53">
        <v>186</v>
      </c>
      <c r="B185" s="53" t="s">
        <v>53</v>
      </c>
      <c r="C185" s="54" t="s">
        <v>64</v>
      </c>
      <c r="D185" s="53" t="s">
        <v>61</v>
      </c>
      <c r="E185" s="53" t="s">
        <v>16</v>
      </c>
      <c r="F185" s="55" t="s">
        <v>72</v>
      </c>
      <c r="G185" s="61">
        <v>90003220</v>
      </c>
      <c r="H185" s="54" t="s">
        <v>118</v>
      </c>
      <c r="I185" s="55">
        <v>28011613</v>
      </c>
      <c r="J185" s="54" t="s">
        <v>1008</v>
      </c>
      <c r="K185" s="55" t="s">
        <v>56</v>
      </c>
      <c r="L185" s="54" t="s">
        <v>59</v>
      </c>
      <c r="M185" s="54" t="s">
        <v>632</v>
      </c>
    </row>
    <row r="186" spans="1:13">
      <c r="A186" s="53">
        <v>186</v>
      </c>
      <c r="B186" s="53" t="s">
        <v>53</v>
      </c>
      <c r="C186" s="54" t="s">
        <v>36</v>
      </c>
      <c r="D186" s="53" t="s">
        <v>61</v>
      </c>
      <c r="E186" s="53" t="s">
        <v>16</v>
      </c>
      <c r="F186" s="55" t="s">
        <v>99</v>
      </c>
      <c r="G186" s="61">
        <v>90003221</v>
      </c>
      <c r="H186" s="54" t="s">
        <v>116</v>
      </c>
      <c r="I186" s="55">
        <v>28011523</v>
      </c>
      <c r="J186" s="54" t="s">
        <v>910</v>
      </c>
      <c r="K186" s="55" t="s">
        <v>99</v>
      </c>
      <c r="L186" s="54" t="s">
        <v>59</v>
      </c>
      <c r="M186" s="54" t="s">
        <v>632</v>
      </c>
    </row>
    <row r="187" spans="1:13">
      <c r="A187" s="53">
        <v>184</v>
      </c>
      <c r="B187" s="53" t="s">
        <v>53</v>
      </c>
      <c r="C187" s="54" t="s">
        <v>30</v>
      </c>
      <c r="D187" s="53" t="s">
        <v>61</v>
      </c>
      <c r="E187" s="53" t="s">
        <v>16</v>
      </c>
      <c r="F187" s="55" t="s">
        <v>69</v>
      </c>
      <c r="G187" s="61">
        <v>90003222</v>
      </c>
      <c r="H187" s="54" t="s">
        <v>331</v>
      </c>
      <c r="I187" s="55">
        <v>28011614</v>
      </c>
      <c r="J187" s="54" t="s">
        <v>1009</v>
      </c>
      <c r="K187" s="55" t="s">
        <v>69</v>
      </c>
      <c r="L187" s="54" t="s">
        <v>59</v>
      </c>
      <c r="M187" s="54" t="s">
        <v>632</v>
      </c>
    </row>
    <row r="188" spans="1:13">
      <c r="A188" s="53">
        <v>189</v>
      </c>
      <c r="B188" s="53" t="s">
        <v>53</v>
      </c>
      <c r="C188" s="54" t="s">
        <v>36</v>
      </c>
      <c r="D188" s="53" t="s">
        <v>61</v>
      </c>
      <c r="E188" s="53" t="s">
        <v>16</v>
      </c>
      <c r="F188" s="55" t="s">
        <v>128</v>
      </c>
      <c r="G188" s="61">
        <v>90003223</v>
      </c>
      <c r="H188" s="54" t="s">
        <v>226</v>
      </c>
      <c r="I188" s="55">
        <v>28011615</v>
      </c>
      <c r="J188" s="54" t="s">
        <v>1010</v>
      </c>
      <c r="K188" s="55" t="s">
        <v>128</v>
      </c>
      <c r="L188" s="54" t="s">
        <v>59</v>
      </c>
      <c r="M188" s="54" t="s">
        <v>632</v>
      </c>
    </row>
    <row r="189" spans="1:13">
      <c r="A189" s="53">
        <v>190</v>
      </c>
      <c r="B189" s="53" t="s">
        <v>53</v>
      </c>
      <c r="C189" s="54" t="s">
        <v>30</v>
      </c>
      <c r="D189" s="53" t="s">
        <v>61</v>
      </c>
      <c r="E189" s="53" t="s">
        <v>16</v>
      </c>
      <c r="F189" s="55" t="s">
        <v>72</v>
      </c>
      <c r="G189" s="61">
        <v>903224</v>
      </c>
      <c r="H189" s="54" t="s">
        <v>57</v>
      </c>
      <c r="I189" s="55">
        <v>28011616</v>
      </c>
      <c r="J189" s="54" t="s">
        <v>1011</v>
      </c>
      <c r="K189" s="55" t="s">
        <v>72</v>
      </c>
      <c r="L189" s="54" t="s">
        <v>59</v>
      </c>
      <c r="M189" s="54" t="s">
        <v>632</v>
      </c>
    </row>
    <row r="190" spans="1:13">
      <c r="A190" s="53">
        <v>189</v>
      </c>
      <c r="B190" s="53" t="s">
        <v>53</v>
      </c>
      <c r="C190" s="54" t="s">
        <v>30</v>
      </c>
      <c r="D190" s="53" t="s">
        <v>61</v>
      </c>
      <c r="E190" s="53" t="s">
        <v>16</v>
      </c>
      <c r="F190" s="55" t="s">
        <v>72</v>
      </c>
      <c r="G190" s="61">
        <v>903225</v>
      </c>
      <c r="H190" s="54" t="s">
        <v>57</v>
      </c>
      <c r="I190" s="55">
        <v>28011617</v>
      </c>
      <c r="J190" s="54" t="s">
        <v>1012</v>
      </c>
      <c r="K190" s="55" t="s">
        <v>72</v>
      </c>
      <c r="L190" s="54" t="s">
        <v>59</v>
      </c>
      <c r="M190" s="54" t="s">
        <v>632</v>
      </c>
    </row>
    <row r="191" spans="1:13">
      <c r="A191" s="53">
        <v>192</v>
      </c>
      <c r="B191" s="53" t="s">
        <v>53</v>
      </c>
      <c r="C191" s="54" t="s">
        <v>30</v>
      </c>
      <c r="D191" s="53" t="s">
        <v>61</v>
      </c>
      <c r="E191" s="53" t="s">
        <v>16</v>
      </c>
      <c r="F191" s="55" t="s">
        <v>56</v>
      </c>
      <c r="G191" s="61">
        <v>903226</v>
      </c>
      <c r="H191" s="54" t="s">
        <v>62</v>
      </c>
      <c r="I191" s="55">
        <v>28011618</v>
      </c>
      <c r="J191" s="54" t="s">
        <v>1013</v>
      </c>
      <c r="K191" s="55" t="s">
        <v>128</v>
      </c>
      <c r="L191" s="54" t="s">
        <v>59</v>
      </c>
      <c r="M191" s="54" t="s">
        <v>632</v>
      </c>
    </row>
    <row r="192" spans="1:13">
      <c r="A192" s="53">
        <v>189</v>
      </c>
      <c r="B192" s="53" t="s">
        <v>53</v>
      </c>
      <c r="C192" s="54" t="s">
        <v>30</v>
      </c>
      <c r="D192" s="53" t="s">
        <v>61</v>
      </c>
      <c r="E192" s="53" t="s">
        <v>16</v>
      </c>
      <c r="F192" s="55" t="s">
        <v>72</v>
      </c>
      <c r="G192" s="61">
        <v>903227</v>
      </c>
      <c r="H192" s="54" t="s">
        <v>57</v>
      </c>
      <c r="I192" s="55">
        <v>28011619</v>
      </c>
      <c r="J192" s="54" t="s">
        <v>1014</v>
      </c>
      <c r="K192" s="55" t="s">
        <v>72</v>
      </c>
      <c r="L192" s="54" t="s">
        <v>59</v>
      </c>
      <c r="M192" s="54" t="s">
        <v>632</v>
      </c>
    </row>
    <row r="193" spans="1:13">
      <c r="A193" s="53">
        <v>193</v>
      </c>
      <c r="B193" s="53" t="s">
        <v>53</v>
      </c>
      <c r="C193" s="54" t="s">
        <v>30</v>
      </c>
      <c r="D193" s="53" t="s">
        <v>61</v>
      </c>
      <c r="E193" s="53" t="s">
        <v>16</v>
      </c>
      <c r="F193" s="55" t="s">
        <v>99</v>
      </c>
      <c r="G193" s="61">
        <v>903228</v>
      </c>
      <c r="H193" s="54" t="s">
        <v>67</v>
      </c>
      <c r="I193" s="55">
        <v>28011620</v>
      </c>
      <c r="J193" s="54" t="s">
        <v>1015</v>
      </c>
      <c r="K193" s="55" t="s">
        <v>99</v>
      </c>
      <c r="L193" s="54" t="s">
        <v>59</v>
      </c>
      <c r="M193" s="54" t="s">
        <v>632</v>
      </c>
    </row>
    <row r="194" spans="1:13">
      <c r="A194" s="53">
        <v>195</v>
      </c>
      <c r="B194" s="53" t="s">
        <v>53</v>
      </c>
      <c r="C194" s="54" t="s">
        <v>29</v>
      </c>
      <c r="D194" s="53" t="s">
        <v>61</v>
      </c>
      <c r="E194" s="53" t="s">
        <v>16</v>
      </c>
      <c r="F194" s="55" t="s">
        <v>210</v>
      </c>
      <c r="G194" s="61">
        <v>903229</v>
      </c>
      <c r="H194" s="54" t="s">
        <v>70</v>
      </c>
      <c r="I194" s="55">
        <v>28011621</v>
      </c>
      <c r="J194" s="54" t="s">
        <v>1016</v>
      </c>
      <c r="K194" s="55" t="s">
        <v>210</v>
      </c>
      <c r="L194" s="54" t="s">
        <v>59</v>
      </c>
      <c r="M194" s="54" t="s">
        <v>632</v>
      </c>
    </row>
    <row r="195" spans="1:13">
      <c r="A195" s="53">
        <v>195</v>
      </c>
      <c r="B195" s="53" t="s">
        <v>53</v>
      </c>
      <c r="C195" s="54" t="s">
        <v>29</v>
      </c>
      <c r="D195" s="53" t="s">
        <v>61</v>
      </c>
      <c r="E195" s="53" t="s">
        <v>16</v>
      </c>
      <c r="F195" s="55" t="s">
        <v>99</v>
      </c>
      <c r="G195" s="61">
        <v>903230</v>
      </c>
      <c r="H195" s="54" t="s">
        <v>73</v>
      </c>
      <c r="I195" s="55">
        <v>28011622</v>
      </c>
      <c r="J195" s="54" t="s">
        <v>58</v>
      </c>
      <c r="K195" s="55" t="s">
        <v>128</v>
      </c>
      <c r="L195" s="54" t="s">
        <v>59</v>
      </c>
      <c r="M195" s="54" t="s">
        <v>632</v>
      </c>
    </row>
    <row r="196" spans="1:13">
      <c r="A196" s="53">
        <v>193</v>
      </c>
      <c r="B196" s="53" t="s">
        <v>53</v>
      </c>
      <c r="C196" s="54" t="s">
        <v>32</v>
      </c>
      <c r="D196" s="53" t="s">
        <v>61</v>
      </c>
      <c r="E196" s="53" t="s">
        <v>16</v>
      </c>
      <c r="F196" s="55" t="s">
        <v>56</v>
      </c>
      <c r="G196" s="61">
        <v>903231</v>
      </c>
      <c r="H196" s="54" t="s">
        <v>84</v>
      </c>
      <c r="I196" s="55">
        <v>28011623</v>
      </c>
      <c r="J196" s="54" t="s">
        <v>68</v>
      </c>
      <c r="K196" s="55" t="s">
        <v>56</v>
      </c>
      <c r="L196" s="54" t="s">
        <v>59</v>
      </c>
      <c r="M196" s="54" t="s">
        <v>632</v>
      </c>
    </row>
    <row r="197" spans="1:13">
      <c r="A197" s="53">
        <v>198</v>
      </c>
      <c r="B197" s="53" t="s">
        <v>53</v>
      </c>
      <c r="C197" s="54" t="s">
        <v>54</v>
      </c>
      <c r="D197" s="53" t="s">
        <v>61</v>
      </c>
      <c r="E197" s="53" t="s">
        <v>16</v>
      </c>
      <c r="F197" s="55" t="s">
        <v>56</v>
      </c>
      <c r="G197" s="61">
        <v>903232</v>
      </c>
      <c r="H197" s="54" t="s">
        <v>100</v>
      </c>
      <c r="I197" s="55">
        <v>28011624</v>
      </c>
      <c r="J197" s="54" t="s">
        <v>71</v>
      </c>
      <c r="K197" s="55" t="s">
        <v>56</v>
      </c>
      <c r="L197" s="54" t="s">
        <v>59</v>
      </c>
      <c r="M197" s="54" t="s">
        <v>632</v>
      </c>
    </row>
    <row r="198" spans="1:13">
      <c r="A198" s="53">
        <v>195</v>
      </c>
      <c r="B198" s="53" t="s">
        <v>53</v>
      </c>
      <c r="C198" s="54" t="s">
        <v>36</v>
      </c>
      <c r="D198" s="53" t="s">
        <v>61</v>
      </c>
      <c r="E198" s="53" t="s">
        <v>16</v>
      </c>
      <c r="F198" s="55" t="s">
        <v>56</v>
      </c>
      <c r="G198" s="61">
        <v>903233</v>
      </c>
      <c r="H198" s="54" t="s">
        <v>118</v>
      </c>
      <c r="I198" s="55">
        <v>28011625</v>
      </c>
      <c r="J198" s="54" t="s">
        <v>74</v>
      </c>
      <c r="K198" s="55" t="s">
        <v>128</v>
      </c>
      <c r="L198" s="54" t="s">
        <v>59</v>
      </c>
      <c r="M198" s="54" t="s">
        <v>632</v>
      </c>
    </row>
    <row r="199" spans="1:13">
      <c r="A199" s="53">
        <v>198</v>
      </c>
      <c r="B199" s="53" t="s">
        <v>53</v>
      </c>
      <c r="C199" s="54" t="s">
        <v>54</v>
      </c>
      <c r="D199" s="53" t="s">
        <v>61</v>
      </c>
      <c r="E199" s="53" t="s">
        <v>16</v>
      </c>
      <c r="F199" s="55" t="s">
        <v>56</v>
      </c>
      <c r="G199" s="61">
        <v>903234</v>
      </c>
      <c r="H199" s="54" t="s">
        <v>100</v>
      </c>
      <c r="I199" s="55">
        <v>28011626</v>
      </c>
      <c r="J199" s="54" t="s">
        <v>76</v>
      </c>
      <c r="K199" s="55" t="s">
        <v>56</v>
      </c>
      <c r="L199" s="54" t="s">
        <v>59</v>
      </c>
      <c r="M199" s="54" t="s">
        <v>632</v>
      </c>
    </row>
    <row r="200" spans="1:13">
      <c r="A200" s="53">
        <v>201</v>
      </c>
      <c r="B200" s="53" t="s">
        <v>53</v>
      </c>
      <c r="C200" s="54" t="s">
        <v>33</v>
      </c>
      <c r="D200" s="53" t="s">
        <v>61</v>
      </c>
      <c r="E200" s="53" t="s">
        <v>16</v>
      </c>
      <c r="F200" s="55" t="s">
        <v>72</v>
      </c>
      <c r="G200" s="61">
        <v>903235</v>
      </c>
      <c r="H200" s="54" t="s">
        <v>266</v>
      </c>
      <c r="I200" s="55">
        <v>28011627</v>
      </c>
      <c r="J200" s="103" t="s">
        <v>77</v>
      </c>
      <c r="K200" s="55" t="s">
        <v>56</v>
      </c>
      <c r="L200" s="54" t="s">
        <v>59</v>
      </c>
      <c r="M200" s="56" t="s">
        <v>631</v>
      </c>
    </row>
    <row r="201" spans="1:13">
      <c r="A201" s="53">
        <v>199</v>
      </c>
      <c r="B201" s="53" t="s">
        <v>53</v>
      </c>
      <c r="C201" s="54" t="s">
        <v>54</v>
      </c>
      <c r="D201" s="53" t="s">
        <v>61</v>
      </c>
      <c r="E201" s="53" t="s">
        <v>16</v>
      </c>
      <c r="F201" s="55" t="s">
        <v>69</v>
      </c>
      <c r="G201" s="61">
        <v>903236</v>
      </c>
      <c r="H201" s="54" t="s">
        <v>92</v>
      </c>
      <c r="I201" s="55"/>
      <c r="J201" s="103"/>
      <c r="K201" s="55"/>
      <c r="L201" s="54"/>
      <c r="M201" s="54" t="s">
        <v>63</v>
      </c>
    </row>
    <row r="202" spans="1:13">
      <c r="A202" s="53">
        <v>202</v>
      </c>
      <c r="B202" s="53" t="s">
        <v>53</v>
      </c>
      <c r="C202" s="54" t="s">
        <v>29</v>
      </c>
      <c r="D202" s="53" t="s">
        <v>61</v>
      </c>
      <c r="E202" s="53" t="s">
        <v>16</v>
      </c>
      <c r="F202" s="55" t="s">
        <v>99</v>
      </c>
      <c r="G202" s="61">
        <v>903237</v>
      </c>
      <c r="H202" s="54" t="s">
        <v>70</v>
      </c>
      <c r="I202" s="55">
        <v>28011628</v>
      </c>
      <c r="J202" s="54" t="s">
        <v>78</v>
      </c>
      <c r="K202" s="55" t="s">
        <v>99</v>
      </c>
      <c r="L202" s="54" t="s">
        <v>59</v>
      </c>
      <c r="M202" s="54" t="s">
        <v>632</v>
      </c>
    </row>
    <row r="203" spans="1:13">
      <c r="A203" s="53">
        <v>204</v>
      </c>
      <c r="B203" s="53" t="s">
        <v>53</v>
      </c>
      <c r="C203" s="54" t="s">
        <v>29</v>
      </c>
      <c r="D203" s="53" t="s">
        <v>61</v>
      </c>
      <c r="E203" s="53" t="s">
        <v>16</v>
      </c>
      <c r="F203" s="55" t="s">
        <v>210</v>
      </c>
      <c r="G203" s="61">
        <v>903238</v>
      </c>
      <c r="H203" s="54" t="s">
        <v>221</v>
      </c>
      <c r="I203" s="55">
        <v>28011629</v>
      </c>
      <c r="J203" s="54" t="s">
        <v>79</v>
      </c>
      <c r="K203" s="55" t="s">
        <v>210</v>
      </c>
      <c r="L203" s="54" t="s">
        <v>59</v>
      </c>
      <c r="M203" s="54" t="s">
        <v>632</v>
      </c>
    </row>
    <row r="204" spans="1:13">
      <c r="A204" s="53">
        <v>204</v>
      </c>
      <c r="B204" s="53" t="s">
        <v>53</v>
      </c>
      <c r="C204" s="54" t="s">
        <v>29</v>
      </c>
      <c r="D204" s="53" t="s">
        <v>61</v>
      </c>
      <c r="E204" s="53" t="s">
        <v>16</v>
      </c>
      <c r="F204" s="55" t="s">
        <v>99</v>
      </c>
      <c r="G204" s="61">
        <v>903239</v>
      </c>
      <c r="H204" s="54" t="s">
        <v>70</v>
      </c>
      <c r="I204" s="55">
        <v>28011630</v>
      </c>
      <c r="J204" s="54" t="s">
        <v>81</v>
      </c>
      <c r="K204" s="55" t="s">
        <v>99</v>
      </c>
      <c r="L204" s="54" t="s">
        <v>59</v>
      </c>
      <c r="M204" s="54" t="s">
        <v>632</v>
      </c>
    </row>
    <row r="205" spans="1:13">
      <c r="A205" s="53">
        <v>202</v>
      </c>
      <c r="B205" s="53" t="s">
        <v>53</v>
      </c>
      <c r="C205" s="54" t="s">
        <v>30</v>
      </c>
      <c r="D205" s="53" t="s">
        <v>61</v>
      </c>
      <c r="E205" s="53" t="s">
        <v>16</v>
      </c>
      <c r="F205" s="55" t="s">
        <v>72</v>
      </c>
      <c r="G205" s="61">
        <v>903240</v>
      </c>
      <c r="H205" s="54" t="s">
        <v>57</v>
      </c>
      <c r="I205" s="55">
        <v>28011631</v>
      </c>
      <c r="J205" s="54" t="s">
        <v>82</v>
      </c>
      <c r="K205" s="55" t="s">
        <v>72</v>
      </c>
      <c r="L205" s="54" t="s">
        <v>59</v>
      </c>
      <c r="M205" s="54" t="s">
        <v>632</v>
      </c>
    </row>
    <row r="206" spans="1:13">
      <c r="A206" s="53">
        <v>207</v>
      </c>
      <c r="B206" s="53" t="s">
        <v>53</v>
      </c>
      <c r="C206" s="54" t="s">
        <v>30</v>
      </c>
      <c r="D206" s="53" t="s">
        <v>61</v>
      </c>
      <c r="E206" s="53" t="s">
        <v>16</v>
      </c>
      <c r="F206" s="55" t="s">
        <v>72</v>
      </c>
      <c r="G206" s="61">
        <v>903241</v>
      </c>
      <c r="H206" s="54" t="s">
        <v>57</v>
      </c>
      <c r="I206" s="55">
        <v>28011632</v>
      </c>
      <c r="J206" s="54" t="s">
        <v>83</v>
      </c>
      <c r="K206" s="55" t="s">
        <v>72</v>
      </c>
      <c r="L206" s="54" t="s">
        <v>59</v>
      </c>
      <c r="M206" s="54" t="s">
        <v>632</v>
      </c>
    </row>
    <row r="207" spans="1:13">
      <c r="A207" s="53">
        <v>204</v>
      </c>
      <c r="B207" s="53" t="s">
        <v>53</v>
      </c>
      <c r="C207" s="54" t="s">
        <v>29</v>
      </c>
      <c r="D207" s="53" t="s">
        <v>61</v>
      </c>
      <c r="E207" s="53" t="s">
        <v>16</v>
      </c>
      <c r="F207" s="55" t="s">
        <v>56</v>
      </c>
      <c r="G207" s="61">
        <v>903242</v>
      </c>
      <c r="H207" s="54" t="s">
        <v>73</v>
      </c>
      <c r="I207" s="55"/>
      <c r="J207" s="103"/>
      <c r="K207" s="55"/>
      <c r="L207" s="54"/>
      <c r="M207" s="54" t="s">
        <v>63</v>
      </c>
    </row>
    <row r="208" spans="1:13">
      <c r="A208" s="53">
        <v>205</v>
      </c>
      <c r="B208" s="53" t="s">
        <v>53</v>
      </c>
      <c r="C208" s="54" t="s">
        <v>54</v>
      </c>
      <c r="D208" s="53" t="s">
        <v>61</v>
      </c>
      <c r="E208" s="53" t="s">
        <v>16</v>
      </c>
      <c r="F208" s="55" t="s">
        <v>56</v>
      </c>
      <c r="G208" s="61">
        <v>903243</v>
      </c>
      <c r="H208" s="54" t="s">
        <v>100</v>
      </c>
      <c r="I208" s="55">
        <v>28011633</v>
      </c>
      <c r="J208" s="54" t="s">
        <v>86</v>
      </c>
      <c r="K208" s="55" t="s">
        <v>56</v>
      </c>
      <c r="L208" s="54" t="s">
        <v>59</v>
      </c>
      <c r="M208" s="54" t="s">
        <v>632</v>
      </c>
    </row>
    <row r="209" spans="1:13">
      <c r="A209" s="53">
        <v>210</v>
      </c>
      <c r="B209" s="53" t="s">
        <v>53</v>
      </c>
      <c r="C209" s="54" t="s">
        <v>54</v>
      </c>
      <c r="D209" s="53" t="s">
        <v>61</v>
      </c>
      <c r="E209" s="53" t="s">
        <v>16</v>
      </c>
      <c r="F209" s="55" t="s">
        <v>99</v>
      </c>
      <c r="G209" s="61">
        <v>903244</v>
      </c>
      <c r="H209" s="54" t="s">
        <v>100</v>
      </c>
      <c r="I209" s="55">
        <v>28011634</v>
      </c>
      <c r="J209" s="54" t="s">
        <v>87</v>
      </c>
      <c r="K209" s="55" t="s">
        <v>99</v>
      </c>
      <c r="L209" s="54" t="s">
        <v>59</v>
      </c>
      <c r="M209" s="54" t="s">
        <v>632</v>
      </c>
    </row>
    <row r="210" spans="1:13">
      <c r="A210" s="53">
        <v>211</v>
      </c>
      <c r="B210" s="53" t="s">
        <v>53</v>
      </c>
      <c r="C210" s="54" t="s">
        <v>33</v>
      </c>
      <c r="D210" s="53" t="s">
        <v>61</v>
      </c>
      <c r="E210" s="53" t="s">
        <v>16</v>
      </c>
      <c r="F210" s="55" t="s">
        <v>66</v>
      </c>
      <c r="G210" s="61">
        <v>903245</v>
      </c>
      <c r="H210" s="54" t="s">
        <v>100</v>
      </c>
      <c r="I210" s="55">
        <v>28011635</v>
      </c>
      <c r="J210" s="54" t="s">
        <v>88</v>
      </c>
      <c r="K210" s="55" t="s">
        <v>495</v>
      </c>
      <c r="L210" s="54" t="s">
        <v>59</v>
      </c>
      <c r="M210" s="54" t="s">
        <v>632</v>
      </c>
    </row>
    <row r="211" spans="1:13">
      <c r="A211" s="53">
        <v>212</v>
      </c>
      <c r="B211" s="53" t="s">
        <v>53</v>
      </c>
      <c r="C211" s="54" t="s">
        <v>36</v>
      </c>
      <c r="D211" s="53" t="s">
        <v>61</v>
      </c>
      <c r="E211" s="53" t="s">
        <v>16</v>
      </c>
      <c r="F211" s="55" t="s">
        <v>210</v>
      </c>
      <c r="G211" s="61">
        <v>903246</v>
      </c>
      <c r="H211" s="54" t="s">
        <v>253</v>
      </c>
      <c r="I211" s="55">
        <v>28011636</v>
      </c>
      <c r="J211" s="54" t="s">
        <v>89</v>
      </c>
      <c r="K211" s="55" t="s">
        <v>210</v>
      </c>
      <c r="L211" s="54" t="s">
        <v>59</v>
      </c>
      <c r="M211" s="54" t="s">
        <v>632</v>
      </c>
    </row>
    <row r="212" spans="1:13">
      <c r="A212" s="53">
        <v>213</v>
      </c>
      <c r="B212" s="53" t="s">
        <v>53</v>
      </c>
      <c r="C212" s="54" t="s">
        <v>33</v>
      </c>
      <c r="D212" s="53" t="s">
        <v>61</v>
      </c>
      <c r="E212" s="53" t="s">
        <v>16</v>
      </c>
      <c r="F212" s="55" t="s">
        <v>56</v>
      </c>
      <c r="G212" s="61">
        <v>903247</v>
      </c>
      <c r="H212" s="54" t="s">
        <v>116</v>
      </c>
      <c r="I212" s="55">
        <v>28011637</v>
      </c>
      <c r="J212" s="54" t="s">
        <v>90</v>
      </c>
      <c r="K212" s="55" t="s">
        <v>56</v>
      </c>
      <c r="L212" s="54" t="s">
        <v>59</v>
      </c>
      <c r="M212" s="54" t="s">
        <v>632</v>
      </c>
    </row>
    <row r="213" spans="1:13">
      <c r="A213" s="53">
        <v>211</v>
      </c>
      <c r="B213" s="53" t="s">
        <v>53</v>
      </c>
      <c r="C213" s="54" t="s">
        <v>54</v>
      </c>
      <c r="D213" s="53" t="s">
        <v>61</v>
      </c>
      <c r="E213" s="53" t="s">
        <v>16</v>
      </c>
      <c r="F213" s="55" t="s">
        <v>128</v>
      </c>
      <c r="G213" s="61">
        <v>903248</v>
      </c>
      <c r="H213" s="54" t="s">
        <v>100</v>
      </c>
      <c r="I213" s="55">
        <v>28011638</v>
      </c>
      <c r="J213" s="54" t="s">
        <v>93</v>
      </c>
      <c r="K213" s="55" t="s">
        <v>128</v>
      </c>
      <c r="L213" s="54" t="s">
        <v>59</v>
      </c>
      <c r="M213" s="54" t="s">
        <v>632</v>
      </c>
    </row>
    <row r="214" spans="1:13">
      <c r="A214" s="53">
        <v>214</v>
      </c>
      <c r="B214" s="53" t="s">
        <v>53</v>
      </c>
      <c r="C214" s="54" t="s">
        <v>32</v>
      </c>
      <c r="D214" s="53" t="s">
        <v>61</v>
      </c>
      <c r="E214" s="53" t="s">
        <v>16</v>
      </c>
      <c r="F214" s="55" t="s">
        <v>99</v>
      </c>
      <c r="G214" s="61">
        <v>903249</v>
      </c>
      <c r="H214" s="54" t="s">
        <v>170</v>
      </c>
      <c r="I214" s="55">
        <v>28011639</v>
      </c>
      <c r="J214" s="54" t="s">
        <v>94</v>
      </c>
      <c r="K214" s="55" t="s">
        <v>128</v>
      </c>
      <c r="L214" s="54" t="s">
        <v>59</v>
      </c>
      <c r="M214" s="54" t="s">
        <v>632</v>
      </c>
    </row>
    <row r="215" spans="1:13">
      <c r="A215" s="53">
        <v>216</v>
      </c>
      <c r="B215" s="53" t="s">
        <v>53</v>
      </c>
      <c r="C215" s="54" t="s">
        <v>32</v>
      </c>
      <c r="D215" s="53" t="s">
        <v>61</v>
      </c>
      <c r="E215" s="53" t="s">
        <v>16</v>
      </c>
      <c r="F215" s="55" t="s">
        <v>66</v>
      </c>
      <c r="G215" s="61">
        <v>903250</v>
      </c>
      <c r="H215" s="54" t="s">
        <v>103</v>
      </c>
      <c r="I215" s="55">
        <v>28011640</v>
      </c>
      <c r="J215" s="54" t="s">
        <v>95</v>
      </c>
      <c r="K215" s="55" t="s">
        <v>66</v>
      </c>
      <c r="L215" s="54" t="s">
        <v>59</v>
      </c>
      <c r="M215" s="54" t="s">
        <v>632</v>
      </c>
    </row>
    <row r="216" spans="1:13">
      <c r="A216" s="53">
        <v>213</v>
      </c>
      <c r="B216" s="53" t="s">
        <v>53</v>
      </c>
      <c r="C216" s="54" t="s">
        <v>64</v>
      </c>
      <c r="D216" s="53" t="s">
        <v>61</v>
      </c>
      <c r="E216" s="53" t="s">
        <v>16</v>
      </c>
      <c r="F216" s="55" t="s">
        <v>210</v>
      </c>
      <c r="G216" s="61">
        <v>903251</v>
      </c>
      <c r="H216" s="54" t="s">
        <v>111</v>
      </c>
      <c r="I216" s="55">
        <v>28011641</v>
      </c>
      <c r="J216" s="54" t="s">
        <v>97</v>
      </c>
      <c r="K216" s="55" t="s">
        <v>69</v>
      </c>
      <c r="L216" s="54" t="s">
        <v>59</v>
      </c>
      <c r="M216" s="54" t="s">
        <v>632</v>
      </c>
    </row>
    <row r="217" spans="1:13">
      <c r="A217" s="53">
        <v>214</v>
      </c>
      <c r="B217" s="53" t="s">
        <v>53</v>
      </c>
      <c r="C217" s="54" t="s">
        <v>30</v>
      </c>
      <c r="D217" s="53" t="s">
        <v>61</v>
      </c>
      <c r="E217" s="53" t="s">
        <v>16</v>
      </c>
      <c r="F217" s="55" t="s">
        <v>128</v>
      </c>
      <c r="G217" s="61">
        <v>903252</v>
      </c>
      <c r="H217" s="54" t="s">
        <v>113</v>
      </c>
      <c r="I217" s="55">
        <v>28011642</v>
      </c>
      <c r="J217" s="54" t="s">
        <v>101</v>
      </c>
      <c r="K217" s="55" t="s">
        <v>99</v>
      </c>
      <c r="L217" s="54" t="s">
        <v>59</v>
      </c>
      <c r="M217" s="54" t="s">
        <v>632</v>
      </c>
    </row>
    <row r="218" spans="1:13">
      <c r="A218" s="53">
        <v>219</v>
      </c>
      <c r="B218" s="53" t="s">
        <v>53</v>
      </c>
      <c r="C218" s="54" t="s">
        <v>30</v>
      </c>
      <c r="D218" s="53" t="s">
        <v>61</v>
      </c>
      <c r="E218" s="53" t="s">
        <v>16</v>
      </c>
      <c r="F218" s="55" t="s">
        <v>69</v>
      </c>
      <c r="G218" s="61">
        <v>903253</v>
      </c>
      <c r="H218" s="54"/>
      <c r="I218" s="55"/>
      <c r="J218" s="54"/>
      <c r="K218" s="55"/>
      <c r="L218" s="54"/>
      <c r="M218" s="54" t="s">
        <v>920</v>
      </c>
    </row>
    <row r="219" spans="1:13">
      <c r="A219" s="53">
        <v>216</v>
      </c>
      <c r="B219" s="53" t="s">
        <v>53</v>
      </c>
      <c r="C219" s="54" t="s">
        <v>54</v>
      </c>
      <c r="D219" s="53" t="s">
        <v>61</v>
      </c>
      <c r="E219" s="53" t="s">
        <v>16</v>
      </c>
      <c r="F219" s="55" t="s">
        <v>69</v>
      </c>
      <c r="G219" s="61">
        <v>903254</v>
      </c>
      <c r="H219" s="54" t="s">
        <v>116</v>
      </c>
      <c r="I219" s="55">
        <v>28011643</v>
      </c>
      <c r="J219" s="54" t="s">
        <v>104</v>
      </c>
      <c r="K219" s="55" t="s">
        <v>69</v>
      </c>
      <c r="L219" s="54" t="s">
        <v>59</v>
      </c>
      <c r="M219" s="54" t="s">
        <v>632</v>
      </c>
    </row>
    <row r="220" spans="1:13">
      <c r="A220" s="53">
        <v>220</v>
      </c>
      <c r="B220" s="53" t="s">
        <v>53</v>
      </c>
      <c r="C220" s="54" t="s">
        <v>30</v>
      </c>
      <c r="D220" s="53" t="s">
        <v>61</v>
      </c>
      <c r="E220" s="53" t="s">
        <v>16</v>
      </c>
      <c r="F220" s="55" t="s">
        <v>69</v>
      </c>
      <c r="G220" s="61">
        <v>903255</v>
      </c>
      <c r="H220" s="54"/>
      <c r="I220" s="55"/>
      <c r="J220" s="54"/>
      <c r="K220" s="55"/>
      <c r="L220" s="54"/>
      <c r="M220" s="54" t="s">
        <v>920</v>
      </c>
    </row>
    <row r="221" spans="1:13">
      <c r="A221" s="53">
        <v>222</v>
      </c>
      <c r="B221" s="53" t="s">
        <v>53</v>
      </c>
      <c r="C221" s="54" t="s">
        <v>36</v>
      </c>
      <c r="D221" s="53" t="s">
        <v>61</v>
      </c>
      <c r="E221" s="53" t="s">
        <v>16</v>
      </c>
      <c r="F221" s="55" t="s">
        <v>69</v>
      </c>
      <c r="G221" s="61">
        <v>903256</v>
      </c>
      <c r="H221" s="54" t="s">
        <v>118</v>
      </c>
      <c r="I221" s="55">
        <v>28011644</v>
      </c>
      <c r="J221" s="54" t="s">
        <v>105</v>
      </c>
      <c r="K221" s="55" t="s">
        <v>69</v>
      </c>
      <c r="L221" s="54" t="s">
        <v>59</v>
      </c>
      <c r="M221" s="54" t="s">
        <v>632</v>
      </c>
    </row>
    <row r="222" spans="1:13">
      <c r="A222" s="53">
        <v>220</v>
      </c>
      <c r="B222" s="53" t="s">
        <v>53</v>
      </c>
      <c r="C222" s="54" t="s">
        <v>30</v>
      </c>
      <c r="D222" s="53" t="s">
        <v>61</v>
      </c>
      <c r="E222" s="53" t="s">
        <v>16</v>
      </c>
      <c r="F222" s="55" t="s">
        <v>69</v>
      </c>
      <c r="G222" s="61">
        <v>903257</v>
      </c>
      <c r="H222" s="54"/>
      <c r="I222" s="55"/>
      <c r="J222" s="54"/>
      <c r="K222" s="55"/>
      <c r="L222" s="54"/>
      <c r="M222" s="54" t="s">
        <v>920</v>
      </c>
    </row>
    <row r="223" spans="1:13">
      <c r="A223" s="53">
        <v>221</v>
      </c>
      <c r="B223" s="53" t="s">
        <v>53</v>
      </c>
      <c r="C223" s="54" t="s">
        <v>30</v>
      </c>
      <c r="D223" s="53" t="s">
        <v>61</v>
      </c>
      <c r="E223" s="53" t="s">
        <v>16</v>
      </c>
      <c r="F223" s="55" t="s">
        <v>69</v>
      </c>
      <c r="G223" s="61">
        <v>903258</v>
      </c>
      <c r="H223" s="54"/>
      <c r="I223" s="55"/>
      <c r="J223" s="54"/>
      <c r="K223" s="55"/>
      <c r="L223" s="54"/>
      <c r="M223" s="54" t="s">
        <v>920</v>
      </c>
    </row>
    <row r="224" spans="1:13">
      <c r="A224" s="53">
        <v>225</v>
      </c>
      <c r="B224" s="53" t="s">
        <v>53</v>
      </c>
      <c r="C224" s="54" t="s">
        <v>64</v>
      </c>
      <c r="D224" s="53" t="s">
        <v>61</v>
      </c>
      <c r="E224" s="53" t="s">
        <v>16</v>
      </c>
      <c r="F224" s="55" t="s">
        <v>69</v>
      </c>
      <c r="G224" s="61">
        <v>903259</v>
      </c>
      <c r="H224" s="54" t="s">
        <v>120</v>
      </c>
      <c r="I224" s="55">
        <v>28011645</v>
      </c>
      <c r="J224" s="54" t="s">
        <v>106</v>
      </c>
      <c r="K224" s="55" t="s">
        <v>69</v>
      </c>
      <c r="L224" s="54" t="s">
        <v>59</v>
      </c>
      <c r="M224" s="54" t="s">
        <v>632</v>
      </c>
    </row>
    <row r="225" spans="1:13">
      <c r="A225" s="53">
        <v>225</v>
      </c>
      <c r="B225" s="53" t="s">
        <v>53</v>
      </c>
      <c r="C225" s="54" t="s">
        <v>30</v>
      </c>
      <c r="D225" s="53" t="s">
        <v>61</v>
      </c>
      <c r="E225" s="53" t="s">
        <v>16</v>
      </c>
      <c r="F225" s="55" t="s">
        <v>69</v>
      </c>
      <c r="G225" s="61">
        <v>903260</v>
      </c>
      <c r="H225" s="54" t="s">
        <v>126</v>
      </c>
      <c r="I225" s="55">
        <v>28011646</v>
      </c>
      <c r="J225" s="54" t="s">
        <v>108</v>
      </c>
      <c r="K225" s="55" t="s">
        <v>210</v>
      </c>
      <c r="L225" s="54" t="s">
        <v>59</v>
      </c>
      <c r="M225" s="54" t="s">
        <v>632</v>
      </c>
    </row>
    <row r="226" spans="1:13">
      <c r="A226" s="53">
        <v>223</v>
      </c>
      <c r="B226" s="53" t="s">
        <v>53</v>
      </c>
      <c r="C226" s="54" t="s">
        <v>35</v>
      </c>
      <c r="D226" s="53" t="s">
        <v>61</v>
      </c>
      <c r="E226" s="53" t="s">
        <v>16</v>
      </c>
      <c r="F226" s="55" t="s">
        <v>99</v>
      </c>
      <c r="G226" s="61">
        <v>903261</v>
      </c>
      <c r="H226" s="54" t="s">
        <v>129</v>
      </c>
      <c r="I226" s="55">
        <v>28011647</v>
      </c>
      <c r="J226" s="54" t="s">
        <v>110</v>
      </c>
      <c r="K226" s="55" t="s">
        <v>99</v>
      </c>
      <c r="L226" s="54" t="s">
        <v>59</v>
      </c>
      <c r="M226" s="54" t="s">
        <v>632</v>
      </c>
    </row>
    <row r="227" spans="1:13">
      <c r="A227" s="53">
        <v>226</v>
      </c>
      <c r="B227" s="53" t="s">
        <v>53</v>
      </c>
      <c r="C227" s="54" t="s">
        <v>29</v>
      </c>
      <c r="D227" s="53" t="s">
        <v>61</v>
      </c>
      <c r="E227" s="53" t="s">
        <v>16</v>
      </c>
      <c r="F227" s="55" t="s">
        <v>99</v>
      </c>
      <c r="G227" s="61">
        <v>903262</v>
      </c>
      <c r="H227" s="54" t="s">
        <v>131</v>
      </c>
      <c r="I227" s="55">
        <v>28011648</v>
      </c>
      <c r="J227" s="54" t="s">
        <v>112</v>
      </c>
      <c r="K227" s="55" t="s">
        <v>210</v>
      </c>
      <c r="L227" s="54" t="s">
        <v>59</v>
      </c>
      <c r="M227" s="54" t="s">
        <v>632</v>
      </c>
    </row>
    <row r="228" spans="1:13">
      <c r="A228" s="53">
        <v>225</v>
      </c>
      <c r="B228" s="53" t="s">
        <v>53</v>
      </c>
      <c r="C228" s="54" t="s">
        <v>64</v>
      </c>
      <c r="D228" s="53" t="s">
        <v>61</v>
      </c>
      <c r="E228" s="53" t="s">
        <v>16</v>
      </c>
      <c r="F228" s="55" t="s">
        <v>99</v>
      </c>
      <c r="G228" s="61">
        <v>903263</v>
      </c>
      <c r="H228" s="54" t="s">
        <v>133</v>
      </c>
      <c r="I228" s="55">
        <v>28011649</v>
      </c>
      <c r="J228" s="54" t="s">
        <v>114</v>
      </c>
      <c r="K228" s="55" t="s">
        <v>99</v>
      </c>
      <c r="L228" s="54" t="s">
        <v>59</v>
      </c>
      <c r="M228" s="54" t="s">
        <v>632</v>
      </c>
    </row>
    <row r="229" spans="1:13">
      <c r="A229" s="53">
        <v>229</v>
      </c>
      <c r="B229" s="53" t="s">
        <v>53</v>
      </c>
      <c r="C229" s="54" t="s">
        <v>36</v>
      </c>
      <c r="D229" s="53" t="s">
        <v>61</v>
      </c>
      <c r="E229" s="53" t="s">
        <v>16</v>
      </c>
      <c r="F229" s="55" t="s">
        <v>128</v>
      </c>
      <c r="G229" s="61">
        <v>903264</v>
      </c>
      <c r="H229" s="54" t="s">
        <v>319</v>
      </c>
      <c r="I229" s="55">
        <v>28011650</v>
      </c>
      <c r="J229" s="54" t="s">
        <v>115</v>
      </c>
      <c r="K229" s="55" t="s">
        <v>56</v>
      </c>
      <c r="L229" s="54" t="s">
        <v>59</v>
      </c>
      <c r="M229" s="54" t="s">
        <v>632</v>
      </c>
    </row>
    <row r="230" spans="1:13">
      <c r="A230" s="53">
        <v>231</v>
      </c>
      <c r="B230" s="53" t="s">
        <v>53</v>
      </c>
      <c r="C230" s="54" t="s">
        <v>30</v>
      </c>
      <c r="D230" s="53" t="s">
        <v>61</v>
      </c>
      <c r="E230" s="53" t="s">
        <v>16</v>
      </c>
      <c r="F230" s="55" t="s">
        <v>99</v>
      </c>
      <c r="G230" s="61">
        <v>903265</v>
      </c>
      <c r="H230" s="54"/>
      <c r="I230" s="55"/>
      <c r="J230" s="54"/>
      <c r="K230" s="55"/>
      <c r="L230" s="54"/>
      <c r="M230" s="54" t="s">
        <v>920</v>
      </c>
    </row>
    <row r="231" spans="1:13">
      <c r="A231" s="53">
        <v>229</v>
      </c>
      <c r="B231" s="53" t="s">
        <v>53</v>
      </c>
      <c r="C231" s="54" t="s">
        <v>30</v>
      </c>
      <c r="D231" s="53" t="s">
        <v>61</v>
      </c>
      <c r="E231" s="53" t="s">
        <v>16</v>
      </c>
      <c r="F231" s="55" t="s">
        <v>99</v>
      </c>
      <c r="G231" s="61">
        <v>903266</v>
      </c>
      <c r="H231" s="54" t="s">
        <v>135</v>
      </c>
      <c r="I231" s="55">
        <v>28011651</v>
      </c>
      <c r="J231" s="54" t="s">
        <v>117</v>
      </c>
      <c r="K231" s="55" t="s">
        <v>99</v>
      </c>
      <c r="L231" s="54" t="s">
        <v>59</v>
      </c>
      <c r="M231" s="54" t="s">
        <v>632</v>
      </c>
    </row>
    <row r="232" spans="1:13">
      <c r="A232" s="53">
        <v>230</v>
      </c>
      <c r="B232" s="53" t="s">
        <v>53</v>
      </c>
      <c r="C232" s="54" t="s">
        <v>29</v>
      </c>
      <c r="D232" s="53" t="s">
        <v>61</v>
      </c>
      <c r="E232" s="53" t="s">
        <v>16</v>
      </c>
      <c r="F232" s="55" t="s">
        <v>99</v>
      </c>
      <c r="G232" s="61">
        <v>903267</v>
      </c>
      <c r="H232" s="54" t="s">
        <v>137</v>
      </c>
      <c r="I232" s="55">
        <v>28011652</v>
      </c>
      <c r="J232" s="54" t="s">
        <v>119</v>
      </c>
      <c r="K232" s="55" t="s">
        <v>99</v>
      </c>
      <c r="L232" s="54" t="s">
        <v>59</v>
      </c>
      <c r="M232" s="54" t="s">
        <v>632</v>
      </c>
    </row>
    <row r="233" spans="1:13">
      <c r="A233" s="53">
        <v>234</v>
      </c>
      <c r="B233" s="53" t="s">
        <v>53</v>
      </c>
      <c r="C233" s="54" t="s">
        <v>29</v>
      </c>
      <c r="D233" s="53" t="s">
        <v>61</v>
      </c>
      <c r="E233" s="53" t="s">
        <v>16</v>
      </c>
      <c r="F233" s="55" t="s">
        <v>99</v>
      </c>
      <c r="G233" s="61">
        <v>903268</v>
      </c>
      <c r="H233" s="54" t="s">
        <v>139</v>
      </c>
      <c r="I233" s="55">
        <v>28011653</v>
      </c>
      <c r="J233" s="54" t="s">
        <v>121</v>
      </c>
      <c r="K233" s="55" t="s">
        <v>210</v>
      </c>
      <c r="L233" s="54" t="s">
        <v>59</v>
      </c>
      <c r="M233" s="54" t="s">
        <v>632</v>
      </c>
    </row>
    <row r="234" spans="1:13">
      <c r="A234" s="53">
        <v>232</v>
      </c>
      <c r="B234" s="53" t="s">
        <v>53</v>
      </c>
      <c r="C234" s="54" t="s">
        <v>29</v>
      </c>
      <c r="D234" s="53" t="s">
        <v>61</v>
      </c>
      <c r="E234" s="53" t="s">
        <v>16</v>
      </c>
      <c r="F234" s="55" t="s">
        <v>99</v>
      </c>
      <c r="G234" s="61">
        <v>903269</v>
      </c>
      <c r="H234" s="54" t="s">
        <v>165</v>
      </c>
      <c r="I234" s="55">
        <v>28011654</v>
      </c>
      <c r="J234" s="54" t="s">
        <v>122</v>
      </c>
      <c r="K234" s="55" t="s">
        <v>99</v>
      </c>
      <c r="L234" s="54" t="s">
        <v>59</v>
      </c>
      <c r="M234" s="54" t="s">
        <v>632</v>
      </c>
    </row>
    <row r="235" spans="1:13">
      <c r="A235" s="53">
        <v>232</v>
      </c>
      <c r="B235" s="53" t="s">
        <v>53</v>
      </c>
      <c r="C235" s="54" t="s">
        <v>64</v>
      </c>
      <c r="D235" s="53" t="s">
        <v>61</v>
      </c>
      <c r="E235" s="53" t="s">
        <v>16</v>
      </c>
      <c r="F235" s="55" t="s">
        <v>128</v>
      </c>
      <c r="G235" s="61">
        <v>903270</v>
      </c>
      <c r="H235" s="54" t="s">
        <v>103</v>
      </c>
      <c r="I235" s="55">
        <v>28011655</v>
      </c>
      <c r="J235" s="54" t="s">
        <v>123</v>
      </c>
      <c r="K235" s="55" t="s">
        <v>128</v>
      </c>
      <c r="L235" s="54" t="s">
        <v>59</v>
      </c>
      <c r="M235" s="54" t="s">
        <v>632</v>
      </c>
    </row>
    <row r="236" spans="1:13">
      <c r="A236" s="53">
        <v>237</v>
      </c>
      <c r="B236" s="53" t="s">
        <v>53</v>
      </c>
      <c r="C236" s="54" t="s">
        <v>29</v>
      </c>
      <c r="D236" s="53" t="s">
        <v>61</v>
      </c>
      <c r="E236" s="53" t="s">
        <v>16</v>
      </c>
      <c r="F236" s="55" t="s">
        <v>128</v>
      </c>
      <c r="G236" s="61">
        <v>903271</v>
      </c>
      <c r="H236" s="54" t="s">
        <v>141</v>
      </c>
      <c r="I236" s="55">
        <v>28011656</v>
      </c>
      <c r="J236" s="54" t="s">
        <v>124</v>
      </c>
      <c r="K236" s="55" t="s">
        <v>128</v>
      </c>
      <c r="L236" s="54" t="s">
        <v>59</v>
      </c>
      <c r="M236" s="54" t="s">
        <v>632</v>
      </c>
    </row>
    <row r="237" spans="1:13">
      <c r="A237" s="53">
        <v>234</v>
      </c>
      <c r="B237" s="53" t="s">
        <v>53</v>
      </c>
      <c r="C237" s="54" t="s">
        <v>36</v>
      </c>
      <c r="D237" s="53" t="s">
        <v>61</v>
      </c>
      <c r="E237" s="53" t="s">
        <v>16</v>
      </c>
      <c r="F237" s="55" t="s">
        <v>128</v>
      </c>
      <c r="G237" s="61">
        <v>90003272</v>
      </c>
      <c r="H237" s="54" t="s">
        <v>142</v>
      </c>
      <c r="I237" s="55">
        <v>28011657</v>
      </c>
      <c r="J237" s="54" t="s">
        <v>125</v>
      </c>
      <c r="K237" s="55" t="s">
        <v>56</v>
      </c>
      <c r="L237" s="54" t="s">
        <v>59</v>
      </c>
      <c r="M237" s="54" t="s">
        <v>632</v>
      </c>
    </row>
    <row r="238" spans="1:13">
      <c r="A238" s="53">
        <v>238</v>
      </c>
      <c r="B238" s="53" t="s">
        <v>53</v>
      </c>
      <c r="C238" s="54" t="s">
        <v>32</v>
      </c>
      <c r="D238" s="53" t="s">
        <v>61</v>
      </c>
      <c r="E238" s="53" t="s">
        <v>16</v>
      </c>
      <c r="F238" s="55" t="s">
        <v>99</v>
      </c>
      <c r="G238" s="61">
        <v>90003273</v>
      </c>
      <c r="H238" s="54" t="s">
        <v>144</v>
      </c>
      <c r="I238" s="55">
        <v>28011658</v>
      </c>
      <c r="J238" s="54" t="s">
        <v>127</v>
      </c>
      <c r="K238" s="55" t="s">
        <v>128</v>
      </c>
      <c r="L238" s="54" t="s">
        <v>59</v>
      </c>
      <c r="M238" s="54" t="s">
        <v>632</v>
      </c>
    </row>
    <row r="239" spans="1:13">
      <c r="A239" s="53">
        <v>239</v>
      </c>
      <c r="B239" s="53" t="s">
        <v>53</v>
      </c>
      <c r="C239" s="54" t="s">
        <v>54</v>
      </c>
      <c r="D239" s="53" t="s">
        <v>61</v>
      </c>
      <c r="E239" s="53" t="s">
        <v>16</v>
      </c>
      <c r="F239" s="55" t="s">
        <v>128</v>
      </c>
      <c r="G239" s="61">
        <v>903274</v>
      </c>
      <c r="H239" s="54" t="s">
        <v>100</v>
      </c>
      <c r="I239" s="55">
        <v>28011659</v>
      </c>
      <c r="J239" s="54" t="s">
        <v>130</v>
      </c>
      <c r="K239" s="55" t="s">
        <v>128</v>
      </c>
      <c r="L239" s="54" t="s">
        <v>59</v>
      </c>
      <c r="M239" s="54" t="s">
        <v>632</v>
      </c>
    </row>
    <row r="240" spans="1:13">
      <c r="A240" s="53">
        <v>240</v>
      </c>
      <c r="B240" s="53" t="s">
        <v>53</v>
      </c>
      <c r="C240" s="54" t="s">
        <v>54</v>
      </c>
      <c r="D240" s="53" t="s">
        <v>61</v>
      </c>
      <c r="E240" s="53" t="s">
        <v>16</v>
      </c>
      <c r="F240" s="55" t="s">
        <v>99</v>
      </c>
      <c r="G240" s="61">
        <v>903275</v>
      </c>
      <c r="H240" s="54"/>
      <c r="I240" s="55"/>
      <c r="J240" s="54"/>
      <c r="K240" s="55"/>
      <c r="L240" s="54"/>
      <c r="M240" s="54" t="s">
        <v>920</v>
      </c>
    </row>
    <row r="241" spans="1:13">
      <c r="A241" s="53">
        <v>241</v>
      </c>
      <c r="B241" s="53" t="s">
        <v>53</v>
      </c>
      <c r="C241" s="54" t="s">
        <v>54</v>
      </c>
      <c r="D241" s="53" t="s">
        <v>61</v>
      </c>
      <c r="E241" s="53" t="s">
        <v>16</v>
      </c>
      <c r="F241" s="55" t="s">
        <v>99</v>
      </c>
      <c r="G241" s="61">
        <v>903276</v>
      </c>
      <c r="H241" s="54"/>
      <c r="I241" s="55"/>
      <c r="J241" s="54"/>
      <c r="K241" s="55"/>
      <c r="L241" s="54"/>
      <c r="M241" s="54" t="s">
        <v>920</v>
      </c>
    </row>
    <row r="242" spans="1:13">
      <c r="A242" s="53">
        <v>240</v>
      </c>
      <c r="B242" s="53" t="s">
        <v>53</v>
      </c>
      <c r="C242" s="54" t="s">
        <v>54</v>
      </c>
      <c r="D242" s="53" t="s">
        <v>61</v>
      </c>
      <c r="E242" s="53" t="s">
        <v>16</v>
      </c>
      <c r="F242" s="55" t="s">
        <v>99</v>
      </c>
      <c r="G242" s="61">
        <v>903277</v>
      </c>
      <c r="H242" s="54" t="s">
        <v>146</v>
      </c>
      <c r="I242" s="55">
        <v>28011660</v>
      </c>
      <c r="J242" s="54" t="s">
        <v>132</v>
      </c>
      <c r="K242" s="55" t="s">
        <v>109</v>
      </c>
      <c r="L242" s="54" t="s">
        <v>59</v>
      </c>
      <c r="M242" s="54" t="s">
        <v>632</v>
      </c>
    </row>
    <row r="243" spans="1:13">
      <c r="A243" s="53">
        <v>241</v>
      </c>
      <c r="B243" s="53" t="s">
        <v>53</v>
      </c>
      <c r="C243" s="54" t="s">
        <v>54</v>
      </c>
      <c r="D243" s="53" t="s">
        <v>61</v>
      </c>
      <c r="E243" s="53" t="s">
        <v>16</v>
      </c>
      <c r="F243" s="55" t="s">
        <v>99</v>
      </c>
      <c r="G243" s="61">
        <v>903278</v>
      </c>
      <c r="H243" s="54"/>
      <c r="I243" s="55"/>
      <c r="J243" s="54"/>
      <c r="K243" s="55"/>
      <c r="L243" s="54"/>
      <c r="M243" s="54" t="s">
        <v>920</v>
      </c>
    </row>
    <row r="244" spans="1:13">
      <c r="A244" s="53">
        <v>245</v>
      </c>
      <c r="B244" s="53" t="s">
        <v>53</v>
      </c>
      <c r="C244" s="54" t="s">
        <v>54</v>
      </c>
      <c r="D244" s="53" t="s">
        <v>61</v>
      </c>
      <c r="E244" s="53" t="s">
        <v>16</v>
      </c>
      <c r="F244" s="55" t="s">
        <v>99</v>
      </c>
      <c r="G244" s="61">
        <v>903279</v>
      </c>
      <c r="H244" s="54"/>
      <c r="I244" s="55"/>
      <c r="J244" s="54"/>
      <c r="K244" s="55"/>
      <c r="L244" s="54"/>
      <c r="M244" s="54" t="s">
        <v>920</v>
      </c>
    </row>
    <row r="245" spans="1:13">
      <c r="A245" s="53">
        <v>246</v>
      </c>
      <c r="B245" s="53" t="s">
        <v>53</v>
      </c>
      <c r="C245" s="54" t="s">
        <v>54</v>
      </c>
      <c r="D245" s="53" t="s">
        <v>61</v>
      </c>
      <c r="E245" s="53" t="s">
        <v>16</v>
      </c>
      <c r="F245" s="55" t="s">
        <v>99</v>
      </c>
      <c r="G245" s="61">
        <v>903280</v>
      </c>
      <c r="H245" s="54"/>
      <c r="I245" s="55"/>
      <c r="J245" s="54"/>
      <c r="K245" s="55"/>
      <c r="L245" s="54"/>
      <c r="M245" s="54" t="s">
        <v>920</v>
      </c>
    </row>
    <row r="246" spans="1:13">
      <c r="A246" s="53">
        <v>245</v>
      </c>
      <c r="B246" s="53" t="s">
        <v>53</v>
      </c>
      <c r="C246" s="54" t="s">
        <v>32</v>
      </c>
      <c r="D246" s="53" t="s">
        <v>61</v>
      </c>
      <c r="E246" s="53" t="s">
        <v>16</v>
      </c>
      <c r="F246" s="55" t="s">
        <v>128</v>
      </c>
      <c r="G246" s="61">
        <v>903281</v>
      </c>
      <c r="H246" s="54" t="s">
        <v>137</v>
      </c>
      <c r="I246" s="55">
        <v>28011661</v>
      </c>
      <c r="J246" s="54" t="s">
        <v>134</v>
      </c>
      <c r="K246" s="55" t="s">
        <v>99</v>
      </c>
      <c r="L246" s="54" t="s">
        <v>59</v>
      </c>
      <c r="M246" s="54" t="s">
        <v>632</v>
      </c>
    </row>
    <row r="247" spans="1:13">
      <c r="A247" s="53">
        <v>244</v>
      </c>
      <c r="B247" s="53" t="s">
        <v>53</v>
      </c>
      <c r="C247" s="54" t="s">
        <v>32</v>
      </c>
      <c r="D247" s="53" t="s">
        <v>61</v>
      </c>
      <c r="E247" s="53" t="s">
        <v>16</v>
      </c>
      <c r="F247" s="55" t="s">
        <v>128</v>
      </c>
      <c r="G247" s="61">
        <v>903282</v>
      </c>
      <c r="H247" s="54" t="s">
        <v>137</v>
      </c>
      <c r="I247" s="55">
        <v>28011662</v>
      </c>
      <c r="J247" s="54" t="s">
        <v>136</v>
      </c>
      <c r="K247" s="55" t="s">
        <v>128</v>
      </c>
      <c r="L247" s="54" t="s">
        <v>59</v>
      </c>
      <c r="M247" s="54" t="s">
        <v>632</v>
      </c>
    </row>
    <row r="248" spans="1:13">
      <c r="A248" s="53">
        <v>247</v>
      </c>
      <c r="B248" s="53" t="s">
        <v>53</v>
      </c>
      <c r="C248" s="54" t="s">
        <v>36</v>
      </c>
      <c r="D248" s="53" t="s">
        <v>61</v>
      </c>
      <c r="E248" s="53" t="s">
        <v>16</v>
      </c>
      <c r="F248" s="55" t="s">
        <v>99</v>
      </c>
      <c r="G248" s="61">
        <v>903283</v>
      </c>
      <c r="H248" s="54" t="s">
        <v>103</v>
      </c>
      <c r="I248" s="55">
        <v>28011663</v>
      </c>
      <c r="J248" s="54" t="s">
        <v>138</v>
      </c>
      <c r="K248" s="55" t="s">
        <v>56</v>
      </c>
      <c r="L248" s="54" t="s">
        <v>59</v>
      </c>
      <c r="M248" s="54" t="s">
        <v>632</v>
      </c>
    </row>
    <row r="249" spans="1:13">
      <c r="A249" s="53">
        <v>246</v>
      </c>
      <c r="B249" s="53" t="s">
        <v>53</v>
      </c>
      <c r="C249" s="54" t="s">
        <v>36</v>
      </c>
      <c r="D249" s="53" t="s">
        <v>61</v>
      </c>
      <c r="E249" s="53" t="s">
        <v>16</v>
      </c>
      <c r="F249" s="55" t="s">
        <v>99</v>
      </c>
      <c r="G249" s="61">
        <v>903284</v>
      </c>
      <c r="H249" s="54"/>
      <c r="I249" s="55"/>
      <c r="J249" s="54"/>
      <c r="K249" s="55"/>
      <c r="L249" s="54"/>
      <c r="M249" s="54" t="s">
        <v>920</v>
      </c>
    </row>
    <row r="250" spans="1:13">
      <c r="A250" s="53">
        <v>250</v>
      </c>
      <c r="B250" s="53" t="s">
        <v>53</v>
      </c>
      <c r="C250" s="54" t="s">
        <v>36</v>
      </c>
      <c r="D250" s="53" t="s">
        <v>61</v>
      </c>
      <c r="E250" s="53" t="s">
        <v>16</v>
      </c>
      <c r="F250" s="55" t="s">
        <v>99</v>
      </c>
      <c r="G250" s="61">
        <v>903285</v>
      </c>
      <c r="H250" s="54" t="s">
        <v>264</v>
      </c>
      <c r="I250" s="63">
        <v>28011664</v>
      </c>
      <c r="J250" s="64" t="s">
        <v>140</v>
      </c>
      <c r="K250" s="55" t="s">
        <v>99</v>
      </c>
      <c r="L250" s="54" t="s">
        <v>59</v>
      </c>
      <c r="M250" s="54" t="s">
        <v>632</v>
      </c>
    </row>
    <row r="251" spans="1:13">
      <c r="A251" s="53">
        <v>252</v>
      </c>
      <c r="B251" s="53" t="s">
        <v>53</v>
      </c>
      <c r="C251" s="54" t="s">
        <v>36</v>
      </c>
      <c r="D251" s="53" t="s">
        <v>61</v>
      </c>
      <c r="E251" s="53" t="s">
        <v>16</v>
      </c>
      <c r="F251" s="55" t="s">
        <v>128</v>
      </c>
      <c r="G251" s="61">
        <v>903286</v>
      </c>
      <c r="H251" s="54"/>
      <c r="I251" s="55"/>
      <c r="J251" s="54"/>
      <c r="K251" s="55"/>
      <c r="L251" s="54"/>
      <c r="M251" s="54" t="s">
        <v>920</v>
      </c>
    </row>
    <row r="252" spans="1:13">
      <c r="A252" s="53">
        <v>250</v>
      </c>
      <c r="B252" s="53" t="s">
        <v>53</v>
      </c>
      <c r="C252" s="54" t="s">
        <v>36</v>
      </c>
      <c r="D252" s="53" t="s">
        <v>61</v>
      </c>
      <c r="E252" s="53" t="s">
        <v>16</v>
      </c>
      <c r="F252" s="55" t="s">
        <v>99</v>
      </c>
      <c r="G252" s="61">
        <v>903287</v>
      </c>
      <c r="H252" s="54"/>
      <c r="I252" s="55"/>
      <c r="J252" s="54"/>
      <c r="K252" s="55"/>
      <c r="L252" s="54"/>
      <c r="M252" s="54" t="s">
        <v>920</v>
      </c>
    </row>
    <row r="253" spans="1:13">
      <c r="A253" s="53">
        <v>251</v>
      </c>
      <c r="B253" s="53" t="s">
        <v>53</v>
      </c>
      <c r="C253" s="54" t="s">
        <v>54</v>
      </c>
      <c r="D253" s="53" t="s">
        <v>61</v>
      </c>
      <c r="E253" s="53" t="s">
        <v>16</v>
      </c>
      <c r="F253" s="55" t="s">
        <v>99</v>
      </c>
      <c r="G253" s="61">
        <v>903288</v>
      </c>
      <c r="H253" s="54" t="s">
        <v>148</v>
      </c>
      <c r="I253" s="63">
        <v>28011665</v>
      </c>
      <c r="J253" s="64" t="s">
        <v>143</v>
      </c>
      <c r="K253" s="55" t="s">
        <v>99</v>
      </c>
      <c r="L253" s="54" t="s">
        <v>59</v>
      </c>
      <c r="M253" s="54" t="s">
        <v>632</v>
      </c>
    </row>
    <row r="254" spans="1:13">
      <c r="A254" s="53">
        <v>255</v>
      </c>
      <c r="B254" s="53" t="s">
        <v>53</v>
      </c>
      <c r="C254" s="54" t="s">
        <v>54</v>
      </c>
      <c r="D254" s="53" t="s">
        <v>61</v>
      </c>
      <c r="E254" s="53" t="s">
        <v>16</v>
      </c>
      <c r="F254" s="55" t="s">
        <v>99</v>
      </c>
      <c r="G254" s="61">
        <v>903289</v>
      </c>
      <c r="H254" s="54" t="s">
        <v>151</v>
      </c>
      <c r="I254" s="55">
        <v>28011666</v>
      </c>
      <c r="J254" s="54" t="s">
        <v>145</v>
      </c>
      <c r="K254" s="55" t="s">
        <v>56</v>
      </c>
      <c r="L254" s="54" t="s">
        <v>59</v>
      </c>
      <c r="M254" s="54" t="s">
        <v>632</v>
      </c>
    </row>
    <row r="255" spans="1:13">
      <c r="A255" s="53">
        <v>254</v>
      </c>
      <c r="B255" s="53" t="s">
        <v>53</v>
      </c>
      <c r="C255" s="54" t="s">
        <v>32</v>
      </c>
      <c r="D255" s="53" t="s">
        <v>61</v>
      </c>
      <c r="E255" s="53" t="s">
        <v>16</v>
      </c>
      <c r="F255" s="55" t="s">
        <v>69</v>
      </c>
      <c r="G255" s="61">
        <v>903290</v>
      </c>
      <c r="H255" s="54" t="s">
        <v>153</v>
      </c>
      <c r="I255" s="55">
        <v>28011667</v>
      </c>
      <c r="J255" s="54" t="s">
        <v>147</v>
      </c>
      <c r="K255" s="55" t="s">
        <v>69</v>
      </c>
      <c r="L255" s="54" t="s">
        <v>59</v>
      </c>
      <c r="M255" s="54" t="s">
        <v>632</v>
      </c>
    </row>
    <row r="256" spans="1:13">
      <c r="A256" s="53">
        <v>253</v>
      </c>
      <c r="B256" s="53" t="s">
        <v>53</v>
      </c>
      <c r="C256" s="54" t="s">
        <v>30</v>
      </c>
      <c r="D256" s="53" t="s">
        <v>61</v>
      </c>
      <c r="E256" s="53" t="s">
        <v>16</v>
      </c>
      <c r="F256" s="55" t="s">
        <v>99</v>
      </c>
      <c r="G256" s="61">
        <v>903291</v>
      </c>
      <c r="H256" s="54"/>
      <c r="I256" s="55"/>
      <c r="J256" s="54"/>
      <c r="K256" s="55"/>
      <c r="L256" s="54"/>
      <c r="M256" s="54" t="s">
        <v>920</v>
      </c>
    </row>
    <row r="257" spans="1:13">
      <c r="A257" s="53">
        <v>256</v>
      </c>
      <c r="B257" s="53" t="s">
        <v>53</v>
      </c>
      <c r="C257" s="54" t="s">
        <v>64</v>
      </c>
      <c r="D257" s="53" t="s">
        <v>61</v>
      </c>
      <c r="E257" s="53" t="s">
        <v>16</v>
      </c>
      <c r="F257" s="55" t="s">
        <v>99</v>
      </c>
      <c r="G257" s="61">
        <v>903292</v>
      </c>
      <c r="H257" s="54" t="s">
        <v>157</v>
      </c>
      <c r="I257" s="55">
        <v>28011668</v>
      </c>
      <c r="J257" s="54" t="s">
        <v>149</v>
      </c>
      <c r="K257" s="55" t="s">
        <v>72</v>
      </c>
      <c r="L257" s="54" t="s">
        <v>59</v>
      </c>
      <c r="M257" s="54" t="s">
        <v>632</v>
      </c>
    </row>
    <row r="258" spans="1:13">
      <c r="A258" s="53">
        <v>255</v>
      </c>
      <c r="B258" s="53" t="s">
        <v>53</v>
      </c>
      <c r="C258" s="54" t="s">
        <v>64</v>
      </c>
      <c r="D258" s="53" t="s">
        <v>61</v>
      </c>
      <c r="E258" s="53" t="s">
        <v>16</v>
      </c>
      <c r="F258" s="55" t="s">
        <v>72</v>
      </c>
      <c r="G258" s="61">
        <v>903293</v>
      </c>
      <c r="H258" s="54" t="s">
        <v>111</v>
      </c>
      <c r="I258" s="55">
        <v>28011669</v>
      </c>
      <c r="J258" s="54" t="s">
        <v>150</v>
      </c>
      <c r="K258" s="55" t="s">
        <v>72</v>
      </c>
      <c r="L258" s="54" t="s">
        <v>59</v>
      </c>
      <c r="M258" s="54" t="s">
        <v>632</v>
      </c>
    </row>
    <row r="259" spans="1:13">
      <c r="A259" s="53">
        <v>259</v>
      </c>
      <c r="B259" s="53" t="s">
        <v>53</v>
      </c>
      <c r="C259" s="54" t="s">
        <v>29</v>
      </c>
      <c r="D259" s="53" t="s">
        <v>61</v>
      </c>
      <c r="E259" s="53" t="s">
        <v>16</v>
      </c>
      <c r="F259" s="55" t="s">
        <v>128</v>
      </c>
      <c r="G259" s="61">
        <v>903294</v>
      </c>
      <c r="H259" s="54" t="s">
        <v>148</v>
      </c>
      <c r="I259" s="63">
        <v>28011670</v>
      </c>
      <c r="J259" s="64" t="s">
        <v>152</v>
      </c>
      <c r="K259" s="55" t="s">
        <v>99</v>
      </c>
      <c r="L259" s="54" t="s">
        <v>59</v>
      </c>
      <c r="M259" s="54" t="s">
        <v>632</v>
      </c>
    </row>
    <row r="260" spans="1:13">
      <c r="A260" s="53">
        <v>258</v>
      </c>
      <c r="B260" s="53" t="s">
        <v>53</v>
      </c>
      <c r="C260" s="54" t="s">
        <v>54</v>
      </c>
      <c r="D260" s="53" t="s">
        <v>61</v>
      </c>
      <c r="E260" s="53" t="s">
        <v>16</v>
      </c>
      <c r="F260" s="55" t="s">
        <v>66</v>
      </c>
      <c r="G260" s="61">
        <v>903295</v>
      </c>
      <c r="H260" s="54" t="s">
        <v>160</v>
      </c>
      <c r="I260" s="55">
        <v>28011671</v>
      </c>
      <c r="J260" s="54" t="s">
        <v>154</v>
      </c>
      <c r="K260" s="55" t="s">
        <v>66</v>
      </c>
      <c r="L260" s="54" t="s">
        <v>59</v>
      </c>
      <c r="M260" s="54" t="s">
        <v>632</v>
      </c>
    </row>
    <row r="261" spans="1:13">
      <c r="A261" s="53">
        <v>261</v>
      </c>
      <c r="B261" s="53" t="s">
        <v>53</v>
      </c>
      <c r="C261" s="54" t="s">
        <v>54</v>
      </c>
      <c r="D261" s="53" t="s">
        <v>61</v>
      </c>
      <c r="E261" s="53" t="s">
        <v>16</v>
      </c>
      <c r="F261" s="55" t="s">
        <v>210</v>
      </c>
      <c r="G261" s="61">
        <v>903296</v>
      </c>
      <c r="H261" s="54"/>
      <c r="I261" s="55"/>
      <c r="J261" s="54"/>
      <c r="K261" s="55"/>
      <c r="L261" s="54"/>
      <c r="M261" s="54" t="s">
        <v>920</v>
      </c>
    </row>
    <row r="262" spans="1:13">
      <c r="A262" s="53">
        <v>260</v>
      </c>
      <c r="B262" s="53" t="s">
        <v>53</v>
      </c>
      <c r="C262" s="54" t="s">
        <v>32</v>
      </c>
      <c r="D262" s="53" t="s">
        <v>61</v>
      </c>
      <c r="E262" s="53" t="s">
        <v>16</v>
      </c>
      <c r="F262" s="55" t="s">
        <v>128</v>
      </c>
      <c r="G262" s="61">
        <v>903297</v>
      </c>
      <c r="H262" s="54" t="s">
        <v>162</v>
      </c>
      <c r="I262" s="55">
        <v>28011672</v>
      </c>
      <c r="J262" s="54" t="s">
        <v>155</v>
      </c>
      <c r="K262" s="55" t="s">
        <v>128</v>
      </c>
      <c r="L262" s="54" t="s">
        <v>59</v>
      </c>
      <c r="M262" s="54" t="s">
        <v>632</v>
      </c>
    </row>
    <row r="263" spans="1:13">
      <c r="A263" s="53">
        <v>261</v>
      </c>
      <c r="B263" s="53" t="s">
        <v>53</v>
      </c>
      <c r="C263" s="54" t="s">
        <v>36</v>
      </c>
      <c r="D263" s="53" t="s">
        <v>61</v>
      </c>
      <c r="E263" s="53" t="s">
        <v>16</v>
      </c>
      <c r="F263" s="55" t="s">
        <v>128</v>
      </c>
      <c r="G263" s="61">
        <v>903298</v>
      </c>
      <c r="H263" s="54"/>
      <c r="I263" s="55"/>
      <c r="J263" s="54"/>
      <c r="K263" s="55"/>
      <c r="L263" s="54"/>
      <c r="M263" s="54" t="s">
        <v>920</v>
      </c>
    </row>
    <row r="264" spans="1:13">
      <c r="A264" s="53">
        <v>263</v>
      </c>
      <c r="B264" s="53" t="s">
        <v>53</v>
      </c>
      <c r="C264" s="54" t="s">
        <v>36</v>
      </c>
      <c r="D264" s="53" t="s">
        <v>61</v>
      </c>
      <c r="E264" s="53" t="s">
        <v>16</v>
      </c>
      <c r="F264" s="55" t="s">
        <v>99</v>
      </c>
      <c r="G264" s="61">
        <v>903299</v>
      </c>
      <c r="H264" s="54" t="s">
        <v>103</v>
      </c>
      <c r="I264" s="55">
        <v>28011673</v>
      </c>
      <c r="J264" s="54" t="s">
        <v>156</v>
      </c>
      <c r="K264" s="55" t="s">
        <v>99</v>
      </c>
      <c r="L264" s="54" t="s">
        <v>59</v>
      </c>
      <c r="M264" s="54" t="s">
        <v>632</v>
      </c>
    </row>
    <row r="265" spans="1:13">
      <c r="A265" s="53">
        <v>263</v>
      </c>
      <c r="B265" s="53" t="s">
        <v>53</v>
      </c>
      <c r="C265" s="54" t="s">
        <v>36</v>
      </c>
      <c r="D265" s="53" t="s">
        <v>61</v>
      </c>
      <c r="E265" s="53" t="s">
        <v>16</v>
      </c>
      <c r="F265" s="55" t="s">
        <v>99</v>
      </c>
      <c r="G265" s="61">
        <v>903300</v>
      </c>
      <c r="H265" s="54"/>
      <c r="I265" s="55"/>
      <c r="J265" s="54"/>
      <c r="K265" s="55"/>
      <c r="L265" s="54"/>
      <c r="M265" s="54" t="s">
        <v>920</v>
      </c>
    </row>
    <row r="266" spans="1:13">
      <c r="A266" s="53">
        <v>265</v>
      </c>
      <c r="B266" s="53" t="s">
        <v>53</v>
      </c>
      <c r="C266" s="54" t="s">
        <v>36</v>
      </c>
      <c r="D266" s="53" t="s">
        <v>61</v>
      </c>
      <c r="E266" s="53" t="s">
        <v>16</v>
      </c>
      <c r="F266" s="55" t="s">
        <v>210</v>
      </c>
      <c r="G266" s="61">
        <v>903301</v>
      </c>
      <c r="H266" s="54" t="s">
        <v>239</v>
      </c>
      <c r="I266" s="55">
        <v>28011674</v>
      </c>
      <c r="J266" s="54" t="s">
        <v>158</v>
      </c>
      <c r="K266" s="55" t="s">
        <v>210</v>
      </c>
      <c r="L266" s="54" t="s">
        <v>59</v>
      </c>
      <c r="M266" s="54" t="s">
        <v>632</v>
      </c>
    </row>
    <row r="267" spans="1:13">
      <c r="A267" s="53">
        <v>267</v>
      </c>
      <c r="B267" s="53" t="s">
        <v>53</v>
      </c>
      <c r="C267" s="54" t="s">
        <v>54</v>
      </c>
      <c r="D267" s="53" t="s">
        <v>61</v>
      </c>
      <c r="E267" s="53" t="s">
        <v>16</v>
      </c>
      <c r="F267" s="55" t="s">
        <v>128</v>
      </c>
      <c r="G267" s="61">
        <v>903302</v>
      </c>
      <c r="H267" s="54"/>
      <c r="I267" s="55"/>
      <c r="J267" s="54"/>
      <c r="K267" s="55"/>
      <c r="L267" s="54"/>
      <c r="M267" s="54" t="s">
        <v>920</v>
      </c>
    </row>
    <row r="268" spans="1:13">
      <c r="A268" s="53">
        <v>267</v>
      </c>
      <c r="B268" s="53" t="s">
        <v>53</v>
      </c>
      <c r="C268" s="54" t="s">
        <v>54</v>
      </c>
      <c r="D268" s="53" t="s">
        <v>61</v>
      </c>
      <c r="E268" s="53" t="s">
        <v>16</v>
      </c>
      <c r="F268" s="55" t="s">
        <v>128</v>
      </c>
      <c r="G268" s="61">
        <v>903303</v>
      </c>
      <c r="H268" s="54"/>
      <c r="I268" s="55"/>
      <c r="J268" s="54"/>
      <c r="K268" s="55"/>
      <c r="L268" s="54"/>
      <c r="M268" s="54" t="s">
        <v>920</v>
      </c>
    </row>
    <row r="269" spans="1:13">
      <c r="A269" s="53">
        <v>266</v>
      </c>
      <c r="B269" s="53" t="s">
        <v>53</v>
      </c>
      <c r="C269" s="54" t="s">
        <v>54</v>
      </c>
      <c r="D269" s="53" t="s">
        <v>61</v>
      </c>
      <c r="E269" s="53" t="s">
        <v>16</v>
      </c>
      <c r="F269" s="55" t="s">
        <v>99</v>
      </c>
      <c r="G269" s="61">
        <v>903304</v>
      </c>
      <c r="H269" s="54"/>
      <c r="I269" s="55"/>
      <c r="J269" s="54"/>
      <c r="K269" s="55"/>
      <c r="L269" s="54"/>
      <c r="M269" s="54" t="s">
        <v>920</v>
      </c>
    </row>
    <row r="270" spans="1:13">
      <c r="A270" s="53">
        <v>270</v>
      </c>
      <c r="B270" s="53" t="s">
        <v>53</v>
      </c>
      <c r="C270" s="54" t="s">
        <v>54</v>
      </c>
      <c r="D270" s="53" t="s">
        <v>61</v>
      </c>
      <c r="E270" s="53" t="s">
        <v>16</v>
      </c>
      <c r="F270" s="55" t="s">
        <v>99</v>
      </c>
      <c r="G270" s="61">
        <v>903305</v>
      </c>
      <c r="H270" s="54" t="s">
        <v>319</v>
      </c>
      <c r="I270" s="55">
        <v>28011675</v>
      </c>
      <c r="J270" s="54" t="s">
        <v>159</v>
      </c>
      <c r="K270" s="55" t="s">
        <v>99</v>
      </c>
      <c r="L270" s="54" t="s">
        <v>59</v>
      </c>
      <c r="M270" s="54" t="s">
        <v>632</v>
      </c>
    </row>
    <row r="271" spans="1:13">
      <c r="A271" s="53">
        <v>271</v>
      </c>
      <c r="B271" s="53" t="s">
        <v>53</v>
      </c>
      <c r="C271" s="54" t="s">
        <v>32</v>
      </c>
      <c r="D271" s="53" t="s">
        <v>61</v>
      </c>
      <c r="E271" s="53" t="s">
        <v>16</v>
      </c>
      <c r="F271" s="55" t="s">
        <v>210</v>
      </c>
      <c r="G271" s="61">
        <v>903306</v>
      </c>
      <c r="H271" s="54"/>
      <c r="I271" s="55"/>
      <c r="J271" s="54"/>
      <c r="K271" s="55"/>
      <c r="L271" s="54"/>
      <c r="M271" s="54" t="s">
        <v>920</v>
      </c>
    </row>
    <row r="272" spans="1:13">
      <c r="A272" s="53">
        <v>273</v>
      </c>
      <c r="B272" s="53" t="s">
        <v>53</v>
      </c>
      <c r="C272" s="54" t="s">
        <v>32</v>
      </c>
      <c r="D272" s="53" t="s">
        <v>61</v>
      </c>
      <c r="E272" s="53" t="s">
        <v>16</v>
      </c>
      <c r="F272" s="55" t="s">
        <v>210</v>
      </c>
      <c r="G272" s="61">
        <v>903307</v>
      </c>
      <c r="H272" s="54"/>
      <c r="I272" s="55"/>
      <c r="J272" s="54"/>
      <c r="K272" s="55"/>
      <c r="L272" s="54"/>
      <c r="M272" s="54" t="s">
        <v>920</v>
      </c>
    </row>
    <row r="273" spans="1:13">
      <c r="A273" s="53">
        <v>271</v>
      </c>
      <c r="B273" s="53" t="s">
        <v>53</v>
      </c>
      <c r="C273" s="54" t="s">
        <v>54</v>
      </c>
      <c r="D273" s="53" t="s">
        <v>61</v>
      </c>
      <c r="E273" s="53" t="s">
        <v>16</v>
      </c>
      <c r="F273" s="55" t="s">
        <v>99</v>
      </c>
      <c r="G273" s="61">
        <v>903308</v>
      </c>
      <c r="H273" s="54"/>
      <c r="I273" s="55"/>
      <c r="J273" s="54"/>
      <c r="K273" s="55"/>
      <c r="L273" s="54"/>
      <c r="M273" s="54" t="s">
        <v>920</v>
      </c>
    </row>
    <row r="274" spans="1:13">
      <c r="A274" s="53">
        <v>272</v>
      </c>
      <c r="B274" s="53" t="s">
        <v>53</v>
      </c>
      <c r="C274" s="54" t="s">
        <v>54</v>
      </c>
      <c r="D274" s="53" t="s">
        <v>61</v>
      </c>
      <c r="E274" s="53" t="s">
        <v>16</v>
      </c>
      <c r="F274" s="55" t="s">
        <v>99</v>
      </c>
      <c r="G274" s="61">
        <v>903309</v>
      </c>
      <c r="H274" s="54"/>
      <c r="I274" s="55"/>
      <c r="J274" s="54"/>
      <c r="K274" s="55"/>
      <c r="L274" s="54"/>
      <c r="M274" s="54" t="s">
        <v>920</v>
      </c>
    </row>
    <row r="275" spans="1:13">
      <c r="A275" s="53">
        <v>274</v>
      </c>
      <c r="B275" s="53" t="s">
        <v>53</v>
      </c>
      <c r="C275" s="54" t="s">
        <v>54</v>
      </c>
      <c r="D275" s="53" t="s">
        <v>61</v>
      </c>
      <c r="E275" s="53" t="s">
        <v>16</v>
      </c>
      <c r="F275" s="55" t="s">
        <v>210</v>
      </c>
      <c r="G275" s="61">
        <v>903310</v>
      </c>
      <c r="H275" s="54"/>
      <c r="I275" s="55"/>
      <c r="J275" s="54"/>
      <c r="K275" s="55"/>
      <c r="L275" s="54"/>
      <c r="M275" s="54" t="s">
        <v>920</v>
      </c>
    </row>
    <row r="276" spans="1:13">
      <c r="A276" s="53">
        <v>275</v>
      </c>
      <c r="B276" s="53" t="s">
        <v>53</v>
      </c>
      <c r="C276" s="54" t="s">
        <v>30</v>
      </c>
      <c r="D276" s="53" t="s">
        <v>61</v>
      </c>
      <c r="E276" s="53" t="s">
        <v>16</v>
      </c>
      <c r="F276" s="55" t="s">
        <v>99</v>
      </c>
      <c r="G276" s="61">
        <v>903311</v>
      </c>
      <c r="H276" s="54"/>
      <c r="I276" s="55"/>
      <c r="J276" s="54"/>
      <c r="K276" s="55"/>
      <c r="L276" s="54"/>
      <c r="M276" s="54" t="s">
        <v>920</v>
      </c>
    </row>
    <row r="277" spans="1:13">
      <c r="A277" s="53">
        <v>274</v>
      </c>
      <c r="B277" s="53" t="s">
        <v>53</v>
      </c>
      <c r="C277" s="54" t="s">
        <v>30</v>
      </c>
      <c r="D277" s="53" t="s">
        <v>61</v>
      </c>
      <c r="E277" s="53" t="s">
        <v>16</v>
      </c>
      <c r="F277" s="55" t="s">
        <v>210</v>
      </c>
      <c r="G277" s="61">
        <v>903312</v>
      </c>
      <c r="H277" s="54"/>
      <c r="I277" s="55"/>
      <c r="J277" s="54"/>
      <c r="K277" s="55"/>
      <c r="L277" s="54"/>
      <c r="M277" s="54" t="s">
        <v>920</v>
      </c>
    </row>
    <row r="278" spans="1:13">
      <c r="A278" s="53">
        <v>277</v>
      </c>
      <c r="B278" s="53" t="s">
        <v>53</v>
      </c>
      <c r="C278" s="54" t="s">
        <v>54</v>
      </c>
      <c r="D278" s="53" t="s">
        <v>61</v>
      </c>
      <c r="E278" s="53" t="s">
        <v>16</v>
      </c>
      <c r="F278" s="55" t="s">
        <v>99</v>
      </c>
      <c r="G278" s="61">
        <v>903313</v>
      </c>
      <c r="H278" s="54"/>
      <c r="I278" s="55"/>
      <c r="J278" s="54"/>
      <c r="K278" s="55"/>
      <c r="L278" s="54"/>
      <c r="M278" s="54" t="s">
        <v>920</v>
      </c>
    </row>
    <row r="279" spans="1:13">
      <c r="A279" s="53">
        <v>276</v>
      </c>
      <c r="B279" s="53" t="s">
        <v>53</v>
      </c>
      <c r="C279" s="54" t="s">
        <v>29</v>
      </c>
      <c r="D279" s="53" t="s">
        <v>61</v>
      </c>
      <c r="E279" s="53" t="s">
        <v>16</v>
      </c>
      <c r="F279" s="55" t="s">
        <v>99</v>
      </c>
      <c r="G279" s="61">
        <v>903314</v>
      </c>
      <c r="H279" s="54"/>
      <c r="I279" s="55"/>
      <c r="J279" s="54"/>
      <c r="K279" s="55"/>
      <c r="L279" s="54"/>
      <c r="M279" s="54" t="s">
        <v>920</v>
      </c>
    </row>
    <row r="280" spans="1:13">
      <c r="A280" s="53">
        <v>280</v>
      </c>
      <c r="B280" s="53" t="s">
        <v>53</v>
      </c>
      <c r="C280" s="54" t="s">
        <v>29</v>
      </c>
      <c r="D280" s="53" t="s">
        <v>61</v>
      </c>
      <c r="E280" s="53" t="s">
        <v>16</v>
      </c>
      <c r="F280" s="55" t="s">
        <v>99</v>
      </c>
      <c r="G280" s="61">
        <v>903315</v>
      </c>
      <c r="H280" s="54"/>
      <c r="I280" s="55"/>
      <c r="J280" s="54"/>
      <c r="K280" s="55"/>
      <c r="L280" s="54"/>
      <c r="M280" s="54" t="s">
        <v>920</v>
      </c>
    </row>
    <row r="281" spans="1:13">
      <c r="A281" s="53">
        <v>279</v>
      </c>
      <c r="B281" s="53" t="s">
        <v>53</v>
      </c>
      <c r="C281" s="54" t="s">
        <v>29</v>
      </c>
      <c r="D281" s="53" t="s">
        <v>61</v>
      </c>
      <c r="E281" s="53" t="s">
        <v>16</v>
      </c>
      <c r="F281" s="55" t="s">
        <v>99</v>
      </c>
      <c r="G281" s="61">
        <v>903316</v>
      </c>
      <c r="H281" s="54" t="s">
        <v>165</v>
      </c>
      <c r="I281" s="55">
        <v>28011676</v>
      </c>
      <c r="J281" s="54" t="s">
        <v>161</v>
      </c>
      <c r="K281" s="55" t="s">
        <v>128</v>
      </c>
      <c r="L281" s="54" t="s">
        <v>59</v>
      </c>
      <c r="M281" s="54" t="s">
        <v>632</v>
      </c>
    </row>
    <row r="282" spans="1:13">
      <c r="A282" s="53">
        <v>281</v>
      </c>
      <c r="B282" s="53" t="s">
        <v>53</v>
      </c>
      <c r="C282" s="54" t="s">
        <v>29</v>
      </c>
      <c r="D282" s="53" t="s">
        <v>61</v>
      </c>
      <c r="E282" s="53" t="s">
        <v>16</v>
      </c>
      <c r="F282" s="55" t="s">
        <v>210</v>
      </c>
      <c r="G282" s="61">
        <v>903317</v>
      </c>
      <c r="H282" s="54" t="s">
        <v>165</v>
      </c>
      <c r="I282" s="55">
        <v>28011677</v>
      </c>
      <c r="J282" s="54" t="s">
        <v>163</v>
      </c>
      <c r="K282" s="55" t="s">
        <v>210</v>
      </c>
      <c r="L282" s="54" t="s">
        <v>59</v>
      </c>
      <c r="M282" s="54" t="s">
        <v>632</v>
      </c>
    </row>
    <row r="283" spans="1:13">
      <c r="A283" s="53">
        <v>281</v>
      </c>
      <c r="B283" s="53" t="s">
        <v>53</v>
      </c>
      <c r="C283" s="54" t="s">
        <v>29</v>
      </c>
      <c r="D283" s="53" t="s">
        <v>61</v>
      </c>
      <c r="E283" s="53" t="s">
        <v>16</v>
      </c>
      <c r="F283" s="55" t="s">
        <v>210</v>
      </c>
      <c r="G283" s="61">
        <v>903318</v>
      </c>
      <c r="H283" s="54"/>
      <c r="I283" s="55"/>
      <c r="J283" s="54"/>
      <c r="K283" s="55"/>
      <c r="L283" s="54"/>
      <c r="M283" s="54" t="s">
        <v>920</v>
      </c>
    </row>
    <row r="284" spans="1:13">
      <c r="A284" s="53">
        <v>285</v>
      </c>
      <c r="B284" s="53" t="s">
        <v>53</v>
      </c>
      <c r="C284" s="54" t="s">
        <v>29</v>
      </c>
      <c r="D284" s="53" t="s">
        <v>61</v>
      </c>
      <c r="E284" s="53" t="s">
        <v>16</v>
      </c>
      <c r="F284" s="55" t="s">
        <v>69</v>
      </c>
      <c r="G284" s="61">
        <v>903319</v>
      </c>
      <c r="H284" s="54"/>
      <c r="I284" s="55"/>
      <c r="J284" s="103"/>
      <c r="K284" s="55"/>
      <c r="L284" s="54"/>
      <c r="M284" s="54" t="s">
        <v>920</v>
      </c>
    </row>
    <row r="285" spans="1:13">
      <c r="A285" s="53">
        <v>284</v>
      </c>
      <c r="B285" s="53" t="s">
        <v>53</v>
      </c>
      <c r="C285" s="54" t="s">
        <v>54</v>
      </c>
      <c r="D285" s="53" t="s">
        <v>61</v>
      </c>
      <c r="E285" s="53" t="s">
        <v>16</v>
      </c>
      <c r="F285" s="55" t="s">
        <v>99</v>
      </c>
      <c r="G285" s="61">
        <v>903320</v>
      </c>
      <c r="H285" s="54"/>
      <c r="I285" s="55"/>
      <c r="J285" s="54"/>
      <c r="K285" s="55"/>
      <c r="L285" s="54"/>
      <c r="M285" s="54" t="s">
        <v>920</v>
      </c>
    </row>
    <row r="286" spans="1:13">
      <c r="A286" s="53">
        <v>285</v>
      </c>
      <c r="B286" s="53" t="s">
        <v>53</v>
      </c>
      <c r="C286" s="54" t="s">
        <v>54</v>
      </c>
      <c r="D286" s="53" t="s">
        <v>61</v>
      </c>
      <c r="E286" s="53" t="s">
        <v>16</v>
      </c>
      <c r="F286" s="55" t="s">
        <v>210</v>
      </c>
      <c r="G286" s="61">
        <v>903321</v>
      </c>
      <c r="H286" s="54"/>
      <c r="I286" s="55"/>
      <c r="J286" s="54"/>
      <c r="K286" s="55"/>
      <c r="L286" s="54"/>
      <c r="M286" s="54" t="s">
        <v>920</v>
      </c>
    </row>
    <row r="287" spans="1:13">
      <c r="A287" s="53">
        <v>286</v>
      </c>
      <c r="B287" s="53" t="s">
        <v>53</v>
      </c>
      <c r="C287" s="54" t="s">
        <v>29</v>
      </c>
      <c r="D287" s="53" t="s">
        <v>61</v>
      </c>
      <c r="E287" s="53" t="s">
        <v>16</v>
      </c>
      <c r="F287" s="55" t="s">
        <v>128</v>
      </c>
      <c r="G287" s="61">
        <v>903322</v>
      </c>
      <c r="H287" s="54" t="s">
        <v>165</v>
      </c>
      <c r="I287" s="55"/>
      <c r="J287" s="103"/>
      <c r="K287" s="55"/>
      <c r="L287" s="54"/>
      <c r="M287" s="54" t="s">
        <v>63</v>
      </c>
    </row>
    <row r="288" spans="1:13">
      <c r="A288" s="53">
        <v>285</v>
      </c>
      <c r="B288" s="53" t="s">
        <v>53</v>
      </c>
      <c r="C288" s="54" t="s">
        <v>36</v>
      </c>
      <c r="D288" s="53" t="s">
        <v>61</v>
      </c>
      <c r="E288" s="53" t="s">
        <v>16</v>
      </c>
      <c r="F288" s="55" t="s">
        <v>495</v>
      </c>
      <c r="G288" s="61">
        <v>903323</v>
      </c>
      <c r="H288" s="54" t="s">
        <v>166</v>
      </c>
      <c r="I288" s="55">
        <v>28011678</v>
      </c>
      <c r="J288" s="54" t="s">
        <v>164</v>
      </c>
      <c r="K288" s="55" t="s">
        <v>495</v>
      </c>
      <c r="L288" s="54" t="s">
        <v>59</v>
      </c>
      <c r="M288" s="54" t="s">
        <v>632</v>
      </c>
    </row>
    <row r="289" spans="1:13">
      <c r="A289" s="53">
        <v>288</v>
      </c>
      <c r="B289" s="53" t="s">
        <v>53</v>
      </c>
      <c r="C289" s="54" t="s">
        <v>29</v>
      </c>
      <c r="D289" s="53" t="s">
        <v>61</v>
      </c>
      <c r="E289" s="53" t="s">
        <v>16</v>
      </c>
      <c r="F289" s="55" t="s">
        <v>69</v>
      </c>
      <c r="G289" s="61">
        <v>903324</v>
      </c>
      <c r="H289" s="54" t="s">
        <v>168</v>
      </c>
      <c r="I289" s="55">
        <v>28011679</v>
      </c>
      <c r="J289" s="54" t="s">
        <v>167</v>
      </c>
      <c r="K289" s="55" t="s">
        <v>69</v>
      </c>
      <c r="L289" s="54" t="s">
        <v>59</v>
      </c>
      <c r="M289" s="54" t="s">
        <v>632</v>
      </c>
    </row>
    <row r="290" spans="1:13">
      <c r="A290" s="53">
        <v>287</v>
      </c>
      <c r="B290" s="53" t="s">
        <v>53</v>
      </c>
      <c r="C290" s="54" t="s">
        <v>33</v>
      </c>
      <c r="D290" s="53" t="s">
        <v>61</v>
      </c>
      <c r="E290" s="53" t="s">
        <v>16</v>
      </c>
      <c r="F290" s="55" t="s">
        <v>72</v>
      </c>
      <c r="G290" s="61">
        <v>903325</v>
      </c>
      <c r="H290" s="54" t="s">
        <v>170</v>
      </c>
      <c r="I290" s="55">
        <v>28011680</v>
      </c>
      <c r="J290" s="54" t="s">
        <v>169</v>
      </c>
      <c r="K290" s="55" t="s">
        <v>56</v>
      </c>
      <c r="L290" s="54" t="s">
        <v>59</v>
      </c>
      <c r="M290" s="54" t="s">
        <v>632</v>
      </c>
    </row>
    <row r="291" spans="1:13">
      <c r="A291" s="53">
        <v>291</v>
      </c>
      <c r="B291" s="53" t="s">
        <v>53</v>
      </c>
      <c r="C291" s="54" t="s">
        <v>36</v>
      </c>
      <c r="D291" s="53" t="s">
        <v>61</v>
      </c>
      <c r="E291" s="53" t="s">
        <v>16</v>
      </c>
      <c r="F291" s="55" t="s">
        <v>72</v>
      </c>
      <c r="G291" s="61">
        <v>903326</v>
      </c>
      <c r="H291" s="54" t="s">
        <v>67</v>
      </c>
      <c r="I291" s="55">
        <v>28011681</v>
      </c>
      <c r="J291" s="54" t="s">
        <v>171</v>
      </c>
      <c r="K291" s="55" t="s">
        <v>72</v>
      </c>
      <c r="L291" s="54" t="s">
        <v>59</v>
      </c>
      <c r="M291" s="54" t="s">
        <v>632</v>
      </c>
    </row>
    <row r="292" spans="1:13">
      <c r="A292" s="53">
        <v>290</v>
      </c>
      <c r="B292" s="53" t="s">
        <v>223</v>
      </c>
      <c r="C292" s="54" t="s">
        <v>32</v>
      </c>
      <c r="D292" s="53" t="s">
        <v>61</v>
      </c>
      <c r="E292" s="53" t="s">
        <v>16</v>
      </c>
      <c r="F292" s="55" t="s">
        <v>128</v>
      </c>
      <c r="G292" s="61">
        <v>903327</v>
      </c>
      <c r="H292" s="54"/>
      <c r="I292" s="55"/>
      <c r="J292" s="54"/>
      <c r="K292" s="55"/>
      <c r="L292" s="54"/>
      <c r="M292" s="54" t="s">
        <v>920</v>
      </c>
    </row>
    <row r="293" spans="1:13">
      <c r="A293" s="53">
        <v>294</v>
      </c>
      <c r="B293" s="53" t="s">
        <v>223</v>
      </c>
      <c r="C293" s="54" t="s">
        <v>32</v>
      </c>
      <c r="D293" s="53" t="s">
        <v>61</v>
      </c>
      <c r="E293" s="53" t="s">
        <v>16</v>
      </c>
      <c r="F293" s="55" t="s">
        <v>210</v>
      </c>
      <c r="G293" s="61">
        <v>903328</v>
      </c>
      <c r="H293" s="54"/>
      <c r="I293" s="55"/>
      <c r="J293" s="54"/>
      <c r="K293" s="55"/>
      <c r="L293" s="54"/>
      <c r="M293" s="54" t="s">
        <v>920</v>
      </c>
    </row>
    <row r="294" spans="1:13">
      <c r="A294" s="53">
        <v>292</v>
      </c>
      <c r="B294" s="53" t="s">
        <v>223</v>
      </c>
      <c r="C294" s="54" t="s">
        <v>32</v>
      </c>
      <c r="D294" s="53" t="s">
        <v>61</v>
      </c>
      <c r="E294" s="53" t="s">
        <v>16</v>
      </c>
      <c r="F294" s="55" t="s">
        <v>128</v>
      </c>
      <c r="G294" s="61">
        <v>903329</v>
      </c>
      <c r="H294" s="54"/>
      <c r="I294" s="55"/>
      <c r="J294" s="54"/>
      <c r="K294" s="55"/>
      <c r="L294" s="54"/>
      <c r="M294" s="54" t="s">
        <v>920</v>
      </c>
    </row>
    <row r="295" spans="1:13">
      <c r="A295" s="53">
        <v>296</v>
      </c>
      <c r="B295" s="53" t="s">
        <v>223</v>
      </c>
      <c r="C295" s="54" t="s">
        <v>32</v>
      </c>
      <c r="D295" s="53" t="s">
        <v>61</v>
      </c>
      <c r="E295" s="53" t="s">
        <v>16</v>
      </c>
      <c r="F295" s="55" t="s">
        <v>128</v>
      </c>
      <c r="G295" s="61">
        <v>903330</v>
      </c>
      <c r="H295" s="54"/>
      <c r="I295" s="55"/>
      <c r="J295" s="54"/>
      <c r="K295" s="55"/>
      <c r="L295" s="54"/>
      <c r="M295" s="54" t="s">
        <v>920</v>
      </c>
    </row>
    <row r="296" spans="1:13">
      <c r="A296" s="53">
        <v>295</v>
      </c>
      <c r="B296" s="53" t="s">
        <v>223</v>
      </c>
      <c r="C296" s="54" t="s">
        <v>32</v>
      </c>
      <c r="D296" s="53" t="s">
        <v>61</v>
      </c>
      <c r="E296" s="53" t="s">
        <v>16</v>
      </c>
      <c r="F296" s="55" t="s">
        <v>56</v>
      </c>
      <c r="G296" s="61">
        <v>903331</v>
      </c>
      <c r="H296" s="54" t="s">
        <v>162</v>
      </c>
      <c r="I296" s="63">
        <v>28011682</v>
      </c>
      <c r="J296" s="54" t="s">
        <v>173</v>
      </c>
      <c r="K296" s="55" t="s">
        <v>611</v>
      </c>
      <c r="L296" s="54" t="s">
        <v>552</v>
      </c>
      <c r="M296" s="54" t="s">
        <v>632</v>
      </c>
    </row>
    <row r="297" spans="1:13">
      <c r="A297" s="53">
        <v>294</v>
      </c>
      <c r="B297" s="53" t="s">
        <v>223</v>
      </c>
      <c r="C297" s="54" t="s">
        <v>32</v>
      </c>
      <c r="D297" s="53" t="s">
        <v>61</v>
      </c>
      <c r="E297" s="53" t="s">
        <v>16</v>
      </c>
      <c r="F297" s="55" t="s">
        <v>56</v>
      </c>
      <c r="G297" s="61">
        <v>903332</v>
      </c>
      <c r="H297" s="54"/>
      <c r="I297" s="55"/>
      <c r="J297" s="54"/>
      <c r="K297" s="55"/>
      <c r="L297" s="54"/>
      <c r="M297" s="54" t="s">
        <v>920</v>
      </c>
    </row>
    <row r="298" spans="1:13">
      <c r="A298" s="53">
        <v>295</v>
      </c>
      <c r="B298" s="53" t="s">
        <v>223</v>
      </c>
      <c r="C298" s="54" t="s">
        <v>30</v>
      </c>
      <c r="D298" s="53" t="s">
        <v>61</v>
      </c>
      <c r="E298" s="53" t="s">
        <v>16</v>
      </c>
      <c r="F298" s="55" t="s">
        <v>99</v>
      </c>
      <c r="G298" s="61">
        <v>903333</v>
      </c>
      <c r="H298" s="54"/>
      <c r="I298" s="55"/>
      <c r="J298" s="54"/>
      <c r="K298" s="55"/>
      <c r="L298" s="54"/>
      <c r="M298" s="54" t="s">
        <v>920</v>
      </c>
    </row>
    <row r="299" spans="1:13">
      <c r="A299" s="53">
        <v>296</v>
      </c>
      <c r="B299" s="53" t="s">
        <v>223</v>
      </c>
      <c r="C299" s="54" t="s">
        <v>30</v>
      </c>
      <c r="D299" s="53" t="s">
        <v>61</v>
      </c>
      <c r="E299" s="53" t="s">
        <v>16</v>
      </c>
      <c r="F299" s="55" t="s">
        <v>99</v>
      </c>
      <c r="G299" s="61">
        <v>903334</v>
      </c>
      <c r="H299" s="54"/>
      <c r="I299" s="55"/>
      <c r="J299" s="54"/>
      <c r="K299" s="55"/>
      <c r="L299" s="54"/>
      <c r="M299" s="54" t="s">
        <v>920</v>
      </c>
    </row>
    <row r="300" spans="1:13">
      <c r="A300" s="53">
        <v>297</v>
      </c>
      <c r="B300" s="53" t="s">
        <v>223</v>
      </c>
      <c r="C300" s="54" t="s">
        <v>30</v>
      </c>
      <c r="D300" s="53" t="s">
        <v>61</v>
      </c>
      <c r="E300" s="53" t="s">
        <v>16</v>
      </c>
      <c r="F300" s="55" t="s">
        <v>99</v>
      </c>
      <c r="G300" s="61">
        <v>903335</v>
      </c>
      <c r="H300" s="54"/>
      <c r="I300" s="55"/>
      <c r="J300" s="54"/>
      <c r="K300" s="55"/>
      <c r="L300" s="54"/>
      <c r="M300" s="54" t="s">
        <v>920</v>
      </c>
    </row>
    <row r="301" spans="1:13">
      <c r="A301" s="53">
        <v>299</v>
      </c>
      <c r="B301" s="53" t="s">
        <v>223</v>
      </c>
      <c r="C301" s="54" t="s">
        <v>30</v>
      </c>
      <c r="D301" s="53" t="s">
        <v>61</v>
      </c>
      <c r="E301" s="53" t="s">
        <v>16</v>
      </c>
      <c r="F301" s="55" t="s">
        <v>128</v>
      </c>
      <c r="G301" s="61">
        <v>903336</v>
      </c>
      <c r="H301" s="54"/>
      <c r="I301" s="55"/>
      <c r="J301" s="54"/>
      <c r="K301" s="55"/>
      <c r="L301" s="54"/>
      <c r="M301" s="54" t="s">
        <v>920</v>
      </c>
    </row>
    <row r="302" spans="1:13">
      <c r="A302" s="53">
        <v>300</v>
      </c>
      <c r="B302" s="53" t="s">
        <v>223</v>
      </c>
      <c r="C302" s="54" t="s">
        <v>30</v>
      </c>
      <c r="D302" s="53" t="s">
        <v>61</v>
      </c>
      <c r="E302" s="53" t="s">
        <v>16</v>
      </c>
      <c r="F302" s="55" t="s">
        <v>72</v>
      </c>
      <c r="G302" s="61">
        <v>903337</v>
      </c>
      <c r="H302" s="54"/>
      <c r="I302" s="55"/>
      <c r="J302" s="54"/>
      <c r="K302" s="55"/>
      <c r="L302" s="54"/>
      <c r="M302" s="54" t="s">
        <v>920</v>
      </c>
    </row>
    <row r="303" spans="1:13">
      <c r="A303" s="53">
        <v>303</v>
      </c>
      <c r="B303" s="53" t="s">
        <v>223</v>
      </c>
      <c r="C303" s="54" t="s">
        <v>30</v>
      </c>
      <c r="D303" s="53" t="s">
        <v>61</v>
      </c>
      <c r="E303" s="53" t="s">
        <v>16</v>
      </c>
      <c r="F303" s="55" t="s">
        <v>99</v>
      </c>
      <c r="G303" s="61">
        <v>903338</v>
      </c>
      <c r="H303" s="54"/>
      <c r="I303" s="55"/>
      <c r="J303" s="54"/>
      <c r="K303" s="55"/>
      <c r="L303" s="54"/>
      <c r="M303" s="54" t="s">
        <v>920</v>
      </c>
    </row>
    <row r="304" spans="1:13">
      <c r="A304" s="53">
        <v>302</v>
      </c>
      <c r="B304" s="53" t="s">
        <v>223</v>
      </c>
      <c r="C304" s="54" t="s">
        <v>33</v>
      </c>
      <c r="D304" s="53" t="s">
        <v>61</v>
      </c>
      <c r="E304" s="53" t="s">
        <v>16</v>
      </c>
      <c r="F304" s="55" t="s">
        <v>69</v>
      </c>
      <c r="G304" s="61">
        <v>903339</v>
      </c>
      <c r="H304" s="54"/>
      <c r="I304" s="55"/>
      <c r="J304" s="54"/>
      <c r="K304" s="55"/>
      <c r="L304" s="54"/>
      <c r="M304" s="54" t="s">
        <v>920</v>
      </c>
    </row>
    <row r="305" spans="1:13">
      <c r="A305" s="53">
        <v>306</v>
      </c>
      <c r="B305" s="53" t="s">
        <v>223</v>
      </c>
      <c r="C305" s="54" t="s">
        <v>36</v>
      </c>
      <c r="D305" s="53" t="s">
        <v>61</v>
      </c>
      <c r="E305" s="53" t="s">
        <v>16</v>
      </c>
      <c r="F305" s="55" t="s">
        <v>99</v>
      </c>
      <c r="G305" s="61">
        <v>903340</v>
      </c>
      <c r="H305" s="54"/>
      <c r="I305" s="55"/>
      <c r="J305" s="54"/>
      <c r="K305" s="55"/>
      <c r="L305" s="54"/>
      <c r="M305" s="54" t="s">
        <v>920</v>
      </c>
    </row>
    <row r="306" spans="1:13">
      <c r="A306" s="53">
        <v>305</v>
      </c>
      <c r="B306" s="53" t="s">
        <v>223</v>
      </c>
      <c r="C306" s="54" t="s">
        <v>36</v>
      </c>
      <c r="D306" s="53" t="s">
        <v>61</v>
      </c>
      <c r="E306" s="53" t="s">
        <v>16</v>
      </c>
      <c r="F306" s="55" t="s">
        <v>128</v>
      </c>
      <c r="G306" s="61">
        <v>903341</v>
      </c>
      <c r="H306" s="54"/>
      <c r="I306" s="55"/>
      <c r="J306" s="54"/>
      <c r="K306" s="55"/>
      <c r="L306" s="54"/>
      <c r="M306" s="54" t="s">
        <v>920</v>
      </c>
    </row>
    <row r="307" spans="1:13">
      <c r="A307" s="53">
        <v>306</v>
      </c>
      <c r="B307" s="53" t="s">
        <v>223</v>
      </c>
      <c r="C307" s="54" t="s">
        <v>36</v>
      </c>
      <c r="D307" s="53" t="s">
        <v>61</v>
      </c>
      <c r="E307" s="53" t="s">
        <v>16</v>
      </c>
      <c r="F307" s="55" t="s">
        <v>99</v>
      </c>
      <c r="G307" s="61">
        <v>903342</v>
      </c>
      <c r="H307" s="54"/>
      <c r="I307" s="55"/>
      <c r="J307" s="54"/>
      <c r="K307" s="55"/>
      <c r="L307" s="54"/>
      <c r="M307" s="54" t="s">
        <v>920</v>
      </c>
    </row>
    <row r="308" spans="1:13">
      <c r="A308" s="53">
        <v>308</v>
      </c>
      <c r="B308" s="53" t="s">
        <v>223</v>
      </c>
      <c r="C308" s="54" t="s">
        <v>64</v>
      </c>
      <c r="D308" s="53" t="s">
        <v>61</v>
      </c>
      <c r="E308" s="53" t="s">
        <v>16</v>
      </c>
      <c r="F308" s="55" t="s">
        <v>99</v>
      </c>
      <c r="G308" s="61">
        <v>903343</v>
      </c>
      <c r="H308" s="54" t="s">
        <v>103</v>
      </c>
      <c r="I308" s="63">
        <v>28011683</v>
      </c>
      <c r="J308" s="64" t="s">
        <v>175</v>
      </c>
      <c r="K308" s="55" t="s">
        <v>99</v>
      </c>
      <c r="L308" s="54" t="s">
        <v>59</v>
      </c>
      <c r="M308" s="54" t="s">
        <v>632</v>
      </c>
    </row>
    <row r="309" spans="1:13">
      <c r="A309" s="53">
        <v>306</v>
      </c>
      <c r="B309" s="53" t="s">
        <v>223</v>
      </c>
      <c r="C309" s="54" t="s">
        <v>64</v>
      </c>
      <c r="D309" s="53" t="s">
        <v>61</v>
      </c>
      <c r="E309" s="53" t="s">
        <v>16</v>
      </c>
      <c r="F309" s="55" t="s">
        <v>210</v>
      </c>
      <c r="G309" s="61">
        <v>903344</v>
      </c>
      <c r="H309" s="54"/>
      <c r="I309" s="55"/>
      <c r="J309" s="54"/>
      <c r="K309" s="55"/>
      <c r="L309" s="54"/>
      <c r="M309" s="54" t="s">
        <v>920</v>
      </c>
    </row>
    <row r="310" spans="1:13">
      <c r="A310" s="53">
        <v>310</v>
      </c>
      <c r="B310" s="53" t="s">
        <v>223</v>
      </c>
      <c r="C310" s="54" t="s">
        <v>64</v>
      </c>
      <c r="D310" s="53" t="s">
        <v>61</v>
      </c>
      <c r="E310" s="53" t="s">
        <v>16</v>
      </c>
      <c r="F310" s="55" t="s">
        <v>99</v>
      </c>
      <c r="G310" s="61">
        <v>903345</v>
      </c>
      <c r="H310" s="54"/>
      <c r="I310" s="55"/>
      <c r="J310" s="54"/>
      <c r="K310" s="55"/>
      <c r="L310" s="54"/>
      <c r="M310" s="54" t="s">
        <v>920</v>
      </c>
    </row>
    <row r="311" spans="1:13">
      <c r="A311" s="53">
        <v>308</v>
      </c>
      <c r="B311" s="53" t="s">
        <v>223</v>
      </c>
      <c r="C311" s="54" t="s">
        <v>64</v>
      </c>
      <c r="D311" s="53" t="s">
        <v>61</v>
      </c>
      <c r="E311" s="53" t="s">
        <v>16</v>
      </c>
      <c r="F311" s="55" t="s">
        <v>128</v>
      </c>
      <c r="G311" s="61">
        <v>903346</v>
      </c>
      <c r="H311" s="54"/>
      <c r="I311" s="55"/>
      <c r="J311" s="54"/>
      <c r="K311" s="55"/>
      <c r="L311" s="54"/>
      <c r="M311" s="54" t="s">
        <v>920</v>
      </c>
    </row>
    <row r="312" spans="1:13">
      <c r="A312" s="53">
        <v>312</v>
      </c>
      <c r="B312" s="53" t="s">
        <v>223</v>
      </c>
      <c r="C312" s="54" t="s">
        <v>64</v>
      </c>
      <c r="D312" s="53" t="s">
        <v>61</v>
      </c>
      <c r="E312" s="53" t="s">
        <v>16</v>
      </c>
      <c r="F312" s="55" t="s">
        <v>210</v>
      </c>
      <c r="G312" s="61">
        <v>903347</v>
      </c>
      <c r="H312" s="54"/>
      <c r="I312" s="55"/>
      <c r="J312" s="54"/>
      <c r="K312" s="55"/>
      <c r="L312" s="54"/>
      <c r="M312" s="54" t="s">
        <v>920</v>
      </c>
    </row>
    <row r="313" spans="1:13">
      <c r="A313" s="53">
        <v>311</v>
      </c>
      <c r="B313" s="53" t="s">
        <v>223</v>
      </c>
      <c r="C313" s="54" t="s">
        <v>64</v>
      </c>
      <c r="D313" s="53" t="s">
        <v>61</v>
      </c>
      <c r="E313" s="53" t="s">
        <v>16</v>
      </c>
      <c r="F313" s="55" t="s">
        <v>128</v>
      </c>
      <c r="G313" s="61">
        <v>903348</v>
      </c>
      <c r="H313" s="54"/>
      <c r="I313" s="55"/>
      <c r="J313" s="54"/>
      <c r="K313" s="55"/>
      <c r="L313" s="54"/>
      <c r="M313" s="54" t="s">
        <v>920</v>
      </c>
    </row>
    <row r="314" spans="1:13">
      <c r="A314" s="53">
        <v>315</v>
      </c>
      <c r="B314" s="53" t="s">
        <v>223</v>
      </c>
      <c r="C314" s="54" t="s">
        <v>54</v>
      </c>
      <c r="D314" s="53" t="s">
        <v>61</v>
      </c>
      <c r="E314" s="53" t="s">
        <v>16</v>
      </c>
      <c r="F314" s="55" t="s">
        <v>128</v>
      </c>
      <c r="G314" s="61">
        <v>903349</v>
      </c>
      <c r="H314" s="54"/>
      <c r="I314" s="55"/>
      <c r="J314" s="54"/>
      <c r="K314" s="55"/>
      <c r="L314" s="54"/>
      <c r="M314" s="54" t="s">
        <v>920</v>
      </c>
    </row>
    <row r="315" spans="1:13">
      <c r="A315" s="53">
        <v>313</v>
      </c>
      <c r="B315" s="53" t="s">
        <v>223</v>
      </c>
      <c r="C315" s="54" t="s">
        <v>54</v>
      </c>
      <c r="D315" s="53" t="s">
        <v>61</v>
      </c>
      <c r="E315" s="53" t="s">
        <v>16</v>
      </c>
      <c r="F315" s="55" t="s">
        <v>128</v>
      </c>
      <c r="G315" s="61">
        <v>903350</v>
      </c>
      <c r="H315" s="54"/>
      <c r="I315" s="55"/>
      <c r="J315" s="54"/>
      <c r="K315" s="55"/>
      <c r="L315" s="54"/>
      <c r="M315" s="54" t="s">
        <v>920</v>
      </c>
    </row>
    <row r="316" spans="1:13">
      <c r="A316" s="53">
        <v>317</v>
      </c>
      <c r="B316" s="53" t="s">
        <v>223</v>
      </c>
      <c r="C316" s="54" t="s">
        <v>54</v>
      </c>
      <c r="D316" s="53" t="s">
        <v>61</v>
      </c>
      <c r="E316" s="53" t="s">
        <v>16</v>
      </c>
      <c r="F316" s="55" t="s">
        <v>128</v>
      </c>
      <c r="G316" s="61">
        <v>903351</v>
      </c>
      <c r="H316" s="54"/>
      <c r="I316" s="55"/>
      <c r="J316" s="54"/>
      <c r="K316" s="55"/>
      <c r="L316" s="54"/>
      <c r="M316" s="54" t="s">
        <v>920</v>
      </c>
    </row>
    <row r="317" spans="1:13">
      <c r="A317" s="53">
        <v>318</v>
      </c>
      <c r="B317" s="53" t="s">
        <v>223</v>
      </c>
      <c r="C317" s="54" t="s">
        <v>54</v>
      </c>
      <c r="D317" s="53" t="s">
        <v>61</v>
      </c>
      <c r="E317" s="53" t="s">
        <v>16</v>
      </c>
      <c r="F317" s="55" t="s">
        <v>56</v>
      </c>
      <c r="G317" s="61">
        <v>903352</v>
      </c>
      <c r="H317" s="54"/>
      <c r="I317" s="55"/>
      <c r="J317" s="54"/>
      <c r="K317" s="55"/>
      <c r="L317" s="54"/>
      <c r="M317" s="54" t="s">
        <v>920</v>
      </c>
    </row>
    <row r="318" spans="1:13">
      <c r="A318" s="53">
        <v>315</v>
      </c>
      <c r="B318" s="53" t="s">
        <v>223</v>
      </c>
      <c r="C318" s="54" t="s">
        <v>54</v>
      </c>
      <c r="D318" s="53" t="s">
        <v>61</v>
      </c>
      <c r="E318" s="53" t="s">
        <v>16</v>
      </c>
      <c r="F318" s="55" t="s">
        <v>128</v>
      </c>
      <c r="G318" s="61">
        <v>903353</v>
      </c>
      <c r="H318" s="54"/>
      <c r="I318" s="55"/>
      <c r="J318" s="54"/>
      <c r="K318" s="55"/>
      <c r="L318" s="54"/>
      <c r="M318" s="54" t="s">
        <v>920</v>
      </c>
    </row>
    <row r="319" spans="1:13">
      <c r="A319" s="53">
        <v>316</v>
      </c>
      <c r="B319" s="53" t="s">
        <v>223</v>
      </c>
      <c r="C319" s="54" t="s">
        <v>54</v>
      </c>
      <c r="D319" s="53" t="s">
        <v>61</v>
      </c>
      <c r="E319" s="53" t="s">
        <v>16</v>
      </c>
      <c r="F319" s="55" t="s">
        <v>128</v>
      </c>
      <c r="G319" s="61">
        <v>903354</v>
      </c>
      <c r="H319" s="54"/>
      <c r="I319" s="55"/>
      <c r="J319" s="54"/>
      <c r="K319" s="55"/>
      <c r="L319" s="54"/>
      <c r="M319" s="54" t="s">
        <v>920</v>
      </c>
    </row>
    <row r="320" spans="1:13">
      <c r="A320" s="53">
        <v>317</v>
      </c>
      <c r="B320" s="53" t="s">
        <v>223</v>
      </c>
      <c r="C320" s="54" t="s">
        <v>54</v>
      </c>
      <c r="D320" s="53" t="s">
        <v>61</v>
      </c>
      <c r="E320" s="53" t="s">
        <v>16</v>
      </c>
      <c r="F320" s="55" t="s">
        <v>128</v>
      </c>
      <c r="G320" s="61">
        <v>903355</v>
      </c>
      <c r="H320" s="54"/>
      <c r="I320" s="55"/>
      <c r="J320" s="54"/>
      <c r="K320" s="55"/>
      <c r="L320" s="54"/>
      <c r="M320" s="54" t="s">
        <v>920</v>
      </c>
    </row>
    <row r="321" spans="1:13">
      <c r="A321" s="53">
        <v>321</v>
      </c>
      <c r="B321" s="53" t="s">
        <v>223</v>
      </c>
      <c r="C321" s="54" t="s">
        <v>54</v>
      </c>
      <c r="D321" s="53" t="s">
        <v>61</v>
      </c>
      <c r="E321" s="53" t="s">
        <v>16</v>
      </c>
      <c r="F321" s="55" t="s">
        <v>56</v>
      </c>
      <c r="G321" s="61">
        <v>903356</v>
      </c>
      <c r="H321" s="54"/>
      <c r="I321" s="55"/>
      <c r="J321" s="54"/>
      <c r="K321" s="55"/>
      <c r="L321" s="54"/>
      <c r="M321" s="54" t="s">
        <v>920</v>
      </c>
    </row>
    <row r="322" spans="1:13">
      <c r="A322" s="53">
        <v>322</v>
      </c>
      <c r="B322" s="53" t="s">
        <v>223</v>
      </c>
      <c r="C322" s="54" t="s">
        <v>36</v>
      </c>
      <c r="D322" s="53" t="s">
        <v>61</v>
      </c>
      <c r="E322" s="53" t="s">
        <v>16</v>
      </c>
      <c r="F322" s="55" t="s">
        <v>210</v>
      </c>
      <c r="G322" s="61">
        <v>903357</v>
      </c>
      <c r="H322" s="54"/>
      <c r="I322" s="55"/>
      <c r="J322" s="54"/>
      <c r="K322" s="55"/>
      <c r="L322" s="54"/>
      <c r="M322" s="54" t="s">
        <v>920</v>
      </c>
    </row>
    <row r="323" spans="1:13">
      <c r="A323" s="53">
        <v>324</v>
      </c>
      <c r="B323" s="53" t="s">
        <v>223</v>
      </c>
      <c r="C323" s="54" t="s">
        <v>35</v>
      </c>
      <c r="D323" s="53" t="s">
        <v>61</v>
      </c>
      <c r="E323" s="53" t="s">
        <v>16</v>
      </c>
      <c r="F323" s="55" t="s">
        <v>69</v>
      </c>
      <c r="G323" s="61">
        <v>903358</v>
      </c>
      <c r="H323" s="54"/>
      <c r="I323" s="55"/>
      <c r="J323" s="54"/>
      <c r="K323" s="55"/>
      <c r="L323" s="54"/>
      <c r="M323" s="54" t="s">
        <v>920</v>
      </c>
    </row>
    <row r="324" spans="1:13">
      <c r="A324" s="53">
        <v>324</v>
      </c>
      <c r="B324" s="53" t="s">
        <v>223</v>
      </c>
      <c r="C324" s="54" t="s">
        <v>29</v>
      </c>
      <c r="D324" s="53" t="s">
        <v>61</v>
      </c>
      <c r="E324" s="53" t="s">
        <v>16</v>
      </c>
      <c r="F324" s="55" t="s">
        <v>128</v>
      </c>
      <c r="G324" s="61">
        <v>903359</v>
      </c>
      <c r="H324" s="54"/>
      <c r="I324" s="55"/>
      <c r="J324" s="54"/>
      <c r="K324" s="55"/>
      <c r="L324" s="54"/>
      <c r="M324" s="54" t="s">
        <v>920</v>
      </c>
    </row>
    <row r="325" spans="1:13">
      <c r="A325" s="53">
        <v>326</v>
      </c>
      <c r="B325" s="53" t="s">
        <v>223</v>
      </c>
      <c r="C325" s="54" t="s">
        <v>29</v>
      </c>
      <c r="D325" s="53" t="s">
        <v>61</v>
      </c>
      <c r="E325" s="53" t="s">
        <v>16</v>
      </c>
      <c r="F325" s="55" t="s">
        <v>128</v>
      </c>
      <c r="G325" s="61">
        <v>903360</v>
      </c>
      <c r="H325" s="54"/>
      <c r="I325" s="55"/>
      <c r="J325" s="54"/>
      <c r="K325" s="55"/>
      <c r="L325" s="54"/>
      <c r="M325" s="54" t="s">
        <v>920</v>
      </c>
    </row>
    <row r="326" spans="1:13">
      <c r="A326" s="53">
        <v>327</v>
      </c>
      <c r="B326" s="53" t="s">
        <v>223</v>
      </c>
      <c r="C326" s="54" t="s">
        <v>29</v>
      </c>
      <c r="D326" s="53" t="s">
        <v>61</v>
      </c>
      <c r="E326" s="53" t="s">
        <v>16</v>
      </c>
      <c r="F326" s="55" t="s">
        <v>128</v>
      </c>
      <c r="G326" s="61">
        <v>903361</v>
      </c>
      <c r="H326" s="54"/>
      <c r="I326" s="55"/>
      <c r="J326" s="54"/>
      <c r="K326" s="55"/>
      <c r="L326" s="54"/>
      <c r="M326" s="54" t="s">
        <v>920</v>
      </c>
    </row>
    <row r="327" spans="1:13">
      <c r="A327" s="53">
        <v>324</v>
      </c>
      <c r="B327" s="53" t="s">
        <v>223</v>
      </c>
      <c r="C327" s="54" t="s">
        <v>29</v>
      </c>
      <c r="D327" s="53" t="s">
        <v>61</v>
      </c>
      <c r="E327" s="53" t="s">
        <v>16</v>
      </c>
      <c r="F327" s="55" t="s">
        <v>99</v>
      </c>
      <c r="G327" s="61">
        <v>903362</v>
      </c>
      <c r="H327" s="54"/>
      <c r="I327" s="55"/>
      <c r="J327" s="54"/>
      <c r="K327" s="55"/>
      <c r="L327" s="54"/>
      <c r="M327" s="54" t="s">
        <v>920</v>
      </c>
    </row>
    <row r="328" spans="1:13">
      <c r="A328" s="53">
        <v>329</v>
      </c>
      <c r="B328" s="53" t="s">
        <v>223</v>
      </c>
      <c r="C328" s="54" t="s">
        <v>29</v>
      </c>
      <c r="D328" s="53" t="s">
        <v>61</v>
      </c>
      <c r="E328" s="53" t="s">
        <v>16</v>
      </c>
      <c r="F328" s="55" t="s">
        <v>99</v>
      </c>
      <c r="G328" s="61">
        <v>903363</v>
      </c>
      <c r="H328" s="54"/>
      <c r="I328" s="55"/>
      <c r="J328" s="54"/>
      <c r="K328" s="55"/>
      <c r="L328" s="54"/>
      <c r="M328" s="54" t="s">
        <v>920</v>
      </c>
    </row>
    <row r="329" spans="1:13">
      <c r="A329" s="53">
        <v>330</v>
      </c>
      <c r="B329" s="53" t="s">
        <v>223</v>
      </c>
      <c r="C329" s="54" t="s">
        <v>36</v>
      </c>
      <c r="D329" s="53" t="s">
        <v>61</v>
      </c>
      <c r="E329" s="53" t="s">
        <v>16</v>
      </c>
      <c r="F329" s="55" t="s">
        <v>56</v>
      </c>
      <c r="G329" s="61">
        <v>903364</v>
      </c>
      <c r="H329" s="54"/>
      <c r="I329" s="55"/>
      <c r="J329" s="54"/>
      <c r="K329" s="55"/>
      <c r="L329" s="54"/>
      <c r="M329" s="54" t="s">
        <v>920</v>
      </c>
    </row>
    <row r="330" spans="1:13">
      <c r="A330" s="53">
        <v>327</v>
      </c>
      <c r="B330" s="53" t="s">
        <v>223</v>
      </c>
      <c r="C330" s="54" t="s">
        <v>36</v>
      </c>
      <c r="D330" s="53" t="s">
        <v>61</v>
      </c>
      <c r="E330" s="53" t="s">
        <v>16</v>
      </c>
      <c r="F330" s="55" t="s">
        <v>210</v>
      </c>
      <c r="G330" s="61">
        <v>903365</v>
      </c>
      <c r="H330" s="54"/>
      <c r="I330" s="55"/>
      <c r="J330" s="54"/>
      <c r="K330" s="55"/>
      <c r="L330" s="54"/>
      <c r="M330" s="54" t="s">
        <v>920</v>
      </c>
    </row>
    <row r="331" spans="1:13">
      <c r="A331" s="53">
        <v>331</v>
      </c>
      <c r="B331" s="53" t="s">
        <v>223</v>
      </c>
      <c r="C331" s="54" t="s">
        <v>36</v>
      </c>
      <c r="D331" s="53" t="s">
        <v>61</v>
      </c>
      <c r="E331" s="53" t="s">
        <v>16</v>
      </c>
      <c r="F331" s="55" t="s">
        <v>99</v>
      </c>
      <c r="G331" s="61">
        <v>903366</v>
      </c>
      <c r="H331" s="54"/>
      <c r="I331" s="55"/>
      <c r="J331" s="54"/>
      <c r="K331" s="55"/>
      <c r="L331" s="54"/>
      <c r="M331" s="54" t="s">
        <v>920</v>
      </c>
    </row>
    <row r="332" spans="1:13">
      <c r="A332" s="53">
        <v>332</v>
      </c>
      <c r="B332" s="53" t="s">
        <v>223</v>
      </c>
      <c r="C332" s="54" t="s">
        <v>36</v>
      </c>
      <c r="D332" s="53" t="s">
        <v>61</v>
      </c>
      <c r="E332" s="53" t="s">
        <v>16</v>
      </c>
      <c r="F332" s="55" t="s">
        <v>99</v>
      </c>
      <c r="G332" s="61">
        <v>903367</v>
      </c>
      <c r="H332" s="54"/>
      <c r="I332" s="55"/>
      <c r="J332" s="54"/>
      <c r="K332" s="55"/>
      <c r="L332" s="54"/>
      <c r="M332" s="54" t="s">
        <v>920</v>
      </c>
    </row>
    <row r="333" spans="1:13">
      <c r="A333" s="53">
        <v>333</v>
      </c>
      <c r="B333" s="53" t="s">
        <v>223</v>
      </c>
      <c r="C333" s="54" t="s">
        <v>36</v>
      </c>
      <c r="D333" s="53" t="s">
        <v>61</v>
      </c>
      <c r="E333" s="53" t="s">
        <v>16</v>
      </c>
      <c r="F333" s="55" t="s">
        <v>128</v>
      </c>
      <c r="G333" s="61">
        <v>903368</v>
      </c>
      <c r="H333" s="54"/>
      <c r="I333" s="55"/>
      <c r="J333" s="54"/>
      <c r="K333" s="55"/>
      <c r="L333" s="54"/>
      <c r="M333" s="54" t="s">
        <v>920</v>
      </c>
    </row>
    <row r="334" spans="1:13">
      <c r="A334" s="53">
        <v>335</v>
      </c>
      <c r="B334" s="53" t="s">
        <v>223</v>
      </c>
      <c r="C334" s="54" t="s">
        <v>36</v>
      </c>
      <c r="D334" s="53" t="s">
        <v>61</v>
      </c>
      <c r="E334" s="53" t="s">
        <v>16</v>
      </c>
      <c r="F334" s="55" t="s">
        <v>99</v>
      </c>
      <c r="G334" s="61">
        <v>903369</v>
      </c>
      <c r="H334" s="54"/>
      <c r="I334" s="55"/>
      <c r="J334" s="54"/>
      <c r="K334" s="55"/>
      <c r="L334" s="54"/>
      <c r="M334" s="54" t="s">
        <v>920</v>
      </c>
    </row>
    <row r="335" spans="1:13">
      <c r="A335" s="53">
        <v>336</v>
      </c>
      <c r="B335" s="53" t="s">
        <v>223</v>
      </c>
      <c r="C335" s="54" t="s">
        <v>36</v>
      </c>
      <c r="D335" s="53" t="s">
        <v>61</v>
      </c>
      <c r="E335" s="53" t="s">
        <v>16</v>
      </c>
      <c r="F335" s="55" t="s">
        <v>210</v>
      </c>
      <c r="G335" s="61">
        <v>903370</v>
      </c>
      <c r="H335" s="54"/>
      <c r="I335" s="55"/>
      <c r="J335" s="54"/>
      <c r="K335" s="55"/>
      <c r="L335" s="54"/>
      <c r="M335" s="54" t="s">
        <v>920</v>
      </c>
    </row>
    <row r="336" spans="1:13">
      <c r="A336" s="53">
        <v>333</v>
      </c>
      <c r="B336" s="53" t="s">
        <v>223</v>
      </c>
      <c r="C336" s="54" t="s">
        <v>34</v>
      </c>
      <c r="D336" s="53" t="s">
        <v>61</v>
      </c>
      <c r="E336" s="53" t="s">
        <v>16</v>
      </c>
      <c r="F336" s="55" t="s">
        <v>99</v>
      </c>
      <c r="G336" s="61">
        <v>903371</v>
      </c>
      <c r="H336" s="54" t="s">
        <v>172</v>
      </c>
      <c r="I336" s="63">
        <v>28011684</v>
      </c>
      <c r="J336" s="64" t="s">
        <v>177</v>
      </c>
      <c r="K336" s="55" t="s">
        <v>99</v>
      </c>
      <c r="L336" s="54" t="s">
        <v>59</v>
      </c>
      <c r="M336" s="54" t="s">
        <v>632</v>
      </c>
    </row>
    <row r="337" spans="1:13">
      <c r="A337" s="53">
        <v>338</v>
      </c>
      <c r="B337" s="53" t="s">
        <v>11</v>
      </c>
      <c r="C337" s="54" t="s">
        <v>32</v>
      </c>
      <c r="D337" s="53" t="s">
        <v>61</v>
      </c>
      <c r="E337" s="53" t="s">
        <v>16</v>
      </c>
      <c r="F337" s="63" t="s">
        <v>99</v>
      </c>
      <c r="G337" s="61">
        <v>90003372</v>
      </c>
      <c r="H337" s="54" t="s">
        <v>174</v>
      </c>
      <c r="I337" s="55">
        <v>28011685</v>
      </c>
      <c r="J337" s="54" t="s">
        <v>180</v>
      </c>
      <c r="K337" s="55" t="s">
        <v>99</v>
      </c>
      <c r="L337" s="54" t="s">
        <v>59</v>
      </c>
      <c r="M337" s="54" t="s">
        <v>632</v>
      </c>
    </row>
    <row r="338" spans="1:13">
      <c r="A338" s="53">
        <v>339</v>
      </c>
      <c r="B338" s="53" t="s">
        <v>11</v>
      </c>
      <c r="C338" s="54" t="s">
        <v>32</v>
      </c>
      <c r="D338" s="53" t="s">
        <v>61</v>
      </c>
      <c r="E338" s="53" t="s">
        <v>16</v>
      </c>
      <c r="F338" s="63" t="s">
        <v>99</v>
      </c>
      <c r="G338" s="61">
        <v>90003373</v>
      </c>
      <c r="H338" s="54" t="s">
        <v>174</v>
      </c>
      <c r="I338" s="55">
        <v>28011686</v>
      </c>
      <c r="J338" s="54" t="s">
        <v>182</v>
      </c>
      <c r="K338" s="55" t="s">
        <v>99</v>
      </c>
      <c r="L338" s="54" t="s">
        <v>59</v>
      </c>
      <c r="M338" s="54" t="s">
        <v>632</v>
      </c>
    </row>
    <row r="339" spans="1:13">
      <c r="A339" s="53">
        <v>336</v>
      </c>
      <c r="B339" s="53" t="s">
        <v>11</v>
      </c>
      <c r="C339" s="54" t="s">
        <v>30</v>
      </c>
      <c r="D339" s="53" t="s">
        <v>61</v>
      </c>
      <c r="E339" s="53" t="s">
        <v>16</v>
      </c>
      <c r="F339" s="55" t="s">
        <v>99</v>
      </c>
      <c r="G339" s="61">
        <v>903374</v>
      </c>
      <c r="H339" s="54" t="s">
        <v>162</v>
      </c>
      <c r="I339" s="55">
        <v>28011687</v>
      </c>
      <c r="J339" s="54" t="s">
        <v>184</v>
      </c>
      <c r="K339" s="55" t="s">
        <v>99</v>
      </c>
      <c r="L339" s="54" t="s">
        <v>59</v>
      </c>
      <c r="M339" s="54" t="s">
        <v>632</v>
      </c>
    </row>
    <row r="340" spans="1:13">
      <c r="A340" s="53">
        <v>341</v>
      </c>
      <c r="B340" s="53" t="s">
        <v>11</v>
      </c>
      <c r="C340" s="54" t="s">
        <v>32</v>
      </c>
      <c r="D340" s="53" t="s">
        <v>61</v>
      </c>
      <c r="E340" s="53" t="s">
        <v>16</v>
      </c>
      <c r="F340" s="63" t="s">
        <v>99</v>
      </c>
      <c r="G340" s="61">
        <v>903375</v>
      </c>
      <c r="H340" s="54" t="s">
        <v>174</v>
      </c>
      <c r="I340" s="55">
        <v>28011688</v>
      </c>
      <c r="J340" s="54" t="s">
        <v>185</v>
      </c>
      <c r="K340" s="55" t="s">
        <v>99</v>
      </c>
      <c r="L340" s="54" t="s">
        <v>59</v>
      </c>
      <c r="M340" s="54" t="s">
        <v>632</v>
      </c>
    </row>
    <row r="341" spans="1:13">
      <c r="A341" s="53">
        <v>338</v>
      </c>
      <c r="B341" s="53" t="s">
        <v>11</v>
      </c>
      <c r="C341" s="54" t="s">
        <v>32</v>
      </c>
      <c r="D341" s="53" t="s">
        <v>61</v>
      </c>
      <c r="E341" s="53" t="s">
        <v>16</v>
      </c>
      <c r="F341" s="63" t="s">
        <v>99</v>
      </c>
      <c r="G341" s="61">
        <v>90003376</v>
      </c>
      <c r="H341" s="54" t="s">
        <v>176</v>
      </c>
      <c r="I341" s="55">
        <v>28011689</v>
      </c>
      <c r="J341" s="54" t="s">
        <v>187</v>
      </c>
      <c r="K341" s="55" t="s">
        <v>99</v>
      </c>
      <c r="L341" s="54" t="s">
        <v>59</v>
      </c>
      <c r="M341" s="54" t="s">
        <v>632</v>
      </c>
    </row>
    <row r="342" spans="1:13">
      <c r="A342" s="53">
        <v>342</v>
      </c>
      <c r="B342" s="53" t="s">
        <v>11</v>
      </c>
      <c r="C342" s="54" t="s">
        <v>32</v>
      </c>
      <c r="D342" s="53" t="s">
        <v>61</v>
      </c>
      <c r="E342" s="53" t="s">
        <v>16</v>
      </c>
      <c r="F342" s="55" t="s">
        <v>56</v>
      </c>
      <c r="G342" s="61">
        <v>903377</v>
      </c>
      <c r="H342" s="54" t="s">
        <v>176</v>
      </c>
      <c r="I342" s="55">
        <v>28011690</v>
      </c>
      <c r="J342" s="54" t="s">
        <v>189</v>
      </c>
      <c r="K342" s="55" t="s">
        <v>56</v>
      </c>
      <c r="L342" s="54" t="s">
        <v>59</v>
      </c>
      <c r="M342" s="54" t="s">
        <v>632</v>
      </c>
    </row>
    <row r="343" spans="1:13">
      <c r="A343" s="53">
        <v>340</v>
      </c>
      <c r="B343" s="53" t="s">
        <v>11</v>
      </c>
      <c r="C343" s="54" t="s">
        <v>32</v>
      </c>
      <c r="D343" s="53" t="s">
        <v>61</v>
      </c>
      <c r="E343" s="53" t="s">
        <v>16</v>
      </c>
      <c r="F343" s="55" t="s">
        <v>128</v>
      </c>
      <c r="G343" s="61">
        <v>903378</v>
      </c>
      <c r="H343" s="54" t="s">
        <v>84</v>
      </c>
      <c r="I343" s="55"/>
      <c r="J343" s="103"/>
      <c r="K343" s="55"/>
      <c r="L343" s="54"/>
      <c r="M343" s="54" t="s">
        <v>63</v>
      </c>
    </row>
    <row r="344" spans="1:13">
      <c r="A344" s="53">
        <v>345</v>
      </c>
      <c r="B344" s="53" t="s">
        <v>11</v>
      </c>
      <c r="C344" s="54" t="s">
        <v>32</v>
      </c>
      <c r="D344" s="53" t="s">
        <v>61</v>
      </c>
      <c r="E344" s="53" t="s">
        <v>16</v>
      </c>
      <c r="F344" s="55" t="s">
        <v>128</v>
      </c>
      <c r="G344" s="61">
        <v>903379</v>
      </c>
      <c r="H344" s="54" t="s">
        <v>178</v>
      </c>
      <c r="I344" s="55">
        <v>28011691</v>
      </c>
      <c r="J344" s="54" t="s">
        <v>191</v>
      </c>
      <c r="K344" s="55" t="s">
        <v>128</v>
      </c>
      <c r="L344" s="54" t="s">
        <v>59</v>
      </c>
      <c r="M344" s="54" t="s">
        <v>632</v>
      </c>
    </row>
    <row r="345" spans="1:13">
      <c r="A345" s="53">
        <v>342</v>
      </c>
      <c r="B345" s="53" t="s">
        <v>11</v>
      </c>
      <c r="C345" s="54" t="s">
        <v>30</v>
      </c>
      <c r="D345" s="53" t="s">
        <v>61</v>
      </c>
      <c r="E345" s="53" t="s">
        <v>16</v>
      </c>
      <c r="F345" s="55" t="s">
        <v>128</v>
      </c>
      <c r="G345" s="61">
        <v>903380</v>
      </c>
      <c r="H345" s="54"/>
      <c r="I345" s="55"/>
      <c r="J345" s="54"/>
      <c r="K345" s="55"/>
      <c r="L345" s="54"/>
      <c r="M345" s="54" t="s">
        <v>63</v>
      </c>
    </row>
    <row r="346" spans="1:13">
      <c r="A346" s="53">
        <v>347</v>
      </c>
      <c r="B346" s="53" t="s">
        <v>12</v>
      </c>
      <c r="C346" s="54" t="s">
        <v>30</v>
      </c>
      <c r="D346" s="53" t="s">
        <v>61</v>
      </c>
      <c r="E346" s="53" t="s">
        <v>16</v>
      </c>
      <c r="F346" s="63" t="s">
        <v>99</v>
      </c>
      <c r="G346" s="61">
        <v>903381</v>
      </c>
      <c r="H346" s="54" t="s">
        <v>179</v>
      </c>
      <c r="I346" s="63">
        <v>28011692</v>
      </c>
      <c r="J346" s="64" t="s">
        <v>192</v>
      </c>
      <c r="K346" s="55" t="s">
        <v>99</v>
      </c>
      <c r="L346" s="54" t="s">
        <v>59</v>
      </c>
      <c r="M346" s="54" t="s">
        <v>632</v>
      </c>
    </row>
    <row r="347" spans="1:13">
      <c r="A347" s="53">
        <v>346</v>
      </c>
      <c r="B347" s="53" t="s">
        <v>12</v>
      </c>
      <c r="C347" s="54" t="s">
        <v>30</v>
      </c>
      <c r="D347" s="53" t="s">
        <v>61</v>
      </c>
      <c r="E347" s="53" t="s">
        <v>16</v>
      </c>
      <c r="F347" s="63" t="s">
        <v>210</v>
      </c>
      <c r="G347" s="61">
        <v>90003382</v>
      </c>
      <c r="H347" s="54" t="s">
        <v>181</v>
      </c>
      <c r="I347" s="63">
        <v>28011693</v>
      </c>
      <c r="J347" s="64" t="s">
        <v>194</v>
      </c>
      <c r="K347" s="55" t="s">
        <v>210</v>
      </c>
      <c r="L347" s="54" t="s">
        <v>59</v>
      </c>
      <c r="M347" s="54" t="s">
        <v>632</v>
      </c>
    </row>
    <row r="348" spans="1:13">
      <c r="A348" s="53">
        <v>347</v>
      </c>
      <c r="B348" s="53" t="s">
        <v>12</v>
      </c>
      <c r="C348" s="54" t="s">
        <v>30</v>
      </c>
      <c r="D348" s="53" t="s">
        <v>61</v>
      </c>
      <c r="E348" s="53" t="s">
        <v>16</v>
      </c>
      <c r="F348" s="63" t="s">
        <v>99</v>
      </c>
      <c r="G348" s="61">
        <v>90003383</v>
      </c>
      <c r="H348" s="54" t="s">
        <v>181</v>
      </c>
      <c r="I348" s="63">
        <v>28011694</v>
      </c>
      <c r="J348" s="64" t="s">
        <v>196</v>
      </c>
      <c r="K348" s="55" t="s">
        <v>99</v>
      </c>
      <c r="L348" s="54" t="s">
        <v>59</v>
      </c>
      <c r="M348" s="54" t="s">
        <v>632</v>
      </c>
    </row>
    <row r="349" spans="1:13">
      <c r="A349" s="53">
        <v>350</v>
      </c>
      <c r="B349" s="53" t="s">
        <v>12</v>
      </c>
      <c r="C349" s="54" t="s">
        <v>30</v>
      </c>
      <c r="D349" s="53" t="s">
        <v>61</v>
      </c>
      <c r="E349" s="53" t="s">
        <v>16</v>
      </c>
      <c r="F349" s="63" t="s">
        <v>128</v>
      </c>
      <c r="G349" s="61">
        <v>90003384</v>
      </c>
      <c r="H349" s="54" t="s">
        <v>181</v>
      </c>
      <c r="I349" s="63">
        <v>28011695</v>
      </c>
      <c r="J349" s="64" t="s">
        <v>198</v>
      </c>
      <c r="K349" s="55" t="s">
        <v>128</v>
      </c>
      <c r="L349" s="54" t="s">
        <v>59</v>
      </c>
      <c r="M349" s="54" t="s">
        <v>632</v>
      </c>
    </row>
    <row r="350" spans="1:13">
      <c r="A350" s="53">
        <v>348</v>
      </c>
      <c r="B350" s="53" t="s">
        <v>12</v>
      </c>
      <c r="C350" s="54" t="s">
        <v>30</v>
      </c>
      <c r="D350" s="53" t="s">
        <v>61</v>
      </c>
      <c r="E350" s="53" t="s">
        <v>16</v>
      </c>
      <c r="F350" s="63" t="s">
        <v>128</v>
      </c>
      <c r="G350" s="61">
        <v>90003385</v>
      </c>
      <c r="H350" s="54" t="s">
        <v>183</v>
      </c>
      <c r="I350" s="63">
        <v>28011696</v>
      </c>
      <c r="J350" s="64" t="s">
        <v>200</v>
      </c>
      <c r="K350" s="55" t="s">
        <v>128</v>
      </c>
      <c r="L350" s="54" t="s">
        <v>59</v>
      </c>
      <c r="M350" s="54" t="s">
        <v>632</v>
      </c>
    </row>
    <row r="351" spans="1:13">
      <c r="A351" s="53">
        <v>351</v>
      </c>
      <c r="B351" s="53" t="s">
        <v>12</v>
      </c>
      <c r="C351" s="54" t="s">
        <v>30</v>
      </c>
      <c r="D351" s="53" t="s">
        <v>61</v>
      </c>
      <c r="E351" s="53" t="s">
        <v>16</v>
      </c>
      <c r="F351" s="63" t="s">
        <v>56</v>
      </c>
      <c r="G351" s="61">
        <v>903386</v>
      </c>
      <c r="H351" s="54" t="s">
        <v>183</v>
      </c>
      <c r="I351" s="63">
        <v>28011697</v>
      </c>
      <c r="J351" s="64" t="s">
        <v>202</v>
      </c>
      <c r="K351" s="55" t="s">
        <v>56</v>
      </c>
      <c r="L351" s="54" t="s">
        <v>59</v>
      </c>
      <c r="M351" s="54" t="s">
        <v>632</v>
      </c>
    </row>
    <row r="352" spans="1:13">
      <c r="A352" s="53">
        <v>352</v>
      </c>
      <c r="B352" s="53" t="s">
        <v>12</v>
      </c>
      <c r="C352" s="54" t="s">
        <v>30</v>
      </c>
      <c r="D352" s="53" t="s">
        <v>61</v>
      </c>
      <c r="E352" s="53" t="s">
        <v>16</v>
      </c>
      <c r="F352" s="63" t="s">
        <v>99</v>
      </c>
      <c r="G352" s="61">
        <v>903387</v>
      </c>
      <c r="H352" s="54" t="s">
        <v>186</v>
      </c>
      <c r="I352" s="63">
        <v>28011698</v>
      </c>
      <c r="J352" s="64" t="s">
        <v>204</v>
      </c>
      <c r="K352" s="55" t="s">
        <v>99</v>
      </c>
      <c r="L352" s="54" t="s">
        <v>59</v>
      </c>
      <c r="M352" s="54" t="s">
        <v>632</v>
      </c>
    </row>
    <row r="353" spans="1:13">
      <c r="A353" s="53">
        <v>353</v>
      </c>
      <c r="B353" s="53" t="s">
        <v>12</v>
      </c>
      <c r="C353" s="54" t="s">
        <v>30</v>
      </c>
      <c r="D353" s="53" t="s">
        <v>61</v>
      </c>
      <c r="E353" s="53" t="s">
        <v>16</v>
      </c>
      <c r="F353" s="63" t="s">
        <v>128</v>
      </c>
      <c r="G353" s="61">
        <v>903388</v>
      </c>
      <c r="H353" s="54" t="s">
        <v>181</v>
      </c>
      <c r="I353" s="63">
        <v>28011699</v>
      </c>
      <c r="J353" s="64" t="s">
        <v>205</v>
      </c>
      <c r="K353" s="55" t="s">
        <v>128</v>
      </c>
      <c r="L353" s="54" t="s">
        <v>59</v>
      </c>
      <c r="M353" s="54" t="s">
        <v>632</v>
      </c>
    </row>
    <row r="354" spans="1:13">
      <c r="A354" s="53">
        <v>351</v>
      </c>
      <c r="B354" s="53" t="s">
        <v>12</v>
      </c>
      <c r="C354" s="54" t="s">
        <v>30</v>
      </c>
      <c r="D354" s="53" t="s">
        <v>61</v>
      </c>
      <c r="E354" s="53" t="s">
        <v>16</v>
      </c>
      <c r="F354" s="63" t="s">
        <v>56</v>
      </c>
      <c r="G354" s="61">
        <v>903389</v>
      </c>
      <c r="H354" s="54" t="s">
        <v>188</v>
      </c>
      <c r="I354" s="63">
        <v>28011700</v>
      </c>
      <c r="J354" s="64" t="s">
        <v>206</v>
      </c>
      <c r="K354" s="55" t="s">
        <v>56</v>
      </c>
      <c r="L354" s="54" t="s">
        <v>59</v>
      </c>
      <c r="M354" s="54" t="s">
        <v>632</v>
      </c>
    </row>
    <row r="355" spans="1:13">
      <c r="A355" s="53">
        <v>352</v>
      </c>
      <c r="B355" s="53" t="s">
        <v>12</v>
      </c>
      <c r="C355" s="54" t="s">
        <v>30</v>
      </c>
      <c r="D355" s="53" t="s">
        <v>61</v>
      </c>
      <c r="E355" s="53" t="s">
        <v>16</v>
      </c>
      <c r="F355" s="63" t="s">
        <v>56</v>
      </c>
      <c r="G355" s="62">
        <v>903390</v>
      </c>
      <c r="H355" s="54" t="s">
        <v>188</v>
      </c>
      <c r="I355" s="55">
        <v>28011701</v>
      </c>
      <c r="J355" s="64" t="s">
        <v>207</v>
      </c>
      <c r="K355" s="55" t="s">
        <v>56</v>
      </c>
      <c r="L355" s="54" t="s">
        <v>59</v>
      </c>
      <c r="M355" s="54" t="s">
        <v>632</v>
      </c>
    </row>
    <row r="356" spans="1:13">
      <c r="A356" s="53">
        <v>357</v>
      </c>
      <c r="B356" s="53" t="s">
        <v>12</v>
      </c>
      <c r="C356" s="54" t="s">
        <v>30</v>
      </c>
      <c r="D356" s="53" t="s">
        <v>61</v>
      </c>
      <c r="E356" s="53" t="s">
        <v>16</v>
      </c>
      <c r="F356" s="63" t="s">
        <v>72</v>
      </c>
      <c r="G356" s="61">
        <v>903391</v>
      </c>
      <c r="H356" s="54" t="s">
        <v>188</v>
      </c>
      <c r="I356" s="63">
        <v>28011702</v>
      </c>
      <c r="J356" s="64" t="s">
        <v>208</v>
      </c>
      <c r="K356" s="55" t="s">
        <v>72</v>
      </c>
      <c r="L356" s="54" t="s">
        <v>59</v>
      </c>
      <c r="M356" s="54" t="s">
        <v>632</v>
      </c>
    </row>
    <row r="357" spans="1:13">
      <c r="A357" s="53">
        <v>354</v>
      </c>
      <c r="B357" s="53" t="s">
        <v>12</v>
      </c>
      <c r="C357" s="54" t="s">
        <v>30</v>
      </c>
      <c r="D357" s="53" t="s">
        <v>61</v>
      </c>
      <c r="E357" s="53" t="s">
        <v>16</v>
      </c>
      <c r="F357" s="63" t="s">
        <v>56</v>
      </c>
      <c r="G357" s="61">
        <v>903392</v>
      </c>
      <c r="H357" s="54" t="s">
        <v>190</v>
      </c>
      <c r="I357" s="63"/>
      <c r="J357" s="104"/>
      <c r="K357" s="55"/>
      <c r="L357" s="54"/>
      <c r="M357" s="54" t="s">
        <v>63</v>
      </c>
    </row>
    <row r="358" spans="1:13">
      <c r="A358" s="53">
        <v>359</v>
      </c>
      <c r="B358" s="53" t="s">
        <v>12</v>
      </c>
      <c r="C358" s="54" t="s">
        <v>30</v>
      </c>
      <c r="D358" s="53" t="s">
        <v>61</v>
      </c>
      <c r="E358" s="53" t="s">
        <v>16</v>
      </c>
      <c r="F358" s="63" t="s">
        <v>109</v>
      </c>
      <c r="G358" s="61">
        <v>90003393</v>
      </c>
      <c r="H358" s="54" t="s">
        <v>186</v>
      </c>
      <c r="I358" s="63">
        <v>28011703</v>
      </c>
      <c r="J358" s="64" t="s">
        <v>860</v>
      </c>
      <c r="K358" s="55" t="s">
        <v>56</v>
      </c>
      <c r="L358" s="54" t="s">
        <v>59</v>
      </c>
      <c r="M358" s="54" t="s">
        <v>632</v>
      </c>
    </row>
    <row r="359" spans="1:13">
      <c r="A359" s="53">
        <v>360</v>
      </c>
      <c r="B359" s="53" t="s">
        <v>12</v>
      </c>
      <c r="C359" s="54" t="s">
        <v>30</v>
      </c>
      <c r="D359" s="53" t="s">
        <v>61</v>
      </c>
      <c r="E359" s="53" t="s">
        <v>16</v>
      </c>
      <c r="F359" s="63" t="s">
        <v>56</v>
      </c>
      <c r="G359" s="61">
        <v>903394</v>
      </c>
      <c r="H359" s="54" t="s">
        <v>141</v>
      </c>
      <c r="I359" s="63">
        <v>28011704</v>
      </c>
      <c r="J359" s="64" t="s">
        <v>209</v>
      </c>
      <c r="K359" s="55" t="s">
        <v>72</v>
      </c>
      <c r="L359" s="54" t="s">
        <v>59</v>
      </c>
      <c r="M359" s="54" t="s">
        <v>632</v>
      </c>
    </row>
    <row r="360" spans="1:13">
      <c r="A360" s="53">
        <v>360</v>
      </c>
      <c r="B360" s="53" t="s">
        <v>13</v>
      </c>
      <c r="C360" s="54" t="s">
        <v>34</v>
      </c>
      <c r="D360" s="53" t="s">
        <v>61</v>
      </c>
      <c r="E360" s="53" t="s">
        <v>16</v>
      </c>
      <c r="F360" s="55" t="s">
        <v>981</v>
      </c>
      <c r="G360" s="61">
        <v>903395</v>
      </c>
      <c r="H360" s="54" t="s">
        <v>193</v>
      </c>
      <c r="I360" s="63">
        <v>28011705</v>
      </c>
      <c r="J360" s="64" t="s">
        <v>212</v>
      </c>
      <c r="K360" s="55" t="s">
        <v>981</v>
      </c>
      <c r="L360" s="54" t="s">
        <v>59</v>
      </c>
      <c r="M360" s="54" t="s">
        <v>632</v>
      </c>
    </row>
    <row r="361" spans="1:13">
      <c r="A361" s="53">
        <v>362</v>
      </c>
      <c r="B361" s="53" t="s">
        <v>53</v>
      </c>
      <c r="C361" s="54" t="s">
        <v>64</v>
      </c>
      <c r="D361" s="53" t="s">
        <v>61</v>
      </c>
      <c r="E361" s="53" t="s">
        <v>16</v>
      </c>
      <c r="F361" s="63" t="s">
        <v>555</v>
      </c>
      <c r="G361" s="26"/>
      <c r="H361" s="64" t="s">
        <v>555</v>
      </c>
      <c r="I361" s="30">
        <v>78011706</v>
      </c>
      <c r="J361" s="105" t="s">
        <v>214</v>
      </c>
      <c r="K361" s="55" t="s">
        <v>555</v>
      </c>
      <c r="L361" s="54" t="s">
        <v>552</v>
      </c>
      <c r="M361" s="54" t="s">
        <v>632</v>
      </c>
    </row>
    <row r="362" spans="1:13">
      <c r="A362" s="53">
        <v>360</v>
      </c>
      <c r="B362" s="53" t="s">
        <v>53</v>
      </c>
      <c r="C362" s="54" t="s">
        <v>64</v>
      </c>
      <c r="D362" s="53" t="s">
        <v>61</v>
      </c>
      <c r="E362" s="53" t="s">
        <v>16</v>
      </c>
      <c r="F362" s="63" t="s">
        <v>555</v>
      </c>
      <c r="G362" s="26"/>
      <c r="H362" s="64" t="s">
        <v>555</v>
      </c>
      <c r="I362" s="30">
        <v>78011707</v>
      </c>
      <c r="J362" s="105" t="s">
        <v>216</v>
      </c>
      <c r="K362" s="55" t="s">
        <v>555</v>
      </c>
      <c r="L362" s="54" t="s">
        <v>552</v>
      </c>
      <c r="M362" s="54" t="s">
        <v>632</v>
      </c>
    </row>
    <row r="363" spans="1:13">
      <c r="A363" s="53">
        <v>363</v>
      </c>
      <c r="B363" s="53" t="s">
        <v>53</v>
      </c>
      <c r="C363" s="54" t="s">
        <v>64</v>
      </c>
      <c r="D363" s="53" t="s">
        <v>61</v>
      </c>
      <c r="E363" s="53" t="s">
        <v>16</v>
      </c>
      <c r="F363" s="63" t="s">
        <v>555</v>
      </c>
      <c r="G363" s="26"/>
      <c r="H363" s="64" t="s">
        <v>555</v>
      </c>
      <c r="I363" s="30" t="s">
        <v>14</v>
      </c>
      <c r="J363" s="105" t="s">
        <v>218</v>
      </c>
      <c r="K363" s="55" t="s">
        <v>555</v>
      </c>
      <c r="L363" s="54" t="s">
        <v>552</v>
      </c>
      <c r="M363" s="54" t="s">
        <v>632</v>
      </c>
    </row>
  </sheetData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68ad4c17-e81c-43b0-9816-c6e217223acd}" enabled="1" method="Standard" siteId="{37cd273a-1cec-4aae-a297-41480ea54f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Kasa, Pavan - AM/NS India - EXT - HR (HAZ)</dc:creator>
  <cp:keywords/>
  <dc:description/>
  <cp:lastModifiedBy/>
  <cp:revision/>
  <dcterms:created xsi:type="dcterms:W3CDTF">2026-05-21T11:43:46Z</dcterms:created>
  <dcterms:modified xsi:type="dcterms:W3CDTF">2026-06-25T08:35:43Z</dcterms:modified>
  <cp:category/>
  <cp:contentStatus/>
</cp:coreProperties>
</file>